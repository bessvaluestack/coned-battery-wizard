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xr:revisionPtr revIDLastSave="0" documentId="13_ncr:1_{C0A17A3F-78BA-F44E-8610-B0F12D70CFC4}" xr6:coauthVersionLast="47" xr6:coauthVersionMax="47" xr10:uidLastSave="{00000000-0000-0000-0000-000000000000}"/>
  <bookViews>
    <workbookView xWindow="0" yWindow="600" windowWidth="22140" windowHeight="13200" activeTab="5" xr2:uid="{00000000-000D-0000-FFFF-FFFF00000000}"/>
  </bookViews>
  <sheets>
    <sheet name="Inputs" sheetId="1" r:id="rId1"/>
    <sheet name="Utility_Rates" sheetId="2" r:id="rId2"/>
    <sheet name="Hourly_Operations" sheetId="3" r:id="rId3"/>
    <sheet name="Value_Streams" sheetId="4" r:id="rId4"/>
    <sheet name="Project_Cash_Flow" sheetId="5" r:id="rId5"/>
    <sheet name="Outputs" sheetId="6" r:id="rId6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<sst xmlns="http://schemas.openxmlformats.org/spreadsheetml/2006/main" count="376" uniqueCount="231">
  <si>
    <t>MULTIFAMILY BESS | OWNER ECONOMICS</t>
  </si>
  <si>
    <t>Draft V1 • Blue / pale blue = editable; black = formula; green = cross-sheet link. All amounts USD.</t>
  </si>
  <si>
    <t>BUILDING</t>
  </si>
  <si>
    <t>Building name</t>
  </si>
  <si>
    <t>text</t>
  </si>
  <si>
    <t>Enter project-specific data; no sample economics are embedded.</t>
  </si>
  <si>
    <t>Location</t>
  </si>
  <si>
    <t>city / state</t>
  </si>
  <si>
    <t>Residential units</t>
  </si>
  <si>
    <t>#</t>
  </si>
  <si>
    <t>Required only for per-unit resiliency.</t>
  </si>
  <si>
    <t>Utility</t>
  </si>
  <si>
    <t>Rate / tariff</t>
  </si>
  <si>
    <t>Analysis start date</t>
  </si>
  <si>
    <t>date</t>
  </si>
  <si>
    <t>Draft default. Use 1 January of a non-leap year; no DST adjustment.</t>
  </si>
  <si>
    <t>Annual electricity consumption</t>
  </si>
  <si>
    <t>kWh</t>
  </si>
  <si>
    <t>Calculated from the full baseline hourly profile.</t>
  </si>
  <si>
    <t>Peak building demand</t>
  </si>
  <si>
    <t>kW</t>
  </si>
  <si>
    <t>Hourly average; may differ from utility billing-interval demand.</t>
  </si>
  <si>
    <t>BATTERY — REFERENCE PERFORMANCE ASSUMPTIONS</t>
  </si>
  <si>
    <t>Rated battery power</t>
  </si>
  <si>
    <t>Nameplate energy capacity</t>
  </si>
  <si>
    <t>Usable capacity</t>
  </si>
  <si>
    <t>%</t>
  </si>
  <si>
    <t>Reference only; not multiplied by SOC limits in this draft.</t>
  </si>
  <si>
    <t>Minimum state of charge</t>
  </si>
  <si>
    <t>Maximum state of charge</t>
  </si>
  <si>
    <t>Round-trip efficiency</t>
  </si>
  <si>
    <t>Efficiency losses must already be represented in imported dispatch.</t>
  </si>
  <si>
    <t>Maximum cycles per day</t>
  </si>
  <si>
    <t># / day</t>
  </si>
  <si>
    <t>Maximum cycles per year</t>
  </si>
  <si>
    <t># / year</t>
  </si>
  <si>
    <t>Annual degradation</t>
  </si>
  <si>
    <t>Reference only: physical savings remain constant in future years.</t>
  </si>
  <si>
    <t>Useful life</t>
  </si>
  <si>
    <t>years</t>
  </si>
  <si>
    <t>Reference only. Set the analysis period to a defensible operating horizon.</t>
  </si>
  <si>
    <t>Replacement year</t>
  </si>
  <si>
    <t>year</t>
  </si>
  <si>
    <t>Draft default: 0 = none. Replacement outside the analysis horizon is omitted; dispatch is unchanged.</t>
  </si>
  <si>
    <t>Replacement cost</t>
  </si>
  <si>
    <t>$</t>
  </si>
  <si>
    <t>Draft default: 0. Fixed nominal cost in the selected year.</t>
  </si>
  <si>
    <t>Annual O&amp;M</t>
  </si>
  <si>
    <t>$ / year</t>
  </si>
  <si>
    <t>Draft default: 0; replace with expected owner cash expense.</t>
  </si>
  <si>
    <t>O&amp;M escalation</t>
  </si>
  <si>
    <t>% / year</t>
  </si>
  <si>
    <t>Draft default: 0%.</t>
  </si>
  <si>
    <t>INSTALLED CAPITAL COST</t>
  </si>
  <si>
    <t>Battery system</t>
  </si>
  <si>
    <t>Power control system / PCS</t>
  </si>
  <si>
    <t>Balance of system / electrical</t>
  </si>
  <si>
    <t>Installation / construction</t>
  </si>
  <si>
    <t>Engineering / permitting</t>
  </si>
  <si>
    <t>Interconnection</t>
  </si>
  <si>
    <t>Other upfront costs</t>
  </si>
  <si>
    <t>Enter zero explicitly for cost categories that do not apply.</t>
  </si>
  <si>
    <t>Total installed cost</t>
  </si>
  <si>
    <t>ANALYSIS ASSUMPTIONS</t>
  </si>
  <si>
    <t>Analysis period</t>
  </si>
  <si>
    <t>Draft default: 25 years; supported 1–25. Red warns the horizon exceeds entered useful life.</t>
  </si>
  <si>
    <t>Discount rate</t>
  </si>
  <si>
    <t>Illustrative draft default: 8%; not a researched project assumption.</t>
  </si>
  <si>
    <t>RESILIENCY — SELECT ONE ECONOMIC BENEFIT</t>
  </si>
  <si>
    <t>Resiliency method</t>
  </si>
  <si>
    <t>dropdown</t>
  </si>
  <si>
    <t>Exactly one method is used; other method inputs are ignored.</t>
  </si>
  <si>
    <t>Flat annual benefit</t>
  </si>
  <si>
    <t>Draft default: 0. This is assumed economic value, not necessarily cash.</t>
  </si>
  <si>
    <t>Annual insurance premium</t>
  </si>
  <si>
    <t>Assumed premium reduction</t>
  </si>
  <si>
    <t>Avoided outage hours</t>
  </si>
  <si>
    <t>hours / year</t>
  </si>
  <si>
    <t>Avoided downtime value</t>
  </si>
  <si>
    <t>$ / hour</t>
  </si>
  <si>
    <t>Per-unit resiliency value</t>
  </si>
  <si>
    <t>$ / unit / year</t>
  </si>
  <si>
    <t>Selected annual resiliency benefit</t>
  </si>
  <si>
    <t>READINESS CHECKS</t>
  </si>
  <si>
    <t>Baseline numeric hours</t>
  </si>
  <si>
    <t>of 8,760</t>
  </si>
  <si>
    <t>Dispatch numeric hours</t>
  </si>
  <si>
    <t>Negative baseline hours</t>
  </si>
  <si>
    <t>must be 0</t>
  </si>
  <si>
    <t>Grid-export hours — INVALID</t>
  </si>
  <si>
    <t>No export credits. Negative net grid demand blocks savings and returns.</t>
  </si>
  <si>
    <t>Standard-year calendar valid</t>
  </si>
  <si>
    <t>TRUE required</t>
  </si>
  <si>
    <t>Monthly tariff inputs complete</t>
  </si>
  <si>
    <t>All 60 monthly rates must be numeric; enter zero where appropriate.</t>
  </si>
  <si>
    <t>Hourly savings ready</t>
  </si>
  <si>
    <t>Capital inputs ready</t>
  </si>
  <si>
    <t>Owner returns ready</t>
  </si>
  <si>
    <t>Model status</t>
  </si>
  <si>
    <t>status</t>
  </si>
  <si>
    <t>MODEL CONVENTIONS — FIXED</t>
  </si>
  <si>
    <t>Zero / no event</t>
  </si>
  <si>
    <t>constant</t>
  </si>
  <si>
    <t>Unit step / interval duration</t>
  </si>
  <si>
    <t>1 hour</t>
  </si>
  <si>
    <t>Hours per day</t>
  </si>
  <si>
    <t>hours</t>
  </si>
  <si>
    <t>Days per standard year</t>
  </si>
  <si>
    <t>days</t>
  </si>
  <si>
    <t>Hourly observations per year</t>
  </si>
  <si>
    <t>Months per year</t>
  </si>
  <si>
    <t>months</t>
  </si>
  <si>
    <t>Weekday cutoff — Mon = 1</t>
  </si>
  <si>
    <t>Friday</t>
  </si>
  <si>
    <t>Maximum draft analysis horizon</t>
  </si>
  <si>
    <t>Weekday numbering basis</t>
  </si>
  <si>
    <t>Monday = 1</t>
  </si>
  <si>
    <t>UTILITY RATES | MONTHLY INPUTS</t>
  </si>
  <si>
    <t>Enter 12 months of rates. Bills are reference-only. Select each month’s season, then edit the 24-hour TOU schedule below.</t>
  </si>
  <si>
    <t>$/kWh</t>
  </si>
  <si>
    <t>Month</t>
  </si>
  <si>
    <t>Actual bill ($)</t>
  </si>
  <si>
    <t>Actual use (kWh)</t>
  </si>
  <si>
    <t>Actual peak (kW)</t>
  </si>
  <si>
    <t>Demand ($/kW-mo)</t>
  </si>
  <si>
    <t>Peak</t>
  </si>
  <si>
    <t>Shoulder</t>
  </si>
  <si>
    <t>Off-peak</t>
  </si>
  <si>
    <t>Super off-peak</t>
  </si>
  <si>
    <t>Season</t>
  </si>
  <si>
    <t>Winter</t>
  </si>
  <si>
    <t>Summer</t>
  </si>
  <si>
    <t>Annual actual electricity cost</t>
  </si>
  <si>
    <t>Actual bills entered</t>
  </si>
  <si>
    <t>Annual energy-rate escalation</t>
  </si>
  <si>
    <t>Draft default: 0%; applied to Year 1 arbitrage savings.</t>
  </si>
  <si>
    <t>Annual demand-rate escalation</t>
  </si>
  <si>
    <t>Draft default: 0%; applied to Year 1 demand savings.</t>
  </si>
  <si>
    <t>SIMPLE TOU SCHEDULE | PERIOD STARTING AT EACH HOUR</t>
  </si>
  <si>
    <t>Default: all hours Off-peak. Summer = Jun–Sep; Winter = other months. Both assumptions are editable; no holidays or DST.</t>
  </si>
  <si>
    <t>Hour starting</t>
  </si>
  <si>
    <t>Summer weekday</t>
  </si>
  <si>
    <t>Summer weekend</t>
  </si>
  <si>
    <t>Winter weekday</t>
  </si>
  <si>
    <t>Winter weekend</t>
  </si>
  <si>
    <t>Choose Peak, Shoulder, Off-peak, or Super off-peak. Weekdays are Monday–Friday. Assign all 96 schedule cells.</t>
  </si>
  <si>
    <t>Bills may contain charges this simplified tariff omits. Actual consumption / peak are optional references, not cash-flow inputs.</t>
  </si>
  <si>
    <t>HOURLY OPERATIONS | 8,760 ONE-HOUR INTERVALS</t>
  </si>
  <si>
    <t/>
  </si>
  <si>
    <t>Hour</t>
  </si>
  <si>
    <t>Date / time</t>
  </si>
  <si>
    <t>Baseline demand (kW)</t>
  </si>
  <si>
    <t>Battery dispatch (kW)</t>
  </si>
  <si>
    <t>Net grid demand (kW)</t>
  </si>
  <si>
    <t>TOU period</t>
  </si>
  <si>
    <t>Energy rate ($/kWh)</t>
  </si>
  <si>
    <t>Baseline cost ($/hour)</t>
  </si>
  <si>
    <t>Post-battery cost ($/hour)</t>
  </si>
  <si>
    <t>VALUE STREAMS | YEAR 1</t>
  </si>
  <si>
    <t>Savings appear once both profiles and monthly tariffs are complete and no exports are present. Negative savings are retained.</t>
  </si>
  <si>
    <t>Baseline peak (kW)</t>
  </si>
  <si>
    <t>Post-battery peak (kW)</t>
  </si>
  <si>
    <t>Peak reduction (kW)</t>
  </si>
  <si>
    <t>Demand savings ($)</t>
  </si>
  <si>
    <t>Baseline energy ($)</t>
  </si>
  <si>
    <t>Post-battery energy ($)</t>
  </si>
  <si>
    <t>Arbitrage savings ($)</t>
  </si>
  <si>
    <t>Resiliency value ($)</t>
  </si>
  <si>
    <t>Total benefit ($)</t>
  </si>
  <si>
    <t>YEAR 1 TOTAL</t>
  </si>
  <si>
    <t>BILL RECONCILIATION | REFERENCE ONLY</t>
  </si>
  <si>
    <t>Annual actual electricity bills</t>
  </si>
  <si>
    <t>Modeled baseline bill</t>
  </si>
  <si>
    <t>Modeled post-battery bill</t>
  </si>
  <si>
    <t>Actual less modeled baseline</t>
  </si>
  <si>
    <t>Hourly peaks approximate shorter billing intervals; no ratchets or multiple demand windows are modeled.</t>
  </si>
  <si>
    <t>Arbitrage already includes charging purchases and imported losses. Do not deduct charging costs a second time.</t>
  </si>
  <si>
    <t>Resiliency is allocated evenly across months for display only; it is an assumed benefit, not necessarily cash received.</t>
  </si>
  <si>
    <t>Actual bills are never deducted again in project cash flow. Reconciliation gaps may include fixed or unmodeled tariff charges.</t>
  </si>
  <si>
    <t>PROJECT CASH FLOW | SINGLE OWNER • UNLEVERED</t>
  </si>
  <si>
    <t>USD • Year 0 investment; annual benefits / expenses at year-end. No debt, tax, incentives, or terminal value.</t>
  </si>
  <si>
    <t>Year</t>
  </si>
  <si>
    <t>Installed cost</t>
  </si>
  <si>
    <t>Demand savings</t>
  </si>
  <si>
    <t>Arbitrage savings</t>
  </si>
  <si>
    <t>Resiliency value</t>
  </si>
  <si>
    <t>Total economic benefit</t>
  </si>
  <si>
    <t>O&amp;M expense</t>
  </si>
  <si>
    <t>Net excl. resiliency</t>
  </si>
  <si>
    <t>Cumulative excl.</t>
  </si>
  <si>
    <t>Net incl. resiliency</t>
  </si>
  <si>
    <t>Cumulative incl.</t>
  </si>
  <si>
    <t>RETURNS</t>
  </si>
  <si>
    <t>Excl. resiliency</t>
  </si>
  <si>
    <t>Incl. resiliency</t>
  </si>
  <si>
    <t>Project IRR</t>
  </si>
  <si>
    <t>Project NPV</t>
  </si>
  <si>
    <t>Simple payback (years)</t>
  </si>
  <si>
    <t>Lifetime net benefit</t>
  </si>
  <si>
    <t>Future-year physical savings and dispatch are held constant. Only demand / energy prices and O&amp;M escalate.</t>
  </si>
  <si>
    <t>Degradation and useful life are reference assumptions, not dispatch adjustments. Replacement is a one-time nominal outflow.</t>
  </si>
  <si>
    <t>Simple payback = installed cost ÷ Year 1 recurring net benefit; excludes escalation, replacement, and discounting.</t>
  </si>
  <si>
    <t>Lifetime net benefit is the undiscounted sum of selected-horizon net cash flows, including Year 0. N/M = IRR not meaningful.</t>
  </si>
  <si>
    <t>MULTIFAMILY BESS | OWNER SUMMARY</t>
  </si>
  <si>
    <t>Metric</t>
  </si>
  <si>
    <t>Battery power (kW)</t>
  </si>
  <si>
    <t>Nameplate capacity (kWh)</t>
  </si>
  <si>
    <t>Total installed cost ($)</t>
  </si>
  <si>
    <t>Year 1 demand savings ($)</t>
  </si>
  <si>
    <t>Year 1 arbitrage savings ($)</t>
  </si>
  <si>
    <t>Year 1 resiliency value ($)</t>
  </si>
  <si>
    <t>Total Year 1 benefit ($)</t>
  </si>
  <si>
    <t>Year 1 O&amp;M expense ($)</t>
  </si>
  <si>
    <t>Year 1 recurring net benefit ($)</t>
  </si>
  <si>
    <t>Project IRR (%)</t>
  </si>
  <si>
    <t>Project NPV ($)</t>
  </si>
  <si>
    <t>Lifetime net benefit ($)</t>
  </si>
  <si>
    <t>START HERE</t>
  </si>
  <si>
    <t>1. Enter project assumptions in Inputs; enter rates and edit the TOU schedule in Utility_Rates.</t>
  </si>
  <si>
    <t>2. Paste 8,760 numeric values into each blue hourly column. Use explicit zeros; do not include headers.</t>
  </si>
  <si>
    <t>3. Review monthly savings and bill reconciliation, then compare returns above. Draft horizon: 1–25 years.</t>
  </si>
  <si>
    <t>MODEL BOUNDARIES</t>
  </si>
  <si>
    <t>Resiliency is assumed economic value, not necessarily bill savings or owner cash receipts.</t>
  </si>
  <si>
    <t>Imported dispatch includes charging and efficiency losses. No exports, optimizer, or SOC / cycle validation.</t>
  </si>
  <si>
    <t>Year 1 physical savings stay constant; no degradation simulation. Align the horizon with useful life.</t>
  </si>
  <si>
    <t>Rates and costs are blank; 2027 start, 25 years, 8% discount rate, zero O&amp;M / escalation / resiliency are draft defaults.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</si>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</sst>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\(#,##0.0\);&quot;–&quot;"/>
    <numFmt numFmtId="165" formatCode="#,##0;\(#,##0\);&quot;–&quot;"/>
    <numFmt numFmtId="166" formatCode="dd\-mmm\-yyyy"/>
    <numFmt numFmtId="167" formatCode="0.0%;\(0.0%\);&quot;–&quot;"/>
    <numFmt numFmtId="168" formatCode="_([$$-409]* #,##0.00_);_([$$-409]* \(#,##0.00\);_([$$-409]* &quot;-&quot;??_);_(@_)"/>
    <numFmt numFmtId="169" formatCode="mmm"/>
    <numFmt numFmtId="170" formatCode="\$0.0000;\(\$0.0000\);&quot;–&quot;"/>
    <numFmt numFmtId="171" formatCode="00&quot;:00&quot;"/>
    <numFmt numFmtId="172" formatCode="dd\-mmm\-yyyy\ hh:mm"/>
  </numFmts>
  <fonts count="10" x14ac:knownFonts="1">
    <font>
      <sz val="12"/>
      <color theme="1"/>
      <name val="Aptos Narrow"/>
      <scheme val="minor"/>
    </font>
    <font>
      <b/>
      <sz val="16"/>
      <color rgb="FF16324F"/>
      <name val="Calibri"/>
      <family val="2"/>
    </font>
    <font>
      <sz val="11"/>
      <color rgb="FF000000"/>
      <name val="Calibri"/>
      <family val="2"/>
    </font>
    <font>
      <b/>
      <sz val="11"/>
      <color rgb="FF16324F"/>
      <name val="Calibri"/>
      <family val="2"/>
    </font>
    <font>
      <sz val="11"/>
      <color rgb="FF0000FF"/>
      <name val="Calibri"/>
      <family val="2"/>
    </font>
    <font>
      <sz val="11"/>
      <color rgb="FF607080"/>
      <name val="Calibri"/>
      <family val="2"/>
    </font>
    <font>
      <sz val="11"/>
      <color rgb="FF008000"/>
      <name val="Calibri"/>
      <family val="2"/>
    </font>
    <font>
      <b/>
      <sz val="11"/>
      <color rgb="FF607080"/>
      <name val="Calibri"/>
      <family val="2"/>
    </font>
    <font>
      <b/>
      <sz val="11"/>
      <color rgb="FF000000"/>
      <name val="Calibri"/>
      <family val="2"/>
    </font>
    <font>
      <b/>
      <sz val="11"/>
      <color rgb="FF008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EDF4"/>
      </patternFill>
    </fill>
    <fill>
      <patternFill patternType="solid">
        <fgColor rgb="FFEFF6FD"/>
      </patternFill>
    </fill>
    <fill>
      <patternFill patternType="solid">
        <fgColor rgb="FFF5F6F8"/>
      </patternFill>
    </fill>
    <fill>
      <patternFill patternType="solid">
        <fgColor rgb="FFF1F5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8BACB"/>
      </bottom>
      <diagonal/>
    </border>
    <border>
      <left/>
      <right/>
      <top/>
      <bottom style="hair">
        <color rgb="FFD5E2EF"/>
      </bottom>
      <diagonal/>
    </border>
  </borders>
  <cellStyleXfs count="1">
    <xf numFmtId="0" fontId="0" fillId="0" borderId="1"/>
  </cellStyleXfs>
  <cellXfs count="56">
    <xf numFmtId="0" fontId="0" fillId="0" borderId="1" xfId="0"/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1" xfId="0" applyFont="1" applyAlignment="1">
      <alignment vertical="center" wrapText="1"/>
    </xf>
    <xf numFmtId="164" fontId="4" fillId="3" borderId="3" xfId="0" applyNumberFormat="1" applyFont="1" applyFill="1" applyBorder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vertical="center" wrapText="1"/>
    </xf>
    <xf numFmtId="165" fontId="4" fillId="3" borderId="3" xfId="0" applyNumberFormat="1" applyFont="1" applyFill="1" applyBorder="1" applyAlignment="1">
      <alignment horizontal="right" vertical="center"/>
    </xf>
    <xf numFmtId="166" fontId="4" fillId="3" borderId="3" xfId="0" applyNumberFormat="1" applyFont="1" applyFill="1" applyBorder="1" applyAlignment="1">
      <alignment vertical="center"/>
    </xf>
    <xf numFmtId="164" fontId="6" fillId="0" borderId="1" xfId="0" applyNumberFormat="1" applyFont="1" applyAlignment="1">
      <alignment vertical="center"/>
    </xf>
    <xf numFmtId="164" fontId="2" fillId="0" borderId="1" xfId="0" applyNumberFormat="1" applyFont="1" applyAlignment="1">
      <alignment vertical="center"/>
    </xf>
    <xf numFmtId="0" fontId="3" fillId="2" borderId="2" xfId="0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vertical="center"/>
    </xf>
    <xf numFmtId="167" fontId="4" fillId="3" borderId="3" xfId="0" applyNumberFormat="1" applyFont="1" applyFill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68" fontId="4" fillId="3" borderId="3" xfId="0" applyNumberFormat="1" applyFont="1" applyFill="1" applyBorder="1" applyAlignment="1">
      <alignment vertical="center"/>
    </xf>
    <xf numFmtId="168" fontId="8" fillId="2" borderId="2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165" fontId="6" fillId="0" borderId="1" xfId="0" applyNumberFormat="1" applyFont="1" applyAlignment="1">
      <alignment vertical="center"/>
    </xf>
    <xf numFmtId="0" fontId="6" fillId="0" borderId="1" xfId="0" applyFont="1" applyAlignment="1">
      <alignment vertical="center"/>
    </xf>
    <xf numFmtId="0" fontId="8" fillId="0" borderId="1" xfId="0" applyFont="1" applyAlignment="1">
      <alignment vertical="center"/>
    </xf>
    <xf numFmtId="0" fontId="3" fillId="4" borderId="2" xfId="0" applyFont="1" applyFill="1" applyBorder="1" applyAlignment="1">
      <alignment vertical="center" wrapText="1"/>
    </xf>
    <xf numFmtId="164" fontId="3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horizontal="left" vertical="center"/>
    </xf>
    <xf numFmtId="0" fontId="2" fillId="4" borderId="1" xfId="0" applyFont="1" applyFill="1" applyAlignment="1">
      <alignment vertical="center" wrapText="1"/>
    </xf>
    <xf numFmtId="165" fontId="4" fillId="4" borderId="1" xfId="0" applyNumberFormat="1" applyFont="1" applyFill="1" applyAlignment="1">
      <alignment vertical="center"/>
    </xf>
    <xf numFmtId="0" fontId="5" fillId="4" borderId="1" xfId="0" applyFont="1" applyFill="1" applyAlignment="1">
      <alignment horizontal="left" vertical="center"/>
    </xf>
    <xf numFmtId="0" fontId="5" fillId="4" borderId="1" xfId="0" applyFont="1" applyFill="1" applyAlignment="1">
      <alignment vertical="center" wrapText="1"/>
    </xf>
    <xf numFmtId="165" fontId="2" fillId="4" borderId="1" xfId="0" applyNumberFormat="1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69" fontId="6" fillId="0" borderId="1" xfId="0" applyNumberFormat="1" applyFont="1" applyAlignment="1">
      <alignment vertical="center"/>
    </xf>
    <xf numFmtId="170" fontId="4" fillId="3" borderId="3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68" fontId="3" fillId="2" borderId="2" xfId="0" applyNumberFormat="1" applyFont="1" applyFill="1" applyBorder="1" applyAlignment="1">
      <alignment vertical="center"/>
    </xf>
    <xf numFmtId="171" fontId="2" fillId="0" borderId="1" xfId="0" applyNumberFormat="1" applyFont="1" applyAlignment="1">
      <alignment vertical="center"/>
    </xf>
    <xf numFmtId="0" fontId="9" fillId="0" borderId="1" xfId="0" applyFont="1" applyAlignment="1">
      <alignment vertical="center"/>
    </xf>
    <xf numFmtId="165" fontId="2" fillId="0" borderId="1" xfId="0" applyNumberFormat="1" applyFont="1" applyAlignment="1">
      <alignment vertical="center"/>
    </xf>
    <xf numFmtId="172" fontId="6" fillId="0" borderId="1" xfId="0" applyNumberFormat="1" applyFont="1" applyAlignment="1">
      <alignment vertical="center"/>
    </xf>
    <xf numFmtId="170" fontId="6" fillId="0" borderId="1" xfId="0" applyNumberFormat="1" applyFont="1" applyAlignment="1">
      <alignment vertical="center"/>
    </xf>
    <xf numFmtId="168" fontId="6" fillId="0" borderId="1" xfId="0" applyNumberFormat="1" applyFont="1" applyAlignment="1">
      <alignment vertical="center"/>
    </xf>
    <xf numFmtId="168" fontId="9" fillId="2" borderId="2" xfId="0" applyNumberFormat="1" applyFont="1" applyFill="1" applyBorder="1" applyAlignment="1">
      <alignment vertical="center"/>
    </xf>
    <xf numFmtId="168" fontId="2" fillId="0" borderId="1" xfId="0" applyNumberFormat="1" applyFont="1" applyAlignment="1">
      <alignment vertical="center"/>
    </xf>
    <xf numFmtId="1" fontId="6" fillId="0" borderId="2" xfId="0" applyNumberFormat="1" applyFont="1" applyBorder="1" applyAlignment="1">
      <alignment vertical="center"/>
    </xf>
    <xf numFmtId="168" fontId="6" fillId="0" borderId="2" xfId="0" applyNumberFormat="1" applyFont="1" applyBorder="1" applyAlignment="1">
      <alignment vertical="center"/>
    </xf>
    <xf numFmtId="168" fontId="6" fillId="5" borderId="2" xfId="0" applyNumberFormat="1" applyFont="1" applyFill="1" applyBorder="1" applyAlignment="1">
      <alignment vertical="center"/>
    </xf>
    <xf numFmtId="1" fontId="6" fillId="0" borderId="1" xfId="0" applyNumberFormat="1" applyFont="1" applyAlignment="1">
      <alignment vertical="center"/>
    </xf>
    <xf numFmtId="168" fontId="6" fillId="5" borderId="1" xfId="0" applyNumberFormat="1" applyFont="1" applyFill="1" applyAlignment="1">
      <alignment vertical="center"/>
    </xf>
    <xf numFmtId="167" fontId="6" fillId="0" borderId="1" xfId="0" applyNumberFormat="1" applyFont="1" applyAlignment="1">
      <alignment vertical="center"/>
    </xf>
    <xf numFmtId="0" fontId="8" fillId="5" borderId="1" xfId="0" applyFont="1" applyFill="1" applyAlignment="1">
      <alignment vertical="center"/>
    </xf>
    <xf numFmtId="168" fontId="9" fillId="5" borderId="1" xfId="0" applyNumberFormat="1" applyFont="1" applyFill="1" applyAlignment="1">
      <alignment vertical="center"/>
    </xf>
    <xf numFmtId="168" fontId="8" fillId="5" borderId="1" xfId="0" applyNumberFormat="1" applyFont="1" applyFill="1" applyAlignment="1">
      <alignment vertical="center"/>
    </xf>
    <xf numFmtId="167" fontId="9" fillId="5" borderId="1" xfId="0" applyNumberFormat="1" applyFont="1" applyFill="1" applyAlignment="1">
      <alignment vertical="center"/>
    </xf>
    <xf numFmtId="164" fontId="9" fillId="5" borderId="1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A32622"/>
      </font>
      <fill>
        <patternFill patternType="solid">
          <fgColor rgb="FFFCE9E7"/>
          <bgColor rgb="FFFCE9E7"/>
        </patternFill>
      </fill>
    </dxf>
    <dxf>
      <font>
        <color rgb="FFA32622"/>
      </font>
      <fill>
        <patternFill patternType="solid">
          <fgColor rgb="FFFCE9E7"/>
          <bgColor rgb="FFFCE9E7"/>
        </patternFill>
      </fill>
    </dxf>
    <dxf>
      <font>
        <color rgb="FFA32622"/>
      </font>
      <fill>
        <patternFill patternType="solid">
          <fgColor rgb="FFFCE9E7"/>
          <bgColor rgb="FFFC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6428-5198-BEF8-8358-AE3D417025A7}">
  <dimension ref="B2:E76"/>
  <sheetViews>
    <sheetView showGridLines="0" zoomScale="90" workbookViewId="0">
      <pane ySplit="5" topLeftCell="A6" activePane="bottomLeft" state="frozen"/>
      <selection pane="bottomLeft" activeCell="C46" sqref="C46"/>
    </sheetView>
  </sheetViews>
  <sheetFormatPr baseColWidth="10" defaultColWidth="9" defaultRowHeight="16" customHeight="1" x14ac:dyDescent="0.2"/>
  <cols>
    <col min="1" max="1" width="3" customWidth="1"/>
    <col min="2" max="2" width="36.83203125" customWidth="1"/>
    <col min="3" max="3" width="37.5" customWidth="1"/>
    <col min="4" max="4" width="13.1640625" customWidth="1"/>
    <col min="5" max="5" width="71.33203125" customWidth="1"/>
  </cols>
  <sheetData>
    <row r="2" spans="2:5" ht="24" customHeight="1" x14ac:dyDescent="0.2">
      <c r="B2" s="1" t="s">
        <v>0</v>
      </c>
      <c r="C2" s="1"/>
      <c r="D2" s="1"/>
      <c r="E2" s="1"/>
    </row>
    <row r="3" spans="2:5" ht="27" customHeight="1" x14ac:dyDescent="0.2">
      <c r="B3" s="2" t="s">
        <v>1</v>
      </c>
      <c r="C3" s="2"/>
      <c r="D3" s="2"/>
      <c r="E3" s="2"/>
    </row>
    <row r="4" spans="2:5" ht="15.75" customHeight="1" x14ac:dyDescent="0.2">
      <c r="B4" s="2"/>
      <c r="C4" s="2"/>
      <c r="D4" s="2"/>
      <c r="E4" s="2"/>
    </row>
    <row r="5" spans="2:5" ht="15.75" customHeight="1" x14ac:dyDescent="0.2">
      <c r="B5" s="3" t="s">
        <v>2</v>
      </c>
      <c r="C5" s="3"/>
      <c r="D5" s="3"/>
      <c r="E5" s="3"/>
    </row>
    <row r="6" spans="2:5" ht="21.75" customHeight="1" x14ac:dyDescent="0.2">
      <c r="B6" s="4" t="s">
        <v>3</v>
      </c>
      <c r="C6" s="5"/>
      <c r="D6" s="6" t="s">
        <v>4</v>
      </c>
      <c r="E6" s="7" t="s">
        <v>5</v>
      </c>
    </row>
    <row r="7" spans="2:5" ht="21.75" customHeight="1" x14ac:dyDescent="0.2">
      <c r="B7" s="4" t="s">
        <v>6</v>
      </c>
      <c r="C7" s="5"/>
      <c r="D7" s="6" t="s">
        <v>7</v>
      </c>
      <c r="E7" s="7"/>
    </row>
    <row r="8" spans="2:5" ht="21.75" customHeight="1" x14ac:dyDescent="0.2">
      <c r="B8" s="4" t="s">
        <v>8</v>
      </c>
      <c r="C8" s="8"/>
      <c r="D8" s="6" t="s">
        <v>9</v>
      </c>
      <c r="E8" s="7" t="s">
        <v>10</v>
      </c>
    </row>
    <row r="9" spans="2:5" ht="21.75" customHeight="1" x14ac:dyDescent="0.2">
      <c r="B9" s="4" t="s">
        <v>11</v>
      </c>
      <c r="C9" s="5"/>
      <c r="D9" s="6" t="s">
        <v>4</v>
      </c>
      <c r="E9" s="7"/>
    </row>
    <row r="10" spans="2:5" ht="21.75" customHeight="1" x14ac:dyDescent="0.2">
      <c r="B10" s="4" t="s">
        <v>12</v>
      </c>
      <c r="C10" s="5"/>
      <c r="D10" s="6" t="s">
        <v>4</v>
      </c>
      <c r="E10" s="7"/>
    </row>
    <row r="11" spans="2:5" ht="21.75" customHeight="1" x14ac:dyDescent="0.2">
      <c r="B11" s="4" t="s">
        <v>13</v>
      </c>
      <c r="C11" s="9">
        <v>46388</v>
      </c>
      <c r="D11" s="6" t="s">
        <v>14</v>
      </c>
      <c r="E11" s="7" t="s">
        <v>15</v>
      </c>
    </row>
    <row r="12" spans="2:5" ht="21.75" customHeight="1" x14ac:dyDescent="0.2">
      <c r="B12" s="4" t="s">
        <v>16</v>
      </c>
      <c r="C12" s="10">
        <f>IF(C56=$C$72,SUM(Hourly_Operations!D6:D8765)*$C$69,"")</f>
      </c>
      <c r="D12" s="6" t="s">
        <v>17</v>
      </c>
      <c r="E12" s="7" t="s">
        <v>18</v>
      </c>
    </row>
    <row r="13" spans="2:5" ht="21.75" customHeight="1" x14ac:dyDescent="0.2">
      <c r="B13" s="4" t="s">
        <v>19</v>
      </c>
      <c r="C13" s="10">
        <f>IF(C56=$C$72,MAX(Hourly_Operations!D6:D8765),"")</f>
      </c>
      <c r="D13" s="6" t="s">
        <v>20</v>
      </c>
      <c r="E13" s="7" t="s">
        <v>21</v>
      </c>
    </row>
    <row r="14" spans="2:5" ht="21.75" customHeight="1" x14ac:dyDescent="0.2">
      <c r="B14" s="4"/>
      <c r="C14" s="11"/>
      <c r="D14" s="6"/>
      <c r="E14" s="7"/>
    </row>
    <row r="15" spans="2:5" ht="25.5" customHeight="1" x14ac:dyDescent="0.2">
      <c r="B15" s="12" t="s">
        <v>22</v>
      </c>
      <c r="C15" s="13"/>
      <c r="D15" s="14"/>
      <c r="E15" s="12"/>
    </row>
    <row r="16" spans="2:5" ht="21.75" customHeight="1" x14ac:dyDescent="0.2">
      <c r="B16" s="4" t="s">
        <v>23</v>
      </c>
      <c r="C16" s="15"/>
      <c r="D16" s="6" t="s">
        <v>20</v>
      </c>
      <c r="E16" s="7"/>
    </row>
    <row r="17" spans="2:5" ht="21.75" customHeight="1" x14ac:dyDescent="0.2">
      <c r="B17" s="4" t="s">
        <v>24</v>
      </c>
      <c r="C17" s="15"/>
      <c r="D17" s="6" t="s">
        <v>17</v>
      </c>
      <c r="E17" s="7"/>
    </row>
    <row r="18" spans="2:5" ht="21.75" customHeight="1" x14ac:dyDescent="0.2">
      <c r="B18" s="4" t="s">
        <v>25</v>
      </c>
      <c r="C18" s="16"/>
      <c r="D18" s="6" t="s">
        <v>26</v>
      </c>
      <c r="E18" s="7" t="s">
        <v>27</v>
      </c>
    </row>
    <row r="19" spans="2:5" ht="21.75" customHeight="1" x14ac:dyDescent="0.2">
      <c r="B19" s="4" t="s">
        <v>28</v>
      </c>
      <c r="C19" s="16"/>
      <c r="D19" s="6" t="s">
        <v>26</v>
      </c>
      <c r="E19" s="7"/>
    </row>
    <row r="20" spans="2:5" ht="21.75" customHeight="1" x14ac:dyDescent="0.2">
      <c r="B20" s="4" t="s">
        <v>29</v>
      </c>
      <c r="C20" s="16"/>
      <c r="D20" s="6" t="s">
        <v>26</v>
      </c>
      <c r="E20" s="7"/>
    </row>
    <row r="21" spans="2:5" ht="21.75" customHeight="1" x14ac:dyDescent="0.2">
      <c r="B21" s="4" t="s">
        <v>30</v>
      </c>
      <c r="C21" s="16"/>
      <c r="D21" s="6" t="s">
        <v>26</v>
      </c>
      <c r="E21" s="7" t="s">
        <v>31</v>
      </c>
    </row>
    <row r="22" spans="2:5" ht="21.75" customHeight="1" x14ac:dyDescent="0.2">
      <c r="B22" s="4" t="s">
        <v>32</v>
      </c>
      <c r="C22" s="17"/>
      <c r="D22" s="6" t="s">
        <v>33</v>
      </c>
      <c r="E22" s="7"/>
    </row>
    <row r="23" spans="2:5" ht="21.75" customHeight="1" x14ac:dyDescent="0.2">
      <c r="B23" s="4" t="s">
        <v>34</v>
      </c>
      <c r="C23" s="17"/>
      <c r="D23" s="6" t="s">
        <v>35</v>
      </c>
      <c r="E23" s="7"/>
    </row>
    <row r="24" spans="2:5" ht="21.75" customHeight="1" x14ac:dyDescent="0.2">
      <c r="B24" s="4" t="s">
        <v>36</v>
      </c>
      <c r="C24" s="16"/>
      <c r="D24" s="6" t="s">
        <v>26</v>
      </c>
      <c r="E24" s="7" t="s">
        <v>37</v>
      </c>
    </row>
    <row r="25" spans="2:5" ht="21.75" customHeight="1" x14ac:dyDescent="0.2">
      <c r="B25" s="4" t="s">
        <v>38</v>
      </c>
      <c r="C25" s="17"/>
      <c r="D25" s="6" t="s">
        <v>39</v>
      </c>
      <c r="E25" s="7" t="s">
        <v>40</v>
      </c>
    </row>
    <row r="26" spans="2:5" ht="21.75" customHeight="1" x14ac:dyDescent="0.2">
      <c r="B26" s="4" t="s">
        <v>41</v>
      </c>
      <c r="C26" s="17">
        <v>0</v>
      </c>
      <c r="D26" s="6" t="s">
        <v>42</v>
      </c>
      <c r="E26" s="7" t="s">
        <v>43</v>
      </c>
    </row>
    <row r="27" spans="2:5" ht="21.75" customHeight="1" x14ac:dyDescent="0.2">
      <c r="B27" s="4" t="s">
        <v>44</v>
      </c>
      <c r="C27" s="18">
        <v>0</v>
      </c>
      <c r="D27" s="6" t="s">
        <v>45</v>
      </c>
      <c r="E27" s="7" t="s">
        <v>46</v>
      </c>
    </row>
    <row r="28" spans="2:5" ht="21.75" customHeight="1" x14ac:dyDescent="0.2">
      <c r="B28" s="4" t="s">
        <v>47</v>
      </c>
      <c r="C28" s="18">
        <v>0</v>
      </c>
      <c r="D28" s="6" t="s">
        <v>48</v>
      </c>
      <c r="E28" s="7" t="s">
        <v>49</v>
      </c>
    </row>
    <row r="29" spans="2:5" ht="21.75" customHeight="1" x14ac:dyDescent="0.2">
      <c r="B29" s="4" t="s">
        <v>50</v>
      </c>
      <c r="C29" s="16">
        <v>0</v>
      </c>
      <c r="D29" s="6" t="s">
        <v>51</v>
      </c>
      <c r="E29" s="7" t="s">
        <v>52</v>
      </c>
    </row>
    <row r="30" spans="2:5" ht="21.75" customHeight="1" x14ac:dyDescent="0.2">
      <c r="B30" s="4"/>
      <c r="C30" s="11"/>
      <c r="D30" s="6"/>
      <c r="E30" s="7"/>
    </row>
    <row r="31" spans="2:5" ht="21.75" customHeight="1" x14ac:dyDescent="0.2">
      <c r="B31" s="12" t="s">
        <v>53</v>
      </c>
      <c r="C31" s="13"/>
      <c r="D31" s="14"/>
      <c r="E31" s="12"/>
    </row>
    <row r="32" spans="2:5" ht="21.75" customHeight="1" x14ac:dyDescent="0.2">
      <c r="B32" s="4" t="s">
        <v>54</v>
      </c>
      <c r="C32" s="18"/>
      <c r="D32" s="6" t="s">
        <v>45</v>
      </c>
      <c r="E32" s="7"/>
    </row>
    <row r="33" spans="2:5" ht="21.75" customHeight="1" x14ac:dyDescent="0.2">
      <c r="B33" s="4" t="s">
        <v>55</v>
      </c>
      <c r="C33" s="18"/>
      <c r="D33" s="6" t="s">
        <v>45</v>
      </c>
      <c r="E33" s="7"/>
    </row>
    <row r="34" spans="2:5" ht="21.75" customHeight="1" x14ac:dyDescent="0.2">
      <c r="B34" s="4" t="s">
        <v>56</v>
      </c>
      <c r="C34" s="18"/>
      <c r="D34" s="6" t="s">
        <v>45</v>
      </c>
      <c r="E34" s="7"/>
    </row>
    <row r="35" spans="2:5" ht="21.75" customHeight="1" x14ac:dyDescent="0.2">
      <c r="B35" s="4" t="s">
        <v>57</v>
      </c>
      <c r="C35" s="18"/>
      <c r="D35" s="6" t="s">
        <v>45</v>
      </c>
      <c r="E35" s="7"/>
    </row>
    <row r="36" spans="2:5" ht="21.75" customHeight="1" x14ac:dyDescent="0.2">
      <c r="B36" s="4" t="s">
        <v>58</v>
      </c>
      <c r="C36" s="18"/>
      <c r="D36" s="6" t="s">
        <v>45</v>
      </c>
      <c r="E36" s="7"/>
    </row>
    <row r="37" spans="2:5" ht="21.75" customHeight="1" x14ac:dyDescent="0.2">
      <c r="B37" s="4" t="s">
        <v>59</v>
      </c>
      <c r="C37" s="18"/>
      <c r="D37" s="6" t="s">
        <v>45</v>
      </c>
      <c r="E37" s="7"/>
    </row>
    <row r="38" spans="2:5" ht="21.75" customHeight="1" x14ac:dyDescent="0.2">
      <c r="B38" s="4" t="s">
        <v>60</v>
      </c>
      <c r="C38" s="18"/>
      <c r="D38" s="6" t="s">
        <v>45</v>
      </c>
      <c r="E38" s="7" t="s">
        <v>61</v>
      </c>
    </row>
    <row r="39" spans="2:5" ht="21.75" customHeight="1" x14ac:dyDescent="0.2">
      <c r="B39" s="12" t="s">
        <v>62</v>
      </c>
      <c r="C39" s="19">
        <f>IF(COUNT(C32:C38)=ROWS(C32:C38),SUM(C32:C38),"")</f>
      </c>
      <c r="D39" s="14" t="s">
        <v>45</v>
      </c>
      <c r="E39" s="12"/>
    </row>
    <row r="40" spans="2:5" ht="21.75" customHeight="1" x14ac:dyDescent="0.2">
      <c r="B40" s="4"/>
      <c r="C40" s="11"/>
      <c r="D40" s="6"/>
      <c r="E40" s="7"/>
    </row>
    <row r="41" spans="2:5" ht="21.75" customHeight="1" x14ac:dyDescent="0.2">
      <c r="B41" s="12" t="s">
        <v>63</v>
      </c>
      <c r="C41" s="13"/>
      <c r="D41" s="14"/>
      <c r="E41" s="12"/>
    </row>
    <row r="42" spans="2:5" ht="21.75" customHeight="1" x14ac:dyDescent="0.2">
      <c r="B42" s="4" t="s">
        <v>64</v>
      </c>
      <c r="C42" s="17"/>
      <c r="D42" s="6" t="s">
        <v>39</v>
      </c>
      <c r="E42" s="7" t="s">
        <v>65</v>
      </c>
    </row>
    <row r="43" spans="2:5" ht="21.75" customHeight="1" x14ac:dyDescent="0.2">
      <c r="B43" s="4" t="s">
        <v>66</v>
      </c>
      <c r="C43" s="16"/>
      <c r="D43" s="6" t="s">
        <v>26</v>
      </c>
      <c r="E43" s="7" t="s">
        <v>67</v>
      </c>
    </row>
    <row r="44" spans="2:5" ht="21.75" customHeight="1" x14ac:dyDescent="0.2">
      <c r="B44" s="4"/>
      <c r="C44" s="11"/>
      <c r="D44" s="6"/>
      <c r="E44" s="7"/>
    </row>
    <row r="45" spans="2:5" ht="21.75" customHeight="1" x14ac:dyDescent="0.2">
      <c r="B45" s="12" t="s">
        <v>68</v>
      </c>
      <c r="C45" s="13"/>
      <c r="D45" s="14"/>
      <c r="E45" s="12"/>
    </row>
    <row r="46" spans="2:5" ht="21.75" customHeight="1" x14ac:dyDescent="0.2">
      <c r="B46" s="4" t="s">
        <v>69</v>
      </c>
      <c r="C46" s="20" t="inlineStr">
        <is>
          <t xml:space="preserve">Flat annual</t>
        </is>
      </c>
      <c r="D46" s="6" t="s">
        <v>70</v>
      </c>
      <c r="E46" s="7" t="s">
        <v>71</v>
      </c>
    </row>
    <row r="47" spans="2:5" ht="21.75" customHeight="1" x14ac:dyDescent="0.2">
      <c r="B47" s="4" t="s">
        <v>72</v>
      </c>
      <c r="C47" s="18">
        <v>0</v>
      </c>
      <c r="D47" s="6" t="s">
        <v>48</v>
      </c>
      <c r="E47" s="7" t="s">
        <v>73</v>
      </c>
    </row>
    <row r="48" spans="2:5" ht="21.75" customHeight="1" x14ac:dyDescent="0.2">
      <c r="B48" s="4" t="s">
        <v>74</v>
      </c>
      <c r="C48" s="18"/>
      <c r="D48" s="6" t="s">
        <v>48</v>
      </c>
      <c r="E48" s="7"/>
    </row>
    <row r="49" spans="2:5" ht="21.75" customHeight="1" x14ac:dyDescent="0.2">
      <c r="B49" s="4" t="s">
        <v>75</v>
      </c>
      <c r="C49" s="16"/>
      <c r="D49" s="6" t="s">
        <v>26</v>
      </c>
      <c r="E49" s="7"/>
    </row>
    <row r="50" spans="2:5" ht="21.75" customHeight="1" x14ac:dyDescent="0.2">
      <c r="B50" s="4" t="s">
        <v>76</v>
      </c>
      <c r="C50" s="15"/>
      <c r="D50" s="6" t="s">
        <v>77</v>
      </c>
      <c r="E50" s="7"/>
    </row>
    <row r="51" spans="2:5" ht="21.75" customHeight="1" x14ac:dyDescent="0.2">
      <c r="B51" s="4" t="s">
        <v>78</v>
      </c>
      <c r="C51" s="18"/>
      <c r="D51" s="6" t="s">
        <v>79</v>
      </c>
      <c r="E51" s="7"/>
    </row>
    <row r="52" spans="2:5" ht="21.75" customHeight="1" x14ac:dyDescent="0.2">
      <c r="B52" s="4" t="s">
        <v>80</v>
      </c>
      <c r="C52" s="18"/>
      <c r="D52" s="6" t="s">
        <v>81</v>
      </c>
      <c r="E52" s="7"/>
    </row>
    <row r="53" spans="2:5" ht="21.75" customHeight="1" x14ac:dyDescent="0.2">
      <c r="B53" s="12" t="s">
        <v>82</v>
      </c>
      <c r="C53" s="19" cm="1">
        <f t="array" ref="C53">IF(C46="Flat annual",IF(ISNUMBER(C47),C47,""),IF(C46="Insurance savings",IF(COUNT(C48:C49)=ROWS(C48:C49),C48*C49,""),IF(C46="Avoided downtime",IF(COUNT(C50:C51)=ROWS(C50:C51),C50*C51,""),IF(C46="Per-unit value",IF(AND(ISNUMBER(C8),ISNUMBER(C52)),C8*C52,""),""))))</f>
      </c>
      <c r="D53" s="14" t="s">
        <v>48</v>
      </c>
      <c r="E53" s="12"/>
    </row>
    <row r="54" spans="2:5" ht="21.75" customHeight="1" x14ac:dyDescent="0.2">
      <c r="B54" s="4"/>
      <c r="C54" s="11"/>
      <c r="D54" s="6"/>
      <c r="E54" s="7"/>
    </row>
    <row r="55" spans="2:5" ht="21.75" customHeight="1" x14ac:dyDescent="0.2">
      <c r="B55" s="12" t="s">
        <v>83</v>
      </c>
      <c r="C55" s="13"/>
      <c r="D55" s="14"/>
      <c r="E55" s="12"/>
    </row>
    <row r="56" spans="2:5" ht="21.75" customHeight="1" x14ac:dyDescent="0.2">
      <c r="B56" s="4" t="s">
        <v>84</v>
      </c>
      <c r="C56" s="21">
        <f>COUNT(Hourly_Operations!D6:D8765)</f>
      </c>
      <c r="D56" s="6" t="s">
        <v>85</v>
      </c>
      <c r="E56" s="7"/>
    </row>
    <row r="57" spans="2:5" ht="21.75" customHeight="1" x14ac:dyDescent="0.2">
      <c r="B57" s="4" t="s">
        <v>86</v>
      </c>
      <c r="C57" s="21">
        <f>COUNT(Hourly_Operations!E6:E8765)</f>
      </c>
      <c r="D57" s="6" t="s">
        <v>85</v>
      </c>
      <c r="E57" s="7"/>
    </row>
    <row r="58" spans="2:5" ht="21.75" customHeight="1" x14ac:dyDescent="0.2">
      <c r="B58" s="4" t="s">
        <v>87</v>
      </c>
      <c r="C58" s="21">
        <f>COUNTIF(Hourly_Operations!D6:D8765,"&lt;"&amp;$C$68)</f>
      </c>
      <c r="D58" s="6" t="s">
        <v>88</v>
      </c>
      <c r="E58" s="7"/>
    </row>
    <row r="59" spans="2:5" ht="21.75" customHeight="1" x14ac:dyDescent="0.2">
      <c r="B59" s="4" t="s">
        <v>89</v>
      </c>
      <c r="C59" s="21">
        <f>COUNTIF(Hourly_Operations!F6:F8765,"&lt;"&amp;$C$68)</f>
      </c>
      <c r="D59" s="6" t="s">
        <v>88</v>
      </c>
      <c r="E59" s="7" t="s">
        <v>90</v>
      </c>
    </row>
    <row r="60" spans="2:5" ht="21.75" customHeight="1" x14ac:dyDescent="0.2">
      <c r="B60" s="4" t="s">
        <v>91</v>
      </c>
      <c r="C60" s="2">
        <f>IFERROR(AND(ISNUMBER(C11),C11=DATE(YEAR(C11),$C$69,$C$69),DATE(YEAR(C11)+$C$69,$C$69,$C$69)-C11=$C$71),FALSE)</f>
      </c>
      <c r="D60" s="6" t="s">
        <v>92</v>
      </c>
      <c r="E60" s="7"/>
    </row>
    <row r="61" spans="2:5" ht="21.75" customHeight="1" x14ac:dyDescent="0.2">
      <c r="B61" s="4" t="s">
        <v>93</v>
      </c>
      <c r="C61" s="22">
        <f>AND(COUNT(Utility_Rates!F6:J17)=ROWS(Utility_Rates!F6:J17)*COLUMNS(Utility_Rates!F6:J17),COUNTIF(Utility_Rates!F6:J17,"&lt;"&amp;$C$68)=$C$68,COUNTIF(Utility_Rates!K6:K17,"Summer")+COUNTIF(Utility_Rates!K6:K17,"Winter")=$C$73,COUNTIF(Utility_Rates!C29:F52,"Peak")+COUNTIF(Utility_Rates!C29:F52,"Shoulder")+COUNTIF(Utility_Rates!C29:F52,"Off-peak")+COUNTIF(Utility_Rates!C29:F52,"Super off-peak")=ROWS(Utility_Rates!C29:F52)*COLUMNS(Utility_Rates!C29:F52))</f>
      </c>
      <c r="D61" s="6" t="s">
        <v>92</v>
      </c>
      <c r="E61" s="7" t="s">
        <v>94</v>
      </c>
    </row>
    <row r="62" spans="2:5" ht="21.75" customHeight="1" x14ac:dyDescent="0.2">
      <c r="B62" s="4" t="s">
        <v>95</v>
      </c>
      <c r="C62" s="2">
        <f>AND(C56=$C$72,C57=$C$72,C58=$C$68,C59=$C$68,C60,C61)</f>
      </c>
      <c r="D62" s="6" t="s">
        <v>92</v>
      </c>
      <c r="E62" s="7"/>
    </row>
    <row r="63" spans="2:5" ht="21.75" customHeight="1" x14ac:dyDescent="0.2">
      <c r="B63" s="4" t="s">
        <v>96</v>
      </c>
      <c r="C63" s="2">
        <f>AND(COUNT(C32:C38)=ROWS(C32:C38),COUNTIF(C32:C38,"&lt;"&amp;$C$68)=$C$68,SUM(C32:C38)&gt;$C$68)</f>
      </c>
      <c r="D63" s="6" t="s">
        <v>92</v>
      </c>
      <c r="E63" s="7"/>
    </row>
    <row r="64" spans="2:5" ht="21.75" customHeight="1" x14ac:dyDescent="0.2">
      <c r="B64" s="4" t="s">
        <v>97</v>
      </c>
      <c r="C64" s="22">
        <f>AND(C62,C63,ISNUMBER(C42),C42=INT(C42),C42&gt;=$C$69,C42&lt;=$C$75,ISNUMBER(C43),C43&gt;=C68,COUNT(C26:C29)=ROWS(C26:C29),C26=INT(C26),C26&gt;=C68,C26&lt;=C75,C27&gt;=C68,C28&gt;=C68,C29&gt;-$C$69,OR(C26=$C$68,C27&gt;$C$68),ISNUMBER(C53),C53&gt;=C68,COUNT(Utility_Rates!C22:C23)=ROWS(Utility_Rates!C22:C23),MIN(Utility_Rates!C22:C23)&gt;-$C$69)</f>
      </c>
      <c r="D64" s="6" t="s">
        <v>92</v>
      </c>
      <c r="E64" s="7"/>
    </row>
    <row r="65" spans="2:5" ht="28.5" customHeight="1" x14ac:dyDescent="0.2">
      <c r="B65" s="4" t="s">
        <v>98</v>
      </c>
      <c r="C65" s="23">
        <f>IF(NOT(C60),"Use Jan 1 of a non-leap year",IF(C58&gt;C68,"INVALID: negative baseline",IF(C59&gt;C68,"INVALID: grid exports",IF(OR(C56&lt;&gt;C72,C57&lt;&gt;C72),"Paste both 8,760-hour profiles",IF(NOT(C61),"Complete tariff rates / schedule",IF(NOT(C63),"Complete capital costs",IF(NOT(C64),"Check financial / resiliency inputs","Ready — review reference assumptions")))))))</f>
      </c>
      <c r="D65" s="6" t="s">
        <v>99</v>
      </c>
      <c r="E65" s="7"/>
    </row>
    <row r="66" spans="2:5" ht="21.75" customHeight="1" x14ac:dyDescent="0.2">
      <c r="B66" s="4"/>
      <c r="C66" s="11"/>
      <c r="D66" s="6"/>
      <c r="E66" s="7"/>
    </row>
    <row r="67" spans="2:5" ht="21.75" customHeight="1" x14ac:dyDescent="0.2">
      <c r="B67" s="24" t="s">
        <v>100</v>
      </c>
      <c r="C67" s="25"/>
      <c r="D67" s="26"/>
      <c r="E67" s="24"/>
    </row>
    <row r="68" spans="2:5" ht="21.75" customHeight="1" x14ac:dyDescent="0.2">
      <c r="B68" s="27" t="s">
        <v>101</v>
      </c>
      <c r="C68" s="28">
        <v>0</v>
      </c>
      <c r="D68" s="29" t="s">
        <v>102</v>
      </c>
      <c r="E68" s="30"/>
    </row>
    <row r="69" spans="2:5" ht="21.75" customHeight="1" x14ac:dyDescent="0.2">
      <c r="B69" s="27" t="s">
        <v>103</v>
      </c>
      <c r="C69" s="28">
        <v>1</v>
      </c>
      <c r="D69" s="29" t="s">
        <v>104</v>
      </c>
      <c r="E69" s="30"/>
    </row>
    <row r="70" spans="2:5" ht="21.75" customHeight="1" x14ac:dyDescent="0.2">
      <c r="B70" s="27" t="s">
        <v>105</v>
      </c>
      <c r="C70" s="28">
        <v>24</v>
      </c>
      <c r="D70" s="29" t="s">
        <v>106</v>
      </c>
      <c r="E70" s="30"/>
    </row>
    <row r="71" spans="2:5" ht="21.75" customHeight="1" x14ac:dyDescent="0.2">
      <c r="B71" s="27" t="s">
        <v>107</v>
      </c>
      <c r="C71" s="28">
        <v>365</v>
      </c>
      <c r="D71" s="29" t="s">
        <v>108</v>
      </c>
      <c r="E71" s="30"/>
    </row>
    <row r="72" spans="2:5" ht="21.75" customHeight="1" x14ac:dyDescent="0.2">
      <c r="B72" s="27" t="s">
        <v>109</v>
      </c>
      <c r="C72" s="31">
        <f>C70*C71</f>
      </c>
      <c r="D72" s="29" t="s">
        <v>106</v>
      </c>
      <c r="E72" s="30"/>
    </row>
    <row r="73" spans="2:5" ht="21.75" customHeight="1" x14ac:dyDescent="0.2">
      <c r="B73" s="27" t="s">
        <v>110</v>
      </c>
      <c r="C73" s="28">
        <v>12</v>
      </c>
      <c r="D73" s="29" t="s">
        <v>111</v>
      </c>
      <c r="E73" s="30"/>
    </row>
    <row r="74" spans="2:5" ht="21.75" customHeight="1" x14ac:dyDescent="0.2">
      <c r="B74" s="27" t="s">
        <v>112</v>
      </c>
      <c r="C74" s="28">
        <v>5</v>
      </c>
      <c r="D74" s="29" t="s">
        <v>113</v>
      </c>
      <c r="E74" s="30"/>
    </row>
    <row r="75" spans="2:5" ht="21.75" customHeight="1" x14ac:dyDescent="0.2">
      <c r="B75" s="27" t="s">
        <v>114</v>
      </c>
      <c r="C75" s="28">
        <v>25</v>
      </c>
      <c r="D75" s="29" t="s">
        <v>39</v>
      </c>
      <c r="E75" s="30"/>
    </row>
    <row r="76" spans="2:5" ht="21.75" customHeight="1" x14ac:dyDescent="0.2">
      <c r="B76" s="27" t="s">
        <v>115</v>
      </c>
      <c r="C76" s="28">
        <v>2</v>
      </c>
      <c r="D76" s="29" t="s">
        <v>116</v>
      </c>
      <c r="E76" s="30"/>
    </row>
  </sheetData>
  <conditionalFormatting sqref="C42">
    <cfRule type="expression" dxfId="2" priority="1">
      <formula>AND(ISNUMBER($C$25),$C$42&gt;$C$25)</formula>
    </cfRule>
  </conditionalFormatting>
  <dataValidations count="7">
    <dataValidation type="custom" allowBlank="1" showInputMessage="1" showErrorMessage="1" error="Use 0 for no replacement, or a whole year up to 25. Events beyond the analysis horizon are omitted." prompt="Use 0 for no replacement, or a whole year up to 25. Events beyond the analysis horizon are omitted." sqref="C26" xr:uid="{00000000-0002-0000-0000-000000000000}">
      <formula1>AND(ISNUMBER(C26),C26=INT(C26),C26&gt;=$C$68,C26&lt;=$C$75)</formula1>
    </dataValidation>
    <dataValidation type="custom" allowBlank="1" showInputMessage="1" showErrorMessage="1" error="Enter escalation greater than -100%." prompt="Enter escalation greater than -100%." sqref="C29" xr:uid="{00000000-0002-0000-0000-000001000000}">
      <formula1>AND(ISNUMBER(C29),C29&gt;-$C$69)</formula1>
    </dataValidation>
    <dataValidation type="custom" allowBlank="1" showInputMessage="1" showErrorMessage="1" error="Enter a percentage between 0% and 100%." prompt="Enter a percentage between 0% and 100%." sqref="C49 C18:C21 C24" xr:uid="{00000000-0002-0000-0000-000002000000}">
      <formula1>AND(ISNUMBER(C18),C18&gt;=$C$68,C18&lt;=$C$69)</formula1>
    </dataValidation>
    <dataValidation type="custom" allowBlank="1" showInputMessage="1" showErrorMessage="1" error="Enter a nonnegative number." prompt="Enter a nonnegative number." sqref="C50:C52 C8 C16:C17 C22:C23 C25 C27:C28 C32:C38 C43 C47:C48" xr:uid="{00000000-0002-0000-0000-000005000000}">
      <formula1>AND(ISNUMBER(C8),C8&gt;=$C$68)</formula1>
    </dataValidation>
    <dataValidation type="custom" allowBlank="1" showInputMessage="1" showErrorMessage="1" error="Use January 1 of a non-leap year." prompt="Use January 1 of a non-leap year." sqref="C11" xr:uid="{00000000-0002-0000-0000-00000E000000}">
      <formula1>$C$60</formula1>
    </dataValidation>
    <dataValidation type="custom" allowBlank="1" showInputMessage="1" showErrorMessage="1" error="Enter a whole number of years from 1 to 25." prompt="Enter a whole number of years from 1 to 25." sqref="C42" xr:uid="{00000000-0002-0000-0000-00000F000000}">
      <formula1>AND(ISNUMBER(C42),C42=INT(C42),C42&gt;=$C$69,C42&lt;=$C$75)</formula1>
    </dataValidation>
    <dataValidation type="list" allowBlank="1" showInputMessage="1" showErrorMessage="1" error="Select one resiliency valuation method." prompt="Select one resiliency valuation method." sqref="C46" xr:uid="{00000000-0002-0000-0000-000010000000}">
      <formula1>"Flat annual,Insurance savings,Avoided downtime,Per-unit value"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3128-DB97-CFB6-3AD3-3F8B489E82B6}">
  <dimension ref="A1:K57"/>
  <sheetViews>
    <sheetView showGridLines="0" workbookViewId="0">
      <pane ySplit="5" topLeftCell="A20" activePane="bottomLeft" state="frozen"/>
      <selection pane="bottomLeft"/>
    </sheetView>
  </sheetViews>
  <sheetFormatPr baseColWidth="10" defaultColWidth="7.83203125" defaultRowHeight="15" customHeight="1" x14ac:dyDescent="0.2"/>
  <cols>
    <col min="1" max="1" width="3" customWidth="1"/>
    <col min="2" max="2" width="33.1640625" customWidth="1"/>
    <col min="3" max="11" width="15.6640625" customWidth="1"/>
  </cols>
  <sheetData>
    <row r="2" spans="2:11" ht="24" customHeight="1" x14ac:dyDescent="0.2">
      <c r="B2" s="1" t="s">
        <v>117</v>
      </c>
      <c r="C2" s="1"/>
      <c r="D2" s="1"/>
      <c r="E2" s="1"/>
      <c r="F2" s="1"/>
      <c r="G2" s="1"/>
      <c r="H2" s="1"/>
      <c r="I2" s="1"/>
      <c r="J2" s="1"/>
      <c r="K2" s="1"/>
    </row>
    <row r="3" spans="2:11" ht="27" customHeight="1" x14ac:dyDescent="0.2">
      <c r="B3" s="2" t="s">
        <v>118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2">
      <c r="B4" s="2"/>
      <c r="C4" s="2"/>
      <c r="D4" s="2"/>
      <c r="E4" s="2"/>
      <c r="F4" s="2"/>
      <c r="G4" s="2" t="s">
        <v>119</v>
      </c>
      <c r="H4" s="2" t="s">
        <v>119</v>
      </c>
      <c r="I4" s="2" t="s">
        <v>119</v>
      </c>
      <c r="J4" s="2" t="s">
        <v>119</v>
      </c>
      <c r="K4" s="2"/>
    </row>
    <row r="5" spans="2:11" ht="33.75" customHeight="1" x14ac:dyDescent="0.2">
      <c r="B5" s="32" t="s">
        <v>120</v>
      </c>
      <c r="C5" s="32" t="s">
        <v>121</v>
      </c>
      <c r="D5" s="32" t="s">
        <v>122</v>
      </c>
      <c r="E5" s="32" t="s">
        <v>123</v>
      </c>
      <c r="F5" s="32" t="s">
        <v>124</v>
      </c>
      <c r="G5" s="32" t="s">
        <v>125</v>
      </c>
      <c r="H5" s="32" t="s">
        <v>126</v>
      </c>
      <c r="I5" s="32" t="s">
        <v>127</v>
      </c>
      <c r="J5" s="32" t="s">
        <v>128</v>
      </c>
      <c r="K5" s="32" t="s">
        <v>129</v>
      </c>
    </row>
    <row r="6" spans="2:11" ht="19.5" customHeight="1" x14ac:dyDescent="0.2">
      <c r="B6" s="33">
        <f>IF(Inputs!$C$60,DATE(YEAR(Inputs!$C$11),ROW()-ROW($B$5),Inputs!$C$69),"")</f>
      </c>
      <c r="C6" s="18"/>
      <c r="D6" s="15"/>
      <c r="E6" s="15"/>
      <c r="F6" s="18"/>
      <c r="G6" s="34"/>
      <c r="H6" s="34"/>
      <c r="I6" s="34"/>
      <c r="J6" s="34"/>
      <c r="K6" s="35" t="s">
        <v>130</v>
      </c>
    </row>
    <row r="7" spans="2:11" ht="19.5" customHeight="1" x14ac:dyDescent="0.2">
      <c r="B7" s="33">
        <f>IF(Inputs!$C$60,DATE(YEAR(Inputs!$C$11),ROW()-ROW($B$5),Inputs!$C$69),"")</f>
      </c>
      <c r="C7" s="18"/>
      <c r="D7" s="15"/>
      <c r="E7" s="15"/>
      <c r="F7" s="18"/>
      <c r="G7" s="34"/>
      <c r="H7" s="34"/>
      <c r="I7" s="34"/>
      <c r="J7" s="34"/>
      <c r="K7" s="35" t="s">
        <v>130</v>
      </c>
    </row>
    <row r="8" spans="2:11" ht="19.5" customHeight="1" x14ac:dyDescent="0.2">
      <c r="B8" s="33">
        <f>IF(Inputs!$C$60,DATE(YEAR(Inputs!$C$11),ROW()-ROW($B$5),Inputs!$C$69),"")</f>
      </c>
      <c r="C8" s="18"/>
      <c r="D8" s="15"/>
      <c r="E8" s="15"/>
      <c r="F8" s="18"/>
      <c r="G8" s="34"/>
      <c r="H8" s="34"/>
      <c r="I8" s="34"/>
      <c r="J8" s="34"/>
      <c r="K8" s="35" t="s">
        <v>130</v>
      </c>
    </row>
    <row r="9" spans="2:11" ht="19.5" customHeight="1" x14ac:dyDescent="0.2">
      <c r="B9" s="33">
        <f>IF(Inputs!$C$60,DATE(YEAR(Inputs!$C$11),ROW()-ROW($B$5),Inputs!$C$69),"")</f>
      </c>
      <c r="C9" s="18"/>
      <c r="D9" s="15"/>
      <c r="E9" s="15"/>
      <c r="F9" s="18"/>
      <c r="G9" s="34"/>
      <c r="H9" s="34"/>
      <c r="I9" s="34"/>
      <c r="J9" s="34"/>
      <c r="K9" s="35" t="s">
        <v>130</v>
      </c>
    </row>
    <row r="10" spans="2:11" ht="19.5" customHeight="1" x14ac:dyDescent="0.2">
      <c r="B10" s="33">
        <f>IF(Inputs!$C$60,DATE(YEAR(Inputs!$C$11),ROW()-ROW($B$5),Inputs!$C$69),"")</f>
      </c>
      <c r="C10" s="18"/>
      <c r="D10" s="15"/>
      <c r="E10" s="15"/>
      <c r="F10" s="18"/>
      <c r="G10" s="34"/>
      <c r="H10" s="34"/>
      <c r="I10" s="34"/>
      <c r="J10" s="34"/>
      <c r="K10" s="35" t="s">
        <v>130</v>
      </c>
    </row>
    <row r="11" spans="2:11" ht="19.5" customHeight="1" x14ac:dyDescent="0.2">
      <c r="B11" s="33">
        <f>IF(Inputs!$C$60,DATE(YEAR(Inputs!$C$11),ROW()-ROW($B$5),Inputs!$C$69),"")</f>
      </c>
      <c r="C11" s="18"/>
      <c r="D11" s="15"/>
      <c r="E11" s="15"/>
      <c r="F11" s="18"/>
      <c r="G11" s="34"/>
      <c r="H11" s="34"/>
      <c r="I11" s="34"/>
      <c r="J11" s="34"/>
      <c r="K11" s="35" t="s">
        <v>131</v>
      </c>
    </row>
    <row r="12" spans="2:11" ht="19.5" customHeight="1" x14ac:dyDescent="0.2">
      <c r="B12" s="33">
        <f>IF(Inputs!$C$60,DATE(YEAR(Inputs!$C$11),ROW()-ROW($B$5),Inputs!$C$69),"")</f>
      </c>
      <c r="C12" s="18"/>
      <c r="D12" s="15"/>
      <c r="E12" s="15"/>
      <c r="F12" s="18"/>
      <c r="G12" s="34"/>
      <c r="H12" s="34"/>
      <c r="I12" s="34"/>
      <c r="J12" s="34"/>
      <c r="K12" s="35" t="s">
        <v>131</v>
      </c>
    </row>
    <row r="13" spans="2:11" ht="19.5" customHeight="1" x14ac:dyDescent="0.2">
      <c r="B13" s="33">
        <f>IF(Inputs!$C$60,DATE(YEAR(Inputs!$C$11),ROW()-ROW($B$5),Inputs!$C$69),"")</f>
      </c>
      <c r="C13" s="18"/>
      <c r="D13" s="15"/>
      <c r="E13" s="15"/>
      <c r="F13" s="18"/>
      <c r="G13" s="34"/>
      <c r="H13" s="34"/>
      <c r="I13" s="34"/>
      <c r="J13" s="34"/>
      <c r="K13" s="35" t="s">
        <v>131</v>
      </c>
    </row>
    <row r="14" spans="2:11" ht="19.5" customHeight="1" x14ac:dyDescent="0.2">
      <c r="B14" s="33">
        <f>IF(Inputs!$C$60,DATE(YEAR(Inputs!$C$11),ROW()-ROW($B$5),Inputs!$C$69),"")</f>
      </c>
      <c r="C14" s="18"/>
      <c r="D14" s="15"/>
      <c r="E14" s="15"/>
      <c r="F14" s="18"/>
      <c r="G14" s="34"/>
      <c r="H14" s="34"/>
      <c r="I14" s="34"/>
      <c r="J14" s="34"/>
      <c r="K14" s="35" t="s">
        <v>131</v>
      </c>
    </row>
    <row r="15" spans="2:11" ht="19.5" customHeight="1" x14ac:dyDescent="0.2">
      <c r="B15" s="33">
        <f>IF(Inputs!$C$60,DATE(YEAR(Inputs!$C$11),ROW()-ROW($B$5),Inputs!$C$69),"")</f>
      </c>
      <c r="C15" s="18"/>
      <c r="D15" s="15"/>
      <c r="E15" s="15"/>
      <c r="F15" s="18"/>
      <c r="G15" s="34"/>
      <c r="H15" s="34"/>
      <c r="I15" s="34"/>
      <c r="J15" s="34"/>
      <c r="K15" s="35" t="s">
        <v>130</v>
      </c>
    </row>
    <row r="16" spans="2:11" ht="19.5" customHeight="1" x14ac:dyDescent="0.2">
      <c r="B16" s="33">
        <f>IF(Inputs!$C$60,DATE(YEAR(Inputs!$C$11),ROW()-ROW($B$5),Inputs!$C$69),"")</f>
      </c>
      <c r="C16" s="18"/>
      <c r="D16" s="15"/>
      <c r="E16" s="15"/>
      <c r="F16" s="18"/>
      <c r="G16" s="34"/>
      <c r="H16" s="34"/>
      <c r="I16" s="34"/>
      <c r="J16" s="34"/>
      <c r="K16" s="35" t="s">
        <v>130</v>
      </c>
    </row>
    <row r="17" spans="2:11" ht="19.5" customHeight="1" x14ac:dyDescent="0.2">
      <c r="B17" s="33">
        <f>IF(Inputs!$C$60,DATE(YEAR(Inputs!$C$11),ROW()-ROW($B$5),Inputs!$C$69),"")</f>
      </c>
      <c r="C17" s="18"/>
      <c r="D17" s="15"/>
      <c r="E17" s="15"/>
      <c r="F17" s="18"/>
      <c r="G17" s="34"/>
      <c r="H17" s="34"/>
      <c r="I17" s="34"/>
      <c r="J17" s="34"/>
      <c r="K17" s="35" t="s">
        <v>130</v>
      </c>
    </row>
    <row r="18" spans="2:11" ht="15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5" customHeight="1" x14ac:dyDescent="0.2">
      <c r="B19" s="3" t="s">
        <v>132</v>
      </c>
      <c r="C19" s="36">
        <f>IF(COUNT(C6:C17)=Inputs!$C$73,SUM(C6:C17),"")</f>
      </c>
      <c r="D19" s="2"/>
      <c r="E19" s="2"/>
      <c r="F19" s="2"/>
      <c r="G19" s="2"/>
      <c r="H19" s="2"/>
      <c r="I19" s="2"/>
      <c r="J19" s="2"/>
      <c r="K19" s="2"/>
    </row>
    <row r="20" spans="2:11" ht="15" customHeight="1" x14ac:dyDescent="0.2">
      <c r="B20" s="3" t="s">
        <v>133</v>
      </c>
      <c r="C20" s="3">
        <f>COUNT(C6:C17)</f>
      </c>
      <c r="D20" s="2"/>
      <c r="E20" s="2"/>
      <c r="F20" s="2"/>
      <c r="G20" s="2"/>
      <c r="H20" s="2"/>
      <c r="I20" s="2"/>
      <c r="J20" s="2"/>
      <c r="K20" s="2"/>
    </row>
    <row r="21" spans="2:11" ht="1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ht="15" customHeight="1" x14ac:dyDescent="0.2">
      <c r="B22" s="2" t="s">
        <v>134</v>
      </c>
      <c r="C22" s="16">
        <v>0</v>
      </c>
      <c r="D22" s="2"/>
      <c r="E22" s="2" t="s">
        <v>135</v>
      </c>
      <c r="F22" s="2"/>
      <c r="G22" s="2"/>
      <c r="H22" s="2"/>
      <c r="I22" s="2"/>
      <c r="J22" s="2"/>
      <c r="K22" s="2"/>
    </row>
    <row r="23" spans="2:11" ht="15" customHeight="1" x14ac:dyDescent="0.2">
      <c r="B23" s="2" t="s">
        <v>136</v>
      </c>
      <c r="C23" s="16">
        <v>0</v>
      </c>
      <c r="D23" s="2"/>
      <c r="E23" s="2" t="s">
        <v>137</v>
      </c>
      <c r="F23" s="2"/>
      <c r="G23" s="2"/>
      <c r="H23" s="2"/>
      <c r="I23" s="2"/>
      <c r="J23" s="2"/>
      <c r="K23" s="2"/>
    </row>
    <row r="24" spans="2:11" ht="1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ht="24" customHeight="1" x14ac:dyDescent="0.2">
      <c r="B25" s="3" t="s">
        <v>138</v>
      </c>
      <c r="C25" s="3"/>
      <c r="D25" s="3"/>
      <c r="E25" s="3"/>
      <c r="F25" s="3"/>
      <c r="G25" s="3"/>
      <c r="H25" s="3"/>
      <c r="I25" s="3"/>
      <c r="J25" s="3"/>
      <c r="K25" s="3"/>
    </row>
    <row r="26" spans="2:11" ht="15" customHeight="1" x14ac:dyDescent="0.2">
      <c r="B26" s="2" t="s">
        <v>139</v>
      </c>
      <c r="C26" s="2"/>
      <c r="D26" s="2"/>
      <c r="E26" s="2"/>
      <c r="F26" s="2"/>
      <c r="G26" s="2"/>
      <c r="H26" s="2"/>
      <c r="I26" s="2"/>
      <c r="J26" s="2"/>
      <c r="K26" s="2"/>
    </row>
    <row r="27" spans="2:11" ht="1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ht="30" customHeight="1" x14ac:dyDescent="0.2">
      <c r="B28" s="12" t="s">
        <v>140</v>
      </c>
      <c r="C28" s="12" t="s">
        <v>141</v>
      </c>
      <c r="D28" s="12" t="s">
        <v>142</v>
      </c>
      <c r="E28" s="12" t="s">
        <v>143</v>
      </c>
      <c r="F28" s="12" t="s">
        <v>144</v>
      </c>
      <c r="G28" s="2"/>
      <c r="H28" s="2"/>
      <c r="I28" s="2"/>
      <c r="J28" s="2"/>
      <c r="K28" s="2"/>
    </row>
    <row r="29" spans="2:11" ht="15" customHeight="1" x14ac:dyDescent="0.2">
      <c r="B29" s="37">
        <f t="shared" ref="B29:B52" si="0">ROW()-ROW($B$29)</f>
      </c>
      <c r="C29" s="35" t="s">
        <v>127</v>
      </c>
      <c r="D29" s="35" t="s">
        <v>127</v>
      </c>
      <c r="E29" s="35" t="s">
        <v>127</v>
      </c>
      <c r="F29" s="35" t="s">
        <v>127</v>
      </c>
      <c r="G29" s="2"/>
      <c r="H29" s="2"/>
      <c r="I29" s="2"/>
      <c r="J29" s="2"/>
      <c r="K29" s="2"/>
    </row>
    <row r="30" spans="2:11" ht="15" customHeight="1" x14ac:dyDescent="0.2">
      <c r="B30" s="37">
        <f t="shared" si="0"/>
      </c>
      <c r="C30" s="35" t="s">
        <v>127</v>
      </c>
      <c r="D30" s="35" t="s">
        <v>127</v>
      </c>
      <c r="E30" s="35" t="s">
        <v>127</v>
      </c>
      <c r="F30" s="35" t="s">
        <v>127</v>
      </c>
      <c r="G30" s="2"/>
      <c r="H30" s="2"/>
      <c r="I30" s="2"/>
      <c r="J30" s="2"/>
      <c r="K30" s="2"/>
    </row>
    <row r="31" spans="2:11" ht="15" customHeight="1" x14ac:dyDescent="0.2">
      <c r="B31" s="37">
        <f t="shared" si="0"/>
      </c>
      <c r="C31" s="35" t="s">
        <v>127</v>
      </c>
      <c r="D31" s="35" t="s">
        <v>127</v>
      </c>
      <c r="E31" s="35" t="s">
        <v>127</v>
      </c>
      <c r="F31" s="35" t="s">
        <v>127</v>
      </c>
      <c r="G31" s="2"/>
      <c r="H31" s="2"/>
      <c r="I31" s="2"/>
      <c r="J31" s="2"/>
      <c r="K31" s="2"/>
    </row>
    <row r="32" spans="2:11" ht="15" customHeight="1" x14ac:dyDescent="0.2">
      <c r="B32" s="37">
        <f t="shared" si="0"/>
      </c>
      <c r="C32" s="35" t="s">
        <v>127</v>
      </c>
      <c r="D32" s="35" t="s">
        <v>127</v>
      </c>
      <c r="E32" s="35" t="s">
        <v>127</v>
      </c>
      <c r="F32" s="35" t="s">
        <v>127</v>
      </c>
      <c r="G32" s="2"/>
      <c r="H32" s="2"/>
      <c r="I32" s="2"/>
      <c r="J32" s="2"/>
      <c r="K32" s="2"/>
    </row>
    <row r="33" spans="2:11" ht="15" customHeight="1" x14ac:dyDescent="0.2">
      <c r="B33" s="37">
        <f t="shared" si="0"/>
      </c>
      <c r="C33" s="35" t="s">
        <v>127</v>
      </c>
      <c r="D33" s="35" t="s">
        <v>127</v>
      </c>
      <c r="E33" s="35" t="s">
        <v>127</v>
      </c>
      <c r="F33" s="35" t="s">
        <v>127</v>
      </c>
      <c r="G33" s="2"/>
      <c r="H33" s="2"/>
      <c r="I33" s="2"/>
      <c r="J33" s="2"/>
      <c r="K33" s="2"/>
    </row>
    <row r="34" spans="2:11" ht="15" customHeight="1" x14ac:dyDescent="0.2">
      <c r="B34" s="37">
        <f t="shared" si="0"/>
      </c>
      <c r="C34" s="35" t="s">
        <v>127</v>
      </c>
      <c r="D34" s="35" t="s">
        <v>127</v>
      </c>
      <c r="E34" s="35" t="s">
        <v>127</v>
      </c>
      <c r="F34" s="35" t="s">
        <v>127</v>
      </c>
      <c r="G34" s="2"/>
      <c r="H34" s="2"/>
      <c r="I34" s="2"/>
      <c r="J34" s="2"/>
      <c r="K34" s="2"/>
    </row>
    <row r="35" spans="2:11" ht="15" customHeight="1" x14ac:dyDescent="0.2">
      <c r="B35" s="37">
        <f t="shared" si="0"/>
      </c>
      <c r="C35" s="35" t="s">
        <v>127</v>
      </c>
      <c r="D35" s="35" t="s">
        <v>127</v>
      </c>
      <c r="E35" s="35" t="s">
        <v>127</v>
      </c>
      <c r="F35" s="35" t="s">
        <v>127</v>
      </c>
      <c r="G35" s="2"/>
      <c r="H35" s="2"/>
      <c r="I35" s="2"/>
      <c r="J35" s="2"/>
      <c r="K35" s="2"/>
    </row>
    <row r="36" spans="2:11" ht="15" customHeight="1" x14ac:dyDescent="0.2">
      <c r="B36" s="37">
        <f t="shared" si="0"/>
      </c>
      <c r="C36" s="35" t="s">
        <v>127</v>
      </c>
      <c r="D36" s="35" t="s">
        <v>127</v>
      </c>
      <c r="E36" s="35" t="s">
        <v>127</v>
      </c>
      <c r="F36" s="35" t="s">
        <v>127</v>
      </c>
      <c r="G36" s="2"/>
      <c r="H36" s="2"/>
      <c r="I36" s="2"/>
      <c r="J36" s="2"/>
      <c r="K36" s="2"/>
    </row>
    <row r="37" spans="2:11" ht="15" customHeight="1" x14ac:dyDescent="0.2">
      <c r="B37" s="37">
        <f t="shared" si="0"/>
      </c>
      <c r="C37" s="35" t="s">
        <v>127</v>
      </c>
      <c r="D37" s="35" t="s">
        <v>127</v>
      </c>
      <c r="E37" s="35" t="s">
        <v>127</v>
      </c>
      <c r="F37" s="35" t="s">
        <v>127</v>
      </c>
      <c r="G37" s="2"/>
      <c r="H37" s="2"/>
      <c r="I37" s="2"/>
      <c r="J37" s="2"/>
      <c r="K37" s="2"/>
    </row>
    <row r="38" spans="2:11" ht="15" customHeight="1" x14ac:dyDescent="0.2">
      <c r="B38" s="37">
        <f t="shared" si="0"/>
      </c>
      <c r="C38" s="35" t="s">
        <v>127</v>
      </c>
      <c r="D38" s="35" t="s">
        <v>127</v>
      </c>
      <c r="E38" s="35" t="s">
        <v>127</v>
      </c>
      <c r="F38" s="35" t="s">
        <v>127</v>
      </c>
      <c r="G38" s="2"/>
      <c r="H38" s="2"/>
      <c r="I38" s="2"/>
      <c r="J38" s="2"/>
      <c r="K38" s="2"/>
    </row>
    <row r="39" spans="2:11" ht="15" customHeight="1" x14ac:dyDescent="0.2">
      <c r="B39" s="37">
        <f t="shared" si="0"/>
      </c>
      <c r="C39" s="35" t="s">
        <v>127</v>
      </c>
      <c r="D39" s="35" t="s">
        <v>127</v>
      </c>
      <c r="E39" s="35" t="s">
        <v>127</v>
      </c>
      <c r="F39" s="35" t="s">
        <v>127</v>
      </c>
      <c r="G39" s="2"/>
      <c r="H39" s="2"/>
      <c r="I39" s="2"/>
      <c r="J39" s="2"/>
      <c r="K39" s="2"/>
    </row>
    <row r="40" spans="2:11" ht="15" customHeight="1" x14ac:dyDescent="0.2">
      <c r="B40" s="37">
        <f t="shared" si="0"/>
      </c>
      <c r="C40" s="35" t="s">
        <v>127</v>
      </c>
      <c r="D40" s="35" t="s">
        <v>127</v>
      </c>
      <c r="E40" s="35" t="s">
        <v>127</v>
      </c>
      <c r="F40" s="35" t="s">
        <v>127</v>
      </c>
      <c r="G40" s="2"/>
      <c r="H40" s="2"/>
      <c r="I40" s="2"/>
      <c r="J40" s="2"/>
      <c r="K40" s="2"/>
    </row>
    <row r="41" spans="2:11" ht="15" customHeight="1" x14ac:dyDescent="0.2">
      <c r="B41" s="37">
        <f t="shared" si="0"/>
      </c>
      <c r="C41" s="35" t="s">
        <v>127</v>
      </c>
      <c r="D41" s="35" t="s">
        <v>127</v>
      </c>
      <c r="E41" s="35" t="s">
        <v>127</v>
      </c>
      <c r="F41" s="35" t="s">
        <v>127</v>
      </c>
      <c r="G41" s="2"/>
      <c r="H41" s="2"/>
      <c r="I41" s="2"/>
      <c r="J41" s="2"/>
      <c r="K41" s="2"/>
    </row>
    <row r="42" spans="2:11" ht="15" customHeight="1" x14ac:dyDescent="0.2">
      <c r="B42" s="37">
        <f t="shared" si="0"/>
      </c>
      <c r="C42" s="35" t="s">
        <v>127</v>
      </c>
      <c r="D42" s="35" t="s">
        <v>127</v>
      </c>
      <c r="E42" s="35" t="s">
        <v>127</v>
      </c>
      <c r="F42" s="35" t="s">
        <v>127</v>
      </c>
      <c r="G42" s="2"/>
      <c r="H42" s="2"/>
      <c r="I42" s="2"/>
      <c r="J42" s="2"/>
      <c r="K42" s="2"/>
    </row>
    <row r="43" spans="2:11" ht="15" customHeight="1" x14ac:dyDescent="0.2">
      <c r="B43" s="37">
        <f t="shared" si="0"/>
      </c>
      <c r="C43" s="35" t="s">
        <v>127</v>
      </c>
      <c r="D43" s="35" t="s">
        <v>127</v>
      </c>
      <c r="E43" s="35" t="s">
        <v>127</v>
      </c>
      <c r="F43" s="35" t="s">
        <v>127</v>
      </c>
      <c r="G43" s="2"/>
      <c r="H43" s="2"/>
      <c r="I43" s="2"/>
      <c r="J43" s="2"/>
      <c r="K43" s="2"/>
    </row>
    <row r="44" spans="2:11" ht="15" customHeight="1" x14ac:dyDescent="0.2">
      <c r="B44" s="37">
        <f t="shared" si="0"/>
      </c>
      <c r="C44" s="35" t="s">
        <v>127</v>
      </c>
      <c r="D44" s="35" t="s">
        <v>127</v>
      </c>
      <c r="E44" s="35" t="s">
        <v>127</v>
      </c>
      <c r="F44" s="35" t="s">
        <v>127</v>
      </c>
      <c r="G44" s="2"/>
      <c r="H44" s="2"/>
      <c r="I44" s="2"/>
      <c r="J44" s="2"/>
      <c r="K44" s="2"/>
    </row>
    <row r="45" spans="2:11" ht="15" customHeight="1" x14ac:dyDescent="0.2">
      <c r="B45" s="37">
        <f t="shared" si="0"/>
      </c>
      <c r="C45" s="35" t="s">
        <v>127</v>
      </c>
      <c r="D45" s="35" t="s">
        <v>127</v>
      </c>
      <c r="E45" s="35" t="s">
        <v>127</v>
      </c>
      <c r="F45" s="35" t="s">
        <v>127</v>
      </c>
      <c r="G45" s="2"/>
      <c r="H45" s="2"/>
      <c r="I45" s="2"/>
      <c r="J45" s="2"/>
      <c r="K45" s="2"/>
    </row>
    <row r="46" spans="2:11" ht="15" customHeight="1" x14ac:dyDescent="0.2">
      <c r="B46" s="37">
        <f t="shared" si="0"/>
      </c>
      <c r="C46" s="35" t="s">
        <v>127</v>
      </c>
      <c r="D46" s="35" t="s">
        <v>127</v>
      </c>
      <c r="E46" s="35" t="s">
        <v>127</v>
      </c>
      <c r="F46" s="35" t="s">
        <v>127</v>
      </c>
      <c r="G46" s="2"/>
      <c r="H46" s="2"/>
      <c r="I46" s="2"/>
      <c r="J46" s="2"/>
      <c r="K46" s="2"/>
    </row>
    <row r="47" spans="2:11" ht="15" customHeight="1" x14ac:dyDescent="0.2">
      <c r="B47" s="37">
        <f t="shared" si="0"/>
      </c>
      <c r="C47" s="35" t="s">
        <v>127</v>
      </c>
      <c r="D47" s="35" t="s">
        <v>127</v>
      </c>
      <c r="E47" s="35" t="s">
        <v>127</v>
      </c>
      <c r="F47" s="35" t="s">
        <v>127</v>
      </c>
      <c r="G47" s="2"/>
      <c r="H47" s="2"/>
      <c r="I47" s="2"/>
      <c r="J47" s="2"/>
      <c r="K47" s="2"/>
    </row>
    <row r="48" spans="2:11" ht="15" customHeight="1" x14ac:dyDescent="0.2">
      <c r="B48" s="37">
        <f t="shared" si="0"/>
      </c>
      <c r="C48" s="35" t="s">
        <v>127</v>
      </c>
      <c r="D48" s="35" t="s">
        <v>127</v>
      </c>
      <c r="E48" s="35" t="s">
        <v>127</v>
      </c>
      <c r="F48" s="35" t="s">
        <v>127</v>
      </c>
      <c r="G48" s="2"/>
      <c r="H48" s="2"/>
      <c r="I48" s="2"/>
      <c r="J48" s="2"/>
      <c r="K48" s="2"/>
    </row>
    <row r="49" spans="2:11" ht="15" customHeight="1" x14ac:dyDescent="0.2">
      <c r="B49" s="37">
        <f t="shared" si="0"/>
      </c>
      <c r="C49" s="35" t="s">
        <v>127</v>
      </c>
      <c r="D49" s="35" t="s">
        <v>127</v>
      </c>
      <c r="E49" s="35" t="s">
        <v>127</v>
      </c>
      <c r="F49" s="35" t="s">
        <v>127</v>
      </c>
      <c r="G49" s="2"/>
      <c r="H49" s="2"/>
      <c r="I49" s="2"/>
      <c r="J49" s="2"/>
      <c r="K49" s="2"/>
    </row>
    <row r="50" spans="2:11" ht="15" customHeight="1" x14ac:dyDescent="0.2">
      <c r="B50" s="37">
        <f t="shared" si="0"/>
      </c>
      <c r="C50" s="35" t="s">
        <v>127</v>
      </c>
      <c r="D50" s="35" t="s">
        <v>127</v>
      </c>
      <c r="E50" s="35" t="s">
        <v>127</v>
      </c>
      <c r="F50" s="35" t="s">
        <v>127</v>
      </c>
      <c r="G50" s="2"/>
      <c r="H50" s="2"/>
      <c r="I50" s="2"/>
      <c r="J50" s="2"/>
      <c r="K50" s="2"/>
    </row>
    <row r="51" spans="2:11" ht="15" customHeight="1" x14ac:dyDescent="0.2">
      <c r="B51" s="37">
        <f t="shared" si="0"/>
      </c>
      <c r="C51" s="35" t="s">
        <v>127</v>
      </c>
      <c r="D51" s="35" t="s">
        <v>127</v>
      </c>
      <c r="E51" s="35" t="s">
        <v>127</v>
      </c>
      <c r="F51" s="35" t="s">
        <v>127</v>
      </c>
      <c r="G51" s="2"/>
      <c r="H51" s="2"/>
      <c r="I51" s="2"/>
      <c r="J51" s="2"/>
      <c r="K51" s="2"/>
    </row>
    <row r="52" spans="2:11" ht="15" customHeight="1" x14ac:dyDescent="0.2">
      <c r="B52" s="37">
        <f t="shared" si="0"/>
      </c>
      <c r="C52" s="35" t="s">
        <v>127</v>
      </c>
      <c r="D52" s="35" t="s">
        <v>127</v>
      </c>
      <c r="E52" s="35" t="s">
        <v>127</v>
      </c>
      <c r="F52" s="35" t="s">
        <v>127</v>
      </c>
      <c r="G52" s="2"/>
      <c r="H52" s="2"/>
      <c r="I52" s="2"/>
      <c r="J52" s="2"/>
      <c r="K52" s="2"/>
    </row>
    <row r="53" spans="2:11" ht="1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ht="15" customHeight="1" x14ac:dyDescent="0.2">
      <c r="B54" s="2" t="s">
        <v>145</v>
      </c>
      <c r="C54" s="2"/>
      <c r="D54" s="2"/>
      <c r="E54" s="2"/>
      <c r="F54" s="2"/>
      <c r="G54" s="2"/>
      <c r="H54" s="2"/>
      <c r="I54" s="2"/>
      <c r="J54" s="2"/>
      <c r="K54" s="2"/>
    </row>
    <row r="55" spans="2:11" ht="15" customHeight="1" x14ac:dyDescent="0.2">
      <c r="B55" s="2" t="s">
        <v>146</v>
      </c>
      <c r="C55" s="2"/>
      <c r="D55" s="2"/>
      <c r="E55" s="2"/>
      <c r="F55" s="2"/>
      <c r="G55" s="2"/>
      <c r="H55" s="2"/>
      <c r="I55" s="2"/>
      <c r="J55" s="2"/>
      <c r="K55" s="2"/>
    </row>
    <row r="57">
      <c r="B57" s="2" t="inlineStr">
        <is>
          <t xml:space="preserve">When filled by the SC 8 Battery Wizard: Demand ($/kW-mo) is the effective baseline rate (all demand charges over the 15-minute billing peak) and every TOU column holds the month's average all-in $/kWh, taxes included. They drive the readiness checks and the bill reconciliation; Value_Streams carries the exact savings.</t>
        </is>
      </c>
    </row>
  </sheetData>
  <dataValidations count="2">
    <dataValidation type="list" allowBlank="1" showInputMessage="1" showErrorMessage="1" error="Choose the TOU period for this hour." prompt="Choose the TOU period for this hour." sqref="C29:F52" xr:uid="{00000000-0002-0000-0100-000000000000}">
      <formula1>"Peak,Shoulder,Off-peak,Super off-peak"</formula1>
    </dataValidation>
    <dataValidation type="list" allowBlank="1" showInputMessage="1" showErrorMessage="1" error="Choose the season for this month." prompt="Choose the season for this month." sqref="K6:K17" xr:uid="{00000000-0002-0000-0100-000001000000}">
      <formula1>"Summer,Winter"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="Enter escalation greater than -100%." prompt="Enter escalation greater than -100%." xr:uid="{00000000-0002-0000-0100-000002000000}">
          <x14:formula1>
            <xm:f>AND(ISNUMBER(C22),C22&gt;-Inputs!$C$69)</xm:f>
          </x14:formula1>
          <xm:sqref>C22:C23</xm:sqref>
        </x14:dataValidation>
        <x14:dataValidation type="custom" allowBlank="1" showInputMessage="1" showErrorMessage="1" error="Enter a nonnegative number; use zero for unused rate periods." prompt="Enter a nonnegative number; use zero for unused rate periods." xr:uid="{00000000-0002-0000-0100-000003000000}">
          <x14:formula1>
            <xm:f>AND(ISNUMBER(C6),C6&gt;=Inputs!$C$68)</xm:f>
          </x14:formula1>
          <xm:sqref>C6:J17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8A8-F003-E448-C6B8-01A1BD36B3FB}">
  <dimension ref="B2:J876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6" sqref="J6"/>
    </sheetView>
  </sheetViews>
  <sheetFormatPr baseColWidth="10" defaultColWidth="7.83203125" defaultRowHeight="15" customHeight="1" x14ac:dyDescent="0.2"/>
  <cols>
    <col min="1" max="1" width="3" customWidth="1"/>
    <col min="2" max="2" width="8.83203125" customWidth="1"/>
    <col min="3" max="3" width="19.33203125" customWidth="1"/>
    <col min="4" max="10" width="17.5" customWidth="1"/>
  </cols>
  <sheetData>
    <row r="2" spans="2:10" ht="24" customHeight="1" x14ac:dyDescent="0.2">
      <c r="B2" s="1" t="s">
        <v>147</v>
      </c>
      <c r="C2" s="1"/>
      <c r="D2" s="1"/>
      <c r="E2" s="1"/>
      <c r="F2" s="1"/>
      <c r="G2" s="1"/>
      <c r="H2" s="1"/>
      <c r="I2" s="1"/>
      <c r="J2" s="1"/>
    </row>
    <row r="3" spans="2:10" ht="27" customHeight="1" x14ac:dyDescent="0.2">
      <c r="B3" s="2" t="inlineStr">
        <is>
          <t xml:space="preserve">Filled by the SC 8 Battery Wizard: D baseline and E dispatch are hourly averages of its 15-minute run (positive = discharge); H is the all-in energy rate for the hour, taxes included.</t>
        </is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38" cm="1">
        <f t="array" ref="B4">Inputs!C65</f>
      </c>
      <c r="C4" s="2"/>
      <c r="D4" s="2"/>
      <c r="E4" s="2"/>
      <c r="F4" s="2"/>
      <c r="G4" s="2"/>
      <c r="H4" s="2"/>
      <c r="I4" s="2"/>
      <c r="J4" s="2"/>
    </row>
    <row r="5" spans="2:10" ht="33" customHeight="1" x14ac:dyDescent="0.2">
      <c r="B5" s="32" t="s">
        <v>149</v>
      </c>
      <c r="C5" s="32" t="s">
        <v>150</v>
      </c>
      <c r="D5" s="32" t="s">
        <v>151</v>
      </c>
      <c r="E5" s="32" t="s">
        <v>152</v>
      </c>
      <c r="F5" s="32" t="s">
        <v>153</v>
      </c>
      <c r="G5" s="32" t="s">
        <v>154</v>
      </c>
      <c r="H5" s="32" t="s">
        <v>155</v>
      </c>
      <c r="I5" s="32" t="s">
        <v>156</v>
      </c>
      <c r="J5" s="32" t="s">
        <v>157</v>
      </c>
    </row>
    <row r="6" spans="2:10" ht="15" customHeight="1" x14ac:dyDescent="0.2">
      <c r="B6" s="39">
        <f t="shared" ref="B6:B260" si="0">ROW()-ROW($B$5)</f>
      </c>
      <c r="C6" s="40">
        <f>IF(Inputs!$C$60,Inputs!$C$11+(B6-Inputs!$C$69)/Inputs!$C$70,"")</f>
      </c>
      <c r="D6" s="15"/>
      <c r="E6" s="15"/>
      <c r="F6" s="11">
        <f t="shared" ref="F6:F260" si="1">IF(COUNT(D6:E6)=COLUMNS(D6:E6),D6-E6,"")</f>
      </c>
      <c r="G6" s="22" cm="1">
        <f t="array" ref="G6">IF(AND(Inputs!$C$60,Inputs!$C$61),INDEX(Utility_Rates!$C$29:$F$52,HOUR(C6)+Inputs!$C$69,MATCH(INDEX(Utility_Rates!$K$6:$K$17,MONTH(C6))&amp;IF(WEEKDAY(C6,Inputs!$C$76)&lt;=Inputs!$C$74," weekday"," weekend"),Utility_Rates!$C$28:$F$28,Inputs!$C$68)),"")</f>
      </c>
      <c r="H6" s="34"/>
      <c r="I6" s="42">
        <f>IF(AND(ISNUMBER(D6),ISNUMBER(H6)),D6*H6*Inputs!$C$69,"")</f>
      </c>
      <c r="J6" s="42">
        <f>IF(AND(ISNUMBER(F6),ISNUMBER(H6),F6&gt;=Inputs!$C$68),F6*H6*Inputs!$C$69,"")</f>
      </c>
    </row>
    <row r="7" spans="2:10" ht="15" customHeight="1" x14ac:dyDescent="0.2">
      <c r="B7" s="39">
        <f t="shared" si="0"/>
      </c>
      <c r="C7" s="40">
        <f>IF(Inputs!$C$60,Inputs!$C$11+(B7-Inputs!$C$69)/Inputs!$C$70,"")</f>
      </c>
      <c r="D7" s="15"/>
      <c r="E7" s="15"/>
      <c r="F7" s="11">
        <f t="shared" si="1"/>
      </c>
      <c r="G7" s="22" cm="1">
        <f t="array" ref="G7">IF(AND(Inputs!$C$60,Inputs!$C$61),INDEX(Utility_Rates!$C$29:$F$52,HOUR(C7)+Inputs!$C$69,MATCH(INDEX(Utility_Rates!$K$6:$K$17,MONTH(C7))&amp;IF(WEEKDAY(C7,Inputs!$C$76)&lt;=Inputs!$C$74," weekday"," weekend"),Utility_Rates!$C$28:$F$28,Inputs!$C$68)),"")</f>
      </c>
      <c r="H7" s="34"/>
      <c r="I7" s="42">
        <f>IF(AND(ISNUMBER(D7),ISNUMBER(H7)),D7*H7*Inputs!$C$69,"")</f>
      </c>
      <c r="J7" s="42">
        <f>IF(AND(ISNUMBER(F7),ISNUMBER(H7),F7&gt;=Inputs!$C$68),F7*H7*Inputs!$C$69,"")</f>
      </c>
    </row>
    <row r="8" spans="2:10" ht="15" customHeight="1" x14ac:dyDescent="0.2">
      <c r="B8" s="39">
        <f t="shared" si="0"/>
      </c>
      <c r="C8" s="40">
        <f>IF(Inputs!$C$60,Inputs!$C$11+(B8-Inputs!$C$69)/Inputs!$C$70,"")</f>
      </c>
      <c r="D8" s="15"/>
      <c r="E8" s="15"/>
      <c r="F8" s="11">
        <f t="shared" si="1"/>
      </c>
      <c r="G8" s="22" cm="1">
        <f t="array" ref="G8">IF(AND(Inputs!$C$60,Inputs!$C$61),INDEX(Utility_Rates!$C$29:$F$52,HOUR(C8)+Inputs!$C$69,MATCH(INDEX(Utility_Rates!$K$6:$K$17,MONTH(C8))&amp;IF(WEEKDAY(C8,Inputs!$C$76)&lt;=Inputs!$C$74," weekday"," weekend"),Utility_Rates!$C$28:$F$28,Inputs!$C$68)),"")</f>
      </c>
      <c r="H8" s="34"/>
      <c r="I8" s="42">
        <f>IF(AND(ISNUMBER(D8),ISNUMBER(H8)),D8*H8*Inputs!$C$69,"")</f>
      </c>
      <c r="J8" s="42">
        <f>IF(AND(ISNUMBER(F8),ISNUMBER(H8),F8&gt;=Inputs!$C$68),F8*H8*Inputs!$C$69,"")</f>
      </c>
    </row>
    <row r="9" spans="2:10" ht="15" customHeight="1" x14ac:dyDescent="0.2">
      <c r="B9" s="39">
        <f t="shared" si="0"/>
      </c>
      <c r="C9" s="40">
        <f>IF(Inputs!$C$60,Inputs!$C$11+(B9-Inputs!$C$69)/Inputs!$C$70,"")</f>
      </c>
      <c r="D9" s="15"/>
      <c r="E9" s="15"/>
      <c r="F9" s="11">
        <f t="shared" si="1"/>
      </c>
      <c r="G9" s="22" cm="1">
        <f t="array" ref="G9">IF(AND(Inputs!$C$60,Inputs!$C$61),INDEX(Utility_Rates!$C$29:$F$52,HOUR(C9)+Inputs!$C$69,MATCH(INDEX(Utility_Rates!$K$6:$K$17,MONTH(C9))&amp;IF(WEEKDAY(C9,Inputs!$C$76)&lt;=Inputs!$C$74," weekday"," weekend"),Utility_Rates!$C$28:$F$28,Inputs!$C$68)),"")</f>
      </c>
      <c r="H9" s="34"/>
      <c r="I9" s="42">
        <f>IF(AND(ISNUMBER(D9),ISNUMBER(H9)),D9*H9*Inputs!$C$69,"")</f>
      </c>
      <c r="J9" s="42">
        <f>IF(AND(ISNUMBER(F9),ISNUMBER(H9),F9&gt;=Inputs!$C$68),F9*H9*Inputs!$C$69,"")</f>
      </c>
    </row>
    <row r="10" spans="2:10" ht="15" customHeight="1" x14ac:dyDescent="0.2">
      <c r="B10" s="39">
        <f t="shared" si="0"/>
      </c>
      <c r="C10" s="40">
        <f>IF(Inputs!$C$60,Inputs!$C$11+(B10-Inputs!$C$69)/Inputs!$C$70,"")</f>
      </c>
      <c r="D10" s="15"/>
      <c r="E10" s="15"/>
      <c r="F10" s="11">
        <f t="shared" si="1"/>
      </c>
      <c r="G10" s="22" cm="1">
        <f t="array" ref="G10">IF(AND(Inputs!$C$60,Inputs!$C$61),INDEX(Utility_Rates!$C$29:$F$52,HOUR(C10)+Inputs!$C$69,MATCH(INDEX(Utility_Rates!$K$6:$K$17,MONTH(C10))&amp;IF(WEEKDAY(C10,Inputs!$C$76)&lt;=Inputs!$C$74," weekday"," weekend"),Utility_Rates!$C$28:$F$28,Inputs!$C$68)),"")</f>
      </c>
      <c r="H10" s="34"/>
      <c r="I10" s="42">
        <f>IF(AND(ISNUMBER(D10),ISNUMBER(H10)),D10*H10*Inputs!$C$69,"")</f>
      </c>
      <c r="J10" s="42">
        <f>IF(AND(ISNUMBER(F10),ISNUMBER(H10),F10&gt;=Inputs!$C$68),F10*H10*Inputs!$C$69,"")</f>
      </c>
    </row>
    <row r="11" spans="2:10" ht="15" customHeight="1" x14ac:dyDescent="0.2">
      <c r="B11" s="39">
        <f t="shared" si="0"/>
      </c>
      <c r="C11" s="40">
        <f>IF(Inputs!$C$60,Inputs!$C$11+(B11-Inputs!$C$69)/Inputs!$C$70,"")</f>
      </c>
      <c r="D11" s="15"/>
      <c r="E11" s="15"/>
      <c r="F11" s="11">
        <f t="shared" si="1"/>
      </c>
      <c r="G11" s="22" cm="1">
        <f t="array" ref="G11">IF(AND(Inputs!$C$60,Inputs!$C$61),INDEX(Utility_Rates!$C$29:$F$52,HOUR(C11)+Inputs!$C$69,MATCH(INDEX(Utility_Rates!$K$6:$K$17,MONTH(C11))&amp;IF(WEEKDAY(C11,Inputs!$C$76)&lt;=Inputs!$C$74," weekday"," weekend"),Utility_Rates!$C$28:$F$28,Inputs!$C$68)),"")</f>
      </c>
      <c r="H11" s="34"/>
      <c r="I11" s="42">
        <f>IF(AND(ISNUMBER(D11),ISNUMBER(H11)),D11*H11*Inputs!$C$69,"")</f>
      </c>
      <c r="J11" s="42">
        <f>IF(AND(ISNUMBER(F11),ISNUMBER(H11),F11&gt;=Inputs!$C$68),F11*H11*Inputs!$C$69,"")</f>
      </c>
    </row>
    <row r="12" spans="2:10" ht="15" customHeight="1" x14ac:dyDescent="0.2">
      <c r="B12" s="39">
        <f t="shared" si="0"/>
      </c>
      <c r="C12" s="40">
        <f>IF(Inputs!$C$60,Inputs!$C$11+(B12-Inputs!$C$69)/Inputs!$C$70,"")</f>
      </c>
      <c r="D12" s="15"/>
      <c r="E12" s="15"/>
      <c r="F12" s="11">
        <f t="shared" si="1"/>
      </c>
      <c r="G12" s="22" cm="1">
        <f t="array" ref="G12">IF(AND(Inputs!$C$60,Inputs!$C$61),INDEX(Utility_Rates!$C$29:$F$52,HOUR(C12)+Inputs!$C$69,MATCH(INDEX(Utility_Rates!$K$6:$K$17,MONTH(C12))&amp;IF(WEEKDAY(C12,Inputs!$C$76)&lt;=Inputs!$C$74," weekday"," weekend"),Utility_Rates!$C$28:$F$28,Inputs!$C$68)),"")</f>
      </c>
      <c r="H12" s="34"/>
      <c r="I12" s="42">
        <f>IF(AND(ISNUMBER(D12),ISNUMBER(H12)),D12*H12*Inputs!$C$69,"")</f>
      </c>
      <c r="J12" s="42">
        <f>IF(AND(ISNUMBER(F12),ISNUMBER(H12),F12&gt;=Inputs!$C$68),F12*H12*Inputs!$C$69,"")</f>
      </c>
    </row>
    <row r="13" spans="2:10" ht="15" customHeight="1" x14ac:dyDescent="0.2">
      <c r="B13" s="39">
        <f t="shared" si="0"/>
      </c>
      <c r="C13" s="40">
        <f>IF(Inputs!$C$60,Inputs!$C$11+(B13-Inputs!$C$69)/Inputs!$C$70,"")</f>
      </c>
      <c r="D13" s="15"/>
      <c r="E13" s="15"/>
      <c r="F13" s="11">
        <f t="shared" si="1"/>
      </c>
      <c r="G13" s="22" cm="1">
        <f t="array" ref="G13">IF(AND(Inputs!$C$60,Inputs!$C$61),INDEX(Utility_Rates!$C$29:$F$52,HOUR(C13)+Inputs!$C$69,MATCH(INDEX(Utility_Rates!$K$6:$K$17,MONTH(C13))&amp;IF(WEEKDAY(C13,Inputs!$C$76)&lt;=Inputs!$C$74," weekday"," weekend"),Utility_Rates!$C$28:$F$28,Inputs!$C$68)),"")</f>
      </c>
      <c r="H13" s="34"/>
      <c r="I13" s="42">
        <f>IF(AND(ISNUMBER(D13),ISNUMBER(H13)),D13*H13*Inputs!$C$69,"")</f>
      </c>
      <c r="J13" s="42">
        <f>IF(AND(ISNUMBER(F13),ISNUMBER(H13),F13&gt;=Inputs!$C$68),F13*H13*Inputs!$C$69,"")</f>
      </c>
    </row>
    <row r="14" spans="2:10" ht="15" customHeight="1" x14ac:dyDescent="0.2">
      <c r="B14" s="39">
        <f t="shared" si="0"/>
      </c>
      <c r="C14" s="40">
        <f>IF(Inputs!$C$60,Inputs!$C$11+(B14-Inputs!$C$69)/Inputs!$C$70,"")</f>
      </c>
      <c r="D14" s="15"/>
      <c r="E14" s="15"/>
      <c r="F14" s="11">
        <f t="shared" si="1"/>
      </c>
      <c r="G14" s="22" cm="1">
        <f t="array" ref="G14">IF(AND(Inputs!$C$60,Inputs!$C$61),INDEX(Utility_Rates!$C$29:$F$52,HOUR(C14)+Inputs!$C$69,MATCH(INDEX(Utility_Rates!$K$6:$K$17,MONTH(C14))&amp;IF(WEEKDAY(C14,Inputs!$C$76)&lt;=Inputs!$C$74," weekday"," weekend"),Utility_Rates!$C$28:$F$28,Inputs!$C$68)),"")</f>
      </c>
      <c r="H14" s="34"/>
      <c r="I14" s="42">
        <f>IF(AND(ISNUMBER(D14),ISNUMBER(H14)),D14*H14*Inputs!$C$69,"")</f>
      </c>
      <c r="J14" s="42">
        <f>IF(AND(ISNUMBER(F14),ISNUMBER(H14),F14&gt;=Inputs!$C$68),F14*H14*Inputs!$C$69,"")</f>
      </c>
    </row>
    <row r="15" spans="2:10" ht="15" customHeight="1" x14ac:dyDescent="0.2">
      <c r="B15" s="39">
        <f t="shared" si="0"/>
      </c>
      <c r="C15" s="40">
        <f>IF(Inputs!$C$60,Inputs!$C$11+(B15-Inputs!$C$69)/Inputs!$C$70,"")</f>
      </c>
      <c r="D15" s="15"/>
      <c r="E15" s="15"/>
      <c r="F15" s="11">
        <f t="shared" si="1"/>
      </c>
      <c r="G15" s="22" cm="1">
        <f t="array" ref="G15">IF(AND(Inputs!$C$60,Inputs!$C$61),INDEX(Utility_Rates!$C$29:$F$52,HOUR(C15)+Inputs!$C$69,MATCH(INDEX(Utility_Rates!$K$6:$K$17,MONTH(C15))&amp;IF(WEEKDAY(C15,Inputs!$C$76)&lt;=Inputs!$C$74," weekday"," weekend"),Utility_Rates!$C$28:$F$28,Inputs!$C$68)),"")</f>
      </c>
      <c r="H15" s="34"/>
      <c r="I15" s="42">
        <f>IF(AND(ISNUMBER(D15),ISNUMBER(H15)),D15*H15*Inputs!$C$69,"")</f>
      </c>
      <c r="J15" s="42">
        <f>IF(AND(ISNUMBER(F15),ISNUMBER(H15),F15&gt;=Inputs!$C$68),F15*H15*Inputs!$C$69,"")</f>
      </c>
    </row>
    <row r="16" spans="2:10" ht="15" customHeight="1" x14ac:dyDescent="0.2">
      <c r="B16" s="39">
        <f t="shared" si="0"/>
      </c>
      <c r="C16" s="40">
        <f>IF(Inputs!$C$60,Inputs!$C$11+(B16-Inputs!$C$69)/Inputs!$C$70,"")</f>
      </c>
      <c r="D16" s="15"/>
      <c r="E16" s="15"/>
      <c r="F16" s="11">
        <f t="shared" si="1"/>
      </c>
      <c r="G16" s="22" cm="1">
        <f t="array" ref="G16">IF(AND(Inputs!$C$60,Inputs!$C$61),INDEX(Utility_Rates!$C$29:$F$52,HOUR(C16)+Inputs!$C$69,MATCH(INDEX(Utility_Rates!$K$6:$K$17,MONTH(C16))&amp;IF(WEEKDAY(C16,Inputs!$C$76)&lt;=Inputs!$C$74," weekday"," weekend"),Utility_Rates!$C$28:$F$28,Inputs!$C$68)),"")</f>
      </c>
      <c r="H16" s="34"/>
      <c r="I16" s="42">
        <f>IF(AND(ISNUMBER(D16),ISNUMBER(H16)),D16*H16*Inputs!$C$69,"")</f>
      </c>
      <c r="J16" s="42">
        <f>IF(AND(ISNUMBER(F16),ISNUMBER(H16),F16&gt;=Inputs!$C$68),F16*H16*Inputs!$C$69,"")</f>
      </c>
    </row>
    <row r="17" spans="2:10" ht="15" customHeight="1" x14ac:dyDescent="0.2">
      <c r="B17" s="39">
        <f t="shared" si="0"/>
      </c>
      <c r="C17" s="40">
        <f>IF(Inputs!$C$60,Inputs!$C$11+(B17-Inputs!$C$69)/Inputs!$C$70,"")</f>
      </c>
      <c r="D17" s="15"/>
      <c r="E17" s="15"/>
      <c r="F17" s="11">
        <f t="shared" si="1"/>
      </c>
      <c r="G17" s="22" cm="1">
        <f t="array" ref="G17">IF(AND(Inputs!$C$60,Inputs!$C$61),INDEX(Utility_Rates!$C$29:$F$52,HOUR(C17)+Inputs!$C$69,MATCH(INDEX(Utility_Rates!$K$6:$K$17,MONTH(C17))&amp;IF(WEEKDAY(C17,Inputs!$C$76)&lt;=Inputs!$C$74," weekday"," weekend"),Utility_Rates!$C$28:$F$28,Inputs!$C$68)),"")</f>
      </c>
      <c r="H17" s="34"/>
      <c r="I17" s="42">
        <f>IF(AND(ISNUMBER(D17),ISNUMBER(H17)),D17*H17*Inputs!$C$69,"")</f>
      </c>
      <c r="J17" s="42">
        <f>IF(AND(ISNUMBER(F17),ISNUMBER(H17),F17&gt;=Inputs!$C$68),F17*H17*Inputs!$C$69,"")</f>
      </c>
    </row>
    <row r="18" spans="2:10" ht="15" customHeight="1" x14ac:dyDescent="0.2">
      <c r="B18" s="39">
        <f t="shared" si="0"/>
      </c>
      <c r="C18" s="40">
        <f>IF(Inputs!$C$60,Inputs!$C$11+(B18-Inputs!$C$69)/Inputs!$C$70,"")</f>
      </c>
      <c r="D18" s="15"/>
      <c r="E18" s="15"/>
      <c r="F18" s="11">
        <f t="shared" si="1"/>
      </c>
      <c r="G18" s="22" cm="1">
        <f t="array" ref="G18">IF(AND(Inputs!$C$60,Inputs!$C$61),INDEX(Utility_Rates!$C$29:$F$52,HOUR(C18)+Inputs!$C$69,MATCH(INDEX(Utility_Rates!$K$6:$K$17,MONTH(C18))&amp;IF(WEEKDAY(C18,Inputs!$C$76)&lt;=Inputs!$C$74," weekday"," weekend"),Utility_Rates!$C$28:$F$28,Inputs!$C$68)),"")</f>
      </c>
      <c r="H18" s="34"/>
      <c r="I18" s="42">
        <f>IF(AND(ISNUMBER(D18),ISNUMBER(H18)),D18*H18*Inputs!$C$69,"")</f>
      </c>
      <c r="J18" s="42">
        <f>IF(AND(ISNUMBER(F18),ISNUMBER(H18),F18&gt;=Inputs!$C$68),F18*H18*Inputs!$C$69,"")</f>
      </c>
    </row>
    <row r="19" spans="2:10" ht="15" customHeight="1" x14ac:dyDescent="0.2">
      <c r="B19" s="39">
        <f t="shared" si="0"/>
      </c>
      <c r="C19" s="40">
        <f>IF(Inputs!$C$60,Inputs!$C$11+(B19-Inputs!$C$69)/Inputs!$C$70,"")</f>
      </c>
      <c r="D19" s="15"/>
      <c r="E19" s="15"/>
      <c r="F19" s="11">
        <f t="shared" si="1"/>
      </c>
      <c r="G19" s="22" cm="1">
        <f t="array" ref="G19">IF(AND(Inputs!$C$60,Inputs!$C$61),INDEX(Utility_Rates!$C$29:$F$52,HOUR(C19)+Inputs!$C$69,MATCH(INDEX(Utility_Rates!$K$6:$K$17,MONTH(C19))&amp;IF(WEEKDAY(C19,Inputs!$C$76)&lt;=Inputs!$C$74," weekday"," weekend"),Utility_Rates!$C$28:$F$28,Inputs!$C$68)),"")</f>
      </c>
      <c r="H19" s="34"/>
      <c r="I19" s="42">
        <f>IF(AND(ISNUMBER(D19),ISNUMBER(H19)),D19*H19*Inputs!$C$69,"")</f>
      </c>
      <c r="J19" s="42">
        <f>IF(AND(ISNUMBER(F19),ISNUMBER(H19),F19&gt;=Inputs!$C$68),F19*H19*Inputs!$C$69,"")</f>
      </c>
    </row>
    <row r="20" spans="2:10" ht="15" customHeight="1" x14ac:dyDescent="0.2">
      <c r="B20" s="39">
        <f t="shared" si="0"/>
      </c>
      <c r="C20" s="40">
        <f>IF(Inputs!$C$60,Inputs!$C$11+(B20-Inputs!$C$69)/Inputs!$C$70,"")</f>
      </c>
      <c r="D20" s="15"/>
      <c r="E20" s="15"/>
      <c r="F20" s="11">
        <f t="shared" si="1"/>
      </c>
      <c r="G20" s="22" cm="1">
        <f t="array" ref="G20">IF(AND(Inputs!$C$60,Inputs!$C$61),INDEX(Utility_Rates!$C$29:$F$52,HOUR(C20)+Inputs!$C$69,MATCH(INDEX(Utility_Rates!$K$6:$K$17,MONTH(C20))&amp;IF(WEEKDAY(C20,Inputs!$C$76)&lt;=Inputs!$C$74," weekday"," weekend"),Utility_Rates!$C$28:$F$28,Inputs!$C$68)),"")</f>
      </c>
      <c r="H20" s="34"/>
      <c r="I20" s="42">
        <f>IF(AND(ISNUMBER(D20),ISNUMBER(H20)),D20*H20*Inputs!$C$69,"")</f>
      </c>
      <c r="J20" s="42">
        <f>IF(AND(ISNUMBER(F20),ISNUMBER(H20),F20&gt;=Inputs!$C$68),F20*H20*Inputs!$C$69,"")</f>
      </c>
    </row>
    <row r="21" spans="2:10" ht="15" customHeight="1" x14ac:dyDescent="0.2">
      <c r="B21" s="39">
        <f t="shared" si="0"/>
      </c>
      <c r="C21" s="40">
        <f>IF(Inputs!$C$60,Inputs!$C$11+(B21-Inputs!$C$69)/Inputs!$C$70,"")</f>
      </c>
      <c r="D21" s="15"/>
      <c r="E21" s="15"/>
      <c r="F21" s="11">
        <f t="shared" si="1"/>
      </c>
      <c r="G21" s="22" cm="1">
        <f t="array" ref="G21">IF(AND(Inputs!$C$60,Inputs!$C$61),INDEX(Utility_Rates!$C$29:$F$52,HOUR(C21)+Inputs!$C$69,MATCH(INDEX(Utility_Rates!$K$6:$K$17,MONTH(C21))&amp;IF(WEEKDAY(C21,Inputs!$C$76)&lt;=Inputs!$C$74," weekday"," weekend"),Utility_Rates!$C$28:$F$28,Inputs!$C$68)),"")</f>
      </c>
      <c r="H21" s="34"/>
      <c r="I21" s="42">
        <f>IF(AND(ISNUMBER(D21),ISNUMBER(H21)),D21*H21*Inputs!$C$69,"")</f>
      </c>
      <c r="J21" s="42">
        <f>IF(AND(ISNUMBER(F21),ISNUMBER(H21),F21&gt;=Inputs!$C$68),F21*H21*Inputs!$C$69,"")</f>
      </c>
    </row>
    <row r="22" spans="2:10" ht="15" customHeight="1" x14ac:dyDescent="0.2">
      <c r="B22" s="39">
        <f t="shared" si="0"/>
      </c>
      <c r="C22" s="40">
        <f>IF(Inputs!$C$60,Inputs!$C$11+(B22-Inputs!$C$69)/Inputs!$C$70,"")</f>
      </c>
      <c r="D22" s="15"/>
      <c r="E22" s="15"/>
      <c r="F22" s="11">
        <f t="shared" si="1"/>
      </c>
      <c r="G22" s="22" cm="1">
        <f t="array" ref="G22">IF(AND(Inputs!$C$60,Inputs!$C$61),INDEX(Utility_Rates!$C$29:$F$52,HOUR(C22)+Inputs!$C$69,MATCH(INDEX(Utility_Rates!$K$6:$K$17,MONTH(C22))&amp;IF(WEEKDAY(C22,Inputs!$C$76)&lt;=Inputs!$C$74," weekday"," weekend"),Utility_Rates!$C$28:$F$28,Inputs!$C$68)),"")</f>
      </c>
      <c r="H22" s="34"/>
      <c r="I22" s="42">
        <f>IF(AND(ISNUMBER(D22),ISNUMBER(H22)),D22*H22*Inputs!$C$69,"")</f>
      </c>
      <c r="J22" s="42">
        <f>IF(AND(ISNUMBER(F22),ISNUMBER(H22),F22&gt;=Inputs!$C$68),F22*H22*Inputs!$C$69,"")</f>
      </c>
    </row>
    <row r="23" spans="2:10" ht="15" customHeight="1" x14ac:dyDescent="0.2">
      <c r="B23" s="39">
        <f t="shared" si="0"/>
      </c>
      <c r="C23" s="40">
        <f>IF(Inputs!$C$60,Inputs!$C$11+(B23-Inputs!$C$69)/Inputs!$C$70,"")</f>
      </c>
      <c r="D23" s="15"/>
      <c r="E23" s="15"/>
      <c r="F23" s="11">
        <f t="shared" si="1"/>
      </c>
      <c r="G23" s="22" cm="1">
        <f t="array" ref="G23">IF(AND(Inputs!$C$60,Inputs!$C$61),INDEX(Utility_Rates!$C$29:$F$52,HOUR(C23)+Inputs!$C$69,MATCH(INDEX(Utility_Rates!$K$6:$K$17,MONTH(C23))&amp;IF(WEEKDAY(C23,Inputs!$C$76)&lt;=Inputs!$C$74," weekday"," weekend"),Utility_Rates!$C$28:$F$28,Inputs!$C$68)),"")</f>
      </c>
      <c r="H23" s="34"/>
      <c r="I23" s="42">
        <f>IF(AND(ISNUMBER(D23),ISNUMBER(H23)),D23*H23*Inputs!$C$69,"")</f>
      </c>
      <c r="J23" s="42">
        <f>IF(AND(ISNUMBER(F23),ISNUMBER(H23),F23&gt;=Inputs!$C$68),F23*H23*Inputs!$C$69,"")</f>
      </c>
    </row>
    <row r="24" spans="2:10" ht="15" customHeight="1" x14ac:dyDescent="0.2">
      <c r="B24" s="39">
        <f t="shared" si="0"/>
      </c>
      <c r="C24" s="40">
        <f>IF(Inputs!$C$60,Inputs!$C$11+(B24-Inputs!$C$69)/Inputs!$C$70,"")</f>
      </c>
      <c r="D24" s="15"/>
      <c r="E24" s="15"/>
      <c r="F24" s="11">
        <f t="shared" si="1"/>
      </c>
      <c r="G24" s="22" cm="1">
        <f t="array" ref="G24">IF(AND(Inputs!$C$60,Inputs!$C$61),INDEX(Utility_Rates!$C$29:$F$52,HOUR(C24)+Inputs!$C$69,MATCH(INDEX(Utility_Rates!$K$6:$K$17,MONTH(C24))&amp;IF(WEEKDAY(C24,Inputs!$C$76)&lt;=Inputs!$C$74," weekday"," weekend"),Utility_Rates!$C$28:$F$28,Inputs!$C$68)),"")</f>
      </c>
      <c r="H24" s="34"/>
      <c r="I24" s="42">
        <f>IF(AND(ISNUMBER(D24),ISNUMBER(H24)),D24*H24*Inputs!$C$69,"")</f>
      </c>
      <c r="J24" s="42">
        <f>IF(AND(ISNUMBER(F24),ISNUMBER(H24),F24&gt;=Inputs!$C$68),F24*H24*Inputs!$C$69,"")</f>
      </c>
    </row>
    <row r="25" spans="2:10" ht="15" customHeight="1" x14ac:dyDescent="0.2">
      <c r="B25" s="39">
        <f t="shared" si="0"/>
      </c>
      <c r="C25" s="40">
        <f>IF(Inputs!$C$60,Inputs!$C$11+(B25-Inputs!$C$69)/Inputs!$C$70,"")</f>
      </c>
      <c r="D25" s="15"/>
      <c r="E25" s="15"/>
      <c r="F25" s="11">
        <f t="shared" si="1"/>
      </c>
      <c r="G25" s="22" cm="1">
        <f t="array" ref="G25">IF(AND(Inputs!$C$60,Inputs!$C$61),INDEX(Utility_Rates!$C$29:$F$52,HOUR(C25)+Inputs!$C$69,MATCH(INDEX(Utility_Rates!$K$6:$K$17,MONTH(C25))&amp;IF(WEEKDAY(C25,Inputs!$C$76)&lt;=Inputs!$C$74," weekday"," weekend"),Utility_Rates!$C$28:$F$28,Inputs!$C$68)),"")</f>
      </c>
      <c r="H25" s="34"/>
      <c r="I25" s="42">
        <f>IF(AND(ISNUMBER(D25),ISNUMBER(H25)),D25*H25*Inputs!$C$69,"")</f>
      </c>
      <c r="J25" s="42">
        <f>IF(AND(ISNUMBER(F25),ISNUMBER(H25),F25&gt;=Inputs!$C$68),F25*H25*Inputs!$C$69,"")</f>
      </c>
    </row>
    <row r="26" spans="2:10" ht="15" customHeight="1" x14ac:dyDescent="0.2">
      <c r="B26" s="39">
        <f t="shared" si="0"/>
      </c>
      <c r="C26" s="40">
        <f>IF(Inputs!$C$60,Inputs!$C$11+(B26-Inputs!$C$69)/Inputs!$C$70,"")</f>
      </c>
      <c r="D26" s="15"/>
      <c r="E26" s="15"/>
      <c r="F26" s="11">
        <f t="shared" si="1"/>
      </c>
      <c r="G26" s="22" cm="1">
        <f t="array" ref="G26">IF(AND(Inputs!$C$60,Inputs!$C$61),INDEX(Utility_Rates!$C$29:$F$52,HOUR(C26)+Inputs!$C$69,MATCH(INDEX(Utility_Rates!$K$6:$K$17,MONTH(C26))&amp;IF(WEEKDAY(C26,Inputs!$C$76)&lt;=Inputs!$C$74," weekday"," weekend"),Utility_Rates!$C$28:$F$28,Inputs!$C$68)),"")</f>
      </c>
      <c r="H26" s="34"/>
      <c r="I26" s="42">
        <f>IF(AND(ISNUMBER(D26),ISNUMBER(H26)),D26*H26*Inputs!$C$69,"")</f>
      </c>
      <c r="J26" s="42">
        <f>IF(AND(ISNUMBER(F26),ISNUMBER(H26),F26&gt;=Inputs!$C$68),F26*H26*Inputs!$C$69,"")</f>
      </c>
    </row>
    <row r="27" spans="2:10" ht="15" customHeight="1" x14ac:dyDescent="0.2">
      <c r="B27" s="39">
        <f t="shared" si="0"/>
      </c>
      <c r="C27" s="40">
        <f>IF(Inputs!$C$60,Inputs!$C$11+(B27-Inputs!$C$69)/Inputs!$C$70,"")</f>
      </c>
      <c r="D27" s="15"/>
      <c r="E27" s="15"/>
      <c r="F27" s="11">
        <f t="shared" si="1"/>
      </c>
      <c r="G27" s="22" cm="1">
        <f t="array" ref="G27">IF(AND(Inputs!$C$60,Inputs!$C$61),INDEX(Utility_Rates!$C$29:$F$52,HOUR(C27)+Inputs!$C$69,MATCH(INDEX(Utility_Rates!$K$6:$K$17,MONTH(C27))&amp;IF(WEEKDAY(C27,Inputs!$C$76)&lt;=Inputs!$C$74," weekday"," weekend"),Utility_Rates!$C$28:$F$28,Inputs!$C$68)),"")</f>
      </c>
      <c r="H27" s="34"/>
      <c r="I27" s="42">
        <f>IF(AND(ISNUMBER(D27),ISNUMBER(H27)),D27*H27*Inputs!$C$69,"")</f>
      </c>
      <c r="J27" s="42">
        <f>IF(AND(ISNUMBER(F27),ISNUMBER(H27),F27&gt;=Inputs!$C$68),F27*H27*Inputs!$C$69,"")</f>
      </c>
    </row>
    <row r="28" spans="2:10" ht="15" customHeight="1" x14ac:dyDescent="0.2">
      <c r="B28" s="39">
        <f t="shared" si="0"/>
      </c>
      <c r="C28" s="40">
        <f>IF(Inputs!$C$60,Inputs!$C$11+(B28-Inputs!$C$69)/Inputs!$C$70,"")</f>
      </c>
      <c r="D28" s="15"/>
      <c r="E28" s="15"/>
      <c r="F28" s="11">
        <f t="shared" si="1"/>
      </c>
      <c r="G28" s="22" cm="1">
        <f t="array" ref="G28">IF(AND(Inputs!$C$60,Inputs!$C$61),INDEX(Utility_Rates!$C$29:$F$52,HOUR(C28)+Inputs!$C$69,MATCH(INDEX(Utility_Rates!$K$6:$K$17,MONTH(C28))&amp;IF(WEEKDAY(C28,Inputs!$C$76)&lt;=Inputs!$C$74," weekday"," weekend"),Utility_Rates!$C$28:$F$28,Inputs!$C$68)),"")</f>
      </c>
      <c r="H28" s="34"/>
      <c r="I28" s="42">
        <f>IF(AND(ISNUMBER(D28),ISNUMBER(H28)),D28*H28*Inputs!$C$69,"")</f>
      </c>
      <c r="J28" s="42">
        <f>IF(AND(ISNUMBER(F28),ISNUMBER(H28),F28&gt;=Inputs!$C$68),F28*H28*Inputs!$C$69,"")</f>
      </c>
    </row>
    <row r="29" spans="2:10" ht="15" customHeight="1" x14ac:dyDescent="0.2">
      <c r="B29" s="39">
        <f t="shared" si="0"/>
      </c>
      <c r="C29" s="40">
        <f>IF(Inputs!$C$60,Inputs!$C$11+(B29-Inputs!$C$69)/Inputs!$C$70,"")</f>
      </c>
      <c r="D29" s="15"/>
      <c r="E29" s="15"/>
      <c r="F29" s="11">
        <f t="shared" si="1"/>
      </c>
      <c r="G29" s="22" cm="1">
        <f t="array" ref="G29">IF(AND(Inputs!$C$60,Inputs!$C$61),INDEX(Utility_Rates!$C$29:$F$52,HOUR(C29)+Inputs!$C$69,MATCH(INDEX(Utility_Rates!$K$6:$K$17,MONTH(C29))&amp;IF(WEEKDAY(C29,Inputs!$C$76)&lt;=Inputs!$C$74," weekday"," weekend"),Utility_Rates!$C$28:$F$28,Inputs!$C$68)),"")</f>
      </c>
      <c r="H29" s="34"/>
      <c r="I29" s="42">
        <f>IF(AND(ISNUMBER(D29),ISNUMBER(H29)),D29*H29*Inputs!$C$69,"")</f>
      </c>
      <c r="J29" s="42">
        <f>IF(AND(ISNUMBER(F29),ISNUMBER(H29),F29&gt;=Inputs!$C$68),F29*H29*Inputs!$C$69,"")</f>
      </c>
    </row>
    <row r="30" spans="2:10" ht="15" customHeight="1" x14ac:dyDescent="0.2">
      <c r="B30" s="39">
        <f t="shared" si="0"/>
      </c>
      <c r="C30" s="40">
        <f>IF(Inputs!$C$60,Inputs!$C$11+(B30-Inputs!$C$69)/Inputs!$C$70,"")</f>
      </c>
      <c r="D30" s="15"/>
      <c r="E30" s="15"/>
      <c r="F30" s="11">
        <f t="shared" si="1"/>
      </c>
      <c r="G30" s="22" cm="1">
        <f t="array" ref="G30">IF(AND(Inputs!$C$60,Inputs!$C$61),INDEX(Utility_Rates!$C$29:$F$52,HOUR(C30)+Inputs!$C$69,MATCH(INDEX(Utility_Rates!$K$6:$K$17,MONTH(C30))&amp;IF(WEEKDAY(C30,Inputs!$C$76)&lt;=Inputs!$C$74," weekday"," weekend"),Utility_Rates!$C$28:$F$28,Inputs!$C$68)),"")</f>
      </c>
      <c r="H30" s="34"/>
      <c r="I30" s="42">
        <f>IF(AND(ISNUMBER(D30),ISNUMBER(H30)),D30*H30*Inputs!$C$69,"")</f>
      </c>
      <c r="J30" s="42">
        <f>IF(AND(ISNUMBER(F30),ISNUMBER(H30),F30&gt;=Inputs!$C$68),F30*H30*Inputs!$C$69,"")</f>
      </c>
    </row>
    <row r="31" spans="2:10" ht="15" customHeight="1" x14ac:dyDescent="0.2">
      <c r="B31" s="39">
        <f t="shared" si="0"/>
      </c>
      <c r="C31" s="40">
        <f>IF(Inputs!$C$60,Inputs!$C$11+(B31-Inputs!$C$69)/Inputs!$C$70,"")</f>
      </c>
      <c r="D31" s="15"/>
      <c r="E31" s="15"/>
      <c r="F31" s="11">
        <f t="shared" si="1"/>
      </c>
      <c r="G31" s="22" cm="1">
        <f t="array" ref="G31">IF(AND(Inputs!$C$60,Inputs!$C$61),INDEX(Utility_Rates!$C$29:$F$52,HOUR(C31)+Inputs!$C$69,MATCH(INDEX(Utility_Rates!$K$6:$K$17,MONTH(C31))&amp;IF(WEEKDAY(C31,Inputs!$C$76)&lt;=Inputs!$C$74," weekday"," weekend"),Utility_Rates!$C$28:$F$28,Inputs!$C$68)),"")</f>
      </c>
      <c r="H31" s="34"/>
      <c r="I31" s="42">
        <f>IF(AND(ISNUMBER(D31),ISNUMBER(H31)),D31*H31*Inputs!$C$69,"")</f>
      </c>
      <c r="J31" s="42">
        <f>IF(AND(ISNUMBER(F31),ISNUMBER(H31),F31&gt;=Inputs!$C$68),F31*H31*Inputs!$C$69,"")</f>
      </c>
    </row>
    <row r="32" spans="2:10" ht="15" customHeight="1" x14ac:dyDescent="0.2">
      <c r="B32" s="39">
        <f t="shared" si="0"/>
      </c>
      <c r="C32" s="40">
        <f>IF(Inputs!$C$60,Inputs!$C$11+(B32-Inputs!$C$69)/Inputs!$C$70,"")</f>
      </c>
      <c r="D32" s="15"/>
      <c r="E32" s="15"/>
      <c r="F32" s="11">
        <f t="shared" si="1"/>
      </c>
      <c r="G32" s="22" cm="1">
        <f t="array" ref="G32">IF(AND(Inputs!$C$60,Inputs!$C$61),INDEX(Utility_Rates!$C$29:$F$52,HOUR(C32)+Inputs!$C$69,MATCH(INDEX(Utility_Rates!$K$6:$K$17,MONTH(C32))&amp;IF(WEEKDAY(C32,Inputs!$C$76)&lt;=Inputs!$C$74," weekday"," weekend"),Utility_Rates!$C$28:$F$28,Inputs!$C$68)),"")</f>
      </c>
      <c r="H32" s="34"/>
      <c r="I32" s="42">
        <f>IF(AND(ISNUMBER(D32),ISNUMBER(H32)),D32*H32*Inputs!$C$69,"")</f>
      </c>
      <c r="J32" s="42">
        <f>IF(AND(ISNUMBER(F32),ISNUMBER(H32),F32&gt;=Inputs!$C$68),F32*H32*Inputs!$C$69,"")</f>
      </c>
    </row>
    <row r="33" spans="2:10" ht="15" customHeight="1" x14ac:dyDescent="0.2">
      <c r="B33" s="39">
        <f t="shared" si="0"/>
      </c>
      <c r="C33" s="40">
        <f>IF(Inputs!$C$60,Inputs!$C$11+(B33-Inputs!$C$69)/Inputs!$C$70,"")</f>
      </c>
      <c r="D33" s="15"/>
      <c r="E33" s="15"/>
      <c r="F33" s="11">
        <f t="shared" si="1"/>
      </c>
      <c r="G33" s="22" cm="1">
        <f t="array" ref="G33">IF(AND(Inputs!$C$60,Inputs!$C$61),INDEX(Utility_Rates!$C$29:$F$52,HOUR(C33)+Inputs!$C$69,MATCH(INDEX(Utility_Rates!$K$6:$K$17,MONTH(C33))&amp;IF(WEEKDAY(C33,Inputs!$C$76)&lt;=Inputs!$C$74," weekday"," weekend"),Utility_Rates!$C$28:$F$28,Inputs!$C$68)),"")</f>
      </c>
      <c r="H33" s="34"/>
      <c r="I33" s="42">
        <f>IF(AND(ISNUMBER(D33),ISNUMBER(H33)),D33*H33*Inputs!$C$69,"")</f>
      </c>
      <c r="J33" s="42">
        <f>IF(AND(ISNUMBER(F33),ISNUMBER(H33),F33&gt;=Inputs!$C$68),F33*H33*Inputs!$C$69,"")</f>
      </c>
    </row>
    <row r="34" spans="2:10" ht="15" customHeight="1" x14ac:dyDescent="0.2">
      <c r="B34" s="39">
        <f t="shared" si="0"/>
      </c>
      <c r="C34" s="40">
        <f>IF(Inputs!$C$60,Inputs!$C$11+(B34-Inputs!$C$69)/Inputs!$C$70,"")</f>
      </c>
      <c r="D34" s="15"/>
      <c r="E34" s="15"/>
      <c r="F34" s="11">
        <f t="shared" si="1"/>
      </c>
      <c r="G34" s="22" cm="1">
        <f t="array" ref="G34">IF(AND(Inputs!$C$60,Inputs!$C$61),INDEX(Utility_Rates!$C$29:$F$52,HOUR(C34)+Inputs!$C$69,MATCH(INDEX(Utility_Rates!$K$6:$K$17,MONTH(C34))&amp;IF(WEEKDAY(C34,Inputs!$C$76)&lt;=Inputs!$C$74," weekday"," weekend"),Utility_Rates!$C$28:$F$28,Inputs!$C$68)),"")</f>
      </c>
      <c r="H34" s="34"/>
      <c r="I34" s="42">
        <f>IF(AND(ISNUMBER(D34),ISNUMBER(H34)),D34*H34*Inputs!$C$69,"")</f>
      </c>
      <c r="J34" s="42">
        <f>IF(AND(ISNUMBER(F34),ISNUMBER(H34),F34&gt;=Inputs!$C$68),F34*H34*Inputs!$C$69,"")</f>
      </c>
    </row>
    <row r="35" spans="2:10" ht="15" customHeight="1" x14ac:dyDescent="0.2">
      <c r="B35" s="39">
        <f t="shared" si="0"/>
      </c>
      <c r="C35" s="40">
        <f>IF(Inputs!$C$60,Inputs!$C$11+(B35-Inputs!$C$69)/Inputs!$C$70,"")</f>
      </c>
      <c r="D35" s="15"/>
      <c r="E35" s="15"/>
      <c r="F35" s="11">
        <f t="shared" si="1"/>
      </c>
      <c r="G35" s="22" cm="1">
        <f t="array" ref="G35">IF(AND(Inputs!$C$60,Inputs!$C$61),INDEX(Utility_Rates!$C$29:$F$52,HOUR(C35)+Inputs!$C$69,MATCH(INDEX(Utility_Rates!$K$6:$K$17,MONTH(C35))&amp;IF(WEEKDAY(C35,Inputs!$C$76)&lt;=Inputs!$C$74," weekday"," weekend"),Utility_Rates!$C$28:$F$28,Inputs!$C$68)),"")</f>
      </c>
      <c r="H35" s="34"/>
      <c r="I35" s="42">
        <f>IF(AND(ISNUMBER(D35),ISNUMBER(H35)),D35*H35*Inputs!$C$69,"")</f>
      </c>
      <c r="J35" s="42">
        <f>IF(AND(ISNUMBER(F35),ISNUMBER(H35),F35&gt;=Inputs!$C$68),F35*H35*Inputs!$C$69,"")</f>
      </c>
    </row>
    <row r="36" spans="2:10" ht="15" customHeight="1" x14ac:dyDescent="0.2">
      <c r="B36" s="39">
        <f t="shared" si="0"/>
      </c>
      <c r="C36" s="40">
        <f>IF(Inputs!$C$60,Inputs!$C$11+(B36-Inputs!$C$69)/Inputs!$C$70,"")</f>
      </c>
      <c r="D36" s="15"/>
      <c r="E36" s="15"/>
      <c r="F36" s="11">
        <f t="shared" si="1"/>
      </c>
      <c r="G36" s="22" cm="1">
        <f t="array" ref="G36">IF(AND(Inputs!$C$60,Inputs!$C$61),INDEX(Utility_Rates!$C$29:$F$52,HOUR(C36)+Inputs!$C$69,MATCH(INDEX(Utility_Rates!$K$6:$K$17,MONTH(C36))&amp;IF(WEEKDAY(C36,Inputs!$C$76)&lt;=Inputs!$C$74," weekday"," weekend"),Utility_Rates!$C$28:$F$28,Inputs!$C$68)),"")</f>
      </c>
      <c r="H36" s="34"/>
      <c r="I36" s="42">
        <f>IF(AND(ISNUMBER(D36),ISNUMBER(H36)),D36*H36*Inputs!$C$69,"")</f>
      </c>
      <c r="J36" s="42">
        <f>IF(AND(ISNUMBER(F36),ISNUMBER(H36),F36&gt;=Inputs!$C$68),F36*H36*Inputs!$C$69,"")</f>
      </c>
    </row>
    <row r="37" spans="2:10" ht="15" customHeight="1" x14ac:dyDescent="0.2">
      <c r="B37" s="39">
        <f t="shared" si="0"/>
      </c>
      <c r="C37" s="40">
        <f>IF(Inputs!$C$60,Inputs!$C$11+(B37-Inputs!$C$69)/Inputs!$C$70,"")</f>
      </c>
      <c r="D37" s="15"/>
      <c r="E37" s="15"/>
      <c r="F37" s="11">
        <f t="shared" si="1"/>
      </c>
      <c r="G37" s="22" cm="1">
        <f t="array" ref="G37">IF(AND(Inputs!$C$60,Inputs!$C$61),INDEX(Utility_Rates!$C$29:$F$52,HOUR(C37)+Inputs!$C$69,MATCH(INDEX(Utility_Rates!$K$6:$K$17,MONTH(C37))&amp;IF(WEEKDAY(C37,Inputs!$C$76)&lt;=Inputs!$C$74," weekday"," weekend"),Utility_Rates!$C$28:$F$28,Inputs!$C$68)),"")</f>
      </c>
      <c r="H37" s="34"/>
      <c r="I37" s="42">
        <f>IF(AND(ISNUMBER(D37),ISNUMBER(H37)),D37*H37*Inputs!$C$69,"")</f>
      </c>
      <c r="J37" s="42">
        <f>IF(AND(ISNUMBER(F37),ISNUMBER(H37),F37&gt;=Inputs!$C$68),F37*H37*Inputs!$C$69,"")</f>
      </c>
    </row>
    <row r="38" spans="2:10" ht="15" customHeight="1" x14ac:dyDescent="0.2">
      <c r="B38" s="39">
        <f t="shared" si="0"/>
      </c>
      <c r="C38" s="40">
        <f>IF(Inputs!$C$60,Inputs!$C$11+(B38-Inputs!$C$69)/Inputs!$C$70,"")</f>
      </c>
      <c r="D38" s="15"/>
      <c r="E38" s="15"/>
      <c r="F38" s="11">
        <f t="shared" si="1"/>
      </c>
      <c r="G38" s="22" cm="1">
        <f t="array" ref="G38">IF(AND(Inputs!$C$60,Inputs!$C$61),INDEX(Utility_Rates!$C$29:$F$52,HOUR(C38)+Inputs!$C$69,MATCH(INDEX(Utility_Rates!$K$6:$K$17,MONTH(C38))&amp;IF(WEEKDAY(C38,Inputs!$C$76)&lt;=Inputs!$C$74," weekday"," weekend"),Utility_Rates!$C$28:$F$28,Inputs!$C$68)),"")</f>
      </c>
      <c r="H38" s="34"/>
      <c r="I38" s="42">
        <f>IF(AND(ISNUMBER(D38),ISNUMBER(H38)),D38*H38*Inputs!$C$69,"")</f>
      </c>
      <c r="J38" s="42">
        <f>IF(AND(ISNUMBER(F38),ISNUMBER(H38),F38&gt;=Inputs!$C$68),F38*H38*Inputs!$C$69,"")</f>
      </c>
    </row>
    <row r="39" spans="2:10" ht="15" customHeight="1" x14ac:dyDescent="0.2">
      <c r="B39" s="39">
        <f t="shared" si="0"/>
      </c>
      <c r="C39" s="40">
        <f>IF(Inputs!$C$60,Inputs!$C$11+(B39-Inputs!$C$69)/Inputs!$C$70,"")</f>
      </c>
      <c r="D39" s="15"/>
      <c r="E39" s="15"/>
      <c r="F39" s="11">
        <f t="shared" si="1"/>
      </c>
      <c r="G39" s="22" cm="1">
        <f t="array" ref="G39">IF(AND(Inputs!$C$60,Inputs!$C$61),INDEX(Utility_Rates!$C$29:$F$52,HOUR(C39)+Inputs!$C$69,MATCH(INDEX(Utility_Rates!$K$6:$K$17,MONTH(C39))&amp;IF(WEEKDAY(C39,Inputs!$C$76)&lt;=Inputs!$C$74," weekday"," weekend"),Utility_Rates!$C$28:$F$28,Inputs!$C$68)),"")</f>
      </c>
      <c r="H39" s="34"/>
      <c r="I39" s="42">
        <f>IF(AND(ISNUMBER(D39),ISNUMBER(H39)),D39*H39*Inputs!$C$69,"")</f>
      </c>
      <c r="J39" s="42">
        <f>IF(AND(ISNUMBER(F39),ISNUMBER(H39),F39&gt;=Inputs!$C$68),F39*H39*Inputs!$C$69,"")</f>
      </c>
    </row>
    <row r="40" spans="2:10" ht="15" customHeight="1" x14ac:dyDescent="0.2">
      <c r="B40" s="39">
        <f t="shared" si="0"/>
      </c>
      <c r="C40" s="40">
        <f>IF(Inputs!$C$60,Inputs!$C$11+(B40-Inputs!$C$69)/Inputs!$C$70,"")</f>
      </c>
      <c r="D40" s="15"/>
      <c r="E40" s="15"/>
      <c r="F40" s="11">
        <f t="shared" si="1"/>
      </c>
      <c r="G40" s="22" cm="1">
        <f t="array" ref="G40">IF(AND(Inputs!$C$60,Inputs!$C$61),INDEX(Utility_Rates!$C$29:$F$52,HOUR(C40)+Inputs!$C$69,MATCH(INDEX(Utility_Rates!$K$6:$K$17,MONTH(C40))&amp;IF(WEEKDAY(C40,Inputs!$C$76)&lt;=Inputs!$C$74," weekday"," weekend"),Utility_Rates!$C$28:$F$28,Inputs!$C$68)),"")</f>
      </c>
      <c r="H40" s="34"/>
      <c r="I40" s="42">
        <f>IF(AND(ISNUMBER(D40),ISNUMBER(H40)),D40*H40*Inputs!$C$69,"")</f>
      </c>
      <c r="J40" s="42">
        <f>IF(AND(ISNUMBER(F40),ISNUMBER(H40),F40&gt;=Inputs!$C$68),F40*H40*Inputs!$C$69,"")</f>
      </c>
    </row>
    <row r="41" spans="2:10" ht="15" customHeight="1" x14ac:dyDescent="0.2">
      <c r="B41" s="39">
        <f t="shared" si="0"/>
      </c>
      <c r="C41" s="40">
        <f>IF(Inputs!$C$60,Inputs!$C$11+(B41-Inputs!$C$69)/Inputs!$C$70,"")</f>
      </c>
      <c r="D41" s="15"/>
      <c r="E41" s="15"/>
      <c r="F41" s="11">
        <f t="shared" si="1"/>
      </c>
      <c r="G41" s="22" cm="1">
        <f t="array" ref="G41">IF(AND(Inputs!$C$60,Inputs!$C$61),INDEX(Utility_Rates!$C$29:$F$52,HOUR(C41)+Inputs!$C$69,MATCH(INDEX(Utility_Rates!$K$6:$K$17,MONTH(C41))&amp;IF(WEEKDAY(C41,Inputs!$C$76)&lt;=Inputs!$C$74," weekday"," weekend"),Utility_Rates!$C$28:$F$28,Inputs!$C$68)),"")</f>
      </c>
      <c r="H41" s="34"/>
      <c r="I41" s="42">
        <f>IF(AND(ISNUMBER(D41),ISNUMBER(H41)),D41*H41*Inputs!$C$69,"")</f>
      </c>
      <c r="J41" s="42">
        <f>IF(AND(ISNUMBER(F41),ISNUMBER(H41),F41&gt;=Inputs!$C$68),F41*H41*Inputs!$C$69,"")</f>
      </c>
    </row>
    <row r="42" spans="2:10" ht="15" customHeight="1" x14ac:dyDescent="0.2">
      <c r="B42" s="39">
        <f t="shared" si="0"/>
      </c>
      <c r="C42" s="40">
        <f>IF(Inputs!$C$60,Inputs!$C$11+(B42-Inputs!$C$69)/Inputs!$C$70,"")</f>
      </c>
      <c r="D42" s="15"/>
      <c r="E42" s="15"/>
      <c r="F42" s="11">
        <f t="shared" si="1"/>
      </c>
      <c r="G42" s="22" cm="1">
        <f t="array" ref="G42">IF(AND(Inputs!$C$60,Inputs!$C$61),INDEX(Utility_Rates!$C$29:$F$52,HOUR(C42)+Inputs!$C$69,MATCH(INDEX(Utility_Rates!$K$6:$K$17,MONTH(C42))&amp;IF(WEEKDAY(C42,Inputs!$C$76)&lt;=Inputs!$C$74," weekday"," weekend"),Utility_Rates!$C$28:$F$28,Inputs!$C$68)),"")</f>
      </c>
      <c r="H42" s="34"/>
      <c r="I42" s="42">
        <f>IF(AND(ISNUMBER(D42),ISNUMBER(H42)),D42*H42*Inputs!$C$69,"")</f>
      </c>
      <c r="J42" s="42">
        <f>IF(AND(ISNUMBER(F42),ISNUMBER(H42),F42&gt;=Inputs!$C$68),F42*H42*Inputs!$C$69,"")</f>
      </c>
    </row>
    <row r="43" spans="2:10" ht="15" customHeight="1" x14ac:dyDescent="0.2">
      <c r="B43" s="39">
        <f t="shared" si="0"/>
      </c>
      <c r="C43" s="40">
        <f>IF(Inputs!$C$60,Inputs!$C$11+(B43-Inputs!$C$69)/Inputs!$C$70,"")</f>
      </c>
      <c r="D43" s="15"/>
      <c r="E43" s="15"/>
      <c r="F43" s="11">
        <f t="shared" si="1"/>
      </c>
      <c r="G43" s="22" cm="1">
        <f t="array" ref="G43">IF(AND(Inputs!$C$60,Inputs!$C$61),INDEX(Utility_Rates!$C$29:$F$52,HOUR(C43)+Inputs!$C$69,MATCH(INDEX(Utility_Rates!$K$6:$K$17,MONTH(C43))&amp;IF(WEEKDAY(C43,Inputs!$C$76)&lt;=Inputs!$C$74," weekday"," weekend"),Utility_Rates!$C$28:$F$28,Inputs!$C$68)),"")</f>
      </c>
      <c r="H43" s="34"/>
      <c r="I43" s="42">
        <f>IF(AND(ISNUMBER(D43),ISNUMBER(H43)),D43*H43*Inputs!$C$69,"")</f>
      </c>
      <c r="J43" s="42">
        <f>IF(AND(ISNUMBER(F43),ISNUMBER(H43),F43&gt;=Inputs!$C$68),F43*H43*Inputs!$C$69,"")</f>
      </c>
    </row>
    <row r="44" spans="2:10" ht="15" customHeight="1" x14ac:dyDescent="0.2">
      <c r="B44" s="39">
        <f t="shared" si="0"/>
      </c>
      <c r="C44" s="40">
        <f>IF(Inputs!$C$60,Inputs!$C$11+(B44-Inputs!$C$69)/Inputs!$C$70,"")</f>
      </c>
      <c r="D44" s="15"/>
      <c r="E44" s="15"/>
      <c r="F44" s="11">
        <f t="shared" si="1"/>
      </c>
      <c r="G44" s="22" cm="1">
        <f t="array" ref="G44">IF(AND(Inputs!$C$60,Inputs!$C$61),INDEX(Utility_Rates!$C$29:$F$52,HOUR(C44)+Inputs!$C$69,MATCH(INDEX(Utility_Rates!$K$6:$K$17,MONTH(C44))&amp;IF(WEEKDAY(C44,Inputs!$C$76)&lt;=Inputs!$C$74," weekday"," weekend"),Utility_Rates!$C$28:$F$28,Inputs!$C$68)),"")</f>
      </c>
      <c r="H44" s="34"/>
      <c r="I44" s="42">
        <f>IF(AND(ISNUMBER(D44),ISNUMBER(H44)),D44*H44*Inputs!$C$69,"")</f>
      </c>
      <c r="J44" s="42">
        <f>IF(AND(ISNUMBER(F44),ISNUMBER(H44),F44&gt;=Inputs!$C$68),F44*H44*Inputs!$C$69,"")</f>
      </c>
    </row>
    <row r="45" spans="2:10" ht="15" customHeight="1" x14ac:dyDescent="0.2">
      <c r="B45" s="39">
        <f t="shared" si="0"/>
      </c>
      <c r="C45" s="40">
        <f>IF(Inputs!$C$60,Inputs!$C$11+(B45-Inputs!$C$69)/Inputs!$C$70,"")</f>
      </c>
      <c r="D45" s="15"/>
      <c r="E45" s="15"/>
      <c r="F45" s="11">
        <f t="shared" si="1"/>
      </c>
      <c r="G45" s="22" cm="1">
        <f t="array" ref="G45">IF(AND(Inputs!$C$60,Inputs!$C$61),INDEX(Utility_Rates!$C$29:$F$52,HOUR(C45)+Inputs!$C$69,MATCH(INDEX(Utility_Rates!$K$6:$K$17,MONTH(C45))&amp;IF(WEEKDAY(C45,Inputs!$C$76)&lt;=Inputs!$C$74," weekday"," weekend"),Utility_Rates!$C$28:$F$28,Inputs!$C$68)),"")</f>
      </c>
      <c r="H45" s="34"/>
      <c r="I45" s="42">
        <f>IF(AND(ISNUMBER(D45),ISNUMBER(H45)),D45*H45*Inputs!$C$69,"")</f>
      </c>
      <c r="J45" s="42">
        <f>IF(AND(ISNUMBER(F45),ISNUMBER(H45),F45&gt;=Inputs!$C$68),F45*H45*Inputs!$C$69,"")</f>
      </c>
    </row>
    <row r="46" spans="2:10" ht="15" customHeight="1" x14ac:dyDescent="0.2">
      <c r="B46" s="39">
        <f t="shared" si="0"/>
      </c>
      <c r="C46" s="40">
        <f>IF(Inputs!$C$60,Inputs!$C$11+(B46-Inputs!$C$69)/Inputs!$C$70,"")</f>
      </c>
      <c r="D46" s="15"/>
      <c r="E46" s="15"/>
      <c r="F46" s="11">
        <f t="shared" si="1"/>
      </c>
      <c r="G46" s="22" cm="1">
        <f t="array" ref="G46">IF(AND(Inputs!$C$60,Inputs!$C$61),INDEX(Utility_Rates!$C$29:$F$52,HOUR(C46)+Inputs!$C$69,MATCH(INDEX(Utility_Rates!$K$6:$K$17,MONTH(C46))&amp;IF(WEEKDAY(C46,Inputs!$C$76)&lt;=Inputs!$C$74," weekday"," weekend"),Utility_Rates!$C$28:$F$28,Inputs!$C$68)),"")</f>
      </c>
      <c r="H46" s="34"/>
      <c r="I46" s="42">
        <f>IF(AND(ISNUMBER(D46),ISNUMBER(H46)),D46*H46*Inputs!$C$69,"")</f>
      </c>
      <c r="J46" s="42">
        <f>IF(AND(ISNUMBER(F46),ISNUMBER(H46),F46&gt;=Inputs!$C$68),F46*H46*Inputs!$C$69,"")</f>
      </c>
    </row>
    <row r="47" spans="2:10" ht="15" customHeight="1" x14ac:dyDescent="0.2">
      <c r="B47" s="39">
        <f t="shared" si="0"/>
      </c>
      <c r="C47" s="40">
        <f>IF(Inputs!$C$60,Inputs!$C$11+(B47-Inputs!$C$69)/Inputs!$C$70,"")</f>
      </c>
      <c r="D47" s="15"/>
      <c r="E47" s="15"/>
      <c r="F47" s="11">
        <f t="shared" si="1"/>
      </c>
      <c r="G47" s="22" cm="1">
        <f t="array" ref="G47">IF(AND(Inputs!$C$60,Inputs!$C$61),INDEX(Utility_Rates!$C$29:$F$52,HOUR(C47)+Inputs!$C$69,MATCH(INDEX(Utility_Rates!$K$6:$K$17,MONTH(C47))&amp;IF(WEEKDAY(C47,Inputs!$C$76)&lt;=Inputs!$C$74," weekday"," weekend"),Utility_Rates!$C$28:$F$28,Inputs!$C$68)),"")</f>
      </c>
      <c r="H47" s="34"/>
      <c r="I47" s="42">
        <f>IF(AND(ISNUMBER(D47),ISNUMBER(H47)),D47*H47*Inputs!$C$69,"")</f>
      </c>
      <c r="J47" s="42">
        <f>IF(AND(ISNUMBER(F47),ISNUMBER(H47),F47&gt;=Inputs!$C$68),F47*H47*Inputs!$C$69,"")</f>
      </c>
    </row>
    <row r="48" spans="2:10" ht="15" customHeight="1" x14ac:dyDescent="0.2">
      <c r="B48" s="39">
        <f t="shared" si="0"/>
      </c>
      <c r="C48" s="40">
        <f>IF(Inputs!$C$60,Inputs!$C$11+(B48-Inputs!$C$69)/Inputs!$C$70,"")</f>
      </c>
      <c r="D48" s="15"/>
      <c r="E48" s="15"/>
      <c r="F48" s="11">
        <f t="shared" si="1"/>
      </c>
      <c r="G48" s="22" cm="1">
        <f t="array" ref="G48">IF(AND(Inputs!$C$60,Inputs!$C$61),INDEX(Utility_Rates!$C$29:$F$52,HOUR(C48)+Inputs!$C$69,MATCH(INDEX(Utility_Rates!$K$6:$K$17,MONTH(C48))&amp;IF(WEEKDAY(C48,Inputs!$C$76)&lt;=Inputs!$C$74," weekday"," weekend"),Utility_Rates!$C$28:$F$28,Inputs!$C$68)),"")</f>
      </c>
      <c r="H48" s="34"/>
      <c r="I48" s="42">
        <f>IF(AND(ISNUMBER(D48),ISNUMBER(H48)),D48*H48*Inputs!$C$69,"")</f>
      </c>
      <c r="J48" s="42">
        <f>IF(AND(ISNUMBER(F48),ISNUMBER(H48),F48&gt;=Inputs!$C$68),F48*H48*Inputs!$C$69,"")</f>
      </c>
    </row>
    <row r="49" spans="2:10" ht="15" customHeight="1" x14ac:dyDescent="0.2">
      <c r="B49" s="39">
        <f t="shared" si="0"/>
      </c>
      <c r="C49" s="40">
        <f>IF(Inputs!$C$60,Inputs!$C$11+(B49-Inputs!$C$69)/Inputs!$C$70,"")</f>
      </c>
      <c r="D49" s="15"/>
      <c r="E49" s="15"/>
      <c r="F49" s="11">
        <f t="shared" si="1"/>
      </c>
      <c r="G49" s="22" cm="1">
        <f t="array" ref="G49">IF(AND(Inputs!$C$60,Inputs!$C$61),INDEX(Utility_Rates!$C$29:$F$52,HOUR(C49)+Inputs!$C$69,MATCH(INDEX(Utility_Rates!$K$6:$K$17,MONTH(C49))&amp;IF(WEEKDAY(C49,Inputs!$C$76)&lt;=Inputs!$C$74," weekday"," weekend"),Utility_Rates!$C$28:$F$28,Inputs!$C$68)),"")</f>
      </c>
      <c r="H49" s="34"/>
      <c r="I49" s="42">
        <f>IF(AND(ISNUMBER(D49),ISNUMBER(H49)),D49*H49*Inputs!$C$69,"")</f>
      </c>
      <c r="J49" s="42">
        <f>IF(AND(ISNUMBER(F49),ISNUMBER(H49),F49&gt;=Inputs!$C$68),F49*H49*Inputs!$C$69,"")</f>
      </c>
    </row>
    <row r="50" spans="2:10" ht="15" customHeight="1" x14ac:dyDescent="0.2">
      <c r="B50" s="39">
        <f t="shared" si="0"/>
      </c>
      <c r="C50" s="40">
        <f>IF(Inputs!$C$60,Inputs!$C$11+(B50-Inputs!$C$69)/Inputs!$C$70,"")</f>
      </c>
      <c r="D50" s="15"/>
      <c r="E50" s="15"/>
      <c r="F50" s="11">
        <f t="shared" si="1"/>
      </c>
      <c r="G50" s="22" cm="1">
        <f t="array" ref="G50">IF(AND(Inputs!$C$60,Inputs!$C$61),INDEX(Utility_Rates!$C$29:$F$52,HOUR(C50)+Inputs!$C$69,MATCH(INDEX(Utility_Rates!$K$6:$K$17,MONTH(C50))&amp;IF(WEEKDAY(C50,Inputs!$C$76)&lt;=Inputs!$C$74," weekday"," weekend"),Utility_Rates!$C$28:$F$28,Inputs!$C$68)),"")</f>
      </c>
      <c r="H50" s="34"/>
      <c r="I50" s="42">
        <f>IF(AND(ISNUMBER(D50),ISNUMBER(H50)),D50*H50*Inputs!$C$69,"")</f>
      </c>
      <c r="J50" s="42">
        <f>IF(AND(ISNUMBER(F50),ISNUMBER(H50),F50&gt;=Inputs!$C$68),F50*H50*Inputs!$C$69,"")</f>
      </c>
    </row>
    <row r="51" spans="2:10" ht="15" customHeight="1" x14ac:dyDescent="0.2">
      <c r="B51" s="39">
        <f t="shared" si="0"/>
      </c>
      <c r="C51" s="40">
        <f>IF(Inputs!$C$60,Inputs!$C$11+(B51-Inputs!$C$69)/Inputs!$C$70,"")</f>
      </c>
      <c r="D51" s="15"/>
      <c r="E51" s="15"/>
      <c r="F51" s="11">
        <f t="shared" si="1"/>
      </c>
      <c r="G51" s="22" cm="1">
        <f t="array" ref="G51">IF(AND(Inputs!$C$60,Inputs!$C$61),INDEX(Utility_Rates!$C$29:$F$52,HOUR(C51)+Inputs!$C$69,MATCH(INDEX(Utility_Rates!$K$6:$K$17,MONTH(C51))&amp;IF(WEEKDAY(C51,Inputs!$C$76)&lt;=Inputs!$C$74," weekday"," weekend"),Utility_Rates!$C$28:$F$28,Inputs!$C$68)),"")</f>
      </c>
      <c r="H51" s="34"/>
      <c r="I51" s="42">
        <f>IF(AND(ISNUMBER(D51),ISNUMBER(H51)),D51*H51*Inputs!$C$69,"")</f>
      </c>
      <c r="J51" s="42">
        <f>IF(AND(ISNUMBER(F51),ISNUMBER(H51),F51&gt;=Inputs!$C$68),F51*H51*Inputs!$C$69,"")</f>
      </c>
    </row>
    <row r="52" spans="2:10" ht="15" customHeight="1" x14ac:dyDescent="0.2">
      <c r="B52" s="39">
        <f t="shared" si="0"/>
      </c>
      <c r="C52" s="40">
        <f>IF(Inputs!$C$60,Inputs!$C$11+(B52-Inputs!$C$69)/Inputs!$C$70,"")</f>
      </c>
      <c r="D52" s="15"/>
      <c r="E52" s="15"/>
      <c r="F52" s="11">
        <f t="shared" si="1"/>
      </c>
      <c r="G52" s="22" cm="1">
        <f t="array" ref="G52">IF(AND(Inputs!$C$60,Inputs!$C$61),INDEX(Utility_Rates!$C$29:$F$52,HOUR(C52)+Inputs!$C$69,MATCH(INDEX(Utility_Rates!$K$6:$K$17,MONTH(C52))&amp;IF(WEEKDAY(C52,Inputs!$C$76)&lt;=Inputs!$C$74," weekday"," weekend"),Utility_Rates!$C$28:$F$28,Inputs!$C$68)),"")</f>
      </c>
      <c r="H52" s="34"/>
      <c r="I52" s="42">
        <f>IF(AND(ISNUMBER(D52),ISNUMBER(H52)),D52*H52*Inputs!$C$69,"")</f>
      </c>
      <c r="J52" s="42">
        <f>IF(AND(ISNUMBER(F52),ISNUMBER(H52),F52&gt;=Inputs!$C$68),F52*H52*Inputs!$C$69,"")</f>
      </c>
    </row>
    <row r="53" spans="2:10" ht="15" customHeight="1" x14ac:dyDescent="0.2">
      <c r="B53" s="39">
        <f t="shared" si="0"/>
      </c>
      <c r="C53" s="40">
        <f>IF(Inputs!$C$60,Inputs!$C$11+(B53-Inputs!$C$69)/Inputs!$C$70,"")</f>
      </c>
      <c r="D53" s="15"/>
      <c r="E53" s="15"/>
      <c r="F53" s="11">
        <f t="shared" si="1"/>
      </c>
      <c r="G53" s="22" cm="1">
        <f t="array" ref="G53">IF(AND(Inputs!$C$60,Inputs!$C$61),INDEX(Utility_Rates!$C$29:$F$52,HOUR(C53)+Inputs!$C$69,MATCH(INDEX(Utility_Rates!$K$6:$K$17,MONTH(C53))&amp;IF(WEEKDAY(C53,Inputs!$C$76)&lt;=Inputs!$C$74," weekday"," weekend"),Utility_Rates!$C$28:$F$28,Inputs!$C$68)),"")</f>
      </c>
      <c r="H53" s="34"/>
      <c r="I53" s="42">
        <f>IF(AND(ISNUMBER(D53),ISNUMBER(H53)),D53*H53*Inputs!$C$69,"")</f>
      </c>
      <c r="J53" s="42">
        <f>IF(AND(ISNUMBER(F53),ISNUMBER(H53),F53&gt;=Inputs!$C$68),F53*H53*Inputs!$C$69,"")</f>
      </c>
    </row>
    <row r="54" spans="2:10" ht="15" customHeight="1" x14ac:dyDescent="0.2">
      <c r="B54" s="39">
        <f t="shared" si="0"/>
      </c>
      <c r="C54" s="40">
        <f>IF(Inputs!$C$60,Inputs!$C$11+(B54-Inputs!$C$69)/Inputs!$C$70,"")</f>
      </c>
      <c r="D54" s="15"/>
      <c r="E54" s="15"/>
      <c r="F54" s="11">
        <f t="shared" si="1"/>
      </c>
      <c r="G54" s="22" cm="1">
        <f t="array" ref="G54">IF(AND(Inputs!$C$60,Inputs!$C$61),INDEX(Utility_Rates!$C$29:$F$52,HOUR(C54)+Inputs!$C$69,MATCH(INDEX(Utility_Rates!$K$6:$K$17,MONTH(C54))&amp;IF(WEEKDAY(C54,Inputs!$C$76)&lt;=Inputs!$C$74," weekday"," weekend"),Utility_Rates!$C$28:$F$28,Inputs!$C$68)),"")</f>
      </c>
      <c r="H54" s="34"/>
      <c r="I54" s="42">
        <f>IF(AND(ISNUMBER(D54),ISNUMBER(H54)),D54*H54*Inputs!$C$69,"")</f>
      </c>
      <c r="J54" s="42">
        <f>IF(AND(ISNUMBER(F54),ISNUMBER(H54),F54&gt;=Inputs!$C$68),F54*H54*Inputs!$C$69,"")</f>
      </c>
    </row>
    <row r="55" spans="2:10" ht="15" customHeight="1" x14ac:dyDescent="0.2">
      <c r="B55" s="39">
        <f t="shared" si="0"/>
      </c>
      <c r="C55" s="40">
        <f>IF(Inputs!$C$60,Inputs!$C$11+(B55-Inputs!$C$69)/Inputs!$C$70,"")</f>
      </c>
      <c r="D55" s="15"/>
      <c r="E55" s="15"/>
      <c r="F55" s="11">
        <f t="shared" si="1"/>
      </c>
      <c r="G55" s="22" cm="1">
        <f t="array" ref="G55">IF(AND(Inputs!$C$60,Inputs!$C$61),INDEX(Utility_Rates!$C$29:$F$52,HOUR(C55)+Inputs!$C$69,MATCH(INDEX(Utility_Rates!$K$6:$K$17,MONTH(C55))&amp;IF(WEEKDAY(C55,Inputs!$C$76)&lt;=Inputs!$C$74," weekday"," weekend"),Utility_Rates!$C$28:$F$28,Inputs!$C$68)),"")</f>
      </c>
      <c r="H55" s="34"/>
      <c r="I55" s="42">
        <f>IF(AND(ISNUMBER(D55),ISNUMBER(H55)),D55*H55*Inputs!$C$69,"")</f>
      </c>
      <c r="J55" s="42">
        <f>IF(AND(ISNUMBER(F55),ISNUMBER(H55),F55&gt;=Inputs!$C$68),F55*H55*Inputs!$C$69,"")</f>
      </c>
    </row>
    <row r="56" spans="2:10" ht="15" customHeight="1" x14ac:dyDescent="0.2">
      <c r="B56" s="39">
        <f t="shared" si="0"/>
      </c>
      <c r="C56" s="40">
        <f>IF(Inputs!$C$60,Inputs!$C$11+(B56-Inputs!$C$69)/Inputs!$C$70,"")</f>
      </c>
      <c r="D56" s="15"/>
      <c r="E56" s="15"/>
      <c r="F56" s="11">
        <f t="shared" si="1"/>
      </c>
      <c r="G56" s="22" cm="1">
        <f t="array" ref="G56">IF(AND(Inputs!$C$60,Inputs!$C$61),INDEX(Utility_Rates!$C$29:$F$52,HOUR(C56)+Inputs!$C$69,MATCH(INDEX(Utility_Rates!$K$6:$K$17,MONTH(C56))&amp;IF(WEEKDAY(C56,Inputs!$C$76)&lt;=Inputs!$C$74," weekday"," weekend"),Utility_Rates!$C$28:$F$28,Inputs!$C$68)),"")</f>
      </c>
      <c r="H56" s="34"/>
      <c r="I56" s="42">
        <f>IF(AND(ISNUMBER(D56),ISNUMBER(H56)),D56*H56*Inputs!$C$69,"")</f>
      </c>
      <c r="J56" s="42">
        <f>IF(AND(ISNUMBER(F56),ISNUMBER(H56),F56&gt;=Inputs!$C$68),F56*H56*Inputs!$C$69,"")</f>
      </c>
    </row>
    <row r="57" spans="2:10" ht="15" customHeight="1" x14ac:dyDescent="0.2">
      <c r="B57" s="39">
        <f t="shared" si="0"/>
      </c>
      <c r="C57" s="40">
        <f>IF(Inputs!$C$60,Inputs!$C$11+(B57-Inputs!$C$69)/Inputs!$C$70,"")</f>
      </c>
      <c r="D57" s="15"/>
      <c r="E57" s="15"/>
      <c r="F57" s="11">
        <f t="shared" si="1"/>
      </c>
      <c r="G57" s="22" cm="1">
        <f t="array" ref="G57">IF(AND(Inputs!$C$60,Inputs!$C$61),INDEX(Utility_Rates!$C$29:$F$52,HOUR(C57)+Inputs!$C$69,MATCH(INDEX(Utility_Rates!$K$6:$K$17,MONTH(C57))&amp;IF(WEEKDAY(C57,Inputs!$C$76)&lt;=Inputs!$C$74," weekday"," weekend"),Utility_Rates!$C$28:$F$28,Inputs!$C$68)),"")</f>
      </c>
      <c r="H57" s="34"/>
      <c r="I57" s="42">
        <f>IF(AND(ISNUMBER(D57),ISNUMBER(H57)),D57*H57*Inputs!$C$69,"")</f>
      </c>
      <c r="J57" s="42">
        <f>IF(AND(ISNUMBER(F57),ISNUMBER(H57),F57&gt;=Inputs!$C$68),F57*H57*Inputs!$C$69,"")</f>
      </c>
    </row>
    <row r="58" spans="2:10" ht="15" customHeight="1" x14ac:dyDescent="0.2">
      <c r="B58" s="39">
        <f t="shared" si="0"/>
      </c>
      <c r="C58" s="40">
        <f>IF(Inputs!$C$60,Inputs!$C$11+(B58-Inputs!$C$69)/Inputs!$C$70,"")</f>
      </c>
      <c r="D58" s="15"/>
      <c r="E58" s="15"/>
      <c r="F58" s="11">
        <f t="shared" si="1"/>
      </c>
      <c r="G58" s="22" cm="1">
        <f t="array" ref="G58">IF(AND(Inputs!$C$60,Inputs!$C$61),INDEX(Utility_Rates!$C$29:$F$52,HOUR(C58)+Inputs!$C$69,MATCH(INDEX(Utility_Rates!$K$6:$K$17,MONTH(C58))&amp;IF(WEEKDAY(C58,Inputs!$C$76)&lt;=Inputs!$C$74," weekday"," weekend"),Utility_Rates!$C$28:$F$28,Inputs!$C$68)),"")</f>
      </c>
      <c r="H58" s="34"/>
      <c r="I58" s="42">
        <f>IF(AND(ISNUMBER(D58),ISNUMBER(H58)),D58*H58*Inputs!$C$69,"")</f>
      </c>
      <c r="J58" s="42">
        <f>IF(AND(ISNUMBER(F58),ISNUMBER(H58),F58&gt;=Inputs!$C$68),F58*H58*Inputs!$C$69,"")</f>
      </c>
    </row>
    <row r="59" spans="2:10" ht="15" customHeight="1" x14ac:dyDescent="0.2">
      <c r="B59" s="39">
        <f t="shared" si="0"/>
      </c>
      <c r="C59" s="40">
        <f>IF(Inputs!$C$60,Inputs!$C$11+(B59-Inputs!$C$69)/Inputs!$C$70,"")</f>
      </c>
      <c r="D59" s="15"/>
      <c r="E59" s="15"/>
      <c r="F59" s="11">
        <f t="shared" si="1"/>
      </c>
      <c r="G59" s="22" cm="1">
        <f t="array" ref="G59">IF(AND(Inputs!$C$60,Inputs!$C$61),INDEX(Utility_Rates!$C$29:$F$52,HOUR(C59)+Inputs!$C$69,MATCH(INDEX(Utility_Rates!$K$6:$K$17,MONTH(C59))&amp;IF(WEEKDAY(C59,Inputs!$C$76)&lt;=Inputs!$C$74," weekday"," weekend"),Utility_Rates!$C$28:$F$28,Inputs!$C$68)),"")</f>
      </c>
      <c r="H59" s="34"/>
      <c r="I59" s="42">
        <f>IF(AND(ISNUMBER(D59),ISNUMBER(H59)),D59*H59*Inputs!$C$69,"")</f>
      </c>
      <c r="J59" s="42">
        <f>IF(AND(ISNUMBER(F59),ISNUMBER(H59),F59&gt;=Inputs!$C$68),F59*H59*Inputs!$C$69,"")</f>
      </c>
    </row>
    <row r="60" spans="2:10" ht="15" customHeight="1" x14ac:dyDescent="0.2">
      <c r="B60" s="39">
        <f t="shared" si="0"/>
      </c>
      <c r="C60" s="40">
        <f>IF(Inputs!$C$60,Inputs!$C$11+(B60-Inputs!$C$69)/Inputs!$C$70,"")</f>
      </c>
      <c r="D60" s="15"/>
      <c r="E60" s="15"/>
      <c r="F60" s="11">
        <f t="shared" si="1"/>
      </c>
      <c r="G60" s="22" cm="1">
        <f t="array" ref="G60">IF(AND(Inputs!$C$60,Inputs!$C$61),INDEX(Utility_Rates!$C$29:$F$52,HOUR(C60)+Inputs!$C$69,MATCH(INDEX(Utility_Rates!$K$6:$K$17,MONTH(C60))&amp;IF(WEEKDAY(C60,Inputs!$C$76)&lt;=Inputs!$C$74," weekday"," weekend"),Utility_Rates!$C$28:$F$28,Inputs!$C$68)),"")</f>
      </c>
      <c r="H60" s="34"/>
      <c r="I60" s="42">
        <f>IF(AND(ISNUMBER(D60),ISNUMBER(H60)),D60*H60*Inputs!$C$69,"")</f>
      </c>
      <c r="J60" s="42">
        <f>IF(AND(ISNUMBER(F60),ISNUMBER(H60),F60&gt;=Inputs!$C$68),F60*H60*Inputs!$C$69,"")</f>
      </c>
    </row>
    <row r="61" spans="2:10" ht="15" customHeight="1" x14ac:dyDescent="0.2">
      <c r="B61" s="39">
        <f t="shared" si="0"/>
      </c>
      <c r="C61" s="40">
        <f>IF(Inputs!$C$60,Inputs!$C$11+(B61-Inputs!$C$69)/Inputs!$C$70,"")</f>
      </c>
      <c r="D61" s="15"/>
      <c r="E61" s="15"/>
      <c r="F61" s="11">
        <f t="shared" si="1"/>
      </c>
      <c r="G61" s="22" cm="1">
        <f t="array" ref="G61">IF(AND(Inputs!$C$60,Inputs!$C$61),INDEX(Utility_Rates!$C$29:$F$52,HOUR(C61)+Inputs!$C$69,MATCH(INDEX(Utility_Rates!$K$6:$K$17,MONTH(C61))&amp;IF(WEEKDAY(C61,Inputs!$C$76)&lt;=Inputs!$C$74," weekday"," weekend"),Utility_Rates!$C$28:$F$28,Inputs!$C$68)),"")</f>
      </c>
      <c r="H61" s="34"/>
      <c r="I61" s="42">
        <f>IF(AND(ISNUMBER(D61),ISNUMBER(H61)),D61*H61*Inputs!$C$69,"")</f>
      </c>
      <c r="J61" s="42">
        <f>IF(AND(ISNUMBER(F61),ISNUMBER(H61),F61&gt;=Inputs!$C$68),F61*H61*Inputs!$C$69,"")</f>
      </c>
    </row>
    <row r="62" spans="2:10" ht="15" customHeight="1" x14ac:dyDescent="0.2">
      <c r="B62" s="39">
        <f t="shared" si="0"/>
      </c>
      <c r="C62" s="40">
        <f>IF(Inputs!$C$60,Inputs!$C$11+(B62-Inputs!$C$69)/Inputs!$C$70,"")</f>
      </c>
      <c r="D62" s="15"/>
      <c r="E62" s="15"/>
      <c r="F62" s="11">
        <f t="shared" si="1"/>
      </c>
      <c r="G62" s="22" cm="1">
        <f t="array" ref="G62">IF(AND(Inputs!$C$60,Inputs!$C$61),INDEX(Utility_Rates!$C$29:$F$52,HOUR(C62)+Inputs!$C$69,MATCH(INDEX(Utility_Rates!$K$6:$K$17,MONTH(C62))&amp;IF(WEEKDAY(C62,Inputs!$C$76)&lt;=Inputs!$C$74," weekday"," weekend"),Utility_Rates!$C$28:$F$28,Inputs!$C$68)),"")</f>
      </c>
      <c r="H62" s="34"/>
      <c r="I62" s="42">
        <f>IF(AND(ISNUMBER(D62),ISNUMBER(H62)),D62*H62*Inputs!$C$69,"")</f>
      </c>
      <c r="J62" s="42">
        <f>IF(AND(ISNUMBER(F62),ISNUMBER(H62),F62&gt;=Inputs!$C$68),F62*H62*Inputs!$C$69,"")</f>
      </c>
    </row>
    <row r="63" spans="2:10" ht="15" customHeight="1" x14ac:dyDescent="0.2">
      <c r="B63" s="39">
        <f t="shared" si="0"/>
      </c>
      <c r="C63" s="40">
        <f>IF(Inputs!$C$60,Inputs!$C$11+(B63-Inputs!$C$69)/Inputs!$C$70,"")</f>
      </c>
      <c r="D63" s="15"/>
      <c r="E63" s="15"/>
      <c r="F63" s="11">
        <f t="shared" si="1"/>
      </c>
      <c r="G63" s="22" cm="1">
        <f t="array" ref="G63">IF(AND(Inputs!$C$60,Inputs!$C$61),INDEX(Utility_Rates!$C$29:$F$52,HOUR(C63)+Inputs!$C$69,MATCH(INDEX(Utility_Rates!$K$6:$K$17,MONTH(C63))&amp;IF(WEEKDAY(C63,Inputs!$C$76)&lt;=Inputs!$C$74," weekday"," weekend"),Utility_Rates!$C$28:$F$28,Inputs!$C$68)),"")</f>
      </c>
      <c r="H63" s="34"/>
      <c r="I63" s="42">
        <f>IF(AND(ISNUMBER(D63),ISNUMBER(H63)),D63*H63*Inputs!$C$69,"")</f>
      </c>
      <c r="J63" s="42">
        <f>IF(AND(ISNUMBER(F63),ISNUMBER(H63),F63&gt;=Inputs!$C$68),F63*H63*Inputs!$C$69,"")</f>
      </c>
    </row>
    <row r="64" spans="2:10" ht="15" customHeight="1" x14ac:dyDescent="0.2">
      <c r="B64" s="39">
        <f t="shared" si="0"/>
      </c>
      <c r="C64" s="40">
        <f>IF(Inputs!$C$60,Inputs!$C$11+(B64-Inputs!$C$69)/Inputs!$C$70,"")</f>
      </c>
      <c r="D64" s="15"/>
      <c r="E64" s="15"/>
      <c r="F64" s="11">
        <f t="shared" si="1"/>
      </c>
      <c r="G64" s="22" cm="1">
        <f t="array" ref="G64">IF(AND(Inputs!$C$60,Inputs!$C$61),INDEX(Utility_Rates!$C$29:$F$52,HOUR(C64)+Inputs!$C$69,MATCH(INDEX(Utility_Rates!$K$6:$K$17,MONTH(C64))&amp;IF(WEEKDAY(C64,Inputs!$C$76)&lt;=Inputs!$C$74," weekday"," weekend"),Utility_Rates!$C$28:$F$28,Inputs!$C$68)),"")</f>
      </c>
      <c r="H64" s="34"/>
      <c r="I64" s="42">
        <f>IF(AND(ISNUMBER(D64),ISNUMBER(H64)),D64*H64*Inputs!$C$69,"")</f>
      </c>
      <c r="J64" s="42">
        <f>IF(AND(ISNUMBER(F64),ISNUMBER(H64),F64&gt;=Inputs!$C$68),F64*H64*Inputs!$C$69,"")</f>
      </c>
    </row>
    <row r="65" spans="2:10" ht="15" customHeight="1" x14ac:dyDescent="0.2">
      <c r="B65" s="39">
        <f t="shared" si="0"/>
      </c>
      <c r="C65" s="40">
        <f>IF(Inputs!$C$60,Inputs!$C$11+(B65-Inputs!$C$69)/Inputs!$C$70,"")</f>
      </c>
      <c r="D65" s="15"/>
      <c r="E65" s="15"/>
      <c r="F65" s="11">
        <f t="shared" si="1"/>
      </c>
      <c r="G65" s="22" cm="1">
        <f t="array" ref="G65">IF(AND(Inputs!$C$60,Inputs!$C$61),INDEX(Utility_Rates!$C$29:$F$52,HOUR(C65)+Inputs!$C$69,MATCH(INDEX(Utility_Rates!$K$6:$K$17,MONTH(C65))&amp;IF(WEEKDAY(C65,Inputs!$C$76)&lt;=Inputs!$C$74," weekday"," weekend"),Utility_Rates!$C$28:$F$28,Inputs!$C$68)),"")</f>
      </c>
      <c r="H65" s="34"/>
      <c r="I65" s="42">
        <f>IF(AND(ISNUMBER(D65),ISNUMBER(H65)),D65*H65*Inputs!$C$69,"")</f>
      </c>
      <c r="J65" s="42">
        <f>IF(AND(ISNUMBER(F65),ISNUMBER(H65),F65&gt;=Inputs!$C$68),F65*H65*Inputs!$C$69,"")</f>
      </c>
    </row>
    <row r="66" spans="2:10" ht="15" customHeight="1" x14ac:dyDescent="0.2">
      <c r="B66" s="39">
        <f t="shared" si="0"/>
      </c>
      <c r="C66" s="40">
        <f>IF(Inputs!$C$60,Inputs!$C$11+(B66-Inputs!$C$69)/Inputs!$C$70,"")</f>
      </c>
      <c r="D66" s="15"/>
      <c r="E66" s="15"/>
      <c r="F66" s="11">
        <f t="shared" si="1"/>
      </c>
      <c r="G66" s="22" cm="1">
        <f t="array" ref="G66">IF(AND(Inputs!$C$60,Inputs!$C$61),INDEX(Utility_Rates!$C$29:$F$52,HOUR(C66)+Inputs!$C$69,MATCH(INDEX(Utility_Rates!$K$6:$K$17,MONTH(C66))&amp;IF(WEEKDAY(C66,Inputs!$C$76)&lt;=Inputs!$C$74," weekday"," weekend"),Utility_Rates!$C$28:$F$28,Inputs!$C$68)),"")</f>
      </c>
      <c r="H66" s="34"/>
      <c r="I66" s="42">
        <f>IF(AND(ISNUMBER(D66),ISNUMBER(H66)),D66*H66*Inputs!$C$69,"")</f>
      </c>
      <c r="J66" s="42">
        <f>IF(AND(ISNUMBER(F66),ISNUMBER(H66),F66&gt;=Inputs!$C$68),F66*H66*Inputs!$C$69,"")</f>
      </c>
    </row>
    <row r="67" spans="2:10" ht="15" customHeight="1" x14ac:dyDescent="0.2">
      <c r="B67" s="39">
        <f t="shared" si="0"/>
      </c>
      <c r="C67" s="40">
        <f>IF(Inputs!$C$60,Inputs!$C$11+(B67-Inputs!$C$69)/Inputs!$C$70,"")</f>
      </c>
      <c r="D67" s="15"/>
      <c r="E67" s="15"/>
      <c r="F67" s="11">
        <f t="shared" si="1"/>
      </c>
      <c r="G67" s="22" cm="1">
        <f t="array" ref="G67">IF(AND(Inputs!$C$60,Inputs!$C$61),INDEX(Utility_Rates!$C$29:$F$52,HOUR(C67)+Inputs!$C$69,MATCH(INDEX(Utility_Rates!$K$6:$K$17,MONTH(C67))&amp;IF(WEEKDAY(C67,Inputs!$C$76)&lt;=Inputs!$C$74," weekday"," weekend"),Utility_Rates!$C$28:$F$28,Inputs!$C$68)),"")</f>
      </c>
      <c r="H67" s="34"/>
      <c r="I67" s="42">
        <f>IF(AND(ISNUMBER(D67),ISNUMBER(H67)),D67*H67*Inputs!$C$69,"")</f>
      </c>
      <c r="J67" s="42">
        <f>IF(AND(ISNUMBER(F67),ISNUMBER(H67),F67&gt;=Inputs!$C$68),F67*H67*Inputs!$C$69,"")</f>
      </c>
    </row>
    <row r="68" spans="2:10" ht="15" customHeight="1" x14ac:dyDescent="0.2">
      <c r="B68" s="39">
        <f t="shared" si="0"/>
      </c>
      <c r="C68" s="40">
        <f>IF(Inputs!$C$60,Inputs!$C$11+(B68-Inputs!$C$69)/Inputs!$C$70,"")</f>
      </c>
      <c r="D68" s="15"/>
      <c r="E68" s="15"/>
      <c r="F68" s="11">
        <f t="shared" si="1"/>
      </c>
      <c r="G68" s="22" cm="1">
        <f t="array" ref="G68">IF(AND(Inputs!$C$60,Inputs!$C$61),INDEX(Utility_Rates!$C$29:$F$52,HOUR(C68)+Inputs!$C$69,MATCH(INDEX(Utility_Rates!$K$6:$K$17,MONTH(C68))&amp;IF(WEEKDAY(C68,Inputs!$C$76)&lt;=Inputs!$C$74," weekday"," weekend"),Utility_Rates!$C$28:$F$28,Inputs!$C$68)),"")</f>
      </c>
      <c r="H68" s="34"/>
      <c r="I68" s="42">
        <f>IF(AND(ISNUMBER(D68),ISNUMBER(H68)),D68*H68*Inputs!$C$69,"")</f>
      </c>
      <c r="J68" s="42">
        <f>IF(AND(ISNUMBER(F68),ISNUMBER(H68),F68&gt;=Inputs!$C$68),F68*H68*Inputs!$C$69,"")</f>
      </c>
    </row>
    <row r="69" spans="2:10" ht="15" customHeight="1" x14ac:dyDescent="0.2">
      <c r="B69" s="39">
        <f t="shared" si="0"/>
      </c>
      <c r="C69" s="40">
        <f>IF(Inputs!$C$60,Inputs!$C$11+(B69-Inputs!$C$69)/Inputs!$C$70,"")</f>
      </c>
      <c r="D69" s="15"/>
      <c r="E69" s="15"/>
      <c r="F69" s="11">
        <f t="shared" si="1"/>
      </c>
      <c r="G69" s="22" cm="1">
        <f t="array" ref="G69">IF(AND(Inputs!$C$60,Inputs!$C$61),INDEX(Utility_Rates!$C$29:$F$52,HOUR(C69)+Inputs!$C$69,MATCH(INDEX(Utility_Rates!$K$6:$K$17,MONTH(C69))&amp;IF(WEEKDAY(C69,Inputs!$C$76)&lt;=Inputs!$C$74," weekday"," weekend"),Utility_Rates!$C$28:$F$28,Inputs!$C$68)),"")</f>
      </c>
      <c r="H69" s="34"/>
      <c r="I69" s="42">
        <f>IF(AND(ISNUMBER(D69),ISNUMBER(H69)),D69*H69*Inputs!$C$69,"")</f>
      </c>
      <c r="J69" s="42">
        <f>IF(AND(ISNUMBER(F69),ISNUMBER(H69),F69&gt;=Inputs!$C$68),F69*H69*Inputs!$C$69,"")</f>
      </c>
    </row>
    <row r="70" spans="2:10" ht="15" customHeight="1" x14ac:dyDescent="0.2">
      <c r="B70" s="39">
        <f t="shared" si="0"/>
      </c>
      <c r="C70" s="40">
        <f>IF(Inputs!$C$60,Inputs!$C$11+(B70-Inputs!$C$69)/Inputs!$C$70,"")</f>
      </c>
      <c r="D70" s="15"/>
      <c r="E70" s="15"/>
      <c r="F70" s="11">
        <f t="shared" si="1"/>
      </c>
      <c r="G70" s="22" cm="1">
        <f t="array" ref="G70">IF(AND(Inputs!$C$60,Inputs!$C$61),INDEX(Utility_Rates!$C$29:$F$52,HOUR(C70)+Inputs!$C$69,MATCH(INDEX(Utility_Rates!$K$6:$K$17,MONTH(C70))&amp;IF(WEEKDAY(C70,Inputs!$C$76)&lt;=Inputs!$C$74," weekday"," weekend"),Utility_Rates!$C$28:$F$28,Inputs!$C$68)),"")</f>
      </c>
      <c r="H70" s="34"/>
      <c r="I70" s="42">
        <f>IF(AND(ISNUMBER(D70),ISNUMBER(H70)),D70*H70*Inputs!$C$69,"")</f>
      </c>
      <c r="J70" s="42">
        <f>IF(AND(ISNUMBER(F70),ISNUMBER(H70),F70&gt;=Inputs!$C$68),F70*H70*Inputs!$C$69,"")</f>
      </c>
    </row>
    <row r="71" spans="2:10" ht="15" customHeight="1" x14ac:dyDescent="0.2">
      <c r="B71" s="39">
        <f t="shared" si="0"/>
      </c>
      <c r="C71" s="40">
        <f>IF(Inputs!$C$60,Inputs!$C$11+(B71-Inputs!$C$69)/Inputs!$C$70,"")</f>
      </c>
      <c r="D71" s="15"/>
      <c r="E71" s="15"/>
      <c r="F71" s="11">
        <f t="shared" si="1"/>
      </c>
      <c r="G71" s="22" cm="1">
        <f t="array" ref="G71">IF(AND(Inputs!$C$60,Inputs!$C$61),INDEX(Utility_Rates!$C$29:$F$52,HOUR(C71)+Inputs!$C$69,MATCH(INDEX(Utility_Rates!$K$6:$K$17,MONTH(C71))&amp;IF(WEEKDAY(C71,Inputs!$C$76)&lt;=Inputs!$C$74," weekday"," weekend"),Utility_Rates!$C$28:$F$28,Inputs!$C$68)),"")</f>
      </c>
      <c r="H71" s="34"/>
      <c r="I71" s="42">
        <f>IF(AND(ISNUMBER(D71),ISNUMBER(H71)),D71*H71*Inputs!$C$69,"")</f>
      </c>
      <c r="J71" s="42">
        <f>IF(AND(ISNUMBER(F71),ISNUMBER(H71),F71&gt;=Inputs!$C$68),F71*H71*Inputs!$C$69,"")</f>
      </c>
    </row>
    <row r="72" spans="2:10" ht="15" customHeight="1" x14ac:dyDescent="0.2">
      <c r="B72" s="39">
        <f t="shared" si="0"/>
      </c>
      <c r="C72" s="40">
        <f>IF(Inputs!$C$60,Inputs!$C$11+(B72-Inputs!$C$69)/Inputs!$C$70,"")</f>
      </c>
      <c r="D72" s="15"/>
      <c r="E72" s="15"/>
      <c r="F72" s="11">
        <f t="shared" si="1"/>
      </c>
      <c r="G72" s="22" cm="1">
        <f t="array" ref="G72">IF(AND(Inputs!$C$60,Inputs!$C$61),INDEX(Utility_Rates!$C$29:$F$52,HOUR(C72)+Inputs!$C$69,MATCH(INDEX(Utility_Rates!$K$6:$K$17,MONTH(C72))&amp;IF(WEEKDAY(C72,Inputs!$C$76)&lt;=Inputs!$C$74," weekday"," weekend"),Utility_Rates!$C$28:$F$28,Inputs!$C$68)),"")</f>
      </c>
      <c r="H72" s="34"/>
      <c r="I72" s="42">
        <f>IF(AND(ISNUMBER(D72),ISNUMBER(H72)),D72*H72*Inputs!$C$69,"")</f>
      </c>
      <c r="J72" s="42">
        <f>IF(AND(ISNUMBER(F72),ISNUMBER(H72),F72&gt;=Inputs!$C$68),F72*H72*Inputs!$C$69,"")</f>
      </c>
    </row>
    <row r="73" spans="2:10" ht="15" customHeight="1" x14ac:dyDescent="0.2">
      <c r="B73" s="39">
        <f t="shared" si="0"/>
      </c>
      <c r="C73" s="40">
        <f>IF(Inputs!$C$60,Inputs!$C$11+(B73-Inputs!$C$69)/Inputs!$C$70,"")</f>
      </c>
      <c r="D73" s="15"/>
      <c r="E73" s="15"/>
      <c r="F73" s="11">
        <f t="shared" si="1"/>
      </c>
      <c r="G73" s="22" cm="1">
        <f t="array" ref="G73">IF(AND(Inputs!$C$60,Inputs!$C$61),INDEX(Utility_Rates!$C$29:$F$52,HOUR(C73)+Inputs!$C$69,MATCH(INDEX(Utility_Rates!$K$6:$K$17,MONTH(C73))&amp;IF(WEEKDAY(C73,Inputs!$C$76)&lt;=Inputs!$C$74," weekday"," weekend"),Utility_Rates!$C$28:$F$28,Inputs!$C$68)),"")</f>
      </c>
      <c r="H73" s="34"/>
      <c r="I73" s="42">
        <f>IF(AND(ISNUMBER(D73),ISNUMBER(H73)),D73*H73*Inputs!$C$69,"")</f>
      </c>
      <c r="J73" s="42">
        <f>IF(AND(ISNUMBER(F73),ISNUMBER(H73),F73&gt;=Inputs!$C$68),F73*H73*Inputs!$C$69,"")</f>
      </c>
    </row>
    <row r="74" spans="2:10" ht="15" customHeight="1" x14ac:dyDescent="0.2">
      <c r="B74" s="39">
        <f t="shared" si="0"/>
      </c>
      <c r="C74" s="40">
        <f>IF(Inputs!$C$60,Inputs!$C$11+(B74-Inputs!$C$69)/Inputs!$C$70,"")</f>
      </c>
      <c r="D74" s="15"/>
      <c r="E74" s="15"/>
      <c r="F74" s="11">
        <f t="shared" si="1"/>
      </c>
      <c r="G74" s="22" cm="1">
        <f t="array" ref="G74">IF(AND(Inputs!$C$60,Inputs!$C$61),INDEX(Utility_Rates!$C$29:$F$52,HOUR(C74)+Inputs!$C$69,MATCH(INDEX(Utility_Rates!$K$6:$K$17,MONTH(C74))&amp;IF(WEEKDAY(C74,Inputs!$C$76)&lt;=Inputs!$C$74," weekday"," weekend"),Utility_Rates!$C$28:$F$28,Inputs!$C$68)),"")</f>
      </c>
      <c r="H74" s="34"/>
      <c r="I74" s="42">
        <f>IF(AND(ISNUMBER(D74),ISNUMBER(H74)),D74*H74*Inputs!$C$69,"")</f>
      </c>
      <c r="J74" s="42">
        <f>IF(AND(ISNUMBER(F74),ISNUMBER(H74),F74&gt;=Inputs!$C$68),F74*H74*Inputs!$C$69,"")</f>
      </c>
    </row>
    <row r="75" spans="2:10" ht="15" customHeight="1" x14ac:dyDescent="0.2">
      <c r="B75" s="39">
        <f t="shared" si="0"/>
      </c>
      <c r="C75" s="40">
        <f>IF(Inputs!$C$60,Inputs!$C$11+(B75-Inputs!$C$69)/Inputs!$C$70,"")</f>
      </c>
      <c r="D75" s="15"/>
      <c r="E75" s="15"/>
      <c r="F75" s="11">
        <f t="shared" si="1"/>
      </c>
      <c r="G75" s="22" cm="1">
        <f t="array" ref="G75">IF(AND(Inputs!$C$60,Inputs!$C$61),INDEX(Utility_Rates!$C$29:$F$52,HOUR(C75)+Inputs!$C$69,MATCH(INDEX(Utility_Rates!$K$6:$K$17,MONTH(C75))&amp;IF(WEEKDAY(C75,Inputs!$C$76)&lt;=Inputs!$C$74," weekday"," weekend"),Utility_Rates!$C$28:$F$28,Inputs!$C$68)),"")</f>
      </c>
      <c r="H75" s="34"/>
      <c r="I75" s="42">
        <f>IF(AND(ISNUMBER(D75),ISNUMBER(H75)),D75*H75*Inputs!$C$69,"")</f>
      </c>
      <c r="J75" s="42">
        <f>IF(AND(ISNUMBER(F75),ISNUMBER(H75),F75&gt;=Inputs!$C$68),F75*H75*Inputs!$C$69,"")</f>
      </c>
    </row>
    <row r="76" spans="2:10" ht="15" customHeight="1" x14ac:dyDescent="0.2">
      <c r="B76" s="39">
        <f t="shared" si="0"/>
      </c>
      <c r="C76" s="40">
        <f>IF(Inputs!$C$60,Inputs!$C$11+(B76-Inputs!$C$69)/Inputs!$C$70,"")</f>
      </c>
      <c r="D76" s="15"/>
      <c r="E76" s="15"/>
      <c r="F76" s="11">
        <f t="shared" si="1"/>
      </c>
      <c r="G76" s="22" cm="1">
        <f t="array" ref="G76">IF(AND(Inputs!$C$60,Inputs!$C$61),INDEX(Utility_Rates!$C$29:$F$52,HOUR(C76)+Inputs!$C$69,MATCH(INDEX(Utility_Rates!$K$6:$K$17,MONTH(C76))&amp;IF(WEEKDAY(C76,Inputs!$C$76)&lt;=Inputs!$C$74," weekday"," weekend"),Utility_Rates!$C$28:$F$28,Inputs!$C$68)),"")</f>
      </c>
      <c r="H76" s="34"/>
      <c r="I76" s="42">
        <f>IF(AND(ISNUMBER(D76),ISNUMBER(H76)),D76*H76*Inputs!$C$69,"")</f>
      </c>
      <c r="J76" s="42">
        <f>IF(AND(ISNUMBER(F76),ISNUMBER(H76),F76&gt;=Inputs!$C$68),F76*H76*Inputs!$C$69,"")</f>
      </c>
    </row>
    <row r="77" spans="2:10" ht="15" customHeight="1" x14ac:dyDescent="0.2">
      <c r="B77" s="39">
        <f t="shared" si="0"/>
      </c>
      <c r="C77" s="40">
        <f>IF(Inputs!$C$60,Inputs!$C$11+(B77-Inputs!$C$69)/Inputs!$C$70,"")</f>
      </c>
      <c r="D77" s="15"/>
      <c r="E77" s="15"/>
      <c r="F77" s="11">
        <f t="shared" si="1"/>
      </c>
      <c r="G77" s="22" cm="1">
        <f t="array" ref="G77">IF(AND(Inputs!$C$60,Inputs!$C$61),INDEX(Utility_Rates!$C$29:$F$52,HOUR(C77)+Inputs!$C$69,MATCH(INDEX(Utility_Rates!$K$6:$K$17,MONTH(C77))&amp;IF(WEEKDAY(C77,Inputs!$C$76)&lt;=Inputs!$C$74," weekday"," weekend"),Utility_Rates!$C$28:$F$28,Inputs!$C$68)),"")</f>
      </c>
      <c r="H77" s="34"/>
      <c r="I77" s="42">
        <f>IF(AND(ISNUMBER(D77),ISNUMBER(H77)),D77*H77*Inputs!$C$69,"")</f>
      </c>
      <c r="J77" s="42">
        <f>IF(AND(ISNUMBER(F77),ISNUMBER(H77),F77&gt;=Inputs!$C$68),F77*H77*Inputs!$C$69,"")</f>
      </c>
    </row>
    <row r="78" spans="2:10" ht="15" customHeight="1" x14ac:dyDescent="0.2">
      <c r="B78" s="39">
        <f t="shared" si="0"/>
      </c>
      <c r="C78" s="40">
        <f>IF(Inputs!$C$60,Inputs!$C$11+(B78-Inputs!$C$69)/Inputs!$C$70,"")</f>
      </c>
      <c r="D78" s="15"/>
      <c r="E78" s="15"/>
      <c r="F78" s="11">
        <f t="shared" si="1"/>
      </c>
      <c r="G78" s="22" cm="1">
        <f t="array" ref="G78">IF(AND(Inputs!$C$60,Inputs!$C$61),INDEX(Utility_Rates!$C$29:$F$52,HOUR(C78)+Inputs!$C$69,MATCH(INDEX(Utility_Rates!$K$6:$K$17,MONTH(C78))&amp;IF(WEEKDAY(C78,Inputs!$C$76)&lt;=Inputs!$C$74," weekday"," weekend"),Utility_Rates!$C$28:$F$28,Inputs!$C$68)),"")</f>
      </c>
      <c r="H78" s="34"/>
      <c r="I78" s="42">
        <f>IF(AND(ISNUMBER(D78),ISNUMBER(H78)),D78*H78*Inputs!$C$69,"")</f>
      </c>
      <c r="J78" s="42">
        <f>IF(AND(ISNUMBER(F78),ISNUMBER(H78),F78&gt;=Inputs!$C$68),F78*H78*Inputs!$C$69,"")</f>
      </c>
    </row>
    <row r="79" spans="2:10" ht="15" customHeight="1" x14ac:dyDescent="0.2">
      <c r="B79" s="39">
        <f t="shared" si="0"/>
      </c>
      <c r="C79" s="40">
        <f>IF(Inputs!$C$60,Inputs!$C$11+(B79-Inputs!$C$69)/Inputs!$C$70,"")</f>
      </c>
      <c r="D79" s="15"/>
      <c r="E79" s="15"/>
      <c r="F79" s="11">
        <f t="shared" si="1"/>
      </c>
      <c r="G79" s="22" cm="1">
        <f t="array" ref="G79">IF(AND(Inputs!$C$60,Inputs!$C$61),INDEX(Utility_Rates!$C$29:$F$52,HOUR(C79)+Inputs!$C$69,MATCH(INDEX(Utility_Rates!$K$6:$K$17,MONTH(C79))&amp;IF(WEEKDAY(C79,Inputs!$C$76)&lt;=Inputs!$C$74," weekday"," weekend"),Utility_Rates!$C$28:$F$28,Inputs!$C$68)),"")</f>
      </c>
      <c r="H79" s="34"/>
      <c r="I79" s="42">
        <f>IF(AND(ISNUMBER(D79),ISNUMBER(H79)),D79*H79*Inputs!$C$69,"")</f>
      </c>
      <c r="J79" s="42">
        <f>IF(AND(ISNUMBER(F79),ISNUMBER(H79),F79&gt;=Inputs!$C$68),F79*H79*Inputs!$C$69,"")</f>
      </c>
    </row>
    <row r="80" spans="2:10" ht="15" customHeight="1" x14ac:dyDescent="0.2">
      <c r="B80" s="39">
        <f t="shared" si="0"/>
      </c>
      <c r="C80" s="40">
        <f>IF(Inputs!$C$60,Inputs!$C$11+(B80-Inputs!$C$69)/Inputs!$C$70,"")</f>
      </c>
      <c r="D80" s="15"/>
      <c r="E80" s="15"/>
      <c r="F80" s="11">
        <f t="shared" si="1"/>
      </c>
      <c r="G80" s="22" cm="1">
        <f t="array" ref="G80">IF(AND(Inputs!$C$60,Inputs!$C$61),INDEX(Utility_Rates!$C$29:$F$52,HOUR(C80)+Inputs!$C$69,MATCH(INDEX(Utility_Rates!$K$6:$K$17,MONTH(C80))&amp;IF(WEEKDAY(C80,Inputs!$C$76)&lt;=Inputs!$C$74," weekday"," weekend"),Utility_Rates!$C$28:$F$28,Inputs!$C$68)),"")</f>
      </c>
      <c r="H80" s="34"/>
      <c r="I80" s="42">
        <f>IF(AND(ISNUMBER(D80),ISNUMBER(H80)),D80*H80*Inputs!$C$69,"")</f>
      </c>
      <c r="J80" s="42">
        <f>IF(AND(ISNUMBER(F80),ISNUMBER(H80),F80&gt;=Inputs!$C$68),F80*H80*Inputs!$C$69,"")</f>
      </c>
    </row>
    <row r="81" spans="2:10" ht="15" customHeight="1" x14ac:dyDescent="0.2">
      <c r="B81" s="39">
        <f t="shared" si="0"/>
      </c>
      <c r="C81" s="40">
        <f>IF(Inputs!$C$60,Inputs!$C$11+(B81-Inputs!$C$69)/Inputs!$C$70,"")</f>
      </c>
      <c r="D81" s="15"/>
      <c r="E81" s="15"/>
      <c r="F81" s="11">
        <f t="shared" si="1"/>
      </c>
      <c r="G81" s="22" cm="1">
        <f t="array" ref="G81">IF(AND(Inputs!$C$60,Inputs!$C$61),INDEX(Utility_Rates!$C$29:$F$52,HOUR(C81)+Inputs!$C$69,MATCH(INDEX(Utility_Rates!$K$6:$K$17,MONTH(C81))&amp;IF(WEEKDAY(C81,Inputs!$C$76)&lt;=Inputs!$C$74," weekday"," weekend"),Utility_Rates!$C$28:$F$28,Inputs!$C$68)),"")</f>
      </c>
      <c r="H81" s="34"/>
      <c r="I81" s="42">
        <f>IF(AND(ISNUMBER(D81),ISNUMBER(H81)),D81*H81*Inputs!$C$69,"")</f>
      </c>
      <c r="J81" s="42">
        <f>IF(AND(ISNUMBER(F81),ISNUMBER(H81),F81&gt;=Inputs!$C$68),F81*H81*Inputs!$C$69,"")</f>
      </c>
    </row>
    <row r="82" spans="2:10" ht="15" customHeight="1" x14ac:dyDescent="0.2">
      <c r="B82" s="39">
        <f t="shared" si="0"/>
      </c>
      <c r="C82" s="40">
        <f>IF(Inputs!$C$60,Inputs!$C$11+(B82-Inputs!$C$69)/Inputs!$C$70,"")</f>
      </c>
      <c r="D82" s="15"/>
      <c r="E82" s="15"/>
      <c r="F82" s="11">
        <f t="shared" si="1"/>
      </c>
      <c r="G82" s="22" cm="1">
        <f t="array" ref="G82">IF(AND(Inputs!$C$60,Inputs!$C$61),INDEX(Utility_Rates!$C$29:$F$52,HOUR(C82)+Inputs!$C$69,MATCH(INDEX(Utility_Rates!$K$6:$K$17,MONTH(C82))&amp;IF(WEEKDAY(C82,Inputs!$C$76)&lt;=Inputs!$C$74," weekday"," weekend"),Utility_Rates!$C$28:$F$28,Inputs!$C$68)),"")</f>
      </c>
      <c r="H82" s="34"/>
      <c r="I82" s="42">
        <f>IF(AND(ISNUMBER(D82),ISNUMBER(H82)),D82*H82*Inputs!$C$69,"")</f>
      </c>
      <c r="J82" s="42">
        <f>IF(AND(ISNUMBER(F82),ISNUMBER(H82),F82&gt;=Inputs!$C$68),F82*H82*Inputs!$C$69,"")</f>
      </c>
    </row>
    <row r="83" spans="2:10" ht="15" customHeight="1" x14ac:dyDescent="0.2">
      <c r="B83" s="39">
        <f t="shared" si="0"/>
      </c>
      <c r="C83" s="40">
        <f>IF(Inputs!$C$60,Inputs!$C$11+(B83-Inputs!$C$69)/Inputs!$C$70,"")</f>
      </c>
      <c r="D83" s="15"/>
      <c r="E83" s="15"/>
      <c r="F83" s="11">
        <f t="shared" si="1"/>
      </c>
      <c r="G83" s="22" cm="1">
        <f t="array" ref="G83">IF(AND(Inputs!$C$60,Inputs!$C$61),INDEX(Utility_Rates!$C$29:$F$52,HOUR(C83)+Inputs!$C$69,MATCH(INDEX(Utility_Rates!$K$6:$K$17,MONTH(C83))&amp;IF(WEEKDAY(C83,Inputs!$C$76)&lt;=Inputs!$C$74," weekday"," weekend"),Utility_Rates!$C$28:$F$28,Inputs!$C$68)),"")</f>
      </c>
      <c r="H83" s="34"/>
      <c r="I83" s="42">
        <f>IF(AND(ISNUMBER(D83),ISNUMBER(H83)),D83*H83*Inputs!$C$69,"")</f>
      </c>
      <c r="J83" s="42">
        <f>IF(AND(ISNUMBER(F83),ISNUMBER(H83),F83&gt;=Inputs!$C$68),F83*H83*Inputs!$C$69,"")</f>
      </c>
    </row>
    <row r="84" spans="2:10" ht="15" customHeight="1" x14ac:dyDescent="0.2">
      <c r="B84" s="39">
        <f t="shared" si="0"/>
      </c>
      <c r="C84" s="40">
        <f>IF(Inputs!$C$60,Inputs!$C$11+(B84-Inputs!$C$69)/Inputs!$C$70,"")</f>
      </c>
      <c r="D84" s="15"/>
      <c r="E84" s="15"/>
      <c r="F84" s="11">
        <f t="shared" si="1"/>
      </c>
      <c r="G84" s="22" cm="1">
        <f t="array" ref="G84">IF(AND(Inputs!$C$60,Inputs!$C$61),INDEX(Utility_Rates!$C$29:$F$52,HOUR(C84)+Inputs!$C$69,MATCH(INDEX(Utility_Rates!$K$6:$K$17,MONTH(C84))&amp;IF(WEEKDAY(C84,Inputs!$C$76)&lt;=Inputs!$C$74," weekday"," weekend"),Utility_Rates!$C$28:$F$28,Inputs!$C$68)),"")</f>
      </c>
      <c r="H84" s="34"/>
      <c r="I84" s="42">
        <f>IF(AND(ISNUMBER(D84),ISNUMBER(H84)),D84*H84*Inputs!$C$69,"")</f>
      </c>
      <c r="J84" s="42">
        <f>IF(AND(ISNUMBER(F84),ISNUMBER(H84),F84&gt;=Inputs!$C$68),F84*H84*Inputs!$C$69,"")</f>
      </c>
    </row>
    <row r="85" spans="2:10" ht="15" customHeight="1" x14ac:dyDescent="0.2">
      <c r="B85" s="39">
        <f t="shared" si="0"/>
      </c>
      <c r="C85" s="40">
        <f>IF(Inputs!$C$60,Inputs!$C$11+(B85-Inputs!$C$69)/Inputs!$C$70,"")</f>
      </c>
      <c r="D85" s="15"/>
      <c r="E85" s="15"/>
      <c r="F85" s="11">
        <f t="shared" si="1"/>
      </c>
      <c r="G85" s="22" cm="1">
        <f t="array" ref="G85">IF(AND(Inputs!$C$60,Inputs!$C$61),INDEX(Utility_Rates!$C$29:$F$52,HOUR(C85)+Inputs!$C$69,MATCH(INDEX(Utility_Rates!$K$6:$K$17,MONTH(C85))&amp;IF(WEEKDAY(C85,Inputs!$C$76)&lt;=Inputs!$C$74," weekday"," weekend"),Utility_Rates!$C$28:$F$28,Inputs!$C$68)),"")</f>
      </c>
      <c r="H85" s="34"/>
      <c r="I85" s="42">
        <f>IF(AND(ISNUMBER(D85),ISNUMBER(H85)),D85*H85*Inputs!$C$69,"")</f>
      </c>
      <c r="J85" s="42">
        <f>IF(AND(ISNUMBER(F85),ISNUMBER(H85),F85&gt;=Inputs!$C$68),F85*H85*Inputs!$C$69,"")</f>
      </c>
    </row>
    <row r="86" spans="2:10" ht="15" customHeight="1" x14ac:dyDescent="0.2">
      <c r="B86" s="39">
        <f t="shared" si="0"/>
      </c>
      <c r="C86" s="40">
        <f>IF(Inputs!$C$60,Inputs!$C$11+(B86-Inputs!$C$69)/Inputs!$C$70,"")</f>
      </c>
      <c r="D86" s="15"/>
      <c r="E86" s="15"/>
      <c r="F86" s="11">
        <f t="shared" si="1"/>
      </c>
      <c r="G86" s="22" cm="1">
        <f t="array" ref="G86">IF(AND(Inputs!$C$60,Inputs!$C$61),INDEX(Utility_Rates!$C$29:$F$52,HOUR(C86)+Inputs!$C$69,MATCH(INDEX(Utility_Rates!$K$6:$K$17,MONTH(C86))&amp;IF(WEEKDAY(C86,Inputs!$C$76)&lt;=Inputs!$C$74," weekday"," weekend"),Utility_Rates!$C$28:$F$28,Inputs!$C$68)),"")</f>
      </c>
      <c r="H86" s="34"/>
      <c r="I86" s="42">
        <f>IF(AND(ISNUMBER(D86),ISNUMBER(H86)),D86*H86*Inputs!$C$69,"")</f>
      </c>
      <c r="J86" s="42">
        <f>IF(AND(ISNUMBER(F86),ISNUMBER(H86),F86&gt;=Inputs!$C$68),F86*H86*Inputs!$C$69,"")</f>
      </c>
    </row>
    <row r="87" spans="2:10" ht="15" customHeight="1" x14ac:dyDescent="0.2">
      <c r="B87" s="39">
        <f t="shared" si="0"/>
      </c>
      <c r="C87" s="40">
        <f>IF(Inputs!$C$60,Inputs!$C$11+(B87-Inputs!$C$69)/Inputs!$C$70,"")</f>
      </c>
      <c r="D87" s="15"/>
      <c r="E87" s="15"/>
      <c r="F87" s="11">
        <f t="shared" si="1"/>
      </c>
      <c r="G87" s="22" cm="1">
        <f t="array" ref="G87">IF(AND(Inputs!$C$60,Inputs!$C$61),INDEX(Utility_Rates!$C$29:$F$52,HOUR(C87)+Inputs!$C$69,MATCH(INDEX(Utility_Rates!$K$6:$K$17,MONTH(C87))&amp;IF(WEEKDAY(C87,Inputs!$C$76)&lt;=Inputs!$C$74," weekday"," weekend"),Utility_Rates!$C$28:$F$28,Inputs!$C$68)),"")</f>
      </c>
      <c r="H87" s="34"/>
      <c r="I87" s="42">
        <f>IF(AND(ISNUMBER(D87),ISNUMBER(H87)),D87*H87*Inputs!$C$69,"")</f>
      </c>
      <c r="J87" s="42">
        <f>IF(AND(ISNUMBER(F87),ISNUMBER(H87),F87&gt;=Inputs!$C$68),F87*H87*Inputs!$C$69,"")</f>
      </c>
    </row>
    <row r="88" spans="2:10" ht="15" customHeight="1" x14ac:dyDescent="0.2">
      <c r="B88" s="39">
        <f t="shared" si="0"/>
      </c>
      <c r="C88" s="40">
        <f>IF(Inputs!$C$60,Inputs!$C$11+(B88-Inputs!$C$69)/Inputs!$C$70,"")</f>
      </c>
      <c r="D88" s="15"/>
      <c r="E88" s="15"/>
      <c r="F88" s="11">
        <f t="shared" si="1"/>
      </c>
      <c r="G88" s="22" cm="1">
        <f t="array" ref="G88">IF(AND(Inputs!$C$60,Inputs!$C$61),INDEX(Utility_Rates!$C$29:$F$52,HOUR(C88)+Inputs!$C$69,MATCH(INDEX(Utility_Rates!$K$6:$K$17,MONTH(C88))&amp;IF(WEEKDAY(C88,Inputs!$C$76)&lt;=Inputs!$C$74," weekday"," weekend"),Utility_Rates!$C$28:$F$28,Inputs!$C$68)),"")</f>
      </c>
      <c r="H88" s="34"/>
      <c r="I88" s="42">
        <f>IF(AND(ISNUMBER(D88),ISNUMBER(H88)),D88*H88*Inputs!$C$69,"")</f>
      </c>
      <c r="J88" s="42">
        <f>IF(AND(ISNUMBER(F88),ISNUMBER(H88),F88&gt;=Inputs!$C$68),F88*H88*Inputs!$C$69,"")</f>
      </c>
    </row>
    <row r="89" spans="2:10" ht="15" customHeight="1" x14ac:dyDescent="0.2">
      <c r="B89" s="39">
        <f t="shared" si="0"/>
      </c>
      <c r="C89" s="40">
        <f>IF(Inputs!$C$60,Inputs!$C$11+(B89-Inputs!$C$69)/Inputs!$C$70,"")</f>
      </c>
      <c r="D89" s="15"/>
      <c r="E89" s="15"/>
      <c r="F89" s="11">
        <f t="shared" si="1"/>
      </c>
      <c r="G89" s="22" cm="1">
        <f t="array" ref="G89">IF(AND(Inputs!$C$60,Inputs!$C$61),INDEX(Utility_Rates!$C$29:$F$52,HOUR(C89)+Inputs!$C$69,MATCH(INDEX(Utility_Rates!$K$6:$K$17,MONTH(C89))&amp;IF(WEEKDAY(C89,Inputs!$C$76)&lt;=Inputs!$C$74," weekday"," weekend"),Utility_Rates!$C$28:$F$28,Inputs!$C$68)),"")</f>
      </c>
      <c r="H89" s="34"/>
      <c r="I89" s="42">
        <f>IF(AND(ISNUMBER(D89),ISNUMBER(H89)),D89*H89*Inputs!$C$69,"")</f>
      </c>
      <c r="J89" s="42">
        <f>IF(AND(ISNUMBER(F89),ISNUMBER(H89),F89&gt;=Inputs!$C$68),F89*H89*Inputs!$C$69,"")</f>
      </c>
    </row>
    <row r="90" spans="2:10" ht="15" customHeight="1" x14ac:dyDescent="0.2">
      <c r="B90" s="39">
        <f t="shared" si="0"/>
      </c>
      <c r="C90" s="40">
        <f>IF(Inputs!$C$60,Inputs!$C$11+(B90-Inputs!$C$69)/Inputs!$C$70,"")</f>
      </c>
      <c r="D90" s="15"/>
      <c r="E90" s="15"/>
      <c r="F90" s="11">
        <f t="shared" si="1"/>
      </c>
      <c r="G90" s="22" cm="1">
        <f t="array" ref="G90">IF(AND(Inputs!$C$60,Inputs!$C$61),INDEX(Utility_Rates!$C$29:$F$52,HOUR(C90)+Inputs!$C$69,MATCH(INDEX(Utility_Rates!$K$6:$K$17,MONTH(C90))&amp;IF(WEEKDAY(C90,Inputs!$C$76)&lt;=Inputs!$C$74," weekday"," weekend"),Utility_Rates!$C$28:$F$28,Inputs!$C$68)),"")</f>
      </c>
      <c r="H90" s="34"/>
      <c r="I90" s="42">
        <f>IF(AND(ISNUMBER(D90),ISNUMBER(H90)),D90*H90*Inputs!$C$69,"")</f>
      </c>
      <c r="J90" s="42">
        <f>IF(AND(ISNUMBER(F90),ISNUMBER(H90),F90&gt;=Inputs!$C$68),F90*H90*Inputs!$C$69,"")</f>
      </c>
    </row>
    <row r="91" spans="2:10" ht="15" customHeight="1" x14ac:dyDescent="0.2">
      <c r="B91" s="39">
        <f t="shared" si="0"/>
      </c>
      <c r="C91" s="40">
        <f>IF(Inputs!$C$60,Inputs!$C$11+(B91-Inputs!$C$69)/Inputs!$C$70,"")</f>
      </c>
      <c r="D91" s="15"/>
      <c r="E91" s="15"/>
      <c r="F91" s="11">
        <f t="shared" si="1"/>
      </c>
      <c r="G91" s="22" cm="1">
        <f t="array" ref="G91">IF(AND(Inputs!$C$60,Inputs!$C$61),INDEX(Utility_Rates!$C$29:$F$52,HOUR(C91)+Inputs!$C$69,MATCH(INDEX(Utility_Rates!$K$6:$K$17,MONTH(C91))&amp;IF(WEEKDAY(C91,Inputs!$C$76)&lt;=Inputs!$C$74," weekday"," weekend"),Utility_Rates!$C$28:$F$28,Inputs!$C$68)),"")</f>
      </c>
      <c r="H91" s="34"/>
      <c r="I91" s="42">
        <f>IF(AND(ISNUMBER(D91),ISNUMBER(H91)),D91*H91*Inputs!$C$69,"")</f>
      </c>
      <c r="J91" s="42">
        <f>IF(AND(ISNUMBER(F91),ISNUMBER(H91),F91&gt;=Inputs!$C$68),F91*H91*Inputs!$C$69,"")</f>
      </c>
    </row>
    <row r="92" spans="2:10" ht="15" customHeight="1" x14ac:dyDescent="0.2">
      <c r="B92" s="39">
        <f t="shared" si="0"/>
      </c>
      <c r="C92" s="40">
        <f>IF(Inputs!$C$60,Inputs!$C$11+(B92-Inputs!$C$69)/Inputs!$C$70,"")</f>
      </c>
      <c r="D92" s="15"/>
      <c r="E92" s="15"/>
      <c r="F92" s="11">
        <f t="shared" si="1"/>
      </c>
      <c r="G92" s="22" cm="1">
        <f t="array" ref="G92">IF(AND(Inputs!$C$60,Inputs!$C$61),INDEX(Utility_Rates!$C$29:$F$52,HOUR(C92)+Inputs!$C$69,MATCH(INDEX(Utility_Rates!$K$6:$K$17,MONTH(C92))&amp;IF(WEEKDAY(C92,Inputs!$C$76)&lt;=Inputs!$C$74," weekday"," weekend"),Utility_Rates!$C$28:$F$28,Inputs!$C$68)),"")</f>
      </c>
      <c r="H92" s="34"/>
      <c r="I92" s="42">
        <f>IF(AND(ISNUMBER(D92),ISNUMBER(H92)),D92*H92*Inputs!$C$69,"")</f>
      </c>
      <c r="J92" s="42">
        <f>IF(AND(ISNUMBER(F92),ISNUMBER(H92),F92&gt;=Inputs!$C$68),F92*H92*Inputs!$C$69,"")</f>
      </c>
    </row>
    <row r="93" spans="2:10" ht="15" customHeight="1" x14ac:dyDescent="0.2">
      <c r="B93" s="39">
        <f t="shared" si="0"/>
      </c>
      <c r="C93" s="40">
        <f>IF(Inputs!$C$60,Inputs!$C$11+(B93-Inputs!$C$69)/Inputs!$C$70,"")</f>
      </c>
      <c r="D93" s="15"/>
      <c r="E93" s="15"/>
      <c r="F93" s="11">
        <f t="shared" si="1"/>
      </c>
      <c r="G93" s="22" cm="1">
        <f t="array" ref="G93">IF(AND(Inputs!$C$60,Inputs!$C$61),INDEX(Utility_Rates!$C$29:$F$52,HOUR(C93)+Inputs!$C$69,MATCH(INDEX(Utility_Rates!$K$6:$K$17,MONTH(C93))&amp;IF(WEEKDAY(C93,Inputs!$C$76)&lt;=Inputs!$C$74," weekday"," weekend"),Utility_Rates!$C$28:$F$28,Inputs!$C$68)),"")</f>
      </c>
      <c r="H93" s="34"/>
      <c r="I93" s="42">
        <f>IF(AND(ISNUMBER(D93),ISNUMBER(H93)),D93*H93*Inputs!$C$69,"")</f>
      </c>
      <c r="J93" s="42">
        <f>IF(AND(ISNUMBER(F93),ISNUMBER(H93),F93&gt;=Inputs!$C$68),F93*H93*Inputs!$C$69,"")</f>
      </c>
    </row>
    <row r="94" spans="2:10" ht="15" customHeight="1" x14ac:dyDescent="0.2">
      <c r="B94" s="39">
        <f t="shared" si="0"/>
      </c>
      <c r="C94" s="40">
        <f>IF(Inputs!$C$60,Inputs!$C$11+(B94-Inputs!$C$69)/Inputs!$C$70,"")</f>
      </c>
      <c r="D94" s="15"/>
      <c r="E94" s="15"/>
      <c r="F94" s="11">
        <f t="shared" si="1"/>
      </c>
      <c r="G94" s="22" cm="1">
        <f t="array" ref="G94">IF(AND(Inputs!$C$60,Inputs!$C$61),INDEX(Utility_Rates!$C$29:$F$52,HOUR(C94)+Inputs!$C$69,MATCH(INDEX(Utility_Rates!$K$6:$K$17,MONTH(C94))&amp;IF(WEEKDAY(C94,Inputs!$C$76)&lt;=Inputs!$C$74," weekday"," weekend"),Utility_Rates!$C$28:$F$28,Inputs!$C$68)),"")</f>
      </c>
      <c r="H94" s="34"/>
      <c r="I94" s="42">
        <f>IF(AND(ISNUMBER(D94),ISNUMBER(H94)),D94*H94*Inputs!$C$69,"")</f>
      </c>
      <c r="J94" s="42">
        <f>IF(AND(ISNUMBER(F94),ISNUMBER(H94),F94&gt;=Inputs!$C$68),F94*H94*Inputs!$C$69,"")</f>
      </c>
    </row>
    <row r="95" spans="2:10" ht="15" customHeight="1" x14ac:dyDescent="0.2">
      <c r="B95" s="39">
        <f t="shared" si="0"/>
      </c>
      <c r="C95" s="40">
        <f>IF(Inputs!$C$60,Inputs!$C$11+(B95-Inputs!$C$69)/Inputs!$C$70,"")</f>
      </c>
      <c r="D95" s="15"/>
      <c r="E95" s="15"/>
      <c r="F95" s="11">
        <f t="shared" si="1"/>
      </c>
      <c r="G95" s="22" cm="1">
        <f t="array" ref="G95">IF(AND(Inputs!$C$60,Inputs!$C$61),INDEX(Utility_Rates!$C$29:$F$52,HOUR(C95)+Inputs!$C$69,MATCH(INDEX(Utility_Rates!$K$6:$K$17,MONTH(C95))&amp;IF(WEEKDAY(C95,Inputs!$C$76)&lt;=Inputs!$C$74," weekday"," weekend"),Utility_Rates!$C$28:$F$28,Inputs!$C$68)),"")</f>
      </c>
      <c r="H95" s="34"/>
      <c r="I95" s="42">
        <f>IF(AND(ISNUMBER(D95),ISNUMBER(H95)),D95*H95*Inputs!$C$69,"")</f>
      </c>
      <c r="J95" s="42">
        <f>IF(AND(ISNUMBER(F95),ISNUMBER(H95),F95&gt;=Inputs!$C$68),F95*H95*Inputs!$C$69,"")</f>
      </c>
    </row>
    <row r="96" spans="2:10" ht="15" customHeight="1" x14ac:dyDescent="0.2">
      <c r="B96" s="39">
        <f t="shared" si="0"/>
      </c>
      <c r="C96" s="40">
        <f>IF(Inputs!$C$60,Inputs!$C$11+(B96-Inputs!$C$69)/Inputs!$C$70,"")</f>
      </c>
      <c r="D96" s="15"/>
      <c r="E96" s="15"/>
      <c r="F96" s="11">
        <f t="shared" si="1"/>
      </c>
      <c r="G96" s="22" cm="1">
        <f t="array" ref="G96">IF(AND(Inputs!$C$60,Inputs!$C$61),INDEX(Utility_Rates!$C$29:$F$52,HOUR(C96)+Inputs!$C$69,MATCH(INDEX(Utility_Rates!$K$6:$K$17,MONTH(C96))&amp;IF(WEEKDAY(C96,Inputs!$C$76)&lt;=Inputs!$C$74," weekday"," weekend"),Utility_Rates!$C$28:$F$28,Inputs!$C$68)),"")</f>
      </c>
      <c r="H96" s="34"/>
      <c r="I96" s="42">
        <f>IF(AND(ISNUMBER(D96),ISNUMBER(H96)),D96*H96*Inputs!$C$69,"")</f>
      </c>
      <c r="J96" s="42">
        <f>IF(AND(ISNUMBER(F96),ISNUMBER(H96),F96&gt;=Inputs!$C$68),F96*H96*Inputs!$C$69,"")</f>
      </c>
    </row>
    <row r="97" spans="2:10" ht="15" customHeight="1" x14ac:dyDescent="0.2">
      <c r="B97" s="39">
        <f t="shared" si="0"/>
      </c>
      <c r="C97" s="40">
        <f>IF(Inputs!$C$60,Inputs!$C$11+(B97-Inputs!$C$69)/Inputs!$C$70,"")</f>
      </c>
      <c r="D97" s="15"/>
      <c r="E97" s="15"/>
      <c r="F97" s="11">
        <f t="shared" si="1"/>
      </c>
      <c r="G97" s="22" cm="1">
        <f t="array" ref="G97">IF(AND(Inputs!$C$60,Inputs!$C$61),INDEX(Utility_Rates!$C$29:$F$52,HOUR(C97)+Inputs!$C$69,MATCH(INDEX(Utility_Rates!$K$6:$K$17,MONTH(C97))&amp;IF(WEEKDAY(C97,Inputs!$C$76)&lt;=Inputs!$C$74," weekday"," weekend"),Utility_Rates!$C$28:$F$28,Inputs!$C$68)),"")</f>
      </c>
      <c r="H97" s="34"/>
      <c r="I97" s="42">
        <f>IF(AND(ISNUMBER(D97),ISNUMBER(H97)),D97*H97*Inputs!$C$69,"")</f>
      </c>
      <c r="J97" s="42">
        <f>IF(AND(ISNUMBER(F97),ISNUMBER(H97),F97&gt;=Inputs!$C$68),F97*H97*Inputs!$C$69,"")</f>
      </c>
    </row>
    <row r="98" spans="2:10" ht="15" customHeight="1" x14ac:dyDescent="0.2">
      <c r="B98" s="39">
        <f t="shared" si="0"/>
      </c>
      <c r="C98" s="40">
        <f>IF(Inputs!$C$60,Inputs!$C$11+(B98-Inputs!$C$69)/Inputs!$C$70,"")</f>
      </c>
      <c r="D98" s="15"/>
      <c r="E98" s="15"/>
      <c r="F98" s="11">
        <f t="shared" si="1"/>
      </c>
      <c r="G98" s="22" cm="1">
        <f t="array" ref="G98">IF(AND(Inputs!$C$60,Inputs!$C$61),INDEX(Utility_Rates!$C$29:$F$52,HOUR(C98)+Inputs!$C$69,MATCH(INDEX(Utility_Rates!$K$6:$K$17,MONTH(C98))&amp;IF(WEEKDAY(C98,Inputs!$C$76)&lt;=Inputs!$C$74," weekday"," weekend"),Utility_Rates!$C$28:$F$28,Inputs!$C$68)),"")</f>
      </c>
      <c r="H98" s="34"/>
      <c r="I98" s="42">
        <f>IF(AND(ISNUMBER(D98),ISNUMBER(H98)),D98*H98*Inputs!$C$69,"")</f>
      </c>
      <c r="J98" s="42">
        <f>IF(AND(ISNUMBER(F98),ISNUMBER(H98),F98&gt;=Inputs!$C$68),F98*H98*Inputs!$C$69,"")</f>
      </c>
    </row>
    <row r="99" spans="2:10" ht="15" customHeight="1" x14ac:dyDescent="0.2">
      <c r="B99" s="39">
        <f t="shared" si="0"/>
      </c>
      <c r="C99" s="40">
        <f>IF(Inputs!$C$60,Inputs!$C$11+(B99-Inputs!$C$69)/Inputs!$C$70,"")</f>
      </c>
      <c r="D99" s="15"/>
      <c r="E99" s="15"/>
      <c r="F99" s="11">
        <f t="shared" si="1"/>
      </c>
      <c r="G99" s="22" cm="1">
        <f t="array" ref="G99">IF(AND(Inputs!$C$60,Inputs!$C$61),INDEX(Utility_Rates!$C$29:$F$52,HOUR(C99)+Inputs!$C$69,MATCH(INDEX(Utility_Rates!$K$6:$K$17,MONTH(C99))&amp;IF(WEEKDAY(C99,Inputs!$C$76)&lt;=Inputs!$C$74," weekday"," weekend"),Utility_Rates!$C$28:$F$28,Inputs!$C$68)),"")</f>
      </c>
      <c r="H99" s="34"/>
      <c r="I99" s="42">
        <f>IF(AND(ISNUMBER(D99),ISNUMBER(H99)),D99*H99*Inputs!$C$69,"")</f>
      </c>
      <c r="J99" s="42">
        <f>IF(AND(ISNUMBER(F99),ISNUMBER(H99),F99&gt;=Inputs!$C$68),F99*H99*Inputs!$C$69,"")</f>
      </c>
    </row>
    <row r="100" spans="2:10" ht="15" customHeight="1" x14ac:dyDescent="0.2">
      <c r="B100" s="39">
        <f t="shared" si="0"/>
      </c>
      <c r="C100" s="40">
        <f>IF(Inputs!$C$60,Inputs!$C$11+(B100-Inputs!$C$69)/Inputs!$C$70,"")</f>
      </c>
      <c r="D100" s="15"/>
      <c r="E100" s="15"/>
      <c r="F100" s="11">
        <f t="shared" si="1"/>
      </c>
      <c r="G100" s="22" cm="1">
        <f t="array" ref="G100">IF(AND(Inputs!$C$60,Inputs!$C$61),INDEX(Utility_Rates!$C$29:$F$52,HOUR(C100)+Inputs!$C$69,MATCH(INDEX(Utility_Rates!$K$6:$K$17,MONTH(C100))&amp;IF(WEEKDAY(C100,Inputs!$C$76)&lt;=Inputs!$C$74," weekday"," weekend"),Utility_Rates!$C$28:$F$28,Inputs!$C$68)),"")</f>
      </c>
      <c r="H100" s="34"/>
      <c r="I100" s="42">
        <f>IF(AND(ISNUMBER(D100),ISNUMBER(H100)),D100*H100*Inputs!$C$69,"")</f>
      </c>
      <c r="J100" s="42">
        <f>IF(AND(ISNUMBER(F100),ISNUMBER(H100),F100&gt;=Inputs!$C$68),F100*H100*Inputs!$C$69,"")</f>
      </c>
    </row>
    <row r="101" spans="2:10" ht="15" customHeight="1" x14ac:dyDescent="0.2">
      <c r="B101" s="39">
        <f t="shared" si="0"/>
      </c>
      <c r="C101" s="40">
        <f>IF(Inputs!$C$60,Inputs!$C$11+(B101-Inputs!$C$69)/Inputs!$C$70,"")</f>
      </c>
      <c r="D101" s="15"/>
      <c r="E101" s="15"/>
      <c r="F101" s="11">
        <f t="shared" si="1"/>
      </c>
      <c r="G101" s="22" cm="1">
        <f t="array" ref="G101">IF(AND(Inputs!$C$60,Inputs!$C$61),INDEX(Utility_Rates!$C$29:$F$52,HOUR(C101)+Inputs!$C$69,MATCH(INDEX(Utility_Rates!$K$6:$K$17,MONTH(C101))&amp;IF(WEEKDAY(C101,Inputs!$C$76)&lt;=Inputs!$C$74," weekday"," weekend"),Utility_Rates!$C$28:$F$28,Inputs!$C$68)),"")</f>
      </c>
      <c r="H101" s="34"/>
      <c r="I101" s="42">
        <f>IF(AND(ISNUMBER(D101),ISNUMBER(H101)),D101*H101*Inputs!$C$69,"")</f>
      </c>
      <c r="J101" s="42">
        <f>IF(AND(ISNUMBER(F101),ISNUMBER(H101),F101&gt;=Inputs!$C$68),F101*H101*Inputs!$C$69,"")</f>
      </c>
    </row>
    <row r="102" spans="2:10" ht="15" customHeight="1" x14ac:dyDescent="0.2">
      <c r="B102" s="39">
        <f t="shared" si="0"/>
      </c>
      <c r="C102" s="40">
        <f>IF(Inputs!$C$60,Inputs!$C$11+(B102-Inputs!$C$69)/Inputs!$C$70,"")</f>
      </c>
      <c r="D102" s="15"/>
      <c r="E102" s="15"/>
      <c r="F102" s="11">
        <f t="shared" si="1"/>
      </c>
      <c r="G102" s="22" cm="1">
        <f t="array" ref="G102">IF(AND(Inputs!$C$60,Inputs!$C$61),INDEX(Utility_Rates!$C$29:$F$52,HOUR(C102)+Inputs!$C$69,MATCH(INDEX(Utility_Rates!$K$6:$K$17,MONTH(C102))&amp;IF(WEEKDAY(C102,Inputs!$C$76)&lt;=Inputs!$C$74," weekday"," weekend"),Utility_Rates!$C$28:$F$28,Inputs!$C$68)),"")</f>
      </c>
      <c r="H102" s="34"/>
      <c r="I102" s="42">
        <f>IF(AND(ISNUMBER(D102),ISNUMBER(H102)),D102*H102*Inputs!$C$69,"")</f>
      </c>
      <c r="J102" s="42">
        <f>IF(AND(ISNUMBER(F102),ISNUMBER(H102),F102&gt;=Inputs!$C$68),F102*H102*Inputs!$C$69,"")</f>
      </c>
    </row>
    <row r="103" spans="2:10" ht="15" customHeight="1" x14ac:dyDescent="0.2">
      <c r="B103" s="39">
        <f t="shared" si="0"/>
      </c>
      <c r="C103" s="40">
        <f>IF(Inputs!$C$60,Inputs!$C$11+(B103-Inputs!$C$69)/Inputs!$C$70,"")</f>
      </c>
      <c r="D103" s="15"/>
      <c r="E103" s="15"/>
      <c r="F103" s="11">
        <f t="shared" si="1"/>
      </c>
      <c r="G103" s="22" cm="1">
        <f t="array" ref="G103">IF(AND(Inputs!$C$60,Inputs!$C$61),INDEX(Utility_Rates!$C$29:$F$52,HOUR(C103)+Inputs!$C$69,MATCH(INDEX(Utility_Rates!$K$6:$K$17,MONTH(C103))&amp;IF(WEEKDAY(C103,Inputs!$C$76)&lt;=Inputs!$C$74," weekday"," weekend"),Utility_Rates!$C$28:$F$28,Inputs!$C$68)),"")</f>
      </c>
      <c r="H103" s="34"/>
      <c r="I103" s="42">
        <f>IF(AND(ISNUMBER(D103),ISNUMBER(H103)),D103*H103*Inputs!$C$69,"")</f>
      </c>
      <c r="J103" s="42">
        <f>IF(AND(ISNUMBER(F103),ISNUMBER(H103),F103&gt;=Inputs!$C$68),F103*H103*Inputs!$C$69,"")</f>
      </c>
    </row>
    <row r="104" spans="2:10" ht="15" customHeight="1" x14ac:dyDescent="0.2">
      <c r="B104" s="39">
        <f t="shared" si="0"/>
      </c>
      <c r="C104" s="40">
        <f>IF(Inputs!$C$60,Inputs!$C$11+(B104-Inputs!$C$69)/Inputs!$C$70,"")</f>
      </c>
      <c r="D104" s="15"/>
      <c r="E104" s="15"/>
      <c r="F104" s="11">
        <f t="shared" si="1"/>
      </c>
      <c r="G104" s="22" cm="1">
        <f t="array" ref="G104">IF(AND(Inputs!$C$60,Inputs!$C$61),INDEX(Utility_Rates!$C$29:$F$52,HOUR(C104)+Inputs!$C$69,MATCH(INDEX(Utility_Rates!$K$6:$K$17,MONTH(C104))&amp;IF(WEEKDAY(C104,Inputs!$C$76)&lt;=Inputs!$C$74," weekday"," weekend"),Utility_Rates!$C$28:$F$28,Inputs!$C$68)),"")</f>
      </c>
      <c r="H104" s="34"/>
      <c r="I104" s="42">
        <f>IF(AND(ISNUMBER(D104),ISNUMBER(H104)),D104*H104*Inputs!$C$69,"")</f>
      </c>
      <c r="J104" s="42">
        <f>IF(AND(ISNUMBER(F104),ISNUMBER(H104),F104&gt;=Inputs!$C$68),F104*H104*Inputs!$C$69,"")</f>
      </c>
    </row>
    <row r="105" spans="2:10" ht="15" customHeight="1" x14ac:dyDescent="0.2">
      <c r="B105" s="39">
        <f t="shared" si="0"/>
      </c>
      <c r="C105" s="40">
        <f>IF(Inputs!$C$60,Inputs!$C$11+(B105-Inputs!$C$69)/Inputs!$C$70,"")</f>
      </c>
      <c r="D105" s="15"/>
      <c r="E105" s="15"/>
      <c r="F105" s="11">
        <f t="shared" si="1"/>
      </c>
      <c r="G105" s="22" cm="1">
        <f t="array" ref="G105">IF(AND(Inputs!$C$60,Inputs!$C$61),INDEX(Utility_Rates!$C$29:$F$52,HOUR(C105)+Inputs!$C$69,MATCH(INDEX(Utility_Rates!$K$6:$K$17,MONTH(C105))&amp;IF(WEEKDAY(C105,Inputs!$C$76)&lt;=Inputs!$C$74," weekday"," weekend"),Utility_Rates!$C$28:$F$28,Inputs!$C$68)),"")</f>
      </c>
      <c r="H105" s="34"/>
      <c r="I105" s="42">
        <f>IF(AND(ISNUMBER(D105),ISNUMBER(H105)),D105*H105*Inputs!$C$69,"")</f>
      </c>
      <c r="J105" s="42">
        <f>IF(AND(ISNUMBER(F105),ISNUMBER(H105),F105&gt;=Inputs!$C$68),F105*H105*Inputs!$C$69,"")</f>
      </c>
    </row>
    <row r="106" spans="2:10" ht="15" customHeight="1" x14ac:dyDescent="0.2">
      <c r="B106" s="39">
        <f t="shared" si="0"/>
      </c>
      <c r="C106" s="40">
        <f>IF(Inputs!$C$60,Inputs!$C$11+(B106-Inputs!$C$69)/Inputs!$C$70,"")</f>
      </c>
      <c r="D106" s="15"/>
      <c r="E106" s="15"/>
      <c r="F106" s="11">
        <f t="shared" si="1"/>
      </c>
      <c r="G106" s="22" cm="1">
        <f t="array" ref="G106">IF(AND(Inputs!$C$60,Inputs!$C$61),INDEX(Utility_Rates!$C$29:$F$52,HOUR(C106)+Inputs!$C$69,MATCH(INDEX(Utility_Rates!$K$6:$K$17,MONTH(C106))&amp;IF(WEEKDAY(C106,Inputs!$C$76)&lt;=Inputs!$C$74," weekday"," weekend"),Utility_Rates!$C$28:$F$28,Inputs!$C$68)),"")</f>
      </c>
      <c r="H106" s="34"/>
      <c r="I106" s="42">
        <f>IF(AND(ISNUMBER(D106),ISNUMBER(H106)),D106*H106*Inputs!$C$69,"")</f>
      </c>
      <c r="J106" s="42">
        <f>IF(AND(ISNUMBER(F106),ISNUMBER(H106),F106&gt;=Inputs!$C$68),F106*H106*Inputs!$C$69,"")</f>
      </c>
    </row>
    <row r="107" spans="2:10" ht="15" customHeight="1" x14ac:dyDescent="0.2">
      <c r="B107" s="39">
        <f t="shared" si="0"/>
      </c>
      <c r="C107" s="40">
        <f>IF(Inputs!$C$60,Inputs!$C$11+(B107-Inputs!$C$69)/Inputs!$C$70,"")</f>
      </c>
      <c r="D107" s="15"/>
      <c r="E107" s="15"/>
      <c r="F107" s="11">
        <f t="shared" si="1"/>
      </c>
      <c r="G107" s="22" cm="1">
        <f t="array" ref="G107">IF(AND(Inputs!$C$60,Inputs!$C$61),INDEX(Utility_Rates!$C$29:$F$52,HOUR(C107)+Inputs!$C$69,MATCH(INDEX(Utility_Rates!$K$6:$K$17,MONTH(C107))&amp;IF(WEEKDAY(C107,Inputs!$C$76)&lt;=Inputs!$C$74," weekday"," weekend"),Utility_Rates!$C$28:$F$28,Inputs!$C$68)),"")</f>
      </c>
      <c r="H107" s="34"/>
      <c r="I107" s="42">
        <f>IF(AND(ISNUMBER(D107),ISNUMBER(H107)),D107*H107*Inputs!$C$69,"")</f>
      </c>
      <c r="J107" s="42">
        <f>IF(AND(ISNUMBER(F107),ISNUMBER(H107),F107&gt;=Inputs!$C$68),F107*H107*Inputs!$C$69,"")</f>
      </c>
    </row>
    <row r="108" spans="2:10" ht="15" customHeight="1" x14ac:dyDescent="0.2">
      <c r="B108" s="39">
        <f t="shared" si="0"/>
      </c>
      <c r="C108" s="40">
        <f>IF(Inputs!$C$60,Inputs!$C$11+(B108-Inputs!$C$69)/Inputs!$C$70,"")</f>
      </c>
      <c r="D108" s="15"/>
      <c r="E108" s="15"/>
      <c r="F108" s="11">
        <f t="shared" si="1"/>
      </c>
      <c r="G108" s="22" cm="1">
        <f t="array" ref="G108">IF(AND(Inputs!$C$60,Inputs!$C$61),INDEX(Utility_Rates!$C$29:$F$52,HOUR(C108)+Inputs!$C$69,MATCH(INDEX(Utility_Rates!$K$6:$K$17,MONTH(C108))&amp;IF(WEEKDAY(C108,Inputs!$C$76)&lt;=Inputs!$C$74," weekday"," weekend"),Utility_Rates!$C$28:$F$28,Inputs!$C$68)),"")</f>
      </c>
      <c r="H108" s="34"/>
      <c r="I108" s="42">
        <f>IF(AND(ISNUMBER(D108),ISNUMBER(H108)),D108*H108*Inputs!$C$69,"")</f>
      </c>
      <c r="J108" s="42">
        <f>IF(AND(ISNUMBER(F108),ISNUMBER(H108),F108&gt;=Inputs!$C$68),F108*H108*Inputs!$C$69,"")</f>
      </c>
    </row>
    <row r="109" spans="2:10" ht="15" customHeight="1" x14ac:dyDescent="0.2">
      <c r="B109" s="39">
        <f t="shared" si="0"/>
      </c>
      <c r="C109" s="40">
        <f>IF(Inputs!$C$60,Inputs!$C$11+(B109-Inputs!$C$69)/Inputs!$C$70,"")</f>
      </c>
      <c r="D109" s="15"/>
      <c r="E109" s="15"/>
      <c r="F109" s="11">
        <f t="shared" si="1"/>
      </c>
      <c r="G109" s="22" cm="1">
        <f t="array" ref="G109">IF(AND(Inputs!$C$60,Inputs!$C$61),INDEX(Utility_Rates!$C$29:$F$52,HOUR(C109)+Inputs!$C$69,MATCH(INDEX(Utility_Rates!$K$6:$K$17,MONTH(C109))&amp;IF(WEEKDAY(C109,Inputs!$C$76)&lt;=Inputs!$C$74," weekday"," weekend"),Utility_Rates!$C$28:$F$28,Inputs!$C$68)),"")</f>
      </c>
      <c r="H109" s="34"/>
      <c r="I109" s="42">
        <f>IF(AND(ISNUMBER(D109),ISNUMBER(H109)),D109*H109*Inputs!$C$69,"")</f>
      </c>
      <c r="J109" s="42">
        <f>IF(AND(ISNUMBER(F109),ISNUMBER(H109),F109&gt;=Inputs!$C$68),F109*H109*Inputs!$C$69,"")</f>
      </c>
    </row>
    <row r="110" spans="2:10" ht="15" customHeight="1" x14ac:dyDescent="0.2">
      <c r="B110" s="39">
        <f t="shared" si="0"/>
      </c>
      <c r="C110" s="40">
        <f>IF(Inputs!$C$60,Inputs!$C$11+(B110-Inputs!$C$69)/Inputs!$C$70,"")</f>
      </c>
      <c r="D110" s="15"/>
      <c r="E110" s="15"/>
      <c r="F110" s="11">
        <f t="shared" si="1"/>
      </c>
      <c r="G110" s="22" cm="1">
        <f t="array" ref="G110">IF(AND(Inputs!$C$60,Inputs!$C$61),INDEX(Utility_Rates!$C$29:$F$52,HOUR(C110)+Inputs!$C$69,MATCH(INDEX(Utility_Rates!$K$6:$K$17,MONTH(C110))&amp;IF(WEEKDAY(C110,Inputs!$C$76)&lt;=Inputs!$C$74," weekday"," weekend"),Utility_Rates!$C$28:$F$28,Inputs!$C$68)),"")</f>
      </c>
      <c r="H110" s="34"/>
      <c r="I110" s="42">
        <f>IF(AND(ISNUMBER(D110),ISNUMBER(H110)),D110*H110*Inputs!$C$69,"")</f>
      </c>
      <c r="J110" s="42">
        <f>IF(AND(ISNUMBER(F110),ISNUMBER(H110),F110&gt;=Inputs!$C$68),F110*H110*Inputs!$C$69,"")</f>
      </c>
    </row>
    <row r="111" spans="2:10" ht="15" customHeight="1" x14ac:dyDescent="0.2">
      <c r="B111" s="39">
        <f t="shared" si="0"/>
      </c>
      <c r="C111" s="40">
        <f>IF(Inputs!$C$60,Inputs!$C$11+(B111-Inputs!$C$69)/Inputs!$C$70,"")</f>
      </c>
      <c r="D111" s="15"/>
      <c r="E111" s="15"/>
      <c r="F111" s="11">
        <f t="shared" si="1"/>
      </c>
      <c r="G111" s="22" cm="1">
        <f t="array" ref="G111">IF(AND(Inputs!$C$60,Inputs!$C$61),INDEX(Utility_Rates!$C$29:$F$52,HOUR(C111)+Inputs!$C$69,MATCH(INDEX(Utility_Rates!$K$6:$K$17,MONTH(C111))&amp;IF(WEEKDAY(C111,Inputs!$C$76)&lt;=Inputs!$C$74," weekday"," weekend"),Utility_Rates!$C$28:$F$28,Inputs!$C$68)),"")</f>
      </c>
      <c r="H111" s="34"/>
      <c r="I111" s="42">
        <f>IF(AND(ISNUMBER(D111),ISNUMBER(H111)),D111*H111*Inputs!$C$69,"")</f>
      </c>
      <c r="J111" s="42">
        <f>IF(AND(ISNUMBER(F111),ISNUMBER(H111),F111&gt;=Inputs!$C$68),F111*H111*Inputs!$C$69,"")</f>
      </c>
    </row>
    <row r="112" spans="2:10" ht="15" customHeight="1" x14ac:dyDescent="0.2">
      <c r="B112" s="39">
        <f t="shared" si="0"/>
      </c>
      <c r="C112" s="40">
        <f>IF(Inputs!$C$60,Inputs!$C$11+(B112-Inputs!$C$69)/Inputs!$C$70,"")</f>
      </c>
      <c r="D112" s="15"/>
      <c r="E112" s="15"/>
      <c r="F112" s="11">
        <f t="shared" si="1"/>
      </c>
      <c r="G112" s="22" cm="1">
        <f t="array" ref="G112">IF(AND(Inputs!$C$60,Inputs!$C$61),INDEX(Utility_Rates!$C$29:$F$52,HOUR(C112)+Inputs!$C$69,MATCH(INDEX(Utility_Rates!$K$6:$K$17,MONTH(C112))&amp;IF(WEEKDAY(C112,Inputs!$C$76)&lt;=Inputs!$C$74," weekday"," weekend"),Utility_Rates!$C$28:$F$28,Inputs!$C$68)),"")</f>
      </c>
      <c r="H112" s="34"/>
      <c r="I112" s="42">
        <f>IF(AND(ISNUMBER(D112),ISNUMBER(H112)),D112*H112*Inputs!$C$69,"")</f>
      </c>
      <c r="J112" s="42">
        <f>IF(AND(ISNUMBER(F112),ISNUMBER(H112),F112&gt;=Inputs!$C$68),F112*H112*Inputs!$C$69,"")</f>
      </c>
    </row>
    <row r="113" spans="2:10" ht="15" customHeight="1" x14ac:dyDescent="0.2">
      <c r="B113" s="39">
        <f t="shared" si="0"/>
      </c>
      <c r="C113" s="40">
        <f>IF(Inputs!$C$60,Inputs!$C$11+(B113-Inputs!$C$69)/Inputs!$C$70,"")</f>
      </c>
      <c r="D113" s="15"/>
      <c r="E113" s="15"/>
      <c r="F113" s="11">
        <f t="shared" si="1"/>
      </c>
      <c r="G113" s="22" cm="1">
        <f t="array" ref="G113">IF(AND(Inputs!$C$60,Inputs!$C$61),INDEX(Utility_Rates!$C$29:$F$52,HOUR(C113)+Inputs!$C$69,MATCH(INDEX(Utility_Rates!$K$6:$K$17,MONTH(C113))&amp;IF(WEEKDAY(C113,Inputs!$C$76)&lt;=Inputs!$C$74," weekday"," weekend"),Utility_Rates!$C$28:$F$28,Inputs!$C$68)),"")</f>
      </c>
      <c r="H113" s="34"/>
      <c r="I113" s="42">
        <f>IF(AND(ISNUMBER(D113),ISNUMBER(H113)),D113*H113*Inputs!$C$69,"")</f>
      </c>
      <c r="J113" s="42">
        <f>IF(AND(ISNUMBER(F113),ISNUMBER(H113),F113&gt;=Inputs!$C$68),F113*H113*Inputs!$C$69,"")</f>
      </c>
    </row>
    <row r="114" spans="2:10" ht="15" customHeight="1" x14ac:dyDescent="0.2">
      <c r="B114" s="39">
        <f t="shared" si="0"/>
      </c>
      <c r="C114" s="40">
        <f>IF(Inputs!$C$60,Inputs!$C$11+(B114-Inputs!$C$69)/Inputs!$C$70,"")</f>
      </c>
      <c r="D114" s="15"/>
      <c r="E114" s="15"/>
      <c r="F114" s="11">
        <f t="shared" si="1"/>
      </c>
      <c r="G114" s="22" cm="1">
        <f t="array" ref="G114">IF(AND(Inputs!$C$60,Inputs!$C$61),INDEX(Utility_Rates!$C$29:$F$52,HOUR(C114)+Inputs!$C$69,MATCH(INDEX(Utility_Rates!$K$6:$K$17,MONTH(C114))&amp;IF(WEEKDAY(C114,Inputs!$C$76)&lt;=Inputs!$C$74," weekday"," weekend"),Utility_Rates!$C$28:$F$28,Inputs!$C$68)),"")</f>
      </c>
      <c r="H114" s="34"/>
      <c r="I114" s="42">
        <f>IF(AND(ISNUMBER(D114),ISNUMBER(H114)),D114*H114*Inputs!$C$69,"")</f>
      </c>
      <c r="J114" s="42">
        <f>IF(AND(ISNUMBER(F114),ISNUMBER(H114),F114&gt;=Inputs!$C$68),F114*H114*Inputs!$C$69,"")</f>
      </c>
    </row>
    <row r="115" spans="2:10" ht="15" customHeight="1" x14ac:dyDescent="0.2">
      <c r="B115" s="39">
        <f t="shared" si="0"/>
      </c>
      <c r="C115" s="40">
        <f>IF(Inputs!$C$60,Inputs!$C$11+(B115-Inputs!$C$69)/Inputs!$C$70,"")</f>
      </c>
      <c r="D115" s="15"/>
      <c r="E115" s="15"/>
      <c r="F115" s="11">
        <f t="shared" si="1"/>
      </c>
      <c r="G115" s="22" cm="1">
        <f t="array" ref="G115">IF(AND(Inputs!$C$60,Inputs!$C$61),INDEX(Utility_Rates!$C$29:$F$52,HOUR(C115)+Inputs!$C$69,MATCH(INDEX(Utility_Rates!$K$6:$K$17,MONTH(C115))&amp;IF(WEEKDAY(C115,Inputs!$C$76)&lt;=Inputs!$C$74," weekday"," weekend"),Utility_Rates!$C$28:$F$28,Inputs!$C$68)),"")</f>
      </c>
      <c r="H115" s="34"/>
      <c r="I115" s="42">
        <f>IF(AND(ISNUMBER(D115),ISNUMBER(H115)),D115*H115*Inputs!$C$69,"")</f>
      </c>
      <c r="J115" s="42">
        <f>IF(AND(ISNUMBER(F115),ISNUMBER(H115),F115&gt;=Inputs!$C$68),F115*H115*Inputs!$C$69,"")</f>
      </c>
    </row>
    <row r="116" spans="2:10" ht="15" customHeight="1" x14ac:dyDescent="0.2">
      <c r="B116" s="39">
        <f t="shared" si="0"/>
      </c>
      <c r="C116" s="40">
        <f>IF(Inputs!$C$60,Inputs!$C$11+(B116-Inputs!$C$69)/Inputs!$C$70,"")</f>
      </c>
      <c r="D116" s="15"/>
      <c r="E116" s="15"/>
      <c r="F116" s="11">
        <f t="shared" si="1"/>
      </c>
      <c r="G116" s="22" cm="1">
        <f t="array" ref="G116">IF(AND(Inputs!$C$60,Inputs!$C$61),INDEX(Utility_Rates!$C$29:$F$52,HOUR(C116)+Inputs!$C$69,MATCH(INDEX(Utility_Rates!$K$6:$K$17,MONTH(C116))&amp;IF(WEEKDAY(C116,Inputs!$C$76)&lt;=Inputs!$C$74," weekday"," weekend"),Utility_Rates!$C$28:$F$28,Inputs!$C$68)),"")</f>
      </c>
      <c r="H116" s="34"/>
      <c r="I116" s="42">
        <f>IF(AND(ISNUMBER(D116),ISNUMBER(H116)),D116*H116*Inputs!$C$69,"")</f>
      </c>
      <c r="J116" s="42">
        <f>IF(AND(ISNUMBER(F116),ISNUMBER(H116),F116&gt;=Inputs!$C$68),F116*H116*Inputs!$C$69,"")</f>
      </c>
    </row>
    <row r="117" spans="2:10" ht="15" customHeight="1" x14ac:dyDescent="0.2">
      <c r="B117" s="39">
        <f t="shared" si="0"/>
      </c>
      <c r="C117" s="40">
        <f>IF(Inputs!$C$60,Inputs!$C$11+(B117-Inputs!$C$69)/Inputs!$C$70,"")</f>
      </c>
      <c r="D117" s="15"/>
      <c r="E117" s="15"/>
      <c r="F117" s="11">
        <f t="shared" si="1"/>
      </c>
      <c r="G117" s="22" cm="1">
        <f t="array" ref="G117">IF(AND(Inputs!$C$60,Inputs!$C$61),INDEX(Utility_Rates!$C$29:$F$52,HOUR(C117)+Inputs!$C$69,MATCH(INDEX(Utility_Rates!$K$6:$K$17,MONTH(C117))&amp;IF(WEEKDAY(C117,Inputs!$C$76)&lt;=Inputs!$C$74," weekday"," weekend"),Utility_Rates!$C$28:$F$28,Inputs!$C$68)),"")</f>
      </c>
      <c r="H117" s="34"/>
      <c r="I117" s="42">
        <f>IF(AND(ISNUMBER(D117),ISNUMBER(H117)),D117*H117*Inputs!$C$69,"")</f>
      </c>
      <c r="J117" s="42">
        <f>IF(AND(ISNUMBER(F117),ISNUMBER(H117),F117&gt;=Inputs!$C$68),F117*H117*Inputs!$C$69,"")</f>
      </c>
    </row>
    <row r="118" spans="2:10" ht="15" customHeight="1" x14ac:dyDescent="0.2">
      <c r="B118" s="39">
        <f t="shared" si="0"/>
      </c>
      <c r="C118" s="40">
        <f>IF(Inputs!$C$60,Inputs!$C$11+(B118-Inputs!$C$69)/Inputs!$C$70,"")</f>
      </c>
      <c r="D118" s="15"/>
      <c r="E118" s="15"/>
      <c r="F118" s="11">
        <f t="shared" si="1"/>
      </c>
      <c r="G118" s="22" cm="1">
        <f t="array" ref="G118">IF(AND(Inputs!$C$60,Inputs!$C$61),INDEX(Utility_Rates!$C$29:$F$52,HOUR(C118)+Inputs!$C$69,MATCH(INDEX(Utility_Rates!$K$6:$K$17,MONTH(C118))&amp;IF(WEEKDAY(C118,Inputs!$C$76)&lt;=Inputs!$C$74," weekday"," weekend"),Utility_Rates!$C$28:$F$28,Inputs!$C$68)),"")</f>
      </c>
      <c r="H118" s="34"/>
      <c r="I118" s="42">
        <f>IF(AND(ISNUMBER(D118),ISNUMBER(H118)),D118*H118*Inputs!$C$69,"")</f>
      </c>
      <c r="J118" s="42">
        <f>IF(AND(ISNUMBER(F118),ISNUMBER(H118),F118&gt;=Inputs!$C$68),F118*H118*Inputs!$C$69,"")</f>
      </c>
    </row>
    <row r="119" spans="2:10" ht="15" customHeight="1" x14ac:dyDescent="0.2">
      <c r="B119" s="39">
        <f t="shared" si="0"/>
      </c>
      <c r="C119" s="40">
        <f>IF(Inputs!$C$60,Inputs!$C$11+(B119-Inputs!$C$69)/Inputs!$C$70,"")</f>
      </c>
      <c r="D119" s="15"/>
      <c r="E119" s="15"/>
      <c r="F119" s="11">
        <f t="shared" si="1"/>
      </c>
      <c r="G119" s="22" cm="1">
        <f t="array" ref="G119">IF(AND(Inputs!$C$60,Inputs!$C$61),INDEX(Utility_Rates!$C$29:$F$52,HOUR(C119)+Inputs!$C$69,MATCH(INDEX(Utility_Rates!$K$6:$K$17,MONTH(C119))&amp;IF(WEEKDAY(C119,Inputs!$C$76)&lt;=Inputs!$C$74," weekday"," weekend"),Utility_Rates!$C$28:$F$28,Inputs!$C$68)),"")</f>
      </c>
      <c r="H119" s="34"/>
      <c r="I119" s="42">
        <f>IF(AND(ISNUMBER(D119),ISNUMBER(H119)),D119*H119*Inputs!$C$69,"")</f>
      </c>
      <c r="J119" s="42">
        <f>IF(AND(ISNUMBER(F119),ISNUMBER(H119),F119&gt;=Inputs!$C$68),F119*H119*Inputs!$C$69,"")</f>
      </c>
    </row>
    <row r="120" spans="2:10" ht="15" customHeight="1" x14ac:dyDescent="0.2">
      <c r="B120" s="39">
        <f t="shared" si="0"/>
      </c>
      <c r="C120" s="40">
        <f>IF(Inputs!$C$60,Inputs!$C$11+(B120-Inputs!$C$69)/Inputs!$C$70,"")</f>
      </c>
      <c r="D120" s="15"/>
      <c r="E120" s="15"/>
      <c r="F120" s="11">
        <f t="shared" si="1"/>
      </c>
      <c r="G120" s="22" cm="1">
        <f t="array" ref="G120">IF(AND(Inputs!$C$60,Inputs!$C$61),INDEX(Utility_Rates!$C$29:$F$52,HOUR(C120)+Inputs!$C$69,MATCH(INDEX(Utility_Rates!$K$6:$K$17,MONTH(C120))&amp;IF(WEEKDAY(C120,Inputs!$C$76)&lt;=Inputs!$C$74," weekday"," weekend"),Utility_Rates!$C$28:$F$28,Inputs!$C$68)),"")</f>
      </c>
      <c r="H120" s="34"/>
      <c r="I120" s="42">
        <f>IF(AND(ISNUMBER(D120),ISNUMBER(H120)),D120*H120*Inputs!$C$69,"")</f>
      </c>
      <c r="J120" s="42">
        <f>IF(AND(ISNUMBER(F120),ISNUMBER(H120),F120&gt;=Inputs!$C$68),F120*H120*Inputs!$C$69,"")</f>
      </c>
    </row>
    <row r="121" spans="2:10" ht="15" customHeight="1" x14ac:dyDescent="0.2">
      <c r="B121" s="39">
        <f t="shared" si="0"/>
      </c>
      <c r="C121" s="40">
        <f>IF(Inputs!$C$60,Inputs!$C$11+(B121-Inputs!$C$69)/Inputs!$C$70,"")</f>
      </c>
      <c r="D121" s="15"/>
      <c r="E121" s="15"/>
      <c r="F121" s="11">
        <f t="shared" si="1"/>
      </c>
      <c r="G121" s="22" cm="1">
        <f t="array" ref="G121">IF(AND(Inputs!$C$60,Inputs!$C$61),INDEX(Utility_Rates!$C$29:$F$52,HOUR(C121)+Inputs!$C$69,MATCH(INDEX(Utility_Rates!$K$6:$K$17,MONTH(C121))&amp;IF(WEEKDAY(C121,Inputs!$C$76)&lt;=Inputs!$C$74," weekday"," weekend"),Utility_Rates!$C$28:$F$28,Inputs!$C$68)),"")</f>
      </c>
      <c r="H121" s="34"/>
      <c r="I121" s="42">
        <f>IF(AND(ISNUMBER(D121),ISNUMBER(H121)),D121*H121*Inputs!$C$69,"")</f>
      </c>
      <c r="J121" s="42">
        <f>IF(AND(ISNUMBER(F121),ISNUMBER(H121),F121&gt;=Inputs!$C$68),F121*H121*Inputs!$C$69,"")</f>
      </c>
    </row>
    <row r="122" spans="2:10" ht="15" customHeight="1" x14ac:dyDescent="0.2">
      <c r="B122" s="39">
        <f t="shared" si="0"/>
      </c>
      <c r="C122" s="40">
        <f>IF(Inputs!$C$60,Inputs!$C$11+(B122-Inputs!$C$69)/Inputs!$C$70,"")</f>
      </c>
      <c r="D122" s="15"/>
      <c r="E122" s="15"/>
      <c r="F122" s="11">
        <f t="shared" si="1"/>
      </c>
      <c r="G122" s="22" cm="1">
        <f t="array" ref="G122">IF(AND(Inputs!$C$60,Inputs!$C$61),INDEX(Utility_Rates!$C$29:$F$52,HOUR(C122)+Inputs!$C$69,MATCH(INDEX(Utility_Rates!$K$6:$K$17,MONTH(C122))&amp;IF(WEEKDAY(C122,Inputs!$C$76)&lt;=Inputs!$C$74," weekday"," weekend"),Utility_Rates!$C$28:$F$28,Inputs!$C$68)),"")</f>
      </c>
      <c r="H122" s="34"/>
      <c r="I122" s="42">
        <f>IF(AND(ISNUMBER(D122),ISNUMBER(H122)),D122*H122*Inputs!$C$69,"")</f>
      </c>
      <c r="J122" s="42">
        <f>IF(AND(ISNUMBER(F122),ISNUMBER(H122),F122&gt;=Inputs!$C$68),F122*H122*Inputs!$C$69,"")</f>
      </c>
    </row>
    <row r="123" spans="2:10" ht="15" customHeight="1" x14ac:dyDescent="0.2">
      <c r="B123" s="39">
        <f t="shared" si="0"/>
      </c>
      <c r="C123" s="40">
        <f>IF(Inputs!$C$60,Inputs!$C$11+(B123-Inputs!$C$69)/Inputs!$C$70,"")</f>
      </c>
      <c r="D123" s="15"/>
      <c r="E123" s="15"/>
      <c r="F123" s="11">
        <f t="shared" si="1"/>
      </c>
      <c r="G123" s="22" cm="1">
        <f t="array" ref="G123">IF(AND(Inputs!$C$60,Inputs!$C$61),INDEX(Utility_Rates!$C$29:$F$52,HOUR(C123)+Inputs!$C$69,MATCH(INDEX(Utility_Rates!$K$6:$K$17,MONTH(C123))&amp;IF(WEEKDAY(C123,Inputs!$C$76)&lt;=Inputs!$C$74," weekday"," weekend"),Utility_Rates!$C$28:$F$28,Inputs!$C$68)),"")</f>
      </c>
      <c r="H123" s="34"/>
      <c r="I123" s="42">
        <f>IF(AND(ISNUMBER(D123),ISNUMBER(H123)),D123*H123*Inputs!$C$69,"")</f>
      </c>
      <c r="J123" s="42">
        <f>IF(AND(ISNUMBER(F123),ISNUMBER(H123),F123&gt;=Inputs!$C$68),F123*H123*Inputs!$C$69,"")</f>
      </c>
    </row>
    <row r="124" spans="2:10" ht="15" customHeight="1" x14ac:dyDescent="0.2">
      <c r="B124" s="39">
        <f t="shared" si="0"/>
      </c>
      <c r="C124" s="40">
        <f>IF(Inputs!$C$60,Inputs!$C$11+(B124-Inputs!$C$69)/Inputs!$C$70,"")</f>
      </c>
      <c r="D124" s="15"/>
      <c r="E124" s="15"/>
      <c r="F124" s="11">
        <f t="shared" si="1"/>
      </c>
      <c r="G124" s="22" cm="1">
        <f t="array" ref="G124">IF(AND(Inputs!$C$60,Inputs!$C$61),INDEX(Utility_Rates!$C$29:$F$52,HOUR(C124)+Inputs!$C$69,MATCH(INDEX(Utility_Rates!$K$6:$K$17,MONTH(C124))&amp;IF(WEEKDAY(C124,Inputs!$C$76)&lt;=Inputs!$C$74," weekday"," weekend"),Utility_Rates!$C$28:$F$28,Inputs!$C$68)),"")</f>
      </c>
      <c r="H124" s="34"/>
      <c r="I124" s="42">
        <f>IF(AND(ISNUMBER(D124),ISNUMBER(H124)),D124*H124*Inputs!$C$69,"")</f>
      </c>
      <c r="J124" s="42">
        <f>IF(AND(ISNUMBER(F124),ISNUMBER(H124),F124&gt;=Inputs!$C$68),F124*H124*Inputs!$C$69,"")</f>
      </c>
    </row>
    <row r="125" spans="2:10" ht="15" customHeight="1" x14ac:dyDescent="0.2">
      <c r="B125" s="39">
        <f t="shared" si="0"/>
      </c>
      <c r="C125" s="40">
        <f>IF(Inputs!$C$60,Inputs!$C$11+(B125-Inputs!$C$69)/Inputs!$C$70,"")</f>
      </c>
      <c r="D125" s="15"/>
      <c r="E125" s="15"/>
      <c r="F125" s="11">
        <f t="shared" si="1"/>
      </c>
      <c r="G125" s="22" cm="1">
        <f t="array" ref="G125">IF(AND(Inputs!$C$60,Inputs!$C$61),INDEX(Utility_Rates!$C$29:$F$52,HOUR(C125)+Inputs!$C$69,MATCH(INDEX(Utility_Rates!$K$6:$K$17,MONTH(C125))&amp;IF(WEEKDAY(C125,Inputs!$C$76)&lt;=Inputs!$C$74," weekday"," weekend"),Utility_Rates!$C$28:$F$28,Inputs!$C$68)),"")</f>
      </c>
      <c r="H125" s="34"/>
      <c r="I125" s="42">
        <f>IF(AND(ISNUMBER(D125),ISNUMBER(H125)),D125*H125*Inputs!$C$69,"")</f>
      </c>
      <c r="J125" s="42">
        <f>IF(AND(ISNUMBER(F125),ISNUMBER(H125),F125&gt;=Inputs!$C$68),F125*H125*Inputs!$C$69,"")</f>
      </c>
    </row>
    <row r="126" spans="2:10" ht="15" customHeight="1" x14ac:dyDescent="0.2">
      <c r="B126" s="39">
        <f t="shared" si="0"/>
      </c>
      <c r="C126" s="40">
        <f>IF(Inputs!$C$60,Inputs!$C$11+(B126-Inputs!$C$69)/Inputs!$C$70,"")</f>
      </c>
      <c r="D126" s="15"/>
      <c r="E126" s="15"/>
      <c r="F126" s="11">
        <f t="shared" si="1"/>
      </c>
      <c r="G126" s="22" cm="1">
        <f t="array" ref="G126">IF(AND(Inputs!$C$60,Inputs!$C$61),INDEX(Utility_Rates!$C$29:$F$52,HOUR(C126)+Inputs!$C$69,MATCH(INDEX(Utility_Rates!$K$6:$K$17,MONTH(C126))&amp;IF(WEEKDAY(C126,Inputs!$C$76)&lt;=Inputs!$C$74," weekday"," weekend"),Utility_Rates!$C$28:$F$28,Inputs!$C$68)),"")</f>
      </c>
      <c r="H126" s="34"/>
      <c r="I126" s="42">
        <f>IF(AND(ISNUMBER(D126),ISNUMBER(H126)),D126*H126*Inputs!$C$69,"")</f>
      </c>
      <c r="J126" s="42">
        <f>IF(AND(ISNUMBER(F126),ISNUMBER(H126),F126&gt;=Inputs!$C$68),F126*H126*Inputs!$C$69,"")</f>
      </c>
    </row>
    <row r="127" spans="2:10" ht="15" customHeight="1" x14ac:dyDescent="0.2">
      <c r="B127" s="39">
        <f t="shared" si="0"/>
      </c>
      <c r="C127" s="40">
        <f>IF(Inputs!$C$60,Inputs!$C$11+(B127-Inputs!$C$69)/Inputs!$C$70,"")</f>
      </c>
      <c r="D127" s="15"/>
      <c r="E127" s="15"/>
      <c r="F127" s="11">
        <f t="shared" si="1"/>
      </c>
      <c r="G127" s="22" cm="1">
        <f t="array" ref="G127">IF(AND(Inputs!$C$60,Inputs!$C$61),INDEX(Utility_Rates!$C$29:$F$52,HOUR(C127)+Inputs!$C$69,MATCH(INDEX(Utility_Rates!$K$6:$K$17,MONTH(C127))&amp;IF(WEEKDAY(C127,Inputs!$C$76)&lt;=Inputs!$C$74," weekday"," weekend"),Utility_Rates!$C$28:$F$28,Inputs!$C$68)),"")</f>
      </c>
      <c r="H127" s="34"/>
      <c r="I127" s="42">
        <f>IF(AND(ISNUMBER(D127),ISNUMBER(H127)),D127*H127*Inputs!$C$69,"")</f>
      </c>
      <c r="J127" s="42">
        <f>IF(AND(ISNUMBER(F127),ISNUMBER(H127),F127&gt;=Inputs!$C$68),F127*H127*Inputs!$C$69,"")</f>
      </c>
    </row>
    <row r="128" spans="2:10" ht="15" customHeight="1" x14ac:dyDescent="0.2">
      <c r="B128" s="39">
        <f t="shared" si="0"/>
      </c>
      <c r="C128" s="40">
        <f>IF(Inputs!$C$60,Inputs!$C$11+(B128-Inputs!$C$69)/Inputs!$C$70,"")</f>
      </c>
      <c r="D128" s="15"/>
      <c r="E128" s="15"/>
      <c r="F128" s="11">
        <f t="shared" si="1"/>
      </c>
      <c r="G128" s="22" cm="1">
        <f t="array" ref="G128">IF(AND(Inputs!$C$60,Inputs!$C$61),INDEX(Utility_Rates!$C$29:$F$52,HOUR(C128)+Inputs!$C$69,MATCH(INDEX(Utility_Rates!$K$6:$K$17,MONTH(C128))&amp;IF(WEEKDAY(C128,Inputs!$C$76)&lt;=Inputs!$C$74," weekday"," weekend"),Utility_Rates!$C$28:$F$28,Inputs!$C$68)),"")</f>
      </c>
      <c r="H128" s="34"/>
      <c r="I128" s="42">
        <f>IF(AND(ISNUMBER(D128),ISNUMBER(H128)),D128*H128*Inputs!$C$69,"")</f>
      </c>
      <c r="J128" s="42">
        <f>IF(AND(ISNUMBER(F128),ISNUMBER(H128),F128&gt;=Inputs!$C$68),F128*H128*Inputs!$C$69,"")</f>
      </c>
    </row>
    <row r="129" spans="2:10" ht="15" customHeight="1" x14ac:dyDescent="0.2">
      <c r="B129" s="39">
        <f t="shared" si="0"/>
      </c>
      <c r="C129" s="40">
        <f>IF(Inputs!$C$60,Inputs!$C$11+(B129-Inputs!$C$69)/Inputs!$C$70,"")</f>
      </c>
      <c r="D129" s="15"/>
      <c r="E129" s="15"/>
      <c r="F129" s="11">
        <f t="shared" si="1"/>
      </c>
      <c r="G129" s="22" cm="1">
        <f t="array" ref="G129">IF(AND(Inputs!$C$60,Inputs!$C$61),INDEX(Utility_Rates!$C$29:$F$52,HOUR(C129)+Inputs!$C$69,MATCH(INDEX(Utility_Rates!$K$6:$K$17,MONTH(C129))&amp;IF(WEEKDAY(C129,Inputs!$C$76)&lt;=Inputs!$C$74," weekday"," weekend"),Utility_Rates!$C$28:$F$28,Inputs!$C$68)),"")</f>
      </c>
      <c r="H129" s="34"/>
      <c r="I129" s="42">
        <f>IF(AND(ISNUMBER(D129),ISNUMBER(H129)),D129*H129*Inputs!$C$69,"")</f>
      </c>
      <c r="J129" s="42">
        <f>IF(AND(ISNUMBER(F129),ISNUMBER(H129),F129&gt;=Inputs!$C$68),F129*H129*Inputs!$C$69,"")</f>
      </c>
    </row>
    <row r="130" spans="2:10" ht="15" customHeight="1" x14ac:dyDescent="0.2">
      <c r="B130" s="39">
        <f t="shared" si="0"/>
      </c>
      <c r="C130" s="40">
        <f>IF(Inputs!$C$60,Inputs!$C$11+(B130-Inputs!$C$69)/Inputs!$C$70,"")</f>
      </c>
      <c r="D130" s="15"/>
      <c r="E130" s="15"/>
      <c r="F130" s="11">
        <f t="shared" si="1"/>
      </c>
      <c r="G130" s="22" cm="1">
        <f t="array" ref="G130">IF(AND(Inputs!$C$60,Inputs!$C$61),INDEX(Utility_Rates!$C$29:$F$52,HOUR(C130)+Inputs!$C$69,MATCH(INDEX(Utility_Rates!$K$6:$K$17,MONTH(C130))&amp;IF(WEEKDAY(C130,Inputs!$C$76)&lt;=Inputs!$C$74," weekday"," weekend"),Utility_Rates!$C$28:$F$28,Inputs!$C$68)),"")</f>
      </c>
      <c r="H130" s="34"/>
      <c r="I130" s="42">
        <f>IF(AND(ISNUMBER(D130),ISNUMBER(H130)),D130*H130*Inputs!$C$69,"")</f>
      </c>
      <c r="J130" s="42">
        <f>IF(AND(ISNUMBER(F130),ISNUMBER(H130),F130&gt;=Inputs!$C$68),F130*H130*Inputs!$C$69,"")</f>
      </c>
    </row>
    <row r="131" spans="2:10" ht="15" customHeight="1" x14ac:dyDescent="0.2">
      <c r="B131" s="39">
        <f t="shared" si="0"/>
      </c>
      <c r="C131" s="40">
        <f>IF(Inputs!$C$60,Inputs!$C$11+(B131-Inputs!$C$69)/Inputs!$C$70,"")</f>
      </c>
      <c r="D131" s="15"/>
      <c r="E131" s="15"/>
      <c r="F131" s="11">
        <f t="shared" si="1"/>
      </c>
      <c r="G131" s="22" cm="1">
        <f t="array" ref="G131">IF(AND(Inputs!$C$60,Inputs!$C$61),INDEX(Utility_Rates!$C$29:$F$52,HOUR(C131)+Inputs!$C$69,MATCH(INDEX(Utility_Rates!$K$6:$K$17,MONTH(C131))&amp;IF(WEEKDAY(C131,Inputs!$C$76)&lt;=Inputs!$C$74," weekday"," weekend"),Utility_Rates!$C$28:$F$28,Inputs!$C$68)),"")</f>
      </c>
      <c r="H131" s="34"/>
      <c r="I131" s="42">
        <f>IF(AND(ISNUMBER(D131),ISNUMBER(H131)),D131*H131*Inputs!$C$69,"")</f>
      </c>
      <c r="J131" s="42">
        <f>IF(AND(ISNUMBER(F131),ISNUMBER(H131),F131&gt;=Inputs!$C$68),F131*H131*Inputs!$C$69,"")</f>
      </c>
    </row>
    <row r="132" spans="2:10" ht="15" customHeight="1" x14ac:dyDescent="0.2">
      <c r="B132" s="39">
        <f t="shared" si="0"/>
      </c>
      <c r="C132" s="40">
        <f>IF(Inputs!$C$60,Inputs!$C$11+(B132-Inputs!$C$69)/Inputs!$C$70,"")</f>
      </c>
      <c r="D132" s="15"/>
      <c r="E132" s="15"/>
      <c r="F132" s="11">
        <f t="shared" si="1"/>
      </c>
      <c r="G132" s="22" cm="1">
        <f t="array" ref="G132">IF(AND(Inputs!$C$60,Inputs!$C$61),INDEX(Utility_Rates!$C$29:$F$52,HOUR(C132)+Inputs!$C$69,MATCH(INDEX(Utility_Rates!$K$6:$K$17,MONTH(C132))&amp;IF(WEEKDAY(C132,Inputs!$C$76)&lt;=Inputs!$C$74," weekday"," weekend"),Utility_Rates!$C$28:$F$28,Inputs!$C$68)),"")</f>
      </c>
      <c r="H132" s="34"/>
      <c r="I132" s="42">
        <f>IF(AND(ISNUMBER(D132),ISNUMBER(H132)),D132*H132*Inputs!$C$69,"")</f>
      </c>
      <c r="J132" s="42">
        <f>IF(AND(ISNUMBER(F132),ISNUMBER(H132),F132&gt;=Inputs!$C$68),F132*H132*Inputs!$C$69,"")</f>
      </c>
    </row>
    <row r="133" spans="2:10" ht="15" customHeight="1" x14ac:dyDescent="0.2">
      <c r="B133" s="39">
        <f t="shared" si="0"/>
      </c>
      <c r="C133" s="40">
        <f>IF(Inputs!$C$60,Inputs!$C$11+(B133-Inputs!$C$69)/Inputs!$C$70,"")</f>
      </c>
      <c r="D133" s="15"/>
      <c r="E133" s="15"/>
      <c r="F133" s="11">
        <f t="shared" si="1"/>
      </c>
      <c r="G133" s="22" cm="1">
        <f t="array" ref="G133">IF(AND(Inputs!$C$60,Inputs!$C$61),INDEX(Utility_Rates!$C$29:$F$52,HOUR(C133)+Inputs!$C$69,MATCH(INDEX(Utility_Rates!$K$6:$K$17,MONTH(C133))&amp;IF(WEEKDAY(C133,Inputs!$C$76)&lt;=Inputs!$C$74," weekday"," weekend"),Utility_Rates!$C$28:$F$28,Inputs!$C$68)),"")</f>
      </c>
      <c r="H133" s="34"/>
      <c r="I133" s="42">
        <f>IF(AND(ISNUMBER(D133),ISNUMBER(H133)),D133*H133*Inputs!$C$69,"")</f>
      </c>
      <c r="J133" s="42">
        <f>IF(AND(ISNUMBER(F133),ISNUMBER(H133),F133&gt;=Inputs!$C$68),F133*H133*Inputs!$C$69,"")</f>
      </c>
    </row>
    <row r="134" spans="2:10" ht="15" customHeight="1" x14ac:dyDescent="0.2">
      <c r="B134" s="39">
        <f t="shared" si="0"/>
      </c>
      <c r="C134" s="40">
        <f>IF(Inputs!$C$60,Inputs!$C$11+(B134-Inputs!$C$69)/Inputs!$C$70,"")</f>
      </c>
      <c r="D134" s="15"/>
      <c r="E134" s="15"/>
      <c r="F134" s="11">
        <f t="shared" si="1"/>
      </c>
      <c r="G134" s="22" cm="1">
        <f t="array" ref="G134">IF(AND(Inputs!$C$60,Inputs!$C$61),INDEX(Utility_Rates!$C$29:$F$52,HOUR(C134)+Inputs!$C$69,MATCH(INDEX(Utility_Rates!$K$6:$K$17,MONTH(C134))&amp;IF(WEEKDAY(C134,Inputs!$C$76)&lt;=Inputs!$C$74," weekday"," weekend"),Utility_Rates!$C$28:$F$28,Inputs!$C$68)),"")</f>
      </c>
      <c r="H134" s="34"/>
      <c r="I134" s="42">
        <f>IF(AND(ISNUMBER(D134),ISNUMBER(H134)),D134*H134*Inputs!$C$69,"")</f>
      </c>
      <c r="J134" s="42">
        <f>IF(AND(ISNUMBER(F134),ISNUMBER(H134),F134&gt;=Inputs!$C$68),F134*H134*Inputs!$C$69,"")</f>
      </c>
    </row>
    <row r="135" spans="2:10" ht="15" customHeight="1" x14ac:dyDescent="0.2">
      <c r="B135" s="39">
        <f t="shared" si="0"/>
      </c>
      <c r="C135" s="40">
        <f>IF(Inputs!$C$60,Inputs!$C$11+(B135-Inputs!$C$69)/Inputs!$C$70,"")</f>
      </c>
      <c r="D135" s="15"/>
      <c r="E135" s="15"/>
      <c r="F135" s="11">
        <f t="shared" si="1"/>
      </c>
      <c r="G135" s="22" cm="1">
        <f t="array" ref="G135">IF(AND(Inputs!$C$60,Inputs!$C$61),INDEX(Utility_Rates!$C$29:$F$52,HOUR(C135)+Inputs!$C$69,MATCH(INDEX(Utility_Rates!$K$6:$K$17,MONTH(C135))&amp;IF(WEEKDAY(C135,Inputs!$C$76)&lt;=Inputs!$C$74," weekday"," weekend"),Utility_Rates!$C$28:$F$28,Inputs!$C$68)),"")</f>
      </c>
      <c r="H135" s="34"/>
      <c r="I135" s="42">
        <f>IF(AND(ISNUMBER(D135),ISNUMBER(H135)),D135*H135*Inputs!$C$69,"")</f>
      </c>
      <c r="J135" s="42">
        <f>IF(AND(ISNUMBER(F135),ISNUMBER(H135),F135&gt;=Inputs!$C$68),F135*H135*Inputs!$C$69,"")</f>
      </c>
    </row>
    <row r="136" spans="2:10" ht="15" customHeight="1" x14ac:dyDescent="0.2">
      <c r="B136" s="39">
        <f t="shared" si="0"/>
      </c>
      <c r="C136" s="40">
        <f>IF(Inputs!$C$60,Inputs!$C$11+(B136-Inputs!$C$69)/Inputs!$C$70,"")</f>
      </c>
      <c r="D136" s="15"/>
      <c r="E136" s="15"/>
      <c r="F136" s="11">
        <f t="shared" si="1"/>
      </c>
      <c r="G136" s="22" cm="1">
        <f t="array" ref="G136">IF(AND(Inputs!$C$60,Inputs!$C$61),INDEX(Utility_Rates!$C$29:$F$52,HOUR(C136)+Inputs!$C$69,MATCH(INDEX(Utility_Rates!$K$6:$K$17,MONTH(C136))&amp;IF(WEEKDAY(C136,Inputs!$C$76)&lt;=Inputs!$C$74," weekday"," weekend"),Utility_Rates!$C$28:$F$28,Inputs!$C$68)),"")</f>
      </c>
      <c r="H136" s="34"/>
      <c r="I136" s="42">
        <f>IF(AND(ISNUMBER(D136),ISNUMBER(H136)),D136*H136*Inputs!$C$69,"")</f>
      </c>
      <c r="J136" s="42">
        <f>IF(AND(ISNUMBER(F136),ISNUMBER(H136),F136&gt;=Inputs!$C$68),F136*H136*Inputs!$C$69,"")</f>
      </c>
    </row>
    <row r="137" spans="2:10" ht="15" customHeight="1" x14ac:dyDescent="0.2">
      <c r="B137" s="39">
        <f t="shared" si="0"/>
      </c>
      <c r="C137" s="40">
        <f>IF(Inputs!$C$60,Inputs!$C$11+(B137-Inputs!$C$69)/Inputs!$C$70,"")</f>
      </c>
      <c r="D137" s="15"/>
      <c r="E137" s="15"/>
      <c r="F137" s="11">
        <f t="shared" si="1"/>
      </c>
      <c r="G137" s="22" cm="1">
        <f t="array" ref="G137">IF(AND(Inputs!$C$60,Inputs!$C$61),INDEX(Utility_Rates!$C$29:$F$52,HOUR(C137)+Inputs!$C$69,MATCH(INDEX(Utility_Rates!$K$6:$K$17,MONTH(C137))&amp;IF(WEEKDAY(C137,Inputs!$C$76)&lt;=Inputs!$C$74," weekday"," weekend"),Utility_Rates!$C$28:$F$28,Inputs!$C$68)),"")</f>
      </c>
      <c r="H137" s="34"/>
      <c r="I137" s="42">
        <f>IF(AND(ISNUMBER(D137),ISNUMBER(H137)),D137*H137*Inputs!$C$69,"")</f>
      </c>
      <c r="J137" s="42">
        <f>IF(AND(ISNUMBER(F137),ISNUMBER(H137),F137&gt;=Inputs!$C$68),F137*H137*Inputs!$C$69,"")</f>
      </c>
    </row>
    <row r="138" spans="2:10" ht="15" customHeight="1" x14ac:dyDescent="0.2">
      <c r="B138" s="39">
        <f t="shared" si="0"/>
      </c>
      <c r="C138" s="40">
        <f>IF(Inputs!$C$60,Inputs!$C$11+(B138-Inputs!$C$69)/Inputs!$C$70,"")</f>
      </c>
      <c r="D138" s="15"/>
      <c r="E138" s="15"/>
      <c r="F138" s="11">
        <f t="shared" si="1"/>
      </c>
      <c r="G138" s="22" cm="1">
        <f t="array" ref="G138">IF(AND(Inputs!$C$60,Inputs!$C$61),INDEX(Utility_Rates!$C$29:$F$52,HOUR(C138)+Inputs!$C$69,MATCH(INDEX(Utility_Rates!$K$6:$K$17,MONTH(C138))&amp;IF(WEEKDAY(C138,Inputs!$C$76)&lt;=Inputs!$C$74," weekday"," weekend"),Utility_Rates!$C$28:$F$28,Inputs!$C$68)),"")</f>
      </c>
      <c r="H138" s="34"/>
      <c r="I138" s="42">
        <f>IF(AND(ISNUMBER(D138),ISNUMBER(H138)),D138*H138*Inputs!$C$69,"")</f>
      </c>
      <c r="J138" s="42">
        <f>IF(AND(ISNUMBER(F138),ISNUMBER(H138),F138&gt;=Inputs!$C$68),F138*H138*Inputs!$C$69,"")</f>
      </c>
    </row>
    <row r="139" spans="2:10" ht="15" customHeight="1" x14ac:dyDescent="0.2">
      <c r="B139" s="39">
        <f t="shared" si="0"/>
      </c>
      <c r="C139" s="40">
        <f>IF(Inputs!$C$60,Inputs!$C$11+(B139-Inputs!$C$69)/Inputs!$C$70,"")</f>
      </c>
      <c r="D139" s="15"/>
      <c r="E139" s="15"/>
      <c r="F139" s="11">
        <f t="shared" si="1"/>
      </c>
      <c r="G139" s="22" cm="1">
        <f t="array" ref="G139">IF(AND(Inputs!$C$60,Inputs!$C$61),INDEX(Utility_Rates!$C$29:$F$52,HOUR(C139)+Inputs!$C$69,MATCH(INDEX(Utility_Rates!$K$6:$K$17,MONTH(C139))&amp;IF(WEEKDAY(C139,Inputs!$C$76)&lt;=Inputs!$C$74," weekday"," weekend"),Utility_Rates!$C$28:$F$28,Inputs!$C$68)),"")</f>
      </c>
      <c r="H139" s="34"/>
      <c r="I139" s="42">
        <f>IF(AND(ISNUMBER(D139),ISNUMBER(H139)),D139*H139*Inputs!$C$69,"")</f>
      </c>
      <c r="J139" s="42">
        <f>IF(AND(ISNUMBER(F139),ISNUMBER(H139),F139&gt;=Inputs!$C$68),F139*H139*Inputs!$C$69,"")</f>
      </c>
    </row>
    <row r="140" spans="2:10" ht="15" customHeight="1" x14ac:dyDescent="0.2">
      <c r="B140" s="39">
        <f t="shared" si="0"/>
      </c>
      <c r="C140" s="40">
        <f>IF(Inputs!$C$60,Inputs!$C$11+(B140-Inputs!$C$69)/Inputs!$C$70,"")</f>
      </c>
      <c r="D140" s="15"/>
      <c r="E140" s="15"/>
      <c r="F140" s="11">
        <f t="shared" si="1"/>
      </c>
      <c r="G140" s="22" cm="1">
        <f t="array" ref="G140">IF(AND(Inputs!$C$60,Inputs!$C$61),INDEX(Utility_Rates!$C$29:$F$52,HOUR(C140)+Inputs!$C$69,MATCH(INDEX(Utility_Rates!$K$6:$K$17,MONTH(C140))&amp;IF(WEEKDAY(C140,Inputs!$C$76)&lt;=Inputs!$C$74," weekday"," weekend"),Utility_Rates!$C$28:$F$28,Inputs!$C$68)),"")</f>
      </c>
      <c r="H140" s="34"/>
      <c r="I140" s="42">
        <f>IF(AND(ISNUMBER(D140),ISNUMBER(H140)),D140*H140*Inputs!$C$69,"")</f>
      </c>
      <c r="J140" s="42">
        <f>IF(AND(ISNUMBER(F140),ISNUMBER(H140),F140&gt;=Inputs!$C$68),F140*H140*Inputs!$C$69,"")</f>
      </c>
    </row>
    <row r="141" spans="2:10" ht="15" customHeight="1" x14ac:dyDescent="0.2">
      <c r="B141" s="39">
        <f t="shared" si="0"/>
      </c>
      <c r="C141" s="40">
        <f>IF(Inputs!$C$60,Inputs!$C$11+(B141-Inputs!$C$69)/Inputs!$C$70,"")</f>
      </c>
      <c r="D141" s="15"/>
      <c r="E141" s="15"/>
      <c r="F141" s="11">
        <f t="shared" si="1"/>
      </c>
      <c r="G141" s="22" cm="1">
        <f t="array" ref="G141">IF(AND(Inputs!$C$60,Inputs!$C$61),INDEX(Utility_Rates!$C$29:$F$52,HOUR(C141)+Inputs!$C$69,MATCH(INDEX(Utility_Rates!$K$6:$K$17,MONTH(C141))&amp;IF(WEEKDAY(C141,Inputs!$C$76)&lt;=Inputs!$C$74," weekday"," weekend"),Utility_Rates!$C$28:$F$28,Inputs!$C$68)),"")</f>
      </c>
      <c r="H141" s="34"/>
      <c r="I141" s="42">
        <f>IF(AND(ISNUMBER(D141),ISNUMBER(H141)),D141*H141*Inputs!$C$69,"")</f>
      </c>
      <c r="J141" s="42">
        <f>IF(AND(ISNUMBER(F141),ISNUMBER(H141),F141&gt;=Inputs!$C$68),F141*H141*Inputs!$C$69,"")</f>
      </c>
    </row>
    <row r="142" spans="2:10" ht="15" customHeight="1" x14ac:dyDescent="0.2">
      <c r="B142" s="39">
        <f t="shared" si="0"/>
      </c>
      <c r="C142" s="40">
        <f>IF(Inputs!$C$60,Inputs!$C$11+(B142-Inputs!$C$69)/Inputs!$C$70,"")</f>
      </c>
      <c r="D142" s="15"/>
      <c r="E142" s="15"/>
      <c r="F142" s="11">
        <f t="shared" si="1"/>
      </c>
      <c r="G142" s="22" cm="1">
        <f t="array" ref="G142">IF(AND(Inputs!$C$60,Inputs!$C$61),INDEX(Utility_Rates!$C$29:$F$52,HOUR(C142)+Inputs!$C$69,MATCH(INDEX(Utility_Rates!$K$6:$K$17,MONTH(C142))&amp;IF(WEEKDAY(C142,Inputs!$C$76)&lt;=Inputs!$C$74," weekday"," weekend"),Utility_Rates!$C$28:$F$28,Inputs!$C$68)),"")</f>
      </c>
      <c r="H142" s="34"/>
      <c r="I142" s="42">
        <f>IF(AND(ISNUMBER(D142),ISNUMBER(H142)),D142*H142*Inputs!$C$69,"")</f>
      </c>
      <c r="J142" s="42">
        <f>IF(AND(ISNUMBER(F142),ISNUMBER(H142),F142&gt;=Inputs!$C$68),F142*H142*Inputs!$C$69,"")</f>
      </c>
    </row>
    <row r="143" spans="2:10" ht="15" customHeight="1" x14ac:dyDescent="0.2">
      <c r="B143" s="39">
        <f t="shared" si="0"/>
      </c>
      <c r="C143" s="40">
        <f>IF(Inputs!$C$60,Inputs!$C$11+(B143-Inputs!$C$69)/Inputs!$C$70,"")</f>
      </c>
      <c r="D143" s="15"/>
      <c r="E143" s="15"/>
      <c r="F143" s="11">
        <f t="shared" si="1"/>
      </c>
      <c r="G143" s="22" cm="1">
        <f t="array" ref="G143">IF(AND(Inputs!$C$60,Inputs!$C$61),INDEX(Utility_Rates!$C$29:$F$52,HOUR(C143)+Inputs!$C$69,MATCH(INDEX(Utility_Rates!$K$6:$K$17,MONTH(C143))&amp;IF(WEEKDAY(C143,Inputs!$C$76)&lt;=Inputs!$C$74," weekday"," weekend"),Utility_Rates!$C$28:$F$28,Inputs!$C$68)),"")</f>
      </c>
      <c r="H143" s="34"/>
      <c r="I143" s="42">
        <f>IF(AND(ISNUMBER(D143),ISNUMBER(H143)),D143*H143*Inputs!$C$69,"")</f>
      </c>
      <c r="J143" s="42">
        <f>IF(AND(ISNUMBER(F143),ISNUMBER(H143),F143&gt;=Inputs!$C$68),F143*H143*Inputs!$C$69,"")</f>
      </c>
    </row>
    <row r="144" spans="2:10" ht="15" customHeight="1" x14ac:dyDescent="0.2">
      <c r="B144" s="39">
        <f t="shared" si="0"/>
      </c>
      <c r="C144" s="40">
        <f>IF(Inputs!$C$60,Inputs!$C$11+(B144-Inputs!$C$69)/Inputs!$C$70,"")</f>
      </c>
      <c r="D144" s="15"/>
      <c r="E144" s="15"/>
      <c r="F144" s="11">
        <f t="shared" si="1"/>
      </c>
      <c r="G144" s="22" cm="1">
        <f t="array" ref="G144">IF(AND(Inputs!$C$60,Inputs!$C$61),INDEX(Utility_Rates!$C$29:$F$52,HOUR(C144)+Inputs!$C$69,MATCH(INDEX(Utility_Rates!$K$6:$K$17,MONTH(C144))&amp;IF(WEEKDAY(C144,Inputs!$C$76)&lt;=Inputs!$C$74," weekday"," weekend"),Utility_Rates!$C$28:$F$28,Inputs!$C$68)),"")</f>
      </c>
      <c r="H144" s="34"/>
      <c r="I144" s="42">
        <f>IF(AND(ISNUMBER(D144),ISNUMBER(H144)),D144*H144*Inputs!$C$69,"")</f>
      </c>
      <c r="J144" s="42">
        <f>IF(AND(ISNUMBER(F144),ISNUMBER(H144),F144&gt;=Inputs!$C$68),F144*H144*Inputs!$C$69,"")</f>
      </c>
    </row>
    <row r="145" spans="2:10" ht="15" customHeight="1" x14ac:dyDescent="0.2">
      <c r="B145" s="39">
        <f t="shared" si="0"/>
      </c>
      <c r="C145" s="40">
        <f>IF(Inputs!$C$60,Inputs!$C$11+(B145-Inputs!$C$69)/Inputs!$C$70,"")</f>
      </c>
      <c r="D145" s="15"/>
      <c r="E145" s="15"/>
      <c r="F145" s="11">
        <f t="shared" si="1"/>
      </c>
      <c r="G145" s="22" cm="1">
        <f t="array" ref="G145">IF(AND(Inputs!$C$60,Inputs!$C$61),INDEX(Utility_Rates!$C$29:$F$52,HOUR(C145)+Inputs!$C$69,MATCH(INDEX(Utility_Rates!$K$6:$K$17,MONTH(C145))&amp;IF(WEEKDAY(C145,Inputs!$C$76)&lt;=Inputs!$C$74," weekday"," weekend"),Utility_Rates!$C$28:$F$28,Inputs!$C$68)),"")</f>
      </c>
      <c r="H145" s="34"/>
      <c r="I145" s="42">
        <f>IF(AND(ISNUMBER(D145),ISNUMBER(H145)),D145*H145*Inputs!$C$69,"")</f>
      </c>
      <c r="J145" s="42">
        <f>IF(AND(ISNUMBER(F145),ISNUMBER(H145),F145&gt;=Inputs!$C$68),F145*H145*Inputs!$C$69,"")</f>
      </c>
    </row>
    <row r="146" spans="2:10" ht="15" customHeight="1" x14ac:dyDescent="0.2">
      <c r="B146" s="39">
        <f t="shared" si="0"/>
      </c>
      <c r="C146" s="40">
        <f>IF(Inputs!$C$60,Inputs!$C$11+(B146-Inputs!$C$69)/Inputs!$C$70,"")</f>
      </c>
      <c r="D146" s="15"/>
      <c r="E146" s="15"/>
      <c r="F146" s="11">
        <f t="shared" si="1"/>
      </c>
      <c r="G146" s="22" cm="1">
        <f t="array" ref="G146">IF(AND(Inputs!$C$60,Inputs!$C$61),INDEX(Utility_Rates!$C$29:$F$52,HOUR(C146)+Inputs!$C$69,MATCH(INDEX(Utility_Rates!$K$6:$K$17,MONTH(C146))&amp;IF(WEEKDAY(C146,Inputs!$C$76)&lt;=Inputs!$C$74," weekday"," weekend"),Utility_Rates!$C$28:$F$28,Inputs!$C$68)),"")</f>
      </c>
      <c r="H146" s="34"/>
      <c r="I146" s="42">
        <f>IF(AND(ISNUMBER(D146),ISNUMBER(H146)),D146*H146*Inputs!$C$69,"")</f>
      </c>
      <c r="J146" s="42">
        <f>IF(AND(ISNUMBER(F146),ISNUMBER(H146),F146&gt;=Inputs!$C$68),F146*H146*Inputs!$C$69,"")</f>
      </c>
    </row>
    <row r="147" spans="2:10" ht="15" customHeight="1" x14ac:dyDescent="0.2">
      <c r="B147" s="39">
        <f t="shared" si="0"/>
      </c>
      <c r="C147" s="40">
        <f>IF(Inputs!$C$60,Inputs!$C$11+(B147-Inputs!$C$69)/Inputs!$C$70,"")</f>
      </c>
      <c r="D147" s="15"/>
      <c r="E147" s="15"/>
      <c r="F147" s="11">
        <f t="shared" si="1"/>
      </c>
      <c r="G147" s="22" cm="1">
        <f t="array" ref="G147">IF(AND(Inputs!$C$60,Inputs!$C$61),INDEX(Utility_Rates!$C$29:$F$52,HOUR(C147)+Inputs!$C$69,MATCH(INDEX(Utility_Rates!$K$6:$K$17,MONTH(C147))&amp;IF(WEEKDAY(C147,Inputs!$C$76)&lt;=Inputs!$C$74," weekday"," weekend"),Utility_Rates!$C$28:$F$28,Inputs!$C$68)),"")</f>
      </c>
      <c r="H147" s="34"/>
      <c r="I147" s="42">
        <f>IF(AND(ISNUMBER(D147),ISNUMBER(H147)),D147*H147*Inputs!$C$69,"")</f>
      </c>
      <c r="J147" s="42">
        <f>IF(AND(ISNUMBER(F147),ISNUMBER(H147),F147&gt;=Inputs!$C$68),F147*H147*Inputs!$C$69,"")</f>
      </c>
    </row>
    <row r="148" spans="2:10" ht="15" customHeight="1" x14ac:dyDescent="0.2">
      <c r="B148" s="39">
        <f t="shared" si="0"/>
      </c>
      <c r="C148" s="40">
        <f>IF(Inputs!$C$60,Inputs!$C$11+(B148-Inputs!$C$69)/Inputs!$C$70,"")</f>
      </c>
      <c r="D148" s="15"/>
      <c r="E148" s="15"/>
      <c r="F148" s="11">
        <f t="shared" si="1"/>
      </c>
      <c r="G148" s="22" cm="1">
        <f t="array" ref="G148">IF(AND(Inputs!$C$60,Inputs!$C$61),INDEX(Utility_Rates!$C$29:$F$52,HOUR(C148)+Inputs!$C$69,MATCH(INDEX(Utility_Rates!$K$6:$K$17,MONTH(C148))&amp;IF(WEEKDAY(C148,Inputs!$C$76)&lt;=Inputs!$C$74," weekday"," weekend"),Utility_Rates!$C$28:$F$28,Inputs!$C$68)),"")</f>
      </c>
      <c r="H148" s="34"/>
      <c r="I148" s="42">
        <f>IF(AND(ISNUMBER(D148),ISNUMBER(H148)),D148*H148*Inputs!$C$69,"")</f>
      </c>
      <c r="J148" s="42">
        <f>IF(AND(ISNUMBER(F148),ISNUMBER(H148),F148&gt;=Inputs!$C$68),F148*H148*Inputs!$C$69,"")</f>
      </c>
    </row>
    <row r="149" spans="2:10" ht="15" customHeight="1" x14ac:dyDescent="0.2">
      <c r="B149" s="39">
        <f t="shared" si="0"/>
      </c>
      <c r="C149" s="40">
        <f>IF(Inputs!$C$60,Inputs!$C$11+(B149-Inputs!$C$69)/Inputs!$C$70,"")</f>
      </c>
      <c r="D149" s="15"/>
      <c r="E149" s="15"/>
      <c r="F149" s="11">
        <f t="shared" si="1"/>
      </c>
      <c r="G149" s="22" cm="1">
        <f t="array" ref="G149">IF(AND(Inputs!$C$60,Inputs!$C$61),INDEX(Utility_Rates!$C$29:$F$52,HOUR(C149)+Inputs!$C$69,MATCH(INDEX(Utility_Rates!$K$6:$K$17,MONTH(C149))&amp;IF(WEEKDAY(C149,Inputs!$C$76)&lt;=Inputs!$C$74," weekday"," weekend"),Utility_Rates!$C$28:$F$28,Inputs!$C$68)),"")</f>
      </c>
      <c r="H149" s="34"/>
      <c r="I149" s="42">
        <f>IF(AND(ISNUMBER(D149),ISNUMBER(H149)),D149*H149*Inputs!$C$69,"")</f>
      </c>
      <c r="J149" s="42">
        <f>IF(AND(ISNUMBER(F149),ISNUMBER(H149),F149&gt;=Inputs!$C$68),F149*H149*Inputs!$C$69,"")</f>
      </c>
    </row>
    <row r="150" spans="2:10" ht="15" customHeight="1" x14ac:dyDescent="0.2">
      <c r="B150" s="39">
        <f t="shared" si="0"/>
      </c>
      <c r="C150" s="40">
        <f>IF(Inputs!$C$60,Inputs!$C$11+(B150-Inputs!$C$69)/Inputs!$C$70,"")</f>
      </c>
      <c r="D150" s="15"/>
      <c r="E150" s="15"/>
      <c r="F150" s="11">
        <f t="shared" si="1"/>
      </c>
      <c r="G150" s="22" cm="1">
        <f t="array" ref="G150">IF(AND(Inputs!$C$60,Inputs!$C$61),INDEX(Utility_Rates!$C$29:$F$52,HOUR(C150)+Inputs!$C$69,MATCH(INDEX(Utility_Rates!$K$6:$K$17,MONTH(C150))&amp;IF(WEEKDAY(C150,Inputs!$C$76)&lt;=Inputs!$C$74," weekday"," weekend"),Utility_Rates!$C$28:$F$28,Inputs!$C$68)),"")</f>
      </c>
      <c r="H150" s="34"/>
      <c r="I150" s="42">
        <f>IF(AND(ISNUMBER(D150),ISNUMBER(H150)),D150*H150*Inputs!$C$69,"")</f>
      </c>
      <c r="J150" s="42">
        <f>IF(AND(ISNUMBER(F150),ISNUMBER(H150),F150&gt;=Inputs!$C$68),F150*H150*Inputs!$C$69,"")</f>
      </c>
    </row>
    <row r="151" spans="2:10" ht="15" customHeight="1" x14ac:dyDescent="0.2">
      <c r="B151" s="39">
        <f t="shared" si="0"/>
      </c>
      <c r="C151" s="40">
        <f>IF(Inputs!$C$60,Inputs!$C$11+(B151-Inputs!$C$69)/Inputs!$C$70,"")</f>
      </c>
      <c r="D151" s="15"/>
      <c r="E151" s="15"/>
      <c r="F151" s="11">
        <f t="shared" si="1"/>
      </c>
      <c r="G151" s="22" cm="1">
        <f t="array" ref="G151">IF(AND(Inputs!$C$60,Inputs!$C$61),INDEX(Utility_Rates!$C$29:$F$52,HOUR(C151)+Inputs!$C$69,MATCH(INDEX(Utility_Rates!$K$6:$K$17,MONTH(C151))&amp;IF(WEEKDAY(C151,Inputs!$C$76)&lt;=Inputs!$C$74," weekday"," weekend"),Utility_Rates!$C$28:$F$28,Inputs!$C$68)),"")</f>
      </c>
      <c r="H151" s="34"/>
      <c r="I151" s="42">
        <f>IF(AND(ISNUMBER(D151),ISNUMBER(H151)),D151*H151*Inputs!$C$69,"")</f>
      </c>
      <c r="J151" s="42">
        <f>IF(AND(ISNUMBER(F151),ISNUMBER(H151),F151&gt;=Inputs!$C$68),F151*H151*Inputs!$C$69,"")</f>
      </c>
    </row>
    <row r="152" spans="2:10" ht="15" customHeight="1" x14ac:dyDescent="0.2">
      <c r="B152" s="39">
        <f t="shared" si="0"/>
      </c>
      <c r="C152" s="40">
        <f>IF(Inputs!$C$60,Inputs!$C$11+(B152-Inputs!$C$69)/Inputs!$C$70,"")</f>
      </c>
      <c r="D152" s="15"/>
      <c r="E152" s="15"/>
      <c r="F152" s="11">
        <f t="shared" si="1"/>
      </c>
      <c r="G152" s="22" cm="1">
        <f t="array" ref="G152">IF(AND(Inputs!$C$60,Inputs!$C$61),INDEX(Utility_Rates!$C$29:$F$52,HOUR(C152)+Inputs!$C$69,MATCH(INDEX(Utility_Rates!$K$6:$K$17,MONTH(C152))&amp;IF(WEEKDAY(C152,Inputs!$C$76)&lt;=Inputs!$C$74," weekday"," weekend"),Utility_Rates!$C$28:$F$28,Inputs!$C$68)),"")</f>
      </c>
      <c r="H152" s="34"/>
      <c r="I152" s="42">
        <f>IF(AND(ISNUMBER(D152),ISNUMBER(H152)),D152*H152*Inputs!$C$69,"")</f>
      </c>
      <c r="J152" s="42">
        <f>IF(AND(ISNUMBER(F152),ISNUMBER(H152),F152&gt;=Inputs!$C$68),F152*H152*Inputs!$C$69,"")</f>
      </c>
    </row>
    <row r="153" spans="2:10" ht="15" customHeight="1" x14ac:dyDescent="0.2">
      <c r="B153" s="39">
        <f t="shared" si="0"/>
      </c>
      <c r="C153" s="40">
        <f>IF(Inputs!$C$60,Inputs!$C$11+(B153-Inputs!$C$69)/Inputs!$C$70,"")</f>
      </c>
      <c r="D153" s="15"/>
      <c r="E153" s="15"/>
      <c r="F153" s="11">
        <f t="shared" si="1"/>
      </c>
      <c r="G153" s="22" cm="1">
        <f t="array" ref="G153">IF(AND(Inputs!$C$60,Inputs!$C$61),INDEX(Utility_Rates!$C$29:$F$52,HOUR(C153)+Inputs!$C$69,MATCH(INDEX(Utility_Rates!$K$6:$K$17,MONTH(C153))&amp;IF(WEEKDAY(C153,Inputs!$C$76)&lt;=Inputs!$C$74," weekday"," weekend"),Utility_Rates!$C$28:$F$28,Inputs!$C$68)),"")</f>
      </c>
      <c r="H153" s="34"/>
      <c r="I153" s="42">
        <f>IF(AND(ISNUMBER(D153),ISNUMBER(H153)),D153*H153*Inputs!$C$69,"")</f>
      </c>
      <c r="J153" s="42">
        <f>IF(AND(ISNUMBER(F153),ISNUMBER(H153),F153&gt;=Inputs!$C$68),F153*H153*Inputs!$C$69,"")</f>
      </c>
    </row>
    <row r="154" spans="2:10" ht="15" customHeight="1" x14ac:dyDescent="0.2">
      <c r="B154" s="39">
        <f t="shared" si="0"/>
      </c>
      <c r="C154" s="40">
        <f>IF(Inputs!$C$60,Inputs!$C$11+(B154-Inputs!$C$69)/Inputs!$C$70,"")</f>
      </c>
      <c r="D154" s="15"/>
      <c r="E154" s="15"/>
      <c r="F154" s="11">
        <f t="shared" si="1"/>
      </c>
      <c r="G154" s="22" cm="1">
        <f t="array" ref="G154">IF(AND(Inputs!$C$60,Inputs!$C$61),INDEX(Utility_Rates!$C$29:$F$52,HOUR(C154)+Inputs!$C$69,MATCH(INDEX(Utility_Rates!$K$6:$K$17,MONTH(C154))&amp;IF(WEEKDAY(C154,Inputs!$C$76)&lt;=Inputs!$C$74," weekday"," weekend"),Utility_Rates!$C$28:$F$28,Inputs!$C$68)),"")</f>
      </c>
      <c r="H154" s="34"/>
      <c r="I154" s="42">
        <f>IF(AND(ISNUMBER(D154),ISNUMBER(H154)),D154*H154*Inputs!$C$69,"")</f>
      </c>
      <c r="J154" s="42">
        <f>IF(AND(ISNUMBER(F154),ISNUMBER(H154),F154&gt;=Inputs!$C$68),F154*H154*Inputs!$C$69,"")</f>
      </c>
    </row>
    <row r="155" spans="2:10" ht="15" customHeight="1" x14ac:dyDescent="0.2">
      <c r="B155" s="39">
        <f t="shared" si="0"/>
      </c>
      <c r="C155" s="40">
        <f>IF(Inputs!$C$60,Inputs!$C$11+(B155-Inputs!$C$69)/Inputs!$C$70,"")</f>
      </c>
      <c r="D155" s="15"/>
      <c r="E155" s="15"/>
      <c r="F155" s="11">
        <f t="shared" si="1"/>
      </c>
      <c r="G155" s="22" cm="1">
        <f t="array" ref="G155">IF(AND(Inputs!$C$60,Inputs!$C$61),INDEX(Utility_Rates!$C$29:$F$52,HOUR(C155)+Inputs!$C$69,MATCH(INDEX(Utility_Rates!$K$6:$K$17,MONTH(C155))&amp;IF(WEEKDAY(C155,Inputs!$C$76)&lt;=Inputs!$C$74," weekday"," weekend"),Utility_Rates!$C$28:$F$28,Inputs!$C$68)),"")</f>
      </c>
      <c r="H155" s="34"/>
      <c r="I155" s="42">
        <f>IF(AND(ISNUMBER(D155),ISNUMBER(H155)),D155*H155*Inputs!$C$69,"")</f>
      </c>
      <c r="J155" s="42">
        <f>IF(AND(ISNUMBER(F155),ISNUMBER(H155),F155&gt;=Inputs!$C$68),F155*H155*Inputs!$C$69,"")</f>
      </c>
    </row>
    <row r="156" spans="2:10" ht="15" customHeight="1" x14ac:dyDescent="0.2">
      <c r="B156" s="39">
        <f t="shared" si="0"/>
      </c>
      <c r="C156" s="40">
        <f>IF(Inputs!$C$60,Inputs!$C$11+(B156-Inputs!$C$69)/Inputs!$C$70,"")</f>
      </c>
      <c r="D156" s="15"/>
      <c r="E156" s="15"/>
      <c r="F156" s="11">
        <f t="shared" si="1"/>
      </c>
      <c r="G156" s="22" cm="1">
        <f t="array" ref="G156">IF(AND(Inputs!$C$60,Inputs!$C$61),INDEX(Utility_Rates!$C$29:$F$52,HOUR(C156)+Inputs!$C$69,MATCH(INDEX(Utility_Rates!$K$6:$K$17,MONTH(C156))&amp;IF(WEEKDAY(C156,Inputs!$C$76)&lt;=Inputs!$C$74," weekday"," weekend"),Utility_Rates!$C$28:$F$28,Inputs!$C$68)),"")</f>
      </c>
      <c r="H156" s="34"/>
      <c r="I156" s="42">
        <f>IF(AND(ISNUMBER(D156),ISNUMBER(H156)),D156*H156*Inputs!$C$69,"")</f>
      </c>
      <c r="J156" s="42">
        <f>IF(AND(ISNUMBER(F156),ISNUMBER(H156),F156&gt;=Inputs!$C$68),F156*H156*Inputs!$C$69,"")</f>
      </c>
    </row>
    <row r="157" spans="2:10" ht="15" customHeight="1" x14ac:dyDescent="0.2">
      <c r="B157" s="39">
        <f t="shared" si="0"/>
      </c>
      <c r="C157" s="40">
        <f>IF(Inputs!$C$60,Inputs!$C$11+(B157-Inputs!$C$69)/Inputs!$C$70,"")</f>
      </c>
      <c r="D157" s="15"/>
      <c r="E157" s="15"/>
      <c r="F157" s="11">
        <f t="shared" si="1"/>
      </c>
      <c r="G157" s="22" cm="1">
        <f t="array" ref="G157">IF(AND(Inputs!$C$60,Inputs!$C$61),INDEX(Utility_Rates!$C$29:$F$52,HOUR(C157)+Inputs!$C$69,MATCH(INDEX(Utility_Rates!$K$6:$K$17,MONTH(C157))&amp;IF(WEEKDAY(C157,Inputs!$C$76)&lt;=Inputs!$C$74," weekday"," weekend"),Utility_Rates!$C$28:$F$28,Inputs!$C$68)),"")</f>
      </c>
      <c r="H157" s="34"/>
      <c r="I157" s="42">
        <f>IF(AND(ISNUMBER(D157),ISNUMBER(H157)),D157*H157*Inputs!$C$69,"")</f>
      </c>
      <c r="J157" s="42">
        <f>IF(AND(ISNUMBER(F157),ISNUMBER(H157),F157&gt;=Inputs!$C$68),F157*H157*Inputs!$C$69,"")</f>
      </c>
    </row>
    <row r="158" spans="2:10" ht="15" customHeight="1" x14ac:dyDescent="0.2">
      <c r="B158" s="39">
        <f t="shared" si="0"/>
      </c>
      <c r="C158" s="40">
        <f>IF(Inputs!$C$60,Inputs!$C$11+(B158-Inputs!$C$69)/Inputs!$C$70,"")</f>
      </c>
      <c r="D158" s="15"/>
      <c r="E158" s="15"/>
      <c r="F158" s="11">
        <f t="shared" si="1"/>
      </c>
      <c r="G158" s="22" cm="1">
        <f t="array" ref="G158">IF(AND(Inputs!$C$60,Inputs!$C$61),INDEX(Utility_Rates!$C$29:$F$52,HOUR(C158)+Inputs!$C$69,MATCH(INDEX(Utility_Rates!$K$6:$K$17,MONTH(C158))&amp;IF(WEEKDAY(C158,Inputs!$C$76)&lt;=Inputs!$C$74," weekday"," weekend"),Utility_Rates!$C$28:$F$28,Inputs!$C$68)),"")</f>
      </c>
      <c r="H158" s="34"/>
      <c r="I158" s="42">
        <f>IF(AND(ISNUMBER(D158),ISNUMBER(H158)),D158*H158*Inputs!$C$69,"")</f>
      </c>
      <c r="J158" s="42">
        <f>IF(AND(ISNUMBER(F158),ISNUMBER(H158),F158&gt;=Inputs!$C$68),F158*H158*Inputs!$C$69,"")</f>
      </c>
    </row>
    <row r="159" spans="2:10" ht="15" customHeight="1" x14ac:dyDescent="0.2">
      <c r="B159" s="39">
        <f t="shared" si="0"/>
      </c>
      <c r="C159" s="40">
        <f>IF(Inputs!$C$60,Inputs!$C$11+(B159-Inputs!$C$69)/Inputs!$C$70,"")</f>
      </c>
      <c r="D159" s="15"/>
      <c r="E159" s="15"/>
      <c r="F159" s="11">
        <f t="shared" si="1"/>
      </c>
      <c r="G159" s="22" cm="1">
        <f t="array" ref="G159">IF(AND(Inputs!$C$60,Inputs!$C$61),INDEX(Utility_Rates!$C$29:$F$52,HOUR(C159)+Inputs!$C$69,MATCH(INDEX(Utility_Rates!$K$6:$K$17,MONTH(C159))&amp;IF(WEEKDAY(C159,Inputs!$C$76)&lt;=Inputs!$C$74," weekday"," weekend"),Utility_Rates!$C$28:$F$28,Inputs!$C$68)),"")</f>
      </c>
      <c r="H159" s="34"/>
      <c r="I159" s="42">
        <f>IF(AND(ISNUMBER(D159),ISNUMBER(H159)),D159*H159*Inputs!$C$69,"")</f>
      </c>
      <c r="J159" s="42">
        <f>IF(AND(ISNUMBER(F159),ISNUMBER(H159),F159&gt;=Inputs!$C$68),F159*H159*Inputs!$C$69,"")</f>
      </c>
    </row>
    <row r="160" spans="2:10" ht="15" customHeight="1" x14ac:dyDescent="0.2">
      <c r="B160" s="39">
        <f t="shared" si="0"/>
      </c>
      <c r="C160" s="40">
        <f>IF(Inputs!$C$60,Inputs!$C$11+(B160-Inputs!$C$69)/Inputs!$C$70,"")</f>
      </c>
      <c r="D160" s="15"/>
      <c r="E160" s="15"/>
      <c r="F160" s="11">
        <f t="shared" si="1"/>
      </c>
      <c r="G160" s="22" cm="1">
        <f t="array" ref="G160">IF(AND(Inputs!$C$60,Inputs!$C$61),INDEX(Utility_Rates!$C$29:$F$52,HOUR(C160)+Inputs!$C$69,MATCH(INDEX(Utility_Rates!$K$6:$K$17,MONTH(C160))&amp;IF(WEEKDAY(C160,Inputs!$C$76)&lt;=Inputs!$C$74," weekday"," weekend"),Utility_Rates!$C$28:$F$28,Inputs!$C$68)),"")</f>
      </c>
      <c r="H160" s="34"/>
      <c r="I160" s="42">
        <f>IF(AND(ISNUMBER(D160),ISNUMBER(H160)),D160*H160*Inputs!$C$69,"")</f>
      </c>
      <c r="J160" s="42">
        <f>IF(AND(ISNUMBER(F160),ISNUMBER(H160),F160&gt;=Inputs!$C$68),F160*H160*Inputs!$C$69,"")</f>
      </c>
    </row>
    <row r="161" spans="2:10" ht="15" customHeight="1" x14ac:dyDescent="0.2">
      <c r="B161" s="39">
        <f t="shared" si="0"/>
      </c>
      <c r="C161" s="40">
        <f>IF(Inputs!$C$60,Inputs!$C$11+(B161-Inputs!$C$69)/Inputs!$C$70,"")</f>
      </c>
      <c r="D161" s="15"/>
      <c r="E161" s="15"/>
      <c r="F161" s="11">
        <f t="shared" si="1"/>
      </c>
      <c r="G161" s="22" cm="1">
        <f t="array" ref="G161">IF(AND(Inputs!$C$60,Inputs!$C$61),INDEX(Utility_Rates!$C$29:$F$52,HOUR(C161)+Inputs!$C$69,MATCH(INDEX(Utility_Rates!$K$6:$K$17,MONTH(C161))&amp;IF(WEEKDAY(C161,Inputs!$C$76)&lt;=Inputs!$C$74," weekday"," weekend"),Utility_Rates!$C$28:$F$28,Inputs!$C$68)),"")</f>
      </c>
      <c r="H161" s="34"/>
      <c r="I161" s="42">
        <f>IF(AND(ISNUMBER(D161),ISNUMBER(H161)),D161*H161*Inputs!$C$69,"")</f>
      </c>
      <c r="J161" s="42">
        <f>IF(AND(ISNUMBER(F161),ISNUMBER(H161),F161&gt;=Inputs!$C$68),F161*H161*Inputs!$C$69,"")</f>
      </c>
    </row>
    <row r="162" spans="2:10" ht="15" customHeight="1" x14ac:dyDescent="0.2">
      <c r="B162" s="39">
        <f t="shared" si="0"/>
      </c>
      <c r="C162" s="40">
        <f>IF(Inputs!$C$60,Inputs!$C$11+(B162-Inputs!$C$69)/Inputs!$C$70,"")</f>
      </c>
      <c r="D162" s="15"/>
      <c r="E162" s="15"/>
      <c r="F162" s="11">
        <f t="shared" si="1"/>
      </c>
      <c r="G162" s="22" cm="1">
        <f t="array" ref="G162">IF(AND(Inputs!$C$60,Inputs!$C$61),INDEX(Utility_Rates!$C$29:$F$52,HOUR(C162)+Inputs!$C$69,MATCH(INDEX(Utility_Rates!$K$6:$K$17,MONTH(C162))&amp;IF(WEEKDAY(C162,Inputs!$C$76)&lt;=Inputs!$C$74," weekday"," weekend"),Utility_Rates!$C$28:$F$28,Inputs!$C$68)),"")</f>
      </c>
      <c r="H162" s="34"/>
      <c r="I162" s="42">
        <f>IF(AND(ISNUMBER(D162),ISNUMBER(H162)),D162*H162*Inputs!$C$69,"")</f>
      </c>
      <c r="J162" s="42">
        <f>IF(AND(ISNUMBER(F162),ISNUMBER(H162),F162&gt;=Inputs!$C$68),F162*H162*Inputs!$C$69,"")</f>
      </c>
    </row>
    <row r="163" spans="2:10" ht="15" customHeight="1" x14ac:dyDescent="0.2">
      <c r="B163" s="39">
        <f t="shared" si="0"/>
      </c>
      <c r="C163" s="40">
        <f>IF(Inputs!$C$60,Inputs!$C$11+(B163-Inputs!$C$69)/Inputs!$C$70,"")</f>
      </c>
      <c r="D163" s="15"/>
      <c r="E163" s="15"/>
      <c r="F163" s="11">
        <f t="shared" si="1"/>
      </c>
      <c r="G163" s="22" cm="1">
        <f t="array" ref="G163">IF(AND(Inputs!$C$60,Inputs!$C$61),INDEX(Utility_Rates!$C$29:$F$52,HOUR(C163)+Inputs!$C$69,MATCH(INDEX(Utility_Rates!$K$6:$K$17,MONTH(C163))&amp;IF(WEEKDAY(C163,Inputs!$C$76)&lt;=Inputs!$C$74," weekday"," weekend"),Utility_Rates!$C$28:$F$28,Inputs!$C$68)),"")</f>
      </c>
      <c r="H163" s="34"/>
      <c r="I163" s="42">
        <f>IF(AND(ISNUMBER(D163),ISNUMBER(H163)),D163*H163*Inputs!$C$69,"")</f>
      </c>
      <c r="J163" s="42">
        <f>IF(AND(ISNUMBER(F163),ISNUMBER(H163),F163&gt;=Inputs!$C$68),F163*H163*Inputs!$C$69,"")</f>
      </c>
    </row>
    <row r="164" spans="2:10" ht="15" customHeight="1" x14ac:dyDescent="0.2">
      <c r="B164" s="39">
        <f t="shared" si="0"/>
      </c>
      <c r="C164" s="40">
        <f>IF(Inputs!$C$60,Inputs!$C$11+(B164-Inputs!$C$69)/Inputs!$C$70,"")</f>
      </c>
      <c r="D164" s="15"/>
      <c r="E164" s="15"/>
      <c r="F164" s="11">
        <f t="shared" si="1"/>
      </c>
      <c r="G164" s="22" cm="1">
        <f t="array" ref="G164">IF(AND(Inputs!$C$60,Inputs!$C$61),INDEX(Utility_Rates!$C$29:$F$52,HOUR(C164)+Inputs!$C$69,MATCH(INDEX(Utility_Rates!$K$6:$K$17,MONTH(C164))&amp;IF(WEEKDAY(C164,Inputs!$C$76)&lt;=Inputs!$C$74," weekday"," weekend"),Utility_Rates!$C$28:$F$28,Inputs!$C$68)),"")</f>
      </c>
      <c r="H164" s="34"/>
      <c r="I164" s="42">
        <f>IF(AND(ISNUMBER(D164),ISNUMBER(H164)),D164*H164*Inputs!$C$69,"")</f>
      </c>
      <c r="J164" s="42">
        <f>IF(AND(ISNUMBER(F164),ISNUMBER(H164),F164&gt;=Inputs!$C$68),F164*H164*Inputs!$C$69,"")</f>
      </c>
    </row>
    <row r="165" spans="2:10" ht="15" customHeight="1" x14ac:dyDescent="0.2">
      <c r="B165" s="39">
        <f t="shared" si="0"/>
      </c>
      <c r="C165" s="40">
        <f>IF(Inputs!$C$60,Inputs!$C$11+(B165-Inputs!$C$69)/Inputs!$C$70,"")</f>
      </c>
      <c r="D165" s="15"/>
      <c r="E165" s="15"/>
      <c r="F165" s="11">
        <f t="shared" si="1"/>
      </c>
      <c r="G165" s="22" cm="1">
        <f t="array" ref="G165">IF(AND(Inputs!$C$60,Inputs!$C$61),INDEX(Utility_Rates!$C$29:$F$52,HOUR(C165)+Inputs!$C$69,MATCH(INDEX(Utility_Rates!$K$6:$K$17,MONTH(C165))&amp;IF(WEEKDAY(C165,Inputs!$C$76)&lt;=Inputs!$C$74," weekday"," weekend"),Utility_Rates!$C$28:$F$28,Inputs!$C$68)),"")</f>
      </c>
      <c r="H165" s="34"/>
      <c r="I165" s="42">
        <f>IF(AND(ISNUMBER(D165),ISNUMBER(H165)),D165*H165*Inputs!$C$69,"")</f>
      </c>
      <c r="J165" s="42">
        <f>IF(AND(ISNUMBER(F165),ISNUMBER(H165),F165&gt;=Inputs!$C$68),F165*H165*Inputs!$C$69,"")</f>
      </c>
    </row>
    <row r="166" spans="2:10" ht="15" customHeight="1" x14ac:dyDescent="0.2">
      <c r="B166" s="39">
        <f t="shared" si="0"/>
      </c>
      <c r="C166" s="40">
        <f>IF(Inputs!$C$60,Inputs!$C$11+(B166-Inputs!$C$69)/Inputs!$C$70,"")</f>
      </c>
      <c r="D166" s="15"/>
      <c r="E166" s="15"/>
      <c r="F166" s="11">
        <f t="shared" si="1"/>
      </c>
      <c r="G166" s="22" cm="1">
        <f t="array" ref="G166">IF(AND(Inputs!$C$60,Inputs!$C$61),INDEX(Utility_Rates!$C$29:$F$52,HOUR(C166)+Inputs!$C$69,MATCH(INDEX(Utility_Rates!$K$6:$K$17,MONTH(C166))&amp;IF(WEEKDAY(C166,Inputs!$C$76)&lt;=Inputs!$C$74," weekday"," weekend"),Utility_Rates!$C$28:$F$28,Inputs!$C$68)),"")</f>
      </c>
      <c r="H166" s="34"/>
      <c r="I166" s="42">
        <f>IF(AND(ISNUMBER(D166),ISNUMBER(H166)),D166*H166*Inputs!$C$69,"")</f>
      </c>
      <c r="J166" s="42">
        <f>IF(AND(ISNUMBER(F166),ISNUMBER(H166),F166&gt;=Inputs!$C$68),F166*H166*Inputs!$C$69,"")</f>
      </c>
    </row>
    <row r="167" spans="2:10" ht="15" customHeight="1" x14ac:dyDescent="0.2">
      <c r="B167" s="39">
        <f t="shared" si="0"/>
      </c>
      <c r="C167" s="40">
        <f>IF(Inputs!$C$60,Inputs!$C$11+(B167-Inputs!$C$69)/Inputs!$C$70,"")</f>
      </c>
      <c r="D167" s="15"/>
      <c r="E167" s="15"/>
      <c r="F167" s="11">
        <f t="shared" si="1"/>
      </c>
      <c r="G167" s="22" cm="1">
        <f t="array" ref="G167">IF(AND(Inputs!$C$60,Inputs!$C$61),INDEX(Utility_Rates!$C$29:$F$52,HOUR(C167)+Inputs!$C$69,MATCH(INDEX(Utility_Rates!$K$6:$K$17,MONTH(C167))&amp;IF(WEEKDAY(C167,Inputs!$C$76)&lt;=Inputs!$C$74," weekday"," weekend"),Utility_Rates!$C$28:$F$28,Inputs!$C$68)),"")</f>
      </c>
      <c r="H167" s="34"/>
      <c r="I167" s="42">
        <f>IF(AND(ISNUMBER(D167),ISNUMBER(H167)),D167*H167*Inputs!$C$69,"")</f>
      </c>
      <c r="J167" s="42">
        <f>IF(AND(ISNUMBER(F167),ISNUMBER(H167),F167&gt;=Inputs!$C$68),F167*H167*Inputs!$C$69,"")</f>
      </c>
    </row>
    <row r="168" spans="2:10" ht="15" customHeight="1" x14ac:dyDescent="0.2">
      <c r="B168" s="39">
        <f t="shared" si="0"/>
      </c>
      <c r="C168" s="40">
        <f>IF(Inputs!$C$60,Inputs!$C$11+(B168-Inputs!$C$69)/Inputs!$C$70,"")</f>
      </c>
      <c r="D168" s="15"/>
      <c r="E168" s="15"/>
      <c r="F168" s="11">
        <f t="shared" si="1"/>
      </c>
      <c r="G168" s="22" cm="1">
        <f t="array" ref="G168">IF(AND(Inputs!$C$60,Inputs!$C$61),INDEX(Utility_Rates!$C$29:$F$52,HOUR(C168)+Inputs!$C$69,MATCH(INDEX(Utility_Rates!$K$6:$K$17,MONTH(C168))&amp;IF(WEEKDAY(C168,Inputs!$C$76)&lt;=Inputs!$C$74," weekday"," weekend"),Utility_Rates!$C$28:$F$28,Inputs!$C$68)),"")</f>
      </c>
      <c r="H168" s="34"/>
      <c r="I168" s="42">
        <f>IF(AND(ISNUMBER(D168),ISNUMBER(H168)),D168*H168*Inputs!$C$69,"")</f>
      </c>
      <c r="J168" s="42">
        <f>IF(AND(ISNUMBER(F168),ISNUMBER(H168),F168&gt;=Inputs!$C$68),F168*H168*Inputs!$C$69,"")</f>
      </c>
    </row>
    <row r="169" spans="2:10" ht="15" customHeight="1" x14ac:dyDescent="0.2">
      <c r="B169" s="39">
        <f t="shared" si="0"/>
      </c>
      <c r="C169" s="40">
        <f>IF(Inputs!$C$60,Inputs!$C$11+(B169-Inputs!$C$69)/Inputs!$C$70,"")</f>
      </c>
      <c r="D169" s="15"/>
      <c r="E169" s="15"/>
      <c r="F169" s="11">
        <f t="shared" si="1"/>
      </c>
      <c r="G169" s="22" cm="1">
        <f t="array" ref="G169">IF(AND(Inputs!$C$60,Inputs!$C$61),INDEX(Utility_Rates!$C$29:$F$52,HOUR(C169)+Inputs!$C$69,MATCH(INDEX(Utility_Rates!$K$6:$K$17,MONTH(C169))&amp;IF(WEEKDAY(C169,Inputs!$C$76)&lt;=Inputs!$C$74," weekday"," weekend"),Utility_Rates!$C$28:$F$28,Inputs!$C$68)),"")</f>
      </c>
      <c r="H169" s="34"/>
      <c r="I169" s="42">
        <f>IF(AND(ISNUMBER(D169),ISNUMBER(H169)),D169*H169*Inputs!$C$69,"")</f>
      </c>
      <c r="J169" s="42">
        <f>IF(AND(ISNUMBER(F169),ISNUMBER(H169),F169&gt;=Inputs!$C$68),F169*H169*Inputs!$C$69,"")</f>
      </c>
    </row>
    <row r="170" spans="2:10" ht="15" customHeight="1" x14ac:dyDescent="0.2">
      <c r="B170" s="39">
        <f t="shared" si="0"/>
      </c>
      <c r="C170" s="40">
        <f>IF(Inputs!$C$60,Inputs!$C$11+(B170-Inputs!$C$69)/Inputs!$C$70,"")</f>
      </c>
      <c r="D170" s="15"/>
      <c r="E170" s="15"/>
      <c r="F170" s="11">
        <f t="shared" si="1"/>
      </c>
      <c r="G170" s="22" cm="1">
        <f t="array" ref="G170">IF(AND(Inputs!$C$60,Inputs!$C$61),INDEX(Utility_Rates!$C$29:$F$52,HOUR(C170)+Inputs!$C$69,MATCH(INDEX(Utility_Rates!$K$6:$K$17,MONTH(C170))&amp;IF(WEEKDAY(C170,Inputs!$C$76)&lt;=Inputs!$C$74," weekday"," weekend"),Utility_Rates!$C$28:$F$28,Inputs!$C$68)),"")</f>
      </c>
      <c r="H170" s="34"/>
      <c r="I170" s="42">
        <f>IF(AND(ISNUMBER(D170),ISNUMBER(H170)),D170*H170*Inputs!$C$69,"")</f>
      </c>
      <c r="J170" s="42">
        <f>IF(AND(ISNUMBER(F170),ISNUMBER(H170),F170&gt;=Inputs!$C$68),F170*H170*Inputs!$C$69,"")</f>
      </c>
    </row>
    <row r="171" spans="2:10" ht="15" customHeight="1" x14ac:dyDescent="0.2">
      <c r="B171" s="39">
        <f t="shared" si="0"/>
      </c>
      <c r="C171" s="40">
        <f>IF(Inputs!$C$60,Inputs!$C$11+(B171-Inputs!$C$69)/Inputs!$C$70,"")</f>
      </c>
      <c r="D171" s="15"/>
      <c r="E171" s="15"/>
      <c r="F171" s="11">
        <f t="shared" si="1"/>
      </c>
      <c r="G171" s="22" cm="1">
        <f t="array" ref="G171">IF(AND(Inputs!$C$60,Inputs!$C$61),INDEX(Utility_Rates!$C$29:$F$52,HOUR(C171)+Inputs!$C$69,MATCH(INDEX(Utility_Rates!$K$6:$K$17,MONTH(C171))&amp;IF(WEEKDAY(C171,Inputs!$C$76)&lt;=Inputs!$C$74," weekday"," weekend"),Utility_Rates!$C$28:$F$28,Inputs!$C$68)),"")</f>
      </c>
      <c r="H171" s="34"/>
      <c r="I171" s="42">
        <f>IF(AND(ISNUMBER(D171),ISNUMBER(H171)),D171*H171*Inputs!$C$69,"")</f>
      </c>
      <c r="J171" s="42">
        <f>IF(AND(ISNUMBER(F171),ISNUMBER(H171),F171&gt;=Inputs!$C$68),F171*H171*Inputs!$C$69,"")</f>
      </c>
    </row>
    <row r="172" spans="2:10" ht="15" customHeight="1" x14ac:dyDescent="0.2">
      <c r="B172" s="39">
        <f t="shared" si="0"/>
      </c>
      <c r="C172" s="40">
        <f>IF(Inputs!$C$60,Inputs!$C$11+(B172-Inputs!$C$69)/Inputs!$C$70,"")</f>
      </c>
      <c r="D172" s="15"/>
      <c r="E172" s="15"/>
      <c r="F172" s="11">
        <f t="shared" si="1"/>
      </c>
      <c r="G172" s="22" cm="1">
        <f t="array" ref="G172">IF(AND(Inputs!$C$60,Inputs!$C$61),INDEX(Utility_Rates!$C$29:$F$52,HOUR(C172)+Inputs!$C$69,MATCH(INDEX(Utility_Rates!$K$6:$K$17,MONTH(C172))&amp;IF(WEEKDAY(C172,Inputs!$C$76)&lt;=Inputs!$C$74," weekday"," weekend"),Utility_Rates!$C$28:$F$28,Inputs!$C$68)),"")</f>
      </c>
      <c r="H172" s="34"/>
      <c r="I172" s="42">
        <f>IF(AND(ISNUMBER(D172),ISNUMBER(H172)),D172*H172*Inputs!$C$69,"")</f>
      </c>
      <c r="J172" s="42">
        <f>IF(AND(ISNUMBER(F172),ISNUMBER(H172),F172&gt;=Inputs!$C$68),F172*H172*Inputs!$C$69,"")</f>
      </c>
    </row>
    <row r="173" spans="2:10" ht="15" customHeight="1" x14ac:dyDescent="0.2">
      <c r="B173" s="39">
        <f t="shared" si="0"/>
      </c>
      <c r="C173" s="40">
        <f>IF(Inputs!$C$60,Inputs!$C$11+(B173-Inputs!$C$69)/Inputs!$C$70,"")</f>
      </c>
      <c r="D173" s="15"/>
      <c r="E173" s="15"/>
      <c r="F173" s="11">
        <f t="shared" si="1"/>
      </c>
      <c r="G173" s="22" cm="1">
        <f t="array" ref="G173">IF(AND(Inputs!$C$60,Inputs!$C$61),INDEX(Utility_Rates!$C$29:$F$52,HOUR(C173)+Inputs!$C$69,MATCH(INDEX(Utility_Rates!$K$6:$K$17,MONTH(C173))&amp;IF(WEEKDAY(C173,Inputs!$C$76)&lt;=Inputs!$C$74," weekday"," weekend"),Utility_Rates!$C$28:$F$28,Inputs!$C$68)),"")</f>
      </c>
      <c r="H173" s="34"/>
      <c r="I173" s="42">
        <f>IF(AND(ISNUMBER(D173),ISNUMBER(H173)),D173*H173*Inputs!$C$69,"")</f>
      </c>
      <c r="J173" s="42">
        <f>IF(AND(ISNUMBER(F173),ISNUMBER(H173),F173&gt;=Inputs!$C$68),F173*H173*Inputs!$C$69,"")</f>
      </c>
    </row>
    <row r="174" spans="2:10" ht="15" customHeight="1" x14ac:dyDescent="0.2">
      <c r="B174" s="39">
        <f t="shared" si="0"/>
      </c>
      <c r="C174" s="40">
        <f>IF(Inputs!$C$60,Inputs!$C$11+(B174-Inputs!$C$69)/Inputs!$C$70,"")</f>
      </c>
      <c r="D174" s="15"/>
      <c r="E174" s="15"/>
      <c r="F174" s="11">
        <f t="shared" si="1"/>
      </c>
      <c r="G174" s="22" cm="1">
        <f t="array" ref="G174">IF(AND(Inputs!$C$60,Inputs!$C$61),INDEX(Utility_Rates!$C$29:$F$52,HOUR(C174)+Inputs!$C$69,MATCH(INDEX(Utility_Rates!$K$6:$K$17,MONTH(C174))&amp;IF(WEEKDAY(C174,Inputs!$C$76)&lt;=Inputs!$C$74," weekday"," weekend"),Utility_Rates!$C$28:$F$28,Inputs!$C$68)),"")</f>
      </c>
      <c r="H174" s="34"/>
      <c r="I174" s="42">
        <f>IF(AND(ISNUMBER(D174),ISNUMBER(H174)),D174*H174*Inputs!$C$69,"")</f>
      </c>
      <c r="J174" s="42">
        <f>IF(AND(ISNUMBER(F174),ISNUMBER(H174),F174&gt;=Inputs!$C$68),F174*H174*Inputs!$C$69,"")</f>
      </c>
    </row>
    <row r="175" spans="2:10" ht="15" customHeight="1" x14ac:dyDescent="0.2">
      <c r="B175" s="39">
        <f t="shared" si="0"/>
      </c>
      <c r="C175" s="40">
        <f>IF(Inputs!$C$60,Inputs!$C$11+(B175-Inputs!$C$69)/Inputs!$C$70,"")</f>
      </c>
      <c r="D175" s="15"/>
      <c r="E175" s="15"/>
      <c r="F175" s="11">
        <f t="shared" si="1"/>
      </c>
      <c r="G175" s="22" cm="1">
        <f t="array" ref="G175">IF(AND(Inputs!$C$60,Inputs!$C$61),INDEX(Utility_Rates!$C$29:$F$52,HOUR(C175)+Inputs!$C$69,MATCH(INDEX(Utility_Rates!$K$6:$K$17,MONTH(C175))&amp;IF(WEEKDAY(C175,Inputs!$C$76)&lt;=Inputs!$C$74," weekday"," weekend"),Utility_Rates!$C$28:$F$28,Inputs!$C$68)),"")</f>
      </c>
      <c r="H175" s="34"/>
      <c r="I175" s="42">
        <f>IF(AND(ISNUMBER(D175),ISNUMBER(H175)),D175*H175*Inputs!$C$69,"")</f>
      </c>
      <c r="J175" s="42">
        <f>IF(AND(ISNUMBER(F175),ISNUMBER(H175),F175&gt;=Inputs!$C$68),F175*H175*Inputs!$C$69,"")</f>
      </c>
    </row>
    <row r="176" spans="2:10" ht="15" customHeight="1" x14ac:dyDescent="0.2">
      <c r="B176" s="39">
        <f t="shared" si="0"/>
      </c>
      <c r="C176" s="40">
        <f>IF(Inputs!$C$60,Inputs!$C$11+(B176-Inputs!$C$69)/Inputs!$C$70,"")</f>
      </c>
      <c r="D176" s="15"/>
      <c r="E176" s="15"/>
      <c r="F176" s="11">
        <f t="shared" si="1"/>
      </c>
      <c r="G176" s="22" cm="1">
        <f t="array" ref="G176">IF(AND(Inputs!$C$60,Inputs!$C$61),INDEX(Utility_Rates!$C$29:$F$52,HOUR(C176)+Inputs!$C$69,MATCH(INDEX(Utility_Rates!$K$6:$K$17,MONTH(C176))&amp;IF(WEEKDAY(C176,Inputs!$C$76)&lt;=Inputs!$C$74," weekday"," weekend"),Utility_Rates!$C$28:$F$28,Inputs!$C$68)),"")</f>
      </c>
      <c r="H176" s="34"/>
      <c r="I176" s="42">
        <f>IF(AND(ISNUMBER(D176),ISNUMBER(H176)),D176*H176*Inputs!$C$69,"")</f>
      </c>
      <c r="J176" s="42">
        <f>IF(AND(ISNUMBER(F176),ISNUMBER(H176),F176&gt;=Inputs!$C$68),F176*H176*Inputs!$C$69,"")</f>
      </c>
    </row>
    <row r="177" spans="2:10" ht="15" customHeight="1" x14ac:dyDescent="0.2">
      <c r="B177" s="39">
        <f t="shared" si="0"/>
      </c>
      <c r="C177" s="40">
        <f>IF(Inputs!$C$60,Inputs!$C$11+(B177-Inputs!$C$69)/Inputs!$C$70,"")</f>
      </c>
      <c r="D177" s="15"/>
      <c r="E177" s="15"/>
      <c r="F177" s="11">
        <f t="shared" si="1"/>
      </c>
      <c r="G177" s="22" cm="1">
        <f t="array" ref="G177">IF(AND(Inputs!$C$60,Inputs!$C$61),INDEX(Utility_Rates!$C$29:$F$52,HOUR(C177)+Inputs!$C$69,MATCH(INDEX(Utility_Rates!$K$6:$K$17,MONTH(C177))&amp;IF(WEEKDAY(C177,Inputs!$C$76)&lt;=Inputs!$C$74," weekday"," weekend"),Utility_Rates!$C$28:$F$28,Inputs!$C$68)),"")</f>
      </c>
      <c r="H177" s="34"/>
      <c r="I177" s="42">
        <f>IF(AND(ISNUMBER(D177),ISNUMBER(H177)),D177*H177*Inputs!$C$69,"")</f>
      </c>
      <c r="J177" s="42">
        <f>IF(AND(ISNUMBER(F177),ISNUMBER(H177),F177&gt;=Inputs!$C$68),F177*H177*Inputs!$C$69,"")</f>
      </c>
    </row>
    <row r="178" spans="2:10" ht="15" customHeight="1" x14ac:dyDescent="0.2">
      <c r="B178" s="39">
        <f t="shared" si="0"/>
      </c>
      <c r="C178" s="40">
        <f>IF(Inputs!$C$60,Inputs!$C$11+(B178-Inputs!$C$69)/Inputs!$C$70,"")</f>
      </c>
      <c r="D178" s="15"/>
      <c r="E178" s="15"/>
      <c r="F178" s="11">
        <f t="shared" si="1"/>
      </c>
      <c r="G178" s="22" cm="1">
        <f t="array" ref="G178">IF(AND(Inputs!$C$60,Inputs!$C$61),INDEX(Utility_Rates!$C$29:$F$52,HOUR(C178)+Inputs!$C$69,MATCH(INDEX(Utility_Rates!$K$6:$K$17,MONTH(C178))&amp;IF(WEEKDAY(C178,Inputs!$C$76)&lt;=Inputs!$C$74," weekday"," weekend"),Utility_Rates!$C$28:$F$28,Inputs!$C$68)),"")</f>
      </c>
      <c r="H178" s="34"/>
      <c r="I178" s="42">
        <f>IF(AND(ISNUMBER(D178),ISNUMBER(H178)),D178*H178*Inputs!$C$69,"")</f>
      </c>
      <c r="J178" s="42">
        <f>IF(AND(ISNUMBER(F178),ISNUMBER(H178),F178&gt;=Inputs!$C$68),F178*H178*Inputs!$C$69,"")</f>
      </c>
    </row>
    <row r="179" spans="2:10" ht="15" customHeight="1" x14ac:dyDescent="0.2">
      <c r="B179" s="39">
        <f t="shared" si="0"/>
      </c>
      <c r="C179" s="40">
        <f>IF(Inputs!$C$60,Inputs!$C$11+(B179-Inputs!$C$69)/Inputs!$C$70,"")</f>
      </c>
      <c r="D179" s="15"/>
      <c r="E179" s="15"/>
      <c r="F179" s="11">
        <f t="shared" si="1"/>
      </c>
      <c r="G179" s="22" cm="1">
        <f t="array" ref="G179">IF(AND(Inputs!$C$60,Inputs!$C$61),INDEX(Utility_Rates!$C$29:$F$52,HOUR(C179)+Inputs!$C$69,MATCH(INDEX(Utility_Rates!$K$6:$K$17,MONTH(C179))&amp;IF(WEEKDAY(C179,Inputs!$C$76)&lt;=Inputs!$C$74," weekday"," weekend"),Utility_Rates!$C$28:$F$28,Inputs!$C$68)),"")</f>
      </c>
      <c r="H179" s="34"/>
      <c r="I179" s="42">
        <f>IF(AND(ISNUMBER(D179),ISNUMBER(H179)),D179*H179*Inputs!$C$69,"")</f>
      </c>
      <c r="J179" s="42">
        <f>IF(AND(ISNUMBER(F179),ISNUMBER(H179),F179&gt;=Inputs!$C$68),F179*H179*Inputs!$C$69,"")</f>
      </c>
    </row>
    <row r="180" spans="2:10" ht="15" customHeight="1" x14ac:dyDescent="0.2">
      <c r="B180" s="39">
        <f t="shared" si="0"/>
      </c>
      <c r="C180" s="40">
        <f>IF(Inputs!$C$60,Inputs!$C$11+(B180-Inputs!$C$69)/Inputs!$C$70,"")</f>
      </c>
      <c r="D180" s="15"/>
      <c r="E180" s="15"/>
      <c r="F180" s="11">
        <f t="shared" si="1"/>
      </c>
      <c r="G180" s="22" cm="1">
        <f t="array" ref="G180">IF(AND(Inputs!$C$60,Inputs!$C$61),INDEX(Utility_Rates!$C$29:$F$52,HOUR(C180)+Inputs!$C$69,MATCH(INDEX(Utility_Rates!$K$6:$K$17,MONTH(C180))&amp;IF(WEEKDAY(C180,Inputs!$C$76)&lt;=Inputs!$C$74," weekday"," weekend"),Utility_Rates!$C$28:$F$28,Inputs!$C$68)),"")</f>
      </c>
      <c r="H180" s="34"/>
      <c r="I180" s="42">
        <f>IF(AND(ISNUMBER(D180),ISNUMBER(H180)),D180*H180*Inputs!$C$69,"")</f>
      </c>
      <c r="J180" s="42">
        <f>IF(AND(ISNUMBER(F180),ISNUMBER(H180),F180&gt;=Inputs!$C$68),F180*H180*Inputs!$C$69,"")</f>
      </c>
    </row>
    <row r="181" spans="2:10" ht="15" customHeight="1" x14ac:dyDescent="0.2">
      <c r="B181" s="39">
        <f t="shared" si="0"/>
      </c>
      <c r="C181" s="40">
        <f>IF(Inputs!$C$60,Inputs!$C$11+(B181-Inputs!$C$69)/Inputs!$C$70,"")</f>
      </c>
      <c r="D181" s="15"/>
      <c r="E181" s="15"/>
      <c r="F181" s="11">
        <f t="shared" si="1"/>
      </c>
      <c r="G181" s="22" cm="1">
        <f t="array" ref="G181">IF(AND(Inputs!$C$60,Inputs!$C$61),INDEX(Utility_Rates!$C$29:$F$52,HOUR(C181)+Inputs!$C$69,MATCH(INDEX(Utility_Rates!$K$6:$K$17,MONTH(C181))&amp;IF(WEEKDAY(C181,Inputs!$C$76)&lt;=Inputs!$C$74," weekday"," weekend"),Utility_Rates!$C$28:$F$28,Inputs!$C$68)),"")</f>
      </c>
      <c r="H181" s="34"/>
      <c r="I181" s="42">
        <f>IF(AND(ISNUMBER(D181),ISNUMBER(H181)),D181*H181*Inputs!$C$69,"")</f>
      </c>
      <c r="J181" s="42">
        <f>IF(AND(ISNUMBER(F181),ISNUMBER(H181),F181&gt;=Inputs!$C$68),F181*H181*Inputs!$C$69,"")</f>
      </c>
    </row>
    <row r="182" spans="2:10" ht="15" customHeight="1" x14ac:dyDescent="0.2">
      <c r="B182" s="39">
        <f t="shared" si="0"/>
      </c>
      <c r="C182" s="40">
        <f>IF(Inputs!$C$60,Inputs!$C$11+(B182-Inputs!$C$69)/Inputs!$C$70,"")</f>
      </c>
      <c r="D182" s="15"/>
      <c r="E182" s="15"/>
      <c r="F182" s="11">
        <f t="shared" si="1"/>
      </c>
      <c r="G182" s="22" cm="1">
        <f t="array" ref="G182">IF(AND(Inputs!$C$60,Inputs!$C$61),INDEX(Utility_Rates!$C$29:$F$52,HOUR(C182)+Inputs!$C$69,MATCH(INDEX(Utility_Rates!$K$6:$K$17,MONTH(C182))&amp;IF(WEEKDAY(C182,Inputs!$C$76)&lt;=Inputs!$C$74," weekday"," weekend"),Utility_Rates!$C$28:$F$28,Inputs!$C$68)),"")</f>
      </c>
      <c r="H182" s="34"/>
      <c r="I182" s="42">
        <f>IF(AND(ISNUMBER(D182),ISNUMBER(H182)),D182*H182*Inputs!$C$69,"")</f>
      </c>
      <c r="J182" s="42">
        <f>IF(AND(ISNUMBER(F182),ISNUMBER(H182),F182&gt;=Inputs!$C$68),F182*H182*Inputs!$C$69,"")</f>
      </c>
    </row>
    <row r="183" spans="2:10" ht="15" customHeight="1" x14ac:dyDescent="0.2">
      <c r="B183" s="39">
        <f t="shared" si="0"/>
      </c>
      <c r="C183" s="40">
        <f>IF(Inputs!$C$60,Inputs!$C$11+(B183-Inputs!$C$69)/Inputs!$C$70,"")</f>
      </c>
      <c r="D183" s="15"/>
      <c r="E183" s="15"/>
      <c r="F183" s="11">
        <f t="shared" si="1"/>
      </c>
      <c r="G183" s="22" cm="1">
        <f t="array" ref="G183">IF(AND(Inputs!$C$60,Inputs!$C$61),INDEX(Utility_Rates!$C$29:$F$52,HOUR(C183)+Inputs!$C$69,MATCH(INDEX(Utility_Rates!$K$6:$K$17,MONTH(C183))&amp;IF(WEEKDAY(C183,Inputs!$C$76)&lt;=Inputs!$C$74," weekday"," weekend"),Utility_Rates!$C$28:$F$28,Inputs!$C$68)),"")</f>
      </c>
      <c r="H183" s="34"/>
      <c r="I183" s="42">
        <f>IF(AND(ISNUMBER(D183),ISNUMBER(H183)),D183*H183*Inputs!$C$69,"")</f>
      </c>
      <c r="J183" s="42">
        <f>IF(AND(ISNUMBER(F183),ISNUMBER(H183),F183&gt;=Inputs!$C$68),F183*H183*Inputs!$C$69,"")</f>
      </c>
    </row>
    <row r="184" spans="2:10" ht="15" customHeight="1" x14ac:dyDescent="0.2">
      <c r="B184" s="39">
        <f t="shared" si="0"/>
      </c>
      <c r="C184" s="40">
        <f>IF(Inputs!$C$60,Inputs!$C$11+(B184-Inputs!$C$69)/Inputs!$C$70,"")</f>
      </c>
      <c r="D184" s="15"/>
      <c r="E184" s="15"/>
      <c r="F184" s="11">
        <f t="shared" si="1"/>
      </c>
      <c r="G184" s="22" cm="1">
        <f t="array" ref="G184">IF(AND(Inputs!$C$60,Inputs!$C$61),INDEX(Utility_Rates!$C$29:$F$52,HOUR(C184)+Inputs!$C$69,MATCH(INDEX(Utility_Rates!$K$6:$K$17,MONTH(C184))&amp;IF(WEEKDAY(C184,Inputs!$C$76)&lt;=Inputs!$C$74," weekday"," weekend"),Utility_Rates!$C$28:$F$28,Inputs!$C$68)),"")</f>
      </c>
      <c r="H184" s="34"/>
      <c r="I184" s="42">
        <f>IF(AND(ISNUMBER(D184),ISNUMBER(H184)),D184*H184*Inputs!$C$69,"")</f>
      </c>
      <c r="J184" s="42">
        <f>IF(AND(ISNUMBER(F184),ISNUMBER(H184),F184&gt;=Inputs!$C$68),F184*H184*Inputs!$C$69,"")</f>
      </c>
    </row>
    <row r="185" spans="2:10" ht="15" customHeight="1" x14ac:dyDescent="0.2">
      <c r="B185" s="39">
        <f t="shared" si="0"/>
      </c>
      <c r="C185" s="40">
        <f>IF(Inputs!$C$60,Inputs!$C$11+(B185-Inputs!$C$69)/Inputs!$C$70,"")</f>
      </c>
      <c r="D185" s="15"/>
      <c r="E185" s="15"/>
      <c r="F185" s="11">
        <f t="shared" si="1"/>
      </c>
      <c r="G185" s="22" cm="1">
        <f t="array" ref="G185">IF(AND(Inputs!$C$60,Inputs!$C$61),INDEX(Utility_Rates!$C$29:$F$52,HOUR(C185)+Inputs!$C$69,MATCH(INDEX(Utility_Rates!$K$6:$K$17,MONTH(C185))&amp;IF(WEEKDAY(C185,Inputs!$C$76)&lt;=Inputs!$C$74," weekday"," weekend"),Utility_Rates!$C$28:$F$28,Inputs!$C$68)),"")</f>
      </c>
      <c r="H185" s="34"/>
      <c r="I185" s="42">
        <f>IF(AND(ISNUMBER(D185),ISNUMBER(H185)),D185*H185*Inputs!$C$69,"")</f>
      </c>
      <c r="J185" s="42">
        <f>IF(AND(ISNUMBER(F185),ISNUMBER(H185),F185&gt;=Inputs!$C$68),F185*H185*Inputs!$C$69,"")</f>
      </c>
    </row>
    <row r="186" spans="2:10" ht="15" customHeight="1" x14ac:dyDescent="0.2">
      <c r="B186" s="39">
        <f t="shared" si="0"/>
      </c>
      <c r="C186" s="40">
        <f>IF(Inputs!$C$60,Inputs!$C$11+(B186-Inputs!$C$69)/Inputs!$C$70,"")</f>
      </c>
      <c r="D186" s="15"/>
      <c r="E186" s="15"/>
      <c r="F186" s="11">
        <f t="shared" si="1"/>
      </c>
      <c r="G186" s="22" cm="1">
        <f t="array" ref="G186">IF(AND(Inputs!$C$60,Inputs!$C$61),INDEX(Utility_Rates!$C$29:$F$52,HOUR(C186)+Inputs!$C$69,MATCH(INDEX(Utility_Rates!$K$6:$K$17,MONTH(C186))&amp;IF(WEEKDAY(C186,Inputs!$C$76)&lt;=Inputs!$C$74," weekday"," weekend"),Utility_Rates!$C$28:$F$28,Inputs!$C$68)),"")</f>
      </c>
      <c r="H186" s="34"/>
      <c r="I186" s="42">
        <f>IF(AND(ISNUMBER(D186),ISNUMBER(H186)),D186*H186*Inputs!$C$69,"")</f>
      </c>
      <c r="J186" s="42">
        <f>IF(AND(ISNUMBER(F186),ISNUMBER(H186),F186&gt;=Inputs!$C$68),F186*H186*Inputs!$C$69,"")</f>
      </c>
    </row>
    <row r="187" spans="2:10" ht="15" customHeight="1" x14ac:dyDescent="0.2">
      <c r="B187" s="39">
        <f t="shared" si="0"/>
      </c>
      <c r="C187" s="40">
        <f>IF(Inputs!$C$60,Inputs!$C$11+(B187-Inputs!$C$69)/Inputs!$C$70,"")</f>
      </c>
      <c r="D187" s="15"/>
      <c r="E187" s="15"/>
      <c r="F187" s="11">
        <f t="shared" si="1"/>
      </c>
      <c r="G187" s="22" cm="1">
        <f t="array" ref="G187">IF(AND(Inputs!$C$60,Inputs!$C$61),INDEX(Utility_Rates!$C$29:$F$52,HOUR(C187)+Inputs!$C$69,MATCH(INDEX(Utility_Rates!$K$6:$K$17,MONTH(C187))&amp;IF(WEEKDAY(C187,Inputs!$C$76)&lt;=Inputs!$C$74," weekday"," weekend"),Utility_Rates!$C$28:$F$28,Inputs!$C$68)),"")</f>
      </c>
      <c r="H187" s="34"/>
      <c r="I187" s="42">
        <f>IF(AND(ISNUMBER(D187),ISNUMBER(H187)),D187*H187*Inputs!$C$69,"")</f>
      </c>
      <c r="J187" s="42">
        <f>IF(AND(ISNUMBER(F187),ISNUMBER(H187),F187&gt;=Inputs!$C$68),F187*H187*Inputs!$C$69,"")</f>
      </c>
    </row>
    <row r="188" spans="2:10" ht="15" customHeight="1" x14ac:dyDescent="0.2">
      <c r="B188" s="39">
        <f t="shared" si="0"/>
      </c>
      <c r="C188" s="40">
        <f>IF(Inputs!$C$60,Inputs!$C$11+(B188-Inputs!$C$69)/Inputs!$C$70,"")</f>
      </c>
      <c r="D188" s="15"/>
      <c r="E188" s="15"/>
      <c r="F188" s="11">
        <f t="shared" si="1"/>
      </c>
      <c r="G188" s="22" cm="1">
        <f t="array" ref="G188">IF(AND(Inputs!$C$60,Inputs!$C$61),INDEX(Utility_Rates!$C$29:$F$52,HOUR(C188)+Inputs!$C$69,MATCH(INDEX(Utility_Rates!$K$6:$K$17,MONTH(C188))&amp;IF(WEEKDAY(C188,Inputs!$C$76)&lt;=Inputs!$C$74," weekday"," weekend"),Utility_Rates!$C$28:$F$28,Inputs!$C$68)),"")</f>
      </c>
      <c r="H188" s="34"/>
      <c r="I188" s="42">
        <f>IF(AND(ISNUMBER(D188),ISNUMBER(H188)),D188*H188*Inputs!$C$69,"")</f>
      </c>
      <c r="J188" s="42">
        <f>IF(AND(ISNUMBER(F188),ISNUMBER(H188),F188&gt;=Inputs!$C$68),F188*H188*Inputs!$C$69,"")</f>
      </c>
    </row>
    <row r="189" spans="2:10" ht="15" customHeight="1" x14ac:dyDescent="0.2">
      <c r="B189" s="39">
        <f t="shared" si="0"/>
      </c>
      <c r="C189" s="40">
        <f>IF(Inputs!$C$60,Inputs!$C$11+(B189-Inputs!$C$69)/Inputs!$C$70,"")</f>
      </c>
      <c r="D189" s="15"/>
      <c r="E189" s="15"/>
      <c r="F189" s="11">
        <f t="shared" si="1"/>
      </c>
      <c r="G189" s="22" cm="1">
        <f t="array" ref="G189">IF(AND(Inputs!$C$60,Inputs!$C$61),INDEX(Utility_Rates!$C$29:$F$52,HOUR(C189)+Inputs!$C$69,MATCH(INDEX(Utility_Rates!$K$6:$K$17,MONTH(C189))&amp;IF(WEEKDAY(C189,Inputs!$C$76)&lt;=Inputs!$C$74," weekday"," weekend"),Utility_Rates!$C$28:$F$28,Inputs!$C$68)),"")</f>
      </c>
      <c r="H189" s="34"/>
      <c r="I189" s="42">
        <f>IF(AND(ISNUMBER(D189),ISNUMBER(H189)),D189*H189*Inputs!$C$69,"")</f>
      </c>
      <c r="J189" s="42">
        <f>IF(AND(ISNUMBER(F189),ISNUMBER(H189),F189&gt;=Inputs!$C$68),F189*H189*Inputs!$C$69,"")</f>
      </c>
    </row>
    <row r="190" spans="2:10" ht="15" customHeight="1" x14ac:dyDescent="0.2">
      <c r="B190" s="39">
        <f t="shared" si="0"/>
      </c>
      <c r="C190" s="40">
        <f>IF(Inputs!$C$60,Inputs!$C$11+(B190-Inputs!$C$69)/Inputs!$C$70,"")</f>
      </c>
      <c r="D190" s="15"/>
      <c r="E190" s="15"/>
      <c r="F190" s="11">
        <f t="shared" si="1"/>
      </c>
      <c r="G190" s="22" cm="1">
        <f t="array" ref="G190">IF(AND(Inputs!$C$60,Inputs!$C$61),INDEX(Utility_Rates!$C$29:$F$52,HOUR(C190)+Inputs!$C$69,MATCH(INDEX(Utility_Rates!$K$6:$K$17,MONTH(C190))&amp;IF(WEEKDAY(C190,Inputs!$C$76)&lt;=Inputs!$C$74," weekday"," weekend"),Utility_Rates!$C$28:$F$28,Inputs!$C$68)),"")</f>
      </c>
      <c r="H190" s="34"/>
      <c r="I190" s="42">
        <f>IF(AND(ISNUMBER(D190),ISNUMBER(H190)),D190*H190*Inputs!$C$69,"")</f>
      </c>
      <c r="J190" s="42">
        <f>IF(AND(ISNUMBER(F190),ISNUMBER(H190),F190&gt;=Inputs!$C$68),F190*H190*Inputs!$C$69,"")</f>
      </c>
    </row>
    <row r="191" spans="2:10" ht="15" customHeight="1" x14ac:dyDescent="0.2">
      <c r="B191" s="39">
        <f t="shared" si="0"/>
      </c>
      <c r="C191" s="40">
        <f>IF(Inputs!$C$60,Inputs!$C$11+(B191-Inputs!$C$69)/Inputs!$C$70,"")</f>
      </c>
      <c r="D191" s="15"/>
      <c r="E191" s="15"/>
      <c r="F191" s="11">
        <f t="shared" si="1"/>
      </c>
      <c r="G191" s="22" cm="1">
        <f t="array" ref="G191">IF(AND(Inputs!$C$60,Inputs!$C$61),INDEX(Utility_Rates!$C$29:$F$52,HOUR(C191)+Inputs!$C$69,MATCH(INDEX(Utility_Rates!$K$6:$K$17,MONTH(C191))&amp;IF(WEEKDAY(C191,Inputs!$C$76)&lt;=Inputs!$C$74," weekday"," weekend"),Utility_Rates!$C$28:$F$28,Inputs!$C$68)),"")</f>
      </c>
      <c r="H191" s="34"/>
      <c r="I191" s="42">
        <f>IF(AND(ISNUMBER(D191),ISNUMBER(H191)),D191*H191*Inputs!$C$69,"")</f>
      </c>
      <c r="J191" s="42">
        <f>IF(AND(ISNUMBER(F191),ISNUMBER(H191),F191&gt;=Inputs!$C$68),F191*H191*Inputs!$C$69,"")</f>
      </c>
    </row>
    <row r="192" spans="2:10" ht="15" customHeight="1" x14ac:dyDescent="0.2">
      <c r="B192" s="39">
        <f t="shared" si="0"/>
      </c>
      <c r="C192" s="40">
        <f>IF(Inputs!$C$60,Inputs!$C$11+(B192-Inputs!$C$69)/Inputs!$C$70,"")</f>
      </c>
      <c r="D192" s="15"/>
      <c r="E192" s="15"/>
      <c r="F192" s="11">
        <f t="shared" si="1"/>
      </c>
      <c r="G192" s="22" cm="1">
        <f t="array" ref="G192">IF(AND(Inputs!$C$60,Inputs!$C$61),INDEX(Utility_Rates!$C$29:$F$52,HOUR(C192)+Inputs!$C$69,MATCH(INDEX(Utility_Rates!$K$6:$K$17,MONTH(C192))&amp;IF(WEEKDAY(C192,Inputs!$C$76)&lt;=Inputs!$C$74," weekday"," weekend"),Utility_Rates!$C$28:$F$28,Inputs!$C$68)),"")</f>
      </c>
      <c r="H192" s="34"/>
      <c r="I192" s="42">
        <f>IF(AND(ISNUMBER(D192),ISNUMBER(H192)),D192*H192*Inputs!$C$69,"")</f>
      </c>
      <c r="J192" s="42">
        <f>IF(AND(ISNUMBER(F192),ISNUMBER(H192),F192&gt;=Inputs!$C$68),F192*H192*Inputs!$C$69,"")</f>
      </c>
    </row>
    <row r="193" spans="2:10" ht="15" customHeight="1" x14ac:dyDescent="0.2">
      <c r="B193" s="39">
        <f t="shared" si="0"/>
      </c>
      <c r="C193" s="40">
        <f>IF(Inputs!$C$60,Inputs!$C$11+(B193-Inputs!$C$69)/Inputs!$C$70,"")</f>
      </c>
      <c r="D193" s="15"/>
      <c r="E193" s="15"/>
      <c r="F193" s="11">
        <f t="shared" si="1"/>
      </c>
      <c r="G193" s="22" cm="1">
        <f t="array" ref="G193">IF(AND(Inputs!$C$60,Inputs!$C$61),INDEX(Utility_Rates!$C$29:$F$52,HOUR(C193)+Inputs!$C$69,MATCH(INDEX(Utility_Rates!$K$6:$K$17,MONTH(C193))&amp;IF(WEEKDAY(C193,Inputs!$C$76)&lt;=Inputs!$C$74," weekday"," weekend"),Utility_Rates!$C$28:$F$28,Inputs!$C$68)),"")</f>
      </c>
      <c r="H193" s="34"/>
      <c r="I193" s="42">
        <f>IF(AND(ISNUMBER(D193),ISNUMBER(H193)),D193*H193*Inputs!$C$69,"")</f>
      </c>
      <c r="J193" s="42">
        <f>IF(AND(ISNUMBER(F193),ISNUMBER(H193),F193&gt;=Inputs!$C$68),F193*H193*Inputs!$C$69,"")</f>
      </c>
    </row>
    <row r="194" spans="2:10" ht="15" customHeight="1" x14ac:dyDescent="0.2">
      <c r="B194" s="39">
        <f t="shared" si="0"/>
      </c>
      <c r="C194" s="40">
        <f>IF(Inputs!$C$60,Inputs!$C$11+(B194-Inputs!$C$69)/Inputs!$C$70,"")</f>
      </c>
      <c r="D194" s="15"/>
      <c r="E194" s="15"/>
      <c r="F194" s="11">
        <f t="shared" si="1"/>
      </c>
      <c r="G194" s="22" cm="1">
        <f t="array" ref="G194">IF(AND(Inputs!$C$60,Inputs!$C$61),INDEX(Utility_Rates!$C$29:$F$52,HOUR(C194)+Inputs!$C$69,MATCH(INDEX(Utility_Rates!$K$6:$K$17,MONTH(C194))&amp;IF(WEEKDAY(C194,Inputs!$C$76)&lt;=Inputs!$C$74," weekday"," weekend"),Utility_Rates!$C$28:$F$28,Inputs!$C$68)),"")</f>
      </c>
      <c r="H194" s="34"/>
      <c r="I194" s="42">
        <f>IF(AND(ISNUMBER(D194),ISNUMBER(H194)),D194*H194*Inputs!$C$69,"")</f>
      </c>
      <c r="J194" s="42">
        <f>IF(AND(ISNUMBER(F194),ISNUMBER(H194),F194&gt;=Inputs!$C$68),F194*H194*Inputs!$C$69,"")</f>
      </c>
    </row>
    <row r="195" spans="2:10" ht="15" customHeight="1" x14ac:dyDescent="0.2">
      <c r="B195" s="39">
        <f t="shared" si="0"/>
      </c>
      <c r="C195" s="40">
        <f>IF(Inputs!$C$60,Inputs!$C$11+(B195-Inputs!$C$69)/Inputs!$C$70,"")</f>
      </c>
      <c r="D195" s="15"/>
      <c r="E195" s="15"/>
      <c r="F195" s="11">
        <f t="shared" si="1"/>
      </c>
      <c r="G195" s="22" cm="1">
        <f t="array" ref="G195">IF(AND(Inputs!$C$60,Inputs!$C$61),INDEX(Utility_Rates!$C$29:$F$52,HOUR(C195)+Inputs!$C$69,MATCH(INDEX(Utility_Rates!$K$6:$K$17,MONTH(C195))&amp;IF(WEEKDAY(C195,Inputs!$C$76)&lt;=Inputs!$C$74," weekday"," weekend"),Utility_Rates!$C$28:$F$28,Inputs!$C$68)),"")</f>
      </c>
      <c r="H195" s="34"/>
      <c r="I195" s="42">
        <f>IF(AND(ISNUMBER(D195),ISNUMBER(H195)),D195*H195*Inputs!$C$69,"")</f>
      </c>
      <c r="J195" s="42">
        <f>IF(AND(ISNUMBER(F195),ISNUMBER(H195),F195&gt;=Inputs!$C$68),F195*H195*Inputs!$C$69,"")</f>
      </c>
    </row>
    <row r="196" spans="2:10" ht="15" customHeight="1" x14ac:dyDescent="0.2">
      <c r="B196" s="39">
        <f t="shared" si="0"/>
      </c>
      <c r="C196" s="40">
        <f>IF(Inputs!$C$60,Inputs!$C$11+(B196-Inputs!$C$69)/Inputs!$C$70,"")</f>
      </c>
      <c r="D196" s="15"/>
      <c r="E196" s="15"/>
      <c r="F196" s="11">
        <f t="shared" si="1"/>
      </c>
      <c r="G196" s="22" cm="1">
        <f t="array" ref="G196">IF(AND(Inputs!$C$60,Inputs!$C$61),INDEX(Utility_Rates!$C$29:$F$52,HOUR(C196)+Inputs!$C$69,MATCH(INDEX(Utility_Rates!$K$6:$K$17,MONTH(C196))&amp;IF(WEEKDAY(C196,Inputs!$C$76)&lt;=Inputs!$C$74," weekday"," weekend"),Utility_Rates!$C$28:$F$28,Inputs!$C$68)),"")</f>
      </c>
      <c r="H196" s="34"/>
      <c r="I196" s="42">
        <f>IF(AND(ISNUMBER(D196),ISNUMBER(H196)),D196*H196*Inputs!$C$69,"")</f>
      </c>
      <c r="J196" s="42">
        <f>IF(AND(ISNUMBER(F196),ISNUMBER(H196),F196&gt;=Inputs!$C$68),F196*H196*Inputs!$C$69,"")</f>
      </c>
    </row>
    <row r="197" spans="2:10" ht="15" customHeight="1" x14ac:dyDescent="0.2">
      <c r="B197" s="39">
        <f t="shared" si="0"/>
      </c>
      <c r="C197" s="40">
        <f>IF(Inputs!$C$60,Inputs!$C$11+(B197-Inputs!$C$69)/Inputs!$C$70,"")</f>
      </c>
      <c r="D197" s="15"/>
      <c r="E197" s="15"/>
      <c r="F197" s="11">
        <f t="shared" si="1"/>
      </c>
      <c r="G197" s="22" cm="1">
        <f t="array" ref="G197">IF(AND(Inputs!$C$60,Inputs!$C$61),INDEX(Utility_Rates!$C$29:$F$52,HOUR(C197)+Inputs!$C$69,MATCH(INDEX(Utility_Rates!$K$6:$K$17,MONTH(C197))&amp;IF(WEEKDAY(C197,Inputs!$C$76)&lt;=Inputs!$C$74," weekday"," weekend"),Utility_Rates!$C$28:$F$28,Inputs!$C$68)),"")</f>
      </c>
      <c r="H197" s="34"/>
      <c r="I197" s="42">
        <f>IF(AND(ISNUMBER(D197),ISNUMBER(H197)),D197*H197*Inputs!$C$69,"")</f>
      </c>
      <c r="J197" s="42">
        <f>IF(AND(ISNUMBER(F197),ISNUMBER(H197),F197&gt;=Inputs!$C$68),F197*H197*Inputs!$C$69,"")</f>
      </c>
    </row>
    <row r="198" spans="2:10" ht="15" customHeight="1" x14ac:dyDescent="0.2">
      <c r="B198" s="39">
        <f t="shared" si="0"/>
      </c>
      <c r="C198" s="40">
        <f>IF(Inputs!$C$60,Inputs!$C$11+(B198-Inputs!$C$69)/Inputs!$C$70,"")</f>
      </c>
      <c r="D198" s="15"/>
      <c r="E198" s="15"/>
      <c r="F198" s="11">
        <f t="shared" si="1"/>
      </c>
      <c r="G198" s="22" cm="1">
        <f t="array" ref="G198">IF(AND(Inputs!$C$60,Inputs!$C$61),INDEX(Utility_Rates!$C$29:$F$52,HOUR(C198)+Inputs!$C$69,MATCH(INDEX(Utility_Rates!$K$6:$K$17,MONTH(C198))&amp;IF(WEEKDAY(C198,Inputs!$C$76)&lt;=Inputs!$C$74," weekday"," weekend"),Utility_Rates!$C$28:$F$28,Inputs!$C$68)),"")</f>
      </c>
      <c r="H198" s="34"/>
      <c r="I198" s="42">
        <f>IF(AND(ISNUMBER(D198),ISNUMBER(H198)),D198*H198*Inputs!$C$69,"")</f>
      </c>
      <c r="J198" s="42">
        <f>IF(AND(ISNUMBER(F198),ISNUMBER(H198),F198&gt;=Inputs!$C$68),F198*H198*Inputs!$C$69,"")</f>
      </c>
    </row>
    <row r="199" spans="2:10" ht="15" customHeight="1" x14ac:dyDescent="0.2">
      <c r="B199" s="39">
        <f t="shared" si="0"/>
      </c>
      <c r="C199" s="40">
        <f>IF(Inputs!$C$60,Inputs!$C$11+(B199-Inputs!$C$69)/Inputs!$C$70,"")</f>
      </c>
      <c r="D199" s="15"/>
      <c r="E199" s="15"/>
      <c r="F199" s="11">
        <f t="shared" si="1"/>
      </c>
      <c r="G199" s="22" cm="1">
        <f t="array" ref="G199">IF(AND(Inputs!$C$60,Inputs!$C$61),INDEX(Utility_Rates!$C$29:$F$52,HOUR(C199)+Inputs!$C$69,MATCH(INDEX(Utility_Rates!$K$6:$K$17,MONTH(C199))&amp;IF(WEEKDAY(C199,Inputs!$C$76)&lt;=Inputs!$C$74," weekday"," weekend"),Utility_Rates!$C$28:$F$28,Inputs!$C$68)),"")</f>
      </c>
      <c r="H199" s="34"/>
      <c r="I199" s="42">
        <f>IF(AND(ISNUMBER(D199),ISNUMBER(H199)),D199*H199*Inputs!$C$69,"")</f>
      </c>
      <c r="J199" s="42">
        <f>IF(AND(ISNUMBER(F199),ISNUMBER(H199),F199&gt;=Inputs!$C$68),F199*H199*Inputs!$C$69,"")</f>
      </c>
    </row>
    <row r="200" spans="2:10" ht="15" customHeight="1" x14ac:dyDescent="0.2">
      <c r="B200" s="39">
        <f t="shared" si="0"/>
      </c>
      <c r="C200" s="40">
        <f>IF(Inputs!$C$60,Inputs!$C$11+(B200-Inputs!$C$69)/Inputs!$C$70,"")</f>
      </c>
      <c r="D200" s="15"/>
      <c r="E200" s="15"/>
      <c r="F200" s="11">
        <f t="shared" si="1"/>
      </c>
      <c r="G200" s="22" cm="1">
        <f t="array" ref="G200">IF(AND(Inputs!$C$60,Inputs!$C$61),INDEX(Utility_Rates!$C$29:$F$52,HOUR(C200)+Inputs!$C$69,MATCH(INDEX(Utility_Rates!$K$6:$K$17,MONTH(C200))&amp;IF(WEEKDAY(C200,Inputs!$C$76)&lt;=Inputs!$C$74," weekday"," weekend"),Utility_Rates!$C$28:$F$28,Inputs!$C$68)),"")</f>
      </c>
      <c r="H200" s="34"/>
      <c r="I200" s="42">
        <f>IF(AND(ISNUMBER(D200),ISNUMBER(H200)),D200*H200*Inputs!$C$69,"")</f>
      </c>
      <c r="J200" s="42">
        <f>IF(AND(ISNUMBER(F200),ISNUMBER(H200),F200&gt;=Inputs!$C$68),F200*H200*Inputs!$C$69,"")</f>
      </c>
    </row>
    <row r="201" spans="2:10" ht="15" customHeight="1" x14ac:dyDescent="0.2">
      <c r="B201" s="39">
        <f t="shared" si="0"/>
      </c>
      <c r="C201" s="40">
        <f>IF(Inputs!$C$60,Inputs!$C$11+(B201-Inputs!$C$69)/Inputs!$C$70,"")</f>
      </c>
      <c r="D201" s="15"/>
      <c r="E201" s="15"/>
      <c r="F201" s="11">
        <f t="shared" si="1"/>
      </c>
      <c r="G201" s="22" cm="1">
        <f t="array" ref="G201">IF(AND(Inputs!$C$60,Inputs!$C$61),INDEX(Utility_Rates!$C$29:$F$52,HOUR(C201)+Inputs!$C$69,MATCH(INDEX(Utility_Rates!$K$6:$K$17,MONTH(C201))&amp;IF(WEEKDAY(C201,Inputs!$C$76)&lt;=Inputs!$C$74," weekday"," weekend"),Utility_Rates!$C$28:$F$28,Inputs!$C$68)),"")</f>
      </c>
      <c r="H201" s="34"/>
      <c r="I201" s="42">
        <f>IF(AND(ISNUMBER(D201),ISNUMBER(H201)),D201*H201*Inputs!$C$69,"")</f>
      </c>
      <c r="J201" s="42">
        <f>IF(AND(ISNUMBER(F201),ISNUMBER(H201),F201&gt;=Inputs!$C$68),F201*H201*Inputs!$C$69,"")</f>
      </c>
    </row>
    <row r="202" spans="2:10" ht="15" customHeight="1" x14ac:dyDescent="0.2">
      <c r="B202" s="39">
        <f t="shared" si="0"/>
      </c>
      <c r="C202" s="40">
        <f>IF(Inputs!$C$60,Inputs!$C$11+(B202-Inputs!$C$69)/Inputs!$C$70,"")</f>
      </c>
      <c r="D202" s="15"/>
      <c r="E202" s="15"/>
      <c r="F202" s="11">
        <f t="shared" si="1"/>
      </c>
      <c r="G202" s="22" cm="1">
        <f t="array" ref="G202">IF(AND(Inputs!$C$60,Inputs!$C$61),INDEX(Utility_Rates!$C$29:$F$52,HOUR(C202)+Inputs!$C$69,MATCH(INDEX(Utility_Rates!$K$6:$K$17,MONTH(C202))&amp;IF(WEEKDAY(C202,Inputs!$C$76)&lt;=Inputs!$C$74," weekday"," weekend"),Utility_Rates!$C$28:$F$28,Inputs!$C$68)),"")</f>
      </c>
      <c r="H202" s="34"/>
      <c r="I202" s="42">
        <f>IF(AND(ISNUMBER(D202),ISNUMBER(H202)),D202*H202*Inputs!$C$69,"")</f>
      </c>
      <c r="J202" s="42">
        <f>IF(AND(ISNUMBER(F202),ISNUMBER(H202),F202&gt;=Inputs!$C$68),F202*H202*Inputs!$C$69,"")</f>
      </c>
    </row>
    <row r="203" spans="2:10" ht="15" customHeight="1" x14ac:dyDescent="0.2">
      <c r="B203" s="39">
        <f t="shared" si="0"/>
      </c>
      <c r="C203" s="40">
        <f>IF(Inputs!$C$60,Inputs!$C$11+(B203-Inputs!$C$69)/Inputs!$C$70,"")</f>
      </c>
      <c r="D203" s="15"/>
      <c r="E203" s="15"/>
      <c r="F203" s="11">
        <f t="shared" si="1"/>
      </c>
      <c r="G203" s="22" cm="1">
        <f t="array" ref="G203">IF(AND(Inputs!$C$60,Inputs!$C$61),INDEX(Utility_Rates!$C$29:$F$52,HOUR(C203)+Inputs!$C$69,MATCH(INDEX(Utility_Rates!$K$6:$K$17,MONTH(C203))&amp;IF(WEEKDAY(C203,Inputs!$C$76)&lt;=Inputs!$C$74," weekday"," weekend"),Utility_Rates!$C$28:$F$28,Inputs!$C$68)),"")</f>
      </c>
      <c r="H203" s="34"/>
      <c r="I203" s="42">
        <f>IF(AND(ISNUMBER(D203),ISNUMBER(H203)),D203*H203*Inputs!$C$69,"")</f>
      </c>
      <c r="J203" s="42">
        <f>IF(AND(ISNUMBER(F203),ISNUMBER(H203),F203&gt;=Inputs!$C$68),F203*H203*Inputs!$C$69,"")</f>
      </c>
    </row>
    <row r="204" spans="2:10" ht="15" customHeight="1" x14ac:dyDescent="0.2">
      <c r="B204" s="39">
        <f t="shared" si="0"/>
      </c>
      <c r="C204" s="40">
        <f>IF(Inputs!$C$60,Inputs!$C$11+(B204-Inputs!$C$69)/Inputs!$C$70,"")</f>
      </c>
      <c r="D204" s="15"/>
      <c r="E204" s="15"/>
      <c r="F204" s="11">
        <f t="shared" si="1"/>
      </c>
      <c r="G204" s="22" cm="1">
        <f t="array" ref="G204">IF(AND(Inputs!$C$60,Inputs!$C$61),INDEX(Utility_Rates!$C$29:$F$52,HOUR(C204)+Inputs!$C$69,MATCH(INDEX(Utility_Rates!$K$6:$K$17,MONTH(C204))&amp;IF(WEEKDAY(C204,Inputs!$C$76)&lt;=Inputs!$C$74," weekday"," weekend"),Utility_Rates!$C$28:$F$28,Inputs!$C$68)),"")</f>
      </c>
      <c r="H204" s="34"/>
      <c r="I204" s="42">
        <f>IF(AND(ISNUMBER(D204),ISNUMBER(H204)),D204*H204*Inputs!$C$69,"")</f>
      </c>
      <c r="J204" s="42">
        <f>IF(AND(ISNUMBER(F204),ISNUMBER(H204),F204&gt;=Inputs!$C$68),F204*H204*Inputs!$C$69,"")</f>
      </c>
    </row>
    <row r="205" spans="2:10" ht="15" customHeight="1" x14ac:dyDescent="0.2">
      <c r="B205" s="39">
        <f t="shared" si="0"/>
      </c>
      <c r="C205" s="40">
        <f>IF(Inputs!$C$60,Inputs!$C$11+(B205-Inputs!$C$69)/Inputs!$C$70,"")</f>
      </c>
      <c r="D205" s="15"/>
      <c r="E205" s="15"/>
      <c r="F205" s="11">
        <f t="shared" si="1"/>
      </c>
      <c r="G205" s="22" cm="1">
        <f t="array" ref="G205">IF(AND(Inputs!$C$60,Inputs!$C$61),INDEX(Utility_Rates!$C$29:$F$52,HOUR(C205)+Inputs!$C$69,MATCH(INDEX(Utility_Rates!$K$6:$K$17,MONTH(C205))&amp;IF(WEEKDAY(C205,Inputs!$C$76)&lt;=Inputs!$C$74," weekday"," weekend"),Utility_Rates!$C$28:$F$28,Inputs!$C$68)),"")</f>
      </c>
      <c r="H205" s="34"/>
      <c r="I205" s="42">
        <f>IF(AND(ISNUMBER(D205),ISNUMBER(H205)),D205*H205*Inputs!$C$69,"")</f>
      </c>
      <c r="J205" s="42">
        <f>IF(AND(ISNUMBER(F205),ISNUMBER(H205),F205&gt;=Inputs!$C$68),F205*H205*Inputs!$C$69,"")</f>
      </c>
    </row>
    <row r="206" spans="2:10" ht="15" customHeight="1" x14ac:dyDescent="0.2">
      <c r="B206" s="39">
        <f t="shared" si="0"/>
      </c>
      <c r="C206" s="40">
        <f>IF(Inputs!$C$60,Inputs!$C$11+(B206-Inputs!$C$69)/Inputs!$C$70,"")</f>
      </c>
      <c r="D206" s="15"/>
      <c r="E206" s="15"/>
      <c r="F206" s="11">
        <f t="shared" si="1"/>
      </c>
      <c r="G206" s="22" cm="1">
        <f t="array" ref="G206">IF(AND(Inputs!$C$60,Inputs!$C$61),INDEX(Utility_Rates!$C$29:$F$52,HOUR(C206)+Inputs!$C$69,MATCH(INDEX(Utility_Rates!$K$6:$K$17,MONTH(C206))&amp;IF(WEEKDAY(C206,Inputs!$C$76)&lt;=Inputs!$C$74," weekday"," weekend"),Utility_Rates!$C$28:$F$28,Inputs!$C$68)),"")</f>
      </c>
      <c r="H206" s="34"/>
      <c r="I206" s="42">
        <f>IF(AND(ISNUMBER(D206),ISNUMBER(H206)),D206*H206*Inputs!$C$69,"")</f>
      </c>
      <c r="J206" s="42">
        <f>IF(AND(ISNUMBER(F206),ISNUMBER(H206),F206&gt;=Inputs!$C$68),F206*H206*Inputs!$C$69,"")</f>
      </c>
    </row>
    <row r="207" spans="2:10" ht="15" customHeight="1" x14ac:dyDescent="0.2">
      <c r="B207" s="39">
        <f t="shared" si="0"/>
      </c>
      <c r="C207" s="40">
        <f>IF(Inputs!$C$60,Inputs!$C$11+(B207-Inputs!$C$69)/Inputs!$C$70,"")</f>
      </c>
      <c r="D207" s="15"/>
      <c r="E207" s="15"/>
      <c r="F207" s="11">
        <f t="shared" si="1"/>
      </c>
      <c r="G207" s="22" cm="1">
        <f t="array" ref="G207">IF(AND(Inputs!$C$60,Inputs!$C$61),INDEX(Utility_Rates!$C$29:$F$52,HOUR(C207)+Inputs!$C$69,MATCH(INDEX(Utility_Rates!$K$6:$K$17,MONTH(C207))&amp;IF(WEEKDAY(C207,Inputs!$C$76)&lt;=Inputs!$C$74," weekday"," weekend"),Utility_Rates!$C$28:$F$28,Inputs!$C$68)),"")</f>
      </c>
      <c r="H207" s="34"/>
      <c r="I207" s="42">
        <f>IF(AND(ISNUMBER(D207),ISNUMBER(H207)),D207*H207*Inputs!$C$69,"")</f>
      </c>
      <c r="J207" s="42">
        <f>IF(AND(ISNUMBER(F207),ISNUMBER(H207),F207&gt;=Inputs!$C$68),F207*H207*Inputs!$C$69,"")</f>
      </c>
    </row>
    <row r="208" spans="2:10" ht="15" customHeight="1" x14ac:dyDescent="0.2">
      <c r="B208" s="39">
        <f t="shared" si="0"/>
      </c>
      <c r="C208" s="40">
        <f>IF(Inputs!$C$60,Inputs!$C$11+(B208-Inputs!$C$69)/Inputs!$C$70,"")</f>
      </c>
      <c r="D208" s="15"/>
      <c r="E208" s="15"/>
      <c r="F208" s="11">
        <f t="shared" si="1"/>
      </c>
      <c r="G208" s="22" cm="1">
        <f t="array" ref="G208">IF(AND(Inputs!$C$60,Inputs!$C$61),INDEX(Utility_Rates!$C$29:$F$52,HOUR(C208)+Inputs!$C$69,MATCH(INDEX(Utility_Rates!$K$6:$K$17,MONTH(C208))&amp;IF(WEEKDAY(C208,Inputs!$C$76)&lt;=Inputs!$C$74," weekday"," weekend"),Utility_Rates!$C$28:$F$28,Inputs!$C$68)),"")</f>
      </c>
      <c r="H208" s="34"/>
      <c r="I208" s="42">
        <f>IF(AND(ISNUMBER(D208),ISNUMBER(H208)),D208*H208*Inputs!$C$69,"")</f>
      </c>
      <c r="J208" s="42">
        <f>IF(AND(ISNUMBER(F208),ISNUMBER(H208),F208&gt;=Inputs!$C$68),F208*H208*Inputs!$C$69,"")</f>
      </c>
    </row>
    <row r="209" spans="2:10" ht="15" customHeight="1" x14ac:dyDescent="0.2">
      <c r="B209" s="39">
        <f t="shared" si="0"/>
      </c>
      <c r="C209" s="40">
        <f>IF(Inputs!$C$60,Inputs!$C$11+(B209-Inputs!$C$69)/Inputs!$C$70,"")</f>
      </c>
      <c r="D209" s="15"/>
      <c r="E209" s="15"/>
      <c r="F209" s="11">
        <f t="shared" si="1"/>
      </c>
      <c r="G209" s="22" cm="1">
        <f t="array" ref="G209">IF(AND(Inputs!$C$60,Inputs!$C$61),INDEX(Utility_Rates!$C$29:$F$52,HOUR(C209)+Inputs!$C$69,MATCH(INDEX(Utility_Rates!$K$6:$K$17,MONTH(C209))&amp;IF(WEEKDAY(C209,Inputs!$C$76)&lt;=Inputs!$C$74," weekday"," weekend"),Utility_Rates!$C$28:$F$28,Inputs!$C$68)),"")</f>
      </c>
      <c r="H209" s="34"/>
      <c r="I209" s="42">
        <f>IF(AND(ISNUMBER(D209),ISNUMBER(H209)),D209*H209*Inputs!$C$69,"")</f>
      </c>
      <c r="J209" s="42">
        <f>IF(AND(ISNUMBER(F209),ISNUMBER(H209),F209&gt;=Inputs!$C$68),F209*H209*Inputs!$C$69,"")</f>
      </c>
    </row>
    <row r="210" spans="2:10" ht="15" customHeight="1" x14ac:dyDescent="0.2">
      <c r="B210" s="39">
        <f t="shared" si="0"/>
      </c>
      <c r="C210" s="40">
        <f>IF(Inputs!$C$60,Inputs!$C$11+(B210-Inputs!$C$69)/Inputs!$C$70,"")</f>
      </c>
      <c r="D210" s="15"/>
      <c r="E210" s="15"/>
      <c r="F210" s="11">
        <f t="shared" si="1"/>
      </c>
      <c r="G210" s="22" cm="1">
        <f t="array" ref="G210">IF(AND(Inputs!$C$60,Inputs!$C$61),INDEX(Utility_Rates!$C$29:$F$52,HOUR(C210)+Inputs!$C$69,MATCH(INDEX(Utility_Rates!$K$6:$K$17,MONTH(C210))&amp;IF(WEEKDAY(C210,Inputs!$C$76)&lt;=Inputs!$C$74," weekday"," weekend"),Utility_Rates!$C$28:$F$28,Inputs!$C$68)),"")</f>
      </c>
      <c r="H210" s="34"/>
      <c r="I210" s="42">
        <f>IF(AND(ISNUMBER(D210),ISNUMBER(H210)),D210*H210*Inputs!$C$69,"")</f>
      </c>
      <c r="J210" s="42">
        <f>IF(AND(ISNUMBER(F210),ISNUMBER(H210),F210&gt;=Inputs!$C$68),F210*H210*Inputs!$C$69,"")</f>
      </c>
    </row>
    <row r="211" spans="2:10" ht="15" customHeight="1" x14ac:dyDescent="0.2">
      <c r="B211" s="39">
        <f t="shared" si="0"/>
      </c>
      <c r="C211" s="40">
        <f>IF(Inputs!$C$60,Inputs!$C$11+(B211-Inputs!$C$69)/Inputs!$C$70,"")</f>
      </c>
      <c r="D211" s="15"/>
      <c r="E211" s="15"/>
      <c r="F211" s="11">
        <f t="shared" si="1"/>
      </c>
      <c r="G211" s="22" cm="1">
        <f t="array" ref="G211">IF(AND(Inputs!$C$60,Inputs!$C$61),INDEX(Utility_Rates!$C$29:$F$52,HOUR(C211)+Inputs!$C$69,MATCH(INDEX(Utility_Rates!$K$6:$K$17,MONTH(C211))&amp;IF(WEEKDAY(C211,Inputs!$C$76)&lt;=Inputs!$C$74," weekday"," weekend"),Utility_Rates!$C$28:$F$28,Inputs!$C$68)),"")</f>
      </c>
      <c r="H211" s="34"/>
      <c r="I211" s="42">
        <f>IF(AND(ISNUMBER(D211),ISNUMBER(H211)),D211*H211*Inputs!$C$69,"")</f>
      </c>
      <c r="J211" s="42">
        <f>IF(AND(ISNUMBER(F211),ISNUMBER(H211),F211&gt;=Inputs!$C$68),F211*H211*Inputs!$C$69,"")</f>
      </c>
    </row>
    <row r="212" spans="2:10" ht="15" customHeight="1" x14ac:dyDescent="0.2">
      <c r="B212" s="39">
        <f t="shared" si="0"/>
      </c>
      <c r="C212" s="40">
        <f>IF(Inputs!$C$60,Inputs!$C$11+(B212-Inputs!$C$69)/Inputs!$C$70,"")</f>
      </c>
      <c r="D212" s="15"/>
      <c r="E212" s="15"/>
      <c r="F212" s="11">
        <f t="shared" si="1"/>
      </c>
      <c r="G212" s="22" cm="1">
        <f t="array" ref="G212">IF(AND(Inputs!$C$60,Inputs!$C$61),INDEX(Utility_Rates!$C$29:$F$52,HOUR(C212)+Inputs!$C$69,MATCH(INDEX(Utility_Rates!$K$6:$K$17,MONTH(C212))&amp;IF(WEEKDAY(C212,Inputs!$C$76)&lt;=Inputs!$C$74," weekday"," weekend"),Utility_Rates!$C$28:$F$28,Inputs!$C$68)),"")</f>
      </c>
      <c r="H212" s="34"/>
      <c r="I212" s="42">
        <f>IF(AND(ISNUMBER(D212),ISNUMBER(H212)),D212*H212*Inputs!$C$69,"")</f>
      </c>
      <c r="J212" s="42">
        <f>IF(AND(ISNUMBER(F212),ISNUMBER(H212),F212&gt;=Inputs!$C$68),F212*H212*Inputs!$C$69,"")</f>
      </c>
    </row>
    <row r="213" spans="2:10" ht="15" customHeight="1" x14ac:dyDescent="0.2">
      <c r="B213" s="39">
        <f t="shared" si="0"/>
      </c>
      <c r="C213" s="40">
        <f>IF(Inputs!$C$60,Inputs!$C$11+(B213-Inputs!$C$69)/Inputs!$C$70,"")</f>
      </c>
      <c r="D213" s="15"/>
      <c r="E213" s="15"/>
      <c r="F213" s="11">
        <f t="shared" si="1"/>
      </c>
      <c r="G213" s="22" cm="1">
        <f t="array" ref="G213">IF(AND(Inputs!$C$60,Inputs!$C$61),INDEX(Utility_Rates!$C$29:$F$52,HOUR(C213)+Inputs!$C$69,MATCH(INDEX(Utility_Rates!$K$6:$K$17,MONTH(C213))&amp;IF(WEEKDAY(C213,Inputs!$C$76)&lt;=Inputs!$C$74," weekday"," weekend"),Utility_Rates!$C$28:$F$28,Inputs!$C$68)),"")</f>
      </c>
      <c r="H213" s="34"/>
      <c r="I213" s="42">
        <f>IF(AND(ISNUMBER(D213),ISNUMBER(H213)),D213*H213*Inputs!$C$69,"")</f>
      </c>
      <c r="J213" s="42">
        <f>IF(AND(ISNUMBER(F213),ISNUMBER(H213),F213&gt;=Inputs!$C$68),F213*H213*Inputs!$C$69,"")</f>
      </c>
    </row>
    <row r="214" spans="2:10" ht="15" customHeight="1" x14ac:dyDescent="0.2">
      <c r="B214" s="39">
        <f t="shared" si="0"/>
      </c>
      <c r="C214" s="40">
        <f>IF(Inputs!$C$60,Inputs!$C$11+(B214-Inputs!$C$69)/Inputs!$C$70,"")</f>
      </c>
      <c r="D214" s="15"/>
      <c r="E214" s="15"/>
      <c r="F214" s="11">
        <f t="shared" si="1"/>
      </c>
      <c r="G214" s="22" cm="1">
        <f t="array" ref="G214">IF(AND(Inputs!$C$60,Inputs!$C$61),INDEX(Utility_Rates!$C$29:$F$52,HOUR(C214)+Inputs!$C$69,MATCH(INDEX(Utility_Rates!$K$6:$K$17,MONTH(C214))&amp;IF(WEEKDAY(C214,Inputs!$C$76)&lt;=Inputs!$C$74," weekday"," weekend"),Utility_Rates!$C$28:$F$28,Inputs!$C$68)),"")</f>
      </c>
      <c r="H214" s="34"/>
      <c r="I214" s="42">
        <f>IF(AND(ISNUMBER(D214),ISNUMBER(H214)),D214*H214*Inputs!$C$69,"")</f>
      </c>
      <c r="J214" s="42">
        <f>IF(AND(ISNUMBER(F214),ISNUMBER(H214),F214&gt;=Inputs!$C$68),F214*H214*Inputs!$C$69,"")</f>
      </c>
    </row>
    <row r="215" spans="2:10" ht="15" customHeight="1" x14ac:dyDescent="0.2">
      <c r="B215" s="39">
        <f t="shared" si="0"/>
      </c>
      <c r="C215" s="40">
        <f>IF(Inputs!$C$60,Inputs!$C$11+(B215-Inputs!$C$69)/Inputs!$C$70,"")</f>
      </c>
      <c r="D215" s="15"/>
      <c r="E215" s="15"/>
      <c r="F215" s="11">
        <f t="shared" si="1"/>
      </c>
      <c r="G215" s="22" cm="1">
        <f t="array" ref="G215">IF(AND(Inputs!$C$60,Inputs!$C$61),INDEX(Utility_Rates!$C$29:$F$52,HOUR(C215)+Inputs!$C$69,MATCH(INDEX(Utility_Rates!$K$6:$K$17,MONTH(C215))&amp;IF(WEEKDAY(C215,Inputs!$C$76)&lt;=Inputs!$C$74," weekday"," weekend"),Utility_Rates!$C$28:$F$28,Inputs!$C$68)),"")</f>
      </c>
      <c r="H215" s="34"/>
      <c r="I215" s="42">
        <f>IF(AND(ISNUMBER(D215),ISNUMBER(H215)),D215*H215*Inputs!$C$69,"")</f>
      </c>
      <c r="J215" s="42">
        <f>IF(AND(ISNUMBER(F215),ISNUMBER(H215),F215&gt;=Inputs!$C$68),F215*H215*Inputs!$C$69,"")</f>
      </c>
    </row>
    <row r="216" spans="2:10" ht="15" customHeight="1" x14ac:dyDescent="0.2">
      <c r="B216" s="39">
        <f t="shared" si="0"/>
      </c>
      <c r="C216" s="40">
        <f>IF(Inputs!$C$60,Inputs!$C$11+(B216-Inputs!$C$69)/Inputs!$C$70,"")</f>
      </c>
      <c r="D216" s="15"/>
      <c r="E216" s="15"/>
      <c r="F216" s="11">
        <f t="shared" si="1"/>
      </c>
      <c r="G216" s="22" cm="1">
        <f t="array" ref="G216">IF(AND(Inputs!$C$60,Inputs!$C$61),INDEX(Utility_Rates!$C$29:$F$52,HOUR(C216)+Inputs!$C$69,MATCH(INDEX(Utility_Rates!$K$6:$K$17,MONTH(C216))&amp;IF(WEEKDAY(C216,Inputs!$C$76)&lt;=Inputs!$C$74," weekday"," weekend"),Utility_Rates!$C$28:$F$28,Inputs!$C$68)),"")</f>
      </c>
      <c r="H216" s="34"/>
      <c r="I216" s="42">
        <f>IF(AND(ISNUMBER(D216),ISNUMBER(H216)),D216*H216*Inputs!$C$69,"")</f>
      </c>
      <c r="J216" s="42">
        <f>IF(AND(ISNUMBER(F216),ISNUMBER(H216),F216&gt;=Inputs!$C$68),F216*H216*Inputs!$C$69,"")</f>
      </c>
    </row>
    <row r="217" spans="2:10" ht="15" customHeight="1" x14ac:dyDescent="0.2">
      <c r="B217" s="39">
        <f t="shared" si="0"/>
      </c>
      <c r="C217" s="40">
        <f>IF(Inputs!$C$60,Inputs!$C$11+(B217-Inputs!$C$69)/Inputs!$C$70,"")</f>
      </c>
      <c r="D217" s="15"/>
      <c r="E217" s="15"/>
      <c r="F217" s="11">
        <f t="shared" si="1"/>
      </c>
      <c r="G217" s="22" cm="1">
        <f t="array" ref="G217">IF(AND(Inputs!$C$60,Inputs!$C$61),INDEX(Utility_Rates!$C$29:$F$52,HOUR(C217)+Inputs!$C$69,MATCH(INDEX(Utility_Rates!$K$6:$K$17,MONTH(C217))&amp;IF(WEEKDAY(C217,Inputs!$C$76)&lt;=Inputs!$C$74," weekday"," weekend"),Utility_Rates!$C$28:$F$28,Inputs!$C$68)),"")</f>
      </c>
      <c r="H217" s="34"/>
      <c r="I217" s="42">
        <f>IF(AND(ISNUMBER(D217),ISNUMBER(H217)),D217*H217*Inputs!$C$69,"")</f>
      </c>
      <c r="J217" s="42">
        <f>IF(AND(ISNUMBER(F217),ISNUMBER(H217),F217&gt;=Inputs!$C$68),F217*H217*Inputs!$C$69,"")</f>
      </c>
    </row>
    <row r="218" spans="2:10" ht="15" customHeight="1" x14ac:dyDescent="0.2">
      <c r="B218" s="39">
        <f t="shared" si="0"/>
      </c>
      <c r="C218" s="40">
        <f>IF(Inputs!$C$60,Inputs!$C$11+(B218-Inputs!$C$69)/Inputs!$C$70,"")</f>
      </c>
      <c r="D218" s="15"/>
      <c r="E218" s="15"/>
      <c r="F218" s="11">
        <f t="shared" si="1"/>
      </c>
      <c r="G218" s="22" cm="1">
        <f t="array" ref="G218">IF(AND(Inputs!$C$60,Inputs!$C$61),INDEX(Utility_Rates!$C$29:$F$52,HOUR(C218)+Inputs!$C$69,MATCH(INDEX(Utility_Rates!$K$6:$K$17,MONTH(C218))&amp;IF(WEEKDAY(C218,Inputs!$C$76)&lt;=Inputs!$C$74," weekday"," weekend"),Utility_Rates!$C$28:$F$28,Inputs!$C$68)),"")</f>
      </c>
      <c r="H218" s="34"/>
      <c r="I218" s="42">
        <f>IF(AND(ISNUMBER(D218),ISNUMBER(H218)),D218*H218*Inputs!$C$69,"")</f>
      </c>
      <c r="J218" s="42">
        <f>IF(AND(ISNUMBER(F218),ISNUMBER(H218),F218&gt;=Inputs!$C$68),F218*H218*Inputs!$C$69,"")</f>
      </c>
    </row>
    <row r="219" spans="2:10" ht="15" customHeight="1" x14ac:dyDescent="0.2">
      <c r="B219" s="39">
        <f t="shared" si="0"/>
      </c>
      <c r="C219" s="40">
        <f>IF(Inputs!$C$60,Inputs!$C$11+(B219-Inputs!$C$69)/Inputs!$C$70,"")</f>
      </c>
      <c r="D219" s="15"/>
      <c r="E219" s="15"/>
      <c r="F219" s="11">
        <f t="shared" si="1"/>
      </c>
      <c r="G219" s="22" cm="1">
        <f t="array" ref="G219">IF(AND(Inputs!$C$60,Inputs!$C$61),INDEX(Utility_Rates!$C$29:$F$52,HOUR(C219)+Inputs!$C$69,MATCH(INDEX(Utility_Rates!$K$6:$K$17,MONTH(C219))&amp;IF(WEEKDAY(C219,Inputs!$C$76)&lt;=Inputs!$C$74," weekday"," weekend"),Utility_Rates!$C$28:$F$28,Inputs!$C$68)),"")</f>
      </c>
      <c r="H219" s="34"/>
      <c r="I219" s="42">
        <f>IF(AND(ISNUMBER(D219),ISNUMBER(H219)),D219*H219*Inputs!$C$69,"")</f>
      </c>
      <c r="J219" s="42">
        <f>IF(AND(ISNUMBER(F219),ISNUMBER(H219),F219&gt;=Inputs!$C$68),F219*H219*Inputs!$C$69,"")</f>
      </c>
    </row>
    <row r="220" spans="2:10" ht="15" customHeight="1" x14ac:dyDescent="0.2">
      <c r="B220" s="39">
        <f t="shared" si="0"/>
      </c>
      <c r="C220" s="40">
        <f>IF(Inputs!$C$60,Inputs!$C$11+(B220-Inputs!$C$69)/Inputs!$C$70,"")</f>
      </c>
      <c r="D220" s="15"/>
      <c r="E220" s="15"/>
      <c r="F220" s="11">
        <f t="shared" si="1"/>
      </c>
      <c r="G220" s="22" cm="1">
        <f t="array" ref="G220">IF(AND(Inputs!$C$60,Inputs!$C$61),INDEX(Utility_Rates!$C$29:$F$52,HOUR(C220)+Inputs!$C$69,MATCH(INDEX(Utility_Rates!$K$6:$K$17,MONTH(C220))&amp;IF(WEEKDAY(C220,Inputs!$C$76)&lt;=Inputs!$C$74," weekday"," weekend"),Utility_Rates!$C$28:$F$28,Inputs!$C$68)),"")</f>
      </c>
      <c r="H220" s="34"/>
      <c r="I220" s="42">
        <f>IF(AND(ISNUMBER(D220),ISNUMBER(H220)),D220*H220*Inputs!$C$69,"")</f>
      </c>
      <c r="J220" s="42">
        <f>IF(AND(ISNUMBER(F220),ISNUMBER(H220),F220&gt;=Inputs!$C$68),F220*H220*Inputs!$C$69,"")</f>
      </c>
    </row>
    <row r="221" spans="2:10" ht="15" customHeight="1" x14ac:dyDescent="0.2">
      <c r="B221" s="39">
        <f t="shared" si="0"/>
      </c>
      <c r="C221" s="40">
        <f>IF(Inputs!$C$60,Inputs!$C$11+(B221-Inputs!$C$69)/Inputs!$C$70,"")</f>
      </c>
      <c r="D221" s="15"/>
      <c r="E221" s="15"/>
      <c r="F221" s="11">
        <f t="shared" si="1"/>
      </c>
      <c r="G221" s="22" cm="1">
        <f t="array" ref="G221">IF(AND(Inputs!$C$60,Inputs!$C$61),INDEX(Utility_Rates!$C$29:$F$52,HOUR(C221)+Inputs!$C$69,MATCH(INDEX(Utility_Rates!$K$6:$K$17,MONTH(C221))&amp;IF(WEEKDAY(C221,Inputs!$C$76)&lt;=Inputs!$C$74," weekday"," weekend"),Utility_Rates!$C$28:$F$28,Inputs!$C$68)),"")</f>
      </c>
      <c r="H221" s="34"/>
      <c r="I221" s="42">
        <f>IF(AND(ISNUMBER(D221),ISNUMBER(H221)),D221*H221*Inputs!$C$69,"")</f>
      </c>
      <c r="J221" s="42">
        <f>IF(AND(ISNUMBER(F221),ISNUMBER(H221),F221&gt;=Inputs!$C$68),F221*H221*Inputs!$C$69,"")</f>
      </c>
    </row>
    <row r="222" spans="2:10" ht="15" customHeight="1" x14ac:dyDescent="0.2">
      <c r="B222" s="39">
        <f t="shared" si="0"/>
      </c>
      <c r="C222" s="40">
        <f>IF(Inputs!$C$60,Inputs!$C$11+(B222-Inputs!$C$69)/Inputs!$C$70,"")</f>
      </c>
      <c r="D222" s="15"/>
      <c r="E222" s="15"/>
      <c r="F222" s="11">
        <f t="shared" si="1"/>
      </c>
      <c r="G222" s="22" cm="1">
        <f t="array" ref="G222">IF(AND(Inputs!$C$60,Inputs!$C$61),INDEX(Utility_Rates!$C$29:$F$52,HOUR(C222)+Inputs!$C$69,MATCH(INDEX(Utility_Rates!$K$6:$K$17,MONTH(C222))&amp;IF(WEEKDAY(C222,Inputs!$C$76)&lt;=Inputs!$C$74," weekday"," weekend"),Utility_Rates!$C$28:$F$28,Inputs!$C$68)),"")</f>
      </c>
      <c r="H222" s="34"/>
      <c r="I222" s="42">
        <f>IF(AND(ISNUMBER(D222),ISNUMBER(H222)),D222*H222*Inputs!$C$69,"")</f>
      </c>
      <c r="J222" s="42">
        <f>IF(AND(ISNUMBER(F222),ISNUMBER(H222),F222&gt;=Inputs!$C$68),F222*H222*Inputs!$C$69,"")</f>
      </c>
    </row>
    <row r="223" spans="2:10" ht="15" customHeight="1" x14ac:dyDescent="0.2">
      <c r="B223" s="39">
        <f t="shared" si="0"/>
      </c>
      <c r="C223" s="40">
        <f>IF(Inputs!$C$60,Inputs!$C$11+(B223-Inputs!$C$69)/Inputs!$C$70,"")</f>
      </c>
      <c r="D223" s="15"/>
      <c r="E223" s="15"/>
      <c r="F223" s="11">
        <f t="shared" si="1"/>
      </c>
      <c r="G223" s="22" cm="1">
        <f t="array" ref="G223">IF(AND(Inputs!$C$60,Inputs!$C$61),INDEX(Utility_Rates!$C$29:$F$52,HOUR(C223)+Inputs!$C$69,MATCH(INDEX(Utility_Rates!$K$6:$K$17,MONTH(C223))&amp;IF(WEEKDAY(C223,Inputs!$C$76)&lt;=Inputs!$C$74," weekday"," weekend"),Utility_Rates!$C$28:$F$28,Inputs!$C$68)),"")</f>
      </c>
      <c r="H223" s="34"/>
      <c r="I223" s="42">
        <f>IF(AND(ISNUMBER(D223),ISNUMBER(H223)),D223*H223*Inputs!$C$69,"")</f>
      </c>
      <c r="J223" s="42">
        <f>IF(AND(ISNUMBER(F223),ISNUMBER(H223),F223&gt;=Inputs!$C$68),F223*H223*Inputs!$C$69,"")</f>
      </c>
    </row>
    <row r="224" spans="2:10" ht="15" customHeight="1" x14ac:dyDescent="0.2">
      <c r="B224" s="39">
        <f t="shared" si="0"/>
      </c>
      <c r="C224" s="40">
        <f>IF(Inputs!$C$60,Inputs!$C$11+(B224-Inputs!$C$69)/Inputs!$C$70,"")</f>
      </c>
      <c r="D224" s="15"/>
      <c r="E224" s="15"/>
      <c r="F224" s="11">
        <f t="shared" si="1"/>
      </c>
      <c r="G224" s="22" cm="1">
        <f t="array" ref="G224">IF(AND(Inputs!$C$60,Inputs!$C$61),INDEX(Utility_Rates!$C$29:$F$52,HOUR(C224)+Inputs!$C$69,MATCH(INDEX(Utility_Rates!$K$6:$K$17,MONTH(C224))&amp;IF(WEEKDAY(C224,Inputs!$C$76)&lt;=Inputs!$C$74," weekday"," weekend"),Utility_Rates!$C$28:$F$28,Inputs!$C$68)),"")</f>
      </c>
      <c r="H224" s="34"/>
      <c r="I224" s="42">
        <f>IF(AND(ISNUMBER(D224),ISNUMBER(H224)),D224*H224*Inputs!$C$69,"")</f>
      </c>
      <c r="J224" s="42">
        <f>IF(AND(ISNUMBER(F224),ISNUMBER(H224),F224&gt;=Inputs!$C$68),F224*H224*Inputs!$C$69,"")</f>
      </c>
    </row>
    <row r="225" spans="2:10" ht="15" customHeight="1" x14ac:dyDescent="0.2">
      <c r="B225" s="39">
        <f t="shared" si="0"/>
      </c>
      <c r="C225" s="40">
        <f>IF(Inputs!$C$60,Inputs!$C$11+(B225-Inputs!$C$69)/Inputs!$C$70,"")</f>
      </c>
      <c r="D225" s="15"/>
      <c r="E225" s="15"/>
      <c r="F225" s="11">
        <f t="shared" si="1"/>
      </c>
      <c r="G225" s="22" cm="1">
        <f t="array" ref="G225">IF(AND(Inputs!$C$60,Inputs!$C$61),INDEX(Utility_Rates!$C$29:$F$52,HOUR(C225)+Inputs!$C$69,MATCH(INDEX(Utility_Rates!$K$6:$K$17,MONTH(C225))&amp;IF(WEEKDAY(C225,Inputs!$C$76)&lt;=Inputs!$C$74," weekday"," weekend"),Utility_Rates!$C$28:$F$28,Inputs!$C$68)),"")</f>
      </c>
      <c r="H225" s="34"/>
      <c r="I225" s="42">
        <f>IF(AND(ISNUMBER(D225),ISNUMBER(H225)),D225*H225*Inputs!$C$69,"")</f>
      </c>
      <c r="J225" s="42">
        <f>IF(AND(ISNUMBER(F225),ISNUMBER(H225),F225&gt;=Inputs!$C$68),F225*H225*Inputs!$C$69,"")</f>
      </c>
    </row>
    <row r="226" spans="2:10" ht="15" customHeight="1" x14ac:dyDescent="0.2">
      <c r="B226" s="39">
        <f t="shared" si="0"/>
      </c>
      <c r="C226" s="40">
        <f>IF(Inputs!$C$60,Inputs!$C$11+(B226-Inputs!$C$69)/Inputs!$C$70,"")</f>
      </c>
      <c r="D226" s="15"/>
      <c r="E226" s="15"/>
      <c r="F226" s="11">
        <f t="shared" si="1"/>
      </c>
      <c r="G226" s="22" cm="1">
        <f t="array" ref="G226">IF(AND(Inputs!$C$60,Inputs!$C$61),INDEX(Utility_Rates!$C$29:$F$52,HOUR(C226)+Inputs!$C$69,MATCH(INDEX(Utility_Rates!$K$6:$K$17,MONTH(C226))&amp;IF(WEEKDAY(C226,Inputs!$C$76)&lt;=Inputs!$C$74," weekday"," weekend"),Utility_Rates!$C$28:$F$28,Inputs!$C$68)),"")</f>
      </c>
      <c r="H226" s="34"/>
      <c r="I226" s="42">
        <f>IF(AND(ISNUMBER(D226),ISNUMBER(H226)),D226*H226*Inputs!$C$69,"")</f>
      </c>
      <c r="J226" s="42">
        <f>IF(AND(ISNUMBER(F226),ISNUMBER(H226),F226&gt;=Inputs!$C$68),F226*H226*Inputs!$C$69,"")</f>
      </c>
    </row>
    <row r="227" spans="2:10" ht="15" customHeight="1" x14ac:dyDescent="0.2">
      <c r="B227" s="39">
        <f t="shared" si="0"/>
      </c>
      <c r="C227" s="40">
        <f>IF(Inputs!$C$60,Inputs!$C$11+(B227-Inputs!$C$69)/Inputs!$C$70,"")</f>
      </c>
      <c r="D227" s="15"/>
      <c r="E227" s="15"/>
      <c r="F227" s="11">
        <f t="shared" si="1"/>
      </c>
      <c r="G227" s="22" cm="1">
        <f t="array" ref="G227">IF(AND(Inputs!$C$60,Inputs!$C$61),INDEX(Utility_Rates!$C$29:$F$52,HOUR(C227)+Inputs!$C$69,MATCH(INDEX(Utility_Rates!$K$6:$K$17,MONTH(C227))&amp;IF(WEEKDAY(C227,Inputs!$C$76)&lt;=Inputs!$C$74," weekday"," weekend"),Utility_Rates!$C$28:$F$28,Inputs!$C$68)),"")</f>
      </c>
      <c r="H227" s="34"/>
      <c r="I227" s="42">
        <f>IF(AND(ISNUMBER(D227),ISNUMBER(H227)),D227*H227*Inputs!$C$69,"")</f>
      </c>
      <c r="J227" s="42">
        <f>IF(AND(ISNUMBER(F227),ISNUMBER(H227),F227&gt;=Inputs!$C$68),F227*H227*Inputs!$C$69,"")</f>
      </c>
    </row>
    <row r="228" spans="2:10" ht="15" customHeight="1" x14ac:dyDescent="0.2">
      <c r="B228" s="39">
        <f t="shared" si="0"/>
      </c>
      <c r="C228" s="40">
        <f>IF(Inputs!$C$60,Inputs!$C$11+(B228-Inputs!$C$69)/Inputs!$C$70,"")</f>
      </c>
      <c r="D228" s="15"/>
      <c r="E228" s="15"/>
      <c r="F228" s="11">
        <f t="shared" si="1"/>
      </c>
      <c r="G228" s="22" cm="1">
        <f t="array" ref="G228">IF(AND(Inputs!$C$60,Inputs!$C$61),INDEX(Utility_Rates!$C$29:$F$52,HOUR(C228)+Inputs!$C$69,MATCH(INDEX(Utility_Rates!$K$6:$K$17,MONTH(C228))&amp;IF(WEEKDAY(C228,Inputs!$C$76)&lt;=Inputs!$C$74," weekday"," weekend"),Utility_Rates!$C$28:$F$28,Inputs!$C$68)),"")</f>
      </c>
      <c r="H228" s="34"/>
      <c r="I228" s="42">
        <f>IF(AND(ISNUMBER(D228),ISNUMBER(H228)),D228*H228*Inputs!$C$69,"")</f>
      </c>
      <c r="J228" s="42">
        <f>IF(AND(ISNUMBER(F228),ISNUMBER(H228),F228&gt;=Inputs!$C$68),F228*H228*Inputs!$C$69,"")</f>
      </c>
    </row>
    <row r="229" spans="2:10" ht="15" customHeight="1" x14ac:dyDescent="0.2">
      <c r="B229" s="39">
        <f t="shared" si="0"/>
      </c>
      <c r="C229" s="40">
        <f>IF(Inputs!$C$60,Inputs!$C$11+(B229-Inputs!$C$69)/Inputs!$C$70,"")</f>
      </c>
      <c r="D229" s="15"/>
      <c r="E229" s="15"/>
      <c r="F229" s="11">
        <f t="shared" si="1"/>
      </c>
      <c r="G229" s="22" cm="1">
        <f t="array" ref="G229">IF(AND(Inputs!$C$60,Inputs!$C$61),INDEX(Utility_Rates!$C$29:$F$52,HOUR(C229)+Inputs!$C$69,MATCH(INDEX(Utility_Rates!$K$6:$K$17,MONTH(C229))&amp;IF(WEEKDAY(C229,Inputs!$C$76)&lt;=Inputs!$C$74," weekday"," weekend"),Utility_Rates!$C$28:$F$28,Inputs!$C$68)),"")</f>
      </c>
      <c r="H229" s="34"/>
      <c r="I229" s="42">
        <f>IF(AND(ISNUMBER(D229),ISNUMBER(H229)),D229*H229*Inputs!$C$69,"")</f>
      </c>
      <c r="J229" s="42">
        <f>IF(AND(ISNUMBER(F229),ISNUMBER(H229),F229&gt;=Inputs!$C$68),F229*H229*Inputs!$C$69,"")</f>
      </c>
    </row>
    <row r="230" spans="2:10" ht="15" customHeight="1" x14ac:dyDescent="0.2">
      <c r="B230" s="39">
        <f t="shared" si="0"/>
      </c>
      <c r="C230" s="40">
        <f>IF(Inputs!$C$60,Inputs!$C$11+(B230-Inputs!$C$69)/Inputs!$C$70,"")</f>
      </c>
      <c r="D230" s="15"/>
      <c r="E230" s="15"/>
      <c r="F230" s="11">
        <f t="shared" si="1"/>
      </c>
      <c r="G230" s="22" cm="1">
        <f t="array" ref="G230">IF(AND(Inputs!$C$60,Inputs!$C$61),INDEX(Utility_Rates!$C$29:$F$52,HOUR(C230)+Inputs!$C$69,MATCH(INDEX(Utility_Rates!$K$6:$K$17,MONTH(C230))&amp;IF(WEEKDAY(C230,Inputs!$C$76)&lt;=Inputs!$C$74," weekday"," weekend"),Utility_Rates!$C$28:$F$28,Inputs!$C$68)),"")</f>
      </c>
      <c r="H230" s="34"/>
      <c r="I230" s="42">
        <f>IF(AND(ISNUMBER(D230),ISNUMBER(H230)),D230*H230*Inputs!$C$69,"")</f>
      </c>
      <c r="J230" s="42">
        <f>IF(AND(ISNUMBER(F230),ISNUMBER(H230),F230&gt;=Inputs!$C$68),F230*H230*Inputs!$C$69,"")</f>
      </c>
    </row>
    <row r="231" spans="2:10" ht="15" customHeight="1" x14ac:dyDescent="0.2">
      <c r="B231" s="39">
        <f t="shared" si="0"/>
      </c>
      <c r="C231" s="40">
        <f>IF(Inputs!$C$60,Inputs!$C$11+(B231-Inputs!$C$69)/Inputs!$C$70,"")</f>
      </c>
      <c r="D231" s="15"/>
      <c r="E231" s="15"/>
      <c r="F231" s="11">
        <f t="shared" si="1"/>
      </c>
      <c r="G231" s="22" cm="1">
        <f t="array" ref="G231">IF(AND(Inputs!$C$60,Inputs!$C$61),INDEX(Utility_Rates!$C$29:$F$52,HOUR(C231)+Inputs!$C$69,MATCH(INDEX(Utility_Rates!$K$6:$K$17,MONTH(C231))&amp;IF(WEEKDAY(C231,Inputs!$C$76)&lt;=Inputs!$C$74," weekday"," weekend"),Utility_Rates!$C$28:$F$28,Inputs!$C$68)),"")</f>
      </c>
      <c r="H231" s="34"/>
      <c r="I231" s="42">
        <f>IF(AND(ISNUMBER(D231),ISNUMBER(H231)),D231*H231*Inputs!$C$69,"")</f>
      </c>
      <c r="J231" s="42">
        <f>IF(AND(ISNUMBER(F231),ISNUMBER(H231),F231&gt;=Inputs!$C$68),F231*H231*Inputs!$C$69,"")</f>
      </c>
    </row>
    <row r="232" spans="2:10" ht="15" customHeight="1" x14ac:dyDescent="0.2">
      <c r="B232" s="39">
        <f t="shared" si="0"/>
      </c>
      <c r="C232" s="40">
        <f>IF(Inputs!$C$60,Inputs!$C$11+(B232-Inputs!$C$69)/Inputs!$C$70,"")</f>
      </c>
      <c r="D232" s="15"/>
      <c r="E232" s="15"/>
      <c r="F232" s="11">
        <f t="shared" si="1"/>
      </c>
      <c r="G232" s="22" cm="1">
        <f t="array" ref="G232">IF(AND(Inputs!$C$60,Inputs!$C$61),INDEX(Utility_Rates!$C$29:$F$52,HOUR(C232)+Inputs!$C$69,MATCH(INDEX(Utility_Rates!$K$6:$K$17,MONTH(C232))&amp;IF(WEEKDAY(C232,Inputs!$C$76)&lt;=Inputs!$C$74," weekday"," weekend"),Utility_Rates!$C$28:$F$28,Inputs!$C$68)),"")</f>
      </c>
      <c r="H232" s="34"/>
      <c r="I232" s="42">
        <f>IF(AND(ISNUMBER(D232),ISNUMBER(H232)),D232*H232*Inputs!$C$69,"")</f>
      </c>
      <c r="J232" s="42">
        <f>IF(AND(ISNUMBER(F232),ISNUMBER(H232),F232&gt;=Inputs!$C$68),F232*H232*Inputs!$C$69,"")</f>
      </c>
    </row>
    <row r="233" spans="2:10" ht="15" customHeight="1" x14ac:dyDescent="0.2">
      <c r="B233" s="39">
        <f t="shared" si="0"/>
      </c>
      <c r="C233" s="40">
        <f>IF(Inputs!$C$60,Inputs!$C$11+(B233-Inputs!$C$69)/Inputs!$C$70,"")</f>
      </c>
      <c r="D233" s="15"/>
      <c r="E233" s="15"/>
      <c r="F233" s="11">
        <f t="shared" si="1"/>
      </c>
      <c r="G233" s="22" cm="1">
        <f t="array" ref="G233">IF(AND(Inputs!$C$60,Inputs!$C$61),INDEX(Utility_Rates!$C$29:$F$52,HOUR(C233)+Inputs!$C$69,MATCH(INDEX(Utility_Rates!$K$6:$K$17,MONTH(C233))&amp;IF(WEEKDAY(C233,Inputs!$C$76)&lt;=Inputs!$C$74," weekday"," weekend"),Utility_Rates!$C$28:$F$28,Inputs!$C$68)),"")</f>
      </c>
      <c r="H233" s="34"/>
      <c r="I233" s="42">
        <f>IF(AND(ISNUMBER(D233),ISNUMBER(H233)),D233*H233*Inputs!$C$69,"")</f>
      </c>
      <c r="J233" s="42">
        <f>IF(AND(ISNUMBER(F233),ISNUMBER(H233),F233&gt;=Inputs!$C$68),F233*H233*Inputs!$C$69,"")</f>
      </c>
    </row>
    <row r="234" spans="2:10" ht="15" customHeight="1" x14ac:dyDescent="0.2">
      <c r="B234" s="39">
        <f t="shared" si="0"/>
      </c>
      <c r="C234" s="40">
        <f>IF(Inputs!$C$60,Inputs!$C$11+(B234-Inputs!$C$69)/Inputs!$C$70,"")</f>
      </c>
      <c r="D234" s="15"/>
      <c r="E234" s="15"/>
      <c r="F234" s="11">
        <f t="shared" si="1"/>
      </c>
      <c r="G234" s="22" cm="1">
        <f t="array" ref="G234">IF(AND(Inputs!$C$60,Inputs!$C$61),INDEX(Utility_Rates!$C$29:$F$52,HOUR(C234)+Inputs!$C$69,MATCH(INDEX(Utility_Rates!$K$6:$K$17,MONTH(C234))&amp;IF(WEEKDAY(C234,Inputs!$C$76)&lt;=Inputs!$C$74," weekday"," weekend"),Utility_Rates!$C$28:$F$28,Inputs!$C$68)),"")</f>
      </c>
      <c r="H234" s="34"/>
      <c r="I234" s="42">
        <f>IF(AND(ISNUMBER(D234),ISNUMBER(H234)),D234*H234*Inputs!$C$69,"")</f>
      </c>
      <c r="J234" s="42">
        <f>IF(AND(ISNUMBER(F234),ISNUMBER(H234),F234&gt;=Inputs!$C$68),F234*H234*Inputs!$C$69,"")</f>
      </c>
    </row>
    <row r="235" spans="2:10" ht="15" customHeight="1" x14ac:dyDescent="0.2">
      <c r="B235" s="39">
        <f t="shared" si="0"/>
      </c>
      <c r="C235" s="40">
        <f>IF(Inputs!$C$60,Inputs!$C$11+(B235-Inputs!$C$69)/Inputs!$C$70,"")</f>
      </c>
      <c r="D235" s="15"/>
      <c r="E235" s="15"/>
      <c r="F235" s="11">
        <f t="shared" si="1"/>
      </c>
      <c r="G235" s="22" cm="1">
        <f t="array" ref="G235">IF(AND(Inputs!$C$60,Inputs!$C$61),INDEX(Utility_Rates!$C$29:$F$52,HOUR(C235)+Inputs!$C$69,MATCH(INDEX(Utility_Rates!$K$6:$K$17,MONTH(C235))&amp;IF(WEEKDAY(C235,Inputs!$C$76)&lt;=Inputs!$C$74," weekday"," weekend"),Utility_Rates!$C$28:$F$28,Inputs!$C$68)),"")</f>
      </c>
      <c r="H235" s="34"/>
      <c r="I235" s="42">
        <f>IF(AND(ISNUMBER(D235),ISNUMBER(H235)),D235*H235*Inputs!$C$69,"")</f>
      </c>
      <c r="J235" s="42">
        <f>IF(AND(ISNUMBER(F235),ISNUMBER(H235),F235&gt;=Inputs!$C$68),F235*H235*Inputs!$C$69,"")</f>
      </c>
    </row>
    <row r="236" spans="2:10" ht="15" customHeight="1" x14ac:dyDescent="0.2">
      <c r="B236" s="39">
        <f t="shared" si="0"/>
      </c>
      <c r="C236" s="40">
        <f>IF(Inputs!$C$60,Inputs!$C$11+(B236-Inputs!$C$69)/Inputs!$C$70,"")</f>
      </c>
      <c r="D236" s="15"/>
      <c r="E236" s="15"/>
      <c r="F236" s="11">
        <f t="shared" si="1"/>
      </c>
      <c r="G236" s="22" cm="1">
        <f t="array" ref="G236">IF(AND(Inputs!$C$60,Inputs!$C$61),INDEX(Utility_Rates!$C$29:$F$52,HOUR(C236)+Inputs!$C$69,MATCH(INDEX(Utility_Rates!$K$6:$K$17,MONTH(C236))&amp;IF(WEEKDAY(C236,Inputs!$C$76)&lt;=Inputs!$C$74," weekday"," weekend"),Utility_Rates!$C$28:$F$28,Inputs!$C$68)),"")</f>
      </c>
      <c r="H236" s="34"/>
      <c r="I236" s="42">
        <f>IF(AND(ISNUMBER(D236),ISNUMBER(H236)),D236*H236*Inputs!$C$69,"")</f>
      </c>
      <c r="J236" s="42">
        <f>IF(AND(ISNUMBER(F236),ISNUMBER(H236),F236&gt;=Inputs!$C$68),F236*H236*Inputs!$C$69,"")</f>
      </c>
    </row>
    <row r="237" spans="2:10" ht="15" customHeight="1" x14ac:dyDescent="0.2">
      <c r="B237" s="39">
        <f t="shared" si="0"/>
      </c>
      <c r="C237" s="40">
        <f>IF(Inputs!$C$60,Inputs!$C$11+(B237-Inputs!$C$69)/Inputs!$C$70,"")</f>
      </c>
      <c r="D237" s="15"/>
      <c r="E237" s="15"/>
      <c r="F237" s="11">
        <f t="shared" si="1"/>
      </c>
      <c r="G237" s="22" cm="1">
        <f t="array" ref="G237">IF(AND(Inputs!$C$60,Inputs!$C$61),INDEX(Utility_Rates!$C$29:$F$52,HOUR(C237)+Inputs!$C$69,MATCH(INDEX(Utility_Rates!$K$6:$K$17,MONTH(C237))&amp;IF(WEEKDAY(C237,Inputs!$C$76)&lt;=Inputs!$C$74," weekday"," weekend"),Utility_Rates!$C$28:$F$28,Inputs!$C$68)),"")</f>
      </c>
      <c r="H237" s="34"/>
      <c r="I237" s="42">
        <f>IF(AND(ISNUMBER(D237),ISNUMBER(H237)),D237*H237*Inputs!$C$69,"")</f>
      </c>
      <c r="J237" s="42">
        <f>IF(AND(ISNUMBER(F237),ISNUMBER(H237),F237&gt;=Inputs!$C$68),F237*H237*Inputs!$C$69,"")</f>
      </c>
    </row>
    <row r="238" spans="2:10" ht="15" customHeight="1" x14ac:dyDescent="0.2">
      <c r="B238" s="39">
        <f t="shared" si="0"/>
      </c>
      <c r="C238" s="40">
        <f>IF(Inputs!$C$60,Inputs!$C$11+(B238-Inputs!$C$69)/Inputs!$C$70,"")</f>
      </c>
      <c r="D238" s="15"/>
      <c r="E238" s="15"/>
      <c r="F238" s="11">
        <f t="shared" si="1"/>
      </c>
      <c r="G238" s="22" cm="1">
        <f t="array" ref="G238">IF(AND(Inputs!$C$60,Inputs!$C$61),INDEX(Utility_Rates!$C$29:$F$52,HOUR(C238)+Inputs!$C$69,MATCH(INDEX(Utility_Rates!$K$6:$K$17,MONTH(C238))&amp;IF(WEEKDAY(C238,Inputs!$C$76)&lt;=Inputs!$C$74," weekday"," weekend"),Utility_Rates!$C$28:$F$28,Inputs!$C$68)),"")</f>
      </c>
      <c r="H238" s="34"/>
      <c r="I238" s="42">
        <f>IF(AND(ISNUMBER(D238),ISNUMBER(H238)),D238*H238*Inputs!$C$69,"")</f>
      </c>
      <c r="J238" s="42">
        <f>IF(AND(ISNUMBER(F238),ISNUMBER(H238),F238&gt;=Inputs!$C$68),F238*H238*Inputs!$C$69,"")</f>
      </c>
    </row>
    <row r="239" spans="2:10" ht="15" customHeight="1" x14ac:dyDescent="0.2">
      <c r="B239" s="39">
        <f t="shared" si="0"/>
      </c>
      <c r="C239" s="40">
        <f>IF(Inputs!$C$60,Inputs!$C$11+(B239-Inputs!$C$69)/Inputs!$C$70,"")</f>
      </c>
      <c r="D239" s="15"/>
      <c r="E239" s="15"/>
      <c r="F239" s="11">
        <f t="shared" si="1"/>
      </c>
      <c r="G239" s="22" cm="1">
        <f t="array" ref="G239">IF(AND(Inputs!$C$60,Inputs!$C$61),INDEX(Utility_Rates!$C$29:$F$52,HOUR(C239)+Inputs!$C$69,MATCH(INDEX(Utility_Rates!$K$6:$K$17,MONTH(C239))&amp;IF(WEEKDAY(C239,Inputs!$C$76)&lt;=Inputs!$C$74," weekday"," weekend"),Utility_Rates!$C$28:$F$28,Inputs!$C$68)),"")</f>
      </c>
      <c r="H239" s="34"/>
      <c r="I239" s="42">
        <f>IF(AND(ISNUMBER(D239),ISNUMBER(H239)),D239*H239*Inputs!$C$69,"")</f>
      </c>
      <c r="J239" s="42">
        <f>IF(AND(ISNUMBER(F239),ISNUMBER(H239),F239&gt;=Inputs!$C$68),F239*H239*Inputs!$C$69,"")</f>
      </c>
    </row>
    <row r="240" spans="2:10" ht="15" customHeight="1" x14ac:dyDescent="0.2">
      <c r="B240" s="39">
        <f t="shared" si="0"/>
      </c>
      <c r="C240" s="40">
        <f>IF(Inputs!$C$60,Inputs!$C$11+(B240-Inputs!$C$69)/Inputs!$C$70,"")</f>
      </c>
      <c r="D240" s="15"/>
      <c r="E240" s="15"/>
      <c r="F240" s="11">
        <f t="shared" si="1"/>
      </c>
      <c r="G240" s="22" cm="1">
        <f t="array" ref="G240">IF(AND(Inputs!$C$60,Inputs!$C$61),INDEX(Utility_Rates!$C$29:$F$52,HOUR(C240)+Inputs!$C$69,MATCH(INDEX(Utility_Rates!$K$6:$K$17,MONTH(C240))&amp;IF(WEEKDAY(C240,Inputs!$C$76)&lt;=Inputs!$C$74," weekday"," weekend"),Utility_Rates!$C$28:$F$28,Inputs!$C$68)),"")</f>
      </c>
      <c r="H240" s="34"/>
      <c r="I240" s="42">
        <f>IF(AND(ISNUMBER(D240),ISNUMBER(H240)),D240*H240*Inputs!$C$69,"")</f>
      </c>
      <c r="J240" s="42">
        <f>IF(AND(ISNUMBER(F240),ISNUMBER(H240),F240&gt;=Inputs!$C$68),F240*H240*Inputs!$C$69,"")</f>
      </c>
    </row>
    <row r="241" spans="2:10" ht="15" customHeight="1" x14ac:dyDescent="0.2">
      <c r="B241" s="39">
        <f t="shared" si="0"/>
      </c>
      <c r="C241" s="40">
        <f>IF(Inputs!$C$60,Inputs!$C$11+(B241-Inputs!$C$69)/Inputs!$C$70,"")</f>
      </c>
      <c r="D241" s="15"/>
      <c r="E241" s="15"/>
      <c r="F241" s="11">
        <f t="shared" si="1"/>
      </c>
      <c r="G241" s="22" cm="1">
        <f t="array" ref="G241">IF(AND(Inputs!$C$60,Inputs!$C$61),INDEX(Utility_Rates!$C$29:$F$52,HOUR(C241)+Inputs!$C$69,MATCH(INDEX(Utility_Rates!$K$6:$K$17,MONTH(C241))&amp;IF(WEEKDAY(C241,Inputs!$C$76)&lt;=Inputs!$C$74," weekday"," weekend"),Utility_Rates!$C$28:$F$28,Inputs!$C$68)),"")</f>
      </c>
      <c r="H241" s="34"/>
      <c r="I241" s="42">
        <f>IF(AND(ISNUMBER(D241),ISNUMBER(H241)),D241*H241*Inputs!$C$69,"")</f>
      </c>
      <c r="J241" s="42">
        <f>IF(AND(ISNUMBER(F241),ISNUMBER(H241),F241&gt;=Inputs!$C$68),F241*H241*Inputs!$C$69,"")</f>
      </c>
    </row>
    <row r="242" spans="2:10" ht="15" customHeight="1" x14ac:dyDescent="0.2">
      <c r="B242" s="39">
        <f t="shared" si="0"/>
      </c>
      <c r="C242" s="40">
        <f>IF(Inputs!$C$60,Inputs!$C$11+(B242-Inputs!$C$69)/Inputs!$C$70,"")</f>
      </c>
      <c r="D242" s="15"/>
      <c r="E242" s="15"/>
      <c r="F242" s="11">
        <f t="shared" si="1"/>
      </c>
      <c r="G242" s="22" cm="1">
        <f t="array" ref="G242">IF(AND(Inputs!$C$60,Inputs!$C$61),INDEX(Utility_Rates!$C$29:$F$52,HOUR(C242)+Inputs!$C$69,MATCH(INDEX(Utility_Rates!$K$6:$K$17,MONTH(C242))&amp;IF(WEEKDAY(C242,Inputs!$C$76)&lt;=Inputs!$C$74," weekday"," weekend"),Utility_Rates!$C$28:$F$28,Inputs!$C$68)),"")</f>
      </c>
      <c r="H242" s="34"/>
      <c r="I242" s="42">
        <f>IF(AND(ISNUMBER(D242),ISNUMBER(H242)),D242*H242*Inputs!$C$69,"")</f>
      </c>
      <c r="J242" s="42">
        <f>IF(AND(ISNUMBER(F242),ISNUMBER(H242),F242&gt;=Inputs!$C$68),F242*H242*Inputs!$C$69,"")</f>
      </c>
    </row>
    <row r="243" spans="2:10" ht="15" customHeight="1" x14ac:dyDescent="0.2">
      <c r="B243" s="39">
        <f t="shared" si="0"/>
      </c>
      <c r="C243" s="40">
        <f>IF(Inputs!$C$60,Inputs!$C$11+(B243-Inputs!$C$69)/Inputs!$C$70,"")</f>
      </c>
      <c r="D243" s="15"/>
      <c r="E243" s="15"/>
      <c r="F243" s="11">
        <f t="shared" si="1"/>
      </c>
      <c r="G243" s="22" cm="1">
        <f t="array" ref="G243">IF(AND(Inputs!$C$60,Inputs!$C$61),INDEX(Utility_Rates!$C$29:$F$52,HOUR(C243)+Inputs!$C$69,MATCH(INDEX(Utility_Rates!$K$6:$K$17,MONTH(C243))&amp;IF(WEEKDAY(C243,Inputs!$C$76)&lt;=Inputs!$C$74," weekday"," weekend"),Utility_Rates!$C$28:$F$28,Inputs!$C$68)),"")</f>
      </c>
      <c r="H243" s="34"/>
      <c r="I243" s="42">
        <f>IF(AND(ISNUMBER(D243),ISNUMBER(H243)),D243*H243*Inputs!$C$69,"")</f>
      </c>
      <c r="J243" s="42">
        <f>IF(AND(ISNUMBER(F243),ISNUMBER(H243),F243&gt;=Inputs!$C$68),F243*H243*Inputs!$C$69,"")</f>
      </c>
    </row>
    <row r="244" spans="2:10" ht="15" customHeight="1" x14ac:dyDescent="0.2">
      <c r="B244" s="39">
        <f t="shared" si="0"/>
      </c>
      <c r="C244" s="40">
        <f>IF(Inputs!$C$60,Inputs!$C$11+(B244-Inputs!$C$69)/Inputs!$C$70,"")</f>
      </c>
      <c r="D244" s="15"/>
      <c r="E244" s="15"/>
      <c r="F244" s="11">
        <f t="shared" si="1"/>
      </c>
      <c r="G244" s="22" cm="1">
        <f t="array" ref="G244">IF(AND(Inputs!$C$60,Inputs!$C$61),INDEX(Utility_Rates!$C$29:$F$52,HOUR(C244)+Inputs!$C$69,MATCH(INDEX(Utility_Rates!$K$6:$K$17,MONTH(C244))&amp;IF(WEEKDAY(C244,Inputs!$C$76)&lt;=Inputs!$C$74," weekday"," weekend"),Utility_Rates!$C$28:$F$28,Inputs!$C$68)),"")</f>
      </c>
      <c r="H244" s="34"/>
      <c r="I244" s="42">
        <f>IF(AND(ISNUMBER(D244),ISNUMBER(H244)),D244*H244*Inputs!$C$69,"")</f>
      </c>
      <c r="J244" s="42">
        <f>IF(AND(ISNUMBER(F244),ISNUMBER(H244),F244&gt;=Inputs!$C$68),F244*H244*Inputs!$C$69,"")</f>
      </c>
    </row>
    <row r="245" spans="2:10" ht="15" customHeight="1" x14ac:dyDescent="0.2">
      <c r="B245" s="39">
        <f t="shared" si="0"/>
      </c>
      <c r="C245" s="40">
        <f>IF(Inputs!$C$60,Inputs!$C$11+(B245-Inputs!$C$69)/Inputs!$C$70,"")</f>
      </c>
      <c r="D245" s="15"/>
      <c r="E245" s="15"/>
      <c r="F245" s="11">
        <f t="shared" si="1"/>
      </c>
      <c r="G245" s="22" cm="1">
        <f t="array" ref="G245">IF(AND(Inputs!$C$60,Inputs!$C$61),INDEX(Utility_Rates!$C$29:$F$52,HOUR(C245)+Inputs!$C$69,MATCH(INDEX(Utility_Rates!$K$6:$K$17,MONTH(C245))&amp;IF(WEEKDAY(C245,Inputs!$C$76)&lt;=Inputs!$C$74," weekday"," weekend"),Utility_Rates!$C$28:$F$28,Inputs!$C$68)),"")</f>
      </c>
      <c r="H245" s="34"/>
      <c r="I245" s="42">
        <f>IF(AND(ISNUMBER(D245),ISNUMBER(H245)),D245*H245*Inputs!$C$69,"")</f>
      </c>
      <c r="J245" s="42">
        <f>IF(AND(ISNUMBER(F245),ISNUMBER(H245),F245&gt;=Inputs!$C$68),F245*H245*Inputs!$C$69,"")</f>
      </c>
    </row>
    <row r="246" spans="2:10" ht="15" customHeight="1" x14ac:dyDescent="0.2">
      <c r="B246" s="39">
        <f t="shared" si="0"/>
      </c>
      <c r="C246" s="40">
        <f>IF(Inputs!$C$60,Inputs!$C$11+(B246-Inputs!$C$69)/Inputs!$C$70,"")</f>
      </c>
      <c r="D246" s="15"/>
      <c r="E246" s="15"/>
      <c r="F246" s="11">
        <f t="shared" si="1"/>
      </c>
      <c r="G246" s="22" cm="1">
        <f t="array" ref="G246">IF(AND(Inputs!$C$60,Inputs!$C$61),INDEX(Utility_Rates!$C$29:$F$52,HOUR(C246)+Inputs!$C$69,MATCH(INDEX(Utility_Rates!$K$6:$K$17,MONTH(C246))&amp;IF(WEEKDAY(C246,Inputs!$C$76)&lt;=Inputs!$C$74," weekday"," weekend"),Utility_Rates!$C$28:$F$28,Inputs!$C$68)),"")</f>
      </c>
      <c r="H246" s="34"/>
      <c r="I246" s="42">
        <f>IF(AND(ISNUMBER(D246),ISNUMBER(H246)),D246*H246*Inputs!$C$69,"")</f>
      </c>
      <c r="J246" s="42">
        <f>IF(AND(ISNUMBER(F246),ISNUMBER(H246),F246&gt;=Inputs!$C$68),F246*H246*Inputs!$C$69,"")</f>
      </c>
    </row>
    <row r="247" spans="2:10" ht="15" customHeight="1" x14ac:dyDescent="0.2">
      <c r="B247" s="39">
        <f t="shared" si="0"/>
      </c>
      <c r="C247" s="40">
        <f>IF(Inputs!$C$60,Inputs!$C$11+(B247-Inputs!$C$69)/Inputs!$C$70,"")</f>
      </c>
      <c r="D247" s="15"/>
      <c r="E247" s="15"/>
      <c r="F247" s="11">
        <f t="shared" si="1"/>
      </c>
      <c r="G247" s="22" cm="1">
        <f t="array" ref="G247">IF(AND(Inputs!$C$60,Inputs!$C$61),INDEX(Utility_Rates!$C$29:$F$52,HOUR(C247)+Inputs!$C$69,MATCH(INDEX(Utility_Rates!$K$6:$K$17,MONTH(C247))&amp;IF(WEEKDAY(C247,Inputs!$C$76)&lt;=Inputs!$C$74," weekday"," weekend"),Utility_Rates!$C$28:$F$28,Inputs!$C$68)),"")</f>
      </c>
      <c r="H247" s="34"/>
      <c r="I247" s="42">
        <f>IF(AND(ISNUMBER(D247),ISNUMBER(H247)),D247*H247*Inputs!$C$69,"")</f>
      </c>
      <c r="J247" s="42">
        <f>IF(AND(ISNUMBER(F247),ISNUMBER(H247),F247&gt;=Inputs!$C$68),F247*H247*Inputs!$C$69,"")</f>
      </c>
    </row>
    <row r="248" spans="2:10" ht="15" customHeight="1" x14ac:dyDescent="0.2">
      <c r="B248" s="39">
        <f t="shared" si="0"/>
      </c>
      <c r="C248" s="40">
        <f>IF(Inputs!$C$60,Inputs!$C$11+(B248-Inputs!$C$69)/Inputs!$C$70,"")</f>
      </c>
      <c r="D248" s="15"/>
      <c r="E248" s="15"/>
      <c r="F248" s="11">
        <f t="shared" si="1"/>
      </c>
      <c r="G248" s="22" cm="1">
        <f t="array" ref="G248">IF(AND(Inputs!$C$60,Inputs!$C$61),INDEX(Utility_Rates!$C$29:$F$52,HOUR(C248)+Inputs!$C$69,MATCH(INDEX(Utility_Rates!$K$6:$K$17,MONTH(C248))&amp;IF(WEEKDAY(C248,Inputs!$C$76)&lt;=Inputs!$C$74," weekday"," weekend"),Utility_Rates!$C$28:$F$28,Inputs!$C$68)),"")</f>
      </c>
      <c r="H248" s="34"/>
      <c r="I248" s="42">
        <f>IF(AND(ISNUMBER(D248),ISNUMBER(H248)),D248*H248*Inputs!$C$69,"")</f>
      </c>
      <c r="J248" s="42">
        <f>IF(AND(ISNUMBER(F248),ISNUMBER(H248),F248&gt;=Inputs!$C$68),F248*H248*Inputs!$C$69,"")</f>
      </c>
    </row>
    <row r="249" spans="2:10" ht="15" customHeight="1" x14ac:dyDescent="0.2">
      <c r="B249" s="39">
        <f t="shared" si="0"/>
      </c>
      <c r="C249" s="40">
        <f>IF(Inputs!$C$60,Inputs!$C$11+(B249-Inputs!$C$69)/Inputs!$C$70,"")</f>
      </c>
      <c r="D249" s="15"/>
      <c r="E249" s="15"/>
      <c r="F249" s="11">
        <f t="shared" si="1"/>
      </c>
      <c r="G249" s="22" cm="1">
        <f t="array" ref="G249">IF(AND(Inputs!$C$60,Inputs!$C$61),INDEX(Utility_Rates!$C$29:$F$52,HOUR(C249)+Inputs!$C$69,MATCH(INDEX(Utility_Rates!$K$6:$K$17,MONTH(C249))&amp;IF(WEEKDAY(C249,Inputs!$C$76)&lt;=Inputs!$C$74," weekday"," weekend"),Utility_Rates!$C$28:$F$28,Inputs!$C$68)),"")</f>
      </c>
      <c r="H249" s="34"/>
      <c r="I249" s="42">
        <f>IF(AND(ISNUMBER(D249),ISNUMBER(H249)),D249*H249*Inputs!$C$69,"")</f>
      </c>
      <c r="J249" s="42">
        <f>IF(AND(ISNUMBER(F249),ISNUMBER(H249),F249&gt;=Inputs!$C$68),F249*H249*Inputs!$C$69,"")</f>
      </c>
    </row>
    <row r="250" spans="2:10" ht="15" customHeight="1" x14ac:dyDescent="0.2">
      <c r="B250" s="39">
        <f t="shared" si="0"/>
      </c>
      <c r="C250" s="40">
        <f>IF(Inputs!$C$60,Inputs!$C$11+(B250-Inputs!$C$69)/Inputs!$C$70,"")</f>
      </c>
      <c r="D250" s="15"/>
      <c r="E250" s="15"/>
      <c r="F250" s="11">
        <f t="shared" si="1"/>
      </c>
      <c r="G250" s="22" cm="1">
        <f t="array" ref="G250">IF(AND(Inputs!$C$60,Inputs!$C$61),INDEX(Utility_Rates!$C$29:$F$52,HOUR(C250)+Inputs!$C$69,MATCH(INDEX(Utility_Rates!$K$6:$K$17,MONTH(C250))&amp;IF(WEEKDAY(C250,Inputs!$C$76)&lt;=Inputs!$C$74," weekday"," weekend"),Utility_Rates!$C$28:$F$28,Inputs!$C$68)),"")</f>
      </c>
      <c r="H250" s="34"/>
      <c r="I250" s="42">
        <f>IF(AND(ISNUMBER(D250),ISNUMBER(H250)),D250*H250*Inputs!$C$69,"")</f>
      </c>
      <c r="J250" s="42">
        <f>IF(AND(ISNUMBER(F250),ISNUMBER(H250),F250&gt;=Inputs!$C$68),F250*H250*Inputs!$C$69,"")</f>
      </c>
    </row>
    <row r="251" spans="2:10" ht="15" customHeight="1" x14ac:dyDescent="0.2">
      <c r="B251" s="39">
        <f t="shared" si="0"/>
      </c>
      <c r="C251" s="40">
        <f>IF(Inputs!$C$60,Inputs!$C$11+(B251-Inputs!$C$69)/Inputs!$C$70,"")</f>
      </c>
      <c r="D251" s="15"/>
      <c r="E251" s="15"/>
      <c r="F251" s="11">
        <f t="shared" si="1"/>
      </c>
      <c r="G251" s="22" cm="1">
        <f t="array" ref="G251">IF(AND(Inputs!$C$60,Inputs!$C$61),INDEX(Utility_Rates!$C$29:$F$52,HOUR(C251)+Inputs!$C$69,MATCH(INDEX(Utility_Rates!$K$6:$K$17,MONTH(C251))&amp;IF(WEEKDAY(C251,Inputs!$C$76)&lt;=Inputs!$C$74," weekday"," weekend"),Utility_Rates!$C$28:$F$28,Inputs!$C$68)),"")</f>
      </c>
      <c r="H251" s="34"/>
      <c r="I251" s="42">
        <f>IF(AND(ISNUMBER(D251),ISNUMBER(H251)),D251*H251*Inputs!$C$69,"")</f>
      </c>
      <c r="J251" s="42">
        <f>IF(AND(ISNUMBER(F251),ISNUMBER(H251),F251&gt;=Inputs!$C$68),F251*H251*Inputs!$C$69,"")</f>
      </c>
    </row>
    <row r="252" spans="2:10" ht="15" customHeight="1" x14ac:dyDescent="0.2">
      <c r="B252" s="39">
        <f t="shared" si="0"/>
      </c>
      <c r="C252" s="40">
        <f>IF(Inputs!$C$60,Inputs!$C$11+(B252-Inputs!$C$69)/Inputs!$C$70,"")</f>
      </c>
      <c r="D252" s="15"/>
      <c r="E252" s="15"/>
      <c r="F252" s="11">
        <f t="shared" si="1"/>
      </c>
      <c r="G252" s="22" cm="1">
        <f t="array" ref="G252">IF(AND(Inputs!$C$60,Inputs!$C$61),INDEX(Utility_Rates!$C$29:$F$52,HOUR(C252)+Inputs!$C$69,MATCH(INDEX(Utility_Rates!$K$6:$K$17,MONTH(C252))&amp;IF(WEEKDAY(C252,Inputs!$C$76)&lt;=Inputs!$C$74," weekday"," weekend"),Utility_Rates!$C$28:$F$28,Inputs!$C$68)),"")</f>
      </c>
      <c r="H252" s="34"/>
      <c r="I252" s="42">
        <f>IF(AND(ISNUMBER(D252),ISNUMBER(H252)),D252*H252*Inputs!$C$69,"")</f>
      </c>
      <c r="J252" s="42">
        <f>IF(AND(ISNUMBER(F252),ISNUMBER(H252),F252&gt;=Inputs!$C$68),F252*H252*Inputs!$C$69,"")</f>
      </c>
    </row>
    <row r="253" spans="2:10" ht="15" customHeight="1" x14ac:dyDescent="0.2">
      <c r="B253" s="39">
        <f t="shared" si="0"/>
      </c>
      <c r="C253" s="40">
        <f>IF(Inputs!$C$60,Inputs!$C$11+(B253-Inputs!$C$69)/Inputs!$C$70,"")</f>
      </c>
      <c r="D253" s="15"/>
      <c r="E253" s="15"/>
      <c r="F253" s="11">
        <f t="shared" si="1"/>
      </c>
      <c r="G253" s="22" cm="1">
        <f t="array" ref="G253">IF(AND(Inputs!$C$60,Inputs!$C$61),INDEX(Utility_Rates!$C$29:$F$52,HOUR(C253)+Inputs!$C$69,MATCH(INDEX(Utility_Rates!$K$6:$K$17,MONTH(C253))&amp;IF(WEEKDAY(C253,Inputs!$C$76)&lt;=Inputs!$C$74," weekday"," weekend"),Utility_Rates!$C$28:$F$28,Inputs!$C$68)),"")</f>
      </c>
      <c r="H253" s="34"/>
      <c r="I253" s="42">
        <f>IF(AND(ISNUMBER(D253),ISNUMBER(H253)),D253*H253*Inputs!$C$69,"")</f>
      </c>
      <c r="J253" s="42">
        <f>IF(AND(ISNUMBER(F253),ISNUMBER(H253),F253&gt;=Inputs!$C$68),F253*H253*Inputs!$C$69,"")</f>
      </c>
    </row>
    <row r="254" spans="2:10" ht="15" customHeight="1" x14ac:dyDescent="0.2">
      <c r="B254" s="39">
        <f t="shared" si="0"/>
      </c>
      <c r="C254" s="40">
        <f>IF(Inputs!$C$60,Inputs!$C$11+(B254-Inputs!$C$69)/Inputs!$C$70,"")</f>
      </c>
      <c r="D254" s="15"/>
      <c r="E254" s="15"/>
      <c r="F254" s="11">
        <f t="shared" si="1"/>
      </c>
      <c r="G254" s="22" cm="1">
        <f t="array" ref="G254">IF(AND(Inputs!$C$60,Inputs!$C$61),INDEX(Utility_Rates!$C$29:$F$52,HOUR(C254)+Inputs!$C$69,MATCH(INDEX(Utility_Rates!$K$6:$K$17,MONTH(C254))&amp;IF(WEEKDAY(C254,Inputs!$C$76)&lt;=Inputs!$C$74," weekday"," weekend"),Utility_Rates!$C$28:$F$28,Inputs!$C$68)),"")</f>
      </c>
      <c r="H254" s="34"/>
      <c r="I254" s="42">
        <f>IF(AND(ISNUMBER(D254),ISNUMBER(H254)),D254*H254*Inputs!$C$69,"")</f>
      </c>
      <c r="J254" s="42">
        <f>IF(AND(ISNUMBER(F254),ISNUMBER(H254),F254&gt;=Inputs!$C$68),F254*H254*Inputs!$C$69,"")</f>
      </c>
    </row>
    <row r="255" spans="2:10" ht="15" customHeight="1" x14ac:dyDescent="0.2">
      <c r="B255" s="39">
        <f t="shared" si="0"/>
      </c>
      <c r="C255" s="40">
        <f>IF(Inputs!$C$60,Inputs!$C$11+(B255-Inputs!$C$69)/Inputs!$C$70,"")</f>
      </c>
      <c r="D255" s="15"/>
      <c r="E255" s="15"/>
      <c r="F255" s="11">
        <f t="shared" si="1"/>
      </c>
      <c r="G255" s="22" cm="1">
        <f t="array" ref="G255">IF(AND(Inputs!$C$60,Inputs!$C$61),INDEX(Utility_Rates!$C$29:$F$52,HOUR(C255)+Inputs!$C$69,MATCH(INDEX(Utility_Rates!$K$6:$K$17,MONTH(C255))&amp;IF(WEEKDAY(C255,Inputs!$C$76)&lt;=Inputs!$C$74," weekday"," weekend"),Utility_Rates!$C$28:$F$28,Inputs!$C$68)),"")</f>
      </c>
      <c r="H255" s="34"/>
      <c r="I255" s="42">
        <f>IF(AND(ISNUMBER(D255),ISNUMBER(H255)),D255*H255*Inputs!$C$69,"")</f>
      </c>
      <c r="J255" s="42">
        <f>IF(AND(ISNUMBER(F255),ISNUMBER(H255),F255&gt;=Inputs!$C$68),F255*H255*Inputs!$C$69,"")</f>
      </c>
    </row>
    <row r="256" spans="2:10" ht="15" customHeight="1" x14ac:dyDescent="0.2">
      <c r="B256" s="39">
        <f t="shared" si="0"/>
      </c>
      <c r="C256" s="40">
        <f>IF(Inputs!$C$60,Inputs!$C$11+(B256-Inputs!$C$69)/Inputs!$C$70,"")</f>
      </c>
      <c r="D256" s="15"/>
      <c r="E256" s="15"/>
      <c r="F256" s="11">
        <f t="shared" si="1"/>
      </c>
      <c r="G256" s="22" cm="1">
        <f t="array" ref="G256">IF(AND(Inputs!$C$60,Inputs!$C$61),INDEX(Utility_Rates!$C$29:$F$52,HOUR(C256)+Inputs!$C$69,MATCH(INDEX(Utility_Rates!$K$6:$K$17,MONTH(C256))&amp;IF(WEEKDAY(C256,Inputs!$C$76)&lt;=Inputs!$C$74," weekday"," weekend"),Utility_Rates!$C$28:$F$28,Inputs!$C$68)),"")</f>
      </c>
      <c r="H256" s="34"/>
      <c r="I256" s="42">
        <f>IF(AND(ISNUMBER(D256),ISNUMBER(H256)),D256*H256*Inputs!$C$69,"")</f>
      </c>
      <c r="J256" s="42">
        <f>IF(AND(ISNUMBER(F256),ISNUMBER(H256),F256&gt;=Inputs!$C$68),F256*H256*Inputs!$C$69,"")</f>
      </c>
    </row>
    <row r="257" spans="2:10" ht="15" customHeight="1" x14ac:dyDescent="0.2">
      <c r="B257" s="39">
        <f t="shared" si="0"/>
      </c>
      <c r="C257" s="40">
        <f>IF(Inputs!$C$60,Inputs!$C$11+(B257-Inputs!$C$69)/Inputs!$C$70,"")</f>
      </c>
      <c r="D257" s="15"/>
      <c r="E257" s="15"/>
      <c r="F257" s="11">
        <f t="shared" si="1"/>
      </c>
      <c r="G257" s="22" cm="1">
        <f t="array" ref="G257">IF(AND(Inputs!$C$60,Inputs!$C$61),INDEX(Utility_Rates!$C$29:$F$52,HOUR(C257)+Inputs!$C$69,MATCH(INDEX(Utility_Rates!$K$6:$K$17,MONTH(C257))&amp;IF(WEEKDAY(C257,Inputs!$C$76)&lt;=Inputs!$C$74," weekday"," weekend"),Utility_Rates!$C$28:$F$28,Inputs!$C$68)),"")</f>
      </c>
      <c r="H257" s="34"/>
      <c r="I257" s="42">
        <f>IF(AND(ISNUMBER(D257),ISNUMBER(H257)),D257*H257*Inputs!$C$69,"")</f>
      </c>
      <c r="J257" s="42">
        <f>IF(AND(ISNUMBER(F257),ISNUMBER(H257),F257&gt;=Inputs!$C$68),F257*H257*Inputs!$C$69,"")</f>
      </c>
    </row>
    <row r="258" spans="2:10" ht="15" customHeight="1" x14ac:dyDescent="0.2">
      <c r="B258" s="39">
        <f t="shared" si="0"/>
      </c>
      <c r="C258" s="40">
        <f>IF(Inputs!$C$60,Inputs!$C$11+(B258-Inputs!$C$69)/Inputs!$C$70,"")</f>
      </c>
      <c r="D258" s="15"/>
      <c r="E258" s="15"/>
      <c r="F258" s="11">
        <f t="shared" si="1"/>
      </c>
      <c r="G258" s="22" cm="1">
        <f t="array" ref="G258">IF(AND(Inputs!$C$60,Inputs!$C$61),INDEX(Utility_Rates!$C$29:$F$52,HOUR(C258)+Inputs!$C$69,MATCH(INDEX(Utility_Rates!$K$6:$K$17,MONTH(C258))&amp;IF(WEEKDAY(C258,Inputs!$C$76)&lt;=Inputs!$C$74," weekday"," weekend"),Utility_Rates!$C$28:$F$28,Inputs!$C$68)),"")</f>
      </c>
      <c r="H258" s="34"/>
      <c r="I258" s="42">
        <f>IF(AND(ISNUMBER(D258),ISNUMBER(H258)),D258*H258*Inputs!$C$69,"")</f>
      </c>
      <c r="J258" s="42">
        <f>IF(AND(ISNUMBER(F258),ISNUMBER(H258),F258&gt;=Inputs!$C$68),F258*H258*Inputs!$C$69,"")</f>
      </c>
    </row>
    <row r="259" spans="2:10" ht="15" customHeight="1" x14ac:dyDescent="0.2">
      <c r="B259" s="39">
        <f t="shared" si="0"/>
      </c>
      <c r="C259" s="40">
        <f>IF(Inputs!$C$60,Inputs!$C$11+(B259-Inputs!$C$69)/Inputs!$C$70,"")</f>
      </c>
      <c r="D259" s="15"/>
      <c r="E259" s="15"/>
      <c r="F259" s="11">
        <f t="shared" si="1"/>
      </c>
      <c r="G259" s="22" cm="1">
        <f t="array" ref="G259">IF(AND(Inputs!$C$60,Inputs!$C$61),INDEX(Utility_Rates!$C$29:$F$52,HOUR(C259)+Inputs!$C$69,MATCH(INDEX(Utility_Rates!$K$6:$K$17,MONTH(C259))&amp;IF(WEEKDAY(C259,Inputs!$C$76)&lt;=Inputs!$C$74," weekday"," weekend"),Utility_Rates!$C$28:$F$28,Inputs!$C$68)),"")</f>
      </c>
      <c r="H259" s="34"/>
      <c r="I259" s="42">
        <f>IF(AND(ISNUMBER(D259),ISNUMBER(H259)),D259*H259*Inputs!$C$69,"")</f>
      </c>
      <c r="J259" s="42">
        <f>IF(AND(ISNUMBER(F259),ISNUMBER(H259),F259&gt;=Inputs!$C$68),F259*H259*Inputs!$C$69,"")</f>
      </c>
    </row>
    <row r="260" spans="2:10" ht="15" customHeight="1" x14ac:dyDescent="0.2">
      <c r="B260" s="39">
        <f t="shared" si="0"/>
      </c>
      <c r="C260" s="40">
        <f>IF(Inputs!$C$60,Inputs!$C$11+(B260-Inputs!$C$69)/Inputs!$C$70,"")</f>
      </c>
      <c r="D260" s="15"/>
      <c r="E260" s="15"/>
      <c r="F260" s="11">
        <f t="shared" si="1"/>
      </c>
      <c r="G260" s="22" cm="1">
        <f t="array" ref="G260">IF(AND(Inputs!$C$60,Inputs!$C$61),INDEX(Utility_Rates!$C$29:$F$52,HOUR(C260)+Inputs!$C$69,MATCH(INDEX(Utility_Rates!$K$6:$K$17,MONTH(C260))&amp;IF(WEEKDAY(C260,Inputs!$C$76)&lt;=Inputs!$C$74," weekday"," weekend"),Utility_Rates!$C$28:$F$28,Inputs!$C$68)),"")</f>
      </c>
      <c r="H260" s="34"/>
      <c r="I260" s="42">
        <f>IF(AND(ISNUMBER(D260),ISNUMBER(H260)),D260*H260*Inputs!$C$69,"")</f>
      </c>
      <c r="J260" s="42">
        <f>IF(AND(ISNUMBER(F260),ISNUMBER(H260),F260&gt;=Inputs!$C$68),F260*H260*Inputs!$C$69,"")</f>
      </c>
    </row>
    <row r="261" spans="2:10" ht="15" customHeight="1" x14ac:dyDescent="0.2">
      <c r="B261" s="39">
        <f t="shared" ref="B261:B515" si="2">ROW()-ROW($B$5)</f>
      </c>
      <c r="C261" s="40">
        <f>IF(Inputs!$C$60,Inputs!$C$11+(B261-Inputs!$C$69)/Inputs!$C$70,"")</f>
      </c>
      <c r="D261" s="15"/>
      <c r="E261" s="15"/>
      <c r="F261" s="11">
        <f t="shared" ref="F261:F515" si="3">IF(COUNT(D261:E261)=COLUMNS(D261:E261),D261-E261,"")</f>
      </c>
      <c r="G261" s="22" cm="1">
        <f t="array" ref="G261">IF(AND(Inputs!$C$60,Inputs!$C$61),INDEX(Utility_Rates!$C$29:$F$52,HOUR(C261)+Inputs!$C$69,MATCH(INDEX(Utility_Rates!$K$6:$K$17,MONTH(C261))&amp;IF(WEEKDAY(C261,Inputs!$C$76)&lt;=Inputs!$C$74," weekday"," weekend"),Utility_Rates!$C$28:$F$28,Inputs!$C$68)),"")</f>
      </c>
      <c r="H261" s="34"/>
      <c r="I261" s="42">
        <f>IF(AND(ISNUMBER(D261),ISNUMBER(H261)),D261*H261*Inputs!$C$69,"")</f>
      </c>
      <c r="J261" s="42">
        <f>IF(AND(ISNUMBER(F261),ISNUMBER(H261),F261&gt;=Inputs!$C$68),F261*H261*Inputs!$C$69,"")</f>
      </c>
    </row>
    <row r="262" spans="2:10" ht="15" customHeight="1" x14ac:dyDescent="0.2">
      <c r="B262" s="39">
        <f t="shared" si="2"/>
      </c>
      <c r="C262" s="40">
        <f>IF(Inputs!$C$60,Inputs!$C$11+(B262-Inputs!$C$69)/Inputs!$C$70,"")</f>
      </c>
      <c r="D262" s="15"/>
      <c r="E262" s="15"/>
      <c r="F262" s="11">
        <f t="shared" si="3"/>
      </c>
      <c r="G262" s="22" cm="1">
        <f t="array" ref="G262">IF(AND(Inputs!$C$60,Inputs!$C$61),INDEX(Utility_Rates!$C$29:$F$52,HOUR(C262)+Inputs!$C$69,MATCH(INDEX(Utility_Rates!$K$6:$K$17,MONTH(C262))&amp;IF(WEEKDAY(C262,Inputs!$C$76)&lt;=Inputs!$C$74," weekday"," weekend"),Utility_Rates!$C$28:$F$28,Inputs!$C$68)),"")</f>
      </c>
      <c r="H262" s="34"/>
      <c r="I262" s="42">
        <f>IF(AND(ISNUMBER(D262),ISNUMBER(H262)),D262*H262*Inputs!$C$69,"")</f>
      </c>
      <c r="J262" s="42">
        <f>IF(AND(ISNUMBER(F262),ISNUMBER(H262),F262&gt;=Inputs!$C$68),F262*H262*Inputs!$C$69,"")</f>
      </c>
    </row>
    <row r="263" spans="2:10" ht="15" customHeight="1" x14ac:dyDescent="0.2">
      <c r="B263" s="39">
        <f t="shared" si="2"/>
      </c>
      <c r="C263" s="40">
        <f>IF(Inputs!$C$60,Inputs!$C$11+(B263-Inputs!$C$69)/Inputs!$C$70,"")</f>
      </c>
      <c r="D263" s="15"/>
      <c r="E263" s="15"/>
      <c r="F263" s="11">
        <f t="shared" si="3"/>
      </c>
      <c r="G263" s="22" cm="1">
        <f t="array" ref="G263">IF(AND(Inputs!$C$60,Inputs!$C$61),INDEX(Utility_Rates!$C$29:$F$52,HOUR(C263)+Inputs!$C$69,MATCH(INDEX(Utility_Rates!$K$6:$K$17,MONTH(C263))&amp;IF(WEEKDAY(C263,Inputs!$C$76)&lt;=Inputs!$C$74," weekday"," weekend"),Utility_Rates!$C$28:$F$28,Inputs!$C$68)),"")</f>
      </c>
      <c r="H263" s="34"/>
      <c r="I263" s="42">
        <f>IF(AND(ISNUMBER(D263),ISNUMBER(H263)),D263*H263*Inputs!$C$69,"")</f>
      </c>
      <c r="J263" s="42">
        <f>IF(AND(ISNUMBER(F263),ISNUMBER(H263),F263&gt;=Inputs!$C$68),F263*H263*Inputs!$C$69,"")</f>
      </c>
    </row>
    <row r="264" spans="2:10" ht="15" customHeight="1" x14ac:dyDescent="0.2">
      <c r="B264" s="39">
        <f t="shared" si="2"/>
      </c>
      <c r="C264" s="40">
        <f>IF(Inputs!$C$60,Inputs!$C$11+(B264-Inputs!$C$69)/Inputs!$C$70,"")</f>
      </c>
      <c r="D264" s="15"/>
      <c r="E264" s="15"/>
      <c r="F264" s="11">
        <f t="shared" si="3"/>
      </c>
      <c r="G264" s="22" cm="1">
        <f t="array" ref="G264">IF(AND(Inputs!$C$60,Inputs!$C$61),INDEX(Utility_Rates!$C$29:$F$52,HOUR(C264)+Inputs!$C$69,MATCH(INDEX(Utility_Rates!$K$6:$K$17,MONTH(C264))&amp;IF(WEEKDAY(C264,Inputs!$C$76)&lt;=Inputs!$C$74," weekday"," weekend"),Utility_Rates!$C$28:$F$28,Inputs!$C$68)),"")</f>
      </c>
      <c r="H264" s="34"/>
      <c r="I264" s="42">
        <f>IF(AND(ISNUMBER(D264),ISNUMBER(H264)),D264*H264*Inputs!$C$69,"")</f>
      </c>
      <c r="J264" s="42">
        <f>IF(AND(ISNUMBER(F264),ISNUMBER(H264),F264&gt;=Inputs!$C$68),F264*H264*Inputs!$C$69,"")</f>
      </c>
    </row>
    <row r="265" spans="2:10" ht="15" customHeight="1" x14ac:dyDescent="0.2">
      <c r="B265" s="39">
        <f t="shared" si="2"/>
      </c>
      <c r="C265" s="40">
        <f>IF(Inputs!$C$60,Inputs!$C$11+(B265-Inputs!$C$69)/Inputs!$C$70,"")</f>
      </c>
      <c r="D265" s="15"/>
      <c r="E265" s="15"/>
      <c r="F265" s="11">
        <f t="shared" si="3"/>
      </c>
      <c r="G265" s="22" cm="1">
        <f t="array" ref="G265">IF(AND(Inputs!$C$60,Inputs!$C$61),INDEX(Utility_Rates!$C$29:$F$52,HOUR(C265)+Inputs!$C$69,MATCH(INDEX(Utility_Rates!$K$6:$K$17,MONTH(C265))&amp;IF(WEEKDAY(C265,Inputs!$C$76)&lt;=Inputs!$C$74," weekday"," weekend"),Utility_Rates!$C$28:$F$28,Inputs!$C$68)),"")</f>
      </c>
      <c r="H265" s="34"/>
      <c r="I265" s="42">
        <f>IF(AND(ISNUMBER(D265),ISNUMBER(H265)),D265*H265*Inputs!$C$69,"")</f>
      </c>
      <c r="J265" s="42">
        <f>IF(AND(ISNUMBER(F265),ISNUMBER(H265),F265&gt;=Inputs!$C$68),F265*H265*Inputs!$C$69,"")</f>
      </c>
    </row>
    <row r="266" spans="2:10" ht="15" customHeight="1" x14ac:dyDescent="0.2">
      <c r="B266" s="39">
        <f t="shared" si="2"/>
      </c>
      <c r="C266" s="40">
        <f>IF(Inputs!$C$60,Inputs!$C$11+(B266-Inputs!$C$69)/Inputs!$C$70,"")</f>
      </c>
      <c r="D266" s="15"/>
      <c r="E266" s="15"/>
      <c r="F266" s="11">
        <f t="shared" si="3"/>
      </c>
      <c r="G266" s="22" cm="1">
        <f t="array" ref="G266">IF(AND(Inputs!$C$60,Inputs!$C$61),INDEX(Utility_Rates!$C$29:$F$52,HOUR(C266)+Inputs!$C$69,MATCH(INDEX(Utility_Rates!$K$6:$K$17,MONTH(C266))&amp;IF(WEEKDAY(C266,Inputs!$C$76)&lt;=Inputs!$C$74," weekday"," weekend"),Utility_Rates!$C$28:$F$28,Inputs!$C$68)),"")</f>
      </c>
      <c r="H266" s="34"/>
      <c r="I266" s="42">
        <f>IF(AND(ISNUMBER(D266),ISNUMBER(H266)),D266*H266*Inputs!$C$69,"")</f>
      </c>
      <c r="J266" s="42">
        <f>IF(AND(ISNUMBER(F266),ISNUMBER(H266),F266&gt;=Inputs!$C$68),F266*H266*Inputs!$C$69,"")</f>
      </c>
    </row>
    <row r="267" spans="2:10" ht="15" customHeight="1" x14ac:dyDescent="0.2">
      <c r="B267" s="39">
        <f t="shared" si="2"/>
      </c>
      <c r="C267" s="40">
        <f>IF(Inputs!$C$60,Inputs!$C$11+(B267-Inputs!$C$69)/Inputs!$C$70,"")</f>
      </c>
      <c r="D267" s="15"/>
      <c r="E267" s="15"/>
      <c r="F267" s="11">
        <f t="shared" si="3"/>
      </c>
      <c r="G267" s="22" cm="1">
        <f t="array" ref="G267">IF(AND(Inputs!$C$60,Inputs!$C$61),INDEX(Utility_Rates!$C$29:$F$52,HOUR(C267)+Inputs!$C$69,MATCH(INDEX(Utility_Rates!$K$6:$K$17,MONTH(C267))&amp;IF(WEEKDAY(C267,Inputs!$C$76)&lt;=Inputs!$C$74," weekday"," weekend"),Utility_Rates!$C$28:$F$28,Inputs!$C$68)),"")</f>
      </c>
      <c r="H267" s="34"/>
      <c r="I267" s="42">
        <f>IF(AND(ISNUMBER(D267),ISNUMBER(H267)),D267*H267*Inputs!$C$69,"")</f>
      </c>
      <c r="J267" s="42">
        <f>IF(AND(ISNUMBER(F267),ISNUMBER(H267),F267&gt;=Inputs!$C$68),F267*H267*Inputs!$C$69,"")</f>
      </c>
    </row>
    <row r="268" spans="2:10" ht="15" customHeight="1" x14ac:dyDescent="0.2">
      <c r="B268" s="39">
        <f t="shared" si="2"/>
      </c>
      <c r="C268" s="40">
        <f>IF(Inputs!$C$60,Inputs!$C$11+(B268-Inputs!$C$69)/Inputs!$C$70,"")</f>
      </c>
      <c r="D268" s="15"/>
      <c r="E268" s="15"/>
      <c r="F268" s="11">
        <f t="shared" si="3"/>
      </c>
      <c r="G268" s="22" cm="1">
        <f t="array" ref="G268">IF(AND(Inputs!$C$60,Inputs!$C$61),INDEX(Utility_Rates!$C$29:$F$52,HOUR(C268)+Inputs!$C$69,MATCH(INDEX(Utility_Rates!$K$6:$K$17,MONTH(C268))&amp;IF(WEEKDAY(C268,Inputs!$C$76)&lt;=Inputs!$C$74," weekday"," weekend"),Utility_Rates!$C$28:$F$28,Inputs!$C$68)),"")</f>
      </c>
      <c r="H268" s="34"/>
      <c r="I268" s="42">
        <f>IF(AND(ISNUMBER(D268),ISNUMBER(H268)),D268*H268*Inputs!$C$69,"")</f>
      </c>
      <c r="J268" s="42">
        <f>IF(AND(ISNUMBER(F268),ISNUMBER(H268),F268&gt;=Inputs!$C$68),F268*H268*Inputs!$C$69,"")</f>
      </c>
    </row>
    <row r="269" spans="2:10" ht="15" customHeight="1" x14ac:dyDescent="0.2">
      <c r="B269" s="39">
        <f t="shared" si="2"/>
      </c>
      <c r="C269" s="40">
        <f>IF(Inputs!$C$60,Inputs!$C$11+(B269-Inputs!$C$69)/Inputs!$C$70,"")</f>
      </c>
      <c r="D269" s="15"/>
      <c r="E269" s="15"/>
      <c r="F269" s="11">
        <f t="shared" si="3"/>
      </c>
      <c r="G269" s="22" cm="1">
        <f t="array" ref="G269">IF(AND(Inputs!$C$60,Inputs!$C$61),INDEX(Utility_Rates!$C$29:$F$52,HOUR(C269)+Inputs!$C$69,MATCH(INDEX(Utility_Rates!$K$6:$K$17,MONTH(C269))&amp;IF(WEEKDAY(C269,Inputs!$C$76)&lt;=Inputs!$C$74," weekday"," weekend"),Utility_Rates!$C$28:$F$28,Inputs!$C$68)),"")</f>
      </c>
      <c r="H269" s="34"/>
      <c r="I269" s="42">
        <f>IF(AND(ISNUMBER(D269),ISNUMBER(H269)),D269*H269*Inputs!$C$69,"")</f>
      </c>
      <c r="J269" s="42">
        <f>IF(AND(ISNUMBER(F269),ISNUMBER(H269),F269&gt;=Inputs!$C$68),F269*H269*Inputs!$C$69,"")</f>
      </c>
    </row>
    <row r="270" spans="2:10" ht="15" customHeight="1" x14ac:dyDescent="0.2">
      <c r="B270" s="39">
        <f t="shared" si="2"/>
      </c>
      <c r="C270" s="40">
        <f>IF(Inputs!$C$60,Inputs!$C$11+(B270-Inputs!$C$69)/Inputs!$C$70,"")</f>
      </c>
      <c r="D270" s="15"/>
      <c r="E270" s="15"/>
      <c r="F270" s="11">
        <f t="shared" si="3"/>
      </c>
      <c r="G270" s="22" cm="1">
        <f t="array" ref="G270">IF(AND(Inputs!$C$60,Inputs!$C$61),INDEX(Utility_Rates!$C$29:$F$52,HOUR(C270)+Inputs!$C$69,MATCH(INDEX(Utility_Rates!$K$6:$K$17,MONTH(C270))&amp;IF(WEEKDAY(C270,Inputs!$C$76)&lt;=Inputs!$C$74," weekday"," weekend"),Utility_Rates!$C$28:$F$28,Inputs!$C$68)),"")</f>
      </c>
      <c r="H270" s="34"/>
      <c r="I270" s="42">
        <f>IF(AND(ISNUMBER(D270),ISNUMBER(H270)),D270*H270*Inputs!$C$69,"")</f>
      </c>
      <c r="J270" s="42">
        <f>IF(AND(ISNUMBER(F270),ISNUMBER(H270),F270&gt;=Inputs!$C$68),F270*H270*Inputs!$C$69,"")</f>
      </c>
    </row>
    <row r="271" spans="2:10" ht="15" customHeight="1" x14ac:dyDescent="0.2">
      <c r="B271" s="39">
        <f t="shared" si="2"/>
      </c>
      <c r="C271" s="40">
        <f>IF(Inputs!$C$60,Inputs!$C$11+(B271-Inputs!$C$69)/Inputs!$C$70,"")</f>
      </c>
      <c r="D271" s="15"/>
      <c r="E271" s="15"/>
      <c r="F271" s="11">
        <f t="shared" si="3"/>
      </c>
      <c r="G271" s="22" cm="1">
        <f t="array" ref="G271">IF(AND(Inputs!$C$60,Inputs!$C$61),INDEX(Utility_Rates!$C$29:$F$52,HOUR(C271)+Inputs!$C$69,MATCH(INDEX(Utility_Rates!$K$6:$K$17,MONTH(C271))&amp;IF(WEEKDAY(C271,Inputs!$C$76)&lt;=Inputs!$C$74," weekday"," weekend"),Utility_Rates!$C$28:$F$28,Inputs!$C$68)),"")</f>
      </c>
      <c r="H271" s="34"/>
      <c r="I271" s="42">
        <f>IF(AND(ISNUMBER(D271),ISNUMBER(H271)),D271*H271*Inputs!$C$69,"")</f>
      </c>
      <c r="J271" s="42">
        <f>IF(AND(ISNUMBER(F271),ISNUMBER(H271),F271&gt;=Inputs!$C$68),F271*H271*Inputs!$C$69,"")</f>
      </c>
    </row>
    <row r="272" spans="2:10" ht="15" customHeight="1" x14ac:dyDescent="0.2">
      <c r="B272" s="39">
        <f t="shared" si="2"/>
      </c>
      <c r="C272" s="40">
        <f>IF(Inputs!$C$60,Inputs!$C$11+(B272-Inputs!$C$69)/Inputs!$C$70,"")</f>
      </c>
      <c r="D272" s="15"/>
      <c r="E272" s="15"/>
      <c r="F272" s="11">
        <f t="shared" si="3"/>
      </c>
      <c r="G272" s="22" cm="1">
        <f t="array" ref="G272">IF(AND(Inputs!$C$60,Inputs!$C$61),INDEX(Utility_Rates!$C$29:$F$52,HOUR(C272)+Inputs!$C$69,MATCH(INDEX(Utility_Rates!$K$6:$K$17,MONTH(C272))&amp;IF(WEEKDAY(C272,Inputs!$C$76)&lt;=Inputs!$C$74," weekday"," weekend"),Utility_Rates!$C$28:$F$28,Inputs!$C$68)),"")</f>
      </c>
      <c r="H272" s="34"/>
      <c r="I272" s="42">
        <f>IF(AND(ISNUMBER(D272),ISNUMBER(H272)),D272*H272*Inputs!$C$69,"")</f>
      </c>
      <c r="J272" s="42">
        <f>IF(AND(ISNUMBER(F272),ISNUMBER(H272),F272&gt;=Inputs!$C$68),F272*H272*Inputs!$C$69,"")</f>
      </c>
    </row>
    <row r="273" spans="2:10" ht="15" customHeight="1" x14ac:dyDescent="0.2">
      <c r="B273" s="39">
        <f t="shared" si="2"/>
      </c>
      <c r="C273" s="40">
        <f>IF(Inputs!$C$60,Inputs!$C$11+(B273-Inputs!$C$69)/Inputs!$C$70,"")</f>
      </c>
      <c r="D273" s="15"/>
      <c r="E273" s="15"/>
      <c r="F273" s="11">
        <f t="shared" si="3"/>
      </c>
      <c r="G273" s="22" cm="1">
        <f t="array" ref="G273">IF(AND(Inputs!$C$60,Inputs!$C$61),INDEX(Utility_Rates!$C$29:$F$52,HOUR(C273)+Inputs!$C$69,MATCH(INDEX(Utility_Rates!$K$6:$K$17,MONTH(C273))&amp;IF(WEEKDAY(C273,Inputs!$C$76)&lt;=Inputs!$C$74," weekday"," weekend"),Utility_Rates!$C$28:$F$28,Inputs!$C$68)),"")</f>
      </c>
      <c r="H273" s="34"/>
      <c r="I273" s="42">
        <f>IF(AND(ISNUMBER(D273),ISNUMBER(H273)),D273*H273*Inputs!$C$69,"")</f>
      </c>
      <c r="J273" s="42">
        <f>IF(AND(ISNUMBER(F273),ISNUMBER(H273),F273&gt;=Inputs!$C$68),F273*H273*Inputs!$C$69,"")</f>
      </c>
    </row>
    <row r="274" spans="2:10" ht="15" customHeight="1" x14ac:dyDescent="0.2">
      <c r="B274" s="39">
        <f t="shared" si="2"/>
      </c>
      <c r="C274" s="40">
        <f>IF(Inputs!$C$60,Inputs!$C$11+(B274-Inputs!$C$69)/Inputs!$C$70,"")</f>
      </c>
      <c r="D274" s="15"/>
      <c r="E274" s="15"/>
      <c r="F274" s="11">
        <f t="shared" si="3"/>
      </c>
      <c r="G274" s="22" cm="1">
        <f t="array" ref="G274">IF(AND(Inputs!$C$60,Inputs!$C$61),INDEX(Utility_Rates!$C$29:$F$52,HOUR(C274)+Inputs!$C$69,MATCH(INDEX(Utility_Rates!$K$6:$K$17,MONTH(C274))&amp;IF(WEEKDAY(C274,Inputs!$C$76)&lt;=Inputs!$C$74," weekday"," weekend"),Utility_Rates!$C$28:$F$28,Inputs!$C$68)),"")</f>
      </c>
      <c r="H274" s="34"/>
      <c r="I274" s="42">
        <f>IF(AND(ISNUMBER(D274),ISNUMBER(H274)),D274*H274*Inputs!$C$69,"")</f>
      </c>
      <c r="J274" s="42">
        <f>IF(AND(ISNUMBER(F274),ISNUMBER(H274),F274&gt;=Inputs!$C$68),F274*H274*Inputs!$C$69,"")</f>
      </c>
    </row>
    <row r="275" spans="2:10" ht="15" customHeight="1" x14ac:dyDescent="0.2">
      <c r="B275" s="39">
        <f t="shared" si="2"/>
      </c>
      <c r="C275" s="40">
        <f>IF(Inputs!$C$60,Inputs!$C$11+(B275-Inputs!$C$69)/Inputs!$C$70,"")</f>
      </c>
      <c r="D275" s="15"/>
      <c r="E275" s="15"/>
      <c r="F275" s="11">
        <f t="shared" si="3"/>
      </c>
      <c r="G275" s="22" cm="1">
        <f t="array" ref="G275">IF(AND(Inputs!$C$60,Inputs!$C$61),INDEX(Utility_Rates!$C$29:$F$52,HOUR(C275)+Inputs!$C$69,MATCH(INDEX(Utility_Rates!$K$6:$K$17,MONTH(C275))&amp;IF(WEEKDAY(C275,Inputs!$C$76)&lt;=Inputs!$C$74," weekday"," weekend"),Utility_Rates!$C$28:$F$28,Inputs!$C$68)),"")</f>
      </c>
      <c r="H275" s="34"/>
      <c r="I275" s="42">
        <f>IF(AND(ISNUMBER(D275),ISNUMBER(H275)),D275*H275*Inputs!$C$69,"")</f>
      </c>
      <c r="J275" s="42">
        <f>IF(AND(ISNUMBER(F275),ISNUMBER(H275),F275&gt;=Inputs!$C$68),F275*H275*Inputs!$C$69,"")</f>
      </c>
    </row>
    <row r="276" spans="2:10" ht="15" customHeight="1" x14ac:dyDescent="0.2">
      <c r="B276" s="39">
        <f t="shared" si="2"/>
      </c>
      <c r="C276" s="40">
        <f>IF(Inputs!$C$60,Inputs!$C$11+(B276-Inputs!$C$69)/Inputs!$C$70,"")</f>
      </c>
      <c r="D276" s="15"/>
      <c r="E276" s="15"/>
      <c r="F276" s="11">
        <f t="shared" si="3"/>
      </c>
      <c r="G276" s="22" cm="1">
        <f t="array" ref="G276">IF(AND(Inputs!$C$60,Inputs!$C$61),INDEX(Utility_Rates!$C$29:$F$52,HOUR(C276)+Inputs!$C$69,MATCH(INDEX(Utility_Rates!$K$6:$K$17,MONTH(C276))&amp;IF(WEEKDAY(C276,Inputs!$C$76)&lt;=Inputs!$C$74," weekday"," weekend"),Utility_Rates!$C$28:$F$28,Inputs!$C$68)),"")</f>
      </c>
      <c r="H276" s="34"/>
      <c r="I276" s="42">
        <f>IF(AND(ISNUMBER(D276),ISNUMBER(H276)),D276*H276*Inputs!$C$69,"")</f>
      </c>
      <c r="J276" s="42">
        <f>IF(AND(ISNUMBER(F276),ISNUMBER(H276),F276&gt;=Inputs!$C$68),F276*H276*Inputs!$C$69,"")</f>
      </c>
    </row>
    <row r="277" spans="2:10" ht="15" customHeight="1" x14ac:dyDescent="0.2">
      <c r="B277" s="39">
        <f t="shared" si="2"/>
      </c>
      <c r="C277" s="40">
        <f>IF(Inputs!$C$60,Inputs!$C$11+(B277-Inputs!$C$69)/Inputs!$C$70,"")</f>
      </c>
      <c r="D277" s="15"/>
      <c r="E277" s="15"/>
      <c r="F277" s="11">
        <f t="shared" si="3"/>
      </c>
      <c r="G277" s="22" cm="1">
        <f t="array" ref="G277">IF(AND(Inputs!$C$60,Inputs!$C$61),INDEX(Utility_Rates!$C$29:$F$52,HOUR(C277)+Inputs!$C$69,MATCH(INDEX(Utility_Rates!$K$6:$K$17,MONTH(C277))&amp;IF(WEEKDAY(C277,Inputs!$C$76)&lt;=Inputs!$C$74," weekday"," weekend"),Utility_Rates!$C$28:$F$28,Inputs!$C$68)),"")</f>
      </c>
      <c r="H277" s="34"/>
      <c r="I277" s="42">
        <f>IF(AND(ISNUMBER(D277),ISNUMBER(H277)),D277*H277*Inputs!$C$69,"")</f>
      </c>
      <c r="J277" s="42">
        <f>IF(AND(ISNUMBER(F277),ISNUMBER(H277),F277&gt;=Inputs!$C$68),F277*H277*Inputs!$C$69,"")</f>
      </c>
    </row>
    <row r="278" spans="2:10" ht="15" customHeight="1" x14ac:dyDescent="0.2">
      <c r="B278" s="39">
        <f t="shared" si="2"/>
      </c>
      <c r="C278" s="40">
        <f>IF(Inputs!$C$60,Inputs!$C$11+(B278-Inputs!$C$69)/Inputs!$C$70,"")</f>
      </c>
      <c r="D278" s="15"/>
      <c r="E278" s="15"/>
      <c r="F278" s="11">
        <f t="shared" si="3"/>
      </c>
      <c r="G278" s="22" cm="1">
        <f t="array" ref="G278">IF(AND(Inputs!$C$60,Inputs!$C$61),INDEX(Utility_Rates!$C$29:$F$52,HOUR(C278)+Inputs!$C$69,MATCH(INDEX(Utility_Rates!$K$6:$K$17,MONTH(C278))&amp;IF(WEEKDAY(C278,Inputs!$C$76)&lt;=Inputs!$C$74," weekday"," weekend"),Utility_Rates!$C$28:$F$28,Inputs!$C$68)),"")</f>
      </c>
      <c r="H278" s="34"/>
      <c r="I278" s="42">
        <f>IF(AND(ISNUMBER(D278),ISNUMBER(H278)),D278*H278*Inputs!$C$69,"")</f>
      </c>
      <c r="J278" s="42">
        <f>IF(AND(ISNUMBER(F278),ISNUMBER(H278),F278&gt;=Inputs!$C$68),F278*H278*Inputs!$C$69,"")</f>
      </c>
    </row>
    <row r="279" spans="2:10" ht="15" customHeight="1" x14ac:dyDescent="0.2">
      <c r="B279" s="39">
        <f t="shared" si="2"/>
      </c>
      <c r="C279" s="40">
        <f>IF(Inputs!$C$60,Inputs!$C$11+(B279-Inputs!$C$69)/Inputs!$C$70,"")</f>
      </c>
      <c r="D279" s="15"/>
      <c r="E279" s="15"/>
      <c r="F279" s="11">
        <f t="shared" si="3"/>
      </c>
      <c r="G279" s="22" cm="1">
        <f t="array" ref="G279">IF(AND(Inputs!$C$60,Inputs!$C$61),INDEX(Utility_Rates!$C$29:$F$52,HOUR(C279)+Inputs!$C$69,MATCH(INDEX(Utility_Rates!$K$6:$K$17,MONTH(C279))&amp;IF(WEEKDAY(C279,Inputs!$C$76)&lt;=Inputs!$C$74," weekday"," weekend"),Utility_Rates!$C$28:$F$28,Inputs!$C$68)),"")</f>
      </c>
      <c r="H279" s="34"/>
      <c r="I279" s="42">
        <f>IF(AND(ISNUMBER(D279),ISNUMBER(H279)),D279*H279*Inputs!$C$69,"")</f>
      </c>
      <c r="J279" s="42">
        <f>IF(AND(ISNUMBER(F279),ISNUMBER(H279),F279&gt;=Inputs!$C$68),F279*H279*Inputs!$C$69,"")</f>
      </c>
    </row>
    <row r="280" spans="2:10" ht="15" customHeight="1" x14ac:dyDescent="0.2">
      <c r="B280" s="39">
        <f t="shared" si="2"/>
      </c>
      <c r="C280" s="40">
        <f>IF(Inputs!$C$60,Inputs!$C$11+(B280-Inputs!$C$69)/Inputs!$C$70,"")</f>
      </c>
      <c r="D280" s="15"/>
      <c r="E280" s="15"/>
      <c r="F280" s="11">
        <f t="shared" si="3"/>
      </c>
      <c r="G280" s="22" cm="1">
        <f t="array" ref="G280">IF(AND(Inputs!$C$60,Inputs!$C$61),INDEX(Utility_Rates!$C$29:$F$52,HOUR(C280)+Inputs!$C$69,MATCH(INDEX(Utility_Rates!$K$6:$K$17,MONTH(C280))&amp;IF(WEEKDAY(C280,Inputs!$C$76)&lt;=Inputs!$C$74," weekday"," weekend"),Utility_Rates!$C$28:$F$28,Inputs!$C$68)),"")</f>
      </c>
      <c r="H280" s="34"/>
      <c r="I280" s="42">
        <f>IF(AND(ISNUMBER(D280),ISNUMBER(H280)),D280*H280*Inputs!$C$69,"")</f>
      </c>
      <c r="J280" s="42">
        <f>IF(AND(ISNUMBER(F280),ISNUMBER(H280),F280&gt;=Inputs!$C$68),F280*H280*Inputs!$C$69,"")</f>
      </c>
    </row>
    <row r="281" spans="2:10" ht="15" customHeight="1" x14ac:dyDescent="0.2">
      <c r="B281" s="39">
        <f t="shared" si="2"/>
      </c>
      <c r="C281" s="40">
        <f>IF(Inputs!$C$60,Inputs!$C$11+(B281-Inputs!$C$69)/Inputs!$C$70,"")</f>
      </c>
      <c r="D281" s="15"/>
      <c r="E281" s="15"/>
      <c r="F281" s="11">
        <f t="shared" si="3"/>
      </c>
      <c r="G281" s="22" cm="1">
        <f t="array" ref="G281">IF(AND(Inputs!$C$60,Inputs!$C$61),INDEX(Utility_Rates!$C$29:$F$52,HOUR(C281)+Inputs!$C$69,MATCH(INDEX(Utility_Rates!$K$6:$K$17,MONTH(C281))&amp;IF(WEEKDAY(C281,Inputs!$C$76)&lt;=Inputs!$C$74," weekday"," weekend"),Utility_Rates!$C$28:$F$28,Inputs!$C$68)),"")</f>
      </c>
      <c r="H281" s="34"/>
      <c r="I281" s="42">
        <f>IF(AND(ISNUMBER(D281),ISNUMBER(H281)),D281*H281*Inputs!$C$69,"")</f>
      </c>
      <c r="J281" s="42">
        <f>IF(AND(ISNUMBER(F281),ISNUMBER(H281),F281&gt;=Inputs!$C$68),F281*H281*Inputs!$C$69,"")</f>
      </c>
    </row>
    <row r="282" spans="2:10" ht="15" customHeight="1" x14ac:dyDescent="0.2">
      <c r="B282" s="39">
        <f t="shared" si="2"/>
      </c>
      <c r="C282" s="40">
        <f>IF(Inputs!$C$60,Inputs!$C$11+(B282-Inputs!$C$69)/Inputs!$C$70,"")</f>
      </c>
      <c r="D282" s="15"/>
      <c r="E282" s="15"/>
      <c r="F282" s="11">
        <f t="shared" si="3"/>
      </c>
      <c r="G282" s="22" cm="1">
        <f t="array" ref="G282">IF(AND(Inputs!$C$60,Inputs!$C$61),INDEX(Utility_Rates!$C$29:$F$52,HOUR(C282)+Inputs!$C$69,MATCH(INDEX(Utility_Rates!$K$6:$K$17,MONTH(C282))&amp;IF(WEEKDAY(C282,Inputs!$C$76)&lt;=Inputs!$C$74," weekday"," weekend"),Utility_Rates!$C$28:$F$28,Inputs!$C$68)),"")</f>
      </c>
      <c r="H282" s="34"/>
      <c r="I282" s="42">
        <f>IF(AND(ISNUMBER(D282),ISNUMBER(H282)),D282*H282*Inputs!$C$69,"")</f>
      </c>
      <c r="J282" s="42">
        <f>IF(AND(ISNUMBER(F282),ISNUMBER(H282),F282&gt;=Inputs!$C$68),F282*H282*Inputs!$C$69,"")</f>
      </c>
    </row>
    <row r="283" spans="2:10" ht="15" customHeight="1" x14ac:dyDescent="0.2">
      <c r="B283" s="39">
        <f t="shared" si="2"/>
      </c>
      <c r="C283" s="40">
        <f>IF(Inputs!$C$60,Inputs!$C$11+(B283-Inputs!$C$69)/Inputs!$C$70,"")</f>
      </c>
      <c r="D283" s="15"/>
      <c r="E283" s="15"/>
      <c r="F283" s="11">
        <f t="shared" si="3"/>
      </c>
      <c r="G283" s="22" cm="1">
        <f t="array" ref="G283">IF(AND(Inputs!$C$60,Inputs!$C$61),INDEX(Utility_Rates!$C$29:$F$52,HOUR(C283)+Inputs!$C$69,MATCH(INDEX(Utility_Rates!$K$6:$K$17,MONTH(C283))&amp;IF(WEEKDAY(C283,Inputs!$C$76)&lt;=Inputs!$C$74," weekday"," weekend"),Utility_Rates!$C$28:$F$28,Inputs!$C$68)),"")</f>
      </c>
      <c r="H283" s="34"/>
      <c r="I283" s="42">
        <f>IF(AND(ISNUMBER(D283),ISNUMBER(H283)),D283*H283*Inputs!$C$69,"")</f>
      </c>
      <c r="J283" s="42">
        <f>IF(AND(ISNUMBER(F283),ISNUMBER(H283),F283&gt;=Inputs!$C$68),F283*H283*Inputs!$C$69,"")</f>
      </c>
    </row>
    <row r="284" spans="2:10" ht="15" customHeight="1" x14ac:dyDescent="0.2">
      <c r="B284" s="39">
        <f t="shared" si="2"/>
      </c>
      <c r="C284" s="40">
        <f>IF(Inputs!$C$60,Inputs!$C$11+(B284-Inputs!$C$69)/Inputs!$C$70,"")</f>
      </c>
      <c r="D284" s="15"/>
      <c r="E284" s="15"/>
      <c r="F284" s="11">
        <f t="shared" si="3"/>
      </c>
      <c r="G284" s="22" cm="1">
        <f t="array" ref="G284">IF(AND(Inputs!$C$60,Inputs!$C$61),INDEX(Utility_Rates!$C$29:$F$52,HOUR(C284)+Inputs!$C$69,MATCH(INDEX(Utility_Rates!$K$6:$K$17,MONTH(C284))&amp;IF(WEEKDAY(C284,Inputs!$C$76)&lt;=Inputs!$C$74," weekday"," weekend"),Utility_Rates!$C$28:$F$28,Inputs!$C$68)),"")</f>
      </c>
      <c r="H284" s="34"/>
      <c r="I284" s="42">
        <f>IF(AND(ISNUMBER(D284),ISNUMBER(H284)),D284*H284*Inputs!$C$69,"")</f>
      </c>
      <c r="J284" s="42">
        <f>IF(AND(ISNUMBER(F284),ISNUMBER(H284),F284&gt;=Inputs!$C$68),F284*H284*Inputs!$C$69,"")</f>
      </c>
    </row>
    <row r="285" spans="2:10" ht="15" customHeight="1" x14ac:dyDescent="0.2">
      <c r="B285" s="39">
        <f t="shared" si="2"/>
      </c>
      <c r="C285" s="40">
        <f>IF(Inputs!$C$60,Inputs!$C$11+(B285-Inputs!$C$69)/Inputs!$C$70,"")</f>
      </c>
      <c r="D285" s="15"/>
      <c r="E285" s="15"/>
      <c r="F285" s="11">
        <f t="shared" si="3"/>
      </c>
      <c r="G285" s="22" cm="1">
        <f t="array" ref="G285">IF(AND(Inputs!$C$60,Inputs!$C$61),INDEX(Utility_Rates!$C$29:$F$52,HOUR(C285)+Inputs!$C$69,MATCH(INDEX(Utility_Rates!$K$6:$K$17,MONTH(C285))&amp;IF(WEEKDAY(C285,Inputs!$C$76)&lt;=Inputs!$C$74," weekday"," weekend"),Utility_Rates!$C$28:$F$28,Inputs!$C$68)),"")</f>
      </c>
      <c r="H285" s="34"/>
      <c r="I285" s="42">
        <f>IF(AND(ISNUMBER(D285),ISNUMBER(H285)),D285*H285*Inputs!$C$69,"")</f>
      </c>
      <c r="J285" s="42">
        <f>IF(AND(ISNUMBER(F285),ISNUMBER(H285),F285&gt;=Inputs!$C$68),F285*H285*Inputs!$C$69,"")</f>
      </c>
    </row>
    <row r="286" spans="2:10" ht="15" customHeight="1" x14ac:dyDescent="0.2">
      <c r="B286" s="39">
        <f t="shared" si="2"/>
      </c>
      <c r="C286" s="40">
        <f>IF(Inputs!$C$60,Inputs!$C$11+(B286-Inputs!$C$69)/Inputs!$C$70,"")</f>
      </c>
      <c r="D286" s="15"/>
      <c r="E286" s="15"/>
      <c r="F286" s="11">
        <f t="shared" si="3"/>
      </c>
      <c r="G286" s="22" cm="1">
        <f t="array" ref="G286">IF(AND(Inputs!$C$60,Inputs!$C$61),INDEX(Utility_Rates!$C$29:$F$52,HOUR(C286)+Inputs!$C$69,MATCH(INDEX(Utility_Rates!$K$6:$K$17,MONTH(C286))&amp;IF(WEEKDAY(C286,Inputs!$C$76)&lt;=Inputs!$C$74," weekday"," weekend"),Utility_Rates!$C$28:$F$28,Inputs!$C$68)),"")</f>
      </c>
      <c r="H286" s="34"/>
      <c r="I286" s="42">
        <f>IF(AND(ISNUMBER(D286),ISNUMBER(H286)),D286*H286*Inputs!$C$69,"")</f>
      </c>
      <c r="J286" s="42">
        <f>IF(AND(ISNUMBER(F286),ISNUMBER(H286),F286&gt;=Inputs!$C$68),F286*H286*Inputs!$C$69,"")</f>
      </c>
    </row>
    <row r="287" spans="2:10" ht="15" customHeight="1" x14ac:dyDescent="0.2">
      <c r="B287" s="39">
        <f t="shared" si="2"/>
      </c>
      <c r="C287" s="40">
        <f>IF(Inputs!$C$60,Inputs!$C$11+(B287-Inputs!$C$69)/Inputs!$C$70,"")</f>
      </c>
      <c r="D287" s="15"/>
      <c r="E287" s="15"/>
      <c r="F287" s="11">
        <f t="shared" si="3"/>
      </c>
      <c r="G287" s="22" cm="1">
        <f t="array" ref="G287">IF(AND(Inputs!$C$60,Inputs!$C$61),INDEX(Utility_Rates!$C$29:$F$52,HOUR(C287)+Inputs!$C$69,MATCH(INDEX(Utility_Rates!$K$6:$K$17,MONTH(C287))&amp;IF(WEEKDAY(C287,Inputs!$C$76)&lt;=Inputs!$C$74," weekday"," weekend"),Utility_Rates!$C$28:$F$28,Inputs!$C$68)),"")</f>
      </c>
      <c r="H287" s="34"/>
      <c r="I287" s="42">
        <f>IF(AND(ISNUMBER(D287),ISNUMBER(H287)),D287*H287*Inputs!$C$69,"")</f>
      </c>
      <c r="J287" s="42">
        <f>IF(AND(ISNUMBER(F287),ISNUMBER(H287),F287&gt;=Inputs!$C$68),F287*H287*Inputs!$C$69,"")</f>
      </c>
    </row>
    <row r="288" spans="2:10" ht="15" customHeight="1" x14ac:dyDescent="0.2">
      <c r="B288" s="39">
        <f t="shared" si="2"/>
      </c>
      <c r="C288" s="40">
        <f>IF(Inputs!$C$60,Inputs!$C$11+(B288-Inputs!$C$69)/Inputs!$C$70,"")</f>
      </c>
      <c r="D288" s="15"/>
      <c r="E288" s="15"/>
      <c r="F288" s="11">
        <f t="shared" si="3"/>
      </c>
      <c r="G288" s="22" cm="1">
        <f t="array" ref="G288">IF(AND(Inputs!$C$60,Inputs!$C$61),INDEX(Utility_Rates!$C$29:$F$52,HOUR(C288)+Inputs!$C$69,MATCH(INDEX(Utility_Rates!$K$6:$K$17,MONTH(C288))&amp;IF(WEEKDAY(C288,Inputs!$C$76)&lt;=Inputs!$C$74," weekday"," weekend"),Utility_Rates!$C$28:$F$28,Inputs!$C$68)),"")</f>
      </c>
      <c r="H288" s="34"/>
      <c r="I288" s="42">
        <f>IF(AND(ISNUMBER(D288),ISNUMBER(H288)),D288*H288*Inputs!$C$69,"")</f>
      </c>
      <c r="J288" s="42">
        <f>IF(AND(ISNUMBER(F288),ISNUMBER(H288),F288&gt;=Inputs!$C$68),F288*H288*Inputs!$C$69,"")</f>
      </c>
    </row>
    <row r="289" spans="2:10" ht="15" customHeight="1" x14ac:dyDescent="0.2">
      <c r="B289" s="39">
        <f t="shared" si="2"/>
      </c>
      <c r="C289" s="40">
        <f>IF(Inputs!$C$60,Inputs!$C$11+(B289-Inputs!$C$69)/Inputs!$C$70,"")</f>
      </c>
      <c r="D289" s="15"/>
      <c r="E289" s="15"/>
      <c r="F289" s="11">
        <f t="shared" si="3"/>
      </c>
      <c r="G289" s="22" cm="1">
        <f t="array" ref="G289">IF(AND(Inputs!$C$60,Inputs!$C$61),INDEX(Utility_Rates!$C$29:$F$52,HOUR(C289)+Inputs!$C$69,MATCH(INDEX(Utility_Rates!$K$6:$K$17,MONTH(C289))&amp;IF(WEEKDAY(C289,Inputs!$C$76)&lt;=Inputs!$C$74," weekday"," weekend"),Utility_Rates!$C$28:$F$28,Inputs!$C$68)),"")</f>
      </c>
      <c r="H289" s="34"/>
      <c r="I289" s="42">
        <f>IF(AND(ISNUMBER(D289),ISNUMBER(H289)),D289*H289*Inputs!$C$69,"")</f>
      </c>
      <c r="J289" s="42">
        <f>IF(AND(ISNUMBER(F289),ISNUMBER(H289),F289&gt;=Inputs!$C$68),F289*H289*Inputs!$C$69,"")</f>
      </c>
    </row>
    <row r="290" spans="2:10" ht="15" customHeight="1" x14ac:dyDescent="0.2">
      <c r="B290" s="39">
        <f t="shared" si="2"/>
      </c>
      <c r="C290" s="40">
        <f>IF(Inputs!$C$60,Inputs!$C$11+(B290-Inputs!$C$69)/Inputs!$C$70,"")</f>
      </c>
      <c r="D290" s="15"/>
      <c r="E290" s="15"/>
      <c r="F290" s="11">
        <f t="shared" si="3"/>
      </c>
      <c r="G290" s="22" cm="1">
        <f t="array" ref="G290">IF(AND(Inputs!$C$60,Inputs!$C$61),INDEX(Utility_Rates!$C$29:$F$52,HOUR(C290)+Inputs!$C$69,MATCH(INDEX(Utility_Rates!$K$6:$K$17,MONTH(C290))&amp;IF(WEEKDAY(C290,Inputs!$C$76)&lt;=Inputs!$C$74," weekday"," weekend"),Utility_Rates!$C$28:$F$28,Inputs!$C$68)),"")</f>
      </c>
      <c r="H290" s="34"/>
      <c r="I290" s="42">
        <f>IF(AND(ISNUMBER(D290),ISNUMBER(H290)),D290*H290*Inputs!$C$69,"")</f>
      </c>
      <c r="J290" s="42">
        <f>IF(AND(ISNUMBER(F290),ISNUMBER(H290),F290&gt;=Inputs!$C$68),F290*H290*Inputs!$C$69,"")</f>
      </c>
    </row>
    <row r="291" spans="2:10" ht="15" customHeight="1" x14ac:dyDescent="0.2">
      <c r="B291" s="39">
        <f t="shared" si="2"/>
      </c>
      <c r="C291" s="40">
        <f>IF(Inputs!$C$60,Inputs!$C$11+(B291-Inputs!$C$69)/Inputs!$C$70,"")</f>
      </c>
      <c r="D291" s="15"/>
      <c r="E291" s="15"/>
      <c r="F291" s="11">
        <f t="shared" si="3"/>
      </c>
      <c r="G291" s="22" cm="1">
        <f t="array" ref="G291">IF(AND(Inputs!$C$60,Inputs!$C$61),INDEX(Utility_Rates!$C$29:$F$52,HOUR(C291)+Inputs!$C$69,MATCH(INDEX(Utility_Rates!$K$6:$K$17,MONTH(C291))&amp;IF(WEEKDAY(C291,Inputs!$C$76)&lt;=Inputs!$C$74," weekday"," weekend"),Utility_Rates!$C$28:$F$28,Inputs!$C$68)),"")</f>
      </c>
      <c r="H291" s="34"/>
      <c r="I291" s="42">
        <f>IF(AND(ISNUMBER(D291),ISNUMBER(H291)),D291*H291*Inputs!$C$69,"")</f>
      </c>
      <c r="J291" s="42">
        <f>IF(AND(ISNUMBER(F291),ISNUMBER(H291),F291&gt;=Inputs!$C$68),F291*H291*Inputs!$C$69,"")</f>
      </c>
    </row>
    <row r="292" spans="2:10" ht="15" customHeight="1" x14ac:dyDescent="0.2">
      <c r="B292" s="39">
        <f t="shared" si="2"/>
      </c>
      <c r="C292" s="40">
        <f>IF(Inputs!$C$60,Inputs!$C$11+(B292-Inputs!$C$69)/Inputs!$C$70,"")</f>
      </c>
      <c r="D292" s="15"/>
      <c r="E292" s="15"/>
      <c r="F292" s="11">
        <f t="shared" si="3"/>
      </c>
      <c r="G292" s="22" cm="1">
        <f t="array" ref="G292">IF(AND(Inputs!$C$60,Inputs!$C$61),INDEX(Utility_Rates!$C$29:$F$52,HOUR(C292)+Inputs!$C$69,MATCH(INDEX(Utility_Rates!$K$6:$K$17,MONTH(C292))&amp;IF(WEEKDAY(C292,Inputs!$C$76)&lt;=Inputs!$C$74," weekday"," weekend"),Utility_Rates!$C$28:$F$28,Inputs!$C$68)),"")</f>
      </c>
      <c r="H292" s="34"/>
      <c r="I292" s="42">
        <f>IF(AND(ISNUMBER(D292),ISNUMBER(H292)),D292*H292*Inputs!$C$69,"")</f>
      </c>
      <c r="J292" s="42">
        <f>IF(AND(ISNUMBER(F292),ISNUMBER(H292),F292&gt;=Inputs!$C$68),F292*H292*Inputs!$C$69,"")</f>
      </c>
    </row>
    <row r="293" spans="2:10" ht="15" customHeight="1" x14ac:dyDescent="0.2">
      <c r="B293" s="39">
        <f t="shared" si="2"/>
      </c>
      <c r="C293" s="40">
        <f>IF(Inputs!$C$60,Inputs!$C$11+(B293-Inputs!$C$69)/Inputs!$C$70,"")</f>
      </c>
      <c r="D293" s="15"/>
      <c r="E293" s="15"/>
      <c r="F293" s="11">
        <f t="shared" si="3"/>
      </c>
      <c r="G293" s="22" cm="1">
        <f t="array" ref="G293">IF(AND(Inputs!$C$60,Inputs!$C$61),INDEX(Utility_Rates!$C$29:$F$52,HOUR(C293)+Inputs!$C$69,MATCH(INDEX(Utility_Rates!$K$6:$K$17,MONTH(C293))&amp;IF(WEEKDAY(C293,Inputs!$C$76)&lt;=Inputs!$C$74," weekday"," weekend"),Utility_Rates!$C$28:$F$28,Inputs!$C$68)),"")</f>
      </c>
      <c r="H293" s="34"/>
      <c r="I293" s="42">
        <f>IF(AND(ISNUMBER(D293),ISNUMBER(H293)),D293*H293*Inputs!$C$69,"")</f>
      </c>
      <c r="J293" s="42">
        <f>IF(AND(ISNUMBER(F293),ISNUMBER(H293),F293&gt;=Inputs!$C$68),F293*H293*Inputs!$C$69,"")</f>
      </c>
    </row>
    <row r="294" spans="2:10" ht="15" customHeight="1" x14ac:dyDescent="0.2">
      <c r="B294" s="39">
        <f t="shared" si="2"/>
      </c>
      <c r="C294" s="40">
        <f>IF(Inputs!$C$60,Inputs!$C$11+(B294-Inputs!$C$69)/Inputs!$C$70,"")</f>
      </c>
      <c r="D294" s="15"/>
      <c r="E294" s="15"/>
      <c r="F294" s="11">
        <f t="shared" si="3"/>
      </c>
      <c r="G294" s="22" cm="1">
        <f t="array" ref="G294">IF(AND(Inputs!$C$60,Inputs!$C$61),INDEX(Utility_Rates!$C$29:$F$52,HOUR(C294)+Inputs!$C$69,MATCH(INDEX(Utility_Rates!$K$6:$K$17,MONTH(C294))&amp;IF(WEEKDAY(C294,Inputs!$C$76)&lt;=Inputs!$C$74," weekday"," weekend"),Utility_Rates!$C$28:$F$28,Inputs!$C$68)),"")</f>
      </c>
      <c r="H294" s="34"/>
      <c r="I294" s="42">
        <f>IF(AND(ISNUMBER(D294),ISNUMBER(H294)),D294*H294*Inputs!$C$69,"")</f>
      </c>
      <c r="J294" s="42">
        <f>IF(AND(ISNUMBER(F294),ISNUMBER(H294),F294&gt;=Inputs!$C$68),F294*H294*Inputs!$C$69,"")</f>
      </c>
    </row>
    <row r="295" spans="2:10" ht="15" customHeight="1" x14ac:dyDescent="0.2">
      <c r="B295" s="39">
        <f t="shared" si="2"/>
      </c>
      <c r="C295" s="40">
        <f>IF(Inputs!$C$60,Inputs!$C$11+(B295-Inputs!$C$69)/Inputs!$C$70,"")</f>
      </c>
      <c r="D295" s="15"/>
      <c r="E295" s="15"/>
      <c r="F295" s="11">
        <f t="shared" si="3"/>
      </c>
      <c r="G295" s="22" cm="1">
        <f t="array" ref="G295">IF(AND(Inputs!$C$60,Inputs!$C$61),INDEX(Utility_Rates!$C$29:$F$52,HOUR(C295)+Inputs!$C$69,MATCH(INDEX(Utility_Rates!$K$6:$K$17,MONTH(C295))&amp;IF(WEEKDAY(C295,Inputs!$C$76)&lt;=Inputs!$C$74," weekday"," weekend"),Utility_Rates!$C$28:$F$28,Inputs!$C$68)),"")</f>
      </c>
      <c r="H295" s="34"/>
      <c r="I295" s="42">
        <f>IF(AND(ISNUMBER(D295),ISNUMBER(H295)),D295*H295*Inputs!$C$69,"")</f>
      </c>
      <c r="J295" s="42">
        <f>IF(AND(ISNUMBER(F295),ISNUMBER(H295),F295&gt;=Inputs!$C$68),F295*H295*Inputs!$C$69,"")</f>
      </c>
    </row>
    <row r="296" spans="2:10" ht="15" customHeight="1" x14ac:dyDescent="0.2">
      <c r="B296" s="39">
        <f t="shared" si="2"/>
      </c>
      <c r="C296" s="40">
        <f>IF(Inputs!$C$60,Inputs!$C$11+(B296-Inputs!$C$69)/Inputs!$C$70,"")</f>
      </c>
      <c r="D296" s="15"/>
      <c r="E296" s="15"/>
      <c r="F296" s="11">
        <f t="shared" si="3"/>
      </c>
      <c r="G296" s="22" cm="1">
        <f t="array" ref="G296">IF(AND(Inputs!$C$60,Inputs!$C$61),INDEX(Utility_Rates!$C$29:$F$52,HOUR(C296)+Inputs!$C$69,MATCH(INDEX(Utility_Rates!$K$6:$K$17,MONTH(C296))&amp;IF(WEEKDAY(C296,Inputs!$C$76)&lt;=Inputs!$C$74," weekday"," weekend"),Utility_Rates!$C$28:$F$28,Inputs!$C$68)),"")</f>
      </c>
      <c r="H296" s="34"/>
      <c r="I296" s="42">
        <f>IF(AND(ISNUMBER(D296),ISNUMBER(H296)),D296*H296*Inputs!$C$69,"")</f>
      </c>
      <c r="J296" s="42">
        <f>IF(AND(ISNUMBER(F296),ISNUMBER(H296),F296&gt;=Inputs!$C$68),F296*H296*Inputs!$C$69,"")</f>
      </c>
    </row>
    <row r="297" spans="2:10" ht="15" customHeight="1" x14ac:dyDescent="0.2">
      <c r="B297" s="39">
        <f t="shared" si="2"/>
      </c>
      <c r="C297" s="40">
        <f>IF(Inputs!$C$60,Inputs!$C$11+(B297-Inputs!$C$69)/Inputs!$C$70,"")</f>
      </c>
      <c r="D297" s="15"/>
      <c r="E297" s="15"/>
      <c r="F297" s="11">
        <f t="shared" si="3"/>
      </c>
      <c r="G297" s="22" cm="1">
        <f t="array" ref="G297">IF(AND(Inputs!$C$60,Inputs!$C$61),INDEX(Utility_Rates!$C$29:$F$52,HOUR(C297)+Inputs!$C$69,MATCH(INDEX(Utility_Rates!$K$6:$K$17,MONTH(C297))&amp;IF(WEEKDAY(C297,Inputs!$C$76)&lt;=Inputs!$C$74," weekday"," weekend"),Utility_Rates!$C$28:$F$28,Inputs!$C$68)),"")</f>
      </c>
      <c r="H297" s="34"/>
      <c r="I297" s="42">
        <f>IF(AND(ISNUMBER(D297),ISNUMBER(H297)),D297*H297*Inputs!$C$69,"")</f>
      </c>
      <c r="J297" s="42">
        <f>IF(AND(ISNUMBER(F297),ISNUMBER(H297),F297&gt;=Inputs!$C$68),F297*H297*Inputs!$C$69,"")</f>
      </c>
    </row>
    <row r="298" spans="2:10" ht="15" customHeight="1" x14ac:dyDescent="0.2">
      <c r="B298" s="39">
        <f t="shared" si="2"/>
      </c>
      <c r="C298" s="40">
        <f>IF(Inputs!$C$60,Inputs!$C$11+(B298-Inputs!$C$69)/Inputs!$C$70,"")</f>
      </c>
      <c r="D298" s="15"/>
      <c r="E298" s="15"/>
      <c r="F298" s="11">
        <f t="shared" si="3"/>
      </c>
      <c r="G298" s="22" cm="1">
        <f t="array" ref="G298">IF(AND(Inputs!$C$60,Inputs!$C$61),INDEX(Utility_Rates!$C$29:$F$52,HOUR(C298)+Inputs!$C$69,MATCH(INDEX(Utility_Rates!$K$6:$K$17,MONTH(C298))&amp;IF(WEEKDAY(C298,Inputs!$C$76)&lt;=Inputs!$C$74," weekday"," weekend"),Utility_Rates!$C$28:$F$28,Inputs!$C$68)),"")</f>
      </c>
      <c r="H298" s="34"/>
      <c r="I298" s="42">
        <f>IF(AND(ISNUMBER(D298),ISNUMBER(H298)),D298*H298*Inputs!$C$69,"")</f>
      </c>
      <c r="J298" s="42">
        <f>IF(AND(ISNUMBER(F298),ISNUMBER(H298),F298&gt;=Inputs!$C$68),F298*H298*Inputs!$C$69,"")</f>
      </c>
    </row>
    <row r="299" spans="2:10" ht="15" customHeight="1" x14ac:dyDescent="0.2">
      <c r="B299" s="39">
        <f t="shared" si="2"/>
      </c>
      <c r="C299" s="40">
        <f>IF(Inputs!$C$60,Inputs!$C$11+(B299-Inputs!$C$69)/Inputs!$C$70,"")</f>
      </c>
      <c r="D299" s="15"/>
      <c r="E299" s="15"/>
      <c r="F299" s="11">
        <f t="shared" si="3"/>
      </c>
      <c r="G299" s="22" cm="1">
        <f t="array" ref="G299">IF(AND(Inputs!$C$60,Inputs!$C$61),INDEX(Utility_Rates!$C$29:$F$52,HOUR(C299)+Inputs!$C$69,MATCH(INDEX(Utility_Rates!$K$6:$K$17,MONTH(C299))&amp;IF(WEEKDAY(C299,Inputs!$C$76)&lt;=Inputs!$C$74," weekday"," weekend"),Utility_Rates!$C$28:$F$28,Inputs!$C$68)),"")</f>
      </c>
      <c r="H299" s="34"/>
      <c r="I299" s="42">
        <f>IF(AND(ISNUMBER(D299),ISNUMBER(H299)),D299*H299*Inputs!$C$69,"")</f>
      </c>
      <c r="J299" s="42">
        <f>IF(AND(ISNUMBER(F299),ISNUMBER(H299),F299&gt;=Inputs!$C$68),F299*H299*Inputs!$C$69,"")</f>
      </c>
    </row>
    <row r="300" spans="2:10" ht="15" customHeight="1" x14ac:dyDescent="0.2">
      <c r="B300" s="39">
        <f t="shared" si="2"/>
      </c>
      <c r="C300" s="40">
        <f>IF(Inputs!$C$60,Inputs!$C$11+(B300-Inputs!$C$69)/Inputs!$C$70,"")</f>
      </c>
      <c r="D300" s="15"/>
      <c r="E300" s="15"/>
      <c r="F300" s="11">
        <f t="shared" si="3"/>
      </c>
      <c r="G300" s="22" cm="1">
        <f t="array" ref="G300">IF(AND(Inputs!$C$60,Inputs!$C$61),INDEX(Utility_Rates!$C$29:$F$52,HOUR(C300)+Inputs!$C$69,MATCH(INDEX(Utility_Rates!$K$6:$K$17,MONTH(C300))&amp;IF(WEEKDAY(C300,Inputs!$C$76)&lt;=Inputs!$C$74," weekday"," weekend"),Utility_Rates!$C$28:$F$28,Inputs!$C$68)),"")</f>
      </c>
      <c r="H300" s="34"/>
      <c r="I300" s="42">
        <f>IF(AND(ISNUMBER(D300),ISNUMBER(H300)),D300*H300*Inputs!$C$69,"")</f>
      </c>
      <c r="J300" s="42">
        <f>IF(AND(ISNUMBER(F300),ISNUMBER(H300),F300&gt;=Inputs!$C$68),F300*H300*Inputs!$C$69,"")</f>
      </c>
    </row>
    <row r="301" spans="2:10" ht="15" customHeight="1" x14ac:dyDescent="0.2">
      <c r="B301" s="39">
        <f t="shared" si="2"/>
      </c>
      <c r="C301" s="40">
        <f>IF(Inputs!$C$60,Inputs!$C$11+(B301-Inputs!$C$69)/Inputs!$C$70,"")</f>
      </c>
      <c r="D301" s="15"/>
      <c r="E301" s="15"/>
      <c r="F301" s="11">
        <f t="shared" si="3"/>
      </c>
      <c r="G301" s="22" cm="1">
        <f t="array" ref="G301">IF(AND(Inputs!$C$60,Inputs!$C$61),INDEX(Utility_Rates!$C$29:$F$52,HOUR(C301)+Inputs!$C$69,MATCH(INDEX(Utility_Rates!$K$6:$K$17,MONTH(C301))&amp;IF(WEEKDAY(C301,Inputs!$C$76)&lt;=Inputs!$C$74," weekday"," weekend"),Utility_Rates!$C$28:$F$28,Inputs!$C$68)),"")</f>
      </c>
      <c r="H301" s="34"/>
      <c r="I301" s="42">
        <f>IF(AND(ISNUMBER(D301),ISNUMBER(H301)),D301*H301*Inputs!$C$69,"")</f>
      </c>
      <c r="J301" s="42">
        <f>IF(AND(ISNUMBER(F301),ISNUMBER(H301),F301&gt;=Inputs!$C$68),F301*H301*Inputs!$C$69,"")</f>
      </c>
    </row>
    <row r="302" spans="2:10" ht="15" customHeight="1" x14ac:dyDescent="0.2">
      <c r="B302" s="39">
        <f t="shared" si="2"/>
      </c>
      <c r="C302" s="40">
        <f>IF(Inputs!$C$60,Inputs!$C$11+(B302-Inputs!$C$69)/Inputs!$C$70,"")</f>
      </c>
      <c r="D302" s="15"/>
      <c r="E302" s="15"/>
      <c r="F302" s="11">
        <f t="shared" si="3"/>
      </c>
      <c r="G302" s="22" cm="1">
        <f t="array" ref="G302">IF(AND(Inputs!$C$60,Inputs!$C$61),INDEX(Utility_Rates!$C$29:$F$52,HOUR(C302)+Inputs!$C$69,MATCH(INDEX(Utility_Rates!$K$6:$K$17,MONTH(C302))&amp;IF(WEEKDAY(C302,Inputs!$C$76)&lt;=Inputs!$C$74," weekday"," weekend"),Utility_Rates!$C$28:$F$28,Inputs!$C$68)),"")</f>
      </c>
      <c r="H302" s="34"/>
      <c r="I302" s="42">
        <f>IF(AND(ISNUMBER(D302),ISNUMBER(H302)),D302*H302*Inputs!$C$69,"")</f>
      </c>
      <c r="J302" s="42">
        <f>IF(AND(ISNUMBER(F302),ISNUMBER(H302),F302&gt;=Inputs!$C$68),F302*H302*Inputs!$C$69,"")</f>
      </c>
    </row>
    <row r="303" spans="2:10" ht="15" customHeight="1" x14ac:dyDescent="0.2">
      <c r="B303" s="39">
        <f t="shared" si="2"/>
      </c>
      <c r="C303" s="40">
        <f>IF(Inputs!$C$60,Inputs!$C$11+(B303-Inputs!$C$69)/Inputs!$C$70,"")</f>
      </c>
      <c r="D303" s="15"/>
      <c r="E303" s="15"/>
      <c r="F303" s="11">
        <f t="shared" si="3"/>
      </c>
      <c r="G303" s="22" cm="1">
        <f t="array" ref="G303">IF(AND(Inputs!$C$60,Inputs!$C$61),INDEX(Utility_Rates!$C$29:$F$52,HOUR(C303)+Inputs!$C$69,MATCH(INDEX(Utility_Rates!$K$6:$K$17,MONTH(C303))&amp;IF(WEEKDAY(C303,Inputs!$C$76)&lt;=Inputs!$C$74," weekday"," weekend"),Utility_Rates!$C$28:$F$28,Inputs!$C$68)),"")</f>
      </c>
      <c r="H303" s="34"/>
      <c r="I303" s="42">
        <f>IF(AND(ISNUMBER(D303),ISNUMBER(H303)),D303*H303*Inputs!$C$69,"")</f>
      </c>
      <c r="J303" s="42">
        <f>IF(AND(ISNUMBER(F303),ISNUMBER(H303),F303&gt;=Inputs!$C$68),F303*H303*Inputs!$C$69,"")</f>
      </c>
    </row>
    <row r="304" spans="2:10" ht="15" customHeight="1" x14ac:dyDescent="0.2">
      <c r="B304" s="39">
        <f t="shared" si="2"/>
      </c>
      <c r="C304" s="40">
        <f>IF(Inputs!$C$60,Inputs!$C$11+(B304-Inputs!$C$69)/Inputs!$C$70,"")</f>
      </c>
      <c r="D304" s="15"/>
      <c r="E304" s="15"/>
      <c r="F304" s="11">
        <f t="shared" si="3"/>
      </c>
      <c r="G304" s="22" cm="1">
        <f t="array" ref="G304">IF(AND(Inputs!$C$60,Inputs!$C$61),INDEX(Utility_Rates!$C$29:$F$52,HOUR(C304)+Inputs!$C$69,MATCH(INDEX(Utility_Rates!$K$6:$K$17,MONTH(C304))&amp;IF(WEEKDAY(C304,Inputs!$C$76)&lt;=Inputs!$C$74," weekday"," weekend"),Utility_Rates!$C$28:$F$28,Inputs!$C$68)),"")</f>
      </c>
      <c r="H304" s="34"/>
      <c r="I304" s="42">
        <f>IF(AND(ISNUMBER(D304),ISNUMBER(H304)),D304*H304*Inputs!$C$69,"")</f>
      </c>
      <c r="J304" s="42">
        <f>IF(AND(ISNUMBER(F304),ISNUMBER(H304),F304&gt;=Inputs!$C$68),F304*H304*Inputs!$C$69,"")</f>
      </c>
    </row>
    <row r="305" spans="2:10" ht="15" customHeight="1" x14ac:dyDescent="0.2">
      <c r="B305" s="39">
        <f t="shared" si="2"/>
      </c>
      <c r="C305" s="40">
        <f>IF(Inputs!$C$60,Inputs!$C$11+(B305-Inputs!$C$69)/Inputs!$C$70,"")</f>
      </c>
      <c r="D305" s="15"/>
      <c r="E305" s="15"/>
      <c r="F305" s="11">
        <f t="shared" si="3"/>
      </c>
      <c r="G305" s="22" cm="1">
        <f t="array" ref="G305">IF(AND(Inputs!$C$60,Inputs!$C$61),INDEX(Utility_Rates!$C$29:$F$52,HOUR(C305)+Inputs!$C$69,MATCH(INDEX(Utility_Rates!$K$6:$K$17,MONTH(C305))&amp;IF(WEEKDAY(C305,Inputs!$C$76)&lt;=Inputs!$C$74," weekday"," weekend"),Utility_Rates!$C$28:$F$28,Inputs!$C$68)),"")</f>
      </c>
      <c r="H305" s="34"/>
      <c r="I305" s="42">
        <f>IF(AND(ISNUMBER(D305),ISNUMBER(H305)),D305*H305*Inputs!$C$69,"")</f>
      </c>
      <c r="J305" s="42">
        <f>IF(AND(ISNUMBER(F305),ISNUMBER(H305),F305&gt;=Inputs!$C$68),F305*H305*Inputs!$C$69,"")</f>
      </c>
    </row>
    <row r="306" spans="2:10" ht="15" customHeight="1" x14ac:dyDescent="0.2">
      <c r="B306" s="39">
        <f t="shared" si="2"/>
      </c>
      <c r="C306" s="40">
        <f>IF(Inputs!$C$60,Inputs!$C$11+(B306-Inputs!$C$69)/Inputs!$C$70,"")</f>
      </c>
      <c r="D306" s="15"/>
      <c r="E306" s="15"/>
      <c r="F306" s="11">
        <f t="shared" si="3"/>
      </c>
      <c r="G306" s="22" cm="1">
        <f t="array" ref="G306">IF(AND(Inputs!$C$60,Inputs!$C$61),INDEX(Utility_Rates!$C$29:$F$52,HOUR(C306)+Inputs!$C$69,MATCH(INDEX(Utility_Rates!$K$6:$K$17,MONTH(C306))&amp;IF(WEEKDAY(C306,Inputs!$C$76)&lt;=Inputs!$C$74," weekday"," weekend"),Utility_Rates!$C$28:$F$28,Inputs!$C$68)),"")</f>
      </c>
      <c r="H306" s="34"/>
      <c r="I306" s="42">
        <f>IF(AND(ISNUMBER(D306),ISNUMBER(H306)),D306*H306*Inputs!$C$69,"")</f>
      </c>
      <c r="J306" s="42">
        <f>IF(AND(ISNUMBER(F306),ISNUMBER(H306),F306&gt;=Inputs!$C$68),F306*H306*Inputs!$C$69,"")</f>
      </c>
    </row>
    <row r="307" spans="2:10" ht="15" customHeight="1" x14ac:dyDescent="0.2">
      <c r="B307" s="39">
        <f t="shared" si="2"/>
      </c>
      <c r="C307" s="40">
        <f>IF(Inputs!$C$60,Inputs!$C$11+(B307-Inputs!$C$69)/Inputs!$C$70,"")</f>
      </c>
      <c r="D307" s="15"/>
      <c r="E307" s="15"/>
      <c r="F307" s="11">
        <f t="shared" si="3"/>
      </c>
      <c r="G307" s="22" cm="1">
        <f t="array" ref="G307">IF(AND(Inputs!$C$60,Inputs!$C$61),INDEX(Utility_Rates!$C$29:$F$52,HOUR(C307)+Inputs!$C$69,MATCH(INDEX(Utility_Rates!$K$6:$K$17,MONTH(C307))&amp;IF(WEEKDAY(C307,Inputs!$C$76)&lt;=Inputs!$C$74," weekday"," weekend"),Utility_Rates!$C$28:$F$28,Inputs!$C$68)),"")</f>
      </c>
      <c r="H307" s="34"/>
      <c r="I307" s="42">
        <f>IF(AND(ISNUMBER(D307),ISNUMBER(H307)),D307*H307*Inputs!$C$69,"")</f>
      </c>
      <c r="J307" s="42">
        <f>IF(AND(ISNUMBER(F307),ISNUMBER(H307),F307&gt;=Inputs!$C$68),F307*H307*Inputs!$C$69,"")</f>
      </c>
    </row>
    <row r="308" spans="2:10" ht="15" customHeight="1" x14ac:dyDescent="0.2">
      <c r="B308" s="39">
        <f t="shared" si="2"/>
      </c>
      <c r="C308" s="40">
        <f>IF(Inputs!$C$60,Inputs!$C$11+(B308-Inputs!$C$69)/Inputs!$C$70,"")</f>
      </c>
      <c r="D308" s="15"/>
      <c r="E308" s="15"/>
      <c r="F308" s="11">
        <f t="shared" si="3"/>
      </c>
      <c r="G308" s="22" cm="1">
        <f t="array" ref="G308">IF(AND(Inputs!$C$60,Inputs!$C$61),INDEX(Utility_Rates!$C$29:$F$52,HOUR(C308)+Inputs!$C$69,MATCH(INDEX(Utility_Rates!$K$6:$K$17,MONTH(C308))&amp;IF(WEEKDAY(C308,Inputs!$C$76)&lt;=Inputs!$C$74," weekday"," weekend"),Utility_Rates!$C$28:$F$28,Inputs!$C$68)),"")</f>
      </c>
      <c r="H308" s="34"/>
      <c r="I308" s="42">
        <f>IF(AND(ISNUMBER(D308),ISNUMBER(H308)),D308*H308*Inputs!$C$69,"")</f>
      </c>
      <c r="J308" s="42">
        <f>IF(AND(ISNUMBER(F308),ISNUMBER(H308),F308&gt;=Inputs!$C$68),F308*H308*Inputs!$C$69,"")</f>
      </c>
    </row>
    <row r="309" spans="2:10" ht="15" customHeight="1" x14ac:dyDescent="0.2">
      <c r="B309" s="39">
        <f t="shared" si="2"/>
      </c>
      <c r="C309" s="40">
        <f>IF(Inputs!$C$60,Inputs!$C$11+(B309-Inputs!$C$69)/Inputs!$C$70,"")</f>
      </c>
      <c r="D309" s="15"/>
      <c r="E309" s="15"/>
      <c r="F309" s="11">
        <f t="shared" si="3"/>
      </c>
      <c r="G309" s="22" cm="1">
        <f t="array" ref="G309">IF(AND(Inputs!$C$60,Inputs!$C$61),INDEX(Utility_Rates!$C$29:$F$52,HOUR(C309)+Inputs!$C$69,MATCH(INDEX(Utility_Rates!$K$6:$K$17,MONTH(C309))&amp;IF(WEEKDAY(C309,Inputs!$C$76)&lt;=Inputs!$C$74," weekday"," weekend"),Utility_Rates!$C$28:$F$28,Inputs!$C$68)),"")</f>
      </c>
      <c r="H309" s="34"/>
      <c r="I309" s="42">
        <f>IF(AND(ISNUMBER(D309),ISNUMBER(H309)),D309*H309*Inputs!$C$69,"")</f>
      </c>
      <c r="J309" s="42">
        <f>IF(AND(ISNUMBER(F309),ISNUMBER(H309),F309&gt;=Inputs!$C$68),F309*H309*Inputs!$C$69,"")</f>
      </c>
    </row>
    <row r="310" spans="2:10" ht="15" customHeight="1" x14ac:dyDescent="0.2">
      <c r="B310" s="39">
        <f t="shared" si="2"/>
      </c>
      <c r="C310" s="40">
        <f>IF(Inputs!$C$60,Inputs!$C$11+(B310-Inputs!$C$69)/Inputs!$C$70,"")</f>
      </c>
      <c r="D310" s="15"/>
      <c r="E310" s="15"/>
      <c r="F310" s="11">
        <f t="shared" si="3"/>
      </c>
      <c r="G310" s="22" cm="1">
        <f t="array" ref="G310">IF(AND(Inputs!$C$60,Inputs!$C$61),INDEX(Utility_Rates!$C$29:$F$52,HOUR(C310)+Inputs!$C$69,MATCH(INDEX(Utility_Rates!$K$6:$K$17,MONTH(C310))&amp;IF(WEEKDAY(C310,Inputs!$C$76)&lt;=Inputs!$C$74," weekday"," weekend"),Utility_Rates!$C$28:$F$28,Inputs!$C$68)),"")</f>
      </c>
      <c r="H310" s="34"/>
      <c r="I310" s="42">
        <f>IF(AND(ISNUMBER(D310),ISNUMBER(H310)),D310*H310*Inputs!$C$69,"")</f>
      </c>
      <c r="J310" s="42">
        <f>IF(AND(ISNUMBER(F310),ISNUMBER(H310),F310&gt;=Inputs!$C$68),F310*H310*Inputs!$C$69,"")</f>
      </c>
    </row>
    <row r="311" spans="2:10" ht="15" customHeight="1" x14ac:dyDescent="0.2">
      <c r="B311" s="39">
        <f t="shared" si="2"/>
      </c>
      <c r="C311" s="40">
        <f>IF(Inputs!$C$60,Inputs!$C$11+(B311-Inputs!$C$69)/Inputs!$C$70,"")</f>
      </c>
      <c r="D311" s="15"/>
      <c r="E311" s="15"/>
      <c r="F311" s="11">
        <f t="shared" si="3"/>
      </c>
      <c r="G311" s="22" cm="1">
        <f t="array" ref="G311">IF(AND(Inputs!$C$60,Inputs!$C$61),INDEX(Utility_Rates!$C$29:$F$52,HOUR(C311)+Inputs!$C$69,MATCH(INDEX(Utility_Rates!$K$6:$K$17,MONTH(C311))&amp;IF(WEEKDAY(C311,Inputs!$C$76)&lt;=Inputs!$C$74," weekday"," weekend"),Utility_Rates!$C$28:$F$28,Inputs!$C$68)),"")</f>
      </c>
      <c r="H311" s="34"/>
      <c r="I311" s="42">
        <f>IF(AND(ISNUMBER(D311),ISNUMBER(H311)),D311*H311*Inputs!$C$69,"")</f>
      </c>
      <c r="J311" s="42">
        <f>IF(AND(ISNUMBER(F311),ISNUMBER(H311),F311&gt;=Inputs!$C$68),F311*H311*Inputs!$C$69,"")</f>
      </c>
    </row>
    <row r="312" spans="2:10" ht="15" customHeight="1" x14ac:dyDescent="0.2">
      <c r="B312" s="39">
        <f t="shared" si="2"/>
      </c>
      <c r="C312" s="40">
        <f>IF(Inputs!$C$60,Inputs!$C$11+(B312-Inputs!$C$69)/Inputs!$C$70,"")</f>
      </c>
      <c r="D312" s="15"/>
      <c r="E312" s="15"/>
      <c r="F312" s="11">
        <f t="shared" si="3"/>
      </c>
      <c r="G312" s="22" cm="1">
        <f t="array" ref="G312">IF(AND(Inputs!$C$60,Inputs!$C$61),INDEX(Utility_Rates!$C$29:$F$52,HOUR(C312)+Inputs!$C$69,MATCH(INDEX(Utility_Rates!$K$6:$K$17,MONTH(C312))&amp;IF(WEEKDAY(C312,Inputs!$C$76)&lt;=Inputs!$C$74," weekday"," weekend"),Utility_Rates!$C$28:$F$28,Inputs!$C$68)),"")</f>
      </c>
      <c r="H312" s="34"/>
      <c r="I312" s="42">
        <f>IF(AND(ISNUMBER(D312),ISNUMBER(H312)),D312*H312*Inputs!$C$69,"")</f>
      </c>
      <c r="J312" s="42">
        <f>IF(AND(ISNUMBER(F312),ISNUMBER(H312),F312&gt;=Inputs!$C$68),F312*H312*Inputs!$C$69,"")</f>
      </c>
    </row>
    <row r="313" spans="2:10" ht="15" customHeight="1" x14ac:dyDescent="0.2">
      <c r="B313" s="39">
        <f t="shared" si="2"/>
      </c>
      <c r="C313" s="40">
        <f>IF(Inputs!$C$60,Inputs!$C$11+(B313-Inputs!$C$69)/Inputs!$C$70,"")</f>
      </c>
      <c r="D313" s="15"/>
      <c r="E313" s="15"/>
      <c r="F313" s="11">
        <f t="shared" si="3"/>
      </c>
      <c r="G313" s="22" cm="1">
        <f t="array" ref="G313">IF(AND(Inputs!$C$60,Inputs!$C$61),INDEX(Utility_Rates!$C$29:$F$52,HOUR(C313)+Inputs!$C$69,MATCH(INDEX(Utility_Rates!$K$6:$K$17,MONTH(C313))&amp;IF(WEEKDAY(C313,Inputs!$C$76)&lt;=Inputs!$C$74," weekday"," weekend"),Utility_Rates!$C$28:$F$28,Inputs!$C$68)),"")</f>
      </c>
      <c r="H313" s="34"/>
      <c r="I313" s="42">
        <f>IF(AND(ISNUMBER(D313),ISNUMBER(H313)),D313*H313*Inputs!$C$69,"")</f>
      </c>
      <c r="J313" s="42">
        <f>IF(AND(ISNUMBER(F313),ISNUMBER(H313),F313&gt;=Inputs!$C$68),F313*H313*Inputs!$C$69,"")</f>
      </c>
    </row>
    <row r="314" spans="2:10" ht="15" customHeight="1" x14ac:dyDescent="0.2">
      <c r="B314" s="39">
        <f t="shared" si="2"/>
      </c>
      <c r="C314" s="40">
        <f>IF(Inputs!$C$60,Inputs!$C$11+(B314-Inputs!$C$69)/Inputs!$C$70,"")</f>
      </c>
      <c r="D314" s="15"/>
      <c r="E314" s="15"/>
      <c r="F314" s="11">
        <f t="shared" si="3"/>
      </c>
      <c r="G314" s="22" cm="1">
        <f t="array" ref="G314">IF(AND(Inputs!$C$60,Inputs!$C$61),INDEX(Utility_Rates!$C$29:$F$52,HOUR(C314)+Inputs!$C$69,MATCH(INDEX(Utility_Rates!$K$6:$K$17,MONTH(C314))&amp;IF(WEEKDAY(C314,Inputs!$C$76)&lt;=Inputs!$C$74," weekday"," weekend"),Utility_Rates!$C$28:$F$28,Inputs!$C$68)),"")</f>
      </c>
      <c r="H314" s="34"/>
      <c r="I314" s="42">
        <f>IF(AND(ISNUMBER(D314),ISNUMBER(H314)),D314*H314*Inputs!$C$69,"")</f>
      </c>
      <c r="J314" s="42">
        <f>IF(AND(ISNUMBER(F314),ISNUMBER(H314),F314&gt;=Inputs!$C$68),F314*H314*Inputs!$C$69,"")</f>
      </c>
    </row>
    <row r="315" spans="2:10" ht="15" customHeight="1" x14ac:dyDescent="0.2">
      <c r="B315" s="39">
        <f t="shared" si="2"/>
      </c>
      <c r="C315" s="40">
        <f>IF(Inputs!$C$60,Inputs!$C$11+(B315-Inputs!$C$69)/Inputs!$C$70,"")</f>
      </c>
      <c r="D315" s="15"/>
      <c r="E315" s="15"/>
      <c r="F315" s="11">
        <f t="shared" si="3"/>
      </c>
      <c r="G315" s="22" cm="1">
        <f t="array" ref="G315">IF(AND(Inputs!$C$60,Inputs!$C$61),INDEX(Utility_Rates!$C$29:$F$52,HOUR(C315)+Inputs!$C$69,MATCH(INDEX(Utility_Rates!$K$6:$K$17,MONTH(C315))&amp;IF(WEEKDAY(C315,Inputs!$C$76)&lt;=Inputs!$C$74," weekday"," weekend"),Utility_Rates!$C$28:$F$28,Inputs!$C$68)),"")</f>
      </c>
      <c r="H315" s="34"/>
      <c r="I315" s="42">
        <f>IF(AND(ISNUMBER(D315),ISNUMBER(H315)),D315*H315*Inputs!$C$69,"")</f>
      </c>
      <c r="J315" s="42">
        <f>IF(AND(ISNUMBER(F315),ISNUMBER(H315),F315&gt;=Inputs!$C$68),F315*H315*Inputs!$C$69,"")</f>
      </c>
    </row>
    <row r="316" spans="2:10" ht="15" customHeight="1" x14ac:dyDescent="0.2">
      <c r="B316" s="39">
        <f t="shared" si="2"/>
      </c>
      <c r="C316" s="40">
        <f>IF(Inputs!$C$60,Inputs!$C$11+(B316-Inputs!$C$69)/Inputs!$C$70,"")</f>
      </c>
      <c r="D316" s="15"/>
      <c r="E316" s="15"/>
      <c r="F316" s="11">
        <f t="shared" si="3"/>
      </c>
      <c r="G316" s="22" cm="1">
        <f t="array" ref="G316">IF(AND(Inputs!$C$60,Inputs!$C$61),INDEX(Utility_Rates!$C$29:$F$52,HOUR(C316)+Inputs!$C$69,MATCH(INDEX(Utility_Rates!$K$6:$K$17,MONTH(C316))&amp;IF(WEEKDAY(C316,Inputs!$C$76)&lt;=Inputs!$C$74," weekday"," weekend"),Utility_Rates!$C$28:$F$28,Inputs!$C$68)),"")</f>
      </c>
      <c r="H316" s="34"/>
      <c r="I316" s="42">
        <f>IF(AND(ISNUMBER(D316),ISNUMBER(H316)),D316*H316*Inputs!$C$69,"")</f>
      </c>
      <c r="J316" s="42">
        <f>IF(AND(ISNUMBER(F316),ISNUMBER(H316),F316&gt;=Inputs!$C$68),F316*H316*Inputs!$C$69,"")</f>
      </c>
    </row>
    <row r="317" spans="2:10" ht="15" customHeight="1" x14ac:dyDescent="0.2">
      <c r="B317" s="39">
        <f t="shared" si="2"/>
      </c>
      <c r="C317" s="40">
        <f>IF(Inputs!$C$60,Inputs!$C$11+(B317-Inputs!$C$69)/Inputs!$C$70,"")</f>
      </c>
      <c r="D317" s="15"/>
      <c r="E317" s="15"/>
      <c r="F317" s="11">
        <f t="shared" si="3"/>
      </c>
      <c r="G317" s="22" cm="1">
        <f t="array" ref="G317">IF(AND(Inputs!$C$60,Inputs!$C$61),INDEX(Utility_Rates!$C$29:$F$52,HOUR(C317)+Inputs!$C$69,MATCH(INDEX(Utility_Rates!$K$6:$K$17,MONTH(C317))&amp;IF(WEEKDAY(C317,Inputs!$C$76)&lt;=Inputs!$C$74," weekday"," weekend"),Utility_Rates!$C$28:$F$28,Inputs!$C$68)),"")</f>
      </c>
      <c r="H317" s="34"/>
      <c r="I317" s="42">
        <f>IF(AND(ISNUMBER(D317),ISNUMBER(H317)),D317*H317*Inputs!$C$69,"")</f>
      </c>
      <c r="J317" s="42">
        <f>IF(AND(ISNUMBER(F317),ISNUMBER(H317),F317&gt;=Inputs!$C$68),F317*H317*Inputs!$C$69,"")</f>
      </c>
    </row>
    <row r="318" spans="2:10" ht="15" customHeight="1" x14ac:dyDescent="0.2">
      <c r="B318" s="39">
        <f t="shared" si="2"/>
      </c>
      <c r="C318" s="40">
        <f>IF(Inputs!$C$60,Inputs!$C$11+(B318-Inputs!$C$69)/Inputs!$C$70,"")</f>
      </c>
      <c r="D318" s="15"/>
      <c r="E318" s="15"/>
      <c r="F318" s="11">
        <f t="shared" si="3"/>
      </c>
      <c r="G318" s="22" cm="1">
        <f t="array" ref="G318">IF(AND(Inputs!$C$60,Inputs!$C$61),INDEX(Utility_Rates!$C$29:$F$52,HOUR(C318)+Inputs!$C$69,MATCH(INDEX(Utility_Rates!$K$6:$K$17,MONTH(C318))&amp;IF(WEEKDAY(C318,Inputs!$C$76)&lt;=Inputs!$C$74," weekday"," weekend"),Utility_Rates!$C$28:$F$28,Inputs!$C$68)),"")</f>
      </c>
      <c r="H318" s="34"/>
      <c r="I318" s="42">
        <f>IF(AND(ISNUMBER(D318),ISNUMBER(H318)),D318*H318*Inputs!$C$69,"")</f>
      </c>
      <c r="J318" s="42">
        <f>IF(AND(ISNUMBER(F318),ISNUMBER(H318),F318&gt;=Inputs!$C$68),F318*H318*Inputs!$C$69,"")</f>
      </c>
    </row>
    <row r="319" spans="2:10" ht="15" customHeight="1" x14ac:dyDescent="0.2">
      <c r="B319" s="39">
        <f t="shared" si="2"/>
      </c>
      <c r="C319" s="40">
        <f>IF(Inputs!$C$60,Inputs!$C$11+(B319-Inputs!$C$69)/Inputs!$C$70,"")</f>
      </c>
      <c r="D319" s="15"/>
      <c r="E319" s="15"/>
      <c r="F319" s="11">
        <f t="shared" si="3"/>
      </c>
      <c r="G319" s="22" cm="1">
        <f t="array" ref="G319">IF(AND(Inputs!$C$60,Inputs!$C$61),INDEX(Utility_Rates!$C$29:$F$52,HOUR(C319)+Inputs!$C$69,MATCH(INDEX(Utility_Rates!$K$6:$K$17,MONTH(C319))&amp;IF(WEEKDAY(C319,Inputs!$C$76)&lt;=Inputs!$C$74," weekday"," weekend"),Utility_Rates!$C$28:$F$28,Inputs!$C$68)),"")</f>
      </c>
      <c r="H319" s="34"/>
      <c r="I319" s="42">
        <f>IF(AND(ISNUMBER(D319),ISNUMBER(H319)),D319*H319*Inputs!$C$69,"")</f>
      </c>
      <c r="J319" s="42">
        <f>IF(AND(ISNUMBER(F319),ISNUMBER(H319),F319&gt;=Inputs!$C$68),F319*H319*Inputs!$C$69,"")</f>
      </c>
    </row>
    <row r="320" spans="2:10" ht="15" customHeight="1" x14ac:dyDescent="0.2">
      <c r="B320" s="39">
        <f t="shared" si="2"/>
      </c>
      <c r="C320" s="40">
        <f>IF(Inputs!$C$60,Inputs!$C$11+(B320-Inputs!$C$69)/Inputs!$C$70,"")</f>
      </c>
      <c r="D320" s="15"/>
      <c r="E320" s="15"/>
      <c r="F320" s="11">
        <f t="shared" si="3"/>
      </c>
      <c r="G320" s="22" cm="1">
        <f t="array" ref="G320">IF(AND(Inputs!$C$60,Inputs!$C$61),INDEX(Utility_Rates!$C$29:$F$52,HOUR(C320)+Inputs!$C$69,MATCH(INDEX(Utility_Rates!$K$6:$K$17,MONTH(C320))&amp;IF(WEEKDAY(C320,Inputs!$C$76)&lt;=Inputs!$C$74," weekday"," weekend"),Utility_Rates!$C$28:$F$28,Inputs!$C$68)),"")</f>
      </c>
      <c r="H320" s="34"/>
      <c r="I320" s="42">
        <f>IF(AND(ISNUMBER(D320),ISNUMBER(H320)),D320*H320*Inputs!$C$69,"")</f>
      </c>
      <c r="J320" s="42">
        <f>IF(AND(ISNUMBER(F320),ISNUMBER(H320),F320&gt;=Inputs!$C$68),F320*H320*Inputs!$C$69,"")</f>
      </c>
    </row>
    <row r="321" spans="2:10" ht="15" customHeight="1" x14ac:dyDescent="0.2">
      <c r="B321" s="39">
        <f t="shared" si="2"/>
      </c>
      <c r="C321" s="40">
        <f>IF(Inputs!$C$60,Inputs!$C$11+(B321-Inputs!$C$69)/Inputs!$C$70,"")</f>
      </c>
      <c r="D321" s="15"/>
      <c r="E321" s="15"/>
      <c r="F321" s="11">
        <f t="shared" si="3"/>
      </c>
      <c r="G321" s="22" cm="1">
        <f t="array" ref="G321">IF(AND(Inputs!$C$60,Inputs!$C$61),INDEX(Utility_Rates!$C$29:$F$52,HOUR(C321)+Inputs!$C$69,MATCH(INDEX(Utility_Rates!$K$6:$K$17,MONTH(C321))&amp;IF(WEEKDAY(C321,Inputs!$C$76)&lt;=Inputs!$C$74," weekday"," weekend"),Utility_Rates!$C$28:$F$28,Inputs!$C$68)),"")</f>
      </c>
      <c r="H321" s="34"/>
      <c r="I321" s="42">
        <f>IF(AND(ISNUMBER(D321),ISNUMBER(H321)),D321*H321*Inputs!$C$69,"")</f>
      </c>
      <c r="J321" s="42">
        <f>IF(AND(ISNUMBER(F321),ISNUMBER(H321),F321&gt;=Inputs!$C$68),F321*H321*Inputs!$C$69,"")</f>
      </c>
    </row>
    <row r="322" spans="2:10" ht="15" customHeight="1" x14ac:dyDescent="0.2">
      <c r="B322" s="39">
        <f t="shared" si="2"/>
      </c>
      <c r="C322" s="40">
        <f>IF(Inputs!$C$60,Inputs!$C$11+(B322-Inputs!$C$69)/Inputs!$C$70,"")</f>
      </c>
      <c r="D322" s="15"/>
      <c r="E322" s="15"/>
      <c r="F322" s="11">
        <f t="shared" si="3"/>
      </c>
      <c r="G322" s="22" cm="1">
        <f t="array" ref="G322">IF(AND(Inputs!$C$60,Inputs!$C$61),INDEX(Utility_Rates!$C$29:$F$52,HOUR(C322)+Inputs!$C$69,MATCH(INDEX(Utility_Rates!$K$6:$K$17,MONTH(C322))&amp;IF(WEEKDAY(C322,Inputs!$C$76)&lt;=Inputs!$C$74," weekday"," weekend"),Utility_Rates!$C$28:$F$28,Inputs!$C$68)),"")</f>
      </c>
      <c r="H322" s="34"/>
      <c r="I322" s="42">
        <f>IF(AND(ISNUMBER(D322),ISNUMBER(H322)),D322*H322*Inputs!$C$69,"")</f>
      </c>
      <c r="J322" s="42">
        <f>IF(AND(ISNUMBER(F322),ISNUMBER(H322),F322&gt;=Inputs!$C$68),F322*H322*Inputs!$C$69,"")</f>
      </c>
    </row>
    <row r="323" spans="2:10" ht="15" customHeight="1" x14ac:dyDescent="0.2">
      <c r="B323" s="39">
        <f t="shared" si="2"/>
      </c>
      <c r="C323" s="40">
        <f>IF(Inputs!$C$60,Inputs!$C$11+(B323-Inputs!$C$69)/Inputs!$C$70,"")</f>
      </c>
      <c r="D323" s="15"/>
      <c r="E323" s="15"/>
      <c r="F323" s="11">
        <f t="shared" si="3"/>
      </c>
      <c r="G323" s="22" cm="1">
        <f t="array" ref="G323">IF(AND(Inputs!$C$60,Inputs!$C$61),INDEX(Utility_Rates!$C$29:$F$52,HOUR(C323)+Inputs!$C$69,MATCH(INDEX(Utility_Rates!$K$6:$K$17,MONTH(C323))&amp;IF(WEEKDAY(C323,Inputs!$C$76)&lt;=Inputs!$C$74," weekday"," weekend"),Utility_Rates!$C$28:$F$28,Inputs!$C$68)),"")</f>
      </c>
      <c r="H323" s="34"/>
      <c r="I323" s="42">
        <f>IF(AND(ISNUMBER(D323),ISNUMBER(H323)),D323*H323*Inputs!$C$69,"")</f>
      </c>
      <c r="J323" s="42">
        <f>IF(AND(ISNUMBER(F323),ISNUMBER(H323),F323&gt;=Inputs!$C$68),F323*H323*Inputs!$C$69,"")</f>
      </c>
    </row>
    <row r="324" spans="2:10" ht="15" customHeight="1" x14ac:dyDescent="0.2">
      <c r="B324" s="39">
        <f t="shared" si="2"/>
      </c>
      <c r="C324" s="40">
        <f>IF(Inputs!$C$60,Inputs!$C$11+(B324-Inputs!$C$69)/Inputs!$C$70,"")</f>
      </c>
      <c r="D324" s="15"/>
      <c r="E324" s="15"/>
      <c r="F324" s="11">
        <f t="shared" si="3"/>
      </c>
      <c r="G324" s="22" cm="1">
        <f t="array" ref="G324">IF(AND(Inputs!$C$60,Inputs!$C$61),INDEX(Utility_Rates!$C$29:$F$52,HOUR(C324)+Inputs!$C$69,MATCH(INDEX(Utility_Rates!$K$6:$K$17,MONTH(C324))&amp;IF(WEEKDAY(C324,Inputs!$C$76)&lt;=Inputs!$C$74," weekday"," weekend"),Utility_Rates!$C$28:$F$28,Inputs!$C$68)),"")</f>
      </c>
      <c r="H324" s="34"/>
      <c r="I324" s="42">
        <f>IF(AND(ISNUMBER(D324),ISNUMBER(H324)),D324*H324*Inputs!$C$69,"")</f>
      </c>
      <c r="J324" s="42">
        <f>IF(AND(ISNUMBER(F324),ISNUMBER(H324),F324&gt;=Inputs!$C$68),F324*H324*Inputs!$C$69,"")</f>
      </c>
    </row>
    <row r="325" spans="2:10" ht="15" customHeight="1" x14ac:dyDescent="0.2">
      <c r="B325" s="39">
        <f t="shared" si="2"/>
      </c>
      <c r="C325" s="40">
        <f>IF(Inputs!$C$60,Inputs!$C$11+(B325-Inputs!$C$69)/Inputs!$C$70,"")</f>
      </c>
      <c r="D325" s="15"/>
      <c r="E325" s="15"/>
      <c r="F325" s="11">
        <f t="shared" si="3"/>
      </c>
      <c r="G325" s="22" cm="1">
        <f t="array" ref="G325">IF(AND(Inputs!$C$60,Inputs!$C$61),INDEX(Utility_Rates!$C$29:$F$52,HOUR(C325)+Inputs!$C$69,MATCH(INDEX(Utility_Rates!$K$6:$K$17,MONTH(C325))&amp;IF(WEEKDAY(C325,Inputs!$C$76)&lt;=Inputs!$C$74," weekday"," weekend"),Utility_Rates!$C$28:$F$28,Inputs!$C$68)),"")</f>
      </c>
      <c r="H325" s="34"/>
      <c r="I325" s="42">
        <f>IF(AND(ISNUMBER(D325),ISNUMBER(H325)),D325*H325*Inputs!$C$69,"")</f>
      </c>
      <c r="J325" s="42">
        <f>IF(AND(ISNUMBER(F325),ISNUMBER(H325),F325&gt;=Inputs!$C$68),F325*H325*Inputs!$C$69,"")</f>
      </c>
    </row>
    <row r="326" spans="2:10" ht="15" customHeight="1" x14ac:dyDescent="0.2">
      <c r="B326" s="39">
        <f t="shared" si="2"/>
      </c>
      <c r="C326" s="40">
        <f>IF(Inputs!$C$60,Inputs!$C$11+(B326-Inputs!$C$69)/Inputs!$C$70,"")</f>
      </c>
      <c r="D326" s="15"/>
      <c r="E326" s="15"/>
      <c r="F326" s="11">
        <f t="shared" si="3"/>
      </c>
      <c r="G326" s="22" cm="1">
        <f t="array" ref="G326">IF(AND(Inputs!$C$60,Inputs!$C$61),INDEX(Utility_Rates!$C$29:$F$52,HOUR(C326)+Inputs!$C$69,MATCH(INDEX(Utility_Rates!$K$6:$K$17,MONTH(C326))&amp;IF(WEEKDAY(C326,Inputs!$C$76)&lt;=Inputs!$C$74," weekday"," weekend"),Utility_Rates!$C$28:$F$28,Inputs!$C$68)),"")</f>
      </c>
      <c r="H326" s="34"/>
      <c r="I326" s="42">
        <f>IF(AND(ISNUMBER(D326),ISNUMBER(H326)),D326*H326*Inputs!$C$69,"")</f>
      </c>
      <c r="J326" s="42">
        <f>IF(AND(ISNUMBER(F326),ISNUMBER(H326),F326&gt;=Inputs!$C$68),F326*H326*Inputs!$C$69,"")</f>
      </c>
    </row>
    <row r="327" spans="2:10" ht="15" customHeight="1" x14ac:dyDescent="0.2">
      <c r="B327" s="39">
        <f t="shared" si="2"/>
      </c>
      <c r="C327" s="40">
        <f>IF(Inputs!$C$60,Inputs!$C$11+(B327-Inputs!$C$69)/Inputs!$C$70,"")</f>
      </c>
      <c r="D327" s="15"/>
      <c r="E327" s="15"/>
      <c r="F327" s="11">
        <f t="shared" si="3"/>
      </c>
      <c r="G327" s="22" cm="1">
        <f t="array" ref="G327">IF(AND(Inputs!$C$60,Inputs!$C$61),INDEX(Utility_Rates!$C$29:$F$52,HOUR(C327)+Inputs!$C$69,MATCH(INDEX(Utility_Rates!$K$6:$K$17,MONTH(C327))&amp;IF(WEEKDAY(C327,Inputs!$C$76)&lt;=Inputs!$C$74," weekday"," weekend"),Utility_Rates!$C$28:$F$28,Inputs!$C$68)),"")</f>
      </c>
      <c r="H327" s="34"/>
      <c r="I327" s="42">
        <f>IF(AND(ISNUMBER(D327),ISNUMBER(H327)),D327*H327*Inputs!$C$69,"")</f>
      </c>
      <c r="J327" s="42">
        <f>IF(AND(ISNUMBER(F327),ISNUMBER(H327),F327&gt;=Inputs!$C$68),F327*H327*Inputs!$C$69,"")</f>
      </c>
    </row>
    <row r="328" spans="2:10" ht="15" customHeight="1" x14ac:dyDescent="0.2">
      <c r="B328" s="39">
        <f t="shared" si="2"/>
      </c>
      <c r="C328" s="40">
        <f>IF(Inputs!$C$60,Inputs!$C$11+(B328-Inputs!$C$69)/Inputs!$C$70,"")</f>
      </c>
      <c r="D328" s="15"/>
      <c r="E328" s="15"/>
      <c r="F328" s="11">
        <f t="shared" si="3"/>
      </c>
      <c r="G328" s="22" cm="1">
        <f t="array" ref="G328">IF(AND(Inputs!$C$60,Inputs!$C$61),INDEX(Utility_Rates!$C$29:$F$52,HOUR(C328)+Inputs!$C$69,MATCH(INDEX(Utility_Rates!$K$6:$K$17,MONTH(C328))&amp;IF(WEEKDAY(C328,Inputs!$C$76)&lt;=Inputs!$C$74," weekday"," weekend"),Utility_Rates!$C$28:$F$28,Inputs!$C$68)),"")</f>
      </c>
      <c r="H328" s="34"/>
      <c r="I328" s="42">
        <f>IF(AND(ISNUMBER(D328),ISNUMBER(H328)),D328*H328*Inputs!$C$69,"")</f>
      </c>
      <c r="J328" s="42">
        <f>IF(AND(ISNUMBER(F328),ISNUMBER(H328),F328&gt;=Inputs!$C$68),F328*H328*Inputs!$C$69,"")</f>
      </c>
    </row>
    <row r="329" spans="2:10" ht="15" customHeight="1" x14ac:dyDescent="0.2">
      <c r="B329" s="39">
        <f t="shared" si="2"/>
      </c>
      <c r="C329" s="40">
        <f>IF(Inputs!$C$60,Inputs!$C$11+(B329-Inputs!$C$69)/Inputs!$C$70,"")</f>
      </c>
      <c r="D329" s="15"/>
      <c r="E329" s="15"/>
      <c r="F329" s="11">
        <f t="shared" si="3"/>
      </c>
      <c r="G329" s="22" cm="1">
        <f t="array" ref="G329">IF(AND(Inputs!$C$60,Inputs!$C$61),INDEX(Utility_Rates!$C$29:$F$52,HOUR(C329)+Inputs!$C$69,MATCH(INDEX(Utility_Rates!$K$6:$K$17,MONTH(C329))&amp;IF(WEEKDAY(C329,Inputs!$C$76)&lt;=Inputs!$C$74," weekday"," weekend"),Utility_Rates!$C$28:$F$28,Inputs!$C$68)),"")</f>
      </c>
      <c r="H329" s="34"/>
      <c r="I329" s="42">
        <f>IF(AND(ISNUMBER(D329),ISNUMBER(H329)),D329*H329*Inputs!$C$69,"")</f>
      </c>
      <c r="J329" s="42">
        <f>IF(AND(ISNUMBER(F329),ISNUMBER(H329),F329&gt;=Inputs!$C$68),F329*H329*Inputs!$C$69,"")</f>
      </c>
    </row>
    <row r="330" spans="2:10" ht="15" customHeight="1" x14ac:dyDescent="0.2">
      <c r="B330" s="39">
        <f t="shared" si="2"/>
      </c>
      <c r="C330" s="40">
        <f>IF(Inputs!$C$60,Inputs!$C$11+(B330-Inputs!$C$69)/Inputs!$C$70,"")</f>
      </c>
      <c r="D330" s="15"/>
      <c r="E330" s="15"/>
      <c r="F330" s="11">
        <f t="shared" si="3"/>
      </c>
      <c r="G330" s="22" cm="1">
        <f t="array" ref="G330">IF(AND(Inputs!$C$60,Inputs!$C$61),INDEX(Utility_Rates!$C$29:$F$52,HOUR(C330)+Inputs!$C$69,MATCH(INDEX(Utility_Rates!$K$6:$K$17,MONTH(C330))&amp;IF(WEEKDAY(C330,Inputs!$C$76)&lt;=Inputs!$C$74," weekday"," weekend"),Utility_Rates!$C$28:$F$28,Inputs!$C$68)),"")</f>
      </c>
      <c r="H330" s="34"/>
      <c r="I330" s="42">
        <f>IF(AND(ISNUMBER(D330),ISNUMBER(H330)),D330*H330*Inputs!$C$69,"")</f>
      </c>
      <c r="J330" s="42">
        <f>IF(AND(ISNUMBER(F330),ISNUMBER(H330),F330&gt;=Inputs!$C$68),F330*H330*Inputs!$C$69,"")</f>
      </c>
    </row>
    <row r="331" spans="2:10" ht="15" customHeight="1" x14ac:dyDescent="0.2">
      <c r="B331" s="39">
        <f t="shared" si="2"/>
      </c>
      <c r="C331" s="40">
        <f>IF(Inputs!$C$60,Inputs!$C$11+(B331-Inputs!$C$69)/Inputs!$C$70,"")</f>
      </c>
      <c r="D331" s="15"/>
      <c r="E331" s="15"/>
      <c r="F331" s="11">
        <f t="shared" si="3"/>
      </c>
      <c r="G331" s="22" cm="1">
        <f t="array" ref="G331">IF(AND(Inputs!$C$60,Inputs!$C$61),INDEX(Utility_Rates!$C$29:$F$52,HOUR(C331)+Inputs!$C$69,MATCH(INDEX(Utility_Rates!$K$6:$K$17,MONTH(C331))&amp;IF(WEEKDAY(C331,Inputs!$C$76)&lt;=Inputs!$C$74," weekday"," weekend"),Utility_Rates!$C$28:$F$28,Inputs!$C$68)),"")</f>
      </c>
      <c r="H331" s="34"/>
      <c r="I331" s="42">
        <f>IF(AND(ISNUMBER(D331),ISNUMBER(H331)),D331*H331*Inputs!$C$69,"")</f>
      </c>
      <c r="J331" s="42">
        <f>IF(AND(ISNUMBER(F331),ISNUMBER(H331),F331&gt;=Inputs!$C$68),F331*H331*Inputs!$C$69,"")</f>
      </c>
    </row>
    <row r="332" spans="2:10" ht="15" customHeight="1" x14ac:dyDescent="0.2">
      <c r="B332" s="39">
        <f t="shared" si="2"/>
      </c>
      <c r="C332" s="40">
        <f>IF(Inputs!$C$60,Inputs!$C$11+(B332-Inputs!$C$69)/Inputs!$C$70,"")</f>
      </c>
      <c r="D332" s="15"/>
      <c r="E332" s="15"/>
      <c r="F332" s="11">
        <f t="shared" si="3"/>
      </c>
      <c r="G332" s="22" cm="1">
        <f t="array" ref="G332">IF(AND(Inputs!$C$60,Inputs!$C$61),INDEX(Utility_Rates!$C$29:$F$52,HOUR(C332)+Inputs!$C$69,MATCH(INDEX(Utility_Rates!$K$6:$K$17,MONTH(C332))&amp;IF(WEEKDAY(C332,Inputs!$C$76)&lt;=Inputs!$C$74," weekday"," weekend"),Utility_Rates!$C$28:$F$28,Inputs!$C$68)),"")</f>
      </c>
      <c r="H332" s="34"/>
      <c r="I332" s="42">
        <f>IF(AND(ISNUMBER(D332),ISNUMBER(H332)),D332*H332*Inputs!$C$69,"")</f>
      </c>
      <c r="J332" s="42">
        <f>IF(AND(ISNUMBER(F332),ISNUMBER(H332),F332&gt;=Inputs!$C$68),F332*H332*Inputs!$C$69,"")</f>
      </c>
    </row>
    <row r="333" spans="2:10" ht="15" customHeight="1" x14ac:dyDescent="0.2">
      <c r="B333" s="39">
        <f t="shared" si="2"/>
      </c>
      <c r="C333" s="40">
        <f>IF(Inputs!$C$60,Inputs!$C$11+(B333-Inputs!$C$69)/Inputs!$C$70,"")</f>
      </c>
      <c r="D333" s="15"/>
      <c r="E333" s="15"/>
      <c r="F333" s="11">
        <f t="shared" si="3"/>
      </c>
      <c r="G333" s="22" cm="1">
        <f t="array" ref="G333">IF(AND(Inputs!$C$60,Inputs!$C$61),INDEX(Utility_Rates!$C$29:$F$52,HOUR(C333)+Inputs!$C$69,MATCH(INDEX(Utility_Rates!$K$6:$K$17,MONTH(C333))&amp;IF(WEEKDAY(C333,Inputs!$C$76)&lt;=Inputs!$C$74," weekday"," weekend"),Utility_Rates!$C$28:$F$28,Inputs!$C$68)),"")</f>
      </c>
      <c r="H333" s="34"/>
      <c r="I333" s="42">
        <f>IF(AND(ISNUMBER(D333),ISNUMBER(H333)),D333*H333*Inputs!$C$69,"")</f>
      </c>
      <c r="J333" s="42">
        <f>IF(AND(ISNUMBER(F333),ISNUMBER(H333),F333&gt;=Inputs!$C$68),F333*H333*Inputs!$C$69,"")</f>
      </c>
    </row>
    <row r="334" spans="2:10" ht="15" customHeight="1" x14ac:dyDescent="0.2">
      <c r="B334" s="39">
        <f t="shared" si="2"/>
      </c>
      <c r="C334" s="40">
        <f>IF(Inputs!$C$60,Inputs!$C$11+(B334-Inputs!$C$69)/Inputs!$C$70,"")</f>
      </c>
      <c r="D334" s="15"/>
      <c r="E334" s="15"/>
      <c r="F334" s="11">
        <f t="shared" si="3"/>
      </c>
      <c r="G334" s="22" cm="1">
        <f t="array" ref="G334">IF(AND(Inputs!$C$60,Inputs!$C$61),INDEX(Utility_Rates!$C$29:$F$52,HOUR(C334)+Inputs!$C$69,MATCH(INDEX(Utility_Rates!$K$6:$K$17,MONTH(C334))&amp;IF(WEEKDAY(C334,Inputs!$C$76)&lt;=Inputs!$C$74," weekday"," weekend"),Utility_Rates!$C$28:$F$28,Inputs!$C$68)),"")</f>
      </c>
      <c r="H334" s="34"/>
      <c r="I334" s="42">
        <f>IF(AND(ISNUMBER(D334),ISNUMBER(H334)),D334*H334*Inputs!$C$69,"")</f>
      </c>
      <c r="J334" s="42">
        <f>IF(AND(ISNUMBER(F334),ISNUMBER(H334),F334&gt;=Inputs!$C$68),F334*H334*Inputs!$C$69,"")</f>
      </c>
    </row>
    <row r="335" spans="2:10" ht="15" customHeight="1" x14ac:dyDescent="0.2">
      <c r="B335" s="39">
        <f t="shared" si="2"/>
      </c>
      <c r="C335" s="40">
        <f>IF(Inputs!$C$60,Inputs!$C$11+(B335-Inputs!$C$69)/Inputs!$C$70,"")</f>
      </c>
      <c r="D335" s="15"/>
      <c r="E335" s="15"/>
      <c r="F335" s="11">
        <f t="shared" si="3"/>
      </c>
      <c r="G335" s="22" cm="1">
        <f t="array" ref="G335">IF(AND(Inputs!$C$60,Inputs!$C$61),INDEX(Utility_Rates!$C$29:$F$52,HOUR(C335)+Inputs!$C$69,MATCH(INDEX(Utility_Rates!$K$6:$K$17,MONTH(C335))&amp;IF(WEEKDAY(C335,Inputs!$C$76)&lt;=Inputs!$C$74," weekday"," weekend"),Utility_Rates!$C$28:$F$28,Inputs!$C$68)),"")</f>
      </c>
      <c r="H335" s="34"/>
      <c r="I335" s="42">
        <f>IF(AND(ISNUMBER(D335),ISNUMBER(H335)),D335*H335*Inputs!$C$69,"")</f>
      </c>
      <c r="J335" s="42">
        <f>IF(AND(ISNUMBER(F335),ISNUMBER(H335),F335&gt;=Inputs!$C$68),F335*H335*Inputs!$C$69,"")</f>
      </c>
    </row>
    <row r="336" spans="2:10" ht="15" customHeight="1" x14ac:dyDescent="0.2">
      <c r="B336" s="39">
        <f t="shared" si="2"/>
      </c>
      <c r="C336" s="40">
        <f>IF(Inputs!$C$60,Inputs!$C$11+(B336-Inputs!$C$69)/Inputs!$C$70,"")</f>
      </c>
      <c r="D336" s="15"/>
      <c r="E336" s="15"/>
      <c r="F336" s="11">
        <f t="shared" si="3"/>
      </c>
      <c r="G336" s="22" cm="1">
        <f t="array" ref="G336">IF(AND(Inputs!$C$60,Inputs!$C$61),INDEX(Utility_Rates!$C$29:$F$52,HOUR(C336)+Inputs!$C$69,MATCH(INDEX(Utility_Rates!$K$6:$K$17,MONTH(C336))&amp;IF(WEEKDAY(C336,Inputs!$C$76)&lt;=Inputs!$C$74," weekday"," weekend"),Utility_Rates!$C$28:$F$28,Inputs!$C$68)),"")</f>
      </c>
      <c r="H336" s="34"/>
      <c r="I336" s="42">
        <f>IF(AND(ISNUMBER(D336),ISNUMBER(H336)),D336*H336*Inputs!$C$69,"")</f>
      </c>
      <c r="J336" s="42">
        <f>IF(AND(ISNUMBER(F336),ISNUMBER(H336),F336&gt;=Inputs!$C$68),F336*H336*Inputs!$C$69,"")</f>
      </c>
    </row>
    <row r="337" spans="2:10" ht="15" customHeight="1" x14ac:dyDescent="0.2">
      <c r="B337" s="39">
        <f t="shared" si="2"/>
      </c>
      <c r="C337" s="40">
        <f>IF(Inputs!$C$60,Inputs!$C$11+(B337-Inputs!$C$69)/Inputs!$C$70,"")</f>
      </c>
      <c r="D337" s="15"/>
      <c r="E337" s="15"/>
      <c r="F337" s="11">
        <f t="shared" si="3"/>
      </c>
      <c r="G337" s="22" cm="1">
        <f t="array" ref="G337">IF(AND(Inputs!$C$60,Inputs!$C$61),INDEX(Utility_Rates!$C$29:$F$52,HOUR(C337)+Inputs!$C$69,MATCH(INDEX(Utility_Rates!$K$6:$K$17,MONTH(C337))&amp;IF(WEEKDAY(C337,Inputs!$C$76)&lt;=Inputs!$C$74," weekday"," weekend"),Utility_Rates!$C$28:$F$28,Inputs!$C$68)),"")</f>
      </c>
      <c r="H337" s="34"/>
      <c r="I337" s="42">
        <f>IF(AND(ISNUMBER(D337),ISNUMBER(H337)),D337*H337*Inputs!$C$69,"")</f>
      </c>
      <c r="J337" s="42">
        <f>IF(AND(ISNUMBER(F337),ISNUMBER(H337),F337&gt;=Inputs!$C$68),F337*H337*Inputs!$C$69,"")</f>
      </c>
    </row>
    <row r="338" spans="2:10" ht="15" customHeight="1" x14ac:dyDescent="0.2">
      <c r="B338" s="39">
        <f t="shared" si="2"/>
      </c>
      <c r="C338" s="40">
        <f>IF(Inputs!$C$60,Inputs!$C$11+(B338-Inputs!$C$69)/Inputs!$C$70,"")</f>
      </c>
      <c r="D338" s="15"/>
      <c r="E338" s="15"/>
      <c r="F338" s="11">
        <f t="shared" si="3"/>
      </c>
      <c r="G338" s="22" cm="1">
        <f t="array" ref="G338">IF(AND(Inputs!$C$60,Inputs!$C$61),INDEX(Utility_Rates!$C$29:$F$52,HOUR(C338)+Inputs!$C$69,MATCH(INDEX(Utility_Rates!$K$6:$K$17,MONTH(C338))&amp;IF(WEEKDAY(C338,Inputs!$C$76)&lt;=Inputs!$C$74," weekday"," weekend"),Utility_Rates!$C$28:$F$28,Inputs!$C$68)),"")</f>
      </c>
      <c r="H338" s="34"/>
      <c r="I338" s="42">
        <f>IF(AND(ISNUMBER(D338),ISNUMBER(H338)),D338*H338*Inputs!$C$69,"")</f>
      </c>
      <c r="J338" s="42">
        <f>IF(AND(ISNUMBER(F338),ISNUMBER(H338),F338&gt;=Inputs!$C$68),F338*H338*Inputs!$C$69,"")</f>
      </c>
    </row>
    <row r="339" spans="2:10" ht="15" customHeight="1" x14ac:dyDescent="0.2">
      <c r="B339" s="39">
        <f t="shared" si="2"/>
      </c>
      <c r="C339" s="40">
        <f>IF(Inputs!$C$60,Inputs!$C$11+(B339-Inputs!$C$69)/Inputs!$C$70,"")</f>
      </c>
      <c r="D339" s="15"/>
      <c r="E339" s="15"/>
      <c r="F339" s="11">
        <f t="shared" si="3"/>
      </c>
      <c r="G339" s="22" cm="1">
        <f t="array" ref="G339">IF(AND(Inputs!$C$60,Inputs!$C$61),INDEX(Utility_Rates!$C$29:$F$52,HOUR(C339)+Inputs!$C$69,MATCH(INDEX(Utility_Rates!$K$6:$K$17,MONTH(C339))&amp;IF(WEEKDAY(C339,Inputs!$C$76)&lt;=Inputs!$C$74," weekday"," weekend"),Utility_Rates!$C$28:$F$28,Inputs!$C$68)),"")</f>
      </c>
      <c r="H339" s="34"/>
      <c r="I339" s="42">
        <f>IF(AND(ISNUMBER(D339),ISNUMBER(H339)),D339*H339*Inputs!$C$69,"")</f>
      </c>
      <c r="J339" s="42">
        <f>IF(AND(ISNUMBER(F339),ISNUMBER(H339),F339&gt;=Inputs!$C$68),F339*H339*Inputs!$C$69,"")</f>
      </c>
    </row>
    <row r="340" spans="2:10" ht="15" customHeight="1" x14ac:dyDescent="0.2">
      <c r="B340" s="39">
        <f t="shared" si="2"/>
      </c>
      <c r="C340" s="40">
        <f>IF(Inputs!$C$60,Inputs!$C$11+(B340-Inputs!$C$69)/Inputs!$C$70,"")</f>
      </c>
      <c r="D340" s="15"/>
      <c r="E340" s="15"/>
      <c r="F340" s="11">
        <f t="shared" si="3"/>
      </c>
      <c r="G340" s="22" cm="1">
        <f t="array" ref="G340">IF(AND(Inputs!$C$60,Inputs!$C$61),INDEX(Utility_Rates!$C$29:$F$52,HOUR(C340)+Inputs!$C$69,MATCH(INDEX(Utility_Rates!$K$6:$K$17,MONTH(C340))&amp;IF(WEEKDAY(C340,Inputs!$C$76)&lt;=Inputs!$C$74," weekday"," weekend"),Utility_Rates!$C$28:$F$28,Inputs!$C$68)),"")</f>
      </c>
      <c r="H340" s="34"/>
      <c r="I340" s="42">
        <f>IF(AND(ISNUMBER(D340),ISNUMBER(H340)),D340*H340*Inputs!$C$69,"")</f>
      </c>
      <c r="J340" s="42">
        <f>IF(AND(ISNUMBER(F340),ISNUMBER(H340),F340&gt;=Inputs!$C$68),F340*H340*Inputs!$C$69,"")</f>
      </c>
    </row>
    <row r="341" spans="2:10" ht="15" customHeight="1" x14ac:dyDescent="0.2">
      <c r="B341" s="39">
        <f t="shared" si="2"/>
      </c>
      <c r="C341" s="40">
        <f>IF(Inputs!$C$60,Inputs!$C$11+(B341-Inputs!$C$69)/Inputs!$C$70,"")</f>
      </c>
      <c r="D341" s="15"/>
      <c r="E341" s="15"/>
      <c r="F341" s="11">
        <f t="shared" si="3"/>
      </c>
      <c r="G341" s="22" cm="1">
        <f t="array" ref="G341">IF(AND(Inputs!$C$60,Inputs!$C$61),INDEX(Utility_Rates!$C$29:$F$52,HOUR(C341)+Inputs!$C$69,MATCH(INDEX(Utility_Rates!$K$6:$K$17,MONTH(C341))&amp;IF(WEEKDAY(C341,Inputs!$C$76)&lt;=Inputs!$C$74," weekday"," weekend"),Utility_Rates!$C$28:$F$28,Inputs!$C$68)),"")</f>
      </c>
      <c r="H341" s="34"/>
      <c r="I341" s="42">
        <f>IF(AND(ISNUMBER(D341),ISNUMBER(H341)),D341*H341*Inputs!$C$69,"")</f>
      </c>
      <c r="J341" s="42">
        <f>IF(AND(ISNUMBER(F341),ISNUMBER(H341),F341&gt;=Inputs!$C$68),F341*H341*Inputs!$C$69,"")</f>
      </c>
    </row>
    <row r="342" spans="2:10" ht="15" customHeight="1" x14ac:dyDescent="0.2">
      <c r="B342" s="39">
        <f t="shared" si="2"/>
      </c>
      <c r="C342" s="40">
        <f>IF(Inputs!$C$60,Inputs!$C$11+(B342-Inputs!$C$69)/Inputs!$C$70,"")</f>
      </c>
      <c r="D342" s="15"/>
      <c r="E342" s="15"/>
      <c r="F342" s="11">
        <f t="shared" si="3"/>
      </c>
      <c r="G342" s="22" cm="1">
        <f t="array" ref="G342">IF(AND(Inputs!$C$60,Inputs!$C$61),INDEX(Utility_Rates!$C$29:$F$52,HOUR(C342)+Inputs!$C$69,MATCH(INDEX(Utility_Rates!$K$6:$K$17,MONTH(C342))&amp;IF(WEEKDAY(C342,Inputs!$C$76)&lt;=Inputs!$C$74," weekday"," weekend"),Utility_Rates!$C$28:$F$28,Inputs!$C$68)),"")</f>
      </c>
      <c r="H342" s="34"/>
      <c r="I342" s="42">
        <f>IF(AND(ISNUMBER(D342),ISNUMBER(H342)),D342*H342*Inputs!$C$69,"")</f>
      </c>
      <c r="J342" s="42">
        <f>IF(AND(ISNUMBER(F342),ISNUMBER(H342),F342&gt;=Inputs!$C$68),F342*H342*Inputs!$C$69,"")</f>
      </c>
    </row>
    <row r="343" spans="2:10" ht="15" customHeight="1" x14ac:dyDescent="0.2">
      <c r="B343" s="39">
        <f t="shared" si="2"/>
      </c>
      <c r="C343" s="40">
        <f>IF(Inputs!$C$60,Inputs!$C$11+(B343-Inputs!$C$69)/Inputs!$C$70,"")</f>
      </c>
      <c r="D343" s="15"/>
      <c r="E343" s="15"/>
      <c r="F343" s="11">
        <f t="shared" si="3"/>
      </c>
      <c r="G343" s="22" cm="1">
        <f t="array" ref="G343">IF(AND(Inputs!$C$60,Inputs!$C$61),INDEX(Utility_Rates!$C$29:$F$52,HOUR(C343)+Inputs!$C$69,MATCH(INDEX(Utility_Rates!$K$6:$K$17,MONTH(C343))&amp;IF(WEEKDAY(C343,Inputs!$C$76)&lt;=Inputs!$C$74," weekday"," weekend"),Utility_Rates!$C$28:$F$28,Inputs!$C$68)),"")</f>
      </c>
      <c r="H343" s="34"/>
      <c r="I343" s="42">
        <f>IF(AND(ISNUMBER(D343),ISNUMBER(H343)),D343*H343*Inputs!$C$69,"")</f>
      </c>
      <c r="J343" s="42">
        <f>IF(AND(ISNUMBER(F343),ISNUMBER(H343),F343&gt;=Inputs!$C$68),F343*H343*Inputs!$C$69,"")</f>
      </c>
    </row>
    <row r="344" spans="2:10" ht="15" customHeight="1" x14ac:dyDescent="0.2">
      <c r="B344" s="39">
        <f t="shared" si="2"/>
      </c>
      <c r="C344" s="40">
        <f>IF(Inputs!$C$60,Inputs!$C$11+(B344-Inputs!$C$69)/Inputs!$C$70,"")</f>
      </c>
      <c r="D344" s="15"/>
      <c r="E344" s="15"/>
      <c r="F344" s="11">
        <f t="shared" si="3"/>
      </c>
      <c r="G344" s="22" cm="1">
        <f t="array" ref="G344">IF(AND(Inputs!$C$60,Inputs!$C$61),INDEX(Utility_Rates!$C$29:$F$52,HOUR(C344)+Inputs!$C$69,MATCH(INDEX(Utility_Rates!$K$6:$K$17,MONTH(C344))&amp;IF(WEEKDAY(C344,Inputs!$C$76)&lt;=Inputs!$C$74," weekday"," weekend"),Utility_Rates!$C$28:$F$28,Inputs!$C$68)),"")</f>
      </c>
      <c r="H344" s="34"/>
      <c r="I344" s="42">
        <f>IF(AND(ISNUMBER(D344),ISNUMBER(H344)),D344*H344*Inputs!$C$69,"")</f>
      </c>
      <c r="J344" s="42">
        <f>IF(AND(ISNUMBER(F344),ISNUMBER(H344),F344&gt;=Inputs!$C$68),F344*H344*Inputs!$C$69,"")</f>
      </c>
    </row>
    <row r="345" spans="2:10" ht="15" customHeight="1" x14ac:dyDescent="0.2">
      <c r="B345" s="39">
        <f t="shared" si="2"/>
      </c>
      <c r="C345" s="40">
        <f>IF(Inputs!$C$60,Inputs!$C$11+(B345-Inputs!$C$69)/Inputs!$C$70,"")</f>
      </c>
      <c r="D345" s="15"/>
      <c r="E345" s="15"/>
      <c r="F345" s="11">
        <f t="shared" si="3"/>
      </c>
      <c r="G345" s="22" cm="1">
        <f t="array" ref="G345">IF(AND(Inputs!$C$60,Inputs!$C$61),INDEX(Utility_Rates!$C$29:$F$52,HOUR(C345)+Inputs!$C$69,MATCH(INDEX(Utility_Rates!$K$6:$K$17,MONTH(C345))&amp;IF(WEEKDAY(C345,Inputs!$C$76)&lt;=Inputs!$C$74," weekday"," weekend"),Utility_Rates!$C$28:$F$28,Inputs!$C$68)),"")</f>
      </c>
      <c r="H345" s="34"/>
      <c r="I345" s="42">
        <f>IF(AND(ISNUMBER(D345),ISNUMBER(H345)),D345*H345*Inputs!$C$69,"")</f>
      </c>
      <c r="J345" s="42">
        <f>IF(AND(ISNUMBER(F345),ISNUMBER(H345),F345&gt;=Inputs!$C$68),F345*H345*Inputs!$C$69,"")</f>
      </c>
    </row>
    <row r="346" spans="2:10" ht="15" customHeight="1" x14ac:dyDescent="0.2">
      <c r="B346" s="39">
        <f t="shared" si="2"/>
      </c>
      <c r="C346" s="40">
        <f>IF(Inputs!$C$60,Inputs!$C$11+(B346-Inputs!$C$69)/Inputs!$C$70,"")</f>
      </c>
      <c r="D346" s="15"/>
      <c r="E346" s="15"/>
      <c r="F346" s="11">
        <f t="shared" si="3"/>
      </c>
      <c r="G346" s="22" cm="1">
        <f t="array" ref="G346">IF(AND(Inputs!$C$60,Inputs!$C$61),INDEX(Utility_Rates!$C$29:$F$52,HOUR(C346)+Inputs!$C$69,MATCH(INDEX(Utility_Rates!$K$6:$K$17,MONTH(C346))&amp;IF(WEEKDAY(C346,Inputs!$C$76)&lt;=Inputs!$C$74," weekday"," weekend"),Utility_Rates!$C$28:$F$28,Inputs!$C$68)),"")</f>
      </c>
      <c r="H346" s="34"/>
      <c r="I346" s="42">
        <f>IF(AND(ISNUMBER(D346),ISNUMBER(H346)),D346*H346*Inputs!$C$69,"")</f>
      </c>
      <c r="J346" s="42">
        <f>IF(AND(ISNUMBER(F346),ISNUMBER(H346),F346&gt;=Inputs!$C$68),F346*H346*Inputs!$C$69,"")</f>
      </c>
    </row>
    <row r="347" spans="2:10" ht="15" customHeight="1" x14ac:dyDescent="0.2">
      <c r="B347" s="39">
        <f t="shared" si="2"/>
      </c>
      <c r="C347" s="40">
        <f>IF(Inputs!$C$60,Inputs!$C$11+(B347-Inputs!$C$69)/Inputs!$C$70,"")</f>
      </c>
      <c r="D347" s="15"/>
      <c r="E347" s="15"/>
      <c r="F347" s="11">
        <f t="shared" si="3"/>
      </c>
      <c r="G347" s="22" cm="1">
        <f t="array" ref="G347">IF(AND(Inputs!$C$60,Inputs!$C$61),INDEX(Utility_Rates!$C$29:$F$52,HOUR(C347)+Inputs!$C$69,MATCH(INDEX(Utility_Rates!$K$6:$K$17,MONTH(C347))&amp;IF(WEEKDAY(C347,Inputs!$C$76)&lt;=Inputs!$C$74," weekday"," weekend"),Utility_Rates!$C$28:$F$28,Inputs!$C$68)),"")</f>
      </c>
      <c r="H347" s="34"/>
      <c r="I347" s="42">
        <f>IF(AND(ISNUMBER(D347),ISNUMBER(H347)),D347*H347*Inputs!$C$69,"")</f>
      </c>
      <c r="J347" s="42">
        <f>IF(AND(ISNUMBER(F347),ISNUMBER(H347),F347&gt;=Inputs!$C$68),F347*H347*Inputs!$C$69,"")</f>
      </c>
    </row>
    <row r="348" spans="2:10" ht="15" customHeight="1" x14ac:dyDescent="0.2">
      <c r="B348" s="39">
        <f t="shared" si="2"/>
      </c>
      <c r="C348" s="40">
        <f>IF(Inputs!$C$60,Inputs!$C$11+(B348-Inputs!$C$69)/Inputs!$C$70,"")</f>
      </c>
      <c r="D348" s="15"/>
      <c r="E348" s="15"/>
      <c r="F348" s="11">
        <f t="shared" si="3"/>
      </c>
      <c r="G348" s="22" cm="1">
        <f t="array" ref="G348">IF(AND(Inputs!$C$60,Inputs!$C$61),INDEX(Utility_Rates!$C$29:$F$52,HOUR(C348)+Inputs!$C$69,MATCH(INDEX(Utility_Rates!$K$6:$K$17,MONTH(C348))&amp;IF(WEEKDAY(C348,Inputs!$C$76)&lt;=Inputs!$C$74," weekday"," weekend"),Utility_Rates!$C$28:$F$28,Inputs!$C$68)),"")</f>
      </c>
      <c r="H348" s="34"/>
      <c r="I348" s="42">
        <f>IF(AND(ISNUMBER(D348),ISNUMBER(H348)),D348*H348*Inputs!$C$69,"")</f>
      </c>
      <c r="J348" s="42">
        <f>IF(AND(ISNUMBER(F348),ISNUMBER(H348),F348&gt;=Inputs!$C$68),F348*H348*Inputs!$C$69,"")</f>
      </c>
    </row>
    <row r="349" spans="2:10" ht="15" customHeight="1" x14ac:dyDescent="0.2">
      <c r="B349" s="39">
        <f t="shared" si="2"/>
      </c>
      <c r="C349" s="40">
        <f>IF(Inputs!$C$60,Inputs!$C$11+(B349-Inputs!$C$69)/Inputs!$C$70,"")</f>
      </c>
      <c r="D349" s="15"/>
      <c r="E349" s="15"/>
      <c r="F349" s="11">
        <f t="shared" si="3"/>
      </c>
      <c r="G349" s="22" cm="1">
        <f t="array" ref="G349">IF(AND(Inputs!$C$60,Inputs!$C$61),INDEX(Utility_Rates!$C$29:$F$52,HOUR(C349)+Inputs!$C$69,MATCH(INDEX(Utility_Rates!$K$6:$K$17,MONTH(C349))&amp;IF(WEEKDAY(C349,Inputs!$C$76)&lt;=Inputs!$C$74," weekday"," weekend"),Utility_Rates!$C$28:$F$28,Inputs!$C$68)),"")</f>
      </c>
      <c r="H349" s="34"/>
      <c r="I349" s="42">
        <f>IF(AND(ISNUMBER(D349),ISNUMBER(H349)),D349*H349*Inputs!$C$69,"")</f>
      </c>
      <c r="J349" s="42">
        <f>IF(AND(ISNUMBER(F349),ISNUMBER(H349),F349&gt;=Inputs!$C$68),F349*H349*Inputs!$C$69,"")</f>
      </c>
    </row>
    <row r="350" spans="2:10" ht="15" customHeight="1" x14ac:dyDescent="0.2">
      <c r="B350" s="39">
        <f t="shared" si="2"/>
      </c>
      <c r="C350" s="40">
        <f>IF(Inputs!$C$60,Inputs!$C$11+(B350-Inputs!$C$69)/Inputs!$C$70,"")</f>
      </c>
      <c r="D350" s="15"/>
      <c r="E350" s="15"/>
      <c r="F350" s="11">
        <f t="shared" si="3"/>
      </c>
      <c r="G350" s="22" cm="1">
        <f t="array" ref="G350">IF(AND(Inputs!$C$60,Inputs!$C$61),INDEX(Utility_Rates!$C$29:$F$52,HOUR(C350)+Inputs!$C$69,MATCH(INDEX(Utility_Rates!$K$6:$K$17,MONTH(C350))&amp;IF(WEEKDAY(C350,Inputs!$C$76)&lt;=Inputs!$C$74," weekday"," weekend"),Utility_Rates!$C$28:$F$28,Inputs!$C$68)),"")</f>
      </c>
      <c r="H350" s="34"/>
      <c r="I350" s="42">
        <f>IF(AND(ISNUMBER(D350),ISNUMBER(H350)),D350*H350*Inputs!$C$69,"")</f>
      </c>
      <c r="J350" s="42">
        <f>IF(AND(ISNUMBER(F350),ISNUMBER(H350),F350&gt;=Inputs!$C$68),F350*H350*Inputs!$C$69,"")</f>
      </c>
    </row>
    <row r="351" spans="2:10" ht="15" customHeight="1" x14ac:dyDescent="0.2">
      <c r="B351" s="39">
        <f t="shared" si="2"/>
      </c>
      <c r="C351" s="40">
        <f>IF(Inputs!$C$60,Inputs!$C$11+(B351-Inputs!$C$69)/Inputs!$C$70,"")</f>
      </c>
      <c r="D351" s="15"/>
      <c r="E351" s="15"/>
      <c r="F351" s="11">
        <f t="shared" si="3"/>
      </c>
      <c r="G351" s="22" cm="1">
        <f t="array" ref="G351">IF(AND(Inputs!$C$60,Inputs!$C$61),INDEX(Utility_Rates!$C$29:$F$52,HOUR(C351)+Inputs!$C$69,MATCH(INDEX(Utility_Rates!$K$6:$K$17,MONTH(C351))&amp;IF(WEEKDAY(C351,Inputs!$C$76)&lt;=Inputs!$C$74," weekday"," weekend"),Utility_Rates!$C$28:$F$28,Inputs!$C$68)),"")</f>
      </c>
      <c r="H351" s="34"/>
      <c r="I351" s="42">
        <f>IF(AND(ISNUMBER(D351),ISNUMBER(H351)),D351*H351*Inputs!$C$69,"")</f>
      </c>
      <c r="J351" s="42">
        <f>IF(AND(ISNUMBER(F351),ISNUMBER(H351),F351&gt;=Inputs!$C$68),F351*H351*Inputs!$C$69,"")</f>
      </c>
    </row>
    <row r="352" spans="2:10" ht="15" customHeight="1" x14ac:dyDescent="0.2">
      <c r="B352" s="39">
        <f t="shared" si="2"/>
      </c>
      <c r="C352" s="40">
        <f>IF(Inputs!$C$60,Inputs!$C$11+(B352-Inputs!$C$69)/Inputs!$C$70,"")</f>
      </c>
      <c r="D352" s="15"/>
      <c r="E352" s="15"/>
      <c r="F352" s="11">
        <f t="shared" si="3"/>
      </c>
      <c r="G352" s="22" cm="1">
        <f t="array" ref="G352">IF(AND(Inputs!$C$60,Inputs!$C$61),INDEX(Utility_Rates!$C$29:$F$52,HOUR(C352)+Inputs!$C$69,MATCH(INDEX(Utility_Rates!$K$6:$K$17,MONTH(C352))&amp;IF(WEEKDAY(C352,Inputs!$C$76)&lt;=Inputs!$C$74," weekday"," weekend"),Utility_Rates!$C$28:$F$28,Inputs!$C$68)),"")</f>
      </c>
      <c r="H352" s="34"/>
      <c r="I352" s="42">
        <f>IF(AND(ISNUMBER(D352),ISNUMBER(H352)),D352*H352*Inputs!$C$69,"")</f>
      </c>
      <c r="J352" s="42">
        <f>IF(AND(ISNUMBER(F352),ISNUMBER(H352),F352&gt;=Inputs!$C$68),F352*H352*Inputs!$C$69,"")</f>
      </c>
    </row>
    <row r="353" spans="2:10" ht="15" customHeight="1" x14ac:dyDescent="0.2">
      <c r="B353" s="39">
        <f t="shared" si="2"/>
      </c>
      <c r="C353" s="40">
        <f>IF(Inputs!$C$60,Inputs!$C$11+(B353-Inputs!$C$69)/Inputs!$C$70,"")</f>
      </c>
      <c r="D353" s="15"/>
      <c r="E353" s="15"/>
      <c r="F353" s="11">
        <f t="shared" si="3"/>
      </c>
      <c r="G353" s="22" cm="1">
        <f t="array" ref="G353">IF(AND(Inputs!$C$60,Inputs!$C$61),INDEX(Utility_Rates!$C$29:$F$52,HOUR(C353)+Inputs!$C$69,MATCH(INDEX(Utility_Rates!$K$6:$K$17,MONTH(C353))&amp;IF(WEEKDAY(C353,Inputs!$C$76)&lt;=Inputs!$C$74," weekday"," weekend"),Utility_Rates!$C$28:$F$28,Inputs!$C$68)),"")</f>
      </c>
      <c r="H353" s="34"/>
      <c r="I353" s="42">
        <f>IF(AND(ISNUMBER(D353),ISNUMBER(H353)),D353*H353*Inputs!$C$69,"")</f>
      </c>
      <c r="J353" s="42">
        <f>IF(AND(ISNUMBER(F353),ISNUMBER(H353),F353&gt;=Inputs!$C$68),F353*H353*Inputs!$C$69,"")</f>
      </c>
    </row>
    <row r="354" spans="2:10" ht="15" customHeight="1" x14ac:dyDescent="0.2">
      <c r="B354" s="39">
        <f t="shared" si="2"/>
      </c>
      <c r="C354" s="40">
        <f>IF(Inputs!$C$60,Inputs!$C$11+(B354-Inputs!$C$69)/Inputs!$C$70,"")</f>
      </c>
      <c r="D354" s="15"/>
      <c r="E354" s="15"/>
      <c r="F354" s="11">
        <f t="shared" si="3"/>
      </c>
      <c r="G354" s="22" cm="1">
        <f t="array" ref="G354">IF(AND(Inputs!$C$60,Inputs!$C$61),INDEX(Utility_Rates!$C$29:$F$52,HOUR(C354)+Inputs!$C$69,MATCH(INDEX(Utility_Rates!$K$6:$K$17,MONTH(C354))&amp;IF(WEEKDAY(C354,Inputs!$C$76)&lt;=Inputs!$C$74," weekday"," weekend"),Utility_Rates!$C$28:$F$28,Inputs!$C$68)),"")</f>
      </c>
      <c r="H354" s="34"/>
      <c r="I354" s="42">
        <f>IF(AND(ISNUMBER(D354),ISNUMBER(H354)),D354*H354*Inputs!$C$69,"")</f>
      </c>
      <c r="J354" s="42">
        <f>IF(AND(ISNUMBER(F354),ISNUMBER(H354),F354&gt;=Inputs!$C$68),F354*H354*Inputs!$C$69,"")</f>
      </c>
    </row>
    <row r="355" spans="2:10" ht="15" customHeight="1" x14ac:dyDescent="0.2">
      <c r="B355" s="39">
        <f t="shared" si="2"/>
      </c>
      <c r="C355" s="40">
        <f>IF(Inputs!$C$60,Inputs!$C$11+(B355-Inputs!$C$69)/Inputs!$C$70,"")</f>
      </c>
      <c r="D355" s="15"/>
      <c r="E355" s="15"/>
      <c r="F355" s="11">
        <f t="shared" si="3"/>
      </c>
      <c r="G355" s="22" cm="1">
        <f t="array" ref="G355">IF(AND(Inputs!$C$60,Inputs!$C$61),INDEX(Utility_Rates!$C$29:$F$52,HOUR(C355)+Inputs!$C$69,MATCH(INDEX(Utility_Rates!$K$6:$K$17,MONTH(C355))&amp;IF(WEEKDAY(C355,Inputs!$C$76)&lt;=Inputs!$C$74," weekday"," weekend"),Utility_Rates!$C$28:$F$28,Inputs!$C$68)),"")</f>
      </c>
      <c r="H355" s="34"/>
      <c r="I355" s="42">
        <f>IF(AND(ISNUMBER(D355),ISNUMBER(H355)),D355*H355*Inputs!$C$69,"")</f>
      </c>
      <c r="J355" s="42">
        <f>IF(AND(ISNUMBER(F355),ISNUMBER(H355),F355&gt;=Inputs!$C$68),F355*H355*Inputs!$C$69,"")</f>
      </c>
    </row>
    <row r="356" spans="2:10" ht="15" customHeight="1" x14ac:dyDescent="0.2">
      <c r="B356" s="39">
        <f t="shared" si="2"/>
      </c>
      <c r="C356" s="40">
        <f>IF(Inputs!$C$60,Inputs!$C$11+(B356-Inputs!$C$69)/Inputs!$C$70,"")</f>
      </c>
      <c r="D356" s="15"/>
      <c r="E356" s="15"/>
      <c r="F356" s="11">
        <f t="shared" si="3"/>
      </c>
      <c r="G356" s="22" cm="1">
        <f t="array" ref="G356">IF(AND(Inputs!$C$60,Inputs!$C$61),INDEX(Utility_Rates!$C$29:$F$52,HOUR(C356)+Inputs!$C$69,MATCH(INDEX(Utility_Rates!$K$6:$K$17,MONTH(C356))&amp;IF(WEEKDAY(C356,Inputs!$C$76)&lt;=Inputs!$C$74," weekday"," weekend"),Utility_Rates!$C$28:$F$28,Inputs!$C$68)),"")</f>
      </c>
      <c r="H356" s="34"/>
      <c r="I356" s="42">
        <f>IF(AND(ISNUMBER(D356),ISNUMBER(H356)),D356*H356*Inputs!$C$69,"")</f>
      </c>
      <c r="J356" s="42">
        <f>IF(AND(ISNUMBER(F356),ISNUMBER(H356),F356&gt;=Inputs!$C$68),F356*H356*Inputs!$C$69,"")</f>
      </c>
    </row>
    <row r="357" spans="2:10" ht="15" customHeight="1" x14ac:dyDescent="0.2">
      <c r="B357" s="39">
        <f t="shared" si="2"/>
      </c>
      <c r="C357" s="40">
        <f>IF(Inputs!$C$60,Inputs!$C$11+(B357-Inputs!$C$69)/Inputs!$C$70,"")</f>
      </c>
      <c r="D357" s="15"/>
      <c r="E357" s="15"/>
      <c r="F357" s="11">
        <f t="shared" si="3"/>
      </c>
      <c r="G357" s="22" cm="1">
        <f t="array" ref="G357">IF(AND(Inputs!$C$60,Inputs!$C$61),INDEX(Utility_Rates!$C$29:$F$52,HOUR(C357)+Inputs!$C$69,MATCH(INDEX(Utility_Rates!$K$6:$K$17,MONTH(C357))&amp;IF(WEEKDAY(C357,Inputs!$C$76)&lt;=Inputs!$C$74," weekday"," weekend"),Utility_Rates!$C$28:$F$28,Inputs!$C$68)),"")</f>
      </c>
      <c r="H357" s="34"/>
      <c r="I357" s="42">
        <f>IF(AND(ISNUMBER(D357),ISNUMBER(H357)),D357*H357*Inputs!$C$69,"")</f>
      </c>
      <c r="J357" s="42">
        <f>IF(AND(ISNUMBER(F357),ISNUMBER(H357),F357&gt;=Inputs!$C$68),F357*H357*Inputs!$C$69,"")</f>
      </c>
    </row>
    <row r="358" spans="2:10" ht="15" customHeight="1" x14ac:dyDescent="0.2">
      <c r="B358" s="39">
        <f t="shared" si="2"/>
      </c>
      <c r="C358" s="40">
        <f>IF(Inputs!$C$60,Inputs!$C$11+(B358-Inputs!$C$69)/Inputs!$C$70,"")</f>
      </c>
      <c r="D358" s="15"/>
      <c r="E358" s="15"/>
      <c r="F358" s="11">
        <f t="shared" si="3"/>
      </c>
      <c r="G358" s="22" cm="1">
        <f t="array" ref="G358">IF(AND(Inputs!$C$60,Inputs!$C$61),INDEX(Utility_Rates!$C$29:$F$52,HOUR(C358)+Inputs!$C$69,MATCH(INDEX(Utility_Rates!$K$6:$K$17,MONTH(C358))&amp;IF(WEEKDAY(C358,Inputs!$C$76)&lt;=Inputs!$C$74," weekday"," weekend"),Utility_Rates!$C$28:$F$28,Inputs!$C$68)),"")</f>
      </c>
      <c r="H358" s="34"/>
      <c r="I358" s="42">
        <f>IF(AND(ISNUMBER(D358),ISNUMBER(H358)),D358*H358*Inputs!$C$69,"")</f>
      </c>
      <c r="J358" s="42">
        <f>IF(AND(ISNUMBER(F358),ISNUMBER(H358),F358&gt;=Inputs!$C$68),F358*H358*Inputs!$C$69,"")</f>
      </c>
    </row>
    <row r="359" spans="2:10" ht="15" customHeight="1" x14ac:dyDescent="0.2">
      <c r="B359" s="39">
        <f t="shared" si="2"/>
      </c>
      <c r="C359" s="40">
        <f>IF(Inputs!$C$60,Inputs!$C$11+(B359-Inputs!$C$69)/Inputs!$C$70,"")</f>
      </c>
      <c r="D359" s="15"/>
      <c r="E359" s="15"/>
      <c r="F359" s="11">
        <f t="shared" si="3"/>
      </c>
      <c r="G359" s="22" cm="1">
        <f t="array" ref="G359">IF(AND(Inputs!$C$60,Inputs!$C$61),INDEX(Utility_Rates!$C$29:$F$52,HOUR(C359)+Inputs!$C$69,MATCH(INDEX(Utility_Rates!$K$6:$K$17,MONTH(C359))&amp;IF(WEEKDAY(C359,Inputs!$C$76)&lt;=Inputs!$C$74," weekday"," weekend"),Utility_Rates!$C$28:$F$28,Inputs!$C$68)),"")</f>
      </c>
      <c r="H359" s="34"/>
      <c r="I359" s="42">
        <f>IF(AND(ISNUMBER(D359),ISNUMBER(H359)),D359*H359*Inputs!$C$69,"")</f>
      </c>
      <c r="J359" s="42">
        <f>IF(AND(ISNUMBER(F359),ISNUMBER(H359),F359&gt;=Inputs!$C$68),F359*H359*Inputs!$C$69,"")</f>
      </c>
    </row>
    <row r="360" spans="2:10" ht="15" customHeight="1" x14ac:dyDescent="0.2">
      <c r="B360" s="39">
        <f t="shared" si="2"/>
      </c>
      <c r="C360" s="40">
        <f>IF(Inputs!$C$60,Inputs!$C$11+(B360-Inputs!$C$69)/Inputs!$C$70,"")</f>
      </c>
      <c r="D360" s="15"/>
      <c r="E360" s="15"/>
      <c r="F360" s="11">
        <f t="shared" si="3"/>
      </c>
      <c r="G360" s="22" cm="1">
        <f t="array" ref="G360">IF(AND(Inputs!$C$60,Inputs!$C$61),INDEX(Utility_Rates!$C$29:$F$52,HOUR(C360)+Inputs!$C$69,MATCH(INDEX(Utility_Rates!$K$6:$K$17,MONTH(C360))&amp;IF(WEEKDAY(C360,Inputs!$C$76)&lt;=Inputs!$C$74," weekday"," weekend"),Utility_Rates!$C$28:$F$28,Inputs!$C$68)),"")</f>
      </c>
      <c r="H360" s="34"/>
      <c r="I360" s="42">
        <f>IF(AND(ISNUMBER(D360),ISNUMBER(H360)),D360*H360*Inputs!$C$69,"")</f>
      </c>
      <c r="J360" s="42">
        <f>IF(AND(ISNUMBER(F360),ISNUMBER(H360),F360&gt;=Inputs!$C$68),F360*H360*Inputs!$C$69,"")</f>
      </c>
    </row>
    <row r="361" spans="2:10" ht="15" customHeight="1" x14ac:dyDescent="0.2">
      <c r="B361" s="39">
        <f t="shared" si="2"/>
      </c>
      <c r="C361" s="40">
        <f>IF(Inputs!$C$60,Inputs!$C$11+(B361-Inputs!$C$69)/Inputs!$C$70,"")</f>
      </c>
      <c r="D361" s="15"/>
      <c r="E361" s="15"/>
      <c r="F361" s="11">
        <f t="shared" si="3"/>
      </c>
      <c r="G361" s="22" cm="1">
        <f t="array" ref="G361">IF(AND(Inputs!$C$60,Inputs!$C$61),INDEX(Utility_Rates!$C$29:$F$52,HOUR(C361)+Inputs!$C$69,MATCH(INDEX(Utility_Rates!$K$6:$K$17,MONTH(C361))&amp;IF(WEEKDAY(C361,Inputs!$C$76)&lt;=Inputs!$C$74," weekday"," weekend"),Utility_Rates!$C$28:$F$28,Inputs!$C$68)),"")</f>
      </c>
      <c r="H361" s="34"/>
      <c r="I361" s="42">
        <f>IF(AND(ISNUMBER(D361),ISNUMBER(H361)),D361*H361*Inputs!$C$69,"")</f>
      </c>
      <c r="J361" s="42">
        <f>IF(AND(ISNUMBER(F361),ISNUMBER(H361),F361&gt;=Inputs!$C$68),F361*H361*Inputs!$C$69,"")</f>
      </c>
    </row>
    <row r="362" spans="2:10" ht="15" customHeight="1" x14ac:dyDescent="0.2">
      <c r="B362" s="39">
        <f t="shared" si="2"/>
      </c>
      <c r="C362" s="40">
        <f>IF(Inputs!$C$60,Inputs!$C$11+(B362-Inputs!$C$69)/Inputs!$C$70,"")</f>
      </c>
      <c r="D362" s="15"/>
      <c r="E362" s="15"/>
      <c r="F362" s="11">
        <f t="shared" si="3"/>
      </c>
      <c r="G362" s="22" cm="1">
        <f t="array" ref="G362">IF(AND(Inputs!$C$60,Inputs!$C$61),INDEX(Utility_Rates!$C$29:$F$52,HOUR(C362)+Inputs!$C$69,MATCH(INDEX(Utility_Rates!$K$6:$K$17,MONTH(C362))&amp;IF(WEEKDAY(C362,Inputs!$C$76)&lt;=Inputs!$C$74," weekday"," weekend"),Utility_Rates!$C$28:$F$28,Inputs!$C$68)),"")</f>
      </c>
      <c r="H362" s="34"/>
      <c r="I362" s="42">
        <f>IF(AND(ISNUMBER(D362),ISNUMBER(H362)),D362*H362*Inputs!$C$69,"")</f>
      </c>
      <c r="J362" s="42">
        <f>IF(AND(ISNUMBER(F362),ISNUMBER(H362),F362&gt;=Inputs!$C$68),F362*H362*Inputs!$C$69,"")</f>
      </c>
    </row>
    <row r="363" spans="2:10" ht="15" customHeight="1" x14ac:dyDescent="0.2">
      <c r="B363" s="39">
        <f t="shared" si="2"/>
      </c>
      <c r="C363" s="40">
        <f>IF(Inputs!$C$60,Inputs!$C$11+(B363-Inputs!$C$69)/Inputs!$C$70,"")</f>
      </c>
      <c r="D363" s="15"/>
      <c r="E363" s="15"/>
      <c r="F363" s="11">
        <f t="shared" si="3"/>
      </c>
      <c r="G363" s="22" cm="1">
        <f t="array" ref="G363">IF(AND(Inputs!$C$60,Inputs!$C$61),INDEX(Utility_Rates!$C$29:$F$52,HOUR(C363)+Inputs!$C$69,MATCH(INDEX(Utility_Rates!$K$6:$K$17,MONTH(C363))&amp;IF(WEEKDAY(C363,Inputs!$C$76)&lt;=Inputs!$C$74," weekday"," weekend"),Utility_Rates!$C$28:$F$28,Inputs!$C$68)),"")</f>
      </c>
      <c r="H363" s="34"/>
      <c r="I363" s="42">
        <f>IF(AND(ISNUMBER(D363),ISNUMBER(H363)),D363*H363*Inputs!$C$69,"")</f>
      </c>
      <c r="J363" s="42">
        <f>IF(AND(ISNUMBER(F363),ISNUMBER(H363),F363&gt;=Inputs!$C$68),F363*H363*Inputs!$C$69,"")</f>
      </c>
    </row>
    <row r="364" spans="2:10" ht="15" customHeight="1" x14ac:dyDescent="0.2">
      <c r="B364" s="39">
        <f t="shared" si="2"/>
      </c>
      <c r="C364" s="40">
        <f>IF(Inputs!$C$60,Inputs!$C$11+(B364-Inputs!$C$69)/Inputs!$C$70,"")</f>
      </c>
      <c r="D364" s="15"/>
      <c r="E364" s="15"/>
      <c r="F364" s="11">
        <f t="shared" si="3"/>
      </c>
      <c r="G364" s="22" cm="1">
        <f t="array" ref="G364">IF(AND(Inputs!$C$60,Inputs!$C$61),INDEX(Utility_Rates!$C$29:$F$52,HOUR(C364)+Inputs!$C$69,MATCH(INDEX(Utility_Rates!$K$6:$K$17,MONTH(C364))&amp;IF(WEEKDAY(C364,Inputs!$C$76)&lt;=Inputs!$C$74," weekday"," weekend"),Utility_Rates!$C$28:$F$28,Inputs!$C$68)),"")</f>
      </c>
      <c r="H364" s="34"/>
      <c r="I364" s="42">
        <f>IF(AND(ISNUMBER(D364),ISNUMBER(H364)),D364*H364*Inputs!$C$69,"")</f>
      </c>
      <c r="J364" s="42">
        <f>IF(AND(ISNUMBER(F364),ISNUMBER(H364),F364&gt;=Inputs!$C$68),F364*H364*Inputs!$C$69,"")</f>
      </c>
    </row>
    <row r="365" spans="2:10" ht="15" customHeight="1" x14ac:dyDescent="0.2">
      <c r="B365" s="39">
        <f t="shared" si="2"/>
      </c>
      <c r="C365" s="40">
        <f>IF(Inputs!$C$60,Inputs!$C$11+(B365-Inputs!$C$69)/Inputs!$C$70,"")</f>
      </c>
      <c r="D365" s="15"/>
      <c r="E365" s="15"/>
      <c r="F365" s="11">
        <f t="shared" si="3"/>
      </c>
      <c r="G365" s="22" cm="1">
        <f t="array" ref="G365">IF(AND(Inputs!$C$60,Inputs!$C$61),INDEX(Utility_Rates!$C$29:$F$52,HOUR(C365)+Inputs!$C$69,MATCH(INDEX(Utility_Rates!$K$6:$K$17,MONTH(C365))&amp;IF(WEEKDAY(C365,Inputs!$C$76)&lt;=Inputs!$C$74," weekday"," weekend"),Utility_Rates!$C$28:$F$28,Inputs!$C$68)),"")</f>
      </c>
      <c r="H365" s="34"/>
      <c r="I365" s="42">
        <f>IF(AND(ISNUMBER(D365),ISNUMBER(H365)),D365*H365*Inputs!$C$69,"")</f>
      </c>
      <c r="J365" s="42">
        <f>IF(AND(ISNUMBER(F365),ISNUMBER(H365),F365&gt;=Inputs!$C$68),F365*H365*Inputs!$C$69,"")</f>
      </c>
    </row>
    <row r="366" spans="2:10" ht="15" customHeight="1" x14ac:dyDescent="0.2">
      <c r="B366" s="39">
        <f t="shared" si="2"/>
      </c>
      <c r="C366" s="40">
        <f>IF(Inputs!$C$60,Inputs!$C$11+(B366-Inputs!$C$69)/Inputs!$C$70,"")</f>
      </c>
      <c r="D366" s="15"/>
      <c r="E366" s="15"/>
      <c r="F366" s="11">
        <f t="shared" si="3"/>
      </c>
      <c r="G366" s="22" cm="1">
        <f t="array" ref="G366">IF(AND(Inputs!$C$60,Inputs!$C$61),INDEX(Utility_Rates!$C$29:$F$52,HOUR(C366)+Inputs!$C$69,MATCH(INDEX(Utility_Rates!$K$6:$K$17,MONTH(C366))&amp;IF(WEEKDAY(C366,Inputs!$C$76)&lt;=Inputs!$C$74," weekday"," weekend"),Utility_Rates!$C$28:$F$28,Inputs!$C$68)),"")</f>
      </c>
      <c r="H366" s="34"/>
      <c r="I366" s="42">
        <f>IF(AND(ISNUMBER(D366),ISNUMBER(H366)),D366*H366*Inputs!$C$69,"")</f>
      </c>
      <c r="J366" s="42">
        <f>IF(AND(ISNUMBER(F366),ISNUMBER(H366),F366&gt;=Inputs!$C$68),F366*H366*Inputs!$C$69,"")</f>
      </c>
    </row>
    <row r="367" spans="2:10" ht="15" customHeight="1" x14ac:dyDescent="0.2">
      <c r="B367" s="39">
        <f t="shared" si="2"/>
      </c>
      <c r="C367" s="40">
        <f>IF(Inputs!$C$60,Inputs!$C$11+(B367-Inputs!$C$69)/Inputs!$C$70,"")</f>
      </c>
      <c r="D367" s="15"/>
      <c r="E367" s="15"/>
      <c r="F367" s="11">
        <f t="shared" si="3"/>
      </c>
      <c r="G367" s="22" cm="1">
        <f t="array" ref="G367">IF(AND(Inputs!$C$60,Inputs!$C$61),INDEX(Utility_Rates!$C$29:$F$52,HOUR(C367)+Inputs!$C$69,MATCH(INDEX(Utility_Rates!$K$6:$K$17,MONTH(C367))&amp;IF(WEEKDAY(C367,Inputs!$C$76)&lt;=Inputs!$C$74," weekday"," weekend"),Utility_Rates!$C$28:$F$28,Inputs!$C$68)),"")</f>
      </c>
      <c r="H367" s="34"/>
      <c r="I367" s="42">
        <f>IF(AND(ISNUMBER(D367),ISNUMBER(H367)),D367*H367*Inputs!$C$69,"")</f>
      </c>
      <c r="J367" s="42">
        <f>IF(AND(ISNUMBER(F367),ISNUMBER(H367),F367&gt;=Inputs!$C$68),F367*H367*Inputs!$C$69,"")</f>
      </c>
    </row>
    <row r="368" spans="2:10" ht="15" customHeight="1" x14ac:dyDescent="0.2">
      <c r="B368" s="39">
        <f t="shared" si="2"/>
      </c>
      <c r="C368" s="40">
        <f>IF(Inputs!$C$60,Inputs!$C$11+(B368-Inputs!$C$69)/Inputs!$C$70,"")</f>
      </c>
      <c r="D368" s="15"/>
      <c r="E368" s="15"/>
      <c r="F368" s="11">
        <f t="shared" si="3"/>
      </c>
      <c r="G368" s="22" cm="1">
        <f t="array" ref="G368">IF(AND(Inputs!$C$60,Inputs!$C$61),INDEX(Utility_Rates!$C$29:$F$52,HOUR(C368)+Inputs!$C$69,MATCH(INDEX(Utility_Rates!$K$6:$K$17,MONTH(C368))&amp;IF(WEEKDAY(C368,Inputs!$C$76)&lt;=Inputs!$C$74," weekday"," weekend"),Utility_Rates!$C$28:$F$28,Inputs!$C$68)),"")</f>
      </c>
      <c r="H368" s="34"/>
      <c r="I368" s="42">
        <f>IF(AND(ISNUMBER(D368),ISNUMBER(H368)),D368*H368*Inputs!$C$69,"")</f>
      </c>
      <c r="J368" s="42">
        <f>IF(AND(ISNUMBER(F368),ISNUMBER(H368),F368&gt;=Inputs!$C$68),F368*H368*Inputs!$C$69,"")</f>
      </c>
    </row>
    <row r="369" spans="2:10" ht="15" customHeight="1" x14ac:dyDescent="0.2">
      <c r="B369" s="39">
        <f t="shared" si="2"/>
      </c>
      <c r="C369" s="40">
        <f>IF(Inputs!$C$60,Inputs!$C$11+(B369-Inputs!$C$69)/Inputs!$C$70,"")</f>
      </c>
      <c r="D369" s="15"/>
      <c r="E369" s="15"/>
      <c r="F369" s="11">
        <f t="shared" si="3"/>
      </c>
      <c r="G369" s="22" cm="1">
        <f t="array" ref="G369">IF(AND(Inputs!$C$60,Inputs!$C$61),INDEX(Utility_Rates!$C$29:$F$52,HOUR(C369)+Inputs!$C$69,MATCH(INDEX(Utility_Rates!$K$6:$K$17,MONTH(C369))&amp;IF(WEEKDAY(C369,Inputs!$C$76)&lt;=Inputs!$C$74," weekday"," weekend"),Utility_Rates!$C$28:$F$28,Inputs!$C$68)),"")</f>
      </c>
      <c r="H369" s="34"/>
      <c r="I369" s="42">
        <f>IF(AND(ISNUMBER(D369),ISNUMBER(H369)),D369*H369*Inputs!$C$69,"")</f>
      </c>
      <c r="J369" s="42">
        <f>IF(AND(ISNUMBER(F369),ISNUMBER(H369),F369&gt;=Inputs!$C$68),F369*H369*Inputs!$C$69,"")</f>
      </c>
    </row>
    <row r="370" spans="2:10" ht="15" customHeight="1" x14ac:dyDescent="0.2">
      <c r="B370" s="39">
        <f t="shared" si="2"/>
      </c>
      <c r="C370" s="40">
        <f>IF(Inputs!$C$60,Inputs!$C$11+(B370-Inputs!$C$69)/Inputs!$C$70,"")</f>
      </c>
      <c r="D370" s="15"/>
      <c r="E370" s="15"/>
      <c r="F370" s="11">
        <f t="shared" si="3"/>
      </c>
      <c r="G370" s="22" cm="1">
        <f t="array" ref="G370">IF(AND(Inputs!$C$60,Inputs!$C$61),INDEX(Utility_Rates!$C$29:$F$52,HOUR(C370)+Inputs!$C$69,MATCH(INDEX(Utility_Rates!$K$6:$K$17,MONTH(C370))&amp;IF(WEEKDAY(C370,Inputs!$C$76)&lt;=Inputs!$C$74," weekday"," weekend"),Utility_Rates!$C$28:$F$28,Inputs!$C$68)),"")</f>
      </c>
      <c r="H370" s="34"/>
      <c r="I370" s="42">
        <f>IF(AND(ISNUMBER(D370),ISNUMBER(H370)),D370*H370*Inputs!$C$69,"")</f>
      </c>
      <c r="J370" s="42">
        <f>IF(AND(ISNUMBER(F370),ISNUMBER(H370),F370&gt;=Inputs!$C$68),F370*H370*Inputs!$C$69,"")</f>
      </c>
    </row>
    <row r="371" spans="2:10" ht="15" customHeight="1" x14ac:dyDescent="0.2">
      <c r="B371" s="39">
        <f t="shared" si="2"/>
      </c>
      <c r="C371" s="40">
        <f>IF(Inputs!$C$60,Inputs!$C$11+(B371-Inputs!$C$69)/Inputs!$C$70,"")</f>
      </c>
      <c r="D371" s="15"/>
      <c r="E371" s="15"/>
      <c r="F371" s="11">
        <f t="shared" si="3"/>
      </c>
      <c r="G371" s="22" cm="1">
        <f t="array" ref="G371">IF(AND(Inputs!$C$60,Inputs!$C$61),INDEX(Utility_Rates!$C$29:$F$52,HOUR(C371)+Inputs!$C$69,MATCH(INDEX(Utility_Rates!$K$6:$K$17,MONTH(C371))&amp;IF(WEEKDAY(C371,Inputs!$C$76)&lt;=Inputs!$C$74," weekday"," weekend"),Utility_Rates!$C$28:$F$28,Inputs!$C$68)),"")</f>
      </c>
      <c r="H371" s="34"/>
      <c r="I371" s="42">
        <f>IF(AND(ISNUMBER(D371),ISNUMBER(H371)),D371*H371*Inputs!$C$69,"")</f>
      </c>
      <c r="J371" s="42">
        <f>IF(AND(ISNUMBER(F371),ISNUMBER(H371),F371&gt;=Inputs!$C$68),F371*H371*Inputs!$C$69,"")</f>
      </c>
    </row>
    <row r="372" spans="2:10" ht="15" customHeight="1" x14ac:dyDescent="0.2">
      <c r="B372" s="39">
        <f t="shared" si="2"/>
      </c>
      <c r="C372" s="40">
        <f>IF(Inputs!$C$60,Inputs!$C$11+(B372-Inputs!$C$69)/Inputs!$C$70,"")</f>
      </c>
      <c r="D372" s="15"/>
      <c r="E372" s="15"/>
      <c r="F372" s="11">
        <f t="shared" si="3"/>
      </c>
      <c r="G372" s="22" cm="1">
        <f t="array" ref="G372">IF(AND(Inputs!$C$60,Inputs!$C$61),INDEX(Utility_Rates!$C$29:$F$52,HOUR(C372)+Inputs!$C$69,MATCH(INDEX(Utility_Rates!$K$6:$K$17,MONTH(C372))&amp;IF(WEEKDAY(C372,Inputs!$C$76)&lt;=Inputs!$C$74," weekday"," weekend"),Utility_Rates!$C$28:$F$28,Inputs!$C$68)),"")</f>
      </c>
      <c r="H372" s="34"/>
      <c r="I372" s="42">
        <f>IF(AND(ISNUMBER(D372),ISNUMBER(H372)),D372*H372*Inputs!$C$69,"")</f>
      </c>
      <c r="J372" s="42">
        <f>IF(AND(ISNUMBER(F372),ISNUMBER(H372),F372&gt;=Inputs!$C$68),F372*H372*Inputs!$C$69,"")</f>
      </c>
    </row>
    <row r="373" spans="2:10" ht="15" customHeight="1" x14ac:dyDescent="0.2">
      <c r="B373" s="39">
        <f t="shared" si="2"/>
      </c>
      <c r="C373" s="40">
        <f>IF(Inputs!$C$60,Inputs!$C$11+(B373-Inputs!$C$69)/Inputs!$C$70,"")</f>
      </c>
      <c r="D373" s="15"/>
      <c r="E373" s="15"/>
      <c r="F373" s="11">
        <f t="shared" si="3"/>
      </c>
      <c r="G373" s="22" cm="1">
        <f t="array" ref="G373">IF(AND(Inputs!$C$60,Inputs!$C$61),INDEX(Utility_Rates!$C$29:$F$52,HOUR(C373)+Inputs!$C$69,MATCH(INDEX(Utility_Rates!$K$6:$K$17,MONTH(C373))&amp;IF(WEEKDAY(C373,Inputs!$C$76)&lt;=Inputs!$C$74," weekday"," weekend"),Utility_Rates!$C$28:$F$28,Inputs!$C$68)),"")</f>
      </c>
      <c r="H373" s="34"/>
      <c r="I373" s="42">
        <f>IF(AND(ISNUMBER(D373),ISNUMBER(H373)),D373*H373*Inputs!$C$69,"")</f>
      </c>
      <c r="J373" s="42">
        <f>IF(AND(ISNUMBER(F373),ISNUMBER(H373),F373&gt;=Inputs!$C$68),F373*H373*Inputs!$C$69,"")</f>
      </c>
    </row>
    <row r="374" spans="2:10" ht="15" customHeight="1" x14ac:dyDescent="0.2">
      <c r="B374" s="39">
        <f t="shared" si="2"/>
      </c>
      <c r="C374" s="40">
        <f>IF(Inputs!$C$60,Inputs!$C$11+(B374-Inputs!$C$69)/Inputs!$C$70,"")</f>
      </c>
      <c r="D374" s="15"/>
      <c r="E374" s="15"/>
      <c r="F374" s="11">
        <f t="shared" si="3"/>
      </c>
      <c r="G374" s="22" cm="1">
        <f t="array" ref="G374">IF(AND(Inputs!$C$60,Inputs!$C$61),INDEX(Utility_Rates!$C$29:$F$52,HOUR(C374)+Inputs!$C$69,MATCH(INDEX(Utility_Rates!$K$6:$K$17,MONTH(C374))&amp;IF(WEEKDAY(C374,Inputs!$C$76)&lt;=Inputs!$C$74," weekday"," weekend"),Utility_Rates!$C$28:$F$28,Inputs!$C$68)),"")</f>
      </c>
      <c r="H374" s="34"/>
      <c r="I374" s="42">
        <f>IF(AND(ISNUMBER(D374),ISNUMBER(H374)),D374*H374*Inputs!$C$69,"")</f>
      </c>
      <c r="J374" s="42">
        <f>IF(AND(ISNUMBER(F374),ISNUMBER(H374),F374&gt;=Inputs!$C$68),F374*H374*Inputs!$C$69,"")</f>
      </c>
    </row>
    <row r="375" spans="2:10" ht="15" customHeight="1" x14ac:dyDescent="0.2">
      <c r="B375" s="39">
        <f t="shared" si="2"/>
      </c>
      <c r="C375" s="40">
        <f>IF(Inputs!$C$60,Inputs!$C$11+(B375-Inputs!$C$69)/Inputs!$C$70,"")</f>
      </c>
      <c r="D375" s="15"/>
      <c r="E375" s="15"/>
      <c r="F375" s="11">
        <f t="shared" si="3"/>
      </c>
      <c r="G375" s="22" cm="1">
        <f t="array" ref="G375">IF(AND(Inputs!$C$60,Inputs!$C$61),INDEX(Utility_Rates!$C$29:$F$52,HOUR(C375)+Inputs!$C$69,MATCH(INDEX(Utility_Rates!$K$6:$K$17,MONTH(C375))&amp;IF(WEEKDAY(C375,Inputs!$C$76)&lt;=Inputs!$C$74," weekday"," weekend"),Utility_Rates!$C$28:$F$28,Inputs!$C$68)),"")</f>
      </c>
      <c r="H375" s="34"/>
      <c r="I375" s="42">
        <f>IF(AND(ISNUMBER(D375),ISNUMBER(H375)),D375*H375*Inputs!$C$69,"")</f>
      </c>
      <c r="J375" s="42">
        <f>IF(AND(ISNUMBER(F375),ISNUMBER(H375),F375&gt;=Inputs!$C$68),F375*H375*Inputs!$C$69,"")</f>
      </c>
    </row>
    <row r="376" spans="2:10" ht="15" customHeight="1" x14ac:dyDescent="0.2">
      <c r="B376" s="39">
        <f t="shared" si="2"/>
      </c>
      <c r="C376" s="40">
        <f>IF(Inputs!$C$60,Inputs!$C$11+(B376-Inputs!$C$69)/Inputs!$C$70,"")</f>
      </c>
      <c r="D376" s="15"/>
      <c r="E376" s="15"/>
      <c r="F376" s="11">
        <f t="shared" si="3"/>
      </c>
      <c r="G376" s="22" cm="1">
        <f t="array" ref="G376">IF(AND(Inputs!$C$60,Inputs!$C$61),INDEX(Utility_Rates!$C$29:$F$52,HOUR(C376)+Inputs!$C$69,MATCH(INDEX(Utility_Rates!$K$6:$K$17,MONTH(C376))&amp;IF(WEEKDAY(C376,Inputs!$C$76)&lt;=Inputs!$C$74," weekday"," weekend"),Utility_Rates!$C$28:$F$28,Inputs!$C$68)),"")</f>
      </c>
      <c r="H376" s="34"/>
      <c r="I376" s="42">
        <f>IF(AND(ISNUMBER(D376),ISNUMBER(H376)),D376*H376*Inputs!$C$69,"")</f>
      </c>
      <c r="J376" s="42">
        <f>IF(AND(ISNUMBER(F376),ISNUMBER(H376),F376&gt;=Inputs!$C$68),F376*H376*Inputs!$C$69,"")</f>
      </c>
    </row>
    <row r="377" spans="2:10" ht="15" customHeight="1" x14ac:dyDescent="0.2">
      <c r="B377" s="39">
        <f t="shared" si="2"/>
      </c>
      <c r="C377" s="40">
        <f>IF(Inputs!$C$60,Inputs!$C$11+(B377-Inputs!$C$69)/Inputs!$C$70,"")</f>
      </c>
      <c r="D377" s="15"/>
      <c r="E377" s="15"/>
      <c r="F377" s="11">
        <f t="shared" si="3"/>
      </c>
      <c r="G377" s="22" cm="1">
        <f t="array" ref="G377">IF(AND(Inputs!$C$60,Inputs!$C$61),INDEX(Utility_Rates!$C$29:$F$52,HOUR(C377)+Inputs!$C$69,MATCH(INDEX(Utility_Rates!$K$6:$K$17,MONTH(C377))&amp;IF(WEEKDAY(C377,Inputs!$C$76)&lt;=Inputs!$C$74," weekday"," weekend"),Utility_Rates!$C$28:$F$28,Inputs!$C$68)),"")</f>
      </c>
      <c r="H377" s="34"/>
      <c r="I377" s="42">
        <f>IF(AND(ISNUMBER(D377),ISNUMBER(H377)),D377*H377*Inputs!$C$69,"")</f>
      </c>
      <c r="J377" s="42">
        <f>IF(AND(ISNUMBER(F377),ISNUMBER(H377),F377&gt;=Inputs!$C$68),F377*H377*Inputs!$C$69,"")</f>
      </c>
    </row>
    <row r="378" spans="2:10" ht="15" customHeight="1" x14ac:dyDescent="0.2">
      <c r="B378" s="39">
        <f t="shared" si="2"/>
      </c>
      <c r="C378" s="40">
        <f>IF(Inputs!$C$60,Inputs!$C$11+(B378-Inputs!$C$69)/Inputs!$C$70,"")</f>
      </c>
      <c r="D378" s="15"/>
      <c r="E378" s="15"/>
      <c r="F378" s="11">
        <f t="shared" si="3"/>
      </c>
      <c r="G378" s="22" cm="1">
        <f t="array" ref="G378">IF(AND(Inputs!$C$60,Inputs!$C$61),INDEX(Utility_Rates!$C$29:$F$52,HOUR(C378)+Inputs!$C$69,MATCH(INDEX(Utility_Rates!$K$6:$K$17,MONTH(C378))&amp;IF(WEEKDAY(C378,Inputs!$C$76)&lt;=Inputs!$C$74," weekday"," weekend"),Utility_Rates!$C$28:$F$28,Inputs!$C$68)),"")</f>
      </c>
      <c r="H378" s="34"/>
      <c r="I378" s="42">
        <f>IF(AND(ISNUMBER(D378),ISNUMBER(H378)),D378*H378*Inputs!$C$69,"")</f>
      </c>
      <c r="J378" s="42">
        <f>IF(AND(ISNUMBER(F378),ISNUMBER(H378),F378&gt;=Inputs!$C$68),F378*H378*Inputs!$C$69,"")</f>
      </c>
    </row>
    <row r="379" spans="2:10" ht="15" customHeight="1" x14ac:dyDescent="0.2">
      <c r="B379" s="39">
        <f t="shared" si="2"/>
      </c>
      <c r="C379" s="40">
        <f>IF(Inputs!$C$60,Inputs!$C$11+(B379-Inputs!$C$69)/Inputs!$C$70,"")</f>
      </c>
      <c r="D379" s="15"/>
      <c r="E379" s="15"/>
      <c r="F379" s="11">
        <f t="shared" si="3"/>
      </c>
      <c r="G379" s="22" cm="1">
        <f t="array" ref="G379">IF(AND(Inputs!$C$60,Inputs!$C$61),INDEX(Utility_Rates!$C$29:$F$52,HOUR(C379)+Inputs!$C$69,MATCH(INDEX(Utility_Rates!$K$6:$K$17,MONTH(C379))&amp;IF(WEEKDAY(C379,Inputs!$C$76)&lt;=Inputs!$C$74," weekday"," weekend"),Utility_Rates!$C$28:$F$28,Inputs!$C$68)),"")</f>
      </c>
      <c r="H379" s="34"/>
      <c r="I379" s="42">
        <f>IF(AND(ISNUMBER(D379),ISNUMBER(H379)),D379*H379*Inputs!$C$69,"")</f>
      </c>
      <c r="J379" s="42">
        <f>IF(AND(ISNUMBER(F379),ISNUMBER(H379),F379&gt;=Inputs!$C$68),F379*H379*Inputs!$C$69,"")</f>
      </c>
    </row>
    <row r="380" spans="2:10" ht="15" customHeight="1" x14ac:dyDescent="0.2">
      <c r="B380" s="39">
        <f t="shared" si="2"/>
      </c>
      <c r="C380" s="40">
        <f>IF(Inputs!$C$60,Inputs!$C$11+(B380-Inputs!$C$69)/Inputs!$C$70,"")</f>
      </c>
      <c r="D380" s="15"/>
      <c r="E380" s="15"/>
      <c r="F380" s="11">
        <f t="shared" si="3"/>
      </c>
      <c r="G380" s="22" cm="1">
        <f t="array" ref="G380">IF(AND(Inputs!$C$60,Inputs!$C$61),INDEX(Utility_Rates!$C$29:$F$52,HOUR(C380)+Inputs!$C$69,MATCH(INDEX(Utility_Rates!$K$6:$K$17,MONTH(C380))&amp;IF(WEEKDAY(C380,Inputs!$C$76)&lt;=Inputs!$C$74," weekday"," weekend"),Utility_Rates!$C$28:$F$28,Inputs!$C$68)),"")</f>
      </c>
      <c r="H380" s="34"/>
      <c r="I380" s="42">
        <f>IF(AND(ISNUMBER(D380),ISNUMBER(H380)),D380*H380*Inputs!$C$69,"")</f>
      </c>
      <c r="J380" s="42">
        <f>IF(AND(ISNUMBER(F380),ISNUMBER(H380),F380&gt;=Inputs!$C$68),F380*H380*Inputs!$C$69,"")</f>
      </c>
    </row>
    <row r="381" spans="2:10" ht="15" customHeight="1" x14ac:dyDescent="0.2">
      <c r="B381" s="39">
        <f t="shared" si="2"/>
      </c>
      <c r="C381" s="40">
        <f>IF(Inputs!$C$60,Inputs!$C$11+(B381-Inputs!$C$69)/Inputs!$C$70,"")</f>
      </c>
      <c r="D381" s="15"/>
      <c r="E381" s="15"/>
      <c r="F381" s="11">
        <f t="shared" si="3"/>
      </c>
      <c r="G381" s="22" cm="1">
        <f t="array" ref="G381">IF(AND(Inputs!$C$60,Inputs!$C$61),INDEX(Utility_Rates!$C$29:$F$52,HOUR(C381)+Inputs!$C$69,MATCH(INDEX(Utility_Rates!$K$6:$K$17,MONTH(C381))&amp;IF(WEEKDAY(C381,Inputs!$C$76)&lt;=Inputs!$C$74," weekday"," weekend"),Utility_Rates!$C$28:$F$28,Inputs!$C$68)),"")</f>
      </c>
      <c r="H381" s="34"/>
      <c r="I381" s="42">
        <f>IF(AND(ISNUMBER(D381),ISNUMBER(H381)),D381*H381*Inputs!$C$69,"")</f>
      </c>
      <c r="J381" s="42">
        <f>IF(AND(ISNUMBER(F381),ISNUMBER(H381),F381&gt;=Inputs!$C$68),F381*H381*Inputs!$C$69,"")</f>
      </c>
    </row>
    <row r="382" spans="2:10" ht="15" customHeight="1" x14ac:dyDescent="0.2">
      <c r="B382" s="39">
        <f t="shared" si="2"/>
      </c>
      <c r="C382" s="40">
        <f>IF(Inputs!$C$60,Inputs!$C$11+(B382-Inputs!$C$69)/Inputs!$C$70,"")</f>
      </c>
      <c r="D382" s="15"/>
      <c r="E382" s="15"/>
      <c r="F382" s="11">
        <f t="shared" si="3"/>
      </c>
      <c r="G382" s="22" cm="1">
        <f t="array" ref="G382">IF(AND(Inputs!$C$60,Inputs!$C$61),INDEX(Utility_Rates!$C$29:$F$52,HOUR(C382)+Inputs!$C$69,MATCH(INDEX(Utility_Rates!$K$6:$K$17,MONTH(C382))&amp;IF(WEEKDAY(C382,Inputs!$C$76)&lt;=Inputs!$C$74," weekday"," weekend"),Utility_Rates!$C$28:$F$28,Inputs!$C$68)),"")</f>
      </c>
      <c r="H382" s="34"/>
      <c r="I382" s="42">
        <f>IF(AND(ISNUMBER(D382),ISNUMBER(H382)),D382*H382*Inputs!$C$69,"")</f>
      </c>
      <c r="J382" s="42">
        <f>IF(AND(ISNUMBER(F382),ISNUMBER(H382),F382&gt;=Inputs!$C$68),F382*H382*Inputs!$C$69,"")</f>
      </c>
    </row>
    <row r="383" spans="2:10" ht="15" customHeight="1" x14ac:dyDescent="0.2">
      <c r="B383" s="39">
        <f t="shared" si="2"/>
      </c>
      <c r="C383" s="40">
        <f>IF(Inputs!$C$60,Inputs!$C$11+(B383-Inputs!$C$69)/Inputs!$C$70,"")</f>
      </c>
      <c r="D383" s="15"/>
      <c r="E383" s="15"/>
      <c r="F383" s="11">
        <f t="shared" si="3"/>
      </c>
      <c r="G383" s="22" cm="1">
        <f t="array" ref="G383">IF(AND(Inputs!$C$60,Inputs!$C$61),INDEX(Utility_Rates!$C$29:$F$52,HOUR(C383)+Inputs!$C$69,MATCH(INDEX(Utility_Rates!$K$6:$K$17,MONTH(C383))&amp;IF(WEEKDAY(C383,Inputs!$C$76)&lt;=Inputs!$C$74," weekday"," weekend"),Utility_Rates!$C$28:$F$28,Inputs!$C$68)),"")</f>
      </c>
      <c r="H383" s="34"/>
      <c r="I383" s="42">
        <f>IF(AND(ISNUMBER(D383),ISNUMBER(H383)),D383*H383*Inputs!$C$69,"")</f>
      </c>
      <c r="J383" s="42">
        <f>IF(AND(ISNUMBER(F383),ISNUMBER(H383),F383&gt;=Inputs!$C$68),F383*H383*Inputs!$C$69,"")</f>
      </c>
    </row>
    <row r="384" spans="2:10" ht="15" customHeight="1" x14ac:dyDescent="0.2">
      <c r="B384" s="39">
        <f t="shared" si="2"/>
      </c>
      <c r="C384" s="40">
        <f>IF(Inputs!$C$60,Inputs!$C$11+(B384-Inputs!$C$69)/Inputs!$C$70,"")</f>
      </c>
      <c r="D384" s="15"/>
      <c r="E384" s="15"/>
      <c r="F384" s="11">
        <f t="shared" si="3"/>
      </c>
      <c r="G384" s="22" cm="1">
        <f t="array" ref="G384">IF(AND(Inputs!$C$60,Inputs!$C$61),INDEX(Utility_Rates!$C$29:$F$52,HOUR(C384)+Inputs!$C$69,MATCH(INDEX(Utility_Rates!$K$6:$K$17,MONTH(C384))&amp;IF(WEEKDAY(C384,Inputs!$C$76)&lt;=Inputs!$C$74," weekday"," weekend"),Utility_Rates!$C$28:$F$28,Inputs!$C$68)),"")</f>
      </c>
      <c r="H384" s="34"/>
      <c r="I384" s="42">
        <f>IF(AND(ISNUMBER(D384),ISNUMBER(H384)),D384*H384*Inputs!$C$69,"")</f>
      </c>
      <c r="J384" s="42">
        <f>IF(AND(ISNUMBER(F384),ISNUMBER(H384),F384&gt;=Inputs!$C$68),F384*H384*Inputs!$C$69,"")</f>
      </c>
    </row>
    <row r="385" spans="2:10" ht="15" customHeight="1" x14ac:dyDescent="0.2">
      <c r="B385" s="39">
        <f t="shared" si="2"/>
      </c>
      <c r="C385" s="40">
        <f>IF(Inputs!$C$60,Inputs!$C$11+(B385-Inputs!$C$69)/Inputs!$C$70,"")</f>
      </c>
      <c r="D385" s="15"/>
      <c r="E385" s="15"/>
      <c r="F385" s="11">
        <f t="shared" si="3"/>
      </c>
      <c r="G385" s="22" cm="1">
        <f t="array" ref="G385">IF(AND(Inputs!$C$60,Inputs!$C$61),INDEX(Utility_Rates!$C$29:$F$52,HOUR(C385)+Inputs!$C$69,MATCH(INDEX(Utility_Rates!$K$6:$K$17,MONTH(C385))&amp;IF(WEEKDAY(C385,Inputs!$C$76)&lt;=Inputs!$C$74," weekday"," weekend"),Utility_Rates!$C$28:$F$28,Inputs!$C$68)),"")</f>
      </c>
      <c r="H385" s="34"/>
      <c r="I385" s="42">
        <f>IF(AND(ISNUMBER(D385),ISNUMBER(H385)),D385*H385*Inputs!$C$69,"")</f>
      </c>
      <c r="J385" s="42">
        <f>IF(AND(ISNUMBER(F385),ISNUMBER(H385),F385&gt;=Inputs!$C$68),F385*H385*Inputs!$C$69,"")</f>
      </c>
    </row>
    <row r="386" spans="2:10" ht="15" customHeight="1" x14ac:dyDescent="0.2">
      <c r="B386" s="39">
        <f t="shared" si="2"/>
      </c>
      <c r="C386" s="40">
        <f>IF(Inputs!$C$60,Inputs!$C$11+(B386-Inputs!$C$69)/Inputs!$C$70,"")</f>
      </c>
      <c r="D386" s="15"/>
      <c r="E386" s="15"/>
      <c r="F386" s="11">
        <f t="shared" si="3"/>
      </c>
      <c r="G386" s="22" cm="1">
        <f t="array" ref="G386">IF(AND(Inputs!$C$60,Inputs!$C$61),INDEX(Utility_Rates!$C$29:$F$52,HOUR(C386)+Inputs!$C$69,MATCH(INDEX(Utility_Rates!$K$6:$K$17,MONTH(C386))&amp;IF(WEEKDAY(C386,Inputs!$C$76)&lt;=Inputs!$C$74," weekday"," weekend"),Utility_Rates!$C$28:$F$28,Inputs!$C$68)),"")</f>
      </c>
      <c r="H386" s="34"/>
      <c r="I386" s="42">
        <f>IF(AND(ISNUMBER(D386),ISNUMBER(H386)),D386*H386*Inputs!$C$69,"")</f>
      </c>
      <c r="J386" s="42">
        <f>IF(AND(ISNUMBER(F386),ISNUMBER(H386),F386&gt;=Inputs!$C$68),F386*H386*Inputs!$C$69,"")</f>
      </c>
    </row>
    <row r="387" spans="2:10" ht="15" customHeight="1" x14ac:dyDescent="0.2">
      <c r="B387" s="39">
        <f t="shared" si="2"/>
      </c>
      <c r="C387" s="40">
        <f>IF(Inputs!$C$60,Inputs!$C$11+(B387-Inputs!$C$69)/Inputs!$C$70,"")</f>
      </c>
      <c r="D387" s="15"/>
      <c r="E387" s="15"/>
      <c r="F387" s="11">
        <f t="shared" si="3"/>
      </c>
      <c r="G387" s="22" cm="1">
        <f t="array" ref="G387">IF(AND(Inputs!$C$60,Inputs!$C$61),INDEX(Utility_Rates!$C$29:$F$52,HOUR(C387)+Inputs!$C$69,MATCH(INDEX(Utility_Rates!$K$6:$K$17,MONTH(C387))&amp;IF(WEEKDAY(C387,Inputs!$C$76)&lt;=Inputs!$C$74," weekday"," weekend"),Utility_Rates!$C$28:$F$28,Inputs!$C$68)),"")</f>
      </c>
      <c r="H387" s="34"/>
      <c r="I387" s="42">
        <f>IF(AND(ISNUMBER(D387),ISNUMBER(H387)),D387*H387*Inputs!$C$69,"")</f>
      </c>
      <c r="J387" s="42">
        <f>IF(AND(ISNUMBER(F387),ISNUMBER(H387),F387&gt;=Inputs!$C$68),F387*H387*Inputs!$C$69,"")</f>
      </c>
    </row>
    <row r="388" spans="2:10" ht="15" customHeight="1" x14ac:dyDescent="0.2">
      <c r="B388" s="39">
        <f t="shared" si="2"/>
      </c>
      <c r="C388" s="40">
        <f>IF(Inputs!$C$60,Inputs!$C$11+(B388-Inputs!$C$69)/Inputs!$C$70,"")</f>
      </c>
      <c r="D388" s="15"/>
      <c r="E388" s="15"/>
      <c r="F388" s="11">
        <f t="shared" si="3"/>
      </c>
      <c r="G388" s="22" cm="1">
        <f t="array" ref="G388">IF(AND(Inputs!$C$60,Inputs!$C$61),INDEX(Utility_Rates!$C$29:$F$52,HOUR(C388)+Inputs!$C$69,MATCH(INDEX(Utility_Rates!$K$6:$K$17,MONTH(C388))&amp;IF(WEEKDAY(C388,Inputs!$C$76)&lt;=Inputs!$C$74," weekday"," weekend"),Utility_Rates!$C$28:$F$28,Inputs!$C$68)),"")</f>
      </c>
      <c r="H388" s="34"/>
      <c r="I388" s="42">
        <f>IF(AND(ISNUMBER(D388),ISNUMBER(H388)),D388*H388*Inputs!$C$69,"")</f>
      </c>
      <c r="J388" s="42">
        <f>IF(AND(ISNUMBER(F388),ISNUMBER(H388),F388&gt;=Inputs!$C$68),F388*H388*Inputs!$C$69,"")</f>
      </c>
    </row>
    <row r="389" spans="2:10" ht="15" customHeight="1" x14ac:dyDescent="0.2">
      <c r="B389" s="39">
        <f t="shared" si="2"/>
      </c>
      <c r="C389" s="40">
        <f>IF(Inputs!$C$60,Inputs!$C$11+(B389-Inputs!$C$69)/Inputs!$C$70,"")</f>
      </c>
      <c r="D389" s="15"/>
      <c r="E389" s="15"/>
      <c r="F389" s="11">
        <f t="shared" si="3"/>
      </c>
      <c r="G389" s="22" cm="1">
        <f t="array" ref="G389">IF(AND(Inputs!$C$60,Inputs!$C$61),INDEX(Utility_Rates!$C$29:$F$52,HOUR(C389)+Inputs!$C$69,MATCH(INDEX(Utility_Rates!$K$6:$K$17,MONTH(C389))&amp;IF(WEEKDAY(C389,Inputs!$C$76)&lt;=Inputs!$C$74," weekday"," weekend"),Utility_Rates!$C$28:$F$28,Inputs!$C$68)),"")</f>
      </c>
      <c r="H389" s="34"/>
      <c r="I389" s="42">
        <f>IF(AND(ISNUMBER(D389),ISNUMBER(H389)),D389*H389*Inputs!$C$69,"")</f>
      </c>
      <c r="J389" s="42">
        <f>IF(AND(ISNUMBER(F389),ISNUMBER(H389),F389&gt;=Inputs!$C$68),F389*H389*Inputs!$C$69,"")</f>
      </c>
    </row>
    <row r="390" spans="2:10" ht="15" customHeight="1" x14ac:dyDescent="0.2">
      <c r="B390" s="39">
        <f t="shared" si="2"/>
      </c>
      <c r="C390" s="40">
        <f>IF(Inputs!$C$60,Inputs!$C$11+(B390-Inputs!$C$69)/Inputs!$C$70,"")</f>
      </c>
      <c r="D390" s="15"/>
      <c r="E390" s="15"/>
      <c r="F390" s="11">
        <f t="shared" si="3"/>
      </c>
      <c r="G390" s="22" cm="1">
        <f t="array" ref="G390">IF(AND(Inputs!$C$60,Inputs!$C$61),INDEX(Utility_Rates!$C$29:$F$52,HOUR(C390)+Inputs!$C$69,MATCH(INDEX(Utility_Rates!$K$6:$K$17,MONTH(C390))&amp;IF(WEEKDAY(C390,Inputs!$C$76)&lt;=Inputs!$C$74," weekday"," weekend"),Utility_Rates!$C$28:$F$28,Inputs!$C$68)),"")</f>
      </c>
      <c r="H390" s="34"/>
      <c r="I390" s="42">
        <f>IF(AND(ISNUMBER(D390),ISNUMBER(H390)),D390*H390*Inputs!$C$69,"")</f>
      </c>
      <c r="J390" s="42">
        <f>IF(AND(ISNUMBER(F390),ISNUMBER(H390),F390&gt;=Inputs!$C$68),F390*H390*Inputs!$C$69,"")</f>
      </c>
    </row>
    <row r="391" spans="2:10" ht="15" customHeight="1" x14ac:dyDescent="0.2">
      <c r="B391" s="39">
        <f t="shared" si="2"/>
      </c>
      <c r="C391" s="40">
        <f>IF(Inputs!$C$60,Inputs!$C$11+(B391-Inputs!$C$69)/Inputs!$C$70,"")</f>
      </c>
      <c r="D391" s="15"/>
      <c r="E391" s="15"/>
      <c r="F391" s="11">
        <f t="shared" si="3"/>
      </c>
      <c r="G391" s="22" cm="1">
        <f t="array" ref="G391">IF(AND(Inputs!$C$60,Inputs!$C$61),INDEX(Utility_Rates!$C$29:$F$52,HOUR(C391)+Inputs!$C$69,MATCH(INDEX(Utility_Rates!$K$6:$K$17,MONTH(C391))&amp;IF(WEEKDAY(C391,Inputs!$C$76)&lt;=Inputs!$C$74," weekday"," weekend"),Utility_Rates!$C$28:$F$28,Inputs!$C$68)),"")</f>
      </c>
      <c r="H391" s="34"/>
      <c r="I391" s="42">
        <f>IF(AND(ISNUMBER(D391),ISNUMBER(H391)),D391*H391*Inputs!$C$69,"")</f>
      </c>
      <c r="J391" s="42">
        <f>IF(AND(ISNUMBER(F391),ISNUMBER(H391),F391&gt;=Inputs!$C$68),F391*H391*Inputs!$C$69,"")</f>
      </c>
    </row>
    <row r="392" spans="2:10" ht="15" customHeight="1" x14ac:dyDescent="0.2">
      <c r="B392" s="39">
        <f t="shared" si="2"/>
      </c>
      <c r="C392" s="40">
        <f>IF(Inputs!$C$60,Inputs!$C$11+(B392-Inputs!$C$69)/Inputs!$C$70,"")</f>
      </c>
      <c r="D392" s="15"/>
      <c r="E392" s="15"/>
      <c r="F392" s="11">
        <f t="shared" si="3"/>
      </c>
      <c r="G392" s="22" cm="1">
        <f t="array" ref="G392">IF(AND(Inputs!$C$60,Inputs!$C$61),INDEX(Utility_Rates!$C$29:$F$52,HOUR(C392)+Inputs!$C$69,MATCH(INDEX(Utility_Rates!$K$6:$K$17,MONTH(C392))&amp;IF(WEEKDAY(C392,Inputs!$C$76)&lt;=Inputs!$C$74," weekday"," weekend"),Utility_Rates!$C$28:$F$28,Inputs!$C$68)),"")</f>
      </c>
      <c r="H392" s="34"/>
      <c r="I392" s="42">
        <f>IF(AND(ISNUMBER(D392),ISNUMBER(H392)),D392*H392*Inputs!$C$69,"")</f>
      </c>
      <c r="J392" s="42">
        <f>IF(AND(ISNUMBER(F392),ISNUMBER(H392),F392&gt;=Inputs!$C$68),F392*H392*Inputs!$C$69,"")</f>
      </c>
    </row>
    <row r="393" spans="2:10" ht="15" customHeight="1" x14ac:dyDescent="0.2">
      <c r="B393" s="39">
        <f t="shared" si="2"/>
      </c>
      <c r="C393" s="40">
        <f>IF(Inputs!$C$60,Inputs!$C$11+(B393-Inputs!$C$69)/Inputs!$C$70,"")</f>
      </c>
      <c r="D393" s="15"/>
      <c r="E393" s="15"/>
      <c r="F393" s="11">
        <f t="shared" si="3"/>
      </c>
      <c r="G393" s="22" cm="1">
        <f t="array" ref="G393">IF(AND(Inputs!$C$60,Inputs!$C$61),INDEX(Utility_Rates!$C$29:$F$52,HOUR(C393)+Inputs!$C$69,MATCH(INDEX(Utility_Rates!$K$6:$K$17,MONTH(C393))&amp;IF(WEEKDAY(C393,Inputs!$C$76)&lt;=Inputs!$C$74," weekday"," weekend"),Utility_Rates!$C$28:$F$28,Inputs!$C$68)),"")</f>
      </c>
      <c r="H393" s="34"/>
      <c r="I393" s="42">
        <f>IF(AND(ISNUMBER(D393),ISNUMBER(H393)),D393*H393*Inputs!$C$69,"")</f>
      </c>
      <c r="J393" s="42">
        <f>IF(AND(ISNUMBER(F393),ISNUMBER(H393),F393&gt;=Inputs!$C$68),F393*H393*Inputs!$C$69,"")</f>
      </c>
    </row>
    <row r="394" spans="2:10" ht="15" customHeight="1" x14ac:dyDescent="0.2">
      <c r="B394" s="39">
        <f t="shared" si="2"/>
      </c>
      <c r="C394" s="40">
        <f>IF(Inputs!$C$60,Inputs!$C$11+(B394-Inputs!$C$69)/Inputs!$C$70,"")</f>
      </c>
      <c r="D394" s="15"/>
      <c r="E394" s="15"/>
      <c r="F394" s="11">
        <f t="shared" si="3"/>
      </c>
      <c r="G394" s="22" cm="1">
        <f t="array" ref="G394">IF(AND(Inputs!$C$60,Inputs!$C$61),INDEX(Utility_Rates!$C$29:$F$52,HOUR(C394)+Inputs!$C$69,MATCH(INDEX(Utility_Rates!$K$6:$K$17,MONTH(C394))&amp;IF(WEEKDAY(C394,Inputs!$C$76)&lt;=Inputs!$C$74," weekday"," weekend"),Utility_Rates!$C$28:$F$28,Inputs!$C$68)),"")</f>
      </c>
      <c r="H394" s="34"/>
      <c r="I394" s="42">
        <f>IF(AND(ISNUMBER(D394),ISNUMBER(H394)),D394*H394*Inputs!$C$69,"")</f>
      </c>
      <c r="J394" s="42">
        <f>IF(AND(ISNUMBER(F394),ISNUMBER(H394),F394&gt;=Inputs!$C$68),F394*H394*Inputs!$C$69,"")</f>
      </c>
    </row>
    <row r="395" spans="2:10" ht="15" customHeight="1" x14ac:dyDescent="0.2">
      <c r="B395" s="39">
        <f t="shared" si="2"/>
      </c>
      <c r="C395" s="40">
        <f>IF(Inputs!$C$60,Inputs!$C$11+(B395-Inputs!$C$69)/Inputs!$C$70,"")</f>
      </c>
      <c r="D395" s="15"/>
      <c r="E395" s="15"/>
      <c r="F395" s="11">
        <f t="shared" si="3"/>
      </c>
      <c r="G395" s="22" cm="1">
        <f t="array" ref="G395">IF(AND(Inputs!$C$60,Inputs!$C$61),INDEX(Utility_Rates!$C$29:$F$52,HOUR(C395)+Inputs!$C$69,MATCH(INDEX(Utility_Rates!$K$6:$K$17,MONTH(C395))&amp;IF(WEEKDAY(C395,Inputs!$C$76)&lt;=Inputs!$C$74," weekday"," weekend"),Utility_Rates!$C$28:$F$28,Inputs!$C$68)),"")</f>
      </c>
      <c r="H395" s="34"/>
      <c r="I395" s="42">
        <f>IF(AND(ISNUMBER(D395),ISNUMBER(H395)),D395*H395*Inputs!$C$69,"")</f>
      </c>
      <c r="J395" s="42">
        <f>IF(AND(ISNUMBER(F395),ISNUMBER(H395),F395&gt;=Inputs!$C$68),F395*H395*Inputs!$C$69,"")</f>
      </c>
    </row>
    <row r="396" spans="2:10" ht="15" customHeight="1" x14ac:dyDescent="0.2">
      <c r="B396" s="39">
        <f t="shared" si="2"/>
      </c>
      <c r="C396" s="40">
        <f>IF(Inputs!$C$60,Inputs!$C$11+(B396-Inputs!$C$69)/Inputs!$C$70,"")</f>
      </c>
      <c r="D396" s="15"/>
      <c r="E396" s="15"/>
      <c r="F396" s="11">
        <f t="shared" si="3"/>
      </c>
      <c r="G396" s="22" cm="1">
        <f t="array" ref="G396">IF(AND(Inputs!$C$60,Inputs!$C$61),INDEX(Utility_Rates!$C$29:$F$52,HOUR(C396)+Inputs!$C$69,MATCH(INDEX(Utility_Rates!$K$6:$K$17,MONTH(C396))&amp;IF(WEEKDAY(C396,Inputs!$C$76)&lt;=Inputs!$C$74," weekday"," weekend"),Utility_Rates!$C$28:$F$28,Inputs!$C$68)),"")</f>
      </c>
      <c r="H396" s="34"/>
      <c r="I396" s="42">
        <f>IF(AND(ISNUMBER(D396),ISNUMBER(H396)),D396*H396*Inputs!$C$69,"")</f>
      </c>
      <c r="J396" s="42">
        <f>IF(AND(ISNUMBER(F396),ISNUMBER(H396),F396&gt;=Inputs!$C$68),F396*H396*Inputs!$C$69,"")</f>
      </c>
    </row>
    <row r="397" spans="2:10" ht="15" customHeight="1" x14ac:dyDescent="0.2">
      <c r="B397" s="39">
        <f t="shared" si="2"/>
      </c>
      <c r="C397" s="40">
        <f>IF(Inputs!$C$60,Inputs!$C$11+(B397-Inputs!$C$69)/Inputs!$C$70,"")</f>
      </c>
      <c r="D397" s="15"/>
      <c r="E397" s="15"/>
      <c r="F397" s="11">
        <f t="shared" si="3"/>
      </c>
      <c r="G397" s="22" cm="1">
        <f t="array" ref="G397">IF(AND(Inputs!$C$60,Inputs!$C$61),INDEX(Utility_Rates!$C$29:$F$52,HOUR(C397)+Inputs!$C$69,MATCH(INDEX(Utility_Rates!$K$6:$K$17,MONTH(C397))&amp;IF(WEEKDAY(C397,Inputs!$C$76)&lt;=Inputs!$C$74," weekday"," weekend"),Utility_Rates!$C$28:$F$28,Inputs!$C$68)),"")</f>
      </c>
      <c r="H397" s="34"/>
      <c r="I397" s="42">
        <f>IF(AND(ISNUMBER(D397),ISNUMBER(H397)),D397*H397*Inputs!$C$69,"")</f>
      </c>
      <c r="J397" s="42">
        <f>IF(AND(ISNUMBER(F397),ISNUMBER(H397),F397&gt;=Inputs!$C$68),F397*H397*Inputs!$C$69,"")</f>
      </c>
    </row>
    <row r="398" spans="2:10" ht="15" customHeight="1" x14ac:dyDescent="0.2">
      <c r="B398" s="39">
        <f t="shared" si="2"/>
      </c>
      <c r="C398" s="40">
        <f>IF(Inputs!$C$60,Inputs!$C$11+(B398-Inputs!$C$69)/Inputs!$C$70,"")</f>
      </c>
      <c r="D398" s="15"/>
      <c r="E398" s="15"/>
      <c r="F398" s="11">
        <f t="shared" si="3"/>
      </c>
      <c r="G398" s="22" cm="1">
        <f t="array" ref="G398">IF(AND(Inputs!$C$60,Inputs!$C$61),INDEX(Utility_Rates!$C$29:$F$52,HOUR(C398)+Inputs!$C$69,MATCH(INDEX(Utility_Rates!$K$6:$K$17,MONTH(C398))&amp;IF(WEEKDAY(C398,Inputs!$C$76)&lt;=Inputs!$C$74," weekday"," weekend"),Utility_Rates!$C$28:$F$28,Inputs!$C$68)),"")</f>
      </c>
      <c r="H398" s="34"/>
      <c r="I398" s="42">
        <f>IF(AND(ISNUMBER(D398),ISNUMBER(H398)),D398*H398*Inputs!$C$69,"")</f>
      </c>
      <c r="J398" s="42">
        <f>IF(AND(ISNUMBER(F398),ISNUMBER(H398),F398&gt;=Inputs!$C$68),F398*H398*Inputs!$C$69,"")</f>
      </c>
    </row>
    <row r="399" spans="2:10" ht="15" customHeight="1" x14ac:dyDescent="0.2">
      <c r="B399" s="39">
        <f t="shared" si="2"/>
      </c>
      <c r="C399" s="40">
        <f>IF(Inputs!$C$60,Inputs!$C$11+(B399-Inputs!$C$69)/Inputs!$C$70,"")</f>
      </c>
      <c r="D399" s="15"/>
      <c r="E399" s="15"/>
      <c r="F399" s="11">
        <f t="shared" si="3"/>
      </c>
      <c r="G399" s="22" cm="1">
        <f t="array" ref="G399">IF(AND(Inputs!$C$60,Inputs!$C$61),INDEX(Utility_Rates!$C$29:$F$52,HOUR(C399)+Inputs!$C$69,MATCH(INDEX(Utility_Rates!$K$6:$K$17,MONTH(C399))&amp;IF(WEEKDAY(C399,Inputs!$C$76)&lt;=Inputs!$C$74," weekday"," weekend"),Utility_Rates!$C$28:$F$28,Inputs!$C$68)),"")</f>
      </c>
      <c r="H399" s="34"/>
      <c r="I399" s="42">
        <f>IF(AND(ISNUMBER(D399),ISNUMBER(H399)),D399*H399*Inputs!$C$69,"")</f>
      </c>
      <c r="J399" s="42">
        <f>IF(AND(ISNUMBER(F399),ISNUMBER(H399),F399&gt;=Inputs!$C$68),F399*H399*Inputs!$C$69,"")</f>
      </c>
    </row>
    <row r="400" spans="2:10" ht="15" customHeight="1" x14ac:dyDescent="0.2">
      <c r="B400" s="39">
        <f t="shared" si="2"/>
      </c>
      <c r="C400" s="40">
        <f>IF(Inputs!$C$60,Inputs!$C$11+(B400-Inputs!$C$69)/Inputs!$C$70,"")</f>
      </c>
      <c r="D400" s="15"/>
      <c r="E400" s="15"/>
      <c r="F400" s="11">
        <f t="shared" si="3"/>
      </c>
      <c r="G400" s="22" cm="1">
        <f t="array" ref="G400">IF(AND(Inputs!$C$60,Inputs!$C$61),INDEX(Utility_Rates!$C$29:$F$52,HOUR(C400)+Inputs!$C$69,MATCH(INDEX(Utility_Rates!$K$6:$K$17,MONTH(C400))&amp;IF(WEEKDAY(C400,Inputs!$C$76)&lt;=Inputs!$C$74," weekday"," weekend"),Utility_Rates!$C$28:$F$28,Inputs!$C$68)),"")</f>
      </c>
      <c r="H400" s="34"/>
      <c r="I400" s="42">
        <f>IF(AND(ISNUMBER(D400),ISNUMBER(H400)),D400*H400*Inputs!$C$69,"")</f>
      </c>
      <c r="J400" s="42">
        <f>IF(AND(ISNUMBER(F400),ISNUMBER(H400),F400&gt;=Inputs!$C$68),F400*H400*Inputs!$C$69,"")</f>
      </c>
    </row>
    <row r="401" spans="2:10" ht="15" customHeight="1" x14ac:dyDescent="0.2">
      <c r="B401" s="39">
        <f t="shared" si="2"/>
      </c>
      <c r="C401" s="40">
        <f>IF(Inputs!$C$60,Inputs!$C$11+(B401-Inputs!$C$69)/Inputs!$C$70,"")</f>
      </c>
      <c r="D401" s="15"/>
      <c r="E401" s="15"/>
      <c r="F401" s="11">
        <f t="shared" si="3"/>
      </c>
      <c r="G401" s="22" cm="1">
        <f t="array" ref="G401">IF(AND(Inputs!$C$60,Inputs!$C$61),INDEX(Utility_Rates!$C$29:$F$52,HOUR(C401)+Inputs!$C$69,MATCH(INDEX(Utility_Rates!$K$6:$K$17,MONTH(C401))&amp;IF(WEEKDAY(C401,Inputs!$C$76)&lt;=Inputs!$C$74," weekday"," weekend"),Utility_Rates!$C$28:$F$28,Inputs!$C$68)),"")</f>
      </c>
      <c r="H401" s="34"/>
      <c r="I401" s="42">
        <f>IF(AND(ISNUMBER(D401),ISNUMBER(H401)),D401*H401*Inputs!$C$69,"")</f>
      </c>
      <c r="J401" s="42">
        <f>IF(AND(ISNUMBER(F401),ISNUMBER(H401),F401&gt;=Inputs!$C$68),F401*H401*Inputs!$C$69,"")</f>
      </c>
    </row>
    <row r="402" spans="2:10" ht="15" customHeight="1" x14ac:dyDescent="0.2">
      <c r="B402" s="39">
        <f t="shared" si="2"/>
      </c>
      <c r="C402" s="40">
        <f>IF(Inputs!$C$60,Inputs!$C$11+(B402-Inputs!$C$69)/Inputs!$C$70,"")</f>
      </c>
      <c r="D402" s="15"/>
      <c r="E402" s="15"/>
      <c r="F402" s="11">
        <f t="shared" si="3"/>
      </c>
      <c r="G402" s="22" cm="1">
        <f t="array" ref="G402">IF(AND(Inputs!$C$60,Inputs!$C$61),INDEX(Utility_Rates!$C$29:$F$52,HOUR(C402)+Inputs!$C$69,MATCH(INDEX(Utility_Rates!$K$6:$K$17,MONTH(C402))&amp;IF(WEEKDAY(C402,Inputs!$C$76)&lt;=Inputs!$C$74," weekday"," weekend"),Utility_Rates!$C$28:$F$28,Inputs!$C$68)),"")</f>
      </c>
      <c r="H402" s="34"/>
      <c r="I402" s="42">
        <f>IF(AND(ISNUMBER(D402),ISNUMBER(H402)),D402*H402*Inputs!$C$69,"")</f>
      </c>
      <c r="J402" s="42">
        <f>IF(AND(ISNUMBER(F402),ISNUMBER(H402),F402&gt;=Inputs!$C$68),F402*H402*Inputs!$C$69,"")</f>
      </c>
    </row>
    <row r="403" spans="2:10" ht="15" customHeight="1" x14ac:dyDescent="0.2">
      <c r="B403" s="39">
        <f t="shared" si="2"/>
      </c>
      <c r="C403" s="40">
        <f>IF(Inputs!$C$60,Inputs!$C$11+(B403-Inputs!$C$69)/Inputs!$C$70,"")</f>
      </c>
      <c r="D403" s="15"/>
      <c r="E403" s="15"/>
      <c r="F403" s="11">
        <f t="shared" si="3"/>
      </c>
      <c r="G403" s="22" cm="1">
        <f t="array" ref="G403">IF(AND(Inputs!$C$60,Inputs!$C$61),INDEX(Utility_Rates!$C$29:$F$52,HOUR(C403)+Inputs!$C$69,MATCH(INDEX(Utility_Rates!$K$6:$K$17,MONTH(C403))&amp;IF(WEEKDAY(C403,Inputs!$C$76)&lt;=Inputs!$C$74," weekday"," weekend"),Utility_Rates!$C$28:$F$28,Inputs!$C$68)),"")</f>
      </c>
      <c r="H403" s="34"/>
      <c r="I403" s="42">
        <f>IF(AND(ISNUMBER(D403),ISNUMBER(H403)),D403*H403*Inputs!$C$69,"")</f>
      </c>
      <c r="J403" s="42">
        <f>IF(AND(ISNUMBER(F403),ISNUMBER(H403),F403&gt;=Inputs!$C$68),F403*H403*Inputs!$C$69,"")</f>
      </c>
    </row>
    <row r="404" spans="2:10" ht="15" customHeight="1" x14ac:dyDescent="0.2">
      <c r="B404" s="39">
        <f t="shared" si="2"/>
      </c>
      <c r="C404" s="40">
        <f>IF(Inputs!$C$60,Inputs!$C$11+(B404-Inputs!$C$69)/Inputs!$C$70,"")</f>
      </c>
      <c r="D404" s="15"/>
      <c r="E404" s="15"/>
      <c r="F404" s="11">
        <f t="shared" si="3"/>
      </c>
      <c r="G404" s="22" cm="1">
        <f t="array" ref="G404">IF(AND(Inputs!$C$60,Inputs!$C$61),INDEX(Utility_Rates!$C$29:$F$52,HOUR(C404)+Inputs!$C$69,MATCH(INDEX(Utility_Rates!$K$6:$K$17,MONTH(C404))&amp;IF(WEEKDAY(C404,Inputs!$C$76)&lt;=Inputs!$C$74," weekday"," weekend"),Utility_Rates!$C$28:$F$28,Inputs!$C$68)),"")</f>
      </c>
      <c r="H404" s="34"/>
      <c r="I404" s="42">
        <f>IF(AND(ISNUMBER(D404),ISNUMBER(H404)),D404*H404*Inputs!$C$69,"")</f>
      </c>
      <c r="J404" s="42">
        <f>IF(AND(ISNUMBER(F404),ISNUMBER(H404),F404&gt;=Inputs!$C$68),F404*H404*Inputs!$C$69,"")</f>
      </c>
    </row>
    <row r="405" spans="2:10" ht="15" customHeight="1" x14ac:dyDescent="0.2">
      <c r="B405" s="39">
        <f t="shared" si="2"/>
      </c>
      <c r="C405" s="40">
        <f>IF(Inputs!$C$60,Inputs!$C$11+(B405-Inputs!$C$69)/Inputs!$C$70,"")</f>
      </c>
      <c r="D405" s="15"/>
      <c r="E405" s="15"/>
      <c r="F405" s="11">
        <f t="shared" si="3"/>
      </c>
      <c r="G405" s="22" cm="1">
        <f t="array" ref="G405">IF(AND(Inputs!$C$60,Inputs!$C$61),INDEX(Utility_Rates!$C$29:$F$52,HOUR(C405)+Inputs!$C$69,MATCH(INDEX(Utility_Rates!$K$6:$K$17,MONTH(C405))&amp;IF(WEEKDAY(C405,Inputs!$C$76)&lt;=Inputs!$C$74," weekday"," weekend"),Utility_Rates!$C$28:$F$28,Inputs!$C$68)),"")</f>
      </c>
      <c r="H405" s="34"/>
      <c r="I405" s="42">
        <f>IF(AND(ISNUMBER(D405),ISNUMBER(H405)),D405*H405*Inputs!$C$69,"")</f>
      </c>
      <c r="J405" s="42">
        <f>IF(AND(ISNUMBER(F405),ISNUMBER(H405),F405&gt;=Inputs!$C$68),F405*H405*Inputs!$C$69,"")</f>
      </c>
    </row>
    <row r="406" spans="2:10" ht="15" customHeight="1" x14ac:dyDescent="0.2">
      <c r="B406" s="39">
        <f t="shared" si="2"/>
      </c>
      <c r="C406" s="40">
        <f>IF(Inputs!$C$60,Inputs!$C$11+(B406-Inputs!$C$69)/Inputs!$C$70,"")</f>
      </c>
      <c r="D406" s="15"/>
      <c r="E406" s="15"/>
      <c r="F406" s="11">
        <f t="shared" si="3"/>
      </c>
      <c r="G406" s="22" cm="1">
        <f t="array" ref="G406">IF(AND(Inputs!$C$60,Inputs!$C$61),INDEX(Utility_Rates!$C$29:$F$52,HOUR(C406)+Inputs!$C$69,MATCH(INDEX(Utility_Rates!$K$6:$K$17,MONTH(C406))&amp;IF(WEEKDAY(C406,Inputs!$C$76)&lt;=Inputs!$C$74," weekday"," weekend"),Utility_Rates!$C$28:$F$28,Inputs!$C$68)),"")</f>
      </c>
      <c r="H406" s="34"/>
      <c r="I406" s="42">
        <f>IF(AND(ISNUMBER(D406),ISNUMBER(H406)),D406*H406*Inputs!$C$69,"")</f>
      </c>
      <c r="J406" s="42">
        <f>IF(AND(ISNUMBER(F406),ISNUMBER(H406),F406&gt;=Inputs!$C$68),F406*H406*Inputs!$C$69,"")</f>
      </c>
    </row>
    <row r="407" spans="2:10" ht="15" customHeight="1" x14ac:dyDescent="0.2">
      <c r="B407" s="39">
        <f t="shared" si="2"/>
      </c>
      <c r="C407" s="40">
        <f>IF(Inputs!$C$60,Inputs!$C$11+(B407-Inputs!$C$69)/Inputs!$C$70,"")</f>
      </c>
      <c r="D407" s="15"/>
      <c r="E407" s="15"/>
      <c r="F407" s="11">
        <f t="shared" si="3"/>
      </c>
      <c r="G407" s="22" cm="1">
        <f t="array" ref="G407">IF(AND(Inputs!$C$60,Inputs!$C$61),INDEX(Utility_Rates!$C$29:$F$52,HOUR(C407)+Inputs!$C$69,MATCH(INDEX(Utility_Rates!$K$6:$K$17,MONTH(C407))&amp;IF(WEEKDAY(C407,Inputs!$C$76)&lt;=Inputs!$C$74," weekday"," weekend"),Utility_Rates!$C$28:$F$28,Inputs!$C$68)),"")</f>
      </c>
      <c r="H407" s="34"/>
      <c r="I407" s="42">
        <f>IF(AND(ISNUMBER(D407),ISNUMBER(H407)),D407*H407*Inputs!$C$69,"")</f>
      </c>
      <c r="J407" s="42">
        <f>IF(AND(ISNUMBER(F407),ISNUMBER(H407),F407&gt;=Inputs!$C$68),F407*H407*Inputs!$C$69,"")</f>
      </c>
    </row>
    <row r="408" spans="2:10" ht="15" customHeight="1" x14ac:dyDescent="0.2">
      <c r="B408" s="39">
        <f t="shared" si="2"/>
      </c>
      <c r="C408" s="40">
        <f>IF(Inputs!$C$60,Inputs!$C$11+(B408-Inputs!$C$69)/Inputs!$C$70,"")</f>
      </c>
      <c r="D408" s="15"/>
      <c r="E408" s="15"/>
      <c r="F408" s="11">
        <f t="shared" si="3"/>
      </c>
      <c r="G408" s="22" cm="1">
        <f t="array" ref="G408">IF(AND(Inputs!$C$60,Inputs!$C$61),INDEX(Utility_Rates!$C$29:$F$52,HOUR(C408)+Inputs!$C$69,MATCH(INDEX(Utility_Rates!$K$6:$K$17,MONTH(C408))&amp;IF(WEEKDAY(C408,Inputs!$C$76)&lt;=Inputs!$C$74," weekday"," weekend"),Utility_Rates!$C$28:$F$28,Inputs!$C$68)),"")</f>
      </c>
      <c r="H408" s="34"/>
      <c r="I408" s="42">
        <f>IF(AND(ISNUMBER(D408),ISNUMBER(H408)),D408*H408*Inputs!$C$69,"")</f>
      </c>
      <c r="J408" s="42">
        <f>IF(AND(ISNUMBER(F408),ISNUMBER(H408),F408&gt;=Inputs!$C$68),F408*H408*Inputs!$C$69,"")</f>
      </c>
    </row>
    <row r="409" spans="2:10" ht="15" customHeight="1" x14ac:dyDescent="0.2">
      <c r="B409" s="39">
        <f t="shared" si="2"/>
      </c>
      <c r="C409" s="40">
        <f>IF(Inputs!$C$60,Inputs!$C$11+(B409-Inputs!$C$69)/Inputs!$C$70,"")</f>
      </c>
      <c r="D409" s="15"/>
      <c r="E409" s="15"/>
      <c r="F409" s="11">
        <f t="shared" si="3"/>
      </c>
      <c r="G409" s="22" cm="1">
        <f t="array" ref="G409">IF(AND(Inputs!$C$60,Inputs!$C$61),INDEX(Utility_Rates!$C$29:$F$52,HOUR(C409)+Inputs!$C$69,MATCH(INDEX(Utility_Rates!$K$6:$K$17,MONTH(C409))&amp;IF(WEEKDAY(C409,Inputs!$C$76)&lt;=Inputs!$C$74," weekday"," weekend"),Utility_Rates!$C$28:$F$28,Inputs!$C$68)),"")</f>
      </c>
      <c r="H409" s="34"/>
      <c r="I409" s="42">
        <f>IF(AND(ISNUMBER(D409),ISNUMBER(H409)),D409*H409*Inputs!$C$69,"")</f>
      </c>
      <c r="J409" s="42">
        <f>IF(AND(ISNUMBER(F409),ISNUMBER(H409),F409&gt;=Inputs!$C$68),F409*H409*Inputs!$C$69,"")</f>
      </c>
    </row>
    <row r="410" spans="2:10" ht="15" customHeight="1" x14ac:dyDescent="0.2">
      <c r="B410" s="39">
        <f t="shared" si="2"/>
      </c>
      <c r="C410" s="40">
        <f>IF(Inputs!$C$60,Inputs!$C$11+(B410-Inputs!$C$69)/Inputs!$C$70,"")</f>
      </c>
      <c r="D410" s="15"/>
      <c r="E410" s="15"/>
      <c r="F410" s="11">
        <f t="shared" si="3"/>
      </c>
      <c r="G410" s="22" cm="1">
        <f t="array" ref="G410">IF(AND(Inputs!$C$60,Inputs!$C$61),INDEX(Utility_Rates!$C$29:$F$52,HOUR(C410)+Inputs!$C$69,MATCH(INDEX(Utility_Rates!$K$6:$K$17,MONTH(C410))&amp;IF(WEEKDAY(C410,Inputs!$C$76)&lt;=Inputs!$C$74," weekday"," weekend"),Utility_Rates!$C$28:$F$28,Inputs!$C$68)),"")</f>
      </c>
      <c r="H410" s="34"/>
      <c r="I410" s="42">
        <f>IF(AND(ISNUMBER(D410),ISNUMBER(H410)),D410*H410*Inputs!$C$69,"")</f>
      </c>
      <c r="J410" s="42">
        <f>IF(AND(ISNUMBER(F410),ISNUMBER(H410),F410&gt;=Inputs!$C$68),F410*H410*Inputs!$C$69,"")</f>
      </c>
    </row>
    <row r="411" spans="2:10" ht="15" customHeight="1" x14ac:dyDescent="0.2">
      <c r="B411" s="39">
        <f t="shared" si="2"/>
      </c>
      <c r="C411" s="40">
        <f>IF(Inputs!$C$60,Inputs!$C$11+(B411-Inputs!$C$69)/Inputs!$C$70,"")</f>
      </c>
      <c r="D411" s="15"/>
      <c r="E411" s="15"/>
      <c r="F411" s="11">
        <f t="shared" si="3"/>
      </c>
      <c r="G411" s="22" cm="1">
        <f t="array" ref="G411">IF(AND(Inputs!$C$60,Inputs!$C$61),INDEX(Utility_Rates!$C$29:$F$52,HOUR(C411)+Inputs!$C$69,MATCH(INDEX(Utility_Rates!$K$6:$K$17,MONTH(C411))&amp;IF(WEEKDAY(C411,Inputs!$C$76)&lt;=Inputs!$C$74," weekday"," weekend"),Utility_Rates!$C$28:$F$28,Inputs!$C$68)),"")</f>
      </c>
      <c r="H411" s="34"/>
      <c r="I411" s="42">
        <f>IF(AND(ISNUMBER(D411),ISNUMBER(H411)),D411*H411*Inputs!$C$69,"")</f>
      </c>
      <c r="J411" s="42">
        <f>IF(AND(ISNUMBER(F411),ISNUMBER(H411),F411&gt;=Inputs!$C$68),F411*H411*Inputs!$C$69,"")</f>
      </c>
    </row>
    <row r="412" spans="2:10" ht="15" customHeight="1" x14ac:dyDescent="0.2">
      <c r="B412" s="39">
        <f t="shared" si="2"/>
      </c>
      <c r="C412" s="40">
        <f>IF(Inputs!$C$60,Inputs!$C$11+(B412-Inputs!$C$69)/Inputs!$C$70,"")</f>
      </c>
      <c r="D412" s="15"/>
      <c r="E412" s="15"/>
      <c r="F412" s="11">
        <f t="shared" si="3"/>
      </c>
      <c r="G412" s="22" cm="1">
        <f t="array" ref="G412">IF(AND(Inputs!$C$60,Inputs!$C$61),INDEX(Utility_Rates!$C$29:$F$52,HOUR(C412)+Inputs!$C$69,MATCH(INDEX(Utility_Rates!$K$6:$K$17,MONTH(C412))&amp;IF(WEEKDAY(C412,Inputs!$C$76)&lt;=Inputs!$C$74," weekday"," weekend"),Utility_Rates!$C$28:$F$28,Inputs!$C$68)),"")</f>
      </c>
      <c r="H412" s="34"/>
      <c r="I412" s="42">
        <f>IF(AND(ISNUMBER(D412),ISNUMBER(H412)),D412*H412*Inputs!$C$69,"")</f>
      </c>
      <c r="J412" s="42">
        <f>IF(AND(ISNUMBER(F412),ISNUMBER(H412),F412&gt;=Inputs!$C$68),F412*H412*Inputs!$C$69,"")</f>
      </c>
    </row>
    <row r="413" spans="2:10" ht="15" customHeight="1" x14ac:dyDescent="0.2">
      <c r="B413" s="39">
        <f t="shared" si="2"/>
      </c>
      <c r="C413" s="40">
        <f>IF(Inputs!$C$60,Inputs!$C$11+(B413-Inputs!$C$69)/Inputs!$C$70,"")</f>
      </c>
      <c r="D413" s="15"/>
      <c r="E413" s="15"/>
      <c r="F413" s="11">
        <f t="shared" si="3"/>
      </c>
      <c r="G413" s="22" cm="1">
        <f t="array" ref="G413">IF(AND(Inputs!$C$60,Inputs!$C$61),INDEX(Utility_Rates!$C$29:$F$52,HOUR(C413)+Inputs!$C$69,MATCH(INDEX(Utility_Rates!$K$6:$K$17,MONTH(C413))&amp;IF(WEEKDAY(C413,Inputs!$C$76)&lt;=Inputs!$C$74," weekday"," weekend"),Utility_Rates!$C$28:$F$28,Inputs!$C$68)),"")</f>
      </c>
      <c r="H413" s="34"/>
      <c r="I413" s="42">
        <f>IF(AND(ISNUMBER(D413),ISNUMBER(H413)),D413*H413*Inputs!$C$69,"")</f>
      </c>
      <c r="J413" s="42">
        <f>IF(AND(ISNUMBER(F413),ISNUMBER(H413),F413&gt;=Inputs!$C$68),F413*H413*Inputs!$C$69,"")</f>
      </c>
    </row>
    <row r="414" spans="2:10" ht="15" customHeight="1" x14ac:dyDescent="0.2">
      <c r="B414" s="39">
        <f t="shared" si="2"/>
      </c>
      <c r="C414" s="40">
        <f>IF(Inputs!$C$60,Inputs!$C$11+(B414-Inputs!$C$69)/Inputs!$C$70,"")</f>
      </c>
      <c r="D414" s="15"/>
      <c r="E414" s="15"/>
      <c r="F414" s="11">
        <f t="shared" si="3"/>
      </c>
      <c r="G414" s="22" cm="1">
        <f t="array" ref="G414">IF(AND(Inputs!$C$60,Inputs!$C$61),INDEX(Utility_Rates!$C$29:$F$52,HOUR(C414)+Inputs!$C$69,MATCH(INDEX(Utility_Rates!$K$6:$K$17,MONTH(C414))&amp;IF(WEEKDAY(C414,Inputs!$C$76)&lt;=Inputs!$C$74," weekday"," weekend"),Utility_Rates!$C$28:$F$28,Inputs!$C$68)),"")</f>
      </c>
      <c r="H414" s="34"/>
      <c r="I414" s="42">
        <f>IF(AND(ISNUMBER(D414),ISNUMBER(H414)),D414*H414*Inputs!$C$69,"")</f>
      </c>
      <c r="J414" s="42">
        <f>IF(AND(ISNUMBER(F414),ISNUMBER(H414),F414&gt;=Inputs!$C$68),F414*H414*Inputs!$C$69,"")</f>
      </c>
    </row>
    <row r="415" spans="2:10" ht="15" customHeight="1" x14ac:dyDescent="0.2">
      <c r="B415" s="39">
        <f t="shared" si="2"/>
      </c>
      <c r="C415" s="40">
        <f>IF(Inputs!$C$60,Inputs!$C$11+(B415-Inputs!$C$69)/Inputs!$C$70,"")</f>
      </c>
      <c r="D415" s="15"/>
      <c r="E415" s="15"/>
      <c r="F415" s="11">
        <f t="shared" si="3"/>
      </c>
      <c r="G415" s="22" cm="1">
        <f t="array" ref="G415">IF(AND(Inputs!$C$60,Inputs!$C$61),INDEX(Utility_Rates!$C$29:$F$52,HOUR(C415)+Inputs!$C$69,MATCH(INDEX(Utility_Rates!$K$6:$K$17,MONTH(C415))&amp;IF(WEEKDAY(C415,Inputs!$C$76)&lt;=Inputs!$C$74," weekday"," weekend"),Utility_Rates!$C$28:$F$28,Inputs!$C$68)),"")</f>
      </c>
      <c r="H415" s="34"/>
      <c r="I415" s="42">
        <f>IF(AND(ISNUMBER(D415),ISNUMBER(H415)),D415*H415*Inputs!$C$69,"")</f>
      </c>
      <c r="J415" s="42">
        <f>IF(AND(ISNUMBER(F415),ISNUMBER(H415),F415&gt;=Inputs!$C$68),F415*H415*Inputs!$C$69,"")</f>
      </c>
    </row>
    <row r="416" spans="2:10" ht="15" customHeight="1" x14ac:dyDescent="0.2">
      <c r="B416" s="39">
        <f t="shared" si="2"/>
      </c>
      <c r="C416" s="40">
        <f>IF(Inputs!$C$60,Inputs!$C$11+(B416-Inputs!$C$69)/Inputs!$C$70,"")</f>
      </c>
      <c r="D416" s="15"/>
      <c r="E416" s="15"/>
      <c r="F416" s="11">
        <f t="shared" si="3"/>
      </c>
      <c r="G416" s="22" cm="1">
        <f t="array" ref="G416">IF(AND(Inputs!$C$60,Inputs!$C$61),INDEX(Utility_Rates!$C$29:$F$52,HOUR(C416)+Inputs!$C$69,MATCH(INDEX(Utility_Rates!$K$6:$K$17,MONTH(C416))&amp;IF(WEEKDAY(C416,Inputs!$C$76)&lt;=Inputs!$C$74," weekday"," weekend"),Utility_Rates!$C$28:$F$28,Inputs!$C$68)),"")</f>
      </c>
      <c r="H416" s="34"/>
      <c r="I416" s="42">
        <f>IF(AND(ISNUMBER(D416),ISNUMBER(H416)),D416*H416*Inputs!$C$69,"")</f>
      </c>
      <c r="J416" s="42">
        <f>IF(AND(ISNUMBER(F416),ISNUMBER(H416),F416&gt;=Inputs!$C$68),F416*H416*Inputs!$C$69,"")</f>
      </c>
    </row>
    <row r="417" spans="2:10" ht="15" customHeight="1" x14ac:dyDescent="0.2">
      <c r="B417" s="39">
        <f t="shared" si="2"/>
      </c>
      <c r="C417" s="40">
        <f>IF(Inputs!$C$60,Inputs!$C$11+(B417-Inputs!$C$69)/Inputs!$C$70,"")</f>
      </c>
      <c r="D417" s="15"/>
      <c r="E417" s="15"/>
      <c r="F417" s="11">
        <f t="shared" si="3"/>
      </c>
      <c r="G417" s="22" cm="1">
        <f t="array" ref="G417">IF(AND(Inputs!$C$60,Inputs!$C$61),INDEX(Utility_Rates!$C$29:$F$52,HOUR(C417)+Inputs!$C$69,MATCH(INDEX(Utility_Rates!$K$6:$K$17,MONTH(C417))&amp;IF(WEEKDAY(C417,Inputs!$C$76)&lt;=Inputs!$C$74," weekday"," weekend"),Utility_Rates!$C$28:$F$28,Inputs!$C$68)),"")</f>
      </c>
      <c r="H417" s="34"/>
      <c r="I417" s="42">
        <f>IF(AND(ISNUMBER(D417),ISNUMBER(H417)),D417*H417*Inputs!$C$69,"")</f>
      </c>
      <c r="J417" s="42">
        <f>IF(AND(ISNUMBER(F417),ISNUMBER(H417),F417&gt;=Inputs!$C$68),F417*H417*Inputs!$C$69,"")</f>
      </c>
    </row>
    <row r="418" spans="2:10" ht="15" customHeight="1" x14ac:dyDescent="0.2">
      <c r="B418" s="39">
        <f t="shared" si="2"/>
      </c>
      <c r="C418" s="40">
        <f>IF(Inputs!$C$60,Inputs!$C$11+(B418-Inputs!$C$69)/Inputs!$C$70,"")</f>
      </c>
      <c r="D418" s="15"/>
      <c r="E418" s="15"/>
      <c r="F418" s="11">
        <f t="shared" si="3"/>
      </c>
      <c r="G418" s="22" cm="1">
        <f t="array" ref="G418">IF(AND(Inputs!$C$60,Inputs!$C$61),INDEX(Utility_Rates!$C$29:$F$52,HOUR(C418)+Inputs!$C$69,MATCH(INDEX(Utility_Rates!$K$6:$K$17,MONTH(C418))&amp;IF(WEEKDAY(C418,Inputs!$C$76)&lt;=Inputs!$C$74," weekday"," weekend"),Utility_Rates!$C$28:$F$28,Inputs!$C$68)),"")</f>
      </c>
      <c r="H418" s="34"/>
      <c r="I418" s="42">
        <f>IF(AND(ISNUMBER(D418),ISNUMBER(H418)),D418*H418*Inputs!$C$69,"")</f>
      </c>
      <c r="J418" s="42">
        <f>IF(AND(ISNUMBER(F418),ISNUMBER(H418),F418&gt;=Inputs!$C$68),F418*H418*Inputs!$C$69,"")</f>
      </c>
    </row>
    <row r="419" spans="2:10" ht="15" customHeight="1" x14ac:dyDescent="0.2">
      <c r="B419" s="39">
        <f t="shared" si="2"/>
      </c>
      <c r="C419" s="40">
        <f>IF(Inputs!$C$60,Inputs!$C$11+(B419-Inputs!$C$69)/Inputs!$C$70,"")</f>
      </c>
      <c r="D419" s="15"/>
      <c r="E419" s="15"/>
      <c r="F419" s="11">
        <f t="shared" si="3"/>
      </c>
      <c r="G419" s="22" cm="1">
        <f t="array" ref="G419">IF(AND(Inputs!$C$60,Inputs!$C$61),INDEX(Utility_Rates!$C$29:$F$52,HOUR(C419)+Inputs!$C$69,MATCH(INDEX(Utility_Rates!$K$6:$K$17,MONTH(C419))&amp;IF(WEEKDAY(C419,Inputs!$C$76)&lt;=Inputs!$C$74," weekday"," weekend"),Utility_Rates!$C$28:$F$28,Inputs!$C$68)),"")</f>
      </c>
      <c r="H419" s="34"/>
      <c r="I419" s="42">
        <f>IF(AND(ISNUMBER(D419),ISNUMBER(H419)),D419*H419*Inputs!$C$69,"")</f>
      </c>
      <c r="J419" s="42">
        <f>IF(AND(ISNUMBER(F419),ISNUMBER(H419),F419&gt;=Inputs!$C$68),F419*H419*Inputs!$C$69,"")</f>
      </c>
    </row>
    <row r="420" spans="2:10" ht="15" customHeight="1" x14ac:dyDescent="0.2">
      <c r="B420" s="39">
        <f t="shared" si="2"/>
      </c>
      <c r="C420" s="40">
        <f>IF(Inputs!$C$60,Inputs!$C$11+(B420-Inputs!$C$69)/Inputs!$C$70,"")</f>
      </c>
      <c r="D420" s="15"/>
      <c r="E420" s="15"/>
      <c r="F420" s="11">
        <f t="shared" si="3"/>
      </c>
      <c r="G420" s="22" cm="1">
        <f t="array" ref="G420">IF(AND(Inputs!$C$60,Inputs!$C$61),INDEX(Utility_Rates!$C$29:$F$52,HOUR(C420)+Inputs!$C$69,MATCH(INDEX(Utility_Rates!$K$6:$K$17,MONTH(C420))&amp;IF(WEEKDAY(C420,Inputs!$C$76)&lt;=Inputs!$C$74," weekday"," weekend"),Utility_Rates!$C$28:$F$28,Inputs!$C$68)),"")</f>
      </c>
      <c r="H420" s="34"/>
      <c r="I420" s="42">
        <f>IF(AND(ISNUMBER(D420),ISNUMBER(H420)),D420*H420*Inputs!$C$69,"")</f>
      </c>
      <c r="J420" s="42">
        <f>IF(AND(ISNUMBER(F420),ISNUMBER(H420),F420&gt;=Inputs!$C$68),F420*H420*Inputs!$C$69,"")</f>
      </c>
    </row>
    <row r="421" spans="2:10" ht="15" customHeight="1" x14ac:dyDescent="0.2">
      <c r="B421" s="39">
        <f t="shared" si="2"/>
      </c>
      <c r="C421" s="40">
        <f>IF(Inputs!$C$60,Inputs!$C$11+(B421-Inputs!$C$69)/Inputs!$C$70,"")</f>
      </c>
      <c r="D421" s="15"/>
      <c r="E421" s="15"/>
      <c r="F421" s="11">
        <f t="shared" si="3"/>
      </c>
      <c r="G421" s="22" cm="1">
        <f t="array" ref="G421">IF(AND(Inputs!$C$60,Inputs!$C$61),INDEX(Utility_Rates!$C$29:$F$52,HOUR(C421)+Inputs!$C$69,MATCH(INDEX(Utility_Rates!$K$6:$K$17,MONTH(C421))&amp;IF(WEEKDAY(C421,Inputs!$C$76)&lt;=Inputs!$C$74," weekday"," weekend"),Utility_Rates!$C$28:$F$28,Inputs!$C$68)),"")</f>
      </c>
      <c r="H421" s="34"/>
      <c r="I421" s="42">
        <f>IF(AND(ISNUMBER(D421),ISNUMBER(H421)),D421*H421*Inputs!$C$69,"")</f>
      </c>
      <c r="J421" s="42">
        <f>IF(AND(ISNUMBER(F421),ISNUMBER(H421),F421&gt;=Inputs!$C$68),F421*H421*Inputs!$C$69,"")</f>
      </c>
    </row>
    <row r="422" spans="2:10" ht="15" customHeight="1" x14ac:dyDescent="0.2">
      <c r="B422" s="39">
        <f t="shared" si="2"/>
      </c>
      <c r="C422" s="40">
        <f>IF(Inputs!$C$60,Inputs!$C$11+(B422-Inputs!$C$69)/Inputs!$C$70,"")</f>
      </c>
      <c r="D422" s="15"/>
      <c r="E422" s="15"/>
      <c r="F422" s="11">
        <f t="shared" si="3"/>
      </c>
      <c r="G422" s="22" cm="1">
        <f t="array" ref="G422">IF(AND(Inputs!$C$60,Inputs!$C$61),INDEX(Utility_Rates!$C$29:$F$52,HOUR(C422)+Inputs!$C$69,MATCH(INDEX(Utility_Rates!$K$6:$K$17,MONTH(C422))&amp;IF(WEEKDAY(C422,Inputs!$C$76)&lt;=Inputs!$C$74," weekday"," weekend"),Utility_Rates!$C$28:$F$28,Inputs!$C$68)),"")</f>
      </c>
      <c r="H422" s="34"/>
      <c r="I422" s="42">
        <f>IF(AND(ISNUMBER(D422),ISNUMBER(H422)),D422*H422*Inputs!$C$69,"")</f>
      </c>
      <c r="J422" s="42">
        <f>IF(AND(ISNUMBER(F422),ISNUMBER(H422),F422&gt;=Inputs!$C$68),F422*H422*Inputs!$C$69,"")</f>
      </c>
    </row>
    <row r="423" spans="2:10" ht="15" customHeight="1" x14ac:dyDescent="0.2">
      <c r="B423" s="39">
        <f t="shared" si="2"/>
      </c>
      <c r="C423" s="40">
        <f>IF(Inputs!$C$60,Inputs!$C$11+(B423-Inputs!$C$69)/Inputs!$C$70,"")</f>
      </c>
      <c r="D423" s="15"/>
      <c r="E423" s="15"/>
      <c r="F423" s="11">
        <f t="shared" si="3"/>
      </c>
      <c r="G423" s="22" cm="1">
        <f t="array" ref="G423">IF(AND(Inputs!$C$60,Inputs!$C$61),INDEX(Utility_Rates!$C$29:$F$52,HOUR(C423)+Inputs!$C$69,MATCH(INDEX(Utility_Rates!$K$6:$K$17,MONTH(C423))&amp;IF(WEEKDAY(C423,Inputs!$C$76)&lt;=Inputs!$C$74," weekday"," weekend"),Utility_Rates!$C$28:$F$28,Inputs!$C$68)),"")</f>
      </c>
      <c r="H423" s="34"/>
      <c r="I423" s="42">
        <f>IF(AND(ISNUMBER(D423),ISNUMBER(H423)),D423*H423*Inputs!$C$69,"")</f>
      </c>
      <c r="J423" s="42">
        <f>IF(AND(ISNUMBER(F423),ISNUMBER(H423),F423&gt;=Inputs!$C$68),F423*H423*Inputs!$C$69,"")</f>
      </c>
    </row>
    <row r="424" spans="2:10" ht="15" customHeight="1" x14ac:dyDescent="0.2">
      <c r="B424" s="39">
        <f t="shared" si="2"/>
      </c>
      <c r="C424" s="40">
        <f>IF(Inputs!$C$60,Inputs!$C$11+(B424-Inputs!$C$69)/Inputs!$C$70,"")</f>
      </c>
      <c r="D424" s="15"/>
      <c r="E424" s="15"/>
      <c r="F424" s="11">
        <f t="shared" si="3"/>
      </c>
      <c r="G424" s="22" cm="1">
        <f t="array" ref="G424">IF(AND(Inputs!$C$60,Inputs!$C$61),INDEX(Utility_Rates!$C$29:$F$52,HOUR(C424)+Inputs!$C$69,MATCH(INDEX(Utility_Rates!$K$6:$K$17,MONTH(C424))&amp;IF(WEEKDAY(C424,Inputs!$C$76)&lt;=Inputs!$C$74," weekday"," weekend"),Utility_Rates!$C$28:$F$28,Inputs!$C$68)),"")</f>
      </c>
      <c r="H424" s="34"/>
      <c r="I424" s="42">
        <f>IF(AND(ISNUMBER(D424),ISNUMBER(H424)),D424*H424*Inputs!$C$69,"")</f>
      </c>
      <c r="J424" s="42">
        <f>IF(AND(ISNUMBER(F424),ISNUMBER(H424),F424&gt;=Inputs!$C$68),F424*H424*Inputs!$C$69,"")</f>
      </c>
    </row>
    <row r="425" spans="2:10" ht="15" customHeight="1" x14ac:dyDescent="0.2">
      <c r="B425" s="39">
        <f t="shared" si="2"/>
      </c>
      <c r="C425" s="40">
        <f>IF(Inputs!$C$60,Inputs!$C$11+(B425-Inputs!$C$69)/Inputs!$C$70,"")</f>
      </c>
      <c r="D425" s="15"/>
      <c r="E425" s="15"/>
      <c r="F425" s="11">
        <f t="shared" si="3"/>
      </c>
      <c r="G425" s="22" cm="1">
        <f t="array" ref="G425">IF(AND(Inputs!$C$60,Inputs!$C$61),INDEX(Utility_Rates!$C$29:$F$52,HOUR(C425)+Inputs!$C$69,MATCH(INDEX(Utility_Rates!$K$6:$K$17,MONTH(C425))&amp;IF(WEEKDAY(C425,Inputs!$C$76)&lt;=Inputs!$C$74," weekday"," weekend"),Utility_Rates!$C$28:$F$28,Inputs!$C$68)),"")</f>
      </c>
      <c r="H425" s="34"/>
      <c r="I425" s="42">
        <f>IF(AND(ISNUMBER(D425),ISNUMBER(H425)),D425*H425*Inputs!$C$69,"")</f>
      </c>
      <c r="J425" s="42">
        <f>IF(AND(ISNUMBER(F425),ISNUMBER(H425),F425&gt;=Inputs!$C$68),F425*H425*Inputs!$C$69,"")</f>
      </c>
    </row>
    <row r="426" spans="2:10" ht="15" customHeight="1" x14ac:dyDescent="0.2">
      <c r="B426" s="39">
        <f t="shared" si="2"/>
      </c>
      <c r="C426" s="40">
        <f>IF(Inputs!$C$60,Inputs!$C$11+(B426-Inputs!$C$69)/Inputs!$C$70,"")</f>
      </c>
      <c r="D426" s="15"/>
      <c r="E426" s="15"/>
      <c r="F426" s="11">
        <f t="shared" si="3"/>
      </c>
      <c r="G426" s="22" cm="1">
        <f t="array" ref="G426">IF(AND(Inputs!$C$60,Inputs!$C$61),INDEX(Utility_Rates!$C$29:$F$52,HOUR(C426)+Inputs!$C$69,MATCH(INDEX(Utility_Rates!$K$6:$K$17,MONTH(C426))&amp;IF(WEEKDAY(C426,Inputs!$C$76)&lt;=Inputs!$C$74," weekday"," weekend"),Utility_Rates!$C$28:$F$28,Inputs!$C$68)),"")</f>
      </c>
      <c r="H426" s="34"/>
      <c r="I426" s="42">
        <f>IF(AND(ISNUMBER(D426),ISNUMBER(H426)),D426*H426*Inputs!$C$69,"")</f>
      </c>
      <c r="J426" s="42">
        <f>IF(AND(ISNUMBER(F426),ISNUMBER(H426),F426&gt;=Inputs!$C$68),F426*H426*Inputs!$C$69,"")</f>
      </c>
    </row>
    <row r="427" spans="2:10" ht="15" customHeight="1" x14ac:dyDescent="0.2">
      <c r="B427" s="39">
        <f t="shared" si="2"/>
      </c>
      <c r="C427" s="40">
        <f>IF(Inputs!$C$60,Inputs!$C$11+(B427-Inputs!$C$69)/Inputs!$C$70,"")</f>
      </c>
      <c r="D427" s="15"/>
      <c r="E427" s="15"/>
      <c r="F427" s="11">
        <f t="shared" si="3"/>
      </c>
      <c r="G427" s="22" cm="1">
        <f t="array" ref="G427">IF(AND(Inputs!$C$60,Inputs!$C$61),INDEX(Utility_Rates!$C$29:$F$52,HOUR(C427)+Inputs!$C$69,MATCH(INDEX(Utility_Rates!$K$6:$K$17,MONTH(C427))&amp;IF(WEEKDAY(C427,Inputs!$C$76)&lt;=Inputs!$C$74," weekday"," weekend"),Utility_Rates!$C$28:$F$28,Inputs!$C$68)),"")</f>
      </c>
      <c r="H427" s="34"/>
      <c r="I427" s="42">
        <f>IF(AND(ISNUMBER(D427),ISNUMBER(H427)),D427*H427*Inputs!$C$69,"")</f>
      </c>
      <c r="J427" s="42">
        <f>IF(AND(ISNUMBER(F427),ISNUMBER(H427),F427&gt;=Inputs!$C$68),F427*H427*Inputs!$C$69,"")</f>
      </c>
    </row>
    <row r="428" spans="2:10" ht="15" customHeight="1" x14ac:dyDescent="0.2">
      <c r="B428" s="39">
        <f t="shared" si="2"/>
      </c>
      <c r="C428" s="40">
        <f>IF(Inputs!$C$60,Inputs!$C$11+(B428-Inputs!$C$69)/Inputs!$C$70,"")</f>
      </c>
      <c r="D428" s="15"/>
      <c r="E428" s="15"/>
      <c r="F428" s="11">
        <f t="shared" si="3"/>
      </c>
      <c r="G428" s="22" cm="1">
        <f t="array" ref="G428">IF(AND(Inputs!$C$60,Inputs!$C$61),INDEX(Utility_Rates!$C$29:$F$52,HOUR(C428)+Inputs!$C$69,MATCH(INDEX(Utility_Rates!$K$6:$K$17,MONTH(C428))&amp;IF(WEEKDAY(C428,Inputs!$C$76)&lt;=Inputs!$C$74," weekday"," weekend"),Utility_Rates!$C$28:$F$28,Inputs!$C$68)),"")</f>
      </c>
      <c r="H428" s="34"/>
      <c r="I428" s="42">
        <f>IF(AND(ISNUMBER(D428),ISNUMBER(H428)),D428*H428*Inputs!$C$69,"")</f>
      </c>
      <c r="J428" s="42">
        <f>IF(AND(ISNUMBER(F428),ISNUMBER(H428),F428&gt;=Inputs!$C$68),F428*H428*Inputs!$C$69,"")</f>
      </c>
    </row>
    <row r="429" spans="2:10" ht="15" customHeight="1" x14ac:dyDescent="0.2">
      <c r="B429" s="39">
        <f t="shared" si="2"/>
      </c>
      <c r="C429" s="40">
        <f>IF(Inputs!$C$60,Inputs!$C$11+(B429-Inputs!$C$69)/Inputs!$C$70,"")</f>
      </c>
      <c r="D429" s="15"/>
      <c r="E429" s="15"/>
      <c r="F429" s="11">
        <f t="shared" si="3"/>
      </c>
      <c r="G429" s="22" cm="1">
        <f t="array" ref="G429">IF(AND(Inputs!$C$60,Inputs!$C$61),INDEX(Utility_Rates!$C$29:$F$52,HOUR(C429)+Inputs!$C$69,MATCH(INDEX(Utility_Rates!$K$6:$K$17,MONTH(C429))&amp;IF(WEEKDAY(C429,Inputs!$C$76)&lt;=Inputs!$C$74," weekday"," weekend"),Utility_Rates!$C$28:$F$28,Inputs!$C$68)),"")</f>
      </c>
      <c r="H429" s="34"/>
      <c r="I429" s="42">
        <f>IF(AND(ISNUMBER(D429),ISNUMBER(H429)),D429*H429*Inputs!$C$69,"")</f>
      </c>
      <c r="J429" s="42">
        <f>IF(AND(ISNUMBER(F429),ISNUMBER(H429),F429&gt;=Inputs!$C$68),F429*H429*Inputs!$C$69,"")</f>
      </c>
    </row>
    <row r="430" spans="2:10" ht="15" customHeight="1" x14ac:dyDescent="0.2">
      <c r="B430" s="39">
        <f t="shared" si="2"/>
      </c>
      <c r="C430" s="40">
        <f>IF(Inputs!$C$60,Inputs!$C$11+(B430-Inputs!$C$69)/Inputs!$C$70,"")</f>
      </c>
      <c r="D430" s="15"/>
      <c r="E430" s="15"/>
      <c r="F430" s="11">
        <f t="shared" si="3"/>
      </c>
      <c r="G430" s="22" cm="1">
        <f t="array" ref="G430">IF(AND(Inputs!$C$60,Inputs!$C$61),INDEX(Utility_Rates!$C$29:$F$52,HOUR(C430)+Inputs!$C$69,MATCH(INDEX(Utility_Rates!$K$6:$K$17,MONTH(C430))&amp;IF(WEEKDAY(C430,Inputs!$C$76)&lt;=Inputs!$C$74," weekday"," weekend"),Utility_Rates!$C$28:$F$28,Inputs!$C$68)),"")</f>
      </c>
      <c r="H430" s="34"/>
      <c r="I430" s="42">
        <f>IF(AND(ISNUMBER(D430),ISNUMBER(H430)),D430*H430*Inputs!$C$69,"")</f>
      </c>
      <c r="J430" s="42">
        <f>IF(AND(ISNUMBER(F430),ISNUMBER(H430),F430&gt;=Inputs!$C$68),F430*H430*Inputs!$C$69,"")</f>
      </c>
    </row>
    <row r="431" spans="2:10" ht="15" customHeight="1" x14ac:dyDescent="0.2">
      <c r="B431" s="39">
        <f t="shared" si="2"/>
      </c>
      <c r="C431" s="40">
        <f>IF(Inputs!$C$60,Inputs!$C$11+(B431-Inputs!$C$69)/Inputs!$C$70,"")</f>
      </c>
      <c r="D431" s="15"/>
      <c r="E431" s="15"/>
      <c r="F431" s="11">
        <f t="shared" si="3"/>
      </c>
      <c r="G431" s="22" cm="1">
        <f t="array" ref="G431">IF(AND(Inputs!$C$60,Inputs!$C$61),INDEX(Utility_Rates!$C$29:$F$52,HOUR(C431)+Inputs!$C$69,MATCH(INDEX(Utility_Rates!$K$6:$K$17,MONTH(C431))&amp;IF(WEEKDAY(C431,Inputs!$C$76)&lt;=Inputs!$C$74," weekday"," weekend"),Utility_Rates!$C$28:$F$28,Inputs!$C$68)),"")</f>
      </c>
      <c r="H431" s="34"/>
      <c r="I431" s="42">
        <f>IF(AND(ISNUMBER(D431),ISNUMBER(H431)),D431*H431*Inputs!$C$69,"")</f>
      </c>
      <c r="J431" s="42">
        <f>IF(AND(ISNUMBER(F431),ISNUMBER(H431),F431&gt;=Inputs!$C$68),F431*H431*Inputs!$C$69,"")</f>
      </c>
    </row>
    <row r="432" spans="2:10" ht="15" customHeight="1" x14ac:dyDescent="0.2">
      <c r="B432" s="39">
        <f t="shared" si="2"/>
      </c>
      <c r="C432" s="40">
        <f>IF(Inputs!$C$60,Inputs!$C$11+(B432-Inputs!$C$69)/Inputs!$C$70,"")</f>
      </c>
      <c r="D432" s="15"/>
      <c r="E432" s="15"/>
      <c r="F432" s="11">
        <f t="shared" si="3"/>
      </c>
      <c r="G432" s="22" cm="1">
        <f t="array" ref="G432">IF(AND(Inputs!$C$60,Inputs!$C$61),INDEX(Utility_Rates!$C$29:$F$52,HOUR(C432)+Inputs!$C$69,MATCH(INDEX(Utility_Rates!$K$6:$K$17,MONTH(C432))&amp;IF(WEEKDAY(C432,Inputs!$C$76)&lt;=Inputs!$C$74," weekday"," weekend"),Utility_Rates!$C$28:$F$28,Inputs!$C$68)),"")</f>
      </c>
      <c r="H432" s="34"/>
      <c r="I432" s="42">
        <f>IF(AND(ISNUMBER(D432),ISNUMBER(H432)),D432*H432*Inputs!$C$69,"")</f>
      </c>
      <c r="J432" s="42">
        <f>IF(AND(ISNUMBER(F432),ISNUMBER(H432),F432&gt;=Inputs!$C$68),F432*H432*Inputs!$C$69,"")</f>
      </c>
    </row>
    <row r="433" spans="2:10" ht="15" customHeight="1" x14ac:dyDescent="0.2">
      <c r="B433" s="39">
        <f t="shared" si="2"/>
      </c>
      <c r="C433" s="40">
        <f>IF(Inputs!$C$60,Inputs!$C$11+(B433-Inputs!$C$69)/Inputs!$C$70,"")</f>
      </c>
      <c r="D433" s="15"/>
      <c r="E433" s="15"/>
      <c r="F433" s="11">
        <f t="shared" si="3"/>
      </c>
      <c r="G433" s="22" cm="1">
        <f t="array" ref="G433">IF(AND(Inputs!$C$60,Inputs!$C$61),INDEX(Utility_Rates!$C$29:$F$52,HOUR(C433)+Inputs!$C$69,MATCH(INDEX(Utility_Rates!$K$6:$K$17,MONTH(C433))&amp;IF(WEEKDAY(C433,Inputs!$C$76)&lt;=Inputs!$C$74," weekday"," weekend"),Utility_Rates!$C$28:$F$28,Inputs!$C$68)),"")</f>
      </c>
      <c r="H433" s="34"/>
      <c r="I433" s="42">
        <f>IF(AND(ISNUMBER(D433),ISNUMBER(H433)),D433*H433*Inputs!$C$69,"")</f>
      </c>
      <c r="J433" s="42">
        <f>IF(AND(ISNUMBER(F433),ISNUMBER(H433),F433&gt;=Inputs!$C$68),F433*H433*Inputs!$C$69,"")</f>
      </c>
    </row>
    <row r="434" spans="2:10" ht="15" customHeight="1" x14ac:dyDescent="0.2">
      <c r="B434" s="39">
        <f t="shared" si="2"/>
      </c>
      <c r="C434" s="40">
        <f>IF(Inputs!$C$60,Inputs!$C$11+(B434-Inputs!$C$69)/Inputs!$C$70,"")</f>
      </c>
      <c r="D434" s="15"/>
      <c r="E434" s="15"/>
      <c r="F434" s="11">
        <f t="shared" si="3"/>
      </c>
      <c r="G434" s="22" cm="1">
        <f t="array" ref="G434">IF(AND(Inputs!$C$60,Inputs!$C$61),INDEX(Utility_Rates!$C$29:$F$52,HOUR(C434)+Inputs!$C$69,MATCH(INDEX(Utility_Rates!$K$6:$K$17,MONTH(C434))&amp;IF(WEEKDAY(C434,Inputs!$C$76)&lt;=Inputs!$C$74," weekday"," weekend"),Utility_Rates!$C$28:$F$28,Inputs!$C$68)),"")</f>
      </c>
      <c r="H434" s="34"/>
      <c r="I434" s="42">
        <f>IF(AND(ISNUMBER(D434),ISNUMBER(H434)),D434*H434*Inputs!$C$69,"")</f>
      </c>
      <c r="J434" s="42">
        <f>IF(AND(ISNUMBER(F434),ISNUMBER(H434),F434&gt;=Inputs!$C$68),F434*H434*Inputs!$C$69,"")</f>
      </c>
    </row>
    <row r="435" spans="2:10" ht="15" customHeight="1" x14ac:dyDescent="0.2">
      <c r="B435" s="39">
        <f t="shared" si="2"/>
      </c>
      <c r="C435" s="40">
        <f>IF(Inputs!$C$60,Inputs!$C$11+(B435-Inputs!$C$69)/Inputs!$C$70,"")</f>
      </c>
      <c r="D435" s="15"/>
      <c r="E435" s="15"/>
      <c r="F435" s="11">
        <f t="shared" si="3"/>
      </c>
      <c r="G435" s="22" cm="1">
        <f t="array" ref="G435">IF(AND(Inputs!$C$60,Inputs!$C$61),INDEX(Utility_Rates!$C$29:$F$52,HOUR(C435)+Inputs!$C$69,MATCH(INDEX(Utility_Rates!$K$6:$K$17,MONTH(C435))&amp;IF(WEEKDAY(C435,Inputs!$C$76)&lt;=Inputs!$C$74," weekday"," weekend"),Utility_Rates!$C$28:$F$28,Inputs!$C$68)),"")</f>
      </c>
      <c r="H435" s="34"/>
      <c r="I435" s="42">
        <f>IF(AND(ISNUMBER(D435),ISNUMBER(H435)),D435*H435*Inputs!$C$69,"")</f>
      </c>
      <c r="J435" s="42">
        <f>IF(AND(ISNUMBER(F435),ISNUMBER(H435),F435&gt;=Inputs!$C$68),F435*H435*Inputs!$C$69,"")</f>
      </c>
    </row>
    <row r="436" spans="2:10" ht="15" customHeight="1" x14ac:dyDescent="0.2">
      <c r="B436" s="39">
        <f t="shared" si="2"/>
      </c>
      <c r="C436" s="40">
        <f>IF(Inputs!$C$60,Inputs!$C$11+(B436-Inputs!$C$69)/Inputs!$C$70,"")</f>
      </c>
      <c r="D436" s="15"/>
      <c r="E436" s="15"/>
      <c r="F436" s="11">
        <f t="shared" si="3"/>
      </c>
      <c r="G436" s="22" cm="1">
        <f t="array" ref="G436">IF(AND(Inputs!$C$60,Inputs!$C$61),INDEX(Utility_Rates!$C$29:$F$52,HOUR(C436)+Inputs!$C$69,MATCH(INDEX(Utility_Rates!$K$6:$K$17,MONTH(C436))&amp;IF(WEEKDAY(C436,Inputs!$C$76)&lt;=Inputs!$C$74," weekday"," weekend"),Utility_Rates!$C$28:$F$28,Inputs!$C$68)),"")</f>
      </c>
      <c r="H436" s="34"/>
      <c r="I436" s="42">
        <f>IF(AND(ISNUMBER(D436),ISNUMBER(H436)),D436*H436*Inputs!$C$69,"")</f>
      </c>
      <c r="J436" s="42">
        <f>IF(AND(ISNUMBER(F436),ISNUMBER(H436),F436&gt;=Inputs!$C$68),F436*H436*Inputs!$C$69,"")</f>
      </c>
    </row>
    <row r="437" spans="2:10" ht="15" customHeight="1" x14ac:dyDescent="0.2">
      <c r="B437" s="39">
        <f t="shared" si="2"/>
      </c>
      <c r="C437" s="40">
        <f>IF(Inputs!$C$60,Inputs!$C$11+(B437-Inputs!$C$69)/Inputs!$C$70,"")</f>
      </c>
      <c r="D437" s="15"/>
      <c r="E437" s="15"/>
      <c r="F437" s="11">
        <f t="shared" si="3"/>
      </c>
      <c r="G437" s="22" cm="1">
        <f t="array" ref="G437">IF(AND(Inputs!$C$60,Inputs!$C$61),INDEX(Utility_Rates!$C$29:$F$52,HOUR(C437)+Inputs!$C$69,MATCH(INDEX(Utility_Rates!$K$6:$K$17,MONTH(C437))&amp;IF(WEEKDAY(C437,Inputs!$C$76)&lt;=Inputs!$C$74," weekday"," weekend"),Utility_Rates!$C$28:$F$28,Inputs!$C$68)),"")</f>
      </c>
      <c r="H437" s="34"/>
      <c r="I437" s="42">
        <f>IF(AND(ISNUMBER(D437),ISNUMBER(H437)),D437*H437*Inputs!$C$69,"")</f>
      </c>
      <c r="J437" s="42">
        <f>IF(AND(ISNUMBER(F437),ISNUMBER(H437),F437&gt;=Inputs!$C$68),F437*H437*Inputs!$C$69,"")</f>
      </c>
    </row>
    <row r="438" spans="2:10" ht="15" customHeight="1" x14ac:dyDescent="0.2">
      <c r="B438" s="39">
        <f t="shared" si="2"/>
      </c>
      <c r="C438" s="40">
        <f>IF(Inputs!$C$60,Inputs!$C$11+(B438-Inputs!$C$69)/Inputs!$C$70,"")</f>
      </c>
      <c r="D438" s="15"/>
      <c r="E438" s="15"/>
      <c r="F438" s="11">
        <f t="shared" si="3"/>
      </c>
      <c r="G438" s="22" cm="1">
        <f t="array" ref="G438">IF(AND(Inputs!$C$60,Inputs!$C$61),INDEX(Utility_Rates!$C$29:$F$52,HOUR(C438)+Inputs!$C$69,MATCH(INDEX(Utility_Rates!$K$6:$K$17,MONTH(C438))&amp;IF(WEEKDAY(C438,Inputs!$C$76)&lt;=Inputs!$C$74," weekday"," weekend"),Utility_Rates!$C$28:$F$28,Inputs!$C$68)),"")</f>
      </c>
      <c r="H438" s="34"/>
      <c r="I438" s="42">
        <f>IF(AND(ISNUMBER(D438),ISNUMBER(H438)),D438*H438*Inputs!$C$69,"")</f>
      </c>
      <c r="J438" s="42">
        <f>IF(AND(ISNUMBER(F438),ISNUMBER(H438),F438&gt;=Inputs!$C$68),F438*H438*Inputs!$C$69,"")</f>
      </c>
    </row>
    <row r="439" spans="2:10" ht="15" customHeight="1" x14ac:dyDescent="0.2">
      <c r="B439" s="39">
        <f t="shared" si="2"/>
      </c>
      <c r="C439" s="40">
        <f>IF(Inputs!$C$60,Inputs!$C$11+(B439-Inputs!$C$69)/Inputs!$C$70,"")</f>
      </c>
      <c r="D439" s="15"/>
      <c r="E439" s="15"/>
      <c r="F439" s="11">
        <f t="shared" si="3"/>
      </c>
      <c r="G439" s="22" cm="1">
        <f t="array" ref="G439">IF(AND(Inputs!$C$60,Inputs!$C$61),INDEX(Utility_Rates!$C$29:$F$52,HOUR(C439)+Inputs!$C$69,MATCH(INDEX(Utility_Rates!$K$6:$K$17,MONTH(C439))&amp;IF(WEEKDAY(C439,Inputs!$C$76)&lt;=Inputs!$C$74," weekday"," weekend"),Utility_Rates!$C$28:$F$28,Inputs!$C$68)),"")</f>
      </c>
      <c r="H439" s="34"/>
      <c r="I439" s="42">
        <f>IF(AND(ISNUMBER(D439),ISNUMBER(H439)),D439*H439*Inputs!$C$69,"")</f>
      </c>
      <c r="J439" s="42">
        <f>IF(AND(ISNUMBER(F439),ISNUMBER(H439),F439&gt;=Inputs!$C$68),F439*H439*Inputs!$C$69,"")</f>
      </c>
    </row>
    <row r="440" spans="2:10" ht="15" customHeight="1" x14ac:dyDescent="0.2">
      <c r="B440" s="39">
        <f t="shared" si="2"/>
      </c>
      <c r="C440" s="40">
        <f>IF(Inputs!$C$60,Inputs!$C$11+(B440-Inputs!$C$69)/Inputs!$C$70,"")</f>
      </c>
      <c r="D440" s="15"/>
      <c r="E440" s="15"/>
      <c r="F440" s="11">
        <f t="shared" si="3"/>
      </c>
      <c r="G440" s="22" cm="1">
        <f t="array" ref="G440">IF(AND(Inputs!$C$60,Inputs!$C$61),INDEX(Utility_Rates!$C$29:$F$52,HOUR(C440)+Inputs!$C$69,MATCH(INDEX(Utility_Rates!$K$6:$K$17,MONTH(C440))&amp;IF(WEEKDAY(C440,Inputs!$C$76)&lt;=Inputs!$C$74," weekday"," weekend"),Utility_Rates!$C$28:$F$28,Inputs!$C$68)),"")</f>
      </c>
      <c r="H440" s="34"/>
      <c r="I440" s="42">
        <f>IF(AND(ISNUMBER(D440),ISNUMBER(H440)),D440*H440*Inputs!$C$69,"")</f>
      </c>
      <c r="J440" s="42">
        <f>IF(AND(ISNUMBER(F440),ISNUMBER(H440),F440&gt;=Inputs!$C$68),F440*H440*Inputs!$C$69,"")</f>
      </c>
    </row>
    <row r="441" spans="2:10" ht="15" customHeight="1" x14ac:dyDescent="0.2">
      <c r="B441" s="39">
        <f t="shared" si="2"/>
      </c>
      <c r="C441" s="40">
        <f>IF(Inputs!$C$60,Inputs!$C$11+(B441-Inputs!$C$69)/Inputs!$C$70,"")</f>
      </c>
      <c r="D441" s="15"/>
      <c r="E441" s="15"/>
      <c r="F441" s="11">
        <f t="shared" si="3"/>
      </c>
      <c r="G441" s="22" cm="1">
        <f t="array" ref="G441">IF(AND(Inputs!$C$60,Inputs!$C$61),INDEX(Utility_Rates!$C$29:$F$52,HOUR(C441)+Inputs!$C$69,MATCH(INDEX(Utility_Rates!$K$6:$K$17,MONTH(C441))&amp;IF(WEEKDAY(C441,Inputs!$C$76)&lt;=Inputs!$C$74," weekday"," weekend"),Utility_Rates!$C$28:$F$28,Inputs!$C$68)),"")</f>
      </c>
      <c r="H441" s="34"/>
      <c r="I441" s="42">
        <f>IF(AND(ISNUMBER(D441),ISNUMBER(H441)),D441*H441*Inputs!$C$69,"")</f>
      </c>
      <c r="J441" s="42">
        <f>IF(AND(ISNUMBER(F441),ISNUMBER(H441),F441&gt;=Inputs!$C$68),F441*H441*Inputs!$C$69,"")</f>
      </c>
    </row>
    <row r="442" spans="2:10" ht="15" customHeight="1" x14ac:dyDescent="0.2">
      <c r="B442" s="39">
        <f t="shared" si="2"/>
      </c>
      <c r="C442" s="40">
        <f>IF(Inputs!$C$60,Inputs!$C$11+(B442-Inputs!$C$69)/Inputs!$C$70,"")</f>
      </c>
      <c r="D442" s="15"/>
      <c r="E442" s="15"/>
      <c r="F442" s="11">
        <f t="shared" si="3"/>
      </c>
      <c r="G442" s="22" cm="1">
        <f t="array" ref="G442">IF(AND(Inputs!$C$60,Inputs!$C$61),INDEX(Utility_Rates!$C$29:$F$52,HOUR(C442)+Inputs!$C$69,MATCH(INDEX(Utility_Rates!$K$6:$K$17,MONTH(C442))&amp;IF(WEEKDAY(C442,Inputs!$C$76)&lt;=Inputs!$C$74," weekday"," weekend"),Utility_Rates!$C$28:$F$28,Inputs!$C$68)),"")</f>
      </c>
      <c r="H442" s="34"/>
      <c r="I442" s="42">
        <f>IF(AND(ISNUMBER(D442),ISNUMBER(H442)),D442*H442*Inputs!$C$69,"")</f>
      </c>
      <c r="J442" s="42">
        <f>IF(AND(ISNUMBER(F442),ISNUMBER(H442),F442&gt;=Inputs!$C$68),F442*H442*Inputs!$C$69,"")</f>
      </c>
    </row>
    <row r="443" spans="2:10" ht="15" customHeight="1" x14ac:dyDescent="0.2">
      <c r="B443" s="39">
        <f t="shared" si="2"/>
      </c>
      <c r="C443" s="40">
        <f>IF(Inputs!$C$60,Inputs!$C$11+(B443-Inputs!$C$69)/Inputs!$C$70,"")</f>
      </c>
      <c r="D443" s="15"/>
      <c r="E443" s="15"/>
      <c r="F443" s="11">
        <f t="shared" si="3"/>
      </c>
      <c r="G443" s="22" cm="1">
        <f t="array" ref="G443">IF(AND(Inputs!$C$60,Inputs!$C$61),INDEX(Utility_Rates!$C$29:$F$52,HOUR(C443)+Inputs!$C$69,MATCH(INDEX(Utility_Rates!$K$6:$K$17,MONTH(C443))&amp;IF(WEEKDAY(C443,Inputs!$C$76)&lt;=Inputs!$C$74," weekday"," weekend"),Utility_Rates!$C$28:$F$28,Inputs!$C$68)),"")</f>
      </c>
      <c r="H443" s="34"/>
      <c r="I443" s="42">
        <f>IF(AND(ISNUMBER(D443),ISNUMBER(H443)),D443*H443*Inputs!$C$69,"")</f>
      </c>
      <c r="J443" s="42">
        <f>IF(AND(ISNUMBER(F443),ISNUMBER(H443),F443&gt;=Inputs!$C$68),F443*H443*Inputs!$C$69,"")</f>
      </c>
    </row>
    <row r="444" spans="2:10" ht="15" customHeight="1" x14ac:dyDescent="0.2">
      <c r="B444" s="39">
        <f t="shared" si="2"/>
      </c>
      <c r="C444" s="40">
        <f>IF(Inputs!$C$60,Inputs!$C$11+(B444-Inputs!$C$69)/Inputs!$C$70,"")</f>
      </c>
      <c r="D444" s="15"/>
      <c r="E444" s="15"/>
      <c r="F444" s="11">
        <f t="shared" si="3"/>
      </c>
      <c r="G444" s="22" cm="1">
        <f t="array" ref="G444">IF(AND(Inputs!$C$60,Inputs!$C$61),INDEX(Utility_Rates!$C$29:$F$52,HOUR(C444)+Inputs!$C$69,MATCH(INDEX(Utility_Rates!$K$6:$K$17,MONTH(C444))&amp;IF(WEEKDAY(C444,Inputs!$C$76)&lt;=Inputs!$C$74," weekday"," weekend"),Utility_Rates!$C$28:$F$28,Inputs!$C$68)),"")</f>
      </c>
      <c r="H444" s="34"/>
      <c r="I444" s="42">
        <f>IF(AND(ISNUMBER(D444),ISNUMBER(H444)),D444*H444*Inputs!$C$69,"")</f>
      </c>
      <c r="J444" s="42">
        <f>IF(AND(ISNUMBER(F444),ISNUMBER(H444),F444&gt;=Inputs!$C$68),F444*H444*Inputs!$C$69,"")</f>
      </c>
    </row>
    <row r="445" spans="2:10" ht="15" customHeight="1" x14ac:dyDescent="0.2">
      <c r="B445" s="39">
        <f t="shared" si="2"/>
      </c>
      <c r="C445" s="40">
        <f>IF(Inputs!$C$60,Inputs!$C$11+(B445-Inputs!$C$69)/Inputs!$C$70,"")</f>
      </c>
      <c r="D445" s="15"/>
      <c r="E445" s="15"/>
      <c r="F445" s="11">
        <f t="shared" si="3"/>
      </c>
      <c r="G445" s="22" cm="1">
        <f t="array" ref="G445">IF(AND(Inputs!$C$60,Inputs!$C$61),INDEX(Utility_Rates!$C$29:$F$52,HOUR(C445)+Inputs!$C$69,MATCH(INDEX(Utility_Rates!$K$6:$K$17,MONTH(C445))&amp;IF(WEEKDAY(C445,Inputs!$C$76)&lt;=Inputs!$C$74," weekday"," weekend"),Utility_Rates!$C$28:$F$28,Inputs!$C$68)),"")</f>
      </c>
      <c r="H445" s="34"/>
      <c r="I445" s="42">
        <f>IF(AND(ISNUMBER(D445),ISNUMBER(H445)),D445*H445*Inputs!$C$69,"")</f>
      </c>
      <c r="J445" s="42">
        <f>IF(AND(ISNUMBER(F445),ISNUMBER(H445),F445&gt;=Inputs!$C$68),F445*H445*Inputs!$C$69,"")</f>
      </c>
    </row>
    <row r="446" spans="2:10" ht="15" customHeight="1" x14ac:dyDescent="0.2">
      <c r="B446" s="39">
        <f t="shared" si="2"/>
      </c>
      <c r="C446" s="40">
        <f>IF(Inputs!$C$60,Inputs!$C$11+(B446-Inputs!$C$69)/Inputs!$C$70,"")</f>
      </c>
      <c r="D446" s="15"/>
      <c r="E446" s="15"/>
      <c r="F446" s="11">
        <f t="shared" si="3"/>
      </c>
      <c r="G446" s="22" cm="1">
        <f t="array" ref="G446">IF(AND(Inputs!$C$60,Inputs!$C$61),INDEX(Utility_Rates!$C$29:$F$52,HOUR(C446)+Inputs!$C$69,MATCH(INDEX(Utility_Rates!$K$6:$K$17,MONTH(C446))&amp;IF(WEEKDAY(C446,Inputs!$C$76)&lt;=Inputs!$C$74," weekday"," weekend"),Utility_Rates!$C$28:$F$28,Inputs!$C$68)),"")</f>
      </c>
      <c r="H446" s="34"/>
      <c r="I446" s="42">
        <f>IF(AND(ISNUMBER(D446),ISNUMBER(H446)),D446*H446*Inputs!$C$69,"")</f>
      </c>
      <c r="J446" s="42">
        <f>IF(AND(ISNUMBER(F446),ISNUMBER(H446),F446&gt;=Inputs!$C$68),F446*H446*Inputs!$C$69,"")</f>
      </c>
    </row>
    <row r="447" spans="2:10" ht="15" customHeight="1" x14ac:dyDescent="0.2">
      <c r="B447" s="39">
        <f t="shared" si="2"/>
      </c>
      <c r="C447" s="40">
        <f>IF(Inputs!$C$60,Inputs!$C$11+(B447-Inputs!$C$69)/Inputs!$C$70,"")</f>
      </c>
      <c r="D447" s="15"/>
      <c r="E447" s="15"/>
      <c r="F447" s="11">
        <f t="shared" si="3"/>
      </c>
      <c r="G447" s="22" cm="1">
        <f t="array" ref="G447">IF(AND(Inputs!$C$60,Inputs!$C$61),INDEX(Utility_Rates!$C$29:$F$52,HOUR(C447)+Inputs!$C$69,MATCH(INDEX(Utility_Rates!$K$6:$K$17,MONTH(C447))&amp;IF(WEEKDAY(C447,Inputs!$C$76)&lt;=Inputs!$C$74," weekday"," weekend"),Utility_Rates!$C$28:$F$28,Inputs!$C$68)),"")</f>
      </c>
      <c r="H447" s="34"/>
      <c r="I447" s="42">
        <f>IF(AND(ISNUMBER(D447),ISNUMBER(H447)),D447*H447*Inputs!$C$69,"")</f>
      </c>
      <c r="J447" s="42">
        <f>IF(AND(ISNUMBER(F447),ISNUMBER(H447),F447&gt;=Inputs!$C$68),F447*H447*Inputs!$C$69,"")</f>
      </c>
    </row>
    <row r="448" spans="2:10" ht="15" customHeight="1" x14ac:dyDescent="0.2">
      <c r="B448" s="39">
        <f t="shared" si="2"/>
      </c>
      <c r="C448" s="40">
        <f>IF(Inputs!$C$60,Inputs!$C$11+(B448-Inputs!$C$69)/Inputs!$C$70,"")</f>
      </c>
      <c r="D448" s="15"/>
      <c r="E448" s="15"/>
      <c r="F448" s="11">
        <f t="shared" si="3"/>
      </c>
      <c r="G448" s="22" cm="1">
        <f t="array" ref="G448">IF(AND(Inputs!$C$60,Inputs!$C$61),INDEX(Utility_Rates!$C$29:$F$52,HOUR(C448)+Inputs!$C$69,MATCH(INDEX(Utility_Rates!$K$6:$K$17,MONTH(C448))&amp;IF(WEEKDAY(C448,Inputs!$C$76)&lt;=Inputs!$C$74," weekday"," weekend"),Utility_Rates!$C$28:$F$28,Inputs!$C$68)),"")</f>
      </c>
      <c r="H448" s="34"/>
      <c r="I448" s="42">
        <f>IF(AND(ISNUMBER(D448),ISNUMBER(H448)),D448*H448*Inputs!$C$69,"")</f>
      </c>
      <c r="J448" s="42">
        <f>IF(AND(ISNUMBER(F448),ISNUMBER(H448),F448&gt;=Inputs!$C$68),F448*H448*Inputs!$C$69,"")</f>
      </c>
    </row>
    <row r="449" spans="2:10" ht="15" customHeight="1" x14ac:dyDescent="0.2">
      <c r="B449" s="39">
        <f t="shared" si="2"/>
      </c>
      <c r="C449" s="40">
        <f>IF(Inputs!$C$60,Inputs!$C$11+(B449-Inputs!$C$69)/Inputs!$C$70,"")</f>
      </c>
      <c r="D449" s="15"/>
      <c r="E449" s="15"/>
      <c r="F449" s="11">
        <f t="shared" si="3"/>
      </c>
      <c r="G449" s="22" cm="1">
        <f t="array" ref="G449">IF(AND(Inputs!$C$60,Inputs!$C$61),INDEX(Utility_Rates!$C$29:$F$52,HOUR(C449)+Inputs!$C$69,MATCH(INDEX(Utility_Rates!$K$6:$K$17,MONTH(C449))&amp;IF(WEEKDAY(C449,Inputs!$C$76)&lt;=Inputs!$C$74," weekday"," weekend"),Utility_Rates!$C$28:$F$28,Inputs!$C$68)),"")</f>
      </c>
      <c r="H449" s="34"/>
      <c r="I449" s="42">
        <f>IF(AND(ISNUMBER(D449),ISNUMBER(H449)),D449*H449*Inputs!$C$69,"")</f>
      </c>
      <c r="J449" s="42">
        <f>IF(AND(ISNUMBER(F449),ISNUMBER(H449),F449&gt;=Inputs!$C$68),F449*H449*Inputs!$C$69,"")</f>
      </c>
    </row>
    <row r="450" spans="2:10" ht="15" customHeight="1" x14ac:dyDescent="0.2">
      <c r="B450" s="39">
        <f t="shared" si="2"/>
      </c>
      <c r="C450" s="40">
        <f>IF(Inputs!$C$60,Inputs!$C$11+(B450-Inputs!$C$69)/Inputs!$C$70,"")</f>
      </c>
      <c r="D450" s="15"/>
      <c r="E450" s="15"/>
      <c r="F450" s="11">
        <f t="shared" si="3"/>
      </c>
      <c r="G450" s="22" cm="1">
        <f t="array" ref="G450">IF(AND(Inputs!$C$60,Inputs!$C$61),INDEX(Utility_Rates!$C$29:$F$52,HOUR(C450)+Inputs!$C$69,MATCH(INDEX(Utility_Rates!$K$6:$K$17,MONTH(C450))&amp;IF(WEEKDAY(C450,Inputs!$C$76)&lt;=Inputs!$C$74," weekday"," weekend"),Utility_Rates!$C$28:$F$28,Inputs!$C$68)),"")</f>
      </c>
      <c r="H450" s="34"/>
      <c r="I450" s="42">
        <f>IF(AND(ISNUMBER(D450),ISNUMBER(H450)),D450*H450*Inputs!$C$69,"")</f>
      </c>
      <c r="J450" s="42">
        <f>IF(AND(ISNUMBER(F450),ISNUMBER(H450),F450&gt;=Inputs!$C$68),F450*H450*Inputs!$C$69,"")</f>
      </c>
    </row>
    <row r="451" spans="2:10" ht="15" customHeight="1" x14ac:dyDescent="0.2">
      <c r="B451" s="39">
        <f t="shared" si="2"/>
      </c>
      <c r="C451" s="40">
        <f>IF(Inputs!$C$60,Inputs!$C$11+(B451-Inputs!$C$69)/Inputs!$C$70,"")</f>
      </c>
      <c r="D451" s="15"/>
      <c r="E451" s="15"/>
      <c r="F451" s="11">
        <f t="shared" si="3"/>
      </c>
      <c r="G451" s="22" cm="1">
        <f t="array" ref="G451">IF(AND(Inputs!$C$60,Inputs!$C$61),INDEX(Utility_Rates!$C$29:$F$52,HOUR(C451)+Inputs!$C$69,MATCH(INDEX(Utility_Rates!$K$6:$K$17,MONTH(C451))&amp;IF(WEEKDAY(C451,Inputs!$C$76)&lt;=Inputs!$C$74," weekday"," weekend"),Utility_Rates!$C$28:$F$28,Inputs!$C$68)),"")</f>
      </c>
      <c r="H451" s="34"/>
      <c r="I451" s="42">
        <f>IF(AND(ISNUMBER(D451),ISNUMBER(H451)),D451*H451*Inputs!$C$69,"")</f>
      </c>
      <c r="J451" s="42">
        <f>IF(AND(ISNUMBER(F451),ISNUMBER(H451),F451&gt;=Inputs!$C$68),F451*H451*Inputs!$C$69,"")</f>
      </c>
    </row>
    <row r="452" spans="2:10" ht="15" customHeight="1" x14ac:dyDescent="0.2">
      <c r="B452" s="39">
        <f t="shared" si="2"/>
      </c>
      <c r="C452" s="40">
        <f>IF(Inputs!$C$60,Inputs!$C$11+(B452-Inputs!$C$69)/Inputs!$C$70,"")</f>
      </c>
      <c r="D452" s="15"/>
      <c r="E452" s="15"/>
      <c r="F452" s="11">
        <f t="shared" si="3"/>
      </c>
      <c r="G452" s="22" cm="1">
        <f t="array" ref="G452">IF(AND(Inputs!$C$60,Inputs!$C$61),INDEX(Utility_Rates!$C$29:$F$52,HOUR(C452)+Inputs!$C$69,MATCH(INDEX(Utility_Rates!$K$6:$K$17,MONTH(C452))&amp;IF(WEEKDAY(C452,Inputs!$C$76)&lt;=Inputs!$C$74," weekday"," weekend"),Utility_Rates!$C$28:$F$28,Inputs!$C$68)),"")</f>
      </c>
      <c r="H452" s="34"/>
      <c r="I452" s="42">
        <f>IF(AND(ISNUMBER(D452),ISNUMBER(H452)),D452*H452*Inputs!$C$69,"")</f>
      </c>
      <c r="J452" s="42">
        <f>IF(AND(ISNUMBER(F452),ISNUMBER(H452),F452&gt;=Inputs!$C$68),F452*H452*Inputs!$C$69,"")</f>
      </c>
    </row>
    <row r="453" spans="2:10" ht="15" customHeight="1" x14ac:dyDescent="0.2">
      <c r="B453" s="39">
        <f t="shared" si="2"/>
      </c>
      <c r="C453" s="40">
        <f>IF(Inputs!$C$60,Inputs!$C$11+(B453-Inputs!$C$69)/Inputs!$C$70,"")</f>
      </c>
      <c r="D453" s="15"/>
      <c r="E453" s="15"/>
      <c r="F453" s="11">
        <f t="shared" si="3"/>
      </c>
      <c r="G453" s="22" cm="1">
        <f t="array" ref="G453">IF(AND(Inputs!$C$60,Inputs!$C$61),INDEX(Utility_Rates!$C$29:$F$52,HOUR(C453)+Inputs!$C$69,MATCH(INDEX(Utility_Rates!$K$6:$K$17,MONTH(C453))&amp;IF(WEEKDAY(C453,Inputs!$C$76)&lt;=Inputs!$C$74," weekday"," weekend"),Utility_Rates!$C$28:$F$28,Inputs!$C$68)),"")</f>
      </c>
      <c r="H453" s="34"/>
      <c r="I453" s="42">
        <f>IF(AND(ISNUMBER(D453),ISNUMBER(H453)),D453*H453*Inputs!$C$69,"")</f>
      </c>
      <c r="J453" s="42">
        <f>IF(AND(ISNUMBER(F453),ISNUMBER(H453),F453&gt;=Inputs!$C$68),F453*H453*Inputs!$C$69,"")</f>
      </c>
    </row>
    <row r="454" spans="2:10" ht="15" customHeight="1" x14ac:dyDescent="0.2">
      <c r="B454" s="39">
        <f t="shared" si="2"/>
      </c>
      <c r="C454" s="40">
        <f>IF(Inputs!$C$60,Inputs!$C$11+(B454-Inputs!$C$69)/Inputs!$C$70,"")</f>
      </c>
      <c r="D454" s="15"/>
      <c r="E454" s="15"/>
      <c r="F454" s="11">
        <f t="shared" si="3"/>
      </c>
      <c r="G454" s="22" cm="1">
        <f t="array" ref="G454">IF(AND(Inputs!$C$60,Inputs!$C$61),INDEX(Utility_Rates!$C$29:$F$52,HOUR(C454)+Inputs!$C$69,MATCH(INDEX(Utility_Rates!$K$6:$K$17,MONTH(C454))&amp;IF(WEEKDAY(C454,Inputs!$C$76)&lt;=Inputs!$C$74," weekday"," weekend"),Utility_Rates!$C$28:$F$28,Inputs!$C$68)),"")</f>
      </c>
      <c r="H454" s="34"/>
      <c r="I454" s="42">
        <f>IF(AND(ISNUMBER(D454),ISNUMBER(H454)),D454*H454*Inputs!$C$69,"")</f>
      </c>
      <c r="J454" s="42">
        <f>IF(AND(ISNUMBER(F454),ISNUMBER(H454),F454&gt;=Inputs!$C$68),F454*H454*Inputs!$C$69,"")</f>
      </c>
    </row>
    <row r="455" spans="2:10" ht="15" customHeight="1" x14ac:dyDescent="0.2">
      <c r="B455" s="39">
        <f t="shared" si="2"/>
      </c>
      <c r="C455" s="40">
        <f>IF(Inputs!$C$60,Inputs!$C$11+(B455-Inputs!$C$69)/Inputs!$C$70,"")</f>
      </c>
      <c r="D455" s="15"/>
      <c r="E455" s="15"/>
      <c r="F455" s="11">
        <f t="shared" si="3"/>
      </c>
      <c r="G455" s="22" cm="1">
        <f t="array" ref="G455">IF(AND(Inputs!$C$60,Inputs!$C$61),INDEX(Utility_Rates!$C$29:$F$52,HOUR(C455)+Inputs!$C$69,MATCH(INDEX(Utility_Rates!$K$6:$K$17,MONTH(C455))&amp;IF(WEEKDAY(C455,Inputs!$C$76)&lt;=Inputs!$C$74," weekday"," weekend"),Utility_Rates!$C$28:$F$28,Inputs!$C$68)),"")</f>
      </c>
      <c r="H455" s="34"/>
      <c r="I455" s="42">
        <f>IF(AND(ISNUMBER(D455),ISNUMBER(H455)),D455*H455*Inputs!$C$69,"")</f>
      </c>
      <c r="J455" s="42">
        <f>IF(AND(ISNUMBER(F455),ISNUMBER(H455),F455&gt;=Inputs!$C$68),F455*H455*Inputs!$C$69,"")</f>
      </c>
    </row>
    <row r="456" spans="2:10" ht="15" customHeight="1" x14ac:dyDescent="0.2">
      <c r="B456" s="39">
        <f t="shared" si="2"/>
      </c>
      <c r="C456" s="40">
        <f>IF(Inputs!$C$60,Inputs!$C$11+(B456-Inputs!$C$69)/Inputs!$C$70,"")</f>
      </c>
      <c r="D456" s="15"/>
      <c r="E456" s="15"/>
      <c r="F456" s="11">
        <f t="shared" si="3"/>
      </c>
      <c r="G456" s="22" cm="1">
        <f t="array" ref="G456">IF(AND(Inputs!$C$60,Inputs!$C$61),INDEX(Utility_Rates!$C$29:$F$52,HOUR(C456)+Inputs!$C$69,MATCH(INDEX(Utility_Rates!$K$6:$K$17,MONTH(C456))&amp;IF(WEEKDAY(C456,Inputs!$C$76)&lt;=Inputs!$C$74," weekday"," weekend"),Utility_Rates!$C$28:$F$28,Inputs!$C$68)),"")</f>
      </c>
      <c r="H456" s="34"/>
      <c r="I456" s="42">
        <f>IF(AND(ISNUMBER(D456),ISNUMBER(H456)),D456*H456*Inputs!$C$69,"")</f>
      </c>
      <c r="J456" s="42">
        <f>IF(AND(ISNUMBER(F456),ISNUMBER(H456),F456&gt;=Inputs!$C$68),F456*H456*Inputs!$C$69,"")</f>
      </c>
    </row>
    <row r="457" spans="2:10" ht="15" customHeight="1" x14ac:dyDescent="0.2">
      <c r="B457" s="39">
        <f t="shared" si="2"/>
      </c>
      <c r="C457" s="40">
        <f>IF(Inputs!$C$60,Inputs!$C$11+(B457-Inputs!$C$69)/Inputs!$C$70,"")</f>
      </c>
      <c r="D457" s="15"/>
      <c r="E457" s="15"/>
      <c r="F457" s="11">
        <f t="shared" si="3"/>
      </c>
      <c r="G457" s="22" cm="1">
        <f t="array" ref="G457">IF(AND(Inputs!$C$60,Inputs!$C$61),INDEX(Utility_Rates!$C$29:$F$52,HOUR(C457)+Inputs!$C$69,MATCH(INDEX(Utility_Rates!$K$6:$K$17,MONTH(C457))&amp;IF(WEEKDAY(C457,Inputs!$C$76)&lt;=Inputs!$C$74," weekday"," weekend"),Utility_Rates!$C$28:$F$28,Inputs!$C$68)),"")</f>
      </c>
      <c r="H457" s="34"/>
      <c r="I457" s="42">
        <f>IF(AND(ISNUMBER(D457),ISNUMBER(H457)),D457*H457*Inputs!$C$69,"")</f>
      </c>
      <c r="J457" s="42">
        <f>IF(AND(ISNUMBER(F457),ISNUMBER(H457),F457&gt;=Inputs!$C$68),F457*H457*Inputs!$C$69,"")</f>
      </c>
    </row>
    <row r="458" spans="2:10" ht="15" customHeight="1" x14ac:dyDescent="0.2">
      <c r="B458" s="39">
        <f t="shared" si="2"/>
      </c>
      <c r="C458" s="40">
        <f>IF(Inputs!$C$60,Inputs!$C$11+(B458-Inputs!$C$69)/Inputs!$C$70,"")</f>
      </c>
      <c r="D458" s="15"/>
      <c r="E458" s="15"/>
      <c r="F458" s="11">
        <f t="shared" si="3"/>
      </c>
      <c r="G458" s="22" cm="1">
        <f t="array" ref="G458">IF(AND(Inputs!$C$60,Inputs!$C$61),INDEX(Utility_Rates!$C$29:$F$52,HOUR(C458)+Inputs!$C$69,MATCH(INDEX(Utility_Rates!$K$6:$K$17,MONTH(C458))&amp;IF(WEEKDAY(C458,Inputs!$C$76)&lt;=Inputs!$C$74," weekday"," weekend"),Utility_Rates!$C$28:$F$28,Inputs!$C$68)),"")</f>
      </c>
      <c r="H458" s="34"/>
      <c r="I458" s="42">
        <f>IF(AND(ISNUMBER(D458),ISNUMBER(H458)),D458*H458*Inputs!$C$69,"")</f>
      </c>
      <c r="J458" s="42">
        <f>IF(AND(ISNUMBER(F458),ISNUMBER(H458),F458&gt;=Inputs!$C$68),F458*H458*Inputs!$C$69,"")</f>
      </c>
    </row>
    <row r="459" spans="2:10" ht="15" customHeight="1" x14ac:dyDescent="0.2">
      <c r="B459" s="39">
        <f t="shared" si="2"/>
      </c>
      <c r="C459" s="40">
        <f>IF(Inputs!$C$60,Inputs!$C$11+(B459-Inputs!$C$69)/Inputs!$C$70,"")</f>
      </c>
      <c r="D459" s="15"/>
      <c r="E459" s="15"/>
      <c r="F459" s="11">
        <f t="shared" si="3"/>
      </c>
      <c r="G459" s="22" cm="1">
        <f t="array" ref="G459">IF(AND(Inputs!$C$60,Inputs!$C$61),INDEX(Utility_Rates!$C$29:$F$52,HOUR(C459)+Inputs!$C$69,MATCH(INDEX(Utility_Rates!$K$6:$K$17,MONTH(C459))&amp;IF(WEEKDAY(C459,Inputs!$C$76)&lt;=Inputs!$C$74," weekday"," weekend"),Utility_Rates!$C$28:$F$28,Inputs!$C$68)),"")</f>
      </c>
      <c r="H459" s="34"/>
      <c r="I459" s="42">
        <f>IF(AND(ISNUMBER(D459),ISNUMBER(H459)),D459*H459*Inputs!$C$69,"")</f>
      </c>
      <c r="J459" s="42">
        <f>IF(AND(ISNUMBER(F459),ISNUMBER(H459),F459&gt;=Inputs!$C$68),F459*H459*Inputs!$C$69,"")</f>
      </c>
    </row>
    <row r="460" spans="2:10" ht="15" customHeight="1" x14ac:dyDescent="0.2">
      <c r="B460" s="39">
        <f t="shared" si="2"/>
      </c>
      <c r="C460" s="40">
        <f>IF(Inputs!$C$60,Inputs!$C$11+(B460-Inputs!$C$69)/Inputs!$C$70,"")</f>
      </c>
      <c r="D460" s="15"/>
      <c r="E460" s="15"/>
      <c r="F460" s="11">
        <f t="shared" si="3"/>
      </c>
      <c r="G460" s="22" cm="1">
        <f t="array" ref="G460">IF(AND(Inputs!$C$60,Inputs!$C$61),INDEX(Utility_Rates!$C$29:$F$52,HOUR(C460)+Inputs!$C$69,MATCH(INDEX(Utility_Rates!$K$6:$K$17,MONTH(C460))&amp;IF(WEEKDAY(C460,Inputs!$C$76)&lt;=Inputs!$C$74," weekday"," weekend"),Utility_Rates!$C$28:$F$28,Inputs!$C$68)),"")</f>
      </c>
      <c r="H460" s="34"/>
      <c r="I460" s="42">
        <f>IF(AND(ISNUMBER(D460),ISNUMBER(H460)),D460*H460*Inputs!$C$69,"")</f>
      </c>
      <c r="J460" s="42">
        <f>IF(AND(ISNUMBER(F460),ISNUMBER(H460),F460&gt;=Inputs!$C$68),F460*H460*Inputs!$C$69,"")</f>
      </c>
    </row>
    <row r="461" spans="2:10" ht="15" customHeight="1" x14ac:dyDescent="0.2">
      <c r="B461" s="39">
        <f t="shared" si="2"/>
      </c>
      <c r="C461" s="40">
        <f>IF(Inputs!$C$60,Inputs!$C$11+(B461-Inputs!$C$69)/Inputs!$C$70,"")</f>
      </c>
      <c r="D461" s="15"/>
      <c r="E461" s="15"/>
      <c r="F461" s="11">
        <f t="shared" si="3"/>
      </c>
      <c r="G461" s="22" cm="1">
        <f t="array" ref="G461">IF(AND(Inputs!$C$60,Inputs!$C$61),INDEX(Utility_Rates!$C$29:$F$52,HOUR(C461)+Inputs!$C$69,MATCH(INDEX(Utility_Rates!$K$6:$K$17,MONTH(C461))&amp;IF(WEEKDAY(C461,Inputs!$C$76)&lt;=Inputs!$C$74," weekday"," weekend"),Utility_Rates!$C$28:$F$28,Inputs!$C$68)),"")</f>
      </c>
      <c r="H461" s="34"/>
      <c r="I461" s="42">
        <f>IF(AND(ISNUMBER(D461),ISNUMBER(H461)),D461*H461*Inputs!$C$69,"")</f>
      </c>
      <c r="J461" s="42">
        <f>IF(AND(ISNUMBER(F461),ISNUMBER(H461),F461&gt;=Inputs!$C$68),F461*H461*Inputs!$C$69,"")</f>
      </c>
    </row>
    <row r="462" spans="2:10" ht="15" customHeight="1" x14ac:dyDescent="0.2">
      <c r="B462" s="39">
        <f t="shared" si="2"/>
      </c>
      <c r="C462" s="40">
        <f>IF(Inputs!$C$60,Inputs!$C$11+(B462-Inputs!$C$69)/Inputs!$C$70,"")</f>
      </c>
      <c r="D462" s="15"/>
      <c r="E462" s="15"/>
      <c r="F462" s="11">
        <f t="shared" si="3"/>
      </c>
      <c r="G462" s="22" cm="1">
        <f t="array" ref="G462">IF(AND(Inputs!$C$60,Inputs!$C$61),INDEX(Utility_Rates!$C$29:$F$52,HOUR(C462)+Inputs!$C$69,MATCH(INDEX(Utility_Rates!$K$6:$K$17,MONTH(C462))&amp;IF(WEEKDAY(C462,Inputs!$C$76)&lt;=Inputs!$C$74," weekday"," weekend"),Utility_Rates!$C$28:$F$28,Inputs!$C$68)),"")</f>
      </c>
      <c r="H462" s="34"/>
      <c r="I462" s="42">
        <f>IF(AND(ISNUMBER(D462),ISNUMBER(H462)),D462*H462*Inputs!$C$69,"")</f>
      </c>
      <c r="J462" s="42">
        <f>IF(AND(ISNUMBER(F462),ISNUMBER(H462),F462&gt;=Inputs!$C$68),F462*H462*Inputs!$C$69,"")</f>
      </c>
    </row>
    <row r="463" spans="2:10" ht="15" customHeight="1" x14ac:dyDescent="0.2">
      <c r="B463" s="39">
        <f t="shared" si="2"/>
      </c>
      <c r="C463" s="40">
        <f>IF(Inputs!$C$60,Inputs!$C$11+(B463-Inputs!$C$69)/Inputs!$C$70,"")</f>
      </c>
      <c r="D463" s="15"/>
      <c r="E463" s="15"/>
      <c r="F463" s="11">
        <f t="shared" si="3"/>
      </c>
      <c r="G463" s="22" cm="1">
        <f t="array" ref="G463">IF(AND(Inputs!$C$60,Inputs!$C$61),INDEX(Utility_Rates!$C$29:$F$52,HOUR(C463)+Inputs!$C$69,MATCH(INDEX(Utility_Rates!$K$6:$K$17,MONTH(C463))&amp;IF(WEEKDAY(C463,Inputs!$C$76)&lt;=Inputs!$C$74," weekday"," weekend"),Utility_Rates!$C$28:$F$28,Inputs!$C$68)),"")</f>
      </c>
      <c r="H463" s="34"/>
      <c r="I463" s="42">
        <f>IF(AND(ISNUMBER(D463),ISNUMBER(H463)),D463*H463*Inputs!$C$69,"")</f>
      </c>
      <c r="J463" s="42">
        <f>IF(AND(ISNUMBER(F463),ISNUMBER(H463),F463&gt;=Inputs!$C$68),F463*H463*Inputs!$C$69,"")</f>
      </c>
    </row>
    <row r="464" spans="2:10" ht="15" customHeight="1" x14ac:dyDescent="0.2">
      <c r="B464" s="39">
        <f t="shared" si="2"/>
      </c>
      <c r="C464" s="40">
        <f>IF(Inputs!$C$60,Inputs!$C$11+(B464-Inputs!$C$69)/Inputs!$C$70,"")</f>
      </c>
      <c r="D464" s="15"/>
      <c r="E464" s="15"/>
      <c r="F464" s="11">
        <f t="shared" si="3"/>
      </c>
      <c r="G464" s="22" cm="1">
        <f t="array" ref="G464">IF(AND(Inputs!$C$60,Inputs!$C$61),INDEX(Utility_Rates!$C$29:$F$52,HOUR(C464)+Inputs!$C$69,MATCH(INDEX(Utility_Rates!$K$6:$K$17,MONTH(C464))&amp;IF(WEEKDAY(C464,Inputs!$C$76)&lt;=Inputs!$C$74," weekday"," weekend"),Utility_Rates!$C$28:$F$28,Inputs!$C$68)),"")</f>
      </c>
      <c r="H464" s="34"/>
      <c r="I464" s="42">
        <f>IF(AND(ISNUMBER(D464),ISNUMBER(H464)),D464*H464*Inputs!$C$69,"")</f>
      </c>
      <c r="J464" s="42">
        <f>IF(AND(ISNUMBER(F464),ISNUMBER(H464),F464&gt;=Inputs!$C$68),F464*H464*Inputs!$C$69,"")</f>
      </c>
    </row>
    <row r="465" spans="2:10" ht="15" customHeight="1" x14ac:dyDescent="0.2">
      <c r="B465" s="39">
        <f t="shared" si="2"/>
      </c>
      <c r="C465" s="40">
        <f>IF(Inputs!$C$60,Inputs!$C$11+(B465-Inputs!$C$69)/Inputs!$C$70,"")</f>
      </c>
      <c r="D465" s="15"/>
      <c r="E465" s="15"/>
      <c r="F465" s="11">
        <f t="shared" si="3"/>
      </c>
      <c r="G465" s="22" cm="1">
        <f t="array" ref="G465">IF(AND(Inputs!$C$60,Inputs!$C$61),INDEX(Utility_Rates!$C$29:$F$52,HOUR(C465)+Inputs!$C$69,MATCH(INDEX(Utility_Rates!$K$6:$K$17,MONTH(C465))&amp;IF(WEEKDAY(C465,Inputs!$C$76)&lt;=Inputs!$C$74," weekday"," weekend"),Utility_Rates!$C$28:$F$28,Inputs!$C$68)),"")</f>
      </c>
      <c r="H465" s="34"/>
      <c r="I465" s="42">
        <f>IF(AND(ISNUMBER(D465),ISNUMBER(H465)),D465*H465*Inputs!$C$69,"")</f>
      </c>
      <c r="J465" s="42">
        <f>IF(AND(ISNUMBER(F465),ISNUMBER(H465),F465&gt;=Inputs!$C$68),F465*H465*Inputs!$C$69,"")</f>
      </c>
    </row>
    <row r="466" spans="2:10" ht="15" customHeight="1" x14ac:dyDescent="0.2">
      <c r="B466" s="39">
        <f t="shared" si="2"/>
      </c>
      <c r="C466" s="40">
        <f>IF(Inputs!$C$60,Inputs!$C$11+(B466-Inputs!$C$69)/Inputs!$C$70,"")</f>
      </c>
      <c r="D466" s="15"/>
      <c r="E466" s="15"/>
      <c r="F466" s="11">
        <f t="shared" si="3"/>
      </c>
      <c r="G466" s="22" cm="1">
        <f t="array" ref="G466">IF(AND(Inputs!$C$60,Inputs!$C$61),INDEX(Utility_Rates!$C$29:$F$52,HOUR(C466)+Inputs!$C$69,MATCH(INDEX(Utility_Rates!$K$6:$K$17,MONTH(C466))&amp;IF(WEEKDAY(C466,Inputs!$C$76)&lt;=Inputs!$C$74," weekday"," weekend"),Utility_Rates!$C$28:$F$28,Inputs!$C$68)),"")</f>
      </c>
      <c r="H466" s="34"/>
      <c r="I466" s="42">
        <f>IF(AND(ISNUMBER(D466),ISNUMBER(H466)),D466*H466*Inputs!$C$69,"")</f>
      </c>
      <c r="J466" s="42">
        <f>IF(AND(ISNUMBER(F466),ISNUMBER(H466),F466&gt;=Inputs!$C$68),F466*H466*Inputs!$C$69,"")</f>
      </c>
    </row>
    <row r="467" spans="2:10" ht="15" customHeight="1" x14ac:dyDescent="0.2">
      <c r="B467" s="39">
        <f t="shared" si="2"/>
      </c>
      <c r="C467" s="40">
        <f>IF(Inputs!$C$60,Inputs!$C$11+(B467-Inputs!$C$69)/Inputs!$C$70,"")</f>
      </c>
      <c r="D467" s="15"/>
      <c r="E467" s="15"/>
      <c r="F467" s="11">
        <f t="shared" si="3"/>
      </c>
      <c r="G467" s="22" cm="1">
        <f t="array" ref="G467">IF(AND(Inputs!$C$60,Inputs!$C$61),INDEX(Utility_Rates!$C$29:$F$52,HOUR(C467)+Inputs!$C$69,MATCH(INDEX(Utility_Rates!$K$6:$K$17,MONTH(C467))&amp;IF(WEEKDAY(C467,Inputs!$C$76)&lt;=Inputs!$C$74," weekday"," weekend"),Utility_Rates!$C$28:$F$28,Inputs!$C$68)),"")</f>
      </c>
      <c r="H467" s="34"/>
      <c r="I467" s="42">
        <f>IF(AND(ISNUMBER(D467),ISNUMBER(H467)),D467*H467*Inputs!$C$69,"")</f>
      </c>
      <c r="J467" s="42">
        <f>IF(AND(ISNUMBER(F467),ISNUMBER(H467),F467&gt;=Inputs!$C$68),F467*H467*Inputs!$C$69,"")</f>
      </c>
    </row>
    <row r="468" spans="2:10" ht="15" customHeight="1" x14ac:dyDescent="0.2">
      <c r="B468" s="39">
        <f t="shared" si="2"/>
      </c>
      <c r="C468" s="40">
        <f>IF(Inputs!$C$60,Inputs!$C$11+(B468-Inputs!$C$69)/Inputs!$C$70,"")</f>
      </c>
      <c r="D468" s="15"/>
      <c r="E468" s="15"/>
      <c r="F468" s="11">
        <f t="shared" si="3"/>
      </c>
      <c r="G468" s="22" cm="1">
        <f t="array" ref="G468">IF(AND(Inputs!$C$60,Inputs!$C$61),INDEX(Utility_Rates!$C$29:$F$52,HOUR(C468)+Inputs!$C$69,MATCH(INDEX(Utility_Rates!$K$6:$K$17,MONTH(C468))&amp;IF(WEEKDAY(C468,Inputs!$C$76)&lt;=Inputs!$C$74," weekday"," weekend"),Utility_Rates!$C$28:$F$28,Inputs!$C$68)),"")</f>
      </c>
      <c r="H468" s="34"/>
      <c r="I468" s="42">
        <f>IF(AND(ISNUMBER(D468),ISNUMBER(H468)),D468*H468*Inputs!$C$69,"")</f>
      </c>
      <c r="J468" s="42">
        <f>IF(AND(ISNUMBER(F468),ISNUMBER(H468),F468&gt;=Inputs!$C$68),F468*H468*Inputs!$C$69,"")</f>
      </c>
    </row>
    <row r="469" spans="2:10" ht="15" customHeight="1" x14ac:dyDescent="0.2">
      <c r="B469" s="39">
        <f t="shared" si="2"/>
      </c>
      <c r="C469" s="40">
        <f>IF(Inputs!$C$60,Inputs!$C$11+(B469-Inputs!$C$69)/Inputs!$C$70,"")</f>
      </c>
      <c r="D469" s="15"/>
      <c r="E469" s="15"/>
      <c r="F469" s="11">
        <f t="shared" si="3"/>
      </c>
      <c r="G469" s="22" cm="1">
        <f t="array" ref="G469">IF(AND(Inputs!$C$60,Inputs!$C$61),INDEX(Utility_Rates!$C$29:$F$52,HOUR(C469)+Inputs!$C$69,MATCH(INDEX(Utility_Rates!$K$6:$K$17,MONTH(C469))&amp;IF(WEEKDAY(C469,Inputs!$C$76)&lt;=Inputs!$C$74," weekday"," weekend"),Utility_Rates!$C$28:$F$28,Inputs!$C$68)),"")</f>
      </c>
      <c r="H469" s="34"/>
      <c r="I469" s="42">
        <f>IF(AND(ISNUMBER(D469),ISNUMBER(H469)),D469*H469*Inputs!$C$69,"")</f>
      </c>
      <c r="J469" s="42">
        <f>IF(AND(ISNUMBER(F469),ISNUMBER(H469),F469&gt;=Inputs!$C$68),F469*H469*Inputs!$C$69,"")</f>
      </c>
    </row>
    <row r="470" spans="2:10" ht="15" customHeight="1" x14ac:dyDescent="0.2">
      <c r="B470" s="39">
        <f t="shared" si="2"/>
      </c>
      <c r="C470" s="40">
        <f>IF(Inputs!$C$60,Inputs!$C$11+(B470-Inputs!$C$69)/Inputs!$C$70,"")</f>
      </c>
      <c r="D470" s="15"/>
      <c r="E470" s="15"/>
      <c r="F470" s="11">
        <f t="shared" si="3"/>
      </c>
      <c r="G470" s="22" cm="1">
        <f t="array" ref="G470">IF(AND(Inputs!$C$60,Inputs!$C$61),INDEX(Utility_Rates!$C$29:$F$52,HOUR(C470)+Inputs!$C$69,MATCH(INDEX(Utility_Rates!$K$6:$K$17,MONTH(C470))&amp;IF(WEEKDAY(C470,Inputs!$C$76)&lt;=Inputs!$C$74," weekday"," weekend"),Utility_Rates!$C$28:$F$28,Inputs!$C$68)),"")</f>
      </c>
      <c r="H470" s="34"/>
      <c r="I470" s="42">
        <f>IF(AND(ISNUMBER(D470),ISNUMBER(H470)),D470*H470*Inputs!$C$69,"")</f>
      </c>
      <c r="J470" s="42">
        <f>IF(AND(ISNUMBER(F470),ISNUMBER(H470),F470&gt;=Inputs!$C$68),F470*H470*Inputs!$C$69,"")</f>
      </c>
    </row>
    <row r="471" spans="2:10" ht="15" customHeight="1" x14ac:dyDescent="0.2">
      <c r="B471" s="39">
        <f t="shared" si="2"/>
      </c>
      <c r="C471" s="40">
        <f>IF(Inputs!$C$60,Inputs!$C$11+(B471-Inputs!$C$69)/Inputs!$C$70,"")</f>
      </c>
      <c r="D471" s="15"/>
      <c r="E471" s="15"/>
      <c r="F471" s="11">
        <f t="shared" si="3"/>
      </c>
      <c r="G471" s="22" cm="1">
        <f t="array" ref="G471">IF(AND(Inputs!$C$60,Inputs!$C$61),INDEX(Utility_Rates!$C$29:$F$52,HOUR(C471)+Inputs!$C$69,MATCH(INDEX(Utility_Rates!$K$6:$K$17,MONTH(C471))&amp;IF(WEEKDAY(C471,Inputs!$C$76)&lt;=Inputs!$C$74," weekday"," weekend"),Utility_Rates!$C$28:$F$28,Inputs!$C$68)),"")</f>
      </c>
      <c r="H471" s="34"/>
      <c r="I471" s="42">
        <f>IF(AND(ISNUMBER(D471),ISNUMBER(H471)),D471*H471*Inputs!$C$69,"")</f>
      </c>
      <c r="J471" s="42">
        <f>IF(AND(ISNUMBER(F471),ISNUMBER(H471),F471&gt;=Inputs!$C$68),F471*H471*Inputs!$C$69,"")</f>
      </c>
    </row>
    <row r="472" spans="2:10" ht="15" customHeight="1" x14ac:dyDescent="0.2">
      <c r="B472" s="39">
        <f t="shared" si="2"/>
      </c>
      <c r="C472" s="40">
        <f>IF(Inputs!$C$60,Inputs!$C$11+(B472-Inputs!$C$69)/Inputs!$C$70,"")</f>
      </c>
      <c r="D472" s="15"/>
      <c r="E472" s="15"/>
      <c r="F472" s="11">
        <f t="shared" si="3"/>
      </c>
      <c r="G472" s="22" cm="1">
        <f t="array" ref="G472">IF(AND(Inputs!$C$60,Inputs!$C$61),INDEX(Utility_Rates!$C$29:$F$52,HOUR(C472)+Inputs!$C$69,MATCH(INDEX(Utility_Rates!$K$6:$K$17,MONTH(C472))&amp;IF(WEEKDAY(C472,Inputs!$C$76)&lt;=Inputs!$C$74," weekday"," weekend"),Utility_Rates!$C$28:$F$28,Inputs!$C$68)),"")</f>
      </c>
      <c r="H472" s="34"/>
      <c r="I472" s="42">
        <f>IF(AND(ISNUMBER(D472),ISNUMBER(H472)),D472*H472*Inputs!$C$69,"")</f>
      </c>
      <c r="J472" s="42">
        <f>IF(AND(ISNUMBER(F472),ISNUMBER(H472),F472&gt;=Inputs!$C$68),F472*H472*Inputs!$C$69,"")</f>
      </c>
    </row>
    <row r="473" spans="2:10" ht="15" customHeight="1" x14ac:dyDescent="0.2">
      <c r="B473" s="39">
        <f t="shared" si="2"/>
      </c>
      <c r="C473" s="40">
        <f>IF(Inputs!$C$60,Inputs!$C$11+(B473-Inputs!$C$69)/Inputs!$C$70,"")</f>
      </c>
      <c r="D473" s="15"/>
      <c r="E473" s="15"/>
      <c r="F473" s="11">
        <f t="shared" si="3"/>
      </c>
      <c r="G473" s="22" cm="1">
        <f t="array" ref="G473">IF(AND(Inputs!$C$60,Inputs!$C$61),INDEX(Utility_Rates!$C$29:$F$52,HOUR(C473)+Inputs!$C$69,MATCH(INDEX(Utility_Rates!$K$6:$K$17,MONTH(C473))&amp;IF(WEEKDAY(C473,Inputs!$C$76)&lt;=Inputs!$C$74," weekday"," weekend"),Utility_Rates!$C$28:$F$28,Inputs!$C$68)),"")</f>
      </c>
      <c r="H473" s="34"/>
      <c r="I473" s="42">
        <f>IF(AND(ISNUMBER(D473),ISNUMBER(H473)),D473*H473*Inputs!$C$69,"")</f>
      </c>
      <c r="J473" s="42">
        <f>IF(AND(ISNUMBER(F473),ISNUMBER(H473),F473&gt;=Inputs!$C$68),F473*H473*Inputs!$C$69,"")</f>
      </c>
    </row>
    <row r="474" spans="2:10" ht="15" customHeight="1" x14ac:dyDescent="0.2">
      <c r="B474" s="39">
        <f t="shared" si="2"/>
      </c>
      <c r="C474" s="40">
        <f>IF(Inputs!$C$60,Inputs!$C$11+(B474-Inputs!$C$69)/Inputs!$C$70,"")</f>
      </c>
      <c r="D474" s="15"/>
      <c r="E474" s="15"/>
      <c r="F474" s="11">
        <f t="shared" si="3"/>
      </c>
      <c r="G474" s="22" cm="1">
        <f t="array" ref="G474">IF(AND(Inputs!$C$60,Inputs!$C$61),INDEX(Utility_Rates!$C$29:$F$52,HOUR(C474)+Inputs!$C$69,MATCH(INDEX(Utility_Rates!$K$6:$K$17,MONTH(C474))&amp;IF(WEEKDAY(C474,Inputs!$C$76)&lt;=Inputs!$C$74," weekday"," weekend"),Utility_Rates!$C$28:$F$28,Inputs!$C$68)),"")</f>
      </c>
      <c r="H474" s="34"/>
      <c r="I474" s="42">
        <f>IF(AND(ISNUMBER(D474),ISNUMBER(H474)),D474*H474*Inputs!$C$69,"")</f>
      </c>
      <c r="J474" s="42">
        <f>IF(AND(ISNUMBER(F474),ISNUMBER(H474),F474&gt;=Inputs!$C$68),F474*H474*Inputs!$C$69,"")</f>
      </c>
    </row>
    <row r="475" spans="2:10" ht="15" customHeight="1" x14ac:dyDescent="0.2">
      <c r="B475" s="39">
        <f t="shared" si="2"/>
      </c>
      <c r="C475" s="40">
        <f>IF(Inputs!$C$60,Inputs!$C$11+(B475-Inputs!$C$69)/Inputs!$C$70,"")</f>
      </c>
      <c r="D475" s="15"/>
      <c r="E475" s="15"/>
      <c r="F475" s="11">
        <f t="shared" si="3"/>
      </c>
      <c r="G475" s="22" cm="1">
        <f t="array" ref="G475">IF(AND(Inputs!$C$60,Inputs!$C$61),INDEX(Utility_Rates!$C$29:$F$52,HOUR(C475)+Inputs!$C$69,MATCH(INDEX(Utility_Rates!$K$6:$K$17,MONTH(C475))&amp;IF(WEEKDAY(C475,Inputs!$C$76)&lt;=Inputs!$C$74," weekday"," weekend"),Utility_Rates!$C$28:$F$28,Inputs!$C$68)),"")</f>
      </c>
      <c r="H475" s="34"/>
      <c r="I475" s="42">
        <f>IF(AND(ISNUMBER(D475),ISNUMBER(H475)),D475*H475*Inputs!$C$69,"")</f>
      </c>
      <c r="J475" s="42">
        <f>IF(AND(ISNUMBER(F475),ISNUMBER(H475),F475&gt;=Inputs!$C$68),F475*H475*Inputs!$C$69,"")</f>
      </c>
    </row>
    <row r="476" spans="2:10" ht="15" customHeight="1" x14ac:dyDescent="0.2">
      <c r="B476" s="39">
        <f t="shared" si="2"/>
      </c>
      <c r="C476" s="40">
        <f>IF(Inputs!$C$60,Inputs!$C$11+(B476-Inputs!$C$69)/Inputs!$C$70,"")</f>
      </c>
      <c r="D476" s="15"/>
      <c r="E476" s="15"/>
      <c r="F476" s="11">
        <f t="shared" si="3"/>
      </c>
      <c r="G476" s="22" cm="1">
        <f t="array" ref="G476">IF(AND(Inputs!$C$60,Inputs!$C$61),INDEX(Utility_Rates!$C$29:$F$52,HOUR(C476)+Inputs!$C$69,MATCH(INDEX(Utility_Rates!$K$6:$K$17,MONTH(C476))&amp;IF(WEEKDAY(C476,Inputs!$C$76)&lt;=Inputs!$C$74," weekday"," weekend"),Utility_Rates!$C$28:$F$28,Inputs!$C$68)),"")</f>
      </c>
      <c r="H476" s="34"/>
      <c r="I476" s="42">
        <f>IF(AND(ISNUMBER(D476),ISNUMBER(H476)),D476*H476*Inputs!$C$69,"")</f>
      </c>
      <c r="J476" s="42">
        <f>IF(AND(ISNUMBER(F476),ISNUMBER(H476),F476&gt;=Inputs!$C$68),F476*H476*Inputs!$C$69,"")</f>
      </c>
    </row>
    <row r="477" spans="2:10" ht="15" customHeight="1" x14ac:dyDescent="0.2">
      <c r="B477" s="39">
        <f t="shared" si="2"/>
      </c>
      <c r="C477" s="40">
        <f>IF(Inputs!$C$60,Inputs!$C$11+(B477-Inputs!$C$69)/Inputs!$C$70,"")</f>
      </c>
      <c r="D477" s="15"/>
      <c r="E477" s="15"/>
      <c r="F477" s="11">
        <f t="shared" si="3"/>
      </c>
      <c r="G477" s="22" cm="1">
        <f t="array" ref="G477">IF(AND(Inputs!$C$60,Inputs!$C$61),INDEX(Utility_Rates!$C$29:$F$52,HOUR(C477)+Inputs!$C$69,MATCH(INDEX(Utility_Rates!$K$6:$K$17,MONTH(C477))&amp;IF(WEEKDAY(C477,Inputs!$C$76)&lt;=Inputs!$C$74," weekday"," weekend"),Utility_Rates!$C$28:$F$28,Inputs!$C$68)),"")</f>
      </c>
      <c r="H477" s="34"/>
      <c r="I477" s="42">
        <f>IF(AND(ISNUMBER(D477),ISNUMBER(H477)),D477*H477*Inputs!$C$69,"")</f>
      </c>
      <c r="J477" s="42">
        <f>IF(AND(ISNUMBER(F477),ISNUMBER(H477),F477&gt;=Inputs!$C$68),F477*H477*Inputs!$C$69,"")</f>
      </c>
    </row>
    <row r="478" spans="2:10" ht="15" customHeight="1" x14ac:dyDescent="0.2">
      <c r="B478" s="39">
        <f t="shared" si="2"/>
      </c>
      <c r="C478" s="40">
        <f>IF(Inputs!$C$60,Inputs!$C$11+(B478-Inputs!$C$69)/Inputs!$C$70,"")</f>
      </c>
      <c r="D478" s="15"/>
      <c r="E478" s="15"/>
      <c r="F478" s="11">
        <f t="shared" si="3"/>
      </c>
      <c r="G478" s="22" cm="1">
        <f t="array" ref="G478">IF(AND(Inputs!$C$60,Inputs!$C$61),INDEX(Utility_Rates!$C$29:$F$52,HOUR(C478)+Inputs!$C$69,MATCH(INDEX(Utility_Rates!$K$6:$K$17,MONTH(C478))&amp;IF(WEEKDAY(C478,Inputs!$C$76)&lt;=Inputs!$C$74," weekday"," weekend"),Utility_Rates!$C$28:$F$28,Inputs!$C$68)),"")</f>
      </c>
      <c r="H478" s="34"/>
      <c r="I478" s="42">
        <f>IF(AND(ISNUMBER(D478),ISNUMBER(H478)),D478*H478*Inputs!$C$69,"")</f>
      </c>
      <c r="J478" s="42">
        <f>IF(AND(ISNUMBER(F478),ISNUMBER(H478),F478&gt;=Inputs!$C$68),F478*H478*Inputs!$C$69,"")</f>
      </c>
    </row>
    <row r="479" spans="2:10" ht="15" customHeight="1" x14ac:dyDescent="0.2">
      <c r="B479" s="39">
        <f t="shared" si="2"/>
      </c>
      <c r="C479" s="40">
        <f>IF(Inputs!$C$60,Inputs!$C$11+(B479-Inputs!$C$69)/Inputs!$C$70,"")</f>
      </c>
      <c r="D479" s="15"/>
      <c r="E479" s="15"/>
      <c r="F479" s="11">
        <f t="shared" si="3"/>
      </c>
      <c r="G479" s="22" cm="1">
        <f t="array" ref="G479">IF(AND(Inputs!$C$60,Inputs!$C$61),INDEX(Utility_Rates!$C$29:$F$52,HOUR(C479)+Inputs!$C$69,MATCH(INDEX(Utility_Rates!$K$6:$K$17,MONTH(C479))&amp;IF(WEEKDAY(C479,Inputs!$C$76)&lt;=Inputs!$C$74," weekday"," weekend"),Utility_Rates!$C$28:$F$28,Inputs!$C$68)),"")</f>
      </c>
      <c r="H479" s="34"/>
      <c r="I479" s="42">
        <f>IF(AND(ISNUMBER(D479),ISNUMBER(H479)),D479*H479*Inputs!$C$69,"")</f>
      </c>
      <c r="J479" s="42">
        <f>IF(AND(ISNUMBER(F479),ISNUMBER(H479),F479&gt;=Inputs!$C$68),F479*H479*Inputs!$C$69,"")</f>
      </c>
    </row>
    <row r="480" spans="2:10" ht="15" customHeight="1" x14ac:dyDescent="0.2">
      <c r="B480" s="39">
        <f t="shared" si="2"/>
      </c>
      <c r="C480" s="40">
        <f>IF(Inputs!$C$60,Inputs!$C$11+(B480-Inputs!$C$69)/Inputs!$C$70,"")</f>
      </c>
      <c r="D480" s="15"/>
      <c r="E480" s="15"/>
      <c r="F480" s="11">
        <f t="shared" si="3"/>
      </c>
      <c r="G480" s="22" cm="1">
        <f t="array" ref="G480">IF(AND(Inputs!$C$60,Inputs!$C$61),INDEX(Utility_Rates!$C$29:$F$52,HOUR(C480)+Inputs!$C$69,MATCH(INDEX(Utility_Rates!$K$6:$K$17,MONTH(C480))&amp;IF(WEEKDAY(C480,Inputs!$C$76)&lt;=Inputs!$C$74," weekday"," weekend"),Utility_Rates!$C$28:$F$28,Inputs!$C$68)),"")</f>
      </c>
      <c r="H480" s="34"/>
      <c r="I480" s="42">
        <f>IF(AND(ISNUMBER(D480),ISNUMBER(H480)),D480*H480*Inputs!$C$69,"")</f>
      </c>
      <c r="J480" s="42">
        <f>IF(AND(ISNUMBER(F480),ISNUMBER(H480),F480&gt;=Inputs!$C$68),F480*H480*Inputs!$C$69,"")</f>
      </c>
    </row>
    <row r="481" spans="2:10" ht="15" customHeight="1" x14ac:dyDescent="0.2">
      <c r="B481" s="39">
        <f t="shared" si="2"/>
      </c>
      <c r="C481" s="40">
        <f>IF(Inputs!$C$60,Inputs!$C$11+(B481-Inputs!$C$69)/Inputs!$C$70,"")</f>
      </c>
      <c r="D481" s="15"/>
      <c r="E481" s="15"/>
      <c r="F481" s="11">
        <f t="shared" si="3"/>
      </c>
      <c r="G481" s="22" cm="1">
        <f t="array" ref="G481">IF(AND(Inputs!$C$60,Inputs!$C$61),INDEX(Utility_Rates!$C$29:$F$52,HOUR(C481)+Inputs!$C$69,MATCH(INDEX(Utility_Rates!$K$6:$K$17,MONTH(C481))&amp;IF(WEEKDAY(C481,Inputs!$C$76)&lt;=Inputs!$C$74," weekday"," weekend"),Utility_Rates!$C$28:$F$28,Inputs!$C$68)),"")</f>
      </c>
      <c r="H481" s="34"/>
      <c r="I481" s="42">
        <f>IF(AND(ISNUMBER(D481),ISNUMBER(H481)),D481*H481*Inputs!$C$69,"")</f>
      </c>
      <c r="J481" s="42">
        <f>IF(AND(ISNUMBER(F481),ISNUMBER(H481),F481&gt;=Inputs!$C$68),F481*H481*Inputs!$C$69,"")</f>
      </c>
    </row>
    <row r="482" spans="2:10" ht="15" customHeight="1" x14ac:dyDescent="0.2">
      <c r="B482" s="39">
        <f t="shared" si="2"/>
      </c>
      <c r="C482" s="40">
        <f>IF(Inputs!$C$60,Inputs!$C$11+(B482-Inputs!$C$69)/Inputs!$C$70,"")</f>
      </c>
      <c r="D482" s="15"/>
      <c r="E482" s="15"/>
      <c r="F482" s="11">
        <f t="shared" si="3"/>
      </c>
      <c r="G482" s="22" cm="1">
        <f t="array" ref="G482">IF(AND(Inputs!$C$60,Inputs!$C$61),INDEX(Utility_Rates!$C$29:$F$52,HOUR(C482)+Inputs!$C$69,MATCH(INDEX(Utility_Rates!$K$6:$K$17,MONTH(C482))&amp;IF(WEEKDAY(C482,Inputs!$C$76)&lt;=Inputs!$C$74," weekday"," weekend"),Utility_Rates!$C$28:$F$28,Inputs!$C$68)),"")</f>
      </c>
      <c r="H482" s="34"/>
      <c r="I482" s="42">
        <f>IF(AND(ISNUMBER(D482),ISNUMBER(H482)),D482*H482*Inputs!$C$69,"")</f>
      </c>
      <c r="J482" s="42">
        <f>IF(AND(ISNUMBER(F482),ISNUMBER(H482),F482&gt;=Inputs!$C$68),F482*H482*Inputs!$C$69,"")</f>
      </c>
    </row>
    <row r="483" spans="2:10" ht="15" customHeight="1" x14ac:dyDescent="0.2">
      <c r="B483" s="39">
        <f t="shared" si="2"/>
      </c>
      <c r="C483" s="40">
        <f>IF(Inputs!$C$60,Inputs!$C$11+(B483-Inputs!$C$69)/Inputs!$C$70,"")</f>
      </c>
      <c r="D483" s="15"/>
      <c r="E483" s="15"/>
      <c r="F483" s="11">
        <f t="shared" si="3"/>
      </c>
      <c r="G483" s="22" cm="1">
        <f t="array" ref="G483">IF(AND(Inputs!$C$60,Inputs!$C$61),INDEX(Utility_Rates!$C$29:$F$52,HOUR(C483)+Inputs!$C$69,MATCH(INDEX(Utility_Rates!$K$6:$K$17,MONTH(C483))&amp;IF(WEEKDAY(C483,Inputs!$C$76)&lt;=Inputs!$C$74," weekday"," weekend"),Utility_Rates!$C$28:$F$28,Inputs!$C$68)),"")</f>
      </c>
      <c r="H483" s="34"/>
      <c r="I483" s="42">
        <f>IF(AND(ISNUMBER(D483),ISNUMBER(H483)),D483*H483*Inputs!$C$69,"")</f>
      </c>
      <c r="J483" s="42">
        <f>IF(AND(ISNUMBER(F483),ISNUMBER(H483),F483&gt;=Inputs!$C$68),F483*H483*Inputs!$C$69,"")</f>
      </c>
    </row>
    <row r="484" spans="2:10" ht="15" customHeight="1" x14ac:dyDescent="0.2">
      <c r="B484" s="39">
        <f t="shared" si="2"/>
      </c>
      <c r="C484" s="40">
        <f>IF(Inputs!$C$60,Inputs!$C$11+(B484-Inputs!$C$69)/Inputs!$C$70,"")</f>
      </c>
      <c r="D484" s="15"/>
      <c r="E484" s="15"/>
      <c r="F484" s="11">
        <f t="shared" si="3"/>
      </c>
      <c r="G484" s="22" cm="1">
        <f t="array" ref="G484">IF(AND(Inputs!$C$60,Inputs!$C$61),INDEX(Utility_Rates!$C$29:$F$52,HOUR(C484)+Inputs!$C$69,MATCH(INDEX(Utility_Rates!$K$6:$K$17,MONTH(C484))&amp;IF(WEEKDAY(C484,Inputs!$C$76)&lt;=Inputs!$C$74," weekday"," weekend"),Utility_Rates!$C$28:$F$28,Inputs!$C$68)),"")</f>
      </c>
      <c r="H484" s="34"/>
      <c r="I484" s="42">
        <f>IF(AND(ISNUMBER(D484),ISNUMBER(H484)),D484*H484*Inputs!$C$69,"")</f>
      </c>
      <c r="J484" s="42">
        <f>IF(AND(ISNUMBER(F484),ISNUMBER(H484),F484&gt;=Inputs!$C$68),F484*H484*Inputs!$C$69,"")</f>
      </c>
    </row>
    <row r="485" spans="2:10" ht="15" customHeight="1" x14ac:dyDescent="0.2">
      <c r="B485" s="39">
        <f t="shared" si="2"/>
      </c>
      <c r="C485" s="40">
        <f>IF(Inputs!$C$60,Inputs!$C$11+(B485-Inputs!$C$69)/Inputs!$C$70,"")</f>
      </c>
      <c r="D485" s="15"/>
      <c r="E485" s="15"/>
      <c r="F485" s="11">
        <f t="shared" si="3"/>
      </c>
      <c r="G485" s="22" cm="1">
        <f t="array" ref="G485">IF(AND(Inputs!$C$60,Inputs!$C$61),INDEX(Utility_Rates!$C$29:$F$52,HOUR(C485)+Inputs!$C$69,MATCH(INDEX(Utility_Rates!$K$6:$K$17,MONTH(C485))&amp;IF(WEEKDAY(C485,Inputs!$C$76)&lt;=Inputs!$C$74," weekday"," weekend"),Utility_Rates!$C$28:$F$28,Inputs!$C$68)),"")</f>
      </c>
      <c r="H485" s="34"/>
      <c r="I485" s="42">
        <f>IF(AND(ISNUMBER(D485),ISNUMBER(H485)),D485*H485*Inputs!$C$69,"")</f>
      </c>
      <c r="J485" s="42">
        <f>IF(AND(ISNUMBER(F485),ISNUMBER(H485),F485&gt;=Inputs!$C$68),F485*H485*Inputs!$C$69,"")</f>
      </c>
    </row>
    <row r="486" spans="2:10" ht="15" customHeight="1" x14ac:dyDescent="0.2">
      <c r="B486" s="39">
        <f t="shared" si="2"/>
      </c>
      <c r="C486" s="40">
        <f>IF(Inputs!$C$60,Inputs!$C$11+(B486-Inputs!$C$69)/Inputs!$C$70,"")</f>
      </c>
      <c r="D486" s="15"/>
      <c r="E486" s="15"/>
      <c r="F486" s="11">
        <f t="shared" si="3"/>
      </c>
      <c r="G486" s="22" cm="1">
        <f t="array" ref="G486">IF(AND(Inputs!$C$60,Inputs!$C$61),INDEX(Utility_Rates!$C$29:$F$52,HOUR(C486)+Inputs!$C$69,MATCH(INDEX(Utility_Rates!$K$6:$K$17,MONTH(C486))&amp;IF(WEEKDAY(C486,Inputs!$C$76)&lt;=Inputs!$C$74," weekday"," weekend"),Utility_Rates!$C$28:$F$28,Inputs!$C$68)),"")</f>
      </c>
      <c r="H486" s="34"/>
      <c r="I486" s="42">
        <f>IF(AND(ISNUMBER(D486),ISNUMBER(H486)),D486*H486*Inputs!$C$69,"")</f>
      </c>
      <c r="J486" s="42">
        <f>IF(AND(ISNUMBER(F486),ISNUMBER(H486),F486&gt;=Inputs!$C$68),F486*H486*Inputs!$C$69,"")</f>
      </c>
    </row>
    <row r="487" spans="2:10" ht="15" customHeight="1" x14ac:dyDescent="0.2">
      <c r="B487" s="39">
        <f t="shared" si="2"/>
      </c>
      <c r="C487" s="40">
        <f>IF(Inputs!$C$60,Inputs!$C$11+(B487-Inputs!$C$69)/Inputs!$C$70,"")</f>
      </c>
      <c r="D487" s="15"/>
      <c r="E487" s="15"/>
      <c r="F487" s="11">
        <f t="shared" si="3"/>
      </c>
      <c r="G487" s="22" cm="1">
        <f t="array" ref="G487">IF(AND(Inputs!$C$60,Inputs!$C$61),INDEX(Utility_Rates!$C$29:$F$52,HOUR(C487)+Inputs!$C$69,MATCH(INDEX(Utility_Rates!$K$6:$K$17,MONTH(C487))&amp;IF(WEEKDAY(C487,Inputs!$C$76)&lt;=Inputs!$C$74," weekday"," weekend"),Utility_Rates!$C$28:$F$28,Inputs!$C$68)),"")</f>
      </c>
      <c r="H487" s="34"/>
      <c r="I487" s="42">
        <f>IF(AND(ISNUMBER(D487),ISNUMBER(H487)),D487*H487*Inputs!$C$69,"")</f>
      </c>
      <c r="J487" s="42">
        <f>IF(AND(ISNUMBER(F487),ISNUMBER(H487),F487&gt;=Inputs!$C$68),F487*H487*Inputs!$C$69,"")</f>
      </c>
    </row>
    <row r="488" spans="2:10" ht="15" customHeight="1" x14ac:dyDescent="0.2">
      <c r="B488" s="39">
        <f t="shared" si="2"/>
      </c>
      <c r="C488" s="40">
        <f>IF(Inputs!$C$60,Inputs!$C$11+(B488-Inputs!$C$69)/Inputs!$C$70,"")</f>
      </c>
      <c r="D488" s="15"/>
      <c r="E488" s="15"/>
      <c r="F488" s="11">
        <f t="shared" si="3"/>
      </c>
      <c r="G488" s="22" cm="1">
        <f t="array" ref="G488">IF(AND(Inputs!$C$60,Inputs!$C$61),INDEX(Utility_Rates!$C$29:$F$52,HOUR(C488)+Inputs!$C$69,MATCH(INDEX(Utility_Rates!$K$6:$K$17,MONTH(C488))&amp;IF(WEEKDAY(C488,Inputs!$C$76)&lt;=Inputs!$C$74," weekday"," weekend"),Utility_Rates!$C$28:$F$28,Inputs!$C$68)),"")</f>
      </c>
      <c r="H488" s="34"/>
      <c r="I488" s="42">
        <f>IF(AND(ISNUMBER(D488),ISNUMBER(H488)),D488*H488*Inputs!$C$69,"")</f>
      </c>
      <c r="J488" s="42">
        <f>IF(AND(ISNUMBER(F488),ISNUMBER(H488),F488&gt;=Inputs!$C$68),F488*H488*Inputs!$C$69,"")</f>
      </c>
    </row>
    <row r="489" spans="2:10" ht="15" customHeight="1" x14ac:dyDescent="0.2">
      <c r="B489" s="39">
        <f t="shared" si="2"/>
      </c>
      <c r="C489" s="40">
        <f>IF(Inputs!$C$60,Inputs!$C$11+(B489-Inputs!$C$69)/Inputs!$C$70,"")</f>
      </c>
      <c r="D489" s="15"/>
      <c r="E489" s="15"/>
      <c r="F489" s="11">
        <f t="shared" si="3"/>
      </c>
      <c r="G489" s="22" cm="1">
        <f t="array" ref="G489">IF(AND(Inputs!$C$60,Inputs!$C$61),INDEX(Utility_Rates!$C$29:$F$52,HOUR(C489)+Inputs!$C$69,MATCH(INDEX(Utility_Rates!$K$6:$K$17,MONTH(C489))&amp;IF(WEEKDAY(C489,Inputs!$C$76)&lt;=Inputs!$C$74," weekday"," weekend"),Utility_Rates!$C$28:$F$28,Inputs!$C$68)),"")</f>
      </c>
      <c r="H489" s="34"/>
      <c r="I489" s="42">
        <f>IF(AND(ISNUMBER(D489),ISNUMBER(H489)),D489*H489*Inputs!$C$69,"")</f>
      </c>
      <c r="J489" s="42">
        <f>IF(AND(ISNUMBER(F489),ISNUMBER(H489),F489&gt;=Inputs!$C$68),F489*H489*Inputs!$C$69,"")</f>
      </c>
    </row>
    <row r="490" spans="2:10" ht="15" customHeight="1" x14ac:dyDescent="0.2">
      <c r="B490" s="39">
        <f t="shared" si="2"/>
      </c>
      <c r="C490" s="40">
        <f>IF(Inputs!$C$60,Inputs!$C$11+(B490-Inputs!$C$69)/Inputs!$C$70,"")</f>
      </c>
      <c r="D490" s="15"/>
      <c r="E490" s="15"/>
      <c r="F490" s="11">
        <f t="shared" si="3"/>
      </c>
      <c r="G490" s="22" cm="1">
        <f t="array" ref="G490">IF(AND(Inputs!$C$60,Inputs!$C$61),INDEX(Utility_Rates!$C$29:$F$52,HOUR(C490)+Inputs!$C$69,MATCH(INDEX(Utility_Rates!$K$6:$K$17,MONTH(C490))&amp;IF(WEEKDAY(C490,Inputs!$C$76)&lt;=Inputs!$C$74," weekday"," weekend"),Utility_Rates!$C$28:$F$28,Inputs!$C$68)),"")</f>
      </c>
      <c r="H490" s="34"/>
      <c r="I490" s="42">
        <f>IF(AND(ISNUMBER(D490),ISNUMBER(H490)),D490*H490*Inputs!$C$69,"")</f>
      </c>
      <c r="J490" s="42">
        <f>IF(AND(ISNUMBER(F490),ISNUMBER(H490),F490&gt;=Inputs!$C$68),F490*H490*Inputs!$C$69,"")</f>
      </c>
    </row>
    <row r="491" spans="2:10" ht="15" customHeight="1" x14ac:dyDescent="0.2">
      <c r="B491" s="39">
        <f t="shared" si="2"/>
      </c>
      <c r="C491" s="40">
        <f>IF(Inputs!$C$60,Inputs!$C$11+(B491-Inputs!$C$69)/Inputs!$C$70,"")</f>
      </c>
      <c r="D491" s="15"/>
      <c r="E491" s="15"/>
      <c r="F491" s="11">
        <f t="shared" si="3"/>
      </c>
      <c r="G491" s="22" cm="1">
        <f t="array" ref="G491">IF(AND(Inputs!$C$60,Inputs!$C$61),INDEX(Utility_Rates!$C$29:$F$52,HOUR(C491)+Inputs!$C$69,MATCH(INDEX(Utility_Rates!$K$6:$K$17,MONTH(C491))&amp;IF(WEEKDAY(C491,Inputs!$C$76)&lt;=Inputs!$C$74," weekday"," weekend"),Utility_Rates!$C$28:$F$28,Inputs!$C$68)),"")</f>
      </c>
      <c r="H491" s="34"/>
      <c r="I491" s="42">
        <f>IF(AND(ISNUMBER(D491),ISNUMBER(H491)),D491*H491*Inputs!$C$69,"")</f>
      </c>
      <c r="J491" s="42">
        <f>IF(AND(ISNUMBER(F491),ISNUMBER(H491),F491&gt;=Inputs!$C$68),F491*H491*Inputs!$C$69,"")</f>
      </c>
    </row>
    <row r="492" spans="2:10" ht="15" customHeight="1" x14ac:dyDescent="0.2">
      <c r="B492" s="39">
        <f t="shared" si="2"/>
      </c>
      <c r="C492" s="40">
        <f>IF(Inputs!$C$60,Inputs!$C$11+(B492-Inputs!$C$69)/Inputs!$C$70,"")</f>
      </c>
      <c r="D492" s="15"/>
      <c r="E492" s="15"/>
      <c r="F492" s="11">
        <f t="shared" si="3"/>
      </c>
      <c r="G492" s="22" cm="1">
        <f t="array" ref="G492">IF(AND(Inputs!$C$60,Inputs!$C$61),INDEX(Utility_Rates!$C$29:$F$52,HOUR(C492)+Inputs!$C$69,MATCH(INDEX(Utility_Rates!$K$6:$K$17,MONTH(C492))&amp;IF(WEEKDAY(C492,Inputs!$C$76)&lt;=Inputs!$C$74," weekday"," weekend"),Utility_Rates!$C$28:$F$28,Inputs!$C$68)),"")</f>
      </c>
      <c r="H492" s="34"/>
      <c r="I492" s="42">
        <f>IF(AND(ISNUMBER(D492),ISNUMBER(H492)),D492*H492*Inputs!$C$69,"")</f>
      </c>
      <c r="J492" s="42">
        <f>IF(AND(ISNUMBER(F492),ISNUMBER(H492),F492&gt;=Inputs!$C$68),F492*H492*Inputs!$C$69,"")</f>
      </c>
    </row>
    <row r="493" spans="2:10" ht="15" customHeight="1" x14ac:dyDescent="0.2">
      <c r="B493" s="39">
        <f t="shared" si="2"/>
      </c>
      <c r="C493" s="40">
        <f>IF(Inputs!$C$60,Inputs!$C$11+(B493-Inputs!$C$69)/Inputs!$C$70,"")</f>
      </c>
      <c r="D493" s="15"/>
      <c r="E493" s="15"/>
      <c r="F493" s="11">
        <f t="shared" si="3"/>
      </c>
      <c r="G493" s="22" cm="1">
        <f t="array" ref="G493">IF(AND(Inputs!$C$60,Inputs!$C$61),INDEX(Utility_Rates!$C$29:$F$52,HOUR(C493)+Inputs!$C$69,MATCH(INDEX(Utility_Rates!$K$6:$K$17,MONTH(C493))&amp;IF(WEEKDAY(C493,Inputs!$C$76)&lt;=Inputs!$C$74," weekday"," weekend"),Utility_Rates!$C$28:$F$28,Inputs!$C$68)),"")</f>
      </c>
      <c r="H493" s="34"/>
      <c r="I493" s="42">
        <f>IF(AND(ISNUMBER(D493),ISNUMBER(H493)),D493*H493*Inputs!$C$69,"")</f>
      </c>
      <c r="J493" s="42">
        <f>IF(AND(ISNUMBER(F493),ISNUMBER(H493),F493&gt;=Inputs!$C$68),F493*H493*Inputs!$C$69,"")</f>
      </c>
    </row>
    <row r="494" spans="2:10" ht="15" customHeight="1" x14ac:dyDescent="0.2">
      <c r="B494" s="39">
        <f t="shared" si="2"/>
      </c>
      <c r="C494" s="40">
        <f>IF(Inputs!$C$60,Inputs!$C$11+(B494-Inputs!$C$69)/Inputs!$C$70,"")</f>
      </c>
      <c r="D494" s="15"/>
      <c r="E494" s="15"/>
      <c r="F494" s="11">
        <f t="shared" si="3"/>
      </c>
      <c r="G494" s="22" cm="1">
        <f t="array" ref="G494">IF(AND(Inputs!$C$60,Inputs!$C$61),INDEX(Utility_Rates!$C$29:$F$52,HOUR(C494)+Inputs!$C$69,MATCH(INDEX(Utility_Rates!$K$6:$K$17,MONTH(C494))&amp;IF(WEEKDAY(C494,Inputs!$C$76)&lt;=Inputs!$C$74," weekday"," weekend"),Utility_Rates!$C$28:$F$28,Inputs!$C$68)),"")</f>
      </c>
      <c r="H494" s="34"/>
      <c r="I494" s="42">
        <f>IF(AND(ISNUMBER(D494),ISNUMBER(H494)),D494*H494*Inputs!$C$69,"")</f>
      </c>
      <c r="J494" s="42">
        <f>IF(AND(ISNUMBER(F494),ISNUMBER(H494),F494&gt;=Inputs!$C$68),F494*H494*Inputs!$C$69,"")</f>
      </c>
    </row>
    <row r="495" spans="2:10" ht="15" customHeight="1" x14ac:dyDescent="0.2">
      <c r="B495" s="39">
        <f t="shared" si="2"/>
      </c>
      <c r="C495" s="40">
        <f>IF(Inputs!$C$60,Inputs!$C$11+(B495-Inputs!$C$69)/Inputs!$C$70,"")</f>
      </c>
      <c r="D495" s="15"/>
      <c r="E495" s="15"/>
      <c r="F495" s="11">
        <f t="shared" si="3"/>
      </c>
      <c r="G495" s="22" cm="1">
        <f t="array" ref="G495">IF(AND(Inputs!$C$60,Inputs!$C$61),INDEX(Utility_Rates!$C$29:$F$52,HOUR(C495)+Inputs!$C$69,MATCH(INDEX(Utility_Rates!$K$6:$K$17,MONTH(C495))&amp;IF(WEEKDAY(C495,Inputs!$C$76)&lt;=Inputs!$C$74," weekday"," weekend"),Utility_Rates!$C$28:$F$28,Inputs!$C$68)),"")</f>
      </c>
      <c r="H495" s="34"/>
      <c r="I495" s="42">
        <f>IF(AND(ISNUMBER(D495),ISNUMBER(H495)),D495*H495*Inputs!$C$69,"")</f>
      </c>
      <c r="J495" s="42">
        <f>IF(AND(ISNUMBER(F495),ISNUMBER(H495),F495&gt;=Inputs!$C$68),F495*H495*Inputs!$C$69,"")</f>
      </c>
    </row>
    <row r="496" spans="2:10" ht="15" customHeight="1" x14ac:dyDescent="0.2">
      <c r="B496" s="39">
        <f t="shared" si="2"/>
      </c>
      <c r="C496" s="40">
        <f>IF(Inputs!$C$60,Inputs!$C$11+(B496-Inputs!$C$69)/Inputs!$C$70,"")</f>
      </c>
      <c r="D496" s="15"/>
      <c r="E496" s="15"/>
      <c r="F496" s="11">
        <f t="shared" si="3"/>
      </c>
      <c r="G496" s="22" cm="1">
        <f t="array" ref="G496">IF(AND(Inputs!$C$60,Inputs!$C$61),INDEX(Utility_Rates!$C$29:$F$52,HOUR(C496)+Inputs!$C$69,MATCH(INDEX(Utility_Rates!$K$6:$K$17,MONTH(C496))&amp;IF(WEEKDAY(C496,Inputs!$C$76)&lt;=Inputs!$C$74," weekday"," weekend"),Utility_Rates!$C$28:$F$28,Inputs!$C$68)),"")</f>
      </c>
      <c r="H496" s="34"/>
      <c r="I496" s="42">
        <f>IF(AND(ISNUMBER(D496),ISNUMBER(H496)),D496*H496*Inputs!$C$69,"")</f>
      </c>
      <c r="J496" s="42">
        <f>IF(AND(ISNUMBER(F496),ISNUMBER(H496),F496&gt;=Inputs!$C$68),F496*H496*Inputs!$C$69,"")</f>
      </c>
    </row>
    <row r="497" spans="2:10" ht="15" customHeight="1" x14ac:dyDescent="0.2">
      <c r="B497" s="39">
        <f t="shared" si="2"/>
      </c>
      <c r="C497" s="40">
        <f>IF(Inputs!$C$60,Inputs!$C$11+(B497-Inputs!$C$69)/Inputs!$C$70,"")</f>
      </c>
      <c r="D497" s="15"/>
      <c r="E497" s="15"/>
      <c r="F497" s="11">
        <f t="shared" si="3"/>
      </c>
      <c r="G497" s="22" cm="1">
        <f t="array" ref="G497">IF(AND(Inputs!$C$60,Inputs!$C$61),INDEX(Utility_Rates!$C$29:$F$52,HOUR(C497)+Inputs!$C$69,MATCH(INDEX(Utility_Rates!$K$6:$K$17,MONTH(C497))&amp;IF(WEEKDAY(C497,Inputs!$C$76)&lt;=Inputs!$C$74," weekday"," weekend"),Utility_Rates!$C$28:$F$28,Inputs!$C$68)),"")</f>
      </c>
      <c r="H497" s="34"/>
      <c r="I497" s="42">
        <f>IF(AND(ISNUMBER(D497),ISNUMBER(H497)),D497*H497*Inputs!$C$69,"")</f>
      </c>
      <c r="J497" s="42">
        <f>IF(AND(ISNUMBER(F497),ISNUMBER(H497),F497&gt;=Inputs!$C$68),F497*H497*Inputs!$C$69,"")</f>
      </c>
    </row>
    <row r="498" spans="2:10" ht="15" customHeight="1" x14ac:dyDescent="0.2">
      <c r="B498" s="39">
        <f t="shared" si="2"/>
      </c>
      <c r="C498" s="40">
        <f>IF(Inputs!$C$60,Inputs!$C$11+(B498-Inputs!$C$69)/Inputs!$C$70,"")</f>
      </c>
      <c r="D498" s="15"/>
      <c r="E498" s="15"/>
      <c r="F498" s="11">
        <f t="shared" si="3"/>
      </c>
      <c r="G498" s="22" cm="1">
        <f t="array" ref="G498">IF(AND(Inputs!$C$60,Inputs!$C$61),INDEX(Utility_Rates!$C$29:$F$52,HOUR(C498)+Inputs!$C$69,MATCH(INDEX(Utility_Rates!$K$6:$K$17,MONTH(C498))&amp;IF(WEEKDAY(C498,Inputs!$C$76)&lt;=Inputs!$C$74," weekday"," weekend"),Utility_Rates!$C$28:$F$28,Inputs!$C$68)),"")</f>
      </c>
      <c r="H498" s="34"/>
      <c r="I498" s="42">
        <f>IF(AND(ISNUMBER(D498),ISNUMBER(H498)),D498*H498*Inputs!$C$69,"")</f>
      </c>
      <c r="J498" s="42">
        <f>IF(AND(ISNUMBER(F498),ISNUMBER(H498),F498&gt;=Inputs!$C$68),F498*H498*Inputs!$C$69,"")</f>
      </c>
    </row>
    <row r="499" spans="2:10" ht="15" customHeight="1" x14ac:dyDescent="0.2">
      <c r="B499" s="39">
        <f t="shared" si="2"/>
      </c>
      <c r="C499" s="40">
        <f>IF(Inputs!$C$60,Inputs!$C$11+(B499-Inputs!$C$69)/Inputs!$C$70,"")</f>
      </c>
      <c r="D499" s="15"/>
      <c r="E499" s="15"/>
      <c r="F499" s="11">
        <f t="shared" si="3"/>
      </c>
      <c r="G499" s="22" cm="1">
        <f t="array" ref="G499">IF(AND(Inputs!$C$60,Inputs!$C$61),INDEX(Utility_Rates!$C$29:$F$52,HOUR(C499)+Inputs!$C$69,MATCH(INDEX(Utility_Rates!$K$6:$K$17,MONTH(C499))&amp;IF(WEEKDAY(C499,Inputs!$C$76)&lt;=Inputs!$C$74," weekday"," weekend"),Utility_Rates!$C$28:$F$28,Inputs!$C$68)),"")</f>
      </c>
      <c r="H499" s="34"/>
      <c r="I499" s="42">
        <f>IF(AND(ISNUMBER(D499),ISNUMBER(H499)),D499*H499*Inputs!$C$69,"")</f>
      </c>
      <c r="J499" s="42">
        <f>IF(AND(ISNUMBER(F499),ISNUMBER(H499),F499&gt;=Inputs!$C$68),F499*H499*Inputs!$C$69,"")</f>
      </c>
    </row>
    <row r="500" spans="2:10" ht="15" customHeight="1" x14ac:dyDescent="0.2">
      <c r="B500" s="39">
        <f t="shared" si="2"/>
      </c>
      <c r="C500" s="40">
        <f>IF(Inputs!$C$60,Inputs!$C$11+(B500-Inputs!$C$69)/Inputs!$C$70,"")</f>
      </c>
      <c r="D500" s="15"/>
      <c r="E500" s="15"/>
      <c r="F500" s="11">
        <f t="shared" si="3"/>
      </c>
      <c r="G500" s="22" cm="1">
        <f t="array" ref="G500">IF(AND(Inputs!$C$60,Inputs!$C$61),INDEX(Utility_Rates!$C$29:$F$52,HOUR(C500)+Inputs!$C$69,MATCH(INDEX(Utility_Rates!$K$6:$K$17,MONTH(C500))&amp;IF(WEEKDAY(C500,Inputs!$C$76)&lt;=Inputs!$C$74," weekday"," weekend"),Utility_Rates!$C$28:$F$28,Inputs!$C$68)),"")</f>
      </c>
      <c r="H500" s="34"/>
      <c r="I500" s="42">
        <f>IF(AND(ISNUMBER(D500),ISNUMBER(H500)),D500*H500*Inputs!$C$69,"")</f>
      </c>
      <c r="J500" s="42">
        <f>IF(AND(ISNUMBER(F500),ISNUMBER(H500),F500&gt;=Inputs!$C$68),F500*H500*Inputs!$C$69,"")</f>
      </c>
    </row>
    <row r="501" spans="2:10" ht="15" customHeight="1" x14ac:dyDescent="0.2">
      <c r="B501" s="39">
        <f t="shared" si="2"/>
      </c>
      <c r="C501" s="40">
        <f>IF(Inputs!$C$60,Inputs!$C$11+(B501-Inputs!$C$69)/Inputs!$C$70,"")</f>
      </c>
      <c r="D501" s="15"/>
      <c r="E501" s="15"/>
      <c r="F501" s="11">
        <f t="shared" si="3"/>
      </c>
      <c r="G501" s="22" cm="1">
        <f t="array" ref="G501">IF(AND(Inputs!$C$60,Inputs!$C$61),INDEX(Utility_Rates!$C$29:$F$52,HOUR(C501)+Inputs!$C$69,MATCH(INDEX(Utility_Rates!$K$6:$K$17,MONTH(C501))&amp;IF(WEEKDAY(C501,Inputs!$C$76)&lt;=Inputs!$C$74," weekday"," weekend"),Utility_Rates!$C$28:$F$28,Inputs!$C$68)),"")</f>
      </c>
      <c r="H501" s="34"/>
      <c r="I501" s="42">
        <f>IF(AND(ISNUMBER(D501),ISNUMBER(H501)),D501*H501*Inputs!$C$69,"")</f>
      </c>
      <c r="J501" s="42">
        <f>IF(AND(ISNUMBER(F501),ISNUMBER(H501),F501&gt;=Inputs!$C$68),F501*H501*Inputs!$C$69,"")</f>
      </c>
    </row>
    <row r="502" spans="2:10" ht="15" customHeight="1" x14ac:dyDescent="0.2">
      <c r="B502" s="39">
        <f t="shared" si="2"/>
      </c>
      <c r="C502" s="40">
        <f>IF(Inputs!$C$60,Inputs!$C$11+(B502-Inputs!$C$69)/Inputs!$C$70,"")</f>
      </c>
      <c r="D502" s="15"/>
      <c r="E502" s="15"/>
      <c r="F502" s="11">
        <f t="shared" si="3"/>
      </c>
      <c r="G502" s="22" cm="1">
        <f t="array" ref="G502">IF(AND(Inputs!$C$60,Inputs!$C$61),INDEX(Utility_Rates!$C$29:$F$52,HOUR(C502)+Inputs!$C$69,MATCH(INDEX(Utility_Rates!$K$6:$K$17,MONTH(C502))&amp;IF(WEEKDAY(C502,Inputs!$C$76)&lt;=Inputs!$C$74," weekday"," weekend"),Utility_Rates!$C$28:$F$28,Inputs!$C$68)),"")</f>
      </c>
      <c r="H502" s="34"/>
      <c r="I502" s="42">
        <f>IF(AND(ISNUMBER(D502),ISNUMBER(H502)),D502*H502*Inputs!$C$69,"")</f>
      </c>
      <c r="J502" s="42">
        <f>IF(AND(ISNUMBER(F502),ISNUMBER(H502),F502&gt;=Inputs!$C$68),F502*H502*Inputs!$C$69,"")</f>
      </c>
    </row>
    <row r="503" spans="2:10" ht="15" customHeight="1" x14ac:dyDescent="0.2">
      <c r="B503" s="39">
        <f t="shared" si="2"/>
      </c>
      <c r="C503" s="40">
        <f>IF(Inputs!$C$60,Inputs!$C$11+(B503-Inputs!$C$69)/Inputs!$C$70,"")</f>
      </c>
      <c r="D503" s="15"/>
      <c r="E503" s="15"/>
      <c r="F503" s="11">
        <f t="shared" si="3"/>
      </c>
      <c r="G503" s="22" cm="1">
        <f t="array" ref="G503">IF(AND(Inputs!$C$60,Inputs!$C$61),INDEX(Utility_Rates!$C$29:$F$52,HOUR(C503)+Inputs!$C$69,MATCH(INDEX(Utility_Rates!$K$6:$K$17,MONTH(C503))&amp;IF(WEEKDAY(C503,Inputs!$C$76)&lt;=Inputs!$C$74," weekday"," weekend"),Utility_Rates!$C$28:$F$28,Inputs!$C$68)),"")</f>
      </c>
      <c r="H503" s="34"/>
      <c r="I503" s="42">
        <f>IF(AND(ISNUMBER(D503),ISNUMBER(H503)),D503*H503*Inputs!$C$69,"")</f>
      </c>
      <c r="J503" s="42">
        <f>IF(AND(ISNUMBER(F503),ISNUMBER(H503),F503&gt;=Inputs!$C$68),F503*H503*Inputs!$C$69,"")</f>
      </c>
    </row>
    <row r="504" spans="2:10" ht="15" customHeight="1" x14ac:dyDescent="0.2">
      <c r="B504" s="39">
        <f t="shared" si="2"/>
      </c>
      <c r="C504" s="40">
        <f>IF(Inputs!$C$60,Inputs!$C$11+(B504-Inputs!$C$69)/Inputs!$C$70,"")</f>
      </c>
      <c r="D504" s="15"/>
      <c r="E504" s="15"/>
      <c r="F504" s="11">
        <f t="shared" si="3"/>
      </c>
      <c r="G504" s="22" cm="1">
        <f t="array" ref="G504">IF(AND(Inputs!$C$60,Inputs!$C$61),INDEX(Utility_Rates!$C$29:$F$52,HOUR(C504)+Inputs!$C$69,MATCH(INDEX(Utility_Rates!$K$6:$K$17,MONTH(C504))&amp;IF(WEEKDAY(C504,Inputs!$C$76)&lt;=Inputs!$C$74," weekday"," weekend"),Utility_Rates!$C$28:$F$28,Inputs!$C$68)),"")</f>
      </c>
      <c r="H504" s="34"/>
      <c r="I504" s="42">
        <f>IF(AND(ISNUMBER(D504),ISNUMBER(H504)),D504*H504*Inputs!$C$69,"")</f>
      </c>
      <c r="J504" s="42">
        <f>IF(AND(ISNUMBER(F504),ISNUMBER(H504),F504&gt;=Inputs!$C$68),F504*H504*Inputs!$C$69,"")</f>
      </c>
    </row>
    <row r="505" spans="2:10" ht="15" customHeight="1" x14ac:dyDescent="0.2">
      <c r="B505" s="39">
        <f t="shared" si="2"/>
      </c>
      <c r="C505" s="40">
        <f>IF(Inputs!$C$60,Inputs!$C$11+(B505-Inputs!$C$69)/Inputs!$C$70,"")</f>
      </c>
      <c r="D505" s="15"/>
      <c r="E505" s="15"/>
      <c r="F505" s="11">
        <f t="shared" si="3"/>
      </c>
      <c r="G505" s="22" cm="1">
        <f t="array" ref="G505">IF(AND(Inputs!$C$60,Inputs!$C$61),INDEX(Utility_Rates!$C$29:$F$52,HOUR(C505)+Inputs!$C$69,MATCH(INDEX(Utility_Rates!$K$6:$K$17,MONTH(C505))&amp;IF(WEEKDAY(C505,Inputs!$C$76)&lt;=Inputs!$C$74," weekday"," weekend"),Utility_Rates!$C$28:$F$28,Inputs!$C$68)),"")</f>
      </c>
      <c r="H505" s="34"/>
      <c r="I505" s="42">
        <f>IF(AND(ISNUMBER(D505),ISNUMBER(H505)),D505*H505*Inputs!$C$69,"")</f>
      </c>
      <c r="J505" s="42">
        <f>IF(AND(ISNUMBER(F505),ISNUMBER(H505),F505&gt;=Inputs!$C$68),F505*H505*Inputs!$C$69,"")</f>
      </c>
    </row>
    <row r="506" spans="2:10" ht="15" customHeight="1" x14ac:dyDescent="0.2">
      <c r="B506" s="39">
        <f t="shared" si="2"/>
      </c>
      <c r="C506" s="40">
        <f>IF(Inputs!$C$60,Inputs!$C$11+(B506-Inputs!$C$69)/Inputs!$C$70,"")</f>
      </c>
      <c r="D506" s="15"/>
      <c r="E506" s="15"/>
      <c r="F506" s="11">
        <f t="shared" si="3"/>
      </c>
      <c r="G506" s="22" cm="1">
        <f t="array" ref="G506">IF(AND(Inputs!$C$60,Inputs!$C$61),INDEX(Utility_Rates!$C$29:$F$52,HOUR(C506)+Inputs!$C$69,MATCH(INDEX(Utility_Rates!$K$6:$K$17,MONTH(C506))&amp;IF(WEEKDAY(C506,Inputs!$C$76)&lt;=Inputs!$C$74," weekday"," weekend"),Utility_Rates!$C$28:$F$28,Inputs!$C$68)),"")</f>
      </c>
      <c r="H506" s="34"/>
      <c r="I506" s="42">
        <f>IF(AND(ISNUMBER(D506),ISNUMBER(H506)),D506*H506*Inputs!$C$69,"")</f>
      </c>
      <c r="J506" s="42">
        <f>IF(AND(ISNUMBER(F506),ISNUMBER(H506),F506&gt;=Inputs!$C$68),F506*H506*Inputs!$C$69,"")</f>
      </c>
    </row>
    <row r="507" spans="2:10" ht="15" customHeight="1" x14ac:dyDescent="0.2">
      <c r="B507" s="39">
        <f t="shared" si="2"/>
      </c>
      <c r="C507" s="40">
        <f>IF(Inputs!$C$60,Inputs!$C$11+(B507-Inputs!$C$69)/Inputs!$C$70,"")</f>
      </c>
      <c r="D507" s="15"/>
      <c r="E507" s="15"/>
      <c r="F507" s="11">
        <f t="shared" si="3"/>
      </c>
      <c r="G507" s="22" cm="1">
        <f t="array" ref="G507">IF(AND(Inputs!$C$60,Inputs!$C$61),INDEX(Utility_Rates!$C$29:$F$52,HOUR(C507)+Inputs!$C$69,MATCH(INDEX(Utility_Rates!$K$6:$K$17,MONTH(C507))&amp;IF(WEEKDAY(C507,Inputs!$C$76)&lt;=Inputs!$C$74," weekday"," weekend"),Utility_Rates!$C$28:$F$28,Inputs!$C$68)),"")</f>
      </c>
      <c r="H507" s="34"/>
      <c r="I507" s="42">
        <f>IF(AND(ISNUMBER(D507),ISNUMBER(H507)),D507*H507*Inputs!$C$69,"")</f>
      </c>
      <c r="J507" s="42">
        <f>IF(AND(ISNUMBER(F507),ISNUMBER(H507),F507&gt;=Inputs!$C$68),F507*H507*Inputs!$C$69,"")</f>
      </c>
    </row>
    <row r="508" spans="2:10" ht="15" customHeight="1" x14ac:dyDescent="0.2">
      <c r="B508" s="39">
        <f t="shared" si="2"/>
      </c>
      <c r="C508" s="40">
        <f>IF(Inputs!$C$60,Inputs!$C$11+(B508-Inputs!$C$69)/Inputs!$C$70,"")</f>
      </c>
      <c r="D508" s="15"/>
      <c r="E508" s="15"/>
      <c r="F508" s="11">
        <f t="shared" si="3"/>
      </c>
      <c r="G508" s="22" cm="1">
        <f t="array" ref="G508">IF(AND(Inputs!$C$60,Inputs!$C$61),INDEX(Utility_Rates!$C$29:$F$52,HOUR(C508)+Inputs!$C$69,MATCH(INDEX(Utility_Rates!$K$6:$K$17,MONTH(C508))&amp;IF(WEEKDAY(C508,Inputs!$C$76)&lt;=Inputs!$C$74," weekday"," weekend"),Utility_Rates!$C$28:$F$28,Inputs!$C$68)),"")</f>
      </c>
      <c r="H508" s="34"/>
      <c r="I508" s="42">
        <f>IF(AND(ISNUMBER(D508),ISNUMBER(H508)),D508*H508*Inputs!$C$69,"")</f>
      </c>
      <c r="J508" s="42">
        <f>IF(AND(ISNUMBER(F508),ISNUMBER(H508),F508&gt;=Inputs!$C$68),F508*H508*Inputs!$C$69,"")</f>
      </c>
    </row>
    <row r="509" spans="2:10" ht="15" customHeight="1" x14ac:dyDescent="0.2">
      <c r="B509" s="39">
        <f t="shared" si="2"/>
      </c>
      <c r="C509" s="40">
        <f>IF(Inputs!$C$60,Inputs!$C$11+(B509-Inputs!$C$69)/Inputs!$C$70,"")</f>
      </c>
      <c r="D509" s="15"/>
      <c r="E509" s="15"/>
      <c r="F509" s="11">
        <f t="shared" si="3"/>
      </c>
      <c r="G509" s="22" cm="1">
        <f t="array" ref="G509">IF(AND(Inputs!$C$60,Inputs!$C$61),INDEX(Utility_Rates!$C$29:$F$52,HOUR(C509)+Inputs!$C$69,MATCH(INDEX(Utility_Rates!$K$6:$K$17,MONTH(C509))&amp;IF(WEEKDAY(C509,Inputs!$C$76)&lt;=Inputs!$C$74," weekday"," weekend"),Utility_Rates!$C$28:$F$28,Inputs!$C$68)),"")</f>
      </c>
      <c r="H509" s="34"/>
      <c r="I509" s="42">
        <f>IF(AND(ISNUMBER(D509),ISNUMBER(H509)),D509*H509*Inputs!$C$69,"")</f>
      </c>
      <c r="J509" s="42">
        <f>IF(AND(ISNUMBER(F509),ISNUMBER(H509),F509&gt;=Inputs!$C$68),F509*H509*Inputs!$C$69,"")</f>
      </c>
    </row>
    <row r="510" spans="2:10" ht="15" customHeight="1" x14ac:dyDescent="0.2">
      <c r="B510" s="39">
        <f t="shared" si="2"/>
      </c>
      <c r="C510" s="40">
        <f>IF(Inputs!$C$60,Inputs!$C$11+(B510-Inputs!$C$69)/Inputs!$C$70,"")</f>
      </c>
      <c r="D510" s="15"/>
      <c r="E510" s="15"/>
      <c r="F510" s="11">
        <f t="shared" si="3"/>
      </c>
      <c r="G510" s="22" cm="1">
        <f t="array" ref="G510">IF(AND(Inputs!$C$60,Inputs!$C$61),INDEX(Utility_Rates!$C$29:$F$52,HOUR(C510)+Inputs!$C$69,MATCH(INDEX(Utility_Rates!$K$6:$K$17,MONTH(C510))&amp;IF(WEEKDAY(C510,Inputs!$C$76)&lt;=Inputs!$C$74," weekday"," weekend"),Utility_Rates!$C$28:$F$28,Inputs!$C$68)),"")</f>
      </c>
      <c r="H510" s="34"/>
      <c r="I510" s="42">
        <f>IF(AND(ISNUMBER(D510),ISNUMBER(H510)),D510*H510*Inputs!$C$69,"")</f>
      </c>
      <c r="J510" s="42">
        <f>IF(AND(ISNUMBER(F510),ISNUMBER(H510),F510&gt;=Inputs!$C$68),F510*H510*Inputs!$C$69,"")</f>
      </c>
    </row>
    <row r="511" spans="2:10" ht="15" customHeight="1" x14ac:dyDescent="0.2">
      <c r="B511" s="39">
        <f t="shared" si="2"/>
      </c>
      <c r="C511" s="40">
        <f>IF(Inputs!$C$60,Inputs!$C$11+(B511-Inputs!$C$69)/Inputs!$C$70,"")</f>
      </c>
      <c r="D511" s="15"/>
      <c r="E511" s="15"/>
      <c r="F511" s="11">
        <f t="shared" si="3"/>
      </c>
      <c r="G511" s="22" cm="1">
        <f t="array" ref="G511">IF(AND(Inputs!$C$60,Inputs!$C$61),INDEX(Utility_Rates!$C$29:$F$52,HOUR(C511)+Inputs!$C$69,MATCH(INDEX(Utility_Rates!$K$6:$K$17,MONTH(C511))&amp;IF(WEEKDAY(C511,Inputs!$C$76)&lt;=Inputs!$C$74," weekday"," weekend"),Utility_Rates!$C$28:$F$28,Inputs!$C$68)),"")</f>
      </c>
      <c r="H511" s="34"/>
      <c r="I511" s="42">
        <f>IF(AND(ISNUMBER(D511),ISNUMBER(H511)),D511*H511*Inputs!$C$69,"")</f>
      </c>
      <c r="J511" s="42">
        <f>IF(AND(ISNUMBER(F511),ISNUMBER(H511),F511&gt;=Inputs!$C$68),F511*H511*Inputs!$C$69,"")</f>
      </c>
    </row>
    <row r="512" spans="2:10" ht="15" customHeight="1" x14ac:dyDescent="0.2">
      <c r="B512" s="39">
        <f t="shared" si="2"/>
      </c>
      <c r="C512" s="40">
        <f>IF(Inputs!$C$60,Inputs!$C$11+(B512-Inputs!$C$69)/Inputs!$C$70,"")</f>
      </c>
      <c r="D512" s="15"/>
      <c r="E512" s="15"/>
      <c r="F512" s="11">
        <f t="shared" si="3"/>
      </c>
      <c r="G512" s="22" cm="1">
        <f t="array" ref="G512">IF(AND(Inputs!$C$60,Inputs!$C$61),INDEX(Utility_Rates!$C$29:$F$52,HOUR(C512)+Inputs!$C$69,MATCH(INDEX(Utility_Rates!$K$6:$K$17,MONTH(C512))&amp;IF(WEEKDAY(C512,Inputs!$C$76)&lt;=Inputs!$C$74," weekday"," weekend"),Utility_Rates!$C$28:$F$28,Inputs!$C$68)),"")</f>
      </c>
      <c r="H512" s="34"/>
      <c r="I512" s="42">
        <f>IF(AND(ISNUMBER(D512),ISNUMBER(H512)),D512*H512*Inputs!$C$69,"")</f>
      </c>
      <c r="J512" s="42">
        <f>IF(AND(ISNUMBER(F512),ISNUMBER(H512),F512&gt;=Inputs!$C$68),F512*H512*Inputs!$C$69,"")</f>
      </c>
    </row>
    <row r="513" spans="2:10" ht="15" customHeight="1" x14ac:dyDescent="0.2">
      <c r="B513" s="39">
        <f t="shared" si="2"/>
      </c>
      <c r="C513" s="40">
        <f>IF(Inputs!$C$60,Inputs!$C$11+(B513-Inputs!$C$69)/Inputs!$C$70,"")</f>
      </c>
      <c r="D513" s="15"/>
      <c r="E513" s="15"/>
      <c r="F513" s="11">
        <f t="shared" si="3"/>
      </c>
      <c r="G513" s="22" cm="1">
        <f t="array" ref="G513">IF(AND(Inputs!$C$60,Inputs!$C$61),INDEX(Utility_Rates!$C$29:$F$52,HOUR(C513)+Inputs!$C$69,MATCH(INDEX(Utility_Rates!$K$6:$K$17,MONTH(C513))&amp;IF(WEEKDAY(C513,Inputs!$C$76)&lt;=Inputs!$C$74," weekday"," weekend"),Utility_Rates!$C$28:$F$28,Inputs!$C$68)),"")</f>
      </c>
      <c r="H513" s="34"/>
      <c r="I513" s="42">
        <f>IF(AND(ISNUMBER(D513),ISNUMBER(H513)),D513*H513*Inputs!$C$69,"")</f>
      </c>
      <c r="J513" s="42">
        <f>IF(AND(ISNUMBER(F513),ISNUMBER(H513),F513&gt;=Inputs!$C$68),F513*H513*Inputs!$C$69,"")</f>
      </c>
    </row>
    <row r="514" spans="2:10" ht="15" customHeight="1" x14ac:dyDescent="0.2">
      <c r="B514" s="39">
        <f t="shared" si="2"/>
      </c>
      <c r="C514" s="40">
        <f>IF(Inputs!$C$60,Inputs!$C$11+(B514-Inputs!$C$69)/Inputs!$C$70,"")</f>
      </c>
      <c r="D514" s="15"/>
      <c r="E514" s="15"/>
      <c r="F514" s="11">
        <f t="shared" si="3"/>
      </c>
      <c r="G514" s="22" cm="1">
        <f t="array" ref="G514">IF(AND(Inputs!$C$60,Inputs!$C$61),INDEX(Utility_Rates!$C$29:$F$52,HOUR(C514)+Inputs!$C$69,MATCH(INDEX(Utility_Rates!$K$6:$K$17,MONTH(C514))&amp;IF(WEEKDAY(C514,Inputs!$C$76)&lt;=Inputs!$C$74," weekday"," weekend"),Utility_Rates!$C$28:$F$28,Inputs!$C$68)),"")</f>
      </c>
      <c r="H514" s="34"/>
      <c r="I514" s="42">
        <f>IF(AND(ISNUMBER(D514),ISNUMBER(H514)),D514*H514*Inputs!$C$69,"")</f>
      </c>
      <c r="J514" s="42">
        <f>IF(AND(ISNUMBER(F514),ISNUMBER(H514),F514&gt;=Inputs!$C$68),F514*H514*Inputs!$C$69,"")</f>
      </c>
    </row>
    <row r="515" spans="2:10" ht="15" customHeight="1" x14ac:dyDescent="0.2">
      <c r="B515" s="39">
        <f t="shared" si="2"/>
      </c>
      <c r="C515" s="40">
        <f>IF(Inputs!$C$60,Inputs!$C$11+(B515-Inputs!$C$69)/Inputs!$C$70,"")</f>
      </c>
      <c r="D515" s="15"/>
      <c r="E515" s="15"/>
      <c r="F515" s="11">
        <f t="shared" si="3"/>
      </c>
      <c r="G515" s="22" cm="1">
        <f t="array" ref="G515">IF(AND(Inputs!$C$60,Inputs!$C$61),INDEX(Utility_Rates!$C$29:$F$52,HOUR(C515)+Inputs!$C$69,MATCH(INDEX(Utility_Rates!$K$6:$K$17,MONTH(C515))&amp;IF(WEEKDAY(C515,Inputs!$C$76)&lt;=Inputs!$C$74," weekday"," weekend"),Utility_Rates!$C$28:$F$28,Inputs!$C$68)),"")</f>
      </c>
      <c r="H515" s="34"/>
      <c r="I515" s="42">
        <f>IF(AND(ISNUMBER(D515),ISNUMBER(H515)),D515*H515*Inputs!$C$69,"")</f>
      </c>
      <c r="J515" s="42">
        <f>IF(AND(ISNUMBER(F515),ISNUMBER(H515),F515&gt;=Inputs!$C$68),F515*H515*Inputs!$C$69,"")</f>
      </c>
    </row>
    <row r="516" spans="2:10" ht="15" customHeight="1" x14ac:dyDescent="0.2">
      <c r="B516" s="39">
        <f t="shared" ref="B516:B770" si="4">ROW()-ROW($B$5)</f>
      </c>
      <c r="C516" s="40">
        <f>IF(Inputs!$C$60,Inputs!$C$11+(B516-Inputs!$C$69)/Inputs!$C$70,"")</f>
      </c>
      <c r="D516" s="15"/>
      <c r="E516" s="15"/>
      <c r="F516" s="11">
        <f t="shared" ref="F516:F770" si="5">IF(COUNT(D516:E516)=COLUMNS(D516:E516),D516-E516,"")</f>
      </c>
      <c r="G516" s="22" cm="1">
        <f t="array" ref="G516">IF(AND(Inputs!$C$60,Inputs!$C$61),INDEX(Utility_Rates!$C$29:$F$52,HOUR(C516)+Inputs!$C$69,MATCH(INDEX(Utility_Rates!$K$6:$K$17,MONTH(C516))&amp;IF(WEEKDAY(C516,Inputs!$C$76)&lt;=Inputs!$C$74," weekday"," weekend"),Utility_Rates!$C$28:$F$28,Inputs!$C$68)),"")</f>
      </c>
      <c r="H516" s="34"/>
      <c r="I516" s="42">
        <f>IF(AND(ISNUMBER(D516),ISNUMBER(H516)),D516*H516*Inputs!$C$69,"")</f>
      </c>
      <c r="J516" s="42">
        <f>IF(AND(ISNUMBER(F516),ISNUMBER(H516),F516&gt;=Inputs!$C$68),F516*H516*Inputs!$C$69,"")</f>
      </c>
    </row>
    <row r="517" spans="2:10" ht="15" customHeight="1" x14ac:dyDescent="0.2">
      <c r="B517" s="39">
        <f t="shared" si="4"/>
      </c>
      <c r="C517" s="40">
        <f>IF(Inputs!$C$60,Inputs!$C$11+(B517-Inputs!$C$69)/Inputs!$C$70,"")</f>
      </c>
      <c r="D517" s="15"/>
      <c r="E517" s="15"/>
      <c r="F517" s="11">
        <f t="shared" si="5"/>
      </c>
      <c r="G517" s="22" cm="1">
        <f t="array" ref="G517">IF(AND(Inputs!$C$60,Inputs!$C$61),INDEX(Utility_Rates!$C$29:$F$52,HOUR(C517)+Inputs!$C$69,MATCH(INDEX(Utility_Rates!$K$6:$K$17,MONTH(C517))&amp;IF(WEEKDAY(C517,Inputs!$C$76)&lt;=Inputs!$C$74," weekday"," weekend"),Utility_Rates!$C$28:$F$28,Inputs!$C$68)),"")</f>
      </c>
      <c r="H517" s="34"/>
      <c r="I517" s="42">
        <f>IF(AND(ISNUMBER(D517),ISNUMBER(H517)),D517*H517*Inputs!$C$69,"")</f>
      </c>
      <c r="J517" s="42">
        <f>IF(AND(ISNUMBER(F517),ISNUMBER(H517),F517&gt;=Inputs!$C$68),F517*H517*Inputs!$C$69,"")</f>
      </c>
    </row>
    <row r="518" spans="2:10" ht="15" customHeight="1" x14ac:dyDescent="0.2">
      <c r="B518" s="39">
        <f t="shared" si="4"/>
      </c>
      <c r="C518" s="40">
        <f>IF(Inputs!$C$60,Inputs!$C$11+(B518-Inputs!$C$69)/Inputs!$C$70,"")</f>
      </c>
      <c r="D518" s="15"/>
      <c r="E518" s="15"/>
      <c r="F518" s="11">
        <f t="shared" si="5"/>
      </c>
      <c r="G518" s="22" cm="1">
        <f t="array" ref="G518">IF(AND(Inputs!$C$60,Inputs!$C$61),INDEX(Utility_Rates!$C$29:$F$52,HOUR(C518)+Inputs!$C$69,MATCH(INDEX(Utility_Rates!$K$6:$K$17,MONTH(C518))&amp;IF(WEEKDAY(C518,Inputs!$C$76)&lt;=Inputs!$C$74," weekday"," weekend"),Utility_Rates!$C$28:$F$28,Inputs!$C$68)),"")</f>
      </c>
      <c r="H518" s="34"/>
      <c r="I518" s="42">
        <f>IF(AND(ISNUMBER(D518),ISNUMBER(H518)),D518*H518*Inputs!$C$69,"")</f>
      </c>
      <c r="J518" s="42">
        <f>IF(AND(ISNUMBER(F518),ISNUMBER(H518),F518&gt;=Inputs!$C$68),F518*H518*Inputs!$C$69,"")</f>
      </c>
    </row>
    <row r="519" spans="2:10" ht="15" customHeight="1" x14ac:dyDescent="0.2">
      <c r="B519" s="39">
        <f t="shared" si="4"/>
      </c>
      <c r="C519" s="40">
        <f>IF(Inputs!$C$60,Inputs!$C$11+(B519-Inputs!$C$69)/Inputs!$C$70,"")</f>
      </c>
      <c r="D519" s="15"/>
      <c r="E519" s="15"/>
      <c r="F519" s="11">
        <f t="shared" si="5"/>
      </c>
      <c r="G519" s="22" cm="1">
        <f t="array" ref="G519">IF(AND(Inputs!$C$60,Inputs!$C$61),INDEX(Utility_Rates!$C$29:$F$52,HOUR(C519)+Inputs!$C$69,MATCH(INDEX(Utility_Rates!$K$6:$K$17,MONTH(C519))&amp;IF(WEEKDAY(C519,Inputs!$C$76)&lt;=Inputs!$C$74," weekday"," weekend"),Utility_Rates!$C$28:$F$28,Inputs!$C$68)),"")</f>
      </c>
      <c r="H519" s="34"/>
      <c r="I519" s="42">
        <f>IF(AND(ISNUMBER(D519),ISNUMBER(H519)),D519*H519*Inputs!$C$69,"")</f>
      </c>
      <c r="J519" s="42">
        <f>IF(AND(ISNUMBER(F519),ISNUMBER(H519),F519&gt;=Inputs!$C$68),F519*H519*Inputs!$C$69,"")</f>
      </c>
    </row>
    <row r="520" spans="2:10" ht="15" customHeight="1" x14ac:dyDescent="0.2">
      <c r="B520" s="39">
        <f t="shared" si="4"/>
      </c>
      <c r="C520" s="40">
        <f>IF(Inputs!$C$60,Inputs!$C$11+(B520-Inputs!$C$69)/Inputs!$C$70,"")</f>
      </c>
      <c r="D520" s="15"/>
      <c r="E520" s="15"/>
      <c r="F520" s="11">
        <f t="shared" si="5"/>
      </c>
      <c r="G520" s="22" cm="1">
        <f t="array" ref="G520">IF(AND(Inputs!$C$60,Inputs!$C$61),INDEX(Utility_Rates!$C$29:$F$52,HOUR(C520)+Inputs!$C$69,MATCH(INDEX(Utility_Rates!$K$6:$K$17,MONTH(C520))&amp;IF(WEEKDAY(C520,Inputs!$C$76)&lt;=Inputs!$C$74," weekday"," weekend"),Utility_Rates!$C$28:$F$28,Inputs!$C$68)),"")</f>
      </c>
      <c r="H520" s="34"/>
      <c r="I520" s="42">
        <f>IF(AND(ISNUMBER(D520),ISNUMBER(H520)),D520*H520*Inputs!$C$69,"")</f>
      </c>
      <c r="J520" s="42">
        <f>IF(AND(ISNUMBER(F520),ISNUMBER(H520),F520&gt;=Inputs!$C$68),F520*H520*Inputs!$C$69,"")</f>
      </c>
    </row>
    <row r="521" spans="2:10" ht="15" customHeight="1" x14ac:dyDescent="0.2">
      <c r="B521" s="39">
        <f t="shared" si="4"/>
      </c>
      <c r="C521" s="40">
        <f>IF(Inputs!$C$60,Inputs!$C$11+(B521-Inputs!$C$69)/Inputs!$C$70,"")</f>
      </c>
      <c r="D521" s="15"/>
      <c r="E521" s="15"/>
      <c r="F521" s="11">
        <f t="shared" si="5"/>
      </c>
      <c r="G521" s="22" cm="1">
        <f t="array" ref="G521">IF(AND(Inputs!$C$60,Inputs!$C$61),INDEX(Utility_Rates!$C$29:$F$52,HOUR(C521)+Inputs!$C$69,MATCH(INDEX(Utility_Rates!$K$6:$K$17,MONTH(C521))&amp;IF(WEEKDAY(C521,Inputs!$C$76)&lt;=Inputs!$C$74," weekday"," weekend"),Utility_Rates!$C$28:$F$28,Inputs!$C$68)),"")</f>
      </c>
      <c r="H521" s="34"/>
      <c r="I521" s="42">
        <f>IF(AND(ISNUMBER(D521),ISNUMBER(H521)),D521*H521*Inputs!$C$69,"")</f>
      </c>
      <c r="J521" s="42">
        <f>IF(AND(ISNUMBER(F521),ISNUMBER(H521),F521&gt;=Inputs!$C$68),F521*H521*Inputs!$C$69,"")</f>
      </c>
    </row>
    <row r="522" spans="2:10" ht="15" customHeight="1" x14ac:dyDescent="0.2">
      <c r="B522" s="39">
        <f t="shared" si="4"/>
      </c>
      <c r="C522" s="40">
        <f>IF(Inputs!$C$60,Inputs!$C$11+(B522-Inputs!$C$69)/Inputs!$C$70,"")</f>
      </c>
      <c r="D522" s="15"/>
      <c r="E522" s="15"/>
      <c r="F522" s="11">
        <f t="shared" si="5"/>
      </c>
      <c r="G522" s="22" cm="1">
        <f t="array" ref="G522">IF(AND(Inputs!$C$60,Inputs!$C$61),INDEX(Utility_Rates!$C$29:$F$52,HOUR(C522)+Inputs!$C$69,MATCH(INDEX(Utility_Rates!$K$6:$K$17,MONTH(C522))&amp;IF(WEEKDAY(C522,Inputs!$C$76)&lt;=Inputs!$C$74," weekday"," weekend"),Utility_Rates!$C$28:$F$28,Inputs!$C$68)),"")</f>
      </c>
      <c r="H522" s="34"/>
      <c r="I522" s="42">
        <f>IF(AND(ISNUMBER(D522),ISNUMBER(H522)),D522*H522*Inputs!$C$69,"")</f>
      </c>
      <c r="J522" s="42">
        <f>IF(AND(ISNUMBER(F522),ISNUMBER(H522),F522&gt;=Inputs!$C$68),F522*H522*Inputs!$C$69,"")</f>
      </c>
    </row>
    <row r="523" spans="2:10" ht="15" customHeight="1" x14ac:dyDescent="0.2">
      <c r="B523" s="39">
        <f t="shared" si="4"/>
      </c>
      <c r="C523" s="40">
        <f>IF(Inputs!$C$60,Inputs!$C$11+(B523-Inputs!$C$69)/Inputs!$C$70,"")</f>
      </c>
      <c r="D523" s="15"/>
      <c r="E523" s="15"/>
      <c r="F523" s="11">
        <f t="shared" si="5"/>
      </c>
      <c r="G523" s="22" cm="1">
        <f t="array" ref="G523">IF(AND(Inputs!$C$60,Inputs!$C$61),INDEX(Utility_Rates!$C$29:$F$52,HOUR(C523)+Inputs!$C$69,MATCH(INDEX(Utility_Rates!$K$6:$K$17,MONTH(C523))&amp;IF(WEEKDAY(C523,Inputs!$C$76)&lt;=Inputs!$C$74," weekday"," weekend"),Utility_Rates!$C$28:$F$28,Inputs!$C$68)),"")</f>
      </c>
      <c r="H523" s="34"/>
      <c r="I523" s="42">
        <f>IF(AND(ISNUMBER(D523),ISNUMBER(H523)),D523*H523*Inputs!$C$69,"")</f>
      </c>
      <c r="J523" s="42">
        <f>IF(AND(ISNUMBER(F523),ISNUMBER(H523),F523&gt;=Inputs!$C$68),F523*H523*Inputs!$C$69,"")</f>
      </c>
    </row>
    <row r="524" spans="2:10" ht="15" customHeight="1" x14ac:dyDescent="0.2">
      <c r="B524" s="39">
        <f t="shared" si="4"/>
      </c>
      <c r="C524" s="40">
        <f>IF(Inputs!$C$60,Inputs!$C$11+(B524-Inputs!$C$69)/Inputs!$C$70,"")</f>
      </c>
      <c r="D524" s="15"/>
      <c r="E524" s="15"/>
      <c r="F524" s="11">
        <f t="shared" si="5"/>
      </c>
      <c r="G524" s="22" cm="1">
        <f t="array" ref="G524">IF(AND(Inputs!$C$60,Inputs!$C$61),INDEX(Utility_Rates!$C$29:$F$52,HOUR(C524)+Inputs!$C$69,MATCH(INDEX(Utility_Rates!$K$6:$K$17,MONTH(C524))&amp;IF(WEEKDAY(C524,Inputs!$C$76)&lt;=Inputs!$C$74," weekday"," weekend"),Utility_Rates!$C$28:$F$28,Inputs!$C$68)),"")</f>
      </c>
      <c r="H524" s="34"/>
      <c r="I524" s="42">
        <f>IF(AND(ISNUMBER(D524),ISNUMBER(H524)),D524*H524*Inputs!$C$69,"")</f>
      </c>
      <c r="J524" s="42">
        <f>IF(AND(ISNUMBER(F524),ISNUMBER(H524),F524&gt;=Inputs!$C$68),F524*H524*Inputs!$C$69,"")</f>
      </c>
    </row>
    <row r="525" spans="2:10" ht="15" customHeight="1" x14ac:dyDescent="0.2">
      <c r="B525" s="39">
        <f t="shared" si="4"/>
      </c>
      <c r="C525" s="40">
        <f>IF(Inputs!$C$60,Inputs!$C$11+(B525-Inputs!$C$69)/Inputs!$C$70,"")</f>
      </c>
      <c r="D525" s="15"/>
      <c r="E525" s="15"/>
      <c r="F525" s="11">
        <f t="shared" si="5"/>
      </c>
      <c r="G525" s="22" cm="1">
        <f t="array" ref="G525">IF(AND(Inputs!$C$60,Inputs!$C$61),INDEX(Utility_Rates!$C$29:$F$52,HOUR(C525)+Inputs!$C$69,MATCH(INDEX(Utility_Rates!$K$6:$K$17,MONTH(C525))&amp;IF(WEEKDAY(C525,Inputs!$C$76)&lt;=Inputs!$C$74," weekday"," weekend"),Utility_Rates!$C$28:$F$28,Inputs!$C$68)),"")</f>
      </c>
      <c r="H525" s="34"/>
      <c r="I525" s="42">
        <f>IF(AND(ISNUMBER(D525),ISNUMBER(H525)),D525*H525*Inputs!$C$69,"")</f>
      </c>
      <c r="J525" s="42">
        <f>IF(AND(ISNUMBER(F525),ISNUMBER(H525),F525&gt;=Inputs!$C$68),F525*H525*Inputs!$C$69,"")</f>
      </c>
    </row>
    <row r="526" spans="2:10" ht="15" customHeight="1" x14ac:dyDescent="0.2">
      <c r="B526" s="39">
        <f t="shared" si="4"/>
      </c>
      <c r="C526" s="40">
        <f>IF(Inputs!$C$60,Inputs!$C$11+(B526-Inputs!$C$69)/Inputs!$C$70,"")</f>
      </c>
      <c r="D526" s="15"/>
      <c r="E526" s="15"/>
      <c r="F526" s="11">
        <f t="shared" si="5"/>
      </c>
      <c r="G526" s="22" cm="1">
        <f t="array" ref="G526">IF(AND(Inputs!$C$60,Inputs!$C$61),INDEX(Utility_Rates!$C$29:$F$52,HOUR(C526)+Inputs!$C$69,MATCH(INDEX(Utility_Rates!$K$6:$K$17,MONTH(C526))&amp;IF(WEEKDAY(C526,Inputs!$C$76)&lt;=Inputs!$C$74," weekday"," weekend"),Utility_Rates!$C$28:$F$28,Inputs!$C$68)),"")</f>
      </c>
      <c r="H526" s="34"/>
      <c r="I526" s="42">
        <f>IF(AND(ISNUMBER(D526),ISNUMBER(H526)),D526*H526*Inputs!$C$69,"")</f>
      </c>
      <c r="J526" s="42">
        <f>IF(AND(ISNUMBER(F526),ISNUMBER(H526),F526&gt;=Inputs!$C$68),F526*H526*Inputs!$C$69,"")</f>
      </c>
    </row>
    <row r="527" spans="2:10" ht="15" customHeight="1" x14ac:dyDescent="0.2">
      <c r="B527" s="39">
        <f t="shared" si="4"/>
      </c>
      <c r="C527" s="40">
        <f>IF(Inputs!$C$60,Inputs!$C$11+(B527-Inputs!$C$69)/Inputs!$C$70,"")</f>
      </c>
      <c r="D527" s="15"/>
      <c r="E527" s="15"/>
      <c r="F527" s="11">
        <f t="shared" si="5"/>
      </c>
      <c r="G527" s="22" cm="1">
        <f t="array" ref="G527">IF(AND(Inputs!$C$60,Inputs!$C$61),INDEX(Utility_Rates!$C$29:$F$52,HOUR(C527)+Inputs!$C$69,MATCH(INDEX(Utility_Rates!$K$6:$K$17,MONTH(C527))&amp;IF(WEEKDAY(C527,Inputs!$C$76)&lt;=Inputs!$C$74," weekday"," weekend"),Utility_Rates!$C$28:$F$28,Inputs!$C$68)),"")</f>
      </c>
      <c r="H527" s="34"/>
      <c r="I527" s="42">
        <f>IF(AND(ISNUMBER(D527),ISNUMBER(H527)),D527*H527*Inputs!$C$69,"")</f>
      </c>
      <c r="J527" s="42">
        <f>IF(AND(ISNUMBER(F527),ISNUMBER(H527),F527&gt;=Inputs!$C$68),F527*H527*Inputs!$C$69,"")</f>
      </c>
    </row>
    <row r="528" spans="2:10" ht="15" customHeight="1" x14ac:dyDescent="0.2">
      <c r="B528" s="39">
        <f t="shared" si="4"/>
      </c>
      <c r="C528" s="40">
        <f>IF(Inputs!$C$60,Inputs!$C$11+(B528-Inputs!$C$69)/Inputs!$C$70,"")</f>
      </c>
      <c r="D528" s="15"/>
      <c r="E528" s="15"/>
      <c r="F528" s="11">
        <f t="shared" si="5"/>
      </c>
      <c r="G528" s="22" cm="1">
        <f t="array" ref="G528">IF(AND(Inputs!$C$60,Inputs!$C$61),INDEX(Utility_Rates!$C$29:$F$52,HOUR(C528)+Inputs!$C$69,MATCH(INDEX(Utility_Rates!$K$6:$K$17,MONTH(C528))&amp;IF(WEEKDAY(C528,Inputs!$C$76)&lt;=Inputs!$C$74," weekday"," weekend"),Utility_Rates!$C$28:$F$28,Inputs!$C$68)),"")</f>
      </c>
      <c r="H528" s="34"/>
      <c r="I528" s="42">
        <f>IF(AND(ISNUMBER(D528),ISNUMBER(H528)),D528*H528*Inputs!$C$69,"")</f>
      </c>
      <c r="J528" s="42">
        <f>IF(AND(ISNUMBER(F528),ISNUMBER(H528),F528&gt;=Inputs!$C$68),F528*H528*Inputs!$C$69,"")</f>
      </c>
    </row>
    <row r="529" spans="2:10" ht="15" customHeight="1" x14ac:dyDescent="0.2">
      <c r="B529" s="39">
        <f t="shared" si="4"/>
      </c>
      <c r="C529" s="40">
        <f>IF(Inputs!$C$60,Inputs!$C$11+(B529-Inputs!$C$69)/Inputs!$C$70,"")</f>
      </c>
      <c r="D529" s="15"/>
      <c r="E529" s="15"/>
      <c r="F529" s="11">
        <f t="shared" si="5"/>
      </c>
      <c r="G529" s="22" cm="1">
        <f t="array" ref="G529">IF(AND(Inputs!$C$60,Inputs!$C$61),INDEX(Utility_Rates!$C$29:$F$52,HOUR(C529)+Inputs!$C$69,MATCH(INDEX(Utility_Rates!$K$6:$K$17,MONTH(C529))&amp;IF(WEEKDAY(C529,Inputs!$C$76)&lt;=Inputs!$C$74," weekday"," weekend"),Utility_Rates!$C$28:$F$28,Inputs!$C$68)),"")</f>
      </c>
      <c r="H529" s="34"/>
      <c r="I529" s="42">
        <f>IF(AND(ISNUMBER(D529),ISNUMBER(H529)),D529*H529*Inputs!$C$69,"")</f>
      </c>
      <c r="J529" s="42">
        <f>IF(AND(ISNUMBER(F529),ISNUMBER(H529),F529&gt;=Inputs!$C$68),F529*H529*Inputs!$C$69,"")</f>
      </c>
    </row>
    <row r="530" spans="2:10" ht="15" customHeight="1" x14ac:dyDescent="0.2">
      <c r="B530" s="39">
        <f t="shared" si="4"/>
      </c>
      <c r="C530" s="40">
        <f>IF(Inputs!$C$60,Inputs!$C$11+(B530-Inputs!$C$69)/Inputs!$C$70,"")</f>
      </c>
      <c r="D530" s="15"/>
      <c r="E530" s="15"/>
      <c r="F530" s="11">
        <f t="shared" si="5"/>
      </c>
      <c r="G530" s="22" cm="1">
        <f t="array" ref="G530">IF(AND(Inputs!$C$60,Inputs!$C$61),INDEX(Utility_Rates!$C$29:$F$52,HOUR(C530)+Inputs!$C$69,MATCH(INDEX(Utility_Rates!$K$6:$K$17,MONTH(C530))&amp;IF(WEEKDAY(C530,Inputs!$C$76)&lt;=Inputs!$C$74," weekday"," weekend"),Utility_Rates!$C$28:$F$28,Inputs!$C$68)),"")</f>
      </c>
      <c r="H530" s="34"/>
      <c r="I530" s="42">
        <f>IF(AND(ISNUMBER(D530),ISNUMBER(H530)),D530*H530*Inputs!$C$69,"")</f>
      </c>
      <c r="J530" s="42">
        <f>IF(AND(ISNUMBER(F530),ISNUMBER(H530),F530&gt;=Inputs!$C$68),F530*H530*Inputs!$C$69,"")</f>
      </c>
    </row>
    <row r="531" spans="2:10" ht="15" customHeight="1" x14ac:dyDescent="0.2">
      <c r="B531" s="39">
        <f t="shared" si="4"/>
      </c>
      <c r="C531" s="40">
        <f>IF(Inputs!$C$60,Inputs!$C$11+(B531-Inputs!$C$69)/Inputs!$C$70,"")</f>
      </c>
      <c r="D531" s="15"/>
      <c r="E531" s="15"/>
      <c r="F531" s="11">
        <f t="shared" si="5"/>
      </c>
      <c r="G531" s="22" cm="1">
        <f t="array" ref="G531">IF(AND(Inputs!$C$60,Inputs!$C$61),INDEX(Utility_Rates!$C$29:$F$52,HOUR(C531)+Inputs!$C$69,MATCH(INDEX(Utility_Rates!$K$6:$K$17,MONTH(C531))&amp;IF(WEEKDAY(C531,Inputs!$C$76)&lt;=Inputs!$C$74," weekday"," weekend"),Utility_Rates!$C$28:$F$28,Inputs!$C$68)),"")</f>
      </c>
      <c r="H531" s="34"/>
      <c r="I531" s="42">
        <f>IF(AND(ISNUMBER(D531),ISNUMBER(H531)),D531*H531*Inputs!$C$69,"")</f>
      </c>
      <c r="J531" s="42">
        <f>IF(AND(ISNUMBER(F531),ISNUMBER(H531),F531&gt;=Inputs!$C$68),F531*H531*Inputs!$C$69,"")</f>
      </c>
    </row>
    <row r="532" spans="2:10" ht="15" customHeight="1" x14ac:dyDescent="0.2">
      <c r="B532" s="39">
        <f t="shared" si="4"/>
      </c>
      <c r="C532" s="40">
        <f>IF(Inputs!$C$60,Inputs!$C$11+(B532-Inputs!$C$69)/Inputs!$C$70,"")</f>
      </c>
      <c r="D532" s="15"/>
      <c r="E532" s="15"/>
      <c r="F532" s="11">
        <f t="shared" si="5"/>
      </c>
      <c r="G532" s="22" cm="1">
        <f t="array" ref="G532">IF(AND(Inputs!$C$60,Inputs!$C$61),INDEX(Utility_Rates!$C$29:$F$52,HOUR(C532)+Inputs!$C$69,MATCH(INDEX(Utility_Rates!$K$6:$K$17,MONTH(C532))&amp;IF(WEEKDAY(C532,Inputs!$C$76)&lt;=Inputs!$C$74," weekday"," weekend"),Utility_Rates!$C$28:$F$28,Inputs!$C$68)),"")</f>
      </c>
      <c r="H532" s="34"/>
      <c r="I532" s="42">
        <f>IF(AND(ISNUMBER(D532),ISNUMBER(H532)),D532*H532*Inputs!$C$69,"")</f>
      </c>
      <c r="J532" s="42">
        <f>IF(AND(ISNUMBER(F532),ISNUMBER(H532),F532&gt;=Inputs!$C$68),F532*H532*Inputs!$C$69,"")</f>
      </c>
    </row>
    <row r="533" spans="2:10" ht="15" customHeight="1" x14ac:dyDescent="0.2">
      <c r="B533" s="39">
        <f t="shared" si="4"/>
      </c>
      <c r="C533" s="40">
        <f>IF(Inputs!$C$60,Inputs!$C$11+(B533-Inputs!$C$69)/Inputs!$C$70,"")</f>
      </c>
      <c r="D533" s="15"/>
      <c r="E533" s="15"/>
      <c r="F533" s="11">
        <f t="shared" si="5"/>
      </c>
      <c r="G533" s="22" cm="1">
        <f t="array" ref="G533">IF(AND(Inputs!$C$60,Inputs!$C$61),INDEX(Utility_Rates!$C$29:$F$52,HOUR(C533)+Inputs!$C$69,MATCH(INDEX(Utility_Rates!$K$6:$K$17,MONTH(C533))&amp;IF(WEEKDAY(C533,Inputs!$C$76)&lt;=Inputs!$C$74," weekday"," weekend"),Utility_Rates!$C$28:$F$28,Inputs!$C$68)),"")</f>
      </c>
      <c r="H533" s="34"/>
      <c r="I533" s="42">
        <f>IF(AND(ISNUMBER(D533),ISNUMBER(H533)),D533*H533*Inputs!$C$69,"")</f>
      </c>
      <c r="J533" s="42">
        <f>IF(AND(ISNUMBER(F533),ISNUMBER(H533),F533&gt;=Inputs!$C$68),F533*H533*Inputs!$C$69,"")</f>
      </c>
    </row>
    <row r="534" spans="2:10" ht="15" customHeight="1" x14ac:dyDescent="0.2">
      <c r="B534" s="39">
        <f t="shared" si="4"/>
      </c>
      <c r="C534" s="40">
        <f>IF(Inputs!$C$60,Inputs!$C$11+(B534-Inputs!$C$69)/Inputs!$C$70,"")</f>
      </c>
      <c r="D534" s="15"/>
      <c r="E534" s="15"/>
      <c r="F534" s="11">
        <f t="shared" si="5"/>
      </c>
      <c r="G534" s="22" cm="1">
        <f t="array" ref="G534">IF(AND(Inputs!$C$60,Inputs!$C$61),INDEX(Utility_Rates!$C$29:$F$52,HOUR(C534)+Inputs!$C$69,MATCH(INDEX(Utility_Rates!$K$6:$K$17,MONTH(C534))&amp;IF(WEEKDAY(C534,Inputs!$C$76)&lt;=Inputs!$C$74," weekday"," weekend"),Utility_Rates!$C$28:$F$28,Inputs!$C$68)),"")</f>
      </c>
      <c r="H534" s="34"/>
      <c r="I534" s="42">
        <f>IF(AND(ISNUMBER(D534),ISNUMBER(H534)),D534*H534*Inputs!$C$69,"")</f>
      </c>
      <c r="J534" s="42">
        <f>IF(AND(ISNUMBER(F534),ISNUMBER(H534),F534&gt;=Inputs!$C$68),F534*H534*Inputs!$C$69,"")</f>
      </c>
    </row>
    <row r="535" spans="2:10" ht="15" customHeight="1" x14ac:dyDescent="0.2">
      <c r="B535" s="39">
        <f t="shared" si="4"/>
      </c>
      <c r="C535" s="40">
        <f>IF(Inputs!$C$60,Inputs!$C$11+(B535-Inputs!$C$69)/Inputs!$C$70,"")</f>
      </c>
      <c r="D535" s="15"/>
      <c r="E535" s="15"/>
      <c r="F535" s="11">
        <f t="shared" si="5"/>
      </c>
      <c r="G535" s="22" cm="1">
        <f t="array" ref="G535">IF(AND(Inputs!$C$60,Inputs!$C$61),INDEX(Utility_Rates!$C$29:$F$52,HOUR(C535)+Inputs!$C$69,MATCH(INDEX(Utility_Rates!$K$6:$K$17,MONTH(C535))&amp;IF(WEEKDAY(C535,Inputs!$C$76)&lt;=Inputs!$C$74," weekday"," weekend"),Utility_Rates!$C$28:$F$28,Inputs!$C$68)),"")</f>
      </c>
      <c r="H535" s="34"/>
      <c r="I535" s="42">
        <f>IF(AND(ISNUMBER(D535),ISNUMBER(H535)),D535*H535*Inputs!$C$69,"")</f>
      </c>
      <c r="J535" s="42">
        <f>IF(AND(ISNUMBER(F535),ISNUMBER(H535),F535&gt;=Inputs!$C$68),F535*H535*Inputs!$C$69,"")</f>
      </c>
    </row>
    <row r="536" spans="2:10" ht="15" customHeight="1" x14ac:dyDescent="0.2">
      <c r="B536" s="39">
        <f t="shared" si="4"/>
      </c>
      <c r="C536" s="40">
        <f>IF(Inputs!$C$60,Inputs!$C$11+(B536-Inputs!$C$69)/Inputs!$C$70,"")</f>
      </c>
      <c r="D536" s="15"/>
      <c r="E536" s="15"/>
      <c r="F536" s="11">
        <f t="shared" si="5"/>
      </c>
      <c r="G536" s="22" cm="1">
        <f t="array" ref="G536">IF(AND(Inputs!$C$60,Inputs!$C$61),INDEX(Utility_Rates!$C$29:$F$52,HOUR(C536)+Inputs!$C$69,MATCH(INDEX(Utility_Rates!$K$6:$K$17,MONTH(C536))&amp;IF(WEEKDAY(C536,Inputs!$C$76)&lt;=Inputs!$C$74," weekday"," weekend"),Utility_Rates!$C$28:$F$28,Inputs!$C$68)),"")</f>
      </c>
      <c r="H536" s="34"/>
      <c r="I536" s="42">
        <f>IF(AND(ISNUMBER(D536),ISNUMBER(H536)),D536*H536*Inputs!$C$69,"")</f>
      </c>
      <c r="J536" s="42">
        <f>IF(AND(ISNUMBER(F536),ISNUMBER(H536),F536&gt;=Inputs!$C$68),F536*H536*Inputs!$C$69,"")</f>
      </c>
    </row>
    <row r="537" spans="2:10" ht="15" customHeight="1" x14ac:dyDescent="0.2">
      <c r="B537" s="39">
        <f t="shared" si="4"/>
      </c>
      <c r="C537" s="40">
        <f>IF(Inputs!$C$60,Inputs!$C$11+(B537-Inputs!$C$69)/Inputs!$C$70,"")</f>
      </c>
      <c r="D537" s="15"/>
      <c r="E537" s="15"/>
      <c r="F537" s="11">
        <f t="shared" si="5"/>
      </c>
      <c r="G537" s="22" cm="1">
        <f t="array" ref="G537">IF(AND(Inputs!$C$60,Inputs!$C$61),INDEX(Utility_Rates!$C$29:$F$52,HOUR(C537)+Inputs!$C$69,MATCH(INDEX(Utility_Rates!$K$6:$K$17,MONTH(C537))&amp;IF(WEEKDAY(C537,Inputs!$C$76)&lt;=Inputs!$C$74," weekday"," weekend"),Utility_Rates!$C$28:$F$28,Inputs!$C$68)),"")</f>
      </c>
      <c r="H537" s="34"/>
      <c r="I537" s="42">
        <f>IF(AND(ISNUMBER(D537),ISNUMBER(H537)),D537*H537*Inputs!$C$69,"")</f>
      </c>
      <c r="J537" s="42">
        <f>IF(AND(ISNUMBER(F537),ISNUMBER(H537),F537&gt;=Inputs!$C$68),F537*H537*Inputs!$C$69,"")</f>
      </c>
    </row>
    <row r="538" spans="2:10" ht="15" customHeight="1" x14ac:dyDescent="0.2">
      <c r="B538" s="39">
        <f t="shared" si="4"/>
      </c>
      <c r="C538" s="40">
        <f>IF(Inputs!$C$60,Inputs!$C$11+(B538-Inputs!$C$69)/Inputs!$C$70,"")</f>
      </c>
      <c r="D538" s="15"/>
      <c r="E538" s="15"/>
      <c r="F538" s="11">
        <f t="shared" si="5"/>
      </c>
      <c r="G538" s="22" cm="1">
        <f t="array" ref="G538">IF(AND(Inputs!$C$60,Inputs!$C$61),INDEX(Utility_Rates!$C$29:$F$52,HOUR(C538)+Inputs!$C$69,MATCH(INDEX(Utility_Rates!$K$6:$K$17,MONTH(C538))&amp;IF(WEEKDAY(C538,Inputs!$C$76)&lt;=Inputs!$C$74," weekday"," weekend"),Utility_Rates!$C$28:$F$28,Inputs!$C$68)),"")</f>
      </c>
      <c r="H538" s="34"/>
      <c r="I538" s="42">
        <f>IF(AND(ISNUMBER(D538),ISNUMBER(H538)),D538*H538*Inputs!$C$69,"")</f>
      </c>
      <c r="J538" s="42">
        <f>IF(AND(ISNUMBER(F538),ISNUMBER(H538),F538&gt;=Inputs!$C$68),F538*H538*Inputs!$C$69,"")</f>
      </c>
    </row>
    <row r="539" spans="2:10" ht="15" customHeight="1" x14ac:dyDescent="0.2">
      <c r="B539" s="39">
        <f t="shared" si="4"/>
      </c>
      <c r="C539" s="40">
        <f>IF(Inputs!$C$60,Inputs!$C$11+(B539-Inputs!$C$69)/Inputs!$C$70,"")</f>
      </c>
      <c r="D539" s="15"/>
      <c r="E539" s="15"/>
      <c r="F539" s="11">
        <f t="shared" si="5"/>
      </c>
      <c r="G539" s="22" cm="1">
        <f t="array" ref="G539">IF(AND(Inputs!$C$60,Inputs!$C$61),INDEX(Utility_Rates!$C$29:$F$52,HOUR(C539)+Inputs!$C$69,MATCH(INDEX(Utility_Rates!$K$6:$K$17,MONTH(C539))&amp;IF(WEEKDAY(C539,Inputs!$C$76)&lt;=Inputs!$C$74," weekday"," weekend"),Utility_Rates!$C$28:$F$28,Inputs!$C$68)),"")</f>
      </c>
      <c r="H539" s="34"/>
      <c r="I539" s="42">
        <f>IF(AND(ISNUMBER(D539),ISNUMBER(H539)),D539*H539*Inputs!$C$69,"")</f>
      </c>
      <c r="J539" s="42">
        <f>IF(AND(ISNUMBER(F539),ISNUMBER(H539),F539&gt;=Inputs!$C$68),F539*H539*Inputs!$C$69,"")</f>
      </c>
    </row>
    <row r="540" spans="2:10" ht="15" customHeight="1" x14ac:dyDescent="0.2">
      <c r="B540" s="39">
        <f t="shared" si="4"/>
      </c>
      <c r="C540" s="40">
        <f>IF(Inputs!$C$60,Inputs!$C$11+(B540-Inputs!$C$69)/Inputs!$C$70,"")</f>
      </c>
      <c r="D540" s="15"/>
      <c r="E540" s="15"/>
      <c r="F540" s="11">
        <f t="shared" si="5"/>
      </c>
      <c r="G540" s="22" cm="1">
        <f t="array" ref="G540">IF(AND(Inputs!$C$60,Inputs!$C$61),INDEX(Utility_Rates!$C$29:$F$52,HOUR(C540)+Inputs!$C$69,MATCH(INDEX(Utility_Rates!$K$6:$K$17,MONTH(C540))&amp;IF(WEEKDAY(C540,Inputs!$C$76)&lt;=Inputs!$C$74," weekday"," weekend"),Utility_Rates!$C$28:$F$28,Inputs!$C$68)),"")</f>
      </c>
      <c r="H540" s="34"/>
      <c r="I540" s="42">
        <f>IF(AND(ISNUMBER(D540),ISNUMBER(H540)),D540*H540*Inputs!$C$69,"")</f>
      </c>
      <c r="J540" s="42">
        <f>IF(AND(ISNUMBER(F540),ISNUMBER(H540),F540&gt;=Inputs!$C$68),F540*H540*Inputs!$C$69,"")</f>
      </c>
    </row>
    <row r="541" spans="2:10" ht="15" customHeight="1" x14ac:dyDescent="0.2">
      <c r="B541" s="39">
        <f t="shared" si="4"/>
      </c>
      <c r="C541" s="40">
        <f>IF(Inputs!$C$60,Inputs!$C$11+(B541-Inputs!$C$69)/Inputs!$C$70,"")</f>
      </c>
      <c r="D541" s="15"/>
      <c r="E541" s="15"/>
      <c r="F541" s="11">
        <f t="shared" si="5"/>
      </c>
      <c r="G541" s="22" cm="1">
        <f t="array" ref="G541">IF(AND(Inputs!$C$60,Inputs!$C$61),INDEX(Utility_Rates!$C$29:$F$52,HOUR(C541)+Inputs!$C$69,MATCH(INDEX(Utility_Rates!$K$6:$K$17,MONTH(C541))&amp;IF(WEEKDAY(C541,Inputs!$C$76)&lt;=Inputs!$C$74," weekday"," weekend"),Utility_Rates!$C$28:$F$28,Inputs!$C$68)),"")</f>
      </c>
      <c r="H541" s="34"/>
      <c r="I541" s="42">
        <f>IF(AND(ISNUMBER(D541),ISNUMBER(H541)),D541*H541*Inputs!$C$69,"")</f>
      </c>
      <c r="J541" s="42">
        <f>IF(AND(ISNUMBER(F541),ISNUMBER(H541),F541&gt;=Inputs!$C$68),F541*H541*Inputs!$C$69,"")</f>
      </c>
    </row>
    <row r="542" spans="2:10" ht="15" customHeight="1" x14ac:dyDescent="0.2">
      <c r="B542" s="39">
        <f t="shared" si="4"/>
      </c>
      <c r="C542" s="40">
        <f>IF(Inputs!$C$60,Inputs!$C$11+(B542-Inputs!$C$69)/Inputs!$C$70,"")</f>
      </c>
      <c r="D542" s="15"/>
      <c r="E542" s="15"/>
      <c r="F542" s="11">
        <f t="shared" si="5"/>
      </c>
      <c r="G542" s="22" cm="1">
        <f t="array" ref="G542">IF(AND(Inputs!$C$60,Inputs!$C$61),INDEX(Utility_Rates!$C$29:$F$52,HOUR(C542)+Inputs!$C$69,MATCH(INDEX(Utility_Rates!$K$6:$K$17,MONTH(C542))&amp;IF(WEEKDAY(C542,Inputs!$C$76)&lt;=Inputs!$C$74," weekday"," weekend"),Utility_Rates!$C$28:$F$28,Inputs!$C$68)),"")</f>
      </c>
      <c r="H542" s="34"/>
      <c r="I542" s="42">
        <f>IF(AND(ISNUMBER(D542),ISNUMBER(H542)),D542*H542*Inputs!$C$69,"")</f>
      </c>
      <c r="J542" s="42">
        <f>IF(AND(ISNUMBER(F542),ISNUMBER(H542),F542&gt;=Inputs!$C$68),F542*H542*Inputs!$C$69,"")</f>
      </c>
    </row>
    <row r="543" spans="2:10" ht="15" customHeight="1" x14ac:dyDescent="0.2">
      <c r="B543" s="39">
        <f t="shared" si="4"/>
      </c>
      <c r="C543" s="40">
        <f>IF(Inputs!$C$60,Inputs!$C$11+(B543-Inputs!$C$69)/Inputs!$C$70,"")</f>
      </c>
      <c r="D543" s="15"/>
      <c r="E543" s="15"/>
      <c r="F543" s="11">
        <f t="shared" si="5"/>
      </c>
      <c r="G543" s="22" cm="1">
        <f t="array" ref="G543">IF(AND(Inputs!$C$60,Inputs!$C$61),INDEX(Utility_Rates!$C$29:$F$52,HOUR(C543)+Inputs!$C$69,MATCH(INDEX(Utility_Rates!$K$6:$K$17,MONTH(C543))&amp;IF(WEEKDAY(C543,Inputs!$C$76)&lt;=Inputs!$C$74," weekday"," weekend"),Utility_Rates!$C$28:$F$28,Inputs!$C$68)),"")</f>
      </c>
      <c r="H543" s="34"/>
      <c r="I543" s="42">
        <f>IF(AND(ISNUMBER(D543),ISNUMBER(H543)),D543*H543*Inputs!$C$69,"")</f>
      </c>
      <c r="J543" s="42">
        <f>IF(AND(ISNUMBER(F543),ISNUMBER(H543),F543&gt;=Inputs!$C$68),F543*H543*Inputs!$C$69,"")</f>
      </c>
    </row>
    <row r="544" spans="2:10" ht="15" customHeight="1" x14ac:dyDescent="0.2">
      <c r="B544" s="39">
        <f t="shared" si="4"/>
      </c>
      <c r="C544" s="40">
        <f>IF(Inputs!$C$60,Inputs!$C$11+(B544-Inputs!$C$69)/Inputs!$C$70,"")</f>
      </c>
      <c r="D544" s="15"/>
      <c r="E544" s="15"/>
      <c r="F544" s="11">
        <f t="shared" si="5"/>
      </c>
      <c r="G544" s="22" cm="1">
        <f t="array" ref="G544">IF(AND(Inputs!$C$60,Inputs!$C$61),INDEX(Utility_Rates!$C$29:$F$52,HOUR(C544)+Inputs!$C$69,MATCH(INDEX(Utility_Rates!$K$6:$K$17,MONTH(C544))&amp;IF(WEEKDAY(C544,Inputs!$C$76)&lt;=Inputs!$C$74," weekday"," weekend"),Utility_Rates!$C$28:$F$28,Inputs!$C$68)),"")</f>
      </c>
      <c r="H544" s="34"/>
      <c r="I544" s="42">
        <f>IF(AND(ISNUMBER(D544),ISNUMBER(H544)),D544*H544*Inputs!$C$69,"")</f>
      </c>
      <c r="J544" s="42">
        <f>IF(AND(ISNUMBER(F544),ISNUMBER(H544),F544&gt;=Inputs!$C$68),F544*H544*Inputs!$C$69,"")</f>
      </c>
    </row>
    <row r="545" spans="2:10" ht="15" customHeight="1" x14ac:dyDescent="0.2">
      <c r="B545" s="39">
        <f t="shared" si="4"/>
      </c>
      <c r="C545" s="40">
        <f>IF(Inputs!$C$60,Inputs!$C$11+(B545-Inputs!$C$69)/Inputs!$C$70,"")</f>
      </c>
      <c r="D545" s="15"/>
      <c r="E545" s="15"/>
      <c r="F545" s="11">
        <f t="shared" si="5"/>
      </c>
      <c r="G545" s="22" cm="1">
        <f t="array" ref="G545">IF(AND(Inputs!$C$60,Inputs!$C$61),INDEX(Utility_Rates!$C$29:$F$52,HOUR(C545)+Inputs!$C$69,MATCH(INDEX(Utility_Rates!$K$6:$K$17,MONTH(C545))&amp;IF(WEEKDAY(C545,Inputs!$C$76)&lt;=Inputs!$C$74," weekday"," weekend"),Utility_Rates!$C$28:$F$28,Inputs!$C$68)),"")</f>
      </c>
      <c r="H545" s="34"/>
      <c r="I545" s="42">
        <f>IF(AND(ISNUMBER(D545),ISNUMBER(H545)),D545*H545*Inputs!$C$69,"")</f>
      </c>
      <c r="J545" s="42">
        <f>IF(AND(ISNUMBER(F545),ISNUMBER(H545),F545&gt;=Inputs!$C$68),F545*H545*Inputs!$C$69,"")</f>
      </c>
    </row>
    <row r="546" spans="2:10" ht="15" customHeight="1" x14ac:dyDescent="0.2">
      <c r="B546" s="39">
        <f t="shared" si="4"/>
      </c>
      <c r="C546" s="40">
        <f>IF(Inputs!$C$60,Inputs!$C$11+(B546-Inputs!$C$69)/Inputs!$C$70,"")</f>
      </c>
      <c r="D546" s="15"/>
      <c r="E546" s="15"/>
      <c r="F546" s="11">
        <f t="shared" si="5"/>
      </c>
      <c r="G546" s="22" cm="1">
        <f t="array" ref="G546">IF(AND(Inputs!$C$60,Inputs!$C$61),INDEX(Utility_Rates!$C$29:$F$52,HOUR(C546)+Inputs!$C$69,MATCH(INDEX(Utility_Rates!$K$6:$K$17,MONTH(C546))&amp;IF(WEEKDAY(C546,Inputs!$C$76)&lt;=Inputs!$C$74," weekday"," weekend"),Utility_Rates!$C$28:$F$28,Inputs!$C$68)),"")</f>
      </c>
      <c r="H546" s="34"/>
      <c r="I546" s="42">
        <f>IF(AND(ISNUMBER(D546),ISNUMBER(H546)),D546*H546*Inputs!$C$69,"")</f>
      </c>
      <c r="J546" s="42">
        <f>IF(AND(ISNUMBER(F546),ISNUMBER(H546),F546&gt;=Inputs!$C$68),F546*H546*Inputs!$C$69,"")</f>
      </c>
    </row>
    <row r="547" spans="2:10" ht="15" customHeight="1" x14ac:dyDescent="0.2">
      <c r="B547" s="39">
        <f t="shared" si="4"/>
      </c>
      <c r="C547" s="40">
        <f>IF(Inputs!$C$60,Inputs!$C$11+(B547-Inputs!$C$69)/Inputs!$C$70,"")</f>
      </c>
      <c r="D547" s="15"/>
      <c r="E547" s="15"/>
      <c r="F547" s="11">
        <f t="shared" si="5"/>
      </c>
      <c r="G547" s="22" cm="1">
        <f t="array" ref="G547">IF(AND(Inputs!$C$60,Inputs!$C$61),INDEX(Utility_Rates!$C$29:$F$52,HOUR(C547)+Inputs!$C$69,MATCH(INDEX(Utility_Rates!$K$6:$K$17,MONTH(C547))&amp;IF(WEEKDAY(C547,Inputs!$C$76)&lt;=Inputs!$C$74," weekday"," weekend"),Utility_Rates!$C$28:$F$28,Inputs!$C$68)),"")</f>
      </c>
      <c r="H547" s="34"/>
      <c r="I547" s="42">
        <f>IF(AND(ISNUMBER(D547),ISNUMBER(H547)),D547*H547*Inputs!$C$69,"")</f>
      </c>
      <c r="J547" s="42">
        <f>IF(AND(ISNUMBER(F547),ISNUMBER(H547),F547&gt;=Inputs!$C$68),F547*H547*Inputs!$C$69,"")</f>
      </c>
    </row>
    <row r="548" spans="2:10" ht="15" customHeight="1" x14ac:dyDescent="0.2">
      <c r="B548" s="39">
        <f t="shared" si="4"/>
      </c>
      <c r="C548" s="40">
        <f>IF(Inputs!$C$60,Inputs!$C$11+(B548-Inputs!$C$69)/Inputs!$C$70,"")</f>
      </c>
      <c r="D548" s="15"/>
      <c r="E548" s="15"/>
      <c r="F548" s="11">
        <f t="shared" si="5"/>
      </c>
      <c r="G548" s="22" cm="1">
        <f t="array" ref="G548">IF(AND(Inputs!$C$60,Inputs!$C$61),INDEX(Utility_Rates!$C$29:$F$52,HOUR(C548)+Inputs!$C$69,MATCH(INDEX(Utility_Rates!$K$6:$K$17,MONTH(C548))&amp;IF(WEEKDAY(C548,Inputs!$C$76)&lt;=Inputs!$C$74," weekday"," weekend"),Utility_Rates!$C$28:$F$28,Inputs!$C$68)),"")</f>
      </c>
      <c r="H548" s="34"/>
      <c r="I548" s="42">
        <f>IF(AND(ISNUMBER(D548),ISNUMBER(H548)),D548*H548*Inputs!$C$69,"")</f>
      </c>
      <c r="J548" s="42">
        <f>IF(AND(ISNUMBER(F548),ISNUMBER(H548),F548&gt;=Inputs!$C$68),F548*H548*Inputs!$C$69,"")</f>
      </c>
    </row>
    <row r="549" spans="2:10" ht="15" customHeight="1" x14ac:dyDescent="0.2">
      <c r="B549" s="39">
        <f t="shared" si="4"/>
      </c>
      <c r="C549" s="40">
        <f>IF(Inputs!$C$60,Inputs!$C$11+(B549-Inputs!$C$69)/Inputs!$C$70,"")</f>
      </c>
      <c r="D549" s="15"/>
      <c r="E549" s="15"/>
      <c r="F549" s="11">
        <f t="shared" si="5"/>
      </c>
      <c r="G549" s="22" cm="1">
        <f t="array" ref="G549">IF(AND(Inputs!$C$60,Inputs!$C$61),INDEX(Utility_Rates!$C$29:$F$52,HOUR(C549)+Inputs!$C$69,MATCH(INDEX(Utility_Rates!$K$6:$K$17,MONTH(C549))&amp;IF(WEEKDAY(C549,Inputs!$C$76)&lt;=Inputs!$C$74," weekday"," weekend"),Utility_Rates!$C$28:$F$28,Inputs!$C$68)),"")</f>
      </c>
      <c r="H549" s="34"/>
      <c r="I549" s="42">
        <f>IF(AND(ISNUMBER(D549),ISNUMBER(H549)),D549*H549*Inputs!$C$69,"")</f>
      </c>
      <c r="J549" s="42">
        <f>IF(AND(ISNUMBER(F549),ISNUMBER(H549),F549&gt;=Inputs!$C$68),F549*H549*Inputs!$C$69,"")</f>
      </c>
    </row>
    <row r="550" spans="2:10" ht="15" customHeight="1" x14ac:dyDescent="0.2">
      <c r="B550" s="39">
        <f t="shared" si="4"/>
      </c>
      <c r="C550" s="40">
        <f>IF(Inputs!$C$60,Inputs!$C$11+(B550-Inputs!$C$69)/Inputs!$C$70,"")</f>
      </c>
      <c r="D550" s="15"/>
      <c r="E550" s="15"/>
      <c r="F550" s="11">
        <f t="shared" si="5"/>
      </c>
      <c r="G550" s="22" cm="1">
        <f t="array" ref="G550">IF(AND(Inputs!$C$60,Inputs!$C$61),INDEX(Utility_Rates!$C$29:$F$52,HOUR(C550)+Inputs!$C$69,MATCH(INDEX(Utility_Rates!$K$6:$K$17,MONTH(C550))&amp;IF(WEEKDAY(C550,Inputs!$C$76)&lt;=Inputs!$C$74," weekday"," weekend"),Utility_Rates!$C$28:$F$28,Inputs!$C$68)),"")</f>
      </c>
      <c r="H550" s="34"/>
      <c r="I550" s="42">
        <f>IF(AND(ISNUMBER(D550),ISNUMBER(H550)),D550*H550*Inputs!$C$69,"")</f>
      </c>
      <c r="J550" s="42">
        <f>IF(AND(ISNUMBER(F550),ISNUMBER(H550),F550&gt;=Inputs!$C$68),F550*H550*Inputs!$C$69,"")</f>
      </c>
    </row>
    <row r="551" spans="2:10" ht="15" customHeight="1" x14ac:dyDescent="0.2">
      <c r="B551" s="39">
        <f t="shared" si="4"/>
      </c>
      <c r="C551" s="40">
        <f>IF(Inputs!$C$60,Inputs!$C$11+(B551-Inputs!$C$69)/Inputs!$C$70,"")</f>
      </c>
      <c r="D551" s="15"/>
      <c r="E551" s="15"/>
      <c r="F551" s="11">
        <f t="shared" si="5"/>
      </c>
      <c r="G551" s="22" cm="1">
        <f t="array" ref="G551">IF(AND(Inputs!$C$60,Inputs!$C$61),INDEX(Utility_Rates!$C$29:$F$52,HOUR(C551)+Inputs!$C$69,MATCH(INDEX(Utility_Rates!$K$6:$K$17,MONTH(C551))&amp;IF(WEEKDAY(C551,Inputs!$C$76)&lt;=Inputs!$C$74," weekday"," weekend"),Utility_Rates!$C$28:$F$28,Inputs!$C$68)),"")</f>
      </c>
      <c r="H551" s="34"/>
      <c r="I551" s="42">
        <f>IF(AND(ISNUMBER(D551),ISNUMBER(H551)),D551*H551*Inputs!$C$69,"")</f>
      </c>
      <c r="J551" s="42">
        <f>IF(AND(ISNUMBER(F551),ISNUMBER(H551),F551&gt;=Inputs!$C$68),F551*H551*Inputs!$C$69,"")</f>
      </c>
    </row>
    <row r="552" spans="2:10" ht="15" customHeight="1" x14ac:dyDescent="0.2">
      <c r="B552" s="39">
        <f t="shared" si="4"/>
      </c>
      <c r="C552" s="40">
        <f>IF(Inputs!$C$60,Inputs!$C$11+(B552-Inputs!$C$69)/Inputs!$C$70,"")</f>
      </c>
      <c r="D552" s="15"/>
      <c r="E552" s="15"/>
      <c r="F552" s="11">
        <f t="shared" si="5"/>
      </c>
      <c r="G552" s="22" cm="1">
        <f t="array" ref="G552">IF(AND(Inputs!$C$60,Inputs!$C$61),INDEX(Utility_Rates!$C$29:$F$52,HOUR(C552)+Inputs!$C$69,MATCH(INDEX(Utility_Rates!$K$6:$K$17,MONTH(C552))&amp;IF(WEEKDAY(C552,Inputs!$C$76)&lt;=Inputs!$C$74," weekday"," weekend"),Utility_Rates!$C$28:$F$28,Inputs!$C$68)),"")</f>
      </c>
      <c r="H552" s="34"/>
      <c r="I552" s="42">
        <f>IF(AND(ISNUMBER(D552),ISNUMBER(H552)),D552*H552*Inputs!$C$69,"")</f>
      </c>
      <c r="J552" s="42">
        <f>IF(AND(ISNUMBER(F552),ISNUMBER(H552),F552&gt;=Inputs!$C$68),F552*H552*Inputs!$C$69,"")</f>
      </c>
    </row>
    <row r="553" spans="2:10" ht="15" customHeight="1" x14ac:dyDescent="0.2">
      <c r="B553" s="39">
        <f t="shared" si="4"/>
      </c>
      <c r="C553" s="40">
        <f>IF(Inputs!$C$60,Inputs!$C$11+(B553-Inputs!$C$69)/Inputs!$C$70,"")</f>
      </c>
      <c r="D553" s="15"/>
      <c r="E553" s="15"/>
      <c r="F553" s="11">
        <f t="shared" si="5"/>
      </c>
      <c r="G553" s="22" cm="1">
        <f t="array" ref="G553">IF(AND(Inputs!$C$60,Inputs!$C$61),INDEX(Utility_Rates!$C$29:$F$52,HOUR(C553)+Inputs!$C$69,MATCH(INDEX(Utility_Rates!$K$6:$K$17,MONTH(C553))&amp;IF(WEEKDAY(C553,Inputs!$C$76)&lt;=Inputs!$C$74," weekday"," weekend"),Utility_Rates!$C$28:$F$28,Inputs!$C$68)),"")</f>
      </c>
      <c r="H553" s="34"/>
      <c r="I553" s="42">
        <f>IF(AND(ISNUMBER(D553),ISNUMBER(H553)),D553*H553*Inputs!$C$69,"")</f>
      </c>
      <c r="J553" s="42">
        <f>IF(AND(ISNUMBER(F553),ISNUMBER(H553),F553&gt;=Inputs!$C$68),F553*H553*Inputs!$C$69,"")</f>
      </c>
    </row>
    <row r="554" spans="2:10" ht="15" customHeight="1" x14ac:dyDescent="0.2">
      <c r="B554" s="39">
        <f t="shared" si="4"/>
      </c>
      <c r="C554" s="40">
        <f>IF(Inputs!$C$60,Inputs!$C$11+(B554-Inputs!$C$69)/Inputs!$C$70,"")</f>
      </c>
      <c r="D554" s="15"/>
      <c r="E554" s="15"/>
      <c r="F554" s="11">
        <f t="shared" si="5"/>
      </c>
      <c r="G554" s="22" cm="1">
        <f t="array" ref="G554">IF(AND(Inputs!$C$60,Inputs!$C$61),INDEX(Utility_Rates!$C$29:$F$52,HOUR(C554)+Inputs!$C$69,MATCH(INDEX(Utility_Rates!$K$6:$K$17,MONTH(C554))&amp;IF(WEEKDAY(C554,Inputs!$C$76)&lt;=Inputs!$C$74," weekday"," weekend"),Utility_Rates!$C$28:$F$28,Inputs!$C$68)),"")</f>
      </c>
      <c r="H554" s="34"/>
      <c r="I554" s="42">
        <f>IF(AND(ISNUMBER(D554),ISNUMBER(H554)),D554*H554*Inputs!$C$69,"")</f>
      </c>
      <c r="J554" s="42">
        <f>IF(AND(ISNUMBER(F554),ISNUMBER(H554),F554&gt;=Inputs!$C$68),F554*H554*Inputs!$C$69,"")</f>
      </c>
    </row>
    <row r="555" spans="2:10" ht="15" customHeight="1" x14ac:dyDescent="0.2">
      <c r="B555" s="39">
        <f t="shared" si="4"/>
      </c>
      <c r="C555" s="40">
        <f>IF(Inputs!$C$60,Inputs!$C$11+(B555-Inputs!$C$69)/Inputs!$C$70,"")</f>
      </c>
      <c r="D555" s="15"/>
      <c r="E555" s="15"/>
      <c r="F555" s="11">
        <f t="shared" si="5"/>
      </c>
      <c r="G555" s="22" cm="1">
        <f t="array" ref="G555">IF(AND(Inputs!$C$60,Inputs!$C$61),INDEX(Utility_Rates!$C$29:$F$52,HOUR(C555)+Inputs!$C$69,MATCH(INDEX(Utility_Rates!$K$6:$K$17,MONTH(C555))&amp;IF(WEEKDAY(C555,Inputs!$C$76)&lt;=Inputs!$C$74," weekday"," weekend"),Utility_Rates!$C$28:$F$28,Inputs!$C$68)),"")</f>
      </c>
      <c r="H555" s="34"/>
      <c r="I555" s="42">
        <f>IF(AND(ISNUMBER(D555),ISNUMBER(H555)),D555*H555*Inputs!$C$69,"")</f>
      </c>
      <c r="J555" s="42">
        <f>IF(AND(ISNUMBER(F555),ISNUMBER(H555),F555&gt;=Inputs!$C$68),F555*H555*Inputs!$C$69,"")</f>
      </c>
    </row>
    <row r="556" spans="2:10" ht="15" customHeight="1" x14ac:dyDescent="0.2">
      <c r="B556" s="39">
        <f t="shared" si="4"/>
      </c>
      <c r="C556" s="40">
        <f>IF(Inputs!$C$60,Inputs!$C$11+(B556-Inputs!$C$69)/Inputs!$C$70,"")</f>
      </c>
      <c r="D556" s="15"/>
      <c r="E556" s="15"/>
      <c r="F556" s="11">
        <f t="shared" si="5"/>
      </c>
      <c r="G556" s="22" cm="1">
        <f t="array" ref="G556">IF(AND(Inputs!$C$60,Inputs!$C$61),INDEX(Utility_Rates!$C$29:$F$52,HOUR(C556)+Inputs!$C$69,MATCH(INDEX(Utility_Rates!$K$6:$K$17,MONTH(C556))&amp;IF(WEEKDAY(C556,Inputs!$C$76)&lt;=Inputs!$C$74," weekday"," weekend"),Utility_Rates!$C$28:$F$28,Inputs!$C$68)),"")</f>
      </c>
      <c r="H556" s="34"/>
      <c r="I556" s="42">
        <f>IF(AND(ISNUMBER(D556),ISNUMBER(H556)),D556*H556*Inputs!$C$69,"")</f>
      </c>
      <c r="J556" s="42">
        <f>IF(AND(ISNUMBER(F556),ISNUMBER(H556),F556&gt;=Inputs!$C$68),F556*H556*Inputs!$C$69,"")</f>
      </c>
    </row>
    <row r="557" spans="2:10" ht="15" customHeight="1" x14ac:dyDescent="0.2">
      <c r="B557" s="39">
        <f t="shared" si="4"/>
      </c>
      <c r="C557" s="40">
        <f>IF(Inputs!$C$60,Inputs!$C$11+(B557-Inputs!$C$69)/Inputs!$C$70,"")</f>
      </c>
      <c r="D557" s="15"/>
      <c r="E557" s="15"/>
      <c r="F557" s="11">
        <f t="shared" si="5"/>
      </c>
      <c r="G557" s="22" cm="1">
        <f t="array" ref="G557">IF(AND(Inputs!$C$60,Inputs!$C$61),INDEX(Utility_Rates!$C$29:$F$52,HOUR(C557)+Inputs!$C$69,MATCH(INDEX(Utility_Rates!$K$6:$K$17,MONTH(C557))&amp;IF(WEEKDAY(C557,Inputs!$C$76)&lt;=Inputs!$C$74," weekday"," weekend"),Utility_Rates!$C$28:$F$28,Inputs!$C$68)),"")</f>
      </c>
      <c r="H557" s="34"/>
      <c r="I557" s="42">
        <f>IF(AND(ISNUMBER(D557),ISNUMBER(H557)),D557*H557*Inputs!$C$69,"")</f>
      </c>
      <c r="J557" s="42">
        <f>IF(AND(ISNUMBER(F557),ISNUMBER(H557),F557&gt;=Inputs!$C$68),F557*H557*Inputs!$C$69,"")</f>
      </c>
    </row>
    <row r="558" spans="2:10" ht="15" customHeight="1" x14ac:dyDescent="0.2">
      <c r="B558" s="39">
        <f t="shared" si="4"/>
      </c>
      <c r="C558" s="40">
        <f>IF(Inputs!$C$60,Inputs!$C$11+(B558-Inputs!$C$69)/Inputs!$C$70,"")</f>
      </c>
      <c r="D558" s="15"/>
      <c r="E558" s="15"/>
      <c r="F558" s="11">
        <f t="shared" si="5"/>
      </c>
      <c r="G558" s="22" cm="1">
        <f t="array" ref="G558">IF(AND(Inputs!$C$60,Inputs!$C$61),INDEX(Utility_Rates!$C$29:$F$52,HOUR(C558)+Inputs!$C$69,MATCH(INDEX(Utility_Rates!$K$6:$K$17,MONTH(C558))&amp;IF(WEEKDAY(C558,Inputs!$C$76)&lt;=Inputs!$C$74," weekday"," weekend"),Utility_Rates!$C$28:$F$28,Inputs!$C$68)),"")</f>
      </c>
      <c r="H558" s="34"/>
      <c r="I558" s="42">
        <f>IF(AND(ISNUMBER(D558),ISNUMBER(H558)),D558*H558*Inputs!$C$69,"")</f>
      </c>
      <c r="J558" s="42">
        <f>IF(AND(ISNUMBER(F558),ISNUMBER(H558),F558&gt;=Inputs!$C$68),F558*H558*Inputs!$C$69,"")</f>
      </c>
    </row>
    <row r="559" spans="2:10" ht="15" customHeight="1" x14ac:dyDescent="0.2">
      <c r="B559" s="39">
        <f t="shared" si="4"/>
      </c>
      <c r="C559" s="40">
        <f>IF(Inputs!$C$60,Inputs!$C$11+(B559-Inputs!$C$69)/Inputs!$C$70,"")</f>
      </c>
      <c r="D559" s="15"/>
      <c r="E559" s="15"/>
      <c r="F559" s="11">
        <f t="shared" si="5"/>
      </c>
      <c r="G559" s="22" cm="1">
        <f t="array" ref="G559">IF(AND(Inputs!$C$60,Inputs!$C$61),INDEX(Utility_Rates!$C$29:$F$52,HOUR(C559)+Inputs!$C$69,MATCH(INDEX(Utility_Rates!$K$6:$K$17,MONTH(C559))&amp;IF(WEEKDAY(C559,Inputs!$C$76)&lt;=Inputs!$C$74," weekday"," weekend"),Utility_Rates!$C$28:$F$28,Inputs!$C$68)),"")</f>
      </c>
      <c r="H559" s="34"/>
      <c r="I559" s="42">
        <f>IF(AND(ISNUMBER(D559),ISNUMBER(H559)),D559*H559*Inputs!$C$69,"")</f>
      </c>
      <c r="J559" s="42">
        <f>IF(AND(ISNUMBER(F559),ISNUMBER(H559),F559&gt;=Inputs!$C$68),F559*H559*Inputs!$C$69,"")</f>
      </c>
    </row>
    <row r="560" spans="2:10" ht="15" customHeight="1" x14ac:dyDescent="0.2">
      <c r="B560" s="39">
        <f t="shared" si="4"/>
      </c>
      <c r="C560" s="40">
        <f>IF(Inputs!$C$60,Inputs!$C$11+(B560-Inputs!$C$69)/Inputs!$C$70,"")</f>
      </c>
      <c r="D560" s="15"/>
      <c r="E560" s="15"/>
      <c r="F560" s="11">
        <f t="shared" si="5"/>
      </c>
      <c r="G560" s="22" cm="1">
        <f t="array" ref="G560">IF(AND(Inputs!$C$60,Inputs!$C$61),INDEX(Utility_Rates!$C$29:$F$52,HOUR(C560)+Inputs!$C$69,MATCH(INDEX(Utility_Rates!$K$6:$K$17,MONTH(C560))&amp;IF(WEEKDAY(C560,Inputs!$C$76)&lt;=Inputs!$C$74," weekday"," weekend"),Utility_Rates!$C$28:$F$28,Inputs!$C$68)),"")</f>
      </c>
      <c r="H560" s="34"/>
      <c r="I560" s="42">
        <f>IF(AND(ISNUMBER(D560),ISNUMBER(H560)),D560*H560*Inputs!$C$69,"")</f>
      </c>
      <c r="J560" s="42">
        <f>IF(AND(ISNUMBER(F560),ISNUMBER(H560),F560&gt;=Inputs!$C$68),F560*H560*Inputs!$C$69,"")</f>
      </c>
    </row>
    <row r="561" spans="2:10" ht="15" customHeight="1" x14ac:dyDescent="0.2">
      <c r="B561" s="39">
        <f t="shared" si="4"/>
      </c>
      <c r="C561" s="40">
        <f>IF(Inputs!$C$60,Inputs!$C$11+(B561-Inputs!$C$69)/Inputs!$C$70,"")</f>
      </c>
      <c r="D561" s="15"/>
      <c r="E561" s="15"/>
      <c r="F561" s="11">
        <f t="shared" si="5"/>
      </c>
      <c r="G561" s="22" cm="1">
        <f t="array" ref="G561">IF(AND(Inputs!$C$60,Inputs!$C$61),INDEX(Utility_Rates!$C$29:$F$52,HOUR(C561)+Inputs!$C$69,MATCH(INDEX(Utility_Rates!$K$6:$K$17,MONTH(C561))&amp;IF(WEEKDAY(C561,Inputs!$C$76)&lt;=Inputs!$C$74," weekday"," weekend"),Utility_Rates!$C$28:$F$28,Inputs!$C$68)),"")</f>
      </c>
      <c r="H561" s="34"/>
      <c r="I561" s="42">
        <f>IF(AND(ISNUMBER(D561),ISNUMBER(H561)),D561*H561*Inputs!$C$69,"")</f>
      </c>
      <c r="J561" s="42">
        <f>IF(AND(ISNUMBER(F561),ISNUMBER(H561),F561&gt;=Inputs!$C$68),F561*H561*Inputs!$C$69,"")</f>
      </c>
    </row>
    <row r="562" spans="2:10" ht="15" customHeight="1" x14ac:dyDescent="0.2">
      <c r="B562" s="39">
        <f t="shared" si="4"/>
      </c>
      <c r="C562" s="40">
        <f>IF(Inputs!$C$60,Inputs!$C$11+(B562-Inputs!$C$69)/Inputs!$C$70,"")</f>
      </c>
      <c r="D562" s="15"/>
      <c r="E562" s="15"/>
      <c r="F562" s="11">
        <f t="shared" si="5"/>
      </c>
      <c r="G562" s="22" cm="1">
        <f t="array" ref="G562">IF(AND(Inputs!$C$60,Inputs!$C$61),INDEX(Utility_Rates!$C$29:$F$52,HOUR(C562)+Inputs!$C$69,MATCH(INDEX(Utility_Rates!$K$6:$K$17,MONTH(C562))&amp;IF(WEEKDAY(C562,Inputs!$C$76)&lt;=Inputs!$C$74," weekday"," weekend"),Utility_Rates!$C$28:$F$28,Inputs!$C$68)),"")</f>
      </c>
      <c r="H562" s="34"/>
      <c r="I562" s="42">
        <f>IF(AND(ISNUMBER(D562),ISNUMBER(H562)),D562*H562*Inputs!$C$69,"")</f>
      </c>
      <c r="J562" s="42">
        <f>IF(AND(ISNUMBER(F562),ISNUMBER(H562),F562&gt;=Inputs!$C$68),F562*H562*Inputs!$C$69,"")</f>
      </c>
    </row>
    <row r="563" spans="2:10" ht="15" customHeight="1" x14ac:dyDescent="0.2">
      <c r="B563" s="39">
        <f t="shared" si="4"/>
      </c>
      <c r="C563" s="40">
        <f>IF(Inputs!$C$60,Inputs!$C$11+(B563-Inputs!$C$69)/Inputs!$C$70,"")</f>
      </c>
      <c r="D563" s="15"/>
      <c r="E563" s="15"/>
      <c r="F563" s="11">
        <f t="shared" si="5"/>
      </c>
      <c r="G563" s="22" cm="1">
        <f t="array" ref="G563">IF(AND(Inputs!$C$60,Inputs!$C$61),INDEX(Utility_Rates!$C$29:$F$52,HOUR(C563)+Inputs!$C$69,MATCH(INDEX(Utility_Rates!$K$6:$K$17,MONTH(C563))&amp;IF(WEEKDAY(C563,Inputs!$C$76)&lt;=Inputs!$C$74," weekday"," weekend"),Utility_Rates!$C$28:$F$28,Inputs!$C$68)),"")</f>
      </c>
      <c r="H563" s="34"/>
      <c r="I563" s="42">
        <f>IF(AND(ISNUMBER(D563),ISNUMBER(H563)),D563*H563*Inputs!$C$69,"")</f>
      </c>
      <c r="J563" s="42">
        <f>IF(AND(ISNUMBER(F563),ISNUMBER(H563),F563&gt;=Inputs!$C$68),F563*H563*Inputs!$C$69,"")</f>
      </c>
    </row>
    <row r="564" spans="2:10" ht="15" customHeight="1" x14ac:dyDescent="0.2">
      <c r="B564" s="39">
        <f t="shared" si="4"/>
      </c>
      <c r="C564" s="40">
        <f>IF(Inputs!$C$60,Inputs!$C$11+(B564-Inputs!$C$69)/Inputs!$C$70,"")</f>
      </c>
      <c r="D564" s="15"/>
      <c r="E564" s="15"/>
      <c r="F564" s="11">
        <f t="shared" si="5"/>
      </c>
      <c r="G564" s="22" cm="1">
        <f t="array" ref="G564">IF(AND(Inputs!$C$60,Inputs!$C$61),INDEX(Utility_Rates!$C$29:$F$52,HOUR(C564)+Inputs!$C$69,MATCH(INDEX(Utility_Rates!$K$6:$K$17,MONTH(C564))&amp;IF(WEEKDAY(C564,Inputs!$C$76)&lt;=Inputs!$C$74," weekday"," weekend"),Utility_Rates!$C$28:$F$28,Inputs!$C$68)),"")</f>
      </c>
      <c r="H564" s="34"/>
      <c r="I564" s="42">
        <f>IF(AND(ISNUMBER(D564),ISNUMBER(H564)),D564*H564*Inputs!$C$69,"")</f>
      </c>
      <c r="J564" s="42">
        <f>IF(AND(ISNUMBER(F564),ISNUMBER(H564),F564&gt;=Inputs!$C$68),F564*H564*Inputs!$C$69,"")</f>
      </c>
    </row>
    <row r="565" spans="2:10" ht="15" customHeight="1" x14ac:dyDescent="0.2">
      <c r="B565" s="39">
        <f t="shared" si="4"/>
      </c>
      <c r="C565" s="40">
        <f>IF(Inputs!$C$60,Inputs!$C$11+(B565-Inputs!$C$69)/Inputs!$C$70,"")</f>
      </c>
      <c r="D565" s="15"/>
      <c r="E565" s="15"/>
      <c r="F565" s="11">
        <f t="shared" si="5"/>
      </c>
      <c r="G565" s="22" cm="1">
        <f t="array" ref="G565">IF(AND(Inputs!$C$60,Inputs!$C$61),INDEX(Utility_Rates!$C$29:$F$52,HOUR(C565)+Inputs!$C$69,MATCH(INDEX(Utility_Rates!$K$6:$K$17,MONTH(C565))&amp;IF(WEEKDAY(C565,Inputs!$C$76)&lt;=Inputs!$C$74," weekday"," weekend"),Utility_Rates!$C$28:$F$28,Inputs!$C$68)),"")</f>
      </c>
      <c r="H565" s="34"/>
      <c r="I565" s="42">
        <f>IF(AND(ISNUMBER(D565),ISNUMBER(H565)),D565*H565*Inputs!$C$69,"")</f>
      </c>
      <c r="J565" s="42">
        <f>IF(AND(ISNUMBER(F565),ISNUMBER(H565),F565&gt;=Inputs!$C$68),F565*H565*Inputs!$C$69,"")</f>
      </c>
    </row>
    <row r="566" spans="2:10" ht="15" customHeight="1" x14ac:dyDescent="0.2">
      <c r="B566" s="39">
        <f t="shared" si="4"/>
      </c>
      <c r="C566" s="40">
        <f>IF(Inputs!$C$60,Inputs!$C$11+(B566-Inputs!$C$69)/Inputs!$C$70,"")</f>
      </c>
      <c r="D566" s="15"/>
      <c r="E566" s="15"/>
      <c r="F566" s="11">
        <f t="shared" si="5"/>
      </c>
      <c r="G566" s="22" cm="1">
        <f t="array" ref="G566">IF(AND(Inputs!$C$60,Inputs!$C$61),INDEX(Utility_Rates!$C$29:$F$52,HOUR(C566)+Inputs!$C$69,MATCH(INDEX(Utility_Rates!$K$6:$K$17,MONTH(C566))&amp;IF(WEEKDAY(C566,Inputs!$C$76)&lt;=Inputs!$C$74," weekday"," weekend"),Utility_Rates!$C$28:$F$28,Inputs!$C$68)),"")</f>
      </c>
      <c r="H566" s="34"/>
      <c r="I566" s="42">
        <f>IF(AND(ISNUMBER(D566),ISNUMBER(H566)),D566*H566*Inputs!$C$69,"")</f>
      </c>
      <c r="J566" s="42">
        <f>IF(AND(ISNUMBER(F566),ISNUMBER(H566),F566&gt;=Inputs!$C$68),F566*H566*Inputs!$C$69,"")</f>
      </c>
    </row>
    <row r="567" spans="2:10" ht="15" customHeight="1" x14ac:dyDescent="0.2">
      <c r="B567" s="39">
        <f t="shared" si="4"/>
      </c>
      <c r="C567" s="40">
        <f>IF(Inputs!$C$60,Inputs!$C$11+(B567-Inputs!$C$69)/Inputs!$C$70,"")</f>
      </c>
      <c r="D567" s="15"/>
      <c r="E567" s="15"/>
      <c r="F567" s="11">
        <f t="shared" si="5"/>
      </c>
      <c r="G567" s="22" cm="1">
        <f t="array" ref="G567">IF(AND(Inputs!$C$60,Inputs!$C$61),INDEX(Utility_Rates!$C$29:$F$52,HOUR(C567)+Inputs!$C$69,MATCH(INDEX(Utility_Rates!$K$6:$K$17,MONTH(C567))&amp;IF(WEEKDAY(C567,Inputs!$C$76)&lt;=Inputs!$C$74," weekday"," weekend"),Utility_Rates!$C$28:$F$28,Inputs!$C$68)),"")</f>
      </c>
      <c r="H567" s="34"/>
      <c r="I567" s="42">
        <f>IF(AND(ISNUMBER(D567),ISNUMBER(H567)),D567*H567*Inputs!$C$69,"")</f>
      </c>
      <c r="J567" s="42">
        <f>IF(AND(ISNUMBER(F567),ISNUMBER(H567),F567&gt;=Inputs!$C$68),F567*H567*Inputs!$C$69,"")</f>
      </c>
    </row>
    <row r="568" spans="2:10" ht="15" customHeight="1" x14ac:dyDescent="0.2">
      <c r="B568" s="39">
        <f t="shared" si="4"/>
      </c>
      <c r="C568" s="40">
        <f>IF(Inputs!$C$60,Inputs!$C$11+(B568-Inputs!$C$69)/Inputs!$C$70,"")</f>
      </c>
      <c r="D568" s="15"/>
      <c r="E568" s="15"/>
      <c r="F568" s="11">
        <f t="shared" si="5"/>
      </c>
      <c r="G568" s="22" cm="1">
        <f t="array" ref="G568">IF(AND(Inputs!$C$60,Inputs!$C$61),INDEX(Utility_Rates!$C$29:$F$52,HOUR(C568)+Inputs!$C$69,MATCH(INDEX(Utility_Rates!$K$6:$K$17,MONTH(C568))&amp;IF(WEEKDAY(C568,Inputs!$C$76)&lt;=Inputs!$C$74," weekday"," weekend"),Utility_Rates!$C$28:$F$28,Inputs!$C$68)),"")</f>
      </c>
      <c r="H568" s="34"/>
      <c r="I568" s="42">
        <f>IF(AND(ISNUMBER(D568),ISNUMBER(H568)),D568*H568*Inputs!$C$69,"")</f>
      </c>
      <c r="J568" s="42">
        <f>IF(AND(ISNUMBER(F568),ISNUMBER(H568),F568&gt;=Inputs!$C$68),F568*H568*Inputs!$C$69,"")</f>
      </c>
    </row>
    <row r="569" spans="2:10" ht="15" customHeight="1" x14ac:dyDescent="0.2">
      <c r="B569" s="39">
        <f t="shared" si="4"/>
      </c>
      <c r="C569" s="40">
        <f>IF(Inputs!$C$60,Inputs!$C$11+(B569-Inputs!$C$69)/Inputs!$C$70,"")</f>
      </c>
      <c r="D569" s="15"/>
      <c r="E569" s="15"/>
      <c r="F569" s="11">
        <f t="shared" si="5"/>
      </c>
      <c r="G569" s="22" cm="1">
        <f t="array" ref="G569">IF(AND(Inputs!$C$60,Inputs!$C$61),INDEX(Utility_Rates!$C$29:$F$52,HOUR(C569)+Inputs!$C$69,MATCH(INDEX(Utility_Rates!$K$6:$K$17,MONTH(C569))&amp;IF(WEEKDAY(C569,Inputs!$C$76)&lt;=Inputs!$C$74," weekday"," weekend"),Utility_Rates!$C$28:$F$28,Inputs!$C$68)),"")</f>
      </c>
      <c r="H569" s="34"/>
      <c r="I569" s="42">
        <f>IF(AND(ISNUMBER(D569),ISNUMBER(H569)),D569*H569*Inputs!$C$69,"")</f>
      </c>
      <c r="J569" s="42">
        <f>IF(AND(ISNUMBER(F569),ISNUMBER(H569),F569&gt;=Inputs!$C$68),F569*H569*Inputs!$C$69,"")</f>
      </c>
    </row>
    <row r="570" spans="2:10" ht="15" customHeight="1" x14ac:dyDescent="0.2">
      <c r="B570" s="39">
        <f t="shared" si="4"/>
      </c>
      <c r="C570" s="40">
        <f>IF(Inputs!$C$60,Inputs!$C$11+(B570-Inputs!$C$69)/Inputs!$C$70,"")</f>
      </c>
      <c r="D570" s="15"/>
      <c r="E570" s="15"/>
      <c r="F570" s="11">
        <f t="shared" si="5"/>
      </c>
      <c r="G570" s="22" cm="1">
        <f t="array" ref="G570">IF(AND(Inputs!$C$60,Inputs!$C$61),INDEX(Utility_Rates!$C$29:$F$52,HOUR(C570)+Inputs!$C$69,MATCH(INDEX(Utility_Rates!$K$6:$K$17,MONTH(C570))&amp;IF(WEEKDAY(C570,Inputs!$C$76)&lt;=Inputs!$C$74," weekday"," weekend"),Utility_Rates!$C$28:$F$28,Inputs!$C$68)),"")</f>
      </c>
      <c r="H570" s="34"/>
      <c r="I570" s="42">
        <f>IF(AND(ISNUMBER(D570),ISNUMBER(H570)),D570*H570*Inputs!$C$69,"")</f>
      </c>
      <c r="J570" s="42">
        <f>IF(AND(ISNUMBER(F570),ISNUMBER(H570),F570&gt;=Inputs!$C$68),F570*H570*Inputs!$C$69,"")</f>
      </c>
    </row>
    <row r="571" spans="2:10" ht="15" customHeight="1" x14ac:dyDescent="0.2">
      <c r="B571" s="39">
        <f t="shared" si="4"/>
      </c>
      <c r="C571" s="40">
        <f>IF(Inputs!$C$60,Inputs!$C$11+(B571-Inputs!$C$69)/Inputs!$C$70,"")</f>
      </c>
      <c r="D571" s="15"/>
      <c r="E571" s="15"/>
      <c r="F571" s="11">
        <f t="shared" si="5"/>
      </c>
      <c r="G571" s="22" cm="1">
        <f t="array" ref="G571">IF(AND(Inputs!$C$60,Inputs!$C$61),INDEX(Utility_Rates!$C$29:$F$52,HOUR(C571)+Inputs!$C$69,MATCH(INDEX(Utility_Rates!$K$6:$K$17,MONTH(C571))&amp;IF(WEEKDAY(C571,Inputs!$C$76)&lt;=Inputs!$C$74," weekday"," weekend"),Utility_Rates!$C$28:$F$28,Inputs!$C$68)),"")</f>
      </c>
      <c r="H571" s="34"/>
      <c r="I571" s="42">
        <f>IF(AND(ISNUMBER(D571),ISNUMBER(H571)),D571*H571*Inputs!$C$69,"")</f>
      </c>
      <c r="J571" s="42">
        <f>IF(AND(ISNUMBER(F571),ISNUMBER(H571),F571&gt;=Inputs!$C$68),F571*H571*Inputs!$C$69,"")</f>
      </c>
    </row>
    <row r="572" spans="2:10" ht="15" customHeight="1" x14ac:dyDescent="0.2">
      <c r="B572" s="39">
        <f t="shared" si="4"/>
      </c>
      <c r="C572" s="40">
        <f>IF(Inputs!$C$60,Inputs!$C$11+(B572-Inputs!$C$69)/Inputs!$C$70,"")</f>
      </c>
      <c r="D572" s="15"/>
      <c r="E572" s="15"/>
      <c r="F572" s="11">
        <f t="shared" si="5"/>
      </c>
      <c r="G572" s="22" cm="1">
        <f t="array" ref="G572">IF(AND(Inputs!$C$60,Inputs!$C$61),INDEX(Utility_Rates!$C$29:$F$52,HOUR(C572)+Inputs!$C$69,MATCH(INDEX(Utility_Rates!$K$6:$K$17,MONTH(C572))&amp;IF(WEEKDAY(C572,Inputs!$C$76)&lt;=Inputs!$C$74," weekday"," weekend"),Utility_Rates!$C$28:$F$28,Inputs!$C$68)),"")</f>
      </c>
      <c r="H572" s="34"/>
      <c r="I572" s="42">
        <f>IF(AND(ISNUMBER(D572),ISNUMBER(H572)),D572*H572*Inputs!$C$69,"")</f>
      </c>
      <c r="J572" s="42">
        <f>IF(AND(ISNUMBER(F572),ISNUMBER(H572),F572&gt;=Inputs!$C$68),F572*H572*Inputs!$C$69,"")</f>
      </c>
    </row>
    <row r="573" spans="2:10" ht="15" customHeight="1" x14ac:dyDescent="0.2">
      <c r="B573" s="39">
        <f t="shared" si="4"/>
      </c>
      <c r="C573" s="40">
        <f>IF(Inputs!$C$60,Inputs!$C$11+(B573-Inputs!$C$69)/Inputs!$C$70,"")</f>
      </c>
      <c r="D573" s="15"/>
      <c r="E573" s="15"/>
      <c r="F573" s="11">
        <f t="shared" si="5"/>
      </c>
      <c r="G573" s="22" cm="1">
        <f t="array" ref="G573">IF(AND(Inputs!$C$60,Inputs!$C$61),INDEX(Utility_Rates!$C$29:$F$52,HOUR(C573)+Inputs!$C$69,MATCH(INDEX(Utility_Rates!$K$6:$K$17,MONTH(C573))&amp;IF(WEEKDAY(C573,Inputs!$C$76)&lt;=Inputs!$C$74," weekday"," weekend"),Utility_Rates!$C$28:$F$28,Inputs!$C$68)),"")</f>
      </c>
      <c r="H573" s="34"/>
      <c r="I573" s="42">
        <f>IF(AND(ISNUMBER(D573),ISNUMBER(H573)),D573*H573*Inputs!$C$69,"")</f>
      </c>
      <c r="J573" s="42">
        <f>IF(AND(ISNUMBER(F573),ISNUMBER(H573),F573&gt;=Inputs!$C$68),F573*H573*Inputs!$C$69,"")</f>
      </c>
    </row>
    <row r="574" spans="2:10" ht="15" customHeight="1" x14ac:dyDescent="0.2">
      <c r="B574" s="39">
        <f t="shared" si="4"/>
      </c>
      <c r="C574" s="40">
        <f>IF(Inputs!$C$60,Inputs!$C$11+(B574-Inputs!$C$69)/Inputs!$C$70,"")</f>
      </c>
      <c r="D574" s="15"/>
      <c r="E574" s="15"/>
      <c r="F574" s="11">
        <f t="shared" si="5"/>
      </c>
      <c r="G574" s="22" cm="1">
        <f t="array" ref="G574">IF(AND(Inputs!$C$60,Inputs!$C$61),INDEX(Utility_Rates!$C$29:$F$52,HOUR(C574)+Inputs!$C$69,MATCH(INDEX(Utility_Rates!$K$6:$K$17,MONTH(C574))&amp;IF(WEEKDAY(C574,Inputs!$C$76)&lt;=Inputs!$C$74," weekday"," weekend"),Utility_Rates!$C$28:$F$28,Inputs!$C$68)),"")</f>
      </c>
      <c r="H574" s="34"/>
      <c r="I574" s="42">
        <f>IF(AND(ISNUMBER(D574),ISNUMBER(H574)),D574*H574*Inputs!$C$69,"")</f>
      </c>
      <c r="J574" s="42">
        <f>IF(AND(ISNUMBER(F574),ISNUMBER(H574),F574&gt;=Inputs!$C$68),F574*H574*Inputs!$C$69,"")</f>
      </c>
    </row>
    <row r="575" spans="2:10" ht="15" customHeight="1" x14ac:dyDescent="0.2">
      <c r="B575" s="39">
        <f t="shared" si="4"/>
      </c>
      <c r="C575" s="40">
        <f>IF(Inputs!$C$60,Inputs!$C$11+(B575-Inputs!$C$69)/Inputs!$C$70,"")</f>
      </c>
      <c r="D575" s="15"/>
      <c r="E575" s="15"/>
      <c r="F575" s="11">
        <f t="shared" si="5"/>
      </c>
      <c r="G575" s="22" cm="1">
        <f t="array" ref="G575">IF(AND(Inputs!$C$60,Inputs!$C$61),INDEX(Utility_Rates!$C$29:$F$52,HOUR(C575)+Inputs!$C$69,MATCH(INDEX(Utility_Rates!$K$6:$K$17,MONTH(C575))&amp;IF(WEEKDAY(C575,Inputs!$C$76)&lt;=Inputs!$C$74," weekday"," weekend"),Utility_Rates!$C$28:$F$28,Inputs!$C$68)),"")</f>
      </c>
      <c r="H575" s="34"/>
      <c r="I575" s="42">
        <f>IF(AND(ISNUMBER(D575),ISNUMBER(H575)),D575*H575*Inputs!$C$69,"")</f>
      </c>
      <c r="J575" s="42">
        <f>IF(AND(ISNUMBER(F575),ISNUMBER(H575),F575&gt;=Inputs!$C$68),F575*H575*Inputs!$C$69,"")</f>
      </c>
    </row>
    <row r="576" spans="2:10" ht="15" customHeight="1" x14ac:dyDescent="0.2">
      <c r="B576" s="39">
        <f t="shared" si="4"/>
      </c>
      <c r="C576" s="40">
        <f>IF(Inputs!$C$60,Inputs!$C$11+(B576-Inputs!$C$69)/Inputs!$C$70,"")</f>
      </c>
      <c r="D576" s="15"/>
      <c r="E576" s="15"/>
      <c r="F576" s="11">
        <f t="shared" si="5"/>
      </c>
      <c r="G576" s="22" cm="1">
        <f t="array" ref="G576">IF(AND(Inputs!$C$60,Inputs!$C$61),INDEX(Utility_Rates!$C$29:$F$52,HOUR(C576)+Inputs!$C$69,MATCH(INDEX(Utility_Rates!$K$6:$K$17,MONTH(C576))&amp;IF(WEEKDAY(C576,Inputs!$C$76)&lt;=Inputs!$C$74," weekday"," weekend"),Utility_Rates!$C$28:$F$28,Inputs!$C$68)),"")</f>
      </c>
      <c r="H576" s="34"/>
      <c r="I576" s="42">
        <f>IF(AND(ISNUMBER(D576),ISNUMBER(H576)),D576*H576*Inputs!$C$69,"")</f>
      </c>
      <c r="J576" s="42">
        <f>IF(AND(ISNUMBER(F576),ISNUMBER(H576),F576&gt;=Inputs!$C$68),F576*H576*Inputs!$C$69,"")</f>
      </c>
    </row>
    <row r="577" spans="2:10" ht="15" customHeight="1" x14ac:dyDescent="0.2">
      <c r="B577" s="39">
        <f t="shared" si="4"/>
      </c>
      <c r="C577" s="40">
        <f>IF(Inputs!$C$60,Inputs!$C$11+(B577-Inputs!$C$69)/Inputs!$C$70,"")</f>
      </c>
      <c r="D577" s="15"/>
      <c r="E577" s="15"/>
      <c r="F577" s="11">
        <f t="shared" si="5"/>
      </c>
      <c r="G577" s="22" cm="1">
        <f t="array" ref="G577">IF(AND(Inputs!$C$60,Inputs!$C$61),INDEX(Utility_Rates!$C$29:$F$52,HOUR(C577)+Inputs!$C$69,MATCH(INDEX(Utility_Rates!$K$6:$K$17,MONTH(C577))&amp;IF(WEEKDAY(C577,Inputs!$C$76)&lt;=Inputs!$C$74," weekday"," weekend"),Utility_Rates!$C$28:$F$28,Inputs!$C$68)),"")</f>
      </c>
      <c r="H577" s="34"/>
      <c r="I577" s="42">
        <f>IF(AND(ISNUMBER(D577),ISNUMBER(H577)),D577*H577*Inputs!$C$69,"")</f>
      </c>
      <c r="J577" s="42">
        <f>IF(AND(ISNUMBER(F577),ISNUMBER(H577),F577&gt;=Inputs!$C$68),F577*H577*Inputs!$C$69,"")</f>
      </c>
    </row>
    <row r="578" spans="2:10" ht="15" customHeight="1" x14ac:dyDescent="0.2">
      <c r="B578" s="39">
        <f t="shared" si="4"/>
      </c>
      <c r="C578" s="40">
        <f>IF(Inputs!$C$60,Inputs!$C$11+(B578-Inputs!$C$69)/Inputs!$C$70,"")</f>
      </c>
      <c r="D578" s="15"/>
      <c r="E578" s="15"/>
      <c r="F578" s="11">
        <f t="shared" si="5"/>
      </c>
      <c r="G578" s="22" cm="1">
        <f t="array" ref="G578">IF(AND(Inputs!$C$60,Inputs!$C$61),INDEX(Utility_Rates!$C$29:$F$52,HOUR(C578)+Inputs!$C$69,MATCH(INDEX(Utility_Rates!$K$6:$K$17,MONTH(C578))&amp;IF(WEEKDAY(C578,Inputs!$C$76)&lt;=Inputs!$C$74," weekday"," weekend"),Utility_Rates!$C$28:$F$28,Inputs!$C$68)),"")</f>
      </c>
      <c r="H578" s="34"/>
      <c r="I578" s="42">
        <f>IF(AND(ISNUMBER(D578),ISNUMBER(H578)),D578*H578*Inputs!$C$69,"")</f>
      </c>
      <c r="J578" s="42">
        <f>IF(AND(ISNUMBER(F578),ISNUMBER(H578),F578&gt;=Inputs!$C$68),F578*H578*Inputs!$C$69,"")</f>
      </c>
    </row>
    <row r="579" spans="2:10" ht="15" customHeight="1" x14ac:dyDescent="0.2">
      <c r="B579" s="39">
        <f t="shared" si="4"/>
      </c>
      <c r="C579" s="40">
        <f>IF(Inputs!$C$60,Inputs!$C$11+(B579-Inputs!$C$69)/Inputs!$C$70,"")</f>
      </c>
      <c r="D579" s="15"/>
      <c r="E579" s="15"/>
      <c r="F579" s="11">
        <f t="shared" si="5"/>
      </c>
      <c r="G579" s="22" cm="1">
        <f t="array" ref="G579">IF(AND(Inputs!$C$60,Inputs!$C$61),INDEX(Utility_Rates!$C$29:$F$52,HOUR(C579)+Inputs!$C$69,MATCH(INDEX(Utility_Rates!$K$6:$K$17,MONTH(C579))&amp;IF(WEEKDAY(C579,Inputs!$C$76)&lt;=Inputs!$C$74," weekday"," weekend"),Utility_Rates!$C$28:$F$28,Inputs!$C$68)),"")</f>
      </c>
      <c r="H579" s="34"/>
      <c r="I579" s="42">
        <f>IF(AND(ISNUMBER(D579),ISNUMBER(H579)),D579*H579*Inputs!$C$69,"")</f>
      </c>
      <c r="J579" s="42">
        <f>IF(AND(ISNUMBER(F579),ISNUMBER(H579),F579&gt;=Inputs!$C$68),F579*H579*Inputs!$C$69,"")</f>
      </c>
    </row>
    <row r="580" spans="2:10" ht="15" customHeight="1" x14ac:dyDescent="0.2">
      <c r="B580" s="39">
        <f t="shared" si="4"/>
      </c>
      <c r="C580" s="40">
        <f>IF(Inputs!$C$60,Inputs!$C$11+(B580-Inputs!$C$69)/Inputs!$C$70,"")</f>
      </c>
      <c r="D580" s="15"/>
      <c r="E580" s="15"/>
      <c r="F580" s="11">
        <f t="shared" si="5"/>
      </c>
      <c r="G580" s="22" cm="1">
        <f t="array" ref="G580">IF(AND(Inputs!$C$60,Inputs!$C$61),INDEX(Utility_Rates!$C$29:$F$52,HOUR(C580)+Inputs!$C$69,MATCH(INDEX(Utility_Rates!$K$6:$K$17,MONTH(C580))&amp;IF(WEEKDAY(C580,Inputs!$C$76)&lt;=Inputs!$C$74," weekday"," weekend"),Utility_Rates!$C$28:$F$28,Inputs!$C$68)),"")</f>
      </c>
      <c r="H580" s="34"/>
      <c r="I580" s="42">
        <f>IF(AND(ISNUMBER(D580),ISNUMBER(H580)),D580*H580*Inputs!$C$69,"")</f>
      </c>
      <c r="J580" s="42">
        <f>IF(AND(ISNUMBER(F580),ISNUMBER(H580),F580&gt;=Inputs!$C$68),F580*H580*Inputs!$C$69,"")</f>
      </c>
    </row>
    <row r="581" spans="2:10" ht="15" customHeight="1" x14ac:dyDescent="0.2">
      <c r="B581" s="39">
        <f t="shared" si="4"/>
      </c>
      <c r="C581" s="40">
        <f>IF(Inputs!$C$60,Inputs!$C$11+(B581-Inputs!$C$69)/Inputs!$C$70,"")</f>
      </c>
      <c r="D581" s="15"/>
      <c r="E581" s="15"/>
      <c r="F581" s="11">
        <f t="shared" si="5"/>
      </c>
      <c r="G581" s="22" cm="1">
        <f t="array" ref="G581">IF(AND(Inputs!$C$60,Inputs!$C$61),INDEX(Utility_Rates!$C$29:$F$52,HOUR(C581)+Inputs!$C$69,MATCH(INDEX(Utility_Rates!$K$6:$K$17,MONTH(C581))&amp;IF(WEEKDAY(C581,Inputs!$C$76)&lt;=Inputs!$C$74," weekday"," weekend"),Utility_Rates!$C$28:$F$28,Inputs!$C$68)),"")</f>
      </c>
      <c r="H581" s="34"/>
      <c r="I581" s="42">
        <f>IF(AND(ISNUMBER(D581),ISNUMBER(H581)),D581*H581*Inputs!$C$69,"")</f>
      </c>
      <c r="J581" s="42">
        <f>IF(AND(ISNUMBER(F581),ISNUMBER(H581),F581&gt;=Inputs!$C$68),F581*H581*Inputs!$C$69,"")</f>
      </c>
    </row>
    <row r="582" spans="2:10" ht="15" customHeight="1" x14ac:dyDescent="0.2">
      <c r="B582" s="39">
        <f t="shared" si="4"/>
      </c>
      <c r="C582" s="40">
        <f>IF(Inputs!$C$60,Inputs!$C$11+(B582-Inputs!$C$69)/Inputs!$C$70,"")</f>
      </c>
      <c r="D582" s="15"/>
      <c r="E582" s="15"/>
      <c r="F582" s="11">
        <f t="shared" si="5"/>
      </c>
      <c r="G582" s="22" cm="1">
        <f t="array" ref="G582">IF(AND(Inputs!$C$60,Inputs!$C$61),INDEX(Utility_Rates!$C$29:$F$52,HOUR(C582)+Inputs!$C$69,MATCH(INDEX(Utility_Rates!$K$6:$K$17,MONTH(C582))&amp;IF(WEEKDAY(C582,Inputs!$C$76)&lt;=Inputs!$C$74," weekday"," weekend"),Utility_Rates!$C$28:$F$28,Inputs!$C$68)),"")</f>
      </c>
      <c r="H582" s="34"/>
      <c r="I582" s="42">
        <f>IF(AND(ISNUMBER(D582),ISNUMBER(H582)),D582*H582*Inputs!$C$69,"")</f>
      </c>
      <c r="J582" s="42">
        <f>IF(AND(ISNUMBER(F582),ISNUMBER(H582),F582&gt;=Inputs!$C$68),F582*H582*Inputs!$C$69,"")</f>
      </c>
    </row>
    <row r="583" spans="2:10" ht="15" customHeight="1" x14ac:dyDescent="0.2">
      <c r="B583" s="39">
        <f t="shared" si="4"/>
      </c>
      <c r="C583" s="40">
        <f>IF(Inputs!$C$60,Inputs!$C$11+(B583-Inputs!$C$69)/Inputs!$C$70,"")</f>
      </c>
      <c r="D583" s="15"/>
      <c r="E583" s="15"/>
      <c r="F583" s="11">
        <f t="shared" si="5"/>
      </c>
      <c r="G583" s="22" cm="1">
        <f t="array" ref="G583">IF(AND(Inputs!$C$60,Inputs!$C$61),INDEX(Utility_Rates!$C$29:$F$52,HOUR(C583)+Inputs!$C$69,MATCH(INDEX(Utility_Rates!$K$6:$K$17,MONTH(C583))&amp;IF(WEEKDAY(C583,Inputs!$C$76)&lt;=Inputs!$C$74," weekday"," weekend"),Utility_Rates!$C$28:$F$28,Inputs!$C$68)),"")</f>
      </c>
      <c r="H583" s="34"/>
      <c r="I583" s="42">
        <f>IF(AND(ISNUMBER(D583),ISNUMBER(H583)),D583*H583*Inputs!$C$69,"")</f>
      </c>
      <c r="J583" s="42">
        <f>IF(AND(ISNUMBER(F583),ISNUMBER(H583),F583&gt;=Inputs!$C$68),F583*H583*Inputs!$C$69,"")</f>
      </c>
    </row>
    <row r="584" spans="2:10" ht="15" customHeight="1" x14ac:dyDescent="0.2">
      <c r="B584" s="39">
        <f t="shared" si="4"/>
      </c>
      <c r="C584" s="40">
        <f>IF(Inputs!$C$60,Inputs!$C$11+(B584-Inputs!$C$69)/Inputs!$C$70,"")</f>
      </c>
      <c r="D584" s="15"/>
      <c r="E584" s="15"/>
      <c r="F584" s="11">
        <f t="shared" si="5"/>
      </c>
      <c r="G584" s="22" cm="1">
        <f t="array" ref="G584">IF(AND(Inputs!$C$60,Inputs!$C$61),INDEX(Utility_Rates!$C$29:$F$52,HOUR(C584)+Inputs!$C$69,MATCH(INDEX(Utility_Rates!$K$6:$K$17,MONTH(C584))&amp;IF(WEEKDAY(C584,Inputs!$C$76)&lt;=Inputs!$C$74," weekday"," weekend"),Utility_Rates!$C$28:$F$28,Inputs!$C$68)),"")</f>
      </c>
      <c r="H584" s="34"/>
      <c r="I584" s="42">
        <f>IF(AND(ISNUMBER(D584),ISNUMBER(H584)),D584*H584*Inputs!$C$69,"")</f>
      </c>
      <c r="J584" s="42">
        <f>IF(AND(ISNUMBER(F584),ISNUMBER(H584),F584&gt;=Inputs!$C$68),F584*H584*Inputs!$C$69,"")</f>
      </c>
    </row>
    <row r="585" spans="2:10" ht="15" customHeight="1" x14ac:dyDescent="0.2">
      <c r="B585" s="39">
        <f t="shared" si="4"/>
      </c>
      <c r="C585" s="40">
        <f>IF(Inputs!$C$60,Inputs!$C$11+(B585-Inputs!$C$69)/Inputs!$C$70,"")</f>
      </c>
      <c r="D585" s="15"/>
      <c r="E585" s="15"/>
      <c r="F585" s="11">
        <f t="shared" si="5"/>
      </c>
      <c r="G585" s="22" cm="1">
        <f t="array" ref="G585">IF(AND(Inputs!$C$60,Inputs!$C$61),INDEX(Utility_Rates!$C$29:$F$52,HOUR(C585)+Inputs!$C$69,MATCH(INDEX(Utility_Rates!$K$6:$K$17,MONTH(C585))&amp;IF(WEEKDAY(C585,Inputs!$C$76)&lt;=Inputs!$C$74," weekday"," weekend"),Utility_Rates!$C$28:$F$28,Inputs!$C$68)),"")</f>
      </c>
      <c r="H585" s="34"/>
      <c r="I585" s="42">
        <f>IF(AND(ISNUMBER(D585),ISNUMBER(H585)),D585*H585*Inputs!$C$69,"")</f>
      </c>
      <c r="J585" s="42">
        <f>IF(AND(ISNUMBER(F585),ISNUMBER(H585),F585&gt;=Inputs!$C$68),F585*H585*Inputs!$C$69,"")</f>
      </c>
    </row>
    <row r="586" spans="2:10" ht="15" customHeight="1" x14ac:dyDescent="0.2">
      <c r="B586" s="39">
        <f t="shared" si="4"/>
      </c>
      <c r="C586" s="40">
        <f>IF(Inputs!$C$60,Inputs!$C$11+(B586-Inputs!$C$69)/Inputs!$C$70,"")</f>
      </c>
      <c r="D586" s="15"/>
      <c r="E586" s="15"/>
      <c r="F586" s="11">
        <f t="shared" si="5"/>
      </c>
      <c r="G586" s="22" cm="1">
        <f t="array" ref="G586">IF(AND(Inputs!$C$60,Inputs!$C$61),INDEX(Utility_Rates!$C$29:$F$52,HOUR(C586)+Inputs!$C$69,MATCH(INDEX(Utility_Rates!$K$6:$K$17,MONTH(C586))&amp;IF(WEEKDAY(C586,Inputs!$C$76)&lt;=Inputs!$C$74," weekday"," weekend"),Utility_Rates!$C$28:$F$28,Inputs!$C$68)),"")</f>
      </c>
      <c r="H586" s="34"/>
      <c r="I586" s="42">
        <f>IF(AND(ISNUMBER(D586),ISNUMBER(H586)),D586*H586*Inputs!$C$69,"")</f>
      </c>
      <c r="J586" s="42">
        <f>IF(AND(ISNUMBER(F586),ISNUMBER(H586),F586&gt;=Inputs!$C$68),F586*H586*Inputs!$C$69,"")</f>
      </c>
    </row>
    <row r="587" spans="2:10" ht="15" customHeight="1" x14ac:dyDescent="0.2">
      <c r="B587" s="39">
        <f t="shared" si="4"/>
      </c>
      <c r="C587" s="40">
        <f>IF(Inputs!$C$60,Inputs!$C$11+(B587-Inputs!$C$69)/Inputs!$C$70,"")</f>
      </c>
      <c r="D587" s="15"/>
      <c r="E587" s="15"/>
      <c r="F587" s="11">
        <f t="shared" si="5"/>
      </c>
      <c r="G587" s="22" cm="1">
        <f t="array" ref="G587">IF(AND(Inputs!$C$60,Inputs!$C$61),INDEX(Utility_Rates!$C$29:$F$52,HOUR(C587)+Inputs!$C$69,MATCH(INDEX(Utility_Rates!$K$6:$K$17,MONTH(C587))&amp;IF(WEEKDAY(C587,Inputs!$C$76)&lt;=Inputs!$C$74," weekday"," weekend"),Utility_Rates!$C$28:$F$28,Inputs!$C$68)),"")</f>
      </c>
      <c r="H587" s="34"/>
      <c r="I587" s="42">
        <f>IF(AND(ISNUMBER(D587),ISNUMBER(H587)),D587*H587*Inputs!$C$69,"")</f>
      </c>
      <c r="J587" s="42">
        <f>IF(AND(ISNUMBER(F587),ISNUMBER(H587),F587&gt;=Inputs!$C$68),F587*H587*Inputs!$C$69,"")</f>
      </c>
    </row>
    <row r="588" spans="2:10" ht="15" customHeight="1" x14ac:dyDescent="0.2">
      <c r="B588" s="39">
        <f t="shared" si="4"/>
      </c>
      <c r="C588" s="40">
        <f>IF(Inputs!$C$60,Inputs!$C$11+(B588-Inputs!$C$69)/Inputs!$C$70,"")</f>
      </c>
      <c r="D588" s="15"/>
      <c r="E588" s="15"/>
      <c r="F588" s="11">
        <f t="shared" si="5"/>
      </c>
      <c r="G588" s="22" cm="1">
        <f t="array" ref="G588">IF(AND(Inputs!$C$60,Inputs!$C$61),INDEX(Utility_Rates!$C$29:$F$52,HOUR(C588)+Inputs!$C$69,MATCH(INDEX(Utility_Rates!$K$6:$K$17,MONTH(C588))&amp;IF(WEEKDAY(C588,Inputs!$C$76)&lt;=Inputs!$C$74," weekday"," weekend"),Utility_Rates!$C$28:$F$28,Inputs!$C$68)),"")</f>
      </c>
      <c r="H588" s="34"/>
      <c r="I588" s="42">
        <f>IF(AND(ISNUMBER(D588),ISNUMBER(H588)),D588*H588*Inputs!$C$69,"")</f>
      </c>
      <c r="J588" s="42">
        <f>IF(AND(ISNUMBER(F588),ISNUMBER(H588),F588&gt;=Inputs!$C$68),F588*H588*Inputs!$C$69,"")</f>
      </c>
    </row>
    <row r="589" spans="2:10" ht="15" customHeight="1" x14ac:dyDescent="0.2">
      <c r="B589" s="39">
        <f t="shared" si="4"/>
      </c>
      <c r="C589" s="40">
        <f>IF(Inputs!$C$60,Inputs!$C$11+(B589-Inputs!$C$69)/Inputs!$C$70,"")</f>
      </c>
      <c r="D589" s="15"/>
      <c r="E589" s="15"/>
      <c r="F589" s="11">
        <f t="shared" si="5"/>
      </c>
      <c r="G589" s="22" cm="1">
        <f t="array" ref="G589">IF(AND(Inputs!$C$60,Inputs!$C$61),INDEX(Utility_Rates!$C$29:$F$52,HOUR(C589)+Inputs!$C$69,MATCH(INDEX(Utility_Rates!$K$6:$K$17,MONTH(C589))&amp;IF(WEEKDAY(C589,Inputs!$C$76)&lt;=Inputs!$C$74," weekday"," weekend"),Utility_Rates!$C$28:$F$28,Inputs!$C$68)),"")</f>
      </c>
      <c r="H589" s="34"/>
      <c r="I589" s="42">
        <f>IF(AND(ISNUMBER(D589),ISNUMBER(H589)),D589*H589*Inputs!$C$69,"")</f>
      </c>
      <c r="J589" s="42">
        <f>IF(AND(ISNUMBER(F589),ISNUMBER(H589),F589&gt;=Inputs!$C$68),F589*H589*Inputs!$C$69,"")</f>
      </c>
    </row>
    <row r="590" spans="2:10" ht="15" customHeight="1" x14ac:dyDescent="0.2">
      <c r="B590" s="39">
        <f t="shared" si="4"/>
      </c>
      <c r="C590" s="40">
        <f>IF(Inputs!$C$60,Inputs!$C$11+(B590-Inputs!$C$69)/Inputs!$C$70,"")</f>
      </c>
      <c r="D590" s="15"/>
      <c r="E590" s="15"/>
      <c r="F590" s="11">
        <f t="shared" si="5"/>
      </c>
      <c r="G590" s="22" cm="1">
        <f t="array" ref="G590">IF(AND(Inputs!$C$60,Inputs!$C$61),INDEX(Utility_Rates!$C$29:$F$52,HOUR(C590)+Inputs!$C$69,MATCH(INDEX(Utility_Rates!$K$6:$K$17,MONTH(C590))&amp;IF(WEEKDAY(C590,Inputs!$C$76)&lt;=Inputs!$C$74," weekday"," weekend"),Utility_Rates!$C$28:$F$28,Inputs!$C$68)),"")</f>
      </c>
      <c r="H590" s="34"/>
      <c r="I590" s="42">
        <f>IF(AND(ISNUMBER(D590),ISNUMBER(H590)),D590*H590*Inputs!$C$69,"")</f>
      </c>
      <c r="J590" s="42">
        <f>IF(AND(ISNUMBER(F590),ISNUMBER(H590),F590&gt;=Inputs!$C$68),F590*H590*Inputs!$C$69,"")</f>
      </c>
    </row>
    <row r="591" spans="2:10" ht="15" customHeight="1" x14ac:dyDescent="0.2">
      <c r="B591" s="39">
        <f t="shared" si="4"/>
      </c>
      <c r="C591" s="40">
        <f>IF(Inputs!$C$60,Inputs!$C$11+(B591-Inputs!$C$69)/Inputs!$C$70,"")</f>
      </c>
      <c r="D591" s="15"/>
      <c r="E591" s="15"/>
      <c r="F591" s="11">
        <f t="shared" si="5"/>
      </c>
      <c r="G591" s="22" cm="1">
        <f t="array" ref="G591">IF(AND(Inputs!$C$60,Inputs!$C$61),INDEX(Utility_Rates!$C$29:$F$52,HOUR(C591)+Inputs!$C$69,MATCH(INDEX(Utility_Rates!$K$6:$K$17,MONTH(C591))&amp;IF(WEEKDAY(C591,Inputs!$C$76)&lt;=Inputs!$C$74," weekday"," weekend"),Utility_Rates!$C$28:$F$28,Inputs!$C$68)),"")</f>
      </c>
      <c r="H591" s="34"/>
      <c r="I591" s="42">
        <f>IF(AND(ISNUMBER(D591),ISNUMBER(H591)),D591*H591*Inputs!$C$69,"")</f>
      </c>
      <c r="J591" s="42">
        <f>IF(AND(ISNUMBER(F591),ISNUMBER(H591),F591&gt;=Inputs!$C$68),F591*H591*Inputs!$C$69,"")</f>
      </c>
    </row>
    <row r="592" spans="2:10" ht="15" customHeight="1" x14ac:dyDescent="0.2">
      <c r="B592" s="39">
        <f t="shared" si="4"/>
      </c>
      <c r="C592" s="40">
        <f>IF(Inputs!$C$60,Inputs!$C$11+(B592-Inputs!$C$69)/Inputs!$C$70,"")</f>
      </c>
      <c r="D592" s="15"/>
      <c r="E592" s="15"/>
      <c r="F592" s="11">
        <f t="shared" si="5"/>
      </c>
      <c r="G592" s="22" cm="1">
        <f t="array" ref="G592">IF(AND(Inputs!$C$60,Inputs!$C$61),INDEX(Utility_Rates!$C$29:$F$52,HOUR(C592)+Inputs!$C$69,MATCH(INDEX(Utility_Rates!$K$6:$K$17,MONTH(C592))&amp;IF(WEEKDAY(C592,Inputs!$C$76)&lt;=Inputs!$C$74," weekday"," weekend"),Utility_Rates!$C$28:$F$28,Inputs!$C$68)),"")</f>
      </c>
      <c r="H592" s="34"/>
      <c r="I592" s="42">
        <f>IF(AND(ISNUMBER(D592),ISNUMBER(H592)),D592*H592*Inputs!$C$69,"")</f>
      </c>
      <c r="J592" s="42">
        <f>IF(AND(ISNUMBER(F592),ISNUMBER(H592),F592&gt;=Inputs!$C$68),F592*H592*Inputs!$C$69,"")</f>
      </c>
    </row>
    <row r="593" spans="2:10" ht="15" customHeight="1" x14ac:dyDescent="0.2">
      <c r="B593" s="39">
        <f t="shared" si="4"/>
      </c>
      <c r="C593" s="40">
        <f>IF(Inputs!$C$60,Inputs!$C$11+(B593-Inputs!$C$69)/Inputs!$C$70,"")</f>
      </c>
      <c r="D593" s="15"/>
      <c r="E593" s="15"/>
      <c r="F593" s="11">
        <f t="shared" si="5"/>
      </c>
      <c r="G593" s="22" cm="1">
        <f t="array" ref="G593">IF(AND(Inputs!$C$60,Inputs!$C$61),INDEX(Utility_Rates!$C$29:$F$52,HOUR(C593)+Inputs!$C$69,MATCH(INDEX(Utility_Rates!$K$6:$K$17,MONTH(C593))&amp;IF(WEEKDAY(C593,Inputs!$C$76)&lt;=Inputs!$C$74," weekday"," weekend"),Utility_Rates!$C$28:$F$28,Inputs!$C$68)),"")</f>
      </c>
      <c r="H593" s="34"/>
      <c r="I593" s="42">
        <f>IF(AND(ISNUMBER(D593),ISNUMBER(H593)),D593*H593*Inputs!$C$69,"")</f>
      </c>
      <c r="J593" s="42">
        <f>IF(AND(ISNUMBER(F593),ISNUMBER(H593),F593&gt;=Inputs!$C$68),F593*H593*Inputs!$C$69,"")</f>
      </c>
    </row>
    <row r="594" spans="2:10" ht="15" customHeight="1" x14ac:dyDescent="0.2">
      <c r="B594" s="39">
        <f t="shared" si="4"/>
      </c>
      <c r="C594" s="40">
        <f>IF(Inputs!$C$60,Inputs!$C$11+(B594-Inputs!$C$69)/Inputs!$C$70,"")</f>
      </c>
      <c r="D594" s="15"/>
      <c r="E594" s="15"/>
      <c r="F594" s="11">
        <f t="shared" si="5"/>
      </c>
      <c r="G594" s="22" cm="1">
        <f t="array" ref="G594">IF(AND(Inputs!$C$60,Inputs!$C$61),INDEX(Utility_Rates!$C$29:$F$52,HOUR(C594)+Inputs!$C$69,MATCH(INDEX(Utility_Rates!$K$6:$K$17,MONTH(C594))&amp;IF(WEEKDAY(C594,Inputs!$C$76)&lt;=Inputs!$C$74," weekday"," weekend"),Utility_Rates!$C$28:$F$28,Inputs!$C$68)),"")</f>
      </c>
      <c r="H594" s="34"/>
      <c r="I594" s="42">
        <f>IF(AND(ISNUMBER(D594),ISNUMBER(H594)),D594*H594*Inputs!$C$69,"")</f>
      </c>
      <c r="J594" s="42">
        <f>IF(AND(ISNUMBER(F594),ISNUMBER(H594),F594&gt;=Inputs!$C$68),F594*H594*Inputs!$C$69,"")</f>
      </c>
    </row>
    <row r="595" spans="2:10" ht="15" customHeight="1" x14ac:dyDescent="0.2">
      <c r="B595" s="39">
        <f t="shared" si="4"/>
      </c>
      <c r="C595" s="40">
        <f>IF(Inputs!$C$60,Inputs!$C$11+(B595-Inputs!$C$69)/Inputs!$C$70,"")</f>
      </c>
      <c r="D595" s="15"/>
      <c r="E595" s="15"/>
      <c r="F595" s="11">
        <f t="shared" si="5"/>
      </c>
      <c r="G595" s="22" cm="1">
        <f t="array" ref="G595">IF(AND(Inputs!$C$60,Inputs!$C$61),INDEX(Utility_Rates!$C$29:$F$52,HOUR(C595)+Inputs!$C$69,MATCH(INDEX(Utility_Rates!$K$6:$K$17,MONTH(C595))&amp;IF(WEEKDAY(C595,Inputs!$C$76)&lt;=Inputs!$C$74," weekday"," weekend"),Utility_Rates!$C$28:$F$28,Inputs!$C$68)),"")</f>
      </c>
      <c r="H595" s="34"/>
      <c r="I595" s="42">
        <f>IF(AND(ISNUMBER(D595),ISNUMBER(H595)),D595*H595*Inputs!$C$69,"")</f>
      </c>
      <c r="J595" s="42">
        <f>IF(AND(ISNUMBER(F595),ISNUMBER(H595),F595&gt;=Inputs!$C$68),F595*H595*Inputs!$C$69,"")</f>
      </c>
    </row>
    <row r="596" spans="2:10" ht="15" customHeight="1" x14ac:dyDescent="0.2">
      <c r="B596" s="39">
        <f t="shared" si="4"/>
      </c>
      <c r="C596" s="40">
        <f>IF(Inputs!$C$60,Inputs!$C$11+(B596-Inputs!$C$69)/Inputs!$C$70,"")</f>
      </c>
      <c r="D596" s="15"/>
      <c r="E596" s="15"/>
      <c r="F596" s="11">
        <f t="shared" si="5"/>
      </c>
      <c r="G596" s="22" cm="1">
        <f t="array" ref="G596">IF(AND(Inputs!$C$60,Inputs!$C$61),INDEX(Utility_Rates!$C$29:$F$52,HOUR(C596)+Inputs!$C$69,MATCH(INDEX(Utility_Rates!$K$6:$K$17,MONTH(C596))&amp;IF(WEEKDAY(C596,Inputs!$C$76)&lt;=Inputs!$C$74," weekday"," weekend"),Utility_Rates!$C$28:$F$28,Inputs!$C$68)),"")</f>
      </c>
      <c r="H596" s="34"/>
      <c r="I596" s="42">
        <f>IF(AND(ISNUMBER(D596),ISNUMBER(H596)),D596*H596*Inputs!$C$69,"")</f>
      </c>
      <c r="J596" s="42">
        <f>IF(AND(ISNUMBER(F596),ISNUMBER(H596),F596&gt;=Inputs!$C$68),F596*H596*Inputs!$C$69,"")</f>
      </c>
    </row>
    <row r="597" spans="2:10" ht="15" customHeight="1" x14ac:dyDescent="0.2">
      <c r="B597" s="39">
        <f t="shared" si="4"/>
      </c>
      <c r="C597" s="40">
        <f>IF(Inputs!$C$60,Inputs!$C$11+(B597-Inputs!$C$69)/Inputs!$C$70,"")</f>
      </c>
      <c r="D597" s="15"/>
      <c r="E597" s="15"/>
      <c r="F597" s="11">
        <f t="shared" si="5"/>
      </c>
      <c r="G597" s="22" cm="1">
        <f t="array" ref="G597">IF(AND(Inputs!$C$60,Inputs!$C$61),INDEX(Utility_Rates!$C$29:$F$52,HOUR(C597)+Inputs!$C$69,MATCH(INDEX(Utility_Rates!$K$6:$K$17,MONTH(C597))&amp;IF(WEEKDAY(C597,Inputs!$C$76)&lt;=Inputs!$C$74," weekday"," weekend"),Utility_Rates!$C$28:$F$28,Inputs!$C$68)),"")</f>
      </c>
      <c r="H597" s="34"/>
      <c r="I597" s="42">
        <f>IF(AND(ISNUMBER(D597),ISNUMBER(H597)),D597*H597*Inputs!$C$69,"")</f>
      </c>
      <c r="J597" s="42">
        <f>IF(AND(ISNUMBER(F597),ISNUMBER(H597),F597&gt;=Inputs!$C$68),F597*H597*Inputs!$C$69,"")</f>
      </c>
    </row>
    <row r="598" spans="2:10" ht="15" customHeight="1" x14ac:dyDescent="0.2">
      <c r="B598" s="39">
        <f t="shared" si="4"/>
      </c>
      <c r="C598" s="40">
        <f>IF(Inputs!$C$60,Inputs!$C$11+(B598-Inputs!$C$69)/Inputs!$C$70,"")</f>
      </c>
      <c r="D598" s="15"/>
      <c r="E598" s="15"/>
      <c r="F598" s="11">
        <f t="shared" si="5"/>
      </c>
      <c r="G598" s="22" cm="1">
        <f t="array" ref="G598">IF(AND(Inputs!$C$60,Inputs!$C$61),INDEX(Utility_Rates!$C$29:$F$52,HOUR(C598)+Inputs!$C$69,MATCH(INDEX(Utility_Rates!$K$6:$K$17,MONTH(C598))&amp;IF(WEEKDAY(C598,Inputs!$C$76)&lt;=Inputs!$C$74," weekday"," weekend"),Utility_Rates!$C$28:$F$28,Inputs!$C$68)),"")</f>
      </c>
      <c r="H598" s="34"/>
      <c r="I598" s="42">
        <f>IF(AND(ISNUMBER(D598),ISNUMBER(H598)),D598*H598*Inputs!$C$69,"")</f>
      </c>
      <c r="J598" s="42">
        <f>IF(AND(ISNUMBER(F598),ISNUMBER(H598),F598&gt;=Inputs!$C$68),F598*H598*Inputs!$C$69,"")</f>
      </c>
    </row>
    <row r="599" spans="2:10" ht="15" customHeight="1" x14ac:dyDescent="0.2">
      <c r="B599" s="39">
        <f t="shared" si="4"/>
      </c>
      <c r="C599" s="40">
        <f>IF(Inputs!$C$60,Inputs!$C$11+(B599-Inputs!$C$69)/Inputs!$C$70,"")</f>
      </c>
      <c r="D599" s="15"/>
      <c r="E599" s="15"/>
      <c r="F599" s="11">
        <f t="shared" si="5"/>
      </c>
      <c r="G599" s="22" cm="1">
        <f t="array" ref="G599">IF(AND(Inputs!$C$60,Inputs!$C$61),INDEX(Utility_Rates!$C$29:$F$52,HOUR(C599)+Inputs!$C$69,MATCH(INDEX(Utility_Rates!$K$6:$K$17,MONTH(C599))&amp;IF(WEEKDAY(C599,Inputs!$C$76)&lt;=Inputs!$C$74," weekday"," weekend"),Utility_Rates!$C$28:$F$28,Inputs!$C$68)),"")</f>
      </c>
      <c r="H599" s="34"/>
      <c r="I599" s="42">
        <f>IF(AND(ISNUMBER(D599),ISNUMBER(H599)),D599*H599*Inputs!$C$69,"")</f>
      </c>
      <c r="J599" s="42">
        <f>IF(AND(ISNUMBER(F599),ISNUMBER(H599),F599&gt;=Inputs!$C$68),F599*H599*Inputs!$C$69,"")</f>
      </c>
    </row>
    <row r="600" spans="2:10" ht="15" customHeight="1" x14ac:dyDescent="0.2">
      <c r="B600" s="39">
        <f t="shared" si="4"/>
      </c>
      <c r="C600" s="40">
        <f>IF(Inputs!$C$60,Inputs!$C$11+(B600-Inputs!$C$69)/Inputs!$C$70,"")</f>
      </c>
      <c r="D600" s="15"/>
      <c r="E600" s="15"/>
      <c r="F600" s="11">
        <f t="shared" si="5"/>
      </c>
      <c r="G600" s="22" cm="1">
        <f t="array" ref="G600">IF(AND(Inputs!$C$60,Inputs!$C$61),INDEX(Utility_Rates!$C$29:$F$52,HOUR(C600)+Inputs!$C$69,MATCH(INDEX(Utility_Rates!$K$6:$K$17,MONTH(C600))&amp;IF(WEEKDAY(C600,Inputs!$C$76)&lt;=Inputs!$C$74," weekday"," weekend"),Utility_Rates!$C$28:$F$28,Inputs!$C$68)),"")</f>
      </c>
      <c r="H600" s="34"/>
      <c r="I600" s="42">
        <f>IF(AND(ISNUMBER(D600),ISNUMBER(H600)),D600*H600*Inputs!$C$69,"")</f>
      </c>
      <c r="J600" s="42">
        <f>IF(AND(ISNUMBER(F600),ISNUMBER(H600),F600&gt;=Inputs!$C$68),F600*H600*Inputs!$C$69,"")</f>
      </c>
    </row>
    <row r="601" spans="2:10" ht="15" customHeight="1" x14ac:dyDescent="0.2">
      <c r="B601" s="39">
        <f t="shared" si="4"/>
      </c>
      <c r="C601" s="40">
        <f>IF(Inputs!$C$60,Inputs!$C$11+(B601-Inputs!$C$69)/Inputs!$C$70,"")</f>
      </c>
      <c r="D601" s="15"/>
      <c r="E601" s="15"/>
      <c r="F601" s="11">
        <f t="shared" si="5"/>
      </c>
      <c r="G601" s="22" cm="1">
        <f t="array" ref="G601">IF(AND(Inputs!$C$60,Inputs!$C$61),INDEX(Utility_Rates!$C$29:$F$52,HOUR(C601)+Inputs!$C$69,MATCH(INDEX(Utility_Rates!$K$6:$K$17,MONTH(C601))&amp;IF(WEEKDAY(C601,Inputs!$C$76)&lt;=Inputs!$C$74," weekday"," weekend"),Utility_Rates!$C$28:$F$28,Inputs!$C$68)),"")</f>
      </c>
      <c r="H601" s="34"/>
      <c r="I601" s="42">
        <f>IF(AND(ISNUMBER(D601),ISNUMBER(H601)),D601*H601*Inputs!$C$69,"")</f>
      </c>
      <c r="J601" s="42">
        <f>IF(AND(ISNUMBER(F601),ISNUMBER(H601),F601&gt;=Inputs!$C$68),F601*H601*Inputs!$C$69,"")</f>
      </c>
    </row>
    <row r="602" spans="2:10" ht="15" customHeight="1" x14ac:dyDescent="0.2">
      <c r="B602" s="39">
        <f t="shared" si="4"/>
      </c>
      <c r="C602" s="40">
        <f>IF(Inputs!$C$60,Inputs!$C$11+(B602-Inputs!$C$69)/Inputs!$C$70,"")</f>
      </c>
      <c r="D602" s="15"/>
      <c r="E602" s="15"/>
      <c r="F602" s="11">
        <f t="shared" si="5"/>
      </c>
      <c r="G602" s="22" cm="1">
        <f t="array" ref="G602">IF(AND(Inputs!$C$60,Inputs!$C$61),INDEX(Utility_Rates!$C$29:$F$52,HOUR(C602)+Inputs!$C$69,MATCH(INDEX(Utility_Rates!$K$6:$K$17,MONTH(C602))&amp;IF(WEEKDAY(C602,Inputs!$C$76)&lt;=Inputs!$C$74," weekday"," weekend"),Utility_Rates!$C$28:$F$28,Inputs!$C$68)),"")</f>
      </c>
      <c r="H602" s="34"/>
      <c r="I602" s="42">
        <f>IF(AND(ISNUMBER(D602),ISNUMBER(H602)),D602*H602*Inputs!$C$69,"")</f>
      </c>
      <c r="J602" s="42">
        <f>IF(AND(ISNUMBER(F602),ISNUMBER(H602),F602&gt;=Inputs!$C$68),F602*H602*Inputs!$C$69,"")</f>
      </c>
    </row>
    <row r="603" spans="2:10" ht="15" customHeight="1" x14ac:dyDescent="0.2">
      <c r="B603" s="39">
        <f t="shared" si="4"/>
      </c>
      <c r="C603" s="40">
        <f>IF(Inputs!$C$60,Inputs!$C$11+(B603-Inputs!$C$69)/Inputs!$C$70,"")</f>
      </c>
      <c r="D603" s="15"/>
      <c r="E603" s="15"/>
      <c r="F603" s="11">
        <f t="shared" si="5"/>
      </c>
      <c r="G603" s="22" cm="1">
        <f t="array" ref="G603">IF(AND(Inputs!$C$60,Inputs!$C$61),INDEX(Utility_Rates!$C$29:$F$52,HOUR(C603)+Inputs!$C$69,MATCH(INDEX(Utility_Rates!$K$6:$K$17,MONTH(C603))&amp;IF(WEEKDAY(C603,Inputs!$C$76)&lt;=Inputs!$C$74," weekday"," weekend"),Utility_Rates!$C$28:$F$28,Inputs!$C$68)),"")</f>
      </c>
      <c r="H603" s="34"/>
      <c r="I603" s="42">
        <f>IF(AND(ISNUMBER(D603),ISNUMBER(H603)),D603*H603*Inputs!$C$69,"")</f>
      </c>
      <c r="J603" s="42">
        <f>IF(AND(ISNUMBER(F603),ISNUMBER(H603),F603&gt;=Inputs!$C$68),F603*H603*Inputs!$C$69,"")</f>
      </c>
    </row>
    <row r="604" spans="2:10" ht="15" customHeight="1" x14ac:dyDescent="0.2">
      <c r="B604" s="39">
        <f t="shared" si="4"/>
      </c>
      <c r="C604" s="40">
        <f>IF(Inputs!$C$60,Inputs!$C$11+(B604-Inputs!$C$69)/Inputs!$C$70,"")</f>
      </c>
      <c r="D604" s="15"/>
      <c r="E604" s="15"/>
      <c r="F604" s="11">
        <f t="shared" si="5"/>
      </c>
      <c r="G604" s="22" cm="1">
        <f t="array" ref="G604">IF(AND(Inputs!$C$60,Inputs!$C$61),INDEX(Utility_Rates!$C$29:$F$52,HOUR(C604)+Inputs!$C$69,MATCH(INDEX(Utility_Rates!$K$6:$K$17,MONTH(C604))&amp;IF(WEEKDAY(C604,Inputs!$C$76)&lt;=Inputs!$C$74," weekday"," weekend"),Utility_Rates!$C$28:$F$28,Inputs!$C$68)),"")</f>
      </c>
      <c r="H604" s="34"/>
      <c r="I604" s="42">
        <f>IF(AND(ISNUMBER(D604),ISNUMBER(H604)),D604*H604*Inputs!$C$69,"")</f>
      </c>
      <c r="J604" s="42">
        <f>IF(AND(ISNUMBER(F604),ISNUMBER(H604),F604&gt;=Inputs!$C$68),F604*H604*Inputs!$C$69,"")</f>
      </c>
    </row>
    <row r="605" spans="2:10" ht="15" customHeight="1" x14ac:dyDescent="0.2">
      <c r="B605" s="39">
        <f t="shared" si="4"/>
      </c>
      <c r="C605" s="40">
        <f>IF(Inputs!$C$60,Inputs!$C$11+(B605-Inputs!$C$69)/Inputs!$C$70,"")</f>
      </c>
      <c r="D605" s="15"/>
      <c r="E605" s="15"/>
      <c r="F605" s="11">
        <f t="shared" si="5"/>
      </c>
      <c r="G605" s="22" cm="1">
        <f t="array" ref="G605">IF(AND(Inputs!$C$60,Inputs!$C$61),INDEX(Utility_Rates!$C$29:$F$52,HOUR(C605)+Inputs!$C$69,MATCH(INDEX(Utility_Rates!$K$6:$K$17,MONTH(C605))&amp;IF(WEEKDAY(C605,Inputs!$C$76)&lt;=Inputs!$C$74," weekday"," weekend"),Utility_Rates!$C$28:$F$28,Inputs!$C$68)),"")</f>
      </c>
      <c r="H605" s="34"/>
      <c r="I605" s="42">
        <f>IF(AND(ISNUMBER(D605),ISNUMBER(H605)),D605*H605*Inputs!$C$69,"")</f>
      </c>
      <c r="J605" s="42">
        <f>IF(AND(ISNUMBER(F605),ISNUMBER(H605),F605&gt;=Inputs!$C$68),F605*H605*Inputs!$C$69,"")</f>
      </c>
    </row>
    <row r="606" spans="2:10" ht="15" customHeight="1" x14ac:dyDescent="0.2">
      <c r="B606" s="39">
        <f t="shared" si="4"/>
      </c>
      <c r="C606" s="40">
        <f>IF(Inputs!$C$60,Inputs!$C$11+(B606-Inputs!$C$69)/Inputs!$C$70,"")</f>
      </c>
      <c r="D606" s="15"/>
      <c r="E606" s="15"/>
      <c r="F606" s="11">
        <f t="shared" si="5"/>
      </c>
      <c r="G606" s="22" cm="1">
        <f t="array" ref="G606">IF(AND(Inputs!$C$60,Inputs!$C$61),INDEX(Utility_Rates!$C$29:$F$52,HOUR(C606)+Inputs!$C$69,MATCH(INDEX(Utility_Rates!$K$6:$K$17,MONTH(C606))&amp;IF(WEEKDAY(C606,Inputs!$C$76)&lt;=Inputs!$C$74," weekday"," weekend"),Utility_Rates!$C$28:$F$28,Inputs!$C$68)),"")</f>
      </c>
      <c r="H606" s="34"/>
      <c r="I606" s="42">
        <f>IF(AND(ISNUMBER(D606),ISNUMBER(H606)),D606*H606*Inputs!$C$69,"")</f>
      </c>
      <c r="J606" s="42">
        <f>IF(AND(ISNUMBER(F606),ISNUMBER(H606),F606&gt;=Inputs!$C$68),F606*H606*Inputs!$C$69,"")</f>
      </c>
    </row>
    <row r="607" spans="2:10" ht="15" customHeight="1" x14ac:dyDescent="0.2">
      <c r="B607" s="39">
        <f t="shared" si="4"/>
      </c>
      <c r="C607" s="40">
        <f>IF(Inputs!$C$60,Inputs!$C$11+(B607-Inputs!$C$69)/Inputs!$C$70,"")</f>
      </c>
      <c r="D607" s="15"/>
      <c r="E607" s="15"/>
      <c r="F607" s="11">
        <f t="shared" si="5"/>
      </c>
      <c r="G607" s="22" cm="1">
        <f t="array" ref="G607">IF(AND(Inputs!$C$60,Inputs!$C$61),INDEX(Utility_Rates!$C$29:$F$52,HOUR(C607)+Inputs!$C$69,MATCH(INDEX(Utility_Rates!$K$6:$K$17,MONTH(C607))&amp;IF(WEEKDAY(C607,Inputs!$C$76)&lt;=Inputs!$C$74," weekday"," weekend"),Utility_Rates!$C$28:$F$28,Inputs!$C$68)),"")</f>
      </c>
      <c r="H607" s="34"/>
      <c r="I607" s="42">
        <f>IF(AND(ISNUMBER(D607),ISNUMBER(H607)),D607*H607*Inputs!$C$69,"")</f>
      </c>
      <c r="J607" s="42">
        <f>IF(AND(ISNUMBER(F607),ISNUMBER(H607),F607&gt;=Inputs!$C$68),F607*H607*Inputs!$C$69,"")</f>
      </c>
    </row>
    <row r="608" spans="2:10" ht="15" customHeight="1" x14ac:dyDescent="0.2">
      <c r="B608" s="39">
        <f t="shared" si="4"/>
      </c>
      <c r="C608" s="40">
        <f>IF(Inputs!$C$60,Inputs!$C$11+(B608-Inputs!$C$69)/Inputs!$C$70,"")</f>
      </c>
      <c r="D608" s="15"/>
      <c r="E608" s="15"/>
      <c r="F608" s="11">
        <f t="shared" si="5"/>
      </c>
      <c r="G608" s="22" cm="1">
        <f t="array" ref="G608">IF(AND(Inputs!$C$60,Inputs!$C$61),INDEX(Utility_Rates!$C$29:$F$52,HOUR(C608)+Inputs!$C$69,MATCH(INDEX(Utility_Rates!$K$6:$K$17,MONTH(C608))&amp;IF(WEEKDAY(C608,Inputs!$C$76)&lt;=Inputs!$C$74," weekday"," weekend"),Utility_Rates!$C$28:$F$28,Inputs!$C$68)),"")</f>
      </c>
      <c r="H608" s="34"/>
      <c r="I608" s="42">
        <f>IF(AND(ISNUMBER(D608),ISNUMBER(H608)),D608*H608*Inputs!$C$69,"")</f>
      </c>
      <c r="J608" s="42">
        <f>IF(AND(ISNUMBER(F608),ISNUMBER(H608),F608&gt;=Inputs!$C$68),F608*H608*Inputs!$C$69,"")</f>
      </c>
    </row>
    <row r="609" spans="2:10" ht="15" customHeight="1" x14ac:dyDescent="0.2">
      <c r="B609" s="39">
        <f t="shared" si="4"/>
      </c>
      <c r="C609" s="40">
        <f>IF(Inputs!$C$60,Inputs!$C$11+(B609-Inputs!$C$69)/Inputs!$C$70,"")</f>
      </c>
      <c r="D609" s="15"/>
      <c r="E609" s="15"/>
      <c r="F609" s="11">
        <f t="shared" si="5"/>
      </c>
      <c r="G609" s="22" cm="1">
        <f t="array" ref="G609">IF(AND(Inputs!$C$60,Inputs!$C$61),INDEX(Utility_Rates!$C$29:$F$52,HOUR(C609)+Inputs!$C$69,MATCH(INDEX(Utility_Rates!$K$6:$K$17,MONTH(C609))&amp;IF(WEEKDAY(C609,Inputs!$C$76)&lt;=Inputs!$C$74," weekday"," weekend"),Utility_Rates!$C$28:$F$28,Inputs!$C$68)),"")</f>
      </c>
      <c r="H609" s="34"/>
      <c r="I609" s="42">
        <f>IF(AND(ISNUMBER(D609),ISNUMBER(H609)),D609*H609*Inputs!$C$69,"")</f>
      </c>
      <c r="J609" s="42">
        <f>IF(AND(ISNUMBER(F609),ISNUMBER(H609),F609&gt;=Inputs!$C$68),F609*H609*Inputs!$C$69,"")</f>
      </c>
    </row>
    <row r="610" spans="2:10" ht="15" customHeight="1" x14ac:dyDescent="0.2">
      <c r="B610" s="39">
        <f t="shared" si="4"/>
      </c>
      <c r="C610" s="40">
        <f>IF(Inputs!$C$60,Inputs!$C$11+(B610-Inputs!$C$69)/Inputs!$C$70,"")</f>
      </c>
      <c r="D610" s="15"/>
      <c r="E610" s="15"/>
      <c r="F610" s="11">
        <f t="shared" si="5"/>
      </c>
      <c r="G610" s="22" cm="1">
        <f t="array" ref="G610">IF(AND(Inputs!$C$60,Inputs!$C$61),INDEX(Utility_Rates!$C$29:$F$52,HOUR(C610)+Inputs!$C$69,MATCH(INDEX(Utility_Rates!$K$6:$K$17,MONTH(C610))&amp;IF(WEEKDAY(C610,Inputs!$C$76)&lt;=Inputs!$C$74," weekday"," weekend"),Utility_Rates!$C$28:$F$28,Inputs!$C$68)),"")</f>
      </c>
      <c r="H610" s="34"/>
      <c r="I610" s="42">
        <f>IF(AND(ISNUMBER(D610),ISNUMBER(H610)),D610*H610*Inputs!$C$69,"")</f>
      </c>
      <c r="J610" s="42">
        <f>IF(AND(ISNUMBER(F610),ISNUMBER(H610),F610&gt;=Inputs!$C$68),F610*H610*Inputs!$C$69,"")</f>
      </c>
    </row>
    <row r="611" spans="2:10" ht="15" customHeight="1" x14ac:dyDescent="0.2">
      <c r="B611" s="39">
        <f t="shared" si="4"/>
      </c>
      <c r="C611" s="40">
        <f>IF(Inputs!$C$60,Inputs!$C$11+(B611-Inputs!$C$69)/Inputs!$C$70,"")</f>
      </c>
      <c r="D611" s="15"/>
      <c r="E611" s="15"/>
      <c r="F611" s="11">
        <f t="shared" si="5"/>
      </c>
      <c r="G611" s="22" cm="1">
        <f t="array" ref="G611">IF(AND(Inputs!$C$60,Inputs!$C$61),INDEX(Utility_Rates!$C$29:$F$52,HOUR(C611)+Inputs!$C$69,MATCH(INDEX(Utility_Rates!$K$6:$K$17,MONTH(C611))&amp;IF(WEEKDAY(C611,Inputs!$C$76)&lt;=Inputs!$C$74," weekday"," weekend"),Utility_Rates!$C$28:$F$28,Inputs!$C$68)),"")</f>
      </c>
      <c r="H611" s="34"/>
      <c r="I611" s="42">
        <f>IF(AND(ISNUMBER(D611),ISNUMBER(H611)),D611*H611*Inputs!$C$69,"")</f>
      </c>
      <c r="J611" s="42">
        <f>IF(AND(ISNUMBER(F611),ISNUMBER(H611),F611&gt;=Inputs!$C$68),F611*H611*Inputs!$C$69,"")</f>
      </c>
    </row>
    <row r="612" spans="2:10" ht="15" customHeight="1" x14ac:dyDescent="0.2">
      <c r="B612" s="39">
        <f t="shared" si="4"/>
      </c>
      <c r="C612" s="40">
        <f>IF(Inputs!$C$60,Inputs!$C$11+(B612-Inputs!$C$69)/Inputs!$C$70,"")</f>
      </c>
      <c r="D612" s="15"/>
      <c r="E612" s="15"/>
      <c r="F612" s="11">
        <f t="shared" si="5"/>
      </c>
      <c r="G612" s="22" cm="1">
        <f t="array" ref="G612">IF(AND(Inputs!$C$60,Inputs!$C$61),INDEX(Utility_Rates!$C$29:$F$52,HOUR(C612)+Inputs!$C$69,MATCH(INDEX(Utility_Rates!$K$6:$K$17,MONTH(C612))&amp;IF(WEEKDAY(C612,Inputs!$C$76)&lt;=Inputs!$C$74," weekday"," weekend"),Utility_Rates!$C$28:$F$28,Inputs!$C$68)),"")</f>
      </c>
      <c r="H612" s="34"/>
      <c r="I612" s="42">
        <f>IF(AND(ISNUMBER(D612),ISNUMBER(H612)),D612*H612*Inputs!$C$69,"")</f>
      </c>
      <c r="J612" s="42">
        <f>IF(AND(ISNUMBER(F612),ISNUMBER(H612),F612&gt;=Inputs!$C$68),F612*H612*Inputs!$C$69,"")</f>
      </c>
    </row>
    <row r="613" spans="2:10" ht="15" customHeight="1" x14ac:dyDescent="0.2">
      <c r="B613" s="39">
        <f t="shared" si="4"/>
      </c>
      <c r="C613" s="40">
        <f>IF(Inputs!$C$60,Inputs!$C$11+(B613-Inputs!$C$69)/Inputs!$C$70,"")</f>
      </c>
      <c r="D613" s="15"/>
      <c r="E613" s="15"/>
      <c r="F613" s="11">
        <f t="shared" si="5"/>
      </c>
      <c r="G613" s="22" cm="1">
        <f t="array" ref="G613">IF(AND(Inputs!$C$60,Inputs!$C$61),INDEX(Utility_Rates!$C$29:$F$52,HOUR(C613)+Inputs!$C$69,MATCH(INDEX(Utility_Rates!$K$6:$K$17,MONTH(C613))&amp;IF(WEEKDAY(C613,Inputs!$C$76)&lt;=Inputs!$C$74," weekday"," weekend"),Utility_Rates!$C$28:$F$28,Inputs!$C$68)),"")</f>
      </c>
      <c r="H613" s="34"/>
      <c r="I613" s="42">
        <f>IF(AND(ISNUMBER(D613),ISNUMBER(H613)),D613*H613*Inputs!$C$69,"")</f>
      </c>
      <c r="J613" s="42">
        <f>IF(AND(ISNUMBER(F613),ISNUMBER(H613),F613&gt;=Inputs!$C$68),F613*H613*Inputs!$C$69,"")</f>
      </c>
    </row>
    <row r="614" spans="2:10" ht="15" customHeight="1" x14ac:dyDescent="0.2">
      <c r="B614" s="39">
        <f t="shared" si="4"/>
      </c>
      <c r="C614" s="40">
        <f>IF(Inputs!$C$60,Inputs!$C$11+(B614-Inputs!$C$69)/Inputs!$C$70,"")</f>
      </c>
      <c r="D614" s="15"/>
      <c r="E614" s="15"/>
      <c r="F614" s="11">
        <f t="shared" si="5"/>
      </c>
      <c r="G614" s="22" cm="1">
        <f t="array" ref="G614">IF(AND(Inputs!$C$60,Inputs!$C$61),INDEX(Utility_Rates!$C$29:$F$52,HOUR(C614)+Inputs!$C$69,MATCH(INDEX(Utility_Rates!$K$6:$K$17,MONTH(C614))&amp;IF(WEEKDAY(C614,Inputs!$C$76)&lt;=Inputs!$C$74," weekday"," weekend"),Utility_Rates!$C$28:$F$28,Inputs!$C$68)),"")</f>
      </c>
      <c r="H614" s="34"/>
      <c r="I614" s="42">
        <f>IF(AND(ISNUMBER(D614),ISNUMBER(H614)),D614*H614*Inputs!$C$69,"")</f>
      </c>
      <c r="J614" s="42">
        <f>IF(AND(ISNUMBER(F614),ISNUMBER(H614),F614&gt;=Inputs!$C$68),F614*H614*Inputs!$C$69,"")</f>
      </c>
    </row>
    <row r="615" spans="2:10" ht="15" customHeight="1" x14ac:dyDescent="0.2">
      <c r="B615" s="39">
        <f t="shared" si="4"/>
      </c>
      <c r="C615" s="40">
        <f>IF(Inputs!$C$60,Inputs!$C$11+(B615-Inputs!$C$69)/Inputs!$C$70,"")</f>
      </c>
      <c r="D615" s="15"/>
      <c r="E615" s="15"/>
      <c r="F615" s="11">
        <f t="shared" si="5"/>
      </c>
      <c r="G615" s="22" cm="1">
        <f t="array" ref="G615">IF(AND(Inputs!$C$60,Inputs!$C$61),INDEX(Utility_Rates!$C$29:$F$52,HOUR(C615)+Inputs!$C$69,MATCH(INDEX(Utility_Rates!$K$6:$K$17,MONTH(C615))&amp;IF(WEEKDAY(C615,Inputs!$C$76)&lt;=Inputs!$C$74," weekday"," weekend"),Utility_Rates!$C$28:$F$28,Inputs!$C$68)),"")</f>
      </c>
      <c r="H615" s="34"/>
      <c r="I615" s="42">
        <f>IF(AND(ISNUMBER(D615),ISNUMBER(H615)),D615*H615*Inputs!$C$69,"")</f>
      </c>
      <c r="J615" s="42">
        <f>IF(AND(ISNUMBER(F615),ISNUMBER(H615),F615&gt;=Inputs!$C$68),F615*H615*Inputs!$C$69,"")</f>
      </c>
    </row>
    <row r="616" spans="2:10" ht="15" customHeight="1" x14ac:dyDescent="0.2">
      <c r="B616" s="39">
        <f t="shared" si="4"/>
      </c>
      <c r="C616" s="40">
        <f>IF(Inputs!$C$60,Inputs!$C$11+(B616-Inputs!$C$69)/Inputs!$C$70,"")</f>
      </c>
      <c r="D616" s="15"/>
      <c r="E616" s="15"/>
      <c r="F616" s="11">
        <f t="shared" si="5"/>
      </c>
      <c r="G616" s="22" cm="1">
        <f t="array" ref="G616">IF(AND(Inputs!$C$60,Inputs!$C$61),INDEX(Utility_Rates!$C$29:$F$52,HOUR(C616)+Inputs!$C$69,MATCH(INDEX(Utility_Rates!$K$6:$K$17,MONTH(C616))&amp;IF(WEEKDAY(C616,Inputs!$C$76)&lt;=Inputs!$C$74," weekday"," weekend"),Utility_Rates!$C$28:$F$28,Inputs!$C$68)),"")</f>
      </c>
      <c r="H616" s="34"/>
      <c r="I616" s="42">
        <f>IF(AND(ISNUMBER(D616),ISNUMBER(H616)),D616*H616*Inputs!$C$69,"")</f>
      </c>
      <c r="J616" s="42">
        <f>IF(AND(ISNUMBER(F616),ISNUMBER(H616),F616&gt;=Inputs!$C$68),F616*H616*Inputs!$C$69,"")</f>
      </c>
    </row>
    <row r="617" spans="2:10" ht="15" customHeight="1" x14ac:dyDescent="0.2">
      <c r="B617" s="39">
        <f t="shared" si="4"/>
      </c>
      <c r="C617" s="40">
        <f>IF(Inputs!$C$60,Inputs!$C$11+(B617-Inputs!$C$69)/Inputs!$C$70,"")</f>
      </c>
      <c r="D617" s="15"/>
      <c r="E617" s="15"/>
      <c r="F617" s="11">
        <f t="shared" si="5"/>
      </c>
      <c r="G617" s="22" cm="1">
        <f t="array" ref="G617">IF(AND(Inputs!$C$60,Inputs!$C$61),INDEX(Utility_Rates!$C$29:$F$52,HOUR(C617)+Inputs!$C$69,MATCH(INDEX(Utility_Rates!$K$6:$K$17,MONTH(C617))&amp;IF(WEEKDAY(C617,Inputs!$C$76)&lt;=Inputs!$C$74," weekday"," weekend"),Utility_Rates!$C$28:$F$28,Inputs!$C$68)),"")</f>
      </c>
      <c r="H617" s="34"/>
      <c r="I617" s="42">
        <f>IF(AND(ISNUMBER(D617),ISNUMBER(H617)),D617*H617*Inputs!$C$69,"")</f>
      </c>
      <c r="J617" s="42">
        <f>IF(AND(ISNUMBER(F617),ISNUMBER(H617),F617&gt;=Inputs!$C$68),F617*H617*Inputs!$C$69,"")</f>
      </c>
    </row>
    <row r="618" spans="2:10" ht="15" customHeight="1" x14ac:dyDescent="0.2">
      <c r="B618" s="39">
        <f t="shared" si="4"/>
      </c>
      <c r="C618" s="40">
        <f>IF(Inputs!$C$60,Inputs!$C$11+(B618-Inputs!$C$69)/Inputs!$C$70,"")</f>
      </c>
      <c r="D618" s="15"/>
      <c r="E618" s="15"/>
      <c r="F618" s="11">
        <f t="shared" si="5"/>
      </c>
      <c r="G618" s="22" cm="1">
        <f t="array" ref="G618">IF(AND(Inputs!$C$60,Inputs!$C$61),INDEX(Utility_Rates!$C$29:$F$52,HOUR(C618)+Inputs!$C$69,MATCH(INDEX(Utility_Rates!$K$6:$K$17,MONTH(C618))&amp;IF(WEEKDAY(C618,Inputs!$C$76)&lt;=Inputs!$C$74," weekday"," weekend"),Utility_Rates!$C$28:$F$28,Inputs!$C$68)),"")</f>
      </c>
      <c r="H618" s="34"/>
      <c r="I618" s="42">
        <f>IF(AND(ISNUMBER(D618),ISNUMBER(H618)),D618*H618*Inputs!$C$69,"")</f>
      </c>
      <c r="J618" s="42">
        <f>IF(AND(ISNUMBER(F618),ISNUMBER(H618),F618&gt;=Inputs!$C$68),F618*H618*Inputs!$C$69,"")</f>
      </c>
    </row>
    <row r="619" spans="2:10" ht="15" customHeight="1" x14ac:dyDescent="0.2">
      <c r="B619" s="39">
        <f t="shared" si="4"/>
      </c>
      <c r="C619" s="40">
        <f>IF(Inputs!$C$60,Inputs!$C$11+(B619-Inputs!$C$69)/Inputs!$C$70,"")</f>
      </c>
      <c r="D619" s="15"/>
      <c r="E619" s="15"/>
      <c r="F619" s="11">
        <f t="shared" si="5"/>
      </c>
      <c r="G619" s="22" cm="1">
        <f t="array" ref="G619">IF(AND(Inputs!$C$60,Inputs!$C$61),INDEX(Utility_Rates!$C$29:$F$52,HOUR(C619)+Inputs!$C$69,MATCH(INDEX(Utility_Rates!$K$6:$K$17,MONTH(C619))&amp;IF(WEEKDAY(C619,Inputs!$C$76)&lt;=Inputs!$C$74," weekday"," weekend"),Utility_Rates!$C$28:$F$28,Inputs!$C$68)),"")</f>
      </c>
      <c r="H619" s="34"/>
      <c r="I619" s="42">
        <f>IF(AND(ISNUMBER(D619),ISNUMBER(H619)),D619*H619*Inputs!$C$69,"")</f>
      </c>
      <c r="J619" s="42">
        <f>IF(AND(ISNUMBER(F619),ISNUMBER(H619),F619&gt;=Inputs!$C$68),F619*H619*Inputs!$C$69,"")</f>
      </c>
    </row>
    <row r="620" spans="2:10" ht="15" customHeight="1" x14ac:dyDescent="0.2">
      <c r="B620" s="39">
        <f t="shared" si="4"/>
      </c>
      <c r="C620" s="40">
        <f>IF(Inputs!$C$60,Inputs!$C$11+(B620-Inputs!$C$69)/Inputs!$C$70,"")</f>
      </c>
      <c r="D620" s="15"/>
      <c r="E620" s="15"/>
      <c r="F620" s="11">
        <f t="shared" si="5"/>
      </c>
      <c r="G620" s="22" cm="1">
        <f t="array" ref="G620">IF(AND(Inputs!$C$60,Inputs!$C$61),INDEX(Utility_Rates!$C$29:$F$52,HOUR(C620)+Inputs!$C$69,MATCH(INDEX(Utility_Rates!$K$6:$K$17,MONTH(C620))&amp;IF(WEEKDAY(C620,Inputs!$C$76)&lt;=Inputs!$C$74," weekday"," weekend"),Utility_Rates!$C$28:$F$28,Inputs!$C$68)),"")</f>
      </c>
      <c r="H620" s="34"/>
      <c r="I620" s="42">
        <f>IF(AND(ISNUMBER(D620),ISNUMBER(H620)),D620*H620*Inputs!$C$69,"")</f>
      </c>
      <c r="J620" s="42">
        <f>IF(AND(ISNUMBER(F620),ISNUMBER(H620),F620&gt;=Inputs!$C$68),F620*H620*Inputs!$C$69,"")</f>
      </c>
    </row>
    <row r="621" spans="2:10" ht="15" customHeight="1" x14ac:dyDescent="0.2">
      <c r="B621" s="39">
        <f t="shared" si="4"/>
      </c>
      <c r="C621" s="40">
        <f>IF(Inputs!$C$60,Inputs!$C$11+(B621-Inputs!$C$69)/Inputs!$C$70,"")</f>
      </c>
      <c r="D621" s="15"/>
      <c r="E621" s="15"/>
      <c r="F621" s="11">
        <f t="shared" si="5"/>
      </c>
      <c r="G621" s="22" cm="1">
        <f t="array" ref="G621">IF(AND(Inputs!$C$60,Inputs!$C$61),INDEX(Utility_Rates!$C$29:$F$52,HOUR(C621)+Inputs!$C$69,MATCH(INDEX(Utility_Rates!$K$6:$K$17,MONTH(C621))&amp;IF(WEEKDAY(C621,Inputs!$C$76)&lt;=Inputs!$C$74," weekday"," weekend"),Utility_Rates!$C$28:$F$28,Inputs!$C$68)),"")</f>
      </c>
      <c r="H621" s="34"/>
      <c r="I621" s="42">
        <f>IF(AND(ISNUMBER(D621),ISNUMBER(H621)),D621*H621*Inputs!$C$69,"")</f>
      </c>
      <c r="J621" s="42">
        <f>IF(AND(ISNUMBER(F621),ISNUMBER(H621),F621&gt;=Inputs!$C$68),F621*H621*Inputs!$C$69,"")</f>
      </c>
    </row>
    <row r="622" spans="2:10" ht="15" customHeight="1" x14ac:dyDescent="0.2">
      <c r="B622" s="39">
        <f t="shared" si="4"/>
      </c>
      <c r="C622" s="40">
        <f>IF(Inputs!$C$60,Inputs!$C$11+(B622-Inputs!$C$69)/Inputs!$C$70,"")</f>
      </c>
      <c r="D622" s="15"/>
      <c r="E622" s="15"/>
      <c r="F622" s="11">
        <f t="shared" si="5"/>
      </c>
      <c r="G622" s="22" cm="1">
        <f t="array" ref="G622">IF(AND(Inputs!$C$60,Inputs!$C$61),INDEX(Utility_Rates!$C$29:$F$52,HOUR(C622)+Inputs!$C$69,MATCH(INDEX(Utility_Rates!$K$6:$K$17,MONTH(C622))&amp;IF(WEEKDAY(C622,Inputs!$C$76)&lt;=Inputs!$C$74," weekday"," weekend"),Utility_Rates!$C$28:$F$28,Inputs!$C$68)),"")</f>
      </c>
      <c r="H622" s="34"/>
      <c r="I622" s="42">
        <f>IF(AND(ISNUMBER(D622),ISNUMBER(H622)),D622*H622*Inputs!$C$69,"")</f>
      </c>
      <c r="J622" s="42">
        <f>IF(AND(ISNUMBER(F622),ISNUMBER(H622),F622&gt;=Inputs!$C$68),F622*H622*Inputs!$C$69,"")</f>
      </c>
    </row>
    <row r="623" spans="2:10" ht="15" customHeight="1" x14ac:dyDescent="0.2">
      <c r="B623" s="39">
        <f t="shared" si="4"/>
      </c>
      <c r="C623" s="40">
        <f>IF(Inputs!$C$60,Inputs!$C$11+(B623-Inputs!$C$69)/Inputs!$C$70,"")</f>
      </c>
      <c r="D623" s="15"/>
      <c r="E623" s="15"/>
      <c r="F623" s="11">
        <f t="shared" si="5"/>
      </c>
      <c r="G623" s="22" cm="1">
        <f t="array" ref="G623">IF(AND(Inputs!$C$60,Inputs!$C$61),INDEX(Utility_Rates!$C$29:$F$52,HOUR(C623)+Inputs!$C$69,MATCH(INDEX(Utility_Rates!$K$6:$K$17,MONTH(C623))&amp;IF(WEEKDAY(C623,Inputs!$C$76)&lt;=Inputs!$C$74," weekday"," weekend"),Utility_Rates!$C$28:$F$28,Inputs!$C$68)),"")</f>
      </c>
      <c r="H623" s="34"/>
      <c r="I623" s="42">
        <f>IF(AND(ISNUMBER(D623),ISNUMBER(H623)),D623*H623*Inputs!$C$69,"")</f>
      </c>
      <c r="J623" s="42">
        <f>IF(AND(ISNUMBER(F623),ISNUMBER(H623),F623&gt;=Inputs!$C$68),F623*H623*Inputs!$C$69,"")</f>
      </c>
    </row>
    <row r="624" spans="2:10" ht="15" customHeight="1" x14ac:dyDescent="0.2">
      <c r="B624" s="39">
        <f t="shared" si="4"/>
      </c>
      <c r="C624" s="40">
        <f>IF(Inputs!$C$60,Inputs!$C$11+(B624-Inputs!$C$69)/Inputs!$C$70,"")</f>
      </c>
      <c r="D624" s="15"/>
      <c r="E624" s="15"/>
      <c r="F624" s="11">
        <f t="shared" si="5"/>
      </c>
      <c r="G624" s="22" cm="1">
        <f t="array" ref="G624">IF(AND(Inputs!$C$60,Inputs!$C$61),INDEX(Utility_Rates!$C$29:$F$52,HOUR(C624)+Inputs!$C$69,MATCH(INDEX(Utility_Rates!$K$6:$K$17,MONTH(C624))&amp;IF(WEEKDAY(C624,Inputs!$C$76)&lt;=Inputs!$C$74," weekday"," weekend"),Utility_Rates!$C$28:$F$28,Inputs!$C$68)),"")</f>
      </c>
      <c r="H624" s="34"/>
      <c r="I624" s="42">
        <f>IF(AND(ISNUMBER(D624),ISNUMBER(H624)),D624*H624*Inputs!$C$69,"")</f>
      </c>
      <c r="J624" s="42">
        <f>IF(AND(ISNUMBER(F624),ISNUMBER(H624),F624&gt;=Inputs!$C$68),F624*H624*Inputs!$C$69,"")</f>
      </c>
    </row>
    <row r="625" spans="2:10" ht="15" customHeight="1" x14ac:dyDescent="0.2">
      <c r="B625" s="39">
        <f t="shared" si="4"/>
      </c>
      <c r="C625" s="40">
        <f>IF(Inputs!$C$60,Inputs!$C$11+(B625-Inputs!$C$69)/Inputs!$C$70,"")</f>
      </c>
      <c r="D625" s="15"/>
      <c r="E625" s="15"/>
      <c r="F625" s="11">
        <f t="shared" si="5"/>
      </c>
      <c r="G625" s="22" cm="1">
        <f t="array" ref="G625">IF(AND(Inputs!$C$60,Inputs!$C$61),INDEX(Utility_Rates!$C$29:$F$52,HOUR(C625)+Inputs!$C$69,MATCH(INDEX(Utility_Rates!$K$6:$K$17,MONTH(C625))&amp;IF(WEEKDAY(C625,Inputs!$C$76)&lt;=Inputs!$C$74," weekday"," weekend"),Utility_Rates!$C$28:$F$28,Inputs!$C$68)),"")</f>
      </c>
      <c r="H625" s="34"/>
      <c r="I625" s="42">
        <f>IF(AND(ISNUMBER(D625),ISNUMBER(H625)),D625*H625*Inputs!$C$69,"")</f>
      </c>
      <c r="J625" s="42">
        <f>IF(AND(ISNUMBER(F625),ISNUMBER(H625),F625&gt;=Inputs!$C$68),F625*H625*Inputs!$C$69,"")</f>
      </c>
    </row>
    <row r="626" spans="2:10" ht="15" customHeight="1" x14ac:dyDescent="0.2">
      <c r="B626" s="39">
        <f t="shared" si="4"/>
      </c>
      <c r="C626" s="40">
        <f>IF(Inputs!$C$60,Inputs!$C$11+(B626-Inputs!$C$69)/Inputs!$C$70,"")</f>
      </c>
      <c r="D626" s="15"/>
      <c r="E626" s="15"/>
      <c r="F626" s="11">
        <f t="shared" si="5"/>
      </c>
      <c r="G626" s="22" cm="1">
        <f t="array" ref="G626">IF(AND(Inputs!$C$60,Inputs!$C$61),INDEX(Utility_Rates!$C$29:$F$52,HOUR(C626)+Inputs!$C$69,MATCH(INDEX(Utility_Rates!$K$6:$K$17,MONTH(C626))&amp;IF(WEEKDAY(C626,Inputs!$C$76)&lt;=Inputs!$C$74," weekday"," weekend"),Utility_Rates!$C$28:$F$28,Inputs!$C$68)),"")</f>
      </c>
      <c r="H626" s="34"/>
      <c r="I626" s="42">
        <f>IF(AND(ISNUMBER(D626),ISNUMBER(H626)),D626*H626*Inputs!$C$69,"")</f>
      </c>
      <c r="J626" s="42">
        <f>IF(AND(ISNUMBER(F626),ISNUMBER(H626),F626&gt;=Inputs!$C$68),F626*H626*Inputs!$C$69,"")</f>
      </c>
    </row>
    <row r="627" spans="2:10" ht="15" customHeight="1" x14ac:dyDescent="0.2">
      <c r="B627" s="39">
        <f t="shared" si="4"/>
      </c>
      <c r="C627" s="40">
        <f>IF(Inputs!$C$60,Inputs!$C$11+(B627-Inputs!$C$69)/Inputs!$C$70,"")</f>
      </c>
      <c r="D627" s="15"/>
      <c r="E627" s="15"/>
      <c r="F627" s="11">
        <f t="shared" si="5"/>
      </c>
      <c r="G627" s="22" cm="1">
        <f t="array" ref="G627">IF(AND(Inputs!$C$60,Inputs!$C$61),INDEX(Utility_Rates!$C$29:$F$52,HOUR(C627)+Inputs!$C$69,MATCH(INDEX(Utility_Rates!$K$6:$K$17,MONTH(C627))&amp;IF(WEEKDAY(C627,Inputs!$C$76)&lt;=Inputs!$C$74," weekday"," weekend"),Utility_Rates!$C$28:$F$28,Inputs!$C$68)),"")</f>
      </c>
      <c r="H627" s="34"/>
      <c r="I627" s="42">
        <f>IF(AND(ISNUMBER(D627),ISNUMBER(H627)),D627*H627*Inputs!$C$69,"")</f>
      </c>
      <c r="J627" s="42">
        <f>IF(AND(ISNUMBER(F627),ISNUMBER(H627),F627&gt;=Inputs!$C$68),F627*H627*Inputs!$C$69,"")</f>
      </c>
    </row>
    <row r="628" spans="2:10" ht="15" customHeight="1" x14ac:dyDescent="0.2">
      <c r="B628" s="39">
        <f t="shared" si="4"/>
      </c>
      <c r="C628" s="40">
        <f>IF(Inputs!$C$60,Inputs!$C$11+(B628-Inputs!$C$69)/Inputs!$C$70,"")</f>
      </c>
      <c r="D628" s="15"/>
      <c r="E628" s="15"/>
      <c r="F628" s="11">
        <f t="shared" si="5"/>
      </c>
      <c r="G628" s="22" cm="1">
        <f t="array" ref="G628">IF(AND(Inputs!$C$60,Inputs!$C$61),INDEX(Utility_Rates!$C$29:$F$52,HOUR(C628)+Inputs!$C$69,MATCH(INDEX(Utility_Rates!$K$6:$K$17,MONTH(C628))&amp;IF(WEEKDAY(C628,Inputs!$C$76)&lt;=Inputs!$C$74," weekday"," weekend"),Utility_Rates!$C$28:$F$28,Inputs!$C$68)),"")</f>
      </c>
      <c r="H628" s="34"/>
      <c r="I628" s="42">
        <f>IF(AND(ISNUMBER(D628),ISNUMBER(H628)),D628*H628*Inputs!$C$69,"")</f>
      </c>
      <c r="J628" s="42">
        <f>IF(AND(ISNUMBER(F628),ISNUMBER(H628),F628&gt;=Inputs!$C$68),F628*H628*Inputs!$C$69,"")</f>
      </c>
    </row>
    <row r="629" spans="2:10" ht="15" customHeight="1" x14ac:dyDescent="0.2">
      <c r="B629" s="39">
        <f t="shared" si="4"/>
      </c>
      <c r="C629" s="40">
        <f>IF(Inputs!$C$60,Inputs!$C$11+(B629-Inputs!$C$69)/Inputs!$C$70,"")</f>
      </c>
      <c r="D629" s="15"/>
      <c r="E629" s="15"/>
      <c r="F629" s="11">
        <f t="shared" si="5"/>
      </c>
      <c r="G629" s="22" cm="1">
        <f t="array" ref="G629">IF(AND(Inputs!$C$60,Inputs!$C$61),INDEX(Utility_Rates!$C$29:$F$52,HOUR(C629)+Inputs!$C$69,MATCH(INDEX(Utility_Rates!$K$6:$K$17,MONTH(C629))&amp;IF(WEEKDAY(C629,Inputs!$C$76)&lt;=Inputs!$C$74," weekday"," weekend"),Utility_Rates!$C$28:$F$28,Inputs!$C$68)),"")</f>
      </c>
      <c r="H629" s="34"/>
      <c r="I629" s="42">
        <f>IF(AND(ISNUMBER(D629),ISNUMBER(H629)),D629*H629*Inputs!$C$69,"")</f>
      </c>
      <c r="J629" s="42">
        <f>IF(AND(ISNUMBER(F629),ISNUMBER(H629),F629&gt;=Inputs!$C$68),F629*H629*Inputs!$C$69,"")</f>
      </c>
    </row>
    <row r="630" spans="2:10" ht="15" customHeight="1" x14ac:dyDescent="0.2">
      <c r="B630" s="39">
        <f t="shared" si="4"/>
      </c>
      <c r="C630" s="40">
        <f>IF(Inputs!$C$60,Inputs!$C$11+(B630-Inputs!$C$69)/Inputs!$C$70,"")</f>
      </c>
      <c r="D630" s="15"/>
      <c r="E630" s="15"/>
      <c r="F630" s="11">
        <f t="shared" si="5"/>
      </c>
      <c r="G630" s="22" cm="1">
        <f t="array" ref="G630">IF(AND(Inputs!$C$60,Inputs!$C$61),INDEX(Utility_Rates!$C$29:$F$52,HOUR(C630)+Inputs!$C$69,MATCH(INDEX(Utility_Rates!$K$6:$K$17,MONTH(C630))&amp;IF(WEEKDAY(C630,Inputs!$C$76)&lt;=Inputs!$C$74," weekday"," weekend"),Utility_Rates!$C$28:$F$28,Inputs!$C$68)),"")</f>
      </c>
      <c r="H630" s="34"/>
      <c r="I630" s="42">
        <f>IF(AND(ISNUMBER(D630),ISNUMBER(H630)),D630*H630*Inputs!$C$69,"")</f>
      </c>
      <c r="J630" s="42">
        <f>IF(AND(ISNUMBER(F630),ISNUMBER(H630),F630&gt;=Inputs!$C$68),F630*H630*Inputs!$C$69,"")</f>
      </c>
    </row>
    <row r="631" spans="2:10" ht="15" customHeight="1" x14ac:dyDescent="0.2">
      <c r="B631" s="39">
        <f t="shared" si="4"/>
      </c>
      <c r="C631" s="40">
        <f>IF(Inputs!$C$60,Inputs!$C$11+(B631-Inputs!$C$69)/Inputs!$C$70,"")</f>
      </c>
      <c r="D631" s="15"/>
      <c r="E631" s="15"/>
      <c r="F631" s="11">
        <f t="shared" si="5"/>
      </c>
      <c r="G631" s="22" cm="1">
        <f t="array" ref="G631">IF(AND(Inputs!$C$60,Inputs!$C$61),INDEX(Utility_Rates!$C$29:$F$52,HOUR(C631)+Inputs!$C$69,MATCH(INDEX(Utility_Rates!$K$6:$K$17,MONTH(C631))&amp;IF(WEEKDAY(C631,Inputs!$C$76)&lt;=Inputs!$C$74," weekday"," weekend"),Utility_Rates!$C$28:$F$28,Inputs!$C$68)),"")</f>
      </c>
      <c r="H631" s="34"/>
      <c r="I631" s="42">
        <f>IF(AND(ISNUMBER(D631),ISNUMBER(H631)),D631*H631*Inputs!$C$69,"")</f>
      </c>
      <c r="J631" s="42">
        <f>IF(AND(ISNUMBER(F631),ISNUMBER(H631),F631&gt;=Inputs!$C$68),F631*H631*Inputs!$C$69,"")</f>
      </c>
    </row>
    <row r="632" spans="2:10" ht="15" customHeight="1" x14ac:dyDescent="0.2">
      <c r="B632" s="39">
        <f t="shared" si="4"/>
      </c>
      <c r="C632" s="40">
        <f>IF(Inputs!$C$60,Inputs!$C$11+(B632-Inputs!$C$69)/Inputs!$C$70,"")</f>
      </c>
      <c r="D632" s="15"/>
      <c r="E632" s="15"/>
      <c r="F632" s="11">
        <f t="shared" si="5"/>
      </c>
      <c r="G632" s="22" cm="1">
        <f t="array" ref="G632">IF(AND(Inputs!$C$60,Inputs!$C$61),INDEX(Utility_Rates!$C$29:$F$52,HOUR(C632)+Inputs!$C$69,MATCH(INDEX(Utility_Rates!$K$6:$K$17,MONTH(C632))&amp;IF(WEEKDAY(C632,Inputs!$C$76)&lt;=Inputs!$C$74," weekday"," weekend"),Utility_Rates!$C$28:$F$28,Inputs!$C$68)),"")</f>
      </c>
      <c r="H632" s="34"/>
      <c r="I632" s="42">
        <f>IF(AND(ISNUMBER(D632),ISNUMBER(H632)),D632*H632*Inputs!$C$69,"")</f>
      </c>
      <c r="J632" s="42">
        <f>IF(AND(ISNUMBER(F632),ISNUMBER(H632),F632&gt;=Inputs!$C$68),F632*H632*Inputs!$C$69,"")</f>
      </c>
    </row>
    <row r="633" spans="2:10" ht="15" customHeight="1" x14ac:dyDescent="0.2">
      <c r="B633" s="39">
        <f t="shared" si="4"/>
      </c>
      <c r="C633" s="40">
        <f>IF(Inputs!$C$60,Inputs!$C$11+(B633-Inputs!$C$69)/Inputs!$C$70,"")</f>
      </c>
      <c r="D633" s="15"/>
      <c r="E633" s="15"/>
      <c r="F633" s="11">
        <f t="shared" si="5"/>
      </c>
      <c r="G633" s="22" cm="1">
        <f t="array" ref="G633">IF(AND(Inputs!$C$60,Inputs!$C$61),INDEX(Utility_Rates!$C$29:$F$52,HOUR(C633)+Inputs!$C$69,MATCH(INDEX(Utility_Rates!$K$6:$K$17,MONTH(C633))&amp;IF(WEEKDAY(C633,Inputs!$C$76)&lt;=Inputs!$C$74," weekday"," weekend"),Utility_Rates!$C$28:$F$28,Inputs!$C$68)),"")</f>
      </c>
      <c r="H633" s="34"/>
      <c r="I633" s="42">
        <f>IF(AND(ISNUMBER(D633),ISNUMBER(H633)),D633*H633*Inputs!$C$69,"")</f>
      </c>
      <c r="J633" s="42">
        <f>IF(AND(ISNUMBER(F633),ISNUMBER(H633),F633&gt;=Inputs!$C$68),F633*H633*Inputs!$C$69,"")</f>
      </c>
    </row>
    <row r="634" spans="2:10" ht="15" customHeight="1" x14ac:dyDescent="0.2">
      <c r="B634" s="39">
        <f t="shared" si="4"/>
      </c>
      <c r="C634" s="40">
        <f>IF(Inputs!$C$60,Inputs!$C$11+(B634-Inputs!$C$69)/Inputs!$C$70,"")</f>
      </c>
      <c r="D634" s="15"/>
      <c r="E634" s="15"/>
      <c r="F634" s="11">
        <f t="shared" si="5"/>
      </c>
      <c r="G634" s="22" cm="1">
        <f t="array" ref="G634">IF(AND(Inputs!$C$60,Inputs!$C$61),INDEX(Utility_Rates!$C$29:$F$52,HOUR(C634)+Inputs!$C$69,MATCH(INDEX(Utility_Rates!$K$6:$K$17,MONTH(C634))&amp;IF(WEEKDAY(C634,Inputs!$C$76)&lt;=Inputs!$C$74," weekday"," weekend"),Utility_Rates!$C$28:$F$28,Inputs!$C$68)),"")</f>
      </c>
      <c r="H634" s="34"/>
      <c r="I634" s="42">
        <f>IF(AND(ISNUMBER(D634),ISNUMBER(H634)),D634*H634*Inputs!$C$69,"")</f>
      </c>
      <c r="J634" s="42">
        <f>IF(AND(ISNUMBER(F634),ISNUMBER(H634),F634&gt;=Inputs!$C$68),F634*H634*Inputs!$C$69,"")</f>
      </c>
    </row>
    <row r="635" spans="2:10" ht="15" customHeight="1" x14ac:dyDescent="0.2">
      <c r="B635" s="39">
        <f t="shared" si="4"/>
      </c>
      <c r="C635" s="40">
        <f>IF(Inputs!$C$60,Inputs!$C$11+(B635-Inputs!$C$69)/Inputs!$C$70,"")</f>
      </c>
      <c r="D635" s="15"/>
      <c r="E635" s="15"/>
      <c r="F635" s="11">
        <f t="shared" si="5"/>
      </c>
      <c r="G635" s="22" cm="1">
        <f t="array" ref="G635">IF(AND(Inputs!$C$60,Inputs!$C$61),INDEX(Utility_Rates!$C$29:$F$52,HOUR(C635)+Inputs!$C$69,MATCH(INDEX(Utility_Rates!$K$6:$K$17,MONTH(C635))&amp;IF(WEEKDAY(C635,Inputs!$C$76)&lt;=Inputs!$C$74," weekday"," weekend"),Utility_Rates!$C$28:$F$28,Inputs!$C$68)),"")</f>
      </c>
      <c r="H635" s="34"/>
      <c r="I635" s="42">
        <f>IF(AND(ISNUMBER(D635),ISNUMBER(H635)),D635*H635*Inputs!$C$69,"")</f>
      </c>
      <c r="J635" s="42">
        <f>IF(AND(ISNUMBER(F635),ISNUMBER(H635),F635&gt;=Inputs!$C$68),F635*H635*Inputs!$C$69,"")</f>
      </c>
    </row>
    <row r="636" spans="2:10" ht="15" customHeight="1" x14ac:dyDescent="0.2">
      <c r="B636" s="39">
        <f t="shared" si="4"/>
      </c>
      <c r="C636" s="40">
        <f>IF(Inputs!$C$60,Inputs!$C$11+(B636-Inputs!$C$69)/Inputs!$C$70,"")</f>
      </c>
      <c r="D636" s="15"/>
      <c r="E636" s="15"/>
      <c r="F636" s="11">
        <f t="shared" si="5"/>
      </c>
      <c r="G636" s="22" cm="1">
        <f t="array" ref="G636">IF(AND(Inputs!$C$60,Inputs!$C$61),INDEX(Utility_Rates!$C$29:$F$52,HOUR(C636)+Inputs!$C$69,MATCH(INDEX(Utility_Rates!$K$6:$K$17,MONTH(C636))&amp;IF(WEEKDAY(C636,Inputs!$C$76)&lt;=Inputs!$C$74," weekday"," weekend"),Utility_Rates!$C$28:$F$28,Inputs!$C$68)),"")</f>
      </c>
      <c r="H636" s="34"/>
      <c r="I636" s="42">
        <f>IF(AND(ISNUMBER(D636),ISNUMBER(H636)),D636*H636*Inputs!$C$69,"")</f>
      </c>
      <c r="J636" s="42">
        <f>IF(AND(ISNUMBER(F636),ISNUMBER(H636),F636&gt;=Inputs!$C$68),F636*H636*Inputs!$C$69,"")</f>
      </c>
    </row>
    <row r="637" spans="2:10" ht="15" customHeight="1" x14ac:dyDescent="0.2">
      <c r="B637" s="39">
        <f t="shared" si="4"/>
      </c>
      <c r="C637" s="40">
        <f>IF(Inputs!$C$60,Inputs!$C$11+(B637-Inputs!$C$69)/Inputs!$C$70,"")</f>
      </c>
      <c r="D637" s="15"/>
      <c r="E637" s="15"/>
      <c r="F637" s="11">
        <f t="shared" si="5"/>
      </c>
      <c r="G637" s="22" cm="1">
        <f t="array" ref="G637">IF(AND(Inputs!$C$60,Inputs!$C$61),INDEX(Utility_Rates!$C$29:$F$52,HOUR(C637)+Inputs!$C$69,MATCH(INDEX(Utility_Rates!$K$6:$K$17,MONTH(C637))&amp;IF(WEEKDAY(C637,Inputs!$C$76)&lt;=Inputs!$C$74," weekday"," weekend"),Utility_Rates!$C$28:$F$28,Inputs!$C$68)),"")</f>
      </c>
      <c r="H637" s="34"/>
      <c r="I637" s="42">
        <f>IF(AND(ISNUMBER(D637),ISNUMBER(H637)),D637*H637*Inputs!$C$69,"")</f>
      </c>
      <c r="J637" s="42">
        <f>IF(AND(ISNUMBER(F637),ISNUMBER(H637),F637&gt;=Inputs!$C$68),F637*H637*Inputs!$C$69,"")</f>
      </c>
    </row>
    <row r="638" spans="2:10" ht="15" customHeight="1" x14ac:dyDescent="0.2">
      <c r="B638" s="39">
        <f t="shared" si="4"/>
      </c>
      <c r="C638" s="40">
        <f>IF(Inputs!$C$60,Inputs!$C$11+(B638-Inputs!$C$69)/Inputs!$C$70,"")</f>
      </c>
      <c r="D638" s="15"/>
      <c r="E638" s="15"/>
      <c r="F638" s="11">
        <f t="shared" si="5"/>
      </c>
      <c r="G638" s="22" cm="1">
        <f t="array" ref="G638">IF(AND(Inputs!$C$60,Inputs!$C$61),INDEX(Utility_Rates!$C$29:$F$52,HOUR(C638)+Inputs!$C$69,MATCH(INDEX(Utility_Rates!$K$6:$K$17,MONTH(C638))&amp;IF(WEEKDAY(C638,Inputs!$C$76)&lt;=Inputs!$C$74," weekday"," weekend"),Utility_Rates!$C$28:$F$28,Inputs!$C$68)),"")</f>
      </c>
      <c r="H638" s="34"/>
      <c r="I638" s="42">
        <f>IF(AND(ISNUMBER(D638),ISNUMBER(H638)),D638*H638*Inputs!$C$69,"")</f>
      </c>
      <c r="J638" s="42">
        <f>IF(AND(ISNUMBER(F638),ISNUMBER(H638),F638&gt;=Inputs!$C$68),F638*H638*Inputs!$C$69,"")</f>
      </c>
    </row>
    <row r="639" spans="2:10" ht="15" customHeight="1" x14ac:dyDescent="0.2">
      <c r="B639" s="39">
        <f t="shared" si="4"/>
      </c>
      <c r="C639" s="40">
        <f>IF(Inputs!$C$60,Inputs!$C$11+(B639-Inputs!$C$69)/Inputs!$C$70,"")</f>
      </c>
      <c r="D639" s="15"/>
      <c r="E639" s="15"/>
      <c r="F639" s="11">
        <f t="shared" si="5"/>
      </c>
      <c r="G639" s="22" cm="1">
        <f t="array" ref="G639">IF(AND(Inputs!$C$60,Inputs!$C$61),INDEX(Utility_Rates!$C$29:$F$52,HOUR(C639)+Inputs!$C$69,MATCH(INDEX(Utility_Rates!$K$6:$K$17,MONTH(C639))&amp;IF(WEEKDAY(C639,Inputs!$C$76)&lt;=Inputs!$C$74," weekday"," weekend"),Utility_Rates!$C$28:$F$28,Inputs!$C$68)),"")</f>
      </c>
      <c r="H639" s="34"/>
      <c r="I639" s="42">
        <f>IF(AND(ISNUMBER(D639),ISNUMBER(H639)),D639*H639*Inputs!$C$69,"")</f>
      </c>
      <c r="J639" s="42">
        <f>IF(AND(ISNUMBER(F639),ISNUMBER(H639),F639&gt;=Inputs!$C$68),F639*H639*Inputs!$C$69,"")</f>
      </c>
    </row>
    <row r="640" spans="2:10" ht="15" customHeight="1" x14ac:dyDescent="0.2">
      <c r="B640" s="39">
        <f t="shared" si="4"/>
      </c>
      <c r="C640" s="40">
        <f>IF(Inputs!$C$60,Inputs!$C$11+(B640-Inputs!$C$69)/Inputs!$C$70,"")</f>
      </c>
      <c r="D640" s="15"/>
      <c r="E640" s="15"/>
      <c r="F640" s="11">
        <f t="shared" si="5"/>
      </c>
      <c r="G640" s="22" cm="1">
        <f t="array" ref="G640">IF(AND(Inputs!$C$60,Inputs!$C$61),INDEX(Utility_Rates!$C$29:$F$52,HOUR(C640)+Inputs!$C$69,MATCH(INDEX(Utility_Rates!$K$6:$K$17,MONTH(C640))&amp;IF(WEEKDAY(C640,Inputs!$C$76)&lt;=Inputs!$C$74," weekday"," weekend"),Utility_Rates!$C$28:$F$28,Inputs!$C$68)),"")</f>
      </c>
      <c r="H640" s="34"/>
      <c r="I640" s="42">
        <f>IF(AND(ISNUMBER(D640),ISNUMBER(H640)),D640*H640*Inputs!$C$69,"")</f>
      </c>
      <c r="J640" s="42">
        <f>IF(AND(ISNUMBER(F640),ISNUMBER(H640),F640&gt;=Inputs!$C$68),F640*H640*Inputs!$C$69,"")</f>
      </c>
    </row>
    <row r="641" spans="2:10" ht="15" customHeight="1" x14ac:dyDescent="0.2">
      <c r="B641" s="39">
        <f t="shared" si="4"/>
      </c>
      <c r="C641" s="40">
        <f>IF(Inputs!$C$60,Inputs!$C$11+(B641-Inputs!$C$69)/Inputs!$C$70,"")</f>
      </c>
      <c r="D641" s="15"/>
      <c r="E641" s="15"/>
      <c r="F641" s="11">
        <f t="shared" si="5"/>
      </c>
      <c r="G641" s="22" cm="1">
        <f t="array" ref="G641">IF(AND(Inputs!$C$60,Inputs!$C$61),INDEX(Utility_Rates!$C$29:$F$52,HOUR(C641)+Inputs!$C$69,MATCH(INDEX(Utility_Rates!$K$6:$K$17,MONTH(C641))&amp;IF(WEEKDAY(C641,Inputs!$C$76)&lt;=Inputs!$C$74," weekday"," weekend"),Utility_Rates!$C$28:$F$28,Inputs!$C$68)),"")</f>
      </c>
      <c r="H641" s="34"/>
      <c r="I641" s="42">
        <f>IF(AND(ISNUMBER(D641),ISNUMBER(H641)),D641*H641*Inputs!$C$69,"")</f>
      </c>
      <c r="J641" s="42">
        <f>IF(AND(ISNUMBER(F641),ISNUMBER(H641),F641&gt;=Inputs!$C$68),F641*H641*Inputs!$C$69,"")</f>
      </c>
    </row>
    <row r="642" spans="2:10" ht="15" customHeight="1" x14ac:dyDescent="0.2">
      <c r="B642" s="39">
        <f t="shared" si="4"/>
      </c>
      <c r="C642" s="40">
        <f>IF(Inputs!$C$60,Inputs!$C$11+(B642-Inputs!$C$69)/Inputs!$C$70,"")</f>
      </c>
      <c r="D642" s="15"/>
      <c r="E642" s="15"/>
      <c r="F642" s="11">
        <f t="shared" si="5"/>
      </c>
      <c r="G642" s="22" cm="1">
        <f t="array" ref="G642">IF(AND(Inputs!$C$60,Inputs!$C$61),INDEX(Utility_Rates!$C$29:$F$52,HOUR(C642)+Inputs!$C$69,MATCH(INDEX(Utility_Rates!$K$6:$K$17,MONTH(C642))&amp;IF(WEEKDAY(C642,Inputs!$C$76)&lt;=Inputs!$C$74," weekday"," weekend"),Utility_Rates!$C$28:$F$28,Inputs!$C$68)),"")</f>
      </c>
      <c r="H642" s="34"/>
      <c r="I642" s="42">
        <f>IF(AND(ISNUMBER(D642),ISNUMBER(H642)),D642*H642*Inputs!$C$69,"")</f>
      </c>
      <c r="J642" s="42">
        <f>IF(AND(ISNUMBER(F642),ISNUMBER(H642),F642&gt;=Inputs!$C$68),F642*H642*Inputs!$C$69,"")</f>
      </c>
    </row>
    <row r="643" spans="2:10" ht="15" customHeight="1" x14ac:dyDescent="0.2">
      <c r="B643" s="39">
        <f t="shared" si="4"/>
      </c>
      <c r="C643" s="40">
        <f>IF(Inputs!$C$60,Inputs!$C$11+(B643-Inputs!$C$69)/Inputs!$C$70,"")</f>
      </c>
      <c r="D643" s="15"/>
      <c r="E643" s="15"/>
      <c r="F643" s="11">
        <f t="shared" si="5"/>
      </c>
      <c r="G643" s="22" cm="1">
        <f t="array" ref="G643">IF(AND(Inputs!$C$60,Inputs!$C$61),INDEX(Utility_Rates!$C$29:$F$52,HOUR(C643)+Inputs!$C$69,MATCH(INDEX(Utility_Rates!$K$6:$K$17,MONTH(C643))&amp;IF(WEEKDAY(C643,Inputs!$C$76)&lt;=Inputs!$C$74," weekday"," weekend"),Utility_Rates!$C$28:$F$28,Inputs!$C$68)),"")</f>
      </c>
      <c r="H643" s="34"/>
      <c r="I643" s="42">
        <f>IF(AND(ISNUMBER(D643),ISNUMBER(H643)),D643*H643*Inputs!$C$69,"")</f>
      </c>
      <c r="J643" s="42">
        <f>IF(AND(ISNUMBER(F643),ISNUMBER(H643),F643&gt;=Inputs!$C$68),F643*H643*Inputs!$C$69,"")</f>
      </c>
    </row>
    <row r="644" spans="2:10" ht="15" customHeight="1" x14ac:dyDescent="0.2">
      <c r="B644" s="39">
        <f t="shared" si="4"/>
      </c>
      <c r="C644" s="40">
        <f>IF(Inputs!$C$60,Inputs!$C$11+(B644-Inputs!$C$69)/Inputs!$C$70,"")</f>
      </c>
      <c r="D644" s="15"/>
      <c r="E644" s="15"/>
      <c r="F644" s="11">
        <f t="shared" si="5"/>
      </c>
      <c r="G644" s="22" cm="1">
        <f t="array" ref="G644">IF(AND(Inputs!$C$60,Inputs!$C$61),INDEX(Utility_Rates!$C$29:$F$52,HOUR(C644)+Inputs!$C$69,MATCH(INDEX(Utility_Rates!$K$6:$K$17,MONTH(C644))&amp;IF(WEEKDAY(C644,Inputs!$C$76)&lt;=Inputs!$C$74," weekday"," weekend"),Utility_Rates!$C$28:$F$28,Inputs!$C$68)),"")</f>
      </c>
      <c r="H644" s="34"/>
      <c r="I644" s="42">
        <f>IF(AND(ISNUMBER(D644),ISNUMBER(H644)),D644*H644*Inputs!$C$69,"")</f>
      </c>
      <c r="J644" s="42">
        <f>IF(AND(ISNUMBER(F644),ISNUMBER(H644),F644&gt;=Inputs!$C$68),F644*H644*Inputs!$C$69,"")</f>
      </c>
    </row>
    <row r="645" spans="2:10" ht="15" customHeight="1" x14ac:dyDescent="0.2">
      <c r="B645" s="39">
        <f t="shared" si="4"/>
      </c>
      <c r="C645" s="40">
        <f>IF(Inputs!$C$60,Inputs!$C$11+(B645-Inputs!$C$69)/Inputs!$C$70,"")</f>
      </c>
      <c r="D645" s="15"/>
      <c r="E645" s="15"/>
      <c r="F645" s="11">
        <f t="shared" si="5"/>
      </c>
      <c r="G645" s="22" cm="1">
        <f t="array" ref="G645">IF(AND(Inputs!$C$60,Inputs!$C$61),INDEX(Utility_Rates!$C$29:$F$52,HOUR(C645)+Inputs!$C$69,MATCH(INDEX(Utility_Rates!$K$6:$K$17,MONTH(C645))&amp;IF(WEEKDAY(C645,Inputs!$C$76)&lt;=Inputs!$C$74," weekday"," weekend"),Utility_Rates!$C$28:$F$28,Inputs!$C$68)),"")</f>
      </c>
      <c r="H645" s="34"/>
      <c r="I645" s="42">
        <f>IF(AND(ISNUMBER(D645),ISNUMBER(H645)),D645*H645*Inputs!$C$69,"")</f>
      </c>
      <c r="J645" s="42">
        <f>IF(AND(ISNUMBER(F645),ISNUMBER(H645),F645&gt;=Inputs!$C$68),F645*H645*Inputs!$C$69,"")</f>
      </c>
    </row>
    <row r="646" spans="2:10" ht="15" customHeight="1" x14ac:dyDescent="0.2">
      <c r="B646" s="39">
        <f t="shared" si="4"/>
      </c>
      <c r="C646" s="40">
        <f>IF(Inputs!$C$60,Inputs!$C$11+(B646-Inputs!$C$69)/Inputs!$C$70,"")</f>
      </c>
      <c r="D646" s="15"/>
      <c r="E646" s="15"/>
      <c r="F646" s="11">
        <f t="shared" si="5"/>
      </c>
      <c r="G646" s="22" cm="1">
        <f t="array" ref="G646">IF(AND(Inputs!$C$60,Inputs!$C$61),INDEX(Utility_Rates!$C$29:$F$52,HOUR(C646)+Inputs!$C$69,MATCH(INDEX(Utility_Rates!$K$6:$K$17,MONTH(C646))&amp;IF(WEEKDAY(C646,Inputs!$C$76)&lt;=Inputs!$C$74," weekday"," weekend"),Utility_Rates!$C$28:$F$28,Inputs!$C$68)),"")</f>
      </c>
      <c r="H646" s="34"/>
      <c r="I646" s="42">
        <f>IF(AND(ISNUMBER(D646),ISNUMBER(H646)),D646*H646*Inputs!$C$69,"")</f>
      </c>
      <c r="J646" s="42">
        <f>IF(AND(ISNUMBER(F646),ISNUMBER(H646),F646&gt;=Inputs!$C$68),F646*H646*Inputs!$C$69,"")</f>
      </c>
    </row>
    <row r="647" spans="2:10" ht="15" customHeight="1" x14ac:dyDescent="0.2">
      <c r="B647" s="39">
        <f t="shared" si="4"/>
      </c>
      <c r="C647" s="40">
        <f>IF(Inputs!$C$60,Inputs!$C$11+(B647-Inputs!$C$69)/Inputs!$C$70,"")</f>
      </c>
      <c r="D647" s="15"/>
      <c r="E647" s="15"/>
      <c r="F647" s="11">
        <f t="shared" si="5"/>
      </c>
      <c r="G647" s="22" cm="1">
        <f t="array" ref="G647">IF(AND(Inputs!$C$60,Inputs!$C$61),INDEX(Utility_Rates!$C$29:$F$52,HOUR(C647)+Inputs!$C$69,MATCH(INDEX(Utility_Rates!$K$6:$K$17,MONTH(C647))&amp;IF(WEEKDAY(C647,Inputs!$C$76)&lt;=Inputs!$C$74," weekday"," weekend"),Utility_Rates!$C$28:$F$28,Inputs!$C$68)),"")</f>
      </c>
      <c r="H647" s="34"/>
      <c r="I647" s="42">
        <f>IF(AND(ISNUMBER(D647),ISNUMBER(H647)),D647*H647*Inputs!$C$69,"")</f>
      </c>
      <c r="J647" s="42">
        <f>IF(AND(ISNUMBER(F647),ISNUMBER(H647),F647&gt;=Inputs!$C$68),F647*H647*Inputs!$C$69,"")</f>
      </c>
    </row>
    <row r="648" spans="2:10" ht="15" customHeight="1" x14ac:dyDescent="0.2">
      <c r="B648" s="39">
        <f t="shared" si="4"/>
      </c>
      <c r="C648" s="40">
        <f>IF(Inputs!$C$60,Inputs!$C$11+(B648-Inputs!$C$69)/Inputs!$C$70,"")</f>
      </c>
      <c r="D648" s="15"/>
      <c r="E648" s="15"/>
      <c r="F648" s="11">
        <f t="shared" si="5"/>
      </c>
      <c r="G648" s="22" cm="1">
        <f t="array" ref="G648">IF(AND(Inputs!$C$60,Inputs!$C$61),INDEX(Utility_Rates!$C$29:$F$52,HOUR(C648)+Inputs!$C$69,MATCH(INDEX(Utility_Rates!$K$6:$K$17,MONTH(C648))&amp;IF(WEEKDAY(C648,Inputs!$C$76)&lt;=Inputs!$C$74," weekday"," weekend"),Utility_Rates!$C$28:$F$28,Inputs!$C$68)),"")</f>
      </c>
      <c r="H648" s="34"/>
      <c r="I648" s="42">
        <f>IF(AND(ISNUMBER(D648),ISNUMBER(H648)),D648*H648*Inputs!$C$69,"")</f>
      </c>
      <c r="J648" s="42">
        <f>IF(AND(ISNUMBER(F648),ISNUMBER(H648),F648&gt;=Inputs!$C$68),F648*H648*Inputs!$C$69,"")</f>
      </c>
    </row>
    <row r="649" spans="2:10" ht="15" customHeight="1" x14ac:dyDescent="0.2">
      <c r="B649" s="39">
        <f t="shared" si="4"/>
      </c>
      <c r="C649" s="40">
        <f>IF(Inputs!$C$60,Inputs!$C$11+(B649-Inputs!$C$69)/Inputs!$C$70,"")</f>
      </c>
      <c r="D649" s="15"/>
      <c r="E649" s="15"/>
      <c r="F649" s="11">
        <f t="shared" si="5"/>
      </c>
      <c r="G649" s="22" cm="1">
        <f t="array" ref="G649">IF(AND(Inputs!$C$60,Inputs!$C$61),INDEX(Utility_Rates!$C$29:$F$52,HOUR(C649)+Inputs!$C$69,MATCH(INDEX(Utility_Rates!$K$6:$K$17,MONTH(C649))&amp;IF(WEEKDAY(C649,Inputs!$C$76)&lt;=Inputs!$C$74," weekday"," weekend"),Utility_Rates!$C$28:$F$28,Inputs!$C$68)),"")</f>
      </c>
      <c r="H649" s="34"/>
      <c r="I649" s="42">
        <f>IF(AND(ISNUMBER(D649),ISNUMBER(H649)),D649*H649*Inputs!$C$69,"")</f>
      </c>
      <c r="J649" s="42">
        <f>IF(AND(ISNUMBER(F649),ISNUMBER(H649),F649&gt;=Inputs!$C$68),F649*H649*Inputs!$C$69,"")</f>
      </c>
    </row>
    <row r="650" spans="2:10" ht="15" customHeight="1" x14ac:dyDescent="0.2">
      <c r="B650" s="39">
        <f t="shared" si="4"/>
      </c>
      <c r="C650" s="40">
        <f>IF(Inputs!$C$60,Inputs!$C$11+(B650-Inputs!$C$69)/Inputs!$C$70,"")</f>
      </c>
      <c r="D650" s="15"/>
      <c r="E650" s="15"/>
      <c r="F650" s="11">
        <f t="shared" si="5"/>
      </c>
      <c r="G650" s="22" cm="1">
        <f t="array" ref="G650">IF(AND(Inputs!$C$60,Inputs!$C$61),INDEX(Utility_Rates!$C$29:$F$52,HOUR(C650)+Inputs!$C$69,MATCH(INDEX(Utility_Rates!$K$6:$K$17,MONTH(C650))&amp;IF(WEEKDAY(C650,Inputs!$C$76)&lt;=Inputs!$C$74," weekday"," weekend"),Utility_Rates!$C$28:$F$28,Inputs!$C$68)),"")</f>
      </c>
      <c r="H650" s="34"/>
      <c r="I650" s="42">
        <f>IF(AND(ISNUMBER(D650),ISNUMBER(H650)),D650*H650*Inputs!$C$69,"")</f>
      </c>
      <c r="J650" s="42">
        <f>IF(AND(ISNUMBER(F650),ISNUMBER(H650),F650&gt;=Inputs!$C$68),F650*H650*Inputs!$C$69,"")</f>
      </c>
    </row>
    <row r="651" spans="2:10" ht="15" customHeight="1" x14ac:dyDescent="0.2">
      <c r="B651" s="39">
        <f t="shared" si="4"/>
      </c>
      <c r="C651" s="40">
        <f>IF(Inputs!$C$60,Inputs!$C$11+(B651-Inputs!$C$69)/Inputs!$C$70,"")</f>
      </c>
      <c r="D651" s="15"/>
      <c r="E651" s="15"/>
      <c r="F651" s="11">
        <f t="shared" si="5"/>
      </c>
      <c r="G651" s="22" cm="1">
        <f t="array" ref="G651">IF(AND(Inputs!$C$60,Inputs!$C$61),INDEX(Utility_Rates!$C$29:$F$52,HOUR(C651)+Inputs!$C$69,MATCH(INDEX(Utility_Rates!$K$6:$K$17,MONTH(C651))&amp;IF(WEEKDAY(C651,Inputs!$C$76)&lt;=Inputs!$C$74," weekday"," weekend"),Utility_Rates!$C$28:$F$28,Inputs!$C$68)),"")</f>
      </c>
      <c r="H651" s="34"/>
      <c r="I651" s="42">
        <f>IF(AND(ISNUMBER(D651),ISNUMBER(H651)),D651*H651*Inputs!$C$69,"")</f>
      </c>
      <c r="J651" s="42">
        <f>IF(AND(ISNUMBER(F651),ISNUMBER(H651),F651&gt;=Inputs!$C$68),F651*H651*Inputs!$C$69,"")</f>
      </c>
    </row>
    <row r="652" spans="2:10" ht="15" customHeight="1" x14ac:dyDescent="0.2">
      <c r="B652" s="39">
        <f t="shared" si="4"/>
      </c>
      <c r="C652" s="40">
        <f>IF(Inputs!$C$60,Inputs!$C$11+(B652-Inputs!$C$69)/Inputs!$C$70,"")</f>
      </c>
      <c r="D652" s="15"/>
      <c r="E652" s="15"/>
      <c r="F652" s="11">
        <f t="shared" si="5"/>
      </c>
      <c r="G652" s="22" cm="1">
        <f t="array" ref="G652">IF(AND(Inputs!$C$60,Inputs!$C$61),INDEX(Utility_Rates!$C$29:$F$52,HOUR(C652)+Inputs!$C$69,MATCH(INDEX(Utility_Rates!$K$6:$K$17,MONTH(C652))&amp;IF(WEEKDAY(C652,Inputs!$C$76)&lt;=Inputs!$C$74," weekday"," weekend"),Utility_Rates!$C$28:$F$28,Inputs!$C$68)),"")</f>
      </c>
      <c r="H652" s="34"/>
      <c r="I652" s="42">
        <f>IF(AND(ISNUMBER(D652),ISNUMBER(H652)),D652*H652*Inputs!$C$69,"")</f>
      </c>
      <c r="J652" s="42">
        <f>IF(AND(ISNUMBER(F652),ISNUMBER(H652),F652&gt;=Inputs!$C$68),F652*H652*Inputs!$C$69,"")</f>
      </c>
    </row>
    <row r="653" spans="2:10" ht="15" customHeight="1" x14ac:dyDescent="0.2">
      <c r="B653" s="39">
        <f t="shared" si="4"/>
      </c>
      <c r="C653" s="40">
        <f>IF(Inputs!$C$60,Inputs!$C$11+(B653-Inputs!$C$69)/Inputs!$C$70,"")</f>
      </c>
      <c r="D653" s="15"/>
      <c r="E653" s="15"/>
      <c r="F653" s="11">
        <f t="shared" si="5"/>
      </c>
      <c r="G653" s="22" cm="1">
        <f t="array" ref="G653">IF(AND(Inputs!$C$60,Inputs!$C$61),INDEX(Utility_Rates!$C$29:$F$52,HOUR(C653)+Inputs!$C$69,MATCH(INDEX(Utility_Rates!$K$6:$K$17,MONTH(C653))&amp;IF(WEEKDAY(C653,Inputs!$C$76)&lt;=Inputs!$C$74," weekday"," weekend"),Utility_Rates!$C$28:$F$28,Inputs!$C$68)),"")</f>
      </c>
      <c r="H653" s="34"/>
      <c r="I653" s="42">
        <f>IF(AND(ISNUMBER(D653),ISNUMBER(H653)),D653*H653*Inputs!$C$69,"")</f>
      </c>
      <c r="J653" s="42">
        <f>IF(AND(ISNUMBER(F653),ISNUMBER(H653),F653&gt;=Inputs!$C$68),F653*H653*Inputs!$C$69,"")</f>
      </c>
    </row>
    <row r="654" spans="2:10" ht="15" customHeight="1" x14ac:dyDescent="0.2">
      <c r="B654" s="39">
        <f t="shared" si="4"/>
      </c>
      <c r="C654" s="40">
        <f>IF(Inputs!$C$60,Inputs!$C$11+(B654-Inputs!$C$69)/Inputs!$C$70,"")</f>
      </c>
      <c r="D654" s="15"/>
      <c r="E654" s="15"/>
      <c r="F654" s="11">
        <f t="shared" si="5"/>
      </c>
      <c r="G654" s="22" cm="1">
        <f t="array" ref="G654">IF(AND(Inputs!$C$60,Inputs!$C$61),INDEX(Utility_Rates!$C$29:$F$52,HOUR(C654)+Inputs!$C$69,MATCH(INDEX(Utility_Rates!$K$6:$K$17,MONTH(C654))&amp;IF(WEEKDAY(C654,Inputs!$C$76)&lt;=Inputs!$C$74," weekday"," weekend"),Utility_Rates!$C$28:$F$28,Inputs!$C$68)),"")</f>
      </c>
      <c r="H654" s="34"/>
      <c r="I654" s="42">
        <f>IF(AND(ISNUMBER(D654),ISNUMBER(H654)),D654*H654*Inputs!$C$69,"")</f>
      </c>
      <c r="J654" s="42">
        <f>IF(AND(ISNUMBER(F654),ISNUMBER(H654),F654&gt;=Inputs!$C$68),F654*H654*Inputs!$C$69,"")</f>
      </c>
    </row>
    <row r="655" spans="2:10" ht="15" customHeight="1" x14ac:dyDescent="0.2">
      <c r="B655" s="39">
        <f t="shared" si="4"/>
      </c>
      <c r="C655" s="40">
        <f>IF(Inputs!$C$60,Inputs!$C$11+(B655-Inputs!$C$69)/Inputs!$C$70,"")</f>
      </c>
      <c r="D655" s="15"/>
      <c r="E655" s="15"/>
      <c r="F655" s="11">
        <f t="shared" si="5"/>
      </c>
      <c r="G655" s="22" cm="1">
        <f t="array" ref="G655">IF(AND(Inputs!$C$60,Inputs!$C$61),INDEX(Utility_Rates!$C$29:$F$52,HOUR(C655)+Inputs!$C$69,MATCH(INDEX(Utility_Rates!$K$6:$K$17,MONTH(C655))&amp;IF(WEEKDAY(C655,Inputs!$C$76)&lt;=Inputs!$C$74," weekday"," weekend"),Utility_Rates!$C$28:$F$28,Inputs!$C$68)),"")</f>
      </c>
      <c r="H655" s="34"/>
      <c r="I655" s="42">
        <f>IF(AND(ISNUMBER(D655),ISNUMBER(H655)),D655*H655*Inputs!$C$69,"")</f>
      </c>
      <c r="J655" s="42">
        <f>IF(AND(ISNUMBER(F655),ISNUMBER(H655),F655&gt;=Inputs!$C$68),F655*H655*Inputs!$C$69,"")</f>
      </c>
    </row>
    <row r="656" spans="2:10" ht="15" customHeight="1" x14ac:dyDescent="0.2">
      <c r="B656" s="39">
        <f t="shared" si="4"/>
      </c>
      <c r="C656" s="40">
        <f>IF(Inputs!$C$60,Inputs!$C$11+(B656-Inputs!$C$69)/Inputs!$C$70,"")</f>
      </c>
      <c r="D656" s="15"/>
      <c r="E656" s="15"/>
      <c r="F656" s="11">
        <f t="shared" si="5"/>
      </c>
      <c r="G656" s="22" cm="1">
        <f t="array" ref="G656">IF(AND(Inputs!$C$60,Inputs!$C$61),INDEX(Utility_Rates!$C$29:$F$52,HOUR(C656)+Inputs!$C$69,MATCH(INDEX(Utility_Rates!$K$6:$K$17,MONTH(C656))&amp;IF(WEEKDAY(C656,Inputs!$C$76)&lt;=Inputs!$C$74," weekday"," weekend"),Utility_Rates!$C$28:$F$28,Inputs!$C$68)),"")</f>
      </c>
      <c r="H656" s="34"/>
      <c r="I656" s="42">
        <f>IF(AND(ISNUMBER(D656),ISNUMBER(H656)),D656*H656*Inputs!$C$69,"")</f>
      </c>
      <c r="J656" s="42">
        <f>IF(AND(ISNUMBER(F656),ISNUMBER(H656),F656&gt;=Inputs!$C$68),F656*H656*Inputs!$C$69,"")</f>
      </c>
    </row>
    <row r="657" spans="2:10" ht="15" customHeight="1" x14ac:dyDescent="0.2">
      <c r="B657" s="39">
        <f t="shared" si="4"/>
      </c>
      <c r="C657" s="40">
        <f>IF(Inputs!$C$60,Inputs!$C$11+(B657-Inputs!$C$69)/Inputs!$C$70,"")</f>
      </c>
      <c r="D657" s="15"/>
      <c r="E657" s="15"/>
      <c r="F657" s="11">
        <f t="shared" si="5"/>
      </c>
      <c r="G657" s="22" cm="1">
        <f t="array" ref="G657">IF(AND(Inputs!$C$60,Inputs!$C$61),INDEX(Utility_Rates!$C$29:$F$52,HOUR(C657)+Inputs!$C$69,MATCH(INDEX(Utility_Rates!$K$6:$K$17,MONTH(C657))&amp;IF(WEEKDAY(C657,Inputs!$C$76)&lt;=Inputs!$C$74," weekday"," weekend"),Utility_Rates!$C$28:$F$28,Inputs!$C$68)),"")</f>
      </c>
      <c r="H657" s="34"/>
      <c r="I657" s="42">
        <f>IF(AND(ISNUMBER(D657),ISNUMBER(H657)),D657*H657*Inputs!$C$69,"")</f>
      </c>
      <c r="J657" s="42">
        <f>IF(AND(ISNUMBER(F657),ISNUMBER(H657),F657&gt;=Inputs!$C$68),F657*H657*Inputs!$C$69,"")</f>
      </c>
    </row>
    <row r="658" spans="2:10" ht="15" customHeight="1" x14ac:dyDescent="0.2">
      <c r="B658" s="39">
        <f t="shared" si="4"/>
      </c>
      <c r="C658" s="40">
        <f>IF(Inputs!$C$60,Inputs!$C$11+(B658-Inputs!$C$69)/Inputs!$C$70,"")</f>
      </c>
      <c r="D658" s="15"/>
      <c r="E658" s="15"/>
      <c r="F658" s="11">
        <f t="shared" si="5"/>
      </c>
      <c r="G658" s="22" cm="1">
        <f t="array" ref="G658">IF(AND(Inputs!$C$60,Inputs!$C$61),INDEX(Utility_Rates!$C$29:$F$52,HOUR(C658)+Inputs!$C$69,MATCH(INDEX(Utility_Rates!$K$6:$K$17,MONTH(C658))&amp;IF(WEEKDAY(C658,Inputs!$C$76)&lt;=Inputs!$C$74," weekday"," weekend"),Utility_Rates!$C$28:$F$28,Inputs!$C$68)),"")</f>
      </c>
      <c r="H658" s="34"/>
      <c r="I658" s="42">
        <f>IF(AND(ISNUMBER(D658),ISNUMBER(H658)),D658*H658*Inputs!$C$69,"")</f>
      </c>
      <c r="J658" s="42">
        <f>IF(AND(ISNUMBER(F658),ISNUMBER(H658),F658&gt;=Inputs!$C$68),F658*H658*Inputs!$C$69,"")</f>
      </c>
    </row>
    <row r="659" spans="2:10" ht="15" customHeight="1" x14ac:dyDescent="0.2">
      <c r="B659" s="39">
        <f t="shared" si="4"/>
      </c>
      <c r="C659" s="40">
        <f>IF(Inputs!$C$60,Inputs!$C$11+(B659-Inputs!$C$69)/Inputs!$C$70,"")</f>
      </c>
      <c r="D659" s="15"/>
      <c r="E659" s="15"/>
      <c r="F659" s="11">
        <f t="shared" si="5"/>
      </c>
      <c r="G659" s="22" cm="1">
        <f t="array" ref="G659">IF(AND(Inputs!$C$60,Inputs!$C$61),INDEX(Utility_Rates!$C$29:$F$52,HOUR(C659)+Inputs!$C$69,MATCH(INDEX(Utility_Rates!$K$6:$K$17,MONTH(C659))&amp;IF(WEEKDAY(C659,Inputs!$C$76)&lt;=Inputs!$C$74," weekday"," weekend"),Utility_Rates!$C$28:$F$28,Inputs!$C$68)),"")</f>
      </c>
      <c r="H659" s="34"/>
      <c r="I659" s="42">
        <f>IF(AND(ISNUMBER(D659),ISNUMBER(H659)),D659*H659*Inputs!$C$69,"")</f>
      </c>
      <c r="J659" s="42">
        <f>IF(AND(ISNUMBER(F659),ISNUMBER(H659),F659&gt;=Inputs!$C$68),F659*H659*Inputs!$C$69,"")</f>
      </c>
    </row>
    <row r="660" spans="2:10" ht="15" customHeight="1" x14ac:dyDescent="0.2">
      <c r="B660" s="39">
        <f t="shared" si="4"/>
      </c>
      <c r="C660" s="40">
        <f>IF(Inputs!$C$60,Inputs!$C$11+(B660-Inputs!$C$69)/Inputs!$C$70,"")</f>
      </c>
      <c r="D660" s="15"/>
      <c r="E660" s="15"/>
      <c r="F660" s="11">
        <f t="shared" si="5"/>
      </c>
      <c r="G660" s="22" cm="1">
        <f t="array" ref="G660">IF(AND(Inputs!$C$60,Inputs!$C$61),INDEX(Utility_Rates!$C$29:$F$52,HOUR(C660)+Inputs!$C$69,MATCH(INDEX(Utility_Rates!$K$6:$K$17,MONTH(C660))&amp;IF(WEEKDAY(C660,Inputs!$C$76)&lt;=Inputs!$C$74," weekday"," weekend"),Utility_Rates!$C$28:$F$28,Inputs!$C$68)),"")</f>
      </c>
      <c r="H660" s="34"/>
      <c r="I660" s="42">
        <f>IF(AND(ISNUMBER(D660),ISNUMBER(H660)),D660*H660*Inputs!$C$69,"")</f>
      </c>
      <c r="J660" s="42">
        <f>IF(AND(ISNUMBER(F660),ISNUMBER(H660),F660&gt;=Inputs!$C$68),F660*H660*Inputs!$C$69,"")</f>
      </c>
    </row>
    <row r="661" spans="2:10" ht="15" customHeight="1" x14ac:dyDescent="0.2">
      <c r="B661" s="39">
        <f t="shared" si="4"/>
      </c>
      <c r="C661" s="40">
        <f>IF(Inputs!$C$60,Inputs!$C$11+(B661-Inputs!$C$69)/Inputs!$C$70,"")</f>
      </c>
      <c r="D661" s="15"/>
      <c r="E661" s="15"/>
      <c r="F661" s="11">
        <f t="shared" si="5"/>
      </c>
      <c r="G661" s="22" cm="1">
        <f t="array" ref="G661">IF(AND(Inputs!$C$60,Inputs!$C$61),INDEX(Utility_Rates!$C$29:$F$52,HOUR(C661)+Inputs!$C$69,MATCH(INDEX(Utility_Rates!$K$6:$K$17,MONTH(C661))&amp;IF(WEEKDAY(C661,Inputs!$C$76)&lt;=Inputs!$C$74," weekday"," weekend"),Utility_Rates!$C$28:$F$28,Inputs!$C$68)),"")</f>
      </c>
      <c r="H661" s="34"/>
      <c r="I661" s="42">
        <f>IF(AND(ISNUMBER(D661),ISNUMBER(H661)),D661*H661*Inputs!$C$69,"")</f>
      </c>
      <c r="J661" s="42">
        <f>IF(AND(ISNUMBER(F661),ISNUMBER(H661),F661&gt;=Inputs!$C$68),F661*H661*Inputs!$C$69,"")</f>
      </c>
    </row>
    <row r="662" spans="2:10" ht="15" customHeight="1" x14ac:dyDescent="0.2">
      <c r="B662" s="39">
        <f t="shared" si="4"/>
      </c>
      <c r="C662" s="40">
        <f>IF(Inputs!$C$60,Inputs!$C$11+(B662-Inputs!$C$69)/Inputs!$C$70,"")</f>
      </c>
      <c r="D662" s="15"/>
      <c r="E662" s="15"/>
      <c r="F662" s="11">
        <f t="shared" si="5"/>
      </c>
      <c r="G662" s="22" cm="1">
        <f t="array" ref="G662">IF(AND(Inputs!$C$60,Inputs!$C$61),INDEX(Utility_Rates!$C$29:$F$52,HOUR(C662)+Inputs!$C$69,MATCH(INDEX(Utility_Rates!$K$6:$K$17,MONTH(C662))&amp;IF(WEEKDAY(C662,Inputs!$C$76)&lt;=Inputs!$C$74," weekday"," weekend"),Utility_Rates!$C$28:$F$28,Inputs!$C$68)),"")</f>
      </c>
      <c r="H662" s="34"/>
      <c r="I662" s="42">
        <f>IF(AND(ISNUMBER(D662),ISNUMBER(H662)),D662*H662*Inputs!$C$69,"")</f>
      </c>
      <c r="J662" s="42">
        <f>IF(AND(ISNUMBER(F662),ISNUMBER(H662),F662&gt;=Inputs!$C$68),F662*H662*Inputs!$C$69,"")</f>
      </c>
    </row>
    <row r="663" spans="2:10" ht="15" customHeight="1" x14ac:dyDescent="0.2">
      <c r="B663" s="39">
        <f t="shared" si="4"/>
      </c>
      <c r="C663" s="40">
        <f>IF(Inputs!$C$60,Inputs!$C$11+(B663-Inputs!$C$69)/Inputs!$C$70,"")</f>
      </c>
      <c r="D663" s="15"/>
      <c r="E663" s="15"/>
      <c r="F663" s="11">
        <f t="shared" si="5"/>
      </c>
      <c r="G663" s="22" cm="1">
        <f t="array" ref="G663">IF(AND(Inputs!$C$60,Inputs!$C$61),INDEX(Utility_Rates!$C$29:$F$52,HOUR(C663)+Inputs!$C$69,MATCH(INDEX(Utility_Rates!$K$6:$K$17,MONTH(C663))&amp;IF(WEEKDAY(C663,Inputs!$C$76)&lt;=Inputs!$C$74," weekday"," weekend"),Utility_Rates!$C$28:$F$28,Inputs!$C$68)),"")</f>
      </c>
      <c r="H663" s="34"/>
      <c r="I663" s="42">
        <f>IF(AND(ISNUMBER(D663),ISNUMBER(H663)),D663*H663*Inputs!$C$69,"")</f>
      </c>
      <c r="J663" s="42">
        <f>IF(AND(ISNUMBER(F663),ISNUMBER(H663),F663&gt;=Inputs!$C$68),F663*H663*Inputs!$C$69,"")</f>
      </c>
    </row>
    <row r="664" spans="2:10" ht="15" customHeight="1" x14ac:dyDescent="0.2">
      <c r="B664" s="39">
        <f t="shared" si="4"/>
      </c>
      <c r="C664" s="40">
        <f>IF(Inputs!$C$60,Inputs!$C$11+(B664-Inputs!$C$69)/Inputs!$C$70,"")</f>
      </c>
      <c r="D664" s="15"/>
      <c r="E664" s="15"/>
      <c r="F664" s="11">
        <f t="shared" si="5"/>
      </c>
      <c r="G664" s="22" cm="1">
        <f t="array" ref="G664">IF(AND(Inputs!$C$60,Inputs!$C$61),INDEX(Utility_Rates!$C$29:$F$52,HOUR(C664)+Inputs!$C$69,MATCH(INDEX(Utility_Rates!$K$6:$K$17,MONTH(C664))&amp;IF(WEEKDAY(C664,Inputs!$C$76)&lt;=Inputs!$C$74," weekday"," weekend"),Utility_Rates!$C$28:$F$28,Inputs!$C$68)),"")</f>
      </c>
      <c r="H664" s="34"/>
      <c r="I664" s="42">
        <f>IF(AND(ISNUMBER(D664),ISNUMBER(H664)),D664*H664*Inputs!$C$69,"")</f>
      </c>
      <c r="J664" s="42">
        <f>IF(AND(ISNUMBER(F664),ISNUMBER(H664),F664&gt;=Inputs!$C$68),F664*H664*Inputs!$C$69,"")</f>
      </c>
    </row>
    <row r="665" spans="2:10" ht="15" customHeight="1" x14ac:dyDescent="0.2">
      <c r="B665" s="39">
        <f t="shared" si="4"/>
      </c>
      <c r="C665" s="40">
        <f>IF(Inputs!$C$60,Inputs!$C$11+(B665-Inputs!$C$69)/Inputs!$C$70,"")</f>
      </c>
      <c r="D665" s="15"/>
      <c r="E665" s="15"/>
      <c r="F665" s="11">
        <f t="shared" si="5"/>
      </c>
      <c r="G665" s="22" cm="1">
        <f t="array" ref="G665">IF(AND(Inputs!$C$60,Inputs!$C$61),INDEX(Utility_Rates!$C$29:$F$52,HOUR(C665)+Inputs!$C$69,MATCH(INDEX(Utility_Rates!$K$6:$K$17,MONTH(C665))&amp;IF(WEEKDAY(C665,Inputs!$C$76)&lt;=Inputs!$C$74," weekday"," weekend"),Utility_Rates!$C$28:$F$28,Inputs!$C$68)),"")</f>
      </c>
      <c r="H665" s="34"/>
      <c r="I665" s="42">
        <f>IF(AND(ISNUMBER(D665),ISNUMBER(H665)),D665*H665*Inputs!$C$69,"")</f>
      </c>
      <c r="J665" s="42">
        <f>IF(AND(ISNUMBER(F665),ISNUMBER(H665),F665&gt;=Inputs!$C$68),F665*H665*Inputs!$C$69,"")</f>
      </c>
    </row>
    <row r="666" spans="2:10" ht="15" customHeight="1" x14ac:dyDescent="0.2">
      <c r="B666" s="39">
        <f t="shared" si="4"/>
      </c>
      <c r="C666" s="40">
        <f>IF(Inputs!$C$60,Inputs!$C$11+(B666-Inputs!$C$69)/Inputs!$C$70,"")</f>
      </c>
      <c r="D666" s="15"/>
      <c r="E666" s="15"/>
      <c r="F666" s="11">
        <f t="shared" si="5"/>
      </c>
      <c r="G666" s="22" cm="1">
        <f t="array" ref="G666">IF(AND(Inputs!$C$60,Inputs!$C$61),INDEX(Utility_Rates!$C$29:$F$52,HOUR(C666)+Inputs!$C$69,MATCH(INDEX(Utility_Rates!$K$6:$K$17,MONTH(C666))&amp;IF(WEEKDAY(C666,Inputs!$C$76)&lt;=Inputs!$C$74," weekday"," weekend"),Utility_Rates!$C$28:$F$28,Inputs!$C$68)),"")</f>
      </c>
      <c r="H666" s="34"/>
      <c r="I666" s="42">
        <f>IF(AND(ISNUMBER(D666),ISNUMBER(H666)),D666*H666*Inputs!$C$69,"")</f>
      </c>
      <c r="J666" s="42">
        <f>IF(AND(ISNUMBER(F666),ISNUMBER(H666),F666&gt;=Inputs!$C$68),F666*H666*Inputs!$C$69,"")</f>
      </c>
    </row>
    <row r="667" spans="2:10" ht="15" customHeight="1" x14ac:dyDescent="0.2">
      <c r="B667" s="39">
        <f t="shared" si="4"/>
      </c>
      <c r="C667" s="40">
        <f>IF(Inputs!$C$60,Inputs!$C$11+(B667-Inputs!$C$69)/Inputs!$C$70,"")</f>
      </c>
      <c r="D667" s="15"/>
      <c r="E667" s="15"/>
      <c r="F667" s="11">
        <f t="shared" si="5"/>
      </c>
      <c r="G667" s="22" cm="1">
        <f t="array" ref="G667">IF(AND(Inputs!$C$60,Inputs!$C$61),INDEX(Utility_Rates!$C$29:$F$52,HOUR(C667)+Inputs!$C$69,MATCH(INDEX(Utility_Rates!$K$6:$K$17,MONTH(C667))&amp;IF(WEEKDAY(C667,Inputs!$C$76)&lt;=Inputs!$C$74," weekday"," weekend"),Utility_Rates!$C$28:$F$28,Inputs!$C$68)),"")</f>
      </c>
      <c r="H667" s="34"/>
      <c r="I667" s="42">
        <f>IF(AND(ISNUMBER(D667),ISNUMBER(H667)),D667*H667*Inputs!$C$69,"")</f>
      </c>
      <c r="J667" s="42">
        <f>IF(AND(ISNUMBER(F667),ISNUMBER(H667),F667&gt;=Inputs!$C$68),F667*H667*Inputs!$C$69,"")</f>
      </c>
    </row>
    <row r="668" spans="2:10" ht="15" customHeight="1" x14ac:dyDescent="0.2">
      <c r="B668" s="39">
        <f t="shared" si="4"/>
      </c>
      <c r="C668" s="40">
        <f>IF(Inputs!$C$60,Inputs!$C$11+(B668-Inputs!$C$69)/Inputs!$C$70,"")</f>
      </c>
      <c r="D668" s="15"/>
      <c r="E668" s="15"/>
      <c r="F668" s="11">
        <f t="shared" si="5"/>
      </c>
      <c r="G668" s="22" cm="1">
        <f t="array" ref="G668">IF(AND(Inputs!$C$60,Inputs!$C$61),INDEX(Utility_Rates!$C$29:$F$52,HOUR(C668)+Inputs!$C$69,MATCH(INDEX(Utility_Rates!$K$6:$K$17,MONTH(C668))&amp;IF(WEEKDAY(C668,Inputs!$C$76)&lt;=Inputs!$C$74," weekday"," weekend"),Utility_Rates!$C$28:$F$28,Inputs!$C$68)),"")</f>
      </c>
      <c r="H668" s="34"/>
      <c r="I668" s="42">
        <f>IF(AND(ISNUMBER(D668),ISNUMBER(H668)),D668*H668*Inputs!$C$69,"")</f>
      </c>
      <c r="J668" s="42">
        <f>IF(AND(ISNUMBER(F668),ISNUMBER(H668),F668&gt;=Inputs!$C$68),F668*H668*Inputs!$C$69,"")</f>
      </c>
    </row>
    <row r="669" spans="2:10" ht="15" customHeight="1" x14ac:dyDescent="0.2">
      <c r="B669" s="39">
        <f t="shared" si="4"/>
      </c>
      <c r="C669" s="40">
        <f>IF(Inputs!$C$60,Inputs!$C$11+(B669-Inputs!$C$69)/Inputs!$C$70,"")</f>
      </c>
      <c r="D669" s="15"/>
      <c r="E669" s="15"/>
      <c r="F669" s="11">
        <f t="shared" si="5"/>
      </c>
      <c r="G669" s="22" cm="1">
        <f t="array" ref="G669">IF(AND(Inputs!$C$60,Inputs!$C$61),INDEX(Utility_Rates!$C$29:$F$52,HOUR(C669)+Inputs!$C$69,MATCH(INDEX(Utility_Rates!$K$6:$K$17,MONTH(C669))&amp;IF(WEEKDAY(C669,Inputs!$C$76)&lt;=Inputs!$C$74," weekday"," weekend"),Utility_Rates!$C$28:$F$28,Inputs!$C$68)),"")</f>
      </c>
      <c r="H669" s="34"/>
      <c r="I669" s="42">
        <f>IF(AND(ISNUMBER(D669),ISNUMBER(H669)),D669*H669*Inputs!$C$69,"")</f>
      </c>
      <c r="J669" s="42">
        <f>IF(AND(ISNUMBER(F669),ISNUMBER(H669),F669&gt;=Inputs!$C$68),F669*H669*Inputs!$C$69,"")</f>
      </c>
    </row>
    <row r="670" spans="2:10" ht="15" customHeight="1" x14ac:dyDescent="0.2">
      <c r="B670" s="39">
        <f t="shared" si="4"/>
      </c>
      <c r="C670" s="40">
        <f>IF(Inputs!$C$60,Inputs!$C$11+(B670-Inputs!$C$69)/Inputs!$C$70,"")</f>
      </c>
      <c r="D670" s="15"/>
      <c r="E670" s="15"/>
      <c r="F670" s="11">
        <f t="shared" si="5"/>
      </c>
      <c r="G670" s="22" cm="1">
        <f t="array" ref="G670">IF(AND(Inputs!$C$60,Inputs!$C$61),INDEX(Utility_Rates!$C$29:$F$52,HOUR(C670)+Inputs!$C$69,MATCH(INDEX(Utility_Rates!$K$6:$K$17,MONTH(C670))&amp;IF(WEEKDAY(C670,Inputs!$C$76)&lt;=Inputs!$C$74," weekday"," weekend"),Utility_Rates!$C$28:$F$28,Inputs!$C$68)),"")</f>
      </c>
      <c r="H670" s="34"/>
      <c r="I670" s="42">
        <f>IF(AND(ISNUMBER(D670),ISNUMBER(H670)),D670*H670*Inputs!$C$69,"")</f>
      </c>
      <c r="J670" s="42">
        <f>IF(AND(ISNUMBER(F670),ISNUMBER(H670),F670&gt;=Inputs!$C$68),F670*H670*Inputs!$C$69,"")</f>
      </c>
    </row>
    <row r="671" spans="2:10" ht="15" customHeight="1" x14ac:dyDescent="0.2">
      <c r="B671" s="39">
        <f t="shared" si="4"/>
      </c>
      <c r="C671" s="40">
        <f>IF(Inputs!$C$60,Inputs!$C$11+(B671-Inputs!$C$69)/Inputs!$C$70,"")</f>
      </c>
      <c r="D671" s="15"/>
      <c r="E671" s="15"/>
      <c r="F671" s="11">
        <f t="shared" si="5"/>
      </c>
      <c r="G671" s="22" cm="1">
        <f t="array" ref="G671">IF(AND(Inputs!$C$60,Inputs!$C$61),INDEX(Utility_Rates!$C$29:$F$52,HOUR(C671)+Inputs!$C$69,MATCH(INDEX(Utility_Rates!$K$6:$K$17,MONTH(C671))&amp;IF(WEEKDAY(C671,Inputs!$C$76)&lt;=Inputs!$C$74," weekday"," weekend"),Utility_Rates!$C$28:$F$28,Inputs!$C$68)),"")</f>
      </c>
      <c r="H671" s="34"/>
      <c r="I671" s="42">
        <f>IF(AND(ISNUMBER(D671),ISNUMBER(H671)),D671*H671*Inputs!$C$69,"")</f>
      </c>
      <c r="J671" s="42">
        <f>IF(AND(ISNUMBER(F671),ISNUMBER(H671),F671&gt;=Inputs!$C$68),F671*H671*Inputs!$C$69,"")</f>
      </c>
    </row>
    <row r="672" spans="2:10" ht="15" customHeight="1" x14ac:dyDescent="0.2">
      <c r="B672" s="39">
        <f t="shared" si="4"/>
      </c>
      <c r="C672" s="40">
        <f>IF(Inputs!$C$60,Inputs!$C$11+(B672-Inputs!$C$69)/Inputs!$C$70,"")</f>
      </c>
      <c r="D672" s="15"/>
      <c r="E672" s="15"/>
      <c r="F672" s="11">
        <f t="shared" si="5"/>
      </c>
      <c r="G672" s="22" cm="1">
        <f t="array" ref="G672">IF(AND(Inputs!$C$60,Inputs!$C$61),INDEX(Utility_Rates!$C$29:$F$52,HOUR(C672)+Inputs!$C$69,MATCH(INDEX(Utility_Rates!$K$6:$K$17,MONTH(C672))&amp;IF(WEEKDAY(C672,Inputs!$C$76)&lt;=Inputs!$C$74," weekday"," weekend"),Utility_Rates!$C$28:$F$28,Inputs!$C$68)),"")</f>
      </c>
      <c r="H672" s="34"/>
      <c r="I672" s="42">
        <f>IF(AND(ISNUMBER(D672),ISNUMBER(H672)),D672*H672*Inputs!$C$69,"")</f>
      </c>
      <c r="J672" s="42">
        <f>IF(AND(ISNUMBER(F672),ISNUMBER(H672),F672&gt;=Inputs!$C$68),F672*H672*Inputs!$C$69,"")</f>
      </c>
    </row>
    <row r="673" spans="2:10" ht="15" customHeight="1" x14ac:dyDescent="0.2">
      <c r="B673" s="39">
        <f t="shared" si="4"/>
      </c>
      <c r="C673" s="40">
        <f>IF(Inputs!$C$60,Inputs!$C$11+(B673-Inputs!$C$69)/Inputs!$C$70,"")</f>
      </c>
      <c r="D673" s="15"/>
      <c r="E673" s="15"/>
      <c r="F673" s="11">
        <f t="shared" si="5"/>
      </c>
      <c r="G673" s="22" cm="1">
        <f t="array" ref="G673">IF(AND(Inputs!$C$60,Inputs!$C$61),INDEX(Utility_Rates!$C$29:$F$52,HOUR(C673)+Inputs!$C$69,MATCH(INDEX(Utility_Rates!$K$6:$K$17,MONTH(C673))&amp;IF(WEEKDAY(C673,Inputs!$C$76)&lt;=Inputs!$C$74," weekday"," weekend"),Utility_Rates!$C$28:$F$28,Inputs!$C$68)),"")</f>
      </c>
      <c r="H673" s="34"/>
      <c r="I673" s="42">
        <f>IF(AND(ISNUMBER(D673),ISNUMBER(H673)),D673*H673*Inputs!$C$69,"")</f>
      </c>
      <c r="J673" s="42">
        <f>IF(AND(ISNUMBER(F673),ISNUMBER(H673),F673&gt;=Inputs!$C$68),F673*H673*Inputs!$C$69,"")</f>
      </c>
    </row>
    <row r="674" spans="2:10" ht="15" customHeight="1" x14ac:dyDescent="0.2">
      <c r="B674" s="39">
        <f t="shared" si="4"/>
      </c>
      <c r="C674" s="40">
        <f>IF(Inputs!$C$60,Inputs!$C$11+(B674-Inputs!$C$69)/Inputs!$C$70,"")</f>
      </c>
      <c r="D674" s="15"/>
      <c r="E674" s="15"/>
      <c r="F674" s="11">
        <f t="shared" si="5"/>
      </c>
      <c r="G674" s="22" cm="1">
        <f t="array" ref="G674">IF(AND(Inputs!$C$60,Inputs!$C$61),INDEX(Utility_Rates!$C$29:$F$52,HOUR(C674)+Inputs!$C$69,MATCH(INDEX(Utility_Rates!$K$6:$K$17,MONTH(C674))&amp;IF(WEEKDAY(C674,Inputs!$C$76)&lt;=Inputs!$C$74," weekday"," weekend"),Utility_Rates!$C$28:$F$28,Inputs!$C$68)),"")</f>
      </c>
      <c r="H674" s="34"/>
      <c r="I674" s="42">
        <f>IF(AND(ISNUMBER(D674),ISNUMBER(H674)),D674*H674*Inputs!$C$69,"")</f>
      </c>
      <c r="J674" s="42">
        <f>IF(AND(ISNUMBER(F674),ISNUMBER(H674),F674&gt;=Inputs!$C$68),F674*H674*Inputs!$C$69,"")</f>
      </c>
    </row>
    <row r="675" spans="2:10" ht="15" customHeight="1" x14ac:dyDescent="0.2">
      <c r="B675" s="39">
        <f t="shared" si="4"/>
      </c>
      <c r="C675" s="40">
        <f>IF(Inputs!$C$60,Inputs!$C$11+(B675-Inputs!$C$69)/Inputs!$C$70,"")</f>
      </c>
      <c r="D675" s="15"/>
      <c r="E675" s="15"/>
      <c r="F675" s="11">
        <f t="shared" si="5"/>
      </c>
      <c r="G675" s="22" cm="1">
        <f t="array" ref="G675">IF(AND(Inputs!$C$60,Inputs!$C$61),INDEX(Utility_Rates!$C$29:$F$52,HOUR(C675)+Inputs!$C$69,MATCH(INDEX(Utility_Rates!$K$6:$K$17,MONTH(C675))&amp;IF(WEEKDAY(C675,Inputs!$C$76)&lt;=Inputs!$C$74," weekday"," weekend"),Utility_Rates!$C$28:$F$28,Inputs!$C$68)),"")</f>
      </c>
      <c r="H675" s="34"/>
      <c r="I675" s="42">
        <f>IF(AND(ISNUMBER(D675),ISNUMBER(H675)),D675*H675*Inputs!$C$69,"")</f>
      </c>
      <c r="J675" s="42">
        <f>IF(AND(ISNUMBER(F675),ISNUMBER(H675),F675&gt;=Inputs!$C$68),F675*H675*Inputs!$C$69,"")</f>
      </c>
    </row>
    <row r="676" spans="2:10" ht="15" customHeight="1" x14ac:dyDescent="0.2">
      <c r="B676" s="39">
        <f t="shared" si="4"/>
      </c>
      <c r="C676" s="40">
        <f>IF(Inputs!$C$60,Inputs!$C$11+(B676-Inputs!$C$69)/Inputs!$C$70,"")</f>
      </c>
      <c r="D676" s="15"/>
      <c r="E676" s="15"/>
      <c r="F676" s="11">
        <f t="shared" si="5"/>
      </c>
      <c r="G676" s="22" cm="1">
        <f t="array" ref="G676">IF(AND(Inputs!$C$60,Inputs!$C$61),INDEX(Utility_Rates!$C$29:$F$52,HOUR(C676)+Inputs!$C$69,MATCH(INDEX(Utility_Rates!$K$6:$K$17,MONTH(C676))&amp;IF(WEEKDAY(C676,Inputs!$C$76)&lt;=Inputs!$C$74," weekday"," weekend"),Utility_Rates!$C$28:$F$28,Inputs!$C$68)),"")</f>
      </c>
      <c r="H676" s="34"/>
      <c r="I676" s="42">
        <f>IF(AND(ISNUMBER(D676),ISNUMBER(H676)),D676*H676*Inputs!$C$69,"")</f>
      </c>
      <c r="J676" s="42">
        <f>IF(AND(ISNUMBER(F676),ISNUMBER(H676),F676&gt;=Inputs!$C$68),F676*H676*Inputs!$C$69,"")</f>
      </c>
    </row>
    <row r="677" spans="2:10" ht="15" customHeight="1" x14ac:dyDescent="0.2">
      <c r="B677" s="39">
        <f t="shared" si="4"/>
      </c>
      <c r="C677" s="40">
        <f>IF(Inputs!$C$60,Inputs!$C$11+(B677-Inputs!$C$69)/Inputs!$C$70,"")</f>
      </c>
      <c r="D677" s="15"/>
      <c r="E677" s="15"/>
      <c r="F677" s="11">
        <f t="shared" si="5"/>
      </c>
      <c r="G677" s="22" cm="1">
        <f t="array" ref="G677">IF(AND(Inputs!$C$60,Inputs!$C$61),INDEX(Utility_Rates!$C$29:$F$52,HOUR(C677)+Inputs!$C$69,MATCH(INDEX(Utility_Rates!$K$6:$K$17,MONTH(C677))&amp;IF(WEEKDAY(C677,Inputs!$C$76)&lt;=Inputs!$C$74," weekday"," weekend"),Utility_Rates!$C$28:$F$28,Inputs!$C$68)),"")</f>
      </c>
      <c r="H677" s="34"/>
      <c r="I677" s="42">
        <f>IF(AND(ISNUMBER(D677),ISNUMBER(H677)),D677*H677*Inputs!$C$69,"")</f>
      </c>
      <c r="J677" s="42">
        <f>IF(AND(ISNUMBER(F677),ISNUMBER(H677),F677&gt;=Inputs!$C$68),F677*H677*Inputs!$C$69,"")</f>
      </c>
    </row>
    <row r="678" spans="2:10" ht="15" customHeight="1" x14ac:dyDescent="0.2">
      <c r="B678" s="39">
        <f t="shared" si="4"/>
      </c>
      <c r="C678" s="40">
        <f>IF(Inputs!$C$60,Inputs!$C$11+(B678-Inputs!$C$69)/Inputs!$C$70,"")</f>
      </c>
      <c r="D678" s="15"/>
      <c r="E678" s="15"/>
      <c r="F678" s="11">
        <f t="shared" si="5"/>
      </c>
      <c r="G678" s="22" cm="1">
        <f t="array" ref="G678">IF(AND(Inputs!$C$60,Inputs!$C$61),INDEX(Utility_Rates!$C$29:$F$52,HOUR(C678)+Inputs!$C$69,MATCH(INDEX(Utility_Rates!$K$6:$K$17,MONTH(C678))&amp;IF(WEEKDAY(C678,Inputs!$C$76)&lt;=Inputs!$C$74," weekday"," weekend"),Utility_Rates!$C$28:$F$28,Inputs!$C$68)),"")</f>
      </c>
      <c r="H678" s="34"/>
      <c r="I678" s="42">
        <f>IF(AND(ISNUMBER(D678),ISNUMBER(H678)),D678*H678*Inputs!$C$69,"")</f>
      </c>
      <c r="J678" s="42">
        <f>IF(AND(ISNUMBER(F678),ISNUMBER(H678),F678&gt;=Inputs!$C$68),F678*H678*Inputs!$C$69,"")</f>
      </c>
    </row>
    <row r="679" spans="2:10" ht="15" customHeight="1" x14ac:dyDescent="0.2">
      <c r="B679" s="39">
        <f t="shared" si="4"/>
      </c>
      <c r="C679" s="40">
        <f>IF(Inputs!$C$60,Inputs!$C$11+(B679-Inputs!$C$69)/Inputs!$C$70,"")</f>
      </c>
      <c r="D679" s="15"/>
      <c r="E679" s="15"/>
      <c r="F679" s="11">
        <f t="shared" si="5"/>
      </c>
      <c r="G679" s="22" cm="1">
        <f t="array" ref="G679">IF(AND(Inputs!$C$60,Inputs!$C$61),INDEX(Utility_Rates!$C$29:$F$52,HOUR(C679)+Inputs!$C$69,MATCH(INDEX(Utility_Rates!$K$6:$K$17,MONTH(C679))&amp;IF(WEEKDAY(C679,Inputs!$C$76)&lt;=Inputs!$C$74," weekday"," weekend"),Utility_Rates!$C$28:$F$28,Inputs!$C$68)),"")</f>
      </c>
      <c r="H679" s="34"/>
      <c r="I679" s="42">
        <f>IF(AND(ISNUMBER(D679),ISNUMBER(H679)),D679*H679*Inputs!$C$69,"")</f>
      </c>
      <c r="J679" s="42">
        <f>IF(AND(ISNUMBER(F679),ISNUMBER(H679),F679&gt;=Inputs!$C$68),F679*H679*Inputs!$C$69,"")</f>
      </c>
    </row>
    <row r="680" spans="2:10" ht="15" customHeight="1" x14ac:dyDescent="0.2">
      <c r="B680" s="39">
        <f t="shared" si="4"/>
      </c>
      <c r="C680" s="40">
        <f>IF(Inputs!$C$60,Inputs!$C$11+(B680-Inputs!$C$69)/Inputs!$C$70,"")</f>
      </c>
      <c r="D680" s="15"/>
      <c r="E680" s="15"/>
      <c r="F680" s="11">
        <f t="shared" si="5"/>
      </c>
      <c r="G680" s="22" cm="1">
        <f t="array" ref="G680">IF(AND(Inputs!$C$60,Inputs!$C$61),INDEX(Utility_Rates!$C$29:$F$52,HOUR(C680)+Inputs!$C$69,MATCH(INDEX(Utility_Rates!$K$6:$K$17,MONTH(C680))&amp;IF(WEEKDAY(C680,Inputs!$C$76)&lt;=Inputs!$C$74," weekday"," weekend"),Utility_Rates!$C$28:$F$28,Inputs!$C$68)),"")</f>
      </c>
      <c r="H680" s="34"/>
      <c r="I680" s="42">
        <f>IF(AND(ISNUMBER(D680),ISNUMBER(H680)),D680*H680*Inputs!$C$69,"")</f>
      </c>
      <c r="J680" s="42">
        <f>IF(AND(ISNUMBER(F680),ISNUMBER(H680),F680&gt;=Inputs!$C$68),F680*H680*Inputs!$C$69,"")</f>
      </c>
    </row>
    <row r="681" spans="2:10" ht="15" customHeight="1" x14ac:dyDescent="0.2">
      <c r="B681" s="39">
        <f t="shared" si="4"/>
      </c>
      <c r="C681" s="40">
        <f>IF(Inputs!$C$60,Inputs!$C$11+(B681-Inputs!$C$69)/Inputs!$C$70,"")</f>
      </c>
      <c r="D681" s="15"/>
      <c r="E681" s="15"/>
      <c r="F681" s="11">
        <f t="shared" si="5"/>
      </c>
      <c r="G681" s="22" cm="1">
        <f t="array" ref="G681">IF(AND(Inputs!$C$60,Inputs!$C$61),INDEX(Utility_Rates!$C$29:$F$52,HOUR(C681)+Inputs!$C$69,MATCH(INDEX(Utility_Rates!$K$6:$K$17,MONTH(C681))&amp;IF(WEEKDAY(C681,Inputs!$C$76)&lt;=Inputs!$C$74," weekday"," weekend"),Utility_Rates!$C$28:$F$28,Inputs!$C$68)),"")</f>
      </c>
      <c r="H681" s="34"/>
      <c r="I681" s="42">
        <f>IF(AND(ISNUMBER(D681),ISNUMBER(H681)),D681*H681*Inputs!$C$69,"")</f>
      </c>
      <c r="J681" s="42">
        <f>IF(AND(ISNUMBER(F681),ISNUMBER(H681),F681&gt;=Inputs!$C$68),F681*H681*Inputs!$C$69,"")</f>
      </c>
    </row>
    <row r="682" spans="2:10" ht="15" customHeight="1" x14ac:dyDescent="0.2">
      <c r="B682" s="39">
        <f t="shared" si="4"/>
      </c>
      <c r="C682" s="40">
        <f>IF(Inputs!$C$60,Inputs!$C$11+(B682-Inputs!$C$69)/Inputs!$C$70,"")</f>
      </c>
      <c r="D682" s="15"/>
      <c r="E682" s="15"/>
      <c r="F682" s="11">
        <f t="shared" si="5"/>
      </c>
      <c r="G682" s="22" cm="1">
        <f t="array" ref="G682">IF(AND(Inputs!$C$60,Inputs!$C$61),INDEX(Utility_Rates!$C$29:$F$52,HOUR(C682)+Inputs!$C$69,MATCH(INDEX(Utility_Rates!$K$6:$K$17,MONTH(C682))&amp;IF(WEEKDAY(C682,Inputs!$C$76)&lt;=Inputs!$C$74," weekday"," weekend"),Utility_Rates!$C$28:$F$28,Inputs!$C$68)),"")</f>
      </c>
      <c r="H682" s="34"/>
      <c r="I682" s="42">
        <f>IF(AND(ISNUMBER(D682),ISNUMBER(H682)),D682*H682*Inputs!$C$69,"")</f>
      </c>
      <c r="J682" s="42">
        <f>IF(AND(ISNUMBER(F682),ISNUMBER(H682),F682&gt;=Inputs!$C$68),F682*H682*Inputs!$C$69,"")</f>
      </c>
    </row>
    <row r="683" spans="2:10" ht="15" customHeight="1" x14ac:dyDescent="0.2">
      <c r="B683" s="39">
        <f t="shared" si="4"/>
      </c>
      <c r="C683" s="40">
        <f>IF(Inputs!$C$60,Inputs!$C$11+(B683-Inputs!$C$69)/Inputs!$C$70,"")</f>
      </c>
      <c r="D683" s="15"/>
      <c r="E683" s="15"/>
      <c r="F683" s="11">
        <f t="shared" si="5"/>
      </c>
      <c r="G683" s="22" cm="1">
        <f t="array" ref="G683">IF(AND(Inputs!$C$60,Inputs!$C$61),INDEX(Utility_Rates!$C$29:$F$52,HOUR(C683)+Inputs!$C$69,MATCH(INDEX(Utility_Rates!$K$6:$K$17,MONTH(C683))&amp;IF(WEEKDAY(C683,Inputs!$C$76)&lt;=Inputs!$C$74," weekday"," weekend"),Utility_Rates!$C$28:$F$28,Inputs!$C$68)),"")</f>
      </c>
      <c r="H683" s="34"/>
      <c r="I683" s="42">
        <f>IF(AND(ISNUMBER(D683),ISNUMBER(H683)),D683*H683*Inputs!$C$69,"")</f>
      </c>
      <c r="J683" s="42">
        <f>IF(AND(ISNUMBER(F683),ISNUMBER(H683),F683&gt;=Inputs!$C$68),F683*H683*Inputs!$C$69,"")</f>
      </c>
    </row>
    <row r="684" spans="2:10" ht="15" customHeight="1" x14ac:dyDescent="0.2">
      <c r="B684" s="39">
        <f t="shared" si="4"/>
      </c>
      <c r="C684" s="40">
        <f>IF(Inputs!$C$60,Inputs!$C$11+(B684-Inputs!$C$69)/Inputs!$C$70,"")</f>
      </c>
      <c r="D684" s="15"/>
      <c r="E684" s="15"/>
      <c r="F684" s="11">
        <f t="shared" si="5"/>
      </c>
      <c r="G684" s="22" cm="1">
        <f t="array" ref="G684">IF(AND(Inputs!$C$60,Inputs!$C$61),INDEX(Utility_Rates!$C$29:$F$52,HOUR(C684)+Inputs!$C$69,MATCH(INDEX(Utility_Rates!$K$6:$K$17,MONTH(C684))&amp;IF(WEEKDAY(C684,Inputs!$C$76)&lt;=Inputs!$C$74," weekday"," weekend"),Utility_Rates!$C$28:$F$28,Inputs!$C$68)),"")</f>
      </c>
      <c r="H684" s="34"/>
      <c r="I684" s="42">
        <f>IF(AND(ISNUMBER(D684),ISNUMBER(H684)),D684*H684*Inputs!$C$69,"")</f>
      </c>
      <c r="J684" s="42">
        <f>IF(AND(ISNUMBER(F684),ISNUMBER(H684),F684&gt;=Inputs!$C$68),F684*H684*Inputs!$C$69,"")</f>
      </c>
    </row>
    <row r="685" spans="2:10" ht="15" customHeight="1" x14ac:dyDescent="0.2">
      <c r="B685" s="39">
        <f t="shared" si="4"/>
      </c>
      <c r="C685" s="40">
        <f>IF(Inputs!$C$60,Inputs!$C$11+(B685-Inputs!$C$69)/Inputs!$C$70,"")</f>
      </c>
      <c r="D685" s="15"/>
      <c r="E685" s="15"/>
      <c r="F685" s="11">
        <f t="shared" si="5"/>
      </c>
      <c r="G685" s="22" cm="1">
        <f t="array" ref="G685">IF(AND(Inputs!$C$60,Inputs!$C$61),INDEX(Utility_Rates!$C$29:$F$52,HOUR(C685)+Inputs!$C$69,MATCH(INDEX(Utility_Rates!$K$6:$K$17,MONTH(C685))&amp;IF(WEEKDAY(C685,Inputs!$C$76)&lt;=Inputs!$C$74," weekday"," weekend"),Utility_Rates!$C$28:$F$28,Inputs!$C$68)),"")</f>
      </c>
      <c r="H685" s="34"/>
      <c r="I685" s="42">
        <f>IF(AND(ISNUMBER(D685),ISNUMBER(H685)),D685*H685*Inputs!$C$69,"")</f>
      </c>
      <c r="J685" s="42">
        <f>IF(AND(ISNUMBER(F685),ISNUMBER(H685),F685&gt;=Inputs!$C$68),F685*H685*Inputs!$C$69,"")</f>
      </c>
    </row>
    <row r="686" spans="2:10" ht="15" customHeight="1" x14ac:dyDescent="0.2">
      <c r="B686" s="39">
        <f t="shared" si="4"/>
      </c>
      <c r="C686" s="40">
        <f>IF(Inputs!$C$60,Inputs!$C$11+(B686-Inputs!$C$69)/Inputs!$C$70,"")</f>
      </c>
      <c r="D686" s="15"/>
      <c r="E686" s="15"/>
      <c r="F686" s="11">
        <f t="shared" si="5"/>
      </c>
      <c r="G686" s="22" cm="1">
        <f t="array" ref="G686">IF(AND(Inputs!$C$60,Inputs!$C$61),INDEX(Utility_Rates!$C$29:$F$52,HOUR(C686)+Inputs!$C$69,MATCH(INDEX(Utility_Rates!$K$6:$K$17,MONTH(C686))&amp;IF(WEEKDAY(C686,Inputs!$C$76)&lt;=Inputs!$C$74," weekday"," weekend"),Utility_Rates!$C$28:$F$28,Inputs!$C$68)),"")</f>
      </c>
      <c r="H686" s="34"/>
      <c r="I686" s="42">
        <f>IF(AND(ISNUMBER(D686),ISNUMBER(H686)),D686*H686*Inputs!$C$69,"")</f>
      </c>
      <c r="J686" s="42">
        <f>IF(AND(ISNUMBER(F686),ISNUMBER(H686),F686&gt;=Inputs!$C$68),F686*H686*Inputs!$C$69,"")</f>
      </c>
    </row>
    <row r="687" spans="2:10" ht="15" customHeight="1" x14ac:dyDescent="0.2">
      <c r="B687" s="39">
        <f t="shared" si="4"/>
      </c>
      <c r="C687" s="40">
        <f>IF(Inputs!$C$60,Inputs!$C$11+(B687-Inputs!$C$69)/Inputs!$C$70,"")</f>
      </c>
      <c r="D687" s="15"/>
      <c r="E687" s="15"/>
      <c r="F687" s="11">
        <f t="shared" si="5"/>
      </c>
      <c r="G687" s="22" cm="1">
        <f t="array" ref="G687">IF(AND(Inputs!$C$60,Inputs!$C$61),INDEX(Utility_Rates!$C$29:$F$52,HOUR(C687)+Inputs!$C$69,MATCH(INDEX(Utility_Rates!$K$6:$K$17,MONTH(C687))&amp;IF(WEEKDAY(C687,Inputs!$C$76)&lt;=Inputs!$C$74," weekday"," weekend"),Utility_Rates!$C$28:$F$28,Inputs!$C$68)),"")</f>
      </c>
      <c r="H687" s="34"/>
      <c r="I687" s="42">
        <f>IF(AND(ISNUMBER(D687),ISNUMBER(H687)),D687*H687*Inputs!$C$69,"")</f>
      </c>
      <c r="J687" s="42">
        <f>IF(AND(ISNUMBER(F687),ISNUMBER(H687),F687&gt;=Inputs!$C$68),F687*H687*Inputs!$C$69,"")</f>
      </c>
    </row>
    <row r="688" spans="2:10" ht="15" customHeight="1" x14ac:dyDescent="0.2">
      <c r="B688" s="39">
        <f t="shared" si="4"/>
      </c>
      <c r="C688" s="40">
        <f>IF(Inputs!$C$60,Inputs!$C$11+(B688-Inputs!$C$69)/Inputs!$C$70,"")</f>
      </c>
      <c r="D688" s="15"/>
      <c r="E688" s="15"/>
      <c r="F688" s="11">
        <f t="shared" si="5"/>
      </c>
      <c r="G688" s="22" cm="1">
        <f t="array" ref="G688">IF(AND(Inputs!$C$60,Inputs!$C$61),INDEX(Utility_Rates!$C$29:$F$52,HOUR(C688)+Inputs!$C$69,MATCH(INDEX(Utility_Rates!$K$6:$K$17,MONTH(C688))&amp;IF(WEEKDAY(C688,Inputs!$C$76)&lt;=Inputs!$C$74," weekday"," weekend"),Utility_Rates!$C$28:$F$28,Inputs!$C$68)),"")</f>
      </c>
      <c r="H688" s="34"/>
      <c r="I688" s="42">
        <f>IF(AND(ISNUMBER(D688),ISNUMBER(H688)),D688*H688*Inputs!$C$69,"")</f>
      </c>
      <c r="J688" s="42">
        <f>IF(AND(ISNUMBER(F688),ISNUMBER(H688),F688&gt;=Inputs!$C$68),F688*H688*Inputs!$C$69,"")</f>
      </c>
    </row>
    <row r="689" spans="2:10" ht="15" customHeight="1" x14ac:dyDescent="0.2">
      <c r="B689" s="39">
        <f t="shared" si="4"/>
      </c>
      <c r="C689" s="40">
        <f>IF(Inputs!$C$60,Inputs!$C$11+(B689-Inputs!$C$69)/Inputs!$C$70,"")</f>
      </c>
      <c r="D689" s="15"/>
      <c r="E689" s="15"/>
      <c r="F689" s="11">
        <f t="shared" si="5"/>
      </c>
      <c r="G689" s="22" cm="1">
        <f t="array" ref="G689">IF(AND(Inputs!$C$60,Inputs!$C$61),INDEX(Utility_Rates!$C$29:$F$52,HOUR(C689)+Inputs!$C$69,MATCH(INDEX(Utility_Rates!$K$6:$K$17,MONTH(C689))&amp;IF(WEEKDAY(C689,Inputs!$C$76)&lt;=Inputs!$C$74," weekday"," weekend"),Utility_Rates!$C$28:$F$28,Inputs!$C$68)),"")</f>
      </c>
      <c r="H689" s="34"/>
      <c r="I689" s="42">
        <f>IF(AND(ISNUMBER(D689),ISNUMBER(H689)),D689*H689*Inputs!$C$69,"")</f>
      </c>
      <c r="J689" s="42">
        <f>IF(AND(ISNUMBER(F689),ISNUMBER(H689),F689&gt;=Inputs!$C$68),F689*H689*Inputs!$C$69,"")</f>
      </c>
    </row>
    <row r="690" spans="2:10" ht="15" customHeight="1" x14ac:dyDescent="0.2">
      <c r="B690" s="39">
        <f t="shared" si="4"/>
      </c>
      <c r="C690" s="40">
        <f>IF(Inputs!$C$60,Inputs!$C$11+(B690-Inputs!$C$69)/Inputs!$C$70,"")</f>
      </c>
      <c r="D690" s="15"/>
      <c r="E690" s="15"/>
      <c r="F690" s="11">
        <f t="shared" si="5"/>
      </c>
      <c r="G690" s="22" cm="1">
        <f t="array" ref="G690">IF(AND(Inputs!$C$60,Inputs!$C$61),INDEX(Utility_Rates!$C$29:$F$52,HOUR(C690)+Inputs!$C$69,MATCH(INDEX(Utility_Rates!$K$6:$K$17,MONTH(C690))&amp;IF(WEEKDAY(C690,Inputs!$C$76)&lt;=Inputs!$C$74," weekday"," weekend"),Utility_Rates!$C$28:$F$28,Inputs!$C$68)),"")</f>
      </c>
      <c r="H690" s="34"/>
      <c r="I690" s="42">
        <f>IF(AND(ISNUMBER(D690),ISNUMBER(H690)),D690*H690*Inputs!$C$69,"")</f>
      </c>
      <c r="J690" s="42">
        <f>IF(AND(ISNUMBER(F690),ISNUMBER(H690),F690&gt;=Inputs!$C$68),F690*H690*Inputs!$C$69,"")</f>
      </c>
    </row>
    <row r="691" spans="2:10" ht="15" customHeight="1" x14ac:dyDescent="0.2">
      <c r="B691" s="39">
        <f t="shared" si="4"/>
      </c>
      <c r="C691" s="40">
        <f>IF(Inputs!$C$60,Inputs!$C$11+(B691-Inputs!$C$69)/Inputs!$C$70,"")</f>
      </c>
      <c r="D691" s="15"/>
      <c r="E691" s="15"/>
      <c r="F691" s="11">
        <f t="shared" si="5"/>
      </c>
      <c r="G691" s="22" cm="1">
        <f t="array" ref="G691">IF(AND(Inputs!$C$60,Inputs!$C$61),INDEX(Utility_Rates!$C$29:$F$52,HOUR(C691)+Inputs!$C$69,MATCH(INDEX(Utility_Rates!$K$6:$K$17,MONTH(C691))&amp;IF(WEEKDAY(C691,Inputs!$C$76)&lt;=Inputs!$C$74," weekday"," weekend"),Utility_Rates!$C$28:$F$28,Inputs!$C$68)),"")</f>
      </c>
      <c r="H691" s="34"/>
      <c r="I691" s="42">
        <f>IF(AND(ISNUMBER(D691),ISNUMBER(H691)),D691*H691*Inputs!$C$69,"")</f>
      </c>
      <c r="J691" s="42">
        <f>IF(AND(ISNUMBER(F691),ISNUMBER(H691),F691&gt;=Inputs!$C$68),F691*H691*Inputs!$C$69,"")</f>
      </c>
    </row>
    <row r="692" spans="2:10" ht="15" customHeight="1" x14ac:dyDescent="0.2">
      <c r="B692" s="39">
        <f t="shared" si="4"/>
      </c>
      <c r="C692" s="40">
        <f>IF(Inputs!$C$60,Inputs!$C$11+(B692-Inputs!$C$69)/Inputs!$C$70,"")</f>
      </c>
      <c r="D692" s="15"/>
      <c r="E692" s="15"/>
      <c r="F692" s="11">
        <f t="shared" si="5"/>
      </c>
      <c r="G692" s="22" cm="1">
        <f t="array" ref="G692">IF(AND(Inputs!$C$60,Inputs!$C$61),INDEX(Utility_Rates!$C$29:$F$52,HOUR(C692)+Inputs!$C$69,MATCH(INDEX(Utility_Rates!$K$6:$K$17,MONTH(C692))&amp;IF(WEEKDAY(C692,Inputs!$C$76)&lt;=Inputs!$C$74," weekday"," weekend"),Utility_Rates!$C$28:$F$28,Inputs!$C$68)),"")</f>
      </c>
      <c r="H692" s="34"/>
      <c r="I692" s="42">
        <f>IF(AND(ISNUMBER(D692),ISNUMBER(H692)),D692*H692*Inputs!$C$69,"")</f>
      </c>
      <c r="J692" s="42">
        <f>IF(AND(ISNUMBER(F692),ISNUMBER(H692),F692&gt;=Inputs!$C$68),F692*H692*Inputs!$C$69,"")</f>
      </c>
    </row>
    <row r="693" spans="2:10" ht="15" customHeight="1" x14ac:dyDescent="0.2">
      <c r="B693" s="39">
        <f t="shared" si="4"/>
      </c>
      <c r="C693" s="40">
        <f>IF(Inputs!$C$60,Inputs!$C$11+(B693-Inputs!$C$69)/Inputs!$C$70,"")</f>
      </c>
      <c r="D693" s="15"/>
      <c r="E693" s="15"/>
      <c r="F693" s="11">
        <f t="shared" si="5"/>
      </c>
      <c r="G693" s="22" cm="1">
        <f t="array" ref="G693">IF(AND(Inputs!$C$60,Inputs!$C$61),INDEX(Utility_Rates!$C$29:$F$52,HOUR(C693)+Inputs!$C$69,MATCH(INDEX(Utility_Rates!$K$6:$K$17,MONTH(C693))&amp;IF(WEEKDAY(C693,Inputs!$C$76)&lt;=Inputs!$C$74," weekday"," weekend"),Utility_Rates!$C$28:$F$28,Inputs!$C$68)),"")</f>
      </c>
      <c r="H693" s="34"/>
      <c r="I693" s="42">
        <f>IF(AND(ISNUMBER(D693),ISNUMBER(H693)),D693*H693*Inputs!$C$69,"")</f>
      </c>
      <c r="J693" s="42">
        <f>IF(AND(ISNUMBER(F693),ISNUMBER(H693),F693&gt;=Inputs!$C$68),F693*H693*Inputs!$C$69,"")</f>
      </c>
    </row>
    <row r="694" spans="2:10" ht="15" customHeight="1" x14ac:dyDescent="0.2">
      <c r="B694" s="39">
        <f t="shared" si="4"/>
      </c>
      <c r="C694" s="40">
        <f>IF(Inputs!$C$60,Inputs!$C$11+(B694-Inputs!$C$69)/Inputs!$C$70,"")</f>
      </c>
      <c r="D694" s="15"/>
      <c r="E694" s="15"/>
      <c r="F694" s="11">
        <f t="shared" si="5"/>
      </c>
      <c r="G694" s="22" cm="1">
        <f t="array" ref="G694">IF(AND(Inputs!$C$60,Inputs!$C$61),INDEX(Utility_Rates!$C$29:$F$52,HOUR(C694)+Inputs!$C$69,MATCH(INDEX(Utility_Rates!$K$6:$K$17,MONTH(C694))&amp;IF(WEEKDAY(C694,Inputs!$C$76)&lt;=Inputs!$C$74," weekday"," weekend"),Utility_Rates!$C$28:$F$28,Inputs!$C$68)),"")</f>
      </c>
      <c r="H694" s="34"/>
      <c r="I694" s="42">
        <f>IF(AND(ISNUMBER(D694),ISNUMBER(H694)),D694*H694*Inputs!$C$69,"")</f>
      </c>
      <c r="J694" s="42">
        <f>IF(AND(ISNUMBER(F694),ISNUMBER(H694),F694&gt;=Inputs!$C$68),F694*H694*Inputs!$C$69,"")</f>
      </c>
    </row>
    <row r="695" spans="2:10" ht="15" customHeight="1" x14ac:dyDescent="0.2">
      <c r="B695" s="39">
        <f t="shared" si="4"/>
      </c>
      <c r="C695" s="40">
        <f>IF(Inputs!$C$60,Inputs!$C$11+(B695-Inputs!$C$69)/Inputs!$C$70,"")</f>
      </c>
      <c r="D695" s="15"/>
      <c r="E695" s="15"/>
      <c r="F695" s="11">
        <f t="shared" si="5"/>
      </c>
      <c r="G695" s="22" cm="1">
        <f t="array" ref="G695">IF(AND(Inputs!$C$60,Inputs!$C$61),INDEX(Utility_Rates!$C$29:$F$52,HOUR(C695)+Inputs!$C$69,MATCH(INDEX(Utility_Rates!$K$6:$K$17,MONTH(C695))&amp;IF(WEEKDAY(C695,Inputs!$C$76)&lt;=Inputs!$C$74," weekday"," weekend"),Utility_Rates!$C$28:$F$28,Inputs!$C$68)),"")</f>
      </c>
      <c r="H695" s="34"/>
      <c r="I695" s="42">
        <f>IF(AND(ISNUMBER(D695),ISNUMBER(H695)),D695*H695*Inputs!$C$69,"")</f>
      </c>
      <c r="J695" s="42">
        <f>IF(AND(ISNUMBER(F695),ISNUMBER(H695),F695&gt;=Inputs!$C$68),F695*H695*Inputs!$C$69,"")</f>
      </c>
    </row>
    <row r="696" spans="2:10" ht="15" customHeight="1" x14ac:dyDescent="0.2">
      <c r="B696" s="39">
        <f t="shared" si="4"/>
      </c>
      <c r="C696" s="40">
        <f>IF(Inputs!$C$60,Inputs!$C$11+(B696-Inputs!$C$69)/Inputs!$C$70,"")</f>
      </c>
      <c r="D696" s="15"/>
      <c r="E696" s="15"/>
      <c r="F696" s="11">
        <f t="shared" si="5"/>
      </c>
      <c r="G696" s="22" cm="1">
        <f t="array" ref="G696">IF(AND(Inputs!$C$60,Inputs!$C$61),INDEX(Utility_Rates!$C$29:$F$52,HOUR(C696)+Inputs!$C$69,MATCH(INDEX(Utility_Rates!$K$6:$K$17,MONTH(C696))&amp;IF(WEEKDAY(C696,Inputs!$C$76)&lt;=Inputs!$C$74," weekday"," weekend"),Utility_Rates!$C$28:$F$28,Inputs!$C$68)),"")</f>
      </c>
      <c r="H696" s="34"/>
      <c r="I696" s="42">
        <f>IF(AND(ISNUMBER(D696),ISNUMBER(H696)),D696*H696*Inputs!$C$69,"")</f>
      </c>
      <c r="J696" s="42">
        <f>IF(AND(ISNUMBER(F696),ISNUMBER(H696),F696&gt;=Inputs!$C$68),F696*H696*Inputs!$C$69,"")</f>
      </c>
    </row>
    <row r="697" spans="2:10" ht="15" customHeight="1" x14ac:dyDescent="0.2">
      <c r="B697" s="39">
        <f t="shared" si="4"/>
      </c>
      <c r="C697" s="40">
        <f>IF(Inputs!$C$60,Inputs!$C$11+(B697-Inputs!$C$69)/Inputs!$C$70,"")</f>
      </c>
      <c r="D697" s="15"/>
      <c r="E697" s="15"/>
      <c r="F697" s="11">
        <f t="shared" si="5"/>
      </c>
      <c r="G697" s="22" cm="1">
        <f t="array" ref="G697">IF(AND(Inputs!$C$60,Inputs!$C$61),INDEX(Utility_Rates!$C$29:$F$52,HOUR(C697)+Inputs!$C$69,MATCH(INDEX(Utility_Rates!$K$6:$K$17,MONTH(C697))&amp;IF(WEEKDAY(C697,Inputs!$C$76)&lt;=Inputs!$C$74," weekday"," weekend"),Utility_Rates!$C$28:$F$28,Inputs!$C$68)),"")</f>
      </c>
      <c r="H697" s="34"/>
      <c r="I697" s="42">
        <f>IF(AND(ISNUMBER(D697),ISNUMBER(H697)),D697*H697*Inputs!$C$69,"")</f>
      </c>
      <c r="J697" s="42">
        <f>IF(AND(ISNUMBER(F697),ISNUMBER(H697),F697&gt;=Inputs!$C$68),F697*H697*Inputs!$C$69,"")</f>
      </c>
    </row>
    <row r="698" spans="2:10" ht="15" customHeight="1" x14ac:dyDescent="0.2">
      <c r="B698" s="39">
        <f t="shared" si="4"/>
      </c>
      <c r="C698" s="40">
        <f>IF(Inputs!$C$60,Inputs!$C$11+(B698-Inputs!$C$69)/Inputs!$C$70,"")</f>
      </c>
      <c r="D698" s="15"/>
      <c r="E698" s="15"/>
      <c r="F698" s="11">
        <f t="shared" si="5"/>
      </c>
      <c r="G698" s="22" cm="1">
        <f t="array" ref="G698">IF(AND(Inputs!$C$60,Inputs!$C$61),INDEX(Utility_Rates!$C$29:$F$52,HOUR(C698)+Inputs!$C$69,MATCH(INDEX(Utility_Rates!$K$6:$K$17,MONTH(C698))&amp;IF(WEEKDAY(C698,Inputs!$C$76)&lt;=Inputs!$C$74," weekday"," weekend"),Utility_Rates!$C$28:$F$28,Inputs!$C$68)),"")</f>
      </c>
      <c r="H698" s="34"/>
      <c r="I698" s="42">
        <f>IF(AND(ISNUMBER(D698),ISNUMBER(H698)),D698*H698*Inputs!$C$69,"")</f>
      </c>
      <c r="J698" s="42">
        <f>IF(AND(ISNUMBER(F698),ISNUMBER(H698),F698&gt;=Inputs!$C$68),F698*H698*Inputs!$C$69,"")</f>
      </c>
    </row>
    <row r="699" spans="2:10" ht="15" customHeight="1" x14ac:dyDescent="0.2">
      <c r="B699" s="39">
        <f t="shared" si="4"/>
      </c>
      <c r="C699" s="40">
        <f>IF(Inputs!$C$60,Inputs!$C$11+(B699-Inputs!$C$69)/Inputs!$C$70,"")</f>
      </c>
      <c r="D699" s="15"/>
      <c r="E699" s="15"/>
      <c r="F699" s="11">
        <f t="shared" si="5"/>
      </c>
      <c r="G699" s="22" cm="1">
        <f t="array" ref="G699">IF(AND(Inputs!$C$60,Inputs!$C$61),INDEX(Utility_Rates!$C$29:$F$52,HOUR(C699)+Inputs!$C$69,MATCH(INDEX(Utility_Rates!$K$6:$K$17,MONTH(C699))&amp;IF(WEEKDAY(C699,Inputs!$C$76)&lt;=Inputs!$C$74," weekday"," weekend"),Utility_Rates!$C$28:$F$28,Inputs!$C$68)),"")</f>
      </c>
      <c r="H699" s="34"/>
      <c r="I699" s="42">
        <f>IF(AND(ISNUMBER(D699),ISNUMBER(H699)),D699*H699*Inputs!$C$69,"")</f>
      </c>
      <c r="J699" s="42">
        <f>IF(AND(ISNUMBER(F699),ISNUMBER(H699),F699&gt;=Inputs!$C$68),F699*H699*Inputs!$C$69,"")</f>
      </c>
    </row>
    <row r="700" spans="2:10" ht="15" customHeight="1" x14ac:dyDescent="0.2">
      <c r="B700" s="39">
        <f t="shared" si="4"/>
      </c>
      <c r="C700" s="40">
        <f>IF(Inputs!$C$60,Inputs!$C$11+(B700-Inputs!$C$69)/Inputs!$C$70,"")</f>
      </c>
      <c r="D700" s="15"/>
      <c r="E700" s="15"/>
      <c r="F700" s="11">
        <f t="shared" si="5"/>
      </c>
      <c r="G700" s="22" cm="1">
        <f t="array" ref="G700">IF(AND(Inputs!$C$60,Inputs!$C$61),INDEX(Utility_Rates!$C$29:$F$52,HOUR(C700)+Inputs!$C$69,MATCH(INDEX(Utility_Rates!$K$6:$K$17,MONTH(C700))&amp;IF(WEEKDAY(C700,Inputs!$C$76)&lt;=Inputs!$C$74," weekday"," weekend"),Utility_Rates!$C$28:$F$28,Inputs!$C$68)),"")</f>
      </c>
      <c r="H700" s="34"/>
      <c r="I700" s="42">
        <f>IF(AND(ISNUMBER(D700),ISNUMBER(H700)),D700*H700*Inputs!$C$69,"")</f>
      </c>
      <c r="J700" s="42">
        <f>IF(AND(ISNUMBER(F700),ISNUMBER(H700),F700&gt;=Inputs!$C$68),F700*H700*Inputs!$C$69,"")</f>
      </c>
    </row>
    <row r="701" spans="2:10" ht="15" customHeight="1" x14ac:dyDescent="0.2">
      <c r="B701" s="39">
        <f t="shared" si="4"/>
      </c>
      <c r="C701" s="40">
        <f>IF(Inputs!$C$60,Inputs!$C$11+(B701-Inputs!$C$69)/Inputs!$C$70,"")</f>
      </c>
      <c r="D701" s="15"/>
      <c r="E701" s="15"/>
      <c r="F701" s="11">
        <f t="shared" si="5"/>
      </c>
      <c r="G701" s="22" cm="1">
        <f t="array" ref="G701">IF(AND(Inputs!$C$60,Inputs!$C$61),INDEX(Utility_Rates!$C$29:$F$52,HOUR(C701)+Inputs!$C$69,MATCH(INDEX(Utility_Rates!$K$6:$K$17,MONTH(C701))&amp;IF(WEEKDAY(C701,Inputs!$C$76)&lt;=Inputs!$C$74," weekday"," weekend"),Utility_Rates!$C$28:$F$28,Inputs!$C$68)),"")</f>
      </c>
      <c r="H701" s="34"/>
      <c r="I701" s="42">
        <f>IF(AND(ISNUMBER(D701),ISNUMBER(H701)),D701*H701*Inputs!$C$69,"")</f>
      </c>
      <c r="J701" s="42">
        <f>IF(AND(ISNUMBER(F701),ISNUMBER(H701),F701&gt;=Inputs!$C$68),F701*H701*Inputs!$C$69,"")</f>
      </c>
    </row>
    <row r="702" spans="2:10" ht="15" customHeight="1" x14ac:dyDescent="0.2">
      <c r="B702" s="39">
        <f t="shared" si="4"/>
      </c>
      <c r="C702" s="40">
        <f>IF(Inputs!$C$60,Inputs!$C$11+(B702-Inputs!$C$69)/Inputs!$C$70,"")</f>
      </c>
      <c r="D702" s="15"/>
      <c r="E702" s="15"/>
      <c r="F702" s="11">
        <f t="shared" si="5"/>
      </c>
      <c r="G702" s="22" cm="1">
        <f t="array" ref="G702">IF(AND(Inputs!$C$60,Inputs!$C$61),INDEX(Utility_Rates!$C$29:$F$52,HOUR(C702)+Inputs!$C$69,MATCH(INDEX(Utility_Rates!$K$6:$K$17,MONTH(C702))&amp;IF(WEEKDAY(C702,Inputs!$C$76)&lt;=Inputs!$C$74," weekday"," weekend"),Utility_Rates!$C$28:$F$28,Inputs!$C$68)),"")</f>
      </c>
      <c r="H702" s="34"/>
      <c r="I702" s="42">
        <f>IF(AND(ISNUMBER(D702),ISNUMBER(H702)),D702*H702*Inputs!$C$69,"")</f>
      </c>
      <c r="J702" s="42">
        <f>IF(AND(ISNUMBER(F702),ISNUMBER(H702),F702&gt;=Inputs!$C$68),F702*H702*Inputs!$C$69,"")</f>
      </c>
    </row>
    <row r="703" spans="2:10" ht="15" customHeight="1" x14ac:dyDescent="0.2">
      <c r="B703" s="39">
        <f t="shared" si="4"/>
      </c>
      <c r="C703" s="40">
        <f>IF(Inputs!$C$60,Inputs!$C$11+(B703-Inputs!$C$69)/Inputs!$C$70,"")</f>
      </c>
      <c r="D703" s="15"/>
      <c r="E703" s="15"/>
      <c r="F703" s="11">
        <f t="shared" si="5"/>
      </c>
      <c r="G703" s="22" cm="1">
        <f t="array" ref="G703">IF(AND(Inputs!$C$60,Inputs!$C$61),INDEX(Utility_Rates!$C$29:$F$52,HOUR(C703)+Inputs!$C$69,MATCH(INDEX(Utility_Rates!$K$6:$K$17,MONTH(C703))&amp;IF(WEEKDAY(C703,Inputs!$C$76)&lt;=Inputs!$C$74," weekday"," weekend"),Utility_Rates!$C$28:$F$28,Inputs!$C$68)),"")</f>
      </c>
      <c r="H703" s="34"/>
      <c r="I703" s="42">
        <f>IF(AND(ISNUMBER(D703),ISNUMBER(H703)),D703*H703*Inputs!$C$69,"")</f>
      </c>
      <c r="J703" s="42">
        <f>IF(AND(ISNUMBER(F703),ISNUMBER(H703),F703&gt;=Inputs!$C$68),F703*H703*Inputs!$C$69,"")</f>
      </c>
    </row>
    <row r="704" spans="2:10" ht="15" customHeight="1" x14ac:dyDescent="0.2">
      <c r="B704" s="39">
        <f t="shared" si="4"/>
      </c>
      <c r="C704" s="40">
        <f>IF(Inputs!$C$60,Inputs!$C$11+(B704-Inputs!$C$69)/Inputs!$C$70,"")</f>
      </c>
      <c r="D704" s="15"/>
      <c r="E704" s="15"/>
      <c r="F704" s="11">
        <f t="shared" si="5"/>
      </c>
      <c r="G704" s="22" cm="1">
        <f t="array" ref="G704">IF(AND(Inputs!$C$60,Inputs!$C$61),INDEX(Utility_Rates!$C$29:$F$52,HOUR(C704)+Inputs!$C$69,MATCH(INDEX(Utility_Rates!$K$6:$K$17,MONTH(C704))&amp;IF(WEEKDAY(C704,Inputs!$C$76)&lt;=Inputs!$C$74," weekday"," weekend"),Utility_Rates!$C$28:$F$28,Inputs!$C$68)),"")</f>
      </c>
      <c r="H704" s="34"/>
      <c r="I704" s="42">
        <f>IF(AND(ISNUMBER(D704),ISNUMBER(H704)),D704*H704*Inputs!$C$69,"")</f>
      </c>
      <c r="J704" s="42">
        <f>IF(AND(ISNUMBER(F704),ISNUMBER(H704),F704&gt;=Inputs!$C$68),F704*H704*Inputs!$C$69,"")</f>
      </c>
    </row>
    <row r="705" spans="2:10" ht="15" customHeight="1" x14ac:dyDescent="0.2">
      <c r="B705" s="39">
        <f t="shared" si="4"/>
      </c>
      <c r="C705" s="40">
        <f>IF(Inputs!$C$60,Inputs!$C$11+(B705-Inputs!$C$69)/Inputs!$C$70,"")</f>
      </c>
      <c r="D705" s="15"/>
      <c r="E705" s="15"/>
      <c r="F705" s="11">
        <f t="shared" si="5"/>
      </c>
      <c r="G705" s="22" cm="1">
        <f t="array" ref="G705">IF(AND(Inputs!$C$60,Inputs!$C$61),INDEX(Utility_Rates!$C$29:$F$52,HOUR(C705)+Inputs!$C$69,MATCH(INDEX(Utility_Rates!$K$6:$K$17,MONTH(C705))&amp;IF(WEEKDAY(C705,Inputs!$C$76)&lt;=Inputs!$C$74," weekday"," weekend"),Utility_Rates!$C$28:$F$28,Inputs!$C$68)),"")</f>
      </c>
      <c r="H705" s="34"/>
      <c r="I705" s="42">
        <f>IF(AND(ISNUMBER(D705),ISNUMBER(H705)),D705*H705*Inputs!$C$69,"")</f>
      </c>
      <c r="J705" s="42">
        <f>IF(AND(ISNUMBER(F705),ISNUMBER(H705),F705&gt;=Inputs!$C$68),F705*H705*Inputs!$C$69,"")</f>
      </c>
    </row>
    <row r="706" spans="2:10" ht="15" customHeight="1" x14ac:dyDescent="0.2">
      <c r="B706" s="39">
        <f t="shared" si="4"/>
      </c>
      <c r="C706" s="40">
        <f>IF(Inputs!$C$60,Inputs!$C$11+(B706-Inputs!$C$69)/Inputs!$C$70,"")</f>
      </c>
      <c r="D706" s="15"/>
      <c r="E706" s="15"/>
      <c r="F706" s="11">
        <f t="shared" si="5"/>
      </c>
      <c r="G706" s="22" cm="1">
        <f t="array" ref="G706">IF(AND(Inputs!$C$60,Inputs!$C$61),INDEX(Utility_Rates!$C$29:$F$52,HOUR(C706)+Inputs!$C$69,MATCH(INDEX(Utility_Rates!$K$6:$K$17,MONTH(C706))&amp;IF(WEEKDAY(C706,Inputs!$C$76)&lt;=Inputs!$C$74," weekday"," weekend"),Utility_Rates!$C$28:$F$28,Inputs!$C$68)),"")</f>
      </c>
      <c r="H706" s="34"/>
      <c r="I706" s="42">
        <f>IF(AND(ISNUMBER(D706),ISNUMBER(H706)),D706*H706*Inputs!$C$69,"")</f>
      </c>
      <c r="J706" s="42">
        <f>IF(AND(ISNUMBER(F706),ISNUMBER(H706),F706&gt;=Inputs!$C$68),F706*H706*Inputs!$C$69,"")</f>
      </c>
    </row>
    <row r="707" spans="2:10" ht="15" customHeight="1" x14ac:dyDescent="0.2">
      <c r="B707" s="39">
        <f t="shared" si="4"/>
      </c>
      <c r="C707" s="40">
        <f>IF(Inputs!$C$60,Inputs!$C$11+(B707-Inputs!$C$69)/Inputs!$C$70,"")</f>
      </c>
      <c r="D707" s="15"/>
      <c r="E707" s="15"/>
      <c r="F707" s="11">
        <f t="shared" si="5"/>
      </c>
      <c r="G707" s="22" cm="1">
        <f t="array" ref="G707">IF(AND(Inputs!$C$60,Inputs!$C$61),INDEX(Utility_Rates!$C$29:$F$52,HOUR(C707)+Inputs!$C$69,MATCH(INDEX(Utility_Rates!$K$6:$K$17,MONTH(C707))&amp;IF(WEEKDAY(C707,Inputs!$C$76)&lt;=Inputs!$C$74," weekday"," weekend"),Utility_Rates!$C$28:$F$28,Inputs!$C$68)),"")</f>
      </c>
      <c r="H707" s="34"/>
      <c r="I707" s="42">
        <f>IF(AND(ISNUMBER(D707),ISNUMBER(H707)),D707*H707*Inputs!$C$69,"")</f>
      </c>
      <c r="J707" s="42">
        <f>IF(AND(ISNUMBER(F707),ISNUMBER(H707),F707&gt;=Inputs!$C$68),F707*H707*Inputs!$C$69,"")</f>
      </c>
    </row>
    <row r="708" spans="2:10" ht="15" customHeight="1" x14ac:dyDescent="0.2">
      <c r="B708" s="39">
        <f t="shared" si="4"/>
      </c>
      <c r="C708" s="40">
        <f>IF(Inputs!$C$60,Inputs!$C$11+(B708-Inputs!$C$69)/Inputs!$C$70,"")</f>
      </c>
      <c r="D708" s="15"/>
      <c r="E708" s="15"/>
      <c r="F708" s="11">
        <f t="shared" si="5"/>
      </c>
      <c r="G708" s="22" cm="1">
        <f t="array" ref="G708">IF(AND(Inputs!$C$60,Inputs!$C$61),INDEX(Utility_Rates!$C$29:$F$52,HOUR(C708)+Inputs!$C$69,MATCH(INDEX(Utility_Rates!$K$6:$K$17,MONTH(C708))&amp;IF(WEEKDAY(C708,Inputs!$C$76)&lt;=Inputs!$C$74," weekday"," weekend"),Utility_Rates!$C$28:$F$28,Inputs!$C$68)),"")</f>
      </c>
      <c r="H708" s="34"/>
      <c r="I708" s="42">
        <f>IF(AND(ISNUMBER(D708),ISNUMBER(H708)),D708*H708*Inputs!$C$69,"")</f>
      </c>
      <c r="J708" s="42">
        <f>IF(AND(ISNUMBER(F708),ISNUMBER(H708),F708&gt;=Inputs!$C$68),F708*H708*Inputs!$C$69,"")</f>
      </c>
    </row>
    <row r="709" spans="2:10" ht="15" customHeight="1" x14ac:dyDescent="0.2">
      <c r="B709" s="39">
        <f t="shared" si="4"/>
      </c>
      <c r="C709" s="40">
        <f>IF(Inputs!$C$60,Inputs!$C$11+(B709-Inputs!$C$69)/Inputs!$C$70,"")</f>
      </c>
      <c r="D709" s="15"/>
      <c r="E709" s="15"/>
      <c r="F709" s="11">
        <f t="shared" si="5"/>
      </c>
      <c r="G709" s="22" cm="1">
        <f t="array" ref="G709">IF(AND(Inputs!$C$60,Inputs!$C$61),INDEX(Utility_Rates!$C$29:$F$52,HOUR(C709)+Inputs!$C$69,MATCH(INDEX(Utility_Rates!$K$6:$K$17,MONTH(C709))&amp;IF(WEEKDAY(C709,Inputs!$C$76)&lt;=Inputs!$C$74," weekday"," weekend"),Utility_Rates!$C$28:$F$28,Inputs!$C$68)),"")</f>
      </c>
      <c r="H709" s="34"/>
      <c r="I709" s="42">
        <f>IF(AND(ISNUMBER(D709),ISNUMBER(H709)),D709*H709*Inputs!$C$69,"")</f>
      </c>
      <c r="J709" s="42">
        <f>IF(AND(ISNUMBER(F709),ISNUMBER(H709),F709&gt;=Inputs!$C$68),F709*H709*Inputs!$C$69,"")</f>
      </c>
    </row>
    <row r="710" spans="2:10" ht="15" customHeight="1" x14ac:dyDescent="0.2">
      <c r="B710" s="39">
        <f t="shared" si="4"/>
      </c>
      <c r="C710" s="40">
        <f>IF(Inputs!$C$60,Inputs!$C$11+(B710-Inputs!$C$69)/Inputs!$C$70,"")</f>
      </c>
      <c r="D710" s="15"/>
      <c r="E710" s="15"/>
      <c r="F710" s="11">
        <f t="shared" si="5"/>
      </c>
      <c r="G710" s="22" cm="1">
        <f t="array" ref="G710">IF(AND(Inputs!$C$60,Inputs!$C$61),INDEX(Utility_Rates!$C$29:$F$52,HOUR(C710)+Inputs!$C$69,MATCH(INDEX(Utility_Rates!$K$6:$K$17,MONTH(C710))&amp;IF(WEEKDAY(C710,Inputs!$C$76)&lt;=Inputs!$C$74," weekday"," weekend"),Utility_Rates!$C$28:$F$28,Inputs!$C$68)),"")</f>
      </c>
      <c r="H710" s="34"/>
      <c r="I710" s="42">
        <f>IF(AND(ISNUMBER(D710),ISNUMBER(H710)),D710*H710*Inputs!$C$69,"")</f>
      </c>
      <c r="J710" s="42">
        <f>IF(AND(ISNUMBER(F710),ISNUMBER(H710),F710&gt;=Inputs!$C$68),F710*H710*Inputs!$C$69,"")</f>
      </c>
    </row>
    <row r="711" spans="2:10" ht="15" customHeight="1" x14ac:dyDescent="0.2">
      <c r="B711" s="39">
        <f t="shared" si="4"/>
      </c>
      <c r="C711" s="40">
        <f>IF(Inputs!$C$60,Inputs!$C$11+(B711-Inputs!$C$69)/Inputs!$C$70,"")</f>
      </c>
      <c r="D711" s="15"/>
      <c r="E711" s="15"/>
      <c r="F711" s="11">
        <f t="shared" si="5"/>
      </c>
      <c r="G711" s="22" cm="1">
        <f t="array" ref="G711">IF(AND(Inputs!$C$60,Inputs!$C$61),INDEX(Utility_Rates!$C$29:$F$52,HOUR(C711)+Inputs!$C$69,MATCH(INDEX(Utility_Rates!$K$6:$K$17,MONTH(C711))&amp;IF(WEEKDAY(C711,Inputs!$C$76)&lt;=Inputs!$C$74," weekday"," weekend"),Utility_Rates!$C$28:$F$28,Inputs!$C$68)),"")</f>
      </c>
      <c r="H711" s="34"/>
      <c r="I711" s="42">
        <f>IF(AND(ISNUMBER(D711),ISNUMBER(H711)),D711*H711*Inputs!$C$69,"")</f>
      </c>
      <c r="J711" s="42">
        <f>IF(AND(ISNUMBER(F711),ISNUMBER(H711),F711&gt;=Inputs!$C$68),F711*H711*Inputs!$C$69,"")</f>
      </c>
    </row>
    <row r="712" spans="2:10" ht="15" customHeight="1" x14ac:dyDescent="0.2">
      <c r="B712" s="39">
        <f t="shared" si="4"/>
      </c>
      <c r="C712" s="40">
        <f>IF(Inputs!$C$60,Inputs!$C$11+(B712-Inputs!$C$69)/Inputs!$C$70,"")</f>
      </c>
      <c r="D712" s="15"/>
      <c r="E712" s="15"/>
      <c r="F712" s="11">
        <f t="shared" si="5"/>
      </c>
      <c r="G712" s="22" cm="1">
        <f t="array" ref="G712">IF(AND(Inputs!$C$60,Inputs!$C$61),INDEX(Utility_Rates!$C$29:$F$52,HOUR(C712)+Inputs!$C$69,MATCH(INDEX(Utility_Rates!$K$6:$K$17,MONTH(C712))&amp;IF(WEEKDAY(C712,Inputs!$C$76)&lt;=Inputs!$C$74," weekday"," weekend"),Utility_Rates!$C$28:$F$28,Inputs!$C$68)),"")</f>
      </c>
      <c r="H712" s="34"/>
      <c r="I712" s="42">
        <f>IF(AND(ISNUMBER(D712),ISNUMBER(H712)),D712*H712*Inputs!$C$69,"")</f>
      </c>
      <c r="J712" s="42">
        <f>IF(AND(ISNUMBER(F712),ISNUMBER(H712),F712&gt;=Inputs!$C$68),F712*H712*Inputs!$C$69,"")</f>
      </c>
    </row>
    <row r="713" spans="2:10" ht="15" customHeight="1" x14ac:dyDescent="0.2">
      <c r="B713" s="39">
        <f t="shared" si="4"/>
      </c>
      <c r="C713" s="40">
        <f>IF(Inputs!$C$60,Inputs!$C$11+(B713-Inputs!$C$69)/Inputs!$C$70,"")</f>
      </c>
      <c r="D713" s="15"/>
      <c r="E713" s="15"/>
      <c r="F713" s="11">
        <f t="shared" si="5"/>
      </c>
      <c r="G713" s="22" cm="1">
        <f t="array" ref="G713">IF(AND(Inputs!$C$60,Inputs!$C$61),INDEX(Utility_Rates!$C$29:$F$52,HOUR(C713)+Inputs!$C$69,MATCH(INDEX(Utility_Rates!$K$6:$K$17,MONTH(C713))&amp;IF(WEEKDAY(C713,Inputs!$C$76)&lt;=Inputs!$C$74," weekday"," weekend"),Utility_Rates!$C$28:$F$28,Inputs!$C$68)),"")</f>
      </c>
      <c r="H713" s="34"/>
      <c r="I713" s="42">
        <f>IF(AND(ISNUMBER(D713),ISNUMBER(H713)),D713*H713*Inputs!$C$69,"")</f>
      </c>
      <c r="J713" s="42">
        <f>IF(AND(ISNUMBER(F713),ISNUMBER(H713),F713&gt;=Inputs!$C$68),F713*H713*Inputs!$C$69,"")</f>
      </c>
    </row>
    <row r="714" spans="2:10" ht="15" customHeight="1" x14ac:dyDescent="0.2">
      <c r="B714" s="39">
        <f t="shared" si="4"/>
      </c>
      <c r="C714" s="40">
        <f>IF(Inputs!$C$60,Inputs!$C$11+(B714-Inputs!$C$69)/Inputs!$C$70,"")</f>
      </c>
      <c r="D714" s="15"/>
      <c r="E714" s="15"/>
      <c r="F714" s="11">
        <f t="shared" si="5"/>
      </c>
      <c r="G714" s="22" cm="1">
        <f t="array" ref="G714">IF(AND(Inputs!$C$60,Inputs!$C$61),INDEX(Utility_Rates!$C$29:$F$52,HOUR(C714)+Inputs!$C$69,MATCH(INDEX(Utility_Rates!$K$6:$K$17,MONTH(C714))&amp;IF(WEEKDAY(C714,Inputs!$C$76)&lt;=Inputs!$C$74," weekday"," weekend"),Utility_Rates!$C$28:$F$28,Inputs!$C$68)),"")</f>
      </c>
      <c r="H714" s="34"/>
      <c r="I714" s="42">
        <f>IF(AND(ISNUMBER(D714),ISNUMBER(H714)),D714*H714*Inputs!$C$69,"")</f>
      </c>
      <c r="J714" s="42">
        <f>IF(AND(ISNUMBER(F714),ISNUMBER(H714),F714&gt;=Inputs!$C$68),F714*H714*Inputs!$C$69,"")</f>
      </c>
    </row>
    <row r="715" spans="2:10" ht="15" customHeight="1" x14ac:dyDescent="0.2">
      <c r="B715" s="39">
        <f t="shared" si="4"/>
      </c>
      <c r="C715" s="40">
        <f>IF(Inputs!$C$60,Inputs!$C$11+(B715-Inputs!$C$69)/Inputs!$C$70,"")</f>
      </c>
      <c r="D715" s="15"/>
      <c r="E715" s="15"/>
      <c r="F715" s="11">
        <f t="shared" si="5"/>
      </c>
      <c r="G715" s="22" cm="1">
        <f t="array" ref="G715">IF(AND(Inputs!$C$60,Inputs!$C$61),INDEX(Utility_Rates!$C$29:$F$52,HOUR(C715)+Inputs!$C$69,MATCH(INDEX(Utility_Rates!$K$6:$K$17,MONTH(C715))&amp;IF(WEEKDAY(C715,Inputs!$C$76)&lt;=Inputs!$C$74," weekday"," weekend"),Utility_Rates!$C$28:$F$28,Inputs!$C$68)),"")</f>
      </c>
      <c r="H715" s="34"/>
      <c r="I715" s="42">
        <f>IF(AND(ISNUMBER(D715),ISNUMBER(H715)),D715*H715*Inputs!$C$69,"")</f>
      </c>
      <c r="J715" s="42">
        <f>IF(AND(ISNUMBER(F715),ISNUMBER(H715),F715&gt;=Inputs!$C$68),F715*H715*Inputs!$C$69,"")</f>
      </c>
    </row>
    <row r="716" spans="2:10" ht="15" customHeight="1" x14ac:dyDescent="0.2">
      <c r="B716" s="39">
        <f t="shared" si="4"/>
      </c>
      <c r="C716" s="40">
        <f>IF(Inputs!$C$60,Inputs!$C$11+(B716-Inputs!$C$69)/Inputs!$C$70,"")</f>
      </c>
      <c r="D716" s="15"/>
      <c r="E716" s="15"/>
      <c r="F716" s="11">
        <f t="shared" si="5"/>
      </c>
      <c r="G716" s="22" cm="1">
        <f t="array" ref="G716">IF(AND(Inputs!$C$60,Inputs!$C$61),INDEX(Utility_Rates!$C$29:$F$52,HOUR(C716)+Inputs!$C$69,MATCH(INDEX(Utility_Rates!$K$6:$K$17,MONTH(C716))&amp;IF(WEEKDAY(C716,Inputs!$C$76)&lt;=Inputs!$C$74," weekday"," weekend"),Utility_Rates!$C$28:$F$28,Inputs!$C$68)),"")</f>
      </c>
      <c r="H716" s="34"/>
      <c r="I716" s="42">
        <f>IF(AND(ISNUMBER(D716),ISNUMBER(H716)),D716*H716*Inputs!$C$69,"")</f>
      </c>
      <c r="J716" s="42">
        <f>IF(AND(ISNUMBER(F716),ISNUMBER(H716),F716&gt;=Inputs!$C$68),F716*H716*Inputs!$C$69,"")</f>
      </c>
    </row>
    <row r="717" spans="2:10" ht="15" customHeight="1" x14ac:dyDescent="0.2">
      <c r="B717" s="39">
        <f t="shared" si="4"/>
      </c>
      <c r="C717" s="40">
        <f>IF(Inputs!$C$60,Inputs!$C$11+(B717-Inputs!$C$69)/Inputs!$C$70,"")</f>
      </c>
      <c r="D717" s="15"/>
      <c r="E717" s="15"/>
      <c r="F717" s="11">
        <f t="shared" si="5"/>
      </c>
      <c r="G717" s="22" cm="1">
        <f t="array" ref="G717">IF(AND(Inputs!$C$60,Inputs!$C$61),INDEX(Utility_Rates!$C$29:$F$52,HOUR(C717)+Inputs!$C$69,MATCH(INDEX(Utility_Rates!$K$6:$K$17,MONTH(C717))&amp;IF(WEEKDAY(C717,Inputs!$C$76)&lt;=Inputs!$C$74," weekday"," weekend"),Utility_Rates!$C$28:$F$28,Inputs!$C$68)),"")</f>
      </c>
      <c r="H717" s="34"/>
      <c r="I717" s="42">
        <f>IF(AND(ISNUMBER(D717),ISNUMBER(H717)),D717*H717*Inputs!$C$69,"")</f>
      </c>
      <c r="J717" s="42">
        <f>IF(AND(ISNUMBER(F717),ISNUMBER(H717),F717&gt;=Inputs!$C$68),F717*H717*Inputs!$C$69,"")</f>
      </c>
    </row>
    <row r="718" spans="2:10" ht="15" customHeight="1" x14ac:dyDescent="0.2">
      <c r="B718" s="39">
        <f t="shared" si="4"/>
      </c>
      <c r="C718" s="40">
        <f>IF(Inputs!$C$60,Inputs!$C$11+(B718-Inputs!$C$69)/Inputs!$C$70,"")</f>
      </c>
      <c r="D718" s="15"/>
      <c r="E718" s="15"/>
      <c r="F718" s="11">
        <f t="shared" si="5"/>
      </c>
      <c r="G718" s="22" cm="1">
        <f t="array" ref="G718">IF(AND(Inputs!$C$60,Inputs!$C$61),INDEX(Utility_Rates!$C$29:$F$52,HOUR(C718)+Inputs!$C$69,MATCH(INDEX(Utility_Rates!$K$6:$K$17,MONTH(C718))&amp;IF(WEEKDAY(C718,Inputs!$C$76)&lt;=Inputs!$C$74," weekday"," weekend"),Utility_Rates!$C$28:$F$28,Inputs!$C$68)),"")</f>
      </c>
      <c r="H718" s="34"/>
      <c r="I718" s="42">
        <f>IF(AND(ISNUMBER(D718),ISNUMBER(H718)),D718*H718*Inputs!$C$69,"")</f>
      </c>
      <c r="J718" s="42">
        <f>IF(AND(ISNUMBER(F718),ISNUMBER(H718),F718&gt;=Inputs!$C$68),F718*H718*Inputs!$C$69,"")</f>
      </c>
    </row>
    <row r="719" spans="2:10" ht="15" customHeight="1" x14ac:dyDescent="0.2">
      <c r="B719" s="39">
        <f t="shared" si="4"/>
      </c>
      <c r="C719" s="40">
        <f>IF(Inputs!$C$60,Inputs!$C$11+(B719-Inputs!$C$69)/Inputs!$C$70,"")</f>
      </c>
      <c r="D719" s="15"/>
      <c r="E719" s="15"/>
      <c r="F719" s="11">
        <f t="shared" si="5"/>
      </c>
      <c r="G719" s="22" cm="1">
        <f t="array" ref="G719">IF(AND(Inputs!$C$60,Inputs!$C$61),INDEX(Utility_Rates!$C$29:$F$52,HOUR(C719)+Inputs!$C$69,MATCH(INDEX(Utility_Rates!$K$6:$K$17,MONTH(C719))&amp;IF(WEEKDAY(C719,Inputs!$C$76)&lt;=Inputs!$C$74," weekday"," weekend"),Utility_Rates!$C$28:$F$28,Inputs!$C$68)),"")</f>
      </c>
      <c r="H719" s="34"/>
      <c r="I719" s="42">
        <f>IF(AND(ISNUMBER(D719),ISNUMBER(H719)),D719*H719*Inputs!$C$69,"")</f>
      </c>
      <c r="J719" s="42">
        <f>IF(AND(ISNUMBER(F719),ISNUMBER(H719),F719&gt;=Inputs!$C$68),F719*H719*Inputs!$C$69,"")</f>
      </c>
    </row>
    <row r="720" spans="2:10" ht="15" customHeight="1" x14ac:dyDescent="0.2">
      <c r="B720" s="39">
        <f t="shared" si="4"/>
      </c>
      <c r="C720" s="40">
        <f>IF(Inputs!$C$60,Inputs!$C$11+(B720-Inputs!$C$69)/Inputs!$C$70,"")</f>
      </c>
      <c r="D720" s="15"/>
      <c r="E720" s="15"/>
      <c r="F720" s="11">
        <f t="shared" si="5"/>
      </c>
      <c r="G720" s="22" cm="1">
        <f t="array" ref="G720">IF(AND(Inputs!$C$60,Inputs!$C$61),INDEX(Utility_Rates!$C$29:$F$52,HOUR(C720)+Inputs!$C$69,MATCH(INDEX(Utility_Rates!$K$6:$K$17,MONTH(C720))&amp;IF(WEEKDAY(C720,Inputs!$C$76)&lt;=Inputs!$C$74," weekday"," weekend"),Utility_Rates!$C$28:$F$28,Inputs!$C$68)),"")</f>
      </c>
      <c r="H720" s="34"/>
      <c r="I720" s="42">
        <f>IF(AND(ISNUMBER(D720),ISNUMBER(H720)),D720*H720*Inputs!$C$69,"")</f>
      </c>
      <c r="J720" s="42">
        <f>IF(AND(ISNUMBER(F720),ISNUMBER(H720),F720&gt;=Inputs!$C$68),F720*H720*Inputs!$C$69,"")</f>
      </c>
    </row>
    <row r="721" spans="2:10" ht="15" customHeight="1" x14ac:dyDescent="0.2">
      <c r="B721" s="39">
        <f t="shared" si="4"/>
      </c>
      <c r="C721" s="40">
        <f>IF(Inputs!$C$60,Inputs!$C$11+(B721-Inputs!$C$69)/Inputs!$C$70,"")</f>
      </c>
      <c r="D721" s="15"/>
      <c r="E721" s="15"/>
      <c r="F721" s="11">
        <f t="shared" si="5"/>
      </c>
      <c r="G721" s="22" cm="1">
        <f t="array" ref="G721">IF(AND(Inputs!$C$60,Inputs!$C$61),INDEX(Utility_Rates!$C$29:$F$52,HOUR(C721)+Inputs!$C$69,MATCH(INDEX(Utility_Rates!$K$6:$K$17,MONTH(C721))&amp;IF(WEEKDAY(C721,Inputs!$C$76)&lt;=Inputs!$C$74," weekday"," weekend"),Utility_Rates!$C$28:$F$28,Inputs!$C$68)),"")</f>
      </c>
      <c r="H721" s="34"/>
      <c r="I721" s="42">
        <f>IF(AND(ISNUMBER(D721),ISNUMBER(H721)),D721*H721*Inputs!$C$69,"")</f>
      </c>
      <c r="J721" s="42">
        <f>IF(AND(ISNUMBER(F721),ISNUMBER(H721),F721&gt;=Inputs!$C$68),F721*H721*Inputs!$C$69,"")</f>
      </c>
    </row>
    <row r="722" spans="2:10" ht="15" customHeight="1" x14ac:dyDescent="0.2">
      <c r="B722" s="39">
        <f t="shared" si="4"/>
      </c>
      <c r="C722" s="40">
        <f>IF(Inputs!$C$60,Inputs!$C$11+(B722-Inputs!$C$69)/Inputs!$C$70,"")</f>
      </c>
      <c r="D722" s="15"/>
      <c r="E722" s="15"/>
      <c r="F722" s="11">
        <f t="shared" si="5"/>
      </c>
      <c r="G722" s="22" cm="1">
        <f t="array" ref="G722">IF(AND(Inputs!$C$60,Inputs!$C$61),INDEX(Utility_Rates!$C$29:$F$52,HOUR(C722)+Inputs!$C$69,MATCH(INDEX(Utility_Rates!$K$6:$K$17,MONTH(C722))&amp;IF(WEEKDAY(C722,Inputs!$C$76)&lt;=Inputs!$C$74," weekday"," weekend"),Utility_Rates!$C$28:$F$28,Inputs!$C$68)),"")</f>
      </c>
      <c r="H722" s="34"/>
      <c r="I722" s="42">
        <f>IF(AND(ISNUMBER(D722),ISNUMBER(H722)),D722*H722*Inputs!$C$69,"")</f>
      </c>
      <c r="J722" s="42">
        <f>IF(AND(ISNUMBER(F722),ISNUMBER(H722),F722&gt;=Inputs!$C$68),F722*H722*Inputs!$C$69,"")</f>
      </c>
    </row>
    <row r="723" spans="2:10" ht="15" customHeight="1" x14ac:dyDescent="0.2">
      <c r="B723" s="39">
        <f t="shared" si="4"/>
      </c>
      <c r="C723" s="40">
        <f>IF(Inputs!$C$60,Inputs!$C$11+(B723-Inputs!$C$69)/Inputs!$C$70,"")</f>
      </c>
      <c r="D723" s="15"/>
      <c r="E723" s="15"/>
      <c r="F723" s="11">
        <f t="shared" si="5"/>
      </c>
      <c r="G723" s="22" cm="1">
        <f t="array" ref="G723">IF(AND(Inputs!$C$60,Inputs!$C$61),INDEX(Utility_Rates!$C$29:$F$52,HOUR(C723)+Inputs!$C$69,MATCH(INDEX(Utility_Rates!$K$6:$K$17,MONTH(C723))&amp;IF(WEEKDAY(C723,Inputs!$C$76)&lt;=Inputs!$C$74," weekday"," weekend"),Utility_Rates!$C$28:$F$28,Inputs!$C$68)),"")</f>
      </c>
      <c r="H723" s="34"/>
      <c r="I723" s="42">
        <f>IF(AND(ISNUMBER(D723),ISNUMBER(H723)),D723*H723*Inputs!$C$69,"")</f>
      </c>
      <c r="J723" s="42">
        <f>IF(AND(ISNUMBER(F723),ISNUMBER(H723),F723&gt;=Inputs!$C$68),F723*H723*Inputs!$C$69,"")</f>
      </c>
    </row>
    <row r="724" spans="2:10" ht="15" customHeight="1" x14ac:dyDescent="0.2">
      <c r="B724" s="39">
        <f t="shared" si="4"/>
      </c>
      <c r="C724" s="40">
        <f>IF(Inputs!$C$60,Inputs!$C$11+(B724-Inputs!$C$69)/Inputs!$C$70,"")</f>
      </c>
      <c r="D724" s="15"/>
      <c r="E724" s="15"/>
      <c r="F724" s="11">
        <f t="shared" si="5"/>
      </c>
      <c r="G724" s="22" cm="1">
        <f t="array" ref="G724">IF(AND(Inputs!$C$60,Inputs!$C$61),INDEX(Utility_Rates!$C$29:$F$52,HOUR(C724)+Inputs!$C$69,MATCH(INDEX(Utility_Rates!$K$6:$K$17,MONTH(C724))&amp;IF(WEEKDAY(C724,Inputs!$C$76)&lt;=Inputs!$C$74," weekday"," weekend"),Utility_Rates!$C$28:$F$28,Inputs!$C$68)),"")</f>
      </c>
      <c r="H724" s="34"/>
      <c r="I724" s="42">
        <f>IF(AND(ISNUMBER(D724),ISNUMBER(H724)),D724*H724*Inputs!$C$69,"")</f>
      </c>
      <c r="J724" s="42">
        <f>IF(AND(ISNUMBER(F724),ISNUMBER(H724),F724&gt;=Inputs!$C$68),F724*H724*Inputs!$C$69,"")</f>
      </c>
    </row>
    <row r="725" spans="2:10" ht="15" customHeight="1" x14ac:dyDescent="0.2">
      <c r="B725" s="39">
        <f t="shared" si="4"/>
      </c>
      <c r="C725" s="40">
        <f>IF(Inputs!$C$60,Inputs!$C$11+(B725-Inputs!$C$69)/Inputs!$C$70,"")</f>
      </c>
      <c r="D725" s="15"/>
      <c r="E725" s="15"/>
      <c r="F725" s="11">
        <f t="shared" si="5"/>
      </c>
      <c r="G725" s="22" cm="1">
        <f t="array" ref="G725">IF(AND(Inputs!$C$60,Inputs!$C$61),INDEX(Utility_Rates!$C$29:$F$52,HOUR(C725)+Inputs!$C$69,MATCH(INDEX(Utility_Rates!$K$6:$K$17,MONTH(C725))&amp;IF(WEEKDAY(C725,Inputs!$C$76)&lt;=Inputs!$C$74," weekday"," weekend"),Utility_Rates!$C$28:$F$28,Inputs!$C$68)),"")</f>
      </c>
      <c r="H725" s="34"/>
      <c r="I725" s="42">
        <f>IF(AND(ISNUMBER(D725),ISNUMBER(H725)),D725*H725*Inputs!$C$69,"")</f>
      </c>
      <c r="J725" s="42">
        <f>IF(AND(ISNUMBER(F725),ISNUMBER(H725),F725&gt;=Inputs!$C$68),F725*H725*Inputs!$C$69,"")</f>
      </c>
    </row>
    <row r="726" spans="2:10" ht="15" customHeight="1" x14ac:dyDescent="0.2">
      <c r="B726" s="39">
        <f t="shared" si="4"/>
      </c>
      <c r="C726" s="40">
        <f>IF(Inputs!$C$60,Inputs!$C$11+(B726-Inputs!$C$69)/Inputs!$C$70,"")</f>
      </c>
      <c r="D726" s="15"/>
      <c r="E726" s="15"/>
      <c r="F726" s="11">
        <f t="shared" si="5"/>
      </c>
      <c r="G726" s="22" cm="1">
        <f t="array" ref="G726">IF(AND(Inputs!$C$60,Inputs!$C$61),INDEX(Utility_Rates!$C$29:$F$52,HOUR(C726)+Inputs!$C$69,MATCH(INDEX(Utility_Rates!$K$6:$K$17,MONTH(C726))&amp;IF(WEEKDAY(C726,Inputs!$C$76)&lt;=Inputs!$C$74," weekday"," weekend"),Utility_Rates!$C$28:$F$28,Inputs!$C$68)),"")</f>
      </c>
      <c r="H726" s="34"/>
      <c r="I726" s="42">
        <f>IF(AND(ISNUMBER(D726),ISNUMBER(H726)),D726*H726*Inputs!$C$69,"")</f>
      </c>
      <c r="J726" s="42">
        <f>IF(AND(ISNUMBER(F726),ISNUMBER(H726),F726&gt;=Inputs!$C$68),F726*H726*Inputs!$C$69,"")</f>
      </c>
    </row>
    <row r="727" spans="2:10" ht="15" customHeight="1" x14ac:dyDescent="0.2">
      <c r="B727" s="39">
        <f t="shared" si="4"/>
      </c>
      <c r="C727" s="40">
        <f>IF(Inputs!$C$60,Inputs!$C$11+(B727-Inputs!$C$69)/Inputs!$C$70,"")</f>
      </c>
      <c r="D727" s="15"/>
      <c r="E727" s="15"/>
      <c r="F727" s="11">
        <f t="shared" si="5"/>
      </c>
      <c r="G727" s="22" cm="1">
        <f t="array" ref="G727">IF(AND(Inputs!$C$60,Inputs!$C$61),INDEX(Utility_Rates!$C$29:$F$52,HOUR(C727)+Inputs!$C$69,MATCH(INDEX(Utility_Rates!$K$6:$K$17,MONTH(C727))&amp;IF(WEEKDAY(C727,Inputs!$C$76)&lt;=Inputs!$C$74," weekday"," weekend"),Utility_Rates!$C$28:$F$28,Inputs!$C$68)),"")</f>
      </c>
      <c r="H727" s="34"/>
      <c r="I727" s="42">
        <f>IF(AND(ISNUMBER(D727),ISNUMBER(H727)),D727*H727*Inputs!$C$69,"")</f>
      </c>
      <c r="J727" s="42">
        <f>IF(AND(ISNUMBER(F727),ISNUMBER(H727),F727&gt;=Inputs!$C$68),F727*H727*Inputs!$C$69,"")</f>
      </c>
    </row>
    <row r="728" spans="2:10" ht="15" customHeight="1" x14ac:dyDescent="0.2">
      <c r="B728" s="39">
        <f t="shared" si="4"/>
      </c>
      <c r="C728" s="40">
        <f>IF(Inputs!$C$60,Inputs!$C$11+(B728-Inputs!$C$69)/Inputs!$C$70,"")</f>
      </c>
      <c r="D728" s="15"/>
      <c r="E728" s="15"/>
      <c r="F728" s="11">
        <f t="shared" si="5"/>
      </c>
      <c r="G728" s="22" cm="1">
        <f t="array" ref="G728">IF(AND(Inputs!$C$60,Inputs!$C$61),INDEX(Utility_Rates!$C$29:$F$52,HOUR(C728)+Inputs!$C$69,MATCH(INDEX(Utility_Rates!$K$6:$K$17,MONTH(C728))&amp;IF(WEEKDAY(C728,Inputs!$C$76)&lt;=Inputs!$C$74," weekday"," weekend"),Utility_Rates!$C$28:$F$28,Inputs!$C$68)),"")</f>
      </c>
      <c r="H728" s="34"/>
      <c r="I728" s="42">
        <f>IF(AND(ISNUMBER(D728),ISNUMBER(H728)),D728*H728*Inputs!$C$69,"")</f>
      </c>
      <c r="J728" s="42">
        <f>IF(AND(ISNUMBER(F728),ISNUMBER(H728),F728&gt;=Inputs!$C$68),F728*H728*Inputs!$C$69,"")</f>
      </c>
    </row>
    <row r="729" spans="2:10" ht="15" customHeight="1" x14ac:dyDescent="0.2">
      <c r="B729" s="39">
        <f t="shared" si="4"/>
      </c>
      <c r="C729" s="40">
        <f>IF(Inputs!$C$60,Inputs!$C$11+(B729-Inputs!$C$69)/Inputs!$C$70,"")</f>
      </c>
      <c r="D729" s="15"/>
      <c r="E729" s="15"/>
      <c r="F729" s="11">
        <f t="shared" si="5"/>
      </c>
      <c r="G729" s="22" cm="1">
        <f t="array" ref="G729">IF(AND(Inputs!$C$60,Inputs!$C$61),INDEX(Utility_Rates!$C$29:$F$52,HOUR(C729)+Inputs!$C$69,MATCH(INDEX(Utility_Rates!$K$6:$K$17,MONTH(C729))&amp;IF(WEEKDAY(C729,Inputs!$C$76)&lt;=Inputs!$C$74," weekday"," weekend"),Utility_Rates!$C$28:$F$28,Inputs!$C$68)),"")</f>
      </c>
      <c r="H729" s="34"/>
      <c r="I729" s="42">
        <f>IF(AND(ISNUMBER(D729),ISNUMBER(H729)),D729*H729*Inputs!$C$69,"")</f>
      </c>
      <c r="J729" s="42">
        <f>IF(AND(ISNUMBER(F729),ISNUMBER(H729),F729&gt;=Inputs!$C$68),F729*H729*Inputs!$C$69,"")</f>
      </c>
    </row>
    <row r="730" spans="2:10" ht="15" customHeight="1" x14ac:dyDescent="0.2">
      <c r="B730" s="39">
        <f t="shared" si="4"/>
      </c>
      <c r="C730" s="40">
        <f>IF(Inputs!$C$60,Inputs!$C$11+(B730-Inputs!$C$69)/Inputs!$C$70,"")</f>
      </c>
      <c r="D730" s="15"/>
      <c r="E730" s="15"/>
      <c r="F730" s="11">
        <f t="shared" si="5"/>
      </c>
      <c r="G730" s="22" cm="1">
        <f t="array" ref="G730">IF(AND(Inputs!$C$60,Inputs!$C$61),INDEX(Utility_Rates!$C$29:$F$52,HOUR(C730)+Inputs!$C$69,MATCH(INDEX(Utility_Rates!$K$6:$K$17,MONTH(C730))&amp;IF(WEEKDAY(C730,Inputs!$C$76)&lt;=Inputs!$C$74," weekday"," weekend"),Utility_Rates!$C$28:$F$28,Inputs!$C$68)),"")</f>
      </c>
      <c r="H730" s="34"/>
      <c r="I730" s="42">
        <f>IF(AND(ISNUMBER(D730),ISNUMBER(H730)),D730*H730*Inputs!$C$69,"")</f>
      </c>
      <c r="J730" s="42">
        <f>IF(AND(ISNUMBER(F730),ISNUMBER(H730),F730&gt;=Inputs!$C$68),F730*H730*Inputs!$C$69,"")</f>
      </c>
    </row>
    <row r="731" spans="2:10" ht="15" customHeight="1" x14ac:dyDescent="0.2">
      <c r="B731" s="39">
        <f t="shared" si="4"/>
      </c>
      <c r="C731" s="40">
        <f>IF(Inputs!$C$60,Inputs!$C$11+(B731-Inputs!$C$69)/Inputs!$C$70,"")</f>
      </c>
      <c r="D731" s="15"/>
      <c r="E731" s="15"/>
      <c r="F731" s="11">
        <f t="shared" si="5"/>
      </c>
      <c r="G731" s="22" cm="1">
        <f t="array" ref="G731">IF(AND(Inputs!$C$60,Inputs!$C$61),INDEX(Utility_Rates!$C$29:$F$52,HOUR(C731)+Inputs!$C$69,MATCH(INDEX(Utility_Rates!$K$6:$K$17,MONTH(C731))&amp;IF(WEEKDAY(C731,Inputs!$C$76)&lt;=Inputs!$C$74," weekday"," weekend"),Utility_Rates!$C$28:$F$28,Inputs!$C$68)),"")</f>
      </c>
      <c r="H731" s="34"/>
      <c r="I731" s="42">
        <f>IF(AND(ISNUMBER(D731),ISNUMBER(H731)),D731*H731*Inputs!$C$69,"")</f>
      </c>
      <c r="J731" s="42">
        <f>IF(AND(ISNUMBER(F731),ISNUMBER(H731),F731&gt;=Inputs!$C$68),F731*H731*Inputs!$C$69,"")</f>
      </c>
    </row>
    <row r="732" spans="2:10" ht="15" customHeight="1" x14ac:dyDescent="0.2">
      <c r="B732" s="39">
        <f t="shared" si="4"/>
      </c>
      <c r="C732" s="40">
        <f>IF(Inputs!$C$60,Inputs!$C$11+(B732-Inputs!$C$69)/Inputs!$C$70,"")</f>
      </c>
      <c r="D732" s="15"/>
      <c r="E732" s="15"/>
      <c r="F732" s="11">
        <f t="shared" si="5"/>
      </c>
      <c r="G732" s="22" cm="1">
        <f t="array" ref="G732">IF(AND(Inputs!$C$60,Inputs!$C$61),INDEX(Utility_Rates!$C$29:$F$52,HOUR(C732)+Inputs!$C$69,MATCH(INDEX(Utility_Rates!$K$6:$K$17,MONTH(C732))&amp;IF(WEEKDAY(C732,Inputs!$C$76)&lt;=Inputs!$C$74," weekday"," weekend"),Utility_Rates!$C$28:$F$28,Inputs!$C$68)),"")</f>
      </c>
      <c r="H732" s="34"/>
      <c r="I732" s="42">
        <f>IF(AND(ISNUMBER(D732),ISNUMBER(H732)),D732*H732*Inputs!$C$69,"")</f>
      </c>
      <c r="J732" s="42">
        <f>IF(AND(ISNUMBER(F732),ISNUMBER(H732),F732&gt;=Inputs!$C$68),F732*H732*Inputs!$C$69,"")</f>
      </c>
    </row>
    <row r="733" spans="2:10" ht="15" customHeight="1" x14ac:dyDescent="0.2">
      <c r="B733" s="39">
        <f t="shared" si="4"/>
      </c>
      <c r="C733" s="40">
        <f>IF(Inputs!$C$60,Inputs!$C$11+(B733-Inputs!$C$69)/Inputs!$C$70,"")</f>
      </c>
      <c r="D733" s="15"/>
      <c r="E733" s="15"/>
      <c r="F733" s="11">
        <f t="shared" si="5"/>
      </c>
      <c r="G733" s="22" cm="1">
        <f t="array" ref="G733">IF(AND(Inputs!$C$60,Inputs!$C$61),INDEX(Utility_Rates!$C$29:$F$52,HOUR(C733)+Inputs!$C$69,MATCH(INDEX(Utility_Rates!$K$6:$K$17,MONTH(C733))&amp;IF(WEEKDAY(C733,Inputs!$C$76)&lt;=Inputs!$C$74," weekday"," weekend"),Utility_Rates!$C$28:$F$28,Inputs!$C$68)),"")</f>
      </c>
      <c r="H733" s="34"/>
      <c r="I733" s="42">
        <f>IF(AND(ISNUMBER(D733),ISNUMBER(H733)),D733*H733*Inputs!$C$69,"")</f>
      </c>
      <c r="J733" s="42">
        <f>IF(AND(ISNUMBER(F733),ISNUMBER(H733),F733&gt;=Inputs!$C$68),F733*H733*Inputs!$C$69,"")</f>
      </c>
    </row>
    <row r="734" spans="2:10" ht="15" customHeight="1" x14ac:dyDescent="0.2">
      <c r="B734" s="39">
        <f t="shared" si="4"/>
      </c>
      <c r="C734" s="40">
        <f>IF(Inputs!$C$60,Inputs!$C$11+(B734-Inputs!$C$69)/Inputs!$C$70,"")</f>
      </c>
      <c r="D734" s="15"/>
      <c r="E734" s="15"/>
      <c r="F734" s="11">
        <f t="shared" si="5"/>
      </c>
      <c r="G734" s="22" cm="1">
        <f t="array" ref="G734">IF(AND(Inputs!$C$60,Inputs!$C$61),INDEX(Utility_Rates!$C$29:$F$52,HOUR(C734)+Inputs!$C$69,MATCH(INDEX(Utility_Rates!$K$6:$K$17,MONTH(C734))&amp;IF(WEEKDAY(C734,Inputs!$C$76)&lt;=Inputs!$C$74," weekday"," weekend"),Utility_Rates!$C$28:$F$28,Inputs!$C$68)),"")</f>
      </c>
      <c r="H734" s="34"/>
      <c r="I734" s="42">
        <f>IF(AND(ISNUMBER(D734),ISNUMBER(H734)),D734*H734*Inputs!$C$69,"")</f>
      </c>
      <c r="J734" s="42">
        <f>IF(AND(ISNUMBER(F734),ISNUMBER(H734),F734&gt;=Inputs!$C$68),F734*H734*Inputs!$C$69,"")</f>
      </c>
    </row>
    <row r="735" spans="2:10" ht="15" customHeight="1" x14ac:dyDescent="0.2">
      <c r="B735" s="39">
        <f t="shared" si="4"/>
      </c>
      <c r="C735" s="40">
        <f>IF(Inputs!$C$60,Inputs!$C$11+(B735-Inputs!$C$69)/Inputs!$C$70,"")</f>
      </c>
      <c r="D735" s="15"/>
      <c r="E735" s="15"/>
      <c r="F735" s="11">
        <f t="shared" si="5"/>
      </c>
      <c r="G735" s="22" cm="1">
        <f t="array" ref="G735">IF(AND(Inputs!$C$60,Inputs!$C$61),INDEX(Utility_Rates!$C$29:$F$52,HOUR(C735)+Inputs!$C$69,MATCH(INDEX(Utility_Rates!$K$6:$K$17,MONTH(C735))&amp;IF(WEEKDAY(C735,Inputs!$C$76)&lt;=Inputs!$C$74," weekday"," weekend"),Utility_Rates!$C$28:$F$28,Inputs!$C$68)),"")</f>
      </c>
      <c r="H735" s="34"/>
      <c r="I735" s="42">
        <f>IF(AND(ISNUMBER(D735),ISNUMBER(H735)),D735*H735*Inputs!$C$69,"")</f>
      </c>
      <c r="J735" s="42">
        <f>IF(AND(ISNUMBER(F735),ISNUMBER(H735),F735&gt;=Inputs!$C$68),F735*H735*Inputs!$C$69,"")</f>
      </c>
    </row>
    <row r="736" spans="2:10" ht="15" customHeight="1" x14ac:dyDescent="0.2">
      <c r="B736" s="39">
        <f t="shared" si="4"/>
      </c>
      <c r="C736" s="40">
        <f>IF(Inputs!$C$60,Inputs!$C$11+(B736-Inputs!$C$69)/Inputs!$C$70,"")</f>
      </c>
      <c r="D736" s="15"/>
      <c r="E736" s="15"/>
      <c r="F736" s="11">
        <f t="shared" si="5"/>
      </c>
      <c r="G736" s="22" cm="1">
        <f t="array" ref="G736">IF(AND(Inputs!$C$60,Inputs!$C$61),INDEX(Utility_Rates!$C$29:$F$52,HOUR(C736)+Inputs!$C$69,MATCH(INDEX(Utility_Rates!$K$6:$K$17,MONTH(C736))&amp;IF(WEEKDAY(C736,Inputs!$C$76)&lt;=Inputs!$C$74," weekday"," weekend"),Utility_Rates!$C$28:$F$28,Inputs!$C$68)),"")</f>
      </c>
      <c r="H736" s="34"/>
      <c r="I736" s="42">
        <f>IF(AND(ISNUMBER(D736),ISNUMBER(H736)),D736*H736*Inputs!$C$69,"")</f>
      </c>
      <c r="J736" s="42">
        <f>IF(AND(ISNUMBER(F736),ISNUMBER(H736),F736&gt;=Inputs!$C$68),F736*H736*Inputs!$C$69,"")</f>
      </c>
    </row>
    <row r="737" spans="2:10" ht="15" customHeight="1" x14ac:dyDescent="0.2">
      <c r="B737" s="39">
        <f t="shared" si="4"/>
      </c>
      <c r="C737" s="40">
        <f>IF(Inputs!$C$60,Inputs!$C$11+(B737-Inputs!$C$69)/Inputs!$C$70,"")</f>
      </c>
      <c r="D737" s="15"/>
      <c r="E737" s="15"/>
      <c r="F737" s="11">
        <f t="shared" si="5"/>
      </c>
      <c r="G737" s="22" cm="1">
        <f t="array" ref="G737">IF(AND(Inputs!$C$60,Inputs!$C$61),INDEX(Utility_Rates!$C$29:$F$52,HOUR(C737)+Inputs!$C$69,MATCH(INDEX(Utility_Rates!$K$6:$K$17,MONTH(C737))&amp;IF(WEEKDAY(C737,Inputs!$C$76)&lt;=Inputs!$C$74," weekday"," weekend"),Utility_Rates!$C$28:$F$28,Inputs!$C$68)),"")</f>
      </c>
      <c r="H737" s="34"/>
      <c r="I737" s="42">
        <f>IF(AND(ISNUMBER(D737),ISNUMBER(H737)),D737*H737*Inputs!$C$69,"")</f>
      </c>
      <c r="J737" s="42">
        <f>IF(AND(ISNUMBER(F737),ISNUMBER(H737),F737&gt;=Inputs!$C$68),F737*H737*Inputs!$C$69,"")</f>
      </c>
    </row>
    <row r="738" spans="2:10" ht="15" customHeight="1" x14ac:dyDescent="0.2">
      <c r="B738" s="39">
        <f t="shared" si="4"/>
      </c>
      <c r="C738" s="40">
        <f>IF(Inputs!$C$60,Inputs!$C$11+(B738-Inputs!$C$69)/Inputs!$C$70,"")</f>
      </c>
      <c r="D738" s="15"/>
      <c r="E738" s="15"/>
      <c r="F738" s="11">
        <f t="shared" si="5"/>
      </c>
      <c r="G738" s="22" cm="1">
        <f t="array" ref="G738">IF(AND(Inputs!$C$60,Inputs!$C$61),INDEX(Utility_Rates!$C$29:$F$52,HOUR(C738)+Inputs!$C$69,MATCH(INDEX(Utility_Rates!$K$6:$K$17,MONTH(C738))&amp;IF(WEEKDAY(C738,Inputs!$C$76)&lt;=Inputs!$C$74," weekday"," weekend"),Utility_Rates!$C$28:$F$28,Inputs!$C$68)),"")</f>
      </c>
      <c r="H738" s="34"/>
      <c r="I738" s="42">
        <f>IF(AND(ISNUMBER(D738),ISNUMBER(H738)),D738*H738*Inputs!$C$69,"")</f>
      </c>
      <c r="J738" s="42">
        <f>IF(AND(ISNUMBER(F738),ISNUMBER(H738),F738&gt;=Inputs!$C$68),F738*H738*Inputs!$C$69,"")</f>
      </c>
    </row>
    <row r="739" spans="2:10" ht="15" customHeight="1" x14ac:dyDescent="0.2">
      <c r="B739" s="39">
        <f t="shared" si="4"/>
      </c>
      <c r="C739" s="40">
        <f>IF(Inputs!$C$60,Inputs!$C$11+(B739-Inputs!$C$69)/Inputs!$C$70,"")</f>
      </c>
      <c r="D739" s="15"/>
      <c r="E739" s="15"/>
      <c r="F739" s="11">
        <f t="shared" si="5"/>
      </c>
      <c r="G739" s="22" cm="1">
        <f t="array" ref="G739">IF(AND(Inputs!$C$60,Inputs!$C$61),INDEX(Utility_Rates!$C$29:$F$52,HOUR(C739)+Inputs!$C$69,MATCH(INDEX(Utility_Rates!$K$6:$K$17,MONTH(C739))&amp;IF(WEEKDAY(C739,Inputs!$C$76)&lt;=Inputs!$C$74," weekday"," weekend"),Utility_Rates!$C$28:$F$28,Inputs!$C$68)),"")</f>
      </c>
      <c r="H739" s="34"/>
      <c r="I739" s="42">
        <f>IF(AND(ISNUMBER(D739),ISNUMBER(H739)),D739*H739*Inputs!$C$69,"")</f>
      </c>
      <c r="J739" s="42">
        <f>IF(AND(ISNUMBER(F739),ISNUMBER(H739),F739&gt;=Inputs!$C$68),F739*H739*Inputs!$C$69,"")</f>
      </c>
    </row>
    <row r="740" spans="2:10" ht="15" customHeight="1" x14ac:dyDescent="0.2">
      <c r="B740" s="39">
        <f t="shared" si="4"/>
      </c>
      <c r="C740" s="40">
        <f>IF(Inputs!$C$60,Inputs!$C$11+(B740-Inputs!$C$69)/Inputs!$C$70,"")</f>
      </c>
      <c r="D740" s="15"/>
      <c r="E740" s="15"/>
      <c r="F740" s="11">
        <f t="shared" si="5"/>
      </c>
      <c r="G740" s="22" cm="1">
        <f t="array" ref="G740">IF(AND(Inputs!$C$60,Inputs!$C$61),INDEX(Utility_Rates!$C$29:$F$52,HOUR(C740)+Inputs!$C$69,MATCH(INDEX(Utility_Rates!$K$6:$K$17,MONTH(C740))&amp;IF(WEEKDAY(C740,Inputs!$C$76)&lt;=Inputs!$C$74," weekday"," weekend"),Utility_Rates!$C$28:$F$28,Inputs!$C$68)),"")</f>
      </c>
      <c r="H740" s="34"/>
      <c r="I740" s="42">
        <f>IF(AND(ISNUMBER(D740),ISNUMBER(H740)),D740*H740*Inputs!$C$69,"")</f>
      </c>
      <c r="J740" s="42">
        <f>IF(AND(ISNUMBER(F740),ISNUMBER(H740),F740&gt;=Inputs!$C$68),F740*H740*Inputs!$C$69,"")</f>
      </c>
    </row>
    <row r="741" spans="2:10" ht="15" customHeight="1" x14ac:dyDescent="0.2">
      <c r="B741" s="39">
        <f t="shared" si="4"/>
      </c>
      <c r="C741" s="40">
        <f>IF(Inputs!$C$60,Inputs!$C$11+(B741-Inputs!$C$69)/Inputs!$C$70,"")</f>
      </c>
      <c r="D741" s="15"/>
      <c r="E741" s="15"/>
      <c r="F741" s="11">
        <f t="shared" si="5"/>
      </c>
      <c r="G741" s="22" cm="1">
        <f t="array" ref="G741">IF(AND(Inputs!$C$60,Inputs!$C$61),INDEX(Utility_Rates!$C$29:$F$52,HOUR(C741)+Inputs!$C$69,MATCH(INDEX(Utility_Rates!$K$6:$K$17,MONTH(C741))&amp;IF(WEEKDAY(C741,Inputs!$C$76)&lt;=Inputs!$C$74," weekday"," weekend"),Utility_Rates!$C$28:$F$28,Inputs!$C$68)),"")</f>
      </c>
      <c r="H741" s="34"/>
      <c r="I741" s="42">
        <f>IF(AND(ISNUMBER(D741),ISNUMBER(H741)),D741*H741*Inputs!$C$69,"")</f>
      </c>
      <c r="J741" s="42">
        <f>IF(AND(ISNUMBER(F741),ISNUMBER(H741),F741&gt;=Inputs!$C$68),F741*H741*Inputs!$C$69,"")</f>
      </c>
    </row>
    <row r="742" spans="2:10" ht="15" customHeight="1" x14ac:dyDescent="0.2">
      <c r="B742" s="39">
        <f t="shared" si="4"/>
      </c>
      <c r="C742" s="40">
        <f>IF(Inputs!$C$60,Inputs!$C$11+(B742-Inputs!$C$69)/Inputs!$C$70,"")</f>
      </c>
      <c r="D742" s="15"/>
      <c r="E742" s="15"/>
      <c r="F742" s="11">
        <f t="shared" si="5"/>
      </c>
      <c r="G742" s="22" cm="1">
        <f t="array" ref="G742">IF(AND(Inputs!$C$60,Inputs!$C$61),INDEX(Utility_Rates!$C$29:$F$52,HOUR(C742)+Inputs!$C$69,MATCH(INDEX(Utility_Rates!$K$6:$K$17,MONTH(C742))&amp;IF(WEEKDAY(C742,Inputs!$C$76)&lt;=Inputs!$C$74," weekday"," weekend"),Utility_Rates!$C$28:$F$28,Inputs!$C$68)),"")</f>
      </c>
      <c r="H742" s="34"/>
      <c r="I742" s="42">
        <f>IF(AND(ISNUMBER(D742),ISNUMBER(H742)),D742*H742*Inputs!$C$69,"")</f>
      </c>
      <c r="J742" s="42">
        <f>IF(AND(ISNUMBER(F742),ISNUMBER(H742),F742&gt;=Inputs!$C$68),F742*H742*Inputs!$C$69,"")</f>
      </c>
    </row>
    <row r="743" spans="2:10" ht="15" customHeight="1" x14ac:dyDescent="0.2">
      <c r="B743" s="39">
        <f t="shared" si="4"/>
      </c>
      <c r="C743" s="40">
        <f>IF(Inputs!$C$60,Inputs!$C$11+(B743-Inputs!$C$69)/Inputs!$C$70,"")</f>
      </c>
      <c r="D743" s="15"/>
      <c r="E743" s="15"/>
      <c r="F743" s="11">
        <f t="shared" si="5"/>
      </c>
      <c r="G743" s="22" cm="1">
        <f t="array" ref="G743">IF(AND(Inputs!$C$60,Inputs!$C$61),INDEX(Utility_Rates!$C$29:$F$52,HOUR(C743)+Inputs!$C$69,MATCH(INDEX(Utility_Rates!$K$6:$K$17,MONTH(C743))&amp;IF(WEEKDAY(C743,Inputs!$C$76)&lt;=Inputs!$C$74," weekday"," weekend"),Utility_Rates!$C$28:$F$28,Inputs!$C$68)),"")</f>
      </c>
      <c r="H743" s="34"/>
      <c r="I743" s="42">
        <f>IF(AND(ISNUMBER(D743),ISNUMBER(H743)),D743*H743*Inputs!$C$69,"")</f>
      </c>
      <c r="J743" s="42">
        <f>IF(AND(ISNUMBER(F743),ISNUMBER(H743),F743&gt;=Inputs!$C$68),F743*H743*Inputs!$C$69,"")</f>
      </c>
    </row>
    <row r="744" spans="2:10" ht="15" customHeight="1" x14ac:dyDescent="0.2">
      <c r="B744" s="39">
        <f t="shared" si="4"/>
      </c>
      <c r="C744" s="40">
        <f>IF(Inputs!$C$60,Inputs!$C$11+(B744-Inputs!$C$69)/Inputs!$C$70,"")</f>
      </c>
      <c r="D744" s="15"/>
      <c r="E744" s="15"/>
      <c r="F744" s="11">
        <f t="shared" si="5"/>
      </c>
      <c r="G744" s="22" cm="1">
        <f t="array" ref="G744">IF(AND(Inputs!$C$60,Inputs!$C$61),INDEX(Utility_Rates!$C$29:$F$52,HOUR(C744)+Inputs!$C$69,MATCH(INDEX(Utility_Rates!$K$6:$K$17,MONTH(C744))&amp;IF(WEEKDAY(C744,Inputs!$C$76)&lt;=Inputs!$C$74," weekday"," weekend"),Utility_Rates!$C$28:$F$28,Inputs!$C$68)),"")</f>
      </c>
      <c r="H744" s="34"/>
      <c r="I744" s="42">
        <f>IF(AND(ISNUMBER(D744),ISNUMBER(H744)),D744*H744*Inputs!$C$69,"")</f>
      </c>
      <c r="J744" s="42">
        <f>IF(AND(ISNUMBER(F744),ISNUMBER(H744),F744&gt;=Inputs!$C$68),F744*H744*Inputs!$C$69,"")</f>
      </c>
    </row>
    <row r="745" spans="2:10" ht="15" customHeight="1" x14ac:dyDescent="0.2">
      <c r="B745" s="39">
        <f t="shared" si="4"/>
      </c>
      <c r="C745" s="40">
        <f>IF(Inputs!$C$60,Inputs!$C$11+(B745-Inputs!$C$69)/Inputs!$C$70,"")</f>
      </c>
      <c r="D745" s="15"/>
      <c r="E745" s="15"/>
      <c r="F745" s="11">
        <f t="shared" si="5"/>
      </c>
      <c r="G745" s="22" cm="1">
        <f t="array" ref="G745">IF(AND(Inputs!$C$60,Inputs!$C$61),INDEX(Utility_Rates!$C$29:$F$52,HOUR(C745)+Inputs!$C$69,MATCH(INDEX(Utility_Rates!$K$6:$K$17,MONTH(C745))&amp;IF(WEEKDAY(C745,Inputs!$C$76)&lt;=Inputs!$C$74," weekday"," weekend"),Utility_Rates!$C$28:$F$28,Inputs!$C$68)),"")</f>
      </c>
      <c r="H745" s="34"/>
      <c r="I745" s="42">
        <f>IF(AND(ISNUMBER(D745),ISNUMBER(H745)),D745*H745*Inputs!$C$69,"")</f>
      </c>
      <c r="J745" s="42">
        <f>IF(AND(ISNUMBER(F745),ISNUMBER(H745),F745&gt;=Inputs!$C$68),F745*H745*Inputs!$C$69,"")</f>
      </c>
    </row>
    <row r="746" spans="2:10" ht="15" customHeight="1" x14ac:dyDescent="0.2">
      <c r="B746" s="39">
        <f t="shared" si="4"/>
      </c>
      <c r="C746" s="40">
        <f>IF(Inputs!$C$60,Inputs!$C$11+(B746-Inputs!$C$69)/Inputs!$C$70,"")</f>
      </c>
      <c r="D746" s="15"/>
      <c r="E746" s="15"/>
      <c r="F746" s="11">
        <f t="shared" si="5"/>
      </c>
      <c r="G746" s="22" cm="1">
        <f t="array" ref="G746">IF(AND(Inputs!$C$60,Inputs!$C$61),INDEX(Utility_Rates!$C$29:$F$52,HOUR(C746)+Inputs!$C$69,MATCH(INDEX(Utility_Rates!$K$6:$K$17,MONTH(C746))&amp;IF(WEEKDAY(C746,Inputs!$C$76)&lt;=Inputs!$C$74," weekday"," weekend"),Utility_Rates!$C$28:$F$28,Inputs!$C$68)),"")</f>
      </c>
      <c r="H746" s="34"/>
      <c r="I746" s="42">
        <f>IF(AND(ISNUMBER(D746),ISNUMBER(H746)),D746*H746*Inputs!$C$69,"")</f>
      </c>
      <c r="J746" s="42">
        <f>IF(AND(ISNUMBER(F746),ISNUMBER(H746),F746&gt;=Inputs!$C$68),F746*H746*Inputs!$C$69,"")</f>
      </c>
    </row>
    <row r="747" spans="2:10" ht="15" customHeight="1" x14ac:dyDescent="0.2">
      <c r="B747" s="39">
        <f t="shared" si="4"/>
      </c>
      <c r="C747" s="40">
        <f>IF(Inputs!$C$60,Inputs!$C$11+(B747-Inputs!$C$69)/Inputs!$C$70,"")</f>
      </c>
      <c r="D747" s="15"/>
      <c r="E747" s="15"/>
      <c r="F747" s="11">
        <f t="shared" si="5"/>
      </c>
      <c r="G747" s="22" cm="1">
        <f t="array" ref="G747">IF(AND(Inputs!$C$60,Inputs!$C$61),INDEX(Utility_Rates!$C$29:$F$52,HOUR(C747)+Inputs!$C$69,MATCH(INDEX(Utility_Rates!$K$6:$K$17,MONTH(C747))&amp;IF(WEEKDAY(C747,Inputs!$C$76)&lt;=Inputs!$C$74," weekday"," weekend"),Utility_Rates!$C$28:$F$28,Inputs!$C$68)),"")</f>
      </c>
      <c r="H747" s="34"/>
      <c r="I747" s="42">
        <f>IF(AND(ISNUMBER(D747),ISNUMBER(H747)),D747*H747*Inputs!$C$69,"")</f>
      </c>
      <c r="J747" s="42">
        <f>IF(AND(ISNUMBER(F747),ISNUMBER(H747),F747&gt;=Inputs!$C$68),F747*H747*Inputs!$C$69,"")</f>
      </c>
    </row>
    <row r="748" spans="2:10" ht="15" customHeight="1" x14ac:dyDescent="0.2">
      <c r="B748" s="39">
        <f t="shared" si="4"/>
      </c>
      <c r="C748" s="40">
        <f>IF(Inputs!$C$60,Inputs!$C$11+(B748-Inputs!$C$69)/Inputs!$C$70,"")</f>
      </c>
      <c r="D748" s="15"/>
      <c r="E748" s="15"/>
      <c r="F748" s="11">
        <f t="shared" si="5"/>
      </c>
      <c r="G748" s="22" cm="1">
        <f t="array" ref="G748">IF(AND(Inputs!$C$60,Inputs!$C$61),INDEX(Utility_Rates!$C$29:$F$52,HOUR(C748)+Inputs!$C$69,MATCH(INDEX(Utility_Rates!$K$6:$K$17,MONTH(C748))&amp;IF(WEEKDAY(C748,Inputs!$C$76)&lt;=Inputs!$C$74," weekday"," weekend"),Utility_Rates!$C$28:$F$28,Inputs!$C$68)),"")</f>
      </c>
      <c r="H748" s="34"/>
      <c r="I748" s="42">
        <f>IF(AND(ISNUMBER(D748),ISNUMBER(H748)),D748*H748*Inputs!$C$69,"")</f>
      </c>
      <c r="J748" s="42">
        <f>IF(AND(ISNUMBER(F748),ISNUMBER(H748),F748&gt;=Inputs!$C$68),F748*H748*Inputs!$C$69,"")</f>
      </c>
    </row>
    <row r="749" spans="2:10" ht="15" customHeight="1" x14ac:dyDescent="0.2">
      <c r="B749" s="39">
        <f t="shared" si="4"/>
      </c>
      <c r="C749" s="40">
        <f>IF(Inputs!$C$60,Inputs!$C$11+(B749-Inputs!$C$69)/Inputs!$C$70,"")</f>
      </c>
      <c r="D749" s="15"/>
      <c r="E749" s="15"/>
      <c r="F749" s="11">
        <f t="shared" si="5"/>
      </c>
      <c r="G749" s="22" cm="1">
        <f t="array" ref="G749">IF(AND(Inputs!$C$60,Inputs!$C$61),INDEX(Utility_Rates!$C$29:$F$52,HOUR(C749)+Inputs!$C$69,MATCH(INDEX(Utility_Rates!$K$6:$K$17,MONTH(C749))&amp;IF(WEEKDAY(C749,Inputs!$C$76)&lt;=Inputs!$C$74," weekday"," weekend"),Utility_Rates!$C$28:$F$28,Inputs!$C$68)),"")</f>
      </c>
      <c r="H749" s="34"/>
      <c r="I749" s="42">
        <f>IF(AND(ISNUMBER(D749),ISNUMBER(H749)),D749*H749*Inputs!$C$69,"")</f>
      </c>
      <c r="J749" s="42">
        <f>IF(AND(ISNUMBER(F749),ISNUMBER(H749),F749&gt;=Inputs!$C$68),F749*H749*Inputs!$C$69,"")</f>
      </c>
    </row>
    <row r="750" spans="2:10" ht="15" customHeight="1" x14ac:dyDescent="0.2">
      <c r="B750" s="39">
        <f t="shared" si="4"/>
      </c>
      <c r="C750" s="40">
        <f>IF(Inputs!$C$60,Inputs!$C$11+(B750-Inputs!$C$69)/Inputs!$C$70,"")</f>
      </c>
      <c r="D750" s="15"/>
      <c r="E750" s="15"/>
      <c r="F750" s="11">
        <f t="shared" si="5"/>
      </c>
      <c r="G750" s="22" cm="1">
        <f t="array" ref="G750">IF(AND(Inputs!$C$60,Inputs!$C$61),INDEX(Utility_Rates!$C$29:$F$52,HOUR(C750)+Inputs!$C$69,MATCH(INDEX(Utility_Rates!$K$6:$K$17,MONTH(C750))&amp;IF(WEEKDAY(C750,Inputs!$C$76)&lt;=Inputs!$C$74," weekday"," weekend"),Utility_Rates!$C$28:$F$28,Inputs!$C$68)),"")</f>
      </c>
      <c r="H750" s="34"/>
      <c r="I750" s="42">
        <f>IF(AND(ISNUMBER(D750),ISNUMBER(H750)),D750*H750*Inputs!$C$69,"")</f>
      </c>
      <c r="J750" s="42">
        <f>IF(AND(ISNUMBER(F750),ISNUMBER(H750),F750&gt;=Inputs!$C$68),F750*H750*Inputs!$C$69,"")</f>
      </c>
    </row>
    <row r="751" spans="2:10" ht="15" customHeight="1" x14ac:dyDescent="0.2">
      <c r="B751" s="39">
        <f t="shared" si="4"/>
      </c>
      <c r="C751" s="40">
        <f>IF(Inputs!$C$60,Inputs!$C$11+(B751-Inputs!$C$69)/Inputs!$C$70,"")</f>
      </c>
      <c r="D751" s="15"/>
      <c r="E751" s="15"/>
      <c r="F751" s="11">
        <f t="shared" si="5"/>
      </c>
      <c r="G751" s="22" cm="1">
        <f t="array" ref="G751">IF(AND(Inputs!$C$60,Inputs!$C$61),INDEX(Utility_Rates!$C$29:$F$52,HOUR(C751)+Inputs!$C$69,MATCH(INDEX(Utility_Rates!$K$6:$K$17,MONTH(C751))&amp;IF(WEEKDAY(C751,Inputs!$C$76)&lt;=Inputs!$C$74," weekday"," weekend"),Utility_Rates!$C$28:$F$28,Inputs!$C$68)),"")</f>
      </c>
      <c r="H751" s="34"/>
      <c r="I751" s="42">
        <f>IF(AND(ISNUMBER(D751),ISNUMBER(H751)),D751*H751*Inputs!$C$69,"")</f>
      </c>
      <c r="J751" s="42">
        <f>IF(AND(ISNUMBER(F751),ISNUMBER(H751),F751&gt;=Inputs!$C$68),F751*H751*Inputs!$C$69,"")</f>
      </c>
    </row>
    <row r="752" spans="2:10" ht="15" customHeight="1" x14ac:dyDescent="0.2">
      <c r="B752" s="39">
        <f t="shared" si="4"/>
      </c>
      <c r="C752" s="40">
        <f>IF(Inputs!$C$60,Inputs!$C$11+(B752-Inputs!$C$69)/Inputs!$C$70,"")</f>
      </c>
      <c r="D752" s="15"/>
      <c r="E752" s="15"/>
      <c r="F752" s="11">
        <f t="shared" si="5"/>
      </c>
      <c r="G752" s="22" cm="1">
        <f t="array" ref="G752">IF(AND(Inputs!$C$60,Inputs!$C$61),INDEX(Utility_Rates!$C$29:$F$52,HOUR(C752)+Inputs!$C$69,MATCH(INDEX(Utility_Rates!$K$6:$K$17,MONTH(C752))&amp;IF(WEEKDAY(C752,Inputs!$C$76)&lt;=Inputs!$C$74," weekday"," weekend"),Utility_Rates!$C$28:$F$28,Inputs!$C$68)),"")</f>
      </c>
      <c r="H752" s="34"/>
      <c r="I752" s="42">
        <f>IF(AND(ISNUMBER(D752),ISNUMBER(H752)),D752*H752*Inputs!$C$69,"")</f>
      </c>
      <c r="J752" s="42">
        <f>IF(AND(ISNUMBER(F752),ISNUMBER(H752),F752&gt;=Inputs!$C$68),F752*H752*Inputs!$C$69,"")</f>
      </c>
    </row>
    <row r="753" spans="2:10" ht="15" customHeight="1" x14ac:dyDescent="0.2">
      <c r="B753" s="39">
        <f t="shared" si="4"/>
      </c>
      <c r="C753" s="40">
        <f>IF(Inputs!$C$60,Inputs!$C$11+(B753-Inputs!$C$69)/Inputs!$C$70,"")</f>
      </c>
      <c r="D753" s="15"/>
      <c r="E753" s="15"/>
      <c r="F753" s="11">
        <f t="shared" si="5"/>
      </c>
      <c r="G753" s="22" cm="1">
        <f t="array" ref="G753">IF(AND(Inputs!$C$60,Inputs!$C$61),INDEX(Utility_Rates!$C$29:$F$52,HOUR(C753)+Inputs!$C$69,MATCH(INDEX(Utility_Rates!$K$6:$K$17,MONTH(C753))&amp;IF(WEEKDAY(C753,Inputs!$C$76)&lt;=Inputs!$C$74," weekday"," weekend"),Utility_Rates!$C$28:$F$28,Inputs!$C$68)),"")</f>
      </c>
      <c r="H753" s="34"/>
      <c r="I753" s="42">
        <f>IF(AND(ISNUMBER(D753),ISNUMBER(H753)),D753*H753*Inputs!$C$69,"")</f>
      </c>
      <c r="J753" s="42">
        <f>IF(AND(ISNUMBER(F753),ISNUMBER(H753),F753&gt;=Inputs!$C$68),F753*H753*Inputs!$C$69,"")</f>
      </c>
    </row>
    <row r="754" spans="2:10" ht="15" customHeight="1" x14ac:dyDescent="0.2">
      <c r="B754" s="39">
        <f t="shared" si="4"/>
      </c>
      <c r="C754" s="40">
        <f>IF(Inputs!$C$60,Inputs!$C$11+(B754-Inputs!$C$69)/Inputs!$C$70,"")</f>
      </c>
      <c r="D754" s="15"/>
      <c r="E754" s="15"/>
      <c r="F754" s="11">
        <f t="shared" si="5"/>
      </c>
      <c r="G754" s="22" cm="1">
        <f t="array" ref="G754">IF(AND(Inputs!$C$60,Inputs!$C$61),INDEX(Utility_Rates!$C$29:$F$52,HOUR(C754)+Inputs!$C$69,MATCH(INDEX(Utility_Rates!$K$6:$K$17,MONTH(C754))&amp;IF(WEEKDAY(C754,Inputs!$C$76)&lt;=Inputs!$C$74," weekday"," weekend"),Utility_Rates!$C$28:$F$28,Inputs!$C$68)),"")</f>
      </c>
      <c r="H754" s="34"/>
      <c r="I754" s="42">
        <f>IF(AND(ISNUMBER(D754),ISNUMBER(H754)),D754*H754*Inputs!$C$69,"")</f>
      </c>
      <c r="J754" s="42">
        <f>IF(AND(ISNUMBER(F754),ISNUMBER(H754),F754&gt;=Inputs!$C$68),F754*H754*Inputs!$C$69,"")</f>
      </c>
    </row>
    <row r="755" spans="2:10" ht="15" customHeight="1" x14ac:dyDescent="0.2">
      <c r="B755" s="39">
        <f t="shared" si="4"/>
      </c>
      <c r="C755" s="40">
        <f>IF(Inputs!$C$60,Inputs!$C$11+(B755-Inputs!$C$69)/Inputs!$C$70,"")</f>
      </c>
      <c r="D755" s="15"/>
      <c r="E755" s="15"/>
      <c r="F755" s="11">
        <f t="shared" si="5"/>
      </c>
      <c r="G755" s="22" cm="1">
        <f t="array" ref="G755">IF(AND(Inputs!$C$60,Inputs!$C$61),INDEX(Utility_Rates!$C$29:$F$52,HOUR(C755)+Inputs!$C$69,MATCH(INDEX(Utility_Rates!$K$6:$K$17,MONTH(C755))&amp;IF(WEEKDAY(C755,Inputs!$C$76)&lt;=Inputs!$C$74," weekday"," weekend"),Utility_Rates!$C$28:$F$28,Inputs!$C$68)),"")</f>
      </c>
      <c r="H755" s="34"/>
      <c r="I755" s="42">
        <f>IF(AND(ISNUMBER(D755),ISNUMBER(H755)),D755*H755*Inputs!$C$69,"")</f>
      </c>
      <c r="J755" s="42">
        <f>IF(AND(ISNUMBER(F755),ISNUMBER(H755),F755&gt;=Inputs!$C$68),F755*H755*Inputs!$C$69,"")</f>
      </c>
    </row>
    <row r="756" spans="2:10" ht="15" customHeight="1" x14ac:dyDescent="0.2">
      <c r="B756" s="39">
        <f t="shared" si="4"/>
      </c>
      <c r="C756" s="40">
        <f>IF(Inputs!$C$60,Inputs!$C$11+(B756-Inputs!$C$69)/Inputs!$C$70,"")</f>
      </c>
      <c r="D756" s="15"/>
      <c r="E756" s="15"/>
      <c r="F756" s="11">
        <f t="shared" si="5"/>
      </c>
      <c r="G756" s="22" cm="1">
        <f t="array" ref="G756">IF(AND(Inputs!$C$60,Inputs!$C$61),INDEX(Utility_Rates!$C$29:$F$52,HOUR(C756)+Inputs!$C$69,MATCH(INDEX(Utility_Rates!$K$6:$K$17,MONTH(C756))&amp;IF(WEEKDAY(C756,Inputs!$C$76)&lt;=Inputs!$C$74," weekday"," weekend"),Utility_Rates!$C$28:$F$28,Inputs!$C$68)),"")</f>
      </c>
      <c r="H756" s="34"/>
      <c r="I756" s="42">
        <f>IF(AND(ISNUMBER(D756),ISNUMBER(H756)),D756*H756*Inputs!$C$69,"")</f>
      </c>
      <c r="J756" s="42">
        <f>IF(AND(ISNUMBER(F756),ISNUMBER(H756),F756&gt;=Inputs!$C$68),F756*H756*Inputs!$C$69,"")</f>
      </c>
    </row>
    <row r="757" spans="2:10" ht="15" customHeight="1" x14ac:dyDescent="0.2">
      <c r="B757" s="39">
        <f t="shared" si="4"/>
      </c>
      <c r="C757" s="40">
        <f>IF(Inputs!$C$60,Inputs!$C$11+(B757-Inputs!$C$69)/Inputs!$C$70,"")</f>
      </c>
      <c r="D757" s="15"/>
      <c r="E757" s="15"/>
      <c r="F757" s="11">
        <f t="shared" si="5"/>
      </c>
      <c r="G757" s="22" cm="1">
        <f t="array" ref="G757">IF(AND(Inputs!$C$60,Inputs!$C$61),INDEX(Utility_Rates!$C$29:$F$52,HOUR(C757)+Inputs!$C$69,MATCH(INDEX(Utility_Rates!$K$6:$K$17,MONTH(C757))&amp;IF(WEEKDAY(C757,Inputs!$C$76)&lt;=Inputs!$C$74," weekday"," weekend"),Utility_Rates!$C$28:$F$28,Inputs!$C$68)),"")</f>
      </c>
      <c r="H757" s="34"/>
      <c r="I757" s="42">
        <f>IF(AND(ISNUMBER(D757),ISNUMBER(H757)),D757*H757*Inputs!$C$69,"")</f>
      </c>
      <c r="J757" s="42">
        <f>IF(AND(ISNUMBER(F757),ISNUMBER(H757),F757&gt;=Inputs!$C$68),F757*H757*Inputs!$C$69,"")</f>
      </c>
    </row>
    <row r="758" spans="2:10" ht="15" customHeight="1" x14ac:dyDescent="0.2">
      <c r="B758" s="39">
        <f t="shared" si="4"/>
      </c>
      <c r="C758" s="40">
        <f>IF(Inputs!$C$60,Inputs!$C$11+(B758-Inputs!$C$69)/Inputs!$C$70,"")</f>
      </c>
      <c r="D758" s="15"/>
      <c r="E758" s="15"/>
      <c r="F758" s="11">
        <f t="shared" si="5"/>
      </c>
      <c r="G758" s="22" cm="1">
        <f t="array" ref="G758">IF(AND(Inputs!$C$60,Inputs!$C$61),INDEX(Utility_Rates!$C$29:$F$52,HOUR(C758)+Inputs!$C$69,MATCH(INDEX(Utility_Rates!$K$6:$K$17,MONTH(C758))&amp;IF(WEEKDAY(C758,Inputs!$C$76)&lt;=Inputs!$C$74," weekday"," weekend"),Utility_Rates!$C$28:$F$28,Inputs!$C$68)),"")</f>
      </c>
      <c r="H758" s="34"/>
      <c r="I758" s="42">
        <f>IF(AND(ISNUMBER(D758),ISNUMBER(H758)),D758*H758*Inputs!$C$69,"")</f>
      </c>
      <c r="J758" s="42">
        <f>IF(AND(ISNUMBER(F758),ISNUMBER(H758),F758&gt;=Inputs!$C$68),F758*H758*Inputs!$C$69,"")</f>
      </c>
    </row>
    <row r="759" spans="2:10" ht="15" customHeight="1" x14ac:dyDescent="0.2">
      <c r="B759" s="39">
        <f t="shared" si="4"/>
      </c>
      <c r="C759" s="40">
        <f>IF(Inputs!$C$60,Inputs!$C$11+(B759-Inputs!$C$69)/Inputs!$C$70,"")</f>
      </c>
      <c r="D759" s="15"/>
      <c r="E759" s="15"/>
      <c r="F759" s="11">
        <f t="shared" si="5"/>
      </c>
      <c r="G759" s="22" cm="1">
        <f t="array" ref="G759">IF(AND(Inputs!$C$60,Inputs!$C$61),INDEX(Utility_Rates!$C$29:$F$52,HOUR(C759)+Inputs!$C$69,MATCH(INDEX(Utility_Rates!$K$6:$K$17,MONTH(C759))&amp;IF(WEEKDAY(C759,Inputs!$C$76)&lt;=Inputs!$C$74," weekday"," weekend"),Utility_Rates!$C$28:$F$28,Inputs!$C$68)),"")</f>
      </c>
      <c r="H759" s="34"/>
      <c r="I759" s="42">
        <f>IF(AND(ISNUMBER(D759),ISNUMBER(H759)),D759*H759*Inputs!$C$69,"")</f>
      </c>
      <c r="J759" s="42">
        <f>IF(AND(ISNUMBER(F759),ISNUMBER(H759),F759&gt;=Inputs!$C$68),F759*H759*Inputs!$C$69,"")</f>
      </c>
    </row>
    <row r="760" spans="2:10" ht="15" customHeight="1" x14ac:dyDescent="0.2">
      <c r="B760" s="39">
        <f t="shared" si="4"/>
      </c>
      <c r="C760" s="40">
        <f>IF(Inputs!$C$60,Inputs!$C$11+(B760-Inputs!$C$69)/Inputs!$C$70,"")</f>
      </c>
      <c r="D760" s="15"/>
      <c r="E760" s="15"/>
      <c r="F760" s="11">
        <f t="shared" si="5"/>
      </c>
      <c r="G760" s="22" cm="1">
        <f t="array" ref="G760">IF(AND(Inputs!$C$60,Inputs!$C$61),INDEX(Utility_Rates!$C$29:$F$52,HOUR(C760)+Inputs!$C$69,MATCH(INDEX(Utility_Rates!$K$6:$K$17,MONTH(C760))&amp;IF(WEEKDAY(C760,Inputs!$C$76)&lt;=Inputs!$C$74," weekday"," weekend"),Utility_Rates!$C$28:$F$28,Inputs!$C$68)),"")</f>
      </c>
      <c r="H760" s="34"/>
      <c r="I760" s="42">
        <f>IF(AND(ISNUMBER(D760),ISNUMBER(H760)),D760*H760*Inputs!$C$69,"")</f>
      </c>
      <c r="J760" s="42">
        <f>IF(AND(ISNUMBER(F760),ISNUMBER(H760),F760&gt;=Inputs!$C$68),F760*H760*Inputs!$C$69,"")</f>
      </c>
    </row>
    <row r="761" spans="2:10" ht="15" customHeight="1" x14ac:dyDescent="0.2">
      <c r="B761" s="39">
        <f t="shared" si="4"/>
      </c>
      <c r="C761" s="40">
        <f>IF(Inputs!$C$60,Inputs!$C$11+(B761-Inputs!$C$69)/Inputs!$C$70,"")</f>
      </c>
      <c r="D761" s="15"/>
      <c r="E761" s="15"/>
      <c r="F761" s="11">
        <f t="shared" si="5"/>
      </c>
      <c r="G761" s="22" cm="1">
        <f t="array" ref="G761">IF(AND(Inputs!$C$60,Inputs!$C$61),INDEX(Utility_Rates!$C$29:$F$52,HOUR(C761)+Inputs!$C$69,MATCH(INDEX(Utility_Rates!$K$6:$K$17,MONTH(C761))&amp;IF(WEEKDAY(C761,Inputs!$C$76)&lt;=Inputs!$C$74," weekday"," weekend"),Utility_Rates!$C$28:$F$28,Inputs!$C$68)),"")</f>
      </c>
      <c r="H761" s="34"/>
      <c r="I761" s="42">
        <f>IF(AND(ISNUMBER(D761),ISNUMBER(H761)),D761*H761*Inputs!$C$69,"")</f>
      </c>
      <c r="J761" s="42">
        <f>IF(AND(ISNUMBER(F761),ISNUMBER(H761),F761&gt;=Inputs!$C$68),F761*H761*Inputs!$C$69,"")</f>
      </c>
    </row>
    <row r="762" spans="2:10" ht="15" customHeight="1" x14ac:dyDescent="0.2">
      <c r="B762" s="39">
        <f t="shared" si="4"/>
      </c>
      <c r="C762" s="40">
        <f>IF(Inputs!$C$60,Inputs!$C$11+(B762-Inputs!$C$69)/Inputs!$C$70,"")</f>
      </c>
      <c r="D762" s="15"/>
      <c r="E762" s="15"/>
      <c r="F762" s="11">
        <f t="shared" si="5"/>
      </c>
      <c r="G762" s="22" cm="1">
        <f t="array" ref="G762">IF(AND(Inputs!$C$60,Inputs!$C$61),INDEX(Utility_Rates!$C$29:$F$52,HOUR(C762)+Inputs!$C$69,MATCH(INDEX(Utility_Rates!$K$6:$K$17,MONTH(C762))&amp;IF(WEEKDAY(C762,Inputs!$C$76)&lt;=Inputs!$C$74," weekday"," weekend"),Utility_Rates!$C$28:$F$28,Inputs!$C$68)),"")</f>
      </c>
      <c r="H762" s="34"/>
      <c r="I762" s="42">
        <f>IF(AND(ISNUMBER(D762),ISNUMBER(H762)),D762*H762*Inputs!$C$69,"")</f>
      </c>
      <c r="J762" s="42">
        <f>IF(AND(ISNUMBER(F762),ISNUMBER(H762),F762&gt;=Inputs!$C$68),F762*H762*Inputs!$C$69,"")</f>
      </c>
    </row>
    <row r="763" spans="2:10" ht="15" customHeight="1" x14ac:dyDescent="0.2">
      <c r="B763" s="39">
        <f t="shared" si="4"/>
      </c>
      <c r="C763" s="40">
        <f>IF(Inputs!$C$60,Inputs!$C$11+(B763-Inputs!$C$69)/Inputs!$C$70,"")</f>
      </c>
      <c r="D763" s="15"/>
      <c r="E763" s="15"/>
      <c r="F763" s="11">
        <f t="shared" si="5"/>
      </c>
      <c r="G763" s="22" cm="1">
        <f t="array" ref="G763">IF(AND(Inputs!$C$60,Inputs!$C$61),INDEX(Utility_Rates!$C$29:$F$52,HOUR(C763)+Inputs!$C$69,MATCH(INDEX(Utility_Rates!$K$6:$K$17,MONTH(C763))&amp;IF(WEEKDAY(C763,Inputs!$C$76)&lt;=Inputs!$C$74," weekday"," weekend"),Utility_Rates!$C$28:$F$28,Inputs!$C$68)),"")</f>
      </c>
      <c r="H763" s="34"/>
      <c r="I763" s="42">
        <f>IF(AND(ISNUMBER(D763),ISNUMBER(H763)),D763*H763*Inputs!$C$69,"")</f>
      </c>
      <c r="J763" s="42">
        <f>IF(AND(ISNUMBER(F763),ISNUMBER(H763),F763&gt;=Inputs!$C$68),F763*H763*Inputs!$C$69,"")</f>
      </c>
    </row>
    <row r="764" spans="2:10" ht="15" customHeight="1" x14ac:dyDescent="0.2">
      <c r="B764" s="39">
        <f t="shared" si="4"/>
      </c>
      <c r="C764" s="40">
        <f>IF(Inputs!$C$60,Inputs!$C$11+(B764-Inputs!$C$69)/Inputs!$C$70,"")</f>
      </c>
      <c r="D764" s="15"/>
      <c r="E764" s="15"/>
      <c r="F764" s="11">
        <f t="shared" si="5"/>
      </c>
      <c r="G764" s="22" cm="1">
        <f t="array" ref="G764">IF(AND(Inputs!$C$60,Inputs!$C$61),INDEX(Utility_Rates!$C$29:$F$52,HOUR(C764)+Inputs!$C$69,MATCH(INDEX(Utility_Rates!$K$6:$K$17,MONTH(C764))&amp;IF(WEEKDAY(C764,Inputs!$C$76)&lt;=Inputs!$C$74," weekday"," weekend"),Utility_Rates!$C$28:$F$28,Inputs!$C$68)),"")</f>
      </c>
      <c r="H764" s="34"/>
      <c r="I764" s="42">
        <f>IF(AND(ISNUMBER(D764),ISNUMBER(H764)),D764*H764*Inputs!$C$69,"")</f>
      </c>
      <c r="J764" s="42">
        <f>IF(AND(ISNUMBER(F764),ISNUMBER(H764),F764&gt;=Inputs!$C$68),F764*H764*Inputs!$C$69,"")</f>
      </c>
    </row>
    <row r="765" spans="2:10" ht="15" customHeight="1" x14ac:dyDescent="0.2">
      <c r="B765" s="39">
        <f t="shared" si="4"/>
      </c>
      <c r="C765" s="40">
        <f>IF(Inputs!$C$60,Inputs!$C$11+(B765-Inputs!$C$69)/Inputs!$C$70,"")</f>
      </c>
      <c r="D765" s="15"/>
      <c r="E765" s="15"/>
      <c r="F765" s="11">
        <f t="shared" si="5"/>
      </c>
      <c r="G765" s="22" cm="1">
        <f t="array" ref="G765">IF(AND(Inputs!$C$60,Inputs!$C$61),INDEX(Utility_Rates!$C$29:$F$52,HOUR(C765)+Inputs!$C$69,MATCH(INDEX(Utility_Rates!$K$6:$K$17,MONTH(C765))&amp;IF(WEEKDAY(C765,Inputs!$C$76)&lt;=Inputs!$C$74," weekday"," weekend"),Utility_Rates!$C$28:$F$28,Inputs!$C$68)),"")</f>
      </c>
      <c r="H765" s="34"/>
      <c r="I765" s="42">
        <f>IF(AND(ISNUMBER(D765),ISNUMBER(H765)),D765*H765*Inputs!$C$69,"")</f>
      </c>
      <c r="J765" s="42">
        <f>IF(AND(ISNUMBER(F765),ISNUMBER(H765),F765&gt;=Inputs!$C$68),F765*H765*Inputs!$C$69,"")</f>
      </c>
    </row>
    <row r="766" spans="2:10" ht="15" customHeight="1" x14ac:dyDescent="0.2">
      <c r="B766" s="39">
        <f t="shared" si="4"/>
      </c>
      <c r="C766" s="40">
        <f>IF(Inputs!$C$60,Inputs!$C$11+(B766-Inputs!$C$69)/Inputs!$C$70,"")</f>
      </c>
      <c r="D766" s="15"/>
      <c r="E766" s="15"/>
      <c r="F766" s="11">
        <f t="shared" si="5"/>
      </c>
      <c r="G766" s="22" cm="1">
        <f t="array" ref="G766">IF(AND(Inputs!$C$60,Inputs!$C$61),INDEX(Utility_Rates!$C$29:$F$52,HOUR(C766)+Inputs!$C$69,MATCH(INDEX(Utility_Rates!$K$6:$K$17,MONTH(C766))&amp;IF(WEEKDAY(C766,Inputs!$C$76)&lt;=Inputs!$C$74," weekday"," weekend"),Utility_Rates!$C$28:$F$28,Inputs!$C$68)),"")</f>
      </c>
      <c r="H766" s="34"/>
      <c r="I766" s="42">
        <f>IF(AND(ISNUMBER(D766),ISNUMBER(H766)),D766*H766*Inputs!$C$69,"")</f>
      </c>
      <c r="J766" s="42">
        <f>IF(AND(ISNUMBER(F766),ISNUMBER(H766),F766&gt;=Inputs!$C$68),F766*H766*Inputs!$C$69,"")</f>
      </c>
    </row>
    <row r="767" spans="2:10" ht="15" customHeight="1" x14ac:dyDescent="0.2">
      <c r="B767" s="39">
        <f t="shared" si="4"/>
      </c>
      <c r="C767" s="40">
        <f>IF(Inputs!$C$60,Inputs!$C$11+(B767-Inputs!$C$69)/Inputs!$C$70,"")</f>
      </c>
      <c r="D767" s="15"/>
      <c r="E767" s="15"/>
      <c r="F767" s="11">
        <f t="shared" si="5"/>
      </c>
      <c r="G767" s="22" cm="1">
        <f t="array" ref="G767">IF(AND(Inputs!$C$60,Inputs!$C$61),INDEX(Utility_Rates!$C$29:$F$52,HOUR(C767)+Inputs!$C$69,MATCH(INDEX(Utility_Rates!$K$6:$K$17,MONTH(C767))&amp;IF(WEEKDAY(C767,Inputs!$C$76)&lt;=Inputs!$C$74," weekday"," weekend"),Utility_Rates!$C$28:$F$28,Inputs!$C$68)),"")</f>
      </c>
      <c r="H767" s="34"/>
      <c r="I767" s="42">
        <f>IF(AND(ISNUMBER(D767),ISNUMBER(H767)),D767*H767*Inputs!$C$69,"")</f>
      </c>
      <c r="J767" s="42">
        <f>IF(AND(ISNUMBER(F767),ISNUMBER(H767),F767&gt;=Inputs!$C$68),F767*H767*Inputs!$C$69,"")</f>
      </c>
    </row>
    <row r="768" spans="2:10" ht="15" customHeight="1" x14ac:dyDescent="0.2">
      <c r="B768" s="39">
        <f t="shared" si="4"/>
      </c>
      <c r="C768" s="40">
        <f>IF(Inputs!$C$60,Inputs!$C$11+(B768-Inputs!$C$69)/Inputs!$C$70,"")</f>
      </c>
      <c r="D768" s="15"/>
      <c r="E768" s="15"/>
      <c r="F768" s="11">
        <f t="shared" si="5"/>
      </c>
      <c r="G768" s="22" cm="1">
        <f t="array" ref="G768">IF(AND(Inputs!$C$60,Inputs!$C$61),INDEX(Utility_Rates!$C$29:$F$52,HOUR(C768)+Inputs!$C$69,MATCH(INDEX(Utility_Rates!$K$6:$K$17,MONTH(C768))&amp;IF(WEEKDAY(C768,Inputs!$C$76)&lt;=Inputs!$C$74," weekday"," weekend"),Utility_Rates!$C$28:$F$28,Inputs!$C$68)),"")</f>
      </c>
      <c r="H768" s="34"/>
      <c r="I768" s="42">
        <f>IF(AND(ISNUMBER(D768),ISNUMBER(H768)),D768*H768*Inputs!$C$69,"")</f>
      </c>
      <c r="J768" s="42">
        <f>IF(AND(ISNUMBER(F768),ISNUMBER(H768),F768&gt;=Inputs!$C$68),F768*H768*Inputs!$C$69,"")</f>
      </c>
    </row>
    <row r="769" spans="2:10" ht="15" customHeight="1" x14ac:dyDescent="0.2">
      <c r="B769" s="39">
        <f t="shared" si="4"/>
      </c>
      <c r="C769" s="40">
        <f>IF(Inputs!$C$60,Inputs!$C$11+(B769-Inputs!$C$69)/Inputs!$C$70,"")</f>
      </c>
      <c r="D769" s="15"/>
      <c r="E769" s="15"/>
      <c r="F769" s="11">
        <f t="shared" si="5"/>
      </c>
      <c r="G769" s="22" cm="1">
        <f t="array" ref="G769">IF(AND(Inputs!$C$60,Inputs!$C$61),INDEX(Utility_Rates!$C$29:$F$52,HOUR(C769)+Inputs!$C$69,MATCH(INDEX(Utility_Rates!$K$6:$K$17,MONTH(C769))&amp;IF(WEEKDAY(C769,Inputs!$C$76)&lt;=Inputs!$C$74," weekday"," weekend"),Utility_Rates!$C$28:$F$28,Inputs!$C$68)),"")</f>
      </c>
      <c r="H769" s="34"/>
      <c r="I769" s="42">
        <f>IF(AND(ISNUMBER(D769),ISNUMBER(H769)),D769*H769*Inputs!$C$69,"")</f>
      </c>
      <c r="J769" s="42">
        <f>IF(AND(ISNUMBER(F769),ISNUMBER(H769),F769&gt;=Inputs!$C$68),F769*H769*Inputs!$C$69,"")</f>
      </c>
    </row>
    <row r="770" spans="2:10" ht="15" customHeight="1" x14ac:dyDescent="0.2">
      <c r="B770" s="39">
        <f t="shared" si="4"/>
      </c>
      <c r="C770" s="40">
        <f>IF(Inputs!$C$60,Inputs!$C$11+(B770-Inputs!$C$69)/Inputs!$C$70,"")</f>
      </c>
      <c r="D770" s="15"/>
      <c r="E770" s="15"/>
      <c r="F770" s="11">
        <f t="shared" si="5"/>
      </c>
      <c r="G770" s="22" cm="1">
        <f t="array" ref="G770">IF(AND(Inputs!$C$60,Inputs!$C$61),INDEX(Utility_Rates!$C$29:$F$52,HOUR(C770)+Inputs!$C$69,MATCH(INDEX(Utility_Rates!$K$6:$K$17,MONTH(C770))&amp;IF(WEEKDAY(C770,Inputs!$C$76)&lt;=Inputs!$C$74," weekday"," weekend"),Utility_Rates!$C$28:$F$28,Inputs!$C$68)),"")</f>
      </c>
      <c r="H770" s="34"/>
      <c r="I770" s="42">
        <f>IF(AND(ISNUMBER(D770),ISNUMBER(H770)),D770*H770*Inputs!$C$69,"")</f>
      </c>
      <c r="J770" s="42">
        <f>IF(AND(ISNUMBER(F770),ISNUMBER(H770),F770&gt;=Inputs!$C$68),F770*H770*Inputs!$C$69,"")</f>
      </c>
    </row>
    <row r="771" spans="2:10" ht="15" customHeight="1" x14ac:dyDescent="0.2">
      <c r="B771" s="39">
        <f t="shared" ref="B771:B1025" si="6">ROW()-ROW($B$5)</f>
      </c>
      <c r="C771" s="40">
        <f>IF(Inputs!$C$60,Inputs!$C$11+(B771-Inputs!$C$69)/Inputs!$C$70,"")</f>
      </c>
      <c r="D771" s="15"/>
      <c r="E771" s="15"/>
      <c r="F771" s="11">
        <f t="shared" ref="F771:F1025" si="7">IF(COUNT(D771:E771)=COLUMNS(D771:E771),D771-E771,"")</f>
      </c>
      <c r="G771" s="22" cm="1">
        <f t="array" ref="G771">IF(AND(Inputs!$C$60,Inputs!$C$61),INDEX(Utility_Rates!$C$29:$F$52,HOUR(C771)+Inputs!$C$69,MATCH(INDEX(Utility_Rates!$K$6:$K$17,MONTH(C771))&amp;IF(WEEKDAY(C771,Inputs!$C$76)&lt;=Inputs!$C$74," weekday"," weekend"),Utility_Rates!$C$28:$F$28,Inputs!$C$68)),"")</f>
      </c>
      <c r="H771" s="34"/>
      <c r="I771" s="42">
        <f>IF(AND(ISNUMBER(D771),ISNUMBER(H771)),D771*H771*Inputs!$C$69,"")</f>
      </c>
      <c r="J771" s="42">
        <f>IF(AND(ISNUMBER(F771),ISNUMBER(H771),F771&gt;=Inputs!$C$68),F771*H771*Inputs!$C$69,"")</f>
      </c>
    </row>
    <row r="772" spans="2:10" ht="15" customHeight="1" x14ac:dyDescent="0.2">
      <c r="B772" s="39">
        <f t="shared" si="6"/>
      </c>
      <c r="C772" s="40">
        <f>IF(Inputs!$C$60,Inputs!$C$11+(B772-Inputs!$C$69)/Inputs!$C$70,"")</f>
      </c>
      <c r="D772" s="15"/>
      <c r="E772" s="15"/>
      <c r="F772" s="11">
        <f t="shared" si="7"/>
      </c>
      <c r="G772" s="22" cm="1">
        <f t="array" ref="G772">IF(AND(Inputs!$C$60,Inputs!$C$61),INDEX(Utility_Rates!$C$29:$F$52,HOUR(C772)+Inputs!$C$69,MATCH(INDEX(Utility_Rates!$K$6:$K$17,MONTH(C772))&amp;IF(WEEKDAY(C772,Inputs!$C$76)&lt;=Inputs!$C$74," weekday"," weekend"),Utility_Rates!$C$28:$F$28,Inputs!$C$68)),"")</f>
      </c>
      <c r="H772" s="34"/>
      <c r="I772" s="42">
        <f>IF(AND(ISNUMBER(D772),ISNUMBER(H772)),D772*H772*Inputs!$C$69,"")</f>
      </c>
      <c r="J772" s="42">
        <f>IF(AND(ISNUMBER(F772),ISNUMBER(H772),F772&gt;=Inputs!$C$68),F772*H772*Inputs!$C$69,"")</f>
      </c>
    </row>
    <row r="773" spans="2:10" ht="15" customHeight="1" x14ac:dyDescent="0.2">
      <c r="B773" s="39">
        <f t="shared" si="6"/>
      </c>
      <c r="C773" s="40">
        <f>IF(Inputs!$C$60,Inputs!$C$11+(B773-Inputs!$C$69)/Inputs!$C$70,"")</f>
      </c>
      <c r="D773" s="15"/>
      <c r="E773" s="15"/>
      <c r="F773" s="11">
        <f t="shared" si="7"/>
      </c>
      <c r="G773" s="22" cm="1">
        <f t="array" ref="G773">IF(AND(Inputs!$C$60,Inputs!$C$61),INDEX(Utility_Rates!$C$29:$F$52,HOUR(C773)+Inputs!$C$69,MATCH(INDEX(Utility_Rates!$K$6:$K$17,MONTH(C773))&amp;IF(WEEKDAY(C773,Inputs!$C$76)&lt;=Inputs!$C$74," weekday"," weekend"),Utility_Rates!$C$28:$F$28,Inputs!$C$68)),"")</f>
      </c>
      <c r="H773" s="34"/>
      <c r="I773" s="42">
        <f>IF(AND(ISNUMBER(D773),ISNUMBER(H773)),D773*H773*Inputs!$C$69,"")</f>
      </c>
      <c r="J773" s="42">
        <f>IF(AND(ISNUMBER(F773),ISNUMBER(H773),F773&gt;=Inputs!$C$68),F773*H773*Inputs!$C$69,"")</f>
      </c>
    </row>
    <row r="774" spans="2:10" ht="15" customHeight="1" x14ac:dyDescent="0.2">
      <c r="B774" s="39">
        <f t="shared" si="6"/>
      </c>
      <c r="C774" s="40">
        <f>IF(Inputs!$C$60,Inputs!$C$11+(B774-Inputs!$C$69)/Inputs!$C$70,"")</f>
      </c>
      <c r="D774" s="15"/>
      <c r="E774" s="15"/>
      <c r="F774" s="11">
        <f t="shared" si="7"/>
      </c>
      <c r="G774" s="22" cm="1">
        <f t="array" ref="G774">IF(AND(Inputs!$C$60,Inputs!$C$61),INDEX(Utility_Rates!$C$29:$F$52,HOUR(C774)+Inputs!$C$69,MATCH(INDEX(Utility_Rates!$K$6:$K$17,MONTH(C774))&amp;IF(WEEKDAY(C774,Inputs!$C$76)&lt;=Inputs!$C$74," weekday"," weekend"),Utility_Rates!$C$28:$F$28,Inputs!$C$68)),"")</f>
      </c>
      <c r="H774" s="34"/>
      <c r="I774" s="42">
        <f>IF(AND(ISNUMBER(D774),ISNUMBER(H774)),D774*H774*Inputs!$C$69,"")</f>
      </c>
      <c r="J774" s="42">
        <f>IF(AND(ISNUMBER(F774),ISNUMBER(H774),F774&gt;=Inputs!$C$68),F774*H774*Inputs!$C$69,"")</f>
      </c>
    </row>
    <row r="775" spans="2:10" ht="15" customHeight="1" x14ac:dyDescent="0.2">
      <c r="B775" s="39">
        <f t="shared" si="6"/>
      </c>
      <c r="C775" s="40">
        <f>IF(Inputs!$C$60,Inputs!$C$11+(B775-Inputs!$C$69)/Inputs!$C$70,"")</f>
      </c>
      <c r="D775" s="15"/>
      <c r="E775" s="15"/>
      <c r="F775" s="11">
        <f t="shared" si="7"/>
      </c>
      <c r="G775" s="22" cm="1">
        <f t="array" ref="G775">IF(AND(Inputs!$C$60,Inputs!$C$61),INDEX(Utility_Rates!$C$29:$F$52,HOUR(C775)+Inputs!$C$69,MATCH(INDEX(Utility_Rates!$K$6:$K$17,MONTH(C775))&amp;IF(WEEKDAY(C775,Inputs!$C$76)&lt;=Inputs!$C$74," weekday"," weekend"),Utility_Rates!$C$28:$F$28,Inputs!$C$68)),"")</f>
      </c>
      <c r="H775" s="34"/>
      <c r="I775" s="42">
        <f>IF(AND(ISNUMBER(D775),ISNUMBER(H775)),D775*H775*Inputs!$C$69,"")</f>
      </c>
      <c r="J775" s="42">
        <f>IF(AND(ISNUMBER(F775),ISNUMBER(H775),F775&gt;=Inputs!$C$68),F775*H775*Inputs!$C$69,"")</f>
      </c>
    </row>
    <row r="776" spans="2:10" ht="15" customHeight="1" x14ac:dyDescent="0.2">
      <c r="B776" s="39">
        <f t="shared" si="6"/>
      </c>
      <c r="C776" s="40">
        <f>IF(Inputs!$C$60,Inputs!$C$11+(B776-Inputs!$C$69)/Inputs!$C$70,"")</f>
      </c>
      <c r="D776" s="15"/>
      <c r="E776" s="15"/>
      <c r="F776" s="11">
        <f t="shared" si="7"/>
      </c>
      <c r="G776" s="22" cm="1">
        <f t="array" ref="G776">IF(AND(Inputs!$C$60,Inputs!$C$61),INDEX(Utility_Rates!$C$29:$F$52,HOUR(C776)+Inputs!$C$69,MATCH(INDEX(Utility_Rates!$K$6:$K$17,MONTH(C776))&amp;IF(WEEKDAY(C776,Inputs!$C$76)&lt;=Inputs!$C$74," weekday"," weekend"),Utility_Rates!$C$28:$F$28,Inputs!$C$68)),"")</f>
      </c>
      <c r="H776" s="34"/>
      <c r="I776" s="42">
        <f>IF(AND(ISNUMBER(D776),ISNUMBER(H776)),D776*H776*Inputs!$C$69,"")</f>
      </c>
      <c r="J776" s="42">
        <f>IF(AND(ISNUMBER(F776),ISNUMBER(H776),F776&gt;=Inputs!$C$68),F776*H776*Inputs!$C$69,"")</f>
      </c>
    </row>
    <row r="777" spans="2:10" ht="15" customHeight="1" x14ac:dyDescent="0.2">
      <c r="B777" s="39">
        <f t="shared" si="6"/>
      </c>
      <c r="C777" s="40">
        <f>IF(Inputs!$C$60,Inputs!$C$11+(B777-Inputs!$C$69)/Inputs!$C$70,"")</f>
      </c>
      <c r="D777" s="15"/>
      <c r="E777" s="15"/>
      <c r="F777" s="11">
        <f t="shared" si="7"/>
      </c>
      <c r="G777" s="22" cm="1">
        <f t="array" ref="G777">IF(AND(Inputs!$C$60,Inputs!$C$61),INDEX(Utility_Rates!$C$29:$F$52,HOUR(C777)+Inputs!$C$69,MATCH(INDEX(Utility_Rates!$K$6:$K$17,MONTH(C777))&amp;IF(WEEKDAY(C777,Inputs!$C$76)&lt;=Inputs!$C$74," weekday"," weekend"),Utility_Rates!$C$28:$F$28,Inputs!$C$68)),"")</f>
      </c>
      <c r="H777" s="34"/>
      <c r="I777" s="42">
        <f>IF(AND(ISNUMBER(D777),ISNUMBER(H777)),D777*H777*Inputs!$C$69,"")</f>
      </c>
      <c r="J777" s="42">
        <f>IF(AND(ISNUMBER(F777),ISNUMBER(H777),F777&gt;=Inputs!$C$68),F777*H777*Inputs!$C$69,"")</f>
      </c>
    </row>
    <row r="778" spans="2:10" ht="15" customHeight="1" x14ac:dyDescent="0.2">
      <c r="B778" s="39">
        <f t="shared" si="6"/>
      </c>
      <c r="C778" s="40">
        <f>IF(Inputs!$C$60,Inputs!$C$11+(B778-Inputs!$C$69)/Inputs!$C$70,"")</f>
      </c>
      <c r="D778" s="15"/>
      <c r="E778" s="15"/>
      <c r="F778" s="11">
        <f t="shared" si="7"/>
      </c>
      <c r="G778" s="22" cm="1">
        <f t="array" ref="G778">IF(AND(Inputs!$C$60,Inputs!$C$61),INDEX(Utility_Rates!$C$29:$F$52,HOUR(C778)+Inputs!$C$69,MATCH(INDEX(Utility_Rates!$K$6:$K$17,MONTH(C778))&amp;IF(WEEKDAY(C778,Inputs!$C$76)&lt;=Inputs!$C$74," weekday"," weekend"),Utility_Rates!$C$28:$F$28,Inputs!$C$68)),"")</f>
      </c>
      <c r="H778" s="34"/>
      <c r="I778" s="42">
        <f>IF(AND(ISNUMBER(D778),ISNUMBER(H778)),D778*H778*Inputs!$C$69,"")</f>
      </c>
      <c r="J778" s="42">
        <f>IF(AND(ISNUMBER(F778),ISNUMBER(H778),F778&gt;=Inputs!$C$68),F778*H778*Inputs!$C$69,"")</f>
      </c>
    </row>
    <row r="779" spans="2:10" ht="15" customHeight="1" x14ac:dyDescent="0.2">
      <c r="B779" s="39">
        <f t="shared" si="6"/>
      </c>
      <c r="C779" s="40">
        <f>IF(Inputs!$C$60,Inputs!$C$11+(B779-Inputs!$C$69)/Inputs!$C$70,"")</f>
      </c>
      <c r="D779" s="15"/>
      <c r="E779" s="15"/>
      <c r="F779" s="11">
        <f t="shared" si="7"/>
      </c>
      <c r="G779" s="22" cm="1">
        <f t="array" ref="G779">IF(AND(Inputs!$C$60,Inputs!$C$61),INDEX(Utility_Rates!$C$29:$F$52,HOUR(C779)+Inputs!$C$69,MATCH(INDEX(Utility_Rates!$K$6:$K$17,MONTH(C779))&amp;IF(WEEKDAY(C779,Inputs!$C$76)&lt;=Inputs!$C$74," weekday"," weekend"),Utility_Rates!$C$28:$F$28,Inputs!$C$68)),"")</f>
      </c>
      <c r="H779" s="34"/>
      <c r="I779" s="42">
        <f>IF(AND(ISNUMBER(D779),ISNUMBER(H779)),D779*H779*Inputs!$C$69,"")</f>
      </c>
      <c r="J779" s="42">
        <f>IF(AND(ISNUMBER(F779),ISNUMBER(H779),F779&gt;=Inputs!$C$68),F779*H779*Inputs!$C$69,"")</f>
      </c>
    </row>
    <row r="780" spans="2:10" ht="15" customHeight="1" x14ac:dyDescent="0.2">
      <c r="B780" s="39">
        <f t="shared" si="6"/>
      </c>
      <c r="C780" s="40">
        <f>IF(Inputs!$C$60,Inputs!$C$11+(B780-Inputs!$C$69)/Inputs!$C$70,"")</f>
      </c>
      <c r="D780" s="15"/>
      <c r="E780" s="15"/>
      <c r="F780" s="11">
        <f t="shared" si="7"/>
      </c>
      <c r="G780" s="22" cm="1">
        <f t="array" ref="G780">IF(AND(Inputs!$C$60,Inputs!$C$61),INDEX(Utility_Rates!$C$29:$F$52,HOUR(C780)+Inputs!$C$69,MATCH(INDEX(Utility_Rates!$K$6:$K$17,MONTH(C780))&amp;IF(WEEKDAY(C780,Inputs!$C$76)&lt;=Inputs!$C$74," weekday"," weekend"),Utility_Rates!$C$28:$F$28,Inputs!$C$68)),"")</f>
      </c>
      <c r="H780" s="34"/>
      <c r="I780" s="42">
        <f>IF(AND(ISNUMBER(D780),ISNUMBER(H780)),D780*H780*Inputs!$C$69,"")</f>
      </c>
      <c r="J780" s="42">
        <f>IF(AND(ISNUMBER(F780),ISNUMBER(H780),F780&gt;=Inputs!$C$68),F780*H780*Inputs!$C$69,"")</f>
      </c>
    </row>
    <row r="781" spans="2:10" ht="15" customHeight="1" x14ac:dyDescent="0.2">
      <c r="B781" s="39">
        <f t="shared" si="6"/>
      </c>
      <c r="C781" s="40">
        <f>IF(Inputs!$C$60,Inputs!$C$11+(B781-Inputs!$C$69)/Inputs!$C$70,"")</f>
      </c>
      <c r="D781" s="15"/>
      <c r="E781" s="15"/>
      <c r="F781" s="11">
        <f t="shared" si="7"/>
      </c>
      <c r="G781" s="22" cm="1">
        <f t="array" ref="G781">IF(AND(Inputs!$C$60,Inputs!$C$61),INDEX(Utility_Rates!$C$29:$F$52,HOUR(C781)+Inputs!$C$69,MATCH(INDEX(Utility_Rates!$K$6:$K$17,MONTH(C781))&amp;IF(WEEKDAY(C781,Inputs!$C$76)&lt;=Inputs!$C$74," weekday"," weekend"),Utility_Rates!$C$28:$F$28,Inputs!$C$68)),"")</f>
      </c>
      <c r="H781" s="34"/>
      <c r="I781" s="42">
        <f>IF(AND(ISNUMBER(D781),ISNUMBER(H781)),D781*H781*Inputs!$C$69,"")</f>
      </c>
      <c r="J781" s="42">
        <f>IF(AND(ISNUMBER(F781),ISNUMBER(H781),F781&gt;=Inputs!$C$68),F781*H781*Inputs!$C$69,"")</f>
      </c>
    </row>
    <row r="782" spans="2:10" ht="15" customHeight="1" x14ac:dyDescent="0.2">
      <c r="B782" s="39">
        <f t="shared" si="6"/>
      </c>
      <c r="C782" s="40">
        <f>IF(Inputs!$C$60,Inputs!$C$11+(B782-Inputs!$C$69)/Inputs!$C$70,"")</f>
      </c>
      <c r="D782" s="15"/>
      <c r="E782" s="15"/>
      <c r="F782" s="11">
        <f t="shared" si="7"/>
      </c>
      <c r="G782" s="22" cm="1">
        <f t="array" ref="G782">IF(AND(Inputs!$C$60,Inputs!$C$61),INDEX(Utility_Rates!$C$29:$F$52,HOUR(C782)+Inputs!$C$69,MATCH(INDEX(Utility_Rates!$K$6:$K$17,MONTH(C782))&amp;IF(WEEKDAY(C782,Inputs!$C$76)&lt;=Inputs!$C$74," weekday"," weekend"),Utility_Rates!$C$28:$F$28,Inputs!$C$68)),"")</f>
      </c>
      <c r="H782" s="34"/>
      <c r="I782" s="42">
        <f>IF(AND(ISNUMBER(D782),ISNUMBER(H782)),D782*H782*Inputs!$C$69,"")</f>
      </c>
      <c r="J782" s="42">
        <f>IF(AND(ISNUMBER(F782),ISNUMBER(H782),F782&gt;=Inputs!$C$68),F782*H782*Inputs!$C$69,"")</f>
      </c>
    </row>
    <row r="783" spans="2:10" ht="15" customHeight="1" x14ac:dyDescent="0.2">
      <c r="B783" s="39">
        <f t="shared" si="6"/>
      </c>
      <c r="C783" s="40">
        <f>IF(Inputs!$C$60,Inputs!$C$11+(B783-Inputs!$C$69)/Inputs!$C$70,"")</f>
      </c>
      <c r="D783" s="15"/>
      <c r="E783" s="15"/>
      <c r="F783" s="11">
        <f t="shared" si="7"/>
      </c>
      <c r="G783" s="22" cm="1">
        <f t="array" ref="G783">IF(AND(Inputs!$C$60,Inputs!$C$61),INDEX(Utility_Rates!$C$29:$F$52,HOUR(C783)+Inputs!$C$69,MATCH(INDEX(Utility_Rates!$K$6:$K$17,MONTH(C783))&amp;IF(WEEKDAY(C783,Inputs!$C$76)&lt;=Inputs!$C$74," weekday"," weekend"),Utility_Rates!$C$28:$F$28,Inputs!$C$68)),"")</f>
      </c>
      <c r="H783" s="34"/>
      <c r="I783" s="42">
        <f>IF(AND(ISNUMBER(D783),ISNUMBER(H783)),D783*H783*Inputs!$C$69,"")</f>
      </c>
      <c r="J783" s="42">
        <f>IF(AND(ISNUMBER(F783),ISNUMBER(H783),F783&gt;=Inputs!$C$68),F783*H783*Inputs!$C$69,"")</f>
      </c>
    </row>
    <row r="784" spans="2:10" ht="15" customHeight="1" x14ac:dyDescent="0.2">
      <c r="B784" s="39">
        <f t="shared" si="6"/>
      </c>
      <c r="C784" s="40">
        <f>IF(Inputs!$C$60,Inputs!$C$11+(B784-Inputs!$C$69)/Inputs!$C$70,"")</f>
      </c>
      <c r="D784" s="15"/>
      <c r="E784" s="15"/>
      <c r="F784" s="11">
        <f t="shared" si="7"/>
      </c>
      <c r="G784" s="22" cm="1">
        <f t="array" ref="G784">IF(AND(Inputs!$C$60,Inputs!$C$61),INDEX(Utility_Rates!$C$29:$F$52,HOUR(C784)+Inputs!$C$69,MATCH(INDEX(Utility_Rates!$K$6:$K$17,MONTH(C784))&amp;IF(WEEKDAY(C784,Inputs!$C$76)&lt;=Inputs!$C$74," weekday"," weekend"),Utility_Rates!$C$28:$F$28,Inputs!$C$68)),"")</f>
      </c>
      <c r="H784" s="34"/>
      <c r="I784" s="42">
        <f>IF(AND(ISNUMBER(D784),ISNUMBER(H784)),D784*H784*Inputs!$C$69,"")</f>
      </c>
      <c r="J784" s="42">
        <f>IF(AND(ISNUMBER(F784),ISNUMBER(H784),F784&gt;=Inputs!$C$68),F784*H784*Inputs!$C$69,"")</f>
      </c>
    </row>
    <row r="785" spans="2:10" ht="15" customHeight="1" x14ac:dyDescent="0.2">
      <c r="B785" s="39">
        <f t="shared" si="6"/>
      </c>
      <c r="C785" s="40">
        <f>IF(Inputs!$C$60,Inputs!$C$11+(B785-Inputs!$C$69)/Inputs!$C$70,"")</f>
      </c>
      <c r="D785" s="15"/>
      <c r="E785" s="15"/>
      <c r="F785" s="11">
        <f t="shared" si="7"/>
      </c>
      <c r="G785" s="22" cm="1">
        <f t="array" ref="G785">IF(AND(Inputs!$C$60,Inputs!$C$61),INDEX(Utility_Rates!$C$29:$F$52,HOUR(C785)+Inputs!$C$69,MATCH(INDEX(Utility_Rates!$K$6:$K$17,MONTH(C785))&amp;IF(WEEKDAY(C785,Inputs!$C$76)&lt;=Inputs!$C$74," weekday"," weekend"),Utility_Rates!$C$28:$F$28,Inputs!$C$68)),"")</f>
      </c>
      <c r="H785" s="34"/>
      <c r="I785" s="42">
        <f>IF(AND(ISNUMBER(D785),ISNUMBER(H785)),D785*H785*Inputs!$C$69,"")</f>
      </c>
      <c r="J785" s="42">
        <f>IF(AND(ISNUMBER(F785),ISNUMBER(H785),F785&gt;=Inputs!$C$68),F785*H785*Inputs!$C$69,"")</f>
      </c>
    </row>
    <row r="786" spans="2:10" ht="15" customHeight="1" x14ac:dyDescent="0.2">
      <c r="B786" s="39">
        <f t="shared" si="6"/>
      </c>
      <c r="C786" s="40">
        <f>IF(Inputs!$C$60,Inputs!$C$11+(B786-Inputs!$C$69)/Inputs!$C$70,"")</f>
      </c>
      <c r="D786" s="15"/>
      <c r="E786" s="15"/>
      <c r="F786" s="11">
        <f t="shared" si="7"/>
      </c>
      <c r="G786" s="22" cm="1">
        <f t="array" ref="G786">IF(AND(Inputs!$C$60,Inputs!$C$61),INDEX(Utility_Rates!$C$29:$F$52,HOUR(C786)+Inputs!$C$69,MATCH(INDEX(Utility_Rates!$K$6:$K$17,MONTH(C786))&amp;IF(WEEKDAY(C786,Inputs!$C$76)&lt;=Inputs!$C$74," weekday"," weekend"),Utility_Rates!$C$28:$F$28,Inputs!$C$68)),"")</f>
      </c>
      <c r="H786" s="34"/>
      <c r="I786" s="42">
        <f>IF(AND(ISNUMBER(D786),ISNUMBER(H786)),D786*H786*Inputs!$C$69,"")</f>
      </c>
      <c r="J786" s="42">
        <f>IF(AND(ISNUMBER(F786),ISNUMBER(H786),F786&gt;=Inputs!$C$68),F786*H786*Inputs!$C$69,"")</f>
      </c>
    </row>
    <row r="787" spans="2:10" ht="15" customHeight="1" x14ac:dyDescent="0.2">
      <c r="B787" s="39">
        <f t="shared" si="6"/>
      </c>
      <c r="C787" s="40">
        <f>IF(Inputs!$C$60,Inputs!$C$11+(B787-Inputs!$C$69)/Inputs!$C$70,"")</f>
      </c>
      <c r="D787" s="15"/>
      <c r="E787" s="15"/>
      <c r="F787" s="11">
        <f t="shared" si="7"/>
      </c>
      <c r="G787" s="22" cm="1">
        <f t="array" ref="G787">IF(AND(Inputs!$C$60,Inputs!$C$61),INDEX(Utility_Rates!$C$29:$F$52,HOUR(C787)+Inputs!$C$69,MATCH(INDEX(Utility_Rates!$K$6:$K$17,MONTH(C787))&amp;IF(WEEKDAY(C787,Inputs!$C$76)&lt;=Inputs!$C$74," weekday"," weekend"),Utility_Rates!$C$28:$F$28,Inputs!$C$68)),"")</f>
      </c>
      <c r="H787" s="34"/>
      <c r="I787" s="42">
        <f>IF(AND(ISNUMBER(D787),ISNUMBER(H787)),D787*H787*Inputs!$C$69,"")</f>
      </c>
      <c r="J787" s="42">
        <f>IF(AND(ISNUMBER(F787),ISNUMBER(H787),F787&gt;=Inputs!$C$68),F787*H787*Inputs!$C$69,"")</f>
      </c>
    </row>
    <row r="788" spans="2:10" ht="15" customHeight="1" x14ac:dyDescent="0.2">
      <c r="B788" s="39">
        <f t="shared" si="6"/>
      </c>
      <c r="C788" s="40">
        <f>IF(Inputs!$C$60,Inputs!$C$11+(B788-Inputs!$C$69)/Inputs!$C$70,"")</f>
      </c>
      <c r="D788" s="15"/>
      <c r="E788" s="15"/>
      <c r="F788" s="11">
        <f t="shared" si="7"/>
      </c>
      <c r="G788" s="22" cm="1">
        <f t="array" ref="G788">IF(AND(Inputs!$C$60,Inputs!$C$61),INDEX(Utility_Rates!$C$29:$F$52,HOUR(C788)+Inputs!$C$69,MATCH(INDEX(Utility_Rates!$K$6:$K$17,MONTH(C788))&amp;IF(WEEKDAY(C788,Inputs!$C$76)&lt;=Inputs!$C$74," weekday"," weekend"),Utility_Rates!$C$28:$F$28,Inputs!$C$68)),"")</f>
      </c>
      <c r="H788" s="34"/>
      <c r="I788" s="42">
        <f>IF(AND(ISNUMBER(D788),ISNUMBER(H788)),D788*H788*Inputs!$C$69,"")</f>
      </c>
      <c r="J788" s="42">
        <f>IF(AND(ISNUMBER(F788),ISNUMBER(H788),F788&gt;=Inputs!$C$68),F788*H788*Inputs!$C$69,"")</f>
      </c>
    </row>
    <row r="789" spans="2:10" ht="15" customHeight="1" x14ac:dyDescent="0.2">
      <c r="B789" s="39">
        <f t="shared" si="6"/>
      </c>
      <c r="C789" s="40">
        <f>IF(Inputs!$C$60,Inputs!$C$11+(B789-Inputs!$C$69)/Inputs!$C$70,"")</f>
      </c>
      <c r="D789" s="15"/>
      <c r="E789" s="15"/>
      <c r="F789" s="11">
        <f t="shared" si="7"/>
      </c>
      <c r="G789" s="22" cm="1">
        <f t="array" ref="G789">IF(AND(Inputs!$C$60,Inputs!$C$61),INDEX(Utility_Rates!$C$29:$F$52,HOUR(C789)+Inputs!$C$69,MATCH(INDEX(Utility_Rates!$K$6:$K$17,MONTH(C789))&amp;IF(WEEKDAY(C789,Inputs!$C$76)&lt;=Inputs!$C$74," weekday"," weekend"),Utility_Rates!$C$28:$F$28,Inputs!$C$68)),"")</f>
      </c>
      <c r="H789" s="34"/>
      <c r="I789" s="42">
        <f>IF(AND(ISNUMBER(D789),ISNUMBER(H789)),D789*H789*Inputs!$C$69,"")</f>
      </c>
      <c r="J789" s="42">
        <f>IF(AND(ISNUMBER(F789),ISNUMBER(H789),F789&gt;=Inputs!$C$68),F789*H789*Inputs!$C$69,"")</f>
      </c>
    </row>
    <row r="790" spans="2:10" ht="15" customHeight="1" x14ac:dyDescent="0.2">
      <c r="B790" s="39">
        <f t="shared" si="6"/>
      </c>
      <c r="C790" s="40">
        <f>IF(Inputs!$C$60,Inputs!$C$11+(B790-Inputs!$C$69)/Inputs!$C$70,"")</f>
      </c>
      <c r="D790" s="15"/>
      <c r="E790" s="15"/>
      <c r="F790" s="11">
        <f t="shared" si="7"/>
      </c>
      <c r="G790" s="22" cm="1">
        <f t="array" ref="G790">IF(AND(Inputs!$C$60,Inputs!$C$61),INDEX(Utility_Rates!$C$29:$F$52,HOUR(C790)+Inputs!$C$69,MATCH(INDEX(Utility_Rates!$K$6:$K$17,MONTH(C790))&amp;IF(WEEKDAY(C790,Inputs!$C$76)&lt;=Inputs!$C$74," weekday"," weekend"),Utility_Rates!$C$28:$F$28,Inputs!$C$68)),"")</f>
      </c>
      <c r="H790" s="34"/>
      <c r="I790" s="42">
        <f>IF(AND(ISNUMBER(D790),ISNUMBER(H790)),D790*H790*Inputs!$C$69,"")</f>
      </c>
      <c r="J790" s="42">
        <f>IF(AND(ISNUMBER(F790),ISNUMBER(H790),F790&gt;=Inputs!$C$68),F790*H790*Inputs!$C$69,"")</f>
      </c>
    </row>
    <row r="791" spans="2:10" ht="15" customHeight="1" x14ac:dyDescent="0.2">
      <c r="B791" s="39">
        <f t="shared" si="6"/>
      </c>
      <c r="C791" s="40">
        <f>IF(Inputs!$C$60,Inputs!$C$11+(B791-Inputs!$C$69)/Inputs!$C$70,"")</f>
      </c>
      <c r="D791" s="15"/>
      <c r="E791" s="15"/>
      <c r="F791" s="11">
        <f t="shared" si="7"/>
      </c>
      <c r="G791" s="22" cm="1">
        <f t="array" ref="G791">IF(AND(Inputs!$C$60,Inputs!$C$61),INDEX(Utility_Rates!$C$29:$F$52,HOUR(C791)+Inputs!$C$69,MATCH(INDEX(Utility_Rates!$K$6:$K$17,MONTH(C791))&amp;IF(WEEKDAY(C791,Inputs!$C$76)&lt;=Inputs!$C$74," weekday"," weekend"),Utility_Rates!$C$28:$F$28,Inputs!$C$68)),"")</f>
      </c>
      <c r="H791" s="34"/>
      <c r="I791" s="42">
        <f>IF(AND(ISNUMBER(D791),ISNUMBER(H791)),D791*H791*Inputs!$C$69,"")</f>
      </c>
      <c r="J791" s="42">
        <f>IF(AND(ISNUMBER(F791),ISNUMBER(H791),F791&gt;=Inputs!$C$68),F791*H791*Inputs!$C$69,"")</f>
      </c>
    </row>
    <row r="792" spans="2:10" ht="15" customHeight="1" x14ac:dyDescent="0.2">
      <c r="B792" s="39">
        <f t="shared" si="6"/>
      </c>
      <c r="C792" s="40">
        <f>IF(Inputs!$C$60,Inputs!$C$11+(B792-Inputs!$C$69)/Inputs!$C$70,"")</f>
      </c>
      <c r="D792" s="15"/>
      <c r="E792" s="15"/>
      <c r="F792" s="11">
        <f t="shared" si="7"/>
      </c>
      <c r="G792" s="22" cm="1">
        <f t="array" ref="G792">IF(AND(Inputs!$C$60,Inputs!$C$61),INDEX(Utility_Rates!$C$29:$F$52,HOUR(C792)+Inputs!$C$69,MATCH(INDEX(Utility_Rates!$K$6:$K$17,MONTH(C792))&amp;IF(WEEKDAY(C792,Inputs!$C$76)&lt;=Inputs!$C$74," weekday"," weekend"),Utility_Rates!$C$28:$F$28,Inputs!$C$68)),"")</f>
      </c>
      <c r="H792" s="34"/>
      <c r="I792" s="42">
        <f>IF(AND(ISNUMBER(D792),ISNUMBER(H792)),D792*H792*Inputs!$C$69,"")</f>
      </c>
      <c r="J792" s="42">
        <f>IF(AND(ISNUMBER(F792),ISNUMBER(H792),F792&gt;=Inputs!$C$68),F792*H792*Inputs!$C$69,"")</f>
      </c>
    </row>
    <row r="793" spans="2:10" ht="15" customHeight="1" x14ac:dyDescent="0.2">
      <c r="B793" s="39">
        <f t="shared" si="6"/>
      </c>
      <c r="C793" s="40">
        <f>IF(Inputs!$C$60,Inputs!$C$11+(B793-Inputs!$C$69)/Inputs!$C$70,"")</f>
      </c>
      <c r="D793" s="15"/>
      <c r="E793" s="15"/>
      <c r="F793" s="11">
        <f t="shared" si="7"/>
      </c>
      <c r="G793" s="22" cm="1">
        <f t="array" ref="G793">IF(AND(Inputs!$C$60,Inputs!$C$61),INDEX(Utility_Rates!$C$29:$F$52,HOUR(C793)+Inputs!$C$69,MATCH(INDEX(Utility_Rates!$K$6:$K$17,MONTH(C793))&amp;IF(WEEKDAY(C793,Inputs!$C$76)&lt;=Inputs!$C$74," weekday"," weekend"),Utility_Rates!$C$28:$F$28,Inputs!$C$68)),"")</f>
      </c>
      <c r="H793" s="34"/>
      <c r="I793" s="42">
        <f>IF(AND(ISNUMBER(D793),ISNUMBER(H793)),D793*H793*Inputs!$C$69,"")</f>
      </c>
      <c r="J793" s="42">
        <f>IF(AND(ISNUMBER(F793),ISNUMBER(H793),F793&gt;=Inputs!$C$68),F793*H793*Inputs!$C$69,"")</f>
      </c>
    </row>
    <row r="794" spans="2:10" ht="15" customHeight="1" x14ac:dyDescent="0.2">
      <c r="B794" s="39">
        <f t="shared" si="6"/>
      </c>
      <c r="C794" s="40">
        <f>IF(Inputs!$C$60,Inputs!$C$11+(B794-Inputs!$C$69)/Inputs!$C$70,"")</f>
      </c>
      <c r="D794" s="15"/>
      <c r="E794" s="15"/>
      <c r="F794" s="11">
        <f t="shared" si="7"/>
      </c>
      <c r="G794" s="22" cm="1">
        <f t="array" ref="G794">IF(AND(Inputs!$C$60,Inputs!$C$61),INDEX(Utility_Rates!$C$29:$F$52,HOUR(C794)+Inputs!$C$69,MATCH(INDEX(Utility_Rates!$K$6:$K$17,MONTH(C794))&amp;IF(WEEKDAY(C794,Inputs!$C$76)&lt;=Inputs!$C$74," weekday"," weekend"),Utility_Rates!$C$28:$F$28,Inputs!$C$68)),"")</f>
      </c>
      <c r="H794" s="34"/>
      <c r="I794" s="42">
        <f>IF(AND(ISNUMBER(D794),ISNUMBER(H794)),D794*H794*Inputs!$C$69,"")</f>
      </c>
      <c r="J794" s="42">
        <f>IF(AND(ISNUMBER(F794),ISNUMBER(H794),F794&gt;=Inputs!$C$68),F794*H794*Inputs!$C$69,"")</f>
      </c>
    </row>
    <row r="795" spans="2:10" ht="15" customHeight="1" x14ac:dyDescent="0.2">
      <c r="B795" s="39">
        <f t="shared" si="6"/>
      </c>
      <c r="C795" s="40">
        <f>IF(Inputs!$C$60,Inputs!$C$11+(B795-Inputs!$C$69)/Inputs!$C$70,"")</f>
      </c>
      <c r="D795" s="15"/>
      <c r="E795" s="15"/>
      <c r="F795" s="11">
        <f t="shared" si="7"/>
      </c>
      <c r="G795" s="22" cm="1">
        <f t="array" ref="G795">IF(AND(Inputs!$C$60,Inputs!$C$61),INDEX(Utility_Rates!$C$29:$F$52,HOUR(C795)+Inputs!$C$69,MATCH(INDEX(Utility_Rates!$K$6:$K$17,MONTH(C795))&amp;IF(WEEKDAY(C795,Inputs!$C$76)&lt;=Inputs!$C$74," weekday"," weekend"),Utility_Rates!$C$28:$F$28,Inputs!$C$68)),"")</f>
      </c>
      <c r="H795" s="34"/>
      <c r="I795" s="42">
        <f>IF(AND(ISNUMBER(D795),ISNUMBER(H795)),D795*H795*Inputs!$C$69,"")</f>
      </c>
      <c r="J795" s="42">
        <f>IF(AND(ISNUMBER(F795),ISNUMBER(H795),F795&gt;=Inputs!$C$68),F795*H795*Inputs!$C$69,"")</f>
      </c>
    </row>
    <row r="796" spans="2:10" ht="15" customHeight="1" x14ac:dyDescent="0.2">
      <c r="B796" s="39">
        <f t="shared" si="6"/>
      </c>
      <c r="C796" s="40">
        <f>IF(Inputs!$C$60,Inputs!$C$11+(B796-Inputs!$C$69)/Inputs!$C$70,"")</f>
      </c>
      <c r="D796" s="15"/>
      <c r="E796" s="15"/>
      <c r="F796" s="11">
        <f t="shared" si="7"/>
      </c>
      <c r="G796" s="22" cm="1">
        <f t="array" ref="G796">IF(AND(Inputs!$C$60,Inputs!$C$61),INDEX(Utility_Rates!$C$29:$F$52,HOUR(C796)+Inputs!$C$69,MATCH(INDEX(Utility_Rates!$K$6:$K$17,MONTH(C796))&amp;IF(WEEKDAY(C796,Inputs!$C$76)&lt;=Inputs!$C$74," weekday"," weekend"),Utility_Rates!$C$28:$F$28,Inputs!$C$68)),"")</f>
      </c>
      <c r="H796" s="34"/>
      <c r="I796" s="42">
        <f>IF(AND(ISNUMBER(D796),ISNUMBER(H796)),D796*H796*Inputs!$C$69,"")</f>
      </c>
      <c r="J796" s="42">
        <f>IF(AND(ISNUMBER(F796),ISNUMBER(H796),F796&gt;=Inputs!$C$68),F796*H796*Inputs!$C$69,"")</f>
      </c>
    </row>
    <row r="797" spans="2:10" ht="15" customHeight="1" x14ac:dyDescent="0.2">
      <c r="B797" s="39">
        <f t="shared" si="6"/>
      </c>
      <c r="C797" s="40">
        <f>IF(Inputs!$C$60,Inputs!$C$11+(B797-Inputs!$C$69)/Inputs!$C$70,"")</f>
      </c>
      <c r="D797" s="15"/>
      <c r="E797" s="15"/>
      <c r="F797" s="11">
        <f t="shared" si="7"/>
      </c>
      <c r="G797" s="22" cm="1">
        <f t="array" ref="G797">IF(AND(Inputs!$C$60,Inputs!$C$61),INDEX(Utility_Rates!$C$29:$F$52,HOUR(C797)+Inputs!$C$69,MATCH(INDEX(Utility_Rates!$K$6:$K$17,MONTH(C797))&amp;IF(WEEKDAY(C797,Inputs!$C$76)&lt;=Inputs!$C$74," weekday"," weekend"),Utility_Rates!$C$28:$F$28,Inputs!$C$68)),"")</f>
      </c>
      <c r="H797" s="34"/>
      <c r="I797" s="42">
        <f>IF(AND(ISNUMBER(D797),ISNUMBER(H797)),D797*H797*Inputs!$C$69,"")</f>
      </c>
      <c r="J797" s="42">
        <f>IF(AND(ISNUMBER(F797),ISNUMBER(H797),F797&gt;=Inputs!$C$68),F797*H797*Inputs!$C$69,"")</f>
      </c>
    </row>
    <row r="798" spans="2:10" ht="15" customHeight="1" x14ac:dyDescent="0.2">
      <c r="B798" s="39">
        <f t="shared" si="6"/>
      </c>
      <c r="C798" s="40">
        <f>IF(Inputs!$C$60,Inputs!$C$11+(B798-Inputs!$C$69)/Inputs!$C$70,"")</f>
      </c>
      <c r="D798" s="15"/>
      <c r="E798" s="15"/>
      <c r="F798" s="11">
        <f t="shared" si="7"/>
      </c>
      <c r="G798" s="22" cm="1">
        <f t="array" ref="G798">IF(AND(Inputs!$C$60,Inputs!$C$61),INDEX(Utility_Rates!$C$29:$F$52,HOUR(C798)+Inputs!$C$69,MATCH(INDEX(Utility_Rates!$K$6:$K$17,MONTH(C798))&amp;IF(WEEKDAY(C798,Inputs!$C$76)&lt;=Inputs!$C$74," weekday"," weekend"),Utility_Rates!$C$28:$F$28,Inputs!$C$68)),"")</f>
      </c>
      <c r="H798" s="34"/>
      <c r="I798" s="42">
        <f>IF(AND(ISNUMBER(D798),ISNUMBER(H798)),D798*H798*Inputs!$C$69,"")</f>
      </c>
      <c r="J798" s="42">
        <f>IF(AND(ISNUMBER(F798),ISNUMBER(H798),F798&gt;=Inputs!$C$68),F798*H798*Inputs!$C$69,"")</f>
      </c>
    </row>
    <row r="799" spans="2:10" ht="15" customHeight="1" x14ac:dyDescent="0.2">
      <c r="B799" s="39">
        <f t="shared" si="6"/>
      </c>
      <c r="C799" s="40">
        <f>IF(Inputs!$C$60,Inputs!$C$11+(B799-Inputs!$C$69)/Inputs!$C$70,"")</f>
      </c>
      <c r="D799" s="15"/>
      <c r="E799" s="15"/>
      <c r="F799" s="11">
        <f t="shared" si="7"/>
      </c>
      <c r="G799" s="22" cm="1">
        <f t="array" ref="G799">IF(AND(Inputs!$C$60,Inputs!$C$61),INDEX(Utility_Rates!$C$29:$F$52,HOUR(C799)+Inputs!$C$69,MATCH(INDEX(Utility_Rates!$K$6:$K$17,MONTH(C799))&amp;IF(WEEKDAY(C799,Inputs!$C$76)&lt;=Inputs!$C$74," weekday"," weekend"),Utility_Rates!$C$28:$F$28,Inputs!$C$68)),"")</f>
      </c>
      <c r="H799" s="34"/>
      <c r="I799" s="42">
        <f>IF(AND(ISNUMBER(D799),ISNUMBER(H799)),D799*H799*Inputs!$C$69,"")</f>
      </c>
      <c r="J799" s="42">
        <f>IF(AND(ISNUMBER(F799),ISNUMBER(H799),F799&gt;=Inputs!$C$68),F799*H799*Inputs!$C$69,"")</f>
      </c>
    </row>
    <row r="800" spans="2:10" ht="15" customHeight="1" x14ac:dyDescent="0.2">
      <c r="B800" s="39">
        <f t="shared" si="6"/>
      </c>
      <c r="C800" s="40">
        <f>IF(Inputs!$C$60,Inputs!$C$11+(B800-Inputs!$C$69)/Inputs!$C$70,"")</f>
      </c>
      <c r="D800" s="15"/>
      <c r="E800" s="15"/>
      <c r="F800" s="11">
        <f t="shared" si="7"/>
      </c>
      <c r="G800" s="22" cm="1">
        <f t="array" ref="G800">IF(AND(Inputs!$C$60,Inputs!$C$61),INDEX(Utility_Rates!$C$29:$F$52,HOUR(C800)+Inputs!$C$69,MATCH(INDEX(Utility_Rates!$K$6:$K$17,MONTH(C800))&amp;IF(WEEKDAY(C800,Inputs!$C$76)&lt;=Inputs!$C$74," weekday"," weekend"),Utility_Rates!$C$28:$F$28,Inputs!$C$68)),"")</f>
      </c>
      <c r="H800" s="34"/>
      <c r="I800" s="42">
        <f>IF(AND(ISNUMBER(D800),ISNUMBER(H800)),D800*H800*Inputs!$C$69,"")</f>
      </c>
      <c r="J800" s="42">
        <f>IF(AND(ISNUMBER(F800),ISNUMBER(H800),F800&gt;=Inputs!$C$68),F800*H800*Inputs!$C$69,"")</f>
      </c>
    </row>
    <row r="801" spans="2:10" ht="15" customHeight="1" x14ac:dyDescent="0.2">
      <c r="B801" s="39">
        <f t="shared" si="6"/>
      </c>
      <c r="C801" s="40">
        <f>IF(Inputs!$C$60,Inputs!$C$11+(B801-Inputs!$C$69)/Inputs!$C$70,"")</f>
      </c>
      <c r="D801" s="15"/>
      <c r="E801" s="15"/>
      <c r="F801" s="11">
        <f t="shared" si="7"/>
      </c>
      <c r="G801" s="22" cm="1">
        <f t="array" ref="G801">IF(AND(Inputs!$C$60,Inputs!$C$61),INDEX(Utility_Rates!$C$29:$F$52,HOUR(C801)+Inputs!$C$69,MATCH(INDEX(Utility_Rates!$K$6:$K$17,MONTH(C801))&amp;IF(WEEKDAY(C801,Inputs!$C$76)&lt;=Inputs!$C$74," weekday"," weekend"),Utility_Rates!$C$28:$F$28,Inputs!$C$68)),"")</f>
      </c>
      <c r="H801" s="34"/>
      <c r="I801" s="42">
        <f>IF(AND(ISNUMBER(D801),ISNUMBER(H801)),D801*H801*Inputs!$C$69,"")</f>
      </c>
      <c r="J801" s="42">
        <f>IF(AND(ISNUMBER(F801),ISNUMBER(H801),F801&gt;=Inputs!$C$68),F801*H801*Inputs!$C$69,"")</f>
      </c>
    </row>
    <row r="802" spans="2:10" ht="15" customHeight="1" x14ac:dyDescent="0.2">
      <c r="B802" s="39">
        <f t="shared" si="6"/>
      </c>
      <c r="C802" s="40">
        <f>IF(Inputs!$C$60,Inputs!$C$11+(B802-Inputs!$C$69)/Inputs!$C$70,"")</f>
      </c>
      <c r="D802" s="15"/>
      <c r="E802" s="15"/>
      <c r="F802" s="11">
        <f t="shared" si="7"/>
      </c>
      <c r="G802" s="22" cm="1">
        <f t="array" ref="G802">IF(AND(Inputs!$C$60,Inputs!$C$61),INDEX(Utility_Rates!$C$29:$F$52,HOUR(C802)+Inputs!$C$69,MATCH(INDEX(Utility_Rates!$K$6:$K$17,MONTH(C802))&amp;IF(WEEKDAY(C802,Inputs!$C$76)&lt;=Inputs!$C$74," weekday"," weekend"),Utility_Rates!$C$28:$F$28,Inputs!$C$68)),"")</f>
      </c>
      <c r="H802" s="34"/>
      <c r="I802" s="42">
        <f>IF(AND(ISNUMBER(D802),ISNUMBER(H802)),D802*H802*Inputs!$C$69,"")</f>
      </c>
      <c r="J802" s="42">
        <f>IF(AND(ISNUMBER(F802),ISNUMBER(H802),F802&gt;=Inputs!$C$68),F802*H802*Inputs!$C$69,"")</f>
      </c>
    </row>
    <row r="803" spans="2:10" ht="15" customHeight="1" x14ac:dyDescent="0.2">
      <c r="B803" s="39">
        <f t="shared" si="6"/>
      </c>
      <c r="C803" s="40">
        <f>IF(Inputs!$C$60,Inputs!$C$11+(B803-Inputs!$C$69)/Inputs!$C$70,"")</f>
      </c>
      <c r="D803" s="15"/>
      <c r="E803" s="15"/>
      <c r="F803" s="11">
        <f t="shared" si="7"/>
      </c>
      <c r="G803" s="22" cm="1">
        <f t="array" ref="G803">IF(AND(Inputs!$C$60,Inputs!$C$61),INDEX(Utility_Rates!$C$29:$F$52,HOUR(C803)+Inputs!$C$69,MATCH(INDEX(Utility_Rates!$K$6:$K$17,MONTH(C803))&amp;IF(WEEKDAY(C803,Inputs!$C$76)&lt;=Inputs!$C$74," weekday"," weekend"),Utility_Rates!$C$28:$F$28,Inputs!$C$68)),"")</f>
      </c>
      <c r="H803" s="34"/>
      <c r="I803" s="42">
        <f>IF(AND(ISNUMBER(D803),ISNUMBER(H803)),D803*H803*Inputs!$C$69,"")</f>
      </c>
      <c r="J803" s="42">
        <f>IF(AND(ISNUMBER(F803),ISNUMBER(H803),F803&gt;=Inputs!$C$68),F803*H803*Inputs!$C$69,"")</f>
      </c>
    </row>
    <row r="804" spans="2:10" ht="15" customHeight="1" x14ac:dyDescent="0.2">
      <c r="B804" s="39">
        <f t="shared" si="6"/>
      </c>
      <c r="C804" s="40">
        <f>IF(Inputs!$C$60,Inputs!$C$11+(B804-Inputs!$C$69)/Inputs!$C$70,"")</f>
      </c>
      <c r="D804" s="15"/>
      <c r="E804" s="15"/>
      <c r="F804" s="11">
        <f t="shared" si="7"/>
      </c>
      <c r="G804" s="22" cm="1">
        <f t="array" ref="G804">IF(AND(Inputs!$C$60,Inputs!$C$61),INDEX(Utility_Rates!$C$29:$F$52,HOUR(C804)+Inputs!$C$69,MATCH(INDEX(Utility_Rates!$K$6:$K$17,MONTH(C804))&amp;IF(WEEKDAY(C804,Inputs!$C$76)&lt;=Inputs!$C$74," weekday"," weekend"),Utility_Rates!$C$28:$F$28,Inputs!$C$68)),"")</f>
      </c>
      <c r="H804" s="34"/>
      <c r="I804" s="42">
        <f>IF(AND(ISNUMBER(D804),ISNUMBER(H804)),D804*H804*Inputs!$C$69,"")</f>
      </c>
      <c r="J804" s="42">
        <f>IF(AND(ISNUMBER(F804),ISNUMBER(H804),F804&gt;=Inputs!$C$68),F804*H804*Inputs!$C$69,"")</f>
      </c>
    </row>
    <row r="805" spans="2:10" ht="15" customHeight="1" x14ac:dyDescent="0.2">
      <c r="B805" s="39">
        <f t="shared" si="6"/>
      </c>
      <c r="C805" s="40">
        <f>IF(Inputs!$C$60,Inputs!$C$11+(B805-Inputs!$C$69)/Inputs!$C$70,"")</f>
      </c>
      <c r="D805" s="15"/>
      <c r="E805" s="15"/>
      <c r="F805" s="11">
        <f t="shared" si="7"/>
      </c>
      <c r="G805" s="22" cm="1">
        <f t="array" ref="G805">IF(AND(Inputs!$C$60,Inputs!$C$61),INDEX(Utility_Rates!$C$29:$F$52,HOUR(C805)+Inputs!$C$69,MATCH(INDEX(Utility_Rates!$K$6:$K$17,MONTH(C805))&amp;IF(WEEKDAY(C805,Inputs!$C$76)&lt;=Inputs!$C$74," weekday"," weekend"),Utility_Rates!$C$28:$F$28,Inputs!$C$68)),"")</f>
      </c>
      <c r="H805" s="34"/>
      <c r="I805" s="42">
        <f>IF(AND(ISNUMBER(D805),ISNUMBER(H805)),D805*H805*Inputs!$C$69,"")</f>
      </c>
      <c r="J805" s="42">
        <f>IF(AND(ISNUMBER(F805),ISNUMBER(H805),F805&gt;=Inputs!$C$68),F805*H805*Inputs!$C$69,"")</f>
      </c>
    </row>
    <row r="806" spans="2:10" ht="15" customHeight="1" x14ac:dyDescent="0.2">
      <c r="B806" s="39">
        <f t="shared" si="6"/>
      </c>
      <c r="C806" s="40">
        <f>IF(Inputs!$C$60,Inputs!$C$11+(B806-Inputs!$C$69)/Inputs!$C$70,"")</f>
      </c>
      <c r="D806" s="15"/>
      <c r="E806" s="15"/>
      <c r="F806" s="11">
        <f t="shared" si="7"/>
      </c>
      <c r="G806" s="22" cm="1">
        <f t="array" ref="G806">IF(AND(Inputs!$C$60,Inputs!$C$61),INDEX(Utility_Rates!$C$29:$F$52,HOUR(C806)+Inputs!$C$69,MATCH(INDEX(Utility_Rates!$K$6:$K$17,MONTH(C806))&amp;IF(WEEKDAY(C806,Inputs!$C$76)&lt;=Inputs!$C$74," weekday"," weekend"),Utility_Rates!$C$28:$F$28,Inputs!$C$68)),"")</f>
      </c>
      <c r="H806" s="34"/>
      <c r="I806" s="42">
        <f>IF(AND(ISNUMBER(D806),ISNUMBER(H806)),D806*H806*Inputs!$C$69,"")</f>
      </c>
      <c r="J806" s="42">
        <f>IF(AND(ISNUMBER(F806),ISNUMBER(H806),F806&gt;=Inputs!$C$68),F806*H806*Inputs!$C$69,"")</f>
      </c>
    </row>
    <row r="807" spans="2:10" ht="15" customHeight="1" x14ac:dyDescent="0.2">
      <c r="B807" s="39">
        <f t="shared" si="6"/>
      </c>
      <c r="C807" s="40">
        <f>IF(Inputs!$C$60,Inputs!$C$11+(B807-Inputs!$C$69)/Inputs!$C$70,"")</f>
      </c>
      <c r="D807" s="15"/>
      <c r="E807" s="15"/>
      <c r="F807" s="11">
        <f t="shared" si="7"/>
      </c>
      <c r="G807" s="22" cm="1">
        <f t="array" ref="G807">IF(AND(Inputs!$C$60,Inputs!$C$61),INDEX(Utility_Rates!$C$29:$F$52,HOUR(C807)+Inputs!$C$69,MATCH(INDEX(Utility_Rates!$K$6:$K$17,MONTH(C807))&amp;IF(WEEKDAY(C807,Inputs!$C$76)&lt;=Inputs!$C$74," weekday"," weekend"),Utility_Rates!$C$28:$F$28,Inputs!$C$68)),"")</f>
      </c>
      <c r="H807" s="34"/>
      <c r="I807" s="42">
        <f>IF(AND(ISNUMBER(D807),ISNUMBER(H807)),D807*H807*Inputs!$C$69,"")</f>
      </c>
      <c r="J807" s="42">
        <f>IF(AND(ISNUMBER(F807),ISNUMBER(H807),F807&gt;=Inputs!$C$68),F807*H807*Inputs!$C$69,"")</f>
      </c>
    </row>
    <row r="808" spans="2:10" ht="15" customHeight="1" x14ac:dyDescent="0.2">
      <c r="B808" s="39">
        <f t="shared" si="6"/>
      </c>
      <c r="C808" s="40">
        <f>IF(Inputs!$C$60,Inputs!$C$11+(B808-Inputs!$C$69)/Inputs!$C$70,"")</f>
      </c>
      <c r="D808" s="15"/>
      <c r="E808" s="15"/>
      <c r="F808" s="11">
        <f t="shared" si="7"/>
      </c>
      <c r="G808" s="22" cm="1">
        <f t="array" ref="G808">IF(AND(Inputs!$C$60,Inputs!$C$61),INDEX(Utility_Rates!$C$29:$F$52,HOUR(C808)+Inputs!$C$69,MATCH(INDEX(Utility_Rates!$K$6:$K$17,MONTH(C808))&amp;IF(WEEKDAY(C808,Inputs!$C$76)&lt;=Inputs!$C$74," weekday"," weekend"),Utility_Rates!$C$28:$F$28,Inputs!$C$68)),"")</f>
      </c>
      <c r="H808" s="34"/>
      <c r="I808" s="42">
        <f>IF(AND(ISNUMBER(D808),ISNUMBER(H808)),D808*H808*Inputs!$C$69,"")</f>
      </c>
      <c r="J808" s="42">
        <f>IF(AND(ISNUMBER(F808),ISNUMBER(H808),F808&gt;=Inputs!$C$68),F808*H808*Inputs!$C$69,"")</f>
      </c>
    </row>
    <row r="809" spans="2:10" ht="15" customHeight="1" x14ac:dyDescent="0.2">
      <c r="B809" s="39">
        <f t="shared" si="6"/>
      </c>
      <c r="C809" s="40">
        <f>IF(Inputs!$C$60,Inputs!$C$11+(B809-Inputs!$C$69)/Inputs!$C$70,"")</f>
      </c>
      <c r="D809" s="15"/>
      <c r="E809" s="15"/>
      <c r="F809" s="11">
        <f t="shared" si="7"/>
      </c>
      <c r="G809" s="22" cm="1">
        <f t="array" ref="G809">IF(AND(Inputs!$C$60,Inputs!$C$61),INDEX(Utility_Rates!$C$29:$F$52,HOUR(C809)+Inputs!$C$69,MATCH(INDEX(Utility_Rates!$K$6:$K$17,MONTH(C809))&amp;IF(WEEKDAY(C809,Inputs!$C$76)&lt;=Inputs!$C$74," weekday"," weekend"),Utility_Rates!$C$28:$F$28,Inputs!$C$68)),"")</f>
      </c>
      <c r="H809" s="34"/>
      <c r="I809" s="42">
        <f>IF(AND(ISNUMBER(D809),ISNUMBER(H809)),D809*H809*Inputs!$C$69,"")</f>
      </c>
      <c r="J809" s="42">
        <f>IF(AND(ISNUMBER(F809),ISNUMBER(H809),F809&gt;=Inputs!$C$68),F809*H809*Inputs!$C$69,"")</f>
      </c>
    </row>
    <row r="810" spans="2:10" ht="15" customHeight="1" x14ac:dyDescent="0.2">
      <c r="B810" s="39">
        <f t="shared" si="6"/>
      </c>
      <c r="C810" s="40">
        <f>IF(Inputs!$C$60,Inputs!$C$11+(B810-Inputs!$C$69)/Inputs!$C$70,"")</f>
      </c>
      <c r="D810" s="15"/>
      <c r="E810" s="15"/>
      <c r="F810" s="11">
        <f t="shared" si="7"/>
      </c>
      <c r="G810" s="22" cm="1">
        <f t="array" ref="G810">IF(AND(Inputs!$C$60,Inputs!$C$61),INDEX(Utility_Rates!$C$29:$F$52,HOUR(C810)+Inputs!$C$69,MATCH(INDEX(Utility_Rates!$K$6:$K$17,MONTH(C810))&amp;IF(WEEKDAY(C810,Inputs!$C$76)&lt;=Inputs!$C$74," weekday"," weekend"),Utility_Rates!$C$28:$F$28,Inputs!$C$68)),"")</f>
      </c>
      <c r="H810" s="34"/>
      <c r="I810" s="42">
        <f>IF(AND(ISNUMBER(D810),ISNUMBER(H810)),D810*H810*Inputs!$C$69,"")</f>
      </c>
      <c r="J810" s="42">
        <f>IF(AND(ISNUMBER(F810),ISNUMBER(H810),F810&gt;=Inputs!$C$68),F810*H810*Inputs!$C$69,"")</f>
      </c>
    </row>
    <row r="811" spans="2:10" ht="15" customHeight="1" x14ac:dyDescent="0.2">
      <c r="B811" s="39">
        <f t="shared" si="6"/>
      </c>
      <c r="C811" s="40">
        <f>IF(Inputs!$C$60,Inputs!$C$11+(B811-Inputs!$C$69)/Inputs!$C$70,"")</f>
      </c>
      <c r="D811" s="15"/>
      <c r="E811" s="15"/>
      <c r="F811" s="11">
        <f t="shared" si="7"/>
      </c>
      <c r="G811" s="22" cm="1">
        <f t="array" ref="G811">IF(AND(Inputs!$C$60,Inputs!$C$61),INDEX(Utility_Rates!$C$29:$F$52,HOUR(C811)+Inputs!$C$69,MATCH(INDEX(Utility_Rates!$K$6:$K$17,MONTH(C811))&amp;IF(WEEKDAY(C811,Inputs!$C$76)&lt;=Inputs!$C$74," weekday"," weekend"),Utility_Rates!$C$28:$F$28,Inputs!$C$68)),"")</f>
      </c>
      <c r="H811" s="34"/>
      <c r="I811" s="42">
        <f>IF(AND(ISNUMBER(D811),ISNUMBER(H811)),D811*H811*Inputs!$C$69,"")</f>
      </c>
      <c r="J811" s="42">
        <f>IF(AND(ISNUMBER(F811),ISNUMBER(H811),F811&gt;=Inputs!$C$68),F811*H811*Inputs!$C$69,"")</f>
      </c>
    </row>
    <row r="812" spans="2:10" ht="15" customHeight="1" x14ac:dyDescent="0.2">
      <c r="B812" s="39">
        <f t="shared" si="6"/>
      </c>
      <c r="C812" s="40">
        <f>IF(Inputs!$C$60,Inputs!$C$11+(B812-Inputs!$C$69)/Inputs!$C$70,"")</f>
      </c>
      <c r="D812" s="15"/>
      <c r="E812" s="15"/>
      <c r="F812" s="11">
        <f t="shared" si="7"/>
      </c>
      <c r="G812" s="22" cm="1">
        <f t="array" ref="G812">IF(AND(Inputs!$C$60,Inputs!$C$61),INDEX(Utility_Rates!$C$29:$F$52,HOUR(C812)+Inputs!$C$69,MATCH(INDEX(Utility_Rates!$K$6:$K$17,MONTH(C812))&amp;IF(WEEKDAY(C812,Inputs!$C$76)&lt;=Inputs!$C$74," weekday"," weekend"),Utility_Rates!$C$28:$F$28,Inputs!$C$68)),"")</f>
      </c>
      <c r="H812" s="34"/>
      <c r="I812" s="42">
        <f>IF(AND(ISNUMBER(D812),ISNUMBER(H812)),D812*H812*Inputs!$C$69,"")</f>
      </c>
      <c r="J812" s="42">
        <f>IF(AND(ISNUMBER(F812),ISNUMBER(H812),F812&gt;=Inputs!$C$68),F812*H812*Inputs!$C$69,"")</f>
      </c>
    </row>
    <row r="813" spans="2:10" ht="15" customHeight="1" x14ac:dyDescent="0.2">
      <c r="B813" s="39">
        <f t="shared" si="6"/>
      </c>
      <c r="C813" s="40">
        <f>IF(Inputs!$C$60,Inputs!$C$11+(B813-Inputs!$C$69)/Inputs!$C$70,"")</f>
      </c>
      <c r="D813" s="15"/>
      <c r="E813" s="15"/>
      <c r="F813" s="11">
        <f t="shared" si="7"/>
      </c>
      <c r="G813" s="22" cm="1">
        <f t="array" ref="G813">IF(AND(Inputs!$C$60,Inputs!$C$61),INDEX(Utility_Rates!$C$29:$F$52,HOUR(C813)+Inputs!$C$69,MATCH(INDEX(Utility_Rates!$K$6:$K$17,MONTH(C813))&amp;IF(WEEKDAY(C813,Inputs!$C$76)&lt;=Inputs!$C$74," weekday"," weekend"),Utility_Rates!$C$28:$F$28,Inputs!$C$68)),"")</f>
      </c>
      <c r="H813" s="34"/>
      <c r="I813" s="42">
        <f>IF(AND(ISNUMBER(D813),ISNUMBER(H813)),D813*H813*Inputs!$C$69,"")</f>
      </c>
      <c r="J813" s="42">
        <f>IF(AND(ISNUMBER(F813),ISNUMBER(H813),F813&gt;=Inputs!$C$68),F813*H813*Inputs!$C$69,"")</f>
      </c>
    </row>
    <row r="814" spans="2:10" ht="15" customHeight="1" x14ac:dyDescent="0.2">
      <c r="B814" s="39">
        <f t="shared" si="6"/>
      </c>
      <c r="C814" s="40">
        <f>IF(Inputs!$C$60,Inputs!$C$11+(B814-Inputs!$C$69)/Inputs!$C$70,"")</f>
      </c>
      <c r="D814" s="15"/>
      <c r="E814" s="15"/>
      <c r="F814" s="11">
        <f t="shared" si="7"/>
      </c>
      <c r="G814" s="22" cm="1">
        <f t="array" ref="G814">IF(AND(Inputs!$C$60,Inputs!$C$61),INDEX(Utility_Rates!$C$29:$F$52,HOUR(C814)+Inputs!$C$69,MATCH(INDEX(Utility_Rates!$K$6:$K$17,MONTH(C814))&amp;IF(WEEKDAY(C814,Inputs!$C$76)&lt;=Inputs!$C$74," weekday"," weekend"),Utility_Rates!$C$28:$F$28,Inputs!$C$68)),"")</f>
      </c>
      <c r="H814" s="34"/>
      <c r="I814" s="42">
        <f>IF(AND(ISNUMBER(D814),ISNUMBER(H814)),D814*H814*Inputs!$C$69,"")</f>
      </c>
      <c r="J814" s="42">
        <f>IF(AND(ISNUMBER(F814),ISNUMBER(H814),F814&gt;=Inputs!$C$68),F814*H814*Inputs!$C$69,"")</f>
      </c>
    </row>
    <row r="815" spans="2:10" ht="15" customHeight="1" x14ac:dyDescent="0.2">
      <c r="B815" s="39">
        <f t="shared" si="6"/>
      </c>
      <c r="C815" s="40">
        <f>IF(Inputs!$C$60,Inputs!$C$11+(B815-Inputs!$C$69)/Inputs!$C$70,"")</f>
      </c>
      <c r="D815" s="15"/>
      <c r="E815" s="15"/>
      <c r="F815" s="11">
        <f t="shared" si="7"/>
      </c>
      <c r="G815" s="22" cm="1">
        <f t="array" ref="G815">IF(AND(Inputs!$C$60,Inputs!$C$61),INDEX(Utility_Rates!$C$29:$F$52,HOUR(C815)+Inputs!$C$69,MATCH(INDEX(Utility_Rates!$K$6:$K$17,MONTH(C815))&amp;IF(WEEKDAY(C815,Inputs!$C$76)&lt;=Inputs!$C$74," weekday"," weekend"),Utility_Rates!$C$28:$F$28,Inputs!$C$68)),"")</f>
      </c>
      <c r="H815" s="34"/>
      <c r="I815" s="42">
        <f>IF(AND(ISNUMBER(D815),ISNUMBER(H815)),D815*H815*Inputs!$C$69,"")</f>
      </c>
      <c r="J815" s="42">
        <f>IF(AND(ISNUMBER(F815),ISNUMBER(H815),F815&gt;=Inputs!$C$68),F815*H815*Inputs!$C$69,"")</f>
      </c>
    </row>
    <row r="816" spans="2:10" ht="15" customHeight="1" x14ac:dyDescent="0.2">
      <c r="B816" s="39">
        <f t="shared" si="6"/>
      </c>
      <c r="C816" s="40">
        <f>IF(Inputs!$C$60,Inputs!$C$11+(B816-Inputs!$C$69)/Inputs!$C$70,"")</f>
      </c>
      <c r="D816" s="15"/>
      <c r="E816" s="15"/>
      <c r="F816" s="11">
        <f t="shared" si="7"/>
      </c>
      <c r="G816" s="22" cm="1">
        <f t="array" ref="G816">IF(AND(Inputs!$C$60,Inputs!$C$61),INDEX(Utility_Rates!$C$29:$F$52,HOUR(C816)+Inputs!$C$69,MATCH(INDEX(Utility_Rates!$K$6:$K$17,MONTH(C816))&amp;IF(WEEKDAY(C816,Inputs!$C$76)&lt;=Inputs!$C$74," weekday"," weekend"),Utility_Rates!$C$28:$F$28,Inputs!$C$68)),"")</f>
      </c>
      <c r="H816" s="34"/>
      <c r="I816" s="42">
        <f>IF(AND(ISNUMBER(D816),ISNUMBER(H816)),D816*H816*Inputs!$C$69,"")</f>
      </c>
      <c r="J816" s="42">
        <f>IF(AND(ISNUMBER(F816),ISNUMBER(H816),F816&gt;=Inputs!$C$68),F816*H816*Inputs!$C$69,"")</f>
      </c>
    </row>
    <row r="817" spans="2:10" ht="15" customHeight="1" x14ac:dyDescent="0.2">
      <c r="B817" s="39">
        <f t="shared" si="6"/>
      </c>
      <c r="C817" s="40">
        <f>IF(Inputs!$C$60,Inputs!$C$11+(B817-Inputs!$C$69)/Inputs!$C$70,"")</f>
      </c>
      <c r="D817" s="15"/>
      <c r="E817" s="15"/>
      <c r="F817" s="11">
        <f t="shared" si="7"/>
      </c>
      <c r="G817" s="22" cm="1">
        <f t="array" ref="G817">IF(AND(Inputs!$C$60,Inputs!$C$61),INDEX(Utility_Rates!$C$29:$F$52,HOUR(C817)+Inputs!$C$69,MATCH(INDEX(Utility_Rates!$K$6:$K$17,MONTH(C817))&amp;IF(WEEKDAY(C817,Inputs!$C$76)&lt;=Inputs!$C$74," weekday"," weekend"),Utility_Rates!$C$28:$F$28,Inputs!$C$68)),"")</f>
      </c>
      <c r="H817" s="34"/>
      <c r="I817" s="42">
        <f>IF(AND(ISNUMBER(D817),ISNUMBER(H817)),D817*H817*Inputs!$C$69,"")</f>
      </c>
      <c r="J817" s="42">
        <f>IF(AND(ISNUMBER(F817),ISNUMBER(H817),F817&gt;=Inputs!$C$68),F817*H817*Inputs!$C$69,"")</f>
      </c>
    </row>
    <row r="818" spans="2:10" ht="15" customHeight="1" x14ac:dyDescent="0.2">
      <c r="B818" s="39">
        <f t="shared" si="6"/>
      </c>
      <c r="C818" s="40">
        <f>IF(Inputs!$C$60,Inputs!$C$11+(B818-Inputs!$C$69)/Inputs!$C$70,"")</f>
      </c>
      <c r="D818" s="15"/>
      <c r="E818" s="15"/>
      <c r="F818" s="11">
        <f t="shared" si="7"/>
      </c>
      <c r="G818" s="22" cm="1">
        <f t="array" ref="G818">IF(AND(Inputs!$C$60,Inputs!$C$61),INDEX(Utility_Rates!$C$29:$F$52,HOUR(C818)+Inputs!$C$69,MATCH(INDEX(Utility_Rates!$K$6:$K$17,MONTH(C818))&amp;IF(WEEKDAY(C818,Inputs!$C$76)&lt;=Inputs!$C$74," weekday"," weekend"),Utility_Rates!$C$28:$F$28,Inputs!$C$68)),"")</f>
      </c>
      <c r="H818" s="34"/>
      <c r="I818" s="42">
        <f>IF(AND(ISNUMBER(D818),ISNUMBER(H818)),D818*H818*Inputs!$C$69,"")</f>
      </c>
      <c r="J818" s="42">
        <f>IF(AND(ISNUMBER(F818),ISNUMBER(H818),F818&gt;=Inputs!$C$68),F818*H818*Inputs!$C$69,"")</f>
      </c>
    </row>
    <row r="819" spans="2:10" ht="15" customHeight="1" x14ac:dyDescent="0.2">
      <c r="B819" s="39">
        <f t="shared" si="6"/>
      </c>
      <c r="C819" s="40">
        <f>IF(Inputs!$C$60,Inputs!$C$11+(B819-Inputs!$C$69)/Inputs!$C$70,"")</f>
      </c>
      <c r="D819" s="15"/>
      <c r="E819" s="15"/>
      <c r="F819" s="11">
        <f t="shared" si="7"/>
      </c>
      <c r="G819" s="22" cm="1">
        <f t="array" ref="G819">IF(AND(Inputs!$C$60,Inputs!$C$61),INDEX(Utility_Rates!$C$29:$F$52,HOUR(C819)+Inputs!$C$69,MATCH(INDEX(Utility_Rates!$K$6:$K$17,MONTH(C819))&amp;IF(WEEKDAY(C819,Inputs!$C$76)&lt;=Inputs!$C$74," weekday"," weekend"),Utility_Rates!$C$28:$F$28,Inputs!$C$68)),"")</f>
      </c>
      <c r="H819" s="34"/>
      <c r="I819" s="42">
        <f>IF(AND(ISNUMBER(D819),ISNUMBER(H819)),D819*H819*Inputs!$C$69,"")</f>
      </c>
      <c r="J819" s="42">
        <f>IF(AND(ISNUMBER(F819),ISNUMBER(H819),F819&gt;=Inputs!$C$68),F819*H819*Inputs!$C$69,"")</f>
      </c>
    </row>
    <row r="820" spans="2:10" ht="15" customHeight="1" x14ac:dyDescent="0.2">
      <c r="B820" s="39">
        <f t="shared" si="6"/>
      </c>
      <c r="C820" s="40">
        <f>IF(Inputs!$C$60,Inputs!$C$11+(B820-Inputs!$C$69)/Inputs!$C$70,"")</f>
      </c>
      <c r="D820" s="15"/>
      <c r="E820" s="15"/>
      <c r="F820" s="11">
        <f t="shared" si="7"/>
      </c>
      <c r="G820" s="22" cm="1">
        <f t="array" ref="G820">IF(AND(Inputs!$C$60,Inputs!$C$61),INDEX(Utility_Rates!$C$29:$F$52,HOUR(C820)+Inputs!$C$69,MATCH(INDEX(Utility_Rates!$K$6:$K$17,MONTH(C820))&amp;IF(WEEKDAY(C820,Inputs!$C$76)&lt;=Inputs!$C$74," weekday"," weekend"),Utility_Rates!$C$28:$F$28,Inputs!$C$68)),"")</f>
      </c>
      <c r="H820" s="34"/>
      <c r="I820" s="42">
        <f>IF(AND(ISNUMBER(D820),ISNUMBER(H820)),D820*H820*Inputs!$C$69,"")</f>
      </c>
      <c r="J820" s="42">
        <f>IF(AND(ISNUMBER(F820),ISNUMBER(H820),F820&gt;=Inputs!$C$68),F820*H820*Inputs!$C$69,"")</f>
      </c>
    </row>
    <row r="821" spans="2:10" ht="15" customHeight="1" x14ac:dyDescent="0.2">
      <c r="B821" s="39">
        <f t="shared" si="6"/>
      </c>
      <c r="C821" s="40">
        <f>IF(Inputs!$C$60,Inputs!$C$11+(B821-Inputs!$C$69)/Inputs!$C$70,"")</f>
      </c>
      <c r="D821" s="15"/>
      <c r="E821" s="15"/>
      <c r="F821" s="11">
        <f t="shared" si="7"/>
      </c>
      <c r="G821" s="22" cm="1">
        <f t="array" ref="G821">IF(AND(Inputs!$C$60,Inputs!$C$61),INDEX(Utility_Rates!$C$29:$F$52,HOUR(C821)+Inputs!$C$69,MATCH(INDEX(Utility_Rates!$K$6:$K$17,MONTH(C821))&amp;IF(WEEKDAY(C821,Inputs!$C$76)&lt;=Inputs!$C$74," weekday"," weekend"),Utility_Rates!$C$28:$F$28,Inputs!$C$68)),"")</f>
      </c>
      <c r="H821" s="34"/>
      <c r="I821" s="42">
        <f>IF(AND(ISNUMBER(D821),ISNUMBER(H821)),D821*H821*Inputs!$C$69,"")</f>
      </c>
      <c r="J821" s="42">
        <f>IF(AND(ISNUMBER(F821),ISNUMBER(H821),F821&gt;=Inputs!$C$68),F821*H821*Inputs!$C$69,"")</f>
      </c>
    </row>
    <row r="822" spans="2:10" ht="15" customHeight="1" x14ac:dyDescent="0.2">
      <c r="B822" s="39">
        <f t="shared" si="6"/>
      </c>
      <c r="C822" s="40">
        <f>IF(Inputs!$C$60,Inputs!$C$11+(B822-Inputs!$C$69)/Inputs!$C$70,"")</f>
      </c>
      <c r="D822" s="15"/>
      <c r="E822" s="15"/>
      <c r="F822" s="11">
        <f t="shared" si="7"/>
      </c>
      <c r="G822" s="22" cm="1">
        <f t="array" ref="G822">IF(AND(Inputs!$C$60,Inputs!$C$61),INDEX(Utility_Rates!$C$29:$F$52,HOUR(C822)+Inputs!$C$69,MATCH(INDEX(Utility_Rates!$K$6:$K$17,MONTH(C822))&amp;IF(WEEKDAY(C822,Inputs!$C$76)&lt;=Inputs!$C$74," weekday"," weekend"),Utility_Rates!$C$28:$F$28,Inputs!$C$68)),"")</f>
      </c>
      <c r="H822" s="34"/>
      <c r="I822" s="42">
        <f>IF(AND(ISNUMBER(D822),ISNUMBER(H822)),D822*H822*Inputs!$C$69,"")</f>
      </c>
      <c r="J822" s="42">
        <f>IF(AND(ISNUMBER(F822),ISNUMBER(H822),F822&gt;=Inputs!$C$68),F822*H822*Inputs!$C$69,"")</f>
      </c>
    </row>
    <row r="823" spans="2:10" ht="15" customHeight="1" x14ac:dyDescent="0.2">
      <c r="B823" s="39">
        <f t="shared" si="6"/>
      </c>
      <c r="C823" s="40">
        <f>IF(Inputs!$C$60,Inputs!$C$11+(B823-Inputs!$C$69)/Inputs!$C$70,"")</f>
      </c>
      <c r="D823" s="15"/>
      <c r="E823" s="15"/>
      <c r="F823" s="11">
        <f t="shared" si="7"/>
      </c>
      <c r="G823" s="22" cm="1">
        <f t="array" ref="G823">IF(AND(Inputs!$C$60,Inputs!$C$61),INDEX(Utility_Rates!$C$29:$F$52,HOUR(C823)+Inputs!$C$69,MATCH(INDEX(Utility_Rates!$K$6:$K$17,MONTH(C823))&amp;IF(WEEKDAY(C823,Inputs!$C$76)&lt;=Inputs!$C$74," weekday"," weekend"),Utility_Rates!$C$28:$F$28,Inputs!$C$68)),"")</f>
      </c>
      <c r="H823" s="34"/>
      <c r="I823" s="42">
        <f>IF(AND(ISNUMBER(D823),ISNUMBER(H823)),D823*H823*Inputs!$C$69,"")</f>
      </c>
      <c r="J823" s="42">
        <f>IF(AND(ISNUMBER(F823),ISNUMBER(H823),F823&gt;=Inputs!$C$68),F823*H823*Inputs!$C$69,"")</f>
      </c>
    </row>
    <row r="824" spans="2:10" ht="15" customHeight="1" x14ac:dyDescent="0.2">
      <c r="B824" s="39">
        <f t="shared" si="6"/>
      </c>
      <c r="C824" s="40">
        <f>IF(Inputs!$C$60,Inputs!$C$11+(B824-Inputs!$C$69)/Inputs!$C$70,"")</f>
      </c>
      <c r="D824" s="15"/>
      <c r="E824" s="15"/>
      <c r="F824" s="11">
        <f t="shared" si="7"/>
      </c>
      <c r="G824" s="22" cm="1">
        <f t="array" ref="G824">IF(AND(Inputs!$C$60,Inputs!$C$61),INDEX(Utility_Rates!$C$29:$F$52,HOUR(C824)+Inputs!$C$69,MATCH(INDEX(Utility_Rates!$K$6:$K$17,MONTH(C824))&amp;IF(WEEKDAY(C824,Inputs!$C$76)&lt;=Inputs!$C$74," weekday"," weekend"),Utility_Rates!$C$28:$F$28,Inputs!$C$68)),"")</f>
      </c>
      <c r="H824" s="34"/>
      <c r="I824" s="42">
        <f>IF(AND(ISNUMBER(D824),ISNUMBER(H824)),D824*H824*Inputs!$C$69,"")</f>
      </c>
      <c r="J824" s="42">
        <f>IF(AND(ISNUMBER(F824),ISNUMBER(H824),F824&gt;=Inputs!$C$68),F824*H824*Inputs!$C$69,"")</f>
      </c>
    </row>
    <row r="825" spans="2:10" ht="15" customHeight="1" x14ac:dyDescent="0.2">
      <c r="B825" s="39">
        <f t="shared" si="6"/>
      </c>
      <c r="C825" s="40">
        <f>IF(Inputs!$C$60,Inputs!$C$11+(B825-Inputs!$C$69)/Inputs!$C$70,"")</f>
      </c>
      <c r="D825" s="15"/>
      <c r="E825" s="15"/>
      <c r="F825" s="11">
        <f t="shared" si="7"/>
      </c>
      <c r="G825" s="22" cm="1">
        <f t="array" ref="G825">IF(AND(Inputs!$C$60,Inputs!$C$61),INDEX(Utility_Rates!$C$29:$F$52,HOUR(C825)+Inputs!$C$69,MATCH(INDEX(Utility_Rates!$K$6:$K$17,MONTH(C825))&amp;IF(WEEKDAY(C825,Inputs!$C$76)&lt;=Inputs!$C$74," weekday"," weekend"),Utility_Rates!$C$28:$F$28,Inputs!$C$68)),"")</f>
      </c>
      <c r="H825" s="34"/>
      <c r="I825" s="42">
        <f>IF(AND(ISNUMBER(D825),ISNUMBER(H825)),D825*H825*Inputs!$C$69,"")</f>
      </c>
      <c r="J825" s="42">
        <f>IF(AND(ISNUMBER(F825),ISNUMBER(H825),F825&gt;=Inputs!$C$68),F825*H825*Inputs!$C$69,"")</f>
      </c>
    </row>
    <row r="826" spans="2:10" ht="15" customHeight="1" x14ac:dyDescent="0.2">
      <c r="B826" s="39">
        <f t="shared" si="6"/>
      </c>
      <c r="C826" s="40">
        <f>IF(Inputs!$C$60,Inputs!$C$11+(B826-Inputs!$C$69)/Inputs!$C$70,"")</f>
      </c>
      <c r="D826" s="15"/>
      <c r="E826" s="15"/>
      <c r="F826" s="11">
        <f t="shared" si="7"/>
      </c>
      <c r="G826" s="22" cm="1">
        <f t="array" ref="G826">IF(AND(Inputs!$C$60,Inputs!$C$61),INDEX(Utility_Rates!$C$29:$F$52,HOUR(C826)+Inputs!$C$69,MATCH(INDEX(Utility_Rates!$K$6:$K$17,MONTH(C826))&amp;IF(WEEKDAY(C826,Inputs!$C$76)&lt;=Inputs!$C$74," weekday"," weekend"),Utility_Rates!$C$28:$F$28,Inputs!$C$68)),"")</f>
      </c>
      <c r="H826" s="34"/>
      <c r="I826" s="42">
        <f>IF(AND(ISNUMBER(D826),ISNUMBER(H826)),D826*H826*Inputs!$C$69,"")</f>
      </c>
      <c r="J826" s="42">
        <f>IF(AND(ISNUMBER(F826),ISNUMBER(H826),F826&gt;=Inputs!$C$68),F826*H826*Inputs!$C$69,"")</f>
      </c>
    </row>
    <row r="827" spans="2:10" ht="15" customHeight="1" x14ac:dyDescent="0.2">
      <c r="B827" s="39">
        <f t="shared" si="6"/>
      </c>
      <c r="C827" s="40">
        <f>IF(Inputs!$C$60,Inputs!$C$11+(B827-Inputs!$C$69)/Inputs!$C$70,"")</f>
      </c>
      <c r="D827" s="15"/>
      <c r="E827" s="15"/>
      <c r="F827" s="11">
        <f t="shared" si="7"/>
      </c>
      <c r="G827" s="22" cm="1">
        <f t="array" ref="G827">IF(AND(Inputs!$C$60,Inputs!$C$61),INDEX(Utility_Rates!$C$29:$F$52,HOUR(C827)+Inputs!$C$69,MATCH(INDEX(Utility_Rates!$K$6:$K$17,MONTH(C827))&amp;IF(WEEKDAY(C827,Inputs!$C$76)&lt;=Inputs!$C$74," weekday"," weekend"),Utility_Rates!$C$28:$F$28,Inputs!$C$68)),"")</f>
      </c>
      <c r="H827" s="34"/>
      <c r="I827" s="42">
        <f>IF(AND(ISNUMBER(D827),ISNUMBER(H827)),D827*H827*Inputs!$C$69,"")</f>
      </c>
      <c r="J827" s="42">
        <f>IF(AND(ISNUMBER(F827),ISNUMBER(H827),F827&gt;=Inputs!$C$68),F827*H827*Inputs!$C$69,"")</f>
      </c>
    </row>
    <row r="828" spans="2:10" ht="15" customHeight="1" x14ac:dyDescent="0.2">
      <c r="B828" s="39">
        <f t="shared" si="6"/>
      </c>
      <c r="C828" s="40">
        <f>IF(Inputs!$C$60,Inputs!$C$11+(B828-Inputs!$C$69)/Inputs!$C$70,"")</f>
      </c>
      <c r="D828" s="15"/>
      <c r="E828" s="15"/>
      <c r="F828" s="11">
        <f t="shared" si="7"/>
      </c>
      <c r="G828" s="22" cm="1">
        <f t="array" ref="G828">IF(AND(Inputs!$C$60,Inputs!$C$61),INDEX(Utility_Rates!$C$29:$F$52,HOUR(C828)+Inputs!$C$69,MATCH(INDEX(Utility_Rates!$K$6:$K$17,MONTH(C828))&amp;IF(WEEKDAY(C828,Inputs!$C$76)&lt;=Inputs!$C$74," weekday"," weekend"),Utility_Rates!$C$28:$F$28,Inputs!$C$68)),"")</f>
      </c>
      <c r="H828" s="34"/>
      <c r="I828" s="42">
        <f>IF(AND(ISNUMBER(D828),ISNUMBER(H828)),D828*H828*Inputs!$C$69,"")</f>
      </c>
      <c r="J828" s="42">
        <f>IF(AND(ISNUMBER(F828),ISNUMBER(H828),F828&gt;=Inputs!$C$68),F828*H828*Inputs!$C$69,"")</f>
      </c>
    </row>
    <row r="829" spans="2:10" ht="15" customHeight="1" x14ac:dyDescent="0.2">
      <c r="B829" s="39">
        <f t="shared" si="6"/>
      </c>
      <c r="C829" s="40">
        <f>IF(Inputs!$C$60,Inputs!$C$11+(B829-Inputs!$C$69)/Inputs!$C$70,"")</f>
      </c>
      <c r="D829" s="15"/>
      <c r="E829" s="15"/>
      <c r="F829" s="11">
        <f t="shared" si="7"/>
      </c>
      <c r="G829" s="22" cm="1">
        <f t="array" ref="G829">IF(AND(Inputs!$C$60,Inputs!$C$61),INDEX(Utility_Rates!$C$29:$F$52,HOUR(C829)+Inputs!$C$69,MATCH(INDEX(Utility_Rates!$K$6:$K$17,MONTH(C829))&amp;IF(WEEKDAY(C829,Inputs!$C$76)&lt;=Inputs!$C$74," weekday"," weekend"),Utility_Rates!$C$28:$F$28,Inputs!$C$68)),"")</f>
      </c>
      <c r="H829" s="34"/>
      <c r="I829" s="42">
        <f>IF(AND(ISNUMBER(D829),ISNUMBER(H829)),D829*H829*Inputs!$C$69,"")</f>
      </c>
      <c r="J829" s="42">
        <f>IF(AND(ISNUMBER(F829),ISNUMBER(H829),F829&gt;=Inputs!$C$68),F829*H829*Inputs!$C$69,"")</f>
      </c>
    </row>
    <row r="830" spans="2:10" ht="15" customHeight="1" x14ac:dyDescent="0.2">
      <c r="B830" s="39">
        <f t="shared" si="6"/>
      </c>
      <c r="C830" s="40">
        <f>IF(Inputs!$C$60,Inputs!$C$11+(B830-Inputs!$C$69)/Inputs!$C$70,"")</f>
      </c>
      <c r="D830" s="15"/>
      <c r="E830" s="15"/>
      <c r="F830" s="11">
        <f t="shared" si="7"/>
      </c>
      <c r="G830" s="22" cm="1">
        <f t="array" ref="G830">IF(AND(Inputs!$C$60,Inputs!$C$61),INDEX(Utility_Rates!$C$29:$F$52,HOUR(C830)+Inputs!$C$69,MATCH(INDEX(Utility_Rates!$K$6:$K$17,MONTH(C830))&amp;IF(WEEKDAY(C830,Inputs!$C$76)&lt;=Inputs!$C$74," weekday"," weekend"),Utility_Rates!$C$28:$F$28,Inputs!$C$68)),"")</f>
      </c>
      <c r="H830" s="34"/>
      <c r="I830" s="42">
        <f>IF(AND(ISNUMBER(D830),ISNUMBER(H830)),D830*H830*Inputs!$C$69,"")</f>
      </c>
      <c r="J830" s="42">
        <f>IF(AND(ISNUMBER(F830),ISNUMBER(H830),F830&gt;=Inputs!$C$68),F830*H830*Inputs!$C$69,"")</f>
      </c>
    </row>
    <row r="831" spans="2:10" ht="15" customHeight="1" x14ac:dyDescent="0.2">
      <c r="B831" s="39">
        <f t="shared" si="6"/>
      </c>
      <c r="C831" s="40">
        <f>IF(Inputs!$C$60,Inputs!$C$11+(B831-Inputs!$C$69)/Inputs!$C$70,"")</f>
      </c>
      <c r="D831" s="15"/>
      <c r="E831" s="15"/>
      <c r="F831" s="11">
        <f t="shared" si="7"/>
      </c>
      <c r="G831" s="22" cm="1">
        <f t="array" ref="G831">IF(AND(Inputs!$C$60,Inputs!$C$61),INDEX(Utility_Rates!$C$29:$F$52,HOUR(C831)+Inputs!$C$69,MATCH(INDEX(Utility_Rates!$K$6:$K$17,MONTH(C831))&amp;IF(WEEKDAY(C831,Inputs!$C$76)&lt;=Inputs!$C$74," weekday"," weekend"),Utility_Rates!$C$28:$F$28,Inputs!$C$68)),"")</f>
      </c>
      <c r="H831" s="34"/>
      <c r="I831" s="42">
        <f>IF(AND(ISNUMBER(D831),ISNUMBER(H831)),D831*H831*Inputs!$C$69,"")</f>
      </c>
      <c r="J831" s="42">
        <f>IF(AND(ISNUMBER(F831),ISNUMBER(H831),F831&gt;=Inputs!$C$68),F831*H831*Inputs!$C$69,"")</f>
      </c>
    </row>
    <row r="832" spans="2:10" ht="15" customHeight="1" x14ac:dyDescent="0.2">
      <c r="B832" s="39">
        <f t="shared" si="6"/>
      </c>
      <c r="C832" s="40">
        <f>IF(Inputs!$C$60,Inputs!$C$11+(B832-Inputs!$C$69)/Inputs!$C$70,"")</f>
      </c>
      <c r="D832" s="15"/>
      <c r="E832" s="15"/>
      <c r="F832" s="11">
        <f t="shared" si="7"/>
      </c>
      <c r="G832" s="22" cm="1">
        <f t="array" ref="G832">IF(AND(Inputs!$C$60,Inputs!$C$61),INDEX(Utility_Rates!$C$29:$F$52,HOUR(C832)+Inputs!$C$69,MATCH(INDEX(Utility_Rates!$K$6:$K$17,MONTH(C832))&amp;IF(WEEKDAY(C832,Inputs!$C$76)&lt;=Inputs!$C$74," weekday"," weekend"),Utility_Rates!$C$28:$F$28,Inputs!$C$68)),"")</f>
      </c>
      <c r="H832" s="34"/>
      <c r="I832" s="42">
        <f>IF(AND(ISNUMBER(D832),ISNUMBER(H832)),D832*H832*Inputs!$C$69,"")</f>
      </c>
      <c r="J832" s="42">
        <f>IF(AND(ISNUMBER(F832),ISNUMBER(H832),F832&gt;=Inputs!$C$68),F832*H832*Inputs!$C$69,"")</f>
      </c>
    </row>
    <row r="833" spans="2:10" ht="15" customHeight="1" x14ac:dyDescent="0.2">
      <c r="B833" s="39">
        <f t="shared" si="6"/>
      </c>
      <c r="C833" s="40">
        <f>IF(Inputs!$C$60,Inputs!$C$11+(B833-Inputs!$C$69)/Inputs!$C$70,"")</f>
      </c>
      <c r="D833" s="15"/>
      <c r="E833" s="15"/>
      <c r="F833" s="11">
        <f t="shared" si="7"/>
      </c>
      <c r="G833" s="22" cm="1">
        <f t="array" ref="G833">IF(AND(Inputs!$C$60,Inputs!$C$61),INDEX(Utility_Rates!$C$29:$F$52,HOUR(C833)+Inputs!$C$69,MATCH(INDEX(Utility_Rates!$K$6:$K$17,MONTH(C833))&amp;IF(WEEKDAY(C833,Inputs!$C$76)&lt;=Inputs!$C$74," weekday"," weekend"),Utility_Rates!$C$28:$F$28,Inputs!$C$68)),"")</f>
      </c>
      <c r="H833" s="34"/>
      <c r="I833" s="42">
        <f>IF(AND(ISNUMBER(D833),ISNUMBER(H833)),D833*H833*Inputs!$C$69,"")</f>
      </c>
      <c r="J833" s="42">
        <f>IF(AND(ISNUMBER(F833),ISNUMBER(H833),F833&gt;=Inputs!$C$68),F833*H833*Inputs!$C$69,"")</f>
      </c>
    </row>
    <row r="834" spans="2:10" ht="15" customHeight="1" x14ac:dyDescent="0.2">
      <c r="B834" s="39">
        <f t="shared" si="6"/>
      </c>
      <c r="C834" s="40">
        <f>IF(Inputs!$C$60,Inputs!$C$11+(B834-Inputs!$C$69)/Inputs!$C$70,"")</f>
      </c>
      <c r="D834" s="15"/>
      <c r="E834" s="15"/>
      <c r="F834" s="11">
        <f t="shared" si="7"/>
      </c>
      <c r="G834" s="22" cm="1">
        <f t="array" ref="G834">IF(AND(Inputs!$C$60,Inputs!$C$61),INDEX(Utility_Rates!$C$29:$F$52,HOUR(C834)+Inputs!$C$69,MATCH(INDEX(Utility_Rates!$K$6:$K$17,MONTH(C834))&amp;IF(WEEKDAY(C834,Inputs!$C$76)&lt;=Inputs!$C$74," weekday"," weekend"),Utility_Rates!$C$28:$F$28,Inputs!$C$68)),"")</f>
      </c>
      <c r="H834" s="34"/>
      <c r="I834" s="42">
        <f>IF(AND(ISNUMBER(D834),ISNUMBER(H834)),D834*H834*Inputs!$C$69,"")</f>
      </c>
      <c r="J834" s="42">
        <f>IF(AND(ISNUMBER(F834),ISNUMBER(H834),F834&gt;=Inputs!$C$68),F834*H834*Inputs!$C$69,"")</f>
      </c>
    </row>
    <row r="835" spans="2:10" ht="15" customHeight="1" x14ac:dyDescent="0.2">
      <c r="B835" s="39">
        <f t="shared" si="6"/>
      </c>
      <c r="C835" s="40">
        <f>IF(Inputs!$C$60,Inputs!$C$11+(B835-Inputs!$C$69)/Inputs!$C$70,"")</f>
      </c>
      <c r="D835" s="15"/>
      <c r="E835" s="15"/>
      <c r="F835" s="11">
        <f t="shared" si="7"/>
      </c>
      <c r="G835" s="22" cm="1">
        <f t="array" ref="G835">IF(AND(Inputs!$C$60,Inputs!$C$61),INDEX(Utility_Rates!$C$29:$F$52,HOUR(C835)+Inputs!$C$69,MATCH(INDEX(Utility_Rates!$K$6:$K$17,MONTH(C835))&amp;IF(WEEKDAY(C835,Inputs!$C$76)&lt;=Inputs!$C$74," weekday"," weekend"),Utility_Rates!$C$28:$F$28,Inputs!$C$68)),"")</f>
      </c>
      <c r="H835" s="34"/>
      <c r="I835" s="42">
        <f>IF(AND(ISNUMBER(D835),ISNUMBER(H835)),D835*H835*Inputs!$C$69,"")</f>
      </c>
      <c r="J835" s="42">
        <f>IF(AND(ISNUMBER(F835),ISNUMBER(H835),F835&gt;=Inputs!$C$68),F835*H835*Inputs!$C$69,"")</f>
      </c>
    </row>
    <row r="836" spans="2:10" ht="15" customHeight="1" x14ac:dyDescent="0.2">
      <c r="B836" s="39">
        <f t="shared" si="6"/>
      </c>
      <c r="C836" s="40">
        <f>IF(Inputs!$C$60,Inputs!$C$11+(B836-Inputs!$C$69)/Inputs!$C$70,"")</f>
      </c>
      <c r="D836" s="15"/>
      <c r="E836" s="15"/>
      <c r="F836" s="11">
        <f t="shared" si="7"/>
      </c>
      <c r="G836" s="22" cm="1">
        <f t="array" ref="G836">IF(AND(Inputs!$C$60,Inputs!$C$61),INDEX(Utility_Rates!$C$29:$F$52,HOUR(C836)+Inputs!$C$69,MATCH(INDEX(Utility_Rates!$K$6:$K$17,MONTH(C836))&amp;IF(WEEKDAY(C836,Inputs!$C$76)&lt;=Inputs!$C$74," weekday"," weekend"),Utility_Rates!$C$28:$F$28,Inputs!$C$68)),"")</f>
      </c>
      <c r="H836" s="34"/>
      <c r="I836" s="42">
        <f>IF(AND(ISNUMBER(D836),ISNUMBER(H836)),D836*H836*Inputs!$C$69,"")</f>
      </c>
      <c r="J836" s="42">
        <f>IF(AND(ISNUMBER(F836),ISNUMBER(H836),F836&gt;=Inputs!$C$68),F836*H836*Inputs!$C$69,"")</f>
      </c>
    </row>
    <row r="837" spans="2:10" ht="15" customHeight="1" x14ac:dyDescent="0.2">
      <c r="B837" s="39">
        <f t="shared" si="6"/>
      </c>
      <c r="C837" s="40">
        <f>IF(Inputs!$C$60,Inputs!$C$11+(B837-Inputs!$C$69)/Inputs!$C$70,"")</f>
      </c>
      <c r="D837" s="15"/>
      <c r="E837" s="15"/>
      <c r="F837" s="11">
        <f t="shared" si="7"/>
      </c>
      <c r="G837" s="22" cm="1">
        <f t="array" ref="G837">IF(AND(Inputs!$C$60,Inputs!$C$61),INDEX(Utility_Rates!$C$29:$F$52,HOUR(C837)+Inputs!$C$69,MATCH(INDEX(Utility_Rates!$K$6:$K$17,MONTH(C837))&amp;IF(WEEKDAY(C837,Inputs!$C$76)&lt;=Inputs!$C$74," weekday"," weekend"),Utility_Rates!$C$28:$F$28,Inputs!$C$68)),"")</f>
      </c>
      <c r="H837" s="34"/>
      <c r="I837" s="42">
        <f>IF(AND(ISNUMBER(D837),ISNUMBER(H837)),D837*H837*Inputs!$C$69,"")</f>
      </c>
      <c r="J837" s="42">
        <f>IF(AND(ISNUMBER(F837),ISNUMBER(H837),F837&gt;=Inputs!$C$68),F837*H837*Inputs!$C$69,"")</f>
      </c>
    </row>
    <row r="838" spans="2:10" ht="15" customHeight="1" x14ac:dyDescent="0.2">
      <c r="B838" s="39">
        <f t="shared" si="6"/>
      </c>
      <c r="C838" s="40">
        <f>IF(Inputs!$C$60,Inputs!$C$11+(B838-Inputs!$C$69)/Inputs!$C$70,"")</f>
      </c>
      <c r="D838" s="15"/>
      <c r="E838" s="15"/>
      <c r="F838" s="11">
        <f t="shared" si="7"/>
      </c>
      <c r="G838" s="22" cm="1">
        <f t="array" ref="G838">IF(AND(Inputs!$C$60,Inputs!$C$61),INDEX(Utility_Rates!$C$29:$F$52,HOUR(C838)+Inputs!$C$69,MATCH(INDEX(Utility_Rates!$K$6:$K$17,MONTH(C838))&amp;IF(WEEKDAY(C838,Inputs!$C$76)&lt;=Inputs!$C$74," weekday"," weekend"),Utility_Rates!$C$28:$F$28,Inputs!$C$68)),"")</f>
      </c>
      <c r="H838" s="34"/>
      <c r="I838" s="42">
        <f>IF(AND(ISNUMBER(D838),ISNUMBER(H838)),D838*H838*Inputs!$C$69,"")</f>
      </c>
      <c r="J838" s="42">
        <f>IF(AND(ISNUMBER(F838),ISNUMBER(H838),F838&gt;=Inputs!$C$68),F838*H838*Inputs!$C$69,"")</f>
      </c>
    </row>
    <row r="839" spans="2:10" ht="15" customHeight="1" x14ac:dyDescent="0.2">
      <c r="B839" s="39">
        <f t="shared" si="6"/>
      </c>
      <c r="C839" s="40">
        <f>IF(Inputs!$C$60,Inputs!$C$11+(B839-Inputs!$C$69)/Inputs!$C$70,"")</f>
      </c>
      <c r="D839" s="15"/>
      <c r="E839" s="15"/>
      <c r="F839" s="11">
        <f t="shared" si="7"/>
      </c>
      <c r="G839" s="22" cm="1">
        <f t="array" ref="G839">IF(AND(Inputs!$C$60,Inputs!$C$61),INDEX(Utility_Rates!$C$29:$F$52,HOUR(C839)+Inputs!$C$69,MATCH(INDEX(Utility_Rates!$K$6:$K$17,MONTH(C839))&amp;IF(WEEKDAY(C839,Inputs!$C$76)&lt;=Inputs!$C$74," weekday"," weekend"),Utility_Rates!$C$28:$F$28,Inputs!$C$68)),"")</f>
      </c>
      <c r="H839" s="34"/>
      <c r="I839" s="42">
        <f>IF(AND(ISNUMBER(D839),ISNUMBER(H839)),D839*H839*Inputs!$C$69,"")</f>
      </c>
      <c r="J839" s="42">
        <f>IF(AND(ISNUMBER(F839),ISNUMBER(H839),F839&gt;=Inputs!$C$68),F839*H839*Inputs!$C$69,"")</f>
      </c>
    </row>
    <row r="840" spans="2:10" ht="15" customHeight="1" x14ac:dyDescent="0.2">
      <c r="B840" s="39">
        <f t="shared" si="6"/>
      </c>
      <c r="C840" s="40">
        <f>IF(Inputs!$C$60,Inputs!$C$11+(B840-Inputs!$C$69)/Inputs!$C$70,"")</f>
      </c>
      <c r="D840" s="15"/>
      <c r="E840" s="15"/>
      <c r="F840" s="11">
        <f t="shared" si="7"/>
      </c>
      <c r="G840" s="22" cm="1">
        <f t="array" ref="G840">IF(AND(Inputs!$C$60,Inputs!$C$61),INDEX(Utility_Rates!$C$29:$F$52,HOUR(C840)+Inputs!$C$69,MATCH(INDEX(Utility_Rates!$K$6:$K$17,MONTH(C840))&amp;IF(WEEKDAY(C840,Inputs!$C$76)&lt;=Inputs!$C$74," weekday"," weekend"),Utility_Rates!$C$28:$F$28,Inputs!$C$68)),"")</f>
      </c>
      <c r="H840" s="34"/>
      <c r="I840" s="42">
        <f>IF(AND(ISNUMBER(D840),ISNUMBER(H840)),D840*H840*Inputs!$C$69,"")</f>
      </c>
      <c r="J840" s="42">
        <f>IF(AND(ISNUMBER(F840),ISNUMBER(H840),F840&gt;=Inputs!$C$68),F840*H840*Inputs!$C$69,"")</f>
      </c>
    </row>
    <row r="841" spans="2:10" ht="15" customHeight="1" x14ac:dyDescent="0.2">
      <c r="B841" s="39">
        <f t="shared" si="6"/>
      </c>
      <c r="C841" s="40">
        <f>IF(Inputs!$C$60,Inputs!$C$11+(B841-Inputs!$C$69)/Inputs!$C$70,"")</f>
      </c>
      <c r="D841" s="15"/>
      <c r="E841" s="15"/>
      <c r="F841" s="11">
        <f t="shared" si="7"/>
      </c>
      <c r="G841" s="22" cm="1">
        <f t="array" ref="G841">IF(AND(Inputs!$C$60,Inputs!$C$61),INDEX(Utility_Rates!$C$29:$F$52,HOUR(C841)+Inputs!$C$69,MATCH(INDEX(Utility_Rates!$K$6:$K$17,MONTH(C841))&amp;IF(WEEKDAY(C841,Inputs!$C$76)&lt;=Inputs!$C$74," weekday"," weekend"),Utility_Rates!$C$28:$F$28,Inputs!$C$68)),"")</f>
      </c>
      <c r="H841" s="34"/>
      <c r="I841" s="42">
        <f>IF(AND(ISNUMBER(D841),ISNUMBER(H841)),D841*H841*Inputs!$C$69,"")</f>
      </c>
      <c r="J841" s="42">
        <f>IF(AND(ISNUMBER(F841),ISNUMBER(H841),F841&gt;=Inputs!$C$68),F841*H841*Inputs!$C$69,"")</f>
      </c>
    </row>
    <row r="842" spans="2:10" ht="15" customHeight="1" x14ac:dyDescent="0.2">
      <c r="B842" s="39">
        <f t="shared" si="6"/>
      </c>
      <c r="C842" s="40">
        <f>IF(Inputs!$C$60,Inputs!$C$11+(B842-Inputs!$C$69)/Inputs!$C$70,"")</f>
      </c>
      <c r="D842" s="15"/>
      <c r="E842" s="15"/>
      <c r="F842" s="11">
        <f t="shared" si="7"/>
      </c>
      <c r="G842" s="22" cm="1">
        <f t="array" ref="G842">IF(AND(Inputs!$C$60,Inputs!$C$61),INDEX(Utility_Rates!$C$29:$F$52,HOUR(C842)+Inputs!$C$69,MATCH(INDEX(Utility_Rates!$K$6:$K$17,MONTH(C842))&amp;IF(WEEKDAY(C842,Inputs!$C$76)&lt;=Inputs!$C$74," weekday"," weekend"),Utility_Rates!$C$28:$F$28,Inputs!$C$68)),"")</f>
      </c>
      <c r="H842" s="34"/>
      <c r="I842" s="42">
        <f>IF(AND(ISNUMBER(D842),ISNUMBER(H842)),D842*H842*Inputs!$C$69,"")</f>
      </c>
      <c r="J842" s="42">
        <f>IF(AND(ISNUMBER(F842),ISNUMBER(H842),F842&gt;=Inputs!$C$68),F842*H842*Inputs!$C$69,"")</f>
      </c>
    </row>
    <row r="843" spans="2:10" ht="15" customHeight="1" x14ac:dyDescent="0.2">
      <c r="B843" s="39">
        <f t="shared" si="6"/>
      </c>
      <c r="C843" s="40">
        <f>IF(Inputs!$C$60,Inputs!$C$11+(B843-Inputs!$C$69)/Inputs!$C$70,"")</f>
      </c>
      <c r="D843" s="15"/>
      <c r="E843" s="15"/>
      <c r="F843" s="11">
        <f t="shared" si="7"/>
      </c>
      <c r="G843" s="22" cm="1">
        <f t="array" ref="G843">IF(AND(Inputs!$C$60,Inputs!$C$61),INDEX(Utility_Rates!$C$29:$F$52,HOUR(C843)+Inputs!$C$69,MATCH(INDEX(Utility_Rates!$K$6:$K$17,MONTH(C843))&amp;IF(WEEKDAY(C843,Inputs!$C$76)&lt;=Inputs!$C$74," weekday"," weekend"),Utility_Rates!$C$28:$F$28,Inputs!$C$68)),"")</f>
      </c>
      <c r="H843" s="34"/>
      <c r="I843" s="42">
        <f>IF(AND(ISNUMBER(D843),ISNUMBER(H843)),D843*H843*Inputs!$C$69,"")</f>
      </c>
      <c r="J843" s="42">
        <f>IF(AND(ISNUMBER(F843),ISNUMBER(H843),F843&gt;=Inputs!$C$68),F843*H843*Inputs!$C$69,"")</f>
      </c>
    </row>
    <row r="844" spans="2:10" ht="15" customHeight="1" x14ac:dyDescent="0.2">
      <c r="B844" s="39">
        <f t="shared" si="6"/>
      </c>
      <c r="C844" s="40">
        <f>IF(Inputs!$C$60,Inputs!$C$11+(B844-Inputs!$C$69)/Inputs!$C$70,"")</f>
      </c>
      <c r="D844" s="15"/>
      <c r="E844" s="15"/>
      <c r="F844" s="11">
        <f t="shared" si="7"/>
      </c>
      <c r="G844" s="22" cm="1">
        <f t="array" ref="G844">IF(AND(Inputs!$C$60,Inputs!$C$61),INDEX(Utility_Rates!$C$29:$F$52,HOUR(C844)+Inputs!$C$69,MATCH(INDEX(Utility_Rates!$K$6:$K$17,MONTH(C844))&amp;IF(WEEKDAY(C844,Inputs!$C$76)&lt;=Inputs!$C$74," weekday"," weekend"),Utility_Rates!$C$28:$F$28,Inputs!$C$68)),"")</f>
      </c>
      <c r="H844" s="34"/>
      <c r="I844" s="42">
        <f>IF(AND(ISNUMBER(D844),ISNUMBER(H844)),D844*H844*Inputs!$C$69,"")</f>
      </c>
      <c r="J844" s="42">
        <f>IF(AND(ISNUMBER(F844),ISNUMBER(H844),F844&gt;=Inputs!$C$68),F844*H844*Inputs!$C$69,"")</f>
      </c>
    </row>
    <row r="845" spans="2:10" ht="15" customHeight="1" x14ac:dyDescent="0.2">
      <c r="B845" s="39">
        <f t="shared" si="6"/>
      </c>
      <c r="C845" s="40">
        <f>IF(Inputs!$C$60,Inputs!$C$11+(B845-Inputs!$C$69)/Inputs!$C$70,"")</f>
      </c>
      <c r="D845" s="15"/>
      <c r="E845" s="15"/>
      <c r="F845" s="11">
        <f t="shared" si="7"/>
      </c>
      <c r="G845" s="22" cm="1">
        <f t="array" ref="G845">IF(AND(Inputs!$C$60,Inputs!$C$61),INDEX(Utility_Rates!$C$29:$F$52,HOUR(C845)+Inputs!$C$69,MATCH(INDEX(Utility_Rates!$K$6:$K$17,MONTH(C845))&amp;IF(WEEKDAY(C845,Inputs!$C$76)&lt;=Inputs!$C$74," weekday"," weekend"),Utility_Rates!$C$28:$F$28,Inputs!$C$68)),"")</f>
      </c>
      <c r="H845" s="34"/>
      <c r="I845" s="42">
        <f>IF(AND(ISNUMBER(D845),ISNUMBER(H845)),D845*H845*Inputs!$C$69,"")</f>
      </c>
      <c r="J845" s="42">
        <f>IF(AND(ISNUMBER(F845),ISNUMBER(H845),F845&gt;=Inputs!$C$68),F845*H845*Inputs!$C$69,"")</f>
      </c>
    </row>
    <row r="846" spans="2:10" ht="15" customHeight="1" x14ac:dyDescent="0.2">
      <c r="B846" s="39">
        <f t="shared" si="6"/>
      </c>
      <c r="C846" s="40">
        <f>IF(Inputs!$C$60,Inputs!$C$11+(B846-Inputs!$C$69)/Inputs!$C$70,"")</f>
      </c>
      <c r="D846" s="15"/>
      <c r="E846" s="15"/>
      <c r="F846" s="11">
        <f t="shared" si="7"/>
      </c>
      <c r="G846" s="22" cm="1">
        <f t="array" ref="G846">IF(AND(Inputs!$C$60,Inputs!$C$61),INDEX(Utility_Rates!$C$29:$F$52,HOUR(C846)+Inputs!$C$69,MATCH(INDEX(Utility_Rates!$K$6:$K$17,MONTH(C846))&amp;IF(WEEKDAY(C846,Inputs!$C$76)&lt;=Inputs!$C$74," weekday"," weekend"),Utility_Rates!$C$28:$F$28,Inputs!$C$68)),"")</f>
      </c>
      <c r="H846" s="34"/>
      <c r="I846" s="42">
        <f>IF(AND(ISNUMBER(D846),ISNUMBER(H846)),D846*H846*Inputs!$C$69,"")</f>
      </c>
      <c r="J846" s="42">
        <f>IF(AND(ISNUMBER(F846),ISNUMBER(H846),F846&gt;=Inputs!$C$68),F846*H846*Inputs!$C$69,"")</f>
      </c>
    </row>
    <row r="847" spans="2:10" ht="15" customHeight="1" x14ac:dyDescent="0.2">
      <c r="B847" s="39">
        <f t="shared" si="6"/>
      </c>
      <c r="C847" s="40">
        <f>IF(Inputs!$C$60,Inputs!$C$11+(B847-Inputs!$C$69)/Inputs!$C$70,"")</f>
      </c>
      <c r="D847" s="15"/>
      <c r="E847" s="15"/>
      <c r="F847" s="11">
        <f t="shared" si="7"/>
      </c>
      <c r="G847" s="22" cm="1">
        <f t="array" ref="G847">IF(AND(Inputs!$C$60,Inputs!$C$61),INDEX(Utility_Rates!$C$29:$F$52,HOUR(C847)+Inputs!$C$69,MATCH(INDEX(Utility_Rates!$K$6:$K$17,MONTH(C847))&amp;IF(WEEKDAY(C847,Inputs!$C$76)&lt;=Inputs!$C$74," weekday"," weekend"),Utility_Rates!$C$28:$F$28,Inputs!$C$68)),"")</f>
      </c>
      <c r="H847" s="34"/>
      <c r="I847" s="42">
        <f>IF(AND(ISNUMBER(D847),ISNUMBER(H847)),D847*H847*Inputs!$C$69,"")</f>
      </c>
      <c r="J847" s="42">
        <f>IF(AND(ISNUMBER(F847),ISNUMBER(H847),F847&gt;=Inputs!$C$68),F847*H847*Inputs!$C$69,"")</f>
      </c>
    </row>
    <row r="848" spans="2:10" ht="15" customHeight="1" x14ac:dyDescent="0.2">
      <c r="B848" s="39">
        <f t="shared" si="6"/>
      </c>
      <c r="C848" s="40">
        <f>IF(Inputs!$C$60,Inputs!$C$11+(B848-Inputs!$C$69)/Inputs!$C$70,"")</f>
      </c>
      <c r="D848" s="15"/>
      <c r="E848" s="15"/>
      <c r="F848" s="11">
        <f t="shared" si="7"/>
      </c>
      <c r="G848" s="22" cm="1">
        <f t="array" ref="G848">IF(AND(Inputs!$C$60,Inputs!$C$61),INDEX(Utility_Rates!$C$29:$F$52,HOUR(C848)+Inputs!$C$69,MATCH(INDEX(Utility_Rates!$K$6:$K$17,MONTH(C848))&amp;IF(WEEKDAY(C848,Inputs!$C$76)&lt;=Inputs!$C$74," weekday"," weekend"),Utility_Rates!$C$28:$F$28,Inputs!$C$68)),"")</f>
      </c>
      <c r="H848" s="34"/>
      <c r="I848" s="42">
        <f>IF(AND(ISNUMBER(D848),ISNUMBER(H848)),D848*H848*Inputs!$C$69,"")</f>
      </c>
      <c r="J848" s="42">
        <f>IF(AND(ISNUMBER(F848),ISNUMBER(H848),F848&gt;=Inputs!$C$68),F848*H848*Inputs!$C$69,"")</f>
      </c>
    </row>
    <row r="849" spans="2:10" ht="15" customHeight="1" x14ac:dyDescent="0.2">
      <c r="B849" s="39">
        <f t="shared" si="6"/>
      </c>
      <c r="C849" s="40">
        <f>IF(Inputs!$C$60,Inputs!$C$11+(B849-Inputs!$C$69)/Inputs!$C$70,"")</f>
      </c>
      <c r="D849" s="15"/>
      <c r="E849" s="15"/>
      <c r="F849" s="11">
        <f t="shared" si="7"/>
      </c>
      <c r="G849" s="22" cm="1">
        <f t="array" ref="G849">IF(AND(Inputs!$C$60,Inputs!$C$61),INDEX(Utility_Rates!$C$29:$F$52,HOUR(C849)+Inputs!$C$69,MATCH(INDEX(Utility_Rates!$K$6:$K$17,MONTH(C849))&amp;IF(WEEKDAY(C849,Inputs!$C$76)&lt;=Inputs!$C$74," weekday"," weekend"),Utility_Rates!$C$28:$F$28,Inputs!$C$68)),"")</f>
      </c>
      <c r="H849" s="34"/>
      <c r="I849" s="42">
        <f>IF(AND(ISNUMBER(D849),ISNUMBER(H849)),D849*H849*Inputs!$C$69,"")</f>
      </c>
      <c r="J849" s="42">
        <f>IF(AND(ISNUMBER(F849),ISNUMBER(H849),F849&gt;=Inputs!$C$68),F849*H849*Inputs!$C$69,"")</f>
      </c>
    </row>
    <row r="850" spans="2:10" ht="15" customHeight="1" x14ac:dyDescent="0.2">
      <c r="B850" s="39">
        <f t="shared" si="6"/>
      </c>
      <c r="C850" s="40">
        <f>IF(Inputs!$C$60,Inputs!$C$11+(B850-Inputs!$C$69)/Inputs!$C$70,"")</f>
      </c>
      <c r="D850" s="15"/>
      <c r="E850" s="15"/>
      <c r="F850" s="11">
        <f t="shared" si="7"/>
      </c>
      <c r="G850" s="22" cm="1">
        <f t="array" ref="G850">IF(AND(Inputs!$C$60,Inputs!$C$61),INDEX(Utility_Rates!$C$29:$F$52,HOUR(C850)+Inputs!$C$69,MATCH(INDEX(Utility_Rates!$K$6:$K$17,MONTH(C850))&amp;IF(WEEKDAY(C850,Inputs!$C$76)&lt;=Inputs!$C$74," weekday"," weekend"),Utility_Rates!$C$28:$F$28,Inputs!$C$68)),"")</f>
      </c>
      <c r="H850" s="34"/>
      <c r="I850" s="42">
        <f>IF(AND(ISNUMBER(D850),ISNUMBER(H850)),D850*H850*Inputs!$C$69,"")</f>
      </c>
      <c r="J850" s="42">
        <f>IF(AND(ISNUMBER(F850),ISNUMBER(H850),F850&gt;=Inputs!$C$68),F850*H850*Inputs!$C$69,"")</f>
      </c>
    </row>
    <row r="851" spans="2:10" ht="15" customHeight="1" x14ac:dyDescent="0.2">
      <c r="B851" s="39">
        <f t="shared" si="6"/>
      </c>
      <c r="C851" s="40">
        <f>IF(Inputs!$C$60,Inputs!$C$11+(B851-Inputs!$C$69)/Inputs!$C$70,"")</f>
      </c>
      <c r="D851" s="15"/>
      <c r="E851" s="15"/>
      <c r="F851" s="11">
        <f t="shared" si="7"/>
      </c>
      <c r="G851" s="22" cm="1">
        <f t="array" ref="G851">IF(AND(Inputs!$C$60,Inputs!$C$61),INDEX(Utility_Rates!$C$29:$F$52,HOUR(C851)+Inputs!$C$69,MATCH(INDEX(Utility_Rates!$K$6:$K$17,MONTH(C851))&amp;IF(WEEKDAY(C851,Inputs!$C$76)&lt;=Inputs!$C$74," weekday"," weekend"),Utility_Rates!$C$28:$F$28,Inputs!$C$68)),"")</f>
      </c>
      <c r="H851" s="34"/>
      <c r="I851" s="42">
        <f>IF(AND(ISNUMBER(D851),ISNUMBER(H851)),D851*H851*Inputs!$C$69,"")</f>
      </c>
      <c r="J851" s="42">
        <f>IF(AND(ISNUMBER(F851),ISNUMBER(H851),F851&gt;=Inputs!$C$68),F851*H851*Inputs!$C$69,"")</f>
      </c>
    </row>
    <row r="852" spans="2:10" ht="15" customHeight="1" x14ac:dyDescent="0.2">
      <c r="B852" s="39">
        <f t="shared" si="6"/>
      </c>
      <c r="C852" s="40">
        <f>IF(Inputs!$C$60,Inputs!$C$11+(B852-Inputs!$C$69)/Inputs!$C$70,"")</f>
      </c>
      <c r="D852" s="15"/>
      <c r="E852" s="15"/>
      <c r="F852" s="11">
        <f t="shared" si="7"/>
      </c>
      <c r="G852" s="22" cm="1">
        <f t="array" ref="G852">IF(AND(Inputs!$C$60,Inputs!$C$61),INDEX(Utility_Rates!$C$29:$F$52,HOUR(C852)+Inputs!$C$69,MATCH(INDEX(Utility_Rates!$K$6:$K$17,MONTH(C852))&amp;IF(WEEKDAY(C852,Inputs!$C$76)&lt;=Inputs!$C$74," weekday"," weekend"),Utility_Rates!$C$28:$F$28,Inputs!$C$68)),"")</f>
      </c>
      <c r="H852" s="34"/>
      <c r="I852" s="42">
        <f>IF(AND(ISNUMBER(D852),ISNUMBER(H852)),D852*H852*Inputs!$C$69,"")</f>
      </c>
      <c r="J852" s="42">
        <f>IF(AND(ISNUMBER(F852),ISNUMBER(H852),F852&gt;=Inputs!$C$68),F852*H852*Inputs!$C$69,"")</f>
      </c>
    </row>
    <row r="853" spans="2:10" ht="15" customHeight="1" x14ac:dyDescent="0.2">
      <c r="B853" s="39">
        <f t="shared" si="6"/>
      </c>
      <c r="C853" s="40">
        <f>IF(Inputs!$C$60,Inputs!$C$11+(B853-Inputs!$C$69)/Inputs!$C$70,"")</f>
      </c>
      <c r="D853" s="15"/>
      <c r="E853" s="15"/>
      <c r="F853" s="11">
        <f t="shared" si="7"/>
      </c>
      <c r="G853" s="22" cm="1">
        <f t="array" ref="G853">IF(AND(Inputs!$C$60,Inputs!$C$61),INDEX(Utility_Rates!$C$29:$F$52,HOUR(C853)+Inputs!$C$69,MATCH(INDEX(Utility_Rates!$K$6:$K$17,MONTH(C853))&amp;IF(WEEKDAY(C853,Inputs!$C$76)&lt;=Inputs!$C$74," weekday"," weekend"),Utility_Rates!$C$28:$F$28,Inputs!$C$68)),"")</f>
      </c>
      <c r="H853" s="34"/>
      <c r="I853" s="42">
        <f>IF(AND(ISNUMBER(D853),ISNUMBER(H853)),D853*H853*Inputs!$C$69,"")</f>
      </c>
      <c r="J853" s="42">
        <f>IF(AND(ISNUMBER(F853),ISNUMBER(H853),F853&gt;=Inputs!$C$68),F853*H853*Inputs!$C$69,"")</f>
      </c>
    </row>
    <row r="854" spans="2:10" ht="15" customHeight="1" x14ac:dyDescent="0.2">
      <c r="B854" s="39">
        <f t="shared" si="6"/>
      </c>
      <c r="C854" s="40">
        <f>IF(Inputs!$C$60,Inputs!$C$11+(B854-Inputs!$C$69)/Inputs!$C$70,"")</f>
      </c>
      <c r="D854" s="15"/>
      <c r="E854" s="15"/>
      <c r="F854" s="11">
        <f t="shared" si="7"/>
      </c>
      <c r="G854" s="22" cm="1">
        <f t="array" ref="G854">IF(AND(Inputs!$C$60,Inputs!$C$61),INDEX(Utility_Rates!$C$29:$F$52,HOUR(C854)+Inputs!$C$69,MATCH(INDEX(Utility_Rates!$K$6:$K$17,MONTH(C854))&amp;IF(WEEKDAY(C854,Inputs!$C$76)&lt;=Inputs!$C$74," weekday"," weekend"),Utility_Rates!$C$28:$F$28,Inputs!$C$68)),"")</f>
      </c>
      <c r="H854" s="34"/>
      <c r="I854" s="42">
        <f>IF(AND(ISNUMBER(D854),ISNUMBER(H854)),D854*H854*Inputs!$C$69,"")</f>
      </c>
      <c r="J854" s="42">
        <f>IF(AND(ISNUMBER(F854),ISNUMBER(H854),F854&gt;=Inputs!$C$68),F854*H854*Inputs!$C$69,"")</f>
      </c>
    </row>
    <row r="855" spans="2:10" ht="15" customHeight="1" x14ac:dyDescent="0.2">
      <c r="B855" s="39">
        <f t="shared" si="6"/>
      </c>
      <c r="C855" s="40">
        <f>IF(Inputs!$C$60,Inputs!$C$11+(B855-Inputs!$C$69)/Inputs!$C$70,"")</f>
      </c>
      <c r="D855" s="15"/>
      <c r="E855" s="15"/>
      <c r="F855" s="11">
        <f t="shared" si="7"/>
      </c>
      <c r="G855" s="22" cm="1">
        <f t="array" ref="G855">IF(AND(Inputs!$C$60,Inputs!$C$61),INDEX(Utility_Rates!$C$29:$F$52,HOUR(C855)+Inputs!$C$69,MATCH(INDEX(Utility_Rates!$K$6:$K$17,MONTH(C855))&amp;IF(WEEKDAY(C855,Inputs!$C$76)&lt;=Inputs!$C$74," weekday"," weekend"),Utility_Rates!$C$28:$F$28,Inputs!$C$68)),"")</f>
      </c>
      <c r="H855" s="34"/>
      <c r="I855" s="42">
        <f>IF(AND(ISNUMBER(D855),ISNUMBER(H855)),D855*H855*Inputs!$C$69,"")</f>
      </c>
      <c r="J855" s="42">
        <f>IF(AND(ISNUMBER(F855),ISNUMBER(H855),F855&gt;=Inputs!$C$68),F855*H855*Inputs!$C$69,"")</f>
      </c>
    </row>
    <row r="856" spans="2:10" ht="15" customHeight="1" x14ac:dyDescent="0.2">
      <c r="B856" s="39">
        <f t="shared" si="6"/>
      </c>
      <c r="C856" s="40">
        <f>IF(Inputs!$C$60,Inputs!$C$11+(B856-Inputs!$C$69)/Inputs!$C$70,"")</f>
      </c>
      <c r="D856" s="15"/>
      <c r="E856" s="15"/>
      <c r="F856" s="11">
        <f t="shared" si="7"/>
      </c>
      <c r="G856" s="22" cm="1">
        <f t="array" ref="G856">IF(AND(Inputs!$C$60,Inputs!$C$61),INDEX(Utility_Rates!$C$29:$F$52,HOUR(C856)+Inputs!$C$69,MATCH(INDEX(Utility_Rates!$K$6:$K$17,MONTH(C856))&amp;IF(WEEKDAY(C856,Inputs!$C$76)&lt;=Inputs!$C$74," weekday"," weekend"),Utility_Rates!$C$28:$F$28,Inputs!$C$68)),"")</f>
      </c>
      <c r="H856" s="34"/>
      <c r="I856" s="42">
        <f>IF(AND(ISNUMBER(D856),ISNUMBER(H856)),D856*H856*Inputs!$C$69,"")</f>
      </c>
      <c r="J856" s="42">
        <f>IF(AND(ISNUMBER(F856),ISNUMBER(H856),F856&gt;=Inputs!$C$68),F856*H856*Inputs!$C$69,"")</f>
      </c>
    </row>
    <row r="857" spans="2:10" ht="15" customHeight="1" x14ac:dyDescent="0.2">
      <c r="B857" s="39">
        <f t="shared" si="6"/>
      </c>
      <c r="C857" s="40">
        <f>IF(Inputs!$C$60,Inputs!$C$11+(B857-Inputs!$C$69)/Inputs!$C$70,"")</f>
      </c>
      <c r="D857" s="15"/>
      <c r="E857" s="15"/>
      <c r="F857" s="11">
        <f t="shared" si="7"/>
      </c>
      <c r="G857" s="22" cm="1">
        <f t="array" ref="G857">IF(AND(Inputs!$C$60,Inputs!$C$61),INDEX(Utility_Rates!$C$29:$F$52,HOUR(C857)+Inputs!$C$69,MATCH(INDEX(Utility_Rates!$K$6:$K$17,MONTH(C857))&amp;IF(WEEKDAY(C857,Inputs!$C$76)&lt;=Inputs!$C$74," weekday"," weekend"),Utility_Rates!$C$28:$F$28,Inputs!$C$68)),"")</f>
      </c>
      <c r="H857" s="34"/>
      <c r="I857" s="42">
        <f>IF(AND(ISNUMBER(D857),ISNUMBER(H857)),D857*H857*Inputs!$C$69,"")</f>
      </c>
      <c r="J857" s="42">
        <f>IF(AND(ISNUMBER(F857),ISNUMBER(H857),F857&gt;=Inputs!$C$68),F857*H857*Inputs!$C$69,"")</f>
      </c>
    </row>
    <row r="858" spans="2:10" ht="15" customHeight="1" x14ac:dyDescent="0.2">
      <c r="B858" s="39">
        <f t="shared" si="6"/>
      </c>
      <c r="C858" s="40">
        <f>IF(Inputs!$C$60,Inputs!$C$11+(B858-Inputs!$C$69)/Inputs!$C$70,"")</f>
      </c>
      <c r="D858" s="15"/>
      <c r="E858" s="15"/>
      <c r="F858" s="11">
        <f t="shared" si="7"/>
      </c>
      <c r="G858" s="22" cm="1">
        <f t="array" ref="G858">IF(AND(Inputs!$C$60,Inputs!$C$61),INDEX(Utility_Rates!$C$29:$F$52,HOUR(C858)+Inputs!$C$69,MATCH(INDEX(Utility_Rates!$K$6:$K$17,MONTH(C858))&amp;IF(WEEKDAY(C858,Inputs!$C$76)&lt;=Inputs!$C$74," weekday"," weekend"),Utility_Rates!$C$28:$F$28,Inputs!$C$68)),"")</f>
      </c>
      <c r="H858" s="34"/>
      <c r="I858" s="42">
        <f>IF(AND(ISNUMBER(D858),ISNUMBER(H858)),D858*H858*Inputs!$C$69,"")</f>
      </c>
      <c r="J858" s="42">
        <f>IF(AND(ISNUMBER(F858),ISNUMBER(H858),F858&gt;=Inputs!$C$68),F858*H858*Inputs!$C$69,"")</f>
      </c>
    </row>
    <row r="859" spans="2:10" ht="15" customHeight="1" x14ac:dyDescent="0.2">
      <c r="B859" s="39">
        <f t="shared" si="6"/>
      </c>
      <c r="C859" s="40">
        <f>IF(Inputs!$C$60,Inputs!$C$11+(B859-Inputs!$C$69)/Inputs!$C$70,"")</f>
      </c>
      <c r="D859" s="15"/>
      <c r="E859" s="15"/>
      <c r="F859" s="11">
        <f t="shared" si="7"/>
      </c>
      <c r="G859" s="22" cm="1">
        <f t="array" ref="G859">IF(AND(Inputs!$C$60,Inputs!$C$61),INDEX(Utility_Rates!$C$29:$F$52,HOUR(C859)+Inputs!$C$69,MATCH(INDEX(Utility_Rates!$K$6:$K$17,MONTH(C859))&amp;IF(WEEKDAY(C859,Inputs!$C$76)&lt;=Inputs!$C$74," weekday"," weekend"),Utility_Rates!$C$28:$F$28,Inputs!$C$68)),"")</f>
      </c>
      <c r="H859" s="34"/>
      <c r="I859" s="42">
        <f>IF(AND(ISNUMBER(D859),ISNUMBER(H859)),D859*H859*Inputs!$C$69,"")</f>
      </c>
      <c r="J859" s="42">
        <f>IF(AND(ISNUMBER(F859),ISNUMBER(H859),F859&gt;=Inputs!$C$68),F859*H859*Inputs!$C$69,"")</f>
      </c>
    </row>
    <row r="860" spans="2:10" ht="15" customHeight="1" x14ac:dyDescent="0.2">
      <c r="B860" s="39">
        <f t="shared" si="6"/>
      </c>
      <c r="C860" s="40">
        <f>IF(Inputs!$C$60,Inputs!$C$11+(B860-Inputs!$C$69)/Inputs!$C$70,"")</f>
      </c>
      <c r="D860" s="15"/>
      <c r="E860" s="15"/>
      <c r="F860" s="11">
        <f t="shared" si="7"/>
      </c>
      <c r="G860" s="22" cm="1">
        <f t="array" ref="G860">IF(AND(Inputs!$C$60,Inputs!$C$61),INDEX(Utility_Rates!$C$29:$F$52,HOUR(C860)+Inputs!$C$69,MATCH(INDEX(Utility_Rates!$K$6:$K$17,MONTH(C860))&amp;IF(WEEKDAY(C860,Inputs!$C$76)&lt;=Inputs!$C$74," weekday"," weekend"),Utility_Rates!$C$28:$F$28,Inputs!$C$68)),"")</f>
      </c>
      <c r="H860" s="34"/>
      <c r="I860" s="42">
        <f>IF(AND(ISNUMBER(D860),ISNUMBER(H860)),D860*H860*Inputs!$C$69,"")</f>
      </c>
      <c r="J860" s="42">
        <f>IF(AND(ISNUMBER(F860),ISNUMBER(H860),F860&gt;=Inputs!$C$68),F860*H860*Inputs!$C$69,"")</f>
      </c>
    </row>
    <row r="861" spans="2:10" ht="15" customHeight="1" x14ac:dyDescent="0.2">
      <c r="B861" s="39">
        <f t="shared" si="6"/>
      </c>
      <c r="C861" s="40">
        <f>IF(Inputs!$C$60,Inputs!$C$11+(B861-Inputs!$C$69)/Inputs!$C$70,"")</f>
      </c>
      <c r="D861" s="15"/>
      <c r="E861" s="15"/>
      <c r="F861" s="11">
        <f t="shared" si="7"/>
      </c>
      <c r="G861" s="22" cm="1">
        <f t="array" ref="G861">IF(AND(Inputs!$C$60,Inputs!$C$61),INDEX(Utility_Rates!$C$29:$F$52,HOUR(C861)+Inputs!$C$69,MATCH(INDEX(Utility_Rates!$K$6:$K$17,MONTH(C861))&amp;IF(WEEKDAY(C861,Inputs!$C$76)&lt;=Inputs!$C$74," weekday"," weekend"),Utility_Rates!$C$28:$F$28,Inputs!$C$68)),"")</f>
      </c>
      <c r="H861" s="34"/>
      <c r="I861" s="42">
        <f>IF(AND(ISNUMBER(D861),ISNUMBER(H861)),D861*H861*Inputs!$C$69,"")</f>
      </c>
      <c r="J861" s="42">
        <f>IF(AND(ISNUMBER(F861),ISNUMBER(H861),F861&gt;=Inputs!$C$68),F861*H861*Inputs!$C$69,"")</f>
      </c>
    </row>
    <row r="862" spans="2:10" ht="15" customHeight="1" x14ac:dyDescent="0.2">
      <c r="B862" s="39">
        <f t="shared" si="6"/>
      </c>
      <c r="C862" s="40">
        <f>IF(Inputs!$C$60,Inputs!$C$11+(B862-Inputs!$C$69)/Inputs!$C$70,"")</f>
      </c>
      <c r="D862" s="15"/>
      <c r="E862" s="15"/>
      <c r="F862" s="11">
        <f t="shared" si="7"/>
      </c>
      <c r="G862" s="22" cm="1">
        <f t="array" ref="G862">IF(AND(Inputs!$C$60,Inputs!$C$61),INDEX(Utility_Rates!$C$29:$F$52,HOUR(C862)+Inputs!$C$69,MATCH(INDEX(Utility_Rates!$K$6:$K$17,MONTH(C862))&amp;IF(WEEKDAY(C862,Inputs!$C$76)&lt;=Inputs!$C$74," weekday"," weekend"),Utility_Rates!$C$28:$F$28,Inputs!$C$68)),"")</f>
      </c>
      <c r="H862" s="34"/>
      <c r="I862" s="42">
        <f>IF(AND(ISNUMBER(D862),ISNUMBER(H862)),D862*H862*Inputs!$C$69,"")</f>
      </c>
      <c r="J862" s="42">
        <f>IF(AND(ISNUMBER(F862),ISNUMBER(H862),F862&gt;=Inputs!$C$68),F862*H862*Inputs!$C$69,"")</f>
      </c>
    </row>
    <row r="863" spans="2:10" ht="15" customHeight="1" x14ac:dyDescent="0.2">
      <c r="B863" s="39">
        <f t="shared" si="6"/>
      </c>
      <c r="C863" s="40">
        <f>IF(Inputs!$C$60,Inputs!$C$11+(B863-Inputs!$C$69)/Inputs!$C$70,"")</f>
      </c>
      <c r="D863" s="15"/>
      <c r="E863" s="15"/>
      <c r="F863" s="11">
        <f t="shared" si="7"/>
      </c>
      <c r="G863" s="22" cm="1">
        <f t="array" ref="G863">IF(AND(Inputs!$C$60,Inputs!$C$61),INDEX(Utility_Rates!$C$29:$F$52,HOUR(C863)+Inputs!$C$69,MATCH(INDEX(Utility_Rates!$K$6:$K$17,MONTH(C863))&amp;IF(WEEKDAY(C863,Inputs!$C$76)&lt;=Inputs!$C$74," weekday"," weekend"),Utility_Rates!$C$28:$F$28,Inputs!$C$68)),"")</f>
      </c>
      <c r="H863" s="34"/>
      <c r="I863" s="42">
        <f>IF(AND(ISNUMBER(D863),ISNUMBER(H863)),D863*H863*Inputs!$C$69,"")</f>
      </c>
      <c r="J863" s="42">
        <f>IF(AND(ISNUMBER(F863),ISNUMBER(H863),F863&gt;=Inputs!$C$68),F863*H863*Inputs!$C$69,"")</f>
      </c>
    </row>
    <row r="864" spans="2:10" ht="15" customHeight="1" x14ac:dyDescent="0.2">
      <c r="B864" s="39">
        <f t="shared" si="6"/>
      </c>
      <c r="C864" s="40">
        <f>IF(Inputs!$C$60,Inputs!$C$11+(B864-Inputs!$C$69)/Inputs!$C$70,"")</f>
      </c>
      <c r="D864" s="15"/>
      <c r="E864" s="15"/>
      <c r="F864" s="11">
        <f t="shared" si="7"/>
      </c>
      <c r="G864" s="22" cm="1">
        <f t="array" ref="G864">IF(AND(Inputs!$C$60,Inputs!$C$61),INDEX(Utility_Rates!$C$29:$F$52,HOUR(C864)+Inputs!$C$69,MATCH(INDEX(Utility_Rates!$K$6:$K$17,MONTH(C864))&amp;IF(WEEKDAY(C864,Inputs!$C$76)&lt;=Inputs!$C$74," weekday"," weekend"),Utility_Rates!$C$28:$F$28,Inputs!$C$68)),"")</f>
      </c>
      <c r="H864" s="34"/>
      <c r="I864" s="42">
        <f>IF(AND(ISNUMBER(D864),ISNUMBER(H864)),D864*H864*Inputs!$C$69,"")</f>
      </c>
      <c r="J864" s="42">
        <f>IF(AND(ISNUMBER(F864),ISNUMBER(H864),F864&gt;=Inputs!$C$68),F864*H864*Inputs!$C$69,"")</f>
      </c>
    </row>
    <row r="865" spans="2:10" ht="15" customHeight="1" x14ac:dyDescent="0.2">
      <c r="B865" s="39">
        <f t="shared" si="6"/>
      </c>
      <c r="C865" s="40">
        <f>IF(Inputs!$C$60,Inputs!$C$11+(B865-Inputs!$C$69)/Inputs!$C$70,"")</f>
      </c>
      <c r="D865" s="15"/>
      <c r="E865" s="15"/>
      <c r="F865" s="11">
        <f t="shared" si="7"/>
      </c>
      <c r="G865" s="22" cm="1">
        <f t="array" ref="G865">IF(AND(Inputs!$C$60,Inputs!$C$61),INDEX(Utility_Rates!$C$29:$F$52,HOUR(C865)+Inputs!$C$69,MATCH(INDEX(Utility_Rates!$K$6:$K$17,MONTH(C865))&amp;IF(WEEKDAY(C865,Inputs!$C$76)&lt;=Inputs!$C$74," weekday"," weekend"),Utility_Rates!$C$28:$F$28,Inputs!$C$68)),"")</f>
      </c>
      <c r="H865" s="34"/>
      <c r="I865" s="42">
        <f>IF(AND(ISNUMBER(D865),ISNUMBER(H865)),D865*H865*Inputs!$C$69,"")</f>
      </c>
      <c r="J865" s="42">
        <f>IF(AND(ISNUMBER(F865),ISNUMBER(H865),F865&gt;=Inputs!$C$68),F865*H865*Inputs!$C$69,"")</f>
      </c>
    </row>
    <row r="866" spans="2:10" ht="15" customHeight="1" x14ac:dyDescent="0.2">
      <c r="B866" s="39">
        <f t="shared" si="6"/>
      </c>
      <c r="C866" s="40">
        <f>IF(Inputs!$C$60,Inputs!$C$11+(B866-Inputs!$C$69)/Inputs!$C$70,"")</f>
      </c>
      <c r="D866" s="15"/>
      <c r="E866" s="15"/>
      <c r="F866" s="11">
        <f t="shared" si="7"/>
      </c>
      <c r="G866" s="22" cm="1">
        <f t="array" ref="G866">IF(AND(Inputs!$C$60,Inputs!$C$61),INDEX(Utility_Rates!$C$29:$F$52,HOUR(C866)+Inputs!$C$69,MATCH(INDEX(Utility_Rates!$K$6:$K$17,MONTH(C866))&amp;IF(WEEKDAY(C866,Inputs!$C$76)&lt;=Inputs!$C$74," weekday"," weekend"),Utility_Rates!$C$28:$F$28,Inputs!$C$68)),"")</f>
      </c>
      <c r="H866" s="34"/>
      <c r="I866" s="42">
        <f>IF(AND(ISNUMBER(D866),ISNUMBER(H866)),D866*H866*Inputs!$C$69,"")</f>
      </c>
      <c r="J866" s="42">
        <f>IF(AND(ISNUMBER(F866),ISNUMBER(H866),F866&gt;=Inputs!$C$68),F866*H866*Inputs!$C$69,"")</f>
      </c>
    </row>
    <row r="867" spans="2:10" ht="15" customHeight="1" x14ac:dyDescent="0.2">
      <c r="B867" s="39">
        <f t="shared" si="6"/>
      </c>
      <c r="C867" s="40">
        <f>IF(Inputs!$C$60,Inputs!$C$11+(B867-Inputs!$C$69)/Inputs!$C$70,"")</f>
      </c>
      <c r="D867" s="15"/>
      <c r="E867" s="15"/>
      <c r="F867" s="11">
        <f t="shared" si="7"/>
      </c>
      <c r="G867" s="22" cm="1">
        <f t="array" ref="G867">IF(AND(Inputs!$C$60,Inputs!$C$61),INDEX(Utility_Rates!$C$29:$F$52,HOUR(C867)+Inputs!$C$69,MATCH(INDEX(Utility_Rates!$K$6:$K$17,MONTH(C867))&amp;IF(WEEKDAY(C867,Inputs!$C$76)&lt;=Inputs!$C$74," weekday"," weekend"),Utility_Rates!$C$28:$F$28,Inputs!$C$68)),"")</f>
      </c>
      <c r="H867" s="34"/>
      <c r="I867" s="42">
        <f>IF(AND(ISNUMBER(D867),ISNUMBER(H867)),D867*H867*Inputs!$C$69,"")</f>
      </c>
      <c r="J867" s="42">
        <f>IF(AND(ISNUMBER(F867),ISNUMBER(H867),F867&gt;=Inputs!$C$68),F867*H867*Inputs!$C$69,"")</f>
      </c>
    </row>
    <row r="868" spans="2:10" ht="15" customHeight="1" x14ac:dyDescent="0.2">
      <c r="B868" s="39">
        <f t="shared" si="6"/>
      </c>
      <c r="C868" s="40">
        <f>IF(Inputs!$C$60,Inputs!$C$11+(B868-Inputs!$C$69)/Inputs!$C$70,"")</f>
      </c>
      <c r="D868" s="15"/>
      <c r="E868" s="15"/>
      <c r="F868" s="11">
        <f t="shared" si="7"/>
      </c>
      <c r="G868" s="22" cm="1">
        <f t="array" ref="G868">IF(AND(Inputs!$C$60,Inputs!$C$61),INDEX(Utility_Rates!$C$29:$F$52,HOUR(C868)+Inputs!$C$69,MATCH(INDEX(Utility_Rates!$K$6:$K$17,MONTH(C868))&amp;IF(WEEKDAY(C868,Inputs!$C$76)&lt;=Inputs!$C$74," weekday"," weekend"),Utility_Rates!$C$28:$F$28,Inputs!$C$68)),"")</f>
      </c>
      <c r="H868" s="34"/>
      <c r="I868" s="42">
        <f>IF(AND(ISNUMBER(D868),ISNUMBER(H868)),D868*H868*Inputs!$C$69,"")</f>
      </c>
      <c r="J868" s="42">
        <f>IF(AND(ISNUMBER(F868),ISNUMBER(H868),F868&gt;=Inputs!$C$68),F868*H868*Inputs!$C$69,"")</f>
      </c>
    </row>
    <row r="869" spans="2:10" ht="15" customHeight="1" x14ac:dyDescent="0.2">
      <c r="B869" s="39">
        <f t="shared" si="6"/>
      </c>
      <c r="C869" s="40">
        <f>IF(Inputs!$C$60,Inputs!$C$11+(B869-Inputs!$C$69)/Inputs!$C$70,"")</f>
      </c>
      <c r="D869" s="15"/>
      <c r="E869" s="15"/>
      <c r="F869" s="11">
        <f t="shared" si="7"/>
      </c>
      <c r="G869" s="22" cm="1">
        <f t="array" ref="G869">IF(AND(Inputs!$C$60,Inputs!$C$61),INDEX(Utility_Rates!$C$29:$F$52,HOUR(C869)+Inputs!$C$69,MATCH(INDEX(Utility_Rates!$K$6:$K$17,MONTH(C869))&amp;IF(WEEKDAY(C869,Inputs!$C$76)&lt;=Inputs!$C$74," weekday"," weekend"),Utility_Rates!$C$28:$F$28,Inputs!$C$68)),"")</f>
      </c>
      <c r="H869" s="34"/>
      <c r="I869" s="42">
        <f>IF(AND(ISNUMBER(D869),ISNUMBER(H869)),D869*H869*Inputs!$C$69,"")</f>
      </c>
      <c r="J869" s="42">
        <f>IF(AND(ISNUMBER(F869),ISNUMBER(H869),F869&gt;=Inputs!$C$68),F869*H869*Inputs!$C$69,"")</f>
      </c>
    </row>
    <row r="870" spans="2:10" ht="15" customHeight="1" x14ac:dyDescent="0.2">
      <c r="B870" s="39">
        <f t="shared" si="6"/>
      </c>
      <c r="C870" s="40">
        <f>IF(Inputs!$C$60,Inputs!$C$11+(B870-Inputs!$C$69)/Inputs!$C$70,"")</f>
      </c>
      <c r="D870" s="15"/>
      <c r="E870" s="15"/>
      <c r="F870" s="11">
        <f t="shared" si="7"/>
      </c>
      <c r="G870" s="22" cm="1">
        <f t="array" ref="G870">IF(AND(Inputs!$C$60,Inputs!$C$61),INDEX(Utility_Rates!$C$29:$F$52,HOUR(C870)+Inputs!$C$69,MATCH(INDEX(Utility_Rates!$K$6:$K$17,MONTH(C870))&amp;IF(WEEKDAY(C870,Inputs!$C$76)&lt;=Inputs!$C$74," weekday"," weekend"),Utility_Rates!$C$28:$F$28,Inputs!$C$68)),"")</f>
      </c>
      <c r="H870" s="34"/>
      <c r="I870" s="42">
        <f>IF(AND(ISNUMBER(D870),ISNUMBER(H870)),D870*H870*Inputs!$C$69,"")</f>
      </c>
      <c r="J870" s="42">
        <f>IF(AND(ISNUMBER(F870),ISNUMBER(H870),F870&gt;=Inputs!$C$68),F870*H870*Inputs!$C$69,"")</f>
      </c>
    </row>
    <row r="871" spans="2:10" ht="15" customHeight="1" x14ac:dyDescent="0.2">
      <c r="B871" s="39">
        <f t="shared" si="6"/>
      </c>
      <c r="C871" s="40">
        <f>IF(Inputs!$C$60,Inputs!$C$11+(B871-Inputs!$C$69)/Inputs!$C$70,"")</f>
      </c>
      <c r="D871" s="15"/>
      <c r="E871" s="15"/>
      <c r="F871" s="11">
        <f t="shared" si="7"/>
      </c>
      <c r="G871" s="22" cm="1">
        <f t="array" ref="G871">IF(AND(Inputs!$C$60,Inputs!$C$61),INDEX(Utility_Rates!$C$29:$F$52,HOUR(C871)+Inputs!$C$69,MATCH(INDEX(Utility_Rates!$K$6:$K$17,MONTH(C871))&amp;IF(WEEKDAY(C871,Inputs!$C$76)&lt;=Inputs!$C$74," weekday"," weekend"),Utility_Rates!$C$28:$F$28,Inputs!$C$68)),"")</f>
      </c>
      <c r="H871" s="34"/>
      <c r="I871" s="42">
        <f>IF(AND(ISNUMBER(D871),ISNUMBER(H871)),D871*H871*Inputs!$C$69,"")</f>
      </c>
      <c r="J871" s="42">
        <f>IF(AND(ISNUMBER(F871),ISNUMBER(H871),F871&gt;=Inputs!$C$68),F871*H871*Inputs!$C$69,"")</f>
      </c>
    </row>
    <row r="872" spans="2:10" ht="15" customHeight="1" x14ac:dyDescent="0.2">
      <c r="B872" s="39">
        <f t="shared" si="6"/>
      </c>
      <c r="C872" s="40">
        <f>IF(Inputs!$C$60,Inputs!$C$11+(B872-Inputs!$C$69)/Inputs!$C$70,"")</f>
      </c>
      <c r="D872" s="15"/>
      <c r="E872" s="15"/>
      <c r="F872" s="11">
        <f t="shared" si="7"/>
      </c>
      <c r="G872" s="22" cm="1">
        <f t="array" ref="G872">IF(AND(Inputs!$C$60,Inputs!$C$61),INDEX(Utility_Rates!$C$29:$F$52,HOUR(C872)+Inputs!$C$69,MATCH(INDEX(Utility_Rates!$K$6:$K$17,MONTH(C872))&amp;IF(WEEKDAY(C872,Inputs!$C$76)&lt;=Inputs!$C$74," weekday"," weekend"),Utility_Rates!$C$28:$F$28,Inputs!$C$68)),"")</f>
      </c>
      <c r="H872" s="34"/>
      <c r="I872" s="42">
        <f>IF(AND(ISNUMBER(D872),ISNUMBER(H872)),D872*H872*Inputs!$C$69,"")</f>
      </c>
      <c r="J872" s="42">
        <f>IF(AND(ISNUMBER(F872),ISNUMBER(H872),F872&gt;=Inputs!$C$68),F872*H872*Inputs!$C$69,"")</f>
      </c>
    </row>
    <row r="873" spans="2:10" ht="15" customHeight="1" x14ac:dyDescent="0.2">
      <c r="B873" s="39">
        <f t="shared" si="6"/>
      </c>
      <c r="C873" s="40">
        <f>IF(Inputs!$C$60,Inputs!$C$11+(B873-Inputs!$C$69)/Inputs!$C$70,"")</f>
      </c>
      <c r="D873" s="15"/>
      <c r="E873" s="15"/>
      <c r="F873" s="11">
        <f t="shared" si="7"/>
      </c>
      <c r="G873" s="22" cm="1">
        <f t="array" ref="G873">IF(AND(Inputs!$C$60,Inputs!$C$61),INDEX(Utility_Rates!$C$29:$F$52,HOUR(C873)+Inputs!$C$69,MATCH(INDEX(Utility_Rates!$K$6:$K$17,MONTH(C873))&amp;IF(WEEKDAY(C873,Inputs!$C$76)&lt;=Inputs!$C$74," weekday"," weekend"),Utility_Rates!$C$28:$F$28,Inputs!$C$68)),"")</f>
      </c>
      <c r="H873" s="34"/>
      <c r="I873" s="42">
        <f>IF(AND(ISNUMBER(D873),ISNUMBER(H873)),D873*H873*Inputs!$C$69,"")</f>
      </c>
      <c r="J873" s="42">
        <f>IF(AND(ISNUMBER(F873),ISNUMBER(H873),F873&gt;=Inputs!$C$68),F873*H873*Inputs!$C$69,"")</f>
      </c>
    </row>
    <row r="874" spans="2:10" ht="15" customHeight="1" x14ac:dyDescent="0.2">
      <c r="B874" s="39">
        <f t="shared" si="6"/>
      </c>
      <c r="C874" s="40">
        <f>IF(Inputs!$C$60,Inputs!$C$11+(B874-Inputs!$C$69)/Inputs!$C$70,"")</f>
      </c>
      <c r="D874" s="15"/>
      <c r="E874" s="15"/>
      <c r="F874" s="11">
        <f t="shared" si="7"/>
      </c>
      <c r="G874" s="22" cm="1">
        <f t="array" ref="G874">IF(AND(Inputs!$C$60,Inputs!$C$61),INDEX(Utility_Rates!$C$29:$F$52,HOUR(C874)+Inputs!$C$69,MATCH(INDEX(Utility_Rates!$K$6:$K$17,MONTH(C874))&amp;IF(WEEKDAY(C874,Inputs!$C$76)&lt;=Inputs!$C$74," weekday"," weekend"),Utility_Rates!$C$28:$F$28,Inputs!$C$68)),"")</f>
      </c>
      <c r="H874" s="34"/>
      <c r="I874" s="42">
        <f>IF(AND(ISNUMBER(D874),ISNUMBER(H874)),D874*H874*Inputs!$C$69,"")</f>
      </c>
      <c r="J874" s="42">
        <f>IF(AND(ISNUMBER(F874),ISNUMBER(H874),F874&gt;=Inputs!$C$68),F874*H874*Inputs!$C$69,"")</f>
      </c>
    </row>
    <row r="875" spans="2:10" ht="15" customHeight="1" x14ac:dyDescent="0.2">
      <c r="B875" s="39">
        <f t="shared" si="6"/>
      </c>
      <c r="C875" s="40">
        <f>IF(Inputs!$C$60,Inputs!$C$11+(B875-Inputs!$C$69)/Inputs!$C$70,"")</f>
      </c>
      <c r="D875" s="15"/>
      <c r="E875" s="15"/>
      <c r="F875" s="11">
        <f t="shared" si="7"/>
      </c>
      <c r="G875" s="22" cm="1">
        <f t="array" ref="G875">IF(AND(Inputs!$C$60,Inputs!$C$61),INDEX(Utility_Rates!$C$29:$F$52,HOUR(C875)+Inputs!$C$69,MATCH(INDEX(Utility_Rates!$K$6:$K$17,MONTH(C875))&amp;IF(WEEKDAY(C875,Inputs!$C$76)&lt;=Inputs!$C$74," weekday"," weekend"),Utility_Rates!$C$28:$F$28,Inputs!$C$68)),"")</f>
      </c>
      <c r="H875" s="34"/>
      <c r="I875" s="42">
        <f>IF(AND(ISNUMBER(D875),ISNUMBER(H875)),D875*H875*Inputs!$C$69,"")</f>
      </c>
      <c r="J875" s="42">
        <f>IF(AND(ISNUMBER(F875),ISNUMBER(H875),F875&gt;=Inputs!$C$68),F875*H875*Inputs!$C$69,"")</f>
      </c>
    </row>
    <row r="876" spans="2:10" ht="15" customHeight="1" x14ac:dyDescent="0.2">
      <c r="B876" s="39">
        <f t="shared" si="6"/>
      </c>
      <c r="C876" s="40">
        <f>IF(Inputs!$C$60,Inputs!$C$11+(B876-Inputs!$C$69)/Inputs!$C$70,"")</f>
      </c>
      <c r="D876" s="15"/>
      <c r="E876" s="15"/>
      <c r="F876" s="11">
        <f t="shared" si="7"/>
      </c>
      <c r="G876" s="22" cm="1">
        <f t="array" ref="G876">IF(AND(Inputs!$C$60,Inputs!$C$61),INDEX(Utility_Rates!$C$29:$F$52,HOUR(C876)+Inputs!$C$69,MATCH(INDEX(Utility_Rates!$K$6:$K$17,MONTH(C876))&amp;IF(WEEKDAY(C876,Inputs!$C$76)&lt;=Inputs!$C$74," weekday"," weekend"),Utility_Rates!$C$28:$F$28,Inputs!$C$68)),"")</f>
      </c>
      <c r="H876" s="34"/>
      <c r="I876" s="42">
        <f>IF(AND(ISNUMBER(D876),ISNUMBER(H876)),D876*H876*Inputs!$C$69,"")</f>
      </c>
      <c r="J876" s="42">
        <f>IF(AND(ISNUMBER(F876),ISNUMBER(H876),F876&gt;=Inputs!$C$68),F876*H876*Inputs!$C$69,"")</f>
      </c>
    </row>
    <row r="877" spans="2:10" ht="15" customHeight="1" x14ac:dyDescent="0.2">
      <c r="B877" s="39">
        <f t="shared" si="6"/>
      </c>
      <c r="C877" s="40">
        <f>IF(Inputs!$C$60,Inputs!$C$11+(B877-Inputs!$C$69)/Inputs!$C$70,"")</f>
      </c>
      <c r="D877" s="15"/>
      <c r="E877" s="15"/>
      <c r="F877" s="11">
        <f t="shared" si="7"/>
      </c>
      <c r="G877" s="22" cm="1">
        <f t="array" ref="G877">IF(AND(Inputs!$C$60,Inputs!$C$61),INDEX(Utility_Rates!$C$29:$F$52,HOUR(C877)+Inputs!$C$69,MATCH(INDEX(Utility_Rates!$K$6:$K$17,MONTH(C877))&amp;IF(WEEKDAY(C877,Inputs!$C$76)&lt;=Inputs!$C$74," weekday"," weekend"),Utility_Rates!$C$28:$F$28,Inputs!$C$68)),"")</f>
      </c>
      <c r="H877" s="34"/>
      <c r="I877" s="42">
        <f>IF(AND(ISNUMBER(D877),ISNUMBER(H877)),D877*H877*Inputs!$C$69,"")</f>
      </c>
      <c r="J877" s="42">
        <f>IF(AND(ISNUMBER(F877),ISNUMBER(H877),F877&gt;=Inputs!$C$68),F877*H877*Inputs!$C$69,"")</f>
      </c>
    </row>
    <row r="878" spans="2:10" ht="15" customHeight="1" x14ac:dyDescent="0.2">
      <c r="B878" s="39">
        <f t="shared" si="6"/>
      </c>
      <c r="C878" s="40">
        <f>IF(Inputs!$C$60,Inputs!$C$11+(B878-Inputs!$C$69)/Inputs!$C$70,"")</f>
      </c>
      <c r="D878" s="15"/>
      <c r="E878" s="15"/>
      <c r="F878" s="11">
        <f t="shared" si="7"/>
      </c>
      <c r="G878" s="22" cm="1">
        <f t="array" ref="G878">IF(AND(Inputs!$C$60,Inputs!$C$61),INDEX(Utility_Rates!$C$29:$F$52,HOUR(C878)+Inputs!$C$69,MATCH(INDEX(Utility_Rates!$K$6:$K$17,MONTH(C878))&amp;IF(WEEKDAY(C878,Inputs!$C$76)&lt;=Inputs!$C$74," weekday"," weekend"),Utility_Rates!$C$28:$F$28,Inputs!$C$68)),"")</f>
      </c>
      <c r="H878" s="34"/>
      <c r="I878" s="42">
        <f>IF(AND(ISNUMBER(D878),ISNUMBER(H878)),D878*H878*Inputs!$C$69,"")</f>
      </c>
      <c r="J878" s="42">
        <f>IF(AND(ISNUMBER(F878),ISNUMBER(H878),F878&gt;=Inputs!$C$68),F878*H878*Inputs!$C$69,"")</f>
      </c>
    </row>
    <row r="879" spans="2:10" ht="15" customHeight="1" x14ac:dyDescent="0.2">
      <c r="B879" s="39">
        <f t="shared" si="6"/>
      </c>
      <c r="C879" s="40">
        <f>IF(Inputs!$C$60,Inputs!$C$11+(B879-Inputs!$C$69)/Inputs!$C$70,"")</f>
      </c>
      <c r="D879" s="15"/>
      <c r="E879" s="15"/>
      <c r="F879" s="11">
        <f t="shared" si="7"/>
      </c>
      <c r="G879" s="22" cm="1">
        <f t="array" ref="G879">IF(AND(Inputs!$C$60,Inputs!$C$61),INDEX(Utility_Rates!$C$29:$F$52,HOUR(C879)+Inputs!$C$69,MATCH(INDEX(Utility_Rates!$K$6:$K$17,MONTH(C879))&amp;IF(WEEKDAY(C879,Inputs!$C$76)&lt;=Inputs!$C$74," weekday"," weekend"),Utility_Rates!$C$28:$F$28,Inputs!$C$68)),"")</f>
      </c>
      <c r="H879" s="34"/>
      <c r="I879" s="42">
        <f>IF(AND(ISNUMBER(D879),ISNUMBER(H879)),D879*H879*Inputs!$C$69,"")</f>
      </c>
      <c r="J879" s="42">
        <f>IF(AND(ISNUMBER(F879),ISNUMBER(H879),F879&gt;=Inputs!$C$68),F879*H879*Inputs!$C$69,"")</f>
      </c>
    </row>
    <row r="880" spans="2:10" ht="15" customHeight="1" x14ac:dyDescent="0.2">
      <c r="B880" s="39">
        <f t="shared" si="6"/>
      </c>
      <c r="C880" s="40">
        <f>IF(Inputs!$C$60,Inputs!$C$11+(B880-Inputs!$C$69)/Inputs!$C$70,"")</f>
      </c>
      <c r="D880" s="15"/>
      <c r="E880" s="15"/>
      <c r="F880" s="11">
        <f t="shared" si="7"/>
      </c>
      <c r="G880" s="22" cm="1">
        <f t="array" ref="G880">IF(AND(Inputs!$C$60,Inputs!$C$61),INDEX(Utility_Rates!$C$29:$F$52,HOUR(C880)+Inputs!$C$69,MATCH(INDEX(Utility_Rates!$K$6:$K$17,MONTH(C880))&amp;IF(WEEKDAY(C880,Inputs!$C$76)&lt;=Inputs!$C$74," weekday"," weekend"),Utility_Rates!$C$28:$F$28,Inputs!$C$68)),"")</f>
      </c>
      <c r="H880" s="34"/>
      <c r="I880" s="42">
        <f>IF(AND(ISNUMBER(D880),ISNUMBER(H880)),D880*H880*Inputs!$C$69,"")</f>
      </c>
      <c r="J880" s="42">
        <f>IF(AND(ISNUMBER(F880),ISNUMBER(H880),F880&gt;=Inputs!$C$68),F880*H880*Inputs!$C$69,"")</f>
      </c>
    </row>
    <row r="881" spans="2:10" ht="15" customHeight="1" x14ac:dyDescent="0.2">
      <c r="B881" s="39">
        <f t="shared" si="6"/>
      </c>
      <c r="C881" s="40">
        <f>IF(Inputs!$C$60,Inputs!$C$11+(B881-Inputs!$C$69)/Inputs!$C$70,"")</f>
      </c>
      <c r="D881" s="15"/>
      <c r="E881" s="15"/>
      <c r="F881" s="11">
        <f t="shared" si="7"/>
      </c>
      <c r="G881" s="22" cm="1">
        <f t="array" ref="G881">IF(AND(Inputs!$C$60,Inputs!$C$61),INDEX(Utility_Rates!$C$29:$F$52,HOUR(C881)+Inputs!$C$69,MATCH(INDEX(Utility_Rates!$K$6:$K$17,MONTH(C881))&amp;IF(WEEKDAY(C881,Inputs!$C$76)&lt;=Inputs!$C$74," weekday"," weekend"),Utility_Rates!$C$28:$F$28,Inputs!$C$68)),"")</f>
      </c>
      <c r="H881" s="34"/>
      <c r="I881" s="42">
        <f>IF(AND(ISNUMBER(D881),ISNUMBER(H881)),D881*H881*Inputs!$C$69,"")</f>
      </c>
      <c r="J881" s="42">
        <f>IF(AND(ISNUMBER(F881),ISNUMBER(H881),F881&gt;=Inputs!$C$68),F881*H881*Inputs!$C$69,"")</f>
      </c>
    </row>
    <row r="882" spans="2:10" ht="15" customHeight="1" x14ac:dyDescent="0.2">
      <c r="B882" s="39">
        <f t="shared" si="6"/>
      </c>
      <c r="C882" s="40">
        <f>IF(Inputs!$C$60,Inputs!$C$11+(B882-Inputs!$C$69)/Inputs!$C$70,"")</f>
      </c>
      <c r="D882" s="15"/>
      <c r="E882" s="15"/>
      <c r="F882" s="11">
        <f t="shared" si="7"/>
      </c>
      <c r="G882" s="22" cm="1">
        <f t="array" ref="G882">IF(AND(Inputs!$C$60,Inputs!$C$61),INDEX(Utility_Rates!$C$29:$F$52,HOUR(C882)+Inputs!$C$69,MATCH(INDEX(Utility_Rates!$K$6:$K$17,MONTH(C882))&amp;IF(WEEKDAY(C882,Inputs!$C$76)&lt;=Inputs!$C$74," weekday"," weekend"),Utility_Rates!$C$28:$F$28,Inputs!$C$68)),"")</f>
      </c>
      <c r="H882" s="34"/>
      <c r="I882" s="42">
        <f>IF(AND(ISNUMBER(D882),ISNUMBER(H882)),D882*H882*Inputs!$C$69,"")</f>
      </c>
      <c r="J882" s="42">
        <f>IF(AND(ISNUMBER(F882),ISNUMBER(H882),F882&gt;=Inputs!$C$68),F882*H882*Inputs!$C$69,"")</f>
      </c>
    </row>
    <row r="883" spans="2:10" ht="15" customHeight="1" x14ac:dyDescent="0.2">
      <c r="B883" s="39">
        <f t="shared" si="6"/>
      </c>
      <c r="C883" s="40">
        <f>IF(Inputs!$C$60,Inputs!$C$11+(B883-Inputs!$C$69)/Inputs!$C$70,"")</f>
      </c>
      <c r="D883" s="15"/>
      <c r="E883" s="15"/>
      <c r="F883" s="11">
        <f t="shared" si="7"/>
      </c>
      <c r="G883" s="22" cm="1">
        <f t="array" ref="G883">IF(AND(Inputs!$C$60,Inputs!$C$61),INDEX(Utility_Rates!$C$29:$F$52,HOUR(C883)+Inputs!$C$69,MATCH(INDEX(Utility_Rates!$K$6:$K$17,MONTH(C883))&amp;IF(WEEKDAY(C883,Inputs!$C$76)&lt;=Inputs!$C$74," weekday"," weekend"),Utility_Rates!$C$28:$F$28,Inputs!$C$68)),"")</f>
      </c>
      <c r="H883" s="34"/>
      <c r="I883" s="42">
        <f>IF(AND(ISNUMBER(D883),ISNUMBER(H883)),D883*H883*Inputs!$C$69,"")</f>
      </c>
      <c r="J883" s="42">
        <f>IF(AND(ISNUMBER(F883),ISNUMBER(H883),F883&gt;=Inputs!$C$68),F883*H883*Inputs!$C$69,"")</f>
      </c>
    </row>
    <row r="884" spans="2:10" ht="15" customHeight="1" x14ac:dyDescent="0.2">
      <c r="B884" s="39">
        <f t="shared" si="6"/>
      </c>
      <c r="C884" s="40">
        <f>IF(Inputs!$C$60,Inputs!$C$11+(B884-Inputs!$C$69)/Inputs!$C$70,"")</f>
      </c>
      <c r="D884" s="15"/>
      <c r="E884" s="15"/>
      <c r="F884" s="11">
        <f t="shared" si="7"/>
      </c>
      <c r="G884" s="22" cm="1">
        <f t="array" ref="G884">IF(AND(Inputs!$C$60,Inputs!$C$61),INDEX(Utility_Rates!$C$29:$F$52,HOUR(C884)+Inputs!$C$69,MATCH(INDEX(Utility_Rates!$K$6:$K$17,MONTH(C884))&amp;IF(WEEKDAY(C884,Inputs!$C$76)&lt;=Inputs!$C$74," weekday"," weekend"),Utility_Rates!$C$28:$F$28,Inputs!$C$68)),"")</f>
      </c>
      <c r="H884" s="34"/>
      <c r="I884" s="42">
        <f>IF(AND(ISNUMBER(D884),ISNUMBER(H884)),D884*H884*Inputs!$C$69,"")</f>
      </c>
      <c r="J884" s="42">
        <f>IF(AND(ISNUMBER(F884),ISNUMBER(H884),F884&gt;=Inputs!$C$68),F884*H884*Inputs!$C$69,"")</f>
      </c>
    </row>
    <row r="885" spans="2:10" ht="15" customHeight="1" x14ac:dyDescent="0.2">
      <c r="B885" s="39">
        <f t="shared" si="6"/>
      </c>
      <c r="C885" s="40">
        <f>IF(Inputs!$C$60,Inputs!$C$11+(B885-Inputs!$C$69)/Inputs!$C$70,"")</f>
      </c>
      <c r="D885" s="15"/>
      <c r="E885" s="15"/>
      <c r="F885" s="11">
        <f t="shared" si="7"/>
      </c>
      <c r="G885" s="22" cm="1">
        <f t="array" ref="G885">IF(AND(Inputs!$C$60,Inputs!$C$61),INDEX(Utility_Rates!$C$29:$F$52,HOUR(C885)+Inputs!$C$69,MATCH(INDEX(Utility_Rates!$K$6:$K$17,MONTH(C885))&amp;IF(WEEKDAY(C885,Inputs!$C$76)&lt;=Inputs!$C$74," weekday"," weekend"),Utility_Rates!$C$28:$F$28,Inputs!$C$68)),"")</f>
      </c>
      <c r="H885" s="34"/>
      <c r="I885" s="42">
        <f>IF(AND(ISNUMBER(D885),ISNUMBER(H885)),D885*H885*Inputs!$C$69,"")</f>
      </c>
      <c r="J885" s="42">
        <f>IF(AND(ISNUMBER(F885),ISNUMBER(H885),F885&gt;=Inputs!$C$68),F885*H885*Inputs!$C$69,"")</f>
      </c>
    </row>
    <row r="886" spans="2:10" ht="15" customHeight="1" x14ac:dyDescent="0.2">
      <c r="B886" s="39">
        <f t="shared" si="6"/>
      </c>
      <c r="C886" s="40">
        <f>IF(Inputs!$C$60,Inputs!$C$11+(B886-Inputs!$C$69)/Inputs!$C$70,"")</f>
      </c>
      <c r="D886" s="15"/>
      <c r="E886" s="15"/>
      <c r="F886" s="11">
        <f t="shared" si="7"/>
      </c>
      <c r="G886" s="22" cm="1">
        <f t="array" ref="G886">IF(AND(Inputs!$C$60,Inputs!$C$61),INDEX(Utility_Rates!$C$29:$F$52,HOUR(C886)+Inputs!$C$69,MATCH(INDEX(Utility_Rates!$K$6:$K$17,MONTH(C886))&amp;IF(WEEKDAY(C886,Inputs!$C$76)&lt;=Inputs!$C$74," weekday"," weekend"),Utility_Rates!$C$28:$F$28,Inputs!$C$68)),"")</f>
      </c>
      <c r="H886" s="34"/>
      <c r="I886" s="42">
        <f>IF(AND(ISNUMBER(D886),ISNUMBER(H886)),D886*H886*Inputs!$C$69,"")</f>
      </c>
      <c r="J886" s="42">
        <f>IF(AND(ISNUMBER(F886),ISNUMBER(H886),F886&gt;=Inputs!$C$68),F886*H886*Inputs!$C$69,"")</f>
      </c>
    </row>
    <row r="887" spans="2:10" ht="15" customHeight="1" x14ac:dyDescent="0.2">
      <c r="B887" s="39">
        <f t="shared" si="6"/>
      </c>
      <c r="C887" s="40">
        <f>IF(Inputs!$C$60,Inputs!$C$11+(B887-Inputs!$C$69)/Inputs!$C$70,"")</f>
      </c>
      <c r="D887" s="15"/>
      <c r="E887" s="15"/>
      <c r="F887" s="11">
        <f t="shared" si="7"/>
      </c>
      <c r="G887" s="22" cm="1">
        <f t="array" ref="G887">IF(AND(Inputs!$C$60,Inputs!$C$61),INDEX(Utility_Rates!$C$29:$F$52,HOUR(C887)+Inputs!$C$69,MATCH(INDEX(Utility_Rates!$K$6:$K$17,MONTH(C887))&amp;IF(WEEKDAY(C887,Inputs!$C$76)&lt;=Inputs!$C$74," weekday"," weekend"),Utility_Rates!$C$28:$F$28,Inputs!$C$68)),"")</f>
      </c>
      <c r="H887" s="34"/>
      <c r="I887" s="42">
        <f>IF(AND(ISNUMBER(D887),ISNUMBER(H887)),D887*H887*Inputs!$C$69,"")</f>
      </c>
      <c r="J887" s="42">
        <f>IF(AND(ISNUMBER(F887),ISNUMBER(H887),F887&gt;=Inputs!$C$68),F887*H887*Inputs!$C$69,"")</f>
      </c>
    </row>
    <row r="888" spans="2:10" ht="15" customHeight="1" x14ac:dyDescent="0.2">
      <c r="B888" s="39">
        <f t="shared" si="6"/>
      </c>
      <c r="C888" s="40">
        <f>IF(Inputs!$C$60,Inputs!$C$11+(B888-Inputs!$C$69)/Inputs!$C$70,"")</f>
      </c>
      <c r="D888" s="15"/>
      <c r="E888" s="15"/>
      <c r="F888" s="11">
        <f t="shared" si="7"/>
      </c>
      <c r="G888" s="22" cm="1">
        <f t="array" ref="G888">IF(AND(Inputs!$C$60,Inputs!$C$61),INDEX(Utility_Rates!$C$29:$F$52,HOUR(C888)+Inputs!$C$69,MATCH(INDEX(Utility_Rates!$K$6:$K$17,MONTH(C888))&amp;IF(WEEKDAY(C888,Inputs!$C$76)&lt;=Inputs!$C$74," weekday"," weekend"),Utility_Rates!$C$28:$F$28,Inputs!$C$68)),"")</f>
      </c>
      <c r="H888" s="34"/>
      <c r="I888" s="42">
        <f>IF(AND(ISNUMBER(D888),ISNUMBER(H888)),D888*H888*Inputs!$C$69,"")</f>
      </c>
      <c r="J888" s="42">
        <f>IF(AND(ISNUMBER(F888),ISNUMBER(H888),F888&gt;=Inputs!$C$68),F888*H888*Inputs!$C$69,"")</f>
      </c>
    </row>
    <row r="889" spans="2:10" ht="15" customHeight="1" x14ac:dyDescent="0.2">
      <c r="B889" s="39">
        <f t="shared" si="6"/>
      </c>
      <c r="C889" s="40">
        <f>IF(Inputs!$C$60,Inputs!$C$11+(B889-Inputs!$C$69)/Inputs!$C$70,"")</f>
      </c>
      <c r="D889" s="15"/>
      <c r="E889" s="15"/>
      <c r="F889" s="11">
        <f t="shared" si="7"/>
      </c>
      <c r="G889" s="22" cm="1">
        <f t="array" ref="G889">IF(AND(Inputs!$C$60,Inputs!$C$61),INDEX(Utility_Rates!$C$29:$F$52,HOUR(C889)+Inputs!$C$69,MATCH(INDEX(Utility_Rates!$K$6:$K$17,MONTH(C889))&amp;IF(WEEKDAY(C889,Inputs!$C$76)&lt;=Inputs!$C$74," weekday"," weekend"),Utility_Rates!$C$28:$F$28,Inputs!$C$68)),"")</f>
      </c>
      <c r="H889" s="34"/>
      <c r="I889" s="42">
        <f>IF(AND(ISNUMBER(D889),ISNUMBER(H889)),D889*H889*Inputs!$C$69,"")</f>
      </c>
      <c r="J889" s="42">
        <f>IF(AND(ISNUMBER(F889),ISNUMBER(H889),F889&gt;=Inputs!$C$68),F889*H889*Inputs!$C$69,"")</f>
      </c>
    </row>
    <row r="890" spans="2:10" ht="15" customHeight="1" x14ac:dyDescent="0.2">
      <c r="B890" s="39">
        <f t="shared" si="6"/>
      </c>
      <c r="C890" s="40">
        <f>IF(Inputs!$C$60,Inputs!$C$11+(B890-Inputs!$C$69)/Inputs!$C$70,"")</f>
      </c>
      <c r="D890" s="15"/>
      <c r="E890" s="15"/>
      <c r="F890" s="11">
        <f t="shared" si="7"/>
      </c>
      <c r="G890" s="22" cm="1">
        <f t="array" ref="G890">IF(AND(Inputs!$C$60,Inputs!$C$61),INDEX(Utility_Rates!$C$29:$F$52,HOUR(C890)+Inputs!$C$69,MATCH(INDEX(Utility_Rates!$K$6:$K$17,MONTH(C890))&amp;IF(WEEKDAY(C890,Inputs!$C$76)&lt;=Inputs!$C$74," weekday"," weekend"),Utility_Rates!$C$28:$F$28,Inputs!$C$68)),"")</f>
      </c>
      <c r="H890" s="34"/>
      <c r="I890" s="42">
        <f>IF(AND(ISNUMBER(D890),ISNUMBER(H890)),D890*H890*Inputs!$C$69,"")</f>
      </c>
      <c r="J890" s="42">
        <f>IF(AND(ISNUMBER(F890),ISNUMBER(H890),F890&gt;=Inputs!$C$68),F890*H890*Inputs!$C$69,"")</f>
      </c>
    </row>
    <row r="891" spans="2:10" ht="15" customHeight="1" x14ac:dyDescent="0.2">
      <c r="B891" s="39">
        <f t="shared" si="6"/>
      </c>
      <c r="C891" s="40">
        <f>IF(Inputs!$C$60,Inputs!$C$11+(B891-Inputs!$C$69)/Inputs!$C$70,"")</f>
      </c>
      <c r="D891" s="15"/>
      <c r="E891" s="15"/>
      <c r="F891" s="11">
        <f t="shared" si="7"/>
      </c>
      <c r="G891" s="22" cm="1">
        <f t="array" ref="G891">IF(AND(Inputs!$C$60,Inputs!$C$61),INDEX(Utility_Rates!$C$29:$F$52,HOUR(C891)+Inputs!$C$69,MATCH(INDEX(Utility_Rates!$K$6:$K$17,MONTH(C891))&amp;IF(WEEKDAY(C891,Inputs!$C$76)&lt;=Inputs!$C$74," weekday"," weekend"),Utility_Rates!$C$28:$F$28,Inputs!$C$68)),"")</f>
      </c>
      <c r="H891" s="34"/>
      <c r="I891" s="42">
        <f>IF(AND(ISNUMBER(D891),ISNUMBER(H891)),D891*H891*Inputs!$C$69,"")</f>
      </c>
      <c r="J891" s="42">
        <f>IF(AND(ISNUMBER(F891),ISNUMBER(H891),F891&gt;=Inputs!$C$68),F891*H891*Inputs!$C$69,"")</f>
      </c>
    </row>
    <row r="892" spans="2:10" ht="15" customHeight="1" x14ac:dyDescent="0.2">
      <c r="B892" s="39">
        <f t="shared" si="6"/>
      </c>
      <c r="C892" s="40">
        <f>IF(Inputs!$C$60,Inputs!$C$11+(B892-Inputs!$C$69)/Inputs!$C$70,"")</f>
      </c>
      <c r="D892" s="15"/>
      <c r="E892" s="15"/>
      <c r="F892" s="11">
        <f t="shared" si="7"/>
      </c>
      <c r="G892" s="22" cm="1">
        <f t="array" ref="G892">IF(AND(Inputs!$C$60,Inputs!$C$61),INDEX(Utility_Rates!$C$29:$F$52,HOUR(C892)+Inputs!$C$69,MATCH(INDEX(Utility_Rates!$K$6:$K$17,MONTH(C892))&amp;IF(WEEKDAY(C892,Inputs!$C$76)&lt;=Inputs!$C$74," weekday"," weekend"),Utility_Rates!$C$28:$F$28,Inputs!$C$68)),"")</f>
      </c>
      <c r="H892" s="34"/>
      <c r="I892" s="42">
        <f>IF(AND(ISNUMBER(D892),ISNUMBER(H892)),D892*H892*Inputs!$C$69,"")</f>
      </c>
      <c r="J892" s="42">
        <f>IF(AND(ISNUMBER(F892),ISNUMBER(H892),F892&gt;=Inputs!$C$68),F892*H892*Inputs!$C$69,"")</f>
      </c>
    </row>
    <row r="893" spans="2:10" ht="15" customHeight="1" x14ac:dyDescent="0.2">
      <c r="B893" s="39">
        <f t="shared" si="6"/>
      </c>
      <c r="C893" s="40">
        <f>IF(Inputs!$C$60,Inputs!$C$11+(B893-Inputs!$C$69)/Inputs!$C$70,"")</f>
      </c>
      <c r="D893" s="15"/>
      <c r="E893" s="15"/>
      <c r="F893" s="11">
        <f t="shared" si="7"/>
      </c>
      <c r="G893" s="22" cm="1">
        <f t="array" ref="G893">IF(AND(Inputs!$C$60,Inputs!$C$61),INDEX(Utility_Rates!$C$29:$F$52,HOUR(C893)+Inputs!$C$69,MATCH(INDEX(Utility_Rates!$K$6:$K$17,MONTH(C893))&amp;IF(WEEKDAY(C893,Inputs!$C$76)&lt;=Inputs!$C$74," weekday"," weekend"),Utility_Rates!$C$28:$F$28,Inputs!$C$68)),"")</f>
      </c>
      <c r="H893" s="34"/>
      <c r="I893" s="42">
        <f>IF(AND(ISNUMBER(D893),ISNUMBER(H893)),D893*H893*Inputs!$C$69,"")</f>
      </c>
      <c r="J893" s="42">
        <f>IF(AND(ISNUMBER(F893),ISNUMBER(H893),F893&gt;=Inputs!$C$68),F893*H893*Inputs!$C$69,"")</f>
      </c>
    </row>
    <row r="894" spans="2:10" ht="15" customHeight="1" x14ac:dyDescent="0.2">
      <c r="B894" s="39">
        <f t="shared" si="6"/>
      </c>
      <c r="C894" s="40">
        <f>IF(Inputs!$C$60,Inputs!$C$11+(B894-Inputs!$C$69)/Inputs!$C$70,"")</f>
      </c>
      <c r="D894" s="15"/>
      <c r="E894" s="15"/>
      <c r="F894" s="11">
        <f t="shared" si="7"/>
      </c>
      <c r="G894" s="22" cm="1">
        <f t="array" ref="G894">IF(AND(Inputs!$C$60,Inputs!$C$61),INDEX(Utility_Rates!$C$29:$F$52,HOUR(C894)+Inputs!$C$69,MATCH(INDEX(Utility_Rates!$K$6:$K$17,MONTH(C894))&amp;IF(WEEKDAY(C894,Inputs!$C$76)&lt;=Inputs!$C$74," weekday"," weekend"),Utility_Rates!$C$28:$F$28,Inputs!$C$68)),"")</f>
      </c>
      <c r="H894" s="34"/>
      <c r="I894" s="42">
        <f>IF(AND(ISNUMBER(D894),ISNUMBER(H894)),D894*H894*Inputs!$C$69,"")</f>
      </c>
      <c r="J894" s="42">
        <f>IF(AND(ISNUMBER(F894),ISNUMBER(H894),F894&gt;=Inputs!$C$68),F894*H894*Inputs!$C$69,"")</f>
      </c>
    </row>
    <row r="895" spans="2:10" ht="15" customHeight="1" x14ac:dyDescent="0.2">
      <c r="B895" s="39">
        <f t="shared" si="6"/>
      </c>
      <c r="C895" s="40">
        <f>IF(Inputs!$C$60,Inputs!$C$11+(B895-Inputs!$C$69)/Inputs!$C$70,"")</f>
      </c>
      <c r="D895" s="15"/>
      <c r="E895" s="15"/>
      <c r="F895" s="11">
        <f t="shared" si="7"/>
      </c>
      <c r="G895" s="22" cm="1">
        <f t="array" ref="G895">IF(AND(Inputs!$C$60,Inputs!$C$61),INDEX(Utility_Rates!$C$29:$F$52,HOUR(C895)+Inputs!$C$69,MATCH(INDEX(Utility_Rates!$K$6:$K$17,MONTH(C895))&amp;IF(WEEKDAY(C895,Inputs!$C$76)&lt;=Inputs!$C$74," weekday"," weekend"),Utility_Rates!$C$28:$F$28,Inputs!$C$68)),"")</f>
      </c>
      <c r="H895" s="34"/>
      <c r="I895" s="42">
        <f>IF(AND(ISNUMBER(D895),ISNUMBER(H895)),D895*H895*Inputs!$C$69,"")</f>
      </c>
      <c r="J895" s="42">
        <f>IF(AND(ISNUMBER(F895),ISNUMBER(H895),F895&gt;=Inputs!$C$68),F895*H895*Inputs!$C$69,"")</f>
      </c>
    </row>
    <row r="896" spans="2:10" ht="15" customHeight="1" x14ac:dyDescent="0.2">
      <c r="B896" s="39">
        <f t="shared" si="6"/>
      </c>
      <c r="C896" s="40">
        <f>IF(Inputs!$C$60,Inputs!$C$11+(B896-Inputs!$C$69)/Inputs!$C$70,"")</f>
      </c>
      <c r="D896" s="15"/>
      <c r="E896" s="15"/>
      <c r="F896" s="11">
        <f t="shared" si="7"/>
      </c>
      <c r="G896" s="22" cm="1">
        <f t="array" ref="G896">IF(AND(Inputs!$C$60,Inputs!$C$61),INDEX(Utility_Rates!$C$29:$F$52,HOUR(C896)+Inputs!$C$69,MATCH(INDEX(Utility_Rates!$K$6:$K$17,MONTH(C896))&amp;IF(WEEKDAY(C896,Inputs!$C$76)&lt;=Inputs!$C$74," weekday"," weekend"),Utility_Rates!$C$28:$F$28,Inputs!$C$68)),"")</f>
      </c>
      <c r="H896" s="34"/>
      <c r="I896" s="42">
        <f>IF(AND(ISNUMBER(D896),ISNUMBER(H896)),D896*H896*Inputs!$C$69,"")</f>
      </c>
      <c r="J896" s="42">
        <f>IF(AND(ISNUMBER(F896),ISNUMBER(H896),F896&gt;=Inputs!$C$68),F896*H896*Inputs!$C$69,"")</f>
      </c>
    </row>
    <row r="897" spans="2:10" ht="15" customHeight="1" x14ac:dyDescent="0.2">
      <c r="B897" s="39">
        <f t="shared" si="6"/>
      </c>
      <c r="C897" s="40">
        <f>IF(Inputs!$C$60,Inputs!$C$11+(B897-Inputs!$C$69)/Inputs!$C$70,"")</f>
      </c>
      <c r="D897" s="15"/>
      <c r="E897" s="15"/>
      <c r="F897" s="11">
        <f t="shared" si="7"/>
      </c>
      <c r="G897" s="22" cm="1">
        <f t="array" ref="G897">IF(AND(Inputs!$C$60,Inputs!$C$61),INDEX(Utility_Rates!$C$29:$F$52,HOUR(C897)+Inputs!$C$69,MATCH(INDEX(Utility_Rates!$K$6:$K$17,MONTH(C897))&amp;IF(WEEKDAY(C897,Inputs!$C$76)&lt;=Inputs!$C$74," weekday"," weekend"),Utility_Rates!$C$28:$F$28,Inputs!$C$68)),"")</f>
      </c>
      <c r="H897" s="34"/>
      <c r="I897" s="42">
        <f>IF(AND(ISNUMBER(D897),ISNUMBER(H897)),D897*H897*Inputs!$C$69,"")</f>
      </c>
      <c r="J897" s="42">
        <f>IF(AND(ISNUMBER(F897),ISNUMBER(H897),F897&gt;=Inputs!$C$68),F897*H897*Inputs!$C$69,"")</f>
      </c>
    </row>
    <row r="898" spans="2:10" ht="15" customHeight="1" x14ac:dyDescent="0.2">
      <c r="B898" s="39">
        <f t="shared" si="6"/>
      </c>
      <c r="C898" s="40">
        <f>IF(Inputs!$C$60,Inputs!$C$11+(B898-Inputs!$C$69)/Inputs!$C$70,"")</f>
      </c>
      <c r="D898" s="15"/>
      <c r="E898" s="15"/>
      <c r="F898" s="11">
        <f t="shared" si="7"/>
      </c>
      <c r="G898" s="22" cm="1">
        <f t="array" ref="G898">IF(AND(Inputs!$C$60,Inputs!$C$61),INDEX(Utility_Rates!$C$29:$F$52,HOUR(C898)+Inputs!$C$69,MATCH(INDEX(Utility_Rates!$K$6:$K$17,MONTH(C898))&amp;IF(WEEKDAY(C898,Inputs!$C$76)&lt;=Inputs!$C$74," weekday"," weekend"),Utility_Rates!$C$28:$F$28,Inputs!$C$68)),"")</f>
      </c>
      <c r="H898" s="34"/>
      <c r="I898" s="42">
        <f>IF(AND(ISNUMBER(D898),ISNUMBER(H898)),D898*H898*Inputs!$C$69,"")</f>
      </c>
      <c r="J898" s="42">
        <f>IF(AND(ISNUMBER(F898),ISNUMBER(H898),F898&gt;=Inputs!$C$68),F898*H898*Inputs!$C$69,"")</f>
      </c>
    </row>
    <row r="899" spans="2:10" ht="15" customHeight="1" x14ac:dyDescent="0.2">
      <c r="B899" s="39">
        <f t="shared" si="6"/>
      </c>
      <c r="C899" s="40">
        <f>IF(Inputs!$C$60,Inputs!$C$11+(B899-Inputs!$C$69)/Inputs!$C$70,"")</f>
      </c>
      <c r="D899" s="15"/>
      <c r="E899" s="15"/>
      <c r="F899" s="11">
        <f t="shared" si="7"/>
      </c>
      <c r="G899" s="22" cm="1">
        <f t="array" ref="G899">IF(AND(Inputs!$C$60,Inputs!$C$61),INDEX(Utility_Rates!$C$29:$F$52,HOUR(C899)+Inputs!$C$69,MATCH(INDEX(Utility_Rates!$K$6:$K$17,MONTH(C899))&amp;IF(WEEKDAY(C899,Inputs!$C$76)&lt;=Inputs!$C$74," weekday"," weekend"),Utility_Rates!$C$28:$F$28,Inputs!$C$68)),"")</f>
      </c>
      <c r="H899" s="34"/>
      <c r="I899" s="42">
        <f>IF(AND(ISNUMBER(D899),ISNUMBER(H899)),D899*H899*Inputs!$C$69,"")</f>
      </c>
      <c r="J899" s="42">
        <f>IF(AND(ISNUMBER(F899),ISNUMBER(H899),F899&gt;=Inputs!$C$68),F899*H899*Inputs!$C$69,"")</f>
      </c>
    </row>
    <row r="900" spans="2:10" ht="15" customHeight="1" x14ac:dyDescent="0.2">
      <c r="B900" s="39">
        <f t="shared" si="6"/>
      </c>
      <c r="C900" s="40">
        <f>IF(Inputs!$C$60,Inputs!$C$11+(B900-Inputs!$C$69)/Inputs!$C$70,"")</f>
      </c>
      <c r="D900" s="15"/>
      <c r="E900" s="15"/>
      <c r="F900" s="11">
        <f t="shared" si="7"/>
      </c>
      <c r="G900" s="22" cm="1">
        <f t="array" ref="G900">IF(AND(Inputs!$C$60,Inputs!$C$61),INDEX(Utility_Rates!$C$29:$F$52,HOUR(C900)+Inputs!$C$69,MATCH(INDEX(Utility_Rates!$K$6:$K$17,MONTH(C900))&amp;IF(WEEKDAY(C900,Inputs!$C$76)&lt;=Inputs!$C$74," weekday"," weekend"),Utility_Rates!$C$28:$F$28,Inputs!$C$68)),"")</f>
      </c>
      <c r="H900" s="34"/>
      <c r="I900" s="42">
        <f>IF(AND(ISNUMBER(D900),ISNUMBER(H900)),D900*H900*Inputs!$C$69,"")</f>
      </c>
      <c r="J900" s="42">
        <f>IF(AND(ISNUMBER(F900),ISNUMBER(H900),F900&gt;=Inputs!$C$68),F900*H900*Inputs!$C$69,"")</f>
      </c>
    </row>
    <row r="901" spans="2:10" ht="15" customHeight="1" x14ac:dyDescent="0.2">
      <c r="B901" s="39">
        <f t="shared" si="6"/>
      </c>
      <c r="C901" s="40">
        <f>IF(Inputs!$C$60,Inputs!$C$11+(B901-Inputs!$C$69)/Inputs!$C$70,"")</f>
      </c>
      <c r="D901" s="15"/>
      <c r="E901" s="15"/>
      <c r="F901" s="11">
        <f t="shared" si="7"/>
      </c>
      <c r="G901" s="22" cm="1">
        <f t="array" ref="G901">IF(AND(Inputs!$C$60,Inputs!$C$61),INDEX(Utility_Rates!$C$29:$F$52,HOUR(C901)+Inputs!$C$69,MATCH(INDEX(Utility_Rates!$K$6:$K$17,MONTH(C901))&amp;IF(WEEKDAY(C901,Inputs!$C$76)&lt;=Inputs!$C$74," weekday"," weekend"),Utility_Rates!$C$28:$F$28,Inputs!$C$68)),"")</f>
      </c>
      <c r="H901" s="34"/>
      <c r="I901" s="42">
        <f>IF(AND(ISNUMBER(D901),ISNUMBER(H901)),D901*H901*Inputs!$C$69,"")</f>
      </c>
      <c r="J901" s="42">
        <f>IF(AND(ISNUMBER(F901),ISNUMBER(H901),F901&gt;=Inputs!$C$68),F901*H901*Inputs!$C$69,"")</f>
      </c>
    </row>
    <row r="902" spans="2:10" ht="15" customHeight="1" x14ac:dyDescent="0.2">
      <c r="B902" s="39">
        <f t="shared" si="6"/>
      </c>
      <c r="C902" s="40">
        <f>IF(Inputs!$C$60,Inputs!$C$11+(B902-Inputs!$C$69)/Inputs!$C$70,"")</f>
      </c>
      <c r="D902" s="15"/>
      <c r="E902" s="15"/>
      <c r="F902" s="11">
        <f t="shared" si="7"/>
      </c>
      <c r="G902" s="22" cm="1">
        <f t="array" ref="G902">IF(AND(Inputs!$C$60,Inputs!$C$61),INDEX(Utility_Rates!$C$29:$F$52,HOUR(C902)+Inputs!$C$69,MATCH(INDEX(Utility_Rates!$K$6:$K$17,MONTH(C902))&amp;IF(WEEKDAY(C902,Inputs!$C$76)&lt;=Inputs!$C$74," weekday"," weekend"),Utility_Rates!$C$28:$F$28,Inputs!$C$68)),"")</f>
      </c>
      <c r="H902" s="34"/>
      <c r="I902" s="42">
        <f>IF(AND(ISNUMBER(D902),ISNUMBER(H902)),D902*H902*Inputs!$C$69,"")</f>
      </c>
      <c r="J902" s="42">
        <f>IF(AND(ISNUMBER(F902),ISNUMBER(H902),F902&gt;=Inputs!$C$68),F902*H902*Inputs!$C$69,"")</f>
      </c>
    </row>
    <row r="903" spans="2:10" ht="15" customHeight="1" x14ac:dyDescent="0.2">
      <c r="B903" s="39">
        <f t="shared" si="6"/>
      </c>
      <c r="C903" s="40">
        <f>IF(Inputs!$C$60,Inputs!$C$11+(B903-Inputs!$C$69)/Inputs!$C$70,"")</f>
      </c>
      <c r="D903" s="15"/>
      <c r="E903" s="15"/>
      <c r="F903" s="11">
        <f t="shared" si="7"/>
      </c>
      <c r="G903" s="22" cm="1">
        <f t="array" ref="G903">IF(AND(Inputs!$C$60,Inputs!$C$61),INDEX(Utility_Rates!$C$29:$F$52,HOUR(C903)+Inputs!$C$69,MATCH(INDEX(Utility_Rates!$K$6:$K$17,MONTH(C903))&amp;IF(WEEKDAY(C903,Inputs!$C$76)&lt;=Inputs!$C$74," weekday"," weekend"),Utility_Rates!$C$28:$F$28,Inputs!$C$68)),"")</f>
      </c>
      <c r="H903" s="34"/>
      <c r="I903" s="42">
        <f>IF(AND(ISNUMBER(D903),ISNUMBER(H903)),D903*H903*Inputs!$C$69,"")</f>
      </c>
      <c r="J903" s="42">
        <f>IF(AND(ISNUMBER(F903),ISNUMBER(H903),F903&gt;=Inputs!$C$68),F903*H903*Inputs!$C$69,"")</f>
      </c>
    </row>
    <row r="904" spans="2:10" ht="15" customHeight="1" x14ac:dyDescent="0.2">
      <c r="B904" s="39">
        <f t="shared" si="6"/>
      </c>
      <c r="C904" s="40">
        <f>IF(Inputs!$C$60,Inputs!$C$11+(B904-Inputs!$C$69)/Inputs!$C$70,"")</f>
      </c>
      <c r="D904" s="15"/>
      <c r="E904" s="15"/>
      <c r="F904" s="11">
        <f t="shared" si="7"/>
      </c>
      <c r="G904" s="22" cm="1">
        <f t="array" ref="G904">IF(AND(Inputs!$C$60,Inputs!$C$61),INDEX(Utility_Rates!$C$29:$F$52,HOUR(C904)+Inputs!$C$69,MATCH(INDEX(Utility_Rates!$K$6:$K$17,MONTH(C904))&amp;IF(WEEKDAY(C904,Inputs!$C$76)&lt;=Inputs!$C$74," weekday"," weekend"),Utility_Rates!$C$28:$F$28,Inputs!$C$68)),"")</f>
      </c>
      <c r="H904" s="34"/>
      <c r="I904" s="42">
        <f>IF(AND(ISNUMBER(D904),ISNUMBER(H904)),D904*H904*Inputs!$C$69,"")</f>
      </c>
      <c r="J904" s="42">
        <f>IF(AND(ISNUMBER(F904),ISNUMBER(H904),F904&gt;=Inputs!$C$68),F904*H904*Inputs!$C$69,"")</f>
      </c>
    </row>
    <row r="905" spans="2:10" ht="15" customHeight="1" x14ac:dyDescent="0.2">
      <c r="B905" s="39">
        <f t="shared" si="6"/>
      </c>
      <c r="C905" s="40">
        <f>IF(Inputs!$C$60,Inputs!$C$11+(B905-Inputs!$C$69)/Inputs!$C$70,"")</f>
      </c>
      <c r="D905" s="15"/>
      <c r="E905" s="15"/>
      <c r="F905" s="11">
        <f t="shared" si="7"/>
      </c>
      <c r="G905" s="22" cm="1">
        <f t="array" ref="G905">IF(AND(Inputs!$C$60,Inputs!$C$61),INDEX(Utility_Rates!$C$29:$F$52,HOUR(C905)+Inputs!$C$69,MATCH(INDEX(Utility_Rates!$K$6:$K$17,MONTH(C905))&amp;IF(WEEKDAY(C905,Inputs!$C$76)&lt;=Inputs!$C$74," weekday"," weekend"),Utility_Rates!$C$28:$F$28,Inputs!$C$68)),"")</f>
      </c>
      <c r="H905" s="34"/>
      <c r="I905" s="42">
        <f>IF(AND(ISNUMBER(D905),ISNUMBER(H905)),D905*H905*Inputs!$C$69,"")</f>
      </c>
      <c r="J905" s="42">
        <f>IF(AND(ISNUMBER(F905),ISNUMBER(H905),F905&gt;=Inputs!$C$68),F905*H905*Inputs!$C$69,"")</f>
      </c>
    </row>
    <row r="906" spans="2:10" ht="15" customHeight="1" x14ac:dyDescent="0.2">
      <c r="B906" s="39">
        <f t="shared" si="6"/>
      </c>
      <c r="C906" s="40">
        <f>IF(Inputs!$C$60,Inputs!$C$11+(B906-Inputs!$C$69)/Inputs!$C$70,"")</f>
      </c>
      <c r="D906" s="15"/>
      <c r="E906" s="15"/>
      <c r="F906" s="11">
        <f t="shared" si="7"/>
      </c>
      <c r="G906" s="22" cm="1">
        <f t="array" ref="G906">IF(AND(Inputs!$C$60,Inputs!$C$61),INDEX(Utility_Rates!$C$29:$F$52,HOUR(C906)+Inputs!$C$69,MATCH(INDEX(Utility_Rates!$K$6:$K$17,MONTH(C906))&amp;IF(WEEKDAY(C906,Inputs!$C$76)&lt;=Inputs!$C$74," weekday"," weekend"),Utility_Rates!$C$28:$F$28,Inputs!$C$68)),"")</f>
      </c>
      <c r="H906" s="34"/>
      <c r="I906" s="42">
        <f>IF(AND(ISNUMBER(D906),ISNUMBER(H906)),D906*H906*Inputs!$C$69,"")</f>
      </c>
      <c r="J906" s="42">
        <f>IF(AND(ISNUMBER(F906),ISNUMBER(H906),F906&gt;=Inputs!$C$68),F906*H906*Inputs!$C$69,"")</f>
      </c>
    </row>
    <row r="907" spans="2:10" ht="15" customHeight="1" x14ac:dyDescent="0.2">
      <c r="B907" s="39">
        <f t="shared" si="6"/>
      </c>
      <c r="C907" s="40">
        <f>IF(Inputs!$C$60,Inputs!$C$11+(B907-Inputs!$C$69)/Inputs!$C$70,"")</f>
      </c>
      <c r="D907" s="15"/>
      <c r="E907" s="15"/>
      <c r="F907" s="11">
        <f t="shared" si="7"/>
      </c>
      <c r="G907" s="22" cm="1">
        <f t="array" ref="G907">IF(AND(Inputs!$C$60,Inputs!$C$61),INDEX(Utility_Rates!$C$29:$F$52,HOUR(C907)+Inputs!$C$69,MATCH(INDEX(Utility_Rates!$K$6:$K$17,MONTH(C907))&amp;IF(WEEKDAY(C907,Inputs!$C$76)&lt;=Inputs!$C$74," weekday"," weekend"),Utility_Rates!$C$28:$F$28,Inputs!$C$68)),"")</f>
      </c>
      <c r="H907" s="34"/>
      <c r="I907" s="42">
        <f>IF(AND(ISNUMBER(D907),ISNUMBER(H907)),D907*H907*Inputs!$C$69,"")</f>
      </c>
      <c r="J907" s="42">
        <f>IF(AND(ISNUMBER(F907),ISNUMBER(H907),F907&gt;=Inputs!$C$68),F907*H907*Inputs!$C$69,"")</f>
      </c>
    </row>
    <row r="908" spans="2:10" ht="15" customHeight="1" x14ac:dyDescent="0.2">
      <c r="B908" s="39">
        <f t="shared" si="6"/>
      </c>
      <c r="C908" s="40">
        <f>IF(Inputs!$C$60,Inputs!$C$11+(B908-Inputs!$C$69)/Inputs!$C$70,"")</f>
      </c>
      <c r="D908" s="15"/>
      <c r="E908" s="15"/>
      <c r="F908" s="11">
        <f t="shared" si="7"/>
      </c>
      <c r="G908" s="22" cm="1">
        <f t="array" ref="G908">IF(AND(Inputs!$C$60,Inputs!$C$61),INDEX(Utility_Rates!$C$29:$F$52,HOUR(C908)+Inputs!$C$69,MATCH(INDEX(Utility_Rates!$K$6:$K$17,MONTH(C908))&amp;IF(WEEKDAY(C908,Inputs!$C$76)&lt;=Inputs!$C$74," weekday"," weekend"),Utility_Rates!$C$28:$F$28,Inputs!$C$68)),"")</f>
      </c>
      <c r="H908" s="34"/>
      <c r="I908" s="42">
        <f>IF(AND(ISNUMBER(D908),ISNUMBER(H908)),D908*H908*Inputs!$C$69,"")</f>
      </c>
      <c r="J908" s="42">
        <f>IF(AND(ISNUMBER(F908),ISNUMBER(H908),F908&gt;=Inputs!$C$68),F908*H908*Inputs!$C$69,"")</f>
      </c>
    </row>
    <row r="909" spans="2:10" ht="15" customHeight="1" x14ac:dyDescent="0.2">
      <c r="B909" s="39">
        <f t="shared" si="6"/>
      </c>
      <c r="C909" s="40">
        <f>IF(Inputs!$C$60,Inputs!$C$11+(B909-Inputs!$C$69)/Inputs!$C$70,"")</f>
      </c>
      <c r="D909" s="15"/>
      <c r="E909" s="15"/>
      <c r="F909" s="11">
        <f t="shared" si="7"/>
      </c>
      <c r="G909" s="22" cm="1">
        <f t="array" ref="G909">IF(AND(Inputs!$C$60,Inputs!$C$61),INDEX(Utility_Rates!$C$29:$F$52,HOUR(C909)+Inputs!$C$69,MATCH(INDEX(Utility_Rates!$K$6:$K$17,MONTH(C909))&amp;IF(WEEKDAY(C909,Inputs!$C$76)&lt;=Inputs!$C$74," weekday"," weekend"),Utility_Rates!$C$28:$F$28,Inputs!$C$68)),"")</f>
      </c>
      <c r="H909" s="34"/>
      <c r="I909" s="42">
        <f>IF(AND(ISNUMBER(D909),ISNUMBER(H909)),D909*H909*Inputs!$C$69,"")</f>
      </c>
      <c r="J909" s="42">
        <f>IF(AND(ISNUMBER(F909),ISNUMBER(H909),F909&gt;=Inputs!$C$68),F909*H909*Inputs!$C$69,"")</f>
      </c>
    </row>
    <row r="910" spans="2:10" ht="15" customHeight="1" x14ac:dyDescent="0.2">
      <c r="B910" s="39">
        <f t="shared" si="6"/>
      </c>
      <c r="C910" s="40">
        <f>IF(Inputs!$C$60,Inputs!$C$11+(B910-Inputs!$C$69)/Inputs!$C$70,"")</f>
      </c>
      <c r="D910" s="15"/>
      <c r="E910" s="15"/>
      <c r="F910" s="11">
        <f t="shared" si="7"/>
      </c>
      <c r="G910" s="22" cm="1">
        <f t="array" ref="G910">IF(AND(Inputs!$C$60,Inputs!$C$61),INDEX(Utility_Rates!$C$29:$F$52,HOUR(C910)+Inputs!$C$69,MATCH(INDEX(Utility_Rates!$K$6:$K$17,MONTH(C910))&amp;IF(WEEKDAY(C910,Inputs!$C$76)&lt;=Inputs!$C$74," weekday"," weekend"),Utility_Rates!$C$28:$F$28,Inputs!$C$68)),"")</f>
      </c>
      <c r="H910" s="34"/>
      <c r="I910" s="42">
        <f>IF(AND(ISNUMBER(D910),ISNUMBER(H910)),D910*H910*Inputs!$C$69,"")</f>
      </c>
      <c r="J910" s="42">
        <f>IF(AND(ISNUMBER(F910),ISNUMBER(H910),F910&gt;=Inputs!$C$68),F910*H910*Inputs!$C$69,"")</f>
      </c>
    </row>
    <row r="911" spans="2:10" ht="15" customHeight="1" x14ac:dyDescent="0.2">
      <c r="B911" s="39">
        <f t="shared" si="6"/>
      </c>
      <c r="C911" s="40">
        <f>IF(Inputs!$C$60,Inputs!$C$11+(B911-Inputs!$C$69)/Inputs!$C$70,"")</f>
      </c>
      <c r="D911" s="15"/>
      <c r="E911" s="15"/>
      <c r="F911" s="11">
        <f t="shared" si="7"/>
      </c>
      <c r="G911" s="22" cm="1">
        <f t="array" ref="G911">IF(AND(Inputs!$C$60,Inputs!$C$61),INDEX(Utility_Rates!$C$29:$F$52,HOUR(C911)+Inputs!$C$69,MATCH(INDEX(Utility_Rates!$K$6:$K$17,MONTH(C911))&amp;IF(WEEKDAY(C911,Inputs!$C$76)&lt;=Inputs!$C$74," weekday"," weekend"),Utility_Rates!$C$28:$F$28,Inputs!$C$68)),"")</f>
      </c>
      <c r="H911" s="34"/>
      <c r="I911" s="42">
        <f>IF(AND(ISNUMBER(D911),ISNUMBER(H911)),D911*H911*Inputs!$C$69,"")</f>
      </c>
      <c r="J911" s="42">
        <f>IF(AND(ISNUMBER(F911),ISNUMBER(H911),F911&gt;=Inputs!$C$68),F911*H911*Inputs!$C$69,"")</f>
      </c>
    </row>
    <row r="912" spans="2:10" ht="15" customHeight="1" x14ac:dyDescent="0.2">
      <c r="B912" s="39">
        <f t="shared" si="6"/>
      </c>
      <c r="C912" s="40">
        <f>IF(Inputs!$C$60,Inputs!$C$11+(B912-Inputs!$C$69)/Inputs!$C$70,"")</f>
      </c>
      <c r="D912" s="15"/>
      <c r="E912" s="15"/>
      <c r="F912" s="11">
        <f t="shared" si="7"/>
      </c>
      <c r="G912" s="22" cm="1">
        <f t="array" ref="G912">IF(AND(Inputs!$C$60,Inputs!$C$61),INDEX(Utility_Rates!$C$29:$F$52,HOUR(C912)+Inputs!$C$69,MATCH(INDEX(Utility_Rates!$K$6:$K$17,MONTH(C912))&amp;IF(WEEKDAY(C912,Inputs!$C$76)&lt;=Inputs!$C$74," weekday"," weekend"),Utility_Rates!$C$28:$F$28,Inputs!$C$68)),"")</f>
      </c>
      <c r="H912" s="34"/>
      <c r="I912" s="42">
        <f>IF(AND(ISNUMBER(D912),ISNUMBER(H912)),D912*H912*Inputs!$C$69,"")</f>
      </c>
      <c r="J912" s="42">
        <f>IF(AND(ISNUMBER(F912),ISNUMBER(H912),F912&gt;=Inputs!$C$68),F912*H912*Inputs!$C$69,"")</f>
      </c>
    </row>
    <row r="913" spans="2:10" ht="15" customHeight="1" x14ac:dyDescent="0.2">
      <c r="B913" s="39">
        <f t="shared" si="6"/>
      </c>
      <c r="C913" s="40">
        <f>IF(Inputs!$C$60,Inputs!$C$11+(B913-Inputs!$C$69)/Inputs!$C$70,"")</f>
      </c>
      <c r="D913" s="15"/>
      <c r="E913" s="15"/>
      <c r="F913" s="11">
        <f t="shared" si="7"/>
      </c>
      <c r="G913" s="22" cm="1">
        <f t="array" ref="G913">IF(AND(Inputs!$C$60,Inputs!$C$61),INDEX(Utility_Rates!$C$29:$F$52,HOUR(C913)+Inputs!$C$69,MATCH(INDEX(Utility_Rates!$K$6:$K$17,MONTH(C913))&amp;IF(WEEKDAY(C913,Inputs!$C$76)&lt;=Inputs!$C$74," weekday"," weekend"),Utility_Rates!$C$28:$F$28,Inputs!$C$68)),"")</f>
      </c>
      <c r="H913" s="34"/>
      <c r="I913" s="42">
        <f>IF(AND(ISNUMBER(D913),ISNUMBER(H913)),D913*H913*Inputs!$C$69,"")</f>
      </c>
      <c r="J913" s="42">
        <f>IF(AND(ISNUMBER(F913),ISNUMBER(H913),F913&gt;=Inputs!$C$68),F913*H913*Inputs!$C$69,"")</f>
      </c>
    </row>
    <row r="914" spans="2:10" ht="15" customHeight="1" x14ac:dyDescent="0.2">
      <c r="B914" s="39">
        <f t="shared" si="6"/>
      </c>
      <c r="C914" s="40">
        <f>IF(Inputs!$C$60,Inputs!$C$11+(B914-Inputs!$C$69)/Inputs!$C$70,"")</f>
      </c>
      <c r="D914" s="15"/>
      <c r="E914" s="15"/>
      <c r="F914" s="11">
        <f t="shared" si="7"/>
      </c>
      <c r="G914" s="22" cm="1">
        <f t="array" ref="G914">IF(AND(Inputs!$C$60,Inputs!$C$61),INDEX(Utility_Rates!$C$29:$F$52,HOUR(C914)+Inputs!$C$69,MATCH(INDEX(Utility_Rates!$K$6:$K$17,MONTH(C914))&amp;IF(WEEKDAY(C914,Inputs!$C$76)&lt;=Inputs!$C$74," weekday"," weekend"),Utility_Rates!$C$28:$F$28,Inputs!$C$68)),"")</f>
      </c>
      <c r="H914" s="34"/>
      <c r="I914" s="42">
        <f>IF(AND(ISNUMBER(D914),ISNUMBER(H914)),D914*H914*Inputs!$C$69,"")</f>
      </c>
      <c r="J914" s="42">
        <f>IF(AND(ISNUMBER(F914),ISNUMBER(H914),F914&gt;=Inputs!$C$68),F914*H914*Inputs!$C$69,"")</f>
      </c>
    </row>
    <row r="915" spans="2:10" ht="15" customHeight="1" x14ac:dyDescent="0.2">
      <c r="B915" s="39">
        <f t="shared" si="6"/>
      </c>
      <c r="C915" s="40">
        <f>IF(Inputs!$C$60,Inputs!$C$11+(B915-Inputs!$C$69)/Inputs!$C$70,"")</f>
      </c>
      <c r="D915" s="15"/>
      <c r="E915" s="15"/>
      <c r="F915" s="11">
        <f t="shared" si="7"/>
      </c>
      <c r="G915" s="22" cm="1">
        <f t="array" ref="G915">IF(AND(Inputs!$C$60,Inputs!$C$61),INDEX(Utility_Rates!$C$29:$F$52,HOUR(C915)+Inputs!$C$69,MATCH(INDEX(Utility_Rates!$K$6:$K$17,MONTH(C915))&amp;IF(WEEKDAY(C915,Inputs!$C$76)&lt;=Inputs!$C$74," weekday"," weekend"),Utility_Rates!$C$28:$F$28,Inputs!$C$68)),"")</f>
      </c>
      <c r="H915" s="34"/>
      <c r="I915" s="42">
        <f>IF(AND(ISNUMBER(D915),ISNUMBER(H915)),D915*H915*Inputs!$C$69,"")</f>
      </c>
      <c r="J915" s="42">
        <f>IF(AND(ISNUMBER(F915),ISNUMBER(H915),F915&gt;=Inputs!$C$68),F915*H915*Inputs!$C$69,"")</f>
      </c>
    </row>
    <row r="916" spans="2:10" ht="15" customHeight="1" x14ac:dyDescent="0.2">
      <c r="B916" s="39">
        <f t="shared" si="6"/>
      </c>
      <c r="C916" s="40">
        <f>IF(Inputs!$C$60,Inputs!$C$11+(B916-Inputs!$C$69)/Inputs!$C$70,"")</f>
      </c>
      <c r="D916" s="15"/>
      <c r="E916" s="15"/>
      <c r="F916" s="11">
        <f t="shared" si="7"/>
      </c>
      <c r="G916" s="22" cm="1">
        <f t="array" ref="G916">IF(AND(Inputs!$C$60,Inputs!$C$61),INDEX(Utility_Rates!$C$29:$F$52,HOUR(C916)+Inputs!$C$69,MATCH(INDEX(Utility_Rates!$K$6:$K$17,MONTH(C916))&amp;IF(WEEKDAY(C916,Inputs!$C$76)&lt;=Inputs!$C$74," weekday"," weekend"),Utility_Rates!$C$28:$F$28,Inputs!$C$68)),"")</f>
      </c>
      <c r="H916" s="34"/>
      <c r="I916" s="42">
        <f>IF(AND(ISNUMBER(D916),ISNUMBER(H916)),D916*H916*Inputs!$C$69,"")</f>
      </c>
      <c r="J916" s="42">
        <f>IF(AND(ISNUMBER(F916),ISNUMBER(H916),F916&gt;=Inputs!$C$68),F916*H916*Inputs!$C$69,"")</f>
      </c>
    </row>
    <row r="917" spans="2:10" ht="15" customHeight="1" x14ac:dyDescent="0.2">
      <c r="B917" s="39">
        <f t="shared" si="6"/>
      </c>
      <c r="C917" s="40">
        <f>IF(Inputs!$C$60,Inputs!$C$11+(B917-Inputs!$C$69)/Inputs!$C$70,"")</f>
      </c>
      <c r="D917" s="15"/>
      <c r="E917" s="15"/>
      <c r="F917" s="11">
        <f t="shared" si="7"/>
      </c>
      <c r="G917" s="22" cm="1">
        <f t="array" ref="G917">IF(AND(Inputs!$C$60,Inputs!$C$61),INDEX(Utility_Rates!$C$29:$F$52,HOUR(C917)+Inputs!$C$69,MATCH(INDEX(Utility_Rates!$K$6:$K$17,MONTH(C917))&amp;IF(WEEKDAY(C917,Inputs!$C$76)&lt;=Inputs!$C$74," weekday"," weekend"),Utility_Rates!$C$28:$F$28,Inputs!$C$68)),"")</f>
      </c>
      <c r="H917" s="34"/>
      <c r="I917" s="42">
        <f>IF(AND(ISNUMBER(D917),ISNUMBER(H917)),D917*H917*Inputs!$C$69,"")</f>
      </c>
      <c r="J917" s="42">
        <f>IF(AND(ISNUMBER(F917),ISNUMBER(H917),F917&gt;=Inputs!$C$68),F917*H917*Inputs!$C$69,"")</f>
      </c>
    </row>
    <row r="918" spans="2:10" ht="15" customHeight="1" x14ac:dyDescent="0.2">
      <c r="B918" s="39">
        <f t="shared" si="6"/>
      </c>
      <c r="C918" s="40">
        <f>IF(Inputs!$C$60,Inputs!$C$11+(B918-Inputs!$C$69)/Inputs!$C$70,"")</f>
      </c>
      <c r="D918" s="15"/>
      <c r="E918" s="15"/>
      <c r="F918" s="11">
        <f t="shared" si="7"/>
      </c>
      <c r="G918" s="22" cm="1">
        <f t="array" ref="G918">IF(AND(Inputs!$C$60,Inputs!$C$61),INDEX(Utility_Rates!$C$29:$F$52,HOUR(C918)+Inputs!$C$69,MATCH(INDEX(Utility_Rates!$K$6:$K$17,MONTH(C918))&amp;IF(WEEKDAY(C918,Inputs!$C$76)&lt;=Inputs!$C$74," weekday"," weekend"),Utility_Rates!$C$28:$F$28,Inputs!$C$68)),"")</f>
      </c>
      <c r="H918" s="34"/>
      <c r="I918" s="42">
        <f>IF(AND(ISNUMBER(D918),ISNUMBER(H918)),D918*H918*Inputs!$C$69,"")</f>
      </c>
      <c r="J918" s="42">
        <f>IF(AND(ISNUMBER(F918),ISNUMBER(H918),F918&gt;=Inputs!$C$68),F918*H918*Inputs!$C$69,"")</f>
      </c>
    </row>
    <row r="919" spans="2:10" ht="15" customHeight="1" x14ac:dyDescent="0.2">
      <c r="B919" s="39">
        <f t="shared" si="6"/>
      </c>
      <c r="C919" s="40">
        <f>IF(Inputs!$C$60,Inputs!$C$11+(B919-Inputs!$C$69)/Inputs!$C$70,"")</f>
      </c>
      <c r="D919" s="15"/>
      <c r="E919" s="15"/>
      <c r="F919" s="11">
        <f t="shared" si="7"/>
      </c>
      <c r="G919" s="22" cm="1">
        <f t="array" ref="G919">IF(AND(Inputs!$C$60,Inputs!$C$61),INDEX(Utility_Rates!$C$29:$F$52,HOUR(C919)+Inputs!$C$69,MATCH(INDEX(Utility_Rates!$K$6:$K$17,MONTH(C919))&amp;IF(WEEKDAY(C919,Inputs!$C$76)&lt;=Inputs!$C$74," weekday"," weekend"),Utility_Rates!$C$28:$F$28,Inputs!$C$68)),"")</f>
      </c>
      <c r="H919" s="34"/>
      <c r="I919" s="42">
        <f>IF(AND(ISNUMBER(D919),ISNUMBER(H919)),D919*H919*Inputs!$C$69,"")</f>
      </c>
      <c r="J919" s="42">
        <f>IF(AND(ISNUMBER(F919),ISNUMBER(H919),F919&gt;=Inputs!$C$68),F919*H919*Inputs!$C$69,"")</f>
      </c>
    </row>
    <row r="920" spans="2:10" ht="15" customHeight="1" x14ac:dyDescent="0.2">
      <c r="B920" s="39">
        <f t="shared" si="6"/>
      </c>
      <c r="C920" s="40">
        <f>IF(Inputs!$C$60,Inputs!$C$11+(B920-Inputs!$C$69)/Inputs!$C$70,"")</f>
      </c>
      <c r="D920" s="15"/>
      <c r="E920" s="15"/>
      <c r="F920" s="11">
        <f t="shared" si="7"/>
      </c>
      <c r="G920" s="22" cm="1">
        <f t="array" ref="G920">IF(AND(Inputs!$C$60,Inputs!$C$61),INDEX(Utility_Rates!$C$29:$F$52,HOUR(C920)+Inputs!$C$69,MATCH(INDEX(Utility_Rates!$K$6:$K$17,MONTH(C920))&amp;IF(WEEKDAY(C920,Inputs!$C$76)&lt;=Inputs!$C$74," weekday"," weekend"),Utility_Rates!$C$28:$F$28,Inputs!$C$68)),"")</f>
      </c>
      <c r="H920" s="34"/>
      <c r="I920" s="42">
        <f>IF(AND(ISNUMBER(D920),ISNUMBER(H920)),D920*H920*Inputs!$C$69,"")</f>
      </c>
      <c r="J920" s="42">
        <f>IF(AND(ISNUMBER(F920),ISNUMBER(H920),F920&gt;=Inputs!$C$68),F920*H920*Inputs!$C$69,"")</f>
      </c>
    </row>
    <row r="921" spans="2:10" ht="15" customHeight="1" x14ac:dyDescent="0.2">
      <c r="B921" s="39">
        <f t="shared" si="6"/>
      </c>
      <c r="C921" s="40">
        <f>IF(Inputs!$C$60,Inputs!$C$11+(B921-Inputs!$C$69)/Inputs!$C$70,"")</f>
      </c>
      <c r="D921" s="15"/>
      <c r="E921" s="15"/>
      <c r="F921" s="11">
        <f t="shared" si="7"/>
      </c>
      <c r="G921" s="22" cm="1">
        <f t="array" ref="G921">IF(AND(Inputs!$C$60,Inputs!$C$61),INDEX(Utility_Rates!$C$29:$F$52,HOUR(C921)+Inputs!$C$69,MATCH(INDEX(Utility_Rates!$K$6:$K$17,MONTH(C921))&amp;IF(WEEKDAY(C921,Inputs!$C$76)&lt;=Inputs!$C$74," weekday"," weekend"),Utility_Rates!$C$28:$F$28,Inputs!$C$68)),"")</f>
      </c>
      <c r="H921" s="34"/>
      <c r="I921" s="42">
        <f>IF(AND(ISNUMBER(D921),ISNUMBER(H921)),D921*H921*Inputs!$C$69,"")</f>
      </c>
      <c r="J921" s="42">
        <f>IF(AND(ISNUMBER(F921),ISNUMBER(H921),F921&gt;=Inputs!$C$68),F921*H921*Inputs!$C$69,"")</f>
      </c>
    </row>
    <row r="922" spans="2:10" ht="15" customHeight="1" x14ac:dyDescent="0.2">
      <c r="B922" s="39">
        <f t="shared" si="6"/>
      </c>
      <c r="C922" s="40">
        <f>IF(Inputs!$C$60,Inputs!$C$11+(B922-Inputs!$C$69)/Inputs!$C$70,"")</f>
      </c>
      <c r="D922" s="15"/>
      <c r="E922" s="15"/>
      <c r="F922" s="11">
        <f t="shared" si="7"/>
      </c>
      <c r="G922" s="22" cm="1">
        <f t="array" ref="G922">IF(AND(Inputs!$C$60,Inputs!$C$61),INDEX(Utility_Rates!$C$29:$F$52,HOUR(C922)+Inputs!$C$69,MATCH(INDEX(Utility_Rates!$K$6:$K$17,MONTH(C922))&amp;IF(WEEKDAY(C922,Inputs!$C$76)&lt;=Inputs!$C$74," weekday"," weekend"),Utility_Rates!$C$28:$F$28,Inputs!$C$68)),"")</f>
      </c>
      <c r="H922" s="34"/>
      <c r="I922" s="42">
        <f>IF(AND(ISNUMBER(D922),ISNUMBER(H922)),D922*H922*Inputs!$C$69,"")</f>
      </c>
      <c r="J922" s="42">
        <f>IF(AND(ISNUMBER(F922),ISNUMBER(H922),F922&gt;=Inputs!$C$68),F922*H922*Inputs!$C$69,"")</f>
      </c>
    </row>
    <row r="923" spans="2:10" ht="15" customHeight="1" x14ac:dyDescent="0.2">
      <c r="B923" s="39">
        <f t="shared" si="6"/>
      </c>
      <c r="C923" s="40">
        <f>IF(Inputs!$C$60,Inputs!$C$11+(B923-Inputs!$C$69)/Inputs!$C$70,"")</f>
      </c>
      <c r="D923" s="15"/>
      <c r="E923" s="15"/>
      <c r="F923" s="11">
        <f t="shared" si="7"/>
      </c>
      <c r="G923" s="22" cm="1">
        <f t="array" ref="G923">IF(AND(Inputs!$C$60,Inputs!$C$61),INDEX(Utility_Rates!$C$29:$F$52,HOUR(C923)+Inputs!$C$69,MATCH(INDEX(Utility_Rates!$K$6:$K$17,MONTH(C923))&amp;IF(WEEKDAY(C923,Inputs!$C$76)&lt;=Inputs!$C$74," weekday"," weekend"),Utility_Rates!$C$28:$F$28,Inputs!$C$68)),"")</f>
      </c>
      <c r="H923" s="34"/>
      <c r="I923" s="42">
        <f>IF(AND(ISNUMBER(D923),ISNUMBER(H923)),D923*H923*Inputs!$C$69,"")</f>
      </c>
      <c r="J923" s="42">
        <f>IF(AND(ISNUMBER(F923),ISNUMBER(H923),F923&gt;=Inputs!$C$68),F923*H923*Inputs!$C$69,"")</f>
      </c>
    </row>
    <row r="924" spans="2:10" ht="15" customHeight="1" x14ac:dyDescent="0.2">
      <c r="B924" s="39">
        <f t="shared" si="6"/>
      </c>
      <c r="C924" s="40">
        <f>IF(Inputs!$C$60,Inputs!$C$11+(B924-Inputs!$C$69)/Inputs!$C$70,"")</f>
      </c>
      <c r="D924" s="15"/>
      <c r="E924" s="15"/>
      <c r="F924" s="11">
        <f t="shared" si="7"/>
      </c>
      <c r="G924" s="22" cm="1">
        <f t="array" ref="G924">IF(AND(Inputs!$C$60,Inputs!$C$61),INDEX(Utility_Rates!$C$29:$F$52,HOUR(C924)+Inputs!$C$69,MATCH(INDEX(Utility_Rates!$K$6:$K$17,MONTH(C924))&amp;IF(WEEKDAY(C924,Inputs!$C$76)&lt;=Inputs!$C$74," weekday"," weekend"),Utility_Rates!$C$28:$F$28,Inputs!$C$68)),"")</f>
      </c>
      <c r="H924" s="34"/>
      <c r="I924" s="42">
        <f>IF(AND(ISNUMBER(D924),ISNUMBER(H924)),D924*H924*Inputs!$C$69,"")</f>
      </c>
      <c r="J924" s="42">
        <f>IF(AND(ISNUMBER(F924),ISNUMBER(H924),F924&gt;=Inputs!$C$68),F924*H924*Inputs!$C$69,"")</f>
      </c>
    </row>
    <row r="925" spans="2:10" ht="15" customHeight="1" x14ac:dyDescent="0.2">
      <c r="B925" s="39">
        <f t="shared" si="6"/>
      </c>
      <c r="C925" s="40">
        <f>IF(Inputs!$C$60,Inputs!$C$11+(B925-Inputs!$C$69)/Inputs!$C$70,"")</f>
      </c>
      <c r="D925" s="15"/>
      <c r="E925" s="15"/>
      <c r="F925" s="11">
        <f t="shared" si="7"/>
      </c>
      <c r="G925" s="22" cm="1">
        <f t="array" ref="G925">IF(AND(Inputs!$C$60,Inputs!$C$61),INDEX(Utility_Rates!$C$29:$F$52,HOUR(C925)+Inputs!$C$69,MATCH(INDEX(Utility_Rates!$K$6:$K$17,MONTH(C925))&amp;IF(WEEKDAY(C925,Inputs!$C$76)&lt;=Inputs!$C$74," weekday"," weekend"),Utility_Rates!$C$28:$F$28,Inputs!$C$68)),"")</f>
      </c>
      <c r="H925" s="34"/>
      <c r="I925" s="42">
        <f>IF(AND(ISNUMBER(D925),ISNUMBER(H925)),D925*H925*Inputs!$C$69,"")</f>
      </c>
      <c r="J925" s="42">
        <f>IF(AND(ISNUMBER(F925),ISNUMBER(H925),F925&gt;=Inputs!$C$68),F925*H925*Inputs!$C$69,"")</f>
      </c>
    </row>
    <row r="926" spans="2:10" ht="15" customHeight="1" x14ac:dyDescent="0.2">
      <c r="B926" s="39">
        <f t="shared" si="6"/>
      </c>
      <c r="C926" s="40">
        <f>IF(Inputs!$C$60,Inputs!$C$11+(B926-Inputs!$C$69)/Inputs!$C$70,"")</f>
      </c>
      <c r="D926" s="15"/>
      <c r="E926" s="15"/>
      <c r="F926" s="11">
        <f t="shared" si="7"/>
      </c>
      <c r="G926" s="22" cm="1">
        <f t="array" ref="G926">IF(AND(Inputs!$C$60,Inputs!$C$61),INDEX(Utility_Rates!$C$29:$F$52,HOUR(C926)+Inputs!$C$69,MATCH(INDEX(Utility_Rates!$K$6:$K$17,MONTH(C926))&amp;IF(WEEKDAY(C926,Inputs!$C$76)&lt;=Inputs!$C$74," weekday"," weekend"),Utility_Rates!$C$28:$F$28,Inputs!$C$68)),"")</f>
      </c>
      <c r="H926" s="34"/>
      <c r="I926" s="42">
        <f>IF(AND(ISNUMBER(D926),ISNUMBER(H926)),D926*H926*Inputs!$C$69,"")</f>
      </c>
      <c r="J926" s="42">
        <f>IF(AND(ISNUMBER(F926),ISNUMBER(H926),F926&gt;=Inputs!$C$68),F926*H926*Inputs!$C$69,"")</f>
      </c>
    </row>
    <row r="927" spans="2:10" ht="15" customHeight="1" x14ac:dyDescent="0.2">
      <c r="B927" s="39">
        <f t="shared" si="6"/>
      </c>
      <c r="C927" s="40">
        <f>IF(Inputs!$C$60,Inputs!$C$11+(B927-Inputs!$C$69)/Inputs!$C$70,"")</f>
      </c>
      <c r="D927" s="15"/>
      <c r="E927" s="15"/>
      <c r="F927" s="11">
        <f t="shared" si="7"/>
      </c>
      <c r="G927" s="22" cm="1">
        <f t="array" ref="G927">IF(AND(Inputs!$C$60,Inputs!$C$61),INDEX(Utility_Rates!$C$29:$F$52,HOUR(C927)+Inputs!$C$69,MATCH(INDEX(Utility_Rates!$K$6:$K$17,MONTH(C927))&amp;IF(WEEKDAY(C927,Inputs!$C$76)&lt;=Inputs!$C$74," weekday"," weekend"),Utility_Rates!$C$28:$F$28,Inputs!$C$68)),"")</f>
      </c>
      <c r="H927" s="34"/>
      <c r="I927" s="42">
        <f>IF(AND(ISNUMBER(D927),ISNUMBER(H927)),D927*H927*Inputs!$C$69,"")</f>
      </c>
      <c r="J927" s="42">
        <f>IF(AND(ISNUMBER(F927),ISNUMBER(H927),F927&gt;=Inputs!$C$68),F927*H927*Inputs!$C$69,"")</f>
      </c>
    </row>
    <row r="928" spans="2:10" ht="15" customHeight="1" x14ac:dyDescent="0.2">
      <c r="B928" s="39">
        <f t="shared" si="6"/>
      </c>
      <c r="C928" s="40">
        <f>IF(Inputs!$C$60,Inputs!$C$11+(B928-Inputs!$C$69)/Inputs!$C$70,"")</f>
      </c>
      <c r="D928" s="15"/>
      <c r="E928" s="15"/>
      <c r="F928" s="11">
        <f t="shared" si="7"/>
      </c>
      <c r="G928" s="22" cm="1">
        <f t="array" ref="G928">IF(AND(Inputs!$C$60,Inputs!$C$61),INDEX(Utility_Rates!$C$29:$F$52,HOUR(C928)+Inputs!$C$69,MATCH(INDEX(Utility_Rates!$K$6:$K$17,MONTH(C928))&amp;IF(WEEKDAY(C928,Inputs!$C$76)&lt;=Inputs!$C$74," weekday"," weekend"),Utility_Rates!$C$28:$F$28,Inputs!$C$68)),"")</f>
      </c>
      <c r="H928" s="34"/>
      <c r="I928" s="42">
        <f>IF(AND(ISNUMBER(D928),ISNUMBER(H928)),D928*H928*Inputs!$C$69,"")</f>
      </c>
      <c r="J928" s="42">
        <f>IF(AND(ISNUMBER(F928),ISNUMBER(H928),F928&gt;=Inputs!$C$68),F928*H928*Inputs!$C$69,"")</f>
      </c>
    </row>
    <row r="929" spans="2:10" ht="15" customHeight="1" x14ac:dyDescent="0.2">
      <c r="B929" s="39">
        <f t="shared" si="6"/>
      </c>
      <c r="C929" s="40">
        <f>IF(Inputs!$C$60,Inputs!$C$11+(B929-Inputs!$C$69)/Inputs!$C$70,"")</f>
      </c>
      <c r="D929" s="15"/>
      <c r="E929" s="15"/>
      <c r="F929" s="11">
        <f t="shared" si="7"/>
      </c>
      <c r="G929" s="22" cm="1">
        <f t="array" ref="G929">IF(AND(Inputs!$C$60,Inputs!$C$61),INDEX(Utility_Rates!$C$29:$F$52,HOUR(C929)+Inputs!$C$69,MATCH(INDEX(Utility_Rates!$K$6:$K$17,MONTH(C929))&amp;IF(WEEKDAY(C929,Inputs!$C$76)&lt;=Inputs!$C$74," weekday"," weekend"),Utility_Rates!$C$28:$F$28,Inputs!$C$68)),"")</f>
      </c>
      <c r="H929" s="34"/>
      <c r="I929" s="42">
        <f>IF(AND(ISNUMBER(D929),ISNUMBER(H929)),D929*H929*Inputs!$C$69,"")</f>
      </c>
      <c r="J929" s="42">
        <f>IF(AND(ISNUMBER(F929),ISNUMBER(H929),F929&gt;=Inputs!$C$68),F929*H929*Inputs!$C$69,"")</f>
      </c>
    </row>
    <row r="930" spans="2:10" ht="15" customHeight="1" x14ac:dyDescent="0.2">
      <c r="B930" s="39">
        <f t="shared" si="6"/>
      </c>
      <c r="C930" s="40">
        <f>IF(Inputs!$C$60,Inputs!$C$11+(B930-Inputs!$C$69)/Inputs!$C$70,"")</f>
      </c>
      <c r="D930" s="15"/>
      <c r="E930" s="15"/>
      <c r="F930" s="11">
        <f t="shared" si="7"/>
      </c>
      <c r="G930" s="22" cm="1">
        <f t="array" ref="G930">IF(AND(Inputs!$C$60,Inputs!$C$61),INDEX(Utility_Rates!$C$29:$F$52,HOUR(C930)+Inputs!$C$69,MATCH(INDEX(Utility_Rates!$K$6:$K$17,MONTH(C930))&amp;IF(WEEKDAY(C930,Inputs!$C$76)&lt;=Inputs!$C$74," weekday"," weekend"),Utility_Rates!$C$28:$F$28,Inputs!$C$68)),"")</f>
      </c>
      <c r="H930" s="34"/>
      <c r="I930" s="42">
        <f>IF(AND(ISNUMBER(D930),ISNUMBER(H930)),D930*H930*Inputs!$C$69,"")</f>
      </c>
      <c r="J930" s="42">
        <f>IF(AND(ISNUMBER(F930),ISNUMBER(H930),F930&gt;=Inputs!$C$68),F930*H930*Inputs!$C$69,"")</f>
      </c>
    </row>
    <row r="931" spans="2:10" ht="15" customHeight="1" x14ac:dyDescent="0.2">
      <c r="B931" s="39">
        <f t="shared" si="6"/>
      </c>
      <c r="C931" s="40">
        <f>IF(Inputs!$C$60,Inputs!$C$11+(B931-Inputs!$C$69)/Inputs!$C$70,"")</f>
      </c>
      <c r="D931" s="15"/>
      <c r="E931" s="15"/>
      <c r="F931" s="11">
        <f t="shared" si="7"/>
      </c>
      <c r="G931" s="22" cm="1">
        <f t="array" ref="G931">IF(AND(Inputs!$C$60,Inputs!$C$61),INDEX(Utility_Rates!$C$29:$F$52,HOUR(C931)+Inputs!$C$69,MATCH(INDEX(Utility_Rates!$K$6:$K$17,MONTH(C931))&amp;IF(WEEKDAY(C931,Inputs!$C$76)&lt;=Inputs!$C$74," weekday"," weekend"),Utility_Rates!$C$28:$F$28,Inputs!$C$68)),"")</f>
      </c>
      <c r="H931" s="34"/>
      <c r="I931" s="42">
        <f>IF(AND(ISNUMBER(D931),ISNUMBER(H931)),D931*H931*Inputs!$C$69,"")</f>
      </c>
      <c r="J931" s="42">
        <f>IF(AND(ISNUMBER(F931),ISNUMBER(H931),F931&gt;=Inputs!$C$68),F931*H931*Inputs!$C$69,"")</f>
      </c>
    </row>
    <row r="932" spans="2:10" ht="15" customHeight="1" x14ac:dyDescent="0.2">
      <c r="B932" s="39">
        <f t="shared" si="6"/>
      </c>
      <c r="C932" s="40">
        <f>IF(Inputs!$C$60,Inputs!$C$11+(B932-Inputs!$C$69)/Inputs!$C$70,"")</f>
      </c>
      <c r="D932" s="15"/>
      <c r="E932" s="15"/>
      <c r="F932" s="11">
        <f t="shared" si="7"/>
      </c>
      <c r="G932" s="22" cm="1">
        <f t="array" ref="G932">IF(AND(Inputs!$C$60,Inputs!$C$61),INDEX(Utility_Rates!$C$29:$F$52,HOUR(C932)+Inputs!$C$69,MATCH(INDEX(Utility_Rates!$K$6:$K$17,MONTH(C932))&amp;IF(WEEKDAY(C932,Inputs!$C$76)&lt;=Inputs!$C$74," weekday"," weekend"),Utility_Rates!$C$28:$F$28,Inputs!$C$68)),"")</f>
      </c>
      <c r="H932" s="34"/>
      <c r="I932" s="42">
        <f>IF(AND(ISNUMBER(D932),ISNUMBER(H932)),D932*H932*Inputs!$C$69,"")</f>
      </c>
      <c r="J932" s="42">
        <f>IF(AND(ISNUMBER(F932),ISNUMBER(H932),F932&gt;=Inputs!$C$68),F932*H932*Inputs!$C$69,"")</f>
      </c>
    </row>
    <row r="933" spans="2:10" ht="15" customHeight="1" x14ac:dyDescent="0.2">
      <c r="B933" s="39">
        <f t="shared" si="6"/>
      </c>
      <c r="C933" s="40">
        <f>IF(Inputs!$C$60,Inputs!$C$11+(B933-Inputs!$C$69)/Inputs!$C$70,"")</f>
      </c>
      <c r="D933" s="15"/>
      <c r="E933" s="15"/>
      <c r="F933" s="11">
        <f t="shared" si="7"/>
      </c>
      <c r="G933" s="22" cm="1">
        <f t="array" ref="G933">IF(AND(Inputs!$C$60,Inputs!$C$61),INDEX(Utility_Rates!$C$29:$F$52,HOUR(C933)+Inputs!$C$69,MATCH(INDEX(Utility_Rates!$K$6:$K$17,MONTH(C933))&amp;IF(WEEKDAY(C933,Inputs!$C$76)&lt;=Inputs!$C$74," weekday"," weekend"),Utility_Rates!$C$28:$F$28,Inputs!$C$68)),"")</f>
      </c>
      <c r="H933" s="34"/>
      <c r="I933" s="42">
        <f>IF(AND(ISNUMBER(D933),ISNUMBER(H933)),D933*H933*Inputs!$C$69,"")</f>
      </c>
      <c r="J933" s="42">
        <f>IF(AND(ISNUMBER(F933),ISNUMBER(H933),F933&gt;=Inputs!$C$68),F933*H933*Inputs!$C$69,"")</f>
      </c>
    </row>
    <row r="934" spans="2:10" ht="15" customHeight="1" x14ac:dyDescent="0.2">
      <c r="B934" s="39">
        <f t="shared" si="6"/>
      </c>
      <c r="C934" s="40">
        <f>IF(Inputs!$C$60,Inputs!$C$11+(B934-Inputs!$C$69)/Inputs!$C$70,"")</f>
      </c>
      <c r="D934" s="15"/>
      <c r="E934" s="15"/>
      <c r="F934" s="11">
        <f t="shared" si="7"/>
      </c>
      <c r="G934" s="22" cm="1">
        <f t="array" ref="G934">IF(AND(Inputs!$C$60,Inputs!$C$61),INDEX(Utility_Rates!$C$29:$F$52,HOUR(C934)+Inputs!$C$69,MATCH(INDEX(Utility_Rates!$K$6:$K$17,MONTH(C934))&amp;IF(WEEKDAY(C934,Inputs!$C$76)&lt;=Inputs!$C$74," weekday"," weekend"),Utility_Rates!$C$28:$F$28,Inputs!$C$68)),"")</f>
      </c>
      <c r="H934" s="34"/>
      <c r="I934" s="42">
        <f>IF(AND(ISNUMBER(D934),ISNUMBER(H934)),D934*H934*Inputs!$C$69,"")</f>
      </c>
      <c r="J934" s="42">
        <f>IF(AND(ISNUMBER(F934),ISNUMBER(H934),F934&gt;=Inputs!$C$68),F934*H934*Inputs!$C$69,"")</f>
      </c>
    </row>
    <row r="935" spans="2:10" ht="15" customHeight="1" x14ac:dyDescent="0.2">
      <c r="B935" s="39">
        <f t="shared" si="6"/>
      </c>
      <c r="C935" s="40">
        <f>IF(Inputs!$C$60,Inputs!$C$11+(B935-Inputs!$C$69)/Inputs!$C$70,"")</f>
      </c>
      <c r="D935" s="15"/>
      <c r="E935" s="15"/>
      <c r="F935" s="11">
        <f t="shared" si="7"/>
      </c>
      <c r="G935" s="22" cm="1">
        <f t="array" ref="G935">IF(AND(Inputs!$C$60,Inputs!$C$61),INDEX(Utility_Rates!$C$29:$F$52,HOUR(C935)+Inputs!$C$69,MATCH(INDEX(Utility_Rates!$K$6:$K$17,MONTH(C935))&amp;IF(WEEKDAY(C935,Inputs!$C$76)&lt;=Inputs!$C$74," weekday"," weekend"),Utility_Rates!$C$28:$F$28,Inputs!$C$68)),"")</f>
      </c>
      <c r="H935" s="34"/>
      <c r="I935" s="42">
        <f>IF(AND(ISNUMBER(D935),ISNUMBER(H935)),D935*H935*Inputs!$C$69,"")</f>
      </c>
      <c r="J935" s="42">
        <f>IF(AND(ISNUMBER(F935),ISNUMBER(H935),F935&gt;=Inputs!$C$68),F935*H935*Inputs!$C$69,"")</f>
      </c>
    </row>
    <row r="936" spans="2:10" ht="15" customHeight="1" x14ac:dyDescent="0.2">
      <c r="B936" s="39">
        <f t="shared" si="6"/>
      </c>
      <c r="C936" s="40">
        <f>IF(Inputs!$C$60,Inputs!$C$11+(B936-Inputs!$C$69)/Inputs!$C$70,"")</f>
      </c>
      <c r="D936" s="15"/>
      <c r="E936" s="15"/>
      <c r="F936" s="11">
        <f t="shared" si="7"/>
      </c>
      <c r="G936" s="22" cm="1">
        <f t="array" ref="G936">IF(AND(Inputs!$C$60,Inputs!$C$61),INDEX(Utility_Rates!$C$29:$F$52,HOUR(C936)+Inputs!$C$69,MATCH(INDEX(Utility_Rates!$K$6:$K$17,MONTH(C936))&amp;IF(WEEKDAY(C936,Inputs!$C$76)&lt;=Inputs!$C$74," weekday"," weekend"),Utility_Rates!$C$28:$F$28,Inputs!$C$68)),"")</f>
      </c>
      <c r="H936" s="34"/>
      <c r="I936" s="42">
        <f>IF(AND(ISNUMBER(D936),ISNUMBER(H936)),D936*H936*Inputs!$C$69,"")</f>
      </c>
      <c r="J936" s="42">
        <f>IF(AND(ISNUMBER(F936),ISNUMBER(H936),F936&gt;=Inputs!$C$68),F936*H936*Inputs!$C$69,"")</f>
      </c>
    </row>
    <row r="937" spans="2:10" ht="15" customHeight="1" x14ac:dyDescent="0.2">
      <c r="B937" s="39">
        <f t="shared" si="6"/>
      </c>
      <c r="C937" s="40">
        <f>IF(Inputs!$C$60,Inputs!$C$11+(B937-Inputs!$C$69)/Inputs!$C$70,"")</f>
      </c>
      <c r="D937" s="15"/>
      <c r="E937" s="15"/>
      <c r="F937" s="11">
        <f t="shared" si="7"/>
      </c>
      <c r="G937" s="22" cm="1">
        <f t="array" ref="G937">IF(AND(Inputs!$C$60,Inputs!$C$61),INDEX(Utility_Rates!$C$29:$F$52,HOUR(C937)+Inputs!$C$69,MATCH(INDEX(Utility_Rates!$K$6:$K$17,MONTH(C937))&amp;IF(WEEKDAY(C937,Inputs!$C$76)&lt;=Inputs!$C$74," weekday"," weekend"),Utility_Rates!$C$28:$F$28,Inputs!$C$68)),"")</f>
      </c>
      <c r="H937" s="34"/>
      <c r="I937" s="42">
        <f>IF(AND(ISNUMBER(D937),ISNUMBER(H937)),D937*H937*Inputs!$C$69,"")</f>
      </c>
      <c r="J937" s="42">
        <f>IF(AND(ISNUMBER(F937),ISNUMBER(H937),F937&gt;=Inputs!$C$68),F937*H937*Inputs!$C$69,"")</f>
      </c>
    </row>
    <row r="938" spans="2:10" ht="15" customHeight="1" x14ac:dyDescent="0.2">
      <c r="B938" s="39">
        <f t="shared" si="6"/>
      </c>
      <c r="C938" s="40">
        <f>IF(Inputs!$C$60,Inputs!$C$11+(B938-Inputs!$C$69)/Inputs!$C$70,"")</f>
      </c>
      <c r="D938" s="15"/>
      <c r="E938" s="15"/>
      <c r="F938" s="11">
        <f t="shared" si="7"/>
      </c>
      <c r="G938" s="22" cm="1">
        <f t="array" ref="G938">IF(AND(Inputs!$C$60,Inputs!$C$61),INDEX(Utility_Rates!$C$29:$F$52,HOUR(C938)+Inputs!$C$69,MATCH(INDEX(Utility_Rates!$K$6:$K$17,MONTH(C938))&amp;IF(WEEKDAY(C938,Inputs!$C$76)&lt;=Inputs!$C$74," weekday"," weekend"),Utility_Rates!$C$28:$F$28,Inputs!$C$68)),"")</f>
      </c>
      <c r="H938" s="34"/>
      <c r="I938" s="42">
        <f>IF(AND(ISNUMBER(D938),ISNUMBER(H938)),D938*H938*Inputs!$C$69,"")</f>
      </c>
      <c r="J938" s="42">
        <f>IF(AND(ISNUMBER(F938),ISNUMBER(H938),F938&gt;=Inputs!$C$68),F938*H938*Inputs!$C$69,"")</f>
      </c>
    </row>
    <row r="939" spans="2:10" ht="15" customHeight="1" x14ac:dyDescent="0.2">
      <c r="B939" s="39">
        <f t="shared" si="6"/>
      </c>
      <c r="C939" s="40">
        <f>IF(Inputs!$C$60,Inputs!$C$11+(B939-Inputs!$C$69)/Inputs!$C$70,"")</f>
      </c>
      <c r="D939" s="15"/>
      <c r="E939" s="15"/>
      <c r="F939" s="11">
        <f t="shared" si="7"/>
      </c>
      <c r="G939" s="22" cm="1">
        <f t="array" ref="G939">IF(AND(Inputs!$C$60,Inputs!$C$61),INDEX(Utility_Rates!$C$29:$F$52,HOUR(C939)+Inputs!$C$69,MATCH(INDEX(Utility_Rates!$K$6:$K$17,MONTH(C939))&amp;IF(WEEKDAY(C939,Inputs!$C$76)&lt;=Inputs!$C$74," weekday"," weekend"),Utility_Rates!$C$28:$F$28,Inputs!$C$68)),"")</f>
      </c>
      <c r="H939" s="34"/>
      <c r="I939" s="42">
        <f>IF(AND(ISNUMBER(D939),ISNUMBER(H939)),D939*H939*Inputs!$C$69,"")</f>
      </c>
      <c r="J939" s="42">
        <f>IF(AND(ISNUMBER(F939),ISNUMBER(H939),F939&gt;=Inputs!$C$68),F939*H939*Inputs!$C$69,"")</f>
      </c>
    </row>
    <row r="940" spans="2:10" ht="15" customHeight="1" x14ac:dyDescent="0.2">
      <c r="B940" s="39">
        <f t="shared" si="6"/>
      </c>
      <c r="C940" s="40">
        <f>IF(Inputs!$C$60,Inputs!$C$11+(B940-Inputs!$C$69)/Inputs!$C$70,"")</f>
      </c>
      <c r="D940" s="15"/>
      <c r="E940" s="15"/>
      <c r="F940" s="11">
        <f t="shared" si="7"/>
      </c>
      <c r="G940" s="22" cm="1">
        <f t="array" ref="G940">IF(AND(Inputs!$C$60,Inputs!$C$61),INDEX(Utility_Rates!$C$29:$F$52,HOUR(C940)+Inputs!$C$69,MATCH(INDEX(Utility_Rates!$K$6:$K$17,MONTH(C940))&amp;IF(WEEKDAY(C940,Inputs!$C$76)&lt;=Inputs!$C$74," weekday"," weekend"),Utility_Rates!$C$28:$F$28,Inputs!$C$68)),"")</f>
      </c>
      <c r="H940" s="34"/>
      <c r="I940" s="42">
        <f>IF(AND(ISNUMBER(D940),ISNUMBER(H940)),D940*H940*Inputs!$C$69,"")</f>
      </c>
      <c r="J940" s="42">
        <f>IF(AND(ISNUMBER(F940),ISNUMBER(H940),F940&gt;=Inputs!$C$68),F940*H940*Inputs!$C$69,"")</f>
      </c>
    </row>
    <row r="941" spans="2:10" ht="15" customHeight="1" x14ac:dyDescent="0.2">
      <c r="B941" s="39">
        <f t="shared" si="6"/>
      </c>
      <c r="C941" s="40">
        <f>IF(Inputs!$C$60,Inputs!$C$11+(B941-Inputs!$C$69)/Inputs!$C$70,"")</f>
      </c>
      <c r="D941" s="15"/>
      <c r="E941" s="15"/>
      <c r="F941" s="11">
        <f t="shared" si="7"/>
      </c>
      <c r="G941" s="22" cm="1">
        <f t="array" ref="G941">IF(AND(Inputs!$C$60,Inputs!$C$61),INDEX(Utility_Rates!$C$29:$F$52,HOUR(C941)+Inputs!$C$69,MATCH(INDEX(Utility_Rates!$K$6:$K$17,MONTH(C941))&amp;IF(WEEKDAY(C941,Inputs!$C$76)&lt;=Inputs!$C$74," weekday"," weekend"),Utility_Rates!$C$28:$F$28,Inputs!$C$68)),"")</f>
      </c>
      <c r="H941" s="34"/>
      <c r="I941" s="42">
        <f>IF(AND(ISNUMBER(D941),ISNUMBER(H941)),D941*H941*Inputs!$C$69,"")</f>
      </c>
      <c r="J941" s="42">
        <f>IF(AND(ISNUMBER(F941),ISNUMBER(H941),F941&gt;=Inputs!$C$68),F941*H941*Inputs!$C$69,"")</f>
      </c>
    </row>
    <row r="942" spans="2:10" ht="15" customHeight="1" x14ac:dyDescent="0.2">
      <c r="B942" s="39">
        <f t="shared" si="6"/>
      </c>
      <c r="C942" s="40">
        <f>IF(Inputs!$C$60,Inputs!$C$11+(B942-Inputs!$C$69)/Inputs!$C$70,"")</f>
      </c>
      <c r="D942" s="15"/>
      <c r="E942" s="15"/>
      <c r="F942" s="11">
        <f t="shared" si="7"/>
      </c>
      <c r="G942" s="22" cm="1">
        <f t="array" ref="G942">IF(AND(Inputs!$C$60,Inputs!$C$61),INDEX(Utility_Rates!$C$29:$F$52,HOUR(C942)+Inputs!$C$69,MATCH(INDEX(Utility_Rates!$K$6:$K$17,MONTH(C942))&amp;IF(WEEKDAY(C942,Inputs!$C$76)&lt;=Inputs!$C$74," weekday"," weekend"),Utility_Rates!$C$28:$F$28,Inputs!$C$68)),"")</f>
      </c>
      <c r="H942" s="34"/>
      <c r="I942" s="42">
        <f>IF(AND(ISNUMBER(D942),ISNUMBER(H942)),D942*H942*Inputs!$C$69,"")</f>
      </c>
      <c r="J942" s="42">
        <f>IF(AND(ISNUMBER(F942),ISNUMBER(H942),F942&gt;=Inputs!$C$68),F942*H942*Inputs!$C$69,"")</f>
      </c>
    </row>
    <row r="943" spans="2:10" ht="15" customHeight="1" x14ac:dyDescent="0.2">
      <c r="B943" s="39">
        <f t="shared" si="6"/>
      </c>
      <c r="C943" s="40">
        <f>IF(Inputs!$C$60,Inputs!$C$11+(B943-Inputs!$C$69)/Inputs!$C$70,"")</f>
      </c>
      <c r="D943" s="15"/>
      <c r="E943" s="15"/>
      <c r="F943" s="11">
        <f t="shared" si="7"/>
      </c>
      <c r="G943" s="22" cm="1">
        <f t="array" ref="G943">IF(AND(Inputs!$C$60,Inputs!$C$61),INDEX(Utility_Rates!$C$29:$F$52,HOUR(C943)+Inputs!$C$69,MATCH(INDEX(Utility_Rates!$K$6:$K$17,MONTH(C943))&amp;IF(WEEKDAY(C943,Inputs!$C$76)&lt;=Inputs!$C$74," weekday"," weekend"),Utility_Rates!$C$28:$F$28,Inputs!$C$68)),"")</f>
      </c>
      <c r="H943" s="34"/>
      <c r="I943" s="42">
        <f>IF(AND(ISNUMBER(D943),ISNUMBER(H943)),D943*H943*Inputs!$C$69,"")</f>
      </c>
      <c r="J943" s="42">
        <f>IF(AND(ISNUMBER(F943),ISNUMBER(H943),F943&gt;=Inputs!$C$68),F943*H943*Inputs!$C$69,"")</f>
      </c>
    </row>
    <row r="944" spans="2:10" ht="15" customHeight="1" x14ac:dyDescent="0.2">
      <c r="B944" s="39">
        <f t="shared" si="6"/>
      </c>
      <c r="C944" s="40">
        <f>IF(Inputs!$C$60,Inputs!$C$11+(B944-Inputs!$C$69)/Inputs!$C$70,"")</f>
      </c>
      <c r="D944" s="15"/>
      <c r="E944" s="15"/>
      <c r="F944" s="11">
        <f t="shared" si="7"/>
      </c>
      <c r="G944" s="22" cm="1">
        <f t="array" ref="G944">IF(AND(Inputs!$C$60,Inputs!$C$61),INDEX(Utility_Rates!$C$29:$F$52,HOUR(C944)+Inputs!$C$69,MATCH(INDEX(Utility_Rates!$K$6:$K$17,MONTH(C944))&amp;IF(WEEKDAY(C944,Inputs!$C$76)&lt;=Inputs!$C$74," weekday"," weekend"),Utility_Rates!$C$28:$F$28,Inputs!$C$68)),"")</f>
      </c>
      <c r="H944" s="34"/>
      <c r="I944" s="42">
        <f>IF(AND(ISNUMBER(D944),ISNUMBER(H944)),D944*H944*Inputs!$C$69,"")</f>
      </c>
      <c r="J944" s="42">
        <f>IF(AND(ISNUMBER(F944),ISNUMBER(H944),F944&gt;=Inputs!$C$68),F944*H944*Inputs!$C$69,"")</f>
      </c>
    </row>
    <row r="945" spans="2:10" ht="15" customHeight="1" x14ac:dyDescent="0.2">
      <c r="B945" s="39">
        <f t="shared" si="6"/>
      </c>
      <c r="C945" s="40">
        <f>IF(Inputs!$C$60,Inputs!$C$11+(B945-Inputs!$C$69)/Inputs!$C$70,"")</f>
      </c>
      <c r="D945" s="15"/>
      <c r="E945" s="15"/>
      <c r="F945" s="11">
        <f t="shared" si="7"/>
      </c>
      <c r="G945" s="22" cm="1">
        <f t="array" ref="G945">IF(AND(Inputs!$C$60,Inputs!$C$61),INDEX(Utility_Rates!$C$29:$F$52,HOUR(C945)+Inputs!$C$69,MATCH(INDEX(Utility_Rates!$K$6:$K$17,MONTH(C945))&amp;IF(WEEKDAY(C945,Inputs!$C$76)&lt;=Inputs!$C$74," weekday"," weekend"),Utility_Rates!$C$28:$F$28,Inputs!$C$68)),"")</f>
      </c>
      <c r="H945" s="34"/>
      <c r="I945" s="42">
        <f>IF(AND(ISNUMBER(D945),ISNUMBER(H945)),D945*H945*Inputs!$C$69,"")</f>
      </c>
      <c r="J945" s="42">
        <f>IF(AND(ISNUMBER(F945),ISNUMBER(H945),F945&gt;=Inputs!$C$68),F945*H945*Inputs!$C$69,"")</f>
      </c>
    </row>
    <row r="946" spans="2:10" ht="15" customHeight="1" x14ac:dyDescent="0.2">
      <c r="B946" s="39">
        <f t="shared" si="6"/>
      </c>
      <c r="C946" s="40">
        <f>IF(Inputs!$C$60,Inputs!$C$11+(B946-Inputs!$C$69)/Inputs!$C$70,"")</f>
      </c>
      <c r="D946" s="15"/>
      <c r="E946" s="15"/>
      <c r="F946" s="11">
        <f t="shared" si="7"/>
      </c>
      <c r="G946" s="22" cm="1">
        <f t="array" ref="G946">IF(AND(Inputs!$C$60,Inputs!$C$61),INDEX(Utility_Rates!$C$29:$F$52,HOUR(C946)+Inputs!$C$69,MATCH(INDEX(Utility_Rates!$K$6:$K$17,MONTH(C946))&amp;IF(WEEKDAY(C946,Inputs!$C$76)&lt;=Inputs!$C$74," weekday"," weekend"),Utility_Rates!$C$28:$F$28,Inputs!$C$68)),"")</f>
      </c>
      <c r="H946" s="34"/>
      <c r="I946" s="42">
        <f>IF(AND(ISNUMBER(D946),ISNUMBER(H946)),D946*H946*Inputs!$C$69,"")</f>
      </c>
      <c r="J946" s="42">
        <f>IF(AND(ISNUMBER(F946),ISNUMBER(H946),F946&gt;=Inputs!$C$68),F946*H946*Inputs!$C$69,"")</f>
      </c>
    </row>
    <row r="947" spans="2:10" ht="15" customHeight="1" x14ac:dyDescent="0.2">
      <c r="B947" s="39">
        <f t="shared" si="6"/>
      </c>
      <c r="C947" s="40">
        <f>IF(Inputs!$C$60,Inputs!$C$11+(B947-Inputs!$C$69)/Inputs!$C$70,"")</f>
      </c>
      <c r="D947" s="15"/>
      <c r="E947" s="15"/>
      <c r="F947" s="11">
        <f t="shared" si="7"/>
      </c>
      <c r="G947" s="22" cm="1">
        <f t="array" ref="G947">IF(AND(Inputs!$C$60,Inputs!$C$61),INDEX(Utility_Rates!$C$29:$F$52,HOUR(C947)+Inputs!$C$69,MATCH(INDEX(Utility_Rates!$K$6:$K$17,MONTH(C947))&amp;IF(WEEKDAY(C947,Inputs!$C$76)&lt;=Inputs!$C$74," weekday"," weekend"),Utility_Rates!$C$28:$F$28,Inputs!$C$68)),"")</f>
      </c>
      <c r="H947" s="34"/>
      <c r="I947" s="42">
        <f>IF(AND(ISNUMBER(D947),ISNUMBER(H947)),D947*H947*Inputs!$C$69,"")</f>
      </c>
      <c r="J947" s="42">
        <f>IF(AND(ISNUMBER(F947),ISNUMBER(H947),F947&gt;=Inputs!$C$68),F947*H947*Inputs!$C$69,"")</f>
      </c>
    </row>
    <row r="948" spans="2:10" ht="15" customHeight="1" x14ac:dyDescent="0.2">
      <c r="B948" s="39">
        <f t="shared" si="6"/>
      </c>
      <c r="C948" s="40">
        <f>IF(Inputs!$C$60,Inputs!$C$11+(B948-Inputs!$C$69)/Inputs!$C$70,"")</f>
      </c>
      <c r="D948" s="15"/>
      <c r="E948" s="15"/>
      <c r="F948" s="11">
        <f t="shared" si="7"/>
      </c>
      <c r="G948" s="22" cm="1">
        <f t="array" ref="G948">IF(AND(Inputs!$C$60,Inputs!$C$61),INDEX(Utility_Rates!$C$29:$F$52,HOUR(C948)+Inputs!$C$69,MATCH(INDEX(Utility_Rates!$K$6:$K$17,MONTH(C948))&amp;IF(WEEKDAY(C948,Inputs!$C$76)&lt;=Inputs!$C$74," weekday"," weekend"),Utility_Rates!$C$28:$F$28,Inputs!$C$68)),"")</f>
      </c>
      <c r="H948" s="34"/>
      <c r="I948" s="42">
        <f>IF(AND(ISNUMBER(D948),ISNUMBER(H948)),D948*H948*Inputs!$C$69,"")</f>
      </c>
      <c r="J948" s="42">
        <f>IF(AND(ISNUMBER(F948),ISNUMBER(H948),F948&gt;=Inputs!$C$68),F948*H948*Inputs!$C$69,"")</f>
      </c>
    </row>
    <row r="949" spans="2:10" ht="15" customHeight="1" x14ac:dyDescent="0.2">
      <c r="B949" s="39">
        <f t="shared" si="6"/>
      </c>
      <c r="C949" s="40">
        <f>IF(Inputs!$C$60,Inputs!$C$11+(B949-Inputs!$C$69)/Inputs!$C$70,"")</f>
      </c>
      <c r="D949" s="15"/>
      <c r="E949" s="15"/>
      <c r="F949" s="11">
        <f t="shared" si="7"/>
      </c>
      <c r="G949" s="22" cm="1">
        <f t="array" ref="G949">IF(AND(Inputs!$C$60,Inputs!$C$61),INDEX(Utility_Rates!$C$29:$F$52,HOUR(C949)+Inputs!$C$69,MATCH(INDEX(Utility_Rates!$K$6:$K$17,MONTH(C949))&amp;IF(WEEKDAY(C949,Inputs!$C$76)&lt;=Inputs!$C$74," weekday"," weekend"),Utility_Rates!$C$28:$F$28,Inputs!$C$68)),"")</f>
      </c>
      <c r="H949" s="34"/>
      <c r="I949" s="42">
        <f>IF(AND(ISNUMBER(D949),ISNUMBER(H949)),D949*H949*Inputs!$C$69,"")</f>
      </c>
      <c r="J949" s="42">
        <f>IF(AND(ISNUMBER(F949),ISNUMBER(H949),F949&gt;=Inputs!$C$68),F949*H949*Inputs!$C$69,"")</f>
      </c>
    </row>
    <row r="950" spans="2:10" ht="15" customHeight="1" x14ac:dyDescent="0.2">
      <c r="B950" s="39">
        <f t="shared" si="6"/>
      </c>
      <c r="C950" s="40">
        <f>IF(Inputs!$C$60,Inputs!$C$11+(B950-Inputs!$C$69)/Inputs!$C$70,"")</f>
      </c>
      <c r="D950" s="15"/>
      <c r="E950" s="15"/>
      <c r="F950" s="11">
        <f t="shared" si="7"/>
      </c>
      <c r="G950" s="22" cm="1">
        <f t="array" ref="G950">IF(AND(Inputs!$C$60,Inputs!$C$61),INDEX(Utility_Rates!$C$29:$F$52,HOUR(C950)+Inputs!$C$69,MATCH(INDEX(Utility_Rates!$K$6:$K$17,MONTH(C950))&amp;IF(WEEKDAY(C950,Inputs!$C$76)&lt;=Inputs!$C$74," weekday"," weekend"),Utility_Rates!$C$28:$F$28,Inputs!$C$68)),"")</f>
      </c>
      <c r="H950" s="34"/>
      <c r="I950" s="42">
        <f>IF(AND(ISNUMBER(D950),ISNUMBER(H950)),D950*H950*Inputs!$C$69,"")</f>
      </c>
      <c r="J950" s="42">
        <f>IF(AND(ISNUMBER(F950),ISNUMBER(H950),F950&gt;=Inputs!$C$68),F950*H950*Inputs!$C$69,"")</f>
      </c>
    </row>
    <row r="951" spans="2:10" ht="15" customHeight="1" x14ac:dyDescent="0.2">
      <c r="B951" s="39">
        <f t="shared" si="6"/>
      </c>
      <c r="C951" s="40">
        <f>IF(Inputs!$C$60,Inputs!$C$11+(B951-Inputs!$C$69)/Inputs!$C$70,"")</f>
      </c>
      <c r="D951" s="15"/>
      <c r="E951" s="15"/>
      <c r="F951" s="11">
        <f t="shared" si="7"/>
      </c>
      <c r="G951" s="22" cm="1">
        <f t="array" ref="G951">IF(AND(Inputs!$C$60,Inputs!$C$61),INDEX(Utility_Rates!$C$29:$F$52,HOUR(C951)+Inputs!$C$69,MATCH(INDEX(Utility_Rates!$K$6:$K$17,MONTH(C951))&amp;IF(WEEKDAY(C951,Inputs!$C$76)&lt;=Inputs!$C$74," weekday"," weekend"),Utility_Rates!$C$28:$F$28,Inputs!$C$68)),"")</f>
      </c>
      <c r="H951" s="34"/>
      <c r="I951" s="42">
        <f>IF(AND(ISNUMBER(D951),ISNUMBER(H951)),D951*H951*Inputs!$C$69,"")</f>
      </c>
      <c r="J951" s="42">
        <f>IF(AND(ISNUMBER(F951),ISNUMBER(H951),F951&gt;=Inputs!$C$68),F951*H951*Inputs!$C$69,"")</f>
      </c>
    </row>
    <row r="952" spans="2:10" ht="15" customHeight="1" x14ac:dyDescent="0.2">
      <c r="B952" s="39">
        <f t="shared" si="6"/>
      </c>
      <c r="C952" s="40">
        <f>IF(Inputs!$C$60,Inputs!$C$11+(B952-Inputs!$C$69)/Inputs!$C$70,"")</f>
      </c>
      <c r="D952" s="15"/>
      <c r="E952" s="15"/>
      <c r="F952" s="11">
        <f t="shared" si="7"/>
      </c>
      <c r="G952" s="22" cm="1">
        <f t="array" ref="G952">IF(AND(Inputs!$C$60,Inputs!$C$61),INDEX(Utility_Rates!$C$29:$F$52,HOUR(C952)+Inputs!$C$69,MATCH(INDEX(Utility_Rates!$K$6:$K$17,MONTH(C952))&amp;IF(WEEKDAY(C952,Inputs!$C$76)&lt;=Inputs!$C$74," weekday"," weekend"),Utility_Rates!$C$28:$F$28,Inputs!$C$68)),"")</f>
      </c>
      <c r="H952" s="34"/>
      <c r="I952" s="42">
        <f>IF(AND(ISNUMBER(D952),ISNUMBER(H952)),D952*H952*Inputs!$C$69,"")</f>
      </c>
      <c r="J952" s="42">
        <f>IF(AND(ISNUMBER(F952),ISNUMBER(H952),F952&gt;=Inputs!$C$68),F952*H952*Inputs!$C$69,"")</f>
      </c>
    </row>
    <row r="953" spans="2:10" ht="15" customHeight="1" x14ac:dyDescent="0.2">
      <c r="B953" s="39">
        <f t="shared" si="6"/>
      </c>
      <c r="C953" s="40">
        <f>IF(Inputs!$C$60,Inputs!$C$11+(B953-Inputs!$C$69)/Inputs!$C$70,"")</f>
      </c>
      <c r="D953" s="15"/>
      <c r="E953" s="15"/>
      <c r="F953" s="11">
        <f t="shared" si="7"/>
      </c>
      <c r="G953" s="22" cm="1">
        <f t="array" ref="G953">IF(AND(Inputs!$C$60,Inputs!$C$61),INDEX(Utility_Rates!$C$29:$F$52,HOUR(C953)+Inputs!$C$69,MATCH(INDEX(Utility_Rates!$K$6:$K$17,MONTH(C953))&amp;IF(WEEKDAY(C953,Inputs!$C$76)&lt;=Inputs!$C$74," weekday"," weekend"),Utility_Rates!$C$28:$F$28,Inputs!$C$68)),"")</f>
      </c>
      <c r="H953" s="34"/>
      <c r="I953" s="42">
        <f>IF(AND(ISNUMBER(D953),ISNUMBER(H953)),D953*H953*Inputs!$C$69,"")</f>
      </c>
      <c r="J953" s="42">
        <f>IF(AND(ISNUMBER(F953),ISNUMBER(H953),F953&gt;=Inputs!$C$68),F953*H953*Inputs!$C$69,"")</f>
      </c>
    </row>
    <row r="954" spans="2:10" ht="15" customHeight="1" x14ac:dyDescent="0.2">
      <c r="B954" s="39">
        <f t="shared" si="6"/>
      </c>
      <c r="C954" s="40">
        <f>IF(Inputs!$C$60,Inputs!$C$11+(B954-Inputs!$C$69)/Inputs!$C$70,"")</f>
      </c>
      <c r="D954" s="15"/>
      <c r="E954" s="15"/>
      <c r="F954" s="11">
        <f t="shared" si="7"/>
      </c>
      <c r="G954" s="22" cm="1">
        <f t="array" ref="G954">IF(AND(Inputs!$C$60,Inputs!$C$61),INDEX(Utility_Rates!$C$29:$F$52,HOUR(C954)+Inputs!$C$69,MATCH(INDEX(Utility_Rates!$K$6:$K$17,MONTH(C954))&amp;IF(WEEKDAY(C954,Inputs!$C$76)&lt;=Inputs!$C$74," weekday"," weekend"),Utility_Rates!$C$28:$F$28,Inputs!$C$68)),"")</f>
      </c>
      <c r="H954" s="34"/>
      <c r="I954" s="42">
        <f>IF(AND(ISNUMBER(D954),ISNUMBER(H954)),D954*H954*Inputs!$C$69,"")</f>
      </c>
      <c r="J954" s="42">
        <f>IF(AND(ISNUMBER(F954),ISNUMBER(H954),F954&gt;=Inputs!$C$68),F954*H954*Inputs!$C$69,"")</f>
      </c>
    </row>
    <row r="955" spans="2:10" ht="15" customHeight="1" x14ac:dyDescent="0.2">
      <c r="B955" s="39">
        <f t="shared" si="6"/>
      </c>
      <c r="C955" s="40">
        <f>IF(Inputs!$C$60,Inputs!$C$11+(B955-Inputs!$C$69)/Inputs!$C$70,"")</f>
      </c>
      <c r="D955" s="15"/>
      <c r="E955" s="15"/>
      <c r="F955" s="11">
        <f t="shared" si="7"/>
      </c>
      <c r="G955" s="22" cm="1">
        <f t="array" ref="G955">IF(AND(Inputs!$C$60,Inputs!$C$61),INDEX(Utility_Rates!$C$29:$F$52,HOUR(C955)+Inputs!$C$69,MATCH(INDEX(Utility_Rates!$K$6:$K$17,MONTH(C955))&amp;IF(WEEKDAY(C955,Inputs!$C$76)&lt;=Inputs!$C$74," weekday"," weekend"),Utility_Rates!$C$28:$F$28,Inputs!$C$68)),"")</f>
      </c>
      <c r="H955" s="34"/>
      <c r="I955" s="42">
        <f>IF(AND(ISNUMBER(D955),ISNUMBER(H955)),D955*H955*Inputs!$C$69,"")</f>
      </c>
      <c r="J955" s="42">
        <f>IF(AND(ISNUMBER(F955),ISNUMBER(H955),F955&gt;=Inputs!$C$68),F955*H955*Inputs!$C$69,"")</f>
      </c>
    </row>
    <row r="956" spans="2:10" ht="15" customHeight="1" x14ac:dyDescent="0.2">
      <c r="B956" s="39">
        <f t="shared" si="6"/>
      </c>
      <c r="C956" s="40">
        <f>IF(Inputs!$C$60,Inputs!$C$11+(B956-Inputs!$C$69)/Inputs!$C$70,"")</f>
      </c>
      <c r="D956" s="15"/>
      <c r="E956" s="15"/>
      <c r="F956" s="11">
        <f t="shared" si="7"/>
      </c>
      <c r="G956" s="22" cm="1">
        <f t="array" ref="G956">IF(AND(Inputs!$C$60,Inputs!$C$61),INDEX(Utility_Rates!$C$29:$F$52,HOUR(C956)+Inputs!$C$69,MATCH(INDEX(Utility_Rates!$K$6:$K$17,MONTH(C956))&amp;IF(WEEKDAY(C956,Inputs!$C$76)&lt;=Inputs!$C$74," weekday"," weekend"),Utility_Rates!$C$28:$F$28,Inputs!$C$68)),"")</f>
      </c>
      <c r="H956" s="34"/>
      <c r="I956" s="42">
        <f>IF(AND(ISNUMBER(D956),ISNUMBER(H956)),D956*H956*Inputs!$C$69,"")</f>
      </c>
      <c r="J956" s="42">
        <f>IF(AND(ISNUMBER(F956),ISNUMBER(H956),F956&gt;=Inputs!$C$68),F956*H956*Inputs!$C$69,"")</f>
      </c>
    </row>
    <row r="957" spans="2:10" ht="15" customHeight="1" x14ac:dyDescent="0.2">
      <c r="B957" s="39">
        <f t="shared" si="6"/>
      </c>
      <c r="C957" s="40">
        <f>IF(Inputs!$C$60,Inputs!$C$11+(B957-Inputs!$C$69)/Inputs!$C$70,"")</f>
      </c>
      <c r="D957" s="15"/>
      <c r="E957" s="15"/>
      <c r="F957" s="11">
        <f t="shared" si="7"/>
      </c>
      <c r="G957" s="22" cm="1">
        <f t="array" ref="G957">IF(AND(Inputs!$C$60,Inputs!$C$61),INDEX(Utility_Rates!$C$29:$F$52,HOUR(C957)+Inputs!$C$69,MATCH(INDEX(Utility_Rates!$K$6:$K$17,MONTH(C957))&amp;IF(WEEKDAY(C957,Inputs!$C$76)&lt;=Inputs!$C$74," weekday"," weekend"),Utility_Rates!$C$28:$F$28,Inputs!$C$68)),"")</f>
      </c>
      <c r="H957" s="34"/>
      <c r="I957" s="42">
        <f>IF(AND(ISNUMBER(D957),ISNUMBER(H957)),D957*H957*Inputs!$C$69,"")</f>
      </c>
      <c r="J957" s="42">
        <f>IF(AND(ISNUMBER(F957),ISNUMBER(H957),F957&gt;=Inputs!$C$68),F957*H957*Inputs!$C$69,"")</f>
      </c>
    </row>
    <row r="958" spans="2:10" ht="15" customHeight="1" x14ac:dyDescent="0.2">
      <c r="B958" s="39">
        <f t="shared" si="6"/>
      </c>
      <c r="C958" s="40">
        <f>IF(Inputs!$C$60,Inputs!$C$11+(B958-Inputs!$C$69)/Inputs!$C$70,"")</f>
      </c>
      <c r="D958" s="15"/>
      <c r="E958" s="15"/>
      <c r="F958" s="11">
        <f t="shared" si="7"/>
      </c>
      <c r="G958" s="22" cm="1">
        <f t="array" ref="G958">IF(AND(Inputs!$C$60,Inputs!$C$61),INDEX(Utility_Rates!$C$29:$F$52,HOUR(C958)+Inputs!$C$69,MATCH(INDEX(Utility_Rates!$K$6:$K$17,MONTH(C958))&amp;IF(WEEKDAY(C958,Inputs!$C$76)&lt;=Inputs!$C$74," weekday"," weekend"),Utility_Rates!$C$28:$F$28,Inputs!$C$68)),"")</f>
      </c>
      <c r="H958" s="34"/>
      <c r="I958" s="42">
        <f>IF(AND(ISNUMBER(D958),ISNUMBER(H958)),D958*H958*Inputs!$C$69,"")</f>
      </c>
      <c r="J958" s="42">
        <f>IF(AND(ISNUMBER(F958),ISNUMBER(H958),F958&gt;=Inputs!$C$68),F958*H958*Inputs!$C$69,"")</f>
      </c>
    </row>
    <row r="959" spans="2:10" ht="15" customHeight="1" x14ac:dyDescent="0.2">
      <c r="B959" s="39">
        <f t="shared" si="6"/>
      </c>
      <c r="C959" s="40">
        <f>IF(Inputs!$C$60,Inputs!$C$11+(B959-Inputs!$C$69)/Inputs!$C$70,"")</f>
      </c>
      <c r="D959" s="15"/>
      <c r="E959" s="15"/>
      <c r="F959" s="11">
        <f t="shared" si="7"/>
      </c>
      <c r="G959" s="22" cm="1">
        <f t="array" ref="G959">IF(AND(Inputs!$C$60,Inputs!$C$61),INDEX(Utility_Rates!$C$29:$F$52,HOUR(C959)+Inputs!$C$69,MATCH(INDEX(Utility_Rates!$K$6:$K$17,MONTH(C959))&amp;IF(WEEKDAY(C959,Inputs!$C$76)&lt;=Inputs!$C$74," weekday"," weekend"),Utility_Rates!$C$28:$F$28,Inputs!$C$68)),"")</f>
      </c>
      <c r="H959" s="34"/>
      <c r="I959" s="42">
        <f>IF(AND(ISNUMBER(D959),ISNUMBER(H959)),D959*H959*Inputs!$C$69,"")</f>
      </c>
      <c r="J959" s="42">
        <f>IF(AND(ISNUMBER(F959),ISNUMBER(H959),F959&gt;=Inputs!$C$68),F959*H959*Inputs!$C$69,"")</f>
      </c>
    </row>
    <row r="960" spans="2:10" ht="15" customHeight="1" x14ac:dyDescent="0.2">
      <c r="B960" s="39">
        <f t="shared" si="6"/>
      </c>
      <c r="C960" s="40">
        <f>IF(Inputs!$C$60,Inputs!$C$11+(B960-Inputs!$C$69)/Inputs!$C$70,"")</f>
      </c>
      <c r="D960" s="15"/>
      <c r="E960" s="15"/>
      <c r="F960" s="11">
        <f t="shared" si="7"/>
      </c>
      <c r="G960" s="22" cm="1">
        <f t="array" ref="G960">IF(AND(Inputs!$C$60,Inputs!$C$61),INDEX(Utility_Rates!$C$29:$F$52,HOUR(C960)+Inputs!$C$69,MATCH(INDEX(Utility_Rates!$K$6:$K$17,MONTH(C960))&amp;IF(WEEKDAY(C960,Inputs!$C$76)&lt;=Inputs!$C$74," weekday"," weekend"),Utility_Rates!$C$28:$F$28,Inputs!$C$68)),"")</f>
      </c>
      <c r="H960" s="34"/>
      <c r="I960" s="42">
        <f>IF(AND(ISNUMBER(D960),ISNUMBER(H960)),D960*H960*Inputs!$C$69,"")</f>
      </c>
      <c r="J960" s="42">
        <f>IF(AND(ISNUMBER(F960),ISNUMBER(H960),F960&gt;=Inputs!$C$68),F960*H960*Inputs!$C$69,"")</f>
      </c>
    </row>
    <row r="961" spans="2:10" ht="15" customHeight="1" x14ac:dyDescent="0.2">
      <c r="B961" s="39">
        <f t="shared" si="6"/>
      </c>
      <c r="C961" s="40">
        <f>IF(Inputs!$C$60,Inputs!$C$11+(B961-Inputs!$C$69)/Inputs!$C$70,"")</f>
      </c>
      <c r="D961" s="15"/>
      <c r="E961" s="15"/>
      <c r="F961" s="11">
        <f t="shared" si="7"/>
      </c>
      <c r="G961" s="22" cm="1">
        <f t="array" ref="G961">IF(AND(Inputs!$C$60,Inputs!$C$61),INDEX(Utility_Rates!$C$29:$F$52,HOUR(C961)+Inputs!$C$69,MATCH(INDEX(Utility_Rates!$K$6:$K$17,MONTH(C961))&amp;IF(WEEKDAY(C961,Inputs!$C$76)&lt;=Inputs!$C$74," weekday"," weekend"),Utility_Rates!$C$28:$F$28,Inputs!$C$68)),"")</f>
      </c>
      <c r="H961" s="34"/>
      <c r="I961" s="42">
        <f>IF(AND(ISNUMBER(D961),ISNUMBER(H961)),D961*H961*Inputs!$C$69,"")</f>
      </c>
      <c r="J961" s="42">
        <f>IF(AND(ISNUMBER(F961),ISNUMBER(H961),F961&gt;=Inputs!$C$68),F961*H961*Inputs!$C$69,"")</f>
      </c>
    </row>
    <row r="962" spans="2:10" ht="15" customHeight="1" x14ac:dyDescent="0.2">
      <c r="B962" s="39">
        <f t="shared" si="6"/>
      </c>
      <c r="C962" s="40">
        <f>IF(Inputs!$C$60,Inputs!$C$11+(B962-Inputs!$C$69)/Inputs!$C$70,"")</f>
      </c>
      <c r="D962" s="15"/>
      <c r="E962" s="15"/>
      <c r="F962" s="11">
        <f t="shared" si="7"/>
      </c>
      <c r="G962" s="22" cm="1">
        <f t="array" ref="G962">IF(AND(Inputs!$C$60,Inputs!$C$61),INDEX(Utility_Rates!$C$29:$F$52,HOUR(C962)+Inputs!$C$69,MATCH(INDEX(Utility_Rates!$K$6:$K$17,MONTH(C962))&amp;IF(WEEKDAY(C962,Inputs!$C$76)&lt;=Inputs!$C$74," weekday"," weekend"),Utility_Rates!$C$28:$F$28,Inputs!$C$68)),"")</f>
      </c>
      <c r="H962" s="34"/>
      <c r="I962" s="42">
        <f>IF(AND(ISNUMBER(D962),ISNUMBER(H962)),D962*H962*Inputs!$C$69,"")</f>
      </c>
      <c r="J962" s="42">
        <f>IF(AND(ISNUMBER(F962),ISNUMBER(H962),F962&gt;=Inputs!$C$68),F962*H962*Inputs!$C$69,"")</f>
      </c>
    </row>
    <row r="963" spans="2:10" ht="15" customHeight="1" x14ac:dyDescent="0.2">
      <c r="B963" s="39">
        <f t="shared" si="6"/>
      </c>
      <c r="C963" s="40">
        <f>IF(Inputs!$C$60,Inputs!$C$11+(B963-Inputs!$C$69)/Inputs!$C$70,"")</f>
      </c>
      <c r="D963" s="15"/>
      <c r="E963" s="15"/>
      <c r="F963" s="11">
        <f t="shared" si="7"/>
      </c>
      <c r="G963" s="22" cm="1">
        <f t="array" ref="G963">IF(AND(Inputs!$C$60,Inputs!$C$61),INDEX(Utility_Rates!$C$29:$F$52,HOUR(C963)+Inputs!$C$69,MATCH(INDEX(Utility_Rates!$K$6:$K$17,MONTH(C963))&amp;IF(WEEKDAY(C963,Inputs!$C$76)&lt;=Inputs!$C$74," weekday"," weekend"),Utility_Rates!$C$28:$F$28,Inputs!$C$68)),"")</f>
      </c>
      <c r="H963" s="34"/>
      <c r="I963" s="42">
        <f>IF(AND(ISNUMBER(D963),ISNUMBER(H963)),D963*H963*Inputs!$C$69,"")</f>
      </c>
      <c r="J963" s="42">
        <f>IF(AND(ISNUMBER(F963),ISNUMBER(H963),F963&gt;=Inputs!$C$68),F963*H963*Inputs!$C$69,"")</f>
      </c>
    </row>
    <row r="964" spans="2:10" ht="15" customHeight="1" x14ac:dyDescent="0.2">
      <c r="B964" s="39">
        <f t="shared" si="6"/>
      </c>
      <c r="C964" s="40">
        <f>IF(Inputs!$C$60,Inputs!$C$11+(B964-Inputs!$C$69)/Inputs!$C$70,"")</f>
      </c>
      <c r="D964" s="15"/>
      <c r="E964" s="15"/>
      <c r="F964" s="11">
        <f t="shared" si="7"/>
      </c>
      <c r="G964" s="22" cm="1">
        <f t="array" ref="G964">IF(AND(Inputs!$C$60,Inputs!$C$61),INDEX(Utility_Rates!$C$29:$F$52,HOUR(C964)+Inputs!$C$69,MATCH(INDEX(Utility_Rates!$K$6:$K$17,MONTH(C964))&amp;IF(WEEKDAY(C964,Inputs!$C$76)&lt;=Inputs!$C$74," weekday"," weekend"),Utility_Rates!$C$28:$F$28,Inputs!$C$68)),"")</f>
      </c>
      <c r="H964" s="34"/>
      <c r="I964" s="42">
        <f>IF(AND(ISNUMBER(D964),ISNUMBER(H964)),D964*H964*Inputs!$C$69,"")</f>
      </c>
      <c r="J964" s="42">
        <f>IF(AND(ISNUMBER(F964),ISNUMBER(H964),F964&gt;=Inputs!$C$68),F964*H964*Inputs!$C$69,"")</f>
      </c>
    </row>
    <row r="965" spans="2:10" ht="15" customHeight="1" x14ac:dyDescent="0.2">
      <c r="B965" s="39">
        <f t="shared" si="6"/>
      </c>
      <c r="C965" s="40">
        <f>IF(Inputs!$C$60,Inputs!$C$11+(B965-Inputs!$C$69)/Inputs!$C$70,"")</f>
      </c>
      <c r="D965" s="15"/>
      <c r="E965" s="15"/>
      <c r="F965" s="11">
        <f t="shared" si="7"/>
      </c>
      <c r="G965" s="22" cm="1">
        <f t="array" ref="G965">IF(AND(Inputs!$C$60,Inputs!$C$61),INDEX(Utility_Rates!$C$29:$F$52,HOUR(C965)+Inputs!$C$69,MATCH(INDEX(Utility_Rates!$K$6:$K$17,MONTH(C965))&amp;IF(WEEKDAY(C965,Inputs!$C$76)&lt;=Inputs!$C$74," weekday"," weekend"),Utility_Rates!$C$28:$F$28,Inputs!$C$68)),"")</f>
      </c>
      <c r="H965" s="34"/>
      <c r="I965" s="42">
        <f>IF(AND(ISNUMBER(D965),ISNUMBER(H965)),D965*H965*Inputs!$C$69,"")</f>
      </c>
      <c r="J965" s="42">
        <f>IF(AND(ISNUMBER(F965),ISNUMBER(H965),F965&gt;=Inputs!$C$68),F965*H965*Inputs!$C$69,"")</f>
      </c>
    </row>
    <row r="966" spans="2:10" ht="15" customHeight="1" x14ac:dyDescent="0.2">
      <c r="B966" s="39">
        <f t="shared" si="6"/>
      </c>
      <c r="C966" s="40">
        <f>IF(Inputs!$C$60,Inputs!$C$11+(B966-Inputs!$C$69)/Inputs!$C$70,"")</f>
      </c>
      <c r="D966" s="15"/>
      <c r="E966" s="15"/>
      <c r="F966" s="11">
        <f t="shared" si="7"/>
      </c>
      <c r="G966" s="22" cm="1">
        <f t="array" ref="G966">IF(AND(Inputs!$C$60,Inputs!$C$61),INDEX(Utility_Rates!$C$29:$F$52,HOUR(C966)+Inputs!$C$69,MATCH(INDEX(Utility_Rates!$K$6:$K$17,MONTH(C966))&amp;IF(WEEKDAY(C966,Inputs!$C$76)&lt;=Inputs!$C$74," weekday"," weekend"),Utility_Rates!$C$28:$F$28,Inputs!$C$68)),"")</f>
      </c>
      <c r="H966" s="34"/>
      <c r="I966" s="42">
        <f>IF(AND(ISNUMBER(D966),ISNUMBER(H966)),D966*H966*Inputs!$C$69,"")</f>
      </c>
      <c r="J966" s="42">
        <f>IF(AND(ISNUMBER(F966),ISNUMBER(H966),F966&gt;=Inputs!$C$68),F966*H966*Inputs!$C$69,"")</f>
      </c>
    </row>
    <row r="967" spans="2:10" ht="15" customHeight="1" x14ac:dyDescent="0.2">
      <c r="B967" s="39">
        <f t="shared" si="6"/>
      </c>
      <c r="C967" s="40">
        <f>IF(Inputs!$C$60,Inputs!$C$11+(B967-Inputs!$C$69)/Inputs!$C$70,"")</f>
      </c>
      <c r="D967" s="15"/>
      <c r="E967" s="15"/>
      <c r="F967" s="11">
        <f t="shared" si="7"/>
      </c>
      <c r="G967" s="22" cm="1">
        <f t="array" ref="G967">IF(AND(Inputs!$C$60,Inputs!$C$61),INDEX(Utility_Rates!$C$29:$F$52,HOUR(C967)+Inputs!$C$69,MATCH(INDEX(Utility_Rates!$K$6:$K$17,MONTH(C967))&amp;IF(WEEKDAY(C967,Inputs!$C$76)&lt;=Inputs!$C$74," weekday"," weekend"),Utility_Rates!$C$28:$F$28,Inputs!$C$68)),"")</f>
      </c>
      <c r="H967" s="34"/>
      <c r="I967" s="42">
        <f>IF(AND(ISNUMBER(D967),ISNUMBER(H967)),D967*H967*Inputs!$C$69,"")</f>
      </c>
      <c r="J967" s="42">
        <f>IF(AND(ISNUMBER(F967),ISNUMBER(H967),F967&gt;=Inputs!$C$68),F967*H967*Inputs!$C$69,"")</f>
      </c>
    </row>
    <row r="968" spans="2:10" ht="15" customHeight="1" x14ac:dyDescent="0.2">
      <c r="B968" s="39">
        <f t="shared" si="6"/>
      </c>
      <c r="C968" s="40">
        <f>IF(Inputs!$C$60,Inputs!$C$11+(B968-Inputs!$C$69)/Inputs!$C$70,"")</f>
      </c>
      <c r="D968" s="15"/>
      <c r="E968" s="15"/>
      <c r="F968" s="11">
        <f t="shared" si="7"/>
      </c>
      <c r="G968" s="22" cm="1">
        <f t="array" ref="G968">IF(AND(Inputs!$C$60,Inputs!$C$61),INDEX(Utility_Rates!$C$29:$F$52,HOUR(C968)+Inputs!$C$69,MATCH(INDEX(Utility_Rates!$K$6:$K$17,MONTH(C968))&amp;IF(WEEKDAY(C968,Inputs!$C$76)&lt;=Inputs!$C$74," weekday"," weekend"),Utility_Rates!$C$28:$F$28,Inputs!$C$68)),"")</f>
      </c>
      <c r="H968" s="34"/>
      <c r="I968" s="42">
        <f>IF(AND(ISNUMBER(D968),ISNUMBER(H968)),D968*H968*Inputs!$C$69,"")</f>
      </c>
      <c r="J968" s="42">
        <f>IF(AND(ISNUMBER(F968),ISNUMBER(H968),F968&gt;=Inputs!$C$68),F968*H968*Inputs!$C$69,"")</f>
      </c>
    </row>
    <row r="969" spans="2:10" ht="15" customHeight="1" x14ac:dyDescent="0.2">
      <c r="B969" s="39">
        <f t="shared" si="6"/>
      </c>
      <c r="C969" s="40">
        <f>IF(Inputs!$C$60,Inputs!$C$11+(B969-Inputs!$C$69)/Inputs!$C$70,"")</f>
      </c>
      <c r="D969" s="15"/>
      <c r="E969" s="15"/>
      <c r="F969" s="11">
        <f t="shared" si="7"/>
      </c>
      <c r="G969" s="22" cm="1">
        <f t="array" ref="G969">IF(AND(Inputs!$C$60,Inputs!$C$61),INDEX(Utility_Rates!$C$29:$F$52,HOUR(C969)+Inputs!$C$69,MATCH(INDEX(Utility_Rates!$K$6:$K$17,MONTH(C969))&amp;IF(WEEKDAY(C969,Inputs!$C$76)&lt;=Inputs!$C$74," weekday"," weekend"),Utility_Rates!$C$28:$F$28,Inputs!$C$68)),"")</f>
      </c>
      <c r="H969" s="34"/>
      <c r="I969" s="42">
        <f>IF(AND(ISNUMBER(D969),ISNUMBER(H969)),D969*H969*Inputs!$C$69,"")</f>
      </c>
      <c r="J969" s="42">
        <f>IF(AND(ISNUMBER(F969),ISNUMBER(H969),F969&gt;=Inputs!$C$68),F969*H969*Inputs!$C$69,"")</f>
      </c>
    </row>
    <row r="970" spans="2:10" ht="15" customHeight="1" x14ac:dyDescent="0.2">
      <c r="B970" s="39">
        <f t="shared" si="6"/>
      </c>
      <c r="C970" s="40">
        <f>IF(Inputs!$C$60,Inputs!$C$11+(B970-Inputs!$C$69)/Inputs!$C$70,"")</f>
      </c>
      <c r="D970" s="15"/>
      <c r="E970" s="15"/>
      <c r="F970" s="11">
        <f t="shared" si="7"/>
      </c>
      <c r="G970" s="22" cm="1">
        <f t="array" ref="G970">IF(AND(Inputs!$C$60,Inputs!$C$61),INDEX(Utility_Rates!$C$29:$F$52,HOUR(C970)+Inputs!$C$69,MATCH(INDEX(Utility_Rates!$K$6:$K$17,MONTH(C970))&amp;IF(WEEKDAY(C970,Inputs!$C$76)&lt;=Inputs!$C$74," weekday"," weekend"),Utility_Rates!$C$28:$F$28,Inputs!$C$68)),"")</f>
      </c>
      <c r="H970" s="34"/>
      <c r="I970" s="42">
        <f>IF(AND(ISNUMBER(D970),ISNUMBER(H970)),D970*H970*Inputs!$C$69,"")</f>
      </c>
      <c r="J970" s="42">
        <f>IF(AND(ISNUMBER(F970),ISNUMBER(H970),F970&gt;=Inputs!$C$68),F970*H970*Inputs!$C$69,"")</f>
      </c>
    </row>
    <row r="971" spans="2:10" ht="15" customHeight="1" x14ac:dyDescent="0.2">
      <c r="B971" s="39">
        <f t="shared" si="6"/>
      </c>
      <c r="C971" s="40">
        <f>IF(Inputs!$C$60,Inputs!$C$11+(B971-Inputs!$C$69)/Inputs!$C$70,"")</f>
      </c>
      <c r="D971" s="15"/>
      <c r="E971" s="15"/>
      <c r="F971" s="11">
        <f t="shared" si="7"/>
      </c>
      <c r="G971" s="22" cm="1">
        <f t="array" ref="G971">IF(AND(Inputs!$C$60,Inputs!$C$61),INDEX(Utility_Rates!$C$29:$F$52,HOUR(C971)+Inputs!$C$69,MATCH(INDEX(Utility_Rates!$K$6:$K$17,MONTH(C971))&amp;IF(WEEKDAY(C971,Inputs!$C$76)&lt;=Inputs!$C$74," weekday"," weekend"),Utility_Rates!$C$28:$F$28,Inputs!$C$68)),"")</f>
      </c>
      <c r="H971" s="34"/>
      <c r="I971" s="42">
        <f>IF(AND(ISNUMBER(D971),ISNUMBER(H971)),D971*H971*Inputs!$C$69,"")</f>
      </c>
      <c r="J971" s="42">
        <f>IF(AND(ISNUMBER(F971),ISNUMBER(H971),F971&gt;=Inputs!$C$68),F971*H971*Inputs!$C$69,"")</f>
      </c>
    </row>
    <row r="972" spans="2:10" ht="15" customHeight="1" x14ac:dyDescent="0.2">
      <c r="B972" s="39">
        <f t="shared" si="6"/>
      </c>
      <c r="C972" s="40">
        <f>IF(Inputs!$C$60,Inputs!$C$11+(B972-Inputs!$C$69)/Inputs!$C$70,"")</f>
      </c>
      <c r="D972" s="15"/>
      <c r="E972" s="15"/>
      <c r="F972" s="11">
        <f t="shared" si="7"/>
      </c>
      <c r="G972" s="22" cm="1">
        <f t="array" ref="G972">IF(AND(Inputs!$C$60,Inputs!$C$61),INDEX(Utility_Rates!$C$29:$F$52,HOUR(C972)+Inputs!$C$69,MATCH(INDEX(Utility_Rates!$K$6:$K$17,MONTH(C972))&amp;IF(WEEKDAY(C972,Inputs!$C$76)&lt;=Inputs!$C$74," weekday"," weekend"),Utility_Rates!$C$28:$F$28,Inputs!$C$68)),"")</f>
      </c>
      <c r="H972" s="34"/>
      <c r="I972" s="42">
        <f>IF(AND(ISNUMBER(D972),ISNUMBER(H972)),D972*H972*Inputs!$C$69,"")</f>
      </c>
      <c r="J972" s="42">
        <f>IF(AND(ISNUMBER(F972),ISNUMBER(H972),F972&gt;=Inputs!$C$68),F972*H972*Inputs!$C$69,"")</f>
      </c>
    </row>
    <row r="973" spans="2:10" ht="15" customHeight="1" x14ac:dyDescent="0.2">
      <c r="B973" s="39">
        <f t="shared" si="6"/>
      </c>
      <c r="C973" s="40">
        <f>IF(Inputs!$C$60,Inputs!$C$11+(B973-Inputs!$C$69)/Inputs!$C$70,"")</f>
      </c>
      <c r="D973" s="15"/>
      <c r="E973" s="15"/>
      <c r="F973" s="11">
        <f t="shared" si="7"/>
      </c>
      <c r="G973" s="22" cm="1">
        <f t="array" ref="G973">IF(AND(Inputs!$C$60,Inputs!$C$61),INDEX(Utility_Rates!$C$29:$F$52,HOUR(C973)+Inputs!$C$69,MATCH(INDEX(Utility_Rates!$K$6:$K$17,MONTH(C973))&amp;IF(WEEKDAY(C973,Inputs!$C$76)&lt;=Inputs!$C$74," weekday"," weekend"),Utility_Rates!$C$28:$F$28,Inputs!$C$68)),"")</f>
      </c>
      <c r="H973" s="34"/>
      <c r="I973" s="42">
        <f>IF(AND(ISNUMBER(D973),ISNUMBER(H973)),D973*H973*Inputs!$C$69,"")</f>
      </c>
      <c r="J973" s="42">
        <f>IF(AND(ISNUMBER(F973),ISNUMBER(H973),F973&gt;=Inputs!$C$68),F973*H973*Inputs!$C$69,"")</f>
      </c>
    </row>
    <row r="974" spans="2:10" ht="15" customHeight="1" x14ac:dyDescent="0.2">
      <c r="B974" s="39">
        <f t="shared" si="6"/>
      </c>
      <c r="C974" s="40">
        <f>IF(Inputs!$C$60,Inputs!$C$11+(B974-Inputs!$C$69)/Inputs!$C$70,"")</f>
      </c>
      <c r="D974" s="15"/>
      <c r="E974" s="15"/>
      <c r="F974" s="11">
        <f t="shared" si="7"/>
      </c>
      <c r="G974" s="22" cm="1">
        <f t="array" ref="G974">IF(AND(Inputs!$C$60,Inputs!$C$61),INDEX(Utility_Rates!$C$29:$F$52,HOUR(C974)+Inputs!$C$69,MATCH(INDEX(Utility_Rates!$K$6:$K$17,MONTH(C974))&amp;IF(WEEKDAY(C974,Inputs!$C$76)&lt;=Inputs!$C$74," weekday"," weekend"),Utility_Rates!$C$28:$F$28,Inputs!$C$68)),"")</f>
      </c>
      <c r="H974" s="34"/>
      <c r="I974" s="42">
        <f>IF(AND(ISNUMBER(D974),ISNUMBER(H974)),D974*H974*Inputs!$C$69,"")</f>
      </c>
      <c r="J974" s="42">
        <f>IF(AND(ISNUMBER(F974),ISNUMBER(H974),F974&gt;=Inputs!$C$68),F974*H974*Inputs!$C$69,"")</f>
      </c>
    </row>
    <row r="975" spans="2:10" ht="15" customHeight="1" x14ac:dyDescent="0.2">
      <c r="B975" s="39">
        <f t="shared" si="6"/>
      </c>
      <c r="C975" s="40">
        <f>IF(Inputs!$C$60,Inputs!$C$11+(B975-Inputs!$C$69)/Inputs!$C$70,"")</f>
      </c>
      <c r="D975" s="15"/>
      <c r="E975" s="15"/>
      <c r="F975" s="11">
        <f t="shared" si="7"/>
      </c>
      <c r="G975" s="22" cm="1">
        <f t="array" ref="G975">IF(AND(Inputs!$C$60,Inputs!$C$61),INDEX(Utility_Rates!$C$29:$F$52,HOUR(C975)+Inputs!$C$69,MATCH(INDEX(Utility_Rates!$K$6:$K$17,MONTH(C975))&amp;IF(WEEKDAY(C975,Inputs!$C$76)&lt;=Inputs!$C$74," weekday"," weekend"),Utility_Rates!$C$28:$F$28,Inputs!$C$68)),"")</f>
      </c>
      <c r="H975" s="34"/>
      <c r="I975" s="42">
        <f>IF(AND(ISNUMBER(D975),ISNUMBER(H975)),D975*H975*Inputs!$C$69,"")</f>
      </c>
      <c r="J975" s="42">
        <f>IF(AND(ISNUMBER(F975),ISNUMBER(H975),F975&gt;=Inputs!$C$68),F975*H975*Inputs!$C$69,"")</f>
      </c>
    </row>
    <row r="976" spans="2:10" ht="15" customHeight="1" x14ac:dyDescent="0.2">
      <c r="B976" s="39">
        <f t="shared" si="6"/>
      </c>
      <c r="C976" s="40">
        <f>IF(Inputs!$C$60,Inputs!$C$11+(B976-Inputs!$C$69)/Inputs!$C$70,"")</f>
      </c>
      <c r="D976" s="15"/>
      <c r="E976" s="15"/>
      <c r="F976" s="11">
        <f t="shared" si="7"/>
      </c>
      <c r="G976" s="22" cm="1">
        <f t="array" ref="G976">IF(AND(Inputs!$C$60,Inputs!$C$61),INDEX(Utility_Rates!$C$29:$F$52,HOUR(C976)+Inputs!$C$69,MATCH(INDEX(Utility_Rates!$K$6:$K$17,MONTH(C976))&amp;IF(WEEKDAY(C976,Inputs!$C$76)&lt;=Inputs!$C$74," weekday"," weekend"),Utility_Rates!$C$28:$F$28,Inputs!$C$68)),"")</f>
      </c>
      <c r="H976" s="34"/>
      <c r="I976" s="42">
        <f>IF(AND(ISNUMBER(D976),ISNUMBER(H976)),D976*H976*Inputs!$C$69,"")</f>
      </c>
      <c r="J976" s="42">
        <f>IF(AND(ISNUMBER(F976),ISNUMBER(H976),F976&gt;=Inputs!$C$68),F976*H976*Inputs!$C$69,"")</f>
      </c>
    </row>
    <row r="977" spans="2:10" ht="15" customHeight="1" x14ac:dyDescent="0.2">
      <c r="B977" s="39">
        <f t="shared" si="6"/>
      </c>
      <c r="C977" s="40">
        <f>IF(Inputs!$C$60,Inputs!$C$11+(B977-Inputs!$C$69)/Inputs!$C$70,"")</f>
      </c>
      <c r="D977" s="15"/>
      <c r="E977" s="15"/>
      <c r="F977" s="11">
        <f t="shared" si="7"/>
      </c>
      <c r="G977" s="22" cm="1">
        <f t="array" ref="G977">IF(AND(Inputs!$C$60,Inputs!$C$61),INDEX(Utility_Rates!$C$29:$F$52,HOUR(C977)+Inputs!$C$69,MATCH(INDEX(Utility_Rates!$K$6:$K$17,MONTH(C977))&amp;IF(WEEKDAY(C977,Inputs!$C$76)&lt;=Inputs!$C$74," weekday"," weekend"),Utility_Rates!$C$28:$F$28,Inputs!$C$68)),"")</f>
      </c>
      <c r="H977" s="34"/>
      <c r="I977" s="42">
        <f>IF(AND(ISNUMBER(D977),ISNUMBER(H977)),D977*H977*Inputs!$C$69,"")</f>
      </c>
      <c r="J977" s="42">
        <f>IF(AND(ISNUMBER(F977),ISNUMBER(H977),F977&gt;=Inputs!$C$68),F977*H977*Inputs!$C$69,"")</f>
      </c>
    </row>
    <row r="978" spans="2:10" ht="15" customHeight="1" x14ac:dyDescent="0.2">
      <c r="B978" s="39">
        <f t="shared" si="6"/>
      </c>
      <c r="C978" s="40">
        <f>IF(Inputs!$C$60,Inputs!$C$11+(B978-Inputs!$C$69)/Inputs!$C$70,"")</f>
      </c>
      <c r="D978" s="15"/>
      <c r="E978" s="15"/>
      <c r="F978" s="11">
        <f t="shared" si="7"/>
      </c>
      <c r="G978" s="22" cm="1">
        <f t="array" ref="G978">IF(AND(Inputs!$C$60,Inputs!$C$61),INDEX(Utility_Rates!$C$29:$F$52,HOUR(C978)+Inputs!$C$69,MATCH(INDEX(Utility_Rates!$K$6:$K$17,MONTH(C978))&amp;IF(WEEKDAY(C978,Inputs!$C$76)&lt;=Inputs!$C$74," weekday"," weekend"),Utility_Rates!$C$28:$F$28,Inputs!$C$68)),"")</f>
      </c>
      <c r="H978" s="34"/>
      <c r="I978" s="42">
        <f>IF(AND(ISNUMBER(D978),ISNUMBER(H978)),D978*H978*Inputs!$C$69,"")</f>
      </c>
      <c r="J978" s="42">
        <f>IF(AND(ISNUMBER(F978),ISNUMBER(H978),F978&gt;=Inputs!$C$68),F978*H978*Inputs!$C$69,"")</f>
      </c>
    </row>
    <row r="979" spans="2:10" ht="15" customHeight="1" x14ac:dyDescent="0.2">
      <c r="B979" s="39">
        <f t="shared" si="6"/>
      </c>
      <c r="C979" s="40">
        <f>IF(Inputs!$C$60,Inputs!$C$11+(B979-Inputs!$C$69)/Inputs!$C$70,"")</f>
      </c>
      <c r="D979" s="15"/>
      <c r="E979" s="15"/>
      <c r="F979" s="11">
        <f t="shared" si="7"/>
      </c>
      <c r="G979" s="22" cm="1">
        <f t="array" ref="G979">IF(AND(Inputs!$C$60,Inputs!$C$61),INDEX(Utility_Rates!$C$29:$F$52,HOUR(C979)+Inputs!$C$69,MATCH(INDEX(Utility_Rates!$K$6:$K$17,MONTH(C979))&amp;IF(WEEKDAY(C979,Inputs!$C$76)&lt;=Inputs!$C$74," weekday"," weekend"),Utility_Rates!$C$28:$F$28,Inputs!$C$68)),"")</f>
      </c>
      <c r="H979" s="34"/>
      <c r="I979" s="42">
        <f>IF(AND(ISNUMBER(D979),ISNUMBER(H979)),D979*H979*Inputs!$C$69,"")</f>
      </c>
      <c r="J979" s="42">
        <f>IF(AND(ISNUMBER(F979),ISNUMBER(H979),F979&gt;=Inputs!$C$68),F979*H979*Inputs!$C$69,"")</f>
      </c>
    </row>
    <row r="980" spans="2:10" ht="15" customHeight="1" x14ac:dyDescent="0.2">
      <c r="B980" s="39">
        <f t="shared" si="6"/>
      </c>
      <c r="C980" s="40">
        <f>IF(Inputs!$C$60,Inputs!$C$11+(B980-Inputs!$C$69)/Inputs!$C$70,"")</f>
      </c>
      <c r="D980" s="15"/>
      <c r="E980" s="15"/>
      <c r="F980" s="11">
        <f t="shared" si="7"/>
      </c>
      <c r="G980" s="22" cm="1">
        <f t="array" ref="G980">IF(AND(Inputs!$C$60,Inputs!$C$61),INDEX(Utility_Rates!$C$29:$F$52,HOUR(C980)+Inputs!$C$69,MATCH(INDEX(Utility_Rates!$K$6:$K$17,MONTH(C980))&amp;IF(WEEKDAY(C980,Inputs!$C$76)&lt;=Inputs!$C$74," weekday"," weekend"),Utility_Rates!$C$28:$F$28,Inputs!$C$68)),"")</f>
      </c>
      <c r="H980" s="34"/>
      <c r="I980" s="42">
        <f>IF(AND(ISNUMBER(D980),ISNUMBER(H980)),D980*H980*Inputs!$C$69,"")</f>
      </c>
      <c r="J980" s="42">
        <f>IF(AND(ISNUMBER(F980),ISNUMBER(H980),F980&gt;=Inputs!$C$68),F980*H980*Inputs!$C$69,"")</f>
      </c>
    </row>
    <row r="981" spans="2:10" ht="15" customHeight="1" x14ac:dyDescent="0.2">
      <c r="B981" s="39">
        <f t="shared" si="6"/>
      </c>
      <c r="C981" s="40">
        <f>IF(Inputs!$C$60,Inputs!$C$11+(B981-Inputs!$C$69)/Inputs!$C$70,"")</f>
      </c>
      <c r="D981" s="15"/>
      <c r="E981" s="15"/>
      <c r="F981" s="11">
        <f t="shared" si="7"/>
      </c>
      <c r="G981" s="22" cm="1">
        <f t="array" ref="G981">IF(AND(Inputs!$C$60,Inputs!$C$61),INDEX(Utility_Rates!$C$29:$F$52,HOUR(C981)+Inputs!$C$69,MATCH(INDEX(Utility_Rates!$K$6:$K$17,MONTH(C981))&amp;IF(WEEKDAY(C981,Inputs!$C$76)&lt;=Inputs!$C$74," weekday"," weekend"),Utility_Rates!$C$28:$F$28,Inputs!$C$68)),"")</f>
      </c>
      <c r="H981" s="34"/>
      <c r="I981" s="42">
        <f>IF(AND(ISNUMBER(D981),ISNUMBER(H981)),D981*H981*Inputs!$C$69,"")</f>
      </c>
      <c r="J981" s="42">
        <f>IF(AND(ISNUMBER(F981),ISNUMBER(H981),F981&gt;=Inputs!$C$68),F981*H981*Inputs!$C$69,"")</f>
      </c>
    </row>
    <row r="982" spans="2:10" ht="15" customHeight="1" x14ac:dyDescent="0.2">
      <c r="B982" s="39">
        <f t="shared" si="6"/>
      </c>
      <c r="C982" s="40">
        <f>IF(Inputs!$C$60,Inputs!$C$11+(B982-Inputs!$C$69)/Inputs!$C$70,"")</f>
      </c>
      <c r="D982" s="15"/>
      <c r="E982" s="15"/>
      <c r="F982" s="11">
        <f t="shared" si="7"/>
      </c>
      <c r="G982" s="22" cm="1">
        <f t="array" ref="G982">IF(AND(Inputs!$C$60,Inputs!$C$61),INDEX(Utility_Rates!$C$29:$F$52,HOUR(C982)+Inputs!$C$69,MATCH(INDEX(Utility_Rates!$K$6:$K$17,MONTH(C982))&amp;IF(WEEKDAY(C982,Inputs!$C$76)&lt;=Inputs!$C$74," weekday"," weekend"),Utility_Rates!$C$28:$F$28,Inputs!$C$68)),"")</f>
      </c>
      <c r="H982" s="34"/>
      <c r="I982" s="42">
        <f>IF(AND(ISNUMBER(D982),ISNUMBER(H982)),D982*H982*Inputs!$C$69,"")</f>
      </c>
      <c r="J982" s="42">
        <f>IF(AND(ISNUMBER(F982),ISNUMBER(H982),F982&gt;=Inputs!$C$68),F982*H982*Inputs!$C$69,"")</f>
      </c>
    </row>
    <row r="983" spans="2:10" ht="15" customHeight="1" x14ac:dyDescent="0.2">
      <c r="B983" s="39">
        <f t="shared" si="6"/>
      </c>
      <c r="C983" s="40">
        <f>IF(Inputs!$C$60,Inputs!$C$11+(B983-Inputs!$C$69)/Inputs!$C$70,"")</f>
      </c>
      <c r="D983" s="15"/>
      <c r="E983" s="15"/>
      <c r="F983" s="11">
        <f t="shared" si="7"/>
      </c>
      <c r="G983" s="22" cm="1">
        <f t="array" ref="G983">IF(AND(Inputs!$C$60,Inputs!$C$61),INDEX(Utility_Rates!$C$29:$F$52,HOUR(C983)+Inputs!$C$69,MATCH(INDEX(Utility_Rates!$K$6:$K$17,MONTH(C983))&amp;IF(WEEKDAY(C983,Inputs!$C$76)&lt;=Inputs!$C$74," weekday"," weekend"),Utility_Rates!$C$28:$F$28,Inputs!$C$68)),"")</f>
      </c>
      <c r="H983" s="34"/>
      <c r="I983" s="42">
        <f>IF(AND(ISNUMBER(D983),ISNUMBER(H983)),D983*H983*Inputs!$C$69,"")</f>
      </c>
      <c r="J983" s="42">
        <f>IF(AND(ISNUMBER(F983),ISNUMBER(H983),F983&gt;=Inputs!$C$68),F983*H983*Inputs!$C$69,"")</f>
      </c>
    </row>
    <row r="984" spans="2:10" ht="15" customHeight="1" x14ac:dyDescent="0.2">
      <c r="B984" s="39">
        <f t="shared" si="6"/>
      </c>
      <c r="C984" s="40">
        <f>IF(Inputs!$C$60,Inputs!$C$11+(B984-Inputs!$C$69)/Inputs!$C$70,"")</f>
      </c>
      <c r="D984" s="15"/>
      <c r="E984" s="15"/>
      <c r="F984" s="11">
        <f t="shared" si="7"/>
      </c>
      <c r="G984" s="22" cm="1">
        <f t="array" ref="G984">IF(AND(Inputs!$C$60,Inputs!$C$61),INDEX(Utility_Rates!$C$29:$F$52,HOUR(C984)+Inputs!$C$69,MATCH(INDEX(Utility_Rates!$K$6:$K$17,MONTH(C984))&amp;IF(WEEKDAY(C984,Inputs!$C$76)&lt;=Inputs!$C$74," weekday"," weekend"),Utility_Rates!$C$28:$F$28,Inputs!$C$68)),"")</f>
      </c>
      <c r="H984" s="34"/>
      <c r="I984" s="42">
        <f>IF(AND(ISNUMBER(D984),ISNUMBER(H984)),D984*H984*Inputs!$C$69,"")</f>
      </c>
      <c r="J984" s="42">
        <f>IF(AND(ISNUMBER(F984),ISNUMBER(H984),F984&gt;=Inputs!$C$68),F984*H984*Inputs!$C$69,"")</f>
      </c>
    </row>
    <row r="985" spans="2:10" ht="15" customHeight="1" x14ac:dyDescent="0.2">
      <c r="B985" s="39">
        <f t="shared" si="6"/>
      </c>
      <c r="C985" s="40">
        <f>IF(Inputs!$C$60,Inputs!$C$11+(B985-Inputs!$C$69)/Inputs!$C$70,"")</f>
      </c>
      <c r="D985" s="15"/>
      <c r="E985" s="15"/>
      <c r="F985" s="11">
        <f t="shared" si="7"/>
      </c>
      <c r="G985" s="22" cm="1">
        <f t="array" ref="G985">IF(AND(Inputs!$C$60,Inputs!$C$61),INDEX(Utility_Rates!$C$29:$F$52,HOUR(C985)+Inputs!$C$69,MATCH(INDEX(Utility_Rates!$K$6:$K$17,MONTH(C985))&amp;IF(WEEKDAY(C985,Inputs!$C$76)&lt;=Inputs!$C$74," weekday"," weekend"),Utility_Rates!$C$28:$F$28,Inputs!$C$68)),"")</f>
      </c>
      <c r="H985" s="34"/>
      <c r="I985" s="42">
        <f>IF(AND(ISNUMBER(D985),ISNUMBER(H985)),D985*H985*Inputs!$C$69,"")</f>
      </c>
      <c r="J985" s="42">
        <f>IF(AND(ISNUMBER(F985),ISNUMBER(H985),F985&gt;=Inputs!$C$68),F985*H985*Inputs!$C$69,"")</f>
      </c>
    </row>
    <row r="986" spans="2:10" ht="15" customHeight="1" x14ac:dyDescent="0.2">
      <c r="B986" s="39">
        <f t="shared" si="6"/>
      </c>
      <c r="C986" s="40">
        <f>IF(Inputs!$C$60,Inputs!$C$11+(B986-Inputs!$C$69)/Inputs!$C$70,"")</f>
      </c>
      <c r="D986" s="15"/>
      <c r="E986" s="15"/>
      <c r="F986" s="11">
        <f t="shared" si="7"/>
      </c>
      <c r="G986" s="22" cm="1">
        <f t="array" ref="G986">IF(AND(Inputs!$C$60,Inputs!$C$61),INDEX(Utility_Rates!$C$29:$F$52,HOUR(C986)+Inputs!$C$69,MATCH(INDEX(Utility_Rates!$K$6:$K$17,MONTH(C986))&amp;IF(WEEKDAY(C986,Inputs!$C$76)&lt;=Inputs!$C$74," weekday"," weekend"),Utility_Rates!$C$28:$F$28,Inputs!$C$68)),"")</f>
      </c>
      <c r="H986" s="34"/>
      <c r="I986" s="42">
        <f>IF(AND(ISNUMBER(D986),ISNUMBER(H986)),D986*H986*Inputs!$C$69,"")</f>
      </c>
      <c r="J986" s="42">
        <f>IF(AND(ISNUMBER(F986),ISNUMBER(H986),F986&gt;=Inputs!$C$68),F986*H986*Inputs!$C$69,"")</f>
      </c>
    </row>
    <row r="987" spans="2:10" ht="15" customHeight="1" x14ac:dyDescent="0.2">
      <c r="B987" s="39">
        <f t="shared" si="6"/>
      </c>
      <c r="C987" s="40">
        <f>IF(Inputs!$C$60,Inputs!$C$11+(B987-Inputs!$C$69)/Inputs!$C$70,"")</f>
      </c>
      <c r="D987" s="15"/>
      <c r="E987" s="15"/>
      <c r="F987" s="11">
        <f t="shared" si="7"/>
      </c>
      <c r="G987" s="22" cm="1">
        <f t="array" ref="G987">IF(AND(Inputs!$C$60,Inputs!$C$61),INDEX(Utility_Rates!$C$29:$F$52,HOUR(C987)+Inputs!$C$69,MATCH(INDEX(Utility_Rates!$K$6:$K$17,MONTH(C987))&amp;IF(WEEKDAY(C987,Inputs!$C$76)&lt;=Inputs!$C$74," weekday"," weekend"),Utility_Rates!$C$28:$F$28,Inputs!$C$68)),"")</f>
      </c>
      <c r="H987" s="34"/>
      <c r="I987" s="42">
        <f>IF(AND(ISNUMBER(D987),ISNUMBER(H987)),D987*H987*Inputs!$C$69,"")</f>
      </c>
      <c r="J987" s="42">
        <f>IF(AND(ISNUMBER(F987),ISNUMBER(H987),F987&gt;=Inputs!$C$68),F987*H987*Inputs!$C$69,"")</f>
      </c>
    </row>
    <row r="988" spans="2:10" ht="15" customHeight="1" x14ac:dyDescent="0.2">
      <c r="B988" s="39">
        <f t="shared" si="6"/>
      </c>
      <c r="C988" s="40">
        <f>IF(Inputs!$C$60,Inputs!$C$11+(B988-Inputs!$C$69)/Inputs!$C$70,"")</f>
      </c>
      <c r="D988" s="15"/>
      <c r="E988" s="15"/>
      <c r="F988" s="11">
        <f t="shared" si="7"/>
      </c>
      <c r="G988" s="22" cm="1">
        <f t="array" ref="G988">IF(AND(Inputs!$C$60,Inputs!$C$61),INDEX(Utility_Rates!$C$29:$F$52,HOUR(C988)+Inputs!$C$69,MATCH(INDEX(Utility_Rates!$K$6:$K$17,MONTH(C988))&amp;IF(WEEKDAY(C988,Inputs!$C$76)&lt;=Inputs!$C$74," weekday"," weekend"),Utility_Rates!$C$28:$F$28,Inputs!$C$68)),"")</f>
      </c>
      <c r="H988" s="34"/>
      <c r="I988" s="42">
        <f>IF(AND(ISNUMBER(D988),ISNUMBER(H988)),D988*H988*Inputs!$C$69,"")</f>
      </c>
      <c r="J988" s="42">
        <f>IF(AND(ISNUMBER(F988),ISNUMBER(H988),F988&gt;=Inputs!$C$68),F988*H988*Inputs!$C$69,"")</f>
      </c>
    </row>
    <row r="989" spans="2:10" ht="15" customHeight="1" x14ac:dyDescent="0.2">
      <c r="B989" s="39">
        <f t="shared" si="6"/>
      </c>
      <c r="C989" s="40">
        <f>IF(Inputs!$C$60,Inputs!$C$11+(B989-Inputs!$C$69)/Inputs!$C$70,"")</f>
      </c>
      <c r="D989" s="15"/>
      <c r="E989" s="15"/>
      <c r="F989" s="11">
        <f t="shared" si="7"/>
      </c>
      <c r="G989" s="22" cm="1">
        <f t="array" ref="G989">IF(AND(Inputs!$C$60,Inputs!$C$61),INDEX(Utility_Rates!$C$29:$F$52,HOUR(C989)+Inputs!$C$69,MATCH(INDEX(Utility_Rates!$K$6:$K$17,MONTH(C989))&amp;IF(WEEKDAY(C989,Inputs!$C$76)&lt;=Inputs!$C$74," weekday"," weekend"),Utility_Rates!$C$28:$F$28,Inputs!$C$68)),"")</f>
      </c>
      <c r="H989" s="34"/>
      <c r="I989" s="42">
        <f>IF(AND(ISNUMBER(D989),ISNUMBER(H989)),D989*H989*Inputs!$C$69,"")</f>
      </c>
      <c r="J989" s="42">
        <f>IF(AND(ISNUMBER(F989),ISNUMBER(H989),F989&gt;=Inputs!$C$68),F989*H989*Inputs!$C$69,"")</f>
      </c>
    </row>
    <row r="990" spans="2:10" ht="15" customHeight="1" x14ac:dyDescent="0.2">
      <c r="B990" s="39">
        <f t="shared" si="6"/>
      </c>
      <c r="C990" s="40">
        <f>IF(Inputs!$C$60,Inputs!$C$11+(B990-Inputs!$C$69)/Inputs!$C$70,"")</f>
      </c>
      <c r="D990" s="15"/>
      <c r="E990" s="15"/>
      <c r="F990" s="11">
        <f t="shared" si="7"/>
      </c>
      <c r="G990" s="22" cm="1">
        <f t="array" ref="G990">IF(AND(Inputs!$C$60,Inputs!$C$61),INDEX(Utility_Rates!$C$29:$F$52,HOUR(C990)+Inputs!$C$69,MATCH(INDEX(Utility_Rates!$K$6:$K$17,MONTH(C990))&amp;IF(WEEKDAY(C990,Inputs!$C$76)&lt;=Inputs!$C$74," weekday"," weekend"),Utility_Rates!$C$28:$F$28,Inputs!$C$68)),"")</f>
      </c>
      <c r="H990" s="34"/>
      <c r="I990" s="42">
        <f>IF(AND(ISNUMBER(D990),ISNUMBER(H990)),D990*H990*Inputs!$C$69,"")</f>
      </c>
      <c r="J990" s="42">
        <f>IF(AND(ISNUMBER(F990),ISNUMBER(H990),F990&gt;=Inputs!$C$68),F990*H990*Inputs!$C$69,"")</f>
      </c>
    </row>
    <row r="991" spans="2:10" ht="15" customHeight="1" x14ac:dyDescent="0.2">
      <c r="B991" s="39">
        <f t="shared" si="6"/>
      </c>
      <c r="C991" s="40">
        <f>IF(Inputs!$C$60,Inputs!$C$11+(B991-Inputs!$C$69)/Inputs!$C$70,"")</f>
      </c>
      <c r="D991" s="15"/>
      <c r="E991" s="15"/>
      <c r="F991" s="11">
        <f t="shared" si="7"/>
      </c>
      <c r="G991" s="22" cm="1">
        <f t="array" ref="G991">IF(AND(Inputs!$C$60,Inputs!$C$61),INDEX(Utility_Rates!$C$29:$F$52,HOUR(C991)+Inputs!$C$69,MATCH(INDEX(Utility_Rates!$K$6:$K$17,MONTH(C991))&amp;IF(WEEKDAY(C991,Inputs!$C$76)&lt;=Inputs!$C$74," weekday"," weekend"),Utility_Rates!$C$28:$F$28,Inputs!$C$68)),"")</f>
      </c>
      <c r="H991" s="34"/>
      <c r="I991" s="42">
        <f>IF(AND(ISNUMBER(D991),ISNUMBER(H991)),D991*H991*Inputs!$C$69,"")</f>
      </c>
      <c r="J991" s="42">
        <f>IF(AND(ISNUMBER(F991),ISNUMBER(H991),F991&gt;=Inputs!$C$68),F991*H991*Inputs!$C$69,"")</f>
      </c>
    </row>
    <row r="992" spans="2:10" ht="15" customHeight="1" x14ac:dyDescent="0.2">
      <c r="B992" s="39">
        <f t="shared" si="6"/>
      </c>
      <c r="C992" s="40">
        <f>IF(Inputs!$C$60,Inputs!$C$11+(B992-Inputs!$C$69)/Inputs!$C$70,"")</f>
      </c>
      <c r="D992" s="15"/>
      <c r="E992" s="15"/>
      <c r="F992" s="11">
        <f t="shared" si="7"/>
      </c>
      <c r="G992" s="22" cm="1">
        <f t="array" ref="G992">IF(AND(Inputs!$C$60,Inputs!$C$61),INDEX(Utility_Rates!$C$29:$F$52,HOUR(C992)+Inputs!$C$69,MATCH(INDEX(Utility_Rates!$K$6:$K$17,MONTH(C992))&amp;IF(WEEKDAY(C992,Inputs!$C$76)&lt;=Inputs!$C$74," weekday"," weekend"),Utility_Rates!$C$28:$F$28,Inputs!$C$68)),"")</f>
      </c>
      <c r="H992" s="34"/>
      <c r="I992" s="42">
        <f>IF(AND(ISNUMBER(D992),ISNUMBER(H992)),D992*H992*Inputs!$C$69,"")</f>
      </c>
      <c r="J992" s="42">
        <f>IF(AND(ISNUMBER(F992),ISNUMBER(H992),F992&gt;=Inputs!$C$68),F992*H992*Inputs!$C$69,"")</f>
      </c>
    </row>
    <row r="993" spans="2:10" ht="15" customHeight="1" x14ac:dyDescent="0.2">
      <c r="B993" s="39">
        <f t="shared" si="6"/>
      </c>
      <c r="C993" s="40">
        <f>IF(Inputs!$C$60,Inputs!$C$11+(B993-Inputs!$C$69)/Inputs!$C$70,"")</f>
      </c>
      <c r="D993" s="15"/>
      <c r="E993" s="15"/>
      <c r="F993" s="11">
        <f t="shared" si="7"/>
      </c>
      <c r="G993" s="22" cm="1">
        <f t="array" ref="G993">IF(AND(Inputs!$C$60,Inputs!$C$61),INDEX(Utility_Rates!$C$29:$F$52,HOUR(C993)+Inputs!$C$69,MATCH(INDEX(Utility_Rates!$K$6:$K$17,MONTH(C993))&amp;IF(WEEKDAY(C993,Inputs!$C$76)&lt;=Inputs!$C$74," weekday"," weekend"),Utility_Rates!$C$28:$F$28,Inputs!$C$68)),"")</f>
      </c>
      <c r="H993" s="34"/>
      <c r="I993" s="42">
        <f>IF(AND(ISNUMBER(D993),ISNUMBER(H993)),D993*H993*Inputs!$C$69,"")</f>
      </c>
      <c r="J993" s="42">
        <f>IF(AND(ISNUMBER(F993),ISNUMBER(H993),F993&gt;=Inputs!$C$68),F993*H993*Inputs!$C$69,"")</f>
      </c>
    </row>
    <row r="994" spans="2:10" ht="15" customHeight="1" x14ac:dyDescent="0.2">
      <c r="B994" s="39">
        <f t="shared" si="6"/>
      </c>
      <c r="C994" s="40">
        <f>IF(Inputs!$C$60,Inputs!$C$11+(B994-Inputs!$C$69)/Inputs!$C$70,"")</f>
      </c>
      <c r="D994" s="15"/>
      <c r="E994" s="15"/>
      <c r="F994" s="11">
        <f t="shared" si="7"/>
      </c>
      <c r="G994" s="22" cm="1">
        <f t="array" ref="G994">IF(AND(Inputs!$C$60,Inputs!$C$61),INDEX(Utility_Rates!$C$29:$F$52,HOUR(C994)+Inputs!$C$69,MATCH(INDEX(Utility_Rates!$K$6:$K$17,MONTH(C994))&amp;IF(WEEKDAY(C994,Inputs!$C$76)&lt;=Inputs!$C$74," weekday"," weekend"),Utility_Rates!$C$28:$F$28,Inputs!$C$68)),"")</f>
      </c>
      <c r="H994" s="34"/>
      <c r="I994" s="42">
        <f>IF(AND(ISNUMBER(D994),ISNUMBER(H994)),D994*H994*Inputs!$C$69,"")</f>
      </c>
      <c r="J994" s="42">
        <f>IF(AND(ISNUMBER(F994),ISNUMBER(H994),F994&gt;=Inputs!$C$68),F994*H994*Inputs!$C$69,"")</f>
      </c>
    </row>
    <row r="995" spans="2:10" ht="15" customHeight="1" x14ac:dyDescent="0.2">
      <c r="B995" s="39">
        <f t="shared" si="6"/>
      </c>
      <c r="C995" s="40">
        <f>IF(Inputs!$C$60,Inputs!$C$11+(B995-Inputs!$C$69)/Inputs!$C$70,"")</f>
      </c>
      <c r="D995" s="15"/>
      <c r="E995" s="15"/>
      <c r="F995" s="11">
        <f t="shared" si="7"/>
      </c>
      <c r="G995" s="22" cm="1">
        <f t="array" ref="G995">IF(AND(Inputs!$C$60,Inputs!$C$61),INDEX(Utility_Rates!$C$29:$F$52,HOUR(C995)+Inputs!$C$69,MATCH(INDEX(Utility_Rates!$K$6:$K$17,MONTH(C995))&amp;IF(WEEKDAY(C995,Inputs!$C$76)&lt;=Inputs!$C$74," weekday"," weekend"),Utility_Rates!$C$28:$F$28,Inputs!$C$68)),"")</f>
      </c>
      <c r="H995" s="34"/>
      <c r="I995" s="42">
        <f>IF(AND(ISNUMBER(D995),ISNUMBER(H995)),D995*H995*Inputs!$C$69,"")</f>
      </c>
      <c r="J995" s="42">
        <f>IF(AND(ISNUMBER(F995),ISNUMBER(H995),F995&gt;=Inputs!$C$68),F995*H995*Inputs!$C$69,"")</f>
      </c>
    </row>
    <row r="996" spans="2:10" ht="15" customHeight="1" x14ac:dyDescent="0.2">
      <c r="B996" s="39">
        <f t="shared" si="6"/>
      </c>
      <c r="C996" s="40">
        <f>IF(Inputs!$C$60,Inputs!$C$11+(B996-Inputs!$C$69)/Inputs!$C$70,"")</f>
      </c>
      <c r="D996" s="15"/>
      <c r="E996" s="15"/>
      <c r="F996" s="11">
        <f t="shared" si="7"/>
      </c>
      <c r="G996" s="22" cm="1">
        <f t="array" ref="G996">IF(AND(Inputs!$C$60,Inputs!$C$61),INDEX(Utility_Rates!$C$29:$F$52,HOUR(C996)+Inputs!$C$69,MATCH(INDEX(Utility_Rates!$K$6:$K$17,MONTH(C996))&amp;IF(WEEKDAY(C996,Inputs!$C$76)&lt;=Inputs!$C$74," weekday"," weekend"),Utility_Rates!$C$28:$F$28,Inputs!$C$68)),"")</f>
      </c>
      <c r="H996" s="34"/>
      <c r="I996" s="42">
        <f>IF(AND(ISNUMBER(D996),ISNUMBER(H996)),D996*H996*Inputs!$C$69,"")</f>
      </c>
      <c r="J996" s="42">
        <f>IF(AND(ISNUMBER(F996),ISNUMBER(H996),F996&gt;=Inputs!$C$68),F996*H996*Inputs!$C$69,"")</f>
      </c>
    </row>
    <row r="997" spans="2:10" ht="15" customHeight="1" x14ac:dyDescent="0.2">
      <c r="B997" s="39">
        <f t="shared" si="6"/>
      </c>
      <c r="C997" s="40">
        <f>IF(Inputs!$C$60,Inputs!$C$11+(B997-Inputs!$C$69)/Inputs!$C$70,"")</f>
      </c>
      <c r="D997" s="15"/>
      <c r="E997" s="15"/>
      <c r="F997" s="11">
        <f t="shared" si="7"/>
      </c>
      <c r="G997" s="22" cm="1">
        <f t="array" ref="G997">IF(AND(Inputs!$C$60,Inputs!$C$61),INDEX(Utility_Rates!$C$29:$F$52,HOUR(C997)+Inputs!$C$69,MATCH(INDEX(Utility_Rates!$K$6:$K$17,MONTH(C997))&amp;IF(WEEKDAY(C997,Inputs!$C$76)&lt;=Inputs!$C$74," weekday"," weekend"),Utility_Rates!$C$28:$F$28,Inputs!$C$68)),"")</f>
      </c>
      <c r="H997" s="34"/>
      <c r="I997" s="42">
        <f>IF(AND(ISNUMBER(D997),ISNUMBER(H997)),D997*H997*Inputs!$C$69,"")</f>
      </c>
      <c r="J997" s="42">
        <f>IF(AND(ISNUMBER(F997),ISNUMBER(H997),F997&gt;=Inputs!$C$68),F997*H997*Inputs!$C$69,"")</f>
      </c>
    </row>
    <row r="998" spans="2:10" ht="15" customHeight="1" x14ac:dyDescent="0.2">
      <c r="B998" s="39">
        <f t="shared" si="6"/>
      </c>
      <c r="C998" s="40">
        <f>IF(Inputs!$C$60,Inputs!$C$11+(B998-Inputs!$C$69)/Inputs!$C$70,"")</f>
      </c>
      <c r="D998" s="15"/>
      <c r="E998" s="15"/>
      <c r="F998" s="11">
        <f t="shared" si="7"/>
      </c>
      <c r="G998" s="22" cm="1">
        <f t="array" ref="G998">IF(AND(Inputs!$C$60,Inputs!$C$61),INDEX(Utility_Rates!$C$29:$F$52,HOUR(C998)+Inputs!$C$69,MATCH(INDEX(Utility_Rates!$K$6:$K$17,MONTH(C998))&amp;IF(WEEKDAY(C998,Inputs!$C$76)&lt;=Inputs!$C$74," weekday"," weekend"),Utility_Rates!$C$28:$F$28,Inputs!$C$68)),"")</f>
      </c>
      <c r="H998" s="34"/>
      <c r="I998" s="42">
        <f>IF(AND(ISNUMBER(D998),ISNUMBER(H998)),D998*H998*Inputs!$C$69,"")</f>
      </c>
      <c r="J998" s="42">
        <f>IF(AND(ISNUMBER(F998),ISNUMBER(H998),F998&gt;=Inputs!$C$68),F998*H998*Inputs!$C$69,"")</f>
      </c>
    </row>
    <row r="999" spans="2:10" ht="15" customHeight="1" x14ac:dyDescent="0.2">
      <c r="B999" s="39">
        <f t="shared" si="6"/>
      </c>
      <c r="C999" s="40">
        <f>IF(Inputs!$C$60,Inputs!$C$11+(B999-Inputs!$C$69)/Inputs!$C$70,"")</f>
      </c>
      <c r="D999" s="15"/>
      <c r="E999" s="15"/>
      <c r="F999" s="11">
        <f t="shared" si="7"/>
      </c>
      <c r="G999" s="22" cm="1">
        <f t="array" ref="G999">IF(AND(Inputs!$C$60,Inputs!$C$61),INDEX(Utility_Rates!$C$29:$F$52,HOUR(C999)+Inputs!$C$69,MATCH(INDEX(Utility_Rates!$K$6:$K$17,MONTH(C999))&amp;IF(WEEKDAY(C999,Inputs!$C$76)&lt;=Inputs!$C$74," weekday"," weekend"),Utility_Rates!$C$28:$F$28,Inputs!$C$68)),"")</f>
      </c>
      <c r="H999" s="34"/>
      <c r="I999" s="42">
        <f>IF(AND(ISNUMBER(D999),ISNUMBER(H999)),D999*H999*Inputs!$C$69,"")</f>
      </c>
      <c r="J999" s="42">
        <f>IF(AND(ISNUMBER(F999),ISNUMBER(H999),F999&gt;=Inputs!$C$68),F999*H999*Inputs!$C$69,"")</f>
      </c>
    </row>
    <row r="1000" spans="2:10" ht="15" customHeight="1" x14ac:dyDescent="0.2">
      <c r="B1000" s="39">
        <f t="shared" si="6"/>
      </c>
      <c r="C1000" s="40">
        <f>IF(Inputs!$C$60,Inputs!$C$11+(B1000-Inputs!$C$69)/Inputs!$C$70,"")</f>
      </c>
      <c r="D1000" s="15"/>
      <c r="E1000" s="15"/>
      <c r="F1000" s="11">
        <f t="shared" si="7"/>
      </c>
      <c r="G1000" s="22" cm="1">
        <f t="array" ref="G1000">IF(AND(Inputs!$C$60,Inputs!$C$61),INDEX(Utility_Rates!$C$29:$F$52,HOUR(C1000)+Inputs!$C$69,MATCH(INDEX(Utility_Rates!$K$6:$K$17,MONTH(C1000))&amp;IF(WEEKDAY(C1000,Inputs!$C$76)&lt;=Inputs!$C$74," weekday"," weekend"),Utility_Rates!$C$28:$F$28,Inputs!$C$68)),"")</f>
      </c>
      <c r="H1000" s="34"/>
      <c r="I1000" s="42">
        <f>IF(AND(ISNUMBER(D1000),ISNUMBER(H1000)),D1000*H1000*Inputs!$C$69,"")</f>
      </c>
      <c r="J1000" s="42">
        <f>IF(AND(ISNUMBER(F1000),ISNUMBER(H1000),F1000&gt;=Inputs!$C$68),F1000*H1000*Inputs!$C$69,"")</f>
      </c>
    </row>
    <row r="1001" spans="2:10" ht="15" customHeight="1" x14ac:dyDescent="0.2">
      <c r="B1001" s="39">
        <f t="shared" si="6"/>
      </c>
      <c r="C1001" s="40">
        <f>IF(Inputs!$C$60,Inputs!$C$11+(B1001-Inputs!$C$69)/Inputs!$C$70,"")</f>
      </c>
      <c r="D1001" s="15"/>
      <c r="E1001" s="15"/>
      <c r="F1001" s="11">
        <f t="shared" si="7"/>
      </c>
      <c r="G1001" s="22" cm="1">
        <f t="array" ref="G1001">IF(AND(Inputs!$C$60,Inputs!$C$61),INDEX(Utility_Rates!$C$29:$F$52,HOUR(C1001)+Inputs!$C$69,MATCH(INDEX(Utility_Rates!$K$6:$K$17,MONTH(C1001))&amp;IF(WEEKDAY(C1001,Inputs!$C$76)&lt;=Inputs!$C$74," weekday"," weekend"),Utility_Rates!$C$28:$F$28,Inputs!$C$68)),"")</f>
      </c>
      <c r="H1001" s="34"/>
      <c r="I1001" s="42">
        <f>IF(AND(ISNUMBER(D1001),ISNUMBER(H1001)),D1001*H1001*Inputs!$C$69,"")</f>
      </c>
      <c r="J1001" s="42">
        <f>IF(AND(ISNUMBER(F1001),ISNUMBER(H1001),F1001&gt;=Inputs!$C$68),F1001*H1001*Inputs!$C$69,"")</f>
      </c>
    </row>
    <row r="1002" spans="2:10" ht="15" customHeight="1" x14ac:dyDescent="0.2">
      <c r="B1002" s="39">
        <f t="shared" si="6"/>
      </c>
      <c r="C1002" s="40">
        <f>IF(Inputs!$C$60,Inputs!$C$11+(B1002-Inputs!$C$69)/Inputs!$C$70,"")</f>
      </c>
      <c r="D1002" s="15"/>
      <c r="E1002" s="15"/>
      <c r="F1002" s="11">
        <f t="shared" si="7"/>
      </c>
      <c r="G1002" s="22" cm="1">
        <f t="array" ref="G1002">IF(AND(Inputs!$C$60,Inputs!$C$61),INDEX(Utility_Rates!$C$29:$F$52,HOUR(C1002)+Inputs!$C$69,MATCH(INDEX(Utility_Rates!$K$6:$K$17,MONTH(C1002))&amp;IF(WEEKDAY(C1002,Inputs!$C$76)&lt;=Inputs!$C$74," weekday"," weekend"),Utility_Rates!$C$28:$F$28,Inputs!$C$68)),"")</f>
      </c>
      <c r="H1002" s="34"/>
      <c r="I1002" s="42">
        <f>IF(AND(ISNUMBER(D1002),ISNUMBER(H1002)),D1002*H1002*Inputs!$C$69,"")</f>
      </c>
      <c r="J1002" s="42">
        <f>IF(AND(ISNUMBER(F1002),ISNUMBER(H1002),F1002&gt;=Inputs!$C$68),F1002*H1002*Inputs!$C$69,"")</f>
      </c>
    </row>
    <row r="1003" spans="2:10" ht="15" customHeight="1" x14ac:dyDescent="0.2">
      <c r="B1003" s="39">
        <f t="shared" si="6"/>
      </c>
      <c r="C1003" s="40">
        <f>IF(Inputs!$C$60,Inputs!$C$11+(B1003-Inputs!$C$69)/Inputs!$C$70,"")</f>
      </c>
      <c r="D1003" s="15"/>
      <c r="E1003" s="15"/>
      <c r="F1003" s="11">
        <f t="shared" si="7"/>
      </c>
      <c r="G1003" s="22" cm="1">
        <f t="array" ref="G1003">IF(AND(Inputs!$C$60,Inputs!$C$61),INDEX(Utility_Rates!$C$29:$F$52,HOUR(C1003)+Inputs!$C$69,MATCH(INDEX(Utility_Rates!$K$6:$K$17,MONTH(C1003))&amp;IF(WEEKDAY(C1003,Inputs!$C$76)&lt;=Inputs!$C$74," weekday"," weekend"),Utility_Rates!$C$28:$F$28,Inputs!$C$68)),"")</f>
      </c>
      <c r="H1003" s="34"/>
      <c r="I1003" s="42">
        <f>IF(AND(ISNUMBER(D1003),ISNUMBER(H1003)),D1003*H1003*Inputs!$C$69,"")</f>
      </c>
      <c r="J1003" s="42">
        <f>IF(AND(ISNUMBER(F1003),ISNUMBER(H1003),F1003&gt;=Inputs!$C$68),F1003*H1003*Inputs!$C$69,"")</f>
      </c>
    </row>
    <row r="1004" spans="2:10" ht="15" customHeight="1" x14ac:dyDescent="0.2">
      <c r="B1004" s="39">
        <f t="shared" si="6"/>
      </c>
      <c r="C1004" s="40">
        <f>IF(Inputs!$C$60,Inputs!$C$11+(B1004-Inputs!$C$69)/Inputs!$C$70,"")</f>
      </c>
      <c r="D1004" s="15"/>
      <c r="E1004" s="15"/>
      <c r="F1004" s="11">
        <f t="shared" si="7"/>
      </c>
      <c r="G1004" s="22" cm="1">
        <f t="array" ref="G1004">IF(AND(Inputs!$C$60,Inputs!$C$61),INDEX(Utility_Rates!$C$29:$F$52,HOUR(C1004)+Inputs!$C$69,MATCH(INDEX(Utility_Rates!$K$6:$K$17,MONTH(C1004))&amp;IF(WEEKDAY(C1004,Inputs!$C$76)&lt;=Inputs!$C$74," weekday"," weekend"),Utility_Rates!$C$28:$F$28,Inputs!$C$68)),"")</f>
      </c>
      <c r="H1004" s="34"/>
      <c r="I1004" s="42">
        <f>IF(AND(ISNUMBER(D1004),ISNUMBER(H1004)),D1004*H1004*Inputs!$C$69,"")</f>
      </c>
      <c r="J1004" s="42">
        <f>IF(AND(ISNUMBER(F1004),ISNUMBER(H1004),F1004&gt;=Inputs!$C$68),F1004*H1004*Inputs!$C$69,"")</f>
      </c>
    </row>
    <row r="1005" spans="2:10" ht="15" customHeight="1" x14ac:dyDescent="0.2">
      <c r="B1005" s="39">
        <f t="shared" si="6"/>
      </c>
      <c r="C1005" s="40">
        <f>IF(Inputs!$C$60,Inputs!$C$11+(B1005-Inputs!$C$69)/Inputs!$C$70,"")</f>
      </c>
      <c r="D1005" s="15"/>
      <c r="E1005" s="15"/>
      <c r="F1005" s="11">
        <f t="shared" si="7"/>
      </c>
      <c r="G1005" s="22" cm="1">
        <f t="array" ref="G1005">IF(AND(Inputs!$C$60,Inputs!$C$61),INDEX(Utility_Rates!$C$29:$F$52,HOUR(C1005)+Inputs!$C$69,MATCH(INDEX(Utility_Rates!$K$6:$K$17,MONTH(C1005))&amp;IF(WEEKDAY(C1005,Inputs!$C$76)&lt;=Inputs!$C$74," weekday"," weekend"),Utility_Rates!$C$28:$F$28,Inputs!$C$68)),"")</f>
      </c>
      <c r="H1005" s="34"/>
      <c r="I1005" s="42">
        <f>IF(AND(ISNUMBER(D1005),ISNUMBER(H1005)),D1005*H1005*Inputs!$C$69,"")</f>
      </c>
      <c r="J1005" s="42">
        <f>IF(AND(ISNUMBER(F1005),ISNUMBER(H1005),F1005&gt;=Inputs!$C$68),F1005*H1005*Inputs!$C$69,"")</f>
      </c>
    </row>
    <row r="1006" spans="2:10" ht="15" customHeight="1" x14ac:dyDescent="0.2">
      <c r="B1006" s="39">
        <f t="shared" si="6"/>
      </c>
      <c r="C1006" s="40">
        <f>IF(Inputs!$C$60,Inputs!$C$11+(B1006-Inputs!$C$69)/Inputs!$C$70,"")</f>
      </c>
      <c r="D1006" s="15"/>
      <c r="E1006" s="15"/>
      <c r="F1006" s="11">
        <f t="shared" si="7"/>
      </c>
      <c r="G1006" s="22" cm="1">
        <f t="array" ref="G1006">IF(AND(Inputs!$C$60,Inputs!$C$61),INDEX(Utility_Rates!$C$29:$F$52,HOUR(C1006)+Inputs!$C$69,MATCH(INDEX(Utility_Rates!$K$6:$K$17,MONTH(C1006))&amp;IF(WEEKDAY(C1006,Inputs!$C$76)&lt;=Inputs!$C$74," weekday"," weekend"),Utility_Rates!$C$28:$F$28,Inputs!$C$68)),"")</f>
      </c>
      <c r="H1006" s="34"/>
      <c r="I1006" s="42">
        <f>IF(AND(ISNUMBER(D1006),ISNUMBER(H1006)),D1006*H1006*Inputs!$C$69,"")</f>
      </c>
      <c r="J1006" s="42">
        <f>IF(AND(ISNUMBER(F1006),ISNUMBER(H1006),F1006&gt;=Inputs!$C$68),F1006*H1006*Inputs!$C$69,"")</f>
      </c>
    </row>
    <row r="1007" spans="2:10" ht="15" customHeight="1" x14ac:dyDescent="0.2">
      <c r="B1007" s="39">
        <f t="shared" si="6"/>
      </c>
      <c r="C1007" s="40">
        <f>IF(Inputs!$C$60,Inputs!$C$11+(B1007-Inputs!$C$69)/Inputs!$C$70,"")</f>
      </c>
      <c r="D1007" s="15"/>
      <c r="E1007" s="15"/>
      <c r="F1007" s="11">
        <f t="shared" si="7"/>
      </c>
      <c r="G1007" s="22" cm="1">
        <f t="array" ref="G1007">IF(AND(Inputs!$C$60,Inputs!$C$61),INDEX(Utility_Rates!$C$29:$F$52,HOUR(C1007)+Inputs!$C$69,MATCH(INDEX(Utility_Rates!$K$6:$K$17,MONTH(C1007))&amp;IF(WEEKDAY(C1007,Inputs!$C$76)&lt;=Inputs!$C$74," weekday"," weekend"),Utility_Rates!$C$28:$F$28,Inputs!$C$68)),"")</f>
      </c>
      <c r="H1007" s="34"/>
      <c r="I1007" s="42">
        <f>IF(AND(ISNUMBER(D1007),ISNUMBER(H1007)),D1007*H1007*Inputs!$C$69,"")</f>
      </c>
      <c r="J1007" s="42">
        <f>IF(AND(ISNUMBER(F1007),ISNUMBER(H1007),F1007&gt;=Inputs!$C$68),F1007*H1007*Inputs!$C$69,"")</f>
      </c>
    </row>
    <row r="1008" spans="2:10" ht="15" customHeight="1" x14ac:dyDescent="0.2">
      <c r="B1008" s="39">
        <f t="shared" si="6"/>
      </c>
      <c r="C1008" s="40">
        <f>IF(Inputs!$C$60,Inputs!$C$11+(B1008-Inputs!$C$69)/Inputs!$C$70,"")</f>
      </c>
      <c r="D1008" s="15"/>
      <c r="E1008" s="15"/>
      <c r="F1008" s="11">
        <f t="shared" si="7"/>
      </c>
      <c r="G1008" s="22" cm="1">
        <f t="array" ref="G1008">IF(AND(Inputs!$C$60,Inputs!$C$61),INDEX(Utility_Rates!$C$29:$F$52,HOUR(C1008)+Inputs!$C$69,MATCH(INDEX(Utility_Rates!$K$6:$K$17,MONTH(C1008))&amp;IF(WEEKDAY(C1008,Inputs!$C$76)&lt;=Inputs!$C$74," weekday"," weekend"),Utility_Rates!$C$28:$F$28,Inputs!$C$68)),"")</f>
      </c>
      <c r="H1008" s="34"/>
      <c r="I1008" s="42">
        <f>IF(AND(ISNUMBER(D1008),ISNUMBER(H1008)),D1008*H1008*Inputs!$C$69,"")</f>
      </c>
      <c r="J1008" s="42">
        <f>IF(AND(ISNUMBER(F1008),ISNUMBER(H1008),F1008&gt;=Inputs!$C$68),F1008*H1008*Inputs!$C$69,"")</f>
      </c>
    </row>
    <row r="1009" spans="2:10" ht="15" customHeight="1" x14ac:dyDescent="0.2">
      <c r="B1009" s="39">
        <f t="shared" si="6"/>
      </c>
      <c r="C1009" s="40">
        <f>IF(Inputs!$C$60,Inputs!$C$11+(B1009-Inputs!$C$69)/Inputs!$C$70,"")</f>
      </c>
      <c r="D1009" s="15"/>
      <c r="E1009" s="15"/>
      <c r="F1009" s="11">
        <f t="shared" si="7"/>
      </c>
      <c r="G1009" s="22" cm="1">
        <f t="array" ref="G1009">IF(AND(Inputs!$C$60,Inputs!$C$61),INDEX(Utility_Rates!$C$29:$F$52,HOUR(C1009)+Inputs!$C$69,MATCH(INDEX(Utility_Rates!$K$6:$K$17,MONTH(C1009))&amp;IF(WEEKDAY(C1009,Inputs!$C$76)&lt;=Inputs!$C$74," weekday"," weekend"),Utility_Rates!$C$28:$F$28,Inputs!$C$68)),"")</f>
      </c>
      <c r="H1009" s="34"/>
      <c r="I1009" s="42">
        <f>IF(AND(ISNUMBER(D1009),ISNUMBER(H1009)),D1009*H1009*Inputs!$C$69,"")</f>
      </c>
      <c r="J1009" s="42">
        <f>IF(AND(ISNUMBER(F1009),ISNUMBER(H1009),F1009&gt;=Inputs!$C$68),F1009*H1009*Inputs!$C$69,"")</f>
      </c>
    </row>
    <row r="1010" spans="2:10" ht="15" customHeight="1" x14ac:dyDescent="0.2">
      <c r="B1010" s="39">
        <f t="shared" si="6"/>
      </c>
      <c r="C1010" s="40">
        <f>IF(Inputs!$C$60,Inputs!$C$11+(B1010-Inputs!$C$69)/Inputs!$C$70,"")</f>
      </c>
      <c r="D1010" s="15"/>
      <c r="E1010" s="15"/>
      <c r="F1010" s="11">
        <f t="shared" si="7"/>
      </c>
      <c r="G1010" s="22" cm="1">
        <f t="array" ref="G1010">IF(AND(Inputs!$C$60,Inputs!$C$61),INDEX(Utility_Rates!$C$29:$F$52,HOUR(C1010)+Inputs!$C$69,MATCH(INDEX(Utility_Rates!$K$6:$K$17,MONTH(C1010))&amp;IF(WEEKDAY(C1010,Inputs!$C$76)&lt;=Inputs!$C$74," weekday"," weekend"),Utility_Rates!$C$28:$F$28,Inputs!$C$68)),"")</f>
      </c>
      <c r="H1010" s="34"/>
      <c r="I1010" s="42">
        <f>IF(AND(ISNUMBER(D1010),ISNUMBER(H1010)),D1010*H1010*Inputs!$C$69,"")</f>
      </c>
      <c r="J1010" s="42">
        <f>IF(AND(ISNUMBER(F1010),ISNUMBER(H1010),F1010&gt;=Inputs!$C$68),F1010*H1010*Inputs!$C$69,"")</f>
      </c>
    </row>
    <row r="1011" spans="2:10" ht="15" customHeight="1" x14ac:dyDescent="0.2">
      <c r="B1011" s="39">
        <f t="shared" si="6"/>
      </c>
      <c r="C1011" s="40">
        <f>IF(Inputs!$C$60,Inputs!$C$11+(B1011-Inputs!$C$69)/Inputs!$C$70,"")</f>
      </c>
      <c r="D1011" s="15"/>
      <c r="E1011" s="15"/>
      <c r="F1011" s="11">
        <f t="shared" si="7"/>
      </c>
      <c r="G1011" s="22" cm="1">
        <f t="array" ref="G1011">IF(AND(Inputs!$C$60,Inputs!$C$61),INDEX(Utility_Rates!$C$29:$F$52,HOUR(C1011)+Inputs!$C$69,MATCH(INDEX(Utility_Rates!$K$6:$K$17,MONTH(C1011))&amp;IF(WEEKDAY(C1011,Inputs!$C$76)&lt;=Inputs!$C$74," weekday"," weekend"),Utility_Rates!$C$28:$F$28,Inputs!$C$68)),"")</f>
      </c>
      <c r="H1011" s="34"/>
      <c r="I1011" s="42">
        <f>IF(AND(ISNUMBER(D1011),ISNUMBER(H1011)),D1011*H1011*Inputs!$C$69,"")</f>
      </c>
      <c r="J1011" s="42">
        <f>IF(AND(ISNUMBER(F1011),ISNUMBER(H1011),F1011&gt;=Inputs!$C$68),F1011*H1011*Inputs!$C$69,"")</f>
      </c>
    </row>
    <row r="1012" spans="2:10" ht="15" customHeight="1" x14ac:dyDescent="0.2">
      <c r="B1012" s="39">
        <f t="shared" si="6"/>
      </c>
      <c r="C1012" s="40">
        <f>IF(Inputs!$C$60,Inputs!$C$11+(B1012-Inputs!$C$69)/Inputs!$C$70,"")</f>
      </c>
      <c r="D1012" s="15"/>
      <c r="E1012" s="15"/>
      <c r="F1012" s="11">
        <f t="shared" si="7"/>
      </c>
      <c r="G1012" s="22" cm="1">
        <f t="array" ref="G1012">IF(AND(Inputs!$C$60,Inputs!$C$61),INDEX(Utility_Rates!$C$29:$F$52,HOUR(C1012)+Inputs!$C$69,MATCH(INDEX(Utility_Rates!$K$6:$K$17,MONTH(C1012))&amp;IF(WEEKDAY(C1012,Inputs!$C$76)&lt;=Inputs!$C$74," weekday"," weekend"),Utility_Rates!$C$28:$F$28,Inputs!$C$68)),"")</f>
      </c>
      <c r="H1012" s="34"/>
      <c r="I1012" s="42">
        <f>IF(AND(ISNUMBER(D1012),ISNUMBER(H1012)),D1012*H1012*Inputs!$C$69,"")</f>
      </c>
      <c r="J1012" s="42">
        <f>IF(AND(ISNUMBER(F1012),ISNUMBER(H1012),F1012&gt;=Inputs!$C$68),F1012*H1012*Inputs!$C$69,"")</f>
      </c>
    </row>
    <row r="1013" spans="2:10" ht="15" customHeight="1" x14ac:dyDescent="0.2">
      <c r="B1013" s="39">
        <f t="shared" si="6"/>
      </c>
      <c r="C1013" s="40">
        <f>IF(Inputs!$C$60,Inputs!$C$11+(B1013-Inputs!$C$69)/Inputs!$C$70,"")</f>
      </c>
      <c r="D1013" s="15"/>
      <c r="E1013" s="15"/>
      <c r="F1013" s="11">
        <f t="shared" si="7"/>
      </c>
      <c r="G1013" s="22" cm="1">
        <f t="array" ref="G1013">IF(AND(Inputs!$C$60,Inputs!$C$61),INDEX(Utility_Rates!$C$29:$F$52,HOUR(C1013)+Inputs!$C$69,MATCH(INDEX(Utility_Rates!$K$6:$K$17,MONTH(C1013))&amp;IF(WEEKDAY(C1013,Inputs!$C$76)&lt;=Inputs!$C$74," weekday"," weekend"),Utility_Rates!$C$28:$F$28,Inputs!$C$68)),"")</f>
      </c>
      <c r="H1013" s="34"/>
      <c r="I1013" s="42">
        <f>IF(AND(ISNUMBER(D1013),ISNUMBER(H1013)),D1013*H1013*Inputs!$C$69,"")</f>
      </c>
      <c r="J1013" s="42">
        <f>IF(AND(ISNUMBER(F1013),ISNUMBER(H1013),F1013&gt;=Inputs!$C$68),F1013*H1013*Inputs!$C$69,"")</f>
      </c>
    </row>
    <row r="1014" spans="2:10" ht="15" customHeight="1" x14ac:dyDescent="0.2">
      <c r="B1014" s="39">
        <f t="shared" si="6"/>
      </c>
      <c r="C1014" s="40">
        <f>IF(Inputs!$C$60,Inputs!$C$11+(B1014-Inputs!$C$69)/Inputs!$C$70,"")</f>
      </c>
      <c r="D1014" s="15"/>
      <c r="E1014" s="15"/>
      <c r="F1014" s="11">
        <f t="shared" si="7"/>
      </c>
      <c r="G1014" s="22" cm="1">
        <f t="array" ref="G1014">IF(AND(Inputs!$C$60,Inputs!$C$61),INDEX(Utility_Rates!$C$29:$F$52,HOUR(C1014)+Inputs!$C$69,MATCH(INDEX(Utility_Rates!$K$6:$K$17,MONTH(C1014))&amp;IF(WEEKDAY(C1014,Inputs!$C$76)&lt;=Inputs!$C$74," weekday"," weekend"),Utility_Rates!$C$28:$F$28,Inputs!$C$68)),"")</f>
      </c>
      <c r="H1014" s="34"/>
      <c r="I1014" s="42">
        <f>IF(AND(ISNUMBER(D1014),ISNUMBER(H1014)),D1014*H1014*Inputs!$C$69,"")</f>
      </c>
      <c r="J1014" s="42">
        <f>IF(AND(ISNUMBER(F1014),ISNUMBER(H1014),F1014&gt;=Inputs!$C$68),F1014*H1014*Inputs!$C$69,"")</f>
      </c>
    </row>
    <row r="1015" spans="2:10" ht="15" customHeight="1" x14ac:dyDescent="0.2">
      <c r="B1015" s="39">
        <f t="shared" si="6"/>
      </c>
      <c r="C1015" s="40">
        <f>IF(Inputs!$C$60,Inputs!$C$11+(B1015-Inputs!$C$69)/Inputs!$C$70,"")</f>
      </c>
      <c r="D1015" s="15"/>
      <c r="E1015" s="15"/>
      <c r="F1015" s="11">
        <f t="shared" si="7"/>
      </c>
      <c r="G1015" s="22" cm="1">
        <f t="array" ref="G1015">IF(AND(Inputs!$C$60,Inputs!$C$61),INDEX(Utility_Rates!$C$29:$F$52,HOUR(C1015)+Inputs!$C$69,MATCH(INDEX(Utility_Rates!$K$6:$K$17,MONTH(C1015))&amp;IF(WEEKDAY(C1015,Inputs!$C$76)&lt;=Inputs!$C$74," weekday"," weekend"),Utility_Rates!$C$28:$F$28,Inputs!$C$68)),"")</f>
      </c>
      <c r="H1015" s="34"/>
      <c r="I1015" s="42">
        <f>IF(AND(ISNUMBER(D1015),ISNUMBER(H1015)),D1015*H1015*Inputs!$C$69,"")</f>
      </c>
      <c r="J1015" s="42">
        <f>IF(AND(ISNUMBER(F1015),ISNUMBER(H1015),F1015&gt;=Inputs!$C$68),F1015*H1015*Inputs!$C$69,"")</f>
      </c>
    </row>
    <row r="1016" spans="2:10" ht="15" customHeight="1" x14ac:dyDescent="0.2">
      <c r="B1016" s="39">
        <f t="shared" si="6"/>
      </c>
      <c r="C1016" s="40">
        <f>IF(Inputs!$C$60,Inputs!$C$11+(B1016-Inputs!$C$69)/Inputs!$C$70,"")</f>
      </c>
      <c r="D1016" s="15"/>
      <c r="E1016" s="15"/>
      <c r="F1016" s="11">
        <f t="shared" si="7"/>
      </c>
      <c r="G1016" s="22" cm="1">
        <f t="array" ref="G1016">IF(AND(Inputs!$C$60,Inputs!$C$61),INDEX(Utility_Rates!$C$29:$F$52,HOUR(C1016)+Inputs!$C$69,MATCH(INDEX(Utility_Rates!$K$6:$K$17,MONTH(C1016))&amp;IF(WEEKDAY(C1016,Inputs!$C$76)&lt;=Inputs!$C$74," weekday"," weekend"),Utility_Rates!$C$28:$F$28,Inputs!$C$68)),"")</f>
      </c>
      <c r="H1016" s="34"/>
      <c r="I1016" s="42">
        <f>IF(AND(ISNUMBER(D1016),ISNUMBER(H1016)),D1016*H1016*Inputs!$C$69,"")</f>
      </c>
      <c r="J1016" s="42">
        <f>IF(AND(ISNUMBER(F1016),ISNUMBER(H1016),F1016&gt;=Inputs!$C$68),F1016*H1016*Inputs!$C$69,"")</f>
      </c>
    </row>
    <row r="1017" spans="2:10" ht="15" customHeight="1" x14ac:dyDescent="0.2">
      <c r="B1017" s="39">
        <f t="shared" si="6"/>
      </c>
      <c r="C1017" s="40">
        <f>IF(Inputs!$C$60,Inputs!$C$11+(B1017-Inputs!$C$69)/Inputs!$C$70,"")</f>
      </c>
      <c r="D1017" s="15"/>
      <c r="E1017" s="15"/>
      <c r="F1017" s="11">
        <f t="shared" si="7"/>
      </c>
      <c r="G1017" s="22" cm="1">
        <f t="array" ref="G1017">IF(AND(Inputs!$C$60,Inputs!$C$61),INDEX(Utility_Rates!$C$29:$F$52,HOUR(C1017)+Inputs!$C$69,MATCH(INDEX(Utility_Rates!$K$6:$K$17,MONTH(C1017))&amp;IF(WEEKDAY(C1017,Inputs!$C$76)&lt;=Inputs!$C$74," weekday"," weekend"),Utility_Rates!$C$28:$F$28,Inputs!$C$68)),"")</f>
      </c>
      <c r="H1017" s="34"/>
      <c r="I1017" s="42">
        <f>IF(AND(ISNUMBER(D1017),ISNUMBER(H1017)),D1017*H1017*Inputs!$C$69,"")</f>
      </c>
      <c r="J1017" s="42">
        <f>IF(AND(ISNUMBER(F1017),ISNUMBER(H1017),F1017&gt;=Inputs!$C$68),F1017*H1017*Inputs!$C$69,"")</f>
      </c>
    </row>
    <row r="1018" spans="2:10" ht="15" customHeight="1" x14ac:dyDescent="0.2">
      <c r="B1018" s="39">
        <f t="shared" si="6"/>
      </c>
      <c r="C1018" s="40">
        <f>IF(Inputs!$C$60,Inputs!$C$11+(B1018-Inputs!$C$69)/Inputs!$C$70,"")</f>
      </c>
      <c r="D1018" s="15"/>
      <c r="E1018" s="15"/>
      <c r="F1018" s="11">
        <f t="shared" si="7"/>
      </c>
      <c r="G1018" s="22" cm="1">
        <f t="array" ref="G1018">IF(AND(Inputs!$C$60,Inputs!$C$61),INDEX(Utility_Rates!$C$29:$F$52,HOUR(C1018)+Inputs!$C$69,MATCH(INDEX(Utility_Rates!$K$6:$K$17,MONTH(C1018))&amp;IF(WEEKDAY(C1018,Inputs!$C$76)&lt;=Inputs!$C$74," weekday"," weekend"),Utility_Rates!$C$28:$F$28,Inputs!$C$68)),"")</f>
      </c>
      <c r="H1018" s="34"/>
      <c r="I1018" s="42">
        <f>IF(AND(ISNUMBER(D1018),ISNUMBER(H1018)),D1018*H1018*Inputs!$C$69,"")</f>
      </c>
      <c r="J1018" s="42">
        <f>IF(AND(ISNUMBER(F1018),ISNUMBER(H1018),F1018&gt;=Inputs!$C$68),F1018*H1018*Inputs!$C$69,"")</f>
      </c>
    </row>
    <row r="1019" spans="2:10" ht="15" customHeight="1" x14ac:dyDescent="0.2">
      <c r="B1019" s="39">
        <f t="shared" si="6"/>
      </c>
      <c r="C1019" s="40">
        <f>IF(Inputs!$C$60,Inputs!$C$11+(B1019-Inputs!$C$69)/Inputs!$C$70,"")</f>
      </c>
      <c r="D1019" s="15"/>
      <c r="E1019" s="15"/>
      <c r="F1019" s="11">
        <f t="shared" si="7"/>
      </c>
      <c r="G1019" s="22" cm="1">
        <f t="array" ref="G1019">IF(AND(Inputs!$C$60,Inputs!$C$61),INDEX(Utility_Rates!$C$29:$F$52,HOUR(C1019)+Inputs!$C$69,MATCH(INDEX(Utility_Rates!$K$6:$K$17,MONTH(C1019))&amp;IF(WEEKDAY(C1019,Inputs!$C$76)&lt;=Inputs!$C$74," weekday"," weekend"),Utility_Rates!$C$28:$F$28,Inputs!$C$68)),"")</f>
      </c>
      <c r="H1019" s="34"/>
      <c r="I1019" s="42">
        <f>IF(AND(ISNUMBER(D1019),ISNUMBER(H1019)),D1019*H1019*Inputs!$C$69,"")</f>
      </c>
      <c r="J1019" s="42">
        <f>IF(AND(ISNUMBER(F1019),ISNUMBER(H1019),F1019&gt;=Inputs!$C$68),F1019*H1019*Inputs!$C$69,"")</f>
      </c>
    </row>
    <row r="1020" spans="2:10" ht="15" customHeight="1" x14ac:dyDescent="0.2">
      <c r="B1020" s="39">
        <f t="shared" si="6"/>
      </c>
      <c r="C1020" s="40">
        <f>IF(Inputs!$C$60,Inputs!$C$11+(B1020-Inputs!$C$69)/Inputs!$C$70,"")</f>
      </c>
      <c r="D1020" s="15"/>
      <c r="E1020" s="15"/>
      <c r="F1020" s="11">
        <f t="shared" si="7"/>
      </c>
      <c r="G1020" s="22" cm="1">
        <f t="array" ref="G1020">IF(AND(Inputs!$C$60,Inputs!$C$61),INDEX(Utility_Rates!$C$29:$F$52,HOUR(C1020)+Inputs!$C$69,MATCH(INDEX(Utility_Rates!$K$6:$K$17,MONTH(C1020))&amp;IF(WEEKDAY(C1020,Inputs!$C$76)&lt;=Inputs!$C$74," weekday"," weekend"),Utility_Rates!$C$28:$F$28,Inputs!$C$68)),"")</f>
      </c>
      <c r="H1020" s="34"/>
      <c r="I1020" s="42">
        <f>IF(AND(ISNUMBER(D1020),ISNUMBER(H1020)),D1020*H1020*Inputs!$C$69,"")</f>
      </c>
      <c r="J1020" s="42">
        <f>IF(AND(ISNUMBER(F1020),ISNUMBER(H1020),F1020&gt;=Inputs!$C$68),F1020*H1020*Inputs!$C$69,"")</f>
      </c>
    </row>
    <row r="1021" spans="2:10" ht="15" customHeight="1" x14ac:dyDescent="0.2">
      <c r="B1021" s="39">
        <f t="shared" si="6"/>
      </c>
      <c r="C1021" s="40">
        <f>IF(Inputs!$C$60,Inputs!$C$11+(B1021-Inputs!$C$69)/Inputs!$C$70,"")</f>
      </c>
      <c r="D1021" s="15"/>
      <c r="E1021" s="15"/>
      <c r="F1021" s="11">
        <f t="shared" si="7"/>
      </c>
      <c r="G1021" s="22" cm="1">
        <f t="array" ref="G1021">IF(AND(Inputs!$C$60,Inputs!$C$61),INDEX(Utility_Rates!$C$29:$F$52,HOUR(C1021)+Inputs!$C$69,MATCH(INDEX(Utility_Rates!$K$6:$K$17,MONTH(C1021))&amp;IF(WEEKDAY(C1021,Inputs!$C$76)&lt;=Inputs!$C$74," weekday"," weekend"),Utility_Rates!$C$28:$F$28,Inputs!$C$68)),"")</f>
      </c>
      <c r="H1021" s="34"/>
      <c r="I1021" s="42">
        <f>IF(AND(ISNUMBER(D1021),ISNUMBER(H1021)),D1021*H1021*Inputs!$C$69,"")</f>
      </c>
      <c r="J1021" s="42">
        <f>IF(AND(ISNUMBER(F1021),ISNUMBER(H1021),F1021&gt;=Inputs!$C$68),F1021*H1021*Inputs!$C$69,"")</f>
      </c>
    </row>
    <row r="1022" spans="2:10" ht="15" customHeight="1" x14ac:dyDescent="0.2">
      <c r="B1022" s="39">
        <f t="shared" si="6"/>
      </c>
      <c r="C1022" s="40">
        <f>IF(Inputs!$C$60,Inputs!$C$11+(B1022-Inputs!$C$69)/Inputs!$C$70,"")</f>
      </c>
      <c r="D1022" s="15"/>
      <c r="E1022" s="15"/>
      <c r="F1022" s="11">
        <f t="shared" si="7"/>
      </c>
      <c r="G1022" s="22" cm="1">
        <f t="array" ref="G1022">IF(AND(Inputs!$C$60,Inputs!$C$61),INDEX(Utility_Rates!$C$29:$F$52,HOUR(C1022)+Inputs!$C$69,MATCH(INDEX(Utility_Rates!$K$6:$K$17,MONTH(C1022))&amp;IF(WEEKDAY(C1022,Inputs!$C$76)&lt;=Inputs!$C$74," weekday"," weekend"),Utility_Rates!$C$28:$F$28,Inputs!$C$68)),"")</f>
      </c>
      <c r="H1022" s="34"/>
      <c r="I1022" s="42">
        <f>IF(AND(ISNUMBER(D1022),ISNUMBER(H1022)),D1022*H1022*Inputs!$C$69,"")</f>
      </c>
      <c r="J1022" s="42">
        <f>IF(AND(ISNUMBER(F1022),ISNUMBER(H1022),F1022&gt;=Inputs!$C$68),F1022*H1022*Inputs!$C$69,"")</f>
      </c>
    </row>
    <row r="1023" spans="2:10" ht="15" customHeight="1" x14ac:dyDescent="0.2">
      <c r="B1023" s="39">
        <f t="shared" si="6"/>
      </c>
      <c r="C1023" s="40">
        <f>IF(Inputs!$C$60,Inputs!$C$11+(B1023-Inputs!$C$69)/Inputs!$C$70,"")</f>
      </c>
      <c r="D1023" s="15"/>
      <c r="E1023" s="15"/>
      <c r="F1023" s="11">
        <f t="shared" si="7"/>
      </c>
      <c r="G1023" s="22" cm="1">
        <f t="array" ref="G1023">IF(AND(Inputs!$C$60,Inputs!$C$61),INDEX(Utility_Rates!$C$29:$F$52,HOUR(C1023)+Inputs!$C$69,MATCH(INDEX(Utility_Rates!$K$6:$K$17,MONTH(C1023))&amp;IF(WEEKDAY(C1023,Inputs!$C$76)&lt;=Inputs!$C$74," weekday"," weekend"),Utility_Rates!$C$28:$F$28,Inputs!$C$68)),"")</f>
      </c>
      <c r="H1023" s="34"/>
      <c r="I1023" s="42">
        <f>IF(AND(ISNUMBER(D1023),ISNUMBER(H1023)),D1023*H1023*Inputs!$C$69,"")</f>
      </c>
      <c r="J1023" s="42">
        <f>IF(AND(ISNUMBER(F1023),ISNUMBER(H1023),F1023&gt;=Inputs!$C$68),F1023*H1023*Inputs!$C$69,"")</f>
      </c>
    </row>
    <row r="1024" spans="2:10" ht="15" customHeight="1" x14ac:dyDescent="0.2">
      <c r="B1024" s="39">
        <f t="shared" si="6"/>
      </c>
      <c r="C1024" s="40">
        <f>IF(Inputs!$C$60,Inputs!$C$11+(B1024-Inputs!$C$69)/Inputs!$C$70,"")</f>
      </c>
      <c r="D1024" s="15"/>
      <c r="E1024" s="15"/>
      <c r="F1024" s="11">
        <f t="shared" si="7"/>
      </c>
      <c r="G1024" s="22" cm="1">
        <f t="array" ref="G1024">IF(AND(Inputs!$C$60,Inputs!$C$61),INDEX(Utility_Rates!$C$29:$F$52,HOUR(C1024)+Inputs!$C$69,MATCH(INDEX(Utility_Rates!$K$6:$K$17,MONTH(C1024))&amp;IF(WEEKDAY(C1024,Inputs!$C$76)&lt;=Inputs!$C$74," weekday"," weekend"),Utility_Rates!$C$28:$F$28,Inputs!$C$68)),"")</f>
      </c>
      <c r="H1024" s="34"/>
      <c r="I1024" s="42">
        <f>IF(AND(ISNUMBER(D1024),ISNUMBER(H1024)),D1024*H1024*Inputs!$C$69,"")</f>
      </c>
      <c r="J1024" s="42">
        <f>IF(AND(ISNUMBER(F1024),ISNUMBER(H1024),F1024&gt;=Inputs!$C$68),F1024*H1024*Inputs!$C$69,"")</f>
      </c>
    </row>
    <row r="1025" spans="2:10" ht="15" customHeight="1" x14ac:dyDescent="0.2">
      <c r="B1025" s="39">
        <f t="shared" si="6"/>
      </c>
      <c r="C1025" s="40">
        <f>IF(Inputs!$C$60,Inputs!$C$11+(B1025-Inputs!$C$69)/Inputs!$C$70,"")</f>
      </c>
      <c r="D1025" s="15"/>
      <c r="E1025" s="15"/>
      <c r="F1025" s="11">
        <f t="shared" si="7"/>
      </c>
      <c r="G1025" s="22" cm="1">
        <f t="array" ref="G1025">IF(AND(Inputs!$C$60,Inputs!$C$61),INDEX(Utility_Rates!$C$29:$F$52,HOUR(C1025)+Inputs!$C$69,MATCH(INDEX(Utility_Rates!$K$6:$K$17,MONTH(C1025))&amp;IF(WEEKDAY(C1025,Inputs!$C$76)&lt;=Inputs!$C$74," weekday"," weekend"),Utility_Rates!$C$28:$F$28,Inputs!$C$68)),"")</f>
      </c>
      <c r="H1025" s="34"/>
      <c r="I1025" s="42">
        <f>IF(AND(ISNUMBER(D1025),ISNUMBER(H1025)),D1025*H1025*Inputs!$C$69,"")</f>
      </c>
      <c r="J1025" s="42">
        <f>IF(AND(ISNUMBER(F1025),ISNUMBER(H1025),F1025&gt;=Inputs!$C$68),F1025*H1025*Inputs!$C$69,"")</f>
      </c>
    </row>
    <row r="1026" spans="2:10" ht="15" customHeight="1" x14ac:dyDescent="0.2">
      <c r="B1026" s="39">
        <f t="shared" ref="B1026:B1280" si="8">ROW()-ROW($B$5)</f>
      </c>
      <c r="C1026" s="40">
        <f>IF(Inputs!$C$60,Inputs!$C$11+(B1026-Inputs!$C$69)/Inputs!$C$70,"")</f>
      </c>
      <c r="D1026" s="15"/>
      <c r="E1026" s="15"/>
      <c r="F1026" s="11">
        <f t="shared" ref="F1026:F1280" si="9">IF(COUNT(D1026:E1026)=COLUMNS(D1026:E1026),D1026-E1026,"")</f>
      </c>
      <c r="G1026" s="22" cm="1">
        <f t="array" ref="G1026">IF(AND(Inputs!$C$60,Inputs!$C$61),INDEX(Utility_Rates!$C$29:$F$52,HOUR(C1026)+Inputs!$C$69,MATCH(INDEX(Utility_Rates!$K$6:$K$17,MONTH(C1026))&amp;IF(WEEKDAY(C1026,Inputs!$C$76)&lt;=Inputs!$C$74," weekday"," weekend"),Utility_Rates!$C$28:$F$28,Inputs!$C$68)),"")</f>
      </c>
      <c r="H1026" s="34"/>
      <c r="I1026" s="42">
        <f>IF(AND(ISNUMBER(D1026),ISNUMBER(H1026)),D1026*H1026*Inputs!$C$69,"")</f>
      </c>
      <c r="J1026" s="42">
        <f>IF(AND(ISNUMBER(F1026),ISNUMBER(H1026),F1026&gt;=Inputs!$C$68),F1026*H1026*Inputs!$C$69,"")</f>
      </c>
    </row>
    <row r="1027" spans="2:10" ht="15" customHeight="1" x14ac:dyDescent="0.2">
      <c r="B1027" s="39">
        <f t="shared" si="8"/>
      </c>
      <c r="C1027" s="40">
        <f>IF(Inputs!$C$60,Inputs!$C$11+(B1027-Inputs!$C$69)/Inputs!$C$70,"")</f>
      </c>
      <c r="D1027" s="15"/>
      <c r="E1027" s="15"/>
      <c r="F1027" s="11">
        <f t="shared" si="9"/>
      </c>
      <c r="G1027" s="22" cm="1">
        <f t="array" ref="G1027">IF(AND(Inputs!$C$60,Inputs!$C$61),INDEX(Utility_Rates!$C$29:$F$52,HOUR(C1027)+Inputs!$C$69,MATCH(INDEX(Utility_Rates!$K$6:$K$17,MONTH(C1027))&amp;IF(WEEKDAY(C1027,Inputs!$C$76)&lt;=Inputs!$C$74," weekday"," weekend"),Utility_Rates!$C$28:$F$28,Inputs!$C$68)),"")</f>
      </c>
      <c r="H1027" s="34"/>
      <c r="I1027" s="42">
        <f>IF(AND(ISNUMBER(D1027),ISNUMBER(H1027)),D1027*H1027*Inputs!$C$69,"")</f>
      </c>
      <c r="J1027" s="42">
        <f>IF(AND(ISNUMBER(F1027),ISNUMBER(H1027),F1027&gt;=Inputs!$C$68),F1027*H1027*Inputs!$C$69,"")</f>
      </c>
    </row>
    <row r="1028" spans="2:10" ht="15" customHeight="1" x14ac:dyDescent="0.2">
      <c r="B1028" s="39">
        <f t="shared" si="8"/>
      </c>
      <c r="C1028" s="40">
        <f>IF(Inputs!$C$60,Inputs!$C$11+(B1028-Inputs!$C$69)/Inputs!$C$70,"")</f>
      </c>
      <c r="D1028" s="15"/>
      <c r="E1028" s="15"/>
      <c r="F1028" s="11">
        <f t="shared" si="9"/>
      </c>
      <c r="G1028" s="22" cm="1">
        <f t="array" ref="G1028">IF(AND(Inputs!$C$60,Inputs!$C$61),INDEX(Utility_Rates!$C$29:$F$52,HOUR(C1028)+Inputs!$C$69,MATCH(INDEX(Utility_Rates!$K$6:$K$17,MONTH(C1028))&amp;IF(WEEKDAY(C1028,Inputs!$C$76)&lt;=Inputs!$C$74," weekday"," weekend"),Utility_Rates!$C$28:$F$28,Inputs!$C$68)),"")</f>
      </c>
      <c r="H1028" s="34"/>
      <c r="I1028" s="42">
        <f>IF(AND(ISNUMBER(D1028),ISNUMBER(H1028)),D1028*H1028*Inputs!$C$69,"")</f>
      </c>
      <c r="J1028" s="42">
        <f>IF(AND(ISNUMBER(F1028),ISNUMBER(H1028),F1028&gt;=Inputs!$C$68),F1028*H1028*Inputs!$C$69,"")</f>
      </c>
    </row>
    <row r="1029" spans="2:10" ht="15" customHeight="1" x14ac:dyDescent="0.2">
      <c r="B1029" s="39">
        <f t="shared" si="8"/>
      </c>
      <c r="C1029" s="40">
        <f>IF(Inputs!$C$60,Inputs!$C$11+(B1029-Inputs!$C$69)/Inputs!$C$70,"")</f>
      </c>
      <c r="D1029" s="15"/>
      <c r="E1029" s="15"/>
      <c r="F1029" s="11">
        <f t="shared" si="9"/>
      </c>
      <c r="G1029" s="22" cm="1">
        <f t="array" ref="G1029">IF(AND(Inputs!$C$60,Inputs!$C$61),INDEX(Utility_Rates!$C$29:$F$52,HOUR(C1029)+Inputs!$C$69,MATCH(INDEX(Utility_Rates!$K$6:$K$17,MONTH(C1029))&amp;IF(WEEKDAY(C1029,Inputs!$C$76)&lt;=Inputs!$C$74," weekday"," weekend"),Utility_Rates!$C$28:$F$28,Inputs!$C$68)),"")</f>
      </c>
      <c r="H1029" s="34"/>
      <c r="I1029" s="42">
        <f>IF(AND(ISNUMBER(D1029),ISNUMBER(H1029)),D1029*H1029*Inputs!$C$69,"")</f>
      </c>
      <c r="J1029" s="42">
        <f>IF(AND(ISNUMBER(F1029),ISNUMBER(H1029),F1029&gt;=Inputs!$C$68),F1029*H1029*Inputs!$C$69,"")</f>
      </c>
    </row>
    <row r="1030" spans="2:10" ht="15" customHeight="1" x14ac:dyDescent="0.2">
      <c r="B1030" s="39">
        <f t="shared" si="8"/>
      </c>
      <c r="C1030" s="40">
        <f>IF(Inputs!$C$60,Inputs!$C$11+(B1030-Inputs!$C$69)/Inputs!$C$70,"")</f>
      </c>
      <c r="D1030" s="15"/>
      <c r="E1030" s="15"/>
      <c r="F1030" s="11">
        <f t="shared" si="9"/>
      </c>
      <c r="G1030" s="22" cm="1">
        <f t="array" ref="G1030">IF(AND(Inputs!$C$60,Inputs!$C$61),INDEX(Utility_Rates!$C$29:$F$52,HOUR(C1030)+Inputs!$C$69,MATCH(INDEX(Utility_Rates!$K$6:$K$17,MONTH(C1030))&amp;IF(WEEKDAY(C1030,Inputs!$C$76)&lt;=Inputs!$C$74," weekday"," weekend"),Utility_Rates!$C$28:$F$28,Inputs!$C$68)),"")</f>
      </c>
      <c r="H1030" s="34"/>
      <c r="I1030" s="42">
        <f>IF(AND(ISNUMBER(D1030),ISNUMBER(H1030)),D1030*H1030*Inputs!$C$69,"")</f>
      </c>
      <c r="J1030" s="42">
        <f>IF(AND(ISNUMBER(F1030),ISNUMBER(H1030),F1030&gt;=Inputs!$C$68),F1030*H1030*Inputs!$C$69,"")</f>
      </c>
    </row>
    <row r="1031" spans="2:10" ht="15" customHeight="1" x14ac:dyDescent="0.2">
      <c r="B1031" s="39">
        <f t="shared" si="8"/>
      </c>
      <c r="C1031" s="40">
        <f>IF(Inputs!$C$60,Inputs!$C$11+(B1031-Inputs!$C$69)/Inputs!$C$70,"")</f>
      </c>
      <c r="D1031" s="15"/>
      <c r="E1031" s="15"/>
      <c r="F1031" s="11">
        <f t="shared" si="9"/>
      </c>
      <c r="G1031" s="22" cm="1">
        <f t="array" ref="G1031">IF(AND(Inputs!$C$60,Inputs!$C$61),INDEX(Utility_Rates!$C$29:$F$52,HOUR(C1031)+Inputs!$C$69,MATCH(INDEX(Utility_Rates!$K$6:$K$17,MONTH(C1031))&amp;IF(WEEKDAY(C1031,Inputs!$C$76)&lt;=Inputs!$C$74," weekday"," weekend"),Utility_Rates!$C$28:$F$28,Inputs!$C$68)),"")</f>
      </c>
      <c r="H1031" s="34"/>
      <c r="I1031" s="42">
        <f>IF(AND(ISNUMBER(D1031),ISNUMBER(H1031)),D1031*H1031*Inputs!$C$69,"")</f>
      </c>
      <c r="J1031" s="42">
        <f>IF(AND(ISNUMBER(F1031),ISNUMBER(H1031),F1031&gt;=Inputs!$C$68),F1031*H1031*Inputs!$C$69,"")</f>
      </c>
    </row>
    <row r="1032" spans="2:10" ht="15" customHeight="1" x14ac:dyDescent="0.2">
      <c r="B1032" s="39">
        <f t="shared" si="8"/>
      </c>
      <c r="C1032" s="40">
        <f>IF(Inputs!$C$60,Inputs!$C$11+(B1032-Inputs!$C$69)/Inputs!$C$70,"")</f>
      </c>
      <c r="D1032" s="15"/>
      <c r="E1032" s="15"/>
      <c r="F1032" s="11">
        <f t="shared" si="9"/>
      </c>
      <c r="G1032" s="22" cm="1">
        <f t="array" ref="G1032">IF(AND(Inputs!$C$60,Inputs!$C$61),INDEX(Utility_Rates!$C$29:$F$52,HOUR(C1032)+Inputs!$C$69,MATCH(INDEX(Utility_Rates!$K$6:$K$17,MONTH(C1032))&amp;IF(WEEKDAY(C1032,Inputs!$C$76)&lt;=Inputs!$C$74," weekday"," weekend"),Utility_Rates!$C$28:$F$28,Inputs!$C$68)),"")</f>
      </c>
      <c r="H1032" s="34"/>
      <c r="I1032" s="42">
        <f>IF(AND(ISNUMBER(D1032),ISNUMBER(H1032)),D1032*H1032*Inputs!$C$69,"")</f>
      </c>
      <c r="J1032" s="42">
        <f>IF(AND(ISNUMBER(F1032),ISNUMBER(H1032),F1032&gt;=Inputs!$C$68),F1032*H1032*Inputs!$C$69,"")</f>
      </c>
    </row>
    <row r="1033" spans="2:10" ht="15" customHeight="1" x14ac:dyDescent="0.2">
      <c r="B1033" s="39">
        <f t="shared" si="8"/>
      </c>
      <c r="C1033" s="40">
        <f>IF(Inputs!$C$60,Inputs!$C$11+(B1033-Inputs!$C$69)/Inputs!$C$70,"")</f>
      </c>
      <c r="D1033" s="15"/>
      <c r="E1033" s="15"/>
      <c r="F1033" s="11">
        <f t="shared" si="9"/>
      </c>
      <c r="G1033" s="22" cm="1">
        <f t="array" ref="G1033">IF(AND(Inputs!$C$60,Inputs!$C$61),INDEX(Utility_Rates!$C$29:$F$52,HOUR(C1033)+Inputs!$C$69,MATCH(INDEX(Utility_Rates!$K$6:$K$17,MONTH(C1033))&amp;IF(WEEKDAY(C1033,Inputs!$C$76)&lt;=Inputs!$C$74," weekday"," weekend"),Utility_Rates!$C$28:$F$28,Inputs!$C$68)),"")</f>
      </c>
      <c r="H1033" s="34"/>
      <c r="I1033" s="42">
        <f>IF(AND(ISNUMBER(D1033),ISNUMBER(H1033)),D1033*H1033*Inputs!$C$69,"")</f>
      </c>
      <c r="J1033" s="42">
        <f>IF(AND(ISNUMBER(F1033),ISNUMBER(H1033),F1033&gt;=Inputs!$C$68),F1033*H1033*Inputs!$C$69,"")</f>
      </c>
    </row>
    <row r="1034" spans="2:10" ht="15" customHeight="1" x14ac:dyDescent="0.2">
      <c r="B1034" s="39">
        <f t="shared" si="8"/>
      </c>
      <c r="C1034" s="40">
        <f>IF(Inputs!$C$60,Inputs!$C$11+(B1034-Inputs!$C$69)/Inputs!$C$70,"")</f>
      </c>
      <c r="D1034" s="15"/>
      <c r="E1034" s="15"/>
      <c r="F1034" s="11">
        <f t="shared" si="9"/>
      </c>
      <c r="G1034" s="22" cm="1">
        <f t="array" ref="G1034">IF(AND(Inputs!$C$60,Inputs!$C$61),INDEX(Utility_Rates!$C$29:$F$52,HOUR(C1034)+Inputs!$C$69,MATCH(INDEX(Utility_Rates!$K$6:$K$17,MONTH(C1034))&amp;IF(WEEKDAY(C1034,Inputs!$C$76)&lt;=Inputs!$C$74," weekday"," weekend"),Utility_Rates!$C$28:$F$28,Inputs!$C$68)),"")</f>
      </c>
      <c r="H1034" s="34"/>
      <c r="I1034" s="42">
        <f>IF(AND(ISNUMBER(D1034),ISNUMBER(H1034)),D1034*H1034*Inputs!$C$69,"")</f>
      </c>
      <c r="J1034" s="42">
        <f>IF(AND(ISNUMBER(F1034),ISNUMBER(H1034),F1034&gt;=Inputs!$C$68),F1034*H1034*Inputs!$C$69,"")</f>
      </c>
    </row>
    <row r="1035" spans="2:10" ht="15" customHeight="1" x14ac:dyDescent="0.2">
      <c r="B1035" s="39">
        <f t="shared" si="8"/>
      </c>
      <c r="C1035" s="40">
        <f>IF(Inputs!$C$60,Inputs!$C$11+(B1035-Inputs!$C$69)/Inputs!$C$70,"")</f>
      </c>
      <c r="D1035" s="15"/>
      <c r="E1035" s="15"/>
      <c r="F1035" s="11">
        <f t="shared" si="9"/>
      </c>
      <c r="G1035" s="22" cm="1">
        <f t="array" ref="G1035">IF(AND(Inputs!$C$60,Inputs!$C$61),INDEX(Utility_Rates!$C$29:$F$52,HOUR(C1035)+Inputs!$C$69,MATCH(INDEX(Utility_Rates!$K$6:$K$17,MONTH(C1035))&amp;IF(WEEKDAY(C1035,Inputs!$C$76)&lt;=Inputs!$C$74," weekday"," weekend"),Utility_Rates!$C$28:$F$28,Inputs!$C$68)),"")</f>
      </c>
      <c r="H1035" s="34"/>
      <c r="I1035" s="42">
        <f>IF(AND(ISNUMBER(D1035),ISNUMBER(H1035)),D1035*H1035*Inputs!$C$69,"")</f>
      </c>
      <c r="J1035" s="42">
        <f>IF(AND(ISNUMBER(F1035),ISNUMBER(H1035),F1035&gt;=Inputs!$C$68),F1035*H1035*Inputs!$C$69,"")</f>
      </c>
    </row>
    <row r="1036" spans="2:10" ht="15" customHeight="1" x14ac:dyDescent="0.2">
      <c r="B1036" s="39">
        <f t="shared" si="8"/>
      </c>
      <c r="C1036" s="40">
        <f>IF(Inputs!$C$60,Inputs!$C$11+(B1036-Inputs!$C$69)/Inputs!$C$70,"")</f>
      </c>
      <c r="D1036" s="15"/>
      <c r="E1036" s="15"/>
      <c r="F1036" s="11">
        <f t="shared" si="9"/>
      </c>
      <c r="G1036" s="22" cm="1">
        <f t="array" ref="G1036">IF(AND(Inputs!$C$60,Inputs!$C$61),INDEX(Utility_Rates!$C$29:$F$52,HOUR(C1036)+Inputs!$C$69,MATCH(INDEX(Utility_Rates!$K$6:$K$17,MONTH(C1036))&amp;IF(WEEKDAY(C1036,Inputs!$C$76)&lt;=Inputs!$C$74," weekday"," weekend"),Utility_Rates!$C$28:$F$28,Inputs!$C$68)),"")</f>
      </c>
      <c r="H1036" s="34"/>
      <c r="I1036" s="42">
        <f>IF(AND(ISNUMBER(D1036),ISNUMBER(H1036)),D1036*H1036*Inputs!$C$69,"")</f>
      </c>
      <c r="J1036" s="42">
        <f>IF(AND(ISNUMBER(F1036),ISNUMBER(H1036),F1036&gt;=Inputs!$C$68),F1036*H1036*Inputs!$C$69,"")</f>
      </c>
    </row>
    <row r="1037" spans="2:10" ht="15" customHeight="1" x14ac:dyDescent="0.2">
      <c r="B1037" s="39">
        <f t="shared" si="8"/>
      </c>
      <c r="C1037" s="40">
        <f>IF(Inputs!$C$60,Inputs!$C$11+(B1037-Inputs!$C$69)/Inputs!$C$70,"")</f>
      </c>
      <c r="D1037" s="15"/>
      <c r="E1037" s="15"/>
      <c r="F1037" s="11">
        <f t="shared" si="9"/>
      </c>
      <c r="G1037" s="22" cm="1">
        <f t="array" ref="G1037">IF(AND(Inputs!$C$60,Inputs!$C$61),INDEX(Utility_Rates!$C$29:$F$52,HOUR(C1037)+Inputs!$C$69,MATCH(INDEX(Utility_Rates!$K$6:$K$17,MONTH(C1037))&amp;IF(WEEKDAY(C1037,Inputs!$C$76)&lt;=Inputs!$C$74," weekday"," weekend"),Utility_Rates!$C$28:$F$28,Inputs!$C$68)),"")</f>
      </c>
      <c r="H1037" s="34"/>
      <c r="I1037" s="42">
        <f>IF(AND(ISNUMBER(D1037),ISNUMBER(H1037)),D1037*H1037*Inputs!$C$69,"")</f>
      </c>
      <c r="J1037" s="42">
        <f>IF(AND(ISNUMBER(F1037),ISNUMBER(H1037),F1037&gt;=Inputs!$C$68),F1037*H1037*Inputs!$C$69,"")</f>
      </c>
    </row>
    <row r="1038" spans="2:10" ht="15" customHeight="1" x14ac:dyDescent="0.2">
      <c r="B1038" s="39">
        <f t="shared" si="8"/>
      </c>
      <c r="C1038" s="40">
        <f>IF(Inputs!$C$60,Inputs!$C$11+(B1038-Inputs!$C$69)/Inputs!$C$70,"")</f>
      </c>
      <c r="D1038" s="15"/>
      <c r="E1038" s="15"/>
      <c r="F1038" s="11">
        <f t="shared" si="9"/>
      </c>
      <c r="G1038" s="22" cm="1">
        <f t="array" ref="G1038">IF(AND(Inputs!$C$60,Inputs!$C$61),INDEX(Utility_Rates!$C$29:$F$52,HOUR(C1038)+Inputs!$C$69,MATCH(INDEX(Utility_Rates!$K$6:$K$17,MONTH(C1038))&amp;IF(WEEKDAY(C1038,Inputs!$C$76)&lt;=Inputs!$C$74," weekday"," weekend"),Utility_Rates!$C$28:$F$28,Inputs!$C$68)),"")</f>
      </c>
      <c r="H1038" s="34"/>
      <c r="I1038" s="42">
        <f>IF(AND(ISNUMBER(D1038),ISNUMBER(H1038)),D1038*H1038*Inputs!$C$69,"")</f>
      </c>
      <c r="J1038" s="42">
        <f>IF(AND(ISNUMBER(F1038),ISNUMBER(H1038),F1038&gt;=Inputs!$C$68),F1038*H1038*Inputs!$C$69,"")</f>
      </c>
    </row>
    <row r="1039" spans="2:10" ht="15" customHeight="1" x14ac:dyDescent="0.2">
      <c r="B1039" s="39">
        <f t="shared" si="8"/>
      </c>
      <c r="C1039" s="40">
        <f>IF(Inputs!$C$60,Inputs!$C$11+(B1039-Inputs!$C$69)/Inputs!$C$70,"")</f>
      </c>
      <c r="D1039" s="15"/>
      <c r="E1039" s="15"/>
      <c r="F1039" s="11">
        <f t="shared" si="9"/>
      </c>
      <c r="G1039" s="22" cm="1">
        <f t="array" ref="G1039">IF(AND(Inputs!$C$60,Inputs!$C$61),INDEX(Utility_Rates!$C$29:$F$52,HOUR(C1039)+Inputs!$C$69,MATCH(INDEX(Utility_Rates!$K$6:$K$17,MONTH(C1039))&amp;IF(WEEKDAY(C1039,Inputs!$C$76)&lt;=Inputs!$C$74," weekday"," weekend"),Utility_Rates!$C$28:$F$28,Inputs!$C$68)),"")</f>
      </c>
      <c r="H1039" s="34"/>
      <c r="I1039" s="42">
        <f>IF(AND(ISNUMBER(D1039),ISNUMBER(H1039)),D1039*H1039*Inputs!$C$69,"")</f>
      </c>
      <c r="J1039" s="42">
        <f>IF(AND(ISNUMBER(F1039),ISNUMBER(H1039),F1039&gt;=Inputs!$C$68),F1039*H1039*Inputs!$C$69,"")</f>
      </c>
    </row>
    <row r="1040" spans="2:10" ht="15" customHeight="1" x14ac:dyDescent="0.2">
      <c r="B1040" s="39">
        <f t="shared" si="8"/>
      </c>
      <c r="C1040" s="40">
        <f>IF(Inputs!$C$60,Inputs!$C$11+(B1040-Inputs!$C$69)/Inputs!$C$70,"")</f>
      </c>
      <c r="D1040" s="15"/>
      <c r="E1040" s="15"/>
      <c r="F1040" s="11">
        <f t="shared" si="9"/>
      </c>
      <c r="G1040" s="22" cm="1">
        <f t="array" ref="G1040">IF(AND(Inputs!$C$60,Inputs!$C$61),INDEX(Utility_Rates!$C$29:$F$52,HOUR(C1040)+Inputs!$C$69,MATCH(INDEX(Utility_Rates!$K$6:$K$17,MONTH(C1040))&amp;IF(WEEKDAY(C1040,Inputs!$C$76)&lt;=Inputs!$C$74," weekday"," weekend"),Utility_Rates!$C$28:$F$28,Inputs!$C$68)),"")</f>
      </c>
      <c r="H1040" s="34"/>
      <c r="I1040" s="42">
        <f>IF(AND(ISNUMBER(D1040),ISNUMBER(H1040)),D1040*H1040*Inputs!$C$69,"")</f>
      </c>
      <c r="J1040" s="42">
        <f>IF(AND(ISNUMBER(F1040),ISNUMBER(H1040),F1040&gt;=Inputs!$C$68),F1040*H1040*Inputs!$C$69,"")</f>
      </c>
    </row>
    <row r="1041" spans="2:10" ht="15" customHeight="1" x14ac:dyDescent="0.2">
      <c r="B1041" s="39">
        <f t="shared" si="8"/>
      </c>
      <c r="C1041" s="40">
        <f>IF(Inputs!$C$60,Inputs!$C$11+(B1041-Inputs!$C$69)/Inputs!$C$70,"")</f>
      </c>
      <c r="D1041" s="15"/>
      <c r="E1041" s="15"/>
      <c r="F1041" s="11">
        <f t="shared" si="9"/>
      </c>
      <c r="G1041" s="22" cm="1">
        <f t="array" ref="G1041">IF(AND(Inputs!$C$60,Inputs!$C$61),INDEX(Utility_Rates!$C$29:$F$52,HOUR(C1041)+Inputs!$C$69,MATCH(INDEX(Utility_Rates!$K$6:$K$17,MONTH(C1041))&amp;IF(WEEKDAY(C1041,Inputs!$C$76)&lt;=Inputs!$C$74," weekday"," weekend"),Utility_Rates!$C$28:$F$28,Inputs!$C$68)),"")</f>
      </c>
      <c r="H1041" s="34"/>
      <c r="I1041" s="42">
        <f>IF(AND(ISNUMBER(D1041),ISNUMBER(H1041)),D1041*H1041*Inputs!$C$69,"")</f>
      </c>
      <c r="J1041" s="42">
        <f>IF(AND(ISNUMBER(F1041),ISNUMBER(H1041),F1041&gt;=Inputs!$C$68),F1041*H1041*Inputs!$C$69,"")</f>
      </c>
    </row>
    <row r="1042" spans="2:10" ht="15" customHeight="1" x14ac:dyDescent="0.2">
      <c r="B1042" s="39">
        <f t="shared" si="8"/>
      </c>
      <c r="C1042" s="40">
        <f>IF(Inputs!$C$60,Inputs!$C$11+(B1042-Inputs!$C$69)/Inputs!$C$70,"")</f>
      </c>
      <c r="D1042" s="15"/>
      <c r="E1042" s="15"/>
      <c r="F1042" s="11">
        <f t="shared" si="9"/>
      </c>
      <c r="G1042" s="22" cm="1">
        <f t="array" ref="G1042">IF(AND(Inputs!$C$60,Inputs!$C$61),INDEX(Utility_Rates!$C$29:$F$52,HOUR(C1042)+Inputs!$C$69,MATCH(INDEX(Utility_Rates!$K$6:$K$17,MONTH(C1042))&amp;IF(WEEKDAY(C1042,Inputs!$C$76)&lt;=Inputs!$C$74," weekday"," weekend"),Utility_Rates!$C$28:$F$28,Inputs!$C$68)),"")</f>
      </c>
      <c r="H1042" s="34"/>
      <c r="I1042" s="42">
        <f>IF(AND(ISNUMBER(D1042),ISNUMBER(H1042)),D1042*H1042*Inputs!$C$69,"")</f>
      </c>
      <c r="J1042" s="42">
        <f>IF(AND(ISNUMBER(F1042),ISNUMBER(H1042),F1042&gt;=Inputs!$C$68),F1042*H1042*Inputs!$C$69,"")</f>
      </c>
    </row>
    <row r="1043" spans="2:10" ht="15" customHeight="1" x14ac:dyDescent="0.2">
      <c r="B1043" s="39">
        <f t="shared" si="8"/>
      </c>
      <c r="C1043" s="40">
        <f>IF(Inputs!$C$60,Inputs!$C$11+(B1043-Inputs!$C$69)/Inputs!$C$70,"")</f>
      </c>
      <c r="D1043" s="15"/>
      <c r="E1043" s="15"/>
      <c r="F1043" s="11">
        <f t="shared" si="9"/>
      </c>
      <c r="G1043" s="22" cm="1">
        <f t="array" ref="G1043">IF(AND(Inputs!$C$60,Inputs!$C$61),INDEX(Utility_Rates!$C$29:$F$52,HOUR(C1043)+Inputs!$C$69,MATCH(INDEX(Utility_Rates!$K$6:$K$17,MONTH(C1043))&amp;IF(WEEKDAY(C1043,Inputs!$C$76)&lt;=Inputs!$C$74," weekday"," weekend"),Utility_Rates!$C$28:$F$28,Inputs!$C$68)),"")</f>
      </c>
      <c r="H1043" s="34"/>
      <c r="I1043" s="42">
        <f>IF(AND(ISNUMBER(D1043),ISNUMBER(H1043)),D1043*H1043*Inputs!$C$69,"")</f>
      </c>
      <c r="J1043" s="42">
        <f>IF(AND(ISNUMBER(F1043),ISNUMBER(H1043),F1043&gt;=Inputs!$C$68),F1043*H1043*Inputs!$C$69,"")</f>
      </c>
    </row>
    <row r="1044" spans="2:10" ht="15" customHeight="1" x14ac:dyDescent="0.2">
      <c r="B1044" s="39">
        <f t="shared" si="8"/>
      </c>
      <c r="C1044" s="40">
        <f>IF(Inputs!$C$60,Inputs!$C$11+(B1044-Inputs!$C$69)/Inputs!$C$70,"")</f>
      </c>
      <c r="D1044" s="15"/>
      <c r="E1044" s="15"/>
      <c r="F1044" s="11">
        <f t="shared" si="9"/>
      </c>
      <c r="G1044" s="22" cm="1">
        <f t="array" ref="G1044">IF(AND(Inputs!$C$60,Inputs!$C$61),INDEX(Utility_Rates!$C$29:$F$52,HOUR(C1044)+Inputs!$C$69,MATCH(INDEX(Utility_Rates!$K$6:$K$17,MONTH(C1044))&amp;IF(WEEKDAY(C1044,Inputs!$C$76)&lt;=Inputs!$C$74," weekday"," weekend"),Utility_Rates!$C$28:$F$28,Inputs!$C$68)),"")</f>
      </c>
      <c r="H1044" s="34"/>
      <c r="I1044" s="42">
        <f>IF(AND(ISNUMBER(D1044),ISNUMBER(H1044)),D1044*H1044*Inputs!$C$69,"")</f>
      </c>
      <c r="J1044" s="42">
        <f>IF(AND(ISNUMBER(F1044),ISNUMBER(H1044),F1044&gt;=Inputs!$C$68),F1044*H1044*Inputs!$C$69,"")</f>
      </c>
    </row>
    <row r="1045" spans="2:10" ht="15" customHeight="1" x14ac:dyDescent="0.2">
      <c r="B1045" s="39">
        <f t="shared" si="8"/>
      </c>
      <c r="C1045" s="40">
        <f>IF(Inputs!$C$60,Inputs!$C$11+(B1045-Inputs!$C$69)/Inputs!$C$70,"")</f>
      </c>
      <c r="D1045" s="15"/>
      <c r="E1045" s="15"/>
      <c r="F1045" s="11">
        <f t="shared" si="9"/>
      </c>
      <c r="G1045" s="22" cm="1">
        <f t="array" ref="G1045">IF(AND(Inputs!$C$60,Inputs!$C$61),INDEX(Utility_Rates!$C$29:$F$52,HOUR(C1045)+Inputs!$C$69,MATCH(INDEX(Utility_Rates!$K$6:$K$17,MONTH(C1045))&amp;IF(WEEKDAY(C1045,Inputs!$C$76)&lt;=Inputs!$C$74," weekday"," weekend"),Utility_Rates!$C$28:$F$28,Inputs!$C$68)),"")</f>
      </c>
      <c r="H1045" s="34"/>
      <c r="I1045" s="42">
        <f>IF(AND(ISNUMBER(D1045),ISNUMBER(H1045)),D1045*H1045*Inputs!$C$69,"")</f>
      </c>
      <c r="J1045" s="42">
        <f>IF(AND(ISNUMBER(F1045),ISNUMBER(H1045),F1045&gt;=Inputs!$C$68),F1045*H1045*Inputs!$C$69,"")</f>
      </c>
    </row>
    <row r="1046" spans="2:10" ht="15" customHeight="1" x14ac:dyDescent="0.2">
      <c r="B1046" s="39">
        <f t="shared" si="8"/>
      </c>
      <c r="C1046" s="40">
        <f>IF(Inputs!$C$60,Inputs!$C$11+(B1046-Inputs!$C$69)/Inputs!$C$70,"")</f>
      </c>
      <c r="D1046" s="15"/>
      <c r="E1046" s="15"/>
      <c r="F1046" s="11">
        <f t="shared" si="9"/>
      </c>
      <c r="G1046" s="22" cm="1">
        <f t="array" ref="G1046">IF(AND(Inputs!$C$60,Inputs!$C$61),INDEX(Utility_Rates!$C$29:$F$52,HOUR(C1046)+Inputs!$C$69,MATCH(INDEX(Utility_Rates!$K$6:$K$17,MONTH(C1046))&amp;IF(WEEKDAY(C1046,Inputs!$C$76)&lt;=Inputs!$C$74," weekday"," weekend"),Utility_Rates!$C$28:$F$28,Inputs!$C$68)),"")</f>
      </c>
      <c r="H1046" s="34"/>
      <c r="I1046" s="42">
        <f>IF(AND(ISNUMBER(D1046),ISNUMBER(H1046)),D1046*H1046*Inputs!$C$69,"")</f>
      </c>
      <c r="J1046" s="42">
        <f>IF(AND(ISNUMBER(F1046),ISNUMBER(H1046),F1046&gt;=Inputs!$C$68),F1046*H1046*Inputs!$C$69,"")</f>
      </c>
    </row>
    <row r="1047" spans="2:10" ht="15" customHeight="1" x14ac:dyDescent="0.2">
      <c r="B1047" s="39">
        <f t="shared" si="8"/>
      </c>
      <c r="C1047" s="40">
        <f>IF(Inputs!$C$60,Inputs!$C$11+(B1047-Inputs!$C$69)/Inputs!$C$70,"")</f>
      </c>
      <c r="D1047" s="15"/>
      <c r="E1047" s="15"/>
      <c r="F1047" s="11">
        <f t="shared" si="9"/>
      </c>
      <c r="G1047" s="22" cm="1">
        <f t="array" ref="G1047">IF(AND(Inputs!$C$60,Inputs!$C$61),INDEX(Utility_Rates!$C$29:$F$52,HOUR(C1047)+Inputs!$C$69,MATCH(INDEX(Utility_Rates!$K$6:$K$17,MONTH(C1047))&amp;IF(WEEKDAY(C1047,Inputs!$C$76)&lt;=Inputs!$C$74," weekday"," weekend"),Utility_Rates!$C$28:$F$28,Inputs!$C$68)),"")</f>
      </c>
      <c r="H1047" s="34"/>
      <c r="I1047" s="42">
        <f>IF(AND(ISNUMBER(D1047),ISNUMBER(H1047)),D1047*H1047*Inputs!$C$69,"")</f>
      </c>
      <c r="J1047" s="42">
        <f>IF(AND(ISNUMBER(F1047),ISNUMBER(H1047),F1047&gt;=Inputs!$C$68),F1047*H1047*Inputs!$C$69,"")</f>
      </c>
    </row>
    <row r="1048" spans="2:10" ht="15" customHeight="1" x14ac:dyDescent="0.2">
      <c r="B1048" s="39">
        <f t="shared" si="8"/>
      </c>
      <c r="C1048" s="40">
        <f>IF(Inputs!$C$60,Inputs!$C$11+(B1048-Inputs!$C$69)/Inputs!$C$70,"")</f>
      </c>
      <c r="D1048" s="15"/>
      <c r="E1048" s="15"/>
      <c r="F1048" s="11">
        <f t="shared" si="9"/>
      </c>
      <c r="G1048" s="22" cm="1">
        <f t="array" ref="G1048">IF(AND(Inputs!$C$60,Inputs!$C$61),INDEX(Utility_Rates!$C$29:$F$52,HOUR(C1048)+Inputs!$C$69,MATCH(INDEX(Utility_Rates!$K$6:$K$17,MONTH(C1048))&amp;IF(WEEKDAY(C1048,Inputs!$C$76)&lt;=Inputs!$C$74," weekday"," weekend"),Utility_Rates!$C$28:$F$28,Inputs!$C$68)),"")</f>
      </c>
      <c r="H1048" s="34"/>
      <c r="I1048" s="42">
        <f>IF(AND(ISNUMBER(D1048),ISNUMBER(H1048)),D1048*H1048*Inputs!$C$69,"")</f>
      </c>
      <c r="J1048" s="42">
        <f>IF(AND(ISNUMBER(F1048),ISNUMBER(H1048),F1048&gt;=Inputs!$C$68),F1048*H1048*Inputs!$C$69,"")</f>
      </c>
    </row>
    <row r="1049" spans="2:10" ht="15" customHeight="1" x14ac:dyDescent="0.2">
      <c r="B1049" s="39">
        <f t="shared" si="8"/>
      </c>
      <c r="C1049" s="40">
        <f>IF(Inputs!$C$60,Inputs!$C$11+(B1049-Inputs!$C$69)/Inputs!$C$70,"")</f>
      </c>
      <c r="D1049" s="15"/>
      <c r="E1049" s="15"/>
      <c r="F1049" s="11">
        <f t="shared" si="9"/>
      </c>
      <c r="G1049" s="22" cm="1">
        <f t="array" ref="G1049">IF(AND(Inputs!$C$60,Inputs!$C$61),INDEX(Utility_Rates!$C$29:$F$52,HOUR(C1049)+Inputs!$C$69,MATCH(INDEX(Utility_Rates!$K$6:$K$17,MONTH(C1049))&amp;IF(WEEKDAY(C1049,Inputs!$C$76)&lt;=Inputs!$C$74," weekday"," weekend"),Utility_Rates!$C$28:$F$28,Inputs!$C$68)),"")</f>
      </c>
      <c r="H1049" s="34"/>
      <c r="I1049" s="42">
        <f>IF(AND(ISNUMBER(D1049),ISNUMBER(H1049)),D1049*H1049*Inputs!$C$69,"")</f>
      </c>
      <c r="J1049" s="42">
        <f>IF(AND(ISNUMBER(F1049),ISNUMBER(H1049),F1049&gt;=Inputs!$C$68),F1049*H1049*Inputs!$C$69,"")</f>
      </c>
    </row>
    <row r="1050" spans="2:10" ht="15" customHeight="1" x14ac:dyDescent="0.2">
      <c r="B1050" s="39">
        <f t="shared" si="8"/>
      </c>
      <c r="C1050" s="40">
        <f>IF(Inputs!$C$60,Inputs!$C$11+(B1050-Inputs!$C$69)/Inputs!$C$70,"")</f>
      </c>
      <c r="D1050" s="15"/>
      <c r="E1050" s="15"/>
      <c r="F1050" s="11">
        <f t="shared" si="9"/>
      </c>
      <c r="G1050" s="22" cm="1">
        <f t="array" ref="G1050">IF(AND(Inputs!$C$60,Inputs!$C$61),INDEX(Utility_Rates!$C$29:$F$52,HOUR(C1050)+Inputs!$C$69,MATCH(INDEX(Utility_Rates!$K$6:$K$17,MONTH(C1050))&amp;IF(WEEKDAY(C1050,Inputs!$C$76)&lt;=Inputs!$C$74," weekday"," weekend"),Utility_Rates!$C$28:$F$28,Inputs!$C$68)),"")</f>
      </c>
      <c r="H1050" s="34"/>
      <c r="I1050" s="42">
        <f>IF(AND(ISNUMBER(D1050),ISNUMBER(H1050)),D1050*H1050*Inputs!$C$69,"")</f>
      </c>
      <c r="J1050" s="42">
        <f>IF(AND(ISNUMBER(F1050),ISNUMBER(H1050),F1050&gt;=Inputs!$C$68),F1050*H1050*Inputs!$C$69,"")</f>
      </c>
    </row>
    <row r="1051" spans="2:10" ht="15" customHeight="1" x14ac:dyDescent="0.2">
      <c r="B1051" s="39">
        <f t="shared" si="8"/>
      </c>
      <c r="C1051" s="40">
        <f>IF(Inputs!$C$60,Inputs!$C$11+(B1051-Inputs!$C$69)/Inputs!$C$70,"")</f>
      </c>
      <c r="D1051" s="15"/>
      <c r="E1051" s="15"/>
      <c r="F1051" s="11">
        <f t="shared" si="9"/>
      </c>
      <c r="G1051" s="22" cm="1">
        <f t="array" ref="G1051">IF(AND(Inputs!$C$60,Inputs!$C$61),INDEX(Utility_Rates!$C$29:$F$52,HOUR(C1051)+Inputs!$C$69,MATCH(INDEX(Utility_Rates!$K$6:$K$17,MONTH(C1051))&amp;IF(WEEKDAY(C1051,Inputs!$C$76)&lt;=Inputs!$C$74," weekday"," weekend"),Utility_Rates!$C$28:$F$28,Inputs!$C$68)),"")</f>
      </c>
      <c r="H1051" s="34"/>
      <c r="I1051" s="42">
        <f>IF(AND(ISNUMBER(D1051),ISNUMBER(H1051)),D1051*H1051*Inputs!$C$69,"")</f>
      </c>
      <c r="J1051" s="42">
        <f>IF(AND(ISNUMBER(F1051),ISNUMBER(H1051),F1051&gt;=Inputs!$C$68),F1051*H1051*Inputs!$C$69,"")</f>
      </c>
    </row>
    <row r="1052" spans="2:10" ht="15" customHeight="1" x14ac:dyDescent="0.2">
      <c r="B1052" s="39">
        <f t="shared" si="8"/>
      </c>
      <c r="C1052" s="40">
        <f>IF(Inputs!$C$60,Inputs!$C$11+(B1052-Inputs!$C$69)/Inputs!$C$70,"")</f>
      </c>
      <c r="D1052" s="15"/>
      <c r="E1052" s="15"/>
      <c r="F1052" s="11">
        <f t="shared" si="9"/>
      </c>
      <c r="G1052" s="22" cm="1">
        <f t="array" ref="G1052">IF(AND(Inputs!$C$60,Inputs!$C$61),INDEX(Utility_Rates!$C$29:$F$52,HOUR(C1052)+Inputs!$C$69,MATCH(INDEX(Utility_Rates!$K$6:$K$17,MONTH(C1052))&amp;IF(WEEKDAY(C1052,Inputs!$C$76)&lt;=Inputs!$C$74," weekday"," weekend"),Utility_Rates!$C$28:$F$28,Inputs!$C$68)),"")</f>
      </c>
      <c r="H1052" s="34"/>
      <c r="I1052" s="42">
        <f>IF(AND(ISNUMBER(D1052),ISNUMBER(H1052)),D1052*H1052*Inputs!$C$69,"")</f>
      </c>
      <c r="J1052" s="42">
        <f>IF(AND(ISNUMBER(F1052),ISNUMBER(H1052),F1052&gt;=Inputs!$C$68),F1052*H1052*Inputs!$C$69,"")</f>
      </c>
    </row>
    <row r="1053" spans="2:10" ht="15" customHeight="1" x14ac:dyDescent="0.2">
      <c r="B1053" s="39">
        <f t="shared" si="8"/>
      </c>
      <c r="C1053" s="40">
        <f>IF(Inputs!$C$60,Inputs!$C$11+(B1053-Inputs!$C$69)/Inputs!$C$70,"")</f>
      </c>
      <c r="D1053" s="15"/>
      <c r="E1053" s="15"/>
      <c r="F1053" s="11">
        <f t="shared" si="9"/>
      </c>
      <c r="G1053" s="22" cm="1">
        <f t="array" ref="G1053">IF(AND(Inputs!$C$60,Inputs!$C$61),INDEX(Utility_Rates!$C$29:$F$52,HOUR(C1053)+Inputs!$C$69,MATCH(INDEX(Utility_Rates!$K$6:$K$17,MONTH(C1053))&amp;IF(WEEKDAY(C1053,Inputs!$C$76)&lt;=Inputs!$C$74," weekday"," weekend"),Utility_Rates!$C$28:$F$28,Inputs!$C$68)),"")</f>
      </c>
      <c r="H1053" s="34"/>
      <c r="I1053" s="42">
        <f>IF(AND(ISNUMBER(D1053),ISNUMBER(H1053)),D1053*H1053*Inputs!$C$69,"")</f>
      </c>
      <c r="J1053" s="42">
        <f>IF(AND(ISNUMBER(F1053),ISNUMBER(H1053),F1053&gt;=Inputs!$C$68),F1053*H1053*Inputs!$C$69,"")</f>
      </c>
    </row>
    <row r="1054" spans="2:10" ht="15" customHeight="1" x14ac:dyDescent="0.2">
      <c r="B1054" s="39">
        <f t="shared" si="8"/>
      </c>
      <c r="C1054" s="40">
        <f>IF(Inputs!$C$60,Inputs!$C$11+(B1054-Inputs!$C$69)/Inputs!$C$70,"")</f>
      </c>
      <c r="D1054" s="15"/>
      <c r="E1054" s="15"/>
      <c r="F1054" s="11">
        <f t="shared" si="9"/>
      </c>
      <c r="G1054" s="22" cm="1">
        <f t="array" ref="G1054">IF(AND(Inputs!$C$60,Inputs!$C$61),INDEX(Utility_Rates!$C$29:$F$52,HOUR(C1054)+Inputs!$C$69,MATCH(INDEX(Utility_Rates!$K$6:$K$17,MONTH(C1054))&amp;IF(WEEKDAY(C1054,Inputs!$C$76)&lt;=Inputs!$C$74," weekday"," weekend"),Utility_Rates!$C$28:$F$28,Inputs!$C$68)),"")</f>
      </c>
      <c r="H1054" s="34"/>
      <c r="I1054" s="42">
        <f>IF(AND(ISNUMBER(D1054),ISNUMBER(H1054)),D1054*H1054*Inputs!$C$69,"")</f>
      </c>
      <c r="J1054" s="42">
        <f>IF(AND(ISNUMBER(F1054),ISNUMBER(H1054),F1054&gt;=Inputs!$C$68),F1054*H1054*Inputs!$C$69,"")</f>
      </c>
    </row>
    <row r="1055" spans="2:10" ht="15" customHeight="1" x14ac:dyDescent="0.2">
      <c r="B1055" s="39">
        <f t="shared" si="8"/>
      </c>
      <c r="C1055" s="40">
        <f>IF(Inputs!$C$60,Inputs!$C$11+(B1055-Inputs!$C$69)/Inputs!$C$70,"")</f>
      </c>
      <c r="D1055" s="15"/>
      <c r="E1055" s="15"/>
      <c r="F1055" s="11">
        <f t="shared" si="9"/>
      </c>
      <c r="G1055" s="22" cm="1">
        <f t="array" ref="G1055">IF(AND(Inputs!$C$60,Inputs!$C$61),INDEX(Utility_Rates!$C$29:$F$52,HOUR(C1055)+Inputs!$C$69,MATCH(INDEX(Utility_Rates!$K$6:$K$17,MONTH(C1055))&amp;IF(WEEKDAY(C1055,Inputs!$C$76)&lt;=Inputs!$C$74," weekday"," weekend"),Utility_Rates!$C$28:$F$28,Inputs!$C$68)),"")</f>
      </c>
      <c r="H1055" s="34"/>
      <c r="I1055" s="42">
        <f>IF(AND(ISNUMBER(D1055),ISNUMBER(H1055)),D1055*H1055*Inputs!$C$69,"")</f>
      </c>
      <c r="J1055" s="42">
        <f>IF(AND(ISNUMBER(F1055),ISNUMBER(H1055),F1055&gt;=Inputs!$C$68),F1055*H1055*Inputs!$C$69,"")</f>
      </c>
    </row>
    <row r="1056" spans="2:10" ht="15" customHeight="1" x14ac:dyDescent="0.2">
      <c r="B1056" s="39">
        <f t="shared" si="8"/>
      </c>
      <c r="C1056" s="40">
        <f>IF(Inputs!$C$60,Inputs!$C$11+(B1056-Inputs!$C$69)/Inputs!$C$70,"")</f>
      </c>
      <c r="D1056" s="15"/>
      <c r="E1056" s="15"/>
      <c r="F1056" s="11">
        <f t="shared" si="9"/>
      </c>
      <c r="G1056" s="22" cm="1">
        <f t="array" ref="G1056">IF(AND(Inputs!$C$60,Inputs!$C$61),INDEX(Utility_Rates!$C$29:$F$52,HOUR(C1056)+Inputs!$C$69,MATCH(INDEX(Utility_Rates!$K$6:$K$17,MONTH(C1056))&amp;IF(WEEKDAY(C1056,Inputs!$C$76)&lt;=Inputs!$C$74," weekday"," weekend"),Utility_Rates!$C$28:$F$28,Inputs!$C$68)),"")</f>
      </c>
      <c r="H1056" s="34"/>
      <c r="I1056" s="42">
        <f>IF(AND(ISNUMBER(D1056),ISNUMBER(H1056)),D1056*H1056*Inputs!$C$69,"")</f>
      </c>
      <c r="J1056" s="42">
        <f>IF(AND(ISNUMBER(F1056),ISNUMBER(H1056),F1056&gt;=Inputs!$C$68),F1056*H1056*Inputs!$C$69,"")</f>
      </c>
    </row>
    <row r="1057" spans="2:10" ht="15" customHeight="1" x14ac:dyDescent="0.2">
      <c r="B1057" s="39">
        <f t="shared" si="8"/>
      </c>
      <c r="C1057" s="40">
        <f>IF(Inputs!$C$60,Inputs!$C$11+(B1057-Inputs!$C$69)/Inputs!$C$70,"")</f>
      </c>
      <c r="D1057" s="15"/>
      <c r="E1057" s="15"/>
      <c r="F1057" s="11">
        <f t="shared" si="9"/>
      </c>
      <c r="G1057" s="22" cm="1">
        <f t="array" ref="G1057">IF(AND(Inputs!$C$60,Inputs!$C$61),INDEX(Utility_Rates!$C$29:$F$52,HOUR(C1057)+Inputs!$C$69,MATCH(INDEX(Utility_Rates!$K$6:$K$17,MONTH(C1057))&amp;IF(WEEKDAY(C1057,Inputs!$C$76)&lt;=Inputs!$C$74," weekday"," weekend"),Utility_Rates!$C$28:$F$28,Inputs!$C$68)),"")</f>
      </c>
      <c r="H1057" s="34"/>
      <c r="I1057" s="42">
        <f>IF(AND(ISNUMBER(D1057),ISNUMBER(H1057)),D1057*H1057*Inputs!$C$69,"")</f>
      </c>
      <c r="J1057" s="42">
        <f>IF(AND(ISNUMBER(F1057),ISNUMBER(H1057),F1057&gt;=Inputs!$C$68),F1057*H1057*Inputs!$C$69,"")</f>
      </c>
    </row>
    <row r="1058" spans="2:10" ht="15" customHeight="1" x14ac:dyDescent="0.2">
      <c r="B1058" s="39">
        <f t="shared" si="8"/>
      </c>
      <c r="C1058" s="40">
        <f>IF(Inputs!$C$60,Inputs!$C$11+(B1058-Inputs!$C$69)/Inputs!$C$70,"")</f>
      </c>
      <c r="D1058" s="15"/>
      <c r="E1058" s="15"/>
      <c r="F1058" s="11">
        <f t="shared" si="9"/>
      </c>
      <c r="G1058" s="22" cm="1">
        <f t="array" ref="G1058">IF(AND(Inputs!$C$60,Inputs!$C$61),INDEX(Utility_Rates!$C$29:$F$52,HOUR(C1058)+Inputs!$C$69,MATCH(INDEX(Utility_Rates!$K$6:$K$17,MONTH(C1058))&amp;IF(WEEKDAY(C1058,Inputs!$C$76)&lt;=Inputs!$C$74," weekday"," weekend"),Utility_Rates!$C$28:$F$28,Inputs!$C$68)),"")</f>
      </c>
      <c r="H1058" s="34"/>
      <c r="I1058" s="42">
        <f>IF(AND(ISNUMBER(D1058),ISNUMBER(H1058)),D1058*H1058*Inputs!$C$69,"")</f>
      </c>
      <c r="J1058" s="42">
        <f>IF(AND(ISNUMBER(F1058),ISNUMBER(H1058),F1058&gt;=Inputs!$C$68),F1058*H1058*Inputs!$C$69,"")</f>
      </c>
    </row>
    <row r="1059" spans="2:10" ht="15" customHeight="1" x14ac:dyDescent="0.2">
      <c r="B1059" s="39">
        <f t="shared" si="8"/>
      </c>
      <c r="C1059" s="40">
        <f>IF(Inputs!$C$60,Inputs!$C$11+(B1059-Inputs!$C$69)/Inputs!$C$70,"")</f>
      </c>
      <c r="D1059" s="15"/>
      <c r="E1059" s="15"/>
      <c r="F1059" s="11">
        <f t="shared" si="9"/>
      </c>
      <c r="G1059" s="22" cm="1">
        <f t="array" ref="G1059">IF(AND(Inputs!$C$60,Inputs!$C$61),INDEX(Utility_Rates!$C$29:$F$52,HOUR(C1059)+Inputs!$C$69,MATCH(INDEX(Utility_Rates!$K$6:$K$17,MONTH(C1059))&amp;IF(WEEKDAY(C1059,Inputs!$C$76)&lt;=Inputs!$C$74," weekday"," weekend"),Utility_Rates!$C$28:$F$28,Inputs!$C$68)),"")</f>
      </c>
      <c r="H1059" s="34"/>
      <c r="I1059" s="42">
        <f>IF(AND(ISNUMBER(D1059),ISNUMBER(H1059)),D1059*H1059*Inputs!$C$69,"")</f>
      </c>
      <c r="J1059" s="42">
        <f>IF(AND(ISNUMBER(F1059),ISNUMBER(H1059),F1059&gt;=Inputs!$C$68),F1059*H1059*Inputs!$C$69,"")</f>
      </c>
    </row>
    <row r="1060" spans="2:10" ht="15" customHeight="1" x14ac:dyDescent="0.2">
      <c r="B1060" s="39">
        <f t="shared" si="8"/>
      </c>
      <c r="C1060" s="40">
        <f>IF(Inputs!$C$60,Inputs!$C$11+(B1060-Inputs!$C$69)/Inputs!$C$70,"")</f>
      </c>
      <c r="D1060" s="15"/>
      <c r="E1060" s="15"/>
      <c r="F1060" s="11">
        <f t="shared" si="9"/>
      </c>
      <c r="G1060" s="22" cm="1">
        <f t="array" ref="G1060">IF(AND(Inputs!$C$60,Inputs!$C$61),INDEX(Utility_Rates!$C$29:$F$52,HOUR(C1060)+Inputs!$C$69,MATCH(INDEX(Utility_Rates!$K$6:$K$17,MONTH(C1060))&amp;IF(WEEKDAY(C1060,Inputs!$C$76)&lt;=Inputs!$C$74," weekday"," weekend"),Utility_Rates!$C$28:$F$28,Inputs!$C$68)),"")</f>
      </c>
      <c r="H1060" s="34"/>
      <c r="I1060" s="42">
        <f>IF(AND(ISNUMBER(D1060),ISNUMBER(H1060)),D1060*H1060*Inputs!$C$69,"")</f>
      </c>
      <c r="J1060" s="42">
        <f>IF(AND(ISNUMBER(F1060),ISNUMBER(H1060),F1060&gt;=Inputs!$C$68),F1060*H1060*Inputs!$C$69,"")</f>
      </c>
    </row>
    <row r="1061" spans="2:10" ht="15" customHeight="1" x14ac:dyDescent="0.2">
      <c r="B1061" s="39">
        <f t="shared" si="8"/>
      </c>
      <c r="C1061" s="40">
        <f>IF(Inputs!$C$60,Inputs!$C$11+(B1061-Inputs!$C$69)/Inputs!$C$70,"")</f>
      </c>
      <c r="D1061" s="15"/>
      <c r="E1061" s="15"/>
      <c r="F1061" s="11">
        <f t="shared" si="9"/>
      </c>
      <c r="G1061" s="22" cm="1">
        <f t="array" ref="G1061">IF(AND(Inputs!$C$60,Inputs!$C$61),INDEX(Utility_Rates!$C$29:$F$52,HOUR(C1061)+Inputs!$C$69,MATCH(INDEX(Utility_Rates!$K$6:$K$17,MONTH(C1061))&amp;IF(WEEKDAY(C1061,Inputs!$C$76)&lt;=Inputs!$C$74," weekday"," weekend"),Utility_Rates!$C$28:$F$28,Inputs!$C$68)),"")</f>
      </c>
      <c r="H1061" s="34"/>
      <c r="I1061" s="42">
        <f>IF(AND(ISNUMBER(D1061),ISNUMBER(H1061)),D1061*H1061*Inputs!$C$69,"")</f>
      </c>
      <c r="J1061" s="42">
        <f>IF(AND(ISNUMBER(F1061),ISNUMBER(H1061),F1061&gt;=Inputs!$C$68),F1061*H1061*Inputs!$C$69,"")</f>
      </c>
    </row>
    <row r="1062" spans="2:10" ht="15" customHeight="1" x14ac:dyDescent="0.2">
      <c r="B1062" s="39">
        <f t="shared" si="8"/>
      </c>
      <c r="C1062" s="40">
        <f>IF(Inputs!$C$60,Inputs!$C$11+(B1062-Inputs!$C$69)/Inputs!$C$70,"")</f>
      </c>
      <c r="D1062" s="15"/>
      <c r="E1062" s="15"/>
      <c r="F1062" s="11">
        <f t="shared" si="9"/>
      </c>
      <c r="G1062" s="22" cm="1">
        <f t="array" ref="G1062">IF(AND(Inputs!$C$60,Inputs!$C$61),INDEX(Utility_Rates!$C$29:$F$52,HOUR(C1062)+Inputs!$C$69,MATCH(INDEX(Utility_Rates!$K$6:$K$17,MONTH(C1062))&amp;IF(WEEKDAY(C1062,Inputs!$C$76)&lt;=Inputs!$C$74," weekday"," weekend"),Utility_Rates!$C$28:$F$28,Inputs!$C$68)),"")</f>
      </c>
      <c r="H1062" s="34"/>
      <c r="I1062" s="42">
        <f>IF(AND(ISNUMBER(D1062),ISNUMBER(H1062)),D1062*H1062*Inputs!$C$69,"")</f>
      </c>
      <c r="J1062" s="42">
        <f>IF(AND(ISNUMBER(F1062),ISNUMBER(H1062),F1062&gt;=Inputs!$C$68),F1062*H1062*Inputs!$C$69,"")</f>
      </c>
    </row>
    <row r="1063" spans="2:10" ht="15" customHeight="1" x14ac:dyDescent="0.2">
      <c r="B1063" s="39">
        <f t="shared" si="8"/>
      </c>
      <c r="C1063" s="40">
        <f>IF(Inputs!$C$60,Inputs!$C$11+(B1063-Inputs!$C$69)/Inputs!$C$70,"")</f>
      </c>
      <c r="D1063" s="15"/>
      <c r="E1063" s="15"/>
      <c r="F1063" s="11">
        <f t="shared" si="9"/>
      </c>
      <c r="G1063" s="22" cm="1">
        <f t="array" ref="G1063">IF(AND(Inputs!$C$60,Inputs!$C$61),INDEX(Utility_Rates!$C$29:$F$52,HOUR(C1063)+Inputs!$C$69,MATCH(INDEX(Utility_Rates!$K$6:$K$17,MONTH(C1063))&amp;IF(WEEKDAY(C1063,Inputs!$C$76)&lt;=Inputs!$C$74," weekday"," weekend"),Utility_Rates!$C$28:$F$28,Inputs!$C$68)),"")</f>
      </c>
      <c r="H1063" s="34"/>
      <c r="I1063" s="42">
        <f>IF(AND(ISNUMBER(D1063),ISNUMBER(H1063)),D1063*H1063*Inputs!$C$69,"")</f>
      </c>
      <c r="J1063" s="42">
        <f>IF(AND(ISNUMBER(F1063),ISNUMBER(H1063),F1063&gt;=Inputs!$C$68),F1063*H1063*Inputs!$C$69,"")</f>
      </c>
    </row>
    <row r="1064" spans="2:10" ht="15" customHeight="1" x14ac:dyDescent="0.2">
      <c r="B1064" s="39">
        <f t="shared" si="8"/>
      </c>
      <c r="C1064" s="40">
        <f>IF(Inputs!$C$60,Inputs!$C$11+(B1064-Inputs!$C$69)/Inputs!$C$70,"")</f>
      </c>
      <c r="D1064" s="15"/>
      <c r="E1064" s="15"/>
      <c r="F1064" s="11">
        <f t="shared" si="9"/>
      </c>
      <c r="G1064" s="22" cm="1">
        <f t="array" ref="G1064">IF(AND(Inputs!$C$60,Inputs!$C$61),INDEX(Utility_Rates!$C$29:$F$52,HOUR(C1064)+Inputs!$C$69,MATCH(INDEX(Utility_Rates!$K$6:$K$17,MONTH(C1064))&amp;IF(WEEKDAY(C1064,Inputs!$C$76)&lt;=Inputs!$C$74," weekday"," weekend"),Utility_Rates!$C$28:$F$28,Inputs!$C$68)),"")</f>
      </c>
      <c r="H1064" s="34"/>
      <c r="I1064" s="42">
        <f>IF(AND(ISNUMBER(D1064),ISNUMBER(H1064)),D1064*H1064*Inputs!$C$69,"")</f>
      </c>
      <c r="J1064" s="42">
        <f>IF(AND(ISNUMBER(F1064),ISNUMBER(H1064),F1064&gt;=Inputs!$C$68),F1064*H1064*Inputs!$C$69,"")</f>
      </c>
    </row>
    <row r="1065" spans="2:10" ht="15" customHeight="1" x14ac:dyDescent="0.2">
      <c r="B1065" s="39">
        <f t="shared" si="8"/>
      </c>
      <c r="C1065" s="40">
        <f>IF(Inputs!$C$60,Inputs!$C$11+(B1065-Inputs!$C$69)/Inputs!$C$70,"")</f>
      </c>
      <c r="D1065" s="15"/>
      <c r="E1065" s="15"/>
      <c r="F1065" s="11">
        <f t="shared" si="9"/>
      </c>
      <c r="G1065" s="22" cm="1">
        <f t="array" ref="G1065">IF(AND(Inputs!$C$60,Inputs!$C$61),INDEX(Utility_Rates!$C$29:$F$52,HOUR(C1065)+Inputs!$C$69,MATCH(INDEX(Utility_Rates!$K$6:$K$17,MONTH(C1065))&amp;IF(WEEKDAY(C1065,Inputs!$C$76)&lt;=Inputs!$C$74," weekday"," weekend"),Utility_Rates!$C$28:$F$28,Inputs!$C$68)),"")</f>
      </c>
      <c r="H1065" s="34"/>
      <c r="I1065" s="42">
        <f>IF(AND(ISNUMBER(D1065),ISNUMBER(H1065)),D1065*H1065*Inputs!$C$69,"")</f>
      </c>
      <c r="J1065" s="42">
        <f>IF(AND(ISNUMBER(F1065),ISNUMBER(H1065),F1065&gt;=Inputs!$C$68),F1065*H1065*Inputs!$C$69,"")</f>
      </c>
    </row>
    <row r="1066" spans="2:10" ht="15" customHeight="1" x14ac:dyDescent="0.2">
      <c r="B1066" s="39">
        <f t="shared" si="8"/>
      </c>
      <c r="C1066" s="40">
        <f>IF(Inputs!$C$60,Inputs!$C$11+(B1066-Inputs!$C$69)/Inputs!$C$70,"")</f>
      </c>
      <c r="D1066" s="15"/>
      <c r="E1066" s="15"/>
      <c r="F1066" s="11">
        <f t="shared" si="9"/>
      </c>
      <c r="G1066" s="22" cm="1">
        <f t="array" ref="G1066">IF(AND(Inputs!$C$60,Inputs!$C$61),INDEX(Utility_Rates!$C$29:$F$52,HOUR(C1066)+Inputs!$C$69,MATCH(INDEX(Utility_Rates!$K$6:$K$17,MONTH(C1066))&amp;IF(WEEKDAY(C1066,Inputs!$C$76)&lt;=Inputs!$C$74," weekday"," weekend"),Utility_Rates!$C$28:$F$28,Inputs!$C$68)),"")</f>
      </c>
      <c r="H1066" s="34"/>
      <c r="I1066" s="42">
        <f>IF(AND(ISNUMBER(D1066),ISNUMBER(H1066)),D1066*H1066*Inputs!$C$69,"")</f>
      </c>
      <c r="J1066" s="42">
        <f>IF(AND(ISNUMBER(F1066),ISNUMBER(H1066),F1066&gt;=Inputs!$C$68),F1066*H1066*Inputs!$C$69,"")</f>
      </c>
    </row>
    <row r="1067" spans="2:10" ht="15" customHeight="1" x14ac:dyDescent="0.2">
      <c r="B1067" s="39">
        <f t="shared" si="8"/>
      </c>
      <c r="C1067" s="40">
        <f>IF(Inputs!$C$60,Inputs!$C$11+(B1067-Inputs!$C$69)/Inputs!$C$70,"")</f>
      </c>
      <c r="D1067" s="15"/>
      <c r="E1067" s="15"/>
      <c r="F1067" s="11">
        <f t="shared" si="9"/>
      </c>
      <c r="G1067" s="22" cm="1">
        <f t="array" ref="G1067">IF(AND(Inputs!$C$60,Inputs!$C$61),INDEX(Utility_Rates!$C$29:$F$52,HOUR(C1067)+Inputs!$C$69,MATCH(INDEX(Utility_Rates!$K$6:$K$17,MONTH(C1067))&amp;IF(WEEKDAY(C1067,Inputs!$C$76)&lt;=Inputs!$C$74," weekday"," weekend"),Utility_Rates!$C$28:$F$28,Inputs!$C$68)),"")</f>
      </c>
      <c r="H1067" s="34"/>
      <c r="I1067" s="42">
        <f>IF(AND(ISNUMBER(D1067),ISNUMBER(H1067)),D1067*H1067*Inputs!$C$69,"")</f>
      </c>
      <c r="J1067" s="42">
        <f>IF(AND(ISNUMBER(F1067),ISNUMBER(H1067),F1067&gt;=Inputs!$C$68),F1067*H1067*Inputs!$C$69,"")</f>
      </c>
    </row>
    <row r="1068" spans="2:10" ht="15" customHeight="1" x14ac:dyDescent="0.2">
      <c r="B1068" s="39">
        <f t="shared" si="8"/>
      </c>
      <c r="C1068" s="40">
        <f>IF(Inputs!$C$60,Inputs!$C$11+(B1068-Inputs!$C$69)/Inputs!$C$70,"")</f>
      </c>
      <c r="D1068" s="15"/>
      <c r="E1068" s="15"/>
      <c r="F1068" s="11">
        <f t="shared" si="9"/>
      </c>
      <c r="G1068" s="22" cm="1">
        <f t="array" ref="G1068">IF(AND(Inputs!$C$60,Inputs!$C$61),INDEX(Utility_Rates!$C$29:$F$52,HOUR(C1068)+Inputs!$C$69,MATCH(INDEX(Utility_Rates!$K$6:$K$17,MONTH(C1068))&amp;IF(WEEKDAY(C1068,Inputs!$C$76)&lt;=Inputs!$C$74," weekday"," weekend"),Utility_Rates!$C$28:$F$28,Inputs!$C$68)),"")</f>
      </c>
      <c r="H1068" s="34"/>
      <c r="I1068" s="42">
        <f>IF(AND(ISNUMBER(D1068),ISNUMBER(H1068)),D1068*H1068*Inputs!$C$69,"")</f>
      </c>
      <c r="J1068" s="42">
        <f>IF(AND(ISNUMBER(F1068),ISNUMBER(H1068),F1068&gt;=Inputs!$C$68),F1068*H1068*Inputs!$C$69,"")</f>
      </c>
    </row>
    <row r="1069" spans="2:10" ht="15" customHeight="1" x14ac:dyDescent="0.2">
      <c r="B1069" s="39">
        <f t="shared" si="8"/>
      </c>
      <c r="C1069" s="40">
        <f>IF(Inputs!$C$60,Inputs!$C$11+(B1069-Inputs!$C$69)/Inputs!$C$70,"")</f>
      </c>
      <c r="D1069" s="15"/>
      <c r="E1069" s="15"/>
      <c r="F1069" s="11">
        <f t="shared" si="9"/>
      </c>
      <c r="G1069" s="22" cm="1">
        <f t="array" ref="G1069">IF(AND(Inputs!$C$60,Inputs!$C$61),INDEX(Utility_Rates!$C$29:$F$52,HOUR(C1069)+Inputs!$C$69,MATCH(INDEX(Utility_Rates!$K$6:$K$17,MONTH(C1069))&amp;IF(WEEKDAY(C1069,Inputs!$C$76)&lt;=Inputs!$C$74," weekday"," weekend"),Utility_Rates!$C$28:$F$28,Inputs!$C$68)),"")</f>
      </c>
      <c r="H1069" s="34"/>
      <c r="I1069" s="42">
        <f>IF(AND(ISNUMBER(D1069),ISNUMBER(H1069)),D1069*H1069*Inputs!$C$69,"")</f>
      </c>
      <c r="J1069" s="42">
        <f>IF(AND(ISNUMBER(F1069),ISNUMBER(H1069),F1069&gt;=Inputs!$C$68),F1069*H1069*Inputs!$C$69,"")</f>
      </c>
    </row>
    <row r="1070" spans="2:10" ht="15" customHeight="1" x14ac:dyDescent="0.2">
      <c r="B1070" s="39">
        <f t="shared" si="8"/>
      </c>
      <c r="C1070" s="40">
        <f>IF(Inputs!$C$60,Inputs!$C$11+(B1070-Inputs!$C$69)/Inputs!$C$70,"")</f>
      </c>
      <c r="D1070" s="15"/>
      <c r="E1070" s="15"/>
      <c r="F1070" s="11">
        <f t="shared" si="9"/>
      </c>
      <c r="G1070" s="22" cm="1">
        <f t="array" ref="G1070">IF(AND(Inputs!$C$60,Inputs!$C$61),INDEX(Utility_Rates!$C$29:$F$52,HOUR(C1070)+Inputs!$C$69,MATCH(INDEX(Utility_Rates!$K$6:$K$17,MONTH(C1070))&amp;IF(WEEKDAY(C1070,Inputs!$C$76)&lt;=Inputs!$C$74," weekday"," weekend"),Utility_Rates!$C$28:$F$28,Inputs!$C$68)),"")</f>
      </c>
      <c r="H1070" s="34"/>
      <c r="I1070" s="42">
        <f>IF(AND(ISNUMBER(D1070),ISNUMBER(H1070)),D1070*H1070*Inputs!$C$69,"")</f>
      </c>
      <c r="J1070" s="42">
        <f>IF(AND(ISNUMBER(F1070),ISNUMBER(H1070),F1070&gt;=Inputs!$C$68),F1070*H1070*Inputs!$C$69,"")</f>
      </c>
    </row>
    <row r="1071" spans="2:10" ht="15" customHeight="1" x14ac:dyDescent="0.2">
      <c r="B1071" s="39">
        <f t="shared" si="8"/>
      </c>
      <c r="C1071" s="40">
        <f>IF(Inputs!$C$60,Inputs!$C$11+(B1071-Inputs!$C$69)/Inputs!$C$70,"")</f>
      </c>
      <c r="D1071" s="15"/>
      <c r="E1071" s="15"/>
      <c r="F1071" s="11">
        <f t="shared" si="9"/>
      </c>
      <c r="G1071" s="22" cm="1">
        <f t="array" ref="G1071">IF(AND(Inputs!$C$60,Inputs!$C$61),INDEX(Utility_Rates!$C$29:$F$52,HOUR(C1071)+Inputs!$C$69,MATCH(INDEX(Utility_Rates!$K$6:$K$17,MONTH(C1071))&amp;IF(WEEKDAY(C1071,Inputs!$C$76)&lt;=Inputs!$C$74," weekday"," weekend"),Utility_Rates!$C$28:$F$28,Inputs!$C$68)),"")</f>
      </c>
      <c r="H1071" s="34"/>
      <c r="I1071" s="42">
        <f>IF(AND(ISNUMBER(D1071),ISNUMBER(H1071)),D1071*H1071*Inputs!$C$69,"")</f>
      </c>
      <c r="J1071" s="42">
        <f>IF(AND(ISNUMBER(F1071),ISNUMBER(H1071),F1071&gt;=Inputs!$C$68),F1071*H1071*Inputs!$C$69,"")</f>
      </c>
    </row>
    <row r="1072" spans="2:10" ht="15" customHeight="1" x14ac:dyDescent="0.2">
      <c r="B1072" s="39">
        <f t="shared" si="8"/>
      </c>
      <c r="C1072" s="40">
        <f>IF(Inputs!$C$60,Inputs!$C$11+(B1072-Inputs!$C$69)/Inputs!$C$70,"")</f>
      </c>
      <c r="D1072" s="15"/>
      <c r="E1072" s="15"/>
      <c r="F1072" s="11">
        <f t="shared" si="9"/>
      </c>
      <c r="G1072" s="22" cm="1">
        <f t="array" ref="G1072">IF(AND(Inputs!$C$60,Inputs!$C$61),INDEX(Utility_Rates!$C$29:$F$52,HOUR(C1072)+Inputs!$C$69,MATCH(INDEX(Utility_Rates!$K$6:$K$17,MONTH(C1072))&amp;IF(WEEKDAY(C1072,Inputs!$C$76)&lt;=Inputs!$C$74," weekday"," weekend"),Utility_Rates!$C$28:$F$28,Inputs!$C$68)),"")</f>
      </c>
      <c r="H1072" s="34"/>
      <c r="I1072" s="42">
        <f>IF(AND(ISNUMBER(D1072),ISNUMBER(H1072)),D1072*H1072*Inputs!$C$69,"")</f>
      </c>
      <c r="J1072" s="42">
        <f>IF(AND(ISNUMBER(F1072),ISNUMBER(H1072),F1072&gt;=Inputs!$C$68),F1072*H1072*Inputs!$C$69,"")</f>
      </c>
    </row>
    <row r="1073" spans="2:10" ht="15" customHeight="1" x14ac:dyDescent="0.2">
      <c r="B1073" s="39">
        <f t="shared" si="8"/>
      </c>
      <c r="C1073" s="40">
        <f>IF(Inputs!$C$60,Inputs!$C$11+(B1073-Inputs!$C$69)/Inputs!$C$70,"")</f>
      </c>
      <c r="D1073" s="15"/>
      <c r="E1073" s="15"/>
      <c r="F1073" s="11">
        <f t="shared" si="9"/>
      </c>
      <c r="G1073" s="22" cm="1">
        <f t="array" ref="G1073">IF(AND(Inputs!$C$60,Inputs!$C$61),INDEX(Utility_Rates!$C$29:$F$52,HOUR(C1073)+Inputs!$C$69,MATCH(INDEX(Utility_Rates!$K$6:$K$17,MONTH(C1073))&amp;IF(WEEKDAY(C1073,Inputs!$C$76)&lt;=Inputs!$C$74," weekday"," weekend"),Utility_Rates!$C$28:$F$28,Inputs!$C$68)),"")</f>
      </c>
      <c r="H1073" s="34"/>
      <c r="I1073" s="42">
        <f>IF(AND(ISNUMBER(D1073),ISNUMBER(H1073)),D1073*H1073*Inputs!$C$69,"")</f>
      </c>
      <c r="J1073" s="42">
        <f>IF(AND(ISNUMBER(F1073),ISNUMBER(H1073),F1073&gt;=Inputs!$C$68),F1073*H1073*Inputs!$C$69,"")</f>
      </c>
    </row>
    <row r="1074" spans="2:10" ht="15" customHeight="1" x14ac:dyDescent="0.2">
      <c r="B1074" s="39">
        <f t="shared" si="8"/>
      </c>
      <c r="C1074" s="40">
        <f>IF(Inputs!$C$60,Inputs!$C$11+(B1074-Inputs!$C$69)/Inputs!$C$70,"")</f>
      </c>
      <c r="D1074" s="15"/>
      <c r="E1074" s="15"/>
      <c r="F1074" s="11">
        <f t="shared" si="9"/>
      </c>
      <c r="G1074" s="22" cm="1">
        <f t="array" ref="G1074">IF(AND(Inputs!$C$60,Inputs!$C$61),INDEX(Utility_Rates!$C$29:$F$52,HOUR(C1074)+Inputs!$C$69,MATCH(INDEX(Utility_Rates!$K$6:$K$17,MONTH(C1074))&amp;IF(WEEKDAY(C1074,Inputs!$C$76)&lt;=Inputs!$C$74," weekday"," weekend"),Utility_Rates!$C$28:$F$28,Inputs!$C$68)),"")</f>
      </c>
      <c r="H1074" s="34"/>
      <c r="I1074" s="42">
        <f>IF(AND(ISNUMBER(D1074),ISNUMBER(H1074)),D1074*H1074*Inputs!$C$69,"")</f>
      </c>
      <c r="J1074" s="42">
        <f>IF(AND(ISNUMBER(F1074),ISNUMBER(H1074),F1074&gt;=Inputs!$C$68),F1074*H1074*Inputs!$C$69,"")</f>
      </c>
    </row>
    <row r="1075" spans="2:10" ht="15" customHeight="1" x14ac:dyDescent="0.2">
      <c r="B1075" s="39">
        <f t="shared" si="8"/>
      </c>
      <c r="C1075" s="40">
        <f>IF(Inputs!$C$60,Inputs!$C$11+(B1075-Inputs!$C$69)/Inputs!$C$70,"")</f>
      </c>
      <c r="D1075" s="15"/>
      <c r="E1075" s="15"/>
      <c r="F1075" s="11">
        <f t="shared" si="9"/>
      </c>
      <c r="G1075" s="22" cm="1">
        <f t="array" ref="G1075">IF(AND(Inputs!$C$60,Inputs!$C$61),INDEX(Utility_Rates!$C$29:$F$52,HOUR(C1075)+Inputs!$C$69,MATCH(INDEX(Utility_Rates!$K$6:$K$17,MONTH(C1075))&amp;IF(WEEKDAY(C1075,Inputs!$C$76)&lt;=Inputs!$C$74," weekday"," weekend"),Utility_Rates!$C$28:$F$28,Inputs!$C$68)),"")</f>
      </c>
      <c r="H1075" s="34"/>
      <c r="I1075" s="42">
        <f>IF(AND(ISNUMBER(D1075),ISNUMBER(H1075)),D1075*H1075*Inputs!$C$69,"")</f>
      </c>
      <c r="J1075" s="42">
        <f>IF(AND(ISNUMBER(F1075),ISNUMBER(H1075),F1075&gt;=Inputs!$C$68),F1075*H1075*Inputs!$C$69,"")</f>
      </c>
    </row>
    <row r="1076" spans="2:10" ht="15" customHeight="1" x14ac:dyDescent="0.2">
      <c r="B1076" s="39">
        <f t="shared" si="8"/>
      </c>
      <c r="C1076" s="40">
        <f>IF(Inputs!$C$60,Inputs!$C$11+(B1076-Inputs!$C$69)/Inputs!$C$70,"")</f>
      </c>
      <c r="D1076" s="15"/>
      <c r="E1076" s="15"/>
      <c r="F1076" s="11">
        <f t="shared" si="9"/>
      </c>
      <c r="G1076" s="22" cm="1">
        <f t="array" ref="G1076">IF(AND(Inputs!$C$60,Inputs!$C$61),INDEX(Utility_Rates!$C$29:$F$52,HOUR(C1076)+Inputs!$C$69,MATCH(INDEX(Utility_Rates!$K$6:$K$17,MONTH(C1076))&amp;IF(WEEKDAY(C1076,Inputs!$C$76)&lt;=Inputs!$C$74," weekday"," weekend"),Utility_Rates!$C$28:$F$28,Inputs!$C$68)),"")</f>
      </c>
      <c r="H1076" s="34"/>
      <c r="I1076" s="42">
        <f>IF(AND(ISNUMBER(D1076),ISNUMBER(H1076)),D1076*H1076*Inputs!$C$69,"")</f>
      </c>
      <c r="J1076" s="42">
        <f>IF(AND(ISNUMBER(F1076),ISNUMBER(H1076),F1076&gt;=Inputs!$C$68),F1076*H1076*Inputs!$C$69,"")</f>
      </c>
    </row>
    <row r="1077" spans="2:10" ht="15" customHeight="1" x14ac:dyDescent="0.2">
      <c r="B1077" s="39">
        <f t="shared" si="8"/>
      </c>
      <c r="C1077" s="40">
        <f>IF(Inputs!$C$60,Inputs!$C$11+(B1077-Inputs!$C$69)/Inputs!$C$70,"")</f>
      </c>
      <c r="D1077" s="15"/>
      <c r="E1077" s="15"/>
      <c r="F1077" s="11">
        <f t="shared" si="9"/>
      </c>
      <c r="G1077" s="22" cm="1">
        <f t="array" ref="G1077">IF(AND(Inputs!$C$60,Inputs!$C$61),INDEX(Utility_Rates!$C$29:$F$52,HOUR(C1077)+Inputs!$C$69,MATCH(INDEX(Utility_Rates!$K$6:$K$17,MONTH(C1077))&amp;IF(WEEKDAY(C1077,Inputs!$C$76)&lt;=Inputs!$C$74," weekday"," weekend"),Utility_Rates!$C$28:$F$28,Inputs!$C$68)),"")</f>
      </c>
      <c r="H1077" s="34"/>
      <c r="I1077" s="42">
        <f>IF(AND(ISNUMBER(D1077),ISNUMBER(H1077)),D1077*H1077*Inputs!$C$69,"")</f>
      </c>
      <c r="J1077" s="42">
        <f>IF(AND(ISNUMBER(F1077),ISNUMBER(H1077),F1077&gt;=Inputs!$C$68),F1077*H1077*Inputs!$C$69,"")</f>
      </c>
    </row>
    <row r="1078" spans="2:10" ht="15" customHeight="1" x14ac:dyDescent="0.2">
      <c r="B1078" s="39">
        <f t="shared" si="8"/>
      </c>
      <c r="C1078" s="40">
        <f>IF(Inputs!$C$60,Inputs!$C$11+(B1078-Inputs!$C$69)/Inputs!$C$70,"")</f>
      </c>
      <c r="D1078" s="15"/>
      <c r="E1078" s="15"/>
      <c r="F1078" s="11">
        <f t="shared" si="9"/>
      </c>
      <c r="G1078" s="22" cm="1">
        <f t="array" ref="G1078">IF(AND(Inputs!$C$60,Inputs!$C$61),INDEX(Utility_Rates!$C$29:$F$52,HOUR(C1078)+Inputs!$C$69,MATCH(INDEX(Utility_Rates!$K$6:$K$17,MONTH(C1078))&amp;IF(WEEKDAY(C1078,Inputs!$C$76)&lt;=Inputs!$C$74," weekday"," weekend"),Utility_Rates!$C$28:$F$28,Inputs!$C$68)),"")</f>
      </c>
      <c r="H1078" s="34"/>
      <c r="I1078" s="42">
        <f>IF(AND(ISNUMBER(D1078),ISNUMBER(H1078)),D1078*H1078*Inputs!$C$69,"")</f>
      </c>
      <c r="J1078" s="42">
        <f>IF(AND(ISNUMBER(F1078),ISNUMBER(H1078),F1078&gt;=Inputs!$C$68),F1078*H1078*Inputs!$C$69,"")</f>
      </c>
    </row>
    <row r="1079" spans="2:10" ht="15" customHeight="1" x14ac:dyDescent="0.2">
      <c r="B1079" s="39">
        <f t="shared" si="8"/>
      </c>
      <c r="C1079" s="40">
        <f>IF(Inputs!$C$60,Inputs!$C$11+(B1079-Inputs!$C$69)/Inputs!$C$70,"")</f>
      </c>
      <c r="D1079" s="15"/>
      <c r="E1079" s="15"/>
      <c r="F1079" s="11">
        <f t="shared" si="9"/>
      </c>
      <c r="G1079" s="22" cm="1">
        <f t="array" ref="G1079">IF(AND(Inputs!$C$60,Inputs!$C$61),INDEX(Utility_Rates!$C$29:$F$52,HOUR(C1079)+Inputs!$C$69,MATCH(INDEX(Utility_Rates!$K$6:$K$17,MONTH(C1079))&amp;IF(WEEKDAY(C1079,Inputs!$C$76)&lt;=Inputs!$C$74," weekday"," weekend"),Utility_Rates!$C$28:$F$28,Inputs!$C$68)),"")</f>
      </c>
      <c r="H1079" s="34"/>
      <c r="I1079" s="42">
        <f>IF(AND(ISNUMBER(D1079),ISNUMBER(H1079)),D1079*H1079*Inputs!$C$69,"")</f>
      </c>
      <c r="J1079" s="42">
        <f>IF(AND(ISNUMBER(F1079),ISNUMBER(H1079),F1079&gt;=Inputs!$C$68),F1079*H1079*Inputs!$C$69,"")</f>
      </c>
    </row>
    <row r="1080" spans="2:10" ht="15" customHeight="1" x14ac:dyDescent="0.2">
      <c r="B1080" s="39">
        <f t="shared" si="8"/>
      </c>
      <c r="C1080" s="40">
        <f>IF(Inputs!$C$60,Inputs!$C$11+(B1080-Inputs!$C$69)/Inputs!$C$70,"")</f>
      </c>
      <c r="D1080" s="15"/>
      <c r="E1080" s="15"/>
      <c r="F1080" s="11">
        <f t="shared" si="9"/>
      </c>
      <c r="G1080" s="22" cm="1">
        <f t="array" ref="G1080">IF(AND(Inputs!$C$60,Inputs!$C$61),INDEX(Utility_Rates!$C$29:$F$52,HOUR(C1080)+Inputs!$C$69,MATCH(INDEX(Utility_Rates!$K$6:$K$17,MONTH(C1080))&amp;IF(WEEKDAY(C1080,Inputs!$C$76)&lt;=Inputs!$C$74," weekday"," weekend"),Utility_Rates!$C$28:$F$28,Inputs!$C$68)),"")</f>
      </c>
      <c r="H1080" s="34"/>
      <c r="I1080" s="42">
        <f>IF(AND(ISNUMBER(D1080),ISNUMBER(H1080)),D1080*H1080*Inputs!$C$69,"")</f>
      </c>
      <c r="J1080" s="42">
        <f>IF(AND(ISNUMBER(F1080),ISNUMBER(H1080),F1080&gt;=Inputs!$C$68),F1080*H1080*Inputs!$C$69,"")</f>
      </c>
    </row>
    <row r="1081" spans="2:10" ht="15" customHeight="1" x14ac:dyDescent="0.2">
      <c r="B1081" s="39">
        <f t="shared" si="8"/>
      </c>
      <c r="C1081" s="40">
        <f>IF(Inputs!$C$60,Inputs!$C$11+(B1081-Inputs!$C$69)/Inputs!$C$70,"")</f>
      </c>
      <c r="D1081" s="15"/>
      <c r="E1081" s="15"/>
      <c r="F1081" s="11">
        <f t="shared" si="9"/>
      </c>
      <c r="G1081" s="22" cm="1">
        <f t="array" ref="G1081">IF(AND(Inputs!$C$60,Inputs!$C$61),INDEX(Utility_Rates!$C$29:$F$52,HOUR(C1081)+Inputs!$C$69,MATCH(INDEX(Utility_Rates!$K$6:$K$17,MONTH(C1081))&amp;IF(WEEKDAY(C1081,Inputs!$C$76)&lt;=Inputs!$C$74," weekday"," weekend"),Utility_Rates!$C$28:$F$28,Inputs!$C$68)),"")</f>
      </c>
      <c r="H1081" s="34"/>
      <c r="I1081" s="42">
        <f>IF(AND(ISNUMBER(D1081),ISNUMBER(H1081)),D1081*H1081*Inputs!$C$69,"")</f>
      </c>
      <c r="J1081" s="42">
        <f>IF(AND(ISNUMBER(F1081),ISNUMBER(H1081),F1081&gt;=Inputs!$C$68),F1081*H1081*Inputs!$C$69,"")</f>
      </c>
    </row>
    <row r="1082" spans="2:10" ht="15" customHeight="1" x14ac:dyDescent="0.2">
      <c r="B1082" s="39">
        <f t="shared" si="8"/>
      </c>
      <c r="C1082" s="40">
        <f>IF(Inputs!$C$60,Inputs!$C$11+(B1082-Inputs!$C$69)/Inputs!$C$70,"")</f>
      </c>
      <c r="D1082" s="15"/>
      <c r="E1082" s="15"/>
      <c r="F1082" s="11">
        <f t="shared" si="9"/>
      </c>
      <c r="G1082" s="22" cm="1">
        <f t="array" ref="G1082">IF(AND(Inputs!$C$60,Inputs!$C$61),INDEX(Utility_Rates!$C$29:$F$52,HOUR(C1082)+Inputs!$C$69,MATCH(INDEX(Utility_Rates!$K$6:$K$17,MONTH(C1082))&amp;IF(WEEKDAY(C1082,Inputs!$C$76)&lt;=Inputs!$C$74," weekday"," weekend"),Utility_Rates!$C$28:$F$28,Inputs!$C$68)),"")</f>
      </c>
      <c r="H1082" s="34"/>
      <c r="I1082" s="42">
        <f>IF(AND(ISNUMBER(D1082),ISNUMBER(H1082)),D1082*H1082*Inputs!$C$69,"")</f>
      </c>
      <c r="J1082" s="42">
        <f>IF(AND(ISNUMBER(F1082),ISNUMBER(H1082),F1082&gt;=Inputs!$C$68),F1082*H1082*Inputs!$C$69,"")</f>
      </c>
    </row>
    <row r="1083" spans="2:10" ht="15" customHeight="1" x14ac:dyDescent="0.2">
      <c r="B1083" s="39">
        <f t="shared" si="8"/>
      </c>
      <c r="C1083" s="40">
        <f>IF(Inputs!$C$60,Inputs!$C$11+(B1083-Inputs!$C$69)/Inputs!$C$70,"")</f>
      </c>
      <c r="D1083" s="15"/>
      <c r="E1083" s="15"/>
      <c r="F1083" s="11">
        <f t="shared" si="9"/>
      </c>
      <c r="G1083" s="22" cm="1">
        <f t="array" ref="G1083">IF(AND(Inputs!$C$60,Inputs!$C$61),INDEX(Utility_Rates!$C$29:$F$52,HOUR(C1083)+Inputs!$C$69,MATCH(INDEX(Utility_Rates!$K$6:$K$17,MONTH(C1083))&amp;IF(WEEKDAY(C1083,Inputs!$C$76)&lt;=Inputs!$C$74," weekday"," weekend"),Utility_Rates!$C$28:$F$28,Inputs!$C$68)),"")</f>
      </c>
      <c r="H1083" s="34"/>
      <c r="I1083" s="42">
        <f>IF(AND(ISNUMBER(D1083),ISNUMBER(H1083)),D1083*H1083*Inputs!$C$69,"")</f>
      </c>
      <c r="J1083" s="42">
        <f>IF(AND(ISNUMBER(F1083),ISNUMBER(H1083),F1083&gt;=Inputs!$C$68),F1083*H1083*Inputs!$C$69,"")</f>
      </c>
    </row>
    <row r="1084" spans="2:10" ht="15" customHeight="1" x14ac:dyDescent="0.2">
      <c r="B1084" s="39">
        <f t="shared" si="8"/>
      </c>
      <c r="C1084" s="40">
        <f>IF(Inputs!$C$60,Inputs!$C$11+(B1084-Inputs!$C$69)/Inputs!$C$70,"")</f>
      </c>
      <c r="D1084" s="15"/>
      <c r="E1084" s="15"/>
      <c r="F1084" s="11">
        <f t="shared" si="9"/>
      </c>
      <c r="G1084" s="22" cm="1">
        <f t="array" ref="G1084">IF(AND(Inputs!$C$60,Inputs!$C$61),INDEX(Utility_Rates!$C$29:$F$52,HOUR(C1084)+Inputs!$C$69,MATCH(INDEX(Utility_Rates!$K$6:$K$17,MONTH(C1084))&amp;IF(WEEKDAY(C1084,Inputs!$C$76)&lt;=Inputs!$C$74," weekday"," weekend"),Utility_Rates!$C$28:$F$28,Inputs!$C$68)),"")</f>
      </c>
      <c r="H1084" s="34"/>
      <c r="I1084" s="42">
        <f>IF(AND(ISNUMBER(D1084),ISNUMBER(H1084)),D1084*H1084*Inputs!$C$69,"")</f>
      </c>
      <c r="J1084" s="42">
        <f>IF(AND(ISNUMBER(F1084),ISNUMBER(H1084),F1084&gt;=Inputs!$C$68),F1084*H1084*Inputs!$C$69,"")</f>
      </c>
    </row>
    <row r="1085" spans="2:10" ht="15" customHeight="1" x14ac:dyDescent="0.2">
      <c r="B1085" s="39">
        <f t="shared" si="8"/>
      </c>
      <c r="C1085" s="40">
        <f>IF(Inputs!$C$60,Inputs!$C$11+(B1085-Inputs!$C$69)/Inputs!$C$70,"")</f>
      </c>
      <c r="D1085" s="15"/>
      <c r="E1085" s="15"/>
      <c r="F1085" s="11">
        <f t="shared" si="9"/>
      </c>
      <c r="G1085" s="22" cm="1">
        <f t="array" ref="G1085">IF(AND(Inputs!$C$60,Inputs!$C$61),INDEX(Utility_Rates!$C$29:$F$52,HOUR(C1085)+Inputs!$C$69,MATCH(INDEX(Utility_Rates!$K$6:$K$17,MONTH(C1085))&amp;IF(WEEKDAY(C1085,Inputs!$C$76)&lt;=Inputs!$C$74," weekday"," weekend"),Utility_Rates!$C$28:$F$28,Inputs!$C$68)),"")</f>
      </c>
      <c r="H1085" s="34"/>
      <c r="I1085" s="42">
        <f>IF(AND(ISNUMBER(D1085),ISNUMBER(H1085)),D1085*H1085*Inputs!$C$69,"")</f>
      </c>
      <c r="J1085" s="42">
        <f>IF(AND(ISNUMBER(F1085),ISNUMBER(H1085),F1085&gt;=Inputs!$C$68),F1085*H1085*Inputs!$C$69,"")</f>
      </c>
    </row>
    <row r="1086" spans="2:10" ht="15" customHeight="1" x14ac:dyDescent="0.2">
      <c r="B1086" s="39">
        <f t="shared" si="8"/>
      </c>
      <c r="C1086" s="40">
        <f>IF(Inputs!$C$60,Inputs!$C$11+(B1086-Inputs!$C$69)/Inputs!$C$70,"")</f>
      </c>
      <c r="D1086" s="15"/>
      <c r="E1086" s="15"/>
      <c r="F1086" s="11">
        <f t="shared" si="9"/>
      </c>
      <c r="G1086" s="22" cm="1">
        <f t="array" ref="G1086">IF(AND(Inputs!$C$60,Inputs!$C$61),INDEX(Utility_Rates!$C$29:$F$52,HOUR(C1086)+Inputs!$C$69,MATCH(INDEX(Utility_Rates!$K$6:$K$17,MONTH(C1086))&amp;IF(WEEKDAY(C1086,Inputs!$C$76)&lt;=Inputs!$C$74," weekday"," weekend"),Utility_Rates!$C$28:$F$28,Inputs!$C$68)),"")</f>
      </c>
      <c r="H1086" s="34"/>
      <c r="I1086" s="42">
        <f>IF(AND(ISNUMBER(D1086),ISNUMBER(H1086)),D1086*H1086*Inputs!$C$69,"")</f>
      </c>
      <c r="J1086" s="42">
        <f>IF(AND(ISNUMBER(F1086),ISNUMBER(H1086),F1086&gt;=Inputs!$C$68),F1086*H1086*Inputs!$C$69,"")</f>
      </c>
    </row>
    <row r="1087" spans="2:10" ht="15" customHeight="1" x14ac:dyDescent="0.2">
      <c r="B1087" s="39">
        <f t="shared" si="8"/>
      </c>
      <c r="C1087" s="40">
        <f>IF(Inputs!$C$60,Inputs!$C$11+(B1087-Inputs!$C$69)/Inputs!$C$70,"")</f>
      </c>
      <c r="D1087" s="15"/>
      <c r="E1087" s="15"/>
      <c r="F1087" s="11">
        <f t="shared" si="9"/>
      </c>
      <c r="G1087" s="22" cm="1">
        <f t="array" ref="G1087">IF(AND(Inputs!$C$60,Inputs!$C$61),INDEX(Utility_Rates!$C$29:$F$52,HOUR(C1087)+Inputs!$C$69,MATCH(INDEX(Utility_Rates!$K$6:$K$17,MONTH(C1087))&amp;IF(WEEKDAY(C1087,Inputs!$C$76)&lt;=Inputs!$C$74," weekday"," weekend"),Utility_Rates!$C$28:$F$28,Inputs!$C$68)),"")</f>
      </c>
      <c r="H1087" s="34"/>
      <c r="I1087" s="42">
        <f>IF(AND(ISNUMBER(D1087),ISNUMBER(H1087)),D1087*H1087*Inputs!$C$69,"")</f>
      </c>
      <c r="J1087" s="42">
        <f>IF(AND(ISNUMBER(F1087),ISNUMBER(H1087),F1087&gt;=Inputs!$C$68),F1087*H1087*Inputs!$C$69,"")</f>
      </c>
    </row>
    <row r="1088" spans="2:10" ht="15" customHeight="1" x14ac:dyDescent="0.2">
      <c r="B1088" s="39">
        <f t="shared" si="8"/>
      </c>
      <c r="C1088" s="40">
        <f>IF(Inputs!$C$60,Inputs!$C$11+(B1088-Inputs!$C$69)/Inputs!$C$70,"")</f>
      </c>
      <c r="D1088" s="15"/>
      <c r="E1088" s="15"/>
      <c r="F1088" s="11">
        <f t="shared" si="9"/>
      </c>
      <c r="G1088" s="22" cm="1">
        <f t="array" ref="G1088">IF(AND(Inputs!$C$60,Inputs!$C$61),INDEX(Utility_Rates!$C$29:$F$52,HOUR(C1088)+Inputs!$C$69,MATCH(INDEX(Utility_Rates!$K$6:$K$17,MONTH(C1088))&amp;IF(WEEKDAY(C1088,Inputs!$C$76)&lt;=Inputs!$C$74," weekday"," weekend"),Utility_Rates!$C$28:$F$28,Inputs!$C$68)),"")</f>
      </c>
      <c r="H1088" s="34"/>
      <c r="I1088" s="42">
        <f>IF(AND(ISNUMBER(D1088),ISNUMBER(H1088)),D1088*H1088*Inputs!$C$69,"")</f>
      </c>
      <c r="J1088" s="42">
        <f>IF(AND(ISNUMBER(F1088),ISNUMBER(H1088),F1088&gt;=Inputs!$C$68),F1088*H1088*Inputs!$C$69,"")</f>
      </c>
    </row>
    <row r="1089" spans="2:10" ht="15" customHeight="1" x14ac:dyDescent="0.2">
      <c r="B1089" s="39">
        <f t="shared" si="8"/>
      </c>
      <c r="C1089" s="40">
        <f>IF(Inputs!$C$60,Inputs!$C$11+(B1089-Inputs!$C$69)/Inputs!$C$70,"")</f>
      </c>
      <c r="D1089" s="15"/>
      <c r="E1089" s="15"/>
      <c r="F1089" s="11">
        <f t="shared" si="9"/>
      </c>
      <c r="G1089" s="22" cm="1">
        <f t="array" ref="G1089">IF(AND(Inputs!$C$60,Inputs!$C$61),INDEX(Utility_Rates!$C$29:$F$52,HOUR(C1089)+Inputs!$C$69,MATCH(INDEX(Utility_Rates!$K$6:$K$17,MONTH(C1089))&amp;IF(WEEKDAY(C1089,Inputs!$C$76)&lt;=Inputs!$C$74," weekday"," weekend"),Utility_Rates!$C$28:$F$28,Inputs!$C$68)),"")</f>
      </c>
      <c r="H1089" s="34"/>
      <c r="I1089" s="42">
        <f>IF(AND(ISNUMBER(D1089),ISNUMBER(H1089)),D1089*H1089*Inputs!$C$69,"")</f>
      </c>
      <c r="J1089" s="42">
        <f>IF(AND(ISNUMBER(F1089),ISNUMBER(H1089),F1089&gt;=Inputs!$C$68),F1089*H1089*Inputs!$C$69,"")</f>
      </c>
    </row>
    <row r="1090" spans="2:10" ht="15" customHeight="1" x14ac:dyDescent="0.2">
      <c r="B1090" s="39">
        <f t="shared" si="8"/>
      </c>
      <c r="C1090" s="40">
        <f>IF(Inputs!$C$60,Inputs!$C$11+(B1090-Inputs!$C$69)/Inputs!$C$70,"")</f>
      </c>
      <c r="D1090" s="15"/>
      <c r="E1090" s="15"/>
      <c r="F1090" s="11">
        <f t="shared" si="9"/>
      </c>
      <c r="G1090" s="22" cm="1">
        <f t="array" ref="G1090">IF(AND(Inputs!$C$60,Inputs!$C$61),INDEX(Utility_Rates!$C$29:$F$52,HOUR(C1090)+Inputs!$C$69,MATCH(INDEX(Utility_Rates!$K$6:$K$17,MONTH(C1090))&amp;IF(WEEKDAY(C1090,Inputs!$C$76)&lt;=Inputs!$C$74," weekday"," weekend"),Utility_Rates!$C$28:$F$28,Inputs!$C$68)),"")</f>
      </c>
      <c r="H1090" s="34"/>
      <c r="I1090" s="42">
        <f>IF(AND(ISNUMBER(D1090),ISNUMBER(H1090)),D1090*H1090*Inputs!$C$69,"")</f>
      </c>
      <c r="J1090" s="42">
        <f>IF(AND(ISNUMBER(F1090),ISNUMBER(H1090),F1090&gt;=Inputs!$C$68),F1090*H1090*Inputs!$C$69,"")</f>
      </c>
    </row>
    <row r="1091" spans="2:10" ht="15" customHeight="1" x14ac:dyDescent="0.2">
      <c r="B1091" s="39">
        <f t="shared" si="8"/>
      </c>
      <c r="C1091" s="40">
        <f>IF(Inputs!$C$60,Inputs!$C$11+(B1091-Inputs!$C$69)/Inputs!$C$70,"")</f>
      </c>
      <c r="D1091" s="15"/>
      <c r="E1091" s="15"/>
      <c r="F1091" s="11">
        <f t="shared" si="9"/>
      </c>
      <c r="G1091" s="22" cm="1">
        <f t="array" ref="G1091">IF(AND(Inputs!$C$60,Inputs!$C$61),INDEX(Utility_Rates!$C$29:$F$52,HOUR(C1091)+Inputs!$C$69,MATCH(INDEX(Utility_Rates!$K$6:$K$17,MONTH(C1091))&amp;IF(WEEKDAY(C1091,Inputs!$C$76)&lt;=Inputs!$C$74," weekday"," weekend"),Utility_Rates!$C$28:$F$28,Inputs!$C$68)),"")</f>
      </c>
      <c r="H1091" s="34"/>
      <c r="I1091" s="42">
        <f>IF(AND(ISNUMBER(D1091),ISNUMBER(H1091)),D1091*H1091*Inputs!$C$69,"")</f>
      </c>
      <c r="J1091" s="42">
        <f>IF(AND(ISNUMBER(F1091),ISNUMBER(H1091),F1091&gt;=Inputs!$C$68),F1091*H1091*Inputs!$C$69,"")</f>
      </c>
    </row>
    <row r="1092" spans="2:10" ht="15" customHeight="1" x14ac:dyDescent="0.2">
      <c r="B1092" s="39">
        <f t="shared" si="8"/>
      </c>
      <c r="C1092" s="40">
        <f>IF(Inputs!$C$60,Inputs!$C$11+(B1092-Inputs!$C$69)/Inputs!$C$70,"")</f>
      </c>
      <c r="D1092" s="15"/>
      <c r="E1092" s="15"/>
      <c r="F1092" s="11">
        <f t="shared" si="9"/>
      </c>
      <c r="G1092" s="22" cm="1">
        <f t="array" ref="G1092">IF(AND(Inputs!$C$60,Inputs!$C$61),INDEX(Utility_Rates!$C$29:$F$52,HOUR(C1092)+Inputs!$C$69,MATCH(INDEX(Utility_Rates!$K$6:$K$17,MONTH(C1092))&amp;IF(WEEKDAY(C1092,Inputs!$C$76)&lt;=Inputs!$C$74," weekday"," weekend"),Utility_Rates!$C$28:$F$28,Inputs!$C$68)),"")</f>
      </c>
      <c r="H1092" s="34"/>
      <c r="I1092" s="42">
        <f>IF(AND(ISNUMBER(D1092),ISNUMBER(H1092)),D1092*H1092*Inputs!$C$69,"")</f>
      </c>
      <c r="J1092" s="42">
        <f>IF(AND(ISNUMBER(F1092),ISNUMBER(H1092),F1092&gt;=Inputs!$C$68),F1092*H1092*Inputs!$C$69,"")</f>
      </c>
    </row>
    <row r="1093" spans="2:10" ht="15" customHeight="1" x14ac:dyDescent="0.2">
      <c r="B1093" s="39">
        <f t="shared" si="8"/>
      </c>
      <c r="C1093" s="40">
        <f>IF(Inputs!$C$60,Inputs!$C$11+(B1093-Inputs!$C$69)/Inputs!$C$70,"")</f>
      </c>
      <c r="D1093" s="15"/>
      <c r="E1093" s="15"/>
      <c r="F1093" s="11">
        <f t="shared" si="9"/>
      </c>
      <c r="G1093" s="22" cm="1">
        <f t="array" ref="G1093">IF(AND(Inputs!$C$60,Inputs!$C$61),INDEX(Utility_Rates!$C$29:$F$52,HOUR(C1093)+Inputs!$C$69,MATCH(INDEX(Utility_Rates!$K$6:$K$17,MONTH(C1093))&amp;IF(WEEKDAY(C1093,Inputs!$C$76)&lt;=Inputs!$C$74," weekday"," weekend"),Utility_Rates!$C$28:$F$28,Inputs!$C$68)),"")</f>
      </c>
      <c r="H1093" s="34"/>
      <c r="I1093" s="42">
        <f>IF(AND(ISNUMBER(D1093),ISNUMBER(H1093)),D1093*H1093*Inputs!$C$69,"")</f>
      </c>
      <c r="J1093" s="42">
        <f>IF(AND(ISNUMBER(F1093),ISNUMBER(H1093),F1093&gt;=Inputs!$C$68),F1093*H1093*Inputs!$C$69,"")</f>
      </c>
    </row>
    <row r="1094" spans="2:10" ht="15" customHeight="1" x14ac:dyDescent="0.2">
      <c r="B1094" s="39">
        <f t="shared" si="8"/>
      </c>
      <c r="C1094" s="40">
        <f>IF(Inputs!$C$60,Inputs!$C$11+(B1094-Inputs!$C$69)/Inputs!$C$70,"")</f>
      </c>
      <c r="D1094" s="15"/>
      <c r="E1094" s="15"/>
      <c r="F1094" s="11">
        <f t="shared" si="9"/>
      </c>
      <c r="G1094" s="22" cm="1">
        <f t="array" ref="G1094">IF(AND(Inputs!$C$60,Inputs!$C$61),INDEX(Utility_Rates!$C$29:$F$52,HOUR(C1094)+Inputs!$C$69,MATCH(INDEX(Utility_Rates!$K$6:$K$17,MONTH(C1094))&amp;IF(WEEKDAY(C1094,Inputs!$C$76)&lt;=Inputs!$C$74," weekday"," weekend"),Utility_Rates!$C$28:$F$28,Inputs!$C$68)),"")</f>
      </c>
      <c r="H1094" s="34"/>
      <c r="I1094" s="42">
        <f>IF(AND(ISNUMBER(D1094),ISNUMBER(H1094)),D1094*H1094*Inputs!$C$69,"")</f>
      </c>
      <c r="J1094" s="42">
        <f>IF(AND(ISNUMBER(F1094),ISNUMBER(H1094),F1094&gt;=Inputs!$C$68),F1094*H1094*Inputs!$C$69,"")</f>
      </c>
    </row>
    <row r="1095" spans="2:10" ht="15" customHeight="1" x14ac:dyDescent="0.2">
      <c r="B1095" s="39">
        <f t="shared" si="8"/>
      </c>
      <c r="C1095" s="40">
        <f>IF(Inputs!$C$60,Inputs!$C$11+(B1095-Inputs!$C$69)/Inputs!$C$70,"")</f>
      </c>
      <c r="D1095" s="15"/>
      <c r="E1095" s="15"/>
      <c r="F1095" s="11">
        <f t="shared" si="9"/>
      </c>
      <c r="G1095" s="22" cm="1">
        <f t="array" ref="G1095">IF(AND(Inputs!$C$60,Inputs!$C$61),INDEX(Utility_Rates!$C$29:$F$52,HOUR(C1095)+Inputs!$C$69,MATCH(INDEX(Utility_Rates!$K$6:$K$17,MONTH(C1095))&amp;IF(WEEKDAY(C1095,Inputs!$C$76)&lt;=Inputs!$C$74," weekday"," weekend"),Utility_Rates!$C$28:$F$28,Inputs!$C$68)),"")</f>
      </c>
      <c r="H1095" s="34"/>
      <c r="I1095" s="42">
        <f>IF(AND(ISNUMBER(D1095),ISNUMBER(H1095)),D1095*H1095*Inputs!$C$69,"")</f>
      </c>
      <c r="J1095" s="42">
        <f>IF(AND(ISNUMBER(F1095),ISNUMBER(H1095),F1095&gt;=Inputs!$C$68),F1095*H1095*Inputs!$C$69,"")</f>
      </c>
    </row>
    <row r="1096" spans="2:10" ht="15" customHeight="1" x14ac:dyDescent="0.2">
      <c r="B1096" s="39">
        <f t="shared" si="8"/>
      </c>
      <c r="C1096" s="40">
        <f>IF(Inputs!$C$60,Inputs!$C$11+(B1096-Inputs!$C$69)/Inputs!$C$70,"")</f>
      </c>
      <c r="D1096" s="15"/>
      <c r="E1096" s="15"/>
      <c r="F1096" s="11">
        <f t="shared" si="9"/>
      </c>
      <c r="G1096" s="22" cm="1">
        <f t="array" ref="G1096">IF(AND(Inputs!$C$60,Inputs!$C$61),INDEX(Utility_Rates!$C$29:$F$52,HOUR(C1096)+Inputs!$C$69,MATCH(INDEX(Utility_Rates!$K$6:$K$17,MONTH(C1096))&amp;IF(WEEKDAY(C1096,Inputs!$C$76)&lt;=Inputs!$C$74," weekday"," weekend"),Utility_Rates!$C$28:$F$28,Inputs!$C$68)),"")</f>
      </c>
      <c r="H1096" s="34"/>
      <c r="I1096" s="42">
        <f>IF(AND(ISNUMBER(D1096),ISNUMBER(H1096)),D1096*H1096*Inputs!$C$69,"")</f>
      </c>
      <c r="J1096" s="42">
        <f>IF(AND(ISNUMBER(F1096),ISNUMBER(H1096),F1096&gt;=Inputs!$C$68),F1096*H1096*Inputs!$C$69,"")</f>
      </c>
    </row>
    <row r="1097" spans="2:10" ht="15" customHeight="1" x14ac:dyDescent="0.2">
      <c r="B1097" s="39">
        <f t="shared" si="8"/>
      </c>
      <c r="C1097" s="40">
        <f>IF(Inputs!$C$60,Inputs!$C$11+(B1097-Inputs!$C$69)/Inputs!$C$70,"")</f>
      </c>
      <c r="D1097" s="15"/>
      <c r="E1097" s="15"/>
      <c r="F1097" s="11">
        <f t="shared" si="9"/>
      </c>
      <c r="G1097" s="22" cm="1">
        <f t="array" ref="G1097">IF(AND(Inputs!$C$60,Inputs!$C$61),INDEX(Utility_Rates!$C$29:$F$52,HOUR(C1097)+Inputs!$C$69,MATCH(INDEX(Utility_Rates!$K$6:$K$17,MONTH(C1097))&amp;IF(WEEKDAY(C1097,Inputs!$C$76)&lt;=Inputs!$C$74," weekday"," weekend"),Utility_Rates!$C$28:$F$28,Inputs!$C$68)),"")</f>
      </c>
      <c r="H1097" s="34"/>
      <c r="I1097" s="42">
        <f>IF(AND(ISNUMBER(D1097),ISNUMBER(H1097)),D1097*H1097*Inputs!$C$69,"")</f>
      </c>
      <c r="J1097" s="42">
        <f>IF(AND(ISNUMBER(F1097),ISNUMBER(H1097),F1097&gt;=Inputs!$C$68),F1097*H1097*Inputs!$C$69,"")</f>
      </c>
    </row>
    <row r="1098" spans="2:10" ht="15" customHeight="1" x14ac:dyDescent="0.2">
      <c r="B1098" s="39">
        <f t="shared" si="8"/>
      </c>
      <c r="C1098" s="40">
        <f>IF(Inputs!$C$60,Inputs!$C$11+(B1098-Inputs!$C$69)/Inputs!$C$70,"")</f>
      </c>
      <c r="D1098" s="15"/>
      <c r="E1098" s="15"/>
      <c r="F1098" s="11">
        <f t="shared" si="9"/>
      </c>
      <c r="G1098" s="22" cm="1">
        <f t="array" ref="G1098">IF(AND(Inputs!$C$60,Inputs!$C$61),INDEX(Utility_Rates!$C$29:$F$52,HOUR(C1098)+Inputs!$C$69,MATCH(INDEX(Utility_Rates!$K$6:$K$17,MONTH(C1098))&amp;IF(WEEKDAY(C1098,Inputs!$C$76)&lt;=Inputs!$C$74," weekday"," weekend"),Utility_Rates!$C$28:$F$28,Inputs!$C$68)),"")</f>
      </c>
      <c r="H1098" s="34"/>
      <c r="I1098" s="42">
        <f>IF(AND(ISNUMBER(D1098),ISNUMBER(H1098)),D1098*H1098*Inputs!$C$69,"")</f>
      </c>
      <c r="J1098" s="42">
        <f>IF(AND(ISNUMBER(F1098),ISNUMBER(H1098),F1098&gt;=Inputs!$C$68),F1098*H1098*Inputs!$C$69,"")</f>
      </c>
    </row>
    <row r="1099" spans="2:10" ht="15" customHeight="1" x14ac:dyDescent="0.2">
      <c r="B1099" s="39">
        <f t="shared" si="8"/>
      </c>
      <c r="C1099" s="40">
        <f>IF(Inputs!$C$60,Inputs!$C$11+(B1099-Inputs!$C$69)/Inputs!$C$70,"")</f>
      </c>
      <c r="D1099" s="15"/>
      <c r="E1099" s="15"/>
      <c r="F1099" s="11">
        <f t="shared" si="9"/>
      </c>
      <c r="G1099" s="22" cm="1">
        <f t="array" ref="G1099">IF(AND(Inputs!$C$60,Inputs!$C$61),INDEX(Utility_Rates!$C$29:$F$52,HOUR(C1099)+Inputs!$C$69,MATCH(INDEX(Utility_Rates!$K$6:$K$17,MONTH(C1099))&amp;IF(WEEKDAY(C1099,Inputs!$C$76)&lt;=Inputs!$C$74," weekday"," weekend"),Utility_Rates!$C$28:$F$28,Inputs!$C$68)),"")</f>
      </c>
      <c r="H1099" s="34"/>
      <c r="I1099" s="42">
        <f>IF(AND(ISNUMBER(D1099),ISNUMBER(H1099)),D1099*H1099*Inputs!$C$69,"")</f>
      </c>
      <c r="J1099" s="42">
        <f>IF(AND(ISNUMBER(F1099),ISNUMBER(H1099),F1099&gt;=Inputs!$C$68),F1099*H1099*Inputs!$C$69,"")</f>
      </c>
    </row>
    <row r="1100" spans="2:10" ht="15" customHeight="1" x14ac:dyDescent="0.2">
      <c r="B1100" s="39">
        <f t="shared" si="8"/>
      </c>
      <c r="C1100" s="40">
        <f>IF(Inputs!$C$60,Inputs!$C$11+(B1100-Inputs!$C$69)/Inputs!$C$70,"")</f>
      </c>
      <c r="D1100" s="15"/>
      <c r="E1100" s="15"/>
      <c r="F1100" s="11">
        <f t="shared" si="9"/>
      </c>
      <c r="G1100" s="22" cm="1">
        <f t="array" ref="G1100">IF(AND(Inputs!$C$60,Inputs!$C$61),INDEX(Utility_Rates!$C$29:$F$52,HOUR(C1100)+Inputs!$C$69,MATCH(INDEX(Utility_Rates!$K$6:$K$17,MONTH(C1100))&amp;IF(WEEKDAY(C1100,Inputs!$C$76)&lt;=Inputs!$C$74," weekday"," weekend"),Utility_Rates!$C$28:$F$28,Inputs!$C$68)),"")</f>
      </c>
      <c r="H1100" s="34"/>
      <c r="I1100" s="42">
        <f>IF(AND(ISNUMBER(D1100),ISNUMBER(H1100)),D1100*H1100*Inputs!$C$69,"")</f>
      </c>
      <c r="J1100" s="42">
        <f>IF(AND(ISNUMBER(F1100),ISNUMBER(H1100),F1100&gt;=Inputs!$C$68),F1100*H1100*Inputs!$C$69,"")</f>
      </c>
    </row>
    <row r="1101" spans="2:10" ht="15" customHeight="1" x14ac:dyDescent="0.2">
      <c r="B1101" s="39">
        <f t="shared" si="8"/>
      </c>
      <c r="C1101" s="40">
        <f>IF(Inputs!$C$60,Inputs!$C$11+(B1101-Inputs!$C$69)/Inputs!$C$70,"")</f>
      </c>
      <c r="D1101" s="15"/>
      <c r="E1101" s="15"/>
      <c r="F1101" s="11">
        <f t="shared" si="9"/>
      </c>
      <c r="G1101" s="22" cm="1">
        <f t="array" ref="G1101">IF(AND(Inputs!$C$60,Inputs!$C$61),INDEX(Utility_Rates!$C$29:$F$52,HOUR(C1101)+Inputs!$C$69,MATCH(INDEX(Utility_Rates!$K$6:$K$17,MONTH(C1101))&amp;IF(WEEKDAY(C1101,Inputs!$C$76)&lt;=Inputs!$C$74," weekday"," weekend"),Utility_Rates!$C$28:$F$28,Inputs!$C$68)),"")</f>
      </c>
      <c r="H1101" s="34"/>
      <c r="I1101" s="42">
        <f>IF(AND(ISNUMBER(D1101),ISNUMBER(H1101)),D1101*H1101*Inputs!$C$69,"")</f>
      </c>
      <c r="J1101" s="42">
        <f>IF(AND(ISNUMBER(F1101),ISNUMBER(H1101),F1101&gt;=Inputs!$C$68),F1101*H1101*Inputs!$C$69,"")</f>
      </c>
    </row>
    <row r="1102" spans="2:10" ht="15" customHeight="1" x14ac:dyDescent="0.2">
      <c r="B1102" s="39">
        <f t="shared" si="8"/>
      </c>
      <c r="C1102" s="40">
        <f>IF(Inputs!$C$60,Inputs!$C$11+(B1102-Inputs!$C$69)/Inputs!$C$70,"")</f>
      </c>
      <c r="D1102" s="15"/>
      <c r="E1102" s="15"/>
      <c r="F1102" s="11">
        <f t="shared" si="9"/>
      </c>
      <c r="G1102" s="22" cm="1">
        <f t="array" ref="G1102">IF(AND(Inputs!$C$60,Inputs!$C$61),INDEX(Utility_Rates!$C$29:$F$52,HOUR(C1102)+Inputs!$C$69,MATCH(INDEX(Utility_Rates!$K$6:$K$17,MONTH(C1102))&amp;IF(WEEKDAY(C1102,Inputs!$C$76)&lt;=Inputs!$C$74," weekday"," weekend"),Utility_Rates!$C$28:$F$28,Inputs!$C$68)),"")</f>
      </c>
      <c r="H1102" s="34"/>
      <c r="I1102" s="42">
        <f>IF(AND(ISNUMBER(D1102),ISNUMBER(H1102)),D1102*H1102*Inputs!$C$69,"")</f>
      </c>
      <c r="J1102" s="42">
        <f>IF(AND(ISNUMBER(F1102),ISNUMBER(H1102),F1102&gt;=Inputs!$C$68),F1102*H1102*Inputs!$C$69,"")</f>
      </c>
    </row>
    <row r="1103" spans="2:10" ht="15" customHeight="1" x14ac:dyDescent="0.2">
      <c r="B1103" s="39">
        <f t="shared" si="8"/>
      </c>
      <c r="C1103" s="40">
        <f>IF(Inputs!$C$60,Inputs!$C$11+(B1103-Inputs!$C$69)/Inputs!$C$70,"")</f>
      </c>
      <c r="D1103" s="15"/>
      <c r="E1103" s="15"/>
      <c r="F1103" s="11">
        <f t="shared" si="9"/>
      </c>
      <c r="G1103" s="22" cm="1">
        <f t="array" ref="G1103">IF(AND(Inputs!$C$60,Inputs!$C$61),INDEX(Utility_Rates!$C$29:$F$52,HOUR(C1103)+Inputs!$C$69,MATCH(INDEX(Utility_Rates!$K$6:$K$17,MONTH(C1103))&amp;IF(WEEKDAY(C1103,Inputs!$C$76)&lt;=Inputs!$C$74," weekday"," weekend"),Utility_Rates!$C$28:$F$28,Inputs!$C$68)),"")</f>
      </c>
      <c r="H1103" s="34"/>
      <c r="I1103" s="42">
        <f>IF(AND(ISNUMBER(D1103),ISNUMBER(H1103)),D1103*H1103*Inputs!$C$69,"")</f>
      </c>
      <c r="J1103" s="42">
        <f>IF(AND(ISNUMBER(F1103),ISNUMBER(H1103),F1103&gt;=Inputs!$C$68),F1103*H1103*Inputs!$C$69,"")</f>
      </c>
    </row>
    <row r="1104" spans="2:10" ht="15" customHeight="1" x14ac:dyDescent="0.2">
      <c r="B1104" s="39">
        <f t="shared" si="8"/>
      </c>
      <c r="C1104" s="40">
        <f>IF(Inputs!$C$60,Inputs!$C$11+(B1104-Inputs!$C$69)/Inputs!$C$70,"")</f>
      </c>
      <c r="D1104" s="15"/>
      <c r="E1104" s="15"/>
      <c r="F1104" s="11">
        <f t="shared" si="9"/>
      </c>
      <c r="G1104" s="22" cm="1">
        <f t="array" ref="G1104">IF(AND(Inputs!$C$60,Inputs!$C$61),INDEX(Utility_Rates!$C$29:$F$52,HOUR(C1104)+Inputs!$C$69,MATCH(INDEX(Utility_Rates!$K$6:$K$17,MONTH(C1104))&amp;IF(WEEKDAY(C1104,Inputs!$C$76)&lt;=Inputs!$C$74," weekday"," weekend"),Utility_Rates!$C$28:$F$28,Inputs!$C$68)),"")</f>
      </c>
      <c r="H1104" s="34"/>
      <c r="I1104" s="42">
        <f>IF(AND(ISNUMBER(D1104),ISNUMBER(H1104)),D1104*H1104*Inputs!$C$69,"")</f>
      </c>
      <c r="J1104" s="42">
        <f>IF(AND(ISNUMBER(F1104),ISNUMBER(H1104),F1104&gt;=Inputs!$C$68),F1104*H1104*Inputs!$C$69,"")</f>
      </c>
    </row>
    <row r="1105" spans="2:10" ht="15" customHeight="1" x14ac:dyDescent="0.2">
      <c r="B1105" s="39">
        <f t="shared" si="8"/>
      </c>
      <c r="C1105" s="40">
        <f>IF(Inputs!$C$60,Inputs!$C$11+(B1105-Inputs!$C$69)/Inputs!$C$70,"")</f>
      </c>
      <c r="D1105" s="15"/>
      <c r="E1105" s="15"/>
      <c r="F1105" s="11">
        <f t="shared" si="9"/>
      </c>
      <c r="G1105" s="22" cm="1">
        <f t="array" ref="G1105">IF(AND(Inputs!$C$60,Inputs!$C$61),INDEX(Utility_Rates!$C$29:$F$52,HOUR(C1105)+Inputs!$C$69,MATCH(INDEX(Utility_Rates!$K$6:$K$17,MONTH(C1105))&amp;IF(WEEKDAY(C1105,Inputs!$C$76)&lt;=Inputs!$C$74," weekday"," weekend"),Utility_Rates!$C$28:$F$28,Inputs!$C$68)),"")</f>
      </c>
      <c r="H1105" s="34"/>
      <c r="I1105" s="42">
        <f>IF(AND(ISNUMBER(D1105),ISNUMBER(H1105)),D1105*H1105*Inputs!$C$69,"")</f>
      </c>
      <c r="J1105" s="42">
        <f>IF(AND(ISNUMBER(F1105),ISNUMBER(H1105),F1105&gt;=Inputs!$C$68),F1105*H1105*Inputs!$C$69,"")</f>
      </c>
    </row>
    <row r="1106" spans="2:10" ht="15" customHeight="1" x14ac:dyDescent="0.2">
      <c r="B1106" s="39">
        <f t="shared" si="8"/>
      </c>
      <c r="C1106" s="40">
        <f>IF(Inputs!$C$60,Inputs!$C$11+(B1106-Inputs!$C$69)/Inputs!$C$70,"")</f>
      </c>
      <c r="D1106" s="15"/>
      <c r="E1106" s="15"/>
      <c r="F1106" s="11">
        <f t="shared" si="9"/>
      </c>
      <c r="G1106" s="22" cm="1">
        <f t="array" ref="G1106">IF(AND(Inputs!$C$60,Inputs!$C$61),INDEX(Utility_Rates!$C$29:$F$52,HOUR(C1106)+Inputs!$C$69,MATCH(INDEX(Utility_Rates!$K$6:$K$17,MONTH(C1106))&amp;IF(WEEKDAY(C1106,Inputs!$C$76)&lt;=Inputs!$C$74," weekday"," weekend"),Utility_Rates!$C$28:$F$28,Inputs!$C$68)),"")</f>
      </c>
      <c r="H1106" s="34"/>
      <c r="I1106" s="42">
        <f>IF(AND(ISNUMBER(D1106),ISNUMBER(H1106)),D1106*H1106*Inputs!$C$69,"")</f>
      </c>
      <c r="J1106" s="42">
        <f>IF(AND(ISNUMBER(F1106),ISNUMBER(H1106),F1106&gt;=Inputs!$C$68),F1106*H1106*Inputs!$C$69,"")</f>
      </c>
    </row>
    <row r="1107" spans="2:10" ht="15" customHeight="1" x14ac:dyDescent="0.2">
      <c r="B1107" s="39">
        <f t="shared" si="8"/>
      </c>
      <c r="C1107" s="40">
        <f>IF(Inputs!$C$60,Inputs!$C$11+(B1107-Inputs!$C$69)/Inputs!$C$70,"")</f>
      </c>
      <c r="D1107" s="15"/>
      <c r="E1107" s="15"/>
      <c r="F1107" s="11">
        <f t="shared" si="9"/>
      </c>
      <c r="G1107" s="22" cm="1">
        <f t="array" ref="G1107">IF(AND(Inputs!$C$60,Inputs!$C$61),INDEX(Utility_Rates!$C$29:$F$52,HOUR(C1107)+Inputs!$C$69,MATCH(INDEX(Utility_Rates!$K$6:$K$17,MONTH(C1107))&amp;IF(WEEKDAY(C1107,Inputs!$C$76)&lt;=Inputs!$C$74," weekday"," weekend"),Utility_Rates!$C$28:$F$28,Inputs!$C$68)),"")</f>
      </c>
      <c r="H1107" s="34"/>
      <c r="I1107" s="42">
        <f>IF(AND(ISNUMBER(D1107),ISNUMBER(H1107)),D1107*H1107*Inputs!$C$69,"")</f>
      </c>
      <c r="J1107" s="42">
        <f>IF(AND(ISNUMBER(F1107),ISNUMBER(H1107),F1107&gt;=Inputs!$C$68),F1107*H1107*Inputs!$C$69,"")</f>
      </c>
    </row>
    <row r="1108" spans="2:10" ht="15" customHeight="1" x14ac:dyDescent="0.2">
      <c r="B1108" s="39">
        <f t="shared" si="8"/>
      </c>
      <c r="C1108" s="40">
        <f>IF(Inputs!$C$60,Inputs!$C$11+(B1108-Inputs!$C$69)/Inputs!$C$70,"")</f>
      </c>
      <c r="D1108" s="15"/>
      <c r="E1108" s="15"/>
      <c r="F1108" s="11">
        <f t="shared" si="9"/>
      </c>
      <c r="G1108" s="22" cm="1">
        <f t="array" ref="G1108">IF(AND(Inputs!$C$60,Inputs!$C$61),INDEX(Utility_Rates!$C$29:$F$52,HOUR(C1108)+Inputs!$C$69,MATCH(INDEX(Utility_Rates!$K$6:$K$17,MONTH(C1108))&amp;IF(WEEKDAY(C1108,Inputs!$C$76)&lt;=Inputs!$C$74," weekday"," weekend"),Utility_Rates!$C$28:$F$28,Inputs!$C$68)),"")</f>
      </c>
      <c r="H1108" s="34"/>
      <c r="I1108" s="42">
        <f>IF(AND(ISNUMBER(D1108),ISNUMBER(H1108)),D1108*H1108*Inputs!$C$69,"")</f>
      </c>
      <c r="J1108" s="42">
        <f>IF(AND(ISNUMBER(F1108),ISNUMBER(H1108),F1108&gt;=Inputs!$C$68),F1108*H1108*Inputs!$C$69,"")</f>
      </c>
    </row>
    <row r="1109" spans="2:10" ht="15" customHeight="1" x14ac:dyDescent="0.2">
      <c r="B1109" s="39">
        <f t="shared" si="8"/>
      </c>
      <c r="C1109" s="40">
        <f>IF(Inputs!$C$60,Inputs!$C$11+(B1109-Inputs!$C$69)/Inputs!$C$70,"")</f>
      </c>
      <c r="D1109" s="15"/>
      <c r="E1109" s="15"/>
      <c r="F1109" s="11">
        <f t="shared" si="9"/>
      </c>
      <c r="G1109" s="22" cm="1">
        <f t="array" ref="G1109">IF(AND(Inputs!$C$60,Inputs!$C$61),INDEX(Utility_Rates!$C$29:$F$52,HOUR(C1109)+Inputs!$C$69,MATCH(INDEX(Utility_Rates!$K$6:$K$17,MONTH(C1109))&amp;IF(WEEKDAY(C1109,Inputs!$C$76)&lt;=Inputs!$C$74," weekday"," weekend"),Utility_Rates!$C$28:$F$28,Inputs!$C$68)),"")</f>
      </c>
      <c r="H1109" s="34"/>
      <c r="I1109" s="42">
        <f>IF(AND(ISNUMBER(D1109),ISNUMBER(H1109)),D1109*H1109*Inputs!$C$69,"")</f>
      </c>
      <c r="J1109" s="42">
        <f>IF(AND(ISNUMBER(F1109),ISNUMBER(H1109),F1109&gt;=Inputs!$C$68),F1109*H1109*Inputs!$C$69,"")</f>
      </c>
    </row>
    <row r="1110" spans="2:10" ht="15" customHeight="1" x14ac:dyDescent="0.2">
      <c r="B1110" s="39">
        <f t="shared" si="8"/>
      </c>
      <c r="C1110" s="40">
        <f>IF(Inputs!$C$60,Inputs!$C$11+(B1110-Inputs!$C$69)/Inputs!$C$70,"")</f>
      </c>
      <c r="D1110" s="15"/>
      <c r="E1110" s="15"/>
      <c r="F1110" s="11">
        <f t="shared" si="9"/>
      </c>
      <c r="G1110" s="22" cm="1">
        <f t="array" ref="G1110">IF(AND(Inputs!$C$60,Inputs!$C$61),INDEX(Utility_Rates!$C$29:$F$52,HOUR(C1110)+Inputs!$C$69,MATCH(INDEX(Utility_Rates!$K$6:$K$17,MONTH(C1110))&amp;IF(WEEKDAY(C1110,Inputs!$C$76)&lt;=Inputs!$C$74," weekday"," weekend"),Utility_Rates!$C$28:$F$28,Inputs!$C$68)),"")</f>
      </c>
      <c r="H1110" s="34"/>
      <c r="I1110" s="42">
        <f>IF(AND(ISNUMBER(D1110),ISNUMBER(H1110)),D1110*H1110*Inputs!$C$69,"")</f>
      </c>
      <c r="J1110" s="42">
        <f>IF(AND(ISNUMBER(F1110),ISNUMBER(H1110),F1110&gt;=Inputs!$C$68),F1110*H1110*Inputs!$C$69,"")</f>
      </c>
    </row>
    <row r="1111" spans="2:10" ht="15" customHeight="1" x14ac:dyDescent="0.2">
      <c r="B1111" s="39">
        <f t="shared" si="8"/>
      </c>
      <c r="C1111" s="40">
        <f>IF(Inputs!$C$60,Inputs!$C$11+(B1111-Inputs!$C$69)/Inputs!$C$70,"")</f>
      </c>
      <c r="D1111" s="15"/>
      <c r="E1111" s="15"/>
      <c r="F1111" s="11">
        <f t="shared" si="9"/>
      </c>
      <c r="G1111" s="22" cm="1">
        <f t="array" ref="G1111">IF(AND(Inputs!$C$60,Inputs!$C$61),INDEX(Utility_Rates!$C$29:$F$52,HOUR(C1111)+Inputs!$C$69,MATCH(INDEX(Utility_Rates!$K$6:$K$17,MONTH(C1111))&amp;IF(WEEKDAY(C1111,Inputs!$C$76)&lt;=Inputs!$C$74," weekday"," weekend"),Utility_Rates!$C$28:$F$28,Inputs!$C$68)),"")</f>
      </c>
      <c r="H1111" s="34"/>
      <c r="I1111" s="42">
        <f>IF(AND(ISNUMBER(D1111),ISNUMBER(H1111)),D1111*H1111*Inputs!$C$69,"")</f>
      </c>
      <c r="J1111" s="42">
        <f>IF(AND(ISNUMBER(F1111),ISNUMBER(H1111),F1111&gt;=Inputs!$C$68),F1111*H1111*Inputs!$C$69,"")</f>
      </c>
    </row>
    <row r="1112" spans="2:10" ht="15" customHeight="1" x14ac:dyDescent="0.2">
      <c r="B1112" s="39">
        <f t="shared" si="8"/>
      </c>
      <c r="C1112" s="40">
        <f>IF(Inputs!$C$60,Inputs!$C$11+(B1112-Inputs!$C$69)/Inputs!$C$70,"")</f>
      </c>
      <c r="D1112" s="15"/>
      <c r="E1112" s="15"/>
      <c r="F1112" s="11">
        <f t="shared" si="9"/>
      </c>
      <c r="G1112" s="22" cm="1">
        <f t="array" ref="G1112">IF(AND(Inputs!$C$60,Inputs!$C$61),INDEX(Utility_Rates!$C$29:$F$52,HOUR(C1112)+Inputs!$C$69,MATCH(INDEX(Utility_Rates!$K$6:$K$17,MONTH(C1112))&amp;IF(WEEKDAY(C1112,Inputs!$C$76)&lt;=Inputs!$C$74," weekday"," weekend"),Utility_Rates!$C$28:$F$28,Inputs!$C$68)),"")</f>
      </c>
      <c r="H1112" s="34"/>
      <c r="I1112" s="42">
        <f>IF(AND(ISNUMBER(D1112),ISNUMBER(H1112)),D1112*H1112*Inputs!$C$69,"")</f>
      </c>
      <c r="J1112" s="42">
        <f>IF(AND(ISNUMBER(F1112),ISNUMBER(H1112),F1112&gt;=Inputs!$C$68),F1112*H1112*Inputs!$C$69,"")</f>
      </c>
    </row>
    <row r="1113" spans="2:10" ht="15" customHeight="1" x14ac:dyDescent="0.2">
      <c r="B1113" s="39">
        <f t="shared" si="8"/>
      </c>
      <c r="C1113" s="40">
        <f>IF(Inputs!$C$60,Inputs!$C$11+(B1113-Inputs!$C$69)/Inputs!$C$70,"")</f>
      </c>
      <c r="D1113" s="15"/>
      <c r="E1113" s="15"/>
      <c r="F1113" s="11">
        <f t="shared" si="9"/>
      </c>
      <c r="G1113" s="22" cm="1">
        <f t="array" ref="G1113">IF(AND(Inputs!$C$60,Inputs!$C$61),INDEX(Utility_Rates!$C$29:$F$52,HOUR(C1113)+Inputs!$C$69,MATCH(INDEX(Utility_Rates!$K$6:$K$17,MONTH(C1113))&amp;IF(WEEKDAY(C1113,Inputs!$C$76)&lt;=Inputs!$C$74," weekday"," weekend"),Utility_Rates!$C$28:$F$28,Inputs!$C$68)),"")</f>
      </c>
      <c r="H1113" s="34"/>
      <c r="I1113" s="42">
        <f>IF(AND(ISNUMBER(D1113),ISNUMBER(H1113)),D1113*H1113*Inputs!$C$69,"")</f>
      </c>
      <c r="J1113" s="42">
        <f>IF(AND(ISNUMBER(F1113),ISNUMBER(H1113),F1113&gt;=Inputs!$C$68),F1113*H1113*Inputs!$C$69,"")</f>
      </c>
    </row>
    <row r="1114" spans="2:10" ht="15" customHeight="1" x14ac:dyDescent="0.2">
      <c r="B1114" s="39">
        <f t="shared" si="8"/>
      </c>
      <c r="C1114" s="40">
        <f>IF(Inputs!$C$60,Inputs!$C$11+(B1114-Inputs!$C$69)/Inputs!$C$70,"")</f>
      </c>
      <c r="D1114" s="15"/>
      <c r="E1114" s="15"/>
      <c r="F1114" s="11">
        <f t="shared" si="9"/>
      </c>
      <c r="G1114" s="22" cm="1">
        <f t="array" ref="G1114">IF(AND(Inputs!$C$60,Inputs!$C$61),INDEX(Utility_Rates!$C$29:$F$52,HOUR(C1114)+Inputs!$C$69,MATCH(INDEX(Utility_Rates!$K$6:$K$17,MONTH(C1114))&amp;IF(WEEKDAY(C1114,Inputs!$C$76)&lt;=Inputs!$C$74," weekday"," weekend"),Utility_Rates!$C$28:$F$28,Inputs!$C$68)),"")</f>
      </c>
      <c r="H1114" s="34"/>
      <c r="I1114" s="42">
        <f>IF(AND(ISNUMBER(D1114),ISNUMBER(H1114)),D1114*H1114*Inputs!$C$69,"")</f>
      </c>
      <c r="J1114" s="42">
        <f>IF(AND(ISNUMBER(F1114),ISNUMBER(H1114),F1114&gt;=Inputs!$C$68),F1114*H1114*Inputs!$C$69,"")</f>
      </c>
    </row>
    <row r="1115" spans="2:10" ht="15" customHeight="1" x14ac:dyDescent="0.2">
      <c r="B1115" s="39">
        <f t="shared" si="8"/>
      </c>
      <c r="C1115" s="40">
        <f>IF(Inputs!$C$60,Inputs!$C$11+(B1115-Inputs!$C$69)/Inputs!$C$70,"")</f>
      </c>
      <c r="D1115" s="15"/>
      <c r="E1115" s="15"/>
      <c r="F1115" s="11">
        <f t="shared" si="9"/>
      </c>
      <c r="G1115" s="22" cm="1">
        <f t="array" ref="G1115">IF(AND(Inputs!$C$60,Inputs!$C$61),INDEX(Utility_Rates!$C$29:$F$52,HOUR(C1115)+Inputs!$C$69,MATCH(INDEX(Utility_Rates!$K$6:$K$17,MONTH(C1115))&amp;IF(WEEKDAY(C1115,Inputs!$C$76)&lt;=Inputs!$C$74," weekday"," weekend"),Utility_Rates!$C$28:$F$28,Inputs!$C$68)),"")</f>
      </c>
      <c r="H1115" s="34"/>
      <c r="I1115" s="42">
        <f>IF(AND(ISNUMBER(D1115),ISNUMBER(H1115)),D1115*H1115*Inputs!$C$69,"")</f>
      </c>
      <c r="J1115" s="42">
        <f>IF(AND(ISNUMBER(F1115),ISNUMBER(H1115),F1115&gt;=Inputs!$C$68),F1115*H1115*Inputs!$C$69,"")</f>
      </c>
    </row>
    <row r="1116" spans="2:10" ht="15" customHeight="1" x14ac:dyDescent="0.2">
      <c r="B1116" s="39">
        <f t="shared" si="8"/>
      </c>
      <c r="C1116" s="40">
        <f>IF(Inputs!$C$60,Inputs!$C$11+(B1116-Inputs!$C$69)/Inputs!$C$70,"")</f>
      </c>
      <c r="D1116" s="15"/>
      <c r="E1116" s="15"/>
      <c r="F1116" s="11">
        <f t="shared" si="9"/>
      </c>
      <c r="G1116" s="22" cm="1">
        <f t="array" ref="G1116">IF(AND(Inputs!$C$60,Inputs!$C$61),INDEX(Utility_Rates!$C$29:$F$52,HOUR(C1116)+Inputs!$C$69,MATCH(INDEX(Utility_Rates!$K$6:$K$17,MONTH(C1116))&amp;IF(WEEKDAY(C1116,Inputs!$C$76)&lt;=Inputs!$C$74," weekday"," weekend"),Utility_Rates!$C$28:$F$28,Inputs!$C$68)),"")</f>
      </c>
      <c r="H1116" s="34"/>
      <c r="I1116" s="42">
        <f>IF(AND(ISNUMBER(D1116),ISNUMBER(H1116)),D1116*H1116*Inputs!$C$69,"")</f>
      </c>
      <c r="J1116" s="42">
        <f>IF(AND(ISNUMBER(F1116),ISNUMBER(H1116),F1116&gt;=Inputs!$C$68),F1116*H1116*Inputs!$C$69,"")</f>
      </c>
    </row>
    <row r="1117" spans="2:10" ht="15" customHeight="1" x14ac:dyDescent="0.2">
      <c r="B1117" s="39">
        <f t="shared" si="8"/>
      </c>
      <c r="C1117" s="40">
        <f>IF(Inputs!$C$60,Inputs!$C$11+(B1117-Inputs!$C$69)/Inputs!$C$70,"")</f>
      </c>
      <c r="D1117" s="15"/>
      <c r="E1117" s="15"/>
      <c r="F1117" s="11">
        <f t="shared" si="9"/>
      </c>
      <c r="G1117" s="22" cm="1">
        <f t="array" ref="G1117">IF(AND(Inputs!$C$60,Inputs!$C$61),INDEX(Utility_Rates!$C$29:$F$52,HOUR(C1117)+Inputs!$C$69,MATCH(INDEX(Utility_Rates!$K$6:$K$17,MONTH(C1117))&amp;IF(WEEKDAY(C1117,Inputs!$C$76)&lt;=Inputs!$C$74," weekday"," weekend"),Utility_Rates!$C$28:$F$28,Inputs!$C$68)),"")</f>
      </c>
      <c r="H1117" s="34"/>
      <c r="I1117" s="42">
        <f>IF(AND(ISNUMBER(D1117),ISNUMBER(H1117)),D1117*H1117*Inputs!$C$69,"")</f>
      </c>
      <c r="J1117" s="42">
        <f>IF(AND(ISNUMBER(F1117),ISNUMBER(H1117),F1117&gt;=Inputs!$C$68),F1117*H1117*Inputs!$C$69,"")</f>
      </c>
    </row>
    <row r="1118" spans="2:10" ht="15" customHeight="1" x14ac:dyDescent="0.2">
      <c r="B1118" s="39">
        <f t="shared" si="8"/>
      </c>
      <c r="C1118" s="40">
        <f>IF(Inputs!$C$60,Inputs!$C$11+(B1118-Inputs!$C$69)/Inputs!$C$70,"")</f>
      </c>
      <c r="D1118" s="15"/>
      <c r="E1118" s="15"/>
      <c r="F1118" s="11">
        <f t="shared" si="9"/>
      </c>
      <c r="G1118" s="22" cm="1">
        <f t="array" ref="G1118">IF(AND(Inputs!$C$60,Inputs!$C$61),INDEX(Utility_Rates!$C$29:$F$52,HOUR(C1118)+Inputs!$C$69,MATCH(INDEX(Utility_Rates!$K$6:$K$17,MONTH(C1118))&amp;IF(WEEKDAY(C1118,Inputs!$C$76)&lt;=Inputs!$C$74," weekday"," weekend"),Utility_Rates!$C$28:$F$28,Inputs!$C$68)),"")</f>
      </c>
      <c r="H1118" s="34"/>
      <c r="I1118" s="42">
        <f>IF(AND(ISNUMBER(D1118),ISNUMBER(H1118)),D1118*H1118*Inputs!$C$69,"")</f>
      </c>
      <c r="J1118" s="42">
        <f>IF(AND(ISNUMBER(F1118),ISNUMBER(H1118),F1118&gt;=Inputs!$C$68),F1118*H1118*Inputs!$C$69,"")</f>
      </c>
    </row>
    <row r="1119" spans="2:10" ht="15" customHeight="1" x14ac:dyDescent="0.2">
      <c r="B1119" s="39">
        <f t="shared" si="8"/>
      </c>
      <c r="C1119" s="40">
        <f>IF(Inputs!$C$60,Inputs!$C$11+(B1119-Inputs!$C$69)/Inputs!$C$70,"")</f>
      </c>
      <c r="D1119" s="15"/>
      <c r="E1119" s="15"/>
      <c r="F1119" s="11">
        <f t="shared" si="9"/>
      </c>
      <c r="G1119" s="22" cm="1">
        <f t="array" ref="G1119">IF(AND(Inputs!$C$60,Inputs!$C$61),INDEX(Utility_Rates!$C$29:$F$52,HOUR(C1119)+Inputs!$C$69,MATCH(INDEX(Utility_Rates!$K$6:$K$17,MONTH(C1119))&amp;IF(WEEKDAY(C1119,Inputs!$C$76)&lt;=Inputs!$C$74," weekday"," weekend"),Utility_Rates!$C$28:$F$28,Inputs!$C$68)),"")</f>
      </c>
      <c r="H1119" s="34"/>
      <c r="I1119" s="42">
        <f>IF(AND(ISNUMBER(D1119),ISNUMBER(H1119)),D1119*H1119*Inputs!$C$69,"")</f>
      </c>
      <c r="J1119" s="42">
        <f>IF(AND(ISNUMBER(F1119),ISNUMBER(H1119),F1119&gt;=Inputs!$C$68),F1119*H1119*Inputs!$C$69,"")</f>
      </c>
    </row>
    <row r="1120" spans="2:10" ht="15" customHeight="1" x14ac:dyDescent="0.2">
      <c r="B1120" s="39">
        <f t="shared" si="8"/>
      </c>
      <c r="C1120" s="40">
        <f>IF(Inputs!$C$60,Inputs!$C$11+(B1120-Inputs!$C$69)/Inputs!$C$70,"")</f>
      </c>
      <c r="D1120" s="15"/>
      <c r="E1120" s="15"/>
      <c r="F1120" s="11">
        <f t="shared" si="9"/>
      </c>
      <c r="G1120" s="22" cm="1">
        <f t="array" ref="G1120">IF(AND(Inputs!$C$60,Inputs!$C$61),INDEX(Utility_Rates!$C$29:$F$52,HOUR(C1120)+Inputs!$C$69,MATCH(INDEX(Utility_Rates!$K$6:$K$17,MONTH(C1120))&amp;IF(WEEKDAY(C1120,Inputs!$C$76)&lt;=Inputs!$C$74," weekday"," weekend"),Utility_Rates!$C$28:$F$28,Inputs!$C$68)),"")</f>
      </c>
      <c r="H1120" s="34"/>
      <c r="I1120" s="42">
        <f>IF(AND(ISNUMBER(D1120),ISNUMBER(H1120)),D1120*H1120*Inputs!$C$69,"")</f>
      </c>
      <c r="J1120" s="42">
        <f>IF(AND(ISNUMBER(F1120),ISNUMBER(H1120),F1120&gt;=Inputs!$C$68),F1120*H1120*Inputs!$C$69,"")</f>
      </c>
    </row>
    <row r="1121" spans="2:10" ht="15" customHeight="1" x14ac:dyDescent="0.2">
      <c r="B1121" s="39">
        <f t="shared" si="8"/>
      </c>
      <c r="C1121" s="40">
        <f>IF(Inputs!$C$60,Inputs!$C$11+(B1121-Inputs!$C$69)/Inputs!$C$70,"")</f>
      </c>
      <c r="D1121" s="15"/>
      <c r="E1121" s="15"/>
      <c r="F1121" s="11">
        <f t="shared" si="9"/>
      </c>
      <c r="G1121" s="22" cm="1">
        <f t="array" ref="G1121">IF(AND(Inputs!$C$60,Inputs!$C$61),INDEX(Utility_Rates!$C$29:$F$52,HOUR(C1121)+Inputs!$C$69,MATCH(INDEX(Utility_Rates!$K$6:$K$17,MONTH(C1121))&amp;IF(WEEKDAY(C1121,Inputs!$C$76)&lt;=Inputs!$C$74," weekday"," weekend"),Utility_Rates!$C$28:$F$28,Inputs!$C$68)),"")</f>
      </c>
      <c r="H1121" s="34"/>
      <c r="I1121" s="42">
        <f>IF(AND(ISNUMBER(D1121),ISNUMBER(H1121)),D1121*H1121*Inputs!$C$69,"")</f>
      </c>
      <c r="J1121" s="42">
        <f>IF(AND(ISNUMBER(F1121),ISNUMBER(H1121),F1121&gt;=Inputs!$C$68),F1121*H1121*Inputs!$C$69,"")</f>
      </c>
    </row>
    <row r="1122" spans="2:10" ht="15" customHeight="1" x14ac:dyDescent="0.2">
      <c r="B1122" s="39">
        <f t="shared" si="8"/>
      </c>
      <c r="C1122" s="40">
        <f>IF(Inputs!$C$60,Inputs!$C$11+(B1122-Inputs!$C$69)/Inputs!$C$70,"")</f>
      </c>
      <c r="D1122" s="15"/>
      <c r="E1122" s="15"/>
      <c r="F1122" s="11">
        <f t="shared" si="9"/>
      </c>
      <c r="G1122" s="22" cm="1">
        <f t="array" ref="G1122">IF(AND(Inputs!$C$60,Inputs!$C$61),INDEX(Utility_Rates!$C$29:$F$52,HOUR(C1122)+Inputs!$C$69,MATCH(INDEX(Utility_Rates!$K$6:$K$17,MONTH(C1122))&amp;IF(WEEKDAY(C1122,Inputs!$C$76)&lt;=Inputs!$C$74," weekday"," weekend"),Utility_Rates!$C$28:$F$28,Inputs!$C$68)),"")</f>
      </c>
      <c r="H1122" s="34"/>
      <c r="I1122" s="42">
        <f>IF(AND(ISNUMBER(D1122),ISNUMBER(H1122)),D1122*H1122*Inputs!$C$69,"")</f>
      </c>
      <c r="J1122" s="42">
        <f>IF(AND(ISNUMBER(F1122),ISNUMBER(H1122),F1122&gt;=Inputs!$C$68),F1122*H1122*Inputs!$C$69,"")</f>
      </c>
    </row>
    <row r="1123" spans="2:10" ht="15" customHeight="1" x14ac:dyDescent="0.2">
      <c r="B1123" s="39">
        <f t="shared" si="8"/>
      </c>
      <c r="C1123" s="40">
        <f>IF(Inputs!$C$60,Inputs!$C$11+(B1123-Inputs!$C$69)/Inputs!$C$70,"")</f>
      </c>
      <c r="D1123" s="15"/>
      <c r="E1123" s="15"/>
      <c r="F1123" s="11">
        <f t="shared" si="9"/>
      </c>
      <c r="G1123" s="22" cm="1">
        <f t="array" ref="G1123">IF(AND(Inputs!$C$60,Inputs!$C$61),INDEX(Utility_Rates!$C$29:$F$52,HOUR(C1123)+Inputs!$C$69,MATCH(INDEX(Utility_Rates!$K$6:$K$17,MONTH(C1123))&amp;IF(WEEKDAY(C1123,Inputs!$C$76)&lt;=Inputs!$C$74," weekday"," weekend"),Utility_Rates!$C$28:$F$28,Inputs!$C$68)),"")</f>
      </c>
      <c r="H1123" s="34"/>
      <c r="I1123" s="42">
        <f>IF(AND(ISNUMBER(D1123),ISNUMBER(H1123)),D1123*H1123*Inputs!$C$69,"")</f>
      </c>
      <c r="J1123" s="42">
        <f>IF(AND(ISNUMBER(F1123),ISNUMBER(H1123),F1123&gt;=Inputs!$C$68),F1123*H1123*Inputs!$C$69,"")</f>
      </c>
    </row>
    <row r="1124" spans="2:10" ht="15" customHeight="1" x14ac:dyDescent="0.2">
      <c r="B1124" s="39">
        <f t="shared" si="8"/>
      </c>
      <c r="C1124" s="40">
        <f>IF(Inputs!$C$60,Inputs!$C$11+(B1124-Inputs!$C$69)/Inputs!$C$70,"")</f>
      </c>
      <c r="D1124" s="15"/>
      <c r="E1124" s="15"/>
      <c r="F1124" s="11">
        <f t="shared" si="9"/>
      </c>
      <c r="G1124" s="22" cm="1">
        <f t="array" ref="G1124">IF(AND(Inputs!$C$60,Inputs!$C$61),INDEX(Utility_Rates!$C$29:$F$52,HOUR(C1124)+Inputs!$C$69,MATCH(INDEX(Utility_Rates!$K$6:$K$17,MONTH(C1124))&amp;IF(WEEKDAY(C1124,Inputs!$C$76)&lt;=Inputs!$C$74," weekday"," weekend"),Utility_Rates!$C$28:$F$28,Inputs!$C$68)),"")</f>
      </c>
      <c r="H1124" s="34"/>
      <c r="I1124" s="42">
        <f>IF(AND(ISNUMBER(D1124),ISNUMBER(H1124)),D1124*H1124*Inputs!$C$69,"")</f>
      </c>
      <c r="J1124" s="42">
        <f>IF(AND(ISNUMBER(F1124),ISNUMBER(H1124),F1124&gt;=Inputs!$C$68),F1124*H1124*Inputs!$C$69,"")</f>
      </c>
    </row>
    <row r="1125" spans="2:10" ht="15" customHeight="1" x14ac:dyDescent="0.2">
      <c r="B1125" s="39">
        <f t="shared" si="8"/>
      </c>
      <c r="C1125" s="40">
        <f>IF(Inputs!$C$60,Inputs!$C$11+(B1125-Inputs!$C$69)/Inputs!$C$70,"")</f>
      </c>
      <c r="D1125" s="15"/>
      <c r="E1125" s="15"/>
      <c r="F1125" s="11">
        <f t="shared" si="9"/>
      </c>
      <c r="G1125" s="22" cm="1">
        <f t="array" ref="G1125">IF(AND(Inputs!$C$60,Inputs!$C$61),INDEX(Utility_Rates!$C$29:$F$52,HOUR(C1125)+Inputs!$C$69,MATCH(INDEX(Utility_Rates!$K$6:$K$17,MONTH(C1125))&amp;IF(WEEKDAY(C1125,Inputs!$C$76)&lt;=Inputs!$C$74," weekday"," weekend"),Utility_Rates!$C$28:$F$28,Inputs!$C$68)),"")</f>
      </c>
      <c r="H1125" s="34"/>
      <c r="I1125" s="42">
        <f>IF(AND(ISNUMBER(D1125),ISNUMBER(H1125)),D1125*H1125*Inputs!$C$69,"")</f>
      </c>
      <c r="J1125" s="42">
        <f>IF(AND(ISNUMBER(F1125),ISNUMBER(H1125),F1125&gt;=Inputs!$C$68),F1125*H1125*Inputs!$C$69,"")</f>
      </c>
    </row>
    <row r="1126" spans="2:10" ht="15" customHeight="1" x14ac:dyDescent="0.2">
      <c r="B1126" s="39">
        <f t="shared" si="8"/>
      </c>
      <c r="C1126" s="40">
        <f>IF(Inputs!$C$60,Inputs!$C$11+(B1126-Inputs!$C$69)/Inputs!$C$70,"")</f>
      </c>
      <c r="D1126" s="15"/>
      <c r="E1126" s="15"/>
      <c r="F1126" s="11">
        <f t="shared" si="9"/>
      </c>
      <c r="G1126" s="22" cm="1">
        <f t="array" ref="G1126">IF(AND(Inputs!$C$60,Inputs!$C$61),INDEX(Utility_Rates!$C$29:$F$52,HOUR(C1126)+Inputs!$C$69,MATCH(INDEX(Utility_Rates!$K$6:$K$17,MONTH(C1126))&amp;IF(WEEKDAY(C1126,Inputs!$C$76)&lt;=Inputs!$C$74," weekday"," weekend"),Utility_Rates!$C$28:$F$28,Inputs!$C$68)),"")</f>
      </c>
      <c r="H1126" s="34"/>
      <c r="I1126" s="42">
        <f>IF(AND(ISNUMBER(D1126),ISNUMBER(H1126)),D1126*H1126*Inputs!$C$69,"")</f>
      </c>
      <c r="J1126" s="42">
        <f>IF(AND(ISNUMBER(F1126),ISNUMBER(H1126),F1126&gt;=Inputs!$C$68),F1126*H1126*Inputs!$C$69,"")</f>
      </c>
    </row>
    <row r="1127" spans="2:10" ht="15" customHeight="1" x14ac:dyDescent="0.2">
      <c r="B1127" s="39">
        <f t="shared" si="8"/>
      </c>
      <c r="C1127" s="40">
        <f>IF(Inputs!$C$60,Inputs!$C$11+(B1127-Inputs!$C$69)/Inputs!$C$70,"")</f>
      </c>
      <c r="D1127" s="15"/>
      <c r="E1127" s="15"/>
      <c r="F1127" s="11">
        <f t="shared" si="9"/>
      </c>
      <c r="G1127" s="22" cm="1">
        <f t="array" ref="G1127">IF(AND(Inputs!$C$60,Inputs!$C$61),INDEX(Utility_Rates!$C$29:$F$52,HOUR(C1127)+Inputs!$C$69,MATCH(INDEX(Utility_Rates!$K$6:$K$17,MONTH(C1127))&amp;IF(WEEKDAY(C1127,Inputs!$C$76)&lt;=Inputs!$C$74," weekday"," weekend"),Utility_Rates!$C$28:$F$28,Inputs!$C$68)),"")</f>
      </c>
      <c r="H1127" s="34"/>
      <c r="I1127" s="42">
        <f>IF(AND(ISNUMBER(D1127),ISNUMBER(H1127)),D1127*H1127*Inputs!$C$69,"")</f>
      </c>
      <c r="J1127" s="42">
        <f>IF(AND(ISNUMBER(F1127),ISNUMBER(H1127),F1127&gt;=Inputs!$C$68),F1127*H1127*Inputs!$C$69,"")</f>
      </c>
    </row>
    <row r="1128" spans="2:10" ht="15" customHeight="1" x14ac:dyDescent="0.2">
      <c r="B1128" s="39">
        <f t="shared" si="8"/>
      </c>
      <c r="C1128" s="40">
        <f>IF(Inputs!$C$60,Inputs!$C$11+(B1128-Inputs!$C$69)/Inputs!$C$70,"")</f>
      </c>
      <c r="D1128" s="15"/>
      <c r="E1128" s="15"/>
      <c r="F1128" s="11">
        <f t="shared" si="9"/>
      </c>
      <c r="G1128" s="22" cm="1">
        <f t="array" ref="G1128">IF(AND(Inputs!$C$60,Inputs!$C$61),INDEX(Utility_Rates!$C$29:$F$52,HOUR(C1128)+Inputs!$C$69,MATCH(INDEX(Utility_Rates!$K$6:$K$17,MONTH(C1128))&amp;IF(WEEKDAY(C1128,Inputs!$C$76)&lt;=Inputs!$C$74," weekday"," weekend"),Utility_Rates!$C$28:$F$28,Inputs!$C$68)),"")</f>
      </c>
      <c r="H1128" s="34"/>
      <c r="I1128" s="42">
        <f>IF(AND(ISNUMBER(D1128),ISNUMBER(H1128)),D1128*H1128*Inputs!$C$69,"")</f>
      </c>
      <c r="J1128" s="42">
        <f>IF(AND(ISNUMBER(F1128),ISNUMBER(H1128),F1128&gt;=Inputs!$C$68),F1128*H1128*Inputs!$C$69,"")</f>
      </c>
    </row>
    <row r="1129" spans="2:10" ht="15" customHeight="1" x14ac:dyDescent="0.2">
      <c r="B1129" s="39">
        <f t="shared" si="8"/>
      </c>
      <c r="C1129" s="40">
        <f>IF(Inputs!$C$60,Inputs!$C$11+(B1129-Inputs!$C$69)/Inputs!$C$70,"")</f>
      </c>
      <c r="D1129" s="15"/>
      <c r="E1129" s="15"/>
      <c r="F1129" s="11">
        <f t="shared" si="9"/>
      </c>
      <c r="G1129" s="22" cm="1">
        <f t="array" ref="G1129">IF(AND(Inputs!$C$60,Inputs!$C$61),INDEX(Utility_Rates!$C$29:$F$52,HOUR(C1129)+Inputs!$C$69,MATCH(INDEX(Utility_Rates!$K$6:$K$17,MONTH(C1129))&amp;IF(WEEKDAY(C1129,Inputs!$C$76)&lt;=Inputs!$C$74," weekday"," weekend"),Utility_Rates!$C$28:$F$28,Inputs!$C$68)),"")</f>
      </c>
      <c r="H1129" s="34"/>
      <c r="I1129" s="42">
        <f>IF(AND(ISNUMBER(D1129),ISNUMBER(H1129)),D1129*H1129*Inputs!$C$69,"")</f>
      </c>
      <c r="J1129" s="42">
        <f>IF(AND(ISNUMBER(F1129),ISNUMBER(H1129),F1129&gt;=Inputs!$C$68),F1129*H1129*Inputs!$C$69,"")</f>
      </c>
    </row>
    <row r="1130" spans="2:10" ht="15" customHeight="1" x14ac:dyDescent="0.2">
      <c r="B1130" s="39">
        <f t="shared" si="8"/>
      </c>
      <c r="C1130" s="40">
        <f>IF(Inputs!$C$60,Inputs!$C$11+(B1130-Inputs!$C$69)/Inputs!$C$70,"")</f>
      </c>
      <c r="D1130" s="15"/>
      <c r="E1130" s="15"/>
      <c r="F1130" s="11">
        <f t="shared" si="9"/>
      </c>
      <c r="G1130" s="22" cm="1">
        <f t="array" ref="G1130">IF(AND(Inputs!$C$60,Inputs!$C$61),INDEX(Utility_Rates!$C$29:$F$52,HOUR(C1130)+Inputs!$C$69,MATCH(INDEX(Utility_Rates!$K$6:$K$17,MONTH(C1130))&amp;IF(WEEKDAY(C1130,Inputs!$C$76)&lt;=Inputs!$C$74," weekday"," weekend"),Utility_Rates!$C$28:$F$28,Inputs!$C$68)),"")</f>
      </c>
      <c r="H1130" s="34"/>
      <c r="I1130" s="42">
        <f>IF(AND(ISNUMBER(D1130),ISNUMBER(H1130)),D1130*H1130*Inputs!$C$69,"")</f>
      </c>
      <c r="J1130" s="42">
        <f>IF(AND(ISNUMBER(F1130),ISNUMBER(H1130),F1130&gt;=Inputs!$C$68),F1130*H1130*Inputs!$C$69,"")</f>
      </c>
    </row>
    <row r="1131" spans="2:10" ht="15" customHeight="1" x14ac:dyDescent="0.2">
      <c r="B1131" s="39">
        <f t="shared" si="8"/>
      </c>
      <c r="C1131" s="40">
        <f>IF(Inputs!$C$60,Inputs!$C$11+(B1131-Inputs!$C$69)/Inputs!$C$70,"")</f>
      </c>
      <c r="D1131" s="15"/>
      <c r="E1131" s="15"/>
      <c r="F1131" s="11">
        <f t="shared" si="9"/>
      </c>
      <c r="G1131" s="22" cm="1">
        <f t="array" ref="G1131">IF(AND(Inputs!$C$60,Inputs!$C$61),INDEX(Utility_Rates!$C$29:$F$52,HOUR(C1131)+Inputs!$C$69,MATCH(INDEX(Utility_Rates!$K$6:$K$17,MONTH(C1131))&amp;IF(WEEKDAY(C1131,Inputs!$C$76)&lt;=Inputs!$C$74," weekday"," weekend"),Utility_Rates!$C$28:$F$28,Inputs!$C$68)),"")</f>
      </c>
      <c r="H1131" s="34"/>
      <c r="I1131" s="42">
        <f>IF(AND(ISNUMBER(D1131),ISNUMBER(H1131)),D1131*H1131*Inputs!$C$69,"")</f>
      </c>
      <c r="J1131" s="42">
        <f>IF(AND(ISNUMBER(F1131),ISNUMBER(H1131),F1131&gt;=Inputs!$C$68),F1131*H1131*Inputs!$C$69,"")</f>
      </c>
    </row>
    <row r="1132" spans="2:10" ht="15" customHeight="1" x14ac:dyDescent="0.2">
      <c r="B1132" s="39">
        <f t="shared" si="8"/>
      </c>
      <c r="C1132" s="40">
        <f>IF(Inputs!$C$60,Inputs!$C$11+(B1132-Inputs!$C$69)/Inputs!$C$70,"")</f>
      </c>
      <c r="D1132" s="15"/>
      <c r="E1132" s="15"/>
      <c r="F1132" s="11">
        <f t="shared" si="9"/>
      </c>
      <c r="G1132" s="22" cm="1">
        <f t="array" ref="G1132">IF(AND(Inputs!$C$60,Inputs!$C$61),INDEX(Utility_Rates!$C$29:$F$52,HOUR(C1132)+Inputs!$C$69,MATCH(INDEX(Utility_Rates!$K$6:$K$17,MONTH(C1132))&amp;IF(WEEKDAY(C1132,Inputs!$C$76)&lt;=Inputs!$C$74," weekday"," weekend"),Utility_Rates!$C$28:$F$28,Inputs!$C$68)),"")</f>
      </c>
      <c r="H1132" s="34"/>
      <c r="I1132" s="42">
        <f>IF(AND(ISNUMBER(D1132),ISNUMBER(H1132)),D1132*H1132*Inputs!$C$69,"")</f>
      </c>
      <c r="J1132" s="42">
        <f>IF(AND(ISNUMBER(F1132),ISNUMBER(H1132),F1132&gt;=Inputs!$C$68),F1132*H1132*Inputs!$C$69,"")</f>
      </c>
    </row>
    <row r="1133" spans="2:10" ht="15" customHeight="1" x14ac:dyDescent="0.2">
      <c r="B1133" s="39">
        <f t="shared" si="8"/>
      </c>
      <c r="C1133" s="40">
        <f>IF(Inputs!$C$60,Inputs!$C$11+(B1133-Inputs!$C$69)/Inputs!$C$70,"")</f>
      </c>
      <c r="D1133" s="15"/>
      <c r="E1133" s="15"/>
      <c r="F1133" s="11">
        <f t="shared" si="9"/>
      </c>
      <c r="G1133" s="22" cm="1">
        <f t="array" ref="G1133">IF(AND(Inputs!$C$60,Inputs!$C$61),INDEX(Utility_Rates!$C$29:$F$52,HOUR(C1133)+Inputs!$C$69,MATCH(INDEX(Utility_Rates!$K$6:$K$17,MONTH(C1133))&amp;IF(WEEKDAY(C1133,Inputs!$C$76)&lt;=Inputs!$C$74," weekday"," weekend"),Utility_Rates!$C$28:$F$28,Inputs!$C$68)),"")</f>
      </c>
      <c r="H1133" s="34"/>
      <c r="I1133" s="42">
        <f>IF(AND(ISNUMBER(D1133),ISNUMBER(H1133)),D1133*H1133*Inputs!$C$69,"")</f>
      </c>
      <c r="J1133" s="42">
        <f>IF(AND(ISNUMBER(F1133),ISNUMBER(H1133),F1133&gt;=Inputs!$C$68),F1133*H1133*Inputs!$C$69,"")</f>
      </c>
    </row>
    <row r="1134" spans="2:10" ht="15" customHeight="1" x14ac:dyDescent="0.2">
      <c r="B1134" s="39">
        <f t="shared" si="8"/>
      </c>
      <c r="C1134" s="40">
        <f>IF(Inputs!$C$60,Inputs!$C$11+(B1134-Inputs!$C$69)/Inputs!$C$70,"")</f>
      </c>
      <c r="D1134" s="15"/>
      <c r="E1134" s="15"/>
      <c r="F1134" s="11">
        <f t="shared" si="9"/>
      </c>
      <c r="G1134" s="22" cm="1">
        <f t="array" ref="G1134">IF(AND(Inputs!$C$60,Inputs!$C$61),INDEX(Utility_Rates!$C$29:$F$52,HOUR(C1134)+Inputs!$C$69,MATCH(INDEX(Utility_Rates!$K$6:$K$17,MONTH(C1134))&amp;IF(WEEKDAY(C1134,Inputs!$C$76)&lt;=Inputs!$C$74," weekday"," weekend"),Utility_Rates!$C$28:$F$28,Inputs!$C$68)),"")</f>
      </c>
      <c r="H1134" s="34"/>
      <c r="I1134" s="42">
        <f>IF(AND(ISNUMBER(D1134),ISNUMBER(H1134)),D1134*H1134*Inputs!$C$69,"")</f>
      </c>
      <c r="J1134" s="42">
        <f>IF(AND(ISNUMBER(F1134),ISNUMBER(H1134),F1134&gt;=Inputs!$C$68),F1134*H1134*Inputs!$C$69,"")</f>
      </c>
    </row>
    <row r="1135" spans="2:10" ht="15" customHeight="1" x14ac:dyDescent="0.2">
      <c r="B1135" s="39">
        <f t="shared" si="8"/>
      </c>
      <c r="C1135" s="40">
        <f>IF(Inputs!$C$60,Inputs!$C$11+(B1135-Inputs!$C$69)/Inputs!$C$70,"")</f>
      </c>
      <c r="D1135" s="15"/>
      <c r="E1135" s="15"/>
      <c r="F1135" s="11">
        <f t="shared" si="9"/>
      </c>
      <c r="G1135" s="22" cm="1">
        <f t="array" ref="G1135">IF(AND(Inputs!$C$60,Inputs!$C$61),INDEX(Utility_Rates!$C$29:$F$52,HOUR(C1135)+Inputs!$C$69,MATCH(INDEX(Utility_Rates!$K$6:$K$17,MONTH(C1135))&amp;IF(WEEKDAY(C1135,Inputs!$C$76)&lt;=Inputs!$C$74," weekday"," weekend"),Utility_Rates!$C$28:$F$28,Inputs!$C$68)),"")</f>
      </c>
      <c r="H1135" s="34"/>
      <c r="I1135" s="42">
        <f>IF(AND(ISNUMBER(D1135),ISNUMBER(H1135)),D1135*H1135*Inputs!$C$69,"")</f>
      </c>
      <c r="J1135" s="42">
        <f>IF(AND(ISNUMBER(F1135),ISNUMBER(H1135),F1135&gt;=Inputs!$C$68),F1135*H1135*Inputs!$C$69,"")</f>
      </c>
    </row>
    <row r="1136" spans="2:10" ht="15" customHeight="1" x14ac:dyDescent="0.2">
      <c r="B1136" s="39">
        <f t="shared" si="8"/>
      </c>
      <c r="C1136" s="40">
        <f>IF(Inputs!$C$60,Inputs!$C$11+(B1136-Inputs!$C$69)/Inputs!$C$70,"")</f>
      </c>
      <c r="D1136" s="15"/>
      <c r="E1136" s="15"/>
      <c r="F1136" s="11">
        <f t="shared" si="9"/>
      </c>
      <c r="G1136" s="22" cm="1">
        <f t="array" ref="G1136">IF(AND(Inputs!$C$60,Inputs!$C$61),INDEX(Utility_Rates!$C$29:$F$52,HOUR(C1136)+Inputs!$C$69,MATCH(INDEX(Utility_Rates!$K$6:$K$17,MONTH(C1136))&amp;IF(WEEKDAY(C1136,Inputs!$C$76)&lt;=Inputs!$C$74," weekday"," weekend"),Utility_Rates!$C$28:$F$28,Inputs!$C$68)),"")</f>
      </c>
      <c r="H1136" s="34"/>
      <c r="I1136" s="42">
        <f>IF(AND(ISNUMBER(D1136),ISNUMBER(H1136)),D1136*H1136*Inputs!$C$69,"")</f>
      </c>
      <c r="J1136" s="42">
        <f>IF(AND(ISNUMBER(F1136),ISNUMBER(H1136),F1136&gt;=Inputs!$C$68),F1136*H1136*Inputs!$C$69,"")</f>
      </c>
    </row>
    <row r="1137" spans="2:10" ht="15" customHeight="1" x14ac:dyDescent="0.2">
      <c r="B1137" s="39">
        <f t="shared" si="8"/>
      </c>
      <c r="C1137" s="40">
        <f>IF(Inputs!$C$60,Inputs!$C$11+(B1137-Inputs!$C$69)/Inputs!$C$70,"")</f>
      </c>
      <c r="D1137" s="15"/>
      <c r="E1137" s="15"/>
      <c r="F1137" s="11">
        <f t="shared" si="9"/>
      </c>
      <c r="G1137" s="22" cm="1">
        <f t="array" ref="G1137">IF(AND(Inputs!$C$60,Inputs!$C$61),INDEX(Utility_Rates!$C$29:$F$52,HOUR(C1137)+Inputs!$C$69,MATCH(INDEX(Utility_Rates!$K$6:$K$17,MONTH(C1137))&amp;IF(WEEKDAY(C1137,Inputs!$C$76)&lt;=Inputs!$C$74," weekday"," weekend"),Utility_Rates!$C$28:$F$28,Inputs!$C$68)),"")</f>
      </c>
      <c r="H1137" s="34"/>
      <c r="I1137" s="42">
        <f>IF(AND(ISNUMBER(D1137),ISNUMBER(H1137)),D1137*H1137*Inputs!$C$69,"")</f>
      </c>
      <c r="J1137" s="42">
        <f>IF(AND(ISNUMBER(F1137),ISNUMBER(H1137),F1137&gt;=Inputs!$C$68),F1137*H1137*Inputs!$C$69,"")</f>
      </c>
    </row>
    <row r="1138" spans="2:10" ht="15" customHeight="1" x14ac:dyDescent="0.2">
      <c r="B1138" s="39">
        <f t="shared" si="8"/>
      </c>
      <c r="C1138" s="40">
        <f>IF(Inputs!$C$60,Inputs!$C$11+(B1138-Inputs!$C$69)/Inputs!$C$70,"")</f>
      </c>
      <c r="D1138" s="15"/>
      <c r="E1138" s="15"/>
      <c r="F1138" s="11">
        <f t="shared" si="9"/>
      </c>
      <c r="G1138" s="22" cm="1">
        <f t="array" ref="G1138">IF(AND(Inputs!$C$60,Inputs!$C$61),INDEX(Utility_Rates!$C$29:$F$52,HOUR(C1138)+Inputs!$C$69,MATCH(INDEX(Utility_Rates!$K$6:$K$17,MONTH(C1138))&amp;IF(WEEKDAY(C1138,Inputs!$C$76)&lt;=Inputs!$C$74," weekday"," weekend"),Utility_Rates!$C$28:$F$28,Inputs!$C$68)),"")</f>
      </c>
      <c r="H1138" s="34"/>
      <c r="I1138" s="42">
        <f>IF(AND(ISNUMBER(D1138),ISNUMBER(H1138)),D1138*H1138*Inputs!$C$69,"")</f>
      </c>
      <c r="J1138" s="42">
        <f>IF(AND(ISNUMBER(F1138),ISNUMBER(H1138),F1138&gt;=Inputs!$C$68),F1138*H1138*Inputs!$C$69,"")</f>
      </c>
    </row>
    <row r="1139" spans="2:10" ht="15" customHeight="1" x14ac:dyDescent="0.2">
      <c r="B1139" s="39">
        <f t="shared" si="8"/>
      </c>
      <c r="C1139" s="40">
        <f>IF(Inputs!$C$60,Inputs!$C$11+(B1139-Inputs!$C$69)/Inputs!$C$70,"")</f>
      </c>
      <c r="D1139" s="15"/>
      <c r="E1139" s="15"/>
      <c r="F1139" s="11">
        <f t="shared" si="9"/>
      </c>
      <c r="G1139" s="22" cm="1">
        <f t="array" ref="G1139">IF(AND(Inputs!$C$60,Inputs!$C$61),INDEX(Utility_Rates!$C$29:$F$52,HOUR(C1139)+Inputs!$C$69,MATCH(INDEX(Utility_Rates!$K$6:$K$17,MONTH(C1139))&amp;IF(WEEKDAY(C1139,Inputs!$C$76)&lt;=Inputs!$C$74," weekday"," weekend"),Utility_Rates!$C$28:$F$28,Inputs!$C$68)),"")</f>
      </c>
      <c r="H1139" s="34"/>
      <c r="I1139" s="42">
        <f>IF(AND(ISNUMBER(D1139),ISNUMBER(H1139)),D1139*H1139*Inputs!$C$69,"")</f>
      </c>
      <c r="J1139" s="42">
        <f>IF(AND(ISNUMBER(F1139),ISNUMBER(H1139),F1139&gt;=Inputs!$C$68),F1139*H1139*Inputs!$C$69,"")</f>
      </c>
    </row>
    <row r="1140" spans="2:10" ht="15" customHeight="1" x14ac:dyDescent="0.2">
      <c r="B1140" s="39">
        <f t="shared" si="8"/>
      </c>
      <c r="C1140" s="40">
        <f>IF(Inputs!$C$60,Inputs!$C$11+(B1140-Inputs!$C$69)/Inputs!$C$70,"")</f>
      </c>
      <c r="D1140" s="15"/>
      <c r="E1140" s="15"/>
      <c r="F1140" s="11">
        <f t="shared" si="9"/>
      </c>
      <c r="G1140" s="22" cm="1">
        <f t="array" ref="G1140">IF(AND(Inputs!$C$60,Inputs!$C$61),INDEX(Utility_Rates!$C$29:$F$52,HOUR(C1140)+Inputs!$C$69,MATCH(INDEX(Utility_Rates!$K$6:$K$17,MONTH(C1140))&amp;IF(WEEKDAY(C1140,Inputs!$C$76)&lt;=Inputs!$C$74," weekday"," weekend"),Utility_Rates!$C$28:$F$28,Inputs!$C$68)),"")</f>
      </c>
      <c r="H1140" s="34"/>
      <c r="I1140" s="42">
        <f>IF(AND(ISNUMBER(D1140),ISNUMBER(H1140)),D1140*H1140*Inputs!$C$69,"")</f>
      </c>
      <c r="J1140" s="42">
        <f>IF(AND(ISNUMBER(F1140),ISNUMBER(H1140),F1140&gt;=Inputs!$C$68),F1140*H1140*Inputs!$C$69,"")</f>
      </c>
    </row>
    <row r="1141" spans="2:10" ht="15" customHeight="1" x14ac:dyDescent="0.2">
      <c r="B1141" s="39">
        <f t="shared" si="8"/>
      </c>
      <c r="C1141" s="40">
        <f>IF(Inputs!$C$60,Inputs!$C$11+(B1141-Inputs!$C$69)/Inputs!$C$70,"")</f>
      </c>
      <c r="D1141" s="15"/>
      <c r="E1141" s="15"/>
      <c r="F1141" s="11">
        <f t="shared" si="9"/>
      </c>
      <c r="G1141" s="22" cm="1">
        <f t="array" ref="G1141">IF(AND(Inputs!$C$60,Inputs!$C$61),INDEX(Utility_Rates!$C$29:$F$52,HOUR(C1141)+Inputs!$C$69,MATCH(INDEX(Utility_Rates!$K$6:$K$17,MONTH(C1141))&amp;IF(WEEKDAY(C1141,Inputs!$C$76)&lt;=Inputs!$C$74," weekday"," weekend"),Utility_Rates!$C$28:$F$28,Inputs!$C$68)),"")</f>
      </c>
      <c r="H1141" s="34"/>
      <c r="I1141" s="42">
        <f>IF(AND(ISNUMBER(D1141),ISNUMBER(H1141)),D1141*H1141*Inputs!$C$69,"")</f>
      </c>
      <c r="J1141" s="42">
        <f>IF(AND(ISNUMBER(F1141),ISNUMBER(H1141),F1141&gt;=Inputs!$C$68),F1141*H1141*Inputs!$C$69,"")</f>
      </c>
    </row>
    <row r="1142" spans="2:10" ht="15" customHeight="1" x14ac:dyDescent="0.2">
      <c r="B1142" s="39">
        <f t="shared" si="8"/>
      </c>
      <c r="C1142" s="40">
        <f>IF(Inputs!$C$60,Inputs!$C$11+(B1142-Inputs!$C$69)/Inputs!$C$70,"")</f>
      </c>
      <c r="D1142" s="15"/>
      <c r="E1142" s="15"/>
      <c r="F1142" s="11">
        <f t="shared" si="9"/>
      </c>
      <c r="G1142" s="22" cm="1">
        <f t="array" ref="G1142">IF(AND(Inputs!$C$60,Inputs!$C$61),INDEX(Utility_Rates!$C$29:$F$52,HOUR(C1142)+Inputs!$C$69,MATCH(INDEX(Utility_Rates!$K$6:$K$17,MONTH(C1142))&amp;IF(WEEKDAY(C1142,Inputs!$C$76)&lt;=Inputs!$C$74," weekday"," weekend"),Utility_Rates!$C$28:$F$28,Inputs!$C$68)),"")</f>
      </c>
      <c r="H1142" s="34"/>
      <c r="I1142" s="42">
        <f>IF(AND(ISNUMBER(D1142),ISNUMBER(H1142)),D1142*H1142*Inputs!$C$69,"")</f>
      </c>
      <c r="J1142" s="42">
        <f>IF(AND(ISNUMBER(F1142),ISNUMBER(H1142),F1142&gt;=Inputs!$C$68),F1142*H1142*Inputs!$C$69,"")</f>
      </c>
    </row>
    <row r="1143" spans="2:10" ht="15" customHeight="1" x14ac:dyDescent="0.2">
      <c r="B1143" s="39">
        <f t="shared" si="8"/>
      </c>
      <c r="C1143" s="40">
        <f>IF(Inputs!$C$60,Inputs!$C$11+(B1143-Inputs!$C$69)/Inputs!$C$70,"")</f>
      </c>
      <c r="D1143" s="15"/>
      <c r="E1143" s="15"/>
      <c r="F1143" s="11">
        <f t="shared" si="9"/>
      </c>
      <c r="G1143" s="22" cm="1">
        <f t="array" ref="G1143">IF(AND(Inputs!$C$60,Inputs!$C$61),INDEX(Utility_Rates!$C$29:$F$52,HOUR(C1143)+Inputs!$C$69,MATCH(INDEX(Utility_Rates!$K$6:$K$17,MONTH(C1143))&amp;IF(WEEKDAY(C1143,Inputs!$C$76)&lt;=Inputs!$C$74," weekday"," weekend"),Utility_Rates!$C$28:$F$28,Inputs!$C$68)),"")</f>
      </c>
      <c r="H1143" s="34"/>
      <c r="I1143" s="42">
        <f>IF(AND(ISNUMBER(D1143),ISNUMBER(H1143)),D1143*H1143*Inputs!$C$69,"")</f>
      </c>
      <c r="J1143" s="42">
        <f>IF(AND(ISNUMBER(F1143),ISNUMBER(H1143),F1143&gt;=Inputs!$C$68),F1143*H1143*Inputs!$C$69,"")</f>
      </c>
    </row>
    <row r="1144" spans="2:10" ht="15" customHeight="1" x14ac:dyDescent="0.2">
      <c r="B1144" s="39">
        <f t="shared" si="8"/>
      </c>
      <c r="C1144" s="40">
        <f>IF(Inputs!$C$60,Inputs!$C$11+(B1144-Inputs!$C$69)/Inputs!$C$70,"")</f>
      </c>
      <c r="D1144" s="15"/>
      <c r="E1144" s="15"/>
      <c r="F1144" s="11">
        <f t="shared" si="9"/>
      </c>
      <c r="G1144" s="22" cm="1">
        <f t="array" ref="G1144">IF(AND(Inputs!$C$60,Inputs!$C$61),INDEX(Utility_Rates!$C$29:$F$52,HOUR(C1144)+Inputs!$C$69,MATCH(INDEX(Utility_Rates!$K$6:$K$17,MONTH(C1144))&amp;IF(WEEKDAY(C1144,Inputs!$C$76)&lt;=Inputs!$C$74," weekday"," weekend"),Utility_Rates!$C$28:$F$28,Inputs!$C$68)),"")</f>
      </c>
      <c r="H1144" s="34"/>
      <c r="I1144" s="42">
        <f>IF(AND(ISNUMBER(D1144),ISNUMBER(H1144)),D1144*H1144*Inputs!$C$69,"")</f>
      </c>
      <c r="J1144" s="42">
        <f>IF(AND(ISNUMBER(F1144),ISNUMBER(H1144),F1144&gt;=Inputs!$C$68),F1144*H1144*Inputs!$C$69,"")</f>
      </c>
    </row>
    <row r="1145" spans="2:10" ht="15" customHeight="1" x14ac:dyDescent="0.2">
      <c r="B1145" s="39">
        <f t="shared" si="8"/>
      </c>
      <c r="C1145" s="40">
        <f>IF(Inputs!$C$60,Inputs!$C$11+(B1145-Inputs!$C$69)/Inputs!$C$70,"")</f>
      </c>
      <c r="D1145" s="15"/>
      <c r="E1145" s="15"/>
      <c r="F1145" s="11">
        <f t="shared" si="9"/>
      </c>
      <c r="G1145" s="22" cm="1">
        <f t="array" ref="G1145">IF(AND(Inputs!$C$60,Inputs!$C$61),INDEX(Utility_Rates!$C$29:$F$52,HOUR(C1145)+Inputs!$C$69,MATCH(INDEX(Utility_Rates!$K$6:$K$17,MONTH(C1145))&amp;IF(WEEKDAY(C1145,Inputs!$C$76)&lt;=Inputs!$C$74," weekday"," weekend"),Utility_Rates!$C$28:$F$28,Inputs!$C$68)),"")</f>
      </c>
      <c r="H1145" s="34"/>
      <c r="I1145" s="42">
        <f>IF(AND(ISNUMBER(D1145),ISNUMBER(H1145)),D1145*H1145*Inputs!$C$69,"")</f>
      </c>
      <c r="J1145" s="42">
        <f>IF(AND(ISNUMBER(F1145),ISNUMBER(H1145),F1145&gt;=Inputs!$C$68),F1145*H1145*Inputs!$C$69,"")</f>
      </c>
    </row>
    <row r="1146" spans="2:10" ht="15" customHeight="1" x14ac:dyDescent="0.2">
      <c r="B1146" s="39">
        <f t="shared" si="8"/>
      </c>
      <c r="C1146" s="40">
        <f>IF(Inputs!$C$60,Inputs!$C$11+(B1146-Inputs!$C$69)/Inputs!$C$70,"")</f>
      </c>
      <c r="D1146" s="15"/>
      <c r="E1146" s="15"/>
      <c r="F1146" s="11">
        <f t="shared" si="9"/>
      </c>
      <c r="G1146" s="22" cm="1">
        <f t="array" ref="G1146">IF(AND(Inputs!$C$60,Inputs!$C$61),INDEX(Utility_Rates!$C$29:$F$52,HOUR(C1146)+Inputs!$C$69,MATCH(INDEX(Utility_Rates!$K$6:$K$17,MONTH(C1146))&amp;IF(WEEKDAY(C1146,Inputs!$C$76)&lt;=Inputs!$C$74," weekday"," weekend"),Utility_Rates!$C$28:$F$28,Inputs!$C$68)),"")</f>
      </c>
      <c r="H1146" s="34"/>
      <c r="I1146" s="42">
        <f>IF(AND(ISNUMBER(D1146),ISNUMBER(H1146)),D1146*H1146*Inputs!$C$69,"")</f>
      </c>
      <c r="J1146" s="42">
        <f>IF(AND(ISNUMBER(F1146),ISNUMBER(H1146),F1146&gt;=Inputs!$C$68),F1146*H1146*Inputs!$C$69,"")</f>
      </c>
    </row>
    <row r="1147" spans="2:10" ht="15" customHeight="1" x14ac:dyDescent="0.2">
      <c r="B1147" s="39">
        <f t="shared" si="8"/>
      </c>
      <c r="C1147" s="40">
        <f>IF(Inputs!$C$60,Inputs!$C$11+(B1147-Inputs!$C$69)/Inputs!$C$70,"")</f>
      </c>
      <c r="D1147" s="15"/>
      <c r="E1147" s="15"/>
      <c r="F1147" s="11">
        <f t="shared" si="9"/>
      </c>
      <c r="G1147" s="22" cm="1">
        <f t="array" ref="G1147">IF(AND(Inputs!$C$60,Inputs!$C$61),INDEX(Utility_Rates!$C$29:$F$52,HOUR(C1147)+Inputs!$C$69,MATCH(INDEX(Utility_Rates!$K$6:$K$17,MONTH(C1147))&amp;IF(WEEKDAY(C1147,Inputs!$C$76)&lt;=Inputs!$C$74," weekday"," weekend"),Utility_Rates!$C$28:$F$28,Inputs!$C$68)),"")</f>
      </c>
      <c r="H1147" s="34"/>
      <c r="I1147" s="42">
        <f>IF(AND(ISNUMBER(D1147),ISNUMBER(H1147)),D1147*H1147*Inputs!$C$69,"")</f>
      </c>
      <c r="J1147" s="42">
        <f>IF(AND(ISNUMBER(F1147),ISNUMBER(H1147),F1147&gt;=Inputs!$C$68),F1147*H1147*Inputs!$C$69,"")</f>
      </c>
    </row>
    <row r="1148" spans="2:10" ht="15" customHeight="1" x14ac:dyDescent="0.2">
      <c r="B1148" s="39">
        <f t="shared" si="8"/>
      </c>
      <c r="C1148" s="40">
        <f>IF(Inputs!$C$60,Inputs!$C$11+(B1148-Inputs!$C$69)/Inputs!$C$70,"")</f>
      </c>
      <c r="D1148" s="15"/>
      <c r="E1148" s="15"/>
      <c r="F1148" s="11">
        <f t="shared" si="9"/>
      </c>
      <c r="G1148" s="22" cm="1">
        <f t="array" ref="G1148">IF(AND(Inputs!$C$60,Inputs!$C$61),INDEX(Utility_Rates!$C$29:$F$52,HOUR(C1148)+Inputs!$C$69,MATCH(INDEX(Utility_Rates!$K$6:$K$17,MONTH(C1148))&amp;IF(WEEKDAY(C1148,Inputs!$C$76)&lt;=Inputs!$C$74," weekday"," weekend"),Utility_Rates!$C$28:$F$28,Inputs!$C$68)),"")</f>
      </c>
      <c r="H1148" s="34"/>
      <c r="I1148" s="42">
        <f>IF(AND(ISNUMBER(D1148),ISNUMBER(H1148)),D1148*H1148*Inputs!$C$69,"")</f>
      </c>
      <c r="J1148" s="42">
        <f>IF(AND(ISNUMBER(F1148),ISNUMBER(H1148),F1148&gt;=Inputs!$C$68),F1148*H1148*Inputs!$C$69,"")</f>
      </c>
    </row>
    <row r="1149" spans="2:10" ht="15" customHeight="1" x14ac:dyDescent="0.2">
      <c r="B1149" s="39">
        <f t="shared" si="8"/>
      </c>
      <c r="C1149" s="40">
        <f>IF(Inputs!$C$60,Inputs!$C$11+(B1149-Inputs!$C$69)/Inputs!$C$70,"")</f>
      </c>
      <c r="D1149" s="15"/>
      <c r="E1149" s="15"/>
      <c r="F1149" s="11">
        <f t="shared" si="9"/>
      </c>
      <c r="G1149" s="22" cm="1">
        <f t="array" ref="G1149">IF(AND(Inputs!$C$60,Inputs!$C$61),INDEX(Utility_Rates!$C$29:$F$52,HOUR(C1149)+Inputs!$C$69,MATCH(INDEX(Utility_Rates!$K$6:$K$17,MONTH(C1149))&amp;IF(WEEKDAY(C1149,Inputs!$C$76)&lt;=Inputs!$C$74," weekday"," weekend"),Utility_Rates!$C$28:$F$28,Inputs!$C$68)),"")</f>
      </c>
      <c r="H1149" s="34"/>
      <c r="I1149" s="42">
        <f>IF(AND(ISNUMBER(D1149),ISNUMBER(H1149)),D1149*H1149*Inputs!$C$69,"")</f>
      </c>
      <c r="J1149" s="42">
        <f>IF(AND(ISNUMBER(F1149),ISNUMBER(H1149),F1149&gt;=Inputs!$C$68),F1149*H1149*Inputs!$C$69,"")</f>
      </c>
    </row>
    <row r="1150" spans="2:10" ht="15" customHeight="1" x14ac:dyDescent="0.2">
      <c r="B1150" s="39">
        <f t="shared" si="8"/>
      </c>
      <c r="C1150" s="40">
        <f>IF(Inputs!$C$60,Inputs!$C$11+(B1150-Inputs!$C$69)/Inputs!$C$70,"")</f>
      </c>
      <c r="D1150" s="15"/>
      <c r="E1150" s="15"/>
      <c r="F1150" s="11">
        <f t="shared" si="9"/>
      </c>
      <c r="G1150" s="22" cm="1">
        <f t="array" ref="G1150">IF(AND(Inputs!$C$60,Inputs!$C$61),INDEX(Utility_Rates!$C$29:$F$52,HOUR(C1150)+Inputs!$C$69,MATCH(INDEX(Utility_Rates!$K$6:$K$17,MONTH(C1150))&amp;IF(WEEKDAY(C1150,Inputs!$C$76)&lt;=Inputs!$C$74," weekday"," weekend"),Utility_Rates!$C$28:$F$28,Inputs!$C$68)),"")</f>
      </c>
      <c r="H1150" s="34"/>
      <c r="I1150" s="42">
        <f>IF(AND(ISNUMBER(D1150),ISNUMBER(H1150)),D1150*H1150*Inputs!$C$69,"")</f>
      </c>
      <c r="J1150" s="42">
        <f>IF(AND(ISNUMBER(F1150),ISNUMBER(H1150),F1150&gt;=Inputs!$C$68),F1150*H1150*Inputs!$C$69,"")</f>
      </c>
    </row>
    <row r="1151" spans="2:10" ht="15" customHeight="1" x14ac:dyDescent="0.2">
      <c r="B1151" s="39">
        <f t="shared" si="8"/>
      </c>
      <c r="C1151" s="40">
        <f>IF(Inputs!$C$60,Inputs!$C$11+(B1151-Inputs!$C$69)/Inputs!$C$70,"")</f>
      </c>
      <c r="D1151" s="15"/>
      <c r="E1151" s="15"/>
      <c r="F1151" s="11">
        <f t="shared" si="9"/>
      </c>
      <c r="G1151" s="22" cm="1">
        <f t="array" ref="G1151">IF(AND(Inputs!$C$60,Inputs!$C$61),INDEX(Utility_Rates!$C$29:$F$52,HOUR(C1151)+Inputs!$C$69,MATCH(INDEX(Utility_Rates!$K$6:$K$17,MONTH(C1151))&amp;IF(WEEKDAY(C1151,Inputs!$C$76)&lt;=Inputs!$C$74," weekday"," weekend"),Utility_Rates!$C$28:$F$28,Inputs!$C$68)),"")</f>
      </c>
      <c r="H1151" s="34"/>
      <c r="I1151" s="42">
        <f>IF(AND(ISNUMBER(D1151),ISNUMBER(H1151)),D1151*H1151*Inputs!$C$69,"")</f>
      </c>
      <c r="J1151" s="42">
        <f>IF(AND(ISNUMBER(F1151),ISNUMBER(H1151),F1151&gt;=Inputs!$C$68),F1151*H1151*Inputs!$C$69,"")</f>
      </c>
    </row>
    <row r="1152" spans="2:10" ht="15" customHeight="1" x14ac:dyDescent="0.2">
      <c r="B1152" s="39">
        <f t="shared" si="8"/>
      </c>
      <c r="C1152" s="40">
        <f>IF(Inputs!$C$60,Inputs!$C$11+(B1152-Inputs!$C$69)/Inputs!$C$70,"")</f>
      </c>
      <c r="D1152" s="15"/>
      <c r="E1152" s="15"/>
      <c r="F1152" s="11">
        <f t="shared" si="9"/>
      </c>
      <c r="G1152" s="22" cm="1">
        <f t="array" ref="G1152">IF(AND(Inputs!$C$60,Inputs!$C$61),INDEX(Utility_Rates!$C$29:$F$52,HOUR(C1152)+Inputs!$C$69,MATCH(INDEX(Utility_Rates!$K$6:$K$17,MONTH(C1152))&amp;IF(WEEKDAY(C1152,Inputs!$C$76)&lt;=Inputs!$C$74," weekday"," weekend"),Utility_Rates!$C$28:$F$28,Inputs!$C$68)),"")</f>
      </c>
      <c r="H1152" s="34"/>
      <c r="I1152" s="42">
        <f>IF(AND(ISNUMBER(D1152),ISNUMBER(H1152)),D1152*H1152*Inputs!$C$69,"")</f>
      </c>
      <c r="J1152" s="42">
        <f>IF(AND(ISNUMBER(F1152),ISNUMBER(H1152),F1152&gt;=Inputs!$C$68),F1152*H1152*Inputs!$C$69,"")</f>
      </c>
    </row>
    <row r="1153" spans="2:10" ht="15" customHeight="1" x14ac:dyDescent="0.2">
      <c r="B1153" s="39">
        <f t="shared" si="8"/>
      </c>
      <c r="C1153" s="40">
        <f>IF(Inputs!$C$60,Inputs!$C$11+(B1153-Inputs!$C$69)/Inputs!$C$70,"")</f>
      </c>
      <c r="D1153" s="15"/>
      <c r="E1153" s="15"/>
      <c r="F1153" s="11">
        <f t="shared" si="9"/>
      </c>
      <c r="G1153" s="22" cm="1">
        <f t="array" ref="G1153">IF(AND(Inputs!$C$60,Inputs!$C$61),INDEX(Utility_Rates!$C$29:$F$52,HOUR(C1153)+Inputs!$C$69,MATCH(INDEX(Utility_Rates!$K$6:$K$17,MONTH(C1153))&amp;IF(WEEKDAY(C1153,Inputs!$C$76)&lt;=Inputs!$C$74," weekday"," weekend"),Utility_Rates!$C$28:$F$28,Inputs!$C$68)),"")</f>
      </c>
      <c r="H1153" s="34"/>
      <c r="I1153" s="42">
        <f>IF(AND(ISNUMBER(D1153),ISNUMBER(H1153)),D1153*H1153*Inputs!$C$69,"")</f>
      </c>
      <c r="J1153" s="42">
        <f>IF(AND(ISNUMBER(F1153),ISNUMBER(H1153),F1153&gt;=Inputs!$C$68),F1153*H1153*Inputs!$C$69,"")</f>
      </c>
    </row>
    <row r="1154" spans="2:10" ht="15" customHeight="1" x14ac:dyDescent="0.2">
      <c r="B1154" s="39">
        <f t="shared" si="8"/>
      </c>
      <c r="C1154" s="40">
        <f>IF(Inputs!$C$60,Inputs!$C$11+(B1154-Inputs!$C$69)/Inputs!$C$70,"")</f>
      </c>
      <c r="D1154" s="15"/>
      <c r="E1154" s="15"/>
      <c r="F1154" s="11">
        <f t="shared" si="9"/>
      </c>
      <c r="G1154" s="22" cm="1">
        <f t="array" ref="G1154">IF(AND(Inputs!$C$60,Inputs!$C$61),INDEX(Utility_Rates!$C$29:$F$52,HOUR(C1154)+Inputs!$C$69,MATCH(INDEX(Utility_Rates!$K$6:$K$17,MONTH(C1154))&amp;IF(WEEKDAY(C1154,Inputs!$C$76)&lt;=Inputs!$C$74," weekday"," weekend"),Utility_Rates!$C$28:$F$28,Inputs!$C$68)),"")</f>
      </c>
      <c r="H1154" s="34"/>
      <c r="I1154" s="42">
        <f>IF(AND(ISNUMBER(D1154),ISNUMBER(H1154)),D1154*H1154*Inputs!$C$69,"")</f>
      </c>
      <c r="J1154" s="42">
        <f>IF(AND(ISNUMBER(F1154),ISNUMBER(H1154),F1154&gt;=Inputs!$C$68),F1154*H1154*Inputs!$C$69,"")</f>
      </c>
    </row>
    <row r="1155" spans="2:10" ht="15" customHeight="1" x14ac:dyDescent="0.2">
      <c r="B1155" s="39">
        <f t="shared" si="8"/>
      </c>
      <c r="C1155" s="40">
        <f>IF(Inputs!$C$60,Inputs!$C$11+(B1155-Inputs!$C$69)/Inputs!$C$70,"")</f>
      </c>
      <c r="D1155" s="15"/>
      <c r="E1155" s="15"/>
      <c r="F1155" s="11">
        <f t="shared" si="9"/>
      </c>
      <c r="G1155" s="22" cm="1">
        <f t="array" ref="G1155">IF(AND(Inputs!$C$60,Inputs!$C$61),INDEX(Utility_Rates!$C$29:$F$52,HOUR(C1155)+Inputs!$C$69,MATCH(INDEX(Utility_Rates!$K$6:$K$17,MONTH(C1155))&amp;IF(WEEKDAY(C1155,Inputs!$C$76)&lt;=Inputs!$C$74," weekday"," weekend"),Utility_Rates!$C$28:$F$28,Inputs!$C$68)),"")</f>
      </c>
      <c r="H1155" s="34"/>
      <c r="I1155" s="42">
        <f>IF(AND(ISNUMBER(D1155),ISNUMBER(H1155)),D1155*H1155*Inputs!$C$69,"")</f>
      </c>
      <c r="J1155" s="42">
        <f>IF(AND(ISNUMBER(F1155),ISNUMBER(H1155),F1155&gt;=Inputs!$C$68),F1155*H1155*Inputs!$C$69,"")</f>
      </c>
    </row>
    <row r="1156" spans="2:10" ht="15" customHeight="1" x14ac:dyDescent="0.2">
      <c r="B1156" s="39">
        <f t="shared" si="8"/>
      </c>
      <c r="C1156" s="40">
        <f>IF(Inputs!$C$60,Inputs!$C$11+(B1156-Inputs!$C$69)/Inputs!$C$70,"")</f>
      </c>
      <c r="D1156" s="15"/>
      <c r="E1156" s="15"/>
      <c r="F1156" s="11">
        <f t="shared" si="9"/>
      </c>
      <c r="G1156" s="22" cm="1">
        <f t="array" ref="G1156">IF(AND(Inputs!$C$60,Inputs!$C$61),INDEX(Utility_Rates!$C$29:$F$52,HOUR(C1156)+Inputs!$C$69,MATCH(INDEX(Utility_Rates!$K$6:$K$17,MONTH(C1156))&amp;IF(WEEKDAY(C1156,Inputs!$C$76)&lt;=Inputs!$C$74," weekday"," weekend"),Utility_Rates!$C$28:$F$28,Inputs!$C$68)),"")</f>
      </c>
      <c r="H1156" s="34"/>
      <c r="I1156" s="42">
        <f>IF(AND(ISNUMBER(D1156),ISNUMBER(H1156)),D1156*H1156*Inputs!$C$69,"")</f>
      </c>
      <c r="J1156" s="42">
        <f>IF(AND(ISNUMBER(F1156),ISNUMBER(H1156),F1156&gt;=Inputs!$C$68),F1156*H1156*Inputs!$C$69,"")</f>
      </c>
    </row>
    <row r="1157" spans="2:10" ht="15" customHeight="1" x14ac:dyDescent="0.2">
      <c r="B1157" s="39">
        <f t="shared" si="8"/>
      </c>
      <c r="C1157" s="40">
        <f>IF(Inputs!$C$60,Inputs!$C$11+(B1157-Inputs!$C$69)/Inputs!$C$70,"")</f>
      </c>
      <c r="D1157" s="15"/>
      <c r="E1157" s="15"/>
      <c r="F1157" s="11">
        <f t="shared" si="9"/>
      </c>
      <c r="G1157" s="22" cm="1">
        <f t="array" ref="G1157">IF(AND(Inputs!$C$60,Inputs!$C$61),INDEX(Utility_Rates!$C$29:$F$52,HOUR(C1157)+Inputs!$C$69,MATCH(INDEX(Utility_Rates!$K$6:$K$17,MONTH(C1157))&amp;IF(WEEKDAY(C1157,Inputs!$C$76)&lt;=Inputs!$C$74," weekday"," weekend"),Utility_Rates!$C$28:$F$28,Inputs!$C$68)),"")</f>
      </c>
      <c r="H1157" s="34"/>
      <c r="I1157" s="42">
        <f>IF(AND(ISNUMBER(D1157),ISNUMBER(H1157)),D1157*H1157*Inputs!$C$69,"")</f>
      </c>
      <c r="J1157" s="42">
        <f>IF(AND(ISNUMBER(F1157),ISNUMBER(H1157),F1157&gt;=Inputs!$C$68),F1157*H1157*Inputs!$C$69,"")</f>
      </c>
    </row>
    <row r="1158" spans="2:10" ht="15" customHeight="1" x14ac:dyDescent="0.2">
      <c r="B1158" s="39">
        <f t="shared" si="8"/>
      </c>
      <c r="C1158" s="40">
        <f>IF(Inputs!$C$60,Inputs!$C$11+(B1158-Inputs!$C$69)/Inputs!$C$70,"")</f>
      </c>
      <c r="D1158" s="15"/>
      <c r="E1158" s="15"/>
      <c r="F1158" s="11">
        <f t="shared" si="9"/>
      </c>
      <c r="G1158" s="22" cm="1">
        <f t="array" ref="G1158">IF(AND(Inputs!$C$60,Inputs!$C$61),INDEX(Utility_Rates!$C$29:$F$52,HOUR(C1158)+Inputs!$C$69,MATCH(INDEX(Utility_Rates!$K$6:$K$17,MONTH(C1158))&amp;IF(WEEKDAY(C1158,Inputs!$C$76)&lt;=Inputs!$C$74," weekday"," weekend"),Utility_Rates!$C$28:$F$28,Inputs!$C$68)),"")</f>
      </c>
      <c r="H1158" s="34"/>
      <c r="I1158" s="42">
        <f>IF(AND(ISNUMBER(D1158),ISNUMBER(H1158)),D1158*H1158*Inputs!$C$69,"")</f>
      </c>
      <c r="J1158" s="42">
        <f>IF(AND(ISNUMBER(F1158),ISNUMBER(H1158),F1158&gt;=Inputs!$C$68),F1158*H1158*Inputs!$C$69,"")</f>
      </c>
    </row>
    <row r="1159" spans="2:10" ht="15" customHeight="1" x14ac:dyDescent="0.2">
      <c r="B1159" s="39">
        <f t="shared" si="8"/>
      </c>
      <c r="C1159" s="40">
        <f>IF(Inputs!$C$60,Inputs!$C$11+(B1159-Inputs!$C$69)/Inputs!$C$70,"")</f>
      </c>
      <c r="D1159" s="15"/>
      <c r="E1159" s="15"/>
      <c r="F1159" s="11">
        <f t="shared" si="9"/>
      </c>
      <c r="G1159" s="22" cm="1">
        <f t="array" ref="G1159">IF(AND(Inputs!$C$60,Inputs!$C$61),INDEX(Utility_Rates!$C$29:$F$52,HOUR(C1159)+Inputs!$C$69,MATCH(INDEX(Utility_Rates!$K$6:$K$17,MONTH(C1159))&amp;IF(WEEKDAY(C1159,Inputs!$C$76)&lt;=Inputs!$C$74," weekday"," weekend"),Utility_Rates!$C$28:$F$28,Inputs!$C$68)),"")</f>
      </c>
      <c r="H1159" s="34"/>
      <c r="I1159" s="42">
        <f>IF(AND(ISNUMBER(D1159),ISNUMBER(H1159)),D1159*H1159*Inputs!$C$69,"")</f>
      </c>
      <c r="J1159" s="42">
        <f>IF(AND(ISNUMBER(F1159),ISNUMBER(H1159),F1159&gt;=Inputs!$C$68),F1159*H1159*Inputs!$C$69,"")</f>
      </c>
    </row>
    <row r="1160" spans="2:10" ht="15" customHeight="1" x14ac:dyDescent="0.2">
      <c r="B1160" s="39">
        <f t="shared" si="8"/>
      </c>
      <c r="C1160" s="40">
        <f>IF(Inputs!$C$60,Inputs!$C$11+(B1160-Inputs!$C$69)/Inputs!$C$70,"")</f>
      </c>
      <c r="D1160" s="15"/>
      <c r="E1160" s="15"/>
      <c r="F1160" s="11">
        <f t="shared" si="9"/>
      </c>
      <c r="G1160" s="22" cm="1">
        <f t="array" ref="G1160">IF(AND(Inputs!$C$60,Inputs!$C$61),INDEX(Utility_Rates!$C$29:$F$52,HOUR(C1160)+Inputs!$C$69,MATCH(INDEX(Utility_Rates!$K$6:$K$17,MONTH(C1160))&amp;IF(WEEKDAY(C1160,Inputs!$C$76)&lt;=Inputs!$C$74," weekday"," weekend"),Utility_Rates!$C$28:$F$28,Inputs!$C$68)),"")</f>
      </c>
      <c r="H1160" s="34"/>
      <c r="I1160" s="42">
        <f>IF(AND(ISNUMBER(D1160),ISNUMBER(H1160)),D1160*H1160*Inputs!$C$69,"")</f>
      </c>
      <c r="J1160" s="42">
        <f>IF(AND(ISNUMBER(F1160),ISNUMBER(H1160),F1160&gt;=Inputs!$C$68),F1160*H1160*Inputs!$C$69,"")</f>
      </c>
    </row>
    <row r="1161" spans="2:10" ht="15" customHeight="1" x14ac:dyDescent="0.2">
      <c r="B1161" s="39">
        <f t="shared" si="8"/>
      </c>
      <c r="C1161" s="40">
        <f>IF(Inputs!$C$60,Inputs!$C$11+(B1161-Inputs!$C$69)/Inputs!$C$70,"")</f>
      </c>
      <c r="D1161" s="15"/>
      <c r="E1161" s="15"/>
      <c r="F1161" s="11">
        <f t="shared" si="9"/>
      </c>
      <c r="G1161" s="22" cm="1">
        <f t="array" ref="G1161">IF(AND(Inputs!$C$60,Inputs!$C$61),INDEX(Utility_Rates!$C$29:$F$52,HOUR(C1161)+Inputs!$C$69,MATCH(INDEX(Utility_Rates!$K$6:$K$17,MONTH(C1161))&amp;IF(WEEKDAY(C1161,Inputs!$C$76)&lt;=Inputs!$C$74," weekday"," weekend"),Utility_Rates!$C$28:$F$28,Inputs!$C$68)),"")</f>
      </c>
      <c r="H1161" s="34"/>
      <c r="I1161" s="42">
        <f>IF(AND(ISNUMBER(D1161),ISNUMBER(H1161)),D1161*H1161*Inputs!$C$69,"")</f>
      </c>
      <c r="J1161" s="42">
        <f>IF(AND(ISNUMBER(F1161),ISNUMBER(H1161),F1161&gt;=Inputs!$C$68),F1161*H1161*Inputs!$C$69,"")</f>
      </c>
    </row>
    <row r="1162" spans="2:10" ht="15" customHeight="1" x14ac:dyDescent="0.2">
      <c r="B1162" s="39">
        <f t="shared" si="8"/>
      </c>
      <c r="C1162" s="40">
        <f>IF(Inputs!$C$60,Inputs!$C$11+(B1162-Inputs!$C$69)/Inputs!$C$70,"")</f>
      </c>
      <c r="D1162" s="15"/>
      <c r="E1162" s="15"/>
      <c r="F1162" s="11">
        <f t="shared" si="9"/>
      </c>
      <c r="G1162" s="22" cm="1">
        <f t="array" ref="G1162">IF(AND(Inputs!$C$60,Inputs!$C$61),INDEX(Utility_Rates!$C$29:$F$52,HOUR(C1162)+Inputs!$C$69,MATCH(INDEX(Utility_Rates!$K$6:$K$17,MONTH(C1162))&amp;IF(WEEKDAY(C1162,Inputs!$C$76)&lt;=Inputs!$C$74," weekday"," weekend"),Utility_Rates!$C$28:$F$28,Inputs!$C$68)),"")</f>
      </c>
      <c r="H1162" s="34"/>
      <c r="I1162" s="42">
        <f>IF(AND(ISNUMBER(D1162),ISNUMBER(H1162)),D1162*H1162*Inputs!$C$69,"")</f>
      </c>
      <c r="J1162" s="42">
        <f>IF(AND(ISNUMBER(F1162),ISNUMBER(H1162),F1162&gt;=Inputs!$C$68),F1162*H1162*Inputs!$C$69,"")</f>
      </c>
    </row>
    <row r="1163" spans="2:10" ht="15" customHeight="1" x14ac:dyDescent="0.2">
      <c r="B1163" s="39">
        <f t="shared" si="8"/>
      </c>
      <c r="C1163" s="40">
        <f>IF(Inputs!$C$60,Inputs!$C$11+(B1163-Inputs!$C$69)/Inputs!$C$70,"")</f>
      </c>
      <c r="D1163" s="15"/>
      <c r="E1163" s="15"/>
      <c r="F1163" s="11">
        <f t="shared" si="9"/>
      </c>
      <c r="G1163" s="22" cm="1">
        <f t="array" ref="G1163">IF(AND(Inputs!$C$60,Inputs!$C$61),INDEX(Utility_Rates!$C$29:$F$52,HOUR(C1163)+Inputs!$C$69,MATCH(INDEX(Utility_Rates!$K$6:$K$17,MONTH(C1163))&amp;IF(WEEKDAY(C1163,Inputs!$C$76)&lt;=Inputs!$C$74," weekday"," weekend"),Utility_Rates!$C$28:$F$28,Inputs!$C$68)),"")</f>
      </c>
      <c r="H1163" s="34"/>
      <c r="I1163" s="42">
        <f>IF(AND(ISNUMBER(D1163),ISNUMBER(H1163)),D1163*H1163*Inputs!$C$69,"")</f>
      </c>
      <c r="J1163" s="42">
        <f>IF(AND(ISNUMBER(F1163),ISNUMBER(H1163),F1163&gt;=Inputs!$C$68),F1163*H1163*Inputs!$C$69,"")</f>
      </c>
    </row>
    <row r="1164" spans="2:10" ht="15" customHeight="1" x14ac:dyDescent="0.2">
      <c r="B1164" s="39">
        <f t="shared" si="8"/>
      </c>
      <c r="C1164" s="40">
        <f>IF(Inputs!$C$60,Inputs!$C$11+(B1164-Inputs!$C$69)/Inputs!$C$70,"")</f>
      </c>
      <c r="D1164" s="15"/>
      <c r="E1164" s="15"/>
      <c r="F1164" s="11">
        <f t="shared" si="9"/>
      </c>
      <c r="G1164" s="22" cm="1">
        <f t="array" ref="G1164">IF(AND(Inputs!$C$60,Inputs!$C$61),INDEX(Utility_Rates!$C$29:$F$52,HOUR(C1164)+Inputs!$C$69,MATCH(INDEX(Utility_Rates!$K$6:$K$17,MONTH(C1164))&amp;IF(WEEKDAY(C1164,Inputs!$C$76)&lt;=Inputs!$C$74," weekday"," weekend"),Utility_Rates!$C$28:$F$28,Inputs!$C$68)),"")</f>
      </c>
      <c r="H1164" s="34"/>
      <c r="I1164" s="42">
        <f>IF(AND(ISNUMBER(D1164),ISNUMBER(H1164)),D1164*H1164*Inputs!$C$69,"")</f>
      </c>
      <c r="J1164" s="42">
        <f>IF(AND(ISNUMBER(F1164),ISNUMBER(H1164),F1164&gt;=Inputs!$C$68),F1164*H1164*Inputs!$C$69,"")</f>
      </c>
    </row>
    <row r="1165" spans="2:10" ht="15" customHeight="1" x14ac:dyDescent="0.2">
      <c r="B1165" s="39">
        <f t="shared" si="8"/>
      </c>
      <c r="C1165" s="40">
        <f>IF(Inputs!$C$60,Inputs!$C$11+(B1165-Inputs!$C$69)/Inputs!$C$70,"")</f>
      </c>
      <c r="D1165" s="15"/>
      <c r="E1165" s="15"/>
      <c r="F1165" s="11">
        <f t="shared" si="9"/>
      </c>
      <c r="G1165" s="22" cm="1">
        <f t="array" ref="G1165">IF(AND(Inputs!$C$60,Inputs!$C$61),INDEX(Utility_Rates!$C$29:$F$52,HOUR(C1165)+Inputs!$C$69,MATCH(INDEX(Utility_Rates!$K$6:$K$17,MONTH(C1165))&amp;IF(WEEKDAY(C1165,Inputs!$C$76)&lt;=Inputs!$C$74," weekday"," weekend"),Utility_Rates!$C$28:$F$28,Inputs!$C$68)),"")</f>
      </c>
      <c r="H1165" s="34"/>
      <c r="I1165" s="42">
        <f>IF(AND(ISNUMBER(D1165),ISNUMBER(H1165)),D1165*H1165*Inputs!$C$69,"")</f>
      </c>
      <c r="J1165" s="42">
        <f>IF(AND(ISNUMBER(F1165),ISNUMBER(H1165),F1165&gt;=Inputs!$C$68),F1165*H1165*Inputs!$C$69,"")</f>
      </c>
    </row>
    <row r="1166" spans="2:10" ht="15" customHeight="1" x14ac:dyDescent="0.2">
      <c r="B1166" s="39">
        <f t="shared" si="8"/>
      </c>
      <c r="C1166" s="40">
        <f>IF(Inputs!$C$60,Inputs!$C$11+(B1166-Inputs!$C$69)/Inputs!$C$70,"")</f>
      </c>
      <c r="D1166" s="15"/>
      <c r="E1166" s="15"/>
      <c r="F1166" s="11">
        <f t="shared" si="9"/>
      </c>
      <c r="G1166" s="22" cm="1">
        <f t="array" ref="G1166">IF(AND(Inputs!$C$60,Inputs!$C$61),INDEX(Utility_Rates!$C$29:$F$52,HOUR(C1166)+Inputs!$C$69,MATCH(INDEX(Utility_Rates!$K$6:$K$17,MONTH(C1166))&amp;IF(WEEKDAY(C1166,Inputs!$C$76)&lt;=Inputs!$C$74," weekday"," weekend"),Utility_Rates!$C$28:$F$28,Inputs!$C$68)),"")</f>
      </c>
      <c r="H1166" s="34"/>
      <c r="I1166" s="42">
        <f>IF(AND(ISNUMBER(D1166),ISNUMBER(H1166)),D1166*H1166*Inputs!$C$69,"")</f>
      </c>
      <c r="J1166" s="42">
        <f>IF(AND(ISNUMBER(F1166),ISNUMBER(H1166),F1166&gt;=Inputs!$C$68),F1166*H1166*Inputs!$C$69,"")</f>
      </c>
    </row>
    <row r="1167" spans="2:10" ht="15" customHeight="1" x14ac:dyDescent="0.2">
      <c r="B1167" s="39">
        <f t="shared" si="8"/>
      </c>
      <c r="C1167" s="40">
        <f>IF(Inputs!$C$60,Inputs!$C$11+(B1167-Inputs!$C$69)/Inputs!$C$70,"")</f>
      </c>
      <c r="D1167" s="15"/>
      <c r="E1167" s="15"/>
      <c r="F1167" s="11">
        <f t="shared" si="9"/>
      </c>
      <c r="G1167" s="22" cm="1">
        <f t="array" ref="G1167">IF(AND(Inputs!$C$60,Inputs!$C$61),INDEX(Utility_Rates!$C$29:$F$52,HOUR(C1167)+Inputs!$C$69,MATCH(INDEX(Utility_Rates!$K$6:$K$17,MONTH(C1167))&amp;IF(WEEKDAY(C1167,Inputs!$C$76)&lt;=Inputs!$C$74," weekday"," weekend"),Utility_Rates!$C$28:$F$28,Inputs!$C$68)),"")</f>
      </c>
      <c r="H1167" s="34"/>
      <c r="I1167" s="42">
        <f>IF(AND(ISNUMBER(D1167),ISNUMBER(H1167)),D1167*H1167*Inputs!$C$69,"")</f>
      </c>
      <c r="J1167" s="42">
        <f>IF(AND(ISNUMBER(F1167),ISNUMBER(H1167),F1167&gt;=Inputs!$C$68),F1167*H1167*Inputs!$C$69,"")</f>
      </c>
    </row>
    <row r="1168" spans="2:10" ht="15" customHeight="1" x14ac:dyDescent="0.2">
      <c r="B1168" s="39">
        <f t="shared" si="8"/>
      </c>
      <c r="C1168" s="40">
        <f>IF(Inputs!$C$60,Inputs!$C$11+(B1168-Inputs!$C$69)/Inputs!$C$70,"")</f>
      </c>
      <c r="D1168" s="15"/>
      <c r="E1168" s="15"/>
      <c r="F1168" s="11">
        <f t="shared" si="9"/>
      </c>
      <c r="G1168" s="22" cm="1">
        <f t="array" ref="G1168">IF(AND(Inputs!$C$60,Inputs!$C$61),INDEX(Utility_Rates!$C$29:$F$52,HOUR(C1168)+Inputs!$C$69,MATCH(INDEX(Utility_Rates!$K$6:$K$17,MONTH(C1168))&amp;IF(WEEKDAY(C1168,Inputs!$C$76)&lt;=Inputs!$C$74," weekday"," weekend"),Utility_Rates!$C$28:$F$28,Inputs!$C$68)),"")</f>
      </c>
      <c r="H1168" s="34"/>
      <c r="I1168" s="42">
        <f>IF(AND(ISNUMBER(D1168),ISNUMBER(H1168)),D1168*H1168*Inputs!$C$69,"")</f>
      </c>
      <c r="J1168" s="42">
        <f>IF(AND(ISNUMBER(F1168),ISNUMBER(H1168),F1168&gt;=Inputs!$C$68),F1168*H1168*Inputs!$C$69,"")</f>
      </c>
    </row>
    <row r="1169" spans="2:10" ht="15" customHeight="1" x14ac:dyDescent="0.2">
      <c r="B1169" s="39">
        <f t="shared" si="8"/>
      </c>
      <c r="C1169" s="40">
        <f>IF(Inputs!$C$60,Inputs!$C$11+(B1169-Inputs!$C$69)/Inputs!$C$70,"")</f>
      </c>
      <c r="D1169" s="15"/>
      <c r="E1169" s="15"/>
      <c r="F1169" s="11">
        <f t="shared" si="9"/>
      </c>
      <c r="G1169" s="22" cm="1">
        <f t="array" ref="G1169">IF(AND(Inputs!$C$60,Inputs!$C$61),INDEX(Utility_Rates!$C$29:$F$52,HOUR(C1169)+Inputs!$C$69,MATCH(INDEX(Utility_Rates!$K$6:$K$17,MONTH(C1169))&amp;IF(WEEKDAY(C1169,Inputs!$C$76)&lt;=Inputs!$C$74," weekday"," weekend"),Utility_Rates!$C$28:$F$28,Inputs!$C$68)),"")</f>
      </c>
      <c r="H1169" s="34"/>
      <c r="I1169" s="42">
        <f>IF(AND(ISNUMBER(D1169),ISNUMBER(H1169)),D1169*H1169*Inputs!$C$69,"")</f>
      </c>
      <c r="J1169" s="42">
        <f>IF(AND(ISNUMBER(F1169),ISNUMBER(H1169),F1169&gt;=Inputs!$C$68),F1169*H1169*Inputs!$C$69,"")</f>
      </c>
    </row>
    <row r="1170" spans="2:10" ht="15" customHeight="1" x14ac:dyDescent="0.2">
      <c r="B1170" s="39">
        <f t="shared" si="8"/>
      </c>
      <c r="C1170" s="40">
        <f>IF(Inputs!$C$60,Inputs!$C$11+(B1170-Inputs!$C$69)/Inputs!$C$70,"")</f>
      </c>
      <c r="D1170" s="15"/>
      <c r="E1170" s="15"/>
      <c r="F1170" s="11">
        <f t="shared" si="9"/>
      </c>
      <c r="G1170" s="22" cm="1">
        <f t="array" ref="G1170">IF(AND(Inputs!$C$60,Inputs!$C$61),INDEX(Utility_Rates!$C$29:$F$52,HOUR(C1170)+Inputs!$C$69,MATCH(INDEX(Utility_Rates!$K$6:$K$17,MONTH(C1170))&amp;IF(WEEKDAY(C1170,Inputs!$C$76)&lt;=Inputs!$C$74," weekday"," weekend"),Utility_Rates!$C$28:$F$28,Inputs!$C$68)),"")</f>
      </c>
      <c r="H1170" s="34"/>
      <c r="I1170" s="42">
        <f>IF(AND(ISNUMBER(D1170),ISNUMBER(H1170)),D1170*H1170*Inputs!$C$69,"")</f>
      </c>
      <c r="J1170" s="42">
        <f>IF(AND(ISNUMBER(F1170),ISNUMBER(H1170),F1170&gt;=Inputs!$C$68),F1170*H1170*Inputs!$C$69,"")</f>
      </c>
    </row>
    <row r="1171" spans="2:10" ht="15" customHeight="1" x14ac:dyDescent="0.2">
      <c r="B1171" s="39">
        <f t="shared" si="8"/>
      </c>
      <c r="C1171" s="40">
        <f>IF(Inputs!$C$60,Inputs!$C$11+(B1171-Inputs!$C$69)/Inputs!$C$70,"")</f>
      </c>
      <c r="D1171" s="15"/>
      <c r="E1171" s="15"/>
      <c r="F1171" s="11">
        <f t="shared" si="9"/>
      </c>
      <c r="G1171" s="22" cm="1">
        <f t="array" ref="G1171">IF(AND(Inputs!$C$60,Inputs!$C$61),INDEX(Utility_Rates!$C$29:$F$52,HOUR(C1171)+Inputs!$C$69,MATCH(INDEX(Utility_Rates!$K$6:$K$17,MONTH(C1171))&amp;IF(WEEKDAY(C1171,Inputs!$C$76)&lt;=Inputs!$C$74," weekday"," weekend"),Utility_Rates!$C$28:$F$28,Inputs!$C$68)),"")</f>
      </c>
      <c r="H1171" s="34"/>
      <c r="I1171" s="42">
        <f>IF(AND(ISNUMBER(D1171),ISNUMBER(H1171)),D1171*H1171*Inputs!$C$69,"")</f>
      </c>
      <c r="J1171" s="42">
        <f>IF(AND(ISNUMBER(F1171),ISNUMBER(H1171),F1171&gt;=Inputs!$C$68),F1171*H1171*Inputs!$C$69,"")</f>
      </c>
    </row>
    <row r="1172" spans="2:10" ht="15" customHeight="1" x14ac:dyDescent="0.2">
      <c r="B1172" s="39">
        <f t="shared" si="8"/>
      </c>
      <c r="C1172" s="40">
        <f>IF(Inputs!$C$60,Inputs!$C$11+(B1172-Inputs!$C$69)/Inputs!$C$70,"")</f>
      </c>
      <c r="D1172" s="15"/>
      <c r="E1172" s="15"/>
      <c r="F1172" s="11">
        <f t="shared" si="9"/>
      </c>
      <c r="G1172" s="22" cm="1">
        <f t="array" ref="G1172">IF(AND(Inputs!$C$60,Inputs!$C$61),INDEX(Utility_Rates!$C$29:$F$52,HOUR(C1172)+Inputs!$C$69,MATCH(INDEX(Utility_Rates!$K$6:$K$17,MONTH(C1172))&amp;IF(WEEKDAY(C1172,Inputs!$C$76)&lt;=Inputs!$C$74," weekday"," weekend"),Utility_Rates!$C$28:$F$28,Inputs!$C$68)),"")</f>
      </c>
      <c r="H1172" s="34"/>
      <c r="I1172" s="42">
        <f>IF(AND(ISNUMBER(D1172),ISNUMBER(H1172)),D1172*H1172*Inputs!$C$69,"")</f>
      </c>
      <c r="J1172" s="42">
        <f>IF(AND(ISNUMBER(F1172),ISNUMBER(H1172),F1172&gt;=Inputs!$C$68),F1172*H1172*Inputs!$C$69,"")</f>
      </c>
    </row>
    <row r="1173" spans="2:10" ht="15" customHeight="1" x14ac:dyDescent="0.2">
      <c r="B1173" s="39">
        <f t="shared" si="8"/>
      </c>
      <c r="C1173" s="40">
        <f>IF(Inputs!$C$60,Inputs!$C$11+(B1173-Inputs!$C$69)/Inputs!$C$70,"")</f>
      </c>
      <c r="D1173" s="15"/>
      <c r="E1173" s="15"/>
      <c r="F1173" s="11">
        <f t="shared" si="9"/>
      </c>
      <c r="G1173" s="22" cm="1">
        <f t="array" ref="G1173">IF(AND(Inputs!$C$60,Inputs!$C$61),INDEX(Utility_Rates!$C$29:$F$52,HOUR(C1173)+Inputs!$C$69,MATCH(INDEX(Utility_Rates!$K$6:$K$17,MONTH(C1173))&amp;IF(WEEKDAY(C1173,Inputs!$C$76)&lt;=Inputs!$C$74," weekday"," weekend"),Utility_Rates!$C$28:$F$28,Inputs!$C$68)),"")</f>
      </c>
      <c r="H1173" s="34"/>
      <c r="I1173" s="42">
        <f>IF(AND(ISNUMBER(D1173),ISNUMBER(H1173)),D1173*H1173*Inputs!$C$69,"")</f>
      </c>
      <c r="J1173" s="42">
        <f>IF(AND(ISNUMBER(F1173),ISNUMBER(H1173),F1173&gt;=Inputs!$C$68),F1173*H1173*Inputs!$C$69,"")</f>
      </c>
    </row>
    <row r="1174" spans="2:10" ht="15" customHeight="1" x14ac:dyDescent="0.2">
      <c r="B1174" s="39">
        <f t="shared" si="8"/>
      </c>
      <c r="C1174" s="40">
        <f>IF(Inputs!$C$60,Inputs!$C$11+(B1174-Inputs!$C$69)/Inputs!$C$70,"")</f>
      </c>
      <c r="D1174" s="15"/>
      <c r="E1174" s="15"/>
      <c r="F1174" s="11">
        <f t="shared" si="9"/>
      </c>
      <c r="G1174" s="22" cm="1">
        <f t="array" ref="G1174">IF(AND(Inputs!$C$60,Inputs!$C$61),INDEX(Utility_Rates!$C$29:$F$52,HOUR(C1174)+Inputs!$C$69,MATCH(INDEX(Utility_Rates!$K$6:$K$17,MONTH(C1174))&amp;IF(WEEKDAY(C1174,Inputs!$C$76)&lt;=Inputs!$C$74," weekday"," weekend"),Utility_Rates!$C$28:$F$28,Inputs!$C$68)),"")</f>
      </c>
      <c r="H1174" s="34"/>
      <c r="I1174" s="42">
        <f>IF(AND(ISNUMBER(D1174),ISNUMBER(H1174)),D1174*H1174*Inputs!$C$69,"")</f>
      </c>
      <c r="J1174" s="42">
        <f>IF(AND(ISNUMBER(F1174),ISNUMBER(H1174),F1174&gt;=Inputs!$C$68),F1174*H1174*Inputs!$C$69,"")</f>
      </c>
    </row>
    <row r="1175" spans="2:10" ht="15" customHeight="1" x14ac:dyDescent="0.2">
      <c r="B1175" s="39">
        <f t="shared" si="8"/>
      </c>
      <c r="C1175" s="40">
        <f>IF(Inputs!$C$60,Inputs!$C$11+(B1175-Inputs!$C$69)/Inputs!$C$70,"")</f>
      </c>
      <c r="D1175" s="15"/>
      <c r="E1175" s="15"/>
      <c r="F1175" s="11">
        <f t="shared" si="9"/>
      </c>
      <c r="G1175" s="22" cm="1">
        <f t="array" ref="G1175">IF(AND(Inputs!$C$60,Inputs!$C$61),INDEX(Utility_Rates!$C$29:$F$52,HOUR(C1175)+Inputs!$C$69,MATCH(INDEX(Utility_Rates!$K$6:$K$17,MONTH(C1175))&amp;IF(WEEKDAY(C1175,Inputs!$C$76)&lt;=Inputs!$C$74," weekday"," weekend"),Utility_Rates!$C$28:$F$28,Inputs!$C$68)),"")</f>
      </c>
      <c r="H1175" s="34"/>
      <c r="I1175" s="42">
        <f>IF(AND(ISNUMBER(D1175),ISNUMBER(H1175)),D1175*H1175*Inputs!$C$69,"")</f>
      </c>
      <c r="J1175" s="42">
        <f>IF(AND(ISNUMBER(F1175),ISNUMBER(H1175),F1175&gt;=Inputs!$C$68),F1175*H1175*Inputs!$C$69,"")</f>
      </c>
    </row>
    <row r="1176" spans="2:10" ht="15" customHeight="1" x14ac:dyDescent="0.2">
      <c r="B1176" s="39">
        <f t="shared" si="8"/>
      </c>
      <c r="C1176" s="40">
        <f>IF(Inputs!$C$60,Inputs!$C$11+(B1176-Inputs!$C$69)/Inputs!$C$70,"")</f>
      </c>
      <c r="D1176" s="15"/>
      <c r="E1176" s="15"/>
      <c r="F1176" s="11">
        <f t="shared" si="9"/>
      </c>
      <c r="G1176" s="22" cm="1">
        <f t="array" ref="G1176">IF(AND(Inputs!$C$60,Inputs!$C$61),INDEX(Utility_Rates!$C$29:$F$52,HOUR(C1176)+Inputs!$C$69,MATCH(INDEX(Utility_Rates!$K$6:$K$17,MONTH(C1176))&amp;IF(WEEKDAY(C1176,Inputs!$C$76)&lt;=Inputs!$C$74," weekday"," weekend"),Utility_Rates!$C$28:$F$28,Inputs!$C$68)),"")</f>
      </c>
      <c r="H1176" s="34"/>
      <c r="I1176" s="42">
        <f>IF(AND(ISNUMBER(D1176),ISNUMBER(H1176)),D1176*H1176*Inputs!$C$69,"")</f>
      </c>
      <c r="J1176" s="42">
        <f>IF(AND(ISNUMBER(F1176),ISNUMBER(H1176),F1176&gt;=Inputs!$C$68),F1176*H1176*Inputs!$C$69,"")</f>
      </c>
    </row>
    <row r="1177" spans="2:10" ht="15" customHeight="1" x14ac:dyDescent="0.2">
      <c r="B1177" s="39">
        <f t="shared" si="8"/>
      </c>
      <c r="C1177" s="40">
        <f>IF(Inputs!$C$60,Inputs!$C$11+(B1177-Inputs!$C$69)/Inputs!$C$70,"")</f>
      </c>
      <c r="D1177" s="15"/>
      <c r="E1177" s="15"/>
      <c r="F1177" s="11">
        <f t="shared" si="9"/>
      </c>
      <c r="G1177" s="22" cm="1">
        <f t="array" ref="G1177">IF(AND(Inputs!$C$60,Inputs!$C$61),INDEX(Utility_Rates!$C$29:$F$52,HOUR(C1177)+Inputs!$C$69,MATCH(INDEX(Utility_Rates!$K$6:$K$17,MONTH(C1177))&amp;IF(WEEKDAY(C1177,Inputs!$C$76)&lt;=Inputs!$C$74," weekday"," weekend"),Utility_Rates!$C$28:$F$28,Inputs!$C$68)),"")</f>
      </c>
      <c r="H1177" s="34"/>
      <c r="I1177" s="42">
        <f>IF(AND(ISNUMBER(D1177),ISNUMBER(H1177)),D1177*H1177*Inputs!$C$69,"")</f>
      </c>
      <c r="J1177" s="42">
        <f>IF(AND(ISNUMBER(F1177),ISNUMBER(H1177),F1177&gt;=Inputs!$C$68),F1177*H1177*Inputs!$C$69,"")</f>
      </c>
    </row>
    <row r="1178" spans="2:10" ht="15" customHeight="1" x14ac:dyDescent="0.2">
      <c r="B1178" s="39">
        <f t="shared" si="8"/>
      </c>
      <c r="C1178" s="40">
        <f>IF(Inputs!$C$60,Inputs!$C$11+(B1178-Inputs!$C$69)/Inputs!$C$70,"")</f>
      </c>
      <c r="D1178" s="15"/>
      <c r="E1178" s="15"/>
      <c r="F1178" s="11">
        <f t="shared" si="9"/>
      </c>
      <c r="G1178" s="22" cm="1">
        <f t="array" ref="G1178">IF(AND(Inputs!$C$60,Inputs!$C$61),INDEX(Utility_Rates!$C$29:$F$52,HOUR(C1178)+Inputs!$C$69,MATCH(INDEX(Utility_Rates!$K$6:$K$17,MONTH(C1178))&amp;IF(WEEKDAY(C1178,Inputs!$C$76)&lt;=Inputs!$C$74," weekday"," weekend"),Utility_Rates!$C$28:$F$28,Inputs!$C$68)),"")</f>
      </c>
      <c r="H1178" s="34"/>
      <c r="I1178" s="42">
        <f>IF(AND(ISNUMBER(D1178),ISNUMBER(H1178)),D1178*H1178*Inputs!$C$69,"")</f>
      </c>
      <c r="J1178" s="42">
        <f>IF(AND(ISNUMBER(F1178),ISNUMBER(H1178),F1178&gt;=Inputs!$C$68),F1178*H1178*Inputs!$C$69,"")</f>
      </c>
    </row>
    <row r="1179" spans="2:10" ht="15" customHeight="1" x14ac:dyDescent="0.2">
      <c r="B1179" s="39">
        <f t="shared" si="8"/>
      </c>
      <c r="C1179" s="40">
        <f>IF(Inputs!$C$60,Inputs!$C$11+(B1179-Inputs!$C$69)/Inputs!$C$70,"")</f>
      </c>
      <c r="D1179" s="15"/>
      <c r="E1179" s="15"/>
      <c r="F1179" s="11">
        <f t="shared" si="9"/>
      </c>
      <c r="G1179" s="22" cm="1">
        <f t="array" ref="G1179">IF(AND(Inputs!$C$60,Inputs!$C$61),INDEX(Utility_Rates!$C$29:$F$52,HOUR(C1179)+Inputs!$C$69,MATCH(INDEX(Utility_Rates!$K$6:$K$17,MONTH(C1179))&amp;IF(WEEKDAY(C1179,Inputs!$C$76)&lt;=Inputs!$C$74," weekday"," weekend"),Utility_Rates!$C$28:$F$28,Inputs!$C$68)),"")</f>
      </c>
      <c r="H1179" s="34"/>
      <c r="I1179" s="42">
        <f>IF(AND(ISNUMBER(D1179),ISNUMBER(H1179)),D1179*H1179*Inputs!$C$69,"")</f>
      </c>
      <c r="J1179" s="42">
        <f>IF(AND(ISNUMBER(F1179),ISNUMBER(H1179),F1179&gt;=Inputs!$C$68),F1179*H1179*Inputs!$C$69,"")</f>
      </c>
    </row>
    <row r="1180" spans="2:10" ht="15" customHeight="1" x14ac:dyDescent="0.2">
      <c r="B1180" s="39">
        <f t="shared" si="8"/>
      </c>
      <c r="C1180" s="40">
        <f>IF(Inputs!$C$60,Inputs!$C$11+(B1180-Inputs!$C$69)/Inputs!$C$70,"")</f>
      </c>
      <c r="D1180" s="15"/>
      <c r="E1180" s="15"/>
      <c r="F1180" s="11">
        <f t="shared" si="9"/>
      </c>
      <c r="G1180" s="22" cm="1">
        <f t="array" ref="G1180">IF(AND(Inputs!$C$60,Inputs!$C$61),INDEX(Utility_Rates!$C$29:$F$52,HOUR(C1180)+Inputs!$C$69,MATCH(INDEX(Utility_Rates!$K$6:$K$17,MONTH(C1180))&amp;IF(WEEKDAY(C1180,Inputs!$C$76)&lt;=Inputs!$C$74," weekday"," weekend"),Utility_Rates!$C$28:$F$28,Inputs!$C$68)),"")</f>
      </c>
      <c r="H1180" s="34"/>
      <c r="I1180" s="42">
        <f>IF(AND(ISNUMBER(D1180),ISNUMBER(H1180)),D1180*H1180*Inputs!$C$69,"")</f>
      </c>
      <c r="J1180" s="42">
        <f>IF(AND(ISNUMBER(F1180),ISNUMBER(H1180),F1180&gt;=Inputs!$C$68),F1180*H1180*Inputs!$C$69,"")</f>
      </c>
    </row>
    <row r="1181" spans="2:10" ht="15" customHeight="1" x14ac:dyDescent="0.2">
      <c r="B1181" s="39">
        <f t="shared" si="8"/>
      </c>
      <c r="C1181" s="40">
        <f>IF(Inputs!$C$60,Inputs!$C$11+(B1181-Inputs!$C$69)/Inputs!$C$70,"")</f>
      </c>
      <c r="D1181" s="15"/>
      <c r="E1181" s="15"/>
      <c r="F1181" s="11">
        <f t="shared" si="9"/>
      </c>
      <c r="G1181" s="22" cm="1">
        <f t="array" ref="G1181">IF(AND(Inputs!$C$60,Inputs!$C$61),INDEX(Utility_Rates!$C$29:$F$52,HOUR(C1181)+Inputs!$C$69,MATCH(INDEX(Utility_Rates!$K$6:$K$17,MONTH(C1181))&amp;IF(WEEKDAY(C1181,Inputs!$C$76)&lt;=Inputs!$C$74," weekday"," weekend"),Utility_Rates!$C$28:$F$28,Inputs!$C$68)),"")</f>
      </c>
      <c r="H1181" s="34"/>
      <c r="I1181" s="42">
        <f>IF(AND(ISNUMBER(D1181),ISNUMBER(H1181)),D1181*H1181*Inputs!$C$69,"")</f>
      </c>
      <c r="J1181" s="42">
        <f>IF(AND(ISNUMBER(F1181),ISNUMBER(H1181),F1181&gt;=Inputs!$C$68),F1181*H1181*Inputs!$C$69,"")</f>
      </c>
    </row>
    <row r="1182" spans="2:10" ht="15" customHeight="1" x14ac:dyDescent="0.2">
      <c r="B1182" s="39">
        <f t="shared" si="8"/>
      </c>
      <c r="C1182" s="40">
        <f>IF(Inputs!$C$60,Inputs!$C$11+(B1182-Inputs!$C$69)/Inputs!$C$70,"")</f>
      </c>
      <c r="D1182" s="15"/>
      <c r="E1182" s="15"/>
      <c r="F1182" s="11">
        <f t="shared" si="9"/>
      </c>
      <c r="G1182" s="22" cm="1">
        <f t="array" ref="G1182">IF(AND(Inputs!$C$60,Inputs!$C$61),INDEX(Utility_Rates!$C$29:$F$52,HOUR(C1182)+Inputs!$C$69,MATCH(INDEX(Utility_Rates!$K$6:$K$17,MONTH(C1182))&amp;IF(WEEKDAY(C1182,Inputs!$C$76)&lt;=Inputs!$C$74," weekday"," weekend"),Utility_Rates!$C$28:$F$28,Inputs!$C$68)),"")</f>
      </c>
      <c r="H1182" s="34"/>
      <c r="I1182" s="42">
        <f>IF(AND(ISNUMBER(D1182),ISNUMBER(H1182)),D1182*H1182*Inputs!$C$69,"")</f>
      </c>
      <c r="J1182" s="42">
        <f>IF(AND(ISNUMBER(F1182),ISNUMBER(H1182),F1182&gt;=Inputs!$C$68),F1182*H1182*Inputs!$C$69,"")</f>
      </c>
    </row>
    <row r="1183" spans="2:10" ht="15" customHeight="1" x14ac:dyDescent="0.2">
      <c r="B1183" s="39">
        <f t="shared" si="8"/>
      </c>
      <c r="C1183" s="40">
        <f>IF(Inputs!$C$60,Inputs!$C$11+(B1183-Inputs!$C$69)/Inputs!$C$70,"")</f>
      </c>
      <c r="D1183" s="15"/>
      <c r="E1183" s="15"/>
      <c r="F1183" s="11">
        <f t="shared" si="9"/>
      </c>
      <c r="G1183" s="22" cm="1">
        <f t="array" ref="G1183">IF(AND(Inputs!$C$60,Inputs!$C$61),INDEX(Utility_Rates!$C$29:$F$52,HOUR(C1183)+Inputs!$C$69,MATCH(INDEX(Utility_Rates!$K$6:$K$17,MONTH(C1183))&amp;IF(WEEKDAY(C1183,Inputs!$C$76)&lt;=Inputs!$C$74," weekday"," weekend"),Utility_Rates!$C$28:$F$28,Inputs!$C$68)),"")</f>
      </c>
      <c r="H1183" s="34"/>
      <c r="I1183" s="42">
        <f>IF(AND(ISNUMBER(D1183),ISNUMBER(H1183)),D1183*H1183*Inputs!$C$69,"")</f>
      </c>
      <c r="J1183" s="42">
        <f>IF(AND(ISNUMBER(F1183),ISNUMBER(H1183),F1183&gt;=Inputs!$C$68),F1183*H1183*Inputs!$C$69,"")</f>
      </c>
    </row>
    <row r="1184" spans="2:10" ht="15" customHeight="1" x14ac:dyDescent="0.2">
      <c r="B1184" s="39">
        <f t="shared" si="8"/>
      </c>
      <c r="C1184" s="40">
        <f>IF(Inputs!$C$60,Inputs!$C$11+(B1184-Inputs!$C$69)/Inputs!$C$70,"")</f>
      </c>
      <c r="D1184" s="15"/>
      <c r="E1184" s="15"/>
      <c r="F1184" s="11">
        <f t="shared" si="9"/>
      </c>
      <c r="G1184" s="22" cm="1">
        <f t="array" ref="G1184">IF(AND(Inputs!$C$60,Inputs!$C$61),INDEX(Utility_Rates!$C$29:$F$52,HOUR(C1184)+Inputs!$C$69,MATCH(INDEX(Utility_Rates!$K$6:$K$17,MONTH(C1184))&amp;IF(WEEKDAY(C1184,Inputs!$C$76)&lt;=Inputs!$C$74," weekday"," weekend"),Utility_Rates!$C$28:$F$28,Inputs!$C$68)),"")</f>
      </c>
      <c r="H1184" s="34"/>
      <c r="I1184" s="42">
        <f>IF(AND(ISNUMBER(D1184),ISNUMBER(H1184)),D1184*H1184*Inputs!$C$69,"")</f>
      </c>
      <c r="J1184" s="42">
        <f>IF(AND(ISNUMBER(F1184),ISNUMBER(H1184),F1184&gt;=Inputs!$C$68),F1184*H1184*Inputs!$C$69,"")</f>
      </c>
    </row>
    <row r="1185" spans="2:10" ht="15" customHeight="1" x14ac:dyDescent="0.2">
      <c r="B1185" s="39">
        <f t="shared" si="8"/>
      </c>
      <c r="C1185" s="40">
        <f>IF(Inputs!$C$60,Inputs!$C$11+(B1185-Inputs!$C$69)/Inputs!$C$70,"")</f>
      </c>
      <c r="D1185" s="15"/>
      <c r="E1185" s="15"/>
      <c r="F1185" s="11">
        <f t="shared" si="9"/>
      </c>
      <c r="G1185" s="22" cm="1">
        <f t="array" ref="G1185">IF(AND(Inputs!$C$60,Inputs!$C$61),INDEX(Utility_Rates!$C$29:$F$52,HOUR(C1185)+Inputs!$C$69,MATCH(INDEX(Utility_Rates!$K$6:$K$17,MONTH(C1185))&amp;IF(WEEKDAY(C1185,Inputs!$C$76)&lt;=Inputs!$C$74," weekday"," weekend"),Utility_Rates!$C$28:$F$28,Inputs!$C$68)),"")</f>
      </c>
      <c r="H1185" s="34"/>
      <c r="I1185" s="42">
        <f>IF(AND(ISNUMBER(D1185),ISNUMBER(H1185)),D1185*H1185*Inputs!$C$69,"")</f>
      </c>
      <c r="J1185" s="42">
        <f>IF(AND(ISNUMBER(F1185),ISNUMBER(H1185),F1185&gt;=Inputs!$C$68),F1185*H1185*Inputs!$C$69,"")</f>
      </c>
    </row>
    <row r="1186" spans="2:10" ht="15" customHeight="1" x14ac:dyDescent="0.2">
      <c r="B1186" s="39">
        <f t="shared" si="8"/>
      </c>
      <c r="C1186" s="40">
        <f>IF(Inputs!$C$60,Inputs!$C$11+(B1186-Inputs!$C$69)/Inputs!$C$70,"")</f>
      </c>
      <c r="D1186" s="15"/>
      <c r="E1186" s="15"/>
      <c r="F1186" s="11">
        <f t="shared" si="9"/>
      </c>
      <c r="G1186" s="22" cm="1">
        <f t="array" ref="G1186">IF(AND(Inputs!$C$60,Inputs!$C$61),INDEX(Utility_Rates!$C$29:$F$52,HOUR(C1186)+Inputs!$C$69,MATCH(INDEX(Utility_Rates!$K$6:$K$17,MONTH(C1186))&amp;IF(WEEKDAY(C1186,Inputs!$C$76)&lt;=Inputs!$C$74," weekday"," weekend"),Utility_Rates!$C$28:$F$28,Inputs!$C$68)),"")</f>
      </c>
      <c r="H1186" s="34"/>
      <c r="I1186" s="42">
        <f>IF(AND(ISNUMBER(D1186),ISNUMBER(H1186)),D1186*H1186*Inputs!$C$69,"")</f>
      </c>
      <c r="J1186" s="42">
        <f>IF(AND(ISNUMBER(F1186),ISNUMBER(H1186),F1186&gt;=Inputs!$C$68),F1186*H1186*Inputs!$C$69,"")</f>
      </c>
    </row>
    <row r="1187" spans="2:10" ht="15" customHeight="1" x14ac:dyDescent="0.2">
      <c r="B1187" s="39">
        <f t="shared" si="8"/>
      </c>
      <c r="C1187" s="40">
        <f>IF(Inputs!$C$60,Inputs!$C$11+(B1187-Inputs!$C$69)/Inputs!$C$70,"")</f>
      </c>
      <c r="D1187" s="15"/>
      <c r="E1187" s="15"/>
      <c r="F1187" s="11">
        <f t="shared" si="9"/>
      </c>
      <c r="G1187" s="22" cm="1">
        <f t="array" ref="G1187">IF(AND(Inputs!$C$60,Inputs!$C$61),INDEX(Utility_Rates!$C$29:$F$52,HOUR(C1187)+Inputs!$C$69,MATCH(INDEX(Utility_Rates!$K$6:$K$17,MONTH(C1187))&amp;IF(WEEKDAY(C1187,Inputs!$C$76)&lt;=Inputs!$C$74," weekday"," weekend"),Utility_Rates!$C$28:$F$28,Inputs!$C$68)),"")</f>
      </c>
      <c r="H1187" s="34"/>
      <c r="I1187" s="42">
        <f>IF(AND(ISNUMBER(D1187),ISNUMBER(H1187)),D1187*H1187*Inputs!$C$69,"")</f>
      </c>
      <c r="J1187" s="42">
        <f>IF(AND(ISNUMBER(F1187),ISNUMBER(H1187),F1187&gt;=Inputs!$C$68),F1187*H1187*Inputs!$C$69,"")</f>
      </c>
    </row>
    <row r="1188" spans="2:10" ht="15" customHeight="1" x14ac:dyDescent="0.2">
      <c r="B1188" s="39">
        <f t="shared" si="8"/>
      </c>
      <c r="C1188" s="40">
        <f>IF(Inputs!$C$60,Inputs!$C$11+(B1188-Inputs!$C$69)/Inputs!$C$70,"")</f>
      </c>
      <c r="D1188" s="15"/>
      <c r="E1188" s="15"/>
      <c r="F1188" s="11">
        <f t="shared" si="9"/>
      </c>
      <c r="G1188" s="22" cm="1">
        <f t="array" ref="G1188">IF(AND(Inputs!$C$60,Inputs!$C$61),INDEX(Utility_Rates!$C$29:$F$52,HOUR(C1188)+Inputs!$C$69,MATCH(INDEX(Utility_Rates!$K$6:$K$17,MONTH(C1188))&amp;IF(WEEKDAY(C1188,Inputs!$C$76)&lt;=Inputs!$C$74," weekday"," weekend"),Utility_Rates!$C$28:$F$28,Inputs!$C$68)),"")</f>
      </c>
      <c r="H1188" s="34"/>
      <c r="I1188" s="42">
        <f>IF(AND(ISNUMBER(D1188),ISNUMBER(H1188)),D1188*H1188*Inputs!$C$69,"")</f>
      </c>
      <c r="J1188" s="42">
        <f>IF(AND(ISNUMBER(F1188),ISNUMBER(H1188),F1188&gt;=Inputs!$C$68),F1188*H1188*Inputs!$C$69,"")</f>
      </c>
    </row>
    <row r="1189" spans="2:10" ht="15" customHeight="1" x14ac:dyDescent="0.2">
      <c r="B1189" s="39">
        <f t="shared" si="8"/>
      </c>
      <c r="C1189" s="40">
        <f>IF(Inputs!$C$60,Inputs!$C$11+(B1189-Inputs!$C$69)/Inputs!$C$70,"")</f>
      </c>
      <c r="D1189" s="15"/>
      <c r="E1189" s="15"/>
      <c r="F1189" s="11">
        <f t="shared" si="9"/>
      </c>
      <c r="G1189" s="22" cm="1">
        <f t="array" ref="G1189">IF(AND(Inputs!$C$60,Inputs!$C$61),INDEX(Utility_Rates!$C$29:$F$52,HOUR(C1189)+Inputs!$C$69,MATCH(INDEX(Utility_Rates!$K$6:$K$17,MONTH(C1189))&amp;IF(WEEKDAY(C1189,Inputs!$C$76)&lt;=Inputs!$C$74," weekday"," weekend"),Utility_Rates!$C$28:$F$28,Inputs!$C$68)),"")</f>
      </c>
      <c r="H1189" s="34"/>
      <c r="I1189" s="42">
        <f>IF(AND(ISNUMBER(D1189),ISNUMBER(H1189)),D1189*H1189*Inputs!$C$69,"")</f>
      </c>
      <c r="J1189" s="42">
        <f>IF(AND(ISNUMBER(F1189),ISNUMBER(H1189),F1189&gt;=Inputs!$C$68),F1189*H1189*Inputs!$C$69,"")</f>
      </c>
    </row>
    <row r="1190" spans="2:10" ht="15" customHeight="1" x14ac:dyDescent="0.2">
      <c r="B1190" s="39">
        <f t="shared" si="8"/>
      </c>
      <c r="C1190" s="40">
        <f>IF(Inputs!$C$60,Inputs!$C$11+(B1190-Inputs!$C$69)/Inputs!$C$70,"")</f>
      </c>
      <c r="D1190" s="15"/>
      <c r="E1190" s="15"/>
      <c r="F1190" s="11">
        <f t="shared" si="9"/>
      </c>
      <c r="G1190" s="22" cm="1">
        <f t="array" ref="G1190">IF(AND(Inputs!$C$60,Inputs!$C$61),INDEX(Utility_Rates!$C$29:$F$52,HOUR(C1190)+Inputs!$C$69,MATCH(INDEX(Utility_Rates!$K$6:$K$17,MONTH(C1190))&amp;IF(WEEKDAY(C1190,Inputs!$C$76)&lt;=Inputs!$C$74," weekday"," weekend"),Utility_Rates!$C$28:$F$28,Inputs!$C$68)),"")</f>
      </c>
      <c r="H1190" s="34"/>
      <c r="I1190" s="42">
        <f>IF(AND(ISNUMBER(D1190),ISNUMBER(H1190)),D1190*H1190*Inputs!$C$69,"")</f>
      </c>
      <c r="J1190" s="42">
        <f>IF(AND(ISNUMBER(F1190),ISNUMBER(H1190),F1190&gt;=Inputs!$C$68),F1190*H1190*Inputs!$C$69,"")</f>
      </c>
    </row>
    <row r="1191" spans="2:10" ht="15" customHeight="1" x14ac:dyDescent="0.2">
      <c r="B1191" s="39">
        <f t="shared" si="8"/>
      </c>
      <c r="C1191" s="40">
        <f>IF(Inputs!$C$60,Inputs!$C$11+(B1191-Inputs!$C$69)/Inputs!$C$70,"")</f>
      </c>
      <c r="D1191" s="15"/>
      <c r="E1191" s="15"/>
      <c r="F1191" s="11">
        <f t="shared" si="9"/>
      </c>
      <c r="G1191" s="22" cm="1">
        <f t="array" ref="G1191">IF(AND(Inputs!$C$60,Inputs!$C$61),INDEX(Utility_Rates!$C$29:$F$52,HOUR(C1191)+Inputs!$C$69,MATCH(INDEX(Utility_Rates!$K$6:$K$17,MONTH(C1191))&amp;IF(WEEKDAY(C1191,Inputs!$C$76)&lt;=Inputs!$C$74," weekday"," weekend"),Utility_Rates!$C$28:$F$28,Inputs!$C$68)),"")</f>
      </c>
      <c r="H1191" s="34"/>
      <c r="I1191" s="42">
        <f>IF(AND(ISNUMBER(D1191),ISNUMBER(H1191)),D1191*H1191*Inputs!$C$69,"")</f>
      </c>
      <c r="J1191" s="42">
        <f>IF(AND(ISNUMBER(F1191),ISNUMBER(H1191),F1191&gt;=Inputs!$C$68),F1191*H1191*Inputs!$C$69,"")</f>
      </c>
    </row>
    <row r="1192" spans="2:10" ht="15" customHeight="1" x14ac:dyDescent="0.2">
      <c r="B1192" s="39">
        <f t="shared" si="8"/>
      </c>
      <c r="C1192" s="40">
        <f>IF(Inputs!$C$60,Inputs!$C$11+(B1192-Inputs!$C$69)/Inputs!$C$70,"")</f>
      </c>
      <c r="D1192" s="15"/>
      <c r="E1192" s="15"/>
      <c r="F1192" s="11">
        <f t="shared" si="9"/>
      </c>
      <c r="G1192" s="22" cm="1">
        <f t="array" ref="G1192">IF(AND(Inputs!$C$60,Inputs!$C$61),INDEX(Utility_Rates!$C$29:$F$52,HOUR(C1192)+Inputs!$C$69,MATCH(INDEX(Utility_Rates!$K$6:$K$17,MONTH(C1192))&amp;IF(WEEKDAY(C1192,Inputs!$C$76)&lt;=Inputs!$C$74," weekday"," weekend"),Utility_Rates!$C$28:$F$28,Inputs!$C$68)),"")</f>
      </c>
      <c r="H1192" s="34"/>
      <c r="I1192" s="42">
        <f>IF(AND(ISNUMBER(D1192),ISNUMBER(H1192)),D1192*H1192*Inputs!$C$69,"")</f>
      </c>
      <c r="J1192" s="42">
        <f>IF(AND(ISNUMBER(F1192),ISNUMBER(H1192),F1192&gt;=Inputs!$C$68),F1192*H1192*Inputs!$C$69,"")</f>
      </c>
    </row>
    <row r="1193" spans="2:10" ht="15" customHeight="1" x14ac:dyDescent="0.2">
      <c r="B1193" s="39">
        <f t="shared" si="8"/>
      </c>
      <c r="C1193" s="40">
        <f>IF(Inputs!$C$60,Inputs!$C$11+(B1193-Inputs!$C$69)/Inputs!$C$70,"")</f>
      </c>
      <c r="D1193" s="15"/>
      <c r="E1193" s="15"/>
      <c r="F1193" s="11">
        <f t="shared" si="9"/>
      </c>
      <c r="G1193" s="22" cm="1">
        <f t="array" ref="G1193">IF(AND(Inputs!$C$60,Inputs!$C$61),INDEX(Utility_Rates!$C$29:$F$52,HOUR(C1193)+Inputs!$C$69,MATCH(INDEX(Utility_Rates!$K$6:$K$17,MONTH(C1193))&amp;IF(WEEKDAY(C1193,Inputs!$C$76)&lt;=Inputs!$C$74," weekday"," weekend"),Utility_Rates!$C$28:$F$28,Inputs!$C$68)),"")</f>
      </c>
      <c r="H1193" s="34"/>
      <c r="I1193" s="42">
        <f>IF(AND(ISNUMBER(D1193),ISNUMBER(H1193)),D1193*H1193*Inputs!$C$69,"")</f>
      </c>
      <c r="J1193" s="42">
        <f>IF(AND(ISNUMBER(F1193),ISNUMBER(H1193),F1193&gt;=Inputs!$C$68),F1193*H1193*Inputs!$C$69,"")</f>
      </c>
    </row>
    <row r="1194" spans="2:10" ht="15" customHeight="1" x14ac:dyDescent="0.2">
      <c r="B1194" s="39">
        <f t="shared" si="8"/>
      </c>
      <c r="C1194" s="40">
        <f>IF(Inputs!$C$60,Inputs!$C$11+(B1194-Inputs!$C$69)/Inputs!$C$70,"")</f>
      </c>
      <c r="D1194" s="15"/>
      <c r="E1194" s="15"/>
      <c r="F1194" s="11">
        <f t="shared" si="9"/>
      </c>
      <c r="G1194" s="22" cm="1">
        <f t="array" ref="G1194">IF(AND(Inputs!$C$60,Inputs!$C$61),INDEX(Utility_Rates!$C$29:$F$52,HOUR(C1194)+Inputs!$C$69,MATCH(INDEX(Utility_Rates!$K$6:$K$17,MONTH(C1194))&amp;IF(WEEKDAY(C1194,Inputs!$C$76)&lt;=Inputs!$C$74," weekday"," weekend"),Utility_Rates!$C$28:$F$28,Inputs!$C$68)),"")</f>
      </c>
      <c r="H1194" s="34"/>
      <c r="I1194" s="42">
        <f>IF(AND(ISNUMBER(D1194),ISNUMBER(H1194)),D1194*H1194*Inputs!$C$69,"")</f>
      </c>
      <c r="J1194" s="42">
        <f>IF(AND(ISNUMBER(F1194),ISNUMBER(H1194),F1194&gt;=Inputs!$C$68),F1194*H1194*Inputs!$C$69,"")</f>
      </c>
    </row>
    <row r="1195" spans="2:10" ht="15" customHeight="1" x14ac:dyDescent="0.2">
      <c r="B1195" s="39">
        <f t="shared" si="8"/>
      </c>
      <c r="C1195" s="40">
        <f>IF(Inputs!$C$60,Inputs!$C$11+(B1195-Inputs!$C$69)/Inputs!$C$70,"")</f>
      </c>
      <c r="D1195" s="15"/>
      <c r="E1195" s="15"/>
      <c r="F1195" s="11">
        <f t="shared" si="9"/>
      </c>
      <c r="G1195" s="22" cm="1">
        <f t="array" ref="G1195">IF(AND(Inputs!$C$60,Inputs!$C$61),INDEX(Utility_Rates!$C$29:$F$52,HOUR(C1195)+Inputs!$C$69,MATCH(INDEX(Utility_Rates!$K$6:$K$17,MONTH(C1195))&amp;IF(WEEKDAY(C1195,Inputs!$C$76)&lt;=Inputs!$C$74," weekday"," weekend"),Utility_Rates!$C$28:$F$28,Inputs!$C$68)),"")</f>
      </c>
      <c r="H1195" s="34"/>
      <c r="I1195" s="42">
        <f>IF(AND(ISNUMBER(D1195),ISNUMBER(H1195)),D1195*H1195*Inputs!$C$69,"")</f>
      </c>
      <c r="J1195" s="42">
        <f>IF(AND(ISNUMBER(F1195),ISNUMBER(H1195),F1195&gt;=Inputs!$C$68),F1195*H1195*Inputs!$C$69,"")</f>
      </c>
    </row>
    <row r="1196" spans="2:10" ht="15" customHeight="1" x14ac:dyDescent="0.2">
      <c r="B1196" s="39">
        <f t="shared" si="8"/>
      </c>
      <c r="C1196" s="40">
        <f>IF(Inputs!$C$60,Inputs!$C$11+(B1196-Inputs!$C$69)/Inputs!$C$70,"")</f>
      </c>
      <c r="D1196" s="15"/>
      <c r="E1196" s="15"/>
      <c r="F1196" s="11">
        <f t="shared" si="9"/>
      </c>
      <c r="G1196" s="22" cm="1">
        <f t="array" ref="G1196">IF(AND(Inputs!$C$60,Inputs!$C$61),INDEX(Utility_Rates!$C$29:$F$52,HOUR(C1196)+Inputs!$C$69,MATCH(INDEX(Utility_Rates!$K$6:$K$17,MONTH(C1196))&amp;IF(WEEKDAY(C1196,Inputs!$C$76)&lt;=Inputs!$C$74," weekday"," weekend"),Utility_Rates!$C$28:$F$28,Inputs!$C$68)),"")</f>
      </c>
      <c r="H1196" s="34"/>
      <c r="I1196" s="42">
        <f>IF(AND(ISNUMBER(D1196),ISNUMBER(H1196)),D1196*H1196*Inputs!$C$69,"")</f>
      </c>
      <c r="J1196" s="42">
        <f>IF(AND(ISNUMBER(F1196),ISNUMBER(H1196),F1196&gt;=Inputs!$C$68),F1196*H1196*Inputs!$C$69,"")</f>
      </c>
    </row>
    <row r="1197" spans="2:10" ht="15" customHeight="1" x14ac:dyDescent="0.2">
      <c r="B1197" s="39">
        <f t="shared" si="8"/>
      </c>
      <c r="C1197" s="40">
        <f>IF(Inputs!$C$60,Inputs!$C$11+(B1197-Inputs!$C$69)/Inputs!$C$70,"")</f>
      </c>
      <c r="D1197" s="15"/>
      <c r="E1197" s="15"/>
      <c r="F1197" s="11">
        <f t="shared" si="9"/>
      </c>
      <c r="G1197" s="22" cm="1">
        <f t="array" ref="G1197">IF(AND(Inputs!$C$60,Inputs!$C$61),INDEX(Utility_Rates!$C$29:$F$52,HOUR(C1197)+Inputs!$C$69,MATCH(INDEX(Utility_Rates!$K$6:$K$17,MONTH(C1197))&amp;IF(WEEKDAY(C1197,Inputs!$C$76)&lt;=Inputs!$C$74," weekday"," weekend"),Utility_Rates!$C$28:$F$28,Inputs!$C$68)),"")</f>
      </c>
      <c r="H1197" s="34"/>
      <c r="I1197" s="42">
        <f>IF(AND(ISNUMBER(D1197),ISNUMBER(H1197)),D1197*H1197*Inputs!$C$69,"")</f>
      </c>
      <c r="J1197" s="42">
        <f>IF(AND(ISNUMBER(F1197),ISNUMBER(H1197),F1197&gt;=Inputs!$C$68),F1197*H1197*Inputs!$C$69,"")</f>
      </c>
    </row>
    <row r="1198" spans="2:10" ht="15" customHeight="1" x14ac:dyDescent="0.2">
      <c r="B1198" s="39">
        <f t="shared" si="8"/>
      </c>
      <c r="C1198" s="40">
        <f>IF(Inputs!$C$60,Inputs!$C$11+(B1198-Inputs!$C$69)/Inputs!$C$70,"")</f>
      </c>
      <c r="D1198" s="15"/>
      <c r="E1198" s="15"/>
      <c r="F1198" s="11">
        <f t="shared" si="9"/>
      </c>
      <c r="G1198" s="22" cm="1">
        <f t="array" ref="G1198">IF(AND(Inputs!$C$60,Inputs!$C$61),INDEX(Utility_Rates!$C$29:$F$52,HOUR(C1198)+Inputs!$C$69,MATCH(INDEX(Utility_Rates!$K$6:$K$17,MONTH(C1198))&amp;IF(WEEKDAY(C1198,Inputs!$C$76)&lt;=Inputs!$C$74," weekday"," weekend"),Utility_Rates!$C$28:$F$28,Inputs!$C$68)),"")</f>
      </c>
      <c r="H1198" s="34"/>
      <c r="I1198" s="42">
        <f>IF(AND(ISNUMBER(D1198),ISNUMBER(H1198)),D1198*H1198*Inputs!$C$69,"")</f>
      </c>
      <c r="J1198" s="42">
        <f>IF(AND(ISNUMBER(F1198),ISNUMBER(H1198),F1198&gt;=Inputs!$C$68),F1198*H1198*Inputs!$C$69,"")</f>
      </c>
    </row>
    <row r="1199" spans="2:10" ht="15" customHeight="1" x14ac:dyDescent="0.2">
      <c r="B1199" s="39">
        <f t="shared" si="8"/>
      </c>
      <c r="C1199" s="40">
        <f>IF(Inputs!$C$60,Inputs!$C$11+(B1199-Inputs!$C$69)/Inputs!$C$70,"")</f>
      </c>
      <c r="D1199" s="15"/>
      <c r="E1199" s="15"/>
      <c r="F1199" s="11">
        <f t="shared" si="9"/>
      </c>
      <c r="G1199" s="22" cm="1">
        <f t="array" ref="G1199">IF(AND(Inputs!$C$60,Inputs!$C$61),INDEX(Utility_Rates!$C$29:$F$52,HOUR(C1199)+Inputs!$C$69,MATCH(INDEX(Utility_Rates!$K$6:$K$17,MONTH(C1199))&amp;IF(WEEKDAY(C1199,Inputs!$C$76)&lt;=Inputs!$C$74," weekday"," weekend"),Utility_Rates!$C$28:$F$28,Inputs!$C$68)),"")</f>
      </c>
      <c r="H1199" s="34"/>
      <c r="I1199" s="42">
        <f>IF(AND(ISNUMBER(D1199),ISNUMBER(H1199)),D1199*H1199*Inputs!$C$69,"")</f>
      </c>
      <c r="J1199" s="42">
        <f>IF(AND(ISNUMBER(F1199),ISNUMBER(H1199),F1199&gt;=Inputs!$C$68),F1199*H1199*Inputs!$C$69,"")</f>
      </c>
    </row>
    <row r="1200" spans="2:10" ht="15" customHeight="1" x14ac:dyDescent="0.2">
      <c r="B1200" s="39">
        <f t="shared" si="8"/>
      </c>
      <c r="C1200" s="40">
        <f>IF(Inputs!$C$60,Inputs!$C$11+(B1200-Inputs!$C$69)/Inputs!$C$70,"")</f>
      </c>
      <c r="D1200" s="15"/>
      <c r="E1200" s="15"/>
      <c r="F1200" s="11">
        <f t="shared" si="9"/>
      </c>
      <c r="G1200" s="22" cm="1">
        <f t="array" ref="G1200">IF(AND(Inputs!$C$60,Inputs!$C$61),INDEX(Utility_Rates!$C$29:$F$52,HOUR(C1200)+Inputs!$C$69,MATCH(INDEX(Utility_Rates!$K$6:$K$17,MONTH(C1200))&amp;IF(WEEKDAY(C1200,Inputs!$C$76)&lt;=Inputs!$C$74," weekday"," weekend"),Utility_Rates!$C$28:$F$28,Inputs!$C$68)),"")</f>
      </c>
      <c r="H1200" s="34"/>
      <c r="I1200" s="42">
        <f>IF(AND(ISNUMBER(D1200),ISNUMBER(H1200)),D1200*H1200*Inputs!$C$69,"")</f>
      </c>
      <c r="J1200" s="42">
        <f>IF(AND(ISNUMBER(F1200),ISNUMBER(H1200),F1200&gt;=Inputs!$C$68),F1200*H1200*Inputs!$C$69,"")</f>
      </c>
    </row>
    <row r="1201" spans="2:10" ht="15" customHeight="1" x14ac:dyDescent="0.2">
      <c r="B1201" s="39">
        <f t="shared" si="8"/>
      </c>
      <c r="C1201" s="40">
        <f>IF(Inputs!$C$60,Inputs!$C$11+(B1201-Inputs!$C$69)/Inputs!$C$70,"")</f>
      </c>
      <c r="D1201" s="15"/>
      <c r="E1201" s="15"/>
      <c r="F1201" s="11">
        <f t="shared" si="9"/>
      </c>
      <c r="G1201" s="22" cm="1">
        <f t="array" ref="G1201">IF(AND(Inputs!$C$60,Inputs!$C$61),INDEX(Utility_Rates!$C$29:$F$52,HOUR(C1201)+Inputs!$C$69,MATCH(INDEX(Utility_Rates!$K$6:$K$17,MONTH(C1201))&amp;IF(WEEKDAY(C1201,Inputs!$C$76)&lt;=Inputs!$C$74," weekday"," weekend"),Utility_Rates!$C$28:$F$28,Inputs!$C$68)),"")</f>
      </c>
      <c r="H1201" s="34"/>
      <c r="I1201" s="42">
        <f>IF(AND(ISNUMBER(D1201),ISNUMBER(H1201)),D1201*H1201*Inputs!$C$69,"")</f>
      </c>
      <c r="J1201" s="42">
        <f>IF(AND(ISNUMBER(F1201),ISNUMBER(H1201),F1201&gt;=Inputs!$C$68),F1201*H1201*Inputs!$C$69,"")</f>
      </c>
    </row>
    <row r="1202" spans="2:10" ht="15" customHeight="1" x14ac:dyDescent="0.2">
      <c r="B1202" s="39">
        <f t="shared" si="8"/>
      </c>
      <c r="C1202" s="40">
        <f>IF(Inputs!$C$60,Inputs!$C$11+(B1202-Inputs!$C$69)/Inputs!$C$70,"")</f>
      </c>
      <c r="D1202" s="15"/>
      <c r="E1202" s="15"/>
      <c r="F1202" s="11">
        <f t="shared" si="9"/>
      </c>
      <c r="G1202" s="22" cm="1">
        <f t="array" ref="G1202">IF(AND(Inputs!$C$60,Inputs!$C$61),INDEX(Utility_Rates!$C$29:$F$52,HOUR(C1202)+Inputs!$C$69,MATCH(INDEX(Utility_Rates!$K$6:$K$17,MONTH(C1202))&amp;IF(WEEKDAY(C1202,Inputs!$C$76)&lt;=Inputs!$C$74," weekday"," weekend"),Utility_Rates!$C$28:$F$28,Inputs!$C$68)),"")</f>
      </c>
      <c r="H1202" s="34"/>
      <c r="I1202" s="42">
        <f>IF(AND(ISNUMBER(D1202),ISNUMBER(H1202)),D1202*H1202*Inputs!$C$69,"")</f>
      </c>
      <c r="J1202" s="42">
        <f>IF(AND(ISNUMBER(F1202),ISNUMBER(H1202),F1202&gt;=Inputs!$C$68),F1202*H1202*Inputs!$C$69,"")</f>
      </c>
    </row>
    <row r="1203" spans="2:10" ht="15" customHeight="1" x14ac:dyDescent="0.2">
      <c r="B1203" s="39">
        <f t="shared" si="8"/>
      </c>
      <c r="C1203" s="40">
        <f>IF(Inputs!$C$60,Inputs!$C$11+(B1203-Inputs!$C$69)/Inputs!$C$70,"")</f>
      </c>
      <c r="D1203" s="15"/>
      <c r="E1203" s="15"/>
      <c r="F1203" s="11">
        <f t="shared" si="9"/>
      </c>
      <c r="G1203" s="22" cm="1">
        <f t="array" ref="G1203">IF(AND(Inputs!$C$60,Inputs!$C$61),INDEX(Utility_Rates!$C$29:$F$52,HOUR(C1203)+Inputs!$C$69,MATCH(INDEX(Utility_Rates!$K$6:$K$17,MONTH(C1203))&amp;IF(WEEKDAY(C1203,Inputs!$C$76)&lt;=Inputs!$C$74," weekday"," weekend"),Utility_Rates!$C$28:$F$28,Inputs!$C$68)),"")</f>
      </c>
      <c r="H1203" s="34"/>
      <c r="I1203" s="42">
        <f>IF(AND(ISNUMBER(D1203),ISNUMBER(H1203)),D1203*H1203*Inputs!$C$69,"")</f>
      </c>
      <c r="J1203" s="42">
        <f>IF(AND(ISNUMBER(F1203),ISNUMBER(H1203),F1203&gt;=Inputs!$C$68),F1203*H1203*Inputs!$C$69,"")</f>
      </c>
    </row>
    <row r="1204" spans="2:10" ht="15" customHeight="1" x14ac:dyDescent="0.2">
      <c r="B1204" s="39">
        <f t="shared" si="8"/>
      </c>
      <c r="C1204" s="40">
        <f>IF(Inputs!$C$60,Inputs!$C$11+(B1204-Inputs!$C$69)/Inputs!$C$70,"")</f>
      </c>
      <c r="D1204" s="15"/>
      <c r="E1204" s="15"/>
      <c r="F1204" s="11">
        <f t="shared" si="9"/>
      </c>
      <c r="G1204" s="22" cm="1">
        <f t="array" ref="G1204">IF(AND(Inputs!$C$60,Inputs!$C$61),INDEX(Utility_Rates!$C$29:$F$52,HOUR(C1204)+Inputs!$C$69,MATCH(INDEX(Utility_Rates!$K$6:$K$17,MONTH(C1204))&amp;IF(WEEKDAY(C1204,Inputs!$C$76)&lt;=Inputs!$C$74," weekday"," weekend"),Utility_Rates!$C$28:$F$28,Inputs!$C$68)),"")</f>
      </c>
      <c r="H1204" s="34"/>
      <c r="I1204" s="42">
        <f>IF(AND(ISNUMBER(D1204),ISNUMBER(H1204)),D1204*H1204*Inputs!$C$69,"")</f>
      </c>
      <c r="J1204" s="42">
        <f>IF(AND(ISNUMBER(F1204),ISNUMBER(H1204),F1204&gt;=Inputs!$C$68),F1204*H1204*Inputs!$C$69,"")</f>
      </c>
    </row>
    <row r="1205" spans="2:10" ht="15" customHeight="1" x14ac:dyDescent="0.2">
      <c r="B1205" s="39">
        <f t="shared" si="8"/>
      </c>
      <c r="C1205" s="40">
        <f>IF(Inputs!$C$60,Inputs!$C$11+(B1205-Inputs!$C$69)/Inputs!$C$70,"")</f>
      </c>
      <c r="D1205" s="15"/>
      <c r="E1205" s="15"/>
      <c r="F1205" s="11">
        <f t="shared" si="9"/>
      </c>
      <c r="G1205" s="22" cm="1">
        <f t="array" ref="G1205">IF(AND(Inputs!$C$60,Inputs!$C$61),INDEX(Utility_Rates!$C$29:$F$52,HOUR(C1205)+Inputs!$C$69,MATCH(INDEX(Utility_Rates!$K$6:$K$17,MONTH(C1205))&amp;IF(WEEKDAY(C1205,Inputs!$C$76)&lt;=Inputs!$C$74," weekday"," weekend"),Utility_Rates!$C$28:$F$28,Inputs!$C$68)),"")</f>
      </c>
      <c r="H1205" s="34"/>
      <c r="I1205" s="42">
        <f>IF(AND(ISNUMBER(D1205),ISNUMBER(H1205)),D1205*H1205*Inputs!$C$69,"")</f>
      </c>
      <c r="J1205" s="42">
        <f>IF(AND(ISNUMBER(F1205),ISNUMBER(H1205),F1205&gt;=Inputs!$C$68),F1205*H1205*Inputs!$C$69,"")</f>
      </c>
    </row>
    <row r="1206" spans="2:10" ht="15" customHeight="1" x14ac:dyDescent="0.2">
      <c r="B1206" s="39">
        <f t="shared" si="8"/>
      </c>
      <c r="C1206" s="40">
        <f>IF(Inputs!$C$60,Inputs!$C$11+(B1206-Inputs!$C$69)/Inputs!$C$70,"")</f>
      </c>
      <c r="D1206" s="15"/>
      <c r="E1206" s="15"/>
      <c r="F1206" s="11">
        <f t="shared" si="9"/>
      </c>
      <c r="G1206" s="22" cm="1">
        <f t="array" ref="G1206">IF(AND(Inputs!$C$60,Inputs!$C$61),INDEX(Utility_Rates!$C$29:$F$52,HOUR(C1206)+Inputs!$C$69,MATCH(INDEX(Utility_Rates!$K$6:$K$17,MONTH(C1206))&amp;IF(WEEKDAY(C1206,Inputs!$C$76)&lt;=Inputs!$C$74," weekday"," weekend"),Utility_Rates!$C$28:$F$28,Inputs!$C$68)),"")</f>
      </c>
      <c r="H1206" s="34"/>
      <c r="I1206" s="42">
        <f>IF(AND(ISNUMBER(D1206),ISNUMBER(H1206)),D1206*H1206*Inputs!$C$69,"")</f>
      </c>
      <c r="J1206" s="42">
        <f>IF(AND(ISNUMBER(F1206),ISNUMBER(H1206),F1206&gt;=Inputs!$C$68),F1206*H1206*Inputs!$C$69,"")</f>
      </c>
    </row>
    <row r="1207" spans="2:10" ht="15" customHeight="1" x14ac:dyDescent="0.2">
      <c r="B1207" s="39">
        <f t="shared" si="8"/>
      </c>
      <c r="C1207" s="40">
        <f>IF(Inputs!$C$60,Inputs!$C$11+(B1207-Inputs!$C$69)/Inputs!$C$70,"")</f>
      </c>
      <c r="D1207" s="15"/>
      <c r="E1207" s="15"/>
      <c r="F1207" s="11">
        <f t="shared" si="9"/>
      </c>
      <c r="G1207" s="22" cm="1">
        <f t="array" ref="G1207">IF(AND(Inputs!$C$60,Inputs!$C$61),INDEX(Utility_Rates!$C$29:$F$52,HOUR(C1207)+Inputs!$C$69,MATCH(INDEX(Utility_Rates!$K$6:$K$17,MONTH(C1207))&amp;IF(WEEKDAY(C1207,Inputs!$C$76)&lt;=Inputs!$C$74," weekday"," weekend"),Utility_Rates!$C$28:$F$28,Inputs!$C$68)),"")</f>
      </c>
      <c r="H1207" s="34"/>
      <c r="I1207" s="42">
        <f>IF(AND(ISNUMBER(D1207),ISNUMBER(H1207)),D1207*H1207*Inputs!$C$69,"")</f>
      </c>
      <c r="J1207" s="42">
        <f>IF(AND(ISNUMBER(F1207),ISNUMBER(H1207),F1207&gt;=Inputs!$C$68),F1207*H1207*Inputs!$C$69,"")</f>
      </c>
    </row>
    <row r="1208" spans="2:10" ht="15" customHeight="1" x14ac:dyDescent="0.2">
      <c r="B1208" s="39">
        <f t="shared" si="8"/>
      </c>
      <c r="C1208" s="40">
        <f>IF(Inputs!$C$60,Inputs!$C$11+(B1208-Inputs!$C$69)/Inputs!$C$70,"")</f>
      </c>
      <c r="D1208" s="15"/>
      <c r="E1208" s="15"/>
      <c r="F1208" s="11">
        <f t="shared" si="9"/>
      </c>
      <c r="G1208" s="22" cm="1">
        <f t="array" ref="G1208">IF(AND(Inputs!$C$60,Inputs!$C$61),INDEX(Utility_Rates!$C$29:$F$52,HOUR(C1208)+Inputs!$C$69,MATCH(INDEX(Utility_Rates!$K$6:$K$17,MONTH(C1208))&amp;IF(WEEKDAY(C1208,Inputs!$C$76)&lt;=Inputs!$C$74," weekday"," weekend"),Utility_Rates!$C$28:$F$28,Inputs!$C$68)),"")</f>
      </c>
      <c r="H1208" s="34"/>
      <c r="I1208" s="42">
        <f>IF(AND(ISNUMBER(D1208),ISNUMBER(H1208)),D1208*H1208*Inputs!$C$69,"")</f>
      </c>
      <c r="J1208" s="42">
        <f>IF(AND(ISNUMBER(F1208),ISNUMBER(H1208),F1208&gt;=Inputs!$C$68),F1208*H1208*Inputs!$C$69,"")</f>
      </c>
    </row>
    <row r="1209" spans="2:10" ht="15" customHeight="1" x14ac:dyDescent="0.2">
      <c r="B1209" s="39">
        <f t="shared" si="8"/>
      </c>
      <c r="C1209" s="40">
        <f>IF(Inputs!$C$60,Inputs!$C$11+(B1209-Inputs!$C$69)/Inputs!$C$70,"")</f>
      </c>
      <c r="D1209" s="15"/>
      <c r="E1209" s="15"/>
      <c r="F1209" s="11">
        <f t="shared" si="9"/>
      </c>
      <c r="G1209" s="22" cm="1">
        <f t="array" ref="G1209">IF(AND(Inputs!$C$60,Inputs!$C$61),INDEX(Utility_Rates!$C$29:$F$52,HOUR(C1209)+Inputs!$C$69,MATCH(INDEX(Utility_Rates!$K$6:$K$17,MONTH(C1209))&amp;IF(WEEKDAY(C1209,Inputs!$C$76)&lt;=Inputs!$C$74," weekday"," weekend"),Utility_Rates!$C$28:$F$28,Inputs!$C$68)),"")</f>
      </c>
      <c r="H1209" s="34"/>
      <c r="I1209" s="42">
        <f>IF(AND(ISNUMBER(D1209),ISNUMBER(H1209)),D1209*H1209*Inputs!$C$69,"")</f>
      </c>
      <c r="J1209" s="42">
        <f>IF(AND(ISNUMBER(F1209),ISNUMBER(H1209),F1209&gt;=Inputs!$C$68),F1209*H1209*Inputs!$C$69,"")</f>
      </c>
    </row>
    <row r="1210" spans="2:10" ht="15" customHeight="1" x14ac:dyDescent="0.2">
      <c r="B1210" s="39">
        <f t="shared" si="8"/>
      </c>
      <c r="C1210" s="40">
        <f>IF(Inputs!$C$60,Inputs!$C$11+(B1210-Inputs!$C$69)/Inputs!$C$70,"")</f>
      </c>
      <c r="D1210" s="15"/>
      <c r="E1210" s="15"/>
      <c r="F1210" s="11">
        <f t="shared" si="9"/>
      </c>
      <c r="G1210" s="22" cm="1">
        <f t="array" ref="G1210">IF(AND(Inputs!$C$60,Inputs!$C$61),INDEX(Utility_Rates!$C$29:$F$52,HOUR(C1210)+Inputs!$C$69,MATCH(INDEX(Utility_Rates!$K$6:$K$17,MONTH(C1210))&amp;IF(WEEKDAY(C1210,Inputs!$C$76)&lt;=Inputs!$C$74," weekday"," weekend"),Utility_Rates!$C$28:$F$28,Inputs!$C$68)),"")</f>
      </c>
      <c r="H1210" s="34"/>
      <c r="I1210" s="42">
        <f>IF(AND(ISNUMBER(D1210),ISNUMBER(H1210)),D1210*H1210*Inputs!$C$69,"")</f>
      </c>
      <c r="J1210" s="42">
        <f>IF(AND(ISNUMBER(F1210),ISNUMBER(H1210),F1210&gt;=Inputs!$C$68),F1210*H1210*Inputs!$C$69,"")</f>
      </c>
    </row>
    <row r="1211" spans="2:10" ht="15" customHeight="1" x14ac:dyDescent="0.2">
      <c r="B1211" s="39">
        <f t="shared" si="8"/>
      </c>
      <c r="C1211" s="40">
        <f>IF(Inputs!$C$60,Inputs!$C$11+(B1211-Inputs!$C$69)/Inputs!$C$70,"")</f>
      </c>
      <c r="D1211" s="15"/>
      <c r="E1211" s="15"/>
      <c r="F1211" s="11">
        <f t="shared" si="9"/>
      </c>
      <c r="G1211" s="22" cm="1">
        <f t="array" ref="G1211">IF(AND(Inputs!$C$60,Inputs!$C$61),INDEX(Utility_Rates!$C$29:$F$52,HOUR(C1211)+Inputs!$C$69,MATCH(INDEX(Utility_Rates!$K$6:$K$17,MONTH(C1211))&amp;IF(WEEKDAY(C1211,Inputs!$C$76)&lt;=Inputs!$C$74," weekday"," weekend"),Utility_Rates!$C$28:$F$28,Inputs!$C$68)),"")</f>
      </c>
      <c r="H1211" s="34"/>
      <c r="I1211" s="42">
        <f>IF(AND(ISNUMBER(D1211),ISNUMBER(H1211)),D1211*H1211*Inputs!$C$69,"")</f>
      </c>
      <c r="J1211" s="42">
        <f>IF(AND(ISNUMBER(F1211),ISNUMBER(H1211),F1211&gt;=Inputs!$C$68),F1211*H1211*Inputs!$C$69,"")</f>
      </c>
    </row>
    <row r="1212" spans="2:10" ht="15" customHeight="1" x14ac:dyDescent="0.2">
      <c r="B1212" s="39">
        <f t="shared" si="8"/>
      </c>
      <c r="C1212" s="40">
        <f>IF(Inputs!$C$60,Inputs!$C$11+(B1212-Inputs!$C$69)/Inputs!$C$70,"")</f>
      </c>
      <c r="D1212" s="15"/>
      <c r="E1212" s="15"/>
      <c r="F1212" s="11">
        <f t="shared" si="9"/>
      </c>
      <c r="G1212" s="22" cm="1">
        <f t="array" ref="G1212">IF(AND(Inputs!$C$60,Inputs!$C$61),INDEX(Utility_Rates!$C$29:$F$52,HOUR(C1212)+Inputs!$C$69,MATCH(INDEX(Utility_Rates!$K$6:$K$17,MONTH(C1212))&amp;IF(WEEKDAY(C1212,Inputs!$C$76)&lt;=Inputs!$C$74," weekday"," weekend"),Utility_Rates!$C$28:$F$28,Inputs!$C$68)),"")</f>
      </c>
      <c r="H1212" s="34"/>
      <c r="I1212" s="42">
        <f>IF(AND(ISNUMBER(D1212),ISNUMBER(H1212)),D1212*H1212*Inputs!$C$69,"")</f>
      </c>
      <c r="J1212" s="42">
        <f>IF(AND(ISNUMBER(F1212),ISNUMBER(H1212),F1212&gt;=Inputs!$C$68),F1212*H1212*Inputs!$C$69,"")</f>
      </c>
    </row>
    <row r="1213" spans="2:10" ht="15" customHeight="1" x14ac:dyDescent="0.2">
      <c r="B1213" s="39">
        <f t="shared" si="8"/>
      </c>
      <c r="C1213" s="40">
        <f>IF(Inputs!$C$60,Inputs!$C$11+(B1213-Inputs!$C$69)/Inputs!$C$70,"")</f>
      </c>
      <c r="D1213" s="15"/>
      <c r="E1213" s="15"/>
      <c r="F1213" s="11">
        <f t="shared" si="9"/>
      </c>
      <c r="G1213" s="22" cm="1">
        <f t="array" ref="G1213">IF(AND(Inputs!$C$60,Inputs!$C$61),INDEX(Utility_Rates!$C$29:$F$52,HOUR(C1213)+Inputs!$C$69,MATCH(INDEX(Utility_Rates!$K$6:$K$17,MONTH(C1213))&amp;IF(WEEKDAY(C1213,Inputs!$C$76)&lt;=Inputs!$C$74," weekday"," weekend"),Utility_Rates!$C$28:$F$28,Inputs!$C$68)),"")</f>
      </c>
      <c r="H1213" s="34"/>
      <c r="I1213" s="42">
        <f>IF(AND(ISNUMBER(D1213),ISNUMBER(H1213)),D1213*H1213*Inputs!$C$69,"")</f>
      </c>
      <c r="J1213" s="42">
        <f>IF(AND(ISNUMBER(F1213),ISNUMBER(H1213),F1213&gt;=Inputs!$C$68),F1213*H1213*Inputs!$C$69,"")</f>
      </c>
    </row>
    <row r="1214" spans="2:10" ht="15" customHeight="1" x14ac:dyDescent="0.2">
      <c r="B1214" s="39">
        <f t="shared" si="8"/>
      </c>
      <c r="C1214" s="40">
        <f>IF(Inputs!$C$60,Inputs!$C$11+(B1214-Inputs!$C$69)/Inputs!$C$70,"")</f>
      </c>
      <c r="D1214" s="15"/>
      <c r="E1214" s="15"/>
      <c r="F1214" s="11">
        <f t="shared" si="9"/>
      </c>
      <c r="G1214" s="22" cm="1">
        <f t="array" ref="G1214">IF(AND(Inputs!$C$60,Inputs!$C$61),INDEX(Utility_Rates!$C$29:$F$52,HOUR(C1214)+Inputs!$C$69,MATCH(INDEX(Utility_Rates!$K$6:$K$17,MONTH(C1214))&amp;IF(WEEKDAY(C1214,Inputs!$C$76)&lt;=Inputs!$C$74," weekday"," weekend"),Utility_Rates!$C$28:$F$28,Inputs!$C$68)),"")</f>
      </c>
      <c r="H1214" s="34"/>
      <c r="I1214" s="42">
        <f>IF(AND(ISNUMBER(D1214),ISNUMBER(H1214)),D1214*H1214*Inputs!$C$69,"")</f>
      </c>
      <c r="J1214" s="42">
        <f>IF(AND(ISNUMBER(F1214),ISNUMBER(H1214),F1214&gt;=Inputs!$C$68),F1214*H1214*Inputs!$C$69,"")</f>
      </c>
    </row>
    <row r="1215" spans="2:10" ht="15" customHeight="1" x14ac:dyDescent="0.2">
      <c r="B1215" s="39">
        <f t="shared" si="8"/>
      </c>
      <c r="C1215" s="40">
        <f>IF(Inputs!$C$60,Inputs!$C$11+(B1215-Inputs!$C$69)/Inputs!$C$70,"")</f>
      </c>
      <c r="D1215" s="15"/>
      <c r="E1215" s="15"/>
      <c r="F1215" s="11">
        <f t="shared" si="9"/>
      </c>
      <c r="G1215" s="22" cm="1">
        <f t="array" ref="G1215">IF(AND(Inputs!$C$60,Inputs!$C$61),INDEX(Utility_Rates!$C$29:$F$52,HOUR(C1215)+Inputs!$C$69,MATCH(INDEX(Utility_Rates!$K$6:$K$17,MONTH(C1215))&amp;IF(WEEKDAY(C1215,Inputs!$C$76)&lt;=Inputs!$C$74," weekday"," weekend"),Utility_Rates!$C$28:$F$28,Inputs!$C$68)),"")</f>
      </c>
      <c r="H1215" s="34"/>
      <c r="I1215" s="42">
        <f>IF(AND(ISNUMBER(D1215),ISNUMBER(H1215)),D1215*H1215*Inputs!$C$69,"")</f>
      </c>
      <c r="J1215" s="42">
        <f>IF(AND(ISNUMBER(F1215),ISNUMBER(H1215),F1215&gt;=Inputs!$C$68),F1215*H1215*Inputs!$C$69,"")</f>
      </c>
    </row>
    <row r="1216" spans="2:10" ht="15" customHeight="1" x14ac:dyDescent="0.2">
      <c r="B1216" s="39">
        <f t="shared" si="8"/>
      </c>
      <c r="C1216" s="40">
        <f>IF(Inputs!$C$60,Inputs!$C$11+(B1216-Inputs!$C$69)/Inputs!$C$70,"")</f>
      </c>
      <c r="D1216" s="15"/>
      <c r="E1216" s="15"/>
      <c r="F1216" s="11">
        <f t="shared" si="9"/>
      </c>
      <c r="G1216" s="22" cm="1">
        <f t="array" ref="G1216">IF(AND(Inputs!$C$60,Inputs!$C$61),INDEX(Utility_Rates!$C$29:$F$52,HOUR(C1216)+Inputs!$C$69,MATCH(INDEX(Utility_Rates!$K$6:$K$17,MONTH(C1216))&amp;IF(WEEKDAY(C1216,Inputs!$C$76)&lt;=Inputs!$C$74," weekday"," weekend"),Utility_Rates!$C$28:$F$28,Inputs!$C$68)),"")</f>
      </c>
      <c r="H1216" s="34"/>
      <c r="I1216" s="42">
        <f>IF(AND(ISNUMBER(D1216),ISNUMBER(H1216)),D1216*H1216*Inputs!$C$69,"")</f>
      </c>
      <c r="J1216" s="42">
        <f>IF(AND(ISNUMBER(F1216),ISNUMBER(H1216),F1216&gt;=Inputs!$C$68),F1216*H1216*Inputs!$C$69,"")</f>
      </c>
    </row>
    <row r="1217" spans="2:10" ht="15" customHeight="1" x14ac:dyDescent="0.2">
      <c r="B1217" s="39">
        <f t="shared" si="8"/>
      </c>
      <c r="C1217" s="40">
        <f>IF(Inputs!$C$60,Inputs!$C$11+(B1217-Inputs!$C$69)/Inputs!$C$70,"")</f>
      </c>
      <c r="D1217" s="15"/>
      <c r="E1217" s="15"/>
      <c r="F1217" s="11">
        <f t="shared" si="9"/>
      </c>
      <c r="G1217" s="22" cm="1">
        <f t="array" ref="G1217">IF(AND(Inputs!$C$60,Inputs!$C$61),INDEX(Utility_Rates!$C$29:$F$52,HOUR(C1217)+Inputs!$C$69,MATCH(INDEX(Utility_Rates!$K$6:$K$17,MONTH(C1217))&amp;IF(WEEKDAY(C1217,Inputs!$C$76)&lt;=Inputs!$C$74," weekday"," weekend"),Utility_Rates!$C$28:$F$28,Inputs!$C$68)),"")</f>
      </c>
      <c r="H1217" s="34"/>
      <c r="I1217" s="42">
        <f>IF(AND(ISNUMBER(D1217),ISNUMBER(H1217)),D1217*H1217*Inputs!$C$69,"")</f>
      </c>
      <c r="J1217" s="42">
        <f>IF(AND(ISNUMBER(F1217),ISNUMBER(H1217),F1217&gt;=Inputs!$C$68),F1217*H1217*Inputs!$C$69,"")</f>
      </c>
    </row>
    <row r="1218" spans="2:10" ht="15" customHeight="1" x14ac:dyDescent="0.2">
      <c r="B1218" s="39">
        <f t="shared" si="8"/>
      </c>
      <c r="C1218" s="40">
        <f>IF(Inputs!$C$60,Inputs!$C$11+(B1218-Inputs!$C$69)/Inputs!$C$70,"")</f>
      </c>
      <c r="D1218" s="15"/>
      <c r="E1218" s="15"/>
      <c r="F1218" s="11">
        <f t="shared" si="9"/>
      </c>
      <c r="G1218" s="22" cm="1">
        <f t="array" ref="G1218">IF(AND(Inputs!$C$60,Inputs!$C$61),INDEX(Utility_Rates!$C$29:$F$52,HOUR(C1218)+Inputs!$C$69,MATCH(INDEX(Utility_Rates!$K$6:$K$17,MONTH(C1218))&amp;IF(WEEKDAY(C1218,Inputs!$C$76)&lt;=Inputs!$C$74," weekday"," weekend"),Utility_Rates!$C$28:$F$28,Inputs!$C$68)),"")</f>
      </c>
      <c r="H1218" s="34"/>
      <c r="I1218" s="42">
        <f>IF(AND(ISNUMBER(D1218),ISNUMBER(H1218)),D1218*H1218*Inputs!$C$69,"")</f>
      </c>
      <c r="J1218" s="42">
        <f>IF(AND(ISNUMBER(F1218),ISNUMBER(H1218),F1218&gt;=Inputs!$C$68),F1218*H1218*Inputs!$C$69,"")</f>
      </c>
    </row>
    <row r="1219" spans="2:10" ht="15" customHeight="1" x14ac:dyDescent="0.2">
      <c r="B1219" s="39">
        <f t="shared" si="8"/>
      </c>
      <c r="C1219" s="40">
        <f>IF(Inputs!$C$60,Inputs!$C$11+(B1219-Inputs!$C$69)/Inputs!$C$70,"")</f>
      </c>
      <c r="D1219" s="15"/>
      <c r="E1219" s="15"/>
      <c r="F1219" s="11">
        <f t="shared" si="9"/>
      </c>
      <c r="G1219" s="22" cm="1">
        <f t="array" ref="G1219">IF(AND(Inputs!$C$60,Inputs!$C$61),INDEX(Utility_Rates!$C$29:$F$52,HOUR(C1219)+Inputs!$C$69,MATCH(INDEX(Utility_Rates!$K$6:$K$17,MONTH(C1219))&amp;IF(WEEKDAY(C1219,Inputs!$C$76)&lt;=Inputs!$C$74," weekday"," weekend"),Utility_Rates!$C$28:$F$28,Inputs!$C$68)),"")</f>
      </c>
      <c r="H1219" s="34"/>
      <c r="I1219" s="42">
        <f>IF(AND(ISNUMBER(D1219),ISNUMBER(H1219)),D1219*H1219*Inputs!$C$69,"")</f>
      </c>
      <c r="J1219" s="42">
        <f>IF(AND(ISNUMBER(F1219),ISNUMBER(H1219),F1219&gt;=Inputs!$C$68),F1219*H1219*Inputs!$C$69,"")</f>
      </c>
    </row>
    <row r="1220" spans="2:10" ht="15" customHeight="1" x14ac:dyDescent="0.2">
      <c r="B1220" s="39">
        <f t="shared" si="8"/>
      </c>
      <c r="C1220" s="40">
        <f>IF(Inputs!$C$60,Inputs!$C$11+(B1220-Inputs!$C$69)/Inputs!$C$70,"")</f>
      </c>
      <c r="D1220" s="15"/>
      <c r="E1220" s="15"/>
      <c r="F1220" s="11">
        <f t="shared" si="9"/>
      </c>
      <c r="G1220" s="22" cm="1">
        <f t="array" ref="G1220">IF(AND(Inputs!$C$60,Inputs!$C$61),INDEX(Utility_Rates!$C$29:$F$52,HOUR(C1220)+Inputs!$C$69,MATCH(INDEX(Utility_Rates!$K$6:$K$17,MONTH(C1220))&amp;IF(WEEKDAY(C1220,Inputs!$C$76)&lt;=Inputs!$C$74," weekday"," weekend"),Utility_Rates!$C$28:$F$28,Inputs!$C$68)),"")</f>
      </c>
      <c r="H1220" s="34"/>
      <c r="I1220" s="42">
        <f>IF(AND(ISNUMBER(D1220),ISNUMBER(H1220)),D1220*H1220*Inputs!$C$69,"")</f>
      </c>
      <c r="J1220" s="42">
        <f>IF(AND(ISNUMBER(F1220),ISNUMBER(H1220),F1220&gt;=Inputs!$C$68),F1220*H1220*Inputs!$C$69,"")</f>
      </c>
    </row>
    <row r="1221" spans="2:10" ht="15" customHeight="1" x14ac:dyDescent="0.2">
      <c r="B1221" s="39">
        <f t="shared" si="8"/>
      </c>
      <c r="C1221" s="40">
        <f>IF(Inputs!$C$60,Inputs!$C$11+(B1221-Inputs!$C$69)/Inputs!$C$70,"")</f>
      </c>
      <c r="D1221" s="15"/>
      <c r="E1221" s="15"/>
      <c r="F1221" s="11">
        <f t="shared" si="9"/>
      </c>
      <c r="G1221" s="22" cm="1">
        <f t="array" ref="G1221">IF(AND(Inputs!$C$60,Inputs!$C$61),INDEX(Utility_Rates!$C$29:$F$52,HOUR(C1221)+Inputs!$C$69,MATCH(INDEX(Utility_Rates!$K$6:$K$17,MONTH(C1221))&amp;IF(WEEKDAY(C1221,Inputs!$C$76)&lt;=Inputs!$C$74," weekday"," weekend"),Utility_Rates!$C$28:$F$28,Inputs!$C$68)),"")</f>
      </c>
      <c r="H1221" s="34"/>
      <c r="I1221" s="42">
        <f>IF(AND(ISNUMBER(D1221),ISNUMBER(H1221)),D1221*H1221*Inputs!$C$69,"")</f>
      </c>
      <c r="J1221" s="42">
        <f>IF(AND(ISNUMBER(F1221),ISNUMBER(H1221),F1221&gt;=Inputs!$C$68),F1221*H1221*Inputs!$C$69,"")</f>
      </c>
    </row>
    <row r="1222" spans="2:10" ht="15" customHeight="1" x14ac:dyDescent="0.2">
      <c r="B1222" s="39">
        <f t="shared" si="8"/>
      </c>
      <c r="C1222" s="40">
        <f>IF(Inputs!$C$60,Inputs!$C$11+(B1222-Inputs!$C$69)/Inputs!$C$70,"")</f>
      </c>
      <c r="D1222" s="15"/>
      <c r="E1222" s="15"/>
      <c r="F1222" s="11">
        <f t="shared" si="9"/>
      </c>
      <c r="G1222" s="22" cm="1">
        <f t="array" ref="G1222">IF(AND(Inputs!$C$60,Inputs!$C$61),INDEX(Utility_Rates!$C$29:$F$52,HOUR(C1222)+Inputs!$C$69,MATCH(INDEX(Utility_Rates!$K$6:$K$17,MONTH(C1222))&amp;IF(WEEKDAY(C1222,Inputs!$C$76)&lt;=Inputs!$C$74," weekday"," weekend"),Utility_Rates!$C$28:$F$28,Inputs!$C$68)),"")</f>
      </c>
      <c r="H1222" s="34"/>
      <c r="I1222" s="42">
        <f>IF(AND(ISNUMBER(D1222),ISNUMBER(H1222)),D1222*H1222*Inputs!$C$69,"")</f>
      </c>
      <c r="J1222" s="42">
        <f>IF(AND(ISNUMBER(F1222),ISNUMBER(H1222),F1222&gt;=Inputs!$C$68),F1222*H1222*Inputs!$C$69,"")</f>
      </c>
    </row>
    <row r="1223" spans="2:10" ht="15" customHeight="1" x14ac:dyDescent="0.2">
      <c r="B1223" s="39">
        <f t="shared" si="8"/>
      </c>
      <c r="C1223" s="40">
        <f>IF(Inputs!$C$60,Inputs!$C$11+(B1223-Inputs!$C$69)/Inputs!$C$70,"")</f>
      </c>
      <c r="D1223" s="15"/>
      <c r="E1223" s="15"/>
      <c r="F1223" s="11">
        <f t="shared" si="9"/>
      </c>
      <c r="G1223" s="22" cm="1">
        <f t="array" ref="G1223">IF(AND(Inputs!$C$60,Inputs!$C$61),INDEX(Utility_Rates!$C$29:$F$52,HOUR(C1223)+Inputs!$C$69,MATCH(INDEX(Utility_Rates!$K$6:$K$17,MONTH(C1223))&amp;IF(WEEKDAY(C1223,Inputs!$C$76)&lt;=Inputs!$C$74," weekday"," weekend"),Utility_Rates!$C$28:$F$28,Inputs!$C$68)),"")</f>
      </c>
      <c r="H1223" s="34"/>
      <c r="I1223" s="42">
        <f>IF(AND(ISNUMBER(D1223),ISNUMBER(H1223)),D1223*H1223*Inputs!$C$69,"")</f>
      </c>
      <c r="J1223" s="42">
        <f>IF(AND(ISNUMBER(F1223),ISNUMBER(H1223),F1223&gt;=Inputs!$C$68),F1223*H1223*Inputs!$C$69,"")</f>
      </c>
    </row>
    <row r="1224" spans="2:10" ht="15" customHeight="1" x14ac:dyDescent="0.2">
      <c r="B1224" s="39">
        <f t="shared" si="8"/>
      </c>
      <c r="C1224" s="40">
        <f>IF(Inputs!$C$60,Inputs!$C$11+(B1224-Inputs!$C$69)/Inputs!$C$70,"")</f>
      </c>
      <c r="D1224" s="15"/>
      <c r="E1224" s="15"/>
      <c r="F1224" s="11">
        <f t="shared" si="9"/>
      </c>
      <c r="G1224" s="22" cm="1">
        <f t="array" ref="G1224">IF(AND(Inputs!$C$60,Inputs!$C$61),INDEX(Utility_Rates!$C$29:$F$52,HOUR(C1224)+Inputs!$C$69,MATCH(INDEX(Utility_Rates!$K$6:$K$17,MONTH(C1224))&amp;IF(WEEKDAY(C1224,Inputs!$C$76)&lt;=Inputs!$C$74," weekday"," weekend"),Utility_Rates!$C$28:$F$28,Inputs!$C$68)),"")</f>
      </c>
      <c r="H1224" s="34"/>
      <c r="I1224" s="42">
        <f>IF(AND(ISNUMBER(D1224),ISNUMBER(H1224)),D1224*H1224*Inputs!$C$69,"")</f>
      </c>
      <c r="J1224" s="42">
        <f>IF(AND(ISNUMBER(F1224),ISNUMBER(H1224),F1224&gt;=Inputs!$C$68),F1224*H1224*Inputs!$C$69,"")</f>
      </c>
    </row>
    <row r="1225" spans="2:10" ht="15" customHeight="1" x14ac:dyDescent="0.2">
      <c r="B1225" s="39">
        <f t="shared" si="8"/>
      </c>
      <c r="C1225" s="40">
        <f>IF(Inputs!$C$60,Inputs!$C$11+(B1225-Inputs!$C$69)/Inputs!$C$70,"")</f>
      </c>
      <c r="D1225" s="15"/>
      <c r="E1225" s="15"/>
      <c r="F1225" s="11">
        <f t="shared" si="9"/>
      </c>
      <c r="G1225" s="22" cm="1">
        <f t="array" ref="G1225">IF(AND(Inputs!$C$60,Inputs!$C$61),INDEX(Utility_Rates!$C$29:$F$52,HOUR(C1225)+Inputs!$C$69,MATCH(INDEX(Utility_Rates!$K$6:$K$17,MONTH(C1225))&amp;IF(WEEKDAY(C1225,Inputs!$C$76)&lt;=Inputs!$C$74," weekday"," weekend"),Utility_Rates!$C$28:$F$28,Inputs!$C$68)),"")</f>
      </c>
      <c r="H1225" s="34"/>
      <c r="I1225" s="42">
        <f>IF(AND(ISNUMBER(D1225),ISNUMBER(H1225)),D1225*H1225*Inputs!$C$69,"")</f>
      </c>
      <c r="J1225" s="42">
        <f>IF(AND(ISNUMBER(F1225),ISNUMBER(H1225),F1225&gt;=Inputs!$C$68),F1225*H1225*Inputs!$C$69,"")</f>
      </c>
    </row>
    <row r="1226" spans="2:10" ht="15" customHeight="1" x14ac:dyDescent="0.2">
      <c r="B1226" s="39">
        <f t="shared" si="8"/>
      </c>
      <c r="C1226" s="40">
        <f>IF(Inputs!$C$60,Inputs!$C$11+(B1226-Inputs!$C$69)/Inputs!$C$70,"")</f>
      </c>
      <c r="D1226" s="15"/>
      <c r="E1226" s="15"/>
      <c r="F1226" s="11">
        <f t="shared" si="9"/>
      </c>
      <c r="G1226" s="22" cm="1">
        <f t="array" ref="G1226">IF(AND(Inputs!$C$60,Inputs!$C$61),INDEX(Utility_Rates!$C$29:$F$52,HOUR(C1226)+Inputs!$C$69,MATCH(INDEX(Utility_Rates!$K$6:$K$17,MONTH(C1226))&amp;IF(WEEKDAY(C1226,Inputs!$C$76)&lt;=Inputs!$C$74," weekday"," weekend"),Utility_Rates!$C$28:$F$28,Inputs!$C$68)),"")</f>
      </c>
      <c r="H1226" s="34"/>
      <c r="I1226" s="42">
        <f>IF(AND(ISNUMBER(D1226),ISNUMBER(H1226)),D1226*H1226*Inputs!$C$69,"")</f>
      </c>
      <c r="J1226" s="42">
        <f>IF(AND(ISNUMBER(F1226),ISNUMBER(H1226),F1226&gt;=Inputs!$C$68),F1226*H1226*Inputs!$C$69,"")</f>
      </c>
    </row>
    <row r="1227" spans="2:10" ht="15" customHeight="1" x14ac:dyDescent="0.2">
      <c r="B1227" s="39">
        <f t="shared" si="8"/>
      </c>
      <c r="C1227" s="40">
        <f>IF(Inputs!$C$60,Inputs!$C$11+(B1227-Inputs!$C$69)/Inputs!$C$70,"")</f>
      </c>
      <c r="D1227" s="15"/>
      <c r="E1227" s="15"/>
      <c r="F1227" s="11">
        <f t="shared" si="9"/>
      </c>
      <c r="G1227" s="22" cm="1">
        <f t="array" ref="G1227">IF(AND(Inputs!$C$60,Inputs!$C$61),INDEX(Utility_Rates!$C$29:$F$52,HOUR(C1227)+Inputs!$C$69,MATCH(INDEX(Utility_Rates!$K$6:$K$17,MONTH(C1227))&amp;IF(WEEKDAY(C1227,Inputs!$C$76)&lt;=Inputs!$C$74," weekday"," weekend"),Utility_Rates!$C$28:$F$28,Inputs!$C$68)),"")</f>
      </c>
      <c r="H1227" s="34"/>
      <c r="I1227" s="42">
        <f>IF(AND(ISNUMBER(D1227),ISNUMBER(H1227)),D1227*H1227*Inputs!$C$69,"")</f>
      </c>
      <c r="J1227" s="42">
        <f>IF(AND(ISNUMBER(F1227),ISNUMBER(H1227),F1227&gt;=Inputs!$C$68),F1227*H1227*Inputs!$C$69,"")</f>
      </c>
    </row>
    <row r="1228" spans="2:10" ht="15" customHeight="1" x14ac:dyDescent="0.2">
      <c r="B1228" s="39">
        <f t="shared" si="8"/>
      </c>
      <c r="C1228" s="40">
        <f>IF(Inputs!$C$60,Inputs!$C$11+(B1228-Inputs!$C$69)/Inputs!$C$70,"")</f>
      </c>
      <c r="D1228" s="15"/>
      <c r="E1228" s="15"/>
      <c r="F1228" s="11">
        <f t="shared" si="9"/>
      </c>
      <c r="G1228" s="22" cm="1">
        <f t="array" ref="G1228">IF(AND(Inputs!$C$60,Inputs!$C$61),INDEX(Utility_Rates!$C$29:$F$52,HOUR(C1228)+Inputs!$C$69,MATCH(INDEX(Utility_Rates!$K$6:$K$17,MONTH(C1228))&amp;IF(WEEKDAY(C1228,Inputs!$C$76)&lt;=Inputs!$C$74," weekday"," weekend"),Utility_Rates!$C$28:$F$28,Inputs!$C$68)),"")</f>
      </c>
      <c r="H1228" s="34"/>
      <c r="I1228" s="42">
        <f>IF(AND(ISNUMBER(D1228),ISNUMBER(H1228)),D1228*H1228*Inputs!$C$69,"")</f>
      </c>
      <c r="J1228" s="42">
        <f>IF(AND(ISNUMBER(F1228),ISNUMBER(H1228),F1228&gt;=Inputs!$C$68),F1228*H1228*Inputs!$C$69,"")</f>
      </c>
    </row>
    <row r="1229" spans="2:10" ht="15" customHeight="1" x14ac:dyDescent="0.2">
      <c r="B1229" s="39">
        <f t="shared" si="8"/>
      </c>
      <c r="C1229" s="40">
        <f>IF(Inputs!$C$60,Inputs!$C$11+(B1229-Inputs!$C$69)/Inputs!$C$70,"")</f>
      </c>
      <c r="D1229" s="15"/>
      <c r="E1229" s="15"/>
      <c r="F1229" s="11">
        <f t="shared" si="9"/>
      </c>
      <c r="G1229" s="22" cm="1">
        <f t="array" ref="G1229">IF(AND(Inputs!$C$60,Inputs!$C$61),INDEX(Utility_Rates!$C$29:$F$52,HOUR(C1229)+Inputs!$C$69,MATCH(INDEX(Utility_Rates!$K$6:$K$17,MONTH(C1229))&amp;IF(WEEKDAY(C1229,Inputs!$C$76)&lt;=Inputs!$C$74," weekday"," weekend"),Utility_Rates!$C$28:$F$28,Inputs!$C$68)),"")</f>
      </c>
      <c r="H1229" s="34"/>
      <c r="I1229" s="42">
        <f>IF(AND(ISNUMBER(D1229),ISNUMBER(H1229)),D1229*H1229*Inputs!$C$69,"")</f>
      </c>
      <c r="J1229" s="42">
        <f>IF(AND(ISNUMBER(F1229),ISNUMBER(H1229),F1229&gt;=Inputs!$C$68),F1229*H1229*Inputs!$C$69,"")</f>
      </c>
    </row>
    <row r="1230" spans="2:10" ht="15" customHeight="1" x14ac:dyDescent="0.2">
      <c r="B1230" s="39">
        <f t="shared" si="8"/>
      </c>
      <c r="C1230" s="40">
        <f>IF(Inputs!$C$60,Inputs!$C$11+(B1230-Inputs!$C$69)/Inputs!$C$70,"")</f>
      </c>
      <c r="D1230" s="15"/>
      <c r="E1230" s="15"/>
      <c r="F1230" s="11">
        <f t="shared" si="9"/>
      </c>
      <c r="G1230" s="22" cm="1">
        <f t="array" ref="G1230">IF(AND(Inputs!$C$60,Inputs!$C$61),INDEX(Utility_Rates!$C$29:$F$52,HOUR(C1230)+Inputs!$C$69,MATCH(INDEX(Utility_Rates!$K$6:$K$17,MONTH(C1230))&amp;IF(WEEKDAY(C1230,Inputs!$C$76)&lt;=Inputs!$C$74," weekday"," weekend"),Utility_Rates!$C$28:$F$28,Inputs!$C$68)),"")</f>
      </c>
      <c r="H1230" s="34"/>
      <c r="I1230" s="42">
        <f>IF(AND(ISNUMBER(D1230),ISNUMBER(H1230)),D1230*H1230*Inputs!$C$69,"")</f>
      </c>
      <c r="J1230" s="42">
        <f>IF(AND(ISNUMBER(F1230),ISNUMBER(H1230),F1230&gt;=Inputs!$C$68),F1230*H1230*Inputs!$C$69,"")</f>
      </c>
    </row>
    <row r="1231" spans="2:10" ht="15" customHeight="1" x14ac:dyDescent="0.2">
      <c r="B1231" s="39">
        <f t="shared" si="8"/>
      </c>
      <c r="C1231" s="40">
        <f>IF(Inputs!$C$60,Inputs!$C$11+(B1231-Inputs!$C$69)/Inputs!$C$70,"")</f>
      </c>
      <c r="D1231" s="15"/>
      <c r="E1231" s="15"/>
      <c r="F1231" s="11">
        <f t="shared" si="9"/>
      </c>
      <c r="G1231" s="22" cm="1">
        <f t="array" ref="G1231">IF(AND(Inputs!$C$60,Inputs!$C$61),INDEX(Utility_Rates!$C$29:$F$52,HOUR(C1231)+Inputs!$C$69,MATCH(INDEX(Utility_Rates!$K$6:$K$17,MONTH(C1231))&amp;IF(WEEKDAY(C1231,Inputs!$C$76)&lt;=Inputs!$C$74," weekday"," weekend"),Utility_Rates!$C$28:$F$28,Inputs!$C$68)),"")</f>
      </c>
      <c r="H1231" s="34"/>
      <c r="I1231" s="42">
        <f>IF(AND(ISNUMBER(D1231),ISNUMBER(H1231)),D1231*H1231*Inputs!$C$69,"")</f>
      </c>
      <c r="J1231" s="42">
        <f>IF(AND(ISNUMBER(F1231),ISNUMBER(H1231),F1231&gt;=Inputs!$C$68),F1231*H1231*Inputs!$C$69,"")</f>
      </c>
    </row>
    <row r="1232" spans="2:10" ht="15" customHeight="1" x14ac:dyDescent="0.2">
      <c r="B1232" s="39">
        <f t="shared" si="8"/>
      </c>
      <c r="C1232" s="40">
        <f>IF(Inputs!$C$60,Inputs!$C$11+(B1232-Inputs!$C$69)/Inputs!$C$70,"")</f>
      </c>
      <c r="D1232" s="15"/>
      <c r="E1232" s="15"/>
      <c r="F1232" s="11">
        <f t="shared" si="9"/>
      </c>
      <c r="G1232" s="22" cm="1">
        <f t="array" ref="G1232">IF(AND(Inputs!$C$60,Inputs!$C$61),INDEX(Utility_Rates!$C$29:$F$52,HOUR(C1232)+Inputs!$C$69,MATCH(INDEX(Utility_Rates!$K$6:$K$17,MONTH(C1232))&amp;IF(WEEKDAY(C1232,Inputs!$C$76)&lt;=Inputs!$C$74," weekday"," weekend"),Utility_Rates!$C$28:$F$28,Inputs!$C$68)),"")</f>
      </c>
      <c r="H1232" s="34"/>
      <c r="I1232" s="42">
        <f>IF(AND(ISNUMBER(D1232),ISNUMBER(H1232)),D1232*H1232*Inputs!$C$69,"")</f>
      </c>
      <c r="J1232" s="42">
        <f>IF(AND(ISNUMBER(F1232),ISNUMBER(H1232),F1232&gt;=Inputs!$C$68),F1232*H1232*Inputs!$C$69,"")</f>
      </c>
    </row>
    <row r="1233" spans="2:10" ht="15" customHeight="1" x14ac:dyDescent="0.2">
      <c r="B1233" s="39">
        <f t="shared" si="8"/>
      </c>
      <c r="C1233" s="40">
        <f>IF(Inputs!$C$60,Inputs!$C$11+(B1233-Inputs!$C$69)/Inputs!$C$70,"")</f>
      </c>
      <c r="D1233" s="15"/>
      <c r="E1233" s="15"/>
      <c r="F1233" s="11">
        <f t="shared" si="9"/>
      </c>
      <c r="G1233" s="22" cm="1">
        <f t="array" ref="G1233">IF(AND(Inputs!$C$60,Inputs!$C$61),INDEX(Utility_Rates!$C$29:$F$52,HOUR(C1233)+Inputs!$C$69,MATCH(INDEX(Utility_Rates!$K$6:$K$17,MONTH(C1233))&amp;IF(WEEKDAY(C1233,Inputs!$C$76)&lt;=Inputs!$C$74," weekday"," weekend"),Utility_Rates!$C$28:$F$28,Inputs!$C$68)),"")</f>
      </c>
      <c r="H1233" s="34"/>
      <c r="I1233" s="42">
        <f>IF(AND(ISNUMBER(D1233),ISNUMBER(H1233)),D1233*H1233*Inputs!$C$69,"")</f>
      </c>
      <c r="J1233" s="42">
        <f>IF(AND(ISNUMBER(F1233),ISNUMBER(H1233),F1233&gt;=Inputs!$C$68),F1233*H1233*Inputs!$C$69,"")</f>
      </c>
    </row>
    <row r="1234" spans="2:10" ht="15" customHeight="1" x14ac:dyDescent="0.2">
      <c r="B1234" s="39">
        <f t="shared" si="8"/>
      </c>
      <c r="C1234" s="40">
        <f>IF(Inputs!$C$60,Inputs!$C$11+(B1234-Inputs!$C$69)/Inputs!$C$70,"")</f>
      </c>
      <c r="D1234" s="15"/>
      <c r="E1234" s="15"/>
      <c r="F1234" s="11">
        <f t="shared" si="9"/>
      </c>
      <c r="G1234" s="22" cm="1">
        <f t="array" ref="G1234">IF(AND(Inputs!$C$60,Inputs!$C$61),INDEX(Utility_Rates!$C$29:$F$52,HOUR(C1234)+Inputs!$C$69,MATCH(INDEX(Utility_Rates!$K$6:$K$17,MONTH(C1234))&amp;IF(WEEKDAY(C1234,Inputs!$C$76)&lt;=Inputs!$C$74," weekday"," weekend"),Utility_Rates!$C$28:$F$28,Inputs!$C$68)),"")</f>
      </c>
      <c r="H1234" s="34"/>
      <c r="I1234" s="42">
        <f>IF(AND(ISNUMBER(D1234),ISNUMBER(H1234)),D1234*H1234*Inputs!$C$69,"")</f>
      </c>
      <c r="J1234" s="42">
        <f>IF(AND(ISNUMBER(F1234),ISNUMBER(H1234),F1234&gt;=Inputs!$C$68),F1234*H1234*Inputs!$C$69,"")</f>
      </c>
    </row>
    <row r="1235" spans="2:10" ht="15" customHeight="1" x14ac:dyDescent="0.2">
      <c r="B1235" s="39">
        <f t="shared" si="8"/>
      </c>
      <c r="C1235" s="40">
        <f>IF(Inputs!$C$60,Inputs!$C$11+(B1235-Inputs!$C$69)/Inputs!$C$70,"")</f>
      </c>
      <c r="D1235" s="15"/>
      <c r="E1235" s="15"/>
      <c r="F1235" s="11">
        <f t="shared" si="9"/>
      </c>
      <c r="G1235" s="22" cm="1">
        <f t="array" ref="G1235">IF(AND(Inputs!$C$60,Inputs!$C$61),INDEX(Utility_Rates!$C$29:$F$52,HOUR(C1235)+Inputs!$C$69,MATCH(INDEX(Utility_Rates!$K$6:$K$17,MONTH(C1235))&amp;IF(WEEKDAY(C1235,Inputs!$C$76)&lt;=Inputs!$C$74," weekday"," weekend"),Utility_Rates!$C$28:$F$28,Inputs!$C$68)),"")</f>
      </c>
      <c r="H1235" s="34"/>
      <c r="I1235" s="42">
        <f>IF(AND(ISNUMBER(D1235),ISNUMBER(H1235)),D1235*H1235*Inputs!$C$69,"")</f>
      </c>
      <c r="J1235" s="42">
        <f>IF(AND(ISNUMBER(F1235),ISNUMBER(H1235),F1235&gt;=Inputs!$C$68),F1235*H1235*Inputs!$C$69,"")</f>
      </c>
    </row>
    <row r="1236" spans="2:10" ht="15" customHeight="1" x14ac:dyDescent="0.2">
      <c r="B1236" s="39">
        <f t="shared" si="8"/>
      </c>
      <c r="C1236" s="40">
        <f>IF(Inputs!$C$60,Inputs!$C$11+(B1236-Inputs!$C$69)/Inputs!$C$70,"")</f>
      </c>
      <c r="D1236" s="15"/>
      <c r="E1236" s="15"/>
      <c r="F1236" s="11">
        <f t="shared" si="9"/>
      </c>
      <c r="G1236" s="22" cm="1">
        <f t="array" ref="G1236">IF(AND(Inputs!$C$60,Inputs!$C$61),INDEX(Utility_Rates!$C$29:$F$52,HOUR(C1236)+Inputs!$C$69,MATCH(INDEX(Utility_Rates!$K$6:$K$17,MONTH(C1236))&amp;IF(WEEKDAY(C1236,Inputs!$C$76)&lt;=Inputs!$C$74," weekday"," weekend"),Utility_Rates!$C$28:$F$28,Inputs!$C$68)),"")</f>
      </c>
      <c r="H1236" s="34"/>
      <c r="I1236" s="42">
        <f>IF(AND(ISNUMBER(D1236),ISNUMBER(H1236)),D1236*H1236*Inputs!$C$69,"")</f>
      </c>
      <c r="J1236" s="42">
        <f>IF(AND(ISNUMBER(F1236),ISNUMBER(H1236),F1236&gt;=Inputs!$C$68),F1236*H1236*Inputs!$C$69,"")</f>
      </c>
    </row>
    <row r="1237" spans="2:10" ht="15" customHeight="1" x14ac:dyDescent="0.2">
      <c r="B1237" s="39">
        <f t="shared" si="8"/>
      </c>
      <c r="C1237" s="40">
        <f>IF(Inputs!$C$60,Inputs!$C$11+(B1237-Inputs!$C$69)/Inputs!$C$70,"")</f>
      </c>
      <c r="D1237" s="15"/>
      <c r="E1237" s="15"/>
      <c r="F1237" s="11">
        <f t="shared" si="9"/>
      </c>
      <c r="G1237" s="22" cm="1">
        <f t="array" ref="G1237">IF(AND(Inputs!$C$60,Inputs!$C$61),INDEX(Utility_Rates!$C$29:$F$52,HOUR(C1237)+Inputs!$C$69,MATCH(INDEX(Utility_Rates!$K$6:$K$17,MONTH(C1237))&amp;IF(WEEKDAY(C1237,Inputs!$C$76)&lt;=Inputs!$C$74," weekday"," weekend"),Utility_Rates!$C$28:$F$28,Inputs!$C$68)),"")</f>
      </c>
      <c r="H1237" s="34"/>
      <c r="I1237" s="42">
        <f>IF(AND(ISNUMBER(D1237),ISNUMBER(H1237)),D1237*H1237*Inputs!$C$69,"")</f>
      </c>
      <c r="J1237" s="42">
        <f>IF(AND(ISNUMBER(F1237),ISNUMBER(H1237),F1237&gt;=Inputs!$C$68),F1237*H1237*Inputs!$C$69,"")</f>
      </c>
    </row>
    <row r="1238" spans="2:10" ht="15" customHeight="1" x14ac:dyDescent="0.2">
      <c r="B1238" s="39">
        <f t="shared" si="8"/>
      </c>
      <c r="C1238" s="40">
        <f>IF(Inputs!$C$60,Inputs!$C$11+(B1238-Inputs!$C$69)/Inputs!$C$70,"")</f>
      </c>
      <c r="D1238" s="15"/>
      <c r="E1238" s="15"/>
      <c r="F1238" s="11">
        <f t="shared" si="9"/>
      </c>
      <c r="G1238" s="22" cm="1">
        <f t="array" ref="G1238">IF(AND(Inputs!$C$60,Inputs!$C$61),INDEX(Utility_Rates!$C$29:$F$52,HOUR(C1238)+Inputs!$C$69,MATCH(INDEX(Utility_Rates!$K$6:$K$17,MONTH(C1238))&amp;IF(WEEKDAY(C1238,Inputs!$C$76)&lt;=Inputs!$C$74," weekday"," weekend"),Utility_Rates!$C$28:$F$28,Inputs!$C$68)),"")</f>
      </c>
      <c r="H1238" s="34"/>
      <c r="I1238" s="42">
        <f>IF(AND(ISNUMBER(D1238),ISNUMBER(H1238)),D1238*H1238*Inputs!$C$69,"")</f>
      </c>
      <c r="J1238" s="42">
        <f>IF(AND(ISNUMBER(F1238),ISNUMBER(H1238),F1238&gt;=Inputs!$C$68),F1238*H1238*Inputs!$C$69,"")</f>
      </c>
    </row>
    <row r="1239" spans="2:10" ht="15" customHeight="1" x14ac:dyDescent="0.2">
      <c r="B1239" s="39">
        <f t="shared" si="8"/>
      </c>
      <c r="C1239" s="40">
        <f>IF(Inputs!$C$60,Inputs!$C$11+(B1239-Inputs!$C$69)/Inputs!$C$70,"")</f>
      </c>
      <c r="D1239" s="15"/>
      <c r="E1239" s="15"/>
      <c r="F1239" s="11">
        <f t="shared" si="9"/>
      </c>
      <c r="G1239" s="22" cm="1">
        <f t="array" ref="G1239">IF(AND(Inputs!$C$60,Inputs!$C$61),INDEX(Utility_Rates!$C$29:$F$52,HOUR(C1239)+Inputs!$C$69,MATCH(INDEX(Utility_Rates!$K$6:$K$17,MONTH(C1239))&amp;IF(WEEKDAY(C1239,Inputs!$C$76)&lt;=Inputs!$C$74," weekday"," weekend"),Utility_Rates!$C$28:$F$28,Inputs!$C$68)),"")</f>
      </c>
      <c r="H1239" s="34"/>
      <c r="I1239" s="42">
        <f>IF(AND(ISNUMBER(D1239),ISNUMBER(H1239)),D1239*H1239*Inputs!$C$69,"")</f>
      </c>
      <c r="J1239" s="42">
        <f>IF(AND(ISNUMBER(F1239),ISNUMBER(H1239),F1239&gt;=Inputs!$C$68),F1239*H1239*Inputs!$C$69,"")</f>
      </c>
    </row>
    <row r="1240" spans="2:10" ht="15" customHeight="1" x14ac:dyDescent="0.2">
      <c r="B1240" s="39">
        <f t="shared" si="8"/>
      </c>
      <c r="C1240" s="40">
        <f>IF(Inputs!$C$60,Inputs!$C$11+(B1240-Inputs!$C$69)/Inputs!$C$70,"")</f>
      </c>
      <c r="D1240" s="15"/>
      <c r="E1240" s="15"/>
      <c r="F1240" s="11">
        <f t="shared" si="9"/>
      </c>
      <c r="G1240" s="22" cm="1">
        <f t="array" ref="G1240">IF(AND(Inputs!$C$60,Inputs!$C$61),INDEX(Utility_Rates!$C$29:$F$52,HOUR(C1240)+Inputs!$C$69,MATCH(INDEX(Utility_Rates!$K$6:$K$17,MONTH(C1240))&amp;IF(WEEKDAY(C1240,Inputs!$C$76)&lt;=Inputs!$C$74," weekday"," weekend"),Utility_Rates!$C$28:$F$28,Inputs!$C$68)),"")</f>
      </c>
      <c r="H1240" s="34"/>
      <c r="I1240" s="42">
        <f>IF(AND(ISNUMBER(D1240),ISNUMBER(H1240)),D1240*H1240*Inputs!$C$69,"")</f>
      </c>
      <c r="J1240" s="42">
        <f>IF(AND(ISNUMBER(F1240),ISNUMBER(H1240),F1240&gt;=Inputs!$C$68),F1240*H1240*Inputs!$C$69,"")</f>
      </c>
    </row>
    <row r="1241" spans="2:10" ht="15" customHeight="1" x14ac:dyDescent="0.2">
      <c r="B1241" s="39">
        <f t="shared" si="8"/>
      </c>
      <c r="C1241" s="40">
        <f>IF(Inputs!$C$60,Inputs!$C$11+(B1241-Inputs!$C$69)/Inputs!$C$70,"")</f>
      </c>
      <c r="D1241" s="15"/>
      <c r="E1241" s="15"/>
      <c r="F1241" s="11">
        <f t="shared" si="9"/>
      </c>
      <c r="G1241" s="22" cm="1">
        <f t="array" ref="G1241">IF(AND(Inputs!$C$60,Inputs!$C$61),INDEX(Utility_Rates!$C$29:$F$52,HOUR(C1241)+Inputs!$C$69,MATCH(INDEX(Utility_Rates!$K$6:$K$17,MONTH(C1241))&amp;IF(WEEKDAY(C1241,Inputs!$C$76)&lt;=Inputs!$C$74," weekday"," weekend"),Utility_Rates!$C$28:$F$28,Inputs!$C$68)),"")</f>
      </c>
      <c r="H1241" s="34"/>
      <c r="I1241" s="42">
        <f>IF(AND(ISNUMBER(D1241),ISNUMBER(H1241)),D1241*H1241*Inputs!$C$69,"")</f>
      </c>
      <c r="J1241" s="42">
        <f>IF(AND(ISNUMBER(F1241),ISNUMBER(H1241),F1241&gt;=Inputs!$C$68),F1241*H1241*Inputs!$C$69,"")</f>
      </c>
    </row>
    <row r="1242" spans="2:10" ht="15" customHeight="1" x14ac:dyDescent="0.2">
      <c r="B1242" s="39">
        <f t="shared" si="8"/>
      </c>
      <c r="C1242" s="40">
        <f>IF(Inputs!$C$60,Inputs!$C$11+(B1242-Inputs!$C$69)/Inputs!$C$70,"")</f>
      </c>
      <c r="D1242" s="15"/>
      <c r="E1242" s="15"/>
      <c r="F1242" s="11">
        <f t="shared" si="9"/>
      </c>
      <c r="G1242" s="22" cm="1">
        <f t="array" ref="G1242">IF(AND(Inputs!$C$60,Inputs!$C$61),INDEX(Utility_Rates!$C$29:$F$52,HOUR(C1242)+Inputs!$C$69,MATCH(INDEX(Utility_Rates!$K$6:$K$17,MONTH(C1242))&amp;IF(WEEKDAY(C1242,Inputs!$C$76)&lt;=Inputs!$C$74," weekday"," weekend"),Utility_Rates!$C$28:$F$28,Inputs!$C$68)),"")</f>
      </c>
      <c r="H1242" s="34"/>
      <c r="I1242" s="42">
        <f>IF(AND(ISNUMBER(D1242),ISNUMBER(H1242)),D1242*H1242*Inputs!$C$69,"")</f>
      </c>
      <c r="J1242" s="42">
        <f>IF(AND(ISNUMBER(F1242),ISNUMBER(H1242),F1242&gt;=Inputs!$C$68),F1242*H1242*Inputs!$C$69,"")</f>
      </c>
    </row>
    <row r="1243" spans="2:10" ht="15" customHeight="1" x14ac:dyDescent="0.2">
      <c r="B1243" s="39">
        <f t="shared" si="8"/>
      </c>
      <c r="C1243" s="40">
        <f>IF(Inputs!$C$60,Inputs!$C$11+(B1243-Inputs!$C$69)/Inputs!$C$70,"")</f>
      </c>
      <c r="D1243" s="15"/>
      <c r="E1243" s="15"/>
      <c r="F1243" s="11">
        <f t="shared" si="9"/>
      </c>
      <c r="G1243" s="22" cm="1">
        <f t="array" ref="G1243">IF(AND(Inputs!$C$60,Inputs!$C$61),INDEX(Utility_Rates!$C$29:$F$52,HOUR(C1243)+Inputs!$C$69,MATCH(INDEX(Utility_Rates!$K$6:$K$17,MONTH(C1243))&amp;IF(WEEKDAY(C1243,Inputs!$C$76)&lt;=Inputs!$C$74," weekday"," weekend"),Utility_Rates!$C$28:$F$28,Inputs!$C$68)),"")</f>
      </c>
      <c r="H1243" s="34"/>
      <c r="I1243" s="42">
        <f>IF(AND(ISNUMBER(D1243),ISNUMBER(H1243)),D1243*H1243*Inputs!$C$69,"")</f>
      </c>
      <c r="J1243" s="42">
        <f>IF(AND(ISNUMBER(F1243),ISNUMBER(H1243),F1243&gt;=Inputs!$C$68),F1243*H1243*Inputs!$C$69,"")</f>
      </c>
    </row>
    <row r="1244" spans="2:10" ht="15" customHeight="1" x14ac:dyDescent="0.2">
      <c r="B1244" s="39">
        <f t="shared" si="8"/>
      </c>
      <c r="C1244" s="40">
        <f>IF(Inputs!$C$60,Inputs!$C$11+(B1244-Inputs!$C$69)/Inputs!$C$70,"")</f>
      </c>
      <c r="D1244" s="15"/>
      <c r="E1244" s="15"/>
      <c r="F1244" s="11">
        <f t="shared" si="9"/>
      </c>
      <c r="G1244" s="22" cm="1">
        <f t="array" ref="G1244">IF(AND(Inputs!$C$60,Inputs!$C$61),INDEX(Utility_Rates!$C$29:$F$52,HOUR(C1244)+Inputs!$C$69,MATCH(INDEX(Utility_Rates!$K$6:$K$17,MONTH(C1244))&amp;IF(WEEKDAY(C1244,Inputs!$C$76)&lt;=Inputs!$C$74," weekday"," weekend"),Utility_Rates!$C$28:$F$28,Inputs!$C$68)),"")</f>
      </c>
      <c r="H1244" s="34"/>
      <c r="I1244" s="42">
        <f>IF(AND(ISNUMBER(D1244),ISNUMBER(H1244)),D1244*H1244*Inputs!$C$69,"")</f>
      </c>
      <c r="J1244" s="42">
        <f>IF(AND(ISNUMBER(F1244),ISNUMBER(H1244),F1244&gt;=Inputs!$C$68),F1244*H1244*Inputs!$C$69,"")</f>
      </c>
    </row>
    <row r="1245" spans="2:10" ht="15" customHeight="1" x14ac:dyDescent="0.2">
      <c r="B1245" s="39">
        <f t="shared" si="8"/>
      </c>
      <c r="C1245" s="40">
        <f>IF(Inputs!$C$60,Inputs!$C$11+(B1245-Inputs!$C$69)/Inputs!$C$70,"")</f>
      </c>
      <c r="D1245" s="15"/>
      <c r="E1245" s="15"/>
      <c r="F1245" s="11">
        <f t="shared" si="9"/>
      </c>
      <c r="G1245" s="22" cm="1">
        <f t="array" ref="G1245">IF(AND(Inputs!$C$60,Inputs!$C$61),INDEX(Utility_Rates!$C$29:$F$52,HOUR(C1245)+Inputs!$C$69,MATCH(INDEX(Utility_Rates!$K$6:$K$17,MONTH(C1245))&amp;IF(WEEKDAY(C1245,Inputs!$C$76)&lt;=Inputs!$C$74," weekday"," weekend"),Utility_Rates!$C$28:$F$28,Inputs!$C$68)),"")</f>
      </c>
      <c r="H1245" s="34"/>
      <c r="I1245" s="42">
        <f>IF(AND(ISNUMBER(D1245),ISNUMBER(H1245)),D1245*H1245*Inputs!$C$69,"")</f>
      </c>
      <c r="J1245" s="42">
        <f>IF(AND(ISNUMBER(F1245),ISNUMBER(H1245),F1245&gt;=Inputs!$C$68),F1245*H1245*Inputs!$C$69,"")</f>
      </c>
    </row>
    <row r="1246" spans="2:10" ht="15" customHeight="1" x14ac:dyDescent="0.2">
      <c r="B1246" s="39">
        <f t="shared" si="8"/>
      </c>
      <c r="C1246" s="40">
        <f>IF(Inputs!$C$60,Inputs!$C$11+(B1246-Inputs!$C$69)/Inputs!$C$70,"")</f>
      </c>
      <c r="D1246" s="15"/>
      <c r="E1246" s="15"/>
      <c r="F1246" s="11">
        <f t="shared" si="9"/>
      </c>
      <c r="G1246" s="22" cm="1">
        <f t="array" ref="G1246">IF(AND(Inputs!$C$60,Inputs!$C$61),INDEX(Utility_Rates!$C$29:$F$52,HOUR(C1246)+Inputs!$C$69,MATCH(INDEX(Utility_Rates!$K$6:$K$17,MONTH(C1246))&amp;IF(WEEKDAY(C1246,Inputs!$C$76)&lt;=Inputs!$C$74," weekday"," weekend"),Utility_Rates!$C$28:$F$28,Inputs!$C$68)),"")</f>
      </c>
      <c r="H1246" s="34"/>
      <c r="I1246" s="42">
        <f>IF(AND(ISNUMBER(D1246),ISNUMBER(H1246)),D1246*H1246*Inputs!$C$69,"")</f>
      </c>
      <c r="J1246" s="42">
        <f>IF(AND(ISNUMBER(F1246),ISNUMBER(H1246),F1246&gt;=Inputs!$C$68),F1246*H1246*Inputs!$C$69,"")</f>
      </c>
    </row>
    <row r="1247" spans="2:10" ht="15" customHeight="1" x14ac:dyDescent="0.2">
      <c r="B1247" s="39">
        <f t="shared" si="8"/>
      </c>
      <c r="C1247" s="40">
        <f>IF(Inputs!$C$60,Inputs!$C$11+(B1247-Inputs!$C$69)/Inputs!$C$70,"")</f>
      </c>
      <c r="D1247" s="15"/>
      <c r="E1247" s="15"/>
      <c r="F1247" s="11">
        <f t="shared" si="9"/>
      </c>
      <c r="G1247" s="22" cm="1">
        <f t="array" ref="G1247">IF(AND(Inputs!$C$60,Inputs!$C$61),INDEX(Utility_Rates!$C$29:$F$52,HOUR(C1247)+Inputs!$C$69,MATCH(INDEX(Utility_Rates!$K$6:$K$17,MONTH(C1247))&amp;IF(WEEKDAY(C1247,Inputs!$C$76)&lt;=Inputs!$C$74," weekday"," weekend"),Utility_Rates!$C$28:$F$28,Inputs!$C$68)),"")</f>
      </c>
      <c r="H1247" s="34"/>
      <c r="I1247" s="42">
        <f>IF(AND(ISNUMBER(D1247),ISNUMBER(H1247)),D1247*H1247*Inputs!$C$69,"")</f>
      </c>
      <c r="J1247" s="42">
        <f>IF(AND(ISNUMBER(F1247),ISNUMBER(H1247),F1247&gt;=Inputs!$C$68),F1247*H1247*Inputs!$C$69,"")</f>
      </c>
    </row>
    <row r="1248" spans="2:10" ht="15" customHeight="1" x14ac:dyDescent="0.2">
      <c r="B1248" s="39">
        <f t="shared" si="8"/>
      </c>
      <c r="C1248" s="40">
        <f>IF(Inputs!$C$60,Inputs!$C$11+(B1248-Inputs!$C$69)/Inputs!$C$70,"")</f>
      </c>
      <c r="D1248" s="15"/>
      <c r="E1248" s="15"/>
      <c r="F1248" s="11">
        <f t="shared" si="9"/>
      </c>
      <c r="G1248" s="22" cm="1">
        <f t="array" ref="G1248">IF(AND(Inputs!$C$60,Inputs!$C$61),INDEX(Utility_Rates!$C$29:$F$52,HOUR(C1248)+Inputs!$C$69,MATCH(INDEX(Utility_Rates!$K$6:$K$17,MONTH(C1248))&amp;IF(WEEKDAY(C1248,Inputs!$C$76)&lt;=Inputs!$C$74," weekday"," weekend"),Utility_Rates!$C$28:$F$28,Inputs!$C$68)),"")</f>
      </c>
      <c r="H1248" s="34"/>
      <c r="I1248" s="42">
        <f>IF(AND(ISNUMBER(D1248),ISNUMBER(H1248)),D1248*H1248*Inputs!$C$69,"")</f>
      </c>
      <c r="J1248" s="42">
        <f>IF(AND(ISNUMBER(F1248),ISNUMBER(H1248),F1248&gt;=Inputs!$C$68),F1248*H1248*Inputs!$C$69,"")</f>
      </c>
    </row>
    <row r="1249" spans="2:10" ht="15" customHeight="1" x14ac:dyDescent="0.2">
      <c r="B1249" s="39">
        <f t="shared" si="8"/>
      </c>
      <c r="C1249" s="40">
        <f>IF(Inputs!$C$60,Inputs!$C$11+(B1249-Inputs!$C$69)/Inputs!$C$70,"")</f>
      </c>
      <c r="D1249" s="15"/>
      <c r="E1249" s="15"/>
      <c r="F1249" s="11">
        <f t="shared" si="9"/>
      </c>
      <c r="G1249" s="22" cm="1">
        <f t="array" ref="G1249">IF(AND(Inputs!$C$60,Inputs!$C$61),INDEX(Utility_Rates!$C$29:$F$52,HOUR(C1249)+Inputs!$C$69,MATCH(INDEX(Utility_Rates!$K$6:$K$17,MONTH(C1249))&amp;IF(WEEKDAY(C1249,Inputs!$C$76)&lt;=Inputs!$C$74," weekday"," weekend"),Utility_Rates!$C$28:$F$28,Inputs!$C$68)),"")</f>
      </c>
      <c r="H1249" s="34"/>
      <c r="I1249" s="42">
        <f>IF(AND(ISNUMBER(D1249),ISNUMBER(H1249)),D1249*H1249*Inputs!$C$69,"")</f>
      </c>
      <c r="J1249" s="42">
        <f>IF(AND(ISNUMBER(F1249),ISNUMBER(H1249),F1249&gt;=Inputs!$C$68),F1249*H1249*Inputs!$C$69,"")</f>
      </c>
    </row>
    <row r="1250" spans="2:10" ht="15" customHeight="1" x14ac:dyDescent="0.2">
      <c r="B1250" s="39">
        <f t="shared" si="8"/>
      </c>
      <c r="C1250" s="40">
        <f>IF(Inputs!$C$60,Inputs!$C$11+(B1250-Inputs!$C$69)/Inputs!$C$70,"")</f>
      </c>
      <c r="D1250" s="15"/>
      <c r="E1250" s="15"/>
      <c r="F1250" s="11">
        <f t="shared" si="9"/>
      </c>
      <c r="G1250" s="22" cm="1">
        <f t="array" ref="G1250">IF(AND(Inputs!$C$60,Inputs!$C$61),INDEX(Utility_Rates!$C$29:$F$52,HOUR(C1250)+Inputs!$C$69,MATCH(INDEX(Utility_Rates!$K$6:$K$17,MONTH(C1250))&amp;IF(WEEKDAY(C1250,Inputs!$C$76)&lt;=Inputs!$C$74," weekday"," weekend"),Utility_Rates!$C$28:$F$28,Inputs!$C$68)),"")</f>
      </c>
      <c r="H1250" s="34"/>
      <c r="I1250" s="42">
        <f>IF(AND(ISNUMBER(D1250),ISNUMBER(H1250)),D1250*H1250*Inputs!$C$69,"")</f>
      </c>
      <c r="J1250" s="42">
        <f>IF(AND(ISNUMBER(F1250),ISNUMBER(H1250),F1250&gt;=Inputs!$C$68),F1250*H1250*Inputs!$C$69,"")</f>
      </c>
    </row>
    <row r="1251" spans="2:10" ht="15" customHeight="1" x14ac:dyDescent="0.2">
      <c r="B1251" s="39">
        <f t="shared" si="8"/>
      </c>
      <c r="C1251" s="40">
        <f>IF(Inputs!$C$60,Inputs!$C$11+(B1251-Inputs!$C$69)/Inputs!$C$70,"")</f>
      </c>
      <c r="D1251" s="15"/>
      <c r="E1251" s="15"/>
      <c r="F1251" s="11">
        <f t="shared" si="9"/>
      </c>
      <c r="G1251" s="22" cm="1">
        <f t="array" ref="G1251">IF(AND(Inputs!$C$60,Inputs!$C$61),INDEX(Utility_Rates!$C$29:$F$52,HOUR(C1251)+Inputs!$C$69,MATCH(INDEX(Utility_Rates!$K$6:$K$17,MONTH(C1251))&amp;IF(WEEKDAY(C1251,Inputs!$C$76)&lt;=Inputs!$C$74," weekday"," weekend"),Utility_Rates!$C$28:$F$28,Inputs!$C$68)),"")</f>
      </c>
      <c r="H1251" s="34"/>
      <c r="I1251" s="42">
        <f>IF(AND(ISNUMBER(D1251),ISNUMBER(H1251)),D1251*H1251*Inputs!$C$69,"")</f>
      </c>
      <c r="J1251" s="42">
        <f>IF(AND(ISNUMBER(F1251),ISNUMBER(H1251),F1251&gt;=Inputs!$C$68),F1251*H1251*Inputs!$C$69,"")</f>
      </c>
    </row>
    <row r="1252" spans="2:10" ht="15" customHeight="1" x14ac:dyDescent="0.2">
      <c r="B1252" s="39">
        <f t="shared" si="8"/>
      </c>
      <c r="C1252" s="40">
        <f>IF(Inputs!$C$60,Inputs!$C$11+(B1252-Inputs!$C$69)/Inputs!$C$70,"")</f>
      </c>
      <c r="D1252" s="15"/>
      <c r="E1252" s="15"/>
      <c r="F1252" s="11">
        <f t="shared" si="9"/>
      </c>
      <c r="G1252" s="22" cm="1">
        <f t="array" ref="G1252">IF(AND(Inputs!$C$60,Inputs!$C$61),INDEX(Utility_Rates!$C$29:$F$52,HOUR(C1252)+Inputs!$C$69,MATCH(INDEX(Utility_Rates!$K$6:$K$17,MONTH(C1252))&amp;IF(WEEKDAY(C1252,Inputs!$C$76)&lt;=Inputs!$C$74," weekday"," weekend"),Utility_Rates!$C$28:$F$28,Inputs!$C$68)),"")</f>
      </c>
      <c r="H1252" s="34"/>
      <c r="I1252" s="42">
        <f>IF(AND(ISNUMBER(D1252),ISNUMBER(H1252)),D1252*H1252*Inputs!$C$69,"")</f>
      </c>
      <c r="J1252" s="42">
        <f>IF(AND(ISNUMBER(F1252),ISNUMBER(H1252),F1252&gt;=Inputs!$C$68),F1252*H1252*Inputs!$C$69,"")</f>
      </c>
    </row>
    <row r="1253" spans="2:10" ht="15" customHeight="1" x14ac:dyDescent="0.2">
      <c r="B1253" s="39">
        <f t="shared" si="8"/>
      </c>
      <c r="C1253" s="40">
        <f>IF(Inputs!$C$60,Inputs!$C$11+(B1253-Inputs!$C$69)/Inputs!$C$70,"")</f>
      </c>
      <c r="D1253" s="15"/>
      <c r="E1253" s="15"/>
      <c r="F1253" s="11">
        <f t="shared" si="9"/>
      </c>
      <c r="G1253" s="22" cm="1">
        <f t="array" ref="G1253">IF(AND(Inputs!$C$60,Inputs!$C$61),INDEX(Utility_Rates!$C$29:$F$52,HOUR(C1253)+Inputs!$C$69,MATCH(INDEX(Utility_Rates!$K$6:$K$17,MONTH(C1253))&amp;IF(WEEKDAY(C1253,Inputs!$C$76)&lt;=Inputs!$C$74," weekday"," weekend"),Utility_Rates!$C$28:$F$28,Inputs!$C$68)),"")</f>
      </c>
      <c r="H1253" s="34"/>
      <c r="I1253" s="42">
        <f>IF(AND(ISNUMBER(D1253),ISNUMBER(H1253)),D1253*H1253*Inputs!$C$69,"")</f>
      </c>
      <c r="J1253" s="42">
        <f>IF(AND(ISNUMBER(F1253),ISNUMBER(H1253),F1253&gt;=Inputs!$C$68),F1253*H1253*Inputs!$C$69,"")</f>
      </c>
    </row>
    <row r="1254" spans="2:10" ht="15" customHeight="1" x14ac:dyDescent="0.2">
      <c r="B1254" s="39">
        <f t="shared" si="8"/>
      </c>
      <c r="C1254" s="40">
        <f>IF(Inputs!$C$60,Inputs!$C$11+(B1254-Inputs!$C$69)/Inputs!$C$70,"")</f>
      </c>
      <c r="D1254" s="15"/>
      <c r="E1254" s="15"/>
      <c r="F1254" s="11">
        <f t="shared" si="9"/>
      </c>
      <c r="G1254" s="22" cm="1">
        <f t="array" ref="G1254">IF(AND(Inputs!$C$60,Inputs!$C$61),INDEX(Utility_Rates!$C$29:$F$52,HOUR(C1254)+Inputs!$C$69,MATCH(INDEX(Utility_Rates!$K$6:$K$17,MONTH(C1254))&amp;IF(WEEKDAY(C1254,Inputs!$C$76)&lt;=Inputs!$C$74," weekday"," weekend"),Utility_Rates!$C$28:$F$28,Inputs!$C$68)),"")</f>
      </c>
      <c r="H1254" s="34"/>
      <c r="I1254" s="42">
        <f>IF(AND(ISNUMBER(D1254),ISNUMBER(H1254)),D1254*H1254*Inputs!$C$69,"")</f>
      </c>
      <c r="J1254" s="42">
        <f>IF(AND(ISNUMBER(F1254),ISNUMBER(H1254),F1254&gt;=Inputs!$C$68),F1254*H1254*Inputs!$C$69,"")</f>
      </c>
    </row>
    <row r="1255" spans="2:10" ht="15" customHeight="1" x14ac:dyDescent="0.2">
      <c r="B1255" s="39">
        <f t="shared" si="8"/>
      </c>
      <c r="C1255" s="40">
        <f>IF(Inputs!$C$60,Inputs!$C$11+(B1255-Inputs!$C$69)/Inputs!$C$70,"")</f>
      </c>
      <c r="D1255" s="15"/>
      <c r="E1255" s="15"/>
      <c r="F1255" s="11">
        <f t="shared" si="9"/>
      </c>
      <c r="G1255" s="22" cm="1">
        <f t="array" ref="G1255">IF(AND(Inputs!$C$60,Inputs!$C$61),INDEX(Utility_Rates!$C$29:$F$52,HOUR(C1255)+Inputs!$C$69,MATCH(INDEX(Utility_Rates!$K$6:$K$17,MONTH(C1255))&amp;IF(WEEKDAY(C1255,Inputs!$C$76)&lt;=Inputs!$C$74," weekday"," weekend"),Utility_Rates!$C$28:$F$28,Inputs!$C$68)),"")</f>
      </c>
      <c r="H1255" s="34"/>
      <c r="I1255" s="42">
        <f>IF(AND(ISNUMBER(D1255),ISNUMBER(H1255)),D1255*H1255*Inputs!$C$69,"")</f>
      </c>
      <c r="J1255" s="42">
        <f>IF(AND(ISNUMBER(F1255),ISNUMBER(H1255),F1255&gt;=Inputs!$C$68),F1255*H1255*Inputs!$C$69,"")</f>
      </c>
    </row>
    <row r="1256" spans="2:10" ht="15" customHeight="1" x14ac:dyDescent="0.2">
      <c r="B1256" s="39">
        <f t="shared" si="8"/>
      </c>
      <c r="C1256" s="40">
        <f>IF(Inputs!$C$60,Inputs!$C$11+(B1256-Inputs!$C$69)/Inputs!$C$70,"")</f>
      </c>
      <c r="D1256" s="15"/>
      <c r="E1256" s="15"/>
      <c r="F1256" s="11">
        <f t="shared" si="9"/>
      </c>
      <c r="G1256" s="22" cm="1">
        <f t="array" ref="G1256">IF(AND(Inputs!$C$60,Inputs!$C$61),INDEX(Utility_Rates!$C$29:$F$52,HOUR(C1256)+Inputs!$C$69,MATCH(INDEX(Utility_Rates!$K$6:$K$17,MONTH(C1256))&amp;IF(WEEKDAY(C1256,Inputs!$C$76)&lt;=Inputs!$C$74," weekday"," weekend"),Utility_Rates!$C$28:$F$28,Inputs!$C$68)),"")</f>
      </c>
      <c r="H1256" s="34"/>
      <c r="I1256" s="42">
        <f>IF(AND(ISNUMBER(D1256),ISNUMBER(H1256)),D1256*H1256*Inputs!$C$69,"")</f>
      </c>
      <c r="J1256" s="42">
        <f>IF(AND(ISNUMBER(F1256),ISNUMBER(H1256),F1256&gt;=Inputs!$C$68),F1256*H1256*Inputs!$C$69,"")</f>
      </c>
    </row>
    <row r="1257" spans="2:10" ht="15" customHeight="1" x14ac:dyDescent="0.2">
      <c r="B1257" s="39">
        <f t="shared" si="8"/>
      </c>
      <c r="C1257" s="40">
        <f>IF(Inputs!$C$60,Inputs!$C$11+(B1257-Inputs!$C$69)/Inputs!$C$70,"")</f>
      </c>
      <c r="D1257" s="15"/>
      <c r="E1257" s="15"/>
      <c r="F1257" s="11">
        <f t="shared" si="9"/>
      </c>
      <c r="G1257" s="22" cm="1">
        <f t="array" ref="G1257">IF(AND(Inputs!$C$60,Inputs!$C$61),INDEX(Utility_Rates!$C$29:$F$52,HOUR(C1257)+Inputs!$C$69,MATCH(INDEX(Utility_Rates!$K$6:$K$17,MONTH(C1257))&amp;IF(WEEKDAY(C1257,Inputs!$C$76)&lt;=Inputs!$C$74," weekday"," weekend"),Utility_Rates!$C$28:$F$28,Inputs!$C$68)),"")</f>
      </c>
      <c r="H1257" s="34"/>
      <c r="I1257" s="42">
        <f>IF(AND(ISNUMBER(D1257),ISNUMBER(H1257)),D1257*H1257*Inputs!$C$69,"")</f>
      </c>
      <c r="J1257" s="42">
        <f>IF(AND(ISNUMBER(F1257),ISNUMBER(H1257),F1257&gt;=Inputs!$C$68),F1257*H1257*Inputs!$C$69,"")</f>
      </c>
    </row>
    <row r="1258" spans="2:10" ht="15" customHeight="1" x14ac:dyDescent="0.2">
      <c r="B1258" s="39">
        <f t="shared" si="8"/>
      </c>
      <c r="C1258" s="40">
        <f>IF(Inputs!$C$60,Inputs!$C$11+(B1258-Inputs!$C$69)/Inputs!$C$70,"")</f>
      </c>
      <c r="D1258" s="15"/>
      <c r="E1258" s="15"/>
      <c r="F1258" s="11">
        <f t="shared" si="9"/>
      </c>
      <c r="G1258" s="22" cm="1">
        <f t="array" ref="G1258">IF(AND(Inputs!$C$60,Inputs!$C$61),INDEX(Utility_Rates!$C$29:$F$52,HOUR(C1258)+Inputs!$C$69,MATCH(INDEX(Utility_Rates!$K$6:$K$17,MONTH(C1258))&amp;IF(WEEKDAY(C1258,Inputs!$C$76)&lt;=Inputs!$C$74," weekday"," weekend"),Utility_Rates!$C$28:$F$28,Inputs!$C$68)),"")</f>
      </c>
      <c r="H1258" s="34"/>
      <c r="I1258" s="42">
        <f>IF(AND(ISNUMBER(D1258),ISNUMBER(H1258)),D1258*H1258*Inputs!$C$69,"")</f>
      </c>
      <c r="J1258" s="42">
        <f>IF(AND(ISNUMBER(F1258),ISNUMBER(H1258),F1258&gt;=Inputs!$C$68),F1258*H1258*Inputs!$C$69,"")</f>
      </c>
    </row>
    <row r="1259" spans="2:10" ht="15" customHeight="1" x14ac:dyDescent="0.2">
      <c r="B1259" s="39">
        <f t="shared" si="8"/>
      </c>
      <c r="C1259" s="40">
        <f>IF(Inputs!$C$60,Inputs!$C$11+(B1259-Inputs!$C$69)/Inputs!$C$70,"")</f>
      </c>
      <c r="D1259" s="15"/>
      <c r="E1259" s="15"/>
      <c r="F1259" s="11">
        <f t="shared" si="9"/>
      </c>
      <c r="G1259" s="22" cm="1">
        <f t="array" ref="G1259">IF(AND(Inputs!$C$60,Inputs!$C$61),INDEX(Utility_Rates!$C$29:$F$52,HOUR(C1259)+Inputs!$C$69,MATCH(INDEX(Utility_Rates!$K$6:$K$17,MONTH(C1259))&amp;IF(WEEKDAY(C1259,Inputs!$C$76)&lt;=Inputs!$C$74," weekday"," weekend"),Utility_Rates!$C$28:$F$28,Inputs!$C$68)),"")</f>
      </c>
      <c r="H1259" s="34"/>
      <c r="I1259" s="42">
        <f>IF(AND(ISNUMBER(D1259),ISNUMBER(H1259)),D1259*H1259*Inputs!$C$69,"")</f>
      </c>
      <c r="J1259" s="42">
        <f>IF(AND(ISNUMBER(F1259),ISNUMBER(H1259),F1259&gt;=Inputs!$C$68),F1259*H1259*Inputs!$C$69,"")</f>
      </c>
    </row>
    <row r="1260" spans="2:10" ht="15" customHeight="1" x14ac:dyDescent="0.2">
      <c r="B1260" s="39">
        <f t="shared" si="8"/>
      </c>
      <c r="C1260" s="40">
        <f>IF(Inputs!$C$60,Inputs!$C$11+(B1260-Inputs!$C$69)/Inputs!$C$70,"")</f>
      </c>
      <c r="D1260" s="15"/>
      <c r="E1260" s="15"/>
      <c r="F1260" s="11">
        <f t="shared" si="9"/>
      </c>
      <c r="G1260" s="22" cm="1">
        <f t="array" ref="G1260">IF(AND(Inputs!$C$60,Inputs!$C$61),INDEX(Utility_Rates!$C$29:$F$52,HOUR(C1260)+Inputs!$C$69,MATCH(INDEX(Utility_Rates!$K$6:$K$17,MONTH(C1260))&amp;IF(WEEKDAY(C1260,Inputs!$C$76)&lt;=Inputs!$C$74," weekday"," weekend"),Utility_Rates!$C$28:$F$28,Inputs!$C$68)),"")</f>
      </c>
      <c r="H1260" s="34"/>
      <c r="I1260" s="42">
        <f>IF(AND(ISNUMBER(D1260),ISNUMBER(H1260)),D1260*H1260*Inputs!$C$69,"")</f>
      </c>
      <c r="J1260" s="42">
        <f>IF(AND(ISNUMBER(F1260),ISNUMBER(H1260),F1260&gt;=Inputs!$C$68),F1260*H1260*Inputs!$C$69,"")</f>
      </c>
    </row>
    <row r="1261" spans="2:10" ht="15" customHeight="1" x14ac:dyDescent="0.2">
      <c r="B1261" s="39">
        <f t="shared" si="8"/>
      </c>
      <c r="C1261" s="40">
        <f>IF(Inputs!$C$60,Inputs!$C$11+(B1261-Inputs!$C$69)/Inputs!$C$70,"")</f>
      </c>
      <c r="D1261" s="15"/>
      <c r="E1261" s="15"/>
      <c r="F1261" s="11">
        <f t="shared" si="9"/>
      </c>
      <c r="G1261" s="22" cm="1">
        <f t="array" ref="G1261">IF(AND(Inputs!$C$60,Inputs!$C$61),INDEX(Utility_Rates!$C$29:$F$52,HOUR(C1261)+Inputs!$C$69,MATCH(INDEX(Utility_Rates!$K$6:$K$17,MONTH(C1261))&amp;IF(WEEKDAY(C1261,Inputs!$C$76)&lt;=Inputs!$C$74," weekday"," weekend"),Utility_Rates!$C$28:$F$28,Inputs!$C$68)),"")</f>
      </c>
      <c r="H1261" s="34"/>
      <c r="I1261" s="42">
        <f>IF(AND(ISNUMBER(D1261),ISNUMBER(H1261)),D1261*H1261*Inputs!$C$69,"")</f>
      </c>
      <c r="J1261" s="42">
        <f>IF(AND(ISNUMBER(F1261),ISNUMBER(H1261),F1261&gt;=Inputs!$C$68),F1261*H1261*Inputs!$C$69,"")</f>
      </c>
    </row>
    <row r="1262" spans="2:10" ht="15" customHeight="1" x14ac:dyDescent="0.2">
      <c r="B1262" s="39">
        <f t="shared" si="8"/>
      </c>
      <c r="C1262" s="40">
        <f>IF(Inputs!$C$60,Inputs!$C$11+(B1262-Inputs!$C$69)/Inputs!$C$70,"")</f>
      </c>
      <c r="D1262" s="15"/>
      <c r="E1262" s="15"/>
      <c r="F1262" s="11">
        <f t="shared" si="9"/>
      </c>
      <c r="G1262" s="22" cm="1">
        <f t="array" ref="G1262">IF(AND(Inputs!$C$60,Inputs!$C$61),INDEX(Utility_Rates!$C$29:$F$52,HOUR(C1262)+Inputs!$C$69,MATCH(INDEX(Utility_Rates!$K$6:$K$17,MONTH(C1262))&amp;IF(WEEKDAY(C1262,Inputs!$C$76)&lt;=Inputs!$C$74," weekday"," weekend"),Utility_Rates!$C$28:$F$28,Inputs!$C$68)),"")</f>
      </c>
      <c r="H1262" s="34"/>
      <c r="I1262" s="42">
        <f>IF(AND(ISNUMBER(D1262),ISNUMBER(H1262)),D1262*H1262*Inputs!$C$69,"")</f>
      </c>
      <c r="J1262" s="42">
        <f>IF(AND(ISNUMBER(F1262),ISNUMBER(H1262),F1262&gt;=Inputs!$C$68),F1262*H1262*Inputs!$C$69,"")</f>
      </c>
    </row>
    <row r="1263" spans="2:10" ht="15" customHeight="1" x14ac:dyDescent="0.2">
      <c r="B1263" s="39">
        <f t="shared" si="8"/>
      </c>
      <c r="C1263" s="40">
        <f>IF(Inputs!$C$60,Inputs!$C$11+(B1263-Inputs!$C$69)/Inputs!$C$70,"")</f>
      </c>
      <c r="D1263" s="15"/>
      <c r="E1263" s="15"/>
      <c r="F1263" s="11">
        <f t="shared" si="9"/>
      </c>
      <c r="G1263" s="22" cm="1">
        <f t="array" ref="G1263">IF(AND(Inputs!$C$60,Inputs!$C$61),INDEX(Utility_Rates!$C$29:$F$52,HOUR(C1263)+Inputs!$C$69,MATCH(INDEX(Utility_Rates!$K$6:$K$17,MONTH(C1263))&amp;IF(WEEKDAY(C1263,Inputs!$C$76)&lt;=Inputs!$C$74," weekday"," weekend"),Utility_Rates!$C$28:$F$28,Inputs!$C$68)),"")</f>
      </c>
      <c r="H1263" s="34"/>
      <c r="I1263" s="42">
        <f>IF(AND(ISNUMBER(D1263),ISNUMBER(H1263)),D1263*H1263*Inputs!$C$69,"")</f>
      </c>
      <c r="J1263" s="42">
        <f>IF(AND(ISNUMBER(F1263),ISNUMBER(H1263),F1263&gt;=Inputs!$C$68),F1263*H1263*Inputs!$C$69,"")</f>
      </c>
    </row>
    <row r="1264" spans="2:10" ht="15" customHeight="1" x14ac:dyDescent="0.2">
      <c r="B1264" s="39">
        <f t="shared" si="8"/>
      </c>
      <c r="C1264" s="40">
        <f>IF(Inputs!$C$60,Inputs!$C$11+(B1264-Inputs!$C$69)/Inputs!$C$70,"")</f>
      </c>
      <c r="D1264" s="15"/>
      <c r="E1264" s="15"/>
      <c r="F1264" s="11">
        <f t="shared" si="9"/>
      </c>
      <c r="G1264" s="22" cm="1">
        <f t="array" ref="G1264">IF(AND(Inputs!$C$60,Inputs!$C$61),INDEX(Utility_Rates!$C$29:$F$52,HOUR(C1264)+Inputs!$C$69,MATCH(INDEX(Utility_Rates!$K$6:$K$17,MONTH(C1264))&amp;IF(WEEKDAY(C1264,Inputs!$C$76)&lt;=Inputs!$C$74," weekday"," weekend"),Utility_Rates!$C$28:$F$28,Inputs!$C$68)),"")</f>
      </c>
      <c r="H1264" s="34"/>
      <c r="I1264" s="42">
        <f>IF(AND(ISNUMBER(D1264),ISNUMBER(H1264)),D1264*H1264*Inputs!$C$69,"")</f>
      </c>
      <c r="J1264" s="42">
        <f>IF(AND(ISNUMBER(F1264),ISNUMBER(H1264),F1264&gt;=Inputs!$C$68),F1264*H1264*Inputs!$C$69,"")</f>
      </c>
    </row>
    <row r="1265" spans="2:10" ht="15" customHeight="1" x14ac:dyDescent="0.2">
      <c r="B1265" s="39">
        <f t="shared" si="8"/>
      </c>
      <c r="C1265" s="40">
        <f>IF(Inputs!$C$60,Inputs!$C$11+(B1265-Inputs!$C$69)/Inputs!$C$70,"")</f>
      </c>
      <c r="D1265" s="15"/>
      <c r="E1265" s="15"/>
      <c r="F1265" s="11">
        <f t="shared" si="9"/>
      </c>
      <c r="G1265" s="22" cm="1">
        <f t="array" ref="G1265">IF(AND(Inputs!$C$60,Inputs!$C$61),INDEX(Utility_Rates!$C$29:$F$52,HOUR(C1265)+Inputs!$C$69,MATCH(INDEX(Utility_Rates!$K$6:$K$17,MONTH(C1265))&amp;IF(WEEKDAY(C1265,Inputs!$C$76)&lt;=Inputs!$C$74," weekday"," weekend"),Utility_Rates!$C$28:$F$28,Inputs!$C$68)),"")</f>
      </c>
      <c r="H1265" s="34"/>
      <c r="I1265" s="42">
        <f>IF(AND(ISNUMBER(D1265),ISNUMBER(H1265)),D1265*H1265*Inputs!$C$69,"")</f>
      </c>
      <c r="J1265" s="42">
        <f>IF(AND(ISNUMBER(F1265),ISNUMBER(H1265),F1265&gt;=Inputs!$C$68),F1265*H1265*Inputs!$C$69,"")</f>
      </c>
    </row>
    <row r="1266" spans="2:10" ht="15" customHeight="1" x14ac:dyDescent="0.2">
      <c r="B1266" s="39">
        <f t="shared" si="8"/>
      </c>
      <c r="C1266" s="40">
        <f>IF(Inputs!$C$60,Inputs!$C$11+(B1266-Inputs!$C$69)/Inputs!$C$70,"")</f>
      </c>
      <c r="D1266" s="15"/>
      <c r="E1266" s="15"/>
      <c r="F1266" s="11">
        <f t="shared" si="9"/>
      </c>
      <c r="G1266" s="22" cm="1">
        <f t="array" ref="G1266">IF(AND(Inputs!$C$60,Inputs!$C$61),INDEX(Utility_Rates!$C$29:$F$52,HOUR(C1266)+Inputs!$C$69,MATCH(INDEX(Utility_Rates!$K$6:$K$17,MONTH(C1266))&amp;IF(WEEKDAY(C1266,Inputs!$C$76)&lt;=Inputs!$C$74," weekday"," weekend"),Utility_Rates!$C$28:$F$28,Inputs!$C$68)),"")</f>
      </c>
      <c r="H1266" s="34"/>
      <c r="I1266" s="42">
        <f>IF(AND(ISNUMBER(D1266),ISNUMBER(H1266)),D1266*H1266*Inputs!$C$69,"")</f>
      </c>
      <c r="J1266" s="42">
        <f>IF(AND(ISNUMBER(F1266),ISNUMBER(H1266),F1266&gt;=Inputs!$C$68),F1266*H1266*Inputs!$C$69,"")</f>
      </c>
    </row>
    <row r="1267" spans="2:10" ht="15" customHeight="1" x14ac:dyDescent="0.2">
      <c r="B1267" s="39">
        <f t="shared" si="8"/>
      </c>
      <c r="C1267" s="40">
        <f>IF(Inputs!$C$60,Inputs!$C$11+(B1267-Inputs!$C$69)/Inputs!$C$70,"")</f>
      </c>
      <c r="D1267" s="15"/>
      <c r="E1267" s="15"/>
      <c r="F1267" s="11">
        <f t="shared" si="9"/>
      </c>
      <c r="G1267" s="22" cm="1">
        <f t="array" ref="G1267">IF(AND(Inputs!$C$60,Inputs!$C$61),INDEX(Utility_Rates!$C$29:$F$52,HOUR(C1267)+Inputs!$C$69,MATCH(INDEX(Utility_Rates!$K$6:$K$17,MONTH(C1267))&amp;IF(WEEKDAY(C1267,Inputs!$C$76)&lt;=Inputs!$C$74," weekday"," weekend"),Utility_Rates!$C$28:$F$28,Inputs!$C$68)),"")</f>
      </c>
      <c r="H1267" s="34"/>
      <c r="I1267" s="42">
        <f>IF(AND(ISNUMBER(D1267),ISNUMBER(H1267)),D1267*H1267*Inputs!$C$69,"")</f>
      </c>
      <c r="J1267" s="42">
        <f>IF(AND(ISNUMBER(F1267),ISNUMBER(H1267),F1267&gt;=Inputs!$C$68),F1267*H1267*Inputs!$C$69,"")</f>
      </c>
    </row>
    <row r="1268" spans="2:10" ht="15" customHeight="1" x14ac:dyDescent="0.2">
      <c r="B1268" s="39">
        <f t="shared" si="8"/>
      </c>
      <c r="C1268" s="40">
        <f>IF(Inputs!$C$60,Inputs!$C$11+(B1268-Inputs!$C$69)/Inputs!$C$70,"")</f>
      </c>
      <c r="D1268" s="15"/>
      <c r="E1268" s="15"/>
      <c r="F1268" s="11">
        <f t="shared" si="9"/>
      </c>
      <c r="G1268" s="22" cm="1">
        <f t="array" ref="G1268">IF(AND(Inputs!$C$60,Inputs!$C$61),INDEX(Utility_Rates!$C$29:$F$52,HOUR(C1268)+Inputs!$C$69,MATCH(INDEX(Utility_Rates!$K$6:$K$17,MONTH(C1268))&amp;IF(WEEKDAY(C1268,Inputs!$C$76)&lt;=Inputs!$C$74," weekday"," weekend"),Utility_Rates!$C$28:$F$28,Inputs!$C$68)),"")</f>
      </c>
      <c r="H1268" s="34"/>
      <c r="I1268" s="42">
        <f>IF(AND(ISNUMBER(D1268),ISNUMBER(H1268)),D1268*H1268*Inputs!$C$69,"")</f>
      </c>
      <c r="J1268" s="42">
        <f>IF(AND(ISNUMBER(F1268),ISNUMBER(H1268),F1268&gt;=Inputs!$C$68),F1268*H1268*Inputs!$C$69,"")</f>
      </c>
    </row>
    <row r="1269" spans="2:10" ht="15" customHeight="1" x14ac:dyDescent="0.2">
      <c r="B1269" s="39">
        <f t="shared" si="8"/>
      </c>
      <c r="C1269" s="40">
        <f>IF(Inputs!$C$60,Inputs!$C$11+(B1269-Inputs!$C$69)/Inputs!$C$70,"")</f>
      </c>
      <c r="D1269" s="15"/>
      <c r="E1269" s="15"/>
      <c r="F1269" s="11">
        <f t="shared" si="9"/>
      </c>
      <c r="G1269" s="22" cm="1">
        <f t="array" ref="G1269">IF(AND(Inputs!$C$60,Inputs!$C$61),INDEX(Utility_Rates!$C$29:$F$52,HOUR(C1269)+Inputs!$C$69,MATCH(INDEX(Utility_Rates!$K$6:$K$17,MONTH(C1269))&amp;IF(WEEKDAY(C1269,Inputs!$C$76)&lt;=Inputs!$C$74," weekday"," weekend"),Utility_Rates!$C$28:$F$28,Inputs!$C$68)),"")</f>
      </c>
      <c r="H1269" s="34"/>
      <c r="I1269" s="42">
        <f>IF(AND(ISNUMBER(D1269),ISNUMBER(H1269)),D1269*H1269*Inputs!$C$69,"")</f>
      </c>
      <c r="J1269" s="42">
        <f>IF(AND(ISNUMBER(F1269),ISNUMBER(H1269),F1269&gt;=Inputs!$C$68),F1269*H1269*Inputs!$C$69,"")</f>
      </c>
    </row>
    <row r="1270" spans="2:10" ht="15" customHeight="1" x14ac:dyDescent="0.2">
      <c r="B1270" s="39">
        <f t="shared" si="8"/>
      </c>
      <c r="C1270" s="40">
        <f>IF(Inputs!$C$60,Inputs!$C$11+(B1270-Inputs!$C$69)/Inputs!$C$70,"")</f>
      </c>
      <c r="D1270" s="15"/>
      <c r="E1270" s="15"/>
      <c r="F1270" s="11">
        <f t="shared" si="9"/>
      </c>
      <c r="G1270" s="22" cm="1">
        <f t="array" ref="G1270">IF(AND(Inputs!$C$60,Inputs!$C$61),INDEX(Utility_Rates!$C$29:$F$52,HOUR(C1270)+Inputs!$C$69,MATCH(INDEX(Utility_Rates!$K$6:$K$17,MONTH(C1270))&amp;IF(WEEKDAY(C1270,Inputs!$C$76)&lt;=Inputs!$C$74," weekday"," weekend"),Utility_Rates!$C$28:$F$28,Inputs!$C$68)),"")</f>
      </c>
      <c r="H1270" s="34"/>
      <c r="I1270" s="42">
        <f>IF(AND(ISNUMBER(D1270),ISNUMBER(H1270)),D1270*H1270*Inputs!$C$69,"")</f>
      </c>
      <c r="J1270" s="42">
        <f>IF(AND(ISNUMBER(F1270),ISNUMBER(H1270),F1270&gt;=Inputs!$C$68),F1270*H1270*Inputs!$C$69,"")</f>
      </c>
    </row>
    <row r="1271" spans="2:10" ht="15" customHeight="1" x14ac:dyDescent="0.2">
      <c r="B1271" s="39">
        <f t="shared" si="8"/>
      </c>
      <c r="C1271" s="40">
        <f>IF(Inputs!$C$60,Inputs!$C$11+(B1271-Inputs!$C$69)/Inputs!$C$70,"")</f>
      </c>
      <c r="D1271" s="15"/>
      <c r="E1271" s="15"/>
      <c r="F1271" s="11">
        <f t="shared" si="9"/>
      </c>
      <c r="G1271" s="22" cm="1">
        <f t="array" ref="G1271">IF(AND(Inputs!$C$60,Inputs!$C$61),INDEX(Utility_Rates!$C$29:$F$52,HOUR(C1271)+Inputs!$C$69,MATCH(INDEX(Utility_Rates!$K$6:$K$17,MONTH(C1271))&amp;IF(WEEKDAY(C1271,Inputs!$C$76)&lt;=Inputs!$C$74," weekday"," weekend"),Utility_Rates!$C$28:$F$28,Inputs!$C$68)),"")</f>
      </c>
      <c r="H1271" s="34"/>
      <c r="I1271" s="42">
        <f>IF(AND(ISNUMBER(D1271),ISNUMBER(H1271)),D1271*H1271*Inputs!$C$69,"")</f>
      </c>
      <c r="J1271" s="42">
        <f>IF(AND(ISNUMBER(F1271),ISNUMBER(H1271),F1271&gt;=Inputs!$C$68),F1271*H1271*Inputs!$C$69,"")</f>
      </c>
    </row>
    <row r="1272" spans="2:10" ht="15" customHeight="1" x14ac:dyDescent="0.2">
      <c r="B1272" s="39">
        <f t="shared" si="8"/>
      </c>
      <c r="C1272" s="40">
        <f>IF(Inputs!$C$60,Inputs!$C$11+(B1272-Inputs!$C$69)/Inputs!$C$70,"")</f>
      </c>
      <c r="D1272" s="15"/>
      <c r="E1272" s="15"/>
      <c r="F1272" s="11">
        <f t="shared" si="9"/>
      </c>
      <c r="G1272" s="22" cm="1">
        <f t="array" ref="G1272">IF(AND(Inputs!$C$60,Inputs!$C$61),INDEX(Utility_Rates!$C$29:$F$52,HOUR(C1272)+Inputs!$C$69,MATCH(INDEX(Utility_Rates!$K$6:$K$17,MONTH(C1272))&amp;IF(WEEKDAY(C1272,Inputs!$C$76)&lt;=Inputs!$C$74," weekday"," weekend"),Utility_Rates!$C$28:$F$28,Inputs!$C$68)),"")</f>
      </c>
      <c r="H1272" s="34"/>
      <c r="I1272" s="42">
        <f>IF(AND(ISNUMBER(D1272),ISNUMBER(H1272)),D1272*H1272*Inputs!$C$69,"")</f>
      </c>
      <c r="J1272" s="42">
        <f>IF(AND(ISNUMBER(F1272),ISNUMBER(H1272),F1272&gt;=Inputs!$C$68),F1272*H1272*Inputs!$C$69,"")</f>
      </c>
    </row>
    <row r="1273" spans="2:10" ht="15" customHeight="1" x14ac:dyDescent="0.2">
      <c r="B1273" s="39">
        <f t="shared" si="8"/>
      </c>
      <c r="C1273" s="40">
        <f>IF(Inputs!$C$60,Inputs!$C$11+(B1273-Inputs!$C$69)/Inputs!$C$70,"")</f>
      </c>
      <c r="D1273" s="15"/>
      <c r="E1273" s="15"/>
      <c r="F1273" s="11">
        <f t="shared" si="9"/>
      </c>
      <c r="G1273" s="22" cm="1">
        <f t="array" ref="G1273">IF(AND(Inputs!$C$60,Inputs!$C$61),INDEX(Utility_Rates!$C$29:$F$52,HOUR(C1273)+Inputs!$C$69,MATCH(INDEX(Utility_Rates!$K$6:$K$17,MONTH(C1273))&amp;IF(WEEKDAY(C1273,Inputs!$C$76)&lt;=Inputs!$C$74," weekday"," weekend"),Utility_Rates!$C$28:$F$28,Inputs!$C$68)),"")</f>
      </c>
      <c r="H1273" s="34"/>
      <c r="I1273" s="42">
        <f>IF(AND(ISNUMBER(D1273),ISNUMBER(H1273)),D1273*H1273*Inputs!$C$69,"")</f>
      </c>
      <c r="J1273" s="42">
        <f>IF(AND(ISNUMBER(F1273),ISNUMBER(H1273),F1273&gt;=Inputs!$C$68),F1273*H1273*Inputs!$C$69,"")</f>
      </c>
    </row>
    <row r="1274" spans="2:10" ht="15" customHeight="1" x14ac:dyDescent="0.2">
      <c r="B1274" s="39">
        <f t="shared" si="8"/>
      </c>
      <c r="C1274" s="40">
        <f>IF(Inputs!$C$60,Inputs!$C$11+(B1274-Inputs!$C$69)/Inputs!$C$70,"")</f>
      </c>
      <c r="D1274" s="15"/>
      <c r="E1274" s="15"/>
      <c r="F1274" s="11">
        <f t="shared" si="9"/>
      </c>
      <c r="G1274" s="22" cm="1">
        <f t="array" ref="G1274">IF(AND(Inputs!$C$60,Inputs!$C$61),INDEX(Utility_Rates!$C$29:$F$52,HOUR(C1274)+Inputs!$C$69,MATCH(INDEX(Utility_Rates!$K$6:$K$17,MONTH(C1274))&amp;IF(WEEKDAY(C1274,Inputs!$C$76)&lt;=Inputs!$C$74," weekday"," weekend"),Utility_Rates!$C$28:$F$28,Inputs!$C$68)),"")</f>
      </c>
      <c r="H1274" s="34"/>
      <c r="I1274" s="42">
        <f>IF(AND(ISNUMBER(D1274),ISNUMBER(H1274)),D1274*H1274*Inputs!$C$69,"")</f>
      </c>
      <c r="J1274" s="42">
        <f>IF(AND(ISNUMBER(F1274),ISNUMBER(H1274),F1274&gt;=Inputs!$C$68),F1274*H1274*Inputs!$C$69,"")</f>
      </c>
    </row>
    <row r="1275" spans="2:10" ht="15" customHeight="1" x14ac:dyDescent="0.2">
      <c r="B1275" s="39">
        <f t="shared" si="8"/>
      </c>
      <c r="C1275" s="40">
        <f>IF(Inputs!$C$60,Inputs!$C$11+(B1275-Inputs!$C$69)/Inputs!$C$70,"")</f>
      </c>
      <c r="D1275" s="15"/>
      <c r="E1275" s="15"/>
      <c r="F1275" s="11">
        <f t="shared" si="9"/>
      </c>
      <c r="G1275" s="22" cm="1">
        <f t="array" ref="G1275">IF(AND(Inputs!$C$60,Inputs!$C$61),INDEX(Utility_Rates!$C$29:$F$52,HOUR(C1275)+Inputs!$C$69,MATCH(INDEX(Utility_Rates!$K$6:$K$17,MONTH(C1275))&amp;IF(WEEKDAY(C1275,Inputs!$C$76)&lt;=Inputs!$C$74," weekday"," weekend"),Utility_Rates!$C$28:$F$28,Inputs!$C$68)),"")</f>
      </c>
      <c r="H1275" s="34"/>
      <c r="I1275" s="42">
        <f>IF(AND(ISNUMBER(D1275),ISNUMBER(H1275)),D1275*H1275*Inputs!$C$69,"")</f>
      </c>
      <c r="J1275" s="42">
        <f>IF(AND(ISNUMBER(F1275),ISNUMBER(H1275),F1275&gt;=Inputs!$C$68),F1275*H1275*Inputs!$C$69,"")</f>
      </c>
    </row>
    <row r="1276" spans="2:10" ht="15" customHeight="1" x14ac:dyDescent="0.2">
      <c r="B1276" s="39">
        <f t="shared" si="8"/>
      </c>
      <c r="C1276" s="40">
        <f>IF(Inputs!$C$60,Inputs!$C$11+(B1276-Inputs!$C$69)/Inputs!$C$70,"")</f>
      </c>
      <c r="D1276" s="15"/>
      <c r="E1276" s="15"/>
      <c r="F1276" s="11">
        <f t="shared" si="9"/>
      </c>
      <c r="G1276" s="22" cm="1">
        <f t="array" ref="G1276">IF(AND(Inputs!$C$60,Inputs!$C$61),INDEX(Utility_Rates!$C$29:$F$52,HOUR(C1276)+Inputs!$C$69,MATCH(INDEX(Utility_Rates!$K$6:$K$17,MONTH(C1276))&amp;IF(WEEKDAY(C1276,Inputs!$C$76)&lt;=Inputs!$C$74," weekday"," weekend"),Utility_Rates!$C$28:$F$28,Inputs!$C$68)),"")</f>
      </c>
      <c r="H1276" s="34"/>
      <c r="I1276" s="42">
        <f>IF(AND(ISNUMBER(D1276),ISNUMBER(H1276)),D1276*H1276*Inputs!$C$69,"")</f>
      </c>
      <c r="J1276" s="42">
        <f>IF(AND(ISNUMBER(F1276),ISNUMBER(H1276),F1276&gt;=Inputs!$C$68),F1276*H1276*Inputs!$C$69,"")</f>
      </c>
    </row>
    <row r="1277" spans="2:10" ht="15" customHeight="1" x14ac:dyDescent="0.2">
      <c r="B1277" s="39">
        <f t="shared" si="8"/>
      </c>
      <c r="C1277" s="40">
        <f>IF(Inputs!$C$60,Inputs!$C$11+(B1277-Inputs!$C$69)/Inputs!$C$70,"")</f>
      </c>
      <c r="D1277" s="15"/>
      <c r="E1277" s="15"/>
      <c r="F1277" s="11">
        <f t="shared" si="9"/>
      </c>
      <c r="G1277" s="22" cm="1">
        <f t="array" ref="G1277">IF(AND(Inputs!$C$60,Inputs!$C$61),INDEX(Utility_Rates!$C$29:$F$52,HOUR(C1277)+Inputs!$C$69,MATCH(INDEX(Utility_Rates!$K$6:$K$17,MONTH(C1277))&amp;IF(WEEKDAY(C1277,Inputs!$C$76)&lt;=Inputs!$C$74," weekday"," weekend"),Utility_Rates!$C$28:$F$28,Inputs!$C$68)),"")</f>
      </c>
      <c r="H1277" s="34"/>
      <c r="I1277" s="42">
        <f>IF(AND(ISNUMBER(D1277),ISNUMBER(H1277)),D1277*H1277*Inputs!$C$69,"")</f>
      </c>
      <c r="J1277" s="42">
        <f>IF(AND(ISNUMBER(F1277),ISNUMBER(H1277),F1277&gt;=Inputs!$C$68),F1277*H1277*Inputs!$C$69,"")</f>
      </c>
    </row>
    <row r="1278" spans="2:10" ht="15" customHeight="1" x14ac:dyDescent="0.2">
      <c r="B1278" s="39">
        <f t="shared" si="8"/>
      </c>
      <c r="C1278" s="40">
        <f>IF(Inputs!$C$60,Inputs!$C$11+(B1278-Inputs!$C$69)/Inputs!$C$70,"")</f>
      </c>
      <c r="D1278" s="15"/>
      <c r="E1278" s="15"/>
      <c r="F1278" s="11">
        <f t="shared" si="9"/>
      </c>
      <c r="G1278" s="22" cm="1">
        <f t="array" ref="G1278">IF(AND(Inputs!$C$60,Inputs!$C$61),INDEX(Utility_Rates!$C$29:$F$52,HOUR(C1278)+Inputs!$C$69,MATCH(INDEX(Utility_Rates!$K$6:$K$17,MONTH(C1278))&amp;IF(WEEKDAY(C1278,Inputs!$C$76)&lt;=Inputs!$C$74," weekday"," weekend"),Utility_Rates!$C$28:$F$28,Inputs!$C$68)),"")</f>
      </c>
      <c r="H1278" s="34"/>
      <c r="I1278" s="42">
        <f>IF(AND(ISNUMBER(D1278),ISNUMBER(H1278)),D1278*H1278*Inputs!$C$69,"")</f>
      </c>
      <c r="J1278" s="42">
        <f>IF(AND(ISNUMBER(F1278),ISNUMBER(H1278),F1278&gt;=Inputs!$C$68),F1278*H1278*Inputs!$C$69,"")</f>
      </c>
    </row>
    <row r="1279" spans="2:10" ht="15" customHeight="1" x14ac:dyDescent="0.2">
      <c r="B1279" s="39">
        <f t="shared" si="8"/>
      </c>
      <c r="C1279" s="40">
        <f>IF(Inputs!$C$60,Inputs!$C$11+(B1279-Inputs!$C$69)/Inputs!$C$70,"")</f>
      </c>
      <c r="D1279" s="15"/>
      <c r="E1279" s="15"/>
      <c r="F1279" s="11">
        <f t="shared" si="9"/>
      </c>
      <c r="G1279" s="22" cm="1">
        <f t="array" ref="G1279">IF(AND(Inputs!$C$60,Inputs!$C$61),INDEX(Utility_Rates!$C$29:$F$52,HOUR(C1279)+Inputs!$C$69,MATCH(INDEX(Utility_Rates!$K$6:$K$17,MONTH(C1279))&amp;IF(WEEKDAY(C1279,Inputs!$C$76)&lt;=Inputs!$C$74," weekday"," weekend"),Utility_Rates!$C$28:$F$28,Inputs!$C$68)),"")</f>
      </c>
      <c r="H1279" s="34"/>
      <c r="I1279" s="42">
        <f>IF(AND(ISNUMBER(D1279),ISNUMBER(H1279)),D1279*H1279*Inputs!$C$69,"")</f>
      </c>
      <c r="J1279" s="42">
        <f>IF(AND(ISNUMBER(F1279),ISNUMBER(H1279),F1279&gt;=Inputs!$C$68),F1279*H1279*Inputs!$C$69,"")</f>
      </c>
    </row>
    <row r="1280" spans="2:10" ht="15" customHeight="1" x14ac:dyDescent="0.2">
      <c r="B1280" s="39">
        <f t="shared" si="8"/>
      </c>
      <c r="C1280" s="40">
        <f>IF(Inputs!$C$60,Inputs!$C$11+(B1280-Inputs!$C$69)/Inputs!$C$70,"")</f>
      </c>
      <c r="D1280" s="15"/>
      <c r="E1280" s="15"/>
      <c r="F1280" s="11">
        <f t="shared" si="9"/>
      </c>
      <c r="G1280" s="22" cm="1">
        <f t="array" ref="G1280">IF(AND(Inputs!$C$60,Inputs!$C$61),INDEX(Utility_Rates!$C$29:$F$52,HOUR(C1280)+Inputs!$C$69,MATCH(INDEX(Utility_Rates!$K$6:$K$17,MONTH(C1280))&amp;IF(WEEKDAY(C1280,Inputs!$C$76)&lt;=Inputs!$C$74," weekday"," weekend"),Utility_Rates!$C$28:$F$28,Inputs!$C$68)),"")</f>
      </c>
      <c r="H1280" s="34"/>
      <c r="I1280" s="42">
        <f>IF(AND(ISNUMBER(D1280),ISNUMBER(H1280)),D1280*H1280*Inputs!$C$69,"")</f>
      </c>
      <c r="J1280" s="42">
        <f>IF(AND(ISNUMBER(F1280),ISNUMBER(H1280),F1280&gt;=Inputs!$C$68),F1280*H1280*Inputs!$C$69,"")</f>
      </c>
    </row>
    <row r="1281" spans="2:10" ht="15" customHeight="1" x14ac:dyDescent="0.2">
      <c r="B1281" s="39">
        <f t="shared" ref="B1281:B1535" si="10">ROW()-ROW($B$5)</f>
      </c>
      <c r="C1281" s="40">
        <f>IF(Inputs!$C$60,Inputs!$C$11+(B1281-Inputs!$C$69)/Inputs!$C$70,"")</f>
      </c>
      <c r="D1281" s="15"/>
      <c r="E1281" s="15"/>
      <c r="F1281" s="11">
        <f t="shared" ref="F1281:F1535" si="11">IF(COUNT(D1281:E1281)=COLUMNS(D1281:E1281),D1281-E1281,"")</f>
      </c>
      <c r="G1281" s="22" cm="1">
        <f t="array" ref="G1281">IF(AND(Inputs!$C$60,Inputs!$C$61),INDEX(Utility_Rates!$C$29:$F$52,HOUR(C1281)+Inputs!$C$69,MATCH(INDEX(Utility_Rates!$K$6:$K$17,MONTH(C1281))&amp;IF(WEEKDAY(C1281,Inputs!$C$76)&lt;=Inputs!$C$74," weekday"," weekend"),Utility_Rates!$C$28:$F$28,Inputs!$C$68)),"")</f>
      </c>
      <c r="H1281" s="34"/>
      <c r="I1281" s="42">
        <f>IF(AND(ISNUMBER(D1281),ISNUMBER(H1281)),D1281*H1281*Inputs!$C$69,"")</f>
      </c>
      <c r="J1281" s="42">
        <f>IF(AND(ISNUMBER(F1281),ISNUMBER(H1281),F1281&gt;=Inputs!$C$68),F1281*H1281*Inputs!$C$69,"")</f>
      </c>
    </row>
    <row r="1282" spans="2:10" ht="15" customHeight="1" x14ac:dyDescent="0.2">
      <c r="B1282" s="39">
        <f t="shared" si="10"/>
      </c>
      <c r="C1282" s="40">
        <f>IF(Inputs!$C$60,Inputs!$C$11+(B1282-Inputs!$C$69)/Inputs!$C$70,"")</f>
      </c>
      <c r="D1282" s="15"/>
      <c r="E1282" s="15"/>
      <c r="F1282" s="11">
        <f t="shared" si="11"/>
      </c>
      <c r="G1282" s="22" cm="1">
        <f t="array" ref="G1282">IF(AND(Inputs!$C$60,Inputs!$C$61),INDEX(Utility_Rates!$C$29:$F$52,HOUR(C1282)+Inputs!$C$69,MATCH(INDEX(Utility_Rates!$K$6:$K$17,MONTH(C1282))&amp;IF(WEEKDAY(C1282,Inputs!$C$76)&lt;=Inputs!$C$74," weekday"," weekend"),Utility_Rates!$C$28:$F$28,Inputs!$C$68)),"")</f>
      </c>
      <c r="H1282" s="34"/>
      <c r="I1282" s="42">
        <f>IF(AND(ISNUMBER(D1282),ISNUMBER(H1282)),D1282*H1282*Inputs!$C$69,"")</f>
      </c>
      <c r="J1282" s="42">
        <f>IF(AND(ISNUMBER(F1282),ISNUMBER(H1282),F1282&gt;=Inputs!$C$68),F1282*H1282*Inputs!$C$69,"")</f>
      </c>
    </row>
    <row r="1283" spans="2:10" ht="15" customHeight="1" x14ac:dyDescent="0.2">
      <c r="B1283" s="39">
        <f t="shared" si="10"/>
      </c>
      <c r="C1283" s="40">
        <f>IF(Inputs!$C$60,Inputs!$C$11+(B1283-Inputs!$C$69)/Inputs!$C$70,"")</f>
      </c>
      <c r="D1283" s="15"/>
      <c r="E1283" s="15"/>
      <c r="F1283" s="11">
        <f t="shared" si="11"/>
      </c>
      <c r="G1283" s="22" cm="1">
        <f t="array" ref="G1283">IF(AND(Inputs!$C$60,Inputs!$C$61),INDEX(Utility_Rates!$C$29:$F$52,HOUR(C1283)+Inputs!$C$69,MATCH(INDEX(Utility_Rates!$K$6:$K$17,MONTH(C1283))&amp;IF(WEEKDAY(C1283,Inputs!$C$76)&lt;=Inputs!$C$74," weekday"," weekend"),Utility_Rates!$C$28:$F$28,Inputs!$C$68)),"")</f>
      </c>
      <c r="H1283" s="34"/>
      <c r="I1283" s="42">
        <f>IF(AND(ISNUMBER(D1283),ISNUMBER(H1283)),D1283*H1283*Inputs!$C$69,"")</f>
      </c>
      <c r="J1283" s="42">
        <f>IF(AND(ISNUMBER(F1283),ISNUMBER(H1283),F1283&gt;=Inputs!$C$68),F1283*H1283*Inputs!$C$69,"")</f>
      </c>
    </row>
    <row r="1284" spans="2:10" ht="15" customHeight="1" x14ac:dyDescent="0.2">
      <c r="B1284" s="39">
        <f t="shared" si="10"/>
      </c>
      <c r="C1284" s="40">
        <f>IF(Inputs!$C$60,Inputs!$C$11+(B1284-Inputs!$C$69)/Inputs!$C$70,"")</f>
      </c>
      <c r="D1284" s="15"/>
      <c r="E1284" s="15"/>
      <c r="F1284" s="11">
        <f t="shared" si="11"/>
      </c>
      <c r="G1284" s="22" cm="1">
        <f t="array" ref="G1284">IF(AND(Inputs!$C$60,Inputs!$C$61),INDEX(Utility_Rates!$C$29:$F$52,HOUR(C1284)+Inputs!$C$69,MATCH(INDEX(Utility_Rates!$K$6:$K$17,MONTH(C1284))&amp;IF(WEEKDAY(C1284,Inputs!$C$76)&lt;=Inputs!$C$74," weekday"," weekend"),Utility_Rates!$C$28:$F$28,Inputs!$C$68)),"")</f>
      </c>
      <c r="H1284" s="34"/>
      <c r="I1284" s="42">
        <f>IF(AND(ISNUMBER(D1284),ISNUMBER(H1284)),D1284*H1284*Inputs!$C$69,"")</f>
      </c>
      <c r="J1284" s="42">
        <f>IF(AND(ISNUMBER(F1284),ISNUMBER(H1284),F1284&gt;=Inputs!$C$68),F1284*H1284*Inputs!$C$69,"")</f>
      </c>
    </row>
    <row r="1285" spans="2:10" ht="15" customHeight="1" x14ac:dyDescent="0.2">
      <c r="B1285" s="39">
        <f t="shared" si="10"/>
      </c>
      <c r="C1285" s="40">
        <f>IF(Inputs!$C$60,Inputs!$C$11+(B1285-Inputs!$C$69)/Inputs!$C$70,"")</f>
      </c>
      <c r="D1285" s="15"/>
      <c r="E1285" s="15"/>
      <c r="F1285" s="11">
        <f t="shared" si="11"/>
      </c>
      <c r="G1285" s="22" cm="1">
        <f t="array" ref="G1285">IF(AND(Inputs!$C$60,Inputs!$C$61),INDEX(Utility_Rates!$C$29:$F$52,HOUR(C1285)+Inputs!$C$69,MATCH(INDEX(Utility_Rates!$K$6:$K$17,MONTH(C1285))&amp;IF(WEEKDAY(C1285,Inputs!$C$76)&lt;=Inputs!$C$74," weekday"," weekend"),Utility_Rates!$C$28:$F$28,Inputs!$C$68)),"")</f>
      </c>
      <c r="H1285" s="34"/>
      <c r="I1285" s="42">
        <f>IF(AND(ISNUMBER(D1285),ISNUMBER(H1285)),D1285*H1285*Inputs!$C$69,"")</f>
      </c>
      <c r="J1285" s="42">
        <f>IF(AND(ISNUMBER(F1285),ISNUMBER(H1285),F1285&gt;=Inputs!$C$68),F1285*H1285*Inputs!$C$69,"")</f>
      </c>
    </row>
    <row r="1286" spans="2:10" ht="15" customHeight="1" x14ac:dyDescent="0.2">
      <c r="B1286" s="39">
        <f t="shared" si="10"/>
      </c>
      <c r="C1286" s="40">
        <f>IF(Inputs!$C$60,Inputs!$C$11+(B1286-Inputs!$C$69)/Inputs!$C$70,"")</f>
      </c>
      <c r="D1286" s="15"/>
      <c r="E1286" s="15"/>
      <c r="F1286" s="11">
        <f t="shared" si="11"/>
      </c>
      <c r="G1286" s="22" cm="1">
        <f t="array" ref="G1286">IF(AND(Inputs!$C$60,Inputs!$C$61),INDEX(Utility_Rates!$C$29:$F$52,HOUR(C1286)+Inputs!$C$69,MATCH(INDEX(Utility_Rates!$K$6:$K$17,MONTH(C1286))&amp;IF(WEEKDAY(C1286,Inputs!$C$76)&lt;=Inputs!$C$74," weekday"," weekend"),Utility_Rates!$C$28:$F$28,Inputs!$C$68)),"")</f>
      </c>
      <c r="H1286" s="34"/>
      <c r="I1286" s="42">
        <f>IF(AND(ISNUMBER(D1286),ISNUMBER(H1286)),D1286*H1286*Inputs!$C$69,"")</f>
      </c>
      <c r="J1286" s="42">
        <f>IF(AND(ISNUMBER(F1286),ISNUMBER(H1286),F1286&gt;=Inputs!$C$68),F1286*H1286*Inputs!$C$69,"")</f>
      </c>
    </row>
    <row r="1287" spans="2:10" ht="15" customHeight="1" x14ac:dyDescent="0.2">
      <c r="B1287" s="39">
        <f t="shared" si="10"/>
      </c>
      <c r="C1287" s="40">
        <f>IF(Inputs!$C$60,Inputs!$C$11+(B1287-Inputs!$C$69)/Inputs!$C$70,"")</f>
      </c>
      <c r="D1287" s="15"/>
      <c r="E1287" s="15"/>
      <c r="F1287" s="11">
        <f t="shared" si="11"/>
      </c>
      <c r="G1287" s="22" cm="1">
        <f t="array" ref="G1287">IF(AND(Inputs!$C$60,Inputs!$C$61),INDEX(Utility_Rates!$C$29:$F$52,HOUR(C1287)+Inputs!$C$69,MATCH(INDEX(Utility_Rates!$K$6:$K$17,MONTH(C1287))&amp;IF(WEEKDAY(C1287,Inputs!$C$76)&lt;=Inputs!$C$74," weekday"," weekend"),Utility_Rates!$C$28:$F$28,Inputs!$C$68)),"")</f>
      </c>
      <c r="H1287" s="34"/>
      <c r="I1287" s="42">
        <f>IF(AND(ISNUMBER(D1287),ISNUMBER(H1287)),D1287*H1287*Inputs!$C$69,"")</f>
      </c>
      <c r="J1287" s="42">
        <f>IF(AND(ISNUMBER(F1287),ISNUMBER(H1287),F1287&gt;=Inputs!$C$68),F1287*H1287*Inputs!$C$69,"")</f>
      </c>
    </row>
    <row r="1288" spans="2:10" ht="15" customHeight="1" x14ac:dyDescent="0.2">
      <c r="B1288" s="39">
        <f t="shared" si="10"/>
      </c>
      <c r="C1288" s="40">
        <f>IF(Inputs!$C$60,Inputs!$C$11+(B1288-Inputs!$C$69)/Inputs!$C$70,"")</f>
      </c>
      <c r="D1288" s="15"/>
      <c r="E1288" s="15"/>
      <c r="F1288" s="11">
        <f t="shared" si="11"/>
      </c>
      <c r="G1288" s="22" cm="1">
        <f t="array" ref="G1288">IF(AND(Inputs!$C$60,Inputs!$C$61),INDEX(Utility_Rates!$C$29:$F$52,HOUR(C1288)+Inputs!$C$69,MATCH(INDEX(Utility_Rates!$K$6:$K$17,MONTH(C1288))&amp;IF(WEEKDAY(C1288,Inputs!$C$76)&lt;=Inputs!$C$74," weekday"," weekend"),Utility_Rates!$C$28:$F$28,Inputs!$C$68)),"")</f>
      </c>
      <c r="H1288" s="34"/>
      <c r="I1288" s="42">
        <f>IF(AND(ISNUMBER(D1288),ISNUMBER(H1288)),D1288*H1288*Inputs!$C$69,"")</f>
      </c>
      <c r="J1288" s="42">
        <f>IF(AND(ISNUMBER(F1288),ISNUMBER(H1288),F1288&gt;=Inputs!$C$68),F1288*H1288*Inputs!$C$69,"")</f>
      </c>
    </row>
    <row r="1289" spans="2:10" ht="15" customHeight="1" x14ac:dyDescent="0.2">
      <c r="B1289" s="39">
        <f t="shared" si="10"/>
      </c>
      <c r="C1289" s="40">
        <f>IF(Inputs!$C$60,Inputs!$C$11+(B1289-Inputs!$C$69)/Inputs!$C$70,"")</f>
      </c>
      <c r="D1289" s="15"/>
      <c r="E1289" s="15"/>
      <c r="F1289" s="11">
        <f t="shared" si="11"/>
      </c>
      <c r="G1289" s="22" cm="1">
        <f t="array" ref="G1289">IF(AND(Inputs!$C$60,Inputs!$C$61),INDEX(Utility_Rates!$C$29:$F$52,HOUR(C1289)+Inputs!$C$69,MATCH(INDEX(Utility_Rates!$K$6:$K$17,MONTH(C1289))&amp;IF(WEEKDAY(C1289,Inputs!$C$76)&lt;=Inputs!$C$74," weekday"," weekend"),Utility_Rates!$C$28:$F$28,Inputs!$C$68)),"")</f>
      </c>
      <c r="H1289" s="34"/>
      <c r="I1289" s="42">
        <f>IF(AND(ISNUMBER(D1289),ISNUMBER(H1289)),D1289*H1289*Inputs!$C$69,"")</f>
      </c>
      <c r="J1289" s="42">
        <f>IF(AND(ISNUMBER(F1289),ISNUMBER(H1289),F1289&gt;=Inputs!$C$68),F1289*H1289*Inputs!$C$69,"")</f>
      </c>
    </row>
    <row r="1290" spans="2:10" ht="15" customHeight="1" x14ac:dyDescent="0.2">
      <c r="B1290" s="39">
        <f t="shared" si="10"/>
      </c>
      <c r="C1290" s="40">
        <f>IF(Inputs!$C$60,Inputs!$C$11+(B1290-Inputs!$C$69)/Inputs!$C$70,"")</f>
      </c>
      <c r="D1290" s="15"/>
      <c r="E1290" s="15"/>
      <c r="F1290" s="11">
        <f t="shared" si="11"/>
      </c>
      <c r="G1290" s="22" cm="1">
        <f t="array" ref="G1290">IF(AND(Inputs!$C$60,Inputs!$C$61),INDEX(Utility_Rates!$C$29:$F$52,HOUR(C1290)+Inputs!$C$69,MATCH(INDEX(Utility_Rates!$K$6:$K$17,MONTH(C1290))&amp;IF(WEEKDAY(C1290,Inputs!$C$76)&lt;=Inputs!$C$74," weekday"," weekend"),Utility_Rates!$C$28:$F$28,Inputs!$C$68)),"")</f>
      </c>
      <c r="H1290" s="34"/>
      <c r="I1290" s="42">
        <f>IF(AND(ISNUMBER(D1290),ISNUMBER(H1290)),D1290*H1290*Inputs!$C$69,"")</f>
      </c>
      <c r="J1290" s="42">
        <f>IF(AND(ISNUMBER(F1290),ISNUMBER(H1290),F1290&gt;=Inputs!$C$68),F1290*H1290*Inputs!$C$69,"")</f>
      </c>
    </row>
    <row r="1291" spans="2:10" ht="15" customHeight="1" x14ac:dyDescent="0.2">
      <c r="B1291" s="39">
        <f t="shared" si="10"/>
      </c>
      <c r="C1291" s="40">
        <f>IF(Inputs!$C$60,Inputs!$C$11+(B1291-Inputs!$C$69)/Inputs!$C$70,"")</f>
      </c>
      <c r="D1291" s="15"/>
      <c r="E1291" s="15"/>
      <c r="F1291" s="11">
        <f t="shared" si="11"/>
      </c>
      <c r="G1291" s="22" cm="1">
        <f t="array" ref="G1291">IF(AND(Inputs!$C$60,Inputs!$C$61),INDEX(Utility_Rates!$C$29:$F$52,HOUR(C1291)+Inputs!$C$69,MATCH(INDEX(Utility_Rates!$K$6:$K$17,MONTH(C1291))&amp;IF(WEEKDAY(C1291,Inputs!$C$76)&lt;=Inputs!$C$74," weekday"," weekend"),Utility_Rates!$C$28:$F$28,Inputs!$C$68)),"")</f>
      </c>
      <c r="H1291" s="34"/>
      <c r="I1291" s="42">
        <f>IF(AND(ISNUMBER(D1291),ISNUMBER(H1291)),D1291*H1291*Inputs!$C$69,"")</f>
      </c>
      <c r="J1291" s="42">
        <f>IF(AND(ISNUMBER(F1291),ISNUMBER(H1291),F1291&gt;=Inputs!$C$68),F1291*H1291*Inputs!$C$69,"")</f>
      </c>
    </row>
    <row r="1292" spans="2:10" ht="15" customHeight="1" x14ac:dyDescent="0.2">
      <c r="B1292" s="39">
        <f t="shared" si="10"/>
      </c>
      <c r="C1292" s="40">
        <f>IF(Inputs!$C$60,Inputs!$C$11+(B1292-Inputs!$C$69)/Inputs!$C$70,"")</f>
      </c>
      <c r="D1292" s="15"/>
      <c r="E1292" s="15"/>
      <c r="F1292" s="11">
        <f t="shared" si="11"/>
      </c>
      <c r="G1292" s="22" cm="1">
        <f t="array" ref="G1292">IF(AND(Inputs!$C$60,Inputs!$C$61),INDEX(Utility_Rates!$C$29:$F$52,HOUR(C1292)+Inputs!$C$69,MATCH(INDEX(Utility_Rates!$K$6:$K$17,MONTH(C1292))&amp;IF(WEEKDAY(C1292,Inputs!$C$76)&lt;=Inputs!$C$74," weekday"," weekend"),Utility_Rates!$C$28:$F$28,Inputs!$C$68)),"")</f>
      </c>
      <c r="H1292" s="34"/>
      <c r="I1292" s="42">
        <f>IF(AND(ISNUMBER(D1292),ISNUMBER(H1292)),D1292*H1292*Inputs!$C$69,"")</f>
      </c>
      <c r="J1292" s="42">
        <f>IF(AND(ISNUMBER(F1292),ISNUMBER(H1292),F1292&gt;=Inputs!$C$68),F1292*H1292*Inputs!$C$69,"")</f>
      </c>
    </row>
    <row r="1293" spans="2:10" ht="15" customHeight="1" x14ac:dyDescent="0.2">
      <c r="B1293" s="39">
        <f t="shared" si="10"/>
      </c>
      <c r="C1293" s="40">
        <f>IF(Inputs!$C$60,Inputs!$C$11+(B1293-Inputs!$C$69)/Inputs!$C$70,"")</f>
      </c>
      <c r="D1293" s="15"/>
      <c r="E1293" s="15"/>
      <c r="F1293" s="11">
        <f t="shared" si="11"/>
      </c>
      <c r="G1293" s="22" cm="1">
        <f t="array" ref="G1293">IF(AND(Inputs!$C$60,Inputs!$C$61),INDEX(Utility_Rates!$C$29:$F$52,HOUR(C1293)+Inputs!$C$69,MATCH(INDEX(Utility_Rates!$K$6:$K$17,MONTH(C1293))&amp;IF(WEEKDAY(C1293,Inputs!$C$76)&lt;=Inputs!$C$74," weekday"," weekend"),Utility_Rates!$C$28:$F$28,Inputs!$C$68)),"")</f>
      </c>
      <c r="H1293" s="34"/>
      <c r="I1293" s="42">
        <f>IF(AND(ISNUMBER(D1293),ISNUMBER(H1293)),D1293*H1293*Inputs!$C$69,"")</f>
      </c>
      <c r="J1293" s="42">
        <f>IF(AND(ISNUMBER(F1293),ISNUMBER(H1293),F1293&gt;=Inputs!$C$68),F1293*H1293*Inputs!$C$69,"")</f>
      </c>
    </row>
    <row r="1294" spans="2:10" ht="15" customHeight="1" x14ac:dyDescent="0.2">
      <c r="B1294" s="39">
        <f t="shared" si="10"/>
      </c>
      <c r="C1294" s="40">
        <f>IF(Inputs!$C$60,Inputs!$C$11+(B1294-Inputs!$C$69)/Inputs!$C$70,"")</f>
      </c>
      <c r="D1294" s="15"/>
      <c r="E1294" s="15"/>
      <c r="F1294" s="11">
        <f t="shared" si="11"/>
      </c>
      <c r="G1294" s="22" cm="1">
        <f t="array" ref="G1294">IF(AND(Inputs!$C$60,Inputs!$C$61),INDEX(Utility_Rates!$C$29:$F$52,HOUR(C1294)+Inputs!$C$69,MATCH(INDEX(Utility_Rates!$K$6:$K$17,MONTH(C1294))&amp;IF(WEEKDAY(C1294,Inputs!$C$76)&lt;=Inputs!$C$74," weekday"," weekend"),Utility_Rates!$C$28:$F$28,Inputs!$C$68)),"")</f>
      </c>
      <c r="H1294" s="34"/>
      <c r="I1294" s="42">
        <f>IF(AND(ISNUMBER(D1294),ISNUMBER(H1294)),D1294*H1294*Inputs!$C$69,"")</f>
      </c>
      <c r="J1294" s="42">
        <f>IF(AND(ISNUMBER(F1294),ISNUMBER(H1294),F1294&gt;=Inputs!$C$68),F1294*H1294*Inputs!$C$69,"")</f>
      </c>
    </row>
    <row r="1295" spans="2:10" ht="15" customHeight="1" x14ac:dyDescent="0.2">
      <c r="B1295" s="39">
        <f t="shared" si="10"/>
      </c>
      <c r="C1295" s="40">
        <f>IF(Inputs!$C$60,Inputs!$C$11+(B1295-Inputs!$C$69)/Inputs!$C$70,"")</f>
      </c>
      <c r="D1295" s="15"/>
      <c r="E1295" s="15"/>
      <c r="F1295" s="11">
        <f t="shared" si="11"/>
      </c>
      <c r="G1295" s="22" cm="1">
        <f t="array" ref="G1295">IF(AND(Inputs!$C$60,Inputs!$C$61),INDEX(Utility_Rates!$C$29:$F$52,HOUR(C1295)+Inputs!$C$69,MATCH(INDEX(Utility_Rates!$K$6:$K$17,MONTH(C1295))&amp;IF(WEEKDAY(C1295,Inputs!$C$76)&lt;=Inputs!$C$74," weekday"," weekend"),Utility_Rates!$C$28:$F$28,Inputs!$C$68)),"")</f>
      </c>
      <c r="H1295" s="34"/>
      <c r="I1295" s="42">
        <f>IF(AND(ISNUMBER(D1295),ISNUMBER(H1295)),D1295*H1295*Inputs!$C$69,"")</f>
      </c>
      <c r="J1295" s="42">
        <f>IF(AND(ISNUMBER(F1295),ISNUMBER(H1295),F1295&gt;=Inputs!$C$68),F1295*H1295*Inputs!$C$69,"")</f>
      </c>
    </row>
    <row r="1296" spans="2:10" ht="15" customHeight="1" x14ac:dyDescent="0.2">
      <c r="B1296" s="39">
        <f t="shared" si="10"/>
      </c>
      <c r="C1296" s="40">
        <f>IF(Inputs!$C$60,Inputs!$C$11+(B1296-Inputs!$C$69)/Inputs!$C$70,"")</f>
      </c>
      <c r="D1296" s="15"/>
      <c r="E1296" s="15"/>
      <c r="F1296" s="11">
        <f t="shared" si="11"/>
      </c>
      <c r="G1296" s="22" cm="1">
        <f t="array" ref="G1296">IF(AND(Inputs!$C$60,Inputs!$C$61),INDEX(Utility_Rates!$C$29:$F$52,HOUR(C1296)+Inputs!$C$69,MATCH(INDEX(Utility_Rates!$K$6:$K$17,MONTH(C1296))&amp;IF(WEEKDAY(C1296,Inputs!$C$76)&lt;=Inputs!$C$74," weekday"," weekend"),Utility_Rates!$C$28:$F$28,Inputs!$C$68)),"")</f>
      </c>
      <c r="H1296" s="34"/>
      <c r="I1296" s="42">
        <f>IF(AND(ISNUMBER(D1296),ISNUMBER(H1296)),D1296*H1296*Inputs!$C$69,"")</f>
      </c>
      <c r="J1296" s="42">
        <f>IF(AND(ISNUMBER(F1296),ISNUMBER(H1296),F1296&gt;=Inputs!$C$68),F1296*H1296*Inputs!$C$69,"")</f>
      </c>
    </row>
    <row r="1297" spans="2:10" ht="15" customHeight="1" x14ac:dyDescent="0.2">
      <c r="B1297" s="39">
        <f t="shared" si="10"/>
      </c>
      <c r="C1297" s="40">
        <f>IF(Inputs!$C$60,Inputs!$C$11+(B1297-Inputs!$C$69)/Inputs!$C$70,"")</f>
      </c>
      <c r="D1297" s="15"/>
      <c r="E1297" s="15"/>
      <c r="F1297" s="11">
        <f t="shared" si="11"/>
      </c>
      <c r="G1297" s="22" cm="1">
        <f t="array" ref="G1297">IF(AND(Inputs!$C$60,Inputs!$C$61),INDEX(Utility_Rates!$C$29:$F$52,HOUR(C1297)+Inputs!$C$69,MATCH(INDEX(Utility_Rates!$K$6:$K$17,MONTH(C1297))&amp;IF(WEEKDAY(C1297,Inputs!$C$76)&lt;=Inputs!$C$74," weekday"," weekend"),Utility_Rates!$C$28:$F$28,Inputs!$C$68)),"")</f>
      </c>
      <c r="H1297" s="34"/>
      <c r="I1297" s="42">
        <f>IF(AND(ISNUMBER(D1297),ISNUMBER(H1297)),D1297*H1297*Inputs!$C$69,"")</f>
      </c>
      <c r="J1297" s="42">
        <f>IF(AND(ISNUMBER(F1297),ISNUMBER(H1297),F1297&gt;=Inputs!$C$68),F1297*H1297*Inputs!$C$69,"")</f>
      </c>
    </row>
    <row r="1298" spans="2:10" ht="15" customHeight="1" x14ac:dyDescent="0.2">
      <c r="B1298" s="39">
        <f t="shared" si="10"/>
      </c>
      <c r="C1298" s="40">
        <f>IF(Inputs!$C$60,Inputs!$C$11+(B1298-Inputs!$C$69)/Inputs!$C$70,"")</f>
      </c>
      <c r="D1298" s="15"/>
      <c r="E1298" s="15"/>
      <c r="F1298" s="11">
        <f t="shared" si="11"/>
      </c>
      <c r="G1298" s="22" cm="1">
        <f t="array" ref="G1298">IF(AND(Inputs!$C$60,Inputs!$C$61),INDEX(Utility_Rates!$C$29:$F$52,HOUR(C1298)+Inputs!$C$69,MATCH(INDEX(Utility_Rates!$K$6:$K$17,MONTH(C1298))&amp;IF(WEEKDAY(C1298,Inputs!$C$76)&lt;=Inputs!$C$74," weekday"," weekend"),Utility_Rates!$C$28:$F$28,Inputs!$C$68)),"")</f>
      </c>
      <c r="H1298" s="34"/>
      <c r="I1298" s="42">
        <f>IF(AND(ISNUMBER(D1298),ISNUMBER(H1298)),D1298*H1298*Inputs!$C$69,"")</f>
      </c>
      <c r="J1298" s="42">
        <f>IF(AND(ISNUMBER(F1298),ISNUMBER(H1298),F1298&gt;=Inputs!$C$68),F1298*H1298*Inputs!$C$69,"")</f>
      </c>
    </row>
    <row r="1299" spans="2:10" ht="15" customHeight="1" x14ac:dyDescent="0.2">
      <c r="B1299" s="39">
        <f t="shared" si="10"/>
      </c>
      <c r="C1299" s="40">
        <f>IF(Inputs!$C$60,Inputs!$C$11+(B1299-Inputs!$C$69)/Inputs!$C$70,"")</f>
      </c>
      <c r="D1299" s="15"/>
      <c r="E1299" s="15"/>
      <c r="F1299" s="11">
        <f t="shared" si="11"/>
      </c>
      <c r="G1299" s="22" cm="1">
        <f t="array" ref="G1299">IF(AND(Inputs!$C$60,Inputs!$C$61),INDEX(Utility_Rates!$C$29:$F$52,HOUR(C1299)+Inputs!$C$69,MATCH(INDEX(Utility_Rates!$K$6:$K$17,MONTH(C1299))&amp;IF(WEEKDAY(C1299,Inputs!$C$76)&lt;=Inputs!$C$74," weekday"," weekend"),Utility_Rates!$C$28:$F$28,Inputs!$C$68)),"")</f>
      </c>
      <c r="H1299" s="34"/>
      <c r="I1299" s="42">
        <f>IF(AND(ISNUMBER(D1299),ISNUMBER(H1299)),D1299*H1299*Inputs!$C$69,"")</f>
      </c>
      <c r="J1299" s="42">
        <f>IF(AND(ISNUMBER(F1299),ISNUMBER(H1299),F1299&gt;=Inputs!$C$68),F1299*H1299*Inputs!$C$69,"")</f>
      </c>
    </row>
    <row r="1300" spans="2:10" ht="15" customHeight="1" x14ac:dyDescent="0.2">
      <c r="B1300" s="39">
        <f t="shared" si="10"/>
      </c>
      <c r="C1300" s="40">
        <f>IF(Inputs!$C$60,Inputs!$C$11+(B1300-Inputs!$C$69)/Inputs!$C$70,"")</f>
      </c>
      <c r="D1300" s="15"/>
      <c r="E1300" s="15"/>
      <c r="F1300" s="11">
        <f t="shared" si="11"/>
      </c>
      <c r="G1300" s="22" cm="1">
        <f t="array" ref="G1300">IF(AND(Inputs!$C$60,Inputs!$C$61),INDEX(Utility_Rates!$C$29:$F$52,HOUR(C1300)+Inputs!$C$69,MATCH(INDEX(Utility_Rates!$K$6:$K$17,MONTH(C1300))&amp;IF(WEEKDAY(C1300,Inputs!$C$76)&lt;=Inputs!$C$74," weekday"," weekend"),Utility_Rates!$C$28:$F$28,Inputs!$C$68)),"")</f>
      </c>
      <c r="H1300" s="34"/>
      <c r="I1300" s="42">
        <f>IF(AND(ISNUMBER(D1300),ISNUMBER(H1300)),D1300*H1300*Inputs!$C$69,"")</f>
      </c>
      <c r="J1300" s="42">
        <f>IF(AND(ISNUMBER(F1300),ISNUMBER(H1300),F1300&gt;=Inputs!$C$68),F1300*H1300*Inputs!$C$69,"")</f>
      </c>
    </row>
    <row r="1301" spans="2:10" ht="15" customHeight="1" x14ac:dyDescent="0.2">
      <c r="B1301" s="39">
        <f t="shared" si="10"/>
      </c>
      <c r="C1301" s="40">
        <f>IF(Inputs!$C$60,Inputs!$C$11+(B1301-Inputs!$C$69)/Inputs!$C$70,"")</f>
      </c>
      <c r="D1301" s="15"/>
      <c r="E1301" s="15"/>
      <c r="F1301" s="11">
        <f t="shared" si="11"/>
      </c>
      <c r="G1301" s="22" cm="1">
        <f t="array" ref="G1301">IF(AND(Inputs!$C$60,Inputs!$C$61),INDEX(Utility_Rates!$C$29:$F$52,HOUR(C1301)+Inputs!$C$69,MATCH(INDEX(Utility_Rates!$K$6:$K$17,MONTH(C1301))&amp;IF(WEEKDAY(C1301,Inputs!$C$76)&lt;=Inputs!$C$74," weekday"," weekend"),Utility_Rates!$C$28:$F$28,Inputs!$C$68)),"")</f>
      </c>
      <c r="H1301" s="34"/>
      <c r="I1301" s="42">
        <f>IF(AND(ISNUMBER(D1301),ISNUMBER(H1301)),D1301*H1301*Inputs!$C$69,"")</f>
      </c>
      <c r="J1301" s="42">
        <f>IF(AND(ISNUMBER(F1301),ISNUMBER(H1301),F1301&gt;=Inputs!$C$68),F1301*H1301*Inputs!$C$69,"")</f>
      </c>
    </row>
    <row r="1302" spans="2:10" ht="15" customHeight="1" x14ac:dyDescent="0.2">
      <c r="B1302" s="39">
        <f t="shared" si="10"/>
      </c>
      <c r="C1302" s="40">
        <f>IF(Inputs!$C$60,Inputs!$C$11+(B1302-Inputs!$C$69)/Inputs!$C$70,"")</f>
      </c>
      <c r="D1302" s="15"/>
      <c r="E1302" s="15"/>
      <c r="F1302" s="11">
        <f t="shared" si="11"/>
      </c>
      <c r="G1302" s="22" cm="1">
        <f t="array" ref="G1302">IF(AND(Inputs!$C$60,Inputs!$C$61),INDEX(Utility_Rates!$C$29:$F$52,HOUR(C1302)+Inputs!$C$69,MATCH(INDEX(Utility_Rates!$K$6:$K$17,MONTH(C1302))&amp;IF(WEEKDAY(C1302,Inputs!$C$76)&lt;=Inputs!$C$74," weekday"," weekend"),Utility_Rates!$C$28:$F$28,Inputs!$C$68)),"")</f>
      </c>
      <c r="H1302" s="34"/>
      <c r="I1302" s="42">
        <f>IF(AND(ISNUMBER(D1302),ISNUMBER(H1302)),D1302*H1302*Inputs!$C$69,"")</f>
      </c>
      <c r="J1302" s="42">
        <f>IF(AND(ISNUMBER(F1302),ISNUMBER(H1302),F1302&gt;=Inputs!$C$68),F1302*H1302*Inputs!$C$69,"")</f>
      </c>
    </row>
    <row r="1303" spans="2:10" ht="15" customHeight="1" x14ac:dyDescent="0.2">
      <c r="B1303" s="39">
        <f t="shared" si="10"/>
      </c>
      <c r="C1303" s="40">
        <f>IF(Inputs!$C$60,Inputs!$C$11+(B1303-Inputs!$C$69)/Inputs!$C$70,"")</f>
      </c>
      <c r="D1303" s="15"/>
      <c r="E1303" s="15"/>
      <c r="F1303" s="11">
        <f t="shared" si="11"/>
      </c>
      <c r="G1303" s="22" cm="1">
        <f t="array" ref="G1303">IF(AND(Inputs!$C$60,Inputs!$C$61),INDEX(Utility_Rates!$C$29:$F$52,HOUR(C1303)+Inputs!$C$69,MATCH(INDEX(Utility_Rates!$K$6:$K$17,MONTH(C1303))&amp;IF(WEEKDAY(C1303,Inputs!$C$76)&lt;=Inputs!$C$74," weekday"," weekend"),Utility_Rates!$C$28:$F$28,Inputs!$C$68)),"")</f>
      </c>
      <c r="H1303" s="34"/>
      <c r="I1303" s="42">
        <f>IF(AND(ISNUMBER(D1303),ISNUMBER(H1303)),D1303*H1303*Inputs!$C$69,"")</f>
      </c>
      <c r="J1303" s="42">
        <f>IF(AND(ISNUMBER(F1303),ISNUMBER(H1303),F1303&gt;=Inputs!$C$68),F1303*H1303*Inputs!$C$69,"")</f>
      </c>
    </row>
    <row r="1304" spans="2:10" ht="15" customHeight="1" x14ac:dyDescent="0.2">
      <c r="B1304" s="39">
        <f t="shared" si="10"/>
      </c>
      <c r="C1304" s="40">
        <f>IF(Inputs!$C$60,Inputs!$C$11+(B1304-Inputs!$C$69)/Inputs!$C$70,"")</f>
      </c>
      <c r="D1304" s="15"/>
      <c r="E1304" s="15"/>
      <c r="F1304" s="11">
        <f t="shared" si="11"/>
      </c>
      <c r="G1304" s="22" cm="1">
        <f t="array" ref="G1304">IF(AND(Inputs!$C$60,Inputs!$C$61),INDEX(Utility_Rates!$C$29:$F$52,HOUR(C1304)+Inputs!$C$69,MATCH(INDEX(Utility_Rates!$K$6:$K$17,MONTH(C1304))&amp;IF(WEEKDAY(C1304,Inputs!$C$76)&lt;=Inputs!$C$74," weekday"," weekend"),Utility_Rates!$C$28:$F$28,Inputs!$C$68)),"")</f>
      </c>
      <c r="H1304" s="34"/>
      <c r="I1304" s="42">
        <f>IF(AND(ISNUMBER(D1304),ISNUMBER(H1304)),D1304*H1304*Inputs!$C$69,"")</f>
      </c>
      <c r="J1304" s="42">
        <f>IF(AND(ISNUMBER(F1304),ISNUMBER(H1304),F1304&gt;=Inputs!$C$68),F1304*H1304*Inputs!$C$69,"")</f>
      </c>
    </row>
    <row r="1305" spans="2:10" ht="15" customHeight="1" x14ac:dyDescent="0.2">
      <c r="B1305" s="39">
        <f t="shared" si="10"/>
      </c>
      <c r="C1305" s="40">
        <f>IF(Inputs!$C$60,Inputs!$C$11+(B1305-Inputs!$C$69)/Inputs!$C$70,"")</f>
      </c>
      <c r="D1305" s="15"/>
      <c r="E1305" s="15"/>
      <c r="F1305" s="11">
        <f t="shared" si="11"/>
      </c>
      <c r="G1305" s="22" cm="1">
        <f t="array" ref="G1305">IF(AND(Inputs!$C$60,Inputs!$C$61),INDEX(Utility_Rates!$C$29:$F$52,HOUR(C1305)+Inputs!$C$69,MATCH(INDEX(Utility_Rates!$K$6:$K$17,MONTH(C1305))&amp;IF(WEEKDAY(C1305,Inputs!$C$76)&lt;=Inputs!$C$74," weekday"," weekend"),Utility_Rates!$C$28:$F$28,Inputs!$C$68)),"")</f>
      </c>
      <c r="H1305" s="34"/>
      <c r="I1305" s="42">
        <f>IF(AND(ISNUMBER(D1305),ISNUMBER(H1305)),D1305*H1305*Inputs!$C$69,"")</f>
      </c>
      <c r="J1305" s="42">
        <f>IF(AND(ISNUMBER(F1305),ISNUMBER(H1305),F1305&gt;=Inputs!$C$68),F1305*H1305*Inputs!$C$69,"")</f>
      </c>
    </row>
    <row r="1306" spans="2:10" ht="15" customHeight="1" x14ac:dyDescent="0.2">
      <c r="B1306" s="39">
        <f t="shared" si="10"/>
      </c>
      <c r="C1306" s="40">
        <f>IF(Inputs!$C$60,Inputs!$C$11+(B1306-Inputs!$C$69)/Inputs!$C$70,"")</f>
      </c>
      <c r="D1306" s="15"/>
      <c r="E1306" s="15"/>
      <c r="F1306" s="11">
        <f t="shared" si="11"/>
      </c>
      <c r="G1306" s="22" cm="1">
        <f t="array" ref="G1306">IF(AND(Inputs!$C$60,Inputs!$C$61),INDEX(Utility_Rates!$C$29:$F$52,HOUR(C1306)+Inputs!$C$69,MATCH(INDEX(Utility_Rates!$K$6:$K$17,MONTH(C1306))&amp;IF(WEEKDAY(C1306,Inputs!$C$76)&lt;=Inputs!$C$74," weekday"," weekend"),Utility_Rates!$C$28:$F$28,Inputs!$C$68)),"")</f>
      </c>
      <c r="H1306" s="34"/>
      <c r="I1306" s="42">
        <f>IF(AND(ISNUMBER(D1306),ISNUMBER(H1306)),D1306*H1306*Inputs!$C$69,"")</f>
      </c>
      <c r="J1306" s="42">
        <f>IF(AND(ISNUMBER(F1306),ISNUMBER(H1306),F1306&gt;=Inputs!$C$68),F1306*H1306*Inputs!$C$69,"")</f>
      </c>
    </row>
    <row r="1307" spans="2:10" ht="15" customHeight="1" x14ac:dyDescent="0.2">
      <c r="B1307" s="39">
        <f t="shared" si="10"/>
      </c>
      <c r="C1307" s="40">
        <f>IF(Inputs!$C$60,Inputs!$C$11+(B1307-Inputs!$C$69)/Inputs!$C$70,"")</f>
      </c>
      <c r="D1307" s="15"/>
      <c r="E1307" s="15"/>
      <c r="F1307" s="11">
        <f t="shared" si="11"/>
      </c>
      <c r="G1307" s="22" cm="1">
        <f t="array" ref="G1307">IF(AND(Inputs!$C$60,Inputs!$C$61),INDEX(Utility_Rates!$C$29:$F$52,HOUR(C1307)+Inputs!$C$69,MATCH(INDEX(Utility_Rates!$K$6:$K$17,MONTH(C1307))&amp;IF(WEEKDAY(C1307,Inputs!$C$76)&lt;=Inputs!$C$74," weekday"," weekend"),Utility_Rates!$C$28:$F$28,Inputs!$C$68)),"")</f>
      </c>
      <c r="H1307" s="34"/>
      <c r="I1307" s="42">
        <f>IF(AND(ISNUMBER(D1307),ISNUMBER(H1307)),D1307*H1307*Inputs!$C$69,"")</f>
      </c>
      <c r="J1307" s="42">
        <f>IF(AND(ISNUMBER(F1307),ISNUMBER(H1307),F1307&gt;=Inputs!$C$68),F1307*H1307*Inputs!$C$69,"")</f>
      </c>
    </row>
    <row r="1308" spans="2:10" ht="15" customHeight="1" x14ac:dyDescent="0.2">
      <c r="B1308" s="39">
        <f t="shared" si="10"/>
      </c>
      <c r="C1308" s="40">
        <f>IF(Inputs!$C$60,Inputs!$C$11+(B1308-Inputs!$C$69)/Inputs!$C$70,"")</f>
      </c>
      <c r="D1308" s="15"/>
      <c r="E1308" s="15"/>
      <c r="F1308" s="11">
        <f t="shared" si="11"/>
      </c>
      <c r="G1308" s="22" cm="1">
        <f t="array" ref="G1308">IF(AND(Inputs!$C$60,Inputs!$C$61),INDEX(Utility_Rates!$C$29:$F$52,HOUR(C1308)+Inputs!$C$69,MATCH(INDEX(Utility_Rates!$K$6:$K$17,MONTH(C1308))&amp;IF(WEEKDAY(C1308,Inputs!$C$76)&lt;=Inputs!$C$74," weekday"," weekend"),Utility_Rates!$C$28:$F$28,Inputs!$C$68)),"")</f>
      </c>
      <c r="H1308" s="34"/>
      <c r="I1308" s="42">
        <f>IF(AND(ISNUMBER(D1308),ISNUMBER(H1308)),D1308*H1308*Inputs!$C$69,"")</f>
      </c>
      <c r="J1308" s="42">
        <f>IF(AND(ISNUMBER(F1308),ISNUMBER(H1308),F1308&gt;=Inputs!$C$68),F1308*H1308*Inputs!$C$69,"")</f>
      </c>
    </row>
    <row r="1309" spans="2:10" ht="15" customHeight="1" x14ac:dyDescent="0.2">
      <c r="B1309" s="39">
        <f t="shared" si="10"/>
      </c>
      <c r="C1309" s="40">
        <f>IF(Inputs!$C$60,Inputs!$C$11+(B1309-Inputs!$C$69)/Inputs!$C$70,"")</f>
      </c>
      <c r="D1309" s="15"/>
      <c r="E1309" s="15"/>
      <c r="F1309" s="11">
        <f t="shared" si="11"/>
      </c>
      <c r="G1309" s="22" cm="1">
        <f t="array" ref="G1309">IF(AND(Inputs!$C$60,Inputs!$C$61),INDEX(Utility_Rates!$C$29:$F$52,HOUR(C1309)+Inputs!$C$69,MATCH(INDEX(Utility_Rates!$K$6:$K$17,MONTH(C1309))&amp;IF(WEEKDAY(C1309,Inputs!$C$76)&lt;=Inputs!$C$74," weekday"," weekend"),Utility_Rates!$C$28:$F$28,Inputs!$C$68)),"")</f>
      </c>
      <c r="H1309" s="34"/>
      <c r="I1309" s="42">
        <f>IF(AND(ISNUMBER(D1309),ISNUMBER(H1309)),D1309*H1309*Inputs!$C$69,"")</f>
      </c>
      <c r="J1309" s="42">
        <f>IF(AND(ISNUMBER(F1309),ISNUMBER(H1309),F1309&gt;=Inputs!$C$68),F1309*H1309*Inputs!$C$69,"")</f>
      </c>
    </row>
    <row r="1310" spans="2:10" ht="15" customHeight="1" x14ac:dyDescent="0.2">
      <c r="B1310" s="39">
        <f t="shared" si="10"/>
      </c>
      <c r="C1310" s="40">
        <f>IF(Inputs!$C$60,Inputs!$C$11+(B1310-Inputs!$C$69)/Inputs!$C$70,"")</f>
      </c>
      <c r="D1310" s="15"/>
      <c r="E1310" s="15"/>
      <c r="F1310" s="11">
        <f t="shared" si="11"/>
      </c>
      <c r="G1310" s="22" cm="1">
        <f t="array" ref="G1310">IF(AND(Inputs!$C$60,Inputs!$C$61),INDEX(Utility_Rates!$C$29:$F$52,HOUR(C1310)+Inputs!$C$69,MATCH(INDEX(Utility_Rates!$K$6:$K$17,MONTH(C1310))&amp;IF(WEEKDAY(C1310,Inputs!$C$76)&lt;=Inputs!$C$74," weekday"," weekend"),Utility_Rates!$C$28:$F$28,Inputs!$C$68)),"")</f>
      </c>
      <c r="H1310" s="34"/>
      <c r="I1310" s="42">
        <f>IF(AND(ISNUMBER(D1310),ISNUMBER(H1310)),D1310*H1310*Inputs!$C$69,"")</f>
      </c>
      <c r="J1310" s="42">
        <f>IF(AND(ISNUMBER(F1310),ISNUMBER(H1310),F1310&gt;=Inputs!$C$68),F1310*H1310*Inputs!$C$69,"")</f>
      </c>
    </row>
    <row r="1311" spans="2:10" ht="15" customHeight="1" x14ac:dyDescent="0.2">
      <c r="B1311" s="39">
        <f t="shared" si="10"/>
      </c>
      <c r="C1311" s="40">
        <f>IF(Inputs!$C$60,Inputs!$C$11+(B1311-Inputs!$C$69)/Inputs!$C$70,"")</f>
      </c>
      <c r="D1311" s="15"/>
      <c r="E1311" s="15"/>
      <c r="F1311" s="11">
        <f t="shared" si="11"/>
      </c>
      <c r="G1311" s="22" cm="1">
        <f t="array" ref="G1311">IF(AND(Inputs!$C$60,Inputs!$C$61),INDEX(Utility_Rates!$C$29:$F$52,HOUR(C1311)+Inputs!$C$69,MATCH(INDEX(Utility_Rates!$K$6:$K$17,MONTH(C1311))&amp;IF(WEEKDAY(C1311,Inputs!$C$76)&lt;=Inputs!$C$74," weekday"," weekend"),Utility_Rates!$C$28:$F$28,Inputs!$C$68)),"")</f>
      </c>
      <c r="H1311" s="34"/>
      <c r="I1311" s="42">
        <f>IF(AND(ISNUMBER(D1311),ISNUMBER(H1311)),D1311*H1311*Inputs!$C$69,"")</f>
      </c>
      <c r="J1311" s="42">
        <f>IF(AND(ISNUMBER(F1311),ISNUMBER(H1311),F1311&gt;=Inputs!$C$68),F1311*H1311*Inputs!$C$69,"")</f>
      </c>
    </row>
    <row r="1312" spans="2:10" ht="15" customHeight="1" x14ac:dyDescent="0.2">
      <c r="B1312" s="39">
        <f t="shared" si="10"/>
      </c>
      <c r="C1312" s="40">
        <f>IF(Inputs!$C$60,Inputs!$C$11+(B1312-Inputs!$C$69)/Inputs!$C$70,"")</f>
      </c>
      <c r="D1312" s="15"/>
      <c r="E1312" s="15"/>
      <c r="F1312" s="11">
        <f t="shared" si="11"/>
      </c>
      <c r="G1312" s="22" cm="1">
        <f t="array" ref="G1312">IF(AND(Inputs!$C$60,Inputs!$C$61),INDEX(Utility_Rates!$C$29:$F$52,HOUR(C1312)+Inputs!$C$69,MATCH(INDEX(Utility_Rates!$K$6:$K$17,MONTH(C1312))&amp;IF(WEEKDAY(C1312,Inputs!$C$76)&lt;=Inputs!$C$74," weekday"," weekend"),Utility_Rates!$C$28:$F$28,Inputs!$C$68)),"")</f>
      </c>
      <c r="H1312" s="34"/>
      <c r="I1312" s="42">
        <f>IF(AND(ISNUMBER(D1312),ISNUMBER(H1312)),D1312*H1312*Inputs!$C$69,"")</f>
      </c>
      <c r="J1312" s="42">
        <f>IF(AND(ISNUMBER(F1312),ISNUMBER(H1312),F1312&gt;=Inputs!$C$68),F1312*H1312*Inputs!$C$69,"")</f>
      </c>
    </row>
    <row r="1313" spans="2:10" ht="15" customHeight="1" x14ac:dyDescent="0.2">
      <c r="B1313" s="39">
        <f t="shared" si="10"/>
      </c>
      <c r="C1313" s="40">
        <f>IF(Inputs!$C$60,Inputs!$C$11+(B1313-Inputs!$C$69)/Inputs!$C$70,"")</f>
      </c>
      <c r="D1313" s="15"/>
      <c r="E1313" s="15"/>
      <c r="F1313" s="11">
        <f t="shared" si="11"/>
      </c>
      <c r="G1313" s="22" cm="1">
        <f t="array" ref="G1313">IF(AND(Inputs!$C$60,Inputs!$C$61),INDEX(Utility_Rates!$C$29:$F$52,HOUR(C1313)+Inputs!$C$69,MATCH(INDEX(Utility_Rates!$K$6:$K$17,MONTH(C1313))&amp;IF(WEEKDAY(C1313,Inputs!$C$76)&lt;=Inputs!$C$74," weekday"," weekend"),Utility_Rates!$C$28:$F$28,Inputs!$C$68)),"")</f>
      </c>
      <c r="H1313" s="34"/>
      <c r="I1313" s="42">
        <f>IF(AND(ISNUMBER(D1313),ISNUMBER(H1313)),D1313*H1313*Inputs!$C$69,"")</f>
      </c>
      <c r="J1313" s="42">
        <f>IF(AND(ISNUMBER(F1313),ISNUMBER(H1313),F1313&gt;=Inputs!$C$68),F1313*H1313*Inputs!$C$69,"")</f>
      </c>
    </row>
    <row r="1314" spans="2:10" ht="15" customHeight="1" x14ac:dyDescent="0.2">
      <c r="B1314" s="39">
        <f t="shared" si="10"/>
      </c>
      <c r="C1314" s="40">
        <f>IF(Inputs!$C$60,Inputs!$C$11+(B1314-Inputs!$C$69)/Inputs!$C$70,"")</f>
      </c>
      <c r="D1314" s="15"/>
      <c r="E1314" s="15"/>
      <c r="F1314" s="11">
        <f t="shared" si="11"/>
      </c>
      <c r="G1314" s="22" cm="1">
        <f t="array" ref="G1314">IF(AND(Inputs!$C$60,Inputs!$C$61),INDEX(Utility_Rates!$C$29:$F$52,HOUR(C1314)+Inputs!$C$69,MATCH(INDEX(Utility_Rates!$K$6:$K$17,MONTH(C1314))&amp;IF(WEEKDAY(C1314,Inputs!$C$76)&lt;=Inputs!$C$74," weekday"," weekend"),Utility_Rates!$C$28:$F$28,Inputs!$C$68)),"")</f>
      </c>
      <c r="H1314" s="34"/>
      <c r="I1314" s="42">
        <f>IF(AND(ISNUMBER(D1314),ISNUMBER(H1314)),D1314*H1314*Inputs!$C$69,"")</f>
      </c>
      <c r="J1314" s="42">
        <f>IF(AND(ISNUMBER(F1314),ISNUMBER(H1314),F1314&gt;=Inputs!$C$68),F1314*H1314*Inputs!$C$69,"")</f>
      </c>
    </row>
    <row r="1315" spans="2:10" ht="15" customHeight="1" x14ac:dyDescent="0.2">
      <c r="B1315" s="39">
        <f t="shared" si="10"/>
      </c>
      <c r="C1315" s="40">
        <f>IF(Inputs!$C$60,Inputs!$C$11+(B1315-Inputs!$C$69)/Inputs!$C$70,"")</f>
      </c>
      <c r="D1315" s="15"/>
      <c r="E1315" s="15"/>
      <c r="F1315" s="11">
        <f t="shared" si="11"/>
      </c>
      <c r="G1315" s="22" cm="1">
        <f t="array" ref="G1315">IF(AND(Inputs!$C$60,Inputs!$C$61),INDEX(Utility_Rates!$C$29:$F$52,HOUR(C1315)+Inputs!$C$69,MATCH(INDEX(Utility_Rates!$K$6:$K$17,MONTH(C1315))&amp;IF(WEEKDAY(C1315,Inputs!$C$76)&lt;=Inputs!$C$74," weekday"," weekend"),Utility_Rates!$C$28:$F$28,Inputs!$C$68)),"")</f>
      </c>
      <c r="H1315" s="34"/>
      <c r="I1315" s="42">
        <f>IF(AND(ISNUMBER(D1315),ISNUMBER(H1315)),D1315*H1315*Inputs!$C$69,"")</f>
      </c>
      <c r="J1315" s="42">
        <f>IF(AND(ISNUMBER(F1315),ISNUMBER(H1315),F1315&gt;=Inputs!$C$68),F1315*H1315*Inputs!$C$69,"")</f>
      </c>
    </row>
    <row r="1316" spans="2:10" ht="15" customHeight="1" x14ac:dyDescent="0.2">
      <c r="B1316" s="39">
        <f t="shared" si="10"/>
      </c>
      <c r="C1316" s="40">
        <f>IF(Inputs!$C$60,Inputs!$C$11+(B1316-Inputs!$C$69)/Inputs!$C$70,"")</f>
      </c>
      <c r="D1316" s="15"/>
      <c r="E1316" s="15"/>
      <c r="F1316" s="11">
        <f t="shared" si="11"/>
      </c>
      <c r="G1316" s="22" cm="1">
        <f t="array" ref="G1316">IF(AND(Inputs!$C$60,Inputs!$C$61),INDEX(Utility_Rates!$C$29:$F$52,HOUR(C1316)+Inputs!$C$69,MATCH(INDEX(Utility_Rates!$K$6:$K$17,MONTH(C1316))&amp;IF(WEEKDAY(C1316,Inputs!$C$76)&lt;=Inputs!$C$74," weekday"," weekend"),Utility_Rates!$C$28:$F$28,Inputs!$C$68)),"")</f>
      </c>
      <c r="H1316" s="34"/>
      <c r="I1316" s="42">
        <f>IF(AND(ISNUMBER(D1316),ISNUMBER(H1316)),D1316*H1316*Inputs!$C$69,"")</f>
      </c>
      <c r="J1316" s="42">
        <f>IF(AND(ISNUMBER(F1316),ISNUMBER(H1316),F1316&gt;=Inputs!$C$68),F1316*H1316*Inputs!$C$69,"")</f>
      </c>
    </row>
    <row r="1317" spans="2:10" ht="15" customHeight="1" x14ac:dyDescent="0.2">
      <c r="B1317" s="39">
        <f t="shared" si="10"/>
      </c>
      <c r="C1317" s="40">
        <f>IF(Inputs!$C$60,Inputs!$C$11+(B1317-Inputs!$C$69)/Inputs!$C$70,"")</f>
      </c>
      <c r="D1317" s="15"/>
      <c r="E1317" s="15"/>
      <c r="F1317" s="11">
        <f t="shared" si="11"/>
      </c>
      <c r="G1317" s="22" cm="1">
        <f t="array" ref="G1317">IF(AND(Inputs!$C$60,Inputs!$C$61),INDEX(Utility_Rates!$C$29:$F$52,HOUR(C1317)+Inputs!$C$69,MATCH(INDEX(Utility_Rates!$K$6:$K$17,MONTH(C1317))&amp;IF(WEEKDAY(C1317,Inputs!$C$76)&lt;=Inputs!$C$74," weekday"," weekend"),Utility_Rates!$C$28:$F$28,Inputs!$C$68)),"")</f>
      </c>
      <c r="H1317" s="34"/>
      <c r="I1317" s="42">
        <f>IF(AND(ISNUMBER(D1317),ISNUMBER(H1317)),D1317*H1317*Inputs!$C$69,"")</f>
      </c>
      <c r="J1317" s="42">
        <f>IF(AND(ISNUMBER(F1317),ISNUMBER(H1317),F1317&gt;=Inputs!$C$68),F1317*H1317*Inputs!$C$69,"")</f>
      </c>
    </row>
    <row r="1318" spans="2:10" ht="15" customHeight="1" x14ac:dyDescent="0.2">
      <c r="B1318" s="39">
        <f t="shared" si="10"/>
      </c>
      <c r="C1318" s="40">
        <f>IF(Inputs!$C$60,Inputs!$C$11+(B1318-Inputs!$C$69)/Inputs!$C$70,"")</f>
      </c>
      <c r="D1318" s="15"/>
      <c r="E1318" s="15"/>
      <c r="F1318" s="11">
        <f t="shared" si="11"/>
      </c>
      <c r="G1318" s="22" cm="1">
        <f t="array" ref="G1318">IF(AND(Inputs!$C$60,Inputs!$C$61),INDEX(Utility_Rates!$C$29:$F$52,HOUR(C1318)+Inputs!$C$69,MATCH(INDEX(Utility_Rates!$K$6:$K$17,MONTH(C1318))&amp;IF(WEEKDAY(C1318,Inputs!$C$76)&lt;=Inputs!$C$74," weekday"," weekend"),Utility_Rates!$C$28:$F$28,Inputs!$C$68)),"")</f>
      </c>
      <c r="H1318" s="34"/>
      <c r="I1318" s="42">
        <f>IF(AND(ISNUMBER(D1318),ISNUMBER(H1318)),D1318*H1318*Inputs!$C$69,"")</f>
      </c>
      <c r="J1318" s="42">
        <f>IF(AND(ISNUMBER(F1318),ISNUMBER(H1318),F1318&gt;=Inputs!$C$68),F1318*H1318*Inputs!$C$69,"")</f>
      </c>
    </row>
    <row r="1319" spans="2:10" ht="15" customHeight="1" x14ac:dyDescent="0.2">
      <c r="B1319" s="39">
        <f t="shared" si="10"/>
      </c>
      <c r="C1319" s="40">
        <f>IF(Inputs!$C$60,Inputs!$C$11+(B1319-Inputs!$C$69)/Inputs!$C$70,"")</f>
      </c>
      <c r="D1319" s="15"/>
      <c r="E1319" s="15"/>
      <c r="F1319" s="11">
        <f t="shared" si="11"/>
      </c>
      <c r="G1319" s="22" cm="1">
        <f t="array" ref="G1319">IF(AND(Inputs!$C$60,Inputs!$C$61),INDEX(Utility_Rates!$C$29:$F$52,HOUR(C1319)+Inputs!$C$69,MATCH(INDEX(Utility_Rates!$K$6:$K$17,MONTH(C1319))&amp;IF(WEEKDAY(C1319,Inputs!$C$76)&lt;=Inputs!$C$74," weekday"," weekend"),Utility_Rates!$C$28:$F$28,Inputs!$C$68)),"")</f>
      </c>
      <c r="H1319" s="34"/>
      <c r="I1319" s="42">
        <f>IF(AND(ISNUMBER(D1319),ISNUMBER(H1319)),D1319*H1319*Inputs!$C$69,"")</f>
      </c>
      <c r="J1319" s="42">
        <f>IF(AND(ISNUMBER(F1319),ISNUMBER(H1319),F1319&gt;=Inputs!$C$68),F1319*H1319*Inputs!$C$69,"")</f>
      </c>
    </row>
    <row r="1320" spans="2:10" ht="15" customHeight="1" x14ac:dyDescent="0.2">
      <c r="B1320" s="39">
        <f t="shared" si="10"/>
      </c>
      <c r="C1320" s="40">
        <f>IF(Inputs!$C$60,Inputs!$C$11+(B1320-Inputs!$C$69)/Inputs!$C$70,"")</f>
      </c>
      <c r="D1320" s="15"/>
      <c r="E1320" s="15"/>
      <c r="F1320" s="11">
        <f t="shared" si="11"/>
      </c>
      <c r="G1320" s="22" cm="1">
        <f t="array" ref="G1320">IF(AND(Inputs!$C$60,Inputs!$C$61),INDEX(Utility_Rates!$C$29:$F$52,HOUR(C1320)+Inputs!$C$69,MATCH(INDEX(Utility_Rates!$K$6:$K$17,MONTH(C1320))&amp;IF(WEEKDAY(C1320,Inputs!$C$76)&lt;=Inputs!$C$74," weekday"," weekend"),Utility_Rates!$C$28:$F$28,Inputs!$C$68)),"")</f>
      </c>
      <c r="H1320" s="34"/>
      <c r="I1320" s="42">
        <f>IF(AND(ISNUMBER(D1320),ISNUMBER(H1320)),D1320*H1320*Inputs!$C$69,"")</f>
      </c>
      <c r="J1320" s="42">
        <f>IF(AND(ISNUMBER(F1320),ISNUMBER(H1320),F1320&gt;=Inputs!$C$68),F1320*H1320*Inputs!$C$69,"")</f>
      </c>
    </row>
    <row r="1321" spans="2:10" ht="15" customHeight="1" x14ac:dyDescent="0.2">
      <c r="B1321" s="39">
        <f t="shared" si="10"/>
      </c>
      <c r="C1321" s="40">
        <f>IF(Inputs!$C$60,Inputs!$C$11+(B1321-Inputs!$C$69)/Inputs!$C$70,"")</f>
      </c>
      <c r="D1321" s="15"/>
      <c r="E1321" s="15"/>
      <c r="F1321" s="11">
        <f t="shared" si="11"/>
      </c>
      <c r="G1321" s="22" cm="1">
        <f t="array" ref="G1321">IF(AND(Inputs!$C$60,Inputs!$C$61),INDEX(Utility_Rates!$C$29:$F$52,HOUR(C1321)+Inputs!$C$69,MATCH(INDEX(Utility_Rates!$K$6:$K$17,MONTH(C1321))&amp;IF(WEEKDAY(C1321,Inputs!$C$76)&lt;=Inputs!$C$74," weekday"," weekend"),Utility_Rates!$C$28:$F$28,Inputs!$C$68)),"")</f>
      </c>
      <c r="H1321" s="34"/>
      <c r="I1321" s="42">
        <f>IF(AND(ISNUMBER(D1321),ISNUMBER(H1321)),D1321*H1321*Inputs!$C$69,"")</f>
      </c>
      <c r="J1321" s="42">
        <f>IF(AND(ISNUMBER(F1321),ISNUMBER(H1321),F1321&gt;=Inputs!$C$68),F1321*H1321*Inputs!$C$69,"")</f>
      </c>
    </row>
    <row r="1322" spans="2:10" ht="15" customHeight="1" x14ac:dyDescent="0.2">
      <c r="B1322" s="39">
        <f t="shared" si="10"/>
      </c>
      <c r="C1322" s="40">
        <f>IF(Inputs!$C$60,Inputs!$C$11+(B1322-Inputs!$C$69)/Inputs!$C$70,"")</f>
      </c>
      <c r="D1322" s="15"/>
      <c r="E1322" s="15"/>
      <c r="F1322" s="11">
        <f t="shared" si="11"/>
      </c>
      <c r="G1322" s="22" cm="1">
        <f t="array" ref="G1322">IF(AND(Inputs!$C$60,Inputs!$C$61),INDEX(Utility_Rates!$C$29:$F$52,HOUR(C1322)+Inputs!$C$69,MATCH(INDEX(Utility_Rates!$K$6:$K$17,MONTH(C1322))&amp;IF(WEEKDAY(C1322,Inputs!$C$76)&lt;=Inputs!$C$74," weekday"," weekend"),Utility_Rates!$C$28:$F$28,Inputs!$C$68)),"")</f>
      </c>
      <c r="H1322" s="34"/>
      <c r="I1322" s="42">
        <f>IF(AND(ISNUMBER(D1322),ISNUMBER(H1322)),D1322*H1322*Inputs!$C$69,"")</f>
      </c>
      <c r="J1322" s="42">
        <f>IF(AND(ISNUMBER(F1322),ISNUMBER(H1322),F1322&gt;=Inputs!$C$68),F1322*H1322*Inputs!$C$69,"")</f>
      </c>
    </row>
    <row r="1323" spans="2:10" ht="15" customHeight="1" x14ac:dyDescent="0.2">
      <c r="B1323" s="39">
        <f t="shared" si="10"/>
      </c>
      <c r="C1323" s="40">
        <f>IF(Inputs!$C$60,Inputs!$C$11+(B1323-Inputs!$C$69)/Inputs!$C$70,"")</f>
      </c>
      <c r="D1323" s="15"/>
      <c r="E1323" s="15"/>
      <c r="F1323" s="11">
        <f t="shared" si="11"/>
      </c>
      <c r="G1323" s="22" cm="1">
        <f t="array" ref="G1323">IF(AND(Inputs!$C$60,Inputs!$C$61),INDEX(Utility_Rates!$C$29:$F$52,HOUR(C1323)+Inputs!$C$69,MATCH(INDEX(Utility_Rates!$K$6:$K$17,MONTH(C1323))&amp;IF(WEEKDAY(C1323,Inputs!$C$76)&lt;=Inputs!$C$74," weekday"," weekend"),Utility_Rates!$C$28:$F$28,Inputs!$C$68)),"")</f>
      </c>
      <c r="H1323" s="34"/>
      <c r="I1323" s="42">
        <f>IF(AND(ISNUMBER(D1323),ISNUMBER(H1323)),D1323*H1323*Inputs!$C$69,"")</f>
      </c>
      <c r="J1323" s="42">
        <f>IF(AND(ISNUMBER(F1323),ISNUMBER(H1323),F1323&gt;=Inputs!$C$68),F1323*H1323*Inputs!$C$69,"")</f>
      </c>
    </row>
    <row r="1324" spans="2:10" ht="15" customHeight="1" x14ac:dyDescent="0.2">
      <c r="B1324" s="39">
        <f t="shared" si="10"/>
      </c>
      <c r="C1324" s="40">
        <f>IF(Inputs!$C$60,Inputs!$C$11+(B1324-Inputs!$C$69)/Inputs!$C$70,"")</f>
      </c>
      <c r="D1324" s="15"/>
      <c r="E1324" s="15"/>
      <c r="F1324" s="11">
        <f t="shared" si="11"/>
      </c>
      <c r="G1324" s="22" cm="1">
        <f t="array" ref="G1324">IF(AND(Inputs!$C$60,Inputs!$C$61),INDEX(Utility_Rates!$C$29:$F$52,HOUR(C1324)+Inputs!$C$69,MATCH(INDEX(Utility_Rates!$K$6:$K$17,MONTH(C1324))&amp;IF(WEEKDAY(C1324,Inputs!$C$76)&lt;=Inputs!$C$74," weekday"," weekend"),Utility_Rates!$C$28:$F$28,Inputs!$C$68)),"")</f>
      </c>
      <c r="H1324" s="34"/>
      <c r="I1324" s="42">
        <f>IF(AND(ISNUMBER(D1324),ISNUMBER(H1324)),D1324*H1324*Inputs!$C$69,"")</f>
      </c>
      <c r="J1324" s="42">
        <f>IF(AND(ISNUMBER(F1324),ISNUMBER(H1324),F1324&gt;=Inputs!$C$68),F1324*H1324*Inputs!$C$69,"")</f>
      </c>
    </row>
    <row r="1325" spans="2:10" ht="15" customHeight="1" x14ac:dyDescent="0.2">
      <c r="B1325" s="39">
        <f t="shared" si="10"/>
      </c>
      <c r="C1325" s="40">
        <f>IF(Inputs!$C$60,Inputs!$C$11+(B1325-Inputs!$C$69)/Inputs!$C$70,"")</f>
      </c>
      <c r="D1325" s="15"/>
      <c r="E1325" s="15"/>
      <c r="F1325" s="11">
        <f t="shared" si="11"/>
      </c>
      <c r="G1325" s="22" cm="1">
        <f t="array" ref="G1325">IF(AND(Inputs!$C$60,Inputs!$C$61),INDEX(Utility_Rates!$C$29:$F$52,HOUR(C1325)+Inputs!$C$69,MATCH(INDEX(Utility_Rates!$K$6:$K$17,MONTH(C1325))&amp;IF(WEEKDAY(C1325,Inputs!$C$76)&lt;=Inputs!$C$74," weekday"," weekend"),Utility_Rates!$C$28:$F$28,Inputs!$C$68)),"")</f>
      </c>
      <c r="H1325" s="34"/>
      <c r="I1325" s="42">
        <f>IF(AND(ISNUMBER(D1325),ISNUMBER(H1325)),D1325*H1325*Inputs!$C$69,"")</f>
      </c>
      <c r="J1325" s="42">
        <f>IF(AND(ISNUMBER(F1325),ISNUMBER(H1325),F1325&gt;=Inputs!$C$68),F1325*H1325*Inputs!$C$69,"")</f>
      </c>
    </row>
    <row r="1326" spans="2:10" ht="15" customHeight="1" x14ac:dyDescent="0.2">
      <c r="B1326" s="39">
        <f t="shared" si="10"/>
      </c>
      <c r="C1326" s="40">
        <f>IF(Inputs!$C$60,Inputs!$C$11+(B1326-Inputs!$C$69)/Inputs!$C$70,"")</f>
      </c>
      <c r="D1326" s="15"/>
      <c r="E1326" s="15"/>
      <c r="F1326" s="11">
        <f t="shared" si="11"/>
      </c>
      <c r="G1326" s="22" cm="1">
        <f t="array" ref="G1326">IF(AND(Inputs!$C$60,Inputs!$C$61),INDEX(Utility_Rates!$C$29:$F$52,HOUR(C1326)+Inputs!$C$69,MATCH(INDEX(Utility_Rates!$K$6:$K$17,MONTH(C1326))&amp;IF(WEEKDAY(C1326,Inputs!$C$76)&lt;=Inputs!$C$74," weekday"," weekend"),Utility_Rates!$C$28:$F$28,Inputs!$C$68)),"")</f>
      </c>
      <c r="H1326" s="34"/>
      <c r="I1326" s="42">
        <f>IF(AND(ISNUMBER(D1326),ISNUMBER(H1326)),D1326*H1326*Inputs!$C$69,"")</f>
      </c>
      <c r="J1326" s="42">
        <f>IF(AND(ISNUMBER(F1326),ISNUMBER(H1326),F1326&gt;=Inputs!$C$68),F1326*H1326*Inputs!$C$69,"")</f>
      </c>
    </row>
    <row r="1327" spans="2:10" ht="15" customHeight="1" x14ac:dyDescent="0.2">
      <c r="B1327" s="39">
        <f t="shared" si="10"/>
      </c>
      <c r="C1327" s="40">
        <f>IF(Inputs!$C$60,Inputs!$C$11+(B1327-Inputs!$C$69)/Inputs!$C$70,"")</f>
      </c>
      <c r="D1327" s="15"/>
      <c r="E1327" s="15"/>
      <c r="F1327" s="11">
        <f t="shared" si="11"/>
      </c>
      <c r="G1327" s="22" cm="1">
        <f t="array" ref="G1327">IF(AND(Inputs!$C$60,Inputs!$C$61),INDEX(Utility_Rates!$C$29:$F$52,HOUR(C1327)+Inputs!$C$69,MATCH(INDEX(Utility_Rates!$K$6:$K$17,MONTH(C1327))&amp;IF(WEEKDAY(C1327,Inputs!$C$76)&lt;=Inputs!$C$74," weekday"," weekend"),Utility_Rates!$C$28:$F$28,Inputs!$C$68)),"")</f>
      </c>
      <c r="H1327" s="34"/>
      <c r="I1327" s="42">
        <f>IF(AND(ISNUMBER(D1327),ISNUMBER(H1327)),D1327*H1327*Inputs!$C$69,"")</f>
      </c>
      <c r="J1327" s="42">
        <f>IF(AND(ISNUMBER(F1327),ISNUMBER(H1327),F1327&gt;=Inputs!$C$68),F1327*H1327*Inputs!$C$69,"")</f>
      </c>
    </row>
    <row r="1328" spans="2:10" ht="15" customHeight="1" x14ac:dyDescent="0.2">
      <c r="B1328" s="39">
        <f t="shared" si="10"/>
      </c>
      <c r="C1328" s="40">
        <f>IF(Inputs!$C$60,Inputs!$C$11+(B1328-Inputs!$C$69)/Inputs!$C$70,"")</f>
      </c>
      <c r="D1328" s="15"/>
      <c r="E1328" s="15"/>
      <c r="F1328" s="11">
        <f t="shared" si="11"/>
      </c>
      <c r="G1328" s="22" cm="1">
        <f t="array" ref="G1328">IF(AND(Inputs!$C$60,Inputs!$C$61),INDEX(Utility_Rates!$C$29:$F$52,HOUR(C1328)+Inputs!$C$69,MATCH(INDEX(Utility_Rates!$K$6:$K$17,MONTH(C1328))&amp;IF(WEEKDAY(C1328,Inputs!$C$76)&lt;=Inputs!$C$74," weekday"," weekend"),Utility_Rates!$C$28:$F$28,Inputs!$C$68)),"")</f>
      </c>
      <c r="H1328" s="34"/>
      <c r="I1328" s="42">
        <f>IF(AND(ISNUMBER(D1328),ISNUMBER(H1328)),D1328*H1328*Inputs!$C$69,"")</f>
      </c>
      <c r="J1328" s="42">
        <f>IF(AND(ISNUMBER(F1328),ISNUMBER(H1328),F1328&gt;=Inputs!$C$68),F1328*H1328*Inputs!$C$69,"")</f>
      </c>
    </row>
    <row r="1329" spans="2:10" ht="15" customHeight="1" x14ac:dyDescent="0.2">
      <c r="B1329" s="39">
        <f t="shared" si="10"/>
      </c>
      <c r="C1329" s="40">
        <f>IF(Inputs!$C$60,Inputs!$C$11+(B1329-Inputs!$C$69)/Inputs!$C$70,"")</f>
      </c>
      <c r="D1329" s="15"/>
      <c r="E1329" s="15"/>
      <c r="F1329" s="11">
        <f t="shared" si="11"/>
      </c>
      <c r="G1329" s="22" cm="1">
        <f t="array" ref="G1329">IF(AND(Inputs!$C$60,Inputs!$C$61),INDEX(Utility_Rates!$C$29:$F$52,HOUR(C1329)+Inputs!$C$69,MATCH(INDEX(Utility_Rates!$K$6:$K$17,MONTH(C1329))&amp;IF(WEEKDAY(C1329,Inputs!$C$76)&lt;=Inputs!$C$74," weekday"," weekend"),Utility_Rates!$C$28:$F$28,Inputs!$C$68)),"")</f>
      </c>
      <c r="H1329" s="34"/>
      <c r="I1329" s="42">
        <f>IF(AND(ISNUMBER(D1329),ISNUMBER(H1329)),D1329*H1329*Inputs!$C$69,"")</f>
      </c>
      <c r="J1329" s="42">
        <f>IF(AND(ISNUMBER(F1329),ISNUMBER(H1329),F1329&gt;=Inputs!$C$68),F1329*H1329*Inputs!$C$69,"")</f>
      </c>
    </row>
    <row r="1330" spans="2:10" ht="15" customHeight="1" x14ac:dyDescent="0.2">
      <c r="B1330" s="39">
        <f t="shared" si="10"/>
      </c>
      <c r="C1330" s="40">
        <f>IF(Inputs!$C$60,Inputs!$C$11+(B1330-Inputs!$C$69)/Inputs!$C$70,"")</f>
      </c>
      <c r="D1330" s="15"/>
      <c r="E1330" s="15"/>
      <c r="F1330" s="11">
        <f t="shared" si="11"/>
      </c>
      <c r="G1330" s="22" cm="1">
        <f t="array" ref="G1330">IF(AND(Inputs!$C$60,Inputs!$C$61),INDEX(Utility_Rates!$C$29:$F$52,HOUR(C1330)+Inputs!$C$69,MATCH(INDEX(Utility_Rates!$K$6:$K$17,MONTH(C1330))&amp;IF(WEEKDAY(C1330,Inputs!$C$76)&lt;=Inputs!$C$74," weekday"," weekend"),Utility_Rates!$C$28:$F$28,Inputs!$C$68)),"")</f>
      </c>
      <c r="H1330" s="34"/>
      <c r="I1330" s="42">
        <f>IF(AND(ISNUMBER(D1330),ISNUMBER(H1330)),D1330*H1330*Inputs!$C$69,"")</f>
      </c>
      <c r="J1330" s="42">
        <f>IF(AND(ISNUMBER(F1330),ISNUMBER(H1330),F1330&gt;=Inputs!$C$68),F1330*H1330*Inputs!$C$69,"")</f>
      </c>
    </row>
    <row r="1331" spans="2:10" ht="15" customHeight="1" x14ac:dyDescent="0.2">
      <c r="B1331" s="39">
        <f t="shared" si="10"/>
      </c>
      <c r="C1331" s="40">
        <f>IF(Inputs!$C$60,Inputs!$C$11+(B1331-Inputs!$C$69)/Inputs!$C$70,"")</f>
      </c>
      <c r="D1331" s="15"/>
      <c r="E1331" s="15"/>
      <c r="F1331" s="11">
        <f t="shared" si="11"/>
      </c>
      <c r="G1331" s="22" cm="1">
        <f t="array" ref="G1331">IF(AND(Inputs!$C$60,Inputs!$C$61),INDEX(Utility_Rates!$C$29:$F$52,HOUR(C1331)+Inputs!$C$69,MATCH(INDEX(Utility_Rates!$K$6:$K$17,MONTH(C1331))&amp;IF(WEEKDAY(C1331,Inputs!$C$76)&lt;=Inputs!$C$74," weekday"," weekend"),Utility_Rates!$C$28:$F$28,Inputs!$C$68)),"")</f>
      </c>
      <c r="H1331" s="34"/>
      <c r="I1331" s="42">
        <f>IF(AND(ISNUMBER(D1331),ISNUMBER(H1331)),D1331*H1331*Inputs!$C$69,"")</f>
      </c>
      <c r="J1331" s="42">
        <f>IF(AND(ISNUMBER(F1331),ISNUMBER(H1331),F1331&gt;=Inputs!$C$68),F1331*H1331*Inputs!$C$69,"")</f>
      </c>
    </row>
    <row r="1332" spans="2:10" ht="15" customHeight="1" x14ac:dyDescent="0.2">
      <c r="B1332" s="39">
        <f t="shared" si="10"/>
      </c>
      <c r="C1332" s="40">
        <f>IF(Inputs!$C$60,Inputs!$C$11+(B1332-Inputs!$C$69)/Inputs!$C$70,"")</f>
      </c>
      <c r="D1332" s="15"/>
      <c r="E1332" s="15"/>
      <c r="F1332" s="11">
        <f t="shared" si="11"/>
      </c>
      <c r="G1332" s="22" cm="1">
        <f t="array" ref="G1332">IF(AND(Inputs!$C$60,Inputs!$C$61),INDEX(Utility_Rates!$C$29:$F$52,HOUR(C1332)+Inputs!$C$69,MATCH(INDEX(Utility_Rates!$K$6:$K$17,MONTH(C1332))&amp;IF(WEEKDAY(C1332,Inputs!$C$76)&lt;=Inputs!$C$74," weekday"," weekend"),Utility_Rates!$C$28:$F$28,Inputs!$C$68)),"")</f>
      </c>
      <c r="H1332" s="34"/>
      <c r="I1332" s="42">
        <f>IF(AND(ISNUMBER(D1332),ISNUMBER(H1332)),D1332*H1332*Inputs!$C$69,"")</f>
      </c>
      <c r="J1332" s="42">
        <f>IF(AND(ISNUMBER(F1332),ISNUMBER(H1332),F1332&gt;=Inputs!$C$68),F1332*H1332*Inputs!$C$69,"")</f>
      </c>
    </row>
    <row r="1333" spans="2:10" ht="15" customHeight="1" x14ac:dyDescent="0.2">
      <c r="B1333" s="39">
        <f t="shared" si="10"/>
      </c>
      <c r="C1333" s="40">
        <f>IF(Inputs!$C$60,Inputs!$C$11+(B1333-Inputs!$C$69)/Inputs!$C$70,"")</f>
      </c>
      <c r="D1333" s="15"/>
      <c r="E1333" s="15"/>
      <c r="F1333" s="11">
        <f t="shared" si="11"/>
      </c>
      <c r="G1333" s="22" cm="1">
        <f t="array" ref="G1333">IF(AND(Inputs!$C$60,Inputs!$C$61),INDEX(Utility_Rates!$C$29:$F$52,HOUR(C1333)+Inputs!$C$69,MATCH(INDEX(Utility_Rates!$K$6:$K$17,MONTH(C1333))&amp;IF(WEEKDAY(C1333,Inputs!$C$76)&lt;=Inputs!$C$74," weekday"," weekend"),Utility_Rates!$C$28:$F$28,Inputs!$C$68)),"")</f>
      </c>
      <c r="H1333" s="34"/>
      <c r="I1333" s="42">
        <f>IF(AND(ISNUMBER(D1333),ISNUMBER(H1333)),D1333*H1333*Inputs!$C$69,"")</f>
      </c>
      <c r="J1333" s="42">
        <f>IF(AND(ISNUMBER(F1333),ISNUMBER(H1333),F1333&gt;=Inputs!$C$68),F1333*H1333*Inputs!$C$69,"")</f>
      </c>
    </row>
    <row r="1334" spans="2:10" ht="15" customHeight="1" x14ac:dyDescent="0.2">
      <c r="B1334" s="39">
        <f t="shared" si="10"/>
      </c>
      <c r="C1334" s="40">
        <f>IF(Inputs!$C$60,Inputs!$C$11+(B1334-Inputs!$C$69)/Inputs!$C$70,"")</f>
      </c>
      <c r="D1334" s="15"/>
      <c r="E1334" s="15"/>
      <c r="F1334" s="11">
        <f t="shared" si="11"/>
      </c>
      <c r="G1334" s="22" cm="1">
        <f t="array" ref="G1334">IF(AND(Inputs!$C$60,Inputs!$C$61),INDEX(Utility_Rates!$C$29:$F$52,HOUR(C1334)+Inputs!$C$69,MATCH(INDEX(Utility_Rates!$K$6:$K$17,MONTH(C1334))&amp;IF(WEEKDAY(C1334,Inputs!$C$76)&lt;=Inputs!$C$74," weekday"," weekend"),Utility_Rates!$C$28:$F$28,Inputs!$C$68)),"")</f>
      </c>
      <c r="H1334" s="34"/>
      <c r="I1334" s="42">
        <f>IF(AND(ISNUMBER(D1334),ISNUMBER(H1334)),D1334*H1334*Inputs!$C$69,"")</f>
      </c>
      <c r="J1334" s="42">
        <f>IF(AND(ISNUMBER(F1334),ISNUMBER(H1334),F1334&gt;=Inputs!$C$68),F1334*H1334*Inputs!$C$69,"")</f>
      </c>
    </row>
    <row r="1335" spans="2:10" ht="15" customHeight="1" x14ac:dyDescent="0.2">
      <c r="B1335" s="39">
        <f t="shared" si="10"/>
      </c>
      <c r="C1335" s="40">
        <f>IF(Inputs!$C$60,Inputs!$C$11+(B1335-Inputs!$C$69)/Inputs!$C$70,"")</f>
      </c>
      <c r="D1335" s="15"/>
      <c r="E1335" s="15"/>
      <c r="F1335" s="11">
        <f t="shared" si="11"/>
      </c>
      <c r="G1335" s="22" cm="1">
        <f t="array" ref="G1335">IF(AND(Inputs!$C$60,Inputs!$C$61),INDEX(Utility_Rates!$C$29:$F$52,HOUR(C1335)+Inputs!$C$69,MATCH(INDEX(Utility_Rates!$K$6:$K$17,MONTH(C1335))&amp;IF(WEEKDAY(C1335,Inputs!$C$76)&lt;=Inputs!$C$74," weekday"," weekend"),Utility_Rates!$C$28:$F$28,Inputs!$C$68)),"")</f>
      </c>
      <c r="H1335" s="34"/>
      <c r="I1335" s="42">
        <f>IF(AND(ISNUMBER(D1335),ISNUMBER(H1335)),D1335*H1335*Inputs!$C$69,"")</f>
      </c>
      <c r="J1335" s="42">
        <f>IF(AND(ISNUMBER(F1335),ISNUMBER(H1335),F1335&gt;=Inputs!$C$68),F1335*H1335*Inputs!$C$69,"")</f>
      </c>
    </row>
    <row r="1336" spans="2:10" ht="15" customHeight="1" x14ac:dyDescent="0.2">
      <c r="B1336" s="39">
        <f t="shared" si="10"/>
      </c>
      <c r="C1336" s="40">
        <f>IF(Inputs!$C$60,Inputs!$C$11+(B1336-Inputs!$C$69)/Inputs!$C$70,"")</f>
      </c>
      <c r="D1336" s="15"/>
      <c r="E1336" s="15"/>
      <c r="F1336" s="11">
        <f t="shared" si="11"/>
      </c>
      <c r="G1336" s="22" cm="1">
        <f t="array" ref="G1336">IF(AND(Inputs!$C$60,Inputs!$C$61),INDEX(Utility_Rates!$C$29:$F$52,HOUR(C1336)+Inputs!$C$69,MATCH(INDEX(Utility_Rates!$K$6:$K$17,MONTH(C1336))&amp;IF(WEEKDAY(C1336,Inputs!$C$76)&lt;=Inputs!$C$74," weekday"," weekend"),Utility_Rates!$C$28:$F$28,Inputs!$C$68)),"")</f>
      </c>
      <c r="H1336" s="34"/>
      <c r="I1336" s="42">
        <f>IF(AND(ISNUMBER(D1336),ISNUMBER(H1336)),D1336*H1336*Inputs!$C$69,"")</f>
      </c>
      <c r="J1336" s="42">
        <f>IF(AND(ISNUMBER(F1336),ISNUMBER(H1336),F1336&gt;=Inputs!$C$68),F1336*H1336*Inputs!$C$69,"")</f>
      </c>
    </row>
    <row r="1337" spans="2:10" ht="15" customHeight="1" x14ac:dyDescent="0.2">
      <c r="B1337" s="39">
        <f t="shared" si="10"/>
      </c>
      <c r="C1337" s="40">
        <f>IF(Inputs!$C$60,Inputs!$C$11+(B1337-Inputs!$C$69)/Inputs!$C$70,"")</f>
      </c>
      <c r="D1337" s="15"/>
      <c r="E1337" s="15"/>
      <c r="F1337" s="11">
        <f t="shared" si="11"/>
      </c>
      <c r="G1337" s="22" cm="1">
        <f t="array" ref="G1337">IF(AND(Inputs!$C$60,Inputs!$C$61),INDEX(Utility_Rates!$C$29:$F$52,HOUR(C1337)+Inputs!$C$69,MATCH(INDEX(Utility_Rates!$K$6:$K$17,MONTH(C1337))&amp;IF(WEEKDAY(C1337,Inputs!$C$76)&lt;=Inputs!$C$74," weekday"," weekend"),Utility_Rates!$C$28:$F$28,Inputs!$C$68)),"")</f>
      </c>
      <c r="H1337" s="34"/>
      <c r="I1337" s="42">
        <f>IF(AND(ISNUMBER(D1337),ISNUMBER(H1337)),D1337*H1337*Inputs!$C$69,"")</f>
      </c>
      <c r="J1337" s="42">
        <f>IF(AND(ISNUMBER(F1337),ISNUMBER(H1337),F1337&gt;=Inputs!$C$68),F1337*H1337*Inputs!$C$69,"")</f>
      </c>
    </row>
    <row r="1338" spans="2:10" ht="15" customHeight="1" x14ac:dyDescent="0.2">
      <c r="B1338" s="39">
        <f t="shared" si="10"/>
      </c>
      <c r="C1338" s="40">
        <f>IF(Inputs!$C$60,Inputs!$C$11+(B1338-Inputs!$C$69)/Inputs!$C$70,"")</f>
      </c>
      <c r="D1338" s="15"/>
      <c r="E1338" s="15"/>
      <c r="F1338" s="11">
        <f t="shared" si="11"/>
      </c>
      <c r="G1338" s="22" cm="1">
        <f t="array" ref="G1338">IF(AND(Inputs!$C$60,Inputs!$C$61),INDEX(Utility_Rates!$C$29:$F$52,HOUR(C1338)+Inputs!$C$69,MATCH(INDEX(Utility_Rates!$K$6:$K$17,MONTH(C1338))&amp;IF(WEEKDAY(C1338,Inputs!$C$76)&lt;=Inputs!$C$74," weekday"," weekend"),Utility_Rates!$C$28:$F$28,Inputs!$C$68)),"")</f>
      </c>
      <c r="H1338" s="34"/>
      <c r="I1338" s="42">
        <f>IF(AND(ISNUMBER(D1338),ISNUMBER(H1338)),D1338*H1338*Inputs!$C$69,"")</f>
      </c>
      <c r="J1338" s="42">
        <f>IF(AND(ISNUMBER(F1338),ISNUMBER(H1338),F1338&gt;=Inputs!$C$68),F1338*H1338*Inputs!$C$69,"")</f>
      </c>
    </row>
    <row r="1339" spans="2:10" ht="15" customHeight="1" x14ac:dyDescent="0.2">
      <c r="B1339" s="39">
        <f t="shared" si="10"/>
      </c>
      <c r="C1339" s="40">
        <f>IF(Inputs!$C$60,Inputs!$C$11+(B1339-Inputs!$C$69)/Inputs!$C$70,"")</f>
      </c>
      <c r="D1339" s="15"/>
      <c r="E1339" s="15"/>
      <c r="F1339" s="11">
        <f t="shared" si="11"/>
      </c>
      <c r="G1339" s="22" cm="1">
        <f t="array" ref="G1339">IF(AND(Inputs!$C$60,Inputs!$C$61),INDEX(Utility_Rates!$C$29:$F$52,HOUR(C1339)+Inputs!$C$69,MATCH(INDEX(Utility_Rates!$K$6:$K$17,MONTH(C1339))&amp;IF(WEEKDAY(C1339,Inputs!$C$76)&lt;=Inputs!$C$74," weekday"," weekend"),Utility_Rates!$C$28:$F$28,Inputs!$C$68)),"")</f>
      </c>
      <c r="H1339" s="34"/>
      <c r="I1339" s="42">
        <f>IF(AND(ISNUMBER(D1339),ISNUMBER(H1339)),D1339*H1339*Inputs!$C$69,"")</f>
      </c>
      <c r="J1339" s="42">
        <f>IF(AND(ISNUMBER(F1339),ISNUMBER(H1339),F1339&gt;=Inputs!$C$68),F1339*H1339*Inputs!$C$69,"")</f>
      </c>
    </row>
    <row r="1340" spans="2:10" ht="15" customHeight="1" x14ac:dyDescent="0.2">
      <c r="B1340" s="39">
        <f t="shared" si="10"/>
      </c>
      <c r="C1340" s="40">
        <f>IF(Inputs!$C$60,Inputs!$C$11+(B1340-Inputs!$C$69)/Inputs!$C$70,"")</f>
      </c>
      <c r="D1340" s="15"/>
      <c r="E1340" s="15"/>
      <c r="F1340" s="11">
        <f t="shared" si="11"/>
      </c>
      <c r="G1340" s="22" cm="1">
        <f t="array" ref="G1340">IF(AND(Inputs!$C$60,Inputs!$C$61),INDEX(Utility_Rates!$C$29:$F$52,HOUR(C1340)+Inputs!$C$69,MATCH(INDEX(Utility_Rates!$K$6:$K$17,MONTH(C1340))&amp;IF(WEEKDAY(C1340,Inputs!$C$76)&lt;=Inputs!$C$74," weekday"," weekend"),Utility_Rates!$C$28:$F$28,Inputs!$C$68)),"")</f>
      </c>
      <c r="H1340" s="34"/>
      <c r="I1340" s="42">
        <f>IF(AND(ISNUMBER(D1340),ISNUMBER(H1340)),D1340*H1340*Inputs!$C$69,"")</f>
      </c>
      <c r="J1340" s="42">
        <f>IF(AND(ISNUMBER(F1340),ISNUMBER(H1340),F1340&gt;=Inputs!$C$68),F1340*H1340*Inputs!$C$69,"")</f>
      </c>
    </row>
    <row r="1341" spans="2:10" ht="15" customHeight="1" x14ac:dyDescent="0.2">
      <c r="B1341" s="39">
        <f t="shared" si="10"/>
      </c>
      <c r="C1341" s="40">
        <f>IF(Inputs!$C$60,Inputs!$C$11+(B1341-Inputs!$C$69)/Inputs!$C$70,"")</f>
      </c>
      <c r="D1341" s="15"/>
      <c r="E1341" s="15"/>
      <c r="F1341" s="11">
        <f t="shared" si="11"/>
      </c>
      <c r="G1341" s="22" cm="1">
        <f t="array" ref="G1341">IF(AND(Inputs!$C$60,Inputs!$C$61),INDEX(Utility_Rates!$C$29:$F$52,HOUR(C1341)+Inputs!$C$69,MATCH(INDEX(Utility_Rates!$K$6:$K$17,MONTH(C1341))&amp;IF(WEEKDAY(C1341,Inputs!$C$76)&lt;=Inputs!$C$74," weekday"," weekend"),Utility_Rates!$C$28:$F$28,Inputs!$C$68)),"")</f>
      </c>
      <c r="H1341" s="34"/>
      <c r="I1341" s="42">
        <f>IF(AND(ISNUMBER(D1341),ISNUMBER(H1341)),D1341*H1341*Inputs!$C$69,"")</f>
      </c>
      <c r="J1341" s="42">
        <f>IF(AND(ISNUMBER(F1341),ISNUMBER(H1341),F1341&gt;=Inputs!$C$68),F1341*H1341*Inputs!$C$69,"")</f>
      </c>
    </row>
    <row r="1342" spans="2:10" ht="15" customHeight="1" x14ac:dyDescent="0.2">
      <c r="B1342" s="39">
        <f t="shared" si="10"/>
      </c>
      <c r="C1342" s="40">
        <f>IF(Inputs!$C$60,Inputs!$C$11+(B1342-Inputs!$C$69)/Inputs!$C$70,"")</f>
      </c>
      <c r="D1342" s="15"/>
      <c r="E1342" s="15"/>
      <c r="F1342" s="11">
        <f t="shared" si="11"/>
      </c>
      <c r="G1342" s="22" cm="1">
        <f t="array" ref="G1342">IF(AND(Inputs!$C$60,Inputs!$C$61),INDEX(Utility_Rates!$C$29:$F$52,HOUR(C1342)+Inputs!$C$69,MATCH(INDEX(Utility_Rates!$K$6:$K$17,MONTH(C1342))&amp;IF(WEEKDAY(C1342,Inputs!$C$76)&lt;=Inputs!$C$74," weekday"," weekend"),Utility_Rates!$C$28:$F$28,Inputs!$C$68)),"")</f>
      </c>
      <c r="H1342" s="34"/>
      <c r="I1342" s="42">
        <f>IF(AND(ISNUMBER(D1342),ISNUMBER(H1342)),D1342*H1342*Inputs!$C$69,"")</f>
      </c>
      <c r="J1342" s="42">
        <f>IF(AND(ISNUMBER(F1342),ISNUMBER(H1342),F1342&gt;=Inputs!$C$68),F1342*H1342*Inputs!$C$69,"")</f>
      </c>
    </row>
    <row r="1343" spans="2:10" ht="15" customHeight="1" x14ac:dyDescent="0.2">
      <c r="B1343" s="39">
        <f t="shared" si="10"/>
      </c>
      <c r="C1343" s="40">
        <f>IF(Inputs!$C$60,Inputs!$C$11+(B1343-Inputs!$C$69)/Inputs!$C$70,"")</f>
      </c>
      <c r="D1343" s="15"/>
      <c r="E1343" s="15"/>
      <c r="F1343" s="11">
        <f t="shared" si="11"/>
      </c>
      <c r="G1343" s="22" cm="1">
        <f t="array" ref="G1343">IF(AND(Inputs!$C$60,Inputs!$C$61),INDEX(Utility_Rates!$C$29:$F$52,HOUR(C1343)+Inputs!$C$69,MATCH(INDEX(Utility_Rates!$K$6:$K$17,MONTH(C1343))&amp;IF(WEEKDAY(C1343,Inputs!$C$76)&lt;=Inputs!$C$74," weekday"," weekend"),Utility_Rates!$C$28:$F$28,Inputs!$C$68)),"")</f>
      </c>
      <c r="H1343" s="34"/>
      <c r="I1343" s="42">
        <f>IF(AND(ISNUMBER(D1343),ISNUMBER(H1343)),D1343*H1343*Inputs!$C$69,"")</f>
      </c>
      <c r="J1343" s="42">
        <f>IF(AND(ISNUMBER(F1343),ISNUMBER(H1343),F1343&gt;=Inputs!$C$68),F1343*H1343*Inputs!$C$69,"")</f>
      </c>
    </row>
    <row r="1344" spans="2:10" ht="15" customHeight="1" x14ac:dyDescent="0.2">
      <c r="B1344" s="39">
        <f t="shared" si="10"/>
      </c>
      <c r="C1344" s="40">
        <f>IF(Inputs!$C$60,Inputs!$C$11+(B1344-Inputs!$C$69)/Inputs!$C$70,"")</f>
      </c>
      <c r="D1344" s="15"/>
      <c r="E1344" s="15"/>
      <c r="F1344" s="11">
        <f t="shared" si="11"/>
      </c>
      <c r="G1344" s="22" cm="1">
        <f t="array" ref="G1344">IF(AND(Inputs!$C$60,Inputs!$C$61),INDEX(Utility_Rates!$C$29:$F$52,HOUR(C1344)+Inputs!$C$69,MATCH(INDEX(Utility_Rates!$K$6:$K$17,MONTH(C1344))&amp;IF(WEEKDAY(C1344,Inputs!$C$76)&lt;=Inputs!$C$74," weekday"," weekend"),Utility_Rates!$C$28:$F$28,Inputs!$C$68)),"")</f>
      </c>
      <c r="H1344" s="34"/>
      <c r="I1344" s="42">
        <f>IF(AND(ISNUMBER(D1344),ISNUMBER(H1344)),D1344*H1344*Inputs!$C$69,"")</f>
      </c>
      <c r="J1344" s="42">
        <f>IF(AND(ISNUMBER(F1344),ISNUMBER(H1344),F1344&gt;=Inputs!$C$68),F1344*H1344*Inputs!$C$69,"")</f>
      </c>
    </row>
    <row r="1345" spans="2:10" ht="15" customHeight="1" x14ac:dyDescent="0.2">
      <c r="B1345" s="39">
        <f t="shared" si="10"/>
      </c>
      <c r="C1345" s="40">
        <f>IF(Inputs!$C$60,Inputs!$C$11+(B1345-Inputs!$C$69)/Inputs!$C$70,"")</f>
      </c>
      <c r="D1345" s="15"/>
      <c r="E1345" s="15"/>
      <c r="F1345" s="11">
        <f t="shared" si="11"/>
      </c>
      <c r="G1345" s="22" cm="1">
        <f t="array" ref="G1345">IF(AND(Inputs!$C$60,Inputs!$C$61),INDEX(Utility_Rates!$C$29:$F$52,HOUR(C1345)+Inputs!$C$69,MATCH(INDEX(Utility_Rates!$K$6:$K$17,MONTH(C1345))&amp;IF(WEEKDAY(C1345,Inputs!$C$76)&lt;=Inputs!$C$74," weekday"," weekend"),Utility_Rates!$C$28:$F$28,Inputs!$C$68)),"")</f>
      </c>
      <c r="H1345" s="34"/>
      <c r="I1345" s="42">
        <f>IF(AND(ISNUMBER(D1345),ISNUMBER(H1345)),D1345*H1345*Inputs!$C$69,"")</f>
      </c>
      <c r="J1345" s="42">
        <f>IF(AND(ISNUMBER(F1345),ISNUMBER(H1345),F1345&gt;=Inputs!$C$68),F1345*H1345*Inputs!$C$69,"")</f>
      </c>
    </row>
    <row r="1346" spans="2:10" ht="15" customHeight="1" x14ac:dyDescent="0.2">
      <c r="B1346" s="39">
        <f t="shared" si="10"/>
      </c>
      <c r="C1346" s="40">
        <f>IF(Inputs!$C$60,Inputs!$C$11+(B1346-Inputs!$C$69)/Inputs!$C$70,"")</f>
      </c>
      <c r="D1346" s="15"/>
      <c r="E1346" s="15"/>
      <c r="F1346" s="11">
        <f t="shared" si="11"/>
      </c>
      <c r="G1346" s="22" cm="1">
        <f t="array" ref="G1346">IF(AND(Inputs!$C$60,Inputs!$C$61),INDEX(Utility_Rates!$C$29:$F$52,HOUR(C1346)+Inputs!$C$69,MATCH(INDEX(Utility_Rates!$K$6:$K$17,MONTH(C1346))&amp;IF(WEEKDAY(C1346,Inputs!$C$76)&lt;=Inputs!$C$74," weekday"," weekend"),Utility_Rates!$C$28:$F$28,Inputs!$C$68)),"")</f>
      </c>
      <c r="H1346" s="34"/>
      <c r="I1346" s="42">
        <f>IF(AND(ISNUMBER(D1346),ISNUMBER(H1346)),D1346*H1346*Inputs!$C$69,"")</f>
      </c>
      <c r="J1346" s="42">
        <f>IF(AND(ISNUMBER(F1346),ISNUMBER(H1346),F1346&gt;=Inputs!$C$68),F1346*H1346*Inputs!$C$69,"")</f>
      </c>
    </row>
    <row r="1347" spans="2:10" ht="15" customHeight="1" x14ac:dyDescent="0.2">
      <c r="B1347" s="39">
        <f t="shared" si="10"/>
      </c>
      <c r="C1347" s="40">
        <f>IF(Inputs!$C$60,Inputs!$C$11+(B1347-Inputs!$C$69)/Inputs!$C$70,"")</f>
      </c>
      <c r="D1347" s="15"/>
      <c r="E1347" s="15"/>
      <c r="F1347" s="11">
        <f t="shared" si="11"/>
      </c>
      <c r="G1347" s="22" cm="1">
        <f t="array" ref="G1347">IF(AND(Inputs!$C$60,Inputs!$C$61),INDEX(Utility_Rates!$C$29:$F$52,HOUR(C1347)+Inputs!$C$69,MATCH(INDEX(Utility_Rates!$K$6:$K$17,MONTH(C1347))&amp;IF(WEEKDAY(C1347,Inputs!$C$76)&lt;=Inputs!$C$74," weekday"," weekend"),Utility_Rates!$C$28:$F$28,Inputs!$C$68)),"")</f>
      </c>
      <c r="H1347" s="34"/>
      <c r="I1347" s="42">
        <f>IF(AND(ISNUMBER(D1347),ISNUMBER(H1347)),D1347*H1347*Inputs!$C$69,"")</f>
      </c>
      <c r="J1347" s="42">
        <f>IF(AND(ISNUMBER(F1347),ISNUMBER(H1347),F1347&gt;=Inputs!$C$68),F1347*H1347*Inputs!$C$69,"")</f>
      </c>
    </row>
    <row r="1348" spans="2:10" ht="15" customHeight="1" x14ac:dyDescent="0.2">
      <c r="B1348" s="39">
        <f t="shared" si="10"/>
      </c>
      <c r="C1348" s="40">
        <f>IF(Inputs!$C$60,Inputs!$C$11+(B1348-Inputs!$C$69)/Inputs!$C$70,"")</f>
      </c>
      <c r="D1348" s="15"/>
      <c r="E1348" s="15"/>
      <c r="F1348" s="11">
        <f t="shared" si="11"/>
      </c>
      <c r="G1348" s="22" cm="1">
        <f t="array" ref="G1348">IF(AND(Inputs!$C$60,Inputs!$C$61),INDEX(Utility_Rates!$C$29:$F$52,HOUR(C1348)+Inputs!$C$69,MATCH(INDEX(Utility_Rates!$K$6:$K$17,MONTH(C1348))&amp;IF(WEEKDAY(C1348,Inputs!$C$76)&lt;=Inputs!$C$74," weekday"," weekend"),Utility_Rates!$C$28:$F$28,Inputs!$C$68)),"")</f>
      </c>
      <c r="H1348" s="34"/>
      <c r="I1348" s="42">
        <f>IF(AND(ISNUMBER(D1348),ISNUMBER(H1348)),D1348*H1348*Inputs!$C$69,"")</f>
      </c>
      <c r="J1348" s="42">
        <f>IF(AND(ISNUMBER(F1348),ISNUMBER(H1348),F1348&gt;=Inputs!$C$68),F1348*H1348*Inputs!$C$69,"")</f>
      </c>
    </row>
    <row r="1349" spans="2:10" ht="15" customHeight="1" x14ac:dyDescent="0.2">
      <c r="B1349" s="39">
        <f t="shared" si="10"/>
      </c>
      <c r="C1349" s="40">
        <f>IF(Inputs!$C$60,Inputs!$C$11+(B1349-Inputs!$C$69)/Inputs!$C$70,"")</f>
      </c>
      <c r="D1349" s="15"/>
      <c r="E1349" s="15"/>
      <c r="F1349" s="11">
        <f t="shared" si="11"/>
      </c>
      <c r="G1349" s="22" cm="1">
        <f t="array" ref="G1349">IF(AND(Inputs!$C$60,Inputs!$C$61),INDEX(Utility_Rates!$C$29:$F$52,HOUR(C1349)+Inputs!$C$69,MATCH(INDEX(Utility_Rates!$K$6:$K$17,MONTH(C1349))&amp;IF(WEEKDAY(C1349,Inputs!$C$76)&lt;=Inputs!$C$74," weekday"," weekend"),Utility_Rates!$C$28:$F$28,Inputs!$C$68)),"")</f>
      </c>
      <c r="H1349" s="34"/>
      <c r="I1349" s="42">
        <f>IF(AND(ISNUMBER(D1349),ISNUMBER(H1349)),D1349*H1349*Inputs!$C$69,"")</f>
      </c>
      <c r="J1349" s="42">
        <f>IF(AND(ISNUMBER(F1349),ISNUMBER(H1349),F1349&gt;=Inputs!$C$68),F1349*H1349*Inputs!$C$69,"")</f>
      </c>
    </row>
    <row r="1350" spans="2:10" ht="15" customHeight="1" x14ac:dyDescent="0.2">
      <c r="B1350" s="39">
        <f t="shared" si="10"/>
      </c>
      <c r="C1350" s="40">
        <f>IF(Inputs!$C$60,Inputs!$C$11+(B1350-Inputs!$C$69)/Inputs!$C$70,"")</f>
      </c>
      <c r="D1350" s="15"/>
      <c r="E1350" s="15"/>
      <c r="F1350" s="11">
        <f t="shared" si="11"/>
      </c>
      <c r="G1350" s="22" cm="1">
        <f t="array" ref="G1350">IF(AND(Inputs!$C$60,Inputs!$C$61),INDEX(Utility_Rates!$C$29:$F$52,HOUR(C1350)+Inputs!$C$69,MATCH(INDEX(Utility_Rates!$K$6:$K$17,MONTH(C1350))&amp;IF(WEEKDAY(C1350,Inputs!$C$76)&lt;=Inputs!$C$74," weekday"," weekend"),Utility_Rates!$C$28:$F$28,Inputs!$C$68)),"")</f>
      </c>
      <c r="H1350" s="34"/>
      <c r="I1350" s="42">
        <f>IF(AND(ISNUMBER(D1350),ISNUMBER(H1350)),D1350*H1350*Inputs!$C$69,"")</f>
      </c>
      <c r="J1350" s="42">
        <f>IF(AND(ISNUMBER(F1350),ISNUMBER(H1350),F1350&gt;=Inputs!$C$68),F1350*H1350*Inputs!$C$69,"")</f>
      </c>
    </row>
    <row r="1351" spans="2:10" ht="15" customHeight="1" x14ac:dyDescent="0.2">
      <c r="B1351" s="39">
        <f t="shared" si="10"/>
      </c>
      <c r="C1351" s="40">
        <f>IF(Inputs!$C$60,Inputs!$C$11+(B1351-Inputs!$C$69)/Inputs!$C$70,"")</f>
      </c>
      <c r="D1351" s="15"/>
      <c r="E1351" s="15"/>
      <c r="F1351" s="11">
        <f t="shared" si="11"/>
      </c>
      <c r="G1351" s="22" cm="1">
        <f t="array" ref="G1351">IF(AND(Inputs!$C$60,Inputs!$C$61),INDEX(Utility_Rates!$C$29:$F$52,HOUR(C1351)+Inputs!$C$69,MATCH(INDEX(Utility_Rates!$K$6:$K$17,MONTH(C1351))&amp;IF(WEEKDAY(C1351,Inputs!$C$76)&lt;=Inputs!$C$74," weekday"," weekend"),Utility_Rates!$C$28:$F$28,Inputs!$C$68)),"")</f>
      </c>
      <c r="H1351" s="34"/>
      <c r="I1351" s="42">
        <f>IF(AND(ISNUMBER(D1351),ISNUMBER(H1351)),D1351*H1351*Inputs!$C$69,"")</f>
      </c>
      <c r="J1351" s="42">
        <f>IF(AND(ISNUMBER(F1351),ISNUMBER(H1351),F1351&gt;=Inputs!$C$68),F1351*H1351*Inputs!$C$69,"")</f>
      </c>
    </row>
    <row r="1352" spans="2:10" ht="15" customHeight="1" x14ac:dyDescent="0.2">
      <c r="B1352" s="39">
        <f t="shared" si="10"/>
      </c>
      <c r="C1352" s="40">
        <f>IF(Inputs!$C$60,Inputs!$C$11+(B1352-Inputs!$C$69)/Inputs!$C$70,"")</f>
      </c>
      <c r="D1352" s="15"/>
      <c r="E1352" s="15"/>
      <c r="F1352" s="11">
        <f t="shared" si="11"/>
      </c>
      <c r="G1352" s="22" cm="1">
        <f t="array" ref="G1352">IF(AND(Inputs!$C$60,Inputs!$C$61),INDEX(Utility_Rates!$C$29:$F$52,HOUR(C1352)+Inputs!$C$69,MATCH(INDEX(Utility_Rates!$K$6:$K$17,MONTH(C1352))&amp;IF(WEEKDAY(C1352,Inputs!$C$76)&lt;=Inputs!$C$74," weekday"," weekend"),Utility_Rates!$C$28:$F$28,Inputs!$C$68)),"")</f>
      </c>
      <c r="H1352" s="34"/>
      <c r="I1352" s="42">
        <f>IF(AND(ISNUMBER(D1352),ISNUMBER(H1352)),D1352*H1352*Inputs!$C$69,"")</f>
      </c>
      <c r="J1352" s="42">
        <f>IF(AND(ISNUMBER(F1352),ISNUMBER(H1352),F1352&gt;=Inputs!$C$68),F1352*H1352*Inputs!$C$69,"")</f>
      </c>
    </row>
    <row r="1353" spans="2:10" ht="15" customHeight="1" x14ac:dyDescent="0.2">
      <c r="B1353" s="39">
        <f t="shared" si="10"/>
      </c>
      <c r="C1353" s="40">
        <f>IF(Inputs!$C$60,Inputs!$C$11+(B1353-Inputs!$C$69)/Inputs!$C$70,"")</f>
      </c>
      <c r="D1353" s="15"/>
      <c r="E1353" s="15"/>
      <c r="F1353" s="11">
        <f t="shared" si="11"/>
      </c>
      <c r="G1353" s="22" cm="1">
        <f t="array" ref="G1353">IF(AND(Inputs!$C$60,Inputs!$C$61),INDEX(Utility_Rates!$C$29:$F$52,HOUR(C1353)+Inputs!$C$69,MATCH(INDEX(Utility_Rates!$K$6:$K$17,MONTH(C1353))&amp;IF(WEEKDAY(C1353,Inputs!$C$76)&lt;=Inputs!$C$74," weekday"," weekend"),Utility_Rates!$C$28:$F$28,Inputs!$C$68)),"")</f>
      </c>
      <c r="H1353" s="34"/>
      <c r="I1353" s="42">
        <f>IF(AND(ISNUMBER(D1353),ISNUMBER(H1353)),D1353*H1353*Inputs!$C$69,"")</f>
      </c>
      <c r="J1353" s="42">
        <f>IF(AND(ISNUMBER(F1353),ISNUMBER(H1353),F1353&gt;=Inputs!$C$68),F1353*H1353*Inputs!$C$69,"")</f>
      </c>
    </row>
    <row r="1354" spans="2:10" ht="15" customHeight="1" x14ac:dyDescent="0.2">
      <c r="B1354" s="39">
        <f t="shared" si="10"/>
      </c>
      <c r="C1354" s="40">
        <f>IF(Inputs!$C$60,Inputs!$C$11+(B1354-Inputs!$C$69)/Inputs!$C$70,"")</f>
      </c>
      <c r="D1354" s="15"/>
      <c r="E1354" s="15"/>
      <c r="F1354" s="11">
        <f t="shared" si="11"/>
      </c>
      <c r="G1354" s="22" cm="1">
        <f t="array" ref="G1354">IF(AND(Inputs!$C$60,Inputs!$C$61),INDEX(Utility_Rates!$C$29:$F$52,HOUR(C1354)+Inputs!$C$69,MATCH(INDEX(Utility_Rates!$K$6:$K$17,MONTH(C1354))&amp;IF(WEEKDAY(C1354,Inputs!$C$76)&lt;=Inputs!$C$74," weekday"," weekend"),Utility_Rates!$C$28:$F$28,Inputs!$C$68)),"")</f>
      </c>
      <c r="H1354" s="34"/>
      <c r="I1354" s="42">
        <f>IF(AND(ISNUMBER(D1354),ISNUMBER(H1354)),D1354*H1354*Inputs!$C$69,"")</f>
      </c>
      <c r="J1354" s="42">
        <f>IF(AND(ISNUMBER(F1354),ISNUMBER(H1354),F1354&gt;=Inputs!$C$68),F1354*H1354*Inputs!$C$69,"")</f>
      </c>
    </row>
    <row r="1355" spans="2:10" ht="15" customHeight="1" x14ac:dyDescent="0.2">
      <c r="B1355" s="39">
        <f t="shared" si="10"/>
      </c>
      <c r="C1355" s="40">
        <f>IF(Inputs!$C$60,Inputs!$C$11+(B1355-Inputs!$C$69)/Inputs!$C$70,"")</f>
      </c>
      <c r="D1355" s="15"/>
      <c r="E1355" s="15"/>
      <c r="F1355" s="11">
        <f t="shared" si="11"/>
      </c>
      <c r="G1355" s="22" cm="1">
        <f t="array" ref="G1355">IF(AND(Inputs!$C$60,Inputs!$C$61),INDEX(Utility_Rates!$C$29:$F$52,HOUR(C1355)+Inputs!$C$69,MATCH(INDEX(Utility_Rates!$K$6:$K$17,MONTH(C1355))&amp;IF(WEEKDAY(C1355,Inputs!$C$76)&lt;=Inputs!$C$74," weekday"," weekend"),Utility_Rates!$C$28:$F$28,Inputs!$C$68)),"")</f>
      </c>
      <c r="H1355" s="34"/>
      <c r="I1355" s="42">
        <f>IF(AND(ISNUMBER(D1355),ISNUMBER(H1355)),D1355*H1355*Inputs!$C$69,"")</f>
      </c>
      <c r="J1355" s="42">
        <f>IF(AND(ISNUMBER(F1355),ISNUMBER(H1355),F1355&gt;=Inputs!$C$68),F1355*H1355*Inputs!$C$69,"")</f>
      </c>
    </row>
    <row r="1356" spans="2:10" ht="15" customHeight="1" x14ac:dyDescent="0.2">
      <c r="B1356" s="39">
        <f t="shared" si="10"/>
      </c>
      <c r="C1356" s="40">
        <f>IF(Inputs!$C$60,Inputs!$C$11+(B1356-Inputs!$C$69)/Inputs!$C$70,"")</f>
      </c>
      <c r="D1356" s="15"/>
      <c r="E1356" s="15"/>
      <c r="F1356" s="11">
        <f t="shared" si="11"/>
      </c>
      <c r="G1356" s="22" cm="1">
        <f t="array" ref="G1356">IF(AND(Inputs!$C$60,Inputs!$C$61),INDEX(Utility_Rates!$C$29:$F$52,HOUR(C1356)+Inputs!$C$69,MATCH(INDEX(Utility_Rates!$K$6:$K$17,MONTH(C1356))&amp;IF(WEEKDAY(C1356,Inputs!$C$76)&lt;=Inputs!$C$74," weekday"," weekend"),Utility_Rates!$C$28:$F$28,Inputs!$C$68)),"")</f>
      </c>
      <c r="H1356" s="34"/>
      <c r="I1356" s="42">
        <f>IF(AND(ISNUMBER(D1356),ISNUMBER(H1356)),D1356*H1356*Inputs!$C$69,"")</f>
      </c>
      <c r="J1356" s="42">
        <f>IF(AND(ISNUMBER(F1356),ISNUMBER(H1356),F1356&gt;=Inputs!$C$68),F1356*H1356*Inputs!$C$69,"")</f>
      </c>
    </row>
    <row r="1357" spans="2:10" ht="15" customHeight="1" x14ac:dyDescent="0.2">
      <c r="B1357" s="39">
        <f t="shared" si="10"/>
      </c>
      <c r="C1357" s="40">
        <f>IF(Inputs!$C$60,Inputs!$C$11+(B1357-Inputs!$C$69)/Inputs!$C$70,"")</f>
      </c>
      <c r="D1357" s="15"/>
      <c r="E1357" s="15"/>
      <c r="F1357" s="11">
        <f t="shared" si="11"/>
      </c>
      <c r="G1357" s="22" cm="1">
        <f t="array" ref="G1357">IF(AND(Inputs!$C$60,Inputs!$C$61),INDEX(Utility_Rates!$C$29:$F$52,HOUR(C1357)+Inputs!$C$69,MATCH(INDEX(Utility_Rates!$K$6:$K$17,MONTH(C1357))&amp;IF(WEEKDAY(C1357,Inputs!$C$76)&lt;=Inputs!$C$74," weekday"," weekend"),Utility_Rates!$C$28:$F$28,Inputs!$C$68)),"")</f>
      </c>
      <c r="H1357" s="34"/>
      <c r="I1357" s="42">
        <f>IF(AND(ISNUMBER(D1357),ISNUMBER(H1357)),D1357*H1357*Inputs!$C$69,"")</f>
      </c>
      <c r="J1357" s="42">
        <f>IF(AND(ISNUMBER(F1357),ISNUMBER(H1357),F1357&gt;=Inputs!$C$68),F1357*H1357*Inputs!$C$69,"")</f>
      </c>
    </row>
    <row r="1358" spans="2:10" ht="15" customHeight="1" x14ac:dyDescent="0.2">
      <c r="B1358" s="39">
        <f t="shared" si="10"/>
      </c>
      <c r="C1358" s="40">
        <f>IF(Inputs!$C$60,Inputs!$C$11+(B1358-Inputs!$C$69)/Inputs!$C$70,"")</f>
      </c>
      <c r="D1358" s="15"/>
      <c r="E1358" s="15"/>
      <c r="F1358" s="11">
        <f t="shared" si="11"/>
      </c>
      <c r="G1358" s="22" cm="1">
        <f t="array" ref="G1358">IF(AND(Inputs!$C$60,Inputs!$C$61),INDEX(Utility_Rates!$C$29:$F$52,HOUR(C1358)+Inputs!$C$69,MATCH(INDEX(Utility_Rates!$K$6:$K$17,MONTH(C1358))&amp;IF(WEEKDAY(C1358,Inputs!$C$76)&lt;=Inputs!$C$74," weekday"," weekend"),Utility_Rates!$C$28:$F$28,Inputs!$C$68)),"")</f>
      </c>
      <c r="H1358" s="34"/>
      <c r="I1358" s="42">
        <f>IF(AND(ISNUMBER(D1358),ISNUMBER(H1358)),D1358*H1358*Inputs!$C$69,"")</f>
      </c>
      <c r="J1358" s="42">
        <f>IF(AND(ISNUMBER(F1358),ISNUMBER(H1358),F1358&gt;=Inputs!$C$68),F1358*H1358*Inputs!$C$69,"")</f>
      </c>
    </row>
    <row r="1359" spans="2:10" ht="15" customHeight="1" x14ac:dyDescent="0.2">
      <c r="B1359" s="39">
        <f t="shared" si="10"/>
      </c>
      <c r="C1359" s="40">
        <f>IF(Inputs!$C$60,Inputs!$C$11+(B1359-Inputs!$C$69)/Inputs!$C$70,"")</f>
      </c>
      <c r="D1359" s="15"/>
      <c r="E1359" s="15"/>
      <c r="F1359" s="11">
        <f t="shared" si="11"/>
      </c>
      <c r="G1359" s="22" cm="1">
        <f t="array" ref="G1359">IF(AND(Inputs!$C$60,Inputs!$C$61),INDEX(Utility_Rates!$C$29:$F$52,HOUR(C1359)+Inputs!$C$69,MATCH(INDEX(Utility_Rates!$K$6:$K$17,MONTH(C1359))&amp;IF(WEEKDAY(C1359,Inputs!$C$76)&lt;=Inputs!$C$74," weekday"," weekend"),Utility_Rates!$C$28:$F$28,Inputs!$C$68)),"")</f>
      </c>
      <c r="H1359" s="34"/>
      <c r="I1359" s="42">
        <f>IF(AND(ISNUMBER(D1359),ISNUMBER(H1359)),D1359*H1359*Inputs!$C$69,"")</f>
      </c>
      <c r="J1359" s="42">
        <f>IF(AND(ISNUMBER(F1359),ISNUMBER(H1359),F1359&gt;=Inputs!$C$68),F1359*H1359*Inputs!$C$69,"")</f>
      </c>
    </row>
    <row r="1360" spans="2:10" ht="15" customHeight="1" x14ac:dyDescent="0.2">
      <c r="B1360" s="39">
        <f t="shared" si="10"/>
      </c>
      <c r="C1360" s="40">
        <f>IF(Inputs!$C$60,Inputs!$C$11+(B1360-Inputs!$C$69)/Inputs!$C$70,"")</f>
      </c>
      <c r="D1360" s="15"/>
      <c r="E1360" s="15"/>
      <c r="F1360" s="11">
        <f t="shared" si="11"/>
      </c>
      <c r="G1360" s="22" cm="1">
        <f t="array" ref="G1360">IF(AND(Inputs!$C$60,Inputs!$C$61),INDEX(Utility_Rates!$C$29:$F$52,HOUR(C1360)+Inputs!$C$69,MATCH(INDEX(Utility_Rates!$K$6:$K$17,MONTH(C1360))&amp;IF(WEEKDAY(C1360,Inputs!$C$76)&lt;=Inputs!$C$74," weekday"," weekend"),Utility_Rates!$C$28:$F$28,Inputs!$C$68)),"")</f>
      </c>
      <c r="H1360" s="34"/>
      <c r="I1360" s="42">
        <f>IF(AND(ISNUMBER(D1360),ISNUMBER(H1360)),D1360*H1360*Inputs!$C$69,"")</f>
      </c>
      <c r="J1360" s="42">
        <f>IF(AND(ISNUMBER(F1360),ISNUMBER(H1360),F1360&gt;=Inputs!$C$68),F1360*H1360*Inputs!$C$69,"")</f>
      </c>
    </row>
    <row r="1361" spans="2:10" ht="15" customHeight="1" x14ac:dyDescent="0.2">
      <c r="B1361" s="39">
        <f t="shared" si="10"/>
      </c>
      <c r="C1361" s="40">
        <f>IF(Inputs!$C$60,Inputs!$C$11+(B1361-Inputs!$C$69)/Inputs!$C$70,"")</f>
      </c>
      <c r="D1361" s="15"/>
      <c r="E1361" s="15"/>
      <c r="F1361" s="11">
        <f t="shared" si="11"/>
      </c>
      <c r="G1361" s="22" cm="1">
        <f t="array" ref="G1361">IF(AND(Inputs!$C$60,Inputs!$C$61),INDEX(Utility_Rates!$C$29:$F$52,HOUR(C1361)+Inputs!$C$69,MATCH(INDEX(Utility_Rates!$K$6:$K$17,MONTH(C1361))&amp;IF(WEEKDAY(C1361,Inputs!$C$76)&lt;=Inputs!$C$74," weekday"," weekend"),Utility_Rates!$C$28:$F$28,Inputs!$C$68)),"")</f>
      </c>
      <c r="H1361" s="34"/>
      <c r="I1361" s="42">
        <f>IF(AND(ISNUMBER(D1361),ISNUMBER(H1361)),D1361*H1361*Inputs!$C$69,"")</f>
      </c>
      <c r="J1361" s="42">
        <f>IF(AND(ISNUMBER(F1361),ISNUMBER(H1361),F1361&gt;=Inputs!$C$68),F1361*H1361*Inputs!$C$69,"")</f>
      </c>
    </row>
    <row r="1362" spans="2:10" ht="15" customHeight="1" x14ac:dyDescent="0.2">
      <c r="B1362" s="39">
        <f t="shared" si="10"/>
      </c>
      <c r="C1362" s="40">
        <f>IF(Inputs!$C$60,Inputs!$C$11+(B1362-Inputs!$C$69)/Inputs!$C$70,"")</f>
      </c>
      <c r="D1362" s="15"/>
      <c r="E1362" s="15"/>
      <c r="F1362" s="11">
        <f t="shared" si="11"/>
      </c>
      <c r="G1362" s="22" cm="1">
        <f t="array" ref="G1362">IF(AND(Inputs!$C$60,Inputs!$C$61),INDEX(Utility_Rates!$C$29:$F$52,HOUR(C1362)+Inputs!$C$69,MATCH(INDEX(Utility_Rates!$K$6:$K$17,MONTH(C1362))&amp;IF(WEEKDAY(C1362,Inputs!$C$76)&lt;=Inputs!$C$74," weekday"," weekend"),Utility_Rates!$C$28:$F$28,Inputs!$C$68)),"")</f>
      </c>
      <c r="H1362" s="34"/>
      <c r="I1362" s="42">
        <f>IF(AND(ISNUMBER(D1362),ISNUMBER(H1362)),D1362*H1362*Inputs!$C$69,"")</f>
      </c>
      <c r="J1362" s="42">
        <f>IF(AND(ISNUMBER(F1362),ISNUMBER(H1362),F1362&gt;=Inputs!$C$68),F1362*H1362*Inputs!$C$69,"")</f>
      </c>
    </row>
    <row r="1363" spans="2:10" ht="15" customHeight="1" x14ac:dyDescent="0.2">
      <c r="B1363" s="39">
        <f t="shared" si="10"/>
      </c>
      <c r="C1363" s="40">
        <f>IF(Inputs!$C$60,Inputs!$C$11+(B1363-Inputs!$C$69)/Inputs!$C$70,"")</f>
      </c>
      <c r="D1363" s="15"/>
      <c r="E1363" s="15"/>
      <c r="F1363" s="11">
        <f t="shared" si="11"/>
      </c>
      <c r="G1363" s="22" cm="1">
        <f t="array" ref="G1363">IF(AND(Inputs!$C$60,Inputs!$C$61),INDEX(Utility_Rates!$C$29:$F$52,HOUR(C1363)+Inputs!$C$69,MATCH(INDEX(Utility_Rates!$K$6:$K$17,MONTH(C1363))&amp;IF(WEEKDAY(C1363,Inputs!$C$76)&lt;=Inputs!$C$74," weekday"," weekend"),Utility_Rates!$C$28:$F$28,Inputs!$C$68)),"")</f>
      </c>
      <c r="H1363" s="34"/>
      <c r="I1363" s="42">
        <f>IF(AND(ISNUMBER(D1363),ISNUMBER(H1363)),D1363*H1363*Inputs!$C$69,"")</f>
      </c>
      <c r="J1363" s="42">
        <f>IF(AND(ISNUMBER(F1363),ISNUMBER(H1363),F1363&gt;=Inputs!$C$68),F1363*H1363*Inputs!$C$69,"")</f>
      </c>
    </row>
    <row r="1364" spans="2:10" ht="15" customHeight="1" x14ac:dyDescent="0.2">
      <c r="B1364" s="39">
        <f t="shared" si="10"/>
      </c>
      <c r="C1364" s="40">
        <f>IF(Inputs!$C$60,Inputs!$C$11+(B1364-Inputs!$C$69)/Inputs!$C$70,"")</f>
      </c>
      <c r="D1364" s="15"/>
      <c r="E1364" s="15"/>
      <c r="F1364" s="11">
        <f t="shared" si="11"/>
      </c>
      <c r="G1364" s="22" cm="1">
        <f t="array" ref="G1364">IF(AND(Inputs!$C$60,Inputs!$C$61),INDEX(Utility_Rates!$C$29:$F$52,HOUR(C1364)+Inputs!$C$69,MATCH(INDEX(Utility_Rates!$K$6:$K$17,MONTH(C1364))&amp;IF(WEEKDAY(C1364,Inputs!$C$76)&lt;=Inputs!$C$74," weekday"," weekend"),Utility_Rates!$C$28:$F$28,Inputs!$C$68)),"")</f>
      </c>
      <c r="H1364" s="34"/>
      <c r="I1364" s="42">
        <f>IF(AND(ISNUMBER(D1364),ISNUMBER(H1364)),D1364*H1364*Inputs!$C$69,"")</f>
      </c>
      <c r="J1364" s="42">
        <f>IF(AND(ISNUMBER(F1364),ISNUMBER(H1364),F1364&gt;=Inputs!$C$68),F1364*H1364*Inputs!$C$69,"")</f>
      </c>
    </row>
    <row r="1365" spans="2:10" ht="15" customHeight="1" x14ac:dyDescent="0.2">
      <c r="B1365" s="39">
        <f t="shared" si="10"/>
      </c>
      <c r="C1365" s="40">
        <f>IF(Inputs!$C$60,Inputs!$C$11+(B1365-Inputs!$C$69)/Inputs!$C$70,"")</f>
      </c>
      <c r="D1365" s="15"/>
      <c r="E1365" s="15"/>
      <c r="F1365" s="11">
        <f t="shared" si="11"/>
      </c>
      <c r="G1365" s="22" cm="1">
        <f t="array" ref="G1365">IF(AND(Inputs!$C$60,Inputs!$C$61),INDEX(Utility_Rates!$C$29:$F$52,HOUR(C1365)+Inputs!$C$69,MATCH(INDEX(Utility_Rates!$K$6:$K$17,MONTH(C1365))&amp;IF(WEEKDAY(C1365,Inputs!$C$76)&lt;=Inputs!$C$74," weekday"," weekend"),Utility_Rates!$C$28:$F$28,Inputs!$C$68)),"")</f>
      </c>
      <c r="H1365" s="34"/>
      <c r="I1365" s="42">
        <f>IF(AND(ISNUMBER(D1365),ISNUMBER(H1365)),D1365*H1365*Inputs!$C$69,"")</f>
      </c>
      <c r="J1365" s="42">
        <f>IF(AND(ISNUMBER(F1365),ISNUMBER(H1365),F1365&gt;=Inputs!$C$68),F1365*H1365*Inputs!$C$69,"")</f>
      </c>
    </row>
    <row r="1366" spans="2:10" ht="15" customHeight="1" x14ac:dyDescent="0.2">
      <c r="B1366" s="39">
        <f t="shared" si="10"/>
      </c>
      <c r="C1366" s="40">
        <f>IF(Inputs!$C$60,Inputs!$C$11+(B1366-Inputs!$C$69)/Inputs!$C$70,"")</f>
      </c>
      <c r="D1366" s="15"/>
      <c r="E1366" s="15"/>
      <c r="F1366" s="11">
        <f t="shared" si="11"/>
      </c>
      <c r="G1366" s="22" cm="1">
        <f t="array" ref="G1366">IF(AND(Inputs!$C$60,Inputs!$C$61),INDEX(Utility_Rates!$C$29:$F$52,HOUR(C1366)+Inputs!$C$69,MATCH(INDEX(Utility_Rates!$K$6:$K$17,MONTH(C1366))&amp;IF(WEEKDAY(C1366,Inputs!$C$76)&lt;=Inputs!$C$74," weekday"," weekend"),Utility_Rates!$C$28:$F$28,Inputs!$C$68)),"")</f>
      </c>
      <c r="H1366" s="34"/>
      <c r="I1366" s="42">
        <f>IF(AND(ISNUMBER(D1366),ISNUMBER(H1366)),D1366*H1366*Inputs!$C$69,"")</f>
      </c>
      <c r="J1366" s="42">
        <f>IF(AND(ISNUMBER(F1366),ISNUMBER(H1366),F1366&gt;=Inputs!$C$68),F1366*H1366*Inputs!$C$69,"")</f>
      </c>
    </row>
    <row r="1367" spans="2:10" ht="15" customHeight="1" x14ac:dyDescent="0.2">
      <c r="B1367" s="39">
        <f t="shared" si="10"/>
      </c>
      <c r="C1367" s="40">
        <f>IF(Inputs!$C$60,Inputs!$C$11+(B1367-Inputs!$C$69)/Inputs!$C$70,"")</f>
      </c>
      <c r="D1367" s="15"/>
      <c r="E1367" s="15"/>
      <c r="F1367" s="11">
        <f t="shared" si="11"/>
      </c>
      <c r="G1367" s="22" cm="1">
        <f t="array" ref="G1367">IF(AND(Inputs!$C$60,Inputs!$C$61),INDEX(Utility_Rates!$C$29:$F$52,HOUR(C1367)+Inputs!$C$69,MATCH(INDEX(Utility_Rates!$K$6:$K$17,MONTH(C1367))&amp;IF(WEEKDAY(C1367,Inputs!$C$76)&lt;=Inputs!$C$74," weekday"," weekend"),Utility_Rates!$C$28:$F$28,Inputs!$C$68)),"")</f>
      </c>
      <c r="H1367" s="34"/>
      <c r="I1367" s="42">
        <f>IF(AND(ISNUMBER(D1367),ISNUMBER(H1367)),D1367*H1367*Inputs!$C$69,"")</f>
      </c>
      <c r="J1367" s="42">
        <f>IF(AND(ISNUMBER(F1367),ISNUMBER(H1367),F1367&gt;=Inputs!$C$68),F1367*H1367*Inputs!$C$69,"")</f>
      </c>
    </row>
    <row r="1368" spans="2:10" ht="15" customHeight="1" x14ac:dyDescent="0.2">
      <c r="B1368" s="39">
        <f t="shared" si="10"/>
      </c>
      <c r="C1368" s="40">
        <f>IF(Inputs!$C$60,Inputs!$C$11+(B1368-Inputs!$C$69)/Inputs!$C$70,"")</f>
      </c>
      <c r="D1368" s="15"/>
      <c r="E1368" s="15"/>
      <c r="F1368" s="11">
        <f t="shared" si="11"/>
      </c>
      <c r="G1368" s="22" cm="1">
        <f t="array" ref="G1368">IF(AND(Inputs!$C$60,Inputs!$C$61),INDEX(Utility_Rates!$C$29:$F$52,HOUR(C1368)+Inputs!$C$69,MATCH(INDEX(Utility_Rates!$K$6:$K$17,MONTH(C1368))&amp;IF(WEEKDAY(C1368,Inputs!$C$76)&lt;=Inputs!$C$74," weekday"," weekend"),Utility_Rates!$C$28:$F$28,Inputs!$C$68)),"")</f>
      </c>
      <c r="H1368" s="34"/>
      <c r="I1368" s="42">
        <f>IF(AND(ISNUMBER(D1368),ISNUMBER(H1368)),D1368*H1368*Inputs!$C$69,"")</f>
      </c>
      <c r="J1368" s="42">
        <f>IF(AND(ISNUMBER(F1368),ISNUMBER(H1368),F1368&gt;=Inputs!$C$68),F1368*H1368*Inputs!$C$69,"")</f>
      </c>
    </row>
    <row r="1369" spans="2:10" ht="15" customHeight="1" x14ac:dyDescent="0.2">
      <c r="B1369" s="39">
        <f t="shared" si="10"/>
      </c>
      <c r="C1369" s="40">
        <f>IF(Inputs!$C$60,Inputs!$C$11+(B1369-Inputs!$C$69)/Inputs!$C$70,"")</f>
      </c>
      <c r="D1369" s="15"/>
      <c r="E1369" s="15"/>
      <c r="F1369" s="11">
        <f t="shared" si="11"/>
      </c>
      <c r="G1369" s="22" cm="1">
        <f t="array" ref="G1369">IF(AND(Inputs!$C$60,Inputs!$C$61),INDEX(Utility_Rates!$C$29:$F$52,HOUR(C1369)+Inputs!$C$69,MATCH(INDEX(Utility_Rates!$K$6:$K$17,MONTH(C1369))&amp;IF(WEEKDAY(C1369,Inputs!$C$76)&lt;=Inputs!$C$74," weekday"," weekend"),Utility_Rates!$C$28:$F$28,Inputs!$C$68)),"")</f>
      </c>
      <c r="H1369" s="34"/>
      <c r="I1369" s="42">
        <f>IF(AND(ISNUMBER(D1369),ISNUMBER(H1369)),D1369*H1369*Inputs!$C$69,"")</f>
      </c>
      <c r="J1369" s="42">
        <f>IF(AND(ISNUMBER(F1369),ISNUMBER(H1369),F1369&gt;=Inputs!$C$68),F1369*H1369*Inputs!$C$69,"")</f>
      </c>
    </row>
    <row r="1370" spans="2:10" ht="15" customHeight="1" x14ac:dyDescent="0.2">
      <c r="B1370" s="39">
        <f t="shared" si="10"/>
      </c>
      <c r="C1370" s="40">
        <f>IF(Inputs!$C$60,Inputs!$C$11+(B1370-Inputs!$C$69)/Inputs!$C$70,"")</f>
      </c>
      <c r="D1370" s="15"/>
      <c r="E1370" s="15"/>
      <c r="F1370" s="11">
        <f t="shared" si="11"/>
      </c>
      <c r="G1370" s="22" cm="1">
        <f t="array" ref="G1370">IF(AND(Inputs!$C$60,Inputs!$C$61),INDEX(Utility_Rates!$C$29:$F$52,HOUR(C1370)+Inputs!$C$69,MATCH(INDEX(Utility_Rates!$K$6:$K$17,MONTH(C1370))&amp;IF(WEEKDAY(C1370,Inputs!$C$76)&lt;=Inputs!$C$74," weekday"," weekend"),Utility_Rates!$C$28:$F$28,Inputs!$C$68)),"")</f>
      </c>
      <c r="H1370" s="34"/>
      <c r="I1370" s="42">
        <f>IF(AND(ISNUMBER(D1370),ISNUMBER(H1370)),D1370*H1370*Inputs!$C$69,"")</f>
      </c>
      <c r="J1370" s="42">
        <f>IF(AND(ISNUMBER(F1370),ISNUMBER(H1370),F1370&gt;=Inputs!$C$68),F1370*H1370*Inputs!$C$69,"")</f>
      </c>
    </row>
    <row r="1371" spans="2:10" ht="15" customHeight="1" x14ac:dyDescent="0.2">
      <c r="B1371" s="39">
        <f t="shared" si="10"/>
      </c>
      <c r="C1371" s="40">
        <f>IF(Inputs!$C$60,Inputs!$C$11+(B1371-Inputs!$C$69)/Inputs!$C$70,"")</f>
      </c>
      <c r="D1371" s="15"/>
      <c r="E1371" s="15"/>
      <c r="F1371" s="11">
        <f t="shared" si="11"/>
      </c>
      <c r="G1371" s="22" cm="1">
        <f t="array" ref="G1371">IF(AND(Inputs!$C$60,Inputs!$C$61),INDEX(Utility_Rates!$C$29:$F$52,HOUR(C1371)+Inputs!$C$69,MATCH(INDEX(Utility_Rates!$K$6:$K$17,MONTH(C1371))&amp;IF(WEEKDAY(C1371,Inputs!$C$76)&lt;=Inputs!$C$74," weekday"," weekend"),Utility_Rates!$C$28:$F$28,Inputs!$C$68)),"")</f>
      </c>
      <c r="H1371" s="34"/>
      <c r="I1371" s="42">
        <f>IF(AND(ISNUMBER(D1371),ISNUMBER(H1371)),D1371*H1371*Inputs!$C$69,"")</f>
      </c>
      <c r="J1371" s="42">
        <f>IF(AND(ISNUMBER(F1371),ISNUMBER(H1371),F1371&gt;=Inputs!$C$68),F1371*H1371*Inputs!$C$69,"")</f>
      </c>
    </row>
    <row r="1372" spans="2:10" ht="15" customHeight="1" x14ac:dyDescent="0.2">
      <c r="B1372" s="39">
        <f t="shared" si="10"/>
      </c>
      <c r="C1372" s="40">
        <f>IF(Inputs!$C$60,Inputs!$C$11+(B1372-Inputs!$C$69)/Inputs!$C$70,"")</f>
      </c>
      <c r="D1372" s="15"/>
      <c r="E1372" s="15"/>
      <c r="F1372" s="11">
        <f t="shared" si="11"/>
      </c>
      <c r="G1372" s="22" cm="1">
        <f t="array" ref="G1372">IF(AND(Inputs!$C$60,Inputs!$C$61),INDEX(Utility_Rates!$C$29:$F$52,HOUR(C1372)+Inputs!$C$69,MATCH(INDEX(Utility_Rates!$K$6:$K$17,MONTH(C1372))&amp;IF(WEEKDAY(C1372,Inputs!$C$76)&lt;=Inputs!$C$74," weekday"," weekend"),Utility_Rates!$C$28:$F$28,Inputs!$C$68)),"")</f>
      </c>
      <c r="H1372" s="34"/>
      <c r="I1372" s="42">
        <f>IF(AND(ISNUMBER(D1372),ISNUMBER(H1372)),D1372*H1372*Inputs!$C$69,"")</f>
      </c>
      <c r="J1372" s="42">
        <f>IF(AND(ISNUMBER(F1372),ISNUMBER(H1372),F1372&gt;=Inputs!$C$68),F1372*H1372*Inputs!$C$69,"")</f>
      </c>
    </row>
    <row r="1373" spans="2:10" ht="15" customHeight="1" x14ac:dyDescent="0.2">
      <c r="B1373" s="39">
        <f t="shared" si="10"/>
      </c>
      <c r="C1373" s="40">
        <f>IF(Inputs!$C$60,Inputs!$C$11+(B1373-Inputs!$C$69)/Inputs!$C$70,"")</f>
      </c>
      <c r="D1373" s="15"/>
      <c r="E1373" s="15"/>
      <c r="F1373" s="11">
        <f t="shared" si="11"/>
      </c>
      <c r="G1373" s="22" cm="1">
        <f t="array" ref="G1373">IF(AND(Inputs!$C$60,Inputs!$C$61),INDEX(Utility_Rates!$C$29:$F$52,HOUR(C1373)+Inputs!$C$69,MATCH(INDEX(Utility_Rates!$K$6:$K$17,MONTH(C1373))&amp;IF(WEEKDAY(C1373,Inputs!$C$76)&lt;=Inputs!$C$74," weekday"," weekend"),Utility_Rates!$C$28:$F$28,Inputs!$C$68)),"")</f>
      </c>
      <c r="H1373" s="34"/>
      <c r="I1373" s="42">
        <f>IF(AND(ISNUMBER(D1373),ISNUMBER(H1373)),D1373*H1373*Inputs!$C$69,"")</f>
      </c>
      <c r="J1373" s="42">
        <f>IF(AND(ISNUMBER(F1373),ISNUMBER(H1373),F1373&gt;=Inputs!$C$68),F1373*H1373*Inputs!$C$69,"")</f>
      </c>
    </row>
    <row r="1374" spans="2:10" ht="15" customHeight="1" x14ac:dyDescent="0.2">
      <c r="B1374" s="39">
        <f t="shared" si="10"/>
      </c>
      <c r="C1374" s="40">
        <f>IF(Inputs!$C$60,Inputs!$C$11+(B1374-Inputs!$C$69)/Inputs!$C$70,"")</f>
      </c>
      <c r="D1374" s="15"/>
      <c r="E1374" s="15"/>
      <c r="F1374" s="11">
        <f t="shared" si="11"/>
      </c>
      <c r="G1374" s="22" cm="1">
        <f t="array" ref="G1374">IF(AND(Inputs!$C$60,Inputs!$C$61),INDEX(Utility_Rates!$C$29:$F$52,HOUR(C1374)+Inputs!$C$69,MATCH(INDEX(Utility_Rates!$K$6:$K$17,MONTH(C1374))&amp;IF(WEEKDAY(C1374,Inputs!$C$76)&lt;=Inputs!$C$74," weekday"," weekend"),Utility_Rates!$C$28:$F$28,Inputs!$C$68)),"")</f>
      </c>
      <c r="H1374" s="34"/>
      <c r="I1374" s="42">
        <f>IF(AND(ISNUMBER(D1374),ISNUMBER(H1374)),D1374*H1374*Inputs!$C$69,"")</f>
      </c>
      <c r="J1374" s="42">
        <f>IF(AND(ISNUMBER(F1374),ISNUMBER(H1374),F1374&gt;=Inputs!$C$68),F1374*H1374*Inputs!$C$69,"")</f>
      </c>
    </row>
    <row r="1375" spans="2:10" ht="15" customHeight="1" x14ac:dyDescent="0.2">
      <c r="B1375" s="39">
        <f t="shared" si="10"/>
      </c>
      <c r="C1375" s="40">
        <f>IF(Inputs!$C$60,Inputs!$C$11+(B1375-Inputs!$C$69)/Inputs!$C$70,"")</f>
      </c>
      <c r="D1375" s="15"/>
      <c r="E1375" s="15"/>
      <c r="F1375" s="11">
        <f t="shared" si="11"/>
      </c>
      <c r="G1375" s="22" cm="1">
        <f t="array" ref="G1375">IF(AND(Inputs!$C$60,Inputs!$C$61),INDEX(Utility_Rates!$C$29:$F$52,HOUR(C1375)+Inputs!$C$69,MATCH(INDEX(Utility_Rates!$K$6:$K$17,MONTH(C1375))&amp;IF(WEEKDAY(C1375,Inputs!$C$76)&lt;=Inputs!$C$74," weekday"," weekend"),Utility_Rates!$C$28:$F$28,Inputs!$C$68)),"")</f>
      </c>
      <c r="H1375" s="34"/>
      <c r="I1375" s="42">
        <f>IF(AND(ISNUMBER(D1375),ISNUMBER(H1375)),D1375*H1375*Inputs!$C$69,"")</f>
      </c>
      <c r="J1375" s="42">
        <f>IF(AND(ISNUMBER(F1375),ISNUMBER(H1375),F1375&gt;=Inputs!$C$68),F1375*H1375*Inputs!$C$69,"")</f>
      </c>
    </row>
    <row r="1376" spans="2:10" ht="15" customHeight="1" x14ac:dyDescent="0.2">
      <c r="B1376" s="39">
        <f t="shared" si="10"/>
      </c>
      <c r="C1376" s="40">
        <f>IF(Inputs!$C$60,Inputs!$C$11+(B1376-Inputs!$C$69)/Inputs!$C$70,"")</f>
      </c>
      <c r="D1376" s="15"/>
      <c r="E1376" s="15"/>
      <c r="F1376" s="11">
        <f t="shared" si="11"/>
      </c>
      <c r="G1376" s="22" cm="1">
        <f t="array" ref="G1376">IF(AND(Inputs!$C$60,Inputs!$C$61),INDEX(Utility_Rates!$C$29:$F$52,HOUR(C1376)+Inputs!$C$69,MATCH(INDEX(Utility_Rates!$K$6:$K$17,MONTH(C1376))&amp;IF(WEEKDAY(C1376,Inputs!$C$76)&lt;=Inputs!$C$74," weekday"," weekend"),Utility_Rates!$C$28:$F$28,Inputs!$C$68)),"")</f>
      </c>
      <c r="H1376" s="34"/>
      <c r="I1376" s="42">
        <f>IF(AND(ISNUMBER(D1376),ISNUMBER(H1376)),D1376*H1376*Inputs!$C$69,"")</f>
      </c>
      <c r="J1376" s="42">
        <f>IF(AND(ISNUMBER(F1376),ISNUMBER(H1376),F1376&gt;=Inputs!$C$68),F1376*H1376*Inputs!$C$69,"")</f>
      </c>
    </row>
    <row r="1377" spans="2:10" ht="15" customHeight="1" x14ac:dyDescent="0.2">
      <c r="B1377" s="39">
        <f t="shared" si="10"/>
      </c>
      <c r="C1377" s="40">
        <f>IF(Inputs!$C$60,Inputs!$C$11+(B1377-Inputs!$C$69)/Inputs!$C$70,"")</f>
      </c>
      <c r="D1377" s="15"/>
      <c r="E1377" s="15"/>
      <c r="F1377" s="11">
        <f t="shared" si="11"/>
      </c>
      <c r="G1377" s="22" cm="1">
        <f t="array" ref="G1377">IF(AND(Inputs!$C$60,Inputs!$C$61),INDEX(Utility_Rates!$C$29:$F$52,HOUR(C1377)+Inputs!$C$69,MATCH(INDEX(Utility_Rates!$K$6:$K$17,MONTH(C1377))&amp;IF(WEEKDAY(C1377,Inputs!$C$76)&lt;=Inputs!$C$74," weekday"," weekend"),Utility_Rates!$C$28:$F$28,Inputs!$C$68)),"")</f>
      </c>
      <c r="H1377" s="34"/>
      <c r="I1377" s="42">
        <f>IF(AND(ISNUMBER(D1377),ISNUMBER(H1377)),D1377*H1377*Inputs!$C$69,"")</f>
      </c>
      <c r="J1377" s="42">
        <f>IF(AND(ISNUMBER(F1377),ISNUMBER(H1377),F1377&gt;=Inputs!$C$68),F1377*H1377*Inputs!$C$69,"")</f>
      </c>
    </row>
    <row r="1378" spans="2:10" ht="15" customHeight="1" x14ac:dyDescent="0.2">
      <c r="B1378" s="39">
        <f t="shared" si="10"/>
      </c>
      <c r="C1378" s="40">
        <f>IF(Inputs!$C$60,Inputs!$C$11+(B1378-Inputs!$C$69)/Inputs!$C$70,"")</f>
      </c>
      <c r="D1378" s="15"/>
      <c r="E1378" s="15"/>
      <c r="F1378" s="11">
        <f t="shared" si="11"/>
      </c>
      <c r="G1378" s="22" cm="1">
        <f t="array" ref="G1378">IF(AND(Inputs!$C$60,Inputs!$C$61),INDEX(Utility_Rates!$C$29:$F$52,HOUR(C1378)+Inputs!$C$69,MATCH(INDEX(Utility_Rates!$K$6:$K$17,MONTH(C1378))&amp;IF(WEEKDAY(C1378,Inputs!$C$76)&lt;=Inputs!$C$74," weekday"," weekend"),Utility_Rates!$C$28:$F$28,Inputs!$C$68)),"")</f>
      </c>
      <c r="H1378" s="34"/>
      <c r="I1378" s="42">
        <f>IF(AND(ISNUMBER(D1378),ISNUMBER(H1378)),D1378*H1378*Inputs!$C$69,"")</f>
      </c>
      <c r="J1378" s="42">
        <f>IF(AND(ISNUMBER(F1378),ISNUMBER(H1378),F1378&gt;=Inputs!$C$68),F1378*H1378*Inputs!$C$69,"")</f>
      </c>
    </row>
    <row r="1379" spans="2:10" ht="15" customHeight="1" x14ac:dyDescent="0.2">
      <c r="B1379" s="39">
        <f t="shared" si="10"/>
      </c>
      <c r="C1379" s="40">
        <f>IF(Inputs!$C$60,Inputs!$C$11+(B1379-Inputs!$C$69)/Inputs!$C$70,"")</f>
      </c>
      <c r="D1379" s="15"/>
      <c r="E1379" s="15"/>
      <c r="F1379" s="11">
        <f t="shared" si="11"/>
      </c>
      <c r="G1379" s="22" cm="1">
        <f t="array" ref="G1379">IF(AND(Inputs!$C$60,Inputs!$C$61),INDEX(Utility_Rates!$C$29:$F$52,HOUR(C1379)+Inputs!$C$69,MATCH(INDEX(Utility_Rates!$K$6:$K$17,MONTH(C1379))&amp;IF(WEEKDAY(C1379,Inputs!$C$76)&lt;=Inputs!$C$74," weekday"," weekend"),Utility_Rates!$C$28:$F$28,Inputs!$C$68)),"")</f>
      </c>
      <c r="H1379" s="34"/>
      <c r="I1379" s="42">
        <f>IF(AND(ISNUMBER(D1379),ISNUMBER(H1379)),D1379*H1379*Inputs!$C$69,"")</f>
      </c>
      <c r="J1379" s="42">
        <f>IF(AND(ISNUMBER(F1379),ISNUMBER(H1379),F1379&gt;=Inputs!$C$68),F1379*H1379*Inputs!$C$69,"")</f>
      </c>
    </row>
    <row r="1380" spans="2:10" ht="15" customHeight="1" x14ac:dyDescent="0.2">
      <c r="B1380" s="39">
        <f t="shared" si="10"/>
      </c>
      <c r="C1380" s="40">
        <f>IF(Inputs!$C$60,Inputs!$C$11+(B1380-Inputs!$C$69)/Inputs!$C$70,"")</f>
      </c>
      <c r="D1380" s="15"/>
      <c r="E1380" s="15"/>
      <c r="F1380" s="11">
        <f t="shared" si="11"/>
      </c>
      <c r="G1380" s="22" cm="1">
        <f t="array" ref="G1380">IF(AND(Inputs!$C$60,Inputs!$C$61),INDEX(Utility_Rates!$C$29:$F$52,HOUR(C1380)+Inputs!$C$69,MATCH(INDEX(Utility_Rates!$K$6:$K$17,MONTH(C1380))&amp;IF(WEEKDAY(C1380,Inputs!$C$76)&lt;=Inputs!$C$74," weekday"," weekend"),Utility_Rates!$C$28:$F$28,Inputs!$C$68)),"")</f>
      </c>
      <c r="H1380" s="34"/>
      <c r="I1380" s="42">
        <f>IF(AND(ISNUMBER(D1380),ISNUMBER(H1380)),D1380*H1380*Inputs!$C$69,"")</f>
      </c>
      <c r="J1380" s="42">
        <f>IF(AND(ISNUMBER(F1380),ISNUMBER(H1380),F1380&gt;=Inputs!$C$68),F1380*H1380*Inputs!$C$69,"")</f>
      </c>
    </row>
    <row r="1381" spans="2:10" ht="15" customHeight="1" x14ac:dyDescent="0.2">
      <c r="B1381" s="39">
        <f t="shared" si="10"/>
      </c>
      <c r="C1381" s="40">
        <f>IF(Inputs!$C$60,Inputs!$C$11+(B1381-Inputs!$C$69)/Inputs!$C$70,"")</f>
      </c>
      <c r="D1381" s="15"/>
      <c r="E1381" s="15"/>
      <c r="F1381" s="11">
        <f t="shared" si="11"/>
      </c>
      <c r="G1381" s="22" cm="1">
        <f t="array" ref="G1381">IF(AND(Inputs!$C$60,Inputs!$C$61),INDEX(Utility_Rates!$C$29:$F$52,HOUR(C1381)+Inputs!$C$69,MATCH(INDEX(Utility_Rates!$K$6:$K$17,MONTH(C1381))&amp;IF(WEEKDAY(C1381,Inputs!$C$76)&lt;=Inputs!$C$74," weekday"," weekend"),Utility_Rates!$C$28:$F$28,Inputs!$C$68)),"")</f>
      </c>
      <c r="H1381" s="34"/>
      <c r="I1381" s="42">
        <f>IF(AND(ISNUMBER(D1381),ISNUMBER(H1381)),D1381*H1381*Inputs!$C$69,"")</f>
      </c>
      <c r="J1381" s="42">
        <f>IF(AND(ISNUMBER(F1381),ISNUMBER(H1381),F1381&gt;=Inputs!$C$68),F1381*H1381*Inputs!$C$69,"")</f>
      </c>
    </row>
    <row r="1382" spans="2:10" ht="15" customHeight="1" x14ac:dyDescent="0.2">
      <c r="B1382" s="39">
        <f t="shared" si="10"/>
      </c>
      <c r="C1382" s="40">
        <f>IF(Inputs!$C$60,Inputs!$C$11+(B1382-Inputs!$C$69)/Inputs!$C$70,"")</f>
      </c>
      <c r="D1382" s="15"/>
      <c r="E1382" s="15"/>
      <c r="F1382" s="11">
        <f t="shared" si="11"/>
      </c>
      <c r="G1382" s="22" cm="1">
        <f t="array" ref="G1382">IF(AND(Inputs!$C$60,Inputs!$C$61),INDEX(Utility_Rates!$C$29:$F$52,HOUR(C1382)+Inputs!$C$69,MATCH(INDEX(Utility_Rates!$K$6:$K$17,MONTH(C1382))&amp;IF(WEEKDAY(C1382,Inputs!$C$76)&lt;=Inputs!$C$74," weekday"," weekend"),Utility_Rates!$C$28:$F$28,Inputs!$C$68)),"")</f>
      </c>
      <c r="H1382" s="34"/>
      <c r="I1382" s="42">
        <f>IF(AND(ISNUMBER(D1382),ISNUMBER(H1382)),D1382*H1382*Inputs!$C$69,"")</f>
      </c>
      <c r="J1382" s="42">
        <f>IF(AND(ISNUMBER(F1382),ISNUMBER(H1382),F1382&gt;=Inputs!$C$68),F1382*H1382*Inputs!$C$69,"")</f>
      </c>
    </row>
    <row r="1383" spans="2:10" ht="15" customHeight="1" x14ac:dyDescent="0.2">
      <c r="B1383" s="39">
        <f t="shared" si="10"/>
      </c>
      <c r="C1383" s="40">
        <f>IF(Inputs!$C$60,Inputs!$C$11+(B1383-Inputs!$C$69)/Inputs!$C$70,"")</f>
      </c>
      <c r="D1383" s="15"/>
      <c r="E1383" s="15"/>
      <c r="F1383" s="11">
        <f t="shared" si="11"/>
      </c>
      <c r="G1383" s="22" cm="1">
        <f t="array" ref="G1383">IF(AND(Inputs!$C$60,Inputs!$C$61),INDEX(Utility_Rates!$C$29:$F$52,HOUR(C1383)+Inputs!$C$69,MATCH(INDEX(Utility_Rates!$K$6:$K$17,MONTH(C1383))&amp;IF(WEEKDAY(C1383,Inputs!$C$76)&lt;=Inputs!$C$74," weekday"," weekend"),Utility_Rates!$C$28:$F$28,Inputs!$C$68)),"")</f>
      </c>
      <c r="H1383" s="34"/>
      <c r="I1383" s="42">
        <f>IF(AND(ISNUMBER(D1383),ISNUMBER(H1383)),D1383*H1383*Inputs!$C$69,"")</f>
      </c>
      <c r="J1383" s="42">
        <f>IF(AND(ISNUMBER(F1383),ISNUMBER(H1383),F1383&gt;=Inputs!$C$68),F1383*H1383*Inputs!$C$69,"")</f>
      </c>
    </row>
    <row r="1384" spans="2:10" ht="15" customHeight="1" x14ac:dyDescent="0.2">
      <c r="B1384" s="39">
        <f t="shared" si="10"/>
      </c>
      <c r="C1384" s="40">
        <f>IF(Inputs!$C$60,Inputs!$C$11+(B1384-Inputs!$C$69)/Inputs!$C$70,"")</f>
      </c>
      <c r="D1384" s="15"/>
      <c r="E1384" s="15"/>
      <c r="F1384" s="11">
        <f t="shared" si="11"/>
      </c>
      <c r="G1384" s="22" cm="1">
        <f t="array" ref="G1384">IF(AND(Inputs!$C$60,Inputs!$C$61),INDEX(Utility_Rates!$C$29:$F$52,HOUR(C1384)+Inputs!$C$69,MATCH(INDEX(Utility_Rates!$K$6:$K$17,MONTH(C1384))&amp;IF(WEEKDAY(C1384,Inputs!$C$76)&lt;=Inputs!$C$74," weekday"," weekend"),Utility_Rates!$C$28:$F$28,Inputs!$C$68)),"")</f>
      </c>
      <c r="H1384" s="34"/>
      <c r="I1384" s="42">
        <f>IF(AND(ISNUMBER(D1384),ISNUMBER(H1384)),D1384*H1384*Inputs!$C$69,"")</f>
      </c>
      <c r="J1384" s="42">
        <f>IF(AND(ISNUMBER(F1384),ISNUMBER(H1384),F1384&gt;=Inputs!$C$68),F1384*H1384*Inputs!$C$69,"")</f>
      </c>
    </row>
    <row r="1385" spans="2:10" ht="15" customHeight="1" x14ac:dyDescent="0.2">
      <c r="B1385" s="39">
        <f t="shared" si="10"/>
      </c>
      <c r="C1385" s="40">
        <f>IF(Inputs!$C$60,Inputs!$C$11+(B1385-Inputs!$C$69)/Inputs!$C$70,"")</f>
      </c>
      <c r="D1385" s="15"/>
      <c r="E1385" s="15"/>
      <c r="F1385" s="11">
        <f t="shared" si="11"/>
      </c>
      <c r="G1385" s="22" cm="1">
        <f t="array" ref="G1385">IF(AND(Inputs!$C$60,Inputs!$C$61),INDEX(Utility_Rates!$C$29:$F$52,HOUR(C1385)+Inputs!$C$69,MATCH(INDEX(Utility_Rates!$K$6:$K$17,MONTH(C1385))&amp;IF(WEEKDAY(C1385,Inputs!$C$76)&lt;=Inputs!$C$74," weekday"," weekend"),Utility_Rates!$C$28:$F$28,Inputs!$C$68)),"")</f>
      </c>
      <c r="H1385" s="34"/>
      <c r="I1385" s="42">
        <f>IF(AND(ISNUMBER(D1385),ISNUMBER(H1385)),D1385*H1385*Inputs!$C$69,"")</f>
      </c>
      <c r="J1385" s="42">
        <f>IF(AND(ISNUMBER(F1385),ISNUMBER(H1385),F1385&gt;=Inputs!$C$68),F1385*H1385*Inputs!$C$69,"")</f>
      </c>
    </row>
    <row r="1386" spans="2:10" ht="15" customHeight="1" x14ac:dyDescent="0.2">
      <c r="B1386" s="39">
        <f t="shared" si="10"/>
      </c>
      <c r="C1386" s="40">
        <f>IF(Inputs!$C$60,Inputs!$C$11+(B1386-Inputs!$C$69)/Inputs!$C$70,"")</f>
      </c>
      <c r="D1386" s="15"/>
      <c r="E1386" s="15"/>
      <c r="F1386" s="11">
        <f t="shared" si="11"/>
      </c>
      <c r="G1386" s="22" cm="1">
        <f t="array" ref="G1386">IF(AND(Inputs!$C$60,Inputs!$C$61),INDEX(Utility_Rates!$C$29:$F$52,HOUR(C1386)+Inputs!$C$69,MATCH(INDEX(Utility_Rates!$K$6:$K$17,MONTH(C1386))&amp;IF(WEEKDAY(C1386,Inputs!$C$76)&lt;=Inputs!$C$74," weekday"," weekend"),Utility_Rates!$C$28:$F$28,Inputs!$C$68)),"")</f>
      </c>
      <c r="H1386" s="34"/>
      <c r="I1386" s="42">
        <f>IF(AND(ISNUMBER(D1386),ISNUMBER(H1386)),D1386*H1386*Inputs!$C$69,"")</f>
      </c>
      <c r="J1386" s="42">
        <f>IF(AND(ISNUMBER(F1386),ISNUMBER(H1386),F1386&gt;=Inputs!$C$68),F1386*H1386*Inputs!$C$69,"")</f>
      </c>
    </row>
    <row r="1387" spans="2:10" ht="15" customHeight="1" x14ac:dyDescent="0.2">
      <c r="B1387" s="39">
        <f t="shared" si="10"/>
      </c>
      <c r="C1387" s="40">
        <f>IF(Inputs!$C$60,Inputs!$C$11+(B1387-Inputs!$C$69)/Inputs!$C$70,"")</f>
      </c>
      <c r="D1387" s="15"/>
      <c r="E1387" s="15"/>
      <c r="F1387" s="11">
        <f t="shared" si="11"/>
      </c>
      <c r="G1387" s="22" cm="1">
        <f t="array" ref="G1387">IF(AND(Inputs!$C$60,Inputs!$C$61),INDEX(Utility_Rates!$C$29:$F$52,HOUR(C1387)+Inputs!$C$69,MATCH(INDEX(Utility_Rates!$K$6:$K$17,MONTH(C1387))&amp;IF(WEEKDAY(C1387,Inputs!$C$76)&lt;=Inputs!$C$74," weekday"," weekend"),Utility_Rates!$C$28:$F$28,Inputs!$C$68)),"")</f>
      </c>
      <c r="H1387" s="34"/>
      <c r="I1387" s="42">
        <f>IF(AND(ISNUMBER(D1387),ISNUMBER(H1387)),D1387*H1387*Inputs!$C$69,"")</f>
      </c>
      <c r="J1387" s="42">
        <f>IF(AND(ISNUMBER(F1387),ISNUMBER(H1387),F1387&gt;=Inputs!$C$68),F1387*H1387*Inputs!$C$69,"")</f>
      </c>
    </row>
    <row r="1388" spans="2:10" ht="15" customHeight="1" x14ac:dyDescent="0.2">
      <c r="B1388" s="39">
        <f t="shared" si="10"/>
      </c>
      <c r="C1388" s="40">
        <f>IF(Inputs!$C$60,Inputs!$C$11+(B1388-Inputs!$C$69)/Inputs!$C$70,"")</f>
      </c>
      <c r="D1388" s="15"/>
      <c r="E1388" s="15"/>
      <c r="F1388" s="11">
        <f t="shared" si="11"/>
      </c>
      <c r="G1388" s="22" cm="1">
        <f t="array" ref="G1388">IF(AND(Inputs!$C$60,Inputs!$C$61),INDEX(Utility_Rates!$C$29:$F$52,HOUR(C1388)+Inputs!$C$69,MATCH(INDEX(Utility_Rates!$K$6:$K$17,MONTH(C1388))&amp;IF(WEEKDAY(C1388,Inputs!$C$76)&lt;=Inputs!$C$74," weekday"," weekend"),Utility_Rates!$C$28:$F$28,Inputs!$C$68)),"")</f>
      </c>
      <c r="H1388" s="34"/>
      <c r="I1388" s="42">
        <f>IF(AND(ISNUMBER(D1388),ISNUMBER(H1388)),D1388*H1388*Inputs!$C$69,"")</f>
      </c>
      <c r="J1388" s="42">
        <f>IF(AND(ISNUMBER(F1388),ISNUMBER(H1388),F1388&gt;=Inputs!$C$68),F1388*H1388*Inputs!$C$69,"")</f>
      </c>
    </row>
    <row r="1389" spans="2:10" ht="15" customHeight="1" x14ac:dyDescent="0.2">
      <c r="B1389" s="39">
        <f t="shared" si="10"/>
      </c>
      <c r="C1389" s="40">
        <f>IF(Inputs!$C$60,Inputs!$C$11+(B1389-Inputs!$C$69)/Inputs!$C$70,"")</f>
      </c>
      <c r="D1389" s="15"/>
      <c r="E1389" s="15"/>
      <c r="F1389" s="11">
        <f t="shared" si="11"/>
      </c>
      <c r="G1389" s="22" cm="1">
        <f t="array" ref="G1389">IF(AND(Inputs!$C$60,Inputs!$C$61),INDEX(Utility_Rates!$C$29:$F$52,HOUR(C1389)+Inputs!$C$69,MATCH(INDEX(Utility_Rates!$K$6:$K$17,MONTH(C1389))&amp;IF(WEEKDAY(C1389,Inputs!$C$76)&lt;=Inputs!$C$74," weekday"," weekend"),Utility_Rates!$C$28:$F$28,Inputs!$C$68)),"")</f>
      </c>
      <c r="H1389" s="34"/>
      <c r="I1389" s="42">
        <f>IF(AND(ISNUMBER(D1389),ISNUMBER(H1389)),D1389*H1389*Inputs!$C$69,"")</f>
      </c>
      <c r="J1389" s="42">
        <f>IF(AND(ISNUMBER(F1389),ISNUMBER(H1389),F1389&gt;=Inputs!$C$68),F1389*H1389*Inputs!$C$69,"")</f>
      </c>
    </row>
    <row r="1390" spans="2:10" ht="15" customHeight="1" x14ac:dyDescent="0.2">
      <c r="B1390" s="39">
        <f t="shared" si="10"/>
      </c>
      <c r="C1390" s="40">
        <f>IF(Inputs!$C$60,Inputs!$C$11+(B1390-Inputs!$C$69)/Inputs!$C$70,"")</f>
      </c>
      <c r="D1390" s="15"/>
      <c r="E1390" s="15"/>
      <c r="F1390" s="11">
        <f t="shared" si="11"/>
      </c>
      <c r="G1390" s="22" cm="1">
        <f t="array" ref="G1390">IF(AND(Inputs!$C$60,Inputs!$C$61),INDEX(Utility_Rates!$C$29:$F$52,HOUR(C1390)+Inputs!$C$69,MATCH(INDEX(Utility_Rates!$K$6:$K$17,MONTH(C1390))&amp;IF(WEEKDAY(C1390,Inputs!$C$76)&lt;=Inputs!$C$74," weekday"," weekend"),Utility_Rates!$C$28:$F$28,Inputs!$C$68)),"")</f>
      </c>
      <c r="H1390" s="34"/>
      <c r="I1390" s="42">
        <f>IF(AND(ISNUMBER(D1390),ISNUMBER(H1390)),D1390*H1390*Inputs!$C$69,"")</f>
      </c>
      <c r="J1390" s="42">
        <f>IF(AND(ISNUMBER(F1390),ISNUMBER(H1390),F1390&gt;=Inputs!$C$68),F1390*H1390*Inputs!$C$69,"")</f>
      </c>
    </row>
    <row r="1391" spans="2:10" ht="15" customHeight="1" x14ac:dyDescent="0.2">
      <c r="B1391" s="39">
        <f t="shared" si="10"/>
      </c>
      <c r="C1391" s="40">
        <f>IF(Inputs!$C$60,Inputs!$C$11+(B1391-Inputs!$C$69)/Inputs!$C$70,"")</f>
      </c>
      <c r="D1391" s="15"/>
      <c r="E1391" s="15"/>
      <c r="F1391" s="11">
        <f t="shared" si="11"/>
      </c>
      <c r="G1391" s="22" cm="1">
        <f t="array" ref="G1391">IF(AND(Inputs!$C$60,Inputs!$C$61),INDEX(Utility_Rates!$C$29:$F$52,HOUR(C1391)+Inputs!$C$69,MATCH(INDEX(Utility_Rates!$K$6:$K$17,MONTH(C1391))&amp;IF(WEEKDAY(C1391,Inputs!$C$76)&lt;=Inputs!$C$74," weekday"," weekend"),Utility_Rates!$C$28:$F$28,Inputs!$C$68)),"")</f>
      </c>
      <c r="H1391" s="34"/>
      <c r="I1391" s="42">
        <f>IF(AND(ISNUMBER(D1391),ISNUMBER(H1391)),D1391*H1391*Inputs!$C$69,"")</f>
      </c>
      <c r="J1391" s="42">
        <f>IF(AND(ISNUMBER(F1391),ISNUMBER(H1391),F1391&gt;=Inputs!$C$68),F1391*H1391*Inputs!$C$69,"")</f>
      </c>
    </row>
    <row r="1392" spans="2:10" ht="15" customHeight="1" x14ac:dyDescent="0.2">
      <c r="B1392" s="39">
        <f t="shared" si="10"/>
      </c>
      <c r="C1392" s="40">
        <f>IF(Inputs!$C$60,Inputs!$C$11+(B1392-Inputs!$C$69)/Inputs!$C$70,"")</f>
      </c>
      <c r="D1392" s="15"/>
      <c r="E1392" s="15"/>
      <c r="F1392" s="11">
        <f t="shared" si="11"/>
      </c>
      <c r="G1392" s="22" cm="1">
        <f t="array" ref="G1392">IF(AND(Inputs!$C$60,Inputs!$C$61),INDEX(Utility_Rates!$C$29:$F$52,HOUR(C1392)+Inputs!$C$69,MATCH(INDEX(Utility_Rates!$K$6:$K$17,MONTH(C1392))&amp;IF(WEEKDAY(C1392,Inputs!$C$76)&lt;=Inputs!$C$74," weekday"," weekend"),Utility_Rates!$C$28:$F$28,Inputs!$C$68)),"")</f>
      </c>
      <c r="H1392" s="34"/>
      <c r="I1392" s="42">
        <f>IF(AND(ISNUMBER(D1392),ISNUMBER(H1392)),D1392*H1392*Inputs!$C$69,"")</f>
      </c>
      <c r="J1392" s="42">
        <f>IF(AND(ISNUMBER(F1392),ISNUMBER(H1392),F1392&gt;=Inputs!$C$68),F1392*H1392*Inputs!$C$69,"")</f>
      </c>
    </row>
    <row r="1393" spans="2:10" ht="15" customHeight="1" x14ac:dyDescent="0.2">
      <c r="B1393" s="39">
        <f t="shared" si="10"/>
      </c>
      <c r="C1393" s="40">
        <f>IF(Inputs!$C$60,Inputs!$C$11+(B1393-Inputs!$C$69)/Inputs!$C$70,"")</f>
      </c>
      <c r="D1393" s="15"/>
      <c r="E1393" s="15"/>
      <c r="F1393" s="11">
        <f t="shared" si="11"/>
      </c>
      <c r="G1393" s="22" cm="1">
        <f t="array" ref="G1393">IF(AND(Inputs!$C$60,Inputs!$C$61),INDEX(Utility_Rates!$C$29:$F$52,HOUR(C1393)+Inputs!$C$69,MATCH(INDEX(Utility_Rates!$K$6:$K$17,MONTH(C1393))&amp;IF(WEEKDAY(C1393,Inputs!$C$76)&lt;=Inputs!$C$74," weekday"," weekend"),Utility_Rates!$C$28:$F$28,Inputs!$C$68)),"")</f>
      </c>
      <c r="H1393" s="34"/>
      <c r="I1393" s="42">
        <f>IF(AND(ISNUMBER(D1393),ISNUMBER(H1393)),D1393*H1393*Inputs!$C$69,"")</f>
      </c>
      <c r="J1393" s="42">
        <f>IF(AND(ISNUMBER(F1393),ISNUMBER(H1393),F1393&gt;=Inputs!$C$68),F1393*H1393*Inputs!$C$69,"")</f>
      </c>
    </row>
    <row r="1394" spans="2:10" ht="15" customHeight="1" x14ac:dyDescent="0.2">
      <c r="B1394" s="39">
        <f t="shared" si="10"/>
      </c>
      <c r="C1394" s="40">
        <f>IF(Inputs!$C$60,Inputs!$C$11+(B1394-Inputs!$C$69)/Inputs!$C$70,"")</f>
      </c>
      <c r="D1394" s="15"/>
      <c r="E1394" s="15"/>
      <c r="F1394" s="11">
        <f t="shared" si="11"/>
      </c>
      <c r="G1394" s="22" cm="1">
        <f t="array" ref="G1394">IF(AND(Inputs!$C$60,Inputs!$C$61),INDEX(Utility_Rates!$C$29:$F$52,HOUR(C1394)+Inputs!$C$69,MATCH(INDEX(Utility_Rates!$K$6:$K$17,MONTH(C1394))&amp;IF(WEEKDAY(C1394,Inputs!$C$76)&lt;=Inputs!$C$74," weekday"," weekend"),Utility_Rates!$C$28:$F$28,Inputs!$C$68)),"")</f>
      </c>
      <c r="H1394" s="34"/>
      <c r="I1394" s="42">
        <f>IF(AND(ISNUMBER(D1394),ISNUMBER(H1394)),D1394*H1394*Inputs!$C$69,"")</f>
      </c>
      <c r="J1394" s="42">
        <f>IF(AND(ISNUMBER(F1394),ISNUMBER(H1394),F1394&gt;=Inputs!$C$68),F1394*H1394*Inputs!$C$69,"")</f>
      </c>
    </row>
    <row r="1395" spans="2:10" ht="15" customHeight="1" x14ac:dyDescent="0.2">
      <c r="B1395" s="39">
        <f t="shared" si="10"/>
      </c>
      <c r="C1395" s="40">
        <f>IF(Inputs!$C$60,Inputs!$C$11+(B1395-Inputs!$C$69)/Inputs!$C$70,"")</f>
      </c>
      <c r="D1395" s="15"/>
      <c r="E1395" s="15"/>
      <c r="F1395" s="11">
        <f t="shared" si="11"/>
      </c>
      <c r="G1395" s="22" cm="1">
        <f t="array" ref="G1395">IF(AND(Inputs!$C$60,Inputs!$C$61),INDEX(Utility_Rates!$C$29:$F$52,HOUR(C1395)+Inputs!$C$69,MATCH(INDEX(Utility_Rates!$K$6:$K$17,MONTH(C1395))&amp;IF(WEEKDAY(C1395,Inputs!$C$76)&lt;=Inputs!$C$74," weekday"," weekend"),Utility_Rates!$C$28:$F$28,Inputs!$C$68)),"")</f>
      </c>
      <c r="H1395" s="34"/>
      <c r="I1395" s="42">
        <f>IF(AND(ISNUMBER(D1395),ISNUMBER(H1395)),D1395*H1395*Inputs!$C$69,"")</f>
      </c>
      <c r="J1395" s="42">
        <f>IF(AND(ISNUMBER(F1395),ISNUMBER(H1395),F1395&gt;=Inputs!$C$68),F1395*H1395*Inputs!$C$69,"")</f>
      </c>
    </row>
    <row r="1396" spans="2:10" ht="15" customHeight="1" x14ac:dyDescent="0.2">
      <c r="B1396" s="39">
        <f t="shared" si="10"/>
      </c>
      <c r="C1396" s="40">
        <f>IF(Inputs!$C$60,Inputs!$C$11+(B1396-Inputs!$C$69)/Inputs!$C$70,"")</f>
      </c>
      <c r="D1396" s="15"/>
      <c r="E1396" s="15"/>
      <c r="F1396" s="11">
        <f t="shared" si="11"/>
      </c>
      <c r="G1396" s="22" cm="1">
        <f t="array" ref="G1396">IF(AND(Inputs!$C$60,Inputs!$C$61),INDEX(Utility_Rates!$C$29:$F$52,HOUR(C1396)+Inputs!$C$69,MATCH(INDEX(Utility_Rates!$K$6:$K$17,MONTH(C1396))&amp;IF(WEEKDAY(C1396,Inputs!$C$76)&lt;=Inputs!$C$74," weekday"," weekend"),Utility_Rates!$C$28:$F$28,Inputs!$C$68)),"")</f>
      </c>
      <c r="H1396" s="34"/>
      <c r="I1396" s="42">
        <f>IF(AND(ISNUMBER(D1396),ISNUMBER(H1396)),D1396*H1396*Inputs!$C$69,"")</f>
      </c>
      <c r="J1396" s="42">
        <f>IF(AND(ISNUMBER(F1396),ISNUMBER(H1396),F1396&gt;=Inputs!$C$68),F1396*H1396*Inputs!$C$69,"")</f>
      </c>
    </row>
    <row r="1397" spans="2:10" ht="15" customHeight="1" x14ac:dyDescent="0.2">
      <c r="B1397" s="39">
        <f t="shared" si="10"/>
      </c>
      <c r="C1397" s="40">
        <f>IF(Inputs!$C$60,Inputs!$C$11+(B1397-Inputs!$C$69)/Inputs!$C$70,"")</f>
      </c>
      <c r="D1397" s="15"/>
      <c r="E1397" s="15"/>
      <c r="F1397" s="11">
        <f t="shared" si="11"/>
      </c>
      <c r="G1397" s="22" cm="1">
        <f t="array" ref="G1397">IF(AND(Inputs!$C$60,Inputs!$C$61),INDEX(Utility_Rates!$C$29:$F$52,HOUR(C1397)+Inputs!$C$69,MATCH(INDEX(Utility_Rates!$K$6:$K$17,MONTH(C1397))&amp;IF(WEEKDAY(C1397,Inputs!$C$76)&lt;=Inputs!$C$74," weekday"," weekend"),Utility_Rates!$C$28:$F$28,Inputs!$C$68)),"")</f>
      </c>
      <c r="H1397" s="34"/>
      <c r="I1397" s="42">
        <f>IF(AND(ISNUMBER(D1397),ISNUMBER(H1397)),D1397*H1397*Inputs!$C$69,"")</f>
      </c>
      <c r="J1397" s="42">
        <f>IF(AND(ISNUMBER(F1397),ISNUMBER(H1397),F1397&gt;=Inputs!$C$68),F1397*H1397*Inputs!$C$69,"")</f>
      </c>
    </row>
    <row r="1398" spans="2:10" ht="15" customHeight="1" x14ac:dyDescent="0.2">
      <c r="B1398" s="39">
        <f t="shared" si="10"/>
      </c>
      <c r="C1398" s="40">
        <f>IF(Inputs!$C$60,Inputs!$C$11+(B1398-Inputs!$C$69)/Inputs!$C$70,"")</f>
      </c>
      <c r="D1398" s="15"/>
      <c r="E1398" s="15"/>
      <c r="F1398" s="11">
        <f t="shared" si="11"/>
      </c>
      <c r="G1398" s="22" cm="1">
        <f t="array" ref="G1398">IF(AND(Inputs!$C$60,Inputs!$C$61),INDEX(Utility_Rates!$C$29:$F$52,HOUR(C1398)+Inputs!$C$69,MATCH(INDEX(Utility_Rates!$K$6:$K$17,MONTH(C1398))&amp;IF(WEEKDAY(C1398,Inputs!$C$76)&lt;=Inputs!$C$74," weekday"," weekend"),Utility_Rates!$C$28:$F$28,Inputs!$C$68)),"")</f>
      </c>
      <c r="H1398" s="34"/>
      <c r="I1398" s="42">
        <f>IF(AND(ISNUMBER(D1398),ISNUMBER(H1398)),D1398*H1398*Inputs!$C$69,"")</f>
      </c>
      <c r="J1398" s="42">
        <f>IF(AND(ISNUMBER(F1398),ISNUMBER(H1398),F1398&gt;=Inputs!$C$68),F1398*H1398*Inputs!$C$69,"")</f>
      </c>
    </row>
    <row r="1399" spans="2:10" ht="15" customHeight="1" x14ac:dyDescent="0.2">
      <c r="B1399" s="39">
        <f t="shared" si="10"/>
      </c>
      <c r="C1399" s="40">
        <f>IF(Inputs!$C$60,Inputs!$C$11+(B1399-Inputs!$C$69)/Inputs!$C$70,"")</f>
      </c>
      <c r="D1399" s="15"/>
      <c r="E1399" s="15"/>
      <c r="F1399" s="11">
        <f t="shared" si="11"/>
      </c>
      <c r="G1399" s="22" cm="1">
        <f t="array" ref="G1399">IF(AND(Inputs!$C$60,Inputs!$C$61),INDEX(Utility_Rates!$C$29:$F$52,HOUR(C1399)+Inputs!$C$69,MATCH(INDEX(Utility_Rates!$K$6:$K$17,MONTH(C1399))&amp;IF(WEEKDAY(C1399,Inputs!$C$76)&lt;=Inputs!$C$74," weekday"," weekend"),Utility_Rates!$C$28:$F$28,Inputs!$C$68)),"")</f>
      </c>
      <c r="H1399" s="34"/>
      <c r="I1399" s="42">
        <f>IF(AND(ISNUMBER(D1399),ISNUMBER(H1399)),D1399*H1399*Inputs!$C$69,"")</f>
      </c>
      <c r="J1399" s="42">
        <f>IF(AND(ISNUMBER(F1399),ISNUMBER(H1399),F1399&gt;=Inputs!$C$68),F1399*H1399*Inputs!$C$69,"")</f>
      </c>
    </row>
    <row r="1400" spans="2:10" ht="15" customHeight="1" x14ac:dyDescent="0.2">
      <c r="B1400" s="39">
        <f t="shared" si="10"/>
      </c>
      <c r="C1400" s="40">
        <f>IF(Inputs!$C$60,Inputs!$C$11+(B1400-Inputs!$C$69)/Inputs!$C$70,"")</f>
      </c>
      <c r="D1400" s="15"/>
      <c r="E1400" s="15"/>
      <c r="F1400" s="11">
        <f t="shared" si="11"/>
      </c>
      <c r="G1400" s="22" cm="1">
        <f t="array" ref="G1400">IF(AND(Inputs!$C$60,Inputs!$C$61),INDEX(Utility_Rates!$C$29:$F$52,HOUR(C1400)+Inputs!$C$69,MATCH(INDEX(Utility_Rates!$K$6:$K$17,MONTH(C1400))&amp;IF(WEEKDAY(C1400,Inputs!$C$76)&lt;=Inputs!$C$74," weekday"," weekend"),Utility_Rates!$C$28:$F$28,Inputs!$C$68)),"")</f>
      </c>
      <c r="H1400" s="34"/>
      <c r="I1400" s="42">
        <f>IF(AND(ISNUMBER(D1400),ISNUMBER(H1400)),D1400*H1400*Inputs!$C$69,"")</f>
      </c>
      <c r="J1400" s="42">
        <f>IF(AND(ISNUMBER(F1400),ISNUMBER(H1400),F1400&gt;=Inputs!$C$68),F1400*H1400*Inputs!$C$69,"")</f>
      </c>
    </row>
    <row r="1401" spans="2:10" ht="15" customHeight="1" x14ac:dyDescent="0.2">
      <c r="B1401" s="39">
        <f t="shared" si="10"/>
      </c>
      <c r="C1401" s="40">
        <f>IF(Inputs!$C$60,Inputs!$C$11+(B1401-Inputs!$C$69)/Inputs!$C$70,"")</f>
      </c>
      <c r="D1401" s="15"/>
      <c r="E1401" s="15"/>
      <c r="F1401" s="11">
        <f t="shared" si="11"/>
      </c>
      <c r="G1401" s="22" cm="1">
        <f t="array" ref="G1401">IF(AND(Inputs!$C$60,Inputs!$C$61),INDEX(Utility_Rates!$C$29:$F$52,HOUR(C1401)+Inputs!$C$69,MATCH(INDEX(Utility_Rates!$K$6:$K$17,MONTH(C1401))&amp;IF(WEEKDAY(C1401,Inputs!$C$76)&lt;=Inputs!$C$74," weekday"," weekend"),Utility_Rates!$C$28:$F$28,Inputs!$C$68)),"")</f>
      </c>
      <c r="H1401" s="34"/>
      <c r="I1401" s="42">
        <f>IF(AND(ISNUMBER(D1401),ISNUMBER(H1401)),D1401*H1401*Inputs!$C$69,"")</f>
      </c>
      <c r="J1401" s="42">
        <f>IF(AND(ISNUMBER(F1401),ISNUMBER(H1401),F1401&gt;=Inputs!$C$68),F1401*H1401*Inputs!$C$69,"")</f>
      </c>
    </row>
    <row r="1402" spans="2:10" ht="15" customHeight="1" x14ac:dyDescent="0.2">
      <c r="B1402" s="39">
        <f t="shared" si="10"/>
      </c>
      <c r="C1402" s="40">
        <f>IF(Inputs!$C$60,Inputs!$C$11+(B1402-Inputs!$C$69)/Inputs!$C$70,"")</f>
      </c>
      <c r="D1402" s="15"/>
      <c r="E1402" s="15"/>
      <c r="F1402" s="11">
        <f t="shared" si="11"/>
      </c>
      <c r="G1402" s="22" cm="1">
        <f t="array" ref="G1402">IF(AND(Inputs!$C$60,Inputs!$C$61),INDEX(Utility_Rates!$C$29:$F$52,HOUR(C1402)+Inputs!$C$69,MATCH(INDEX(Utility_Rates!$K$6:$K$17,MONTH(C1402))&amp;IF(WEEKDAY(C1402,Inputs!$C$76)&lt;=Inputs!$C$74," weekday"," weekend"),Utility_Rates!$C$28:$F$28,Inputs!$C$68)),"")</f>
      </c>
      <c r="H1402" s="34"/>
      <c r="I1402" s="42">
        <f>IF(AND(ISNUMBER(D1402),ISNUMBER(H1402)),D1402*H1402*Inputs!$C$69,"")</f>
      </c>
      <c r="J1402" s="42">
        <f>IF(AND(ISNUMBER(F1402),ISNUMBER(H1402),F1402&gt;=Inputs!$C$68),F1402*H1402*Inputs!$C$69,"")</f>
      </c>
    </row>
    <row r="1403" spans="2:10" ht="15" customHeight="1" x14ac:dyDescent="0.2">
      <c r="B1403" s="39">
        <f t="shared" si="10"/>
      </c>
      <c r="C1403" s="40">
        <f>IF(Inputs!$C$60,Inputs!$C$11+(B1403-Inputs!$C$69)/Inputs!$C$70,"")</f>
      </c>
      <c r="D1403" s="15"/>
      <c r="E1403" s="15"/>
      <c r="F1403" s="11">
        <f t="shared" si="11"/>
      </c>
      <c r="G1403" s="22" cm="1">
        <f t="array" ref="G1403">IF(AND(Inputs!$C$60,Inputs!$C$61),INDEX(Utility_Rates!$C$29:$F$52,HOUR(C1403)+Inputs!$C$69,MATCH(INDEX(Utility_Rates!$K$6:$K$17,MONTH(C1403))&amp;IF(WEEKDAY(C1403,Inputs!$C$76)&lt;=Inputs!$C$74," weekday"," weekend"),Utility_Rates!$C$28:$F$28,Inputs!$C$68)),"")</f>
      </c>
      <c r="H1403" s="34"/>
      <c r="I1403" s="42">
        <f>IF(AND(ISNUMBER(D1403),ISNUMBER(H1403)),D1403*H1403*Inputs!$C$69,"")</f>
      </c>
      <c r="J1403" s="42">
        <f>IF(AND(ISNUMBER(F1403),ISNUMBER(H1403),F1403&gt;=Inputs!$C$68),F1403*H1403*Inputs!$C$69,"")</f>
      </c>
    </row>
    <row r="1404" spans="2:10" ht="15" customHeight="1" x14ac:dyDescent="0.2">
      <c r="B1404" s="39">
        <f t="shared" si="10"/>
      </c>
      <c r="C1404" s="40">
        <f>IF(Inputs!$C$60,Inputs!$C$11+(B1404-Inputs!$C$69)/Inputs!$C$70,"")</f>
      </c>
      <c r="D1404" s="15"/>
      <c r="E1404" s="15"/>
      <c r="F1404" s="11">
        <f t="shared" si="11"/>
      </c>
      <c r="G1404" s="22" cm="1">
        <f t="array" ref="G1404">IF(AND(Inputs!$C$60,Inputs!$C$61),INDEX(Utility_Rates!$C$29:$F$52,HOUR(C1404)+Inputs!$C$69,MATCH(INDEX(Utility_Rates!$K$6:$K$17,MONTH(C1404))&amp;IF(WEEKDAY(C1404,Inputs!$C$76)&lt;=Inputs!$C$74," weekday"," weekend"),Utility_Rates!$C$28:$F$28,Inputs!$C$68)),"")</f>
      </c>
      <c r="H1404" s="34"/>
      <c r="I1404" s="42">
        <f>IF(AND(ISNUMBER(D1404),ISNUMBER(H1404)),D1404*H1404*Inputs!$C$69,"")</f>
      </c>
      <c r="J1404" s="42">
        <f>IF(AND(ISNUMBER(F1404),ISNUMBER(H1404),F1404&gt;=Inputs!$C$68),F1404*H1404*Inputs!$C$69,"")</f>
      </c>
    </row>
    <row r="1405" spans="2:10" ht="15" customHeight="1" x14ac:dyDescent="0.2">
      <c r="B1405" s="39">
        <f t="shared" si="10"/>
      </c>
      <c r="C1405" s="40">
        <f>IF(Inputs!$C$60,Inputs!$C$11+(B1405-Inputs!$C$69)/Inputs!$C$70,"")</f>
      </c>
      <c r="D1405" s="15"/>
      <c r="E1405" s="15"/>
      <c r="F1405" s="11">
        <f t="shared" si="11"/>
      </c>
      <c r="G1405" s="22" cm="1">
        <f t="array" ref="G1405">IF(AND(Inputs!$C$60,Inputs!$C$61),INDEX(Utility_Rates!$C$29:$F$52,HOUR(C1405)+Inputs!$C$69,MATCH(INDEX(Utility_Rates!$K$6:$K$17,MONTH(C1405))&amp;IF(WEEKDAY(C1405,Inputs!$C$76)&lt;=Inputs!$C$74," weekday"," weekend"),Utility_Rates!$C$28:$F$28,Inputs!$C$68)),"")</f>
      </c>
      <c r="H1405" s="34"/>
      <c r="I1405" s="42">
        <f>IF(AND(ISNUMBER(D1405),ISNUMBER(H1405)),D1405*H1405*Inputs!$C$69,"")</f>
      </c>
      <c r="J1405" s="42">
        <f>IF(AND(ISNUMBER(F1405),ISNUMBER(H1405),F1405&gt;=Inputs!$C$68),F1405*H1405*Inputs!$C$69,"")</f>
      </c>
    </row>
    <row r="1406" spans="2:10" ht="15" customHeight="1" x14ac:dyDescent="0.2">
      <c r="B1406" s="39">
        <f t="shared" si="10"/>
      </c>
      <c r="C1406" s="40">
        <f>IF(Inputs!$C$60,Inputs!$C$11+(B1406-Inputs!$C$69)/Inputs!$C$70,"")</f>
      </c>
      <c r="D1406" s="15"/>
      <c r="E1406" s="15"/>
      <c r="F1406" s="11">
        <f t="shared" si="11"/>
      </c>
      <c r="G1406" s="22" cm="1">
        <f t="array" ref="G1406">IF(AND(Inputs!$C$60,Inputs!$C$61),INDEX(Utility_Rates!$C$29:$F$52,HOUR(C1406)+Inputs!$C$69,MATCH(INDEX(Utility_Rates!$K$6:$K$17,MONTH(C1406))&amp;IF(WEEKDAY(C1406,Inputs!$C$76)&lt;=Inputs!$C$74," weekday"," weekend"),Utility_Rates!$C$28:$F$28,Inputs!$C$68)),"")</f>
      </c>
      <c r="H1406" s="34"/>
      <c r="I1406" s="42">
        <f>IF(AND(ISNUMBER(D1406),ISNUMBER(H1406)),D1406*H1406*Inputs!$C$69,"")</f>
      </c>
      <c r="J1406" s="42">
        <f>IF(AND(ISNUMBER(F1406),ISNUMBER(H1406),F1406&gt;=Inputs!$C$68),F1406*H1406*Inputs!$C$69,"")</f>
      </c>
    </row>
    <row r="1407" spans="2:10" ht="15" customHeight="1" x14ac:dyDescent="0.2">
      <c r="B1407" s="39">
        <f t="shared" si="10"/>
      </c>
      <c r="C1407" s="40">
        <f>IF(Inputs!$C$60,Inputs!$C$11+(B1407-Inputs!$C$69)/Inputs!$C$70,"")</f>
      </c>
      <c r="D1407" s="15"/>
      <c r="E1407" s="15"/>
      <c r="F1407" s="11">
        <f t="shared" si="11"/>
      </c>
      <c r="G1407" s="22" cm="1">
        <f t="array" ref="G1407">IF(AND(Inputs!$C$60,Inputs!$C$61),INDEX(Utility_Rates!$C$29:$F$52,HOUR(C1407)+Inputs!$C$69,MATCH(INDEX(Utility_Rates!$K$6:$K$17,MONTH(C1407))&amp;IF(WEEKDAY(C1407,Inputs!$C$76)&lt;=Inputs!$C$74," weekday"," weekend"),Utility_Rates!$C$28:$F$28,Inputs!$C$68)),"")</f>
      </c>
      <c r="H1407" s="34"/>
      <c r="I1407" s="42">
        <f>IF(AND(ISNUMBER(D1407),ISNUMBER(H1407)),D1407*H1407*Inputs!$C$69,"")</f>
      </c>
      <c r="J1407" s="42">
        <f>IF(AND(ISNUMBER(F1407),ISNUMBER(H1407),F1407&gt;=Inputs!$C$68),F1407*H1407*Inputs!$C$69,"")</f>
      </c>
    </row>
    <row r="1408" spans="2:10" ht="15" customHeight="1" x14ac:dyDescent="0.2">
      <c r="B1408" s="39">
        <f t="shared" si="10"/>
      </c>
      <c r="C1408" s="40">
        <f>IF(Inputs!$C$60,Inputs!$C$11+(B1408-Inputs!$C$69)/Inputs!$C$70,"")</f>
      </c>
      <c r="D1408" s="15"/>
      <c r="E1408" s="15"/>
      <c r="F1408" s="11">
        <f t="shared" si="11"/>
      </c>
      <c r="G1408" s="22" cm="1">
        <f t="array" ref="G1408">IF(AND(Inputs!$C$60,Inputs!$C$61),INDEX(Utility_Rates!$C$29:$F$52,HOUR(C1408)+Inputs!$C$69,MATCH(INDEX(Utility_Rates!$K$6:$K$17,MONTH(C1408))&amp;IF(WEEKDAY(C1408,Inputs!$C$76)&lt;=Inputs!$C$74," weekday"," weekend"),Utility_Rates!$C$28:$F$28,Inputs!$C$68)),"")</f>
      </c>
      <c r="H1408" s="34"/>
      <c r="I1408" s="42">
        <f>IF(AND(ISNUMBER(D1408),ISNUMBER(H1408)),D1408*H1408*Inputs!$C$69,"")</f>
      </c>
      <c r="J1408" s="42">
        <f>IF(AND(ISNUMBER(F1408),ISNUMBER(H1408),F1408&gt;=Inputs!$C$68),F1408*H1408*Inputs!$C$69,"")</f>
      </c>
    </row>
    <row r="1409" spans="2:10" ht="15" customHeight="1" x14ac:dyDescent="0.2">
      <c r="B1409" s="39">
        <f t="shared" si="10"/>
      </c>
      <c r="C1409" s="40">
        <f>IF(Inputs!$C$60,Inputs!$C$11+(B1409-Inputs!$C$69)/Inputs!$C$70,"")</f>
      </c>
      <c r="D1409" s="15"/>
      <c r="E1409" s="15"/>
      <c r="F1409" s="11">
        <f t="shared" si="11"/>
      </c>
      <c r="G1409" s="22" cm="1">
        <f t="array" ref="G1409">IF(AND(Inputs!$C$60,Inputs!$C$61),INDEX(Utility_Rates!$C$29:$F$52,HOUR(C1409)+Inputs!$C$69,MATCH(INDEX(Utility_Rates!$K$6:$K$17,MONTH(C1409))&amp;IF(WEEKDAY(C1409,Inputs!$C$76)&lt;=Inputs!$C$74," weekday"," weekend"),Utility_Rates!$C$28:$F$28,Inputs!$C$68)),"")</f>
      </c>
      <c r="H1409" s="34"/>
      <c r="I1409" s="42">
        <f>IF(AND(ISNUMBER(D1409),ISNUMBER(H1409)),D1409*H1409*Inputs!$C$69,"")</f>
      </c>
      <c r="J1409" s="42">
        <f>IF(AND(ISNUMBER(F1409),ISNUMBER(H1409),F1409&gt;=Inputs!$C$68),F1409*H1409*Inputs!$C$69,"")</f>
      </c>
    </row>
    <row r="1410" spans="2:10" ht="15" customHeight="1" x14ac:dyDescent="0.2">
      <c r="B1410" s="39">
        <f t="shared" si="10"/>
      </c>
      <c r="C1410" s="40">
        <f>IF(Inputs!$C$60,Inputs!$C$11+(B1410-Inputs!$C$69)/Inputs!$C$70,"")</f>
      </c>
      <c r="D1410" s="15"/>
      <c r="E1410" s="15"/>
      <c r="F1410" s="11">
        <f t="shared" si="11"/>
      </c>
      <c r="G1410" s="22" cm="1">
        <f t="array" ref="G1410">IF(AND(Inputs!$C$60,Inputs!$C$61),INDEX(Utility_Rates!$C$29:$F$52,HOUR(C1410)+Inputs!$C$69,MATCH(INDEX(Utility_Rates!$K$6:$K$17,MONTH(C1410))&amp;IF(WEEKDAY(C1410,Inputs!$C$76)&lt;=Inputs!$C$74," weekday"," weekend"),Utility_Rates!$C$28:$F$28,Inputs!$C$68)),"")</f>
      </c>
      <c r="H1410" s="34"/>
      <c r="I1410" s="42">
        <f>IF(AND(ISNUMBER(D1410),ISNUMBER(H1410)),D1410*H1410*Inputs!$C$69,"")</f>
      </c>
      <c r="J1410" s="42">
        <f>IF(AND(ISNUMBER(F1410),ISNUMBER(H1410),F1410&gt;=Inputs!$C$68),F1410*H1410*Inputs!$C$69,"")</f>
      </c>
    </row>
    <row r="1411" spans="2:10" ht="15" customHeight="1" x14ac:dyDescent="0.2">
      <c r="B1411" s="39">
        <f t="shared" si="10"/>
      </c>
      <c r="C1411" s="40">
        <f>IF(Inputs!$C$60,Inputs!$C$11+(B1411-Inputs!$C$69)/Inputs!$C$70,"")</f>
      </c>
      <c r="D1411" s="15"/>
      <c r="E1411" s="15"/>
      <c r="F1411" s="11">
        <f t="shared" si="11"/>
      </c>
      <c r="G1411" s="22" cm="1">
        <f t="array" ref="G1411">IF(AND(Inputs!$C$60,Inputs!$C$61),INDEX(Utility_Rates!$C$29:$F$52,HOUR(C1411)+Inputs!$C$69,MATCH(INDEX(Utility_Rates!$K$6:$K$17,MONTH(C1411))&amp;IF(WEEKDAY(C1411,Inputs!$C$76)&lt;=Inputs!$C$74," weekday"," weekend"),Utility_Rates!$C$28:$F$28,Inputs!$C$68)),"")</f>
      </c>
      <c r="H1411" s="34"/>
      <c r="I1411" s="42">
        <f>IF(AND(ISNUMBER(D1411),ISNUMBER(H1411)),D1411*H1411*Inputs!$C$69,"")</f>
      </c>
      <c r="J1411" s="42">
        <f>IF(AND(ISNUMBER(F1411),ISNUMBER(H1411),F1411&gt;=Inputs!$C$68),F1411*H1411*Inputs!$C$69,"")</f>
      </c>
    </row>
    <row r="1412" spans="2:10" ht="15" customHeight="1" x14ac:dyDescent="0.2">
      <c r="B1412" s="39">
        <f t="shared" si="10"/>
      </c>
      <c r="C1412" s="40">
        <f>IF(Inputs!$C$60,Inputs!$C$11+(B1412-Inputs!$C$69)/Inputs!$C$70,"")</f>
      </c>
      <c r="D1412" s="15"/>
      <c r="E1412" s="15"/>
      <c r="F1412" s="11">
        <f t="shared" si="11"/>
      </c>
      <c r="G1412" s="22" cm="1">
        <f t="array" ref="G1412">IF(AND(Inputs!$C$60,Inputs!$C$61),INDEX(Utility_Rates!$C$29:$F$52,HOUR(C1412)+Inputs!$C$69,MATCH(INDEX(Utility_Rates!$K$6:$K$17,MONTH(C1412))&amp;IF(WEEKDAY(C1412,Inputs!$C$76)&lt;=Inputs!$C$74," weekday"," weekend"),Utility_Rates!$C$28:$F$28,Inputs!$C$68)),"")</f>
      </c>
      <c r="H1412" s="34"/>
      <c r="I1412" s="42">
        <f>IF(AND(ISNUMBER(D1412),ISNUMBER(H1412)),D1412*H1412*Inputs!$C$69,"")</f>
      </c>
      <c r="J1412" s="42">
        <f>IF(AND(ISNUMBER(F1412),ISNUMBER(H1412),F1412&gt;=Inputs!$C$68),F1412*H1412*Inputs!$C$69,"")</f>
      </c>
    </row>
    <row r="1413" spans="2:10" ht="15" customHeight="1" x14ac:dyDescent="0.2">
      <c r="B1413" s="39">
        <f t="shared" si="10"/>
      </c>
      <c r="C1413" s="40">
        <f>IF(Inputs!$C$60,Inputs!$C$11+(B1413-Inputs!$C$69)/Inputs!$C$70,"")</f>
      </c>
      <c r="D1413" s="15"/>
      <c r="E1413" s="15"/>
      <c r="F1413" s="11">
        <f t="shared" si="11"/>
      </c>
      <c r="G1413" s="22" cm="1">
        <f t="array" ref="G1413">IF(AND(Inputs!$C$60,Inputs!$C$61),INDEX(Utility_Rates!$C$29:$F$52,HOUR(C1413)+Inputs!$C$69,MATCH(INDEX(Utility_Rates!$K$6:$K$17,MONTH(C1413))&amp;IF(WEEKDAY(C1413,Inputs!$C$76)&lt;=Inputs!$C$74," weekday"," weekend"),Utility_Rates!$C$28:$F$28,Inputs!$C$68)),"")</f>
      </c>
      <c r="H1413" s="34"/>
      <c r="I1413" s="42">
        <f>IF(AND(ISNUMBER(D1413),ISNUMBER(H1413)),D1413*H1413*Inputs!$C$69,"")</f>
      </c>
      <c r="J1413" s="42">
        <f>IF(AND(ISNUMBER(F1413),ISNUMBER(H1413),F1413&gt;=Inputs!$C$68),F1413*H1413*Inputs!$C$69,"")</f>
      </c>
    </row>
    <row r="1414" spans="2:10" ht="15" customHeight="1" x14ac:dyDescent="0.2">
      <c r="B1414" s="39">
        <f t="shared" si="10"/>
      </c>
      <c r="C1414" s="40">
        <f>IF(Inputs!$C$60,Inputs!$C$11+(B1414-Inputs!$C$69)/Inputs!$C$70,"")</f>
      </c>
      <c r="D1414" s="15"/>
      <c r="E1414" s="15"/>
      <c r="F1414" s="11">
        <f t="shared" si="11"/>
      </c>
      <c r="G1414" s="22" cm="1">
        <f t="array" ref="G1414">IF(AND(Inputs!$C$60,Inputs!$C$61),INDEX(Utility_Rates!$C$29:$F$52,HOUR(C1414)+Inputs!$C$69,MATCH(INDEX(Utility_Rates!$K$6:$K$17,MONTH(C1414))&amp;IF(WEEKDAY(C1414,Inputs!$C$76)&lt;=Inputs!$C$74," weekday"," weekend"),Utility_Rates!$C$28:$F$28,Inputs!$C$68)),"")</f>
      </c>
      <c r="H1414" s="34"/>
      <c r="I1414" s="42">
        <f>IF(AND(ISNUMBER(D1414),ISNUMBER(H1414)),D1414*H1414*Inputs!$C$69,"")</f>
      </c>
      <c r="J1414" s="42">
        <f>IF(AND(ISNUMBER(F1414),ISNUMBER(H1414),F1414&gt;=Inputs!$C$68),F1414*H1414*Inputs!$C$69,"")</f>
      </c>
    </row>
    <row r="1415" spans="2:10" ht="15" customHeight="1" x14ac:dyDescent="0.2">
      <c r="B1415" s="39">
        <f t="shared" si="10"/>
      </c>
      <c r="C1415" s="40">
        <f>IF(Inputs!$C$60,Inputs!$C$11+(B1415-Inputs!$C$69)/Inputs!$C$70,"")</f>
      </c>
      <c r="D1415" s="15"/>
      <c r="E1415" s="15"/>
      <c r="F1415" s="11">
        <f t="shared" si="11"/>
      </c>
      <c r="G1415" s="22" cm="1">
        <f t="array" ref="G1415">IF(AND(Inputs!$C$60,Inputs!$C$61),INDEX(Utility_Rates!$C$29:$F$52,HOUR(C1415)+Inputs!$C$69,MATCH(INDEX(Utility_Rates!$K$6:$K$17,MONTH(C1415))&amp;IF(WEEKDAY(C1415,Inputs!$C$76)&lt;=Inputs!$C$74," weekday"," weekend"),Utility_Rates!$C$28:$F$28,Inputs!$C$68)),"")</f>
      </c>
      <c r="H1415" s="34"/>
      <c r="I1415" s="42">
        <f>IF(AND(ISNUMBER(D1415),ISNUMBER(H1415)),D1415*H1415*Inputs!$C$69,"")</f>
      </c>
      <c r="J1415" s="42">
        <f>IF(AND(ISNUMBER(F1415),ISNUMBER(H1415),F1415&gt;=Inputs!$C$68),F1415*H1415*Inputs!$C$69,"")</f>
      </c>
    </row>
    <row r="1416" spans="2:10" ht="15" customHeight="1" x14ac:dyDescent="0.2">
      <c r="B1416" s="39">
        <f t="shared" si="10"/>
      </c>
      <c r="C1416" s="40">
        <f>IF(Inputs!$C$60,Inputs!$C$11+(B1416-Inputs!$C$69)/Inputs!$C$70,"")</f>
      </c>
      <c r="D1416" s="15"/>
      <c r="E1416" s="15"/>
      <c r="F1416" s="11">
        <f t="shared" si="11"/>
      </c>
      <c r="G1416" s="22" cm="1">
        <f t="array" ref="G1416">IF(AND(Inputs!$C$60,Inputs!$C$61),INDEX(Utility_Rates!$C$29:$F$52,HOUR(C1416)+Inputs!$C$69,MATCH(INDEX(Utility_Rates!$K$6:$K$17,MONTH(C1416))&amp;IF(WEEKDAY(C1416,Inputs!$C$76)&lt;=Inputs!$C$74," weekday"," weekend"),Utility_Rates!$C$28:$F$28,Inputs!$C$68)),"")</f>
      </c>
      <c r="H1416" s="34"/>
      <c r="I1416" s="42">
        <f>IF(AND(ISNUMBER(D1416),ISNUMBER(H1416)),D1416*H1416*Inputs!$C$69,"")</f>
      </c>
      <c r="J1416" s="42">
        <f>IF(AND(ISNUMBER(F1416),ISNUMBER(H1416),F1416&gt;=Inputs!$C$68),F1416*H1416*Inputs!$C$69,"")</f>
      </c>
    </row>
    <row r="1417" spans="2:10" ht="15" customHeight="1" x14ac:dyDescent="0.2">
      <c r="B1417" s="39">
        <f t="shared" si="10"/>
      </c>
      <c r="C1417" s="40">
        <f>IF(Inputs!$C$60,Inputs!$C$11+(B1417-Inputs!$C$69)/Inputs!$C$70,"")</f>
      </c>
      <c r="D1417" s="15"/>
      <c r="E1417" s="15"/>
      <c r="F1417" s="11">
        <f t="shared" si="11"/>
      </c>
      <c r="G1417" s="22" cm="1">
        <f t="array" ref="G1417">IF(AND(Inputs!$C$60,Inputs!$C$61),INDEX(Utility_Rates!$C$29:$F$52,HOUR(C1417)+Inputs!$C$69,MATCH(INDEX(Utility_Rates!$K$6:$K$17,MONTH(C1417))&amp;IF(WEEKDAY(C1417,Inputs!$C$76)&lt;=Inputs!$C$74," weekday"," weekend"),Utility_Rates!$C$28:$F$28,Inputs!$C$68)),"")</f>
      </c>
      <c r="H1417" s="34"/>
      <c r="I1417" s="42">
        <f>IF(AND(ISNUMBER(D1417),ISNUMBER(H1417)),D1417*H1417*Inputs!$C$69,"")</f>
      </c>
      <c r="J1417" s="42">
        <f>IF(AND(ISNUMBER(F1417),ISNUMBER(H1417),F1417&gt;=Inputs!$C$68),F1417*H1417*Inputs!$C$69,"")</f>
      </c>
    </row>
    <row r="1418" spans="2:10" ht="15" customHeight="1" x14ac:dyDescent="0.2">
      <c r="B1418" s="39">
        <f t="shared" si="10"/>
      </c>
      <c r="C1418" s="40">
        <f>IF(Inputs!$C$60,Inputs!$C$11+(B1418-Inputs!$C$69)/Inputs!$C$70,"")</f>
      </c>
      <c r="D1418" s="15"/>
      <c r="E1418" s="15"/>
      <c r="F1418" s="11">
        <f t="shared" si="11"/>
      </c>
      <c r="G1418" s="22" cm="1">
        <f t="array" ref="G1418">IF(AND(Inputs!$C$60,Inputs!$C$61),INDEX(Utility_Rates!$C$29:$F$52,HOUR(C1418)+Inputs!$C$69,MATCH(INDEX(Utility_Rates!$K$6:$K$17,MONTH(C1418))&amp;IF(WEEKDAY(C1418,Inputs!$C$76)&lt;=Inputs!$C$74," weekday"," weekend"),Utility_Rates!$C$28:$F$28,Inputs!$C$68)),"")</f>
      </c>
      <c r="H1418" s="34"/>
      <c r="I1418" s="42">
        <f>IF(AND(ISNUMBER(D1418),ISNUMBER(H1418)),D1418*H1418*Inputs!$C$69,"")</f>
      </c>
      <c r="J1418" s="42">
        <f>IF(AND(ISNUMBER(F1418),ISNUMBER(H1418),F1418&gt;=Inputs!$C$68),F1418*H1418*Inputs!$C$69,"")</f>
      </c>
    </row>
    <row r="1419" spans="2:10" ht="15" customHeight="1" x14ac:dyDescent="0.2">
      <c r="B1419" s="39">
        <f t="shared" si="10"/>
      </c>
      <c r="C1419" s="40">
        <f>IF(Inputs!$C$60,Inputs!$C$11+(B1419-Inputs!$C$69)/Inputs!$C$70,"")</f>
      </c>
      <c r="D1419" s="15"/>
      <c r="E1419" s="15"/>
      <c r="F1419" s="11">
        <f t="shared" si="11"/>
      </c>
      <c r="G1419" s="22" cm="1">
        <f t="array" ref="G1419">IF(AND(Inputs!$C$60,Inputs!$C$61),INDEX(Utility_Rates!$C$29:$F$52,HOUR(C1419)+Inputs!$C$69,MATCH(INDEX(Utility_Rates!$K$6:$K$17,MONTH(C1419))&amp;IF(WEEKDAY(C1419,Inputs!$C$76)&lt;=Inputs!$C$74," weekday"," weekend"),Utility_Rates!$C$28:$F$28,Inputs!$C$68)),"")</f>
      </c>
      <c r="H1419" s="34"/>
      <c r="I1419" s="42">
        <f>IF(AND(ISNUMBER(D1419),ISNUMBER(H1419)),D1419*H1419*Inputs!$C$69,"")</f>
      </c>
      <c r="J1419" s="42">
        <f>IF(AND(ISNUMBER(F1419),ISNUMBER(H1419),F1419&gt;=Inputs!$C$68),F1419*H1419*Inputs!$C$69,"")</f>
      </c>
    </row>
    <row r="1420" spans="2:10" ht="15" customHeight="1" x14ac:dyDescent="0.2">
      <c r="B1420" s="39">
        <f t="shared" si="10"/>
      </c>
      <c r="C1420" s="40">
        <f>IF(Inputs!$C$60,Inputs!$C$11+(B1420-Inputs!$C$69)/Inputs!$C$70,"")</f>
      </c>
      <c r="D1420" s="15"/>
      <c r="E1420" s="15"/>
      <c r="F1420" s="11">
        <f t="shared" si="11"/>
      </c>
      <c r="G1420" s="22" cm="1">
        <f t="array" ref="G1420">IF(AND(Inputs!$C$60,Inputs!$C$61),INDEX(Utility_Rates!$C$29:$F$52,HOUR(C1420)+Inputs!$C$69,MATCH(INDEX(Utility_Rates!$K$6:$K$17,MONTH(C1420))&amp;IF(WEEKDAY(C1420,Inputs!$C$76)&lt;=Inputs!$C$74," weekday"," weekend"),Utility_Rates!$C$28:$F$28,Inputs!$C$68)),"")</f>
      </c>
      <c r="H1420" s="34"/>
      <c r="I1420" s="42">
        <f>IF(AND(ISNUMBER(D1420),ISNUMBER(H1420)),D1420*H1420*Inputs!$C$69,"")</f>
      </c>
      <c r="J1420" s="42">
        <f>IF(AND(ISNUMBER(F1420),ISNUMBER(H1420),F1420&gt;=Inputs!$C$68),F1420*H1420*Inputs!$C$69,"")</f>
      </c>
    </row>
    <row r="1421" spans="2:10" ht="15" customHeight="1" x14ac:dyDescent="0.2">
      <c r="B1421" s="39">
        <f t="shared" si="10"/>
      </c>
      <c r="C1421" s="40">
        <f>IF(Inputs!$C$60,Inputs!$C$11+(B1421-Inputs!$C$69)/Inputs!$C$70,"")</f>
      </c>
      <c r="D1421" s="15"/>
      <c r="E1421" s="15"/>
      <c r="F1421" s="11">
        <f t="shared" si="11"/>
      </c>
      <c r="G1421" s="22" cm="1">
        <f t="array" ref="G1421">IF(AND(Inputs!$C$60,Inputs!$C$61),INDEX(Utility_Rates!$C$29:$F$52,HOUR(C1421)+Inputs!$C$69,MATCH(INDEX(Utility_Rates!$K$6:$K$17,MONTH(C1421))&amp;IF(WEEKDAY(C1421,Inputs!$C$76)&lt;=Inputs!$C$74," weekday"," weekend"),Utility_Rates!$C$28:$F$28,Inputs!$C$68)),"")</f>
      </c>
      <c r="H1421" s="34"/>
      <c r="I1421" s="42">
        <f>IF(AND(ISNUMBER(D1421),ISNUMBER(H1421)),D1421*H1421*Inputs!$C$69,"")</f>
      </c>
      <c r="J1421" s="42">
        <f>IF(AND(ISNUMBER(F1421),ISNUMBER(H1421),F1421&gt;=Inputs!$C$68),F1421*H1421*Inputs!$C$69,"")</f>
      </c>
    </row>
    <row r="1422" spans="2:10" ht="15" customHeight="1" x14ac:dyDescent="0.2">
      <c r="B1422" s="39">
        <f t="shared" si="10"/>
      </c>
      <c r="C1422" s="40">
        <f>IF(Inputs!$C$60,Inputs!$C$11+(B1422-Inputs!$C$69)/Inputs!$C$70,"")</f>
      </c>
      <c r="D1422" s="15"/>
      <c r="E1422" s="15"/>
      <c r="F1422" s="11">
        <f t="shared" si="11"/>
      </c>
      <c r="G1422" s="22" cm="1">
        <f t="array" ref="G1422">IF(AND(Inputs!$C$60,Inputs!$C$61),INDEX(Utility_Rates!$C$29:$F$52,HOUR(C1422)+Inputs!$C$69,MATCH(INDEX(Utility_Rates!$K$6:$K$17,MONTH(C1422))&amp;IF(WEEKDAY(C1422,Inputs!$C$76)&lt;=Inputs!$C$74," weekday"," weekend"),Utility_Rates!$C$28:$F$28,Inputs!$C$68)),"")</f>
      </c>
      <c r="H1422" s="34"/>
      <c r="I1422" s="42">
        <f>IF(AND(ISNUMBER(D1422),ISNUMBER(H1422)),D1422*H1422*Inputs!$C$69,"")</f>
      </c>
      <c r="J1422" s="42">
        <f>IF(AND(ISNUMBER(F1422),ISNUMBER(H1422),F1422&gt;=Inputs!$C$68),F1422*H1422*Inputs!$C$69,"")</f>
      </c>
    </row>
    <row r="1423" spans="2:10" ht="15" customHeight="1" x14ac:dyDescent="0.2">
      <c r="B1423" s="39">
        <f t="shared" si="10"/>
      </c>
      <c r="C1423" s="40">
        <f>IF(Inputs!$C$60,Inputs!$C$11+(B1423-Inputs!$C$69)/Inputs!$C$70,"")</f>
      </c>
      <c r="D1423" s="15"/>
      <c r="E1423" s="15"/>
      <c r="F1423" s="11">
        <f t="shared" si="11"/>
      </c>
      <c r="G1423" s="22" cm="1">
        <f t="array" ref="G1423">IF(AND(Inputs!$C$60,Inputs!$C$61),INDEX(Utility_Rates!$C$29:$F$52,HOUR(C1423)+Inputs!$C$69,MATCH(INDEX(Utility_Rates!$K$6:$K$17,MONTH(C1423))&amp;IF(WEEKDAY(C1423,Inputs!$C$76)&lt;=Inputs!$C$74," weekday"," weekend"),Utility_Rates!$C$28:$F$28,Inputs!$C$68)),"")</f>
      </c>
      <c r="H1423" s="34"/>
      <c r="I1423" s="42">
        <f>IF(AND(ISNUMBER(D1423),ISNUMBER(H1423)),D1423*H1423*Inputs!$C$69,"")</f>
      </c>
      <c r="J1423" s="42">
        <f>IF(AND(ISNUMBER(F1423),ISNUMBER(H1423),F1423&gt;=Inputs!$C$68),F1423*H1423*Inputs!$C$69,"")</f>
      </c>
    </row>
    <row r="1424" spans="2:10" ht="15" customHeight="1" x14ac:dyDescent="0.2">
      <c r="B1424" s="39">
        <f t="shared" si="10"/>
      </c>
      <c r="C1424" s="40">
        <f>IF(Inputs!$C$60,Inputs!$C$11+(B1424-Inputs!$C$69)/Inputs!$C$70,"")</f>
      </c>
      <c r="D1424" s="15"/>
      <c r="E1424" s="15"/>
      <c r="F1424" s="11">
        <f t="shared" si="11"/>
      </c>
      <c r="G1424" s="22" cm="1">
        <f t="array" ref="G1424">IF(AND(Inputs!$C$60,Inputs!$C$61),INDEX(Utility_Rates!$C$29:$F$52,HOUR(C1424)+Inputs!$C$69,MATCH(INDEX(Utility_Rates!$K$6:$K$17,MONTH(C1424))&amp;IF(WEEKDAY(C1424,Inputs!$C$76)&lt;=Inputs!$C$74," weekday"," weekend"),Utility_Rates!$C$28:$F$28,Inputs!$C$68)),"")</f>
      </c>
      <c r="H1424" s="34"/>
      <c r="I1424" s="42">
        <f>IF(AND(ISNUMBER(D1424),ISNUMBER(H1424)),D1424*H1424*Inputs!$C$69,"")</f>
      </c>
      <c r="J1424" s="42">
        <f>IF(AND(ISNUMBER(F1424),ISNUMBER(H1424),F1424&gt;=Inputs!$C$68),F1424*H1424*Inputs!$C$69,"")</f>
      </c>
    </row>
    <row r="1425" spans="2:10" ht="15" customHeight="1" x14ac:dyDescent="0.2">
      <c r="B1425" s="39">
        <f t="shared" si="10"/>
      </c>
      <c r="C1425" s="40">
        <f>IF(Inputs!$C$60,Inputs!$C$11+(B1425-Inputs!$C$69)/Inputs!$C$70,"")</f>
      </c>
      <c r="D1425" s="15"/>
      <c r="E1425" s="15"/>
      <c r="F1425" s="11">
        <f t="shared" si="11"/>
      </c>
      <c r="G1425" s="22" cm="1">
        <f t="array" ref="G1425">IF(AND(Inputs!$C$60,Inputs!$C$61),INDEX(Utility_Rates!$C$29:$F$52,HOUR(C1425)+Inputs!$C$69,MATCH(INDEX(Utility_Rates!$K$6:$K$17,MONTH(C1425))&amp;IF(WEEKDAY(C1425,Inputs!$C$76)&lt;=Inputs!$C$74," weekday"," weekend"),Utility_Rates!$C$28:$F$28,Inputs!$C$68)),"")</f>
      </c>
      <c r="H1425" s="34"/>
      <c r="I1425" s="42">
        <f>IF(AND(ISNUMBER(D1425),ISNUMBER(H1425)),D1425*H1425*Inputs!$C$69,"")</f>
      </c>
      <c r="J1425" s="42">
        <f>IF(AND(ISNUMBER(F1425),ISNUMBER(H1425),F1425&gt;=Inputs!$C$68),F1425*H1425*Inputs!$C$69,"")</f>
      </c>
    </row>
    <row r="1426" spans="2:10" ht="15" customHeight="1" x14ac:dyDescent="0.2">
      <c r="B1426" s="39">
        <f t="shared" si="10"/>
      </c>
      <c r="C1426" s="40">
        <f>IF(Inputs!$C$60,Inputs!$C$11+(B1426-Inputs!$C$69)/Inputs!$C$70,"")</f>
      </c>
      <c r="D1426" s="15"/>
      <c r="E1426" s="15"/>
      <c r="F1426" s="11">
        <f t="shared" si="11"/>
      </c>
      <c r="G1426" s="22" cm="1">
        <f t="array" ref="G1426">IF(AND(Inputs!$C$60,Inputs!$C$61),INDEX(Utility_Rates!$C$29:$F$52,HOUR(C1426)+Inputs!$C$69,MATCH(INDEX(Utility_Rates!$K$6:$K$17,MONTH(C1426))&amp;IF(WEEKDAY(C1426,Inputs!$C$76)&lt;=Inputs!$C$74," weekday"," weekend"),Utility_Rates!$C$28:$F$28,Inputs!$C$68)),"")</f>
      </c>
      <c r="H1426" s="34"/>
      <c r="I1426" s="42">
        <f>IF(AND(ISNUMBER(D1426),ISNUMBER(H1426)),D1426*H1426*Inputs!$C$69,"")</f>
      </c>
      <c r="J1426" s="42">
        <f>IF(AND(ISNUMBER(F1426),ISNUMBER(H1426),F1426&gt;=Inputs!$C$68),F1426*H1426*Inputs!$C$69,"")</f>
      </c>
    </row>
    <row r="1427" spans="2:10" ht="15" customHeight="1" x14ac:dyDescent="0.2">
      <c r="B1427" s="39">
        <f t="shared" si="10"/>
      </c>
      <c r="C1427" s="40">
        <f>IF(Inputs!$C$60,Inputs!$C$11+(B1427-Inputs!$C$69)/Inputs!$C$70,"")</f>
      </c>
      <c r="D1427" s="15"/>
      <c r="E1427" s="15"/>
      <c r="F1427" s="11">
        <f t="shared" si="11"/>
      </c>
      <c r="G1427" s="22" cm="1">
        <f t="array" ref="G1427">IF(AND(Inputs!$C$60,Inputs!$C$61),INDEX(Utility_Rates!$C$29:$F$52,HOUR(C1427)+Inputs!$C$69,MATCH(INDEX(Utility_Rates!$K$6:$K$17,MONTH(C1427))&amp;IF(WEEKDAY(C1427,Inputs!$C$76)&lt;=Inputs!$C$74," weekday"," weekend"),Utility_Rates!$C$28:$F$28,Inputs!$C$68)),"")</f>
      </c>
      <c r="H1427" s="34"/>
      <c r="I1427" s="42">
        <f>IF(AND(ISNUMBER(D1427),ISNUMBER(H1427)),D1427*H1427*Inputs!$C$69,"")</f>
      </c>
      <c r="J1427" s="42">
        <f>IF(AND(ISNUMBER(F1427),ISNUMBER(H1427),F1427&gt;=Inputs!$C$68),F1427*H1427*Inputs!$C$69,"")</f>
      </c>
    </row>
    <row r="1428" spans="2:10" ht="15" customHeight="1" x14ac:dyDescent="0.2">
      <c r="B1428" s="39">
        <f t="shared" si="10"/>
      </c>
      <c r="C1428" s="40">
        <f>IF(Inputs!$C$60,Inputs!$C$11+(B1428-Inputs!$C$69)/Inputs!$C$70,"")</f>
      </c>
      <c r="D1428" s="15"/>
      <c r="E1428" s="15"/>
      <c r="F1428" s="11">
        <f t="shared" si="11"/>
      </c>
      <c r="G1428" s="22" cm="1">
        <f t="array" ref="G1428">IF(AND(Inputs!$C$60,Inputs!$C$61),INDEX(Utility_Rates!$C$29:$F$52,HOUR(C1428)+Inputs!$C$69,MATCH(INDEX(Utility_Rates!$K$6:$K$17,MONTH(C1428))&amp;IF(WEEKDAY(C1428,Inputs!$C$76)&lt;=Inputs!$C$74," weekday"," weekend"),Utility_Rates!$C$28:$F$28,Inputs!$C$68)),"")</f>
      </c>
      <c r="H1428" s="34"/>
      <c r="I1428" s="42">
        <f>IF(AND(ISNUMBER(D1428),ISNUMBER(H1428)),D1428*H1428*Inputs!$C$69,"")</f>
      </c>
      <c r="J1428" s="42">
        <f>IF(AND(ISNUMBER(F1428),ISNUMBER(H1428),F1428&gt;=Inputs!$C$68),F1428*H1428*Inputs!$C$69,"")</f>
      </c>
    </row>
    <row r="1429" spans="2:10" ht="15" customHeight="1" x14ac:dyDescent="0.2">
      <c r="B1429" s="39">
        <f t="shared" si="10"/>
      </c>
      <c r="C1429" s="40">
        <f>IF(Inputs!$C$60,Inputs!$C$11+(B1429-Inputs!$C$69)/Inputs!$C$70,"")</f>
      </c>
      <c r="D1429" s="15"/>
      <c r="E1429" s="15"/>
      <c r="F1429" s="11">
        <f t="shared" si="11"/>
      </c>
      <c r="G1429" s="22" cm="1">
        <f t="array" ref="G1429">IF(AND(Inputs!$C$60,Inputs!$C$61),INDEX(Utility_Rates!$C$29:$F$52,HOUR(C1429)+Inputs!$C$69,MATCH(INDEX(Utility_Rates!$K$6:$K$17,MONTH(C1429))&amp;IF(WEEKDAY(C1429,Inputs!$C$76)&lt;=Inputs!$C$74," weekday"," weekend"),Utility_Rates!$C$28:$F$28,Inputs!$C$68)),"")</f>
      </c>
      <c r="H1429" s="34"/>
      <c r="I1429" s="42">
        <f>IF(AND(ISNUMBER(D1429),ISNUMBER(H1429)),D1429*H1429*Inputs!$C$69,"")</f>
      </c>
      <c r="J1429" s="42">
        <f>IF(AND(ISNUMBER(F1429),ISNUMBER(H1429),F1429&gt;=Inputs!$C$68),F1429*H1429*Inputs!$C$69,"")</f>
      </c>
    </row>
    <row r="1430" spans="2:10" ht="15" customHeight="1" x14ac:dyDescent="0.2">
      <c r="B1430" s="39">
        <f t="shared" si="10"/>
      </c>
      <c r="C1430" s="40">
        <f>IF(Inputs!$C$60,Inputs!$C$11+(B1430-Inputs!$C$69)/Inputs!$C$70,"")</f>
      </c>
      <c r="D1430" s="15"/>
      <c r="E1430" s="15"/>
      <c r="F1430" s="11">
        <f t="shared" si="11"/>
      </c>
      <c r="G1430" s="22" cm="1">
        <f t="array" ref="G1430">IF(AND(Inputs!$C$60,Inputs!$C$61),INDEX(Utility_Rates!$C$29:$F$52,HOUR(C1430)+Inputs!$C$69,MATCH(INDEX(Utility_Rates!$K$6:$K$17,MONTH(C1430))&amp;IF(WEEKDAY(C1430,Inputs!$C$76)&lt;=Inputs!$C$74," weekday"," weekend"),Utility_Rates!$C$28:$F$28,Inputs!$C$68)),"")</f>
      </c>
      <c r="H1430" s="34"/>
      <c r="I1430" s="42">
        <f>IF(AND(ISNUMBER(D1430),ISNUMBER(H1430)),D1430*H1430*Inputs!$C$69,"")</f>
      </c>
      <c r="J1430" s="42">
        <f>IF(AND(ISNUMBER(F1430),ISNUMBER(H1430),F1430&gt;=Inputs!$C$68),F1430*H1430*Inputs!$C$69,"")</f>
      </c>
    </row>
    <row r="1431" spans="2:10" ht="15" customHeight="1" x14ac:dyDescent="0.2">
      <c r="B1431" s="39">
        <f t="shared" si="10"/>
      </c>
      <c r="C1431" s="40">
        <f>IF(Inputs!$C$60,Inputs!$C$11+(B1431-Inputs!$C$69)/Inputs!$C$70,"")</f>
      </c>
      <c r="D1431" s="15"/>
      <c r="E1431" s="15"/>
      <c r="F1431" s="11">
        <f t="shared" si="11"/>
      </c>
      <c r="G1431" s="22" cm="1">
        <f t="array" ref="G1431">IF(AND(Inputs!$C$60,Inputs!$C$61),INDEX(Utility_Rates!$C$29:$F$52,HOUR(C1431)+Inputs!$C$69,MATCH(INDEX(Utility_Rates!$K$6:$K$17,MONTH(C1431))&amp;IF(WEEKDAY(C1431,Inputs!$C$76)&lt;=Inputs!$C$74," weekday"," weekend"),Utility_Rates!$C$28:$F$28,Inputs!$C$68)),"")</f>
      </c>
      <c r="H1431" s="34"/>
      <c r="I1431" s="42">
        <f>IF(AND(ISNUMBER(D1431),ISNUMBER(H1431)),D1431*H1431*Inputs!$C$69,"")</f>
      </c>
      <c r="J1431" s="42">
        <f>IF(AND(ISNUMBER(F1431),ISNUMBER(H1431),F1431&gt;=Inputs!$C$68),F1431*H1431*Inputs!$C$69,"")</f>
      </c>
    </row>
    <row r="1432" spans="2:10" ht="15" customHeight="1" x14ac:dyDescent="0.2">
      <c r="B1432" s="39">
        <f t="shared" si="10"/>
      </c>
      <c r="C1432" s="40">
        <f>IF(Inputs!$C$60,Inputs!$C$11+(B1432-Inputs!$C$69)/Inputs!$C$70,"")</f>
      </c>
      <c r="D1432" s="15"/>
      <c r="E1432" s="15"/>
      <c r="F1432" s="11">
        <f t="shared" si="11"/>
      </c>
      <c r="G1432" s="22" cm="1">
        <f t="array" ref="G1432">IF(AND(Inputs!$C$60,Inputs!$C$61),INDEX(Utility_Rates!$C$29:$F$52,HOUR(C1432)+Inputs!$C$69,MATCH(INDEX(Utility_Rates!$K$6:$K$17,MONTH(C1432))&amp;IF(WEEKDAY(C1432,Inputs!$C$76)&lt;=Inputs!$C$74," weekday"," weekend"),Utility_Rates!$C$28:$F$28,Inputs!$C$68)),"")</f>
      </c>
      <c r="H1432" s="34"/>
      <c r="I1432" s="42">
        <f>IF(AND(ISNUMBER(D1432),ISNUMBER(H1432)),D1432*H1432*Inputs!$C$69,"")</f>
      </c>
      <c r="J1432" s="42">
        <f>IF(AND(ISNUMBER(F1432),ISNUMBER(H1432),F1432&gt;=Inputs!$C$68),F1432*H1432*Inputs!$C$69,"")</f>
      </c>
    </row>
    <row r="1433" spans="2:10" ht="15" customHeight="1" x14ac:dyDescent="0.2">
      <c r="B1433" s="39">
        <f t="shared" si="10"/>
      </c>
      <c r="C1433" s="40">
        <f>IF(Inputs!$C$60,Inputs!$C$11+(B1433-Inputs!$C$69)/Inputs!$C$70,"")</f>
      </c>
      <c r="D1433" s="15"/>
      <c r="E1433" s="15"/>
      <c r="F1433" s="11">
        <f t="shared" si="11"/>
      </c>
      <c r="G1433" s="22" cm="1">
        <f t="array" ref="G1433">IF(AND(Inputs!$C$60,Inputs!$C$61),INDEX(Utility_Rates!$C$29:$F$52,HOUR(C1433)+Inputs!$C$69,MATCH(INDEX(Utility_Rates!$K$6:$K$17,MONTH(C1433))&amp;IF(WEEKDAY(C1433,Inputs!$C$76)&lt;=Inputs!$C$74," weekday"," weekend"),Utility_Rates!$C$28:$F$28,Inputs!$C$68)),"")</f>
      </c>
      <c r="H1433" s="34"/>
      <c r="I1433" s="42">
        <f>IF(AND(ISNUMBER(D1433),ISNUMBER(H1433)),D1433*H1433*Inputs!$C$69,"")</f>
      </c>
      <c r="J1433" s="42">
        <f>IF(AND(ISNUMBER(F1433),ISNUMBER(H1433),F1433&gt;=Inputs!$C$68),F1433*H1433*Inputs!$C$69,"")</f>
      </c>
    </row>
    <row r="1434" spans="2:10" ht="15" customHeight="1" x14ac:dyDescent="0.2">
      <c r="B1434" s="39">
        <f t="shared" si="10"/>
      </c>
      <c r="C1434" s="40">
        <f>IF(Inputs!$C$60,Inputs!$C$11+(B1434-Inputs!$C$69)/Inputs!$C$70,"")</f>
      </c>
      <c r="D1434" s="15"/>
      <c r="E1434" s="15"/>
      <c r="F1434" s="11">
        <f t="shared" si="11"/>
      </c>
      <c r="G1434" s="22" cm="1">
        <f t="array" ref="G1434">IF(AND(Inputs!$C$60,Inputs!$C$61),INDEX(Utility_Rates!$C$29:$F$52,HOUR(C1434)+Inputs!$C$69,MATCH(INDEX(Utility_Rates!$K$6:$K$17,MONTH(C1434))&amp;IF(WEEKDAY(C1434,Inputs!$C$76)&lt;=Inputs!$C$74," weekday"," weekend"),Utility_Rates!$C$28:$F$28,Inputs!$C$68)),"")</f>
      </c>
      <c r="H1434" s="34"/>
      <c r="I1434" s="42">
        <f>IF(AND(ISNUMBER(D1434),ISNUMBER(H1434)),D1434*H1434*Inputs!$C$69,"")</f>
      </c>
      <c r="J1434" s="42">
        <f>IF(AND(ISNUMBER(F1434),ISNUMBER(H1434),F1434&gt;=Inputs!$C$68),F1434*H1434*Inputs!$C$69,"")</f>
      </c>
    </row>
    <row r="1435" spans="2:10" ht="15" customHeight="1" x14ac:dyDescent="0.2">
      <c r="B1435" s="39">
        <f t="shared" si="10"/>
      </c>
      <c r="C1435" s="40">
        <f>IF(Inputs!$C$60,Inputs!$C$11+(B1435-Inputs!$C$69)/Inputs!$C$70,"")</f>
      </c>
      <c r="D1435" s="15"/>
      <c r="E1435" s="15"/>
      <c r="F1435" s="11">
        <f t="shared" si="11"/>
      </c>
      <c r="G1435" s="22" cm="1">
        <f t="array" ref="G1435">IF(AND(Inputs!$C$60,Inputs!$C$61),INDEX(Utility_Rates!$C$29:$F$52,HOUR(C1435)+Inputs!$C$69,MATCH(INDEX(Utility_Rates!$K$6:$K$17,MONTH(C1435))&amp;IF(WEEKDAY(C1435,Inputs!$C$76)&lt;=Inputs!$C$74," weekday"," weekend"),Utility_Rates!$C$28:$F$28,Inputs!$C$68)),"")</f>
      </c>
      <c r="H1435" s="34"/>
      <c r="I1435" s="42">
        <f>IF(AND(ISNUMBER(D1435),ISNUMBER(H1435)),D1435*H1435*Inputs!$C$69,"")</f>
      </c>
      <c r="J1435" s="42">
        <f>IF(AND(ISNUMBER(F1435),ISNUMBER(H1435),F1435&gt;=Inputs!$C$68),F1435*H1435*Inputs!$C$69,"")</f>
      </c>
    </row>
    <row r="1436" spans="2:10" ht="15" customHeight="1" x14ac:dyDescent="0.2">
      <c r="B1436" s="39">
        <f t="shared" si="10"/>
      </c>
      <c r="C1436" s="40">
        <f>IF(Inputs!$C$60,Inputs!$C$11+(B1436-Inputs!$C$69)/Inputs!$C$70,"")</f>
      </c>
      <c r="D1436" s="15"/>
      <c r="E1436" s="15"/>
      <c r="F1436" s="11">
        <f t="shared" si="11"/>
      </c>
      <c r="G1436" s="22" cm="1">
        <f t="array" ref="G1436">IF(AND(Inputs!$C$60,Inputs!$C$61),INDEX(Utility_Rates!$C$29:$F$52,HOUR(C1436)+Inputs!$C$69,MATCH(INDEX(Utility_Rates!$K$6:$K$17,MONTH(C1436))&amp;IF(WEEKDAY(C1436,Inputs!$C$76)&lt;=Inputs!$C$74," weekday"," weekend"),Utility_Rates!$C$28:$F$28,Inputs!$C$68)),"")</f>
      </c>
      <c r="H1436" s="34"/>
      <c r="I1436" s="42">
        <f>IF(AND(ISNUMBER(D1436),ISNUMBER(H1436)),D1436*H1436*Inputs!$C$69,"")</f>
      </c>
      <c r="J1436" s="42">
        <f>IF(AND(ISNUMBER(F1436),ISNUMBER(H1436),F1436&gt;=Inputs!$C$68),F1436*H1436*Inputs!$C$69,"")</f>
      </c>
    </row>
    <row r="1437" spans="2:10" ht="15" customHeight="1" x14ac:dyDescent="0.2">
      <c r="B1437" s="39">
        <f t="shared" si="10"/>
      </c>
      <c r="C1437" s="40">
        <f>IF(Inputs!$C$60,Inputs!$C$11+(B1437-Inputs!$C$69)/Inputs!$C$70,"")</f>
      </c>
      <c r="D1437" s="15"/>
      <c r="E1437" s="15"/>
      <c r="F1437" s="11">
        <f t="shared" si="11"/>
      </c>
      <c r="G1437" s="22" cm="1">
        <f t="array" ref="G1437">IF(AND(Inputs!$C$60,Inputs!$C$61),INDEX(Utility_Rates!$C$29:$F$52,HOUR(C1437)+Inputs!$C$69,MATCH(INDEX(Utility_Rates!$K$6:$K$17,MONTH(C1437))&amp;IF(WEEKDAY(C1437,Inputs!$C$76)&lt;=Inputs!$C$74," weekday"," weekend"),Utility_Rates!$C$28:$F$28,Inputs!$C$68)),"")</f>
      </c>
      <c r="H1437" s="34"/>
      <c r="I1437" s="42">
        <f>IF(AND(ISNUMBER(D1437),ISNUMBER(H1437)),D1437*H1437*Inputs!$C$69,"")</f>
      </c>
      <c r="J1437" s="42">
        <f>IF(AND(ISNUMBER(F1437),ISNUMBER(H1437),F1437&gt;=Inputs!$C$68),F1437*H1437*Inputs!$C$69,"")</f>
      </c>
    </row>
    <row r="1438" spans="2:10" ht="15" customHeight="1" x14ac:dyDescent="0.2">
      <c r="B1438" s="39">
        <f t="shared" si="10"/>
      </c>
      <c r="C1438" s="40">
        <f>IF(Inputs!$C$60,Inputs!$C$11+(B1438-Inputs!$C$69)/Inputs!$C$70,"")</f>
      </c>
      <c r="D1438" s="15"/>
      <c r="E1438" s="15"/>
      <c r="F1438" s="11">
        <f t="shared" si="11"/>
      </c>
      <c r="G1438" s="22" cm="1">
        <f t="array" ref="G1438">IF(AND(Inputs!$C$60,Inputs!$C$61),INDEX(Utility_Rates!$C$29:$F$52,HOUR(C1438)+Inputs!$C$69,MATCH(INDEX(Utility_Rates!$K$6:$K$17,MONTH(C1438))&amp;IF(WEEKDAY(C1438,Inputs!$C$76)&lt;=Inputs!$C$74," weekday"," weekend"),Utility_Rates!$C$28:$F$28,Inputs!$C$68)),"")</f>
      </c>
      <c r="H1438" s="34"/>
      <c r="I1438" s="42">
        <f>IF(AND(ISNUMBER(D1438),ISNUMBER(H1438)),D1438*H1438*Inputs!$C$69,"")</f>
      </c>
      <c r="J1438" s="42">
        <f>IF(AND(ISNUMBER(F1438),ISNUMBER(H1438),F1438&gt;=Inputs!$C$68),F1438*H1438*Inputs!$C$69,"")</f>
      </c>
    </row>
    <row r="1439" spans="2:10" ht="15" customHeight="1" x14ac:dyDescent="0.2">
      <c r="B1439" s="39">
        <f t="shared" si="10"/>
      </c>
      <c r="C1439" s="40">
        <f>IF(Inputs!$C$60,Inputs!$C$11+(B1439-Inputs!$C$69)/Inputs!$C$70,"")</f>
      </c>
      <c r="D1439" s="15"/>
      <c r="E1439" s="15"/>
      <c r="F1439" s="11">
        <f t="shared" si="11"/>
      </c>
      <c r="G1439" s="22" cm="1">
        <f t="array" ref="G1439">IF(AND(Inputs!$C$60,Inputs!$C$61),INDEX(Utility_Rates!$C$29:$F$52,HOUR(C1439)+Inputs!$C$69,MATCH(INDEX(Utility_Rates!$K$6:$K$17,MONTH(C1439))&amp;IF(WEEKDAY(C1439,Inputs!$C$76)&lt;=Inputs!$C$74," weekday"," weekend"),Utility_Rates!$C$28:$F$28,Inputs!$C$68)),"")</f>
      </c>
      <c r="H1439" s="34"/>
      <c r="I1439" s="42">
        <f>IF(AND(ISNUMBER(D1439),ISNUMBER(H1439)),D1439*H1439*Inputs!$C$69,"")</f>
      </c>
      <c r="J1439" s="42">
        <f>IF(AND(ISNUMBER(F1439),ISNUMBER(H1439),F1439&gt;=Inputs!$C$68),F1439*H1439*Inputs!$C$69,"")</f>
      </c>
    </row>
    <row r="1440" spans="2:10" ht="15" customHeight="1" x14ac:dyDescent="0.2">
      <c r="B1440" s="39">
        <f t="shared" si="10"/>
      </c>
      <c r="C1440" s="40">
        <f>IF(Inputs!$C$60,Inputs!$C$11+(B1440-Inputs!$C$69)/Inputs!$C$70,"")</f>
      </c>
      <c r="D1440" s="15"/>
      <c r="E1440" s="15"/>
      <c r="F1440" s="11">
        <f t="shared" si="11"/>
      </c>
      <c r="G1440" s="22" cm="1">
        <f t="array" ref="G1440">IF(AND(Inputs!$C$60,Inputs!$C$61),INDEX(Utility_Rates!$C$29:$F$52,HOUR(C1440)+Inputs!$C$69,MATCH(INDEX(Utility_Rates!$K$6:$K$17,MONTH(C1440))&amp;IF(WEEKDAY(C1440,Inputs!$C$76)&lt;=Inputs!$C$74," weekday"," weekend"),Utility_Rates!$C$28:$F$28,Inputs!$C$68)),"")</f>
      </c>
      <c r="H1440" s="34"/>
      <c r="I1440" s="42">
        <f>IF(AND(ISNUMBER(D1440),ISNUMBER(H1440)),D1440*H1440*Inputs!$C$69,"")</f>
      </c>
      <c r="J1440" s="42">
        <f>IF(AND(ISNUMBER(F1440),ISNUMBER(H1440),F1440&gt;=Inputs!$C$68),F1440*H1440*Inputs!$C$69,"")</f>
      </c>
    </row>
    <row r="1441" spans="2:10" ht="15" customHeight="1" x14ac:dyDescent="0.2">
      <c r="B1441" s="39">
        <f t="shared" si="10"/>
      </c>
      <c r="C1441" s="40">
        <f>IF(Inputs!$C$60,Inputs!$C$11+(B1441-Inputs!$C$69)/Inputs!$C$70,"")</f>
      </c>
      <c r="D1441" s="15"/>
      <c r="E1441" s="15"/>
      <c r="F1441" s="11">
        <f t="shared" si="11"/>
      </c>
      <c r="G1441" s="22" cm="1">
        <f t="array" ref="G1441">IF(AND(Inputs!$C$60,Inputs!$C$61),INDEX(Utility_Rates!$C$29:$F$52,HOUR(C1441)+Inputs!$C$69,MATCH(INDEX(Utility_Rates!$K$6:$K$17,MONTH(C1441))&amp;IF(WEEKDAY(C1441,Inputs!$C$76)&lt;=Inputs!$C$74," weekday"," weekend"),Utility_Rates!$C$28:$F$28,Inputs!$C$68)),"")</f>
      </c>
      <c r="H1441" s="34"/>
      <c r="I1441" s="42">
        <f>IF(AND(ISNUMBER(D1441),ISNUMBER(H1441)),D1441*H1441*Inputs!$C$69,"")</f>
      </c>
      <c r="J1441" s="42">
        <f>IF(AND(ISNUMBER(F1441),ISNUMBER(H1441),F1441&gt;=Inputs!$C$68),F1441*H1441*Inputs!$C$69,"")</f>
      </c>
    </row>
    <row r="1442" spans="2:10" ht="15" customHeight="1" x14ac:dyDescent="0.2">
      <c r="B1442" s="39">
        <f t="shared" si="10"/>
      </c>
      <c r="C1442" s="40">
        <f>IF(Inputs!$C$60,Inputs!$C$11+(B1442-Inputs!$C$69)/Inputs!$C$70,"")</f>
      </c>
      <c r="D1442" s="15"/>
      <c r="E1442" s="15"/>
      <c r="F1442" s="11">
        <f t="shared" si="11"/>
      </c>
      <c r="G1442" s="22" cm="1">
        <f t="array" ref="G1442">IF(AND(Inputs!$C$60,Inputs!$C$61),INDEX(Utility_Rates!$C$29:$F$52,HOUR(C1442)+Inputs!$C$69,MATCH(INDEX(Utility_Rates!$K$6:$K$17,MONTH(C1442))&amp;IF(WEEKDAY(C1442,Inputs!$C$76)&lt;=Inputs!$C$74," weekday"," weekend"),Utility_Rates!$C$28:$F$28,Inputs!$C$68)),"")</f>
      </c>
      <c r="H1442" s="34"/>
      <c r="I1442" s="42">
        <f>IF(AND(ISNUMBER(D1442),ISNUMBER(H1442)),D1442*H1442*Inputs!$C$69,"")</f>
      </c>
      <c r="J1442" s="42">
        <f>IF(AND(ISNUMBER(F1442),ISNUMBER(H1442),F1442&gt;=Inputs!$C$68),F1442*H1442*Inputs!$C$69,"")</f>
      </c>
    </row>
    <row r="1443" spans="2:10" ht="15" customHeight="1" x14ac:dyDescent="0.2">
      <c r="B1443" s="39">
        <f t="shared" si="10"/>
      </c>
      <c r="C1443" s="40">
        <f>IF(Inputs!$C$60,Inputs!$C$11+(B1443-Inputs!$C$69)/Inputs!$C$70,"")</f>
      </c>
      <c r="D1443" s="15"/>
      <c r="E1443" s="15"/>
      <c r="F1443" s="11">
        <f t="shared" si="11"/>
      </c>
      <c r="G1443" s="22" cm="1">
        <f t="array" ref="G1443">IF(AND(Inputs!$C$60,Inputs!$C$61),INDEX(Utility_Rates!$C$29:$F$52,HOUR(C1443)+Inputs!$C$69,MATCH(INDEX(Utility_Rates!$K$6:$K$17,MONTH(C1443))&amp;IF(WEEKDAY(C1443,Inputs!$C$76)&lt;=Inputs!$C$74," weekday"," weekend"),Utility_Rates!$C$28:$F$28,Inputs!$C$68)),"")</f>
      </c>
      <c r="H1443" s="34"/>
      <c r="I1443" s="42">
        <f>IF(AND(ISNUMBER(D1443),ISNUMBER(H1443)),D1443*H1443*Inputs!$C$69,"")</f>
      </c>
      <c r="J1443" s="42">
        <f>IF(AND(ISNUMBER(F1443),ISNUMBER(H1443),F1443&gt;=Inputs!$C$68),F1443*H1443*Inputs!$C$69,"")</f>
      </c>
    </row>
    <row r="1444" spans="2:10" ht="15" customHeight="1" x14ac:dyDescent="0.2">
      <c r="B1444" s="39">
        <f t="shared" si="10"/>
      </c>
      <c r="C1444" s="40">
        <f>IF(Inputs!$C$60,Inputs!$C$11+(B1444-Inputs!$C$69)/Inputs!$C$70,"")</f>
      </c>
      <c r="D1444" s="15"/>
      <c r="E1444" s="15"/>
      <c r="F1444" s="11">
        <f t="shared" si="11"/>
      </c>
      <c r="G1444" s="22" cm="1">
        <f t="array" ref="G1444">IF(AND(Inputs!$C$60,Inputs!$C$61),INDEX(Utility_Rates!$C$29:$F$52,HOUR(C1444)+Inputs!$C$69,MATCH(INDEX(Utility_Rates!$K$6:$K$17,MONTH(C1444))&amp;IF(WEEKDAY(C1444,Inputs!$C$76)&lt;=Inputs!$C$74," weekday"," weekend"),Utility_Rates!$C$28:$F$28,Inputs!$C$68)),"")</f>
      </c>
      <c r="H1444" s="34"/>
      <c r="I1444" s="42">
        <f>IF(AND(ISNUMBER(D1444),ISNUMBER(H1444)),D1444*H1444*Inputs!$C$69,"")</f>
      </c>
      <c r="J1444" s="42">
        <f>IF(AND(ISNUMBER(F1444),ISNUMBER(H1444),F1444&gt;=Inputs!$C$68),F1444*H1444*Inputs!$C$69,"")</f>
      </c>
    </row>
    <row r="1445" spans="2:10" ht="15" customHeight="1" x14ac:dyDescent="0.2">
      <c r="B1445" s="39">
        <f t="shared" si="10"/>
      </c>
      <c r="C1445" s="40">
        <f>IF(Inputs!$C$60,Inputs!$C$11+(B1445-Inputs!$C$69)/Inputs!$C$70,"")</f>
      </c>
      <c r="D1445" s="15"/>
      <c r="E1445" s="15"/>
      <c r="F1445" s="11">
        <f t="shared" si="11"/>
      </c>
      <c r="G1445" s="22" cm="1">
        <f t="array" ref="G1445">IF(AND(Inputs!$C$60,Inputs!$C$61),INDEX(Utility_Rates!$C$29:$F$52,HOUR(C1445)+Inputs!$C$69,MATCH(INDEX(Utility_Rates!$K$6:$K$17,MONTH(C1445))&amp;IF(WEEKDAY(C1445,Inputs!$C$76)&lt;=Inputs!$C$74," weekday"," weekend"),Utility_Rates!$C$28:$F$28,Inputs!$C$68)),"")</f>
      </c>
      <c r="H1445" s="34"/>
      <c r="I1445" s="42">
        <f>IF(AND(ISNUMBER(D1445),ISNUMBER(H1445)),D1445*H1445*Inputs!$C$69,"")</f>
      </c>
      <c r="J1445" s="42">
        <f>IF(AND(ISNUMBER(F1445),ISNUMBER(H1445),F1445&gt;=Inputs!$C$68),F1445*H1445*Inputs!$C$69,"")</f>
      </c>
    </row>
    <row r="1446" spans="2:10" ht="15" customHeight="1" x14ac:dyDescent="0.2">
      <c r="B1446" s="39">
        <f t="shared" si="10"/>
      </c>
      <c r="C1446" s="40">
        <f>IF(Inputs!$C$60,Inputs!$C$11+(B1446-Inputs!$C$69)/Inputs!$C$70,"")</f>
      </c>
      <c r="D1446" s="15"/>
      <c r="E1446" s="15"/>
      <c r="F1446" s="11">
        <f t="shared" si="11"/>
      </c>
      <c r="G1446" s="22" cm="1">
        <f t="array" ref="G1446">IF(AND(Inputs!$C$60,Inputs!$C$61),INDEX(Utility_Rates!$C$29:$F$52,HOUR(C1446)+Inputs!$C$69,MATCH(INDEX(Utility_Rates!$K$6:$K$17,MONTH(C1446))&amp;IF(WEEKDAY(C1446,Inputs!$C$76)&lt;=Inputs!$C$74," weekday"," weekend"),Utility_Rates!$C$28:$F$28,Inputs!$C$68)),"")</f>
      </c>
      <c r="H1446" s="34"/>
      <c r="I1446" s="42">
        <f>IF(AND(ISNUMBER(D1446),ISNUMBER(H1446)),D1446*H1446*Inputs!$C$69,"")</f>
      </c>
      <c r="J1446" s="42">
        <f>IF(AND(ISNUMBER(F1446),ISNUMBER(H1446),F1446&gt;=Inputs!$C$68),F1446*H1446*Inputs!$C$69,"")</f>
      </c>
    </row>
    <row r="1447" spans="2:10" ht="15" customHeight="1" x14ac:dyDescent="0.2">
      <c r="B1447" s="39">
        <f t="shared" si="10"/>
      </c>
      <c r="C1447" s="40">
        <f>IF(Inputs!$C$60,Inputs!$C$11+(B1447-Inputs!$C$69)/Inputs!$C$70,"")</f>
      </c>
      <c r="D1447" s="15"/>
      <c r="E1447" s="15"/>
      <c r="F1447" s="11">
        <f t="shared" si="11"/>
      </c>
      <c r="G1447" s="22" cm="1">
        <f t="array" ref="G1447">IF(AND(Inputs!$C$60,Inputs!$C$61),INDEX(Utility_Rates!$C$29:$F$52,HOUR(C1447)+Inputs!$C$69,MATCH(INDEX(Utility_Rates!$K$6:$K$17,MONTH(C1447))&amp;IF(WEEKDAY(C1447,Inputs!$C$76)&lt;=Inputs!$C$74," weekday"," weekend"),Utility_Rates!$C$28:$F$28,Inputs!$C$68)),"")</f>
      </c>
      <c r="H1447" s="34"/>
      <c r="I1447" s="42">
        <f>IF(AND(ISNUMBER(D1447),ISNUMBER(H1447)),D1447*H1447*Inputs!$C$69,"")</f>
      </c>
      <c r="J1447" s="42">
        <f>IF(AND(ISNUMBER(F1447),ISNUMBER(H1447),F1447&gt;=Inputs!$C$68),F1447*H1447*Inputs!$C$69,"")</f>
      </c>
    </row>
    <row r="1448" spans="2:10" ht="15" customHeight="1" x14ac:dyDescent="0.2">
      <c r="B1448" s="39">
        <f t="shared" si="10"/>
      </c>
      <c r="C1448" s="40">
        <f>IF(Inputs!$C$60,Inputs!$C$11+(B1448-Inputs!$C$69)/Inputs!$C$70,"")</f>
      </c>
      <c r="D1448" s="15"/>
      <c r="E1448" s="15"/>
      <c r="F1448" s="11">
        <f t="shared" si="11"/>
      </c>
      <c r="G1448" s="22" cm="1">
        <f t="array" ref="G1448">IF(AND(Inputs!$C$60,Inputs!$C$61),INDEX(Utility_Rates!$C$29:$F$52,HOUR(C1448)+Inputs!$C$69,MATCH(INDEX(Utility_Rates!$K$6:$K$17,MONTH(C1448))&amp;IF(WEEKDAY(C1448,Inputs!$C$76)&lt;=Inputs!$C$74," weekday"," weekend"),Utility_Rates!$C$28:$F$28,Inputs!$C$68)),"")</f>
      </c>
      <c r="H1448" s="34"/>
      <c r="I1448" s="42">
        <f>IF(AND(ISNUMBER(D1448),ISNUMBER(H1448)),D1448*H1448*Inputs!$C$69,"")</f>
      </c>
      <c r="J1448" s="42">
        <f>IF(AND(ISNUMBER(F1448),ISNUMBER(H1448),F1448&gt;=Inputs!$C$68),F1448*H1448*Inputs!$C$69,"")</f>
      </c>
    </row>
    <row r="1449" spans="2:10" ht="15" customHeight="1" x14ac:dyDescent="0.2">
      <c r="B1449" s="39">
        <f t="shared" si="10"/>
      </c>
      <c r="C1449" s="40">
        <f>IF(Inputs!$C$60,Inputs!$C$11+(B1449-Inputs!$C$69)/Inputs!$C$70,"")</f>
      </c>
      <c r="D1449" s="15"/>
      <c r="E1449" s="15"/>
      <c r="F1449" s="11">
        <f t="shared" si="11"/>
      </c>
      <c r="G1449" s="22" cm="1">
        <f t="array" ref="G1449">IF(AND(Inputs!$C$60,Inputs!$C$61),INDEX(Utility_Rates!$C$29:$F$52,HOUR(C1449)+Inputs!$C$69,MATCH(INDEX(Utility_Rates!$K$6:$K$17,MONTH(C1449))&amp;IF(WEEKDAY(C1449,Inputs!$C$76)&lt;=Inputs!$C$74," weekday"," weekend"),Utility_Rates!$C$28:$F$28,Inputs!$C$68)),"")</f>
      </c>
      <c r="H1449" s="34"/>
      <c r="I1449" s="42">
        <f>IF(AND(ISNUMBER(D1449),ISNUMBER(H1449)),D1449*H1449*Inputs!$C$69,"")</f>
      </c>
      <c r="J1449" s="42">
        <f>IF(AND(ISNUMBER(F1449),ISNUMBER(H1449),F1449&gt;=Inputs!$C$68),F1449*H1449*Inputs!$C$69,"")</f>
      </c>
    </row>
    <row r="1450" spans="2:10" ht="15" customHeight="1" x14ac:dyDescent="0.2">
      <c r="B1450" s="39">
        <f t="shared" si="10"/>
      </c>
      <c r="C1450" s="40">
        <f>IF(Inputs!$C$60,Inputs!$C$11+(B1450-Inputs!$C$69)/Inputs!$C$70,"")</f>
      </c>
      <c r="D1450" s="15"/>
      <c r="E1450" s="15"/>
      <c r="F1450" s="11">
        <f t="shared" si="11"/>
      </c>
      <c r="G1450" s="22" cm="1">
        <f t="array" ref="G1450">IF(AND(Inputs!$C$60,Inputs!$C$61),INDEX(Utility_Rates!$C$29:$F$52,HOUR(C1450)+Inputs!$C$69,MATCH(INDEX(Utility_Rates!$K$6:$K$17,MONTH(C1450))&amp;IF(WEEKDAY(C1450,Inputs!$C$76)&lt;=Inputs!$C$74," weekday"," weekend"),Utility_Rates!$C$28:$F$28,Inputs!$C$68)),"")</f>
      </c>
      <c r="H1450" s="34"/>
      <c r="I1450" s="42">
        <f>IF(AND(ISNUMBER(D1450),ISNUMBER(H1450)),D1450*H1450*Inputs!$C$69,"")</f>
      </c>
      <c r="J1450" s="42">
        <f>IF(AND(ISNUMBER(F1450),ISNUMBER(H1450),F1450&gt;=Inputs!$C$68),F1450*H1450*Inputs!$C$69,"")</f>
      </c>
    </row>
    <row r="1451" spans="2:10" ht="15" customHeight="1" x14ac:dyDescent="0.2">
      <c r="B1451" s="39">
        <f t="shared" si="10"/>
      </c>
      <c r="C1451" s="40">
        <f>IF(Inputs!$C$60,Inputs!$C$11+(B1451-Inputs!$C$69)/Inputs!$C$70,"")</f>
      </c>
      <c r="D1451" s="15"/>
      <c r="E1451" s="15"/>
      <c r="F1451" s="11">
        <f t="shared" si="11"/>
      </c>
      <c r="G1451" s="22" cm="1">
        <f t="array" ref="G1451">IF(AND(Inputs!$C$60,Inputs!$C$61),INDEX(Utility_Rates!$C$29:$F$52,HOUR(C1451)+Inputs!$C$69,MATCH(INDEX(Utility_Rates!$K$6:$K$17,MONTH(C1451))&amp;IF(WEEKDAY(C1451,Inputs!$C$76)&lt;=Inputs!$C$74," weekday"," weekend"),Utility_Rates!$C$28:$F$28,Inputs!$C$68)),"")</f>
      </c>
      <c r="H1451" s="34"/>
      <c r="I1451" s="42">
        <f>IF(AND(ISNUMBER(D1451),ISNUMBER(H1451)),D1451*H1451*Inputs!$C$69,"")</f>
      </c>
      <c r="J1451" s="42">
        <f>IF(AND(ISNUMBER(F1451),ISNUMBER(H1451),F1451&gt;=Inputs!$C$68),F1451*H1451*Inputs!$C$69,"")</f>
      </c>
    </row>
    <row r="1452" spans="2:10" ht="15" customHeight="1" x14ac:dyDescent="0.2">
      <c r="B1452" s="39">
        <f t="shared" si="10"/>
      </c>
      <c r="C1452" s="40">
        <f>IF(Inputs!$C$60,Inputs!$C$11+(B1452-Inputs!$C$69)/Inputs!$C$70,"")</f>
      </c>
      <c r="D1452" s="15"/>
      <c r="E1452" s="15"/>
      <c r="F1452" s="11">
        <f t="shared" si="11"/>
      </c>
      <c r="G1452" s="22" cm="1">
        <f t="array" ref="G1452">IF(AND(Inputs!$C$60,Inputs!$C$61),INDEX(Utility_Rates!$C$29:$F$52,HOUR(C1452)+Inputs!$C$69,MATCH(INDEX(Utility_Rates!$K$6:$K$17,MONTH(C1452))&amp;IF(WEEKDAY(C1452,Inputs!$C$76)&lt;=Inputs!$C$74," weekday"," weekend"),Utility_Rates!$C$28:$F$28,Inputs!$C$68)),"")</f>
      </c>
      <c r="H1452" s="34"/>
      <c r="I1452" s="42">
        <f>IF(AND(ISNUMBER(D1452),ISNUMBER(H1452)),D1452*H1452*Inputs!$C$69,"")</f>
      </c>
      <c r="J1452" s="42">
        <f>IF(AND(ISNUMBER(F1452),ISNUMBER(H1452),F1452&gt;=Inputs!$C$68),F1452*H1452*Inputs!$C$69,"")</f>
      </c>
    </row>
    <row r="1453" spans="2:10" ht="15" customHeight="1" x14ac:dyDescent="0.2">
      <c r="B1453" s="39">
        <f t="shared" si="10"/>
      </c>
      <c r="C1453" s="40">
        <f>IF(Inputs!$C$60,Inputs!$C$11+(B1453-Inputs!$C$69)/Inputs!$C$70,"")</f>
      </c>
      <c r="D1453" s="15"/>
      <c r="E1453" s="15"/>
      <c r="F1453" s="11">
        <f t="shared" si="11"/>
      </c>
      <c r="G1453" s="22" cm="1">
        <f t="array" ref="G1453">IF(AND(Inputs!$C$60,Inputs!$C$61),INDEX(Utility_Rates!$C$29:$F$52,HOUR(C1453)+Inputs!$C$69,MATCH(INDEX(Utility_Rates!$K$6:$K$17,MONTH(C1453))&amp;IF(WEEKDAY(C1453,Inputs!$C$76)&lt;=Inputs!$C$74," weekday"," weekend"),Utility_Rates!$C$28:$F$28,Inputs!$C$68)),"")</f>
      </c>
      <c r="H1453" s="34"/>
      <c r="I1453" s="42">
        <f>IF(AND(ISNUMBER(D1453),ISNUMBER(H1453)),D1453*H1453*Inputs!$C$69,"")</f>
      </c>
      <c r="J1453" s="42">
        <f>IF(AND(ISNUMBER(F1453),ISNUMBER(H1453),F1453&gt;=Inputs!$C$68),F1453*H1453*Inputs!$C$69,"")</f>
      </c>
    </row>
    <row r="1454" spans="2:10" ht="15" customHeight="1" x14ac:dyDescent="0.2">
      <c r="B1454" s="39">
        <f t="shared" si="10"/>
      </c>
      <c r="C1454" s="40">
        <f>IF(Inputs!$C$60,Inputs!$C$11+(B1454-Inputs!$C$69)/Inputs!$C$70,"")</f>
      </c>
      <c r="D1454" s="15"/>
      <c r="E1454" s="15"/>
      <c r="F1454" s="11">
        <f t="shared" si="11"/>
      </c>
      <c r="G1454" s="22" cm="1">
        <f t="array" ref="G1454">IF(AND(Inputs!$C$60,Inputs!$C$61),INDEX(Utility_Rates!$C$29:$F$52,HOUR(C1454)+Inputs!$C$69,MATCH(INDEX(Utility_Rates!$K$6:$K$17,MONTH(C1454))&amp;IF(WEEKDAY(C1454,Inputs!$C$76)&lt;=Inputs!$C$74," weekday"," weekend"),Utility_Rates!$C$28:$F$28,Inputs!$C$68)),"")</f>
      </c>
      <c r="H1454" s="34"/>
      <c r="I1454" s="42">
        <f>IF(AND(ISNUMBER(D1454),ISNUMBER(H1454)),D1454*H1454*Inputs!$C$69,"")</f>
      </c>
      <c r="J1454" s="42">
        <f>IF(AND(ISNUMBER(F1454),ISNUMBER(H1454),F1454&gt;=Inputs!$C$68),F1454*H1454*Inputs!$C$69,"")</f>
      </c>
    </row>
    <row r="1455" spans="2:10" ht="15" customHeight="1" x14ac:dyDescent="0.2">
      <c r="B1455" s="39">
        <f t="shared" si="10"/>
      </c>
      <c r="C1455" s="40">
        <f>IF(Inputs!$C$60,Inputs!$C$11+(B1455-Inputs!$C$69)/Inputs!$C$70,"")</f>
      </c>
      <c r="D1455" s="15"/>
      <c r="E1455" s="15"/>
      <c r="F1455" s="11">
        <f t="shared" si="11"/>
      </c>
      <c r="G1455" s="22" cm="1">
        <f t="array" ref="G1455">IF(AND(Inputs!$C$60,Inputs!$C$61),INDEX(Utility_Rates!$C$29:$F$52,HOUR(C1455)+Inputs!$C$69,MATCH(INDEX(Utility_Rates!$K$6:$K$17,MONTH(C1455))&amp;IF(WEEKDAY(C1455,Inputs!$C$76)&lt;=Inputs!$C$74," weekday"," weekend"),Utility_Rates!$C$28:$F$28,Inputs!$C$68)),"")</f>
      </c>
      <c r="H1455" s="34"/>
      <c r="I1455" s="42">
        <f>IF(AND(ISNUMBER(D1455),ISNUMBER(H1455)),D1455*H1455*Inputs!$C$69,"")</f>
      </c>
      <c r="J1455" s="42">
        <f>IF(AND(ISNUMBER(F1455),ISNUMBER(H1455),F1455&gt;=Inputs!$C$68),F1455*H1455*Inputs!$C$69,"")</f>
      </c>
    </row>
    <row r="1456" spans="2:10" ht="15" customHeight="1" x14ac:dyDescent="0.2">
      <c r="B1456" s="39">
        <f t="shared" si="10"/>
      </c>
      <c r="C1456" s="40">
        <f>IF(Inputs!$C$60,Inputs!$C$11+(B1456-Inputs!$C$69)/Inputs!$C$70,"")</f>
      </c>
      <c r="D1456" s="15"/>
      <c r="E1456" s="15"/>
      <c r="F1456" s="11">
        <f t="shared" si="11"/>
      </c>
      <c r="G1456" s="22" cm="1">
        <f t="array" ref="G1456">IF(AND(Inputs!$C$60,Inputs!$C$61),INDEX(Utility_Rates!$C$29:$F$52,HOUR(C1456)+Inputs!$C$69,MATCH(INDEX(Utility_Rates!$K$6:$K$17,MONTH(C1456))&amp;IF(WEEKDAY(C1456,Inputs!$C$76)&lt;=Inputs!$C$74," weekday"," weekend"),Utility_Rates!$C$28:$F$28,Inputs!$C$68)),"")</f>
      </c>
      <c r="H1456" s="34"/>
      <c r="I1456" s="42">
        <f>IF(AND(ISNUMBER(D1456),ISNUMBER(H1456)),D1456*H1456*Inputs!$C$69,"")</f>
      </c>
      <c r="J1456" s="42">
        <f>IF(AND(ISNUMBER(F1456),ISNUMBER(H1456),F1456&gt;=Inputs!$C$68),F1456*H1456*Inputs!$C$69,"")</f>
      </c>
    </row>
    <row r="1457" spans="2:10" ht="15" customHeight="1" x14ac:dyDescent="0.2">
      <c r="B1457" s="39">
        <f t="shared" si="10"/>
      </c>
      <c r="C1457" s="40">
        <f>IF(Inputs!$C$60,Inputs!$C$11+(B1457-Inputs!$C$69)/Inputs!$C$70,"")</f>
      </c>
      <c r="D1457" s="15"/>
      <c r="E1457" s="15"/>
      <c r="F1457" s="11">
        <f t="shared" si="11"/>
      </c>
      <c r="G1457" s="22" cm="1">
        <f t="array" ref="G1457">IF(AND(Inputs!$C$60,Inputs!$C$61),INDEX(Utility_Rates!$C$29:$F$52,HOUR(C1457)+Inputs!$C$69,MATCH(INDEX(Utility_Rates!$K$6:$K$17,MONTH(C1457))&amp;IF(WEEKDAY(C1457,Inputs!$C$76)&lt;=Inputs!$C$74," weekday"," weekend"),Utility_Rates!$C$28:$F$28,Inputs!$C$68)),"")</f>
      </c>
      <c r="H1457" s="34"/>
      <c r="I1457" s="42">
        <f>IF(AND(ISNUMBER(D1457),ISNUMBER(H1457)),D1457*H1457*Inputs!$C$69,"")</f>
      </c>
      <c r="J1457" s="42">
        <f>IF(AND(ISNUMBER(F1457),ISNUMBER(H1457),F1457&gt;=Inputs!$C$68),F1457*H1457*Inputs!$C$69,"")</f>
      </c>
    </row>
    <row r="1458" spans="2:10" ht="15" customHeight="1" x14ac:dyDescent="0.2">
      <c r="B1458" s="39">
        <f t="shared" si="10"/>
      </c>
      <c r="C1458" s="40">
        <f>IF(Inputs!$C$60,Inputs!$C$11+(B1458-Inputs!$C$69)/Inputs!$C$70,"")</f>
      </c>
      <c r="D1458" s="15"/>
      <c r="E1458" s="15"/>
      <c r="F1458" s="11">
        <f t="shared" si="11"/>
      </c>
      <c r="G1458" s="22" cm="1">
        <f t="array" ref="G1458">IF(AND(Inputs!$C$60,Inputs!$C$61),INDEX(Utility_Rates!$C$29:$F$52,HOUR(C1458)+Inputs!$C$69,MATCH(INDEX(Utility_Rates!$K$6:$K$17,MONTH(C1458))&amp;IF(WEEKDAY(C1458,Inputs!$C$76)&lt;=Inputs!$C$74," weekday"," weekend"),Utility_Rates!$C$28:$F$28,Inputs!$C$68)),"")</f>
      </c>
      <c r="H1458" s="34"/>
      <c r="I1458" s="42">
        <f>IF(AND(ISNUMBER(D1458),ISNUMBER(H1458)),D1458*H1458*Inputs!$C$69,"")</f>
      </c>
      <c r="J1458" s="42">
        <f>IF(AND(ISNUMBER(F1458),ISNUMBER(H1458),F1458&gt;=Inputs!$C$68),F1458*H1458*Inputs!$C$69,"")</f>
      </c>
    </row>
    <row r="1459" spans="2:10" ht="15" customHeight="1" x14ac:dyDescent="0.2">
      <c r="B1459" s="39">
        <f t="shared" si="10"/>
      </c>
      <c r="C1459" s="40">
        <f>IF(Inputs!$C$60,Inputs!$C$11+(B1459-Inputs!$C$69)/Inputs!$C$70,"")</f>
      </c>
      <c r="D1459" s="15"/>
      <c r="E1459" s="15"/>
      <c r="F1459" s="11">
        <f t="shared" si="11"/>
      </c>
      <c r="G1459" s="22" cm="1">
        <f t="array" ref="G1459">IF(AND(Inputs!$C$60,Inputs!$C$61),INDEX(Utility_Rates!$C$29:$F$52,HOUR(C1459)+Inputs!$C$69,MATCH(INDEX(Utility_Rates!$K$6:$K$17,MONTH(C1459))&amp;IF(WEEKDAY(C1459,Inputs!$C$76)&lt;=Inputs!$C$74," weekday"," weekend"),Utility_Rates!$C$28:$F$28,Inputs!$C$68)),"")</f>
      </c>
      <c r="H1459" s="34"/>
      <c r="I1459" s="42">
        <f>IF(AND(ISNUMBER(D1459),ISNUMBER(H1459)),D1459*H1459*Inputs!$C$69,"")</f>
      </c>
      <c r="J1459" s="42">
        <f>IF(AND(ISNUMBER(F1459),ISNUMBER(H1459),F1459&gt;=Inputs!$C$68),F1459*H1459*Inputs!$C$69,"")</f>
      </c>
    </row>
    <row r="1460" spans="2:10" ht="15" customHeight="1" x14ac:dyDescent="0.2">
      <c r="B1460" s="39">
        <f t="shared" si="10"/>
      </c>
      <c r="C1460" s="40">
        <f>IF(Inputs!$C$60,Inputs!$C$11+(B1460-Inputs!$C$69)/Inputs!$C$70,"")</f>
      </c>
      <c r="D1460" s="15"/>
      <c r="E1460" s="15"/>
      <c r="F1460" s="11">
        <f t="shared" si="11"/>
      </c>
      <c r="G1460" s="22" cm="1">
        <f t="array" ref="G1460">IF(AND(Inputs!$C$60,Inputs!$C$61),INDEX(Utility_Rates!$C$29:$F$52,HOUR(C1460)+Inputs!$C$69,MATCH(INDEX(Utility_Rates!$K$6:$K$17,MONTH(C1460))&amp;IF(WEEKDAY(C1460,Inputs!$C$76)&lt;=Inputs!$C$74," weekday"," weekend"),Utility_Rates!$C$28:$F$28,Inputs!$C$68)),"")</f>
      </c>
      <c r="H1460" s="34"/>
      <c r="I1460" s="42">
        <f>IF(AND(ISNUMBER(D1460),ISNUMBER(H1460)),D1460*H1460*Inputs!$C$69,"")</f>
      </c>
      <c r="J1460" s="42">
        <f>IF(AND(ISNUMBER(F1460),ISNUMBER(H1460),F1460&gt;=Inputs!$C$68),F1460*H1460*Inputs!$C$69,"")</f>
      </c>
    </row>
    <row r="1461" spans="2:10" ht="15" customHeight="1" x14ac:dyDescent="0.2">
      <c r="B1461" s="39">
        <f t="shared" si="10"/>
      </c>
      <c r="C1461" s="40">
        <f>IF(Inputs!$C$60,Inputs!$C$11+(B1461-Inputs!$C$69)/Inputs!$C$70,"")</f>
      </c>
      <c r="D1461" s="15"/>
      <c r="E1461" s="15"/>
      <c r="F1461" s="11">
        <f t="shared" si="11"/>
      </c>
      <c r="G1461" s="22" cm="1">
        <f t="array" ref="G1461">IF(AND(Inputs!$C$60,Inputs!$C$61),INDEX(Utility_Rates!$C$29:$F$52,HOUR(C1461)+Inputs!$C$69,MATCH(INDEX(Utility_Rates!$K$6:$K$17,MONTH(C1461))&amp;IF(WEEKDAY(C1461,Inputs!$C$76)&lt;=Inputs!$C$74," weekday"," weekend"),Utility_Rates!$C$28:$F$28,Inputs!$C$68)),"")</f>
      </c>
      <c r="H1461" s="34"/>
      <c r="I1461" s="42">
        <f>IF(AND(ISNUMBER(D1461),ISNUMBER(H1461)),D1461*H1461*Inputs!$C$69,"")</f>
      </c>
      <c r="J1461" s="42">
        <f>IF(AND(ISNUMBER(F1461),ISNUMBER(H1461),F1461&gt;=Inputs!$C$68),F1461*H1461*Inputs!$C$69,"")</f>
      </c>
    </row>
    <row r="1462" spans="2:10" ht="15" customHeight="1" x14ac:dyDescent="0.2">
      <c r="B1462" s="39">
        <f t="shared" si="10"/>
      </c>
      <c r="C1462" s="40">
        <f>IF(Inputs!$C$60,Inputs!$C$11+(B1462-Inputs!$C$69)/Inputs!$C$70,"")</f>
      </c>
      <c r="D1462" s="15"/>
      <c r="E1462" s="15"/>
      <c r="F1462" s="11">
        <f t="shared" si="11"/>
      </c>
      <c r="G1462" s="22" cm="1">
        <f t="array" ref="G1462">IF(AND(Inputs!$C$60,Inputs!$C$61),INDEX(Utility_Rates!$C$29:$F$52,HOUR(C1462)+Inputs!$C$69,MATCH(INDEX(Utility_Rates!$K$6:$K$17,MONTH(C1462))&amp;IF(WEEKDAY(C1462,Inputs!$C$76)&lt;=Inputs!$C$74," weekday"," weekend"),Utility_Rates!$C$28:$F$28,Inputs!$C$68)),"")</f>
      </c>
      <c r="H1462" s="34"/>
      <c r="I1462" s="42">
        <f>IF(AND(ISNUMBER(D1462),ISNUMBER(H1462)),D1462*H1462*Inputs!$C$69,"")</f>
      </c>
      <c r="J1462" s="42">
        <f>IF(AND(ISNUMBER(F1462),ISNUMBER(H1462),F1462&gt;=Inputs!$C$68),F1462*H1462*Inputs!$C$69,"")</f>
      </c>
    </row>
    <row r="1463" spans="2:10" ht="15" customHeight="1" x14ac:dyDescent="0.2">
      <c r="B1463" s="39">
        <f t="shared" si="10"/>
      </c>
      <c r="C1463" s="40">
        <f>IF(Inputs!$C$60,Inputs!$C$11+(B1463-Inputs!$C$69)/Inputs!$C$70,"")</f>
      </c>
      <c r="D1463" s="15"/>
      <c r="E1463" s="15"/>
      <c r="F1463" s="11">
        <f t="shared" si="11"/>
      </c>
      <c r="G1463" s="22" cm="1">
        <f t="array" ref="G1463">IF(AND(Inputs!$C$60,Inputs!$C$61),INDEX(Utility_Rates!$C$29:$F$52,HOUR(C1463)+Inputs!$C$69,MATCH(INDEX(Utility_Rates!$K$6:$K$17,MONTH(C1463))&amp;IF(WEEKDAY(C1463,Inputs!$C$76)&lt;=Inputs!$C$74," weekday"," weekend"),Utility_Rates!$C$28:$F$28,Inputs!$C$68)),"")</f>
      </c>
      <c r="H1463" s="34"/>
      <c r="I1463" s="42">
        <f>IF(AND(ISNUMBER(D1463),ISNUMBER(H1463)),D1463*H1463*Inputs!$C$69,"")</f>
      </c>
      <c r="J1463" s="42">
        <f>IF(AND(ISNUMBER(F1463),ISNUMBER(H1463),F1463&gt;=Inputs!$C$68),F1463*H1463*Inputs!$C$69,"")</f>
      </c>
    </row>
    <row r="1464" spans="2:10" ht="15" customHeight="1" x14ac:dyDescent="0.2">
      <c r="B1464" s="39">
        <f t="shared" si="10"/>
      </c>
      <c r="C1464" s="40">
        <f>IF(Inputs!$C$60,Inputs!$C$11+(B1464-Inputs!$C$69)/Inputs!$C$70,"")</f>
      </c>
      <c r="D1464" s="15"/>
      <c r="E1464" s="15"/>
      <c r="F1464" s="11">
        <f t="shared" si="11"/>
      </c>
      <c r="G1464" s="22" cm="1">
        <f t="array" ref="G1464">IF(AND(Inputs!$C$60,Inputs!$C$61),INDEX(Utility_Rates!$C$29:$F$52,HOUR(C1464)+Inputs!$C$69,MATCH(INDEX(Utility_Rates!$K$6:$K$17,MONTH(C1464))&amp;IF(WEEKDAY(C1464,Inputs!$C$76)&lt;=Inputs!$C$74," weekday"," weekend"),Utility_Rates!$C$28:$F$28,Inputs!$C$68)),"")</f>
      </c>
      <c r="H1464" s="34"/>
      <c r="I1464" s="42">
        <f>IF(AND(ISNUMBER(D1464),ISNUMBER(H1464)),D1464*H1464*Inputs!$C$69,"")</f>
      </c>
      <c r="J1464" s="42">
        <f>IF(AND(ISNUMBER(F1464),ISNUMBER(H1464),F1464&gt;=Inputs!$C$68),F1464*H1464*Inputs!$C$69,"")</f>
      </c>
    </row>
    <row r="1465" spans="2:10" ht="15" customHeight="1" x14ac:dyDescent="0.2">
      <c r="B1465" s="39">
        <f t="shared" si="10"/>
      </c>
      <c r="C1465" s="40">
        <f>IF(Inputs!$C$60,Inputs!$C$11+(B1465-Inputs!$C$69)/Inputs!$C$70,"")</f>
      </c>
      <c r="D1465" s="15"/>
      <c r="E1465" s="15"/>
      <c r="F1465" s="11">
        <f t="shared" si="11"/>
      </c>
      <c r="G1465" s="22" cm="1">
        <f t="array" ref="G1465">IF(AND(Inputs!$C$60,Inputs!$C$61),INDEX(Utility_Rates!$C$29:$F$52,HOUR(C1465)+Inputs!$C$69,MATCH(INDEX(Utility_Rates!$K$6:$K$17,MONTH(C1465))&amp;IF(WEEKDAY(C1465,Inputs!$C$76)&lt;=Inputs!$C$74," weekday"," weekend"),Utility_Rates!$C$28:$F$28,Inputs!$C$68)),"")</f>
      </c>
      <c r="H1465" s="34"/>
      <c r="I1465" s="42">
        <f>IF(AND(ISNUMBER(D1465),ISNUMBER(H1465)),D1465*H1465*Inputs!$C$69,"")</f>
      </c>
      <c r="J1465" s="42">
        <f>IF(AND(ISNUMBER(F1465),ISNUMBER(H1465),F1465&gt;=Inputs!$C$68),F1465*H1465*Inputs!$C$69,"")</f>
      </c>
    </row>
    <row r="1466" spans="2:10" ht="15" customHeight="1" x14ac:dyDescent="0.2">
      <c r="B1466" s="39">
        <f t="shared" si="10"/>
      </c>
      <c r="C1466" s="40">
        <f>IF(Inputs!$C$60,Inputs!$C$11+(B1466-Inputs!$C$69)/Inputs!$C$70,"")</f>
      </c>
      <c r="D1466" s="15"/>
      <c r="E1466" s="15"/>
      <c r="F1466" s="11">
        <f t="shared" si="11"/>
      </c>
      <c r="G1466" s="22" cm="1">
        <f t="array" ref="G1466">IF(AND(Inputs!$C$60,Inputs!$C$61),INDEX(Utility_Rates!$C$29:$F$52,HOUR(C1466)+Inputs!$C$69,MATCH(INDEX(Utility_Rates!$K$6:$K$17,MONTH(C1466))&amp;IF(WEEKDAY(C1466,Inputs!$C$76)&lt;=Inputs!$C$74," weekday"," weekend"),Utility_Rates!$C$28:$F$28,Inputs!$C$68)),"")</f>
      </c>
      <c r="H1466" s="34"/>
      <c r="I1466" s="42">
        <f>IF(AND(ISNUMBER(D1466),ISNUMBER(H1466)),D1466*H1466*Inputs!$C$69,"")</f>
      </c>
      <c r="J1466" s="42">
        <f>IF(AND(ISNUMBER(F1466),ISNUMBER(H1466),F1466&gt;=Inputs!$C$68),F1466*H1466*Inputs!$C$69,"")</f>
      </c>
    </row>
    <row r="1467" spans="2:10" ht="15" customHeight="1" x14ac:dyDescent="0.2">
      <c r="B1467" s="39">
        <f t="shared" si="10"/>
      </c>
      <c r="C1467" s="40">
        <f>IF(Inputs!$C$60,Inputs!$C$11+(B1467-Inputs!$C$69)/Inputs!$C$70,"")</f>
      </c>
      <c r="D1467" s="15"/>
      <c r="E1467" s="15"/>
      <c r="F1467" s="11">
        <f t="shared" si="11"/>
      </c>
      <c r="G1467" s="22" cm="1">
        <f t="array" ref="G1467">IF(AND(Inputs!$C$60,Inputs!$C$61),INDEX(Utility_Rates!$C$29:$F$52,HOUR(C1467)+Inputs!$C$69,MATCH(INDEX(Utility_Rates!$K$6:$K$17,MONTH(C1467))&amp;IF(WEEKDAY(C1467,Inputs!$C$76)&lt;=Inputs!$C$74," weekday"," weekend"),Utility_Rates!$C$28:$F$28,Inputs!$C$68)),"")</f>
      </c>
      <c r="H1467" s="34"/>
      <c r="I1467" s="42">
        <f>IF(AND(ISNUMBER(D1467),ISNUMBER(H1467)),D1467*H1467*Inputs!$C$69,"")</f>
      </c>
      <c r="J1467" s="42">
        <f>IF(AND(ISNUMBER(F1467),ISNUMBER(H1467),F1467&gt;=Inputs!$C$68),F1467*H1467*Inputs!$C$69,"")</f>
      </c>
    </row>
    <row r="1468" spans="2:10" ht="15" customHeight="1" x14ac:dyDescent="0.2">
      <c r="B1468" s="39">
        <f t="shared" si="10"/>
      </c>
      <c r="C1468" s="40">
        <f>IF(Inputs!$C$60,Inputs!$C$11+(B1468-Inputs!$C$69)/Inputs!$C$70,"")</f>
      </c>
      <c r="D1468" s="15"/>
      <c r="E1468" s="15"/>
      <c r="F1468" s="11">
        <f t="shared" si="11"/>
      </c>
      <c r="G1468" s="22" cm="1">
        <f t="array" ref="G1468">IF(AND(Inputs!$C$60,Inputs!$C$61),INDEX(Utility_Rates!$C$29:$F$52,HOUR(C1468)+Inputs!$C$69,MATCH(INDEX(Utility_Rates!$K$6:$K$17,MONTH(C1468))&amp;IF(WEEKDAY(C1468,Inputs!$C$76)&lt;=Inputs!$C$74," weekday"," weekend"),Utility_Rates!$C$28:$F$28,Inputs!$C$68)),"")</f>
      </c>
      <c r="H1468" s="34"/>
      <c r="I1468" s="42">
        <f>IF(AND(ISNUMBER(D1468),ISNUMBER(H1468)),D1468*H1468*Inputs!$C$69,"")</f>
      </c>
      <c r="J1468" s="42">
        <f>IF(AND(ISNUMBER(F1468),ISNUMBER(H1468),F1468&gt;=Inputs!$C$68),F1468*H1468*Inputs!$C$69,"")</f>
      </c>
    </row>
    <row r="1469" spans="2:10" ht="15" customHeight="1" x14ac:dyDescent="0.2">
      <c r="B1469" s="39">
        <f t="shared" si="10"/>
      </c>
      <c r="C1469" s="40">
        <f>IF(Inputs!$C$60,Inputs!$C$11+(B1469-Inputs!$C$69)/Inputs!$C$70,"")</f>
      </c>
      <c r="D1469" s="15"/>
      <c r="E1469" s="15"/>
      <c r="F1469" s="11">
        <f t="shared" si="11"/>
      </c>
      <c r="G1469" s="22" cm="1">
        <f t="array" ref="G1469">IF(AND(Inputs!$C$60,Inputs!$C$61),INDEX(Utility_Rates!$C$29:$F$52,HOUR(C1469)+Inputs!$C$69,MATCH(INDEX(Utility_Rates!$K$6:$K$17,MONTH(C1469))&amp;IF(WEEKDAY(C1469,Inputs!$C$76)&lt;=Inputs!$C$74," weekday"," weekend"),Utility_Rates!$C$28:$F$28,Inputs!$C$68)),"")</f>
      </c>
      <c r="H1469" s="34"/>
      <c r="I1469" s="42">
        <f>IF(AND(ISNUMBER(D1469),ISNUMBER(H1469)),D1469*H1469*Inputs!$C$69,"")</f>
      </c>
      <c r="J1469" s="42">
        <f>IF(AND(ISNUMBER(F1469),ISNUMBER(H1469),F1469&gt;=Inputs!$C$68),F1469*H1469*Inputs!$C$69,"")</f>
      </c>
    </row>
    <row r="1470" spans="2:10" ht="15" customHeight="1" x14ac:dyDescent="0.2">
      <c r="B1470" s="39">
        <f t="shared" si="10"/>
      </c>
      <c r="C1470" s="40">
        <f>IF(Inputs!$C$60,Inputs!$C$11+(B1470-Inputs!$C$69)/Inputs!$C$70,"")</f>
      </c>
      <c r="D1470" s="15"/>
      <c r="E1470" s="15"/>
      <c r="F1470" s="11">
        <f t="shared" si="11"/>
      </c>
      <c r="G1470" s="22" cm="1">
        <f t="array" ref="G1470">IF(AND(Inputs!$C$60,Inputs!$C$61),INDEX(Utility_Rates!$C$29:$F$52,HOUR(C1470)+Inputs!$C$69,MATCH(INDEX(Utility_Rates!$K$6:$K$17,MONTH(C1470))&amp;IF(WEEKDAY(C1470,Inputs!$C$76)&lt;=Inputs!$C$74," weekday"," weekend"),Utility_Rates!$C$28:$F$28,Inputs!$C$68)),"")</f>
      </c>
      <c r="H1470" s="34"/>
      <c r="I1470" s="42">
        <f>IF(AND(ISNUMBER(D1470),ISNUMBER(H1470)),D1470*H1470*Inputs!$C$69,"")</f>
      </c>
      <c r="J1470" s="42">
        <f>IF(AND(ISNUMBER(F1470),ISNUMBER(H1470),F1470&gt;=Inputs!$C$68),F1470*H1470*Inputs!$C$69,"")</f>
      </c>
    </row>
    <row r="1471" spans="2:10" ht="15" customHeight="1" x14ac:dyDescent="0.2">
      <c r="B1471" s="39">
        <f t="shared" si="10"/>
      </c>
      <c r="C1471" s="40">
        <f>IF(Inputs!$C$60,Inputs!$C$11+(B1471-Inputs!$C$69)/Inputs!$C$70,"")</f>
      </c>
      <c r="D1471" s="15"/>
      <c r="E1471" s="15"/>
      <c r="F1471" s="11">
        <f t="shared" si="11"/>
      </c>
      <c r="G1471" s="22" cm="1">
        <f t="array" ref="G1471">IF(AND(Inputs!$C$60,Inputs!$C$61),INDEX(Utility_Rates!$C$29:$F$52,HOUR(C1471)+Inputs!$C$69,MATCH(INDEX(Utility_Rates!$K$6:$K$17,MONTH(C1471))&amp;IF(WEEKDAY(C1471,Inputs!$C$76)&lt;=Inputs!$C$74," weekday"," weekend"),Utility_Rates!$C$28:$F$28,Inputs!$C$68)),"")</f>
      </c>
      <c r="H1471" s="34"/>
      <c r="I1471" s="42">
        <f>IF(AND(ISNUMBER(D1471),ISNUMBER(H1471)),D1471*H1471*Inputs!$C$69,"")</f>
      </c>
      <c r="J1471" s="42">
        <f>IF(AND(ISNUMBER(F1471),ISNUMBER(H1471),F1471&gt;=Inputs!$C$68),F1471*H1471*Inputs!$C$69,"")</f>
      </c>
    </row>
    <row r="1472" spans="2:10" ht="15" customHeight="1" x14ac:dyDescent="0.2">
      <c r="B1472" s="39">
        <f t="shared" si="10"/>
      </c>
      <c r="C1472" s="40">
        <f>IF(Inputs!$C$60,Inputs!$C$11+(B1472-Inputs!$C$69)/Inputs!$C$70,"")</f>
      </c>
      <c r="D1472" s="15"/>
      <c r="E1472" s="15"/>
      <c r="F1472" s="11">
        <f t="shared" si="11"/>
      </c>
      <c r="G1472" s="22" cm="1">
        <f t="array" ref="G1472">IF(AND(Inputs!$C$60,Inputs!$C$61),INDEX(Utility_Rates!$C$29:$F$52,HOUR(C1472)+Inputs!$C$69,MATCH(INDEX(Utility_Rates!$K$6:$K$17,MONTH(C1472))&amp;IF(WEEKDAY(C1472,Inputs!$C$76)&lt;=Inputs!$C$74," weekday"," weekend"),Utility_Rates!$C$28:$F$28,Inputs!$C$68)),"")</f>
      </c>
      <c r="H1472" s="34"/>
      <c r="I1472" s="42">
        <f>IF(AND(ISNUMBER(D1472),ISNUMBER(H1472)),D1472*H1472*Inputs!$C$69,"")</f>
      </c>
      <c r="J1472" s="42">
        <f>IF(AND(ISNUMBER(F1472),ISNUMBER(H1472),F1472&gt;=Inputs!$C$68),F1472*H1472*Inputs!$C$69,"")</f>
      </c>
    </row>
    <row r="1473" spans="2:10" ht="15" customHeight="1" x14ac:dyDescent="0.2">
      <c r="B1473" s="39">
        <f t="shared" si="10"/>
      </c>
      <c r="C1473" s="40">
        <f>IF(Inputs!$C$60,Inputs!$C$11+(B1473-Inputs!$C$69)/Inputs!$C$70,"")</f>
      </c>
      <c r="D1473" s="15"/>
      <c r="E1473" s="15"/>
      <c r="F1473" s="11">
        <f t="shared" si="11"/>
      </c>
      <c r="G1473" s="22" cm="1">
        <f t="array" ref="G1473">IF(AND(Inputs!$C$60,Inputs!$C$61),INDEX(Utility_Rates!$C$29:$F$52,HOUR(C1473)+Inputs!$C$69,MATCH(INDEX(Utility_Rates!$K$6:$K$17,MONTH(C1473))&amp;IF(WEEKDAY(C1473,Inputs!$C$76)&lt;=Inputs!$C$74," weekday"," weekend"),Utility_Rates!$C$28:$F$28,Inputs!$C$68)),"")</f>
      </c>
      <c r="H1473" s="34"/>
      <c r="I1473" s="42">
        <f>IF(AND(ISNUMBER(D1473),ISNUMBER(H1473)),D1473*H1473*Inputs!$C$69,"")</f>
      </c>
      <c r="J1473" s="42">
        <f>IF(AND(ISNUMBER(F1473),ISNUMBER(H1473),F1473&gt;=Inputs!$C$68),F1473*H1473*Inputs!$C$69,"")</f>
      </c>
    </row>
    <row r="1474" spans="2:10" ht="15" customHeight="1" x14ac:dyDescent="0.2">
      <c r="B1474" s="39">
        <f t="shared" si="10"/>
      </c>
      <c r="C1474" s="40">
        <f>IF(Inputs!$C$60,Inputs!$C$11+(B1474-Inputs!$C$69)/Inputs!$C$70,"")</f>
      </c>
      <c r="D1474" s="15"/>
      <c r="E1474" s="15"/>
      <c r="F1474" s="11">
        <f t="shared" si="11"/>
      </c>
      <c r="G1474" s="22" cm="1">
        <f t="array" ref="G1474">IF(AND(Inputs!$C$60,Inputs!$C$61),INDEX(Utility_Rates!$C$29:$F$52,HOUR(C1474)+Inputs!$C$69,MATCH(INDEX(Utility_Rates!$K$6:$K$17,MONTH(C1474))&amp;IF(WEEKDAY(C1474,Inputs!$C$76)&lt;=Inputs!$C$74," weekday"," weekend"),Utility_Rates!$C$28:$F$28,Inputs!$C$68)),"")</f>
      </c>
      <c r="H1474" s="34"/>
      <c r="I1474" s="42">
        <f>IF(AND(ISNUMBER(D1474),ISNUMBER(H1474)),D1474*H1474*Inputs!$C$69,"")</f>
      </c>
      <c r="J1474" s="42">
        <f>IF(AND(ISNUMBER(F1474),ISNUMBER(H1474),F1474&gt;=Inputs!$C$68),F1474*H1474*Inputs!$C$69,"")</f>
      </c>
    </row>
    <row r="1475" spans="2:10" ht="15" customHeight="1" x14ac:dyDescent="0.2">
      <c r="B1475" s="39">
        <f t="shared" si="10"/>
      </c>
      <c r="C1475" s="40">
        <f>IF(Inputs!$C$60,Inputs!$C$11+(B1475-Inputs!$C$69)/Inputs!$C$70,"")</f>
      </c>
      <c r="D1475" s="15"/>
      <c r="E1475" s="15"/>
      <c r="F1475" s="11">
        <f t="shared" si="11"/>
      </c>
      <c r="G1475" s="22" cm="1">
        <f t="array" ref="G1475">IF(AND(Inputs!$C$60,Inputs!$C$61),INDEX(Utility_Rates!$C$29:$F$52,HOUR(C1475)+Inputs!$C$69,MATCH(INDEX(Utility_Rates!$K$6:$K$17,MONTH(C1475))&amp;IF(WEEKDAY(C1475,Inputs!$C$76)&lt;=Inputs!$C$74," weekday"," weekend"),Utility_Rates!$C$28:$F$28,Inputs!$C$68)),"")</f>
      </c>
      <c r="H1475" s="34"/>
      <c r="I1475" s="42">
        <f>IF(AND(ISNUMBER(D1475),ISNUMBER(H1475)),D1475*H1475*Inputs!$C$69,"")</f>
      </c>
      <c r="J1475" s="42">
        <f>IF(AND(ISNUMBER(F1475),ISNUMBER(H1475),F1475&gt;=Inputs!$C$68),F1475*H1475*Inputs!$C$69,"")</f>
      </c>
    </row>
    <row r="1476" spans="2:10" ht="15" customHeight="1" x14ac:dyDescent="0.2">
      <c r="B1476" s="39">
        <f t="shared" si="10"/>
      </c>
      <c r="C1476" s="40">
        <f>IF(Inputs!$C$60,Inputs!$C$11+(B1476-Inputs!$C$69)/Inputs!$C$70,"")</f>
      </c>
      <c r="D1476" s="15"/>
      <c r="E1476" s="15"/>
      <c r="F1476" s="11">
        <f t="shared" si="11"/>
      </c>
      <c r="G1476" s="22" cm="1">
        <f t="array" ref="G1476">IF(AND(Inputs!$C$60,Inputs!$C$61),INDEX(Utility_Rates!$C$29:$F$52,HOUR(C1476)+Inputs!$C$69,MATCH(INDEX(Utility_Rates!$K$6:$K$17,MONTH(C1476))&amp;IF(WEEKDAY(C1476,Inputs!$C$76)&lt;=Inputs!$C$74," weekday"," weekend"),Utility_Rates!$C$28:$F$28,Inputs!$C$68)),"")</f>
      </c>
      <c r="H1476" s="34"/>
      <c r="I1476" s="42">
        <f>IF(AND(ISNUMBER(D1476),ISNUMBER(H1476)),D1476*H1476*Inputs!$C$69,"")</f>
      </c>
      <c r="J1476" s="42">
        <f>IF(AND(ISNUMBER(F1476),ISNUMBER(H1476),F1476&gt;=Inputs!$C$68),F1476*H1476*Inputs!$C$69,"")</f>
      </c>
    </row>
    <row r="1477" spans="2:10" ht="15" customHeight="1" x14ac:dyDescent="0.2">
      <c r="B1477" s="39">
        <f t="shared" si="10"/>
      </c>
      <c r="C1477" s="40">
        <f>IF(Inputs!$C$60,Inputs!$C$11+(B1477-Inputs!$C$69)/Inputs!$C$70,"")</f>
      </c>
      <c r="D1477" s="15"/>
      <c r="E1477" s="15"/>
      <c r="F1477" s="11">
        <f t="shared" si="11"/>
      </c>
      <c r="G1477" s="22" cm="1">
        <f t="array" ref="G1477">IF(AND(Inputs!$C$60,Inputs!$C$61),INDEX(Utility_Rates!$C$29:$F$52,HOUR(C1477)+Inputs!$C$69,MATCH(INDEX(Utility_Rates!$K$6:$K$17,MONTH(C1477))&amp;IF(WEEKDAY(C1477,Inputs!$C$76)&lt;=Inputs!$C$74," weekday"," weekend"),Utility_Rates!$C$28:$F$28,Inputs!$C$68)),"")</f>
      </c>
      <c r="H1477" s="34"/>
      <c r="I1477" s="42">
        <f>IF(AND(ISNUMBER(D1477),ISNUMBER(H1477)),D1477*H1477*Inputs!$C$69,"")</f>
      </c>
      <c r="J1477" s="42">
        <f>IF(AND(ISNUMBER(F1477),ISNUMBER(H1477),F1477&gt;=Inputs!$C$68),F1477*H1477*Inputs!$C$69,"")</f>
      </c>
    </row>
    <row r="1478" spans="2:10" ht="15" customHeight="1" x14ac:dyDescent="0.2">
      <c r="B1478" s="39">
        <f t="shared" si="10"/>
      </c>
      <c r="C1478" s="40">
        <f>IF(Inputs!$C$60,Inputs!$C$11+(B1478-Inputs!$C$69)/Inputs!$C$70,"")</f>
      </c>
      <c r="D1478" s="15"/>
      <c r="E1478" s="15"/>
      <c r="F1478" s="11">
        <f t="shared" si="11"/>
      </c>
      <c r="G1478" s="22" cm="1">
        <f t="array" ref="G1478">IF(AND(Inputs!$C$60,Inputs!$C$61),INDEX(Utility_Rates!$C$29:$F$52,HOUR(C1478)+Inputs!$C$69,MATCH(INDEX(Utility_Rates!$K$6:$K$17,MONTH(C1478))&amp;IF(WEEKDAY(C1478,Inputs!$C$76)&lt;=Inputs!$C$74," weekday"," weekend"),Utility_Rates!$C$28:$F$28,Inputs!$C$68)),"")</f>
      </c>
      <c r="H1478" s="34"/>
      <c r="I1478" s="42">
        <f>IF(AND(ISNUMBER(D1478),ISNUMBER(H1478)),D1478*H1478*Inputs!$C$69,"")</f>
      </c>
      <c r="J1478" s="42">
        <f>IF(AND(ISNUMBER(F1478),ISNUMBER(H1478),F1478&gt;=Inputs!$C$68),F1478*H1478*Inputs!$C$69,"")</f>
      </c>
    </row>
    <row r="1479" spans="2:10" ht="15" customHeight="1" x14ac:dyDescent="0.2">
      <c r="B1479" s="39">
        <f t="shared" si="10"/>
      </c>
      <c r="C1479" s="40">
        <f>IF(Inputs!$C$60,Inputs!$C$11+(B1479-Inputs!$C$69)/Inputs!$C$70,"")</f>
      </c>
      <c r="D1479" s="15"/>
      <c r="E1479" s="15"/>
      <c r="F1479" s="11">
        <f t="shared" si="11"/>
      </c>
      <c r="G1479" s="22" cm="1">
        <f t="array" ref="G1479">IF(AND(Inputs!$C$60,Inputs!$C$61),INDEX(Utility_Rates!$C$29:$F$52,HOUR(C1479)+Inputs!$C$69,MATCH(INDEX(Utility_Rates!$K$6:$K$17,MONTH(C1479))&amp;IF(WEEKDAY(C1479,Inputs!$C$76)&lt;=Inputs!$C$74," weekday"," weekend"),Utility_Rates!$C$28:$F$28,Inputs!$C$68)),"")</f>
      </c>
      <c r="H1479" s="34"/>
      <c r="I1479" s="42">
        <f>IF(AND(ISNUMBER(D1479),ISNUMBER(H1479)),D1479*H1479*Inputs!$C$69,"")</f>
      </c>
      <c r="J1479" s="42">
        <f>IF(AND(ISNUMBER(F1479),ISNUMBER(H1479),F1479&gt;=Inputs!$C$68),F1479*H1479*Inputs!$C$69,"")</f>
      </c>
    </row>
    <row r="1480" spans="2:10" ht="15" customHeight="1" x14ac:dyDescent="0.2">
      <c r="B1480" s="39">
        <f t="shared" si="10"/>
      </c>
      <c r="C1480" s="40">
        <f>IF(Inputs!$C$60,Inputs!$C$11+(B1480-Inputs!$C$69)/Inputs!$C$70,"")</f>
      </c>
      <c r="D1480" s="15"/>
      <c r="E1480" s="15"/>
      <c r="F1480" s="11">
        <f t="shared" si="11"/>
      </c>
      <c r="G1480" s="22" cm="1">
        <f t="array" ref="G1480">IF(AND(Inputs!$C$60,Inputs!$C$61),INDEX(Utility_Rates!$C$29:$F$52,HOUR(C1480)+Inputs!$C$69,MATCH(INDEX(Utility_Rates!$K$6:$K$17,MONTH(C1480))&amp;IF(WEEKDAY(C1480,Inputs!$C$76)&lt;=Inputs!$C$74," weekday"," weekend"),Utility_Rates!$C$28:$F$28,Inputs!$C$68)),"")</f>
      </c>
      <c r="H1480" s="34"/>
      <c r="I1480" s="42">
        <f>IF(AND(ISNUMBER(D1480),ISNUMBER(H1480)),D1480*H1480*Inputs!$C$69,"")</f>
      </c>
      <c r="J1480" s="42">
        <f>IF(AND(ISNUMBER(F1480),ISNUMBER(H1480),F1480&gt;=Inputs!$C$68),F1480*H1480*Inputs!$C$69,"")</f>
      </c>
    </row>
    <row r="1481" spans="2:10" ht="15" customHeight="1" x14ac:dyDescent="0.2">
      <c r="B1481" s="39">
        <f t="shared" si="10"/>
      </c>
      <c r="C1481" s="40">
        <f>IF(Inputs!$C$60,Inputs!$C$11+(B1481-Inputs!$C$69)/Inputs!$C$70,"")</f>
      </c>
      <c r="D1481" s="15"/>
      <c r="E1481" s="15"/>
      <c r="F1481" s="11">
        <f t="shared" si="11"/>
      </c>
      <c r="G1481" s="22" cm="1">
        <f t="array" ref="G1481">IF(AND(Inputs!$C$60,Inputs!$C$61),INDEX(Utility_Rates!$C$29:$F$52,HOUR(C1481)+Inputs!$C$69,MATCH(INDEX(Utility_Rates!$K$6:$K$17,MONTH(C1481))&amp;IF(WEEKDAY(C1481,Inputs!$C$76)&lt;=Inputs!$C$74," weekday"," weekend"),Utility_Rates!$C$28:$F$28,Inputs!$C$68)),"")</f>
      </c>
      <c r="H1481" s="34"/>
      <c r="I1481" s="42">
        <f>IF(AND(ISNUMBER(D1481),ISNUMBER(H1481)),D1481*H1481*Inputs!$C$69,"")</f>
      </c>
      <c r="J1481" s="42">
        <f>IF(AND(ISNUMBER(F1481),ISNUMBER(H1481),F1481&gt;=Inputs!$C$68),F1481*H1481*Inputs!$C$69,"")</f>
      </c>
    </row>
    <row r="1482" spans="2:10" ht="15" customHeight="1" x14ac:dyDescent="0.2">
      <c r="B1482" s="39">
        <f t="shared" si="10"/>
      </c>
      <c r="C1482" s="40">
        <f>IF(Inputs!$C$60,Inputs!$C$11+(B1482-Inputs!$C$69)/Inputs!$C$70,"")</f>
      </c>
      <c r="D1482" s="15"/>
      <c r="E1482" s="15"/>
      <c r="F1482" s="11">
        <f t="shared" si="11"/>
      </c>
      <c r="G1482" s="22" cm="1">
        <f t="array" ref="G1482">IF(AND(Inputs!$C$60,Inputs!$C$61),INDEX(Utility_Rates!$C$29:$F$52,HOUR(C1482)+Inputs!$C$69,MATCH(INDEX(Utility_Rates!$K$6:$K$17,MONTH(C1482))&amp;IF(WEEKDAY(C1482,Inputs!$C$76)&lt;=Inputs!$C$74," weekday"," weekend"),Utility_Rates!$C$28:$F$28,Inputs!$C$68)),"")</f>
      </c>
      <c r="H1482" s="34"/>
      <c r="I1482" s="42">
        <f>IF(AND(ISNUMBER(D1482),ISNUMBER(H1482)),D1482*H1482*Inputs!$C$69,"")</f>
      </c>
      <c r="J1482" s="42">
        <f>IF(AND(ISNUMBER(F1482),ISNUMBER(H1482),F1482&gt;=Inputs!$C$68),F1482*H1482*Inputs!$C$69,"")</f>
      </c>
    </row>
    <row r="1483" spans="2:10" ht="15" customHeight="1" x14ac:dyDescent="0.2">
      <c r="B1483" s="39">
        <f t="shared" si="10"/>
      </c>
      <c r="C1483" s="40">
        <f>IF(Inputs!$C$60,Inputs!$C$11+(B1483-Inputs!$C$69)/Inputs!$C$70,"")</f>
      </c>
      <c r="D1483" s="15"/>
      <c r="E1483" s="15"/>
      <c r="F1483" s="11">
        <f t="shared" si="11"/>
      </c>
      <c r="G1483" s="22" cm="1">
        <f t="array" ref="G1483">IF(AND(Inputs!$C$60,Inputs!$C$61),INDEX(Utility_Rates!$C$29:$F$52,HOUR(C1483)+Inputs!$C$69,MATCH(INDEX(Utility_Rates!$K$6:$K$17,MONTH(C1483))&amp;IF(WEEKDAY(C1483,Inputs!$C$76)&lt;=Inputs!$C$74," weekday"," weekend"),Utility_Rates!$C$28:$F$28,Inputs!$C$68)),"")</f>
      </c>
      <c r="H1483" s="34"/>
      <c r="I1483" s="42">
        <f>IF(AND(ISNUMBER(D1483),ISNUMBER(H1483)),D1483*H1483*Inputs!$C$69,"")</f>
      </c>
      <c r="J1483" s="42">
        <f>IF(AND(ISNUMBER(F1483),ISNUMBER(H1483),F1483&gt;=Inputs!$C$68),F1483*H1483*Inputs!$C$69,"")</f>
      </c>
    </row>
    <row r="1484" spans="2:10" ht="15" customHeight="1" x14ac:dyDescent="0.2">
      <c r="B1484" s="39">
        <f t="shared" si="10"/>
      </c>
      <c r="C1484" s="40">
        <f>IF(Inputs!$C$60,Inputs!$C$11+(B1484-Inputs!$C$69)/Inputs!$C$70,"")</f>
      </c>
      <c r="D1484" s="15"/>
      <c r="E1484" s="15"/>
      <c r="F1484" s="11">
        <f t="shared" si="11"/>
      </c>
      <c r="G1484" s="22" cm="1">
        <f t="array" ref="G1484">IF(AND(Inputs!$C$60,Inputs!$C$61),INDEX(Utility_Rates!$C$29:$F$52,HOUR(C1484)+Inputs!$C$69,MATCH(INDEX(Utility_Rates!$K$6:$K$17,MONTH(C1484))&amp;IF(WEEKDAY(C1484,Inputs!$C$76)&lt;=Inputs!$C$74," weekday"," weekend"),Utility_Rates!$C$28:$F$28,Inputs!$C$68)),"")</f>
      </c>
      <c r="H1484" s="34"/>
      <c r="I1484" s="42">
        <f>IF(AND(ISNUMBER(D1484),ISNUMBER(H1484)),D1484*H1484*Inputs!$C$69,"")</f>
      </c>
      <c r="J1484" s="42">
        <f>IF(AND(ISNUMBER(F1484),ISNUMBER(H1484),F1484&gt;=Inputs!$C$68),F1484*H1484*Inputs!$C$69,"")</f>
      </c>
    </row>
    <row r="1485" spans="2:10" ht="15" customHeight="1" x14ac:dyDescent="0.2">
      <c r="B1485" s="39">
        <f t="shared" si="10"/>
      </c>
      <c r="C1485" s="40">
        <f>IF(Inputs!$C$60,Inputs!$C$11+(B1485-Inputs!$C$69)/Inputs!$C$70,"")</f>
      </c>
      <c r="D1485" s="15"/>
      <c r="E1485" s="15"/>
      <c r="F1485" s="11">
        <f t="shared" si="11"/>
      </c>
      <c r="G1485" s="22" cm="1">
        <f t="array" ref="G1485">IF(AND(Inputs!$C$60,Inputs!$C$61),INDEX(Utility_Rates!$C$29:$F$52,HOUR(C1485)+Inputs!$C$69,MATCH(INDEX(Utility_Rates!$K$6:$K$17,MONTH(C1485))&amp;IF(WEEKDAY(C1485,Inputs!$C$76)&lt;=Inputs!$C$74," weekday"," weekend"),Utility_Rates!$C$28:$F$28,Inputs!$C$68)),"")</f>
      </c>
      <c r="H1485" s="34"/>
      <c r="I1485" s="42">
        <f>IF(AND(ISNUMBER(D1485),ISNUMBER(H1485)),D1485*H1485*Inputs!$C$69,"")</f>
      </c>
      <c r="J1485" s="42">
        <f>IF(AND(ISNUMBER(F1485),ISNUMBER(H1485),F1485&gt;=Inputs!$C$68),F1485*H1485*Inputs!$C$69,"")</f>
      </c>
    </row>
    <row r="1486" spans="2:10" ht="15" customHeight="1" x14ac:dyDescent="0.2">
      <c r="B1486" s="39">
        <f t="shared" si="10"/>
      </c>
      <c r="C1486" s="40">
        <f>IF(Inputs!$C$60,Inputs!$C$11+(B1486-Inputs!$C$69)/Inputs!$C$70,"")</f>
      </c>
      <c r="D1486" s="15"/>
      <c r="E1486" s="15"/>
      <c r="F1486" s="11">
        <f t="shared" si="11"/>
      </c>
      <c r="G1486" s="22" cm="1">
        <f t="array" ref="G1486">IF(AND(Inputs!$C$60,Inputs!$C$61),INDEX(Utility_Rates!$C$29:$F$52,HOUR(C1486)+Inputs!$C$69,MATCH(INDEX(Utility_Rates!$K$6:$K$17,MONTH(C1486))&amp;IF(WEEKDAY(C1486,Inputs!$C$76)&lt;=Inputs!$C$74," weekday"," weekend"),Utility_Rates!$C$28:$F$28,Inputs!$C$68)),"")</f>
      </c>
      <c r="H1486" s="34"/>
      <c r="I1486" s="42">
        <f>IF(AND(ISNUMBER(D1486),ISNUMBER(H1486)),D1486*H1486*Inputs!$C$69,"")</f>
      </c>
      <c r="J1486" s="42">
        <f>IF(AND(ISNUMBER(F1486),ISNUMBER(H1486),F1486&gt;=Inputs!$C$68),F1486*H1486*Inputs!$C$69,"")</f>
      </c>
    </row>
    <row r="1487" spans="2:10" ht="15" customHeight="1" x14ac:dyDescent="0.2">
      <c r="B1487" s="39">
        <f t="shared" si="10"/>
      </c>
      <c r="C1487" s="40">
        <f>IF(Inputs!$C$60,Inputs!$C$11+(B1487-Inputs!$C$69)/Inputs!$C$70,"")</f>
      </c>
      <c r="D1487" s="15"/>
      <c r="E1487" s="15"/>
      <c r="F1487" s="11">
        <f t="shared" si="11"/>
      </c>
      <c r="G1487" s="22" cm="1">
        <f t="array" ref="G1487">IF(AND(Inputs!$C$60,Inputs!$C$61),INDEX(Utility_Rates!$C$29:$F$52,HOUR(C1487)+Inputs!$C$69,MATCH(INDEX(Utility_Rates!$K$6:$K$17,MONTH(C1487))&amp;IF(WEEKDAY(C1487,Inputs!$C$76)&lt;=Inputs!$C$74," weekday"," weekend"),Utility_Rates!$C$28:$F$28,Inputs!$C$68)),"")</f>
      </c>
      <c r="H1487" s="34"/>
      <c r="I1487" s="42">
        <f>IF(AND(ISNUMBER(D1487),ISNUMBER(H1487)),D1487*H1487*Inputs!$C$69,"")</f>
      </c>
      <c r="J1487" s="42">
        <f>IF(AND(ISNUMBER(F1487),ISNUMBER(H1487),F1487&gt;=Inputs!$C$68),F1487*H1487*Inputs!$C$69,"")</f>
      </c>
    </row>
    <row r="1488" spans="2:10" ht="15" customHeight="1" x14ac:dyDescent="0.2">
      <c r="B1488" s="39">
        <f t="shared" si="10"/>
      </c>
      <c r="C1488" s="40">
        <f>IF(Inputs!$C$60,Inputs!$C$11+(B1488-Inputs!$C$69)/Inputs!$C$70,"")</f>
      </c>
      <c r="D1488" s="15"/>
      <c r="E1488" s="15"/>
      <c r="F1488" s="11">
        <f t="shared" si="11"/>
      </c>
      <c r="G1488" s="22" cm="1">
        <f t="array" ref="G1488">IF(AND(Inputs!$C$60,Inputs!$C$61),INDEX(Utility_Rates!$C$29:$F$52,HOUR(C1488)+Inputs!$C$69,MATCH(INDEX(Utility_Rates!$K$6:$K$17,MONTH(C1488))&amp;IF(WEEKDAY(C1488,Inputs!$C$76)&lt;=Inputs!$C$74," weekday"," weekend"),Utility_Rates!$C$28:$F$28,Inputs!$C$68)),"")</f>
      </c>
      <c r="H1488" s="34"/>
      <c r="I1488" s="42">
        <f>IF(AND(ISNUMBER(D1488),ISNUMBER(H1488)),D1488*H1488*Inputs!$C$69,"")</f>
      </c>
      <c r="J1488" s="42">
        <f>IF(AND(ISNUMBER(F1488),ISNUMBER(H1488),F1488&gt;=Inputs!$C$68),F1488*H1488*Inputs!$C$69,"")</f>
      </c>
    </row>
    <row r="1489" spans="2:10" ht="15" customHeight="1" x14ac:dyDescent="0.2">
      <c r="B1489" s="39">
        <f t="shared" si="10"/>
      </c>
      <c r="C1489" s="40">
        <f>IF(Inputs!$C$60,Inputs!$C$11+(B1489-Inputs!$C$69)/Inputs!$C$70,"")</f>
      </c>
      <c r="D1489" s="15"/>
      <c r="E1489" s="15"/>
      <c r="F1489" s="11">
        <f t="shared" si="11"/>
      </c>
      <c r="G1489" s="22" cm="1">
        <f t="array" ref="G1489">IF(AND(Inputs!$C$60,Inputs!$C$61),INDEX(Utility_Rates!$C$29:$F$52,HOUR(C1489)+Inputs!$C$69,MATCH(INDEX(Utility_Rates!$K$6:$K$17,MONTH(C1489))&amp;IF(WEEKDAY(C1489,Inputs!$C$76)&lt;=Inputs!$C$74," weekday"," weekend"),Utility_Rates!$C$28:$F$28,Inputs!$C$68)),"")</f>
      </c>
      <c r="H1489" s="34"/>
      <c r="I1489" s="42">
        <f>IF(AND(ISNUMBER(D1489),ISNUMBER(H1489)),D1489*H1489*Inputs!$C$69,"")</f>
      </c>
      <c r="J1489" s="42">
        <f>IF(AND(ISNUMBER(F1489),ISNUMBER(H1489),F1489&gt;=Inputs!$C$68),F1489*H1489*Inputs!$C$69,"")</f>
      </c>
    </row>
    <row r="1490" spans="2:10" ht="15" customHeight="1" x14ac:dyDescent="0.2">
      <c r="B1490" s="39">
        <f t="shared" si="10"/>
      </c>
      <c r="C1490" s="40">
        <f>IF(Inputs!$C$60,Inputs!$C$11+(B1490-Inputs!$C$69)/Inputs!$C$70,"")</f>
      </c>
      <c r="D1490" s="15"/>
      <c r="E1490" s="15"/>
      <c r="F1490" s="11">
        <f t="shared" si="11"/>
      </c>
      <c r="G1490" s="22" cm="1">
        <f t="array" ref="G1490">IF(AND(Inputs!$C$60,Inputs!$C$61),INDEX(Utility_Rates!$C$29:$F$52,HOUR(C1490)+Inputs!$C$69,MATCH(INDEX(Utility_Rates!$K$6:$K$17,MONTH(C1490))&amp;IF(WEEKDAY(C1490,Inputs!$C$76)&lt;=Inputs!$C$74," weekday"," weekend"),Utility_Rates!$C$28:$F$28,Inputs!$C$68)),"")</f>
      </c>
      <c r="H1490" s="34"/>
      <c r="I1490" s="42">
        <f>IF(AND(ISNUMBER(D1490),ISNUMBER(H1490)),D1490*H1490*Inputs!$C$69,"")</f>
      </c>
      <c r="J1490" s="42">
        <f>IF(AND(ISNUMBER(F1490),ISNUMBER(H1490),F1490&gt;=Inputs!$C$68),F1490*H1490*Inputs!$C$69,"")</f>
      </c>
    </row>
    <row r="1491" spans="2:10" ht="15" customHeight="1" x14ac:dyDescent="0.2">
      <c r="B1491" s="39">
        <f t="shared" si="10"/>
      </c>
      <c r="C1491" s="40">
        <f>IF(Inputs!$C$60,Inputs!$C$11+(B1491-Inputs!$C$69)/Inputs!$C$70,"")</f>
      </c>
      <c r="D1491" s="15"/>
      <c r="E1491" s="15"/>
      <c r="F1491" s="11">
        <f t="shared" si="11"/>
      </c>
      <c r="G1491" s="22" cm="1">
        <f t="array" ref="G1491">IF(AND(Inputs!$C$60,Inputs!$C$61),INDEX(Utility_Rates!$C$29:$F$52,HOUR(C1491)+Inputs!$C$69,MATCH(INDEX(Utility_Rates!$K$6:$K$17,MONTH(C1491))&amp;IF(WEEKDAY(C1491,Inputs!$C$76)&lt;=Inputs!$C$74," weekday"," weekend"),Utility_Rates!$C$28:$F$28,Inputs!$C$68)),"")</f>
      </c>
      <c r="H1491" s="34"/>
      <c r="I1491" s="42">
        <f>IF(AND(ISNUMBER(D1491),ISNUMBER(H1491)),D1491*H1491*Inputs!$C$69,"")</f>
      </c>
      <c r="J1491" s="42">
        <f>IF(AND(ISNUMBER(F1491),ISNUMBER(H1491),F1491&gt;=Inputs!$C$68),F1491*H1491*Inputs!$C$69,"")</f>
      </c>
    </row>
    <row r="1492" spans="2:10" ht="15" customHeight="1" x14ac:dyDescent="0.2">
      <c r="B1492" s="39">
        <f t="shared" si="10"/>
      </c>
      <c r="C1492" s="40">
        <f>IF(Inputs!$C$60,Inputs!$C$11+(B1492-Inputs!$C$69)/Inputs!$C$70,"")</f>
      </c>
      <c r="D1492" s="15"/>
      <c r="E1492" s="15"/>
      <c r="F1492" s="11">
        <f t="shared" si="11"/>
      </c>
      <c r="G1492" s="22" cm="1">
        <f t="array" ref="G1492">IF(AND(Inputs!$C$60,Inputs!$C$61),INDEX(Utility_Rates!$C$29:$F$52,HOUR(C1492)+Inputs!$C$69,MATCH(INDEX(Utility_Rates!$K$6:$K$17,MONTH(C1492))&amp;IF(WEEKDAY(C1492,Inputs!$C$76)&lt;=Inputs!$C$74," weekday"," weekend"),Utility_Rates!$C$28:$F$28,Inputs!$C$68)),"")</f>
      </c>
      <c r="H1492" s="34"/>
      <c r="I1492" s="42">
        <f>IF(AND(ISNUMBER(D1492),ISNUMBER(H1492)),D1492*H1492*Inputs!$C$69,"")</f>
      </c>
      <c r="J1492" s="42">
        <f>IF(AND(ISNUMBER(F1492),ISNUMBER(H1492),F1492&gt;=Inputs!$C$68),F1492*H1492*Inputs!$C$69,"")</f>
      </c>
    </row>
    <row r="1493" spans="2:10" ht="15" customHeight="1" x14ac:dyDescent="0.2">
      <c r="B1493" s="39">
        <f t="shared" si="10"/>
      </c>
      <c r="C1493" s="40">
        <f>IF(Inputs!$C$60,Inputs!$C$11+(B1493-Inputs!$C$69)/Inputs!$C$70,"")</f>
      </c>
      <c r="D1493" s="15"/>
      <c r="E1493" s="15"/>
      <c r="F1493" s="11">
        <f t="shared" si="11"/>
      </c>
      <c r="G1493" s="22" cm="1">
        <f t="array" ref="G1493">IF(AND(Inputs!$C$60,Inputs!$C$61),INDEX(Utility_Rates!$C$29:$F$52,HOUR(C1493)+Inputs!$C$69,MATCH(INDEX(Utility_Rates!$K$6:$K$17,MONTH(C1493))&amp;IF(WEEKDAY(C1493,Inputs!$C$76)&lt;=Inputs!$C$74," weekday"," weekend"),Utility_Rates!$C$28:$F$28,Inputs!$C$68)),"")</f>
      </c>
      <c r="H1493" s="34"/>
      <c r="I1493" s="42">
        <f>IF(AND(ISNUMBER(D1493),ISNUMBER(H1493)),D1493*H1493*Inputs!$C$69,"")</f>
      </c>
      <c r="J1493" s="42">
        <f>IF(AND(ISNUMBER(F1493),ISNUMBER(H1493),F1493&gt;=Inputs!$C$68),F1493*H1493*Inputs!$C$69,"")</f>
      </c>
    </row>
    <row r="1494" spans="2:10" ht="15" customHeight="1" x14ac:dyDescent="0.2">
      <c r="B1494" s="39">
        <f t="shared" si="10"/>
      </c>
      <c r="C1494" s="40">
        <f>IF(Inputs!$C$60,Inputs!$C$11+(B1494-Inputs!$C$69)/Inputs!$C$70,"")</f>
      </c>
      <c r="D1494" s="15"/>
      <c r="E1494" s="15"/>
      <c r="F1494" s="11">
        <f t="shared" si="11"/>
      </c>
      <c r="G1494" s="22" cm="1">
        <f t="array" ref="G1494">IF(AND(Inputs!$C$60,Inputs!$C$61),INDEX(Utility_Rates!$C$29:$F$52,HOUR(C1494)+Inputs!$C$69,MATCH(INDEX(Utility_Rates!$K$6:$K$17,MONTH(C1494))&amp;IF(WEEKDAY(C1494,Inputs!$C$76)&lt;=Inputs!$C$74," weekday"," weekend"),Utility_Rates!$C$28:$F$28,Inputs!$C$68)),"")</f>
      </c>
      <c r="H1494" s="34"/>
      <c r="I1494" s="42">
        <f>IF(AND(ISNUMBER(D1494),ISNUMBER(H1494)),D1494*H1494*Inputs!$C$69,"")</f>
      </c>
      <c r="J1494" s="42">
        <f>IF(AND(ISNUMBER(F1494),ISNUMBER(H1494),F1494&gt;=Inputs!$C$68),F1494*H1494*Inputs!$C$69,"")</f>
      </c>
    </row>
    <row r="1495" spans="2:10" ht="15" customHeight="1" x14ac:dyDescent="0.2">
      <c r="B1495" s="39">
        <f t="shared" si="10"/>
      </c>
      <c r="C1495" s="40">
        <f>IF(Inputs!$C$60,Inputs!$C$11+(B1495-Inputs!$C$69)/Inputs!$C$70,"")</f>
      </c>
      <c r="D1495" s="15"/>
      <c r="E1495" s="15"/>
      <c r="F1495" s="11">
        <f t="shared" si="11"/>
      </c>
      <c r="G1495" s="22" cm="1">
        <f t="array" ref="G1495">IF(AND(Inputs!$C$60,Inputs!$C$61),INDEX(Utility_Rates!$C$29:$F$52,HOUR(C1495)+Inputs!$C$69,MATCH(INDEX(Utility_Rates!$K$6:$K$17,MONTH(C1495))&amp;IF(WEEKDAY(C1495,Inputs!$C$76)&lt;=Inputs!$C$74," weekday"," weekend"),Utility_Rates!$C$28:$F$28,Inputs!$C$68)),"")</f>
      </c>
      <c r="H1495" s="34"/>
      <c r="I1495" s="42">
        <f>IF(AND(ISNUMBER(D1495),ISNUMBER(H1495)),D1495*H1495*Inputs!$C$69,"")</f>
      </c>
      <c r="J1495" s="42">
        <f>IF(AND(ISNUMBER(F1495),ISNUMBER(H1495),F1495&gt;=Inputs!$C$68),F1495*H1495*Inputs!$C$69,"")</f>
      </c>
    </row>
    <row r="1496" spans="2:10" ht="15" customHeight="1" x14ac:dyDescent="0.2">
      <c r="B1496" s="39">
        <f t="shared" si="10"/>
      </c>
      <c r="C1496" s="40">
        <f>IF(Inputs!$C$60,Inputs!$C$11+(B1496-Inputs!$C$69)/Inputs!$C$70,"")</f>
      </c>
      <c r="D1496" s="15"/>
      <c r="E1496" s="15"/>
      <c r="F1496" s="11">
        <f t="shared" si="11"/>
      </c>
      <c r="G1496" s="22" cm="1">
        <f t="array" ref="G1496">IF(AND(Inputs!$C$60,Inputs!$C$61),INDEX(Utility_Rates!$C$29:$F$52,HOUR(C1496)+Inputs!$C$69,MATCH(INDEX(Utility_Rates!$K$6:$K$17,MONTH(C1496))&amp;IF(WEEKDAY(C1496,Inputs!$C$76)&lt;=Inputs!$C$74," weekday"," weekend"),Utility_Rates!$C$28:$F$28,Inputs!$C$68)),"")</f>
      </c>
      <c r="H1496" s="34"/>
      <c r="I1496" s="42">
        <f>IF(AND(ISNUMBER(D1496),ISNUMBER(H1496)),D1496*H1496*Inputs!$C$69,"")</f>
      </c>
      <c r="J1496" s="42">
        <f>IF(AND(ISNUMBER(F1496),ISNUMBER(H1496),F1496&gt;=Inputs!$C$68),F1496*H1496*Inputs!$C$69,"")</f>
      </c>
    </row>
    <row r="1497" spans="2:10" ht="15" customHeight="1" x14ac:dyDescent="0.2">
      <c r="B1497" s="39">
        <f t="shared" si="10"/>
      </c>
      <c r="C1497" s="40">
        <f>IF(Inputs!$C$60,Inputs!$C$11+(B1497-Inputs!$C$69)/Inputs!$C$70,"")</f>
      </c>
      <c r="D1497" s="15"/>
      <c r="E1497" s="15"/>
      <c r="F1497" s="11">
        <f t="shared" si="11"/>
      </c>
      <c r="G1497" s="22" cm="1">
        <f t="array" ref="G1497">IF(AND(Inputs!$C$60,Inputs!$C$61),INDEX(Utility_Rates!$C$29:$F$52,HOUR(C1497)+Inputs!$C$69,MATCH(INDEX(Utility_Rates!$K$6:$K$17,MONTH(C1497))&amp;IF(WEEKDAY(C1497,Inputs!$C$76)&lt;=Inputs!$C$74," weekday"," weekend"),Utility_Rates!$C$28:$F$28,Inputs!$C$68)),"")</f>
      </c>
      <c r="H1497" s="34"/>
      <c r="I1497" s="42">
        <f>IF(AND(ISNUMBER(D1497),ISNUMBER(H1497)),D1497*H1497*Inputs!$C$69,"")</f>
      </c>
      <c r="J1497" s="42">
        <f>IF(AND(ISNUMBER(F1497),ISNUMBER(H1497),F1497&gt;=Inputs!$C$68),F1497*H1497*Inputs!$C$69,"")</f>
      </c>
    </row>
    <row r="1498" spans="2:10" ht="15" customHeight="1" x14ac:dyDescent="0.2">
      <c r="B1498" s="39">
        <f t="shared" si="10"/>
      </c>
      <c r="C1498" s="40">
        <f>IF(Inputs!$C$60,Inputs!$C$11+(B1498-Inputs!$C$69)/Inputs!$C$70,"")</f>
      </c>
      <c r="D1498" s="15"/>
      <c r="E1498" s="15"/>
      <c r="F1498" s="11">
        <f t="shared" si="11"/>
      </c>
      <c r="G1498" s="22" cm="1">
        <f t="array" ref="G1498">IF(AND(Inputs!$C$60,Inputs!$C$61),INDEX(Utility_Rates!$C$29:$F$52,HOUR(C1498)+Inputs!$C$69,MATCH(INDEX(Utility_Rates!$K$6:$K$17,MONTH(C1498))&amp;IF(WEEKDAY(C1498,Inputs!$C$76)&lt;=Inputs!$C$74," weekday"," weekend"),Utility_Rates!$C$28:$F$28,Inputs!$C$68)),"")</f>
      </c>
      <c r="H1498" s="34"/>
      <c r="I1498" s="42">
        <f>IF(AND(ISNUMBER(D1498),ISNUMBER(H1498)),D1498*H1498*Inputs!$C$69,"")</f>
      </c>
      <c r="J1498" s="42">
        <f>IF(AND(ISNUMBER(F1498),ISNUMBER(H1498),F1498&gt;=Inputs!$C$68),F1498*H1498*Inputs!$C$69,"")</f>
      </c>
    </row>
    <row r="1499" spans="2:10" ht="15" customHeight="1" x14ac:dyDescent="0.2">
      <c r="B1499" s="39">
        <f t="shared" si="10"/>
      </c>
      <c r="C1499" s="40">
        <f>IF(Inputs!$C$60,Inputs!$C$11+(B1499-Inputs!$C$69)/Inputs!$C$70,"")</f>
      </c>
      <c r="D1499" s="15"/>
      <c r="E1499" s="15"/>
      <c r="F1499" s="11">
        <f t="shared" si="11"/>
      </c>
      <c r="G1499" s="22" cm="1">
        <f t="array" ref="G1499">IF(AND(Inputs!$C$60,Inputs!$C$61),INDEX(Utility_Rates!$C$29:$F$52,HOUR(C1499)+Inputs!$C$69,MATCH(INDEX(Utility_Rates!$K$6:$K$17,MONTH(C1499))&amp;IF(WEEKDAY(C1499,Inputs!$C$76)&lt;=Inputs!$C$74," weekday"," weekend"),Utility_Rates!$C$28:$F$28,Inputs!$C$68)),"")</f>
      </c>
      <c r="H1499" s="34"/>
      <c r="I1499" s="42">
        <f>IF(AND(ISNUMBER(D1499),ISNUMBER(H1499)),D1499*H1499*Inputs!$C$69,"")</f>
      </c>
      <c r="J1499" s="42">
        <f>IF(AND(ISNUMBER(F1499),ISNUMBER(H1499),F1499&gt;=Inputs!$C$68),F1499*H1499*Inputs!$C$69,"")</f>
      </c>
    </row>
    <row r="1500" spans="2:10" ht="15" customHeight="1" x14ac:dyDescent="0.2">
      <c r="B1500" s="39">
        <f t="shared" si="10"/>
      </c>
      <c r="C1500" s="40">
        <f>IF(Inputs!$C$60,Inputs!$C$11+(B1500-Inputs!$C$69)/Inputs!$C$70,"")</f>
      </c>
      <c r="D1500" s="15"/>
      <c r="E1500" s="15"/>
      <c r="F1500" s="11">
        <f t="shared" si="11"/>
      </c>
      <c r="G1500" s="22" cm="1">
        <f t="array" ref="G1500">IF(AND(Inputs!$C$60,Inputs!$C$61),INDEX(Utility_Rates!$C$29:$F$52,HOUR(C1500)+Inputs!$C$69,MATCH(INDEX(Utility_Rates!$K$6:$K$17,MONTH(C1500))&amp;IF(WEEKDAY(C1500,Inputs!$C$76)&lt;=Inputs!$C$74," weekday"," weekend"),Utility_Rates!$C$28:$F$28,Inputs!$C$68)),"")</f>
      </c>
      <c r="H1500" s="34"/>
      <c r="I1500" s="42">
        <f>IF(AND(ISNUMBER(D1500),ISNUMBER(H1500)),D1500*H1500*Inputs!$C$69,"")</f>
      </c>
      <c r="J1500" s="42">
        <f>IF(AND(ISNUMBER(F1500),ISNUMBER(H1500),F1500&gt;=Inputs!$C$68),F1500*H1500*Inputs!$C$69,"")</f>
      </c>
    </row>
    <row r="1501" spans="2:10" ht="15" customHeight="1" x14ac:dyDescent="0.2">
      <c r="B1501" s="39">
        <f t="shared" si="10"/>
      </c>
      <c r="C1501" s="40">
        <f>IF(Inputs!$C$60,Inputs!$C$11+(B1501-Inputs!$C$69)/Inputs!$C$70,"")</f>
      </c>
      <c r="D1501" s="15"/>
      <c r="E1501" s="15"/>
      <c r="F1501" s="11">
        <f t="shared" si="11"/>
      </c>
      <c r="G1501" s="22" cm="1">
        <f t="array" ref="G1501">IF(AND(Inputs!$C$60,Inputs!$C$61),INDEX(Utility_Rates!$C$29:$F$52,HOUR(C1501)+Inputs!$C$69,MATCH(INDEX(Utility_Rates!$K$6:$K$17,MONTH(C1501))&amp;IF(WEEKDAY(C1501,Inputs!$C$76)&lt;=Inputs!$C$74," weekday"," weekend"),Utility_Rates!$C$28:$F$28,Inputs!$C$68)),"")</f>
      </c>
      <c r="H1501" s="34"/>
      <c r="I1501" s="42">
        <f>IF(AND(ISNUMBER(D1501),ISNUMBER(H1501)),D1501*H1501*Inputs!$C$69,"")</f>
      </c>
      <c r="J1501" s="42">
        <f>IF(AND(ISNUMBER(F1501),ISNUMBER(H1501),F1501&gt;=Inputs!$C$68),F1501*H1501*Inputs!$C$69,"")</f>
      </c>
    </row>
    <row r="1502" spans="2:10" ht="15" customHeight="1" x14ac:dyDescent="0.2">
      <c r="B1502" s="39">
        <f t="shared" si="10"/>
      </c>
      <c r="C1502" s="40">
        <f>IF(Inputs!$C$60,Inputs!$C$11+(B1502-Inputs!$C$69)/Inputs!$C$70,"")</f>
      </c>
      <c r="D1502" s="15"/>
      <c r="E1502" s="15"/>
      <c r="F1502" s="11">
        <f t="shared" si="11"/>
      </c>
      <c r="G1502" s="22" cm="1">
        <f t="array" ref="G1502">IF(AND(Inputs!$C$60,Inputs!$C$61),INDEX(Utility_Rates!$C$29:$F$52,HOUR(C1502)+Inputs!$C$69,MATCH(INDEX(Utility_Rates!$K$6:$K$17,MONTH(C1502))&amp;IF(WEEKDAY(C1502,Inputs!$C$76)&lt;=Inputs!$C$74," weekday"," weekend"),Utility_Rates!$C$28:$F$28,Inputs!$C$68)),"")</f>
      </c>
      <c r="H1502" s="34"/>
      <c r="I1502" s="42">
        <f>IF(AND(ISNUMBER(D1502),ISNUMBER(H1502)),D1502*H1502*Inputs!$C$69,"")</f>
      </c>
      <c r="J1502" s="42">
        <f>IF(AND(ISNUMBER(F1502),ISNUMBER(H1502),F1502&gt;=Inputs!$C$68),F1502*H1502*Inputs!$C$69,"")</f>
      </c>
    </row>
    <row r="1503" spans="2:10" ht="15" customHeight="1" x14ac:dyDescent="0.2">
      <c r="B1503" s="39">
        <f t="shared" si="10"/>
      </c>
      <c r="C1503" s="40">
        <f>IF(Inputs!$C$60,Inputs!$C$11+(B1503-Inputs!$C$69)/Inputs!$C$70,"")</f>
      </c>
      <c r="D1503" s="15"/>
      <c r="E1503" s="15"/>
      <c r="F1503" s="11">
        <f t="shared" si="11"/>
      </c>
      <c r="G1503" s="22" cm="1">
        <f t="array" ref="G1503">IF(AND(Inputs!$C$60,Inputs!$C$61),INDEX(Utility_Rates!$C$29:$F$52,HOUR(C1503)+Inputs!$C$69,MATCH(INDEX(Utility_Rates!$K$6:$K$17,MONTH(C1503))&amp;IF(WEEKDAY(C1503,Inputs!$C$76)&lt;=Inputs!$C$74," weekday"," weekend"),Utility_Rates!$C$28:$F$28,Inputs!$C$68)),"")</f>
      </c>
      <c r="H1503" s="34"/>
      <c r="I1503" s="42">
        <f>IF(AND(ISNUMBER(D1503),ISNUMBER(H1503)),D1503*H1503*Inputs!$C$69,"")</f>
      </c>
      <c r="J1503" s="42">
        <f>IF(AND(ISNUMBER(F1503),ISNUMBER(H1503),F1503&gt;=Inputs!$C$68),F1503*H1503*Inputs!$C$69,"")</f>
      </c>
    </row>
    <row r="1504" spans="2:10" ht="15" customHeight="1" x14ac:dyDescent="0.2">
      <c r="B1504" s="39">
        <f t="shared" si="10"/>
      </c>
      <c r="C1504" s="40">
        <f>IF(Inputs!$C$60,Inputs!$C$11+(B1504-Inputs!$C$69)/Inputs!$C$70,"")</f>
      </c>
      <c r="D1504" s="15"/>
      <c r="E1504" s="15"/>
      <c r="F1504" s="11">
        <f t="shared" si="11"/>
      </c>
      <c r="G1504" s="22" cm="1">
        <f t="array" ref="G1504">IF(AND(Inputs!$C$60,Inputs!$C$61),INDEX(Utility_Rates!$C$29:$F$52,HOUR(C1504)+Inputs!$C$69,MATCH(INDEX(Utility_Rates!$K$6:$K$17,MONTH(C1504))&amp;IF(WEEKDAY(C1504,Inputs!$C$76)&lt;=Inputs!$C$74," weekday"," weekend"),Utility_Rates!$C$28:$F$28,Inputs!$C$68)),"")</f>
      </c>
      <c r="H1504" s="34"/>
      <c r="I1504" s="42">
        <f>IF(AND(ISNUMBER(D1504),ISNUMBER(H1504)),D1504*H1504*Inputs!$C$69,"")</f>
      </c>
      <c r="J1504" s="42">
        <f>IF(AND(ISNUMBER(F1504),ISNUMBER(H1504),F1504&gt;=Inputs!$C$68),F1504*H1504*Inputs!$C$69,"")</f>
      </c>
    </row>
    <row r="1505" spans="2:10" ht="15" customHeight="1" x14ac:dyDescent="0.2">
      <c r="B1505" s="39">
        <f t="shared" si="10"/>
      </c>
      <c r="C1505" s="40">
        <f>IF(Inputs!$C$60,Inputs!$C$11+(B1505-Inputs!$C$69)/Inputs!$C$70,"")</f>
      </c>
      <c r="D1505" s="15"/>
      <c r="E1505" s="15"/>
      <c r="F1505" s="11">
        <f t="shared" si="11"/>
      </c>
      <c r="G1505" s="22" cm="1">
        <f t="array" ref="G1505">IF(AND(Inputs!$C$60,Inputs!$C$61),INDEX(Utility_Rates!$C$29:$F$52,HOUR(C1505)+Inputs!$C$69,MATCH(INDEX(Utility_Rates!$K$6:$K$17,MONTH(C1505))&amp;IF(WEEKDAY(C1505,Inputs!$C$76)&lt;=Inputs!$C$74," weekday"," weekend"),Utility_Rates!$C$28:$F$28,Inputs!$C$68)),"")</f>
      </c>
      <c r="H1505" s="34"/>
      <c r="I1505" s="42">
        <f>IF(AND(ISNUMBER(D1505),ISNUMBER(H1505)),D1505*H1505*Inputs!$C$69,"")</f>
      </c>
      <c r="J1505" s="42">
        <f>IF(AND(ISNUMBER(F1505),ISNUMBER(H1505),F1505&gt;=Inputs!$C$68),F1505*H1505*Inputs!$C$69,"")</f>
      </c>
    </row>
    <row r="1506" spans="2:10" ht="15" customHeight="1" x14ac:dyDescent="0.2">
      <c r="B1506" s="39">
        <f t="shared" si="10"/>
      </c>
      <c r="C1506" s="40">
        <f>IF(Inputs!$C$60,Inputs!$C$11+(B1506-Inputs!$C$69)/Inputs!$C$70,"")</f>
      </c>
      <c r="D1506" s="15"/>
      <c r="E1506" s="15"/>
      <c r="F1506" s="11">
        <f t="shared" si="11"/>
      </c>
      <c r="G1506" s="22" cm="1">
        <f t="array" ref="G1506">IF(AND(Inputs!$C$60,Inputs!$C$61),INDEX(Utility_Rates!$C$29:$F$52,HOUR(C1506)+Inputs!$C$69,MATCH(INDEX(Utility_Rates!$K$6:$K$17,MONTH(C1506))&amp;IF(WEEKDAY(C1506,Inputs!$C$76)&lt;=Inputs!$C$74," weekday"," weekend"),Utility_Rates!$C$28:$F$28,Inputs!$C$68)),"")</f>
      </c>
      <c r="H1506" s="34"/>
      <c r="I1506" s="42">
        <f>IF(AND(ISNUMBER(D1506),ISNUMBER(H1506)),D1506*H1506*Inputs!$C$69,"")</f>
      </c>
      <c r="J1506" s="42">
        <f>IF(AND(ISNUMBER(F1506),ISNUMBER(H1506),F1506&gt;=Inputs!$C$68),F1506*H1506*Inputs!$C$69,"")</f>
      </c>
    </row>
    <row r="1507" spans="2:10" ht="15" customHeight="1" x14ac:dyDescent="0.2">
      <c r="B1507" s="39">
        <f t="shared" si="10"/>
      </c>
      <c r="C1507" s="40">
        <f>IF(Inputs!$C$60,Inputs!$C$11+(B1507-Inputs!$C$69)/Inputs!$C$70,"")</f>
      </c>
      <c r="D1507" s="15"/>
      <c r="E1507" s="15"/>
      <c r="F1507" s="11">
        <f t="shared" si="11"/>
      </c>
      <c r="G1507" s="22" cm="1">
        <f t="array" ref="G1507">IF(AND(Inputs!$C$60,Inputs!$C$61),INDEX(Utility_Rates!$C$29:$F$52,HOUR(C1507)+Inputs!$C$69,MATCH(INDEX(Utility_Rates!$K$6:$K$17,MONTH(C1507))&amp;IF(WEEKDAY(C1507,Inputs!$C$76)&lt;=Inputs!$C$74," weekday"," weekend"),Utility_Rates!$C$28:$F$28,Inputs!$C$68)),"")</f>
      </c>
      <c r="H1507" s="34"/>
      <c r="I1507" s="42">
        <f>IF(AND(ISNUMBER(D1507),ISNUMBER(H1507)),D1507*H1507*Inputs!$C$69,"")</f>
      </c>
      <c r="J1507" s="42">
        <f>IF(AND(ISNUMBER(F1507),ISNUMBER(H1507),F1507&gt;=Inputs!$C$68),F1507*H1507*Inputs!$C$69,"")</f>
      </c>
    </row>
    <row r="1508" spans="2:10" ht="15" customHeight="1" x14ac:dyDescent="0.2">
      <c r="B1508" s="39">
        <f t="shared" si="10"/>
      </c>
      <c r="C1508" s="40">
        <f>IF(Inputs!$C$60,Inputs!$C$11+(B1508-Inputs!$C$69)/Inputs!$C$70,"")</f>
      </c>
      <c r="D1508" s="15"/>
      <c r="E1508" s="15"/>
      <c r="F1508" s="11">
        <f t="shared" si="11"/>
      </c>
      <c r="G1508" s="22" cm="1">
        <f t="array" ref="G1508">IF(AND(Inputs!$C$60,Inputs!$C$61),INDEX(Utility_Rates!$C$29:$F$52,HOUR(C1508)+Inputs!$C$69,MATCH(INDEX(Utility_Rates!$K$6:$K$17,MONTH(C1508))&amp;IF(WEEKDAY(C1508,Inputs!$C$76)&lt;=Inputs!$C$74," weekday"," weekend"),Utility_Rates!$C$28:$F$28,Inputs!$C$68)),"")</f>
      </c>
      <c r="H1508" s="34"/>
      <c r="I1508" s="42">
        <f>IF(AND(ISNUMBER(D1508),ISNUMBER(H1508)),D1508*H1508*Inputs!$C$69,"")</f>
      </c>
      <c r="J1508" s="42">
        <f>IF(AND(ISNUMBER(F1508),ISNUMBER(H1508),F1508&gt;=Inputs!$C$68),F1508*H1508*Inputs!$C$69,"")</f>
      </c>
    </row>
    <row r="1509" spans="2:10" ht="15" customHeight="1" x14ac:dyDescent="0.2">
      <c r="B1509" s="39">
        <f t="shared" si="10"/>
      </c>
      <c r="C1509" s="40">
        <f>IF(Inputs!$C$60,Inputs!$C$11+(B1509-Inputs!$C$69)/Inputs!$C$70,"")</f>
      </c>
      <c r="D1509" s="15"/>
      <c r="E1509" s="15"/>
      <c r="F1509" s="11">
        <f t="shared" si="11"/>
      </c>
      <c r="G1509" s="22" cm="1">
        <f t="array" ref="G1509">IF(AND(Inputs!$C$60,Inputs!$C$61),INDEX(Utility_Rates!$C$29:$F$52,HOUR(C1509)+Inputs!$C$69,MATCH(INDEX(Utility_Rates!$K$6:$K$17,MONTH(C1509))&amp;IF(WEEKDAY(C1509,Inputs!$C$76)&lt;=Inputs!$C$74," weekday"," weekend"),Utility_Rates!$C$28:$F$28,Inputs!$C$68)),"")</f>
      </c>
      <c r="H1509" s="34"/>
      <c r="I1509" s="42">
        <f>IF(AND(ISNUMBER(D1509),ISNUMBER(H1509)),D1509*H1509*Inputs!$C$69,"")</f>
      </c>
      <c r="J1509" s="42">
        <f>IF(AND(ISNUMBER(F1509),ISNUMBER(H1509),F1509&gt;=Inputs!$C$68),F1509*H1509*Inputs!$C$69,"")</f>
      </c>
    </row>
    <row r="1510" spans="2:10" ht="15" customHeight="1" x14ac:dyDescent="0.2">
      <c r="B1510" s="39">
        <f t="shared" si="10"/>
      </c>
      <c r="C1510" s="40">
        <f>IF(Inputs!$C$60,Inputs!$C$11+(B1510-Inputs!$C$69)/Inputs!$C$70,"")</f>
      </c>
      <c r="D1510" s="15"/>
      <c r="E1510" s="15"/>
      <c r="F1510" s="11">
        <f t="shared" si="11"/>
      </c>
      <c r="G1510" s="22" cm="1">
        <f t="array" ref="G1510">IF(AND(Inputs!$C$60,Inputs!$C$61),INDEX(Utility_Rates!$C$29:$F$52,HOUR(C1510)+Inputs!$C$69,MATCH(INDEX(Utility_Rates!$K$6:$K$17,MONTH(C1510))&amp;IF(WEEKDAY(C1510,Inputs!$C$76)&lt;=Inputs!$C$74," weekday"," weekend"),Utility_Rates!$C$28:$F$28,Inputs!$C$68)),"")</f>
      </c>
      <c r="H1510" s="34"/>
      <c r="I1510" s="42">
        <f>IF(AND(ISNUMBER(D1510),ISNUMBER(H1510)),D1510*H1510*Inputs!$C$69,"")</f>
      </c>
      <c r="J1510" s="42">
        <f>IF(AND(ISNUMBER(F1510),ISNUMBER(H1510),F1510&gt;=Inputs!$C$68),F1510*H1510*Inputs!$C$69,"")</f>
      </c>
    </row>
    <row r="1511" spans="2:10" ht="15" customHeight="1" x14ac:dyDescent="0.2">
      <c r="B1511" s="39">
        <f t="shared" si="10"/>
      </c>
      <c r="C1511" s="40">
        <f>IF(Inputs!$C$60,Inputs!$C$11+(B1511-Inputs!$C$69)/Inputs!$C$70,"")</f>
      </c>
      <c r="D1511" s="15"/>
      <c r="E1511" s="15"/>
      <c r="F1511" s="11">
        <f t="shared" si="11"/>
      </c>
      <c r="G1511" s="22" cm="1">
        <f t="array" ref="G1511">IF(AND(Inputs!$C$60,Inputs!$C$61),INDEX(Utility_Rates!$C$29:$F$52,HOUR(C1511)+Inputs!$C$69,MATCH(INDEX(Utility_Rates!$K$6:$K$17,MONTH(C1511))&amp;IF(WEEKDAY(C1511,Inputs!$C$76)&lt;=Inputs!$C$74," weekday"," weekend"),Utility_Rates!$C$28:$F$28,Inputs!$C$68)),"")</f>
      </c>
      <c r="H1511" s="34"/>
      <c r="I1511" s="42">
        <f>IF(AND(ISNUMBER(D1511),ISNUMBER(H1511)),D1511*H1511*Inputs!$C$69,"")</f>
      </c>
      <c r="J1511" s="42">
        <f>IF(AND(ISNUMBER(F1511),ISNUMBER(H1511),F1511&gt;=Inputs!$C$68),F1511*H1511*Inputs!$C$69,"")</f>
      </c>
    </row>
    <row r="1512" spans="2:10" ht="15" customHeight="1" x14ac:dyDescent="0.2">
      <c r="B1512" s="39">
        <f t="shared" si="10"/>
      </c>
      <c r="C1512" s="40">
        <f>IF(Inputs!$C$60,Inputs!$C$11+(B1512-Inputs!$C$69)/Inputs!$C$70,"")</f>
      </c>
      <c r="D1512" s="15"/>
      <c r="E1512" s="15"/>
      <c r="F1512" s="11">
        <f t="shared" si="11"/>
      </c>
      <c r="G1512" s="22" cm="1">
        <f t="array" ref="G1512">IF(AND(Inputs!$C$60,Inputs!$C$61),INDEX(Utility_Rates!$C$29:$F$52,HOUR(C1512)+Inputs!$C$69,MATCH(INDEX(Utility_Rates!$K$6:$K$17,MONTH(C1512))&amp;IF(WEEKDAY(C1512,Inputs!$C$76)&lt;=Inputs!$C$74," weekday"," weekend"),Utility_Rates!$C$28:$F$28,Inputs!$C$68)),"")</f>
      </c>
      <c r="H1512" s="34"/>
      <c r="I1512" s="42">
        <f>IF(AND(ISNUMBER(D1512),ISNUMBER(H1512)),D1512*H1512*Inputs!$C$69,"")</f>
      </c>
      <c r="J1512" s="42">
        <f>IF(AND(ISNUMBER(F1512),ISNUMBER(H1512),F1512&gt;=Inputs!$C$68),F1512*H1512*Inputs!$C$69,"")</f>
      </c>
    </row>
    <row r="1513" spans="2:10" ht="15" customHeight="1" x14ac:dyDescent="0.2">
      <c r="B1513" s="39">
        <f t="shared" si="10"/>
      </c>
      <c r="C1513" s="40">
        <f>IF(Inputs!$C$60,Inputs!$C$11+(B1513-Inputs!$C$69)/Inputs!$C$70,"")</f>
      </c>
      <c r="D1513" s="15"/>
      <c r="E1513" s="15"/>
      <c r="F1513" s="11">
        <f t="shared" si="11"/>
      </c>
      <c r="G1513" s="22" cm="1">
        <f t="array" ref="G1513">IF(AND(Inputs!$C$60,Inputs!$C$61),INDEX(Utility_Rates!$C$29:$F$52,HOUR(C1513)+Inputs!$C$69,MATCH(INDEX(Utility_Rates!$K$6:$K$17,MONTH(C1513))&amp;IF(WEEKDAY(C1513,Inputs!$C$76)&lt;=Inputs!$C$74," weekday"," weekend"),Utility_Rates!$C$28:$F$28,Inputs!$C$68)),"")</f>
      </c>
      <c r="H1513" s="34"/>
      <c r="I1513" s="42">
        <f>IF(AND(ISNUMBER(D1513),ISNUMBER(H1513)),D1513*H1513*Inputs!$C$69,"")</f>
      </c>
      <c r="J1513" s="42">
        <f>IF(AND(ISNUMBER(F1513),ISNUMBER(H1513),F1513&gt;=Inputs!$C$68),F1513*H1513*Inputs!$C$69,"")</f>
      </c>
    </row>
    <row r="1514" spans="2:10" ht="15" customHeight="1" x14ac:dyDescent="0.2">
      <c r="B1514" s="39">
        <f t="shared" si="10"/>
      </c>
      <c r="C1514" s="40">
        <f>IF(Inputs!$C$60,Inputs!$C$11+(B1514-Inputs!$C$69)/Inputs!$C$70,"")</f>
      </c>
      <c r="D1514" s="15"/>
      <c r="E1514" s="15"/>
      <c r="F1514" s="11">
        <f t="shared" si="11"/>
      </c>
      <c r="G1514" s="22" cm="1">
        <f t="array" ref="G1514">IF(AND(Inputs!$C$60,Inputs!$C$61),INDEX(Utility_Rates!$C$29:$F$52,HOUR(C1514)+Inputs!$C$69,MATCH(INDEX(Utility_Rates!$K$6:$K$17,MONTH(C1514))&amp;IF(WEEKDAY(C1514,Inputs!$C$76)&lt;=Inputs!$C$74," weekday"," weekend"),Utility_Rates!$C$28:$F$28,Inputs!$C$68)),"")</f>
      </c>
      <c r="H1514" s="34"/>
      <c r="I1514" s="42">
        <f>IF(AND(ISNUMBER(D1514),ISNUMBER(H1514)),D1514*H1514*Inputs!$C$69,"")</f>
      </c>
      <c r="J1514" s="42">
        <f>IF(AND(ISNUMBER(F1514),ISNUMBER(H1514),F1514&gt;=Inputs!$C$68),F1514*H1514*Inputs!$C$69,"")</f>
      </c>
    </row>
    <row r="1515" spans="2:10" ht="15" customHeight="1" x14ac:dyDescent="0.2">
      <c r="B1515" s="39">
        <f t="shared" si="10"/>
      </c>
      <c r="C1515" s="40">
        <f>IF(Inputs!$C$60,Inputs!$C$11+(B1515-Inputs!$C$69)/Inputs!$C$70,"")</f>
      </c>
      <c r="D1515" s="15"/>
      <c r="E1515" s="15"/>
      <c r="F1515" s="11">
        <f t="shared" si="11"/>
      </c>
      <c r="G1515" s="22" cm="1">
        <f t="array" ref="G1515">IF(AND(Inputs!$C$60,Inputs!$C$61),INDEX(Utility_Rates!$C$29:$F$52,HOUR(C1515)+Inputs!$C$69,MATCH(INDEX(Utility_Rates!$K$6:$K$17,MONTH(C1515))&amp;IF(WEEKDAY(C1515,Inputs!$C$76)&lt;=Inputs!$C$74," weekday"," weekend"),Utility_Rates!$C$28:$F$28,Inputs!$C$68)),"")</f>
      </c>
      <c r="H1515" s="34"/>
      <c r="I1515" s="42">
        <f>IF(AND(ISNUMBER(D1515),ISNUMBER(H1515)),D1515*H1515*Inputs!$C$69,"")</f>
      </c>
      <c r="J1515" s="42">
        <f>IF(AND(ISNUMBER(F1515),ISNUMBER(H1515),F1515&gt;=Inputs!$C$68),F1515*H1515*Inputs!$C$69,"")</f>
      </c>
    </row>
    <row r="1516" spans="2:10" ht="15" customHeight="1" x14ac:dyDescent="0.2">
      <c r="B1516" s="39">
        <f t="shared" si="10"/>
      </c>
      <c r="C1516" s="40">
        <f>IF(Inputs!$C$60,Inputs!$C$11+(B1516-Inputs!$C$69)/Inputs!$C$70,"")</f>
      </c>
      <c r="D1516" s="15"/>
      <c r="E1516" s="15"/>
      <c r="F1516" s="11">
        <f t="shared" si="11"/>
      </c>
      <c r="G1516" s="22" cm="1">
        <f t="array" ref="G1516">IF(AND(Inputs!$C$60,Inputs!$C$61),INDEX(Utility_Rates!$C$29:$F$52,HOUR(C1516)+Inputs!$C$69,MATCH(INDEX(Utility_Rates!$K$6:$K$17,MONTH(C1516))&amp;IF(WEEKDAY(C1516,Inputs!$C$76)&lt;=Inputs!$C$74," weekday"," weekend"),Utility_Rates!$C$28:$F$28,Inputs!$C$68)),"")</f>
      </c>
      <c r="H1516" s="34"/>
      <c r="I1516" s="42">
        <f>IF(AND(ISNUMBER(D1516),ISNUMBER(H1516)),D1516*H1516*Inputs!$C$69,"")</f>
      </c>
      <c r="J1516" s="42">
        <f>IF(AND(ISNUMBER(F1516),ISNUMBER(H1516),F1516&gt;=Inputs!$C$68),F1516*H1516*Inputs!$C$69,"")</f>
      </c>
    </row>
    <row r="1517" spans="2:10" ht="15" customHeight="1" x14ac:dyDescent="0.2">
      <c r="B1517" s="39">
        <f t="shared" si="10"/>
      </c>
      <c r="C1517" s="40">
        <f>IF(Inputs!$C$60,Inputs!$C$11+(B1517-Inputs!$C$69)/Inputs!$C$70,"")</f>
      </c>
      <c r="D1517" s="15"/>
      <c r="E1517" s="15"/>
      <c r="F1517" s="11">
        <f t="shared" si="11"/>
      </c>
      <c r="G1517" s="22" cm="1">
        <f t="array" ref="G1517">IF(AND(Inputs!$C$60,Inputs!$C$61),INDEX(Utility_Rates!$C$29:$F$52,HOUR(C1517)+Inputs!$C$69,MATCH(INDEX(Utility_Rates!$K$6:$K$17,MONTH(C1517))&amp;IF(WEEKDAY(C1517,Inputs!$C$76)&lt;=Inputs!$C$74," weekday"," weekend"),Utility_Rates!$C$28:$F$28,Inputs!$C$68)),"")</f>
      </c>
      <c r="H1517" s="34"/>
      <c r="I1517" s="42">
        <f>IF(AND(ISNUMBER(D1517),ISNUMBER(H1517)),D1517*H1517*Inputs!$C$69,"")</f>
      </c>
      <c r="J1517" s="42">
        <f>IF(AND(ISNUMBER(F1517),ISNUMBER(H1517),F1517&gt;=Inputs!$C$68),F1517*H1517*Inputs!$C$69,"")</f>
      </c>
    </row>
    <row r="1518" spans="2:10" ht="15" customHeight="1" x14ac:dyDescent="0.2">
      <c r="B1518" s="39">
        <f t="shared" si="10"/>
      </c>
      <c r="C1518" s="40">
        <f>IF(Inputs!$C$60,Inputs!$C$11+(B1518-Inputs!$C$69)/Inputs!$C$70,"")</f>
      </c>
      <c r="D1518" s="15"/>
      <c r="E1518" s="15"/>
      <c r="F1518" s="11">
        <f t="shared" si="11"/>
      </c>
      <c r="G1518" s="22" cm="1">
        <f t="array" ref="G1518">IF(AND(Inputs!$C$60,Inputs!$C$61),INDEX(Utility_Rates!$C$29:$F$52,HOUR(C1518)+Inputs!$C$69,MATCH(INDEX(Utility_Rates!$K$6:$K$17,MONTH(C1518))&amp;IF(WEEKDAY(C1518,Inputs!$C$76)&lt;=Inputs!$C$74," weekday"," weekend"),Utility_Rates!$C$28:$F$28,Inputs!$C$68)),"")</f>
      </c>
      <c r="H1518" s="34"/>
      <c r="I1518" s="42">
        <f>IF(AND(ISNUMBER(D1518),ISNUMBER(H1518)),D1518*H1518*Inputs!$C$69,"")</f>
      </c>
      <c r="J1518" s="42">
        <f>IF(AND(ISNUMBER(F1518),ISNUMBER(H1518),F1518&gt;=Inputs!$C$68),F1518*H1518*Inputs!$C$69,"")</f>
      </c>
    </row>
    <row r="1519" spans="2:10" ht="15" customHeight="1" x14ac:dyDescent="0.2">
      <c r="B1519" s="39">
        <f t="shared" si="10"/>
      </c>
      <c r="C1519" s="40">
        <f>IF(Inputs!$C$60,Inputs!$C$11+(B1519-Inputs!$C$69)/Inputs!$C$70,"")</f>
      </c>
      <c r="D1519" s="15"/>
      <c r="E1519" s="15"/>
      <c r="F1519" s="11">
        <f t="shared" si="11"/>
      </c>
      <c r="G1519" s="22" cm="1">
        <f t="array" ref="G1519">IF(AND(Inputs!$C$60,Inputs!$C$61),INDEX(Utility_Rates!$C$29:$F$52,HOUR(C1519)+Inputs!$C$69,MATCH(INDEX(Utility_Rates!$K$6:$K$17,MONTH(C1519))&amp;IF(WEEKDAY(C1519,Inputs!$C$76)&lt;=Inputs!$C$74," weekday"," weekend"),Utility_Rates!$C$28:$F$28,Inputs!$C$68)),"")</f>
      </c>
      <c r="H1519" s="34"/>
      <c r="I1519" s="42">
        <f>IF(AND(ISNUMBER(D1519),ISNUMBER(H1519)),D1519*H1519*Inputs!$C$69,"")</f>
      </c>
      <c r="J1519" s="42">
        <f>IF(AND(ISNUMBER(F1519),ISNUMBER(H1519),F1519&gt;=Inputs!$C$68),F1519*H1519*Inputs!$C$69,"")</f>
      </c>
    </row>
    <row r="1520" spans="2:10" ht="15" customHeight="1" x14ac:dyDescent="0.2">
      <c r="B1520" s="39">
        <f t="shared" si="10"/>
      </c>
      <c r="C1520" s="40">
        <f>IF(Inputs!$C$60,Inputs!$C$11+(B1520-Inputs!$C$69)/Inputs!$C$70,"")</f>
      </c>
      <c r="D1520" s="15"/>
      <c r="E1520" s="15"/>
      <c r="F1520" s="11">
        <f t="shared" si="11"/>
      </c>
      <c r="G1520" s="22" cm="1">
        <f t="array" ref="G1520">IF(AND(Inputs!$C$60,Inputs!$C$61),INDEX(Utility_Rates!$C$29:$F$52,HOUR(C1520)+Inputs!$C$69,MATCH(INDEX(Utility_Rates!$K$6:$K$17,MONTH(C1520))&amp;IF(WEEKDAY(C1520,Inputs!$C$76)&lt;=Inputs!$C$74," weekday"," weekend"),Utility_Rates!$C$28:$F$28,Inputs!$C$68)),"")</f>
      </c>
      <c r="H1520" s="34"/>
      <c r="I1520" s="42">
        <f>IF(AND(ISNUMBER(D1520),ISNUMBER(H1520)),D1520*H1520*Inputs!$C$69,"")</f>
      </c>
      <c r="J1520" s="42">
        <f>IF(AND(ISNUMBER(F1520),ISNUMBER(H1520),F1520&gt;=Inputs!$C$68),F1520*H1520*Inputs!$C$69,"")</f>
      </c>
    </row>
    <row r="1521" spans="2:10" ht="15" customHeight="1" x14ac:dyDescent="0.2">
      <c r="B1521" s="39">
        <f t="shared" si="10"/>
      </c>
      <c r="C1521" s="40">
        <f>IF(Inputs!$C$60,Inputs!$C$11+(B1521-Inputs!$C$69)/Inputs!$C$70,"")</f>
      </c>
      <c r="D1521" s="15"/>
      <c r="E1521" s="15"/>
      <c r="F1521" s="11">
        <f t="shared" si="11"/>
      </c>
      <c r="G1521" s="22" cm="1">
        <f t="array" ref="G1521">IF(AND(Inputs!$C$60,Inputs!$C$61),INDEX(Utility_Rates!$C$29:$F$52,HOUR(C1521)+Inputs!$C$69,MATCH(INDEX(Utility_Rates!$K$6:$K$17,MONTH(C1521))&amp;IF(WEEKDAY(C1521,Inputs!$C$76)&lt;=Inputs!$C$74," weekday"," weekend"),Utility_Rates!$C$28:$F$28,Inputs!$C$68)),"")</f>
      </c>
      <c r="H1521" s="34"/>
      <c r="I1521" s="42">
        <f>IF(AND(ISNUMBER(D1521),ISNUMBER(H1521)),D1521*H1521*Inputs!$C$69,"")</f>
      </c>
      <c r="J1521" s="42">
        <f>IF(AND(ISNUMBER(F1521),ISNUMBER(H1521),F1521&gt;=Inputs!$C$68),F1521*H1521*Inputs!$C$69,"")</f>
      </c>
    </row>
    <row r="1522" spans="2:10" ht="15" customHeight="1" x14ac:dyDescent="0.2">
      <c r="B1522" s="39">
        <f t="shared" si="10"/>
      </c>
      <c r="C1522" s="40">
        <f>IF(Inputs!$C$60,Inputs!$C$11+(B1522-Inputs!$C$69)/Inputs!$C$70,"")</f>
      </c>
      <c r="D1522" s="15"/>
      <c r="E1522" s="15"/>
      <c r="F1522" s="11">
        <f t="shared" si="11"/>
      </c>
      <c r="G1522" s="22" cm="1">
        <f t="array" ref="G1522">IF(AND(Inputs!$C$60,Inputs!$C$61),INDEX(Utility_Rates!$C$29:$F$52,HOUR(C1522)+Inputs!$C$69,MATCH(INDEX(Utility_Rates!$K$6:$K$17,MONTH(C1522))&amp;IF(WEEKDAY(C1522,Inputs!$C$76)&lt;=Inputs!$C$74," weekday"," weekend"),Utility_Rates!$C$28:$F$28,Inputs!$C$68)),"")</f>
      </c>
      <c r="H1522" s="34"/>
      <c r="I1522" s="42">
        <f>IF(AND(ISNUMBER(D1522),ISNUMBER(H1522)),D1522*H1522*Inputs!$C$69,"")</f>
      </c>
      <c r="J1522" s="42">
        <f>IF(AND(ISNUMBER(F1522),ISNUMBER(H1522),F1522&gt;=Inputs!$C$68),F1522*H1522*Inputs!$C$69,"")</f>
      </c>
    </row>
    <row r="1523" spans="2:10" ht="15" customHeight="1" x14ac:dyDescent="0.2">
      <c r="B1523" s="39">
        <f t="shared" si="10"/>
      </c>
      <c r="C1523" s="40">
        <f>IF(Inputs!$C$60,Inputs!$C$11+(B1523-Inputs!$C$69)/Inputs!$C$70,"")</f>
      </c>
      <c r="D1523" s="15"/>
      <c r="E1523" s="15"/>
      <c r="F1523" s="11">
        <f t="shared" si="11"/>
      </c>
      <c r="G1523" s="22" cm="1">
        <f t="array" ref="G1523">IF(AND(Inputs!$C$60,Inputs!$C$61),INDEX(Utility_Rates!$C$29:$F$52,HOUR(C1523)+Inputs!$C$69,MATCH(INDEX(Utility_Rates!$K$6:$K$17,MONTH(C1523))&amp;IF(WEEKDAY(C1523,Inputs!$C$76)&lt;=Inputs!$C$74," weekday"," weekend"),Utility_Rates!$C$28:$F$28,Inputs!$C$68)),"")</f>
      </c>
      <c r="H1523" s="34"/>
      <c r="I1523" s="42">
        <f>IF(AND(ISNUMBER(D1523),ISNUMBER(H1523)),D1523*H1523*Inputs!$C$69,"")</f>
      </c>
      <c r="J1523" s="42">
        <f>IF(AND(ISNUMBER(F1523),ISNUMBER(H1523),F1523&gt;=Inputs!$C$68),F1523*H1523*Inputs!$C$69,"")</f>
      </c>
    </row>
    <row r="1524" spans="2:10" ht="15" customHeight="1" x14ac:dyDescent="0.2">
      <c r="B1524" s="39">
        <f t="shared" si="10"/>
      </c>
      <c r="C1524" s="40">
        <f>IF(Inputs!$C$60,Inputs!$C$11+(B1524-Inputs!$C$69)/Inputs!$C$70,"")</f>
      </c>
      <c r="D1524" s="15"/>
      <c r="E1524" s="15"/>
      <c r="F1524" s="11">
        <f t="shared" si="11"/>
      </c>
      <c r="G1524" s="22" cm="1">
        <f t="array" ref="G1524">IF(AND(Inputs!$C$60,Inputs!$C$61),INDEX(Utility_Rates!$C$29:$F$52,HOUR(C1524)+Inputs!$C$69,MATCH(INDEX(Utility_Rates!$K$6:$K$17,MONTH(C1524))&amp;IF(WEEKDAY(C1524,Inputs!$C$76)&lt;=Inputs!$C$74," weekday"," weekend"),Utility_Rates!$C$28:$F$28,Inputs!$C$68)),"")</f>
      </c>
      <c r="H1524" s="34"/>
      <c r="I1524" s="42">
        <f>IF(AND(ISNUMBER(D1524),ISNUMBER(H1524)),D1524*H1524*Inputs!$C$69,"")</f>
      </c>
      <c r="J1524" s="42">
        <f>IF(AND(ISNUMBER(F1524),ISNUMBER(H1524),F1524&gt;=Inputs!$C$68),F1524*H1524*Inputs!$C$69,"")</f>
      </c>
    </row>
    <row r="1525" spans="2:10" ht="15" customHeight="1" x14ac:dyDescent="0.2">
      <c r="B1525" s="39">
        <f t="shared" si="10"/>
      </c>
      <c r="C1525" s="40">
        <f>IF(Inputs!$C$60,Inputs!$C$11+(B1525-Inputs!$C$69)/Inputs!$C$70,"")</f>
      </c>
      <c r="D1525" s="15"/>
      <c r="E1525" s="15"/>
      <c r="F1525" s="11">
        <f t="shared" si="11"/>
      </c>
      <c r="G1525" s="22" cm="1">
        <f t="array" ref="G1525">IF(AND(Inputs!$C$60,Inputs!$C$61),INDEX(Utility_Rates!$C$29:$F$52,HOUR(C1525)+Inputs!$C$69,MATCH(INDEX(Utility_Rates!$K$6:$K$17,MONTH(C1525))&amp;IF(WEEKDAY(C1525,Inputs!$C$76)&lt;=Inputs!$C$74," weekday"," weekend"),Utility_Rates!$C$28:$F$28,Inputs!$C$68)),"")</f>
      </c>
      <c r="H1525" s="34"/>
      <c r="I1525" s="42">
        <f>IF(AND(ISNUMBER(D1525),ISNUMBER(H1525)),D1525*H1525*Inputs!$C$69,"")</f>
      </c>
      <c r="J1525" s="42">
        <f>IF(AND(ISNUMBER(F1525),ISNUMBER(H1525),F1525&gt;=Inputs!$C$68),F1525*H1525*Inputs!$C$69,"")</f>
      </c>
    </row>
    <row r="1526" spans="2:10" ht="15" customHeight="1" x14ac:dyDescent="0.2">
      <c r="B1526" s="39">
        <f t="shared" si="10"/>
      </c>
      <c r="C1526" s="40">
        <f>IF(Inputs!$C$60,Inputs!$C$11+(B1526-Inputs!$C$69)/Inputs!$C$70,"")</f>
      </c>
      <c r="D1526" s="15"/>
      <c r="E1526" s="15"/>
      <c r="F1526" s="11">
        <f t="shared" si="11"/>
      </c>
      <c r="G1526" s="22" cm="1">
        <f t="array" ref="G1526">IF(AND(Inputs!$C$60,Inputs!$C$61),INDEX(Utility_Rates!$C$29:$F$52,HOUR(C1526)+Inputs!$C$69,MATCH(INDEX(Utility_Rates!$K$6:$K$17,MONTH(C1526))&amp;IF(WEEKDAY(C1526,Inputs!$C$76)&lt;=Inputs!$C$74," weekday"," weekend"),Utility_Rates!$C$28:$F$28,Inputs!$C$68)),"")</f>
      </c>
      <c r="H1526" s="34"/>
      <c r="I1526" s="42">
        <f>IF(AND(ISNUMBER(D1526),ISNUMBER(H1526)),D1526*H1526*Inputs!$C$69,"")</f>
      </c>
      <c r="J1526" s="42">
        <f>IF(AND(ISNUMBER(F1526),ISNUMBER(H1526),F1526&gt;=Inputs!$C$68),F1526*H1526*Inputs!$C$69,"")</f>
      </c>
    </row>
    <row r="1527" spans="2:10" ht="15" customHeight="1" x14ac:dyDescent="0.2">
      <c r="B1527" s="39">
        <f t="shared" si="10"/>
      </c>
      <c r="C1527" s="40">
        <f>IF(Inputs!$C$60,Inputs!$C$11+(B1527-Inputs!$C$69)/Inputs!$C$70,"")</f>
      </c>
      <c r="D1527" s="15"/>
      <c r="E1527" s="15"/>
      <c r="F1527" s="11">
        <f t="shared" si="11"/>
      </c>
      <c r="G1527" s="22" cm="1">
        <f t="array" ref="G1527">IF(AND(Inputs!$C$60,Inputs!$C$61),INDEX(Utility_Rates!$C$29:$F$52,HOUR(C1527)+Inputs!$C$69,MATCH(INDEX(Utility_Rates!$K$6:$K$17,MONTH(C1527))&amp;IF(WEEKDAY(C1527,Inputs!$C$76)&lt;=Inputs!$C$74," weekday"," weekend"),Utility_Rates!$C$28:$F$28,Inputs!$C$68)),"")</f>
      </c>
      <c r="H1527" s="34"/>
      <c r="I1527" s="42">
        <f>IF(AND(ISNUMBER(D1527),ISNUMBER(H1527)),D1527*H1527*Inputs!$C$69,"")</f>
      </c>
      <c r="J1527" s="42">
        <f>IF(AND(ISNUMBER(F1527),ISNUMBER(H1527),F1527&gt;=Inputs!$C$68),F1527*H1527*Inputs!$C$69,"")</f>
      </c>
    </row>
    <row r="1528" spans="2:10" ht="15" customHeight="1" x14ac:dyDescent="0.2">
      <c r="B1528" s="39">
        <f t="shared" si="10"/>
      </c>
      <c r="C1528" s="40">
        <f>IF(Inputs!$C$60,Inputs!$C$11+(B1528-Inputs!$C$69)/Inputs!$C$70,"")</f>
      </c>
      <c r="D1528" s="15"/>
      <c r="E1528" s="15"/>
      <c r="F1528" s="11">
        <f t="shared" si="11"/>
      </c>
      <c r="G1528" s="22" cm="1">
        <f t="array" ref="G1528">IF(AND(Inputs!$C$60,Inputs!$C$61),INDEX(Utility_Rates!$C$29:$F$52,HOUR(C1528)+Inputs!$C$69,MATCH(INDEX(Utility_Rates!$K$6:$K$17,MONTH(C1528))&amp;IF(WEEKDAY(C1528,Inputs!$C$76)&lt;=Inputs!$C$74," weekday"," weekend"),Utility_Rates!$C$28:$F$28,Inputs!$C$68)),"")</f>
      </c>
      <c r="H1528" s="34"/>
      <c r="I1528" s="42">
        <f>IF(AND(ISNUMBER(D1528),ISNUMBER(H1528)),D1528*H1528*Inputs!$C$69,"")</f>
      </c>
      <c r="J1528" s="42">
        <f>IF(AND(ISNUMBER(F1528),ISNUMBER(H1528),F1528&gt;=Inputs!$C$68),F1528*H1528*Inputs!$C$69,"")</f>
      </c>
    </row>
    <row r="1529" spans="2:10" ht="15" customHeight="1" x14ac:dyDescent="0.2">
      <c r="B1529" s="39">
        <f t="shared" si="10"/>
      </c>
      <c r="C1529" s="40">
        <f>IF(Inputs!$C$60,Inputs!$C$11+(B1529-Inputs!$C$69)/Inputs!$C$70,"")</f>
      </c>
      <c r="D1529" s="15"/>
      <c r="E1529" s="15"/>
      <c r="F1529" s="11">
        <f t="shared" si="11"/>
      </c>
      <c r="G1529" s="22" cm="1">
        <f t="array" ref="G1529">IF(AND(Inputs!$C$60,Inputs!$C$61),INDEX(Utility_Rates!$C$29:$F$52,HOUR(C1529)+Inputs!$C$69,MATCH(INDEX(Utility_Rates!$K$6:$K$17,MONTH(C1529))&amp;IF(WEEKDAY(C1529,Inputs!$C$76)&lt;=Inputs!$C$74," weekday"," weekend"),Utility_Rates!$C$28:$F$28,Inputs!$C$68)),"")</f>
      </c>
      <c r="H1529" s="34"/>
      <c r="I1529" s="42">
        <f>IF(AND(ISNUMBER(D1529),ISNUMBER(H1529)),D1529*H1529*Inputs!$C$69,"")</f>
      </c>
      <c r="J1529" s="42">
        <f>IF(AND(ISNUMBER(F1529),ISNUMBER(H1529),F1529&gt;=Inputs!$C$68),F1529*H1529*Inputs!$C$69,"")</f>
      </c>
    </row>
    <row r="1530" spans="2:10" ht="15" customHeight="1" x14ac:dyDescent="0.2">
      <c r="B1530" s="39">
        <f t="shared" si="10"/>
      </c>
      <c r="C1530" s="40">
        <f>IF(Inputs!$C$60,Inputs!$C$11+(B1530-Inputs!$C$69)/Inputs!$C$70,"")</f>
      </c>
      <c r="D1530" s="15"/>
      <c r="E1530" s="15"/>
      <c r="F1530" s="11">
        <f t="shared" si="11"/>
      </c>
      <c r="G1530" s="22" cm="1">
        <f t="array" ref="G1530">IF(AND(Inputs!$C$60,Inputs!$C$61),INDEX(Utility_Rates!$C$29:$F$52,HOUR(C1530)+Inputs!$C$69,MATCH(INDEX(Utility_Rates!$K$6:$K$17,MONTH(C1530))&amp;IF(WEEKDAY(C1530,Inputs!$C$76)&lt;=Inputs!$C$74," weekday"," weekend"),Utility_Rates!$C$28:$F$28,Inputs!$C$68)),"")</f>
      </c>
      <c r="H1530" s="34"/>
      <c r="I1530" s="42">
        <f>IF(AND(ISNUMBER(D1530),ISNUMBER(H1530)),D1530*H1530*Inputs!$C$69,"")</f>
      </c>
      <c r="J1530" s="42">
        <f>IF(AND(ISNUMBER(F1530),ISNUMBER(H1530),F1530&gt;=Inputs!$C$68),F1530*H1530*Inputs!$C$69,"")</f>
      </c>
    </row>
    <row r="1531" spans="2:10" ht="15" customHeight="1" x14ac:dyDescent="0.2">
      <c r="B1531" s="39">
        <f t="shared" si="10"/>
      </c>
      <c r="C1531" s="40">
        <f>IF(Inputs!$C$60,Inputs!$C$11+(B1531-Inputs!$C$69)/Inputs!$C$70,"")</f>
      </c>
      <c r="D1531" s="15"/>
      <c r="E1531" s="15"/>
      <c r="F1531" s="11">
        <f t="shared" si="11"/>
      </c>
      <c r="G1531" s="22" cm="1">
        <f t="array" ref="G1531">IF(AND(Inputs!$C$60,Inputs!$C$61),INDEX(Utility_Rates!$C$29:$F$52,HOUR(C1531)+Inputs!$C$69,MATCH(INDEX(Utility_Rates!$K$6:$K$17,MONTH(C1531))&amp;IF(WEEKDAY(C1531,Inputs!$C$76)&lt;=Inputs!$C$74," weekday"," weekend"),Utility_Rates!$C$28:$F$28,Inputs!$C$68)),"")</f>
      </c>
      <c r="H1531" s="34"/>
      <c r="I1531" s="42">
        <f>IF(AND(ISNUMBER(D1531),ISNUMBER(H1531)),D1531*H1531*Inputs!$C$69,"")</f>
      </c>
      <c r="J1531" s="42">
        <f>IF(AND(ISNUMBER(F1531),ISNUMBER(H1531),F1531&gt;=Inputs!$C$68),F1531*H1531*Inputs!$C$69,"")</f>
      </c>
    </row>
    <row r="1532" spans="2:10" ht="15" customHeight="1" x14ac:dyDescent="0.2">
      <c r="B1532" s="39">
        <f t="shared" si="10"/>
      </c>
      <c r="C1532" s="40">
        <f>IF(Inputs!$C$60,Inputs!$C$11+(B1532-Inputs!$C$69)/Inputs!$C$70,"")</f>
      </c>
      <c r="D1532" s="15"/>
      <c r="E1532" s="15"/>
      <c r="F1532" s="11">
        <f t="shared" si="11"/>
      </c>
      <c r="G1532" s="22" cm="1">
        <f t="array" ref="G1532">IF(AND(Inputs!$C$60,Inputs!$C$61),INDEX(Utility_Rates!$C$29:$F$52,HOUR(C1532)+Inputs!$C$69,MATCH(INDEX(Utility_Rates!$K$6:$K$17,MONTH(C1532))&amp;IF(WEEKDAY(C1532,Inputs!$C$76)&lt;=Inputs!$C$74," weekday"," weekend"),Utility_Rates!$C$28:$F$28,Inputs!$C$68)),"")</f>
      </c>
      <c r="H1532" s="34"/>
      <c r="I1532" s="42">
        <f>IF(AND(ISNUMBER(D1532),ISNUMBER(H1532)),D1532*H1532*Inputs!$C$69,"")</f>
      </c>
      <c r="J1532" s="42">
        <f>IF(AND(ISNUMBER(F1532),ISNUMBER(H1532),F1532&gt;=Inputs!$C$68),F1532*H1532*Inputs!$C$69,"")</f>
      </c>
    </row>
    <row r="1533" spans="2:10" ht="15" customHeight="1" x14ac:dyDescent="0.2">
      <c r="B1533" s="39">
        <f t="shared" si="10"/>
      </c>
      <c r="C1533" s="40">
        <f>IF(Inputs!$C$60,Inputs!$C$11+(B1533-Inputs!$C$69)/Inputs!$C$70,"")</f>
      </c>
      <c r="D1533" s="15"/>
      <c r="E1533" s="15"/>
      <c r="F1533" s="11">
        <f t="shared" si="11"/>
      </c>
      <c r="G1533" s="22" cm="1">
        <f t="array" ref="G1533">IF(AND(Inputs!$C$60,Inputs!$C$61),INDEX(Utility_Rates!$C$29:$F$52,HOUR(C1533)+Inputs!$C$69,MATCH(INDEX(Utility_Rates!$K$6:$K$17,MONTH(C1533))&amp;IF(WEEKDAY(C1533,Inputs!$C$76)&lt;=Inputs!$C$74," weekday"," weekend"),Utility_Rates!$C$28:$F$28,Inputs!$C$68)),"")</f>
      </c>
      <c r="H1533" s="34"/>
      <c r="I1533" s="42">
        <f>IF(AND(ISNUMBER(D1533),ISNUMBER(H1533)),D1533*H1533*Inputs!$C$69,"")</f>
      </c>
      <c r="J1533" s="42">
        <f>IF(AND(ISNUMBER(F1533),ISNUMBER(H1533),F1533&gt;=Inputs!$C$68),F1533*H1533*Inputs!$C$69,"")</f>
      </c>
    </row>
    <row r="1534" spans="2:10" ht="15" customHeight="1" x14ac:dyDescent="0.2">
      <c r="B1534" s="39">
        <f t="shared" si="10"/>
      </c>
      <c r="C1534" s="40">
        <f>IF(Inputs!$C$60,Inputs!$C$11+(B1534-Inputs!$C$69)/Inputs!$C$70,"")</f>
      </c>
      <c r="D1534" s="15"/>
      <c r="E1534" s="15"/>
      <c r="F1534" s="11">
        <f t="shared" si="11"/>
      </c>
      <c r="G1534" s="22" cm="1">
        <f t="array" ref="G1534">IF(AND(Inputs!$C$60,Inputs!$C$61),INDEX(Utility_Rates!$C$29:$F$52,HOUR(C1534)+Inputs!$C$69,MATCH(INDEX(Utility_Rates!$K$6:$K$17,MONTH(C1534))&amp;IF(WEEKDAY(C1534,Inputs!$C$76)&lt;=Inputs!$C$74," weekday"," weekend"),Utility_Rates!$C$28:$F$28,Inputs!$C$68)),"")</f>
      </c>
      <c r="H1534" s="34"/>
      <c r="I1534" s="42">
        <f>IF(AND(ISNUMBER(D1534),ISNUMBER(H1534)),D1534*H1534*Inputs!$C$69,"")</f>
      </c>
      <c r="J1534" s="42">
        <f>IF(AND(ISNUMBER(F1534),ISNUMBER(H1534),F1534&gt;=Inputs!$C$68),F1534*H1534*Inputs!$C$69,"")</f>
      </c>
    </row>
    <row r="1535" spans="2:10" ht="15" customHeight="1" x14ac:dyDescent="0.2">
      <c r="B1535" s="39">
        <f t="shared" si="10"/>
      </c>
      <c r="C1535" s="40">
        <f>IF(Inputs!$C$60,Inputs!$C$11+(B1535-Inputs!$C$69)/Inputs!$C$70,"")</f>
      </c>
      <c r="D1535" s="15"/>
      <c r="E1535" s="15"/>
      <c r="F1535" s="11">
        <f t="shared" si="11"/>
      </c>
      <c r="G1535" s="22" cm="1">
        <f t="array" ref="G1535">IF(AND(Inputs!$C$60,Inputs!$C$61),INDEX(Utility_Rates!$C$29:$F$52,HOUR(C1535)+Inputs!$C$69,MATCH(INDEX(Utility_Rates!$K$6:$K$17,MONTH(C1535))&amp;IF(WEEKDAY(C1535,Inputs!$C$76)&lt;=Inputs!$C$74," weekday"," weekend"),Utility_Rates!$C$28:$F$28,Inputs!$C$68)),"")</f>
      </c>
      <c r="H1535" s="34"/>
      <c r="I1535" s="42">
        <f>IF(AND(ISNUMBER(D1535),ISNUMBER(H1535)),D1535*H1535*Inputs!$C$69,"")</f>
      </c>
      <c r="J1535" s="42">
        <f>IF(AND(ISNUMBER(F1535),ISNUMBER(H1535),F1535&gt;=Inputs!$C$68),F1535*H1535*Inputs!$C$69,"")</f>
      </c>
    </row>
    <row r="1536" spans="2:10" ht="15" customHeight="1" x14ac:dyDescent="0.2">
      <c r="B1536" s="39">
        <f t="shared" ref="B1536:B1790" si="12">ROW()-ROW($B$5)</f>
      </c>
      <c r="C1536" s="40">
        <f>IF(Inputs!$C$60,Inputs!$C$11+(B1536-Inputs!$C$69)/Inputs!$C$70,"")</f>
      </c>
      <c r="D1536" s="15"/>
      <c r="E1536" s="15"/>
      <c r="F1536" s="11">
        <f t="shared" ref="F1536:F1790" si="13">IF(COUNT(D1536:E1536)=COLUMNS(D1536:E1536),D1536-E1536,"")</f>
      </c>
      <c r="G1536" s="22" cm="1">
        <f t="array" ref="G1536">IF(AND(Inputs!$C$60,Inputs!$C$61),INDEX(Utility_Rates!$C$29:$F$52,HOUR(C1536)+Inputs!$C$69,MATCH(INDEX(Utility_Rates!$K$6:$K$17,MONTH(C1536))&amp;IF(WEEKDAY(C1536,Inputs!$C$76)&lt;=Inputs!$C$74," weekday"," weekend"),Utility_Rates!$C$28:$F$28,Inputs!$C$68)),"")</f>
      </c>
      <c r="H1536" s="34"/>
      <c r="I1536" s="42">
        <f>IF(AND(ISNUMBER(D1536),ISNUMBER(H1536)),D1536*H1536*Inputs!$C$69,"")</f>
      </c>
      <c r="J1536" s="42">
        <f>IF(AND(ISNUMBER(F1536),ISNUMBER(H1536),F1536&gt;=Inputs!$C$68),F1536*H1536*Inputs!$C$69,"")</f>
      </c>
    </row>
    <row r="1537" spans="2:10" ht="15" customHeight="1" x14ac:dyDescent="0.2">
      <c r="B1537" s="39">
        <f t="shared" si="12"/>
      </c>
      <c r="C1537" s="40">
        <f>IF(Inputs!$C$60,Inputs!$C$11+(B1537-Inputs!$C$69)/Inputs!$C$70,"")</f>
      </c>
      <c r="D1537" s="15"/>
      <c r="E1537" s="15"/>
      <c r="F1537" s="11">
        <f t="shared" si="13"/>
      </c>
      <c r="G1537" s="22" cm="1">
        <f t="array" ref="G1537">IF(AND(Inputs!$C$60,Inputs!$C$61),INDEX(Utility_Rates!$C$29:$F$52,HOUR(C1537)+Inputs!$C$69,MATCH(INDEX(Utility_Rates!$K$6:$K$17,MONTH(C1537))&amp;IF(WEEKDAY(C1537,Inputs!$C$76)&lt;=Inputs!$C$74," weekday"," weekend"),Utility_Rates!$C$28:$F$28,Inputs!$C$68)),"")</f>
      </c>
      <c r="H1537" s="34"/>
      <c r="I1537" s="42">
        <f>IF(AND(ISNUMBER(D1537),ISNUMBER(H1537)),D1537*H1537*Inputs!$C$69,"")</f>
      </c>
      <c r="J1537" s="42">
        <f>IF(AND(ISNUMBER(F1537),ISNUMBER(H1537),F1537&gt;=Inputs!$C$68),F1537*H1537*Inputs!$C$69,"")</f>
      </c>
    </row>
    <row r="1538" spans="2:10" ht="15" customHeight="1" x14ac:dyDescent="0.2">
      <c r="B1538" s="39">
        <f t="shared" si="12"/>
      </c>
      <c r="C1538" s="40">
        <f>IF(Inputs!$C$60,Inputs!$C$11+(B1538-Inputs!$C$69)/Inputs!$C$70,"")</f>
      </c>
      <c r="D1538" s="15"/>
      <c r="E1538" s="15"/>
      <c r="F1538" s="11">
        <f t="shared" si="13"/>
      </c>
      <c r="G1538" s="22" cm="1">
        <f t="array" ref="G1538">IF(AND(Inputs!$C$60,Inputs!$C$61),INDEX(Utility_Rates!$C$29:$F$52,HOUR(C1538)+Inputs!$C$69,MATCH(INDEX(Utility_Rates!$K$6:$K$17,MONTH(C1538))&amp;IF(WEEKDAY(C1538,Inputs!$C$76)&lt;=Inputs!$C$74," weekday"," weekend"),Utility_Rates!$C$28:$F$28,Inputs!$C$68)),"")</f>
      </c>
      <c r="H1538" s="34"/>
      <c r="I1538" s="42">
        <f>IF(AND(ISNUMBER(D1538),ISNUMBER(H1538)),D1538*H1538*Inputs!$C$69,"")</f>
      </c>
      <c r="J1538" s="42">
        <f>IF(AND(ISNUMBER(F1538),ISNUMBER(H1538),F1538&gt;=Inputs!$C$68),F1538*H1538*Inputs!$C$69,"")</f>
      </c>
    </row>
    <row r="1539" spans="2:10" ht="15" customHeight="1" x14ac:dyDescent="0.2">
      <c r="B1539" s="39">
        <f t="shared" si="12"/>
      </c>
      <c r="C1539" s="40">
        <f>IF(Inputs!$C$60,Inputs!$C$11+(B1539-Inputs!$C$69)/Inputs!$C$70,"")</f>
      </c>
      <c r="D1539" s="15"/>
      <c r="E1539" s="15"/>
      <c r="F1539" s="11">
        <f t="shared" si="13"/>
      </c>
      <c r="G1539" s="22" cm="1">
        <f t="array" ref="G1539">IF(AND(Inputs!$C$60,Inputs!$C$61),INDEX(Utility_Rates!$C$29:$F$52,HOUR(C1539)+Inputs!$C$69,MATCH(INDEX(Utility_Rates!$K$6:$K$17,MONTH(C1539))&amp;IF(WEEKDAY(C1539,Inputs!$C$76)&lt;=Inputs!$C$74," weekday"," weekend"),Utility_Rates!$C$28:$F$28,Inputs!$C$68)),"")</f>
      </c>
      <c r="H1539" s="34"/>
      <c r="I1539" s="42">
        <f>IF(AND(ISNUMBER(D1539),ISNUMBER(H1539)),D1539*H1539*Inputs!$C$69,"")</f>
      </c>
      <c r="J1539" s="42">
        <f>IF(AND(ISNUMBER(F1539),ISNUMBER(H1539),F1539&gt;=Inputs!$C$68),F1539*H1539*Inputs!$C$69,"")</f>
      </c>
    </row>
    <row r="1540" spans="2:10" ht="15" customHeight="1" x14ac:dyDescent="0.2">
      <c r="B1540" s="39">
        <f t="shared" si="12"/>
      </c>
      <c r="C1540" s="40">
        <f>IF(Inputs!$C$60,Inputs!$C$11+(B1540-Inputs!$C$69)/Inputs!$C$70,"")</f>
      </c>
      <c r="D1540" s="15"/>
      <c r="E1540" s="15"/>
      <c r="F1540" s="11">
        <f t="shared" si="13"/>
      </c>
      <c r="G1540" s="22" cm="1">
        <f t="array" ref="G1540">IF(AND(Inputs!$C$60,Inputs!$C$61),INDEX(Utility_Rates!$C$29:$F$52,HOUR(C1540)+Inputs!$C$69,MATCH(INDEX(Utility_Rates!$K$6:$K$17,MONTH(C1540))&amp;IF(WEEKDAY(C1540,Inputs!$C$76)&lt;=Inputs!$C$74," weekday"," weekend"),Utility_Rates!$C$28:$F$28,Inputs!$C$68)),"")</f>
      </c>
      <c r="H1540" s="34"/>
      <c r="I1540" s="42">
        <f>IF(AND(ISNUMBER(D1540),ISNUMBER(H1540)),D1540*H1540*Inputs!$C$69,"")</f>
      </c>
      <c r="J1540" s="42">
        <f>IF(AND(ISNUMBER(F1540),ISNUMBER(H1540),F1540&gt;=Inputs!$C$68),F1540*H1540*Inputs!$C$69,"")</f>
      </c>
    </row>
    <row r="1541" spans="2:10" ht="15" customHeight="1" x14ac:dyDescent="0.2">
      <c r="B1541" s="39">
        <f t="shared" si="12"/>
      </c>
      <c r="C1541" s="40">
        <f>IF(Inputs!$C$60,Inputs!$C$11+(B1541-Inputs!$C$69)/Inputs!$C$70,"")</f>
      </c>
      <c r="D1541" s="15"/>
      <c r="E1541" s="15"/>
      <c r="F1541" s="11">
        <f t="shared" si="13"/>
      </c>
      <c r="G1541" s="22" cm="1">
        <f t="array" ref="G1541">IF(AND(Inputs!$C$60,Inputs!$C$61),INDEX(Utility_Rates!$C$29:$F$52,HOUR(C1541)+Inputs!$C$69,MATCH(INDEX(Utility_Rates!$K$6:$K$17,MONTH(C1541))&amp;IF(WEEKDAY(C1541,Inputs!$C$76)&lt;=Inputs!$C$74," weekday"," weekend"),Utility_Rates!$C$28:$F$28,Inputs!$C$68)),"")</f>
      </c>
      <c r="H1541" s="34"/>
      <c r="I1541" s="42">
        <f>IF(AND(ISNUMBER(D1541),ISNUMBER(H1541)),D1541*H1541*Inputs!$C$69,"")</f>
      </c>
      <c r="J1541" s="42">
        <f>IF(AND(ISNUMBER(F1541),ISNUMBER(H1541),F1541&gt;=Inputs!$C$68),F1541*H1541*Inputs!$C$69,"")</f>
      </c>
    </row>
    <row r="1542" spans="2:10" ht="15" customHeight="1" x14ac:dyDescent="0.2">
      <c r="B1542" s="39">
        <f t="shared" si="12"/>
      </c>
      <c r="C1542" s="40">
        <f>IF(Inputs!$C$60,Inputs!$C$11+(B1542-Inputs!$C$69)/Inputs!$C$70,"")</f>
      </c>
      <c r="D1542" s="15"/>
      <c r="E1542" s="15"/>
      <c r="F1542" s="11">
        <f t="shared" si="13"/>
      </c>
      <c r="G1542" s="22" cm="1">
        <f t="array" ref="G1542">IF(AND(Inputs!$C$60,Inputs!$C$61),INDEX(Utility_Rates!$C$29:$F$52,HOUR(C1542)+Inputs!$C$69,MATCH(INDEX(Utility_Rates!$K$6:$K$17,MONTH(C1542))&amp;IF(WEEKDAY(C1542,Inputs!$C$76)&lt;=Inputs!$C$74," weekday"," weekend"),Utility_Rates!$C$28:$F$28,Inputs!$C$68)),"")</f>
      </c>
      <c r="H1542" s="34"/>
      <c r="I1542" s="42">
        <f>IF(AND(ISNUMBER(D1542),ISNUMBER(H1542)),D1542*H1542*Inputs!$C$69,"")</f>
      </c>
      <c r="J1542" s="42">
        <f>IF(AND(ISNUMBER(F1542),ISNUMBER(H1542),F1542&gt;=Inputs!$C$68),F1542*H1542*Inputs!$C$69,"")</f>
      </c>
    </row>
    <row r="1543" spans="2:10" ht="15" customHeight="1" x14ac:dyDescent="0.2">
      <c r="B1543" s="39">
        <f t="shared" si="12"/>
      </c>
      <c r="C1543" s="40">
        <f>IF(Inputs!$C$60,Inputs!$C$11+(B1543-Inputs!$C$69)/Inputs!$C$70,"")</f>
      </c>
      <c r="D1543" s="15"/>
      <c r="E1543" s="15"/>
      <c r="F1543" s="11">
        <f t="shared" si="13"/>
      </c>
      <c r="G1543" s="22" cm="1">
        <f t="array" ref="G1543">IF(AND(Inputs!$C$60,Inputs!$C$61),INDEX(Utility_Rates!$C$29:$F$52,HOUR(C1543)+Inputs!$C$69,MATCH(INDEX(Utility_Rates!$K$6:$K$17,MONTH(C1543))&amp;IF(WEEKDAY(C1543,Inputs!$C$76)&lt;=Inputs!$C$74," weekday"," weekend"),Utility_Rates!$C$28:$F$28,Inputs!$C$68)),"")</f>
      </c>
      <c r="H1543" s="34"/>
      <c r="I1543" s="42">
        <f>IF(AND(ISNUMBER(D1543),ISNUMBER(H1543)),D1543*H1543*Inputs!$C$69,"")</f>
      </c>
      <c r="J1543" s="42">
        <f>IF(AND(ISNUMBER(F1543),ISNUMBER(H1543),F1543&gt;=Inputs!$C$68),F1543*H1543*Inputs!$C$69,"")</f>
      </c>
    </row>
    <row r="1544" spans="2:10" ht="15" customHeight="1" x14ac:dyDescent="0.2">
      <c r="B1544" s="39">
        <f t="shared" si="12"/>
      </c>
      <c r="C1544" s="40">
        <f>IF(Inputs!$C$60,Inputs!$C$11+(B1544-Inputs!$C$69)/Inputs!$C$70,"")</f>
      </c>
      <c r="D1544" s="15"/>
      <c r="E1544" s="15"/>
      <c r="F1544" s="11">
        <f t="shared" si="13"/>
      </c>
      <c r="G1544" s="22" cm="1">
        <f t="array" ref="G1544">IF(AND(Inputs!$C$60,Inputs!$C$61),INDEX(Utility_Rates!$C$29:$F$52,HOUR(C1544)+Inputs!$C$69,MATCH(INDEX(Utility_Rates!$K$6:$K$17,MONTH(C1544))&amp;IF(WEEKDAY(C1544,Inputs!$C$76)&lt;=Inputs!$C$74," weekday"," weekend"),Utility_Rates!$C$28:$F$28,Inputs!$C$68)),"")</f>
      </c>
      <c r="H1544" s="34"/>
      <c r="I1544" s="42">
        <f>IF(AND(ISNUMBER(D1544),ISNUMBER(H1544)),D1544*H1544*Inputs!$C$69,"")</f>
      </c>
      <c r="J1544" s="42">
        <f>IF(AND(ISNUMBER(F1544),ISNUMBER(H1544),F1544&gt;=Inputs!$C$68),F1544*H1544*Inputs!$C$69,"")</f>
      </c>
    </row>
    <row r="1545" spans="2:10" ht="15" customHeight="1" x14ac:dyDescent="0.2">
      <c r="B1545" s="39">
        <f t="shared" si="12"/>
      </c>
      <c r="C1545" s="40">
        <f>IF(Inputs!$C$60,Inputs!$C$11+(B1545-Inputs!$C$69)/Inputs!$C$70,"")</f>
      </c>
      <c r="D1545" s="15"/>
      <c r="E1545" s="15"/>
      <c r="F1545" s="11">
        <f t="shared" si="13"/>
      </c>
      <c r="G1545" s="22" cm="1">
        <f t="array" ref="G1545">IF(AND(Inputs!$C$60,Inputs!$C$61),INDEX(Utility_Rates!$C$29:$F$52,HOUR(C1545)+Inputs!$C$69,MATCH(INDEX(Utility_Rates!$K$6:$K$17,MONTH(C1545))&amp;IF(WEEKDAY(C1545,Inputs!$C$76)&lt;=Inputs!$C$74," weekday"," weekend"),Utility_Rates!$C$28:$F$28,Inputs!$C$68)),"")</f>
      </c>
      <c r="H1545" s="34"/>
      <c r="I1545" s="42">
        <f>IF(AND(ISNUMBER(D1545),ISNUMBER(H1545)),D1545*H1545*Inputs!$C$69,"")</f>
      </c>
      <c r="J1545" s="42">
        <f>IF(AND(ISNUMBER(F1545),ISNUMBER(H1545),F1545&gt;=Inputs!$C$68),F1545*H1545*Inputs!$C$69,"")</f>
      </c>
    </row>
    <row r="1546" spans="2:10" ht="15" customHeight="1" x14ac:dyDescent="0.2">
      <c r="B1546" s="39">
        <f t="shared" si="12"/>
      </c>
      <c r="C1546" s="40">
        <f>IF(Inputs!$C$60,Inputs!$C$11+(B1546-Inputs!$C$69)/Inputs!$C$70,"")</f>
      </c>
      <c r="D1546" s="15"/>
      <c r="E1546" s="15"/>
      <c r="F1546" s="11">
        <f t="shared" si="13"/>
      </c>
      <c r="G1546" s="22" cm="1">
        <f t="array" ref="G1546">IF(AND(Inputs!$C$60,Inputs!$C$61),INDEX(Utility_Rates!$C$29:$F$52,HOUR(C1546)+Inputs!$C$69,MATCH(INDEX(Utility_Rates!$K$6:$K$17,MONTH(C1546))&amp;IF(WEEKDAY(C1546,Inputs!$C$76)&lt;=Inputs!$C$74," weekday"," weekend"),Utility_Rates!$C$28:$F$28,Inputs!$C$68)),"")</f>
      </c>
      <c r="H1546" s="34"/>
      <c r="I1546" s="42">
        <f>IF(AND(ISNUMBER(D1546),ISNUMBER(H1546)),D1546*H1546*Inputs!$C$69,"")</f>
      </c>
      <c r="J1546" s="42">
        <f>IF(AND(ISNUMBER(F1546),ISNUMBER(H1546),F1546&gt;=Inputs!$C$68),F1546*H1546*Inputs!$C$69,"")</f>
      </c>
    </row>
    <row r="1547" spans="2:10" ht="15" customHeight="1" x14ac:dyDescent="0.2">
      <c r="B1547" s="39">
        <f t="shared" si="12"/>
      </c>
      <c r="C1547" s="40">
        <f>IF(Inputs!$C$60,Inputs!$C$11+(B1547-Inputs!$C$69)/Inputs!$C$70,"")</f>
      </c>
      <c r="D1547" s="15"/>
      <c r="E1547" s="15"/>
      <c r="F1547" s="11">
        <f t="shared" si="13"/>
      </c>
      <c r="G1547" s="22" cm="1">
        <f t="array" ref="G1547">IF(AND(Inputs!$C$60,Inputs!$C$61),INDEX(Utility_Rates!$C$29:$F$52,HOUR(C1547)+Inputs!$C$69,MATCH(INDEX(Utility_Rates!$K$6:$K$17,MONTH(C1547))&amp;IF(WEEKDAY(C1547,Inputs!$C$76)&lt;=Inputs!$C$74," weekday"," weekend"),Utility_Rates!$C$28:$F$28,Inputs!$C$68)),"")</f>
      </c>
      <c r="H1547" s="34"/>
      <c r="I1547" s="42">
        <f>IF(AND(ISNUMBER(D1547),ISNUMBER(H1547)),D1547*H1547*Inputs!$C$69,"")</f>
      </c>
      <c r="J1547" s="42">
        <f>IF(AND(ISNUMBER(F1547),ISNUMBER(H1547),F1547&gt;=Inputs!$C$68),F1547*H1547*Inputs!$C$69,"")</f>
      </c>
    </row>
    <row r="1548" spans="2:10" ht="15" customHeight="1" x14ac:dyDescent="0.2">
      <c r="B1548" s="39">
        <f t="shared" si="12"/>
      </c>
      <c r="C1548" s="40">
        <f>IF(Inputs!$C$60,Inputs!$C$11+(B1548-Inputs!$C$69)/Inputs!$C$70,"")</f>
      </c>
      <c r="D1548" s="15"/>
      <c r="E1548" s="15"/>
      <c r="F1548" s="11">
        <f t="shared" si="13"/>
      </c>
      <c r="G1548" s="22" cm="1">
        <f t="array" ref="G1548">IF(AND(Inputs!$C$60,Inputs!$C$61),INDEX(Utility_Rates!$C$29:$F$52,HOUR(C1548)+Inputs!$C$69,MATCH(INDEX(Utility_Rates!$K$6:$K$17,MONTH(C1548))&amp;IF(WEEKDAY(C1548,Inputs!$C$76)&lt;=Inputs!$C$74," weekday"," weekend"),Utility_Rates!$C$28:$F$28,Inputs!$C$68)),"")</f>
      </c>
      <c r="H1548" s="34"/>
      <c r="I1548" s="42">
        <f>IF(AND(ISNUMBER(D1548),ISNUMBER(H1548)),D1548*H1548*Inputs!$C$69,"")</f>
      </c>
      <c r="J1548" s="42">
        <f>IF(AND(ISNUMBER(F1548),ISNUMBER(H1548),F1548&gt;=Inputs!$C$68),F1548*H1548*Inputs!$C$69,"")</f>
      </c>
    </row>
    <row r="1549" spans="2:10" ht="15" customHeight="1" x14ac:dyDescent="0.2">
      <c r="B1549" s="39">
        <f t="shared" si="12"/>
      </c>
      <c r="C1549" s="40">
        <f>IF(Inputs!$C$60,Inputs!$C$11+(B1549-Inputs!$C$69)/Inputs!$C$70,"")</f>
      </c>
      <c r="D1549" s="15"/>
      <c r="E1549" s="15"/>
      <c r="F1549" s="11">
        <f t="shared" si="13"/>
      </c>
      <c r="G1549" s="22" cm="1">
        <f t="array" ref="G1549">IF(AND(Inputs!$C$60,Inputs!$C$61),INDEX(Utility_Rates!$C$29:$F$52,HOUR(C1549)+Inputs!$C$69,MATCH(INDEX(Utility_Rates!$K$6:$K$17,MONTH(C1549))&amp;IF(WEEKDAY(C1549,Inputs!$C$76)&lt;=Inputs!$C$74," weekday"," weekend"),Utility_Rates!$C$28:$F$28,Inputs!$C$68)),"")</f>
      </c>
      <c r="H1549" s="34"/>
      <c r="I1549" s="42">
        <f>IF(AND(ISNUMBER(D1549),ISNUMBER(H1549)),D1549*H1549*Inputs!$C$69,"")</f>
      </c>
      <c r="J1549" s="42">
        <f>IF(AND(ISNUMBER(F1549),ISNUMBER(H1549),F1549&gt;=Inputs!$C$68),F1549*H1549*Inputs!$C$69,"")</f>
      </c>
    </row>
    <row r="1550" spans="2:10" ht="15" customHeight="1" x14ac:dyDescent="0.2">
      <c r="B1550" s="39">
        <f t="shared" si="12"/>
      </c>
      <c r="C1550" s="40">
        <f>IF(Inputs!$C$60,Inputs!$C$11+(B1550-Inputs!$C$69)/Inputs!$C$70,"")</f>
      </c>
      <c r="D1550" s="15"/>
      <c r="E1550" s="15"/>
      <c r="F1550" s="11">
        <f t="shared" si="13"/>
      </c>
      <c r="G1550" s="22" cm="1">
        <f t="array" ref="G1550">IF(AND(Inputs!$C$60,Inputs!$C$61),INDEX(Utility_Rates!$C$29:$F$52,HOUR(C1550)+Inputs!$C$69,MATCH(INDEX(Utility_Rates!$K$6:$K$17,MONTH(C1550))&amp;IF(WEEKDAY(C1550,Inputs!$C$76)&lt;=Inputs!$C$74," weekday"," weekend"),Utility_Rates!$C$28:$F$28,Inputs!$C$68)),"")</f>
      </c>
      <c r="H1550" s="34"/>
      <c r="I1550" s="42">
        <f>IF(AND(ISNUMBER(D1550),ISNUMBER(H1550)),D1550*H1550*Inputs!$C$69,"")</f>
      </c>
      <c r="J1550" s="42">
        <f>IF(AND(ISNUMBER(F1550),ISNUMBER(H1550),F1550&gt;=Inputs!$C$68),F1550*H1550*Inputs!$C$69,"")</f>
      </c>
    </row>
    <row r="1551" spans="2:10" ht="15" customHeight="1" x14ac:dyDescent="0.2">
      <c r="B1551" s="39">
        <f t="shared" si="12"/>
      </c>
      <c r="C1551" s="40">
        <f>IF(Inputs!$C$60,Inputs!$C$11+(B1551-Inputs!$C$69)/Inputs!$C$70,"")</f>
      </c>
      <c r="D1551" s="15"/>
      <c r="E1551" s="15"/>
      <c r="F1551" s="11">
        <f t="shared" si="13"/>
      </c>
      <c r="G1551" s="22" cm="1">
        <f t="array" ref="G1551">IF(AND(Inputs!$C$60,Inputs!$C$61),INDEX(Utility_Rates!$C$29:$F$52,HOUR(C1551)+Inputs!$C$69,MATCH(INDEX(Utility_Rates!$K$6:$K$17,MONTH(C1551))&amp;IF(WEEKDAY(C1551,Inputs!$C$76)&lt;=Inputs!$C$74," weekday"," weekend"),Utility_Rates!$C$28:$F$28,Inputs!$C$68)),"")</f>
      </c>
      <c r="H1551" s="34"/>
      <c r="I1551" s="42">
        <f>IF(AND(ISNUMBER(D1551),ISNUMBER(H1551)),D1551*H1551*Inputs!$C$69,"")</f>
      </c>
      <c r="J1551" s="42">
        <f>IF(AND(ISNUMBER(F1551),ISNUMBER(H1551),F1551&gt;=Inputs!$C$68),F1551*H1551*Inputs!$C$69,"")</f>
      </c>
    </row>
    <row r="1552" spans="2:10" ht="15" customHeight="1" x14ac:dyDescent="0.2">
      <c r="B1552" s="39">
        <f t="shared" si="12"/>
      </c>
      <c r="C1552" s="40">
        <f>IF(Inputs!$C$60,Inputs!$C$11+(B1552-Inputs!$C$69)/Inputs!$C$70,"")</f>
      </c>
      <c r="D1552" s="15"/>
      <c r="E1552" s="15"/>
      <c r="F1552" s="11">
        <f t="shared" si="13"/>
      </c>
      <c r="G1552" s="22" cm="1">
        <f t="array" ref="G1552">IF(AND(Inputs!$C$60,Inputs!$C$61),INDEX(Utility_Rates!$C$29:$F$52,HOUR(C1552)+Inputs!$C$69,MATCH(INDEX(Utility_Rates!$K$6:$K$17,MONTH(C1552))&amp;IF(WEEKDAY(C1552,Inputs!$C$76)&lt;=Inputs!$C$74," weekday"," weekend"),Utility_Rates!$C$28:$F$28,Inputs!$C$68)),"")</f>
      </c>
      <c r="H1552" s="34"/>
      <c r="I1552" s="42">
        <f>IF(AND(ISNUMBER(D1552),ISNUMBER(H1552)),D1552*H1552*Inputs!$C$69,"")</f>
      </c>
      <c r="J1552" s="42">
        <f>IF(AND(ISNUMBER(F1552),ISNUMBER(H1552),F1552&gt;=Inputs!$C$68),F1552*H1552*Inputs!$C$69,"")</f>
      </c>
    </row>
    <row r="1553" spans="2:10" ht="15" customHeight="1" x14ac:dyDescent="0.2">
      <c r="B1553" s="39">
        <f t="shared" si="12"/>
      </c>
      <c r="C1553" s="40">
        <f>IF(Inputs!$C$60,Inputs!$C$11+(B1553-Inputs!$C$69)/Inputs!$C$70,"")</f>
      </c>
      <c r="D1553" s="15"/>
      <c r="E1553" s="15"/>
      <c r="F1553" s="11">
        <f t="shared" si="13"/>
      </c>
      <c r="G1553" s="22" cm="1">
        <f t="array" ref="G1553">IF(AND(Inputs!$C$60,Inputs!$C$61),INDEX(Utility_Rates!$C$29:$F$52,HOUR(C1553)+Inputs!$C$69,MATCH(INDEX(Utility_Rates!$K$6:$K$17,MONTH(C1553))&amp;IF(WEEKDAY(C1553,Inputs!$C$76)&lt;=Inputs!$C$74," weekday"," weekend"),Utility_Rates!$C$28:$F$28,Inputs!$C$68)),"")</f>
      </c>
      <c r="H1553" s="34"/>
      <c r="I1553" s="42">
        <f>IF(AND(ISNUMBER(D1553),ISNUMBER(H1553)),D1553*H1553*Inputs!$C$69,"")</f>
      </c>
      <c r="J1553" s="42">
        <f>IF(AND(ISNUMBER(F1553),ISNUMBER(H1553),F1553&gt;=Inputs!$C$68),F1553*H1553*Inputs!$C$69,"")</f>
      </c>
    </row>
    <row r="1554" spans="2:10" ht="15" customHeight="1" x14ac:dyDescent="0.2">
      <c r="B1554" s="39">
        <f t="shared" si="12"/>
      </c>
      <c r="C1554" s="40">
        <f>IF(Inputs!$C$60,Inputs!$C$11+(B1554-Inputs!$C$69)/Inputs!$C$70,"")</f>
      </c>
      <c r="D1554" s="15"/>
      <c r="E1554" s="15"/>
      <c r="F1554" s="11">
        <f t="shared" si="13"/>
      </c>
      <c r="G1554" s="22" cm="1">
        <f t="array" ref="G1554">IF(AND(Inputs!$C$60,Inputs!$C$61),INDEX(Utility_Rates!$C$29:$F$52,HOUR(C1554)+Inputs!$C$69,MATCH(INDEX(Utility_Rates!$K$6:$K$17,MONTH(C1554))&amp;IF(WEEKDAY(C1554,Inputs!$C$76)&lt;=Inputs!$C$74," weekday"," weekend"),Utility_Rates!$C$28:$F$28,Inputs!$C$68)),"")</f>
      </c>
      <c r="H1554" s="34"/>
      <c r="I1554" s="42">
        <f>IF(AND(ISNUMBER(D1554),ISNUMBER(H1554)),D1554*H1554*Inputs!$C$69,"")</f>
      </c>
      <c r="J1554" s="42">
        <f>IF(AND(ISNUMBER(F1554),ISNUMBER(H1554),F1554&gt;=Inputs!$C$68),F1554*H1554*Inputs!$C$69,"")</f>
      </c>
    </row>
    <row r="1555" spans="2:10" ht="15" customHeight="1" x14ac:dyDescent="0.2">
      <c r="B1555" s="39">
        <f t="shared" si="12"/>
      </c>
      <c r="C1555" s="40">
        <f>IF(Inputs!$C$60,Inputs!$C$11+(B1555-Inputs!$C$69)/Inputs!$C$70,"")</f>
      </c>
      <c r="D1555" s="15"/>
      <c r="E1555" s="15"/>
      <c r="F1555" s="11">
        <f t="shared" si="13"/>
      </c>
      <c r="G1555" s="22" cm="1">
        <f t="array" ref="G1555">IF(AND(Inputs!$C$60,Inputs!$C$61),INDEX(Utility_Rates!$C$29:$F$52,HOUR(C1555)+Inputs!$C$69,MATCH(INDEX(Utility_Rates!$K$6:$K$17,MONTH(C1555))&amp;IF(WEEKDAY(C1555,Inputs!$C$76)&lt;=Inputs!$C$74," weekday"," weekend"),Utility_Rates!$C$28:$F$28,Inputs!$C$68)),"")</f>
      </c>
      <c r="H1555" s="34"/>
      <c r="I1555" s="42">
        <f>IF(AND(ISNUMBER(D1555),ISNUMBER(H1555)),D1555*H1555*Inputs!$C$69,"")</f>
      </c>
      <c r="J1555" s="42">
        <f>IF(AND(ISNUMBER(F1555),ISNUMBER(H1555),F1555&gt;=Inputs!$C$68),F1555*H1555*Inputs!$C$69,"")</f>
      </c>
    </row>
    <row r="1556" spans="2:10" ht="15" customHeight="1" x14ac:dyDescent="0.2">
      <c r="B1556" s="39">
        <f t="shared" si="12"/>
      </c>
      <c r="C1556" s="40">
        <f>IF(Inputs!$C$60,Inputs!$C$11+(B1556-Inputs!$C$69)/Inputs!$C$70,"")</f>
      </c>
      <c r="D1556" s="15"/>
      <c r="E1556" s="15"/>
      <c r="F1556" s="11">
        <f t="shared" si="13"/>
      </c>
      <c r="G1556" s="22" cm="1">
        <f t="array" ref="G1556">IF(AND(Inputs!$C$60,Inputs!$C$61),INDEX(Utility_Rates!$C$29:$F$52,HOUR(C1556)+Inputs!$C$69,MATCH(INDEX(Utility_Rates!$K$6:$K$17,MONTH(C1556))&amp;IF(WEEKDAY(C1556,Inputs!$C$76)&lt;=Inputs!$C$74," weekday"," weekend"),Utility_Rates!$C$28:$F$28,Inputs!$C$68)),"")</f>
      </c>
      <c r="H1556" s="34"/>
      <c r="I1556" s="42">
        <f>IF(AND(ISNUMBER(D1556),ISNUMBER(H1556)),D1556*H1556*Inputs!$C$69,"")</f>
      </c>
      <c r="J1556" s="42">
        <f>IF(AND(ISNUMBER(F1556),ISNUMBER(H1556),F1556&gt;=Inputs!$C$68),F1556*H1556*Inputs!$C$69,"")</f>
      </c>
    </row>
    <row r="1557" spans="2:10" ht="15" customHeight="1" x14ac:dyDescent="0.2">
      <c r="B1557" s="39">
        <f t="shared" si="12"/>
      </c>
      <c r="C1557" s="40">
        <f>IF(Inputs!$C$60,Inputs!$C$11+(B1557-Inputs!$C$69)/Inputs!$C$70,"")</f>
      </c>
      <c r="D1557" s="15"/>
      <c r="E1557" s="15"/>
      <c r="F1557" s="11">
        <f t="shared" si="13"/>
      </c>
      <c r="G1557" s="22" cm="1">
        <f t="array" ref="G1557">IF(AND(Inputs!$C$60,Inputs!$C$61),INDEX(Utility_Rates!$C$29:$F$52,HOUR(C1557)+Inputs!$C$69,MATCH(INDEX(Utility_Rates!$K$6:$K$17,MONTH(C1557))&amp;IF(WEEKDAY(C1557,Inputs!$C$76)&lt;=Inputs!$C$74," weekday"," weekend"),Utility_Rates!$C$28:$F$28,Inputs!$C$68)),"")</f>
      </c>
      <c r="H1557" s="34"/>
      <c r="I1557" s="42">
        <f>IF(AND(ISNUMBER(D1557),ISNUMBER(H1557)),D1557*H1557*Inputs!$C$69,"")</f>
      </c>
      <c r="J1557" s="42">
        <f>IF(AND(ISNUMBER(F1557),ISNUMBER(H1557),F1557&gt;=Inputs!$C$68),F1557*H1557*Inputs!$C$69,"")</f>
      </c>
    </row>
    <row r="1558" spans="2:10" ht="15" customHeight="1" x14ac:dyDescent="0.2">
      <c r="B1558" s="39">
        <f t="shared" si="12"/>
      </c>
      <c r="C1558" s="40">
        <f>IF(Inputs!$C$60,Inputs!$C$11+(B1558-Inputs!$C$69)/Inputs!$C$70,"")</f>
      </c>
      <c r="D1558" s="15"/>
      <c r="E1558" s="15"/>
      <c r="F1558" s="11">
        <f t="shared" si="13"/>
      </c>
      <c r="G1558" s="22" cm="1">
        <f t="array" ref="G1558">IF(AND(Inputs!$C$60,Inputs!$C$61),INDEX(Utility_Rates!$C$29:$F$52,HOUR(C1558)+Inputs!$C$69,MATCH(INDEX(Utility_Rates!$K$6:$K$17,MONTH(C1558))&amp;IF(WEEKDAY(C1558,Inputs!$C$76)&lt;=Inputs!$C$74," weekday"," weekend"),Utility_Rates!$C$28:$F$28,Inputs!$C$68)),"")</f>
      </c>
      <c r="H1558" s="34"/>
      <c r="I1558" s="42">
        <f>IF(AND(ISNUMBER(D1558),ISNUMBER(H1558)),D1558*H1558*Inputs!$C$69,"")</f>
      </c>
      <c r="J1558" s="42">
        <f>IF(AND(ISNUMBER(F1558),ISNUMBER(H1558),F1558&gt;=Inputs!$C$68),F1558*H1558*Inputs!$C$69,"")</f>
      </c>
    </row>
    <row r="1559" spans="2:10" ht="15" customHeight="1" x14ac:dyDescent="0.2">
      <c r="B1559" s="39">
        <f t="shared" si="12"/>
      </c>
      <c r="C1559" s="40">
        <f>IF(Inputs!$C$60,Inputs!$C$11+(B1559-Inputs!$C$69)/Inputs!$C$70,"")</f>
      </c>
      <c r="D1559" s="15"/>
      <c r="E1559" s="15"/>
      <c r="F1559" s="11">
        <f t="shared" si="13"/>
      </c>
      <c r="G1559" s="22" cm="1">
        <f t="array" ref="G1559">IF(AND(Inputs!$C$60,Inputs!$C$61),INDEX(Utility_Rates!$C$29:$F$52,HOUR(C1559)+Inputs!$C$69,MATCH(INDEX(Utility_Rates!$K$6:$K$17,MONTH(C1559))&amp;IF(WEEKDAY(C1559,Inputs!$C$76)&lt;=Inputs!$C$74," weekday"," weekend"),Utility_Rates!$C$28:$F$28,Inputs!$C$68)),"")</f>
      </c>
      <c r="H1559" s="34"/>
      <c r="I1559" s="42">
        <f>IF(AND(ISNUMBER(D1559),ISNUMBER(H1559)),D1559*H1559*Inputs!$C$69,"")</f>
      </c>
      <c r="J1559" s="42">
        <f>IF(AND(ISNUMBER(F1559),ISNUMBER(H1559),F1559&gt;=Inputs!$C$68),F1559*H1559*Inputs!$C$69,"")</f>
      </c>
    </row>
    <row r="1560" spans="2:10" ht="15" customHeight="1" x14ac:dyDescent="0.2">
      <c r="B1560" s="39">
        <f t="shared" si="12"/>
      </c>
      <c r="C1560" s="40">
        <f>IF(Inputs!$C$60,Inputs!$C$11+(B1560-Inputs!$C$69)/Inputs!$C$70,"")</f>
      </c>
      <c r="D1560" s="15"/>
      <c r="E1560" s="15"/>
      <c r="F1560" s="11">
        <f t="shared" si="13"/>
      </c>
      <c r="G1560" s="22" cm="1">
        <f t="array" ref="G1560">IF(AND(Inputs!$C$60,Inputs!$C$61),INDEX(Utility_Rates!$C$29:$F$52,HOUR(C1560)+Inputs!$C$69,MATCH(INDEX(Utility_Rates!$K$6:$K$17,MONTH(C1560))&amp;IF(WEEKDAY(C1560,Inputs!$C$76)&lt;=Inputs!$C$74," weekday"," weekend"),Utility_Rates!$C$28:$F$28,Inputs!$C$68)),"")</f>
      </c>
      <c r="H1560" s="34"/>
      <c r="I1560" s="42">
        <f>IF(AND(ISNUMBER(D1560),ISNUMBER(H1560)),D1560*H1560*Inputs!$C$69,"")</f>
      </c>
      <c r="J1560" s="42">
        <f>IF(AND(ISNUMBER(F1560),ISNUMBER(H1560),F1560&gt;=Inputs!$C$68),F1560*H1560*Inputs!$C$69,"")</f>
      </c>
    </row>
    <row r="1561" spans="2:10" ht="15" customHeight="1" x14ac:dyDescent="0.2">
      <c r="B1561" s="39">
        <f t="shared" si="12"/>
      </c>
      <c r="C1561" s="40">
        <f>IF(Inputs!$C$60,Inputs!$C$11+(B1561-Inputs!$C$69)/Inputs!$C$70,"")</f>
      </c>
      <c r="D1561" s="15"/>
      <c r="E1561" s="15"/>
      <c r="F1561" s="11">
        <f t="shared" si="13"/>
      </c>
      <c r="G1561" s="22" cm="1">
        <f t="array" ref="G1561">IF(AND(Inputs!$C$60,Inputs!$C$61),INDEX(Utility_Rates!$C$29:$F$52,HOUR(C1561)+Inputs!$C$69,MATCH(INDEX(Utility_Rates!$K$6:$K$17,MONTH(C1561))&amp;IF(WEEKDAY(C1561,Inputs!$C$76)&lt;=Inputs!$C$74," weekday"," weekend"),Utility_Rates!$C$28:$F$28,Inputs!$C$68)),"")</f>
      </c>
      <c r="H1561" s="34"/>
      <c r="I1561" s="42">
        <f>IF(AND(ISNUMBER(D1561),ISNUMBER(H1561)),D1561*H1561*Inputs!$C$69,"")</f>
      </c>
      <c r="J1561" s="42">
        <f>IF(AND(ISNUMBER(F1561),ISNUMBER(H1561),F1561&gt;=Inputs!$C$68),F1561*H1561*Inputs!$C$69,"")</f>
      </c>
    </row>
    <row r="1562" spans="2:10" ht="15" customHeight="1" x14ac:dyDescent="0.2">
      <c r="B1562" s="39">
        <f t="shared" si="12"/>
      </c>
      <c r="C1562" s="40">
        <f>IF(Inputs!$C$60,Inputs!$C$11+(B1562-Inputs!$C$69)/Inputs!$C$70,"")</f>
      </c>
      <c r="D1562" s="15"/>
      <c r="E1562" s="15"/>
      <c r="F1562" s="11">
        <f t="shared" si="13"/>
      </c>
      <c r="G1562" s="22" cm="1">
        <f t="array" ref="G1562">IF(AND(Inputs!$C$60,Inputs!$C$61),INDEX(Utility_Rates!$C$29:$F$52,HOUR(C1562)+Inputs!$C$69,MATCH(INDEX(Utility_Rates!$K$6:$K$17,MONTH(C1562))&amp;IF(WEEKDAY(C1562,Inputs!$C$76)&lt;=Inputs!$C$74," weekday"," weekend"),Utility_Rates!$C$28:$F$28,Inputs!$C$68)),"")</f>
      </c>
      <c r="H1562" s="34"/>
      <c r="I1562" s="42">
        <f>IF(AND(ISNUMBER(D1562),ISNUMBER(H1562)),D1562*H1562*Inputs!$C$69,"")</f>
      </c>
      <c r="J1562" s="42">
        <f>IF(AND(ISNUMBER(F1562),ISNUMBER(H1562),F1562&gt;=Inputs!$C$68),F1562*H1562*Inputs!$C$69,"")</f>
      </c>
    </row>
    <row r="1563" spans="2:10" ht="15" customHeight="1" x14ac:dyDescent="0.2">
      <c r="B1563" s="39">
        <f t="shared" si="12"/>
      </c>
      <c r="C1563" s="40">
        <f>IF(Inputs!$C$60,Inputs!$C$11+(B1563-Inputs!$C$69)/Inputs!$C$70,"")</f>
      </c>
      <c r="D1563" s="15"/>
      <c r="E1563" s="15"/>
      <c r="F1563" s="11">
        <f t="shared" si="13"/>
      </c>
      <c r="G1563" s="22" cm="1">
        <f t="array" ref="G1563">IF(AND(Inputs!$C$60,Inputs!$C$61),INDEX(Utility_Rates!$C$29:$F$52,HOUR(C1563)+Inputs!$C$69,MATCH(INDEX(Utility_Rates!$K$6:$K$17,MONTH(C1563))&amp;IF(WEEKDAY(C1563,Inputs!$C$76)&lt;=Inputs!$C$74," weekday"," weekend"),Utility_Rates!$C$28:$F$28,Inputs!$C$68)),"")</f>
      </c>
      <c r="H1563" s="34"/>
      <c r="I1563" s="42">
        <f>IF(AND(ISNUMBER(D1563),ISNUMBER(H1563)),D1563*H1563*Inputs!$C$69,"")</f>
      </c>
      <c r="J1563" s="42">
        <f>IF(AND(ISNUMBER(F1563),ISNUMBER(H1563),F1563&gt;=Inputs!$C$68),F1563*H1563*Inputs!$C$69,"")</f>
      </c>
    </row>
    <row r="1564" spans="2:10" ht="15" customHeight="1" x14ac:dyDescent="0.2">
      <c r="B1564" s="39">
        <f t="shared" si="12"/>
      </c>
      <c r="C1564" s="40">
        <f>IF(Inputs!$C$60,Inputs!$C$11+(B1564-Inputs!$C$69)/Inputs!$C$70,"")</f>
      </c>
      <c r="D1564" s="15"/>
      <c r="E1564" s="15"/>
      <c r="F1564" s="11">
        <f t="shared" si="13"/>
      </c>
      <c r="G1564" s="22" cm="1">
        <f t="array" ref="G1564">IF(AND(Inputs!$C$60,Inputs!$C$61),INDEX(Utility_Rates!$C$29:$F$52,HOUR(C1564)+Inputs!$C$69,MATCH(INDEX(Utility_Rates!$K$6:$K$17,MONTH(C1564))&amp;IF(WEEKDAY(C1564,Inputs!$C$76)&lt;=Inputs!$C$74," weekday"," weekend"),Utility_Rates!$C$28:$F$28,Inputs!$C$68)),"")</f>
      </c>
      <c r="H1564" s="34"/>
      <c r="I1564" s="42">
        <f>IF(AND(ISNUMBER(D1564),ISNUMBER(H1564)),D1564*H1564*Inputs!$C$69,"")</f>
      </c>
      <c r="J1564" s="42">
        <f>IF(AND(ISNUMBER(F1564),ISNUMBER(H1564),F1564&gt;=Inputs!$C$68),F1564*H1564*Inputs!$C$69,"")</f>
      </c>
    </row>
    <row r="1565" spans="2:10" ht="15" customHeight="1" x14ac:dyDescent="0.2">
      <c r="B1565" s="39">
        <f t="shared" si="12"/>
      </c>
      <c r="C1565" s="40">
        <f>IF(Inputs!$C$60,Inputs!$C$11+(B1565-Inputs!$C$69)/Inputs!$C$70,"")</f>
      </c>
      <c r="D1565" s="15"/>
      <c r="E1565" s="15"/>
      <c r="F1565" s="11">
        <f t="shared" si="13"/>
      </c>
      <c r="G1565" s="22" cm="1">
        <f t="array" ref="G1565">IF(AND(Inputs!$C$60,Inputs!$C$61),INDEX(Utility_Rates!$C$29:$F$52,HOUR(C1565)+Inputs!$C$69,MATCH(INDEX(Utility_Rates!$K$6:$K$17,MONTH(C1565))&amp;IF(WEEKDAY(C1565,Inputs!$C$76)&lt;=Inputs!$C$74," weekday"," weekend"),Utility_Rates!$C$28:$F$28,Inputs!$C$68)),"")</f>
      </c>
      <c r="H1565" s="34"/>
      <c r="I1565" s="42">
        <f>IF(AND(ISNUMBER(D1565),ISNUMBER(H1565)),D1565*H1565*Inputs!$C$69,"")</f>
      </c>
      <c r="J1565" s="42">
        <f>IF(AND(ISNUMBER(F1565),ISNUMBER(H1565),F1565&gt;=Inputs!$C$68),F1565*H1565*Inputs!$C$69,"")</f>
      </c>
    </row>
    <row r="1566" spans="2:10" ht="15" customHeight="1" x14ac:dyDescent="0.2">
      <c r="B1566" s="39">
        <f t="shared" si="12"/>
      </c>
      <c r="C1566" s="40">
        <f>IF(Inputs!$C$60,Inputs!$C$11+(B1566-Inputs!$C$69)/Inputs!$C$70,"")</f>
      </c>
      <c r="D1566" s="15"/>
      <c r="E1566" s="15"/>
      <c r="F1566" s="11">
        <f t="shared" si="13"/>
      </c>
      <c r="G1566" s="22" cm="1">
        <f t="array" ref="G1566">IF(AND(Inputs!$C$60,Inputs!$C$61),INDEX(Utility_Rates!$C$29:$F$52,HOUR(C1566)+Inputs!$C$69,MATCH(INDEX(Utility_Rates!$K$6:$K$17,MONTH(C1566))&amp;IF(WEEKDAY(C1566,Inputs!$C$76)&lt;=Inputs!$C$74," weekday"," weekend"),Utility_Rates!$C$28:$F$28,Inputs!$C$68)),"")</f>
      </c>
      <c r="H1566" s="34"/>
      <c r="I1566" s="42">
        <f>IF(AND(ISNUMBER(D1566),ISNUMBER(H1566)),D1566*H1566*Inputs!$C$69,"")</f>
      </c>
      <c r="J1566" s="42">
        <f>IF(AND(ISNUMBER(F1566),ISNUMBER(H1566),F1566&gt;=Inputs!$C$68),F1566*H1566*Inputs!$C$69,"")</f>
      </c>
    </row>
    <row r="1567" spans="2:10" ht="15" customHeight="1" x14ac:dyDescent="0.2">
      <c r="B1567" s="39">
        <f t="shared" si="12"/>
      </c>
      <c r="C1567" s="40">
        <f>IF(Inputs!$C$60,Inputs!$C$11+(B1567-Inputs!$C$69)/Inputs!$C$70,"")</f>
      </c>
      <c r="D1567" s="15"/>
      <c r="E1567" s="15"/>
      <c r="F1567" s="11">
        <f t="shared" si="13"/>
      </c>
      <c r="G1567" s="22" cm="1">
        <f t="array" ref="G1567">IF(AND(Inputs!$C$60,Inputs!$C$61),INDEX(Utility_Rates!$C$29:$F$52,HOUR(C1567)+Inputs!$C$69,MATCH(INDEX(Utility_Rates!$K$6:$K$17,MONTH(C1567))&amp;IF(WEEKDAY(C1567,Inputs!$C$76)&lt;=Inputs!$C$74," weekday"," weekend"),Utility_Rates!$C$28:$F$28,Inputs!$C$68)),"")</f>
      </c>
      <c r="H1567" s="34"/>
      <c r="I1567" s="42">
        <f>IF(AND(ISNUMBER(D1567),ISNUMBER(H1567)),D1567*H1567*Inputs!$C$69,"")</f>
      </c>
      <c r="J1567" s="42">
        <f>IF(AND(ISNUMBER(F1567),ISNUMBER(H1567),F1567&gt;=Inputs!$C$68),F1567*H1567*Inputs!$C$69,"")</f>
      </c>
    </row>
    <row r="1568" spans="2:10" ht="15" customHeight="1" x14ac:dyDescent="0.2">
      <c r="B1568" s="39">
        <f t="shared" si="12"/>
      </c>
      <c r="C1568" s="40">
        <f>IF(Inputs!$C$60,Inputs!$C$11+(B1568-Inputs!$C$69)/Inputs!$C$70,"")</f>
      </c>
      <c r="D1568" s="15"/>
      <c r="E1568" s="15"/>
      <c r="F1568" s="11">
        <f t="shared" si="13"/>
      </c>
      <c r="G1568" s="22" cm="1">
        <f t="array" ref="G1568">IF(AND(Inputs!$C$60,Inputs!$C$61),INDEX(Utility_Rates!$C$29:$F$52,HOUR(C1568)+Inputs!$C$69,MATCH(INDEX(Utility_Rates!$K$6:$K$17,MONTH(C1568))&amp;IF(WEEKDAY(C1568,Inputs!$C$76)&lt;=Inputs!$C$74," weekday"," weekend"),Utility_Rates!$C$28:$F$28,Inputs!$C$68)),"")</f>
      </c>
      <c r="H1568" s="34"/>
      <c r="I1568" s="42">
        <f>IF(AND(ISNUMBER(D1568),ISNUMBER(H1568)),D1568*H1568*Inputs!$C$69,"")</f>
      </c>
      <c r="J1568" s="42">
        <f>IF(AND(ISNUMBER(F1568),ISNUMBER(H1568),F1568&gt;=Inputs!$C$68),F1568*H1568*Inputs!$C$69,"")</f>
      </c>
    </row>
    <row r="1569" spans="2:10" ht="15" customHeight="1" x14ac:dyDescent="0.2">
      <c r="B1569" s="39">
        <f t="shared" si="12"/>
      </c>
      <c r="C1569" s="40">
        <f>IF(Inputs!$C$60,Inputs!$C$11+(B1569-Inputs!$C$69)/Inputs!$C$70,"")</f>
      </c>
      <c r="D1569" s="15"/>
      <c r="E1569" s="15"/>
      <c r="F1569" s="11">
        <f t="shared" si="13"/>
      </c>
      <c r="G1569" s="22" cm="1">
        <f t="array" ref="G1569">IF(AND(Inputs!$C$60,Inputs!$C$61),INDEX(Utility_Rates!$C$29:$F$52,HOUR(C1569)+Inputs!$C$69,MATCH(INDEX(Utility_Rates!$K$6:$K$17,MONTH(C1569))&amp;IF(WEEKDAY(C1569,Inputs!$C$76)&lt;=Inputs!$C$74," weekday"," weekend"),Utility_Rates!$C$28:$F$28,Inputs!$C$68)),"")</f>
      </c>
      <c r="H1569" s="34"/>
      <c r="I1569" s="42">
        <f>IF(AND(ISNUMBER(D1569),ISNUMBER(H1569)),D1569*H1569*Inputs!$C$69,"")</f>
      </c>
      <c r="J1569" s="42">
        <f>IF(AND(ISNUMBER(F1569),ISNUMBER(H1569),F1569&gt;=Inputs!$C$68),F1569*H1569*Inputs!$C$69,"")</f>
      </c>
    </row>
    <row r="1570" spans="2:10" ht="15" customHeight="1" x14ac:dyDescent="0.2">
      <c r="B1570" s="39">
        <f t="shared" si="12"/>
      </c>
      <c r="C1570" s="40">
        <f>IF(Inputs!$C$60,Inputs!$C$11+(B1570-Inputs!$C$69)/Inputs!$C$70,"")</f>
      </c>
      <c r="D1570" s="15"/>
      <c r="E1570" s="15"/>
      <c r="F1570" s="11">
        <f t="shared" si="13"/>
      </c>
      <c r="G1570" s="22" cm="1">
        <f t="array" ref="G1570">IF(AND(Inputs!$C$60,Inputs!$C$61),INDEX(Utility_Rates!$C$29:$F$52,HOUR(C1570)+Inputs!$C$69,MATCH(INDEX(Utility_Rates!$K$6:$K$17,MONTH(C1570))&amp;IF(WEEKDAY(C1570,Inputs!$C$76)&lt;=Inputs!$C$74," weekday"," weekend"),Utility_Rates!$C$28:$F$28,Inputs!$C$68)),"")</f>
      </c>
      <c r="H1570" s="34"/>
      <c r="I1570" s="42">
        <f>IF(AND(ISNUMBER(D1570),ISNUMBER(H1570)),D1570*H1570*Inputs!$C$69,"")</f>
      </c>
      <c r="J1570" s="42">
        <f>IF(AND(ISNUMBER(F1570),ISNUMBER(H1570),F1570&gt;=Inputs!$C$68),F1570*H1570*Inputs!$C$69,"")</f>
      </c>
    </row>
    <row r="1571" spans="2:10" ht="15" customHeight="1" x14ac:dyDescent="0.2">
      <c r="B1571" s="39">
        <f t="shared" si="12"/>
      </c>
      <c r="C1571" s="40">
        <f>IF(Inputs!$C$60,Inputs!$C$11+(B1571-Inputs!$C$69)/Inputs!$C$70,"")</f>
      </c>
      <c r="D1571" s="15"/>
      <c r="E1571" s="15"/>
      <c r="F1571" s="11">
        <f t="shared" si="13"/>
      </c>
      <c r="G1571" s="22" cm="1">
        <f t="array" ref="G1571">IF(AND(Inputs!$C$60,Inputs!$C$61),INDEX(Utility_Rates!$C$29:$F$52,HOUR(C1571)+Inputs!$C$69,MATCH(INDEX(Utility_Rates!$K$6:$K$17,MONTH(C1571))&amp;IF(WEEKDAY(C1571,Inputs!$C$76)&lt;=Inputs!$C$74," weekday"," weekend"),Utility_Rates!$C$28:$F$28,Inputs!$C$68)),"")</f>
      </c>
      <c r="H1571" s="34"/>
      <c r="I1571" s="42">
        <f>IF(AND(ISNUMBER(D1571),ISNUMBER(H1571)),D1571*H1571*Inputs!$C$69,"")</f>
      </c>
      <c r="J1571" s="42">
        <f>IF(AND(ISNUMBER(F1571),ISNUMBER(H1571),F1571&gt;=Inputs!$C$68),F1571*H1571*Inputs!$C$69,"")</f>
      </c>
    </row>
    <row r="1572" spans="2:10" ht="15" customHeight="1" x14ac:dyDescent="0.2">
      <c r="B1572" s="39">
        <f t="shared" si="12"/>
      </c>
      <c r="C1572" s="40">
        <f>IF(Inputs!$C$60,Inputs!$C$11+(B1572-Inputs!$C$69)/Inputs!$C$70,"")</f>
      </c>
      <c r="D1572" s="15"/>
      <c r="E1572" s="15"/>
      <c r="F1572" s="11">
        <f t="shared" si="13"/>
      </c>
      <c r="G1572" s="22" cm="1">
        <f t="array" ref="G1572">IF(AND(Inputs!$C$60,Inputs!$C$61),INDEX(Utility_Rates!$C$29:$F$52,HOUR(C1572)+Inputs!$C$69,MATCH(INDEX(Utility_Rates!$K$6:$K$17,MONTH(C1572))&amp;IF(WEEKDAY(C1572,Inputs!$C$76)&lt;=Inputs!$C$74," weekday"," weekend"),Utility_Rates!$C$28:$F$28,Inputs!$C$68)),"")</f>
      </c>
      <c r="H1572" s="34"/>
      <c r="I1572" s="42">
        <f>IF(AND(ISNUMBER(D1572),ISNUMBER(H1572)),D1572*H1572*Inputs!$C$69,"")</f>
      </c>
      <c r="J1572" s="42">
        <f>IF(AND(ISNUMBER(F1572),ISNUMBER(H1572),F1572&gt;=Inputs!$C$68),F1572*H1572*Inputs!$C$69,"")</f>
      </c>
    </row>
    <row r="1573" spans="2:10" ht="15" customHeight="1" x14ac:dyDescent="0.2">
      <c r="B1573" s="39">
        <f t="shared" si="12"/>
      </c>
      <c r="C1573" s="40">
        <f>IF(Inputs!$C$60,Inputs!$C$11+(B1573-Inputs!$C$69)/Inputs!$C$70,"")</f>
      </c>
      <c r="D1573" s="15"/>
      <c r="E1573" s="15"/>
      <c r="F1573" s="11">
        <f t="shared" si="13"/>
      </c>
      <c r="G1573" s="22" cm="1">
        <f t="array" ref="G1573">IF(AND(Inputs!$C$60,Inputs!$C$61),INDEX(Utility_Rates!$C$29:$F$52,HOUR(C1573)+Inputs!$C$69,MATCH(INDEX(Utility_Rates!$K$6:$K$17,MONTH(C1573))&amp;IF(WEEKDAY(C1573,Inputs!$C$76)&lt;=Inputs!$C$74," weekday"," weekend"),Utility_Rates!$C$28:$F$28,Inputs!$C$68)),"")</f>
      </c>
      <c r="H1573" s="34"/>
      <c r="I1573" s="42">
        <f>IF(AND(ISNUMBER(D1573),ISNUMBER(H1573)),D1573*H1573*Inputs!$C$69,"")</f>
      </c>
      <c r="J1573" s="42">
        <f>IF(AND(ISNUMBER(F1573),ISNUMBER(H1573),F1573&gt;=Inputs!$C$68),F1573*H1573*Inputs!$C$69,"")</f>
      </c>
    </row>
    <row r="1574" spans="2:10" ht="15" customHeight="1" x14ac:dyDescent="0.2">
      <c r="B1574" s="39">
        <f t="shared" si="12"/>
      </c>
      <c r="C1574" s="40">
        <f>IF(Inputs!$C$60,Inputs!$C$11+(B1574-Inputs!$C$69)/Inputs!$C$70,"")</f>
      </c>
      <c r="D1574" s="15"/>
      <c r="E1574" s="15"/>
      <c r="F1574" s="11">
        <f t="shared" si="13"/>
      </c>
      <c r="G1574" s="22" cm="1">
        <f t="array" ref="G1574">IF(AND(Inputs!$C$60,Inputs!$C$61),INDEX(Utility_Rates!$C$29:$F$52,HOUR(C1574)+Inputs!$C$69,MATCH(INDEX(Utility_Rates!$K$6:$K$17,MONTH(C1574))&amp;IF(WEEKDAY(C1574,Inputs!$C$76)&lt;=Inputs!$C$74," weekday"," weekend"),Utility_Rates!$C$28:$F$28,Inputs!$C$68)),"")</f>
      </c>
      <c r="H1574" s="34"/>
      <c r="I1574" s="42">
        <f>IF(AND(ISNUMBER(D1574),ISNUMBER(H1574)),D1574*H1574*Inputs!$C$69,"")</f>
      </c>
      <c r="J1574" s="42">
        <f>IF(AND(ISNUMBER(F1574),ISNUMBER(H1574),F1574&gt;=Inputs!$C$68),F1574*H1574*Inputs!$C$69,"")</f>
      </c>
    </row>
    <row r="1575" spans="2:10" ht="15" customHeight="1" x14ac:dyDescent="0.2">
      <c r="B1575" s="39">
        <f t="shared" si="12"/>
      </c>
      <c r="C1575" s="40">
        <f>IF(Inputs!$C$60,Inputs!$C$11+(B1575-Inputs!$C$69)/Inputs!$C$70,"")</f>
      </c>
      <c r="D1575" s="15"/>
      <c r="E1575" s="15"/>
      <c r="F1575" s="11">
        <f t="shared" si="13"/>
      </c>
      <c r="G1575" s="22" cm="1">
        <f t="array" ref="G1575">IF(AND(Inputs!$C$60,Inputs!$C$61),INDEX(Utility_Rates!$C$29:$F$52,HOUR(C1575)+Inputs!$C$69,MATCH(INDEX(Utility_Rates!$K$6:$K$17,MONTH(C1575))&amp;IF(WEEKDAY(C1575,Inputs!$C$76)&lt;=Inputs!$C$74," weekday"," weekend"),Utility_Rates!$C$28:$F$28,Inputs!$C$68)),"")</f>
      </c>
      <c r="H1575" s="34"/>
      <c r="I1575" s="42">
        <f>IF(AND(ISNUMBER(D1575),ISNUMBER(H1575)),D1575*H1575*Inputs!$C$69,"")</f>
      </c>
      <c r="J1575" s="42">
        <f>IF(AND(ISNUMBER(F1575),ISNUMBER(H1575),F1575&gt;=Inputs!$C$68),F1575*H1575*Inputs!$C$69,"")</f>
      </c>
    </row>
    <row r="1576" spans="2:10" ht="15" customHeight="1" x14ac:dyDescent="0.2">
      <c r="B1576" s="39">
        <f t="shared" si="12"/>
      </c>
      <c r="C1576" s="40">
        <f>IF(Inputs!$C$60,Inputs!$C$11+(B1576-Inputs!$C$69)/Inputs!$C$70,"")</f>
      </c>
      <c r="D1576" s="15"/>
      <c r="E1576" s="15"/>
      <c r="F1576" s="11">
        <f t="shared" si="13"/>
      </c>
      <c r="G1576" s="22" cm="1">
        <f t="array" ref="G1576">IF(AND(Inputs!$C$60,Inputs!$C$61),INDEX(Utility_Rates!$C$29:$F$52,HOUR(C1576)+Inputs!$C$69,MATCH(INDEX(Utility_Rates!$K$6:$K$17,MONTH(C1576))&amp;IF(WEEKDAY(C1576,Inputs!$C$76)&lt;=Inputs!$C$74," weekday"," weekend"),Utility_Rates!$C$28:$F$28,Inputs!$C$68)),"")</f>
      </c>
      <c r="H1576" s="34"/>
      <c r="I1576" s="42">
        <f>IF(AND(ISNUMBER(D1576),ISNUMBER(H1576)),D1576*H1576*Inputs!$C$69,"")</f>
      </c>
      <c r="J1576" s="42">
        <f>IF(AND(ISNUMBER(F1576),ISNUMBER(H1576),F1576&gt;=Inputs!$C$68),F1576*H1576*Inputs!$C$69,"")</f>
      </c>
    </row>
    <row r="1577" spans="2:10" ht="15" customHeight="1" x14ac:dyDescent="0.2">
      <c r="B1577" s="39">
        <f t="shared" si="12"/>
      </c>
      <c r="C1577" s="40">
        <f>IF(Inputs!$C$60,Inputs!$C$11+(B1577-Inputs!$C$69)/Inputs!$C$70,"")</f>
      </c>
      <c r="D1577" s="15"/>
      <c r="E1577" s="15"/>
      <c r="F1577" s="11">
        <f t="shared" si="13"/>
      </c>
      <c r="G1577" s="22" cm="1">
        <f t="array" ref="G1577">IF(AND(Inputs!$C$60,Inputs!$C$61),INDEX(Utility_Rates!$C$29:$F$52,HOUR(C1577)+Inputs!$C$69,MATCH(INDEX(Utility_Rates!$K$6:$K$17,MONTH(C1577))&amp;IF(WEEKDAY(C1577,Inputs!$C$76)&lt;=Inputs!$C$74," weekday"," weekend"),Utility_Rates!$C$28:$F$28,Inputs!$C$68)),"")</f>
      </c>
      <c r="H1577" s="34"/>
      <c r="I1577" s="42">
        <f>IF(AND(ISNUMBER(D1577),ISNUMBER(H1577)),D1577*H1577*Inputs!$C$69,"")</f>
      </c>
      <c r="J1577" s="42">
        <f>IF(AND(ISNUMBER(F1577),ISNUMBER(H1577),F1577&gt;=Inputs!$C$68),F1577*H1577*Inputs!$C$69,"")</f>
      </c>
    </row>
    <row r="1578" spans="2:10" ht="15" customHeight="1" x14ac:dyDescent="0.2">
      <c r="B1578" s="39">
        <f t="shared" si="12"/>
      </c>
      <c r="C1578" s="40">
        <f>IF(Inputs!$C$60,Inputs!$C$11+(B1578-Inputs!$C$69)/Inputs!$C$70,"")</f>
      </c>
      <c r="D1578" s="15"/>
      <c r="E1578" s="15"/>
      <c r="F1578" s="11">
        <f t="shared" si="13"/>
      </c>
      <c r="G1578" s="22" cm="1">
        <f t="array" ref="G1578">IF(AND(Inputs!$C$60,Inputs!$C$61),INDEX(Utility_Rates!$C$29:$F$52,HOUR(C1578)+Inputs!$C$69,MATCH(INDEX(Utility_Rates!$K$6:$K$17,MONTH(C1578))&amp;IF(WEEKDAY(C1578,Inputs!$C$76)&lt;=Inputs!$C$74," weekday"," weekend"),Utility_Rates!$C$28:$F$28,Inputs!$C$68)),"")</f>
      </c>
      <c r="H1578" s="34"/>
      <c r="I1578" s="42">
        <f>IF(AND(ISNUMBER(D1578),ISNUMBER(H1578)),D1578*H1578*Inputs!$C$69,"")</f>
      </c>
      <c r="J1578" s="42">
        <f>IF(AND(ISNUMBER(F1578),ISNUMBER(H1578),F1578&gt;=Inputs!$C$68),F1578*H1578*Inputs!$C$69,"")</f>
      </c>
    </row>
    <row r="1579" spans="2:10" ht="15" customHeight="1" x14ac:dyDescent="0.2">
      <c r="B1579" s="39">
        <f t="shared" si="12"/>
      </c>
      <c r="C1579" s="40">
        <f>IF(Inputs!$C$60,Inputs!$C$11+(B1579-Inputs!$C$69)/Inputs!$C$70,"")</f>
      </c>
      <c r="D1579" s="15"/>
      <c r="E1579" s="15"/>
      <c r="F1579" s="11">
        <f t="shared" si="13"/>
      </c>
      <c r="G1579" s="22" cm="1">
        <f t="array" ref="G1579">IF(AND(Inputs!$C$60,Inputs!$C$61),INDEX(Utility_Rates!$C$29:$F$52,HOUR(C1579)+Inputs!$C$69,MATCH(INDEX(Utility_Rates!$K$6:$K$17,MONTH(C1579))&amp;IF(WEEKDAY(C1579,Inputs!$C$76)&lt;=Inputs!$C$74," weekday"," weekend"),Utility_Rates!$C$28:$F$28,Inputs!$C$68)),"")</f>
      </c>
      <c r="H1579" s="34"/>
      <c r="I1579" s="42">
        <f>IF(AND(ISNUMBER(D1579),ISNUMBER(H1579)),D1579*H1579*Inputs!$C$69,"")</f>
      </c>
      <c r="J1579" s="42">
        <f>IF(AND(ISNUMBER(F1579),ISNUMBER(H1579),F1579&gt;=Inputs!$C$68),F1579*H1579*Inputs!$C$69,"")</f>
      </c>
    </row>
    <row r="1580" spans="2:10" ht="15" customHeight="1" x14ac:dyDescent="0.2">
      <c r="B1580" s="39">
        <f t="shared" si="12"/>
      </c>
      <c r="C1580" s="40">
        <f>IF(Inputs!$C$60,Inputs!$C$11+(B1580-Inputs!$C$69)/Inputs!$C$70,"")</f>
      </c>
      <c r="D1580" s="15"/>
      <c r="E1580" s="15"/>
      <c r="F1580" s="11">
        <f t="shared" si="13"/>
      </c>
      <c r="G1580" s="22" cm="1">
        <f t="array" ref="G1580">IF(AND(Inputs!$C$60,Inputs!$C$61),INDEX(Utility_Rates!$C$29:$F$52,HOUR(C1580)+Inputs!$C$69,MATCH(INDEX(Utility_Rates!$K$6:$K$17,MONTH(C1580))&amp;IF(WEEKDAY(C1580,Inputs!$C$76)&lt;=Inputs!$C$74," weekday"," weekend"),Utility_Rates!$C$28:$F$28,Inputs!$C$68)),"")</f>
      </c>
      <c r="H1580" s="34"/>
      <c r="I1580" s="42">
        <f>IF(AND(ISNUMBER(D1580),ISNUMBER(H1580)),D1580*H1580*Inputs!$C$69,"")</f>
      </c>
      <c r="J1580" s="42">
        <f>IF(AND(ISNUMBER(F1580),ISNUMBER(H1580),F1580&gt;=Inputs!$C$68),F1580*H1580*Inputs!$C$69,"")</f>
      </c>
    </row>
    <row r="1581" spans="2:10" ht="15" customHeight="1" x14ac:dyDescent="0.2">
      <c r="B1581" s="39">
        <f t="shared" si="12"/>
      </c>
      <c r="C1581" s="40">
        <f>IF(Inputs!$C$60,Inputs!$C$11+(B1581-Inputs!$C$69)/Inputs!$C$70,"")</f>
      </c>
      <c r="D1581" s="15"/>
      <c r="E1581" s="15"/>
      <c r="F1581" s="11">
        <f t="shared" si="13"/>
      </c>
      <c r="G1581" s="22" cm="1">
        <f t="array" ref="G1581">IF(AND(Inputs!$C$60,Inputs!$C$61),INDEX(Utility_Rates!$C$29:$F$52,HOUR(C1581)+Inputs!$C$69,MATCH(INDEX(Utility_Rates!$K$6:$K$17,MONTH(C1581))&amp;IF(WEEKDAY(C1581,Inputs!$C$76)&lt;=Inputs!$C$74," weekday"," weekend"),Utility_Rates!$C$28:$F$28,Inputs!$C$68)),"")</f>
      </c>
      <c r="H1581" s="34"/>
      <c r="I1581" s="42">
        <f>IF(AND(ISNUMBER(D1581),ISNUMBER(H1581)),D1581*H1581*Inputs!$C$69,"")</f>
      </c>
      <c r="J1581" s="42">
        <f>IF(AND(ISNUMBER(F1581),ISNUMBER(H1581),F1581&gt;=Inputs!$C$68),F1581*H1581*Inputs!$C$69,"")</f>
      </c>
    </row>
    <row r="1582" spans="2:10" ht="15" customHeight="1" x14ac:dyDescent="0.2">
      <c r="B1582" s="39">
        <f t="shared" si="12"/>
      </c>
      <c r="C1582" s="40">
        <f>IF(Inputs!$C$60,Inputs!$C$11+(B1582-Inputs!$C$69)/Inputs!$C$70,"")</f>
      </c>
      <c r="D1582" s="15"/>
      <c r="E1582" s="15"/>
      <c r="F1582" s="11">
        <f t="shared" si="13"/>
      </c>
      <c r="G1582" s="22" cm="1">
        <f t="array" ref="G1582">IF(AND(Inputs!$C$60,Inputs!$C$61),INDEX(Utility_Rates!$C$29:$F$52,HOUR(C1582)+Inputs!$C$69,MATCH(INDEX(Utility_Rates!$K$6:$K$17,MONTH(C1582))&amp;IF(WEEKDAY(C1582,Inputs!$C$76)&lt;=Inputs!$C$74," weekday"," weekend"),Utility_Rates!$C$28:$F$28,Inputs!$C$68)),"")</f>
      </c>
      <c r="H1582" s="34"/>
      <c r="I1582" s="42">
        <f>IF(AND(ISNUMBER(D1582),ISNUMBER(H1582)),D1582*H1582*Inputs!$C$69,"")</f>
      </c>
      <c r="J1582" s="42">
        <f>IF(AND(ISNUMBER(F1582),ISNUMBER(H1582),F1582&gt;=Inputs!$C$68),F1582*H1582*Inputs!$C$69,"")</f>
      </c>
    </row>
    <row r="1583" spans="2:10" ht="15" customHeight="1" x14ac:dyDescent="0.2">
      <c r="B1583" s="39">
        <f t="shared" si="12"/>
      </c>
      <c r="C1583" s="40">
        <f>IF(Inputs!$C$60,Inputs!$C$11+(B1583-Inputs!$C$69)/Inputs!$C$70,"")</f>
      </c>
      <c r="D1583" s="15"/>
      <c r="E1583" s="15"/>
      <c r="F1583" s="11">
        <f t="shared" si="13"/>
      </c>
      <c r="G1583" s="22" cm="1">
        <f t="array" ref="G1583">IF(AND(Inputs!$C$60,Inputs!$C$61),INDEX(Utility_Rates!$C$29:$F$52,HOUR(C1583)+Inputs!$C$69,MATCH(INDEX(Utility_Rates!$K$6:$K$17,MONTH(C1583))&amp;IF(WEEKDAY(C1583,Inputs!$C$76)&lt;=Inputs!$C$74," weekday"," weekend"),Utility_Rates!$C$28:$F$28,Inputs!$C$68)),"")</f>
      </c>
      <c r="H1583" s="34"/>
      <c r="I1583" s="42">
        <f>IF(AND(ISNUMBER(D1583),ISNUMBER(H1583)),D1583*H1583*Inputs!$C$69,"")</f>
      </c>
      <c r="J1583" s="42">
        <f>IF(AND(ISNUMBER(F1583),ISNUMBER(H1583),F1583&gt;=Inputs!$C$68),F1583*H1583*Inputs!$C$69,"")</f>
      </c>
    </row>
    <row r="1584" spans="2:10" ht="15" customHeight="1" x14ac:dyDescent="0.2">
      <c r="B1584" s="39">
        <f t="shared" si="12"/>
      </c>
      <c r="C1584" s="40">
        <f>IF(Inputs!$C$60,Inputs!$C$11+(B1584-Inputs!$C$69)/Inputs!$C$70,"")</f>
      </c>
      <c r="D1584" s="15"/>
      <c r="E1584" s="15"/>
      <c r="F1584" s="11">
        <f t="shared" si="13"/>
      </c>
      <c r="G1584" s="22" cm="1">
        <f t="array" ref="G1584">IF(AND(Inputs!$C$60,Inputs!$C$61),INDEX(Utility_Rates!$C$29:$F$52,HOUR(C1584)+Inputs!$C$69,MATCH(INDEX(Utility_Rates!$K$6:$K$17,MONTH(C1584))&amp;IF(WEEKDAY(C1584,Inputs!$C$76)&lt;=Inputs!$C$74," weekday"," weekend"),Utility_Rates!$C$28:$F$28,Inputs!$C$68)),"")</f>
      </c>
      <c r="H1584" s="34"/>
      <c r="I1584" s="42">
        <f>IF(AND(ISNUMBER(D1584),ISNUMBER(H1584)),D1584*H1584*Inputs!$C$69,"")</f>
      </c>
      <c r="J1584" s="42">
        <f>IF(AND(ISNUMBER(F1584),ISNUMBER(H1584),F1584&gt;=Inputs!$C$68),F1584*H1584*Inputs!$C$69,"")</f>
      </c>
    </row>
    <row r="1585" spans="2:10" ht="15" customHeight="1" x14ac:dyDescent="0.2">
      <c r="B1585" s="39">
        <f t="shared" si="12"/>
      </c>
      <c r="C1585" s="40">
        <f>IF(Inputs!$C$60,Inputs!$C$11+(B1585-Inputs!$C$69)/Inputs!$C$70,"")</f>
      </c>
      <c r="D1585" s="15"/>
      <c r="E1585" s="15"/>
      <c r="F1585" s="11">
        <f t="shared" si="13"/>
      </c>
      <c r="G1585" s="22" cm="1">
        <f t="array" ref="G1585">IF(AND(Inputs!$C$60,Inputs!$C$61),INDEX(Utility_Rates!$C$29:$F$52,HOUR(C1585)+Inputs!$C$69,MATCH(INDEX(Utility_Rates!$K$6:$K$17,MONTH(C1585))&amp;IF(WEEKDAY(C1585,Inputs!$C$76)&lt;=Inputs!$C$74," weekday"," weekend"),Utility_Rates!$C$28:$F$28,Inputs!$C$68)),"")</f>
      </c>
      <c r="H1585" s="34"/>
      <c r="I1585" s="42">
        <f>IF(AND(ISNUMBER(D1585),ISNUMBER(H1585)),D1585*H1585*Inputs!$C$69,"")</f>
      </c>
      <c r="J1585" s="42">
        <f>IF(AND(ISNUMBER(F1585),ISNUMBER(H1585),F1585&gt;=Inputs!$C$68),F1585*H1585*Inputs!$C$69,"")</f>
      </c>
    </row>
    <row r="1586" spans="2:10" ht="15" customHeight="1" x14ac:dyDescent="0.2">
      <c r="B1586" s="39">
        <f t="shared" si="12"/>
      </c>
      <c r="C1586" s="40">
        <f>IF(Inputs!$C$60,Inputs!$C$11+(B1586-Inputs!$C$69)/Inputs!$C$70,"")</f>
      </c>
      <c r="D1586" s="15"/>
      <c r="E1586" s="15"/>
      <c r="F1586" s="11">
        <f t="shared" si="13"/>
      </c>
      <c r="G1586" s="22" cm="1">
        <f t="array" ref="G1586">IF(AND(Inputs!$C$60,Inputs!$C$61),INDEX(Utility_Rates!$C$29:$F$52,HOUR(C1586)+Inputs!$C$69,MATCH(INDEX(Utility_Rates!$K$6:$K$17,MONTH(C1586))&amp;IF(WEEKDAY(C1586,Inputs!$C$76)&lt;=Inputs!$C$74," weekday"," weekend"),Utility_Rates!$C$28:$F$28,Inputs!$C$68)),"")</f>
      </c>
      <c r="H1586" s="34"/>
      <c r="I1586" s="42">
        <f>IF(AND(ISNUMBER(D1586),ISNUMBER(H1586)),D1586*H1586*Inputs!$C$69,"")</f>
      </c>
      <c r="J1586" s="42">
        <f>IF(AND(ISNUMBER(F1586),ISNUMBER(H1586),F1586&gt;=Inputs!$C$68),F1586*H1586*Inputs!$C$69,"")</f>
      </c>
    </row>
    <row r="1587" spans="2:10" ht="15" customHeight="1" x14ac:dyDescent="0.2">
      <c r="B1587" s="39">
        <f t="shared" si="12"/>
      </c>
      <c r="C1587" s="40">
        <f>IF(Inputs!$C$60,Inputs!$C$11+(B1587-Inputs!$C$69)/Inputs!$C$70,"")</f>
      </c>
      <c r="D1587" s="15"/>
      <c r="E1587" s="15"/>
      <c r="F1587" s="11">
        <f t="shared" si="13"/>
      </c>
      <c r="G1587" s="22" cm="1">
        <f t="array" ref="G1587">IF(AND(Inputs!$C$60,Inputs!$C$61),INDEX(Utility_Rates!$C$29:$F$52,HOUR(C1587)+Inputs!$C$69,MATCH(INDEX(Utility_Rates!$K$6:$K$17,MONTH(C1587))&amp;IF(WEEKDAY(C1587,Inputs!$C$76)&lt;=Inputs!$C$74," weekday"," weekend"),Utility_Rates!$C$28:$F$28,Inputs!$C$68)),"")</f>
      </c>
      <c r="H1587" s="34"/>
      <c r="I1587" s="42">
        <f>IF(AND(ISNUMBER(D1587),ISNUMBER(H1587)),D1587*H1587*Inputs!$C$69,"")</f>
      </c>
      <c r="J1587" s="42">
        <f>IF(AND(ISNUMBER(F1587),ISNUMBER(H1587),F1587&gt;=Inputs!$C$68),F1587*H1587*Inputs!$C$69,"")</f>
      </c>
    </row>
    <row r="1588" spans="2:10" ht="15" customHeight="1" x14ac:dyDescent="0.2">
      <c r="B1588" s="39">
        <f t="shared" si="12"/>
      </c>
      <c r="C1588" s="40">
        <f>IF(Inputs!$C$60,Inputs!$C$11+(B1588-Inputs!$C$69)/Inputs!$C$70,"")</f>
      </c>
      <c r="D1588" s="15"/>
      <c r="E1588" s="15"/>
      <c r="F1588" s="11">
        <f t="shared" si="13"/>
      </c>
      <c r="G1588" s="22" cm="1">
        <f t="array" ref="G1588">IF(AND(Inputs!$C$60,Inputs!$C$61),INDEX(Utility_Rates!$C$29:$F$52,HOUR(C1588)+Inputs!$C$69,MATCH(INDEX(Utility_Rates!$K$6:$K$17,MONTH(C1588))&amp;IF(WEEKDAY(C1588,Inputs!$C$76)&lt;=Inputs!$C$74," weekday"," weekend"),Utility_Rates!$C$28:$F$28,Inputs!$C$68)),"")</f>
      </c>
      <c r="H1588" s="34"/>
      <c r="I1588" s="42">
        <f>IF(AND(ISNUMBER(D1588),ISNUMBER(H1588)),D1588*H1588*Inputs!$C$69,"")</f>
      </c>
      <c r="J1588" s="42">
        <f>IF(AND(ISNUMBER(F1588),ISNUMBER(H1588),F1588&gt;=Inputs!$C$68),F1588*H1588*Inputs!$C$69,"")</f>
      </c>
    </row>
    <row r="1589" spans="2:10" ht="15" customHeight="1" x14ac:dyDescent="0.2">
      <c r="B1589" s="39">
        <f t="shared" si="12"/>
      </c>
      <c r="C1589" s="40">
        <f>IF(Inputs!$C$60,Inputs!$C$11+(B1589-Inputs!$C$69)/Inputs!$C$70,"")</f>
      </c>
      <c r="D1589" s="15"/>
      <c r="E1589" s="15"/>
      <c r="F1589" s="11">
        <f t="shared" si="13"/>
      </c>
      <c r="G1589" s="22" cm="1">
        <f t="array" ref="G1589">IF(AND(Inputs!$C$60,Inputs!$C$61),INDEX(Utility_Rates!$C$29:$F$52,HOUR(C1589)+Inputs!$C$69,MATCH(INDEX(Utility_Rates!$K$6:$K$17,MONTH(C1589))&amp;IF(WEEKDAY(C1589,Inputs!$C$76)&lt;=Inputs!$C$74," weekday"," weekend"),Utility_Rates!$C$28:$F$28,Inputs!$C$68)),"")</f>
      </c>
      <c r="H1589" s="34"/>
      <c r="I1589" s="42">
        <f>IF(AND(ISNUMBER(D1589),ISNUMBER(H1589)),D1589*H1589*Inputs!$C$69,"")</f>
      </c>
      <c r="J1589" s="42">
        <f>IF(AND(ISNUMBER(F1589),ISNUMBER(H1589),F1589&gt;=Inputs!$C$68),F1589*H1589*Inputs!$C$69,"")</f>
      </c>
    </row>
    <row r="1590" spans="2:10" ht="15" customHeight="1" x14ac:dyDescent="0.2">
      <c r="B1590" s="39">
        <f t="shared" si="12"/>
      </c>
      <c r="C1590" s="40">
        <f>IF(Inputs!$C$60,Inputs!$C$11+(B1590-Inputs!$C$69)/Inputs!$C$70,"")</f>
      </c>
      <c r="D1590" s="15"/>
      <c r="E1590" s="15"/>
      <c r="F1590" s="11">
        <f t="shared" si="13"/>
      </c>
      <c r="G1590" s="22" cm="1">
        <f t="array" ref="G1590">IF(AND(Inputs!$C$60,Inputs!$C$61),INDEX(Utility_Rates!$C$29:$F$52,HOUR(C1590)+Inputs!$C$69,MATCH(INDEX(Utility_Rates!$K$6:$K$17,MONTH(C1590))&amp;IF(WEEKDAY(C1590,Inputs!$C$76)&lt;=Inputs!$C$74," weekday"," weekend"),Utility_Rates!$C$28:$F$28,Inputs!$C$68)),"")</f>
      </c>
      <c r="H1590" s="34"/>
      <c r="I1590" s="42">
        <f>IF(AND(ISNUMBER(D1590),ISNUMBER(H1590)),D1590*H1590*Inputs!$C$69,"")</f>
      </c>
      <c r="J1590" s="42">
        <f>IF(AND(ISNUMBER(F1590),ISNUMBER(H1590),F1590&gt;=Inputs!$C$68),F1590*H1590*Inputs!$C$69,"")</f>
      </c>
    </row>
    <row r="1591" spans="2:10" ht="15" customHeight="1" x14ac:dyDescent="0.2">
      <c r="B1591" s="39">
        <f t="shared" si="12"/>
      </c>
      <c r="C1591" s="40">
        <f>IF(Inputs!$C$60,Inputs!$C$11+(B1591-Inputs!$C$69)/Inputs!$C$70,"")</f>
      </c>
      <c r="D1591" s="15"/>
      <c r="E1591" s="15"/>
      <c r="F1591" s="11">
        <f t="shared" si="13"/>
      </c>
      <c r="G1591" s="22" cm="1">
        <f t="array" ref="G1591">IF(AND(Inputs!$C$60,Inputs!$C$61),INDEX(Utility_Rates!$C$29:$F$52,HOUR(C1591)+Inputs!$C$69,MATCH(INDEX(Utility_Rates!$K$6:$K$17,MONTH(C1591))&amp;IF(WEEKDAY(C1591,Inputs!$C$76)&lt;=Inputs!$C$74," weekday"," weekend"),Utility_Rates!$C$28:$F$28,Inputs!$C$68)),"")</f>
      </c>
      <c r="H1591" s="34"/>
      <c r="I1591" s="42">
        <f>IF(AND(ISNUMBER(D1591),ISNUMBER(H1591)),D1591*H1591*Inputs!$C$69,"")</f>
      </c>
      <c r="J1591" s="42">
        <f>IF(AND(ISNUMBER(F1591),ISNUMBER(H1591),F1591&gt;=Inputs!$C$68),F1591*H1591*Inputs!$C$69,"")</f>
      </c>
    </row>
    <row r="1592" spans="2:10" ht="15" customHeight="1" x14ac:dyDescent="0.2">
      <c r="B1592" s="39">
        <f t="shared" si="12"/>
      </c>
      <c r="C1592" s="40">
        <f>IF(Inputs!$C$60,Inputs!$C$11+(B1592-Inputs!$C$69)/Inputs!$C$70,"")</f>
      </c>
      <c r="D1592" s="15"/>
      <c r="E1592" s="15"/>
      <c r="F1592" s="11">
        <f t="shared" si="13"/>
      </c>
      <c r="G1592" s="22" cm="1">
        <f t="array" ref="G1592">IF(AND(Inputs!$C$60,Inputs!$C$61),INDEX(Utility_Rates!$C$29:$F$52,HOUR(C1592)+Inputs!$C$69,MATCH(INDEX(Utility_Rates!$K$6:$K$17,MONTH(C1592))&amp;IF(WEEKDAY(C1592,Inputs!$C$76)&lt;=Inputs!$C$74," weekday"," weekend"),Utility_Rates!$C$28:$F$28,Inputs!$C$68)),"")</f>
      </c>
      <c r="H1592" s="34"/>
      <c r="I1592" s="42">
        <f>IF(AND(ISNUMBER(D1592),ISNUMBER(H1592)),D1592*H1592*Inputs!$C$69,"")</f>
      </c>
      <c r="J1592" s="42">
        <f>IF(AND(ISNUMBER(F1592),ISNUMBER(H1592),F1592&gt;=Inputs!$C$68),F1592*H1592*Inputs!$C$69,"")</f>
      </c>
    </row>
    <row r="1593" spans="2:10" ht="15" customHeight="1" x14ac:dyDescent="0.2">
      <c r="B1593" s="39">
        <f t="shared" si="12"/>
      </c>
      <c r="C1593" s="40">
        <f>IF(Inputs!$C$60,Inputs!$C$11+(B1593-Inputs!$C$69)/Inputs!$C$70,"")</f>
      </c>
      <c r="D1593" s="15"/>
      <c r="E1593" s="15"/>
      <c r="F1593" s="11">
        <f t="shared" si="13"/>
      </c>
      <c r="G1593" s="22" cm="1">
        <f t="array" ref="G1593">IF(AND(Inputs!$C$60,Inputs!$C$61),INDEX(Utility_Rates!$C$29:$F$52,HOUR(C1593)+Inputs!$C$69,MATCH(INDEX(Utility_Rates!$K$6:$K$17,MONTH(C1593))&amp;IF(WEEKDAY(C1593,Inputs!$C$76)&lt;=Inputs!$C$74," weekday"," weekend"),Utility_Rates!$C$28:$F$28,Inputs!$C$68)),"")</f>
      </c>
      <c r="H1593" s="34"/>
      <c r="I1593" s="42">
        <f>IF(AND(ISNUMBER(D1593),ISNUMBER(H1593)),D1593*H1593*Inputs!$C$69,"")</f>
      </c>
      <c r="J1593" s="42">
        <f>IF(AND(ISNUMBER(F1593),ISNUMBER(H1593),F1593&gt;=Inputs!$C$68),F1593*H1593*Inputs!$C$69,"")</f>
      </c>
    </row>
    <row r="1594" spans="2:10" ht="15" customHeight="1" x14ac:dyDescent="0.2">
      <c r="B1594" s="39">
        <f t="shared" si="12"/>
      </c>
      <c r="C1594" s="40">
        <f>IF(Inputs!$C$60,Inputs!$C$11+(B1594-Inputs!$C$69)/Inputs!$C$70,"")</f>
      </c>
      <c r="D1594" s="15"/>
      <c r="E1594" s="15"/>
      <c r="F1594" s="11">
        <f t="shared" si="13"/>
      </c>
      <c r="G1594" s="22" cm="1">
        <f t="array" ref="G1594">IF(AND(Inputs!$C$60,Inputs!$C$61),INDEX(Utility_Rates!$C$29:$F$52,HOUR(C1594)+Inputs!$C$69,MATCH(INDEX(Utility_Rates!$K$6:$K$17,MONTH(C1594))&amp;IF(WEEKDAY(C1594,Inputs!$C$76)&lt;=Inputs!$C$74," weekday"," weekend"),Utility_Rates!$C$28:$F$28,Inputs!$C$68)),"")</f>
      </c>
      <c r="H1594" s="34"/>
      <c r="I1594" s="42">
        <f>IF(AND(ISNUMBER(D1594),ISNUMBER(H1594)),D1594*H1594*Inputs!$C$69,"")</f>
      </c>
      <c r="J1594" s="42">
        <f>IF(AND(ISNUMBER(F1594),ISNUMBER(H1594),F1594&gt;=Inputs!$C$68),F1594*H1594*Inputs!$C$69,"")</f>
      </c>
    </row>
    <row r="1595" spans="2:10" ht="15" customHeight="1" x14ac:dyDescent="0.2">
      <c r="B1595" s="39">
        <f t="shared" si="12"/>
      </c>
      <c r="C1595" s="40">
        <f>IF(Inputs!$C$60,Inputs!$C$11+(B1595-Inputs!$C$69)/Inputs!$C$70,"")</f>
      </c>
      <c r="D1595" s="15"/>
      <c r="E1595" s="15"/>
      <c r="F1595" s="11">
        <f t="shared" si="13"/>
      </c>
      <c r="G1595" s="22" cm="1">
        <f t="array" ref="G1595">IF(AND(Inputs!$C$60,Inputs!$C$61),INDEX(Utility_Rates!$C$29:$F$52,HOUR(C1595)+Inputs!$C$69,MATCH(INDEX(Utility_Rates!$K$6:$K$17,MONTH(C1595))&amp;IF(WEEKDAY(C1595,Inputs!$C$76)&lt;=Inputs!$C$74," weekday"," weekend"),Utility_Rates!$C$28:$F$28,Inputs!$C$68)),"")</f>
      </c>
      <c r="H1595" s="34"/>
      <c r="I1595" s="42">
        <f>IF(AND(ISNUMBER(D1595),ISNUMBER(H1595)),D1595*H1595*Inputs!$C$69,"")</f>
      </c>
      <c r="J1595" s="42">
        <f>IF(AND(ISNUMBER(F1595),ISNUMBER(H1595),F1595&gt;=Inputs!$C$68),F1595*H1595*Inputs!$C$69,"")</f>
      </c>
    </row>
    <row r="1596" spans="2:10" ht="15" customHeight="1" x14ac:dyDescent="0.2">
      <c r="B1596" s="39">
        <f t="shared" si="12"/>
      </c>
      <c r="C1596" s="40">
        <f>IF(Inputs!$C$60,Inputs!$C$11+(B1596-Inputs!$C$69)/Inputs!$C$70,"")</f>
      </c>
      <c r="D1596" s="15"/>
      <c r="E1596" s="15"/>
      <c r="F1596" s="11">
        <f t="shared" si="13"/>
      </c>
      <c r="G1596" s="22" cm="1">
        <f t="array" ref="G1596">IF(AND(Inputs!$C$60,Inputs!$C$61),INDEX(Utility_Rates!$C$29:$F$52,HOUR(C1596)+Inputs!$C$69,MATCH(INDEX(Utility_Rates!$K$6:$K$17,MONTH(C1596))&amp;IF(WEEKDAY(C1596,Inputs!$C$76)&lt;=Inputs!$C$74," weekday"," weekend"),Utility_Rates!$C$28:$F$28,Inputs!$C$68)),"")</f>
      </c>
      <c r="H1596" s="34"/>
      <c r="I1596" s="42">
        <f>IF(AND(ISNUMBER(D1596),ISNUMBER(H1596)),D1596*H1596*Inputs!$C$69,"")</f>
      </c>
      <c r="J1596" s="42">
        <f>IF(AND(ISNUMBER(F1596),ISNUMBER(H1596),F1596&gt;=Inputs!$C$68),F1596*H1596*Inputs!$C$69,"")</f>
      </c>
    </row>
    <row r="1597" spans="2:10" ht="15" customHeight="1" x14ac:dyDescent="0.2">
      <c r="B1597" s="39">
        <f t="shared" si="12"/>
      </c>
      <c r="C1597" s="40">
        <f>IF(Inputs!$C$60,Inputs!$C$11+(B1597-Inputs!$C$69)/Inputs!$C$70,"")</f>
      </c>
      <c r="D1597" s="15"/>
      <c r="E1597" s="15"/>
      <c r="F1597" s="11">
        <f t="shared" si="13"/>
      </c>
      <c r="G1597" s="22" cm="1">
        <f t="array" ref="G1597">IF(AND(Inputs!$C$60,Inputs!$C$61),INDEX(Utility_Rates!$C$29:$F$52,HOUR(C1597)+Inputs!$C$69,MATCH(INDEX(Utility_Rates!$K$6:$K$17,MONTH(C1597))&amp;IF(WEEKDAY(C1597,Inputs!$C$76)&lt;=Inputs!$C$74," weekday"," weekend"),Utility_Rates!$C$28:$F$28,Inputs!$C$68)),"")</f>
      </c>
      <c r="H1597" s="34"/>
      <c r="I1597" s="42">
        <f>IF(AND(ISNUMBER(D1597),ISNUMBER(H1597)),D1597*H1597*Inputs!$C$69,"")</f>
      </c>
      <c r="J1597" s="42">
        <f>IF(AND(ISNUMBER(F1597),ISNUMBER(H1597),F1597&gt;=Inputs!$C$68),F1597*H1597*Inputs!$C$69,"")</f>
      </c>
    </row>
    <row r="1598" spans="2:10" ht="15" customHeight="1" x14ac:dyDescent="0.2">
      <c r="B1598" s="39">
        <f t="shared" si="12"/>
      </c>
      <c r="C1598" s="40">
        <f>IF(Inputs!$C$60,Inputs!$C$11+(B1598-Inputs!$C$69)/Inputs!$C$70,"")</f>
      </c>
      <c r="D1598" s="15"/>
      <c r="E1598" s="15"/>
      <c r="F1598" s="11">
        <f t="shared" si="13"/>
      </c>
      <c r="G1598" s="22" cm="1">
        <f t="array" ref="G1598">IF(AND(Inputs!$C$60,Inputs!$C$61),INDEX(Utility_Rates!$C$29:$F$52,HOUR(C1598)+Inputs!$C$69,MATCH(INDEX(Utility_Rates!$K$6:$K$17,MONTH(C1598))&amp;IF(WEEKDAY(C1598,Inputs!$C$76)&lt;=Inputs!$C$74," weekday"," weekend"),Utility_Rates!$C$28:$F$28,Inputs!$C$68)),"")</f>
      </c>
      <c r="H1598" s="34"/>
      <c r="I1598" s="42">
        <f>IF(AND(ISNUMBER(D1598),ISNUMBER(H1598)),D1598*H1598*Inputs!$C$69,"")</f>
      </c>
      <c r="J1598" s="42">
        <f>IF(AND(ISNUMBER(F1598),ISNUMBER(H1598),F1598&gt;=Inputs!$C$68),F1598*H1598*Inputs!$C$69,"")</f>
      </c>
    </row>
    <row r="1599" spans="2:10" ht="15" customHeight="1" x14ac:dyDescent="0.2">
      <c r="B1599" s="39">
        <f t="shared" si="12"/>
      </c>
      <c r="C1599" s="40">
        <f>IF(Inputs!$C$60,Inputs!$C$11+(B1599-Inputs!$C$69)/Inputs!$C$70,"")</f>
      </c>
      <c r="D1599" s="15"/>
      <c r="E1599" s="15"/>
      <c r="F1599" s="11">
        <f t="shared" si="13"/>
      </c>
      <c r="G1599" s="22" cm="1">
        <f t="array" ref="G1599">IF(AND(Inputs!$C$60,Inputs!$C$61),INDEX(Utility_Rates!$C$29:$F$52,HOUR(C1599)+Inputs!$C$69,MATCH(INDEX(Utility_Rates!$K$6:$K$17,MONTH(C1599))&amp;IF(WEEKDAY(C1599,Inputs!$C$76)&lt;=Inputs!$C$74," weekday"," weekend"),Utility_Rates!$C$28:$F$28,Inputs!$C$68)),"")</f>
      </c>
      <c r="H1599" s="34"/>
      <c r="I1599" s="42">
        <f>IF(AND(ISNUMBER(D1599),ISNUMBER(H1599)),D1599*H1599*Inputs!$C$69,"")</f>
      </c>
      <c r="J1599" s="42">
        <f>IF(AND(ISNUMBER(F1599),ISNUMBER(H1599),F1599&gt;=Inputs!$C$68),F1599*H1599*Inputs!$C$69,"")</f>
      </c>
    </row>
    <row r="1600" spans="2:10" ht="15" customHeight="1" x14ac:dyDescent="0.2">
      <c r="B1600" s="39">
        <f t="shared" si="12"/>
      </c>
      <c r="C1600" s="40">
        <f>IF(Inputs!$C$60,Inputs!$C$11+(B1600-Inputs!$C$69)/Inputs!$C$70,"")</f>
      </c>
      <c r="D1600" s="15"/>
      <c r="E1600" s="15"/>
      <c r="F1600" s="11">
        <f t="shared" si="13"/>
      </c>
      <c r="G1600" s="22" cm="1">
        <f t="array" ref="G1600">IF(AND(Inputs!$C$60,Inputs!$C$61),INDEX(Utility_Rates!$C$29:$F$52,HOUR(C1600)+Inputs!$C$69,MATCH(INDEX(Utility_Rates!$K$6:$K$17,MONTH(C1600))&amp;IF(WEEKDAY(C1600,Inputs!$C$76)&lt;=Inputs!$C$74," weekday"," weekend"),Utility_Rates!$C$28:$F$28,Inputs!$C$68)),"")</f>
      </c>
      <c r="H1600" s="34"/>
      <c r="I1600" s="42">
        <f>IF(AND(ISNUMBER(D1600),ISNUMBER(H1600)),D1600*H1600*Inputs!$C$69,"")</f>
      </c>
      <c r="J1600" s="42">
        <f>IF(AND(ISNUMBER(F1600),ISNUMBER(H1600),F1600&gt;=Inputs!$C$68),F1600*H1600*Inputs!$C$69,"")</f>
      </c>
    </row>
    <row r="1601" spans="2:10" ht="15" customHeight="1" x14ac:dyDescent="0.2">
      <c r="B1601" s="39">
        <f t="shared" si="12"/>
      </c>
      <c r="C1601" s="40">
        <f>IF(Inputs!$C$60,Inputs!$C$11+(B1601-Inputs!$C$69)/Inputs!$C$70,"")</f>
      </c>
      <c r="D1601" s="15"/>
      <c r="E1601" s="15"/>
      <c r="F1601" s="11">
        <f t="shared" si="13"/>
      </c>
      <c r="G1601" s="22" cm="1">
        <f t="array" ref="G1601">IF(AND(Inputs!$C$60,Inputs!$C$61),INDEX(Utility_Rates!$C$29:$F$52,HOUR(C1601)+Inputs!$C$69,MATCH(INDEX(Utility_Rates!$K$6:$K$17,MONTH(C1601))&amp;IF(WEEKDAY(C1601,Inputs!$C$76)&lt;=Inputs!$C$74," weekday"," weekend"),Utility_Rates!$C$28:$F$28,Inputs!$C$68)),"")</f>
      </c>
      <c r="H1601" s="34"/>
      <c r="I1601" s="42">
        <f>IF(AND(ISNUMBER(D1601),ISNUMBER(H1601)),D1601*H1601*Inputs!$C$69,"")</f>
      </c>
      <c r="J1601" s="42">
        <f>IF(AND(ISNUMBER(F1601),ISNUMBER(H1601),F1601&gt;=Inputs!$C$68),F1601*H1601*Inputs!$C$69,"")</f>
      </c>
    </row>
    <row r="1602" spans="2:10" ht="15" customHeight="1" x14ac:dyDescent="0.2">
      <c r="B1602" s="39">
        <f t="shared" si="12"/>
      </c>
      <c r="C1602" s="40">
        <f>IF(Inputs!$C$60,Inputs!$C$11+(B1602-Inputs!$C$69)/Inputs!$C$70,"")</f>
      </c>
      <c r="D1602" s="15"/>
      <c r="E1602" s="15"/>
      <c r="F1602" s="11">
        <f t="shared" si="13"/>
      </c>
      <c r="G1602" s="22" cm="1">
        <f t="array" ref="G1602">IF(AND(Inputs!$C$60,Inputs!$C$61),INDEX(Utility_Rates!$C$29:$F$52,HOUR(C1602)+Inputs!$C$69,MATCH(INDEX(Utility_Rates!$K$6:$K$17,MONTH(C1602))&amp;IF(WEEKDAY(C1602,Inputs!$C$76)&lt;=Inputs!$C$74," weekday"," weekend"),Utility_Rates!$C$28:$F$28,Inputs!$C$68)),"")</f>
      </c>
      <c r="H1602" s="34"/>
      <c r="I1602" s="42">
        <f>IF(AND(ISNUMBER(D1602),ISNUMBER(H1602)),D1602*H1602*Inputs!$C$69,"")</f>
      </c>
      <c r="J1602" s="42">
        <f>IF(AND(ISNUMBER(F1602),ISNUMBER(H1602),F1602&gt;=Inputs!$C$68),F1602*H1602*Inputs!$C$69,"")</f>
      </c>
    </row>
    <row r="1603" spans="2:10" ht="15" customHeight="1" x14ac:dyDescent="0.2">
      <c r="B1603" s="39">
        <f t="shared" si="12"/>
      </c>
      <c r="C1603" s="40">
        <f>IF(Inputs!$C$60,Inputs!$C$11+(B1603-Inputs!$C$69)/Inputs!$C$70,"")</f>
      </c>
      <c r="D1603" s="15"/>
      <c r="E1603" s="15"/>
      <c r="F1603" s="11">
        <f t="shared" si="13"/>
      </c>
      <c r="G1603" s="22" cm="1">
        <f t="array" ref="G1603">IF(AND(Inputs!$C$60,Inputs!$C$61),INDEX(Utility_Rates!$C$29:$F$52,HOUR(C1603)+Inputs!$C$69,MATCH(INDEX(Utility_Rates!$K$6:$K$17,MONTH(C1603))&amp;IF(WEEKDAY(C1603,Inputs!$C$76)&lt;=Inputs!$C$74," weekday"," weekend"),Utility_Rates!$C$28:$F$28,Inputs!$C$68)),"")</f>
      </c>
      <c r="H1603" s="34"/>
      <c r="I1603" s="42">
        <f>IF(AND(ISNUMBER(D1603),ISNUMBER(H1603)),D1603*H1603*Inputs!$C$69,"")</f>
      </c>
      <c r="J1603" s="42">
        <f>IF(AND(ISNUMBER(F1603),ISNUMBER(H1603),F1603&gt;=Inputs!$C$68),F1603*H1603*Inputs!$C$69,"")</f>
      </c>
    </row>
    <row r="1604" spans="2:10" ht="15" customHeight="1" x14ac:dyDescent="0.2">
      <c r="B1604" s="39">
        <f t="shared" si="12"/>
      </c>
      <c r="C1604" s="40">
        <f>IF(Inputs!$C$60,Inputs!$C$11+(B1604-Inputs!$C$69)/Inputs!$C$70,"")</f>
      </c>
      <c r="D1604" s="15"/>
      <c r="E1604" s="15"/>
      <c r="F1604" s="11">
        <f t="shared" si="13"/>
      </c>
      <c r="G1604" s="22" cm="1">
        <f t="array" ref="G1604">IF(AND(Inputs!$C$60,Inputs!$C$61),INDEX(Utility_Rates!$C$29:$F$52,HOUR(C1604)+Inputs!$C$69,MATCH(INDEX(Utility_Rates!$K$6:$K$17,MONTH(C1604))&amp;IF(WEEKDAY(C1604,Inputs!$C$76)&lt;=Inputs!$C$74," weekday"," weekend"),Utility_Rates!$C$28:$F$28,Inputs!$C$68)),"")</f>
      </c>
      <c r="H1604" s="34"/>
      <c r="I1604" s="42">
        <f>IF(AND(ISNUMBER(D1604),ISNUMBER(H1604)),D1604*H1604*Inputs!$C$69,"")</f>
      </c>
      <c r="J1604" s="42">
        <f>IF(AND(ISNUMBER(F1604),ISNUMBER(H1604),F1604&gt;=Inputs!$C$68),F1604*H1604*Inputs!$C$69,"")</f>
      </c>
    </row>
    <row r="1605" spans="2:10" ht="15" customHeight="1" x14ac:dyDescent="0.2">
      <c r="B1605" s="39">
        <f t="shared" si="12"/>
      </c>
      <c r="C1605" s="40">
        <f>IF(Inputs!$C$60,Inputs!$C$11+(B1605-Inputs!$C$69)/Inputs!$C$70,"")</f>
      </c>
      <c r="D1605" s="15"/>
      <c r="E1605" s="15"/>
      <c r="F1605" s="11">
        <f t="shared" si="13"/>
      </c>
      <c r="G1605" s="22" cm="1">
        <f t="array" ref="G1605">IF(AND(Inputs!$C$60,Inputs!$C$61),INDEX(Utility_Rates!$C$29:$F$52,HOUR(C1605)+Inputs!$C$69,MATCH(INDEX(Utility_Rates!$K$6:$K$17,MONTH(C1605))&amp;IF(WEEKDAY(C1605,Inputs!$C$76)&lt;=Inputs!$C$74," weekday"," weekend"),Utility_Rates!$C$28:$F$28,Inputs!$C$68)),"")</f>
      </c>
      <c r="H1605" s="34"/>
      <c r="I1605" s="42">
        <f>IF(AND(ISNUMBER(D1605),ISNUMBER(H1605)),D1605*H1605*Inputs!$C$69,"")</f>
      </c>
      <c r="J1605" s="42">
        <f>IF(AND(ISNUMBER(F1605),ISNUMBER(H1605),F1605&gt;=Inputs!$C$68),F1605*H1605*Inputs!$C$69,"")</f>
      </c>
    </row>
    <row r="1606" spans="2:10" ht="15" customHeight="1" x14ac:dyDescent="0.2">
      <c r="B1606" s="39">
        <f t="shared" si="12"/>
      </c>
      <c r="C1606" s="40">
        <f>IF(Inputs!$C$60,Inputs!$C$11+(B1606-Inputs!$C$69)/Inputs!$C$70,"")</f>
      </c>
      <c r="D1606" s="15"/>
      <c r="E1606" s="15"/>
      <c r="F1606" s="11">
        <f t="shared" si="13"/>
      </c>
      <c r="G1606" s="22" cm="1">
        <f t="array" ref="G1606">IF(AND(Inputs!$C$60,Inputs!$C$61),INDEX(Utility_Rates!$C$29:$F$52,HOUR(C1606)+Inputs!$C$69,MATCH(INDEX(Utility_Rates!$K$6:$K$17,MONTH(C1606))&amp;IF(WEEKDAY(C1606,Inputs!$C$76)&lt;=Inputs!$C$74," weekday"," weekend"),Utility_Rates!$C$28:$F$28,Inputs!$C$68)),"")</f>
      </c>
      <c r="H1606" s="34"/>
      <c r="I1606" s="42">
        <f>IF(AND(ISNUMBER(D1606),ISNUMBER(H1606)),D1606*H1606*Inputs!$C$69,"")</f>
      </c>
      <c r="J1606" s="42">
        <f>IF(AND(ISNUMBER(F1606),ISNUMBER(H1606),F1606&gt;=Inputs!$C$68),F1606*H1606*Inputs!$C$69,"")</f>
      </c>
    </row>
    <row r="1607" spans="2:10" ht="15" customHeight="1" x14ac:dyDescent="0.2">
      <c r="B1607" s="39">
        <f t="shared" si="12"/>
      </c>
      <c r="C1607" s="40">
        <f>IF(Inputs!$C$60,Inputs!$C$11+(B1607-Inputs!$C$69)/Inputs!$C$70,"")</f>
      </c>
      <c r="D1607" s="15"/>
      <c r="E1607" s="15"/>
      <c r="F1607" s="11">
        <f t="shared" si="13"/>
      </c>
      <c r="G1607" s="22" cm="1">
        <f t="array" ref="G1607">IF(AND(Inputs!$C$60,Inputs!$C$61),INDEX(Utility_Rates!$C$29:$F$52,HOUR(C1607)+Inputs!$C$69,MATCH(INDEX(Utility_Rates!$K$6:$K$17,MONTH(C1607))&amp;IF(WEEKDAY(C1607,Inputs!$C$76)&lt;=Inputs!$C$74," weekday"," weekend"),Utility_Rates!$C$28:$F$28,Inputs!$C$68)),"")</f>
      </c>
      <c r="H1607" s="34"/>
      <c r="I1607" s="42">
        <f>IF(AND(ISNUMBER(D1607),ISNUMBER(H1607)),D1607*H1607*Inputs!$C$69,"")</f>
      </c>
      <c r="J1607" s="42">
        <f>IF(AND(ISNUMBER(F1607),ISNUMBER(H1607),F1607&gt;=Inputs!$C$68),F1607*H1607*Inputs!$C$69,"")</f>
      </c>
    </row>
    <row r="1608" spans="2:10" ht="15" customHeight="1" x14ac:dyDescent="0.2">
      <c r="B1608" s="39">
        <f t="shared" si="12"/>
      </c>
      <c r="C1608" s="40">
        <f>IF(Inputs!$C$60,Inputs!$C$11+(B1608-Inputs!$C$69)/Inputs!$C$70,"")</f>
      </c>
      <c r="D1608" s="15"/>
      <c r="E1608" s="15"/>
      <c r="F1608" s="11">
        <f t="shared" si="13"/>
      </c>
      <c r="G1608" s="22" cm="1">
        <f t="array" ref="G1608">IF(AND(Inputs!$C$60,Inputs!$C$61),INDEX(Utility_Rates!$C$29:$F$52,HOUR(C1608)+Inputs!$C$69,MATCH(INDEX(Utility_Rates!$K$6:$K$17,MONTH(C1608))&amp;IF(WEEKDAY(C1608,Inputs!$C$76)&lt;=Inputs!$C$74," weekday"," weekend"),Utility_Rates!$C$28:$F$28,Inputs!$C$68)),"")</f>
      </c>
      <c r="H1608" s="34"/>
      <c r="I1608" s="42">
        <f>IF(AND(ISNUMBER(D1608),ISNUMBER(H1608)),D1608*H1608*Inputs!$C$69,"")</f>
      </c>
      <c r="J1608" s="42">
        <f>IF(AND(ISNUMBER(F1608),ISNUMBER(H1608),F1608&gt;=Inputs!$C$68),F1608*H1608*Inputs!$C$69,"")</f>
      </c>
    </row>
    <row r="1609" spans="2:10" ht="15" customHeight="1" x14ac:dyDescent="0.2">
      <c r="B1609" s="39">
        <f t="shared" si="12"/>
      </c>
      <c r="C1609" s="40">
        <f>IF(Inputs!$C$60,Inputs!$C$11+(B1609-Inputs!$C$69)/Inputs!$C$70,"")</f>
      </c>
      <c r="D1609" s="15"/>
      <c r="E1609" s="15"/>
      <c r="F1609" s="11">
        <f t="shared" si="13"/>
      </c>
      <c r="G1609" s="22" cm="1">
        <f t="array" ref="G1609">IF(AND(Inputs!$C$60,Inputs!$C$61),INDEX(Utility_Rates!$C$29:$F$52,HOUR(C1609)+Inputs!$C$69,MATCH(INDEX(Utility_Rates!$K$6:$K$17,MONTH(C1609))&amp;IF(WEEKDAY(C1609,Inputs!$C$76)&lt;=Inputs!$C$74," weekday"," weekend"),Utility_Rates!$C$28:$F$28,Inputs!$C$68)),"")</f>
      </c>
      <c r="H1609" s="34"/>
      <c r="I1609" s="42">
        <f>IF(AND(ISNUMBER(D1609),ISNUMBER(H1609)),D1609*H1609*Inputs!$C$69,"")</f>
      </c>
      <c r="J1609" s="42">
        <f>IF(AND(ISNUMBER(F1609),ISNUMBER(H1609),F1609&gt;=Inputs!$C$68),F1609*H1609*Inputs!$C$69,"")</f>
      </c>
    </row>
    <row r="1610" spans="2:10" ht="15" customHeight="1" x14ac:dyDescent="0.2">
      <c r="B1610" s="39">
        <f t="shared" si="12"/>
      </c>
      <c r="C1610" s="40">
        <f>IF(Inputs!$C$60,Inputs!$C$11+(B1610-Inputs!$C$69)/Inputs!$C$70,"")</f>
      </c>
      <c r="D1610" s="15"/>
      <c r="E1610" s="15"/>
      <c r="F1610" s="11">
        <f t="shared" si="13"/>
      </c>
      <c r="G1610" s="22" cm="1">
        <f t="array" ref="G1610">IF(AND(Inputs!$C$60,Inputs!$C$61),INDEX(Utility_Rates!$C$29:$F$52,HOUR(C1610)+Inputs!$C$69,MATCH(INDEX(Utility_Rates!$K$6:$K$17,MONTH(C1610))&amp;IF(WEEKDAY(C1610,Inputs!$C$76)&lt;=Inputs!$C$74," weekday"," weekend"),Utility_Rates!$C$28:$F$28,Inputs!$C$68)),"")</f>
      </c>
      <c r="H1610" s="34"/>
      <c r="I1610" s="42">
        <f>IF(AND(ISNUMBER(D1610),ISNUMBER(H1610)),D1610*H1610*Inputs!$C$69,"")</f>
      </c>
      <c r="J1610" s="42">
        <f>IF(AND(ISNUMBER(F1610),ISNUMBER(H1610),F1610&gt;=Inputs!$C$68),F1610*H1610*Inputs!$C$69,"")</f>
      </c>
    </row>
    <row r="1611" spans="2:10" ht="15" customHeight="1" x14ac:dyDescent="0.2">
      <c r="B1611" s="39">
        <f t="shared" si="12"/>
      </c>
      <c r="C1611" s="40">
        <f>IF(Inputs!$C$60,Inputs!$C$11+(B1611-Inputs!$C$69)/Inputs!$C$70,"")</f>
      </c>
      <c r="D1611" s="15"/>
      <c r="E1611" s="15"/>
      <c r="F1611" s="11">
        <f t="shared" si="13"/>
      </c>
      <c r="G1611" s="22" cm="1">
        <f t="array" ref="G1611">IF(AND(Inputs!$C$60,Inputs!$C$61),INDEX(Utility_Rates!$C$29:$F$52,HOUR(C1611)+Inputs!$C$69,MATCH(INDEX(Utility_Rates!$K$6:$K$17,MONTH(C1611))&amp;IF(WEEKDAY(C1611,Inputs!$C$76)&lt;=Inputs!$C$74," weekday"," weekend"),Utility_Rates!$C$28:$F$28,Inputs!$C$68)),"")</f>
      </c>
      <c r="H1611" s="34"/>
      <c r="I1611" s="42">
        <f>IF(AND(ISNUMBER(D1611),ISNUMBER(H1611)),D1611*H1611*Inputs!$C$69,"")</f>
      </c>
      <c r="J1611" s="42">
        <f>IF(AND(ISNUMBER(F1611),ISNUMBER(H1611),F1611&gt;=Inputs!$C$68),F1611*H1611*Inputs!$C$69,"")</f>
      </c>
    </row>
    <row r="1612" spans="2:10" ht="15" customHeight="1" x14ac:dyDescent="0.2">
      <c r="B1612" s="39">
        <f t="shared" si="12"/>
      </c>
      <c r="C1612" s="40">
        <f>IF(Inputs!$C$60,Inputs!$C$11+(B1612-Inputs!$C$69)/Inputs!$C$70,"")</f>
      </c>
      <c r="D1612" s="15"/>
      <c r="E1612" s="15"/>
      <c r="F1612" s="11">
        <f t="shared" si="13"/>
      </c>
      <c r="G1612" s="22" cm="1">
        <f t="array" ref="G1612">IF(AND(Inputs!$C$60,Inputs!$C$61),INDEX(Utility_Rates!$C$29:$F$52,HOUR(C1612)+Inputs!$C$69,MATCH(INDEX(Utility_Rates!$K$6:$K$17,MONTH(C1612))&amp;IF(WEEKDAY(C1612,Inputs!$C$76)&lt;=Inputs!$C$74," weekday"," weekend"),Utility_Rates!$C$28:$F$28,Inputs!$C$68)),"")</f>
      </c>
      <c r="H1612" s="34"/>
      <c r="I1612" s="42">
        <f>IF(AND(ISNUMBER(D1612),ISNUMBER(H1612)),D1612*H1612*Inputs!$C$69,"")</f>
      </c>
      <c r="J1612" s="42">
        <f>IF(AND(ISNUMBER(F1612),ISNUMBER(H1612),F1612&gt;=Inputs!$C$68),F1612*H1612*Inputs!$C$69,"")</f>
      </c>
    </row>
    <row r="1613" spans="2:10" ht="15" customHeight="1" x14ac:dyDescent="0.2">
      <c r="B1613" s="39">
        <f t="shared" si="12"/>
      </c>
      <c r="C1613" s="40">
        <f>IF(Inputs!$C$60,Inputs!$C$11+(B1613-Inputs!$C$69)/Inputs!$C$70,"")</f>
      </c>
      <c r="D1613" s="15"/>
      <c r="E1613" s="15"/>
      <c r="F1613" s="11">
        <f t="shared" si="13"/>
      </c>
      <c r="G1613" s="22" cm="1">
        <f t="array" ref="G1613">IF(AND(Inputs!$C$60,Inputs!$C$61),INDEX(Utility_Rates!$C$29:$F$52,HOUR(C1613)+Inputs!$C$69,MATCH(INDEX(Utility_Rates!$K$6:$K$17,MONTH(C1613))&amp;IF(WEEKDAY(C1613,Inputs!$C$76)&lt;=Inputs!$C$74," weekday"," weekend"),Utility_Rates!$C$28:$F$28,Inputs!$C$68)),"")</f>
      </c>
      <c r="H1613" s="34"/>
      <c r="I1613" s="42">
        <f>IF(AND(ISNUMBER(D1613),ISNUMBER(H1613)),D1613*H1613*Inputs!$C$69,"")</f>
      </c>
      <c r="J1613" s="42">
        <f>IF(AND(ISNUMBER(F1613),ISNUMBER(H1613),F1613&gt;=Inputs!$C$68),F1613*H1613*Inputs!$C$69,"")</f>
      </c>
    </row>
    <row r="1614" spans="2:10" ht="15" customHeight="1" x14ac:dyDescent="0.2">
      <c r="B1614" s="39">
        <f t="shared" si="12"/>
      </c>
      <c r="C1614" s="40">
        <f>IF(Inputs!$C$60,Inputs!$C$11+(B1614-Inputs!$C$69)/Inputs!$C$70,"")</f>
      </c>
      <c r="D1614" s="15"/>
      <c r="E1614" s="15"/>
      <c r="F1614" s="11">
        <f t="shared" si="13"/>
      </c>
      <c r="G1614" s="22" cm="1">
        <f t="array" ref="G1614">IF(AND(Inputs!$C$60,Inputs!$C$61),INDEX(Utility_Rates!$C$29:$F$52,HOUR(C1614)+Inputs!$C$69,MATCH(INDEX(Utility_Rates!$K$6:$K$17,MONTH(C1614))&amp;IF(WEEKDAY(C1614,Inputs!$C$76)&lt;=Inputs!$C$74," weekday"," weekend"),Utility_Rates!$C$28:$F$28,Inputs!$C$68)),"")</f>
      </c>
      <c r="H1614" s="34"/>
      <c r="I1614" s="42">
        <f>IF(AND(ISNUMBER(D1614),ISNUMBER(H1614)),D1614*H1614*Inputs!$C$69,"")</f>
      </c>
      <c r="J1614" s="42">
        <f>IF(AND(ISNUMBER(F1614),ISNUMBER(H1614),F1614&gt;=Inputs!$C$68),F1614*H1614*Inputs!$C$69,"")</f>
      </c>
    </row>
    <row r="1615" spans="2:10" ht="15" customHeight="1" x14ac:dyDescent="0.2">
      <c r="B1615" s="39">
        <f t="shared" si="12"/>
      </c>
      <c r="C1615" s="40">
        <f>IF(Inputs!$C$60,Inputs!$C$11+(B1615-Inputs!$C$69)/Inputs!$C$70,"")</f>
      </c>
      <c r="D1615" s="15"/>
      <c r="E1615" s="15"/>
      <c r="F1615" s="11">
        <f t="shared" si="13"/>
      </c>
      <c r="G1615" s="22" cm="1">
        <f t="array" ref="G1615">IF(AND(Inputs!$C$60,Inputs!$C$61),INDEX(Utility_Rates!$C$29:$F$52,HOUR(C1615)+Inputs!$C$69,MATCH(INDEX(Utility_Rates!$K$6:$K$17,MONTH(C1615))&amp;IF(WEEKDAY(C1615,Inputs!$C$76)&lt;=Inputs!$C$74," weekday"," weekend"),Utility_Rates!$C$28:$F$28,Inputs!$C$68)),"")</f>
      </c>
      <c r="H1615" s="34"/>
      <c r="I1615" s="42">
        <f>IF(AND(ISNUMBER(D1615),ISNUMBER(H1615)),D1615*H1615*Inputs!$C$69,"")</f>
      </c>
      <c r="J1615" s="42">
        <f>IF(AND(ISNUMBER(F1615),ISNUMBER(H1615),F1615&gt;=Inputs!$C$68),F1615*H1615*Inputs!$C$69,"")</f>
      </c>
    </row>
    <row r="1616" spans="2:10" ht="15" customHeight="1" x14ac:dyDescent="0.2">
      <c r="B1616" s="39">
        <f t="shared" si="12"/>
      </c>
      <c r="C1616" s="40">
        <f>IF(Inputs!$C$60,Inputs!$C$11+(B1616-Inputs!$C$69)/Inputs!$C$70,"")</f>
      </c>
      <c r="D1616" s="15"/>
      <c r="E1616" s="15"/>
      <c r="F1616" s="11">
        <f t="shared" si="13"/>
      </c>
      <c r="G1616" s="22" cm="1">
        <f t="array" ref="G1616">IF(AND(Inputs!$C$60,Inputs!$C$61),INDEX(Utility_Rates!$C$29:$F$52,HOUR(C1616)+Inputs!$C$69,MATCH(INDEX(Utility_Rates!$K$6:$K$17,MONTH(C1616))&amp;IF(WEEKDAY(C1616,Inputs!$C$76)&lt;=Inputs!$C$74," weekday"," weekend"),Utility_Rates!$C$28:$F$28,Inputs!$C$68)),"")</f>
      </c>
      <c r="H1616" s="34"/>
      <c r="I1616" s="42">
        <f>IF(AND(ISNUMBER(D1616),ISNUMBER(H1616)),D1616*H1616*Inputs!$C$69,"")</f>
      </c>
      <c r="J1616" s="42">
        <f>IF(AND(ISNUMBER(F1616),ISNUMBER(H1616),F1616&gt;=Inputs!$C$68),F1616*H1616*Inputs!$C$69,"")</f>
      </c>
    </row>
    <row r="1617" spans="2:10" ht="15" customHeight="1" x14ac:dyDescent="0.2">
      <c r="B1617" s="39">
        <f t="shared" si="12"/>
      </c>
      <c r="C1617" s="40">
        <f>IF(Inputs!$C$60,Inputs!$C$11+(B1617-Inputs!$C$69)/Inputs!$C$70,"")</f>
      </c>
      <c r="D1617" s="15"/>
      <c r="E1617" s="15"/>
      <c r="F1617" s="11">
        <f t="shared" si="13"/>
      </c>
      <c r="G1617" s="22" cm="1">
        <f t="array" ref="G1617">IF(AND(Inputs!$C$60,Inputs!$C$61),INDEX(Utility_Rates!$C$29:$F$52,HOUR(C1617)+Inputs!$C$69,MATCH(INDEX(Utility_Rates!$K$6:$K$17,MONTH(C1617))&amp;IF(WEEKDAY(C1617,Inputs!$C$76)&lt;=Inputs!$C$74," weekday"," weekend"),Utility_Rates!$C$28:$F$28,Inputs!$C$68)),"")</f>
      </c>
      <c r="H1617" s="34"/>
      <c r="I1617" s="42">
        <f>IF(AND(ISNUMBER(D1617),ISNUMBER(H1617)),D1617*H1617*Inputs!$C$69,"")</f>
      </c>
      <c r="J1617" s="42">
        <f>IF(AND(ISNUMBER(F1617),ISNUMBER(H1617),F1617&gt;=Inputs!$C$68),F1617*H1617*Inputs!$C$69,"")</f>
      </c>
    </row>
    <row r="1618" spans="2:10" ht="15" customHeight="1" x14ac:dyDescent="0.2">
      <c r="B1618" s="39">
        <f t="shared" si="12"/>
      </c>
      <c r="C1618" s="40">
        <f>IF(Inputs!$C$60,Inputs!$C$11+(B1618-Inputs!$C$69)/Inputs!$C$70,"")</f>
      </c>
      <c r="D1618" s="15"/>
      <c r="E1618" s="15"/>
      <c r="F1618" s="11">
        <f t="shared" si="13"/>
      </c>
      <c r="G1618" s="22" cm="1">
        <f t="array" ref="G1618">IF(AND(Inputs!$C$60,Inputs!$C$61),INDEX(Utility_Rates!$C$29:$F$52,HOUR(C1618)+Inputs!$C$69,MATCH(INDEX(Utility_Rates!$K$6:$K$17,MONTH(C1618))&amp;IF(WEEKDAY(C1618,Inputs!$C$76)&lt;=Inputs!$C$74," weekday"," weekend"),Utility_Rates!$C$28:$F$28,Inputs!$C$68)),"")</f>
      </c>
      <c r="H1618" s="34"/>
      <c r="I1618" s="42">
        <f>IF(AND(ISNUMBER(D1618),ISNUMBER(H1618)),D1618*H1618*Inputs!$C$69,"")</f>
      </c>
      <c r="J1618" s="42">
        <f>IF(AND(ISNUMBER(F1618),ISNUMBER(H1618),F1618&gt;=Inputs!$C$68),F1618*H1618*Inputs!$C$69,"")</f>
      </c>
    </row>
    <row r="1619" spans="2:10" ht="15" customHeight="1" x14ac:dyDescent="0.2">
      <c r="B1619" s="39">
        <f t="shared" si="12"/>
      </c>
      <c r="C1619" s="40">
        <f>IF(Inputs!$C$60,Inputs!$C$11+(B1619-Inputs!$C$69)/Inputs!$C$70,"")</f>
      </c>
      <c r="D1619" s="15"/>
      <c r="E1619" s="15"/>
      <c r="F1619" s="11">
        <f t="shared" si="13"/>
      </c>
      <c r="G1619" s="22" cm="1">
        <f t="array" ref="G1619">IF(AND(Inputs!$C$60,Inputs!$C$61),INDEX(Utility_Rates!$C$29:$F$52,HOUR(C1619)+Inputs!$C$69,MATCH(INDEX(Utility_Rates!$K$6:$K$17,MONTH(C1619))&amp;IF(WEEKDAY(C1619,Inputs!$C$76)&lt;=Inputs!$C$74," weekday"," weekend"),Utility_Rates!$C$28:$F$28,Inputs!$C$68)),"")</f>
      </c>
      <c r="H1619" s="34"/>
      <c r="I1619" s="42">
        <f>IF(AND(ISNUMBER(D1619),ISNUMBER(H1619)),D1619*H1619*Inputs!$C$69,"")</f>
      </c>
      <c r="J1619" s="42">
        <f>IF(AND(ISNUMBER(F1619),ISNUMBER(H1619),F1619&gt;=Inputs!$C$68),F1619*H1619*Inputs!$C$69,"")</f>
      </c>
    </row>
    <row r="1620" spans="2:10" ht="15" customHeight="1" x14ac:dyDescent="0.2">
      <c r="B1620" s="39">
        <f t="shared" si="12"/>
      </c>
      <c r="C1620" s="40">
        <f>IF(Inputs!$C$60,Inputs!$C$11+(B1620-Inputs!$C$69)/Inputs!$C$70,"")</f>
      </c>
      <c r="D1620" s="15"/>
      <c r="E1620" s="15"/>
      <c r="F1620" s="11">
        <f t="shared" si="13"/>
      </c>
      <c r="G1620" s="22" cm="1">
        <f t="array" ref="G1620">IF(AND(Inputs!$C$60,Inputs!$C$61),INDEX(Utility_Rates!$C$29:$F$52,HOUR(C1620)+Inputs!$C$69,MATCH(INDEX(Utility_Rates!$K$6:$K$17,MONTH(C1620))&amp;IF(WEEKDAY(C1620,Inputs!$C$76)&lt;=Inputs!$C$74," weekday"," weekend"),Utility_Rates!$C$28:$F$28,Inputs!$C$68)),"")</f>
      </c>
      <c r="H1620" s="34"/>
      <c r="I1620" s="42">
        <f>IF(AND(ISNUMBER(D1620),ISNUMBER(H1620)),D1620*H1620*Inputs!$C$69,"")</f>
      </c>
      <c r="J1620" s="42">
        <f>IF(AND(ISNUMBER(F1620),ISNUMBER(H1620),F1620&gt;=Inputs!$C$68),F1620*H1620*Inputs!$C$69,"")</f>
      </c>
    </row>
    <row r="1621" spans="2:10" ht="15" customHeight="1" x14ac:dyDescent="0.2">
      <c r="B1621" s="39">
        <f t="shared" si="12"/>
      </c>
      <c r="C1621" s="40">
        <f>IF(Inputs!$C$60,Inputs!$C$11+(B1621-Inputs!$C$69)/Inputs!$C$70,"")</f>
      </c>
      <c r="D1621" s="15"/>
      <c r="E1621" s="15"/>
      <c r="F1621" s="11">
        <f t="shared" si="13"/>
      </c>
      <c r="G1621" s="22" cm="1">
        <f t="array" ref="G1621">IF(AND(Inputs!$C$60,Inputs!$C$61),INDEX(Utility_Rates!$C$29:$F$52,HOUR(C1621)+Inputs!$C$69,MATCH(INDEX(Utility_Rates!$K$6:$K$17,MONTH(C1621))&amp;IF(WEEKDAY(C1621,Inputs!$C$76)&lt;=Inputs!$C$74," weekday"," weekend"),Utility_Rates!$C$28:$F$28,Inputs!$C$68)),"")</f>
      </c>
      <c r="H1621" s="34"/>
      <c r="I1621" s="42">
        <f>IF(AND(ISNUMBER(D1621),ISNUMBER(H1621)),D1621*H1621*Inputs!$C$69,"")</f>
      </c>
      <c r="J1621" s="42">
        <f>IF(AND(ISNUMBER(F1621),ISNUMBER(H1621),F1621&gt;=Inputs!$C$68),F1621*H1621*Inputs!$C$69,"")</f>
      </c>
    </row>
    <row r="1622" spans="2:10" ht="15" customHeight="1" x14ac:dyDescent="0.2">
      <c r="B1622" s="39">
        <f t="shared" si="12"/>
      </c>
      <c r="C1622" s="40">
        <f>IF(Inputs!$C$60,Inputs!$C$11+(B1622-Inputs!$C$69)/Inputs!$C$70,"")</f>
      </c>
      <c r="D1622" s="15"/>
      <c r="E1622" s="15"/>
      <c r="F1622" s="11">
        <f t="shared" si="13"/>
      </c>
      <c r="G1622" s="22" cm="1">
        <f t="array" ref="G1622">IF(AND(Inputs!$C$60,Inputs!$C$61),INDEX(Utility_Rates!$C$29:$F$52,HOUR(C1622)+Inputs!$C$69,MATCH(INDEX(Utility_Rates!$K$6:$K$17,MONTH(C1622))&amp;IF(WEEKDAY(C1622,Inputs!$C$76)&lt;=Inputs!$C$74," weekday"," weekend"),Utility_Rates!$C$28:$F$28,Inputs!$C$68)),"")</f>
      </c>
      <c r="H1622" s="34"/>
      <c r="I1622" s="42">
        <f>IF(AND(ISNUMBER(D1622),ISNUMBER(H1622)),D1622*H1622*Inputs!$C$69,"")</f>
      </c>
      <c r="J1622" s="42">
        <f>IF(AND(ISNUMBER(F1622),ISNUMBER(H1622),F1622&gt;=Inputs!$C$68),F1622*H1622*Inputs!$C$69,"")</f>
      </c>
    </row>
    <row r="1623" spans="2:10" ht="15" customHeight="1" x14ac:dyDescent="0.2">
      <c r="B1623" s="39">
        <f t="shared" si="12"/>
      </c>
      <c r="C1623" s="40">
        <f>IF(Inputs!$C$60,Inputs!$C$11+(B1623-Inputs!$C$69)/Inputs!$C$70,"")</f>
      </c>
      <c r="D1623" s="15"/>
      <c r="E1623" s="15"/>
      <c r="F1623" s="11">
        <f t="shared" si="13"/>
      </c>
      <c r="G1623" s="22" cm="1">
        <f t="array" ref="G1623">IF(AND(Inputs!$C$60,Inputs!$C$61),INDEX(Utility_Rates!$C$29:$F$52,HOUR(C1623)+Inputs!$C$69,MATCH(INDEX(Utility_Rates!$K$6:$K$17,MONTH(C1623))&amp;IF(WEEKDAY(C1623,Inputs!$C$76)&lt;=Inputs!$C$74," weekday"," weekend"),Utility_Rates!$C$28:$F$28,Inputs!$C$68)),"")</f>
      </c>
      <c r="H1623" s="34"/>
      <c r="I1623" s="42">
        <f>IF(AND(ISNUMBER(D1623),ISNUMBER(H1623)),D1623*H1623*Inputs!$C$69,"")</f>
      </c>
      <c r="J1623" s="42">
        <f>IF(AND(ISNUMBER(F1623),ISNUMBER(H1623),F1623&gt;=Inputs!$C$68),F1623*H1623*Inputs!$C$69,"")</f>
      </c>
    </row>
    <row r="1624" spans="2:10" ht="15" customHeight="1" x14ac:dyDescent="0.2">
      <c r="B1624" s="39">
        <f t="shared" si="12"/>
      </c>
      <c r="C1624" s="40">
        <f>IF(Inputs!$C$60,Inputs!$C$11+(B1624-Inputs!$C$69)/Inputs!$C$70,"")</f>
      </c>
      <c r="D1624" s="15"/>
      <c r="E1624" s="15"/>
      <c r="F1624" s="11">
        <f t="shared" si="13"/>
      </c>
      <c r="G1624" s="22" cm="1">
        <f t="array" ref="G1624">IF(AND(Inputs!$C$60,Inputs!$C$61),INDEX(Utility_Rates!$C$29:$F$52,HOUR(C1624)+Inputs!$C$69,MATCH(INDEX(Utility_Rates!$K$6:$K$17,MONTH(C1624))&amp;IF(WEEKDAY(C1624,Inputs!$C$76)&lt;=Inputs!$C$74," weekday"," weekend"),Utility_Rates!$C$28:$F$28,Inputs!$C$68)),"")</f>
      </c>
      <c r="H1624" s="34"/>
      <c r="I1624" s="42">
        <f>IF(AND(ISNUMBER(D1624),ISNUMBER(H1624)),D1624*H1624*Inputs!$C$69,"")</f>
      </c>
      <c r="J1624" s="42">
        <f>IF(AND(ISNUMBER(F1624),ISNUMBER(H1624),F1624&gt;=Inputs!$C$68),F1624*H1624*Inputs!$C$69,"")</f>
      </c>
    </row>
    <row r="1625" spans="2:10" ht="15" customHeight="1" x14ac:dyDescent="0.2">
      <c r="B1625" s="39">
        <f t="shared" si="12"/>
      </c>
      <c r="C1625" s="40">
        <f>IF(Inputs!$C$60,Inputs!$C$11+(B1625-Inputs!$C$69)/Inputs!$C$70,"")</f>
      </c>
      <c r="D1625" s="15"/>
      <c r="E1625" s="15"/>
      <c r="F1625" s="11">
        <f t="shared" si="13"/>
      </c>
      <c r="G1625" s="22" cm="1">
        <f t="array" ref="G1625">IF(AND(Inputs!$C$60,Inputs!$C$61),INDEX(Utility_Rates!$C$29:$F$52,HOUR(C1625)+Inputs!$C$69,MATCH(INDEX(Utility_Rates!$K$6:$K$17,MONTH(C1625))&amp;IF(WEEKDAY(C1625,Inputs!$C$76)&lt;=Inputs!$C$74," weekday"," weekend"),Utility_Rates!$C$28:$F$28,Inputs!$C$68)),"")</f>
      </c>
      <c r="H1625" s="34"/>
      <c r="I1625" s="42">
        <f>IF(AND(ISNUMBER(D1625),ISNUMBER(H1625)),D1625*H1625*Inputs!$C$69,"")</f>
      </c>
      <c r="J1625" s="42">
        <f>IF(AND(ISNUMBER(F1625),ISNUMBER(H1625),F1625&gt;=Inputs!$C$68),F1625*H1625*Inputs!$C$69,"")</f>
      </c>
    </row>
    <row r="1626" spans="2:10" ht="15" customHeight="1" x14ac:dyDescent="0.2">
      <c r="B1626" s="39">
        <f t="shared" si="12"/>
      </c>
      <c r="C1626" s="40">
        <f>IF(Inputs!$C$60,Inputs!$C$11+(B1626-Inputs!$C$69)/Inputs!$C$70,"")</f>
      </c>
      <c r="D1626" s="15"/>
      <c r="E1626" s="15"/>
      <c r="F1626" s="11">
        <f t="shared" si="13"/>
      </c>
      <c r="G1626" s="22" cm="1">
        <f t="array" ref="G1626">IF(AND(Inputs!$C$60,Inputs!$C$61),INDEX(Utility_Rates!$C$29:$F$52,HOUR(C1626)+Inputs!$C$69,MATCH(INDEX(Utility_Rates!$K$6:$K$17,MONTH(C1626))&amp;IF(WEEKDAY(C1626,Inputs!$C$76)&lt;=Inputs!$C$74," weekday"," weekend"),Utility_Rates!$C$28:$F$28,Inputs!$C$68)),"")</f>
      </c>
      <c r="H1626" s="34"/>
      <c r="I1626" s="42">
        <f>IF(AND(ISNUMBER(D1626),ISNUMBER(H1626)),D1626*H1626*Inputs!$C$69,"")</f>
      </c>
      <c r="J1626" s="42">
        <f>IF(AND(ISNUMBER(F1626),ISNUMBER(H1626),F1626&gt;=Inputs!$C$68),F1626*H1626*Inputs!$C$69,"")</f>
      </c>
    </row>
    <row r="1627" spans="2:10" ht="15" customHeight="1" x14ac:dyDescent="0.2">
      <c r="B1627" s="39">
        <f t="shared" si="12"/>
      </c>
      <c r="C1627" s="40">
        <f>IF(Inputs!$C$60,Inputs!$C$11+(B1627-Inputs!$C$69)/Inputs!$C$70,"")</f>
      </c>
      <c r="D1627" s="15"/>
      <c r="E1627" s="15"/>
      <c r="F1627" s="11">
        <f t="shared" si="13"/>
      </c>
      <c r="G1627" s="22" cm="1">
        <f t="array" ref="G1627">IF(AND(Inputs!$C$60,Inputs!$C$61),INDEX(Utility_Rates!$C$29:$F$52,HOUR(C1627)+Inputs!$C$69,MATCH(INDEX(Utility_Rates!$K$6:$K$17,MONTH(C1627))&amp;IF(WEEKDAY(C1627,Inputs!$C$76)&lt;=Inputs!$C$74," weekday"," weekend"),Utility_Rates!$C$28:$F$28,Inputs!$C$68)),"")</f>
      </c>
      <c r="H1627" s="34"/>
      <c r="I1627" s="42">
        <f>IF(AND(ISNUMBER(D1627),ISNUMBER(H1627)),D1627*H1627*Inputs!$C$69,"")</f>
      </c>
      <c r="J1627" s="42">
        <f>IF(AND(ISNUMBER(F1627),ISNUMBER(H1627),F1627&gt;=Inputs!$C$68),F1627*H1627*Inputs!$C$69,"")</f>
      </c>
    </row>
    <row r="1628" spans="2:10" ht="15" customHeight="1" x14ac:dyDescent="0.2">
      <c r="B1628" s="39">
        <f t="shared" si="12"/>
      </c>
      <c r="C1628" s="40">
        <f>IF(Inputs!$C$60,Inputs!$C$11+(B1628-Inputs!$C$69)/Inputs!$C$70,"")</f>
      </c>
      <c r="D1628" s="15"/>
      <c r="E1628" s="15"/>
      <c r="F1628" s="11">
        <f t="shared" si="13"/>
      </c>
      <c r="G1628" s="22" cm="1">
        <f t="array" ref="G1628">IF(AND(Inputs!$C$60,Inputs!$C$61),INDEX(Utility_Rates!$C$29:$F$52,HOUR(C1628)+Inputs!$C$69,MATCH(INDEX(Utility_Rates!$K$6:$K$17,MONTH(C1628))&amp;IF(WEEKDAY(C1628,Inputs!$C$76)&lt;=Inputs!$C$74," weekday"," weekend"),Utility_Rates!$C$28:$F$28,Inputs!$C$68)),"")</f>
      </c>
      <c r="H1628" s="34"/>
      <c r="I1628" s="42">
        <f>IF(AND(ISNUMBER(D1628),ISNUMBER(H1628)),D1628*H1628*Inputs!$C$69,"")</f>
      </c>
      <c r="J1628" s="42">
        <f>IF(AND(ISNUMBER(F1628),ISNUMBER(H1628),F1628&gt;=Inputs!$C$68),F1628*H1628*Inputs!$C$69,"")</f>
      </c>
    </row>
    <row r="1629" spans="2:10" ht="15" customHeight="1" x14ac:dyDescent="0.2">
      <c r="B1629" s="39">
        <f t="shared" si="12"/>
      </c>
      <c r="C1629" s="40">
        <f>IF(Inputs!$C$60,Inputs!$C$11+(B1629-Inputs!$C$69)/Inputs!$C$70,"")</f>
      </c>
      <c r="D1629" s="15"/>
      <c r="E1629" s="15"/>
      <c r="F1629" s="11">
        <f t="shared" si="13"/>
      </c>
      <c r="G1629" s="22" cm="1">
        <f t="array" ref="G1629">IF(AND(Inputs!$C$60,Inputs!$C$61),INDEX(Utility_Rates!$C$29:$F$52,HOUR(C1629)+Inputs!$C$69,MATCH(INDEX(Utility_Rates!$K$6:$K$17,MONTH(C1629))&amp;IF(WEEKDAY(C1629,Inputs!$C$76)&lt;=Inputs!$C$74," weekday"," weekend"),Utility_Rates!$C$28:$F$28,Inputs!$C$68)),"")</f>
      </c>
      <c r="H1629" s="34"/>
      <c r="I1629" s="42">
        <f>IF(AND(ISNUMBER(D1629),ISNUMBER(H1629)),D1629*H1629*Inputs!$C$69,"")</f>
      </c>
      <c r="J1629" s="42">
        <f>IF(AND(ISNUMBER(F1629),ISNUMBER(H1629),F1629&gt;=Inputs!$C$68),F1629*H1629*Inputs!$C$69,"")</f>
      </c>
    </row>
    <row r="1630" spans="2:10" ht="15" customHeight="1" x14ac:dyDescent="0.2">
      <c r="B1630" s="39">
        <f t="shared" si="12"/>
      </c>
      <c r="C1630" s="40">
        <f>IF(Inputs!$C$60,Inputs!$C$11+(B1630-Inputs!$C$69)/Inputs!$C$70,"")</f>
      </c>
      <c r="D1630" s="15"/>
      <c r="E1630" s="15"/>
      <c r="F1630" s="11">
        <f t="shared" si="13"/>
      </c>
      <c r="G1630" s="22" cm="1">
        <f t="array" ref="G1630">IF(AND(Inputs!$C$60,Inputs!$C$61),INDEX(Utility_Rates!$C$29:$F$52,HOUR(C1630)+Inputs!$C$69,MATCH(INDEX(Utility_Rates!$K$6:$K$17,MONTH(C1630))&amp;IF(WEEKDAY(C1630,Inputs!$C$76)&lt;=Inputs!$C$74," weekday"," weekend"),Utility_Rates!$C$28:$F$28,Inputs!$C$68)),"")</f>
      </c>
      <c r="H1630" s="34"/>
      <c r="I1630" s="42">
        <f>IF(AND(ISNUMBER(D1630),ISNUMBER(H1630)),D1630*H1630*Inputs!$C$69,"")</f>
      </c>
      <c r="J1630" s="42">
        <f>IF(AND(ISNUMBER(F1630),ISNUMBER(H1630),F1630&gt;=Inputs!$C$68),F1630*H1630*Inputs!$C$69,"")</f>
      </c>
    </row>
    <row r="1631" spans="2:10" ht="15" customHeight="1" x14ac:dyDescent="0.2">
      <c r="B1631" s="39">
        <f t="shared" si="12"/>
      </c>
      <c r="C1631" s="40">
        <f>IF(Inputs!$C$60,Inputs!$C$11+(B1631-Inputs!$C$69)/Inputs!$C$70,"")</f>
      </c>
      <c r="D1631" s="15"/>
      <c r="E1631" s="15"/>
      <c r="F1631" s="11">
        <f t="shared" si="13"/>
      </c>
      <c r="G1631" s="22" cm="1">
        <f t="array" ref="G1631">IF(AND(Inputs!$C$60,Inputs!$C$61),INDEX(Utility_Rates!$C$29:$F$52,HOUR(C1631)+Inputs!$C$69,MATCH(INDEX(Utility_Rates!$K$6:$K$17,MONTH(C1631))&amp;IF(WEEKDAY(C1631,Inputs!$C$76)&lt;=Inputs!$C$74," weekday"," weekend"),Utility_Rates!$C$28:$F$28,Inputs!$C$68)),"")</f>
      </c>
      <c r="H1631" s="34"/>
      <c r="I1631" s="42">
        <f>IF(AND(ISNUMBER(D1631),ISNUMBER(H1631)),D1631*H1631*Inputs!$C$69,"")</f>
      </c>
      <c r="J1631" s="42">
        <f>IF(AND(ISNUMBER(F1631),ISNUMBER(H1631),F1631&gt;=Inputs!$C$68),F1631*H1631*Inputs!$C$69,"")</f>
      </c>
    </row>
    <row r="1632" spans="2:10" ht="15" customHeight="1" x14ac:dyDescent="0.2">
      <c r="B1632" s="39">
        <f t="shared" si="12"/>
      </c>
      <c r="C1632" s="40">
        <f>IF(Inputs!$C$60,Inputs!$C$11+(B1632-Inputs!$C$69)/Inputs!$C$70,"")</f>
      </c>
      <c r="D1632" s="15"/>
      <c r="E1632" s="15"/>
      <c r="F1632" s="11">
        <f t="shared" si="13"/>
      </c>
      <c r="G1632" s="22" cm="1">
        <f t="array" ref="G1632">IF(AND(Inputs!$C$60,Inputs!$C$61),INDEX(Utility_Rates!$C$29:$F$52,HOUR(C1632)+Inputs!$C$69,MATCH(INDEX(Utility_Rates!$K$6:$K$17,MONTH(C1632))&amp;IF(WEEKDAY(C1632,Inputs!$C$76)&lt;=Inputs!$C$74," weekday"," weekend"),Utility_Rates!$C$28:$F$28,Inputs!$C$68)),"")</f>
      </c>
      <c r="H1632" s="34"/>
      <c r="I1632" s="42">
        <f>IF(AND(ISNUMBER(D1632),ISNUMBER(H1632)),D1632*H1632*Inputs!$C$69,"")</f>
      </c>
      <c r="J1632" s="42">
        <f>IF(AND(ISNUMBER(F1632),ISNUMBER(H1632),F1632&gt;=Inputs!$C$68),F1632*H1632*Inputs!$C$69,"")</f>
      </c>
    </row>
    <row r="1633" spans="2:10" ht="15" customHeight="1" x14ac:dyDescent="0.2">
      <c r="B1633" s="39">
        <f t="shared" si="12"/>
      </c>
      <c r="C1633" s="40">
        <f>IF(Inputs!$C$60,Inputs!$C$11+(B1633-Inputs!$C$69)/Inputs!$C$70,"")</f>
      </c>
      <c r="D1633" s="15"/>
      <c r="E1633" s="15"/>
      <c r="F1633" s="11">
        <f t="shared" si="13"/>
      </c>
      <c r="G1633" s="22" cm="1">
        <f t="array" ref="G1633">IF(AND(Inputs!$C$60,Inputs!$C$61),INDEX(Utility_Rates!$C$29:$F$52,HOUR(C1633)+Inputs!$C$69,MATCH(INDEX(Utility_Rates!$K$6:$K$17,MONTH(C1633))&amp;IF(WEEKDAY(C1633,Inputs!$C$76)&lt;=Inputs!$C$74," weekday"," weekend"),Utility_Rates!$C$28:$F$28,Inputs!$C$68)),"")</f>
      </c>
      <c r="H1633" s="34"/>
      <c r="I1633" s="42">
        <f>IF(AND(ISNUMBER(D1633),ISNUMBER(H1633)),D1633*H1633*Inputs!$C$69,"")</f>
      </c>
      <c r="J1633" s="42">
        <f>IF(AND(ISNUMBER(F1633),ISNUMBER(H1633),F1633&gt;=Inputs!$C$68),F1633*H1633*Inputs!$C$69,"")</f>
      </c>
    </row>
    <row r="1634" spans="2:10" ht="15" customHeight="1" x14ac:dyDescent="0.2">
      <c r="B1634" s="39">
        <f t="shared" si="12"/>
      </c>
      <c r="C1634" s="40">
        <f>IF(Inputs!$C$60,Inputs!$C$11+(B1634-Inputs!$C$69)/Inputs!$C$70,"")</f>
      </c>
      <c r="D1634" s="15"/>
      <c r="E1634" s="15"/>
      <c r="F1634" s="11">
        <f t="shared" si="13"/>
      </c>
      <c r="G1634" s="22" cm="1">
        <f t="array" ref="G1634">IF(AND(Inputs!$C$60,Inputs!$C$61),INDEX(Utility_Rates!$C$29:$F$52,HOUR(C1634)+Inputs!$C$69,MATCH(INDEX(Utility_Rates!$K$6:$K$17,MONTH(C1634))&amp;IF(WEEKDAY(C1634,Inputs!$C$76)&lt;=Inputs!$C$74," weekday"," weekend"),Utility_Rates!$C$28:$F$28,Inputs!$C$68)),"")</f>
      </c>
      <c r="H1634" s="34"/>
      <c r="I1634" s="42">
        <f>IF(AND(ISNUMBER(D1634),ISNUMBER(H1634)),D1634*H1634*Inputs!$C$69,"")</f>
      </c>
      <c r="J1634" s="42">
        <f>IF(AND(ISNUMBER(F1634),ISNUMBER(H1634),F1634&gt;=Inputs!$C$68),F1634*H1634*Inputs!$C$69,"")</f>
      </c>
    </row>
    <row r="1635" spans="2:10" ht="15" customHeight="1" x14ac:dyDescent="0.2">
      <c r="B1635" s="39">
        <f t="shared" si="12"/>
      </c>
      <c r="C1635" s="40">
        <f>IF(Inputs!$C$60,Inputs!$C$11+(B1635-Inputs!$C$69)/Inputs!$C$70,"")</f>
      </c>
      <c r="D1635" s="15"/>
      <c r="E1635" s="15"/>
      <c r="F1635" s="11">
        <f t="shared" si="13"/>
      </c>
      <c r="G1635" s="22" cm="1">
        <f t="array" ref="G1635">IF(AND(Inputs!$C$60,Inputs!$C$61),INDEX(Utility_Rates!$C$29:$F$52,HOUR(C1635)+Inputs!$C$69,MATCH(INDEX(Utility_Rates!$K$6:$K$17,MONTH(C1635))&amp;IF(WEEKDAY(C1635,Inputs!$C$76)&lt;=Inputs!$C$74," weekday"," weekend"),Utility_Rates!$C$28:$F$28,Inputs!$C$68)),"")</f>
      </c>
      <c r="H1635" s="34"/>
      <c r="I1635" s="42">
        <f>IF(AND(ISNUMBER(D1635),ISNUMBER(H1635)),D1635*H1635*Inputs!$C$69,"")</f>
      </c>
      <c r="J1635" s="42">
        <f>IF(AND(ISNUMBER(F1635),ISNUMBER(H1635),F1635&gt;=Inputs!$C$68),F1635*H1635*Inputs!$C$69,"")</f>
      </c>
    </row>
    <row r="1636" spans="2:10" ht="15" customHeight="1" x14ac:dyDescent="0.2">
      <c r="B1636" s="39">
        <f t="shared" si="12"/>
      </c>
      <c r="C1636" s="40">
        <f>IF(Inputs!$C$60,Inputs!$C$11+(B1636-Inputs!$C$69)/Inputs!$C$70,"")</f>
      </c>
      <c r="D1636" s="15"/>
      <c r="E1636" s="15"/>
      <c r="F1636" s="11">
        <f t="shared" si="13"/>
      </c>
      <c r="G1636" s="22" cm="1">
        <f t="array" ref="G1636">IF(AND(Inputs!$C$60,Inputs!$C$61),INDEX(Utility_Rates!$C$29:$F$52,HOUR(C1636)+Inputs!$C$69,MATCH(INDEX(Utility_Rates!$K$6:$K$17,MONTH(C1636))&amp;IF(WEEKDAY(C1636,Inputs!$C$76)&lt;=Inputs!$C$74," weekday"," weekend"),Utility_Rates!$C$28:$F$28,Inputs!$C$68)),"")</f>
      </c>
      <c r="H1636" s="34"/>
      <c r="I1636" s="42">
        <f>IF(AND(ISNUMBER(D1636),ISNUMBER(H1636)),D1636*H1636*Inputs!$C$69,"")</f>
      </c>
      <c r="J1636" s="42">
        <f>IF(AND(ISNUMBER(F1636),ISNUMBER(H1636),F1636&gt;=Inputs!$C$68),F1636*H1636*Inputs!$C$69,"")</f>
      </c>
    </row>
    <row r="1637" spans="2:10" ht="15" customHeight="1" x14ac:dyDescent="0.2">
      <c r="B1637" s="39">
        <f t="shared" si="12"/>
      </c>
      <c r="C1637" s="40">
        <f>IF(Inputs!$C$60,Inputs!$C$11+(B1637-Inputs!$C$69)/Inputs!$C$70,"")</f>
      </c>
      <c r="D1637" s="15"/>
      <c r="E1637" s="15"/>
      <c r="F1637" s="11">
        <f t="shared" si="13"/>
      </c>
      <c r="G1637" s="22" cm="1">
        <f t="array" ref="G1637">IF(AND(Inputs!$C$60,Inputs!$C$61),INDEX(Utility_Rates!$C$29:$F$52,HOUR(C1637)+Inputs!$C$69,MATCH(INDEX(Utility_Rates!$K$6:$K$17,MONTH(C1637))&amp;IF(WEEKDAY(C1637,Inputs!$C$76)&lt;=Inputs!$C$74," weekday"," weekend"),Utility_Rates!$C$28:$F$28,Inputs!$C$68)),"")</f>
      </c>
      <c r="H1637" s="34"/>
      <c r="I1637" s="42">
        <f>IF(AND(ISNUMBER(D1637),ISNUMBER(H1637)),D1637*H1637*Inputs!$C$69,"")</f>
      </c>
      <c r="J1637" s="42">
        <f>IF(AND(ISNUMBER(F1637),ISNUMBER(H1637),F1637&gt;=Inputs!$C$68),F1637*H1637*Inputs!$C$69,"")</f>
      </c>
    </row>
    <row r="1638" spans="2:10" ht="15" customHeight="1" x14ac:dyDescent="0.2">
      <c r="B1638" s="39">
        <f t="shared" si="12"/>
      </c>
      <c r="C1638" s="40">
        <f>IF(Inputs!$C$60,Inputs!$C$11+(B1638-Inputs!$C$69)/Inputs!$C$70,"")</f>
      </c>
      <c r="D1638" s="15"/>
      <c r="E1638" s="15"/>
      <c r="F1638" s="11">
        <f t="shared" si="13"/>
      </c>
      <c r="G1638" s="22" cm="1">
        <f t="array" ref="G1638">IF(AND(Inputs!$C$60,Inputs!$C$61),INDEX(Utility_Rates!$C$29:$F$52,HOUR(C1638)+Inputs!$C$69,MATCH(INDEX(Utility_Rates!$K$6:$K$17,MONTH(C1638))&amp;IF(WEEKDAY(C1638,Inputs!$C$76)&lt;=Inputs!$C$74," weekday"," weekend"),Utility_Rates!$C$28:$F$28,Inputs!$C$68)),"")</f>
      </c>
      <c r="H1638" s="34"/>
      <c r="I1638" s="42">
        <f>IF(AND(ISNUMBER(D1638),ISNUMBER(H1638)),D1638*H1638*Inputs!$C$69,"")</f>
      </c>
      <c r="J1638" s="42">
        <f>IF(AND(ISNUMBER(F1638),ISNUMBER(H1638),F1638&gt;=Inputs!$C$68),F1638*H1638*Inputs!$C$69,"")</f>
      </c>
    </row>
    <row r="1639" spans="2:10" ht="15" customHeight="1" x14ac:dyDescent="0.2">
      <c r="B1639" s="39">
        <f t="shared" si="12"/>
      </c>
      <c r="C1639" s="40">
        <f>IF(Inputs!$C$60,Inputs!$C$11+(B1639-Inputs!$C$69)/Inputs!$C$70,"")</f>
      </c>
      <c r="D1639" s="15"/>
      <c r="E1639" s="15"/>
      <c r="F1639" s="11">
        <f t="shared" si="13"/>
      </c>
      <c r="G1639" s="22" cm="1">
        <f t="array" ref="G1639">IF(AND(Inputs!$C$60,Inputs!$C$61),INDEX(Utility_Rates!$C$29:$F$52,HOUR(C1639)+Inputs!$C$69,MATCH(INDEX(Utility_Rates!$K$6:$K$17,MONTH(C1639))&amp;IF(WEEKDAY(C1639,Inputs!$C$76)&lt;=Inputs!$C$74," weekday"," weekend"),Utility_Rates!$C$28:$F$28,Inputs!$C$68)),"")</f>
      </c>
      <c r="H1639" s="34"/>
      <c r="I1639" s="42">
        <f>IF(AND(ISNUMBER(D1639),ISNUMBER(H1639)),D1639*H1639*Inputs!$C$69,"")</f>
      </c>
      <c r="J1639" s="42">
        <f>IF(AND(ISNUMBER(F1639),ISNUMBER(H1639),F1639&gt;=Inputs!$C$68),F1639*H1639*Inputs!$C$69,"")</f>
      </c>
    </row>
    <row r="1640" spans="2:10" ht="15" customHeight="1" x14ac:dyDescent="0.2">
      <c r="B1640" s="39">
        <f t="shared" si="12"/>
      </c>
      <c r="C1640" s="40">
        <f>IF(Inputs!$C$60,Inputs!$C$11+(B1640-Inputs!$C$69)/Inputs!$C$70,"")</f>
      </c>
      <c r="D1640" s="15"/>
      <c r="E1640" s="15"/>
      <c r="F1640" s="11">
        <f t="shared" si="13"/>
      </c>
      <c r="G1640" s="22" cm="1">
        <f t="array" ref="G1640">IF(AND(Inputs!$C$60,Inputs!$C$61),INDEX(Utility_Rates!$C$29:$F$52,HOUR(C1640)+Inputs!$C$69,MATCH(INDEX(Utility_Rates!$K$6:$K$17,MONTH(C1640))&amp;IF(WEEKDAY(C1640,Inputs!$C$76)&lt;=Inputs!$C$74," weekday"," weekend"),Utility_Rates!$C$28:$F$28,Inputs!$C$68)),"")</f>
      </c>
      <c r="H1640" s="34"/>
      <c r="I1640" s="42">
        <f>IF(AND(ISNUMBER(D1640),ISNUMBER(H1640)),D1640*H1640*Inputs!$C$69,"")</f>
      </c>
      <c r="J1640" s="42">
        <f>IF(AND(ISNUMBER(F1640),ISNUMBER(H1640),F1640&gt;=Inputs!$C$68),F1640*H1640*Inputs!$C$69,"")</f>
      </c>
    </row>
    <row r="1641" spans="2:10" ht="15" customHeight="1" x14ac:dyDescent="0.2">
      <c r="B1641" s="39">
        <f t="shared" si="12"/>
      </c>
      <c r="C1641" s="40">
        <f>IF(Inputs!$C$60,Inputs!$C$11+(B1641-Inputs!$C$69)/Inputs!$C$70,"")</f>
      </c>
      <c r="D1641" s="15"/>
      <c r="E1641" s="15"/>
      <c r="F1641" s="11">
        <f t="shared" si="13"/>
      </c>
      <c r="G1641" s="22" cm="1">
        <f t="array" ref="G1641">IF(AND(Inputs!$C$60,Inputs!$C$61),INDEX(Utility_Rates!$C$29:$F$52,HOUR(C1641)+Inputs!$C$69,MATCH(INDEX(Utility_Rates!$K$6:$K$17,MONTH(C1641))&amp;IF(WEEKDAY(C1641,Inputs!$C$76)&lt;=Inputs!$C$74," weekday"," weekend"),Utility_Rates!$C$28:$F$28,Inputs!$C$68)),"")</f>
      </c>
      <c r="H1641" s="34"/>
      <c r="I1641" s="42">
        <f>IF(AND(ISNUMBER(D1641),ISNUMBER(H1641)),D1641*H1641*Inputs!$C$69,"")</f>
      </c>
      <c r="J1641" s="42">
        <f>IF(AND(ISNUMBER(F1641),ISNUMBER(H1641),F1641&gt;=Inputs!$C$68),F1641*H1641*Inputs!$C$69,"")</f>
      </c>
    </row>
    <row r="1642" spans="2:10" ht="15" customHeight="1" x14ac:dyDescent="0.2">
      <c r="B1642" s="39">
        <f t="shared" si="12"/>
      </c>
      <c r="C1642" s="40">
        <f>IF(Inputs!$C$60,Inputs!$C$11+(B1642-Inputs!$C$69)/Inputs!$C$70,"")</f>
      </c>
      <c r="D1642" s="15"/>
      <c r="E1642" s="15"/>
      <c r="F1642" s="11">
        <f t="shared" si="13"/>
      </c>
      <c r="G1642" s="22" cm="1">
        <f t="array" ref="G1642">IF(AND(Inputs!$C$60,Inputs!$C$61),INDEX(Utility_Rates!$C$29:$F$52,HOUR(C1642)+Inputs!$C$69,MATCH(INDEX(Utility_Rates!$K$6:$K$17,MONTH(C1642))&amp;IF(WEEKDAY(C1642,Inputs!$C$76)&lt;=Inputs!$C$74," weekday"," weekend"),Utility_Rates!$C$28:$F$28,Inputs!$C$68)),"")</f>
      </c>
      <c r="H1642" s="34"/>
      <c r="I1642" s="42">
        <f>IF(AND(ISNUMBER(D1642),ISNUMBER(H1642)),D1642*H1642*Inputs!$C$69,"")</f>
      </c>
      <c r="J1642" s="42">
        <f>IF(AND(ISNUMBER(F1642),ISNUMBER(H1642),F1642&gt;=Inputs!$C$68),F1642*H1642*Inputs!$C$69,"")</f>
      </c>
    </row>
    <row r="1643" spans="2:10" ht="15" customHeight="1" x14ac:dyDescent="0.2">
      <c r="B1643" s="39">
        <f t="shared" si="12"/>
      </c>
      <c r="C1643" s="40">
        <f>IF(Inputs!$C$60,Inputs!$C$11+(B1643-Inputs!$C$69)/Inputs!$C$70,"")</f>
      </c>
      <c r="D1643" s="15"/>
      <c r="E1643" s="15"/>
      <c r="F1643" s="11">
        <f t="shared" si="13"/>
      </c>
      <c r="G1643" s="22" cm="1">
        <f t="array" ref="G1643">IF(AND(Inputs!$C$60,Inputs!$C$61),INDEX(Utility_Rates!$C$29:$F$52,HOUR(C1643)+Inputs!$C$69,MATCH(INDEX(Utility_Rates!$K$6:$K$17,MONTH(C1643))&amp;IF(WEEKDAY(C1643,Inputs!$C$76)&lt;=Inputs!$C$74," weekday"," weekend"),Utility_Rates!$C$28:$F$28,Inputs!$C$68)),"")</f>
      </c>
      <c r="H1643" s="34"/>
      <c r="I1643" s="42">
        <f>IF(AND(ISNUMBER(D1643),ISNUMBER(H1643)),D1643*H1643*Inputs!$C$69,"")</f>
      </c>
      <c r="J1643" s="42">
        <f>IF(AND(ISNUMBER(F1643),ISNUMBER(H1643),F1643&gt;=Inputs!$C$68),F1643*H1643*Inputs!$C$69,"")</f>
      </c>
    </row>
    <row r="1644" spans="2:10" ht="15" customHeight="1" x14ac:dyDescent="0.2">
      <c r="B1644" s="39">
        <f t="shared" si="12"/>
      </c>
      <c r="C1644" s="40">
        <f>IF(Inputs!$C$60,Inputs!$C$11+(B1644-Inputs!$C$69)/Inputs!$C$70,"")</f>
      </c>
      <c r="D1644" s="15"/>
      <c r="E1644" s="15"/>
      <c r="F1644" s="11">
        <f t="shared" si="13"/>
      </c>
      <c r="G1644" s="22" cm="1">
        <f t="array" ref="G1644">IF(AND(Inputs!$C$60,Inputs!$C$61),INDEX(Utility_Rates!$C$29:$F$52,HOUR(C1644)+Inputs!$C$69,MATCH(INDEX(Utility_Rates!$K$6:$K$17,MONTH(C1644))&amp;IF(WEEKDAY(C1644,Inputs!$C$76)&lt;=Inputs!$C$74," weekday"," weekend"),Utility_Rates!$C$28:$F$28,Inputs!$C$68)),"")</f>
      </c>
      <c r="H1644" s="34"/>
      <c r="I1644" s="42">
        <f>IF(AND(ISNUMBER(D1644),ISNUMBER(H1644)),D1644*H1644*Inputs!$C$69,"")</f>
      </c>
      <c r="J1644" s="42">
        <f>IF(AND(ISNUMBER(F1644),ISNUMBER(H1644),F1644&gt;=Inputs!$C$68),F1644*H1644*Inputs!$C$69,"")</f>
      </c>
    </row>
    <row r="1645" spans="2:10" ht="15" customHeight="1" x14ac:dyDescent="0.2">
      <c r="B1645" s="39">
        <f t="shared" si="12"/>
      </c>
      <c r="C1645" s="40">
        <f>IF(Inputs!$C$60,Inputs!$C$11+(B1645-Inputs!$C$69)/Inputs!$C$70,"")</f>
      </c>
      <c r="D1645" s="15"/>
      <c r="E1645" s="15"/>
      <c r="F1645" s="11">
        <f t="shared" si="13"/>
      </c>
      <c r="G1645" s="22" cm="1">
        <f t="array" ref="G1645">IF(AND(Inputs!$C$60,Inputs!$C$61),INDEX(Utility_Rates!$C$29:$F$52,HOUR(C1645)+Inputs!$C$69,MATCH(INDEX(Utility_Rates!$K$6:$K$17,MONTH(C1645))&amp;IF(WEEKDAY(C1645,Inputs!$C$76)&lt;=Inputs!$C$74," weekday"," weekend"),Utility_Rates!$C$28:$F$28,Inputs!$C$68)),"")</f>
      </c>
      <c r="H1645" s="34"/>
      <c r="I1645" s="42">
        <f>IF(AND(ISNUMBER(D1645),ISNUMBER(H1645)),D1645*H1645*Inputs!$C$69,"")</f>
      </c>
      <c r="J1645" s="42">
        <f>IF(AND(ISNUMBER(F1645),ISNUMBER(H1645),F1645&gt;=Inputs!$C$68),F1645*H1645*Inputs!$C$69,"")</f>
      </c>
    </row>
    <row r="1646" spans="2:10" ht="15" customHeight="1" x14ac:dyDescent="0.2">
      <c r="B1646" s="39">
        <f t="shared" si="12"/>
      </c>
      <c r="C1646" s="40">
        <f>IF(Inputs!$C$60,Inputs!$C$11+(B1646-Inputs!$C$69)/Inputs!$C$70,"")</f>
      </c>
      <c r="D1646" s="15"/>
      <c r="E1646" s="15"/>
      <c r="F1646" s="11">
        <f t="shared" si="13"/>
      </c>
      <c r="G1646" s="22" cm="1">
        <f t="array" ref="G1646">IF(AND(Inputs!$C$60,Inputs!$C$61),INDEX(Utility_Rates!$C$29:$F$52,HOUR(C1646)+Inputs!$C$69,MATCH(INDEX(Utility_Rates!$K$6:$K$17,MONTH(C1646))&amp;IF(WEEKDAY(C1646,Inputs!$C$76)&lt;=Inputs!$C$74," weekday"," weekend"),Utility_Rates!$C$28:$F$28,Inputs!$C$68)),"")</f>
      </c>
      <c r="H1646" s="34"/>
      <c r="I1646" s="42">
        <f>IF(AND(ISNUMBER(D1646),ISNUMBER(H1646)),D1646*H1646*Inputs!$C$69,"")</f>
      </c>
      <c r="J1646" s="42">
        <f>IF(AND(ISNUMBER(F1646),ISNUMBER(H1646),F1646&gt;=Inputs!$C$68),F1646*H1646*Inputs!$C$69,"")</f>
      </c>
    </row>
    <row r="1647" spans="2:10" ht="15" customHeight="1" x14ac:dyDescent="0.2">
      <c r="B1647" s="39">
        <f t="shared" si="12"/>
      </c>
      <c r="C1647" s="40">
        <f>IF(Inputs!$C$60,Inputs!$C$11+(B1647-Inputs!$C$69)/Inputs!$C$70,"")</f>
      </c>
      <c r="D1647" s="15"/>
      <c r="E1647" s="15"/>
      <c r="F1647" s="11">
        <f t="shared" si="13"/>
      </c>
      <c r="G1647" s="22" cm="1">
        <f t="array" ref="G1647">IF(AND(Inputs!$C$60,Inputs!$C$61),INDEX(Utility_Rates!$C$29:$F$52,HOUR(C1647)+Inputs!$C$69,MATCH(INDEX(Utility_Rates!$K$6:$K$17,MONTH(C1647))&amp;IF(WEEKDAY(C1647,Inputs!$C$76)&lt;=Inputs!$C$74," weekday"," weekend"),Utility_Rates!$C$28:$F$28,Inputs!$C$68)),"")</f>
      </c>
      <c r="H1647" s="34"/>
      <c r="I1647" s="42">
        <f>IF(AND(ISNUMBER(D1647),ISNUMBER(H1647)),D1647*H1647*Inputs!$C$69,"")</f>
      </c>
      <c r="J1647" s="42">
        <f>IF(AND(ISNUMBER(F1647),ISNUMBER(H1647),F1647&gt;=Inputs!$C$68),F1647*H1647*Inputs!$C$69,"")</f>
      </c>
    </row>
    <row r="1648" spans="2:10" ht="15" customHeight="1" x14ac:dyDescent="0.2">
      <c r="B1648" s="39">
        <f t="shared" si="12"/>
      </c>
      <c r="C1648" s="40">
        <f>IF(Inputs!$C$60,Inputs!$C$11+(B1648-Inputs!$C$69)/Inputs!$C$70,"")</f>
      </c>
      <c r="D1648" s="15"/>
      <c r="E1648" s="15"/>
      <c r="F1648" s="11">
        <f t="shared" si="13"/>
      </c>
      <c r="G1648" s="22" cm="1">
        <f t="array" ref="G1648">IF(AND(Inputs!$C$60,Inputs!$C$61),INDEX(Utility_Rates!$C$29:$F$52,HOUR(C1648)+Inputs!$C$69,MATCH(INDEX(Utility_Rates!$K$6:$K$17,MONTH(C1648))&amp;IF(WEEKDAY(C1648,Inputs!$C$76)&lt;=Inputs!$C$74," weekday"," weekend"),Utility_Rates!$C$28:$F$28,Inputs!$C$68)),"")</f>
      </c>
      <c r="H1648" s="34"/>
      <c r="I1648" s="42">
        <f>IF(AND(ISNUMBER(D1648),ISNUMBER(H1648)),D1648*H1648*Inputs!$C$69,"")</f>
      </c>
      <c r="J1648" s="42">
        <f>IF(AND(ISNUMBER(F1648),ISNUMBER(H1648),F1648&gt;=Inputs!$C$68),F1648*H1648*Inputs!$C$69,"")</f>
      </c>
    </row>
    <row r="1649" spans="2:10" ht="15" customHeight="1" x14ac:dyDescent="0.2">
      <c r="B1649" s="39">
        <f t="shared" si="12"/>
      </c>
      <c r="C1649" s="40">
        <f>IF(Inputs!$C$60,Inputs!$C$11+(B1649-Inputs!$C$69)/Inputs!$C$70,"")</f>
      </c>
      <c r="D1649" s="15"/>
      <c r="E1649" s="15"/>
      <c r="F1649" s="11">
        <f t="shared" si="13"/>
      </c>
      <c r="G1649" s="22" cm="1">
        <f t="array" ref="G1649">IF(AND(Inputs!$C$60,Inputs!$C$61),INDEX(Utility_Rates!$C$29:$F$52,HOUR(C1649)+Inputs!$C$69,MATCH(INDEX(Utility_Rates!$K$6:$K$17,MONTH(C1649))&amp;IF(WEEKDAY(C1649,Inputs!$C$76)&lt;=Inputs!$C$74," weekday"," weekend"),Utility_Rates!$C$28:$F$28,Inputs!$C$68)),"")</f>
      </c>
      <c r="H1649" s="34"/>
      <c r="I1649" s="42">
        <f>IF(AND(ISNUMBER(D1649),ISNUMBER(H1649)),D1649*H1649*Inputs!$C$69,"")</f>
      </c>
      <c r="J1649" s="42">
        <f>IF(AND(ISNUMBER(F1649),ISNUMBER(H1649),F1649&gt;=Inputs!$C$68),F1649*H1649*Inputs!$C$69,"")</f>
      </c>
    </row>
    <row r="1650" spans="2:10" ht="15" customHeight="1" x14ac:dyDescent="0.2">
      <c r="B1650" s="39">
        <f t="shared" si="12"/>
      </c>
      <c r="C1650" s="40">
        <f>IF(Inputs!$C$60,Inputs!$C$11+(B1650-Inputs!$C$69)/Inputs!$C$70,"")</f>
      </c>
      <c r="D1650" s="15"/>
      <c r="E1650" s="15"/>
      <c r="F1650" s="11">
        <f t="shared" si="13"/>
      </c>
      <c r="G1650" s="22" cm="1">
        <f t="array" ref="G1650">IF(AND(Inputs!$C$60,Inputs!$C$61),INDEX(Utility_Rates!$C$29:$F$52,HOUR(C1650)+Inputs!$C$69,MATCH(INDEX(Utility_Rates!$K$6:$K$17,MONTH(C1650))&amp;IF(WEEKDAY(C1650,Inputs!$C$76)&lt;=Inputs!$C$74," weekday"," weekend"),Utility_Rates!$C$28:$F$28,Inputs!$C$68)),"")</f>
      </c>
      <c r="H1650" s="34"/>
      <c r="I1650" s="42">
        <f>IF(AND(ISNUMBER(D1650),ISNUMBER(H1650)),D1650*H1650*Inputs!$C$69,"")</f>
      </c>
      <c r="J1650" s="42">
        <f>IF(AND(ISNUMBER(F1650),ISNUMBER(H1650),F1650&gt;=Inputs!$C$68),F1650*H1650*Inputs!$C$69,"")</f>
      </c>
    </row>
    <row r="1651" spans="2:10" ht="15" customHeight="1" x14ac:dyDescent="0.2">
      <c r="B1651" s="39">
        <f t="shared" si="12"/>
      </c>
      <c r="C1651" s="40">
        <f>IF(Inputs!$C$60,Inputs!$C$11+(B1651-Inputs!$C$69)/Inputs!$C$70,"")</f>
      </c>
      <c r="D1651" s="15"/>
      <c r="E1651" s="15"/>
      <c r="F1651" s="11">
        <f t="shared" si="13"/>
      </c>
      <c r="G1651" s="22" cm="1">
        <f t="array" ref="G1651">IF(AND(Inputs!$C$60,Inputs!$C$61),INDEX(Utility_Rates!$C$29:$F$52,HOUR(C1651)+Inputs!$C$69,MATCH(INDEX(Utility_Rates!$K$6:$K$17,MONTH(C1651))&amp;IF(WEEKDAY(C1651,Inputs!$C$76)&lt;=Inputs!$C$74," weekday"," weekend"),Utility_Rates!$C$28:$F$28,Inputs!$C$68)),"")</f>
      </c>
      <c r="H1651" s="34"/>
      <c r="I1651" s="42">
        <f>IF(AND(ISNUMBER(D1651),ISNUMBER(H1651)),D1651*H1651*Inputs!$C$69,"")</f>
      </c>
      <c r="J1651" s="42">
        <f>IF(AND(ISNUMBER(F1651),ISNUMBER(H1651),F1651&gt;=Inputs!$C$68),F1651*H1651*Inputs!$C$69,"")</f>
      </c>
    </row>
    <row r="1652" spans="2:10" ht="15" customHeight="1" x14ac:dyDescent="0.2">
      <c r="B1652" s="39">
        <f t="shared" si="12"/>
      </c>
      <c r="C1652" s="40">
        <f>IF(Inputs!$C$60,Inputs!$C$11+(B1652-Inputs!$C$69)/Inputs!$C$70,"")</f>
      </c>
      <c r="D1652" s="15"/>
      <c r="E1652" s="15"/>
      <c r="F1652" s="11">
        <f t="shared" si="13"/>
      </c>
      <c r="G1652" s="22" cm="1">
        <f t="array" ref="G1652">IF(AND(Inputs!$C$60,Inputs!$C$61),INDEX(Utility_Rates!$C$29:$F$52,HOUR(C1652)+Inputs!$C$69,MATCH(INDEX(Utility_Rates!$K$6:$K$17,MONTH(C1652))&amp;IF(WEEKDAY(C1652,Inputs!$C$76)&lt;=Inputs!$C$74," weekday"," weekend"),Utility_Rates!$C$28:$F$28,Inputs!$C$68)),"")</f>
      </c>
      <c r="H1652" s="34"/>
      <c r="I1652" s="42">
        <f>IF(AND(ISNUMBER(D1652),ISNUMBER(H1652)),D1652*H1652*Inputs!$C$69,"")</f>
      </c>
      <c r="J1652" s="42">
        <f>IF(AND(ISNUMBER(F1652),ISNUMBER(H1652),F1652&gt;=Inputs!$C$68),F1652*H1652*Inputs!$C$69,"")</f>
      </c>
    </row>
    <row r="1653" spans="2:10" ht="15" customHeight="1" x14ac:dyDescent="0.2">
      <c r="B1653" s="39">
        <f t="shared" si="12"/>
      </c>
      <c r="C1653" s="40">
        <f>IF(Inputs!$C$60,Inputs!$C$11+(B1653-Inputs!$C$69)/Inputs!$C$70,"")</f>
      </c>
      <c r="D1653" s="15"/>
      <c r="E1653" s="15"/>
      <c r="F1653" s="11">
        <f t="shared" si="13"/>
      </c>
      <c r="G1653" s="22" cm="1">
        <f t="array" ref="G1653">IF(AND(Inputs!$C$60,Inputs!$C$61),INDEX(Utility_Rates!$C$29:$F$52,HOUR(C1653)+Inputs!$C$69,MATCH(INDEX(Utility_Rates!$K$6:$K$17,MONTH(C1653))&amp;IF(WEEKDAY(C1653,Inputs!$C$76)&lt;=Inputs!$C$74," weekday"," weekend"),Utility_Rates!$C$28:$F$28,Inputs!$C$68)),"")</f>
      </c>
      <c r="H1653" s="34"/>
      <c r="I1653" s="42">
        <f>IF(AND(ISNUMBER(D1653),ISNUMBER(H1653)),D1653*H1653*Inputs!$C$69,"")</f>
      </c>
      <c r="J1653" s="42">
        <f>IF(AND(ISNUMBER(F1653),ISNUMBER(H1653),F1653&gt;=Inputs!$C$68),F1653*H1653*Inputs!$C$69,"")</f>
      </c>
    </row>
    <row r="1654" spans="2:10" ht="15" customHeight="1" x14ac:dyDescent="0.2">
      <c r="B1654" s="39">
        <f t="shared" si="12"/>
      </c>
      <c r="C1654" s="40">
        <f>IF(Inputs!$C$60,Inputs!$C$11+(B1654-Inputs!$C$69)/Inputs!$C$70,"")</f>
      </c>
      <c r="D1654" s="15"/>
      <c r="E1654" s="15"/>
      <c r="F1654" s="11">
        <f t="shared" si="13"/>
      </c>
      <c r="G1654" s="22" cm="1">
        <f t="array" ref="G1654">IF(AND(Inputs!$C$60,Inputs!$C$61),INDEX(Utility_Rates!$C$29:$F$52,HOUR(C1654)+Inputs!$C$69,MATCH(INDEX(Utility_Rates!$K$6:$K$17,MONTH(C1654))&amp;IF(WEEKDAY(C1654,Inputs!$C$76)&lt;=Inputs!$C$74," weekday"," weekend"),Utility_Rates!$C$28:$F$28,Inputs!$C$68)),"")</f>
      </c>
      <c r="H1654" s="34"/>
      <c r="I1654" s="42">
        <f>IF(AND(ISNUMBER(D1654),ISNUMBER(H1654)),D1654*H1654*Inputs!$C$69,"")</f>
      </c>
      <c r="J1654" s="42">
        <f>IF(AND(ISNUMBER(F1654),ISNUMBER(H1654),F1654&gt;=Inputs!$C$68),F1654*H1654*Inputs!$C$69,"")</f>
      </c>
    </row>
    <row r="1655" spans="2:10" ht="15" customHeight="1" x14ac:dyDescent="0.2">
      <c r="B1655" s="39">
        <f t="shared" si="12"/>
      </c>
      <c r="C1655" s="40">
        <f>IF(Inputs!$C$60,Inputs!$C$11+(B1655-Inputs!$C$69)/Inputs!$C$70,"")</f>
      </c>
      <c r="D1655" s="15"/>
      <c r="E1655" s="15"/>
      <c r="F1655" s="11">
        <f t="shared" si="13"/>
      </c>
      <c r="G1655" s="22" cm="1">
        <f t="array" ref="G1655">IF(AND(Inputs!$C$60,Inputs!$C$61),INDEX(Utility_Rates!$C$29:$F$52,HOUR(C1655)+Inputs!$C$69,MATCH(INDEX(Utility_Rates!$K$6:$K$17,MONTH(C1655))&amp;IF(WEEKDAY(C1655,Inputs!$C$76)&lt;=Inputs!$C$74," weekday"," weekend"),Utility_Rates!$C$28:$F$28,Inputs!$C$68)),"")</f>
      </c>
      <c r="H1655" s="34"/>
      <c r="I1655" s="42">
        <f>IF(AND(ISNUMBER(D1655),ISNUMBER(H1655)),D1655*H1655*Inputs!$C$69,"")</f>
      </c>
      <c r="J1655" s="42">
        <f>IF(AND(ISNUMBER(F1655),ISNUMBER(H1655),F1655&gt;=Inputs!$C$68),F1655*H1655*Inputs!$C$69,"")</f>
      </c>
    </row>
    <row r="1656" spans="2:10" ht="15" customHeight="1" x14ac:dyDescent="0.2">
      <c r="B1656" s="39">
        <f t="shared" si="12"/>
      </c>
      <c r="C1656" s="40">
        <f>IF(Inputs!$C$60,Inputs!$C$11+(B1656-Inputs!$C$69)/Inputs!$C$70,"")</f>
      </c>
      <c r="D1656" s="15"/>
      <c r="E1656" s="15"/>
      <c r="F1656" s="11">
        <f t="shared" si="13"/>
      </c>
      <c r="G1656" s="22" cm="1">
        <f t="array" ref="G1656">IF(AND(Inputs!$C$60,Inputs!$C$61),INDEX(Utility_Rates!$C$29:$F$52,HOUR(C1656)+Inputs!$C$69,MATCH(INDEX(Utility_Rates!$K$6:$K$17,MONTH(C1656))&amp;IF(WEEKDAY(C1656,Inputs!$C$76)&lt;=Inputs!$C$74," weekday"," weekend"),Utility_Rates!$C$28:$F$28,Inputs!$C$68)),"")</f>
      </c>
      <c r="H1656" s="34"/>
      <c r="I1656" s="42">
        <f>IF(AND(ISNUMBER(D1656),ISNUMBER(H1656)),D1656*H1656*Inputs!$C$69,"")</f>
      </c>
      <c r="J1656" s="42">
        <f>IF(AND(ISNUMBER(F1656),ISNUMBER(H1656),F1656&gt;=Inputs!$C$68),F1656*H1656*Inputs!$C$69,"")</f>
      </c>
    </row>
    <row r="1657" spans="2:10" ht="15" customHeight="1" x14ac:dyDescent="0.2">
      <c r="B1657" s="39">
        <f t="shared" si="12"/>
      </c>
      <c r="C1657" s="40">
        <f>IF(Inputs!$C$60,Inputs!$C$11+(B1657-Inputs!$C$69)/Inputs!$C$70,"")</f>
      </c>
      <c r="D1657" s="15"/>
      <c r="E1657" s="15"/>
      <c r="F1657" s="11">
        <f t="shared" si="13"/>
      </c>
      <c r="G1657" s="22" cm="1">
        <f t="array" ref="G1657">IF(AND(Inputs!$C$60,Inputs!$C$61),INDEX(Utility_Rates!$C$29:$F$52,HOUR(C1657)+Inputs!$C$69,MATCH(INDEX(Utility_Rates!$K$6:$K$17,MONTH(C1657))&amp;IF(WEEKDAY(C1657,Inputs!$C$76)&lt;=Inputs!$C$74," weekday"," weekend"),Utility_Rates!$C$28:$F$28,Inputs!$C$68)),"")</f>
      </c>
      <c r="H1657" s="34"/>
      <c r="I1657" s="42">
        <f>IF(AND(ISNUMBER(D1657),ISNUMBER(H1657)),D1657*H1657*Inputs!$C$69,"")</f>
      </c>
      <c r="J1657" s="42">
        <f>IF(AND(ISNUMBER(F1657),ISNUMBER(H1657),F1657&gt;=Inputs!$C$68),F1657*H1657*Inputs!$C$69,"")</f>
      </c>
    </row>
    <row r="1658" spans="2:10" ht="15" customHeight="1" x14ac:dyDescent="0.2">
      <c r="B1658" s="39">
        <f t="shared" si="12"/>
      </c>
      <c r="C1658" s="40">
        <f>IF(Inputs!$C$60,Inputs!$C$11+(B1658-Inputs!$C$69)/Inputs!$C$70,"")</f>
      </c>
      <c r="D1658" s="15"/>
      <c r="E1658" s="15"/>
      <c r="F1658" s="11">
        <f t="shared" si="13"/>
      </c>
      <c r="G1658" s="22" cm="1">
        <f t="array" ref="G1658">IF(AND(Inputs!$C$60,Inputs!$C$61),INDEX(Utility_Rates!$C$29:$F$52,HOUR(C1658)+Inputs!$C$69,MATCH(INDEX(Utility_Rates!$K$6:$K$17,MONTH(C1658))&amp;IF(WEEKDAY(C1658,Inputs!$C$76)&lt;=Inputs!$C$74," weekday"," weekend"),Utility_Rates!$C$28:$F$28,Inputs!$C$68)),"")</f>
      </c>
      <c r="H1658" s="34"/>
      <c r="I1658" s="42">
        <f>IF(AND(ISNUMBER(D1658),ISNUMBER(H1658)),D1658*H1658*Inputs!$C$69,"")</f>
      </c>
      <c r="J1658" s="42">
        <f>IF(AND(ISNUMBER(F1658),ISNUMBER(H1658),F1658&gt;=Inputs!$C$68),F1658*H1658*Inputs!$C$69,"")</f>
      </c>
    </row>
    <row r="1659" spans="2:10" ht="15" customHeight="1" x14ac:dyDescent="0.2">
      <c r="B1659" s="39">
        <f t="shared" si="12"/>
      </c>
      <c r="C1659" s="40">
        <f>IF(Inputs!$C$60,Inputs!$C$11+(B1659-Inputs!$C$69)/Inputs!$C$70,"")</f>
      </c>
      <c r="D1659" s="15"/>
      <c r="E1659" s="15"/>
      <c r="F1659" s="11">
        <f t="shared" si="13"/>
      </c>
      <c r="G1659" s="22" cm="1">
        <f t="array" ref="G1659">IF(AND(Inputs!$C$60,Inputs!$C$61),INDEX(Utility_Rates!$C$29:$F$52,HOUR(C1659)+Inputs!$C$69,MATCH(INDEX(Utility_Rates!$K$6:$K$17,MONTH(C1659))&amp;IF(WEEKDAY(C1659,Inputs!$C$76)&lt;=Inputs!$C$74," weekday"," weekend"),Utility_Rates!$C$28:$F$28,Inputs!$C$68)),"")</f>
      </c>
      <c r="H1659" s="34"/>
      <c r="I1659" s="42">
        <f>IF(AND(ISNUMBER(D1659),ISNUMBER(H1659)),D1659*H1659*Inputs!$C$69,"")</f>
      </c>
      <c r="J1659" s="42">
        <f>IF(AND(ISNUMBER(F1659),ISNUMBER(H1659),F1659&gt;=Inputs!$C$68),F1659*H1659*Inputs!$C$69,"")</f>
      </c>
    </row>
    <row r="1660" spans="2:10" ht="15" customHeight="1" x14ac:dyDescent="0.2">
      <c r="B1660" s="39">
        <f t="shared" si="12"/>
      </c>
      <c r="C1660" s="40">
        <f>IF(Inputs!$C$60,Inputs!$C$11+(B1660-Inputs!$C$69)/Inputs!$C$70,"")</f>
      </c>
      <c r="D1660" s="15"/>
      <c r="E1660" s="15"/>
      <c r="F1660" s="11">
        <f t="shared" si="13"/>
      </c>
      <c r="G1660" s="22" cm="1">
        <f t="array" ref="G1660">IF(AND(Inputs!$C$60,Inputs!$C$61),INDEX(Utility_Rates!$C$29:$F$52,HOUR(C1660)+Inputs!$C$69,MATCH(INDEX(Utility_Rates!$K$6:$K$17,MONTH(C1660))&amp;IF(WEEKDAY(C1660,Inputs!$C$76)&lt;=Inputs!$C$74," weekday"," weekend"),Utility_Rates!$C$28:$F$28,Inputs!$C$68)),"")</f>
      </c>
      <c r="H1660" s="34"/>
      <c r="I1660" s="42">
        <f>IF(AND(ISNUMBER(D1660),ISNUMBER(H1660)),D1660*H1660*Inputs!$C$69,"")</f>
      </c>
      <c r="J1660" s="42">
        <f>IF(AND(ISNUMBER(F1660),ISNUMBER(H1660),F1660&gt;=Inputs!$C$68),F1660*H1660*Inputs!$C$69,"")</f>
      </c>
    </row>
    <row r="1661" spans="2:10" ht="15" customHeight="1" x14ac:dyDescent="0.2">
      <c r="B1661" s="39">
        <f t="shared" si="12"/>
      </c>
      <c r="C1661" s="40">
        <f>IF(Inputs!$C$60,Inputs!$C$11+(B1661-Inputs!$C$69)/Inputs!$C$70,"")</f>
      </c>
      <c r="D1661" s="15"/>
      <c r="E1661" s="15"/>
      <c r="F1661" s="11">
        <f t="shared" si="13"/>
      </c>
      <c r="G1661" s="22" cm="1">
        <f t="array" ref="G1661">IF(AND(Inputs!$C$60,Inputs!$C$61),INDEX(Utility_Rates!$C$29:$F$52,HOUR(C1661)+Inputs!$C$69,MATCH(INDEX(Utility_Rates!$K$6:$K$17,MONTH(C1661))&amp;IF(WEEKDAY(C1661,Inputs!$C$76)&lt;=Inputs!$C$74," weekday"," weekend"),Utility_Rates!$C$28:$F$28,Inputs!$C$68)),"")</f>
      </c>
      <c r="H1661" s="34"/>
      <c r="I1661" s="42">
        <f>IF(AND(ISNUMBER(D1661),ISNUMBER(H1661)),D1661*H1661*Inputs!$C$69,"")</f>
      </c>
      <c r="J1661" s="42">
        <f>IF(AND(ISNUMBER(F1661),ISNUMBER(H1661),F1661&gt;=Inputs!$C$68),F1661*H1661*Inputs!$C$69,"")</f>
      </c>
    </row>
    <row r="1662" spans="2:10" ht="15" customHeight="1" x14ac:dyDescent="0.2">
      <c r="B1662" s="39">
        <f t="shared" si="12"/>
      </c>
      <c r="C1662" s="40">
        <f>IF(Inputs!$C$60,Inputs!$C$11+(B1662-Inputs!$C$69)/Inputs!$C$70,"")</f>
      </c>
      <c r="D1662" s="15"/>
      <c r="E1662" s="15"/>
      <c r="F1662" s="11">
        <f t="shared" si="13"/>
      </c>
      <c r="G1662" s="22" cm="1">
        <f t="array" ref="G1662">IF(AND(Inputs!$C$60,Inputs!$C$61),INDEX(Utility_Rates!$C$29:$F$52,HOUR(C1662)+Inputs!$C$69,MATCH(INDEX(Utility_Rates!$K$6:$K$17,MONTH(C1662))&amp;IF(WEEKDAY(C1662,Inputs!$C$76)&lt;=Inputs!$C$74," weekday"," weekend"),Utility_Rates!$C$28:$F$28,Inputs!$C$68)),"")</f>
      </c>
      <c r="H1662" s="34"/>
      <c r="I1662" s="42">
        <f>IF(AND(ISNUMBER(D1662),ISNUMBER(H1662)),D1662*H1662*Inputs!$C$69,"")</f>
      </c>
      <c r="J1662" s="42">
        <f>IF(AND(ISNUMBER(F1662),ISNUMBER(H1662),F1662&gt;=Inputs!$C$68),F1662*H1662*Inputs!$C$69,"")</f>
      </c>
    </row>
    <row r="1663" spans="2:10" ht="15" customHeight="1" x14ac:dyDescent="0.2">
      <c r="B1663" s="39">
        <f t="shared" si="12"/>
      </c>
      <c r="C1663" s="40">
        <f>IF(Inputs!$C$60,Inputs!$C$11+(B1663-Inputs!$C$69)/Inputs!$C$70,"")</f>
      </c>
      <c r="D1663" s="15"/>
      <c r="E1663" s="15"/>
      <c r="F1663" s="11">
        <f t="shared" si="13"/>
      </c>
      <c r="G1663" s="22" cm="1">
        <f t="array" ref="G1663">IF(AND(Inputs!$C$60,Inputs!$C$61),INDEX(Utility_Rates!$C$29:$F$52,HOUR(C1663)+Inputs!$C$69,MATCH(INDEX(Utility_Rates!$K$6:$K$17,MONTH(C1663))&amp;IF(WEEKDAY(C1663,Inputs!$C$76)&lt;=Inputs!$C$74," weekday"," weekend"),Utility_Rates!$C$28:$F$28,Inputs!$C$68)),"")</f>
      </c>
      <c r="H1663" s="34"/>
      <c r="I1663" s="42">
        <f>IF(AND(ISNUMBER(D1663),ISNUMBER(H1663)),D1663*H1663*Inputs!$C$69,"")</f>
      </c>
      <c r="J1663" s="42">
        <f>IF(AND(ISNUMBER(F1663),ISNUMBER(H1663),F1663&gt;=Inputs!$C$68),F1663*H1663*Inputs!$C$69,"")</f>
      </c>
    </row>
    <row r="1664" spans="2:10" ht="15" customHeight="1" x14ac:dyDescent="0.2">
      <c r="B1664" s="39">
        <f t="shared" si="12"/>
      </c>
      <c r="C1664" s="40">
        <f>IF(Inputs!$C$60,Inputs!$C$11+(B1664-Inputs!$C$69)/Inputs!$C$70,"")</f>
      </c>
      <c r="D1664" s="15"/>
      <c r="E1664" s="15"/>
      <c r="F1664" s="11">
        <f t="shared" si="13"/>
      </c>
      <c r="G1664" s="22" cm="1">
        <f t="array" ref="G1664">IF(AND(Inputs!$C$60,Inputs!$C$61),INDEX(Utility_Rates!$C$29:$F$52,HOUR(C1664)+Inputs!$C$69,MATCH(INDEX(Utility_Rates!$K$6:$K$17,MONTH(C1664))&amp;IF(WEEKDAY(C1664,Inputs!$C$76)&lt;=Inputs!$C$74," weekday"," weekend"),Utility_Rates!$C$28:$F$28,Inputs!$C$68)),"")</f>
      </c>
      <c r="H1664" s="34"/>
      <c r="I1664" s="42">
        <f>IF(AND(ISNUMBER(D1664),ISNUMBER(H1664)),D1664*H1664*Inputs!$C$69,"")</f>
      </c>
      <c r="J1664" s="42">
        <f>IF(AND(ISNUMBER(F1664),ISNUMBER(H1664),F1664&gt;=Inputs!$C$68),F1664*H1664*Inputs!$C$69,"")</f>
      </c>
    </row>
    <row r="1665" spans="2:10" ht="15" customHeight="1" x14ac:dyDescent="0.2">
      <c r="B1665" s="39">
        <f t="shared" si="12"/>
      </c>
      <c r="C1665" s="40">
        <f>IF(Inputs!$C$60,Inputs!$C$11+(B1665-Inputs!$C$69)/Inputs!$C$70,"")</f>
      </c>
      <c r="D1665" s="15"/>
      <c r="E1665" s="15"/>
      <c r="F1665" s="11">
        <f t="shared" si="13"/>
      </c>
      <c r="G1665" s="22" cm="1">
        <f t="array" ref="G1665">IF(AND(Inputs!$C$60,Inputs!$C$61),INDEX(Utility_Rates!$C$29:$F$52,HOUR(C1665)+Inputs!$C$69,MATCH(INDEX(Utility_Rates!$K$6:$K$17,MONTH(C1665))&amp;IF(WEEKDAY(C1665,Inputs!$C$76)&lt;=Inputs!$C$74," weekday"," weekend"),Utility_Rates!$C$28:$F$28,Inputs!$C$68)),"")</f>
      </c>
      <c r="H1665" s="34"/>
      <c r="I1665" s="42">
        <f>IF(AND(ISNUMBER(D1665),ISNUMBER(H1665)),D1665*H1665*Inputs!$C$69,"")</f>
      </c>
      <c r="J1665" s="42">
        <f>IF(AND(ISNUMBER(F1665),ISNUMBER(H1665),F1665&gt;=Inputs!$C$68),F1665*H1665*Inputs!$C$69,"")</f>
      </c>
    </row>
    <row r="1666" spans="2:10" ht="15" customHeight="1" x14ac:dyDescent="0.2">
      <c r="B1666" s="39">
        <f t="shared" si="12"/>
      </c>
      <c r="C1666" s="40">
        <f>IF(Inputs!$C$60,Inputs!$C$11+(B1666-Inputs!$C$69)/Inputs!$C$70,"")</f>
      </c>
      <c r="D1666" s="15"/>
      <c r="E1666" s="15"/>
      <c r="F1666" s="11">
        <f t="shared" si="13"/>
      </c>
      <c r="G1666" s="22" cm="1">
        <f t="array" ref="G1666">IF(AND(Inputs!$C$60,Inputs!$C$61),INDEX(Utility_Rates!$C$29:$F$52,HOUR(C1666)+Inputs!$C$69,MATCH(INDEX(Utility_Rates!$K$6:$K$17,MONTH(C1666))&amp;IF(WEEKDAY(C1666,Inputs!$C$76)&lt;=Inputs!$C$74," weekday"," weekend"),Utility_Rates!$C$28:$F$28,Inputs!$C$68)),"")</f>
      </c>
      <c r="H1666" s="34"/>
      <c r="I1666" s="42">
        <f>IF(AND(ISNUMBER(D1666),ISNUMBER(H1666)),D1666*H1666*Inputs!$C$69,"")</f>
      </c>
      <c r="J1666" s="42">
        <f>IF(AND(ISNUMBER(F1666),ISNUMBER(H1666),F1666&gt;=Inputs!$C$68),F1666*H1666*Inputs!$C$69,"")</f>
      </c>
    </row>
    <row r="1667" spans="2:10" ht="15" customHeight="1" x14ac:dyDescent="0.2">
      <c r="B1667" s="39">
        <f t="shared" si="12"/>
      </c>
      <c r="C1667" s="40">
        <f>IF(Inputs!$C$60,Inputs!$C$11+(B1667-Inputs!$C$69)/Inputs!$C$70,"")</f>
      </c>
      <c r="D1667" s="15"/>
      <c r="E1667" s="15"/>
      <c r="F1667" s="11">
        <f t="shared" si="13"/>
      </c>
      <c r="G1667" s="22" cm="1">
        <f t="array" ref="G1667">IF(AND(Inputs!$C$60,Inputs!$C$61),INDEX(Utility_Rates!$C$29:$F$52,HOUR(C1667)+Inputs!$C$69,MATCH(INDEX(Utility_Rates!$K$6:$K$17,MONTH(C1667))&amp;IF(WEEKDAY(C1667,Inputs!$C$76)&lt;=Inputs!$C$74," weekday"," weekend"),Utility_Rates!$C$28:$F$28,Inputs!$C$68)),"")</f>
      </c>
      <c r="H1667" s="34"/>
      <c r="I1667" s="42">
        <f>IF(AND(ISNUMBER(D1667),ISNUMBER(H1667)),D1667*H1667*Inputs!$C$69,"")</f>
      </c>
      <c r="J1667" s="42">
        <f>IF(AND(ISNUMBER(F1667),ISNUMBER(H1667),F1667&gt;=Inputs!$C$68),F1667*H1667*Inputs!$C$69,"")</f>
      </c>
    </row>
    <row r="1668" spans="2:10" ht="15" customHeight="1" x14ac:dyDescent="0.2">
      <c r="B1668" s="39">
        <f t="shared" si="12"/>
      </c>
      <c r="C1668" s="40">
        <f>IF(Inputs!$C$60,Inputs!$C$11+(B1668-Inputs!$C$69)/Inputs!$C$70,"")</f>
      </c>
      <c r="D1668" s="15"/>
      <c r="E1668" s="15"/>
      <c r="F1668" s="11">
        <f t="shared" si="13"/>
      </c>
      <c r="G1668" s="22" cm="1">
        <f t="array" ref="G1668">IF(AND(Inputs!$C$60,Inputs!$C$61),INDEX(Utility_Rates!$C$29:$F$52,HOUR(C1668)+Inputs!$C$69,MATCH(INDEX(Utility_Rates!$K$6:$K$17,MONTH(C1668))&amp;IF(WEEKDAY(C1668,Inputs!$C$76)&lt;=Inputs!$C$74," weekday"," weekend"),Utility_Rates!$C$28:$F$28,Inputs!$C$68)),"")</f>
      </c>
      <c r="H1668" s="34"/>
      <c r="I1668" s="42">
        <f>IF(AND(ISNUMBER(D1668),ISNUMBER(H1668)),D1668*H1668*Inputs!$C$69,"")</f>
      </c>
      <c r="J1668" s="42">
        <f>IF(AND(ISNUMBER(F1668),ISNUMBER(H1668),F1668&gt;=Inputs!$C$68),F1668*H1668*Inputs!$C$69,"")</f>
      </c>
    </row>
    <row r="1669" spans="2:10" ht="15" customHeight="1" x14ac:dyDescent="0.2">
      <c r="B1669" s="39">
        <f t="shared" si="12"/>
      </c>
      <c r="C1669" s="40">
        <f>IF(Inputs!$C$60,Inputs!$C$11+(B1669-Inputs!$C$69)/Inputs!$C$70,"")</f>
      </c>
      <c r="D1669" s="15"/>
      <c r="E1669" s="15"/>
      <c r="F1669" s="11">
        <f t="shared" si="13"/>
      </c>
      <c r="G1669" s="22" cm="1">
        <f t="array" ref="G1669">IF(AND(Inputs!$C$60,Inputs!$C$61),INDEX(Utility_Rates!$C$29:$F$52,HOUR(C1669)+Inputs!$C$69,MATCH(INDEX(Utility_Rates!$K$6:$K$17,MONTH(C1669))&amp;IF(WEEKDAY(C1669,Inputs!$C$76)&lt;=Inputs!$C$74," weekday"," weekend"),Utility_Rates!$C$28:$F$28,Inputs!$C$68)),"")</f>
      </c>
      <c r="H1669" s="34"/>
      <c r="I1669" s="42">
        <f>IF(AND(ISNUMBER(D1669),ISNUMBER(H1669)),D1669*H1669*Inputs!$C$69,"")</f>
      </c>
      <c r="J1669" s="42">
        <f>IF(AND(ISNUMBER(F1669),ISNUMBER(H1669),F1669&gt;=Inputs!$C$68),F1669*H1669*Inputs!$C$69,"")</f>
      </c>
    </row>
    <row r="1670" spans="2:10" ht="15" customHeight="1" x14ac:dyDescent="0.2">
      <c r="B1670" s="39">
        <f t="shared" si="12"/>
      </c>
      <c r="C1670" s="40">
        <f>IF(Inputs!$C$60,Inputs!$C$11+(B1670-Inputs!$C$69)/Inputs!$C$70,"")</f>
      </c>
      <c r="D1670" s="15"/>
      <c r="E1670" s="15"/>
      <c r="F1670" s="11">
        <f t="shared" si="13"/>
      </c>
      <c r="G1670" s="22" cm="1">
        <f t="array" ref="G1670">IF(AND(Inputs!$C$60,Inputs!$C$61),INDEX(Utility_Rates!$C$29:$F$52,HOUR(C1670)+Inputs!$C$69,MATCH(INDEX(Utility_Rates!$K$6:$K$17,MONTH(C1670))&amp;IF(WEEKDAY(C1670,Inputs!$C$76)&lt;=Inputs!$C$74," weekday"," weekend"),Utility_Rates!$C$28:$F$28,Inputs!$C$68)),"")</f>
      </c>
      <c r="H1670" s="34"/>
      <c r="I1670" s="42">
        <f>IF(AND(ISNUMBER(D1670),ISNUMBER(H1670)),D1670*H1670*Inputs!$C$69,"")</f>
      </c>
      <c r="J1670" s="42">
        <f>IF(AND(ISNUMBER(F1670),ISNUMBER(H1670),F1670&gt;=Inputs!$C$68),F1670*H1670*Inputs!$C$69,"")</f>
      </c>
    </row>
    <row r="1671" spans="2:10" ht="15" customHeight="1" x14ac:dyDescent="0.2">
      <c r="B1671" s="39">
        <f t="shared" si="12"/>
      </c>
      <c r="C1671" s="40">
        <f>IF(Inputs!$C$60,Inputs!$C$11+(B1671-Inputs!$C$69)/Inputs!$C$70,"")</f>
      </c>
      <c r="D1671" s="15"/>
      <c r="E1671" s="15"/>
      <c r="F1671" s="11">
        <f t="shared" si="13"/>
      </c>
      <c r="G1671" s="22" cm="1">
        <f t="array" ref="G1671">IF(AND(Inputs!$C$60,Inputs!$C$61),INDEX(Utility_Rates!$C$29:$F$52,HOUR(C1671)+Inputs!$C$69,MATCH(INDEX(Utility_Rates!$K$6:$K$17,MONTH(C1671))&amp;IF(WEEKDAY(C1671,Inputs!$C$76)&lt;=Inputs!$C$74," weekday"," weekend"),Utility_Rates!$C$28:$F$28,Inputs!$C$68)),"")</f>
      </c>
      <c r="H1671" s="34"/>
      <c r="I1671" s="42">
        <f>IF(AND(ISNUMBER(D1671),ISNUMBER(H1671)),D1671*H1671*Inputs!$C$69,"")</f>
      </c>
      <c r="J1671" s="42">
        <f>IF(AND(ISNUMBER(F1671),ISNUMBER(H1671),F1671&gt;=Inputs!$C$68),F1671*H1671*Inputs!$C$69,"")</f>
      </c>
    </row>
    <row r="1672" spans="2:10" ht="15" customHeight="1" x14ac:dyDescent="0.2">
      <c r="B1672" s="39">
        <f t="shared" si="12"/>
      </c>
      <c r="C1672" s="40">
        <f>IF(Inputs!$C$60,Inputs!$C$11+(B1672-Inputs!$C$69)/Inputs!$C$70,"")</f>
      </c>
      <c r="D1672" s="15"/>
      <c r="E1672" s="15"/>
      <c r="F1672" s="11">
        <f t="shared" si="13"/>
      </c>
      <c r="G1672" s="22" cm="1">
        <f t="array" ref="G1672">IF(AND(Inputs!$C$60,Inputs!$C$61),INDEX(Utility_Rates!$C$29:$F$52,HOUR(C1672)+Inputs!$C$69,MATCH(INDEX(Utility_Rates!$K$6:$K$17,MONTH(C1672))&amp;IF(WEEKDAY(C1672,Inputs!$C$76)&lt;=Inputs!$C$74," weekday"," weekend"),Utility_Rates!$C$28:$F$28,Inputs!$C$68)),"")</f>
      </c>
      <c r="H1672" s="34"/>
      <c r="I1672" s="42">
        <f>IF(AND(ISNUMBER(D1672),ISNUMBER(H1672)),D1672*H1672*Inputs!$C$69,"")</f>
      </c>
      <c r="J1672" s="42">
        <f>IF(AND(ISNUMBER(F1672),ISNUMBER(H1672),F1672&gt;=Inputs!$C$68),F1672*H1672*Inputs!$C$69,"")</f>
      </c>
    </row>
    <row r="1673" spans="2:10" ht="15" customHeight="1" x14ac:dyDescent="0.2">
      <c r="B1673" s="39">
        <f t="shared" si="12"/>
      </c>
      <c r="C1673" s="40">
        <f>IF(Inputs!$C$60,Inputs!$C$11+(B1673-Inputs!$C$69)/Inputs!$C$70,"")</f>
      </c>
      <c r="D1673" s="15"/>
      <c r="E1673" s="15"/>
      <c r="F1673" s="11">
        <f t="shared" si="13"/>
      </c>
      <c r="G1673" s="22" cm="1">
        <f t="array" ref="G1673">IF(AND(Inputs!$C$60,Inputs!$C$61),INDEX(Utility_Rates!$C$29:$F$52,HOUR(C1673)+Inputs!$C$69,MATCH(INDEX(Utility_Rates!$K$6:$K$17,MONTH(C1673))&amp;IF(WEEKDAY(C1673,Inputs!$C$76)&lt;=Inputs!$C$74," weekday"," weekend"),Utility_Rates!$C$28:$F$28,Inputs!$C$68)),"")</f>
      </c>
      <c r="H1673" s="34"/>
      <c r="I1673" s="42">
        <f>IF(AND(ISNUMBER(D1673),ISNUMBER(H1673)),D1673*H1673*Inputs!$C$69,"")</f>
      </c>
      <c r="J1673" s="42">
        <f>IF(AND(ISNUMBER(F1673),ISNUMBER(H1673),F1673&gt;=Inputs!$C$68),F1673*H1673*Inputs!$C$69,"")</f>
      </c>
    </row>
    <row r="1674" spans="2:10" ht="15" customHeight="1" x14ac:dyDescent="0.2">
      <c r="B1674" s="39">
        <f t="shared" si="12"/>
      </c>
      <c r="C1674" s="40">
        <f>IF(Inputs!$C$60,Inputs!$C$11+(B1674-Inputs!$C$69)/Inputs!$C$70,"")</f>
      </c>
      <c r="D1674" s="15"/>
      <c r="E1674" s="15"/>
      <c r="F1674" s="11">
        <f t="shared" si="13"/>
      </c>
      <c r="G1674" s="22" cm="1">
        <f t="array" ref="G1674">IF(AND(Inputs!$C$60,Inputs!$C$61),INDEX(Utility_Rates!$C$29:$F$52,HOUR(C1674)+Inputs!$C$69,MATCH(INDEX(Utility_Rates!$K$6:$K$17,MONTH(C1674))&amp;IF(WEEKDAY(C1674,Inputs!$C$76)&lt;=Inputs!$C$74," weekday"," weekend"),Utility_Rates!$C$28:$F$28,Inputs!$C$68)),"")</f>
      </c>
      <c r="H1674" s="34"/>
      <c r="I1674" s="42">
        <f>IF(AND(ISNUMBER(D1674),ISNUMBER(H1674)),D1674*H1674*Inputs!$C$69,"")</f>
      </c>
      <c r="J1674" s="42">
        <f>IF(AND(ISNUMBER(F1674),ISNUMBER(H1674),F1674&gt;=Inputs!$C$68),F1674*H1674*Inputs!$C$69,"")</f>
      </c>
    </row>
    <row r="1675" spans="2:10" ht="15" customHeight="1" x14ac:dyDescent="0.2">
      <c r="B1675" s="39">
        <f t="shared" si="12"/>
      </c>
      <c r="C1675" s="40">
        <f>IF(Inputs!$C$60,Inputs!$C$11+(B1675-Inputs!$C$69)/Inputs!$C$70,"")</f>
      </c>
      <c r="D1675" s="15"/>
      <c r="E1675" s="15"/>
      <c r="F1675" s="11">
        <f t="shared" si="13"/>
      </c>
      <c r="G1675" s="22" cm="1">
        <f t="array" ref="G1675">IF(AND(Inputs!$C$60,Inputs!$C$61),INDEX(Utility_Rates!$C$29:$F$52,HOUR(C1675)+Inputs!$C$69,MATCH(INDEX(Utility_Rates!$K$6:$K$17,MONTH(C1675))&amp;IF(WEEKDAY(C1675,Inputs!$C$76)&lt;=Inputs!$C$74," weekday"," weekend"),Utility_Rates!$C$28:$F$28,Inputs!$C$68)),"")</f>
      </c>
      <c r="H1675" s="34"/>
      <c r="I1675" s="42">
        <f>IF(AND(ISNUMBER(D1675),ISNUMBER(H1675)),D1675*H1675*Inputs!$C$69,"")</f>
      </c>
      <c r="J1675" s="42">
        <f>IF(AND(ISNUMBER(F1675),ISNUMBER(H1675),F1675&gt;=Inputs!$C$68),F1675*H1675*Inputs!$C$69,"")</f>
      </c>
    </row>
    <row r="1676" spans="2:10" ht="15" customHeight="1" x14ac:dyDescent="0.2">
      <c r="B1676" s="39">
        <f t="shared" si="12"/>
      </c>
      <c r="C1676" s="40">
        <f>IF(Inputs!$C$60,Inputs!$C$11+(B1676-Inputs!$C$69)/Inputs!$C$70,"")</f>
      </c>
      <c r="D1676" s="15"/>
      <c r="E1676" s="15"/>
      <c r="F1676" s="11">
        <f t="shared" si="13"/>
      </c>
      <c r="G1676" s="22" cm="1">
        <f t="array" ref="G1676">IF(AND(Inputs!$C$60,Inputs!$C$61),INDEX(Utility_Rates!$C$29:$F$52,HOUR(C1676)+Inputs!$C$69,MATCH(INDEX(Utility_Rates!$K$6:$K$17,MONTH(C1676))&amp;IF(WEEKDAY(C1676,Inputs!$C$76)&lt;=Inputs!$C$74," weekday"," weekend"),Utility_Rates!$C$28:$F$28,Inputs!$C$68)),"")</f>
      </c>
      <c r="H1676" s="34"/>
      <c r="I1676" s="42">
        <f>IF(AND(ISNUMBER(D1676),ISNUMBER(H1676)),D1676*H1676*Inputs!$C$69,"")</f>
      </c>
      <c r="J1676" s="42">
        <f>IF(AND(ISNUMBER(F1676),ISNUMBER(H1676),F1676&gt;=Inputs!$C$68),F1676*H1676*Inputs!$C$69,"")</f>
      </c>
    </row>
    <row r="1677" spans="2:10" ht="15" customHeight="1" x14ac:dyDescent="0.2">
      <c r="B1677" s="39">
        <f t="shared" si="12"/>
      </c>
      <c r="C1677" s="40">
        <f>IF(Inputs!$C$60,Inputs!$C$11+(B1677-Inputs!$C$69)/Inputs!$C$70,"")</f>
      </c>
      <c r="D1677" s="15"/>
      <c r="E1677" s="15"/>
      <c r="F1677" s="11">
        <f t="shared" si="13"/>
      </c>
      <c r="G1677" s="22" cm="1">
        <f t="array" ref="G1677">IF(AND(Inputs!$C$60,Inputs!$C$61),INDEX(Utility_Rates!$C$29:$F$52,HOUR(C1677)+Inputs!$C$69,MATCH(INDEX(Utility_Rates!$K$6:$K$17,MONTH(C1677))&amp;IF(WEEKDAY(C1677,Inputs!$C$76)&lt;=Inputs!$C$74," weekday"," weekend"),Utility_Rates!$C$28:$F$28,Inputs!$C$68)),"")</f>
      </c>
      <c r="H1677" s="34"/>
      <c r="I1677" s="42">
        <f>IF(AND(ISNUMBER(D1677),ISNUMBER(H1677)),D1677*H1677*Inputs!$C$69,"")</f>
      </c>
      <c r="J1677" s="42">
        <f>IF(AND(ISNUMBER(F1677),ISNUMBER(H1677),F1677&gt;=Inputs!$C$68),F1677*H1677*Inputs!$C$69,"")</f>
      </c>
    </row>
    <row r="1678" spans="2:10" ht="15" customHeight="1" x14ac:dyDescent="0.2">
      <c r="B1678" s="39">
        <f t="shared" si="12"/>
      </c>
      <c r="C1678" s="40">
        <f>IF(Inputs!$C$60,Inputs!$C$11+(B1678-Inputs!$C$69)/Inputs!$C$70,"")</f>
      </c>
      <c r="D1678" s="15"/>
      <c r="E1678" s="15"/>
      <c r="F1678" s="11">
        <f t="shared" si="13"/>
      </c>
      <c r="G1678" s="22" cm="1">
        <f t="array" ref="G1678">IF(AND(Inputs!$C$60,Inputs!$C$61),INDEX(Utility_Rates!$C$29:$F$52,HOUR(C1678)+Inputs!$C$69,MATCH(INDEX(Utility_Rates!$K$6:$K$17,MONTH(C1678))&amp;IF(WEEKDAY(C1678,Inputs!$C$76)&lt;=Inputs!$C$74," weekday"," weekend"),Utility_Rates!$C$28:$F$28,Inputs!$C$68)),"")</f>
      </c>
      <c r="H1678" s="34"/>
      <c r="I1678" s="42">
        <f>IF(AND(ISNUMBER(D1678),ISNUMBER(H1678)),D1678*H1678*Inputs!$C$69,"")</f>
      </c>
      <c r="J1678" s="42">
        <f>IF(AND(ISNUMBER(F1678),ISNUMBER(H1678),F1678&gt;=Inputs!$C$68),F1678*H1678*Inputs!$C$69,"")</f>
      </c>
    </row>
    <row r="1679" spans="2:10" ht="15" customHeight="1" x14ac:dyDescent="0.2">
      <c r="B1679" s="39">
        <f t="shared" si="12"/>
      </c>
      <c r="C1679" s="40">
        <f>IF(Inputs!$C$60,Inputs!$C$11+(B1679-Inputs!$C$69)/Inputs!$C$70,"")</f>
      </c>
      <c r="D1679" s="15"/>
      <c r="E1679" s="15"/>
      <c r="F1679" s="11">
        <f t="shared" si="13"/>
      </c>
      <c r="G1679" s="22" cm="1">
        <f t="array" ref="G1679">IF(AND(Inputs!$C$60,Inputs!$C$61),INDEX(Utility_Rates!$C$29:$F$52,HOUR(C1679)+Inputs!$C$69,MATCH(INDEX(Utility_Rates!$K$6:$K$17,MONTH(C1679))&amp;IF(WEEKDAY(C1679,Inputs!$C$76)&lt;=Inputs!$C$74," weekday"," weekend"),Utility_Rates!$C$28:$F$28,Inputs!$C$68)),"")</f>
      </c>
      <c r="H1679" s="34"/>
      <c r="I1679" s="42">
        <f>IF(AND(ISNUMBER(D1679),ISNUMBER(H1679)),D1679*H1679*Inputs!$C$69,"")</f>
      </c>
      <c r="J1679" s="42">
        <f>IF(AND(ISNUMBER(F1679),ISNUMBER(H1679),F1679&gt;=Inputs!$C$68),F1679*H1679*Inputs!$C$69,"")</f>
      </c>
    </row>
    <row r="1680" spans="2:10" ht="15" customHeight="1" x14ac:dyDescent="0.2">
      <c r="B1680" s="39">
        <f t="shared" si="12"/>
      </c>
      <c r="C1680" s="40">
        <f>IF(Inputs!$C$60,Inputs!$C$11+(B1680-Inputs!$C$69)/Inputs!$C$70,"")</f>
      </c>
      <c r="D1680" s="15"/>
      <c r="E1680" s="15"/>
      <c r="F1680" s="11">
        <f t="shared" si="13"/>
      </c>
      <c r="G1680" s="22" cm="1">
        <f t="array" ref="G1680">IF(AND(Inputs!$C$60,Inputs!$C$61),INDEX(Utility_Rates!$C$29:$F$52,HOUR(C1680)+Inputs!$C$69,MATCH(INDEX(Utility_Rates!$K$6:$K$17,MONTH(C1680))&amp;IF(WEEKDAY(C1680,Inputs!$C$76)&lt;=Inputs!$C$74," weekday"," weekend"),Utility_Rates!$C$28:$F$28,Inputs!$C$68)),"")</f>
      </c>
      <c r="H1680" s="34"/>
      <c r="I1680" s="42">
        <f>IF(AND(ISNUMBER(D1680),ISNUMBER(H1680)),D1680*H1680*Inputs!$C$69,"")</f>
      </c>
      <c r="J1680" s="42">
        <f>IF(AND(ISNUMBER(F1680),ISNUMBER(H1680),F1680&gt;=Inputs!$C$68),F1680*H1680*Inputs!$C$69,"")</f>
      </c>
    </row>
    <row r="1681" spans="2:10" ht="15" customHeight="1" x14ac:dyDescent="0.2">
      <c r="B1681" s="39">
        <f t="shared" si="12"/>
      </c>
      <c r="C1681" s="40">
        <f>IF(Inputs!$C$60,Inputs!$C$11+(B1681-Inputs!$C$69)/Inputs!$C$70,"")</f>
      </c>
      <c r="D1681" s="15"/>
      <c r="E1681" s="15"/>
      <c r="F1681" s="11">
        <f t="shared" si="13"/>
      </c>
      <c r="G1681" s="22" cm="1">
        <f t="array" ref="G1681">IF(AND(Inputs!$C$60,Inputs!$C$61),INDEX(Utility_Rates!$C$29:$F$52,HOUR(C1681)+Inputs!$C$69,MATCH(INDEX(Utility_Rates!$K$6:$K$17,MONTH(C1681))&amp;IF(WEEKDAY(C1681,Inputs!$C$76)&lt;=Inputs!$C$74," weekday"," weekend"),Utility_Rates!$C$28:$F$28,Inputs!$C$68)),"")</f>
      </c>
      <c r="H1681" s="34"/>
      <c r="I1681" s="42">
        <f>IF(AND(ISNUMBER(D1681),ISNUMBER(H1681)),D1681*H1681*Inputs!$C$69,"")</f>
      </c>
      <c r="J1681" s="42">
        <f>IF(AND(ISNUMBER(F1681),ISNUMBER(H1681),F1681&gt;=Inputs!$C$68),F1681*H1681*Inputs!$C$69,"")</f>
      </c>
    </row>
    <row r="1682" spans="2:10" ht="15" customHeight="1" x14ac:dyDescent="0.2">
      <c r="B1682" s="39">
        <f t="shared" si="12"/>
      </c>
      <c r="C1682" s="40">
        <f>IF(Inputs!$C$60,Inputs!$C$11+(B1682-Inputs!$C$69)/Inputs!$C$70,"")</f>
      </c>
      <c r="D1682" s="15"/>
      <c r="E1682" s="15"/>
      <c r="F1682" s="11">
        <f t="shared" si="13"/>
      </c>
      <c r="G1682" s="22" cm="1">
        <f t="array" ref="G1682">IF(AND(Inputs!$C$60,Inputs!$C$61),INDEX(Utility_Rates!$C$29:$F$52,HOUR(C1682)+Inputs!$C$69,MATCH(INDEX(Utility_Rates!$K$6:$K$17,MONTH(C1682))&amp;IF(WEEKDAY(C1682,Inputs!$C$76)&lt;=Inputs!$C$74," weekday"," weekend"),Utility_Rates!$C$28:$F$28,Inputs!$C$68)),"")</f>
      </c>
      <c r="H1682" s="34"/>
      <c r="I1682" s="42">
        <f>IF(AND(ISNUMBER(D1682),ISNUMBER(H1682)),D1682*H1682*Inputs!$C$69,"")</f>
      </c>
      <c r="J1682" s="42">
        <f>IF(AND(ISNUMBER(F1682),ISNUMBER(H1682),F1682&gt;=Inputs!$C$68),F1682*H1682*Inputs!$C$69,"")</f>
      </c>
    </row>
    <row r="1683" spans="2:10" ht="15" customHeight="1" x14ac:dyDescent="0.2">
      <c r="B1683" s="39">
        <f t="shared" si="12"/>
      </c>
      <c r="C1683" s="40">
        <f>IF(Inputs!$C$60,Inputs!$C$11+(B1683-Inputs!$C$69)/Inputs!$C$70,"")</f>
      </c>
      <c r="D1683" s="15"/>
      <c r="E1683" s="15"/>
      <c r="F1683" s="11">
        <f t="shared" si="13"/>
      </c>
      <c r="G1683" s="22" cm="1">
        <f t="array" ref="G1683">IF(AND(Inputs!$C$60,Inputs!$C$61),INDEX(Utility_Rates!$C$29:$F$52,HOUR(C1683)+Inputs!$C$69,MATCH(INDEX(Utility_Rates!$K$6:$K$17,MONTH(C1683))&amp;IF(WEEKDAY(C1683,Inputs!$C$76)&lt;=Inputs!$C$74," weekday"," weekend"),Utility_Rates!$C$28:$F$28,Inputs!$C$68)),"")</f>
      </c>
      <c r="H1683" s="34"/>
      <c r="I1683" s="42">
        <f>IF(AND(ISNUMBER(D1683),ISNUMBER(H1683)),D1683*H1683*Inputs!$C$69,"")</f>
      </c>
      <c r="J1683" s="42">
        <f>IF(AND(ISNUMBER(F1683),ISNUMBER(H1683),F1683&gt;=Inputs!$C$68),F1683*H1683*Inputs!$C$69,"")</f>
      </c>
    </row>
    <row r="1684" spans="2:10" ht="15" customHeight="1" x14ac:dyDescent="0.2">
      <c r="B1684" s="39">
        <f t="shared" si="12"/>
      </c>
      <c r="C1684" s="40">
        <f>IF(Inputs!$C$60,Inputs!$C$11+(B1684-Inputs!$C$69)/Inputs!$C$70,"")</f>
      </c>
      <c r="D1684" s="15"/>
      <c r="E1684" s="15"/>
      <c r="F1684" s="11">
        <f t="shared" si="13"/>
      </c>
      <c r="G1684" s="22" cm="1">
        <f t="array" ref="G1684">IF(AND(Inputs!$C$60,Inputs!$C$61),INDEX(Utility_Rates!$C$29:$F$52,HOUR(C1684)+Inputs!$C$69,MATCH(INDEX(Utility_Rates!$K$6:$K$17,MONTH(C1684))&amp;IF(WEEKDAY(C1684,Inputs!$C$76)&lt;=Inputs!$C$74," weekday"," weekend"),Utility_Rates!$C$28:$F$28,Inputs!$C$68)),"")</f>
      </c>
      <c r="H1684" s="34"/>
      <c r="I1684" s="42">
        <f>IF(AND(ISNUMBER(D1684),ISNUMBER(H1684)),D1684*H1684*Inputs!$C$69,"")</f>
      </c>
      <c r="J1684" s="42">
        <f>IF(AND(ISNUMBER(F1684),ISNUMBER(H1684),F1684&gt;=Inputs!$C$68),F1684*H1684*Inputs!$C$69,"")</f>
      </c>
    </row>
    <row r="1685" spans="2:10" ht="15" customHeight="1" x14ac:dyDescent="0.2">
      <c r="B1685" s="39">
        <f t="shared" si="12"/>
      </c>
      <c r="C1685" s="40">
        <f>IF(Inputs!$C$60,Inputs!$C$11+(B1685-Inputs!$C$69)/Inputs!$C$70,"")</f>
      </c>
      <c r="D1685" s="15"/>
      <c r="E1685" s="15"/>
      <c r="F1685" s="11">
        <f t="shared" si="13"/>
      </c>
      <c r="G1685" s="22" cm="1">
        <f t="array" ref="G1685">IF(AND(Inputs!$C$60,Inputs!$C$61),INDEX(Utility_Rates!$C$29:$F$52,HOUR(C1685)+Inputs!$C$69,MATCH(INDEX(Utility_Rates!$K$6:$K$17,MONTH(C1685))&amp;IF(WEEKDAY(C1685,Inputs!$C$76)&lt;=Inputs!$C$74," weekday"," weekend"),Utility_Rates!$C$28:$F$28,Inputs!$C$68)),"")</f>
      </c>
      <c r="H1685" s="34"/>
      <c r="I1685" s="42">
        <f>IF(AND(ISNUMBER(D1685),ISNUMBER(H1685)),D1685*H1685*Inputs!$C$69,"")</f>
      </c>
      <c r="J1685" s="42">
        <f>IF(AND(ISNUMBER(F1685),ISNUMBER(H1685),F1685&gt;=Inputs!$C$68),F1685*H1685*Inputs!$C$69,"")</f>
      </c>
    </row>
    <row r="1686" spans="2:10" ht="15" customHeight="1" x14ac:dyDescent="0.2">
      <c r="B1686" s="39">
        <f t="shared" si="12"/>
      </c>
      <c r="C1686" s="40">
        <f>IF(Inputs!$C$60,Inputs!$C$11+(B1686-Inputs!$C$69)/Inputs!$C$70,"")</f>
      </c>
      <c r="D1686" s="15"/>
      <c r="E1686" s="15"/>
      <c r="F1686" s="11">
        <f t="shared" si="13"/>
      </c>
      <c r="G1686" s="22" cm="1">
        <f t="array" ref="G1686">IF(AND(Inputs!$C$60,Inputs!$C$61),INDEX(Utility_Rates!$C$29:$F$52,HOUR(C1686)+Inputs!$C$69,MATCH(INDEX(Utility_Rates!$K$6:$K$17,MONTH(C1686))&amp;IF(WEEKDAY(C1686,Inputs!$C$76)&lt;=Inputs!$C$74," weekday"," weekend"),Utility_Rates!$C$28:$F$28,Inputs!$C$68)),"")</f>
      </c>
      <c r="H1686" s="34"/>
      <c r="I1686" s="42">
        <f>IF(AND(ISNUMBER(D1686),ISNUMBER(H1686)),D1686*H1686*Inputs!$C$69,"")</f>
      </c>
      <c r="J1686" s="42">
        <f>IF(AND(ISNUMBER(F1686),ISNUMBER(H1686),F1686&gt;=Inputs!$C$68),F1686*H1686*Inputs!$C$69,"")</f>
      </c>
    </row>
    <row r="1687" spans="2:10" ht="15" customHeight="1" x14ac:dyDescent="0.2">
      <c r="B1687" s="39">
        <f t="shared" si="12"/>
      </c>
      <c r="C1687" s="40">
        <f>IF(Inputs!$C$60,Inputs!$C$11+(B1687-Inputs!$C$69)/Inputs!$C$70,"")</f>
      </c>
      <c r="D1687" s="15"/>
      <c r="E1687" s="15"/>
      <c r="F1687" s="11">
        <f t="shared" si="13"/>
      </c>
      <c r="G1687" s="22" cm="1">
        <f t="array" ref="G1687">IF(AND(Inputs!$C$60,Inputs!$C$61),INDEX(Utility_Rates!$C$29:$F$52,HOUR(C1687)+Inputs!$C$69,MATCH(INDEX(Utility_Rates!$K$6:$K$17,MONTH(C1687))&amp;IF(WEEKDAY(C1687,Inputs!$C$76)&lt;=Inputs!$C$74," weekday"," weekend"),Utility_Rates!$C$28:$F$28,Inputs!$C$68)),"")</f>
      </c>
      <c r="H1687" s="34"/>
      <c r="I1687" s="42">
        <f>IF(AND(ISNUMBER(D1687),ISNUMBER(H1687)),D1687*H1687*Inputs!$C$69,"")</f>
      </c>
      <c r="J1687" s="42">
        <f>IF(AND(ISNUMBER(F1687),ISNUMBER(H1687),F1687&gt;=Inputs!$C$68),F1687*H1687*Inputs!$C$69,"")</f>
      </c>
    </row>
    <row r="1688" spans="2:10" ht="15" customHeight="1" x14ac:dyDescent="0.2">
      <c r="B1688" s="39">
        <f t="shared" si="12"/>
      </c>
      <c r="C1688" s="40">
        <f>IF(Inputs!$C$60,Inputs!$C$11+(B1688-Inputs!$C$69)/Inputs!$C$70,"")</f>
      </c>
      <c r="D1688" s="15"/>
      <c r="E1688" s="15"/>
      <c r="F1688" s="11">
        <f t="shared" si="13"/>
      </c>
      <c r="G1688" s="22" cm="1">
        <f t="array" ref="G1688">IF(AND(Inputs!$C$60,Inputs!$C$61),INDEX(Utility_Rates!$C$29:$F$52,HOUR(C1688)+Inputs!$C$69,MATCH(INDEX(Utility_Rates!$K$6:$K$17,MONTH(C1688))&amp;IF(WEEKDAY(C1688,Inputs!$C$76)&lt;=Inputs!$C$74," weekday"," weekend"),Utility_Rates!$C$28:$F$28,Inputs!$C$68)),"")</f>
      </c>
      <c r="H1688" s="34"/>
      <c r="I1688" s="42">
        <f>IF(AND(ISNUMBER(D1688),ISNUMBER(H1688)),D1688*H1688*Inputs!$C$69,"")</f>
      </c>
      <c r="J1688" s="42">
        <f>IF(AND(ISNUMBER(F1688),ISNUMBER(H1688),F1688&gt;=Inputs!$C$68),F1688*H1688*Inputs!$C$69,"")</f>
      </c>
    </row>
    <row r="1689" spans="2:10" ht="15" customHeight="1" x14ac:dyDescent="0.2">
      <c r="B1689" s="39">
        <f t="shared" si="12"/>
      </c>
      <c r="C1689" s="40">
        <f>IF(Inputs!$C$60,Inputs!$C$11+(B1689-Inputs!$C$69)/Inputs!$C$70,"")</f>
      </c>
      <c r="D1689" s="15"/>
      <c r="E1689" s="15"/>
      <c r="F1689" s="11">
        <f t="shared" si="13"/>
      </c>
      <c r="G1689" s="22" cm="1">
        <f t="array" ref="G1689">IF(AND(Inputs!$C$60,Inputs!$C$61),INDEX(Utility_Rates!$C$29:$F$52,HOUR(C1689)+Inputs!$C$69,MATCH(INDEX(Utility_Rates!$K$6:$K$17,MONTH(C1689))&amp;IF(WEEKDAY(C1689,Inputs!$C$76)&lt;=Inputs!$C$74," weekday"," weekend"),Utility_Rates!$C$28:$F$28,Inputs!$C$68)),"")</f>
      </c>
      <c r="H1689" s="34"/>
      <c r="I1689" s="42">
        <f>IF(AND(ISNUMBER(D1689),ISNUMBER(H1689)),D1689*H1689*Inputs!$C$69,"")</f>
      </c>
      <c r="J1689" s="42">
        <f>IF(AND(ISNUMBER(F1689),ISNUMBER(H1689),F1689&gt;=Inputs!$C$68),F1689*H1689*Inputs!$C$69,"")</f>
      </c>
    </row>
    <row r="1690" spans="2:10" ht="15" customHeight="1" x14ac:dyDescent="0.2">
      <c r="B1690" s="39">
        <f t="shared" si="12"/>
      </c>
      <c r="C1690" s="40">
        <f>IF(Inputs!$C$60,Inputs!$C$11+(B1690-Inputs!$C$69)/Inputs!$C$70,"")</f>
      </c>
      <c r="D1690" s="15"/>
      <c r="E1690" s="15"/>
      <c r="F1690" s="11">
        <f t="shared" si="13"/>
      </c>
      <c r="G1690" s="22" cm="1">
        <f t="array" ref="G1690">IF(AND(Inputs!$C$60,Inputs!$C$61),INDEX(Utility_Rates!$C$29:$F$52,HOUR(C1690)+Inputs!$C$69,MATCH(INDEX(Utility_Rates!$K$6:$K$17,MONTH(C1690))&amp;IF(WEEKDAY(C1690,Inputs!$C$76)&lt;=Inputs!$C$74," weekday"," weekend"),Utility_Rates!$C$28:$F$28,Inputs!$C$68)),"")</f>
      </c>
      <c r="H1690" s="34"/>
      <c r="I1690" s="42">
        <f>IF(AND(ISNUMBER(D1690),ISNUMBER(H1690)),D1690*H1690*Inputs!$C$69,"")</f>
      </c>
      <c r="J1690" s="42">
        <f>IF(AND(ISNUMBER(F1690),ISNUMBER(H1690),F1690&gt;=Inputs!$C$68),F1690*H1690*Inputs!$C$69,"")</f>
      </c>
    </row>
    <row r="1691" spans="2:10" ht="15" customHeight="1" x14ac:dyDescent="0.2">
      <c r="B1691" s="39">
        <f t="shared" si="12"/>
      </c>
      <c r="C1691" s="40">
        <f>IF(Inputs!$C$60,Inputs!$C$11+(B1691-Inputs!$C$69)/Inputs!$C$70,"")</f>
      </c>
      <c r="D1691" s="15"/>
      <c r="E1691" s="15"/>
      <c r="F1691" s="11">
        <f t="shared" si="13"/>
      </c>
      <c r="G1691" s="22" cm="1">
        <f t="array" ref="G1691">IF(AND(Inputs!$C$60,Inputs!$C$61),INDEX(Utility_Rates!$C$29:$F$52,HOUR(C1691)+Inputs!$C$69,MATCH(INDEX(Utility_Rates!$K$6:$K$17,MONTH(C1691))&amp;IF(WEEKDAY(C1691,Inputs!$C$76)&lt;=Inputs!$C$74," weekday"," weekend"),Utility_Rates!$C$28:$F$28,Inputs!$C$68)),"")</f>
      </c>
      <c r="H1691" s="34"/>
      <c r="I1691" s="42">
        <f>IF(AND(ISNUMBER(D1691),ISNUMBER(H1691)),D1691*H1691*Inputs!$C$69,"")</f>
      </c>
      <c r="J1691" s="42">
        <f>IF(AND(ISNUMBER(F1691),ISNUMBER(H1691),F1691&gt;=Inputs!$C$68),F1691*H1691*Inputs!$C$69,"")</f>
      </c>
    </row>
    <row r="1692" spans="2:10" ht="15" customHeight="1" x14ac:dyDescent="0.2">
      <c r="B1692" s="39">
        <f t="shared" si="12"/>
      </c>
      <c r="C1692" s="40">
        <f>IF(Inputs!$C$60,Inputs!$C$11+(B1692-Inputs!$C$69)/Inputs!$C$70,"")</f>
      </c>
      <c r="D1692" s="15"/>
      <c r="E1692" s="15"/>
      <c r="F1692" s="11">
        <f t="shared" si="13"/>
      </c>
      <c r="G1692" s="22" cm="1">
        <f t="array" ref="G1692">IF(AND(Inputs!$C$60,Inputs!$C$61),INDEX(Utility_Rates!$C$29:$F$52,HOUR(C1692)+Inputs!$C$69,MATCH(INDEX(Utility_Rates!$K$6:$K$17,MONTH(C1692))&amp;IF(WEEKDAY(C1692,Inputs!$C$76)&lt;=Inputs!$C$74," weekday"," weekend"),Utility_Rates!$C$28:$F$28,Inputs!$C$68)),"")</f>
      </c>
      <c r="H1692" s="34"/>
      <c r="I1692" s="42">
        <f>IF(AND(ISNUMBER(D1692),ISNUMBER(H1692)),D1692*H1692*Inputs!$C$69,"")</f>
      </c>
      <c r="J1692" s="42">
        <f>IF(AND(ISNUMBER(F1692),ISNUMBER(H1692),F1692&gt;=Inputs!$C$68),F1692*H1692*Inputs!$C$69,"")</f>
      </c>
    </row>
    <row r="1693" spans="2:10" ht="15" customHeight="1" x14ac:dyDescent="0.2">
      <c r="B1693" s="39">
        <f t="shared" si="12"/>
      </c>
      <c r="C1693" s="40">
        <f>IF(Inputs!$C$60,Inputs!$C$11+(B1693-Inputs!$C$69)/Inputs!$C$70,"")</f>
      </c>
      <c r="D1693" s="15"/>
      <c r="E1693" s="15"/>
      <c r="F1693" s="11">
        <f t="shared" si="13"/>
      </c>
      <c r="G1693" s="22" cm="1">
        <f t="array" ref="G1693">IF(AND(Inputs!$C$60,Inputs!$C$61),INDEX(Utility_Rates!$C$29:$F$52,HOUR(C1693)+Inputs!$C$69,MATCH(INDEX(Utility_Rates!$K$6:$K$17,MONTH(C1693))&amp;IF(WEEKDAY(C1693,Inputs!$C$76)&lt;=Inputs!$C$74," weekday"," weekend"),Utility_Rates!$C$28:$F$28,Inputs!$C$68)),"")</f>
      </c>
      <c r="H1693" s="34"/>
      <c r="I1693" s="42">
        <f>IF(AND(ISNUMBER(D1693),ISNUMBER(H1693)),D1693*H1693*Inputs!$C$69,"")</f>
      </c>
      <c r="J1693" s="42">
        <f>IF(AND(ISNUMBER(F1693),ISNUMBER(H1693),F1693&gt;=Inputs!$C$68),F1693*H1693*Inputs!$C$69,"")</f>
      </c>
    </row>
    <row r="1694" spans="2:10" ht="15" customHeight="1" x14ac:dyDescent="0.2">
      <c r="B1694" s="39">
        <f t="shared" si="12"/>
      </c>
      <c r="C1694" s="40">
        <f>IF(Inputs!$C$60,Inputs!$C$11+(B1694-Inputs!$C$69)/Inputs!$C$70,"")</f>
      </c>
      <c r="D1694" s="15"/>
      <c r="E1694" s="15"/>
      <c r="F1694" s="11">
        <f t="shared" si="13"/>
      </c>
      <c r="G1694" s="22" cm="1">
        <f t="array" ref="G1694">IF(AND(Inputs!$C$60,Inputs!$C$61),INDEX(Utility_Rates!$C$29:$F$52,HOUR(C1694)+Inputs!$C$69,MATCH(INDEX(Utility_Rates!$K$6:$K$17,MONTH(C1694))&amp;IF(WEEKDAY(C1694,Inputs!$C$76)&lt;=Inputs!$C$74," weekday"," weekend"),Utility_Rates!$C$28:$F$28,Inputs!$C$68)),"")</f>
      </c>
      <c r="H1694" s="34"/>
      <c r="I1694" s="42">
        <f>IF(AND(ISNUMBER(D1694),ISNUMBER(H1694)),D1694*H1694*Inputs!$C$69,"")</f>
      </c>
      <c r="J1694" s="42">
        <f>IF(AND(ISNUMBER(F1694),ISNUMBER(H1694),F1694&gt;=Inputs!$C$68),F1694*H1694*Inputs!$C$69,"")</f>
      </c>
    </row>
    <row r="1695" spans="2:10" ht="15" customHeight="1" x14ac:dyDescent="0.2">
      <c r="B1695" s="39">
        <f t="shared" si="12"/>
      </c>
      <c r="C1695" s="40">
        <f>IF(Inputs!$C$60,Inputs!$C$11+(B1695-Inputs!$C$69)/Inputs!$C$70,"")</f>
      </c>
      <c r="D1695" s="15"/>
      <c r="E1695" s="15"/>
      <c r="F1695" s="11">
        <f t="shared" si="13"/>
      </c>
      <c r="G1695" s="22" cm="1">
        <f t="array" ref="G1695">IF(AND(Inputs!$C$60,Inputs!$C$61),INDEX(Utility_Rates!$C$29:$F$52,HOUR(C1695)+Inputs!$C$69,MATCH(INDEX(Utility_Rates!$K$6:$K$17,MONTH(C1695))&amp;IF(WEEKDAY(C1695,Inputs!$C$76)&lt;=Inputs!$C$74," weekday"," weekend"),Utility_Rates!$C$28:$F$28,Inputs!$C$68)),"")</f>
      </c>
      <c r="H1695" s="34"/>
      <c r="I1695" s="42">
        <f>IF(AND(ISNUMBER(D1695),ISNUMBER(H1695)),D1695*H1695*Inputs!$C$69,"")</f>
      </c>
      <c r="J1695" s="42">
        <f>IF(AND(ISNUMBER(F1695),ISNUMBER(H1695),F1695&gt;=Inputs!$C$68),F1695*H1695*Inputs!$C$69,"")</f>
      </c>
    </row>
    <row r="1696" spans="2:10" ht="15" customHeight="1" x14ac:dyDescent="0.2">
      <c r="B1696" s="39">
        <f t="shared" si="12"/>
      </c>
      <c r="C1696" s="40">
        <f>IF(Inputs!$C$60,Inputs!$C$11+(B1696-Inputs!$C$69)/Inputs!$C$70,"")</f>
      </c>
      <c r="D1696" s="15"/>
      <c r="E1696" s="15"/>
      <c r="F1696" s="11">
        <f t="shared" si="13"/>
      </c>
      <c r="G1696" s="22" cm="1">
        <f t="array" ref="G1696">IF(AND(Inputs!$C$60,Inputs!$C$61),INDEX(Utility_Rates!$C$29:$F$52,HOUR(C1696)+Inputs!$C$69,MATCH(INDEX(Utility_Rates!$K$6:$K$17,MONTH(C1696))&amp;IF(WEEKDAY(C1696,Inputs!$C$76)&lt;=Inputs!$C$74," weekday"," weekend"),Utility_Rates!$C$28:$F$28,Inputs!$C$68)),"")</f>
      </c>
      <c r="H1696" s="34"/>
      <c r="I1696" s="42">
        <f>IF(AND(ISNUMBER(D1696),ISNUMBER(H1696)),D1696*H1696*Inputs!$C$69,"")</f>
      </c>
      <c r="J1696" s="42">
        <f>IF(AND(ISNUMBER(F1696),ISNUMBER(H1696),F1696&gt;=Inputs!$C$68),F1696*H1696*Inputs!$C$69,"")</f>
      </c>
    </row>
    <row r="1697" spans="2:10" ht="15" customHeight="1" x14ac:dyDescent="0.2">
      <c r="B1697" s="39">
        <f t="shared" si="12"/>
      </c>
      <c r="C1697" s="40">
        <f>IF(Inputs!$C$60,Inputs!$C$11+(B1697-Inputs!$C$69)/Inputs!$C$70,"")</f>
      </c>
      <c r="D1697" s="15"/>
      <c r="E1697" s="15"/>
      <c r="F1697" s="11">
        <f t="shared" si="13"/>
      </c>
      <c r="G1697" s="22" cm="1">
        <f t="array" ref="G1697">IF(AND(Inputs!$C$60,Inputs!$C$61),INDEX(Utility_Rates!$C$29:$F$52,HOUR(C1697)+Inputs!$C$69,MATCH(INDEX(Utility_Rates!$K$6:$K$17,MONTH(C1697))&amp;IF(WEEKDAY(C1697,Inputs!$C$76)&lt;=Inputs!$C$74," weekday"," weekend"),Utility_Rates!$C$28:$F$28,Inputs!$C$68)),"")</f>
      </c>
      <c r="H1697" s="34"/>
      <c r="I1697" s="42">
        <f>IF(AND(ISNUMBER(D1697),ISNUMBER(H1697)),D1697*H1697*Inputs!$C$69,"")</f>
      </c>
      <c r="J1697" s="42">
        <f>IF(AND(ISNUMBER(F1697),ISNUMBER(H1697),F1697&gt;=Inputs!$C$68),F1697*H1697*Inputs!$C$69,"")</f>
      </c>
    </row>
    <row r="1698" spans="2:10" ht="15" customHeight="1" x14ac:dyDescent="0.2">
      <c r="B1698" s="39">
        <f t="shared" si="12"/>
      </c>
      <c r="C1698" s="40">
        <f>IF(Inputs!$C$60,Inputs!$C$11+(B1698-Inputs!$C$69)/Inputs!$C$70,"")</f>
      </c>
      <c r="D1698" s="15"/>
      <c r="E1698" s="15"/>
      <c r="F1698" s="11">
        <f t="shared" si="13"/>
      </c>
      <c r="G1698" s="22" cm="1">
        <f t="array" ref="G1698">IF(AND(Inputs!$C$60,Inputs!$C$61),INDEX(Utility_Rates!$C$29:$F$52,HOUR(C1698)+Inputs!$C$69,MATCH(INDEX(Utility_Rates!$K$6:$K$17,MONTH(C1698))&amp;IF(WEEKDAY(C1698,Inputs!$C$76)&lt;=Inputs!$C$74," weekday"," weekend"),Utility_Rates!$C$28:$F$28,Inputs!$C$68)),"")</f>
      </c>
      <c r="H1698" s="34"/>
      <c r="I1698" s="42">
        <f>IF(AND(ISNUMBER(D1698),ISNUMBER(H1698)),D1698*H1698*Inputs!$C$69,"")</f>
      </c>
      <c r="J1698" s="42">
        <f>IF(AND(ISNUMBER(F1698),ISNUMBER(H1698),F1698&gt;=Inputs!$C$68),F1698*H1698*Inputs!$C$69,"")</f>
      </c>
    </row>
    <row r="1699" spans="2:10" ht="15" customHeight="1" x14ac:dyDescent="0.2">
      <c r="B1699" s="39">
        <f t="shared" si="12"/>
      </c>
      <c r="C1699" s="40">
        <f>IF(Inputs!$C$60,Inputs!$C$11+(B1699-Inputs!$C$69)/Inputs!$C$70,"")</f>
      </c>
      <c r="D1699" s="15"/>
      <c r="E1699" s="15"/>
      <c r="F1699" s="11">
        <f t="shared" si="13"/>
      </c>
      <c r="G1699" s="22" cm="1">
        <f t="array" ref="G1699">IF(AND(Inputs!$C$60,Inputs!$C$61),INDEX(Utility_Rates!$C$29:$F$52,HOUR(C1699)+Inputs!$C$69,MATCH(INDEX(Utility_Rates!$K$6:$K$17,MONTH(C1699))&amp;IF(WEEKDAY(C1699,Inputs!$C$76)&lt;=Inputs!$C$74," weekday"," weekend"),Utility_Rates!$C$28:$F$28,Inputs!$C$68)),"")</f>
      </c>
      <c r="H1699" s="34"/>
      <c r="I1699" s="42">
        <f>IF(AND(ISNUMBER(D1699),ISNUMBER(H1699)),D1699*H1699*Inputs!$C$69,"")</f>
      </c>
      <c r="J1699" s="42">
        <f>IF(AND(ISNUMBER(F1699),ISNUMBER(H1699),F1699&gt;=Inputs!$C$68),F1699*H1699*Inputs!$C$69,"")</f>
      </c>
    </row>
    <row r="1700" spans="2:10" ht="15" customHeight="1" x14ac:dyDescent="0.2">
      <c r="B1700" s="39">
        <f t="shared" si="12"/>
      </c>
      <c r="C1700" s="40">
        <f>IF(Inputs!$C$60,Inputs!$C$11+(B1700-Inputs!$C$69)/Inputs!$C$70,"")</f>
      </c>
      <c r="D1700" s="15"/>
      <c r="E1700" s="15"/>
      <c r="F1700" s="11">
        <f t="shared" si="13"/>
      </c>
      <c r="G1700" s="22" cm="1">
        <f t="array" ref="G1700">IF(AND(Inputs!$C$60,Inputs!$C$61),INDEX(Utility_Rates!$C$29:$F$52,HOUR(C1700)+Inputs!$C$69,MATCH(INDEX(Utility_Rates!$K$6:$K$17,MONTH(C1700))&amp;IF(WEEKDAY(C1700,Inputs!$C$76)&lt;=Inputs!$C$74," weekday"," weekend"),Utility_Rates!$C$28:$F$28,Inputs!$C$68)),"")</f>
      </c>
      <c r="H1700" s="34"/>
      <c r="I1700" s="42">
        <f>IF(AND(ISNUMBER(D1700),ISNUMBER(H1700)),D1700*H1700*Inputs!$C$69,"")</f>
      </c>
      <c r="J1700" s="42">
        <f>IF(AND(ISNUMBER(F1700),ISNUMBER(H1700),F1700&gt;=Inputs!$C$68),F1700*H1700*Inputs!$C$69,"")</f>
      </c>
    </row>
    <row r="1701" spans="2:10" ht="15" customHeight="1" x14ac:dyDescent="0.2">
      <c r="B1701" s="39">
        <f t="shared" si="12"/>
      </c>
      <c r="C1701" s="40">
        <f>IF(Inputs!$C$60,Inputs!$C$11+(B1701-Inputs!$C$69)/Inputs!$C$70,"")</f>
      </c>
      <c r="D1701" s="15"/>
      <c r="E1701" s="15"/>
      <c r="F1701" s="11">
        <f t="shared" si="13"/>
      </c>
      <c r="G1701" s="22" cm="1">
        <f t="array" ref="G1701">IF(AND(Inputs!$C$60,Inputs!$C$61),INDEX(Utility_Rates!$C$29:$F$52,HOUR(C1701)+Inputs!$C$69,MATCH(INDEX(Utility_Rates!$K$6:$K$17,MONTH(C1701))&amp;IF(WEEKDAY(C1701,Inputs!$C$76)&lt;=Inputs!$C$74," weekday"," weekend"),Utility_Rates!$C$28:$F$28,Inputs!$C$68)),"")</f>
      </c>
      <c r="H1701" s="34"/>
      <c r="I1701" s="42">
        <f>IF(AND(ISNUMBER(D1701),ISNUMBER(H1701)),D1701*H1701*Inputs!$C$69,"")</f>
      </c>
      <c r="J1701" s="42">
        <f>IF(AND(ISNUMBER(F1701),ISNUMBER(H1701),F1701&gt;=Inputs!$C$68),F1701*H1701*Inputs!$C$69,"")</f>
      </c>
    </row>
    <row r="1702" spans="2:10" ht="15" customHeight="1" x14ac:dyDescent="0.2">
      <c r="B1702" s="39">
        <f t="shared" si="12"/>
      </c>
      <c r="C1702" s="40">
        <f>IF(Inputs!$C$60,Inputs!$C$11+(B1702-Inputs!$C$69)/Inputs!$C$70,"")</f>
      </c>
      <c r="D1702" s="15"/>
      <c r="E1702" s="15"/>
      <c r="F1702" s="11">
        <f t="shared" si="13"/>
      </c>
      <c r="G1702" s="22" cm="1">
        <f t="array" ref="G1702">IF(AND(Inputs!$C$60,Inputs!$C$61),INDEX(Utility_Rates!$C$29:$F$52,HOUR(C1702)+Inputs!$C$69,MATCH(INDEX(Utility_Rates!$K$6:$K$17,MONTH(C1702))&amp;IF(WEEKDAY(C1702,Inputs!$C$76)&lt;=Inputs!$C$74," weekday"," weekend"),Utility_Rates!$C$28:$F$28,Inputs!$C$68)),"")</f>
      </c>
      <c r="H1702" s="34"/>
      <c r="I1702" s="42">
        <f>IF(AND(ISNUMBER(D1702),ISNUMBER(H1702)),D1702*H1702*Inputs!$C$69,"")</f>
      </c>
      <c r="J1702" s="42">
        <f>IF(AND(ISNUMBER(F1702),ISNUMBER(H1702),F1702&gt;=Inputs!$C$68),F1702*H1702*Inputs!$C$69,"")</f>
      </c>
    </row>
    <row r="1703" spans="2:10" ht="15" customHeight="1" x14ac:dyDescent="0.2">
      <c r="B1703" s="39">
        <f t="shared" si="12"/>
      </c>
      <c r="C1703" s="40">
        <f>IF(Inputs!$C$60,Inputs!$C$11+(B1703-Inputs!$C$69)/Inputs!$C$70,"")</f>
      </c>
      <c r="D1703" s="15"/>
      <c r="E1703" s="15"/>
      <c r="F1703" s="11">
        <f t="shared" si="13"/>
      </c>
      <c r="G1703" s="22" cm="1">
        <f t="array" ref="G1703">IF(AND(Inputs!$C$60,Inputs!$C$61),INDEX(Utility_Rates!$C$29:$F$52,HOUR(C1703)+Inputs!$C$69,MATCH(INDEX(Utility_Rates!$K$6:$K$17,MONTH(C1703))&amp;IF(WEEKDAY(C1703,Inputs!$C$76)&lt;=Inputs!$C$74," weekday"," weekend"),Utility_Rates!$C$28:$F$28,Inputs!$C$68)),"")</f>
      </c>
      <c r="H1703" s="34"/>
      <c r="I1703" s="42">
        <f>IF(AND(ISNUMBER(D1703),ISNUMBER(H1703)),D1703*H1703*Inputs!$C$69,"")</f>
      </c>
      <c r="J1703" s="42">
        <f>IF(AND(ISNUMBER(F1703),ISNUMBER(H1703),F1703&gt;=Inputs!$C$68),F1703*H1703*Inputs!$C$69,"")</f>
      </c>
    </row>
    <row r="1704" spans="2:10" ht="15" customHeight="1" x14ac:dyDescent="0.2">
      <c r="B1704" s="39">
        <f t="shared" si="12"/>
      </c>
      <c r="C1704" s="40">
        <f>IF(Inputs!$C$60,Inputs!$C$11+(B1704-Inputs!$C$69)/Inputs!$C$70,"")</f>
      </c>
      <c r="D1704" s="15"/>
      <c r="E1704" s="15"/>
      <c r="F1704" s="11">
        <f t="shared" si="13"/>
      </c>
      <c r="G1704" s="22" cm="1">
        <f t="array" ref="G1704">IF(AND(Inputs!$C$60,Inputs!$C$61),INDEX(Utility_Rates!$C$29:$F$52,HOUR(C1704)+Inputs!$C$69,MATCH(INDEX(Utility_Rates!$K$6:$K$17,MONTH(C1704))&amp;IF(WEEKDAY(C1704,Inputs!$C$76)&lt;=Inputs!$C$74," weekday"," weekend"),Utility_Rates!$C$28:$F$28,Inputs!$C$68)),"")</f>
      </c>
      <c r="H1704" s="34"/>
      <c r="I1704" s="42">
        <f>IF(AND(ISNUMBER(D1704),ISNUMBER(H1704)),D1704*H1704*Inputs!$C$69,"")</f>
      </c>
      <c r="J1704" s="42">
        <f>IF(AND(ISNUMBER(F1704),ISNUMBER(H1704),F1704&gt;=Inputs!$C$68),F1704*H1704*Inputs!$C$69,"")</f>
      </c>
    </row>
    <row r="1705" spans="2:10" ht="15" customHeight="1" x14ac:dyDescent="0.2">
      <c r="B1705" s="39">
        <f t="shared" si="12"/>
      </c>
      <c r="C1705" s="40">
        <f>IF(Inputs!$C$60,Inputs!$C$11+(B1705-Inputs!$C$69)/Inputs!$C$70,"")</f>
      </c>
      <c r="D1705" s="15"/>
      <c r="E1705" s="15"/>
      <c r="F1705" s="11">
        <f t="shared" si="13"/>
      </c>
      <c r="G1705" s="22" cm="1">
        <f t="array" ref="G1705">IF(AND(Inputs!$C$60,Inputs!$C$61),INDEX(Utility_Rates!$C$29:$F$52,HOUR(C1705)+Inputs!$C$69,MATCH(INDEX(Utility_Rates!$K$6:$K$17,MONTH(C1705))&amp;IF(WEEKDAY(C1705,Inputs!$C$76)&lt;=Inputs!$C$74," weekday"," weekend"),Utility_Rates!$C$28:$F$28,Inputs!$C$68)),"")</f>
      </c>
      <c r="H1705" s="34"/>
      <c r="I1705" s="42">
        <f>IF(AND(ISNUMBER(D1705),ISNUMBER(H1705)),D1705*H1705*Inputs!$C$69,"")</f>
      </c>
      <c r="J1705" s="42">
        <f>IF(AND(ISNUMBER(F1705),ISNUMBER(H1705),F1705&gt;=Inputs!$C$68),F1705*H1705*Inputs!$C$69,"")</f>
      </c>
    </row>
    <row r="1706" spans="2:10" ht="15" customHeight="1" x14ac:dyDescent="0.2">
      <c r="B1706" s="39">
        <f t="shared" si="12"/>
      </c>
      <c r="C1706" s="40">
        <f>IF(Inputs!$C$60,Inputs!$C$11+(B1706-Inputs!$C$69)/Inputs!$C$70,"")</f>
      </c>
      <c r="D1706" s="15"/>
      <c r="E1706" s="15"/>
      <c r="F1706" s="11">
        <f t="shared" si="13"/>
      </c>
      <c r="G1706" s="22" cm="1">
        <f t="array" ref="G1706">IF(AND(Inputs!$C$60,Inputs!$C$61),INDEX(Utility_Rates!$C$29:$F$52,HOUR(C1706)+Inputs!$C$69,MATCH(INDEX(Utility_Rates!$K$6:$K$17,MONTH(C1706))&amp;IF(WEEKDAY(C1706,Inputs!$C$76)&lt;=Inputs!$C$74," weekday"," weekend"),Utility_Rates!$C$28:$F$28,Inputs!$C$68)),"")</f>
      </c>
      <c r="H1706" s="34"/>
      <c r="I1706" s="42">
        <f>IF(AND(ISNUMBER(D1706),ISNUMBER(H1706)),D1706*H1706*Inputs!$C$69,"")</f>
      </c>
      <c r="J1706" s="42">
        <f>IF(AND(ISNUMBER(F1706),ISNUMBER(H1706),F1706&gt;=Inputs!$C$68),F1706*H1706*Inputs!$C$69,"")</f>
      </c>
    </row>
    <row r="1707" spans="2:10" ht="15" customHeight="1" x14ac:dyDescent="0.2">
      <c r="B1707" s="39">
        <f t="shared" si="12"/>
      </c>
      <c r="C1707" s="40">
        <f>IF(Inputs!$C$60,Inputs!$C$11+(B1707-Inputs!$C$69)/Inputs!$C$70,"")</f>
      </c>
      <c r="D1707" s="15"/>
      <c r="E1707" s="15"/>
      <c r="F1707" s="11">
        <f t="shared" si="13"/>
      </c>
      <c r="G1707" s="22" cm="1">
        <f t="array" ref="G1707">IF(AND(Inputs!$C$60,Inputs!$C$61),INDEX(Utility_Rates!$C$29:$F$52,HOUR(C1707)+Inputs!$C$69,MATCH(INDEX(Utility_Rates!$K$6:$K$17,MONTH(C1707))&amp;IF(WEEKDAY(C1707,Inputs!$C$76)&lt;=Inputs!$C$74," weekday"," weekend"),Utility_Rates!$C$28:$F$28,Inputs!$C$68)),"")</f>
      </c>
      <c r="H1707" s="34"/>
      <c r="I1707" s="42">
        <f>IF(AND(ISNUMBER(D1707),ISNUMBER(H1707)),D1707*H1707*Inputs!$C$69,"")</f>
      </c>
      <c r="J1707" s="42">
        <f>IF(AND(ISNUMBER(F1707),ISNUMBER(H1707),F1707&gt;=Inputs!$C$68),F1707*H1707*Inputs!$C$69,"")</f>
      </c>
    </row>
    <row r="1708" spans="2:10" ht="15" customHeight="1" x14ac:dyDescent="0.2">
      <c r="B1708" s="39">
        <f t="shared" si="12"/>
      </c>
      <c r="C1708" s="40">
        <f>IF(Inputs!$C$60,Inputs!$C$11+(B1708-Inputs!$C$69)/Inputs!$C$70,"")</f>
      </c>
      <c r="D1708" s="15"/>
      <c r="E1708" s="15"/>
      <c r="F1708" s="11">
        <f t="shared" si="13"/>
      </c>
      <c r="G1708" s="22" cm="1">
        <f t="array" ref="G1708">IF(AND(Inputs!$C$60,Inputs!$C$61),INDEX(Utility_Rates!$C$29:$F$52,HOUR(C1708)+Inputs!$C$69,MATCH(INDEX(Utility_Rates!$K$6:$K$17,MONTH(C1708))&amp;IF(WEEKDAY(C1708,Inputs!$C$76)&lt;=Inputs!$C$74," weekday"," weekend"),Utility_Rates!$C$28:$F$28,Inputs!$C$68)),"")</f>
      </c>
      <c r="H1708" s="34"/>
      <c r="I1708" s="42">
        <f>IF(AND(ISNUMBER(D1708),ISNUMBER(H1708)),D1708*H1708*Inputs!$C$69,"")</f>
      </c>
      <c r="J1708" s="42">
        <f>IF(AND(ISNUMBER(F1708),ISNUMBER(H1708),F1708&gt;=Inputs!$C$68),F1708*H1708*Inputs!$C$69,"")</f>
      </c>
    </row>
    <row r="1709" spans="2:10" ht="15" customHeight="1" x14ac:dyDescent="0.2">
      <c r="B1709" s="39">
        <f t="shared" si="12"/>
      </c>
      <c r="C1709" s="40">
        <f>IF(Inputs!$C$60,Inputs!$C$11+(B1709-Inputs!$C$69)/Inputs!$C$70,"")</f>
      </c>
      <c r="D1709" s="15"/>
      <c r="E1709" s="15"/>
      <c r="F1709" s="11">
        <f t="shared" si="13"/>
      </c>
      <c r="G1709" s="22" cm="1">
        <f t="array" ref="G1709">IF(AND(Inputs!$C$60,Inputs!$C$61),INDEX(Utility_Rates!$C$29:$F$52,HOUR(C1709)+Inputs!$C$69,MATCH(INDEX(Utility_Rates!$K$6:$K$17,MONTH(C1709))&amp;IF(WEEKDAY(C1709,Inputs!$C$76)&lt;=Inputs!$C$74," weekday"," weekend"),Utility_Rates!$C$28:$F$28,Inputs!$C$68)),"")</f>
      </c>
      <c r="H1709" s="34"/>
      <c r="I1709" s="42">
        <f>IF(AND(ISNUMBER(D1709),ISNUMBER(H1709)),D1709*H1709*Inputs!$C$69,"")</f>
      </c>
      <c r="J1709" s="42">
        <f>IF(AND(ISNUMBER(F1709),ISNUMBER(H1709),F1709&gt;=Inputs!$C$68),F1709*H1709*Inputs!$C$69,"")</f>
      </c>
    </row>
    <row r="1710" spans="2:10" ht="15" customHeight="1" x14ac:dyDescent="0.2">
      <c r="B1710" s="39">
        <f t="shared" si="12"/>
      </c>
      <c r="C1710" s="40">
        <f>IF(Inputs!$C$60,Inputs!$C$11+(B1710-Inputs!$C$69)/Inputs!$C$70,"")</f>
      </c>
      <c r="D1710" s="15"/>
      <c r="E1710" s="15"/>
      <c r="F1710" s="11">
        <f t="shared" si="13"/>
      </c>
      <c r="G1710" s="22" cm="1">
        <f t="array" ref="G1710">IF(AND(Inputs!$C$60,Inputs!$C$61),INDEX(Utility_Rates!$C$29:$F$52,HOUR(C1710)+Inputs!$C$69,MATCH(INDEX(Utility_Rates!$K$6:$K$17,MONTH(C1710))&amp;IF(WEEKDAY(C1710,Inputs!$C$76)&lt;=Inputs!$C$74," weekday"," weekend"),Utility_Rates!$C$28:$F$28,Inputs!$C$68)),"")</f>
      </c>
      <c r="H1710" s="34"/>
      <c r="I1710" s="42">
        <f>IF(AND(ISNUMBER(D1710),ISNUMBER(H1710)),D1710*H1710*Inputs!$C$69,"")</f>
      </c>
      <c r="J1710" s="42">
        <f>IF(AND(ISNUMBER(F1710),ISNUMBER(H1710),F1710&gt;=Inputs!$C$68),F1710*H1710*Inputs!$C$69,"")</f>
      </c>
    </row>
    <row r="1711" spans="2:10" ht="15" customHeight="1" x14ac:dyDescent="0.2">
      <c r="B1711" s="39">
        <f t="shared" si="12"/>
      </c>
      <c r="C1711" s="40">
        <f>IF(Inputs!$C$60,Inputs!$C$11+(B1711-Inputs!$C$69)/Inputs!$C$70,"")</f>
      </c>
      <c r="D1711" s="15"/>
      <c r="E1711" s="15"/>
      <c r="F1711" s="11">
        <f t="shared" si="13"/>
      </c>
      <c r="G1711" s="22" cm="1">
        <f t="array" ref="G1711">IF(AND(Inputs!$C$60,Inputs!$C$61),INDEX(Utility_Rates!$C$29:$F$52,HOUR(C1711)+Inputs!$C$69,MATCH(INDEX(Utility_Rates!$K$6:$K$17,MONTH(C1711))&amp;IF(WEEKDAY(C1711,Inputs!$C$76)&lt;=Inputs!$C$74," weekday"," weekend"),Utility_Rates!$C$28:$F$28,Inputs!$C$68)),"")</f>
      </c>
      <c r="H1711" s="34"/>
      <c r="I1711" s="42">
        <f>IF(AND(ISNUMBER(D1711),ISNUMBER(H1711)),D1711*H1711*Inputs!$C$69,"")</f>
      </c>
      <c r="J1711" s="42">
        <f>IF(AND(ISNUMBER(F1711),ISNUMBER(H1711),F1711&gt;=Inputs!$C$68),F1711*H1711*Inputs!$C$69,"")</f>
      </c>
    </row>
    <row r="1712" spans="2:10" ht="15" customHeight="1" x14ac:dyDescent="0.2">
      <c r="B1712" s="39">
        <f t="shared" si="12"/>
      </c>
      <c r="C1712" s="40">
        <f>IF(Inputs!$C$60,Inputs!$C$11+(B1712-Inputs!$C$69)/Inputs!$C$70,"")</f>
      </c>
      <c r="D1712" s="15"/>
      <c r="E1712" s="15"/>
      <c r="F1712" s="11">
        <f t="shared" si="13"/>
      </c>
      <c r="G1712" s="22" cm="1">
        <f t="array" ref="G1712">IF(AND(Inputs!$C$60,Inputs!$C$61),INDEX(Utility_Rates!$C$29:$F$52,HOUR(C1712)+Inputs!$C$69,MATCH(INDEX(Utility_Rates!$K$6:$K$17,MONTH(C1712))&amp;IF(WEEKDAY(C1712,Inputs!$C$76)&lt;=Inputs!$C$74," weekday"," weekend"),Utility_Rates!$C$28:$F$28,Inputs!$C$68)),"")</f>
      </c>
      <c r="H1712" s="34"/>
      <c r="I1712" s="42">
        <f>IF(AND(ISNUMBER(D1712),ISNUMBER(H1712)),D1712*H1712*Inputs!$C$69,"")</f>
      </c>
      <c r="J1712" s="42">
        <f>IF(AND(ISNUMBER(F1712),ISNUMBER(H1712),F1712&gt;=Inputs!$C$68),F1712*H1712*Inputs!$C$69,"")</f>
      </c>
    </row>
    <row r="1713" spans="2:10" ht="15" customHeight="1" x14ac:dyDescent="0.2">
      <c r="B1713" s="39">
        <f t="shared" si="12"/>
      </c>
      <c r="C1713" s="40">
        <f>IF(Inputs!$C$60,Inputs!$C$11+(B1713-Inputs!$C$69)/Inputs!$C$70,"")</f>
      </c>
      <c r="D1713" s="15"/>
      <c r="E1713" s="15"/>
      <c r="F1713" s="11">
        <f t="shared" si="13"/>
      </c>
      <c r="G1713" s="22" cm="1">
        <f t="array" ref="G1713">IF(AND(Inputs!$C$60,Inputs!$C$61),INDEX(Utility_Rates!$C$29:$F$52,HOUR(C1713)+Inputs!$C$69,MATCH(INDEX(Utility_Rates!$K$6:$K$17,MONTH(C1713))&amp;IF(WEEKDAY(C1713,Inputs!$C$76)&lt;=Inputs!$C$74," weekday"," weekend"),Utility_Rates!$C$28:$F$28,Inputs!$C$68)),"")</f>
      </c>
      <c r="H1713" s="34"/>
      <c r="I1713" s="42">
        <f>IF(AND(ISNUMBER(D1713),ISNUMBER(H1713)),D1713*H1713*Inputs!$C$69,"")</f>
      </c>
      <c r="J1713" s="42">
        <f>IF(AND(ISNUMBER(F1713),ISNUMBER(H1713),F1713&gt;=Inputs!$C$68),F1713*H1713*Inputs!$C$69,"")</f>
      </c>
    </row>
    <row r="1714" spans="2:10" ht="15" customHeight="1" x14ac:dyDescent="0.2">
      <c r="B1714" s="39">
        <f t="shared" si="12"/>
      </c>
      <c r="C1714" s="40">
        <f>IF(Inputs!$C$60,Inputs!$C$11+(B1714-Inputs!$C$69)/Inputs!$C$70,"")</f>
      </c>
      <c r="D1714" s="15"/>
      <c r="E1714" s="15"/>
      <c r="F1714" s="11">
        <f t="shared" si="13"/>
      </c>
      <c r="G1714" s="22" cm="1">
        <f t="array" ref="G1714">IF(AND(Inputs!$C$60,Inputs!$C$61),INDEX(Utility_Rates!$C$29:$F$52,HOUR(C1714)+Inputs!$C$69,MATCH(INDEX(Utility_Rates!$K$6:$K$17,MONTH(C1714))&amp;IF(WEEKDAY(C1714,Inputs!$C$76)&lt;=Inputs!$C$74," weekday"," weekend"),Utility_Rates!$C$28:$F$28,Inputs!$C$68)),"")</f>
      </c>
      <c r="H1714" s="34"/>
      <c r="I1714" s="42">
        <f>IF(AND(ISNUMBER(D1714),ISNUMBER(H1714)),D1714*H1714*Inputs!$C$69,"")</f>
      </c>
      <c r="J1714" s="42">
        <f>IF(AND(ISNUMBER(F1714),ISNUMBER(H1714),F1714&gt;=Inputs!$C$68),F1714*H1714*Inputs!$C$69,"")</f>
      </c>
    </row>
    <row r="1715" spans="2:10" ht="15" customHeight="1" x14ac:dyDescent="0.2">
      <c r="B1715" s="39">
        <f t="shared" si="12"/>
      </c>
      <c r="C1715" s="40">
        <f>IF(Inputs!$C$60,Inputs!$C$11+(B1715-Inputs!$C$69)/Inputs!$C$70,"")</f>
      </c>
      <c r="D1715" s="15"/>
      <c r="E1715" s="15"/>
      <c r="F1715" s="11">
        <f t="shared" si="13"/>
      </c>
      <c r="G1715" s="22" cm="1">
        <f t="array" ref="G1715">IF(AND(Inputs!$C$60,Inputs!$C$61),INDEX(Utility_Rates!$C$29:$F$52,HOUR(C1715)+Inputs!$C$69,MATCH(INDEX(Utility_Rates!$K$6:$K$17,MONTH(C1715))&amp;IF(WEEKDAY(C1715,Inputs!$C$76)&lt;=Inputs!$C$74," weekday"," weekend"),Utility_Rates!$C$28:$F$28,Inputs!$C$68)),"")</f>
      </c>
      <c r="H1715" s="34"/>
      <c r="I1715" s="42">
        <f>IF(AND(ISNUMBER(D1715),ISNUMBER(H1715)),D1715*H1715*Inputs!$C$69,"")</f>
      </c>
      <c r="J1715" s="42">
        <f>IF(AND(ISNUMBER(F1715),ISNUMBER(H1715),F1715&gt;=Inputs!$C$68),F1715*H1715*Inputs!$C$69,"")</f>
      </c>
    </row>
    <row r="1716" spans="2:10" ht="15" customHeight="1" x14ac:dyDescent="0.2">
      <c r="B1716" s="39">
        <f t="shared" si="12"/>
      </c>
      <c r="C1716" s="40">
        <f>IF(Inputs!$C$60,Inputs!$C$11+(B1716-Inputs!$C$69)/Inputs!$C$70,"")</f>
      </c>
      <c r="D1716" s="15"/>
      <c r="E1716" s="15"/>
      <c r="F1716" s="11">
        <f t="shared" si="13"/>
      </c>
      <c r="G1716" s="22" cm="1">
        <f t="array" ref="G1716">IF(AND(Inputs!$C$60,Inputs!$C$61),INDEX(Utility_Rates!$C$29:$F$52,HOUR(C1716)+Inputs!$C$69,MATCH(INDEX(Utility_Rates!$K$6:$K$17,MONTH(C1716))&amp;IF(WEEKDAY(C1716,Inputs!$C$76)&lt;=Inputs!$C$74," weekday"," weekend"),Utility_Rates!$C$28:$F$28,Inputs!$C$68)),"")</f>
      </c>
      <c r="H1716" s="34"/>
      <c r="I1716" s="42">
        <f>IF(AND(ISNUMBER(D1716),ISNUMBER(H1716)),D1716*H1716*Inputs!$C$69,"")</f>
      </c>
      <c r="J1716" s="42">
        <f>IF(AND(ISNUMBER(F1716),ISNUMBER(H1716),F1716&gt;=Inputs!$C$68),F1716*H1716*Inputs!$C$69,"")</f>
      </c>
    </row>
    <row r="1717" spans="2:10" ht="15" customHeight="1" x14ac:dyDescent="0.2">
      <c r="B1717" s="39">
        <f t="shared" si="12"/>
      </c>
      <c r="C1717" s="40">
        <f>IF(Inputs!$C$60,Inputs!$C$11+(B1717-Inputs!$C$69)/Inputs!$C$70,"")</f>
      </c>
      <c r="D1717" s="15"/>
      <c r="E1717" s="15"/>
      <c r="F1717" s="11">
        <f t="shared" si="13"/>
      </c>
      <c r="G1717" s="22" cm="1">
        <f t="array" ref="G1717">IF(AND(Inputs!$C$60,Inputs!$C$61),INDEX(Utility_Rates!$C$29:$F$52,HOUR(C1717)+Inputs!$C$69,MATCH(INDEX(Utility_Rates!$K$6:$K$17,MONTH(C1717))&amp;IF(WEEKDAY(C1717,Inputs!$C$76)&lt;=Inputs!$C$74," weekday"," weekend"),Utility_Rates!$C$28:$F$28,Inputs!$C$68)),"")</f>
      </c>
      <c r="H1717" s="34"/>
      <c r="I1717" s="42">
        <f>IF(AND(ISNUMBER(D1717),ISNUMBER(H1717)),D1717*H1717*Inputs!$C$69,"")</f>
      </c>
      <c r="J1717" s="42">
        <f>IF(AND(ISNUMBER(F1717),ISNUMBER(H1717),F1717&gt;=Inputs!$C$68),F1717*H1717*Inputs!$C$69,"")</f>
      </c>
    </row>
    <row r="1718" spans="2:10" ht="15" customHeight="1" x14ac:dyDescent="0.2">
      <c r="B1718" s="39">
        <f t="shared" si="12"/>
      </c>
      <c r="C1718" s="40">
        <f>IF(Inputs!$C$60,Inputs!$C$11+(B1718-Inputs!$C$69)/Inputs!$C$70,"")</f>
      </c>
      <c r="D1718" s="15"/>
      <c r="E1718" s="15"/>
      <c r="F1718" s="11">
        <f t="shared" si="13"/>
      </c>
      <c r="G1718" s="22" cm="1">
        <f t="array" ref="G1718">IF(AND(Inputs!$C$60,Inputs!$C$61),INDEX(Utility_Rates!$C$29:$F$52,HOUR(C1718)+Inputs!$C$69,MATCH(INDEX(Utility_Rates!$K$6:$K$17,MONTH(C1718))&amp;IF(WEEKDAY(C1718,Inputs!$C$76)&lt;=Inputs!$C$74," weekday"," weekend"),Utility_Rates!$C$28:$F$28,Inputs!$C$68)),"")</f>
      </c>
      <c r="H1718" s="34"/>
      <c r="I1718" s="42">
        <f>IF(AND(ISNUMBER(D1718),ISNUMBER(H1718)),D1718*H1718*Inputs!$C$69,"")</f>
      </c>
      <c r="J1718" s="42">
        <f>IF(AND(ISNUMBER(F1718),ISNUMBER(H1718),F1718&gt;=Inputs!$C$68),F1718*H1718*Inputs!$C$69,"")</f>
      </c>
    </row>
    <row r="1719" spans="2:10" ht="15" customHeight="1" x14ac:dyDescent="0.2">
      <c r="B1719" s="39">
        <f t="shared" si="12"/>
      </c>
      <c r="C1719" s="40">
        <f>IF(Inputs!$C$60,Inputs!$C$11+(B1719-Inputs!$C$69)/Inputs!$C$70,"")</f>
      </c>
      <c r="D1719" s="15"/>
      <c r="E1719" s="15"/>
      <c r="F1719" s="11">
        <f t="shared" si="13"/>
      </c>
      <c r="G1719" s="22" cm="1">
        <f t="array" ref="G1719">IF(AND(Inputs!$C$60,Inputs!$C$61),INDEX(Utility_Rates!$C$29:$F$52,HOUR(C1719)+Inputs!$C$69,MATCH(INDEX(Utility_Rates!$K$6:$K$17,MONTH(C1719))&amp;IF(WEEKDAY(C1719,Inputs!$C$76)&lt;=Inputs!$C$74," weekday"," weekend"),Utility_Rates!$C$28:$F$28,Inputs!$C$68)),"")</f>
      </c>
      <c r="H1719" s="34"/>
      <c r="I1719" s="42">
        <f>IF(AND(ISNUMBER(D1719),ISNUMBER(H1719)),D1719*H1719*Inputs!$C$69,"")</f>
      </c>
      <c r="J1719" s="42">
        <f>IF(AND(ISNUMBER(F1719),ISNUMBER(H1719),F1719&gt;=Inputs!$C$68),F1719*H1719*Inputs!$C$69,"")</f>
      </c>
    </row>
    <row r="1720" spans="2:10" ht="15" customHeight="1" x14ac:dyDescent="0.2">
      <c r="B1720" s="39">
        <f t="shared" si="12"/>
      </c>
      <c r="C1720" s="40">
        <f>IF(Inputs!$C$60,Inputs!$C$11+(B1720-Inputs!$C$69)/Inputs!$C$70,"")</f>
      </c>
      <c r="D1720" s="15"/>
      <c r="E1720" s="15"/>
      <c r="F1720" s="11">
        <f t="shared" si="13"/>
      </c>
      <c r="G1720" s="22" cm="1">
        <f t="array" ref="G1720">IF(AND(Inputs!$C$60,Inputs!$C$61),INDEX(Utility_Rates!$C$29:$F$52,HOUR(C1720)+Inputs!$C$69,MATCH(INDEX(Utility_Rates!$K$6:$K$17,MONTH(C1720))&amp;IF(WEEKDAY(C1720,Inputs!$C$76)&lt;=Inputs!$C$74," weekday"," weekend"),Utility_Rates!$C$28:$F$28,Inputs!$C$68)),"")</f>
      </c>
      <c r="H1720" s="34"/>
      <c r="I1720" s="42">
        <f>IF(AND(ISNUMBER(D1720),ISNUMBER(H1720)),D1720*H1720*Inputs!$C$69,"")</f>
      </c>
      <c r="J1720" s="42">
        <f>IF(AND(ISNUMBER(F1720),ISNUMBER(H1720),F1720&gt;=Inputs!$C$68),F1720*H1720*Inputs!$C$69,"")</f>
      </c>
    </row>
    <row r="1721" spans="2:10" ht="15" customHeight="1" x14ac:dyDescent="0.2">
      <c r="B1721" s="39">
        <f t="shared" si="12"/>
      </c>
      <c r="C1721" s="40">
        <f>IF(Inputs!$C$60,Inputs!$C$11+(B1721-Inputs!$C$69)/Inputs!$C$70,"")</f>
      </c>
      <c r="D1721" s="15"/>
      <c r="E1721" s="15"/>
      <c r="F1721" s="11">
        <f t="shared" si="13"/>
      </c>
      <c r="G1721" s="22" cm="1">
        <f t="array" ref="G1721">IF(AND(Inputs!$C$60,Inputs!$C$61),INDEX(Utility_Rates!$C$29:$F$52,HOUR(C1721)+Inputs!$C$69,MATCH(INDEX(Utility_Rates!$K$6:$K$17,MONTH(C1721))&amp;IF(WEEKDAY(C1721,Inputs!$C$76)&lt;=Inputs!$C$74," weekday"," weekend"),Utility_Rates!$C$28:$F$28,Inputs!$C$68)),"")</f>
      </c>
      <c r="H1721" s="34"/>
      <c r="I1721" s="42">
        <f>IF(AND(ISNUMBER(D1721),ISNUMBER(H1721)),D1721*H1721*Inputs!$C$69,"")</f>
      </c>
      <c r="J1721" s="42">
        <f>IF(AND(ISNUMBER(F1721),ISNUMBER(H1721),F1721&gt;=Inputs!$C$68),F1721*H1721*Inputs!$C$69,"")</f>
      </c>
    </row>
    <row r="1722" spans="2:10" ht="15" customHeight="1" x14ac:dyDescent="0.2">
      <c r="B1722" s="39">
        <f t="shared" si="12"/>
      </c>
      <c r="C1722" s="40">
        <f>IF(Inputs!$C$60,Inputs!$C$11+(B1722-Inputs!$C$69)/Inputs!$C$70,"")</f>
      </c>
      <c r="D1722" s="15"/>
      <c r="E1722" s="15"/>
      <c r="F1722" s="11">
        <f t="shared" si="13"/>
      </c>
      <c r="G1722" s="22" cm="1">
        <f t="array" ref="G1722">IF(AND(Inputs!$C$60,Inputs!$C$61),INDEX(Utility_Rates!$C$29:$F$52,HOUR(C1722)+Inputs!$C$69,MATCH(INDEX(Utility_Rates!$K$6:$K$17,MONTH(C1722))&amp;IF(WEEKDAY(C1722,Inputs!$C$76)&lt;=Inputs!$C$74," weekday"," weekend"),Utility_Rates!$C$28:$F$28,Inputs!$C$68)),"")</f>
      </c>
      <c r="H1722" s="34"/>
      <c r="I1722" s="42">
        <f>IF(AND(ISNUMBER(D1722),ISNUMBER(H1722)),D1722*H1722*Inputs!$C$69,"")</f>
      </c>
      <c r="J1722" s="42">
        <f>IF(AND(ISNUMBER(F1722),ISNUMBER(H1722),F1722&gt;=Inputs!$C$68),F1722*H1722*Inputs!$C$69,"")</f>
      </c>
    </row>
    <row r="1723" spans="2:10" ht="15" customHeight="1" x14ac:dyDescent="0.2">
      <c r="B1723" s="39">
        <f t="shared" si="12"/>
      </c>
      <c r="C1723" s="40">
        <f>IF(Inputs!$C$60,Inputs!$C$11+(B1723-Inputs!$C$69)/Inputs!$C$70,"")</f>
      </c>
      <c r="D1723" s="15"/>
      <c r="E1723" s="15"/>
      <c r="F1723" s="11">
        <f t="shared" si="13"/>
      </c>
      <c r="G1723" s="22" cm="1">
        <f t="array" ref="G1723">IF(AND(Inputs!$C$60,Inputs!$C$61),INDEX(Utility_Rates!$C$29:$F$52,HOUR(C1723)+Inputs!$C$69,MATCH(INDEX(Utility_Rates!$K$6:$K$17,MONTH(C1723))&amp;IF(WEEKDAY(C1723,Inputs!$C$76)&lt;=Inputs!$C$74," weekday"," weekend"),Utility_Rates!$C$28:$F$28,Inputs!$C$68)),"")</f>
      </c>
      <c r="H1723" s="34"/>
      <c r="I1723" s="42">
        <f>IF(AND(ISNUMBER(D1723),ISNUMBER(H1723)),D1723*H1723*Inputs!$C$69,"")</f>
      </c>
      <c r="J1723" s="42">
        <f>IF(AND(ISNUMBER(F1723),ISNUMBER(H1723),F1723&gt;=Inputs!$C$68),F1723*H1723*Inputs!$C$69,"")</f>
      </c>
    </row>
    <row r="1724" spans="2:10" ht="15" customHeight="1" x14ac:dyDescent="0.2">
      <c r="B1724" s="39">
        <f t="shared" si="12"/>
      </c>
      <c r="C1724" s="40">
        <f>IF(Inputs!$C$60,Inputs!$C$11+(B1724-Inputs!$C$69)/Inputs!$C$70,"")</f>
      </c>
      <c r="D1724" s="15"/>
      <c r="E1724" s="15"/>
      <c r="F1724" s="11">
        <f t="shared" si="13"/>
      </c>
      <c r="G1724" s="22" cm="1">
        <f t="array" ref="G1724">IF(AND(Inputs!$C$60,Inputs!$C$61),INDEX(Utility_Rates!$C$29:$F$52,HOUR(C1724)+Inputs!$C$69,MATCH(INDEX(Utility_Rates!$K$6:$K$17,MONTH(C1724))&amp;IF(WEEKDAY(C1724,Inputs!$C$76)&lt;=Inputs!$C$74," weekday"," weekend"),Utility_Rates!$C$28:$F$28,Inputs!$C$68)),"")</f>
      </c>
      <c r="H1724" s="34"/>
      <c r="I1724" s="42">
        <f>IF(AND(ISNUMBER(D1724),ISNUMBER(H1724)),D1724*H1724*Inputs!$C$69,"")</f>
      </c>
      <c r="J1724" s="42">
        <f>IF(AND(ISNUMBER(F1724),ISNUMBER(H1724),F1724&gt;=Inputs!$C$68),F1724*H1724*Inputs!$C$69,"")</f>
      </c>
    </row>
    <row r="1725" spans="2:10" ht="15" customHeight="1" x14ac:dyDescent="0.2">
      <c r="B1725" s="39">
        <f t="shared" si="12"/>
      </c>
      <c r="C1725" s="40">
        <f>IF(Inputs!$C$60,Inputs!$C$11+(B1725-Inputs!$C$69)/Inputs!$C$70,"")</f>
      </c>
      <c r="D1725" s="15"/>
      <c r="E1725" s="15"/>
      <c r="F1725" s="11">
        <f t="shared" si="13"/>
      </c>
      <c r="G1725" s="22" cm="1">
        <f t="array" ref="G1725">IF(AND(Inputs!$C$60,Inputs!$C$61),INDEX(Utility_Rates!$C$29:$F$52,HOUR(C1725)+Inputs!$C$69,MATCH(INDEX(Utility_Rates!$K$6:$K$17,MONTH(C1725))&amp;IF(WEEKDAY(C1725,Inputs!$C$76)&lt;=Inputs!$C$74," weekday"," weekend"),Utility_Rates!$C$28:$F$28,Inputs!$C$68)),"")</f>
      </c>
      <c r="H1725" s="34"/>
      <c r="I1725" s="42">
        <f>IF(AND(ISNUMBER(D1725),ISNUMBER(H1725)),D1725*H1725*Inputs!$C$69,"")</f>
      </c>
      <c r="J1725" s="42">
        <f>IF(AND(ISNUMBER(F1725),ISNUMBER(H1725),F1725&gt;=Inputs!$C$68),F1725*H1725*Inputs!$C$69,"")</f>
      </c>
    </row>
    <row r="1726" spans="2:10" ht="15" customHeight="1" x14ac:dyDescent="0.2">
      <c r="B1726" s="39">
        <f t="shared" si="12"/>
      </c>
      <c r="C1726" s="40">
        <f>IF(Inputs!$C$60,Inputs!$C$11+(B1726-Inputs!$C$69)/Inputs!$C$70,"")</f>
      </c>
      <c r="D1726" s="15"/>
      <c r="E1726" s="15"/>
      <c r="F1726" s="11">
        <f t="shared" si="13"/>
      </c>
      <c r="G1726" s="22" cm="1">
        <f t="array" ref="G1726">IF(AND(Inputs!$C$60,Inputs!$C$61),INDEX(Utility_Rates!$C$29:$F$52,HOUR(C1726)+Inputs!$C$69,MATCH(INDEX(Utility_Rates!$K$6:$K$17,MONTH(C1726))&amp;IF(WEEKDAY(C1726,Inputs!$C$76)&lt;=Inputs!$C$74," weekday"," weekend"),Utility_Rates!$C$28:$F$28,Inputs!$C$68)),"")</f>
      </c>
      <c r="H1726" s="34"/>
      <c r="I1726" s="42">
        <f>IF(AND(ISNUMBER(D1726),ISNUMBER(H1726)),D1726*H1726*Inputs!$C$69,"")</f>
      </c>
      <c r="J1726" s="42">
        <f>IF(AND(ISNUMBER(F1726),ISNUMBER(H1726),F1726&gt;=Inputs!$C$68),F1726*H1726*Inputs!$C$69,"")</f>
      </c>
    </row>
    <row r="1727" spans="2:10" ht="15" customHeight="1" x14ac:dyDescent="0.2">
      <c r="B1727" s="39">
        <f t="shared" si="12"/>
      </c>
      <c r="C1727" s="40">
        <f>IF(Inputs!$C$60,Inputs!$C$11+(B1727-Inputs!$C$69)/Inputs!$C$70,"")</f>
      </c>
      <c r="D1727" s="15"/>
      <c r="E1727" s="15"/>
      <c r="F1727" s="11">
        <f t="shared" si="13"/>
      </c>
      <c r="G1727" s="22" cm="1">
        <f t="array" ref="G1727">IF(AND(Inputs!$C$60,Inputs!$C$61),INDEX(Utility_Rates!$C$29:$F$52,HOUR(C1727)+Inputs!$C$69,MATCH(INDEX(Utility_Rates!$K$6:$K$17,MONTH(C1727))&amp;IF(WEEKDAY(C1727,Inputs!$C$76)&lt;=Inputs!$C$74," weekday"," weekend"),Utility_Rates!$C$28:$F$28,Inputs!$C$68)),"")</f>
      </c>
      <c r="H1727" s="34"/>
      <c r="I1727" s="42">
        <f>IF(AND(ISNUMBER(D1727),ISNUMBER(H1727)),D1727*H1727*Inputs!$C$69,"")</f>
      </c>
      <c r="J1727" s="42">
        <f>IF(AND(ISNUMBER(F1727),ISNUMBER(H1727),F1727&gt;=Inputs!$C$68),F1727*H1727*Inputs!$C$69,"")</f>
      </c>
    </row>
    <row r="1728" spans="2:10" ht="15" customHeight="1" x14ac:dyDescent="0.2">
      <c r="B1728" s="39">
        <f t="shared" si="12"/>
      </c>
      <c r="C1728" s="40">
        <f>IF(Inputs!$C$60,Inputs!$C$11+(B1728-Inputs!$C$69)/Inputs!$C$70,"")</f>
      </c>
      <c r="D1728" s="15"/>
      <c r="E1728" s="15"/>
      <c r="F1728" s="11">
        <f t="shared" si="13"/>
      </c>
      <c r="G1728" s="22" cm="1">
        <f t="array" ref="G1728">IF(AND(Inputs!$C$60,Inputs!$C$61),INDEX(Utility_Rates!$C$29:$F$52,HOUR(C1728)+Inputs!$C$69,MATCH(INDEX(Utility_Rates!$K$6:$K$17,MONTH(C1728))&amp;IF(WEEKDAY(C1728,Inputs!$C$76)&lt;=Inputs!$C$74," weekday"," weekend"),Utility_Rates!$C$28:$F$28,Inputs!$C$68)),"")</f>
      </c>
      <c r="H1728" s="34"/>
      <c r="I1728" s="42">
        <f>IF(AND(ISNUMBER(D1728),ISNUMBER(H1728)),D1728*H1728*Inputs!$C$69,"")</f>
      </c>
      <c r="J1728" s="42">
        <f>IF(AND(ISNUMBER(F1728),ISNUMBER(H1728),F1728&gt;=Inputs!$C$68),F1728*H1728*Inputs!$C$69,"")</f>
      </c>
    </row>
    <row r="1729" spans="2:10" ht="15" customHeight="1" x14ac:dyDescent="0.2">
      <c r="B1729" s="39">
        <f t="shared" si="12"/>
      </c>
      <c r="C1729" s="40">
        <f>IF(Inputs!$C$60,Inputs!$C$11+(B1729-Inputs!$C$69)/Inputs!$C$70,"")</f>
      </c>
      <c r="D1729" s="15"/>
      <c r="E1729" s="15"/>
      <c r="F1729" s="11">
        <f t="shared" si="13"/>
      </c>
      <c r="G1729" s="22" cm="1">
        <f t="array" ref="G1729">IF(AND(Inputs!$C$60,Inputs!$C$61),INDEX(Utility_Rates!$C$29:$F$52,HOUR(C1729)+Inputs!$C$69,MATCH(INDEX(Utility_Rates!$K$6:$K$17,MONTH(C1729))&amp;IF(WEEKDAY(C1729,Inputs!$C$76)&lt;=Inputs!$C$74," weekday"," weekend"),Utility_Rates!$C$28:$F$28,Inputs!$C$68)),"")</f>
      </c>
      <c r="H1729" s="34"/>
      <c r="I1729" s="42">
        <f>IF(AND(ISNUMBER(D1729),ISNUMBER(H1729)),D1729*H1729*Inputs!$C$69,"")</f>
      </c>
      <c r="J1729" s="42">
        <f>IF(AND(ISNUMBER(F1729),ISNUMBER(H1729),F1729&gt;=Inputs!$C$68),F1729*H1729*Inputs!$C$69,"")</f>
      </c>
    </row>
    <row r="1730" spans="2:10" ht="15" customHeight="1" x14ac:dyDescent="0.2">
      <c r="B1730" s="39">
        <f t="shared" si="12"/>
      </c>
      <c r="C1730" s="40">
        <f>IF(Inputs!$C$60,Inputs!$C$11+(B1730-Inputs!$C$69)/Inputs!$C$70,"")</f>
      </c>
      <c r="D1730" s="15"/>
      <c r="E1730" s="15"/>
      <c r="F1730" s="11">
        <f t="shared" si="13"/>
      </c>
      <c r="G1730" s="22" cm="1">
        <f t="array" ref="G1730">IF(AND(Inputs!$C$60,Inputs!$C$61),INDEX(Utility_Rates!$C$29:$F$52,HOUR(C1730)+Inputs!$C$69,MATCH(INDEX(Utility_Rates!$K$6:$K$17,MONTH(C1730))&amp;IF(WEEKDAY(C1730,Inputs!$C$76)&lt;=Inputs!$C$74," weekday"," weekend"),Utility_Rates!$C$28:$F$28,Inputs!$C$68)),"")</f>
      </c>
      <c r="H1730" s="34"/>
      <c r="I1730" s="42">
        <f>IF(AND(ISNUMBER(D1730),ISNUMBER(H1730)),D1730*H1730*Inputs!$C$69,"")</f>
      </c>
      <c r="J1730" s="42">
        <f>IF(AND(ISNUMBER(F1730),ISNUMBER(H1730),F1730&gt;=Inputs!$C$68),F1730*H1730*Inputs!$C$69,"")</f>
      </c>
    </row>
    <row r="1731" spans="2:10" ht="15" customHeight="1" x14ac:dyDescent="0.2">
      <c r="B1731" s="39">
        <f t="shared" si="12"/>
      </c>
      <c r="C1731" s="40">
        <f>IF(Inputs!$C$60,Inputs!$C$11+(B1731-Inputs!$C$69)/Inputs!$C$70,"")</f>
      </c>
      <c r="D1731" s="15"/>
      <c r="E1731" s="15"/>
      <c r="F1731" s="11">
        <f t="shared" si="13"/>
      </c>
      <c r="G1731" s="22" cm="1">
        <f t="array" ref="G1731">IF(AND(Inputs!$C$60,Inputs!$C$61),INDEX(Utility_Rates!$C$29:$F$52,HOUR(C1731)+Inputs!$C$69,MATCH(INDEX(Utility_Rates!$K$6:$K$17,MONTH(C1731))&amp;IF(WEEKDAY(C1731,Inputs!$C$76)&lt;=Inputs!$C$74," weekday"," weekend"),Utility_Rates!$C$28:$F$28,Inputs!$C$68)),"")</f>
      </c>
      <c r="H1731" s="34"/>
      <c r="I1731" s="42">
        <f>IF(AND(ISNUMBER(D1731),ISNUMBER(H1731)),D1731*H1731*Inputs!$C$69,"")</f>
      </c>
      <c r="J1731" s="42">
        <f>IF(AND(ISNUMBER(F1731),ISNUMBER(H1731),F1731&gt;=Inputs!$C$68),F1731*H1731*Inputs!$C$69,"")</f>
      </c>
    </row>
    <row r="1732" spans="2:10" ht="15" customHeight="1" x14ac:dyDescent="0.2">
      <c r="B1732" s="39">
        <f t="shared" si="12"/>
      </c>
      <c r="C1732" s="40">
        <f>IF(Inputs!$C$60,Inputs!$C$11+(B1732-Inputs!$C$69)/Inputs!$C$70,"")</f>
      </c>
      <c r="D1732" s="15"/>
      <c r="E1732" s="15"/>
      <c r="F1732" s="11">
        <f t="shared" si="13"/>
      </c>
      <c r="G1732" s="22" cm="1">
        <f t="array" ref="G1732">IF(AND(Inputs!$C$60,Inputs!$C$61),INDEX(Utility_Rates!$C$29:$F$52,HOUR(C1732)+Inputs!$C$69,MATCH(INDEX(Utility_Rates!$K$6:$K$17,MONTH(C1732))&amp;IF(WEEKDAY(C1732,Inputs!$C$76)&lt;=Inputs!$C$74," weekday"," weekend"),Utility_Rates!$C$28:$F$28,Inputs!$C$68)),"")</f>
      </c>
      <c r="H1732" s="34"/>
      <c r="I1732" s="42">
        <f>IF(AND(ISNUMBER(D1732),ISNUMBER(H1732)),D1732*H1732*Inputs!$C$69,"")</f>
      </c>
      <c r="J1732" s="42">
        <f>IF(AND(ISNUMBER(F1732),ISNUMBER(H1732),F1732&gt;=Inputs!$C$68),F1732*H1732*Inputs!$C$69,"")</f>
      </c>
    </row>
    <row r="1733" spans="2:10" ht="15" customHeight="1" x14ac:dyDescent="0.2">
      <c r="B1733" s="39">
        <f t="shared" si="12"/>
      </c>
      <c r="C1733" s="40">
        <f>IF(Inputs!$C$60,Inputs!$C$11+(B1733-Inputs!$C$69)/Inputs!$C$70,"")</f>
      </c>
      <c r="D1733" s="15"/>
      <c r="E1733" s="15"/>
      <c r="F1733" s="11">
        <f t="shared" si="13"/>
      </c>
      <c r="G1733" s="22" cm="1">
        <f t="array" ref="G1733">IF(AND(Inputs!$C$60,Inputs!$C$61),INDEX(Utility_Rates!$C$29:$F$52,HOUR(C1733)+Inputs!$C$69,MATCH(INDEX(Utility_Rates!$K$6:$K$17,MONTH(C1733))&amp;IF(WEEKDAY(C1733,Inputs!$C$76)&lt;=Inputs!$C$74," weekday"," weekend"),Utility_Rates!$C$28:$F$28,Inputs!$C$68)),"")</f>
      </c>
      <c r="H1733" s="34"/>
      <c r="I1733" s="42">
        <f>IF(AND(ISNUMBER(D1733),ISNUMBER(H1733)),D1733*H1733*Inputs!$C$69,"")</f>
      </c>
      <c r="J1733" s="42">
        <f>IF(AND(ISNUMBER(F1733),ISNUMBER(H1733),F1733&gt;=Inputs!$C$68),F1733*H1733*Inputs!$C$69,"")</f>
      </c>
    </row>
    <row r="1734" spans="2:10" ht="15" customHeight="1" x14ac:dyDescent="0.2">
      <c r="B1734" s="39">
        <f t="shared" si="12"/>
      </c>
      <c r="C1734" s="40">
        <f>IF(Inputs!$C$60,Inputs!$C$11+(B1734-Inputs!$C$69)/Inputs!$C$70,"")</f>
      </c>
      <c r="D1734" s="15"/>
      <c r="E1734" s="15"/>
      <c r="F1734" s="11">
        <f t="shared" si="13"/>
      </c>
      <c r="G1734" s="22" cm="1">
        <f t="array" ref="G1734">IF(AND(Inputs!$C$60,Inputs!$C$61),INDEX(Utility_Rates!$C$29:$F$52,HOUR(C1734)+Inputs!$C$69,MATCH(INDEX(Utility_Rates!$K$6:$K$17,MONTH(C1734))&amp;IF(WEEKDAY(C1734,Inputs!$C$76)&lt;=Inputs!$C$74," weekday"," weekend"),Utility_Rates!$C$28:$F$28,Inputs!$C$68)),"")</f>
      </c>
      <c r="H1734" s="34"/>
      <c r="I1734" s="42">
        <f>IF(AND(ISNUMBER(D1734),ISNUMBER(H1734)),D1734*H1734*Inputs!$C$69,"")</f>
      </c>
      <c r="J1734" s="42">
        <f>IF(AND(ISNUMBER(F1734),ISNUMBER(H1734),F1734&gt;=Inputs!$C$68),F1734*H1734*Inputs!$C$69,"")</f>
      </c>
    </row>
    <row r="1735" spans="2:10" ht="15" customHeight="1" x14ac:dyDescent="0.2">
      <c r="B1735" s="39">
        <f t="shared" si="12"/>
      </c>
      <c r="C1735" s="40">
        <f>IF(Inputs!$C$60,Inputs!$C$11+(B1735-Inputs!$C$69)/Inputs!$C$70,"")</f>
      </c>
      <c r="D1735" s="15"/>
      <c r="E1735" s="15"/>
      <c r="F1735" s="11">
        <f t="shared" si="13"/>
      </c>
      <c r="G1735" s="22" cm="1">
        <f t="array" ref="G1735">IF(AND(Inputs!$C$60,Inputs!$C$61),INDEX(Utility_Rates!$C$29:$F$52,HOUR(C1735)+Inputs!$C$69,MATCH(INDEX(Utility_Rates!$K$6:$K$17,MONTH(C1735))&amp;IF(WEEKDAY(C1735,Inputs!$C$76)&lt;=Inputs!$C$74," weekday"," weekend"),Utility_Rates!$C$28:$F$28,Inputs!$C$68)),"")</f>
      </c>
      <c r="H1735" s="34"/>
      <c r="I1735" s="42">
        <f>IF(AND(ISNUMBER(D1735),ISNUMBER(H1735)),D1735*H1735*Inputs!$C$69,"")</f>
      </c>
      <c r="J1735" s="42">
        <f>IF(AND(ISNUMBER(F1735),ISNUMBER(H1735),F1735&gt;=Inputs!$C$68),F1735*H1735*Inputs!$C$69,"")</f>
      </c>
    </row>
    <row r="1736" spans="2:10" ht="15" customHeight="1" x14ac:dyDescent="0.2">
      <c r="B1736" s="39">
        <f t="shared" si="12"/>
      </c>
      <c r="C1736" s="40">
        <f>IF(Inputs!$C$60,Inputs!$C$11+(B1736-Inputs!$C$69)/Inputs!$C$70,"")</f>
      </c>
      <c r="D1736" s="15"/>
      <c r="E1736" s="15"/>
      <c r="F1736" s="11">
        <f t="shared" si="13"/>
      </c>
      <c r="G1736" s="22" cm="1">
        <f t="array" ref="G1736">IF(AND(Inputs!$C$60,Inputs!$C$61),INDEX(Utility_Rates!$C$29:$F$52,HOUR(C1736)+Inputs!$C$69,MATCH(INDEX(Utility_Rates!$K$6:$K$17,MONTH(C1736))&amp;IF(WEEKDAY(C1736,Inputs!$C$76)&lt;=Inputs!$C$74," weekday"," weekend"),Utility_Rates!$C$28:$F$28,Inputs!$C$68)),"")</f>
      </c>
      <c r="H1736" s="34"/>
      <c r="I1736" s="42">
        <f>IF(AND(ISNUMBER(D1736),ISNUMBER(H1736)),D1736*H1736*Inputs!$C$69,"")</f>
      </c>
      <c r="J1736" s="42">
        <f>IF(AND(ISNUMBER(F1736),ISNUMBER(H1736),F1736&gt;=Inputs!$C$68),F1736*H1736*Inputs!$C$69,"")</f>
      </c>
    </row>
    <row r="1737" spans="2:10" ht="15" customHeight="1" x14ac:dyDescent="0.2">
      <c r="B1737" s="39">
        <f t="shared" si="12"/>
      </c>
      <c r="C1737" s="40">
        <f>IF(Inputs!$C$60,Inputs!$C$11+(B1737-Inputs!$C$69)/Inputs!$C$70,"")</f>
      </c>
      <c r="D1737" s="15"/>
      <c r="E1737" s="15"/>
      <c r="F1737" s="11">
        <f t="shared" si="13"/>
      </c>
      <c r="G1737" s="22" cm="1">
        <f t="array" ref="G1737">IF(AND(Inputs!$C$60,Inputs!$C$61),INDEX(Utility_Rates!$C$29:$F$52,HOUR(C1737)+Inputs!$C$69,MATCH(INDEX(Utility_Rates!$K$6:$K$17,MONTH(C1737))&amp;IF(WEEKDAY(C1737,Inputs!$C$76)&lt;=Inputs!$C$74," weekday"," weekend"),Utility_Rates!$C$28:$F$28,Inputs!$C$68)),"")</f>
      </c>
      <c r="H1737" s="34"/>
      <c r="I1737" s="42">
        <f>IF(AND(ISNUMBER(D1737),ISNUMBER(H1737)),D1737*H1737*Inputs!$C$69,"")</f>
      </c>
      <c r="J1737" s="42">
        <f>IF(AND(ISNUMBER(F1737),ISNUMBER(H1737),F1737&gt;=Inputs!$C$68),F1737*H1737*Inputs!$C$69,"")</f>
      </c>
    </row>
    <row r="1738" spans="2:10" ht="15" customHeight="1" x14ac:dyDescent="0.2">
      <c r="B1738" s="39">
        <f t="shared" si="12"/>
      </c>
      <c r="C1738" s="40">
        <f>IF(Inputs!$C$60,Inputs!$C$11+(B1738-Inputs!$C$69)/Inputs!$C$70,"")</f>
      </c>
      <c r="D1738" s="15"/>
      <c r="E1738" s="15"/>
      <c r="F1738" s="11">
        <f t="shared" si="13"/>
      </c>
      <c r="G1738" s="22" cm="1">
        <f t="array" ref="G1738">IF(AND(Inputs!$C$60,Inputs!$C$61),INDEX(Utility_Rates!$C$29:$F$52,HOUR(C1738)+Inputs!$C$69,MATCH(INDEX(Utility_Rates!$K$6:$K$17,MONTH(C1738))&amp;IF(WEEKDAY(C1738,Inputs!$C$76)&lt;=Inputs!$C$74," weekday"," weekend"),Utility_Rates!$C$28:$F$28,Inputs!$C$68)),"")</f>
      </c>
      <c r="H1738" s="34"/>
      <c r="I1738" s="42">
        <f>IF(AND(ISNUMBER(D1738),ISNUMBER(H1738)),D1738*H1738*Inputs!$C$69,"")</f>
      </c>
      <c r="J1738" s="42">
        <f>IF(AND(ISNUMBER(F1738),ISNUMBER(H1738),F1738&gt;=Inputs!$C$68),F1738*H1738*Inputs!$C$69,"")</f>
      </c>
    </row>
    <row r="1739" spans="2:10" ht="15" customHeight="1" x14ac:dyDescent="0.2">
      <c r="B1739" s="39">
        <f t="shared" si="12"/>
      </c>
      <c r="C1739" s="40">
        <f>IF(Inputs!$C$60,Inputs!$C$11+(B1739-Inputs!$C$69)/Inputs!$C$70,"")</f>
      </c>
      <c r="D1739" s="15"/>
      <c r="E1739" s="15"/>
      <c r="F1739" s="11">
        <f t="shared" si="13"/>
      </c>
      <c r="G1739" s="22" cm="1">
        <f t="array" ref="G1739">IF(AND(Inputs!$C$60,Inputs!$C$61),INDEX(Utility_Rates!$C$29:$F$52,HOUR(C1739)+Inputs!$C$69,MATCH(INDEX(Utility_Rates!$K$6:$K$17,MONTH(C1739))&amp;IF(WEEKDAY(C1739,Inputs!$C$76)&lt;=Inputs!$C$74," weekday"," weekend"),Utility_Rates!$C$28:$F$28,Inputs!$C$68)),"")</f>
      </c>
      <c r="H1739" s="34"/>
      <c r="I1739" s="42">
        <f>IF(AND(ISNUMBER(D1739),ISNUMBER(H1739)),D1739*H1739*Inputs!$C$69,"")</f>
      </c>
      <c r="J1739" s="42">
        <f>IF(AND(ISNUMBER(F1739),ISNUMBER(H1739),F1739&gt;=Inputs!$C$68),F1739*H1739*Inputs!$C$69,"")</f>
      </c>
    </row>
    <row r="1740" spans="2:10" ht="15" customHeight="1" x14ac:dyDescent="0.2">
      <c r="B1740" s="39">
        <f t="shared" si="12"/>
      </c>
      <c r="C1740" s="40">
        <f>IF(Inputs!$C$60,Inputs!$C$11+(B1740-Inputs!$C$69)/Inputs!$C$70,"")</f>
      </c>
      <c r="D1740" s="15"/>
      <c r="E1740" s="15"/>
      <c r="F1740" s="11">
        <f t="shared" si="13"/>
      </c>
      <c r="G1740" s="22" cm="1">
        <f t="array" ref="G1740">IF(AND(Inputs!$C$60,Inputs!$C$61),INDEX(Utility_Rates!$C$29:$F$52,HOUR(C1740)+Inputs!$C$69,MATCH(INDEX(Utility_Rates!$K$6:$K$17,MONTH(C1740))&amp;IF(WEEKDAY(C1740,Inputs!$C$76)&lt;=Inputs!$C$74," weekday"," weekend"),Utility_Rates!$C$28:$F$28,Inputs!$C$68)),"")</f>
      </c>
      <c r="H1740" s="34"/>
      <c r="I1740" s="42">
        <f>IF(AND(ISNUMBER(D1740),ISNUMBER(H1740)),D1740*H1740*Inputs!$C$69,"")</f>
      </c>
      <c r="J1740" s="42">
        <f>IF(AND(ISNUMBER(F1740),ISNUMBER(H1740),F1740&gt;=Inputs!$C$68),F1740*H1740*Inputs!$C$69,"")</f>
      </c>
    </row>
    <row r="1741" spans="2:10" ht="15" customHeight="1" x14ac:dyDescent="0.2">
      <c r="B1741" s="39">
        <f t="shared" si="12"/>
      </c>
      <c r="C1741" s="40">
        <f>IF(Inputs!$C$60,Inputs!$C$11+(B1741-Inputs!$C$69)/Inputs!$C$70,"")</f>
      </c>
      <c r="D1741" s="15"/>
      <c r="E1741" s="15"/>
      <c r="F1741" s="11">
        <f t="shared" si="13"/>
      </c>
      <c r="G1741" s="22" cm="1">
        <f t="array" ref="G1741">IF(AND(Inputs!$C$60,Inputs!$C$61),INDEX(Utility_Rates!$C$29:$F$52,HOUR(C1741)+Inputs!$C$69,MATCH(INDEX(Utility_Rates!$K$6:$K$17,MONTH(C1741))&amp;IF(WEEKDAY(C1741,Inputs!$C$76)&lt;=Inputs!$C$74," weekday"," weekend"),Utility_Rates!$C$28:$F$28,Inputs!$C$68)),"")</f>
      </c>
      <c r="H1741" s="34"/>
      <c r="I1741" s="42">
        <f>IF(AND(ISNUMBER(D1741),ISNUMBER(H1741)),D1741*H1741*Inputs!$C$69,"")</f>
      </c>
      <c r="J1741" s="42">
        <f>IF(AND(ISNUMBER(F1741),ISNUMBER(H1741),F1741&gt;=Inputs!$C$68),F1741*H1741*Inputs!$C$69,"")</f>
      </c>
    </row>
    <row r="1742" spans="2:10" ht="15" customHeight="1" x14ac:dyDescent="0.2">
      <c r="B1742" s="39">
        <f t="shared" si="12"/>
      </c>
      <c r="C1742" s="40">
        <f>IF(Inputs!$C$60,Inputs!$C$11+(B1742-Inputs!$C$69)/Inputs!$C$70,"")</f>
      </c>
      <c r="D1742" s="15"/>
      <c r="E1742" s="15"/>
      <c r="F1742" s="11">
        <f t="shared" si="13"/>
      </c>
      <c r="G1742" s="22" cm="1">
        <f t="array" ref="G1742">IF(AND(Inputs!$C$60,Inputs!$C$61),INDEX(Utility_Rates!$C$29:$F$52,HOUR(C1742)+Inputs!$C$69,MATCH(INDEX(Utility_Rates!$K$6:$K$17,MONTH(C1742))&amp;IF(WEEKDAY(C1742,Inputs!$C$76)&lt;=Inputs!$C$74," weekday"," weekend"),Utility_Rates!$C$28:$F$28,Inputs!$C$68)),"")</f>
      </c>
      <c r="H1742" s="34"/>
      <c r="I1742" s="42">
        <f>IF(AND(ISNUMBER(D1742),ISNUMBER(H1742)),D1742*H1742*Inputs!$C$69,"")</f>
      </c>
      <c r="J1742" s="42">
        <f>IF(AND(ISNUMBER(F1742),ISNUMBER(H1742),F1742&gt;=Inputs!$C$68),F1742*H1742*Inputs!$C$69,"")</f>
      </c>
    </row>
    <row r="1743" spans="2:10" ht="15" customHeight="1" x14ac:dyDescent="0.2">
      <c r="B1743" s="39">
        <f t="shared" si="12"/>
      </c>
      <c r="C1743" s="40">
        <f>IF(Inputs!$C$60,Inputs!$C$11+(B1743-Inputs!$C$69)/Inputs!$C$70,"")</f>
      </c>
      <c r="D1743" s="15"/>
      <c r="E1743" s="15"/>
      <c r="F1743" s="11">
        <f t="shared" si="13"/>
      </c>
      <c r="G1743" s="22" cm="1">
        <f t="array" ref="G1743">IF(AND(Inputs!$C$60,Inputs!$C$61),INDEX(Utility_Rates!$C$29:$F$52,HOUR(C1743)+Inputs!$C$69,MATCH(INDEX(Utility_Rates!$K$6:$K$17,MONTH(C1743))&amp;IF(WEEKDAY(C1743,Inputs!$C$76)&lt;=Inputs!$C$74," weekday"," weekend"),Utility_Rates!$C$28:$F$28,Inputs!$C$68)),"")</f>
      </c>
      <c r="H1743" s="34"/>
      <c r="I1743" s="42">
        <f>IF(AND(ISNUMBER(D1743),ISNUMBER(H1743)),D1743*H1743*Inputs!$C$69,"")</f>
      </c>
      <c r="J1743" s="42">
        <f>IF(AND(ISNUMBER(F1743),ISNUMBER(H1743),F1743&gt;=Inputs!$C$68),F1743*H1743*Inputs!$C$69,"")</f>
      </c>
    </row>
    <row r="1744" spans="2:10" ht="15" customHeight="1" x14ac:dyDescent="0.2">
      <c r="B1744" s="39">
        <f t="shared" si="12"/>
      </c>
      <c r="C1744" s="40">
        <f>IF(Inputs!$C$60,Inputs!$C$11+(B1744-Inputs!$C$69)/Inputs!$C$70,"")</f>
      </c>
      <c r="D1744" s="15"/>
      <c r="E1744" s="15"/>
      <c r="F1744" s="11">
        <f t="shared" si="13"/>
      </c>
      <c r="G1744" s="22" cm="1">
        <f t="array" ref="G1744">IF(AND(Inputs!$C$60,Inputs!$C$61),INDEX(Utility_Rates!$C$29:$F$52,HOUR(C1744)+Inputs!$C$69,MATCH(INDEX(Utility_Rates!$K$6:$K$17,MONTH(C1744))&amp;IF(WEEKDAY(C1744,Inputs!$C$76)&lt;=Inputs!$C$74," weekday"," weekend"),Utility_Rates!$C$28:$F$28,Inputs!$C$68)),"")</f>
      </c>
      <c r="H1744" s="34"/>
      <c r="I1744" s="42">
        <f>IF(AND(ISNUMBER(D1744),ISNUMBER(H1744)),D1744*H1744*Inputs!$C$69,"")</f>
      </c>
      <c r="J1744" s="42">
        <f>IF(AND(ISNUMBER(F1744),ISNUMBER(H1744),F1744&gt;=Inputs!$C$68),F1744*H1744*Inputs!$C$69,"")</f>
      </c>
    </row>
    <row r="1745" spans="2:10" ht="15" customHeight="1" x14ac:dyDescent="0.2">
      <c r="B1745" s="39">
        <f t="shared" si="12"/>
      </c>
      <c r="C1745" s="40">
        <f>IF(Inputs!$C$60,Inputs!$C$11+(B1745-Inputs!$C$69)/Inputs!$C$70,"")</f>
      </c>
      <c r="D1745" s="15"/>
      <c r="E1745" s="15"/>
      <c r="F1745" s="11">
        <f t="shared" si="13"/>
      </c>
      <c r="G1745" s="22" cm="1">
        <f t="array" ref="G1745">IF(AND(Inputs!$C$60,Inputs!$C$61),INDEX(Utility_Rates!$C$29:$F$52,HOUR(C1745)+Inputs!$C$69,MATCH(INDEX(Utility_Rates!$K$6:$K$17,MONTH(C1745))&amp;IF(WEEKDAY(C1745,Inputs!$C$76)&lt;=Inputs!$C$74," weekday"," weekend"),Utility_Rates!$C$28:$F$28,Inputs!$C$68)),"")</f>
      </c>
      <c r="H1745" s="34"/>
      <c r="I1745" s="42">
        <f>IF(AND(ISNUMBER(D1745),ISNUMBER(H1745)),D1745*H1745*Inputs!$C$69,"")</f>
      </c>
      <c r="J1745" s="42">
        <f>IF(AND(ISNUMBER(F1745),ISNUMBER(H1745),F1745&gt;=Inputs!$C$68),F1745*H1745*Inputs!$C$69,"")</f>
      </c>
    </row>
    <row r="1746" spans="2:10" ht="15" customHeight="1" x14ac:dyDescent="0.2">
      <c r="B1746" s="39">
        <f t="shared" si="12"/>
      </c>
      <c r="C1746" s="40">
        <f>IF(Inputs!$C$60,Inputs!$C$11+(B1746-Inputs!$C$69)/Inputs!$C$70,"")</f>
      </c>
      <c r="D1746" s="15"/>
      <c r="E1746" s="15"/>
      <c r="F1746" s="11">
        <f t="shared" si="13"/>
      </c>
      <c r="G1746" s="22" cm="1">
        <f t="array" ref="G1746">IF(AND(Inputs!$C$60,Inputs!$C$61),INDEX(Utility_Rates!$C$29:$F$52,HOUR(C1746)+Inputs!$C$69,MATCH(INDEX(Utility_Rates!$K$6:$K$17,MONTH(C1746))&amp;IF(WEEKDAY(C1746,Inputs!$C$76)&lt;=Inputs!$C$74," weekday"," weekend"),Utility_Rates!$C$28:$F$28,Inputs!$C$68)),"")</f>
      </c>
      <c r="H1746" s="34"/>
      <c r="I1746" s="42">
        <f>IF(AND(ISNUMBER(D1746),ISNUMBER(H1746)),D1746*H1746*Inputs!$C$69,"")</f>
      </c>
      <c r="J1746" s="42">
        <f>IF(AND(ISNUMBER(F1746),ISNUMBER(H1746),F1746&gt;=Inputs!$C$68),F1746*H1746*Inputs!$C$69,"")</f>
      </c>
    </row>
    <row r="1747" spans="2:10" ht="15" customHeight="1" x14ac:dyDescent="0.2">
      <c r="B1747" s="39">
        <f t="shared" si="12"/>
      </c>
      <c r="C1747" s="40">
        <f>IF(Inputs!$C$60,Inputs!$C$11+(B1747-Inputs!$C$69)/Inputs!$C$70,"")</f>
      </c>
      <c r="D1747" s="15"/>
      <c r="E1747" s="15"/>
      <c r="F1747" s="11">
        <f t="shared" si="13"/>
      </c>
      <c r="G1747" s="22" cm="1">
        <f t="array" ref="G1747">IF(AND(Inputs!$C$60,Inputs!$C$61),INDEX(Utility_Rates!$C$29:$F$52,HOUR(C1747)+Inputs!$C$69,MATCH(INDEX(Utility_Rates!$K$6:$K$17,MONTH(C1747))&amp;IF(WEEKDAY(C1747,Inputs!$C$76)&lt;=Inputs!$C$74," weekday"," weekend"),Utility_Rates!$C$28:$F$28,Inputs!$C$68)),"")</f>
      </c>
      <c r="H1747" s="34"/>
      <c r="I1747" s="42">
        <f>IF(AND(ISNUMBER(D1747),ISNUMBER(H1747)),D1747*H1747*Inputs!$C$69,"")</f>
      </c>
      <c r="J1747" s="42">
        <f>IF(AND(ISNUMBER(F1747),ISNUMBER(H1747),F1747&gt;=Inputs!$C$68),F1747*H1747*Inputs!$C$69,"")</f>
      </c>
    </row>
    <row r="1748" spans="2:10" ht="15" customHeight="1" x14ac:dyDescent="0.2">
      <c r="B1748" s="39">
        <f t="shared" si="12"/>
      </c>
      <c r="C1748" s="40">
        <f>IF(Inputs!$C$60,Inputs!$C$11+(B1748-Inputs!$C$69)/Inputs!$C$70,"")</f>
      </c>
      <c r="D1748" s="15"/>
      <c r="E1748" s="15"/>
      <c r="F1748" s="11">
        <f t="shared" si="13"/>
      </c>
      <c r="G1748" s="22" cm="1">
        <f t="array" ref="G1748">IF(AND(Inputs!$C$60,Inputs!$C$61),INDEX(Utility_Rates!$C$29:$F$52,HOUR(C1748)+Inputs!$C$69,MATCH(INDEX(Utility_Rates!$K$6:$K$17,MONTH(C1748))&amp;IF(WEEKDAY(C1748,Inputs!$C$76)&lt;=Inputs!$C$74," weekday"," weekend"),Utility_Rates!$C$28:$F$28,Inputs!$C$68)),"")</f>
      </c>
      <c r="H1748" s="34"/>
      <c r="I1748" s="42">
        <f>IF(AND(ISNUMBER(D1748),ISNUMBER(H1748)),D1748*H1748*Inputs!$C$69,"")</f>
      </c>
      <c r="J1748" s="42">
        <f>IF(AND(ISNUMBER(F1748),ISNUMBER(H1748),F1748&gt;=Inputs!$C$68),F1748*H1748*Inputs!$C$69,"")</f>
      </c>
    </row>
    <row r="1749" spans="2:10" ht="15" customHeight="1" x14ac:dyDescent="0.2">
      <c r="B1749" s="39">
        <f t="shared" si="12"/>
      </c>
      <c r="C1749" s="40">
        <f>IF(Inputs!$C$60,Inputs!$C$11+(B1749-Inputs!$C$69)/Inputs!$C$70,"")</f>
      </c>
      <c r="D1749" s="15"/>
      <c r="E1749" s="15"/>
      <c r="F1749" s="11">
        <f t="shared" si="13"/>
      </c>
      <c r="G1749" s="22" cm="1">
        <f t="array" ref="G1749">IF(AND(Inputs!$C$60,Inputs!$C$61),INDEX(Utility_Rates!$C$29:$F$52,HOUR(C1749)+Inputs!$C$69,MATCH(INDEX(Utility_Rates!$K$6:$K$17,MONTH(C1749))&amp;IF(WEEKDAY(C1749,Inputs!$C$76)&lt;=Inputs!$C$74," weekday"," weekend"),Utility_Rates!$C$28:$F$28,Inputs!$C$68)),"")</f>
      </c>
      <c r="H1749" s="34"/>
      <c r="I1749" s="42">
        <f>IF(AND(ISNUMBER(D1749),ISNUMBER(H1749)),D1749*H1749*Inputs!$C$69,"")</f>
      </c>
      <c r="J1749" s="42">
        <f>IF(AND(ISNUMBER(F1749),ISNUMBER(H1749),F1749&gt;=Inputs!$C$68),F1749*H1749*Inputs!$C$69,"")</f>
      </c>
    </row>
    <row r="1750" spans="2:10" ht="15" customHeight="1" x14ac:dyDescent="0.2">
      <c r="B1750" s="39">
        <f t="shared" si="12"/>
      </c>
      <c r="C1750" s="40">
        <f>IF(Inputs!$C$60,Inputs!$C$11+(B1750-Inputs!$C$69)/Inputs!$C$70,"")</f>
      </c>
      <c r="D1750" s="15"/>
      <c r="E1750" s="15"/>
      <c r="F1750" s="11">
        <f t="shared" si="13"/>
      </c>
      <c r="G1750" s="22" cm="1">
        <f t="array" ref="G1750">IF(AND(Inputs!$C$60,Inputs!$C$61),INDEX(Utility_Rates!$C$29:$F$52,HOUR(C1750)+Inputs!$C$69,MATCH(INDEX(Utility_Rates!$K$6:$K$17,MONTH(C1750))&amp;IF(WEEKDAY(C1750,Inputs!$C$76)&lt;=Inputs!$C$74," weekday"," weekend"),Utility_Rates!$C$28:$F$28,Inputs!$C$68)),"")</f>
      </c>
      <c r="H1750" s="34"/>
      <c r="I1750" s="42">
        <f>IF(AND(ISNUMBER(D1750),ISNUMBER(H1750)),D1750*H1750*Inputs!$C$69,"")</f>
      </c>
      <c r="J1750" s="42">
        <f>IF(AND(ISNUMBER(F1750),ISNUMBER(H1750),F1750&gt;=Inputs!$C$68),F1750*H1750*Inputs!$C$69,"")</f>
      </c>
    </row>
    <row r="1751" spans="2:10" ht="15" customHeight="1" x14ac:dyDescent="0.2">
      <c r="B1751" s="39">
        <f t="shared" si="12"/>
      </c>
      <c r="C1751" s="40">
        <f>IF(Inputs!$C$60,Inputs!$C$11+(B1751-Inputs!$C$69)/Inputs!$C$70,"")</f>
      </c>
      <c r="D1751" s="15"/>
      <c r="E1751" s="15"/>
      <c r="F1751" s="11">
        <f t="shared" si="13"/>
      </c>
      <c r="G1751" s="22" cm="1">
        <f t="array" ref="G1751">IF(AND(Inputs!$C$60,Inputs!$C$61),INDEX(Utility_Rates!$C$29:$F$52,HOUR(C1751)+Inputs!$C$69,MATCH(INDEX(Utility_Rates!$K$6:$K$17,MONTH(C1751))&amp;IF(WEEKDAY(C1751,Inputs!$C$76)&lt;=Inputs!$C$74," weekday"," weekend"),Utility_Rates!$C$28:$F$28,Inputs!$C$68)),"")</f>
      </c>
      <c r="H1751" s="34"/>
      <c r="I1751" s="42">
        <f>IF(AND(ISNUMBER(D1751),ISNUMBER(H1751)),D1751*H1751*Inputs!$C$69,"")</f>
      </c>
      <c r="J1751" s="42">
        <f>IF(AND(ISNUMBER(F1751),ISNUMBER(H1751),F1751&gt;=Inputs!$C$68),F1751*H1751*Inputs!$C$69,"")</f>
      </c>
    </row>
    <row r="1752" spans="2:10" ht="15" customHeight="1" x14ac:dyDescent="0.2">
      <c r="B1752" s="39">
        <f t="shared" si="12"/>
      </c>
      <c r="C1752" s="40">
        <f>IF(Inputs!$C$60,Inputs!$C$11+(B1752-Inputs!$C$69)/Inputs!$C$70,"")</f>
      </c>
      <c r="D1752" s="15"/>
      <c r="E1752" s="15"/>
      <c r="F1752" s="11">
        <f t="shared" si="13"/>
      </c>
      <c r="G1752" s="22" cm="1">
        <f t="array" ref="G1752">IF(AND(Inputs!$C$60,Inputs!$C$61),INDEX(Utility_Rates!$C$29:$F$52,HOUR(C1752)+Inputs!$C$69,MATCH(INDEX(Utility_Rates!$K$6:$K$17,MONTH(C1752))&amp;IF(WEEKDAY(C1752,Inputs!$C$76)&lt;=Inputs!$C$74," weekday"," weekend"),Utility_Rates!$C$28:$F$28,Inputs!$C$68)),"")</f>
      </c>
      <c r="H1752" s="34"/>
      <c r="I1752" s="42">
        <f>IF(AND(ISNUMBER(D1752),ISNUMBER(H1752)),D1752*H1752*Inputs!$C$69,"")</f>
      </c>
      <c r="J1752" s="42">
        <f>IF(AND(ISNUMBER(F1752),ISNUMBER(H1752),F1752&gt;=Inputs!$C$68),F1752*H1752*Inputs!$C$69,"")</f>
      </c>
    </row>
    <row r="1753" spans="2:10" ht="15" customHeight="1" x14ac:dyDescent="0.2">
      <c r="B1753" s="39">
        <f t="shared" si="12"/>
      </c>
      <c r="C1753" s="40">
        <f>IF(Inputs!$C$60,Inputs!$C$11+(B1753-Inputs!$C$69)/Inputs!$C$70,"")</f>
      </c>
      <c r="D1753" s="15"/>
      <c r="E1753" s="15"/>
      <c r="F1753" s="11">
        <f t="shared" si="13"/>
      </c>
      <c r="G1753" s="22" cm="1">
        <f t="array" ref="G1753">IF(AND(Inputs!$C$60,Inputs!$C$61),INDEX(Utility_Rates!$C$29:$F$52,HOUR(C1753)+Inputs!$C$69,MATCH(INDEX(Utility_Rates!$K$6:$K$17,MONTH(C1753))&amp;IF(WEEKDAY(C1753,Inputs!$C$76)&lt;=Inputs!$C$74," weekday"," weekend"),Utility_Rates!$C$28:$F$28,Inputs!$C$68)),"")</f>
      </c>
      <c r="H1753" s="34"/>
      <c r="I1753" s="42">
        <f>IF(AND(ISNUMBER(D1753),ISNUMBER(H1753)),D1753*H1753*Inputs!$C$69,"")</f>
      </c>
      <c r="J1753" s="42">
        <f>IF(AND(ISNUMBER(F1753),ISNUMBER(H1753),F1753&gt;=Inputs!$C$68),F1753*H1753*Inputs!$C$69,"")</f>
      </c>
    </row>
    <row r="1754" spans="2:10" ht="15" customHeight="1" x14ac:dyDescent="0.2">
      <c r="B1754" s="39">
        <f t="shared" si="12"/>
      </c>
      <c r="C1754" s="40">
        <f>IF(Inputs!$C$60,Inputs!$C$11+(B1754-Inputs!$C$69)/Inputs!$C$70,"")</f>
      </c>
      <c r="D1754" s="15"/>
      <c r="E1754" s="15"/>
      <c r="F1754" s="11">
        <f t="shared" si="13"/>
      </c>
      <c r="G1754" s="22" cm="1">
        <f t="array" ref="G1754">IF(AND(Inputs!$C$60,Inputs!$C$61),INDEX(Utility_Rates!$C$29:$F$52,HOUR(C1754)+Inputs!$C$69,MATCH(INDEX(Utility_Rates!$K$6:$K$17,MONTH(C1754))&amp;IF(WEEKDAY(C1754,Inputs!$C$76)&lt;=Inputs!$C$74," weekday"," weekend"),Utility_Rates!$C$28:$F$28,Inputs!$C$68)),"")</f>
      </c>
      <c r="H1754" s="34"/>
      <c r="I1754" s="42">
        <f>IF(AND(ISNUMBER(D1754),ISNUMBER(H1754)),D1754*H1754*Inputs!$C$69,"")</f>
      </c>
      <c r="J1754" s="42">
        <f>IF(AND(ISNUMBER(F1754),ISNUMBER(H1754),F1754&gt;=Inputs!$C$68),F1754*H1754*Inputs!$C$69,"")</f>
      </c>
    </row>
    <row r="1755" spans="2:10" ht="15" customHeight="1" x14ac:dyDescent="0.2">
      <c r="B1755" s="39">
        <f t="shared" si="12"/>
      </c>
      <c r="C1755" s="40">
        <f>IF(Inputs!$C$60,Inputs!$C$11+(B1755-Inputs!$C$69)/Inputs!$C$70,"")</f>
      </c>
      <c r="D1755" s="15"/>
      <c r="E1755" s="15"/>
      <c r="F1755" s="11">
        <f t="shared" si="13"/>
      </c>
      <c r="G1755" s="22" cm="1">
        <f t="array" ref="G1755">IF(AND(Inputs!$C$60,Inputs!$C$61),INDEX(Utility_Rates!$C$29:$F$52,HOUR(C1755)+Inputs!$C$69,MATCH(INDEX(Utility_Rates!$K$6:$K$17,MONTH(C1755))&amp;IF(WEEKDAY(C1755,Inputs!$C$76)&lt;=Inputs!$C$74," weekday"," weekend"),Utility_Rates!$C$28:$F$28,Inputs!$C$68)),"")</f>
      </c>
      <c r="H1755" s="34"/>
      <c r="I1755" s="42">
        <f>IF(AND(ISNUMBER(D1755),ISNUMBER(H1755)),D1755*H1755*Inputs!$C$69,"")</f>
      </c>
      <c r="J1755" s="42">
        <f>IF(AND(ISNUMBER(F1755),ISNUMBER(H1755),F1755&gt;=Inputs!$C$68),F1755*H1755*Inputs!$C$69,"")</f>
      </c>
    </row>
    <row r="1756" spans="2:10" ht="15" customHeight="1" x14ac:dyDescent="0.2">
      <c r="B1756" s="39">
        <f t="shared" si="12"/>
      </c>
      <c r="C1756" s="40">
        <f>IF(Inputs!$C$60,Inputs!$C$11+(B1756-Inputs!$C$69)/Inputs!$C$70,"")</f>
      </c>
      <c r="D1756" s="15"/>
      <c r="E1756" s="15"/>
      <c r="F1756" s="11">
        <f t="shared" si="13"/>
      </c>
      <c r="G1756" s="22" cm="1">
        <f t="array" ref="G1756">IF(AND(Inputs!$C$60,Inputs!$C$61),INDEX(Utility_Rates!$C$29:$F$52,HOUR(C1756)+Inputs!$C$69,MATCH(INDEX(Utility_Rates!$K$6:$K$17,MONTH(C1756))&amp;IF(WEEKDAY(C1756,Inputs!$C$76)&lt;=Inputs!$C$74," weekday"," weekend"),Utility_Rates!$C$28:$F$28,Inputs!$C$68)),"")</f>
      </c>
      <c r="H1756" s="34"/>
      <c r="I1756" s="42">
        <f>IF(AND(ISNUMBER(D1756),ISNUMBER(H1756)),D1756*H1756*Inputs!$C$69,"")</f>
      </c>
      <c r="J1756" s="42">
        <f>IF(AND(ISNUMBER(F1756),ISNUMBER(H1756),F1756&gt;=Inputs!$C$68),F1756*H1756*Inputs!$C$69,"")</f>
      </c>
    </row>
    <row r="1757" spans="2:10" ht="15" customHeight="1" x14ac:dyDescent="0.2">
      <c r="B1757" s="39">
        <f t="shared" si="12"/>
      </c>
      <c r="C1757" s="40">
        <f>IF(Inputs!$C$60,Inputs!$C$11+(B1757-Inputs!$C$69)/Inputs!$C$70,"")</f>
      </c>
      <c r="D1757" s="15"/>
      <c r="E1757" s="15"/>
      <c r="F1757" s="11">
        <f t="shared" si="13"/>
      </c>
      <c r="G1757" s="22" cm="1">
        <f t="array" ref="G1757">IF(AND(Inputs!$C$60,Inputs!$C$61),INDEX(Utility_Rates!$C$29:$F$52,HOUR(C1757)+Inputs!$C$69,MATCH(INDEX(Utility_Rates!$K$6:$K$17,MONTH(C1757))&amp;IF(WEEKDAY(C1757,Inputs!$C$76)&lt;=Inputs!$C$74," weekday"," weekend"),Utility_Rates!$C$28:$F$28,Inputs!$C$68)),"")</f>
      </c>
      <c r="H1757" s="34"/>
      <c r="I1757" s="42">
        <f>IF(AND(ISNUMBER(D1757),ISNUMBER(H1757)),D1757*H1757*Inputs!$C$69,"")</f>
      </c>
      <c r="J1757" s="42">
        <f>IF(AND(ISNUMBER(F1757),ISNUMBER(H1757),F1757&gt;=Inputs!$C$68),F1757*H1757*Inputs!$C$69,"")</f>
      </c>
    </row>
    <row r="1758" spans="2:10" ht="15" customHeight="1" x14ac:dyDescent="0.2">
      <c r="B1758" s="39">
        <f t="shared" si="12"/>
      </c>
      <c r="C1758" s="40">
        <f>IF(Inputs!$C$60,Inputs!$C$11+(B1758-Inputs!$C$69)/Inputs!$C$70,"")</f>
      </c>
      <c r="D1758" s="15"/>
      <c r="E1758" s="15"/>
      <c r="F1758" s="11">
        <f t="shared" si="13"/>
      </c>
      <c r="G1758" s="22" cm="1">
        <f t="array" ref="G1758">IF(AND(Inputs!$C$60,Inputs!$C$61),INDEX(Utility_Rates!$C$29:$F$52,HOUR(C1758)+Inputs!$C$69,MATCH(INDEX(Utility_Rates!$K$6:$K$17,MONTH(C1758))&amp;IF(WEEKDAY(C1758,Inputs!$C$76)&lt;=Inputs!$C$74," weekday"," weekend"),Utility_Rates!$C$28:$F$28,Inputs!$C$68)),"")</f>
      </c>
      <c r="H1758" s="34"/>
      <c r="I1758" s="42">
        <f>IF(AND(ISNUMBER(D1758),ISNUMBER(H1758)),D1758*H1758*Inputs!$C$69,"")</f>
      </c>
      <c r="J1758" s="42">
        <f>IF(AND(ISNUMBER(F1758),ISNUMBER(H1758),F1758&gt;=Inputs!$C$68),F1758*H1758*Inputs!$C$69,"")</f>
      </c>
    </row>
    <row r="1759" spans="2:10" ht="15" customHeight="1" x14ac:dyDescent="0.2">
      <c r="B1759" s="39">
        <f t="shared" si="12"/>
      </c>
      <c r="C1759" s="40">
        <f>IF(Inputs!$C$60,Inputs!$C$11+(B1759-Inputs!$C$69)/Inputs!$C$70,"")</f>
      </c>
      <c r="D1759" s="15"/>
      <c r="E1759" s="15"/>
      <c r="F1759" s="11">
        <f t="shared" si="13"/>
      </c>
      <c r="G1759" s="22" cm="1">
        <f t="array" ref="G1759">IF(AND(Inputs!$C$60,Inputs!$C$61),INDEX(Utility_Rates!$C$29:$F$52,HOUR(C1759)+Inputs!$C$69,MATCH(INDEX(Utility_Rates!$K$6:$K$17,MONTH(C1759))&amp;IF(WEEKDAY(C1759,Inputs!$C$76)&lt;=Inputs!$C$74," weekday"," weekend"),Utility_Rates!$C$28:$F$28,Inputs!$C$68)),"")</f>
      </c>
      <c r="H1759" s="34"/>
      <c r="I1759" s="42">
        <f>IF(AND(ISNUMBER(D1759),ISNUMBER(H1759)),D1759*H1759*Inputs!$C$69,"")</f>
      </c>
      <c r="J1759" s="42">
        <f>IF(AND(ISNUMBER(F1759),ISNUMBER(H1759),F1759&gt;=Inputs!$C$68),F1759*H1759*Inputs!$C$69,"")</f>
      </c>
    </row>
    <row r="1760" spans="2:10" ht="15" customHeight="1" x14ac:dyDescent="0.2">
      <c r="B1760" s="39">
        <f t="shared" si="12"/>
      </c>
      <c r="C1760" s="40">
        <f>IF(Inputs!$C$60,Inputs!$C$11+(B1760-Inputs!$C$69)/Inputs!$C$70,"")</f>
      </c>
      <c r="D1760" s="15"/>
      <c r="E1760" s="15"/>
      <c r="F1760" s="11">
        <f t="shared" si="13"/>
      </c>
      <c r="G1760" s="22" cm="1">
        <f t="array" ref="G1760">IF(AND(Inputs!$C$60,Inputs!$C$61),INDEX(Utility_Rates!$C$29:$F$52,HOUR(C1760)+Inputs!$C$69,MATCH(INDEX(Utility_Rates!$K$6:$K$17,MONTH(C1760))&amp;IF(WEEKDAY(C1760,Inputs!$C$76)&lt;=Inputs!$C$74," weekday"," weekend"),Utility_Rates!$C$28:$F$28,Inputs!$C$68)),"")</f>
      </c>
      <c r="H1760" s="34"/>
      <c r="I1760" s="42">
        <f>IF(AND(ISNUMBER(D1760),ISNUMBER(H1760)),D1760*H1760*Inputs!$C$69,"")</f>
      </c>
      <c r="J1760" s="42">
        <f>IF(AND(ISNUMBER(F1760),ISNUMBER(H1760),F1760&gt;=Inputs!$C$68),F1760*H1760*Inputs!$C$69,"")</f>
      </c>
    </row>
    <row r="1761" spans="2:10" ht="15" customHeight="1" x14ac:dyDescent="0.2">
      <c r="B1761" s="39">
        <f t="shared" si="12"/>
      </c>
      <c r="C1761" s="40">
        <f>IF(Inputs!$C$60,Inputs!$C$11+(B1761-Inputs!$C$69)/Inputs!$C$70,"")</f>
      </c>
      <c r="D1761" s="15"/>
      <c r="E1761" s="15"/>
      <c r="F1761" s="11">
        <f t="shared" si="13"/>
      </c>
      <c r="G1761" s="22" cm="1">
        <f t="array" ref="G1761">IF(AND(Inputs!$C$60,Inputs!$C$61),INDEX(Utility_Rates!$C$29:$F$52,HOUR(C1761)+Inputs!$C$69,MATCH(INDEX(Utility_Rates!$K$6:$K$17,MONTH(C1761))&amp;IF(WEEKDAY(C1761,Inputs!$C$76)&lt;=Inputs!$C$74," weekday"," weekend"),Utility_Rates!$C$28:$F$28,Inputs!$C$68)),"")</f>
      </c>
      <c r="H1761" s="34"/>
      <c r="I1761" s="42">
        <f>IF(AND(ISNUMBER(D1761),ISNUMBER(H1761)),D1761*H1761*Inputs!$C$69,"")</f>
      </c>
      <c r="J1761" s="42">
        <f>IF(AND(ISNUMBER(F1761),ISNUMBER(H1761),F1761&gt;=Inputs!$C$68),F1761*H1761*Inputs!$C$69,"")</f>
      </c>
    </row>
    <row r="1762" spans="2:10" ht="15" customHeight="1" x14ac:dyDescent="0.2">
      <c r="B1762" s="39">
        <f t="shared" si="12"/>
      </c>
      <c r="C1762" s="40">
        <f>IF(Inputs!$C$60,Inputs!$C$11+(B1762-Inputs!$C$69)/Inputs!$C$70,"")</f>
      </c>
      <c r="D1762" s="15"/>
      <c r="E1762" s="15"/>
      <c r="F1762" s="11">
        <f t="shared" si="13"/>
      </c>
      <c r="G1762" s="22" cm="1">
        <f t="array" ref="G1762">IF(AND(Inputs!$C$60,Inputs!$C$61),INDEX(Utility_Rates!$C$29:$F$52,HOUR(C1762)+Inputs!$C$69,MATCH(INDEX(Utility_Rates!$K$6:$K$17,MONTH(C1762))&amp;IF(WEEKDAY(C1762,Inputs!$C$76)&lt;=Inputs!$C$74," weekday"," weekend"),Utility_Rates!$C$28:$F$28,Inputs!$C$68)),"")</f>
      </c>
      <c r="H1762" s="34"/>
      <c r="I1762" s="42">
        <f>IF(AND(ISNUMBER(D1762),ISNUMBER(H1762)),D1762*H1762*Inputs!$C$69,"")</f>
      </c>
      <c r="J1762" s="42">
        <f>IF(AND(ISNUMBER(F1762),ISNUMBER(H1762),F1762&gt;=Inputs!$C$68),F1762*H1762*Inputs!$C$69,"")</f>
      </c>
    </row>
    <row r="1763" spans="2:10" ht="15" customHeight="1" x14ac:dyDescent="0.2">
      <c r="B1763" s="39">
        <f t="shared" si="12"/>
      </c>
      <c r="C1763" s="40">
        <f>IF(Inputs!$C$60,Inputs!$C$11+(B1763-Inputs!$C$69)/Inputs!$C$70,"")</f>
      </c>
      <c r="D1763" s="15"/>
      <c r="E1763" s="15"/>
      <c r="F1763" s="11">
        <f t="shared" si="13"/>
      </c>
      <c r="G1763" s="22" cm="1">
        <f t="array" ref="G1763">IF(AND(Inputs!$C$60,Inputs!$C$61),INDEX(Utility_Rates!$C$29:$F$52,HOUR(C1763)+Inputs!$C$69,MATCH(INDEX(Utility_Rates!$K$6:$K$17,MONTH(C1763))&amp;IF(WEEKDAY(C1763,Inputs!$C$76)&lt;=Inputs!$C$74," weekday"," weekend"),Utility_Rates!$C$28:$F$28,Inputs!$C$68)),"")</f>
      </c>
      <c r="H1763" s="34"/>
      <c r="I1763" s="42">
        <f>IF(AND(ISNUMBER(D1763),ISNUMBER(H1763)),D1763*H1763*Inputs!$C$69,"")</f>
      </c>
      <c r="J1763" s="42">
        <f>IF(AND(ISNUMBER(F1763),ISNUMBER(H1763),F1763&gt;=Inputs!$C$68),F1763*H1763*Inputs!$C$69,"")</f>
      </c>
    </row>
    <row r="1764" spans="2:10" ht="15" customHeight="1" x14ac:dyDescent="0.2">
      <c r="B1764" s="39">
        <f t="shared" si="12"/>
      </c>
      <c r="C1764" s="40">
        <f>IF(Inputs!$C$60,Inputs!$C$11+(B1764-Inputs!$C$69)/Inputs!$C$70,"")</f>
      </c>
      <c r="D1764" s="15"/>
      <c r="E1764" s="15"/>
      <c r="F1764" s="11">
        <f t="shared" si="13"/>
      </c>
      <c r="G1764" s="22" cm="1">
        <f t="array" ref="G1764">IF(AND(Inputs!$C$60,Inputs!$C$61),INDEX(Utility_Rates!$C$29:$F$52,HOUR(C1764)+Inputs!$C$69,MATCH(INDEX(Utility_Rates!$K$6:$K$17,MONTH(C1764))&amp;IF(WEEKDAY(C1764,Inputs!$C$76)&lt;=Inputs!$C$74," weekday"," weekend"),Utility_Rates!$C$28:$F$28,Inputs!$C$68)),"")</f>
      </c>
      <c r="H1764" s="34"/>
      <c r="I1764" s="42">
        <f>IF(AND(ISNUMBER(D1764),ISNUMBER(H1764)),D1764*H1764*Inputs!$C$69,"")</f>
      </c>
      <c r="J1764" s="42">
        <f>IF(AND(ISNUMBER(F1764),ISNUMBER(H1764),F1764&gt;=Inputs!$C$68),F1764*H1764*Inputs!$C$69,"")</f>
      </c>
    </row>
    <row r="1765" spans="2:10" ht="15" customHeight="1" x14ac:dyDescent="0.2">
      <c r="B1765" s="39">
        <f t="shared" si="12"/>
      </c>
      <c r="C1765" s="40">
        <f>IF(Inputs!$C$60,Inputs!$C$11+(B1765-Inputs!$C$69)/Inputs!$C$70,"")</f>
      </c>
      <c r="D1765" s="15"/>
      <c r="E1765" s="15"/>
      <c r="F1765" s="11">
        <f t="shared" si="13"/>
      </c>
      <c r="G1765" s="22" cm="1">
        <f t="array" ref="G1765">IF(AND(Inputs!$C$60,Inputs!$C$61),INDEX(Utility_Rates!$C$29:$F$52,HOUR(C1765)+Inputs!$C$69,MATCH(INDEX(Utility_Rates!$K$6:$K$17,MONTH(C1765))&amp;IF(WEEKDAY(C1765,Inputs!$C$76)&lt;=Inputs!$C$74," weekday"," weekend"),Utility_Rates!$C$28:$F$28,Inputs!$C$68)),"")</f>
      </c>
      <c r="H1765" s="34"/>
      <c r="I1765" s="42">
        <f>IF(AND(ISNUMBER(D1765),ISNUMBER(H1765)),D1765*H1765*Inputs!$C$69,"")</f>
      </c>
      <c r="J1765" s="42">
        <f>IF(AND(ISNUMBER(F1765),ISNUMBER(H1765),F1765&gt;=Inputs!$C$68),F1765*H1765*Inputs!$C$69,"")</f>
      </c>
    </row>
    <row r="1766" spans="2:10" ht="15" customHeight="1" x14ac:dyDescent="0.2">
      <c r="B1766" s="39">
        <f t="shared" si="12"/>
      </c>
      <c r="C1766" s="40">
        <f>IF(Inputs!$C$60,Inputs!$C$11+(B1766-Inputs!$C$69)/Inputs!$C$70,"")</f>
      </c>
      <c r="D1766" s="15"/>
      <c r="E1766" s="15"/>
      <c r="F1766" s="11">
        <f t="shared" si="13"/>
      </c>
      <c r="G1766" s="22" cm="1">
        <f t="array" ref="G1766">IF(AND(Inputs!$C$60,Inputs!$C$61),INDEX(Utility_Rates!$C$29:$F$52,HOUR(C1766)+Inputs!$C$69,MATCH(INDEX(Utility_Rates!$K$6:$K$17,MONTH(C1766))&amp;IF(WEEKDAY(C1766,Inputs!$C$76)&lt;=Inputs!$C$74," weekday"," weekend"),Utility_Rates!$C$28:$F$28,Inputs!$C$68)),"")</f>
      </c>
      <c r="H1766" s="34"/>
      <c r="I1766" s="42">
        <f>IF(AND(ISNUMBER(D1766),ISNUMBER(H1766)),D1766*H1766*Inputs!$C$69,"")</f>
      </c>
      <c r="J1766" s="42">
        <f>IF(AND(ISNUMBER(F1766),ISNUMBER(H1766),F1766&gt;=Inputs!$C$68),F1766*H1766*Inputs!$C$69,"")</f>
      </c>
    </row>
    <row r="1767" spans="2:10" ht="15" customHeight="1" x14ac:dyDescent="0.2">
      <c r="B1767" s="39">
        <f t="shared" si="12"/>
      </c>
      <c r="C1767" s="40">
        <f>IF(Inputs!$C$60,Inputs!$C$11+(B1767-Inputs!$C$69)/Inputs!$C$70,"")</f>
      </c>
      <c r="D1767" s="15"/>
      <c r="E1767" s="15"/>
      <c r="F1767" s="11">
        <f t="shared" si="13"/>
      </c>
      <c r="G1767" s="22" cm="1">
        <f t="array" ref="G1767">IF(AND(Inputs!$C$60,Inputs!$C$61),INDEX(Utility_Rates!$C$29:$F$52,HOUR(C1767)+Inputs!$C$69,MATCH(INDEX(Utility_Rates!$K$6:$K$17,MONTH(C1767))&amp;IF(WEEKDAY(C1767,Inputs!$C$76)&lt;=Inputs!$C$74," weekday"," weekend"),Utility_Rates!$C$28:$F$28,Inputs!$C$68)),"")</f>
      </c>
      <c r="H1767" s="34"/>
      <c r="I1767" s="42">
        <f>IF(AND(ISNUMBER(D1767),ISNUMBER(H1767)),D1767*H1767*Inputs!$C$69,"")</f>
      </c>
      <c r="J1767" s="42">
        <f>IF(AND(ISNUMBER(F1767),ISNUMBER(H1767),F1767&gt;=Inputs!$C$68),F1767*H1767*Inputs!$C$69,"")</f>
      </c>
    </row>
    <row r="1768" spans="2:10" ht="15" customHeight="1" x14ac:dyDescent="0.2">
      <c r="B1768" s="39">
        <f t="shared" si="12"/>
      </c>
      <c r="C1768" s="40">
        <f>IF(Inputs!$C$60,Inputs!$C$11+(B1768-Inputs!$C$69)/Inputs!$C$70,"")</f>
      </c>
      <c r="D1768" s="15"/>
      <c r="E1768" s="15"/>
      <c r="F1768" s="11">
        <f t="shared" si="13"/>
      </c>
      <c r="G1768" s="22" cm="1">
        <f t="array" ref="G1768">IF(AND(Inputs!$C$60,Inputs!$C$61),INDEX(Utility_Rates!$C$29:$F$52,HOUR(C1768)+Inputs!$C$69,MATCH(INDEX(Utility_Rates!$K$6:$K$17,MONTH(C1768))&amp;IF(WEEKDAY(C1768,Inputs!$C$76)&lt;=Inputs!$C$74," weekday"," weekend"),Utility_Rates!$C$28:$F$28,Inputs!$C$68)),"")</f>
      </c>
      <c r="H1768" s="34"/>
      <c r="I1768" s="42">
        <f>IF(AND(ISNUMBER(D1768),ISNUMBER(H1768)),D1768*H1768*Inputs!$C$69,"")</f>
      </c>
      <c r="J1768" s="42">
        <f>IF(AND(ISNUMBER(F1768),ISNUMBER(H1768),F1768&gt;=Inputs!$C$68),F1768*H1768*Inputs!$C$69,"")</f>
      </c>
    </row>
    <row r="1769" spans="2:10" ht="15" customHeight="1" x14ac:dyDescent="0.2">
      <c r="B1769" s="39">
        <f t="shared" si="12"/>
      </c>
      <c r="C1769" s="40">
        <f>IF(Inputs!$C$60,Inputs!$C$11+(B1769-Inputs!$C$69)/Inputs!$C$70,"")</f>
      </c>
      <c r="D1769" s="15"/>
      <c r="E1769" s="15"/>
      <c r="F1769" s="11">
        <f t="shared" si="13"/>
      </c>
      <c r="G1769" s="22" cm="1">
        <f t="array" ref="G1769">IF(AND(Inputs!$C$60,Inputs!$C$61),INDEX(Utility_Rates!$C$29:$F$52,HOUR(C1769)+Inputs!$C$69,MATCH(INDEX(Utility_Rates!$K$6:$K$17,MONTH(C1769))&amp;IF(WEEKDAY(C1769,Inputs!$C$76)&lt;=Inputs!$C$74," weekday"," weekend"),Utility_Rates!$C$28:$F$28,Inputs!$C$68)),"")</f>
      </c>
      <c r="H1769" s="34"/>
      <c r="I1769" s="42">
        <f>IF(AND(ISNUMBER(D1769),ISNUMBER(H1769)),D1769*H1769*Inputs!$C$69,"")</f>
      </c>
      <c r="J1769" s="42">
        <f>IF(AND(ISNUMBER(F1769),ISNUMBER(H1769),F1769&gt;=Inputs!$C$68),F1769*H1769*Inputs!$C$69,"")</f>
      </c>
    </row>
    <row r="1770" spans="2:10" ht="15" customHeight="1" x14ac:dyDescent="0.2">
      <c r="B1770" s="39">
        <f t="shared" si="12"/>
      </c>
      <c r="C1770" s="40">
        <f>IF(Inputs!$C$60,Inputs!$C$11+(B1770-Inputs!$C$69)/Inputs!$C$70,"")</f>
      </c>
      <c r="D1770" s="15"/>
      <c r="E1770" s="15"/>
      <c r="F1770" s="11">
        <f t="shared" si="13"/>
      </c>
      <c r="G1770" s="22" cm="1">
        <f t="array" ref="G1770">IF(AND(Inputs!$C$60,Inputs!$C$61),INDEX(Utility_Rates!$C$29:$F$52,HOUR(C1770)+Inputs!$C$69,MATCH(INDEX(Utility_Rates!$K$6:$K$17,MONTH(C1770))&amp;IF(WEEKDAY(C1770,Inputs!$C$76)&lt;=Inputs!$C$74," weekday"," weekend"),Utility_Rates!$C$28:$F$28,Inputs!$C$68)),"")</f>
      </c>
      <c r="H1770" s="34"/>
      <c r="I1770" s="42">
        <f>IF(AND(ISNUMBER(D1770),ISNUMBER(H1770)),D1770*H1770*Inputs!$C$69,"")</f>
      </c>
      <c r="J1770" s="42">
        <f>IF(AND(ISNUMBER(F1770),ISNUMBER(H1770),F1770&gt;=Inputs!$C$68),F1770*H1770*Inputs!$C$69,"")</f>
      </c>
    </row>
    <row r="1771" spans="2:10" ht="15" customHeight="1" x14ac:dyDescent="0.2">
      <c r="B1771" s="39">
        <f t="shared" si="12"/>
      </c>
      <c r="C1771" s="40">
        <f>IF(Inputs!$C$60,Inputs!$C$11+(B1771-Inputs!$C$69)/Inputs!$C$70,"")</f>
      </c>
      <c r="D1771" s="15"/>
      <c r="E1771" s="15"/>
      <c r="F1771" s="11">
        <f t="shared" si="13"/>
      </c>
      <c r="G1771" s="22" cm="1">
        <f t="array" ref="G1771">IF(AND(Inputs!$C$60,Inputs!$C$61),INDEX(Utility_Rates!$C$29:$F$52,HOUR(C1771)+Inputs!$C$69,MATCH(INDEX(Utility_Rates!$K$6:$K$17,MONTH(C1771))&amp;IF(WEEKDAY(C1771,Inputs!$C$76)&lt;=Inputs!$C$74," weekday"," weekend"),Utility_Rates!$C$28:$F$28,Inputs!$C$68)),"")</f>
      </c>
      <c r="H1771" s="34"/>
      <c r="I1771" s="42">
        <f>IF(AND(ISNUMBER(D1771),ISNUMBER(H1771)),D1771*H1771*Inputs!$C$69,"")</f>
      </c>
      <c r="J1771" s="42">
        <f>IF(AND(ISNUMBER(F1771),ISNUMBER(H1771),F1771&gt;=Inputs!$C$68),F1771*H1771*Inputs!$C$69,"")</f>
      </c>
    </row>
    <row r="1772" spans="2:10" ht="15" customHeight="1" x14ac:dyDescent="0.2">
      <c r="B1772" s="39">
        <f t="shared" si="12"/>
      </c>
      <c r="C1772" s="40">
        <f>IF(Inputs!$C$60,Inputs!$C$11+(B1772-Inputs!$C$69)/Inputs!$C$70,"")</f>
      </c>
      <c r="D1772" s="15"/>
      <c r="E1772" s="15"/>
      <c r="F1772" s="11">
        <f t="shared" si="13"/>
      </c>
      <c r="G1772" s="22" cm="1">
        <f t="array" ref="G1772">IF(AND(Inputs!$C$60,Inputs!$C$61),INDEX(Utility_Rates!$C$29:$F$52,HOUR(C1772)+Inputs!$C$69,MATCH(INDEX(Utility_Rates!$K$6:$K$17,MONTH(C1772))&amp;IF(WEEKDAY(C1772,Inputs!$C$76)&lt;=Inputs!$C$74," weekday"," weekend"),Utility_Rates!$C$28:$F$28,Inputs!$C$68)),"")</f>
      </c>
      <c r="H1772" s="34"/>
      <c r="I1772" s="42">
        <f>IF(AND(ISNUMBER(D1772),ISNUMBER(H1772)),D1772*H1772*Inputs!$C$69,"")</f>
      </c>
      <c r="J1772" s="42">
        <f>IF(AND(ISNUMBER(F1772),ISNUMBER(H1772),F1772&gt;=Inputs!$C$68),F1772*H1772*Inputs!$C$69,"")</f>
      </c>
    </row>
    <row r="1773" spans="2:10" ht="15" customHeight="1" x14ac:dyDescent="0.2">
      <c r="B1773" s="39">
        <f t="shared" si="12"/>
      </c>
      <c r="C1773" s="40">
        <f>IF(Inputs!$C$60,Inputs!$C$11+(B1773-Inputs!$C$69)/Inputs!$C$70,"")</f>
      </c>
      <c r="D1773" s="15"/>
      <c r="E1773" s="15"/>
      <c r="F1773" s="11">
        <f t="shared" si="13"/>
      </c>
      <c r="G1773" s="22" cm="1">
        <f t="array" ref="G1773">IF(AND(Inputs!$C$60,Inputs!$C$61),INDEX(Utility_Rates!$C$29:$F$52,HOUR(C1773)+Inputs!$C$69,MATCH(INDEX(Utility_Rates!$K$6:$K$17,MONTH(C1773))&amp;IF(WEEKDAY(C1773,Inputs!$C$76)&lt;=Inputs!$C$74," weekday"," weekend"),Utility_Rates!$C$28:$F$28,Inputs!$C$68)),"")</f>
      </c>
      <c r="H1773" s="34"/>
      <c r="I1773" s="42">
        <f>IF(AND(ISNUMBER(D1773),ISNUMBER(H1773)),D1773*H1773*Inputs!$C$69,"")</f>
      </c>
      <c r="J1773" s="42">
        <f>IF(AND(ISNUMBER(F1773),ISNUMBER(H1773),F1773&gt;=Inputs!$C$68),F1773*H1773*Inputs!$C$69,"")</f>
      </c>
    </row>
    <row r="1774" spans="2:10" ht="15" customHeight="1" x14ac:dyDescent="0.2">
      <c r="B1774" s="39">
        <f t="shared" si="12"/>
      </c>
      <c r="C1774" s="40">
        <f>IF(Inputs!$C$60,Inputs!$C$11+(B1774-Inputs!$C$69)/Inputs!$C$70,"")</f>
      </c>
      <c r="D1774" s="15"/>
      <c r="E1774" s="15"/>
      <c r="F1774" s="11">
        <f t="shared" si="13"/>
      </c>
      <c r="G1774" s="22" cm="1">
        <f t="array" ref="G1774">IF(AND(Inputs!$C$60,Inputs!$C$61),INDEX(Utility_Rates!$C$29:$F$52,HOUR(C1774)+Inputs!$C$69,MATCH(INDEX(Utility_Rates!$K$6:$K$17,MONTH(C1774))&amp;IF(WEEKDAY(C1774,Inputs!$C$76)&lt;=Inputs!$C$74," weekday"," weekend"),Utility_Rates!$C$28:$F$28,Inputs!$C$68)),"")</f>
      </c>
      <c r="H1774" s="34"/>
      <c r="I1774" s="42">
        <f>IF(AND(ISNUMBER(D1774),ISNUMBER(H1774)),D1774*H1774*Inputs!$C$69,"")</f>
      </c>
      <c r="J1774" s="42">
        <f>IF(AND(ISNUMBER(F1774),ISNUMBER(H1774),F1774&gt;=Inputs!$C$68),F1774*H1774*Inputs!$C$69,"")</f>
      </c>
    </row>
    <row r="1775" spans="2:10" ht="15" customHeight="1" x14ac:dyDescent="0.2">
      <c r="B1775" s="39">
        <f t="shared" si="12"/>
      </c>
      <c r="C1775" s="40">
        <f>IF(Inputs!$C$60,Inputs!$C$11+(B1775-Inputs!$C$69)/Inputs!$C$70,"")</f>
      </c>
      <c r="D1775" s="15"/>
      <c r="E1775" s="15"/>
      <c r="F1775" s="11">
        <f t="shared" si="13"/>
      </c>
      <c r="G1775" s="22" cm="1">
        <f t="array" ref="G1775">IF(AND(Inputs!$C$60,Inputs!$C$61),INDEX(Utility_Rates!$C$29:$F$52,HOUR(C1775)+Inputs!$C$69,MATCH(INDEX(Utility_Rates!$K$6:$K$17,MONTH(C1775))&amp;IF(WEEKDAY(C1775,Inputs!$C$76)&lt;=Inputs!$C$74," weekday"," weekend"),Utility_Rates!$C$28:$F$28,Inputs!$C$68)),"")</f>
      </c>
      <c r="H1775" s="34"/>
      <c r="I1775" s="42">
        <f>IF(AND(ISNUMBER(D1775),ISNUMBER(H1775)),D1775*H1775*Inputs!$C$69,"")</f>
      </c>
      <c r="J1775" s="42">
        <f>IF(AND(ISNUMBER(F1775),ISNUMBER(H1775),F1775&gt;=Inputs!$C$68),F1775*H1775*Inputs!$C$69,"")</f>
      </c>
    </row>
    <row r="1776" spans="2:10" ht="15" customHeight="1" x14ac:dyDescent="0.2">
      <c r="B1776" s="39">
        <f t="shared" si="12"/>
      </c>
      <c r="C1776" s="40">
        <f>IF(Inputs!$C$60,Inputs!$C$11+(B1776-Inputs!$C$69)/Inputs!$C$70,"")</f>
      </c>
      <c r="D1776" s="15"/>
      <c r="E1776" s="15"/>
      <c r="F1776" s="11">
        <f t="shared" si="13"/>
      </c>
      <c r="G1776" s="22" cm="1">
        <f t="array" ref="G1776">IF(AND(Inputs!$C$60,Inputs!$C$61),INDEX(Utility_Rates!$C$29:$F$52,HOUR(C1776)+Inputs!$C$69,MATCH(INDEX(Utility_Rates!$K$6:$K$17,MONTH(C1776))&amp;IF(WEEKDAY(C1776,Inputs!$C$76)&lt;=Inputs!$C$74," weekday"," weekend"),Utility_Rates!$C$28:$F$28,Inputs!$C$68)),"")</f>
      </c>
      <c r="H1776" s="34"/>
      <c r="I1776" s="42">
        <f>IF(AND(ISNUMBER(D1776),ISNUMBER(H1776)),D1776*H1776*Inputs!$C$69,"")</f>
      </c>
      <c r="J1776" s="42">
        <f>IF(AND(ISNUMBER(F1776),ISNUMBER(H1776),F1776&gt;=Inputs!$C$68),F1776*H1776*Inputs!$C$69,"")</f>
      </c>
    </row>
    <row r="1777" spans="2:10" ht="15" customHeight="1" x14ac:dyDescent="0.2">
      <c r="B1777" s="39">
        <f t="shared" si="12"/>
      </c>
      <c r="C1777" s="40">
        <f>IF(Inputs!$C$60,Inputs!$C$11+(B1777-Inputs!$C$69)/Inputs!$C$70,"")</f>
      </c>
      <c r="D1777" s="15"/>
      <c r="E1777" s="15"/>
      <c r="F1777" s="11">
        <f t="shared" si="13"/>
      </c>
      <c r="G1777" s="22" cm="1">
        <f t="array" ref="G1777">IF(AND(Inputs!$C$60,Inputs!$C$61),INDEX(Utility_Rates!$C$29:$F$52,HOUR(C1777)+Inputs!$C$69,MATCH(INDEX(Utility_Rates!$K$6:$K$17,MONTH(C1777))&amp;IF(WEEKDAY(C1777,Inputs!$C$76)&lt;=Inputs!$C$74," weekday"," weekend"),Utility_Rates!$C$28:$F$28,Inputs!$C$68)),"")</f>
      </c>
      <c r="H1777" s="34"/>
      <c r="I1777" s="42">
        <f>IF(AND(ISNUMBER(D1777),ISNUMBER(H1777)),D1777*H1777*Inputs!$C$69,"")</f>
      </c>
      <c r="J1777" s="42">
        <f>IF(AND(ISNUMBER(F1777),ISNUMBER(H1777),F1777&gt;=Inputs!$C$68),F1777*H1777*Inputs!$C$69,"")</f>
      </c>
    </row>
    <row r="1778" spans="2:10" ht="15" customHeight="1" x14ac:dyDescent="0.2">
      <c r="B1778" s="39">
        <f t="shared" si="12"/>
      </c>
      <c r="C1778" s="40">
        <f>IF(Inputs!$C$60,Inputs!$C$11+(B1778-Inputs!$C$69)/Inputs!$C$70,"")</f>
      </c>
      <c r="D1778" s="15"/>
      <c r="E1778" s="15"/>
      <c r="F1778" s="11">
        <f t="shared" si="13"/>
      </c>
      <c r="G1778" s="22" cm="1">
        <f t="array" ref="G1778">IF(AND(Inputs!$C$60,Inputs!$C$61),INDEX(Utility_Rates!$C$29:$F$52,HOUR(C1778)+Inputs!$C$69,MATCH(INDEX(Utility_Rates!$K$6:$K$17,MONTH(C1778))&amp;IF(WEEKDAY(C1778,Inputs!$C$76)&lt;=Inputs!$C$74," weekday"," weekend"),Utility_Rates!$C$28:$F$28,Inputs!$C$68)),"")</f>
      </c>
      <c r="H1778" s="34"/>
      <c r="I1778" s="42">
        <f>IF(AND(ISNUMBER(D1778),ISNUMBER(H1778)),D1778*H1778*Inputs!$C$69,"")</f>
      </c>
      <c r="J1778" s="42">
        <f>IF(AND(ISNUMBER(F1778),ISNUMBER(H1778),F1778&gt;=Inputs!$C$68),F1778*H1778*Inputs!$C$69,"")</f>
      </c>
    </row>
    <row r="1779" spans="2:10" ht="15" customHeight="1" x14ac:dyDescent="0.2">
      <c r="B1779" s="39">
        <f t="shared" si="12"/>
      </c>
      <c r="C1779" s="40">
        <f>IF(Inputs!$C$60,Inputs!$C$11+(B1779-Inputs!$C$69)/Inputs!$C$70,"")</f>
      </c>
      <c r="D1779" s="15"/>
      <c r="E1779" s="15"/>
      <c r="F1779" s="11">
        <f t="shared" si="13"/>
      </c>
      <c r="G1779" s="22" cm="1">
        <f t="array" ref="G1779">IF(AND(Inputs!$C$60,Inputs!$C$61),INDEX(Utility_Rates!$C$29:$F$52,HOUR(C1779)+Inputs!$C$69,MATCH(INDEX(Utility_Rates!$K$6:$K$17,MONTH(C1779))&amp;IF(WEEKDAY(C1779,Inputs!$C$76)&lt;=Inputs!$C$74," weekday"," weekend"),Utility_Rates!$C$28:$F$28,Inputs!$C$68)),"")</f>
      </c>
      <c r="H1779" s="34"/>
      <c r="I1779" s="42">
        <f>IF(AND(ISNUMBER(D1779),ISNUMBER(H1779)),D1779*H1779*Inputs!$C$69,"")</f>
      </c>
      <c r="J1779" s="42">
        <f>IF(AND(ISNUMBER(F1779),ISNUMBER(H1779),F1779&gt;=Inputs!$C$68),F1779*H1779*Inputs!$C$69,"")</f>
      </c>
    </row>
    <row r="1780" spans="2:10" ht="15" customHeight="1" x14ac:dyDescent="0.2">
      <c r="B1780" s="39">
        <f t="shared" si="12"/>
      </c>
      <c r="C1780" s="40">
        <f>IF(Inputs!$C$60,Inputs!$C$11+(B1780-Inputs!$C$69)/Inputs!$C$70,"")</f>
      </c>
      <c r="D1780" s="15"/>
      <c r="E1780" s="15"/>
      <c r="F1780" s="11">
        <f t="shared" si="13"/>
      </c>
      <c r="G1780" s="22" cm="1">
        <f t="array" ref="G1780">IF(AND(Inputs!$C$60,Inputs!$C$61),INDEX(Utility_Rates!$C$29:$F$52,HOUR(C1780)+Inputs!$C$69,MATCH(INDEX(Utility_Rates!$K$6:$K$17,MONTH(C1780))&amp;IF(WEEKDAY(C1780,Inputs!$C$76)&lt;=Inputs!$C$74," weekday"," weekend"),Utility_Rates!$C$28:$F$28,Inputs!$C$68)),"")</f>
      </c>
      <c r="H1780" s="34"/>
      <c r="I1780" s="42">
        <f>IF(AND(ISNUMBER(D1780),ISNUMBER(H1780)),D1780*H1780*Inputs!$C$69,"")</f>
      </c>
      <c r="J1780" s="42">
        <f>IF(AND(ISNUMBER(F1780),ISNUMBER(H1780),F1780&gt;=Inputs!$C$68),F1780*H1780*Inputs!$C$69,"")</f>
      </c>
    </row>
    <row r="1781" spans="2:10" ht="15" customHeight="1" x14ac:dyDescent="0.2">
      <c r="B1781" s="39">
        <f t="shared" si="12"/>
      </c>
      <c r="C1781" s="40">
        <f>IF(Inputs!$C$60,Inputs!$C$11+(B1781-Inputs!$C$69)/Inputs!$C$70,"")</f>
      </c>
      <c r="D1781" s="15"/>
      <c r="E1781" s="15"/>
      <c r="F1781" s="11">
        <f t="shared" si="13"/>
      </c>
      <c r="G1781" s="22" cm="1">
        <f t="array" ref="G1781">IF(AND(Inputs!$C$60,Inputs!$C$61),INDEX(Utility_Rates!$C$29:$F$52,HOUR(C1781)+Inputs!$C$69,MATCH(INDEX(Utility_Rates!$K$6:$K$17,MONTH(C1781))&amp;IF(WEEKDAY(C1781,Inputs!$C$76)&lt;=Inputs!$C$74," weekday"," weekend"),Utility_Rates!$C$28:$F$28,Inputs!$C$68)),"")</f>
      </c>
      <c r="H1781" s="34"/>
      <c r="I1781" s="42">
        <f>IF(AND(ISNUMBER(D1781),ISNUMBER(H1781)),D1781*H1781*Inputs!$C$69,"")</f>
      </c>
      <c r="J1781" s="42">
        <f>IF(AND(ISNUMBER(F1781),ISNUMBER(H1781),F1781&gt;=Inputs!$C$68),F1781*H1781*Inputs!$C$69,"")</f>
      </c>
    </row>
    <row r="1782" spans="2:10" ht="15" customHeight="1" x14ac:dyDescent="0.2">
      <c r="B1782" s="39">
        <f t="shared" si="12"/>
      </c>
      <c r="C1782" s="40">
        <f>IF(Inputs!$C$60,Inputs!$C$11+(B1782-Inputs!$C$69)/Inputs!$C$70,"")</f>
      </c>
      <c r="D1782" s="15"/>
      <c r="E1782" s="15"/>
      <c r="F1782" s="11">
        <f t="shared" si="13"/>
      </c>
      <c r="G1782" s="22" cm="1">
        <f t="array" ref="G1782">IF(AND(Inputs!$C$60,Inputs!$C$61),INDEX(Utility_Rates!$C$29:$F$52,HOUR(C1782)+Inputs!$C$69,MATCH(INDEX(Utility_Rates!$K$6:$K$17,MONTH(C1782))&amp;IF(WEEKDAY(C1782,Inputs!$C$76)&lt;=Inputs!$C$74," weekday"," weekend"),Utility_Rates!$C$28:$F$28,Inputs!$C$68)),"")</f>
      </c>
      <c r="H1782" s="34"/>
      <c r="I1782" s="42">
        <f>IF(AND(ISNUMBER(D1782),ISNUMBER(H1782)),D1782*H1782*Inputs!$C$69,"")</f>
      </c>
      <c r="J1782" s="42">
        <f>IF(AND(ISNUMBER(F1782),ISNUMBER(H1782),F1782&gt;=Inputs!$C$68),F1782*H1782*Inputs!$C$69,"")</f>
      </c>
    </row>
    <row r="1783" spans="2:10" ht="15" customHeight="1" x14ac:dyDescent="0.2">
      <c r="B1783" s="39">
        <f t="shared" si="12"/>
      </c>
      <c r="C1783" s="40">
        <f>IF(Inputs!$C$60,Inputs!$C$11+(B1783-Inputs!$C$69)/Inputs!$C$70,"")</f>
      </c>
      <c r="D1783" s="15"/>
      <c r="E1783" s="15"/>
      <c r="F1783" s="11">
        <f t="shared" si="13"/>
      </c>
      <c r="G1783" s="22" cm="1">
        <f t="array" ref="G1783">IF(AND(Inputs!$C$60,Inputs!$C$61),INDEX(Utility_Rates!$C$29:$F$52,HOUR(C1783)+Inputs!$C$69,MATCH(INDEX(Utility_Rates!$K$6:$K$17,MONTH(C1783))&amp;IF(WEEKDAY(C1783,Inputs!$C$76)&lt;=Inputs!$C$74," weekday"," weekend"),Utility_Rates!$C$28:$F$28,Inputs!$C$68)),"")</f>
      </c>
      <c r="H1783" s="34"/>
      <c r="I1783" s="42">
        <f>IF(AND(ISNUMBER(D1783),ISNUMBER(H1783)),D1783*H1783*Inputs!$C$69,"")</f>
      </c>
      <c r="J1783" s="42">
        <f>IF(AND(ISNUMBER(F1783),ISNUMBER(H1783),F1783&gt;=Inputs!$C$68),F1783*H1783*Inputs!$C$69,"")</f>
      </c>
    </row>
    <row r="1784" spans="2:10" ht="15" customHeight="1" x14ac:dyDescent="0.2">
      <c r="B1784" s="39">
        <f t="shared" si="12"/>
      </c>
      <c r="C1784" s="40">
        <f>IF(Inputs!$C$60,Inputs!$C$11+(B1784-Inputs!$C$69)/Inputs!$C$70,"")</f>
      </c>
      <c r="D1784" s="15"/>
      <c r="E1784" s="15"/>
      <c r="F1784" s="11">
        <f t="shared" si="13"/>
      </c>
      <c r="G1784" s="22" cm="1">
        <f t="array" ref="G1784">IF(AND(Inputs!$C$60,Inputs!$C$61),INDEX(Utility_Rates!$C$29:$F$52,HOUR(C1784)+Inputs!$C$69,MATCH(INDEX(Utility_Rates!$K$6:$K$17,MONTH(C1784))&amp;IF(WEEKDAY(C1784,Inputs!$C$76)&lt;=Inputs!$C$74," weekday"," weekend"),Utility_Rates!$C$28:$F$28,Inputs!$C$68)),"")</f>
      </c>
      <c r="H1784" s="34"/>
      <c r="I1784" s="42">
        <f>IF(AND(ISNUMBER(D1784),ISNUMBER(H1784)),D1784*H1784*Inputs!$C$69,"")</f>
      </c>
      <c r="J1784" s="42">
        <f>IF(AND(ISNUMBER(F1784),ISNUMBER(H1784),F1784&gt;=Inputs!$C$68),F1784*H1784*Inputs!$C$69,"")</f>
      </c>
    </row>
    <row r="1785" spans="2:10" ht="15" customHeight="1" x14ac:dyDescent="0.2">
      <c r="B1785" s="39">
        <f t="shared" si="12"/>
      </c>
      <c r="C1785" s="40">
        <f>IF(Inputs!$C$60,Inputs!$C$11+(B1785-Inputs!$C$69)/Inputs!$C$70,"")</f>
      </c>
      <c r="D1785" s="15"/>
      <c r="E1785" s="15"/>
      <c r="F1785" s="11">
        <f t="shared" si="13"/>
      </c>
      <c r="G1785" s="22" cm="1">
        <f t="array" ref="G1785">IF(AND(Inputs!$C$60,Inputs!$C$61),INDEX(Utility_Rates!$C$29:$F$52,HOUR(C1785)+Inputs!$C$69,MATCH(INDEX(Utility_Rates!$K$6:$K$17,MONTH(C1785))&amp;IF(WEEKDAY(C1785,Inputs!$C$76)&lt;=Inputs!$C$74," weekday"," weekend"),Utility_Rates!$C$28:$F$28,Inputs!$C$68)),"")</f>
      </c>
      <c r="H1785" s="34"/>
      <c r="I1785" s="42">
        <f>IF(AND(ISNUMBER(D1785),ISNUMBER(H1785)),D1785*H1785*Inputs!$C$69,"")</f>
      </c>
      <c r="J1785" s="42">
        <f>IF(AND(ISNUMBER(F1785),ISNUMBER(H1785),F1785&gt;=Inputs!$C$68),F1785*H1785*Inputs!$C$69,"")</f>
      </c>
    </row>
    <row r="1786" spans="2:10" ht="15" customHeight="1" x14ac:dyDescent="0.2">
      <c r="B1786" s="39">
        <f t="shared" si="12"/>
      </c>
      <c r="C1786" s="40">
        <f>IF(Inputs!$C$60,Inputs!$C$11+(B1786-Inputs!$C$69)/Inputs!$C$70,"")</f>
      </c>
      <c r="D1786" s="15"/>
      <c r="E1786" s="15"/>
      <c r="F1786" s="11">
        <f t="shared" si="13"/>
      </c>
      <c r="G1786" s="22" cm="1">
        <f t="array" ref="G1786">IF(AND(Inputs!$C$60,Inputs!$C$61),INDEX(Utility_Rates!$C$29:$F$52,HOUR(C1786)+Inputs!$C$69,MATCH(INDEX(Utility_Rates!$K$6:$K$17,MONTH(C1786))&amp;IF(WEEKDAY(C1786,Inputs!$C$76)&lt;=Inputs!$C$74," weekday"," weekend"),Utility_Rates!$C$28:$F$28,Inputs!$C$68)),"")</f>
      </c>
      <c r="H1786" s="34"/>
      <c r="I1786" s="42">
        <f>IF(AND(ISNUMBER(D1786),ISNUMBER(H1786)),D1786*H1786*Inputs!$C$69,"")</f>
      </c>
      <c r="J1786" s="42">
        <f>IF(AND(ISNUMBER(F1786),ISNUMBER(H1786),F1786&gt;=Inputs!$C$68),F1786*H1786*Inputs!$C$69,"")</f>
      </c>
    </row>
    <row r="1787" spans="2:10" ht="15" customHeight="1" x14ac:dyDescent="0.2">
      <c r="B1787" s="39">
        <f t="shared" si="12"/>
      </c>
      <c r="C1787" s="40">
        <f>IF(Inputs!$C$60,Inputs!$C$11+(B1787-Inputs!$C$69)/Inputs!$C$70,"")</f>
      </c>
      <c r="D1787" s="15"/>
      <c r="E1787" s="15"/>
      <c r="F1787" s="11">
        <f t="shared" si="13"/>
      </c>
      <c r="G1787" s="22" cm="1">
        <f t="array" ref="G1787">IF(AND(Inputs!$C$60,Inputs!$C$61),INDEX(Utility_Rates!$C$29:$F$52,HOUR(C1787)+Inputs!$C$69,MATCH(INDEX(Utility_Rates!$K$6:$K$17,MONTH(C1787))&amp;IF(WEEKDAY(C1787,Inputs!$C$76)&lt;=Inputs!$C$74," weekday"," weekend"),Utility_Rates!$C$28:$F$28,Inputs!$C$68)),"")</f>
      </c>
      <c r="H1787" s="34"/>
      <c r="I1787" s="42">
        <f>IF(AND(ISNUMBER(D1787),ISNUMBER(H1787)),D1787*H1787*Inputs!$C$69,"")</f>
      </c>
      <c r="J1787" s="42">
        <f>IF(AND(ISNUMBER(F1787),ISNUMBER(H1787),F1787&gt;=Inputs!$C$68),F1787*H1787*Inputs!$C$69,"")</f>
      </c>
    </row>
    <row r="1788" spans="2:10" ht="15" customHeight="1" x14ac:dyDescent="0.2">
      <c r="B1788" s="39">
        <f t="shared" si="12"/>
      </c>
      <c r="C1788" s="40">
        <f>IF(Inputs!$C$60,Inputs!$C$11+(B1788-Inputs!$C$69)/Inputs!$C$70,"")</f>
      </c>
      <c r="D1788" s="15"/>
      <c r="E1788" s="15"/>
      <c r="F1788" s="11">
        <f t="shared" si="13"/>
      </c>
      <c r="G1788" s="22" cm="1">
        <f t="array" ref="G1788">IF(AND(Inputs!$C$60,Inputs!$C$61),INDEX(Utility_Rates!$C$29:$F$52,HOUR(C1788)+Inputs!$C$69,MATCH(INDEX(Utility_Rates!$K$6:$K$17,MONTH(C1788))&amp;IF(WEEKDAY(C1788,Inputs!$C$76)&lt;=Inputs!$C$74," weekday"," weekend"),Utility_Rates!$C$28:$F$28,Inputs!$C$68)),"")</f>
      </c>
      <c r="H1788" s="34"/>
      <c r="I1788" s="42">
        <f>IF(AND(ISNUMBER(D1788),ISNUMBER(H1788)),D1788*H1788*Inputs!$C$69,"")</f>
      </c>
      <c r="J1788" s="42">
        <f>IF(AND(ISNUMBER(F1788),ISNUMBER(H1788),F1788&gt;=Inputs!$C$68),F1788*H1788*Inputs!$C$69,"")</f>
      </c>
    </row>
    <row r="1789" spans="2:10" ht="15" customHeight="1" x14ac:dyDescent="0.2">
      <c r="B1789" s="39">
        <f t="shared" si="12"/>
      </c>
      <c r="C1789" s="40">
        <f>IF(Inputs!$C$60,Inputs!$C$11+(B1789-Inputs!$C$69)/Inputs!$C$70,"")</f>
      </c>
      <c r="D1789" s="15"/>
      <c r="E1789" s="15"/>
      <c r="F1789" s="11">
        <f t="shared" si="13"/>
      </c>
      <c r="G1789" s="22" cm="1">
        <f t="array" ref="G1789">IF(AND(Inputs!$C$60,Inputs!$C$61),INDEX(Utility_Rates!$C$29:$F$52,HOUR(C1789)+Inputs!$C$69,MATCH(INDEX(Utility_Rates!$K$6:$K$17,MONTH(C1789))&amp;IF(WEEKDAY(C1789,Inputs!$C$76)&lt;=Inputs!$C$74," weekday"," weekend"),Utility_Rates!$C$28:$F$28,Inputs!$C$68)),"")</f>
      </c>
      <c r="H1789" s="34"/>
      <c r="I1789" s="42">
        <f>IF(AND(ISNUMBER(D1789),ISNUMBER(H1789)),D1789*H1789*Inputs!$C$69,"")</f>
      </c>
      <c r="J1789" s="42">
        <f>IF(AND(ISNUMBER(F1789),ISNUMBER(H1789),F1789&gt;=Inputs!$C$68),F1789*H1789*Inputs!$C$69,"")</f>
      </c>
    </row>
    <row r="1790" spans="2:10" ht="15" customHeight="1" x14ac:dyDescent="0.2">
      <c r="B1790" s="39">
        <f t="shared" si="12"/>
      </c>
      <c r="C1790" s="40">
        <f>IF(Inputs!$C$60,Inputs!$C$11+(B1790-Inputs!$C$69)/Inputs!$C$70,"")</f>
      </c>
      <c r="D1790" s="15"/>
      <c r="E1790" s="15"/>
      <c r="F1790" s="11">
        <f t="shared" si="13"/>
      </c>
      <c r="G1790" s="22" cm="1">
        <f t="array" ref="G1790">IF(AND(Inputs!$C$60,Inputs!$C$61),INDEX(Utility_Rates!$C$29:$F$52,HOUR(C1790)+Inputs!$C$69,MATCH(INDEX(Utility_Rates!$K$6:$K$17,MONTH(C1790))&amp;IF(WEEKDAY(C1790,Inputs!$C$76)&lt;=Inputs!$C$74," weekday"," weekend"),Utility_Rates!$C$28:$F$28,Inputs!$C$68)),"")</f>
      </c>
      <c r="H1790" s="34"/>
      <c r="I1790" s="42">
        <f>IF(AND(ISNUMBER(D1790),ISNUMBER(H1790)),D1790*H1790*Inputs!$C$69,"")</f>
      </c>
      <c r="J1790" s="42">
        <f>IF(AND(ISNUMBER(F1790),ISNUMBER(H1790),F1790&gt;=Inputs!$C$68),F1790*H1790*Inputs!$C$69,"")</f>
      </c>
    </row>
    <row r="1791" spans="2:10" ht="15" customHeight="1" x14ac:dyDescent="0.2">
      <c r="B1791" s="39">
        <f t="shared" ref="B1791:B2045" si="14">ROW()-ROW($B$5)</f>
      </c>
      <c r="C1791" s="40">
        <f>IF(Inputs!$C$60,Inputs!$C$11+(B1791-Inputs!$C$69)/Inputs!$C$70,"")</f>
      </c>
      <c r="D1791" s="15"/>
      <c r="E1791" s="15"/>
      <c r="F1791" s="11">
        <f t="shared" ref="F1791:F2045" si="15">IF(COUNT(D1791:E1791)=COLUMNS(D1791:E1791),D1791-E1791,"")</f>
      </c>
      <c r="G1791" s="22" cm="1">
        <f t="array" ref="G1791">IF(AND(Inputs!$C$60,Inputs!$C$61),INDEX(Utility_Rates!$C$29:$F$52,HOUR(C1791)+Inputs!$C$69,MATCH(INDEX(Utility_Rates!$K$6:$K$17,MONTH(C1791))&amp;IF(WEEKDAY(C1791,Inputs!$C$76)&lt;=Inputs!$C$74," weekday"," weekend"),Utility_Rates!$C$28:$F$28,Inputs!$C$68)),"")</f>
      </c>
      <c r="H1791" s="34"/>
      <c r="I1791" s="42">
        <f>IF(AND(ISNUMBER(D1791),ISNUMBER(H1791)),D1791*H1791*Inputs!$C$69,"")</f>
      </c>
      <c r="J1791" s="42">
        <f>IF(AND(ISNUMBER(F1791),ISNUMBER(H1791),F1791&gt;=Inputs!$C$68),F1791*H1791*Inputs!$C$69,"")</f>
      </c>
    </row>
    <row r="1792" spans="2:10" ht="15" customHeight="1" x14ac:dyDescent="0.2">
      <c r="B1792" s="39">
        <f t="shared" si="14"/>
      </c>
      <c r="C1792" s="40">
        <f>IF(Inputs!$C$60,Inputs!$C$11+(B1792-Inputs!$C$69)/Inputs!$C$70,"")</f>
      </c>
      <c r="D1792" s="15"/>
      <c r="E1792" s="15"/>
      <c r="F1792" s="11">
        <f t="shared" si="15"/>
      </c>
      <c r="G1792" s="22" cm="1">
        <f t="array" ref="G1792">IF(AND(Inputs!$C$60,Inputs!$C$61),INDEX(Utility_Rates!$C$29:$F$52,HOUR(C1792)+Inputs!$C$69,MATCH(INDEX(Utility_Rates!$K$6:$K$17,MONTH(C1792))&amp;IF(WEEKDAY(C1792,Inputs!$C$76)&lt;=Inputs!$C$74," weekday"," weekend"),Utility_Rates!$C$28:$F$28,Inputs!$C$68)),"")</f>
      </c>
      <c r="H1792" s="34"/>
      <c r="I1792" s="42">
        <f>IF(AND(ISNUMBER(D1792),ISNUMBER(H1792)),D1792*H1792*Inputs!$C$69,"")</f>
      </c>
      <c r="J1792" s="42">
        <f>IF(AND(ISNUMBER(F1792),ISNUMBER(H1792),F1792&gt;=Inputs!$C$68),F1792*H1792*Inputs!$C$69,"")</f>
      </c>
    </row>
    <row r="1793" spans="2:10" ht="15" customHeight="1" x14ac:dyDescent="0.2">
      <c r="B1793" s="39">
        <f t="shared" si="14"/>
      </c>
      <c r="C1793" s="40">
        <f>IF(Inputs!$C$60,Inputs!$C$11+(B1793-Inputs!$C$69)/Inputs!$C$70,"")</f>
      </c>
      <c r="D1793" s="15"/>
      <c r="E1793" s="15"/>
      <c r="F1793" s="11">
        <f t="shared" si="15"/>
      </c>
      <c r="G1793" s="22" cm="1">
        <f t="array" ref="G1793">IF(AND(Inputs!$C$60,Inputs!$C$61),INDEX(Utility_Rates!$C$29:$F$52,HOUR(C1793)+Inputs!$C$69,MATCH(INDEX(Utility_Rates!$K$6:$K$17,MONTH(C1793))&amp;IF(WEEKDAY(C1793,Inputs!$C$76)&lt;=Inputs!$C$74," weekday"," weekend"),Utility_Rates!$C$28:$F$28,Inputs!$C$68)),"")</f>
      </c>
      <c r="H1793" s="34"/>
      <c r="I1793" s="42">
        <f>IF(AND(ISNUMBER(D1793),ISNUMBER(H1793)),D1793*H1793*Inputs!$C$69,"")</f>
      </c>
      <c r="J1793" s="42">
        <f>IF(AND(ISNUMBER(F1793),ISNUMBER(H1793),F1793&gt;=Inputs!$C$68),F1793*H1793*Inputs!$C$69,"")</f>
      </c>
    </row>
    <row r="1794" spans="2:10" ht="15" customHeight="1" x14ac:dyDescent="0.2">
      <c r="B1794" s="39">
        <f t="shared" si="14"/>
      </c>
      <c r="C1794" s="40">
        <f>IF(Inputs!$C$60,Inputs!$C$11+(B1794-Inputs!$C$69)/Inputs!$C$70,"")</f>
      </c>
      <c r="D1794" s="15"/>
      <c r="E1794" s="15"/>
      <c r="F1794" s="11">
        <f t="shared" si="15"/>
      </c>
      <c r="G1794" s="22" cm="1">
        <f t="array" ref="G1794">IF(AND(Inputs!$C$60,Inputs!$C$61),INDEX(Utility_Rates!$C$29:$F$52,HOUR(C1794)+Inputs!$C$69,MATCH(INDEX(Utility_Rates!$K$6:$K$17,MONTH(C1794))&amp;IF(WEEKDAY(C1794,Inputs!$C$76)&lt;=Inputs!$C$74," weekday"," weekend"),Utility_Rates!$C$28:$F$28,Inputs!$C$68)),"")</f>
      </c>
      <c r="H1794" s="34"/>
      <c r="I1794" s="42">
        <f>IF(AND(ISNUMBER(D1794),ISNUMBER(H1794)),D1794*H1794*Inputs!$C$69,"")</f>
      </c>
      <c r="J1794" s="42">
        <f>IF(AND(ISNUMBER(F1794),ISNUMBER(H1794),F1794&gt;=Inputs!$C$68),F1794*H1794*Inputs!$C$69,"")</f>
      </c>
    </row>
    <row r="1795" spans="2:10" ht="15" customHeight="1" x14ac:dyDescent="0.2">
      <c r="B1795" s="39">
        <f t="shared" si="14"/>
      </c>
      <c r="C1795" s="40">
        <f>IF(Inputs!$C$60,Inputs!$C$11+(B1795-Inputs!$C$69)/Inputs!$C$70,"")</f>
      </c>
      <c r="D1795" s="15"/>
      <c r="E1795" s="15"/>
      <c r="F1795" s="11">
        <f t="shared" si="15"/>
      </c>
      <c r="G1795" s="22" cm="1">
        <f t="array" ref="G1795">IF(AND(Inputs!$C$60,Inputs!$C$61),INDEX(Utility_Rates!$C$29:$F$52,HOUR(C1795)+Inputs!$C$69,MATCH(INDEX(Utility_Rates!$K$6:$K$17,MONTH(C1795))&amp;IF(WEEKDAY(C1795,Inputs!$C$76)&lt;=Inputs!$C$74," weekday"," weekend"),Utility_Rates!$C$28:$F$28,Inputs!$C$68)),"")</f>
      </c>
      <c r="H1795" s="34"/>
      <c r="I1795" s="42">
        <f>IF(AND(ISNUMBER(D1795),ISNUMBER(H1795)),D1795*H1795*Inputs!$C$69,"")</f>
      </c>
      <c r="J1795" s="42">
        <f>IF(AND(ISNUMBER(F1795),ISNUMBER(H1795),F1795&gt;=Inputs!$C$68),F1795*H1795*Inputs!$C$69,"")</f>
      </c>
    </row>
    <row r="1796" spans="2:10" ht="15" customHeight="1" x14ac:dyDescent="0.2">
      <c r="B1796" s="39">
        <f t="shared" si="14"/>
      </c>
      <c r="C1796" s="40">
        <f>IF(Inputs!$C$60,Inputs!$C$11+(B1796-Inputs!$C$69)/Inputs!$C$70,"")</f>
      </c>
      <c r="D1796" s="15"/>
      <c r="E1796" s="15"/>
      <c r="F1796" s="11">
        <f t="shared" si="15"/>
      </c>
      <c r="G1796" s="22" cm="1">
        <f t="array" ref="G1796">IF(AND(Inputs!$C$60,Inputs!$C$61),INDEX(Utility_Rates!$C$29:$F$52,HOUR(C1796)+Inputs!$C$69,MATCH(INDEX(Utility_Rates!$K$6:$K$17,MONTH(C1796))&amp;IF(WEEKDAY(C1796,Inputs!$C$76)&lt;=Inputs!$C$74," weekday"," weekend"),Utility_Rates!$C$28:$F$28,Inputs!$C$68)),"")</f>
      </c>
      <c r="H1796" s="34"/>
      <c r="I1796" s="42">
        <f>IF(AND(ISNUMBER(D1796),ISNUMBER(H1796)),D1796*H1796*Inputs!$C$69,"")</f>
      </c>
      <c r="J1796" s="42">
        <f>IF(AND(ISNUMBER(F1796),ISNUMBER(H1796),F1796&gt;=Inputs!$C$68),F1796*H1796*Inputs!$C$69,"")</f>
      </c>
    </row>
    <row r="1797" spans="2:10" ht="15" customHeight="1" x14ac:dyDescent="0.2">
      <c r="B1797" s="39">
        <f t="shared" si="14"/>
      </c>
      <c r="C1797" s="40">
        <f>IF(Inputs!$C$60,Inputs!$C$11+(B1797-Inputs!$C$69)/Inputs!$C$70,"")</f>
      </c>
      <c r="D1797" s="15"/>
      <c r="E1797" s="15"/>
      <c r="F1797" s="11">
        <f t="shared" si="15"/>
      </c>
      <c r="G1797" s="22" cm="1">
        <f t="array" ref="G1797">IF(AND(Inputs!$C$60,Inputs!$C$61),INDEX(Utility_Rates!$C$29:$F$52,HOUR(C1797)+Inputs!$C$69,MATCH(INDEX(Utility_Rates!$K$6:$K$17,MONTH(C1797))&amp;IF(WEEKDAY(C1797,Inputs!$C$76)&lt;=Inputs!$C$74," weekday"," weekend"),Utility_Rates!$C$28:$F$28,Inputs!$C$68)),"")</f>
      </c>
      <c r="H1797" s="34"/>
      <c r="I1797" s="42">
        <f>IF(AND(ISNUMBER(D1797),ISNUMBER(H1797)),D1797*H1797*Inputs!$C$69,"")</f>
      </c>
      <c r="J1797" s="42">
        <f>IF(AND(ISNUMBER(F1797),ISNUMBER(H1797),F1797&gt;=Inputs!$C$68),F1797*H1797*Inputs!$C$69,"")</f>
      </c>
    </row>
    <row r="1798" spans="2:10" ht="15" customHeight="1" x14ac:dyDescent="0.2">
      <c r="B1798" s="39">
        <f t="shared" si="14"/>
      </c>
      <c r="C1798" s="40">
        <f>IF(Inputs!$C$60,Inputs!$C$11+(B1798-Inputs!$C$69)/Inputs!$C$70,"")</f>
      </c>
      <c r="D1798" s="15"/>
      <c r="E1798" s="15"/>
      <c r="F1798" s="11">
        <f t="shared" si="15"/>
      </c>
      <c r="G1798" s="22" cm="1">
        <f t="array" ref="G1798">IF(AND(Inputs!$C$60,Inputs!$C$61),INDEX(Utility_Rates!$C$29:$F$52,HOUR(C1798)+Inputs!$C$69,MATCH(INDEX(Utility_Rates!$K$6:$K$17,MONTH(C1798))&amp;IF(WEEKDAY(C1798,Inputs!$C$76)&lt;=Inputs!$C$74," weekday"," weekend"),Utility_Rates!$C$28:$F$28,Inputs!$C$68)),"")</f>
      </c>
      <c r="H1798" s="34"/>
      <c r="I1798" s="42">
        <f>IF(AND(ISNUMBER(D1798),ISNUMBER(H1798)),D1798*H1798*Inputs!$C$69,"")</f>
      </c>
      <c r="J1798" s="42">
        <f>IF(AND(ISNUMBER(F1798),ISNUMBER(H1798),F1798&gt;=Inputs!$C$68),F1798*H1798*Inputs!$C$69,"")</f>
      </c>
    </row>
    <row r="1799" spans="2:10" ht="15" customHeight="1" x14ac:dyDescent="0.2">
      <c r="B1799" s="39">
        <f t="shared" si="14"/>
      </c>
      <c r="C1799" s="40">
        <f>IF(Inputs!$C$60,Inputs!$C$11+(B1799-Inputs!$C$69)/Inputs!$C$70,"")</f>
      </c>
      <c r="D1799" s="15"/>
      <c r="E1799" s="15"/>
      <c r="F1799" s="11">
        <f t="shared" si="15"/>
      </c>
      <c r="G1799" s="22" cm="1">
        <f t="array" ref="G1799">IF(AND(Inputs!$C$60,Inputs!$C$61),INDEX(Utility_Rates!$C$29:$F$52,HOUR(C1799)+Inputs!$C$69,MATCH(INDEX(Utility_Rates!$K$6:$K$17,MONTH(C1799))&amp;IF(WEEKDAY(C1799,Inputs!$C$76)&lt;=Inputs!$C$74," weekday"," weekend"),Utility_Rates!$C$28:$F$28,Inputs!$C$68)),"")</f>
      </c>
      <c r="H1799" s="34"/>
      <c r="I1799" s="42">
        <f>IF(AND(ISNUMBER(D1799),ISNUMBER(H1799)),D1799*H1799*Inputs!$C$69,"")</f>
      </c>
      <c r="J1799" s="42">
        <f>IF(AND(ISNUMBER(F1799),ISNUMBER(H1799),F1799&gt;=Inputs!$C$68),F1799*H1799*Inputs!$C$69,"")</f>
      </c>
    </row>
    <row r="1800" spans="2:10" ht="15" customHeight="1" x14ac:dyDescent="0.2">
      <c r="B1800" s="39">
        <f t="shared" si="14"/>
      </c>
      <c r="C1800" s="40">
        <f>IF(Inputs!$C$60,Inputs!$C$11+(B1800-Inputs!$C$69)/Inputs!$C$70,"")</f>
      </c>
      <c r="D1800" s="15"/>
      <c r="E1800" s="15"/>
      <c r="F1800" s="11">
        <f t="shared" si="15"/>
      </c>
      <c r="G1800" s="22" cm="1">
        <f t="array" ref="G1800">IF(AND(Inputs!$C$60,Inputs!$C$61),INDEX(Utility_Rates!$C$29:$F$52,HOUR(C1800)+Inputs!$C$69,MATCH(INDEX(Utility_Rates!$K$6:$K$17,MONTH(C1800))&amp;IF(WEEKDAY(C1800,Inputs!$C$76)&lt;=Inputs!$C$74," weekday"," weekend"),Utility_Rates!$C$28:$F$28,Inputs!$C$68)),"")</f>
      </c>
      <c r="H1800" s="34"/>
      <c r="I1800" s="42">
        <f>IF(AND(ISNUMBER(D1800),ISNUMBER(H1800)),D1800*H1800*Inputs!$C$69,"")</f>
      </c>
      <c r="J1800" s="42">
        <f>IF(AND(ISNUMBER(F1800),ISNUMBER(H1800),F1800&gt;=Inputs!$C$68),F1800*H1800*Inputs!$C$69,"")</f>
      </c>
    </row>
    <row r="1801" spans="2:10" ht="15" customHeight="1" x14ac:dyDescent="0.2">
      <c r="B1801" s="39">
        <f t="shared" si="14"/>
      </c>
      <c r="C1801" s="40">
        <f>IF(Inputs!$C$60,Inputs!$C$11+(B1801-Inputs!$C$69)/Inputs!$C$70,"")</f>
      </c>
      <c r="D1801" s="15"/>
      <c r="E1801" s="15"/>
      <c r="F1801" s="11">
        <f t="shared" si="15"/>
      </c>
      <c r="G1801" s="22" cm="1">
        <f t="array" ref="G1801">IF(AND(Inputs!$C$60,Inputs!$C$61),INDEX(Utility_Rates!$C$29:$F$52,HOUR(C1801)+Inputs!$C$69,MATCH(INDEX(Utility_Rates!$K$6:$K$17,MONTH(C1801))&amp;IF(WEEKDAY(C1801,Inputs!$C$76)&lt;=Inputs!$C$74," weekday"," weekend"),Utility_Rates!$C$28:$F$28,Inputs!$C$68)),"")</f>
      </c>
      <c r="H1801" s="34"/>
      <c r="I1801" s="42">
        <f>IF(AND(ISNUMBER(D1801),ISNUMBER(H1801)),D1801*H1801*Inputs!$C$69,"")</f>
      </c>
      <c r="J1801" s="42">
        <f>IF(AND(ISNUMBER(F1801),ISNUMBER(H1801),F1801&gt;=Inputs!$C$68),F1801*H1801*Inputs!$C$69,"")</f>
      </c>
    </row>
    <row r="1802" spans="2:10" ht="15" customHeight="1" x14ac:dyDescent="0.2">
      <c r="B1802" s="39">
        <f t="shared" si="14"/>
      </c>
      <c r="C1802" s="40">
        <f>IF(Inputs!$C$60,Inputs!$C$11+(B1802-Inputs!$C$69)/Inputs!$C$70,"")</f>
      </c>
      <c r="D1802" s="15"/>
      <c r="E1802" s="15"/>
      <c r="F1802" s="11">
        <f t="shared" si="15"/>
      </c>
      <c r="G1802" s="22" cm="1">
        <f t="array" ref="G1802">IF(AND(Inputs!$C$60,Inputs!$C$61),INDEX(Utility_Rates!$C$29:$F$52,HOUR(C1802)+Inputs!$C$69,MATCH(INDEX(Utility_Rates!$K$6:$K$17,MONTH(C1802))&amp;IF(WEEKDAY(C1802,Inputs!$C$76)&lt;=Inputs!$C$74," weekday"," weekend"),Utility_Rates!$C$28:$F$28,Inputs!$C$68)),"")</f>
      </c>
      <c r="H1802" s="34"/>
      <c r="I1802" s="42">
        <f>IF(AND(ISNUMBER(D1802),ISNUMBER(H1802)),D1802*H1802*Inputs!$C$69,"")</f>
      </c>
      <c r="J1802" s="42">
        <f>IF(AND(ISNUMBER(F1802),ISNUMBER(H1802),F1802&gt;=Inputs!$C$68),F1802*H1802*Inputs!$C$69,"")</f>
      </c>
    </row>
    <row r="1803" spans="2:10" ht="15" customHeight="1" x14ac:dyDescent="0.2">
      <c r="B1803" s="39">
        <f t="shared" si="14"/>
      </c>
      <c r="C1803" s="40">
        <f>IF(Inputs!$C$60,Inputs!$C$11+(B1803-Inputs!$C$69)/Inputs!$C$70,"")</f>
      </c>
      <c r="D1803" s="15"/>
      <c r="E1803" s="15"/>
      <c r="F1803" s="11">
        <f t="shared" si="15"/>
      </c>
      <c r="G1803" s="22" cm="1">
        <f t="array" ref="G1803">IF(AND(Inputs!$C$60,Inputs!$C$61),INDEX(Utility_Rates!$C$29:$F$52,HOUR(C1803)+Inputs!$C$69,MATCH(INDEX(Utility_Rates!$K$6:$K$17,MONTH(C1803))&amp;IF(WEEKDAY(C1803,Inputs!$C$76)&lt;=Inputs!$C$74," weekday"," weekend"),Utility_Rates!$C$28:$F$28,Inputs!$C$68)),"")</f>
      </c>
      <c r="H1803" s="34"/>
      <c r="I1803" s="42">
        <f>IF(AND(ISNUMBER(D1803),ISNUMBER(H1803)),D1803*H1803*Inputs!$C$69,"")</f>
      </c>
      <c r="J1803" s="42">
        <f>IF(AND(ISNUMBER(F1803),ISNUMBER(H1803),F1803&gt;=Inputs!$C$68),F1803*H1803*Inputs!$C$69,"")</f>
      </c>
    </row>
    <row r="1804" spans="2:10" ht="15" customHeight="1" x14ac:dyDescent="0.2">
      <c r="B1804" s="39">
        <f t="shared" si="14"/>
      </c>
      <c r="C1804" s="40">
        <f>IF(Inputs!$C$60,Inputs!$C$11+(B1804-Inputs!$C$69)/Inputs!$C$70,"")</f>
      </c>
      <c r="D1804" s="15"/>
      <c r="E1804" s="15"/>
      <c r="F1804" s="11">
        <f t="shared" si="15"/>
      </c>
      <c r="G1804" s="22" cm="1">
        <f t="array" ref="G1804">IF(AND(Inputs!$C$60,Inputs!$C$61),INDEX(Utility_Rates!$C$29:$F$52,HOUR(C1804)+Inputs!$C$69,MATCH(INDEX(Utility_Rates!$K$6:$K$17,MONTH(C1804))&amp;IF(WEEKDAY(C1804,Inputs!$C$76)&lt;=Inputs!$C$74," weekday"," weekend"),Utility_Rates!$C$28:$F$28,Inputs!$C$68)),"")</f>
      </c>
      <c r="H1804" s="34"/>
      <c r="I1804" s="42">
        <f>IF(AND(ISNUMBER(D1804),ISNUMBER(H1804)),D1804*H1804*Inputs!$C$69,"")</f>
      </c>
      <c r="J1804" s="42">
        <f>IF(AND(ISNUMBER(F1804),ISNUMBER(H1804),F1804&gt;=Inputs!$C$68),F1804*H1804*Inputs!$C$69,"")</f>
      </c>
    </row>
    <row r="1805" spans="2:10" ht="15" customHeight="1" x14ac:dyDescent="0.2">
      <c r="B1805" s="39">
        <f t="shared" si="14"/>
      </c>
      <c r="C1805" s="40">
        <f>IF(Inputs!$C$60,Inputs!$C$11+(B1805-Inputs!$C$69)/Inputs!$C$70,"")</f>
      </c>
      <c r="D1805" s="15"/>
      <c r="E1805" s="15"/>
      <c r="F1805" s="11">
        <f t="shared" si="15"/>
      </c>
      <c r="G1805" s="22" cm="1">
        <f t="array" ref="G1805">IF(AND(Inputs!$C$60,Inputs!$C$61),INDEX(Utility_Rates!$C$29:$F$52,HOUR(C1805)+Inputs!$C$69,MATCH(INDEX(Utility_Rates!$K$6:$K$17,MONTH(C1805))&amp;IF(WEEKDAY(C1805,Inputs!$C$76)&lt;=Inputs!$C$74," weekday"," weekend"),Utility_Rates!$C$28:$F$28,Inputs!$C$68)),"")</f>
      </c>
      <c r="H1805" s="34"/>
      <c r="I1805" s="42">
        <f>IF(AND(ISNUMBER(D1805),ISNUMBER(H1805)),D1805*H1805*Inputs!$C$69,"")</f>
      </c>
      <c r="J1805" s="42">
        <f>IF(AND(ISNUMBER(F1805),ISNUMBER(H1805),F1805&gt;=Inputs!$C$68),F1805*H1805*Inputs!$C$69,"")</f>
      </c>
    </row>
    <row r="1806" spans="2:10" ht="15" customHeight="1" x14ac:dyDescent="0.2">
      <c r="B1806" s="39">
        <f t="shared" si="14"/>
      </c>
      <c r="C1806" s="40">
        <f>IF(Inputs!$C$60,Inputs!$C$11+(B1806-Inputs!$C$69)/Inputs!$C$70,"")</f>
      </c>
      <c r="D1806" s="15"/>
      <c r="E1806" s="15"/>
      <c r="F1806" s="11">
        <f t="shared" si="15"/>
      </c>
      <c r="G1806" s="22" cm="1">
        <f t="array" ref="G1806">IF(AND(Inputs!$C$60,Inputs!$C$61),INDEX(Utility_Rates!$C$29:$F$52,HOUR(C1806)+Inputs!$C$69,MATCH(INDEX(Utility_Rates!$K$6:$K$17,MONTH(C1806))&amp;IF(WEEKDAY(C1806,Inputs!$C$76)&lt;=Inputs!$C$74," weekday"," weekend"),Utility_Rates!$C$28:$F$28,Inputs!$C$68)),"")</f>
      </c>
      <c r="H1806" s="34"/>
      <c r="I1806" s="42">
        <f>IF(AND(ISNUMBER(D1806),ISNUMBER(H1806)),D1806*H1806*Inputs!$C$69,"")</f>
      </c>
      <c r="J1806" s="42">
        <f>IF(AND(ISNUMBER(F1806),ISNUMBER(H1806),F1806&gt;=Inputs!$C$68),F1806*H1806*Inputs!$C$69,"")</f>
      </c>
    </row>
    <row r="1807" spans="2:10" ht="15" customHeight="1" x14ac:dyDescent="0.2">
      <c r="B1807" s="39">
        <f t="shared" si="14"/>
      </c>
      <c r="C1807" s="40">
        <f>IF(Inputs!$C$60,Inputs!$C$11+(B1807-Inputs!$C$69)/Inputs!$C$70,"")</f>
      </c>
      <c r="D1807" s="15"/>
      <c r="E1807" s="15"/>
      <c r="F1807" s="11">
        <f t="shared" si="15"/>
      </c>
      <c r="G1807" s="22" cm="1">
        <f t="array" ref="G1807">IF(AND(Inputs!$C$60,Inputs!$C$61),INDEX(Utility_Rates!$C$29:$F$52,HOUR(C1807)+Inputs!$C$69,MATCH(INDEX(Utility_Rates!$K$6:$K$17,MONTH(C1807))&amp;IF(WEEKDAY(C1807,Inputs!$C$76)&lt;=Inputs!$C$74," weekday"," weekend"),Utility_Rates!$C$28:$F$28,Inputs!$C$68)),"")</f>
      </c>
      <c r="H1807" s="34"/>
      <c r="I1807" s="42">
        <f>IF(AND(ISNUMBER(D1807),ISNUMBER(H1807)),D1807*H1807*Inputs!$C$69,"")</f>
      </c>
      <c r="J1807" s="42">
        <f>IF(AND(ISNUMBER(F1807),ISNUMBER(H1807),F1807&gt;=Inputs!$C$68),F1807*H1807*Inputs!$C$69,"")</f>
      </c>
    </row>
    <row r="1808" spans="2:10" ht="15" customHeight="1" x14ac:dyDescent="0.2">
      <c r="B1808" s="39">
        <f t="shared" si="14"/>
      </c>
      <c r="C1808" s="40">
        <f>IF(Inputs!$C$60,Inputs!$C$11+(B1808-Inputs!$C$69)/Inputs!$C$70,"")</f>
      </c>
      <c r="D1808" s="15"/>
      <c r="E1808" s="15"/>
      <c r="F1808" s="11">
        <f t="shared" si="15"/>
      </c>
      <c r="G1808" s="22" cm="1">
        <f t="array" ref="G1808">IF(AND(Inputs!$C$60,Inputs!$C$61),INDEX(Utility_Rates!$C$29:$F$52,HOUR(C1808)+Inputs!$C$69,MATCH(INDEX(Utility_Rates!$K$6:$K$17,MONTH(C1808))&amp;IF(WEEKDAY(C1808,Inputs!$C$76)&lt;=Inputs!$C$74," weekday"," weekend"),Utility_Rates!$C$28:$F$28,Inputs!$C$68)),"")</f>
      </c>
      <c r="H1808" s="34"/>
      <c r="I1808" s="42">
        <f>IF(AND(ISNUMBER(D1808),ISNUMBER(H1808)),D1808*H1808*Inputs!$C$69,"")</f>
      </c>
      <c r="J1808" s="42">
        <f>IF(AND(ISNUMBER(F1808),ISNUMBER(H1808),F1808&gt;=Inputs!$C$68),F1808*H1808*Inputs!$C$69,"")</f>
      </c>
    </row>
    <row r="1809" spans="2:10" ht="15" customHeight="1" x14ac:dyDescent="0.2">
      <c r="B1809" s="39">
        <f t="shared" si="14"/>
      </c>
      <c r="C1809" s="40">
        <f>IF(Inputs!$C$60,Inputs!$C$11+(B1809-Inputs!$C$69)/Inputs!$C$70,"")</f>
      </c>
      <c r="D1809" s="15"/>
      <c r="E1809" s="15"/>
      <c r="F1809" s="11">
        <f t="shared" si="15"/>
      </c>
      <c r="G1809" s="22" cm="1">
        <f t="array" ref="G1809">IF(AND(Inputs!$C$60,Inputs!$C$61),INDEX(Utility_Rates!$C$29:$F$52,HOUR(C1809)+Inputs!$C$69,MATCH(INDEX(Utility_Rates!$K$6:$K$17,MONTH(C1809))&amp;IF(WEEKDAY(C1809,Inputs!$C$76)&lt;=Inputs!$C$74," weekday"," weekend"),Utility_Rates!$C$28:$F$28,Inputs!$C$68)),"")</f>
      </c>
      <c r="H1809" s="34"/>
      <c r="I1809" s="42">
        <f>IF(AND(ISNUMBER(D1809),ISNUMBER(H1809)),D1809*H1809*Inputs!$C$69,"")</f>
      </c>
      <c r="J1809" s="42">
        <f>IF(AND(ISNUMBER(F1809),ISNUMBER(H1809),F1809&gt;=Inputs!$C$68),F1809*H1809*Inputs!$C$69,"")</f>
      </c>
    </row>
    <row r="1810" spans="2:10" ht="15" customHeight="1" x14ac:dyDescent="0.2">
      <c r="B1810" s="39">
        <f t="shared" si="14"/>
      </c>
      <c r="C1810" s="40">
        <f>IF(Inputs!$C$60,Inputs!$C$11+(B1810-Inputs!$C$69)/Inputs!$C$70,"")</f>
      </c>
      <c r="D1810" s="15"/>
      <c r="E1810" s="15"/>
      <c r="F1810" s="11">
        <f t="shared" si="15"/>
      </c>
      <c r="G1810" s="22" cm="1">
        <f t="array" ref="G1810">IF(AND(Inputs!$C$60,Inputs!$C$61),INDEX(Utility_Rates!$C$29:$F$52,HOUR(C1810)+Inputs!$C$69,MATCH(INDEX(Utility_Rates!$K$6:$K$17,MONTH(C1810))&amp;IF(WEEKDAY(C1810,Inputs!$C$76)&lt;=Inputs!$C$74," weekday"," weekend"),Utility_Rates!$C$28:$F$28,Inputs!$C$68)),"")</f>
      </c>
      <c r="H1810" s="34"/>
      <c r="I1810" s="42">
        <f>IF(AND(ISNUMBER(D1810),ISNUMBER(H1810)),D1810*H1810*Inputs!$C$69,"")</f>
      </c>
      <c r="J1810" s="42">
        <f>IF(AND(ISNUMBER(F1810),ISNUMBER(H1810),F1810&gt;=Inputs!$C$68),F1810*H1810*Inputs!$C$69,"")</f>
      </c>
    </row>
    <row r="1811" spans="2:10" ht="15" customHeight="1" x14ac:dyDescent="0.2">
      <c r="B1811" s="39">
        <f t="shared" si="14"/>
      </c>
      <c r="C1811" s="40">
        <f>IF(Inputs!$C$60,Inputs!$C$11+(B1811-Inputs!$C$69)/Inputs!$C$70,"")</f>
      </c>
      <c r="D1811" s="15"/>
      <c r="E1811" s="15"/>
      <c r="F1811" s="11">
        <f t="shared" si="15"/>
      </c>
      <c r="G1811" s="22" cm="1">
        <f t="array" ref="G1811">IF(AND(Inputs!$C$60,Inputs!$C$61),INDEX(Utility_Rates!$C$29:$F$52,HOUR(C1811)+Inputs!$C$69,MATCH(INDEX(Utility_Rates!$K$6:$K$17,MONTH(C1811))&amp;IF(WEEKDAY(C1811,Inputs!$C$76)&lt;=Inputs!$C$74," weekday"," weekend"),Utility_Rates!$C$28:$F$28,Inputs!$C$68)),"")</f>
      </c>
      <c r="H1811" s="34"/>
      <c r="I1811" s="42">
        <f>IF(AND(ISNUMBER(D1811),ISNUMBER(H1811)),D1811*H1811*Inputs!$C$69,"")</f>
      </c>
      <c r="J1811" s="42">
        <f>IF(AND(ISNUMBER(F1811),ISNUMBER(H1811),F1811&gt;=Inputs!$C$68),F1811*H1811*Inputs!$C$69,"")</f>
      </c>
    </row>
    <row r="1812" spans="2:10" ht="15" customHeight="1" x14ac:dyDescent="0.2">
      <c r="B1812" s="39">
        <f t="shared" si="14"/>
      </c>
      <c r="C1812" s="40">
        <f>IF(Inputs!$C$60,Inputs!$C$11+(B1812-Inputs!$C$69)/Inputs!$C$70,"")</f>
      </c>
      <c r="D1812" s="15"/>
      <c r="E1812" s="15"/>
      <c r="F1812" s="11">
        <f t="shared" si="15"/>
      </c>
      <c r="G1812" s="22" cm="1">
        <f t="array" ref="G1812">IF(AND(Inputs!$C$60,Inputs!$C$61),INDEX(Utility_Rates!$C$29:$F$52,HOUR(C1812)+Inputs!$C$69,MATCH(INDEX(Utility_Rates!$K$6:$K$17,MONTH(C1812))&amp;IF(WEEKDAY(C1812,Inputs!$C$76)&lt;=Inputs!$C$74," weekday"," weekend"),Utility_Rates!$C$28:$F$28,Inputs!$C$68)),"")</f>
      </c>
      <c r="H1812" s="34"/>
      <c r="I1812" s="42">
        <f>IF(AND(ISNUMBER(D1812),ISNUMBER(H1812)),D1812*H1812*Inputs!$C$69,"")</f>
      </c>
      <c r="J1812" s="42">
        <f>IF(AND(ISNUMBER(F1812),ISNUMBER(H1812),F1812&gt;=Inputs!$C$68),F1812*H1812*Inputs!$C$69,"")</f>
      </c>
    </row>
    <row r="1813" spans="2:10" ht="15" customHeight="1" x14ac:dyDescent="0.2">
      <c r="B1813" s="39">
        <f t="shared" si="14"/>
      </c>
      <c r="C1813" s="40">
        <f>IF(Inputs!$C$60,Inputs!$C$11+(B1813-Inputs!$C$69)/Inputs!$C$70,"")</f>
      </c>
      <c r="D1813" s="15"/>
      <c r="E1813" s="15"/>
      <c r="F1813" s="11">
        <f t="shared" si="15"/>
      </c>
      <c r="G1813" s="22" cm="1">
        <f t="array" ref="G1813">IF(AND(Inputs!$C$60,Inputs!$C$61),INDEX(Utility_Rates!$C$29:$F$52,HOUR(C1813)+Inputs!$C$69,MATCH(INDEX(Utility_Rates!$K$6:$K$17,MONTH(C1813))&amp;IF(WEEKDAY(C1813,Inputs!$C$76)&lt;=Inputs!$C$74," weekday"," weekend"),Utility_Rates!$C$28:$F$28,Inputs!$C$68)),"")</f>
      </c>
      <c r="H1813" s="34"/>
      <c r="I1813" s="42">
        <f>IF(AND(ISNUMBER(D1813),ISNUMBER(H1813)),D1813*H1813*Inputs!$C$69,"")</f>
      </c>
      <c r="J1813" s="42">
        <f>IF(AND(ISNUMBER(F1813),ISNUMBER(H1813),F1813&gt;=Inputs!$C$68),F1813*H1813*Inputs!$C$69,"")</f>
      </c>
    </row>
    <row r="1814" spans="2:10" ht="15" customHeight="1" x14ac:dyDescent="0.2">
      <c r="B1814" s="39">
        <f t="shared" si="14"/>
      </c>
      <c r="C1814" s="40">
        <f>IF(Inputs!$C$60,Inputs!$C$11+(B1814-Inputs!$C$69)/Inputs!$C$70,"")</f>
      </c>
      <c r="D1814" s="15"/>
      <c r="E1814" s="15"/>
      <c r="F1814" s="11">
        <f t="shared" si="15"/>
      </c>
      <c r="G1814" s="22" cm="1">
        <f t="array" ref="G1814">IF(AND(Inputs!$C$60,Inputs!$C$61),INDEX(Utility_Rates!$C$29:$F$52,HOUR(C1814)+Inputs!$C$69,MATCH(INDEX(Utility_Rates!$K$6:$K$17,MONTH(C1814))&amp;IF(WEEKDAY(C1814,Inputs!$C$76)&lt;=Inputs!$C$74," weekday"," weekend"),Utility_Rates!$C$28:$F$28,Inputs!$C$68)),"")</f>
      </c>
      <c r="H1814" s="34"/>
      <c r="I1814" s="42">
        <f>IF(AND(ISNUMBER(D1814),ISNUMBER(H1814)),D1814*H1814*Inputs!$C$69,"")</f>
      </c>
      <c r="J1814" s="42">
        <f>IF(AND(ISNUMBER(F1814),ISNUMBER(H1814),F1814&gt;=Inputs!$C$68),F1814*H1814*Inputs!$C$69,"")</f>
      </c>
    </row>
    <row r="1815" spans="2:10" ht="15" customHeight="1" x14ac:dyDescent="0.2">
      <c r="B1815" s="39">
        <f t="shared" si="14"/>
      </c>
      <c r="C1815" s="40">
        <f>IF(Inputs!$C$60,Inputs!$C$11+(B1815-Inputs!$C$69)/Inputs!$C$70,"")</f>
      </c>
      <c r="D1815" s="15"/>
      <c r="E1815" s="15"/>
      <c r="F1815" s="11">
        <f t="shared" si="15"/>
      </c>
      <c r="G1815" s="22" cm="1">
        <f t="array" ref="G1815">IF(AND(Inputs!$C$60,Inputs!$C$61),INDEX(Utility_Rates!$C$29:$F$52,HOUR(C1815)+Inputs!$C$69,MATCH(INDEX(Utility_Rates!$K$6:$K$17,MONTH(C1815))&amp;IF(WEEKDAY(C1815,Inputs!$C$76)&lt;=Inputs!$C$74," weekday"," weekend"),Utility_Rates!$C$28:$F$28,Inputs!$C$68)),"")</f>
      </c>
      <c r="H1815" s="34"/>
      <c r="I1815" s="42">
        <f>IF(AND(ISNUMBER(D1815),ISNUMBER(H1815)),D1815*H1815*Inputs!$C$69,"")</f>
      </c>
      <c r="J1815" s="42">
        <f>IF(AND(ISNUMBER(F1815),ISNUMBER(H1815),F1815&gt;=Inputs!$C$68),F1815*H1815*Inputs!$C$69,"")</f>
      </c>
    </row>
    <row r="1816" spans="2:10" ht="15" customHeight="1" x14ac:dyDescent="0.2">
      <c r="B1816" s="39">
        <f t="shared" si="14"/>
      </c>
      <c r="C1816" s="40">
        <f>IF(Inputs!$C$60,Inputs!$C$11+(B1816-Inputs!$C$69)/Inputs!$C$70,"")</f>
      </c>
      <c r="D1816" s="15"/>
      <c r="E1816" s="15"/>
      <c r="F1816" s="11">
        <f t="shared" si="15"/>
      </c>
      <c r="G1816" s="22" cm="1">
        <f t="array" ref="G1816">IF(AND(Inputs!$C$60,Inputs!$C$61),INDEX(Utility_Rates!$C$29:$F$52,HOUR(C1816)+Inputs!$C$69,MATCH(INDEX(Utility_Rates!$K$6:$K$17,MONTH(C1816))&amp;IF(WEEKDAY(C1816,Inputs!$C$76)&lt;=Inputs!$C$74," weekday"," weekend"),Utility_Rates!$C$28:$F$28,Inputs!$C$68)),"")</f>
      </c>
      <c r="H1816" s="34"/>
      <c r="I1816" s="42">
        <f>IF(AND(ISNUMBER(D1816),ISNUMBER(H1816)),D1816*H1816*Inputs!$C$69,"")</f>
      </c>
      <c r="J1816" s="42">
        <f>IF(AND(ISNUMBER(F1816),ISNUMBER(H1816),F1816&gt;=Inputs!$C$68),F1816*H1816*Inputs!$C$69,"")</f>
      </c>
    </row>
    <row r="1817" spans="2:10" ht="15" customHeight="1" x14ac:dyDescent="0.2">
      <c r="B1817" s="39">
        <f t="shared" si="14"/>
      </c>
      <c r="C1817" s="40">
        <f>IF(Inputs!$C$60,Inputs!$C$11+(B1817-Inputs!$C$69)/Inputs!$C$70,"")</f>
      </c>
      <c r="D1817" s="15"/>
      <c r="E1817" s="15"/>
      <c r="F1817" s="11">
        <f t="shared" si="15"/>
      </c>
      <c r="G1817" s="22" cm="1">
        <f t="array" ref="G1817">IF(AND(Inputs!$C$60,Inputs!$C$61),INDEX(Utility_Rates!$C$29:$F$52,HOUR(C1817)+Inputs!$C$69,MATCH(INDEX(Utility_Rates!$K$6:$K$17,MONTH(C1817))&amp;IF(WEEKDAY(C1817,Inputs!$C$76)&lt;=Inputs!$C$74," weekday"," weekend"),Utility_Rates!$C$28:$F$28,Inputs!$C$68)),"")</f>
      </c>
      <c r="H1817" s="34"/>
      <c r="I1817" s="42">
        <f>IF(AND(ISNUMBER(D1817),ISNUMBER(H1817)),D1817*H1817*Inputs!$C$69,"")</f>
      </c>
      <c r="J1817" s="42">
        <f>IF(AND(ISNUMBER(F1817),ISNUMBER(H1817),F1817&gt;=Inputs!$C$68),F1817*H1817*Inputs!$C$69,"")</f>
      </c>
    </row>
    <row r="1818" spans="2:10" ht="15" customHeight="1" x14ac:dyDescent="0.2">
      <c r="B1818" s="39">
        <f t="shared" si="14"/>
      </c>
      <c r="C1818" s="40">
        <f>IF(Inputs!$C$60,Inputs!$C$11+(B1818-Inputs!$C$69)/Inputs!$C$70,"")</f>
      </c>
      <c r="D1818" s="15"/>
      <c r="E1818" s="15"/>
      <c r="F1818" s="11">
        <f t="shared" si="15"/>
      </c>
      <c r="G1818" s="22" cm="1">
        <f t="array" ref="G1818">IF(AND(Inputs!$C$60,Inputs!$C$61),INDEX(Utility_Rates!$C$29:$F$52,HOUR(C1818)+Inputs!$C$69,MATCH(INDEX(Utility_Rates!$K$6:$K$17,MONTH(C1818))&amp;IF(WEEKDAY(C1818,Inputs!$C$76)&lt;=Inputs!$C$74," weekday"," weekend"),Utility_Rates!$C$28:$F$28,Inputs!$C$68)),"")</f>
      </c>
      <c r="H1818" s="34"/>
      <c r="I1818" s="42">
        <f>IF(AND(ISNUMBER(D1818),ISNUMBER(H1818)),D1818*H1818*Inputs!$C$69,"")</f>
      </c>
      <c r="J1818" s="42">
        <f>IF(AND(ISNUMBER(F1818),ISNUMBER(H1818),F1818&gt;=Inputs!$C$68),F1818*H1818*Inputs!$C$69,"")</f>
      </c>
    </row>
    <row r="1819" spans="2:10" ht="15" customHeight="1" x14ac:dyDescent="0.2">
      <c r="B1819" s="39">
        <f t="shared" si="14"/>
      </c>
      <c r="C1819" s="40">
        <f>IF(Inputs!$C$60,Inputs!$C$11+(B1819-Inputs!$C$69)/Inputs!$C$70,"")</f>
      </c>
      <c r="D1819" s="15"/>
      <c r="E1819" s="15"/>
      <c r="F1819" s="11">
        <f t="shared" si="15"/>
      </c>
      <c r="G1819" s="22" cm="1">
        <f t="array" ref="G1819">IF(AND(Inputs!$C$60,Inputs!$C$61),INDEX(Utility_Rates!$C$29:$F$52,HOUR(C1819)+Inputs!$C$69,MATCH(INDEX(Utility_Rates!$K$6:$K$17,MONTH(C1819))&amp;IF(WEEKDAY(C1819,Inputs!$C$76)&lt;=Inputs!$C$74," weekday"," weekend"),Utility_Rates!$C$28:$F$28,Inputs!$C$68)),"")</f>
      </c>
      <c r="H1819" s="34"/>
      <c r="I1819" s="42">
        <f>IF(AND(ISNUMBER(D1819),ISNUMBER(H1819)),D1819*H1819*Inputs!$C$69,"")</f>
      </c>
      <c r="J1819" s="42">
        <f>IF(AND(ISNUMBER(F1819),ISNUMBER(H1819),F1819&gt;=Inputs!$C$68),F1819*H1819*Inputs!$C$69,"")</f>
      </c>
    </row>
    <row r="1820" spans="2:10" ht="15" customHeight="1" x14ac:dyDescent="0.2">
      <c r="B1820" s="39">
        <f t="shared" si="14"/>
      </c>
      <c r="C1820" s="40">
        <f>IF(Inputs!$C$60,Inputs!$C$11+(B1820-Inputs!$C$69)/Inputs!$C$70,"")</f>
      </c>
      <c r="D1820" s="15"/>
      <c r="E1820" s="15"/>
      <c r="F1820" s="11">
        <f t="shared" si="15"/>
      </c>
      <c r="G1820" s="22" cm="1">
        <f t="array" ref="G1820">IF(AND(Inputs!$C$60,Inputs!$C$61),INDEX(Utility_Rates!$C$29:$F$52,HOUR(C1820)+Inputs!$C$69,MATCH(INDEX(Utility_Rates!$K$6:$K$17,MONTH(C1820))&amp;IF(WEEKDAY(C1820,Inputs!$C$76)&lt;=Inputs!$C$74," weekday"," weekend"),Utility_Rates!$C$28:$F$28,Inputs!$C$68)),"")</f>
      </c>
      <c r="H1820" s="34"/>
      <c r="I1820" s="42">
        <f>IF(AND(ISNUMBER(D1820),ISNUMBER(H1820)),D1820*H1820*Inputs!$C$69,"")</f>
      </c>
      <c r="J1820" s="42">
        <f>IF(AND(ISNUMBER(F1820),ISNUMBER(H1820),F1820&gt;=Inputs!$C$68),F1820*H1820*Inputs!$C$69,"")</f>
      </c>
    </row>
    <row r="1821" spans="2:10" ht="15" customHeight="1" x14ac:dyDescent="0.2">
      <c r="B1821" s="39">
        <f t="shared" si="14"/>
      </c>
      <c r="C1821" s="40">
        <f>IF(Inputs!$C$60,Inputs!$C$11+(B1821-Inputs!$C$69)/Inputs!$C$70,"")</f>
      </c>
      <c r="D1821" s="15"/>
      <c r="E1821" s="15"/>
      <c r="F1821" s="11">
        <f t="shared" si="15"/>
      </c>
      <c r="G1821" s="22" cm="1">
        <f t="array" ref="G1821">IF(AND(Inputs!$C$60,Inputs!$C$61),INDEX(Utility_Rates!$C$29:$F$52,HOUR(C1821)+Inputs!$C$69,MATCH(INDEX(Utility_Rates!$K$6:$K$17,MONTH(C1821))&amp;IF(WEEKDAY(C1821,Inputs!$C$76)&lt;=Inputs!$C$74," weekday"," weekend"),Utility_Rates!$C$28:$F$28,Inputs!$C$68)),"")</f>
      </c>
      <c r="H1821" s="34"/>
      <c r="I1821" s="42">
        <f>IF(AND(ISNUMBER(D1821),ISNUMBER(H1821)),D1821*H1821*Inputs!$C$69,"")</f>
      </c>
      <c r="J1821" s="42">
        <f>IF(AND(ISNUMBER(F1821),ISNUMBER(H1821),F1821&gt;=Inputs!$C$68),F1821*H1821*Inputs!$C$69,"")</f>
      </c>
    </row>
    <row r="1822" spans="2:10" ht="15" customHeight="1" x14ac:dyDescent="0.2">
      <c r="B1822" s="39">
        <f t="shared" si="14"/>
      </c>
      <c r="C1822" s="40">
        <f>IF(Inputs!$C$60,Inputs!$C$11+(B1822-Inputs!$C$69)/Inputs!$C$70,"")</f>
      </c>
      <c r="D1822" s="15"/>
      <c r="E1822" s="15"/>
      <c r="F1822" s="11">
        <f t="shared" si="15"/>
      </c>
      <c r="G1822" s="22" cm="1">
        <f t="array" ref="G1822">IF(AND(Inputs!$C$60,Inputs!$C$61),INDEX(Utility_Rates!$C$29:$F$52,HOUR(C1822)+Inputs!$C$69,MATCH(INDEX(Utility_Rates!$K$6:$K$17,MONTH(C1822))&amp;IF(WEEKDAY(C1822,Inputs!$C$76)&lt;=Inputs!$C$74," weekday"," weekend"),Utility_Rates!$C$28:$F$28,Inputs!$C$68)),"")</f>
      </c>
      <c r="H1822" s="34"/>
      <c r="I1822" s="42">
        <f>IF(AND(ISNUMBER(D1822),ISNUMBER(H1822)),D1822*H1822*Inputs!$C$69,"")</f>
      </c>
      <c r="J1822" s="42">
        <f>IF(AND(ISNUMBER(F1822),ISNUMBER(H1822),F1822&gt;=Inputs!$C$68),F1822*H1822*Inputs!$C$69,"")</f>
      </c>
    </row>
    <row r="1823" spans="2:10" ht="15" customHeight="1" x14ac:dyDescent="0.2">
      <c r="B1823" s="39">
        <f t="shared" si="14"/>
      </c>
      <c r="C1823" s="40">
        <f>IF(Inputs!$C$60,Inputs!$C$11+(B1823-Inputs!$C$69)/Inputs!$C$70,"")</f>
      </c>
      <c r="D1823" s="15"/>
      <c r="E1823" s="15"/>
      <c r="F1823" s="11">
        <f t="shared" si="15"/>
      </c>
      <c r="G1823" s="22" cm="1">
        <f t="array" ref="G1823">IF(AND(Inputs!$C$60,Inputs!$C$61),INDEX(Utility_Rates!$C$29:$F$52,HOUR(C1823)+Inputs!$C$69,MATCH(INDEX(Utility_Rates!$K$6:$K$17,MONTH(C1823))&amp;IF(WEEKDAY(C1823,Inputs!$C$76)&lt;=Inputs!$C$74," weekday"," weekend"),Utility_Rates!$C$28:$F$28,Inputs!$C$68)),"")</f>
      </c>
      <c r="H1823" s="34"/>
      <c r="I1823" s="42">
        <f>IF(AND(ISNUMBER(D1823),ISNUMBER(H1823)),D1823*H1823*Inputs!$C$69,"")</f>
      </c>
      <c r="J1823" s="42">
        <f>IF(AND(ISNUMBER(F1823),ISNUMBER(H1823),F1823&gt;=Inputs!$C$68),F1823*H1823*Inputs!$C$69,"")</f>
      </c>
    </row>
    <row r="1824" spans="2:10" ht="15" customHeight="1" x14ac:dyDescent="0.2">
      <c r="B1824" s="39">
        <f t="shared" si="14"/>
      </c>
      <c r="C1824" s="40">
        <f>IF(Inputs!$C$60,Inputs!$C$11+(B1824-Inputs!$C$69)/Inputs!$C$70,"")</f>
      </c>
      <c r="D1824" s="15"/>
      <c r="E1824" s="15"/>
      <c r="F1824" s="11">
        <f t="shared" si="15"/>
      </c>
      <c r="G1824" s="22" cm="1">
        <f t="array" ref="G1824">IF(AND(Inputs!$C$60,Inputs!$C$61),INDEX(Utility_Rates!$C$29:$F$52,HOUR(C1824)+Inputs!$C$69,MATCH(INDEX(Utility_Rates!$K$6:$K$17,MONTH(C1824))&amp;IF(WEEKDAY(C1824,Inputs!$C$76)&lt;=Inputs!$C$74," weekday"," weekend"),Utility_Rates!$C$28:$F$28,Inputs!$C$68)),"")</f>
      </c>
      <c r="H1824" s="34"/>
      <c r="I1824" s="42">
        <f>IF(AND(ISNUMBER(D1824),ISNUMBER(H1824)),D1824*H1824*Inputs!$C$69,"")</f>
      </c>
      <c r="J1824" s="42">
        <f>IF(AND(ISNUMBER(F1824),ISNUMBER(H1824),F1824&gt;=Inputs!$C$68),F1824*H1824*Inputs!$C$69,"")</f>
      </c>
    </row>
    <row r="1825" spans="2:10" ht="15" customHeight="1" x14ac:dyDescent="0.2">
      <c r="B1825" s="39">
        <f t="shared" si="14"/>
      </c>
      <c r="C1825" s="40">
        <f>IF(Inputs!$C$60,Inputs!$C$11+(B1825-Inputs!$C$69)/Inputs!$C$70,"")</f>
      </c>
      <c r="D1825" s="15"/>
      <c r="E1825" s="15"/>
      <c r="F1825" s="11">
        <f t="shared" si="15"/>
      </c>
      <c r="G1825" s="22" cm="1">
        <f t="array" ref="G1825">IF(AND(Inputs!$C$60,Inputs!$C$61),INDEX(Utility_Rates!$C$29:$F$52,HOUR(C1825)+Inputs!$C$69,MATCH(INDEX(Utility_Rates!$K$6:$K$17,MONTH(C1825))&amp;IF(WEEKDAY(C1825,Inputs!$C$76)&lt;=Inputs!$C$74," weekday"," weekend"),Utility_Rates!$C$28:$F$28,Inputs!$C$68)),"")</f>
      </c>
      <c r="H1825" s="34"/>
      <c r="I1825" s="42">
        <f>IF(AND(ISNUMBER(D1825),ISNUMBER(H1825)),D1825*H1825*Inputs!$C$69,"")</f>
      </c>
      <c r="J1825" s="42">
        <f>IF(AND(ISNUMBER(F1825),ISNUMBER(H1825),F1825&gt;=Inputs!$C$68),F1825*H1825*Inputs!$C$69,"")</f>
      </c>
    </row>
    <row r="1826" spans="2:10" ht="15" customHeight="1" x14ac:dyDescent="0.2">
      <c r="B1826" s="39">
        <f t="shared" si="14"/>
      </c>
      <c r="C1826" s="40">
        <f>IF(Inputs!$C$60,Inputs!$C$11+(B1826-Inputs!$C$69)/Inputs!$C$70,"")</f>
      </c>
      <c r="D1826" s="15"/>
      <c r="E1826" s="15"/>
      <c r="F1826" s="11">
        <f t="shared" si="15"/>
      </c>
      <c r="G1826" s="22" cm="1">
        <f t="array" ref="G1826">IF(AND(Inputs!$C$60,Inputs!$C$61),INDEX(Utility_Rates!$C$29:$F$52,HOUR(C1826)+Inputs!$C$69,MATCH(INDEX(Utility_Rates!$K$6:$K$17,MONTH(C1826))&amp;IF(WEEKDAY(C1826,Inputs!$C$76)&lt;=Inputs!$C$74," weekday"," weekend"),Utility_Rates!$C$28:$F$28,Inputs!$C$68)),"")</f>
      </c>
      <c r="H1826" s="34"/>
      <c r="I1826" s="42">
        <f>IF(AND(ISNUMBER(D1826),ISNUMBER(H1826)),D1826*H1826*Inputs!$C$69,"")</f>
      </c>
      <c r="J1826" s="42">
        <f>IF(AND(ISNUMBER(F1826),ISNUMBER(H1826),F1826&gt;=Inputs!$C$68),F1826*H1826*Inputs!$C$69,"")</f>
      </c>
    </row>
    <row r="1827" spans="2:10" ht="15" customHeight="1" x14ac:dyDescent="0.2">
      <c r="B1827" s="39">
        <f t="shared" si="14"/>
      </c>
      <c r="C1827" s="40">
        <f>IF(Inputs!$C$60,Inputs!$C$11+(B1827-Inputs!$C$69)/Inputs!$C$70,"")</f>
      </c>
      <c r="D1827" s="15"/>
      <c r="E1827" s="15"/>
      <c r="F1827" s="11">
        <f t="shared" si="15"/>
      </c>
      <c r="G1827" s="22" cm="1">
        <f t="array" ref="G1827">IF(AND(Inputs!$C$60,Inputs!$C$61),INDEX(Utility_Rates!$C$29:$F$52,HOUR(C1827)+Inputs!$C$69,MATCH(INDEX(Utility_Rates!$K$6:$K$17,MONTH(C1827))&amp;IF(WEEKDAY(C1827,Inputs!$C$76)&lt;=Inputs!$C$74," weekday"," weekend"),Utility_Rates!$C$28:$F$28,Inputs!$C$68)),"")</f>
      </c>
      <c r="H1827" s="34"/>
      <c r="I1827" s="42">
        <f>IF(AND(ISNUMBER(D1827),ISNUMBER(H1827)),D1827*H1827*Inputs!$C$69,"")</f>
      </c>
      <c r="J1827" s="42">
        <f>IF(AND(ISNUMBER(F1827),ISNUMBER(H1827),F1827&gt;=Inputs!$C$68),F1827*H1827*Inputs!$C$69,"")</f>
      </c>
    </row>
    <row r="1828" spans="2:10" ht="15" customHeight="1" x14ac:dyDescent="0.2">
      <c r="B1828" s="39">
        <f t="shared" si="14"/>
      </c>
      <c r="C1828" s="40">
        <f>IF(Inputs!$C$60,Inputs!$C$11+(B1828-Inputs!$C$69)/Inputs!$C$70,"")</f>
      </c>
      <c r="D1828" s="15"/>
      <c r="E1828" s="15"/>
      <c r="F1828" s="11">
        <f t="shared" si="15"/>
      </c>
      <c r="G1828" s="22" cm="1">
        <f t="array" ref="G1828">IF(AND(Inputs!$C$60,Inputs!$C$61),INDEX(Utility_Rates!$C$29:$F$52,HOUR(C1828)+Inputs!$C$69,MATCH(INDEX(Utility_Rates!$K$6:$K$17,MONTH(C1828))&amp;IF(WEEKDAY(C1828,Inputs!$C$76)&lt;=Inputs!$C$74," weekday"," weekend"),Utility_Rates!$C$28:$F$28,Inputs!$C$68)),"")</f>
      </c>
      <c r="H1828" s="34"/>
      <c r="I1828" s="42">
        <f>IF(AND(ISNUMBER(D1828),ISNUMBER(H1828)),D1828*H1828*Inputs!$C$69,"")</f>
      </c>
      <c r="J1828" s="42">
        <f>IF(AND(ISNUMBER(F1828),ISNUMBER(H1828),F1828&gt;=Inputs!$C$68),F1828*H1828*Inputs!$C$69,"")</f>
      </c>
    </row>
    <row r="1829" spans="2:10" ht="15" customHeight="1" x14ac:dyDescent="0.2">
      <c r="B1829" s="39">
        <f t="shared" si="14"/>
      </c>
      <c r="C1829" s="40">
        <f>IF(Inputs!$C$60,Inputs!$C$11+(B1829-Inputs!$C$69)/Inputs!$C$70,"")</f>
      </c>
      <c r="D1829" s="15"/>
      <c r="E1829" s="15"/>
      <c r="F1829" s="11">
        <f t="shared" si="15"/>
      </c>
      <c r="G1829" s="22" cm="1">
        <f t="array" ref="G1829">IF(AND(Inputs!$C$60,Inputs!$C$61),INDEX(Utility_Rates!$C$29:$F$52,HOUR(C1829)+Inputs!$C$69,MATCH(INDEX(Utility_Rates!$K$6:$K$17,MONTH(C1829))&amp;IF(WEEKDAY(C1829,Inputs!$C$76)&lt;=Inputs!$C$74," weekday"," weekend"),Utility_Rates!$C$28:$F$28,Inputs!$C$68)),"")</f>
      </c>
      <c r="H1829" s="34"/>
      <c r="I1829" s="42">
        <f>IF(AND(ISNUMBER(D1829),ISNUMBER(H1829)),D1829*H1829*Inputs!$C$69,"")</f>
      </c>
      <c r="J1829" s="42">
        <f>IF(AND(ISNUMBER(F1829),ISNUMBER(H1829),F1829&gt;=Inputs!$C$68),F1829*H1829*Inputs!$C$69,"")</f>
      </c>
    </row>
    <row r="1830" spans="2:10" ht="15" customHeight="1" x14ac:dyDescent="0.2">
      <c r="B1830" s="39">
        <f t="shared" si="14"/>
      </c>
      <c r="C1830" s="40">
        <f>IF(Inputs!$C$60,Inputs!$C$11+(B1830-Inputs!$C$69)/Inputs!$C$70,"")</f>
      </c>
      <c r="D1830" s="15"/>
      <c r="E1830" s="15"/>
      <c r="F1830" s="11">
        <f t="shared" si="15"/>
      </c>
      <c r="G1830" s="22" cm="1">
        <f t="array" ref="G1830">IF(AND(Inputs!$C$60,Inputs!$C$61),INDEX(Utility_Rates!$C$29:$F$52,HOUR(C1830)+Inputs!$C$69,MATCH(INDEX(Utility_Rates!$K$6:$K$17,MONTH(C1830))&amp;IF(WEEKDAY(C1830,Inputs!$C$76)&lt;=Inputs!$C$74," weekday"," weekend"),Utility_Rates!$C$28:$F$28,Inputs!$C$68)),"")</f>
      </c>
      <c r="H1830" s="34"/>
      <c r="I1830" s="42">
        <f>IF(AND(ISNUMBER(D1830),ISNUMBER(H1830)),D1830*H1830*Inputs!$C$69,"")</f>
      </c>
      <c r="J1830" s="42">
        <f>IF(AND(ISNUMBER(F1830),ISNUMBER(H1830),F1830&gt;=Inputs!$C$68),F1830*H1830*Inputs!$C$69,"")</f>
      </c>
    </row>
    <row r="1831" spans="2:10" ht="15" customHeight="1" x14ac:dyDescent="0.2">
      <c r="B1831" s="39">
        <f t="shared" si="14"/>
      </c>
      <c r="C1831" s="40">
        <f>IF(Inputs!$C$60,Inputs!$C$11+(B1831-Inputs!$C$69)/Inputs!$C$70,"")</f>
      </c>
      <c r="D1831" s="15"/>
      <c r="E1831" s="15"/>
      <c r="F1831" s="11">
        <f t="shared" si="15"/>
      </c>
      <c r="G1831" s="22" cm="1">
        <f t="array" ref="G1831">IF(AND(Inputs!$C$60,Inputs!$C$61),INDEX(Utility_Rates!$C$29:$F$52,HOUR(C1831)+Inputs!$C$69,MATCH(INDEX(Utility_Rates!$K$6:$K$17,MONTH(C1831))&amp;IF(WEEKDAY(C1831,Inputs!$C$76)&lt;=Inputs!$C$74," weekday"," weekend"),Utility_Rates!$C$28:$F$28,Inputs!$C$68)),"")</f>
      </c>
      <c r="H1831" s="34"/>
      <c r="I1831" s="42">
        <f>IF(AND(ISNUMBER(D1831),ISNUMBER(H1831)),D1831*H1831*Inputs!$C$69,"")</f>
      </c>
      <c r="J1831" s="42">
        <f>IF(AND(ISNUMBER(F1831),ISNUMBER(H1831),F1831&gt;=Inputs!$C$68),F1831*H1831*Inputs!$C$69,"")</f>
      </c>
    </row>
    <row r="1832" spans="2:10" ht="15" customHeight="1" x14ac:dyDescent="0.2">
      <c r="B1832" s="39">
        <f t="shared" si="14"/>
      </c>
      <c r="C1832" s="40">
        <f>IF(Inputs!$C$60,Inputs!$C$11+(B1832-Inputs!$C$69)/Inputs!$C$70,"")</f>
      </c>
      <c r="D1832" s="15"/>
      <c r="E1832" s="15"/>
      <c r="F1832" s="11">
        <f t="shared" si="15"/>
      </c>
      <c r="G1832" s="22" cm="1">
        <f t="array" ref="G1832">IF(AND(Inputs!$C$60,Inputs!$C$61),INDEX(Utility_Rates!$C$29:$F$52,HOUR(C1832)+Inputs!$C$69,MATCH(INDEX(Utility_Rates!$K$6:$K$17,MONTH(C1832))&amp;IF(WEEKDAY(C1832,Inputs!$C$76)&lt;=Inputs!$C$74," weekday"," weekend"),Utility_Rates!$C$28:$F$28,Inputs!$C$68)),"")</f>
      </c>
      <c r="H1832" s="34"/>
      <c r="I1832" s="42">
        <f>IF(AND(ISNUMBER(D1832),ISNUMBER(H1832)),D1832*H1832*Inputs!$C$69,"")</f>
      </c>
      <c r="J1832" s="42">
        <f>IF(AND(ISNUMBER(F1832),ISNUMBER(H1832),F1832&gt;=Inputs!$C$68),F1832*H1832*Inputs!$C$69,"")</f>
      </c>
    </row>
    <row r="1833" spans="2:10" ht="15" customHeight="1" x14ac:dyDescent="0.2">
      <c r="B1833" s="39">
        <f t="shared" si="14"/>
      </c>
      <c r="C1833" s="40">
        <f>IF(Inputs!$C$60,Inputs!$C$11+(B1833-Inputs!$C$69)/Inputs!$C$70,"")</f>
      </c>
      <c r="D1833" s="15"/>
      <c r="E1833" s="15"/>
      <c r="F1833" s="11">
        <f t="shared" si="15"/>
      </c>
      <c r="G1833" s="22" cm="1">
        <f t="array" ref="G1833">IF(AND(Inputs!$C$60,Inputs!$C$61),INDEX(Utility_Rates!$C$29:$F$52,HOUR(C1833)+Inputs!$C$69,MATCH(INDEX(Utility_Rates!$K$6:$K$17,MONTH(C1833))&amp;IF(WEEKDAY(C1833,Inputs!$C$76)&lt;=Inputs!$C$74," weekday"," weekend"),Utility_Rates!$C$28:$F$28,Inputs!$C$68)),"")</f>
      </c>
      <c r="H1833" s="34"/>
      <c r="I1833" s="42">
        <f>IF(AND(ISNUMBER(D1833),ISNUMBER(H1833)),D1833*H1833*Inputs!$C$69,"")</f>
      </c>
      <c r="J1833" s="42">
        <f>IF(AND(ISNUMBER(F1833),ISNUMBER(H1833),F1833&gt;=Inputs!$C$68),F1833*H1833*Inputs!$C$69,"")</f>
      </c>
    </row>
    <row r="1834" spans="2:10" ht="15" customHeight="1" x14ac:dyDescent="0.2">
      <c r="B1834" s="39">
        <f t="shared" si="14"/>
      </c>
      <c r="C1834" s="40">
        <f>IF(Inputs!$C$60,Inputs!$C$11+(B1834-Inputs!$C$69)/Inputs!$C$70,"")</f>
      </c>
      <c r="D1834" s="15"/>
      <c r="E1834" s="15"/>
      <c r="F1834" s="11">
        <f t="shared" si="15"/>
      </c>
      <c r="G1834" s="22" cm="1">
        <f t="array" ref="G1834">IF(AND(Inputs!$C$60,Inputs!$C$61),INDEX(Utility_Rates!$C$29:$F$52,HOUR(C1834)+Inputs!$C$69,MATCH(INDEX(Utility_Rates!$K$6:$K$17,MONTH(C1834))&amp;IF(WEEKDAY(C1834,Inputs!$C$76)&lt;=Inputs!$C$74," weekday"," weekend"),Utility_Rates!$C$28:$F$28,Inputs!$C$68)),"")</f>
      </c>
      <c r="H1834" s="34"/>
      <c r="I1834" s="42">
        <f>IF(AND(ISNUMBER(D1834),ISNUMBER(H1834)),D1834*H1834*Inputs!$C$69,"")</f>
      </c>
      <c r="J1834" s="42">
        <f>IF(AND(ISNUMBER(F1834),ISNUMBER(H1834),F1834&gt;=Inputs!$C$68),F1834*H1834*Inputs!$C$69,"")</f>
      </c>
    </row>
    <row r="1835" spans="2:10" ht="15" customHeight="1" x14ac:dyDescent="0.2">
      <c r="B1835" s="39">
        <f t="shared" si="14"/>
      </c>
      <c r="C1835" s="40">
        <f>IF(Inputs!$C$60,Inputs!$C$11+(B1835-Inputs!$C$69)/Inputs!$C$70,"")</f>
      </c>
      <c r="D1835" s="15"/>
      <c r="E1835" s="15"/>
      <c r="F1835" s="11">
        <f t="shared" si="15"/>
      </c>
      <c r="G1835" s="22" cm="1">
        <f t="array" ref="G1835">IF(AND(Inputs!$C$60,Inputs!$C$61),INDEX(Utility_Rates!$C$29:$F$52,HOUR(C1835)+Inputs!$C$69,MATCH(INDEX(Utility_Rates!$K$6:$K$17,MONTH(C1835))&amp;IF(WEEKDAY(C1835,Inputs!$C$76)&lt;=Inputs!$C$74," weekday"," weekend"),Utility_Rates!$C$28:$F$28,Inputs!$C$68)),"")</f>
      </c>
      <c r="H1835" s="34"/>
      <c r="I1835" s="42">
        <f>IF(AND(ISNUMBER(D1835),ISNUMBER(H1835)),D1835*H1835*Inputs!$C$69,"")</f>
      </c>
      <c r="J1835" s="42">
        <f>IF(AND(ISNUMBER(F1835),ISNUMBER(H1835),F1835&gt;=Inputs!$C$68),F1835*H1835*Inputs!$C$69,"")</f>
      </c>
    </row>
    <row r="1836" spans="2:10" ht="15" customHeight="1" x14ac:dyDescent="0.2">
      <c r="B1836" s="39">
        <f t="shared" si="14"/>
      </c>
      <c r="C1836" s="40">
        <f>IF(Inputs!$C$60,Inputs!$C$11+(B1836-Inputs!$C$69)/Inputs!$C$70,"")</f>
      </c>
      <c r="D1836" s="15"/>
      <c r="E1836" s="15"/>
      <c r="F1836" s="11">
        <f t="shared" si="15"/>
      </c>
      <c r="G1836" s="22" cm="1">
        <f t="array" ref="G1836">IF(AND(Inputs!$C$60,Inputs!$C$61),INDEX(Utility_Rates!$C$29:$F$52,HOUR(C1836)+Inputs!$C$69,MATCH(INDEX(Utility_Rates!$K$6:$K$17,MONTH(C1836))&amp;IF(WEEKDAY(C1836,Inputs!$C$76)&lt;=Inputs!$C$74," weekday"," weekend"),Utility_Rates!$C$28:$F$28,Inputs!$C$68)),"")</f>
      </c>
      <c r="H1836" s="34"/>
      <c r="I1836" s="42">
        <f>IF(AND(ISNUMBER(D1836),ISNUMBER(H1836)),D1836*H1836*Inputs!$C$69,"")</f>
      </c>
      <c r="J1836" s="42">
        <f>IF(AND(ISNUMBER(F1836),ISNUMBER(H1836),F1836&gt;=Inputs!$C$68),F1836*H1836*Inputs!$C$69,"")</f>
      </c>
    </row>
    <row r="1837" spans="2:10" ht="15" customHeight="1" x14ac:dyDescent="0.2">
      <c r="B1837" s="39">
        <f t="shared" si="14"/>
      </c>
      <c r="C1837" s="40">
        <f>IF(Inputs!$C$60,Inputs!$C$11+(B1837-Inputs!$C$69)/Inputs!$C$70,"")</f>
      </c>
      <c r="D1837" s="15"/>
      <c r="E1837" s="15"/>
      <c r="F1837" s="11">
        <f t="shared" si="15"/>
      </c>
      <c r="G1837" s="22" cm="1">
        <f t="array" ref="G1837">IF(AND(Inputs!$C$60,Inputs!$C$61),INDEX(Utility_Rates!$C$29:$F$52,HOUR(C1837)+Inputs!$C$69,MATCH(INDEX(Utility_Rates!$K$6:$K$17,MONTH(C1837))&amp;IF(WEEKDAY(C1837,Inputs!$C$76)&lt;=Inputs!$C$74," weekday"," weekend"),Utility_Rates!$C$28:$F$28,Inputs!$C$68)),"")</f>
      </c>
      <c r="H1837" s="34"/>
      <c r="I1837" s="42">
        <f>IF(AND(ISNUMBER(D1837),ISNUMBER(H1837)),D1837*H1837*Inputs!$C$69,"")</f>
      </c>
      <c r="J1837" s="42">
        <f>IF(AND(ISNUMBER(F1837),ISNUMBER(H1837),F1837&gt;=Inputs!$C$68),F1837*H1837*Inputs!$C$69,"")</f>
      </c>
    </row>
    <row r="1838" spans="2:10" ht="15" customHeight="1" x14ac:dyDescent="0.2">
      <c r="B1838" s="39">
        <f t="shared" si="14"/>
      </c>
      <c r="C1838" s="40">
        <f>IF(Inputs!$C$60,Inputs!$C$11+(B1838-Inputs!$C$69)/Inputs!$C$70,"")</f>
      </c>
      <c r="D1838" s="15"/>
      <c r="E1838" s="15"/>
      <c r="F1838" s="11">
        <f t="shared" si="15"/>
      </c>
      <c r="G1838" s="22" cm="1">
        <f t="array" ref="G1838">IF(AND(Inputs!$C$60,Inputs!$C$61),INDEX(Utility_Rates!$C$29:$F$52,HOUR(C1838)+Inputs!$C$69,MATCH(INDEX(Utility_Rates!$K$6:$K$17,MONTH(C1838))&amp;IF(WEEKDAY(C1838,Inputs!$C$76)&lt;=Inputs!$C$74," weekday"," weekend"),Utility_Rates!$C$28:$F$28,Inputs!$C$68)),"")</f>
      </c>
      <c r="H1838" s="34"/>
      <c r="I1838" s="42">
        <f>IF(AND(ISNUMBER(D1838),ISNUMBER(H1838)),D1838*H1838*Inputs!$C$69,"")</f>
      </c>
      <c r="J1838" s="42">
        <f>IF(AND(ISNUMBER(F1838),ISNUMBER(H1838),F1838&gt;=Inputs!$C$68),F1838*H1838*Inputs!$C$69,"")</f>
      </c>
    </row>
    <row r="1839" spans="2:10" ht="15" customHeight="1" x14ac:dyDescent="0.2">
      <c r="B1839" s="39">
        <f t="shared" si="14"/>
      </c>
      <c r="C1839" s="40">
        <f>IF(Inputs!$C$60,Inputs!$C$11+(B1839-Inputs!$C$69)/Inputs!$C$70,"")</f>
      </c>
      <c r="D1839" s="15"/>
      <c r="E1839" s="15"/>
      <c r="F1839" s="11">
        <f t="shared" si="15"/>
      </c>
      <c r="G1839" s="22" cm="1">
        <f t="array" ref="G1839">IF(AND(Inputs!$C$60,Inputs!$C$61),INDEX(Utility_Rates!$C$29:$F$52,HOUR(C1839)+Inputs!$C$69,MATCH(INDEX(Utility_Rates!$K$6:$K$17,MONTH(C1839))&amp;IF(WEEKDAY(C1839,Inputs!$C$76)&lt;=Inputs!$C$74," weekday"," weekend"),Utility_Rates!$C$28:$F$28,Inputs!$C$68)),"")</f>
      </c>
      <c r="H1839" s="34"/>
      <c r="I1839" s="42">
        <f>IF(AND(ISNUMBER(D1839),ISNUMBER(H1839)),D1839*H1839*Inputs!$C$69,"")</f>
      </c>
      <c r="J1839" s="42">
        <f>IF(AND(ISNUMBER(F1839),ISNUMBER(H1839),F1839&gt;=Inputs!$C$68),F1839*H1839*Inputs!$C$69,"")</f>
      </c>
    </row>
    <row r="1840" spans="2:10" ht="15" customHeight="1" x14ac:dyDescent="0.2">
      <c r="B1840" s="39">
        <f t="shared" si="14"/>
      </c>
      <c r="C1840" s="40">
        <f>IF(Inputs!$C$60,Inputs!$C$11+(B1840-Inputs!$C$69)/Inputs!$C$70,"")</f>
      </c>
      <c r="D1840" s="15"/>
      <c r="E1840" s="15"/>
      <c r="F1840" s="11">
        <f t="shared" si="15"/>
      </c>
      <c r="G1840" s="22" cm="1">
        <f t="array" ref="G1840">IF(AND(Inputs!$C$60,Inputs!$C$61),INDEX(Utility_Rates!$C$29:$F$52,HOUR(C1840)+Inputs!$C$69,MATCH(INDEX(Utility_Rates!$K$6:$K$17,MONTH(C1840))&amp;IF(WEEKDAY(C1840,Inputs!$C$76)&lt;=Inputs!$C$74," weekday"," weekend"),Utility_Rates!$C$28:$F$28,Inputs!$C$68)),"")</f>
      </c>
      <c r="H1840" s="34"/>
      <c r="I1840" s="42">
        <f>IF(AND(ISNUMBER(D1840),ISNUMBER(H1840)),D1840*H1840*Inputs!$C$69,"")</f>
      </c>
      <c r="J1840" s="42">
        <f>IF(AND(ISNUMBER(F1840),ISNUMBER(H1840),F1840&gt;=Inputs!$C$68),F1840*H1840*Inputs!$C$69,"")</f>
      </c>
    </row>
    <row r="1841" spans="2:10" ht="15" customHeight="1" x14ac:dyDescent="0.2">
      <c r="B1841" s="39">
        <f t="shared" si="14"/>
      </c>
      <c r="C1841" s="40">
        <f>IF(Inputs!$C$60,Inputs!$C$11+(B1841-Inputs!$C$69)/Inputs!$C$70,"")</f>
      </c>
      <c r="D1841" s="15"/>
      <c r="E1841" s="15"/>
      <c r="F1841" s="11">
        <f t="shared" si="15"/>
      </c>
      <c r="G1841" s="22" cm="1">
        <f t="array" ref="G1841">IF(AND(Inputs!$C$60,Inputs!$C$61),INDEX(Utility_Rates!$C$29:$F$52,HOUR(C1841)+Inputs!$C$69,MATCH(INDEX(Utility_Rates!$K$6:$K$17,MONTH(C1841))&amp;IF(WEEKDAY(C1841,Inputs!$C$76)&lt;=Inputs!$C$74," weekday"," weekend"),Utility_Rates!$C$28:$F$28,Inputs!$C$68)),"")</f>
      </c>
      <c r="H1841" s="34"/>
      <c r="I1841" s="42">
        <f>IF(AND(ISNUMBER(D1841),ISNUMBER(H1841)),D1841*H1841*Inputs!$C$69,"")</f>
      </c>
      <c r="J1841" s="42">
        <f>IF(AND(ISNUMBER(F1841),ISNUMBER(H1841),F1841&gt;=Inputs!$C$68),F1841*H1841*Inputs!$C$69,"")</f>
      </c>
    </row>
    <row r="1842" spans="2:10" ht="15" customHeight="1" x14ac:dyDescent="0.2">
      <c r="B1842" s="39">
        <f t="shared" si="14"/>
      </c>
      <c r="C1842" s="40">
        <f>IF(Inputs!$C$60,Inputs!$C$11+(B1842-Inputs!$C$69)/Inputs!$C$70,"")</f>
      </c>
      <c r="D1842" s="15"/>
      <c r="E1842" s="15"/>
      <c r="F1842" s="11">
        <f t="shared" si="15"/>
      </c>
      <c r="G1842" s="22" cm="1">
        <f t="array" ref="G1842">IF(AND(Inputs!$C$60,Inputs!$C$61),INDEX(Utility_Rates!$C$29:$F$52,HOUR(C1842)+Inputs!$C$69,MATCH(INDEX(Utility_Rates!$K$6:$K$17,MONTH(C1842))&amp;IF(WEEKDAY(C1842,Inputs!$C$76)&lt;=Inputs!$C$74," weekday"," weekend"),Utility_Rates!$C$28:$F$28,Inputs!$C$68)),"")</f>
      </c>
      <c r="H1842" s="34"/>
      <c r="I1842" s="42">
        <f>IF(AND(ISNUMBER(D1842),ISNUMBER(H1842)),D1842*H1842*Inputs!$C$69,"")</f>
      </c>
      <c r="J1842" s="42">
        <f>IF(AND(ISNUMBER(F1842),ISNUMBER(H1842),F1842&gt;=Inputs!$C$68),F1842*H1842*Inputs!$C$69,"")</f>
      </c>
    </row>
    <row r="1843" spans="2:10" ht="15" customHeight="1" x14ac:dyDescent="0.2">
      <c r="B1843" s="39">
        <f t="shared" si="14"/>
      </c>
      <c r="C1843" s="40">
        <f>IF(Inputs!$C$60,Inputs!$C$11+(B1843-Inputs!$C$69)/Inputs!$C$70,"")</f>
      </c>
      <c r="D1843" s="15"/>
      <c r="E1843" s="15"/>
      <c r="F1843" s="11">
        <f t="shared" si="15"/>
      </c>
      <c r="G1843" s="22" cm="1">
        <f t="array" ref="G1843">IF(AND(Inputs!$C$60,Inputs!$C$61),INDEX(Utility_Rates!$C$29:$F$52,HOUR(C1843)+Inputs!$C$69,MATCH(INDEX(Utility_Rates!$K$6:$K$17,MONTH(C1843))&amp;IF(WEEKDAY(C1843,Inputs!$C$76)&lt;=Inputs!$C$74," weekday"," weekend"),Utility_Rates!$C$28:$F$28,Inputs!$C$68)),"")</f>
      </c>
      <c r="H1843" s="34"/>
      <c r="I1843" s="42">
        <f>IF(AND(ISNUMBER(D1843),ISNUMBER(H1843)),D1843*H1843*Inputs!$C$69,"")</f>
      </c>
      <c r="J1843" s="42">
        <f>IF(AND(ISNUMBER(F1843),ISNUMBER(H1843),F1843&gt;=Inputs!$C$68),F1843*H1843*Inputs!$C$69,"")</f>
      </c>
    </row>
    <row r="1844" spans="2:10" ht="15" customHeight="1" x14ac:dyDescent="0.2">
      <c r="B1844" s="39">
        <f t="shared" si="14"/>
      </c>
      <c r="C1844" s="40">
        <f>IF(Inputs!$C$60,Inputs!$C$11+(B1844-Inputs!$C$69)/Inputs!$C$70,"")</f>
      </c>
      <c r="D1844" s="15"/>
      <c r="E1844" s="15"/>
      <c r="F1844" s="11">
        <f t="shared" si="15"/>
      </c>
      <c r="G1844" s="22" cm="1">
        <f t="array" ref="G1844">IF(AND(Inputs!$C$60,Inputs!$C$61),INDEX(Utility_Rates!$C$29:$F$52,HOUR(C1844)+Inputs!$C$69,MATCH(INDEX(Utility_Rates!$K$6:$K$17,MONTH(C1844))&amp;IF(WEEKDAY(C1844,Inputs!$C$76)&lt;=Inputs!$C$74," weekday"," weekend"),Utility_Rates!$C$28:$F$28,Inputs!$C$68)),"")</f>
      </c>
      <c r="H1844" s="34"/>
      <c r="I1844" s="42">
        <f>IF(AND(ISNUMBER(D1844),ISNUMBER(H1844)),D1844*H1844*Inputs!$C$69,"")</f>
      </c>
      <c r="J1844" s="42">
        <f>IF(AND(ISNUMBER(F1844),ISNUMBER(H1844),F1844&gt;=Inputs!$C$68),F1844*H1844*Inputs!$C$69,"")</f>
      </c>
    </row>
    <row r="1845" spans="2:10" ht="15" customHeight="1" x14ac:dyDescent="0.2">
      <c r="B1845" s="39">
        <f t="shared" si="14"/>
      </c>
      <c r="C1845" s="40">
        <f>IF(Inputs!$C$60,Inputs!$C$11+(B1845-Inputs!$C$69)/Inputs!$C$70,"")</f>
      </c>
      <c r="D1845" s="15"/>
      <c r="E1845" s="15"/>
      <c r="F1845" s="11">
        <f t="shared" si="15"/>
      </c>
      <c r="G1845" s="22" cm="1">
        <f t="array" ref="G1845">IF(AND(Inputs!$C$60,Inputs!$C$61),INDEX(Utility_Rates!$C$29:$F$52,HOUR(C1845)+Inputs!$C$69,MATCH(INDEX(Utility_Rates!$K$6:$K$17,MONTH(C1845))&amp;IF(WEEKDAY(C1845,Inputs!$C$76)&lt;=Inputs!$C$74," weekday"," weekend"),Utility_Rates!$C$28:$F$28,Inputs!$C$68)),"")</f>
      </c>
      <c r="H1845" s="34"/>
      <c r="I1845" s="42">
        <f>IF(AND(ISNUMBER(D1845),ISNUMBER(H1845)),D1845*H1845*Inputs!$C$69,"")</f>
      </c>
      <c r="J1845" s="42">
        <f>IF(AND(ISNUMBER(F1845),ISNUMBER(H1845),F1845&gt;=Inputs!$C$68),F1845*H1845*Inputs!$C$69,"")</f>
      </c>
    </row>
    <row r="1846" spans="2:10" ht="15" customHeight="1" x14ac:dyDescent="0.2">
      <c r="B1846" s="39">
        <f t="shared" si="14"/>
      </c>
      <c r="C1846" s="40">
        <f>IF(Inputs!$C$60,Inputs!$C$11+(B1846-Inputs!$C$69)/Inputs!$C$70,"")</f>
      </c>
      <c r="D1846" s="15"/>
      <c r="E1846" s="15"/>
      <c r="F1846" s="11">
        <f t="shared" si="15"/>
      </c>
      <c r="G1846" s="22" cm="1">
        <f t="array" ref="G1846">IF(AND(Inputs!$C$60,Inputs!$C$61),INDEX(Utility_Rates!$C$29:$F$52,HOUR(C1846)+Inputs!$C$69,MATCH(INDEX(Utility_Rates!$K$6:$K$17,MONTH(C1846))&amp;IF(WEEKDAY(C1846,Inputs!$C$76)&lt;=Inputs!$C$74," weekday"," weekend"),Utility_Rates!$C$28:$F$28,Inputs!$C$68)),"")</f>
      </c>
      <c r="H1846" s="34"/>
      <c r="I1846" s="42">
        <f>IF(AND(ISNUMBER(D1846),ISNUMBER(H1846)),D1846*H1846*Inputs!$C$69,"")</f>
      </c>
      <c r="J1846" s="42">
        <f>IF(AND(ISNUMBER(F1846),ISNUMBER(H1846),F1846&gt;=Inputs!$C$68),F1846*H1846*Inputs!$C$69,"")</f>
      </c>
    </row>
    <row r="1847" spans="2:10" ht="15" customHeight="1" x14ac:dyDescent="0.2">
      <c r="B1847" s="39">
        <f t="shared" si="14"/>
      </c>
      <c r="C1847" s="40">
        <f>IF(Inputs!$C$60,Inputs!$C$11+(B1847-Inputs!$C$69)/Inputs!$C$70,"")</f>
      </c>
      <c r="D1847" s="15"/>
      <c r="E1847" s="15"/>
      <c r="F1847" s="11">
        <f t="shared" si="15"/>
      </c>
      <c r="G1847" s="22" cm="1">
        <f t="array" ref="G1847">IF(AND(Inputs!$C$60,Inputs!$C$61),INDEX(Utility_Rates!$C$29:$F$52,HOUR(C1847)+Inputs!$C$69,MATCH(INDEX(Utility_Rates!$K$6:$K$17,MONTH(C1847))&amp;IF(WEEKDAY(C1847,Inputs!$C$76)&lt;=Inputs!$C$74," weekday"," weekend"),Utility_Rates!$C$28:$F$28,Inputs!$C$68)),"")</f>
      </c>
      <c r="H1847" s="34"/>
      <c r="I1847" s="42">
        <f>IF(AND(ISNUMBER(D1847),ISNUMBER(H1847)),D1847*H1847*Inputs!$C$69,"")</f>
      </c>
      <c r="J1847" s="42">
        <f>IF(AND(ISNUMBER(F1847),ISNUMBER(H1847),F1847&gt;=Inputs!$C$68),F1847*H1847*Inputs!$C$69,"")</f>
      </c>
    </row>
    <row r="1848" spans="2:10" ht="15" customHeight="1" x14ac:dyDescent="0.2">
      <c r="B1848" s="39">
        <f t="shared" si="14"/>
      </c>
      <c r="C1848" s="40">
        <f>IF(Inputs!$C$60,Inputs!$C$11+(B1848-Inputs!$C$69)/Inputs!$C$70,"")</f>
      </c>
      <c r="D1848" s="15"/>
      <c r="E1848" s="15"/>
      <c r="F1848" s="11">
        <f t="shared" si="15"/>
      </c>
      <c r="G1848" s="22" cm="1">
        <f t="array" ref="G1848">IF(AND(Inputs!$C$60,Inputs!$C$61),INDEX(Utility_Rates!$C$29:$F$52,HOUR(C1848)+Inputs!$C$69,MATCH(INDEX(Utility_Rates!$K$6:$K$17,MONTH(C1848))&amp;IF(WEEKDAY(C1848,Inputs!$C$76)&lt;=Inputs!$C$74," weekday"," weekend"),Utility_Rates!$C$28:$F$28,Inputs!$C$68)),"")</f>
      </c>
      <c r="H1848" s="34"/>
      <c r="I1848" s="42">
        <f>IF(AND(ISNUMBER(D1848),ISNUMBER(H1848)),D1848*H1848*Inputs!$C$69,"")</f>
      </c>
      <c r="J1848" s="42">
        <f>IF(AND(ISNUMBER(F1848),ISNUMBER(H1848),F1848&gt;=Inputs!$C$68),F1848*H1848*Inputs!$C$69,"")</f>
      </c>
    </row>
    <row r="1849" spans="2:10" ht="15" customHeight="1" x14ac:dyDescent="0.2">
      <c r="B1849" s="39">
        <f t="shared" si="14"/>
      </c>
      <c r="C1849" s="40">
        <f>IF(Inputs!$C$60,Inputs!$C$11+(B1849-Inputs!$C$69)/Inputs!$C$70,"")</f>
      </c>
      <c r="D1849" s="15"/>
      <c r="E1849" s="15"/>
      <c r="F1849" s="11">
        <f t="shared" si="15"/>
      </c>
      <c r="G1849" s="22" cm="1">
        <f t="array" ref="G1849">IF(AND(Inputs!$C$60,Inputs!$C$61),INDEX(Utility_Rates!$C$29:$F$52,HOUR(C1849)+Inputs!$C$69,MATCH(INDEX(Utility_Rates!$K$6:$K$17,MONTH(C1849))&amp;IF(WEEKDAY(C1849,Inputs!$C$76)&lt;=Inputs!$C$74," weekday"," weekend"),Utility_Rates!$C$28:$F$28,Inputs!$C$68)),"")</f>
      </c>
      <c r="H1849" s="34"/>
      <c r="I1849" s="42">
        <f>IF(AND(ISNUMBER(D1849),ISNUMBER(H1849)),D1849*H1849*Inputs!$C$69,"")</f>
      </c>
      <c r="J1849" s="42">
        <f>IF(AND(ISNUMBER(F1849),ISNUMBER(H1849),F1849&gt;=Inputs!$C$68),F1849*H1849*Inputs!$C$69,"")</f>
      </c>
    </row>
    <row r="1850" spans="2:10" ht="15" customHeight="1" x14ac:dyDescent="0.2">
      <c r="B1850" s="39">
        <f t="shared" si="14"/>
      </c>
      <c r="C1850" s="40">
        <f>IF(Inputs!$C$60,Inputs!$C$11+(B1850-Inputs!$C$69)/Inputs!$C$70,"")</f>
      </c>
      <c r="D1850" s="15"/>
      <c r="E1850" s="15"/>
      <c r="F1850" s="11">
        <f t="shared" si="15"/>
      </c>
      <c r="G1850" s="22" cm="1">
        <f t="array" ref="G1850">IF(AND(Inputs!$C$60,Inputs!$C$61),INDEX(Utility_Rates!$C$29:$F$52,HOUR(C1850)+Inputs!$C$69,MATCH(INDEX(Utility_Rates!$K$6:$K$17,MONTH(C1850))&amp;IF(WEEKDAY(C1850,Inputs!$C$76)&lt;=Inputs!$C$74," weekday"," weekend"),Utility_Rates!$C$28:$F$28,Inputs!$C$68)),"")</f>
      </c>
      <c r="H1850" s="34"/>
      <c r="I1850" s="42">
        <f>IF(AND(ISNUMBER(D1850),ISNUMBER(H1850)),D1850*H1850*Inputs!$C$69,"")</f>
      </c>
      <c r="J1850" s="42">
        <f>IF(AND(ISNUMBER(F1850),ISNUMBER(H1850),F1850&gt;=Inputs!$C$68),F1850*H1850*Inputs!$C$69,"")</f>
      </c>
    </row>
    <row r="1851" spans="2:10" ht="15" customHeight="1" x14ac:dyDescent="0.2">
      <c r="B1851" s="39">
        <f t="shared" si="14"/>
      </c>
      <c r="C1851" s="40">
        <f>IF(Inputs!$C$60,Inputs!$C$11+(B1851-Inputs!$C$69)/Inputs!$C$70,"")</f>
      </c>
      <c r="D1851" s="15"/>
      <c r="E1851" s="15"/>
      <c r="F1851" s="11">
        <f t="shared" si="15"/>
      </c>
      <c r="G1851" s="22" cm="1">
        <f t="array" ref="G1851">IF(AND(Inputs!$C$60,Inputs!$C$61),INDEX(Utility_Rates!$C$29:$F$52,HOUR(C1851)+Inputs!$C$69,MATCH(INDEX(Utility_Rates!$K$6:$K$17,MONTH(C1851))&amp;IF(WEEKDAY(C1851,Inputs!$C$76)&lt;=Inputs!$C$74," weekday"," weekend"),Utility_Rates!$C$28:$F$28,Inputs!$C$68)),"")</f>
      </c>
      <c r="H1851" s="34"/>
      <c r="I1851" s="42">
        <f>IF(AND(ISNUMBER(D1851),ISNUMBER(H1851)),D1851*H1851*Inputs!$C$69,"")</f>
      </c>
      <c r="J1851" s="42">
        <f>IF(AND(ISNUMBER(F1851),ISNUMBER(H1851),F1851&gt;=Inputs!$C$68),F1851*H1851*Inputs!$C$69,"")</f>
      </c>
    </row>
    <row r="1852" spans="2:10" ht="15" customHeight="1" x14ac:dyDescent="0.2">
      <c r="B1852" s="39">
        <f t="shared" si="14"/>
      </c>
      <c r="C1852" s="40">
        <f>IF(Inputs!$C$60,Inputs!$C$11+(B1852-Inputs!$C$69)/Inputs!$C$70,"")</f>
      </c>
      <c r="D1852" s="15"/>
      <c r="E1852" s="15"/>
      <c r="F1852" s="11">
        <f t="shared" si="15"/>
      </c>
      <c r="G1852" s="22" cm="1">
        <f t="array" ref="G1852">IF(AND(Inputs!$C$60,Inputs!$C$61),INDEX(Utility_Rates!$C$29:$F$52,HOUR(C1852)+Inputs!$C$69,MATCH(INDEX(Utility_Rates!$K$6:$K$17,MONTH(C1852))&amp;IF(WEEKDAY(C1852,Inputs!$C$76)&lt;=Inputs!$C$74," weekday"," weekend"),Utility_Rates!$C$28:$F$28,Inputs!$C$68)),"")</f>
      </c>
      <c r="H1852" s="34"/>
      <c r="I1852" s="42">
        <f>IF(AND(ISNUMBER(D1852),ISNUMBER(H1852)),D1852*H1852*Inputs!$C$69,"")</f>
      </c>
      <c r="J1852" s="42">
        <f>IF(AND(ISNUMBER(F1852),ISNUMBER(H1852),F1852&gt;=Inputs!$C$68),F1852*H1852*Inputs!$C$69,"")</f>
      </c>
    </row>
    <row r="1853" spans="2:10" ht="15" customHeight="1" x14ac:dyDescent="0.2">
      <c r="B1853" s="39">
        <f t="shared" si="14"/>
      </c>
      <c r="C1853" s="40">
        <f>IF(Inputs!$C$60,Inputs!$C$11+(B1853-Inputs!$C$69)/Inputs!$C$70,"")</f>
      </c>
      <c r="D1853" s="15"/>
      <c r="E1853" s="15"/>
      <c r="F1853" s="11">
        <f t="shared" si="15"/>
      </c>
      <c r="G1853" s="22" cm="1">
        <f t="array" ref="G1853">IF(AND(Inputs!$C$60,Inputs!$C$61),INDEX(Utility_Rates!$C$29:$F$52,HOUR(C1853)+Inputs!$C$69,MATCH(INDEX(Utility_Rates!$K$6:$K$17,MONTH(C1853))&amp;IF(WEEKDAY(C1853,Inputs!$C$76)&lt;=Inputs!$C$74," weekday"," weekend"),Utility_Rates!$C$28:$F$28,Inputs!$C$68)),"")</f>
      </c>
      <c r="H1853" s="34"/>
      <c r="I1853" s="42">
        <f>IF(AND(ISNUMBER(D1853),ISNUMBER(H1853)),D1853*H1853*Inputs!$C$69,"")</f>
      </c>
      <c r="J1853" s="42">
        <f>IF(AND(ISNUMBER(F1853),ISNUMBER(H1853),F1853&gt;=Inputs!$C$68),F1853*H1853*Inputs!$C$69,"")</f>
      </c>
    </row>
    <row r="1854" spans="2:10" ht="15" customHeight="1" x14ac:dyDescent="0.2">
      <c r="B1854" s="39">
        <f t="shared" si="14"/>
      </c>
      <c r="C1854" s="40">
        <f>IF(Inputs!$C$60,Inputs!$C$11+(B1854-Inputs!$C$69)/Inputs!$C$70,"")</f>
      </c>
      <c r="D1854" s="15"/>
      <c r="E1854" s="15"/>
      <c r="F1854" s="11">
        <f t="shared" si="15"/>
      </c>
      <c r="G1854" s="22" cm="1">
        <f t="array" ref="G1854">IF(AND(Inputs!$C$60,Inputs!$C$61),INDEX(Utility_Rates!$C$29:$F$52,HOUR(C1854)+Inputs!$C$69,MATCH(INDEX(Utility_Rates!$K$6:$K$17,MONTH(C1854))&amp;IF(WEEKDAY(C1854,Inputs!$C$76)&lt;=Inputs!$C$74," weekday"," weekend"),Utility_Rates!$C$28:$F$28,Inputs!$C$68)),"")</f>
      </c>
      <c r="H1854" s="34"/>
      <c r="I1854" s="42">
        <f>IF(AND(ISNUMBER(D1854),ISNUMBER(H1854)),D1854*H1854*Inputs!$C$69,"")</f>
      </c>
      <c r="J1854" s="42">
        <f>IF(AND(ISNUMBER(F1854),ISNUMBER(H1854),F1854&gt;=Inputs!$C$68),F1854*H1854*Inputs!$C$69,"")</f>
      </c>
    </row>
    <row r="1855" spans="2:10" ht="15" customHeight="1" x14ac:dyDescent="0.2">
      <c r="B1855" s="39">
        <f t="shared" si="14"/>
      </c>
      <c r="C1855" s="40">
        <f>IF(Inputs!$C$60,Inputs!$C$11+(B1855-Inputs!$C$69)/Inputs!$C$70,"")</f>
      </c>
      <c r="D1855" s="15"/>
      <c r="E1855" s="15"/>
      <c r="F1855" s="11">
        <f t="shared" si="15"/>
      </c>
      <c r="G1855" s="22" cm="1">
        <f t="array" ref="G1855">IF(AND(Inputs!$C$60,Inputs!$C$61),INDEX(Utility_Rates!$C$29:$F$52,HOUR(C1855)+Inputs!$C$69,MATCH(INDEX(Utility_Rates!$K$6:$K$17,MONTH(C1855))&amp;IF(WEEKDAY(C1855,Inputs!$C$76)&lt;=Inputs!$C$74," weekday"," weekend"),Utility_Rates!$C$28:$F$28,Inputs!$C$68)),"")</f>
      </c>
      <c r="H1855" s="34"/>
      <c r="I1855" s="42">
        <f>IF(AND(ISNUMBER(D1855),ISNUMBER(H1855)),D1855*H1855*Inputs!$C$69,"")</f>
      </c>
      <c r="J1855" s="42">
        <f>IF(AND(ISNUMBER(F1855),ISNUMBER(H1855),F1855&gt;=Inputs!$C$68),F1855*H1855*Inputs!$C$69,"")</f>
      </c>
    </row>
    <row r="1856" spans="2:10" ht="15" customHeight="1" x14ac:dyDescent="0.2">
      <c r="B1856" s="39">
        <f t="shared" si="14"/>
      </c>
      <c r="C1856" s="40">
        <f>IF(Inputs!$C$60,Inputs!$C$11+(B1856-Inputs!$C$69)/Inputs!$C$70,"")</f>
      </c>
      <c r="D1856" s="15"/>
      <c r="E1856" s="15"/>
      <c r="F1856" s="11">
        <f t="shared" si="15"/>
      </c>
      <c r="G1856" s="22" cm="1">
        <f t="array" ref="G1856">IF(AND(Inputs!$C$60,Inputs!$C$61),INDEX(Utility_Rates!$C$29:$F$52,HOUR(C1856)+Inputs!$C$69,MATCH(INDEX(Utility_Rates!$K$6:$K$17,MONTH(C1856))&amp;IF(WEEKDAY(C1856,Inputs!$C$76)&lt;=Inputs!$C$74," weekday"," weekend"),Utility_Rates!$C$28:$F$28,Inputs!$C$68)),"")</f>
      </c>
      <c r="H1856" s="34"/>
      <c r="I1856" s="42">
        <f>IF(AND(ISNUMBER(D1856),ISNUMBER(H1856)),D1856*H1856*Inputs!$C$69,"")</f>
      </c>
      <c r="J1856" s="42">
        <f>IF(AND(ISNUMBER(F1856),ISNUMBER(H1856),F1856&gt;=Inputs!$C$68),F1856*H1856*Inputs!$C$69,"")</f>
      </c>
    </row>
    <row r="1857" spans="2:10" ht="15" customHeight="1" x14ac:dyDescent="0.2">
      <c r="B1857" s="39">
        <f t="shared" si="14"/>
      </c>
      <c r="C1857" s="40">
        <f>IF(Inputs!$C$60,Inputs!$C$11+(B1857-Inputs!$C$69)/Inputs!$C$70,"")</f>
      </c>
      <c r="D1857" s="15"/>
      <c r="E1857" s="15"/>
      <c r="F1857" s="11">
        <f t="shared" si="15"/>
      </c>
      <c r="G1857" s="22" cm="1">
        <f t="array" ref="G1857">IF(AND(Inputs!$C$60,Inputs!$C$61),INDEX(Utility_Rates!$C$29:$F$52,HOUR(C1857)+Inputs!$C$69,MATCH(INDEX(Utility_Rates!$K$6:$K$17,MONTH(C1857))&amp;IF(WEEKDAY(C1857,Inputs!$C$76)&lt;=Inputs!$C$74," weekday"," weekend"),Utility_Rates!$C$28:$F$28,Inputs!$C$68)),"")</f>
      </c>
      <c r="H1857" s="34"/>
      <c r="I1857" s="42">
        <f>IF(AND(ISNUMBER(D1857),ISNUMBER(H1857)),D1857*H1857*Inputs!$C$69,"")</f>
      </c>
      <c r="J1857" s="42">
        <f>IF(AND(ISNUMBER(F1857),ISNUMBER(H1857),F1857&gt;=Inputs!$C$68),F1857*H1857*Inputs!$C$69,"")</f>
      </c>
    </row>
    <row r="1858" spans="2:10" ht="15" customHeight="1" x14ac:dyDescent="0.2">
      <c r="B1858" s="39">
        <f t="shared" si="14"/>
      </c>
      <c r="C1858" s="40">
        <f>IF(Inputs!$C$60,Inputs!$C$11+(B1858-Inputs!$C$69)/Inputs!$C$70,"")</f>
      </c>
      <c r="D1858" s="15"/>
      <c r="E1858" s="15"/>
      <c r="F1858" s="11">
        <f t="shared" si="15"/>
      </c>
      <c r="G1858" s="22" cm="1">
        <f t="array" ref="G1858">IF(AND(Inputs!$C$60,Inputs!$C$61),INDEX(Utility_Rates!$C$29:$F$52,HOUR(C1858)+Inputs!$C$69,MATCH(INDEX(Utility_Rates!$K$6:$K$17,MONTH(C1858))&amp;IF(WEEKDAY(C1858,Inputs!$C$76)&lt;=Inputs!$C$74," weekday"," weekend"),Utility_Rates!$C$28:$F$28,Inputs!$C$68)),"")</f>
      </c>
      <c r="H1858" s="34"/>
      <c r="I1858" s="42">
        <f>IF(AND(ISNUMBER(D1858),ISNUMBER(H1858)),D1858*H1858*Inputs!$C$69,"")</f>
      </c>
      <c r="J1858" s="42">
        <f>IF(AND(ISNUMBER(F1858),ISNUMBER(H1858),F1858&gt;=Inputs!$C$68),F1858*H1858*Inputs!$C$69,"")</f>
      </c>
    </row>
    <row r="1859" spans="2:10" ht="15" customHeight="1" x14ac:dyDescent="0.2">
      <c r="B1859" s="39">
        <f t="shared" si="14"/>
      </c>
      <c r="C1859" s="40">
        <f>IF(Inputs!$C$60,Inputs!$C$11+(B1859-Inputs!$C$69)/Inputs!$C$70,"")</f>
      </c>
      <c r="D1859" s="15"/>
      <c r="E1859" s="15"/>
      <c r="F1859" s="11">
        <f t="shared" si="15"/>
      </c>
      <c r="G1859" s="22" cm="1">
        <f t="array" ref="G1859">IF(AND(Inputs!$C$60,Inputs!$C$61),INDEX(Utility_Rates!$C$29:$F$52,HOUR(C1859)+Inputs!$C$69,MATCH(INDEX(Utility_Rates!$K$6:$K$17,MONTH(C1859))&amp;IF(WEEKDAY(C1859,Inputs!$C$76)&lt;=Inputs!$C$74," weekday"," weekend"),Utility_Rates!$C$28:$F$28,Inputs!$C$68)),"")</f>
      </c>
      <c r="H1859" s="34"/>
      <c r="I1859" s="42">
        <f>IF(AND(ISNUMBER(D1859),ISNUMBER(H1859)),D1859*H1859*Inputs!$C$69,"")</f>
      </c>
      <c r="J1859" s="42">
        <f>IF(AND(ISNUMBER(F1859),ISNUMBER(H1859),F1859&gt;=Inputs!$C$68),F1859*H1859*Inputs!$C$69,"")</f>
      </c>
    </row>
    <row r="1860" spans="2:10" ht="15" customHeight="1" x14ac:dyDescent="0.2">
      <c r="B1860" s="39">
        <f t="shared" si="14"/>
      </c>
      <c r="C1860" s="40">
        <f>IF(Inputs!$C$60,Inputs!$C$11+(B1860-Inputs!$C$69)/Inputs!$C$70,"")</f>
      </c>
      <c r="D1860" s="15"/>
      <c r="E1860" s="15"/>
      <c r="F1860" s="11">
        <f t="shared" si="15"/>
      </c>
      <c r="G1860" s="22" cm="1">
        <f t="array" ref="G1860">IF(AND(Inputs!$C$60,Inputs!$C$61),INDEX(Utility_Rates!$C$29:$F$52,HOUR(C1860)+Inputs!$C$69,MATCH(INDEX(Utility_Rates!$K$6:$K$17,MONTH(C1860))&amp;IF(WEEKDAY(C1860,Inputs!$C$76)&lt;=Inputs!$C$74," weekday"," weekend"),Utility_Rates!$C$28:$F$28,Inputs!$C$68)),"")</f>
      </c>
      <c r="H1860" s="34"/>
      <c r="I1860" s="42">
        <f>IF(AND(ISNUMBER(D1860),ISNUMBER(H1860)),D1860*H1860*Inputs!$C$69,"")</f>
      </c>
      <c r="J1860" s="42">
        <f>IF(AND(ISNUMBER(F1860),ISNUMBER(H1860),F1860&gt;=Inputs!$C$68),F1860*H1860*Inputs!$C$69,"")</f>
      </c>
    </row>
    <row r="1861" spans="2:10" ht="15" customHeight="1" x14ac:dyDescent="0.2">
      <c r="B1861" s="39">
        <f t="shared" si="14"/>
      </c>
      <c r="C1861" s="40">
        <f>IF(Inputs!$C$60,Inputs!$C$11+(B1861-Inputs!$C$69)/Inputs!$C$70,"")</f>
      </c>
      <c r="D1861" s="15"/>
      <c r="E1861" s="15"/>
      <c r="F1861" s="11">
        <f t="shared" si="15"/>
      </c>
      <c r="G1861" s="22" cm="1">
        <f t="array" ref="G1861">IF(AND(Inputs!$C$60,Inputs!$C$61),INDEX(Utility_Rates!$C$29:$F$52,HOUR(C1861)+Inputs!$C$69,MATCH(INDEX(Utility_Rates!$K$6:$K$17,MONTH(C1861))&amp;IF(WEEKDAY(C1861,Inputs!$C$76)&lt;=Inputs!$C$74," weekday"," weekend"),Utility_Rates!$C$28:$F$28,Inputs!$C$68)),"")</f>
      </c>
      <c r="H1861" s="34"/>
      <c r="I1861" s="42">
        <f>IF(AND(ISNUMBER(D1861),ISNUMBER(H1861)),D1861*H1861*Inputs!$C$69,"")</f>
      </c>
      <c r="J1861" s="42">
        <f>IF(AND(ISNUMBER(F1861),ISNUMBER(H1861),F1861&gt;=Inputs!$C$68),F1861*H1861*Inputs!$C$69,"")</f>
      </c>
    </row>
    <row r="1862" spans="2:10" ht="15" customHeight="1" x14ac:dyDescent="0.2">
      <c r="B1862" s="39">
        <f t="shared" si="14"/>
      </c>
      <c r="C1862" s="40">
        <f>IF(Inputs!$C$60,Inputs!$C$11+(B1862-Inputs!$C$69)/Inputs!$C$70,"")</f>
      </c>
      <c r="D1862" s="15"/>
      <c r="E1862" s="15"/>
      <c r="F1862" s="11">
        <f t="shared" si="15"/>
      </c>
      <c r="G1862" s="22" cm="1">
        <f t="array" ref="G1862">IF(AND(Inputs!$C$60,Inputs!$C$61),INDEX(Utility_Rates!$C$29:$F$52,HOUR(C1862)+Inputs!$C$69,MATCH(INDEX(Utility_Rates!$K$6:$K$17,MONTH(C1862))&amp;IF(WEEKDAY(C1862,Inputs!$C$76)&lt;=Inputs!$C$74," weekday"," weekend"),Utility_Rates!$C$28:$F$28,Inputs!$C$68)),"")</f>
      </c>
      <c r="H1862" s="34"/>
      <c r="I1862" s="42">
        <f>IF(AND(ISNUMBER(D1862),ISNUMBER(H1862)),D1862*H1862*Inputs!$C$69,"")</f>
      </c>
      <c r="J1862" s="42">
        <f>IF(AND(ISNUMBER(F1862),ISNUMBER(H1862),F1862&gt;=Inputs!$C$68),F1862*H1862*Inputs!$C$69,"")</f>
      </c>
    </row>
    <row r="1863" spans="2:10" ht="15" customHeight="1" x14ac:dyDescent="0.2">
      <c r="B1863" s="39">
        <f t="shared" si="14"/>
      </c>
      <c r="C1863" s="40">
        <f>IF(Inputs!$C$60,Inputs!$C$11+(B1863-Inputs!$C$69)/Inputs!$C$70,"")</f>
      </c>
      <c r="D1863" s="15"/>
      <c r="E1863" s="15"/>
      <c r="F1863" s="11">
        <f t="shared" si="15"/>
      </c>
      <c r="G1863" s="22" cm="1">
        <f t="array" ref="G1863">IF(AND(Inputs!$C$60,Inputs!$C$61),INDEX(Utility_Rates!$C$29:$F$52,HOUR(C1863)+Inputs!$C$69,MATCH(INDEX(Utility_Rates!$K$6:$K$17,MONTH(C1863))&amp;IF(WEEKDAY(C1863,Inputs!$C$76)&lt;=Inputs!$C$74," weekday"," weekend"),Utility_Rates!$C$28:$F$28,Inputs!$C$68)),"")</f>
      </c>
      <c r="H1863" s="34"/>
      <c r="I1863" s="42">
        <f>IF(AND(ISNUMBER(D1863),ISNUMBER(H1863)),D1863*H1863*Inputs!$C$69,"")</f>
      </c>
      <c r="J1863" s="42">
        <f>IF(AND(ISNUMBER(F1863),ISNUMBER(H1863),F1863&gt;=Inputs!$C$68),F1863*H1863*Inputs!$C$69,"")</f>
      </c>
    </row>
    <row r="1864" spans="2:10" ht="15" customHeight="1" x14ac:dyDescent="0.2">
      <c r="B1864" s="39">
        <f t="shared" si="14"/>
      </c>
      <c r="C1864" s="40">
        <f>IF(Inputs!$C$60,Inputs!$C$11+(B1864-Inputs!$C$69)/Inputs!$C$70,"")</f>
      </c>
      <c r="D1864" s="15"/>
      <c r="E1864" s="15"/>
      <c r="F1864" s="11">
        <f t="shared" si="15"/>
      </c>
      <c r="G1864" s="22" cm="1">
        <f t="array" ref="G1864">IF(AND(Inputs!$C$60,Inputs!$C$61),INDEX(Utility_Rates!$C$29:$F$52,HOUR(C1864)+Inputs!$C$69,MATCH(INDEX(Utility_Rates!$K$6:$K$17,MONTH(C1864))&amp;IF(WEEKDAY(C1864,Inputs!$C$76)&lt;=Inputs!$C$74," weekday"," weekend"),Utility_Rates!$C$28:$F$28,Inputs!$C$68)),"")</f>
      </c>
      <c r="H1864" s="34"/>
      <c r="I1864" s="42">
        <f>IF(AND(ISNUMBER(D1864),ISNUMBER(H1864)),D1864*H1864*Inputs!$C$69,"")</f>
      </c>
      <c r="J1864" s="42">
        <f>IF(AND(ISNUMBER(F1864),ISNUMBER(H1864),F1864&gt;=Inputs!$C$68),F1864*H1864*Inputs!$C$69,"")</f>
      </c>
    </row>
    <row r="1865" spans="2:10" ht="15" customHeight="1" x14ac:dyDescent="0.2">
      <c r="B1865" s="39">
        <f t="shared" si="14"/>
      </c>
      <c r="C1865" s="40">
        <f>IF(Inputs!$C$60,Inputs!$C$11+(B1865-Inputs!$C$69)/Inputs!$C$70,"")</f>
      </c>
      <c r="D1865" s="15"/>
      <c r="E1865" s="15"/>
      <c r="F1865" s="11">
        <f t="shared" si="15"/>
      </c>
      <c r="G1865" s="22" cm="1">
        <f t="array" ref="G1865">IF(AND(Inputs!$C$60,Inputs!$C$61),INDEX(Utility_Rates!$C$29:$F$52,HOUR(C1865)+Inputs!$C$69,MATCH(INDEX(Utility_Rates!$K$6:$K$17,MONTH(C1865))&amp;IF(WEEKDAY(C1865,Inputs!$C$76)&lt;=Inputs!$C$74," weekday"," weekend"),Utility_Rates!$C$28:$F$28,Inputs!$C$68)),"")</f>
      </c>
      <c r="H1865" s="34"/>
      <c r="I1865" s="42">
        <f>IF(AND(ISNUMBER(D1865),ISNUMBER(H1865)),D1865*H1865*Inputs!$C$69,"")</f>
      </c>
      <c r="J1865" s="42">
        <f>IF(AND(ISNUMBER(F1865),ISNUMBER(H1865),F1865&gt;=Inputs!$C$68),F1865*H1865*Inputs!$C$69,"")</f>
      </c>
    </row>
    <row r="1866" spans="2:10" ht="15" customHeight="1" x14ac:dyDescent="0.2">
      <c r="B1866" s="39">
        <f t="shared" si="14"/>
      </c>
      <c r="C1866" s="40">
        <f>IF(Inputs!$C$60,Inputs!$C$11+(B1866-Inputs!$C$69)/Inputs!$C$70,"")</f>
      </c>
      <c r="D1866" s="15"/>
      <c r="E1866" s="15"/>
      <c r="F1866" s="11">
        <f t="shared" si="15"/>
      </c>
      <c r="G1866" s="22" cm="1">
        <f t="array" ref="G1866">IF(AND(Inputs!$C$60,Inputs!$C$61),INDEX(Utility_Rates!$C$29:$F$52,HOUR(C1866)+Inputs!$C$69,MATCH(INDEX(Utility_Rates!$K$6:$K$17,MONTH(C1866))&amp;IF(WEEKDAY(C1866,Inputs!$C$76)&lt;=Inputs!$C$74," weekday"," weekend"),Utility_Rates!$C$28:$F$28,Inputs!$C$68)),"")</f>
      </c>
      <c r="H1866" s="34"/>
      <c r="I1866" s="42">
        <f>IF(AND(ISNUMBER(D1866),ISNUMBER(H1866)),D1866*H1866*Inputs!$C$69,"")</f>
      </c>
      <c r="J1866" s="42">
        <f>IF(AND(ISNUMBER(F1866),ISNUMBER(H1866),F1866&gt;=Inputs!$C$68),F1866*H1866*Inputs!$C$69,"")</f>
      </c>
    </row>
    <row r="1867" spans="2:10" ht="15" customHeight="1" x14ac:dyDescent="0.2">
      <c r="B1867" s="39">
        <f t="shared" si="14"/>
      </c>
      <c r="C1867" s="40">
        <f>IF(Inputs!$C$60,Inputs!$C$11+(B1867-Inputs!$C$69)/Inputs!$C$70,"")</f>
      </c>
      <c r="D1867" s="15"/>
      <c r="E1867" s="15"/>
      <c r="F1867" s="11">
        <f t="shared" si="15"/>
      </c>
      <c r="G1867" s="22" cm="1">
        <f t="array" ref="G1867">IF(AND(Inputs!$C$60,Inputs!$C$61),INDEX(Utility_Rates!$C$29:$F$52,HOUR(C1867)+Inputs!$C$69,MATCH(INDEX(Utility_Rates!$K$6:$K$17,MONTH(C1867))&amp;IF(WEEKDAY(C1867,Inputs!$C$76)&lt;=Inputs!$C$74," weekday"," weekend"),Utility_Rates!$C$28:$F$28,Inputs!$C$68)),"")</f>
      </c>
      <c r="H1867" s="34"/>
      <c r="I1867" s="42">
        <f>IF(AND(ISNUMBER(D1867),ISNUMBER(H1867)),D1867*H1867*Inputs!$C$69,"")</f>
      </c>
      <c r="J1867" s="42">
        <f>IF(AND(ISNUMBER(F1867),ISNUMBER(H1867),F1867&gt;=Inputs!$C$68),F1867*H1867*Inputs!$C$69,"")</f>
      </c>
    </row>
    <row r="1868" spans="2:10" ht="15" customHeight="1" x14ac:dyDescent="0.2">
      <c r="B1868" s="39">
        <f t="shared" si="14"/>
      </c>
      <c r="C1868" s="40">
        <f>IF(Inputs!$C$60,Inputs!$C$11+(B1868-Inputs!$C$69)/Inputs!$C$70,"")</f>
      </c>
      <c r="D1868" s="15"/>
      <c r="E1868" s="15"/>
      <c r="F1868" s="11">
        <f t="shared" si="15"/>
      </c>
      <c r="G1868" s="22" cm="1">
        <f t="array" ref="G1868">IF(AND(Inputs!$C$60,Inputs!$C$61),INDEX(Utility_Rates!$C$29:$F$52,HOUR(C1868)+Inputs!$C$69,MATCH(INDEX(Utility_Rates!$K$6:$K$17,MONTH(C1868))&amp;IF(WEEKDAY(C1868,Inputs!$C$76)&lt;=Inputs!$C$74," weekday"," weekend"),Utility_Rates!$C$28:$F$28,Inputs!$C$68)),"")</f>
      </c>
      <c r="H1868" s="34"/>
      <c r="I1868" s="42">
        <f>IF(AND(ISNUMBER(D1868),ISNUMBER(H1868)),D1868*H1868*Inputs!$C$69,"")</f>
      </c>
      <c r="J1868" s="42">
        <f>IF(AND(ISNUMBER(F1868),ISNUMBER(H1868),F1868&gt;=Inputs!$C$68),F1868*H1868*Inputs!$C$69,"")</f>
      </c>
    </row>
    <row r="1869" spans="2:10" ht="15" customHeight="1" x14ac:dyDescent="0.2">
      <c r="B1869" s="39">
        <f t="shared" si="14"/>
      </c>
      <c r="C1869" s="40">
        <f>IF(Inputs!$C$60,Inputs!$C$11+(B1869-Inputs!$C$69)/Inputs!$C$70,"")</f>
      </c>
      <c r="D1869" s="15"/>
      <c r="E1869" s="15"/>
      <c r="F1869" s="11">
        <f t="shared" si="15"/>
      </c>
      <c r="G1869" s="22" cm="1">
        <f t="array" ref="G1869">IF(AND(Inputs!$C$60,Inputs!$C$61),INDEX(Utility_Rates!$C$29:$F$52,HOUR(C1869)+Inputs!$C$69,MATCH(INDEX(Utility_Rates!$K$6:$K$17,MONTH(C1869))&amp;IF(WEEKDAY(C1869,Inputs!$C$76)&lt;=Inputs!$C$74," weekday"," weekend"),Utility_Rates!$C$28:$F$28,Inputs!$C$68)),"")</f>
      </c>
      <c r="H1869" s="34"/>
      <c r="I1869" s="42">
        <f>IF(AND(ISNUMBER(D1869),ISNUMBER(H1869)),D1869*H1869*Inputs!$C$69,"")</f>
      </c>
      <c r="J1869" s="42">
        <f>IF(AND(ISNUMBER(F1869),ISNUMBER(H1869),F1869&gt;=Inputs!$C$68),F1869*H1869*Inputs!$C$69,"")</f>
      </c>
    </row>
    <row r="1870" spans="2:10" ht="15" customHeight="1" x14ac:dyDescent="0.2">
      <c r="B1870" s="39">
        <f t="shared" si="14"/>
      </c>
      <c r="C1870" s="40">
        <f>IF(Inputs!$C$60,Inputs!$C$11+(B1870-Inputs!$C$69)/Inputs!$C$70,"")</f>
      </c>
      <c r="D1870" s="15"/>
      <c r="E1870" s="15"/>
      <c r="F1870" s="11">
        <f t="shared" si="15"/>
      </c>
      <c r="G1870" s="22" cm="1">
        <f t="array" ref="G1870">IF(AND(Inputs!$C$60,Inputs!$C$61),INDEX(Utility_Rates!$C$29:$F$52,HOUR(C1870)+Inputs!$C$69,MATCH(INDEX(Utility_Rates!$K$6:$K$17,MONTH(C1870))&amp;IF(WEEKDAY(C1870,Inputs!$C$76)&lt;=Inputs!$C$74," weekday"," weekend"),Utility_Rates!$C$28:$F$28,Inputs!$C$68)),"")</f>
      </c>
      <c r="H1870" s="34"/>
      <c r="I1870" s="42">
        <f>IF(AND(ISNUMBER(D1870),ISNUMBER(H1870)),D1870*H1870*Inputs!$C$69,"")</f>
      </c>
      <c r="J1870" s="42">
        <f>IF(AND(ISNUMBER(F1870),ISNUMBER(H1870),F1870&gt;=Inputs!$C$68),F1870*H1870*Inputs!$C$69,"")</f>
      </c>
    </row>
    <row r="1871" spans="2:10" ht="15" customHeight="1" x14ac:dyDescent="0.2">
      <c r="B1871" s="39">
        <f t="shared" si="14"/>
      </c>
      <c r="C1871" s="40">
        <f>IF(Inputs!$C$60,Inputs!$C$11+(B1871-Inputs!$C$69)/Inputs!$C$70,"")</f>
      </c>
      <c r="D1871" s="15"/>
      <c r="E1871" s="15"/>
      <c r="F1871" s="11">
        <f t="shared" si="15"/>
      </c>
      <c r="G1871" s="22" cm="1">
        <f t="array" ref="G1871">IF(AND(Inputs!$C$60,Inputs!$C$61),INDEX(Utility_Rates!$C$29:$F$52,HOUR(C1871)+Inputs!$C$69,MATCH(INDEX(Utility_Rates!$K$6:$K$17,MONTH(C1871))&amp;IF(WEEKDAY(C1871,Inputs!$C$76)&lt;=Inputs!$C$74," weekday"," weekend"),Utility_Rates!$C$28:$F$28,Inputs!$C$68)),"")</f>
      </c>
      <c r="H1871" s="34"/>
      <c r="I1871" s="42">
        <f>IF(AND(ISNUMBER(D1871),ISNUMBER(H1871)),D1871*H1871*Inputs!$C$69,"")</f>
      </c>
      <c r="J1871" s="42">
        <f>IF(AND(ISNUMBER(F1871),ISNUMBER(H1871),F1871&gt;=Inputs!$C$68),F1871*H1871*Inputs!$C$69,"")</f>
      </c>
    </row>
    <row r="1872" spans="2:10" ht="15" customHeight="1" x14ac:dyDescent="0.2">
      <c r="B1872" s="39">
        <f t="shared" si="14"/>
      </c>
      <c r="C1872" s="40">
        <f>IF(Inputs!$C$60,Inputs!$C$11+(B1872-Inputs!$C$69)/Inputs!$C$70,"")</f>
      </c>
      <c r="D1872" s="15"/>
      <c r="E1872" s="15"/>
      <c r="F1872" s="11">
        <f t="shared" si="15"/>
      </c>
      <c r="G1872" s="22" cm="1">
        <f t="array" ref="G1872">IF(AND(Inputs!$C$60,Inputs!$C$61),INDEX(Utility_Rates!$C$29:$F$52,HOUR(C1872)+Inputs!$C$69,MATCH(INDEX(Utility_Rates!$K$6:$K$17,MONTH(C1872))&amp;IF(WEEKDAY(C1872,Inputs!$C$76)&lt;=Inputs!$C$74," weekday"," weekend"),Utility_Rates!$C$28:$F$28,Inputs!$C$68)),"")</f>
      </c>
      <c r="H1872" s="34"/>
      <c r="I1872" s="42">
        <f>IF(AND(ISNUMBER(D1872),ISNUMBER(H1872)),D1872*H1872*Inputs!$C$69,"")</f>
      </c>
      <c r="J1872" s="42">
        <f>IF(AND(ISNUMBER(F1872),ISNUMBER(H1872),F1872&gt;=Inputs!$C$68),F1872*H1872*Inputs!$C$69,"")</f>
      </c>
    </row>
    <row r="1873" spans="2:10" ht="15" customHeight="1" x14ac:dyDescent="0.2">
      <c r="B1873" s="39">
        <f t="shared" si="14"/>
      </c>
      <c r="C1873" s="40">
        <f>IF(Inputs!$C$60,Inputs!$C$11+(B1873-Inputs!$C$69)/Inputs!$C$70,"")</f>
      </c>
      <c r="D1873" s="15"/>
      <c r="E1873" s="15"/>
      <c r="F1873" s="11">
        <f t="shared" si="15"/>
      </c>
      <c r="G1873" s="22" cm="1">
        <f t="array" ref="G1873">IF(AND(Inputs!$C$60,Inputs!$C$61),INDEX(Utility_Rates!$C$29:$F$52,HOUR(C1873)+Inputs!$C$69,MATCH(INDEX(Utility_Rates!$K$6:$K$17,MONTH(C1873))&amp;IF(WEEKDAY(C1873,Inputs!$C$76)&lt;=Inputs!$C$74," weekday"," weekend"),Utility_Rates!$C$28:$F$28,Inputs!$C$68)),"")</f>
      </c>
      <c r="H1873" s="34"/>
      <c r="I1873" s="42">
        <f>IF(AND(ISNUMBER(D1873),ISNUMBER(H1873)),D1873*H1873*Inputs!$C$69,"")</f>
      </c>
      <c r="J1873" s="42">
        <f>IF(AND(ISNUMBER(F1873),ISNUMBER(H1873),F1873&gt;=Inputs!$C$68),F1873*H1873*Inputs!$C$69,"")</f>
      </c>
    </row>
    <row r="1874" spans="2:10" ht="15" customHeight="1" x14ac:dyDescent="0.2">
      <c r="B1874" s="39">
        <f t="shared" si="14"/>
      </c>
      <c r="C1874" s="40">
        <f>IF(Inputs!$C$60,Inputs!$C$11+(B1874-Inputs!$C$69)/Inputs!$C$70,"")</f>
      </c>
      <c r="D1874" s="15"/>
      <c r="E1874" s="15"/>
      <c r="F1874" s="11">
        <f t="shared" si="15"/>
      </c>
      <c r="G1874" s="22" cm="1">
        <f t="array" ref="G1874">IF(AND(Inputs!$C$60,Inputs!$C$61),INDEX(Utility_Rates!$C$29:$F$52,HOUR(C1874)+Inputs!$C$69,MATCH(INDEX(Utility_Rates!$K$6:$K$17,MONTH(C1874))&amp;IF(WEEKDAY(C1874,Inputs!$C$76)&lt;=Inputs!$C$74," weekday"," weekend"),Utility_Rates!$C$28:$F$28,Inputs!$C$68)),"")</f>
      </c>
      <c r="H1874" s="34"/>
      <c r="I1874" s="42">
        <f>IF(AND(ISNUMBER(D1874),ISNUMBER(H1874)),D1874*H1874*Inputs!$C$69,"")</f>
      </c>
      <c r="J1874" s="42">
        <f>IF(AND(ISNUMBER(F1874),ISNUMBER(H1874),F1874&gt;=Inputs!$C$68),F1874*H1874*Inputs!$C$69,"")</f>
      </c>
    </row>
    <row r="1875" spans="2:10" ht="15" customHeight="1" x14ac:dyDescent="0.2">
      <c r="B1875" s="39">
        <f t="shared" si="14"/>
      </c>
      <c r="C1875" s="40">
        <f>IF(Inputs!$C$60,Inputs!$C$11+(B1875-Inputs!$C$69)/Inputs!$C$70,"")</f>
      </c>
      <c r="D1875" s="15"/>
      <c r="E1875" s="15"/>
      <c r="F1875" s="11">
        <f t="shared" si="15"/>
      </c>
      <c r="G1875" s="22" cm="1">
        <f t="array" ref="G1875">IF(AND(Inputs!$C$60,Inputs!$C$61),INDEX(Utility_Rates!$C$29:$F$52,HOUR(C1875)+Inputs!$C$69,MATCH(INDEX(Utility_Rates!$K$6:$K$17,MONTH(C1875))&amp;IF(WEEKDAY(C1875,Inputs!$C$76)&lt;=Inputs!$C$74," weekday"," weekend"),Utility_Rates!$C$28:$F$28,Inputs!$C$68)),"")</f>
      </c>
      <c r="H1875" s="34"/>
      <c r="I1875" s="42">
        <f>IF(AND(ISNUMBER(D1875),ISNUMBER(H1875)),D1875*H1875*Inputs!$C$69,"")</f>
      </c>
      <c r="J1875" s="42">
        <f>IF(AND(ISNUMBER(F1875),ISNUMBER(H1875),F1875&gt;=Inputs!$C$68),F1875*H1875*Inputs!$C$69,"")</f>
      </c>
    </row>
    <row r="1876" spans="2:10" ht="15" customHeight="1" x14ac:dyDescent="0.2">
      <c r="B1876" s="39">
        <f t="shared" si="14"/>
      </c>
      <c r="C1876" s="40">
        <f>IF(Inputs!$C$60,Inputs!$C$11+(B1876-Inputs!$C$69)/Inputs!$C$70,"")</f>
      </c>
      <c r="D1876" s="15"/>
      <c r="E1876" s="15"/>
      <c r="F1876" s="11">
        <f t="shared" si="15"/>
      </c>
      <c r="G1876" s="22" cm="1">
        <f t="array" ref="G1876">IF(AND(Inputs!$C$60,Inputs!$C$61),INDEX(Utility_Rates!$C$29:$F$52,HOUR(C1876)+Inputs!$C$69,MATCH(INDEX(Utility_Rates!$K$6:$K$17,MONTH(C1876))&amp;IF(WEEKDAY(C1876,Inputs!$C$76)&lt;=Inputs!$C$74," weekday"," weekend"),Utility_Rates!$C$28:$F$28,Inputs!$C$68)),"")</f>
      </c>
      <c r="H1876" s="34"/>
      <c r="I1876" s="42">
        <f>IF(AND(ISNUMBER(D1876),ISNUMBER(H1876)),D1876*H1876*Inputs!$C$69,"")</f>
      </c>
      <c r="J1876" s="42">
        <f>IF(AND(ISNUMBER(F1876),ISNUMBER(H1876),F1876&gt;=Inputs!$C$68),F1876*H1876*Inputs!$C$69,"")</f>
      </c>
    </row>
    <row r="1877" spans="2:10" ht="15" customHeight="1" x14ac:dyDescent="0.2">
      <c r="B1877" s="39">
        <f t="shared" si="14"/>
      </c>
      <c r="C1877" s="40">
        <f>IF(Inputs!$C$60,Inputs!$C$11+(B1877-Inputs!$C$69)/Inputs!$C$70,"")</f>
      </c>
      <c r="D1877" s="15"/>
      <c r="E1877" s="15"/>
      <c r="F1877" s="11">
        <f t="shared" si="15"/>
      </c>
      <c r="G1877" s="22" cm="1">
        <f t="array" ref="G1877">IF(AND(Inputs!$C$60,Inputs!$C$61),INDEX(Utility_Rates!$C$29:$F$52,HOUR(C1877)+Inputs!$C$69,MATCH(INDEX(Utility_Rates!$K$6:$K$17,MONTH(C1877))&amp;IF(WEEKDAY(C1877,Inputs!$C$76)&lt;=Inputs!$C$74," weekday"," weekend"),Utility_Rates!$C$28:$F$28,Inputs!$C$68)),"")</f>
      </c>
      <c r="H1877" s="34"/>
      <c r="I1877" s="42">
        <f>IF(AND(ISNUMBER(D1877),ISNUMBER(H1877)),D1877*H1877*Inputs!$C$69,"")</f>
      </c>
      <c r="J1877" s="42">
        <f>IF(AND(ISNUMBER(F1877),ISNUMBER(H1877),F1877&gt;=Inputs!$C$68),F1877*H1877*Inputs!$C$69,"")</f>
      </c>
    </row>
    <row r="1878" spans="2:10" ht="15" customHeight="1" x14ac:dyDescent="0.2">
      <c r="B1878" s="39">
        <f t="shared" si="14"/>
      </c>
      <c r="C1878" s="40">
        <f>IF(Inputs!$C$60,Inputs!$C$11+(B1878-Inputs!$C$69)/Inputs!$C$70,"")</f>
      </c>
      <c r="D1878" s="15"/>
      <c r="E1878" s="15"/>
      <c r="F1878" s="11">
        <f t="shared" si="15"/>
      </c>
      <c r="G1878" s="22" cm="1">
        <f t="array" ref="G1878">IF(AND(Inputs!$C$60,Inputs!$C$61),INDEX(Utility_Rates!$C$29:$F$52,HOUR(C1878)+Inputs!$C$69,MATCH(INDEX(Utility_Rates!$K$6:$K$17,MONTH(C1878))&amp;IF(WEEKDAY(C1878,Inputs!$C$76)&lt;=Inputs!$C$74," weekday"," weekend"),Utility_Rates!$C$28:$F$28,Inputs!$C$68)),"")</f>
      </c>
      <c r="H1878" s="34"/>
      <c r="I1878" s="42">
        <f>IF(AND(ISNUMBER(D1878),ISNUMBER(H1878)),D1878*H1878*Inputs!$C$69,"")</f>
      </c>
      <c r="J1878" s="42">
        <f>IF(AND(ISNUMBER(F1878),ISNUMBER(H1878),F1878&gt;=Inputs!$C$68),F1878*H1878*Inputs!$C$69,"")</f>
      </c>
    </row>
    <row r="1879" spans="2:10" ht="15" customHeight="1" x14ac:dyDescent="0.2">
      <c r="B1879" s="39">
        <f t="shared" si="14"/>
      </c>
      <c r="C1879" s="40">
        <f>IF(Inputs!$C$60,Inputs!$C$11+(B1879-Inputs!$C$69)/Inputs!$C$70,"")</f>
      </c>
      <c r="D1879" s="15"/>
      <c r="E1879" s="15"/>
      <c r="F1879" s="11">
        <f t="shared" si="15"/>
      </c>
      <c r="G1879" s="22" cm="1">
        <f t="array" ref="G1879">IF(AND(Inputs!$C$60,Inputs!$C$61),INDEX(Utility_Rates!$C$29:$F$52,HOUR(C1879)+Inputs!$C$69,MATCH(INDEX(Utility_Rates!$K$6:$K$17,MONTH(C1879))&amp;IF(WEEKDAY(C1879,Inputs!$C$76)&lt;=Inputs!$C$74," weekday"," weekend"),Utility_Rates!$C$28:$F$28,Inputs!$C$68)),"")</f>
      </c>
      <c r="H1879" s="34"/>
      <c r="I1879" s="42">
        <f>IF(AND(ISNUMBER(D1879),ISNUMBER(H1879)),D1879*H1879*Inputs!$C$69,"")</f>
      </c>
      <c r="J1879" s="42">
        <f>IF(AND(ISNUMBER(F1879),ISNUMBER(H1879),F1879&gt;=Inputs!$C$68),F1879*H1879*Inputs!$C$69,"")</f>
      </c>
    </row>
    <row r="1880" spans="2:10" ht="15" customHeight="1" x14ac:dyDescent="0.2">
      <c r="B1880" s="39">
        <f t="shared" si="14"/>
      </c>
      <c r="C1880" s="40">
        <f>IF(Inputs!$C$60,Inputs!$C$11+(B1880-Inputs!$C$69)/Inputs!$C$70,"")</f>
      </c>
      <c r="D1880" s="15"/>
      <c r="E1880" s="15"/>
      <c r="F1880" s="11">
        <f t="shared" si="15"/>
      </c>
      <c r="G1880" s="22" cm="1">
        <f t="array" ref="G1880">IF(AND(Inputs!$C$60,Inputs!$C$61),INDEX(Utility_Rates!$C$29:$F$52,HOUR(C1880)+Inputs!$C$69,MATCH(INDEX(Utility_Rates!$K$6:$K$17,MONTH(C1880))&amp;IF(WEEKDAY(C1880,Inputs!$C$76)&lt;=Inputs!$C$74," weekday"," weekend"),Utility_Rates!$C$28:$F$28,Inputs!$C$68)),"")</f>
      </c>
      <c r="H1880" s="34"/>
      <c r="I1880" s="42">
        <f>IF(AND(ISNUMBER(D1880),ISNUMBER(H1880)),D1880*H1880*Inputs!$C$69,"")</f>
      </c>
      <c r="J1880" s="42">
        <f>IF(AND(ISNUMBER(F1880),ISNUMBER(H1880),F1880&gt;=Inputs!$C$68),F1880*H1880*Inputs!$C$69,"")</f>
      </c>
    </row>
    <row r="1881" spans="2:10" ht="15" customHeight="1" x14ac:dyDescent="0.2">
      <c r="B1881" s="39">
        <f t="shared" si="14"/>
      </c>
      <c r="C1881" s="40">
        <f>IF(Inputs!$C$60,Inputs!$C$11+(B1881-Inputs!$C$69)/Inputs!$C$70,"")</f>
      </c>
      <c r="D1881" s="15"/>
      <c r="E1881" s="15"/>
      <c r="F1881" s="11">
        <f t="shared" si="15"/>
      </c>
      <c r="G1881" s="22" cm="1">
        <f t="array" ref="G1881">IF(AND(Inputs!$C$60,Inputs!$C$61),INDEX(Utility_Rates!$C$29:$F$52,HOUR(C1881)+Inputs!$C$69,MATCH(INDEX(Utility_Rates!$K$6:$K$17,MONTH(C1881))&amp;IF(WEEKDAY(C1881,Inputs!$C$76)&lt;=Inputs!$C$74," weekday"," weekend"),Utility_Rates!$C$28:$F$28,Inputs!$C$68)),"")</f>
      </c>
      <c r="H1881" s="34"/>
      <c r="I1881" s="42">
        <f>IF(AND(ISNUMBER(D1881),ISNUMBER(H1881)),D1881*H1881*Inputs!$C$69,"")</f>
      </c>
      <c r="J1881" s="42">
        <f>IF(AND(ISNUMBER(F1881),ISNUMBER(H1881),F1881&gt;=Inputs!$C$68),F1881*H1881*Inputs!$C$69,"")</f>
      </c>
    </row>
    <row r="1882" spans="2:10" ht="15" customHeight="1" x14ac:dyDescent="0.2">
      <c r="B1882" s="39">
        <f t="shared" si="14"/>
      </c>
      <c r="C1882" s="40">
        <f>IF(Inputs!$C$60,Inputs!$C$11+(B1882-Inputs!$C$69)/Inputs!$C$70,"")</f>
      </c>
      <c r="D1882" s="15"/>
      <c r="E1882" s="15"/>
      <c r="F1882" s="11">
        <f t="shared" si="15"/>
      </c>
      <c r="G1882" s="22" cm="1">
        <f t="array" ref="G1882">IF(AND(Inputs!$C$60,Inputs!$C$61),INDEX(Utility_Rates!$C$29:$F$52,HOUR(C1882)+Inputs!$C$69,MATCH(INDEX(Utility_Rates!$K$6:$K$17,MONTH(C1882))&amp;IF(WEEKDAY(C1882,Inputs!$C$76)&lt;=Inputs!$C$74," weekday"," weekend"),Utility_Rates!$C$28:$F$28,Inputs!$C$68)),"")</f>
      </c>
      <c r="H1882" s="34"/>
      <c r="I1882" s="42">
        <f>IF(AND(ISNUMBER(D1882),ISNUMBER(H1882)),D1882*H1882*Inputs!$C$69,"")</f>
      </c>
      <c r="J1882" s="42">
        <f>IF(AND(ISNUMBER(F1882),ISNUMBER(H1882),F1882&gt;=Inputs!$C$68),F1882*H1882*Inputs!$C$69,"")</f>
      </c>
    </row>
    <row r="1883" spans="2:10" ht="15" customHeight="1" x14ac:dyDescent="0.2">
      <c r="B1883" s="39">
        <f t="shared" si="14"/>
      </c>
      <c r="C1883" s="40">
        <f>IF(Inputs!$C$60,Inputs!$C$11+(B1883-Inputs!$C$69)/Inputs!$C$70,"")</f>
      </c>
      <c r="D1883" s="15"/>
      <c r="E1883" s="15"/>
      <c r="F1883" s="11">
        <f t="shared" si="15"/>
      </c>
      <c r="G1883" s="22" cm="1">
        <f t="array" ref="G1883">IF(AND(Inputs!$C$60,Inputs!$C$61),INDEX(Utility_Rates!$C$29:$F$52,HOUR(C1883)+Inputs!$C$69,MATCH(INDEX(Utility_Rates!$K$6:$K$17,MONTH(C1883))&amp;IF(WEEKDAY(C1883,Inputs!$C$76)&lt;=Inputs!$C$74," weekday"," weekend"),Utility_Rates!$C$28:$F$28,Inputs!$C$68)),"")</f>
      </c>
      <c r="H1883" s="34"/>
      <c r="I1883" s="42">
        <f>IF(AND(ISNUMBER(D1883),ISNUMBER(H1883)),D1883*H1883*Inputs!$C$69,"")</f>
      </c>
      <c r="J1883" s="42">
        <f>IF(AND(ISNUMBER(F1883),ISNUMBER(H1883),F1883&gt;=Inputs!$C$68),F1883*H1883*Inputs!$C$69,"")</f>
      </c>
    </row>
    <row r="1884" spans="2:10" ht="15" customHeight="1" x14ac:dyDescent="0.2">
      <c r="B1884" s="39">
        <f t="shared" si="14"/>
      </c>
      <c r="C1884" s="40">
        <f>IF(Inputs!$C$60,Inputs!$C$11+(B1884-Inputs!$C$69)/Inputs!$C$70,"")</f>
      </c>
      <c r="D1884" s="15"/>
      <c r="E1884" s="15"/>
      <c r="F1884" s="11">
        <f t="shared" si="15"/>
      </c>
      <c r="G1884" s="22" cm="1">
        <f t="array" ref="G1884">IF(AND(Inputs!$C$60,Inputs!$C$61),INDEX(Utility_Rates!$C$29:$F$52,HOUR(C1884)+Inputs!$C$69,MATCH(INDEX(Utility_Rates!$K$6:$K$17,MONTH(C1884))&amp;IF(WEEKDAY(C1884,Inputs!$C$76)&lt;=Inputs!$C$74," weekday"," weekend"),Utility_Rates!$C$28:$F$28,Inputs!$C$68)),"")</f>
      </c>
      <c r="H1884" s="34"/>
      <c r="I1884" s="42">
        <f>IF(AND(ISNUMBER(D1884),ISNUMBER(H1884)),D1884*H1884*Inputs!$C$69,"")</f>
      </c>
      <c r="J1884" s="42">
        <f>IF(AND(ISNUMBER(F1884),ISNUMBER(H1884),F1884&gt;=Inputs!$C$68),F1884*H1884*Inputs!$C$69,"")</f>
      </c>
    </row>
    <row r="1885" spans="2:10" ht="15" customHeight="1" x14ac:dyDescent="0.2">
      <c r="B1885" s="39">
        <f t="shared" si="14"/>
      </c>
      <c r="C1885" s="40">
        <f>IF(Inputs!$C$60,Inputs!$C$11+(B1885-Inputs!$C$69)/Inputs!$C$70,"")</f>
      </c>
      <c r="D1885" s="15"/>
      <c r="E1885" s="15"/>
      <c r="F1885" s="11">
        <f t="shared" si="15"/>
      </c>
      <c r="G1885" s="22" cm="1">
        <f t="array" ref="G1885">IF(AND(Inputs!$C$60,Inputs!$C$61),INDEX(Utility_Rates!$C$29:$F$52,HOUR(C1885)+Inputs!$C$69,MATCH(INDEX(Utility_Rates!$K$6:$K$17,MONTH(C1885))&amp;IF(WEEKDAY(C1885,Inputs!$C$76)&lt;=Inputs!$C$74," weekday"," weekend"),Utility_Rates!$C$28:$F$28,Inputs!$C$68)),"")</f>
      </c>
      <c r="H1885" s="34"/>
      <c r="I1885" s="42">
        <f>IF(AND(ISNUMBER(D1885),ISNUMBER(H1885)),D1885*H1885*Inputs!$C$69,"")</f>
      </c>
      <c r="J1885" s="42">
        <f>IF(AND(ISNUMBER(F1885),ISNUMBER(H1885),F1885&gt;=Inputs!$C$68),F1885*H1885*Inputs!$C$69,"")</f>
      </c>
    </row>
    <row r="1886" spans="2:10" ht="15" customHeight="1" x14ac:dyDescent="0.2">
      <c r="B1886" s="39">
        <f t="shared" si="14"/>
      </c>
      <c r="C1886" s="40">
        <f>IF(Inputs!$C$60,Inputs!$C$11+(B1886-Inputs!$C$69)/Inputs!$C$70,"")</f>
      </c>
      <c r="D1886" s="15"/>
      <c r="E1886" s="15"/>
      <c r="F1886" s="11">
        <f t="shared" si="15"/>
      </c>
      <c r="G1886" s="22" cm="1">
        <f t="array" ref="G1886">IF(AND(Inputs!$C$60,Inputs!$C$61),INDEX(Utility_Rates!$C$29:$F$52,HOUR(C1886)+Inputs!$C$69,MATCH(INDEX(Utility_Rates!$K$6:$K$17,MONTH(C1886))&amp;IF(WEEKDAY(C1886,Inputs!$C$76)&lt;=Inputs!$C$74," weekday"," weekend"),Utility_Rates!$C$28:$F$28,Inputs!$C$68)),"")</f>
      </c>
      <c r="H1886" s="34"/>
      <c r="I1886" s="42">
        <f>IF(AND(ISNUMBER(D1886),ISNUMBER(H1886)),D1886*H1886*Inputs!$C$69,"")</f>
      </c>
      <c r="J1886" s="42">
        <f>IF(AND(ISNUMBER(F1886),ISNUMBER(H1886),F1886&gt;=Inputs!$C$68),F1886*H1886*Inputs!$C$69,"")</f>
      </c>
    </row>
    <row r="1887" spans="2:10" ht="15" customHeight="1" x14ac:dyDescent="0.2">
      <c r="B1887" s="39">
        <f t="shared" si="14"/>
      </c>
      <c r="C1887" s="40">
        <f>IF(Inputs!$C$60,Inputs!$C$11+(B1887-Inputs!$C$69)/Inputs!$C$70,"")</f>
      </c>
      <c r="D1887" s="15"/>
      <c r="E1887" s="15"/>
      <c r="F1887" s="11">
        <f t="shared" si="15"/>
      </c>
      <c r="G1887" s="22" cm="1">
        <f t="array" ref="G1887">IF(AND(Inputs!$C$60,Inputs!$C$61),INDEX(Utility_Rates!$C$29:$F$52,HOUR(C1887)+Inputs!$C$69,MATCH(INDEX(Utility_Rates!$K$6:$K$17,MONTH(C1887))&amp;IF(WEEKDAY(C1887,Inputs!$C$76)&lt;=Inputs!$C$74," weekday"," weekend"),Utility_Rates!$C$28:$F$28,Inputs!$C$68)),"")</f>
      </c>
      <c r="H1887" s="34"/>
      <c r="I1887" s="42">
        <f>IF(AND(ISNUMBER(D1887),ISNUMBER(H1887)),D1887*H1887*Inputs!$C$69,"")</f>
      </c>
      <c r="J1887" s="42">
        <f>IF(AND(ISNUMBER(F1887),ISNUMBER(H1887),F1887&gt;=Inputs!$C$68),F1887*H1887*Inputs!$C$69,"")</f>
      </c>
    </row>
    <row r="1888" spans="2:10" ht="15" customHeight="1" x14ac:dyDescent="0.2">
      <c r="B1888" s="39">
        <f t="shared" si="14"/>
      </c>
      <c r="C1888" s="40">
        <f>IF(Inputs!$C$60,Inputs!$C$11+(B1888-Inputs!$C$69)/Inputs!$C$70,"")</f>
      </c>
      <c r="D1888" s="15"/>
      <c r="E1888" s="15"/>
      <c r="F1888" s="11">
        <f t="shared" si="15"/>
      </c>
      <c r="G1888" s="22" cm="1">
        <f t="array" ref="G1888">IF(AND(Inputs!$C$60,Inputs!$C$61),INDEX(Utility_Rates!$C$29:$F$52,HOUR(C1888)+Inputs!$C$69,MATCH(INDEX(Utility_Rates!$K$6:$K$17,MONTH(C1888))&amp;IF(WEEKDAY(C1888,Inputs!$C$76)&lt;=Inputs!$C$74," weekday"," weekend"),Utility_Rates!$C$28:$F$28,Inputs!$C$68)),"")</f>
      </c>
      <c r="H1888" s="34"/>
      <c r="I1888" s="42">
        <f>IF(AND(ISNUMBER(D1888),ISNUMBER(H1888)),D1888*H1888*Inputs!$C$69,"")</f>
      </c>
      <c r="J1888" s="42">
        <f>IF(AND(ISNUMBER(F1888),ISNUMBER(H1888),F1888&gt;=Inputs!$C$68),F1888*H1888*Inputs!$C$69,"")</f>
      </c>
    </row>
    <row r="1889" spans="2:10" ht="15" customHeight="1" x14ac:dyDescent="0.2">
      <c r="B1889" s="39">
        <f t="shared" si="14"/>
      </c>
      <c r="C1889" s="40">
        <f>IF(Inputs!$C$60,Inputs!$C$11+(B1889-Inputs!$C$69)/Inputs!$C$70,"")</f>
      </c>
      <c r="D1889" s="15"/>
      <c r="E1889" s="15"/>
      <c r="F1889" s="11">
        <f t="shared" si="15"/>
      </c>
      <c r="G1889" s="22" cm="1">
        <f t="array" ref="G1889">IF(AND(Inputs!$C$60,Inputs!$C$61),INDEX(Utility_Rates!$C$29:$F$52,HOUR(C1889)+Inputs!$C$69,MATCH(INDEX(Utility_Rates!$K$6:$K$17,MONTH(C1889))&amp;IF(WEEKDAY(C1889,Inputs!$C$76)&lt;=Inputs!$C$74," weekday"," weekend"),Utility_Rates!$C$28:$F$28,Inputs!$C$68)),"")</f>
      </c>
      <c r="H1889" s="34"/>
      <c r="I1889" s="42">
        <f>IF(AND(ISNUMBER(D1889),ISNUMBER(H1889)),D1889*H1889*Inputs!$C$69,"")</f>
      </c>
      <c r="J1889" s="42">
        <f>IF(AND(ISNUMBER(F1889),ISNUMBER(H1889),F1889&gt;=Inputs!$C$68),F1889*H1889*Inputs!$C$69,"")</f>
      </c>
    </row>
    <row r="1890" spans="2:10" ht="15" customHeight="1" x14ac:dyDescent="0.2">
      <c r="B1890" s="39">
        <f t="shared" si="14"/>
      </c>
      <c r="C1890" s="40">
        <f>IF(Inputs!$C$60,Inputs!$C$11+(B1890-Inputs!$C$69)/Inputs!$C$70,"")</f>
      </c>
      <c r="D1890" s="15"/>
      <c r="E1890" s="15"/>
      <c r="F1890" s="11">
        <f t="shared" si="15"/>
      </c>
      <c r="G1890" s="22" cm="1">
        <f t="array" ref="G1890">IF(AND(Inputs!$C$60,Inputs!$C$61),INDEX(Utility_Rates!$C$29:$F$52,HOUR(C1890)+Inputs!$C$69,MATCH(INDEX(Utility_Rates!$K$6:$K$17,MONTH(C1890))&amp;IF(WEEKDAY(C1890,Inputs!$C$76)&lt;=Inputs!$C$74," weekday"," weekend"),Utility_Rates!$C$28:$F$28,Inputs!$C$68)),"")</f>
      </c>
      <c r="H1890" s="34"/>
      <c r="I1890" s="42">
        <f>IF(AND(ISNUMBER(D1890),ISNUMBER(H1890)),D1890*H1890*Inputs!$C$69,"")</f>
      </c>
      <c r="J1890" s="42">
        <f>IF(AND(ISNUMBER(F1890),ISNUMBER(H1890),F1890&gt;=Inputs!$C$68),F1890*H1890*Inputs!$C$69,"")</f>
      </c>
    </row>
    <row r="1891" spans="2:10" ht="15" customHeight="1" x14ac:dyDescent="0.2">
      <c r="B1891" s="39">
        <f t="shared" si="14"/>
      </c>
      <c r="C1891" s="40">
        <f>IF(Inputs!$C$60,Inputs!$C$11+(B1891-Inputs!$C$69)/Inputs!$C$70,"")</f>
      </c>
      <c r="D1891" s="15"/>
      <c r="E1891" s="15"/>
      <c r="F1891" s="11">
        <f t="shared" si="15"/>
      </c>
      <c r="G1891" s="22" cm="1">
        <f t="array" ref="G1891">IF(AND(Inputs!$C$60,Inputs!$C$61),INDEX(Utility_Rates!$C$29:$F$52,HOUR(C1891)+Inputs!$C$69,MATCH(INDEX(Utility_Rates!$K$6:$K$17,MONTH(C1891))&amp;IF(WEEKDAY(C1891,Inputs!$C$76)&lt;=Inputs!$C$74," weekday"," weekend"),Utility_Rates!$C$28:$F$28,Inputs!$C$68)),"")</f>
      </c>
      <c r="H1891" s="34"/>
      <c r="I1891" s="42">
        <f>IF(AND(ISNUMBER(D1891),ISNUMBER(H1891)),D1891*H1891*Inputs!$C$69,"")</f>
      </c>
      <c r="J1891" s="42">
        <f>IF(AND(ISNUMBER(F1891),ISNUMBER(H1891),F1891&gt;=Inputs!$C$68),F1891*H1891*Inputs!$C$69,"")</f>
      </c>
    </row>
    <row r="1892" spans="2:10" ht="15" customHeight="1" x14ac:dyDescent="0.2">
      <c r="B1892" s="39">
        <f t="shared" si="14"/>
      </c>
      <c r="C1892" s="40">
        <f>IF(Inputs!$C$60,Inputs!$C$11+(B1892-Inputs!$C$69)/Inputs!$C$70,"")</f>
      </c>
      <c r="D1892" s="15"/>
      <c r="E1892" s="15"/>
      <c r="F1892" s="11">
        <f t="shared" si="15"/>
      </c>
      <c r="G1892" s="22" cm="1">
        <f t="array" ref="G1892">IF(AND(Inputs!$C$60,Inputs!$C$61),INDEX(Utility_Rates!$C$29:$F$52,HOUR(C1892)+Inputs!$C$69,MATCH(INDEX(Utility_Rates!$K$6:$K$17,MONTH(C1892))&amp;IF(WEEKDAY(C1892,Inputs!$C$76)&lt;=Inputs!$C$74," weekday"," weekend"),Utility_Rates!$C$28:$F$28,Inputs!$C$68)),"")</f>
      </c>
      <c r="H1892" s="34"/>
      <c r="I1892" s="42">
        <f>IF(AND(ISNUMBER(D1892),ISNUMBER(H1892)),D1892*H1892*Inputs!$C$69,"")</f>
      </c>
      <c r="J1892" s="42">
        <f>IF(AND(ISNUMBER(F1892),ISNUMBER(H1892),F1892&gt;=Inputs!$C$68),F1892*H1892*Inputs!$C$69,"")</f>
      </c>
    </row>
    <row r="1893" spans="2:10" ht="15" customHeight="1" x14ac:dyDescent="0.2">
      <c r="B1893" s="39">
        <f t="shared" si="14"/>
      </c>
      <c r="C1893" s="40">
        <f>IF(Inputs!$C$60,Inputs!$C$11+(B1893-Inputs!$C$69)/Inputs!$C$70,"")</f>
      </c>
      <c r="D1893" s="15"/>
      <c r="E1893" s="15"/>
      <c r="F1893" s="11">
        <f t="shared" si="15"/>
      </c>
      <c r="G1893" s="22" cm="1">
        <f t="array" ref="G1893">IF(AND(Inputs!$C$60,Inputs!$C$61),INDEX(Utility_Rates!$C$29:$F$52,HOUR(C1893)+Inputs!$C$69,MATCH(INDEX(Utility_Rates!$K$6:$K$17,MONTH(C1893))&amp;IF(WEEKDAY(C1893,Inputs!$C$76)&lt;=Inputs!$C$74," weekday"," weekend"),Utility_Rates!$C$28:$F$28,Inputs!$C$68)),"")</f>
      </c>
      <c r="H1893" s="34"/>
      <c r="I1893" s="42">
        <f>IF(AND(ISNUMBER(D1893),ISNUMBER(H1893)),D1893*H1893*Inputs!$C$69,"")</f>
      </c>
      <c r="J1893" s="42">
        <f>IF(AND(ISNUMBER(F1893),ISNUMBER(H1893),F1893&gt;=Inputs!$C$68),F1893*H1893*Inputs!$C$69,"")</f>
      </c>
    </row>
    <row r="1894" spans="2:10" ht="15" customHeight="1" x14ac:dyDescent="0.2">
      <c r="B1894" s="39">
        <f t="shared" si="14"/>
      </c>
      <c r="C1894" s="40">
        <f>IF(Inputs!$C$60,Inputs!$C$11+(B1894-Inputs!$C$69)/Inputs!$C$70,"")</f>
      </c>
      <c r="D1894" s="15"/>
      <c r="E1894" s="15"/>
      <c r="F1894" s="11">
        <f t="shared" si="15"/>
      </c>
      <c r="G1894" s="22" cm="1">
        <f t="array" ref="G1894">IF(AND(Inputs!$C$60,Inputs!$C$61),INDEX(Utility_Rates!$C$29:$F$52,HOUR(C1894)+Inputs!$C$69,MATCH(INDEX(Utility_Rates!$K$6:$K$17,MONTH(C1894))&amp;IF(WEEKDAY(C1894,Inputs!$C$76)&lt;=Inputs!$C$74," weekday"," weekend"),Utility_Rates!$C$28:$F$28,Inputs!$C$68)),"")</f>
      </c>
      <c r="H1894" s="34"/>
      <c r="I1894" s="42">
        <f>IF(AND(ISNUMBER(D1894),ISNUMBER(H1894)),D1894*H1894*Inputs!$C$69,"")</f>
      </c>
      <c r="J1894" s="42">
        <f>IF(AND(ISNUMBER(F1894),ISNUMBER(H1894),F1894&gt;=Inputs!$C$68),F1894*H1894*Inputs!$C$69,"")</f>
      </c>
    </row>
    <row r="1895" spans="2:10" ht="15" customHeight="1" x14ac:dyDescent="0.2">
      <c r="B1895" s="39">
        <f t="shared" si="14"/>
      </c>
      <c r="C1895" s="40">
        <f>IF(Inputs!$C$60,Inputs!$C$11+(B1895-Inputs!$C$69)/Inputs!$C$70,"")</f>
      </c>
      <c r="D1895" s="15"/>
      <c r="E1895" s="15"/>
      <c r="F1895" s="11">
        <f t="shared" si="15"/>
      </c>
      <c r="G1895" s="22" cm="1">
        <f t="array" ref="G1895">IF(AND(Inputs!$C$60,Inputs!$C$61),INDEX(Utility_Rates!$C$29:$F$52,HOUR(C1895)+Inputs!$C$69,MATCH(INDEX(Utility_Rates!$K$6:$K$17,MONTH(C1895))&amp;IF(WEEKDAY(C1895,Inputs!$C$76)&lt;=Inputs!$C$74," weekday"," weekend"),Utility_Rates!$C$28:$F$28,Inputs!$C$68)),"")</f>
      </c>
      <c r="H1895" s="34"/>
      <c r="I1895" s="42">
        <f>IF(AND(ISNUMBER(D1895),ISNUMBER(H1895)),D1895*H1895*Inputs!$C$69,"")</f>
      </c>
      <c r="J1895" s="42">
        <f>IF(AND(ISNUMBER(F1895),ISNUMBER(H1895),F1895&gt;=Inputs!$C$68),F1895*H1895*Inputs!$C$69,"")</f>
      </c>
    </row>
    <row r="1896" spans="2:10" ht="15" customHeight="1" x14ac:dyDescent="0.2">
      <c r="B1896" s="39">
        <f t="shared" si="14"/>
      </c>
      <c r="C1896" s="40">
        <f>IF(Inputs!$C$60,Inputs!$C$11+(B1896-Inputs!$C$69)/Inputs!$C$70,"")</f>
      </c>
      <c r="D1896" s="15"/>
      <c r="E1896" s="15"/>
      <c r="F1896" s="11">
        <f t="shared" si="15"/>
      </c>
      <c r="G1896" s="22" cm="1">
        <f t="array" ref="G1896">IF(AND(Inputs!$C$60,Inputs!$C$61),INDEX(Utility_Rates!$C$29:$F$52,HOUR(C1896)+Inputs!$C$69,MATCH(INDEX(Utility_Rates!$K$6:$K$17,MONTH(C1896))&amp;IF(WEEKDAY(C1896,Inputs!$C$76)&lt;=Inputs!$C$74," weekday"," weekend"),Utility_Rates!$C$28:$F$28,Inputs!$C$68)),"")</f>
      </c>
      <c r="H1896" s="34"/>
      <c r="I1896" s="42">
        <f>IF(AND(ISNUMBER(D1896),ISNUMBER(H1896)),D1896*H1896*Inputs!$C$69,"")</f>
      </c>
      <c r="J1896" s="42">
        <f>IF(AND(ISNUMBER(F1896),ISNUMBER(H1896),F1896&gt;=Inputs!$C$68),F1896*H1896*Inputs!$C$69,"")</f>
      </c>
    </row>
    <row r="1897" spans="2:10" ht="15" customHeight="1" x14ac:dyDescent="0.2">
      <c r="B1897" s="39">
        <f t="shared" si="14"/>
      </c>
      <c r="C1897" s="40">
        <f>IF(Inputs!$C$60,Inputs!$C$11+(B1897-Inputs!$C$69)/Inputs!$C$70,"")</f>
      </c>
      <c r="D1897" s="15"/>
      <c r="E1897" s="15"/>
      <c r="F1897" s="11">
        <f t="shared" si="15"/>
      </c>
      <c r="G1897" s="22" cm="1">
        <f t="array" ref="G1897">IF(AND(Inputs!$C$60,Inputs!$C$61),INDEX(Utility_Rates!$C$29:$F$52,HOUR(C1897)+Inputs!$C$69,MATCH(INDEX(Utility_Rates!$K$6:$K$17,MONTH(C1897))&amp;IF(WEEKDAY(C1897,Inputs!$C$76)&lt;=Inputs!$C$74," weekday"," weekend"),Utility_Rates!$C$28:$F$28,Inputs!$C$68)),"")</f>
      </c>
      <c r="H1897" s="34"/>
      <c r="I1897" s="42">
        <f>IF(AND(ISNUMBER(D1897),ISNUMBER(H1897)),D1897*H1897*Inputs!$C$69,"")</f>
      </c>
      <c r="J1897" s="42">
        <f>IF(AND(ISNUMBER(F1897),ISNUMBER(H1897),F1897&gt;=Inputs!$C$68),F1897*H1897*Inputs!$C$69,"")</f>
      </c>
    </row>
    <row r="1898" spans="2:10" ht="15" customHeight="1" x14ac:dyDescent="0.2">
      <c r="B1898" s="39">
        <f t="shared" si="14"/>
      </c>
      <c r="C1898" s="40">
        <f>IF(Inputs!$C$60,Inputs!$C$11+(B1898-Inputs!$C$69)/Inputs!$C$70,"")</f>
      </c>
      <c r="D1898" s="15"/>
      <c r="E1898" s="15"/>
      <c r="F1898" s="11">
        <f t="shared" si="15"/>
      </c>
      <c r="G1898" s="22" cm="1">
        <f t="array" ref="G1898">IF(AND(Inputs!$C$60,Inputs!$C$61),INDEX(Utility_Rates!$C$29:$F$52,HOUR(C1898)+Inputs!$C$69,MATCH(INDEX(Utility_Rates!$K$6:$K$17,MONTH(C1898))&amp;IF(WEEKDAY(C1898,Inputs!$C$76)&lt;=Inputs!$C$74," weekday"," weekend"),Utility_Rates!$C$28:$F$28,Inputs!$C$68)),"")</f>
      </c>
      <c r="H1898" s="34"/>
      <c r="I1898" s="42">
        <f>IF(AND(ISNUMBER(D1898),ISNUMBER(H1898)),D1898*H1898*Inputs!$C$69,"")</f>
      </c>
      <c r="J1898" s="42">
        <f>IF(AND(ISNUMBER(F1898),ISNUMBER(H1898),F1898&gt;=Inputs!$C$68),F1898*H1898*Inputs!$C$69,"")</f>
      </c>
    </row>
    <row r="1899" spans="2:10" ht="15" customHeight="1" x14ac:dyDescent="0.2">
      <c r="B1899" s="39">
        <f t="shared" si="14"/>
      </c>
      <c r="C1899" s="40">
        <f>IF(Inputs!$C$60,Inputs!$C$11+(B1899-Inputs!$C$69)/Inputs!$C$70,"")</f>
      </c>
      <c r="D1899" s="15"/>
      <c r="E1899" s="15"/>
      <c r="F1899" s="11">
        <f t="shared" si="15"/>
      </c>
      <c r="G1899" s="22" cm="1">
        <f t="array" ref="G1899">IF(AND(Inputs!$C$60,Inputs!$C$61),INDEX(Utility_Rates!$C$29:$F$52,HOUR(C1899)+Inputs!$C$69,MATCH(INDEX(Utility_Rates!$K$6:$K$17,MONTH(C1899))&amp;IF(WEEKDAY(C1899,Inputs!$C$76)&lt;=Inputs!$C$74," weekday"," weekend"),Utility_Rates!$C$28:$F$28,Inputs!$C$68)),"")</f>
      </c>
      <c r="H1899" s="34"/>
      <c r="I1899" s="42">
        <f>IF(AND(ISNUMBER(D1899),ISNUMBER(H1899)),D1899*H1899*Inputs!$C$69,"")</f>
      </c>
      <c r="J1899" s="42">
        <f>IF(AND(ISNUMBER(F1899),ISNUMBER(H1899),F1899&gt;=Inputs!$C$68),F1899*H1899*Inputs!$C$69,"")</f>
      </c>
    </row>
    <row r="1900" spans="2:10" ht="15" customHeight="1" x14ac:dyDescent="0.2">
      <c r="B1900" s="39">
        <f t="shared" si="14"/>
      </c>
      <c r="C1900" s="40">
        <f>IF(Inputs!$C$60,Inputs!$C$11+(B1900-Inputs!$C$69)/Inputs!$C$70,"")</f>
      </c>
      <c r="D1900" s="15"/>
      <c r="E1900" s="15"/>
      <c r="F1900" s="11">
        <f t="shared" si="15"/>
      </c>
      <c r="G1900" s="22" cm="1">
        <f t="array" ref="G1900">IF(AND(Inputs!$C$60,Inputs!$C$61),INDEX(Utility_Rates!$C$29:$F$52,HOUR(C1900)+Inputs!$C$69,MATCH(INDEX(Utility_Rates!$K$6:$K$17,MONTH(C1900))&amp;IF(WEEKDAY(C1900,Inputs!$C$76)&lt;=Inputs!$C$74," weekday"," weekend"),Utility_Rates!$C$28:$F$28,Inputs!$C$68)),"")</f>
      </c>
      <c r="H1900" s="34"/>
      <c r="I1900" s="42">
        <f>IF(AND(ISNUMBER(D1900),ISNUMBER(H1900)),D1900*H1900*Inputs!$C$69,"")</f>
      </c>
      <c r="J1900" s="42">
        <f>IF(AND(ISNUMBER(F1900),ISNUMBER(H1900),F1900&gt;=Inputs!$C$68),F1900*H1900*Inputs!$C$69,"")</f>
      </c>
    </row>
    <row r="1901" spans="2:10" ht="15" customHeight="1" x14ac:dyDescent="0.2">
      <c r="B1901" s="39">
        <f t="shared" si="14"/>
      </c>
      <c r="C1901" s="40">
        <f>IF(Inputs!$C$60,Inputs!$C$11+(B1901-Inputs!$C$69)/Inputs!$C$70,"")</f>
      </c>
      <c r="D1901" s="15"/>
      <c r="E1901" s="15"/>
      <c r="F1901" s="11">
        <f t="shared" si="15"/>
      </c>
      <c r="G1901" s="22" cm="1">
        <f t="array" ref="G1901">IF(AND(Inputs!$C$60,Inputs!$C$61),INDEX(Utility_Rates!$C$29:$F$52,HOUR(C1901)+Inputs!$C$69,MATCH(INDEX(Utility_Rates!$K$6:$K$17,MONTH(C1901))&amp;IF(WEEKDAY(C1901,Inputs!$C$76)&lt;=Inputs!$C$74," weekday"," weekend"),Utility_Rates!$C$28:$F$28,Inputs!$C$68)),"")</f>
      </c>
      <c r="H1901" s="34"/>
      <c r="I1901" s="42">
        <f>IF(AND(ISNUMBER(D1901),ISNUMBER(H1901)),D1901*H1901*Inputs!$C$69,"")</f>
      </c>
      <c r="J1901" s="42">
        <f>IF(AND(ISNUMBER(F1901),ISNUMBER(H1901),F1901&gt;=Inputs!$C$68),F1901*H1901*Inputs!$C$69,"")</f>
      </c>
    </row>
    <row r="1902" spans="2:10" ht="15" customHeight="1" x14ac:dyDescent="0.2">
      <c r="B1902" s="39">
        <f t="shared" si="14"/>
      </c>
      <c r="C1902" s="40">
        <f>IF(Inputs!$C$60,Inputs!$C$11+(B1902-Inputs!$C$69)/Inputs!$C$70,"")</f>
      </c>
      <c r="D1902" s="15"/>
      <c r="E1902" s="15"/>
      <c r="F1902" s="11">
        <f t="shared" si="15"/>
      </c>
      <c r="G1902" s="22" cm="1">
        <f t="array" ref="G1902">IF(AND(Inputs!$C$60,Inputs!$C$61),INDEX(Utility_Rates!$C$29:$F$52,HOUR(C1902)+Inputs!$C$69,MATCH(INDEX(Utility_Rates!$K$6:$K$17,MONTH(C1902))&amp;IF(WEEKDAY(C1902,Inputs!$C$76)&lt;=Inputs!$C$74," weekday"," weekend"),Utility_Rates!$C$28:$F$28,Inputs!$C$68)),"")</f>
      </c>
      <c r="H1902" s="34"/>
      <c r="I1902" s="42">
        <f>IF(AND(ISNUMBER(D1902),ISNUMBER(H1902)),D1902*H1902*Inputs!$C$69,"")</f>
      </c>
      <c r="J1902" s="42">
        <f>IF(AND(ISNUMBER(F1902),ISNUMBER(H1902),F1902&gt;=Inputs!$C$68),F1902*H1902*Inputs!$C$69,"")</f>
      </c>
    </row>
    <row r="1903" spans="2:10" ht="15" customHeight="1" x14ac:dyDescent="0.2">
      <c r="B1903" s="39">
        <f t="shared" si="14"/>
      </c>
      <c r="C1903" s="40">
        <f>IF(Inputs!$C$60,Inputs!$C$11+(B1903-Inputs!$C$69)/Inputs!$C$70,"")</f>
      </c>
      <c r="D1903" s="15"/>
      <c r="E1903" s="15"/>
      <c r="F1903" s="11">
        <f t="shared" si="15"/>
      </c>
      <c r="G1903" s="22" cm="1">
        <f t="array" ref="G1903">IF(AND(Inputs!$C$60,Inputs!$C$61),INDEX(Utility_Rates!$C$29:$F$52,HOUR(C1903)+Inputs!$C$69,MATCH(INDEX(Utility_Rates!$K$6:$K$17,MONTH(C1903))&amp;IF(WEEKDAY(C1903,Inputs!$C$76)&lt;=Inputs!$C$74," weekday"," weekend"),Utility_Rates!$C$28:$F$28,Inputs!$C$68)),"")</f>
      </c>
      <c r="H1903" s="34"/>
      <c r="I1903" s="42">
        <f>IF(AND(ISNUMBER(D1903),ISNUMBER(H1903)),D1903*H1903*Inputs!$C$69,"")</f>
      </c>
      <c r="J1903" s="42">
        <f>IF(AND(ISNUMBER(F1903),ISNUMBER(H1903),F1903&gt;=Inputs!$C$68),F1903*H1903*Inputs!$C$69,"")</f>
      </c>
    </row>
    <row r="1904" spans="2:10" ht="15" customHeight="1" x14ac:dyDescent="0.2">
      <c r="B1904" s="39">
        <f t="shared" si="14"/>
      </c>
      <c r="C1904" s="40">
        <f>IF(Inputs!$C$60,Inputs!$C$11+(B1904-Inputs!$C$69)/Inputs!$C$70,"")</f>
      </c>
      <c r="D1904" s="15"/>
      <c r="E1904" s="15"/>
      <c r="F1904" s="11">
        <f t="shared" si="15"/>
      </c>
      <c r="G1904" s="22" cm="1">
        <f t="array" ref="G1904">IF(AND(Inputs!$C$60,Inputs!$C$61),INDEX(Utility_Rates!$C$29:$F$52,HOUR(C1904)+Inputs!$C$69,MATCH(INDEX(Utility_Rates!$K$6:$K$17,MONTH(C1904))&amp;IF(WEEKDAY(C1904,Inputs!$C$76)&lt;=Inputs!$C$74," weekday"," weekend"),Utility_Rates!$C$28:$F$28,Inputs!$C$68)),"")</f>
      </c>
      <c r="H1904" s="34"/>
      <c r="I1904" s="42">
        <f>IF(AND(ISNUMBER(D1904),ISNUMBER(H1904)),D1904*H1904*Inputs!$C$69,"")</f>
      </c>
      <c r="J1904" s="42">
        <f>IF(AND(ISNUMBER(F1904),ISNUMBER(H1904),F1904&gt;=Inputs!$C$68),F1904*H1904*Inputs!$C$69,"")</f>
      </c>
    </row>
    <row r="1905" spans="2:10" ht="15" customHeight="1" x14ac:dyDescent="0.2">
      <c r="B1905" s="39">
        <f t="shared" si="14"/>
      </c>
      <c r="C1905" s="40">
        <f>IF(Inputs!$C$60,Inputs!$C$11+(B1905-Inputs!$C$69)/Inputs!$C$70,"")</f>
      </c>
      <c r="D1905" s="15"/>
      <c r="E1905" s="15"/>
      <c r="F1905" s="11">
        <f t="shared" si="15"/>
      </c>
      <c r="G1905" s="22" cm="1">
        <f t="array" ref="G1905">IF(AND(Inputs!$C$60,Inputs!$C$61),INDEX(Utility_Rates!$C$29:$F$52,HOUR(C1905)+Inputs!$C$69,MATCH(INDEX(Utility_Rates!$K$6:$K$17,MONTH(C1905))&amp;IF(WEEKDAY(C1905,Inputs!$C$76)&lt;=Inputs!$C$74," weekday"," weekend"),Utility_Rates!$C$28:$F$28,Inputs!$C$68)),"")</f>
      </c>
      <c r="H1905" s="34"/>
      <c r="I1905" s="42">
        <f>IF(AND(ISNUMBER(D1905),ISNUMBER(H1905)),D1905*H1905*Inputs!$C$69,"")</f>
      </c>
      <c r="J1905" s="42">
        <f>IF(AND(ISNUMBER(F1905),ISNUMBER(H1905),F1905&gt;=Inputs!$C$68),F1905*H1905*Inputs!$C$69,"")</f>
      </c>
    </row>
    <row r="1906" spans="2:10" ht="15" customHeight="1" x14ac:dyDescent="0.2">
      <c r="B1906" s="39">
        <f t="shared" si="14"/>
      </c>
      <c r="C1906" s="40">
        <f>IF(Inputs!$C$60,Inputs!$C$11+(B1906-Inputs!$C$69)/Inputs!$C$70,"")</f>
      </c>
      <c r="D1906" s="15"/>
      <c r="E1906" s="15"/>
      <c r="F1906" s="11">
        <f t="shared" si="15"/>
      </c>
      <c r="G1906" s="22" cm="1">
        <f t="array" ref="G1906">IF(AND(Inputs!$C$60,Inputs!$C$61),INDEX(Utility_Rates!$C$29:$F$52,HOUR(C1906)+Inputs!$C$69,MATCH(INDEX(Utility_Rates!$K$6:$K$17,MONTH(C1906))&amp;IF(WEEKDAY(C1906,Inputs!$C$76)&lt;=Inputs!$C$74," weekday"," weekend"),Utility_Rates!$C$28:$F$28,Inputs!$C$68)),"")</f>
      </c>
      <c r="H1906" s="34"/>
      <c r="I1906" s="42">
        <f>IF(AND(ISNUMBER(D1906),ISNUMBER(H1906)),D1906*H1906*Inputs!$C$69,"")</f>
      </c>
      <c r="J1906" s="42">
        <f>IF(AND(ISNUMBER(F1906),ISNUMBER(H1906),F1906&gt;=Inputs!$C$68),F1906*H1906*Inputs!$C$69,"")</f>
      </c>
    </row>
    <row r="1907" spans="2:10" ht="15" customHeight="1" x14ac:dyDescent="0.2">
      <c r="B1907" s="39">
        <f t="shared" si="14"/>
      </c>
      <c r="C1907" s="40">
        <f>IF(Inputs!$C$60,Inputs!$C$11+(B1907-Inputs!$C$69)/Inputs!$C$70,"")</f>
      </c>
      <c r="D1907" s="15"/>
      <c r="E1907" s="15"/>
      <c r="F1907" s="11">
        <f t="shared" si="15"/>
      </c>
      <c r="G1907" s="22" cm="1">
        <f t="array" ref="G1907">IF(AND(Inputs!$C$60,Inputs!$C$61),INDEX(Utility_Rates!$C$29:$F$52,HOUR(C1907)+Inputs!$C$69,MATCH(INDEX(Utility_Rates!$K$6:$K$17,MONTH(C1907))&amp;IF(WEEKDAY(C1907,Inputs!$C$76)&lt;=Inputs!$C$74," weekday"," weekend"),Utility_Rates!$C$28:$F$28,Inputs!$C$68)),"")</f>
      </c>
      <c r="H1907" s="34"/>
      <c r="I1907" s="42">
        <f>IF(AND(ISNUMBER(D1907),ISNUMBER(H1907)),D1907*H1907*Inputs!$C$69,"")</f>
      </c>
      <c r="J1907" s="42">
        <f>IF(AND(ISNUMBER(F1907),ISNUMBER(H1907),F1907&gt;=Inputs!$C$68),F1907*H1907*Inputs!$C$69,"")</f>
      </c>
    </row>
    <row r="1908" spans="2:10" ht="15" customHeight="1" x14ac:dyDescent="0.2">
      <c r="B1908" s="39">
        <f t="shared" si="14"/>
      </c>
      <c r="C1908" s="40">
        <f>IF(Inputs!$C$60,Inputs!$C$11+(B1908-Inputs!$C$69)/Inputs!$C$70,"")</f>
      </c>
      <c r="D1908" s="15"/>
      <c r="E1908" s="15"/>
      <c r="F1908" s="11">
        <f t="shared" si="15"/>
      </c>
      <c r="G1908" s="22" cm="1">
        <f t="array" ref="G1908">IF(AND(Inputs!$C$60,Inputs!$C$61),INDEX(Utility_Rates!$C$29:$F$52,HOUR(C1908)+Inputs!$C$69,MATCH(INDEX(Utility_Rates!$K$6:$K$17,MONTH(C1908))&amp;IF(WEEKDAY(C1908,Inputs!$C$76)&lt;=Inputs!$C$74," weekday"," weekend"),Utility_Rates!$C$28:$F$28,Inputs!$C$68)),"")</f>
      </c>
      <c r="H1908" s="34"/>
      <c r="I1908" s="42">
        <f>IF(AND(ISNUMBER(D1908),ISNUMBER(H1908)),D1908*H1908*Inputs!$C$69,"")</f>
      </c>
      <c r="J1908" s="42">
        <f>IF(AND(ISNUMBER(F1908),ISNUMBER(H1908),F1908&gt;=Inputs!$C$68),F1908*H1908*Inputs!$C$69,"")</f>
      </c>
    </row>
    <row r="1909" spans="2:10" ht="15" customHeight="1" x14ac:dyDescent="0.2">
      <c r="B1909" s="39">
        <f t="shared" si="14"/>
      </c>
      <c r="C1909" s="40">
        <f>IF(Inputs!$C$60,Inputs!$C$11+(B1909-Inputs!$C$69)/Inputs!$C$70,"")</f>
      </c>
      <c r="D1909" s="15"/>
      <c r="E1909" s="15"/>
      <c r="F1909" s="11">
        <f t="shared" si="15"/>
      </c>
      <c r="G1909" s="22" cm="1">
        <f t="array" ref="G1909">IF(AND(Inputs!$C$60,Inputs!$C$61),INDEX(Utility_Rates!$C$29:$F$52,HOUR(C1909)+Inputs!$C$69,MATCH(INDEX(Utility_Rates!$K$6:$K$17,MONTH(C1909))&amp;IF(WEEKDAY(C1909,Inputs!$C$76)&lt;=Inputs!$C$74," weekday"," weekend"),Utility_Rates!$C$28:$F$28,Inputs!$C$68)),"")</f>
      </c>
      <c r="H1909" s="34"/>
      <c r="I1909" s="42">
        <f>IF(AND(ISNUMBER(D1909),ISNUMBER(H1909)),D1909*H1909*Inputs!$C$69,"")</f>
      </c>
      <c r="J1909" s="42">
        <f>IF(AND(ISNUMBER(F1909),ISNUMBER(H1909),F1909&gt;=Inputs!$C$68),F1909*H1909*Inputs!$C$69,"")</f>
      </c>
    </row>
    <row r="1910" spans="2:10" ht="15" customHeight="1" x14ac:dyDescent="0.2">
      <c r="B1910" s="39">
        <f t="shared" si="14"/>
      </c>
      <c r="C1910" s="40">
        <f>IF(Inputs!$C$60,Inputs!$C$11+(B1910-Inputs!$C$69)/Inputs!$C$70,"")</f>
      </c>
      <c r="D1910" s="15"/>
      <c r="E1910" s="15"/>
      <c r="F1910" s="11">
        <f t="shared" si="15"/>
      </c>
      <c r="G1910" s="22" cm="1">
        <f t="array" ref="G1910">IF(AND(Inputs!$C$60,Inputs!$C$61),INDEX(Utility_Rates!$C$29:$F$52,HOUR(C1910)+Inputs!$C$69,MATCH(INDEX(Utility_Rates!$K$6:$K$17,MONTH(C1910))&amp;IF(WEEKDAY(C1910,Inputs!$C$76)&lt;=Inputs!$C$74," weekday"," weekend"),Utility_Rates!$C$28:$F$28,Inputs!$C$68)),"")</f>
      </c>
      <c r="H1910" s="34"/>
      <c r="I1910" s="42">
        <f>IF(AND(ISNUMBER(D1910),ISNUMBER(H1910)),D1910*H1910*Inputs!$C$69,"")</f>
      </c>
      <c r="J1910" s="42">
        <f>IF(AND(ISNUMBER(F1910),ISNUMBER(H1910),F1910&gt;=Inputs!$C$68),F1910*H1910*Inputs!$C$69,"")</f>
      </c>
    </row>
    <row r="1911" spans="2:10" ht="15" customHeight="1" x14ac:dyDescent="0.2">
      <c r="B1911" s="39">
        <f t="shared" si="14"/>
      </c>
      <c r="C1911" s="40">
        <f>IF(Inputs!$C$60,Inputs!$C$11+(B1911-Inputs!$C$69)/Inputs!$C$70,"")</f>
      </c>
      <c r="D1911" s="15"/>
      <c r="E1911" s="15"/>
      <c r="F1911" s="11">
        <f t="shared" si="15"/>
      </c>
      <c r="G1911" s="22" cm="1">
        <f t="array" ref="G1911">IF(AND(Inputs!$C$60,Inputs!$C$61),INDEX(Utility_Rates!$C$29:$F$52,HOUR(C1911)+Inputs!$C$69,MATCH(INDEX(Utility_Rates!$K$6:$K$17,MONTH(C1911))&amp;IF(WEEKDAY(C1911,Inputs!$C$76)&lt;=Inputs!$C$74," weekday"," weekend"),Utility_Rates!$C$28:$F$28,Inputs!$C$68)),"")</f>
      </c>
      <c r="H1911" s="34"/>
      <c r="I1911" s="42">
        <f>IF(AND(ISNUMBER(D1911),ISNUMBER(H1911)),D1911*H1911*Inputs!$C$69,"")</f>
      </c>
      <c r="J1911" s="42">
        <f>IF(AND(ISNUMBER(F1911),ISNUMBER(H1911),F1911&gt;=Inputs!$C$68),F1911*H1911*Inputs!$C$69,"")</f>
      </c>
    </row>
    <row r="1912" spans="2:10" ht="15" customHeight="1" x14ac:dyDescent="0.2">
      <c r="B1912" s="39">
        <f t="shared" si="14"/>
      </c>
      <c r="C1912" s="40">
        <f>IF(Inputs!$C$60,Inputs!$C$11+(B1912-Inputs!$C$69)/Inputs!$C$70,"")</f>
      </c>
      <c r="D1912" s="15"/>
      <c r="E1912" s="15"/>
      <c r="F1912" s="11">
        <f t="shared" si="15"/>
      </c>
      <c r="G1912" s="22" cm="1">
        <f t="array" ref="G1912">IF(AND(Inputs!$C$60,Inputs!$C$61),INDEX(Utility_Rates!$C$29:$F$52,HOUR(C1912)+Inputs!$C$69,MATCH(INDEX(Utility_Rates!$K$6:$K$17,MONTH(C1912))&amp;IF(WEEKDAY(C1912,Inputs!$C$76)&lt;=Inputs!$C$74," weekday"," weekend"),Utility_Rates!$C$28:$F$28,Inputs!$C$68)),"")</f>
      </c>
      <c r="H1912" s="34"/>
      <c r="I1912" s="42">
        <f>IF(AND(ISNUMBER(D1912),ISNUMBER(H1912)),D1912*H1912*Inputs!$C$69,"")</f>
      </c>
      <c r="J1912" s="42">
        <f>IF(AND(ISNUMBER(F1912),ISNUMBER(H1912),F1912&gt;=Inputs!$C$68),F1912*H1912*Inputs!$C$69,"")</f>
      </c>
    </row>
    <row r="1913" spans="2:10" ht="15" customHeight="1" x14ac:dyDescent="0.2">
      <c r="B1913" s="39">
        <f t="shared" si="14"/>
      </c>
      <c r="C1913" s="40">
        <f>IF(Inputs!$C$60,Inputs!$C$11+(B1913-Inputs!$C$69)/Inputs!$C$70,"")</f>
      </c>
      <c r="D1913" s="15"/>
      <c r="E1913" s="15"/>
      <c r="F1913" s="11">
        <f t="shared" si="15"/>
      </c>
      <c r="G1913" s="22" cm="1">
        <f t="array" ref="G1913">IF(AND(Inputs!$C$60,Inputs!$C$61),INDEX(Utility_Rates!$C$29:$F$52,HOUR(C1913)+Inputs!$C$69,MATCH(INDEX(Utility_Rates!$K$6:$K$17,MONTH(C1913))&amp;IF(WEEKDAY(C1913,Inputs!$C$76)&lt;=Inputs!$C$74," weekday"," weekend"),Utility_Rates!$C$28:$F$28,Inputs!$C$68)),"")</f>
      </c>
      <c r="H1913" s="34"/>
      <c r="I1913" s="42">
        <f>IF(AND(ISNUMBER(D1913),ISNUMBER(H1913)),D1913*H1913*Inputs!$C$69,"")</f>
      </c>
      <c r="J1913" s="42">
        <f>IF(AND(ISNUMBER(F1913),ISNUMBER(H1913),F1913&gt;=Inputs!$C$68),F1913*H1913*Inputs!$C$69,"")</f>
      </c>
    </row>
    <row r="1914" spans="2:10" ht="15" customHeight="1" x14ac:dyDescent="0.2">
      <c r="B1914" s="39">
        <f t="shared" si="14"/>
      </c>
      <c r="C1914" s="40">
        <f>IF(Inputs!$C$60,Inputs!$C$11+(B1914-Inputs!$C$69)/Inputs!$C$70,"")</f>
      </c>
      <c r="D1914" s="15"/>
      <c r="E1914" s="15"/>
      <c r="F1914" s="11">
        <f t="shared" si="15"/>
      </c>
      <c r="G1914" s="22" cm="1">
        <f t="array" ref="G1914">IF(AND(Inputs!$C$60,Inputs!$C$61),INDEX(Utility_Rates!$C$29:$F$52,HOUR(C1914)+Inputs!$C$69,MATCH(INDEX(Utility_Rates!$K$6:$K$17,MONTH(C1914))&amp;IF(WEEKDAY(C1914,Inputs!$C$76)&lt;=Inputs!$C$74," weekday"," weekend"),Utility_Rates!$C$28:$F$28,Inputs!$C$68)),"")</f>
      </c>
      <c r="H1914" s="34"/>
      <c r="I1914" s="42">
        <f>IF(AND(ISNUMBER(D1914),ISNUMBER(H1914)),D1914*H1914*Inputs!$C$69,"")</f>
      </c>
      <c r="J1914" s="42">
        <f>IF(AND(ISNUMBER(F1914),ISNUMBER(H1914),F1914&gt;=Inputs!$C$68),F1914*H1914*Inputs!$C$69,"")</f>
      </c>
    </row>
    <row r="1915" spans="2:10" ht="15" customHeight="1" x14ac:dyDescent="0.2">
      <c r="B1915" s="39">
        <f t="shared" si="14"/>
      </c>
      <c r="C1915" s="40">
        <f>IF(Inputs!$C$60,Inputs!$C$11+(B1915-Inputs!$C$69)/Inputs!$C$70,"")</f>
      </c>
      <c r="D1915" s="15"/>
      <c r="E1915" s="15"/>
      <c r="F1915" s="11">
        <f t="shared" si="15"/>
      </c>
      <c r="G1915" s="22" cm="1">
        <f t="array" ref="G1915">IF(AND(Inputs!$C$60,Inputs!$C$61),INDEX(Utility_Rates!$C$29:$F$52,HOUR(C1915)+Inputs!$C$69,MATCH(INDEX(Utility_Rates!$K$6:$K$17,MONTH(C1915))&amp;IF(WEEKDAY(C1915,Inputs!$C$76)&lt;=Inputs!$C$74," weekday"," weekend"),Utility_Rates!$C$28:$F$28,Inputs!$C$68)),"")</f>
      </c>
      <c r="H1915" s="34"/>
      <c r="I1915" s="42">
        <f>IF(AND(ISNUMBER(D1915),ISNUMBER(H1915)),D1915*H1915*Inputs!$C$69,"")</f>
      </c>
      <c r="J1915" s="42">
        <f>IF(AND(ISNUMBER(F1915),ISNUMBER(H1915),F1915&gt;=Inputs!$C$68),F1915*H1915*Inputs!$C$69,"")</f>
      </c>
    </row>
    <row r="1916" spans="2:10" ht="15" customHeight="1" x14ac:dyDescent="0.2">
      <c r="B1916" s="39">
        <f t="shared" si="14"/>
      </c>
      <c r="C1916" s="40">
        <f>IF(Inputs!$C$60,Inputs!$C$11+(B1916-Inputs!$C$69)/Inputs!$C$70,"")</f>
      </c>
      <c r="D1916" s="15"/>
      <c r="E1916" s="15"/>
      <c r="F1916" s="11">
        <f t="shared" si="15"/>
      </c>
      <c r="G1916" s="22" cm="1">
        <f t="array" ref="G1916">IF(AND(Inputs!$C$60,Inputs!$C$61),INDEX(Utility_Rates!$C$29:$F$52,HOUR(C1916)+Inputs!$C$69,MATCH(INDEX(Utility_Rates!$K$6:$K$17,MONTH(C1916))&amp;IF(WEEKDAY(C1916,Inputs!$C$76)&lt;=Inputs!$C$74," weekday"," weekend"),Utility_Rates!$C$28:$F$28,Inputs!$C$68)),"")</f>
      </c>
      <c r="H1916" s="34"/>
      <c r="I1916" s="42">
        <f>IF(AND(ISNUMBER(D1916),ISNUMBER(H1916)),D1916*H1916*Inputs!$C$69,"")</f>
      </c>
      <c r="J1916" s="42">
        <f>IF(AND(ISNUMBER(F1916),ISNUMBER(H1916),F1916&gt;=Inputs!$C$68),F1916*H1916*Inputs!$C$69,"")</f>
      </c>
    </row>
    <row r="1917" spans="2:10" ht="15" customHeight="1" x14ac:dyDescent="0.2">
      <c r="B1917" s="39">
        <f t="shared" si="14"/>
      </c>
      <c r="C1917" s="40">
        <f>IF(Inputs!$C$60,Inputs!$C$11+(B1917-Inputs!$C$69)/Inputs!$C$70,"")</f>
      </c>
      <c r="D1917" s="15"/>
      <c r="E1917" s="15"/>
      <c r="F1917" s="11">
        <f t="shared" si="15"/>
      </c>
      <c r="G1917" s="22" cm="1">
        <f t="array" ref="G1917">IF(AND(Inputs!$C$60,Inputs!$C$61),INDEX(Utility_Rates!$C$29:$F$52,HOUR(C1917)+Inputs!$C$69,MATCH(INDEX(Utility_Rates!$K$6:$K$17,MONTH(C1917))&amp;IF(WEEKDAY(C1917,Inputs!$C$76)&lt;=Inputs!$C$74," weekday"," weekend"),Utility_Rates!$C$28:$F$28,Inputs!$C$68)),"")</f>
      </c>
      <c r="H1917" s="34"/>
      <c r="I1917" s="42">
        <f>IF(AND(ISNUMBER(D1917),ISNUMBER(H1917)),D1917*H1917*Inputs!$C$69,"")</f>
      </c>
      <c r="J1917" s="42">
        <f>IF(AND(ISNUMBER(F1917),ISNUMBER(H1917),F1917&gt;=Inputs!$C$68),F1917*H1917*Inputs!$C$69,"")</f>
      </c>
    </row>
    <row r="1918" spans="2:10" ht="15" customHeight="1" x14ac:dyDescent="0.2">
      <c r="B1918" s="39">
        <f t="shared" si="14"/>
      </c>
      <c r="C1918" s="40">
        <f>IF(Inputs!$C$60,Inputs!$C$11+(B1918-Inputs!$C$69)/Inputs!$C$70,"")</f>
      </c>
      <c r="D1918" s="15"/>
      <c r="E1918" s="15"/>
      <c r="F1918" s="11">
        <f t="shared" si="15"/>
      </c>
      <c r="G1918" s="22" cm="1">
        <f t="array" ref="G1918">IF(AND(Inputs!$C$60,Inputs!$C$61),INDEX(Utility_Rates!$C$29:$F$52,HOUR(C1918)+Inputs!$C$69,MATCH(INDEX(Utility_Rates!$K$6:$K$17,MONTH(C1918))&amp;IF(WEEKDAY(C1918,Inputs!$C$76)&lt;=Inputs!$C$74," weekday"," weekend"),Utility_Rates!$C$28:$F$28,Inputs!$C$68)),"")</f>
      </c>
      <c r="H1918" s="34"/>
      <c r="I1918" s="42">
        <f>IF(AND(ISNUMBER(D1918),ISNUMBER(H1918)),D1918*H1918*Inputs!$C$69,"")</f>
      </c>
      <c r="J1918" s="42">
        <f>IF(AND(ISNUMBER(F1918),ISNUMBER(H1918),F1918&gt;=Inputs!$C$68),F1918*H1918*Inputs!$C$69,"")</f>
      </c>
    </row>
    <row r="1919" spans="2:10" ht="15" customHeight="1" x14ac:dyDescent="0.2">
      <c r="B1919" s="39">
        <f t="shared" si="14"/>
      </c>
      <c r="C1919" s="40">
        <f>IF(Inputs!$C$60,Inputs!$C$11+(B1919-Inputs!$C$69)/Inputs!$C$70,"")</f>
      </c>
      <c r="D1919" s="15"/>
      <c r="E1919" s="15"/>
      <c r="F1919" s="11">
        <f t="shared" si="15"/>
      </c>
      <c r="G1919" s="22" cm="1">
        <f t="array" ref="G1919">IF(AND(Inputs!$C$60,Inputs!$C$61),INDEX(Utility_Rates!$C$29:$F$52,HOUR(C1919)+Inputs!$C$69,MATCH(INDEX(Utility_Rates!$K$6:$K$17,MONTH(C1919))&amp;IF(WEEKDAY(C1919,Inputs!$C$76)&lt;=Inputs!$C$74," weekday"," weekend"),Utility_Rates!$C$28:$F$28,Inputs!$C$68)),"")</f>
      </c>
      <c r="H1919" s="34"/>
      <c r="I1919" s="42">
        <f>IF(AND(ISNUMBER(D1919),ISNUMBER(H1919)),D1919*H1919*Inputs!$C$69,"")</f>
      </c>
      <c r="J1919" s="42">
        <f>IF(AND(ISNUMBER(F1919),ISNUMBER(H1919),F1919&gt;=Inputs!$C$68),F1919*H1919*Inputs!$C$69,"")</f>
      </c>
    </row>
    <row r="1920" spans="2:10" ht="15" customHeight="1" x14ac:dyDescent="0.2">
      <c r="B1920" s="39">
        <f t="shared" si="14"/>
      </c>
      <c r="C1920" s="40">
        <f>IF(Inputs!$C$60,Inputs!$C$11+(B1920-Inputs!$C$69)/Inputs!$C$70,"")</f>
      </c>
      <c r="D1920" s="15"/>
      <c r="E1920" s="15"/>
      <c r="F1920" s="11">
        <f t="shared" si="15"/>
      </c>
      <c r="G1920" s="22" cm="1">
        <f t="array" ref="G1920">IF(AND(Inputs!$C$60,Inputs!$C$61),INDEX(Utility_Rates!$C$29:$F$52,HOUR(C1920)+Inputs!$C$69,MATCH(INDEX(Utility_Rates!$K$6:$K$17,MONTH(C1920))&amp;IF(WEEKDAY(C1920,Inputs!$C$76)&lt;=Inputs!$C$74," weekday"," weekend"),Utility_Rates!$C$28:$F$28,Inputs!$C$68)),"")</f>
      </c>
      <c r="H1920" s="34"/>
      <c r="I1920" s="42">
        <f>IF(AND(ISNUMBER(D1920),ISNUMBER(H1920)),D1920*H1920*Inputs!$C$69,"")</f>
      </c>
      <c r="J1920" s="42">
        <f>IF(AND(ISNUMBER(F1920),ISNUMBER(H1920),F1920&gt;=Inputs!$C$68),F1920*H1920*Inputs!$C$69,"")</f>
      </c>
    </row>
    <row r="1921" spans="2:10" ht="15" customHeight="1" x14ac:dyDescent="0.2">
      <c r="B1921" s="39">
        <f t="shared" si="14"/>
      </c>
      <c r="C1921" s="40">
        <f>IF(Inputs!$C$60,Inputs!$C$11+(B1921-Inputs!$C$69)/Inputs!$C$70,"")</f>
      </c>
      <c r="D1921" s="15"/>
      <c r="E1921" s="15"/>
      <c r="F1921" s="11">
        <f t="shared" si="15"/>
      </c>
      <c r="G1921" s="22" cm="1">
        <f t="array" ref="G1921">IF(AND(Inputs!$C$60,Inputs!$C$61),INDEX(Utility_Rates!$C$29:$F$52,HOUR(C1921)+Inputs!$C$69,MATCH(INDEX(Utility_Rates!$K$6:$K$17,MONTH(C1921))&amp;IF(WEEKDAY(C1921,Inputs!$C$76)&lt;=Inputs!$C$74," weekday"," weekend"),Utility_Rates!$C$28:$F$28,Inputs!$C$68)),"")</f>
      </c>
      <c r="H1921" s="34"/>
      <c r="I1921" s="42">
        <f>IF(AND(ISNUMBER(D1921),ISNUMBER(H1921)),D1921*H1921*Inputs!$C$69,"")</f>
      </c>
      <c r="J1921" s="42">
        <f>IF(AND(ISNUMBER(F1921),ISNUMBER(H1921),F1921&gt;=Inputs!$C$68),F1921*H1921*Inputs!$C$69,"")</f>
      </c>
    </row>
    <row r="1922" spans="2:10" ht="15" customHeight="1" x14ac:dyDescent="0.2">
      <c r="B1922" s="39">
        <f t="shared" si="14"/>
      </c>
      <c r="C1922" s="40">
        <f>IF(Inputs!$C$60,Inputs!$C$11+(B1922-Inputs!$C$69)/Inputs!$C$70,"")</f>
      </c>
      <c r="D1922" s="15"/>
      <c r="E1922" s="15"/>
      <c r="F1922" s="11">
        <f t="shared" si="15"/>
      </c>
      <c r="G1922" s="22" cm="1">
        <f t="array" ref="G1922">IF(AND(Inputs!$C$60,Inputs!$C$61),INDEX(Utility_Rates!$C$29:$F$52,HOUR(C1922)+Inputs!$C$69,MATCH(INDEX(Utility_Rates!$K$6:$K$17,MONTH(C1922))&amp;IF(WEEKDAY(C1922,Inputs!$C$76)&lt;=Inputs!$C$74," weekday"," weekend"),Utility_Rates!$C$28:$F$28,Inputs!$C$68)),"")</f>
      </c>
      <c r="H1922" s="34"/>
      <c r="I1922" s="42">
        <f>IF(AND(ISNUMBER(D1922),ISNUMBER(H1922)),D1922*H1922*Inputs!$C$69,"")</f>
      </c>
      <c r="J1922" s="42">
        <f>IF(AND(ISNUMBER(F1922),ISNUMBER(H1922),F1922&gt;=Inputs!$C$68),F1922*H1922*Inputs!$C$69,"")</f>
      </c>
    </row>
    <row r="1923" spans="2:10" ht="15" customHeight="1" x14ac:dyDescent="0.2">
      <c r="B1923" s="39">
        <f t="shared" si="14"/>
      </c>
      <c r="C1923" s="40">
        <f>IF(Inputs!$C$60,Inputs!$C$11+(B1923-Inputs!$C$69)/Inputs!$C$70,"")</f>
      </c>
      <c r="D1923" s="15"/>
      <c r="E1923" s="15"/>
      <c r="F1923" s="11">
        <f t="shared" si="15"/>
      </c>
      <c r="G1923" s="22" cm="1">
        <f t="array" ref="G1923">IF(AND(Inputs!$C$60,Inputs!$C$61),INDEX(Utility_Rates!$C$29:$F$52,HOUR(C1923)+Inputs!$C$69,MATCH(INDEX(Utility_Rates!$K$6:$K$17,MONTH(C1923))&amp;IF(WEEKDAY(C1923,Inputs!$C$76)&lt;=Inputs!$C$74," weekday"," weekend"),Utility_Rates!$C$28:$F$28,Inputs!$C$68)),"")</f>
      </c>
      <c r="H1923" s="34"/>
      <c r="I1923" s="42">
        <f>IF(AND(ISNUMBER(D1923),ISNUMBER(H1923)),D1923*H1923*Inputs!$C$69,"")</f>
      </c>
      <c r="J1923" s="42">
        <f>IF(AND(ISNUMBER(F1923),ISNUMBER(H1923),F1923&gt;=Inputs!$C$68),F1923*H1923*Inputs!$C$69,"")</f>
      </c>
    </row>
    <row r="1924" spans="2:10" ht="15" customHeight="1" x14ac:dyDescent="0.2">
      <c r="B1924" s="39">
        <f t="shared" si="14"/>
      </c>
      <c r="C1924" s="40">
        <f>IF(Inputs!$C$60,Inputs!$C$11+(B1924-Inputs!$C$69)/Inputs!$C$70,"")</f>
      </c>
      <c r="D1924" s="15"/>
      <c r="E1924" s="15"/>
      <c r="F1924" s="11">
        <f t="shared" si="15"/>
      </c>
      <c r="G1924" s="22" cm="1">
        <f t="array" ref="G1924">IF(AND(Inputs!$C$60,Inputs!$C$61),INDEX(Utility_Rates!$C$29:$F$52,HOUR(C1924)+Inputs!$C$69,MATCH(INDEX(Utility_Rates!$K$6:$K$17,MONTH(C1924))&amp;IF(WEEKDAY(C1924,Inputs!$C$76)&lt;=Inputs!$C$74," weekday"," weekend"),Utility_Rates!$C$28:$F$28,Inputs!$C$68)),"")</f>
      </c>
      <c r="H1924" s="34"/>
      <c r="I1924" s="42">
        <f>IF(AND(ISNUMBER(D1924),ISNUMBER(H1924)),D1924*H1924*Inputs!$C$69,"")</f>
      </c>
      <c r="J1924" s="42">
        <f>IF(AND(ISNUMBER(F1924),ISNUMBER(H1924),F1924&gt;=Inputs!$C$68),F1924*H1924*Inputs!$C$69,"")</f>
      </c>
    </row>
    <row r="1925" spans="2:10" ht="15" customHeight="1" x14ac:dyDescent="0.2">
      <c r="B1925" s="39">
        <f t="shared" si="14"/>
      </c>
      <c r="C1925" s="40">
        <f>IF(Inputs!$C$60,Inputs!$C$11+(B1925-Inputs!$C$69)/Inputs!$C$70,"")</f>
      </c>
      <c r="D1925" s="15"/>
      <c r="E1925" s="15"/>
      <c r="F1925" s="11">
        <f t="shared" si="15"/>
      </c>
      <c r="G1925" s="22" cm="1">
        <f t="array" ref="G1925">IF(AND(Inputs!$C$60,Inputs!$C$61),INDEX(Utility_Rates!$C$29:$F$52,HOUR(C1925)+Inputs!$C$69,MATCH(INDEX(Utility_Rates!$K$6:$K$17,MONTH(C1925))&amp;IF(WEEKDAY(C1925,Inputs!$C$76)&lt;=Inputs!$C$74," weekday"," weekend"),Utility_Rates!$C$28:$F$28,Inputs!$C$68)),"")</f>
      </c>
      <c r="H1925" s="34"/>
      <c r="I1925" s="42">
        <f>IF(AND(ISNUMBER(D1925),ISNUMBER(H1925)),D1925*H1925*Inputs!$C$69,"")</f>
      </c>
      <c r="J1925" s="42">
        <f>IF(AND(ISNUMBER(F1925),ISNUMBER(H1925),F1925&gt;=Inputs!$C$68),F1925*H1925*Inputs!$C$69,"")</f>
      </c>
    </row>
    <row r="1926" spans="2:10" ht="15" customHeight="1" x14ac:dyDescent="0.2">
      <c r="B1926" s="39">
        <f t="shared" si="14"/>
      </c>
      <c r="C1926" s="40">
        <f>IF(Inputs!$C$60,Inputs!$C$11+(B1926-Inputs!$C$69)/Inputs!$C$70,"")</f>
      </c>
      <c r="D1926" s="15"/>
      <c r="E1926" s="15"/>
      <c r="F1926" s="11">
        <f t="shared" si="15"/>
      </c>
      <c r="G1926" s="22" cm="1">
        <f t="array" ref="G1926">IF(AND(Inputs!$C$60,Inputs!$C$61),INDEX(Utility_Rates!$C$29:$F$52,HOUR(C1926)+Inputs!$C$69,MATCH(INDEX(Utility_Rates!$K$6:$K$17,MONTH(C1926))&amp;IF(WEEKDAY(C1926,Inputs!$C$76)&lt;=Inputs!$C$74," weekday"," weekend"),Utility_Rates!$C$28:$F$28,Inputs!$C$68)),"")</f>
      </c>
      <c r="H1926" s="34"/>
      <c r="I1926" s="42">
        <f>IF(AND(ISNUMBER(D1926),ISNUMBER(H1926)),D1926*H1926*Inputs!$C$69,"")</f>
      </c>
      <c r="J1926" s="42">
        <f>IF(AND(ISNUMBER(F1926),ISNUMBER(H1926),F1926&gt;=Inputs!$C$68),F1926*H1926*Inputs!$C$69,"")</f>
      </c>
    </row>
    <row r="1927" spans="2:10" ht="15" customHeight="1" x14ac:dyDescent="0.2">
      <c r="B1927" s="39">
        <f t="shared" si="14"/>
      </c>
      <c r="C1927" s="40">
        <f>IF(Inputs!$C$60,Inputs!$C$11+(B1927-Inputs!$C$69)/Inputs!$C$70,"")</f>
      </c>
      <c r="D1927" s="15"/>
      <c r="E1927" s="15"/>
      <c r="F1927" s="11">
        <f t="shared" si="15"/>
      </c>
      <c r="G1927" s="22" cm="1">
        <f t="array" ref="G1927">IF(AND(Inputs!$C$60,Inputs!$C$61),INDEX(Utility_Rates!$C$29:$F$52,HOUR(C1927)+Inputs!$C$69,MATCH(INDEX(Utility_Rates!$K$6:$K$17,MONTH(C1927))&amp;IF(WEEKDAY(C1927,Inputs!$C$76)&lt;=Inputs!$C$74," weekday"," weekend"),Utility_Rates!$C$28:$F$28,Inputs!$C$68)),"")</f>
      </c>
      <c r="H1927" s="34"/>
      <c r="I1927" s="42">
        <f>IF(AND(ISNUMBER(D1927),ISNUMBER(H1927)),D1927*H1927*Inputs!$C$69,"")</f>
      </c>
      <c r="J1927" s="42">
        <f>IF(AND(ISNUMBER(F1927),ISNUMBER(H1927),F1927&gt;=Inputs!$C$68),F1927*H1927*Inputs!$C$69,"")</f>
      </c>
    </row>
    <row r="1928" spans="2:10" ht="15" customHeight="1" x14ac:dyDescent="0.2">
      <c r="B1928" s="39">
        <f t="shared" si="14"/>
      </c>
      <c r="C1928" s="40">
        <f>IF(Inputs!$C$60,Inputs!$C$11+(B1928-Inputs!$C$69)/Inputs!$C$70,"")</f>
      </c>
      <c r="D1928" s="15"/>
      <c r="E1928" s="15"/>
      <c r="F1928" s="11">
        <f t="shared" si="15"/>
      </c>
      <c r="G1928" s="22" cm="1">
        <f t="array" ref="G1928">IF(AND(Inputs!$C$60,Inputs!$C$61),INDEX(Utility_Rates!$C$29:$F$52,HOUR(C1928)+Inputs!$C$69,MATCH(INDEX(Utility_Rates!$K$6:$K$17,MONTH(C1928))&amp;IF(WEEKDAY(C1928,Inputs!$C$76)&lt;=Inputs!$C$74," weekday"," weekend"),Utility_Rates!$C$28:$F$28,Inputs!$C$68)),"")</f>
      </c>
      <c r="H1928" s="34"/>
      <c r="I1928" s="42">
        <f>IF(AND(ISNUMBER(D1928),ISNUMBER(H1928)),D1928*H1928*Inputs!$C$69,"")</f>
      </c>
      <c r="J1928" s="42">
        <f>IF(AND(ISNUMBER(F1928),ISNUMBER(H1928),F1928&gt;=Inputs!$C$68),F1928*H1928*Inputs!$C$69,"")</f>
      </c>
    </row>
    <row r="1929" spans="2:10" ht="15" customHeight="1" x14ac:dyDescent="0.2">
      <c r="B1929" s="39">
        <f t="shared" si="14"/>
      </c>
      <c r="C1929" s="40">
        <f>IF(Inputs!$C$60,Inputs!$C$11+(B1929-Inputs!$C$69)/Inputs!$C$70,"")</f>
      </c>
      <c r="D1929" s="15"/>
      <c r="E1929" s="15"/>
      <c r="F1929" s="11">
        <f t="shared" si="15"/>
      </c>
      <c r="G1929" s="22" cm="1">
        <f t="array" ref="G1929">IF(AND(Inputs!$C$60,Inputs!$C$61),INDEX(Utility_Rates!$C$29:$F$52,HOUR(C1929)+Inputs!$C$69,MATCH(INDEX(Utility_Rates!$K$6:$K$17,MONTH(C1929))&amp;IF(WEEKDAY(C1929,Inputs!$C$76)&lt;=Inputs!$C$74," weekday"," weekend"),Utility_Rates!$C$28:$F$28,Inputs!$C$68)),"")</f>
      </c>
      <c r="H1929" s="34"/>
      <c r="I1929" s="42">
        <f>IF(AND(ISNUMBER(D1929),ISNUMBER(H1929)),D1929*H1929*Inputs!$C$69,"")</f>
      </c>
      <c r="J1929" s="42">
        <f>IF(AND(ISNUMBER(F1929),ISNUMBER(H1929),F1929&gt;=Inputs!$C$68),F1929*H1929*Inputs!$C$69,"")</f>
      </c>
    </row>
    <row r="1930" spans="2:10" ht="15" customHeight="1" x14ac:dyDescent="0.2">
      <c r="B1930" s="39">
        <f t="shared" si="14"/>
      </c>
      <c r="C1930" s="40">
        <f>IF(Inputs!$C$60,Inputs!$C$11+(B1930-Inputs!$C$69)/Inputs!$C$70,"")</f>
      </c>
      <c r="D1930" s="15"/>
      <c r="E1930" s="15"/>
      <c r="F1930" s="11">
        <f t="shared" si="15"/>
      </c>
      <c r="G1930" s="22" cm="1">
        <f t="array" ref="G1930">IF(AND(Inputs!$C$60,Inputs!$C$61),INDEX(Utility_Rates!$C$29:$F$52,HOUR(C1930)+Inputs!$C$69,MATCH(INDEX(Utility_Rates!$K$6:$K$17,MONTH(C1930))&amp;IF(WEEKDAY(C1930,Inputs!$C$76)&lt;=Inputs!$C$74," weekday"," weekend"),Utility_Rates!$C$28:$F$28,Inputs!$C$68)),"")</f>
      </c>
      <c r="H1930" s="34"/>
      <c r="I1930" s="42">
        <f>IF(AND(ISNUMBER(D1930),ISNUMBER(H1930)),D1930*H1930*Inputs!$C$69,"")</f>
      </c>
      <c r="J1930" s="42">
        <f>IF(AND(ISNUMBER(F1930),ISNUMBER(H1930),F1930&gt;=Inputs!$C$68),F1930*H1930*Inputs!$C$69,"")</f>
      </c>
    </row>
    <row r="1931" spans="2:10" ht="15" customHeight="1" x14ac:dyDescent="0.2">
      <c r="B1931" s="39">
        <f t="shared" si="14"/>
      </c>
      <c r="C1931" s="40">
        <f>IF(Inputs!$C$60,Inputs!$C$11+(B1931-Inputs!$C$69)/Inputs!$C$70,"")</f>
      </c>
      <c r="D1931" s="15"/>
      <c r="E1931" s="15"/>
      <c r="F1931" s="11">
        <f t="shared" si="15"/>
      </c>
      <c r="G1931" s="22" cm="1">
        <f t="array" ref="G1931">IF(AND(Inputs!$C$60,Inputs!$C$61),INDEX(Utility_Rates!$C$29:$F$52,HOUR(C1931)+Inputs!$C$69,MATCH(INDEX(Utility_Rates!$K$6:$K$17,MONTH(C1931))&amp;IF(WEEKDAY(C1931,Inputs!$C$76)&lt;=Inputs!$C$74," weekday"," weekend"),Utility_Rates!$C$28:$F$28,Inputs!$C$68)),"")</f>
      </c>
      <c r="H1931" s="34"/>
      <c r="I1931" s="42">
        <f>IF(AND(ISNUMBER(D1931),ISNUMBER(H1931)),D1931*H1931*Inputs!$C$69,"")</f>
      </c>
      <c r="J1931" s="42">
        <f>IF(AND(ISNUMBER(F1931),ISNUMBER(H1931),F1931&gt;=Inputs!$C$68),F1931*H1931*Inputs!$C$69,"")</f>
      </c>
    </row>
    <row r="1932" spans="2:10" ht="15" customHeight="1" x14ac:dyDescent="0.2">
      <c r="B1932" s="39">
        <f t="shared" si="14"/>
      </c>
      <c r="C1932" s="40">
        <f>IF(Inputs!$C$60,Inputs!$C$11+(B1932-Inputs!$C$69)/Inputs!$C$70,"")</f>
      </c>
      <c r="D1932" s="15"/>
      <c r="E1932" s="15"/>
      <c r="F1932" s="11">
        <f t="shared" si="15"/>
      </c>
      <c r="G1932" s="22" cm="1">
        <f t="array" ref="G1932">IF(AND(Inputs!$C$60,Inputs!$C$61),INDEX(Utility_Rates!$C$29:$F$52,HOUR(C1932)+Inputs!$C$69,MATCH(INDEX(Utility_Rates!$K$6:$K$17,MONTH(C1932))&amp;IF(WEEKDAY(C1932,Inputs!$C$76)&lt;=Inputs!$C$74," weekday"," weekend"),Utility_Rates!$C$28:$F$28,Inputs!$C$68)),"")</f>
      </c>
      <c r="H1932" s="34"/>
      <c r="I1932" s="42">
        <f>IF(AND(ISNUMBER(D1932),ISNUMBER(H1932)),D1932*H1932*Inputs!$C$69,"")</f>
      </c>
      <c r="J1932" s="42">
        <f>IF(AND(ISNUMBER(F1932),ISNUMBER(H1932),F1932&gt;=Inputs!$C$68),F1932*H1932*Inputs!$C$69,"")</f>
      </c>
    </row>
    <row r="1933" spans="2:10" ht="15" customHeight="1" x14ac:dyDescent="0.2">
      <c r="B1933" s="39">
        <f t="shared" si="14"/>
      </c>
      <c r="C1933" s="40">
        <f>IF(Inputs!$C$60,Inputs!$C$11+(B1933-Inputs!$C$69)/Inputs!$C$70,"")</f>
      </c>
      <c r="D1933" s="15"/>
      <c r="E1933" s="15"/>
      <c r="F1933" s="11">
        <f t="shared" si="15"/>
      </c>
      <c r="G1933" s="22" cm="1">
        <f t="array" ref="G1933">IF(AND(Inputs!$C$60,Inputs!$C$61),INDEX(Utility_Rates!$C$29:$F$52,HOUR(C1933)+Inputs!$C$69,MATCH(INDEX(Utility_Rates!$K$6:$K$17,MONTH(C1933))&amp;IF(WEEKDAY(C1933,Inputs!$C$76)&lt;=Inputs!$C$74," weekday"," weekend"),Utility_Rates!$C$28:$F$28,Inputs!$C$68)),"")</f>
      </c>
      <c r="H1933" s="34"/>
      <c r="I1933" s="42">
        <f>IF(AND(ISNUMBER(D1933),ISNUMBER(H1933)),D1933*H1933*Inputs!$C$69,"")</f>
      </c>
      <c r="J1933" s="42">
        <f>IF(AND(ISNUMBER(F1933),ISNUMBER(H1933),F1933&gt;=Inputs!$C$68),F1933*H1933*Inputs!$C$69,"")</f>
      </c>
    </row>
    <row r="1934" spans="2:10" ht="15" customHeight="1" x14ac:dyDescent="0.2">
      <c r="B1934" s="39">
        <f t="shared" si="14"/>
      </c>
      <c r="C1934" s="40">
        <f>IF(Inputs!$C$60,Inputs!$C$11+(B1934-Inputs!$C$69)/Inputs!$C$70,"")</f>
      </c>
      <c r="D1934" s="15"/>
      <c r="E1934" s="15"/>
      <c r="F1934" s="11">
        <f t="shared" si="15"/>
      </c>
      <c r="G1934" s="22" cm="1">
        <f t="array" ref="G1934">IF(AND(Inputs!$C$60,Inputs!$C$61),INDEX(Utility_Rates!$C$29:$F$52,HOUR(C1934)+Inputs!$C$69,MATCH(INDEX(Utility_Rates!$K$6:$K$17,MONTH(C1934))&amp;IF(WEEKDAY(C1934,Inputs!$C$76)&lt;=Inputs!$C$74," weekday"," weekend"),Utility_Rates!$C$28:$F$28,Inputs!$C$68)),"")</f>
      </c>
      <c r="H1934" s="34"/>
      <c r="I1934" s="42">
        <f>IF(AND(ISNUMBER(D1934),ISNUMBER(H1934)),D1934*H1934*Inputs!$C$69,"")</f>
      </c>
      <c r="J1934" s="42">
        <f>IF(AND(ISNUMBER(F1934),ISNUMBER(H1934),F1934&gt;=Inputs!$C$68),F1934*H1934*Inputs!$C$69,"")</f>
      </c>
    </row>
    <row r="1935" spans="2:10" ht="15" customHeight="1" x14ac:dyDescent="0.2">
      <c r="B1935" s="39">
        <f t="shared" si="14"/>
      </c>
      <c r="C1935" s="40">
        <f>IF(Inputs!$C$60,Inputs!$C$11+(B1935-Inputs!$C$69)/Inputs!$C$70,"")</f>
      </c>
      <c r="D1935" s="15"/>
      <c r="E1935" s="15"/>
      <c r="F1935" s="11">
        <f t="shared" si="15"/>
      </c>
      <c r="G1935" s="22" cm="1">
        <f t="array" ref="G1935">IF(AND(Inputs!$C$60,Inputs!$C$61),INDEX(Utility_Rates!$C$29:$F$52,HOUR(C1935)+Inputs!$C$69,MATCH(INDEX(Utility_Rates!$K$6:$K$17,MONTH(C1935))&amp;IF(WEEKDAY(C1935,Inputs!$C$76)&lt;=Inputs!$C$74," weekday"," weekend"),Utility_Rates!$C$28:$F$28,Inputs!$C$68)),"")</f>
      </c>
      <c r="H1935" s="34"/>
      <c r="I1935" s="42">
        <f>IF(AND(ISNUMBER(D1935),ISNUMBER(H1935)),D1935*H1935*Inputs!$C$69,"")</f>
      </c>
      <c r="J1935" s="42">
        <f>IF(AND(ISNUMBER(F1935),ISNUMBER(H1935),F1935&gt;=Inputs!$C$68),F1935*H1935*Inputs!$C$69,"")</f>
      </c>
    </row>
    <row r="1936" spans="2:10" ht="15" customHeight="1" x14ac:dyDescent="0.2">
      <c r="B1936" s="39">
        <f t="shared" si="14"/>
      </c>
      <c r="C1936" s="40">
        <f>IF(Inputs!$C$60,Inputs!$C$11+(B1936-Inputs!$C$69)/Inputs!$C$70,"")</f>
      </c>
      <c r="D1936" s="15"/>
      <c r="E1936" s="15"/>
      <c r="F1936" s="11">
        <f t="shared" si="15"/>
      </c>
      <c r="G1936" s="22" cm="1">
        <f t="array" ref="G1936">IF(AND(Inputs!$C$60,Inputs!$C$61),INDEX(Utility_Rates!$C$29:$F$52,HOUR(C1936)+Inputs!$C$69,MATCH(INDEX(Utility_Rates!$K$6:$K$17,MONTH(C1936))&amp;IF(WEEKDAY(C1936,Inputs!$C$76)&lt;=Inputs!$C$74," weekday"," weekend"),Utility_Rates!$C$28:$F$28,Inputs!$C$68)),"")</f>
      </c>
      <c r="H1936" s="34"/>
      <c r="I1936" s="42">
        <f>IF(AND(ISNUMBER(D1936),ISNUMBER(H1936)),D1936*H1936*Inputs!$C$69,"")</f>
      </c>
      <c r="J1936" s="42">
        <f>IF(AND(ISNUMBER(F1936),ISNUMBER(H1936),F1936&gt;=Inputs!$C$68),F1936*H1936*Inputs!$C$69,"")</f>
      </c>
    </row>
    <row r="1937" spans="2:10" ht="15" customHeight="1" x14ac:dyDescent="0.2">
      <c r="B1937" s="39">
        <f t="shared" si="14"/>
      </c>
      <c r="C1937" s="40">
        <f>IF(Inputs!$C$60,Inputs!$C$11+(B1937-Inputs!$C$69)/Inputs!$C$70,"")</f>
      </c>
      <c r="D1937" s="15"/>
      <c r="E1937" s="15"/>
      <c r="F1937" s="11">
        <f t="shared" si="15"/>
      </c>
      <c r="G1937" s="22" cm="1">
        <f t="array" ref="G1937">IF(AND(Inputs!$C$60,Inputs!$C$61),INDEX(Utility_Rates!$C$29:$F$52,HOUR(C1937)+Inputs!$C$69,MATCH(INDEX(Utility_Rates!$K$6:$K$17,MONTH(C1937))&amp;IF(WEEKDAY(C1937,Inputs!$C$76)&lt;=Inputs!$C$74," weekday"," weekend"),Utility_Rates!$C$28:$F$28,Inputs!$C$68)),"")</f>
      </c>
      <c r="H1937" s="34"/>
      <c r="I1937" s="42">
        <f>IF(AND(ISNUMBER(D1937),ISNUMBER(H1937)),D1937*H1937*Inputs!$C$69,"")</f>
      </c>
      <c r="J1937" s="42">
        <f>IF(AND(ISNUMBER(F1937),ISNUMBER(H1937),F1937&gt;=Inputs!$C$68),F1937*H1937*Inputs!$C$69,"")</f>
      </c>
    </row>
    <row r="1938" spans="2:10" ht="15" customHeight="1" x14ac:dyDescent="0.2">
      <c r="B1938" s="39">
        <f t="shared" si="14"/>
      </c>
      <c r="C1938" s="40">
        <f>IF(Inputs!$C$60,Inputs!$C$11+(B1938-Inputs!$C$69)/Inputs!$C$70,"")</f>
      </c>
      <c r="D1938" s="15"/>
      <c r="E1938" s="15"/>
      <c r="F1938" s="11">
        <f t="shared" si="15"/>
      </c>
      <c r="G1938" s="22" cm="1">
        <f t="array" ref="G1938">IF(AND(Inputs!$C$60,Inputs!$C$61),INDEX(Utility_Rates!$C$29:$F$52,HOUR(C1938)+Inputs!$C$69,MATCH(INDEX(Utility_Rates!$K$6:$K$17,MONTH(C1938))&amp;IF(WEEKDAY(C1938,Inputs!$C$76)&lt;=Inputs!$C$74," weekday"," weekend"),Utility_Rates!$C$28:$F$28,Inputs!$C$68)),"")</f>
      </c>
      <c r="H1938" s="34"/>
      <c r="I1938" s="42">
        <f>IF(AND(ISNUMBER(D1938),ISNUMBER(H1938)),D1938*H1938*Inputs!$C$69,"")</f>
      </c>
      <c r="J1938" s="42">
        <f>IF(AND(ISNUMBER(F1938),ISNUMBER(H1938),F1938&gt;=Inputs!$C$68),F1938*H1938*Inputs!$C$69,"")</f>
      </c>
    </row>
    <row r="1939" spans="2:10" ht="15" customHeight="1" x14ac:dyDescent="0.2">
      <c r="B1939" s="39">
        <f t="shared" si="14"/>
      </c>
      <c r="C1939" s="40">
        <f>IF(Inputs!$C$60,Inputs!$C$11+(B1939-Inputs!$C$69)/Inputs!$C$70,"")</f>
      </c>
      <c r="D1939" s="15"/>
      <c r="E1939" s="15"/>
      <c r="F1939" s="11">
        <f t="shared" si="15"/>
      </c>
      <c r="G1939" s="22" cm="1">
        <f t="array" ref="G1939">IF(AND(Inputs!$C$60,Inputs!$C$61),INDEX(Utility_Rates!$C$29:$F$52,HOUR(C1939)+Inputs!$C$69,MATCH(INDEX(Utility_Rates!$K$6:$K$17,MONTH(C1939))&amp;IF(WEEKDAY(C1939,Inputs!$C$76)&lt;=Inputs!$C$74," weekday"," weekend"),Utility_Rates!$C$28:$F$28,Inputs!$C$68)),"")</f>
      </c>
      <c r="H1939" s="34"/>
      <c r="I1939" s="42">
        <f>IF(AND(ISNUMBER(D1939),ISNUMBER(H1939)),D1939*H1939*Inputs!$C$69,"")</f>
      </c>
      <c r="J1939" s="42">
        <f>IF(AND(ISNUMBER(F1939),ISNUMBER(H1939),F1939&gt;=Inputs!$C$68),F1939*H1939*Inputs!$C$69,"")</f>
      </c>
    </row>
    <row r="1940" spans="2:10" ht="15" customHeight="1" x14ac:dyDescent="0.2">
      <c r="B1940" s="39">
        <f t="shared" si="14"/>
      </c>
      <c r="C1940" s="40">
        <f>IF(Inputs!$C$60,Inputs!$C$11+(B1940-Inputs!$C$69)/Inputs!$C$70,"")</f>
      </c>
      <c r="D1940" s="15"/>
      <c r="E1940" s="15"/>
      <c r="F1940" s="11">
        <f t="shared" si="15"/>
      </c>
      <c r="G1940" s="22" cm="1">
        <f t="array" ref="G1940">IF(AND(Inputs!$C$60,Inputs!$C$61),INDEX(Utility_Rates!$C$29:$F$52,HOUR(C1940)+Inputs!$C$69,MATCH(INDEX(Utility_Rates!$K$6:$K$17,MONTH(C1940))&amp;IF(WEEKDAY(C1940,Inputs!$C$76)&lt;=Inputs!$C$74," weekday"," weekend"),Utility_Rates!$C$28:$F$28,Inputs!$C$68)),"")</f>
      </c>
      <c r="H1940" s="34"/>
      <c r="I1940" s="42">
        <f>IF(AND(ISNUMBER(D1940),ISNUMBER(H1940)),D1940*H1940*Inputs!$C$69,"")</f>
      </c>
      <c r="J1940" s="42">
        <f>IF(AND(ISNUMBER(F1940),ISNUMBER(H1940),F1940&gt;=Inputs!$C$68),F1940*H1940*Inputs!$C$69,"")</f>
      </c>
    </row>
    <row r="1941" spans="2:10" ht="15" customHeight="1" x14ac:dyDescent="0.2">
      <c r="B1941" s="39">
        <f t="shared" si="14"/>
      </c>
      <c r="C1941" s="40">
        <f>IF(Inputs!$C$60,Inputs!$C$11+(B1941-Inputs!$C$69)/Inputs!$C$70,"")</f>
      </c>
      <c r="D1941" s="15"/>
      <c r="E1941" s="15"/>
      <c r="F1941" s="11">
        <f t="shared" si="15"/>
      </c>
      <c r="G1941" s="22" cm="1">
        <f t="array" ref="G1941">IF(AND(Inputs!$C$60,Inputs!$C$61),INDEX(Utility_Rates!$C$29:$F$52,HOUR(C1941)+Inputs!$C$69,MATCH(INDEX(Utility_Rates!$K$6:$K$17,MONTH(C1941))&amp;IF(WEEKDAY(C1941,Inputs!$C$76)&lt;=Inputs!$C$74," weekday"," weekend"),Utility_Rates!$C$28:$F$28,Inputs!$C$68)),"")</f>
      </c>
      <c r="H1941" s="34"/>
      <c r="I1941" s="42">
        <f>IF(AND(ISNUMBER(D1941),ISNUMBER(H1941)),D1941*H1941*Inputs!$C$69,"")</f>
      </c>
      <c r="J1941" s="42">
        <f>IF(AND(ISNUMBER(F1941),ISNUMBER(H1941),F1941&gt;=Inputs!$C$68),F1941*H1941*Inputs!$C$69,"")</f>
      </c>
    </row>
    <row r="1942" spans="2:10" ht="15" customHeight="1" x14ac:dyDescent="0.2">
      <c r="B1942" s="39">
        <f t="shared" si="14"/>
      </c>
      <c r="C1942" s="40">
        <f>IF(Inputs!$C$60,Inputs!$C$11+(B1942-Inputs!$C$69)/Inputs!$C$70,"")</f>
      </c>
      <c r="D1942" s="15"/>
      <c r="E1942" s="15"/>
      <c r="F1942" s="11">
        <f t="shared" si="15"/>
      </c>
      <c r="G1942" s="22" cm="1">
        <f t="array" ref="G1942">IF(AND(Inputs!$C$60,Inputs!$C$61),INDEX(Utility_Rates!$C$29:$F$52,HOUR(C1942)+Inputs!$C$69,MATCH(INDEX(Utility_Rates!$K$6:$K$17,MONTH(C1942))&amp;IF(WEEKDAY(C1942,Inputs!$C$76)&lt;=Inputs!$C$74," weekday"," weekend"),Utility_Rates!$C$28:$F$28,Inputs!$C$68)),"")</f>
      </c>
      <c r="H1942" s="34"/>
      <c r="I1942" s="42">
        <f>IF(AND(ISNUMBER(D1942),ISNUMBER(H1942)),D1942*H1942*Inputs!$C$69,"")</f>
      </c>
      <c r="J1942" s="42">
        <f>IF(AND(ISNUMBER(F1942),ISNUMBER(H1942),F1942&gt;=Inputs!$C$68),F1942*H1942*Inputs!$C$69,"")</f>
      </c>
    </row>
    <row r="1943" spans="2:10" ht="15" customHeight="1" x14ac:dyDescent="0.2">
      <c r="B1943" s="39">
        <f t="shared" si="14"/>
      </c>
      <c r="C1943" s="40">
        <f>IF(Inputs!$C$60,Inputs!$C$11+(B1943-Inputs!$C$69)/Inputs!$C$70,"")</f>
      </c>
      <c r="D1943" s="15"/>
      <c r="E1943" s="15"/>
      <c r="F1943" s="11">
        <f t="shared" si="15"/>
      </c>
      <c r="G1943" s="22" cm="1">
        <f t="array" ref="G1943">IF(AND(Inputs!$C$60,Inputs!$C$61),INDEX(Utility_Rates!$C$29:$F$52,HOUR(C1943)+Inputs!$C$69,MATCH(INDEX(Utility_Rates!$K$6:$K$17,MONTH(C1943))&amp;IF(WEEKDAY(C1943,Inputs!$C$76)&lt;=Inputs!$C$74," weekday"," weekend"),Utility_Rates!$C$28:$F$28,Inputs!$C$68)),"")</f>
      </c>
      <c r="H1943" s="34"/>
      <c r="I1943" s="42">
        <f>IF(AND(ISNUMBER(D1943),ISNUMBER(H1943)),D1943*H1943*Inputs!$C$69,"")</f>
      </c>
      <c r="J1943" s="42">
        <f>IF(AND(ISNUMBER(F1943),ISNUMBER(H1943),F1943&gt;=Inputs!$C$68),F1943*H1943*Inputs!$C$69,"")</f>
      </c>
    </row>
    <row r="1944" spans="2:10" ht="15" customHeight="1" x14ac:dyDescent="0.2">
      <c r="B1944" s="39">
        <f t="shared" si="14"/>
      </c>
      <c r="C1944" s="40">
        <f>IF(Inputs!$C$60,Inputs!$C$11+(B1944-Inputs!$C$69)/Inputs!$C$70,"")</f>
      </c>
      <c r="D1944" s="15"/>
      <c r="E1944" s="15"/>
      <c r="F1944" s="11">
        <f t="shared" si="15"/>
      </c>
      <c r="G1944" s="22" cm="1">
        <f t="array" ref="G1944">IF(AND(Inputs!$C$60,Inputs!$C$61),INDEX(Utility_Rates!$C$29:$F$52,HOUR(C1944)+Inputs!$C$69,MATCH(INDEX(Utility_Rates!$K$6:$K$17,MONTH(C1944))&amp;IF(WEEKDAY(C1944,Inputs!$C$76)&lt;=Inputs!$C$74," weekday"," weekend"),Utility_Rates!$C$28:$F$28,Inputs!$C$68)),"")</f>
      </c>
      <c r="H1944" s="34"/>
      <c r="I1944" s="42">
        <f>IF(AND(ISNUMBER(D1944),ISNUMBER(H1944)),D1944*H1944*Inputs!$C$69,"")</f>
      </c>
      <c r="J1944" s="42">
        <f>IF(AND(ISNUMBER(F1944),ISNUMBER(H1944),F1944&gt;=Inputs!$C$68),F1944*H1944*Inputs!$C$69,"")</f>
      </c>
    </row>
    <row r="1945" spans="2:10" ht="15" customHeight="1" x14ac:dyDescent="0.2">
      <c r="B1945" s="39">
        <f t="shared" si="14"/>
      </c>
      <c r="C1945" s="40">
        <f>IF(Inputs!$C$60,Inputs!$C$11+(B1945-Inputs!$C$69)/Inputs!$C$70,"")</f>
      </c>
      <c r="D1945" s="15"/>
      <c r="E1945" s="15"/>
      <c r="F1945" s="11">
        <f t="shared" si="15"/>
      </c>
      <c r="G1945" s="22" cm="1">
        <f t="array" ref="G1945">IF(AND(Inputs!$C$60,Inputs!$C$61),INDEX(Utility_Rates!$C$29:$F$52,HOUR(C1945)+Inputs!$C$69,MATCH(INDEX(Utility_Rates!$K$6:$K$17,MONTH(C1945))&amp;IF(WEEKDAY(C1945,Inputs!$C$76)&lt;=Inputs!$C$74," weekday"," weekend"),Utility_Rates!$C$28:$F$28,Inputs!$C$68)),"")</f>
      </c>
      <c r="H1945" s="34"/>
      <c r="I1945" s="42">
        <f>IF(AND(ISNUMBER(D1945),ISNUMBER(H1945)),D1945*H1945*Inputs!$C$69,"")</f>
      </c>
      <c r="J1945" s="42">
        <f>IF(AND(ISNUMBER(F1945),ISNUMBER(H1945),F1945&gt;=Inputs!$C$68),F1945*H1945*Inputs!$C$69,"")</f>
      </c>
    </row>
    <row r="1946" spans="2:10" ht="15" customHeight="1" x14ac:dyDescent="0.2">
      <c r="B1946" s="39">
        <f t="shared" si="14"/>
      </c>
      <c r="C1946" s="40">
        <f>IF(Inputs!$C$60,Inputs!$C$11+(B1946-Inputs!$C$69)/Inputs!$C$70,"")</f>
      </c>
      <c r="D1946" s="15"/>
      <c r="E1946" s="15"/>
      <c r="F1946" s="11">
        <f t="shared" si="15"/>
      </c>
      <c r="G1946" s="22" cm="1">
        <f t="array" ref="G1946">IF(AND(Inputs!$C$60,Inputs!$C$61),INDEX(Utility_Rates!$C$29:$F$52,HOUR(C1946)+Inputs!$C$69,MATCH(INDEX(Utility_Rates!$K$6:$K$17,MONTH(C1946))&amp;IF(WEEKDAY(C1946,Inputs!$C$76)&lt;=Inputs!$C$74," weekday"," weekend"),Utility_Rates!$C$28:$F$28,Inputs!$C$68)),"")</f>
      </c>
      <c r="H1946" s="34"/>
      <c r="I1946" s="42">
        <f>IF(AND(ISNUMBER(D1946),ISNUMBER(H1946)),D1946*H1946*Inputs!$C$69,"")</f>
      </c>
      <c r="J1946" s="42">
        <f>IF(AND(ISNUMBER(F1946),ISNUMBER(H1946),F1946&gt;=Inputs!$C$68),F1946*H1946*Inputs!$C$69,"")</f>
      </c>
    </row>
    <row r="1947" spans="2:10" ht="15" customHeight="1" x14ac:dyDescent="0.2">
      <c r="B1947" s="39">
        <f t="shared" si="14"/>
      </c>
      <c r="C1947" s="40">
        <f>IF(Inputs!$C$60,Inputs!$C$11+(B1947-Inputs!$C$69)/Inputs!$C$70,"")</f>
      </c>
      <c r="D1947" s="15"/>
      <c r="E1947" s="15"/>
      <c r="F1947" s="11">
        <f t="shared" si="15"/>
      </c>
      <c r="G1947" s="22" cm="1">
        <f t="array" ref="G1947">IF(AND(Inputs!$C$60,Inputs!$C$61),INDEX(Utility_Rates!$C$29:$F$52,HOUR(C1947)+Inputs!$C$69,MATCH(INDEX(Utility_Rates!$K$6:$K$17,MONTH(C1947))&amp;IF(WEEKDAY(C1947,Inputs!$C$76)&lt;=Inputs!$C$74," weekday"," weekend"),Utility_Rates!$C$28:$F$28,Inputs!$C$68)),"")</f>
      </c>
      <c r="H1947" s="34"/>
      <c r="I1947" s="42">
        <f>IF(AND(ISNUMBER(D1947),ISNUMBER(H1947)),D1947*H1947*Inputs!$C$69,"")</f>
      </c>
      <c r="J1947" s="42">
        <f>IF(AND(ISNUMBER(F1947),ISNUMBER(H1947),F1947&gt;=Inputs!$C$68),F1947*H1947*Inputs!$C$69,"")</f>
      </c>
    </row>
    <row r="1948" spans="2:10" ht="15" customHeight="1" x14ac:dyDescent="0.2">
      <c r="B1948" s="39">
        <f t="shared" si="14"/>
      </c>
      <c r="C1948" s="40">
        <f>IF(Inputs!$C$60,Inputs!$C$11+(B1948-Inputs!$C$69)/Inputs!$C$70,"")</f>
      </c>
      <c r="D1948" s="15"/>
      <c r="E1948" s="15"/>
      <c r="F1948" s="11">
        <f t="shared" si="15"/>
      </c>
      <c r="G1948" s="22" cm="1">
        <f t="array" ref="G1948">IF(AND(Inputs!$C$60,Inputs!$C$61),INDEX(Utility_Rates!$C$29:$F$52,HOUR(C1948)+Inputs!$C$69,MATCH(INDEX(Utility_Rates!$K$6:$K$17,MONTH(C1948))&amp;IF(WEEKDAY(C1948,Inputs!$C$76)&lt;=Inputs!$C$74," weekday"," weekend"),Utility_Rates!$C$28:$F$28,Inputs!$C$68)),"")</f>
      </c>
      <c r="H1948" s="34"/>
      <c r="I1948" s="42">
        <f>IF(AND(ISNUMBER(D1948),ISNUMBER(H1948)),D1948*H1948*Inputs!$C$69,"")</f>
      </c>
      <c r="J1948" s="42">
        <f>IF(AND(ISNUMBER(F1948),ISNUMBER(H1948),F1948&gt;=Inputs!$C$68),F1948*H1948*Inputs!$C$69,"")</f>
      </c>
    </row>
    <row r="1949" spans="2:10" ht="15" customHeight="1" x14ac:dyDescent="0.2">
      <c r="B1949" s="39">
        <f t="shared" si="14"/>
      </c>
      <c r="C1949" s="40">
        <f>IF(Inputs!$C$60,Inputs!$C$11+(B1949-Inputs!$C$69)/Inputs!$C$70,"")</f>
      </c>
      <c r="D1949" s="15"/>
      <c r="E1949" s="15"/>
      <c r="F1949" s="11">
        <f t="shared" si="15"/>
      </c>
      <c r="G1949" s="22" cm="1">
        <f t="array" ref="G1949">IF(AND(Inputs!$C$60,Inputs!$C$61),INDEX(Utility_Rates!$C$29:$F$52,HOUR(C1949)+Inputs!$C$69,MATCH(INDEX(Utility_Rates!$K$6:$K$17,MONTH(C1949))&amp;IF(WEEKDAY(C1949,Inputs!$C$76)&lt;=Inputs!$C$74," weekday"," weekend"),Utility_Rates!$C$28:$F$28,Inputs!$C$68)),"")</f>
      </c>
      <c r="H1949" s="34"/>
      <c r="I1949" s="42">
        <f>IF(AND(ISNUMBER(D1949),ISNUMBER(H1949)),D1949*H1949*Inputs!$C$69,"")</f>
      </c>
      <c r="J1949" s="42">
        <f>IF(AND(ISNUMBER(F1949),ISNUMBER(H1949),F1949&gt;=Inputs!$C$68),F1949*H1949*Inputs!$C$69,"")</f>
      </c>
    </row>
    <row r="1950" spans="2:10" ht="15" customHeight="1" x14ac:dyDescent="0.2">
      <c r="B1950" s="39">
        <f t="shared" si="14"/>
      </c>
      <c r="C1950" s="40">
        <f>IF(Inputs!$C$60,Inputs!$C$11+(B1950-Inputs!$C$69)/Inputs!$C$70,"")</f>
      </c>
      <c r="D1950" s="15"/>
      <c r="E1950" s="15"/>
      <c r="F1950" s="11">
        <f t="shared" si="15"/>
      </c>
      <c r="G1950" s="22" cm="1">
        <f t="array" ref="G1950">IF(AND(Inputs!$C$60,Inputs!$C$61),INDEX(Utility_Rates!$C$29:$F$52,HOUR(C1950)+Inputs!$C$69,MATCH(INDEX(Utility_Rates!$K$6:$K$17,MONTH(C1950))&amp;IF(WEEKDAY(C1950,Inputs!$C$76)&lt;=Inputs!$C$74," weekday"," weekend"),Utility_Rates!$C$28:$F$28,Inputs!$C$68)),"")</f>
      </c>
      <c r="H1950" s="34"/>
      <c r="I1950" s="42">
        <f>IF(AND(ISNUMBER(D1950),ISNUMBER(H1950)),D1950*H1950*Inputs!$C$69,"")</f>
      </c>
      <c r="J1950" s="42">
        <f>IF(AND(ISNUMBER(F1950),ISNUMBER(H1950),F1950&gt;=Inputs!$C$68),F1950*H1950*Inputs!$C$69,"")</f>
      </c>
    </row>
    <row r="1951" spans="2:10" ht="15" customHeight="1" x14ac:dyDescent="0.2">
      <c r="B1951" s="39">
        <f t="shared" si="14"/>
      </c>
      <c r="C1951" s="40">
        <f>IF(Inputs!$C$60,Inputs!$C$11+(B1951-Inputs!$C$69)/Inputs!$C$70,"")</f>
      </c>
      <c r="D1951" s="15"/>
      <c r="E1951" s="15"/>
      <c r="F1951" s="11">
        <f t="shared" si="15"/>
      </c>
      <c r="G1951" s="22" cm="1">
        <f t="array" ref="G1951">IF(AND(Inputs!$C$60,Inputs!$C$61),INDEX(Utility_Rates!$C$29:$F$52,HOUR(C1951)+Inputs!$C$69,MATCH(INDEX(Utility_Rates!$K$6:$K$17,MONTH(C1951))&amp;IF(WEEKDAY(C1951,Inputs!$C$76)&lt;=Inputs!$C$74," weekday"," weekend"),Utility_Rates!$C$28:$F$28,Inputs!$C$68)),"")</f>
      </c>
      <c r="H1951" s="34"/>
      <c r="I1951" s="42">
        <f>IF(AND(ISNUMBER(D1951),ISNUMBER(H1951)),D1951*H1951*Inputs!$C$69,"")</f>
      </c>
      <c r="J1951" s="42">
        <f>IF(AND(ISNUMBER(F1951),ISNUMBER(H1951),F1951&gt;=Inputs!$C$68),F1951*H1951*Inputs!$C$69,"")</f>
      </c>
    </row>
    <row r="1952" spans="2:10" ht="15" customHeight="1" x14ac:dyDescent="0.2">
      <c r="B1952" s="39">
        <f t="shared" si="14"/>
      </c>
      <c r="C1952" s="40">
        <f>IF(Inputs!$C$60,Inputs!$C$11+(B1952-Inputs!$C$69)/Inputs!$C$70,"")</f>
      </c>
      <c r="D1952" s="15"/>
      <c r="E1952" s="15"/>
      <c r="F1952" s="11">
        <f t="shared" si="15"/>
      </c>
      <c r="G1952" s="22" cm="1">
        <f t="array" ref="G1952">IF(AND(Inputs!$C$60,Inputs!$C$61),INDEX(Utility_Rates!$C$29:$F$52,HOUR(C1952)+Inputs!$C$69,MATCH(INDEX(Utility_Rates!$K$6:$K$17,MONTH(C1952))&amp;IF(WEEKDAY(C1952,Inputs!$C$76)&lt;=Inputs!$C$74," weekday"," weekend"),Utility_Rates!$C$28:$F$28,Inputs!$C$68)),"")</f>
      </c>
      <c r="H1952" s="34"/>
      <c r="I1952" s="42">
        <f>IF(AND(ISNUMBER(D1952),ISNUMBER(H1952)),D1952*H1952*Inputs!$C$69,"")</f>
      </c>
      <c r="J1952" s="42">
        <f>IF(AND(ISNUMBER(F1952),ISNUMBER(H1952),F1952&gt;=Inputs!$C$68),F1952*H1952*Inputs!$C$69,"")</f>
      </c>
    </row>
    <row r="1953" spans="2:10" ht="15" customHeight="1" x14ac:dyDescent="0.2">
      <c r="B1953" s="39">
        <f t="shared" si="14"/>
      </c>
      <c r="C1953" s="40">
        <f>IF(Inputs!$C$60,Inputs!$C$11+(B1953-Inputs!$C$69)/Inputs!$C$70,"")</f>
      </c>
      <c r="D1953" s="15"/>
      <c r="E1953" s="15"/>
      <c r="F1953" s="11">
        <f t="shared" si="15"/>
      </c>
      <c r="G1953" s="22" cm="1">
        <f t="array" ref="G1953">IF(AND(Inputs!$C$60,Inputs!$C$61),INDEX(Utility_Rates!$C$29:$F$52,HOUR(C1953)+Inputs!$C$69,MATCH(INDEX(Utility_Rates!$K$6:$K$17,MONTH(C1953))&amp;IF(WEEKDAY(C1953,Inputs!$C$76)&lt;=Inputs!$C$74," weekday"," weekend"),Utility_Rates!$C$28:$F$28,Inputs!$C$68)),"")</f>
      </c>
      <c r="H1953" s="34"/>
      <c r="I1953" s="42">
        <f>IF(AND(ISNUMBER(D1953),ISNUMBER(H1953)),D1953*H1953*Inputs!$C$69,"")</f>
      </c>
      <c r="J1953" s="42">
        <f>IF(AND(ISNUMBER(F1953),ISNUMBER(H1953),F1953&gt;=Inputs!$C$68),F1953*H1953*Inputs!$C$69,"")</f>
      </c>
    </row>
    <row r="1954" spans="2:10" ht="15" customHeight="1" x14ac:dyDescent="0.2">
      <c r="B1954" s="39">
        <f t="shared" si="14"/>
      </c>
      <c r="C1954" s="40">
        <f>IF(Inputs!$C$60,Inputs!$C$11+(B1954-Inputs!$C$69)/Inputs!$C$70,"")</f>
      </c>
      <c r="D1954" s="15"/>
      <c r="E1954" s="15"/>
      <c r="F1954" s="11">
        <f t="shared" si="15"/>
      </c>
      <c r="G1954" s="22" cm="1">
        <f t="array" ref="G1954">IF(AND(Inputs!$C$60,Inputs!$C$61),INDEX(Utility_Rates!$C$29:$F$52,HOUR(C1954)+Inputs!$C$69,MATCH(INDEX(Utility_Rates!$K$6:$K$17,MONTH(C1954))&amp;IF(WEEKDAY(C1954,Inputs!$C$76)&lt;=Inputs!$C$74," weekday"," weekend"),Utility_Rates!$C$28:$F$28,Inputs!$C$68)),"")</f>
      </c>
      <c r="H1954" s="34"/>
      <c r="I1954" s="42">
        <f>IF(AND(ISNUMBER(D1954),ISNUMBER(H1954)),D1954*H1954*Inputs!$C$69,"")</f>
      </c>
      <c r="J1954" s="42">
        <f>IF(AND(ISNUMBER(F1954),ISNUMBER(H1954),F1954&gt;=Inputs!$C$68),F1954*H1954*Inputs!$C$69,"")</f>
      </c>
    </row>
    <row r="1955" spans="2:10" ht="15" customHeight="1" x14ac:dyDescent="0.2">
      <c r="B1955" s="39">
        <f t="shared" si="14"/>
      </c>
      <c r="C1955" s="40">
        <f>IF(Inputs!$C$60,Inputs!$C$11+(B1955-Inputs!$C$69)/Inputs!$C$70,"")</f>
      </c>
      <c r="D1955" s="15"/>
      <c r="E1955" s="15"/>
      <c r="F1955" s="11">
        <f t="shared" si="15"/>
      </c>
      <c r="G1955" s="22" cm="1">
        <f t="array" ref="G1955">IF(AND(Inputs!$C$60,Inputs!$C$61),INDEX(Utility_Rates!$C$29:$F$52,HOUR(C1955)+Inputs!$C$69,MATCH(INDEX(Utility_Rates!$K$6:$K$17,MONTH(C1955))&amp;IF(WEEKDAY(C1955,Inputs!$C$76)&lt;=Inputs!$C$74," weekday"," weekend"),Utility_Rates!$C$28:$F$28,Inputs!$C$68)),"")</f>
      </c>
      <c r="H1955" s="34"/>
      <c r="I1955" s="42">
        <f>IF(AND(ISNUMBER(D1955),ISNUMBER(H1955)),D1955*H1955*Inputs!$C$69,"")</f>
      </c>
      <c r="J1955" s="42">
        <f>IF(AND(ISNUMBER(F1955),ISNUMBER(H1955),F1955&gt;=Inputs!$C$68),F1955*H1955*Inputs!$C$69,"")</f>
      </c>
    </row>
    <row r="1956" spans="2:10" ht="15" customHeight="1" x14ac:dyDescent="0.2">
      <c r="B1956" s="39">
        <f t="shared" si="14"/>
      </c>
      <c r="C1956" s="40">
        <f>IF(Inputs!$C$60,Inputs!$C$11+(B1956-Inputs!$C$69)/Inputs!$C$70,"")</f>
      </c>
      <c r="D1956" s="15"/>
      <c r="E1956" s="15"/>
      <c r="F1956" s="11">
        <f t="shared" si="15"/>
      </c>
      <c r="G1956" s="22" cm="1">
        <f t="array" ref="G1956">IF(AND(Inputs!$C$60,Inputs!$C$61),INDEX(Utility_Rates!$C$29:$F$52,HOUR(C1956)+Inputs!$C$69,MATCH(INDEX(Utility_Rates!$K$6:$K$17,MONTH(C1956))&amp;IF(WEEKDAY(C1956,Inputs!$C$76)&lt;=Inputs!$C$74," weekday"," weekend"),Utility_Rates!$C$28:$F$28,Inputs!$C$68)),"")</f>
      </c>
      <c r="H1956" s="34"/>
      <c r="I1956" s="42">
        <f>IF(AND(ISNUMBER(D1956),ISNUMBER(H1956)),D1956*H1956*Inputs!$C$69,"")</f>
      </c>
      <c r="J1956" s="42">
        <f>IF(AND(ISNUMBER(F1956),ISNUMBER(H1956),F1956&gt;=Inputs!$C$68),F1956*H1956*Inputs!$C$69,"")</f>
      </c>
    </row>
    <row r="1957" spans="2:10" ht="15" customHeight="1" x14ac:dyDescent="0.2">
      <c r="B1957" s="39">
        <f t="shared" si="14"/>
      </c>
      <c r="C1957" s="40">
        <f>IF(Inputs!$C$60,Inputs!$C$11+(B1957-Inputs!$C$69)/Inputs!$C$70,"")</f>
      </c>
      <c r="D1957" s="15"/>
      <c r="E1957" s="15"/>
      <c r="F1957" s="11">
        <f t="shared" si="15"/>
      </c>
      <c r="G1957" s="22" cm="1">
        <f t="array" ref="G1957">IF(AND(Inputs!$C$60,Inputs!$C$61),INDEX(Utility_Rates!$C$29:$F$52,HOUR(C1957)+Inputs!$C$69,MATCH(INDEX(Utility_Rates!$K$6:$K$17,MONTH(C1957))&amp;IF(WEEKDAY(C1957,Inputs!$C$76)&lt;=Inputs!$C$74," weekday"," weekend"),Utility_Rates!$C$28:$F$28,Inputs!$C$68)),"")</f>
      </c>
      <c r="H1957" s="34"/>
      <c r="I1957" s="42">
        <f>IF(AND(ISNUMBER(D1957),ISNUMBER(H1957)),D1957*H1957*Inputs!$C$69,"")</f>
      </c>
      <c r="J1957" s="42">
        <f>IF(AND(ISNUMBER(F1957),ISNUMBER(H1957),F1957&gt;=Inputs!$C$68),F1957*H1957*Inputs!$C$69,"")</f>
      </c>
    </row>
    <row r="1958" spans="2:10" ht="15" customHeight="1" x14ac:dyDescent="0.2">
      <c r="B1958" s="39">
        <f t="shared" si="14"/>
      </c>
      <c r="C1958" s="40">
        <f>IF(Inputs!$C$60,Inputs!$C$11+(B1958-Inputs!$C$69)/Inputs!$C$70,"")</f>
      </c>
      <c r="D1958" s="15"/>
      <c r="E1958" s="15"/>
      <c r="F1958" s="11">
        <f t="shared" si="15"/>
      </c>
      <c r="G1958" s="22" cm="1">
        <f t="array" ref="G1958">IF(AND(Inputs!$C$60,Inputs!$C$61),INDEX(Utility_Rates!$C$29:$F$52,HOUR(C1958)+Inputs!$C$69,MATCH(INDEX(Utility_Rates!$K$6:$K$17,MONTH(C1958))&amp;IF(WEEKDAY(C1958,Inputs!$C$76)&lt;=Inputs!$C$74," weekday"," weekend"),Utility_Rates!$C$28:$F$28,Inputs!$C$68)),"")</f>
      </c>
      <c r="H1958" s="34"/>
      <c r="I1958" s="42">
        <f>IF(AND(ISNUMBER(D1958),ISNUMBER(H1958)),D1958*H1958*Inputs!$C$69,"")</f>
      </c>
      <c r="J1958" s="42">
        <f>IF(AND(ISNUMBER(F1958),ISNUMBER(H1958),F1958&gt;=Inputs!$C$68),F1958*H1958*Inputs!$C$69,"")</f>
      </c>
    </row>
    <row r="1959" spans="2:10" ht="15" customHeight="1" x14ac:dyDescent="0.2">
      <c r="B1959" s="39">
        <f t="shared" si="14"/>
      </c>
      <c r="C1959" s="40">
        <f>IF(Inputs!$C$60,Inputs!$C$11+(B1959-Inputs!$C$69)/Inputs!$C$70,"")</f>
      </c>
      <c r="D1959" s="15"/>
      <c r="E1959" s="15"/>
      <c r="F1959" s="11">
        <f t="shared" si="15"/>
      </c>
      <c r="G1959" s="22" cm="1">
        <f t="array" ref="G1959">IF(AND(Inputs!$C$60,Inputs!$C$61),INDEX(Utility_Rates!$C$29:$F$52,HOUR(C1959)+Inputs!$C$69,MATCH(INDEX(Utility_Rates!$K$6:$K$17,MONTH(C1959))&amp;IF(WEEKDAY(C1959,Inputs!$C$76)&lt;=Inputs!$C$74," weekday"," weekend"),Utility_Rates!$C$28:$F$28,Inputs!$C$68)),"")</f>
      </c>
      <c r="H1959" s="34"/>
      <c r="I1959" s="42">
        <f>IF(AND(ISNUMBER(D1959),ISNUMBER(H1959)),D1959*H1959*Inputs!$C$69,"")</f>
      </c>
      <c r="J1959" s="42">
        <f>IF(AND(ISNUMBER(F1959),ISNUMBER(H1959),F1959&gt;=Inputs!$C$68),F1959*H1959*Inputs!$C$69,"")</f>
      </c>
    </row>
    <row r="1960" spans="2:10" ht="15" customHeight="1" x14ac:dyDescent="0.2">
      <c r="B1960" s="39">
        <f t="shared" si="14"/>
      </c>
      <c r="C1960" s="40">
        <f>IF(Inputs!$C$60,Inputs!$C$11+(B1960-Inputs!$C$69)/Inputs!$C$70,"")</f>
      </c>
      <c r="D1960" s="15"/>
      <c r="E1960" s="15"/>
      <c r="F1960" s="11">
        <f t="shared" si="15"/>
      </c>
      <c r="G1960" s="22" cm="1">
        <f t="array" ref="G1960">IF(AND(Inputs!$C$60,Inputs!$C$61),INDEX(Utility_Rates!$C$29:$F$52,HOUR(C1960)+Inputs!$C$69,MATCH(INDEX(Utility_Rates!$K$6:$K$17,MONTH(C1960))&amp;IF(WEEKDAY(C1960,Inputs!$C$76)&lt;=Inputs!$C$74," weekday"," weekend"),Utility_Rates!$C$28:$F$28,Inputs!$C$68)),"")</f>
      </c>
      <c r="H1960" s="34"/>
      <c r="I1960" s="42">
        <f>IF(AND(ISNUMBER(D1960),ISNUMBER(H1960)),D1960*H1960*Inputs!$C$69,"")</f>
      </c>
      <c r="J1960" s="42">
        <f>IF(AND(ISNUMBER(F1960),ISNUMBER(H1960),F1960&gt;=Inputs!$C$68),F1960*H1960*Inputs!$C$69,"")</f>
      </c>
    </row>
    <row r="1961" spans="2:10" ht="15" customHeight="1" x14ac:dyDescent="0.2">
      <c r="B1961" s="39">
        <f t="shared" si="14"/>
      </c>
      <c r="C1961" s="40">
        <f>IF(Inputs!$C$60,Inputs!$C$11+(B1961-Inputs!$C$69)/Inputs!$C$70,"")</f>
      </c>
      <c r="D1961" s="15"/>
      <c r="E1961" s="15"/>
      <c r="F1961" s="11">
        <f t="shared" si="15"/>
      </c>
      <c r="G1961" s="22" cm="1">
        <f t="array" ref="G1961">IF(AND(Inputs!$C$60,Inputs!$C$61),INDEX(Utility_Rates!$C$29:$F$52,HOUR(C1961)+Inputs!$C$69,MATCH(INDEX(Utility_Rates!$K$6:$K$17,MONTH(C1961))&amp;IF(WEEKDAY(C1961,Inputs!$C$76)&lt;=Inputs!$C$74," weekday"," weekend"),Utility_Rates!$C$28:$F$28,Inputs!$C$68)),"")</f>
      </c>
      <c r="H1961" s="34"/>
      <c r="I1961" s="42">
        <f>IF(AND(ISNUMBER(D1961),ISNUMBER(H1961)),D1961*H1961*Inputs!$C$69,"")</f>
      </c>
      <c r="J1961" s="42">
        <f>IF(AND(ISNUMBER(F1961),ISNUMBER(H1961),F1961&gt;=Inputs!$C$68),F1961*H1961*Inputs!$C$69,"")</f>
      </c>
    </row>
    <row r="1962" spans="2:10" ht="15" customHeight="1" x14ac:dyDescent="0.2">
      <c r="B1962" s="39">
        <f t="shared" si="14"/>
      </c>
      <c r="C1962" s="40">
        <f>IF(Inputs!$C$60,Inputs!$C$11+(B1962-Inputs!$C$69)/Inputs!$C$70,"")</f>
      </c>
      <c r="D1962" s="15"/>
      <c r="E1962" s="15"/>
      <c r="F1962" s="11">
        <f t="shared" si="15"/>
      </c>
      <c r="G1962" s="22" cm="1">
        <f t="array" ref="G1962">IF(AND(Inputs!$C$60,Inputs!$C$61),INDEX(Utility_Rates!$C$29:$F$52,HOUR(C1962)+Inputs!$C$69,MATCH(INDEX(Utility_Rates!$K$6:$K$17,MONTH(C1962))&amp;IF(WEEKDAY(C1962,Inputs!$C$76)&lt;=Inputs!$C$74," weekday"," weekend"),Utility_Rates!$C$28:$F$28,Inputs!$C$68)),"")</f>
      </c>
      <c r="H1962" s="34"/>
      <c r="I1962" s="42">
        <f>IF(AND(ISNUMBER(D1962),ISNUMBER(H1962)),D1962*H1962*Inputs!$C$69,"")</f>
      </c>
      <c r="J1962" s="42">
        <f>IF(AND(ISNUMBER(F1962),ISNUMBER(H1962),F1962&gt;=Inputs!$C$68),F1962*H1962*Inputs!$C$69,"")</f>
      </c>
    </row>
    <row r="1963" spans="2:10" ht="15" customHeight="1" x14ac:dyDescent="0.2">
      <c r="B1963" s="39">
        <f t="shared" si="14"/>
      </c>
      <c r="C1963" s="40">
        <f>IF(Inputs!$C$60,Inputs!$C$11+(B1963-Inputs!$C$69)/Inputs!$C$70,"")</f>
      </c>
      <c r="D1963" s="15"/>
      <c r="E1963" s="15"/>
      <c r="F1963" s="11">
        <f t="shared" si="15"/>
      </c>
      <c r="G1963" s="22" cm="1">
        <f t="array" ref="G1963">IF(AND(Inputs!$C$60,Inputs!$C$61),INDEX(Utility_Rates!$C$29:$F$52,HOUR(C1963)+Inputs!$C$69,MATCH(INDEX(Utility_Rates!$K$6:$K$17,MONTH(C1963))&amp;IF(WEEKDAY(C1963,Inputs!$C$76)&lt;=Inputs!$C$74," weekday"," weekend"),Utility_Rates!$C$28:$F$28,Inputs!$C$68)),"")</f>
      </c>
      <c r="H1963" s="34"/>
      <c r="I1963" s="42">
        <f>IF(AND(ISNUMBER(D1963),ISNUMBER(H1963)),D1963*H1963*Inputs!$C$69,"")</f>
      </c>
      <c r="J1963" s="42">
        <f>IF(AND(ISNUMBER(F1963),ISNUMBER(H1963),F1963&gt;=Inputs!$C$68),F1963*H1963*Inputs!$C$69,"")</f>
      </c>
    </row>
    <row r="1964" spans="2:10" ht="15" customHeight="1" x14ac:dyDescent="0.2">
      <c r="B1964" s="39">
        <f t="shared" si="14"/>
      </c>
      <c r="C1964" s="40">
        <f>IF(Inputs!$C$60,Inputs!$C$11+(B1964-Inputs!$C$69)/Inputs!$C$70,"")</f>
      </c>
      <c r="D1964" s="15"/>
      <c r="E1964" s="15"/>
      <c r="F1964" s="11">
        <f t="shared" si="15"/>
      </c>
      <c r="G1964" s="22" cm="1">
        <f t="array" ref="G1964">IF(AND(Inputs!$C$60,Inputs!$C$61),INDEX(Utility_Rates!$C$29:$F$52,HOUR(C1964)+Inputs!$C$69,MATCH(INDEX(Utility_Rates!$K$6:$K$17,MONTH(C1964))&amp;IF(WEEKDAY(C1964,Inputs!$C$76)&lt;=Inputs!$C$74," weekday"," weekend"),Utility_Rates!$C$28:$F$28,Inputs!$C$68)),"")</f>
      </c>
      <c r="H1964" s="34"/>
      <c r="I1964" s="42">
        <f>IF(AND(ISNUMBER(D1964),ISNUMBER(H1964)),D1964*H1964*Inputs!$C$69,"")</f>
      </c>
      <c r="J1964" s="42">
        <f>IF(AND(ISNUMBER(F1964),ISNUMBER(H1964),F1964&gt;=Inputs!$C$68),F1964*H1964*Inputs!$C$69,"")</f>
      </c>
    </row>
    <row r="1965" spans="2:10" ht="15" customHeight="1" x14ac:dyDescent="0.2">
      <c r="B1965" s="39">
        <f t="shared" si="14"/>
      </c>
      <c r="C1965" s="40">
        <f>IF(Inputs!$C$60,Inputs!$C$11+(B1965-Inputs!$C$69)/Inputs!$C$70,"")</f>
      </c>
      <c r="D1965" s="15"/>
      <c r="E1965" s="15"/>
      <c r="F1965" s="11">
        <f t="shared" si="15"/>
      </c>
      <c r="G1965" s="22" cm="1">
        <f t="array" ref="G1965">IF(AND(Inputs!$C$60,Inputs!$C$61),INDEX(Utility_Rates!$C$29:$F$52,HOUR(C1965)+Inputs!$C$69,MATCH(INDEX(Utility_Rates!$K$6:$K$17,MONTH(C1965))&amp;IF(WEEKDAY(C1965,Inputs!$C$76)&lt;=Inputs!$C$74," weekday"," weekend"),Utility_Rates!$C$28:$F$28,Inputs!$C$68)),"")</f>
      </c>
      <c r="H1965" s="34"/>
      <c r="I1965" s="42">
        <f>IF(AND(ISNUMBER(D1965),ISNUMBER(H1965)),D1965*H1965*Inputs!$C$69,"")</f>
      </c>
      <c r="J1965" s="42">
        <f>IF(AND(ISNUMBER(F1965),ISNUMBER(H1965),F1965&gt;=Inputs!$C$68),F1965*H1965*Inputs!$C$69,"")</f>
      </c>
    </row>
    <row r="1966" spans="2:10" ht="15" customHeight="1" x14ac:dyDescent="0.2">
      <c r="B1966" s="39">
        <f t="shared" si="14"/>
      </c>
      <c r="C1966" s="40">
        <f>IF(Inputs!$C$60,Inputs!$C$11+(B1966-Inputs!$C$69)/Inputs!$C$70,"")</f>
      </c>
      <c r="D1966" s="15"/>
      <c r="E1966" s="15"/>
      <c r="F1966" s="11">
        <f t="shared" si="15"/>
      </c>
      <c r="G1966" s="22" cm="1">
        <f t="array" ref="G1966">IF(AND(Inputs!$C$60,Inputs!$C$61),INDEX(Utility_Rates!$C$29:$F$52,HOUR(C1966)+Inputs!$C$69,MATCH(INDEX(Utility_Rates!$K$6:$K$17,MONTH(C1966))&amp;IF(WEEKDAY(C1966,Inputs!$C$76)&lt;=Inputs!$C$74," weekday"," weekend"),Utility_Rates!$C$28:$F$28,Inputs!$C$68)),"")</f>
      </c>
      <c r="H1966" s="34"/>
      <c r="I1966" s="42">
        <f>IF(AND(ISNUMBER(D1966),ISNUMBER(H1966)),D1966*H1966*Inputs!$C$69,"")</f>
      </c>
      <c r="J1966" s="42">
        <f>IF(AND(ISNUMBER(F1966),ISNUMBER(H1966),F1966&gt;=Inputs!$C$68),F1966*H1966*Inputs!$C$69,"")</f>
      </c>
    </row>
    <row r="1967" spans="2:10" ht="15" customHeight="1" x14ac:dyDescent="0.2">
      <c r="B1967" s="39">
        <f t="shared" si="14"/>
      </c>
      <c r="C1967" s="40">
        <f>IF(Inputs!$C$60,Inputs!$C$11+(B1967-Inputs!$C$69)/Inputs!$C$70,"")</f>
      </c>
      <c r="D1967" s="15"/>
      <c r="E1967" s="15"/>
      <c r="F1967" s="11">
        <f t="shared" si="15"/>
      </c>
      <c r="G1967" s="22" cm="1">
        <f t="array" ref="G1967">IF(AND(Inputs!$C$60,Inputs!$C$61),INDEX(Utility_Rates!$C$29:$F$52,HOUR(C1967)+Inputs!$C$69,MATCH(INDEX(Utility_Rates!$K$6:$K$17,MONTH(C1967))&amp;IF(WEEKDAY(C1967,Inputs!$C$76)&lt;=Inputs!$C$74," weekday"," weekend"),Utility_Rates!$C$28:$F$28,Inputs!$C$68)),"")</f>
      </c>
      <c r="H1967" s="34"/>
      <c r="I1967" s="42">
        <f>IF(AND(ISNUMBER(D1967),ISNUMBER(H1967)),D1967*H1967*Inputs!$C$69,"")</f>
      </c>
      <c r="J1967" s="42">
        <f>IF(AND(ISNUMBER(F1967),ISNUMBER(H1967),F1967&gt;=Inputs!$C$68),F1967*H1967*Inputs!$C$69,"")</f>
      </c>
    </row>
    <row r="1968" spans="2:10" ht="15" customHeight="1" x14ac:dyDescent="0.2">
      <c r="B1968" s="39">
        <f t="shared" si="14"/>
      </c>
      <c r="C1968" s="40">
        <f>IF(Inputs!$C$60,Inputs!$C$11+(B1968-Inputs!$C$69)/Inputs!$C$70,"")</f>
      </c>
      <c r="D1968" s="15"/>
      <c r="E1968" s="15"/>
      <c r="F1968" s="11">
        <f t="shared" si="15"/>
      </c>
      <c r="G1968" s="22" cm="1">
        <f t="array" ref="G1968">IF(AND(Inputs!$C$60,Inputs!$C$61),INDEX(Utility_Rates!$C$29:$F$52,HOUR(C1968)+Inputs!$C$69,MATCH(INDEX(Utility_Rates!$K$6:$K$17,MONTH(C1968))&amp;IF(WEEKDAY(C1968,Inputs!$C$76)&lt;=Inputs!$C$74," weekday"," weekend"),Utility_Rates!$C$28:$F$28,Inputs!$C$68)),"")</f>
      </c>
      <c r="H1968" s="34"/>
      <c r="I1968" s="42">
        <f>IF(AND(ISNUMBER(D1968),ISNUMBER(H1968)),D1968*H1968*Inputs!$C$69,"")</f>
      </c>
      <c r="J1968" s="42">
        <f>IF(AND(ISNUMBER(F1968),ISNUMBER(H1968),F1968&gt;=Inputs!$C$68),F1968*H1968*Inputs!$C$69,"")</f>
      </c>
    </row>
    <row r="1969" spans="2:10" ht="15" customHeight="1" x14ac:dyDescent="0.2">
      <c r="B1969" s="39">
        <f t="shared" si="14"/>
      </c>
      <c r="C1969" s="40">
        <f>IF(Inputs!$C$60,Inputs!$C$11+(B1969-Inputs!$C$69)/Inputs!$C$70,"")</f>
      </c>
      <c r="D1969" s="15"/>
      <c r="E1969" s="15"/>
      <c r="F1969" s="11">
        <f t="shared" si="15"/>
      </c>
      <c r="G1969" s="22" cm="1">
        <f t="array" ref="G1969">IF(AND(Inputs!$C$60,Inputs!$C$61),INDEX(Utility_Rates!$C$29:$F$52,HOUR(C1969)+Inputs!$C$69,MATCH(INDEX(Utility_Rates!$K$6:$K$17,MONTH(C1969))&amp;IF(WEEKDAY(C1969,Inputs!$C$76)&lt;=Inputs!$C$74," weekday"," weekend"),Utility_Rates!$C$28:$F$28,Inputs!$C$68)),"")</f>
      </c>
      <c r="H1969" s="34"/>
      <c r="I1969" s="42">
        <f>IF(AND(ISNUMBER(D1969),ISNUMBER(H1969)),D1969*H1969*Inputs!$C$69,"")</f>
      </c>
      <c r="J1969" s="42">
        <f>IF(AND(ISNUMBER(F1969),ISNUMBER(H1969),F1969&gt;=Inputs!$C$68),F1969*H1969*Inputs!$C$69,"")</f>
      </c>
    </row>
    <row r="1970" spans="2:10" ht="15" customHeight="1" x14ac:dyDescent="0.2">
      <c r="B1970" s="39">
        <f t="shared" si="14"/>
      </c>
      <c r="C1970" s="40">
        <f>IF(Inputs!$C$60,Inputs!$C$11+(B1970-Inputs!$C$69)/Inputs!$C$70,"")</f>
      </c>
      <c r="D1970" s="15"/>
      <c r="E1970" s="15"/>
      <c r="F1970" s="11">
        <f t="shared" si="15"/>
      </c>
      <c r="G1970" s="22" cm="1">
        <f t="array" ref="G1970">IF(AND(Inputs!$C$60,Inputs!$C$61),INDEX(Utility_Rates!$C$29:$F$52,HOUR(C1970)+Inputs!$C$69,MATCH(INDEX(Utility_Rates!$K$6:$K$17,MONTH(C1970))&amp;IF(WEEKDAY(C1970,Inputs!$C$76)&lt;=Inputs!$C$74," weekday"," weekend"),Utility_Rates!$C$28:$F$28,Inputs!$C$68)),"")</f>
      </c>
      <c r="H1970" s="34"/>
      <c r="I1970" s="42">
        <f>IF(AND(ISNUMBER(D1970),ISNUMBER(H1970)),D1970*H1970*Inputs!$C$69,"")</f>
      </c>
      <c r="J1970" s="42">
        <f>IF(AND(ISNUMBER(F1970),ISNUMBER(H1970),F1970&gt;=Inputs!$C$68),F1970*H1970*Inputs!$C$69,"")</f>
      </c>
    </row>
    <row r="1971" spans="2:10" ht="15" customHeight="1" x14ac:dyDescent="0.2">
      <c r="B1971" s="39">
        <f t="shared" si="14"/>
      </c>
      <c r="C1971" s="40">
        <f>IF(Inputs!$C$60,Inputs!$C$11+(B1971-Inputs!$C$69)/Inputs!$C$70,"")</f>
      </c>
      <c r="D1971" s="15"/>
      <c r="E1971" s="15"/>
      <c r="F1971" s="11">
        <f t="shared" si="15"/>
      </c>
      <c r="G1971" s="22" cm="1">
        <f t="array" ref="G1971">IF(AND(Inputs!$C$60,Inputs!$C$61),INDEX(Utility_Rates!$C$29:$F$52,HOUR(C1971)+Inputs!$C$69,MATCH(INDEX(Utility_Rates!$K$6:$K$17,MONTH(C1971))&amp;IF(WEEKDAY(C1971,Inputs!$C$76)&lt;=Inputs!$C$74," weekday"," weekend"),Utility_Rates!$C$28:$F$28,Inputs!$C$68)),"")</f>
      </c>
      <c r="H1971" s="34"/>
      <c r="I1971" s="42">
        <f>IF(AND(ISNUMBER(D1971),ISNUMBER(H1971)),D1971*H1971*Inputs!$C$69,"")</f>
      </c>
      <c r="J1971" s="42">
        <f>IF(AND(ISNUMBER(F1971),ISNUMBER(H1971),F1971&gt;=Inputs!$C$68),F1971*H1971*Inputs!$C$69,"")</f>
      </c>
    </row>
    <row r="1972" spans="2:10" ht="15" customHeight="1" x14ac:dyDescent="0.2">
      <c r="B1972" s="39">
        <f t="shared" si="14"/>
      </c>
      <c r="C1972" s="40">
        <f>IF(Inputs!$C$60,Inputs!$C$11+(B1972-Inputs!$C$69)/Inputs!$C$70,"")</f>
      </c>
      <c r="D1972" s="15"/>
      <c r="E1972" s="15"/>
      <c r="F1972" s="11">
        <f t="shared" si="15"/>
      </c>
      <c r="G1972" s="22" cm="1">
        <f t="array" ref="G1972">IF(AND(Inputs!$C$60,Inputs!$C$61),INDEX(Utility_Rates!$C$29:$F$52,HOUR(C1972)+Inputs!$C$69,MATCH(INDEX(Utility_Rates!$K$6:$K$17,MONTH(C1972))&amp;IF(WEEKDAY(C1972,Inputs!$C$76)&lt;=Inputs!$C$74," weekday"," weekend"),Utility_Rates!$C$28:$F$28,Inputs!$C$68)),"")</f>
      </c>
      <c r="H1972" s="34"/>
      <c r="I1972" s="42">
        <f>IF(AND(ISNUMBER(D1972),ISNUMBER(H1972)),D1972*H1972*Inputs!$C$69,"")</f>
      </c>
      <c r="J1972" s="42">
        <f>IF(AND(ISNUMBER(F1972),ISNUMBER(H1972),F1972&gt;=Inputs!$C$68),F1972*H1972*Inputs!$C$69,"")</f>
      </c>
    </row>
    <row r="1973" spans="2:10" ht="15" customHeight="1" x14ac:dyDescent="0.2">
      <c r="B1973" s="39">
        <f t="shared" si="14"/>
      </c>
      <c r="C1973" s="40">
        <f>IF(Inputs!$C$60,Inputs!$C$11+(B1973-Inputs!$C$69)/Inputs!$C$70,"")</f>
      </c>
      <c r="D1973" s="15"/>
      <c r="E1973" s="15"/>
      <c r="F1973" s="11">
        <f t="shared" si="15"/>
      </c>
      <c r="G1973" s="22" cm="1">
        <f t="array" ref="G1973">IF(AND(Inputs!$C$60,Inputs!$C$61),INDEX(Utility_Rates!$C$29:$F$52,HOUR(C1973)+Inputs!$C$69,MATCH(INDEX(Utility_Rates!$K$6:$K$17,MONTH(C1973))&amp;IF(WEEKDAY(C1973,Inputs!$C$76)&lt;=Inputs!$C$74," weekday"," weekend"),Utility_Rates!$C$28:$F$28,Inputs!$C$68)),"")</f>
      </c>
      <c r="H1973" s="34"/>
      <c r="I1973" s="42">
        <f>IF(AND(ISNUMBER(D1973),ISNUMBER(H1973)),D1973*H1973*Inputs!$C$69,"")</f>
      </c>
      <c r="J1973" s="42">
        <f>IF(AND(ISNUMBER(F1973),ISNUMBER(H1973),F1973&gt;=Inputs!$C$68),F1973*H1973*Inputs!$C$69,"")</f>
      </c>
    </row>
    <row r="1974" spans="2:10" ht="15" customHeight="1" x14ac:dyDescent="0.2">
      <c r="B1974" s="39">
        <f t="shared" si="14"/>
      </c>
      <c r="C1974" s="40">
        <f>IF(Inputs!$C$60,Inputs!$C$11+(B1974-Inputs!$C$69)/Inputs!$C$70,"")</f>
      </c>
      <c r="D1974" s="15"/>
      <c r="E1974" s="15"/>
      <c r="F1974" s="11">
        <f t="shared" si="15"/>
      </c>
      <c r="G1974" s="22" cm="1">
        <f t="array" ref="G1974">IF(AND(Inputs!$C$60,Inputs!$C$61),INDEX(Utility_Rates!$C$29:$F$52,HOUR(C1974)+Inputs!$C$69,MATCH(INDEX(Utility_Rates!$K$6:$K$17,MONTH(C1974))&amp;IF(WEEKDAY(C1974,Inputs!$C$76)&lt;=Inputs!$C$74," weekday"," weekend"),Utility_Rates!$C$28:$F$28,Inputs!$C$68)),"")</f>
      </c>
      <c r="H1974" s="34"/>
      <c r="I1974" s="42">
        <f>IF(AND(ISNUMBER(D1974),ISNUMBER(H1974)),D1974*H1974*Inputs!$C$69,"")</f>
      </c>
      <c r="J1974" s="42">
        <f>IF(AND(ISNUMBER(F1974),ISNUMBER(H1974),F1974&gt;=Inputs!$C$68),F1974*H1974*Inputs!$C$69,"")</f>
      </c>
    </row>
    <row r="1975" spans="2:10" ht="15" customHeight="1" x14ac:dyDescent="0.2">
      <c r="B1975" s="39">
        <f t="shared" si="14"/>
      </c>
      <c r="C1975" s="40">
        <f>IF(Inputs!$C$60,Inputs!$C$11+(B1975-Inputs!$C$69)/Inputs!$C$70,"")</f>
      </c>
      <c r="D1975" s="15"/>
      <c r="E1975" s="15"/>
      <c r="F1975" s="11">
        <f t="shared" si="15"/>
      </c>
      <c r="G1975" s="22" cm="1">
        <f t="array" ref="G1975">IF(AND(Inputs!$C$60,Inputs!$C$61),INDEX(Utility_Rates!$C$29:$F$52,HOUR(C1975)+Inputs!$C$69,MATCH(INDEX(Utility_Rates!$K$6:$K$17,MONTH(C1975))&amp;IF(WEEKDAY(C1975,Inputs!$C$76)&lt;=Inputs!$C$74," weekday"," weekend"),Utility_Rates!$C$28:$F$28,Inputs!$C$68)),"")</f>
      </c>
      <c r="H1975" s="34"/>
      <c r="I1975" s="42">
        <f>IF(AND(ISNUMBER(D1975),ISNUMBER(H1975)),D1975*H1975*Inputs!$C$69,"")</f>
      </c>
      <c r="J1975" s="42">
        <f>IF(AND(ISNUMBER(F1975),ISNUMBER(H1975),F1975&gt;=Inputs!$C$68),F1975*H1975*Inputs!$C$69,"")</f>
      </c>
    </row>
    <row r="1976" spans="2:10" ht="15" customHeight="1" x14ac:dyDescent="0.2">
      <c r="B1976" s="39">
        <f t="shared" si="14"/>
      </c>
      <c r="C1976" s="40">
        <f>IF(Inputs!$C$60,Inputs!$C$11+(B1976-Inputs!$C$69)/Inputs!$C$70,"")</f>
      </c>
      <c r="D1976" s="15"/>
      <c r="E1976" s="15"/>
      <c r="F1976" s="11">
        <f t="shared" si="15"/>
      </c>
      <c r="G1976" s="22" cm="1">
        <f t="array" ref="G1976">IF(AND(Inputs!$C$60,Inputs!$C$61),INDEX(Utility_Rates!$C$29:$F$52,HOUR(C1976)+Inputs!$C$69,MATCH(INDEX(Utility_Rates!$K$6:$K$17,MONTH(C1976))&amp;IF(WEEKDAY(C1976,Inputs!$C$76)&lt;=Inputs!$C$74," weekday"," weekend"),Utility_Rates!$C$28:$F$28,Inputs!$C$68)),"")</f>
      </c>
      <c r="H1976" s="34"/>
      <c r="I1976" s="42">
        <f>IF(AND(ISNUMBER(D1976),ISNUMBER(H1976)),D1976*H1976*Inputs!$C$69,"")</f>
      </c>
      <c r="J1976" s="42">
        <f>IF(AND(ISNUMBER(F1976),ISNUMBER(H1976),F1976&gt;=Inputs!$C$68),F1976*H1976*Inputs!$C$69,"")</f>
      </c>
    </row>
    <row r="1977" spans="2:10" ht="15" customHeight="1" x14ac:dyDescent="0.2">
      <c r="B1977" s="39">
        <f t="shared" si="14"/>
      </c>
      <c r="C1977" s="40">
        <f>IF(Inputs!$C$60,Inputs!$C$11+(B1977-Inputs!$C$69)/Inputs!$C$70,"")</f>
      </c>
      <c r="D1977" s="15"/>
      <c r="E1977" s="15"/>
      <c r="F1977" s="11">
        <f t="shared" si="15"/>
      </c>
      <c r="G1977" s="22" cm="1">
        <f t="array" ref="G1977">IF(AND(Inputs!$C$60,Inputs!$C$61),INDEX(Utility_Rates!$C$29:$F$52,HOUR(C1977)+Inputs!$C$69,MATCH(INDEX(Utility_Rates!$K$6:$K$17,MONTH(C1977))&amp;IF(WEEKDAY(C1977,Inputs!$C$76)&lt;=Inputs!$C$74," weekday"," weekend"),Utility_Rates!$C$28:$F$28,Inputs!$C$68)),"")</f>
      </c>
      <c r="H1977" s="34"/>
      <c r="I1977" s="42">
        <f>IF(AND(ISNUMBER(D1977),ISNUMBER(H1977)),D1977*H1977*Inputs!$C$69,"")</f>
      </c>
      <c r="J1977" s="42">
        <f>IF(AND(ISNUMBER(F1977),ISNUMBER(H1977),F1977&gt;=Inputs!$C$68),F1977*H1977*Inputs!$C$69,"")</f>
      </c>
    </row>
    <row r="1978" spans="2:10" ht="15" customHeight="1" x14ac:dyDescent="0.2">
      <c r="B1978" s="39">
        <f t="shared" si="14"/>
      </c>
      <c r="C1978" s="40">
        <f>IF(Inputs!$C$60,Inputs!$C$11+(B1978-Inputs!$C$69)/Inputs!$C$70,"")</f>
      </c>
      <c r="D1978" s="15"/>
      <c r="E1978" s="15"/>
      <c r="F1978" s="11">
        <f t="shared" si="15"/>
      </c>
      <c r="G1978" s="22" cm="1">
        <f t="array" ref="G1978">IF(AND(Inputs!$C$60,Inputs!$C$61),INDEX(Utility_Rates!$C$29:$F$52,HOUR(C1978)+Inputs!$C$69,MATCH(INDEX(Utility_Rates!$K$6:$K$17,MONTH(C1978))&amp;IF(WEEKDAY(C1978,Inputs!$C$76)&lt;=Inputs!$C$74," weekday"," weekend"),Utility_Rates!$C$28:$F$28,Inputs!$C$68)),"")</f>
      </c>
      <c r="H1978" s="34"/>
      <c r="I1978" s="42">
        <f>IF(AND(ISNUMBER(D1978),ISNUMBER(H1978)),D1978*H1978*Inputs!$C$69,"")</f>
      </c>
      <c r="J1978" s="42">
        <f>IF(AND(ISNUMBER(F1978),ISNUMBER(H1978),F1978&gt;=Inputs!$C$68),F1978*H1978*Inputs!$C$69,"")</f>
      </c>
    </row>
    <row r="1979" spans="2:10" ht="15" customHeight="1" x14ac:dyDescent="0.2">
      <c r="B1979" s="39">
        <f t="shared" si="14"/>
      </c>
      <c r="C1979" s="40">
        <f>IF(Inputs!$C$60,Inputs!$C$11+(B1979-Inputs!$C$69)/Inputs!$C$70,"")</f>
      </c>
      <c r="D1979" s="15"/>
      <c r="E1979" s="15"/>
      <c r="F1979" s="11">
        <f t="shared" si="15"/>
      </c>
      <c r="G1979" s="22" cm="1">
        <f t="array" ref="G1979">IF(AND(Inputs!$C$60,Inputs!$C$61),INDEX(Utility_Rates!$C$29:$F$52,HOUR(C1979)+Inputs!$C$69,MATCH(INDEX(Utility_Rates!$K$6:$K$17,MONTH(C1979))&amp;IF(WEEKDAY(C1979,Inputs!$C$76)&lt;=Inputs!$C$74," weekday"," weekend"),Utility_Rates!$C$28:$F$28,Inputs!$C$68)),"")</f>
      </c>
      <c r="H1979" s="34"/>
      <c r="I1979" s="42">
        <f>IF(AND(ISNUMBER(D1979),ISNUMBER(H1979)),D1979*H1979*Inputs!$C$69,"")</f>
      </c>
      <c r="J1979" s="42">
        <f>IF(AND(ISNUMBER(F1979),ISNUMBER(H1979),F1979&gt;=Inputs!$C$68),F1979*H1979*Inputs!$C$69,"")</f>
      </c>
    </row>
    <row r="1980" spans="2:10" ht="15" customHeight="1" x14ac:dyDescent="0.2">
      <c r="B1980" s="39">
        <f t="shared" si="14"/>
      </c>
      <c r="C1980" s="40">
        <f>IF(Inputs!$C$60,Inputs!$C$11+(B1980-Inputs!$C$69)/Inputs!$C$70,"")</f>
      </c>
      <c r="D1980" s="15"/>
      <c r="E1980" s="15"/>
      <c r="F1980" s="11">
        <f t="shared" si="15"/>
      </c>
      <c r="G1980" s="22" cm="1">
        <f t="array" ref="G1980">IF(AND(Inputs!$C$60,Inputs!$C$61),INDEX(Utility_Rates!$C$29:$F$52,HOUR(C1980)+Inputs!$C$69,MATCH(INDEX(Utility_Rates!$K$6:$K$17,MONTH(C1980))&amp;IF(WEEKDAY(C1980,Inputs!$C$76)&lt;=Inputs!$C$74," weekday"," weekend"),Utility_Rates!$C$28:$F$28,Inputs!$C$68)),"")</f>
      </c>
      <c r="H1980" s="34"/>
      <c r="I1980" s="42">
        <f>IF(AND(ISNUMBER(D1980),ISNUMBER(H1980)),D1980*H1980*Inputs!$C$69,"")</f>
      </c>
      <c r="J1980" s="42">
        <f>IF(AND(ISNUMBER(F1980),ISNUMBER(H1980),F1980&gt;=Inputs!$C$68),F1980*H1980*Inputs!$C$69,"")</f>
      </c>
    </row>
    <row r="1981" spans="2:10" ht="15" customHeight="1" x14ac:dyDescent="0.2">
      <c r="B1981" s="39">
        <f t="shared" si="14"/>
      </c>
      <c r="C1981" s="40">
        <f>IF(Inputs!$C$60,Inputs!$C$11+(B1981-Inputs!$C$69)/Inputs!$C$70,"")</f>
      </c>
      <c r="D1981" s="15"/>
      <c r="E1981" s="15"/>
      <c r="F1981" s="11">
        <f t="shared" si="15"/>
      </c>
      <c r="G1981" s="22" cm="1">
        <f t="array" ref="G1981">IF(AND(Inputs!$C$60,Inputs!$C$61),INDEX(Utility_Rates!$C$29:$F$52,HOUR(C1981)+Inputs!$C$69,MATCH(INDEX(Utility_Rates!$K$6:$K$17,MONTH(C1981))&amp;IF(WEEKDAY(C1981,Inputs!$C$76)&lt;=Inputs!$C$74," weekday"," weekend"),Utility_Rates!$C$28:$F$28,Inputs!$C$68)),"")</f>
      </c>
      <c r="H1981" s="34"/>
      <c r="I1981" s="42">
        <f>IF(AND(ISNUMBER(D1981),ISNUMBER(H1981)),D1981*H1981*Inputs!$C$69,"")</f>
      </c>
      <c r="J1981" s="42">
        <f>IF(AND(ISNUMBER(F1981),ISNUMBER(H1981),F1981&gt;=Inputs!$C$68),F1981*H1981*Inputs!$C$69,"")</f>
      </c>
    </row>
    <row r="1982" spans="2:10" ht="15" customHeight="1" x14ac:dyDescent="0.2">
      <c r="B1982" s="39">
        <f t="shared" si="14"/>
      </c>
      <c r="C1982" s="40">
        <f>IF(Inputs!$C$60,Inputs!$C$11+(B1982-Inputs!$C$69)/Inputs!$C$70,"")</f>
      </c>
      <c r="D1982" s="15"/>
      <c r="E1982" s="15"/>
      <c r="F1982" s="11">
        <f t="shared" si="15"/>
      </c>
      <c r="G1982" s="22" cm="1">
        <f t="array" ref="G1982">IF(AND(Inputs!$C$60,Inputs!$C$61),INDEX(Utility_Rates!$C$29:$F$52,HOUR(C1982)+Inputs!$C$69,MATCH(INDEX(Utility_Rates!$K$6:$K$17,MONTH(C1982))&amp;IF(WEEKDAY(C1982,Inputs!$C$76)&lt;=Inputs!$C$74," weekday"," weekend"),Utility_Rates!$C$28:$F$28,Inputs!$C$68)),"")</f>
      </c>
      <c r="H1982" s="34"/>
      <c r="I1982" s="42">
        <f>IF(AND(ISNUMBER(D1982),ISNUMBER(H1982)),D1982*H1982*Inputs!$C$69,"")</f>
      </c>
      <c r="J1982" s="42">
        <f>IF(AND(ISNUMBER(F1982),ISNUMBER(H1982),F1982&gt;=Inputs!$C$68),F1982*H1982*Inputs!$C$69,"")</f>
      </c>
    </row>
    <row r="1983" spans="2:10" ht="15" customHeight="1" x14ac:dyDescent="0.2">
      <c r="B1983" s="39">
        <f t="shared" si="14"/>
      </c>
      <c r="C1983" s="40">
        <f>IF(Inputs!$C$60,Inputs!$C$11+(B1983-Inputs!$C$69)/Inputs!$C$70,"")</f>
      </c>
      <c r="D1983" s="15"/>
      <c r="E1983" s="15"/>
      <c r="F1983" s="11">
        <f t="shared" si="15"/>
      </c>
      <c r="G1983" s="22" cm="1">
        <f t="array" ref="G1983">IF(AND(Inputs!$C$60,Inputs!$C$61),INDEX(Utility_Rates!$C$29:$F$52,HOUR(C1983)+Inputs!$C$69,MATCH(INDEX(Utility_Rates!$K$6:$K$17,MONTH(C1983))&amp;IF(WEEKDAY(C1983,Inputs!$C$76)&lt;=Inputs!$C$74," weekday"," weekend"),Utility_Rates!$C$28:$F$28,Inputs!$C$68)),"")</f>
      </c>
      <c r="H1983" s="34"/>
      <c r="I1983" s="42">
        <f>IF(AND(ISNUMBER(D1983),ISNUMBER(H1983)),D1983*H1983*Inputs!$C$69,"")</f>
      </c>
      <c r="J1983" s="42">
        <f>IF(AND(ISNUMBER(F1983),ISNUMBER(H1983),F1983&gt;=Inputs!$C$68),F1983*H1983*Inputs!$C$69,"")</f>
      </c>
    </row>
    <row r="1984" spans="2:10" ht="15" customHeight="1" x14ac:dyDescent="0.2">
      <c r="B1984" s="39">
        <f t="shared" si="14"/>
      </c>
      <c r="C1984" s="40">
        <f>IF(Inputs!$C$60,Inputs!$C$11+(B1984-Inputs!$C$69)/Inputs!$C$70,"")</f>
      </c>
      <c r="D1984" s="15"/>
      <c r="E1984" s="15"/>
      <c r="F1984" s="11">
        <f t="shared" si="15"/>
      </c>
      <c r="G1984" s="22" cm="1">
        <f t="array" ref="G1984">IF(AND(Inputs!$C$60,Inputs!$C$61),INDEX(Utility_Rates!$C$29:$F$52,HOUR(C1984)+Inputs!$C$69,MATCH(INDEX(Utility_Rates!$K$6:$K$17,MONTH(C1984))&amp;IF(WEEKDAY(C1984,Inputs!$C$76)&lt;=Inputs!$C$74," weekday"," weekend"),Utility_Rates!$C$28:$F$28,Inputs!$C$68)),"")</f>
      </c>
      <c r="H1984" s="34"/>
      <c r="I1984" s="42">
        <f>IF(AND(ISNUMBER(D1984),ISNUMBER(H1984)),D1984*H1984*Inputs!$C$69,"")</f>
      </c>
      <c r="J1984" s="42">
        <f>IF(AND(ISNUMBER(F1984),ISNUMBER(H1984),F1984&gt;=Inputs!$C$68),F1984*H1984*Inputs!$C$69,"")</f>
      </c>
    </row>
    <row r="1985" spans="2:10" ht="15" customHeight="1" x14ac:dyDescent="0.2">
      <c r="B1985" s="39">
        <f t="shared" si="14"/>
      </c>
      <c r="C1985" s="40">
        <f>IF(Inputs!$C$60,Inputs!$C$11+(B1985-Inputs!$C$69)/Inputs!$C$70,"")</f>
      </c>
      <c r="D1985" s="15"/>
      <c r="E1985" s="15"/>
      <c r="F1985" s="11">
        <f t="shared" si="15"/>
      </c>
      <c r="G1985" s="22" cm="1">
        <f t="array" ref="G1985">IF(AND(Inputs!$C$60,Inputs!$C$61),INDEX(Utility_Rates!$C$29:$F$52,HOUR(C1985)+Inputs!$C$69,MATCH(INDEX(Utility_Rates!$K$6:$K$17,MONTH(C1985))&amp;IF(WEEKDAY(C1985,Inputs!$C$76)&lt;=Inputs!$C$74," weekday"," weekend"),Utility_Rates!$C$28:$F$28,Inputs!$C$68)),"")</f>
      </c>
      <c r="H1985" s="34"/>
      <c r="I1985" s="42">
        <f>IF(AND(ISNUMBER(D1985),ISNUMBER(H1985)),D1985*H1985*Inputs!$C$69,"")</f>
      </c>
      <c r="J1985" s="42">
        <f>IF(AND(ISNUMBER(F1985),ISNUMBER(H1985),F1985&gt;=Inputs!$C$68),F1985*H1985*Inputs!$C$69,"")</f>
      </c>
    </row>
    <row r="1986" spans="2:10" ht="15" customHeight="1" x14ac:dyDescent="0.2">
      <c r="B1986" s="39">
        <f t="shared" si="14"/>
      </c>
      <c r="C1986" s="40">
        <f>IF(Inputs!$C$60,Inputs!$C$11+(B1986-Inputs!$C$69)/Inputs!$C$70,"")</f>
      </c>
      <c r="D1986" s="15"/>
      <c r="E1986" s="15"/>
      <c r="F1986" s="11">
        <f t="shared" si="15"/>
      </c>
      <c r="G1986" s="22" cm="1">
        <f t="array" ref="G1986">IF(AND(Inputs!$C$60,Inputs!$C$61),INDEX(Utility_Rates!$C$29:$F$52,HOUR(C1986)+Inputs!$C$69,MATCH(INDEX(Utility_Rates!$K$6:$K$17,MONTH(C1986))&amp;IF(WEEKDAY(C1986,Inputs!$C$76)&lt;=Inputs!$C$74," weekday"," weekend"),Utility_Rates!$C$28:$F$28,Inputs!$C$68)),"")</f>
      </c>
      <c r="H1986" s="34"/>
      <c r="I1986" s="42">
        <f>IF(AND(ISNUMBER(D1986),ISNUMBER(H1986)),D1986*H1986*Inputs!$C$69,"")</f>
      </c>
      <c r="J1986" s="42">
        <f>IF(AND(ISNUMBER(F1986),ISNUMBER(H1986),F1986&gt;=Inputs!$C$68),F1986*H1986*Inputs!$C$69,"")</f>
      </c>
    </row>
    <row r="1987" spans="2:10" ht="15" customHeight="1" x14ac:dyDescent="0.2">
      <c r="B1987" s="39">
        <f t="shared" si="14"/>
      </c>
      <c r="C1987" s="40">
        <f>IF(Inputs!$C$60,Inputs!$C$11+(B1987-Inputs!$C$69)/Inputs!$C$70,"")</f>
      </c>
      <c r="D1987" s="15"/>
      <c r="E1987" s="15"/>
      <c r="F1987" s="11">
        <f t="shared" si="15"/>
      </c>
      <c r="G1987" s="22" cm="1">
        <f t="array" ref="G1987">IF(AND(Inputs!$C$60,Inputs!$C$61),INDEX(Utility_Rates!$C$29:$F$52,HOUR(C1987)+Inputs!$C$69,MATCH(INDEX(Utility_Rates!$K$6:$K$17,MONTH(C1987))&amp;IF(WEEKDAY(C1987,Inputs!$C$76)&lt;=Inputs!$C$74," weekday"," weekend"),Utility_Rates!$C$28:$F$28,Inputs!$C$68)),"")</f>
      </c>
      <c r="H1987" s="34"/>
      <c r="I1987" s="42">
        <f>IF(AND(ISNUMBER(D1987),ISNUMBER(H1987)),D1987*H1987*Inputs!$C$69,"")</f>
      </c>
      <c r="J1987" s="42">
        <f>IF(AND(ISNUMBER(F1987),ISNUMBER(H1987),F1987&gt;=Inputs!$C$68),F1987*H1987*Inputs!$C$69,"")</f>
      </c>
    </row>
    <row r="1988" spans="2:10" ht="15" customHeight="1" x14ac:dyDescent="0.2">
      <c r="B1988" s="39">
        <f t="shared" si="14"/>
      </c>
      <c r="C1988" s="40">
        <f>IF(Inputs!$C$60,Inputs!$C$11+(B1988-Inputs!$C$69)/Inputs!$C$70,"")</f>
      </c>
      <c r="D1988" s="15"/>
      <c r="E1988" s="15"/>
      <c r="F1988" s="11">
        <f t="shared" si="15"/>
      </c>
      <c r="G1988" s="22" cm="1">
        <f t="array" ref="G1988">IF(AND(Inputs!$C$60,Inputs!$C$61),INDEX(Utility_Rates!$C$29:$F$52,HOUR(C1988)+Inputs!$C$69,MATCH(INDEX(Utility_Rates!$K$6:$K$17,MONTH(C1988))&amp;IF(WEEKDAY(C1988,Inputs!$C$76)&lt;=Inputs!$C$74," weekday"," weekend"),Utility_Rates!$C$28:$F$28,Inputs!$C$68)),"")</f>
      </c>
      <c r="H1988" s="34"/>
      <c r="I1988" s="42">
        <f>IF(AND(ISNUMBER(D1988),ISNUMBER(H1988)),D1988*H1988*Inputs!$C$69,"")</f>
      </c>
      <c r="J1988" s="42">
        <f>IF(AND(ISNUMBER(F1988),ISNUMBER(H1988),F1988&gt;=Inputs!$C$68),F1988*H1988*Inputs!$C$69,"")</f>
      </c>
    </row>
    <row r="1989" spans="2:10" ht="15" customHeight="1" x14ac:dyDescent="0.2">
      <c r="B1989" s="39">
        <f t="shared" si="14"/>
      </c>
      <c r="C1989" s="40">
        <f>IF(Inputs!$C$60,Inputs!$C$11+(B1989-Inputs!$C$69)/Inputs!$C$70,"")</f>
      </c>
      <c r="D1989" s="15"/>
      <c r="E1989" s="15"/>
      <c r="F1989" s="11">
        <f t="shared" si="15"/>
      </c>
      <c r="G1989" s="22" cm="1">
        <f t="array" ref="G1989">IF(AND(Inputs!$C$60,Inputs!$C$61),INDEX(Utility_Rates!$C$29:$F$52,HOUR(C1989)+Inputs!$C$69,MATCH(INDEX(Utility_Rates!$K$6:$K$17,MONTH(C1989))&amp;IF(WEEKDAY(C1989,Inputs!$C$76)&lt;=Inputs!$C$74," weekday"," weekend"),Utility_Rates!$C$28:$F$28,Inputs!$C$68)),"")</f>
      </c>
      <c r="H1989" s="34"/>
      <c r="I1989" s="42">
        <f>IF(AND(ISNUMBER(D1989),ISNUMBER(H1989)),D1989*H1989*Inputs!$C$69,"")</f>
      </c>
      <c r="J1989" s="42">
        <f>IF(AND(ISNUMBER(F1989),ISNUMBER(H1989),F1989&gt;=Inputs!$C$68),F1989*H1989*Inputs!$C$69,"")</f>
      </c>
    </row>
    <row r="1990" spans="2:10" ht="15" customHeight="1" x14ac:dyDescent="0.2">
      <c r="B1990" s="39">
        <f t="shared" si="14"/>
      </c>
      <c r="C1990" s="40">
        <f>IF(Inputs!$C$60,Inputs!$C$11+(B1990-Inputs!$C$69)/Inputs!$C$70,"")</f>
      </c>
      <c r="D1990" s="15"/>
      <c r="E1990" s="15"/>
      <c r="F1990" s="11">
        <f t="shared" si="15"/>
      </c>
      <c r="G1990" s="22" cm="1">
        <f t="array" ref="G1990">IF(AND(Inputs!$C$60,Inputs!$C$61),INDEX(Utility_Rates!$C$29:$F$52,HOUR(C1990)+Inputs!$C$69,MATCH(INDEX(Utility_Rates!$K$6:$K$17,MONTH(C1990))&amp;IF(WEEKDAY(C1990,Inputs!$C$76)&lt;=Inputs!$C$74," weekday"," weekend"),Utility_Rates!$C$28:$F$28,Inputs!$C$68)),"")</f>
      </c>
      <c r="H1990" s="34"/>
      <c r="I1990" s="42">
        <f>IF(AND(ISNUMBER(D1990),ISNUMBER(H1990)),D1990*H1990*Inputs!$C$69,"")</f>
      </c>
      <c r="J1990" s="42">
        <f>IF(AND(ISNUMBER(F1990),ISNUMBER(H1990),F1990&gt;=Inputs!$C$68),F1990*H1990*Inputs!$C$69,"")</f>
      </c>
    </row>
    <row r="1991" spans="2:10" ht="15" customHeight="1" x14ac:dyDescent="0.2">
      <c r="B1991" s="39">
        <f t="shared" si="14"/>
      </c>
      <c r="C1991" s="40">
        <f>IF(Inputs!$C$60,Inputs!$C$11+(B1991-Inputs!$C$69)/Inputs!$C$70,"")</f>
      </c>
      <c r="D1991" s="15"/>
      <c r="E1991" s="15"/>
      <c r="F1991" s="11">
        <f t="shared" si="15"/>
      </c>
      <c r="G1991" s="22" cm="1">
        <f t="array" ref="G1991">IF(AND(Inputs!$C$60,Inputs!$C$61),INDEX(Utility_Rates!$C$29:$F$52,HOUR(C1991)+Inputs!$C$69,MATCH(INDEX(Utility_Rates!$K$6:$K$17,MONTH(C1991))&amp;IF(WEEKDAY(C1991,Inputs!$C$76)&lt;=Inputs!$C$74," weekday"," weekend"),Utility_Rates!$C$28:$F$28,Inputs!$C$68)),"")</f>
      </c>
      <c r="H1991" s="34"/>
      <c r="I1991" s="42">
        <f>IF(AND(ISNUMBER(D1991),ISNUMBER(H1991)),D1991*H1991*Inputs!$C$69,"")</f>
      </c>
      <c r="J1991" s="42">
        <f>IF(AND(ISNUMBER(F1991),ISNUMBER(H1991),F1991&gt;=Inputs!$C$68),F1991*H1991*Inputs!$C$69,"")</f>
      </c>
    </row>
    <row r="1992" spans="2:10" ht="15" customHeight="1" x14ac:dyDescent="0.2">
      <c r="B1992" s="39">
        <f t="shared" si="14"/>
      </c>
      <c r="C1992" s="40">
        <f>IF(Inputs!$C$60,Inputs!$C$11+(B1992-Inputs!$C$69)/Inputs!$C$70,"")</f>
      </c>
      <c r="D1992" s="15"/>
      <c r="E1992" s="15"/>
      <c r="F1992" s="11">
        <f t="shared" si="15"/>
      </c>
      <c r="G1992" s="22" cm="1">
        <f t="array" ref="G1992">IF(AND(Inputs!$C$60,Inputs!$C$61),INDEX(Utility_Rates!$C$29:$F$52,HOUR(C1992)+Inputs!$C$69,MATCH(INDEX(Utility_Rates!$K$6:$K$17,MONTH(C1992))&amp;IF(WEEKDAY(C1992,Inputs!$C$76)&lt;=Inputs!$C$74," weekday"," weekend"),Utility_Rates!$C$28:$F$28,Inputs!$C$68)),"")</f>
      </c>
      <c r="H1992" s="34"/>
      <c r="I1992" s="42">
        <f>IF(AND(ISNUMBER(D1992),ISNUMBER(H1992)),D1992*H1992*Inputs!$C$69,"")</f>
      </c>
      <c r="J1992" s="42">
        <f>IF(AND(ISNUMBER(F1992),ISNUMBER(H1992),F1992&gt;=Inputs!$C$68),F1992*H1992*Inputs!$C$69,"")</f>
      </c>
    </row>
    <row r="1993" spans="2:10" ht="15" customHeight="1" x14ac:dyDescent="0.2">
      <c r="B1993" s="39">
        <f t="shared" si="14"/>
      </c>
      <c r="C1993" s="40">
        <f>IF(Inputs!$C$60,Inputs!$C$11+(B1993-Inputs!$C$69)/Inputs!$C$70,"")</f>
      </c>
      <c r="D1993" s="15"/>
      <c r="E1993" s="15"/>
      <c r="F1993" s="11">
        <f t="shared" si="15"/>
      </c>
      <c r="G1993" s="22" cm="1">
        <f t="array" ref="G1993">IF(AND(Inputs!$C$60,Inputs!$C$61),INDEX(Utility_Rates!$C$29:$F$52,HOUR(C1993)+Inputs!$C$69,MATCH(INDEX(Utility_Rates!$K$6:$K$17,MONTH(C1993))&amp;IF(WEEKDAY(C1993,Inputs!$C$76)&lt;=Inputs!$C$74," weekday"," weekend"),Utility_Rates!$C$28:$F$28,Inputs!$C$68)),"")</f>
      </c>
      <c r="H1993" s="34"/>
      <c r="I1993" s="42">
        <f>IF(AND(ISNUMBER(D1993),ISNUMBER(H1993)),D1993*H1993*Inputs!$C$69,"")</f>
      </c>
      <c r="J1993" s="42">
        <f>IF(AND(ISNUMBER(F1993),ISNUMBER(H1993),F1993&gt;=Inputs!$C$68),F1993*H1993*Inputs!$C$69,"")</f>
      </c>
    </row>
    <row r="1994" spans="2:10" ht="15" customHeight="1" x14ac:dyDescent="0.2">
      <c r="B1994" s="39">
        <f t="shared" si="14"/>
      </c>
      <c r="C1994" s="40">
        <f>IF(Inputs!$C$60,Inputs!$C$11+(B1994-Inputs!$C$69)/Inputs!$C$70,"")</f>
      </c>
      <c r="D1994" s="15"/>
      <c r="E1994" s="15"/>
      <c r="F1994" s="11">
        <f t="shared" si="15"/>
      </c>
      <c r="G1994" s="22" cm="1">
        <f t="array" ref="G1994">IF(AND(Inputs!$C$60,Inputs!$C$61),INDEX(Utility_Rates!$C$29:$F$52,HOUR(C1994)+Inputs!$C$69,MATCH(INDEX(Utility_Rates!$K$6:$K$17,MONTH(C1994))&amp;IF(WEEKDAY(C1994,Inputs!$C$76)&lt;=Inputs!$C$74," weekday"," weekend"),Utility_Rates!$C$28:$F$28,Inputs!$C$68)),"")</f>
      </c>
      <c r="H1994" s="34"/>
      <c r="I1994" s="42">
        <f>IF(AND(ISNUMBER(D1994),ISNUMBER(H1994)),D1994*H1994*Inputs!$C$69,"")</f>
      </c>
      <c r="J1994" s="42">
        <f>IF(AND(ISNUMBER(F1994),ISNUMBER(H1994),F1994&gt;=Inputs!$C$68),F1994*H1994*Inputs!$C$69,"")</f>
      </c>
    </row>
    <row r="1995" spans="2:10" ht="15" customHeight="1" x14ac:dyDescent="0.2">
      <c r="B1995" s="39">
        <f t="shared" si="14"/>
      </c>
      <c r="C1995" s="40">
        <f>IF(Inputs!$C$60,Inputs!$C$11+(B1995-Inputs!$C$69)/Inputs!$C$70,"")</f>
      </c>
      <c r="D1995" s="15"/>
      <c r="E1995" s="15"/>
      <c r="F1995" s="11">
        <f t="shared" si="15"/>
      </c>
      <c r="G1995" s="22" cm="1">
        <f t="array" ref="G1995">IF(AND(Inputs!$C$60,Inputs!$C$61),INDEX(Utility_Rates!$C$29:$F$52,HOUR(C1995)+Inputs!$C$69,MATCH(INDEX(Utility_Rates!$K$6:$K$17,MONTH(C1995))&amp;IF(WEEKDAY(C1995,Inputs!$C$76)&lt;=Inputs!$C$74," weekday"," weekend"),Utility_Rates!$C$28:$F$28,Inputs!$C$68)),"")</f>
      </c>
      <c r="H1995" s="34"/>
      <c r="I1995" s="42">
        <f>IF(AND(ISNUMBER(D1995),ISNUMBER(H1995)),D1995*H1995*Inputs!$C$69,"")</f>
      </c>
      <c r="J1995" s="42">
        <f>IF(AND(ISNUMBER(F1995),ISNUMBER(H1995),F1995&gt;=Inputs!$C$68),F1995*H1995*Inputs!$C$69,"")</f>
      </c>
    </row>
    <row r="1996" spans="2:10" ht="15" customHeight="1" x14ac:dyDescent="0.2">
      <c r="B1996" s="39">
        <f t="shared" si="14"/>
      </c>
      <c r="C1996" s="40">
        <f>IF(Inputs!$C$60,Inputs!$C$11+(B1996-Inputs!$C$69)/Inputs!$C$70,"")</f>
      </c>
      <c r="D1996" s="15"/>
      <c r="E1996" s="15"/>
      <c r="F1996" s="11">
        <f t="shared" si="15"/>
      </c>
      <c r="G1996" s="22" cm="1">
        <f t="array" ref="G1996">IF(AND(Inputs!$C$60,Inputs!$C$61),INDEX(Utility_Rates!$C$29:$F$52,HOUR(C1996)+Inputs!$C$69,MATCH(INDEX(Utility_Rates!$K$6:$K$17,MONTH(C1996))&amp;IF(WEEKDAY(C1996,Inputs!$C$76)&lt;=Inputs!$C$74," weekday"," weekend"),Utility_Rates!$C$28:$F$28,Inputs!$C$68)),"")</f>
      </c>
      <c r="H1996" s="34"/>
      <c r="I1996" s="42">
        <f>IF(AND(ISNUMBER(D1996),ISNUMBER(H1996)),D1996*H1996*Inputs!$C$69,"")</f>
      </c>
      <c r="J1996" s="42">
        <f>IF(AND(ISNUMBER(F1996),ISNUMBER(H1996),F1996&gt;=Inputs!$C$68),F1996*H1996*Inputs!$C$69,"")</f>
      </c>
    </row>
    <row r="1997" spans="2:10" ht="15" customHeight="1" x14ac:dyDescent="0.2">
      <c r="B1997" s="39">
        <f t="shared" si="14"/>
      </c>
      <c r="C1997" s="40">
        <f>IF(Inputs!$C$60,Inputs!$C$11+(B1997-Inputs!$C$69)/Inputs!$C$70,"")</f>
      </c>
      <c r="D1997" s="15"/>
      <c r="E1997" s="15"/>
      <c r="F1997" s="11">
        <f t="shared" si="15"/>
      </c>
      <c r="G1997" s="22" cm="1">
        <f t="array" ref="G1997">IF(AND(Inputs!$C$60,Inputs!$C$61),INDEX(Utility_Rates!$C$29:$F$52,HOUR(C1997)+Inputs!$C$69,MATCH(INDEX(Utility_Rates!$K$6:$K$17,MONTH(C1997))&amp;IF(WEEKDAY(C1997,Inputs!$C$76)&lt;=Inputs!$C$74," weekday"," weekend"),Utility_Rates!$C$28:$F$28,Inputs!$C$68)),"")</f>
      </c>
      <c r="H1997" s="34"/>
      <c r="I1997" s="42">
        <f>IF(AND(ISNUMBER(D1997),ISNUMBER(H1997)),D1997*H1997*Inputs!$C$69,"")</f>
      </c>
      <c r="J1997" s="42">
        <f>IF(AND(ISNUMBER(F1997),ISNUMBER(H1997),F1997&gt;=Inputs!$C$68),F1997*H1997*Inputs!$C$69,"")</f>
      </c>
    </row>
    <row r="1998" spans="2:10" ht="15" customHeight="1" x14ac:dyDescent="0.2">
      <c r="B1998" s="39">
        <f t="shared" si="14"/>
      </c>
      <c r="C1998" s="40">
        <f>IF(Inputs!$C$60,Inputs!$C$11+(B1998-Inputs!$C$69)/Inputs!$C$70,"")</f>
      </c>
      <c r="D1998" s="15"/>
      <c r="E1998" s="15"/>
      <c r="F1998" s="11">
        <f t="shared" si="15"/>
      </c>
      <c r="G1998" s="22" cm="1">
        <f t="array" ref="G1998">IF(AND(Inputs!$C$60,Inputs!$C$61),INDEX(Utility_Rates!$C$29:$F$52,HOUR(C1998)+Inputs!$C$69,MATCH(INDEX(Utility_Rates!$K$6:$K$17,MONTH(C1998))&amp;IF(WEEKDAY(C1998,Inputs!$C$76)&lt;=Inputs!$C$74," weekday"," weekend"),Utility_Rates!$C$28:$F$28,Inputs!$C$68)),"")</f>
      </c>
      <c r="H1998" s="34"/>
      <c r="I1998" s="42">
        <f>IF(AND(ISNUMBER(D1998),ISNUMBER(H1998)),D1998*H1998*Inputs!$C$69,"")</f>
      </c>
      <c r="J1998" s="42">
        <f>IF(AND(ISNUMBER(F1998),ISNUMBER(H1998),F1998&gt;=Inputs!$C$68),F1998*H1998*Inputs!$C$69,"")</f>
      </c>
    </row>
    <row r="1999" spans="2:10" ht="15" customHeight="1" x14ac:dyDescent="0.2">
      <c r="B1999" s="39">
        <f t="shared" si="14"/>
      </c>
      <c r="C1999" s="40">
        <f>IF(Inputs!$C$60,Inputs!$C$11+(B1999-Inputs!$C$69)/Inputs!$C$70,"")</f>
      </c>
      <c r="D1999" s="15"/>
      <c r="E1999" s="15"/>
      <c r="F1999" s="11">
        <f t="shared" si="15"/>
      </c>
      <c r="G1999" s="22" cm="1">
        <f t="array" ref="G1999">IF(AND(Inputs!$C$60,Inputs!$C$61),INDEX(Utility_Rates!$C$29:$F$52,HOUR(C1999)+Inputs!$C$69,MATCH(INDEX(Utility_Rates!$K$6:$K$17,MONTH(C1999))&amp;IF(WEEKDAY(C1999,Inputs!$C$76)&lt;=Inputs!$C$74," weekday"," weekend"),Utility_Rates!$C$28:$F$28,Inputs!$C$68)),"")</f>
      </c>
      <c r="H1999" s="34"/>
      <c r="I1999" s="42">
        <f>IF(AND(ISNUMBER(D1999),ISNUMBER(H1999)),D1999*H1999*Inputs!$C$69,"")</f>
      </c>
      <c r="J1999" s="42">
        <f>IF(AND(ISNUMBER(F1999),ISNUMBER(H1999),F1999&gt;=Inputs!$C$68),F1999*H1999*Inputs!$C$69,"")</f>
      </c>
    </row>
    <row r="2000" spans="2:10" ht="15" customHeight="1" x14ac:dyDescent="0.2">
      <c r="B2000" s="39">
        <f t="shared" si="14"/>
      </c>
      <c r="C2000" s="40">
        <f>IF(Inputs!$C$60,Inputs!$C$11+(B2000-Inputs!$C$69)/Inputs!$C$70,"")</f>
      </c>
      <c r="D2000" s="15"/>
      <c r="E2000" s="15"/>
      <c r="F2000" s="11">
        <f t="shared" si="15"/>
      </c>
      <c r="G2000" s="22" cm="1">
        <f t="array" ref="G2000">IF(AND(Inputs!$C$60,Inputs!$C$61),INDEX(Utility_Rates!$C$29:$F$52,HOUR(C2000)+Inputs!$C$69,MATCH(INDEX(Utility_Rates!$K$6:$K$17,MONTH(C2000))&amp;IF(WEEKDAY(C2000,Inputs!$C$76)&lt;=Inputs!$C$74," weekday"," weekend"),Utility_Rates!$C$28:$F$28,Inputs!$C$68)),"")</f>
      </c>
      <c r="H2000" s="34"/>
      <c r="I2000" s="42">
        <f>IF(AND(ISNUMBER(D2000),ISNUMBER(H2000)),D2000*H2000*Inputs!$C$69,"")</f>
      </c>
      <c r="J2000" s="42">
        <f>IF(AND(ISNUMBER(F2000),ISNUMBER(H2000),F2000&gt;=Inputs!$C$68),F2000*H2000*Inputs!$C$69,"")</f>
      </c>
    </row>
    <row r="2001" spans="2:10" ht="15" customHeight="1" x14ac:dyDescent="0.2">
      <c r="B2001" s="39">
        <f t="shared" si="14"/>
      </c>
      <c r="C2001" s="40">
        <f>IF(Inputs!$C$60,Inputs!$C$11+(B2001-Inputs!$C$69)/Inputs!$C$70,"")</f>
      </c>
      <c r="D2001" s="15"/>
      <c r="E2001" s="15"/>
      <c r="F2001" s="11">
        <f t="shared" si="15"/>
      </c>
      <c r="G2001" s="22" cm="1">
        <f t="array" ref="G2001">IF(AND(Inputs!$C$60,Inputs!$C$61),INDEX(Utility_Rates!$C$29:$F$52,HOUR(C2001)+Inputs!$C$69,MATCH(INDEX(Utility_Rates!$K$6:$K$17,MONTH(C2001))&amp;IF(WEEKDAY(C2001,Inputs!$C$76)&lt;=Inputs!$C$74," weekday"," weekend"),Utility_Rates!$C$28:$F$28,Inputs!$C$68)),"")</f>
      </c>
      <c r="H2001" s="34"/>
      <c r="I2001" s="42">
        <f>IF(AND(ISNUMBER(D2001),ISNUMBER(H2001)),D2001*H2001*Inputs!$C$69,"")</f>
      </c>
      <c r="J2001" s="42">
        <f>IF(AND(ISNUMBER(F2001),ISNUMBER(H2001),F2001&gt;=Inputs!$C$68),F2001*H2001*Inputs!$C$69,"")</f>
      </c>
    </row>
    <row r="2002" spans="2:10" ht="15" customHeight="1" x14ac:dyDescent="0.2">
      <c r="B2002" s="39">
        <f t="shared" si="14"/>
      </c>
      <c r="C2002" s="40">
        <f>IF(Inputs!$C$60,Inputs!$C$11+(B2002-Inputs!$C$69)/Inputs!$C$70,"")</f>
      </c>
      <c r="D2002" s="15"/>
      <c r="E2002" s="15"/>
      <c r="F2002" s="11">
        <f t="shared" si="15"/>
      </c>
      <c r="G2002" s="22" cm="1">
        <f t="array" ref="G2002">IF(AND(Inputs!$C$60,Inputs!$C$61),INDEX(Utility_Rates!$C$29:$F$52,HOUR(C2002)+Inputs!$C$69,MATCH(INDEX(Utility_Rates!$K$6:$K$17,MONTH(C2002))&amp;IF(WEEKDAY(C2002,Inputs!$C$76)&lt;=Inputs!$C$74," weekday"," weekend"),Utility_Rates!$C$28:$F$28,Inputs!$C$68)),"")</f>
      </c>
      <c r="H2002" s="34"/>
      <c r="I2002" s="42">
        <f>IF(AND(ISNUMBER(D2002),ISNUMBER(H2002)),D2002*H2002*Inputs!$C$69,"")</f>
      </c>
      <c r="J2002" s="42">
        <f>IF(AND(ISNUMBER(F2002),ISNUMBER(H2002),F2002&gt;=Inputs!$C$68),F2002*H2002*Inputs!$C$69,"")</f>
      </c>
    </row>
    <row r="2003" spans="2:10" ht="15" customHeight="1" x14ac:dyDescent="0.2">
      <c r="B2003" s="39">
        <f t="shared" si="14"/>
      </c>
      <c r="C2003" s="40">
        <f>IF(Inputs!$C$60,Inputs!$C$11+(B2003-Inputs!$C$69)/Inputs!$C$70,"")</f>
      </c>
      <c r="D2003" s="15"/>
      <c r="E2003" s="15"/>
      <c r="F2003" s="11">
        <f t="shared" si="15"/>
      </c>
      <c r="G2003" s="22" cm="1">
        <f t="array" ref="G2003">IF(AND(Inputs!$C$60,Inputs!$C$61),INDEX(Utility_Rates!$C$29:$F$52,HOUR(C2003)+Inputs!$C$69,MATCH(INDEX(Utility_Rates!$K$6:$K$17,MONTH(C2003))&amp;IF(WEEKDAY(C2003,Inputs!$C$76)&lt;=Inputs!$C$74," weekday"," weekend"),Utility_Rates!$C$28:$F$28,Inputs!$C$68)),"")</f>
      </c>
      <c r="H2003" s="34"/>
      <c r="I2003" s="42">
        <f>IF(AND(ISNUMBER(D2003),ISNUMBER(H2003)),D2003*H2003*Inputs!$C$69,"")</f>
      </c>
      <c r="J2003" s="42">
        <f>IF(AND(ISNUMBER(F2003),ISNUMBER(H2003),F2003&gt;=Inputs!$C$68),F2003*H2003*Inputs!$C$69,"")</f>
      </c>
    </row>
    <row r="2004" spans="2:10" ht="15" customHeight="1" x14ac:dyDescent="0.2">
      <c r="B2004" s="39">
        <f t="shared" si="14"/>
      </c>
      <c r="C2004" s="40">
        <f>IF(Inputs!$C$60,Inputs!$C$11+(B2004-Inputs!$C$69)/Inputs!$C$70,"")</f>
      </c>
      <c r="D2004" s="15"/>
      <c r="E2004" s="15"/>
      <c r="F2004" s="11">
        <f t="shared" si="15"/>
      </c>
      <c r="G2004" s="22" cm="1">
        <f t="array" ref="G2004">IF(AND(Inputs!$C$60,Inputs!$C$61),INDEX(Utility_Rates!$C$29:$F$52,HOUR(C2004)+Inputs!$C$69,MATCH(INDEX(Utility_Rates!$K$6:$K$17,MONTH(C2004))&amp;IF(WEEKDAY(C2004,Inputs!$C$76)&lt;=Inputs!$C$74," weekday"," weekend"),Utility_Rates!$C$28:$F$28,Inputs!$C$68)),"")</f>
      </c>
      <c r="H2004" s="34"/>
      <c r="I2004" s="42">
        <f>IF(AND(ISNUMBER(D2004),ISNUMBER(H2004)),D2004*H2004*Inputs!$C$69,"")</f>
      </c>
      <c r="J2004" s="42">
        <f>IF(AND(ISNUMBER(F2004),ISNUMBER(H2004),F2004&gt;=Inputs!$C$68),F2004*H2004*Inputs!$C$69,"")</f>
      </c>
    </row>
    <row r="2005" spans="2:10" ht="15" customHeight="1" x14ac:dyDescent="0.2">
      <c r="B2005" s="39">
        <f t="shared" si="14"/>
      </c>
      <c r="C2005" s="40">
        <f>IF(Inputs!$C$60,Inputs!$C$11+(B2005-Inputs!$C$69)/Inputs!$C$70,"")</f>
      </c>
      <c r="D2005" s="15"/>
      <c r="E2005" s="15"/>
      <c r="F2005" s="11">
        <f t="shared" si="15"/>
      </c>
      <c r="G2005" s="22" cm="1">
        <f t="array" ref="G2005">IF(AND(Inputs!$C$60,Inputs!$C$61),INDEX(Utility_Rates!$C$29:$F$52,HOUR(C2005)+Inputs!$C$69,MATCH(INDEX(Utility_Rates!$K$6:$K$17,MONTH(C2005))&amp;IF(WEEKDAY(C2005,Inputs!$C$76)&lt;=Inputs!$C$74," weekday"," weekend"),Utility_Rates!$C$28:$F$28,Inputs!$C$68)),"")</f>
      </c>
      <c r="H2005" s="34"/>
      <c r="I2005" s="42">
        <f>IF(AND(ISNUMBER(D2005),ISNUMBER(H2005)),D2005*H2005*Inputs!$C$69,"")</f>
      </c>
      <c r="J2005" s="42">
        <f>IF(AND(ISNUMBER(F2005),ISNUMBER(H2005),F2005&gt;=Inputs!$C$68),F2005*H2005*Inputs!$C$69,"")</f>
      </c>
    </row>
    <row r="2006" spans="2:10" ht="15" customHeight="1" x14ac:dyDescent="0.2">
      <c r="B2006" s="39">
        <f t="shared" si="14"/>
      </c>
      <c r="C2006" s="40">
        <f>IF(Inputs!$C$60,Inputs!$C$11+(B2006-Inputs!$C$69)/Inputs!$C$70,"")</f>
      </c>
      <c r="D2006" s="15"/>
      <c r="E2006" s="15"/>
      <c r="F2006" s="11">
        <f t="shared" si="15"/>
      </c>
      <c r="G2006" s="22" cm="1">
        <f t="array" ref="G2006">IF(AND(Inputs!$C$60,Inputs!$C$61),INDEX(Utility_Rates!$C$29:$F$52,HOUR(C2006)+Inputs!$C$69,MATCH(INDEX(Utility_Rates!$K$6:$K$17,MONTH(C2006))&amp;IF(WEEKDAY(C2006,Inputs!$C$76)&lt;=Inputs!$C$74," weekday"," weekend"),Utility_Rates!$C$28:$F$28,Inputs!$C$68)),"")</f>
      </c>
      <c r="H2006" s="34"/>
      <c r="I2006" s="42">
        <f>IF(AND(ISNUMBER(D2006),ISNUMBER(H2006)),D2006*H2006*Inputs!$C$69,"")</f>
      </c>
      <c r="J2006" s="42">
        <f>IF(AND(ISNUMBER(F2006),ISNUMBER(H2006),F2006&gt;=Inputs!$C$68),F2006*H2006*Inputs!$C$69,"")</f>
      </c>
    </row>
    <row r="2007" spans="2:10" ht="15" customHeight="1" x14ac:dyDescent="0.2">
      <c r="B2007" s="39">
        <f t="shared" si="14"/>
      </c>
      <c r="C2007" s="40">
        <f>IF(Inputs!$C$60,Inputs!$C$11+(B2007-Inputs!$C$69)/Inputs!$C$70,"")</f>
      </c>
      <c r="D2007" s="15"/>
      <c r="E2007" s="15"/>
      <c r="F2007" s="11">
        <f t="shared" si="15"/>
      </c>
      <c r="G2007" s="22" cm="1">
        <f t="array" ref="G2007">IF(AND(Inputs!$C$60,Inputs!$C$61),INDEX(Utility_Rates!$C$29:$F$52,HOUR(C2007)+Inputs!$C$69,MATCH(INDEX(Utility_Rates!$K$6:$K$17,MONTH(C2007))&amp;IF(WEEKDAY(C2007,Inputs!$C$76)&lt;=Inputs!$C$74," weekday"," weekend"),Utility_Rates!$C$28:$F$28,Inputs!$C$68)),"")</f>
      </c>
      <c r="H2007" s="34"/>
      <c r="I2007" s="42">
        <f>IF(AND(ISNUMBER(D2007),ISNUMBER(H2007)),D2007*H2007*Inputs!$C$69,"")</f>
      </c>
      <c r="J2007" s="42">
        <f>IF(AND(ISNUMBER(F2007),ISNUMBER(H2007),F2007&gt;=Inputs!$C$68),F2007*H2007*Inputs!$C$69,"")</f>
      </c>
    </row>
    <row r="2008" spans="2:10" ht="15" customHeight="1" x14ac:dyDescent="0.2">
      <c r="B2008" s="39">
        <f t="shared" si="14"/>
      </c>
      <c r="C2008" s="40">
        <f>IF(Inputs!$C$60,Inputs!$C$11+(B2008-Inputs!$C$69)/Inputs!$C$70,"")</f>
      </c>
      <c r="D2008" s="15"/>
      <c r="E2008" s="15"/>
      <c r="F2008" s="11">
        <f t="shared" si="15"/>
      </c>
      <c r="G2008" s="22" cm="1">
        <f t="array" ref="G2008">IF(AND(Inputs!$C$60,Inputs!$C$61),INDEX(Utility_Rates!$C$29:$F$52,HOUR(C2008)+Inputs!$C$69,MATCH(INDEX(Utility_Rates!$K$6:$K$17,MONTH(C2008))&amp;IF(WEEKDAY(C2008,Inputs!$C$76)&lt;=Inputs!$C$74," weekday"," weekend"),Utility_Rates!$C$28:$F$28,Inputs!$C$68)),"")</f>
      </c>
      <c r="H2008" s="34"/>
      <c r="I2008" s="42">
        <f>IF(AND(ISNUMBER(D2008),ISNUMBER(H2008)),D2008*H2008*Inputs!$C$69,"")</f>
      </c>
      <c r="J2008" s="42">
        <f>IF(AND(ISNUMBER(F2008),ISNUMBER(H2008),F2008&gt;=Inputs!$C$68),F2008*H2008*Inputs!$C$69,"")</f>
      </c>
    </row>
    <row r="2009" spans="2:10" ht="15" customHeight="1" x14ac:dyDescent="0.2">
      <c r="B2009" s="39">
        <f t="shared" si="14"/>
      </c>
      <c r="C2009" s="40">
        <f>IF(Inputs!$C$60,Inputs!$C$11+(B2009-Inputs!$C$69)/Inputs!$C$70,"")</f>
      </c>
      <c r="D2009" s="15"/>
      <c r="E2009" s="15"/>
      <c r="F2009" s="11">
        <f t="shared" si="15"/>
      </c>
      <c r="G2009" s="22" cm="1">
        <f t="array" ref="G2009">IF(AND(Inputs!$C$60,Inputs!$C$61),INDEX(Utility_Rates!$C$29:$F$52,HOUR(C2009)+Inputs!$C$69,MATCH(INDEX(Utility_Rates!$K$6:$K$17,MONTH(C2009))&amp;IF(WEEKDAY(C2009,Inputs!$C$76)&lt;=Inputs!$C$74," weekday"," weekend"),Utility_Rates!$C$28:$F$28,Inputs!$C$68)),"")</f>
      </c>
      <c r="H2009" s="34"/>
      <c r="I2009" s="42">
        <f>IF(AND(ISNUMBER(D2009),ISNUMBER(H2009)),D2009*H2009*Inputs!$C$69,"")</f>
      </c>
      <c r="J2009" s="42">
        <f>IF(AND(ISNUMBER(F2009),ISNUMBER(H2009),F2009&gt;=Inputs!$C$68),F2009*H2009*Inputs!$C$69,"")</f>
      </c>
    </row>
    <row r="2010" spans="2:10" ht="15" customHeight="1" x14ac:dyDescent="0.2">
      <c r="B2010" s="39">
        <f t="shared" si="14"/>
      </c>
      <c r="C2010" s="40">
        <f>IF(Inputs!$C$60,Inputs!$C$11+(B2010-Inputs!$C$69)/Inputs!$C$70,"")</f>
      </c>
      <c r="D2010" s="15"/>
      <c r="E2010" s="15"/>
      <c r="F2010" s="11">
        <f t="shared" si="15"/>
      </c>
      <c r="G2010" s="22" cm="1">
        <f t="array" ref="G2010">IF(AND(Inputs!$C$60,Inputs!$C$61),INDEX(Utility_Rates!$C$29:$F$52,HOUR(C2010)+Inputs!$C$69,MATCH(INDEX(Utility_Rates!$K$6:$K$17,MONTH(C2010))&amp;IF(WEEKDAY(C2010,Inputs!$C$76)&lt;=Inputs!$C$74," weekday"," weekend"),Utility_Rates!$C$28:$F$28,Inputs!$C$68)),"")</f>
      </c>
      <c r="H2010" s="34"/>
      <c r="I2010" s="42">
        <f>IF(AND(ISNUMBER(D2010),ISNUMBER(H2010)),D2010*H2010*Inputs!$C$69,"")</f>
      </c>
      <c r="J2010" s="42">
        <f>IF(AND(ISNUMBER(F2010),ISNUMBER(H2010),F2010&gt;=Inputs!$C$68),F2010*H2010*Inputs!$C$69,"")</f>
      </c>
    </row>
    <row r="2011" spans="2:10" ht="15" customHeight="1" x14ac:dyDescent="0.2">
      <c r="B2011" s="39">
        <f t="shared" si="14"/>
      </c>
      <c r="C2011" s="40">
        <f>IF(Inputs!$C$60,Inputs!$C$11+(B2011-Inputs!$C$69)/Inputs!$C$70,"")</f>
      </c>
      <c r="D2011" s="15"/>
      <c r="E2011" s="15"/>
      <c r="F2011" s="11">
        <f t="shared" si="15"/>
      </c>
      <c r="G2011" s="22" cm="1">
        <f t="array" ref="G2011">IF(AND(Inputs!$C$60,Inputs!$C$61),INDEX(Utility_Rates!$C$29:$F$52,HOUR(C2011)+Inputs!$C$69,MATCH(INDEX(Utility_Rates!$K$6:$K$17,MONTH(C2011))&amp;IF(WEEKDAY(C2011,Inputs!$C$76)&lt;=Inputs!$C$74," weekday"," weekend"),Utility_Rates!$C$28:$F$28,Inputs!$C$68)),"")</f>
      </c>
      <c r="H2011" s="34"/>
      <c r="I2011" s="42">
        <f>IF(AND(ISNUMBER(D2011),ISNUMBER(H2011)),D2011*H2011*Inputs!$C$69,"")</f>
      </c>
      <c r="J2011" s="42">
        <f>IF(AND(ISNUMBER(F2011),ISNUMBER(H2011),F2011&gt;=Inputs!$C$68),F2011*H2011*Inputs!$C$69,"")</f>
      </c>
    </row>
    <row r="2012" spans="2:10" ht="15" customHeight="1" x14ac:dyDescent="0.2">
      <c r="B2012" s="39">
        <f t="shared" si="14"/>
      </c>
      <c r="C2012" s="40">
        <f>IF(Inputs!$C$60,Inputs!$C$11+(B2012-Inputs!$C$69)/Inputs!$C$70,"")</f>
      </c>
      <c r="D2012" s="15"/>
      <c r="E2012" s="15"/>
      <c r="F2012" s="11">
        <f t="shared" si="15"/>
      </c>
      <c r="G2012" s="22" cm="1">
        <f t="array" ref="G2012">IF(AND(Inputs!$C$60,Inputs!$C$61),INDEX(Utility_Rates!$C$29:$F$52,HOUR(C2012)+Inputs!$C$69,MATCH(INDEX(Utility_Rates!$K$6:$K$17,MONTH(C2012))&amp;IF(WEEKDAY(C2012,Inputs!$C$76)&lt;=Inputs!$C$74," weekday"," weekend"),Utility_Rates!$C$28:$F$28,Inputs!$C$68)),"")</f>
      </c>
      <c r="H2012" s="34"/>
      <c r="I2012" s="42">
        <f>IF(AND(ISNUMBER(D2012),ISNUMBER(H2012)),D2012*H2012*Inputs!$C$69,"")</f>
      </c>
      <c r="J2012" s="42">
        <f>IF(AND(ISNUMBER(F2012),ISNUMBER(H2012),F2012&gt;=Inputs!$C$68),F2012*H2012*Inputs!$C$69,"")</f>
      </c>
    </row>
    <row r="2013" spans="2:10" ht="15" customHeight="1" x14ac:dyDescent="0.2">
      <c r="B2013" s="39">
        <f t="shared" si="14"/>
      </c>
      <c r="C2013" s="40">
        <f>IF(Inputs!$C$60,Inputs!$C$11+(B2013-Inputs!$C$69)/Inputs!$C$70,"")</f>
      </c>
      <c r="D2013" s="15"/>
      <c r="E2013" s="15"/>
      <c r="F2013" s="11">
        <f t="shared" si="15"/>
      </c>
      <c r="G2013" s="22" cm="1">
        <f t="array" ref="G2013">IF(AND(Inputs!$C$60,Inputs!$C$61),INDEX(Utility_Rates!$C$29:$F$52,HOUR(C2013)+Inputs!$C$69,MATCH(INDEX(Utility_Rates!$K$6:$K$17,MONTH(C2013))&amp;IF(WEEKDAY(C2013,Inputs!$C$76)&lt;=Inputs!$C$74," weekday"," weekend"),Utility_Rates!$C$28:$F$28,Inputs!$C$68)),"")</f>
      </c>
      <c r="H2013" s="34"/>
      <c r="I2013" s="42">
        <f>IF(AND(ISNUMBER(D2013),ISNUMBER(H2013)),D2013*H2013*Inputs!$C$69,"")</f>
      </c>
      <c r="J2013" s="42">
        <f>IF(AND(ISNUMBER(F2013),ISNUMBER(H2013),F2013&gt;=Inputs!$C$68),F2013*H2013*Inputs!$C$69,"")</f>
      </c>
    </row>
    <row r="2014" spans="2:10" ht="15" customHeight="1" x14ac:dyDescent="0.2">
      <c r="B2014" s="39">
        <f t="shared" si="14"/>
      </c>
      <c r="C2014" s="40">
        <f>IF(Inputs!$C$60,Inputs!$C$11+(B2014-Inputs!$C$69)/Inputs!$C$70,"")</f>
      </c>
      <c r="D2014" s="15"/>
      <c r="E2014" s="15"/>
      <c r="F2014" s="11">
        <f t="shared" si="15"/>
      </c>
      <c r="G2014" s="22" cm="1">
        <f t="array" ref="G2014">IF(AND(Inputs!$C$60,Inputs!$C$61),INDEX(Utility_Rates!$C$29:$F$52,HOUR(C2014)+Inputs!$C$69,MATCH(INDEX(Utility_Rates!$K$6:$K$17,MONTH(C2014))&amp;IF(WEEKDAY(C2014,Inputs!$C$76)&lt;=Inputs!$C$74," weekday"," weekend"),Utility_Rates!$C$28:$F$28,Inputs!$C$68)),"")</f>
      </c>
      <c r="H2014" s="34"/>
      <c r="I2014" s="42">
        <f>IF(AND(ISNUMBER(D2014),ISNUMBER(H2014)),D2014*H2014*Inputs!$C$69,"")</f>
      </c>
      <c r="J2014" s="42">
        <f>IF(AND(ISNUMBER(F2014),ISNUMBER(H2014),F2014&gt;=Inputs!$C$68),F2014*H2014*Inputs!$C$69,"")</f>
      </c>
    </row>
    <row r="2015" spans="2:10" ht="15" customHeight="1" x14ac:dyDescent="0.2">
      <c r="B2015" s="39">
        <f t="shared" si="14"/>
      </c>
      <c r="C2015" s="40">
        <f>IF(Inputs!$C$60,Inputs!$C$11+(B2015-Inputs!$C$69)/Inputs!$C$70,"")</f>
      </c>
      <c r="D2015" s="15"/>
      <c r="E2015" s="15"/>
      <c r="F2015" s="11">
        <f t="shared" si="15"/>
      </c>
      <c r="G2015" s="22" cm="1">
        <f t="array" ref="G2015">IF(AND(Inputs!$C$60,Inputs!$C$61),INDEX(Utility_Rates!$C$29:$F$52,HOUR(C2015)+Inputs!$C$69,MATCH(INDEX(Utility_Rates!$K$6:$K$17,MONTH(C2015))&amp;IF(WEEKDAY(C2015,Inputs!$C$76)&lt;=Inputs!$C$74," weekday"," weekend"),Utility_Rates!$C$28:$F$28,Inputs!$C$68)),"")</f>
      </c>
      <c r="H2015" s="34"/>
      <c r="I2015" s="42">
        <f>IF(AND(ISNUMBER(D2015),ISNUMBER(H2015)),D2015*H2015*Inputs!$C$69,"")</f>
      </c>
      <c r="J2015" s="42">
        <f>IF(AND(ISNUMBER(F2015),ISNUMBER(H2015),F2015&gt;=Inputs!$C$68),F2015*H2015*Inputs!$C$69,"")</f>
      </c>
    </row>
    <row r="2016" spans="2:10" ht="15" customHeight="1" x14ac:dyDescent="0.2">
      <c r="B2016" s="39">
        <f t="shared" si="14"/>
      </c>
      <c r="C2016" s="40">
        <f>IF(Inputs!$C$60,Inputs!$C$11+(B2016-Inputs!$C$69)/Inputs!$C$70,"")</f>
      </c>
      <c r="D2016" s="15"/>
      <c r="E2016" s="15"/>
      <c r="F2016" s="11">
        <f t="shared" si="15"/>
      </c>
      <c r="G2016" s="22" cm="1">
        <f t="array" ref="G2016">IF(AND(Inputs!$C$60,Inputs!$C$61),INDEX(Utility_Rates!$C$29:$F$52,HOUR(C2016)+Inputs!$C$69,MATCH(INDEX(Utility_Rates!$K$6:$K$17,MONTH(C2016))&amp;IF(WEEKDAY(C2016,Inputs!$C$76)&lt;=Inputs!$C$74," weekday"," weekend"),Utility_Rates!$C$28:$F$28,Inputs!$C$68)),"")</f>
      </c>
      <c r="H2016" s="34"/>
      <c r="I2016" s="42">
        <f>IF(AND(ISNUMBER(D2016),ISNUMBER(H2016)),D2016*H2016*Inputs!$C$69,"")</f>
      </c>
      <c r="J2016" s="42">
        <f>IF(AND(ISNUMBER(F2016),ISNUMBER(H2016),F2016&gt;=Inputs!$C$68),F2016*H2016*Inputs!$C$69,"")</f>
      </c>
    </row>
    <row r="2017" spans="2:10" ht="15" customHeight="1" x14ac:dyDescent="0.2">
      <c r="B2017" s="39">
        <f t="shared" si="14"/>
      </c>
      <c r="C2017" s="40">
        <f>IF(Inputs!$C$60,Inputs!$C$11+(B2017-Inputs!$C$69)/Inputs!$C$70,"")</f>
      </c>
      <c r="D2017" s="15"/>
      <c r="E2017" s="15"/>
      <c r="F2017" s="11">
        <f t="shared" si="15"/>
      </c>
      <c r="G2017" s="22" cm="1">
        <f t="array" ref="G2017">IF(AND(Inputs!$C$60,Inputs!$C$61),INDEX(Utility_Rates!$C$29:$F$52,HOUR(C2017)+Inputs!$C$69,MATCH(INDEX(Utility_Rates!$K$6:$K$17,MONTH(C2017))&amp;IF(WEEKDAY(C2017,Inputs!$C$76)&lt;=Inputs!$C$74," weekday"," weekend"),Utility_Rates!$C$28:$F$28,Inputs!$C$68)),"")</f>
      </c>
      <c r="H2017" s="34"/>
      <c r="I2017" s="42">
        <f>IF(AND(ISNUMBER(D2017),ISNUMBER(H2017)),D2017*H2017*Inputs!$C$69,"")</f>
      </c>
      <c r="J2017" s="42">
        <f>IF(AND(ISNUMBER(F2017),ISNUMBER(H2017),F2017&gt;=Inputs!$C$68),F2017*H2017*Inputs!$C$69,"")</f>
      </c>
    </row>
    <row r="2018" spans="2:10" ht="15" customHeight="1" x14ac:dyDescent="0.2">
      <c r="B2018" s="39">
        <f t="shared" si="14"/>
      </c>
      <c r="C2018" s="40">
        <f>IF(Inputs!$C$60,Inputs!$C$11+(B2018-Inputs!$C$69)/Inputs!$C$70,"")</f>
      </c>
      <c r="D2018" s="15"/>
      <c r="E2018" s="15"/>
      <c r="F2018" s="11">
        <f t="shared" si="15"/>
      </c>
      <c r="G2018" s="22" cm="1">
        <f t="array" ref="G2018">IF(AND(Inputs!$C$60,Inputs!$C$61),INDEX(Utility_Rates!$C$29:$F$52,HOUR(C2018)+Inputs!$C$69,MATCH(INDEX(Utility_Rates!$K$6:$K$17,MONTH(C2018))&amp;IF(WEEKDAY(C2018,Inputs!$C$76)&lt;=Inputs!$C$74," weekday"," weekend"),Utility_Rates!$C$28:$F$28,Inputs!$C$68)),"")</f>
      </c>
      <c r="H2018" s="34"/>
      <c r="I2018" s="42">
        <f>IF(AND(ISNUMBER(D2018),ISNUMBER(H2018)),D2018*H2018*Inputs!$C$69,"")</f>
      </c>
      <c r="J2018" s="42">
        <f>IF(AND(ISNUMBER(F2018),ISNUMBER(H2018),F2018&gt;=Inputs!$C$68),F2018*H2018*Inputs!$C$69,"")</f>
      </c>
    </row>
    <row r="2019" spans="2:10" ht="15" customHeight="1" x14ac:dyDescent="0.2">
      <c r="B2019" s="39">
        <f t="shared" si="14"/>
      </c>
      <c r="C2019" s="40">
        <f>IF(Inputs!$C$60,Inputs!$C$11+(B2019-Inputs!$C$69)/Inputs!$C$70,"")</f>
      </c>
      <c r="D2019" s="15"/>
      <c r="E2019" s="15"/>
      <c r="F2019" s="11">
        <f t="shared" si="15"/>
      </c>
      <c r="G2019" s="22" cm="1">
        <f t="array" ref="G2019">IF(AND(Inputs!$C$60,Inputs!$C$61),INDEX(Utility_Rates!$C$29:$F$52,HOUR(C2019)+Inputs!$C$69,MATCH(INDEX(Utility_Rates!$K$6:$K$17,MONTH(C2019))&amp;IF(WEEKDAY(C2019,Inputs!$C$76)&lt;=Inputs!$C$74," weekday"," weekend"),Utility_Rates!$C$28:$F$28,Inputs!$C$68)),"")</f>
      </c>
      <c r="H2019" s="34"/>
      <c r="I2019" s="42">
        <f>IF(AND(ISNUMBER(D2019),ISNUMBER(H2019)),D2019*H2019*Inputs!$C$69,"")</f>
      </c>
      <c r="J2019" s="42">
        <f>IF(AND(ISNUMBER(F2019),ISNUMBER(H2019),F2019&gt;=Inputs!$C$68),F2019*H2019*Inputs!$C$69,"")</f>
      </c>
    </row>
    <row r="2020" spans="2:10" ht="15" customHeight="1" x14ac:dyDescent="0.2">
      <c r="B2020" s="39">
        <f t="shared" si="14"/>
      </c>
      <c r="C2020" s="40">
        <f>IF(Inputs!$C$60,Inputs!$C$11+(B2020-Inputs!$C$69)/Inputs!$C$70,"")</f>
      </c>
      <c r="D2020" s="15"/>
      <c r="E2020" s="15"/>
      <c r="F2020" s="11">
        <f t="shared" si="15"/>
      </c>
      <c r="G2020" s="22" cm="1">
        <f t="array" ref="G2020">IF(AND(Inputs!$C$60,Inputs!$C$61),INDEX(Utility_Rates!$C$29:$F$52,HOUR(C2020)+Inputs!$C$69,MATCH(INDEX(Utility_Rates!$K$6:$K$17,MONTH(C2020))&amp;IF(WEEKDAY(C2020,Inputs!$C$76)&lt;=Inputs!$C$74," weekday"," weekend"),Utility_Rates!$C$28:$F$28,Inputs!$C$68)),"")</f>
      </c>
      <c r="H2020" s="34"/>
      <c r="I2020" s="42">
        <f>IF(AND(ISNUMBER(D2020),ISNUMBER(H2020)),D2020*H2020*Inputs!$C$69,"")</f>
      </c>
      <c r="J2020" s="42">
        <f>IF(AND(ISNUMBER(F2020),ISNUMBER(H2020),F2020&gt;=Inputs!$C$68),F2020*H2020*Inputs!$C$69,"")</f>
      </c>
    </row>
    <row r="2021" spans="2:10" ht="15" customHeight="1" x14ac:dyDescent="0.2">
      <c r="B2021" s="39">
        <f t="shared" si="14"/>
      </c>
      <c r="C2021" s="40">
        <f>IF(Inputs!$C$60,Inputs!$C$11+(B2021-Inputs!$C$69)/Inputs!$C$70,"")</f>
      </c>
      <c r="D2021" s="15"/>
      <c r="E2021" s="15"/>
      <c r="F2021" s="11">
        <f t="shared" si="15"/>
      </c>
      <c r="G2021" s="22" cm="1">
        <f t="array" ref="G2021">IF(AND(Inputs!$C$60,Inputs!$C$61),INDEX(Utility_Rates!$C$29:$F$52,HOUR(C2021)+Inputs!$C$69,MATCH(INDEX(Utility_Rates!$K$6:$K$17,MONTH(C2021))&amp;IF(WEEKDAY(C2021,Inputs!$C$76)&lt;=Inputs!$C$74," weekday"," weekend"),Utility_Rates!$C$28:$F$28,Inputs!$C$68)),"")</f>
      </c>
      <c r="H2021" s="34"/>
      <c r="I2021" s="42">
        <f>IF(AND(ISNUMBER(D2021),ISNUMBER(H2021)),D2021*H2021*Inputs!$C$69,"")</f>
      </c>
      <c r="J2021" s="42">
        <f>IF(AND(ISNUMBER(F2021),ISNUMBER(H2021),F2021&gt;=Inputs!$C$68),F2021*H2021*Inputs!$C$69,"")</f>
      </c>
    </row>
    <row r="2022" spans="2:10" ht="15" customHeight="1" x14ac:dyDescent="0.2">
      <c r="B2022" s="39">
        <f t="shared" si="14"/>
      </c>
      <c r="C2022" s="40">
        <f>IF(Inputs!$C$60,Inputs!$C$11+(B2022-Inputs!$C$69)/Inputs!$C$70,"")</f>
      </c>
      <c r="D2022" s="15"/>
      <c r="E2022" s="15"/>
      <c r="F2022" s="11">
        <f t="shared" si="15"/>
      </c>
      <c r="G2022" s="22" cm="1">
        <f t="array" ref="G2022">IF(AND(Inputs!$C$60,Inputs!$C$61),INDEX(Utility_Rates!$C$29:$F$52,HOUR(C2022)+Inputs!$C$69,MATCH(INDEX(Utility_Rates!$K$6:$K$17,MONTH(C2022))&amp;IF(WEEKDAY(C2022,Inputs!$C$76)&lt;=Inputs!$C$74," weekday"," weekend"),Utility_Rates!$C$28:$F$28,Inputs!$C$68)),"")</f>
      </c>
      <c r="H2022" s="34"/>
      <c r="I2022" s="42">
        <f>IF(AND(ISNUMBER(D2022),ISNUMBER(H2022)),D2022*H2022*Inputs!$C$69,"")</f>
      </c>
      <c r="J2022" s="42">
        <f>IF(AND(ISNUMBER(F2022),ISNUMBER(H2022),F2022&gt;=Inputs!$C$68),F2022*H2022*Inputs!$C$69,"")</f>
      </c>
    </row>
    <row r="2023" spans="2:10" ht="15" customHeight="1" x14ac:dyDescent="0.2">
      <c r="B2023" s="39">
        <f t="shared" si="14"/>
      </c>
      <c r="C2023" s="40">
        <f>IF(Inputs!$C$60,Inputs!$C$11+(B2023-Inputs!$C$69)/Inputs!$C$70,"")</f>
      </c>
      <c r="D2023" s="15"/>
      <c r="E2023" s="15"/>
      <c r="F2023" s="11">
        <f t="shared" si="15"/>
      </c>
      <c r="G2023" s="22" cm="1">
        <f t="array" ref="G2023">IF(AND(Inputs!$C$60,Inputs!$C$61),INDEX(Utility_Rates!$C$29:$F$52,HOUR(C2023)+Inputs!$C$69,MATCH(INDEX(Utility_Rates!$K$6:$K$17,MONTH(C2023))&amp;IF(WEEKDAY(C2023,Inputs!$C$76)&lt;=Inputs!$C$74," weekday"," weekend"),Utility_Rates!$C$28:$F$28,Inputs!$C$68)),"")</f>
      </c>
      <c r="H2023" s="34"/>
      <c r="I2023" s="42">
        <f>IF(AND(ISNUMBER(D2023),ISNUMBER(H2023)),D2023*H2023*Inputs!$C$69,"")</f>
      </c>
      <c r="J2023" s="42">
        <f>IF(AND(ISNUMBER(F2023),ISNUMBER(H2023),F2023&gt;=Inputs!$C$68),F2023*H2023*Inputs!$C$69,"")</f>
      </c>
    </row>
    <row r="2024" spans="2:10" ht="15" customHeight="1" x14ac:dyDescent="0.2">
      <c r="B2024" s="39">
        <f t="shared" si="14"/>
      </c>
      <c r="C2024" s="40">
        <f>IF(Inputs!$C$60,Inputs!$C$11+(B2024-Inputs!$C$69)/Inputs!$C$70,"")</f>
      </c>
      <c r="D2024" s="15"/>
      <c r="E2024" s="15"/>
      <c r="F2024" s="11">
        <f t="shared" si="15"/>
      </c>
      <c r="G2024" s="22" cm="1">
        <f t="array" ref="G2024">IF(AND(Inputs!$C$60,Inputs!$C$61),INDEX(Utility_Rates!$C$29:$F$52,HOUR(C2024)+Inputs!$C$69,MATCH(INDEX(Utility_Rates!$K$6:$K$17,MONTH(C2024))&amp;IF(WEEKDAY(C2024,Inputs!$C$76)&lt;=Inputs!$C$74," weekday"," weekend"),Utility_Rates!$C$28:$F$28,Inputs!$C$68)),"")</f>
      </c>
      <c r="H2024" s="34"/>
      <c r="I2024" s="42">
        <f>IF(AND(ISNUMBER(D2024),ISNUMBER(H2024)),D2024*H2024*Inputs!$C$69,"")</f>
      </c>
      <c r="J2024" s="42">
        <f>IF(AND(ISNUMBER(F2024),ISNUMBER(H2024),F2024&gt;=Inputs!$C$68),F2024*H2024*Inputs!$C$69,"")</f>
      </c>
    </row>
    <row r="2025" spans="2:10" ht="15" customHeight="1" x14ac:dyDescent="0.2">
      <c r="B2025" s="39">
        <f t="shared" si="14"/>
      </c>
      <c r="C2025" s="40">
        <f>IF(Inputs!$C$60,Inputs!$C$11+(B2025-Inputs!$C$69)/Inputs!$C$70,"")</f>
      </c>
      <c r="D2025" s="15"/>
      <c r="E2025" s="15"/>
      <c r="F2025" s="11">
        <f t="shared" si="15"/>
      </c>
      <c r="G2025" s="22" cm="1">
        <f t="array" ref="G2025">IF(AND(Inputs!$C$60,Inputs!$C$61),INDEX(Utility_Rates!$C$29:$F$52,HOUR(C2025)+Inputs!$C$69,MATCH(INDEX(Utility_Rates!$K$6:$K$17,MONTH(C2025))&amp;IF(WEEKDAY(C2025,Inputs!$C$76)&lt;=Inputs!$C$74," weekday"," weekend"),Utility_Rates!$C$28:$F$28,Inputs!$C$68)),"")</f>
      </c>
      <c r="H2025" s="34"/>
      <c r="I2025" s="42">
        <f>IF(AND(ISNUMBER(D2025),ISNUMBER(H2025)),D2025*H2025*Inputs!$C$69,"")</f>
      </c>
      <c r="J2025" s="42">
        <f>IF(AND(ISNUMBER(F2025),ISNUMBER(H2025),F2025&gt;=Inputs!$C$68),F2025*H2025*Inputs!$C$69,"")</f>
      </c>
    </row>
    <row r="2026" spans="2:10" ht="15" customHeight="1" x14ac:dyDescent="0.2">
      <c r="B2026" s="39">
        <f t="shared" si="14"/>
      </c>
      <c r="C2026" s="40">
        <f>IF(Inputs!$C$60,Inputs!$C$11+(B2026-Inputs!$C$69)/Inputs!$C$70,"")</f>
      </c>
      <c r="D2026" s="15"/>
      <c r="E2026" s="15"/>
      <c r="F2026" s="11">
        <f t="shared" si="15"/>
      </c>
      <c r="G2026" s="22" cm="1">
        <f t="array" ref="G2026">IF(AND(Inputs!$C$60,Inputs!$C$61),INDEX(Utility_Rates!$C$29:$F$52,HOUR(C2026)+Inputs!$C$69,MATCH(INDEX(Utility_Rates!$K$6:$K$17,MONTH(C2026))&amp;IF(WEEKDAY(C2026,Inputs!$C$76)&lt;=Inputs!$C$74," weekday"," weekend"),Utility_Rates!$C$28:$F$28,Inputs!$C$68)),"")</f>
      </c>
      <c r="H2026" s="34"/>
      <c r="I2026" s="42">
        <f>IF(AND(ISNUMBER(D2026),ISNUMBER(H2026)),D2026*H2026*Inputs!$C$69,"")</f>
      </c>
      <c r="J2026" s="42">
        <f>IF(AND(ISNUMBER(F2026),ISNUMBER(H2026),F2026&gt;=Inputs!$C$68),F2026*H2026*Inputs!$C$69,"")</f>
      </c>
    </row>
    <row r="2027" spans="2:10" ht="15" customHeight="1" x14ac:dyDescent="0.2">
      <c r="B2027" s="39">
        <f t="shared" si="14"/>
      </c>
      <c r="C2027" s="40">
        <f>IF(Inputs!$C$60,Inputs!$C$11+(B2027-Inputs!$C$69)/Inputs!$C$70,"")</f>
      </c>
      <c r="D2027" s="15"/>
      <c r="E2027" s="15"/>
      <c r="F2027" s="11">
        <f t="shared" si="15"/>
      </c>
      <c r="G2027" s="22" cm="1">
        <f t="array" ref="G2027">IF(AND(Inputs!$C$60,Inputs!$C$61),INDEX(Utility_Rates!$C$29:$F$52,HOUR(C2027)+Inputs!$C$69,MATCH(INDEX(Utility_Rates!$K$6:$K$17,MONTH(C2027))&amp;IF(WEEKDAY(C2027,Inputs!$C$76)&lt;=Inputs!$C$74," weekday"," weekend"),Utility_Rates!$C$28:$F$28,Inputs!$C$68)),"")</f>
      </c>
      <c r="H2027" s="34"/>
      <c r="I2027" s="42">
        <f>IF(AND(ISNUMBER(D2027),ISNUMBER(H2027)),D2027*H2027*Inputs!$C$69,"")</f>
      </c>
      <c r="J2027" s="42">
        <f>IF(AND(ISNUMBER(F2027),ISNUMBER(H2027),F2027&gt;=Inputs!$C$68),F2027*H2027*Inputs!$C$69,"")</f>
      </c>
    </row>
    <row r="2028" spans="2:10" ht="15" customHeight="1" x14ac:dyDescent="0.2">
      <c r="B2028" s="39">
        <f t="shared" si="14"/>
      </c>
      <c r="C2028" s="40">
        <f>IF(Inputs!$C$60,Inputs!$C$11+(B2028-Inputs!$C$69)/Inputs!$C$70,"")</f>
      </c>
      <c r="D2028" s="15"/>
      <c r="E2028" s="15"/>
      <c r="F2028" s="11">
        <f t="shared" si="15"/>
      </c>
      <c r="G2028" s="22" cm="1">
        <f t="array" ref="G2028">IF(AND(Inputs!$C$60,Inputs!$C$61),INDEX(Utility_Rates!$C$29:$F$52,HOUR(C2028)+Inputs!$C$69,MATCH(INDEX(Utility_Rates!$K$6:$K$17,MONTH(C2028))&amp;IF(WEEKDAY(C2028,Inputs!$C$76)&lt;=Inputs!$C$74," weekday"," weekend"),Utility_Rates!$C$28:$F$28,Inputs!$C$68)),"")</f>
      </c>
      <c r="H2028" s="34"/>
      <c r="I2028" s="42">
        <f>IF(AND(ISNUMBER(D2028),ISNUMBER(H2028)),D2028*H2028*Inputs!$C$69,"")</f>
      </c>
      <c r="J2028" s="42">
        <f>IF(AND(ISNUMBER(F2028),ISNUMBER(H2028),F2028&gt;=Inputs!$C$68),F2028*H2028*Inputs!$C$69,"")</f>
      </c>
    </row>
    <row r="2029" spans="2:10" ht="15" customHeight="1" x14ac:dyDescent="0.2">
      <c r="B2029" s="39">
        <f t="shared" si="14"/>
      </c>
      <c r="C2029" s="40">
        <f>IF(Inputs!$C$60,Inputs!$C$11+(B2029-Inputs!$C$69)/Inputs!$C$70,"")</f>
      </c>
      <c r="D2029" s="15"/>
      <c r="E2029" s="15"/>
      <c r="F2029" s="11">
        <f t="shared" si="15"/>
      </c>
      <c r="G2029" s="22" cm="1">
        <f t="array" ref="G2029">IF(AND(Inputs!$C$60,Inputs!$C$61),INDEX(Utility_Rates!$C$29:$F$52,HOUR(C2029)+Inputs!$C$69,MATCH(INDEX(Utility_Rates!$K$6:$K$17,MONTH(C2029))&amp;IF(WEEKDAY(C2029,Inputs!$C$76)&lt;=Inputs!$C$74," weekday"," weekend"),Utility_Rates!$C$28:$F$28,Inputs!$C$68)),"")</f>
      </c>
      <c r="H2029" s="34"/>
      <c r="I2029" s="42">
        <f>IF(AND(ISNUMBER(D2029),ISNUMBER(H2029)),D2029*H2029*Inputs!$C$69,"")</f>
      </c>
      <c r="J2029" s="42">
        <f>IF(AND(ISNUMBER(F2029),ISNUMBER(H2029),F2029&gt;=Inputs!$C$68),F2029*H2029*Inputs!$C$69,"")</f>
      </c>
    </row>
    <row r="2030" spans="2:10" ht="15" customHeight="1" x14ac:dyDescent="0.2">
      <c r="B2030" s="39">
        <f t="shared" si="14"/>
      </c>
      <c r="C2030" s="40">
        <f>IF(Inputs!$C$60,Inputs!$C$11+(B2030-Inputs!$C$69)/Inputs!$C$70,"")</f>
      </c>
      <c r="D2030" s="15"/>
      <c r="E2030" s="15"/>
      <c r="F2030" s="11">
        <f t="shared" si="15"/>
      </c>
      <c r="G2030" s="22" cm="1">
        <f t="array" ref="G2030">IF(AND(Inputs!$C$60,Inputs!$C$61),INDEX(Utility_Rates!$C$29:$F$52,HOUR(C2030)+Inputs!$C$69,MATCH(INDEX(Utility_Rates!$K$6:$K$17,MONTH(C2030))&amp;IF(WEEKDAY(C2030,Inputs!$C$76)&lt;=Inputs!$C$74," weekday"," weekend"),Utility_Rates!$C$28:$F$28,Inputs!$C$68)),"")</f>
      </c>
      <c r="H2030" s="34"/>
      <c r="I2030" s="42">
        <f>IF(AND(ISNUMBER(D2030),ISNUMBER(H2030)),D2030*H2030*Inputs!$C$69,"")</f>
      </c>
      <c r="J2030" s="42">
        <f>IF(AND(ISNUMBER(F2030),ISNUMBER(H2030),F2030&gt;=Inputs!$C$68),F2030*H2030*Inputs!$C$69,"")</f>
      </c>
    </row>
    <row r="2031" spans="2:10" ht="15" customHeight="1" x14ac:dyDescent="0.2">
      <c r="B2031" s="39">
        <f t="shared" si="14"/>
      </c>
      <c r="C2031" s="40">
        <f>IF(Inputs!$C$60,Inputs!$C$11+(B2031-Inputs!$C$69)/Inputs!$C$70,"")</f>
      </c>
      <c r="D2031" s="15"/>
      <c r="E2031" s="15"/>
      <c r="F2031" s="11">
        <f t="shared" si="15"/>
      </c>
      <c r="G2031" s="22" cm="1">
        <f t="array" ref="G2031">IF(AND(Inputs!$C$60,Inputs!$C$61),INDEX(Utility_Rates!$C$29:$F$52,HOUR(C2031)+Inputs!$C$69,MATCH(INDEX(Utility_Rates!$K$6:$K$17,MONTH(C2031))&amp;IF(WEEKDAY(C2031,Inputs!$C$76)&lt;=Inputs!$C$74," weekday"," weekend"),Utility_Rates!$C$28:$F$28,Inputs!$C$68)),"")</f>
      </c>
      <c r="H2031" s="34"/>
      <c r="I2031" s="42">
        <f>IF(AND(ISNUMBER(D2031),ISNUMBER(H2031)),D2031*H2031*Inputs!$C$69,"")</f>
      </c>
      <c r="J2031" s="42">
        <f>IF(AND(ISNUMBER(F2031),ISNUMBER(H2031),F2031&gt;=Inputs!$C$68),F2031*H2031*Inputs!$C$69,"")</f>
      </c>
    </row>
    <row r="2032" spans="2:10" ht="15" customHeight="1" x14ac:dyDescent="0.2">
      <c r="B2032" s="39">
        <f t="shared" si="14"/>
      </c>
      <c r="C2032" s="40">
        <f>IF(Inputs!$C$60,Inputs!$C$11+(B2032-Inputs!$C$69)/Inputs!$C$70,"")</f>
      </c>
      <c r="D2032" s="15"/>
      <c r="E2032" s="15"/>
      <c r="F2032" s="11">
        <f t="shared" si="15"/>
      </c>
      <c r="G2032" s="22" cm="1">
        <f t="array" ref="G2032">IF(AND(Inputs!$C$60,Inputs!$C$61),INDEX(Utility_Rates!$C$29:$F$52,HOUR(C2032)+Inputs!$C$69,MATCH(INDEX(Utility_Rates!$K$6:$K$17,MONTH(C2032))&amp;IF(WEEKDAY(C2032,Inputs!$C$76)&lt;=Inputs!$C$74," weekday"," weekend"),Utility_Rates!$C$28:$F$28,Inputs!$C$68)),"")</f>
      </c>
      <c r="H2032" s="34"/>
      <c r="I2032" s="42">
        <f>IF(AND(ISNUMBER(D2032),ISNUMBER(H2032)),D2032*H2032*Inputs!$C$69,"")</f>
      </c>
      <c r="J2032" s="42">
        <f>IF(AND(ISNUMBER(F2032),ISNUMBER(H2032),F2032&gt;=Inputs!$C$68),F2032*H2032*Inputs!$C$69,"")</f>
      </c>
    </row>
    <row r="2033" spans="2:10" ht="15" customHeight="1" x14ac:dyDescent="0.2">
      <c r="B2033" s="39">
        <f t="shared" si="14"/>
      </c>
      <c r="C2033" s="40">
        <f>IF(Inputs!$C$60,Inputs!$C$11+(B2033-Inputs!$C$69)/Inputs!$C$70,"")</f>
      </c>
      <c r="D2033" s="15"/>
      <c r="E2033" s="15"/>
      <c r="F2033" s="11">
        <f t="shared" si="15"/>
      </c>
      <c r="G2033" s="22" cm="1">
        <f t="array" ref="G2033">IF(AND(Inputs!$C$60,Inputs!$C$61),INDEX(Utility_Rates!$C$29:$F$52,HOUR(C2033)+Inputs!$C$69,MATCH(INDEX(Utility_Rates!$K$6:$K$17,MONTH(C2033))&amp;IF(WEEKDAY(C2033,Inputs!$C$76)&lt;=Inputs!$C$74," weekday"," weekend"),Utility_Rates!$C$28:$F$28,Inputs!$C$68)),"")</f>
      </c>
      <c r="H2033" s="34"/>
      <c r="I2033" s="42">
        <f>IF(AND(ISNUMBER(D2033),ISNUMBER(H2033)),D2033*H2033*Inputs!$C$69,"")</f>
      </c>
      <c r="J2033" s="42">
        <f>IF(AND(ISNUMBER(F2033),ISNUMBER(H2033),F2033&gt;=Inputs!$C$68),F2033*H2033*Inputs!$C$69,"")</f>
      </c>
    </row>
    <row r="2034" spans="2:10" ht="15" customHeight="1" x14ac:dyDescent="0.2">
      <c r="B2034" s="39">
        <f t="shared" si="14"/>
      </c>
      <c r="C2034" s="40">
        <f>IF(Inputs!$C$60,Inputs!$C$11+(B2034-Inputs!$C$69)/Inputs!$C$70,"")</f>
      </c>
      <c r="D2034" s="15"/>
      <c r="E2034" s="15"/>
      <c r="F2034" s="11">
        <f t="shared" si="15"/>
      </c>
      <c r="G2034" s="22" cm="1">
        <f t="array" ref="G2034">IF(AND(Inputs!$C$60,Inputs!$C$61),INDEX(Utility_Rates!$C$29:$F$52,HOUR(C2034)+Inputs!$C$69,MATCH(INDEX(Utility_Rates!$K$6:$K$17,MONTH(C2034))&amp;IF(WEEKDAY(C2034,Inputs!$C$76)&lt;=Inputs!$C$74," weekday"," weekend"),Utility_Rates!$C$28:$F$28,Inputs!$C$68)),"")</f>
      </c>
      <c r="H2034" s="34"/>
      <c r="I2034" s="42">
        <f>IF(AND(ISNUMBER(D2034),ISNUMBER(H2034)),D2034*H2034*Inputs!$C$69,"")</f>
      </c>
      <c r="J2034" s="42">
        <f>IF(AND(ISNUMBER(F2034),ISNUMBER(H2034),F2034&gt;=Inputs!$C$68),F2034*H2034*Inputs!$C$69,"")</f>
      </c>
    </row>
    <row r="2035" spans="2:10" ht="15" customHeight="1" x14ac:dyDescent="0.2">
      <c r="B2035" s="39">
        <f t="shared" si="14"/>
      </c>
      <c r="C2035" s="40">
        <f>IF(Inputs!$C$60,Inputs!$C$11+(B2035-Inputs!$C$69)/Inputs!$C$70,"")</f>
      </c>
      <c r="D2035" s="15"/>
      <c r="E2035" s="15"/>
      <c r="F2035" s="11">
        <f t="shared" si="15"/>
      </c>
      <c r="G2035" s="22" cm="1">
        <f t="array" ref="G2035">IF(AND(Inputs!$C$60,Inputs!$C$61),INDEX(Utility_Rates!$C$29:$F$52,HOUR(C2035)+Inputs!$C$69,MATCH(INDEX(Utility_Rates!$K$6:$K$17,MONTH(C2035))&amp;IF(WEEKDAY(C2035,Inputs!$C$76)&lt;=Inputs!$C$74," weekday"," weekend"),Utility_Rates!$C$28:$F$28,Inputs!$C$68)),"")</f>
      </c>
      <c r="H2035" s="34"/>
      <c r="I2035" s="42">
        <f>IF(AND(ISNUMBER(D2035),ISNUMBER(H2035)),D2035*H2035*Inputs!$C$69,"")</f>
      </c>
      <c r="J2035" s="42">
        <f>IF(AND(ISNUMBER(F2035),ISNUMBER(H2035),F2035&gt;=Inputs!$C$68),F2035*H2035*Inputs!$C$69,"")</f>
      </c>
    </row>
    <row r="2036" spans="2:10" ht="15" customHeight="1" x14ac:dyDescent="0.2">
      <c r="B2036" s="39">
        <f t="shared" si="14"/>
      </c>
      <c r="C2036" s="40">
        <f>IF(Inputs!$C$60,Inputs!$C$11+(B2036-Inputs!$C$69)/Inputs!$C$70,"")</f>
      </c>
      <c r="D2036" s="15"/>
      <c r="E2036" s="15"/>
      <c r="F2036" s="11">
        <f t="shared" si="15"/>
      </c>
      <c r="G2036" s="22" cm="1">
        <f t="array" ref="G2036">IF(AND(Inputs!$C$60,Inputs!$C$61),INDEX(Utility_Rates!$C$29:$F$52,HOUR(C2036)+Inputs!$C$69,MATCH(INDEX(Utility_Rates!$K$6:$K$17,MONTH(C2036))&amp;IF(WEEKDAY(C2036,Inputs!$C$76)&lt;=Inputs!$C$74," weekday"," weekend"),Utility_Rates!$C$28:$F$28,Inputs!$C$68)),"")</f>
      </c>
      <c r="H2036" s="34"/>
      <c r="I2036" s="42">
        <f>IF(AND(ISNUMBER(D2036),ISNUMBER(H2036)),D2036*H2036*Inputs!$C$69,"")</f>
      </c>
      <c r="J2036" s="42">
        <f>IF(AND(ISNUMBER(F2036),ISNUMBER(H2036),F2036&gt;=Inputs!$C$68),F2036*H2036*Inputs!$C$69,"")</f>
      </c>
    </row>
    <row r="2037" spans="2:10" ht="15" customHeight="1" x14ac:dyDescent="0.2">
      <c r="B2037" s="39">
        <f t="shared" si="14"/>
      </c>
      <c r="C2037" s="40">
        <f>IF(Inputs!$C$60,Inputs!$C$11+(B2037-Inputs!$C$69)/Inputs!$C$70,"")</f>
      </c>
      <c r="D2037" s="15"/>
      <c r="E2037" s="15"/>
      <c r="F2037" s="11">
        <f t="shared" si="15"/>
      </c>
      <c r="G2037" s="22" cm="1">
        <f t="array" ref="G2037">IF(AND(Inputs!$C$60,Inputs!$C$61),INDEX(Utility_Rates!$C$29:$F$52,HOUR(C2037)+Inputs!$C$69,MATCH(INDEX(Utility_Rates!$K$6:$K$17,MONTH(C2037))&amp;IF(WEEKDAY(C2037,Inputs!$C$76)&lt;=Inputs!$C$74," weekday"," weekend"),Utility_Rates!$C$28:$F$28,Inputs!$C$68)),"")</f>
      </c>
      <c r="H2037" s="34"/>
      <c r="I2037" s="42">
        <f>IF(AND(ISNUMBER(D2037),ISNUMBER(H2037)),D2037*H2037*Inputs!$C$69,"")</f>
      </c>
      <c r="J2037" s="42">
        <f>IF(AND(ISNUMBER(F2037),ISNUMBER(H2037),F2037&gt;=Inputs!$C$68),F2037*H2037*Inputs!$C$69,"")</f>
      </c>
    </row>
    <row r="2038" spans="2:10" ht="15" customHeight="1" x14ac:dyDescent="0.2">
      <c r="B2038" s="39">
        <f t="shared" si="14"/>
      </c>
      <c r="C2038" s="40">
        <f>IF(Inputs!$C$60,Inputs!$C$11+(B2038-Inputs!$C$69)/Inputs!$C$70,"")</f>
      </c>
      <c r="D2038" s="15"/>
      <c r="E2038" s="15"/>
      <c r="F2038" s="11">
        <f t="shared" si="15"/>
      </c>
      <c r="G2038" s="22" cm="1">
        <f t="array" ref="G2038">IF(AND(Inputs!$C$60,Inputs!$C$61),INDEX(Utility_Rates!$C$29:$F$52,HOUR(C2038)+Inputs!$C$69,MATCH(INDEX(Utility_Rates!$K$6:$K$17,MONTH(C2038))&amp;IF(WEEKDAY(C2038,Inputs!$C$76)&lt;=Inputs!$C$74," weekday"," weekend"),Utility_Rates!$C$28:$F$28,Inputs!$C$68)),"")</f>
      </c>
      <c r="H2038" s="34"/>
      <c r="I2038" s="42">
        <f>IF(AND(ISNUMBER(D2038),ISNUMBER(H2038)),D2038*H2038*Inputs!$C$69,"")</f>
      </c>
      <c r="J2038" s="42">
        <f>IF(AND(ISNUMBER(F2038),ISNUMBER(H2038),F2038&gt;=Inputs!$C$68),F2038*H2038*Inputs!$C$69,"")</f>
      </c>
    </row>
    <row r="2039" spans="2:10" ht="15" customHeight="1" x14ac:dyDescent="0.2">
      <c r="B2039" s="39">
        <f t="shared" si="14"/>
      </c>
      <c r="C2039" s="40">
        <f>IF(Inputs!$C$60,Inputs!$C$11+(B2039-Inputs!$C$69)/Inputs!$C$70,"")</f>
      </c>
      <c r="D2039" s="15"/>
      <c r="E2039" s="15"/>
      <c r="F2039" s="11">
        <f t="shared" si="15"/>
      </c>
      <c r="G2039" s="22" cm="1">
        <f t="array" ref="G2039">IF(AND(Inputs!$C$60,Inputs!$C$61),INDEX(Utility_Rates!$C$29:$F$52,HOUR(C2039)+Inputs!$C$69,MATCH(INDEX(Utility_Rates!$K$6:$K$17,MONTH(C2039))&amp;IF(WEEKDAY(C2039,Inputs!$C$76)&lt;=Inputs!$C$74," weekday"," weekend"),Utility_Rates!$C$28:$F$28,Inputs!$C$68)),"")</f>
      </c>
      <c r="H2039" s="34"/>
      <c r="I2039" s="42">
        <f>IF(AND(ISNUMBER(D2039),ISNUMBER(H2039)),D2039*H2039*Inputs!$C$69,"")</f>
      </c>
      <c r="J2039" s="42">
        <f>IF(AND(ISNUMBER(F2039),ISNUMBER(H2039),F2039&gt;=Inputs!$C$68),F2039*H2039*Inputs!$C$69,"")</f>
      </c>
    </row>
    <row r="2040" spans="2:10" ht="15" customHeight="1" x14ac:dyDescent="0.2">
      <c r="B2040" s="39">
        <f t="shared" si="14"/>
      </c>
      <c r="C2040" s="40">
        <f>IF(Inputs!$C$60,Inputs!$C$11+(B2040-Inputs!$C$69)/Inputs!$C$70,"")</f>
      </c>
      <c r="D2040" s="15"/>
      <c r="E2040" s="15"/>
      <c r="F2040" s="11">
        <f t="shared" si="15"/>
      </c>
      <c r="G2040" s="22" cm="1">
        <f t="array" ref="G2040">IF(AND(Inputs!$C$60,Inputs!$C$61),INDEX(Utility_Rates!$C$29:$F$52,HOUR(C2040)+Inputs!$C$69,MATCH(INDEX(Utility_Rates!$K$6:$K$17,MONTH(C2040))&amp;IF(WEEKDAY(C2040,Inputs!$C$76)&lt;=Inputs!$C$74," weekday"," weekend"),Utility_Rates!$C$28:$F$28,Inputs!$C$68)),"")</f>
      </c>
      <c r="H2040" s="34"/>
      <c r="I2040" s="42">
        <f>IF(AND(ISNUMBER(D2040),ISNUMBER(H2040)),D2040*H2040*Inputs!$C$69,"")</f>
      </c>
      <c r="J2040" s="42">
        <f>IF(AND(ISNUMBER(F2040),ISNUMBER(H2040),F2040&gt;=Inputs!$C$68),F2040*H2040*Inputs!$C$69,"")</f>
      </c>
    </row>
    <row r="2041" spans="2:10" ht="15" customHeight="1" x14ac:dyDescent="0.2">
      <c r="B2041" s="39">
        <f t="shared" si="14"/>
      </c>
      <c r="C2041" s="40">
        <f>IF(Inputs!$C$60,Inputs!$C$11+(B2041-Inputs!$C$69)/Inputs!$C$70,"")</f>
      </c>
      <c r="D2041" s="15"/>
      <c r="E2041" s="15"/>
      <c r="F2041" s="11">
        <f t="shared" si="15"/>
      </c>
      <c r="G2041" s="22" cm="1">
        <f t="array" ref="G2041">IF(AND(Inputs!$C$60,Inputs!$C$61),INDEX(Utility_Rates!$C$29:$F$52,HOUR(C2041)+Inputs!$C$69,MATCH(INDEX(Utility_Rates!$K$6:$K$17,MONTH(C2041))&amp;IF(WEEKDAY(C2041,Inputs!$C$76)&lt;=Inputs!$C$74," weekday"," weekend"),Utility_Rates!$C$28:$F$28,Inputs!$C$68)),"")</f>
      </c>
      <c r="H2041" s="34"/>
      <c r="I2041" s="42">
        <f>IF(AND(ISNUMBER(D2041),ISNUMBER(H2041)),D2041*H2041*Inputs!$C$69,"")</f>
      </c>
      <c r="J2041" s="42">
        <f>IF(AND(ISNUMBER(F2041),ISNUMBER(H2041),F2041&gt;=Inputs!$C$68),F2041*H2041*Inputs!$C$69,"")</f>
      </c>
    </row>
    <row r="2042" spans="2:10" ht="15" customHeight="1" x14ac:dyDescent="0.2">
      <c r="B2042" s="39">
        <f t="shared" si="14"/>
      </c>
      <c r="C2042" s="40">
        <f>IF(Inputs!$C$60,Inputs!$C$11+(B2042-Inputs!$C$69)/Inputs!$C$70,"")</f>
      </c>
      <c r="D2042" s="15"/>
      <c r="E2042" s="15"/>
      <c r="F2042" s="11">
        <f t="shared" si="15"/>
      </c>
      <c r="G2042" s="22" cm="1">
        <f t="array" ref="G2042">IF(AND(Inputs!$C$60,Inputs!$C$61),INDEX(Utility_Rates!$C$29:$F$52,HOUR(C2042)+Inputs!$C$69,MATCH(INDEX(Utility_Rates!$K$6:$K$17,MONTH(C2042))&amp;IF(WEEKDAY(C2042,Inputs!$C$76)&lt;=Inputs!$C$74," weekday"," weekend"),Utility_Rates!$C$28:$F$28,Inputs!$C$68)),"")</f>
      </c>
      <c r="H2042" s="34"/>
      <c r="I2042" s="42">
        <f>IF(AND(ISNUMBER(D2042),ISNUMBER(H2042)),D2042*H2042*Inputs!$C$69,"")</f>
      </c>
      <c r="J2042" s="42">
        <f>IF(AND(ISNUMBER(F2042),ISNUMBER(H2042),F2042&gt;=Inputs!$C$68),F2042*H2042*Inputs!$C$69,"")</f>
      </c>
    </row>
    <row r="2043" spans="2:10" ht="15" customHeight="1" x14ac:dyDescent="0.2">
      <c r="B2043" s="39">
        <f t="shared" si="14"/>
      </c>
      <c r="C2043" s="40">
        <f>IF(Inputs!$C$60,Inputs!$C$11+(B2043-Inputs!$C$69)/Inputs!$C$70,"")</f>
      </c>
      <c r="D2043" s="15"/>
      <c r="E2043" s="15"/>
      <c r="F2043" s="11">
        <f t="shared" si="15"/>
      </c>
      <c r="G2043" s="22" cm="1">
        <f t="array" ref="G2043">IF(AND(Inputs!$C$60,Inputs!$C$61),INDEX(Utility_Rates!$C$29:$F$52,HOUR(C2043)+Inputs!$C$69,MATCH(INDEX(Utility_Rates!$K$6:$K$17,MONTH(C2043))&amp;IF(WEEKDAY(C2043,Inputs!$C$76)&lt;=Inputs!$C$74," weekday"," weekend"),Utility_Rates!$C$28:$F$28,Inputs!$C$68)),"")</f>
      </c>
      <c r="H2043" s="34"/>
      <c r="I2043" s="42">
        <f>IF(AND(ISNUMBER(D2043),ISNUMBER(H2043)),D2043*H2043*Inputs!$C$69,"")</f>
      </c>
      <c r="J2043" s="42">
        <f>IF(AND(ISNUMBER(F2043),ISNUMBER(H2043),F2043&gt;=Inputs!$C$68),F2043*H2043*Inputs!$C$69,"")</f>
      </c>
    </row>
    <row r="2044" spans="2:10" ht="15" customHeight="1" x14ac:dyDescent="0.2">
      <c r="B2044" s="39">
        <f t="shared" si="14"/>
      </c>
      <c r="C2044" s="40">
        <f>IF(Inputs!$C$60,Inputs!$C$11+(B2044-Inputs!$C$69)/Inputs!$C$70,"")</f>
      </c>
      <c r="D2044" s="15"/>
      <c r="E2044" s="15"/>
      <c r="F2044" s="11">
        <f t="shared" si="15"/>
      </c>
      <c r="G2044" s="22" cm="1">
        <f t="array" ref="G2044">IF(AND(Inputs!$C$60,Inputs!$C$61),INDEX(Utility_Rates!$C$29:$F$52,HOUR(C2044)+Inputs!$C$69,MATCH(INDEX(Utility_Rates!$K$6:$K$17,MONTH(C2044))&amp;IF(WEEKDAY(C2044,Inputs!$C$76)&lt;=Inputs!$C$74," weekday"," weekend"),Utility_Rates!$C$28:$F$28,Inputs!$C$68)),"")</f>
      </c>
      <c r="H2044" s="34"/>
      <c r="I2044" s="42">
        <f>IF(AND(ISNUMBER(D2044),ISNUMBER(H2044)),D2044*H2044*Inputs!$C$69,"")</f>
      </c>
      <c r="J2044" s="42">
        <f>IF(AND(ISNUMBER(F2044),ISNUMBER(H2044),F2044&gt;=Inputs!$C$68),F2044*H2044*Inputs!$C$69,"")</f>
      </c>
    </row>
    <row r="2045" spans="2:10" ht="15" customHeight="1" x14ac:dyDescent="0.2">
      <c r="B2045" s="39">
        <f t="shared" si="14"/>
      </c>
      <c r="C2045" s="40">
        <f>IF(Inputs!$C$60,Inputs!$C$11+(B2045-Inputs!$C$69)/Inputs!$C$70,"")</f>
      </c>
      <c r="D2045" s="15"/>
      <c r="E2045" s="15"/>
      <c r="F2045" s="11">
        <f t="shared" si="15"/>
      </c>
      <c r="G2045" s="22" cm="1">
        <f t="array" ref="G2045">IF(AND(Inputs!$C$60,Inputs!$C$61),INDEX(Utility_Rates!$C$29:$F$52,HOUR(C2045)+Inputs!$C$69,MATCH(INDEX(Utility_Rates!$K$6:$K$17,MONTH(C2045))&amp;IF(WEEKDAY(C2045,Inputs!$C$76)&lt;=Inputs!$C$74," weekday"," weekend"),Utility_Rates!$C$28:$F$28,Inputs!$C$68)),"")</f>
      </c>
      <c r="H2045" s="34"/>
      <c r="I2045" s="42">
        <f>IF(AND(ISNUMBER(D2045),ISNUMBER(H2045)),D2045*H2045*Inputs!$C$69,"")</f>
      </c>
      <c r="J2045" s="42">
        <f>IF(AND(ISNUMBER(F2045),ISNUMBER(H2045),F2045&gt;=Inputs!$C$68),F2045*H2045*Inputs!$C$69,"")</f>
      </c>
    </row>
    <row r="2046" spans="2:10" ht="15" customHeight="1" x14ac:dyDescent="0.2">
      <c r="B2046" s="39">
        <f t="shared" ref="B2046:B2300" si="16">ROW()-ROW($B$5)</f>
      </c>
      <c r="C2046" s="40">
        <f>IF(Inputs!$C$60,Inputs!$C$11+(B2046-Inputs!$C$69)/Inputs!$C$70,"")</f>
      </c>
      <c r="D2046" s="15"/>
      <c r="E2046" s="15"/>
      <c r="F2046" s="11">
        <f t="shared" ref="F2046:F2300" si="17">IF(COUNT(D2046:E2046)=COLUMNS(D2046:E2046),D2046-E2046,"")</f>
      </c>
      <c r="G2046" s="22" cm="1">
        <f t="array" ref="G2046">IF(AND(Inputs!$C$60,Inputs!$C$61),INDEX(Utility_Rates!$C$29:$F$52,HOUR(C2046)+Inputs!$C$69,MATCH(INDEX(Utility_Rates!$K$6:$K$17,MONTH(C2046))&amp;IF(WEEKDAY(C2046,Inputs!$C$76)&lt;=Inputs!$C$74," weekday"," weekend"),Utility_Rates!$C$28:$F$28,Inputs!$C$68)),"")</f>
      </c>
      <c r="H2046" s="34"/>
      <c r="I2046" s="42">
        <f>IF(AND(ISNUMBER(D2046),ISNUMBER(H2046)),D2046*H2046*Inputs!$C$69,"")</f>
      </c>
      <c r="J2046" s="42">
        <f>IF(AND(ISNUMBER(F2046),ISNUMBER(H2046),F2046&gt;=Inputs!$C$68),F2046*H2046*Inputs!$C$69,"")</f>
      </c>
    </row>
    <row r="2047" spans="2:10" ht="15" customHeight="1" x14ac:dyDescent="0.2">
      <c r="B2047" s="39">
        <f t="shared" si="16"/>
      </c>
      <c r="C2047" s="40">
        <f>IF(Inputs!$C$60,Inputs!$C$11+(B2047-Inputs!$C$69)/Inputs!$C$70,"")</f>
      </c>
      <c r="D2047" s="15"/>
      <c r="E2047" s="15"/>
      <c r="F2047" s="11">
        <f t="shared" si="17"/>
      </c>
      <c r="G2047" s="22" cm="1">
        <f t="array" ref="G2047">IF(AND(Inputs!$C$60,Inputs!$C$61),INDEX(Utility_Rates!$C$29:$F$52,HOUR(C2047)+Inputs!$C$69,MATCH(INDEX(Utility_Rates!$K$6:$K$17,MONTH(C2047))&amp;IF(WEEKDAY(C2047,Inputs!$C$76)&lt;=Inputs!$C$74," weekday"," weekend"),Utility_Rates!$C$28:$F$28,Inputs!$C$68)),"")</f>
      </c>
      <c r="H2047" s="34"/>
      <c r="I2047" s="42">
        <f>IF(AND(ISNUMBER(D2047),ISNUMBER(H2047)),D2047*H2047*Inputs!$C$69,"")</f>
      </c>
      <c r="J2047" s="42">
        <f>IF(AND(ISNUMBER(F2047),ISNUMBER(H2047),F2047&gt;=Inputs!$C$68),F2047*H2047*Inputs!$C$69,"")</f>
      </c>
    </row>
    <row r="2048" spans="2:10" ht="15" customHeight="1" x14ac:dyDescent="0.2">
      <c r="B2048" s="39">
        <f t="shared" si="16"/>
      </c>
      <c r="C2048" s="40">
        <f>IF(Inputs!$C$60,Inputs!$C$11+(B2048-Inputs!$C$69)/Inputs!$C$70,"")</f>
      </c>
      <c r="D2048" s="15"/>
      <c r="E2048" s="15"/>
      <c r="F2048" s="11">
        <f t="shared" si="17"/>
      </c>
      <c r="G2048" s="22" cm="1">
        <f t="array" ref="G2048">IF(AND(Inputs!$C$60,Inputs!$C$61),INDEX(Utility_Rates!$C$29:$F$52,HOUR(C2048)+Inputs!$C$69,MATCH(INDEX(Utility_Rates!$K$6:$K$17,MONTH(C2048))&amp;IF(WEEKDAY(C2048,Inputs!$C$76)&lt;=Inputs!$C$74," weekday"," weekend"),Utility_Rates!$C$28:$F$28,Inputs!$C$68)),"")</f>
      </c>
      <c r="H2048" s="34"/>
      <c r="I2048" s="42">
        <f>IF(AND(ISNUMBER(D2048),ISNUMBER(H2048)),D2048*H2048*Inputs!$C$69,"")</f>
      </c>
      <c r="J2048" s="42">
        <f>IF(AND(ISNUMBER(F2048),ISNUMBER(H2048),F2048&gt;=Inputs!$C$68),F2048*H2048*Inputs!$C$69,"")</f>
      </c>
    </row>
    <row r="2049" spans="2:10" ht="15" customHeight="1" x14ac:dyDescent="0.2">
      <c r="B2049" s="39">
        <f t="shared" si="16"/>
      </c>
      <c r="C2049" s="40">
        <f>IF(Inputs!$C$60,Inputs!$C$11+(B2049-Inputs!$C$69)/Inputs!$C$70,"")</f>
      </c>
      <c r="D2049" s="15"/>
      <c r="E2049" s="15"/>
      <c r="F2049" s="11">
        <f t="shared" si="17"/>
      </c>
      <c r="G2049" s="22" cm="1">
        <f t="array" ref="G2049">IF(AND(Inputs!$C$60,Inputs!$C$61),INDEX(Utility_Rates!$C$29:$F$52,HOUR(C2049)+Inputs!$C$69,MATCH(INDEX(Utility_Rates!$K$6:$K$17,MONTH(C2049))&amp;IF(WEEKDAY(C2049,Inputs!$C$76)&lt;=Inputs!$C$74," weekday"," weekend"),Utility_Rates!$C$28:$F$28,Inputs!$C$68)),"")</f>
      </c>
      <c r="H2049" s="34"/>
      <c r="I2049" s="42">
        <f>IF(AND(ISNUMBER(D2049),ISNUMBER(H2049)),D2049*H2049*Inputs!$C$69,"")</f>
      </c>
      <c r="J2049" s="42">
        <f>IF(AND(ISNUMBER(F2049),ISNUMBER(H2049),F2049&gt;=Inputs!$C$68),F2049*H2049*Inputs!$C$69,"")</f>
      </c>
    </row>
    <row r="2050" spans="2:10" ht="15" customHeight="1" x14ac:dyDescent="0.2">
      <c r="B2050" s="39">
        <f t="shared" si="16"/>
      </c>
      <c r="C2050" s="40">
        <f>IF(Inputs!$C$60,Inputs!$C$11+(B2050-Inputs!$C$69)/Inputs!$C$70,"")</f>
      </c>
      <c r="D2050" s="15"/>
      <c r="E2050" s="15"/>
      <c r="F2050" s="11">
        <f t="shared" si="17"/>
      </c>
      <c r="G2050" s="22" cm="1">
        <f t="array" ref="G2050">IF(AND(Inputs!$C$60,Inputs!$C$61),INDEX(Utility_Rates!$C$29:$F$52,HOUR(C2050)+Inputs!$C$69,MATCH(INDEX(Utility_Rates!$K$6:$K$17,MONTH(C2050))&amp;IF(WEEKDAY(C2050,Inputs!$C$76)&lt;=Inputs!$C$74," weekday"," weekend"),Utility_Rates!$C$28:$F$28,Inputs!$C$68)),"")</f>
      </c>
      <c r="H2050" s="34"/>
      <c r="I2050" s="42">
        <f>IF(AND(ISNUMBER(D2050),ISNUMBER(H2050)),D2050*H2050*Inputs!$C$69,"")</f>
      </c>
      <c r="J2050" s="42">
        <f>IF(AND(ISNUMBER(F2050),ISNUMBER(H2050),F2050&gt;=Inputs!$C$68),F2050*H2050*Inputs!$C$69,"")</f>
      </c>
    </row>
    <row r="2051" spans="2:10" ht="15" customHeight="1" x14ac:dyDescent="0.2">
      <c r="B2051" s="39">
        <f t="shared" si="16"/>
      </c>
      <c r="C2051" s="40">
        <f>IF(Inputs!$C$60,Inputs!$C$11+(B2051-Inputs!$C$69)/Inputs!$C$70,"")</f>
      </c>
      <c r="D2051" s="15"/>
      <c r="E2051" s="15"/>
      <c r="F2051" s="11">
        <f t="shared" si="17"/>
      </c>
      <c r="G2051" s="22" cm="1">
        <f t="array" ref="G2051">IF(AND(Inputs!$C$60,Inputs!$C$61),INDEX(Utility_Rates!$C$29:$F$52,HOUR(C2051)+Inputs!$C$69,MATCH(INDEX(Utility_Rates!$K$6:$K$17,MONTH(C2051))&amp;IF(WEEKDAY(C2051,Inputs!$C$76)&lt;=Inputs!$C$74," weekday"," weekend"),Utility_Rates!$C$28:$F$28,Inputs!$C$68)),"")</f>
      </c>
      <c r="H2051" s="34"/>
      <c r="I2051" s="42">
        <f>IF(AND(ISNUMBER(D2051),ISNUMBER(H2051)),D2051*H2051*Inputs!$C$69,"")</f>
      </c>
      <c r="J2051" s="42">
        <f>IF(AND(ISNUMBER(F2051),ISNUMBER(H2051),F2051&gt;=Inputs!$C$68),F2051*H2051*Inputs!$C$69,"")</f>
      </c>
    </row>
    <row r="2052" spans="2:10" ht="15" customHeight="1" x14ac:dyDescent="0.2">
      <c r="B2052" s="39">
        <f t="shared" si="16"/>
      </c>
      <c r="C2052" s="40">
        <f>IF(Inputs!$C$60,Inputs!$C$11+(B2052-Inputs!$C$69)/Inputs!$C$70,"")</f>
      </c>
      <c r="D2052" s="15"/>
      <c r="E2052" s="15"/>
      <c r="F2052" s="11">
        <f t="shared" si="17"/>
      </c>
      <c r="G2052" s="22" cm="1">
        <f t="array" ref="G2052">IF(AND(Inputs!$C$60,Inputs!$C$61),INDEX(Utility_Rates!$C$29:$F$52,HOUR(C2052)+Inputs!$C$69,MATCH(INDEX(Utility_Rates!$K$6:$K$17,MONTH(C2052))&amp;IF(WEEKDAY(C2052,Inputs!$C$76)&lt;=Inputs!$C$74," weekday"," weekend"),Utility_Rates!$C$28:$F$28,Inputs!$C$68)),"")</f>
      </c>
      <c r="H2052" s="34"/>
      <c r="I2052" s="42">
        <f>IF(AND(ISNUMBER(D2052),ISNUMBER(H2052)),D2052*H2052*Inputs!$C$69,"")</f>
      </c>
      <c r="J2052" s="42">
        <f>IF(AND(ISNUMBER(F2052),ISNUMBER(H2052),F2052&gt;=Inputs!$C$68),F2052*H2052*Inputs!$C$69,"")</f>
      </c>
    </row>
    <row r="2053" spans="2:10" ht="15" customHeight="1" x14ac:dyDescent="0.2">
      <c r="B2053" s="39">
        <f t="shared" si="16"/>
      </c>
      <c r="C2053" s="40">
        <f>IF(Inputs!$C$60,Inputs!$C$11+(B2053-Inputs!$C$69)/Inputs!$C$70,"")</f>
      </c>
      <c r="D2053" s="15"/>
      <c r="E2053" s="15"/>
      <c r="F2053" s="11">
        <f t="shared" si="17"/>
      </c>
      <c r="G2053" s="22" cm="1">
        <f t="array" ref="G2053">IF(AND(Inputs!$C$60,Inputs!$C$61),INDEX(Utility_Rates!$C$29:$F$52,HOUR(C2053)+Inputs!$C$69,MATCH(INDEX(Utility_Rates!$K$6:$K$17,MONTH(C2053))&amp;IF(WEEKDAY(C2053,Inputs!$C$76)&lt;=Inputs!$C$74," weekday"," weekend"),Utility_Rates!$C$28:$F$28,Inputs!$C$68)),"")</f>
      </c>
      <c r="H2053" s="34"/>
      <c r="I2053" s="42">
        <f>IF(AND(ISNUMBER(D2053),ISNUMBER(H2053)),D2053*H2053*Inputs!$C$69,"")</f>
      </c>
      <c r="J2053" s="42">
        <f>IF(AND(ISNUMBER(F2053),ISNUMBER(H2053),F2053&gt;=Inputs!$C$68),F2053*H2053*Inputs!$C$69,"")</f>
      </c>
    </row>
    <row r="2054" spans="2:10" ht="15" customHeight="1" x14ac:dyDescent="0.2">
      <c r="B2054" s="39">
        <f t="shared" si="16"/>
      </c>
      <c r="C2054" s="40">
        <f>IF(Inputs!$C$60,Inputs!$C$11+(B2054-Inputs!$C$69)/Inputs!$C$70,"")</f>
      </c>
      <c r="D2054" s="15"/>
      <c r="E2054" s="15"/>
      <c r="F2054" s="11">
        <f t="shared" si="17"/>
      </c>
      <c r="G2054" s="22" cm="1">
        <f t="array" ref="G2054">IF(AND(Inputs!$C$60,Inputs!$C$61),INDEX(Utility_Rates!$C$29:$F$52,HOUR(C2054)+Inputs!$C$69,MATCH(INDEX(Utility_Rates!$K$6:$K$17,MONTH(C2054))&amp;IF(WEEKDAY(C2054,Inputs!$C$76)&lt;=Inputs!$C$74," weekday"," weekend"),Utility_Rates!$C$28:$F$28,Inputs!$C$68)),"")</f>
      </c>
      <c r="H2054" s="34"/>
      <c r="I2054" s="42">
        <f>IF(AND(ISNUMBER(D2054),ISNUMBER(H2054)),D2054*H2054*Inputs!$C$69,"")</f>
      </c>
      <c r="J2054" s="42">
        <f>IF(AND(ISNUMBER(F2054),ISNUMBER(H2054),F2054&gt;=Inputs!$C$68),F2054*H2054*Inputs!$C$69,"")</f>
      </c>
    </row>
    <row r="2055" spans="2:10" ht="15" customHeight="1" x14ac:dyDescent="0.2">
      <c r="B2055" s="39">
        <f t="shared" si="16"/>
      </c>
      <c r="C2055" s="40">
        <f>IF(Inputs!$C$60,Inputs!$C$11+(B2055-Inputs!$C$69)/Inputs!$C$70,"")</f>
      </c>
      <c r="D2055" s="15"/>
      <c r="E2055" s="15"/>
      <c r="F2055" s="11">
        <f t="shared" si="17"/>
      </c>
      <c r="G2055" s="22" cm="1">
        <f t="array" ref="G2055">IF(AND(Inputs!$C$60,Inputs!$C$61),INDEX(Utility_Rates!$C$29:$F$52,HOUR(C2055)+Inputs!$C$69,MATCH(INDEX(Utility_Rates!$K$6:$K$17,MONTH(C2055))&amp;IF(WEEKDAY(C2055,Inputs!$C$76)&lt;=Inputs!$C$74," weekday"," weekend"),Utility_Rates!$C$28:$F$28,Inputs!$C$68)),"")</f>
      </c>
      <c r="H2055" s="34"/>
      <c r="I2055" s="42">
        <f>IF(AND(ISNUMBER(D2055),ISNUMBER(H2055)),D2055*H2055*Inputs!$C$69,"")</f>
      </c>
      <c r="J2055" s="42">
        <f>IF(AND(ISNUMBER(F2055),ISNUMBER(H2055),F2055&gt;=Inputs!$C$68),F2055*H2055*Inputs!$C$69,"")</f>
      </c>
    </row>
    <row r="2056" spans="2:10" ht="15" customHeight="1" x14ac:dyDescent="0.2">
      <c r="B2056" s="39">
        <f t="shared" si="16"/>
      </c>
      <c r="C2056" s="40">
        <f>IF(Inputs!$C$60,Inputs!$C$11+(B2056-Inputs!$C$69)/Inputs!$C$70,"")</f>
      </c>
      <c r="D2056" s="15"/>
      <c r="E2056" s="15"/>
      <c r="F2056" s="11">
        <f t="shared" si="17"/>
      </c>
      <c r="G2056" s="22" cm="1">
        <f t="array" ref="G2056">IF(AND(Inputs!$C$60,Inputs!$C$61),INDEX(Utility_Rates!$C$29:$F$52,HOUR(C2056)+Inputs!$C$69,MATCH(INDEX(Utility_Rates!$K$6:$K$17,MONTH(C2056))&amp;IF(WEEKDAY(C2056,Inputs!$C$76)&lt;=Inputs!$C$74," weekday"," weekend"),Utility_Rates!$C$28:$F$28,Inputs!$C$68)),"")</f>
      </c>
      <c r="H2056" s="34"/>
      <c r="I2056" s="42">
        <f>IF(AND(ISNUMBER(D2056),ISNUMBER(H2056)),D2056*H2056*Inputs!$C$69,"")</f>
      </c>
      <c r="J2056" s="42">
        <f>IF(AND(ISNUMBER(F2056),ISNUMBER(H2056),F2056&gt;=Inputs!$C$68),F2056*H2056*Inputs!$C$69,"")</f>
      </c>
    </row>
    <row r="2057" spans="2:10" ht="15" customHeight="1" x14ac:dyDescent="0.2">
      <c r="B2057" s="39">
        <f t="shared" si="16"/>
      </c>
      <c r="C2057" s="40">
        <f>IF(Inputs!$C$60,Inputs!$C$11+(B2057-Inputs!$C$69)/Inputs!$C$70,"")</f>
      </c>
      <c r="D2057" s="15"/>
      <c r="E2057" s="15"/>
      <c r="F2057" s="11">
        <f t="shared" si="17"/>
      </c>
      <c r="G2057" s="22" cm="1">
        <f t="array" ref="G2057">IF(AND(Inputs!$C$60,Inputs!$C$61),INDEX(Utility_Rates!$C$29:$F$52,HOUR(C2057)+Inputs!$C$69,MATCH(INDEX(Utility_Rates!$K$6:$K$17,MONTH(C2057))&amp;IF(WEEKDAY(C2057,Inputs!$C$76)&lt;=Inputs!$C$74," weekday"," weekend"),Utility_Rates!$C$28:$F$28,Inputs!$C$68)),"")</f>
      </c>
      <c r="H2057" s="34"/>
      <c r="I2057" s="42">
        <f>IF(AND(ISNUMBER(D2057),ISNUMBER(H2057)),D2057*H2057*Inputs!$C$69,"")</f>
      </c>
      <c r="J2057" s="42">
        <f>IF(AND(ISNUMBER(F2057),ISNUMBER(H2057),F2057&gt;=Inputs!$C$68),F2057*H2057*Inputs!$C$69,"")</f>
      </c>
    </row>
    <row r="2058" spans="2:10" ht="15" customHeight="1" x14ac:dyDescent="0.2">
      <c r="B2058" s="39">
        <f t="shared" si="16"/>
      </c>
      <c r="C2058" s="40">
        <f>IF(Inputs!$C$60,Inputs!$C$11+(B2058-Inputs!$C$69)/Inputs!$C$70,"")</f>
      </c>
      <c r="D2058" s="15"/>
      <c r="E2058" s="15"/>
      <c r="F2058" s="11">
        <f t="shared" si="17"/>
      </c>
      <c r="G2058" s="22" cm="1">
        <f t="array" ref="G2058">IF(AND(Inputs!$C$60,Inputs!$C$61),INDEX(Utility_Rates!$C$29:$F$52,HOUR(C2058)+Inputs!$C$69,MATCH(INDEX(Utility_Rates!$K$6:$K$17,MONTH(C2058))&amp;IF(WEEKDAY(C2058,Inputs!$C$76)&lt;=Inputs!$C$74," weekday"," weekend"),Utility_Rates!$C$28:$F$28,Inputs!$C$68)),"")</f>
      </c>
      <c r="H2058" s="34"/>
      <c r="I2058" s="42">
        <f>IF(AND(ISNUMBER(D2058),ISNUMBER(H2058)),D2058*H2058*Inputs!$C$69,"")</f>
      </c>
      <c r="J2058" s="42">
        <f>IF(AND(ISNUMBER(F2058),ISNUMBER(H2058),F2058&gt;=Inputs!$C$68),F2058*H2058*Inputs!$C$69,"")</f>
      </c>
    </row>
    <row r="2059" spans="2:10" ht="15" customHeight="1" x14ac:dyDescent="0.2">
      <c r="B2059" s="39">
        <f t="shared" si="16"/>
      </c>
      <c r="C2059" s="40">
        <f>IF(Inputs!$C$60,Inputs!$C$11+(B2059-Inputs!$C$69)/Inputs!$C$70,"")</f>
      </c>
      <c r="D2059" s="15"/>
      <c r="E2059" s="15"/>
      <c r="F2059" s="11">
        <f t="shared" si="17"/>
      </c>
      <c r="G2059" s="22" cm="1">
        <f t="array" ref="G2059">IF(AND(Inputs!$C$60,Inputs!$C$61),INDEX(Utility_Rates!$C$29:$F$52,HOUR(C2059)+Inputs!$C$69,MATCH(INDEX(Utility_Rates!$K$6:$K$17,MONTH(C2059))&amp;IF(WEEKDAY(C2059,Inputs!$C$76)&lt;=Inputs!$C$74," weekday"," weekend"),Utility_Rates!$C$28:$F$28,Inputs!$C$68)),"")</f>
      </c>
      <c r="H2059" s="34"/>
      <c r="I2059" s="42">
        <f>IF(AND(ISNUMBER(D2059),ISNUMBER(H2059)),D2059*H2059*Inputs!$C$69,"")</f>
      </c>
      <c r="J2059" s="42">
        <f>IF(AND(ISNUMBER(F2059),ISNUMBER(H2059),F2059&gt;=Inputs!$C$68),F2059*H2059*Inputs!$C$69,"")</f>
      </c>
    </row>
    <row r="2060" spans="2:10" ht="15" customHeight="1" x14ac:dyDescent="0.2">
      <c r="B2060" s="39">
        <f t="shared" si="16"/>
      </c>
      <c r="C2060" s="40">
        <f>IF(Inputs!$C$60,Inputs!$C$11+(B2060-Inputs!$C$69)/Inputs!$C$70,"")</f>
      </c>
      <c r="D2060" s="15"/>
      <c r="E2060" s="15"/>
      <c r="F2060" s="11">
        <f t="shared" si="17"/>
      </c>
      <c r="G2060" s="22" cm="1">
        <f t="array" ref="G2060">IF(AND(Inputs!$C$60,Inputs!$C$61),INDEX(Utility_Rates!$C$29:$F$52,HOUR(C2060)+Inputs!$C$69,MATCH(INDEX(Utility_Rates!$K$6:$K$17,MONTH(C2060))&amp;IF(WEEKDAY(C2060,Inputs!$C$76)&lt;=Inputs!$C$74," weekday"," weekend"),Utility_Rates!$C$28:$F$28,Inputs!$C$68)),"")</f>
      </c>
      <c r="H2060" s="34"/>
      <c r="I2060" s="42">
        <f>IF(AND(ISNUMBER(D2060),ISNUMBER(H2060)),D2060*H2060*Inputs!$C$69,"")</f>
      </c>
      <c r="J2060" s="42">
        <f>IF(AND(ISNUMBER(F2060),ISNUMBER(H2060),F2060&gt;=Inputs!$C$68),F2060*H2060*Inputs!$C$69,"")</f>
      </c>
    </row>
    <row r="2061" spans="2:10" ht="15" customHeight="1" x14ac:dyDescent="0.2">
      <c r="B2061" s="39">
        <f t="shared" si="16"/>
      </c>
      <c r="C2061" s="40">
        <f>IF(Inputs!$C$60,Inputs!$C$11+(B2061-Inputs!$C$69)/Inputs!$C$70,"")</f>
      </c>
      <c r="D2061" s="15"/>
      <c r="E2061" s="15"/>
      <c r="F2061" s="11">
        <f t="shared" si="17"/>
      </c>
      <c r="G2061" s="22" cm="1">
        <f t="array" ref="G2061">IF(AND(Inputs!$C$60,Inputs!$C$61),INDEX(Utility_Rates!$C$29:$F$52,HOUR(C2061)+Inputs!$C$69,MATCH(INDEX(Utility_Rates!$K$6:$K$17,MONTH(C2061))&amp;IF(WEEKDAY(C2061,Inputs!$C$76)&lt;=Inputs!$C$74," weekday"," weekend"),Utility_Rates!$C$28:$F$28,Inputs!$C$68)),"")</f>
      </c>
      <c r="H2061" s="34"/>
      <c r="I2061" s="42">
        <f>IF(AND(ISNUMBER(D2061),ISNUMBER(H2061)),D2061*H2061*Inputs!$C$69,"")</f>
      </c>
      <c r="J2061" s="42">
        <f>IF(AND(ISNUMBER(F2061),ISNUMBER(H2061),F2061&gt;=Inputs!$C$68),F2061*H2061*Inputs!$C$69,"")</f>
      </c>
    </row>
    <row r="2062" spans="2:10" ht="15" customHeight="1" x14ac:dyDescent="0.2">
      <c r="B2062" s="39">
        <f t="shared" si="16"/>
      </c>
      <c r="C2062" s="40">
        <f>IF(Inputs!$C$60,Inputs!$C$11+(B2062-Inputs!$C$69)/Inputs!$C$70,"")</f>
      </c>
      <c r="D2062" s="15"/>
      <c r="E2062" s="15"/>
      <c r="F2062" s="11">
        <f t="shared" si="17"/>
      </c>
      <c r="G2062" s="22" cm="1">
        <f t="array" ref="G2062">IF(AND(Inputs!$C$60,Inputs!$C$61),INDEX(Utility_Rates!$C$29:$F$52,HOUR(C2062)+Inputs!$C$69,MATCH(INDEX(Utility_Rates!$K$6:$K$17,MONTH(C2062))&amp;IF(WEEKDAY(C2062,Inputs!$C$76)&lt;=Inputs!$C$74," weekday"," weekend"),Utility_Rates!$C$28:$F$28,Inputs!$C$68)),"")</f>
      </c>
      <c r="H2062" s="34"/>
      <c r="I2062" s="42">
        <f>IF(AND(ISNUMBER(D2062),ISNUMBER(H2062)),D2062*H2062*Inputs!$C$69,"")</f>
      </c>
      <c r="J2062" s="42">
        <f>IF(AND(ISNUMBER(F2062),ISNUMBER(H2062),F2062&gt;=Inputs!$C$68),F2062*H2062*Inputs!$C$69,"")</f>
      </c>
    </row>
    <row r="2063" spans="2:10" ht="15" customHeight="1" x14ac:dyDescent="0.2">
      <c r="B2063" s="39">
        <f t="shared" si="16"/>
      </c>
      <c r="C2063" s="40">
        <f>IF(Inputs!$C$60,Inputs!$C$11+(B2063-Inputs!$C$69)/Inputs!$C$70,"")</f>
      </c>
      <c r="D2063" s="15"/>
      <c r="E2063" s="15"/>
      <c r="F2063" s="11">
        <f t="shared" si="17"/>
      </c>
      <c r="G2063" s="22" cm="1">
        <f t="array" ref="G2063">IF(AND(Inputs!$C$60,Inputs!$C$61),INDEX(Utility_Rates!$C$29:$F$52,HOUR(C2063)+Inputs!$C$69,MATCH(INDEX(Utility_Rates!$K$6:$K$17,MONTH(C2063))&amp;IF(WEEKDAY(C2063,Inputs!$C$76)&lt;=Inputs!$C$74," weekday"," weekend"),Utility_Rates!$C$28:$F$28,Inputs!$C$68)),"")</f>
      </c>
      <c r="H2063" s="34"/>
      <c r="I2063" s="42">
        <f>IF(AND(ISNUMBER(D2063),ISNUMBER(H2063)),D2063*H2063*Inputs!$C$69,"")</f>
      </c>
      <c r="J2063" s="42">
        <f>IF(AND(ISNUMBER(F2063),ISNUMBER(H2063),F2063&gt;=Inputs!$C$68),F2063*H2063*Inputs!$C$69,"")</f>
      </c>
    </row>
    <row r="2064" spans="2:10" ht="15" customHeight="1" x14ac:dyDescent="0.2">
      <c r="B2064" s="39">
        <f t="shared" si="16"/>
      </c>
      <c r="C2064" s="40">
        <f>IF(Inputs!$C$60,Inputs!$C$11+(B2064-Inputs!$C$69)/Inputs!$C$70,"")</f>
      </c>
      <c r="D2064" s="15"/>
      <c r="E2064" s="15"/>
      <c r="F2064" s="11">
        <f t="shared" si="17"/>
      </c>
      <c r="G2064" s="22" cm="1">
        <f t="array" ref="G2064">IF(AND(Inputs!$C$60,Inputs!$C$61),INDEX(Utility_Rates!$C$29:$F$52,HOUR(C2064)+Inputs!$C$69,MATCH(INDEX(Utility_Rates!$K$6:$K$17,MONTH(C2064))&amp;IF(WEEKDAY(C2064,Inputs!$C$76)&lt;=Inputs!$C$74," weekday"," weekend"),Utility_Rates!$C$28:$F$28,Inputs!$C$68)),"")</f>
      </c>
      <c r="H2064" s="34"/>
      <c r="I2064" s="42">
        <f>IF(AND(ISNUMBER(D2064),ISNUMBER(H2064)),D2064*H2064*Inputs!$C$69,"")</f>
      </c>
      <c r="J2064" s="42">
        <f>IF(AND(ISNUMBER(F2064),ISNUMBER(H2064),F2064&gt;=Inputs!$C$68),F2064*H2064*Inputs!$C$69,"")</f>
      </c>
    </row>
    <row r="2065" spans="2:10" ht="15" customHeight="1" x14ac:dyDescent="0.2">
      <c r="B2065" s="39">
        <f t="shared" si="16"/>
      </c>
      <c r="C2065" s="40">
        <f>IF(Inputs!$C$60,Inputs!$C$11+(B2065-Inputs!$C$69)/Inputs!$C$70,"")</f>
      </c>
      <c r="D2065" s="15"/>
      <c r="E2065" s="15"/>
      <c r="F2065" s="11">
        <f t="shared" si="17"/>
      </c>
      <c r="G2065" s="22" cm="1">
        <f t="array" ref="G2065">IF(AND(Inputs!$C$60,Inputs!$C$61),INDEX(Utility_Rates!$C$29:$F$52,HOUR(C2065)+Inputs!$C$69,MATCH(INDEX(Utility_Rates!$K$6:$K$17,MONTH(C2065))&amp;IF(WEEKDAY(C2065,Inputs!$C$76)&lt;=Inputs!$C$74," weekday"," weekend"),Utility_Rates!$C$28:$F$28,Inputs!$C$68)),"")</f>
      </c>
      <c r="H2065" s="34"/>
      <c r="I2065" s="42">
        <f>IF(AND(ISNUMBER(D2065),ISNUMBER(H2065)),D2065*H2065*Inputs!$C$69,"")</f>
      </c>
      <c r="J2065" s="42">
        <f>IF(AND(ISNUMBER(F2065),ISNUMBER(H2065),F2065&gt;=Inputs!$C$68),F2065*H2065*Inputs!$C$69,"")</f>
      </c>
    </row>
    <row r="2066" spans="2:10" ht="15" customHeight="1" x14ac:dyDescent="0.2">
      <c r="B2066" s="39">
        <f t="shared" si="16"/>
      </c>
      <c r="C2066" s="40">
        <f>IF(Inputs!$C$60,Inputs!$C$11+(B2066-Inputs!$C$69)/Inputs!$C$70,"")</f>
      </c>
      <c r="D2066" s="15"/>
      <c r="E2066" s="15"/>
      <c r="F2066" s="11">
        <f t="shared" si="17"/>
      </c>
      <c r="G2066" s="22" cm="1">
        <f t="array" ref="G2066">IF(AND(Inputs!$C$60,Inputs!$C$61),INDEX(Utility_Rates!$C$29:$F$52,HOUR(C2066)+Inputs!$C$69,MATCH(INDEX(Utility_Rates!$K$6:$K$17,MONTH(C2066))&amp;IF(WEEKDAY(C2066,Inputs!$C$76)&lt;=Inputs!$C$74," weekday"," weekend"),Utility_Rates!$C$28:$F$28,Inputs!$C$68)),"")</f>
      </c>
      <c r="H2066" s="34"/>
      <c r="I2066" s="42">
        <f>IF(AND(ISNUMBER(D2066),ISNUMBER(H2066)),D2066*H2066*Inputs!$C$69,"")</f>
      </c>
      <c r="J2066" s="42">
        <f>IF(AND(ISNUMBER(F2066),ISNUMBER(H2066),F2066&gt;=Inputs!$C$68),F2066*H2066*Inputs!$C$69,"")</f>
      </c>
    </row>
    <row r="2067" spans="2:10" ht="15" customHeight="1" x14ac:dyDescent="0.2">
      <c r="B2067" s="39">
        <f t="shared" si="16"/>
      </c>
      <c r="C2067" s="40">
        <f>IF(Inputs!$C$60,Inputs!$C$11+(B2067-Inputs!$C$69)/Inputs!$C$70,"")</f>
      </c>
      <c r="D2067" s="15"/>
      <c r="E2067" s="15"/>
      <c r="F2067" s="11">
        <f t="shared" si="17"/>
      </c>
      <c r="G2067" s="22" cm="1">
        <f t="array" ref="G2067">IF(AND(Inputs!$C$60,Inputs!$C$61),INDEX(Utility_Rates!$C$29:$F$52,HOUR(C2067)+Inputs!$C$69,MATCH(INDEX(Utility_Rates!$K$6:$K$17,MONTH(C2067))&amp;IF(WEEKDAY(C2067,Inputs!$C$76)&lt;=Inputs!$C$74," weekday"," weekend"),Utility_Rates!$C$28:$F$28,Inputs!$C$68)),"")</f>
      </c>
      <c r="H2067" s="34"/>
      <c r="I2067" s="42">
        <f>IF(AND(ISNUMBER(D2067),ISNUMBER(H2067)),D2067*H2067*Inputs!$C$69,"")</f>
      </c>
      <c r="J2067" s="42">
        <f>IF(AND(ISNUMBER(F2067),ISNUMBER(H2067),F2067&gt;=Inputs!$C$68),F2067*H2067*Inputs!$C$69,"")</f>
      </c>
    </row>
    <row r="2068" spans="2:10" ht="15" customHeight="1" x14ac:dyDescent="0.2">
      <c r="B2068" s="39">
        <f t="shared" si="16"/>
      </c>
      <c r="C2068" s="40">
        <f>IF(Inputs!$C$60,Inputs!$C$11+(B2068-Inputs!$C$69)/Inputs!$C$70,"")</f>
      </c>
      <c r="D2068" s="15"/>
      <c r="E2068" s="15"/>
      <c r="F2068" s="11">
        <f t="shared" si="17"/>
      </c>
      <c r="G2068" s="22" cm="1">
        <f t="array" ref="G2068">IF(AND(Inputs!$C$60,Inputs!$C$61),INDEX(Utility_Rates!$C$29:$F$52,HOUR(C2068)+Inputs!$C$69,MATCH(INDEX(Utility_Rates!$K$6:$K$17,MONTH(C2068))&amp;IF(WEEKDAY(C2068,Inputs!$C$76)&lt;=Inputs!$C$74," weekday"," weekend"),Utility_Rates!$C$28:$F$28,Inputs!$C$68)),"")</f>
      </c>
      <c r="H2068" s="34"/>
      <c r="I2068" s="42">
        <f>IF(AND(ISNUMBER(D2068),ISNUMBER(H2068)),D2068*H2068*Inputs!$C$69,"")</f>
      </c>
      <c r="J2068" s="42">
        <f>IF(AND(ISNUMBER(F2068),ISNUMBER(H2068),F2068&gt;=Inputs!$C$68),F2068*H2068*Inputs!$C$69,"")</f>
      </c>
    </row>
    <row r="2069" spans="2:10" ht="15" customHeight="1" x14ac:dyDescent="0.2">
      <c r="B2069" s="39">
        <f t="shared" si="16"/>
      </c>
      <c r="C2069" s="40">
        <f>IF(Inputs!$C$60,Inputs!$C$11+(B2069-Inputs!$C$69)/Inputs!$C$70,"")</f>
      </c>
      <c r="D2069" s="15"/>
      <c r="E2069" s="15"/>
      <c r="F2069" s="11">
        <f t="shared" si="17"/>
      </c>
      <c r="G2069" s="22" cm="1">
        <f t="array" ref="G2069">IF(AND(Inputs!$C$60,Inputs!$C$61),INDEX(Utility_Rates!$C$29:$F$52,HOUR(C2069)+Inputs!$C$69,MATCH(INDEX(Utility_Rates!$K$6:$K$17,MONTH(C2069))&amp;IF(WEEKDAY(C2069,Inputs!$C$76)&lt;=Inputs!$C$74," weekday"," weekend"),Utility_Rates!$C$28:$F$28,Inputs!$C$68)),"")</f>
      </c>
      <c r="H2069" s="34"/>
      <c r="I2069" s="42">
        <f>IF(AND(ISNUMBER(D2069),ISNUMBER(H2069)),D2069*H2069*Inputs!$C$69,"")</f>
      </c>
      <c r="J2069" s="42">
        <f>IF(AND(ISNUMBER(F2069),ISNUMBER(H2069),F2069&gt;=Inputs!$C$68),F2069*H2069*Inputs!$C$69,"")</f>
      </c>
    </row>
    <row r="2070" spans="2:10" ht="15" customHeight="1" x14ac:dyDescent="0.2">
      <c r="B2070" s="39">
        <f t="shared" si="16"/>
      </c>
      <c r="C2070" s="40">
        <f>IF(Inputs!$C$60,Inputs!$C$11+(B2070-Inputs!$C$69)/Inputs!$C$70,"")</f>
      </c>
      <c r="D2070" s="15"/>
      <c r="E2070" s="15"/>
      <c r="F2070" s="11">
        <f t="shared" si="17"/>
      </c>
      <c r="G2070" s="22" cm="1">
        <f t="array" ref="G2070">IF(AND(Inputs!$C$60,Inputs!$C$61),INDEX(Utility_Rates!$C$29:$F$52,HOUR(C2070)+Inputs!$C$69,MATCH(INDEX(Utility_Rates!$K$6:$K$17,MONTH(C2070))&amp;IF(WEEKDAY(C2070,Inputs!$C$76)&lt;=Inputs!$C$74," weekday"," weekend"),Utility_Rates!$C$28:$F$28,Inputs!$C$68)),"")</f>
      </c>
      <c r="H2070" s="34"/>
      <c r="I2070" s="42">
        <f>IF(AND(ISNUMBER(D2070),ISNUMBER(H2070)),D2070*H2070*Inputs!$C$69,"")</f>
      </c>
      <c r="J2070" s="42">
        <f>IF(AND(ISNUMBER(F2070),ISNUMBER(H2070),F2070&gt;=Inputs!$C$68),F2070*H2070*Inputs!$C$69,"")</f>
      </c>
    </row>
    <row r="2071" spans="2:10" ht="15" customHeight="1" x14ac:dyDescent="0.2">
      <c r="B2071" s="39">
        <f t="shared" si="16"/>
      </c>
      <c r="C2071" s="40">
        <f>IF(Inputs!$C$60,Inputs!$C$11+(B2071-Inputs!$C$69)/Inputs!$C$70,"")</f>
      </c>
      <c r="D2071" s="15"/>
      <c r="E2071" s="15"/>
      <c r="F2071" s="11">
        <f t="shared" si="17"/>
      </c>
      <c r="G2071" s="22" cm="1">
        <f t="array" ref="G2071">IF(AND(Inputs!$C$60,Inputs!$C$61),INDEX(Utility_Rates!$C$29:$F$52,HOUR(C2071)+Inputs!$C$69,MATCH(INDEX(Utility_Rates!$K$6:$K$17,MONTH(C2071))&amp;IF(WEEKDAY(C2071,Inputs!$C$76)&lt;=Inputs!$C$74," weekday"," weekend"),Utility_Rates!$C$28:$F$28,Inputs!$C$68)),"")</f>
      </c>
      <c r="H2071" s="34"/>
      <c r="I2071" s="42">
        <f>IF(AND(ISNUMBER(D2071),ISNUMBER(H2071)),D2071*H2071*Inputs!$C$69,"")</f>
      </c>
      <c r="J2071" s="42">
        <f>IF(AND(ISNUMBER(F2071),ISNUMBER(H2071),F2071&gt;=Inputs!$C$68),F2071*H2071*Inputs!$C$69,"")</f>
      </c>
    </row>
    <row r="2072" spans="2:10" ht="15" customHeight="1" x14ac:dyDescent="0.2">
      <c r="B2072" s="39">
        <f t="shared" si="16"/>
      </c>
      <c r="C2072" s="40">
        <f>IF(Inputs!$C$60,Inputs!$C$11+(B2072-Inputs!$C$69)/Inputs!$C$70,"")</f>
      </c>
      <c r="D2072" s="15"/>
      <c r="E2072" s="15"/>
      <c r="F2072" s="11">
        <f t="shared" si="17"/>
      </c>
      <c r="G2072" s="22" cm="1">
        <f t="array" ref="G2072">IF(AND(Inputs!$C$60,Inputs!$C$61),INDEX(Utility_Rates!$C$29:$F$52,HOUR(C2072)+Inputs!$C$69,MATCH(INDEX(Utility_Rates!$K$6:$K$17,MONTH(C2072))&amp;IF(WEEKDAY(C2072,Inputs!$C$76)&lt;=Inputs!$C$74," weekday"," weekend"),Utility_Rates!$C$28:$F$28,Inputs!$C$68)),"")</f>
      </c>
      <c r="H2072" s="34"/>
      <c r="I2072" s="42">
        <f>IF(AND(ISNUMBER(D2072),ISNUMBER(H2072)),D2072*H2072*Inputs!$C$69,"")</f>
      </c>
      <c r="J2072" s="42">
        <f>IF(AND(ISNUMBER(F2072),ISNUMBER(H2072),F2072&gt;=Inputs!$C$68),F2072*H2072*Inputs!$C$69,"")</f>
      </c>
    </row>
    <row r="2073" spans="2:10" ht="15" customHeight="1" x14ac:dyDescent="0.2">
      <c r="B2073" s="39">
        <f t="shared" si="16"/>
      </c>
      <c r="C2073" s="40">
        <f>IF(Inputs!$C$60,Inputs!$C$11+(B2073-Inputs!$C$69)/Inputs!$C$70,"")</f>
      </c>
      <c r="D2073" s="15"/>
      <c r="E2073" s="15"/>
      <c r="F2073" s="11">
        <f t="shared" si="17"/>
      </c>
      <c r="G2073" s="22" cm="1">
        <f t="array" ref="G2073">IF(AND(Inputs!$C$60,Inputs!$C$61),INDEX(Utility_Rates!$C$29:$F$52,HOUR(C2073)+Inputs!$C$69,MATCH(INDEX(Utility_Rates!$K$6:$K$17,MONTH(C2073))&amp;IF(WEEKDAY(C2073,Inputs!$C$76)&lt;=Inputs!$C$74," weekday"," weekend"),Utility_Rates!$C$28:$F$28,Inputs!$C$68)),"")</f>
      </c>
      <c r="H2073" s="34"/>
      <c r="I2073" s="42">
        <f>IF(AND(ISNUMBER(D2073),ISNUMBER(H2073)),D2073*H2073*Inputs!$C$69,"")</f>
      </c>
      <c r="J2073" s="42">
        <f>IF(AND(ISNUMBER(F2073),ISNUMBER(H2073),F2073&gt;=Inputs!$C$68),F2073*H2073*Inputs!$C$69,"")</f>
      </c>
    </row>
    <row r="2074" spans="2:10" ht="15" customHeight="1" x14ac:dyDescent="0.2">
      <c r="B2074" s="39">
        <f t="shared" si="16"/>
      </c>
      <c r="C2074" s="40">
        <f>IF(Inputs!$C$60,Inputs!$C$11+(B2074-Inputs!$C$69)/Inputs!$C$70,"")</f>
      </c>
      <c r="D2074" s="15"/>
      <c r="E2074" s="15"/>
      <c r="F2074" s="11">
        <f t="shared" si="17"/>
      </c>
      <c r="G2074" s="22" cm="1">
        <f t="array" ref="G2074">IF(AND(Inputs!$C$60,Inputs!$C$61),INDEX(Utility_Rates!$C$29:$F$52,HOUR(C2074)+Inputs!$C$69,MATCH(INDEX(Utility_Rates!$K$6:$K$17,MONTH(C2074))&amp;IF(WEEKDAY(C2074,Inputs!$C$76)&lt;=Inputs!$C$74," weekday"," weekend"),Utility_Rates!$C$28:$F$28,Inputs!$C$68)),"")</f>
      </c>
      <c r="H2074" s="34"/>
      <c r="I2074" s="42">
        <f>IF(AND(ISNUMBER(D2074),ISNUMBER(H2074)),D2074*H2074*Inputs!$C$69,"")</f>
      </c>
      <c r="J2074" s="42">
        <f>IF(AND(ISNUMBER(F2074),ISNUMBER(H2074),F2074&gt;=Inputs!$C$68),F2074*H2074*Inputs!$C$69,"")</f>
      </c>
    </row>
    <row r="2075" spans="2:10" ht="15" customHeight="1" x14ac:dyDescent="0.2">
      <c r="B2075" s="39">
        <f t="shared" si="16"/>
      </c>
      <c r="C2075" s="40">
        <f>IF(Inputs!$C$60,Inputs!$C$11+(B2075-Inputs!$C$69)/Inputs!$C$70,"")</f>
      </c>
      <c r="D2075" s="15"/>
      <c r="E2075" s="15"/>
      <c r="F2075" s="11">
        <f t="shared" si="17"/>
      </c>
      <c r="G2075" s="22" cm="1">
        <f t="array" ref="G2075">IF(AND(Inputs!$C$60,Inputs!$C$61),INDEX(Utility_Rates!$C$29:$F$52,HOUR(C2075)+Inputs!$C$69,MATCH(INDEX(Utility_Rates!$K$6:$K$17,MONTH(C2075))&amp;IF(WEEKDAY(C2075,Inputs!$C$76)&lt;=Inputs!$C$74," weekday"," weekend"),Utility_Rates!$C$28:$F$28,Inputs!$C$68)),"")</f>
      </c>
      <c r="H2075" s="34"/>
      <c r="I2075" s="42">
        <f>IF(AND(ISNUMBER(D2075),ISNUMBER(H2075)),D2075*H2075*Inputs!$C$69,"")</f>
      </c>
      <c r="J2075" s="42">
        <f>IF(AND(ISNUMBER(F2075),ISNUMBER(H2075),F2075&gt;=Inputs!$C$68),F2075*H2075*Inputs!$C$69,"")</f>
      </c>
    </row>
    <row r="2076" spans="2:10" ht="15" customHeight="1" x14ac:dyDescent="0.2">
      <c r="B2076" s="39">
        <f t="shared" si="16"/>
      </c>
      <c r="C2076" s="40">
        <f>IF(Inputs!$C$60,Inputs!$C$11+(B2076-Inputs!$C$69)/Inputs!$C$70,"")</f>
      </c>
      <c r="D2076" s="15"/>
      <c r="E2076" s="15"/>
      <c r="F2076" s="11">
        <f t="shared" si="17"/>
      </c>
      <c r="G2076" s="22" cm="1">
        <f t="array" ref="G2076">IF(AND(Inputs!$C$60,Inputs!$C$61),INDEX(Utility_Rates!$C$29:$F$52,HOUR(C2076)+Inputs!$C$69,MATCH(INDEX(Utility_Rates!$K$6:$K$17,MONTH(C2076))&amp;IF(WEEKDAY(C2076,Inputs!$C$76)&lt;=Inputs!$C$74," weekday"," weekend"),Utility_Rates!$C$28:$F$28,Inputs!$C$68)),"")</f>
      </c>
      <c r="H2076" s="34"/>
      <c r="I2076" s="42">
        <f>IF(AND(ISNUMBER(D2076),ISNUMBER(H2076)),D2076*H2076*Inputs!$C$69,"")</f>
      </c>
      <c r="J2076" s="42">
        <f>IF(AND(ISNUMBER(F2076),ISNUMBER(H2076),F2076&gt;=Inputs!$C$68),F2076*H2076*Inputs!$C$69,"")</f>
      </c>
    </row>
    <row r="2077" spans="2:10" ht="15" customHeight="1" x14ac:dyDescent="0.2">
      <c r="B2077" s="39">
        <f t="shared" si="16"/>
      </c>
      <c r="C2077" s="40">
        <f>IF(Inputs!$C$60,Inputs!$C$11+(B2077-Inputs!$C$69)/Inputs!$C$70,"")</f>
      </c>
      <c r="D2077" s="15"/>
      <c r="E2077" s="15"/>
      <c r="F2077" s="11">
        <f t="shared" si="17"/>
      </c>
      <c r="G2077" s="22" cm="1">
        <f t="array" ref="G2077">IF(AND(Inputs!$C$60,Inputs!$C$61),INDEX(Utility_Rates!$C$29:$F$52,HOUR(C2077)+Inputs!$C$69,MATCH(INDEX(Utility_Rates!$K$6:$K$17,MONTH(C2077))&amp;IF(WEEKDAY(C2077,Inputs!$C$76)&lt;=Inputs!$C$74," weekday"," weekend"),Utility_Rates!$C$28:$F$28,Inputs!$C$68)),"")</f>
      </c>
      <c r="H2077" s="34"/>
      <c r="I2077" s="42">
        <f>IF(AND(ISNUMBER(D2077),ISNUMBER(H2077)),D2077*H2077*Inputs!$C$69,"")</f>
      </c>
      <c r="J2077" s="42">
        <f>IF(AND(ISNUMBER(F2077),ISNUMBER(H2077),F2077&gt;=Inputs!$C$68),F2077*H2077*Inputs!$C$69,"")</f>
      </c>
    </row>
    <row r="2078" spans="2:10" ht="15" customHeight="1" x14ac:dyDescent="0.2">
      <c r="B2078" s="39">
        <f t="shared" si="16"/>
      </c>
      <c r="C2078" s="40">
        <f>IF(Inputs!$C$60,Inputs!$C$11+(B2078-Inputs!$C$69)/Inputs!$C$70,"")</f>
      </c>
      <c r="D2078" s="15"/>
      <c r="E2078" s="15"/>
      <c r="F2078" s="11">
        <f t="shared" si="17"/>
      </c>
      <c r="G2078" s="22" cm="1">
        <f t="array" ref="G2078">IF(AND(Inputs!$C$60,Inputs!$C$61),INDEX(Utility_Rates!$C$29:$F$52,HOUR(C2078)+Inputs!$C$69,MATCH(INDEX(Utility_Rates!$K$6:$K$17,MONTH(C2078))&amp;IF(WEEKDAY(C2078,Inputs!$C$76)&lt;=Inputs!$C$74," weekday"," weekend"),Utility_Rates!$C$28:$F$28,Inputs!$C$68)),"")</f>
      </c>
      <c r="H2078" s="34"/>
      <c r="I2078" s="42">
        <f>IF(AND(ISNUMBER(D2078),ISNUMBER(H2078)),D2078*H2078*Inputs!$C$69,"")</f>
      </c>
      <c r="J2078" s="42">
        <f>IF(AND(ISNUMBER(F2078),ISNUMBER(H2078),F2078&gt;=Inputs!$C$68),F2078*H2078*Inputs!$C$69,"")</f>
      </c>
    </row>
    <row r="2079" spans="2:10" ht="15" customHeight="1" x14ac:dyDescent="0.2">
      <c r="B2079" s="39">
        <f t="shared" si="16"/>
      </c>
      <c r="C2079" s="40">
        <f>IF(Inputs!$C$60,Inputs!$C$11+(B2079-Inputs!$C$69)/Inputs!$C$70,"")</f>
      </c>
      <c r="D2079" s="15"/>
      <c r="E2079" s="15"/>
      <c r="F2079" s="11">
        <f t="shared" si="17"/>
      </c>
      <c r="G2079" s="22" cm="1">
        <f t="array" ref="G2079">IF(AND(Inputs!$C$60,Inputs!$C$61),INDEX(Utility_Rates!$C$29:$F$52,HOUR(C2079)+Inputs!$C$69,MATCH(INDEX(Utility_Rates!$K$6:$K$17,MONTH(C2079))&amp;IF(WEEKDAY(C2079,Inputs!$C$76)&lt;=Inputs!$C$74," weekday"," weekend"),Utility_Rates!$C$28:$F$28,Inputs!$C$68)),"")</f>
      </c>
      <c r="H2079" s="34"/>
      <c r="I2079" s="42">
        <f>IF(AND(ISNUMBER(D2079),ISNUMBER(H2079)),D2079*H2079*Inputs!$C$69,"")</f>
      </c>
      <c r="J2079" s="42">
        <f>IF(AND(ISNUMBER(F2079),ISNUMBER(H2079),F2079&gt;=Inputs!$C$68),F2079*H2079*Inputs!$C$69,"")</f>
      </c>
    </row>
    <row r="2080" spans="2:10" ht="15" customHeight="1" x14ac:dyDescent="0.2">
      <c r="B2080" s="39">
        <f t="shared" si="16"/>
      </c>
      <c r="C2080" s="40">
        <f>IF(Inputs!$C$60,Inputs!$C$11+(B2080-Inputs!$C$69)/Inputs!$C$70,"")</f>
      </c>
      <c r="D2080" s="15"/>
      <c r="E2080" s="15"/>
      <c r="F2080" s="11">
        <f t="shared" si="17"/>
      </c>
      <c r="G2080" s="22" cm="1">
        <f t="array" ref="G2080">IF(AND(Inputs!$C$60,Inputs!$C$61),INDEX(Utility_Rates!$C$29:$F$52,HOUR(C2080)+Inputs!$C$69,MATCH(INDEX(Utility_Rates!$K$6:$K$17,MONTH(C2080))&amp;IF(WEEKDAY(C2080,Inputs!$C$76)&lt;=Inputs!$C$74," weekday"," weekend"),Utility_Rates!$C$28:$F$28,Inputs!$C$68)),"")</f>
      </c>
      <c r="H2080" s="34"/>
      <c r="I2080" s="42">
        <f>IF(AND(ISNUMBER(D2080),ISNUMBER(H2080)),D2080*H2080*Inputs!$C$69,"")</f>
      </c>
      <c r="J2080" s="42">
        <f>IF(AND(ISNUMBER(F2080),ISNUMBER(H2080),F2080&gt;=Inputs!$C$68),F2080*H2080*Inputs!$C$69,"")</f>
      </c>
    </row>
    <row r="2081" spans="2:10" ht="15" customHeight="1" x14ac:dyDescent="0.2">
      <c r="B2081" s="39">
        <f t="shared" si="16"/>
      </c>
      <c r="C2081" s="40">
        <f>IF(Inputs!$C$60,Inputs!$C$11+(B2081-Inputs!$C$69)/Inputs!$C$70,"")</f>
      </c>
      <c r="D2081" s="15"/>
      <c r="E2081" s="15"/>
      <c r="F2081" s="11">
        <f t="shared" si="17"/>
      </c>
      <c r="G2081" s="22" cm="1">
        <f t="array" ref="G2081">IF(AND(Inputs!$C$60,Inputs!$C$61),INDEX(Utility_Rates!$C$29:$F$52,HOUR(C2081)+Inputs!$C$69,MATCH(INDEX(Utility_Rates!$K$6:$K$17,MONTH(C2081))&amp;IF(WEEKDAY(C2081,Inputs!$C$76)&lt;=Inputs!$C$74," weekday"," weekend"),Utility_Rates!$C$28:$F$28,Inputs!$C$68)),"")</f>
      </c>
      <c r="H2081" s="34"/>
      <c r="I2081" s="42">
        <f>IF(AND(ISNUMBER(D2081),ISNUMBER(H2081)),D2081*H2081*Inputs!$C$69,"")</f>
      </c>
      <c r="J2081" s="42">
        <f>IF(AND(ISNUMBER(F2081),ISNUMBER(H2081),F2081&gt;=Inputs!$C$68),F2081*H2081*Inputs!$C$69,"")</f>
      </c>
    </row>
    <row r="2082" spans="2:10" ht="15" customHeight="1" x14ac:dyDescent="0.2">
      <c r="B2082" s="39">
        <f t="shared" si="16"/>
      </c>
      <c r="C2082" s="40">
        <f>IF(Inputs!$C$60,Inputs!$C$11+(B2082-Inputs!$C$69)/Inputs!$C$70,"")</f>
      </c>
      <c r="D2082" s="15"/>
      <c r="E2082" s="15"/>
      <c r="F2082" s="11">
        <f t="shared" si="17"/>
      </c>
      <c r="G2082" s="22" cm="1">
        <f t="array" ref="G2082">IF(AND(Inputs!$C$60,Inputs!$C$61),INDEX(Utility_Rates!$C$29:$F$52,HOUR(C2082)+Inputs!$C$69,MATCH(INDEX(Utility_Rates!$K$6:$K$17,MONTH(C2082))&amp;IF(WEEKDAY(C2082,Inputs!$C$76)&lt;=Inputs!$C$74," weekday"," weekend"),Utility_Rates!$C$28:$F$28,Inputs!$C$68)),"")</f>
      </c>
      <c r="H2082" s="34"/>
      <c r="I2082" s="42">
        <f>IF(AND(ISNUMBER(D2082),ISNUMBER(H2082)),D2082*H2082*Inputs!$C$69,"")</f>
      </c>
      <c r="J2082" s="42">
        <f>IF(AND(ISNUMBER(F2082),ISNUMBER(H2082),F2082&gt;=Inputs!$C$68),F2082*H2082*Inputs!$C$69,"")</f>
      </c>
    </row>
    <row r="2083" spans="2:10" ht="15" customHeight="1" x14ac:dyDescent="0.2">
      <c r="B2083" s="39">
        <f t="shared" si="16"/>
      </c>
      <c r="C2083" s="40">
        <f>IF(Inputs!$C$60,Inputs!$C$11+(B2083-Inputs!$C$69)/Inputs!$C$70,"")</f>
      </c>
      <c r="D2083" s="15"/>
      <c r="E2083" s="15"/>
      <c r="F2083" s="11">
        <f t="shared" si="17"/>
      </c>
      <c r="G2083" s="22" cm="1">
        <f t="array" ref="G2083">IF(AND(Inputs!$C$60,Inputs!$C$61),INDEX(Utility_Rates!$C$29:$F$52,HOUR(C2083)+Inputs!$C$69,MATCH(INDEX(Utility_Rates!$K$6:$K$17,MONTH(C2083))&amp;IF(WEEKDAY(C2083,Inputs!$C$76)&lt;=Inputs!$C$74," weekday"," weekend"),Utility_Rates!$C$28:$F$28,Inputs!$C$68)),"")</f>
      </c>
      <c r="H2083" s="34"/>
      <c r="I2083" s="42">
        <f>IF(AND(ISNUMBER(D2083),ISNUMBER(H2083)),D2083*H2083*Inputs!$C$69,"")</f>
      </c>
      <c r="J2083" s="42">
        <f>IF(AND(ISNUMBER(F2083),ISNUMBER(H2083),F2083&gt;=Inputs!$C$68),F2083*H2083*Inputs!$C$69,"")</f>
      </c>
    </row>
    <row r="2084" spans="2:10" ht="15" customHeight="1" x14ac:dyDescent="0.2">
      <c r="B2084" s="39">
        <f t="shared" si="16"/>
      </c>
      <c r="C2084" s="40">
        <f>IF(Inputs!$C$60,Inputs!$C$11+(B2084-Inputs!$C$69)/Inputs!$C$70,"")</f>
      </c>
      <c r="D2084" s="15"/>
      <c r="E2084" s="15"/>
      <c r="F2084" s="11">
        <f t="shared" si="17"/>
      </c>
      <c r="G2084" s="22" cm="1">
        <f t="array" ref="G2084">IF(AND(Inputs!$C$60,Inputs!$C$61),INDEX(Utility_Rates!$C$29:$F$52,HOUR(C2084)+Inputs!$C$69,MATCH(INDEX(Utility_Rates!$K$6:$K$17,MONTH(C2084))&amp;IF(WEEKDAY(C2084,Inputs!$C$76)&lt;=Inputs!$C$74," weekday"," weekend"),Utility_Rates!$C$28:$F$28,Inputs!$C$68)),"")</f>
      </c>
      <c r="H2084" s="34"/>
      <c r="I2084" s="42">
        <f>IF(AND(ISNUMBER(D2084),ISNUMBER(H2084)),D2084*H2084*Inputs!$C$69,"")</f>
      </c>
      <c r="J2084" s="42">
        <f>IF(AND(ISNUMBER(F2084),ISNUMBER(H2084),F2084&gt;=Inputs!$C$68),F2084*H2084*Inputs!$C$69,"")</f>
      </c>
    </row>
    <row r="2085" spans="2:10" ht="15" customHeight="1" x14ac:dyDescent="0.2">
      <c r="B2085" s="39">
        <f t="shared" si="16"/>
      </c>
      <c r="C2085" s="40">
        <f>IF(Inputs!$C$60,Inputs!$C$11+(B2085-Inputs!$C$69)/Inputs!$C$70,"")</f>
      </c>
      <c r="D2085" s="15"/>
      <c r="E2085" s="15"/>
      <c r="F2085" s="11">
        <f t="shared" si="17"/>
      </c>
      <c r="G2085" s="22" cm="1">
        <f t="array" ref="G2085">IF(AND(Inputs!$C$60,Inputs!$C$61),INDEX(Utility_Rates!$C$29:$F$52,HOUR(C2085)+Inputs!$C$69,MATCH(INDEX(Utility_Rates!$K$6:$K$17,MONTH(C2085))&amp;IF(WEEKDAY(C2085,Inputs!$C$76)&lt;=Inputs!$C$74," weekday"," weekend"),Utility_Rates!$C$28:$F$28,Inputs!$C$68)),"")</f>
      </c>
      <c r="H2085" s="34"/>
      <c r="I2085" s="42">
        <f>IF(AND(ISNUMBER(D2085),ISNUMBER(H2085)),D2085*H2085*Inputs!$C$69,"")</f>
      </c>
      <c r="J2085" s="42">
        <f>IF(AND(ISNUMBER(F2085),ISNUMBER(H2085),F2085&gt;=Inputs!$C$68),F2085*H2085*Inputs!$C$69,"")</f>
      </c>
    </row>
    <row r="2086" spans="2:10" ht="15" customHeight="1" x14ac:dyDescent="0.2">
      <c r="B2086" s="39">
        <f t="shared" si="16"/>
      </c>
      <c r="C2086" s="40">
        <f>IF(Inputs!$C$60,Inputs!$C$11+(B2086-Inputs!$C$69)/Inputs!$C$70,"")</f>
      </c>
      <c r="D2086" s="15"/>
      <c r="E2086" s="15"/>
      <c r="F2086" s="11">
        <f t="shared" si="17"/>
      </c>
      <c r="G2086" s="22" cm="1">
        <f t="array" ref="G2086">IF(AND(Inputs!$C$60,Inputs!$C$61),INDEX(Utility_Rates!$C$29:$F$52,HOUR(C2086)+Inputs!$C$69,MATCH(INDEX(Utility_Rates!$K$6:$K$17,MONTH(C2086))&amp;IF(WEEKDAY(C2086,Inputs!$C$76)&lt;=Inputs!$C$74," weekday"," weekend"),Utility_Rates!$C$28:$F$28,Inputs!$C$68)),"")</f>
      </c>
      <c r="H2086" s="34"/>
      <c r="I2086" s="42">
        <f>IF(AND(ISNUMBER(D2086),ISNUMBER(H2086)),D2086*H2086*Inputs!$C$69,"")</f>
      </c>
      <c r="J2086" s="42">
        <f>IF(AND(ISNUMBER(F2086),ISNUMBER(H2086),F2086&gt;=Inputs!$C$68),F2086*H2086*Inputs!$C$69,"")</f>
      </c>
    </row>
    <row r="2087" spans="2:10" ht="15" customHeight="1" x14ac:dyDescent="0.2">
      <c r="B2087" s="39">
        <f t="shared" si="16"/>
      </c>
      <c r="C2087" s="40">
        <f>IF(Inputs!$C$60,Inputs!$C$11+(B2087-Inputs!$C$69)/Inputs!$C$70,"")</f>
      </c>
      <c r="D2087" s="15"/>
      <c r="E2087" s="15"/>
      <c r="F2087" s="11">
        <f t="shared" si="17"/>
      </c>
      <c r="G2087" s="22" cm="1">
        <f t="array" ref="G2087">IF(AND(Inputs!$C$60,Inputs!$C$61),INDEX(Utility_Rates!$C$29:$F$52,HOUR(C2087)+Inputs!$C$69,MATCH(INDEX(Utility_Rates!$K$6:$K$17,MONTH(C2087))&amp;IF(WEEKDAY(C2087,Inputs!$C$76)&lt;=Inputs!$C$74," weekday"," weekend"),Utility_Rates!$C$28:$F$28,Inputs!$C$68)),"")</f>
      </c>
      <c r="H2087" s="34"/>
      <c r="I2087" s="42">
        <f>IF(AND(ISNUMBER(D2087),ISNUMBER(H2087)),D2087*H2087*Inputs!$C$69,"")</f>
      </c>
      <c r="J2087" s="42">
        <f>IF(AND(ISNUMBER(F2087),ISNUMBER(H2087),F2087&gt;=Inputs!$C$68),F2087*H2087*Inputs!$C$69,"")</f>
      </c>
    </row>
    <row r="2088" spans="2:10" ht="15" customHeight="1" x14ac:dyDescent="0.2">
      <c r="B2088" s="39">
        <f t="shared" si="16"/>
      </c>
      <c r="C2088" s="40">
        <f>IF(Inputs!$C$60,Inputs!$C$11+(B2088-Inputs!$C$69)/Inputs!$C$70,"")</f>
      </c>
      <c r="D2088" s="15"/>
      <c r="E2088" s="15"/>
      <c r="F2088" s="11">
        <f t="shared" si="17"/>
      </c>
      <c r="G2088" s="22" cm="1">
        <f t="array" ref="G2088">IF(AND(Inputs!$C$60,Inputs!$C$61),INDEX(Utility_Rates!$C$29:$F$52,HOUR(C2088)+Inputs!$C$69,MATCH(INDEX(Utility_Rates!$K$6:$K$17,MONTH(C2088))&amp;IF(WEEKDAY(C2088,Inputs!$C$76)&lt;=Inputs!$C$74," weekday"," weekend"),Utility_Rates!$C$28:$F$28,Inputs!$C$68)),"")</f>
      </c>
      <c r="H2088" s="34"/>
      <c r="I2088" s="42">
        <f>IF(AND(ISNUMBER(D2088),ISNUMBER(H2088)),D2088*H2088*Inputs!$C$69,"")</f>
      </c>
      <c r="J2088" s="42">
        <f>IF(AND(ISNUMBER(F2088),ISNUMBER(H2088),F2088&gt;=Inputs!$C$68),F2088*H2088*Inputs!$C$69,"")</f>
      </c>
    </row>
    <row r="2089" spans="2:10" ht="15" customHeight="1" x14ac:dyDescent="0.2">
      <c r="B2089" s="39">
        <f t="shared" si="16"/>
      </c>
      <c r="C2089" s="40">
        <f>IF(Inputs!$C$60,Inputs!$C$11+(B2089-Inputs!$C$69)/Inputs!$C$70,"")</f>
      </c>
      <c r="D2089" s="15"/>
      <c r="E2089" s="15"/>
      <c r="F2089" s="11">
        <f t="shared" si="17"/>
      </c>
      <c r="G2089" s="22" cm="1">
        <f t="array" ref="G2089">IF(AND(Inputs!$C$60,Inputs!$C$61),INDEX(Utility_Rates!$C$29:$F$52,HOUR(C2089)+Inputs!$C$69,MATCH(INDEX(Utility_Rates!$K$6:$K$17,MONTH(C2089))&amp;IF(WEEKDAY(C2089,Inputs!$C$76)&lt;=Inputs!$C$74," weekday"," weekend"),Utility_Rates!$C$28:$F$28,Inputs!$C$68)),"")</f>
      </c>
      <c r="H2089" s="34"/>
      <c r="I2089" s="42">
        <f>IF(AND(ISNUMBER(D2089),ISNUMBER(H2089)),D2089*H2089*Inputs!$C$69,"")</f>
      </c>
      <c r="J2089" s="42">
        <f>IF(AND(ISNUMBER(F2089),ISNUMBER(H2089),F2089&gt;=Inputs!$C$68),F2089*H2089*Inputs!$C$69,"")</f>
      </c>
    </row>
    <row r="2090" spans="2:10" ht="15" customHeight="1" x14ac:dyDescent="0.2">
      <c r="B2090" s="39">
        <f t="shared" si="16"/>
      </c>
      <c r="C2090" s="40">
        <f>IF(Inputs!$C$60,Inputs!$C$11+(B2090-Inputs!$C$69)/Inputs!$C$70,"")</f>
      </c>
      <c r="D2090" s="15"/>
      <c r="E2090" s="15"/>
      <c r="F2090" s="11">
        <f t="shared" si="17"/>
      </c>
      <c r="G2090" s="22" cm="1">
        <f t="array" ref="G2090">IF(AND(Inputs!$C$60,Inputs!$C$61),INDEX(Utility_Rates!$C$29:$F$52,HOUR(C2090)+Inputs!$C$69,MATCH(INDEX(Utility_Rates!$K$6:$K$17,MONTH(C2090))&amp;IF(WEEKDAY(C2090,Inputs!$C$76)&lt;=Inputs!$C$74," weekday"," weekend"),Utility_Rates!$C$28:$F$28,Inputs!$C$68)),"")</f>
      </c>
      <c r="H2090" s="34"/>
      <c r="I2090" s="42">
        <f>IF(AND(ISNUMBER(D2090),ISNUMBER(H2090)),D2090*H2090*Inputs!$C$69,"")</f>
      </c>
      <c r="J2090" s="42">
        <f>IF(AND(ISNUMBER(F2090),ISNUMBER(H2090),F2090&gt;=Inputs!$C$68),F2090*H2090*Inputs!$C$69,"")</f>
      </c>
    </row>
    <row r="2091" spans="2:10" ht="15" customHeight="1" x14ac:dyDescent="0.2">
      <c r="B2091" s="39">
        <f t="shared" si="16"/>
      </c>
      <c r="C2091" s="40">
        <f>IF(Inputs!$C$60,Inputs!$C$11+(B2091-Inputs!$C$69)/Inputs!$C$70,"")</f>
      </c>
      <c r="D2091" s="15"/>
      <c r="E2091" s="15"/>
      <c r="F2091" s="11">
        <f t="shared" si="17"/>
      </c>
      <c r="G2091" s="22" cm="1">
        <f t="array" ref="G2091">IF(AND(Inputs!$C$60,Inputs!$C$61),INDEX(Utility_Rates!$C$29:$F$52,HOUR(C2091)+Inputs!$C$69,MATCH(INDEX(Utility_Rates!$K$6:$K$17,MONTH(C2091))&amp;IF(WEEKDAY(C2091,Inputs!$C$76)&lt;=Inputs!$C$74," weekday"," weekend"),Utility_Rates!$C$28:$F$28,Inputs!$C$68)),"")</f>
      </c>
      <c r="H2091" s="34"/>
      <c r="I2091" s="42">
        <f>IF(AND(ISNUMBER(D2091),ISNUMBER(H2091)),D2091*H2091*Inputs!$C$69,"")</f>
      </c>
      <c r="J2091" s="42">
        <f>IF(AND(ISNUMBER(F2091),ISNUMBER(H2091),F2091&gt;=Inputs!$C$68),F2091*H2091*Inputs!$C$69,"")</f>
      </c>
    </row>
    <row r="2092" spans="2:10" ht="15" customHeight="1" x14ac:dyDescent="0.2">
      <c r="B2092" s="39">
        <f t="shared" si="16"/>
      </c>
      <c r="C2092" s="40">
        <f>IF(Inputs!$C$60,Inputs!$C$11+(B2092-Inputs!$C$69)/Inputs!$C$70,"")</f>
      </c>
      <c r="D2092" s="15"/>
      <c r="E2092" s="15"/>
      <c r="F2092" s="11">
        <f t="shared" si="17"/>
      </c>
      <c r="G2092" s="22" cm="1">
        <f t="array" ref="G2092">IF(AND(Inputs!$C$60,Inputs!$C$61),INDEX(Utility_Rates!$C$29:$F$52,HOUR(C2092)+Inputs!$C$69,MATCH(INDEX(Utility_Rates!$K$6:$K$17,MONTH(C2092))&amp;IF(WEEKDAY(C2092,Inputs!$C$76)&lt;=Inputs!$C$74," weekday"," weekend"),Utility_Rates!$C$28:$F$28,Inputs!$C$68)),"")</f>
      </c>
      <c r="H2092" s="34"/>
      <c r="I2092" s="42">
        <f>IF(AND(ISNUMBER(D2092),ISNUMBER(H2092)),D2092*H2092*Inputs!$C$69,"")</f>
      </c>
      <c r="J2092" s="42">
        <f>IF(AND(ISNUMBER(F2092),ISNUMBER(H2092),F2092&gt;=Inputs!$C$68),F2092*H2092*Inputs!$C$69,"")</f>
      </c>
    </row>
    <row r="2093" spans="2:10" ht="15" customHeight="1" x14ac:dyDescent="0.2">
      <c r="B2093" s="39">
        <f t="shared" si="16"/>
      </c>
      <c r="C2093" s="40">
        <f>IF(Inputs!$C$60,Inputs!$C$11+(B2093-Inputs!$C$69)/Inputs!$C$70,"")</f>
      </c>
      <c r="D2093" s="15"/>
      <c r="E2093" s="15"/>
      <c r="F2093" s="11">
        <f t="shared" si="17"/>
      </c>
      <c r="G2093" s="22" cm="1">
        <f t="array" ref="G2093">IF(AND(Inputs!$C$60,Inputs!$C$61),INDEX(Utility_Rates!$C$29:$F$52,HOUR(C2093)+Inputs!$C$69,MATCH(INDEX(Utility_Rates!$K$6:$K$17,MONTH(C2093))&amp;IF(WEEKDAY(C2093,Inputs!$C$76)&lt;=Inputs!$C$74," weekday"," weekend"),Utility_Rates!$C$28:$F$28,Inputs!$C$68)),"")</f>
      </c>
      <c r="H2093" s="34"/>
      <c r="I2093" s="42">
        <f>IF(AND(ISNUMBER(D2093),ISNUMBER(H2093)),D2093*H2093*Inputs!$C$69,"")</f>
      </c>
      <c r="J2093" s="42">
        <f>IF(AND(ISNUMBER(F2093),ISNUMBER(H2093),F2093&gt;=Inputs!$C$68),F2093*H2093*Inputs!$C$69,"")</f>
      </c>
    </row>
    <row r="2094" spans="2:10" ht="15" customHeight="1" x14ac:dyDescent="0.2">
      <c r="B2094" s="39">
        <f t="shared" si="16"/>
      </c>
      <c r="C2094" s="40">
        <f>IF(Inputs!$C$60,Inputs!$C$11+(B2094-Inputs!$C$69)/Inputs!$C$70,"")</f>
      </c>
      <c r="D2094" s="15"/>
      <c r="E2094" s="15"/>
      <c r="F2094" s="11">
        <f t="shared" si="17"/>
      </c>
      <c r="G2094" s="22" cm="1">
        <f t="array" ref="G2094">IF(AND(Inputs!$C$60,Inputs!$C$61),INDEX(Utility_Rates!$C$29:$F$52,HOUR(C2094)+Inputs!$C$69,MATCH(INDEX(Utility_Rates!$K$6:$K$17,MONTH(C2094))&amp;IF(WEEKDAY(C2094,Inputs!$C$76)&lt;=Inputs!$C$74," weekday"," weekend"),Utility_Rates!$C$28:$F$28,Inputs!$C$68)),"")</f>
      </c>
      <c r="H2094" s="34"/>
      <c r="I2094" s="42">
        <f>IF(AND(ISNUMBER(D2094),ISNUMBER(H2094)),D2094*H2094*Inputs!$C$69,"")</f>
      </c>
      <c r="J2094" s="42">
        <f>IF(AND(ISNUMBER(F2094),ISNUMBER(H2094),F2094&gt;=Inputs!$C$68),F2094*H2094*Inputs!$C$69,"")</f>
      </c>
    </row>
    <row r="2095" spans="2:10" ht="15" customHeight="1" x14ac:dyDescent="0.2">
      <c r="B2095" s="39">
        <f t="shared" si="16"/>
      </c>
      <c r="C2095" s="40">
        <f>IF(Inputs!$C$60,Inputs!$C$11+(B2095-Inputs!$C$69)/Inputs!$C$70,"")</f>
      </c>
      <c r="D2095" s="15"/>
      <c r="E2095" s="15"/>
      <c r="F2095" s="11">
        <f t="shared" si="17"/>
      </c>
      <c r="G2095" s="22" cm="1">
        <f t="array" ref="G2095">IF(AND(Inputs!$C$60,Inputs!$C$61),INDEX(Utility_Rates!$C$29:$F$52,HOUR(C2095)+Inputs!$C$69,MATCH(INDEX(Utility_Rates!$K$6:$K$17,MONTH(C2095))&amp;IF(WEEKDAY(C2095,Inputs!$C$76)&lt;=Inputs!$C$74," weekday"," weekend"),Utility_Rates!$C$28:$F$28,Inputs!$C$68)),"")</f>
      </c>
      <c r="H2095" s="34"/>
      <c r="I2095" s="42">
        <f>IF(AND(ISNUMBER(D2095),ISNUMBER(H2095)),D2095*H2095*Inputs!$C$69,"")</f>
      </c>
      <c r="J2095" s="42">
        <f>IF(AND(ISNUMBER(F2095),ISNUMBER(H2095),F2095&gt;=Inputs!$C$68),F2095*H2095*Inputs!$C$69,"")</f>
      </c>
    </row>
    <row r="2096" spans="2:10" ht="15" customHeight="1" x14ac:dyDescent="0.2">
      <c r="B2096" s="39">
        <f t="shared" si="16"/>
      </c>
      <c r="C2096" s="40">
        <f>IF(Inputs!$C$60,Inputs!$C$11+(B2096-Inputs!$C$69)/Inputs!$C$70,"")</f>
      </c>
      <c r="D2096" s="15"/>
      <c r="E2096" s="15"/>
      <c r="F2096" s="11">
        <f t="shared" si="17"/>
      </c>
      <c r="G2096" s="22" cm="1">
        <f t="array" ref="G2096">IF(AND(Inputs!$C$60,Inputs!$C$61),INDEX(Utility_Rates!$C$29:$F$52,HOUR(C2096)+Inputs!$C$69,MATCH(INDEX(Utility_Rates!$K$6:$K$17,MONTH(C2096))&amp;IF(WEEKDAY(C2096,Inputs!$C$76)&lt;=Inputs!$C$74," weekday"," weekend"),Utility_Rates!$C$28:$F$28,Inputs!$C$68)),"")</f>
      </c>
      <c r="H2096" s="34"/>
      <c r="I2096" s="42">
        <f>IF(AND(ISNUMBER(D2096),ISNUMBER(H2096)),D2096*H2096*Inputs!$C$69,"")</f>
      </c>
      <c r="J2096" s="42">
        <f>IF(AND(ISNUMBER(F2096),ISNUMBER(H2096),F2096&gt;=Inputs!$C$68),F2096*H2096*Inputs!$C$69,"")</f>
      </c>
    </row>
    <row r="2097" spans="2:10" ht="15" customHeight="1" x14ac:dyDescent="0.2">
      <c r="B2097" s="39">
        <f t="shared" si="16"/>
      </c>
      <c r="C2097" s="40">
        <f>IF(Inputs!$C$60,Inputs!$C$11+(B2097-Inputs!$C$69)/Inputs!$C$70,"")</f>
      </c>
      <c r="D2097" s="15"/>
      <c r="E2097" s="15"/>
      <c r="F2097" s="11">
        <f t="shared" si="17"/>
      </c>
      <c r="G2097" s="22" cm="1">
        <f t="array" ref="G2097">IF(AND(Inputs!$C$60,Inputs!$C$61),INDEX(Utility_Rates!$C$29:$F$52,HOUR(C2097)+Inputs!$C$69,MATCH(INDEX(Utility_Rates!$K$6:$K$17,MONTH(C2097))&amp;IF(WEEKDAY(C2097,Inputs!$C$76)&lt;=Inputs!$C$74," weekday"," weekend"),Utility_Rates!$C$28:$F$28,Inputs!$C$68)),"")</f>
      </c>
      <c r="H2097" s="34"/>
      <c r="I2097" s="42">
        <f>IF(AND(ISNUMBER(D2097),ISNUMBER(H2097)),D2097*H2097*Inputs!$C$69,"")</f>
      </c>
      <c r="J2097" s="42">
        <f>IF(AND(ISNUMBER(F2097),ISNUMBER(H2097),F2097&gt;=Inputs!$C$68),F2097*H2097*Inputs!$C$69,"")</f>
      </c>
    </row>
    <row r="2098" spans="2:10" ht="15" customHeight="1" x14ac:dyDescent="0.2">
      <c r="B2098" s="39">
        <f t="shared" si="16"/>
      </c>
      <c r="C2098" s="40">
        <f>IF(Inputs!$C$60,Inputs!$C$11+(B2098-Inputs!$C$69)/Inputs!$C$70,"")</f>
      </c>
      <c r="D2098" s="15"/>
      <c r="E2098" s="15"/>
      <c r="F2098" s="11">
        <f t="shared" si="17"/>
      </c>
      <c r="G2098" s="22" cm="1">
        <f t="array" ref="G2098">IF(AND(Inputs!$C$60,Inputs!$C$61),INDEX(Utility_Rates!$C$29:$F$52,HOUR(C2098)+Inputs!$C$69,MATCH(INDEX(Utility_Rates!$K$6:$K$17,MONTH(C2098))&amp;IF(WEEKDAY(C2098,Inputs!$C$76)&lt;=Inputs!$C$74," weekday"," weekend"),Utility_Rates!$C$28:$F$28,Inputs!$C$68)),"")</f>
      </c>
      <c r="H2098" s="34"/>
      <c r="I2098" s="42">
        <f>IF(AND(ISNUMBER(D2098),ISNUMBER(H2098)),D2098*H2098*Inputs!$C$69,"")</f>
      </c>
      <c r="J2098" s="42">
        <f>IF(AND(ISNUMBER(F2098),ISNUMBER(H2098),F2098&gt;=Inputs!$C$68),F2098*H2098*Inputs!$C$69,"")</f>
      </c>
    </row>
    <row r="2099" spans="2:10" ht="15" customHeight="1" x14ac:dyDescent="0.2">
      <c r="B2099" s="39">
        <f t="shared" si="16"/>
      </c>
      <c r="C2099" s="40">
        <f>IF(Inputs!$C$60,Inputs!$C$11+(B2099-Inputs!$C$69)/Inputs!$C$70,"")</f>
      </c>
      <c r="D2099" s="15"/>
      <c r="E2099" s="15"/>
      <c r="F2099" s="11">
        <f t="shared" si="17"/>
      </c>
      <c r="G2099" s="22" cm="1">
        <f t="array" ref="G2099">IF(AND(Inputs!$C$60,Inputs!$C$61),INDEX(Utility_Rates!$C$29:$F$52,HOUR(C2099)+Inputs!$C$69,MATCH(INDEX(Utility_Rates!$K$6:$K$17,MONTH(C2099))&amp;IF(WEEKDAY(C2099,Inputs!$C$76)&lt;=Inputs!$C$74," weekday"," weekend"),Utility_Rates!$C$28:$F$28,Inputs!$C$68)),"")</f>
      </c>
      <c r="H2099" s="34"/>
      <c r="I2099" s="42">
        <f>IF(AND(ISNUMBER(D2099),ISNUMBER(H2099)),D2099*H2099*Inputs!$C$69,"")</f>
      </c>
      <c r="J2099" s="42">
        <f>IF(AND(ISNUMBER(F2099),ISNUMBER(H2099),F2099&gt;=Inputs!$C$68),F2099*H2099*Inputs!$C$69,"")</f>
      </c>
    </row>
    <row r="2100" spans="2:10" ht="15" customHeight="1" x14ac:dyDescent="0.2">
      <c r="B2100" s="39">
        <f t="shared" si="16"/>
      </c>
      <c r="C2100" s="40">
        <f>IF(Inputs!$C$60,Inputs!$C$11+(B2100-Inputs!$C$69)/Inputs!$C$70,"")</f>
      </c>
      <c r="D2100" s="15"/>
      <c r="E2100" s="15"/>
      <c r="F2100" s="11">
        <f t="shared" si="17"/>
      </c>
      <c r="G2100" s="22" cm="1">
        <f t="array" ref="G2100">IF(AND(Inputs!$C$60,Inputs!$C$61),INDEX(Utility_Rates!$C$29:$F$52,HOUR(C2100)+Inputs!$C$69,MATCH(INDEX(Utility_Rates!$K$6:$K$17,MONTH(C2100))&amp;IF(WEEKDAY(C2100,Inputs!$C$76)&lt;=Inputs!$C$74," weekday"," weekend"),Utility_Rates!$C$28:$F$28,Inputs!$C$68)),"")</f>
      </c>
      <c r="H2100" s="34"/>
      <c r="I2100" s="42">
        <f>IF(AND(ISNUMBER(D2100),ISNUMBER(H2100)),D2100*H2100*Inputs!$C$69,"")</f>
      </c>
      <c r="J2100" s="42">
        <f>IF(AND(ISNUMBER(F2100),ISNUMBER(H2100),F2100&gt;=Inputs!$C$68),F2100*H2100*Inputs!$C$69,"")</f>
      </c>
    </row>
    <row r="2101" spans="2:10" ht="15" customHeight="1" x14ac:dyDescent="0.2">
      <c r="B2101" s="39">
        <f t="shared" si="16"/>
      </c>
      <c r="C2101" s="40">
        <f>IF(Inputs!$C$60,Inputs!$C$11+(B2101-Inputs!$C$69)/Inputs!$C$70,"")</f>
      </c>
      <c r="D2101" s="15"/>
      <c r="E2101" s="15"/>
      <c r="F2101" s="11">
        <f t="shared" si="17"/>
      </c>
      <c r="G2101" s="22" cm="1">
        <f t="array" ref="G2101">IF(AND(Inputs!$C$60,Inputs!$C$61),INDEX(Utility_Rates!$C$29:$F$52,HOUR(C2101)+Inputs!$C$69,MATCH(INDEX(Utility_Rates!$K$6:$K$17,MONTH(C2101))&amp;IF(WEEKDAY(C2101,Inputs!$C$76)&lt;=Inputs!$C$74," weekday"," weekend"),Utility_Rates!$C$28:$F$28,Inputs!$C$68)),"")</f>
      </c>
      <c r="H2101" s="34"/>
      <c r="I2101" s="42">
        <f>IF(AND(ISNUMBER(D2101),ISNUMBER(H2101)),D2101*H2101*Inputs!$C$69,"")</f>
      </c>
      <c r="J2101" s="42">
        <f>IF(AND(ISNUMBER(F2101),ISNUMBER(H2101),F2101&gt;=Inputs!$C$68),F2101*H2101*Inputs!$C$69,"")</f>
      </c>
    </row>
    <row r="2102" spans="2:10" ht="15" customHeight="1" x14ac:dyDescent="0.2">
      <c r="B2102" s="39">
        <f t="shared" si="16"/>
      </c>
      <c r="C2102" s="40">
        <f>IF(Inputs!$C$60,Inputs!$C$11+(B2102-Inputs!$C$69)/Inputs!$C$70,"")</f>
      </c>
      <c r="D2102" s="15"/>
      <c r="E2102" s="15"/>
      <c r="F2102" s="11">
        <f t="shared" si="17"/>
      </c>
      <c r="G2102" s="22" cm="1">
        <f t="array" ref="G2102">IF(AND(Inputs!$C$60,Inputs!$C$61),INDEX(Utility_Rates!$C$29:$F$52,HOUR(C2102)+Inputs!$C$69,MATCH(INDEX(Utility_Rates!$K$6:$K$17,MONTH(C2102))&amp;IF(WEEKDAY(C2102,Inputs!$C$76)&lt;=Inputs!$C$74," weekday"," weekend"),Utility_Rates!$C$28:$F$28,Inputs!$C$68)),"")</f>
      </c>
      <c r="H2102" s="34"/>
      <c r="I2102" s="42">
        <f>IF(AND(ISNUMBER(D2102),ISNUMBER(H2102)),D2102*H2102*Inputs!$C$69,"")</f>
      </c>
      <c r="J2102" s="42">
        <f>IF(AND(ISNUMBER(F2102),ISNUMBER(H2102),F2102&gt;=Inputs!$C$68),F2102*H2102*Inputs!$C$69,"")</f>
      </c>
    </row>
    <row r="2103" spans="2:10" ht="15" customHeight="1" x14ac:dyDescent="0.2">
      <c r="B2103" s="39">
        <f t="shared" si="16"/>
      </c>
      <c r="C2103" s="40">
        <f>IF(Inputs!$C$60,Inputs!$C$11+(B2103-Inputs!$C$69)/Inputs!$C$70,"")</f>
      </c>
      <c r="D2103" s="15"/>
      <c r="E2103" s="15"/>
      <c r="F2103" s="11">
        <f t="shared" si="17"/>
      </c>
      <c r="G2103" s="22" cm="1">
        <f t="array" ref="G2103">IF(AND(Inputs!$C$60,Inputs!$C$61),INDEX(Utility_Rates!$C$29:$F$52,HOUR(C2103)+Inputs!$C$69,MATCH(INDEX(Utility_Rates!$K$6:$K$17,MONTH(C2103))&amp;IF(WEEKDAY(C2103,Inputs!$C$76)&lt;=Inputs!$C$74," weekday"," weekend"),Utility_Rates!$C$28:$F$28,Inputs!$C$68)),"")</f>
      </c>
      <c r="H2103" s="34"/>
      <c r="I2103" s="42">
        <f>IF(AND(ISNUMBER(D2103),ISNUMBER(H2103)),D2103*H2103*Inputs!$C$69,"")</f>
      </c>
      <c r="J2103" s="42">
        <f>IF(AND(ISNUMBER(F2103),ISNUMBER(H2103),F2103&gt;=Inputs!$C$68),F2103*H2103*Inputs!$C$69,"")</f>
      </c>
    </row>
    <row r="2104" spans="2:10" ht="15" customHeight="1" x14ac:dyDescent="0.2">
      <c r="B2104" s="39">
        <f t="shared" si="16"/>
      </c>
      <c r="C2104" s="40">
        <f>IF(Inputs!$C$60,Inputs!$C$11+(B2104-Inputs!$C$69)/Inputs!$C$70,"")</f>
      </c>
      <c r="D2104" s="15"/>
      <c r="E2104" s="15"/>
      <c r="F2104" s="11">
        <f t="shared" si="17"/>
      </c>
      <c r="G2104" s="22" cm="1">
        <f t="array" ref="G2104">IF(AND(Inputs!$C$60,Inputs!$C$61),INDEX(Utility_Rates!$C$29:$F$52,HOUR(C2104)+Inputs!$C$69,MATCH(INDEX(Utility_Rates!$K$6:$K$17,MONTH(C2104))&amp;IF(WEEKDAY(C2104,Inputs!$C$76)&lt;=Inputs!$C$74," weekday"," weekend"),Utility_Rates!$C$28:$F$28,Inputs!$C$68)),"")</f>
      </c>
      <c r="H2104" s="34"/>
      <c r="I2104" s="42">
        <f>IF(AND(ISNUMBER(D2104),ISNUMBER(H2104)),D2104*H2104*Inputs!$C$69,"")</f>
      </c>
      <c r="J2104" s="42">
        <f>IF(AND(ISNUMBER(F2104),ISNUMBER(H2104),F2104&gt;=Inputs!$C$68),F2104*H2104*Inputs!$C$69,"")</f>
      </c>
    </row>
    <row r="2105" spans="2:10" ht="15" customHeight="1" x14ac:dyDescent="0.2">
      <c r="B2105" s="39">
        <f t="shared" si="16"/>
      </c>
      <c r="C2105" s="40">
        <f>IF(Inputs!$C$60,Inputs!$C$11+(B2105-Inputs!$C$69)/Inputs!$C$70,"")</f>
      </c>
      <c r="D2105" s="15"/>
      <c r="E2105" s="15"/>
      <c r="F2105" s="11">
        <f t="shared" si="17"/>
      </c>
      <c r="G2105" s="22" cm="1">
        <f t="array" ref="G2105">IF(AND(Inputs!$C$60,Inputs!$C$61),INDEX(Utility_Rates!$C$29:$F$52,HOUR(C2105)+Inputs!$C$69,MATCH(INDEX(Utility_Rates!$K$6:$K$17,MONTH(C2105))&amp;IF(WEEKDAY(C2105,Inputs!$C$76)&lt;=Inputs!$C$74," weekday"," weekend"),Utility_Rates!$C$28:$F$28,Inputs!$C$68)),"")</f>
      </c>
      <c r="H2105" s="34"/>
      <c r="I2105" s="42">
        <f>IF(AND(ISNUMBER(D2105),ISNUMBER(H2105)),D2105*H2105*Inputs!$C$69,"")</f>
      </c>
      <c r="J2105" s="42">
        <f>IF(AND(ISNUMBER(F2105),ISNUMBER(H2105),F2105&gt;=Inputs!$C$68),F2105*H2105*Inputs!$C$69,"")</f>
      </c>
    </row>
    <row r="2106" spans="2:10" ht="15" customHeight="1" x14ac:dyDescent="0.2">
      <c r="B2106" s="39">
        <f t="shared" si="16"/>
      </c>
      <c r="C2106" s="40">
        <f>IF(Inputs!$C$60,Inputs!$C$11+(B2106-Inputs!$C$69)/Inputs!$C$70,"")</f>
      </c>
      <c r="D2106" s="15"/>
      <c r="E2106" s="15"/>
      <c r="F2106" s="11">
        <f t="shared" si="17"/>
      </c>
      <c r="G2106" s="22" cm="1">
        <f t="array" ref="G2106">IF(AND(Inputs!$C$60,Inputs!$C$61),INDEX(Utility_Rates!$C$29:$F$52,HOUR(C2106)+Inputs!$C$69,MATCH(INDEX(Utility_Rates!$K$6:$K$17,MONTH(C2106))&amp;IF(WEEKDAY(C2106,Inputs!$C$76)&lt;=Inputs!$C$74," weekday"," weekend"),Utility_Rates!$C$28:$F$28,Inputs!$C$68)),"")</f>
      </c>
      <c r="H2106" s="34"/>
      <c r="I2106" s="42">
        <f>IF(AND(ISNUMBER(D2106),ISNUMBER(H2106)),D2106*H2106*Inputs!$C$69,"")</f>
      </c>
      <c r="J2106" s="42">
        <f>IF(AND(ISNUMBER(F2106),ISNUMBER(H2106),F2106&gt;=Inputs!$C$68),F2106*H2106*Inputs!$C$69,"")</f>
      </c>
    </row>
    <row r="2107" spans="2:10" ht="15" customHeight="1" x14ac:dyDescent="0.2">
      <c r="B2107" s="39">
        <f t="shared" si="16"/>
      </c>
      <c r="C2107" s="40">
        <f>IF(Inputs!$C$60,Inputs!$C$11+(B2107-Inputs!$C$69)/Inputs!$C$70,"")</f>
      </c>
      <c r="D2107" s="15"/>
      <c r="E2107" s="15"/>
      <c r="F2107" s="11">
        <f t="shared" si="17"/>
      </c>
      <c r="G2107" s="22" cm="1">
        <f t="array" ref="G2107">IF(AND(Inputs!$C$60,Inputs!$C$61),INDEX(Utility_Rates!$C$29:$F$52,HOUR(C2107)+Inputs!$C$69,MATCH(INDEX(Utility_Rates!$K$6:$K$17,MONTH(C2107))&amp;IF(WEEKDAY(C2107,Inputs!$C$76)&lt;=Inputs!$C$74," weekday"," weekend"),Utility_Rates!$C$28:$F$28,Inputs!$C$68)),"")</f>
      </c>
      <c r="H2107" s="34"/>
      <c r="I2107" s="42">
        <f>IF(AND(ISNUMBER(D2107),ISNUMBER(H2107)),D2107*H2107*Inputs!$C$69,"")</f>
      </c>
      <c r="J2107" s="42">
        <f>IF(AND(ISNUMBER(F2107),ISNUMBER(H2107),F2107&gt;=Inputs!$C$68),F2107*H2107*Inputs!$C$69,"")</f>
      </c>
    </row>
    <row r="2108" spans="2:10" ht="15" customHeight="1" x14ac:dyDescent="0.2">
      <c r="B2108" s="39">
        <f t="shared" si="16"/>
      </c>
      <c r="C2108" s="40">
        <f>IF(Inputs!$C$60,Inputs!$C$11+(B2108-Inputs!$C$69)/Inputs!$C$70,"")</f>
      </c>
      <c r="D2108" s="15"/>
      <c r="E2108" s="15"/>
      <c r="F2108" s="11">
        <f t="shared" si="17"/>
      </c>
      <c r="G2108" s="22" cm="1">
        <f t="array" ref="G2108">IF(AND(Inputs!$C$60,Inputs!$C$61),INDEX(Utility_Rates!$C$29:$F$52,HOUR(C2108)+Inputs!$C$69,MATCH(INDEX(Utility_Rates!$K$6:$K$17,MONTH(C2108))&amp;IF(WEEKDAY(C2108,Inputs!$C$76)&lt;=Inputs!$C$74," weekday"," weekend"),Utility_Rates!$C$28:$F$28,Inputs!$C$68)),"")</f>
      </c>
      <c r="H2108" s="34"/>
      <c r="I2108" s="42">
        <f>IF(AND(ISNUMBER(D2108),ISNUMBER(H2108)),D2108*H2108*Inputs!$C$69,"")</f>
      </c>
      <c r="J2108" s="42">
        <f>IF(AND(ISNUMBER(F2108),ISNUMBER(H2108),F2108&gt;=Inputs!$C$68),F2108*H2108*Inputs!$C$69,"")</f>
      </c>
    </row>
    <row r="2109" spans="2:10" ht="15" customHeight="1" x14ac:dyDescent="0.2">
      <c r="B2109" s="39">
        <f t="shared" si="16"/>
      </c>
      <c r="C2109" s="40">
        <f>IF(Inputs!$C$60,Inputs!$C$11+(B2109-Inputs!$C$69)/Inputs!$C$70,"")</f>
      </c>
      <c r="D2109" s="15"/>
      <c r="E2109" s="15"/>
      <c r="F2109" s="11">
        <f t="shared" si="17"/>
      </c>
      <c r="G2109" s="22" cm="1">
        <f t="array" ref="G2109">IF(AND(Inputs!$C$60,Inputs!$C$61),INDEX(Utility_Rates!$C$29:$F$52,HOUR(C2109)+Inputs!$C$69,MATCH(INDEX(Utility_Rates!$K$6:$K$17,MONTH(C2109))&amp;IF(WEEKDAY(C2109,Inputs!$C$76)&lt;=Inputs!$C$74," weekday"," weekend"),Utility_Rates!$C$28:$F$28,Inputs!$C$68)),"")</f>
      </c>
      <c r="H2109" s="34"/>
      <c r="I2109" s="42">
        <f>IF(AND(ISNUMBER(D2109),ISNUMBER(H2109)),D2109*H2109*Inputs!$C$69,"")</f>
      </c>
      <c r="J2109" s="42">
        <f>IF(AND(ISNUMBER(F2109),ISNUMBER(H2109),F2109&gt;=Inputs!$C$68),F2109*H2109*Inputs!$C$69,"")</f>
      </c>
    </row>
    <row r="2110" spans="2:10" ht="15" customHeight="1" x14ac:dyDescent="0.2">
      <c r="B2110" s="39">
        <f t="shared" si="16"/>
      </c>
      <c r="C2110" s="40">
        <f>IF(Inputs!$C$60,Inputs!$C$11+(B2110-Inputs!$C$69)/Inputs!$C$70,"")</f>
      </c>
      <c r="D2110" s="15"/>
      <c r="E2110" s="15"/>
      <c r="F2110" s="11">
        <f t="shared" si="17"/>
      </c>
      <c r="G2110" s="22" cm="1">
        <f t="array" ref="G2110">IF(AND(Inputs!$C$60,Inputs!$C$61),INDEX(Utility_Rates!$C$29:$F$52,HOUR(C2110)+Inputs!$C$69,MATCH(INDEX(Utility_Rates!$K$6:$K$17,MONTH(C2110))&amp;IF(WEEKDAY(C2110,Inputs!$C$76)&lt;=Inputs!$C$74," weekday"," weekend"),Utility_Rates!$C$28:$F$28,Inputs!$C$68)),"")</f>
      </c>
      <c r="H2110" s="34"/>
      <c r="I2110" s="42">
        <f>IF(AND(ISNUMBER(D2110),ISNUMBER(H2110)),D2110*H2110*Inputs!$C$69,"")</f>
      </c>
      <c r="J2110" s="42">
        <f>IF(AND(ISNUMBER(F2110),ISNUMBER(H2110),F2110&gt;=Inputs!$C$68),F2110*H2110*Inputs!$C$69,"")</f>
      </c>
    </row>
    <row r="2111" spans="2:10" ht="15" customHeight="1" x14ac:dyDescent="0.2">
      <c r="B2111" s="39">
        <f t="shared" si="16"/>
      </c>
      <c r="C2111" s="40">
        <f>IF(Inputs!$C$60,Inputs!$C$11+(B2111-Inputs!$C$69)/Inputs!$C$70,"")</f>
      </c>
      <c r="D2111" s="15"/>
      <c r="E2111" s="15"/>
      <c r="F2111" s="11">
        <f t="shared" si="17"/>
      </c>
      <c r="G2111" s="22" cm="1">
        <f t="array" ref="G2111">IF(AND(Inputs!$C$60,Inputs!$C$61),INDEX(Utility_Rates!$C$29:$F$52,HOUR(C2111)+Inputs!$C$69,MATCH(INDEX(Utility_Rates!$K$6:$K$17,MONTH(C2111))&amp;IF(WEEKDAY(C2111,Inputs!$C$76)&lt;=Inputs!$C$74," weekday"," weekend"),Utility_Rates!$C$28:$F$28,Inputs!$C$68)),"")</f>
      </c>
      <c r="H2111" s="34"/>
      <c r="I2111" s="42">
        <f>IF(AND(ISNUMBER(D2111),ISNUMBER(H2111)),D2111*H2111*Inputs!$C$69,"")</f>
      </c>
      <c r="J2111" s="42">
        <f>IF(AND(ISNUMBER(F2111),ISNUMBER(H2111),F2111&gt;=Inputs!$C$68),F2111*H2111*Inputs!$C$69,"")</f>
      </c>
    </row>
    <row r="2112" spans="2:10" ht="15" customHeight="1" x14ac:dyDescent="0.2">
      <c r="B2112" s="39">
        <f t="shared" si="16"/>
      </c>
      <c r="C2112" s="40">
        <f>IF(Inputs!$C$60,Inputs!$C$11+(B2112-Inputs!$C$69)/Inputs!$C$70,"")</f>
      </c>
      <c r="D2112" s="15"/>
      <c r="E2112" s="15"/>
      <c r="F2112" s="11">
        <f t="shared" si="17"/>
      </c>
      <c r="G2112" s="22" cm="1">
        <f t="array" ref="G2112">IF(AND(Inputs!$C$60,Inputs!$C$61),INDEX(Utility_Rates!$C$29:$F$52,HOUR(C2112)+Inputs!$C$69,MATCH(INDEX(Utility_Rates!$K$6:$K$17,MONTH(C2112))&amp;IF(WEEKDAY(C2112,Inputs!$C$76)&lt;=Inputs!$C$74," weekday"," weekend"),Utility_Rates!$C$28:$F$28,Inputs!$C$68)),"")</f>
      </c>
      <c r="H2112" s="34"/>
      <c r="I2112" s="42">
        <f>IF(AND(ISNUMBER(D2112),ISNUMBER(H2112)),D2112*H2112*Inputs!$C$69,"")</f>
      </c>
      <c r="J2112" s="42">
        <f>IF(AND(ISNUMBER(F2112),ISNUMBER(H2112),F2112&gt;=Inputs!$C$68),F2112*H2112*Inputs!$C$69,"")</f>
      </c>
    </row>
    <row r="2113" spans="2:10" ht="15" customHeight="1" x14ac:dyDescent="0.2">
      <c r="B2113" s="39">
        <f t="shared" si="16"/>
      </c>
      <c r="C2113" s="40">
        <f>IF(Inputs!$C$60,Inputs!$C$11+(B2113-Inputs!$C$69)/Inputs!$C$70,"")</f>
      </c>
      <c r="D2113" s="15"/>
      <c r="E2113" s="15"/>
      <c r="F2113" s="11">
        <f t="shared" si="17"/>
      </c>
      <c r="G2113" s="22" cm="1">
        <f t="array" ref="G2113">IF(AND(Inputs!$C$60,Inputs!$C$61),INDEX(Utility_Rates!$C$29:$F$52,HOUR(C2113)+Inputs!$C$69,MATCH(INDEX(Utility_Rates!$K$6:$K$17,MONTH(C2113))&amp;IF(WEEKDAY(C2113,Inputs!$C$76)&lt;=Inputs!$C$74," weekday"," weekend"),Utility_Rates!$C$28:$F$28,Inputs!$C$68)),"")</f>
      </c>
      <c r="H2113" s="34"/>
      <c r="I2113" s="42">
        <f>IF(AND(ISNUMBER(D2113),ISNUMBER(H2113)),D2113*H2113*Inputs!$C$69,"")</f>
      </c>
      <c r="J2113" s="42">
        <f>IF(AND(ISNUMBER(F2113),ISNUMBER(H2113),F2113&gt;=Inputs!$C$68),F2113*H2113*Inputs!$C$69,"")</f>
      </c>
    </row>
    <row r="2114" spans="2:10" ht="15" customHeight="1" x14ac:dyDescent="0.2">
      <c r="B2114" s="39">
        <f t="shared" si="16"/>
      </c>
      <c r="C2114" s="40">
        <f>IF(Inputs!$C$60,Inputs!$C$11+(B2114-Inputs!$C$69)/Inputs!$C$70,"")</f>
      </c>
      <c r="D2114" s="15"/>
      <c r="E2114" s="15"/>
      <c r="F2114" s="11">
        <f t="shared" si="17"/>
      </c>
      <c r="G2114" s="22" cm="1">
        <f t="array" ref="G2114">IF(AND(Inputs!$C$60,Inputs!$C$61),INDEX(Utility_Rates!$C$29:$F$52,HOUR(C2114)+Inputs!$C$69,MATCH(INDEX(Utility_Rates!$K$6:$K$17,MONTH(C2114))&amp;IF(WEEKDAY(C2114,Inputs!$C$76)&lt;=Inputs!$C$74," weekday"," weekend"),Utility_Rates!$C$28:$F$28,Inputs!$C$68)),"")</f>
      </c>
      <c r="H2114" s="34"/>
      <c r="I2114" s="42">
        <f>IF(AND(ISNUMBER(D2114),ISNUMBER(H2114)),D2114*H2114*Inputs!$C$69,"")</f>
      </c>
      <c r="J2114" s="42">
        <f>IF(AND(ISNUMBER(F2114),ISNUMBER(H2114),F2114&gt;=Inputs!$C$68),F2114*H2114*Inputs!$C$69,"")</f>
      </c>
    </row>
    <row r="2115" spans="2:10" ht="15" customHeight="1" x14ac:dyDescent="0.2">
      <c r="B2115" s="39">
        <f t="shared" si="16"/>
      </c>
      <c r="C2115" s="40">
        <f>IF(Inputs!$C$60,Inputs!$C$11+(B2115-Inputs!$C$69)/Inputs!$C$70,"")</f>
      </c>
      <c r="D2115" s="15"/>
      <c r="E2115" s="15"/>
      <c r="F2115" s="11">
        <f t="shared" si="17"/>
      </c>
      <c r="G2115" s="22" cm="1">
        <f t="array" ref="G2115">IF(AND(Inputs!$C$60,Inputs!$C$61),INDEX(Utility_Rates!$C$29:$F$52,HOUR(C2115)+Inputs!$C$69,MATCH(INDEX(Utility_Rates!$K$6:$K$17,MONTH(C2115))&amp;IF(WEEKDAY(C2115,Inputs!$C$76)&lt;=Inputs!$C$74," weekday"," weekend"),Utility_Rates!$C$28:$F$28,Inputs!$C$68)),"")</f>
      </c>
      <c r="H2115" s="34"/>
      <c r="I2115" s="42">
        <f>IF(AND(ISNUMBER(D2115),ISNUMBER(H2115)),D2115*H2115*Inputs!$C$69,"")</f>
      </c>
      <c r="J2115" s="42">
        <f>IF(AND(ISNUMBER(F2115),ISNUMBER(H2115),F2115&gt;=Inputs!$C$68),F2115*H2115*Inputs!$C$69,"")</f>
      </c>
    </row>
    <row r="2116" spans="2:10" ht="15" customHeight="1" x14ac:dyDescent="0.2">
      <c r="B2116" s="39">
        <f t="shared" si="16"/>
      </c>
      <c r="C2116" s="40">
        <f>IF(Inputs!$C$60,Inputs!$C$11+(B2116-Inputs!$C$69)/Inputs!$C$70,"")</f>
      </c>
      <c r="D2116" s="15"/>
      <c r="E2116" s="15"/>
      <c r="F2116" s="11">
        <f t="shared" si="17"/>
      </c>
      <c r="G2116" s="22" cm="1">
        <f t="array" ref="G2116">IF(AND(Inputs!$C$60,Inputs!$C$61),INDEX(Utility_Rates!$C$29:$F$52,HOUR(C2116)+Inputs!$C$69,MATCH(INDEX(Utility_Rates!$K$6:$K$17,MONTH(C2116))&amp;IF(WEEKDAY(C2116,Inputs!$C$76)&lt;=Inputs!$C$74," weekday"," weekend"),Utility_Rates!$C$28:$F$28,Inputs!$C$68)),"")</f>
      </c>
      <c r="H2116" s="34"/>
      <c r="I2116" s="42">
        <f>IF(AND(ISNUMBER(D2116),ISNUMBER(H2116)),D2116*H2116*Inputs!$C$69,"")</f>
      </c>
      <c r="J2116" s="42">
        <f>IF(AND(ISNUMBER(F2116),ISNUMBER(H2116),F2116&gt;=Inputs!$C$68),F2116*H2116*Inputs!$C$69,"")</f>
      </c>
    </row>
    <row r="2117" spans="2:10" ht="15" customHeight="1" x14ac:dyDescent="0.2">
      <c r="B2117" s="39">
        <f t="shared" si="16"/>
      </c>
      <c r="C2117" s="40">
        <f>IF(Inputs!$C$60,Inputs!$C$11+(B2117-Inputs!$C$69)/Inputs!$C$70,"")</f>
      </c>
      <c r="D2117" s="15"/>
      <c r="E2117" s="15"/>
      <c r="F2117" s="11">
        <f t="shared" si="17"/>
      </c>
      <c r="G2117" s="22" cm="1">
        <f t="array" ref="G2117">IF(AND(Inputs!$C$60,Inputs!$C$61),INDEX(Utility_Rates!$C$29:$F$52,HOUR(C2117)+Inputs!$C$69,MATCH(INDEX(Utility_Rates!$K$6:$K$17,MONTH(C2117))&amp;IF(WEEKDAY(C2117,Inputs!$C$76)&lt;=Inputs!$C$74," weekday"," weekend"),Utility_Rates!$C$28:$F$28,Inputs!$C$68)),"")</f>
      </c>
      <c r="H2117" s="34"/>
      <c r="I2117" s="42">
        <f>IF(AND(ISNUMBER(D2117),ISNUMBER(H2117)),D2117*H2117*Inputs!$C$69,"")</f>
      </c>
      <c r="J2117" s="42">
        <f>IF(AND(ISNUMBER(F2117),ISNUMBER(H2117),F2117&gt;=Inputs!$C$68),F2117*H2117*Inputs!$C$69,"")</f>
      </c>
    </row>
    <row r="2118" spans="2:10" ht="15" customHeight="1" x14ac:dyDescent="0.2">
      <c r="B2118" s="39">
        <f t="shared" si="16"/>
      </c>
      <c r="C2118" s="40">
        <f>IF(Inputs!$C$60,Inputs!$C$11+(B2118-Inputs!$C$69)/Inputs!$C$70,"")</f>
      </c>
      <c r="D2118" s="15"/>
      <c r="E2118" s="15"/>
      <c r="F2118" s="11">
        <f t="shared" si="17"/>
      </c>
      <c r="G2118" s="22" cm="1">
        <f t="array" ref="G2118">IF(AND(Inputs!$C$60,Inputs!$C$61),INDEX(Utility_Rates!$C$29:$F$52,HOUR(C2118)+Inputs!$C$69,MATCH(INDEX(Utility_Rates!$K$6:$K$17,MONTH(C2118))&amp;IF(WEEKDAY(C2118,Inputs!$C$76)&lt;=Inputs!$C$74," weekday"," weekend"),Utility_Rates!$C$28:$F$28,Inputs!$C$68)),"")</f>
      </c>
      <c r="H2118" s="34"/>
      <c r="I2118" s="42">
        <f>IF(AND(ISNUMBER(D2118),ISNUMBER(H2118)),D2118*H2118*Inputs!$C$69,"")</f>
      </c>
      <c r="J2118" s="42">
        <f>IF(AND(ISNUMBER(F2118),ISNUMBER(H2118),F2118&gt;=Inputs!$C$68),F2118*H2118*Inputs!$C$69,"")</f>
      </c>
    </row>
    <row r="2119" spans="2:10" ht="15" customHeight="1" x14ac:dyDescent="0.2">
      <c r="B2119" s="39">
        <f t="shared" si="16"/>
      </c>
      <c r="C2119" s="40">
        <f>IF(Inputs!$C$60,Inputs!$C$11+(B2119-Inputs!$C$69)/Inputs!$C$70,"")</f>
      </c>
      <c r="D2119" s="15"/>
      <c r="E2119" s="15"/>
      <c r="F2119" s="11">
        <f t="shared" si="17"/>
      </c>
      <c r="G2119" s="22" cm="1">
        <f t="array" ref="G2119">IF(AND(Inputs!$C$60,Inputs!$C$61),INDEX(Utility_Rates!$C$29:$F$52,HOUR(C2119)+Inputs!$C$69,MATCH(INDEX(Utility_Rates!$K$6:$K$17,MONTH(C2119))&amp;IF(WEEKDAY(C2119,Inputs!$C$76)&lt;=Inputs!$C$74," weekday"," weekend"),Utility_Rates!$C$28:$F$28,Inputs!$C$68)),"")</f>
      </c>
      <c r="H2119" s="34"/>
      <c r="I2119" s="42">
        <f>IF(AND(ISNUMBER(D2119),ISNUMBER(H2119)),D2119*H2119*Inputs!$C$69,"")</f>
      </c>
      <c r="J2119" s="42">
        <f>IF(AND(ISNUMBER(F2119),ISNUMBER(H2119),F2119&gt;=Inputs!$C$68),F2119*H2119*Inputs!$C$69,"")</f>
      </c>
    </row>
    <row r="2120" spans="2:10" ht="15" customHeight="1" x14ac:dyDescent="0.2">
      <c r="B2120" s="39">
        <f t="shared" si="16"/>
      </c>
      <c r="C2120" s="40">
        <f>IF(Inputs!$C$60,Inputs!$C$11+(B2120-Inputs!$C$69)/Inputs!$C$70,"")</f>
      </c>
      <c r="D2120" s="15"/>
      <c r="E2120" s="15"/>
      <c r="F2120" s="11">
        <f t="shared" si="17"/>
      </c>
      <c r="G2120" s="22" cm="1">
        <f t="array" ref="G2120">IF(AND(Inputs!$C$60,Inputs!$C$61),INDEX(Utility_Rates!$C$29:$F$52,HOUR(C2120)+Inputs!$C$69,MATCH(INDEX(Utility_Rates!$K$6:$K$17,MONTH(C2120))&amp;IF(WEEKDAY(C2120,Inputs!$C$76)&lt;=Inputs!$C$74," weekday"," weekend"),Utility_Rates!$C$28:$F$28,Inputs!$C$68)),"")</f>
      </c>
      <c r="H2120" s="34"/>
      <c r="I2120" s="42">
        <f>IF(AND(ISNUMBER(D2120),ISNUMBER(H2120)),D2120*H2120*Inputs!$C$69,"")</f>
      </c>
      <c r="J2120" s="42">
        <f>IF(AND(ISNUMBER(F2120),ISNUMBER(H2120),F2120&gt;=Inputs!$C$68),F2120*H2120*Inputs!$C$69,"")</f>
      </c>
    </row>
    <row r="2121" spans="2:10" ht="15" customHeight="1" x14ac:dyDescent="0.2">
      <c r="B2121" s="39">
        <f t="shared" si="16"/>
      </c>
      <c r="C2121" s="40">
        <f>IF(Inputs!$C$60,Inputs!$C$11+(B2121-Inputs!$C$69)/Inputs!$C$70,"")</f>
      </c>
      <c r="D2121" s="15"/>
      <c r="E2121" s="15"/>
      <c r="F2121" s="11">
        <f t="shared" si="17"/>
      </c>
      <c r="G2121" s="22" cm="1">
        <f t="array" ref="G2121">IF(AND(Inputs!$C$60,Inputs!$C$61),INDEX(Utility_Rates!$C$29:$F$52,HOUR(C2121)+Inputs!$C$69,MATCH(INDEX(Utility_Rates!$K$6:$K$17,MONTH(C2121))&amp;IF(WEEKDAY(C2121,Inputs!$C$76)&lt;=Inputs!$C$74," weekday"," weekend"),Utility_Rates!$C$28:$F$28,Inputs!$C$68)),"")</f>
      </c>
      <c r="H2121" s="34"/>
      <c r="I2121" s="42">
        <f>IF(AND(ISNUMBER(D2121),ISNUMBER(H2121)),D2121*H2121*Inputs!$C$69,"")</f>
      </c>
      <c r="J2121" s="42">
        <f>IF(AND(ISNUMBER(F2121),ISNUMBER(H2121),F2121&gt;=Inputs!$C$68),F2121*H2121*Inputs!$C$69,"")</f>
      </c>
    </row>
    <row r="2122" spans="2:10" ht="15" customHeight="1" x14ac:dyDescent="0.2">
      <c r="B2122" s="39">
        <f t="shared" si="16"/>
      </c>
      <c r="C2122" s="40">
        <f>IF(Inputs!$C$60,Inputs!$C$11+(B2122-Inputs!$C$69)/Inputs!$C$70,"")</f>
      </c>
      <c r="D2122" s="15"/>
      <c r="E2122" s="15"/>
      <c r="F2122" s="11">
        <f t="shared" si="17"/>
      </c>
      <c r="G2122" s="22" cm="1">
        <f t="array" ref="G2122">IF(AND(Inputs!$C$60,Inputs!$C$61),INDEX(Utility_Rates!$C$29:$F$52,HOUR(C2122)+Inputs!$C$69,MATCH(INDEX(Utility_Rates!$K$6:$K$17,MONTH(C2122))&amp;IF(WEEKDAY(C2122,Inputs!$C$76)&lt;=Inputs!$C$74," weekday"," weekend"),Utility_Rates!$C$28:$F$28,Inputs!$C$68)),"")</f>
      </c>
      <c r="H2122" s="34"/>
      <c r="I2122" s="42">
        <f>IF(AND(ISNUMBER(D2122),ISNUMBER(H2122)),D2122*H2122*Inputs!$C$69,"")</f>
      </c>
      <c r="J2122" s="42">
        <f>IF(AND(ISNUMBER(F2122),ISNUMBER(H2122),F2122&gt;=Inputs!$C$68),F2122*H2122*Inputs!$C$69,"")</f>
      </c>
    </row>
    <row r="2123" spans="2:10" ht="15" customHeight="1" x14ac:dyDescent="0.2">
      <c r="B2123" s="39">
        <f t="shared" si="16"/>
      </c>
      <c r="C2123" s="40">
        <f>IF(Inputs!$C$60,Inputs!$C$11+(B2123-Inputs!$C$69)/Inputs!$C$70,"")</f>
      </c>
      <c r="D2123" s="15"/>
      <c r="E2123" s="15"/>
      <c r="F2123" s="11">
        <f t="shared" si="17"/>
      </c>
      <c r="G2123" s="22" cm="1">
        <f t="array" ref="G2123">IF(AND(Inputs!$C$60,Inputs!$C$61),INDEX(Utility_Rates!$C$29:$F$52,HOUR(C2123)+Inputs!$C$69,MATCH(INDEX(Utility_Rates!$K$6:$K$17,MONTH(C2123))&amp;IF(WEEKDAY(C2123,Inputs!$C$76)&lt;=Inputs!$C$74," weekday"," weekend"),Utility_Rates!$C$28:$F$28,Inputs!$C$68)),"")</f>
      </c>
      <c r="H2123" s="34"/>
      <c r="I2123" s="42">
        <f>IF(AND(ISNUMBER(D2123),ISNUMBER(H2123)),D2123*H2123*Inputs!$C$69,"")</f>
      </c>
      <c r="J2123" s="42">
        <f>IF(AND(ISNUMBER(F2123),ISNUMBER(H2123),F2123&gt;=Inputs!$C$68),F2123*H2123*Inputs!$C$69,"")</f>
      </c>
    </row>
    <row r="2124" spans="2:10" ht="15" customHeight="1" x14ac:dyDescent="0.2">
      <c r="B2124" s="39">
        <f t="shared" si="16"/>
      </c>
      <c r="C2124" s="40">
        <f>IF(Inputs!$C$60,Inputs!$C$11+(B2124-Inputs!$C$69)/Inputs!$C$70,"")</f>
      </c>
      <c r="D2124" s="15"/>
      <c r="E2124" s="15"/>
      <c r="F2124" s="11">
        <f t="shared" si="17"/>
      </c>
      <c r="G2124" s="22" cm="1">
        <f t="array" ref="G2124">IF(AND(Inputs!$C$60,Inputs!$C$61),INDEX(Utility_Rates!$C$29:$F$52,HOUR(C2124)+Inputs!$C$69,MATCH(INDEX(Utility_Rates!$K$6:$K$17,MONTH(C2124))&amp;IF(WEEKDAY(C2124,Inputs!$C$76)&lt;=Inputs!$C$74," weekday"," weekend"),Utility_Rates!$C$28:$F$28,Inputs!$C$68)),"")</f>
      </c>
      <c r="H2124" s="34"/>
      <c r="I2124" s="42">
        <f>IF(AND(ISNUMBER(D2124),ISNUMBER(H2124)),D2124*H2124*Inputs!$C$69,"")</f>
      </c>
      <c r="J2124" s="42">
        <f>IF(AND(ISNUMBER(F2124),ISNUMBER(H2124),F2124&gt;=Inputs!$C$68),F2124*H2124*Inputs!$C$69,"")</f>
      </c>
    </row>
    <row r="2125" spans="2:10" ht="15" customHeight="1" x14ac:dyDescent="0.2">
      <c r="B2125" s="39">
        <f t="shared" si="16"/>
      </c>
      <c r="C2125" s="40">
        <f>IF(Inputs!$C$60,Inputs!$C$11+(B2125-Inputs!$C$69)/Inputs!$C$70,"")</f>
      </c>
      <c r="D2125" s="15"/>
      <c r="E2125" s="15"/>
      <c r="F2125" s="11">
        <f t="shared" si="17"/>
      </c>
      <c r="G2125" s="22" cm="1">
        <f t="array" ref="G2125">IF(AND(Inputs!$C$60,Inputs!$C$61),INDEX(Utility_Rates!$C$29:$F$52,HOUR(C2125)+Inputs!$C$69,MATCH(INDEX(Utility_Rates!$K$6:$K$17,MONTH(C2125))&amp;IF(WEEKDAY(C2125,Inputs!$C$76)&lt;=Inputs!$C$74," weekday"," weekend"),Utility_Rates!$C$28:$F$28,Inputs!$C$68)),"")</f>
      </c>
      <c r="H2125" s="34"/>
      <c r="I2125" s="42">
        <f>IF(AND(ISNUMBER(D2125),ISNUMBER(H2125)),D2125*H2125*Inputs!$C$69,"")</f>
      </c>
      <c r="J2125" s="42">
        <f>IF(AND(ISNUMBER(F2125),ISNUMBER(H2125),F2125&gt;=Inputs!$C$68),F2125*H2125*Inputs!$C$69,"")</f>
      </c>
    </row>
    <row r="2126" spans="2:10" ht="15" customHeight="1" x14ac:dyDescent="0.2">
      <c r="B2126" s="39">
        <f t="shared" si="16"/>
      </c>
      <c r="C2126" s="40">
        <f>IF(Inputs!$C$60,Inputs!$C$11+(B2126-Inputs!$C$69)/Inputs!$C$70,"")</f>
      </c>
      <c r="D2126" s="15"/>
      <c r="E2126" s="15"/>
      <c r="F2126" s="11">
        <f t="shared" si="17"/>
      </c>
      <c r="G2126" s="22" cm="1">
        <f t="array" ref="G2126">IF(AND(Inputs!$C$60,Inputs!$C$61),INDEX(Utility_Rates!$C$29:$F$52,HOUR(C2126)+Inputs!$C$69,MATCH(INDEX(Utility_Rates!$K$6:$K$17,MONTH(C2126))&amp;IF(WEEKDAY(C2126,Inputs!$C$76)&lt;=Inputs!$C$74," weekday"," weekend"),Utility_Rates!$C$28:$F$28,Inputs!$C$68)),"")</f>
      </c>
      <c r="H2126" s="34"/>
      <c r="I2126" s="42">
        <f>IF(AND(ISNUMBER(D2126),ISNUMBER(H2126)),D2126*H2126*Inputs!$C$69,"")</f>
      </c>
      <c r="J2126" s="42">
        <f>IF(AND(ISNUMBER(F2126),ISNUMBER(H2126),F2126&gt;=Inputs!$C$68),F2126*H2126*Inputs!$C$69,"")</f>
      </c>
    </row>
    <row r="2127" spans="2:10" ht="15" customHeight="1" x14ac:dyDescent="0.2">
      <c r="B2127" s="39">
        <f t="shared" si="16"/>
      </c>
      <c r="C2127" s="40">
        <f>IF(Inputs!$C$60,Inputs!$C$11+(B2127-Inputs!$C$69)/Inputs!$C$70,"")</f>
      </c>
      <c r="D2127" s="15"/>
      <c r="E2127" s="15"/>
      <c r="F2127" s="11">
        <f t="shared" si="17"/>
      </c>
      <c r="G2127" s="22" cm="1">
        <f t="array" ref="G2127">IF(AND(Inputs!$C$60,Inputs!$C$61),INDEX(Utility_Rates!$C$29:$F$52,HOUR(C2127)+Inputs!$C$69,MATCH(INDEX(Utility_Rates!$K$6:$K$17,MONTH(C2127))&amp;IF(WEEKDAY(C2127,Inputs!$C$76)&lt;=Inputs!$C$74," weekday"," weekend"),Utility_Rates!$C$28:$F$28,Inputs!$C$68)),"")</f>
      </c>
      <c r="H2127" s="34"/>
      <c r="I2127" s="42">
        <f>IF(AND(ISNUMBER(D2127),ISNUMBER(H2127)),D2127*H2127*Inputs!$C$69,"")</f>
      </c>
      <c r="J2127" s="42">
        <f>IF(AND(ISNUMBER(F2127),ISNUMBER(H2127),F2127&gt;=Inputs!$C$68),F2127*H2127*Inputs!$C$69,"")</f>
      </c>
    </row>
    <row r="2128" spans="2:10" ht="15" customHeight="1" x14ac:dyDescent="0.2">
      <c r="B2128" s="39">
        <f t="shared" si="16"/>
      </c>
      <c r="C2128" s="40">
        <f>IF(Inputs!$C$60,Inputs!$C$11+(B2128-Inputs!$C$69)/Inputs!$C$70,"")</f>
      </c>
      <c r="D2128" s="15"/>
      <c r="E2128" s="15"/>
      <c r="F2128" s="11">
        <f t="shared" si="17"/>
      </c>
      <c r="G2128" s="22" cm="1">
        <f t="array" ref="G2128">IF(AND(Inputs!$C$60,Inputs!$C$61),INDEX(Utility_Rates!$C$29:$F$52,HOUR(C2128)+Inputs!$C$69,MATCH(INDEX(Utility_Rates!$K$6:$K$17,MONTH(C2128))&amp;IF(WEEKDAY(C2128,Inputs!$C$76)&lt;=Inputs!$C$74," weekday"," weekend"),Utility_Rates!$C$28:$F$28,Inputs!$C$68)),"")</f>
      </c>
      <c r="H2128" s="34"/>
      <c r="I2128" s="42">
        <f>IF(AND(ISNUMBER(D2128),ISNUMBER(H2128)),D2128*H2128*Inputs!$C$69,"")</f>
      </c>
      <c r="J2128" s="42">
        <f>IF(AND(ISNUMBER(F2128),ISNUMBER(H2128),F2128&gt;=Inputs!$C$68),F2128*H2128*Inputs!$C$69,"")</f>
      </c>
    </row>
    <row r="2129" spans="2:10" ht="15" customHeight="1" x14ac:dyDescent="0.2">
      <c r="B2129" s="39">
        <f t="shared" si="16"/>
      </c>
      <c r="C2129" s="40">
        <f>IF(Inputs!$C$60,Inputs!$C$11+(B2129-Inputs!$C$69)/Inputs!$C$70,"")</f>
      </c>
      <c r="D2129" s="15"/>
      <c r="E2129" s="15"/>
      <c r="F2129" s="11">
        <f t="shared" si="17"/>
      </c>
      <c r="G2129" s="22" cm="1">
        <f t="array" ref="G2129">IF(AND(Inputs!$C$60,Inputs!$C$61),INDEX(Utility_Rates!$C$29:$F$52,HOUR(C2129)+Inputs!$C$69,MATCH(INDEX(Utility_Rates!$K$6:$K$17,MONTH(C2129))&amp;IF(WEEKDAY(C2129,Inputs!$C$76)&lt;=Inputs!$C$74," weekday"," weekend"),Utility_Rates!$C$28:$F$28,Inputs!$C$68)),"")</f>
      </c>
      <c r="H2129" s="34"/>
      <c r="I2129" s="42">
        <f>IF(AND(ISNUMBER(D2129),ISNUMBER(H2129)),D2129*H2129*Inputs!$C$69,"")</f>
      </c>
      <c r="J2129" s="42">
        <f>IF(AND(ISNUMBER(F2129),ISNUMBER(H2129),F2129&gt;=Inputs!$C$68),F2129*H2129*Inputs!$C$69,"")</f>
      </c>
    </row>
    <row r="2130" spans="2:10" ht="15" customHeight="1" x14ac:dyDescent="0.2">
      <c r="B2130" s="39">
        <f t="shared" si="16"/>
      </c>
      <c r="C2130" s="40">
        <f>IF(Inputs!$C$60,Inputs!$C$11+(B2130-Inputs!$C$69)/Inputs!$C$70,"")</f>
      </c>
      <c r="D2130" s="15"/>
      <c r="E2130" s="15"/>
      <c r="F2130" s="11">
        <f t="shared" si="17"/>
      </c>
      <c r="G2130" s="22" cm="1">
        <f t="array" ref="G2130">IF(AND(Inputs!$C$60,Inputs!$C$61),INDEX(Utility_Rates!$C$29:$F$52,HOUR(C2130)+Inputs!$C$69,MATCH(INDEX(Utility_Rates!$K$6:$K$17,MONTH(C2130))&amp;IF(WEEKDAY(C2130,Inputs!$C$76)&lt;=Inputs!$C$74," weekday"," weekend"),Utility_Rates!$C$28:$F$28,Inputs!$C$68)),"")</f>
      </c>
      <c r="H2130" s="34"/>
      <c r="I2130" s="42">
        <f>IF(AND(ISNUMBER(D2130),ISNUMBER(H2130)),D2130*H2130*Inputs!$C$69,"")</f>
      </c>
      <c r="J2130" s="42">
        <f>IF(AND(ISNUMBER(F2130),ISNUMBER(H2130),F2130&gt;=Inputs!$C$68),F2130*H2130*Inputs!$C$69,"")</f>
      </c>
    </row>
    <row r="2131" spans="2:10" ht="15" customHeight="1" x14ac:dyDescent="0.2">
      <c r="B2131" s="39">
        <f t="shared" si="16"/>
      </c>
      <c r="C2131" s="40">
        <f>IF(Inputs!$C$60,Inputs!$C$11+(B2131-Inputs!$C$69)/Inputs!$C$70,"")</f>
      </c>
      <c r="D2131" s="15"/>
      <c r="E2131" s="15"/>
      <c r="F2131" s="11">
        <f t="shared" si="17"/>
      </c>
      <c r="G2131" s="22" cm="1">
        <f t="array" ref="G2131">IF(AND(Inputs!$C$60,Inputs!$C$61),INDEX(Utility_Rates!$C$29:$F$52,HOUR(C2131)+Inputs!$C$69,MATCH(INDEX(Utility_Rates!$K$6:$K$17,MONTH(C2131))&amp;IF(WEEKDAY(C2131,Inputs!$C$76)&lt;=Inputs!$C$74," weekday"," weekend"),Utility_Rates!$C$28:$F$28,Inputs!$C$68)),"")</f>
      </c>
      <c r="H2131" s="34"/>
      <c r="I2131" s="42">
        <f>IF(AND(ISNUMBER(D2131),ISNUMBER(H2131)),D2131*H2131*Inputs!$C$69,"")</f>
      </c>
      <c r="J2131" s="42">
        <f>IF(AND(ISNUMBER(F2131),ISNUMBER(H2131),F2131&gt;=Inputs!$C$68),F2131*H2131*Inputs!$C$69,"")</f>
      </c>
    </row>
    <row r="2132" spans="2:10" ht="15" customHeight="1" x14ac:dyDescent="0.2">
      <c r="B2132" s="39">
        <f t="shared" si="16"/>
      </c>
      <c r="C2132" s="40">
        <f>IF(Inputs!$C$60,Inputs!$C$11+(B2132-Inputs!$C$69)/Inputs!$C$70,"")</f>
      </c>
      <c r="D2132" s="15"/>
      <c r="E2132" s="15"/>
      <c r="F2132" s="11">
        <f t="shared" si="17"/>
      </c>
      <c r="G2132" s="22" cm="1">
        <f t="array" ref="G2132">IF(AND(Inputs!$C$60,Inputs!$C$61),INDEX(Utility_Rates!$C$29:$F$52,HOUR(C2132)+Inputs!$C$69,MATCH(INDEX(Utility_Rates!$K$6:$K$17,MONTH(C2132))&amp;IF(WEEKDAY(C2132,Inputs!$C$76)&lt;=Inputs!$C$74," weekday"," weekend"),Utility_Rates!$C$28:$F$28,Inputs!$C$68)),"")</f>
      </c>
      <c r="H2132" s="34"/>
      <c r="I2132" s="42">
        <f>IF(AND(ISNUMBER(D2132),ISNUMBER(H2132)),D2132*H2132*Inputs!$C$69,"")</f>
      </c>
      <c r="J2132" s="42">
        <f>IF(AND(ISNUMBER(F2132),ISNUMBER(H2132),F2132&gt;=Inputs!$C$68),F2132*H2132*Inputs!$C$69,"")</f>
      </c>
    </row>
    <row r="2133" spans="2:10" ht="15" customHeight="1" x14ac:dyDescent="0.2">
      <c r="B2133" s="39">
        <f t="shared" si="16"/>
      </c>
      <c r="C2133" s="40">
        <f>IF(Inputs!$C$60,Inputs!$C$11+(B2133-Inputs!$C$69)/Inputs!$C$70,"")</f>
      </c>
      <c r="D2133" s="15"/>
      <c r="E2133" s="15"/>
      <c r="F2133" s="11">
        <f t="shared" si="17"/>
      </c>
      <c r="G2133" s="22" cm="1">
        <f t="array" ref="G2133">IF(AND(Inputs!$C$60,Inputs!$C$61),INDEX(Utility_Rates!$C$29:$F$52,HOUR(C2133)+Inputs!$C$69,MATCH(INDEX(Utility_Rates!$K$6:$K$17,MONTH(C2133))&amp;IF(WEEKDAY(C2133,Inputs!$C$76)&lt;=Inputs!$C$74," weekday"," weekend"),Utility_Rates!$C$28:$F$28,Inputs!$C$68)),"")</f>
      </c>
      <c r="H2133" s="34"/>
      <c r="I2133" s="42">
        <f>IF(AND(ISNUMBER(D2133),ISNUMBER(H2133)),D2133*H2133*Inputs!$C$69,"")</f>
      </c>
      <c r="J2133" s="42">
        <f>IF(AND(ISNUMBER(F2133),ISNUMBER(H2133),F2133&gt;=Inputs!$C$68),F2133*H2133*Inputs!$C$69,"")</f>
      </c>
    </row>
    <row r="2134" spans="2:10" ht="15" customHeight="1" x14ac:dyDescent="0.2">
      <c r="B2134" s="39">
        <f t="shared" si="16"/>
      </c>
      <c r="C2134" s="40">
        <f>IF(Inputs!$C$60,Inputs!$C$11+(B2134-Inputs!$C$69)/Inputs!$C$70,"")</f>
      </c>
      <c r="D2134" s="15"/>
      <c r="E2134" s="15"/>
      <c r="F2134" s="11">
        <f t="shared" si="17"/>
      </c>
      <c r="G2134" s="22" cm="1">
        <f t="array" ref="G2134">IF(AND(Inputs!$C$60,Inputs!$C$61),INDEX(Utility_Rates!$C$29:$F$52,HOUR(C2134)+Inputs!$C$69,MATCH(INDEX(Utility_Rates!$K$6:$K$17,MONTH(C2134))&amp;IF(WEEKDAY(C2134,Inputs!$C$76)&lt;=Inputs!$C$74," weekday"," weekend"),Utility_Rates!$C$28:$F$28,Inputs!$C$68)),"")</f>
      </c>
      <c r="H2134" s="34"/>
      <c r="I2134" s="42">
        <f>IF(AND(ISNUMBER(D2134),ISNUMBER(H2134)),D2134*H2134*Inputs!$C$69,"")</f>
      </c>
      <c r="J2134" s="42">
        <f>IF(AND(ISNUMBER(F2134),ISNUMBER(H2134),F2134&gt;=Inputs!$C$68),F2134*H2134*Inputs!$C$69,"")</f>
      </c>
    </row>
    <row r="2135" spans="2:10" ht="15" customHeight="1" x14ac:dyDescent="0.2">
      <c r="B2135" s="39">
        <f t="shared" si="16"/>
      </c>
      <c r="C2135" s="40">
        <f>IF(Inputs!$C$60,Inputs!$C$11+(B2135-Inputs!$C$69)/Inputs!$C$70,"")</f>
      </c>
      <c r="D2135" s="15"/>
      <c r="E2135" s="15"/>
      <c r="F2135" s="11">
        <f t="shared" si="17"/>
      </c>
      <c r="G2135" s="22" cm="1">
        <f t="array" ref="G2135">IF(AND(Inputs!$C$60,Inputs!$C$61),INDEX(Utility_Rates!$C$29:$F$52,HOUR(C2135)+Inputs!$C$69,MATCH(INDEX(Utility_Rates!$K$6:$K$17,MONTH(C2135))&amp;IF(WEEKDAY(C2135,Inputs!$C$76)&lt;=Inputs!$C$74," weekday"," weekend"),Utility_Rates!$C$28:$F$28,Inputs!$C$68)),"")</f>
      </c>
      <c r="H2135" s="34"/>
      <c r="I2135" s="42">
        <f>IF(AND(ISNUMBER(D2135),ISNUMBER(H2135)),D2135*H2135*Inputs!$C$69,"")</f>
      </c>
      <c r="J2135" s="42">
        <f>IF(AND(ISNUMBER(F2135),ISNUMBER(H2135),F2135&gt;=Inputs!$C$68),F2135*H2135*Inputs!$C$69,"")</f>
      </c>
    </row>
    <row r="2136" spans="2:10" ht="15" customHeight="1" x14ac:dyDescent="0.2">
      <c r="B2136" s="39">
        <f t="shared" si="16"/>
      </c>
      <c r="C2136" s="40">
        <f>IF(Inputs!$C$60,Inputs!$C$11+(B2136-Inputs!$C$69)/Inputs!$C$70,"")</f>
      </c>
      <c r="D2136" s="15"/>
      <c r="E2136" s="15"/>
      <c r="F2136" s="11">
        <f t="shared" si="17"/>
      </c>
      <c r="G2136" s="22" cm="1">
        <f t="array" ref="G2136">IF(AND(Inputs!$C$60,Inputs!$C$61),INDEX(Utility_Rates!$C$29:$F$52,HOUR(C2136)+Inputs!$C$69,MATCH(INDEX(Utility_Rates!$K$6:$K$17,MONTH(C2136))&amp;IF(WEEKDAY(C2136,Inputs!$C$76)&lt;=Inputs!$C$74," weekday"," weekend"),Utility_Rates!$C$28:$F$28,Inputs!$C$68)),"")</f>
      </c>
      <c r="H2136" s="34"/>
      <c r="I2136" s="42">
        <f>IF(AND(ISNUMBER(D2136),ISNUMBER(H2136)),D2136*H2136*Inputs!$C$69,"")</f>
      </c>
      <c r="J2136" s="42">
        <f>IF(AND(ISNUMBER(F2136),ISNUMBER(H2136),F2136&gt;=Inputs!$C$68),F2136*H2136*Inputs!$C$69,"")</f>
      </c>
    </row>
    <row r="2137" spans="2:10" ht="15" customHeight="1" x14ac:dyDescent="0.2">
      <c r="B2137" s="39">
        <f t="shared" si="16"/>
      </c>
      <c r="C2137" s="40">
        <f>IF(Inputs!$C$60,Inputs!$C$11+(B2137-Inputs!$C$69)/Inputs!$C$70,"")</f>
      </c>
      <c r="D2137" s="15"/>
      <c r="E2137" s="15"/>
      <c r="F2137" s="11">
        <f t="shared" si="17"/>
      </c>
      <c r="G2137" s="22" cm="1">
        <f t="array" ref="G2137">IF(AND(Inputs!$C$60,Inputs!$C$61),INDEX(Utility_Rates!$C$29:$F$52,HOUR(C2137)+Inputs!$C$69,MATCH(INDEX(Utility_Rates!$K$6:$K$17,MONTH(C2137))&amp;IF(WEEKDAY(C2137,Inputs!$C$76)&lt;=Inputs!$C$74," weekday"," weekend"),Utility_Rates!$C$28:$F$28,Inputs!$C$68)),"")</f>
      </c>
      <c r="H2137" s="34"/>
      <c r="I2137" s="42">
        <f>IF(AND(ISNUMBER(D2137),ISNUMBER(H2137)),D2137*H2137*Inputs!$C$69,"")</f>
      </c>
      <c r="J2137" s="42">
        <f>IF(AND(ISNUMBER(F2137),ISNUMBER(H2137),F2137&gt;=Inputs!$C$68),F2137*H2137*Inputs!$C$69,"")</f>
      </c>
    </row>
    <row r="2138" spans="2:10" ht="15" customHeight="1" x14ac:dyDescent="0.2">
      <c r="B2138" s="39">
        <f t="shared" si="16"/>
      </c>
      <c r="C2138" s="40">
        <f>IF(Inputs!$C$60,Inputs!$C$11+(B2138-Inputs!$C$69)/Inputs!$C$70,"")</f>
      </c>
      <c r="D2138" s="15"/>
      <c r="E2138" s="15"/>
      <c r="F2138" s="11">
        <f t="shared" si="17"/>
      </c>
      <c r="G2138" s="22" cm="1">
        <f t="array" ref="G2138">IF(AND(Inputs!$C$60,Inputs!$C$61),INDEX(Utility_Rates!$C$29:$F$52,HOUR(C2138)+Inputs!$C$69,MATCH(INDEX(Utility_Rates!$K$6:$K$17,MONTH(C2138))&amp;IF(WEEKDAY(C2138,Inputs!$C$76)&lt;=Inputs!$C$74," weekday"," weekend"),Utility_Rates!$C$28:$F$28,Inputs!$C$68)),"")</f>
      </c>
      <c r="H2138" s="34"/>
      <c r="I2138" s="42">
        <f>IF(AND(ISNUMBER(D2138),ISNUMBER(H2138)),D2138*H2138*Inputs!$C$69,"")</f>
      </c>
      <c r="J2138" s="42">
        <f>IF(AND(ISNUMBER(F2138),ISNUMBER(H2138),F2138&gt;=Inputs!$C$68),F2138*H2138*Inputs!$C$69,"")</f>
      </c>
    </row>
    <row r="2139" spans="2:10" ht="15" customHeight="1" x14ac:dyDescent="0.2">
      <c r="B2139" s="39">
        <f t="shared" si="16"/>
      </c>
      <c r="C2139" s="40">
        <f>IF(Inputs!$C$60,Inputs!$C$11+(B2139-Inputs!$C$69)/Inputs!$C$70,"")</f>
      </c>
      <c r="D2139" s="15"/>
      <c r="E2139" s="15"/>
      <c r="F2139" s="11">
        <f t="shared" si="17"/>
      </c>
      <c r="G2139" s="22" cm="1">
        <f t="array" ref="G2139">IF(AND(Inputs!$C$60,Inputs!$C$61),INDEX(Utility_Rates!$C$29:$F$52,HOUR(C2139)+Inputs!$C$69,MATCH(INDEX(Utility_Rates!$K$6:$K$17,MONTH(C2139))&amp;IF(WEEKDAY(C2139,Inputs!$C$76)&lt;=Inputs!$C$74," weekday"," weekend"),Utility_Rates!$C$28:$F$28,Inputs!$C$68)),"")</f>
      </c>
      <c r="H2139" s="34"/>
      <c r="I2139" s="42">
        <f>IF(AND(ISNUMBER(D2139),ISNUMBER(H2139)),D2139*H2139*Inputs!$C$69,"")</f>
      </c>
      <c r="J2139" s="42">
        <f>IF(AND(ISNUMBER(F2139),ISNUMBER(H2139),F2139&gt;=Inputs!$C$68),F2139*H2139*Inputs!$C$69,"")</f>
      </c>
    </row>
    <row r="2140" spans="2:10" ht="15" customHeight="1" x14ac:dyDescent="0.2">
      <c r="B2140" s="39">
        <f t="shared" si="16"/>
      </c>
      <c r="C2140" s="40">
        <f>IF(Inputs!$C$60,Inputs!$C$11+(B2140-Inputs!$C$69)/Inputs!$C$70,"")</f>
      </c>
      <c r="D2140" s="15"/>
      <c r="E2140" s="15"/>
      <c r="F2140" s="11">
        <f t="shared" si="17"/>
      </c>
      <c r="G2140" s="22" cm="1">
        <f t="array" ref="G2140">IF(AND(Inputs!$C$60,Inputs!$C$61),INDEX(Utility_Rates!$C$29:$F$52,HOUR(C2140)+Inputs!$C$69,MATCH(INDEX(Utility_Rates!$K$6:$K$17,MONTH(C2140))&amp;IF(WEEKDAY(C2140,Inputs!$C$76)&lt;=Inputs!$C$74," weekday"," weekend"),Utility_Rates!$C$28:$F$28,Inputs!$C$68)),"")</f>
      </c>
      <c r="H2140" s="34"/>
      <c r="I2140" s="42">
        <f>IF(AND(ISNUMBER(D2140),ISNUMBER(H2140)),D2140*H2140*Inputs!$C$69,"")</f>
      </c>
      <c r="J2140" s="42">
        <f>IF(AND(ISNUMBER(F2140),ISNUMBER(H2140),F2140&gt;=Inputs!$C$68),F2140*H2140*Inputs!$C$69,"")</f>
      </c>
    </row>
    <row r="2141" spans="2:10" ht="15" customHeight="1" x14ac:dyDescent="0.2">
      <c r="B2141" s="39">
        <f t="shared" si="16"/>
      </c>
      <c r="C2141" s="40">
        <f>IF(Inputs!$C$60,Inputs!$C$11+(B2141-Inputs!$C$69)/Inputs!$C$70,"")</f>
      </c>
      <c r="D2141" s="15"/>
      <c r="E2141" s="15"/>
      <c r="F2141" s="11">
        <f t="shared" si="17"/>
      </c>
      <c r="G2141" s="22" cm="1">
        <f t="array" ref="G2141">IF(AND(Inputs!$C$60,Inputs!$C$61),INDEX(Utility_Rates!$C$29:$F$52,HOUR(C2141)+Inputs!$C$69,MATCH(INDEX(Utility_Rates!$K$6:$K$17,MONTH(C2141))&amp;IF(WEEKDAY(C2141,Inputs!$C$76)&lt;=Inputs!$C$74," weekday"," weekend"),Utility_Rates!$C$28:$F$28,Inputs!$C$68)),"")</f>
      </c>
      <c r="H2141" s="34"/>
      <c r="I2141" s="42">
        <f>IF(AND(ISNUMBER(D2141),ISNUMBER(H2141)),D2141*H2141*Inputs!$C$69,"")</f>
      </c>
      <c r="J2141" s="42">
        <f>IF(AND(ISNUMBER(F2141),ISNUMBER(H2141),F2141&gt;=Inputs!$C$68),F2141*H2141*Inputs!$C$69,"")</f>
      </c>
    </row>
    <row r="2142" spans="2:10" ht="15" customHeight="1" x14ac:dyDescent="0.2">
      <c r="B2142" s="39">
        <f t="shared" si="16"/>
      </c>
      <c r="C2142" s="40">
        <f>IF(Inputs!$C$60,Inputs!$C$11+(B2142-Inputs!$C$69)/Inputs!$C$70,"")</f>
      </c>
      <c r="D2142" s="15"/>
      <c r="E2142" s="15"/>
      <c r="F2142" s="11">
        <f t="shared" si="17"/>
      </c>
      <c r="G2142" s="22" cm="1">
        <f t="array" ref="G2142">IF(AND(Inputs!$C$60,Inputs!$C$61),INDEX(Utility_Rates!$C$29:$F$52,HOUR(C2142)+Inputs!$C$69,MATCH(INDEX(Utility_Rates!$K$6:$K$17,MONTH(C2142))&amp;IF(WEEKDAY(C2142,Inputs!$C$76)&lt;=Inputs!$C$74," weekday"," weekend"),Utility_Rates!$C$28:$F$28,Inputs!$C$68)),"")</f>
      </c>
      <c r="H2142" s="34"/>
      <c r="I2142" s="42">
        <f>IF(AND(ISNUMBER(D2142),ISNUMBER(H2142)),D2142*H2142*Inputs!$C$69,"")</f>
      </c>
      <c r="J2142" s="42">
        <f>IF(AND(ISNUMBER(F2142),ISNUMBER(H2142),F2142&gt;=Inputs!$C$68),F2142*H2142*Inputs!$C$69,"")</f>
      </c>
    </row>
    <row r="2143" spans="2:10" ht="15" customHeight="1" x14ac:dyDescent="0.2">
      <c r="B2143" s="39">
        <f t="shared" si="16"/>
      </c>
      <c r="C2143" s="40">
        <f>IF(Inputs!$C$60,Inputs!$C$11+(B2143-Inputs!$C$69)/Inputs!$C$70,"")</f>
      </c>
      <c r="D2143" s="15"/>
      <c r="E2143" s="15"/>
      <c r="F2143" s="11">
        <f t="shared" si="17"/>
      </c>
      <c r="G2143" s="22" cm="1">
        <f t="array" ref="G2143">IF(AND(Inputs!$C$60,Inputs!$C$61),INDEX(Utility_Rates!$C$29:$F$52,HOUR(C2143)+Inputs!$C$69,MATCH(INDEX(Utility_Rates!$K$6:$K$17,MONTH(C2143))&amp;IF(WEEKDAY(C2143,Inputs!$C$76)&lt;=Inputs!$C$74," weekday"," weekend"),Utility_Rates!$C$28:$F$28,Inputs!$C$68)),"")</f>
      </c>
      <c r="H2143" s="34"/>
      <c r="I2143" s="42">
        <f>IF(AND(ISNUMBER(D2143),ISNUMBER(H2143)),D2143*H2143*Inputs!$C$69,"")</f>
      </c>
      <c r="J2143" s="42">
        <f>IF(AND(ISNUMBER(F2143),ISNUMBER(H2143),F2143&gt;=Inputs!$C$68),F2143*H2143*Inputs!$C$69,"")</f>
      </c>
    </row>
    <row r="2144" spans="2:10" ht="15" customHeight="1" x14ac:dyDescent="0.2">
      <c r="B2144" s="39">
        <f t="shared" si="16"/>
      </c>
      <c r="C2144" s="40">
        <f>IF(Inputs!$C$60,Inputs!$C$11+(B2144-Inputs!$C$69)/Inputs!$C$70,"")</f>
      </c>
      <c r="D2144" s="15"/>
      <c r="E2144" s="15"/>
      <c r="F2144" s="11">
        <f t="shared" si="17"/>
      </c>
      <c r="G2144" s="22" cm="1">
        <f t="array" ref="G2144">IF(AND(Inputs!$C$60,Inputs!$C$61),INDEX(Utility_Rates!$C$29:$F$52,HOUR(C2144)+Inputs!$C$69,MATCH(INDEX(Utility_Rates!$K$6:$K$17,MONTH(C2144))&amp;IF(WEEKDAY(C2144,Inputs!$C$76)&lt;=Inputs!$C$74," weekday"," weekend"),Utility_Rates!$C$28:$F$28,Inputs!$C$68)),"")</f>
      </c>
      <c r="H2144" s="34"/>
      <c r="I2144" s="42">
        <f>IF(AND(ISNUMBER(D2144),ISNUMBER(H2144)),D2144*H2144*Inputs!$C$69,"")</f>
      </c>
      <c r="J2144" s="42">
        <f>IF(AND(ISNUMBER(F2144),ISNUMBER(H2144),F2144&gt;=Inputs!$C$68),F2144*H2144*Inputs!$C$69,"")</f>
      </c>
    </row>
    <row r="2145" spans="2:10" ht="15" customHeight="1" x14ac:dyDescent="0.2">
      <c r="B2145" s="39">
        <f t="shared" si="16"/>
      </c>
      <c r="C2145" s="40">
        <f>IF(Inputs!$C$60,Inputs!$C$11+(B2145-Inputs!$C$69)/Inputs!$C$70,"")</f>
      </c>
      <c r="D2145" s="15"/>
      <c r="E2145" s="15"/>
      <c r="F2145" s="11">
        <f t="shared" si="17"/>
      </c>
      <c r="G2145" s="22" cm="1">
        <f t="array" ref="G2145">IF(AND(Inputs!$C$60,Inputs!$C$61),INDEX(Utility_Rates!$C$29:$F$52,HOUR(C2145)+Inputs!$C$69,MATCH(INDEX(Utility_Rates!$K$6:$K$17,MONTH(C2145))&amp;IF(WEEKDAY(C2145,Inputs!$C$76)&lt;=Inputs!$C$74," weekday"," weekend"),Utility_Rates!$C$28:$F$28,Inputs!$C$68)),"")</f>
      </c>
      <c r="H2145" s="34"/>
      <c r="I2145" s="42">
        <f>IF(AND(ISNUMBER(D2145),ISNUMBER(H2145)),D2145*H2145*Inputs!$C$69,"")</f>
      </c>
      <c r="J2145" s="42">
        <f>IF(AND(ISNUMBER(F2145),ISNUMBER(H2145),F2145&gt;=Inputs!$C$68),F2145*H2145*Inputs!$C$69,"")</f>
      </c>
    </row>
    <row r="2146" spans="2:10" ht="15" customHeight="1" x14ac:dyDescent="0.2">
      <c r="B2146" s="39">
        <f t="shared" si="16"/>
      </c>
      <c r="C2146" s="40">
        <f>IF(Inputs!$C$60,Inputs!$C$11+(B2146-Inputs!$C$69)/Inputs!$C$70,"")</f>
      </c>
      <c r="D2146" s="15"/>
      <c r="E2146" s="15"/>
      <c r="F2146" s="11">
        <f t="shared" si="17"/>
      </c>
      <c r="G2146" s="22" cm="1">
        <f t="array" ref="G2146">IF(AND(Inputs!$C$60,Inputs!$C$61),INDEX(Utility_Rates!$C$29:$F$52,HOUR(C2146)+Inputs!$C$69,MATCH(INDEX(Utility_Rates!$K$6:$K$17,MONTH(C2146))&amp;IF(WEEKDAY(C2146,Inputs!$C$76)&lt;=Inputs!$C$74," weekday"," weekend"),Utility_Rates!$C$28:$F$28,Inputs!$C$68)),"")</f>
      </c>
      <c r="H2146" s="34"/>
      <c r="I2146" s="42">
        <f>IF(AND(ISNUMBER(D2146),ISNUMBER(H2146)),D2146*H2146*Inputs!$C$69,"")</f>
      </c>
      <c r="J2146" s="42">
        <f>IF(AND(ISNUMBER(F2146),ISNUMBER(H2146),F2146&gt;=Inputs!$C$68),F2146*H2146*Inputs!$C$69,"")</f>
      </c>
    </row>
    <row r="2147" spans="2:10" ht="15" customHeight="1" x14ac:dyDescent="0.2">
      <c r="B2147" s="39">
        <f t="shared" si="16"/>
      </c>
      <c r="C2147" s="40">
        <f>IF(Inputs!$C$60,Inputs!$C$11+(B2147-Inputs!$C$69)/Inputs!$C$70,"")</f>
      </c>
      <c r="D2147" s="15"/>
      <c r="E2147" s="15"/>
      <c r="F2147" s="11">
        <f t="shared" si="17"/>
      </c>
      <c r="G2147" s="22" cm="1">
        <f t="array" ref="G2147">IF(AND(Inputs!$C$60,Inputs!$C$61),INDEX(Utility_Rates!$C$29:$F$52,HOUR(C2147)+Inputs!$C$69,MATCH(INDEX(Utility_Rates!$K$6:$K$17,MONTH(C2147))&amp;IF(WEEKDAY(C2147,Inputs!$C$76)&lt;=Inputs!$C$74," weekday"," weekend"),Utility_Rates!$C$28:$F$28,Inputs!$C$68)),"")</f>
      </c>
      <c r="H2147" s="34"/>
      <c r="I2147" s="42">
        <f>IF(AND(ISNUMBER(D2147),ISNUMBER(H2147)),D2147*H2147*Inputs!$C$69,"")</f>
      </c>
      <c r="J2147" s="42">
        <f>IF(AND(ISNUMBER(F2147),ISNUMBER(H2147),F2147&gt;=Inputs!$C$68),F2147*H2147*Inputs!$C$69,"")</f>
      </c>
    </row>
    <row r="2148" spans="2:10" ht="15" customHeight="1" x14ac:dyDescent="0.2">
      <c r="B2148" s="39">
        <f t="shared" si="16"/>
      </c>
      <c r="C2148" s="40">
        <f>IF(Inputs!$C$60,Inputs!$C$11+(B2148-Inputs!$C$69)/Inputs!$C$70,"")</f>
      </c>
      <c r="D2148" s="15"/>
      <c r="E2148" s="15"/>
      <c r="F2148" s="11">
        <f t="shared" si="17"/>
      </c>
      <c r="G2148" s="22" cm="1">
        <f t="array" ref="G2148">IF(AND(Inputs!$C$60,Inputs!$C$61),INDEX(Utility_Rates!$C$29:$F$52,HOUR(C2148)+Inputs!$C$69,MATCH(INDEX(Utility_Rates!$K$6:$K$17,MONTH(C2148))&amp;IF(WEEKDAY(C2148,Inputs!$C$76)&lt;=Inputs!$C$74," weekday"," weekend"),Utility_Rates!$C$28:$F$28,Inputs!$C$68)),"")</f>
      </c>
      <c r="H2148" s="34"/>
      <c r="I2148" s="42">
        <f>IF(AND(ISNUMBER(D2148),ISNUMBER(H2148)),D2148*H2148*Inputs!$C$69,"")</f>
      </c>
      <c r="J2148" s="42">
        <f>IF(AND(ISNUMBER(F2148),ISNUMBER(H2148),F2148&gt;=Inputs!$C$68),F2148*H2148*Inputs!$C$69,"")</f>
      </c>
    </row>
    <row r="2149" spans="2:10" ht="15" customHeight="1" x14ac:dyDescent="0.2">
      <c r="B2149" s="39">
        <f t="shared" si="16"/>
      </c>
      <c r="C2149" s="40">
        <f>IF(Inputs!$C$60,Inputs!$C$11+(B2149-Inputs!$C$69)/Inputs!$C$70,"")</f>
      </c>
      <c r="D2149" s="15"/>
      <c r="E2149" s="15"/>
      <c r="F2149" s="11">
        <f t="shared" si="17"/>
      </c>
      <c r="G2149" s="22" cm="1">
        <f t="array" ref="G2149">IF(AND(Inputs!$C$60,Inputs!$C$61),INDEX(Utility_Rates!$C$29:$F$52,HOUR(C2149)+Inputs!$C$69,MATCH(INDEX(Utility_Rates!$K$6:$K$17,MONTH(C2149))&amp;IF(WEEKDAY(C2149,Inputs!$C$76)&lt;=Inputs!$C$74," weekday"," weekend"),Utility_Rates!$C$28:$F$28,Inputs!$C$68)),"")</f>
      </c>
      <c r="H2149" s="34"/>
      <c r="I2149" s="42">
        <f>IF(AND(ISNUMBER(D2149),ISNUMBER(H2149)),D2149*H2149*Inputs!$C$69,"")</f>
      </c>
      <c r="J2149" s="42">
        <f>IF(AND(ISNUMBER(F2149),ISNUMBER(H2149),F2149&gt;=Inputs!$C$68),F2149*H2149*Inputs!$C$69,"")</f>
      </c>
    </row>
    <row r="2150" spans="2:10" ht="15" customHeight="1" x14ac:dyDescent="0.2">
      <c r="B2150" s="39">
        <f t="shared" si="16"/>
      </c>
      <c r="C2150" s="40">
        <f>IF(Inputs!$C$60,Inputs!$C$11+(B2150-Inputs!$C$69)/Inputs!$C$70,"")</f>
      </c>
      <c r="D2150" s="15"/>
      <c r="E2150" s="15"/>
      <c r="F2150" s="11">
        <f t="shared" si="17"/>
      </c>
      <c r="G2150" s="22" cm="1">
        <f t="array" ref="G2150">IF(AND(Inputs!$C$60,Inputs!$C$61),INDEX(Utility_Rates!$C$29:$F$52,HOUR(C2150)+Inputs!$C$69,MATCH(INDEX(Utility_Rates!$K$6:$K$17,MONTH(C2150))&amp;IF(WEEKDAY(C2150,Inputs!$C$76)&lt;=Inputs!$C$74," weekday"," weekend"),Utility_Rates!$C$28:$F$28,Inputs!$C$68)),"")</f>
      </c>
      <c r="H2150" s="34"/>
      <c r="I2150" s="42">
        <f>IF(AND(ISNUMBER(D2150),ISNUMBER(H2150)),D2150*H2150*Inputs!$C$69,"")</f>
      </c>
      <c r="J2150" s="42">
        <f>IF(AND(ISNUMBER(F2150),ISNUMBER(H2150),F2150&gt;=Inputs!$C$68),F2150*H2150*Inputs!$C$69,"")</f>
      </c>
    </row>
    <row r="2151" spans="2:10" ht="15" customHeight="1" x14ac:dyDescent="0.2">
      <c r="B2151" s="39">
        <f t="shared" si="16"/>
      </c>
      <c r="C2151" s="40">
        <f>IF(Inputs!$C$60,Inputs!$C$11+(B2151-Inputs!$C$69)/Inputs!$C$70,"")</f>
      </c>
      <c r="D2151" s="15"/>
      <c r="E2151" s="15"/>
      <c r="F2151" s="11">
        <f t="shared" si="17"/>
      </c>
      <c r="G2151" s="22" cm="1">
        <f t="array" ref="G2151">IF(AND(Inputs!$C$60,Inputs!$C$61),INDEX(Utility_Rates!$C$29:$F$52,HOUR(C2151)+Inputs!$C$69,MATCH(INDEX(Utility_Rates!$K$6:$K$17,MONTH(C2151))&amp;IF(WEEKDAY(C2151,Inputs!$C$76)&lt;=Inputs!$C$74," weekday"," weekend"),Utility_Rates!$C$28:$F$28,Inputs!$C$68)),"")</f>
      </c>
      <c r="H2151" s="34"/>
      <c r="I2151" s="42">
        <f>IF(AND(ISNUMBER(D2151),ISNUMBER(H2151)),D2151*H2151*Inputs!$C$69,"")</f>
      </c>
      <c r="J2151" s="42">
        <f>IF(AND(ISNUMBER(F2151),ISNUMBER(H2151),F2151&gt;=Inputs!$C$68),F2151*H2151*Inputs!$C$69,"")</f>
      </c>
    </row>
    <row r="2152" spans="2:10" ht="15" customHeight="1" x14ac:dyDescent="0.2">
      <c r="B2152" s="39">
        <f t="shared" si="16"/>
      </c>
      <c r="C2152" s="40">
        <f>IF(Inputs!$C$60,Inputs!$C$11+(B2152-Inputs!$C$69)/Inputs!$C$70,"")</f>
      </c>
      <c r="D2152" s="15"/>
      <c r="E2152" s="15"/>
      <c r="F2152" s="11">
        <f t="shared" si="17"/>
      </c>
      <c r="G2152" s="22" cm="1">
        <f t="array" ref="G2152">IF(AND(Inputs!$C$60,Inputs!$C$61),INDEX(Utility_Rates!$C$29:$F$52,HOUR(C2152)+Inputs!$C$69,MATCH(INDEX(Utility_Rates!$K$6:$K$17,MONTH(C2152))&amp;IF(WEEKDAY(C2152,Inputs!$C$76)&lt;=Inputs!$C$74," weekday"," weekend"),Utility_Rates!$C$28:$F$28,Inputs!$C$68)),"")</f>
      </c>
      <c r="H2152" s="34"/>
      <c r="I2152" s="42">
        <f>IF(AND(ISNUMBER(D2152),ISNUMBER(H2152)),D2152*H2152*Inputs!$C$69,"")</f>
      </c>
      <c r="J2152" s="42">
        <f>IF(AND(ISNUMBER(F2152),ISNUMBER(H2152),F2152&gt;=Inputs!$C$68),F2152*H2152*Inputs!$C$69,"")</f>
      </c>
    </row>
    <row r="2153" spans="2:10" ht="15" customHeight="1" x14ac:dyDescent="0.2">
      <c r="B2153" s="39">
        <f t="shared" si="16"/>
      </c>
      <c r="C2153" s="40">
        <f>IF(Inputs!$C$60,Inputs!$C$11+(B2153-Inputs!$C$69)/Inputs!$C$70,"")</f>
      </c>
      <c r="D2153" s="15"/>
      <c r="E2153" s="15"/>
      <c r="F2153" s="11">
        <f t="shared" si="17"/>
      </c>
      <c r="G2153" s="22" cm="1">
        <f t="array" ref="G2153">IF(AND(Inputs!$C$60,Inputs!$C$61),INDEX(Utility_Rates!$C$29:$F$52,HOUR(C2153)+Inputs!$C$69,MATCH(INDEX(Utility_Rates!$K$6:$K$17,MONTH(C2153))&amp;IF(WEEKDAY(C2153,Inputs!$C$76)&lt;=Inputs!$C$74," weekday"," weekend"),Utility_Rates!$C$28:$F$28,Inputs!$C$68)),"")</f>
      </c>
      <c r="H2153" s="34"/>
      <c r="I2153" s="42">
        <f>IF(AND(ISNUMBER(D2153),ISNUMBER(H2153)),D2153*H2153*Inputs!$C$69,"")</f>
      </c>
      <c r="J2153" s="42">
        <f>IF(AND(ISNUMBER(F2153),ISNUMBER(H2153),F2153&gt;=Inputs!$C$68),F2153*H2153*Inputs!$C$69,"")</f>
      </c>
    </row>
    <row r="2154" spans="2:10" ht="15" customHeight="1" x14ac:dyDescent="0.2">
      <c r="B2154" s="39">
        <f t="shared" si="16"/>
      </c>
      <c r="C2154" s="40">
        <f>IF(Inputs!$C$60,Inputs!$C$11+(B2154-Inputs!$C$69)/Inputs!$C$70,"")</f>
      </c>
      <c r="D2154" s="15"/>
      <c r="E2154" s="15"/>
      <c r="F2154" s="11">
        <f t="shared" si="17"/>
      </c>
      <c r="G2154" s="22" cm="1">
        <f t="array" ref="G2154">IF(AND(Inputs!$C$60,Inputs!$C$61),INDEX(Utility_Rates!$C$29:$F$52,HOUR(C2154)+Inputs!$C$69,MATCH(INDEX(Utility_Rates!$K$6:$K$17,MONTH(C2154))&amp;IF(WEEKDAY(C2154,Inputs!$C$76)&lt;=Inputs!$C$74," weekday"," weekend"),Utility_Rates!$C$28:$F$28,Inputs!$C$68)),"")</f>
      </c>
      <c r="H2154" s="34"/>
      <c r="I2154" s="42">
        <f>IF(AND(ISNUMBER(D2154),ISNUMBER(H2154)),D2154*H2154*Inputs!$C$69,"")</f>
      </c>
      <c r="J2154" s="42">
        <f>IF(AND(ISNUMBER(F2154),ISNUMBER(H2154),F2154&gt;=Inputs!$C$68),F2154*H2154*Inputs!$C$69,"")</f>
      </c>
    </row>
    <row r="2155" spans="2:10" ht="15" customHeight="1" x14ac:dyDescent="0.2">
      <c r="B2155" s="39">
        <f t="shared" si="16"/>
      </c>
      <c r="C2155" s="40">
        <f>IF(Inputs!$C$60,Inputs!$C$11+(B2155-Inputs!$C$69)/Inputs!$C$70,"")</f>
      </c>
      <c r="D2155" s="15"/>
      <c r="E2155" s="15"/>
      <c r="F2155" s="11">
        <f t="shared" si="17"/>
      </c>
      <c r="G2155" s="22" cm="1">
        <f t="array" ref="G2155">IF(AND(Inputs!$C$60,Inputs!$C$61),INDEX(Utility_Rates!$C$29:$F$52,HOUR(C2155)+Inputs!$C$69,MATCH(INDEX(Utility_Rates!$K$6:$K$17,MONTH(C2155))&amp;IF(WEEKDAY(C2155,Inputs!$C$76)&lt;=Inputs!$C$74," weekday"," weekend"),Utility_Rates!$C$28:$F$28,Inputs!$C$68)),"")</f>
      </c>
      <c r="H2155" s="34"/>
      <c r="I2155" s="42">
        <f>IF(AND(ISNUMBER(D2155),ISNUMBER(H2155)),D2155*H2155*Inputs!$C$69,"")</f>
      </c>
      <c r="J2155" s="42">
        <f>IF(AND(ISNUMBER(F2155),ISNUMBER(H2155),F2155&gt;=Inputs!$C$68),F2155*H2155*Inputs!$C$69,"")</f>
      </c>
    </row>
    <row r="2156" spans="2:10" ht="15" customHeight="1" x14ac:dyDescent="0.2">
      <c r="B2156" s="39">
        <f t="shared" si="16"/>
      </c>
      <c r="C2156" s="40">
        <f>IF(Inputs!$C$60,Inputs!$C$11+(B2156-Inputs!$C$69)/Inputs!$C$70,"")</f>
      </c>
      <c r="D2156" s="15"/>
      <c r="E2156" s="15"/>
      <c r="F2156" s="11">
        <f t="shared" si="17"/>
      </c>
      <c r="G2156" s="22" cm="1">
        <f t="array" ref="G2156">IF(AND(Inputs!$C$60,Inputs!$C$61),INDEX(Utility_Rates!$C$29:$F$52,HOUR(C2156)+Inputs!$C$69,MATCH(INDEX(Utility_Rates!$K$6:$K$17,MONTH(C2156))&amp;IF(WEEKDAY(C2156,Inputs!$C$76)&lt;=Inputs!$C$74," weekday"," weekend"),Utility_Rates!$C$28:$F$28,Inputs!$C$68)),"")</f>
      </c>
      <c r="H2156" s="34"/>
      <c r="I2156" s="42">
        <f>IF(AND(ISNUMBER(D2156),ISNUMBER(H2156)),D2156*H2156*Inputs!$C$69,"")</f>
      </c>
      <c r="J2156" s="42">
        <f>IF(AND(ISNUMBER(F2156),ISNUMBER(H2156),F2156&gt;=Inputs!$C$68),F2156*H2156*Inputs!$C$69,"")</f>
      </c>
    </row>
    <row r="2157" spans="2:10" ht="15" customHeight="1" x14ac:dyDescent="0.2">
      <c r="B2157" s="39">
        <f t="shared" si="16"/>
      </c>
      <c r="C2157" s="40">
        <f>IF(Inputs!$C$60,Inputs!$C$11+(B2157-Inputs!$C$69)/Inputs!$C$70,"")</f>
      </c>
      <c r="D2157" s="15"/>
      <c r="E2157" s="15"/>
      <c r="F2157" s="11">
        <f t="shared" si="17"/>
      </c>
      <c r="G2157" s="22" cm="1">
        <f t="array" ref="G2157">IF(AND(Inputs!$C$60,Inputs!$C$61),INDEX(Utility_Rates!$C$29:$F$52,HOUR(C2157)+Inputs!$C$69,MATCH(INDEX(Utility_Rates!$K$6:$K$17,MONTH(C2157))&amp;IF(WEEKDAY(C2157,Inputs!$C$76)&lt;=Inputs!$C$74," weekday"," weekend"),Utility_Rates!$C$28:$F$28,Inputs!$C$68)),"")</f>
      </c>
      <c r="H2157" s="34"/>
      <c r="I2157" s="42">
        <f>IF(AND(ISNUMBER(D2157),ISNUMBER(H2157)),D2157*H2157*Inputs!$C$69,"")</f>
      </c>
      <c r="J2157" s="42">
        <f>IF(AND(ISNUMBER(F2157),ISNUMBER(H2157),F2157&gt;=Inputs!$C$68),F2157*H2157*Inputs!$C$69,"")</f>
      </c>
    </row>
    <row r="2158" spans="2:10" ht="15" customHeight="1" x14ac:dyDescent="0.2">
      <c r="B2158" s="39">
        <f t="shared" si="16"/>
      </c>
      <c r="C2158" s="40">
        <f>IF(Inputs!$C$60,Inputs!$C$11+(B2158-Inputs!$C$69)/Inputs!$C$70,"")</f>
      </c>
      <c r="D2158" s="15"/>
      <c r="E2158" s="15"/>
      <c r="F2158" s="11">
        <f t="shared" si="17"/>
      </c>
      <c r="G2158" s="22" cm="1">
        <f t="array" ref="G2158">IF(AND(Inputs!$C$60,Inputs!$C$61),INDEX(Utility_Rates!$C$29:$F$52,HOUR(C2158)+Inputs!$C$69,MATCH(INDEX(Utility_Rates!$K$6:$K$17,MONTH(C2158))&amp;IF(WEEKDAY(C2158,Inputs!$C$76)&lt;=Inputs!$C$74," weekday"," weekend"),Utility_Rates!$C$28:$F$28,Inputs!$C$68)),"")</f>
      </c>
      <c r="H2158" s="34"/>
      <c r="I2158" s="42">
        <f>IF(AND(ISNUMBER(D2158),ISNUMBER(H2158)),D2158*H2158*Inputs!$C$69,"")</f>
      </c>
      <c r="J2158" s="42">
        <f>IF(AND(ISNUMBER(F2158),ISNUMBER(H2158),F2158&gt;=Inputs!$C$68),F2158*H2158*Inputs!$C$69,"")</f>
      </c>
    </row>
    <row r="2159" spans="2:10" ht="15" customHeight="1" x14ac:dyDescent="0.2">
      <c r="B2159" s="39">
        <f t="shared" si="16"/>
      </c>
      <c r="C2159" s="40">
        <f>IF(Inputs!$C$60,Inputs!$C$11+(B2159-Inputs!$C$69)/Inputs!$C$70,"")</f>
      </c>
      <c r="D2159" s="15"/>
      <c r="E2159" s="15"/>
      <c r="F2159" s="11">
        <f t="shared" si="17"/>
      </c>
      <c r="G2159" s="22" cm="1">
        <f t="array" ref="G2159">IF(AND(Inputs!$C$60,Inputs!$C$61),INDEX(Utility_Rates!$C$29:$F$52,HOUR(C2159)+Inputs!$C$69,MATCH(INDEX(Utility_Rates!$K$6:$K$17,MONTH(C2159))&amp;IF(WEEKDAY(C2159,Inputs!$C$76)&lt;=Inputs!$C$74," weekday"," weekend"),Utility_Rates!$C$28:$F$28,Inputs!$C$68)),"")</f>
      </c>
      <c r="H2159" s="34"/>
      <c r="I2159" s="42">
        <f>IF(AND(ISNUMBER(D2159),ISNUMBER(H2159)),D2159*H2159*Inputs!$C$69,"")</f>
      </c>
      <c r="J2159" s="42">
        <f>IF(AND(ISNUMBER(F2159),ISNUMBER(H2159),F2159&gt;=Inputs!$C$68),F2159*H2159*Inputs!$C$69,"")</f>
      </c>
    </row>
    <row r="2160" spans="2:10" ht="15" customHeight="1" x14ac:dyDescent="0.2">
      <c r="B2160" s="39">
        <f t="shared" si="16"/>
      </c>
      <c r="C2160" s="40">
        <f>IF(Inputs!$C$60,Inputs!$C$11+(B2160-Inputs!$C$69)/Inputs!$C$70,"")</f>
      </c>
      <c r="D2160" s="15"/>
      <c r="E2160" s="15"/>
      <c r="F2160" s="11">
        <f t="shared" si="17"/>
      </c>
      <c r="G2160" s="22" cm="1">
        <f t="array" ref="G2160">IF(AND(Inputs!$C$60,Inputs!$C$61),INDEX(Utility_Rates!$C$29:$F$52,HOUR(C2160)+Inputs!$C$69,MATCH(INDEX(Utility_Rates!$K$6:$K$17,MONTH(C2160))&amp;IF(WEEKDAY(C2160,Inputs!$C$76)&lt;=Inputs!$C$74," weekday"," weekend"),Utility_Rates!$C$28:$F$28,Inputs!$C$68)),"")</f>
      </c>
      <c r="H2160" s="34"/>
      <c r="I2160" s="42">
        <f>IF(AND(ISNUMBER(D2160),ISNUMBER(H2160)),D2160*H2160*Inputs!$C$69,"")</f>
      </c>
      <c r="J2160" s="42">
        <f>IF(AND(ISNUMBER(F2160),ISNUMBER(H2160),F2160&gt;=Inputs!$C$68),F2160*H2160*Inputs!$C$69,"")</f>
      </c>
    </row>
    <row r="2161" spans="2:10" ht="15" customHeight="1" x14ac:dyDescent="0.2">
      <c r="B2161" s="39">
        <f t="shared" si="16"/>
      </c>
      <c r="C2161" s="40">
        <f>IF(Inputs!$C$60,Inputs!$C$11+(B2161-Inputs!$C$69)/Inputs!$C$70,"")</f>
      </c>
      <c r="D2161" s="15"/>
      <c r="E2161" s="15"/>
      <c r="F2161" s="11">
        <f t="shared" si="17"/>
      </c>
      <c r="G2161" s="22" cm="1">
        <f t="array" ref="G2161">IF(AND(Inputs!$C$60,Inputs!$C$61),INDEX(Utility_Rates!$C$29:$F$52,HOUR(C2161)+Inputs!$C$69,MATCH(INDEX(Utility_Rates!$K$6:$K$17,MONTH(C2161))&amp;IF(WEEKDAY(C2161,Inputs!$C$76)&lt;=Inputs!$C$74," weekday"," weekend"),Utility_Rates!$C$28:$F$28,Inputs!$C$68)),"")</f>
      </c>
      <c r="H2161" s="34"/>
      <c r="I2161" s="42">
        <f>IF(AND(ISNUMBER(D2161),ISNUMBER(H2161)),D2161*H2161*Inputs!$C$69,"")</f>
      </c>
      <c r="J2161" s="42">
        <f>IF(AND(ISNUMBER(F2161),ISNUMBER(H2161),F2161&gt;=Inputs!$C$68),F2161*H2161*Inputs!$C$69,"")</f>
      </c>
    </row>
    <row r="2162" spans="2:10" ht="15" customHeight="1" x14ac:dyDescent="0.2">
      <c r="B2162" s="39">
        <f t="shared" si="16"/>
      </c>
      <c r="C2162" s="40">
        <f>IF(Inputs!$C$60,Inputs!$C$11+(B2162-Inputs!$C$69)/Inputs!$C$70,"")</f>
      </c>
      <c r="D2162" s="15"/>
      <c r="E2162" s="15"/>
      <c r="F2162" s="11">
        <f t="shared" si="17"/>
      </c>
      <c r="G2162" s="22" cm="1">
        <f t="array" ref="G2162">IF(AND(Inputs!$C$60,Inputs!$C$61),INDEX(Utility_Rates!$C$29:$F$52,HOUR(C2162)+Inputs!$C$69,MATCH(INDEX(Utility_Rates!$K$6:$K$17,MONTH(C2162))&amp;IF(WEEKDAY(C2162,Inputs!$C$76)&lt;=Inputs!$C$74," weekday"," weekend"),Utility_Rates!$C$28:$F$28,Inputs!$C$68)),"")</f>
      </c>
      <c r="H2162" s="34"/>
      <c r="I2162" s="42">
        <f>IF(AND(ISNUMBER(D2162),ISNUMBER(H2162)),D2162*H2162*Inputs!$C$69,"")</f>
      </c>
      <c r="J2162" s="42">
        <f>IF(AND(ISNUMBER(F2162),ISNUMBER(H2162),F2162&gt;=Inputs!$C$68),F2162*H2162*Inputs!$C$69,"")</f>
      </c>
    </row>
    <row r="2163" spans="2:10" ht="15" customHeight="1" x14ac:dyDescent="0.2">
      <c r="B2163" s="39">
        <f t="shared" si="16"/>
      </c>
      <c r="C2163" s="40">
        <f>IF(Inputs!$C$60,Inputs!$C$11+(B2163-Inputs!$C$69)/Inputs!$C$70,"")</f>
      </c>
      <c r="D2163" s="15"/>
      <c r="E2163" s="15"/>
      <c r="F2163" s="11">
        <f t="shared" si="17"/>
      </c>
      <c r="G2163" s="22" cm="1">
        <f t="array" ref="G2163">IF(AND(Inputs!$C$60,Inputs!$C$61),INDEX(Utility_Rates!$C$29:$F$52,HOUR(C2163)+Inputs!$C$69,MATCH(INDEX(Utility_Rates!$K$6:$K$17,MONTH(C2163))&amp;IF(WEEKDAY(C2163,Inputs!$C$76)&lt;=Inputs!$C$74," weekday"," weekend"),Utility_Rates!$C$28:$F$28,Inputs!$C$68)),"")</f>
      </c>
      <c r="H2163" s="34"/>
      <c r="I2163" s="42">
        <f>IF(AND(ISNUMBER(D2163),ISNUMBER(H2163)),D2163*H2163*Inputs!$C$69,"")</f>
      </c>
      <c r="J2163" s="42">
        <f>IF(AND(ISNUMBER(F2163),ISNUMBER(H2163),F2163&gt;=Inputs!$C$68),F2163*H2163*Inputs!$C$69,"")</f>
      </c>
    </row>
    <row r="2164" spans="2:10" ht="15" customHeight="1" x14ac:dyDescent="0.2">
      <c r="B2164" s="39">
        <f t="shared" si="16"/>
      </c>
      <c r="C2164" s="40">
        <f>IF(Inputs!$C$60,Inputs!$C$11+(B2164-Inputs!$C$69)/Inputs!$C$70,"")</f>
      </c>
      <c r="D2164" s="15"/>
      <c r="E2164" s="15"/>
      <c r="F2164" s="11">
        <f t="shared" si="17"/>
      </c>
      <c r="G2164" s="22" cm="1">
        <f t="array" ref="G2164">IF(AND(Inputs!$C$60,Inputs!$C$61),INDEX(Utility_Rates!$C$29:$F$52,HOUR(C2164)+Inputs!$C$69,MATCH(INDEX(Utility_Rates!$K$6:$K$17,MONTH(C2164))&amp;IF(WEEKDAY(C2164,Inputs!$C$76)&lt;=Inputs!$C$74," weekday"," weekend"),Utility_Rates!$C$28:$F$28,Inputs!$C$68)),"")</f>
      </c>
      <c r="H2164" s="34"/>
      <c r="I2164" s="42">
        <f>IF(AND(ISNUMBER(D2164),ISNUMBER(H2164)),D2164*H2164*Inputs!$C$69,"")</f>
      </c>
      <c r="J2164" s="42">
        <f>IF(AND(ISNUMBER(F2164),ISNUMBER(H2164),F2164&gt;=Inputs!$C$68),F2164*H2164*Inputs!$C$69,"")</f>
      </c>
    </row>
    <row r="2165" spans="2:10" ht="15" customHeight="1" x14ac:dyDescent="0.2">
      <c r="B2165" s="39">
        <f t="shared" si="16"/>
      </c>
      <c r="C2165" s="40">
        <f>IF(Inputs!$C$60,Inputs!$C$11+(B2165-Inputs!$C$69)/Inputs!$C$70,"")</f>
      </c>
      <c r="D2165" s="15"/>
      <c r="E2165" s="15"/>
      <c r="F2165" s="11">
        <f t="shared" si="17"/>
      </c>
      <c r="G2165" s="22" cm="1">
        <f t="array" ref="G2165">IF(AND(Inputs!$C$60,Inputs!$C$61),INDEX(Utility_Rates!$C$29:$F$52,HOUR(C2165)+Inputs!$C$69,MATCH(INDEX(Utility_Rates!$K$6:$K$17,MONTH(C2165))&amp;IF(WEEKDAY(C2165,Inputs!$C$76)&lt;=Inputs!$C$74," weekday"," weekend"),Utility_Rates!$C$28:$F$28,Inputs!$C$68)),"")</f>
      </c>
      <c r="H2165" s="34"/>
      <c r="I2165" s="42">
        <f>IF(AND(ISNUMBER(D2165),ISNUMBER(H2165)),D2165*H2165*Inputs!$C$69,"")</f>
      </c>
      <c r="J2165" s="42">
        <f>IF(AND(ISNUMBER(F2165),ISNUMBER(H2165),F2165&gt;=Inputs!$C$68),F2165*H2165*Inputs!$C$69,"")</f>
      </c>
    </row>
    <row r="2166" spans="2:10" ht="15" customHeight="1" x14ac:dyDescent="0.2">
      <c r="B2166" s="39">
        <f t="shared" si="16"/>
      </c>
      <c r="C2166" s="40">
        <f>IF(Inputs!$C$60,Inputs!$C$11+(B2166-Inputs!$C$69)/Inputs!$C$70,"")</f>
      </c>
      <c r="D2166" s="15"/>
      <c r="E2166" s="15"/>
      <c r="F2166" s="11">
        <f t="shared" si="17"/>
      </c>
      <c r="G2166" s="22" cm="1">
        <f t="array" ref="G2166">IF(AND(Inputs!$C$60,Inputs!$C$61),INDEX(Utility_Rates!$C$29:$F$52,HOUR(C2166)+Inputs!$C$69,MATCH(INDEX(Utility_Rates!$K$6:$K$17,MONTH(C2166))&amp;IF(WEEKDAY(C2166,Inputs!$C$76)&lt;=Inputs!$C$74," weekday"," weekend"),Utility_Rates!$C$28:$F$28,Inputs!$C$68)),"")</f>
      </c>
      <c r="H2166" s="34"/>
      <c r="I2166" s="42">
        <f>IF(AND(ISNUMBER(D2166),ISNUMBER(H2166)),D2166*H2166*Inputs!$C$69,"")</f>
      </c>
      <c r="J2166" s="42">
        <f>IF(AND(ISNUMBER(F2166),ISNUMBER(H2166),F2166&gt;=Inputs!$C$68),F2166*H2166*Inputs!$C$69,"")</f>
      </c>
    </row>
    <row r="2167" spans="2:10" ht="15" customHeight="1" x14ac:dyDescent="0.2">
      <c r="B2167" s="39">
        <f t="shared" si="16"/>
      </c>
      <c r="C2167" s="40">
        <f>IF(Inputs!$C$60,Inputs!$C$11+(B2167-Inputs!$C$69)/Inputs!$C$70,"")</f>
      </c>
      <c r="D2167" s="15"/>
      <c r="E2167" s="15"/>
      <c r="F2167" s="11">
        <f t="shared" si="17"/>
      </c>
      <c r="G2167" s="22" cm="1">
        <f t="array" ref="G2167">IF(AND(Inputs!$C$60,Inputs!$C$61),INDEX(Utility_Rates!$C$29:$F$52,HOUR(C2167)+Inputs!$C$69,MATCH(INDEX(Utility_Rates!$K$6:$K$17,MONTH(C2167))&amp;IF(WEEKDAY(C2167,Inputs!$C$76)&lt;=Inputs!$C$74," weekday"," weekend"),Utility_Rates!$C$28:$F$28,Inputs!$C$68)),"")</f>
      </c>
      <c r="H2167" s="34"/>
      <c r="I2167" s="42">
        <f>IF(AND(ISNUMBER(D2167),ISNUMBER(H2167)),D2167*H2167*Inputs!$C$69,"")</f>
      </c>
      <c r="J2167" s="42">
        <f>IF(AND(ISNUMBER(F2167),ISNUMBER(H2167),F2167&gt;=Inputs!$C$68),F2167*H2167*Inputs!$C$69,"")</f>
      </c>
    </row>
    <row r="2168" spans="2:10" ht="15" customHeight="1" x14ac:dyDescent="0.2">
      <c r="B2168" s="39">
        <f t="shared" si="16"/>
      </c>
      <c r="C2168" s="40">
        <f>IF(Inputs!$C$60,Inputs!$C$11+(B2168-Inputs!$C$69)/Inputs!$C$70,"")</f>
      </c>
      <c r="D2168" s="15"/>
      <c r="E2168" s="15"/>
      <c r="F2168" s="11">
        <f t="shared" si="17"/>
      </c>
      <c r="G2168" s="22" cm="1">
        <f t="array" ref="G2168">IF(AND(Inputs!$C$60,Inputs!$C$61),INDEX(Utility_Rates!$C$29:$F$52,HOUR(C2168)+Inputs!$C$69,MATCH(INDEX(Utility_Rates!$K$6:$K$17,MONTH(C2168))&amp;IF(WEEKDAY(C2168,Inputs!$C$76)&lt;=Inputs!$C$74," weekday"," weekend"),Utility_Rates!$C$28:$F$28,Inputs!$C$68)),"")</f>
      </c>
      <c r="H2168" s="34"/>
      <c r="I2168" s="42">
        <f>IF(AND(ISNUMBER(D2168),ISNUMBER(H2168)),D2168*H2168*Inputs!$C$69,"")</f>
      </c>
      <c r="J2168" s="42">
        <f>IF(AND(ISNUMBER(F2168),ISNUMBER(H2168),F2168&gt;=Inputs!$C$68),F2168*H2168*Inputs!$C$69,"")</f>
      </c>
    </row>
    <row r="2169" spans="2:10" ht="15" customHeight="1" x14ac:dyDescent="0.2">
      <c r="B2169" s="39">
        <f t="shared" si="16"/>
      </c>
      <c r="C2169" s="40">
        <f>IF(Inputs!$C$60,Inputs!$C$11+(B2169-Inputs!$C$69)/Inputs!$C$70,"")</f>
      </c>
      <c r="D2169" s="15"/>
      <c r="E2169" s="15"/>
      <c r="F2169" s="11">
        <f t="shared" si="17"/>
      </c>
      <c r="G2169" s="22" cm="1">
        <f t="array" ref="G2169">IF(AND(Inputs!$C$60,Inputs!$C$61),INDEX(Utility_Rates!$C$29:$F$52,HOUR(C2169)+Inputs!$C$69,MATCH(INDEX(Utility_Rates!$K$6:$K$17,MONTH(C2169))&amp;IF(WEEKDAY(C2169,Inputs!$C$76)&lt;=Inputs!$C$74," weekday"," weekend"),Utility_Rates!$C$28:$F$28,Inputs!$C$68)),"")</f>
      </c>
      <c r="H2169" s="34"/>
      <c r="I2169" s="42">
        <f>IF(AND(ISNUMBER(D2169),ISNUMBER(H2169)),D2169*H2169*Inputs!$C$69,"")</f>
      </c>
      <c r="J2169" s="42">
        <f>IF(AND(ISNUMBER(F2169),ISNUMBER(H2169),F2169&gt;=Inputs!$C$68),F2169*H2169*Inputs!$C$69,"")</f>
      </c>
    </row>
    <row r="2170" spans="2:10" ht="15" customHeight="1" x14ac:dyDescent="0.2">
      <c r="B2170" s="39">
        <f t="shared" si="16"/>
      </c>
      <c r="C2170" s="40">
        <f>IF(Inputs!$C$60,Inputs!$C$11+(B2170-Inputs!$C$69)/Inputs!$C$70,"")</f>
      </c>
      <c r="D2170" s="15"/>
      <c r="E2170" s="15"/>
      <c r="F2170" s="11">
        <f t="shared" si="17"/>
      </c>
      <c r="G2170" s="22" cm="1">
        <f t="array" ref="G2170">IF(AND(Inputs!$C$60,Inputs!$C$61),INDEX(Utility_Rates!$C$29:$F$52,HOUR(C2170)+Inputs!$C$69,MATCH(INDEX(Utility_Rates!$K$6:$K$17,MONTH(C2170))&amp;IF(WEEKDAY(C2170,Inputs!$C$76)&lt;=Inputs!$C$74," weekday"," weekend"),Utility_Rates!$C$28:$F$28,Inputs!$C$68)),"")</f>
      </c>
      <c r="H2170" s="34"/>
      <c r="I2170" s="42">
        <f>IF(AND(ISNUMBER(D2170),ISNUMBER(H2170)),D2170*H2170*Inputs!$C$69,"")</f>
      </c>
      <c r="J2170" s="42">
        <f>IF(AND(ISNUMBER(F2170),ISNUMBER(H2170),F2170&gt;=Inputs!$C$68),F2170*H2170*Inputs!$C$69,"")</f>
      </c>
    </row>
    <row r="2171" spans="2:10" ht="15" customHeight="1" x14ac:dyDescent="0.2">
      <c r="B2171" s="39">
        <f t="shared" si="16"/>
      </c>
      <c r="C2171" s="40">
        <f>IF(Inputs!$C$60,Inputs!$C$11+(B2171-Inputs!$C$69)/Inputs!$C$70,"")</f>
      </c>
      <c r="D2171" s="15"/>
      <c r="E2171" s="15"/>
      <c r="F2171" s="11">
        <f t="shared" si="17"/>
      </c>
      <c r="G2171" s="22" cm="1">
        <f t="array" ref="G2171">IF(AND(Inputs!$C$60,Inputs!$C$61),INDEX(Utility_Rates!$C$29:$F$52,HOUR(C2171)+Inputs!$C$69,MATCH(INDEX(Utility_Rates!$K$6:$K$17,MONTH(C2171))&amp;IF(WEEKDAY(C2171,Inputs!$C$76)&lt;=Inputs!$C$74," weekday"," weekend"),Utility_Rates!$C$28:$F$28,Inputs!$C$68)),"")</f>
      </c>
      <c r="H2171" s="34"/>
      <c r="I2171" s="42">
        <f>IF(AND(ISNUMBER(D2171),ISNUMBER(H2171)),D2171*H2171*Inputs!$C$69,"")</f>
      </c>
      <c r="J2171" s="42">
        <f>IF(AND(ISNUMBER(F2171),ISNUMBER(H2171),F2171&gt;=Inputs!$C$68),F2171*H2171*Inputs!$C$69,"")</f>
      </c>
    </row>
    <row r="2172" spans="2:10" ht="15" customHeight="1" x14ac:dyDescent="0.2">
      <c r="B2172" s="39">
        <f t="shared" si="16"/>
      </c>
      <c r="C2172" s="40">
        <f>IF(Inputs!$C$60,Inputs!$C$11+(B2172-Inputs!$C$69)/Inputs!$C$70,"")</f>
      </c>
      <c r="D2172" s="15"/>
      <c r="E2172" s="15"/>
      <c r="F2172" s="11">
        <f t="shared" si="17"/>
      </c>
      <c r="G2172" s="22" cm="1">
        <f t="array" ref="G2172">IF(AND(Inputs!$C$60,Inputs!$C$61),INDEX(Utility_Rates!$C$29:$F$52,HOUR(C2172)+Inputs!$C$69,MATCH(INDEX(Utility_Rates!$K$6:$K$17,MONTH(C2172))&amp;IF(WEEKDAY(C2172,Inputs!$C$76)&lt;=Inputs!$C$74," weekday"," weekend"),Utility_Rates!$C$28:$F$28,Inputs!$C$68)),"")</f>
      </c>
      <c r="H2172" s="34"/>
      <c r="I2172" s="42">
        <f>IF(AND(ISNUMBER(D2172),ISNUMBER(H2172)),D2172*H2172*Inputs!$C$69,"")</f>
      </c>
      <c r="J2172" s="42">
        <f>IF(AND(ISNUMBER(F2172),ISNUMBER(H2172),F2172&gt;=Inputs!$C$68),F2172*H2172*Inputs!$C$69,"")</f>
      </c>
    </row>
    <row r="2173" spans="2:10" ht="15" customHeight="1" x14ac:dyDescent="0.2">
      <c r="B2173" s="39">
        <f t="shared" si="16"/>
      </c>
      <c r="C2173" s="40">
        <f>IF(Inputs!$C$60,Inputs!$C$11+(B2173-Inputs!$C$69)/Inputs!$C$70,"")</f>
      </c>
      <c r="D2173" s="15"/>
      <c r="E2173" s="15"/>
      <c r="F2173" s="11">
        <f t="shared" si="17"/>
      </c>
      <c r="G2173" s="22" cm="1">
        <f t="array" ref="G2173">IF(AND(Inputs!$C$60,Inputs!$C$61),INDEX(Utility_Rates!$C$29:$F$52,HOUR(C2173)+Inputs!$C$69,MATCH(INDEX(Utility_Rates!$K$6:$K$17,MONTH(C2173))&amp;IF(WEEKDAY(C2173,Inputs!$C$76)&lt;=Inputs!$C$74," weekday"," weekend"),Utility_Rates!$C$28:$F$28,Inputs!$C$68)),"")</f>
      </c>
      <c r="H2173" s="34"/>
      <c r="I2173" s="42">
        <f>IF(AND(ISNUMBER(D2173),ISNUMBER(H2173)),D2173*H2173*Inputs!$C$69,"")</f>
      </c>
      <c r="J2173" s="42">
        <f>IF(AND(ISNUMBER(F2173),ISNUMBER(H2173),F2173&gt;=Inputs!$C$68),F2173*H2173*Inputs!$C$69,"")</f>
      </c>
    </row>
    <row r="2174" spans="2:10" ht="15" customHeight="1" x14ac:dyDescent="0.2">
      <c r="B2174" s="39">
        <f t="shared" si="16"/>
      </c>
      <c r="C2174" s="40">
        <f>IF(Inputs!$C$60,Inputs!$C$11+(B2174-Inputs!$C$69)/Inputs!$C$70,"")</f>
      </c>
      <c r="D2174" s="15"/>
      <c r="E2174" s="15"/>
      <c r="F2174" s="11">
        <f t="shared" si="17"/>
      </c>
      <c r="G2174" s="22" cm="1">
        <f t="array" ref="G2174">IF(AND(Inputs!$C$60,Inputs!$C$61),INDEX(Utility_Rates!$C$29:$F$52,HOUR(C2174)+Inputs!$C$69,MATCH(INDEX(Utility_Rates!$K$6:$K$17,MONTH(C2174))&amp;IF(WEEKDAY(C2174,Inputs!$C$76)&lt;=Inputs!$C$74," weekday"," weekend"),Utility_Rates!$C$28:$F$28,Inputs!$C$68)),"")</f>
      </c>
      <c r="H2174" s="34"/>
      <c r="I2174" s="42">
        <f>IF(AND(ISNUMBER(D2174),ISNUMBER(H2174)),D2174*H2174*Inputs!$C$69,"")</f>
      </c>
      <c r="J2174" s="42">
        <f>IF(AND(ISNUMBER(F2174),ISNUMBER(H2174),F2174&gt;=Inputs!$C$68),F2174*H2174*Inputs!$C$69,"")</f>
      </c>
    </row>
    <row r="2175" spans="2:10" ht="15" customHeight="1" x14ac:dyDescent="0.2">
      <c r="B2175" s="39">
        <f t="shared" si="16"/>
      </c>
      <c r="C2175" s="40">
        <f>IF(Inputs!$C$60,Inputs!$C$11+(B2175-Inputs!$C$69)/Inputs!$C$70,"")</f>
      </c>
      <c r="D2175" s="15"/>
      <c r="E2175" s="15"/>
      <c r="F2175" s="11">
        <f t="shared" si="17"/>
      </c>
      <c r="G2175" s="22" cm="1">
        <f t="array" ref="G2175">IF(AND(Inputs!$C$60,Inputs!$C$61),INDEX(Utility_Rates!$C$29:$F$52,HOUR(C2175)+Inputs!$C$69,MATCH(INDEX(Utility_Rates!$K$6:$K$17,MONTH(C2175))&amp;IF(WEEKDAY(C2175,Inputs!$C$76)&lt;=Inputs!$C$74," weekday"," weekend"),Utility_Rates!$C$28:$F$28,Inputs!$C$68)),"")</f>
      </c>
      <c r="H2175" s="34"/>
      <c r="I2175" s="42">
        <f>IF(AND(ISNUMBER(D2175),ISNUMBER(H2175)),D2175*H2175*Inputs!$C$69,"")</f>
      </c>
      <c r="J2175" s="42">
        <f>IF(AND(ISNUMBER(F2175),ISNUMBER(H2175),F2175&gt;=Inputs!$C$68),F2175*H2175*Inputs!$C$69,"")</f>
      </c>
    </row>
    <row r="2176" spans="2:10" ht="15" customHeight="1" x14ac:dyDescent="0.2">
      <c r="B2176" s="39">
        <f t="shared" si="16"/>
      </c>
      <c r="C2176" s="40">
        <f>IF(Inputs!$C$60,Inputs!$C$11+(B2176-Inputs!$C$69)/Inputs!$C$70,"")</f>
      </c>
      <c r="D2176" s="15"/>
      <c r="E2176" s="15"/>
      <c r="F2176" s="11">
        <f t="shared" si="17"/>
      </c>
      <c r="G2176" s="22" cm="1">
        <f t="array" ref="G2176">IF(AND(Inputs!$C$60,Inputs!$C$61),INDEX(Utility_Rates!$C$29:$F$52,HOUR(C2176)+Inputs!$C$69,MATCH(INDEX(Utility_Rates!$K$6:$K$17,MONTH(C2176))&amp;IF(WEEKDAY(C2176,Inputs!$C$76)&lt;=Inputs!$C$74," weekday"," weekend"),Utility_Rates!$C$28:$F$28,Inputs!$C$68)),"")</f>
      </c>
      <c r="H2176" s="34"/>
      <c r="I2176" s="42">
        <f>IF(AND(ISNUMBER(D2176),ISNUMBER(H2176)),D2176*H2176*Inputs!$C$69,"")</f>
      </c>
      <c r="J2176" s="42">
        <f>IF(AND(ISNUMBER(F2176),ISNUMBER(H2176),F2176&gt;=Inputs!$C$68),F2176*H2176*Inputs!$C$69,"")</f>
      </c>
    </row>
    <row r="2177" spans="2:10" ht="15" customHeight="1" x14ac:dyDescent="0.2">
      <c r="B2177" s="39">
        <f t="shared" si="16"/>
      </c>
      <c r="C2177" s="40">
        <f>IF(Inputs!$C$60,Inputs!$C$11+(B2177-Inputs!$C$69)/Inputs!$C$70,"")</f>
      </c>
      <c r="D2177" s="15"/>
      <c r="E2177" s="15"/>
      <c r="F2177" s="11">
        <f t="shared" si="17"/>
      </c>
      <c r="G2177" s="22" cm="1">
        <f t="array" ref="G2177">IF(AND(Inputs!$C$60,Inputs!$C$61),INDEX(Utility_Rates!$C$29:$F$52,HOUR(C2177)+Inputs!$C$69,MATCH(INDEX(Utility_Rates!$K$6:$K$17,MONTH(C2177))&amp;IF(WEEKDAY(C2177,Inputs!$C$76)&lt;=Inputs!$C$74," weekday"," weekend"),Utility_Rates!$C$28:$F$28,Inputs!$C$68)),"")</f>
      </c>
      <c r="H2177" s="34"/>
      <c r="I2177" s="42">
        <f>IF(AND(ISNUMBER(D2177),ISNUMBER(H2177)),D2177*H2177*Inputs!$C$69,"")</f>
      </c>
      <c r="J2177" s="42">
        <f>IF(AND(ISNUMBER(F2177),ISNUMBER(H2177),F2177&gt;=Inputs!$C$68),F2177*H2177*Inputs!$C$69,"")</f>
      </c>
    </row>
    <row r="2178" spans="2:10" ht="15" customHeight="1" x14ac:dyDescent="0.2">
      <c r="B2178" s="39">
        <f t="shared" si="16"/>
      </c>
      <c r="C2178" s="40">
        <f>IF(Inputs!$C$60,Inputs!$C$11+(B2178-Inputs!$C$69)/Inputs!$C$70,"")</f>
      </c>
      <c r="D2178" s="15"/>
      <c r="E2178" s="15"/>
      <c r="F2178" s="11">
        <f t="shared" si="17"/>
      </c>
      <c r="G2178" s="22" cm="1">
        <f t="array" ref="G2178">IF(AND(Inputs!$C$60,Inputs!$C$61),INDEX(Utility_Rates!$C$29:$F$52,HOUR(C2178)+Inputs!$C$69,MATCH(INDEX(Utility_Rates!$K$6:$K$17,MONTH(C2178))&amp;IF(WEEKDAY(C2178,Inputs!$C$76)&lt;=Inputs!$C$74," weekday"," weekend"),Utility_Rates!$C$28:$F$28,Inputs!$C$68)),"")</f>
      </c>
      <c r="H2178" s="34"/>
      <c r="I2178" s="42">
        <f>IF(AND(ISNUMBER(D2178),ISNUMBER(H2178)),D2178*H2178*Inputs!$C$69,"")</f>
      </c>
      <c r="J2178" s="42">
        <f>IF(AND(ISNUMBER(F2178),ISNUMBER(H2178),F2178&gt;=Inputs!$C$68),F2178*H2178*Inputs!$C$69,"")</f>
      </c>
    </row>
    <row r="2179" spans="2:10" ht="15" customHeight="1" x14ac:dyDescent="0.2">
      <c r="B2179" s="39">
        <f t="shared" si="16"/>
      </c>
      <c r="C2179" s="40">
        <f>IF(Inputs!$C$60,Inputs!$C$11+(B2179-Inputs!$C$69)/Inputs!$C$70,"")</f>
      </c>
      <c r="D2179" s="15"/>
      <c r="E2179" s="15"/>
      <c r="F2179" s="11">
        <f t="shared" si="17"/>
      </c>
      <c r="G2179" s="22" cm="1">
        <f t="array" ref="G2179">IF(AND(Inputs!$C$60,Inputs!$C$61),INDEX(Utility_Rates!$C$29:$F$52,HOUR(C2179)+Inputs!$C$69,MATCH(INDEX(Utility_Rates!$K$6:$K$17,MONTH(C2179))&amp;IF(WEEKDAY(C2179,Inputs!$C$76)&lt;=Inputs!$C$74," weekday"," weekend"),Utility_Rates!$C$28:$F$28,Inputs!$C$68)),"")</f>
      </c>
      <c r="H2179" s="34"/>
      <c r="I2179" s="42">
        <f>IF(AND(ISNUMBER(D2179),ISNUMBER(H2179)),D2179*H2179*Inputs!$C$69,"")</f>
      </c>
      <c r="J2179" s="42">
        <f>IF(AND(ISNUMBER(F2179),ISNUMBER(H2179),F2179&gt;=Inputs!$C$68),F2179*H2179*Inputs!$C$69,"")</f>
      </c>
    </row>
    <row r="2180" spans="2:10" ht="15" customHeight="1" x14ac:dyDescent="0.2">
      <c r="B2180" s="39">
        <f t="shared" si="16"/>
      </c>
      <c r="C2180" s="40">
        <f>IF(Inputs!$C$60,Inputs!$C$11+(B2180-Inputs!$C$69)/Inputs!$C$70,"")</f>
      </c>
      <c r="D2180" s="15"/>
      <c r="E2180" s="15"/>
      <c r="F2180" s="11">
        <f t="shared" si="17"/>
      </c>
      <c r="G2180" s="22" cm="1">
        <f t="array" ref="G2180">IF(AND(Inputs!$C$60,Inputs!$C$61),INDEX(Utility_Rates!$C$29:$F$52,HOUR(C2180)+Inputs!$C$69,MATCH(INDEX(Utility_Rates!$K$6:$K$17,MONTH(C2180))&amp;IF(WEEKDAY(C2180,Inputs!$C$76)&lt;=Inputs!$C$74," weekday"," weekend"),Utility_Rates!$C$28:$F$28,Inputs!$C$68)),"")</f>
      </c>
      <c r="H2180" s="34"/>
      <c r="I2180" s="42">
        <f>IF(AND(ISNUMBER(D2180),ISNUMBER(H2180)),D2180*H2180*Inputs!$C$69,"")</f>
      </c>
      <c r="J2180" s="42">
        <f>IF(AND(ISNUMBER(F2180),ISNUMBER(H2180),F2180&gt;=Inputs!$C$68),F2180*H2180*Inputs!$C$69,"")</f>
      </c>
    </row>
    <row r="2181" spans="2:10" ht="15" customHeight="1" x14ac:dyDescent="0.2">
      <c r="B2181" s="39">
        <f t="shared" si="16"/>
      </c>
      <c r="C2181" s="40">
        <f>IF(Inputs!$C$60,Inputs!$C$11+(B2181-Inputs!$C$69)/Inputs!$C$70,"")</f>
      </c>
      <c r="D2181" s="15"/>
      <c r="E2181" s="15"/>
      <c r="F2181" s="11">
        <f t="shared" si="17"/>
      </c>
      <c r="G2181" s="22" cm="1">
        <f t="array" ref="G2181">IF(AND(Inputs!$C$60,Inputs!$C$61),INDEX(Utility_Rates!$C$29:$F$52,HOUR(C2181)+Inputs!$C$69,MATCH(INDEX(Utility_Rates!$K$6:$K$17,MONTH(C2181))&amp;IF(WEEKDAY(C2181,Inputs!$C$76)&lt;=Inputs!$C$74," weekday"," weekend"),Utility_Rates!$C$28:$F$28,Inputs!$C$68)),"")</f>
      </c>
      <c r="H2181" s="34"/>
      <c r="I2181" s="42">
        <f>IF(AND(ISNUMBER(D2181),ISNUMBER(H2181)),D2181*H2181*Inputs!$C$69,"")</f>
      </c>
      <c r="J2181" s="42">
        <f>IF(AND(ISNUMBER(F2181),ISNUMBER(H2181),F2181&gt;=Inputs!$C$68),F2181*H2181*Inputs!$C$69,"")</f>
      </c>
    </row>
    <row r="2182" spans="2:10" ht="15" customHeight="1" x14ac:dyDescent="0.2">
      <c r="B2182" s="39">
        <f t="shared" si="16"/>
      </c>
      <c r="C2182" s="40">
        <f>IF(Inputs!$C$60,Inputs!$C$11+(B2182-Inputs!$C$69)/Inputs!$C$70,"")</f>
      </c>
      <c r="D2182" s="15"/>
      <c r="E2182" s="15"/>
      <c r="F2182" s="11">
        <f t="shared" si="17"/>
      </c>
      <c r="G2182" s="22" cm="1">
        <f t="array" ref="G2182">IF(AND(Inputs!$C$60,Inputs!$C$61),INDEX(Utility_Rates!$C$29:$F$52,HOUR(C2182)+Inputs!$C$69,MATCH(INDEX(Utility_Rates!$K$6:$K$17,MONTH(C2182))&amp;IF(WEEKDAY(C2182,Inputs!$C$76)&lt;=Inputs!$C$74," weekday"," weekend"),Utility_Rates!$C$28:$F$28,Inputs!$C$68)),"")</f>
      </c>
      <c r="H2182" s="34"/>
      <c r="I2182" s="42">
        <f>IF(AND(ISNUMBER(D2182),ISNUMBER(H2182)),D2182*H2182*Inputs!$C$69,"")</f>
      </c>
      <c r="J2182" s="42">
        <f>IF(AND(ISNUMBER(F2182),ISNUMBER(H2182),F2182&gt;=Inputs!$C$68),F2182*H2182*Inputs!$C$69,"")</f>
      </c>
    </row>
    <row r="2183" spans="2:10" ht="15" customHeight="1" x14ac:dyDescent="0.2">
      <c r="B2183" s="39">
        <f t="shared" si="16"/>
      </c>
      <c r="C2183" s="40">
        <f>IF(Inputs!$C$60,Inputs!$C$11+(B2183-Inputs!$C$69)/Inputs!$C$70,"")</f>
      </c>
      <c r="D2183" s="15"/>
      <c r="E2183" s="15"/>
      <c r="F2183" s="11">
        <f t="shared" si="17"/>
      </c>
      <c r="G2183" s="22" cm="1">
        <f t="array" ref="G2183">IF(AND(Inputs!$C$60,Inputs!$C$61),INDEX(Utility_Rates!$C$29:$F$52,HOUR(C2183)+Inputs!$C$69,MATCH(INDEX(Utility_Rates!$K$6:$K$17,MONTH(C2183))&amp;IF(WEEKDAY(C2183,Inputs!$C$76)&lt;=Inputs!$C$74," weekday"," weekend"),Utility_Rates!$C$28:$F$28,Inputs!$C$68)),"")</f>
      </c>
      <c r="H2183" s="34"/>
      <c r="I2183" s="42">
        <f>IF(AND(ISNUMBER(D2183),ISNUMBER(H2183)),D2183*H2183*Inputs!$C$69,"")</f>
      </c>
      <c r="J2183" s="42">
        <f>IF(AND(ISNUMBER(F2183),ISNUMBER(H2183),F2183&gt;=Inputs!$C$68),F2183*H2183*Inputs!$C$69,"")</f>
      </c>
    </row>
    <row r="2184" spans="2:10" ht="15" customHeight="1" x14ac:dyDescent="0.2">
      <c r="B2184" s="39">
        <f t="shared" si="16"/>
      </c>
      <c r="C2184" s="40">
        <f>IF(Inputs!$C$60,Inputs!$C$11+(B2184-Inputs!$C$69)/Inputs!$C$70,"")</f>
      </c>
      <c r="D2184" s="15"/>
      <c r="E2184" s="15"/>
      <c r="F2184" s="11">
        <f t="shared" si="17"/>
      </c>
      <c r="G2184" s="22" cm="1">
        <f t="array" ref="G2184">IF(AND(Inputs!$C$60,Inputs!$C$61),INDEX(Utility_Rates!$C$29:$F$52,HOUR(C2184)+Inputs!$C$69,MATCH(INDEX(Utility_Rates!$K$6:$K$17,MONTH(C2184))&amp;IF(WEEKDAY(C2184,Inputs!$C$76)&lt;=Inputs!$C$74," weekday"," weekend"),Utility_Rates!$C$28:$F$28,Inputs!$C$68)),"")</f>
      </c>
      <c r="H2184" s="34"/>
      <c r="I2184" s="42">
        <f>IF(AND(ISNUMBER(D2184),ISNUMBER(H2184)),D2184*H2184*Inputs!$C$69,"")</f>
      </c>
      <c r="J2184" s="42">
        <f>IF(AND(ISNUMBER(F2184),ISNUMBER(H2184),F2184&gt;=Inputs!$C$68),F2184*H2184*Inputs!$C$69,"")</f>
      </c>
    </row>
    <row r="2185" spans="2:10" ht="15" customHeight="1" x14ac:dyDescent="0.2">
      <c r="B2185" s="39">
        <f t="shared" si="16"/>
      </c>
      <c r="C2185" s="40">
        <f>IF(Inputs!$C$60,Inputs!$C$11+(B2185-Inputs!$C$69)/Inputs!$C$70,"")</f>
      </c>
      <c r="D2185" s="15"/>
      <c r="E2185" s="15"/>
      <c r="F2185" s="11">
        <f t="shared" si="17"/>
      </c>
      <c r="G2185" s="22" cm="1">
        <f t="array" ref="G2185">IF(AND(Inputs!$C$60,Inputs!$C$61),INDEX(Utility_Rates!$C$29:$F$52,HOUR(C2185)+Inputs!$C$69,MATCH(INDEX(Utility_Rates!$K$6:$K$17,MONTH(C2185))&amp;IF(WEEKDAY(C2185,Inputs!$C$76)&lt;=Inputs!$C$74," weekday"," weekend"),Utility_Rates!$C$28:$F$28,Inputs!$C$68)),"")</f>
      </c>
      <c r="H2185" s="34"/>
      <c r="I2185" s="42">
        <f>IF(AND(ISNUMBER(D2185),ISNUMBER(H2185)),D2185*H2185*Inputs!$C$69,"")</f>
      </c>
      <c r="J2185" s="42">
        <f>IF(AND(ISNUMBER(F2185),ISNUMBER(H2185),F2185&gt;=Inputs!$C$68),F2185*H2185*Inputs!$C$69,"")</f>
      </c>
    </row>
    <row r="2186" spans="2:10" ht="15" customHeight="1" x14ac:dyDescent="0.2">
      <c r="B2186" s="39">
        <f t="shared" si="16"/>
      </c>
      <c r="C2186" s="40">
        <f>IF(Inputs!$C$60,Inputs!$C$11+(B2186-Inputs!$C$69)/Inputs!$C$70,"")</f>
      </c>
      <c r="D2186" s="15"/>
      <c r="E2186" s="15"/>
      <c r="F2186" s="11">
        <f t="shared" si="17"/>
      </c>
      <c r="G2186" s="22" cm="1">
        <f t="array" ref="G2186">IF(AND(Inputs!$C$60,Inputs!$C$61),INDEX(Utility_Rates!$C$29:$F$52,HOUR(C2186)+Inputs!$C$69,MATCH(INDEX(Utility_Rates!$K$6:$K$17,MONTH(C2186))&amp;IF(WEEKDAY(C2186,Inputs!$C$76)&lt;=Inputs!$C$74," weekday"," weekend"),Utility_Rates!$C$28:$F$28,Inputs!$C$68)),"")</f>
      </c>
      <c r="H2186" s="34"/>
      <c r="I2186" s="42">
        <f>IF(AND(ISNUMBER(D2186),ISNUMBER(H2186)),D2186*H2186*Inputs!$C$69,"")</f>
      </c>
      <c r="J2186" s="42">
        <f>IF(AND(ISNUMBER(F2186),ISNUMBER(H2186),F2186&gt;=Inputs!$C$68),F2186*H2186*Inputs!$C$69,"")</f>
      </c>
    </row>
    <row r="2187" spans="2:10" ht="15" customHeight="1" x14ac:dyDescent="0.2">
      <c r="B2187" s="39">
        <f t="shared" si="16"/>
      </c>
      <c r="C2187" s="40">
        <f>IF(Inputs!$C$60,Inputs!$C$11+(B2187-Inputs!$C$69)/Inputs!$C$70,"")</f>
      </c>
      <c r="D2187" s="15"/>
      <c r="E2187" s="15"/>
      <c r="F2187" s="11">
        <f t="shared" si="17"/>
      </c>
      <c r="G2187" s="22" cm="1">
        <f t="array" ref="G2187">IF(AND(Inputs!$C$60,Inputs!$C$61),INDEX(Utility_Rates!$C$29:$F$52,HOUR(C2187)+Inputs!$C$69,MATCH(INDEX(Utility_Rates!$K$6:$K$17,MONTH(C2187))&amp;IF(WEEKDAY(C2187,Inputs!$C$76)&lt;=Inputs!$C$74," weekday"," weekend"),Utility_Rates!$C$28:$F$28,Inputs!$C$68)),"")</f>
      </c>
      <c r="H2187" s="34"/>
      <c r="I2187" s="42">
        <f>IF(AND(ISNUMBER(D2187),ISNUMBER(H2187)),D2187*H2187*Inputs!$C$69,"")</f>
      </c>
      <c r="J2187" s="42">
        <f>IF(AND(ISNUMBER(F2187),ISNUMBER(H2187),F2187&gt;=Inputs!$C$68),F2187*H2187*Inputs!$C$69,"")</f>
      </c>
    </row>
    <row r="2188" spans="2:10" ht="15" customHeight="1" x14ac:dyDescent="0.2">
      <c r="B2188" s="39">
        <f t="shared" si="16"/>
      </c>
      <c r="C2188" s="40">
        <f>IF(Inputs!$C$60,Inputs!$C$11+(B2188-Inputs!$C$69)/Inputs!$C$70,"")</f>
      </c>
      <c r="D2188" s="15"/>
      <c r="E2188" s="15"/>
      <c r="F2188" s="11">
        <f t="shared" si="17"/>
      </c>
      <c r="G2188" s="22" cm="1">
        <f t="array" ref="G2188">IF(AND(Inputs!$C$60,Inputs!$C$61),INDEX(Utility_Rates!$C$29:$F$52,HOUR(C2188)+Inputs!$C$69,MATCH(INDEX(Utility_Rates!$K$6:$K$17,MONTH(C2188))&amp;IF(WEEKDAY(C2188,Inputs!$C$76)&lt;=Inputs!$C$74," weekday"," weekend"),Utility_Rates!$C$28:$F$28,Inputs!$C$68)),"")</f>
      </c>
      <c r="H2188" s="34"/>
      <c r="I2188" s="42">
        <f>IF(AND(ISNUMBER(D2188),ISNUMBER(H2188)),D2188*H2188*Inputs!$C$69,"")</f>
      </c>
      <c r="J2188" s="42">
        <f>IF(AND(ISNUMBER(F2188),ISNUMBER(H2188),F2188&gt;=Inputs!$C$68),F2188*H2188*Inputs!$C$69,"")</f>
      </c>
    </row>
    <row r="2189" spans="2:10" ht="15" customHeight="1" x14ac:dyDescent="0.2">
      <c r="B2189" s="39">
        <f t="shared" si="16"/>
      </c>
      <c r="C2189" s="40">
        <f>IF(Inputs!$C$60,Inputs!$C$11+(B2189-Inputs!$C$69)/Inputs!$C$70,"")</f>
      </c>
      <c r="D2189" s="15"/>
      <c r="E2189" s="15"/>
      <c r="F2189" s="11">
        <f t="shared" si="17"/>
      </c>
      <c r="G2189" s="22" cm="1">
        <f t="array" ref="G2189">IF(AND(Inputs!$C$60,Inputs!$C$61),INDEX(Utility_Rates!$C$29:$F$52,HOUR(C2189)+Inputs!$C$69,MATCH(INDEX(Utility_Rates!$K$6:$K$17,MONTH(C2189))&amp;IF(WEEKDAY(C2189,Inputs!$C$76)&lt;=Inputs!$C$74," weekday"," weekend"),Utility_Rates!$C$28:$F$28,Inputs!$C$68)),"")</f>
      </c>
      <c r="H2189" s="34"/>
      <c r="I2189" s="42">
        <f>IF(AND(ISNUMBER(D2189),ISNUMBER(H2189)),D2189*H2189*Inputs!$C$69,"")</f>
      </c>
      <c r="J2189" s="42">
        <f>IF(AND(ISNUMBER(F2189),ISNUMBER(H2189),F2189&gt;=Inputs!$C$68),F2189*H2189*Inputs!$C$69,"")</f>
      </c>
    </row>
    <row r="2190" spans="2:10" ht="15" customHeight="1" x14ac:dyDescent="0.2">
      <c r="B2190" s="39">
        <f t="shared" si="16"/>
      </c>
      <c r="C2190" s="40">
        <f>IF(Inputs!$C$60,Inputs!$C$11+(B2190-Inputs!$C$69)/Inputs!$C$70,"")</f>
      </c>
      <c r="D2190" s="15"/>
      <c r="E2190" s="15"/>
      <c r="F2190" s="11">
        <f t="shared" si="17"/>
      </c>
      <c r="G2190" s="22" cm="1">
        <f t="array" ref="G2190">IF(AND(Inputs!$C$60,Inputs!$C$61),INDEX(Utility_Rates!$C$29:$F$52,HOUR(C2190)+Inputs!$C$69,MATCH(INDEX(Utility_Rates!$K$6:$K$17,MONTH(C2190))&amp;IF(WEEKDAY(C2190,Inputs!$C$76)&lt;=Inputs!$C$74," weekday"," weekend"),Utility_Rates!$C$28:$F$28,Inputs!$C$68)),"")</f>
      </c>
      <c r="H2190" s="34"/>
      <c r="I2190" s="42">
        <f>IF(AND(ISNUMBER(D2190),ISNUMBER(H2190)),D2190*H2190*Inputs!$C$69,"")</f>
      </c>
      <c r="J2190" s="42">
        <f>IF(AND(ISNUMBER(F2190),ISNUMBER(H2190),F2190&gt;=Inputs!$C$68),F2190*H2190*Inputs!$C$69,"")</f>
      </c>
    </row>
    <row r="2191" spans="2:10" ht="15" customHeight="1" x14ac:dyDescent="0.2">
      <c r="B2191" s="39">
        <f t="shared" si="16"/>
      </c>
      <c r="C2191" s="40">
        <f>IF(Inputs!$C$60,Inputs!$C$11+(B2191-Inputs!$C$69)/Inputs!$C$70,"")</f>
      </c>
      <c r="D2191" s="15"/>
      <c r="E2191" s="15"/>
      <c r="F2191" s="11">
        <f t="shared" si="17"/>
      </c>
      <c r="G2191" s="22" cm="1">
        <f t="array" ref="G2191">IF(AND(Inputs!$C$60,Inputs!$C$61),INDEX(Utility_Rates!$C$29:$F$52,HOUR(C2191)+Inputs!$C$69,MATCH(INDEX(Utility_Rates!$K$6:$K$17,MONTH(C2191))&amp;IF(WEEKDAY(C2191,Inputs!$C$76)&lt;=Inputs!$C$74," weekday"," weekend"),Utility_Rates!$C$28:$F$28,Inputs!$C$68)),"")</f>
      </c>
      <c r="H2191" s="34"/>
      <c r="I2191" s="42">
        <f>IF(AND(ISNUMBER(D2191),ISNUMBER(H2191)),D2191*H2191*Inputs!$C$69,"")</f>
      </c>
      <c r="J2191" s="42">
        <f>IF(AND(ISNUMBER(F2191),ISNUMBER(H2191),F2191&gt;=Inputs!$C$68),F2191*H2191*Inputs!$C$69,"")</f>
      </c>
    </row>
    <row r="2192" spans="2:10" ht="15" customHeight="1" x14ac:dyDescent="0.2">
      <c r="B2192" s="39">
        <f t="shared" si="16"/>
      </c>
      <c r="C2192" s="40">
        <f>IF(Inputs!$C$60,Inputs!$C$11+(B2192-Inputs!$C$69)/Inputs!$C$70,"")</f>
      </c>
      <c r="D2192" s="15"/>
      <c r="E2192" s="15"/>
      <c r="F2192" s="11">
        <f t="shared" si="17"/>
      </c>
      <c r="G2192" s="22" cm="1">
        <f t="array" ref="G2192">IF(AND(Inputs!$C$60,Inputs!$C$61),INDEX(Utility_Rates!$C$29:$F$52,HOUR(C2192)+Inputs!$C$69,MATCH(INDEX(Utility_Rates!$K$6:$K$17,MONTH(C2192))&amp;IF(WEEKDAY(C2192,Inputs!$C$76)&lt;=Inputs!$C$74," weekday"," weekend"),Utility_Rates!$C$28:$F$28,Inputs!$C$68)),"")</f>
      </c>
      <c r="H2192" s="34"/>
      <c r="I2192" s="42">
        <f>IF(AND(ISNUMBER(D2192),ISNUMBER(H2192)),D2192*H2192*Inputs!$C$69,"")</f>
      </c>
      <c r="J2192" s="42">
        <f>IF(AND(ISNUMBER(F2192),ISNUMBER(H2192),F2192&gt;=Inputs!$C$68),F2192*H2192*Inputs!$C$69,"")</f>
      </c>
    </row>
    <row r="2193" spans="2:10" ht="15" customHeight="1" x14ac:dyDescent="0.2">
      <c r="B2193" s="39">
        <f t="shared" si="16"/>
      </c>
      <c r="C2193" s="40">
        <f>IF(Inputs!$C$60,Inputs!$C$11+(B2193-Inputs!$C$69)/Inputs!$C$70,"")</f>
      </c>
      <c r="D2193" s="15"/>
      <c r="E2193" s="15"/>
      <c r="F2193" s="11">
        <f t="shared" si="17"/>
      </c>
      <c r="G2193" s="22" cm="1">
        <f t="array" ref="G2193">IF(AND(Inputs!$C$60,Inputs!$C$61),INDEX(Utility_Rates!$C$29:$F$52,HOUR(C2193)+Inputs!$C$69,MATCH(INDEX(Utility_Rates!$K$6:$K$17,MONTH(C2193))&amp;IF(WEEKDAY(C2193,Inputs!$C$76)&lt;=Inputs!$C$74," weekday"," weekend"),Utility_Rates!$C$28:$F$28,Inputs!$C$68)),"")</f>
      </c>
      <c r="H2193" s="34"/>
      <c r="I2193" s="42">
        <f>IF(AND(ISNUMBER(D2193),ISNUMBER(H2193)),D2193*H2193*Inputs!$C$69,"")</f>
      </c>
      <c r="J2193" s="42">
        <f>IF(AND(ISNUMBER(F2193),ISNUMBER(H2193),F2193&gt;=Inputs!$C$68),F2193*H2193*Inputs!$C$69,"")</f>
      </c>
    </row>
    <row r="2194" spans="2:10" ht="15" customHeight="1" x14ac:dyDescent="0.2">
      <c r="B2194" s="39">
        <f t="shared" si="16"/>
      </c>
      <c r="C2194" s="40">
        <f>IF(Inputs!$C$60,Inputs!$C$11+(B2194-Inputs!$C$69)/Inputs!$C$70,"")</f>
      </c>
      <c r="D2194" s="15"/>
      <c r="E2194" s="15"/>
      <c r="F2194" s="11">
        <f t="shared" si="17"/>
      </c>
      <c r="G2194" s="22" cm="1">
        <f t="array" ref="G2194">IF(AND(Inputs!$C$60,Inputs!$C$61),INDEX(Utility_Rates!$C$29:$F$52,HOUR(C2194)+Inputs!$C$69,MATCH(INDEX(Utility_Rates!$K$6:$K$17,MONTH(C2194))&amp;IF(WEEKDAY(C2194,Inputs!$C$76)&lt;=Inputs!$C$74," weekday"," weekend"),Utility_Rates!$C$28:$F$28,Inputs!$C$68)),"")</f>
      </c>
      <c r="H2194" s="34"/>
      <c r="I2194" s="42">
        <f>IF(AND(ISNUMBER(D2194),ISNUMBER(H2194)),D2194*H2194*Inputs!$C$69,"")</f>
      </c>
      <c r="J2194" s="42">
        <f>IF(AND(ISNUMBER(F2194),ISNUMBER(H2194),F2194&gt;=Inputs!$C$68),F2194*H2194*Inputs!$C$69,"")</f>
      </c>
    </row>
    <row r="2195" spans="2:10" ht="15" customHeight="1" x14ac:dyDescent="0.2">
      <c r="B2195" s="39">
        <f t="shared" si="16"/>
      </c>
      <c r="C2195" s="40">
        <f>IF(Inputs!$C$60,Inputs!$C$11+(B2195-Inputs!$C$69)/Inputs!$C$70,"")</f>
      </c>
      <c r="D2195" s="15"/>
      <c r="E2195" s="15"/>
      <c r="F2195" s="11">
        <f t="shared" si="17"/>
      </c>
      <c r="G2195" s="22" cm="1">
        <f t="array" ref="G2195">IF(AND(Inputs!$C$60,Inputs!$C$61),INDEX(Utility_Rates!$C$29:$F$52,HOUR(C2195)+Inputs!$C$69,MATCH(INDEX(Utility_Rates!$K$6:$K$17,MONTH(C2195))&amp;IF(WEEKDAY(C2195,Inputs!$C$76)&lt;=Inputs!$C$74," weekday"," weekend"),Utility_Rates!$C$28:$F$28,Inputs!$C$68)),"")</f>
      </c>
      <c r="H2195" s="34"/>
      <c r="I2195" s="42">
        <f>IF(AND(ISNUMBER(D2195),ISNUMBER(H2195)),D2195*H2195*Inputs!$C$69,"")</f>
      </c>
      <c r="J2195" s="42">
        <f>IF(AND(ISNUMBER(F2195),ISNUMBER(H2195),F2195&gt;=Inputs!$C$68),F2195*H2195*Inputs!$C$69,"")</f>
      </c>
    </row>
    <row r="2196" spans="2:10" ht="15" customHeight="1" x14ac:dyDescent="0.2">
      <c r="B2196" s="39">
        <f t="shared" si="16"/>
      </c>
      <c r="C2196" s="40">
        <f>IF(Inputs!$C$60,Inputs!$C$11+(B2196-Inputs!$C$69)/Inputs!$C$70,"")</f>
      </c>
      <c r="D2196" s="15"/>
      <c r="E2196" s="15"/>
      <c r="F2196" s="11">
        <f t="shared" si="17"/>
      </c>
      <c r="G2196" s="22" cm="1">
        <f t="array" ref="G2196">IF(AND(Inputs!$C$60,Inputs!$C$61),INDEX(Utility_Rates!$C$29:$F$52,HOUR(C2196)+Inputs!$C$69,MATCH(INDEX(Utility_Rates!$K$6:$K$17,MONTH(C2196))&amp;IF(WEEKDAY(C2196,Inputs!$C$76)&lt;=Inputs!$C$74," weekday"," weekend"),Utility_Rates!$C$28:$F$28,Inputs!$C$68)),"")</f>
      </c>
      <c r="H2196" s="34"/>
      <c r="I2196" s="42">
        <f>IF(AND(ISNUMBER(D2196),ISNUMBER(H2196)),D2196*H2196*Inputs!$C$69,"")</f>
      </c>
      <c r="J2196" s="42">
        <f>IF(AND(ISNUMBER(F2196),ISNUMBER(H2196),F2196&gt;=Inputs!$C$68),F2196*H2196*Inputs!$C$69,"")</f>
      </c>
    </row>
    <row r="2197" spans="2:10" ht="15" customHeight="1" x14ac:dyDescent="0.2">
      <c r="B2197" s="39">
        <f t="shared" si="16"/>
      </c>
      <c r="C2197" s="40">
        <f>IF(Inputs!$C$60,Inputs!$C$11+(B2197-Inputs!$C$69)/Inputs!$C$70,"")</f>
      </c>
      <c r="D2197" s="15"/>
      <c r="E2197" s="15"/>
      <c r="F2197" s="11">
        <f t="shared" si="17"/>
      </c>
      <c r="G2197" s="22" cm="1">
        <f t="array" ref="G2197">IF(AND(Inputs!$C$60,Inputs!$C$61),INDEX(Utility_Rates!$C$29:$F$52,HOUR(C2197)+Inputs!$C$69,MATCH(INDEX(Utility_Rates!$K$6:$K$17,MONTH(C2197))&amp;IF(WEEKDAY(C2197,Inputs!$C$76)&lt;=Inputs!$C$74," weekday"," weekend"),Utility_Rates!$C$28:$F$28,Inputs!$C$68)),"")</f>
      </c>
      <c r="H2197" s="34"/>
      <c r="I2197" s="42">
        <f>IF(AND(ISNUMBER(D2197),ISNUMBER(H2197)),D2197*H2197*Inputs!$C$69,"")</f>
      </c>
      <c r="J2197" s="42">
        <f>IF(AND(ISNUMBER(F2197),ISNUMBER(H2197),F2197&gt;=Inputs!$C$68),F2197*H2197*Inputs!$C$69,"")</f>
      </c>
    </row>
    <row r="2198" spans="2:10" ht="15" customHeight="1" x14ac:dyDescent="0.2">
      <c r="B2198" s="39">
        <f t="shared" si="16"/>
      </c>
      <c r="C2198" s="40">
        <f>IF(Inputs!$C$60,Inputs!$C$11+(B2198-Inputs!$C$69)/Inputs!$C$70,"")</f>
      </c>
      <c r="D2198" s="15"/>
      <c r="E2198" s="15"/>
      <c r="F2198" s="11">
        <f t="shared" si="17"/>
      </c>
      <c r="G2198" s="22" cm="1">
        <f t="array" ref="G2198">IF(AND(Inputs!$C$60,Inputs!$C$61),INDEX(Utility_Rates!$C$29:$F$52,HOUR(C2198)+Inputs!$C$69,MATCH(INDEX(Utility_Rates!$K$6:$K$17,MONTH(C2198))&amp;IF(WEEKDAY(C2198,Inputs!$C$76)&lt;=Inputs!$C$74," weekday"," weekend"),Utility_Rates!$C$28:$F$28,Inputs!$C$68)),"")</f>
      </c>
      <c r="H2198" s="34"/>
      <c r="I2198" s="42">
        <f>IF(AND(ISNUMBER(D2198),ISNUMBER(H2198)),D2198*H2198*Inputs!$C$69,"")</f>
      </c>
      <c r="J2198" s="42">
        <f>IF(AND(ISNUMBER(F2198),ISNUMBER(H2198),F2198&gt;=Inputs!$C$68),F2198*H2198*Inputs!$C$69,"")</f>
      </c>
    </row>
    <row r="2199" spans="2:10" ht="15" customHeight="1" x14ac:dyDescent="0.2">
      <c r="B2199" s="39">
        <f t="shared" si="16"/>
      </c>
      <c r="C2199" s="40">
        <f>IF(Inputs!$C$60,Inputs!$C$11+(B2199-Inputs!$C$69)/Inputs!$C$70,"")</f>
      </c>
      <c r="D2199" s="15"/>
      <c r="E2199" s="15"/>
      <c r="F2199" s="11">
        <f t="shared" si="17"/>
      </c>
      <c r="G2199" s="22" cm="1">
        <f t="array" ref="G2199">IF(AND(Inputs!$C$60,Inputs!$C$61),INDEX(Utility_Rates!$C$29:$F$52,HOUR(C2199)+Inputs!$C$69,MATCH(INDEX(Utility_Rates!$K$6:$K$17,MONTH(C2199))&amp;IF(WEEKDAY(C2199,Inputs!$C$76)&lt;=Inputs!$C$74," weekday"," weekend"),Utility_Rates!$C$28:$F$28,Inputs!$C$68)),"")</f>
      </c>
      <c r="H2199" s="34"/>
      <c r="I2199" s="42">
        <f>IF(AND(ISNUMBER(D2199),ISNUMBER(H2199)),D2199*H2199*Inputs!$C$69,"")</f>
      </c>
      <c r="J2199" s="42">
        <f>IF(AND(ISNUMBER(F2199),ISNUMBER(H2199),F2199&gt;=Inputs!$C$68),F2199*H2199*Inputs!$C$69,"")</f>
      </c>
    </row>
    <row r="2200" spans="2:10" ht="15" customHeight="1" x14ac:dyDescent="0.2">
      <c r="B2200" s="39">
        <f t="shared" si="16"/>
      </c>
      <c r="C2200" s="40">
        <f>IF(Inputs!$C$60,Inputs!$C$11+(B2200-Inputs!$C$69)/Inputs!$C$70,"")</f>
      </c>
      <c r="D2200" s="15"/>
      <c r="E2200" s="15"/>
      <c r="F2200" s="11">
        <f t="shared" si="17"/>
      </c>
      <c r="G2200" s="22" cm="1">
        <f t="array" ref="G2200">IF(AND(Inputs!$C$60,Inputs!$C$61),INDEX(Utility_Rates!$C$29:$F$52,HOUR(C2200)+Inputs!$C$69,MATCH(INDEX(Utility_Rates!$K$6:$K$17,MONTH(C2200))&amp;IF(WEEKDAY(C2200,Inputs!$C$76)&lt;=Inputs!$C$74," weekday"," weekend"),Utility_Rates!$C$28:$F$28,Inputs!$C$68)),"")</f>
      </c>
      <c r="H2200" s="34"/>
      <c r="I2200" s="42">
        <f>IF(AND(ISNUMBER(D2200),ISNUMBER(H2200)),D2200*H2200*Inputs!$C$69,"")</f>
      </c>
      <c r="J2200" s="42">
        <f>IF(AND(ISNUMBER(F2200),ISNUMBER(H2200),F2200&gt;=Inputs!$C$68),F2200*H2200*Inputs!$C$69,"")</f>
      </c>
    </row>
    <row r="2201" spans="2:10" ht="15" customHeight="1" x14ac:dyDescent="0.2">
      <c r="B2201" s="39">
        <f t="shared" si="16"/>
      </c>
      <c r="C2201" s="40">
        <f>IF(Inputs!$C$60,Inputs!$C$11+(B2201-Inputs!$C$69)/Inputs!$C$70,"")</f>
      </c>
      <c r="D2201" s="15"/>
      <c r="E2201" s="15"/>
      <c r="F2201" s="11">
        <f t="shared" si="17"/>
      </c>
      <c r="G2201" s="22" cm="1">
        <f t="array" ref="G2201">IF(AND(Inputs!$C$60,Inputs!$C$61),INDEX(Utility_Rates!$C$29:$F$52,HOUR(C2201)+Inputs!$C$69,MATCH(INDEX(Utility_Rates!$K$6:$K$17,MONTH(C2201))&amp;IF(WEEKDAY(C2201,Inputs!$C$76)&lt;=Inputs!$C$74," weekday"," weekend"),Utility_Rates!$C$28:$F$28,Inputs!$C$68)),"")</f>
      </c>
      <c r="H2201" s="34"/>
      <c r="I2201" s="42">
        <f>IF(AND(ISNUMBER(D2201),ISNUMBER(H2201)),D2201*H2201*Inputs!$C$69,"")</f>
      </c>
      <c r="J2201" s="42">
        <f>IF(AND(ISNUMBER(F2201),ISNUMBER(H2201),F2201&gt;=Inputs!$C$68),F2201*H2201*Inputs!$C$69,"")</f>
      </c>
    </row>
    <row r="2202" spans="2:10" ht="15" customHeight="1" x14ac:dyDescent="0.2">
      <c r="B2202" s="39">
        <f t="shared" si="16"/>
      </c>
      <c r="C2202" s="40">
        <f>IF(Inputs!$C$60,Inputs!$C$11+(B2202-Inputs!$C$69)/Inputs!$C$70,"")</f>
      </c>
      <c r="D2202" s="15"/>
      <c r="E2202" s="15"/>
      <c r="F2202" s="11">
        <f t="shared" si="17"/>
      </c>
      <c r="G2202" s="22" cm="1">
        <f t="array" ref="G2202">IF(AND(Inputs!$C$60,Inputs!$C$61),INDEX(Utility_Rates!$C$29:$F$52,HOUR(C2202)+Inputs!$C$69,MATCH(INDEX(Utility_Rates!$K$6:$K$17,MONTH(C2202))&amp;IF(WEEKDAY(C2202,Inputs!$C$76)&lt;=Inputs!$C$74," weekday"," weekend"),Utility_Rates!$C$28:$F$28,Inputs!$C$68)),"")</f>
      </c>
      <c r="H2202" s="34"/>
      <c r="I2202" s="42">
        <f>IF(AND(ISNUMBER(D2202),ISNUMBER(H2202)),D2202*H2202*Inputs!$C$69,"")</f>
      </c>
      <c r="J2202" s="42">
        <f>IF(AND(ISNUMBER(F2202),ISNUMBER(H2202),F2202&gt;=Inputs!$C$68),F2202*H2202*Inputs!$C$69,"")</f>
      </c>
    </row>
    <row r="2203" spans="2:10" ht="15" customHeight="1" x14ac:dyDescent="0.2">
      <c r="B2203" s="39">
        <f t="shared" si="16"/>
      </c>
      <c r="C2203" s="40">
        <f>IF(Inputs!$C$60,Inputs!$C$11+(B2203-Inputs!$C$69)/Inputs!$C$70,"")</f>
      </c>
      <c r="D2203" s="15"/>
      <c r="E2203" s="15"/>
      <c r="F2203" s="11">
        <f t="shared" si="17"/>
      </c>
      <c r="G2203" s="22" cm="1">
        <f t="array" ref="G2203">IF(AND(Inputs!$C$60,Inputs!$C$61),INDEX(Utility_Rates!$C$29:$F$52,HOUR(C2203)+Inputs!$C$69,MATCH(INDEX(Utility_Rates!$K$6:$K$17,MONTH(C2203))&amp;IF(WEEKDAY(C2203,Inputs!$C$76)&lt;=Inputs!$C$74," weekday"," weekend"),Utility_Rates!$C$28:$F$28,Inputs!$C$68)),"")</f>
      </c>
      <c r="H2203" s="34"/>
      <c r="I2203" s="42">
        <f>IF(AND(ISNUMBER(D2203),ISNUMBER(H2203)),D2203*H2203*Inputs!$C$69,"")</f>
      </c>
      <c r="J2203" s="42">
        <f>IF(AND(ISNUMBER(F2203),ISNUMBER(H2203),F2203&gt;=Inputs!$C$68),F2203*H2203*Inputs!$C$69,"")</f>
      </c>
    </row>
    <row r="2204" spans="2:10" ht="15" customHeight="1" x14ac:dyDescent="0.2">
      <c r="B2204" s="39">
        <f t="shared" si="16"/>
      </c>
      <c r="C2204" s="40">
        <f>IF(Inputs!$C$60,Inputs!$C$11+(B2204-Inputs!$C$69)/Inputs!$C$70,"")</f>
      </c>
      <c r="D2204" s="15"/>
      <c r="E2204" s="15"/>
      <c r="F2204" s="11">
        <f t="shared" si="17"/>
      </c>
      <c r="G2204" s="22" cm="1">
        <f t="array" ref="G2204">IF(AND(Inputs!$C$60,Inputs!$C$61),INDEX(Utility_Rates!$C$29:$F$52,HOUR(C2204)+Inputs!$C$69,MATCH(INDEX(Utility_Rates!$K$6:$K$17,MONTH(C2204))&amp;IF(WEEKDAY(C2204,Inputs!$C$76)&lt;=Inputs!$C$74," weekday"," weekend"),Utility_Rates!$C$28:$F$28,Inputs!$C$68)),"")</f>
      </c>
      <c r="H2204" s="34"/>
      <c r="I2204" s="42">
        <f>IF(AND(ISNUMBER(D2204),ISNUMBER(H2204)),D2204*H2204*Inputs!$C$69,"")</f>
      </c>
      <c r="J2204" s="42">
        <f>IF(AND(ISNUMBER(F2204),ISNUMBER(H2204),F2204&gt;=Inputs!$C$68),F2204*H2204*Inputs!$C$69,"")</f>
      </c>
    </row>
    <row r="2205" spans="2:10" ht="15" customHeight="1" x14ac:dyDescent="0.2">
      <c r="B2205" s="39">
        <f t="shared" si="16"/>
      </c>
      <c r="C2205" s="40">
        <f>IF(Inputs!$C$60,Inputs!$C$11+(B2205-Inputs!$C$69)/Inputs!$C$70,"")</f>
      </c>
      <c r="D2205" s="15"/>
      <c r="E2205" s="15"/>
      <c r="F2205" s="11">
        <f t="shared" si="17"/>
      </c>
      <c r="G2205" s="22" cm="1">
        <f t="array" ref="G2205">IF(AND(Inputs!$C$60,Inputs!$C$61),INDEX(Utility_Rates!$C$29:$F$52,HOUR(C2205)+Inputs!$C$69,MATCH(INDEX(Utility_Rates!$K$6:$K$17,MONTH(C2205))&amp;IF(WEEKDAY(C2205,Inputs!$C$76)&lt;=Inputs!$C$74," weekday"," weekend"),Utility_Rates!$C$28:$F$28,Inputs!$C$68)),"")</f>
      </c>
      <c r="H2205" s="34"/>
      <c r="I2205" s="42">
        <f>IF(AND(ISNUMBER(D2205),ISNUMBER(H2205)),D2205*H2205*Inputs!$C$69,"")</f>
      </c>
      <c r="J2205" s="42">
        <f>IF(AND(ISNUMBER(F2205),ISNUMBER(H2205),F2205&gt;=Inputs!$C$68),F2205*H2205*Inputs!$C$69,"")</f>
      </c>
    </row>
    <row r="2206" spans="2:10" ht="15" customHeight="1" x14ac:dyDescent="0.2">
      <c r="B2206" s="39">
        <f t="shared" si="16"/>
      </c>
      <c r="C2206" s="40">
        <f>IF(Inputs!$C$60,Inputs!$C$11+(B2206-Inputs!$C$69)/Inputs!$C$70,"")</f>
      </c>
      <c r="D2206" s="15"/>
      <c r="E2206" s="15"/>
      <c r="F2206" s="11">
        <f t="shared" si="17"/>
      </c>
      <c r="G2206" s="22" cm="1">
        <f t="array" ref="G2206">IF(AND(Inputs!$C$60,Inputs!$C$61),INDEX(Utility_Rates!$C$29:$F$52,HOUR(C2206)+Inputs!$C$69,MATCH(INDEX(Utility_Rates!$K$6:$K$17,MONTH(C2206))&amp;IF(WEEKDAY(C2206,Inputs!$C$76)&lt;=Inputs!$C$74," weekday"," weekend"),Utility_Rates!$C$28:$F$28,Inputs!$C$68)),"")</f>
      </c>
      <c r="H2206" s="34"/>
      <c r="I2206" s="42">
        <f>IF(AND(ISNUMBER(D2206),ISNUMBER(H2206)),D2206*H2206*Inputs!$C$69,"")</f>
      </c>
      <c r="J2206" s="42">
        <f>IF(AND(ISNUMBER(F2206),ISNUMBER(H2206),F2206&gt;=Inputs!$C$68),F2206*H2206*Inputs!$C$69,"")</f>
      </c>
    </row>
    <row r="2207" spans="2:10" ht="15" customHeight="1" x14ac:dyDescent="0.2">
      <c r="B2207" s="39">
        <f t="shared" si="16"/>
      </c>
      <c r="C2207" s="40">
        <f>IF(Inputs!$C$60,Inputs!$C$11+(B2207-Inputs!$C$69)/Inputs!$C$70,"")</f>
      </c>
      <c r="D2207" s="15"/>
      <c r="E2207" s="15"/>
      <c r="F2207" s="11">
        <f t="shared" si="17"/>
      </c>
      <c r="G2207" s="22" cm="1">
        <f t="array" ref="G2207">IF(AND(Inputs!$C$60,Inputs!$C$61),INDEX(Utility_Rates!$C$29:$F$52,HOUR(C2207)+Inputs!$C$69,MATCH(INDEX(Utility_Rates!$K$6:$K$17,MONTH(C2207))&amp;IF(WEEKDAY(C2207,Inputs!$C$76)&lt;=Inputs!$C$74," weekday"," weekend"),Utility_Rates!$C$28:$F$28,Inputs!$C$68)),"")</f>
      </c>
      <c r="H2207" s="34"/>
      <c r="I2207" s="42">
        <f>IF(AND(ISNUMBER(D2207),ISNUMBER(H2207)),D2207*H2207*Inputs!$C$69,"")</f>
      </c>
      <c r="J2207" s="42">
        <f>IF(AND(ISNUMBER(F2207),ISNUMBER(H2207),F2207&gt;=Inputs!$C$68),F2207*H2207*Inputs!$C$69,"")</f>
      </c>
    </row>
    <row r="2208" spans="2:10" ht="15" customHeight="1" x14ac:dyDescent="0.2">
      <c r="B2208" s="39">
        <f t="shared" si="16"/>
      </c>
      <c r="C2208" s="40">
        <f>IF(Inputs!$C$60,Inputs!$C$11+(B2208-Inputs!$C$69)/Inputs!$C$70,"")</f>
      </c>
      <c r="D2208" s="15"/>
      <c r="E2208" s="15"/>
      <c r="F2208" s="11">
        <f t="shared" si="17"/>
      </c>
      <c r="G2208" s="22" cm="1">
        <f t="array" ref="G2208">IF(AND(Inputs!$C$60,Inputs!$C$61),INDEX(Utility_Rates!$C$29:$F$52,HOUR(C2208)+Inputs!$C$69,MATCH(INDEX(Utility_Rates!$K$6:$K$17,MONTH(C2208))&amp;IF(WEEKDAY(C2208,Inputs!$C$76)&lt;=Inputs!$C$74," weekday"," weekend"),Utility_Rates!$C$28:$F$28,Inputs!$C$68)),"")</f>
      </c>
      <c r="H2208" s="34"/>
      <c r="I2208" s="42">
        <f>IF(AND(ISNUMBER(D2208),ISNUMBER(H2208)),D2208*H2208*Inputs!$C$69,"")</f>
      </c>
      <c r="J2208" s="42">
        <f>IF(AND(ISNUMBER(F2208),ISNUMBER(H2208),F2208&gt;=Inputs!$C$68),F2208*H2208*Inputs!$C$69,"")</f>
      </c>
    </row>
    <row r="2209" spans="2:10" ht="15" customHeight="1" x14ac:dyDescent="0.2">
      <c r="B2209" s="39">
        <f t="shared" si="16"/>
      </c>
      <c r="C2209" s="40">
        <f>IF(Inputs!$C$60,Inputs!$C$11+(B2209-Inputs!$C$69)/Inputs!$C$70,"")</f>
      </c>
      <c r="D2209" s="15"/>
      <c r="E2209" s="15"/>
      <c r="F2209" s="11">
        <f t="shared" si="17"/>
      </c>
      <c r="G2209" s="22" cm="1">
        <f t="array" ref="G2209">IF(AND(Inputs!$C$60,Inputs!$C$61),INDEX(Utility_Rates!$C$29:$F$52,HOUR(C2209)+Inputs!$C$69,MATCH(INDEX(Utility_Rates!$K$6:$K$17,MONTH(C2209))&amp;IF(WEEKDAY(C2209,Inputs!$C$76)&lt;=Inputs!$C$74," weekday"," weekend"),Utility_Rates!$C$28:$F$28,Inputs!$C$68)),"")</f>
      </c>
      <c r="H2209" s="34"/>
      <c r="I2209" s="42">
        <f>IF(AND(ISNUMBER(D2209),ISNUMBER(H2209)),D2209*H2209*Inputs!$C$69,"")</f>
      </c>
      <c r="J2209" s="42">
        <f>IF(AND(ISNUMBER(F2209),ISNUMBER(H2209),F2209&gt;=Inputs!$C$68),F2209*H2209*Inputs!$C$69,"")</f>
      </c>
    </row>
    <row r="2210" spans="2:10" ht="15" customHeight="1" x14ac:dyDescent="0.2">
      <c r="B2210" s="39">
        <f t="shared" si="16"/>
      </c>
      <c r="C2210" s="40">
        <f>IF(Inputs!$C$60,Inputs!$C$11+(B2210-Inputs!$C$69)/Inputs!$C$70,"")</f>
      </c>
      <c r="D2210" s="15"/>
      <c r="E2210" s="15"/>
      <c r="F2210" s="11">
        <f t="shared" si="17"/>
      </c>
      <c r="G2210" s="22" cm="1">
        <f t="array" ref="G2210">IF(AND(Inputs!$C$60,Inputs!$C$61),INDEX(Utility_Rates!$C$29:$F$52,HOUR(C2210)+Inputs!$C$69,MATCH(INDEX(Utility_Rates!$K$6:$K$17,MONTH(C2210))&amp;IF(WEEKDAY(C2210,Inputs!$C$76)&lt;=Inputs!$C$74," weekday"," weekend"),Utility_Rates!$C$28:$F$28,Inputs!$C$68)),"")</f>
      </c>
      <c r="H2210" s="34"/>
      <c r="I2210" s="42">
        <f>IF(AND(ISNUMBER(D2210),ISNUMBER(H2210)),D2210*H2210*Inputs!$C$69,"")</f>
      </c>
      <c r="J2210" s="42">
        <f>IF(AND(ISNUMBER(F2210),ISNUMBER(H2210),F2210&gt;=Inputs!$C$68),F2210*H2210*Inputs!$C$69,"")</f>
      </c>
    </row>
    <row r="2211" spans="2:10" ht="15" customHeight="1" x14ac:dyDescent="0.2">
      <c r="B2211" s="39">
        <f t="shared" si="16"/>
      </c>
      <c r="C2211" s="40">
        <f>IF(Inputs!$C$60,Inputs!$C$11+(B2211-Inputs!$C$69)/Inputs!$C$70,"")</f>
      </c>
      <c r="D2211" s="15"/>
      <c r="E2211" s="15"/>
      <c r="F2211" s="11">
        <f t="shared" si="17"/>
      </c>
      <c r="G2211" s="22" cm="1">
        <f t="array" ref="G2211">IF(AND(Inputs!$C$60,Inputs!$C$61),INDEX(Utility_Rates!$C$29:$F$52,HOUR(C2211)+Inputs!$C$69,MATCH(INDEX(Utility_Rates!$K$6:$K$17,MONTH(C2211))&amp;IF(WEEKDAY(C2211,Inputs!$C$76)&lt;=Inputs!$C$74," weekday"," weekend"),Utility_Rates!$C$28:$F$28,Inputs!$C$68)),"")</f>
      </c>
      <c r="H2211" s="34"/>
      <c r="I2211" s="42">
        <f>IF(AND(ISNUMBER(D2211),ISNUMBER(H2211)),D2211*H2211*Inputs!$C$69,"")</f>
      </c>
      <c r="J2211" s="42">
        <f>IF(AND(ISNUMBER(F2211),ISNUMBER(H2211),F2211&gt;=Inputs!$C$68),F2211*H2211*Inputs!$C$69,"")</f>
      </c>
    </row>
    <row r="2212" spans="2:10" ht="15" customHeight="1" x14ac:dyDescent="0.2">
      <c r="B2212" s="39">
        <f t="shared" si="16"/>
      </c>
      <c r="C2212" s="40">
        <f>IF(Inputs!$C$60,Inputs!$C$11+(B2212-Inputs!$C$69)/Inputs!$C$70,"")</f>
      </c>
      <c r="D2212" s="15"/>
      <c r="E2212" s="15"/>
      <c r="F2212" s="11">
        <f t="shared" si="17"/>
      </c>
      <c r="G2212" s="22" cm="1">
        <f t="array" ref="G2212">IF(AND(Inputs!$C$60,Inputs!$C$61),INDEX(Utility_Rates!$C$29:$F$52,HOUR(C2212)+Inputs!$C$69,MATCH(INDEX(Utility_Rates!$K$6:$K$17,MONTH(C2212))&amp;IF(WEEKDAY(C2212,Inputs!$C$76)&lt;=Inputs!$C$74," weekday"," weekend"),Utility_Rates!$C$28:$F$28,Inputs!$C$68)),"")</f>
      </c>
      <c r="H2212" s="34"/>
      <c r="I2212" s="42">
        <f>IF(AND(ISNUMBER(D2212),ISNUMBER(H2212)),D2212*H2212*Inputs!$C$69,"")</f>
      </c>
      <c r="J2212" s="42">
        <f>IF(AND(ISNUMBER(F2212),ISNUMBER(H2212),F2212&gt;=Inputs!$C$68),F2212*H2212*Inputs!$C$69,"")</f>
      </c>
    </row>
    <row r="2213" spans="2:10" ht="15" customHeight="1" x14ac:dyDescent="0.2">
      <c r="B2213" s="39">
        <f t="shared" si="16"/>
      </c>
      <c r="C2213" s="40">
        <f>IF(Inputs!$C$60,Inputs!$C$11+(B2213-Inputs!$C$69)/Inputs!$C$70,"")</f>
      </c>
      <c r="D2213" s="15"/>
      <c r="E2213" s="15"/>
      <c r="F2213" s="11">
        <f t="shared" si="17"/>
      </c>
      <c r="G2213" s="22" cm="1">
        <f t="array" ref="G2213">IF(AND(Inputs!$C$60,Inputs!$C$61),INDEX(Utility_Rates!$C$29:$F$52,HOUR(C2213)+Inputs!$C$69,MATCH(INDEX(Utility_Rates!$K$6:$K$17,MONTH(C2213))&amp;IF(WEEKDAY(C2213,Inputs!$C$76)&lt;=Inputs!$C$74," weekday"," weekend"),Utility_Rates!$C$28:$F$28,Inputs!$C$68)),"")</f>
      </c>
      <c r="H2213" s="34"/>
      <c r="I2213" s="42">
        <f>IF(AND(ISNUMBER(D2213),ISNUMBER(H2213)),D2213*H2213*Inputs!$C$69,"")</f>
      </c>
      <c r="J2213" s="42">
        <f>IF(AND(ISNUMBER(F2213),ISNUMBER(H2213),F2213&gt;=Inputs!$C$68),F2213*H2213*Inputs!$C$69,"")</f>
      </c>
    </row>
    <row r="2214" spans="2:10" ht="15" customHeight="1" x14ac:dyDescent="0.2">
      <c r="B2214" s="39">
        <f t="shared" si="16"/>
      </c>
      <c r="C2214" s="40">
        <f>IF(Inputs!$C$60,Inputs!$C$11+(B2214-Inputs!$C$69)/Inputs!$C$70,"")</f>
      </c>
      <c r="D2214" s="15"/>
      <c r="E2214" s="15"/>
      <c r="F2214" s="11">
        <f t="shared" si="17"/>
      </c>
      <c r="G2214" s="22" cm="1">
        <f t="array" ref="G2214">IF(AND(Inputs!$C$60,Inputs!$C$61),INDEX(Utility_Rates!$C$29:$F$52,HOUR(C2214)+Inputs!$C$69,MATCH(INDEX(Utility_Rates!$K$6:$K$17,MONTH(C2214))&amp;IF(WEEKDAY(C2214,Inputs!$C$76)&lt;=Inputs!$C$74," weekday"," weekend"),Utility_Rates!$C$28:$F$28,Inputs!$C$68)),"")</f>
      </c>
      <c r="H2214" s="34"/>
      <c r="I2214" s="42">
        <f>IF(AND(ISNUMBER(D2214),ISNUMBER(H2214)),D2214*H2214*Inputs!$C$69,"")</f>
      </c>
      <c r="J2214" s="42">
        <f>IF(AND(ISNUMBER(F2214),ISNUMBER(H2214),F2214&gt;=Inputs!$C$68),F2214*H2214*Inputs!$C$69,"")</f>
      </c>
    </row>
    <row r="2215" spans="2:10" ht="15" customHeight="1" x14ac:dyDescent="0.2">
      <c r="B2215" s="39">
        <f t="shared" si="16"/>
      </c>
      <c r="C2215" s="40">
        <f>IF(Inputs!$C$60,Inputs!$C$11+(B2215-Inputs!$C$69)/Inputs!$C$70,"")</f>
      </c>
      <c r="D2215" s="15"/>
      <c r="E2215" s="15"/>
      <c r="F2215" s="11">
        <f t="shared" si="17"/>
      </c>
      <c r="G2215" s="22" cm="1">
        <f t="array" ref="G2215">IF(AND(Inputs!$C$60,Inputs!$C$61),INDEX(Utility_Rates!$C$29:$F$52,HOUR(C2215)+Inputs!$C$69,MATCH(INDEX(Utility_Rates!$K$6:$K$17,MONTH(C2215))&amp;IF(WEEKDAY(C2215,Inputs!$C$76)&lt;=Inputs!$C$74," weekday"," weekend"),Utility_Rates!$C$28:$F$28,Inputs!$C$68)),"")</f>
      </c>
      <c r="H2215" s="34"/>
      <c r="I2215" s="42">
        <f>IF(AND(ISNUMBER(D2215),ISNUMBER(H2215)),D2215*H2215*Inputs!$C$69,"")</f>
      </c>
      <c r="J2215" s="42">
        <f>IF(AND(ISNUMBER(F2215),ISNUMBER(H2215),F2215&gt;=Inputs!$C$68),F2215*H2215*Inputs!$C$69,"")</f>
      </c>
    </row>
    <row r="2216" spans="2:10" ht="15" customHeight="1" x14ac:dyDescent="0.2">
      <c r="B2216" s="39">
        <f t="shared" si="16"/>
      </c>
      <c r="C2216" s="40">
        <f>IF(Inputs!$C$60,Inputs!$C$11+(B2216-Inputs!$C$69)/Inputs!$C$70,"")</f>
      </c>
      <c r="D2216" s="15"/>
      <c r="E2216" s="15"/>
      <c r="F2216" s="11">
        <f t="shared" si="17"/>
      </c>
      <c r="G2216" s="22" cm="1">
        <f t="array" ref="G2216">IF(AND(Inputs!$C$60,Inputs!$C$61),INDEX(Utility_Rates!$C$29:$F$52,HOUR(C2216)+Inputs!$C$69,MATCH(INDEX(Utility_Rates!$K$6:$K$17,MONTH(C2216))&amp;IF(WEEKDAY(C2216,Inputs!$C$76)&lt;=Inputs!$C$74," weekday"," weekend"),Utility_Rates!$C$28:$F$28,Inputs!$C$68)),"")</f>
      </c>
      <c r="H2216" s="34"/>
      <c r="I2216" s="42">
        <f>IF(AND(ISNUMBER(D2216),ISNUMBER(H2216)),D2216*H2216*Inputs!$C$69,"")</f>
      </c>
      <c r="J2216" s="42">
        <f>IF(AND(ISNUMBER(F2216),ISNUMBER(H2216),F2216&gt;=Inputs!$C$68),F2216*H2216*Inputs!$C$69,"")</f>
      </c>
    </row>
    <row r="2217" spans="2:10" ht="15" customHeight="1" x14ac:dyDescent="0.2">
      <c r="B2217" s="39">
        <f t="shared" si="16"/>
      </c>
      <c r="C2217" s="40">
        <f>IF(Inputs!$C$60,Inputs!$C$11+(B2217-Inputs!$C$69)/Inputs!$C$70,"")</f>
      </c>
      <c r="D2217" s="15"/>
      <c r="E2217" s="15"/>
      <c r="F2217" s="11">
        <f t="shared" si="17"/>
      </c>
      <c r="G2217" s="22" cm="1">
        <f t="array" ref="G2217">IF(AND(Inputs!$C$60,Inputs!$C$61),INDEX(Utility_Rates!$C$29:$F$52,HOUR(C2217)+Inputs!$C$69,MATCH(INDEX(Utility_Rates!$K$6:$K$17,MONTH(C2217))&amp;IF(WEEKDAY(C2217,Inputs!$C$76)&lt;=Inputs!$C$74," weekday"," weekend"),Utility_Rates!$C$28:$F$28,Inputs!$C$68)),"")</f>
      </c>
      <c r="H2217" s="34"/>
      <c r="I2217" s="42">
        <f>IF(AND(ISNUMBER(D2217),ISNUMBER(H2217)),D2217*H2217*Inputs!$C$69,"")</f>
      </c>
      <c r="J2217" s="42">
        <f>IF(AND(ISNUMBER(F2217),ISNUMBER(H2217),F2217&gt;=Inputs!$C$68),F2217*H2217*Inputs!$C$69,"")</f>
      </c>
    </row>
    <row r="2218" spans="2:10" ht="15" customHeight="1" x14ac:dyDescent="0.2">
      <c r="B2218" s="39">
        <f t="shared" si="16"/>
      </c>
      <c r="C2218" s="40">
        <f>IF(Inputs!$C$60,Inputs!$C$11+(B2218-Inputs!$C$69)/Inputs!$C$70,"")</f>
      </c>
      <c r="D2218" s="15"/>
      <c r="E2218" s="15"/>
      <c r="F2218" s="11">
        <f t="shared" si="17"/>
      </c>
      <c r="G2218" s="22" cm="1">
        <f t="array" ref="G2218">IF(AND(Inputs!$C$60,Inputs!$C$61),INDEX(Utility_Rates!$C$29:$F$52,HOUR(C2218)+Inputs!$C$69,MATCH(INDEX(Utility_Rates!$K$6:$K$17,MONTH(C2218))&amp;IF(WEEKDAY(C2218,Inputs!$C$76)&lt;=Inputs!$C$74," weekday"," weekend"),Utility_Rates!$C$28:$F$28,Inputs!$C$68)),"")</f>
      </c>
      <c r="H2218" s="34"/>
      <c r="I2218" s="42">
        <f>IF(AND(ISNUMBER(D2218),ISNUMBER(H2218)),D2218*H2218*Inputs!$C$69,"")</f>
      </c>
      <c r="J2218" s="42">
        <f>IF(AND(ISNUMBER(F2218),ISNUMBER(H2218),F2218&gt;=Inputs!$C$68),F2218*H2218*Inputs!$C$69,"")</f>
      </c>
    </row>
    <row r="2219" spans="2:10" ht="15" customHeight="1" x14ac:dyDescent="0.2">
      <c r="B2219" s="39">
        <f t="shared" si="16"/>
      </c>
      <c r="C2219" s="40">
        <f>IF(Inputs!$C$60,Inputs!$C$11+(B2219-Inputs!$C$69)/Inputs!$C$70,"")</f>
      </c>
      <c r="D2219" s="15"/>
      <c r="E2219" s="15"/>
      <c r="F2219" s="11">
        <f t="shared" si="17"/>
      </c>
      <c r="G2219" s="22" cm="1">
        <f t="array" ref="G2219">IF(AND(Inputs!$C$60,Inputs!$C$61),INDEX(Utility_Rates!$C$29:$F$52,HOUR(C2219)+Inputs!$C$69,MATCH(INDEX(Utility_Rates!$K$6:$K$17,MONTH(C2219))&amp;IF(WEEKDAY(C2219,Inputs!$C$76)&lt;=Inputs!$C$74," weekday"," weekend"),Utility_Rates!$C$28:$F$28,Inputs!$C$68)),"")</f>
      </c>
      <c r="H2219" s="34"/>
      <c r="I2219" s="42">
        <f>IF(AND(ISNUMBER(D2219),ISNUMBER(H2219)),D2219*H2219*Inputs!$C$69,"")</f>
      </c>
      <c r="J2219" s="42">
        <f>IF(AND(ISNUMBER(F2219),ISNUMBER(H2219),F2219&gt;=Inputs!$C$68),F2219*H2219*Inputs!$C$69,"")</f>
      </c>
    </row>
    <row r="2220" spans="2:10" ht="15" customHeight="1" x14ac:dyDescent="0.2">
      <c r="B2220" s="39">
        <f t="shared" si="16"/>
      </c>
      <c r="C2220" s="40">
        <f>IF(Inputs!$C$60,Inputs!$C$11+(B2220-Inputs!$C$69)/Inputs!$C$70,"")</f>
      </c>
      <c r="D2220" s="15"/>
      <c r="E2220" s="15"/>
      <c r="F2220" s="11">
        <f t="shared" si="17"/>
      </c>
      <c r="G2220" s="22" cm="1">
        <f t="array" ref="G2220">IF(AND(Inputs!$C$60,Inputs!$C$61),INDEX(Utility_Rates!$C$29:$F$52,HOUR(C2220)+Inputs!$C$69,MATCH(INDEX(Utility_Rates!$K$6:$K$17,MONTH(C2220))&amp;IF(WEEKDAY(C2220,Inputs!$C$76)&lt;=Inputs!$C$74," weekday"," weekend"),Utility_Rates!$C$28:$F$28,Inputs!$C$68)),"")</f>
      </c>
      <c r="H2220" s="34"/>
      <c r="I2220" s="42">
        <f>IF(AND(ISNUMBER(D2220),ISNUMBER(H2220)),D2220*H2220*Inputs!$C$69,"")</f>
      </c>
      <c r="J2220" s="42">
        <f>IF(AND(ISNUMBER(F2220),ISNUMBER(H2220),F2220&gt;=Inputs!$C$68),F2220*H2220*Inputs!$C$69,"")</f>
      </c>
    </row>
    <row r="2221" spans="2:10" ht="15" customHeight="1" x14ac:dyDescent="0.2">
      <c r="B2221" s="39">
        <f t="shared" si="16"/>
      </c>
      <c r="C2221" s="40">
        <f>IF(Inputs!$C$60,Inputs!$C$11+(B2221-Inputs!$C$69)/Inputs!$C$70,"")</f>
      </c>
      <c r="D2221" s="15"/>
      <c r="E2221" s="15"/>
      <c r="F2221" s="11">
        <f t="shared" si="17"/>
      </c>
      <c r="G2221" s="22" cm="1">
        <f t="array" ref="G2221">IF(AND(Inputs!$C$60,Inputs!$C$61),INDEX(Utility_Rates!$C$29:$F$52,HOUR(C2221)+Inputs!$C$69,MATCH(INDEX(Utility_Rates!$K$6:$K$17,MONTH(C2221))&amp;IF(WEEKDAY(C2221,Inputs!$C$76)&lt;=Inputs!$C$74," weekday"," weekend"),Utility_Rates!$C$28:$F$28,Inputs!$C$68)),"")</f>
      </c>
      <c r="H2221" s="34"/>
      <c r="I2221" s="42">
        <f>IF(AND(ISNUMBER(D2221),ISNUMBER(H2221)),D2221*H2221*Inputs!$C$69,"")</f>
      </c>
      <c r="J2221" s="42">
        <f>IF(AND(ISNUMBER(F2221),ISNUMBER(H2221),F2221&gt;=Inputs!$C$68),F2221*H2221*Inputs!$C$69,"")</f>
      </c>
    </row>
    <row r="2222" spans="2:10" ht="15" customHeight="1" x14ac:dyDescent="0.2">
      <c r="B2222" s="39">
        <f t="shared" si="16"/>
      </c>
      <c r="C2222" s="40">
        <f>IF(Inputs!$C$60,Inputs!$C$11+(B2222-Inputs!$C$69)/Inputs!$C$70,"")</f>
      </c>
      <c r="D2222" s="15"/>
      <c r="E2222" s="15"/>
      <c r="F2222" s="11">
        <f t="shared" si="17"/>
      </c>
      <c r="G2222" s="22" cm="1">
        <f t="array" ref="G2222">IF(AND(Inputs!$C$60,Inputs!$C$61),INDEX(Utility_Rates!$C$29:$F$52,HOUR(C2222)+Inputs!$C$69,MATCH(INDEX(Utility_Rates!$K$6:$K$17,MONTH(C2222))&amp;IF(WEEKDAY(C2222,Inputs!$C$76)&lt;=Inputs!$C$74," weekday"," weekend"),Utility_Rates!$C$28:$F$28,Inputs!$C$68)),"")</f>
      </c>
      <c r="H2222" s="34"/>
      <c r="I2222" s="42">
        <f>IF(AND(ISNUMBER(D2222),ISNUMBER(H2222)),D2222*H2222*Inputs!$C$69,"")</f>
      </c>
      <c r="J2222" s="42">
        <f>IF(AND(ISNUMBER(F2222),ISNUMBER(H2222),F2222&gt;=Inputs!$C$68),F2222*H2222*Inputs!$C$69,"")</f>
      </c>
    </row>
    <row r="2223" spans="2:10" ht="15" customHeight="1" x14ac:dyDescent="0.2">
      <c r="B2223" s="39">
        <f t="shared" si="16"/>
      </c>
      <c r="C2223" s="40">
        <f>IF(Inputs!$C$60,Inputs!$C$11+(B2223-Inputs!$C$69)/Inputs!$C$70,"")</f>
      </c>
      <c r="D2223" s="15"/>
      <c r="E2223" s="15"/>
      <c r="F2223" s="11">
        <f t="shared" si="17"/>
      </c>
      <c r="G2223" s="22" cm="1">
        <f t="array" ref="G2223">IF(AND(Inputs!$C$60,Inputs!$C$61),INDEX(Utility_Rates!$C$29:$F$52,HOUR(C2223)+Inputs!$C$69,MATCH(INDEX(Utility_Rates!$K$6:$K$17,MONTH(C2223))&amp;IF(WEEKDAY(C2223,Inputs!$C$76)&lt;=Inputs!$C$74," weekday"," weekend"),Utility_Rates!$C$28:$F$28,Inputs!$C$68)),"")</f>
      </c>
      <c r="H2223" s="34"/>
      <c r="I2223" s="42">
        <f>IF(AND(ISNUMBER(D2223),ISNUMBER(H2223)),D2223*H2223*Inputs!$C$69,"")</f>
      </c>
      <c r="J2223" s="42">
        <f>IF(AND(ISNUMBER(F2223),ISNUMBER(H2223),F2223&gt;=Inputs!$C$68),F2223*H2223*Inputs!$C$69,"")</f>
      </c>
    </row>
    <row r="2224" spans="2:10" ht="15" customHeight="1" x14ac:dyDescent="0.2">
      <c r="B2224" s="39">
        <f t="shared" si="16"/>
      </c>
      <c r="C2224" s="40">
        <f>IF(Inputs!$C$60,Inputs!$C$11+(B2224-Inputs!$C$69)/Inputs!$C$70,"")</f>
      </c>
      <c r="D2224" s="15"/>
      <c r="E2224" s="15"/>
      <c r="F2224" s="11">
        <f t="shared" si="17"/>
      </c>
      <c r="G2224" s="22" cm="1">
        <f t="array" ref="G2224">IF(AND(Inputs!$C$60,Inputs!$C$61),INDEX(Utility_Rates!$C$29:$F$52,HOUR(C2224)+Inputs!$C$69,MATCH(INDEX(Utility_Rates!$K$6:$K$17,MONTH(C2224))&amp;IF(WEEKDAY(C2224,Inputs!$C$76)&lt;=Inputs!$C$74," weekday"," weekend"),Utility_Rates!$C$28:$F$28,Inputs!$C$68)),"")</f>
      </c>
      <c r="H2224" s="34"/>
      <c r="I2224" s="42">
        <f>IF(AND(ISNUMBER(D2224),ISNUMBER(H2224)),D2224*H2224*Inputs!$C$69,"")</f>
      </c>
      <c r="J2224" s="42">
        <f>IF(AND(ISNUMBER(F2224),ISNUMBER(H2224),F2224&gt;=Inputs!$C$68),F2224*H2224*Inputs!$C$69,"")</f>
      </c>
    </row>
    <row r="2225" spans="2:10" ht="15" customHeight="1" x14ac:dyDescent="0.2">
      <c r="B2225" s="39">
        <f t="shared" si="16"/>
      </c>
      <c r="C2225" s="40">
        <f>IF(Inputs!$C$60,Inputs!$C$11+(B2225-Inputs!$C$69)/Inputs!$C$70,"")</f>
      </c>
      <c r="D2225" s="15"/>
      <c r="E2225" s="15"/>
      <c r="F2225" s="11">
        <f t="shared" si="17"/>
      </c>
      <c r="G2225" s="22" cm="1">
        <f t="array" ref="G2225">IF(AND(Inputs!$C$60,Inputs!$C$61),INDEX(Utility_Rates!$C$29:$F$52,HOUR(C2225)+Inputs!$C$69,MATCH(INDEX(Utility_Rates!$K$6:$K$17,MONTH(C2225))&amp;IF(WEEKDAY(C2225,Inputs!$C$76)&lt;=Inputs!$C$74," weekday"," weekend"),Utility_Rates!$C$28:$F$28,Inputs!$C$68)),"")</f>
      </c>
      <c r="H2225" s="34"/>
      <c r="I2225" s="42">
        <f>IF(AND(ISNUMBER(D2225),ISNUMBER(H2225)),D2225*H2225*Inputs!$C$69,"")</f>
      </c>
      <c r="J2225" s="42">
        <f>IF(AND(ISNUMBER(F2225),ISNUMBER(H2225),F2225&gt;=Inputs!$C$68),F2225*H2225*Inputs!$C$69,"")</f>
      </c>
    </row>
    <row r="2226" spans="2:10" ht="15" customHeight="1" x14ac:dyDescent="0.2">
      <c r="B2226" s="39">
        <f t="shared" si="16"/>
      </c>
      <c r="C2226" s="40">
        <f>IF(Inputs!$C$60,Inputs!$C$11+(B2226-Inputs!$C$69)/Inputs!$C$70,"")</f>
      </c>
      <c r="D2226" s="15"/>
      <c r="E2226" s="15"/>
      <c r="F2226" s="11">
        <f t="shared" si="17"/>
      </c>
      <c r="G2226" s="22" cm="1">
        <f t="array" ref="G2226">IF(AND(Inputs!$C$60,Inputs!$C$61),INDEX(Utility_Rates!$C$29:$F$52,HOUR(C2226)+Inputs!$C$69,MATCH(INDEX(Utility_Rates!$K$6:$K$17,MONTH(C2226))&amp;IF(WEEKDAY(C2226,Inputs!$C$76)&lt;=Inputs!$C$74," weekday"," weekend"),Utility_Rates!$C$28:$F$28,Inputs!$C$68)),"")</f>
      </c>
      <c r="H2226" s="34"/>
      <c r="I2226" s="42">
        <f>IF(AND(ISNUMBER(D2226),ISNUMBER(H2226)),D2226*H2226*Inputs!$C$69,"")</f>
      </c>
      <c r="J2226" s="42">
        <f>IF(AND(ISNUMBER(F2226),ISNUMBER(H2226),F2226&gt;=Inputs!$C$68),F2226*H2226*Inputs!$C$69,"")</f>
      </c>
    </row>
    <row r="2227" spans="2:10" ht="15" customHeight="1" x14ac:dyDescent="0.2">
      <c r="B2227" s="39">
        <f t="shared" si="16"/>
      </c>
      <c r="C2227" s="40">
        <f>IF(Inputs!$C$60,Inputs!$C$11+(B2227-Inputs!$C$69)/Inputs!$C$70,"")</f>
      </c>
      <c r="D2227" s="15"/>
      <c r="E2227" s="15"/>
      <c r="F2227" s="11">
        <f t="shared" si="17"/>
      </c>
      <c r="G2227" s="22" cm="1">
        <f t="array" ref="G2227">IF(AND(Inputs!$C$60,Inputs!$C$61),INDEX(Utility_Rates!$C$29:$F$52,HOUR(C2227)+Inputs!$C$69,MATCH(INDEX(Utility_Rates!$K$6:$K$17,MONTH(C2227))&amp;IF(WEEKDAY(C2227,Inputs!$C$76)&lt;=Inputs!$C$74," weekday"," weekend"),Utility_Rates!$C$28:$F$28,Inputs!$C$68)),"")</f>
      </c>
      <c r="H2227" s="34"/>
      <c r="I2227" s="42">
        <f>IF(AND(ISNUMBER(D2227),ISNUMBER(H2227)),D2227*H2227*Inputs!$C$69,"")</f>
      </c>
      <c r="J2227" s="42">
        <f>IF(AND(ISNUMBER(F2227),ISNUMBER(H2227),F2227&gt;=Inputs!$C$68),F2227*H2227*Inputs!$C$69,"")</f>
      </c>
    </row>
    <row r="2228" spans="2:10" ht="15" customHeight="1" x14ac:dyDescent="0.2">
      <c r="B2228" s="39">
        <f t="shared" si="16"/>
      </c>
      <c r="C2228" s="40">
        <f>IF(Inputs!$C$60,Inputs!$C$11+(B2228-Inputs!$C$69)/Inputs!$C$70,"")</f>
      </c>
      <c r="D2228" s="15"/>
      <c r="E2228" s="15"/>
      <c r="F2228" s="11">
        <f t="shared" si="17"/>
      </c>
      <c r="G2228" s="22" cm="1">
        <f t="array" ref="G2228">IF(AND(Inputs!$C$60,Inputs!$C$61),INDEX(Utility_Rates!$C$29:$F$52,HOUR(C2228)+Inputs!$C$69,MATCH(INDEX(Utility_Rates!$K$6:$K$17,MONTH(C2228))&amp;IF(WEEKDAY(C2228,Inputs!$C$76)&lt;=Inputs!$C$74," weekday"," weekend"),Utility_Rates!$C$28:$F$28,Inputs!$C$68)),"")</f>
      </c>
      <c r="H2228" s="34"/>
      <c r="I2228" s="42">
        <f>IF(AND(ISNUMBER(D2228),ISNUMBER(H2228)),D2228*H2228*Inputs!$C$69,"")</f>
      </c>
      <c r="J2228" s="42">
        <f>IF(AND(ISNUMBER(F2228),ISNUMBER(H2228),F2228&gt;=Inputs!$C$68),F2228*H2228*Inputs!$C$69,"")</f>
      </c>
    </row>
    <row r="2229" spans="2:10" ht="15" customHeight="1" x14ac:dyDescent="0.2">
      <c r="B2229" s="39">
        <f t="shared" si="16"/>
      </c>
      <c r="C2229" s="40">
        <f>IF(Inputs!$C$60,Inputs!$C$11+(B2229-Inputs!$C$69)/Inputs!$C$70,"")</f>
      </c>
      <c r="D2229" s="15"/>
      <c r="E2229" s="15"/>
      <c r="F2229" s="11">
        <f t="shared" si="17"/>
      </c>
      <c r="G2229" s="22" cm="1">
        <f t="array" ref="G2229">IF(AND(Inputs!$C$60,Inputs!$C$61),INDEX(Utility_Rates!$C$29:$F$52,HOUR(C2229)+Inputs!$C$69,MATCH(INDEX(Utility_Rates!$K$6:$K$17,MONTH(C2229))&amp;IF(WEEKDAY(C2229,Inputs!$C$76)&lt;=Inputs!$C$74," weekday"," weekend"),Utility_Rates!$C$28:$F$28,Inputs!$C$68)),"")</f>
      </c>
      <c r="H2229" s="34"/>
      <c r="I2229" s="42">
        <f>IF(AND(ISNUMBER(D2229),ISNUMBER(H2229)),D2229*H2229*Inputs!$C$69,"")</f>
      </c>
      <c r="J2229" s="42">
        <f>IF(AND(ISNUMBER(F2229),ISNUMBER(H2229),F2229&gt;=Inputs!$C$68),F2229*H2229*Inputs!$C$69,"")</f>
      </c>
    </row>
    <row r="2230" spans="2:10" ht="15" customHeight="1" x14ac:dyDescent="0.2">
      <c r="B2230" s="39">
        <f t="shared" si="16"/>
      </c>
      <c r="C2230" s="40">
        <f>IF(Inputs!$C$60,Inputs!$C$11+(B2230-Inputs!$C$69)/Inputs!$C$70,"")</f>
      </c>
      <c r="D2230" s="15"/>
      <c r="E2230" s="15"/>
      <c r="F2230" s="11">
        <f t="shared" si="17"/>
      </c>
      <c r="G2230" s="22" cm="1">
        <f t="array" ref="G2230">IF(AND(Inputs!$C$60,Inputs!$C$61),INDEX(Utility_Rates!$C$29:$F$52,HOUR(C2230)+Inputs!$C$69,MATCH(INDEX(Utility_Rates!$K$6:$K$17,MONTH(C2230))&amp;IF(WEEKDAY(C2230,Inputs!$C$76)&lt;=Inputs!$C$74," weekday"," weekend"),Utility_Rates!$C$28:$F$28,Inputs!$C$68)),"")</f>
      </c>
      <c r="H2230" s="34"/>
      <c r="I2230" s="42">
        <f>IF(AND(ISNUMBER(D2230),ISNUMBER(H2230)),D2230*H2230*Inputs!$C$69,"")</f>
      </c>
      <c r="J2230" s="42">
        <f>IF(AND(ISNUMBER(F2230),ISNUMBER(H2230),F2230&gt;=Inputs!$C$68),F2230*H2230*Inputs!$C$69,"")</f>
      </c>
    </row>
    <row r="2231" spans="2:10" ht="15" customHeight="1" x14ac:dyDescent="0.2">
      <c r="B2231" s="39">
        <f t="shared" si="16"/>
      </c>
      <c r="C2231" s="40">
        <f>IF(Inputs!$C$60,Inputs!$C$11+(B2231-Inputs!$C$69)/Inputs!$C$70,"")</f>
      </c>
      <c r="D2231" s="15"/>
      <c r="E2231" s="15"/>
      <c r="F2231" s="11">
        <f t="shared" si="17"/>
      </c>
      <c r="G2231" s="22" cm="1">
        <f t="array" ref="G2231">IF(AND(Inputs!$C$60,Inputs!$C$61),INDEX(Utility_Rates!$C$29:$F$52,HOUR(C2231)+Inputs!$C$69,MATCH(INDEX(Utility_Rates!$K$6:$K$17,MONTH(C2231))&amp;IF(WEEKDAY(C2231,Inputs!$C$76)&lt;=Inputs!$C$74," weekday"," weekend"),Utility_Rates!$C$28:$F$28,Inputs!$C$68)),"")</f>
      </c>
      <c r="H2231" s="34"/>
      <c r="I2231" s="42">
        <f>IF(AND(ISNUMBER(D2231),ISNUMBER(H2231)),D2231*H2231*Inputs!$C$69,"")</f>
      </c>
      <c r="J2231" s="42">
        <f>IF(AND(ISNUMBER(F2231),ISNUMBER(H2231),F2231&gt;=Inputs!$C$68),F2231*H2231*Inputs!$C$69,"")</f>
      </c>
    </row>
    <row r="2232" spans="2:10" ht="15" customHeight="1" x14ac:dyDescent="0.2">
      <c r="B2232" s="39">
        <f t="shared" si="16"/>
      </c>
      <c r="C2232" s="40">
        <f>IF(Inputs!$C$60,Inputs!$C$11+(B2232-Inputs!$C$69)/Inputs!$C$70,"")</f>
      </c>
      <c r="D2232" s="15"/>
      <c r="E2232" s="15"/>
      <c r="F2232" s="11">
        <f t="shared" si="17"/>
      </c>
      <c r="G2232" s="22" cm="1">
        <f t="array" ref="G2232">IF(AND(Inputs!$C$60,Inputs!$C$61),INDEX(Utility_Rates!$C$29:$F$52,HOUR(C2232)+Inputs!$C$69,MATCH(INDEX(Utility_Rates!$K$6:$K$17,MONTH(C2232))&amp;IF(WEEKDAY(C2232,Inputs!$C$76)&lt;=Inputs!$C$74," weekday"," weekend"),Utility_Rates!$C$28:$F$28,Inputs!$C$68)),"")</f>
      </c>
      <c r="H2232" s="34"/>
      <c r="I2232" s="42">
        <f>IF(AND(ISNUMBER(D2232),ISNUMBER(H2232)),D2232*H2232*Inputs!$C$69,"")</f>
      </c>
      <c r="J2232" s="42">
        <f>IF(AND(ISNUMBER(F2232),ISNUMBER(H2232),F2232&gt;=Inputs!$C$68),F2232*H2232*Inputs!$C$69,"")</f>
      </c>
    </row>
    <row r="2233" spans="2:10" ht="15" customHeight="1" x14ac:dyDescent="0.2">
      <c r="B2233" s="39">
        <f t="shared" si="16"/>
      </c>
      <c r="C2233" s="40">
        <f>IF(Inputs!$C$60,Inputs!$C$11+(B2233-Inputs!$C$69)/Inputs!$C$70,"")</f>
      </c>
      <c r="D2233" s="15"/>
      <c r="E2233" s="15"/>
      <c r="F2233" s="11">
        <f t="shared" si="17"/>
      </c>
      <c r="G2233" s="22" cm="1">
        <f t="array" ref="G2233">IF(AND(Inputs!$C$60,Inputs!$C$61),INDEX(Utility_Rates!$C$29:$F$52,HOUR(C2233)+Inputs!$C$69,MATCH(INDEX(Utility_Rates!$K$6:$K$17,MONTH(C2233))&amp;IF(WEEKDAY(C2233,Inputs!$C$76)&lt;=Inputs!$C$74," weekday"," weekend"),Utility_Rates!$C$28:$F$28,Inputs!$C$68)),"")</f>
      </c>
      <c r="H2233" s="34"/>
      <c r="I2233" s="42">
        <f>IF(AND(ISNUMBER(D2233),ISNUMBER(H2233)),D2233*H2233*Inputs!$C$69,"")</f>
      </c>
      <c r="J2233" s="42">
        <f>IF(AND(ISNUMBER(F2233),ISNUMBER(H2233),F2233&gt;=Inputs!$C$68),F2233*H2233*Inputs!$C$69,"")</f>
      </c>
    </row>
    <row r="2234" spans="2:10" ht="15" customHeight="1" x14ac:dyDescent="0.2">
      <c r="B2234" s="39">
        <f t="shared" si="16"/>
      </c>
      <c r="C2234" s="40">
        <f>IF(Inputs!$C$60,Inputs!$C$11+(B2234-Inputs!$C$69)/Inputs!$C$70,"")</f>
      </c>
      <c r="D2234" s="15"/>
      <c r="E2234" s="15"/>
      <c r="F2234" s="11">
        <f t="shared" si="17"/>
      </c>
      <c r="G2234" s="22" cm="1">
        <f t="array" ref="G2234">IF(AND(Inputs!$C$60,Inputs!$C$61),INDEX(Utility_Rates!$C$29:$F$52,HOUR(C2234)+Inputs!$C$69,MATCH(INDEX(Utility_Rates!$K$6:$K$17,MONTH(C2234))&amp;IF(WEEKDAY(C2234,Inputs!$C$76)&lt;=Inputs!$C$74," weekday"," weekend"),Utility_Rates!$C$28:$F$28,Inputs!$C$68)),"")</f>
      </c>
      <c r="H2234" s="34"/>
      <c r="I2234" s="42">
        <f>IF(AND(ISNUMBER(D2234),ISNUMBER(H2234)),D2234*H2234*Inputs!$C$69,"")</f>
      </c>
      <c r="J2234" s="42">
        <f>IF(AND(ISNUMBER(F2234),ISNUMBER(H2234),F2234&gt;=Inputs!$C$68),F2234*H2234*Inputs!$C$69,"")</f>
      </c>
    </row>
    <row r="2235" spans="2:10" ht="15" customHeight="1" x14ac:dyDescent="0.2">
      <c r="B2235" s="39">
        <f t="shared" si="16"/>
      </c>
      <c r="C2235" s="40">
        <f>IF(Inputs!$C$60,Inputs!$C$11+(B2235-Inputs!$C$69)/Inputs!$C$70,"")</f>
      </c>
      <c r="D2235" s="15"/>
      <c r="E2235" s="15"/>
      <c r="F2235" s="11">
        <f t="shared" si="17"/>
      </c>
      <c r="G2235" s="22" cm="1">
        <f t="array" ref="G2235">IF(AND(Inputs!$C$60,Inputs!$C$61),INDEX(Utility_Rates!$C$29:$F$52,HOUR(C2235)+Inputs!$C$69,MATCH(INDEX(Utility_Rates!$K$6:$K$17,MONTH(C2235))&amp;IF(WEEKDAY(C2235,Inputs!$C$76)&lt;=Inputs!$C$74," weekday"," weekend"),Utility_Rates!$C$28:$F$28,Inputs!$C$68)),"")</f>
      </c>
      <c r="H2235" s="34"/>
      <c r="I2235" s="42">
        <f>IF(AND(ISNUMBER(D2235),ISNUMBER(H2235)),D2235*H2235*Inputs!$C$69,"")</f>
      </c>
      <c r="J2235" s="42">
        <f>IF(AND(ISNUMBER(F2235),ISNUMBER(H2235),F2235&gt;=Inputs!$C$68),F2235*H2235*Inputs!$C$69,"")</f>
      </c>
    </row>
    <row r="2236" spans="2:10" ht="15" customHeight="1" x14ac:dyDescent="0.2">
      <c r="B2236" s="39">
        <f t="shared" si="16"/>
      </c>
      <c r="C2236" s="40">
        <f>IF(Inputs!$C$60,Inputs!$C$11+(B2236-Inputs!$C$69)/Inputs!$C$70,"")</f>
      </c>
      <c r="D2236" s="15"/>
      <c r="E2236" s="15"/>
      <c r="F2236" s="11">
        <f t="shared" si="17"/>
      </c>
      <c r="G2236" s="22" cm="1">
        <f t="array" ref="G2236">IF(AND(Inputs!$C$60,Inputs!$C$61),INDEX(Utility_Rates!$C$29:$F$52,HOUR(C2236)+Inputs!$C$69,MATCH(INDEX(Utility_Rates!$K$6:$K$17,MONTH(C2236))&amp;IF(WEEKDAY(C2236,Inputs!$C$76)&lt;=Inputs!$C$74," weekday"," weekend"),Utility_Rates!$C$28:$F$28,Inputs!$C$68)),"")</f>
      </c>
      <c r="H2236" s="34"/>
      <c r="I2236" s="42">
        <f>IF(AND(ISNUMBER(D2236),ISNUMBER(H2236)),D2236*H2236*Inputs!$C$69,"")</f>
      </c>
      <c r="J2236" s="42">
        <f>IF(AND(ISNUMBER(F2236),ISNUMBER(H2236),F2236&gt;=Inputs!$C$68),F2236*H2236*Inputs!$C$69,"")</f>
      </c>
    </row>
    <row r="2237" spans="2:10" ht="15" customHeight="1" x14ac:dyDescent="0.2">
      <c r="B2237" s="39">
        <f t="shared" si="16"/>
      </c>
      <c r="C2237" s="40">
        <f>IF(Inputs!$C$60,Inputs!$C$11+(B2237-Inputs!$C$69)/Inputs!$C$70,"")</f>
      </c>
      <c r="D2237" s="15"/>
      <c r="E2237" s="15"/>
      <c r="F2237" s="11">
        <f t="shared" si="17"/>
      </c>
      <c r="G2237" s="22" cm="1">
        <f t="array" ref="G2237">IF(AND(Inputs!$C$60,Inputs!$C$61),INDEX(Utility_Rates!$C$29:$F$52,HOUR(C2237)+Inputs!$C$69,MATCH(INDEX(Utility_Rates!$K$6:$K$17,MONTH(C2237))&amp;IF(WEEKDAY(C2237,Inputs!$C$76)&lt;=Inputs!$C$74," weekday"," weekend"),Utility_Rates!$C$28:$F$28,Inputs!$C$68)),"")</f>
      </c>
      <c r="H2237" s="34"/>
      <c r="I2237" s="42">
        <f>IF(AND(ISNUMBER(D2237),ISNUMBER(H2237)),D2237*H2237*Inputs!$C$69,"")</f>
      </c>
      <c r="J2237" s="42">
        <f>IF(AND(ISNUMBER(F2237),ISNUMBER(H2237),F2237&gt;=Inputs!$C$68),F2237*H2237*Inputs!$C$69,"")</f>
      </c>
    </row>
    <row r="2238" spans="2:10" ht="15" customHeight="1" x14ac:dyDescent="0.2">
      <c r="B2238" s="39">
        <f t="shared" si="16"/>
      </c>
      <c r="C2238" s="40">
        <f>IF(Inputs!$C$60,Inputs!$C$11+(B2238-Inputs!$C$69)/Inputs!$C$70,"")</f>
      </c>
      <c r="D2238" s="15"/>
      <c r="E2238" s="15"/>
      <c r="F2238" s="11">
        <f t="shared" si="17"/>
      </c>
      <c r="G2238" s="22" cm="1">
        <f t="array" ref="G2238">IF(AND(Inputs!$C$60,Inputs!$C$61),INDEX(Utility_Rates!$C$29:$F$52,HOUR(C2238)+Inputs!$C$69,MATCH(INDEX(Utility_Rates!$K$6:$K$17,MONTH(C2238))&amp;IF(WEEKDAY(C2238,Inputs!$C$76)&lt;=Inputs!$C$74," weekday"," weekend"),Utility_Rates!$C$28:$F$28,Inputs!$C$68)),"")</f>
      </c>
      <c r="H2238" s="34"/>
      <c r="I2238" s="42">
        <f>IF(AND(ISNUMBER(D2238),ISNUMBER(H2238)),D2238*H2238*Inputs!$C$69,"")</f>
      </c>
      <c r="J2238" s="42">
        <f>IF(AND(ISNUMBER(F2238),ISNUMBER(H2238),F2238&gt;=Inputs!$C$68),F2238*H2238*Inputs!$C$69,"")</f>
      </c>
    </row>
    <row r="2239" spans="2:10" ht="15" customHeight="1" x14ac:dyDescent="0.2">
      <c r="B2239" s="39">
        <f t="shared" si="16"/>
      </c>
      <c r="C2239" s="40">
        <f>IF(Inputs!$C$60,Inputs!$C$11+(B2239-Inputs!$C$69)/Inputs!$C$70,"")</f>
      </c>
      <c r="D2239" s="15"/>
      <c r="E2239" s="15"/>
      <c r="F2239" s="11">
        <f t="shared" si="17"/>
      </c>
      <c r="G2239" s="22" cm="1">
        <f t="array" ref="G2239">IF(AND(Inputs!$C$60,Inputs!$C$61),INDEX(Utility_Rates!$C$29:$F$52,HOUR(C2239)+Inputs!$C$69,MATCH(INDEX(Utility_Rates!$K$6:$K$17,MONTH(C2239))&amp;IF(WEEKDAY(C2239,Inputs!$C$76)&lt;=Inputs!$C$74," weekday"," weekend"),Utility_Rates!$C$28:$F$28,Inputs!$C$68)),"")</f>
      </c>
      <c r="H2239" s="34"/>
      <c r="I2239" s="42">
        <f>IF(AND(ISNUMBER(D2239),ISNUMBER(H2239)),D2239*H2239*Inputs!$C$69,"")</f>
      </c>
      <c r="J2239" s="42">
        <f>IF(AND(ISNUMBER(F2239),ISNUMBER(H2239),F2239&gt;=Inputs!$C$68),F2239*H2239*Inputs!$C$69,"")</f>
      </c>
    </row>
    <row r="2240" spans="2:10" ht="15" customHeight="1" x14ac:dyDescent="0.2">
      <c r="B2240" s="39">
        <f t="shared" si="16"/>
      </c>
      <c r="C2240" s="40">
        <f>IF(Inputs!$C$60,Inputs!$C$11+(B2240-Inputs!$C$69)/Inputs!$C$70,"")</f>
      </c>
      <c r="D2240" s="15"/>
      <c r="E2240" s="15"/>
      <c r="F2240" s="11">
        <f t="shared" si="17"/>
      </c>
      <c r="G2240" s="22" cm="1">
        <f t="array" ref="G2240">IF(AND(Inputs!$C$60,Inputs!$C$61),INDEX(Utility_Rates!$C$29:$F$52,HOUR(C2240)+Inputs!$C$69,MATCH(INDEX(Utility_Rates!$K$6:$K$17,MONTH(C2240))&amp;IF(WEEKDAY(C2240,Inputs!$C$76)&lt;=Inputs!$C$74," weekday"," weekend"),Utility_Rates!$C$28:$F$28,Inputs!$C$68)),"")</f>
      </c>
      <c r="H2240" s="34"/>
      <c r="I2240" s="42">
        <f>IF(AND(ISNUMBER(D2240),ISNUMBER(H2240)),D2240*H2240*Inputs!$C$69,"")</f>
      </c>
      <c r="J2240" s="42">
        <f>IF(AND(ISNUMBER(F2240),ISNUMBER(H2240),F2240&gt;=Inputs!$C$68),F2240*H2240*Inputs!$C$69,"")</f>
      </c>
    </row>
    <row r="2241" spans="2:10" ht="15" customHeight="1" x14ac:dyDescent="0.2">
      <c r="B2241" s="39">
        <f t="shared" si="16"/>
      </c>
      <c r="C2241" s="40">
        <f>IF(Inputs!$C$60,Inputs!$C$11+(B2241-Inputs!$C$69)/Inputs!$C$70,"")</f>
      </c>
      <c r="D2241" s="15"/>
      <c r="E2241" s="15"/>
      <c r="F2241" s="11">
        <f t="shared" si="17"/>
      </c>
      <c r="G2241" s="22" cm="1">
        <f t="array" ref="G2241">IF(AND(Inputs!$C$60,Inputs!$C$61),INDEX(Utility_Rates!$C$29:$F$52,HOUR(C2241)+Inputs!$C$69,MATCH(INDEX(Utility_Rates!$K$6:$K$17,MONTH(C2241))&amp;IF(WEEKDAY(C2241,Inputs!$C$76)&lt;=Inputs!$C$74," weekday"," weekend"),Utility_Rates!$C$28:$F$28,Inputs!$C$68)),"")</f>
      </c>
      <c r="H2241" s="34"/>
      <c r="I2241" s="42">
        <f>IF(AND(ISNUMBER(D2241),ISNUMBER(H2241)),D2241*H2241*Inputs!$C$69,"")</f>
      </c>
      <c r="J2241" s="42">
        <f>IF(AND(ISNUMBER(F2241),ISNUMBER(H2241),F2241&gt;=Inputs!$C$68),F2241*H2241*Inputs!$C$69,"")</f>
      </c>
    </row>
    <row r="2242" spans="2:10" ht="15" customHeight="1" x14ac:dyDescent="0.2">
      <c r="B2242" s="39">
        <f t="shared" si="16"/>
      </c>
      <c r="C2242" s="40">
        <f>IF(Inputs!$C$60,Inputs!$C$11+(B2242-Inputs!$C$69)/Inputs!$C$70,"")</f>
      </c>
      <c r="D2242" s="15"/>
      <c r="E2242" s="15"/>
      <c r="F2242" s="11">
        <f t="shared" si="17"/>
      </c>
      <c r="G2242" s="22" cm="1">
        <f t="array" ref="G2242">IF(AND(Inputs!$C$60,Inputs!$C$61),INDEX(Utility_Rates!$C$29:$F$52,HOUR(C2242)+Inputs!$C$69,MATCH(INDEX(Utility_Rates!$K$6:$K$17,MONTH(C2242))&amp;IF(WEEKDAY(C2242,Inputs!$C$76)&lt;=Inputs!$C$74," weekday"," weekend"),Utility_Rates!$C$28:$F$28,Inputs!$C$68)),"")</f>
      </c>
      <c r="H2242" s="34"/>
      <c r="I2242" s="42">
        <f>IF(AND(ISNUMBER(D2242),ISNUMBER(H2242)),D2242*H2242*Inputs!$C$69,"")</f>
      </c>
      <c r="J2242" s="42">
        <f>IF(AND(ISNUMBER(F2242),ISNUMBER(H2242),F2242&gt;=Inputs!$C$68),F2242*H2242*Inputs!$C$69,"")</f>
      </c>
    </row>
    <row r="2243" spans="2:10" ht="15" customHeight="1" x14ac:dyDescent="0.2">
      <c r="B2243" s="39">
        <f t="shared" si="16"/>
      </c>
      <c r="C2243" s="40">
        <f>IF(Inputs!$C$60,Inputs!$C$11+(B2243-Inputs!$C$69)/Inputs!$C$70,"")</f>
      </c>
      <c r="D2243" s="15"/>
      <c r="E2243" s="15"/>
      <c r="F2243" s="11">
        <f t="shared" si="17"/>
      </c>
      <c r="G2243" s="22" cm="1">
        <f t="array" ref="G2243">IF(AND(Inputs!$C$60,Inputs!$C$61),INDEX(Utility_Rates!$C$29:$F$52,HOUR(C2243)+Inputs!$C$69,MATCH(INDEX(Utility_Rates!$K$6:$K$17,MONTH(C2243))&amp;IF(WEEKDAY(C2243,Inputs!$C$76)&lt;=Inputs!$C$74," weekday"," weekend"),Utility_Rates!$C$28:$F$28,Inputs!$C$68)),"")</f>
      </c>
      <c r="H2243" s="34"/>
      <c r="I2243" s="42">
        <f>IF(AND(ISNUMBER(D2243),ISNUMBER(H2243)),D2243*H2243*Inputs!$C$69,"")</f>
      </c>
      <c r="J2243" s="42">
        <f>IF(AND(ISNUMBER(F2243),ISNUMBER(H2243),F2243&gt;=Inputs!$C$68),F2243*H2243*Inputs!$C$69,"")</f>
      </c>
    </row>
    <row r="2244" spans="2:10" ht="15" customHeight="1" x14ac:dyDescent="0.2">
      <c r="B2244" s="39">
        <f t="shared" si="16"/>
      </c>
      <c r="C2244" s="40">
        <f>IF(Inputs!$C$60,Inputs!$C$11+(B2244-Inputs!$C$69)/Inputs!$C$70,"")</f>
      </c>
      <c r="D2244" s="15"/>
      <c r="E2244" s="15"/>
      <c r="F2244" s="11">
        <f t="shared" si="17"/>
      </c>
      <c r="G2244" s="22" cm="1">
        <f t="array" ref="G2244">IF(AND(Inputs!$C$60,Inputs!$C$61),INDEX(Utility_Rates!$C$29:$F$52,HOUR(C2244)+Inputs!$C$69,MATCH(INDEX(Utility_Rates!$K$6:$K$17,MONTH(C2244))&amp;IF(WEEKDAY(C2244,Inputs!$C$76)&lt;=Inputs!$C$74," weekday"," weekend"),Utility_Rates!$C$28:$F$28,Inputs!$C$68)),"")</f>
      </c>
      <c r="H2244" s="34"/>
      <c r="I2244" s="42">
        <f>IF(AND(ISNUMBER(D2244),ISNUMBER(H2244)),D2244*H2244*Inputs!$C$69,"")</f>
      </c>
      <c r="J2244" s="42">
        <f>IF(AND(ISNUMBER(F2244),ISNUMBER(H2244),F2244&gt;=Inputs!$C$68),F2244*H2244*Inputs!$C$69,"")</f>
      </c>
    </row>
    <row r="2245" spans="2:10" ht="15" customHeight="1" x14ac:dyDescent="0.2">
      <c r="B2245" s="39">
        <f t="shared" si="16"/>
      </c>
      <c r="C2245" s="40">
        <f>IF(Inputs!$C$60,Inputs!$C$11+(B2245-Inputs!$C$69)/Inputs!$C$70,"")</f>
      </c>
      <c r="D2245" s="15"/>
      <c r="E2245" s="15"/>
      <c r="F2245" s="11">
        <f t="shared" si="17"/>
      </c>
      <c r="G2245" s="22" cm="1">
        <f t="array" ref="G2245">IF(AND(Inputs!$C$60,Inputs!$C$61),INDEX(Utility_Rates!$C$29:$F$52,HOUR(C2245)+Inputs!$C$69,MATCH(INDEX(Utility_Rates!$K$6:$K$17,MONTH(C2245))&amp;IF(WEEKDAY(C2245,Inputs!$C$76)&lt;=Inputs!$C$74," weekday"," weekend"),Utility_Rates!$C$28:$F$28,Inputs!$C$68)),"")</f>
      </c>
      <c r="H2245" s="34"/>
      <c r="I2245" s="42">
        <f>IF(AND(ISNUMBER(D2245),ISNUMBER(H2245)),D2245*H2245*Inputs!$C$69,"")</f>
      </c>
      <c r="J2245" s="42">
        <f>IF(AND(ISNUMBER(F2245),ISNUMBER(H2245),F2245&gt;=Inputs!$C$68),F2245*H2245*Inputs!$C$69,"")</f>
      </c>
    </row>
    <row r="2246" spans="2:10" ht="15" customHeight="1" x14ac:dyDescent="0.2">
      <c r="B2246" s="39">
        <f t="shared" si="16"/>
      </c>
      <c r="C2246" s="40">
        <f>IF(Inputs!$C$60,Inputs!$C$11+(B2246-Inputs!$C$69)/Inputs!$C$70,"")</f>
      </c>
      <c r="D2246" s="15"/>
      <c r="E2246" s="15"/>
      <c r="F2246" s="11">
        <f t="shared" si="17"/>
      </c>
      <c r="G2246" s="22" cm="1">
        <f t="array" ref="G2246">IF(AND(Inputs!$C$60,Inputs!$C$61),INDEX(Utility_Rates!$C$29:$F$52,HOUR(C2246)+Inputs!$C$69,MATCH(INDEX(Utility_Rates!$K$6:$K$17,MONTH(C2246))&amp;IF(WEEKDAY(C2246,Inputs!$C$76)&lt;=Inputs!$C$74," weekday"," weekend"),Utility_Rates!$C$28:$F$28,Inputs!$C$68)),"")</f>
      </c>
      <c r="H2246" s="34"/>
      <c r="I2246" s="42">
        <f>IF(AND(ISNUMBER(D2246),ISNUMBER(H2246)),D2246*H2246*Inputs!$C$69,"")</f>
      </c>
      <c r="J2246" s="42">
        <f>IF(AND(ISNUMBER(F2246),ISNUMBER(H2246),F2246&gt;=Inputs!$C$68),F2246*H2246*Inputs!$C$69,"")</f>
      </c>
    </row>
    <row r="2247" spans="2:10" ht="15" customHeight="1" x14ac:dyDescent="0.2">
      <c r="B2247" s="39">
        <f t="shared" si="16"/>
      </c>
      <c r="C2247" s="40">
        <f>IF(Inputs!$C$60,Inputs!$C$11+(B2247-Inputs!$C$69)/Inputs!$C$70,"")</f>
      </c>
      <c r="D2247" s="15"/>
      <c r="E2247" s="15"/>
      <c r="F2247" s="11">
        <f t="shared" si="17"/>
      </c>
      <c r="G2247" s="22" cm="1">
        <f t="array" ref="G2247">IF(AND(Inputs!$C$60,Inputs!$C$61),INDEX(Utility_Rates!$C$29:$F$52,HOUR(C2247)+Inputs!$C$69,MATCH(INDEX(Utility_Rates!$K$6:$K$17,MONTH(C2247))&amp;IF(WEEKDAY(C2247,Inputs!$C$76)&lt;=Inputs!$C$74," weekday"," weekend"),Utility_Rates!$C$28:$F$28,Inputs!$C$68)),"")</f>
      </c>
      <c r="H2247" s="34"/>
      <c r="I2247" s="42">
        <f>IF(AND(ISNUMBER(D2247),ISNUMBER(H2247)),D2247*H2247*Inputs!$C$69,"")</f>
      </c>
      <c r="J2247" s="42">
        <f>IF(AND(ISNUMBER(F2247),ISNUMBER(H2247),F2247&gt;=Inputs!$C$68),F2247*H2247*Inputs!$C$69,"")</f>
      </c>
    </row>
    <row r="2248" spans="2:10" ht="15" customHeight="1" x14ac:dyDescent="0.2">
      <c r="B2248" s="39">
        <f t="shared" si="16"/>
      </c>
      <c r="C2248" s="40">
        <f>IF(Inputs!$C$60,Inputs!$C$11+(B2248-Inputs!$C$69)/Inputs!$C$70,"")</f>
      </c>
      <c r="D2248" s="15"/>
      <c r="E2248" s="15"/>
      <c r="F2248" s="11">
        <f t="shared" si="17"/>
      </c>
      <c r="G2248" s="22" cm="1">
        <f t="array" ref="G2248">IF(AND(Inputs!$C$60,Inputs!$C$61),INDEX(Utility_Rates!$C$29:$F$52,HOUR(C2248)+Inputs!$C$69,MATCH(INDEX(Utility_Rates!$K$6:$K$17,MONTH(C2248))&amp;IF(WEEKDAY(C2248,Inputs!$C$76)&lt;=Inputs!$C$74," weekday"," weekend"),Utility_Rates!$C$28:$F$28,Inputs!$C$68)),"")</f>
      </c>
      <c r="H2248" s="34"/>
      <c r="I2248" s="42">
        <f>IF(AND(ISNUMBER(D2248),ISNUMBER(H2248)),D2248*H2248*Inputs!$C$69,"")</f>
      </c>
      <c r="J2248" s="42">
        <f>IF(AND(ISNUMBER(F2248),ISNUMBER(H2248),F2248&gt;=Inputs!$C$68),F2248*H2248*Inputs!$C$69,"")</f>
      </c>
    </row>
    <row r="2249" spans="2:10" ht="15" customHeight="1" x14ac:dyDescent="0.2">
      <c r="B2249" s="39">
        <f t="shared" si="16"/>
      </c>
      <c r="C2249" s="40">
        <f>IF(Inputs!$C$60,Inputs!$C$11+(B2249-Inputs!$C$69)/Inputs!$C$70,"")</f>
      </c>
      <c r="D2249" s="15"/>
      <c r="E2249" s="15"/>
      <c r="F2249" s="11">
        <f t="shared" si="17"/>
      </c>
      <c r="G2249" s="22" cm="1">
        <f t="array" ref="G2249">IF(AND(Inputs!$C$60,Inputs!$C$61),INDEX(Utility_Rates!$C$29:$F$52,HOUR(C2249)+Inputs!$C$69,MATCH(INDEX(Utility_Rates!$K$6:$K$17,MONTH(C2249))&amp;IF(WEEKDAY(C2249,Inputs!$C$76)&lt;=Inputs!$C$74," weekday"," weekend"),Utility_Rates!$C$28:$F$28,Inputs!$C$68)),"")</f>
      </c>
      <c r="H2249" s="34"/>
      <c r="I2249" s="42">
        <f>IF(AND(ISNUMBER(D2249),ISNUMBER(H2249)),D2249*H2249*Inputs!$C$69,"")</f>
      </c>
      <c r="J2249" s="42">
        <f>IF(AND(ISNUMBER(F2249),ISNUMBER(H2249),F2249&gt;=Inputs!$C$68),F2249*H2249*Inputs!$C$69,"")</f>
      </c>
    </row>
    <row r="2250" spans="2:10" ht="15" customHeight="1" x14ac:dyDescent="0.2">
      <c r="B2250" s="39">
        <f t="shared" si="16"/>
      </c>
      <c r="C2250" s="40">
        <f>IF(Inputs!$C$60,Inputs!$C$11+(B2250-Inputs!$C$69)/Inputs!$C$70,"")</f>
      </c>
      <c r="D2250" s="15"/>
      <c r="E2250" s="15"/>
      <c r="F2250" s="11">
        <f t="shared" si="17"/>
      </c>
      <c r="G2250" s="22" cm="1">
        <f t="array" ref="G2250">IF(AND(Inputs!$C$60,Inputs!$C$61),INDEX(Utility_Rates!$C$29:$F$52,HOUR(C2250)+Inputs!$C$69,MATCH(INDEX(Utility_Rates!$K$6:$K$17,MONTH(C2250))&amp;IF(WEEKDAY(C2250,Inputs!$C$76)&lt;=Inputs!$C$74," weekday"," weekend"),Utility_Rates!$C$28:$F$28,Inputs!$C$68)),"")</f>
      </c>
      <c r="H2250" s="34"/>
      <c r="I2250" s="42">
        <f>IF(AND(ISNUMBER(D2250),ISNUMBER(H2250)),D2250*H2250*Inputs!$C$69,"")</f>
      </c>
      <c r="J2250" s="42">
        <f>IF(AND(ISNUMBER(F2250),ISNUMBER(H2250),F2250&gt;=Inputs!$C$68),F2250*H2250*Inputs!$C$69,"")</f>
      </c>
    </row>
    <row r="2251" spans="2:10" ht="15" customHeight="1" x14ac:dyDescent="0.2">
      <c r="B2251" s="39">
        <f t="shared" si="16"/>
      </c>
      <c r="C2251" s="40">
        <f>IF(Inputs!$C$60,Inputs!$C$11+(B2251-Inputs!$C$69)/Inputs!$C$70,"")</f>
      </c>
      <c r="D2251" s="15"/>
      <c r="E2251" s="15"/>
      <c r="F2251" s="11">
        <f t="shared" si="17"/>
      </c>
      <c r="G2251" s="22" cm="1">
        <f t="array" ref="G2251">IF(AND(Inputs!$C$60,Inputs!$C$61),INDEX(Utility_Rates!$C$29:$F$52,HOUR(C2251)+Inputs!$C$69,MATCH(INDEX(Utility_Rates!$K$6:$K$17,MONTH(C2251))&amp;IF(WEEKDAY(C2251,Inputs!$C$76)&lt;=Inputs!$C$74," weekday"," weekend"),Utility_Rates!$C$28:$F$28,Inputs!$C$68)),"")</f>
      </c>
      <c r="H2251" s="34"/>
      <c r="I2251" s="42">
        <f>IF(AND(ISNUMBER(D2251),ISNUMBER(H2251)),D2251*H2251*Inputs!$C$69,"")</f>
      </c>
      <c r="J2251" s="42">
        <f>IF(AND(ISNUMBER(F2251),ISNUMBER(H2251),F2251&gt;=Inputs!$C$68),F2251*H2251*Inputs!$C$69,"")</f>
      </c>
    </row>
    <row r="2252" spans="2:10" ht="15" customHeight="1" x14ac:dyDescent="0.2">
      <c r="B2252" s="39">
        <f t="shared" si="16"/>
      </c>
      <c r="C2252" s="40">
        <f>IF(Inputs!$C$60,Inputs!$C$11+(B2252-Inputs!$C$69)/Inputs!$C$70,"")</f>
      </c>
      <c r="D2252" s="15"/>
      <c r="E2252" s="15"/>
      <c r="F2252" s="11">
        <f t="shared" si="17"/>
      </c>
      <c r="G2252" s="22" cm="1">
        <f t="array" ref="G2252">IF(AND(Inputs!$C$60,Inputs!$C$61),INDEX(Utility_Rates!$C$29:$F$52,HOUR(C2252)+Inputs!$C$69,MATCH(INDEX(Utility_Rates!$K$6:$K$17,MONTH(C2252))&amp;IF(WEEKDAY(C2252,Inputs!$C$76)&lt;=Inputs!$C$74," weekday"," weekend"),Utility_Rates!$C$28:$F$28,Inputs!$C$68)),"")</f>
      </c>
      <c r="H2252" s="34"/>
      <c r="I2252" s="42">
        <f>IF(AND(ISNUMBER(D2252),ISNUMBER(H2252)),D2252*H2252*Inputs!$C$69,"")</f>
      </c>
      <c r="J2252" s="42">
        <f>IF(AND(ISNUMBER(F2252),ISNUMBER(H2252),F2252&gt;=Inputs!$C$68),F2252*H2252*Inputs!$C$69,"")</f>
      </c>
    </row>
    <row r="2253" spans="2:10" ht="15" customHeight="1" x14ac:dyDescent="0.2">
      <c r="B2253" s="39">
        <f t="shared" si="16"/>
      </c>
      <c r="C2253" s="40">
        <f>IF(Inputs!$C$60,Inputs!$C$11+(B2253-Inputs!$C$69)/Inputs!$C$70,"")</f>
      </c>
      <c r="D2253" s="15"/>
      <c r="E2253" s="15"/>
      <c r="F2253" s="11">
        <f t="shared" si="17"/>
      </c>
      <c r="G2253" s="22" cm="1">
        <f t="array" ref="G2253">IF(AND(Inputs!$C$60,Inputs!$C$61),INDEX(Utility_Rates!$C$29:$F$52,HOUR(C2253)+Inputs!$C$69,MATCH(INDEX(Utility_Rates!$K$6:$K$17,MONTH(C2253))&amp;IF(WEEKDAY(C2253,Inputs!$C$76)&lt;=Inputs!$C$74," weekday"," weekend"),Utility_Rates!$C$28:$F$28,Inputs!$C$68)),"")</f>
      </c>
      <c r="H2253" s="34"/>
      <c r="I2253" s="42">
        <f>IF(AND(ISNUMBER(D2253),ISNUMBER(H2253)),D2253*H2253*Inputs!$C$69,"")</f>
      </c>
      <c r="J2253" s="42">
        <f>IF(AND(ISNUMBER(F2253),ISNUMBER(H2253),F2253&gt;=Inputs!$C$68),F2253*H2253*Inputs!$C$69,"")</f>
      </c>
    </row>
    <row r="2254" spans="2:10" ht="15" customHeight="1" x14ac:dyDescent="0.2">
      <c r="B2254" s="39">
        <f t="shared" si="16"/>
      </c>
      <c r="C2254" s="40">
        <f>IF(Inputs!$C$60,Inputs!$C$11+(B2254-Inputs!$C$69)/Inputs!$C$70,"")</f>
      </c>
      <c r="D2254" s="15"/>
      <c r="E2254" s="15"/>
      <c r="F2254" s="11">
        <f t="shared" si="17"/>
      </c>
      <c r="G2254" s="22" cm="1">
        <f t="array" ref="G2254">IF(AND(Inputs!$C$60,Inputs!$C$61),INDEX(Utility_Rates!$C$29:$F$52,HOUR(C2254)+Inputs!$C$69,MATCH(INDEX(Utility_Rates!$K$6:$K$17,MONTH(C2254))&amp;IF(WEEKDAY(C2254,Inputs!$C$76)&lt;=Inputs!$C$74," weekday"," weekend"),Utility_Rates!$C$28:$F$28,Inputs!$C$68)),"")</f>
      </c>
      <c r="H2254" s="34"/>
      <c r="I2254" s="42">
        <f>IF(AND(ISNUMBER(D2254),ISNUMBER(H2254)),D2254*H2254*Inputs!$C$69,"")</f>
      </c>
      <c r="J2254" s="42">
        <f>IF(AND(ISNUMBER(F2254),ISNUMBER(H2254),F2254&gt;=Inputs!$C$68),F2254*H2254*Inputs!$C$69,"")</f>
      </c>
    </row>
    <row r="2255" spans="2:10" ht="15" customHeight="1" x14ac:dyDescent="0.2">
      <c r="B2255" s="39">
        <f t="shared" si="16"/>
      </c>
      <c r="C2255" s="40">
        <f>IF(Inputs!$C$60,Inputs!$C$11+(B2255-Inputs!$C$69)/Inputs!$C$70,"")</f>
      </c>
      <c r="D2255" s="15"/>
      <c r="E2255" s="15"/>
      <c r="F2255" s="11">
        <f t="shared" si="17"/>
      </c>
      <c r="G2255" s="22" cm="1">
        <f t="array" ref="G2255">IF(AND(Inputs!$C$60,Inputs!$C$61),INDEX(Utility_Rates!$C$29:$F$52,HOUR(C2255)+Inputs!$C$69,MATCH(INDEX(Utility_Rates!$K$6:$K$17,MONTH(C2255))&amp;IF(WEEKDAY(C2255,Inputs!$C$76)&lt;=Inputs!$C$74," weekday"," weekend"),Utility_Rates!$C$28:$F$28,Inputs!$C$68)),"")</f>
      </c>
      <c r="H2255" s="34"/>
      <c r="I2255" s="42">
        <f>IF(AND(ISNUMBER(D2255),ISNUMBER(H2255)),D2255*H2255*Inputs!$C$69,"")</f>
      </c>
      <c r="J2255" s="42">
        <f>IF(AND(ISNUMBER(F2255),ISNUMBER(H2255),F2255&gt;=Inputs!$C$68),F2255*H2255*Inputs!$C$69,"")</f>
      </c>
    </row>
    <row r="2256" spans="2:10" ht="15" customHeight="1" x14ac:dyDescent="0.2">
      <c r="B2256" s="39">
        <f t="shared" si="16"/>
      </c>
      <c r="C2256" s="40">
        <f>IF(Inputs!$C$60,Inputs!$C$11+(B2256-Inputs!$C$69)/Inputs!$C$70,"")</f>
      </c>
      <c r="D2256" s="15"/>
      <c r="E2256" s="15"/>
      <c r="F2256" s="11">
        <f t="shared" si="17"/>
      </c>
      <c r="G2256" s="22" cm="1">
        <f t="array" ref="G2256">IF(AND(Inputs!$C$60,Inputs!$C$61),INDEX(Utility_Rates!$C$29:$F$52,HOUR(C2256)+Inputs!$C$69,MATCH(INDEX(Utility_Rates!$K$6:$K$17,MONTH(C2256))&amp;IF(WEEKDAY(C2256,Inputs!$C$76)&lt;=Inputs!$C$74," weekday"," weekend"),Utility_Rates!$C$28:$F$28,Inputs!$C$68)),"")</f>
      </c>
      <c r="H2256" s="34"/>
      <c r="I2256" s="42">
        <f>IF(AND(ISNUMBER(D2256),ISNUMBER(H2256)),D2256*H2256*Inputs!$C$69,"")</f>
      </c>
      <c r="J2256" s="42">
        <f>IF(AND(ISNUMBER(F2256),ISNUMBER(H2256),F2256&gt;=Inputs!$C$68),F2256*H2256*Inputs!$C$69,"")</f>
      </c>
    </row>
    <row r="2257" spans="2:10" ht="15" customHeight="1" x14ac:dyDescent="0.2">
      <c r="B2257" s="39">
        <f t="shared" si="16"/>
      </c>
      <c r="C2257" s="40">
        <f>IF(Inputs!$C$60,Inputs!$C$11+(B2257-Inputs!$C$69)/Inputs!$C$70,"")</f>
      </c>
      <c r="D2257" s="15"/>
      <c r="E2257" s="15"/>
      <c r="F2257" s="11">
        <f t="shared" si="17"/>
      </c>
      <c r="G2257" s="22" cm="1">
        <f t="array" ref="G2257">IF(AND(Inputs!$C$60,Inputs!$C$61),INDEX(Utility_Rates!$C$29:$F$52,HOUR(C2257)+Inputs!$C$69,MATCH(INDEX(Utility_Rates!$K$6:$K$17,MONTH(C2257))&amp;IF(WEEKDAY(C2257,Inputs!$C$76)&lt;=Inputs!$C$74," weekday"," weekend"),Utility_Rates!$C$28:$F$28,Inputs!$C$68)),"")</f>
      </c>
      <c r="H2257" s="34"/>
      <c r="I2257" s="42">
        <f>IF(AND(ISNUMBER(D2257),ISNUMBER(H2257)),D2257*H2257*Inputs!$C$69,"")</f>
      </c>
      <c r="J2257" s="42">
        <f>IF(AND(ISNUMBER(F2257),ISNUMBER(H2257),F2257&gt;=Inputs!$C$68),F2257*H2257*Inputs!$C$69,"")</f>
      </c>
    </row>
    <row r="2258" spans="2:10" ht="15" customHeight="1" x14ac:dyDescent="0.2">
      <c r="B2258" s="39">
        <f t="shared" si="16"/>
      </c>
      <c r="C2258" s="40">
        <f>IF(Inputs!$C$60,Inputs!$C$11+(B2258-Inputs!$C$69)/Inputs!$C$70,"")</f>
      </c>
      <c r="D2258" s="15"/>
      <c r="E2258" s="15"/>
      <c r="F2258" s="11">
        <f t="shared" si="17"/>
      </c>
      <c r="G2258" s="22" cm="1">
        <f t="array" ref="G2258">IF(AND(Inputs!$C$60,Inputs!$C$61),INDEX(Utility_Rates!$C$29:$F$52,HOUR(C2258)+Inputs!$C$69,MATCH(INDEX(Utility_Rates!$K$6:$K$17,MONTH(C2258))&amp;IF(WEEKDAY(C2258,Inputs!$C$76)&lt;=Inputs!$C$74," weekday"," weekend"),Utility_Rates!$C$28:$F$28,Inputs!$C$68)),"")</f>
      </c>
      <c r="H2258" s="34"/>
      <c r="I2258" s="42">
        <f>IF(AND(ISNUMBER(D2258),ISNUMBER(H2258)),D2258*H2258*Inputs!$C$69,"")</f>
      </c>
      <c r="J2258" s="42">
        <f>IF(AND(ISNUMBER(F2258),ISNUMBER(H2258),F2258&gt;=Inputs!$C$68),F2258*H2258*Inputs!$C$69,"")</f>
      </c>
    </row>
    <row r="2259" spans="2:10" ht="15" customHeight="1" x14ac:dyDescent="0.2">
      <c r="B2259" s="39">
        <f t="shared" si="16"/>
      </c>
      <c r="C2259" s="40">
        <f>IF(Inputs!$C$60,Inputs!$C$11+(B2259-Inputs!$C$69)/Inputs!$C$70,"")</f>
      </c>
      <c r="D2259" s="15"/>
      <c r="E2259" s="15"/>
      <c r="F2259" s="11">
        <f t="shared" si="17"/>
      </c>
      <c r="G2259" s="22" cm="1">
        <f t="array" ref="G2259">IF(AND(Inputs!$C$60,Inputs!$C$61),INDEX(Utility_Rates!$C$29:$F$52,HOUR(C2259)+Inputs!$C$69,MATCH(INDEX(Utility_Rates!$K$6:$K$17,MONTH(C2259))&amp;IF(WEEKDAY(C2259,Inputs!$C$76)&lt;=Inputs!$C$74," weekday"," weekend"),Utility_Rates!$C$28:$F$28,Inputs!$C$68)),"")</f>
      </c>
      <c r="H2259" s="34"/>
      <c r="I2259" s="42">
        <f>IF(AND(ISNUMBER(D2259),ISNUMBER(H2259)),D2259*H2259*Inputs!$C$69,"")</f>
      </c>
      <c r="J2259" s="42">
        <f>IF(AND(ISNUMBER(F2259),ISNUMBER(H2259),F2259&gt;=Inputs!$C$68),F2259*H2259*Inputs!$C$69,"")</f>
      </c>
    </row>
    <row r="2260" spans="2:10" ht="15" customHeight="1" x14ac:dyDescent="0.2">
      <c r="B2260" s="39">
        <f t="shared" si="16"/>
      </c>
      <c r="C2260" s="40">
        <f>IF(Inputs!$C$60,Inputs!$C$11+(B2260-Inputs!$C$69)/Inputs!$C$70,"")</f>
      </c>
      <c r="D2260" s="15"/>
      <c r="E2260" s="15"/>
      <c r="F2260" s="11">
        <f t="shared" si="17"/>
      </c>
      <c r="G2260" s="22" cm="1">
        <f t="array" ref="G2260">IF(AND(Inputs!$C$60,Inputs!$C$61),INDEX(Utility_Rates!$C$29:$F$52,HOUR(C2260)+Inputs!$C$69,MATCH(INDEX(Utility_Rates!$K$6:$K$17,MONTH(C2260))&amp;IF(WEEKDAY(C2260,Inputs!$C$76)&lt;=Inputs!$C$74," weekday"," weekend"),Utility_Rates!$C$28:$F$28,Inputs!$C$68)),"")</f>
      </c>
      <c r="H2260" s="34"/>
      <c r="I2260" s="42">
        <f>IF(AND(ISNUMBER(D2260),ISNUMBER(H2260)),D2260*H2260*Inputs!$C$69,"")</f>
      </c>
      <c r="J2260" s="42">
        <f>IF(AND(ISNUMBER(F2260),ISNUMBER(H2260),F2260&gt;=Inputs!$C$68),F2260*H2260*Inputs!$C$69,"")</f>
      </c>
    </row>
    <row r="2261" spans="2:10" ht="15" customHeight="1" x14ac:dyDescent="0.2">
      <c r="B2261" s="39">
        <f t="shared" si="16"/>
      </c>
      <c r="C2261" s="40">
        <f>IF(Inputs!$C$60,Inputs!$C$11+(B2261-Inputs!$C$69)/Inputs!$C$70,"")</f>
      </c>
      <c r="D2261" s="15"/>
      <c r="E2261" s="15"/>
      <c r="F2261" s="11">
        <f t="shared" si="17"/>
      </c>
      <c r="G2261" s="22" cm="1">
        <f t="array" ref="G2261">IF(AND(Inputs!$C$60,Inputs!$C$61),INDEX(Utility_Rates!$C$29:$F$52,HOUR(C2261)+Inputs!$C$69,MATCH(INDEX(Utility_Rates!$K$6:$K$17,MONTH(C2261))&amp;IF(WEEKDAY(C2261,Inputs!$C$76)&lt;=Inputs!$C$74," weekday"," weekend"),Utility_Rates!$C$28:$F$28,Inputs!$C$68)),"")</f>
      </c>
      <c r="H2261" s="34"/>
      <c r="I2261" s="42">
        <f>IF(AND(ISNUMBER(D2261),ISNUMBER(H2261)),D2261*H2261*Inputs!$C$69,"")</f>
      </c>
      <c r="J2261" s="42">
        <f>IF(AND(ISNUMBER(F2261),ISNUMBER(H2261),F2261&gt;=Inputs!$C$68),F2261*H2261*Inputs!$C$69,"")</f>
      </c>
    </row>
    <row r="2262" spans="2:10" ht="15" customHeight="1" x14ac:dyDescent="0.2">
      <c r="B2262" s="39">
        <f t="shared" si="16"/>
      </c>
      <c r="C2262" s="40">
        <f>IF(Inputs!$C$60,Inputs!$C$11+(B2262-Inputs!$C$69)/Inputs!$C$70,"")</f>
      </c>
      <c r="D2262" s="15"/>
      <c r="E2262" s="15"/>
      <c r="F2262" s="11">
        <f t="shared" si="17"/>
      </c>
      <c r="G2262" s="22" cm="1">
        <f t="array" ref="G2262">IF(AND(Inputs!$C$60,Inputs!$C$61),INDEX(Utility_Rates!$C$29:$F$52,HOUR(C2262)+Inputs!$C$69,MATCH(INDEX(Utility_Rates!$K$6:$K$17,MONTH(C2262))&amp;IF(WEEKDAY(C2262,Inputs!$C$76)&lt;=Inputs!$C$74," weekday"," weekend"),Utility_Rates!$C$28:$F$28,Inputs!$C$68)),"")</f>
      </c>
      <c r="H2262" s="34"/>
      <c r="I2262" s="42">
        <f>IF(AND(ISNUMBER(D2262),ISNUMBER(H2262)),D2262*H2262*Inputs!$C$69,"")</f>
      </c>
      <c r="J2262" s="42">
        <f>IF(AND(ISNUMBER(F2262),ISNUMBER(H2262),F2262&gt;=Inputs!$C$68),F2262*H2262*Inputs!$C$69,"")</f>
      </c>
    </row>
    <row r="2263" spans="2:10" ht="15" customHeight="1" x14ac:dyDescent="0.2">
      <c r="B2263" s="39">
        <f t="shared" si="16"/>
      </c>
      <c r="C2263" s="40">
        <f>IF(Inputs!$C$60,Inputs!$C$11+(B2263-Inputs!$C$69)/Inputs!$C$70,"")</f>
      </c>
      <c r="D2263" s="15"/>
      <c r="E2263" s="15"/>
      <c r="F2263" s="11">
        <f t="shared" si="17"/>
      </c>
      <c r="G2263" s="22" cm="1">
        <f t="array" ref="G2263">IF(AND(Inputs!$C$60,Inputs!$C$61),INDEX(Utility_Rates!$C$29:$F$52,HOUR(C2263)+Inputs!$C$69,MATCH(INDEX(Utility_Rates!$K$6:$K$17,MONTH(C2263))&amp;IF(WEEKDAY(C2263,Inputs!$C$76)&lt;=Inputs!$C$74," weekday"," weekend"),Utility_Rates!$C$28:$F$28,Inputs!$C$68)),"")</f>
      </c>
      <c r="H2263" s="34"/>
      <c r="I2263" s="42">
        <f>IF(AND(ISNUMBER(D2263),ISNUMBER(H2263)),D2263*H2263*Inputs!$C$69,"")</f>
      </c>
      <c r="J2263" s="42">
        <f>IF(AND(ISNUMBER(F2263),ISNUMBER(H2263),F2263&gt;=Inputs!$C$68),F2263*H2263*Inputs!$C$69,"")</f>
      </c>
    </row>
    <row r="2264" spans="2:10" ht="15" customHeight="1" x14ac:dyDescent="0.2">
      <c r="B2264" s="39">
        <f t="shared" si="16"/>
      </c>
      <c r="C2264" s="40">
        <f>IF(Inputs!$C$60,Inputs!$C$11+(B2264-Inputs!$C$69)/Inputs!$C$70,"")</f>
      </c>
      <c r="D2264" s="15"/>
      <c r="E2264" s="15"/>
      <c r="F2264" s="11">
        <f t="shared" si="17"/>
      </c>
      <c r="G2264" s="22" cm="1">
        <f t="array" ref="G2264">IF(AND(Inputs!$C$60,Inputs!$C$61),INDEX(Utility_Rates!$C$29:$F$52,HOUR(C2264)+Inputs!$C$69,MATCH(INDEX(Utility_Rates!$K$6:$K$17,MONTH(C2264))&amp;IF(WEEKDAY(C2264,Inputs!$C$76)&lt;=Inputs!$C$74," weekday"," weekend"),Utility_Rates!$C$28:$F$28,Inputs!$C$68)),"")</f>
      </c>
      <c r="H2264" s="34"/>
      <c r="I2264" s="42">
        <f>IF(AND(ISNUMBER(D2264),ISNUMBER(H2264)),D2264*H2264*Inputs!$C$69,"")</f>
      </c>
      <c r="J2264" s="42">
        <f>IF(AND(ISNUMBER(F2264),ISNUMBER(H2264),F2264&gt;=Inputs!$C$68),F2264*H2264*Inputs!$C$69,"")</f>
      </c>
    </row>
    <row r="2265" spans="2:10" ht="15" customHeight="1" x14ac:dyDescent="0.2">
      <c r="B2265" s="39">
        <f t="shared" si="16"/>
      </c>
      <c r="C2265" s="40">
        <f>IF(Inputs!$C$60,Inputs!$C$11+(B2265-Inputs!$C$69)/Inputs!$C$70,"")</f>
      </c>
      <c r="D2265" s="15"/>
      <c r="E2265" s="15"/>
      <c r="F2265" s="11">
        <f t="shared" si="17"/>
      </c>
      <c r="G2265" s="22" cm="1">
        <f t="array" ref="G2265">IF(AND(Inputs!$C$60,Inputs!$C$61),INDEX(Utility_Rates!$C$29:$F$52,HOUR(C2265)+Inputs!$C$69,MATCH(INDEX(Utility_Rates!$K$6:$K$17,MONTH(C2265))&amp;IF(WEEKDAY(C2265,Inputs!$C$76)&lt;=Inputs!$C$74," weekday"," weekend"),Utility_Rates!$C$28:$F$28,Inputs!$C$68)),"")</f>
      </c>
      <c r="H2265" s="34"/>
      <c r="I2265" s="42">
        <f>IF(AND(ISNUMBER(D2265),ISNUMBER(H2265)),D2265*H2265*Inputs!$C$69,"")</f>
      </c>
      <c r="J2265" s="42">
        <f>IF(AND(ISNUMBER(F2265),ISNUMBER(H2265),F2265&gt;=Inputs!$C$68),F2265*H2265*Inputs!$C$69,"")</f>
      </c>
    </row>
    <row r="2266" spans="2:10" ht="15" customHeight="1" x14ac:dyDescent="0.2">
      <c r="B2266" s="39">
        <f t="shared" si="16"/>
      </c>
      <c r="C2266" s="40">
        <f>IF(Inputs!$C$60,Inputs!$C$11+(B2266-Inputs!$C$69)/Inputs!$C$70,"")</f>
      </c>
      <c r="D2266" s="15"/>
      <c r="E2266" s="15"/>
      <c r="F2266" s="11">
        <f t="shared" si="17"/>
      </c>
      <c r="G2266" s="22" cm="1">
        <f t="array" ref="G2266">IF(AND(Inputs!$C$60,Inputs!$C$61),INDEX(Utility_Rates!$C$29:$F$52,HOUR(C2266)+Inputs!$C$69,MATCH(INDEX(Utility_Rates!$K$6:$K$17,MONTH(C2266))&amp;IF(WEEKDAY(C2266,Inputs!$C$76)&lt;=Inputs!$C$74," weekday"," weekend"),Utility_Rates!$C$28:$F$28,Inputs!$C$68)),"")</f>
      </c>
      <c r="H2266" s="34"/>
      <c r="I2266" s="42">
        <f>IF(AND(ISNUMBER(D2266),ISNUMBER(H2266)),D2266*H2266*Inputs!$C$69,"")</f>
      </c>
      <c r="J2266" s="42">
        <f>IF(AND(ISNUMBER(F2266),ISNUMBER(H2266),F2266&gt;=Inputs!$C$68),F2266*H2266*Inputs!$C$69,"")</f>
      </c>
    </row>
    <row r="2267" spans="2:10" ht="15" customHeight="1" x14ac:dyDescent="0.2">
      <c r="B2267" s="39">
        <f t="shared" si="16"/>
      </c>
      <c r="C2267" s="40">
        <f>IF(Inputs!$C$60,Inputs!$C$11+(B2267-Inputs!$C$69)/Inputs!$C$70,"")</f>
      </c>
      <c r="D2267" s="15"/>
      <c r="E2267" s="15"/>
      <c r="F2267" s="11">
        <f t="shared" si="17"/>
      </c>
      <c r="G2267" s="22" cm="1">
        <f t="array" ref="G2267">IF(AND(Inputs!$C$60,Inputs!$C$61),INDEX(Utility_Rates!$C$29:$F$52,HOUR(C2267)+Inputs!$C$69,MATCH(INDEX(Utility_Rates!$K$6:$K$17,MONTH(C2267))&amp;IF(WEEKDAY(C2267,Inputs!$C$76)&lt;=Inputs!$C$74," weekday"," weekend"),Utility_Rates!$C$28:$F$28,Inputs!$C$68)),"")</f>
      </c>
      <c r="H2267" s="34"/>
      <c r="I2267" s="42">
        <f>IF(AND(ISNUMBER(D2267),ISNUMBER(H2267)),D2267*H2267*Inputs!$C$69,"")</f>
      </c>
      <c r="J2267" s="42">
        <f>IF(AND(ISNUMBER(F2267),ISNUMBER(H2267),F2267&gt;=Inputs!$C$68),F2267*H2267*Inputs!$C$69,"")</f>
      </c>
    </row>
    <row r="2268" spans="2:10" ht="15" customHeight="1" x14ac:dyDescent="0.2">
      <c r="B2268" s="39">
        <f t="shared" si="16"/>
      </c>
      <c r="C2268" s="40">
        <f>IF(Inputs!$C$60,Inputs!$C$11+(B2268-Inputs!$C$69)/Inputs!$C$70,"")</f>
      </c>
      <c r="D2268" s="15"/>
      <c r="E2268" s="15"/>
      <c r="F2268" s="11">
        <f t="shared" si="17"/>
      </c>
      <c r="G2268" s="22" cm="1">
        <f t="array" ref="G2268">IF(AND(Inputs!$C$60,Inputs!$C$61),INDEX(Utility_Rates!$C$29:$F$52,HOUR(C2268)+Inputs!$C$69,MATCH(INDEX(Utility_Rates!$K$6:$K$17,MONTH(C2268))&amp;IF(WEEKDAY(C2268,Inputs!$C$76)&lt;=Inputs!$C$74," weekday"," weekend"),Utility_Rates!$C$28:$F$28,Inputs!$C$68)),"")</f>
      </c>
      <c r="H2268" s="34"/>
      <c r="I2268" s="42">
        <f>IF(AND(ISNUMBER(D2268),ISNUMBER(H2268)),D2268*H2268*Inputs!$C$69,"")</f>
      </c>
      <c r="J2268" s="42">
        <f>IF(AND(ISNUMBER(F2268),ISNUMBER(H2268),F2268&gt;=Inputs!$C$68),F2268*H2268*Inputs!$C$69,"")</f>
      </c>
    </row>
    <row r="2269" spans="2:10" ht="15" customHeight="1" x14ac:dyDescent="0.2">
      <c r="B2269" s="39">
        <f t="shared" si="16"/>
      </c>
      <c r="C2269" s="40">
        <f>IF(Inputs!$C$60,Inputs!$C$11+(B2269-Inputs!$C$69)/Inputs!$C$70,"")</f>
      </c>
      <c r="D2269" s="15"/>
      <c r="E2269" s="15"/>
      <c r="F2269" s="11">
        <f t="shared" si="17"/>
      </c>
      <c r="G2269" s="22" cm="1">
        <f t="array" ref="G2269">IF(AND(Inputs!$C$60,Inputs!$C$61),INDEX(Utility_Rates!$C$29:$F$52,HOUR(C2269)+Inputs!$C$69,MATCH(INDEX(Utility_Rates!$K$6:$K$17,MONTH(C2269))&amp;IF(WEEKDAY(C2269,Inputs!$C$76)&lt;=Inputs!$C$74," weekday"," weekend"),Utility_Rates!$C$28:$F$28,Inputs!$C$68)),"")</f>
      </c>
      <c r="H2269" s="34"/>
      <c r="I2269" s="42">
        <f>IF(AND(ISNUMBER(D2269),ISNUMBER(H2269)),D2269*H2269*Inputs!$C$69,"")</f>
      </c>
      <c r="J2269" s="42">
        <f>IF(AND(ISNUMBER(F2269),ISNUMBER(H2269),F2269&gt;=Inputs!$C$68),F2269*H2269*Inputs!$C$69,"")</f>
      </c>
    </row>
    <row r="2270" spans="2:10" ht="15" customHeight="1" x14ac:dyDescent="0.2">
      <c r="B2270" s="39">
        <f t="shared" si="16"/>
      </c>
      <c r="C2270" s="40">
        <f>IF(Inputs!$C$60,Inputs!$C$11+(B2270-Inputs!$C$69)/Inputs!$C$70,"")</f>
      </c>
      <c r="D2270" s="15"/>
      <c r="E2270" s="15"/>
      <c r="F2270" s="11">
        <f t="shared" si="17"/>
      </c>
      <c r="G2270" s="22" cm="1">
        <f t="array" ref="G2270">IF(AND(Inputs!$C$60,Inputs!$C$61),INDEX(Utility_Rates!$C$29:$F$52,HOUR(C2270)+Inputs!$C$69,MATCH(INDEX(Utility_Rates!$K$6:$K$17,MONTH(C2270))&amp;IF(WEEKDAY(C2270,Inputs!$C$76)&lt;=Inputs!$C$74," weekday"," weekend"),Utility_Rates!$C$28:$F$28,Inputs!$C$68)),"")</f>
      </c>
      <c r="H2270" s="34"/>
      <c r="I2270" s="42">
        <f>IF(AND(ISNUMBER(D2270),ISNUMBER(H2270)),D2270*H2270*Inputs!$C$69,"")</f>
      </c>
      <c r="J2270" s="42">
        <f>IF(AND(ISNUMBER(F2270),ISNUMBER(H2270),F2270&gt;=Inputs!$C$68),F2270*H2270*Inputs!$C$69,"")</f>
      </c>
    </row>
    <row r="2271" spans="2:10" ht="15" customHeight="1" x14ac:dyDescent="0.2">
      <c r="B2271" s="39">
        <f t="shared" si="16"/>
      </c>
      <c r="C2271" s="40">
        <f>IF(Inputs!$C$60,Inputs!$C$11+(B2271-Inputs!$C$69)/Inputs!$C$70,"")</f>
      </c>
      <c r="D2271" s="15"/>
      <c r="E2271" s="15"/>
      <c r="F2271" s="11">
        <f t="shared" si="17"/>
      </c>
      <c r="G2271" s="22" cm="1">
        <f t="array" ref="G2271">IF(AND(Inputs!$C$60,Inputs!$C$61),INDEX(Utility_Rates!$C$29:$F$52,HOUR(C2271)+Inputs!$C$69,MATCH(INDEX(Utility_Rates!$K$6:$K$17,MONTH(C2271))&amp;IF(WEEKDAY(C2271,Inputs!$C$76)&lt;=Inputs!$C$74," weekday"," weekend"),Utility_Rates!$C$28:$F$28,Inputs!$C$68)),"")</f>
      </c>
      <c r="H2271" s="34"/>
      <c r="I2271" s="42">
        <f>IF(AND(ISNUMBER(D2271),ISNUMBER(H2271)),D2271*H2271*Inputs!$C$69,"")</f>
      </c>
      <c r="J2271" s="42">
        <f>IF(AND(ISNUMBER(F2271),ISNUMBER(H2271),F2271&gt;=Inputs!$C$68),F2271*H2271*Inputs!$C$69,"")</f>
      </c>
    </row>
    <row r="2272" spans="2:10" ht="15" customHeight="1" x14ac:dyDescent="0.2">
      <c r="B2272" s="39">
        <f t="shared" si="16"/>
      </c>
      <c r="C2272" s="40">
        <f>IF(Inputs!$C$60,Inputs!$C$11+(B2272-Inputs!$C$69)/Inputs!$C$70,"")</f>
      </c>
      <c r="D2272" s="15"/>
      <c r="E2272" s="15"/>
      <c r="F2272" s="11">
        <f t="shared" si="17"/>
      </c>
      <c r="G2272" s="22" cm="1">
        <f t="array" ref="G2272">IF(AND(Inputs!$C$60,Inputs!$C$61),INDEX(Utility_Rates!$C$29:$F$52,HOUR(C2272)+Inputs!$C$69,MATCH(INDEX(Utility_Rates!$K$6:$K$17,MONTH(C2272))&amp;IF(WEEKDAY(C2272,Inputs!$C$76)&lt;=Inputs!$C$74," weekday"," weekend"),Utility_Rates!$C$28:$F$28,Inputs!$C$68)),"")</f>
      </c>
      <c r="H2272" s="34"/>
      <c r="I2272" s="42">
        <f>IF(AND(ISNUMBER(D2272),ISNUMBER(H2272)),D2272*H2272*Inputs!$C$69,"")</f>
      </c>
      <c r="J2272" s="42">
        <f>IF(AND(ISNUMBER(F2272),ISNUMBER(H2272),F2272&gt;=Inputs!$C$68),F2272*H2272*Inputs!$C$69,"")</f>
      </c>
    </row>
    <row r="2273" spans="2:10" ht="15" customHeight="1" x14ac:dyDescent="0.2">
      <c r="B2273" s="39">
        <f t="shared" si="16"/>
      </c>
      <c r="C2273" s="40">
        <f>IF(Inputs!$C$60,Inputs!$C$11+(B2273-Inputs!$C$69)/Inputs!$C$70,"")</f>
      </c>
      <c r="D2273" s="15"/>
      <c r="E2273" s="15"/>
      <c r="F2273" s="11">
        <f t="shared" si="17"/>
      </c>
      <c r="G2273" s="22" cm="1">
        <f t="array" ref="G2273">IF(AND(Inputs!$C$60,Inputs!$C$61),INDEX(Utility_Rates!$C$29:$F$52,HOUR(C2273)+Inputs!$C$69,MATCH(INDEX(Utility_Rates!$K$6:$K$17,MONTH(C2273))&amp;IF(WEEKDAY(C2273,Inputs!$C$76)&lt;=Inputs!$C$74," weekday"," weekend"),Utility_Rates!$C$28:$F$28,Inputs!$C$68)),"")</f>
      </c>
      <c r="H2273" s="34"/>
      <c r="I2273" s="42">
        <f>IF(AND(ISNUMBER(D2273),ISNUMBER(H2273)),D2273*H2273*Inputs!$C$69,"")</f>
      </c>
      <c r="J2273" s="42">
        <f>IF(AND(ISNUMBER(F2273),ISNUMBER(H2273),F2273&gt;=Inputs!$C$68),F2273*H2273*Inputs!$C$69,"")</f>
      </c>
    </row>
    <row r="2274" spans="2:10" ht="15" customHeight="1" x14ac:dyDescent="0.2">
      <c r="B2274" s="39">
        <f t="shared" si="16"/>
      </c>
      <c r="C2274" s="40">
        <f>IF(Inputs!$C$60,Inputs!$C$11+(B2274-Inputs!$C$69)/Inputs!$C$70,"")</f>
      </c>
      <c r="D2274" s="15"/>
      <c r="E2274" s="15"/>
      <c r="F2274" s="11">
        <f t="shared" si="17"/>
      </c>
      <c r="G2274" s="22" cm="1">
        <f t="array" ref="G2274">IF(AND(Inputs!$C$60,Inputs!$C$61),INDEX(Utility_Rates!$C$29:$F$52,HOUR(C2274)+Inputs!$C$69,MATCH(INDEX(Utility_Rates!$K$6:$K$17,MONTH(C2274))&amp;IF(WEEKDAY(C2274,Inputs!$C$76)&lt;=Inputs!$C$74," weekday"," weekend"),Utility_Rates!$C$28:$F$28,Inputs!$C$68)),"")</f>
      </c>
      <c r="H2274" s="34"/>
      <c r="I2274" s="42">
        <f>IF(AND(ISNUMBER(D2274),ISNUMBER(H2274)),D2274*H2274*Inputs!$C$69,"")</f>
      </c>
      <c r="J2274" s="42">
        <f>IF(AND(ISNUMBER(F2274),ISNUMBER(H2274),F2274&gt;=Inputs!$C$68),F2274*H2274*Inputs!$C$69,"")</f>
      </c>
    </row>
    <row r="2275" spans="2:10" ht="15" customHeight="1" x14ac:dyDescent="0.2">
      <c r="B2275" s="39">
        <f t="shared" si="16"/>
      </c>
      <c r="C2275" s="40">
        <f>IF(Inputs!$C$60,Inputs!$C$11+(B2275-Inputs!$C$69)/Inputs!$C$70,"")</f>
      </c>
      <c r="D2275" s="15"/>
      <c r="E2275" s="15"/>
      <c r="F2275" s="11">
        <f t="shared" si="17"/>
      </c>
      <c r="G2275" s="22" cm="1">
        <f t="array" ref="G2275">IF(AND(Inputs!$C$60,Inputs!$C$61),INDEX(Utility_Rates!$C$29:$F$52,HOUR(C2275)+Inputs!$C$69,MATCH(INDEX(Utility_Rates!$K$6:$K$17,MONTH(C2275))&amp;IF(WEEKDAY(C2275,Inputs!$C$76)&lt;=Inputs!$C$74," weekday"," weekend"),Utility_Rates!$C$28:$F$28,Inputs!$C$68)),"")</f>
      </c>
      <c r="H2275" s="34"/>
      <c r="I2275" s="42">
        <f>IF(AND(ISNUMBER(D2275),ISNUMBER(H2275)),D2275*H2275*Inputs!$C$69,"")</f>
      </c>
      <c r="J2275" s="42">
        <f>IF(AND(ISNUMBER(F2275),ISNUMBER(H2275),F2275&gt;=Inputs!$C$68),F2275*H2275*Inputs!$C$69,"")</f>
      </c>
    </row>
    <row r="2276" spans="2:10" ht="15" customHeight="1" x14ac:dyDescent="0.2">
      <c r="B2276" s="39">
        <f t="shared" si="16"/>
      </c>
      <c r="C2276" s="40">
        <f>IF(Inputs!$C$60,Inputs!$C$11+(B2276-Inputs!$C$69)/Inputs!$C$70,"")</f>
      </c>
      <c r="D2276" s="15"/>
      <c r="E2276" s="15"/>
      <c r="F2276" s="11">
        <f t="shared" si="17"/>
      </c>
      <c r="G2276" s="22" cm="1">
        <f t="array" ref="G2276">IF(AND(Inputs!$C$60,Inputs!$C$61),INDEX(Utility_Rates!$C$29:$F$52,HOUR(C2276)+Inputs!$C$69,MATCH(INDEX(Utility_Rates!$K$6:$K$17,MONTH(C2276))&amp;IF(WEEKDAY(C2276,Inputs!$C$76)&lt;=Inputs!$C$74," weekday"," weekend"),Utility_Rates!$C$28:$F$28,Inputs!$C$68)),"")</f>
      </c>
      <c r="H2276" s="34"/>
      <c r="I2276" s="42">
        <f>IF(AND(ISNUMBER(D2276),ISNUMBER(H2276)),D2276*H2276*Inputs!$C$69,"")</f>
      </c>
      <c r="J2276" s="42">
        <f>IF(AND(ISNUMBER(F2276),ISNUMBER(H2276),F2276&gt;=Inputs!$C$68),F2276*H2276*Inputs!$C$69,"")</f>
      </c>
    </row>
    <row r="2277" spans="2:10" ht="15" customHeight="1" x14ac:dyDescent="0.2">
      <c r="B2277" s="39">
        <f t="shared" si="16"/>
      </c>
      <c r="C2277" s="40">
        <f>IF(Inputs!$C$60,Inputs!$C$11+(B2277-Inputs!$C$69)/Inputs!$C$70,"")</f>
      </c>
      <c r="D2277" s="15"/>
      <c r="E2277" s="15"/>
      <c r="F2277" s="11">
        <f t="shared" si="17"/>
      </c>
      <c r="G2277" s="22" cm="1">
        <f t="array" ref="G2277">IF(AND(Inputs!$C$60,Inputs!$C$61),INDEX(Utility_Rates!$C$29:$F$52,HOUR(C2277)+Inputs!$C$69,MATCH(INDEX(Utility_Rates!$K$6:$K$17,MONTH(C2277))&amp;IF(WEEKDAY(C2277,Inputs!$C$76)&lt;=Inputs!$C$74," weekday"," weekend"),Utility_Rates!$C$28:$F$28,Inputs!$C$68)),"")</f>
      </c>
      <c r="H2277" s="34"/>
      <c r="I2277" s="42">
        <f>IF(AND(ISNUMBER(D2277),ISNUMBER(H2277)),D2277*H2277*Inputs!$C$69,"")</f>
      </c>
      <c r="J2277" s="42">
        <f>IF(AND(ISNUMBER(F2277),ISNUMBER(H2277),F2277&gt;=Inputs!$C$68),F2277*H2277*Inputs!$C$69,"")</f>
      </c>
    </row>
    <row r="2278" spans="2:10" ht="15" customHeight="1" x14ac:dyDescent="0.2">
      <c r="B2278" s="39">
        <f t="shared" si="16"/>
      </c>
      <c r="C2278" s="40">
        <f>IF(Inputs!$C$60,Inputs!$C$11+(B2278-Inputs!$C$69)/Inputs!$C$70,"")</f>
      </c>
      <c r="D2278" s="15"/>
      <c r="E2278" s="15"/>
      <c r="F2278" s="11">
        <f t="shared" si="17"/>
      </c>
      <c r="G2278" s="22" cm="1">
        <f t="array" ref="G2278">IF(AND(Inputs!$C$60,Inputs!$C$61),INDEX(Utility_Rates!$C$29:$F$52,HOUR(C2278)+Inputs!$C$69,MATCH(INDEX(Utility_Rates!$K$6:$K$17,MONTH(C2278))&amp;IF(WEEKDAY(C2278,Inputs!$C$76)&lt;=Inputs!$C$74," weekday"," weekend"),Utility_Rates!$C$28:$F$28,Inputs!$C$68)),"")</f>
      </c>
      <c r="H2278" s="34"/>
      <c r="I2278" s="42">
        <f>IF(AND(ISNUMBER(D2278),ISNUMBER(H2278)),D2278*H2278*Inputs!$C$69,"")</f>
      </c>
      <c r="J2278" s="42">
        <f>IF(AND(ISNUMBER(F2278),ISNUMBER(H2278),F2278&gt;=Inputs!$C$68),F2278*H2278*Inputs!$C$69,"")</f>
      </c>
    </row>
    <row r="2279" spans="2:10" ht="15" customHeight="1" x14ac:dyDescent="0.2">
      <c r="B2279" s="39">
        <f t="shared" si="16"/>
      </c>
      <c r="C2279" s="40">
        <f>IF(Inputs!$C$60,Inputs!$C$11+(B2279-Inputs!$C$69)/Inputs!$C$70,"")</f>
      </c>
      <c r="D2279" s="15"/>
      <c r="E2279" s="15"/>
      <c r="F2279" s="11">
        <f t="shared" si="17"/>
      </c>
      <c r="G2279" s="22" cm="1">
        <f t="array" ref="G2279">IF(AND(Inputs!$C$60,Inputs!$C$61),INDEX(Utility_Rates!$C$29:$F$52,HOUR(C2279)+Inputs!$C$69,MATCH(INDEX(Utility_Rates!$K$6:$K$17,MONTH(C2279))&amp;IF(WEEKDAY(C2279,Inputs!$C$76)&lt;=Inputs!$C$74," weekday"," weekend"),Utility_Rates!$C$28:$F$28,Inputs!$C$68)),"")</f>
      </c>
      <c r="H2279" s="34"/>
      <c r="I2279" s="42">
        <f>IF(AND(ISNUMBER(D2279),ISNUMBER(H2279)),D2279*H2279*Inputs!$C$69,"")</f>
      </c>
      <c r="J2279" s="42">
        <f>IF(AND(ISNUMBER(F2279),ISNUMBER(H2279),F2279&gt;=Inputs!$C$68),F2279*H2279*Inputs!$C$69,"")</f>
      </c>
    </row>
    <row r="2280" spans="2:10" ht="15" customHeight="1" x14ac:dyDescent="0.2">
      <c r="B2280" s="39">
        <f t="shared" si="16"/>
      </c>
      <c r="C2280" s="40">
        <f>IF(Inputs!$C$60,Inputs!$C$11+(B2280-Inputs!$C$69)/Inputs!$C$70,"")</f>
      </c>
      <c r="D2280" s="15"/>
      <c r="E2280" s="15"/>
      <c r="F2280" s="11">
        <f t="shared" si="17"/>
      </c>
      <c r="G2280" s="22" cm="1">
        <f t="array" ref="G2280">IF(AND(Inputs!$C$60,Inputs!$C$61),INDEX(Utility_Rates!$C$29:$F$52,HOUR(C2280)+Inputs!$C$69,MATCH(INDEX(Utility_Rates!$K$6:$K$17,MONTH(C2280))&amp;IF(WEEKDAY(C2280,Inputs!$C$76)&lt;=Inputs!$C$74," weekday"," weekend"),Utility_Rates!$C$28:$F$28,Inputs!$C$68)),"")</f>
      </c>
      <c r="H2280" s="34"/>
      <c r="I2280" s="42">
        <f>IF(AND(ISNUMBER(D2280),ISNUMBER(H2280)),D2280*H2280*Inputs!$C$69,"")</f>
      </c>
      <c r="J2280" s="42">
        <f>IF(AND(ISNUMBER(F2280),ISNUMBER(H2280),F2280&gt;=Inputs!$C$68),F2280*H2280*Inputs!$C$69,"")</f>
      </c>
    </row>
    <row r="2281" spans="2:10" ht="15" customHeight="1" x14ac:dyDescent="0.2">
      <c r="B2281" s="39">
        <f t="shared" si="16"/>
      </c>
      <c r="C2281" s="40">
        <f>IF(Inputs!$C$60,Inputs!$C$11+(B2281-Inputs!$C$69)/Inputs!$C$70,"")</f>
      </c>
      <c r="D2281" s="15"/>
      <c r="E2281" s="15"/>
      <c r="F2281" s="11">
        <f t="shared" si="17"/>
      </c>
      <c r="G2281" s="22" cm="1">
        <f t="array" ref="G2281">IF(AND(Inputs!$C$60,Inputs!$C$61),INDEX(Utility_Rates!$C$29:$F$52,HOUR(C2281)+Inputs!$C$69,MATCH(INDEX(Utility_Rates!$K$6:$K$17,MONTH(C2281))&amp;IF(WEEKDAY(C2281,Inputs!$C$76)&lt;=Inputs!$C$74," weekday"," weekend"),Utility_Rates!$C$28:$F$28,Inputs!$C$68)),"")</f>
      </c>
      <c r="H2281" s="34"/>
      <c r="I2281" s="42">
        <f>IF(AND(ISNUMBER(D2281),ISNUMBER(H2281)),D2281*H2281*Inputs!$C$69,"")</f>
      </c>
      <c r="J2281" s="42">
        <f>IF(AND(ISNUMBER(F2281),ISNUMBER(H2281),F2281&gt;=Inputs!$C$68),F2281*H2281*Inputs!$C$69,"")</f>
      </c>
    </row>
    <row r="2282" spans="2:10" ht="15" customHeight="1" x14ac:dyDescent="0.2">
      <c r="B2282" s="39">
        <f t="shared" si="16"/>
      </c>
      <c r="C2282" s="40">
        <f>IF(Inputs!$C$60,Inputs!$C$11+(B2282-Inputs!$C$69)/Inputs!$C$70,"")</f>
      </c>
      <c r="D2282" s="15"/>
      <c r="E2282" s="15"/>
      <c r="F2282" s="11">
        <f t="shared" si="17"/>
      </c>
      <c r="G2282" s="22" cm="1">
        <f t="array" ref="G2282">IF(AND(Inputs!$C$60,Inputs!$C$61),INDEX(Utility_Rates!$C$29:$F$52,HOUR(C2282)+Inputs!$C$69,MATCH(INDEX(Utility_Rates!$K$6:$K$17,MONTH(C2282))&amp;IF(WEEKDAY(C2282,Inputs!$C$76)&lt;=Inputs!$C$74," weekday"," weekend"),Utility_Rates!$C$28:$F$28,Inputs!$C$68)),"")</f>
      </c>
      <c r="H2282" s="34"/>
      <c r="I2282" s="42">
        <f>IF(AND(ISNUMBER(D2282),ISNUMBER(H2282)),D2282*H2282*Inputs!$C$69,"")</f>
      </c>
      <c r="J2282" s="42">
        <f>IF(AND(ISNUMBER(F2282),ISNUMBER(H2282),F2282&gt;=Inputs!$C$68),F2282*H2282*Inputs!$C$69,"")</f>
      </c>
    </row>
    <row r="2283" spans="2:10" ht="15" customHeight="1" x14ac:dyDescent="0.2">
      <c r="B2283" s="39">
        <f t="shared" si="16"/>
      </c>
      <c r="C2283" s="40">
        <f>IF(Inputs!$C$60,Inputs!$C$11+(B2283-Inputs!$C$69)/Inputs!$C$70,"")</f>
      </c>
      <c r="D2283" s="15"/>
      <c r="E2283" s="15"/>
      <c r="F2283" s="11">
        <f t="shared" si="17"/>
      </c>
      <c r="G2283" s="22" cm="1">
        <f t="array" ref="G2283">IF(AND(Inputs!$C$60,Inputs!$C$61),INDEX(Utility_Rates!$C$29:$F$52,HOUR(C2283)+Inputs!$C$69,MATCH(INDEX(Utility_Rates!$K$6:$K$17,MONTH(C2283))&amp;IF(WEEKDAY(C2283,Inputs!$C$76)&lt;=Inputs!$C$74," weekday"," weekend"),Utility_Rates!$C$28:$F$28,Inputs!$C$68)),"")</f>
      </c>
      <c r="H2283" s="34"/>
      <c r="I2283" s="42">
        <f>IF(AND(ISNUMBER(D2283),ISNUMBER(H2283)),D2283*H2283*Inputs!$C$69,"")</f>
      </c>
      <c r="J2283" s="42">
        <f>IF(AND(ISNUMBER(F2283),ISNUMBER(H2283),F2283&gt;=Inputs!$C$68),F2283*H2283*Inputs!$C$69,"")</f>
      </c>
    </row>
    <row r="2284" spans="2:10" ht="15" customHeight="1" x14ac:dyDescent="0.2">
      <c r="B2284" s="39">
        <f t="shared" si="16"/>
      </c>
      <c r="C2284" s="40">
        <f>IF(Inputs!$C$60,Inputs!$C$11+(B2284-Inputs!$C$69)/Inputs!$C$70,"")</f>
      </c>
      <c r="D2284" s="15"/>
      <c r="E2284" s="15"/>
      <c r="F2284" s="11">
        <f t="shared" si="17"/>
      </c>
      <c r="G2284" s="22" cm="1">
        <f t="array" ref="G2284">IF(AND(Inputs!$C$60,Inputs!$C$61),INDEX(Utility_Rates!$C$29:$F$52,HOUR(C2284)+Inputs!$C$69,MATCH(INDEX(Utility_Rates!$K$6:$K$17,MONTH(C2284))&amp;IF(WEEKDAY(C2284,Inputs!$C$76)&lt;=Inputs!$C$74," weekday"," weekend"),Utility_Rates!$C$28:$F$28,Inputs!$C$68)),"")</f>
      </c>
      <c r="H2284" s="34"/>
      <c r="I2284" s="42">
        <f>IF(AND(ISNUMBER(D2284),ISNUMBER(H2284)),D2284*H2284*Inputs!$C$69,"")</f>
      </c>
      <c r="J2284" s="42">
        <f>IF(AND(ISNUMBER(F2284),ISNUMBER(H2284),F2284&gt;=Inputs!$C$68),F2284*H2284*Inputs!$C$69,"")</f>
      </c>
    </row>
    <row r="2285" spans="2:10" ht="15" customHeight="1" x14ac:dyDescent="0.2">
      <c r="B2285" s="39">
        <f t="shared" si="16"/>
      </c>
      <c r="C2285" s="40">
        <f>IF(Inputs!$C$60,Inputs!$C$11+(B2285-Inputs!$C$69)/Inputs!$C$70,"")</f>
      </c>
      <c r="D2285" s="15"/>
      <c r="E2285" s="15"/>
      <c r="F2285" s="11">
        <f t="shared" si="17"/>
      </c>
      <c r="G2285" s="22" cm="1">
        <f t="array" ref="G2285">IF(AND(Inputs!$C$60,Inputs!$C$61),INDEX(Utility_Rates!$C$29:$F$52,HOUR(C2285)+Inputs!$C$69,MATCH(INDEX(Utility_Rates!$K$6:$K$17,MONTH(C2285))&amp;IF(WEEKDAY(C2285,Inputs!$C$76)&lt;=Inputs!$C$74," weekday"," weekend"),Utility_Rates!$C$28:$F$28,Inputs!$C$68)),"")</f>
      </c>
      <c r="H2285" s="34"/>
      <c r="I2285" s="42">
        <f>IF(AND(ISNUMBER(D2285),ISNUMBER(H2285)),D2285*H2285*Inputs!$C$69,"")</f>
      </c>
      <c r="J2285" s="42">
        <f>IF(AND(ISNUMBER(F2285),ISNUMBER(H2285),F2285&gt;=Inputs!$C$68),F2285*H2285*Inputs!$C$69,"")</f>
      </c>
    </row>
    <row r="2286" spans="2:10" ht="15" customHeight="1" x14ac:dyDescent="0.2">
      <c r="B2286" s="39">
        <f t="shared" si="16"/>
      </c>
      <c r="C2286" s="40">
        <f>IF(Inputs!$C$60,Inputs!$C$11+(B2286-Inputs!$C$69)/Inputs!$C$70,"")</f>
      </c>
      <c r="D2286" s="15"/>
      <c r="E2286" s="15"/>
      <c r="F2286" s="11">
        <f t="shared" si="17"/>
      </c>
      <c r="G2286" s="22" cm="1">
        <f t="array" ref="G2286">IF(AND(Inputs!$C$60,Inputs!$C$61),INDEX(Utility_Rates!$C$29:$F$52,HOUR(C2286)+Inputs!$C$69,MATCH(INDEX(Utility_Rates!$K$6:$K$17,MONTH(C2286))&amp;IF(WEEKDAY(C2286,Inputs!$C$76)&lt;=Inputs!$C$74," weekday"," weekend"),Utility_Rates!$C$28:$F$28,Inputs!$C$68)),"")</f>
      </c>
      <c r="H2286" s="34"/>
      <c r="I2286" s="42">
        <f>IF(AND(ISNUMBER(D2286),ISNUMBER(H2286)),D2286*H2286*Inputs!$C$69,"")</f>
      </c>
      <c r="J2286" s="42">
        <f>IF(AND(ISNUMBER(F2286),ISNUMBER(H2286),F2286&gt;=Inputs!$C$68),F2286*H2286*Inputs!$C$69,"")</f>
      </c>
    </row>
    <row r="2287" spans="2:10" ht="15" customHeight="1" x14ac:dyDescent="0.2">
      <c r="B2287" s="39">
        <f t="shared" si="16"/>
      </c>
      <c r="C2287" s="40">
        <f>IF(Inputs!$C$60,Inputs!$C$11+(B2287-Inputs!$C$69)/Inputs!$C$70,"")</f>
      </c>
      <c r="D2287" s="15"/>
      <c r="E2287" s="15"/>
      <c r="F2287" s="11">
        <f t="shared" si="17"/>
      </c>
      <c r="G2287" s="22" cm="1">
        <f t="array" ref="G2287">IF(AND(Inputs!$C$60,Inputs!$C$61),INDEX(Utility_Rates!$C$29:$F$52,HOUR(C2287)+Inputs!$C$69,MATCH(INDEX(Utility_Rates!$K$6:$K$17,MONTH(C2287))&amp;IF(WEEKDAY(C2287,Inputs!$C$76)&lt;=Inputs!$C$74," weekday"," weekend"),Utility_Rates!$C$28:$F$28,Inputs!$C$68)),"")</f>
      </c>
      <c r="H2287" s="34"/>
      <c r="I2287" s="42">
        <f>IF(AND(ISNUMBER(D2287),ISNUMBER(H2287)),D2287*H2287*Inputs!$C$69,"")</f>
      </c>
      <c r="J2287" s="42">
        <f>IF(AND(ISNUMBER(F2287),ISNUMBER(H2287),F2287&gt;=Inputs!$C$68),F2287*H2287*Inputs!$C$69,"")</f>
      </c>
    </row>
    <row r="2288" spans="2:10" ht="15" customHeight="1" x14ac:dyDescent="0.2">
      <c r="B2288" s="39">
        <f t="shared" si="16"/>
      </c>
      <c r="C2288" s="40">
        <f>IF(Inputs!$C$60,Inputs!$C$11+(B2288-Inputs!$C$69)/Inputs!$C$70,"")</f>
      </c>
      <c r="D2288" s="15"/>
      <c r="E2288" s="15"/>
      <c r="F2288" s="11">
        <f t="shared" si="17"/>
      </c>
      <c r="G2288" s="22" cm="1">
        <f t="array" ref="G2288">IF(AND(Inputs!$C$60,Inputs!$C$61),INDEX(Utility_Rates!$C$29:$F$52,HOUR(C2288)+Inputs!$C$69,MATCH(INDEX(Utility_Rates!$K$6:$K$17,MONTH(C2288))&amp;IF(WEEKDAY(C2288,Inputs!$C$76)&lt;=Inputs!$C$74," weekday"," weekend"),Utility_Rates!$C$28:$F$28,Inputs!$C$68)),"")</f>
      </c>
      <c r="H2288" s="34"/>
      <c r="I2288" s="42">
        <f>IF(AND(ISNUMBER(D2288),ISNUMBER(H2288)),D2288*H2288*Inputs!$C$69,"")</f>
      </c>
      <c r="J2288" s="42">
        <f>IF(AND(ISNUMBER(F2288),ISNUMBER(H2288),F2288&gt;=Inputs!$C$68),F2288*H2288*Inputs!$C$69,"")</f>
      </c>
    </row>
    <row r="2289" spans="2:10" ht="15" customHeight="1" x14ac:dyDescent="0.2">
      <c r="B2289" s="39">
        <f t="shared" si="16"/>
      </c>
      <c r="C2289" s="40">
        <f>IF(Inputs!$C$60,Inputs!$C$11+(B2289-Inputs!$C$69)/Inputs!$C$70,"")</f>
      </c>
      <c r="D2289" s="15"/>
      <c r="E2289" s="15"/>
      <c r="F2289" s="11">
        <f t="shared" si="17"/>
      </c>
      <c r="G2289" s="22" cm="1">
        <f t="array" ref="G2289">IF(AND(Inputs!$C$60,Inputs!$C$61),INDEX(Utility_Rates!$C$29:$F$52,HOUR(C2289)+Inputs!$C$69,MATCH(INDEX(Utility_Rates!$K$6:$K$17,MONTH(C2289))&amp;IF(WEEKDAY(C2289,Inputs!$C$76)&lt;=Inputs!$C$74," weekday"," weekend"),Utility_Rates!$C$28:$F$28,Inputs!$C$68)),"")</f>
      </c>
      <c r="H2289" s="34"/>
      <c r="I2289" s="42">
        <f>IF(AND(ISNUMBER(D2289),ISNUMBER(H2289)),D2289*H2289*Inputs!$C$69,"")</f>
      </c>
      <c r="J2289" s="42">
        <f>IF(AND(ISNUMBER(F2289),ISNUMBER(H2289),F2289&gt;=Inputs!$C$68),F2289*H2289*Inputs!$C$69,"")</f>
      </c>
    </row>
    <row r="2290" spans="2:10" ht="15" customHeight="1" x14ac:dyDescent="0.2">
      <c r="B2290" s="39">
        <f t="shared" si="16"/>
      </c>
      <c r="C2290" s="40">
        <f>IF(Inputs!$C$60,Inputs!$C$11+(B2290-Inputs!$C$69)/Inputs!$C$70,"")</f>
      </c>
      <c r="D2290" s="15"/>
      <c r="E2290" s="15"/>
      <c r="F2290" s="11">
        <f t="shared" si="17"/>
      </c>
      <c r="G2290" s="22" cm="1">
        <f t="array" ref="G2290">IF(AND(Inputs!$C$60,Inputs!$C$61),INDEX(Utility_Rates!$C$29:$F$52,HOUR(C2290)+Inputs!$C$69,MATCH(INDEX(Utility_Rates!$K$6:$K$17,MONTH(C2290))&amp;IF(WEEKDAY(C2290,Inputs!$C$76)&lt;=Inputs!$C$74," weekday"," weekend"),Utility_Rates!$C$28:$F$28,Inputs!$C$68)),"")</f>
      </c>
      <c r="H2290" s="34"/>
      <c r="I2290" s="42">
        <f>IF(AND(ISNUMBER(D2290),ISNUMBER(H2290)),D2290*H2290*Inputs!$C$69,"")</f>
      </c>
      <c r="J2290" s="42">
        <f>IF(AND(ISNUMBER(F2290),ISNUMBER(H2290),F2290&gt;=Inputs!$C$68),F2290*H2290*Inputs!$C$69,"")</f>
      </c>
    </row>
    <row r="2291" spans="2:10" ht="15" customHeight="1" x14ac:dyDescent="0.2">
      <c r="B2291" s="39">
        <f t="shared" si="16"/>
      </c>
      <c r="C2291" s="40">
        <f>IF(Inputs!$C$60,Inputs!$C$11+(B2291-Inputs!$C$69)/Inputs!$C$70,"")</f>
      </c>
      <c r="D2291" s="15"/>
      <c r="E2291" s="15"/>
      <c r="F2291" s="11">
        <f t="shared" si="17"/>
      </c>
      <c r="G2291" s="22" cm="1">
        <f t="array" ref="G2291">IF(AND(Inputs!$C$60,Inputs!$C$61),INDEX(Utility_Rates!$C$29:$F$52,HOUR(C2291)+Inputs!$C$69,MATCH(INDEX(Utility_Rates!$K$6:$K$17,MONTH(C2291))&amp;IF(WEEKDAY(C2291,Inputs!$C$76)&lt;=Inputs!$C$74," weekday"," weekend"),Utility_Rates!$C$28:$F$28,Inputs!$C$68)),"")</f>
      </c>
      <c r="H2291" s="34"/>
      <c r="I2291" s="42">
        <f>IF(AND(ISNUMBER(D2291),ISNUMBER(H2291)),D2291*H2291*Inputs!$C$69,"")</f>
      </c>
      <c r="J2291" s="42">
        <f>IF(AND(ISNUMBER(F2291),ISNUMBER(H2291),F2291&gt;=Inputs!$C$68),F2291*H2291*Inputs!$C$69,"")</f>
      </c>
    </row>
    <row r="2292" spans="2:10" ht="15" customHeight="1" x14ac:dyDescent="0.2">
      <c r="B2292" s="39">
        <f t="shared" si="16"/>
      </c>
      <c r="C2292" s="40">
        <f>IF(Inputs!$C$60,Inputs!$C$11+(B2292-Inputs!$C$69)/Inputs!$C$70,"")</f>
      </c>
      <c r="D2292" s="15"/>
      <c r="E2292" s="15"/>
      <c r="F2292" s="11">
        <f t="shared" si="17"/>
      </c>
      <c r="G2292" s="22" cm="1">
        <f t="array" ref="G2292">IF(AND(Inputs!$C$60,Inputs!$C$61),INDEX(Utility_Rates!$C$29:$F$52,HOUR(C2292)+Inputs!$C$69,MATCH(INDEX(Utility_Rates!$K$6:$K$17,MONTH(C2292))&amp;IF(WEEKDAY(C2292,Inputs!$C$76)&lt;=Inputs!$C$74," weekday"," weekend"),Utility_Rates!$C$28:$F$28,Inputs!$C$68)),"")</f>
      </c>
      <c r="H2292" s="34"/>
      <c r="I2292" s="42">
        <f>IF(AND(ISNUMBER(D2292),ISNUMBER(H2292)),D2292*H2292*Inputs!$C$69,"")</f>
      </c>
      <c r="J2292" s="42">
        <f>IF(AND(ISNUMBER(F2292),ISNUMBER(H2292),F2292&gt;=Inputs!$C$68),F2292*H2292*Inputs!$C$69,"")</f>
      </c>
    </row>
    <row r="2293" spans="2:10" ht="15" customHeight="1" x14ac:dyDescent="0.2">
      <c r="B2293" s="39">
        <f t="shared" si="16"/>
      </c>
      <c r="C2293" s="40">
        <f>IF(Inputs!$C$60,Inputs!$C$11+(B2293-Inputs!$C$69)/Inputs!$C$70,"")</f>
      </c>
      <c r="D2293" s="15"/>
      <c r="E2293" s="15"/>
      <c r="F2293" s="11">
        <f t="shared" si="17"/>
      </c>
      <c r="G2293" s="22" cm="1">
        <f t="array" ref="G2293">IF(AND(Inputs!$C$60,Inputs!$C$61),INDEX(Utility_Rates!$C$29:$F$52,HOUR(C2293)+Inputs!$C$69,MATCH(INDEX(Utility_Rates!$K$6:$K$17,MONTH(C2293))&amp;IF(WEEKDAY(C2293,Inputs!$C$76)&lt;=Inputs!$C$74," weekday"," weekend"),Utility_Rates!$C$28:$F$28,Inputs!$C$68)),"")</f>
      </c>
      <c r="H2293" s="34"/>
      <c r="I2293" s="42">
        <f>IF(AND(ISNUMBER(D2293),ISNUMBER(H2293)),D2293*H2293*Inputs!$C$69,"")</f>
      </c>
      <c r="J2293" s="42">
        <f>IF(AND(ISNUMBER(F2293),ISNUMBER(H2293),F2293&gt;=Inputs!$C$68),F2293*H2293*Inputs!$C$69,"")</f>
      </c>
    </row>
    <row r="2294" spans="2:10" ht="15" customHeight="1" x14ac:dyDescent="0.2">
      <c r="B2294" s="39">
        <f t="shared" si="16"/>
      </c>
      <c r="C2294" s="40">
        <f>IF(Inputs!$C$60,Inputs!$C$11+(B2294-Inputs!$C$69)/Inputs!$C$70,"")</f>
      </c>
      <c r="D2294" s="15"/>
      <c r="E2294" s="15"/>
      <c r="F2294" s="11">
        <f t="shared" si="17"/>
      </c>
      <c r="G2294" s="22" cm="1">
        <f t="array" ref="G2294">IF(AND(Inputs!$C$60,Inputs!$C$61),INDEX(Utility_Rates!$C$29:$F$52,HOUR(C2294)+Inputs!$C$69,MATCH(INDEX(Utility_Rates!$K$6:$K$17,MONTH(C2294))&amp;IF(WEEKDAY(C2294,Inputs!$C$76)&lt;=Inputs!$C$74," weekday"," weekend"),Utility_Rates!$C$28:$F$28,Inputs!$C$68)),"")</f>
      </c>
      <c r="H2294" s="34"/>
      <c r="I2294" s="42">
        <f>IF(AND(ISNUMBER(D2294),ISNUMBER(H2294)),D2294*H2294*Inputs!$C$69,"")</f>
      </c>
      <c r="J2294" s="42">
        <f>IF(AND(ISNUMBER(F2294),ISNUMBER(H2294),F2294&gt;=Inputs!$C$68),F2294*H2294*Inputs!$C$69,"")</f>
      </c>
    </row>
    <row r="2295" spans="2:10" ht="15" customHeight="1" x14ac:dyDescent="0.2">
      <c r="B2295" s="39">
        <f t="shared" si="16"/>
      </c>
      <c r="C2295" s="40">
        <f>IF(Inputs!$C$60,Inputs!$C$11+(B2295-Inputs!$C$69)/Inputs!$C$70,"")</f>
      </c>
      <c r="D2295" s="15"/>
      <c r="E2295" s="15"/>
      <c r="F2295" s="11">
        <f t="shared" si="17"/>
      </c>
      <c r="G2295" s="22" cm="1">
        <f t="array" ref="G2295">IF(AND(Inputs!$C$60,Inputs!$C$61),INDEX(Utility_Rates!$C$29:$F$52,HOUR(C2295)+Inputs!$C$69,MATCH(INDEX(Utility_Rates!$K$6:$K$17,MONTH(C2295))&amp;IF(WEEKDAY(C2295,Inputs!$C$76)&lt;=Inputs!$C$74," weekday"," weekend"),Utility_Rates!$C$28:$F$28,Inputs!$C$68)),"")</f>
      </c>
      <c r="H2295" s="34"/>
      <c r="I2295" s="42">
        <f>IF(AND(ISNUMBER(D2295),ISNUMBER(H2295)),D2295*H2295*Inputs!$C$69,"")</f>
      </c>
      <c r="J2295" s="42">
        <f>IF(AND(ISNUMBER(F2295),ISNUMBER(H2295),F2295&gt;=Inputs!$C$68),F2295*H2295*Inputs!$C$69,"")</f>
      </c>
    </row>
    <row r="2296" spans="2:10" ht="15" customHeight="1" x14ac:dyDescent="0.2">
      <c r="B2296" s="39">
        <f t="shared" si="16"/>
      </c>
      <c r="C2296" s="40">
        <f>IF(Inputs!$C$60,Inputs!$C$11+(B2296-Inputs!$C$69)/Inputs!$C$70,"")</f>
      </c>
      <c r="D2296" s="15"/>
      <c r="E2296" s="15"/>
      <c r="F2296" s="11">
        <f t="shared" si="17"/>
      </c>
      <c r="G2296" s="22" cm="1">
        <f t="array" ref="G2296">IF(AND(Inputs!$C$60,Inputs!$C$61),INDEX(Utility_Rates!$C$29:$F$52,HOUR(C2296)+Inputs!$C$69,MATCH(INDEX(Utility_Rates!$K$6:$K$17,MONTH(C2296))&amp;IF(WEEKDAY(C2296,Inputs!$C$76)&lt;=Inputs!$C$74," weekday"," weekend"),Utility_Rates!$C$28:$F$28,Inputs!$C$68)),"")</f>
      </c>
      <c r="H2296" s="34"/>
      <c r="I2296" s="42">
        <f>IF(AND(ISNUMBER(D2296),ISNUMBER(H2296)),D2296*H2296*Inputs!$C$69,"")</f>
      </c>
      <c r="J2296" s="42">
        <f>IF(AND(ISNUMBER(F2296),ISNUMBER(H2296),F2296&gt;=Inputs!$C$68),F2296*H2296*Inputs!$C$69,"")</f>
      </c>
    </row>
    <row r="2297" spans="2:10" ht="15" customHeight="1" x14ac:dyDescent="0.2">
      <c r="B2297" s="39">
        <f t="shared" si="16"/>
      </c>
      <c r="C2297" s="40">
        <f>IF(Inputs!$C$60,Inputs!$C$11+(B2297-Inputs!$C$69)/Inputs!$C$70,"")</f>
      </c>
      <c r="D2297" s="15"/>
      <c r="E2297" s="15"/>
      <c r="F2297" s="11">
        <f t="shared" si="17"/>
      </c>
      <c r="G2297" s="22" cm="1">
        <f t="array" ref="G2297">IF(AND(Inputs!$C$60,Inputs!$C$61),INDEX(Utility_Rates!$C$29:$F$52,HOUR(C2297)+Inputs!$C$69,MATCH(INDEX(Utility_Rates!$K$6:$K$17,MONTH(C2297))&amp;IF(WEEKDAY(C2297,Inputs!$C$76)&lt;=Inputs!$C$74," weekday"," weekend"),Utility_Rates!$C$28:$F$28,Inputs!$C$68)),"")</f>
      </c>
      <c r="H2297" s="34"/>
      <c r="I2297" s="42">
        <f>IF(AND(ISNUMBER(D2297),ISNUMBER(H2297)),D2297*H2297*Inputs!$C$69,"")</f>
      </c>
      <c r="J2297" s="42">
        <f>IF(AND(ISNUMBER(F2297),ISNUMBER(H2297),F2297&gt;=Inputs!$C$68),F2297*H2297*Inputs!$C$69,"")</f>
      </c>
    </row>
    <row r="2298" spans="2:10" ht="15" customHeight="1" x14ac:dyDescent="0.2">
      <c r="B2298" s="39">
        <f t="shared" si="16"/>
      </c>
      <c r="C2298" s="40">
        <f>IF(Inputs!$C$60,Inputs!$C$11+(B2298-Inputs!$C$69)/Inputs!$C$70,"")</f>
      </c>
      <c r="D2298" s="15"/>
      <c r="E2298" s="15"/>
      <c r="F2298" s="11">
        <f t="shared" si="17"/>
      </c>
      <c r="G2298" s="22" cm="1">
        <f t="array" ref="G2298">IF(AND(Inputs!$C$60,Inputs!$C$61),INDEX(Utility_Rates!$C$29:$F$52,HOUR(C2298)+Inputs!$C$69,MATCH(INDEX(Utility_Rates!$K$6:$K$17,MONTH(C2298))&amp;IF(WEEKDAY(C2298,Inputs!$C$76)&lt;=Inputs!$C$74," weekday"," weekend"),Utility_Rates!$C$28:$F$28,Inputs!$C$68)),"")</f>
      </c>
      <c r="H2298" s="34"/>
      <c r="I2298" s="42">
        <f>IF(AND(ISNUMBER(D2298),ISNUMBER(H2298)),D2298*H2298*Inputs!$C$69,"")</f>
      </c>
      <c r="J2298" s="42">
        <f>IF(AND(ISNUMBER(F2298),ISNUMBER(H2298),F2298&gt;=Inputs!$C$68),F2298*H2298*Inputs!$C$69,"")</f>
      </c>
    </row>
    <row r="2299" spans="2:10" ht="15" customHeight="1" x14ac:dyDescent="0.2">
      <c r="B2299" s="39">
        <f t="shared" si="16"/>
      </c>
      <c r="C2299" s="40">
        <f>IF(Inputs!$C$60,Inputs!$C$11+(B2299-Inputs!$C$69)/Inputs!$C$70,"")</f>
      </c>
      <c r="D2299" s="15"/>
      <c r="E2299" s="15"/>
      <c r="F2299" s="11">
        <f t="shared" si="17"/>
      </c>
      <c r="G2299" s="22" cm="1">
        <f t="array" ref="G2299">IF(AND(Inputs!$C$60,Inputs!$C$61),INDEX(Utility_Rates!$C$29:$F$52,HOUR(C2299)+Inputs!$C$69,MATCH(INDEX(Utility_Rates!$K$6:$K$17,MONTH(C2299))&amp;IF(WEEKDAY(C2299,Inputs!$C$76)&lt;=Inputs!$C$74," weekday"," weekend"),Utility_Rates!$C$28:$F$28,Inputs!$C$68)),"")</f>
      </c>
      <c r="H2299" s="34"/>
      <c r="I2299" s="42">
        <f>IF(AND(ISNUMBER(D2299),ISNUMBER(H2299)),D2299*H2299*Inputs!$C$69,"")</f>
      </c>
      <c r="J2299" s="42">
        <f>IF(AND(ISNUMBER(F2299),ISNUMBER(H2299),F2299&gt;=Inputs!$C$68),F2299*H2299*Inputs!$C$69,"")</f>
      </c>
    </row>
    <row r="2300" spans="2:10" ht="15" customHeight="1" x14ac:dyDescent="0.2">
      <c r="B2300" s="39">
        <f t="shared" si="16"/>
      </c>
      <c r="C2300" s="40">
        <f>IF(Inputs!$C$60,Inputs!$C$11+(B2300-Inputs!$C$69)/Inputs!$C$70,"")</f>
      </c>
      <c r="D2300" s="15"/>
      <c r="E2300" s="15"/>
      <c r="F2300" s="11">
        <f t="shared" si="17"/>
      </c>
      <c r="G2300" s="22" cm="1">
        <f t="array" ref="G2300">IF(AND(Inputs!$C$60,Inputs!$C$61),INDEX(Utility_Rates!$C$29:$F$52,HOUR(C2300)+Inputs!$C$69,MATCH(INDEX(Utility_Rates!$K$6:$K$17,MONTH(C2300))&amp;IF(WEEKDAY(C2300,Inputs!$C$76)&lt;=Inputs!$C$74," weekday"," weekend"),Utility_Rates!$C$28:$F$28,Inputs!$C$68)),"")</f>
      </c>
      <c r="H2300" s="34"/>
      <c r="I2300" s="42">
        <f>IF(AND(ISNUMBER(D2300),ISNUMBER(H2300)),D2300*H2300*Inputs!$C$69,"")</f>
      </c>
      <c r="J2300" s="42">
        <f>IF(AND(ISNUMBER(F2300),ISNUMBER(H2300),F2300&gt;=Inputs!$C$68),F2300*H2300*Inputs!$C$69,"")</f>
      </c>
    </row>
    <row r="2301" spans="2:10" ht="15" customHeight="1" x14ac:dyDescent="0.2">
      <c r="B2301" s="39">
        <f t="shared" ref="B2301:B2555" si="18">ROW()-ROW($B$5)</f>
      </c>
      <c r="C2301" s="40">
        <f>IF(Inputs!$C$60,Inputs!$C$11+(B2301-Inputs!$C$69)/Inputs!$C$70,"")</f>
      </c>
      <c r="D2301" s="15"/>
      <c r="E2301" s="15"/>
      <c r="F2301" s="11">
        <f t="shared" ref="F2301:F2555" si="19">IF(COUNT(D2301:E2301)=COLUMNS(D2301:E2301),D2301-E2301,"")</f>
      </c>
      <c r="G2301" s="22" cm="1">
        <f t="array" ref="G2301">IF(AND(Inputs!$C$60,Inputs!$C$61),INDEX(Utility_Rates!$C$29:$F$52,HOUR(C2301)+Inputs!$C$69,MATCH(INDEX(Utility_Rates!$K$6:$K$17,MONTH(C2301))&amp;IF(WEEKDAY(C2301,Inputs!$C$76)&lt;=Inputs!$C$74," weekday"," weekend"),Utility_Rates!$C$28:$F$28,Inputs!$C$68)),"")</f>
      </c>
      <c r="H2301" s="34"/>
      <c r="I2301" s="42">
        <f>IF(AND(ISNUMBER(D2301),ISNUMBER(H2301)),D2301*H2301*Inputs!$C$69,"")</f>
      </c>
      <c r="J2301" s="42">
        <f>IF(AND(ISNUMBER(F2301),ISNUMBER(H2301),F2301&gt;=Inputs!$C$68),F2301*H2301*Inputs!$C$69,"")</f>
      </c>
    </row>
    <row r="2302" spans="2:10" ht="15" customHeight="1" x14ac:dyDescent="0.2">
      <c r="B2302" s="39">
        <f t="shared" si="18"/>
      </c>
      <c r="C2302" s="40">
        <f>IF(Inputs!$C$60,Inputs!$C$11+(B2302-Inputs!$C$69)/Inputs!$C$70,"")</f>
      </c>
      <c r="D2302" s="15"/>
      <c r="E2302" s="15"/>
      <c r="F2302" s="11">
        <f t="shared" si="19"/>
      </c>
      <c r="G2302" s="22" cm="1">
        <f t="array" ref="G2302">IF(AND(Inputs!$C$60,Inputs!$C$61),INDEX(Utility_Rates!$C$29:$F$52,HOUR(C2302)+Inputs!$C$69,MATCH(INDEX(Utility_Rates!$K$6:$K$17,MONTH(C2302))&amp;IF(WEEKDAY(C2302,Inputs!$C$76)&lt;=Inputs!$C$74," weekday"," weekend"),Utility_Rates!$C$28:$F$28,Inputs!$C$68)),"")</f>
      </c>
      <c r="H2302" s="34"/>
      <c r="I2302" s="42">
        <f>IF(AND(ISNUMBER(D2302),ISNUMBER(H2302)),D2302*H2302*Inputs!$C$69,"")</f>
      </c>
      <c r="J2302" s="42">
        <f>IF(AND(ISNUMBER(F2302),ISNUMBER(H2302),F2302&gt;=Inputs!$C$68),F2302*H2302*Inputs!$C$69,"")</f>
      </c>
    </row>
    <row r="2303" spans="2:10" ht="15" customHeight="1" x14ac:dyDescent="0.2">
      <c r="B2303" s="39">
        <f t="shared" si="18"/>
      </c>
      <c r="C2303" s="40">
        <f>IF(Inputs!$C$60,Inputs!$C$11+(B2303-Inputs!$C$69)/Inputs!$C$70,"")</f>
      </c>
      <c r="D2303" s="15"/>
      <c r="E2303" s="15"/>
      <c r="F2303" s="11">
        <f t="shared" si="19"/>
      </c>
      <c r="G2303" s="22" cm="1">
        <f t="array" ref="G2303">IF(AND(Inputs!$C$60,Inputs!$C$61),INDEX(Utility_Rates!$C$29:$F$52,HOUR(C2303)+Inputs!$C$69,MATCH(INDEX(Utility_Rates!$K$6:$K$17,MONTH(C2303))&amp;IF(WEEKDAY(C2303,Inputs!$C$76)&lt;=Inputs!$C$74," weekday"," weekend"),Utility_Rates!$C$28:$F$28,Inputs!$C$68)),"")</f>
      </c>
      <c r="H2303" s="34"/>
      <c r="I2303" s="42">
        <f>IF(AND(ISNUMBER(D2303),ISNUMBER(H2303)),D2303*H2303*Inputs!$C$69,"")</f>
      </c>
      <c r="J2303" s="42">
        <f>IF(AND(ISNUMBER(F2303),ISNUMBER(H2303),F2303&gt;=Inputs!$C$68),F2303*H2303*Inputs!$C$69,"")</f>
      </c>
    </row>
    <row r="2304" spans="2:10" ht="15" customHeight="1" x14ac:dyDescent="0.2">
      <c r="B2304" s="39">
        <f t="shared" si="18"/>
      </c>
      <c r="C2304" s="40">
        <f>IF(Inputs!$C$60,Inputs!$C$11+(B2304-Inputs!$C$69)/Inputs!$C$70,"")</f>
      </c>
      <c r="D2304" s="15"/>
      <c r="E2304" s="15"/>
      <c r="F2304" s="11">
        <f t="shared" si="19"/>
      </c>
      <c r="G2304" s="22" cm="1">
        <f t="array" ref="G2304">IF(AND(Inputs!$C$60,Inputs!$C$61),INDEX(Utility_Rates!$C$29:$F$52,HOUR(C2304)+Inputs!$C$69,MATCH(INDEX(Utility_Rates!$K$6:$K$17,MONTH(C2304))&amp;IF(WEEKDAY(C2304,Inputs!$C$76)&lt;=Inputs!$C$74," weekday"," weekend"),Utility_Rates!$C$28:$F$28,Inputs!$C$68)),"")</f>
      </c>
      <c r="H2304" s="34"/>
      <c r="I2304" s="42">
        <f>IF(AND(ISNUMBER(D2304),ISNUMBER(H2304)),D2304*H2304*Inputs!$C$69,"")</f>
      </c>
      <c r="J2304" s="42">
        <f>IF(AND(ISNUMBER(F2304),ISNUMBER(H2304),F2304&gt;=Inputs!$C$68),F2304*H2304*Inputs!$C$69,"")</f>
      </c>
    </row>
    <row r="2305" spans="2:10" ht="15" customHeight="1" x14ac:dyDescent="0.2">
      <c r="B2305" s="39">
        <f t="shared" si="18"/>
      </c>
      <c r="C2305" s="40">
        <f>IF(Inputs!$C$60,Inputs!$C$11+(B2305-Inputs!$C$69)/Inputs!$C$70,"")</f>
      </c>
      <c r="D2305" s="15"/>
      <c r="E2305" s="15"/>
      <c r="F2305" s="11">
        <f t="shared" si="19"/>
      </c>
      <c r="G2305" s="22" cm="1">
        <f t="array" ref="G2305">IF(AND(Inputs!$C$60,Inputs!$C$61),INDEX(Utility_Rates!$C$29:$F$52,HOUR(C2305)+Inputs!$C$69,MATCH(INDEX(Utility_Rates!$K$6:$K$17,MONTH(C2305))&amp;IF(WEEKDAY(C2305,Inputs!$C$76)&lt;=Inputs!$C$74," weekday"," weekend"),Utility_Rates!$C$28:$F$28,Inputs!$C$68)),"")</f>
      </c>
      <c r="H2305" s="34"/>
      <c r="I2305" s="42">
        <f>IF(AND(ISNUMBER(D2305),ISNUMBER(H2305)),D2305*H2305*Inputs!$C$69,"")</f>
      </c>
      <c r="J2305" s="42">
        <f>IF(AND(ISNUMBER(F2305),ISNUMBER(H2305),F2305&gt;=Inputs!$C$68),F2305*H2305*Inputs!$C$69,"")</f>
      </c>
    </row>
    <row r="2306" spans="2:10" ht="15" customHeight="1" x14ac:dyDescent="0.2">
      <c r="B2306" s="39">
        <f t="shared" si="18"/>
      </c>
      <c r="C2306" s="40">
        <f>IF(Inputs!$C$60,Inputs!$C$11+(B2306-Inputs!$C$69)/Inputs!$C$70,"")</f>
      </c>
      <c r="D2306" s="15"/>
      <c r="E2306" s="15"/>
      <c r="F2306" s="11">
        <f t="shared" si="19"/>
      </c>
      <c r="G2306" s="22" cm="1">
        <f t="array" ref="G2306">IF(AND(Inputs!$C$60,Inputs!$C$61),INDEX(Utility_Rates!$C$29:$F$52,HOUR(C2306)+Inputs!$C$69,MATCH(INDEX(Utility_Rates!$K$6:$K$17,MONTH(C2306))&amp;IF(WEEKDAY(C2306,Inputs!$C$76)&lt;=Inputs!$C$74," weekday"," weekend"),Utility_Rates!$C$28:$F$28,Inputs!$C$68)),"")</f>
      </c>
      <c r="H2306" s="34"/>
      <c r="I2306" s="42">
        <f>IF(AND(ISNUMBER(D2306),ISNUMBER(H2306)),D2306*H2306*Inputs!$C$69,"")</f>
      </c>
      <c r="J2306" s="42">
        <f>IF(AND(ISNUMBER(F2306),ISNUMBER(H2306),F2306&gt;=Inputs!$C$68),F2306*H2306*Inputs!$C$69,"")</f>
      </c>
    </row>
    <row r="2307" spans="2:10" ht="15" customHeight="1" x14ac:dyDescent="0.2">
      <c r="B2307" s="39">
        <f t="shared" si="18"/>
      </c>
      <c r="C2307" s="40">
        <f>IF(Inputs!$C$60,Inputs!$C$11+(B2307-Inputs!$C$69)/Inputs!$C$70,"")</f>
      </c>
      <c r="D2307" s="15"/>
      <c r="E2307" s="15"/>
      <c r="F2307" s="11">
        <f t="shared" si="19"/>
      </c>
      <c r="G2307" s="22" cm="1">
        <f t="array" ref="G2307">IF(AND(Inputs!$C$60,Inputs!$C$61),INDEX(Utility_Rates!$C$29:$F$52,HOUR(C2307)+Inputs!$C$69,MATCH(INDEX(Utility_Rates!$K$6:$K$17,MONTH(C2307))&amp;IF(WEEKDAY(C2307,Inputs!$C$76)&lt;=Inputs!$C$74," weekday"," weekend"),Utility_Rates!$C$28:$F$28,Inputs!$C$68)),"")</f>
      </c>
      <c r="H2307" s="34"/>
      <c r="I2307" s="42">
        <f>IF(AND(ISNUMBER(D2307),ISNUMBER(H2307)),D2307*H2307*Inputs!$C$69,"")</f>
      </c>
      <c r="J2307" s="42">
        <f>IF(AND(ISNUMBER(F2307),ISNUMBER(H2307),F2307&gt;=Inputs!$C$68),F2307*H2307*Inputs!$C$69,"")</f>
      </c>
    </row>
    <row r="2308" spans="2:10" ht="15" customHeight="1" x14ac:dyDescent="0.2">
      <c r="B2308" s="39">
        <f t="shared" si="18"/>
      </c>
      <c r="C2308" s="40">
        <f>IF(Inputs!$C$60,Inputs!$C$11+(B2308-Inputs!$C$69)/Inputs!$C$70,"")</f>
      </c>
      <c r="D2308" s="15"/>
      <c r="E2308" s="15"/>
      <c r="F2308" s="11">
        <f t="shared" si="19"/>
      </c>
      <c r="G2308" s="22" cm="1">
        <f t="array" ref="G2308">IF(AND(Inputs!$C$60,Inputs!$C$61),INDEX(Utility_Rates!$C$29:$F$52,HOUR(C2308)+Inputs!$C$69,MATCH(INDEX(Utility_Rates!$K$6:$K$17,MONTH(C2308))&amp;IF(WEEKDAY(C2308,Inputs!$C$76)&lt;=Inputs!$C$74," weekday"," weekend"),Utility_Rates!$C$28:$F$28,Inputs!$C$68)),"")</f>
      </c>
      <c r="H2308" s="34"/>
      <c r="I2308" s="42">
        <f>IF(AND(ISNUMBER(D2308),ISNUMBER(H2308)),D2308*H2308*Inputs!$C$69,"")</f>
      </c>
      <c r="J2308" s="42">
        <f>IF(AND(ISNUMBER(F2308),ISNUMBER(H2308),F2308&gt;=Inputs!$C$68),F2308*H2308*Inputs!$C$69,"")</f>
      </c>
    </row>
    <row r="2309" spans="2:10" ht="15" customHeight="1" x14ac:dyDescent="0.2">
      <c r="B2309" s="39">
        <f t="shared" si="18"/>
      </c>
      <c r="C2309" s="40">
        <f>IF(Inputs!$C$60,Inputs!$C$11+(B2309-Inputs!$C$69)/Inputs!$C$70,"")</f>
      </c>
      <c r="D2309" s="15"/>
      <c r="E2309" s="15"/>
      <c r="F2309" s="11">
        <f t="shared" si="19"/>
      </c>
      <c r="G2309" s="22" cm="1">
        <f t="array" ref="G2309">IF(AND(Inputs!$C$60,Inputs!$C$61),INDEX(Utility_Rates!$C$29:$F$52,HOUR(C2309)+Inputs!$C$69,MATCH(INDEX(Utility_Rates!$K$6:$K$17,MONTH(C2309))&amp;IF(WEEKDAY(C2309,Inputs!$C$76)&lt;=Inputs!$C$74," weekday"," weekend"),Utility_Rates!$C$28:$F$28,Inputs!$C$68)),"")</f>
      </c>
      <c r="H2309" s="34"/>
      <c r="I2309" s="42">
        <f>IF(AND(ISNUMBER(D2309),ISNUMBER(H2309)),D2309*H2309*Inputs!$C$69,"")</f>
      </c>
      <c r="J2309" s="42">
        <f>IF(AND(ISNUMBER(F2309),ISNUMBER(H2309),F2309&gt;=Inputs!$C$68),F2309*H2309*Inputs!$C$69,"")</f>
      </c>
    </row>
    <row r="2310" spans="2:10" ht="15" customHeight="1" x14ac:dyDescent="0.2">
      <c r="B2310" s="39">
        <f t="shared" si="18"/>
      </c>
      <c r="C2310" s="40">
        <f>IF(Inputs!$C$60,Inputs!$C$11+(B2310-Inputs!$C$69)/Inputs!$C$70,"")</f>
      </c>
      <c r="D2310" s="15"/>
      <c r="E2310" s="15"/>
      <c r="F2310" s="11">
        <f t="shared" si="19"/>
      </c>
      <c r="G2310" s="22" cm="1">
        <f t="array" ref="G2310">IF(AND(Inputs!$C$60,Inputs!$C$61),INDEX(Utility_Rates!$C$29:$F$52,HOUR(C2310)+Inputs!$C$69,MATCH(INDEX(Utility_Rates!$K$6:$K$17,MONTH(C2310))&amp;IF(WEEKDAY(C2310,Inputs!$C$76)&lt;=Inputs!$C$74," weekday"," weekend"),Utility_Rates!$C$28:$F$28,Inputs!$C$68)),"")</f>
      </c>
      <c r="H2310" s="34"/>
      <c r="I2310" s="42">
        <f>IF(AND(ISNUMBER(D2310),ISNUMBER(H2310)),D2310*H2310*Inputs!$C$69,"")</f>
      </c>
      <c r="J2310" s="42">
        <f>IF(AND(ISNUMBER(F2310),ISNUMBER(H2310),F2310&gt;=Inputs!$C$68),F2310*H2310*Inputs!$C$69,"")</f>
      </c>
    </row>
    <row r="2311" spans="2:10" ht="15" customHeight="1" x14ac:dyDescent="0.2">
      <c r="B2311" s="39">
        <f t="shared" si="18"/>
      </c>
      <c r="C2311" s="40">
        <f>IF(Inputs!$C$60,Inputs!$C$11+(B2311-Inputs!$C$69)/Inputs!$C$70,"")</f>
      </c>
      <c r="D2311" s="15"/>
      <c r="E2311" s="15"/>
      <c r="F2311" s="11">
        <f t="shared" si="19"/>
      </c>
      <c r="G2311" s="22" cm="1">
        <f t="array" ref="G2311">IF(AND(Inputs!$C$60,Inputs!$C$61),INDEX(Utility_Rates!$C$29:$F$52,HOUR(C2311)+Inputs!$C$69,MATCH(INDEX(Utility_Rates!$K$6:$K$17,MONTH(C2311))&amp;IF(WEEKDAY(C2311,Inputs!$C$76)&lt;=Inputs!$C$74," weekday"," weekend"),Utility_Rates!$C$28:$F$28,Inputs!$C$68)),"")</f>
      </c>
      <c r="H2311" s="34"/>
      <c r="I2311" s="42">
        <f>IF(AND(ISNUMBER(D2311),ISNUMBER(H2311)),D2311*H2311*Inputs!$C$69,"")</f>
      </c>
      <c r="J2311" s="42">
        <f>IF(AND(ISNUMBER(F2311),ISNUMBER(H2311),F2311&gt;=Inputs!$C$68),F2311*H2311*Inputs!$C$69,"")</f>
      </c>
    </row>
    <row r="2312" spans="2:10" ht="15" customHeight="1" x14ac:dyDescent="0.2">
      <c r="B2312" s="39">
        <f t="shared" si="18"/>
      </c>
      <c r="C2312" s="40">
        <f>IF(Inputs!$C$60,Inputs!$C$11+(B2312-Inputs!$C$69)/Inputs!$C$70,"")</f>
      </c>
      <c r="D2312" s="15"/>
      <c r="E2312" s="15"/>
      <c r="F2312" s="11">
        <f t="shared" si="19"/>
      </c>
      <c r="G2312" s="22" cm="1">
        <f t="array" ref="G2312">IF(AND(Inputs!$C$60,Inputs!$C$61),INDEX(Utility_Rates!$C$29:$F$52,HOUR(C2312)+Inputs!$C$69,MATCH(INDEX(Utility_Rates!$K$6:$K$17,MONTH(C2312))&amp;IF(WEEKDAY(C2312,Inputs!$C$76)&lt;=Inputs!$C$74," weekday"," weekend"),Utility_Rates!$C$28:$F$28,Inputs!$C$68)),"")</f>
      </c>
      <c r="H2312" s="34"/>
      <c r="I2312" s="42">
        <f>IF(AND(ISNUMBER(D2312),ISNUMBER(H2312)),D2312*H2312*Inputs!$C$69,"")</f>
      </c>
      <c r="J2312" s="42">
        <f>IF(AND(ISNUMBER(F2312),ISNUMBER(H2312),F2312&gt;=Inputs!$C$68),F2312*H2312*Inputs!$C$69,"")</f>
      </c>
    </row>
    <row r="2313" spans="2:10" ht="15" customHeight="1" x14ac:dyDescent="0.2">
      <c r="B2313" s="39">
        <f t="shared" si="18"/>
      </c>
      <c r="C2313" s="40">
        <f>IF(Inputs!$C$60,Inputs!$C$11+(B2313-Inputs!$C$69)/Inputs!$C$70,"")</f>
      </c>
      <c r="D2313" s="15"/>
      <c r="E2313" s="15"/>
      <c r="F2313" s="11">
        <f t="shared" si="19"/>
      </c>
      <c r="G2313" s="22" cm="1">
        <f t="array" ref="G2313">IF(AND(Inputs!$C$60,Inputs!$C$61),INDEX(Utility_Rates!$C$29:$F$52,HOUR(C2313)+Inputs!$C$69,MATCH(INDEX(Utility_Rates!$K$6:$K$17,MONTH(C2313))&amp;IF(WEEKDAY(C2313,Inputs!$C$76)&lt;=Inputs!$C$74," weekday"," weekend"),Utility_Rates!$C$28:$F$28,Inputs!$C$68)),"")</f>
      </c>
      <c r="H2313" s="34"/>
      <c r="I2313" s="42">
        <f>IF(AND(ISNUMBER(D2313),ISNUMBER(H2313)),D2313*H2313*Inputs!$C$69,"")</f>
      </c>
      <c r="J2313" s="42">
        <f>IF(AND(ISNUMBER(F2313),ISNUMBER(H2313),F2313&gt;=Inputs!$C$68),F2313*H2313*Inputs!$C$69,"")</f>
      </c>
    </row>
    <row r="2314" spans="2:10" ht="15" customHeight="1" x14ac:dyDescent="0.2">
      <c r="B2314" s="39">
        <f t="shared" si="18"/>
      </c>
      <c r="C2314" s="40">
        <f>IF(Inputs!$C$60,Inputs!$C$11+(B2314-Inputs!$C$69)/Inputs!$C$70,"")</f>
      </c>
      <c r="D2314" s="15"/>
      <c r="E2314" s="15"/>
      <c r="F2314" s="11">
        <f t="shared" si="19"/>
      </c>
      <c r="G2314" s="22" cm="1">
        <f t="array" ref="G2314">IF(AND(Inputs!$C$60,Inputs!$C$61),INDEX(Utility_Rates!$C$29:$F$52,HOUR(C2314)+Inputs!$C$69,MATCH(INDEX(Utility_Rates!$K$6:$K$17,MONTH(C2314))&amp;IF(WEEKDAY(C2314,Inputs!$C$76)&lt;=Inputs!$C$74," weekday"," weekend"),Utility_Rates!$C$28:$F$28,Inputs!$C$68)),"")</f>
      </c>
      <c r="H2314" s="34"/>
      <c r="I2314" s="42">
        <f>IF(AND(ISNUMBER(D2314),ISNUMBER(H2314)),D2314*H2314*Inputs!$C$69,"")</f>
      </c>
      <c r="J2314" s="42">
        <f>IF(AND(ISNUMBER(F2314),ISNUMBER(H2314),F2314&gt;=Inputs!$C$68),F2314*H2314*Inputs!$C$69,"")</f>
      </c>
    </row>
    <row r="2315" spans="2:10" ht="15" customHeight="1" x14ac:dyDescent="0.2">
      <c r="B2315" s="39">
        <f t="shared" si="18"/>
      </c>
      <c r="C2315" s="40">
        <f>IF(Inputs!$C$60,Inputs!$C$11+(B2315-Inputs!$C$69)/Inputs!$C$70,"")</f>
      </c>
      <c r="D2315" s="15"/>
      <c r="E2315" s="15"/>
      <c r="F2315" s="11">
        <f t="shared" si="19"/>
      </c>
      <c r="G2315" s="22" cm="1">
        <f t="array" ref="G2315">IF(AND(Inputs!$C$60,Inputs!$C$61),INDEX(Utility_Rates!$C$29:$F$52,HOUR(C2315)+Inputs!$C$69,MATCH(INDEX(Utility_Rates!$K$6:$K$17,MONTH(C2315))&amp;IF(WEEKDAY(C2315,Inputs!$C$76)&lt;=Inputs!$C$74," weekday"," weekend"),Utility_Rates!$C$28:$F$28,Inputs!$C$68)),"")</f>
      </c>
      <c r="H2315" s="34"/>
      <c r="I2315" s="42">
        <f>IF(AND(ISNUMBER(D2315),ISNUMBER(H2315)),D2315*H2315*Inputs!$C$69,"")</f>
      </c>
      <c r="J2315" s="42">
        <f>IF(AND(ISNUMBER(F2315),ISNUMBER(H2315),F2315&gt;=Inputs!$C$68),F2315*H2315*Inputs!$C$69,"")</f>
      </c>
    </row>
    <row r="2316" spans="2:10" ht="15" customHeight="1" x14ac:dyDescent="0.2">
      <c r="B2316" s="39">
        <f t="shared" si="18"/>
      </c>
      <c r="C2316" s="40">
        <f>IF(Inputs!$C$60,Inputs!$C$11+(B2316-Inputs!$C$69)/Inputs!$C$70,"")</f>
      </c>
      <c r="D2316" s="15"/>
      <c r="E2316" s="15"/>
      <c r="F2316" s="11">
        <f t="shared" si="19"/>
      </c>
      <c r="G2316" s="22" cm="1">
        <f t="array" ref="G2316">IF(AND(Inputs!$C$60,Inputs!$C$61),INDEX(Utility_Rates!$C$29:$F$52,HOUR(C2316)+Inputs!$C$69,MATCH(INDEX(Utility_Rates!$K$6:$K$17,MONTH(C2316))&amp;IF(WEEKDAY(C2316,Inputs!$C$76)&lt;=Inputs!$C$74," weekday"," weekend"),Utility_Rates!$C$28:$F$28,Inputs!$C$68)),"")</f>
      </c>
      <c r="H2316" s="34"/>
      <c r="I2316" s="42">
        <f>IF(AND(ISNUMBER(D2316),ISNUMBER(H2316)),D2316*H2316*Inputs!$C$69,"")</f>
      </c>
      <c r="J2316" s="42">
        <f>IF(AND(ISNUMBER(F2316),ISNUMBER(H2316),F2316&gt;=Inputs!$C$68),F2316*H2316*Inputs!$C$69,"")</f>
      </c>
    </row>
    <row r="2317" spans="2:10" ht="15" customHeight="1" x14ac:dyDescent="0.2">
      <c r="B2317" s="39">
        <f t="shared" si="18"/>
      </c>
      <c r="C2317" s="40">
        <f>IF(Inputs!$C$60,Inputs!$C$11+(B2317-Inputs!$C$69)/Inputs!$C$70,"")</f>
      </c>
      <c r="D2317" s="15"/>
      <c r="E2317" s="15"/>
      <c r="F2317" s="11">
        <f t="shared" si="19"/>
      </c>
      <c r="G2317" s="22" cm="1">
        <f t="array" ref="G2317">IF(AND(Inputs!$C$60,Inputs!$C$61),INDEX(Utility_Rates!$C$29:$F$52,HOUR(C2317)+Inputs!$C$69,MATCH(INDEX(Utility_Rates!$K$6:$K$17,MONTH(C2317))&amp;IF(WEEKDAY(C2317,Inputs!$C$76)&lt;=Inputs!$C$74," weekday"," weekend"),Utility_Rates!$C$28:$F$28,Inputs!$C$68)),"")</f>
      </c>
      <c r="H2317" s="34"/>
      <c r="I2317" s="42">
        <f>IF(AND(ISNUMBER(D2317),ISNUMBER(H2317)),D2317*H2317*Inputs!$C$69,"")</f>
      </c>
      <c r="J2317" s="42">
        <f>IF(AND(ISNUMBER(F2317),ISNUMBER(H2317),F2317&gt;=Inputs!$C$68),F2317*H2317*Inputs!$C$69,"")</f>
      </c>
    </row>
    <row r="2318" spans="2:10" ht="15" customHeight="1" x14ac:dyDescent="0.2">
      <c r="B2318" s="39">
        <f t="shared" si="18"/>
      </c>
      <c r="C2318" s="40">
        <f>IF(Inputs!$C$60,Inputs!$C$11+(B2318-Inputs!$C$69)/Inputs!$C$70,"")</f>
      </c>
      <c r="D2318" s="15"/>
      <c r="E2318" s="15"/>
      <c r="F2318" s="11">
        <f t="shared" si="19"/>
      </c>
      <c r="G2318" s="22" cm="1">
        <f t="array" ref="G2318">IF(AND(Inputs!$C$60,Inputs!$C$61),INDEX(Utility_Rates!$C$29:$F$52,HOUR(C2318)+Inputs!$C$69,MATCH(INDEX(Utility_Rates!$K$6:$K$17,MONTH(C2318))&amp;IF(WEEKDAY(C2318,Inputs!$C$76)&lt;=Inputs!$C$74," weekday"," weekend"),Utility_Rates!$C$28:$F$28,Inputs!$C$68)),"")</f>
      </c>
      <c r="H2318" s="34"/>
      <c r="I2318" s="42">
        <f>IF(AND(ISNUMBER(D2318),ISNUMBER(H2318)),D2318*H2318*Inputs!$C$69,"")</f>
      </c>
      <c r="J2318" s="42">
        <f>IF(AND(ISNUMBER(F2318),ISNUMBER(H2318),F2318&gt;=Inputs!$C$68),F2318*H2318*Inputs!$C$69,"")</f>
      </c>
    </row>
    <row r="2319" spans="2:10" ht="15" customHeight="1" x14ac:dyDescent="0.2">
      <c r="B2319" s="39">
        <f t="shared" si="18"/>
      </c>
      <c r="C2319" s="40">
        <f>IF(Inputs!$C$60,Inputs!$C$11+(B2319-Inputs!$C$69)/Inputs!$C$70,"")</f>
      </c>
      <c r="D2319" s="15"/>
      <c r="E2319" s="15"/>
      <c r="F2319" s="11">
        <f t="shared" si="19"/>
      </c>
      <c r="G2319" s="22" cm="1">
        <f t="array" ref="G2319">IF(AND(Inputs!$C$60,Inputs!$C$61),INDEX(Utility_Rates!$C$29:$F$52,HOUR(C2319)+Inputs!$C$69,MATCH(INDEX(Utility_Rates!$K$6:$K$17,MONTH(C2319))&amp;IF(WEEKDAY(C2319,Inputs!$C$76)&lt;=Inputs!$C$74," weekday"," weekend"),Utility_Rates!$C$28:$F$28,Inputs!$C$68)),"")</f>
      </c>
      <c r="H2319" s="34"/>
      <c r="I2319" s="42">
        <f>IF(AND(ISNUMBER(D2319),ISNUMBER(H2319)),D2319*H2319*Inputs!$C$69,"")</f>
      </c>
      <c r="J2319" s="42">
        <f>IF(AND(ISNUMBER(F2319),ISNUMBER(H2319),F2319&gt;=Inputs!$C$68),F2319*H2319*Inputs!$C$69,"")</f>
      </c>
    </row>
    <row r="2320" spans="2:10" ht="15" customHeight="1" x14ac:dyDescent="0.2">
      <c r="B2320" s="39">
        <f t="shared" si="18"/>
      </c>
      <c r="C2320" s="40">
        <f>IF(Inputs!$C$60,Inputs!$C$11+(B2320-Inputs!$C$69)/Inputs!$C$70,"")</f>
      </c>
      <c r="D2320" s="15"/>
      <c r="E2320" s="15"/>
      <c r="F2320" s="11">
        <f t="shared" si="19"/>
      </c>
      <c r="G2320" s="22" cm="1">
        <f t="array" ref="G2320">IF(AND(Inputs!$C$60,Inputs!$C$61),INDEX(Utility_Rates!$C$29:$F$52,HOUR(C2320)+Inputs!$C$69,MATCH(INDEX(Utility_Rates!$K$6:$K$17,MONTH(C2320))&amp;IF(WEEKDAY(C2320,Inputs!$C$76)&lt;=Inputs!$C$74," weekday"," weekend"),Utility_Rates!$C$28:$F$28,Inputs!$C$68)),"")</f>
      </c>
      <c r="H2320" s="34"/>
      <c r="I2320" s="42">
        <f>IF(AND(ISNUMBER(D2320),ISNUMBER(H2320)),D2320*H2320*Inputs!$C$69,"")</f>
      </c>
      <c r="J2320" s="42">
        <f>IF(AND(ISNUMBER(F2320),ISNUMBER(H2320),F2320&gt;=Inputs!$C$68),F2320*H2320*Inputs!$C$69,"")</f>
      </c>
    </row>
    <row r="2321" spans="2:10" ht="15" customHeight="1" x14ac:dyDescent="0.2">
      <c r="B2321" s="39">
        <f t="shared" si="18"/>
      </c>
      <c r="C2321" s="40">
        <f>IF(Inputs!$C$60,Inputs!$C$11+(B2321-Inputs!$C$69)/Inputs!$C$70,"")</f>
      </c>
      <c r="D2321" s="15"/>
      <c r="E2321" s="15"/>
      <c r="F2321" s="11">
        <f t="shared" si="19"/>
      </c>
      <c r="G2321" s="22" cm="1">
        <f t="array" ref="G2321">IF(AND(Inputs!$C$60,Inputs!$C$61),INDEX(Utility_Rates!$C$29:$F$52,HOUR(C2321)+Inputs!$C$69,MATCH(INDEX(Utility_Rates!$K$6:$K$17,MONTH(C2321))&amp;IF(WEEKDAY(C2321,Inputs!$C$76)&lt;=Inputs!$C$74," weekday"," weekend"),Utility_Rates!$C$28:$F$28,Inputs!$C$68)),"")</f>
      </c>
      <c r="H2321" s="34"/>
      <c r="I2321" s="42">
        <f>IF(AND(ISNUMBER(D2321),ISNUMBER(H2321)),D2321*H2321*Inputs!$C$69,"")</f>
      </c>
      <c r="J2321" s="42">
        <f>IF(AND(ISNUMBER(F2321),ISNUMBER(H2321),F2321&gt;=Inputs!$C$68),F2321*H2321*Inputs!$C$69,"")</f>
      </c>
    </row>
    <row r="2322" spans="2:10" ht="15" customHeight="1" x14ac:dyDescent="0.2">
      <c r="B2322" s="39">
        <f t="shared" si="18"/>
      </c>
      <c r="C2322" s="40">
        <f>IF(Inputs!$C$60,Inputs!$C$11+(B2322-Inputs!$C$69)/Inputs!$C$70,"")</f>
      </c>
      <c r="D2322" s="15"/>
      <c r="E2322" s="15"/>
      <c r="F2322" s="11">
        <f t="shared" si="19"/>
      </c>
      <c r="G2322" s="22" cm="1">
        <f t="array" ref="G2322">IF(AND(Inputs!$C$60,Inputs!$C$61),INDEX(Utility_Rates!$C$29:$F$52,HOUR(C2322)+Inputs!$C$69,MATCH(INDEX(Utility_Rates!$K$6:$K$17,MONTH(C2322))&amp;IF(WEEKDAY(C2322,Inputs!$C$76)&lt;=Inputs!$C$74," weekday"," weekend"),Utility_Rates!$C$28:$F$28,Inputs!$C$68)),"")</f>
      </c>
      <c r="H2322" s="34"/>
      <c r="I2322" s="42">
        <f>IF(AND(ISNUMBER(D2322),ISNUMBER(H2322)),D2322*H2322*Inputs!$C$69,"")</f>
      </c>
      <c r="J2322" s="42">
        <f>IF(AND(ISNUMBER(F2322),ISNUMBER(H2322),F2322&gt;=Inputs!$C$68),F2322*H2322*Inputs!$C$69,"")</f>
      </c>
    </row>
    <row r="2323" spans="2:10" ht="15" customHeight="1" x14ac:dyDescent="0.2">
      <c r="B2323" s="39">
        <f t="shared" si="18"/>
      </c>
      <c r="C2323" s="40">
        <f>IF(Inputs!$C$60,Inputs!$C$11+(B2323-Inputs!$C$69)/Inputs!$C$70,"")</f>
      </c>
      <c r="D2323" s="15"/>
      <c r="E2323" s="15"/>
      <c r="F2323" s="11">
        <f t="shared" si="19"/>
      </c>
      <c r="G2323" s="22" cm="1">
        <f t="array" ref="G2323">IF(AND(Inputs!$C$60,Inputs!$C$61),INDEX(Utility_Rates!$C$29:$F$52,HOUR(C2323)+Inputs!$C$69,MATCH(INDEX(Utility_Rates!$K$6:$K$17,MONTH(C2323))&amp;IF(WEEKDAY(C2323,Inputs!$C$76)&lt;=Inputs!$C$74," weekday"," weekend"),Utility_Rates!$C$28:$F$28,Inputs!$C$68)),"")</f>
      </c>
      <c r="H2323" s="34"/>
      <c r="I2323" s="42">
        <f>IF(AND(ISNUMBER(D2323),ISNUMBER(H2323)),D2323*H2323*Inputs!$C$69,"")</f>
      </c>
      <c r="J2323" s="42">
        <f>IF(AND(ISNUMBER(F2323),ISNUMBER(H2323),F2323&gt;=Inputs!$C$68),F2323*H2323*Inputs!$C$69,"")</f>
      </c>
    </row>
    <row r="2324" spans="2:10" ht="15" customHeight="1" x14ac:dyDescent="0.2">
      <c r="B2324" s="39">
        <f t="shared" si="18"/>
      </c>
      <c r="C2324" s="40">
        <f>IF(Inputs!$C$60,Inputs!$C$11+(B2324-Inputs!$C$69)/Inputs!$C$70,"")</f>
      </c>
      <c r="D2324" s="15"/>
      <c r="E2324" s="15"/>
      <c r="F2324" s="11">
        <f t="shared" si="19"/>
      </c>
      <c r="G2324" s="22" cm="1">
        <f t="array" ref="G2324">IF(AND(Inputs!$C$60,Inputs!$C$61),INDEX(Utility_Rates!$C$29:$F$52,HOUR(C2324)+Inputs!$C$69,MATCH(INDEX(Utility_Rates!$K$6:$K$17,MONTH(C2324))&amp;IF(WEEKDAY(C2324,Inputs!$C$76)&lt;=Inputs!$C$74," weekday"," weekend"),Utility_Rates!$C$28:$F$28,Inputs!$C$68)),"")</f>
      </c>
      <c r="H2324" s="34"/>
      <c r="I2324" s="42">
        <f>IF(AND(ISNUMBER(D2324),ISNUMBER(H2324)),D2324*H2324*Inputs!$C$69,"")</f>
      </c>
      <c r="J2324" s="42">
        <f>IF(AND(ISNUMBER(F2324),ISNUMBER(H2324),F2324&gt;=Inputs!$C$68),F2324*H2324*Inputs!$C$69,"")</f>
      </c>
    </row>
    <row r="2325" spans="2:10" ht="15" customHeight="1" x14ac:dyDescent="0.2">
      <c r="B2325" s="39">
        <f t="shared" si="18"/>
      </c>
      <c r="C2325" s="40">
        <f>IF(Inputs!$C$60,Inputs!$C$11+(B2325-Inputs!$C$69)/Inputs!$C$70,"")</f>
      </c>
      <c r="D2325" s="15"/>
      <c r="E2325" s="15"/>
      <c r="F2325" s="11">
        <f t="shared" si="19"/>
      </c>
      <c r="G2325" s="22" cm="1">
        <f t="array" ref="G2325">IF(AND(Inputs!$C$60,Inputs!$C$61),INDEX(Utility_Rates!$C$29:$F$52,HOUR(C2325)+Inputs!$C$69,MATCH(INDEX(Utility_Rates!$K$6:$K$17,MONTH(C2325))&amp;IF(WEEKDAY(C2325,Inputs!$C$76)&lt;=Inputs!$C$74," weekday"," weekend"),Utility_Rates!$C$28:$F$28,Inputs!$C$68)),"")</f>
      </c>
      <c r="H2325" s="34"/>
      <c r="I2325" s="42">
        <f>IF(AND(ISNUMBER(D2325),ISNUMBER(H2325)),D2325*H2325*Inputs!$C$69,"")</f>
      </c>
      <c r="J2325" s="42">
        <f>IF(AND(ISNUMBER(F2325),ISNUMBER(H2325),F2325&gt;=Inputs!$C$68),F2325*H2325*Inputs!$C$69,"")</f>
      </c>
    </row>
    <row r="2326" spans="2:10" ht="15" customHeight="1" x14ac:dyDescent="0.2">
      <c r="B2326" s="39">
        <f t="shared" si="18"/>
      </c>
      <c r="C2326" s="40">
        <f>IF(Inputs!$C$60,Inputs!$C$11+(B2326-Inputs!$C$69)/Inputs!$C$70,"")</f>
      </c>
      <c r="D2326" s="15"/>
      <c r="E2326" s="15"/>
      <c r="F2326" s="11">
        <f t="shared" si="19"/>
      </c>
      <c r="G2326" s="22" cm="1">
        <f t="array" ref="G2326">IF(AND(Inputs!$C$60,Inputs!$C$61),INDEX(Utility_Rates!$C$29:$F$52,HOUR(C2326)+Inputs!$C$69,MATCH(INDEX(Utility_Rates!$K$6:$K$17,MONTH(C2326))&amp;IF(WEEKDAY(C2326,Inputs!$C$76)&lt;=Inputs!$C$74," weekday"," weekend"),Utility_Rates!$C$28:$F$28,Inputs!$C$68)),"")</f>
      </c>
      <c r="H2326" s="34"/>
      <c r="I2326" s="42">
        <f>IF(AND(ISNUMBER(D2326),ISNUMBER(H2326)),D2326*H2326*Inputs!$C$69,"")</f>
      </c>
      <c r="J2326" s="42">
        <f>IF(AND(ISNUMBER(F2326),ISNUMBER(H2326),F2326&gt;=Inputs!$C$68),F2326*H2326*Inputs!$C$69,"")</f>
      </c>
    </row>
    <row r="2327" spans="2:10" ht="15" customHeight="1" x14ac:dyDescent="0.2">
      <c r="B2327" s="39">
        <f t="shared" si="18"/>
      </c>
      <c r="C2327" s="40">
        <f>IF(Inputs!$C$60,Inputs!$C$11+(B2327-Inputs!$C$69)/Inputs!$C$70,"")</f>
      </c>
      <c r="D2327" s="15"/>
      <c r="E2327" s="15"/>
      <c r="F2327" s="11">
        <f t="shared" si="19"/>
      </c>
      <c r="G2327" s="22" cm="1">
        <f t="array" ref="G2327">IF(AND(Inputs!$C$60,Inputs!$C$61),INDEX(Utility_Rates!$C$29:$F$52,HOUR(C2327)+Inputs!$C$69,MATCH(INDEX(Utility_Rates!$K$6:$K$17,MONTH(C2327))&amp;IF(WEEKDAY(C2327,Inputs!$C$76)&lt;=Inputs!$C$74," weekday"," weekend"),Utility_Rates!$C$28:$F$28,Inputs!$C$68)),"")</f>
      </c>
      <c r="H2327" s="34"/>
      <c r="I2327" s="42">
        <f>IF(AND(ISNUMBER(D2327),ISNUMBER(H2327)),D2327*H2327*Inputs!$C$69,"")</f>
      </c>
      <c r="J2327" s="42">
        <f>IF(AND(ISNUMBER(F2327),ISNUMBER(H2327),F2327&gt;=Inputs!$C$68),F2327*H2327*Inputs!$C$69,"")</f>
      </c>
    </row>
    <row r="2328" spans="2:10" ht="15" customHeight="1" x14ac:dyDescent="0.2">
      <c r="B2328" s="39">
        <f t="shared" si="18"/>
      </c>
      <c r="C2328" s="40">
        <f>IF(Inputs!$C$60,Inputs!$C$11+(B2328-Inputs!$C$69)/Inputs!$C$70,"")</f>
      </c>
      <c r="D2328" s="15"/>
      <c r="E2328" s="15"/>
      <c r="F2328" s="11">
        <f t="shared" si="19"/>
      </c>
      <c r="G2328" s="22" cm="1">
        <f t="array" ref="G2328">IF(AND(Inputs!$C$60,Inputs!$C$61),INDEX(Utility_Rates!$C$29:$F$52,HOUR(C2328)+Inputs!$C$69,MATCH(INDEX(Utility_Rates!$K$6:$K$17,MONTH(C2328))&amp;IF(WEEKDAY(C2328,Inputs!$C$76)&lt;=Inputs!$C$74," weekday"," weekend"),Utility_Rates!$C$28:$F$28,Inputs!$C$68)),"")</f>
      </c>
      <c r="H2328" s="34"/>
      <c r="I2328" s="42">
        <f>IF(AND(ISNUMBER(D2328),ISNUMBER(H2328)),D2328*H2328*Inputs!$C$69,"")</f>
      </c>
      <c r="J2328" s="42">
        <f>IF(AND(ISNUMBER(F2328),ISNUMBER(H2328),F2328&gt;=Inputs!$C$68),F2328*H2328*Inputs!$C$69,"")</f>
      </c>
    </row>
    <row r="2329" spans="2:10" ht="15" customHeight="1" x14ac:dyDescent="0.2">
      <c r="B2329" s="39">
        <f t="shared" si="18"/>
      </c>
      <c r="C2329" s="40">
        <f>IF(Inputs!$C$60,Inputs!$C$11+(B2329-Inputs!$C$69)/Inputs!$C$70,"")</f>
      </c>
      <c r="D2329" s="15"/>
      <c r="E2329" s="15"/>
      <c r="F2329" s="11">
        <f t="shared" si="19"/>
      </c>
      <c r="G2329" s="22" cm="1">
        <f t="array" ref="G2329">IF(AND(Inputs!$C$60,Inputs!$C$61),INDEX(Utility_Rates!$C$29:$F$52,HOUR(C2329)+Inputs!$C$69,MATCH(INDEX(Utility_Rates!$K$6:$K$17,MONTH(C2329))&amp;IF(WEEKDAY(C2329,Inputs!$C$76)&lt;=Inputs!$C$74," weekday"," weekend"),Utility_Rates!$C$28:$F$28,Inputs!$C$68)),"")</f>
      </c>
      <c r="H2329" s="34"/>
      <c r="I2329" s="42">
        <f>IF(AND(ISNUMBER(D2329),ISNUMBER(H2329)),D2329*H2329*Inputs!$C$69,"")</f>
      </c>
      <c r="J2329" s="42">
        <f>IF(AND(ISNUMBER(F2329),ISNUMBER(H2329),F2329&gt;=Inputs!$C$68),F2329*H2329*Inputs!$C$69,"")</f>
      </c>
    </row>
    <row r="2330" spans="2:10" ht="15" customHeight="1" x14ac:dyDescent="0.2">
      <c r="B2330" s="39">
        <f t="shared" si="18"/>
      </c>
      <c r="C2330" s="40">
        <f>IF(Inputs!$C$60,Inputs!$C$11+(B2330-Inputs!$C$69)/Inputs!$C$70,"")</f>
      </c>
      <c r="D2330" s="15"/>
      <c r="E2330" s="15"/>
      <c r="F2330" s="11">
        <f t="shared" si="19"/>
      </c>
      <c r="G2330" s="22" cm="1">
        <f t="array" ref="G2330">IF(AND(Inputs!$C$60,Inputs!$C$61),INDEX(Utility_Rates!$C$29:$F$52,HOUR(C2330)+Inputs!$C$69,MATCH(INDEX(Utility_Rates!$K$6:$K$17,MONTH(C2330))&amp;IF(WEEKDAY(C2330,Inputs!$C$76)&lt;=Inputs!$C$74," weekday"," weekend"),Utility_Rates!$C$28:$F$28,Inputs!$C$68)),"")</f>
      </c>
      <c r="H2330" s="34"/>
      <c r="I2330" s="42">
        <f>IF(AND(ISNUMBER(D2330),ISNUMBER(H2330)),D2330*H2330*Inputs!$C$69,"")</f>
      </c>
      <c r="J2330" s="42">
        <f>IF(AND(ISNUMBER(F2330),ISNUMBER(H2330),F2330&gt;=Inputs!$C$68),F2330*H2330*Inputs!$C$69,"")</f>
      </c>
    </row>
    <row r="2331" spans="2:10" ht="15" customHeight="1" x14ac:dyDescent="0.2">
      <c r="B2331" s="39">
        <f t="shared" si="18"/>
      </c>
      <c r="C2331" s="40">
        <f>IF(Inputs!$C$60,Inputs!$C$11+(B2331-Inputs!$C$69)/Inputs!$C$70,"")</f>
      </c>
      <c r="D2331" s="15"/>
      <c r="E2331" s="15"/>
      <c r="F2331" s="11">
        <f t="shared" si="19"/>
      </c>
      <c r="G2331" s="22" cm="1">
        <f t="array" ref="G2331">IF(AND(Inputs!$C$60,Inputs!$C$61),INDEX(Utility_Rates!$C$29:$F$52,HOUR(C2331)+Inputs!$C$69,MATCH(INDEX(Utility_Rates!$K$6:$K$17,MONTH(C2331))&amp;IF(WEEKDAY(C2331,Inputs!$C$76)&lt;=Inputs!$C$74," weekday"," weekend"),Utility_Rates!$C$28:$F$28,Inputs!$C$68)),"")</f>
      </c>
      <c r="H2331" s="34"/>
      <c r="I2331" s="42">
        <f>IF(AND(ISNUMBER(D2331),ISNUMBER(H2331)),D2331*H2331*Inputs!$C$69,"")</f>
      </c>
      <c r="J2331" s="42">
        <f>IF(AND(ISNUMBER(F2331),ISNUMBER(H2331),F2331&gt;=Inputs!$C$68),F2331*H2331*Inputs!$C$69,"")</f>
      </c>
    </row>
    <row r="2332" spans="2:10" ht="15" customHeight="1" x14ac:dyDescent="0.2">
      <c r="B2332" s="39">
        <f t="shared" si="18"/>
      </c>
      <c r="C2332" s="40">
        <f>IF(Inputs!$C$60,Inputs!$C$11+(B2332-Inputs!$C$69)/Inputs!$C$70,"")</f>
      </c>
      <c r="D2332" s="15"/>
      <c r="E2332" s="15"/>
      <c r="F2332" s="11">
        <f t="shared" si="19"/>
      </c>
      <c r="G2332" s="22" cm="1">
        <f t="array" ref="G2332">IF(AND(Inputs!$C$60,Inputs!$C$61),INDEX(Utility_Rates!$C$29:$F$52,HOUR(C2332)+Inputs!$C$69,MATCH(INDEX(Utility_Rates!$K$6:$K$17,MONTH(C2332))&amp;IF(WEEKDAY(C2332,Inputs!$C$76)&lt;=Inputs!$C$74," weekday"," weekend"),Utility_Rates!$C$28:$F$28,Inputs!$C$68)),"")</f>
      </c>
      <c r="H2332" s="34"/>
      <c r="I2332" s="42">
        <f>IF(AND(ISNUMBER(D2332),ISNUMBER(H2332)),D2332*H2332*Inputs!$C$69,"")</f>
      </c>
      <c r="J2332" s="42">
        <f>IF(AND(ISNUMBER(F2332),ISNUMBER(H2332),F2332&gt;=Inputs!$C$68),F2332*H2332*Inputs!$C$69,"")</f>
      </c>
    </row>
    <row r="2333" spans="2:10" ht="15" customHeight="1" x14ac:dyDescent="0.2">
      <c r="B2333" s="39">
        <f t="shared" si="18"/>
      </c>
      <c r="C2333" s="40">
        <f>IF(Inputs!$C$60,Inputs!$C$11+(B2333-Inputs!$C$69)/Inputs!$C$70,"")</f>
      </c>
      <c r="D2333" s="15"/>
      <c r="E2333" s="15"/>
      <c r="F2333" s="11">
        <f t="shared" si="19"/>
      </c>
      <c r="G2333" s="22" cm="1">
        <f t="array" ref="G2333">IF(AND(Inputs!$C$60,Inputs!$C$61),INDEX(Utility_Rates!$C$29:$F$52,HOUR(C2333)+Inputs!$C$69,MATCH(INDEX(Utility_Rates!$K$6:$K$17,MONTH(C2333))&amp;IF(WEEKDAY(C2333,Inputs!$C$76)&lt;=Inputs!$C$74," weekday"," weekend"),Utility_Rates!$C$28:$F$28,Inputs!$C$68)),"")</f>
      </c>
      <c r="H2333" s="34"/>
      <c r="I2333" s="42">
        <f>IF(AND(ISNUMBER(D2333),ISNUMBER(H2333)),D2333*H2333*Inputs!$C$69,"")</f>
      </c>
      <c r="J2333" s="42">
        <f>IF(AND(ISNUMBER(F2333),ISNUMBER(H2333),F2333&gt;=Inputs!$C$68),F2333*H2333*Inputs!$C$69,"")</f>
      </c>
    </row>
    <row r="2334" spans="2:10" ht="15" customHeight="1" x14ac:dyDescent="0.2">
      <c r="B2334" s="39">
        <f t="shared" si="18"/>
      </c>
      <c r="C2334" s="40">
        <f>IF(Inputs!$C$60,Inputs!$C$11+(B2334-Inputs!$C$69)/Inputs!$C$70,"")</f>
      </c>
      <c r="D2334" s="15"/>
      <c r="E2334" s="15"/>
      <c r="F2334" s="11">
        <f t="shared" si="19"/>
      </c>
      <c r="G2334" s="22" cm="1">
        <f t="array" ref="G2334">IF(AND(Inputs!$C$60,Inputs!$C$61),INDEX(Utility_Rates!$C$29:$F$52,HOUR(C2334)+Inputs!$C$69,MATCH(INDEX(Utility_Rates!$K$6:$K$17,MONTH(C2334))&amp;IF(WEEKDAY(C2334,Inputs!$C$76)&lt;=Inputs!$C$74," weekday"," weekend"),Utility_Rates!$C$28:$F$28,Inputs!$C$68)),"")</f>
      </c>
      <c r="H2334" s="34"/>
      <c r="I2334" s="42">
        <f>IF(AND(ISNUMBER(D2334),ISNUMBER(H2334)),D2334*H2334*Inputs!$C$69,"")</f>
      </c>
      <c r="J2334" s="42">
        <f>IF(AND(ISNUMBER(F2334),ISNUMBER(H2334),F2334&gt;=Inputs!$C$68),F2334*H2334*Inputs!$C$69,"")</f>
      </c>
    </row>
    <row r="2335" spans="2:10" ht="15" customHeight="1" x14ac:dyDescent="0.2">
      <c r="B2335" s="39">
        <f t="shared" si="18"/>
      </c>
      <c r="C2335" s="40">
        <f>IF(Inputs!$C$60,Inputs!$C$11+(B2335-Inputs!$C$69)/Inputs!$C$70,"")</f>
      </c>
      <c r="D2335" s="15"/>
      <c r="E2335" s="15"/>
      <c r="F2335" s="11">
        <f t="shared" si="19"/>
      </c>
      <c r="G2335" s="22" cm="1">
        <f t="array" ref="G2335">IF(AND(Inputs!$C$60,Inputs!$C$61),INDEX(Utility_Rates!$C$29:$F$52,HOUR(C2335)+Inputs!$C$69,MATCH(INDEX(Utility_Rates!$K$6:$K$17,MONTH(C2335))&amp;IF(WEEKDAY(C2335,Inputs!$C$76)&lt;=Inputs!$C$74," weekday"," weekend"),Utility_Rates!$C$28:$F$28,Inputs!$C$68)),"")</f>
      </c>
      <c r="H2335" s="34"/>
      <c r="I2335" s="42">
        <f>IF(AND(ISNUMBER(D2335),ISNUMBER(H2335)),D2335*H2335*Inputs!$C$69,"")</f>
      </c>
      <c r="J2335" s="42">
        <f>IF(AND(ISNUMBER(F2335),ISNUMBER(H2335),F2335&gt;=Inputs!$C$68),F2335*H2335*Inputs!$C$69,"")</f>
      </c>
    </row>
    <row r="2336" spans="2:10" ht="15" customHeight="1" x14ac:dyDescent="0.2">
      <c r="B2336" s="39">
        <f t="shared" si="18"/>
      </c>
      <c r="C2336" s="40">
        <f>IF(Inputs!$C$60,Inputs!$C$11+(B2336-Inputs!$C$69)/Inputs!$C$70,"")</f>
      </c>
      <c r="D2336" s="15"/>
      <c r="E2336" s="15"/>
      <c r="F2336" s="11">
        <f t="shared" si="19"/>
      </c>
      <c r="G2336" s="22" cm="1">
        <f t="array" ref="G2336">IF(AND(Inputs!$C$60,Inputs!$C$61),INDEX(Utility_Rates!$C$29:$F$52,HOUR(C2336)+Inputs!$C$69,MATCH(INDEX(Utility_Rates!$K$6:$K$17,MONTH(C2336))&amp;IF(WEEKDAY(C2336,Inputs!$C$76)&lt;=Inputs!$C$74," weekday"," weekend"),Utility_Rates!$C$28:$F$28,Inputs!$C$68)),"")</f>
      </c>
      <c r="H2336" s="34"/>
      <c r="I2336" s="42">
        <f>IF(AND(ISNUMBER(D2336),ISNUMBER(H2336)),D2336*H2336*Inputs!$C$69,"")</f>
      </c>
      <c r="J2336" s="42">
        <f>IF(AND(ISNUMBER(F2336),ISNUMBER(H2336),F2336&gt;=Inputs!$C$68),F2336*H2336*Inputs!$C$69,"")</f>
      </c>
    </row>
    <row r="2337" spans="2:10" ht="15" customHeight="1" x14ac:dyDescent="0.2">
      <c r="B2337" s="39">
        <f t="shared" si="18"/>
      </c>
      <c r="C2337" s="40">
        <f>IF(Inputs!$C$60,Inputs!$C$11+(B2337-Inputs!$C$69)/Inputs!$C$70,"")</f>
      </c>
      <c r="D2337" s="15"/>
      <c r="E2337" s="15"/>
      <c r="F2337" s="11">
        <f t="shared" si="19"/>
      </c>
      <c r="G2337" s="22" cm="1">
        <f t="array" ref="G2337">IF(AND(Inputs!$C$60,Inputs!$C$61),INDEX(Utility_Rates!$C$29:$F$52,HOUR(C2337)+Inputs!$C$69,MATCH(INDEX(Utility_Rates!$K$6:$K$17,MONTH(C2337))&amp;IF(WEEKDAY(C2337,Inputs!$C$76)&lt;=Inputs!$C$74," weekday"," weekend"),Utility_Rates!$C$28:$F$28,Inputs!$C$68)),"")</f>
      </c>
      <c r="H2337" s="34"/>
      <c r="I2337" s="42">
        <f>IF(AND(ISNUMBER(D2337),ISNUMBER(H2337)),D2337*H2337*Inputs!$C$69,"")</f>
      </c>
      <c r="J2337" s="42">
        <f>IF(AND(ISNUMBER(F2337),ISNUMBER(H2337),F2337&gt;=Inputs!$C$68),F2337*H2337*Inputs!$C$69,"")</f>
      </c>
    </row>
    <row r="2338" spans="2:10" ht="15" customHeight="1" x14ac:dyDescent="0.2">
      <c r="B2338" s="39">
        <f t="shared" si="18"/>
      </c>
      <c r="C2338" s="40">
        <f>IF(Inputs!$C$60,Inputs!$C$11+(B2338-Inputs!$C$69)/Inputs!$C$70,"")</f>
      </c>
      <c r="D2338" s="15"/>
      <c r="E2338" s="15"/>
      <c r="F2338" s="11">
        <f t="shared" si="19"/>
      </c>
      <c r="G2338" s="22" cm="1">
        <f t="array" ref="G2338">IF(AND(Inputs!$C$60,Inputs!$C$61),INDEX(Utility_Rates!$C$29:$F$52,HOUR(C2338)+Inputs!$C$69,MATCH(INDEX(Utility_Rates!$K$6:$K$17,MONTH(C2338))&amp;IF(WEEKDAY(C2338,Inputs!$C$76)&lt;=Inputs!$C$74," weekday"," weekend"),Utility_Rates!$C$28:$F$28,Inputs!$C$68)),"")</f>
      </c>
      <c r="H2338" s="34"/>
      <c r="I2338" s="42">
        <f>IF(AND(ISNUMBER(D2338),ISNUMBER(H2338)),D2338*H2338*Inputs!$C$69,"")</f>
      </c>
      <c r="J2338" s="42">
        <f>IF(AND(ISNUMBER(F2338),ISNUMBER(H2338),F2338&gt;=Inputs!$C$68),F2338*H2338*Inputs!$C$69,"")</f>
      </c>
    </row>
    <row r="2339" spans="2:10" ht="15" customHeight="1" x14ac:dyDescent="0.2">
      <c r="B2339" s="39">
        <f t="shared" si="18"/>
      </c>
      <c r="C2339" s="40">
        <f>IF(Inputs!$C$60,Inputs!$C$11+(B2339-Inputs!$C$69)/Inputs!$C$70,"")</f>
      </c>
      <c r="D2339" s="15"/>
      <c r="E2339" s="15"/>
      <c r="F2339" s="11">
        <f t="shared" si="19"/>
      </c>
      <c r="G2339" s="22" cm="1">
        <f t="array" ref="G2339">IF(AND(Inputs!$C$60,Inputs!$C$61),INDEX(Utility_Rates!$C$29:$F$52,HOUR(C2339)+Inputs!$C$69,MATCH(INDEX(Utility_Rates!$K$6:$K$17,MONTH(C2339))&amp;IF(WEEKDAY(C2339,Inputs!$C$76)&lt;=Inputs!$C$74," weekday"," weekend"),Utility_Rates!$C$28:$F$28,Inputs!$C$68)),"")</f>
      </c>
      <c r="H2339" s="34"/>
      <c r="I2339" s="42">
        <f>IF(AND(ISNUMBER(D2339),ISNUMBER(H2339)),D2339*H2339*Inputs!$C$69,"")</f>
      </c>
      <c r="J2339" s="42">
        <f>IF(AND(ISNUMBER(F2339),ISNUMBER(H2339),F2339&gt;=Inputs!$C$68),F2339*H2339*Inputs!$C$69,"")</f>
      </c>
    </row>
    <row r="2340" spans="2:10" ht="15" customHeight="1" x14ac:dyDescent="0.2">
      <c r="B2340" s="39">
        <f t="shared" si="18"/>
      </c>
      <c r="C2340" s="40">
        <f>IF(Inputs!$C$60,Inputs!$C$11+(B2340-Inputs!$C$69)/Inputs!$C$70,"")</f>
      </c>
      <c r="D2340" s="15"/>
      <c r="E2340" s="15"/>
      <c r="F2340" s="11">
        <f t="shared" si="19"/>
      </c>
      <c r="G2340" s="22" cm="1">
        <f t="array" ref="G2340">IF(AND(Inputs!$C$60,Inputs!$C$61),INDEX(Utility_Rates!$C$29:$F$52,HOUR(C2340)+Inputs!$C$69,MATCH(INDEX(Utility_Rates!$K$6:$K$17,MONTH(C2340))&amp;IF(WEEKDAY(C2340,Inputs!$C$76)&lt;=Inputs!$C$74," weekday"," weekend"),Utility_Rates!$C$28:$F$28,Inputs!$C$68)),"")</f>
      </c>
      <c r="H2340" s="34"/>
      <c r="I2340" s="42">
        <f>IF(AND(ISNUMBER(D2340),ISNUMBER(H2340)),D2340*H2340*Inputs!$C$69,"")</f>
      </c>
      <c r="J2340" s="42">
        <f>IF(AND(ISNUMBER(F2340),ISNUMBER(H2340),F2340&gt;=Inputs!$C$68),F2340*H2340*Inputs!$C$69,"")</f>
      </c>
    </row>
    <row r="2341" spans="2:10" ht="15" customHeight="1" x14ac:dyDescent="0.2">
      <c r="B2341" s="39">
        <f t="shared" si="18"/>
      </c>
      <c r="C2341" s="40">
        <f>IF(Inputs!$C$60,Inputs!$C$11+(B2341-Inputs!$C$69)/Inputs!$C$70,"")</f>
      </c>
      <c r="D2341" s="15"/>
      <c r="E2341" s="15"/>
      <c r="F2341" s="11">
        <f t="shared" si="19"/>
      </c>
      <c r="G2341" s="22" cm="1">
        <f t="array" ref="G2341">IF(AND(Inputs!$C$60,Inputs!$C$61),INDEX(Utility_Rates!$C$29:$F$52,HOUR(C2341)+Inputs!$C$69,MATCH(INDEX(Utility_Rates!$K$6:$K$17,MONTH(C2341))&amp;IF(WEEKDAY(C2341,Inputs!$C$76)&lt;=Inputs!$C$74," weekday"," weekend"),Utility_Rates!$C$28:$F$28,Inputs!$C$68)),"")</f>
      </c>
      <c r="H2341" s="34"/>
      <c r="I2341" s="42">
        <f>IF(AND(ISNUMBER(D2341),ISNUMBER(H2341)),D2341*H2341*Inputs!$C$69,"")</f>
      </c>
      <c r="J2341" s="42">
        <f>IF(AND(ISNUMBER(F2341),ISNUMBER(H2341),F2341&gt;=Inputs!$C$68),F2341*H2341*Inputs!$C$69,"")</f>
      </c>
    </row>
    <row r="2342" spans="2:10" ht="15" customHeight="1" x14ac:dyDescent="0.2">
      <c r="B2342" s="39">
        <f t="shared" si="18"/>
      </c>
      <c r="C2342" s="40">
        <f>IF(Inputs!$C$60,Inputs!$C$11+(B2342-Inputs!$C$69)/Inputs!$C$70,"")</f>
      </c>
      <c r="D2342" s="15"/>
      <c r="E2342" s="15"/>
      <c r="F2342" s="11">
        <f t="shared" si="19"/>
      </c>
      <c r="G2342" s="22" cm="1">
        <f t="array" ref="G2342">IF(AND(Inputs!$C$60,Inputs!$C$61),INDEX(Utility_Rates!$C$29:$F$52,HOUR(C2342)+Inputs!$C$69,MATCH(INDEX(Utility_Rates!$K$6:$K$17,MONTH(C2342))&amp;IF(WEEKDAY(C2342,Inputs!$C$76)&lt;=Inputs!$C$74," weekday"," weekend"),Utility_Rates!$C$28:$F$28,Inputs!$C$68)),"")</f>
      </c>
      <c r="H2342" s="34"/>
      <c r="I2342" s="42">
        <f>IF(AND(ISNUMBER(D2342),ISNUMBER(H2342)),D2342*H2342*Inputs!$C$69,"")</f>
      </c>
      <c r="J2342" s="42">
        <f>IF(AND(ISNUMBER(F2342),ISNUMBER(H2342),F2342&gt;=Inputs!$C$68),F2342*H2342*Inputs!$C$69,"")</f>
      </c>
    </row>
    <row r="2343" spans="2:10" ht="15" customHeight="1" x14ac:dyDescent="0.2">
      <c r="B2343" s="39">
        <f t="shared" si="18"/>
      </c>
      <c r="C2343" s="40">
        <f>IF(Inputs!$C$60,Inputs!$C$11+(B2343-Inputs!$C$69)/Inputs!$C$70,"")</f>
      </c>
      <c r="D2343" s="15"/>
      <c r="E2343" s="15"/>
      <c r="F2343" s="11">
        <f t="shared" si="19"/>
      </c>
      <c r="G2343" s="22" cm="1">
        <f t="array" ref="G2343">IF(AND(Inputs!$C$60,Inputs!$C$61),INDEX(Utility_Rates!$C$29:$F$52,HOUR(C2343)+Inputs!$C$69,MATCH(INDEX(Utility_Rates!$K$6:$K$17,MONTH(C2343))&amp;IF(WEEKDAY(C2343,Inputs!$C$76)&lt;=Inputs!$C$74," weekday"," weekend"),Utility_Rates!$C$28:$F$28,Inputs!$C$68)),"")</f>
      </c>
      <c r="H2343" s="34"/>
      <c r="I2343" s="42">
        <f>IF(AND(ISNUMBER(D2343),ISNUMBER(H2343)),D2343*H2343*Inputs!$C$69,"")</f>
      </c>
      <c r="J2343" s="42">
        <f>IF(AND(ISNUMBER(F2343),ISNUMBER(H2343),F2343&gt;=Inputs!$C$68),F2343*H2343*Inputs!$C$69,"")</f>
      </c>
    </row>
    <row r="2344" spans="2:10" ht="15" customHeight="1" x14ac:dyDescent="0.2">
      <c r="B2344" s="39">
        <f t="shared" si="18"/>
      </c>
      <c r="C2344" s="40">
        <f>IF(Inputs!$C$60,Inputs!$C$11+(B2344-Inputs!$C$69)/Inputs!$C$70,"")</f>
      </c>
      <c r="D2344" s="15"/>
      <c r="E2344" s="15"/>
      <c r="F2344" s="11">
        <f t="shared" si="19"/>
      </c>
      <c r="G2344" s="22" cm="1">
        <f t="array" ref="G2344">IF(AND(Inputs!$C$60,Inputs!$C$61),INDEX(Utility_Rates!$C$29:$F$52,HOUR(C2344)+Inputs!$C$69,MATCH(INDEX(Utility_Rates!$K$6:$K$17,MONTH(C2344))&amp;IF(WEEKDAY(C2344,Inputs!$C$76)&lt;=Inputs!$C$74," weekday"," weekend"),Utility_Rates!$C$28:$F$28,Inputs!$C$68)),"")</f>
      </c>
      <c r="H2344" s="34"/>
      <c r="I2344" s="42">
        <f>IF(AND(ISNUMBER(D2344),ISNUMBER(H2344)),D2344*H2344*Inputs!$C$69,"")</f>
      </c>
      <c r="J2344" s="42">
        <f>IF(AND(ISNUMBER(F2344),ISNUMBER(H2344),F2344&gt;=Inputs!$C$68),F2344*H2344*Inputs!$C$69,"")</f>
      </c>
    </row>
    <row r="2345" spans="2:10" ht="15" customHeight="1" x14ac:dyDescent="0.2">
      <c r="B2345" s="39">
        <f t="shared" si="18"/>
      </c>
      <c r="C2345" s="40">
        <f>IF(Inputs!$C$60,Inputs!$C$11+(B2345-Inputs!$C$69)/Inputs!$C$70,"")</f>
      </c>
      <c r="D2345" s="15"/>
      <c r="E2345" s="15"/>
      <c r="F2345" s="11">
        <f t="shared" si="19"/>
      </c>
      <c r="G2345" s="22" cm="1">
        <f t="array" ref="G2345">IF(AND(Inputs!$C$60,Inputs!$C$61),INDEX(Utility_Rates!$C$29:$F$52,HOUR(C2345)+Inputs!$C$69,MATCH(INDEX(Utility_Rates!$K$6:$K$17,MONTH(C2345))&amp;IF(WEEKDAY(C2345,Inputs!$C$76)&lt;=Inputs!$C$74," weekday"," weekend"),Utility_Rates!$C$28:$F$28,Inputs!$C$68)),"")</f>
      </c>
      <c r="H2345" s="34"/>
      <c r="I2345" s="42">
        <f>IF(AND(ISNUMBER(D2345),ISNUMBER(H2345)),D2345*H2345*Inputs!$C$69,"")</f>
      </c>
      <c r="J2345" s="42">
        <f>IF(AND(ISNUMBER(F2345),ISNUMBER(H2345),F2345&gt;=Inputs!$C$68),F2345*H2345*Inputs!$C$69,"")</f>
      </c>
    </row>
    <row r="2346" spans="2:10" ht="15" customHeight="1" x14ac:dyDescent="0.2">
      <c r="B2346" s="39">
        <f t="shared" si="18"/>
      </c>
      <c r="C2346" s="40">
        <f>IF(Inputs!$C$60,Inputs!$C$11+(B2346-Inputs!$C$69)/Inputs!$C$70,"")</f>
      </c>
      <c r="D2346" s="15"/>
      <c r="E2346" s="15"/>
      <c r="F2346" s="11">
        <f t="shared" si="19"/>
      </c>
      <c r="G2346" s="22" cm="1">
        <f t="array" ref="G2346">IF(AND(Inputs!$C$60,Inputs!$C$61),INDEX(Utility_Rates!$C$29:$F$52,HOUR(C2346)+Inputs!$C$69,MATCH(INDEX(Utility_Rates!$K$6:$K$17,MONTH(C2346))&amp;IF(WEEKDAY(C2346,Inputs!$C$76)&lt;=Inputs!$C$74," weekday"," weekend"),Utility_Rates!$C$28:$F$28,Inputs!$C$68)),"")</f>
      </c>
      <c r="H2346" s="34"/>
      <c r="I2346" s="42">
        <f>IF(AND(ISNUMBER(D2346),ISNUMBER(H2346)),D2346*H2346*Inputs!$C$69,"")</f>
      </c>
      <c r="J2346" s="42">
        <f>IF(AND(ISNUMBER(F2346),ISNUMBER(H2346),F2346&gt;=Inputs!$C$68),F2346*H2346*Inputs!$C$69,"")</f>
      </c>
    </row>
    <row r="2347" spans="2:10" ht="15" customHeight="1" x14ac:dyDescent="0.2">
      <c r="B2347" s="39">
        <f t="shared" si="18"/>
      </c>
      <c r="C2347" s="40">
        <f>IF(Inputs!$C$60,Inputs!$C$11+(B2347-Inputs!$C$69)/Inputs!$C$70,"")</f>
      </c>
      <c r="D2347" s="15"/>
      <c r="E2347" s="15"/>
      <c r="F2347" s="11">
        <f t="shared" si="19"/>
      </c>
      <c r="G2347" s="22" cm="1">
        <f t="array" ref="G2347">IF(AND(Inputs!$C$60,Inputs!$C$61),INDEX(Utility_Rates!$C$29:$F$52,HOUR(C2347)+Inputs!$C$69,MATCH(INDEX(Utility_Rates!$K$6:$K$17,MONTH(C2347))&amp;IF(WEEKDAY(C2347,Inputs!$C$76)&lt;=Inputs!$C$74," weekday"," weekend"),Utility_Rates!$C$28:$F$28,Inputs!$C$68)),"")</f>
      </c>
      <c r="H2347" s="34"/>
      <c r="I2347" s="42">
        <f>IF(AND(ISNUMBER(D2347),ISNUMBER(H2347)),D2347*H2347*Inputs!$C$69,"")</f>
      </c>
      <c r="J2347" s="42">
        <f>IF(AND(ISNUMBER(F2347),ISNUMBER(H2347),F2347&gt;=Inputs!$C$68),F2347*H2347*Inputs!$C$69,"")</f>
      </c>
    </row>
    <row r="2348" spans="2:10" ht="15" customHeight="1" x14ac:dyDescent="0.2">
      <c r="B2348" s="39">
        <f t="shared" si="18"/>
      </c>
      <c r="C2348" s="40">
        <f>IF(Inputs!$C$60,Inputs!$C$11+(B2348-Inputs!$C$69)/Inputs!$C$70,"")</f>
      </c>
      <c r="D2348" s="15"/>
      <c r="E2348" s="15"/>
      <c r="F2348" s="11">
        <f t="shared" si="19"/>
      </c>
      <c r="G2348" s="22" cm="1">
        <f t="array" ref="G2348">IF(AND(Inputs!$C$60,Inputs!$C$61),INDEX(Utility_Rates!$C$29:$F$52,HOUR(C2348)+Inputs!$C$69,MATCH(INDEX(Utility_Rates!$K$6:$K$17,MONTH(C2348))&amp;IF(WEEKDAY(C2348,Inputs!$C$76)&lt;=Inputs!$C$74," weekday"," weekend"),Utility_Rates!$C$28:$F$28,Inputs!$C$68)),"")</f>
      </c>
      <c r="H2348" s="34"/>
      <c r="I2348" s="42">
        <f>IF(AND(ISNUMBER(D2348),ISNUMBER(H2348)),D2348*H2348*Inputs!$C$69,"")</f>
      </c>
      <c r="J2348" s="42">
        <f>IF(AND(ISNUMBER(F2348),ISNUMBER(H2348),F2348&gt;=Inputs!$C$68),F2348*H2348*Inputs!$C$69,"")</f>
      </c>
    </row>
    <row r="2349" spans="2:10" ht="15" customHeight="1" x14ac:dyDescent="0.2">
      <c r="B2349" s="39">
        <f t="shared" si="18"/>
      </c>
      <c r="C2349" s="40">
        <f>IF(Inputs!$C$60,Inputs!$C$11+(B2349-Inputs!$C$69)/Inputs!$C$70,"")</f>
      </c>
      <c r="D2349" s="15"/>
      <c r="E2349" s="15"/>
      <c r="F2349" s="11">
        <f t="shared" si="19"/>
      </c>
      <c r="G2349" s="22" cm="1">
        <f t="array" ref="G2349">IF(AND(Inputs!$C$60,Inputs!$C$61),INDEX(Utility_Rates!$C$29:$F$52,HOUR(C2349)+Inputs!$C$69,MATCH(INDEX(Utility_Rates!$K$6:$K$17,MONTH(C2349))&amp;IF(WEEKDAY(C2349,Inputs!$C$76)&lt;=Inputs!$C$74," weekday"," weekend"),Utility_Rates!$C$28:$F$28,Inputs!$C$68)),"")</f>
      </c>
      <c r="H2349" s="34"/>
      <c r="I2349" s="42">
        <f>IF(AND(ISNUMBER(D2349),ISNUMBER(H2349)),D2349*H2349*Inputs!$C$69,"")</f>
      </c>
      <c r="J2349" s="42">
        <f>IF(AND(ISNUMBER(F2349),ISNUMBER(H2349),F2349&gt;=Inputs!$C$68),F2349*H2349*Inputs!$C$69,"")</f>
      </c>
    </row>
    <row r="2350" spans="2:10" ht="15" customHeight="1" x14ac:dyDescent="0.2">
      <c r="B2350" s="39">
        <f t="shared" si="18"/>
      </c>
      <c r="C2350" s="40">
        <f>IF(Inputs!$C$60,Inputs!$C$11+(B2350-Inputs!$C$69)/Inputs!$C$70,"")</f>
      </c>
      <c r="D2350" s="15"/>
      <c r="E2350" s="15"/>
      <c r="F2350" s="11">
        <f t="shared" si="19"/>
      </c>
      <c r="G2350" s="22" cm="1">
        <f t="array" ref="G2350">IF(AND(Inputs!$C$60,Inputs!$C$61),INDEX(Utility_Rates!$C$29:$F$52,HOUR(C2350)+Inputs!$C$69,MATCH(INDEX(Utility_Rates!$K$6:$K$17,MONTH(C2350))&amp;IF(WEEKDAY(C2350,Inputs!$C$76)&lt;=Inputs!$C$74," weekday"," weekend"),Utility_Rates!$C$28:$F$28,Inputs!$C$68)),"")</f>
      </c>
      <c r="H2350" s="34"/>
      <c r="I2350" s="42">
        <f>IF(AND(ISNUMBER(D2350),ISNUMBER(H2350)),D2350*H2350*Inputs!$C$69,"")</f>
      </c>
      <c r="J2350" s="42">
        <f>IF(AND(ISNUMBER(F2350),ISNUMBER(H2350),F2350&gt;=Inputs!$C$68),F2350*H2350*Inputs!$C$69,"")</f>
      </c>
    </row>
    <row r="2351" spans="2:10" ht="15" customHeight="1" x14ac:dyDescent="0.2">
      <c r="B2351" s="39">
        <f t="shared" si="18"/>
      </c>
      <c r="C2351" s="40">
        <f>IF(Inputs!$C$60,Inputs!$C$11+(B2351-Inputs!$C$69)/Inputs!$C$70,"")</f>
      </c>
      <c r="D2351" s="15"/>
      <c r="E2351" s="15"/>
      <c r="F2351" s="11">
        <f t="shared" si="19"/>
      </c>
      <c r="G2351" s="22" cm="1">
        <f t="array" ref="G2351">IF(AND(Inputs!$C$60,Inputs!$C$61),INDEX(Utility_Rates!$C$29:$F$52,HOUR(C2351)+Inputs!$C$69,MATCH(INDEX(Utility_Rates!$K$6:$K$17,MONTH(C2351))&amp;IF(WEEKDAY(C2351,Inputs!$C$76)&lt;=Inputs!$C$74," weekday"," weekend"),Utility_Rates!$C$28:$F$28,Inputs!$C$68)),"")</f>
      </c>
      <c r="H2351" s="34"/>
      <c r="I2351" s="42">
        <f>IF(AND(ISNUMBER(D2351),ISNUMBER(H2351)),D2351*H2351*Inputs!$C$69,"")</f>
      </c>
      <c r="J2351" s="42">
        <f>IF(AND(ISNUMBER(F2351),ISNUMBER(H2351),F2351&gt;=Inputs!$C$68),F2351*H2351*Inputs!$C$69,"")</f>
      </c>
    </row>
    <row r="2352" spans="2:10" ht="15" customHeight="1" x14ac:dyDescent="0.2">
      <c r="B2352" s="39">
        <f t="shared" si="18"/>
      </c>
      <c r="C2352" s="40">
        <f>IF(Inputs!$C$60,Inputs!$C$11+(B2352-Inputs!$C$69)/Inputs!$C$70,"")</f>
      </c>
      <c r="D2352" s="15"/>
      <c r="E2352" s="15"/>
      <c r="F2352" s="11">
        <f t="shared" si="19"/>
      </c>
      <c r="G2352" s="22" cm="1">
        <f t="array" ref="G2352">IF(AND(Inputs!$C$60,Inputs!$C$61),INDEX(Utility_Rates!$C$29:$F$52,HOUR(C2352)+Inputs!$C$69,MATCH(INDEX(Utility_Rates!$K$6:$K$17,MONTH(C2352))&amp;IF(WEEKDAY(C2352,Inputs!$C$76)&lt;=Inputs!$C$74," weekday"," weekend"),Utility_Rates!$C$28:$F$28,Inputs!$C$68)),"")</f>
      </c>
      <c r="H2352" s="34"/>
      <c r="I2352" s="42">
        <f>IF(AND(ISNUMBER(D2352),ISNUMBER(H2352)),D2352*H2352*Inputs!$C$69,"")</f>
      </c>
      <c r="J2352" s="42">
        <f>IF(AND(ISNUMBER(F2352),ISNUMBER(H2352),F2352&gt;=Inputs!$C$68),F2352*H2352*Inputs!$C$69,"")</f>
      </c>
    </row>
    <row r="2353" spans="2:10" ht="15" customHeight="1" x14ac:dyDescent="0.2">
      <c r="B2353" s="39">
        <f t="shared" si="18"/>
      </c>
      <c r="C2353" s="40">
        <f>IF(Inputs!$C$60,Inputs!$C$11+(B2353-Inputs!$C$69)/Inputs!$C$70,"")</f>
      </c>
      <c r="D2353" s="15"/>
      <c r="E2353" s="15"/>
      <c r="F2353" s="11">
        <f t="shared" si="19"/>
      </c>
      <c r="G2353" s="22" cm="1">
        <f t="array" ref="G2353">IF(AND(Inputs!$C$60,Inputs!$C$61),INDEX(Utility_Rates!$C$29:$F$52,HOUR(C2353)+Inputs!$C$69,MATCH(INDEX(Utility_Rates!$K$6:$K$17,MONTH(C2353))&amp;IF(WEEKDAY(C2353,Inputs!$C$76)&lt;=Inputs!$C$74," weekday"," weekend"),Utility_Rates!$C$28:$F$28,Inputs!$C$68)),"")</f>
      </c>
      <c r="H2353" s="34"/>
      <c r="I2353" s="42">
        <f>IF(AND(ISNUMBER(D2353),ISNUMBER(H2353)),D2353*H2353*Inputs!$C$69,"")</f>
      </c>
      <c r="J2353" s="42">
        <f>IF(AND(ISNUMBER(F2353),ISNUMBER(H2353),F2353&gt;=Inputs!$C$68),F2353*H2353*Inputs!$C$69,"")</f>
      </c>
    </row>
    <row r="2354" spans="2:10" ht="15" customHeight="1" x14ac:dyDescent="0.2">
      <c r="B2354" s="39">
        <f t="shared" si="18"/>
      </c>
      <c r="C2354" s="40">
        <f>IF(Inputs!$C$60,Inputs!$C$11+(B2354-Inputs!$C$69)/Inputs!$C$70,"")</f>
      </c>
      <c r="D2354" s="15"/>
      <c r="E2354" s="15"/>
      <c r="F2354" s="11">
        <f t="shared" si="19"/>
      </c>
      <c r="G2354" s="22" cm="1">
        <f t="array" ref="G2354">IF(AND(Inputs!$C$60,Inputs!$C$61),INDEX(Utility_Rates!$C$29:$F$52,HOUR(C2354)+Inputs!$C$69,MATCH(INDEX(Utility_Rates!$K$6:$K$17,MONTH(C2354))&amp;IF(WEEKDAY(C2354,Inputs!$C$76)&lt;=Inputs!$C$74," weekday"," weekend"),Utility_Rates!$C$28:$F$28,Inputs!$C$68)),"")</f>
      </c>
      <c r="H2354" s="34"/>
      <c r="I2354" s="42">
        <f>IF(AND(ISNUMBER(D2354),ISNUMBER(H2354)),D2354*H2354*Inputs!$C$69,"")</f>
      </c>
      <c r="J2354" s="42">
        <f>IF(AND(ISNUMBER(F2354),ISNUMBER(H2354),F2354&gt;=Inputs!$C$68),F2354*H2354*Inputs!$C$69,"")</f>
      </c>
    </row>
    <row r="2355" spans="2:10" ht="15" customHeight="1" x14ac:dyDescent="0.2">
      <c r="B2355" s="39">
        <f t="shared" si="18"/>
      </c>
      <c r="C2355" s="40">
        <f>IF(Inputs!$C$60,Inputs!$C$11+(B2355-Inputs!$C$69)/Inputs!$C$70,"")</f>
      </c>
      <c r="D2355" s="15"/>
      <c r="E2355" s="15"/>
      <c r="F2355" s="11">
        <f t="shared" si="19"/>
      </c>
      <c r="G2355" s="22" cm="1">
        <f t="array" ref="G2355">IF(AND(Inputs!$C$60,Inputs!$C$61),INDEX(Utility_Rates!$C$29:$F$52,HOUR(C2355)+Inputs!$C$69,MATCH(INDEX(Utility_Rates!$K$6:$K$17,MONTH(C2355))&amp;IF(WEEKDAY(C2355,Inputs!$C$76)&lt;=Inputs!$C$74," weekday"," weekend"),Utility_Rates!$C$28:$F$28,Inputs!$C$68)),"")</f>
      </c>
      <c r="H2355" s="34"/>
      <c r="I2355" s="42">
        <f>IF(AND(ISNUMBER(D2355),ISNUMBER(H2355)),D2355*H2355*Inputs!$C$69,"")</f>
      </c>
      <c r="J2355" s="42">
        <f>IF(AND(ISNUMBER(F2355),ISNUMBER(H2355),F2355&gt;=Inputs!$C$68),F2355*H2355*Inputs!$C$69,"")</f>
      </c>
    </row>
    <row r="2356" spans="2:10" ht="15" customHeight="1" x14ac:dyDescent="0.2">
      <c r="B2356" s="39">
        <f t="shared" si="18"/>
      </c>
      <c r="C2356" s="40">
        <f>IF(Inputs!$C$60,Inputs!$C$11+(B2356-Inputs!$C$69)/Inputs!$C$70,"")</f>
      </c>
      <c r="D2356" s="15"/>
      <c r="E2356" s="15"/>
      <c r="F2356" s="11">
        <f t="shared" si="19"/>
      </c>
      <c r="G2356" s="22" cm="1">
        <f t="array" ref="G2356">IF(AND(Inputs!$C$60,Inputs!$C$61),INDEX(Utility_Rates!$C$29:$F$52,HOUR(C2356)+Inputs!$C$69,MATCH(INDEX(Utility_Rates!$K$6:$K$17,MONTH(C2356))&amp;IF(WEEKDAY(C2356,Inputs!$C$76)&lt;=Inputs!$C$74," weekday"," weekend"),Utility_Rates!$C$28:$F$28,Inputs!$C$68)),"")</f>
      </c>
      <c r="H2356" s="34"/>
      <c r="I2356" s="42">
        <f>IF(AND(ISNUMBER(D2356),ISNUMBER(H2356)),D2356*H2356*Inputs!$C$69,"")</f>
      </c>
      <c r="J2356" s="42">
        <f>IF(AND(ISNUMBER(F2356),ISNUMBER(H2356),F2356&gt;=Inputs!$C$68),F2356*H2356*Inputs!$C$69,"")</f>
      </c>
    </row>
    <row r="2357" spans="2:10" ht="15" customHeight="1" x14ac:dyDescent="0.2">
      <c r="B2357" s="39">
        <f t="shared" si="18"/>
      </c>
      <c r="C2357" s="40">
        <f>IF(Inputs!$C$60,Inputs!$C$11+(B2357-Inputs!$C$69)/Inputs!$C$70,"")</f>
      </c>
      <c r="D2357" s="15"/>
      <c r="E2357" s="15"/>
      <c r="F2357" s="11">
        <f t="shared" si="19"/>
      </c>
      <c r="G2357" s="22" cm="1">
        <f t="array" ref="G2357">IF(AND(Inputs!$C$60,Inputs!$C$61),INDEX(Utility_Rates!$C$29:$F$52,HOUR(C2357)+Inputs!$C$69,MATCH(INDEX(Utility_Rates!$K$6:$K$17,MONTH(C2357))&amp;IF(WEEKDAY(C2357,Inputs!$C$76)&lt;=Inputs!$C$74," weekday"," weekend"),Utility_Rates!$C$28:$F$28,Inputs!$C$68)),"")</f>
      </c>
      <c r="H2357" s="34"/>
      <c r="I2357" s="42">
        <f>IF(AND(ISNUMBER(D2357),ISNUMBER(H2357)),D2357*H2357*Inputs!$C$69,"")</f>
      </c>
      <c r="J2357" s="42">
        <f>IF(AND(ISNUMBER(F2357),ISNUMBER(H2357),F2357&gt;=Inputs!$C$68),F2357*H2357*Inputs!$C$69,"")</f>
      </c>
    </row>
    <row r="2358" spans="2:10" ht="15" customHeight="1" x14ac:dyDescent="0.2">
      <c r="B2358" s="39">
        <f t="shared" si="18"/>
      </c>
      <c r="C2358" s="40">
        <f>IF(Inputs!$C$60,Inputs!$C$11+(B2358-Inputs!$C$69)/Inputs!$C$70,"")</f>
      </c>
      <c r="D2358" s="15"/>
      <c r="E2358" s="15"/>
      <c r="F2358" s="11">
        <f t="shared" si="19"/>
      </c>
      <c r="G2358" s="22" cm="1">
        <f t="array" ref="G2358">IF(AND(Inputs!$C$60,Inputs!$C$61),INDEX(Utility_Rates!$C$29:$F$52,HOUR(C2358)+Inputs!$C$69,MATCH(INDEX(Utility_Rates!$K$6:$K$17,MONTH(C2358))&amp;IF(WEEKDAY(C2358,Inputs!$C$76)&lt;=Inputs!$C$74," weekday"," weekend"),Utility_Rates!$C$28:$F$28,Inputs!$C$68)),"")</f>
      </c>
      <c r="H2358" s="34"/>
      <c r="I2358" s="42">
        <f>IF(AND(ISNUMBER(D2358),ISNUMBER(H2358)),D2358*H2358*Inputs!$C$69,"")</f>
      </c>
      <c r="J2358" s="42">
        <f>IF(AND(ISNUMBER(F2358),ISNUMBER(H2358),F2358&gt;=Inputs!$C$68),F2358*H2358*Inputs!$C$69,"")</f>
      </c>
    </row>
    <row r="2359" spans="2:10" ht="15" customHeight="1" x14ac:dyDescent="0.2">
      <c r="B2359" s="39">
        <f t="shared" si="18"/>
      </c>
      <c r="C2359" s="40">
        <f>IF(Inputs!$C$60,Inputs!$C$11+(B2359-Inputs!$C$69)/Inputs!$C$70,"")</f>
      </c>
      <c r="D2359" s="15"/>
      <c r="E2359" s="15"/>
      <c r="F2359" s="11">
        <f t="shared" si="19"/>
      </c>
      <c r="G2359" s="22" cm="1">
        <f t="array" ref="G2359">IF(AND(Inputs!$C$60,Inputs!$C$61),INDEX(Utility_Rates!$C$29:$F$52,HOUR(C2359)+Inputs!$C$69,MATCH(INDEX(Utility_Rates!$K$6:$K$17,MONTH(C2359))&amp;IF(WEEKDAY(C2359,Inputs!$C$76)&lt;=Inputs!$C$74," weekday"," weekend"),Utility_Rates!$C$28:$F$28,Inputs!$C$68)),"")</f>
      </c>
      <c r="H2359" s="34"/>
      <c r="I2359" s="42">
        <f>IF(AND(ISNUMBER(D2359),ISNUMBER(H2359)),D2359*H2359*Inputs!$C$69,"")</f>
      </c>
      <c r="J2359" s="42">
        <f>IF(AND(ISNUMBER(F2359),ISNUMBER(H2359),F2359&gt;=Inputs!$C$68),F2359*H2359*Inputs!$C$69,"")</f>
      </c>
    </row>
    <row r="2360" spans="2:10" ht="15" customHeight="1" x14ac:dyDescent="0.2">
      <c r="B2360" s="39">
        <f t="shared" si="18"/>
      </c>
      <c r="C2360" s="40">
        <f>IF(Inputs!$C$60,Inputs!$C$11+(B2360-Inputs!$C$69)/Inputs!$C$70,"")</f>
      </c>
      <c r="D2360" s="15"/>
      <c r="E2360" s="15"/>
      <c r="F2360" s="11">
        <f t="shared" si="19"/>
      </c>
      <c r="G2360" s="22" cm="1">
        <f t="array" ref="G2360">IF(AND(Inputs!$C$60,Inputs!$C$61),INDEX(Utility_Rates!$C$29:$F$52,HOUR(C2360)+Inputs!$C$69,MATCH(INDEX(Utility_Rates!$K$6:$K$17,MONTH(C2360))&amp;IF(WEEKDAY(C2360,Inputs!$C$76)&lt;=Inputs!$C$74," weekday"," weekend"),Utility_Rates!$C$28:$F$28,Inputs!$C$68)),"")</f>
      </c>
      <c r="H2360" s="34"/>
      <c r="I2360" s="42">
        <f>IF(AND(ISNUMBER(D2360),ISNUMBER(H2360)),D2360*H2360*Inputs!$C$69,"")</f>
      </c>
      <c r="J2360" s="42">
        <f>IF(AND(ISNUMBER(F2360),ISNUMBER(H2360),F2360&gt;=Inputs!$C$68),F2360*H2360*Inputs!$C$69,"")</f>
      </c>
    </row>
    <row r="2361" spans="2:10" ht="15" customHeight="1" x14ac:dyDescent="0.2">
      <c r="B2361" s="39">
        <f t="shared" si="18"/>
      </c>
      <c r="C2361" s="40">
        <f>IF(Inputs!$C$60,Inputs!$C$11+(B2361-Inputs!$C$69)/Inputs!$C$70,"")</f>
      </c>
      <c r="D2361" s="15"/>
      <c r="E2361" s="15"/>
      <c r="F2361" s="11">
        <f t="shared" si="19"/>
      </c>
      <c r="G2361" s="22" cm="1">
        <f t="array" ref="G2361">IF(AND(Inputs!$C$60,Inputs!$C$61),INDEX(Utility_Rates!$C$29:$F$52,HOUR(C2361)+Inputs!$C$69,MATCH(INDEX(Utility_Rates!$K$6:$K$17,MONTH(C2361))&amp;IF(WEEKDAY(C2361,Inputs!$C$76)&lt;=Inputs!$C$74," weekday"," weekend"),Utility_Rates!$C$28:$F$28,Inputs!$C$68)),"")</f>
      </c>
      <c r="H2361" s="34"/>
      <c r="I2361" s="42">
        <f>IF(AND(ISNUMBER(D2361),ISNUMBER(H2361)),D2361*H2361*Inputs!$C$69,"")</f>
      </c>
      <c r="J2361" s="42">
        <f>IF(AND(ISNUMBER(F2361),ISNUMBER(H2361),F2361&gt;=Inputs!$C$68),F2361*H2361*Inputs!$C$69,"")</f>
      </c>
    </row>
    <row r="2362" spans="2:10" ht="15" customHeight="1" x14ac:dyDescent="0.2">
      <c r="B2362" s="39">
        <f t="shared" si="18"/>
      </c>
      <c r="C2362" s="40">
        <f>IF(Inputs!$C$60,Inputs!$C$11+(B2362-Inputs!$C$69)/Inputs!$C$70,"")</f>
      </c>
      <c r="D2362" s="15"/>
      <c r="E2362" s="15"/>
      <c r="F2362" s="11">
        <f t="shared" si="19"/>
      </c>
      <c r="G2362" s="22" cm="1">
        <f t="array" ref="G2362">IF(AND(Inputs!$C$60,Inputs!$C$61),INDEX(Utility_Rates!$C$29:$F$52,HOUR(C2362)+Inputs!$C$69,MATCH(INDEX(Utility_Rates!$K$6:$K$17,MONTH(C2362))&amp;IF(WEEKDAY(C2362,Inputs!$C$76)&lt;=Inputs!$C$74," weekday"," weekend"),Utility_Rates!$C$28:$F$28,Inputs!$C$68)),"")</f>
      </c>
      <c r="H2362" s="34"/>
      <c r="I2362" s="42">
        <f>IF(AND(ISNUMBER(D2362),ISNUMBER(H2362)),D2362*H2362*Inputs!$C$69,"")</f>
      </c>
      <c r="J2362" s="42">
        <f>IF(AND(ISNUMBER(F2362),ISNUMBER(H2362),F2362&gt;=Inputs!$C$68),F2362*H2362*Inputs!$C$69,"")</f>
      </c>
    </row>
    <row r="2363" spans="2:10" ht="15" customHeight="1" x14ac:dyDescent="0.2">
      <c r="B2363" s="39">
        <f t="shared" si="18"/>
      </c>
      <c r="C2363" s="40">
        <f>IF(Inputs!$C$60,Inputs!$C$11+(B2363-Inputs!$C$69)/Inputs!$C$70,"")</f>
      </c>
      <c r="D2363" s="15"/>
      <c r="E2363" s="15"/>
      <c r="F2363" s="11">
        <f t="shared" si="19"/>
      </c>
      <c r="G2363" s="22" cm="1">
        <f t="array" ref="G2363">IF(AND(Inputs!$C$60,Inputs!$C$61),INDEX(Utility_Rates!$C$29:$F$52,HOUR(C2363)+Inputs!$C$69,MATCH(INDEX(Utility_Rates!$K$6:$K$17,MONTH(C2363))&amp;IF(WEEKDAY(C2363,Inputs!$C$76)&lt;=Inputs!$C$74," weekday"," weekend"),Utility_Rates!$C$28:$F$28,Inputs!$C$68)),"")</f>
      </c>
      <c r="H2363" s="34"/>
      <c r="I2363" s="42">
        <f>IF(AND(ISNUMBER(D2363),ISNUMBER(H2363)),D2363*H2363*Inputs!$C$69,"")</f>
      </c>
      <c r="J2363" s="42">
        <f>IF(AND(ISNUMBER(F2363),ISNUMBER(H2363),F2363&gt;=Inputs!$C$68),F2363*H2363*Inputs!$C$69,"")</f>
      </c>
    </row>
    <row r="2364" spans="2:10" ht="15" customHeight="1" x14ac:dyDescent="0.2">
      <c r="B2364" s="39">
        <f t="shared" si="18"/>
      </c>
      <c r="C2364" s="40">
        <f>IF(Inputs!$C$60,Inputs!$C$11+(B2364-Inputs!$C$69)/Inputs!$C$70,"")</f>
      </c>
      <c r="D2364" s="15"/>
      <c r="E2364" s="15"/>
      <c r="F2364" s="11">
        <f t="shared" si="19"/>
      </c>
      <c r="G2364" s="22" cm="1">
        <f t="array" ref="G2364">IF(AND(Inputs!$C$60,Inputs!$C$61),INDEX(Utility_Rates!$C$29:$F$52,HOUR(C2364)+Inputs!$C$69,MATCH(INDEX(Utility_Rates!$K$6:$K$17,MONTH(C2364))&amp;IF(WEEKDAY(C2364,Inputs!$C$76)&lt;=Inputs!$C$74," weekday"," weekend"),Utility_Rates!$C$28:$F$28,Inputs!$C$68)),"")</f>
      </c>
      <c r="H2364" s="34"/>
      <c r="I2364" s="42">
        <f>IF(AND(ISNUMBER(D2364),ISNUMBER(H2364)),D2364*H2364*Inputs!$C$69,"")</f>
      </c>
      <c r="J2364" s="42">
        <f>IF(AND(ISNUMBER(F2364),ISNUMBER(H2364),F2364&gt;=Inputs!$C$68),F2364*H2364*Inputs!$C$69,"")</f>
      </c>
    </row>
    <row r="2365" spans="2:10" ht="15" customHeight="1" x14ac:dyDescent="0.2">
      <c r="B2365" s="39">
        <f t="shared" si="18"/>
      </c>
      <c r="C2365" s="40">
        <f>IF(Inputs!$C$60,Inputs!$C$11+(B2365-Inputs!$C$69)/Inputs!$C$70,"")</f>
      </c>
      <c r="D2365" s="15"/>
      <c r="E2365" s="15"/>
      <c r="F2365" s="11">
        <f t="shared" si="19"/>
      </c>
      <c r="G2365" s="22" cm="1">
        <f t="array" ref="G2365">IF(AND(Inputs!$C$60,Inputs!$C$61),INDEX(Utility_Rates!$C$29:$F$52,HOUR(C2365)+Inputs!$C$69,MATCH(INDEX(Utility_Rates!$K$6:$K$17,MONTH(C2365))&amp;IF(WEEKDAY(C2365,Inputs!$C$76)&lt;=Inputs!$C$74," weekday"," weekend"),Utility_Rates!$C$28:$F$28,Inputs!$C$68)),"")</f>
      </c>
      <c r="H2365" s="34"/>
      <c r="I2365" s="42">
        <f>IF(AND(ISNUMBER(D2365),ISNUMBER(H2365)),D2365*H2365*Inputs!$C$69,"")</f>
      </c>
      <c r="J2365" s="42">
        <f>IF(AND(ISNUMBER(F2365),ISNUMBER(H2365),F2365&gt;=Inputs!$C$68),F2365*H2365*Inputs!$C$69,"")</f>
      </c>
    </row>
    <row r="2366" spans="2:10" ht="15" customHeight="1" x14ac:dyDescent="0.2">
      <c r="B2366" s="39">
        <f t="shared" si="18"/>
      </c>
      <c r="C2366" s="40">
        <f>IF(Inputs!$C$60,Inputs!$C$11+(B2366-Inputs!$C$69)/Inputs!$C$70,"")</f>
      </c>
      <c r="D2366" s="15"/>
      <c r="E2366" s="15"/>
      <c r="F2366" s="11">
        <f t="shared" si="19"/>
      </c>
      <c r="G2366" s="22" cm="1">
        <f t="array" ref="G2366">IF(AND(Inputs!$C$60,Inputs!$C$61),INDEX(Utility_Rates!$C$29:$F$52,HOUR(C2366)+Inputs!$C$69,MATCH(INDEX(Utility_Rates!$K$6:$K$17,MONTH(C2366))&amp;IF(WEEKDAY(C2366,Inputs!$C$76)&lt;=Inputs!$C$74," weekday"," weekend"),Utility_Rates!$C$28:$F$28,Inputs!$C$68)),"")</f>
      </c>
      <c r="H2366" s="34"/>
      <c r="I2366" s="42">
        <f>IF(AND(ISNUMBER(D2366),ISNUMBER(H2366)),D2366*H2366*Inputs!$C$69,"")</f>
      </c>
      <c r="J2366" s="42">
        <f>IF(AND(ISNUMBER(F2366),ISNUMBER(H2366),F2366&gt;=Inputs!$C$68),F2366*H2366*Inputs!$C$69,"")</f>
      </c>
    </row>
    <row r="2367" spans="2:10" ht="15" customHeight="1" x14ac:dyDescent="0.2">
      <c r="B2367" s="39">
        <f t="shared" si="18"/>
      </c>
      <c r="C2367" s="40">
        <f>IF(Inputs!$C$60,Inputs!$C$11+(B2367-Inputs!$C$69)/Inputs!$C$70,"")</f>
      </c>
      <c r="D2367" s="15"/>
      <c r="E2367" s="15"/>
      <c r="F2367" s="11">
        <f t="shared" si="19"/>
      </c>
      <c r="G2367" s="22" cm="1">
        <f t="array" ref="G2367">IF(AND(Inputs!$C$60,Inputs!$C$61),INDEX(Utility_Rates!$C$29:$F$52,HOUR(C2367)+Inputs!$C$69,MATCH(INDEX(Utility_Rates!$K$6:$K$17,MONTH(C2367))&amp;IF(WEEKDAY(C2367,Inputs!$C$76)&lt;=Inputs!$C$74," weekday"," weekend"),Utility_Rates!$C$28:$F$28,Inputs!$C$68)),"")</f>
      </c>
      <c r="H2367" s="34"/>
      <c r="I2367" s="42">
        <f>IF(AND(ISNUMBER(D2367),ISNUMBER(H2367)),D2367*H2367*Inputs!$C$69,"")</f>
      </c>
      <c r="J2367" s="42">
        <f>IF(AND(ISNUMBER(F2367),ISNUMBER(H2367),F2367&gt;=Inputs!$C$68),F2367*H2367*Inputs!$C$69,"")</f>
      </c>
    </row>
    <row r="2368" spans="2:10" ht="15" customHeight="1" x14ac:dyDescent="0.2">
      <c r="B2368" s="39">
        <f t="shared" si="18"/>
      </c>
      <c r="C2368" s="40">
        <f>IF(Inputs!$C$60,Inputs!$C$11+(B2368-Inputs!$C$69)/Inputs!$C$70,"")</f>
      </c>
      <c r="D2368" s="15"/>
      <c r="E2368" s="15"/>
      <c r="F2368" s="11">
        <f t="shared" si="19"/>
      </c>
      <c r="G2368" s="22" cm="1">
        <f t="array" ref="G2368">IF(AND(Inputs!$C$60,Inputs!$C$61),INDEX(Utility_Rates!$C$29:$F$52,HOUR(C2368)+Inputs!$C$69,MATCH(INDEX(Utility_Rates!$K$6:$K$17,MONTH(C2368))&amp;IF(WEEKDAY(C2368,Inputs!$C$76)&lt;=Inputs!$C$74," weekday"," weekend"),Utility_Rates!$C$28:$F$28,Inputs!$C$68)),"")</f>
      </c>
      <c r="H2368" s="34"/>
      <c r="I2368" s="42">
        <f>IF(AND(ISNUMBER(D2368),ISNUMBER(H2368)),D2368*H2368*Inputs!$C$69,"")</f>
      </c>
      <c r="J2368" s="42">
        <f>IF(AND(ISNUMBER(F2368),ISNUMBER(H2368),F2368&gt;=Inputs!$C$68),F2368*H2368*Inputs!$C$69,"")</f>
      </c>
    </row>
    <row r="2369" spans="2:10" ht="15" customHeight="1" x14ac:dyDescent="0.2">
      <c r="B2369" s="39">
        <f t="shared" si="18"/>
      </c>
      <c r="C2369" s="40">
        <f>IF(Inputs!$C$60,Inputs!$C$11+(B2369-Inputs!$C$69)/Inputs!$C$70,"")</f>
      </c>
      <c r="D2369" s="15"/>
      <c r="E2369" s="15"/>
      <c r="F2369" s="11">
        <f t="shared" si="19"/>
      </c>
      <c r="G2369" s="22" cm="1">
        <f t="array" ref="G2369">IF(AND(Inputs!$C$60,Inputs!$C$61),INDEX(Utility_Rates!$C$29:$F$52,HOUR(C2369)+Inputs!$C$69,MATCH(INDEX(Utility_Rates!$K$6:$K$17,MONTH(C2369))&amp;IF(WEEKDAY(C2369,Inputs!$C$76)&lt;=Inputs!$C$74," weekday"," weekend"),Utility_Rates!$C$28:$F$28,Inputs!$C$68)),"")</f>
      </c>
      <c r="H2369" s="34"/>
      <c r="I2369" s="42">
        <f>IF(AND(ISNUMBER(D2369),ISNUMBER(H2369)),D2369*H2369*Inputs!$C$69,"")</f>
      </c>
      <c r="J2369" s="42">
        <f>IF(AND(ISNUMBER(F2369),ISNUMBER(H2369),F2369&gt;=Inputs!$C$68),F2369*H2369*Inputs!$C$69,"")</f>
      </c>
    </row>
    <row r="2370" spans="2:10" ht="15" customHeight="1" x14ac:dyDescent="0.2">
      <c r="B2370" s="39">
        <f t="shared" si="18"/>
      </c>
      <c r="C2370" s="40">
        <f>IF(Inputs!$C$60,Inputs!$C$11+(B2370-Inputs!$C$69)/Inputs!$C$70,"")</f>
      </c>
      <c r="D2370" s="15"/>
      <c r="E2370" s="15"/>
      <c r="F2370" s="11">
        <f t="shared" si="19"/>
      </c>
      <c r="G2370" s="22" cm="1">
        <f t="array" ref="G2370">IF(AND(Inputs!$C$60,Inputs!$C$61),INDEX(Utility_Rates!$C$29:$F$52,HOUR(C2370)+Inputs!$C$69,MATCH(INDEX(Utility_Rates!$K$6:$K$17,MONTH(C2370))&amp;IF(WEEKDAY(C2370,Inputs!$C$76)&lt;=Inputs!$C$74," weekday"," weekend"),Utility_Rates!$C$28:$F$28,Inputs!$C$68)),"")</f>
      </c>
      <c r="H2370" s="34"/>
      <c r="I2370" s="42">
        <f>IF(AND(ISNUMBER(D2370),ISNUMBER(H2370)),D2370*H2370*Inputs!$C$69,"")</f>
      </c>
      <c r="J2370" s="42">
        <f>IF(AND(ISNUMBER(F2370),ISNUMBER(H2370),F2370&gt;=Inputs!$C$68),F2370*H2370*Inputs!$C$69,"")</f>
      </c>
    </row>
    <row r="2371" spans="2:10" ht="15" customHeight="1" x14ac:dyDescent="0.2">
      <c r="B2371" s="39">
        <f t="shared" si="18"/>
      </c>
      <c r="C2371" s="40">
        <f>IF(Inputs!$C$60,Inputs!$C$11+(B2371-Inputs!$C$69)/Inputs!$C$70,"")</f>
      </c>
      <c r="D2371" s="15"/>
      <c r="E2371" s="15"/>
      <c r="F2371" s="11">
        <f t="shared" si="19"/>
      </c>
      <c r="G2371" s="22" cm="1">
        <f t="array" ref="G2371">IF(AND(Inputs!$C$60,Inputs!$C$61),INDEX(Utility_Rates!$C$29:$F$52,HOUR(C2371)+Inputs!$C$69,MATCH(INDEX(Utility_Rates!$K$6:$K$17,MONTH(C2371))&amp;IF(WEEKDAY(C2371,Inputs!$C$76)&lt;=Inputs!$C$74," weekday"," weekend"),Utility_Rates!$C$28:$F$28,Inputs!$C$68)),"")</f>
      </c>
      <c r="H2371" s="34"/>
      <c r="I2371" s="42">
        <f>IF(AND(ISNUMBER(D2371),ISNUMBER(H2371)),D2371*H2371*Inputs!$C$69,"")</f>
      </c>
      <c r="J2371" s="42">
        <f>IF(AND(ISNUMBER(F2371),ISNUMBER(H2371),F2371&gt;=Inputs!$C$68),F2371*H2371*Inputs!$C$69,"")</f>
      </c>
    </row>
    <row r="2372" spans="2:10" ht="15" customHeight="1" x14ac:dyDescent="0.2">
      <c r="B2372" s="39">
        <f t="shared" si="18"/>
      </c>
      <c r="C2372" s="40">
        <f>IF(Inputs!$C$60,Inputs!$C$11+(B2372-Inputs!$C$69)/Inputs!$C$70,"")</f>
      </c>
      <c r="D2372" s="15"/>
      <c r="E2372" s="15"/>
      <c r="F2372" s="11">
        <f t="shared" si="19"/>
      </c>
      <c r="G2372" s="22" cm="1">
        <f t="array" ref="G2372">IF(AND(Inputs!$C$60,Inputs!$C$61),INDEX(Utility_Rates!$C$29:$F$52,HOUR(C2372)+Inputs!$C$69,MATCH(INDEX(Utility_Rates!$K$6:$K$17,MONTH(C2372))&amp;IF(WEEKDAY(C2372,Inputs!$C$76)&lt;=Inputs!$C$74," weekday"," weekend"),Utility_Rates!$C$28:$F$28,Inputs!$C$68)),"")</f>
      </c>
      <c r="H2372" s="34"/>
      <c r="I2372" s="42">
        <f>IF(AND(ISNUMBER(D2372),ISNUMBER(H2372)),D2372*H2372*Inputs!$C$69,"")</f>
      </c>
      <c r="J2372" s="42">
        <f>IF(AND(ISNUMBER(F2372),ISNUMBER(H2372),F2372&gt;=Inputs!$C$68),F2372*H2372*Inputs!$C$69,"")</f>
      </c>
    </row>
    <row r="2373" spans="2:10" ht="15" customHeight="1" x14ac:dyDescent="0.2">
      <c r="B2373" s="39">
        <f t="shared" si="18"/>
      </c>
      <c r="C2373" s="40">
        <f>IF(Inputs!$C$60,Inputs!$C$11+(B2373-Inputs!$C$69)/Inputs!$C$70,"")</f>
      </c>
      <c r="D2373" s="15"/>
      <c r="E2373" s="15"/>
      <c r="F2373" s="11">
        <f t="shared" si="19"/>
      </c>
      <c r="G2373" s="22" cm="1">
        <f t="array" ref="G2373">IF(AND(Inputs!$C$60,Inputs!$C$61),INDEX(Utility_Rates!$C$29:$F$52,HOUR(C2373)+Inputs!$C$69,MATCH(INDEX(Utility_Rates!$K$6:$K$17,MONTH(C2373))&amp;IF(WEEKDAY(C2373,Inputs!$C$76)&lt;=Inputs!$C$74," weekday"," weekend"),Utility_Rates!$C$28:$F$28,Inputs!$C$68)),"")</f>
      </c>
      <c r="H2373" s="34"/>
      <c r="I2373" s="42">
        <f>IF(AND(ISNUMBER(D2373),ISNUMBER(H2373)),D2373*H2373*Inputs!$C$69,"")</f>
      </c>
      <c r="J2373" s="42">
        <f>IF(AND(ISNUMBER(F2373),ISNUMBER(H2373),F2373&gt;=Inputs!$C$68),F2373*H2373*Inputs!$C$69,"")</f>
      </c>
    </row>
    <row r="2374" spans="2:10" ht="15" customHeight="1" x14ac:dyDescent="0.2">
      <c r="B2374" s="39">
        <f t="shared" si="18"/>
      </c>
      <c r="C2374" s="40">
        <f>IF(Inputs!$C$60,Inputs!$C$11+(B2374-Inputs!$C$69)/Inputs!$C$70,"")</f>
      </c>
      <c r="D2374" s="15"/>
      <c r="E2374" s="15"/>
      <c r="F2374" s="11">
        <f t="shared" si="19"/>
      </c>
      <c r="G2374" s="22" cm="1">
        <f t="array" ref="G2374">IF(AND(Inputs!$C$60,Inputs!$C$61),INDEX(Utility_Rates!$C$29:$F$52,HOUR(C2374)+Inputs!$C$69,MATCH(INDEX(Utility_Rates!$K$6:$K$17,MONTH(C2374))&amp;IF(WEEKDAY(C2374,Inputs!$C$76)&lt;=Inputs!$C$74," weekday"," weekend"),Utility_Rates!$C$28:$F$28,Inputs!$C$68)),"")</f>
      </c>
      <c r="H2374" s="34"/>
      <c r="I2374" s="42">
        <f>IF(AND(ISNUMBER(D2374),ISNUMBER(H2374)),D2374*H2374*Inputs!$C$69,"")</f>
      </c>
      <c r="J2374" s="42">
        <f>IF(AND(ISNUMBER(F2374),ISNUMBER(H2374),F2374&gt;=Inputs!$C$68),F2374*H2374*Inputs!$C$69,"")</f>
      </c>
    </row>
    <row r="2375" spans="2:10" ht="15" customHeight="1" x14ac:dyDescent="0.2">
      <c r="B2375" s="39">
        <f t="shared" si="18"/>
      </c>
      <c r="C2375" s="40">
        <f>IF(Inputs!$C$60,Inputs!$C$11+(B2375-Inputs!$C$69)/Inputs!$C$70,"")</f>
      </c>
      <c r="D2375" s="15"/>
      <c r="E2375" s="15"/>
      <c r="F2375" s="11">
        <f t="shared" si="19"/>
      </c>
      <c r="G2375" s="22" cm="1">
        <f t="array" ref="G2375">IF(AND(Inputs!$C$60,Inputs!$C$61),INDEX(Utility_Rates!$C$29:$F$52,HOUR(C2375)+Inputs!$C$69,MATCH(INDEX(Utility_Rates!$K$6:$K$17,MONTH(C2375))&amp;IF(WEEKDAY(C2375,Inputs!$C$76)&lt;=Inputs!$C$74," weekday"," weekend"),Utility_Rates!$C$28:$F$28,Inputs!$C$68)),"")</f>
      </c>
      <c r="H2375" s="34"/>
      <c r="I2375" s="42">
        <f>IF(AND(ISNUMBER(D2375),ISNUMBER(H2375)),D2375*H2375*Inputs!$C$69,"")</f>
      </c>
      <c r="J2375" s="42">
        <f>IF(AND(ISNUMBER(F2375),ISNUMBER(H2375),F2375&gt;=Inputs!$C$68),F2375*H2375*Inputs!$C$69,"")</f>
      </c>
    </row>
    <row r="2376" spans="2:10" ht="15" customHeight="1" x14ac:dyDescent="0.2">
      <c r="B2376" s="39">
        <f t="shared" si="18"/>
      </c>
      <c r="C2376" s="40">
        <f>IF(Inputs!$C$60,Inputs!$C$11+(B2376-Inputs!$C$69)/Inputs!$C$70,"")</f>
      </c>
      <c r="D2376" s="15"/>
      <c r="E2376" s="15"/>
      <c r="F2376" s="11">
        <f t="shared" si="19"/>
      </c>
      <c r="G2376" s="22" cm="1">
        <f t="array" ref="G2376">IF(AND(Inputs!$C$60,Inputs!$C$61),INDEX(Utility_Rates!$C$29:$F$52,HOUR(C2376)+Inputs!$C$69,MATCH(INDEX(Utility_Rates!$K$6:$K$17,MONTH(C2376))&amp;IF(WEEKDAY(C2376,Inputs!$C$76)&lt;=Inputs!$C$74," weekday"," weekend"),Utility_Rates!$C$28:$F$28,Inputs!$C$68)),"")</f>
      </c>
      <c r="H2376" s="34"/>
      <c r="I2376" s="42">
        <f>IF(AND(ISNUMBER(D2376),ISNUMBER(H2376)),D2376*H2376*Inputs!$C$69,"")</f>
      </c>
      <c r="J2376" s="42">
        <f>IF(AND(ISNUMBER(F2376),ISNUMBER(H2376),F2376&gt;=Inputs!$C$68),F2376*H2376*Inputs!$C$69,"")</f>
      </c>
    </row>
    <row r="2377" spans="2:10" ht="15" customHeight="1" x14ac:dyDescent="0.2">
      <c r="B2377" s="39">
        <f t="shared" si="18"/>
      </c>
      <c r="C2377" s="40">
        <f>IF(Inputs!$C$60,Inputs!$C$11+(B2377-Inputs!$C$69)/Inputs!$C$70,"")</f>
      </c>
      <c r="D2377" s="15"/>
      <c r="E2377" s="15"/>
      <c r="F2377" s="11">
        <f t="shared" si="19"/>
      </c>
      <c r="G2377" s="22" cm="1">
        <f t="array" ref="G2377">IF(AND(Inputs!$C$60,Inputs!$C$61),INDEX(Utility_Rates!$C$29:$F$52,HOUR(C2377)+Inputs!$C$69,MATCH(INDEX(Utility_Rates!$K$6:$K$17,MONTH(C2377))&amp;IF(WEEKDAY(C2377,Inputs!$C$76)&lt;=Inputs!$C$74," weekday"," weekend"),Utility_Rates!$C$28:$F$28,Inputs!$C$68)),"")</f>
      </c>
      <c r="H2377" s="34"/>
      <c r="I2377" s="42">
        <f>IF(AND(ISNUMBER(D2377),ISNUMBER(H2377)),D2377*H2377*Inputs!$C$69,"")</f>
      </c>
      <c r="J2377" s="42">
        <f>IF(AND(ISNUMBER(F2377),ISNUMBER(H2377),F2377&gt;=Inputs!$C$68),F2377*H2377*Inputs!$C$69,"")</f>
      </c>
    </row>
    <row r="2378" spans="2:10" ht="15" customHeight="1" x14ac:dyDescent="0.2">
      <c r="B2378" s="39">
        <f t="shared" si="18"/>
      </c>
      <c r="C2378" s="40">
        <f>IF(Inputs!$C$60,Inputs!$C$11+(B2378-Inputs!$C$69)/Inputs!$C$70,"")</f>
      </c>
      <c r="D2378" s="15"/>
      <c r="E2378" s="15"/>
      <c r="F2378" s="11">
        <f t="shared" si="19"/>
      </c>
      <c r="G2378" s="22" cm="1">
        <f t="array" ref="G2378">IF(AND(Inputs!$C$60,Inputs!$C$61),INDEX(Utility_Rates!$C$29:$F$52,HOUR(C2378)+Inputs!$C$69,MATCH(INDEX(Utility_Rates!$K$6:$K$17,MONTH(C2378))&amp;IF(WEEKDAY(C2378,Inputs!$C$76)&lt;=Inputs!$C$74," weekday"," weekend"),Utility_Rates!$C$28:$F$28,Inputs!$C$68)),"")</f>
      </c>
      <c r="H2378" s="34"/>
      <c r="I2378" s="42">
        <f>IF(AND(ISNUMBER(D2378),ISNUMBER(H2378)),D2378*H2378*Inputs!$C$69,"")</f>
      </c>
      <c r="J2378" s="42">
        <f>IF(AND(ISNUMBER(F2378),ISNUMBER(H2378),F2378&gt;=Inputs!$C$68),F2378*H2378*Inputs!$C$69,"")</f>
      </c>
    </row>
    <row r="2379" spans="2:10" ht="15" customHeight="1" x14ac:dyDescent="0.2">
      <c r="B2379" s="39">
        <f t="shared" si="18"/>
      </c>
      <c r="C2379" s="40">
        <f>IF(Inputs!$C$60,Inputs!$C$11+(B2379-Inputs!$C$69)/Inputs!$C$70,"")</f>
      </c>
      <c r="D2379" s="15"/>
      <c r="E2379" s="15"/>
      <c r="F2379" s="11">
        <f t="shared" si="19"/>
      </c>
      <c r="G2379" s="22" cm="1">
        <f t="array" ref="G2379">IF(AND(Inputs!$C$60,Inputs!$C$61),INDEX(Utility_Rates!$C$29:$F$52,HOUR(C2379)+Inputs!$C$69,MATCH(INDEX(Utility_Rates!$K$6:$K$17,MONTH(C2379))&amp;IF(WEEKDAY(C2379,Inputs!$C$76)&lt;=Inputs!$C$74," weekday"," weekend"),Utility_Rates!$C$28:$F$28,Inputs!$C$68)),"")</f>
      </c>
      <c r="H2379" s="34"/>
      <c r="I2379" s="42">
        <f>IF(AND(ISNUMBER(D2379),ISNUMBER(H2379)),D2379*H2379*Inputs!$C$69,"")</f>
      </c>
      <c r="J2379" s="42">
        <f>IF(AND(ISNUMBER(F2379),ISNUMBER(H2379),F2379&gt;=Inputs!$C$68),F2379*H2379*Inputs!$C$69,"")</f>
      </c>
    </row>
    <row r="2380" spans="2:10" ht="15" customHeight="1" x14ac:dyDescent="0.2">
      <c r="B2380" s="39">
        <f t="shared" si="18"/>
      </c>
      <c r="C2380" s="40">
        <f>IF(Inputs!$C$60,Inputs!$C$11+(B2380-Inputs!$C$69)/Inputs!$C$70,"")</f>
      </c>
      <c r="D2380" s="15"/>
      <c r="E2380" s="15"/>
      <c r="F2380" s="11">
        <f t="shared" si="19"/>
      </c>
      <c r="G2380" s="22" cm="1">
        <f t="array" ref="G2380">IF(AND(Inputs!$C$60,Inputs!$C$61),INDEX(Utility_Rates!$C$29:$F$52,HOUR(C2380)+Inputs!$C$69,MATCH(INDEX(Utility_Rates!$K$6:$K$17,MONTH(C2380))&amp;IF(WEEKDAY(C2380,Inputs!$C$76)&lt;=Inputs!$C$74," weekday"," weekend"),Utility_Rates!$C$28:$F$28,Inputs!$C$68)),"")</f>
      </c>
      <c r="H2380" s="34"/>
      <c r="I2380" s="42">
        <f>IF(AND(ISNUMBER(D2380),ISNUMBER(H2380)),D2380*H2380*Inputs!$C$69,"")</f>
      </c>
      <c r="J2380" s="42">
        <f>IF(AND(ISNUMBER(F2380),ISNUMBER(H2380),F2380&gt;=Inputs!$C$68),F2380*H2380*Inputs!$C$69,"")</f>
      </c>
    </row>
    <row r="2381" spans="2:10" ht="15" customHeight="1" x14ac:dyDescent="0.2">
      <c r="B2381" s="39">
        <f t="shared" si="18"/>
      </c>
      <c r="C2381" s="40">
        <f>IF(Inputs!$C$60,Inputs!$C$11+(B2381-Inputs!$C$69)/Inputs!$C$70,"")</f>
      </c>
      <c r="D2381" s="15"/>
      <c r="E2381" s="15"/>
      <c r="F2381" s="11">
        <f t="shared" si="19"/>
      </c>
      <c r="G2381" s="22" cm="1">
        <f t="array" ref="G2381">IF(AND(Inputs!$C$60,Inputs!$C$61),INDEX(Utility_Rates!$C$29:$F$52,HOUR(C2381)+Inputs!$C$69,MATCH(INDEX(Utility_Rates!$K$6:$K$17,MONTH(C2381))&amp;IF(WEEKDAY(C2381,Inputs!$C$76)&lt;=Inputs!$C$74," weekday"," weekend"),Utility_Rates!$C$28:$F$28,Inputs!$C$68)),"")</f>
      </c>
      <c r="H2381" s="34"/>
      <c r="I2381" s="42">
        <f>IF(AND(ISNUMBER(D2381),ISNUMBER(H2381)),D2381*H2381*Inputs!$C$69,"")</f>
      </c>
      <c r="J2381" s="42">
        <f>IF(AND(ISNUMBER(F2381),ISNUMBER(H2381),F2381&gt;=Inputs!$C$68),F2381*H2381*Inputs!$C$69,"")</f>
      </c>
    </row>
    <row r="2382" spans="2:10" ht="15" customHeight="1" x14ac:dyDescent="0.2">
      <c r="B2382" s="39">
        <f t="shared" si="18"/>
      </c>
      <c r="C2382" s="40">
        <f>IF(Inputs!$C$60,Inputs!$C$11+(B2382-Inputs!$C$69)/Inputs!$C$70,"")</f>
      </c>
      <c r="D2382" s="15"/>
      <c r="E2382" s="15"/>
      <c r="F2382" s="11">
        <f t="shared" si="19"/>
      </c>
      <c r="G2382" s="22" cm="1">
        <f t="array" ref="G2382">IF(AND(Inputs!$C$60,Inputs!$C$61),INDEX(Utility_Rates!$C$29:$F$52,HOUR(C2382)+Inputs!$C$69,MATCH(INDEX(Utility_Rates!$K$6:$K$17,MONTH(C2382))&amp;IF(WEEKDAY(C2382,Inputs!$C$76)&lt;=Inputs!$C$74," weekday"," weekend"),Utility_Rates!$C$28:$F$28,Inputs!$C$68)),"")</f>
      </c>
      <c r="H2382" s="34"/>
      <c r="I2382" s="42">
        <f>IF(AND(ISNUMBER(D2382),ISNUMBER(H2382)),D2382*H2382*Inputs!$C$69,"")</f>
      </c>
      <c r="J2382" s="42">
        <f>IF(AND(ISNUMBER(F2382),ISNUMBER(H2382),F2382&gt;=Inputs!$C$68),F2382*H2382*Inputs!$C$69,"")</f>
      </c>
    </row>
    <row r="2383" spans="2:10" ht="15" customHeight="1" x14ac:dyDescent="0.2">
      <c r="B2383" s="39">
        <f t="shared" si="18"/>
      </c>
      <c r="C2383" s="40">
        <f>IF(Inputs!$C$60,Inputs!$C$11+(B2383-Inputs!$C$69)/Inputs!$C$70,"")</f>
      </c>
      <c r="D2383" s="15"/>
      <c r="E2383" s="15"/>
      <c r="F2383" s="11">
        <f t="shared" si="19"/>
      </c>
      <c r="G2383" s="22" cm="1">
        <f t="array" ref="G2383">IF(AND(Inputs!$C$60,Inputs!$C$61),INDEX(Utility_Rates!$C$29:$F$52,HOUR(C2383)+Inputs!$C$69,MATCH(INDEX(Utility_Rates!$K$6:$K$17,MONTH(C2383))&amp;IF(WEEKDAY(C2383,Inputs!$C$76)&lt;=Inputs!$C$74," weekday"," weekend"),Utility_Rates!$C$28:$F$28,Inputs!$C$68)),"")</f>
      </c>
      <c r="H2383" s="34"/>
      <c r="I2383" s="42">
        <f>IF(AND(ISNUMBER(D2383),ISNUMBER(H2383)),D2383*H2383*Inputs!$C$69,"")</f>
      </c>
      <c r="J2383" s="42">
        <f>IF(AND(ISNUMBER(F2383),ISNUMBER(H2383),F2383&gt;=Inputs!$C$68),F2383*H2383*Inputs!$C$69,"")</f>
      </c>
    </row>
    <row r="2384" spans="2:10" ht="15" customHeight="1" x14ac:dyDescent="0.2">
      <c r="B2384" s="39">
        <f t="shared" si="18"/>
      </c>
      <c r="C2384" s="40">
        <f>IF(Inputs!$C$60,Inputs!$C$11+(B2384-Inputs!$C$69)/Inputs!$C$70,"")</f>
      </c>
      <c r="D2384" s="15"/>
      <c r="E2384" s="15"/>
      <c r="F2384" s="11">
        <f t="shared" si="19"/>
      </c>
      <c r="G2384" s="22" cm="1">
        <f t="array" ref="G2384">IF(AND(Inputs!$C$60,Inputs!$C$61),INDEX(Utility_Rates!$C$29:$F$52,HOUR(C2384)+Inputs!$C$69,MATCH(INDEX(Utility_Rates!$K$6:$K$17,MONTH(C2384))&amp;IF(WEEKDAY(C2384,Inputs!$C$76)&lt;=Inputs!$C$74," weekday"," weekend"),Utility_Rates!$C$28:$F$28,Inputs!$C$68)),"")</f>
      </c>
      <c r="H2384" s="34"/>
      <c r="I2384" s="42">
        <f>IF(AND(ISNUMBER(D2384),ISNUMBER(H2384)),D2384*H2384*Inputs!$C$69,"")</f>
      </c>
      <c r="J2384" s="42">
        <f>IF(AND(ISNUMBER(F2384),ISNUMBER(H2384),F2384&gt;=Inputs!$C$68),F2384*H2384*Inputs!$C$69,"")</f>
      </c>
    </row>
    <row r="2385" spans="2:10" ht="15" customHeight="1" x14ac:dyDescent="0.2">
      <c r="B2385" s="39">
        <f t="shared" si="18"/>
      </c>
      <c r="C2385" s="40">
        <f>IF(Inputs!$C$60,Inputs!$C$11+(B2385-Inputs!$C$69)/Inputs!$C$70,"")</f>
      </c>
      <c r="D2385" s="15"/>
      <c r="E2385" s="15"/>
      <c r="F2385" s="11">
        <f t="shared" si="19"/>
      </c>
      <c r="G2385" s="22" cm="1">
        <f t="array" ref="G2385">IF(AND(Inputs!$C$60,Inputs!$C$61),INDEX(Utility_Rates!$C$29:$F$52,HOUR(C2385)+Inputs!$C$69,MATCH(INDEX(Utility_Rates!$K$6:$K$17,MONTH(C2385))&amp;IF(WEEKDAY(C2385,Inputs!$C$76)&lt;=Inputs!$C$74," weekday"," weekend"),Utility_Rates!$C$28:$F$28,Inputs!$C$68)),"")</f>
      </c>
      <c r="H2385" s="34"/>
      <c r="I2385" s="42">
        <f>IF(AND(ISNUMBER(D2385),ISNUMBER(H2385)),D2385*H2385*Inputs!$C$69,"")</f>
      </c>
      <c r="J2385" s="42">
        <f>IF(AND(ISNUMBER(F2385),ISNUMBER(H2385),F2385&gt;=Inputs!$C$68),F2385*H2385*Inputs!$C$69,"")</f>
      </c>
    </row>
    <row r="2386" spans="2:10" ht="15" customHeight="1" x14ac:dyDescent="0.2">
      <c r="B2386" s="39">
        <f t="shared" si="18"/>
      </c>
      <c r="C2386" s="40">
        <f>IF(Inputs!$C$60,Inputs!$C$11+(B2386-Inputs!$C$69)/Inputs!$C$70,"")</f>
      </c>
      <c r="D2386" s="15"/>
      <c r="E2386" s="15"/>
      <c r="F2386" s="11">
        <f t="shared" si="19"/>
      </c>
      <c r="G2386" s="22" cm="1">
        <f t="array" ref="G2386">IF(AND(Inputs!$C$60,Inputs!$C$61),INDEX(Utility_Rates!$C$29:$F$52,HOUR(C2386)+Inputs!$C$69,MATCH(INDEX(Utility_Rates!$K$6:$K$17,MONTH(C2386))&amp;IF(WEEKDAY(C2386,Inputs!$C$76)&lt;=Inputs!$C$74," weekday"," weekend"),Utility_Rates!$C$28:$F$28,Inputs!$C$68)),"")</f>
      </c>
      <c r="H2386" s="34"/>
      <c r="I2386" s="42">
        <f>IF(AND(ISNUMBER(D2386),ISNUMBER(H2386)),D2386*H2386*Inputs!$C$69,"")</f>
      </c>
      <c r="J2386" s="42">
        <f>IF(AND(ISNUMBER(F2386),ISNUMBER(H2386),F2386&gt;=Inputs!$C$68),F2386*H2386*Inputs!$C$69,"")</f>
      </c>
    </row>
    <row r="2387" spans="2:10" ht="15" customHeight="1" x14ac:dyDescent="0.2">
      <c r="B2387" s="39">
        <f t="shared" si="18"/>
      </c>
      <c r="C2387" s="40">
        <f>IF(Inputs!$C$60,Inputs!$C$11+(B2387-Inputs!$C$69)/Inputs!$C$70,"")</f>
      </c>
      <c r="D2387" s="15"/>
      <c r="E2387" s="15"/>
      <c r="F2387" s="11">
        <f t="shared" si="19"/>
      </c>
      <c r="G2387" s="22" cm="1">
        <f t="array" ref="G2387">IF(AND(Inputs!$C$60,Inputs!$C$61),INDEX(Utility_Rates!$C$29:$F$52,HOUR(C2387)+Inputs!$C$69,MATCH(INDEX(Utility_Rates!$K$6:$K$17,MONTH(C2387))&amp;IF(WEEKDAY(C2387,Inputs!$C$76)&lt;=Inputs!$C$74," weekday"," weekend"),Utility_Rates!$C$28:$F$28,Inputs!$C$68)),"")</f>
      </c>
      <c r="H2387" s="34"/>
      <c r="I2387" s="42">
        <f>IF(AND(ISNUMBER(D2387),ISNUMBER(H2387)),D2387*H2387*Inputs!$C$69,"")</f>
      </c>
      <c r="J2387" s="42">
        <f>IF(AND(ISNUMBER(F2387),ISNUMBER(H2387),F2387&gt;=Inputs!$C$68),F2387*H2387*Inputs!$C$69,"")</f>
      </c>
    </row>
    <row r="2388" spans="2:10" ht="15" customHeight="1" x14ac:dyDescent="0.2">
      <c r="B2388" s="39">
        <f t="shared" si="18"/>
      </c>
      <c r="C2388" s="40">
        <f>IF(Inputs!$C$60,Inputs!$C$11+(B2388-Inputs!$C$69)/Inputs!$C$70,"")</f>
      </c>
      <c r="D2388" s="15"/>
      <c r="E2388" s="15"/>
      <c r="F2388" s="11">
        <f t="shared" si="19"/>
      </c>
      <c r="G2388" s="22" cm="1">
        <f t="array" ref="G2388">IF(AND(Inputs!$C$60,Inputs!$C$61),INDEX(Utility_Rates!$C$29:$F$52,HOUR(C2388)+Inputs!$C$69,MATCH(INDEX(Utility_Rates!$K$6:$K$17,MONTH(C2388))&amp;IF(WEEKDAY(C2388,Inputs!$C$76)&lt;=Inputs!$C$74," weekday"," weekend"),Utility_Rates!$C$28:$F$28,Inputs!$C$68)),"")</f>
      </c>
      <c r="H2388" s="34"/>
      <c r="I2388" s="42">
        <f>IF(AND(ISNUMBER(D2388),ISNUMBER(H2388)),D2388*H2388*Inputs!$C$69,"")</f>
      </c>
      <c r="J2388" s="42">
        <f>IF(AND(ISNUMBER(F2388),ISNUMBER(H2388),F2388&gt;=Inputs!$C$68),F2388*H2388*Inputs!$C$69,"")</f>
      </c>
    </row>
    <row r="2389" spans="2:10" ht="15" customHeight="1" x14ac:dyDescent="0.2">
      <c r="B2389" s="39">
        <f t="shared" si="18"/>
      </c>
      <c r="C2389" s="40">
        <f>IF(Inputs!$C$60,Inputs!$C$11+(B2389-Inputs!$C$69)/Inputs!$C$70,"")</f>
      </c>
      <c r="D2389" s="15"/>
      <c r="E2389" s="15"/>
      <c r="F2389" s="11">
        <f t="shared" si="19"/>
      </c>
      <c r="G2389" s="22" cm="1">
        <f t="array" ref="G2389">IF(AND(Inputs!$C$60,Inputs!$C$61),INDEX(Utility_Rates!$C$29:$F$52,HOUR(C2389)+Inputs!$C$69,MATCH(INDEX(Utility_Rates!$K$6:$K$17,MONTH(C2389))&amp;IF(WEEKDAY(C2389,Inputs!$C$76)&lt;=Inputs!$C$74," weekday"," weekend"),Utility_Rates!$C$28:$F$28,Inputs!$C$68)),"")</f>
      </c>
      <c r="H2389" s="34"/>
      <c r="I2389" s="42">
        <f>IF(AND(ISNUMBER(D2389),ISNUMBER(H2389)),D2389*H2389*Inputs!$C$69,"")</f>
      </c>
      <c r="J2389" s="42">
        <f>IF(AND(ISNUMBER(F2389),ISNUMBER(H2389),F2389&gt;=Inputs!$C$68),F2389*H2389*Inputs!$C$69,"")</f>
      </c>
    </row>
    <row r="2390" spans="2:10" ht="15" customHeight="1" x14ac:dyDescent="0.2">
      <c r="B2390" s="39">
        <f t="shared" si="18"/>
      </c>
      <c r="C2390" s="40">
        <f>IF(Inputs!$C$60,Inputs!$C$11+(B2390-Inputs!$C$69)/Inputs!$C$70,"")</f>
      </c>
      <c r="D2390" s="15"/>
      <c r="E2390" s="15"/>
      <c r="F2390" s="11">
        <f t="shared" si="19"/>
      </c>
      <c r="G2390" s="22" cm="1">
        <f t="array" ref="G2390">IF(AND(Inputs!$C$60,Inputs!$C$61),INDEX(Utility_Rates!$C$29:$F$52,HOUR(C2390)+Inputs!$C$69,MATCH(INDEX(Utility_Rates!$K$6:$K$17,MONTH(C2390))&amp;IF(WEEKDAY(C2390,Inputs!$C$76)&lt;=Inputs!$C$74," weekday"," weekend"),Utility_Rates!$C$28:$F$28,Inputs!$C$68)),"")</f>
      </c>
      <c r="H2390" s="34"/>
      <c r="I2390" s="42">
        <f>IF(AND(ISNUMBER(D2390),ISNUMBER(H2390)),D2390*H2390*Inputs!$C$69,"")</f>
      </c>
      <c r="J2390" s="42">
        <f>IF(AND(ISNUMBER(F2390),ISNUMBER(H2390),F2390&gt;=Inputs!$C$68),F2390*H2390*Inputs!$C$69,"")</f>
      </c>
    </row>
    <row r="2391" spans="2:10" ht="15" customHeight="1" x14ac:dyDescent="0.2">
      <c r="B2391" s="39">
        <f t="shared" si="18"/>
      </c>
      <c r="C2391" s="40">
        <f>IF(Inputs!$C$60,Inputs!$C$11+(B2391-Inputs!$C$69)/Inputs!$C$70,"")</f>
      </c>
      <c r="D2391" s="15"/>
      <c r="E2391" s="15"/>
      <c r="F2391" s="11">
        <f t="shared" si="19"/>
      </c>
      <c r="G2391" s="22" cm="1">
        <f t="array" ref="G2391">IF(AND(Inputs!$C$60,Inputs!$C$61),INDEX(Utility_Rates!$C$29:$F$52,HOUR(C2391)+Inputs!$C$69,MATCH(INDEX(Utility_Rates!$K$6:$K$17,MONTH(C2391))&amp;IF(WEEKDAY(C2391,Inputs!$C$76)&lt;=Inputs!$C$74," weekday"," weekend"),Utility_Rates!$C$28:$F$28,Inputs!$C$68)),"")</f>
      </c>
      <c r="H2391" s="34"/>
      <c r="I2391" s="42">
        <f>IF(AND(ISNUMBER(D2391),ISNUMBER(H2391)),D2391*H2391*Inputs!$C$69,"")</f>
      </c>
      <c r="J2391" s="42">
        <f>IF(AND(ISNUMBER(F2391),ISNUMBER(H2391),F2391&gt;=Inputs!$C$68),F2391*H2391*Inputs!$C$69,"")</f>
      </c>
    </row>
    <row r="2392" spans="2:10" ht="15" customHeight="1" x14ac:dyDescent="0.2">
      <c r="B2392" s="39">
        <f t="shared" si="18"/>
      </c>
      <c r="C2392" s="40">
        <f>IF(Inputs!$C$60,Inputs!$C$11+(B2392-Inputs!$C$69)/Inputs!$C$70,"")</f>
      </c>
      <c r="D2392" s="15"/>
      <c r="E2392" s="15"/>
      <c r="F2392" s="11">
        <f t="shared" si="19"/>
      </c>
      <c r="G2392" s="22" cm="1">
        <f t="array" ref="G2392">IF(AND(Inputs!$C$60,Inputs!$C$61),INDEX(Utility_Rates!$C$29:$F$52,HOUR(C2392)+Inputs!$C$69,MATCH(INDEX(Utility_Rates!$K$6:$K$17,MONTH(C2392))&amp;IF(WEEKDAY(C2392,Inputs!$C$76)&lt;=Inputs!$C$74," weekday"," weekend"),Utility_Rates!$C$28:$F$28,Inputs!$C$68)),"")</f>
      </c>
      <c r="H2392" s="34"/>
      <c r="I2392" s="42">
        <f>IF(AND(ISNUMBER(D2392),ISNUMBER(H2392)),D2392*H2392*Inputs!$C$69,"")</f>
      </c>
      <c r="J2392" s="42">
        <f>IF(AND(ISNUMBER(F2392),ISNUMBER(H2392),F2392&gt;=Inputs!$C$68),F2392*H2392*Inputs!$C$69,"")</f>
      </c>
    </row>
    <row r="2393" spans="2:10" ht="15" customHeight="1" x14ac:dyDescent="0.2">
      <c r="B2393" s="39">
        <f t="shared" si="18"/>
      </c>
      <c r="C2393" s="40">
        <f>IF(Inputs!$C$60,Inputs!$C$11+(B2393-Inputs!$C$69)/Inputs!$C$70,"")</f>
      </c>
      <c r="D2393" s="15"/>
      <c r="E2393" s="15"/>
      <c r="F2393" s="11">
        <f t="shared" si="19"/>
      </c>
      <c r="G2393" s="22" cm="1">
        <f t="array" ref="G2393">IF(AND(Inputs!$C$60,Inputs!$C$61),INDEX(Utility_Rates!$C$29:$F$52,HOUR(C2393)+Inputs!$C$69,MATCH(INDEX(Utility_Rates!$K$6:$K$17,MONTH(C2393))&amp;IF(WEEKDAY(C2393,Inputs!$C$76)&lt;=Inputs!$C$74," weekday"," weekend"),Utility_Rates!$C$28:$F$28,Inputs!$C$68)),"")</f>
      </c>
      <c r="H2393" s="34"/>
      <c r="I2393" s="42">
        <f>IF(AND(ISNUMBER(D2393),ISNUMBER(H2393)),D2393*H2393*Inputs!$C$69,"")</f>
      </c>
      <c r="J2393" s="42">
        <f>IF(AND(ISNUMBER(F2393),ISNUMBER(H2393),F2393&gt;=Inputs!$C$68),F2393*H2393*Inputs!$C$69,"")</f>
      </c>
    </row>
    <row r="2394" spans="2:10" ht="15" customHeight="1" x14ac:dyDescent="0.2">
      <c r="B2394" s="39">
        <f t="shared" si="18"/>
      </c>
      <c r="C2394" s="40">
        <f>IF(Inputs!$C$60,Inputs!$C$11+(B2394-Inputs!$C$69)/Inputs!$C$70,"")</f>
      </c>
      <c r="D2394" s="15"/>
      <c r="E2394" s="15"/>
      <c r="F2394" s="11">
        <f t="shared" si="19"/>
      </c>
      <c r="G2394" s="22" cm="1">
        <f t="array" ref="G2394">IF(AND(Inputs!$C$60,Inputs!$C$61),INDEX(Utility_Rates!$C$29:$F$52,HOUR(C2394)+Inputs!$C$69,MATCH(INDEX(Utility_Rates!$K$6:$K$17,MONTH(C2394))&amp;IF(WEEKDAY(C2394,Inputs!$C$76)&lt;=Inputs!$C$74," weekday"," weekend"),Utility_Rates!$C$28:$F$28,Inputs!$C$68)),"")</f>
      </c>
      <c r="H2394" s="34"/>
      <c r="I2394" s="42">
        <f>IF(AND(ISNUMBER(D2394),ISNUMBER(H2394)),D2394*H2394*Inputs!$C$69,"")</f>
      </c>
      <c r="J2394" s="42">
        <f>IF(AND(ISNUMBER(F2394),ISNUMBER(H2394),F2394&gt;=Inputs!$C$68),F2394*H2394*Inputs!$C$69,"")</f>
      </c>
    </row>
    <row r="2395" spans="2:10" ht="15" customHeight="1" x14ac:dyDescent="0.2">
      <c r="B2395" s="39">
        <f t="shared" si="18"/>
      </c>
      <c r="C2395" s="40">
        <f>IF(Inputs!$C$60,Inputs!$C$11+(B2395-Inputs!$C$69)/Inputs!$C$70,"")</f>
      </c>
      <c r="D2395" s="15"/>
      <c r="E2395" s="15"/>
      <c r="F2395" s="11">
        <f t="shared" si="19"/>
      </c>
      <c r="G2395" s="22" cm="1">
        <f t="array" ref="G2395">IF(AND(Inputs!$C$60,Inputs!$C$61),INDEX(Utility_Rates!$C$29:$F$52,HOUR(C2395)+Inputs!$C$69,MATCH(INDEX(Utility_Rates!$K$6:$K$17,MONTH(C2395))&amp;IF(WEEKDAY(C2395,Inputs!$C$76)&lt;=Inputs!$C$74," weekday"," weekend"),Utility_Rates!$C$28:$F$28,Inputs!$C$68)),"")</f>
      </c>
      <c r="H2395" s="34"/>
      <c r="I2395" s="42">
        <f>IF(AND(ISNUMBER(D2395),ISNUMBER(H2395)),D2395*H2395*Inputs!$C$69,"")</f>
      </c>
      <c r="J2395" s="42">
        <f>IF(AND(ISNUMBER(F2395),ISNUMBER(H2395),F2395&gt;=Inputs!$C$68),F2395*H2395*Inputs!$C$69,"")</f>
      </c>
    </row>
    <row r="2396" spans="2:10" ht="15" customHeight="1" x14ac:dyDescent="0.2">
      <c r="B2396" s="39">
        <f t="shared" si="18"/>
      </c>
      <c r="C2396" s="40">
        <f>IF(Inputs!$C$60,Inputs!$C$11+(B2396-Inputs!$C$69)/Inputs!$C$70,"")</f>
      </c>
      <c r="D2396" s="15"/>
      <c r="E2396" s="15"/>
      <c r="F2396" s="11">
        <f t="shared" si="19"/>
      </c>
      <c r="G2396" s="22" cm="1">
        <f t="array" ref="G2396">IF(AND(Inputs!$C$60,Inputs!$C$61),INDEX(Utility_Rates!$C$29:$F$52,HOUR(C2396)+Inputs!$C$69,MATCH(INDEX(Utility_Rates!$K$6:$K$17,MONTH(C2396))&amp;IF(WEEKDAY(C2396,Inputs!$C$76)&lt;=Inputs!$C$74," weekday"," weekend"),Utility_Rates!$C$28:$F$28,Inputs!$C$68)),"")</f>
      </c>
      <c r="H2396" s="34"/>
      <c r="I2396" s="42">
        <f>IF(AND(ISNUMBER(D2396),ISNUMBER(H2396)),D2396*H2396*Inputs!$C$69,"")</f>
      </c>
      <c r="J2396" s="42">
        <f>IF(AND(ISNUMBER(F2396),ISNUMBER(H2396),F2396&gt;=Inputs!$C$68),F2396*H2396*Inputs!$C$69,"")</f>
      </c>
    </row>
    <row r="2397" spans="2:10" ht="15" customHeight="1" x14ac:dyDescent="0.2">
      <c r="B2397" s="39">
        <f t="shared" si="18"/>
      </c>
      <c r="C2397" s="40">
        <f>IF(Inputs!$C$60,Inputs!$C$11+(B2397-Inputs!$C$69)/Inputs!$C$70,"")</f>
      </c>
      <c r="D2397" s="15"/>
      <c r="E2397" s="15"/>
      <c r="F2397" s="11">
        <f t="shared" si="19"/>
      </c>
      <c r="G2397" s="22" cm="1">
        <f t="array" ref="G2397">IF(AND(Inputs!$C$60,Inputs!$C$61),INDEX(Utility_Rates!$C$29:$F$52,HOUR(C2397)+Inputs!$C$69,MATCH(INDEX(Utility_Rates!$K$6:$K$17,MONTH(C2397))&amp;IF(WEEKDAY(C2397,Inputs!$C$76)&lt;=Inputs!$C$74," weekday"," weekend"),Utility_Rates!$C$28:$F$28,Inputs!$C$68)),"")</f>
      </c>
      <c r="H2397" s="34"/>
      <c r="I2397" s="42">
        <f>IF(AND(ISNUMBER(D2397),ISNUMBER(H2397)),D2397*H2397*Inputs!$C$69,"")</f>
      </c>
      <c r="J2397" s="42">
        <f>IF(AND(ISNUMBER(F2397),ISNUMBER(H2397),F2397&gt;=Inputs!$C$68),F2397*H2397*Inputs!$C$69,"")</f>
      </c>
    </row>
    <row r="2398" spans="2:10" ht="15" customHeight="1" x14ac:dyDescent="0.2">
      <c r="B2398" s="39">
        <f t="shared" si="18"/>
      </c>
      <c r="C2398" s="40">
        <f>IF(Inputs!$C$60,Inputs!$C$11+(B2398-Inputs!$C$69)/Inputs!$C$70,"")</f>
      </c>
      <c r="D2398" s="15"/>
      <c r="E2398" s="15"/>
      <c r="F2398" s="11">
        <f t="shared" si="19"/>
      </c>
      <c r="G2398" s="22" cm="1">
        <f t="array" ref="G2398">IF(AND(Inputs!$C$60,Inputs!$C$61),INDEX(Utility_Rates!$C$29:$F$52,HOUR(C2398)+Inputs!$C$69,MATCH(INDEX(Utility_Rates!$K$6:$K$17,MONTH(C2398))&amp;IF(WEEKDAY(C2398,Inputs!$C$76)&lt;=Inputs!$C$74," weekday"," weekend"),Utility_Rates!$C$28:$F$28,Inputs!$C$68)),"")</f>
      </c>
      <c r="H2398" s="34"/>
      <c r="I2398" s="42">
        <f>IF(AND(ISNUMBER(D2398),ISNUMBER(H2398)),D2398*H2398*Inputs!$C$69,"")</f>
      </c>
      <c r="J2398" s="42">
        <f>IF(AND(ISNUMBER(F2398),ISNUMBER(H2398),F2398&gt;=Inputs!$C$68),F2398*H2398*Inputs!$C$69,"")</f>
      </c>
    </row>
    <row r="2399" spans="2:10" ht="15" customHeight="1" x14ac:dyDescent="0.2">
      <c r="B2399" s="39">
        <f t="shared" si="18"/>
      </c>
      <c r="C2399" s="40">
        <f>IF(Inputs!$C$60,Inputs!$C$11+(B2399-Inputs!$C$69)/Inputs!$C$70,"")</f>
      </c>
      <c r="D2399" s="15"/>
      <c r="E2399" s="15"/>
      <c r="F2399" s="11">
        <f t="shared" si="19"/>
      </c>
      <c r="G2399" s="22" cm="1">
        <f t="array" ref="G2399">IF(AND(Inputs!$C$60,Inputs!$C$61),INDEX(Utility_Rates!$C$29:$F$52,HOUR(C2399)+Inputs!$C$69,MATCH(INDEX(Utility_Rates!$K$6:$K$17,MONTH(C2399))&amp;IF(WEEKDAY(C2399,Inputs!$C$76)&lt;=Inputs!$C$74," weekday"," weekend"),Utility_Rates!$C$28:$F$28,Inputs!$C$68)),"")</f>
      </c>
      <c r="H2399" s="34"/>
      <c r="I2399" s="42">
        <f>IF(AND(ISNUMBER(D2399),ISNUMBER(H2399)),D2399*H2399*Inputs!$C$69,"")</f>
      </c>
      <c r="J2399" s="42">
        <f>IF(AND(ISNUMBER(F2399),ISNUMBER(H2399),F2399&gt;=Inputs!$C$68),F2399*H2399*Inputs!$C$69,"")</f>
      </c>
    </row>
    <row r="2400" spans="2:10" ht="15" customHeight="1" x14ac:dyDescent="0.2">
      <c r="B2400" s="39">
        <f t="shared" si="18"/>
      </c>
      <c r="C2400" s="40">
        <f>IF(Inputs!$C$60,Inputs!$C$11+(B2400-Inputs!$C$69)/Inputs!$C$70,"")</f>
      </c>
      <c r="D2400" s="15"/>
      <c r="E2400" s="15"/>
      <c r="F2400" s="11">
        <f t="shared" si="19"/>
      </c>
      <c r="G2400" s="22" cm="1">
        <f t="array" ref="G2400">IF(AND(Inputs!$C$60,Inputs!$C$61),INDEX(Utility_Rates!$C$29:$F$52,HOUR(C2400)+Inputs!$C$69,MATCH(INDEX(Utility_Rates!$K$6:$K$17,MONTH(C2400))&amp;IF(WEEKDAY(C2400,Inputs!$C$76)&lt;=Inputs!$C$74," weekday"," weekend"),Utility_Rates!$C$28:$F$28,Inputs!$C$68)),"")</f>
      </c>
      <c r="H2400" s="34"/>
      <c r="I2400" s="42">
        <f>IF(AND(ISNUMBER(D2400),ISNUMBER(H2400)),D2400*H2400*Inputs!$C$69,"")</f>
      </c>
      <c r="J2400" s="42">
        <f>IF(AND(ISNUMBER(F2400),ISNUMBER(H2400),F2400&gt;=Inputs!$C$68),F2400*H2400*Inputs!$C$69,"")</f>
      </c>
    </row>
    <row r="2401" spans="2:10" ht="15" customHeight="1" x14ac:dyDescent="0.2">
      <c r="B2401" s="39">
        <f t="shared" si="18"/>
      </c>
      <c r="C2401" s="40">
        <f>IF(Inputs!$C$60,Inputs!$C$11+(B2401-Inputs!$C$69)/Inputs!$C$70,"")</f>
      </c>
      <c r="D2401" s="15"/>
      <c r="E2401" s="15"/>
      <c r="F2401" s="11">
        <f t="shared" si="19"/>
      </c>
      <c r="G2401" s="22" cm="1">
        <f t="array" ref="G2401">IF(AND(Inputs!$C$60,Inputs!$C$61),INDEX(Utility_Rates!$C$29:$F$52,HOUR(C2401)+Inputs!$C$69,MATCH(INDEX(Utility_Rates!$K$6:$K$17,MONTH(C2401))&amp;IF(WEEKDAY(C2401,Inputs!$C$76)&lt;=Inputs!$C$74," weekday"," weekend"),Utility_Rates!$C$28:$F$28,Inputs!$C$68)),"")</f>
      </c>
      <c r="H2401" s="34"/>
      <c r="I2401" s="42">
        <f>IF(AND(ISNUMBER(D2401),ISNUMBER(H2401)),D2401*H2401*Inputs!$C$69,"")</f>
      </c>
      <c r="J2401" s="42">
        <f>IF(AND(ISNUMBER(F2401),ISNUMBER(H2401),F2401&gt;=Inputs!$C$68),F2401*H2401*Inputs!$C$69,"")</f>
      </c>
    </row>
    <row r="2402" spans="2:10" ht="15" customHeight="1" x14ac:dyDescent="0.2">
      <c r="B2402" s="39">
        <f t="shared" si="18"/>
      </c>
      <c r="C2402" s="40">
        <f>IF(Inputs!$C$60,Inputs!$C$11+(B2402-Inputs!$C$69)/Inputs!$C$70,"")</f>
      </c>
      <c r="D2402" s="15"/>
      <c r="E2402" s="15"/>
      <c r="F2402" s="11">
        <f t="shared" si="19"/>
      </c>
      <c r="G2402" s="22" cm="1">
        <f t="array" ref="G2402">IF(AND(Inputs!$C$60,Inputs!$C$61),INDEX(Utility_Rates!$C$29:$F$52,HOUR(C2402)+Inputs!$C$69,MATCH(INDEX(Utility_Rates!$K$6:$K$17,MONTH(C2402))&amp;IF(WEEKDAY(C2402,Inputs!$C$76)&lt;=Inputs!$C$74," weekday"," weekend"),Utility_Rates!$C$28:$F$28,Inputs!$C$68)),"")</f>
      </c>
      <c r="H2402" s="34"/>
      <c r="I2402" s="42">
        <f>IF(AND(ISNUMBER(D2402),ISNUMBER(H2402)),D2402*H2402*Inputs!$C$69,"")</f>
      </c>
      <c r="J2402" s="42">
        <f>IF(AND(ISNUMBER(F2402),ISNUMBER(H2402),F2402&gt;=Inputs!$C$68),F2402*H2402*Inputs!$C$69,"")</f>
      </c>
    </row>
    <row r="2403" spans="2:10" ht="15" customHeight="1" x14ac:dyDescent="0.2">
      <c r="B2403" s="39">
        <f t="shared" si="18"/>
      </c>
      <c r="C2403" s="40">
        <f>IF(Inputs!$C$60,Inputs!$C$11+(B2403-Inputs!$C$69)/Inputs!$C$70,"")</f>
      </c>
      <c r="D2403" s="15"/>
      <c r="E2403" s="15"/>
      <c r="F2403" s="11">
        <f t="shared" si="19"/>
      </c>
      <c r="G2403" s="22" cm="1">
        <f t="array" ref="G2403">IF(AND(Inputs!$C$60,Inputs!$C$61),INDEX(Utility_Rates!$C$29:$F$52,HOUR(C2403)+Inputs!$C$69,MATCH(INDEX(Utility_Rates!$K$6:$K$17,MONTH(C2403))&amp;IF(WEEKDAY(C2403,Inputs!$C$76)&lt;=Inputs!$C$74," weekday"," weekend"),Utility_Rates!$C$28:$F$28,Inputs!$C$68)),"")</f>
      </c>
      <c r="H2403" s="34"/>
      <c r="I2403" s="42">
        <f>IF(AND(ISNUMBER(D2403),ISNUMBER(H2403)),D2403*H2403*Inputs!$C$69,"")</f>
      </c>
      <c r="J2403" s="42">
        <f>IF(AND(ISNUMBER(F2403),ISNUMBER(H2403),F2403&gt;=Inputs!$C$68),F2403*H2403*Inputs!$C$69,"")</f>
      </c>
    </row>
    <row r="2404" spans="2:10" ht="15" customHeight="1" x14ac:dyDescent="0.2">
      <c r="B2404" s="39">
        <f t="shared" si="18"/>
      </c>
      <c r="C2404" s="40">
        <f>IF(Inputs!$C$60,Inputs!$C$11+(B2404-Inputs!$C$69)/Inputs!$C$70,"")</f>
      </c>
      <c r="D2404" s="15"/>
      <c r="E2404" s="15"/>
      <c r="F2404" s="11">
        <f t="shared" si="19"/>
      </c>
      <c r="G2404" s="22" cm="1">
        <f t="array" ref="G2404">IF(AND(Inputs!$C$60,Inputs!$C$61),INDEX(Utility_Rates!$C$29:$F$52,HOUR(C2404)+Inputs!$C$69,MATCH(INDEX(Utility_Rates!$K$6:$K$17,MONTH(C2404))&amp;IF(WEEKDAY(C2404,Inputs!$C$76)&lt;=Inputs!$C$74," weekday"," weekend"),Utility_Rates!$C$28:$F$28,Inputs!$C$68)),"")</f>
      </c>
      <c r="H2404" s="34"/>
      <c r="I2404" s="42">
        <f>IF(AND(ISNUMBER(D2404),ISNUMBER(H2404)),D2404*H2404*Inputs!$C$69,"")</f>
      </c>
      <c r="J2404" s="42">
        <f>IF(AND(ISNUMBER(F2404),ISNUMBER(H2404),F2404&gt;=Inputs!$C$68),F2404*H2404*Inputs!$C$69,"")</f>
      </c>
    </row>
    <row r="2405" spans="2:10" ht="15" customHeight="1" x14ac:dyDescent="0.2">
      <c r="B2405" s="39">
        <f t="shared" si="18"/>
      </c>
      <c r="C2405" s="40">
        <f>IF(Inputs!$C$60,Inputs!$C$11+(B2405-Inputs!$C$69)/Inputs!$C$70,"")</f>
      </c>
      <c r="D2405" s="15"/>
      <c r="E2405" s="15"/>
      <c r="F2405" s="11">
        <f t="shared" si="19"/>
      </c>
      <c r="G2405" s="22" cm="1">
        <f t="array" ref="G2405">IF(AND(Inputs!$C$60,Inputs!$C$61),INDEX(Utility_Rates!$C$29:$F$52,HOUR(C2405)+Inputs!$C$69,MATCH(INDEX(Utility_Rates!$K$6:$K$17,MONTH(C2405))&amp;IF(WEEKDAY(C2405,Inputs!$C$76)&lt;=Inputs!$C$74," weekday"," weekend"),Utility_Rates!$C$28:$F$28,Inputs!$C$68)),"")</f>
      </c>
      <c r="H2405" s="34"/>
      <c r="I2405" s="42">
        <f>IF(AND(ISNUMBER(D2405),ISNUMBER(H2405)),D2405*H2405*Inputs!$C$69,"")</f>
      </c>
      <c r="J2405" s="42">
        <f>IF(AND(ISNUMBER(F2405),ISNUMBER(H2405),F2405&gt;=Inputs!$C$68),F2405*H2405*Inputs!$C$69,"")</f>
      </c>
    </row>
    <row r="2406" spans="2:10" ht="15" customHeight="1" x14ac:dyDescent="0.2">
      <c r="B2406" s="39">
        <f t="shared" si="18"/>
      </c>
      <c r="C2406" s="40">
        <f>IF(Inputs!$C$60,Inputs!$C$11+(B2406-Inputs!$C$69)/Inputs!$C$70,"")</f>
      </c>
      <c r="D2406" s="15"/>
      <c r="E2406" s="15"/>
      <c r="F2406" s="11">
        <f t="shared" si="19"/>
      </c>
      <c r="G2406" s="22" cm="1">
        <f t="array" ref="G2406">IF(AND(Inputs!$C$60,Inputs!$C$61),INDEX(Utility_Rates!$C$29:$F$52,HOUR(C2406)+Inputs!$C$69,MATCH(INDEX(Utility_Rates!$K$6:$K$17,MONTH(C2406))&amp;IF(WEEKDAY(C2406,Inputs!$C$76)&lt;=Inputs!$C$74," weekday"," weekend"),Utility_Rates!$C$28:$F$28,Inputs!$C$68)),"")</f>
      </c>
      <c r="H2406" s="34"/>
      <c r="I2406" s="42">
        <f>IF(AND(ISNUMBER(D2406),ISNUMBER(H2406)),D2406*H2406*Inputs!$C$69,"")</f>
      </c>
      <c r="J2406" s="42">
        <f>IF(AND(ISNUMBER(F2406),ISNUMBER(H2406),F2406&gt;=Inputs!$C$68),F2406*H2406*Inputs!$C$69,"")</f>
      </c>
    </row>
    <row r="2407" spans="2:10" ht="15" customHeight="1" x14ac:dyDescent="0.2">
      <c r="B2407" s="39">
        <f t="shared" si="18"/>
      </c>
      <c r="C2407" s="40">
        <f>IF(Inputs!$C$60,Inputs!$C$11+(B2407-Inputs!$C$69)/Inputs!$C$70,"")</f>
      </c>
      <c r="D2407" s="15"/>
      <c r="E2407" s="15"/>
      <c r="F2407" s="11">
        <f t="shared" si="19"/>
      </c>
      <c r="G2407" s="22" cm="1">
        <f t="array" ref="G2407">IF(AND(Inputs!$C$60,Inputs!$C$61),INDEX(Utility_Rates!$C$29:$F$52,HOUR(C2407)+Inputs!$C$69,MATCH(INDEX(Utility_Rates!$K$6:$K$17,MONTH(C2407))&amp;IF(WEEKDAY(C2407,Inputs!$C$76)&lt;=Inputs!$C$74," weekday"," weekend"),Utility_Rates!$C$28:$F$28,Inputs!$C$68)),"")</f>
      </c>
      <c r="H2407" s="34"/>
      <c r="I2407" s="42">
        <f>IF(AND(ISNUMBER(D2407),ISNUMBER(H2407)),D2407*H2407*Inputs!$C$69,"")</f>
      </c>
      <c r="J2407" s="42">
        <f>IF(AND(ISNUMBER(F2407),ISNUMBER(H2407),F2407&gt;=Inputs!$C$68),F2407*H2407*Inputs!$C$69,"")</f>
      </c>
    </row>
    <row r="2408" spans="2:10" ht="15" customHeight="1" x14ac:dyDescent="0.2">
      <c r="B2408" s="39">
        <f t="shared" si="18"/>
      </c>
      <c r="C2408" s="40">
        <f>IF(Inputs!$C$60,Inputs!$C$11+(B2408-Inputs!$C$69)/Inputs!$C$70,"")</f>
      </c>
      <c r="D2408" s="15"/>
      <c r="E2408" s="15"/>
      <c r="F2408" s="11">
        <f t="shared" si="19"/>
      </c>
      <c r="G2408" s="22" cm="1">
        <f t="array" ref="G2408">IF(AND(Inputs!$C$60,Inputs!$C$61),INDEX(Utility_Rates!$C$29:$F$52,HOUR(C2408)+Inputs!$C$69,MATCH(INDEX(Utility_Rates!$K$6:$K$17,MONTH(C2408))&amp;IF(WEEKDAY(C2408,Inputs!$C$76)&lt;=Inputs!$C$74," weekday"," weekend"),Utility_Rates!$C$28:$F$28,Inputs!$C$68)),"")</f>
      </c>
      <c r="H2408" s="34"/>
      <c r="I2408" s="42">
        <f>IF(AND(ISNUMBER(D2408),ISNUMBER(H2408)),D2408*H2408*Inputs!$C$69,"")</f>
      </c>
      <c r="J2408" s="42">
        <f>IF(AND(ISNUMBER(F2408),ISNUMBER(H2408),F2408&gt;=Inputs!$C$68),F2408*H2408*Inputs!$C$69,"")</f>
      </c>
    </row>
    <row r="2409" spans="2:10" ht="15" customHeight="1" x14ac:dyDescent="0.2">
      <c r="B2409" s="39">
        <f t="shared" si="18"/>
      </c>
      <c r="C2409" s="40">
        <f>IF(Inputs!$C$60,Inputs!$C$11+(B2409-Inputs!$C$69)/Inputs!$C$70,"")</f>
      </c>
      <c r="D2409" s="15"/>
      <c r="E2409" s="15"/>
      <c r="F2409" s="11">
        <f t="shared" si="19"/>
      </c>
      <c r="G2409" s="22" cm="1">
        <f t="array" ref="G2409">IF(AND(Inputs!$C$60,Inputs!$C$61),INDEX(Utility_Rates!$C$29:$F$52,HOUR(C2409)+Inputs!$C$69,MATCH(INDEX(Utility_Rates!$K$6:$K$17,MONTH(C2409))&amp;IF(WEEKDAY(C2409,Inputs!$C$76)&lt;=Inputs!$C$74," weekday"," weekend"),Utility_Rates!$C$28:$F$28,Inputs!$C$68)),"")</f>
      </c>
      <c r="H2409" s="34"/>
      <c r="I2409" s="42">
        <f>IF(AND(ISNUMBER(D2409),ISNUMBER(H2409)),D2409*H2409*Inputs!$C$69,"")</f>
      </c>
      <c r="J2409" s="42">
        <f>IF(AND(ISNUMBER(F2409),ISNUMBER(H2409),F2409&gt;=Inputs!$C$68),F2409*H2409*Inputs!$C$69,"")</f>
      </c>
    </row>
    <row r="2410" spans="2:10" ht="15" customHeight="1" x14ac:dyDescent="0.2">
      <c r="B2410" s="39">
        <f t="shared" si="18"/>
      </c>
      <c r="C2410" s="40">
        <f>IF(Inputs!$C$60,Inputs!$C$11+(B2410-Inputs!$C$69)/Inputs!$C$70,"")</f>
      </c>
      <c r="D2410" s="15"/>
      <c r="E2410" s="15"/>
      <c r="F2410" s="11">
        <f t="shared" si="19"/>
      </c>
      <c r="G2410" s="22" cm="1">
        <f t="array" ref="G2410">IF(AND(Inputs!$C$60,Inputs!$C$61),INDEX(Utility_Rates!$C$29:$F$52,HOUR(C2410)+Inputs!$C$69,MATCH(INDEX(Utility_Rates!$K$6:$K$17,MONTH(C2410))&amp;IF(WEEKDAY(C2410,Inputs!$C$76)&lt;=Inputs!$C$74," weekday"," weekend"),Utility_Rates!$C$28:$F$28,Inputs!$C$68)),"")</f>
      </c>
      <c r="H2410" s="34"/>
      <c r="I2410" s="42">
        <f>IF(AND(ISNUMBER(D2410),ISNUMBER(H2410)),D2410*H2410*Inputs!$C$69,"")</f>
      </c>
      <c r="J2410" s="42">
        <f>IF(AND(ISNUMBER(F2410),ISNUMBER(H2410),F2410&gt;=Inputs!$C$68),F2410*H2410*Inputs!$C$69,"")</f>
      </c>
    </row>
    <row r="2411" spans="2:10" ht="15" customHeight="1" x14ac:dyDescent="0.2">
      <c r="B2411" s="39">
        <f t="shared" si="18"/>
      </c>
      <c r="C2411" s="40">
        <f>IF(Inputs!$C$60,Inputs!$C$11+(B2411-Inputs!$C$69)/Inputs!$C$70,"")</f>
      </c>
      <c r="D2411" s="15"/>
      <c r="E2411" s="15"/>
      <c r="F2411" s="11">
        <f t="shared" si="19"/>
      </c>
      <c r="G2411" s="22" cm="1">
        <f t="array" ref="G2411">IF(AND(Inputs!$C$60,Inputs!$C$61),INDEX(Utility_Rates!$C$29:$F$52,HOUR(C2411)+Inputs!$C$69,MATCH(INDEX(Utility_Rates!$K$6:$K$17,MONTH(C2411))&amp;IF(WEEKDAY(C2411,Inputs!$C$76)&lt;=Inputs!$C$74," weekday"," weekend"),Utility_Rates!$C$28:$F$28,Inputs!$C$68)),"")</f>
      </c>
      <c r="H2411" s="34"/>
      <c r="I2411" s="42">
        <f>IF(AND(ISNUMBER(D2411),ISNUMBER(H2411)),D2411*H2411*Inputs!$C$69,"")</f>
      </c>
      <c r="J2411" s="42">
        <f>IF(AND(ISNUMBER(F2411),ISNUMBER(H2411),F2411&gt;=Inputs!$C$68),F2411*H2411*Inputs!$C$69,"")</f>
      </c>
    </row>
    <row r="2412" spans="2:10" ht="15" customHeight="1" x14ac:dyDescent="0.2">
      <c r="B2412" s="39">
        <f t="shared" si="18"/>
      </c>
      <c r="C2412" s="40">
        <f>IF(Inputs!$C$60,Inputs!$C$11+(B2412-Inputs!$C$69)/Inputs!$C$70,"")</f>
      </c>
      <c r="D2412" s="15"/>
      <c r="E2412" s="15"/>
      <c r="F2412" s="11">
        <f t="shared" si="19"/>
      </c>
      <c r="G2412" s="22" cm="1">
        <f t="array" ref="G2412">IF(AND(Inputs!$C$60,Inputs!$C$61),INDEX(Utility_Rates!$C$29:$F$52,HOUR(C2412)+Inputs!$C$69,MATCH(INDEX(Utility_Rates!$K$6:$K$17,MONTH(C2412))&amp;IF(WEEKDAY(C2412,Inputs!$C$76)&lt;=Inputs!$C$74," weekday"," weekend"),Utility_Rates!$C$28:$F$28,Inputs!$C$68)),"")</f>
      </c>
      <c r="H2412" s="34"/>
      <c r="I2412" s="42">
        <f>IF(AND(ISNUMBER(D2412),ISNUMBER(H2412)),D2412*H2412*Inputs!$C$69,"")</f>
      </c>
      <c r="J2412" s="42">
        <f>IF(AND(ISNUMBER(F2412),ISNUMBER(H2412),F2412&gt;=Inputs!$C$68),F2412*H2412*Inputs!$C$69,"")</f>
      </c>
    </row>
    <row r="2413" spans="2:10" ht="15" customHeight="1" x14ac:dyDescent="0.2">
      <c r="B2413" s="39">
        <f t="shared" si="18"/>
      </c>
      <c r="C2413" s="40">
        <f>IF(Inputs!$C$60,Inputs!$C$11+(B2413-Inputs!$C$69)/Inputs!$C$70,"")</f>
      </c>
      <c r="D2413" s="15"/>
      <c r="E2413" s="15"/>
      <c r="F2413" s="11">
        <f t="shared" si="19"/>
      </c>
      <c r="G2413" s="22" cm="1">
        <f t="array" ref="G2413">IF(AND(Inputs!$C$60,Inputs!$C$61),INDEX(Utility_Rates!$C$29:$F$52,HOUR(C2413)+Inputs!$C$69,MATCH(INDEX(Utility_Rates!$K$6:$K$17,MONTH(C2413))&amp;IF(WEEKDAY(C2413,Inputs!$C$76)&lt;=Inputs!$C$74," weekday"," weekend"),Utility_Rates!$C$28:$F$28,Inputs!$C$68)),"")</f>
      </c>
      <c r="H2413" s="34"/>
      <c r="I2413" s="42">
        <f>IF(AND(ISNUMBER(D2413),ISNUMBER(H2413)),D2413*H2413*Inputs!$C$69,"")</f>
      </c>
      <c r="J2413" s="42">
        <f>IF(AND(ISNUMBER(F2413),ISNUMBER(H2413),F2413&gt;=Inputs!$C$68),F2413*H2413*Inputs!$C$69,"")</f>
      </c>
    </row>
    <row r="2414" spans="2:10" ht="15" customHeight="1" x14ac:dyDescent="0.2">
      <c r="B2414" s="39">
        <f t="shared" si="18"/>
      </c>
      <c r="C2414" s="40">
        <f>IF(Inputs!$C$60,Inputs!$C$11+(B2414-Inputs!$C$69)/Inputs!$C$70,"")</f>
      </c>
      <c r="D2414" s="15"/>
      <c r="E2414" s="15"/>
      <c r="F2414" s="11">
        <f t="shared" si="19"/>
      </c>
      <c r="G2414" s="22" cm="1">
        <f t="array" ref="G2414">IF(AND(Inputs!$C$60,Inputs!$C$61),INDEX(Utility_Rates!$C$29:$F$52,HOUR(C2414)+Inputs!$C$69,MATCH(INDEX(Utility_Rates!$K$6:$K$17,MONTH(C2414))&amp;IF(WEEKDAY(C2414,Inputs!$C$76)&lt;=Inputs!$C$74," weekday"," weekend"),Utility_Rates!$C$28:$F$28,Inputs!$C$68)),"")</f>
      </c>
      <c r="H2414" s="34"/>
      <c r="I2414" s="42">
        <f>IF(AND(ISNUMBER(D2414),ISNUMBER(H2414)),D2414*H2414*Inputs!$C$69,"")</f>
      </c>
      <c r="J2414" s="42">
        <f>IF(AND(ISNUMBER(F2414),ISNUMBER(H2414),F2414&gt;=Inputs!$C$68),F2414*H2414*Inputs!$C$69,"")</f>
      </c>
    </row>
    <row r="2415" spans="2:10" ht="15" customHeight="1" x14ac:dyDescent="0.2">
      <c r="B2415" s="39">
        <f t="shared" si="18"/>
      </c>
      <c r="C2415" s="40">
        <f>IF(Inputs!$C$60,Inputs!$C$11+(B2415-Inputs!$C$69)/Inputs!$C$70,"")</f>
      </c>
      <c r="D2415" s="15"/>
      <c r="E2415" s="15"/>
      <c r="F2415" s="11">
        <f t="shared" si="19"/>
      </c>
      <c r="G2415" s="22" cm="1">
        <f t="array" ref="G2415">IF(AND(Inputs!$C$60,Inputs!$C$61),INDEX(Utility_Rates!$C$29:$F$52,HOUR(C2415)+Inputs!$C$69,MATCH(INDEX(Utility_Rates!$K$6:$K$17,MONTH(C2415))&amp;IF(WEEKDAY(C2415,Inputs!$C$76)&lt;=Inputs!$C$74," weekday"," weekend"),Utility_Rates!$C$28:$F$28,Inputs!$C$68)),"")</f>
      </c>
      <c r="H2415" s="34"/>
      <c r="I2415" s="42">
        <f>IF(AND(ISNUMBER(D2415),ISNUMBER(H2415)),D2415*H2415*Inputs!$C$69,"")</f>
      </c>
      <c r="J2415" s="42">
        <f>IF(AND(ISNUMBER(F2415),ISNUMBER(H2415),F2415&gt;=Inputs!$C$68),F2415*H2415*Inputs!$C$69,"")</f>
      </c>
    </row>
    <row r="2416" spans="2:10" ht="15" customHeight="1" x14ac:dyDescent="0.2">
      <c r="B2416" s="39">
        <f t="shared" si="18"/>
      </c>
      <c r="C2416" s="40">
        <f>IF(Inputs!$C$60,Inputs!$C$11+(B2416-Inputs!$C$69)/Inputs!$C$70,"")</f>
      </c>
      <c r="D2416" s="15"/>
      <c r="E2416" s="15"/>
      <c r="F2416" s="11">
        <f t="shared" si="19"/>
      </c>
      <c r="G2416" s="22" cm="1">
        <f t="array" ref="G2416">IF(AND(Inputs!$C$60,Inputs!$C$61),INDEX(Utility_Rates!$C$29:$F$52,HOUR(C2416)+Inputs!$C$69,MATCH(INDEX(Utility_Rates!$K$6:$K$17,MONTH(C2416))&amp;IF(WEEKDAY(C2416,Inputs!$C$76)&lt;=Inputs!$C$74," weekday"," weekend"),Utility_Rates!$C$28:$F$28,Inputs!$C$68)),"")</f>
      </c>
      <c r="H2416" s="34"/>
      <c r="I2416" s="42">
        <f>IF(AND(ISNUMBER(D2416),ISNUMBER(H2416)),D2416*H2416*Inputs!$C$69,"")</f>
      </c>
      <c r="J2416" s="42">
        <f>IF(AND(ISNUMBER(F2416),ISNUMBER(H2416),F2416&gt;=Inputs!$C$68),F2416*H2416*Inputs!$C$69,"")</f>
      </c>
    </row>
    <row r="2417" spans="2:10" ht="15" customHeight="1" x14ac:dyDescent="0.2">
      <c r="B2417" s="39">
        <f t="shared" si="18"/>
      </c>
      <c r="C2417" s="40">
        <f>IF(Inputs!$C$60,Inputs!$C$11+(B2417-Inputs!$C$69)/Inputs!$C$70,"")</f>
      </c>
      <c r="D2417" s="15"/>
      <c r="E2417" s="15"/>
      <c r="F2417" s="11">
        <f t="shared" si="19"/>
      </c>
      <c r="G2417" s="22" cm="1">
        <f t="array" ref="G2417">IF(AND(Inputs!$C$60,Inputs!$C$61),INDEX(Utility_Rates!$C$29:$F$52,HOUR(C2417)+Inputs!$C$69,MATCH(INDEX(Utility_Rates!$K$6:$K$17,MONTH(C2417))&amp;IF(WEEKDAY(C2417,Inputs!$C$76)&lt;=Inputs!$C$74," weekday"," weekend"),Utility_Rates!$C$28:$F$28,Inputs!$C$68)),"")</f>
      </c>
      <c r="H2417" s="34"/>
      <c r="I2417" s="42">
        <f>IF(AND(ISNUMBER(D2417),ISNUMBER(H2417)),D2417*H2417*Inputs!$C$69,"")</f>
      </c>
      <c r="J2417" s="42">
        <f>IF(AND(ISNUMBER(F2417),ISNUMBER(H2417),F2417&gt;=Inputs!$C$68),F2417*H2417*Inputs!$C$69,"")</f>
      </c>
    </row>
    <row r="2418" spans="2:10" ht="15" customHeight="1" x14ac:dyDescent="0.2">
      <c r="B2418" s="39">
        <f t="shared" si="18"/>
      </c>
      <c r="C2418" s="40">
        <f>IF(Inputs!$C$60,Inputs!$C$11+(B2418-Inputs!$C$69)/Inputs!$C$70,"")</f>
      </c>
      <c r="D2418" s="15"/>
      <c r="E2418" s="15"/>
      <c r="F2418" s="11">
        <f t="shared" si="19"/>
      </c>
      <c r="G2418" s="22" cm="1">
        <f t="array" ref="G2418">IF(AND(Inputs!$C$60,Inputs!$C$61),INDEX(Utility_Rates!$C$29:$F$52,HOUR(C2418)+Inputs!$C$69,MATCH(INDEX(Utility_Rates!$K$6:$K$17,MONTH(C2418))&amp;IF(WEEKDAY(C2418,Inputs!$C$76)&lt;=Inputs!$C$74," weekday"," weekend"),Utility_Rates!$C$28:$F$28,Inputs!$C$68)),"")</f>
      </c>
      <c r="H2418" s="34"/>
      <c r="I2418" s="42">
        <f>IF(AND(ISNUMBER(D2418),ISNUMBER(H2418)),D2418*H2418*Inputs!$C$69,"")</f>
      </c>
      <c r="J2418" s="42">
        <f>IF(AND(ISNUMBER(F2418),ISNUMBER(H2418),F2418&gt;=Inputs!$C$68),F2418*H2418*Inputs!$C$69,"")</f>
      </c>
    </row>
    <row r="2419" spans="2:10" ht="15" customHeight="1" x14ac:dyDescent="0.2">
      <c r="B2419" s="39">
        <f t="shared" si="18"/>
      </c>
      <c r="C2419" s="40">
        <f>IF(Inputs!$C$60,Inputs!$C$11+(B2419-Inputs!$C$69)/Inputs!$C$70,"")</f>
      </c>
      <c r="D2419" s="15"/>
      <c r="E2419" s="15"/>
      <c r="F2419" s="11">
        <f t="shared" si="19"/>
      </c>
      <c r="G2419" s="22" cm="1">
        <f t="array" ref="G2419">IF(AND(Inputs!$C$60,Inputs!$C$61),INDEX(Utility_Rates!$C$29:$F$52,HOUR(C2419)+Inputs!$C$69,MATCH(INDEX(Utility_Rates!$K$6:$K$17,MONTH(C2419))&amp;IF(WEEKDAY(C2419,Inputs!$C$76)&lt;=Inputs!$C$74," weekday"," weekend"),Utility_Rates!$C$28:$F$28,Inputs!$C$68)),"")</f>
      </c>
      <c r="H2419" s="34"/>
      <c r="I2419" s="42">
        <f>IF(AND(ISNUMBER(D2419),ISNUMBER(H2419)),D2419*H2419*Inputs!$C$69,"")</f>
      </c>
      <c r="J2419" s="42">
        <f>IF(AND(ISNUMBER(F2419),ISNUMBER(H2419),F2419&gt;=Inputs!$C$68),F2419*H2419*Inputs!$C$69,"")</f>
      </c>
    </row>
    <row r="2420" spans="2:10" ht="15" customHeight="1" x14ac:dyDescent="0.2">
      <c r="B2420" s="39">
        <f t="shared" si="18"/>
      </c>
      <c r="C2420" s="40">
        <f>IF(Inputs!$C$60,Inputs!$C$11+(B2420-Inputs!$C$69)/Inputs!$C$70,"")</f>
      </c>
      <c r="D2420" s="15"/>
      <c r="E2420" s="15"/>
      <c r="F2420" s="11">
        <f t="shared" si="19"/>
      </c>
      <c r="G2420" s="22" cm="1">
        <f t="array" ref="G2420">IF(AND(Inputs!$C$60,Inputs!$C$61),INDEX(Utility_Rates!$C$29:$F$52,HOUR(C2420)+Inputs!$C$69,MATCH(INDEX(Utility_Rates!$K$6:$K$17,MONTH(C2420))&amp;IF(WEEKDAY(C2420,Inputs!$C$76)&lt;=Inputs!$C$74," weekday"," weekend"),Utility_Rates!$C$28:$F$28,Inputs!$C$68)),"")</f>
      </c>
      <c r="H2420" s="34"/>
      <c r="I2420" s="42">
        <f>IF(AND(ISNUMBER(D2420),ISNUMBER(H2420)),D2420*H2420*Inputs!$C$69,"")</f>
      </c>
      <c r="J2420" s="42">
        <f>IF(AND(ISNUMBER(F2420),ISNUMBER(H2420),F2420&gt;=Inputs!$C$68),F2420*H2420*Inputs!$C$69,"")</f>
      </c>
    </row>
    <row r="2421" spans="2:10" ht="15" customHeight="1" x14ac:dyDescent="0.2">
      <c r="B2421" s="39">
        <f t="shared" si="18"/>
      </c>
      <c r="C2421" s="40">
        <f>IF(Inputs!$C$60,Inputs!$C$11+(B2421-Inputs!$C$69)/Inputs!$C$70,"")</f>
      </c>
      <c r="D2421" s="15"/>
      <c r="E2421" s="15"/>
      <c r="F2421" s="11">
        <f t="shared" si="19"/>
      </c>
      <c r="G2421" s="22" cm="1">
        <f t="array" ref="G2421">IF(AND(Inputs!$C$60,Inputs!$C$61),INDEX(Utility_Rates!$C$29:$F$52,HOUR(C2421)+Inputs!$C$69,MATCH(INDEX(Utility_Rates!$K$6:$K$17,MONTH(C2421))&amp;IF(WEEKDAY(C2421,Inputs!$C$76)&lt;=Inputs!$C$74," weekday"," weekend"),Utility_Rates!$C$28:$F$28,Inputs!$C$68)),"")</f>
      </c>
      <c r="H2421" s="34"/>
      <c r="I2421" s="42">
        <f>IF(AND(ISNUMBER(D2421),ISNUMBER(H2421)),D2421*H2421*Inputs!$C$69,"")</f>
      </c>
      <c r="J2421" s="42">
        <f>IF(AND(ISNUMBER(F2421),ISNUMBER(H2421),F2421&gt;=Inputs!$C$68),F2421*H2421*Inputs!$C$69,"")</f>
      </c>
    </row>
    <row r="2422" spans="2:10" ht="15" customHeight="1" x14ac:dyDescent="0.2">
      <c r="B2422" s="39">
        <f t="shared" si="18"/>
      </c>
      <c r="C2422" s="40">
        <f>IF(Inputs!$C$60,Inputs!$C$11+(B2422-Inputs!$C$69)/Inputs!$C$70,"")</f>
      </c>
      <c r="D2422" s="15"/>
      <c r="E2422" s="15"/>
      <c r="F2422" s="11">
        <f t="shared" si="19"/>
      </c>
      <c r="G2422" s="22" cm="1">
        <f t="array" ref="G2422">IF(AND(Inputs!$C$60,Inputs!$C$61),INDEX(Utility_Rates!$C$29:$F$52,HOUR(C2422)+Inputs!$C$69,MATCH(INDEX(Utility_Rates!$K$6:$K$17,MONTH(C2422))&amp;IF(WEEKDAY(C2422,Inputs!$C$76)&lt;=Inputs!$C$74," weekday"," weekend"),Utility_Rates!$C$28:$F$28,Inputs!$C$68)),"")</f>
      </c>
      <c r="H2422" s="34"/>
      <c r="I2422" s="42">
        <f>IF(AND(ISNUMBER(D2422),ISNUMBER(H2422)),D2422*H2422*Inputs!$C$69,"")</f>
      </c>
      <c r="J2422" s="42">
        <f>IF(AND(ISNUMBER(F2422),ISNUMBER(H2422),F2422&gt;=Inputs!$C$68),F2422*H2422*Inputs!$C$69,"")</f>
      </c>
    </row>
    <row r="2423" spans="2:10" ht="15" customHeight="1" x14ac:dyDescent="0.2">
      <c r="B2423" s="39">
        <f t="shared" si="18"/>
      </c>
      <c r="C2423" s="40">
        <f>IF(Inputs!$C$60,Inputs!$C$11+(B2423-Inputs!$C$69)/Inputs!$C$70,"")</f>
      </c>
      <c r="D2423" s="15"/>
      <c r="E2423" s="15"/>
      <c r="F2423" s="11">
        <f t="shared" si="19"/>
      </c>
      <c r="G2423" s="22" cm="1">
        <f t="array" ref="G2423">IF(AND(Inputs!$C$60,Inputs!$C$61),INDEX(Utility_Rates!$C$29:$F$52,HOUR(C2423)+Inputs!$C$69,MATCH(INDEX(Utility_Rates!$K$6:$K$17,MONTH(C2423))&amp;IF(WEEKDAY(C2423,Inputs!$C$76)&lt;=Inputs!$C$74," weekday"," weekend"),Utility_Rates!$C$28:$F$28,Inputs!$C$68)),"")</f>
      </c>
      <c r="H2423" s="34"/>
      <c r="I2423" s="42">
        <f>IF(AND(ISNUMBER(D2423),ISNUMBER(H2423)),D2423*H2423*Inputs!$C$69,"")</f>
      </c>
      <c r="J2423" s="42">
        <f>IF(AND(ISNUMBER(F2423),ISNUMBER(H2423),F2423&gt;=Inputs!$C$68),F2423*H2423*Inputs!$C$69,"")</f>
      </c>
    </row>
    <row r="2424" spans="2:10" ht="15" customHeight="1" x14ac:dyDescent="0.2">
      <c r="B2424" s="39">
        <f t="shared" si="18"/>
      </c>
      <c r="C2424" s="40">
        <f>IF(Inputs!$C$60,Inputs!$C$11+(B2424-Inputs!$C$69)/Inputs!$C$70,"")</f>
      </c>
      <c r="D2424" s="15"/>
      <c r="E2424" s="15"/>
      <c r="F2424" s="11">
        <f t="shared" si="19"/>
      </c>
      <c r="G2424" s="22" cm="1">
        <f t="array" ref="G2424">IF(AND(Inputs!$C$60,Inputs!$C$61),INDEX(Utility_Rates!$C$29:$F$52,HOUR(C2424)+Inputs!$C$69,MATCH(INDEX(Utility_Rates!$K$6:$K$17,MONTH(C2424))&amp;IF(WEEKDAY(C2424,Inputs!$C$76)&lt;=Inputs!$C$74," weekday"," weekend"),Utility_Rates!$C$28:$F$28,Inputs!$C$68)),"")</f>
      </c>
      <c r="H2424" s="34"/>
      <c r="I2424" s="42">
        <f>IF(AND(ISNUMBER(D2424),ISNUMBER(H2424)),D2424*H2424*Inputs!$C$69,"")</f>
      </c>
      <c r="J2424" s="42">
        <f>IF(AND(ISNUMBER(F2424),ISNUMBER(H2424),F2424&gt;=Inputs!$C$68),F2424*H2424*Inputs!$C$69,"")</f>
      </c>
    </row>
    <row r="2425" spans="2:10" ht="15" customHeight="1" x14ac:dyDescent="0.2">
      <c r="B2425" s="39">
        <f t="shared" si="18"/>
      </c>
      <c r="C2425" s="40">
        <f>IF(Inputs!$C$60,Inputs!$C$11+(B2425-Inputs!$C$69)/Inputs!$C$70,"")</f>
      </c>
      <c r="D2425" s="15"/>
      <c r="E2425" s="15"/>
      <c r="F2425" s="11">
        <f t="shared" si="19"/>
      </c>
      <c r="G2425" s="22" cm="1">
        <f t="array" ref="G2425">IF(AND(Inputs!$C$60,Inputs!$C$61),INDEX(Utility_Rates!$C$29:$F$52,HOUR(C2425)+Inputs!$C$69,MATCH(INDEX(Utility_Rates!$K$6:$K$17,MONTH(C2425))&amp;IF(WEEKDAY(C2425,Inputs!$C$76)&lt;=Inputs!$C$74," weekday"," weekend"),Utility_Rates!$C$28:$F$28,Inputs!$C$68)),"")</f>
      </c>
      <c r="H2425" s="34"/>
      <c r="I2425" s="42">
        <f>IF(AND(ISNUMBER(D2425),ISNUMBER(H2425)),D2425*H2425*Inputs!$C$69,"")</f>
      </c>
      <c r="J2425" s="42">
        <f>IF(AND(ISNUMBER(F2425),ISNUMBER(H2425),F2425&gt;=Inputs!$C$68),F2425*H2425*Inputs!$C$69,"")</f>
      </c>
    </row>
    <row r="2426" spans="2:10" ht="15" customHeight="1" x14ac:dyDescent="0.2">
      <c r="B2426" s="39">
        <f t="shared" si="18"/>
      </c>
      <c r="C2426" s="40">
        <f>IF(Inputs!$C$60,Inputs!$C$11+(B2426-Inputs!$C$69)/Inputs!$C$70,"")</f>
      </c>
      <c r="D2426" s="15"/>
      <c r="E2426" s="15"/>
      <c r="F2426" s="11">
        <f t="shared" si="19"/>
      </c>
      <c r="G2426" s="22" cm="1">
        <f t="array" ref="G2426">IF(AND(Inputs!$C$60,Inputs!$C$61),INDEX(Utility_Rates!$C$29:$F$52,HOUR(C2426)+Inputs!$C$69,MATCH(INDEX(Utility_Rates!$K$6:$K$17,MONTH(C2426))&amp;IF(WEEKDAY(C2426,Inputs!$C$76)&lt;=Inputs!$C$74," weekday"," weekend"),Utility_Rates!$C$28:$F$28,Inputs!$C$68)),"")</f>
      </c>
      <c r="H2426" s="34"/>
      <c r="I2426" s="42">
        <f>IF(AND(ISNUMBER(D2426),ISNUMBER(H2426)),D2426*H2426*Inputs!$C$69,"")</f>
      </c>
      <c r="J2426" s="42">
        <f>IF(AND(ISNUMBER(F2426),ISNUMBER(H2426),F2426&gt;=Inputs!$C$68),F2426*H2426*Inputs!$C$69,"")</f>
      </c>
    </row>
    <row r="2427" spans="2:10" ht="15" customHeight="1" x14ac:dyDescent="0.2">
      <c r="B2427" s="39">
        <f t="shared" si="18"/>
      </c>
      <c r="C2427" s="40">
        <f>IF(Inputs!$C$60,Inputs!$C$11+(B2427-Inputs!$C$69)/Inputs!$C$70,"")</f>
      </c>
      <c r="D2427" s="15"/>
      <c r="E2427" s="15"/>
      <c r="F2427" s="11">
        <f t="shared" si="19"/>
      </c>
      <c r="G2427" s="22" cm="1">
        <f t="array" ref="G2427">IF(AND(Inputs!$C$60,Inputs!$C$61),INDEX(Utility_Rates!$C$29:$F$52,HOUR(C2427)+Inputs!$C$69,MATCH(INDEX(Utility_Rates!$K$6:$K$17,MONTH(C2427))&amp;IF(WEEKDAY(C2427,Inputs!$C$76)&lt;=Inputs!$C$74," weekday"," weekend"),Utility_Rates!$C$28:$F$28,Inputs!$C$68)),"")</f>
      </c>
      <c r="H2427" s="34"/>
      <c r="I2427" s="42">
        <f>IF(AND(ISNUMBER(D2427),ISNUMBER(H2427)),D2427*H2427*Inputs!$C$69,"")</f>
      </c>
      <c r="J2427" s="42">
        <f>IF(AND(ISNUMBER(F2427),ISNUMBER(H2427),F2427&gt;=Inputs!$C$68),F2427*H2427*Inputs!$C$69,"")</f>
      </c>
    </row>
    <row r="2428" spans="2:10" ht="15" customHeight="1" x14ac:dyDescent="0.2">
      <c r="B2428" s="39">
        <f t="shared" si="18"/>
      </c>
      <c r="C2428" s="40">
        <f>IF(Inputs!$C$60,Inputs!$C$11+(B2428-Inputs!$C$69)/Inputs!$C$70,"")</f>
      </c>
      <c r="D2428" s="15"/>
      <c r="E2428" s="15"/>
      <c r="F2428" s="11">
        <f t="shared" si="19"/>
      </c>
      <c r="G2428" s="22" cm="1">
        <f t="array" ref="G2428">IF(AND(Inputs!$C$60,Inputs!$C$61),INDEX(Utility_Rates!$C$29:$F$52,HOUR(C2428)+Inputs!$C$69,MATCH(INDEX(Utility_Rates!$K$6:$K$17,MONTH(C2428))&amp;IF(WEEKDAY(C2428,Inputs!$C$76)&lt;=Inputs!$C$74," weekday"," weekend"),Utility_Rates!$C$28:$F$28,Inputs!$C$68)),"")</f>
      </c>
      <c r="H2428" s="34"/>
      <c r="I2428" s="42">
        <f>IF(AND(ISNUMBER(D2428),ISNUMBER(H2428)),D2428*H2428*Inputs!$C$69,"")</f>
      </c>
      <c r="J2428" s="42">
        <f>IF(AND(ISNUMBER(F2428),ISNUMBER(H2428),F2428&gt;=Inputs!$C$68),F2428*H2428*Inputs!$C$69,"")</f>
      </c>
    </row>
    <row r="2429" spans="2:10" ht="15" customHeight="1" x14ac:dyDescent="0.2">
      <c r="B2429" s="39">
        <f t="shared" si="18"/>
      </c>
      <c r="C2429" s="40">
        <f>IF(Inputs!$C$60,Inputs!$C$11+(B2429-Inputs!$C$69)/Inputs!$C$70,"")</f>
      </c>
      <c r="D2429" s="15"/>
      <c r="E2429" s="15"/>
      <c r="F2429" s="11">
        <f t="shared" si="19"/>
      </c>
      <c r="G2429" s="22" cm="1">
        <f t="array" ref="G2429">IF(AND(Inputs!$C$60,Inputs!$C$61),INDEX(Utility_Rates!$C$29:$F$52,HOUR(C2429)+Inputs!$C$69,MATCH(INDEX(Utility_Rates!$K$6:$K$17,MONTH(C2429))&amp;IF(WEEKDAY(C2429,Inputs!$C$76)&lt;=Inputs!$C$74," weekday"," weekend"),Utility_Rates!$C$28:$F$28,Inputs!$C$68)),"")</f>
      </c>
      <c r="H2429" s="34"/>
      <c r="I2429" s="42">
        <f>IF(AND(ISNUMBER(D2429),ISNUMBER(H2429)),D2429*H2429*Inputs!$C$69,"")</f>
      </c>
      <c r="J2429" s="42">
        <f>IF(AND(ISNUMBER(F2429),ISNUMBER(H2429),F2429&gt;=Inputs!$C$68),F2429*H2429*Inputs!$C$69,"")</f>
      </c>
    </row>
    <row r="2430" spans="2:10" ht="15" customHeight="1" x14ac:dyDescent="0.2">
      <c r="B2430" s="39">
        <f t="shared" si="18"/>
      </c>
      <c r="C2430" s="40">
        <f>IF(Inputs!$C$60,Inputs!$C$11+(B2430-Inputs!$C$69)/Inputs!$C$70,"")</f>
      </c>
      <c r="D2430" s="15"/>
      <c r="E2430" s="15"/>
      <c r="F2430" s="11">
        <f t="shared" si="19"/>
      </c>
      <c r="G2430" s="22" cm="1">
        <f t="array" ref="G2430">IF(AND(Inputs!$C$60,Inputs!$C$61),INDEX(Utility_Rates!$C$29:$F$52,HOUR(C2430)+Inputs!$C$69,MATCH(INDEX(Utility_Rates!$K$6:$K$17,MONTH(C2430))&amp;IF(WEEKDAY(C2430,Inputs!$C$76)&lt;=Inputs!$C$74," weekday"," weekend"),Utility_Rates!$C$28:$F$28,Inputs!$C$68)),"")</f>
      </c>
      <c r="H2430" s="34"/>
      <c r="I2430" s="42">
        <f>IF(AND(ISNUMBER(D2430),ISNUMBER(H2430)),D2430*H2430*Inputs!$C$69,"")</f>
      </c>
      <c r="J2430" s="42">
        <f>IF(AND(ISNUMBER(F2430),ISNUMBER(H2430),F2430&gt;=Inputs!$C$68),F2430*H2430*Inputs!$C$69,"")</f>
      </c>
    </row>
    <row r="2431" spans="2:10" ht="15" customHeight="1" x14ac:dyDescent="0.2">
      <c r="B2431" s="39">
        <f t="shared" si="18"/>
      </c>
      <c r="C2431" s="40">
        <f>IF(Inputs!$C$60,Inputs!$C$11+(B2431-Inputs!$C$69)/Inputs!$C$70,"")</f>
      </c>
      <c r="D2431" s="15"/>
      <c r="E2431" s="15"/>
      <c r="F2431" s="11">
        <f t="shared" si="19"/>
      </c>
      <c r="G2431" s="22" cm="1">
        <f t="array" ref="G2431">IF(AND(Inputs!$C$60,Inputs!$C$61),INDEX(Utility_Rates!$C$29:$F$52,HOUR(C2431)+Inputs!$C$69,MATCH(INDEX(Utility_Rates!$K$6:$K$17,MONTH(C2431))&amp;IF(WEEKDAY(C2431,Inputs!$C$76)&lt;=Inputs!$C$74," weekday"," weekend"),Utility_Rates!$C$28:$F$28,Inputs!$C$68)),"")</f>
      </c>
      <c r="H2431" s="34"/>
      <c r="I2431" s="42">
        <f>IF(AND(ISNUMBER(D2431),ISNUMBER(H2431)),D2431*H2431*Inputs!$C$69,"")</f>
      </c>
      <c r="J2431" s="42">
        <f>IF(AND(ISNUMBER(F2431),ISNUMBER(H2431),F2431&gt;=Inputs!$C$68),F2431*H2431*Inputs!$C$69,"")</f>
      </c>
    </row>
    <row r="2432" spans="2:10" ht="15" customHeight="1" x14ac:dyDescent="0.2">
      <c r="B2432" s="39">
        <f t="shared" si="18"/>
      </c>
      <c r="C2432" s="40">
        <f>IF(Inputs!$C$60,Inputs!$C$11+(B2432-Inputs!$C$69)/Inputs!$C$70,"")</f>
      </c>
      <c r="D2432" s="15"/>
      <c r="E2432" s="15"/>
      <c r="F2432" s="11">
        <f t="shared" si="19"/>
      </c>
      <c r="G2432" s="22" cm="1">
        <f t="array" ref="G2432">IF(AND(Inputs!$C$60,Inputs!$C$61),INDEX(Utility_Rates!$C$29:$F$52,HOUR(C2432)+Inputs!$C$69,MATCH(INDEX(Utility_Rates!$K$6:$K$17,MONTH(C2432))&amp;IF(WEEKDAY(C2432,Inputs!$C$76)&lt;=Inputs!$C$74," weekday"," weekend"),Utility_Rates!$C$28:$F$28,Inputs!$C$68)),"")</f>
      </c>
      <c r="H2432" s="34"/>
      <c r="I2432" s="42">
        <f>IF(AND(ISNUMBER(D2432),ISNUMBER(H2432)),D2432*H2432*Inputs!$C$69,"")</f>
      </c>
      <c r="J2432" s="42">
        <f>IF(AND(ISNUMBER(F2432),ISNUMBER(H2432),F2432&gt;=Inputs!$C$68),F2432*H2432*Inputs!$C$69,"")</f>
      </c>
    </row>
    <row r="2433" spans="2:10" ht="15" customHeight="1" x14ac:dyDescent="0.2">
      <c r="B2433" s="39">
        <f t="shared" si="18"/>
      </c>
      <c r="C2433" s="40">
        <f>IF(Inputs!$C$60,Inputs!$C$11+(B2433-Inputs!$C$69)/Inputs!$C$70,"")</f>
      </c>
      <c r="D2433" s="15"/>
      <c r="E2433" s="15"/>
      <c r="F2433" s="11">
        <f t="shared" si="19"/>
      </c>
      <c r="G2433" s="22" cm="1">
        <f t="array" ref="G2433">IF(AND(Inputs!$C$60,Inputs!$C$61),INDEX(Utility_Rates!$C$29:$F$52,HOUR(C2433)+Inputs!$C$69,MATCH(INDEX(Utility_Rates!$K$6:$K$17,MONTH(C2433))&amp;IF(WEEKDAY(C2433,Inputs!$C$76)&lt;=Inputs!$C$74," weekday"," weekend"),Utility_Rates!$C$28:$F$28,Inputs!$C$68)),"")</f>
      </c>
      <c r="H2433" s="34"/>
      <c r="I2433" s="42">
        <f>IF(AND(ISNUMBER(D2433),ISNUMBER(H2433)),D2433*H2433*Inputs!$C$69,"")</f>
      </c>
      <c r="J2433" s="42">
        <f>IF(AND(ISNUMBER(F2433),ISNUMBER(H2433),F2433&gt;=Inputs!$C$68),F2433*H2433*Inputs!$C$69,"")</f>
      </c>
    </row>
    <row r="2434" spans="2:10" ht="15" customHeight="1" x14ac:dyDescent="0.2">
      <c r="B2434" s="39">
        <f t="shared" si="18"/>
      </c>
      <c r="C2434" s="40">
        <f>IF(Inputs!$C$60,Inputs!$C$11+(B2434-Inputs!$C$69)/Inputs!$C$70,"")</f>
      </c>
      <c r="D2434" s="15"/>
      <c r="E2434" s="15"/>
      <c r="F2434" s="11">
        <f t="shared" si="19"/>
      </c>
      <c r="G2434" s="22" cm="1">
        <f t="array" ref="G2434">IF(AND(Inputs!$C$60,Inputs!$C$61),INDEX(Utility_Rates!$C$29:$F$52,HOUR(C2434)+Inputs!$C$69,MATCH(INDEX(Utility_Rates!$K$6:$K$17,MONTH(C2434))&amp;IF(WEEKDAY(C2434,Inputs!$C$76)&lt;=Inputs!$C$74," weekday"," weekend"),Utility_Rates!$C$28:$F$28,Inputs!$C$68)),"")</f>
      </c>
      <c r="H2434" s="34"/>
      <c r="I2434" s="42">
        <f>IF(AND(ISNUMBER(D2434),ISNUMBER(H2434)),D2434*H2434*Inputs!$C$69,"")</f>
      </c>
      <c r="J2434" s="42">
        <f>IF(AND(ISNUMBER(F2434),ISNUMBER(H2434),F2434&gt;=Inputs!$C$68),F2434*H2434*Inputs!$C$69,"")</f>
      </c>
    </row>
    <row r="2435" spans="2:10" ht="15" customHeight="1" x14ac:dyDescent="0.2">
      <c r="B2435" s="39">
        <f t="shared" si="18"/>
      </c>
      <c r="C2435" s="40">
        <f>IF(Inputs!$C$60,Inputs!$C$11+(B2435-Inputs!$C$69)/Inputs!$C$70,"")</f>
      </c>
      <c r="D2435" s="15"/>
      <c r="E2435" s="15"/>
      <c r="F2435" s="11">
        <f t="shared" si="19"/>
      </c>
      <c r="G2435" s="22" cm="1">
        <f t="array" ref="G2435">IF(AND(Inputs!$C$60,Inputs!$C$61),INDEX(Utility_Rates!$C$29:$F$52,HOUR(C2435)+Inputs!$C$69,MATCH(INDEX(Utility_Rates!$K$6:$K$17,MONTH(C2435))&amp;IF(WEEKDAY(C2435,Inputs!$C$76)&lt;=Inputs!$C$74," weekday"," weekend"),Utility_Rates!$C$28:$F$28,Inputs!$C$68)),"")</f>
      </c>
      <c r="H2435" s="34"/>
      <c r="I2435" s="42">
        <f>IF(AND(ISNUMBER(D2435),ISNUMBER(H2435)),D2435*H2435*Inputs!$C$69,"")</f>
      </c>
      <c r="J2435" s="42">
        <f>IF(AND(ISNUMBER(F2435),ISNUMBER(H2435),F2435&gt;=Inputs!$C$68),F2435*H2435*Inputs!$C$69,"")</f>
      </c>
    </row>
    <row r="2436" spans="2:10" ht="15" customHeight="1" x14ac:dyDescent="0.2">
      <c r="B2436" s="39">
        <f t="shared" si="18"/>
      </c>
      <c r="C2436" s="40">
        <f>IF(Inputs!$C$60,Inputs!$C$11+(B2436-Inputs!$C$69)/Inputs!$C$70,"")</f>
      </c>
      <c r="D2436" s="15"/>
      <c r="E2436" s="15"/>
      <c r="F2436" s="11">
        <f t="shared" si="19"/>
      </c>
      <c r="G2436" s="22" cm="1">
        <f t="array" ref="G2436">IF(AND(Inputs!$C$60,Inputs!$C$61),INDEX(Utility_Rates!$C$29:$F$52,HOUR(C2436)+Inputs!$C$69,MATCH(INDEX(Utility_Rates!$K$6:$K$17,MONTH(C2436))&amp;IF(WEEKDAY(C2436,Inputs!$C$76)&lt;=Inputs!$C$74," weekday"," weekend"),Utility_Rates!$C$28:$F$28,Inputs!$C$68)),"")</f>
      </c>
      <c r="H2436" s="34"/>
      <c r="I2436" s="42">
        <f>IF(AND(ISNUMBER(D2436),ISNUMBER(H2436)),D2436*H2436*Inputs!$C$69,"")</f>
      </c>
      <c r="J2436" s="42">
        <f>IF(AND(ISNUMBER(F2436),ISNUMBER(H2436),F2436&gt;=Inputs!$C$68),F2436*H2436*Inputs!$C$69,"")</f>
      </c>
    </row>
    <row r="2437" spans="2:10" ht="15" customHeight="1" x14ac:dyDescent="0.2">
      <c r="B2437" s="39">
        <f t="shared" si="18"/>
      </c>
      <c r="C2437" s="40">
        <f>IF(Inputs!$C$60,Inputs!$C$11+(B2437-Inputs!$C$69)/Inputs!$C$70,"")</f>
      </c>
      <c r="D2437" s="15"/>
      <c r="E2437" s="15"/>
      <c r="F2437" s="11">
        <f t="shared" si="19"/>
      </c>
      <c r="G2437" s="22" cm="1">
        <f t="array" ref="G2437">IF(AND(Inputs!$C$60,Inputs!$C$61),INDEX(Utility_Rates!$C$29:$F$52,HOUR(C2437)+Inputs!$C$69,MATCH(INDEX(Utility_Rates!$K$6:$K$17,MONTH(C2437))&amp;IF(WEEKDAY(C2437,Inputs!$C$76)&lt;=Inputs!$C$74," weekday"," weekend"),Utility_Rates!$C$28:$F$28,Inputs!$C$68)),"")</f>
      </c>
      <c r="H2437" s="34"/>
      <c r="I2437" s="42">
        <f>IF(AND(ISNUMBER(D2437),ISNUMBER(H2437)),D2437*H2437*Inputs!$C$69,"")</f>
      </c>
      <c r="J2437" s="42">
        <f>IF(AND(ISNUMBER(F2437),ISNUMBER(H2437),F2437&gt;=Inputs!$C$68),F2437*H2437*Inputs!$C$69,"")</f>
      </c>
    </row>
    <row r="2438" spans="2:10" ht="15" customHeight="1" x14ac:dyDescent="0.2">
      <c r="B2438" s="39">
        <f t="shared" si="18"/>
      </c>
      <c r="C2438" s="40">
        <f>IF(Inputs!$C$60,Inputs!$C$11+(B2438-Inputs!$C$69)/Inputs!$C$70,"")</f>
      </c>
      <c r="D2438" s="15"/>
      <c r="E2438" s="15"/>
      <c r="F2438" s="11">
        <f t="shared" si="19"/>
      </c>
      <c r="G2438" s="22" cm="1">
        <f t="array" ref="G2438">IF(AND(Inputs!$C$60,Inputs!$C$61),INDEX(Utility_Rates!$C$29:$F$52,HOUR(C2438)+Inputs!$C$69,MATCH(INDEX(Utility_Rates!$K$6:$K$17,MONTH(C2438))&amp;IF(WEEKDAY(C2438,Inputs!$C$76)&lt;=Inputs!$C$74," weekday"," weekend"),Utility_Rates!$C$28:$F$28,Inputs!$C$68)),"")</f>
      </c>
      <c r="H2438" s="34"/>
      <c r="I2438" s="42">
        <f>IF(AND(ISNUMBER(D2438),ISNUMBER(H2438)),D2438*H2438*Inputs!$C$69,"")</f>
      </c>
      <c r="J2438" s="42">
        <f>IF(AND(ISNUMBER(F2438),ISNUMBER(H2438),F2438&gt;=Inputs!$C$68),F2438*H2438*Inputs!$C$69,"")</f>
      </c>
    </row>
    <row r="2439" spans="2:10" ht="15" customHeight="1" x14ac:dyDescent="0.2">
      <c r="B2439" s="39">
        <f t="shared" si="18"/>
      </c>
      <c r="C2439" s="40">
        <f>IF(Inputs!$C$60,Inputs!$C$11+(B2439-Inputs!$C$69)/Inputs!$C$70,"")</f>
      </c>
      <c r="D2439" s="15"/>
      <c r="E2439" s="15"/>
      <c r="F2439" s="11">
        <f t="shared" si="19"/>
      </c>
      <c r="G2439" s="22" cm="1">
        <f t="array" ref="G2439">IF(AND(Inputs!$C$60,Inputs!$C$61),INDEX(Utility_Rates!$C$29:$F$52,HOUR(C2439)+Inputs!$C$69,MATCH(INDEX(Utility_Rates!$K$6:$K$17,MONTH(C2439))&amp;IF(WEEKDAY(C2439,Inputs!$C$76)&lt;=Inputs!$C$74," weekday"," weekend"),Utility_Rates!$C$28:$F$28,Inputs!$C$68)),"")</f>
      </c>
      <c r="H2439" s="34"/>
      <c r="I2439" s="42">
        <f>IF(AND(ISNUMBER(D2439),ISNUMBER(H2439)),D2439*H2439*Inputs!$C$69,"")</f>
      </c>
      <c r="J2439" s="42">
        <f>IF(AND(ISNUMBER(F2439),ISNUMBER(H2439),F2439&gt;=Inputs!$C$68),F2439*H2439*Inputs!$C$69,"")</f>
      </c>
    </row>
    <row r="2440" spans="2:10" ht="15" customHeight="1" x14ac:dyDescent="0.2">
      <c r="B2440" s="39">
        <f t="shared" si="18"/>
      </c>
      <c r="C2440" s="40">
        <f>IF(Inputs!$C$60,Inputs!$C$11+(B2440-Inputs!$C$69)/Inputs!$C$70,"")</f>
      </c>
      <c r="D2440" s="15"/>
      <c r="E2440" s="15"/>
      <c r="F2440" s="11">
        <f t="shared" si="19"/>
      </c>
      <c r="G2440" s="22" cm="1">
        <f t="array" ref="G2440">IF(AND(Inputs!$C$60,Inputs!$C$61),INDEX(Utility_Rates!$C$29:$F$52,HOUR(C2440)+Inputs!$C$69,MATCH(INDEX(Utility_Rates!$K$6:$K$17,MONTH(C2440))&amp;IF(WEEKDAY(C2440,Inputs!$C$76)&lt;=Inputs!$C$74," weekday"," weekend"),Utility_Rates!$C$28:$F$28,Inputs!$C$68)),"")</f>
      </c>
      <c r="H2440" s="34"/>
      <c r="I2440" s="42">
        <f>IF(AND(ISNUMBER(D2440),ISNUMBER(H2440)),D2440*H2440*Inputs!$C$69,"")</f>
      </c>
      <c r="J2440" s="42">
        <f>IF(AND(ISNUMBER(F2440),ISNUMBER(H2440),F2440&gt;=Inputs!$C$68),F2440*H2440*Inputs!$C$69,"")</f>
      </c>
    </row>
    <row r="2441" spans="2:10" ht="15" customHeight="1" x14ac:dyDescent="0.2">
      <c r="B2441" s="39">
        <f t="shared" si="18"/>
      </c>
      <c r="C2441" s="40">
        <f>IF(Inputs!$C$60,Inputs!$C$11+(B2441-Inputs!$C$69)/Inputs!$C$70,"")</f>
      </c>
      <c r="D2441" s="15"/>
      <c r="E2441" s="15"/>
      <c r="F2441" s="11">
        <f t="shared" si="19"/>
      </c>
      <c r="G2441" s="22" cm="1">
        <f t="array" ref="G2441">IF(AND(Inputs!$C$60,Inputs!$C$61),INDEX(Utility_Rates!$C$29:$F$52,HOUR(C2441)+Inputs!$C$69,MATCH(INDEX(Utility_Rates!$K$6:$K$17,MONTH(C2441))&amp;IF(WEEKDAY(C2441,Inputs!$C$76)&lt;=Inputs!$C$74," weekday"," weekend"),Utility_Rates!$C$28:$F$28,Inputs!$C$68)),"")</f>
      </c>
      <c r="H2441" s="34"/>
      <c r="I2441" s="42">
        <f>IF(AND(ISNUMBER(D2441),ISNUMBER(H2441)),D2441*H2441*Inputs!$C$69,"")</f>
      </c>
      <c r="J2441" s="42">
        <f>IF(AND(ISNUMBER(F2441),ISNUMBER(H2441),F2441&gt;=Inputs!$C$68),F2441*H2441*Inputs!$C$69,"")</f>
      </c>
    </row>
    <row r="2442" spans="2:10" ht="15" customHeight="1" x14ac:dyDescent="0.2">
      <c r="B2442" s="39">
        <f t="shared" si="18"/>
      </c>
      <c r="C2442" s="40">
        <f>IF(Inputs!$C$60,Inputs!$C$11+(B2442-Inputs!$C$69)/Inputs!$C$70,"")</f>
      </c>
      <c r="D2442" s="15"/>
      <c r="E2442" s="15"/>
      <c r="F2442" s="11">
        <f t="shared" si="19"/>
      </c>
      <c r="G2442" s="22" cm="1">
        <f t="array" ref="G2442">IF(AND(Inputs!$C$60,Inputs!$C$61),INDEX(Utility_Rates!$C$29:$F$52,HOUR(C2442)+Inputs!$C$69,MATCH(INDEX(Utility_Rates!$K$6:$K$17,MONTH(C2442))&amp;IF(WEEKDAY(C2442,Inputs!$C$76)&lt;=Inputs!$C$74," weekday"," weekend"),Utility_Rates!$C$28:$F$28,Inputs!$C$68)),"")</f>
      </c>
      <c r="H2442" s="34"/>
      <c r="I2442" s="42">
        <f>IF(AND(ISNUMBER(D2442),ISNUMBER(H2442)),D2442*H2442*Inputs!$C$69,"")</f>
      </c>
      <c r="J2442" s="42">
        <f>IF(AND(ISNUMBER(F2442),ISNUMBER(H2442),F2442&gt;=Inputs!$C$68),F2442*H2442*Inputs!$C$69,"")</f>
      </c>
    </row>
    <row r="2443" spans="2:10" ht="15" customHeight="1" x14ac:dyDescent="0.2">
      <c r="B2443" s="39">
        <f t="shared" si="18"/>
      </c>
      <c r="C2443" s="40">
        <f>IF(Inputs!$C$60,Inputs!$C$11+(B2443-Inputs!$C$69)/Inputs!$C$70,"")</f>
      </c>
      <c r="D2443" s="15"/>
      <c r="E2443" s="15"/>
      <c r="F2443" s="11">
        <f t="shared" si="19"/>
      </c>
      <c r="G2443" s="22" cm="1">
        <f t="array" ref="G2443">IF(AND(Inputs!$C$60,Inputs!$C$61),INDEX(Utility_Rates!$C$29:$F$52,HOUR(C2443)+Inputs!$C$69,MATCH(INDEX(Utility_Rates!$K$6:$K$17,MONTH(C2443))&amp;IF(WEEKDAY(C2443,Inputs!$C$76)&lt;=Inputs!$C$74," weekday"," weekend"),Utility_Rates!$C$28:$F$28,Inputs!$C$68)),"")</f>
      </c>
      <c r="H2443" s="34"/>
      <c r="I2443" s="42">
        <f>IF(AND(ISNUMBER(D2443),ISNUMBER(H2443)),D2443*H2443*Inputs!$C$69,"")</f>
      </c>
      <c r="J2443" s="42">
        <f>IF(AND(ISNUMBER(F2443),ISNUMBER(H2443),F2443&gt;=Inputs!$C$68),F2443*H2443*Inputs!$C$69,"")</f>
      </c>
    </row>
    <row r="2444" spans="2:10" ht="15" customHeight="1" x14ac:dyDescent="0.2">
      <c r="B2444" s="39">
        <f t="shared" si="18"/>
      </c>
      <c r="C2444" s="40">
        <f>IF(Inputs!$C$60,Inputs!$C$11+(B2444-Inputs!$C$69)/Inputs!$C$70,"")</f>
      </c>
      <c r="D2444" s="15"/>
      <c r="E2444" s="15"/>
      <c r="F2444" s="11">
        <f t="shared" si="19"/>
      </c>
      <c r="G2444" s="22" cm="1">
        <f t="array" ref="G2444">IF(AND(Inputs!$C$60,Inputs!$C$61),INDEX(Utility_Rates!$C$29:$F$52,HOUR(C2444)+Inputs!$C$69,MATCH(INDEX(Utility_Rates!$K$6:$K$17,MONTH(C2444))&amp;IF(WEEKDAY(C2444,Inputs!$C$76)&lt;=Inputs!$C$74," weekday"," weekend"),Utility_Rates!$C$28:$F$28,Inputs!$C$68)),"")</f>
      </c>
      <c r="H2444" s="34"/>
      <c r="I2444" s="42">
        <f>IF(AND(ISNUMBER(D2444),ISNUMBER(H2444)),D2444*H2444*Inputs!$C$69,"")</f>
      </c>
      <c r="J2444" s="42">
        <f>IF(AND(ISNUMBER(F2444),ISNUMBER(H2444),F2444&gt;=Inputs!$C$68),F2444*H2444*Inputs!$C$69,"")</f>
      </c>
    </row>
    <row r="2445" spans="2:10" ht="15" customHeight="1" x14ac:dyDescent="0.2">
      <c r="B2445" s="39">
        <f t="shared" si="18"/>
      </c>
      <c r="C2445" s="40">
        <f>IF(Inputs!$C$60,Inputs!$C$11+(B2445-Inputs!$C$69)/Inputs!$C$70,"")</f>
      </c>
      <c r="D2445" s="15"/>
      <c r="E2445" s="15"/>
      <c r="F2445" s="11">
        <f t="shared" si="19"/>
      </c>
      <c r="G2445" s="22" cm="1">
        <f t="array" ref="G2445">IF(AND(Inputs!$C$60,Inputs!$C$61),INDEX(Utility_Rates!$C$29:$F$52,HOUR(C2445)+Inputs!$C$69,MATCH(INDEX(Utility_Rates!$K$6:$K$17,MONTH(C2445))&amp;IF(WEEKDAY(C2445,Inputs!$C$76)&lt;=Inputs!$C$74," weekday"," weekend"),Utility_Rates!$C$28:$F$28,Inputs!$C$68)),"")</f>
      </c>
      <c r="H2445" s="34"/>
      <c r="I2445" s="42">
        <f>IF(AND(ISNUMBER(D2445),ISNUMBER(H2445)),D2445*H2445*Inputs!$C$69,"")</f>
      </c>
      <c r="J2445" s="42">
        <f>IF(AND(ISNUMBER(F2445),ISNUMBER(H2445),F2445&gt;=Inputs!$C$68),F2445*H2445*Inputs!$C$69,"")</f>
      </c>
    </row>
    <row r="2446" spans="2:10" ht="15" customHeight="1" x14ac:dyDescent="0.2">
      <c r="B2446" s="39">
        <f t="shared" si="18"/>
      </c>
      <c r="C2446" s="40">
        <f>IF(Inputs!$C$60,Inputs!$C$11+(B2446-Inputs!$C$69)/Inputs!$C$70,"")</f>
      </c>
      <c r="D2446" s="15"/>
      <c r="E2446" s="15"/>
      <c r="F2446" s="11">
        <f t="shared" si="19"/>
      </c>
      <c r="G2446" s="22" cm="1">
        <f t="array" ref="G2446">IF(AND(Inputs!$C$60,Inputs!$C$61),INDEX(Utility_Rates!$C$29:$F$52,HOUR(C2446)+Inputs!$C$69,MATCH(INDEX(Utility_Rates!$K$6:$K$17,MONTH(C2446))&amp;IF(WEEKDAY(C2446,Inputs!$C$76)&lt;=Inputs!$C$74," weekday"," weekend"),Utility_Rates!$C$28:$F$28,Inputs!$C$68)),"")</f>
      </c>
      <c r="H2446" s="34"/>
      <c r="I2446" s="42">
        <f>IF(AND(ISNUMBER(D2446),ISNUMBER(H2446)),D2446*H2446*Inputs!$C$69,"")</f>
      </c>
      <c r="J2446" s="42">
        <f>IF(AND(ISNUMBER(F2446),ISNUMBER(H2446),F2446&gt;=Inputs!$C$68),F2446*H2446*Inputs!$C$69,"")</f>
      </c>
    </row>
    <row r="2447" spans="2:10" ht="15" customHeight="1" x14ac:dyDescent="0.2">
      <c r="B2447" s="39">
        <f t="shared" si="18"/>
      </c>
      <c r="C2447" s="40">
        <f>IF(Inputs!$C$60,Inputs!$C$11+(B2447-Inputs!$C$69)/Inputs!$C$70,"")</f>
      </c>
      <c r="D2447" s="15"/>
      <c r="E2447" s="15"/>
      <c r="F2447" s="11">
        <f t="shared" si="19"/>
      </c>
      <c r="G2447" s="22" cm="1">
        <f t="array" ref="G2447">IF(AND(Inputs!$C$60,Inputs!$C$61),INDEX(Utility_Rates!$C$29:$F$52,HOUR(C2447)+Inputs!$C$69,MATCH(INDEX(Utility_Rates!$K$6:$K$17,MONTH(C2447))&amp;IF(WEEKDAY(C2447,Inputs!$C$76)&lt;=Inputs!$C$74," weekday"," weekend"),Utility_Rates!$C$28:$F$28,Inputs!$C$68)),"")</f>
      </c>
      <c r="H2447" s="34"/>
      <c r="I2447" s="42">
        <f>IF(AND(ISNUMBER(D2447),ISNUMBER(H2447)),D2447*H2447*Inputs!$C$69,"")</f>
      </c>
      <c r="J2447" s="42">
        <f>IF(AND(ISNUMBER(F2447),ISNUMBER(H2447),F2447&gt;=Inputs!$C$68),F2447*H2447*Inputs!$C$69,"")</f>
      </c>
    </row>
    <row r="2448" spans="2:10" ht="15" customHeight="1" x14ac:dyDescent="0.2">
      <c r="B2448" s="39">
        <f t="shared" si="18"/>
      </c>
      <c r="C2448" s="40">
        <f>IF(Inputs!$C$60,Inputs!$C$11+(B2448-Inputs!$C$69)/Inputs!$C$70,"")</f>
      </c>
      <c r="D2448" s="15"/>
      <c r="E2448" s="15"/>
      <c r="F2448" s="11">
        <f t="shared" si="19"/>
      </c>
      <c r="G2448" s="22" cm="1">
        <f t="array" ref="G2448">IF(AND(Inputs!$C$60,Inputs!$C$61),INDEX(Utility_Rates!$C$29:$F$52,HOUR(C2448)+Inputs!$C$69,MATCH(INDEX(Utility_Rates!$K$6:$K$17,MONTH(C2448))&amp;IF(WEEKDAY(C2448,Inputs!$C$76)&lt;=Inputs!$C$74," weekday"," weekend"),Utility_Rates!$C$28:$F$28,Inputs!$C$68)),"")</f>
      </c>
      <c r="H2448" s="34"/>
      <c r="I2448" s="42">
        <f>IF(AND(ISNUMBER(D2448),ISNUMBER(H2448)),D2448*H2448*Inputs!$C$69,"")</f>
      </c>
      <c r="J2448" s="42">
        <f>IF(AND(ISNUMBER(F2448),ISNUMBER(H2448),F2448&gt;=Inputs!$C$68),F2448*H2448*Inputs!$C$69,"")</f>
      </c>
    </row>
    <row r="2449" spans="2:10" ht="15" customHeight="1" x14ac:dyDescent="0.2">
      <c r="B2449" s="39">
        <f t="shared" si="18"/>
      </c>
      <c r="C2449" s="40">
        <f>IF(Inputs!$C$60,Inputs!$C$11+(B2449-Inputs!$C$69)/Inputs!$C$70,"")</f>
      </c>
      <c r="D2449" s="15"/>
      <c r="E2449" s="15"/>
      <c r="F2449" s="11">
        <f t="shared" si="19"/>
      </c>
      <c r="G2449" s="22" cm="1">
        <f t="array" ref="G2449">IF(AND(Inputs!$C$60,Inputs!$C$61),INDEX(Utility_Rates!$C$29:$F$52,HOUR(C2449)+Inputs!$C$69,MATCH(INDEX(Utility_Rates!$K$6:$K$17,MONTH(C2449))&amp;IF(WEEKDAY(C2449,Inputs!$C$76)&lt;=Inputs!$C$74," weekday"," weekend"),Utility_Rates!$C$28:$F$28,Inputs!$C$68)),"")</f>
      </c>
      <c r="H2449" s="34"/>
      <c r="I2449" s="42">
        <f>IF(AND(ISNUMBER(D2449),ISNUMBER(H2449)),D2449*H2449*Inputs!$C$69,"")</f>
      </c>
      <c r="J2449" s="42">
        <f>IF(AND(ISNUMBER(F2449),ISNUMBER(H2449),F2449&gt;=Inputs!$C$68),F2449*H2449*Inputs!$C$69,"")</f>
      </c>
    </row>
    <row r="2450" spans="2:10" ht="15" customHeight="1" x14ac:dyDescent="0.2">
      <c r="B2450" s="39">
        <f t="shared" si="18"/>
      </c>
      <c r="C2450" s="40">
        <f>IF(Inputs!$C$60,Inputs!$C$11+(B2450-Inputs!$C$69)/Inputs!$C$70,"")</f>
      </c>
      <c r="D2450" s="15"/>
      <c r="E2450" s="15"/>
      <c r="F2450" s="11">
        <f t="shared" si="19"/>
      </c>
      <c r="G2450" s="22" cm="1">
        <f t="array" ref="G2450">IF(AND(Inputs!$C$60,Inputs!$C$61),INDEX(Utility_Rates!$C$29:$F$52,HOUR(C2450)+Inputs!$C$69,MATCH(INDEX(Utility_Rates!$K$6:$K$17,MONTH(C2450))&amp;IF(WEEKDAY(C2450,Inputs!$C$76)&lt;=Inputs!$C$74," weekday"," weekend"),Utility_Rates!$C$28:$F$28,Inputs!$C$68)),"")</f>
      </c>
      <c r="H2450" s="34"/>
      <c r="I2450" s="42">
        <f>IF(AND(ISNUMBER(D2450),ISNUMBER(H2450)),D2450*H2450*Inputs!$C$69,"")</f>
      </c>
      <c r="J2450" s="42">
        <f>IF(AND(ISNUMBER(F2450),ISNUMBER(H2450),F2450&gt;=Inputs!$C$68),F2450*H2450*Inputs!$C$69,"")</f>
      </c>
    </row>
    <row r="2451" spans="2:10" ht="15" customHeight="1" x14ac:dyDescent="0.2">
      <c r="B2451" s="39">
        <f t="shared" si="18"/>
      </c>
      <c r="C2451" s="40">
        <f>IF(Inputs!$C$60,Inputs!$C$11+(B2451-Inputs!$C$69)/Inputs!$C$70,"")</f>
      </c>
      <c r="D2451" s="15"/>
      <c r="E2451" s="15"/>
      <c r="F2451" s="11">
        <f t="shared" si="19"/>
      </c>
      <c r="G2451" s="22" cm="1">
        <f t="array" ref="G2451">IF(AND(Inputs!$C$60,Inputs!$C$61),INDEX(Utility_Rates!$C$29:$F$52,HOUR(C2451)+Inputs!$C$69,MATCH(INDEX(Utility_Rates!$K$6:$K$17,MONTH(C2451))&amp;IF(WEEKDAY(C2451,Inputs!$C$76)&lt;=Inputs!$C$74," weekday"," weekend"),Utility_Rates!$C$28:$F$28,Inputs!$C$68)),"")</f>
      </c>
      <c r="H2451" s="34"/>
      <c r="I2451" s="42">
        <f>IF(AND(ISNUMBER(D2451),ISNUMBER(H2451)),D2451*H2451*Inputs!$C$69,"")</f>
      </c>
      <c r="J2451" s="42">
        <f>IF(AND(ISNUMBER(F2451),ISNUMBER(H2451),F2451&gt;=Inputs!$C$68),F2451*H2451*Inputs!$C$69,"")</f>
      </c>
    </row>
    <row r="2452" spans="2:10" ht="15" customHeight="1" x14ac:dyDescent="0.2">
      <c r="B2452" s="39">
        <f t="shared" si="18"/>
      </c>
      <c r="C2452" s="40">
        <f>IF(Inputs!$C$60,Inputs!$C$11+(B2452-Inputs!$C$69)/Inputs!$C$70,"")</f>
      </c>
      <c r="D2452" s="15"/>
      <c r="E2452" s="15"/>
      <c r="F2452" s="11">
        <f t="shared" si="19"/>
      </c>
      <c r="G2452" s="22" cm="1">
        <f t="array" ref="G2452">IF(AND(Inputs!$C$60,Inputs!$C$61),INDEX(Utility_Rates!$C$29:$F$52,HOUR(C2452)+Inputs!$C$69,MATCH(INDEX(Utility_Rates!$K$6:$K$17,MONTH(C2452))&amp;IF(WEEKDAY(C2452,Inputs!$C$76)&lt;=Inputs!$C$74," weekday"," weekend"),Utility_Rates!$C$28:$F$28,Inputs!$C$68)),"")</f>
      </c>
      <c r="H2452" s="34"/>
      <c r="I2452" s="42">
        <f>IF(AND(ISNUMBER(D2452),ISNUMBER(H2452)),D2452*H2452*Inputs!$C$69,"")</f>
      </c>
      <c r="J2452" s="42">
        <f>IF(AND(ISNUMBER(F2452),ISNUMBER(H2452),F2452&gt;=Inputs!$C$68),F2452*H2452*Inputs!$C$69,"")</f>
      </c>
    </row>
    <row r="2453" spans="2:10" ht="15" customHeight="1" x14ac:dyDescent="0.2">
      <c r="B2453" s="39">
        <f t="shared" si="18"/>
      </c>
      <c r="C2453" s="40">
        <f>IF(Inputs!$C$60,Inputs!$C$11+(B2453-Inputs!$C$69)/Inputs!$C$70,"")</f>
      </c>
      <c r="D2453" s="15"/>
      <c r="E2453" s="15"/>
      <c r="F2453" s="11">
        <f t="shared" si="19"/>
      </c>
      <c r="G2453" s="22" cm="1">
        <f t="array" ref="G2453">IF(AND(Inputs!$C$60,Inputs!$C$61),INDEX(Utility_Rates!$C$29:$F$52,HOUR(C2453)+Inputs!$C$69,MATCH(INDEX(Utility_Rates!$K$6:$K$17,MONTH(C2453))&amp;IF(WEEKDAY(C2453,Inputs!$C$76)&lt;=Inputs!$C$74," weekday"," weekend"),Utility_Rates!$C$28:$F$28,Inputs!$C$68)),"")</f>
      </c>
      <c r="H2453" s="34"/>
      <c r="I2453" s="42">
        <f>IF(AND(ISNUMBER(D2453),ISNUMBER(H2453)),D2453*H2453*Inputs!$C$69,"")</f>
      </c>
      <c r="J2453" s="42">
        <f>IF(AND(ISNUMBER(F2453),ISNUMBER(H2453),F2453&gt;=Inputs!$C$68),F2453*H2453*Inputs!$C$69,"")</f>
      </c>
    </row>
    <row r="2454" spans="2:10" ht="15" customHeight="1" x14ac:dyDescent="0.2">
      <c r="B2454" s="39">
        <f t="shared" si="18"/>
      </c>
      <c r="C2454" s="40">
        <f>IF(Inputs!$C$60,Inputs!$C$11+(B2454-Inputs!$C$69)/Inputs!$C$70,"")</f>
      </c>
      <c r="D2454" s="15"/>
      <c r="E2454" s="15"/>
      <c r="F2454" s="11">
        <f t="shared" si="19"/>
      </c>
      <c r="G2454" s="22" cm="1">
        <f t="array" ref="G2454">IF(AND(Inputs!$C$60,Inputs!$C$61),INDEX(Utility_Rates!$C$29:$F$52,HOUR(C2454)+Inputs!$C$69,MATCH(INDEX(Utility_Rates!$K$6:$K$17,MONTH(C2454))&amp;IF(WEEKDAY(C2454,Inputs!$C$76)&lt;=Inputs!$C$74," weekday"," weekend"),Utility_Rates!$C$28:$F$28,Inputs!$C$68)),"")</f>
      </c>
      <c r="H2454" s="34"/>
      <c r="I2454" s="42">
        <f>IF(AND(ISNUMBER(D2454),ISNUMBER(H2454)),D2454*H2454*Inputs!$C$69,"")</f>
      </c>
      <c r="J2454" s="42">
        <f>IF(AND(ISNUMBER(F2454),ISNUMBER(H2454),F2454&gt;=Inputs!$C$68),F2454*H2454*Inputs!$C$69,"")</f>
      </c>
    </row>
    <row r="2455" spans="2:10" ht="15" customHeight="1" x14ac:dyDescent="0.2">
      <c r="B2455" s="39">
        <f t="shared" si="18"/>
      </c>
      <c r="C2455" s="40">
        <f>IF(Inputs!$C$60,Inputs!$C$11+(B2455-Inputs!$C$69)/Inputs!$C$70,"")</f>
      </c>
      <c r="D2455" s="15"/>
      <c r="E2455" s="15"/>
      <c r="F2455" s="11">
        <f t="shared" si="19"/>
      </c>
      <c r="G2455" s="22" cm="1">
        <f t="array" ref="G2455">IF(AND(Inputs!$C$60,Inputs!$C$61),INDEX(Utility_Rates!$C$29:$F$52,HOUR(C2455)+Inputs!$C$69,MATCH(INDEX(Utility_Rates!$K$6:$K$17,MONTH(C2455))&amp;IF(WEEKDAY(C2455,Inputs!$C$76)&lt;=Inputs!$C$74," weekday"," weekend"),Utility_Rates!$C$28:$F$28,Inputs!$C$68)),"")</f>
      </c>
      <c r="H2455" s="34"/>
      <c r="I2455" s="42">
        <f>IF(AND(ISNUMBER(D2455),ISNUMBER(H2455)),D2455*H2455*Inputs!$C$69,"")</f>
      </c>
      <c r="J2455" s="42">
        <f>IF(AND(ISNUMBER(F2455),ISNUMBER(H2455),F2455&gt;=Inputs!$C$68),F2455*H2455*Inputs!$C$69,"")</f>
      </c>
    </row>
    <row r="2456" spans="2:10" ht="15" customHeight="1" x14ac:dyDescent="0.2">
      <c r="B2456" s="39">
        <f t="shared" si="18"/>
      </c>
      <c r="C2456" s="40">
        <f>IF(Inputs!$C$60,Inputs!$C$11+(B2456-Inputs!$C$69)/Inputs!$C$70,"")</f>
      </c>
      <c r="D2456" s="15"/>
      <c r="E2456" s="15"/>
      <c r="F2456" s="11">
        <f t="shared" si="19"/>
      </c>
      <c r="G2456" s="22" cm="1">
        <f t="array" ref="G2456">IF(AND(Inputs!$C$60,Inputs!$C$61),INDEX(Utility_Rates!$C$29:$F$52,HOUR(C2456)+Inputs!$C$69,MATCH(INDEX(Utility_Rates!$K$6:$K$17,MONTH(C2456))&amp;IF(WEEKDAY(C2456,Inputs!$C$76)&lt;=Inputs!$C$74," weekday"," weekend"),Utility_Rates!$C$28:$F$28,Inputs!$C$68)),"")</f>
      </c>
      <c r="H2456" s="34"/>
      <c r="I2456" s="42">
        <f>IF(AND(ISNUMBER(D2456),ISNUMBER(H2456)),D2456*H2456*Inputs!$C$69,"")</f>
      </c>
      <c r="J2456" s="42">
        <f>IF(AND(ISNUMBER(F2456),ISNUMBER(H2456),F2456&gt;=Inputs!$C$68),F2456*H2456*Inputs!$C$69,"")</f>
      </c>
    </row>
    <row r="2457" spans="2:10" ht="15" customHeight="1" x14ac:dyDescent="0.2">
      <c r="B2457" s="39">
        <f t="shared" si="18"/>
      </c>
      <c r="C2457" s="40">
        <f>IF(Inputs!$C$60,Inputs!$C$11+(B2457-Inputs!$C$69)/Inputs!$C$70,"")</f>
      </c>
      <c r="D2457" s="15"/>
      <c r="E2457" s="15"/>
      <c r="F2457" s="11">
        <f t="shared" si="19"/>
      </c>
      <c r="G2457" s="22" cm="1">
        <f t="array" ref="G2457">IF(AND(Inputs!$C$60,Inputs!$C$61),INDEX(Utility_Rates!$C$29:$F$52,HOUR(C2457)+Inputs!$C$69,MATCH(INDEX(Utility_Rates!$K$6:$K$17,MONTH(C2457))&amp;IF(WEEKDAY(C2457,Inputs!$C$76)&lt;=Inputs!$C$74," weekday"," weekend"),Utility_Rates!$C$28:$F$28,Inputs!$C$68)),"")</f>
      </c>
      <c r="H2457" s="34"/>
      <c r="I2457" s="42">
        <f>IF(AND(ISNUMBER(D2457),ISNUMBER(H2457)),D2457*H2457*Inputs!$C$69,"")</f>
      </c>
      <c r="J2457" s="42">
        <f>IF(AND(ISNUMBER(F2457),ISNUMBER(H2457),F2457&gt;=Inputs!$C$68),F2457*H2457*Inputs!$C$69,"")</f>
      </c>
    </row>
    <row r="2458" spans="2:10" ht="15" customHeight="1" x14ac:dyDescent="0.2">
      <c r="B2458" s="39">
        <f t="shared" si="18"/>
      </c>
      <c r="C2458" s="40">
        <f>IF(Inputs!$C$60,Inputs!$C$11+(B2458-Inputs!$C$69)/Inputs!$C$70,"")</f>
      </c>
      <c r="D2458" s="15"/>
      <c r="E2458" s="15"/>
      <c r="F2458" s="11">
        <f t="shared" si="19"/>
      </c>
      <c r="G2458" s="22" cm="1">
        <f t="array" ref="G2458">IF(AND(Inputs!$C$60,Inputs!$C$61),INDEX(Utility_Rates!$C$29:$F$52,HOUR(C2458)+Inputs!$C$69,MATCH(INDEX(Utility_Rates!$K$6:$K$17,MONTH(C2458))&amp;IF(WEEKDAY(C2458,Inputs!$C$76)&lt;=Inputs!$C$74," weekday"," weekend"),Utility_Rates!$C$28:$F$28,Inputs!$C$68)),"")</f>
      </c>
      <c r="H2458" s="34"/>
      <c r="I2458" s="42">
        <f>IF(AND(ISNUMBER(D2458),ISNUMBER(H2458)),D2458*H2458*Inputs!$C$69,"")</f>
      </c>
      <c r="J2458" s="42">
        <f>IF(AND(ISNUMBER(F2458),ISNUMBER(H2458),F2458&gt;=Inputs!$C$68),F2458*H2458*Inputs!$C$69,"")</f>
      </c>
    </row>
    <row r="2459" spans="2:10" ht="15" customHeight="1" x14ac:dyDescent="0.2">
      <c r="B2459" s="39">
        <f t="shared" si="18"/>
      </c>
      <c r="C2459" s="40">
        <f>IF(Inputs!$C$60,Inputs!$C$11+(B2459-Inputs!$C$69)/Inputs!$C$70,"")</f>
      </c>
      <c r="D2459" s="15"/>
      <c r="E2459" s="15"/>
      <c r="F2459" s="11">
        <f t="shared" si="19"/>
      </c>
      <c r="G2459" s="22" cm="1">
        <f t="array" ref="G2459">IF(AND(Inputs!$C$60,Inputs!$C$61),INDEX(Utility_Rates!$C$29:$F$52,HOUR(C2459)+Inputs!$C$69,MATCH(INDEX(Utility_Rates!$K$6:$K$17,MONTH(C2459))&amp;IF(WEEKDAY(C2459,Inputs!$C$76)&lt;=Inputs!$C$74," weekday"," weekend"),Utility_Rates!$C$28:$F$28,Inputs!$C$68)),"")</f>
      </c>
      <c r="H2459" s="34"/>
      <c r="I2459" s="42">
        <f>IF(AND(ISNUMBER(D2459),ISNUMBER(H2459)),D2459*H2459*Inputs!$C$69,"")</f>
      </c>
      <c r="J2459" s="42">
        <f>IF(AND(ISNUMBER(F2459),ISNUMBER(H2459),F2459&gt;=Inputs!$C$68),F2459*H2459*Inputs!$C$69,"")</f>
      </c>
    </row>
    <row r="2460" spans="2:10" ht="15" customHeight="1" x14ac:dyDescent="0.2">
      <c r="B2460" s="39">
        <f t="shared" si="18"/>
      </c>
      <c r="C2460" s="40">
        <f>IF(Inputs!$C$60,Inputs!$C$11+(B2460-Inputs!$C$69)/Inputs!$C$70,"")</f>
      </c>
      <c r="D2460" s="15"/>
      <c r="E2460" s="15"/>
      <c r="F2460" s="11">
        <f t="shared" si="19"/>
      </c>
      <c r="G2460" s="22" cm="1">
        <f t="array" ref="G2460">IF(AND(Inputs!$C$60,Inputs!$C$61),INDEX(Utility_Rates!$C$29:$F$52,HOUR(C2460)+Inputs!$C$69,MATCH(INDEX(Utility_Rates!$K$6:$K$17,MONTH(C2460))&amp;IF(WEEKDAY(C2460,Inputs!$C$76)&lt;=Inputs!$C$74," weekday"," weekend"),Utility_Rates!$C$28:$F$28,Inputs!$C$68)),"")</f>
      </c>
      <c r="H2460" s="34"/>
      <c r="I2460" s="42">
        <f>IF(AND(ISNUMBER(D2460),ISNUMBER(H2460)),D2460*H2460*Inputs!$C$69,"")</f>
      </c>
      <c r="J2460" s="42">
        <f>IF(AND(ISNUMBER(F2460),ISNUMBER(H2460),F2460&gt;=Inputs!$C$68),F2460*H2460*Inputs!$C$69,"")</f>
      </c>
    </row>
    <row r="2461" spans="2:10" ht="15" customHeight="1" x14ac:dyDescent="0.2">
      <c r="B2461" s="39">
        <f t="shared" si="18"/>
      </c>
      <c r="C2461" s="40">
        <f>IF(Inputs!$C$60,Inputs!$C$11+(B2461-Inputs!$C$69)/Inputs!$C$70,"")</f>
      </c>
      <c r="D2461" s="15"/>
      <c r="E2461" s="15"/>
      <c r="F2461" s="11">
        <f t="shared" si="19"/>
      </c>
      <c r="G2461" s="22" cm="1">
        <f t="array" ref="G2461">IF(AND(Inputs!$C$60,Inputs!$C$61),INDEX(Utility_Rates!$C$29:$F$52,HOUR(C2461)+Inputs!$C$69,MATCH(INDEX(Utility_Rates!$K$6:$K$17,MONTH(C2461))&amp;IF(WEEKDAY(C2461,Inputs!$C$76)&lt;=Inputs!$C$74," weekday"," weekend"),Utility_Rates!$C$28:$F$28,Inputs!$C$68)),"")</f>
      </c>
      <c r="H2461" s="34"/>
      <c r="I2461" s="42">
        <f>IF(AND(ISNUMBER(D2461),ISNUMBER(H2461)),D2461*H2461*Inputs!$C$69,"")</f>
      </c>
      <c r="J2461" s="42">
        <f>IF(AND(ISNUMBER(F2461),ISNUMBER(H2461),F2461&gt;=Inputs!$C$68),F2461*H2461*Inputs!$C$69,"")</f>
      </c>
    </row>
    <row r="2462" spans="2:10" ht="15" customHeight="1" x14ac:dyDescent="0.2">
      <c r="B2462" s="39">
        <f t="shared" si="18"/>
      </c>
      <c r="C2462" s="40">
        <f>IF(Inputs!$C$60,Inputs!$C$11+(B2462-Inputs!$C$69)/Inputs!$C$70,"")</f>
      </c>
      <c r="D2462" s="15"/>
      <c r="E2462" s="15"/>
      <c r="F2462" s="11">
        <f t="shared" si="19"/>
      </c>
      <c r="G2462" s="22" cm="1">
        <f t="array" ref="G2462">IF(AND(Inputs!$C$60,Inputs!$C$61),INDEX(Utility_Rates!$C$29:$F$52,HOUR(C2462)+Inputs!$C$69,MATCH(INDEX(Utility_Rates!$K$6:$K$17,MONTH(C2462))&amp;IF(WEEKDAY(C2462,Inputs!$C$76)&lt;=Inputs!$C$74," weekday"," weekend"),Utility_Rates!$C$28:$F$28,Inputs!$C$68)),"")</f>
      </c>
      <c r="H2462" s="34"/>
      <c r="I2462" s="42">
        <f>IF(AND(ISNUMBER(D2462),ISNUMBER(H2462)),D2462*H2462*Inputs!$C$69,"")</f>
      </c>
      <c r="J2462" s="42">
        <f>IF(AND(ISNUMBER(F2462),ISNUMBER(H2462),F2462&gt;=Inputs!$C$68),F2462*H2462*Inputs!$C$69,"")</f>
      </c>
    </row>
    <row r="2463" spans="2:10" ht="15" customHeight="1" x14ac:dyDescent="0.2">
      <c r="B2463" s="39">
        <f t="shared" si="18"/>
      </c>
      <c r="C2463" s="40">
        <f>IF(Inputs!$C$60,Inputs!$C$11+(B2463-Inputs!$C$69)/Inputs!$C$70,"")</f>
      </c>
      <c r="D2463" s="15"/>
      <c r="E2463" s="15"/>
      <c r="F2463" s="11">
        <f t="shared" si="19"/>
      </c>
      <c r="G2463" s="22" cm="1">
        <f t="array" ref="G2463">IF(AND(Inputs!$C$60,Inputs!$C$61),INDEX(Utility_Rates!$C$29:$F$52,HOUR(C2463)+Inputs!$C$69,MATCH(INDEX(Utility_Rates!$K$6:$K$17,MONTH(C2463))&amp;IF(WEEKDAY(C2463,Inputs!$C$76)&lt;=Inputs!$C$74," weekday"," weekend"),Utility_Rates!$C$28:$F$28,Inputs!$C$68)),"")</f>
      </c>
      <c r="H2463" s="34"/>
      <c r="I2463" s="42">
        <f>IF(AND(ISNUMBER(D2463),ISNUMBER(H2463)),D2463*H2463*Inputs!$C$69,"")</f>
      </c>
      <c r="J2463" s="42">
        <f>IF(AND(ISNUMBER(F2463),ISNUMBER(H2463),F2463&gt;=Inputs!$C$68),F2463*H2463*Inputs!$C$69,"")</f>
      </c>
    </row>
    <row r="2464" spans="2:10" ht="15" customHeight="1" x14ac:dyDescent="0.2">
      <c r="B2464" s="39">
        <f t="shared" si="18"/>
      </c>
      <c r="C2464" s="40">
        <f>IF(Inputs!$C$60,Inputs!$C$11+(B2464-Inputs!$C$69)/Inputs!$C$70,"")</f>
      </c>
      <c r="D2464" s="15"/>
      <c r="E2464" s="15"/>
      <c r="F2464" s="11">
        <f t="shared" si="19"/>
      </c>
      <c r="G2464" s="22" cm="1">
        <f t="array" ref="G2464">IF(AND(Inputs!$C$60,Inputs!$C$61),INDEX(Utility_Rates!$C$29:$F$52,HOUR(C2464)+Inputs!$C$69,MATCH(INDEX(Utility_Rates!$K$6:$K$17,MONTH(C2464))&amp;IF(WEEKDAY(C2464,Inputs!$C$76)&lt;=Inputs!$C$74," weekday"," weekend"),Utility_Rates!$C$28:$F$28,Inputs!$C$68)),"")</f>
      </c>
      <c r="H2464" s="34"/>
      <c r="I2464" s="42">
        <f>IF(AND(ISNUMBER(D2464),ISNUMBER(H2464)),D2464*H2464*Inputs!$C$69,"")</f>
      </c>
      <c r="J2464" s="42">
        <f>IF(AND(ISNUMBER(F2464),ISNUMBER(H2464),F2464&gt;=Inputs!$C$68),F2464*H2464*Inputs!$C$69,"")</f>
      </c>
    </row>
    <row r="2465" spans="2:10" ht="15" customHeight="1" x14ac:dyDescent="0.2">
      <c r="B2465" s="39">
        <f t="shared" si="18"/>
      </c>
      <c r="C2465" s="40">
        <f>IF(Inputs!$C$60,Inputs!$C$11+(B2465-Inputs!$C$69)/Inputs!$C$70,"")</f>
      </c>
      <c r="D2465" s="15"/>
      <c r="E2465" s="15"/>
      <c r="F2465" s="11">
        <f t="shared" si="19"/>
      </c>
      <c r="G2465" s="22" cm="1">
        <f t="array" ref="G2465">IF(AND(Inputs!$C$60,Inputs!$C$61),INDEX(Utility_Rates!$C$29:$F$52,HOUR(C2465)+Inputs!$C$69,MATCH(INDEX(Utility_Rates!$K$6:$K$17,MONTH(C2465))&amp;IF(WEEKDAY(C2465,Inputs!$C$76)&lt;=Inputs!$C$74," weekday"," weekend"),Utility_Rates!$C$28:$F$28,Inputs!$C$68)),"")</f>
      </c>
      <c r="H2465" s="34"/>
      <c r="I2465" s="42">
        <f>IF(AND(ISNUMBER(D2465),ISNUMBER(H2465)),D2465*H2465*Inputs!$C$69,"")</f>
      </c>
      <c r="J2465" s="42">
        <f>IF(AND(ISNUMBER(F2465),ISNUMBER(H2465),F2465&gt;=Inputs!$C$68),F2465*H2465*Inputs!$C$69,"")</f>
      </c>
    </row>
    <row r="2466" spans="2:10" ht="15" customHeight="1" x14ac:dyDescent="0.2">
      <c r="B2466" s="39">
        <f t="shared" si="18"/>
      </c>
      <c r="C2466" s="40">
        <f>IF(Inputs!$C$60,Inputs!$C$11+(B2466-Inputs!$C$69)/Inputs!$C$70,"")</f>
      </c>
      <c r="D2466" s="15"/>
      <c r="E2466" s="15"/>
      <c r="F2466" s="11">
        <f t="shared" si="19"/>
      </c>
      <c r="G2466" s="22" cm="1">
        <f t="array" ref="G2466">IF(AND(Inputs!$C$60,Inputs!$C$61),INDEX(Utility_Rates!$C$29:$F$52,HOUR(C2466)+Inputs!$C$69,MATCH(INDEX(Utility_Rates!$K$6:$K$17,MONTH(C2466))&amp;IF(WEEKDAY(C2466,Inputs!$C$76)&lt;=Inputs!$C$74," weekday"," weekend"),Utility_Rates!$C$28:$F$28,Inputs!$C$68)),"")</f>
      </c>
      <c r="H2466" s="34"/>
      <c r="I2466" s="42">
        <f>IF(AND(ISNUMBER(D2466),ISNUMBER(H2466)),D2466*H2466*Inputs!$C$69,"")</f>
      </c>
      <c r="J2466" s="42">
        <f>IF(AND(ISNUMBER(F2466),ISNUMBER(H2466),F2466&gt;=Inputs!$C$68),F2466*H2466*Inputs!$C$69,"")</f>
      </c>
    </row>
    <row r="2467" spans="2:10" ht="15" customHeight="1" x14ac:dyDescent="0.2">
      <c r="B2467" s="39">
        <f t="shared" si="18"/>
      </c>
      <c r="C2467" s="40">
        <f>IF(Inputs!$C$60,Inputs!$C$11+(B2467-Inputs!$C$69)/Inputs!$C$70,"")</f>
      </c>
      <c r="D2467" s="15"/>
      <c r="E2467" s="15"/>
      <c r="F2467" s="11">
        <f t="shared" si="19"/>
      </c>
      <c r="G2467" s="22" cm="1">
        <f t="array" ref="G2467">IF(AND(Inputs!$C$60,Inputs!$C$61),INDEX(Utility_Rates!$C$29:$F$52,HOUR(C2467)+Inputs!$C$69,MATCH(INDEX(Utility_Rates!$K$6:$K$17,MONTH(C2467))&amp;IF(WEEKDAY(C2467,Inputs!$C$76)&lt;=Inputs!$C$74," weekday"," weekend"),Utility_Rates!$C$28:$F$28,Inputs!$C$68)),"")</f>
      </c>
      <c r="H2467" s="34"/>
      <c r="I2467" s="42">
        <f>IF(AND(ISNUMBER(D2467),ISNUMBER(H2467)),D2467*H2467*Inputs!$C$69,"")</f>
      </c>
      <c r="J2467" s="42">
        <f>IF(AND(ISNUMBER(F2467),ISNUMBER(H2467),F2467&gt;=Inputs!$C$68),F2467*H2467*Inputs!$C$69,"")</f>
      </c>
    </row>
    <row r="2468" spans="2:10" ht="15" customHeight="1" x14ac:dyDescent="0.2">
      <c r="B2468" s="39">
        <f t="shared" si="18"/>
      </c>
      <c r="C2468" s="40">
        <f>IF(Inputs!$C$60,Inputs!$C$11+(B2468-Inputs!$C$69)/Inputs!$C$70,"")</f>
      </c>
      <c r="D2468" s="15"/>
      <c r="E2468" s="15"/>
      <c r="F2468" s="11">
        <f t="shared" si="19"/>
      </c>
      <c r="G2468" s="22" cm="1">
        <f t="array" ref="G2468">IF(AND(Inputs!$C$60,Inputs!$C$61),INDEX(Utility_Rates!$C$29:$F$52,HOUR(C2468)+Inputs!$C$69,MATCH(INDEX(Utility_Rates!$K$6:$K$17,MONTH(C2468))&amp;IF(WEEKDAY(C2468,Inputs!$C$76)&lt;=Inputs!$C$74," weekday"," weekend"),Utility_Rates!$C$28:$F$28,Inputs!$C$68)),"")</f>
      </c>
      <c r="H2468" s="34"/>
      <c r="I2468" s="42">
        <f>IF(AND(ISNUMBER(D2468),ISNUMBER(H2468)),D2468*H2468*Inputs!$C$69,"")</f>
      </c>
      <c r="J2468" s="42">
        <f>IF(AND(ISNUMBER(F2468),ISNUMBER(H2468),F2468&gt;=Inputs!$C$68),F2468*H2468*Inputs!$C$69,"")</f>
      </c>
    </row>
    <row r="2469" spans="2:10" ht="15" customHeight="1" x14ac:dyDescent="0.2">
      <c r="B2469" s="39">
        <f t="shared" si="18"/>
      </c>
      <c r="C2469" s="40">
        <f>IF(Inputs!$C$60,Inputs!$C$11+(B2469-Inputs!$C$69)/Inputs!$C$70,"")</f>
      </c>
      <c r="D2469" s="15"/>
      <c r="E2469" s="15"/>
      <c r="F2469" s="11">
        <f t="shared" si="19"/>
      </c>
      <c r="G2469" s="22" cm="1">
        <f t="array" ref="G2469">IF(AND(Inputs!$C$60,Inputs!$C$61),INDEX(Utility_Rates!$C$29:$F$52,HOUR(C2469)+Inputs!$C$69,MATCH(INDEX(Utility_Rates!$K$6:$K$17,MONTH(C2469))&amp;IF(WEEKDAY(C2469,Inputs!$C$76)&lt;=Inputs!$C$74," weekday"," weekend"),Utility_Rates!$C$28:$F$28,Inputs!$C$68)),"")</f>
      </c>
      <c r="H2469" s="34"/>
      <c r="I2469" s="42">
        <f>IF(AND(ISNUMBER(D2469),ISNUMBER(H2469)),D2469*H2469*Inputs!$C$69,"")</f>
      </c>
      <c r="J2469" s="42">
        <f>IF(AND(ISNUMBER(F2469),ISNUMBER(H2469),F2469&gt;=Inputs!$C$68),F2469*H2469*Inputs!$C$69,"")</f>
      </c>
    </row>
    <row r="2470" spans="2:10" ht="15" customHeight="1" x14ac:dyDescent="0.2">
      <c r="B2470" s="39">
        <f t="shared" si="18"/>
      </c>
      <c r="C2470" s="40">
        <f>IF(Inputs!$C$60,Inputs!$C$11+(B2470-Inputs!$C$69)/Inputs!$C$70,"")</f>
      </c>
      <c r="D2470" s="15"/>
      <c r="E2470" s="15"/>
      <c r="F2470" s="11">
        <f t="shared" si="19"/>
      </c>
      <c r="G2470" s="22" cm="1">
        <f t="array" ref="G2470">IF(AND(Inputs!$C$60,Inputs!$C$61),INDEX(Utility_Rates!$C$29:$F$52,HOUR(C2470)+Inputs!$C$69,MATCH(INDEX(Utility_Rates!$K$6:$K$17,MONTH(C2470))&amp;IF(WEEKDAY(C2470,Inputs!$C$76)&lt;=Inputs!$C$74," weekday"," weekend"),Utility_Rates!$C$28:$F$28,Inputs!$C$68)),"")</f>
      </c>
      <c r="H2470" s="34"/>
      <c r="I2470" s="42">
        <f>IF(AND(ISNUMBER(D2470),ISNUMBER(H2470)),D2470*H2470*Inputs!$C$69,"")</f>
      </c>
      <c r="J2470" s="42">
        <f>IF(AND(ISNUMBER(F2470),ISNUMBER(H2470),F2470&gt;=Inputs!$C$68),F2470*H2470*Inputs!$C$69,"")</f>
      </c>
    </row>
    <row r="2471" spans="2:10" ht="15" customHeight="1" x14ac:dyDescent="0.2">
      <c r="B2471" s="39">
        <f t="shared" si="18"/>
      </c>
      <c r="C2471" s="40">
        <f>IF(Inputs!$C$60,Inputs!$C$11+(B2471-Inputs!$C$69)/Inputs!$C$70,"")</f>
      </c>
      <c r="D2471" s="15"/>
      <c r="E2471" s="15"/>
      <c r="F2471" s="11">
        <f t="shared" si="19"/>
      </c>
      <c r="G2471" s="22" cm="1">
        <f t="array" ref="G2471">IF(AND(Inputs!$C$60,Inputs!$C$61),INDEX(Utility_Rates!$C$29:$F$52,HOUR(C2471)+Inputs!$C$69,MATCH(INDEX(Utility_Rates!$K$6:$K$17,MONTH(C2471))&amp;IF(WEEKDAY(C2471,Inputs!$C$76)&lt;=Inputs!$C$74," weekday"," weekend"),Utility_Rates!$C$28:$F$28,Inputs!$C$68)),"")</f>
      </c>
      <c r="H2471" s="34"/>
      <c r="I2471" s="42">
        <f>IF(AND(ISNUMBER(D2471),ISNUMBER(H2471)),D2471*H2471*Inputs!$C$69,"")</f>
      </c>
      <c r="J2471" s="42">
        <f>IF(AND(ISNUMBER(F2471),ISNUMBER(H2471),F2471&gt;=Inputs!$C$68),F2471*H2471*Inputs!$C$69,"")</f>
      </c>
    </row>
    <row r="2472" spans="2:10" ht="15" customHeight="1" x14ac:dyDescent="0.2">
      <c r="B2472" s="39">
        <f t="shared" si="18"/>
      </c>
      <c r="C2472" s="40">
        <f>IF(Inputs!$C$60,Inputs!$C$11+(B2472-Inputs!$C$69)/Inputs!$C$70,"")</f>
      </c>
      <c r="D2472" s="15"/>
      <c r="E2472" s="15"/>
      <c r="F2472" s="11">
        <f t="shared" si="19"/>
      </c>
      <c r="G2472" s="22" cm="1">
        <f t="array" ref="G2472">IF(AND(Inputs!$C$60,Inputs!$C$61),INDEX(Utility_Rates!$C$29:$F$52,HOUR(C2472)+Inputs!$C$69,MATCH(INDEX(Utility_Rates!$K$6:$K$17,MONTH(C2472))&amp;IF(WEEKDAY(C2472,Inputs!$C$76)&lt;=Inputs!$C$74," weekday"," weekend"),Utility_Rates!$C$28:$F$28,Inputs!$C$68)),"")</f>
      </c>
      <c r="H2472" s="34"/>
      <c r="I2472" s="42">
        <f>IF(AND(ISNUMBER(D2472),ISNUMBER(H2472)),D2472*H2472*Inputs!$C$69,"")</f>
      </c>
      <c r="J2472" s="42">
        <f>IF(AND(ISNUMBER(F2472),ISNUMBER(H2472),F2472&gt;=Inputs!$C$68),F2472*H2472*Inputs!$C$69,"")</f>
      </c>
    </row>
    <row r="2473" spans="2:10" ht="15" customHeight="1" x14ac:dyDescent="0.2">
      <c r="B2473" s="39">
        <f t="shared" si="18"/>
      </c>
      <c r="C2473" s="40">
        <f>IF(Inputs!$C$60,Inputs!$C$11+(B2473-Inputs!$C$69)/Inputs!$C$70,"")</f>
      </c>
      <c r="D2473" s="15"/>
      <c r="E2473" s="15"/>
      <c r="F2473" s="11">
        <f t="shared" si="19"/>
      </c>
      <c r="G2473" s="22" cm="1">
        <f t="array" ref="G2473">IF(AND(Inputs!$C$60,Inputs!$C$61),INDEX(Utility_Rates!$C$29:$F$52,HOUR(C2473)+Inputs!$C$69,MATCH(INDEX(Utility_Rates!$K$6:$K$17,MONTH(C2473))&amp;IF(WEEKDAY(C2473,Inputs!$C$76)&lt;=Inputs!$C$74," weekday"," weekend"),Utility_Rates!$C$28:$F$28,Inputs!$C$68)),"")</f>
      </c>
      <c r="H2473" s="34"/>
      <c r="I2473" s="42">
        <f>IF(AND(ISNUMBER(D2473),ISNUMBER(H2473)),D2473*H2473*Inputs!$C$69,"")</f>
      </c>
      <c r="J2473" s="42">
        <f>IF(AND(ISNUMBER(F2473),ISNUMBER(H2473),F2473&gt;=Inputs!$C$68),F2473*H2473*Inputs!$C$69,"")</f>
      </c>
    </row>
    <row r="2474" spans="2:10" ht="15" customHeight="1" x14ac:dyDescent="0.2">
      <c r="B2474" s="39">
        <f t="shared" si="18"/>
      </c>
      <c r="C2474" s="40">
        <f>IF(Inputs!$C$60,Inputs!$C$11+(B2474-Inputs!$C$69)/Inputs!$C$70,"")</f>
      </c>
      <c r="D2474" s="15"/>
      <c r="E2474" s="15"/>
      <c r="F2474" s="11">
        <f t="shared" si="19"/>
      </c>
      <c r="G2474" s="22" cm="1">
        <f t="array" ref="G2474">IF(AND(Inputs!$C$60,Inputs!$C$61),INDEX(Utility_Rates!$C$29:$F$52,HOUR(C2474)+Inputs!$C$69,MATCH(INDEX(Utility_Rates!$K$6:$K$17,MONTH(C2474))&amp;IF(WEEKDAY(C2474,Inputs!$C$76)&lt;=Inputs!$C$74," weekday"," weekend"),Utility_Rates!$C$28:$F$28,Inputs!$C$68)),"")</f>
      </c>
      <c r="H2474" s="34"/>
      <c r="I2474" s="42">
        <f>IF(AND(ISNUMBER(D2474),ISNUMBER(H2474)),D2474*H2474*Inputs!$C$69,"")</f>
      </c>
      <c r="J2474" s="42">
        <f>IF(AND(ISNUMBER(F2474),ISNUMBER(H2474),F2474&gt;=Inputs!$C$68),F2474*H2474*Inputs!$C$69,"")</f>
      </c>
    </row>
    <row r="2475" spans="2:10" ht="15" customHeight="1" x14ac:dyDescent="0.2">
      <c r="B2475" s="39">
        <f t="shared" si="18"/>
      </c>
      <c r="C2475" s="40">
        <f>IF(Inputs!$C$60,Inputs!$C$11+(B2475-Inputs!$C$69)/Inputs!$C$70,"")</f>
      </c>
      <c r="D2475" s="15"/>
      <c r="E2475" s="15"/>
      <c r="F2475" s="11">
        <f t="shared" si="19"/>
      </c>
      <c r="G2475" s="22" cm="1">
        <f t="array" ref="G2475">IF(AND(Inputs!$C$60,Inputs!$C$61),INDEX(Utility_Rates!$C$29:$F$52,HOUR(C2475)+Inputs!$C$69,MATCH(INDEX(Utility_Rates!$K$6:$K$17,MONTH(C2475))&amp;IF(WEEKDAY(C2475,Inputs!$C$76)&lt;=Inputs!$C$74," weekday"," weekend"),Utility_Rates!$C$28:$F$28,Inputs!$C$68)),"")</f>
      </c>
      <c r="H2475" s="34"/>
      <c r="I2475" s="42">
        <f>IF(AND(ISNUMBER(D2475),ISNUMBER(H2475)),D2475*H2475*Inputs!$C$69,"")</f>
      </c>
      <c r="J2475" s="42">
        <f>IF(AND(ISNUMBER(F2475),ISNUMBER(H2475),F2475&gt;=Inputs!$C$68),F2475*H2475*Inputs!$C$69,"")</f>
      </c>
    </row>
    <row r="2476" spans="2:10" ht="15" customHeight="1" x14ac:dyDescent="0.2">
      <c r="B2476" s="39">
        <f t="shared" si="18"/>
      </c>
      <c r="C2476" s="40">
        <f>IF(Inputs!$C$60,Inputs!$C$11+(B2476-Inputs!$C$69)/Inputs!$C$70,"")</f>
      </c>
      <c r="D2476" s="15"/>
      <c r="E2476" s="15"/>
      <c r="F2476" s="11">
        <f t="shared" si="19"/>
      </c>
      <c r="G2476" s="22" cm="1">
        <f t="array" ref="G2476">IF(AND(Inputs!$C$60,Inputs!$C$61),INDEX(Utility_Rates!$C$29:$F$52,HOUR(C2476)+Inputs!$C$69,MATCH(INDEX(Utility_Rates!$K$6:$K$17,MONTH(C2476))&amp;IF(WEEKDAY(C2476,Inputs!$C$76)&lt;=Inputs!$C$74," weekday"," weekend"),Utility_Rates!$C$28:$F$28,Inputs!$C$68)),"")</f>
      </c>
      <c r="H2476" s="34"/>
      <c r="I2476" s="42">
        <f>IF(AND(ISNUMBER(D2476),ISNUMBER(H2476)),D2476*H2476*Inputs!$C$69,"")</f>
      </c>
      <c r="J2476" s="42">
        <f>IF(AND(ISNUMBER(F2476),ISNUMBER(H2476),F2476&gt;=Inputs!$C$68),F2476*H2476*Inputs!$C$69,"")</f>
      </c>
    </row>
    <row r="2477" spans="2:10" ht="15" customHeight="1" x14ac:dyDescent="0.2">
      <c r="B2477" s="39">
        <f t="shared" si="18"/>
      </c>
      <c r="C2477" s="40">
        <f>IF(Inputs!$C$60,Inputs!$C$11+(B2477-Inputs!$C$69)/Inputs!$C$70,"")</f>
      </c>
      <c r="D2477" s="15"/>
      <c r="E2477" s="15"/>
      <c r="F2477" s="11">
        <f t="shared" si="19"/>
      </c>
      <c r="G2477" s="22" cm="1">
        <f t="array" ref="G2477">IF(AND(Inputs!$C$60,Inputs!$C$61),INDEX(Utility_Rates!$C$29:$F$52,HOUR(C2477)+Inputs!$C$69,MATCH(INDEX(Utility_Rates!$K$6:$K$17,MONTH(C2477))&amp;IF(WEEKDAY(C2477,Inputs!$C$76)&lt;=Inputs!$C$74," weekday"," weekend"),Utility_Rates!$C$28:$F$28,Inputs!$C$68)),"")</f>
      </c>
      <c r="H2477" s="34"/>
      <c r="I2477" s="42">
        <f>IF(AND(ISNUMBER(D2477),ISNUMBER(H2477)),D2477*H2477*Inputs!$C$69,"")</f>
      </c>
      <c r="J2477" s="42">
        <f>IF(AND(ISNUMBER(F2477),ISNUMBER(H2477),F2477&gt;=Inputs!$C$68),F2477*H2477*Inputs!$C$69,"")</f>
      </c>
    </row>
    <row r="2478" spans="2:10" ht="15" customHeight="1" x14ac:dyDescent="0.2">
      <c r="B2478" s="39">
        <f t="shared" si="18"/>
      </c>
      <c r="C2478" s="40">
        <f>IF(Inputs!$C$60,Inputs!$C$11+(B2478-Inputs!$C$69)/Inputs!$C$70,"")</f>
      </c>
      <c r="D2478" s="15"/>
      <c r="E2478" s="15"/>
      <c r="F2478" s="11">
        <f t="shared" si="19"/>
      </c>
      <c r="G2478" s="22" cm="1">
        <f t="array" ref="G2478">IF(AND(Inputs!$C$60,Inputs!$C$61),INDEX(Utility_Rates!$C$29:$F$52,HOUR(C2478)+Inputs!$C$69,MATCH(INDEX(Utility_Rates!$K$6:$K$17,MONTH(C2478))&amp;IF(WEEKDAY(C2478,Inputs!$C$76)&lt;=Inputs!$C$74," weekday"," weekend"),Utility_Rates!$C$28:$F$28,Inputs!$C$68)),"")</f>
      </c>
      <c r="H2478" s="34"/>
      <c r="I2478" s="42">
        <f>IF(AND(ISNUMBER(D2478),ISNUMBER(H2478)),D2478*H2478*Inputs!$C$69,"")</f>
      </c>
      <c r="J2478" s="42">
        <f>IF(AND(ISNUMBER(F2478),ISNUMBER(H2478),F2478&gt;=Inputs!$C$68),F2478*H2478*Inputs!$C$69,"")</f>
      </c>
    </row>
    <row r="2479" spans="2:10" ht="15" customHeight="1" x14ac:dyDescent="0.2">
      <c r="B2479" s="39">
        <f t="shared" si="18"/>
      </c>
      <c r="C2479" s="40">
        <f>IF(Inputs!$C$60,Inputs!$C$11+(B2479-Inputs!$C$69)/Inputs!$C$70,"")</f>
      </c>
      <c r="D2479" s="15"/>
      <c r="E2479" s="15"/>
      <c r="F2479" s="11">
        <f t="shared" si="19"/>
      </c>
      <c r="G2479" s="22" cm="1">
        <f t="array" ref="G2479">IF(AND(Inputs!$C$60,Inputs!$C$61),INDEX(Utility_Rates!$C$29:$F$52,HOUR(C2479)+Inputs!$C$69,MATCH(INDEX(Utility_Rates!$K$6:$K$17,MONTH(C2479))&amp;IF(WEEKDAY(C2479,Inputs!$C$76)&lt;=Inputs!$C$74," weekday"," weekend"),Utility_Rates!$C$28:$F$28,Inputs!$C$68)),"")</f>
      </c>
      <c r="H2479" s="34"/>
      <c r="I2479" s="42">
        <f>IF(AND(ISNUMBER(D2479),ISNUMBER(H2479)),D2479*H2479*Inputs!$C$69,"")</f>
      </c>
      <c r="J2479" s="42">
        <f>IF(AND(ISNUMBER(F2479),ISNUMBER(H2479),F2479&gt;=Inputs!$C$68),F2479*H2479*Inputs!$C$69,"")</f>
      </c>
    </row>
    <row r="2480" spans="2:10" ht="15" customHeight="1" x14ac:dyDescent="0.2">
      <c r="B2480" s="39">
        <f t="shared" si="18"/>
      </c>
      <c r="C2480" s="40">
        <f>IF(Inputs!$C$60,Inputs!$C$11+(B2480-Inputs!$C$69)/Inputs!$C$70,"")</f>
      </c>
      <c r="D2480" s="15"/>
      <c r="E2480" s="15"/>
      <c r="F2480" s="11">
        <f t="shared" si="19"/>
      </c>
      <c r="G2480" s="22" cm="1">
        <f t="array" ref="G2480">IF(AND(Inputs!$C$60,Inputs!$C$61),INDEX(Utility_Rates!$C$29:$F$52,HOUR(C2480)+Inputs!$C$69,MATCH(INDEX(Utility_Rates!$K$6:$K$17,MONTH(C2480))&amp;IF(WEEKDAY(C2480,Inputs!$C$76)&lt;=Inputs!$C$74," weekday"," weekend"),Utility_Rates!$C$28:$F$28,Inputs!$C$68)),"")</f>
      </c>
      <c r="H2480" s="34"/>
      <c r="I2480" s="42">
        <f>IF(AND(ISNUMBER(D2480),ISNUMBER(H2480)),D2480*H2480*Inputs!$C$69,"")</f>
      </c>
      <c r="J2480" s="42">
        <f>IF(AND(ISNUMBER(F2480),ISNUMBER(H2480),F2480&gt;=Inputs!$C$68),F2480*H2480*Inputs!$C$69,"")</f>
      </c>
    </row>
    <row r="2481" spans="2:10" ht="15" customHeight="1" x14ac:dyDescent="0.2">
      <c r="B2481" s="39">
        <f t="shared" si="18"/>
      </c>
      <c r="C2481" s="40">
        <f>IF(Inputs!$C$60,Inputs!$C$11+(B2481-Inputs!$C$69)/Inputs!$C$70,"")</f>
      </c>
      <c r="D2481" s="15"/>
      <c r="E2481" s="15"/>
      <c r="F2481" s="11">
        <f t="shared" si="19"/>
      </c>
      <c r="G2481" s="22" cm="1">
        <f t="array" ref="G2481">IF(AND(Inputs!$C$60,Inputs!$C$61),INDEX(Utility_Rates!$C$29:$F$52,HOUR(C2481)+Inputs!$C$69,MATCH(INDEX(Utility_Rates!$K$6:$K$17,MONTH(C2481))&amp;IF(WEEKDAY(C2481,Inputs!$C$76)&lt;=Inputs!$C$74," weekday"," weekend"),Utility_Rates!$C$28:$F$28,Inputs!$C$68)),"")</f>
      </c>
      <c r="H2481" s="34"/>
      <c r="I2481" s="42">
        <f>IF(AND(ISNUMBER(D2481),ISNUMBER(H2481)),D2481*H2481*Inputs!$C$69,"")</f>
      </c>
      <c r="J2481" s="42">
        <f>IF(AND(ISNUMBER(F2481),ISNUMBER(H2481),F2481&gt;=Inputs!$C$68),F2481*H2481*Inputs!$C$69,"")</f>
      </c>
    </row>
    <row r="2482" spans="2:10" ht="15" customHeight="1" x14ac:dyDescent="0.2">
      <c r="B2482" s="39">
        <f t="shared" si="18"/>
      </c>
      <c r="C2482" s="40">
        <f>IF(Inputs!$C$60,Inputs!$C$11+(B2482-Inputs!$C$69)/Inputs!$C$70,"")</f>
      </c>
      <c r="D2482" s="15"/>
      <c r="E2482" s="15"/>
      <c r="F2482" s="11">
        <f t="shared" si="19"/>
      </c>
      <c r="G2482" s="22" cm="1">
        <f t="array" ref="G2482">IF(AND(Inputs!$C$60,Inputs!$C$61),INDEX(Utility_Rates!$C$29:$F$52,HOUR(C2482)+Inputs!$C$69,MATCH(INDEX(Utility_Rates!$K$6:$K$17,MONTH(C2482))&amp;IF(WEEKDAY(C2482,Inputs!$C$76)&lt;=Inputs!$C$74," weekday"," weekend"),Utility_Rates!$C$28:$F$28,Inputs!$C$68)),"")</f>
      </c>
      <c r="H2482" s="34"/>
      <c r="I2482" s="42">
        <f>IF(AND(ISNUMBER(D2482),ISNUMBER(H2482)),D2482*H2482*Inputs!$C$69,"")</f>
      </c>
      <c r="J2482" s="42">
        <f>IF(AND(ISNUMBER(F2482),ISNUMBER(H2482),F2482&gt;=Inputs!$C$68),F2482*H2482*Inputs!$C$69,"")</f>
      </c>
    </row>
    <row r="2483" spans="2:10" ht="15" customHeight="1" x14ac:dyDescent="0.2">
      <c r="B2483" s="39">
        <f t="shared" si="18"/>
      </c>
      <c r="C2483" s="40">
        <f>IF(Inputs!$C$60,Inputs!$C$11+(B2483-Inputs!$C$69)/Inputs!$C$70,"")</f>
      </c>
      <c r="D2483" s="15"/>
      <c r="E2483" s="15"/>
      <c r="F2483" s="11">
        <f t="shared" si="19"/>
      </c>
      <c r="G2483" s="22" cm="1">
        <f t="array" ref="G2483">IF(AND(Inputs!$C$60,Inputs!$C$61),INDEX(Utility_Rates!$C$29:$F$52,HOUR(C2483)+Inputs!$C$69,MATCH(INDEX(Utility_Rates!$K$6:$K$17,MONTH(C2483))&amp;IF(WEEKDAY(C2483,Inputs!$C$76)&lt;=Inputs!$C$74," weekday"," weekend"),Utility_Rates!$C$28:$F$28,Inputs!$C$68)),"")</f>
      </c>
      <c r="H2483" s="34"/>
      <c r="I2483" s="42">
        <f>IF(AND(ISNUMBER(D2483),ISNUMBER(H2483)),D2483*H2483*Inputs!$C$69,"")</f>
      </c>
      <c r="J2483" s="42">
        <f>IF(AND(ISNUMBER(F2483),ISNUMBER(H2483),F2483&gt;=Inputs!$C$68),F2483*H2483*Inputs!$C$69,"")</f>
      </c>
    </row>
    <row r="2484" spans="2:10" ht="15" customHeight="1" x14ac:dyDescent="0.2">
      <c r="B2484" s="39">
        <f t="shared" si="18"/>
      </c>
      <c r="C2484" s="40">
        <f>IF(Inputs!$C$60,Inputs!$C$11+(B2484-Inputs!$C$69)/Inputs!$C$70,"")</f>
      </c>
      <c r="D2484" s="15"/>
      <c r="E2484" s="15"/>
      <c r="F2484" s="11">
        <f t="shared" si="19"/>
      </c>
      <c r="G2484" s="22" cm="1">
        <f t="array" ref="G2484">IF(AND(Inputs!$C$60,Inputs!$C$61),INDEX(Utility_Rates!$C$29:$F$52,HOUR(C2484)+Inputs!$C$69,MATCH(INDEX(Utility_Rates!$K$6:$K$17,MONTH(C2484))&amp;IF(WEEKDAY(C2484,Inputs!$C$76)&lt;=Inputs!$C$74," weekday"," weekend"),Utility_Rates!$C$28:$F$28,Inputs!$C$68)),"")</f>
      </c>
      <c r="H2484" s="34"/>
      <c r="I2484" s="42">
        <f>IF(AND(ISNUMBER(D2484),ISNUMBER(H2484)),D2484*H2484*Inputs!$C$69,"")</f>
      </c>
      <c r="J2484" s="42">
        <f>IF(AND(ISNUMBER(F2484),ISNUMBER(H2484),F2484&gt;=Inputs!$C$68),F2484*H2484*Inputs!$C$69,"")</f>
      </c>
    </row>
    <row r="2485" spans="2:10" ht="15" customHeight="1" x14ac:dyDescent="0.2">
      <c r="B2485" s="39">
        <f t="shared" si="18"/>
      </c>
      <c r="C2485" s="40">
        <f>IF(Inputs!$C$60,Inputs!$C$11+(B2485-Inputs!$C$69)/Inputs!$C$70,"")</f>
      </c>
      <c r="D2485" s="15"/>
      <c r="E2485" s="15"/>
      <c r="F2485" s="11">
        <f t="shared" si="19"/>
      </c>
      <c r="G2485" s="22" cm="1">
        <f t="array" ref="G2485">IF(AND(Inputs!$C$60,Inputs!$C$61),INDEX(Utility_Rates!$C$29:$F$52,HOUR(C2485)+Inputs!$C$69,MATCH(INDEX(Utility_Rates!$K$6:$K$17,MONTH(C2485))&amp;IF(WEEKDAY(C2485,Inputs!$C$76)&lt;=Inputs!$C$74," weekday"," weekend"),Utility_Rates!$C$28:$F$28,Inputs!$C$68)),"")</f>
      </c>
      <c r="H2485" s="34"/>
      <c r="I2485" s="42">
        <f>IF(AND(ISNUMBER(D2485),ISNUMBER(H2485)),D2485*H2485*Inputs!$C$69,"")</f>
      </c>
      <c r="J2485" s="42">
        <f>IF(AND(ISNUMBER(F2485),ISNUMBER(H2485),F2485&gt;=Inputs!$C$68),F2485*H2485*Inputs!$C$69,"")</f>
      </c>
    </row>
    <row r="2486" spans="2:10" ht="15" customHeight="1" x14ac:dyDescent="0.2">
      <c r="B2486" s="39">
        <f t="shared" si="18"/>
      </c>
      <c r="C2486" s="40">
        <f>IF(Inputs!$C$60,Inputs!$C$11+(B2486-Inputs!$C$69)/Inputs!$C$70,"")</f>
      </c>
      <c r="D2486" s="15"/>
      <c r="E2486" s="15"/>
      <c r="F2486" s="11">
        <f t="shared" si="19"/>
      </c>
      <c r="G2486" s="22" cm="1">
        <f t="array" ref="G2486">IF(AND(Inputs!$C$60,Inputs!$C$61),INDEX(Utility_Rates!$C$29:$F$52,HOUR(C2486)+Inputs!$C$69,MATCH(INDEX(Utility_Rates!$K$6:$K$17,MONTH(C2486))&amp;IF(WEEKDAY(C2486,Inputs!$C$76)&lt;=Inputs!$C$74," weekday"," weekend"),Utility_Rates!$C$28:$F$28,Inputs!$C$68)),"")</f>
      </c>
      <c r="H2486" s="34"/>
      <c r="I2486" s="42">
        <f>IF(AND(ISNUMBER(D2486),ISNUMBER(H2486)),D2486*H2486*Inputs!$C$69,"")</f>
      </c>
      <c r="J2486" s="42">
        <f>IF(AND(ISNUMBER(F2486),ISNUMBER(H2486),F2486&gt;=Inputs!$C$68),F2486*H2486*Inputs!$C$69,"")</f>
      </c>
    </row>
    <row r="2487" spans="2:10" ht="15" customHeight="1" x14ac:dyDescent="0.2">
      <c r="B2487" s="39">
        <f t="shared" si="18"/>
      </c>
      <c r="C2487" s="40">
        <f>IF(Inputs!$C$60,Inputs!$C$11+(B2487-Inputs!$C$69)/Inputs!$C$70,"")</f>
      </c>
      <c r="D2487" s="15"/>
      <c r="E2487" s="15"/>
      <c r="F2487" s="11">
        <f t="shared" si="19"/>
      </c>
      <c r="G2487" s="22" cm="1">
        <f t="array" ref="G2487">IF(AND(Inputs!$C$60,Inputs!$C$61),INDEX(Utility_Rates!$C$29:$F$52,HOUR(C2487)+Inputs!$C$69,MATCH(INDEX(Utility_Rates!$K$6:$K$17,MONTH(C2487))&amp;IF(WEEKDAY(C2487,Inputs!$C$76)&lt;=Inputs!$C$74," weekday"," weekend"),Utility_Rates!$C$28:$F$28,Inputs!$C$68)),"")</f>
      </c>
      <c r="H2487" s="34"/>
      <c r="I2487" s="42">
        <f>IF(AND(ISNUMBER(D2487),ISNUMBER(H2487)),D2487*H2487*Inputs!$C$69,"")</f>
      </c>
      <c r="J2487" s="42">
        <f>IF(AND(ISNUMBER(F2487),ISNUMBER(H2487),F2487&gt;=Inputs!$C$68),F2487*H2487*Inputs!$C$69,"")</f>
      </c>
    </row>
    <row r="2488" spans="2:10" ht="15" customHeight="1" x14ac:dyDescent="0.2">
      <c r="B2488" s="39">
        <f t="shared" si="18"/>
      </c>
      <c r="C2488" s="40">
        <f>IF(Inputs!$C$60,Inputs!$C$11+(B2488-Inputs!$C$69)/Inputs!$C$70,"")</f>
      </c>
      <c r="D2488" s="15"/>
      <c r="E2488" s="15"/>
      <c r="F2488" s="11">
        <f t="shared" si="19"/>
      </c>
      <c r="G2488" s="22" cm="1">
        <f t="array" ref="G2488">IF(AND(Inputs!$C$60,Inputs!$C$61),INDEX(Utility_Rates!$C$29:$F$52,HOUR(C2488)+Inputs!$C$69,MATCH(INDEX(Utility_Rates!$K$6:$K$17,MONTH(C2488))&amp;IF(WEEKDAY(C2488,Inputs!$C$76)&lt;=Inputs!$C$74," weekday"," weekend"),Utility_Rates!$C$28:$F$28,Inputs!$C$68)),"")</f>
      </c>
      <c r="H2488" s="34"/>
      <c r="I2488" s="42">
        <f>IF(AND(ISNUMBER(D2488),ISNUMBER(H2488)),D2488*H2488*Inputs!$C$69,"")</f>
      </c>
      <c r="J2488" s="42">
        <f>IF(AND(ISNUMBER(F2488),ISNUMBER(H2488),F2488&gt;=Inputs!$C$68),F2488*H2488*Inputs!$C$69,"")</f>
      </c>
    </row>
    <row r="2489" spans="2:10" ht="15" customHeight="1" x14ac:dyDescent="0.2">
      <c r="B2489" s="39">
        <f t="shared" si="18"/>
      </c>
      <c r="C2489" s="40">
        <f>IF(Inputs!$C$60,Inputs!$C$11+(B2489-Inputs!$C$69)/Inputs!$C$70,"")</f>
      </c>
      <c r="D2489" s="15"/>
      <c r="E2489" s="15"/>
      <c r="F2489" s="11">
        <f t="shared" si="19"/>
      </c>
      <c r="G2489" s="22" cm="1">
        <f t="array" ref="G2489">IF(AND(Inputs!$C$60,Inputs!$C$61),INDEX(Utility_Rates!$C$29:$F$52,HOUR(C2489)+Inputs!$C$69,MATCH(INDEX(Utility_Rates!$K$6:$K$17,MONTH(C2489))&amp;IF(WEEKDAY(C2489,Inputs!$C$76)&lt;=Inputs!$C$74," weekday"," weekend"),Utility_Rates!$C$28:$F$28,Inputs!$C$68)),"")</f>
      </c>
      <c r="H2489" s="34"/>
      <c r="I2489" s="42">
        <f>IF(AND(ISNUMBER(D2489),ISNUMBER(H2489)),D2489*H2489*Inputs!$C$69,"")</f>
      </c>
      <c r="J2489" s="42">
        <f>IF(AND(ISNUMBER(F2489),ISNUMBER(H2489),F2489&gt;=Inputs!$C$68),F2489*H2489*Inputs!$C$69,"")</f>
      </c>
    </row>
    <row r="2490" spans="2:10" ht="15" customHeight="1" x14ac:dyDescent="0.2">
      <c r="B2490" s="39">
        <f t="shared" si="18"/>
      </c>
      <c r="C2490" s="40">
        <f>IF(Inputs!$C$60,Inputs!$C$11+(B2490-Inputs!$C$69)/Inputs!$C$70,"")</f>
      </c>
      <c r="D2490" s="15"/>
      <c r="E2490" s="15"/>
      <c r="F2490" s="11">
        <f t="shared" si="19"/>
      </c>
      <c r="G2490" s="22" cm="1">
        <f t="array" ref="G2490">IF(AND(Inputs!$C$60,Inputs!$C$61),INDEX(Utility_Rates!$C$29:$F$52,HOUR(C2490)+Inputs!$C$69,MATCH(INDEX(Utility_Rates!$K$6:$K$17,MONTH(C2490))&amp;IF(WEEKDAY(C2490,Inputs!$C$76)&lt;=Inputs!$C$74," weekday"," weekend"),Utility_Rates!$C$28:$F$28,Inputs!$C$68)),"")</f>
      </c>
      <c r="H2490" s="34"/>
      <c r="I2490" s="42">
        <f>IF(AND(ISNUMBER(D2490),ISNUMBER(H2490)),D2490*H2490*Inputs!$C$69,"")</f>
      </c>
      <c r="J2490" s="42">
        <f>IF(AND(ISNUMBER(F2490),ISNUMBER(H2490),F2490&gt;=Inputs!$C$68),F2490*H2490*Inputs!$C$69,"")</f>
      </c>
    </row>
    <row r="2491" spans="2:10" ht="15" customHeight="1" x14ac:dyDescent="0.2">
      <c r="B2491" s="39">
        <f t="shared" si="18"/>
      </c>
      <c r="C2491" s="40">
        <f>IF(Inputs!$C$60,Inputs!$C$11+(B2491-Inputs!$C$69)/Inputs!$C$70,"")</f>
      </c>
      <c r="D2491" s="15"/>
      <c r="E2491" s="15"/>
      <c r="F2491" s="11">
        <f t="shared" si="19"/>
      </c>
      <c r="G2491" s="22" cm="1">
        <f t="array" ref="G2491">IF(AND(Inputs!$C$60,Inputs!$C$61),INDEX(Utility_Rates!$C$29:$F$52,HOUR(C2491)+Inputs!$C$69,MATCH(INDEX(Utility_Rates!$K$6:$K$17,MONTH(C2491))&amp;IF(WEEKDAY(C2491,Inputs!$C$76)&lt;=Inputs!$C$74," weekday"," weekend"),Utility_Rates!$C$28:$F$28,Inputs!$C$68)),"")</f>
      </c>
      <c r="H2491" s="34"/>
      <c r="I2491" s="42">
        <f>IF(AND(ISNUMBER(D2491),ISNUMBER(H2491)),D2491*H2491*Inputs!$C$69,"")</f>
      </c>
      <c r="J2491" s="42">
        <f>IF(AND(ISNUMBER(F2491),ISNUMBER(H2491),F2491&gt;=Inputs!$C$68),F2491*H2491*Inputs!$C$69,"")</f>
      </c>
    </row>
    <row r="2492" spans="2:10" ht="15" customHeight="1" x14ac:dyDescent="0.2">
      <c r="B2492" s="39">
        <f t="shared" si="18"/>
      </c>
      <c r="C2492" s="40">
        <f>IF(Inputs!$C$60,Inputs!$C$11+(B2492-Inputs!$C$69)/Inputs!$C$70,"")</f>
      </c>
      <c r="D2492" s="15"/>
      <c r="E2492" s="15"/>
      <c r="F2492" s="11">
        <f t="shared" si="19"/>
      </c>
      <c r="G2492" s="22" cm="1">
        <f t="array" ref="G2492">IF(AND(Inputs!$C$60,Inputs!$C$61),INDEX(Utility_Rates!$C$29:$F$52,HOUR(C2492)+Inputs!$C$69,MATCH(INDEX(Utility_Rates!$K$6:$K$17,MONTH(C2492))&amp;IF(WEEKDAY(C2492,Inputs!$C$76)&lt;=Inputs!$C$74," weekday"," weekend"),Utility_Rates!$C$28:$F$28,Inputs!$C$68)),"")</f>
      </c>
      <c r="H2492" s="34"/>
      <c r="I2492" s="42">
        <f>IF(AND(ISNUMBER(D2492),ISNUMBER(H2492)),D2492*H2492*Inputs!$C$69,"")</f>
      </c>
      <c r="J2492" s="42">
        <f>IF(AND(ISNUMBER(F2492),ISNUMBER(H2492),F2492&gt;=Inputs!$C$68),F2492*H2492*Inputs!$C$69,"")</f>
      </c>
    </row>
    <row r="2493" spans="2:10" ht="15" customHeight="1" x14ac:dyDescent="0.2">
      <c r="B2493" s="39">
        <f t="shared" si="18"/>
      </c>
      <c r="C2493" s="40">
        <f>IF(Inputs!$C$60,Inputs!$C$11+(B2493-Inputs!$C$69)/Inputs!$C$70,"")</f>
      </c>
      <c r="D2493" s="15"/>
      <c r="E2493" s="15"/>
      <c r="F2493" s="11">
        <f t="shared" si="19"/>
      </c>
      <c r="G2493" s="22" cm="1">
        <f t="array" ref="G2493">IF(AND(Inputs!$C$60,Inputs!$C$61),INDEX(Utility_Rates!$C$29:$F$52,HOUR(C2493)+Inputs!$C$69,MATCH(INDEX(Utility_Rates!$K$6:$K$17,MONTH(C2493))&amp;IF(WEEKDAY(C2493,Inputs!$C$76)&lt;=Inputs!$C$74," weekday"," weekend"),Utility_Rates!$C$28:$F$28,Inputs!$C$68)),"")</f>
      </c>
      <c r="H2493" s="34"/>
      <c r="I2493" s="42">
        <f>IF(AND(ISNUMBER(D2493),ISNUMBER(H2493)),D2493*H2493*Inputs!$C$69,"")</f>
      </c>
      <c r="J2493" s="42">
        <f>IF(AND(ISNUMBER(F2493),ISNUMBER(H2493),F2493&gt;=Inputs!$C$68),F2493*H2493*Inputs!$C$69,"")</f>
      </c>
    </row>
    <row r="2494" spans="2:10" ht="15" customHeight="1" x14ac:dyDescent="0.2">
      <c r="B2494" s="39">
        <f t="shared" si="18"/>
      </c>
      <c r="C2494" s="40">
        <f>IF(Inputs!$C$60,Inputs!$C$11+(B2494-Inputs!$C$69)/Inputs!$C$70,"")</f>
      </c>
      <c r="D2494" s="15"/>
      <c r="E2494" s="15"/>
      <c r="F2494" s="11">
        <f t="shared" si="19"/>
      </c>
      <c r="G2494" s="22" cm="1">
        <f t="array" ref="G2494">IF(AND(Inputs!$C$60,Inputs!$C$61),INDEX(Utility_Rates!$C$29:$F$52,HOUR(C2494)+Inputs!$C$69,MATCH(INDEX(Utility_Rates!$K$6:$K$17,MONTH(C2494))&amp;IF(WEEKDAY(C2494,Inputs!$C$76)&lt;=Inputs!$C$74," weekday"," weekend"),Utility_Rates!$C$28:$F$28,Inputs!$C$68)),"")</f>
      </c>
      <c r="H2494" s="34"/>
      <c r="I2494" s="42">
        <f>IF(AND(ISNUMBER(D2494),ISNUMBER(H2494)),D2494*H2494*Inputs!$C$69,"")</f>
      </c>
      <c r="J2494" s="42">
        <f>IF(AND(ISNUMBER(F2494),ISNUMBER(H2494),F2494&gt;=Inputs!$C$68),F2494*H2494*Inputs!$C$69,"")</f>
      </c>
    </row>
    <row r="2495" spans="2:10" ht="15" customHeight="1" x14ac:dyDescent="0.2">
      <c r="B2495" s="39">
        <f t="shared" si="18"/>
      </c>
      <c r="C2495" s="40">
        <f>IF(Inputs!$C$60,Inputs!$C$11+(B2495-Inputs!$C$69)/Inputs!$C$70,"")</f>
      </c>
      <c r="D2495" s="15"/>
      <c r="E2495" s="15"/>
      <c r="F2495" s="11">
        <f t="shared" si="19"/>
      </c>
      <c r="G2495" s="22" cm="1">
        <f t="array" ref="G2495">IF(AND(Inputs!$C$60,Inputs!$C$61),INDEX(Utility_Rates!$C$29:$F$52,HOUR(C2495)+Inputs!$C$69,MATCH(INDEX(Utility_Rates!$K$6:$K$17,MONTH(C2495))&amp;IF(WEEKDAY(C2495,Inputs!$C$76)&lt;=Inputs!$C$74," weekday"," weekend"),Utility_Rates!$C$28:$F$28,Inputs!$C$68)),"")</f>
      </c>
      <c r="H2495" s="34"/>
      <c r="I2495" s="42">
        <f>IF(AND(ISNUMBER(D2495),ISNUMBER(H2495)),D2495*H2495*Inputs!$C$69,"")</f>
      </c>
      <c r="J2495" s="42">
        <f>IF(AND(ISNUMBER(F2495),ISNUMBER(H2495),F2495&gt;=Inputs!$C$68),F2495*H2495*Inputs!$C$69,"")</f>
      </c>
    </row>
    <row r="2496" spans="2:10" ht="15" customHeight="1" x14ac:dyDescent="0.2">
      <c r="B2496" s="39">
        <f t="shared" si="18"/>
      </c>
      <c r="C2496" s="40">
        <f>IF(Inputs!$C$60,Inputs!$C$11+(B2496-Inputs!$C$69)/Inputs!$C$70,"")</f>
      </c>
      <c r="D2496" s="15"/>
      <c r="E2496" s="15"/>
      <c r="F2496" s="11">
        <f t="shared" si="19"/>
      </c>
      <c r="G2496" s="22" cm="1">
        <f t="array" ref="G2496">IF(AND(Inputs!$C$60,Inputs!$C$61),INDEX(Utility_Rates!$C$29:$F$52,HOUR(C2496)+Inputs!$C$69,MATCH(INDEX(Utility_Rates!$K$6:$K$17,MONTH(C2496))&amp;IF(WEEKDAY(C2496,Inputs!$C$76)&lt;=Inputs!$C$74," weekday"," weekend"),Utility_Rates!$C$28:$F$28,Inputs!$C$68)),"")</f>
      </c>
      <c r="H2496" s="34"/>
      <c r="I2496" s="42">
        <f>IF(AND(ISNUMBER(D2496),ISNUMBER(H2496)),D2496*H2496*Inputs!$C$69,"")</f>
      </c>
      <c r="J2496" s="42">
        <f>IF(AND(ISNUMBER(F2496),ISNUMBER(H2496),F2496&gt;=Inputs!$C$68),F2496*H2496*Inputs!$C$69,"")</f>
      </c>
    </row>
    <row r="2497" spans="2:10" ht="15" customHeight="1" x14ac:dyDescent="0.2">
      <c r="B2497" s="39">
        <f t="shared" si="18"/>
      </c>
      <c r="C2497" s="40">
        <f>IF(Inputs!$C$60,Inputs!$C$11+(B2497-Inputs!$C$69)/Inputs!$C$70,"")</f>
      </c>
      <c r="D2497" s="15"/>
      <c r="E2497" s="15"/>
      <c r="F2497" s="11">
        <f t="shared" si="19"/>
      </c>
      <c r="G2497" s="22" cm="1">
        <f t="array" ref="G2497">IF(AND(Inputs!$C$60,Inputs!$C$61),INDEX(Utility_Rates!$C$29:$F$52,HOUR(C2497)+Inputs!$C$69,MATCH(INDEX(Utility_Rates!$K$6:$K$17,MONTH(C2497))&amp;IF(WEEKDAY(C2497,Inputs!$C$76)&lt;=Inputs!$C$74," weekday"," weekend"),Utility_Rates!$C$28:$F$28,Inputs!$C$68)),"")</f>
      </c>
      <c r="H2497" s="34"/>
      <c r="I2497" s="42">
        <f>IF(AND(ISNUMBER(D2497),ISNUMBER(H2497)),D2497*H2497*Inputs!$C$69,"")</f>
      </c>
      <c r="J2497" s="42">
        <f>IF(AND(ISNUMBER(F2497),ISNUMBER(H2497),F2497&gt;=Inputs!$C$68),F2497*H2497*Inputs!$C$69,"")</f>
      </c>
    </row>
    <row r="2498" spans="2:10" ht="15" customHeight="1" x14ac:dyDescent="0.2">
      <c r="B2498" s="39">
        <f t="shared" si="18"/>
      </c>
      <c r="C2498" s="40">
        <f>IF(Inputs!$C$60,Inputs!$C$11+(B2498-Inputs!$C$69)/Inputs!$C$70,"")</f>
      </c>
      <c r="D2498" s="15"/>
      <c r="E2498" s="15"/>
      <c r="F2498" s="11">
        <f t="shared" si="19"/>
      </c>
      <c r="G2498" s="22" cm="1">
        <f t="array" ref="G2498">IF(AND(Inputs!$C$60,Inputs!$C$61),INDEX(Utility_Rates!$C$29:$F$52,HOUR(C2498)+Inputs!$C$69,MATCH(INDEX(Utility_Rates!$K$6:$K$17,MONTH(C2498))&amp;IF(WEEKDAY(C2498,Inputs!$C$76)&lt;=Inputs!$C$74," weekday"," weekend"),Utility_Rates!$C$28:$F$28,Inputs!$C$68)),"")</f>
      </c>
      <c r="H2498" s="34"/>
      <c r="I2498" s="42">
        <f>IF(AND(ISNUMBER(D2498),ISNUMBER(H2498)),D2498*H2498*Inputs!$C$69,"")</f>
      </c>
      <c r="J2498" s="42">
        <f>IF(AND(ISNUMBER(F2498),ISNUMBER(H2498),F2498&gt;=Inputs!$C$68),F2498*H2498*Inputs!$C$69,"")</f>
      </c>
    </row>
    <row r="2499" spans="2:10" ht="15" customHeight="1" x14ac:dyDescent="0.2">
      <c r="B2499" s="39">
        <f t="shared" si="18"/>
      </c>
      <c r="C2499" s="40">
        <f>IF(Inputs!$C$60,Inputs!$C$11+(B2499-Inputs!$C$69)/Inputs!$C$70,"")</f>
      </c>
      <c r="D2499" s="15"/>
      <c r="E2499" s="15"/>
      <c r="F2499" s="11">
        <f t="shared" si="19"/>
      </c>
      <c r="G2499" s="22" cm="1">
        <f t="array" ref="G2499">IF(AND(Inputs!$C$60,Inputs!$C$61),INDEX(Utility_Rates!$C$29:$F$52,HOUR(C2499)+Inputs!$C$69,MATCH(INDEX(Utility_Rates!$K$6:$K$17,MONTH(C2499))&amp;IF(WEEKDAY(C2499,Inputs!$C$76)&lt;=Inputs!$C$74," weekday"," weekend"),Utility_Rates!$C$28:$F$28,Inputs!$C$68)),"")</f>
      </c>
      <c r="H2499" s="34"/>
      <c r="I2499" s="42">
        <f>IF(AND(ISNUMBER(D2499),ISNUMBER(H2499)),D2499*H2499*Inputs!$C$69,"")</f>
      </c>
      <c r="J2499" s="42">
        <f>IF(AND(ISNUMBER(F2499),ISNUMBER(H2499),F2499&gt;=Inputs!$C$68),F2499*H2499*Inputs!$C$69,"")</f>
      </c>
    </row>
    <row r="2500" spans="2:10" ht="15" customHeight="1" x14ac:dyDescent="0.2">
      <c r="B2500" s="39">
        <f t="shared" si="18"/>
      </c>
      <c r="C2500" s="40">
        <f>IF(Inputs!$C$60,Inputs!$C$11+(B2500-Inputs!$C$69)/Inputs!$C$70,"")</f>
      </c>
      <c r="D2500" s="15"/>
      <c r="E2500" s="15"/>
      <c r="F2500" s="11">
        <f t="shared" si="19"/>
      </c>
      <c r="G2500" s="22" cm="1">
        <f t="array" ref="G2500">IF(AND(Inputs!$C$60,Inputs!$C$61),INDEX(Utility_Rates!$C$29:$F$52,HOUR(C2500)+Inputs!$C$69,MATCH(INDEX(Utility_Rates!$K$6:$K$17,MONTH(C2500))&amp;IF(WEEKDAY(C2500,Inputs!$C$76)&lt;=Inputs!$C$74," weekday"," weekend"),Utility_Rates!$C$28:$F$28,Inputs!$C$68)),"")</f>
      </c>
      <c r="H2500" s="34"/>
      <c r="I2500" s="42">
        <f>IF(AND(ISNUMBER(D2500),ISNUMBER(H2500)),D2500*H2500*Inputs!$C$69,"")</f>
      </c>
      <c r="J2500" s="42">
        <f>IF(AND(ISNUMBER(F2500),ISNUMBER(H2500),F2500&gt;=Inputs!$C$68),F2500*H2500*Inputs!$C$69,"")</f>
      </c>
    </row>
    <row r="2501" spans="2:10" ht="15" customHeight="1" x14ac:dyDescent="0.2">
      <c r="B2501" s="39">
        <f t="shared" si="18"/>
      </c>
      <c r="C2501" s="40">
        <f>IF(Inputs!$C$60,Inputs!$C$11+(B2501-Inputs!$C$69)/Inputs!$C$70,"")</f>
      </c>
      <c r="D2501" s="15"/>
      <c r="E2501" s="15"/>
      <c r="F2501" s="11">
        <f t="shared" si="19"/>
      </c>
      <c r="G2501" s="22" cm="1">
        <f t="array" ref="G2501">IF(AND(Inputs!$C$60,Inputs!$C$61),INDEX(Utility_Rates!$C$29:$F$52,HOUR(C2501)+Inputs!$C$69,MATCH(INDEX(Utility_Rates!$K$6:$K$17,MONTH(C2501))&amp;IF(WEEKDAY(C2501,Inputs!$C$76)&lt;=Inputs!$C$74," weekday"," weekend"),Utility_Rates!$C$28:$F$28,Inputs!$C$68)),"")</f>
      </c>
      <c r="H2501" s="34"/>
      <c r="I2501" s="42">
        <f>IF(AND(ISNUMBER(D2501),ISNUMBER(H2501)),D2501*H2501*Inputs!$C$69,"")</f>
      </c>
      <c r="J2501" s="42">
        <f>IF(AND(ISNUMBER(F2501),ISNUMBER(H2501),F2501&gt;=Inputs!$C$68),F2501*H2501*Inputs!$C$69,"")</f>
      </c>
    </row>
    <row r="2502" spans="2:10" ht="15" customHeight="1" x14ac:dyDescent="0.2">
      <c r="B2502" s="39">
        <f t="shared" si="18"/>
      </c>
      <c r="C2502" s="40">
        <f>IF(Inputs!$C$60,Inputs!$C$11+(B2502-Inputs!$C$69)/Inputs!$C$70,"")</f>
      </c>
      <c r="D2502" s="15"/>
      <c r="E2502" s="15"/>
      <c r="F2502" s="11">
        <f t="shared" si="19"/>
      </c>
      <c r="G2502" s="22" cm="1">
        <f t="array" ref="G2502">IF(AND(Inputs!$C$60,Inputs!$C$61),INDEX(Utility_Rates!$C$29:$F$52,HOUR(C2502)+Inputs!$C$69,MATCH(INDEX(Utility_Rates!$K$6:$K$17,MONTH(C2502))&amp;IF(WEEKDAY(C2502,Inputs!$C$76)&lt;=Inputs!$C$74," weekday"," weekend"),Utility_Rates!$C$28:$F$28,Inputs!$C$68)),"")</f>
      </c>
      <c r="H2502" s="34"/>
      <c r="I2502" s="42">
        <f>IF(AND(ISNUMBER(D2502),ISNUMBER(H2502)),D2502*H2502*Inputs!$C$69,"")</f>
      </c>
      <c r="J2502" s="42">
        <f>IF(AND(ISNUMBER(F2502),ISNUMBER(H2502),F2502&gt;=Inputs!$C$68),F2502*H2502*Inputs!$C$69,"")</f>
      </c>
    </row>
    <row r="2503" spans="2:10" ht="15" customHeight="1" x14ac:dyDescent="0.2">
      <c r="B2503" s="39">
        <f t="shared" si="18"/>
      </c>
      <c r="C2503" s="40">
        <f>IF(Inputs!$C$60,Inputs!$C$11+(B2503-Inputs!$C$69)/Inputs!$C$70,"")</f>
      </c>
      <c r="D2503" s="15"/>
      <c r="E2503" s="15"/>
      <c r="F2503" s="11">
        <f t="shared" si="19"/>
      </c>
      <c r="G2503" s="22" cm="1">
        <f t="array" ref="G2503">IF(AND(Inputs!$C$60,Inputs!$C$61),INDEX(Utility_Rates!$C$29:$F$52,HOUR(C2503)+Inputs!$C$69,MATCH(INDEX(Utility_Rates!$K$6:$K$17,MONTH(C2503))&amp;IF(WEEKDAY(C2503,Inputs!$C$76)&lt;=Inputs!$C$74," weekday"," weekend"),Utility_Rates!$C$28:$F$28,Inputs!$C$68)),"")</f>
      </c>
      <c r="H2503" s="34"/>
      <c r="I2503" s="42">
        <f>IF(AND(ISNUMBER(D2503),ISNUMBER(H2503)),D2503*H2503*Inputs!$C$69,"")</f>
      </c>
      <c r="J2503" s="42">
        <f>IF(AND(ISNUMBER(F2503),ISNUMBER(H2503),F2503&gt;=Inputs!$C$68),F2503*H2503*Inputs!$C$69,"")</f>
      </c>
    </row>
    <row r="2504" spans="2:10" ht="15" customHeight="1" x14ac:dyDescent="0.2">
      <c r="B2504" s="39">
        <f t="shared" si="18"/>
      </c>
      <c r="C2504" s="40">
        <f>IF(Inputs!$C$60,Inputs!$C$11+(B2504-Inputs!$C$69)/Inputs!$C$70,"")</f>
      </c>
      <c r="D2504" s="15"/>
      <c r="E2504" s="15"/>
      <c r="F2504" s="11">
        <f t="shared" si="19"/>
      </c>
      <c r="G2504" s="22" cm="1">
        <f t="array" ref="G2504">IF(AND(Inputs!$C$60,Inputs!$C$61),INDEX(Utility_Rates!$C$29:$F$52,HOUR(C2504)+Inputs!$C$69,MATCH(INDEX(Utility_Rates!$K$6:$K$17,MONTH(C2504))&amp;IF(WEEKDAY(C2504,Inputs!$C$76)&lt;=Inputs!$C$74," weekday"," weekend"),Utility_Rates!$C$28:$F$28,Inputs!$C$68)),"")</f>
      </c>
      <c r="H2504" s="34"/>
      <c r="I2504" s="42">
        <f>IF(AND(ISNUMBER(D2504),ISNUMBER(H2504)),D2504*H2504*Inputs!$C$69,"")</f>
      </c>
      <c r="J2504" s="42">
        <f>IF(AND(ISNUMBER(F2504),ISNUMBER(H2504),F2504&gt;=Inputs!$C$68),F2504*H2504*Inputs!$C$69,"")</f>
      </c>
    </row>
    <row r="2505" spans="2:10" ht="15" customHeight="1" x14ac:dyDescent="0.2">
      <c r="B2505" s="39">
        <f t="shared" si="18"/>
      </c>
      <c r="C2505" s="40">
        <f>IF(Inputs!$C$60,Inputs!$C$11+(B2505-Inputs!$C$69)/Inputs!$C$70,"")</f>
      </c>
      <c r="D2505" s="15"/>
      <c r="E2505" s="15"/>
      <c r="F2505" s="11">
        <f t="shared" si="19"/>
      </c>
      <c r="G2505" s="22" cm="1">
        <f t="array" ref="G2505">IF(AND(Inputs!$C$60,Inputs!$C$61),INDEX(Utility_Rates!$C$29:$F$52,HOUR(C2505)+Inputs!$C$69,MATCH(INDEX(Utility_Rates!$K$6:$K$17,MONTH(C2505))&amp;IF(WEEKDAY(C2505,Inputs!$C$76)&lt;=Inputs!$C$74," weekday"," weekend"),Utility_Rates!$C$28:$F$28,Inputs!$C$68)),"")</f>
      </c>
      <c r="H2505" s="34"/>
      <c r="I2505" s="42">
        <f>IF(AND(ISNUMBER(D2505),ISNUMBER(H2505)),D2505*H2505*Inputs!$C$69,"")</f>
      </c>
      <c r="J2505" s="42">
        <f>IF(AND(ISNUMBER(F2505),ISNUMBER(H2505),F2505&gt;=Inputs!$C$68),F2505*H2505*Inputs!$C$69,"")</f>
      </c>
    </row>
    <row r="2506" spans="2:10" ht="15" customHeight="1" x14ac:dyDescent="0.2">
      <c r="B2506" s="39">
        <f t="shared" si="18"/>
      </c>
      <c r="C2506" s="40">
        <f>IF(Inputs!$C$60,Inputs!$C$11+(B2506-Inputs!$C$69)/Inputs!$C$70,"")</f>
      </c>
      <c r="D2506" s="15"/>
      <c r="E2506" s="15"/>
      <c r="F2506" s="11">
        <f t="shared" si="19"/>
      </c>
      <c r="G2506" s="22" cm="1">
        <f t="array" ref="G2506">IF(AND(Inputs!$C$60,Inputs!$C$61),INDEX(Utility_Rates!$C$29:$F$52,HOUR(C2506)+Inputs!$C$69,MATCH(INDEX(Utility_Rates!$K$6:$K$17,MONTH(C2506))&amp;IF(WEEKDAY(C2506,Inputs!$C$76)&lt;=Inputs!$C$74," weekday"," weekend"),Utility_Rates!$C$28:$F$28,Inputs!$C$68)),"")</f>
      </c>
      <c r="H2506" s="34"/>
      <c r="I2506" s="42">
        <f>IF(AND(ISNUMBER(D2506),ISNUMBER(H2506)),D2506*H2506*Inputs!$C$69,"")</f>
      </c>
      <c r="J2506" s="42">
        <f>IF(AND(ISNUMBER(F2506),ISNUMBER(H2506),F2506&gt;=Inputs!$C$68),F2506*H2506*Inputs!$C$69,"")</f>
      </c>
    </row>
    <row r="2507" spans="2:10" ht="15" customHeight="1" x14ac:dyDescent="0.2">
      <c r="B2507" s="39">
        <f t="shared" si="18"/>
      </c>
      <c r="C2507" s="40">
        <f>IF(Inputs!$C$60,Inputs!$C$11+(B2507-Inputs!$C$69)/Inputs!$C$70,"")</f>
      </c>
      <c r="D2507" s="15"/>
      <c r="E2507" s="15"/>
      <c r="F2507" s="11">
        <f t="shared" si="19"/>
      </c>
      <c r="G2507" s="22" cm="1">
        <f t="array" ref="G2507">IF(AND(Inputs!$C$60,Inputs!$C$61),INDEX(Utility_Rates!$C$29:$F$52,HOUR(C2507)+Inputs!$C$69,MATCH(INDEX(Utility_Rates!$K$6:$K$17,MONTH(C2507))&amp;IF(WEEKDAY(C2507,Inputs!$C$76)&lt;=Inputs!$C$74," weekday"," weekend"),Utility_Rates!$C$28:$F$28,Inputs!$C$68)),"")</f>
      </c>
      <c r="H2507" s="34"/>
      <c r="I2507" s="42">
        <f>IF(AND(ISNUMBER(D2507),ISNUMBER(H2507)),D2507*H2507*Inputs!$C$69,"")</f>
      </c>
      <c r="J2507" s="42">
        <f>IF(AND(ISNUMBER(F2507),ISNUMBER(H2507),F2507&gt;=Inputs!$C$68),F2507*H2507*Inputs!$C$69,"")</f>
      </c>
    </row>
    <row r="2508" spans="2:10" ht="15" customHeight="1" x14ac:dyDescent="0.2">
      <c r="B2508" s="39">
        <f t="shared" si="18"/>
      </c>
      <c r="C2508" s="40">
        <f>IF(Inputs!$C$60,Inputs!$C$11+(B2508-Inputs!$C$69)/Inputs!$C$70,"")</f>
      </c>
      <c r="D2508" s="15"/>
      <c r="E2508" s="15"/>
      <c r="F2508" s="11">
        <f t="shared" si="19"/>
      </c>
      <c r="G2508" s="22" cm="1">
        <f t="array" ref="G2508">IF(AND(Inputs!$C$60,Inputs!$C$61),INDEX(Utility_Rates!$C$29:$F$52,HOUR(C2508)+Inputs!$C$69,MATCH(INDEX(Utility_Rates!$K$6:$K$17,MONTH(C2508))&amp;IF(WEEKDAY(C2508,Inputs!$C$76)&lt;=Inputs!$C$74," weekday"," weekend"),Utility_Rates!$C$28:$F$28,Inputs!$C$68)),"")</f>
      </c>
      <c r="H2508" s="34"/>
      <c r="I2508" s="42">
        <f>IF(AND(ISNUMBER(D2508),ISNUMBER(H2508)),D2508*H2508*Inputs!$C$69,"")</f>
      </c>
      <c r="J2508" s="42">
        <f>IF(AND(ISNUMBER(F2508),ISNUMBER(H2508),F2508&gt;=Inputs!$C$68),F2508*H2508*Inputs!$C$69,"")</f>
      </c>
    </row>
    <row r="2509" spans="2:10" ht="15" customHeight="1" x14ac:dyDescent="0.2">
      <c r="B2509" s="39">
        <f t="shared" si="18"/>
      </c>
      <c r="C2509" s="40">
        <f>IF(Inputs!$C$60,Inputs!$C$11+(B2509-Inputs!$C$69)/Inputs!$C$70,"")</f>
      </c>
      <c r="D2509" s="15"/>
      <c r="E2509" s="15"/>
      <c r="F2509" s="11">
        <f t="shared" si="19"/>
      </c>
      <c r="G2509" s="22" cm="1">
        <f t="array" ref="G2509">IF(AND(Inputs!$C$60,Inputs!$C$61),INDEX(Utility_Rates!$C$29:$F$52,HOUR(C2509)+Inputs!$C$69,MATCH(INDEX(Utility_Rates!$K$6:$K$17,MONTH(C2509))&amp;IF(WEEKDAY(C2509,Inputs!$C$76)&lt;=Inputs!$C$74," weekday"," weekend"),Utility_Rates!$C$28:$F$28,Inputs!$C$68)),"")</f>
      </c>
      <c r="H2509" s="34"/>
      <c r="I2509" s="42">
        <f>IF(AND(ISNUMBER(D2509),ISNUMBER(H2509)),D2509*H2509*Inputs!$C$69,"")</f>
      </c>
      <c r="J2509" s="42">
        <f>IF(AND(ISNUMBER(F2509),ISNUMBER(H2509),F2509&gt;=Inputs!$C$68),F2509*H2509*Inputs!$C$69,"")</f>
      </c>
    </row>
    <row r="2510" spans="2:10" ht="15" customHeight="1" x14ac:dyDescent="0.2">
      <c r="B2510" s="39">
        <f t="shared" si="18"/>
      </c>
      <c r="C2510" s="40">
        <f>IF(Inputs!$C$60,Inputs!$C$11+(B2510-Inputs!$C$69)/Inputs!$C$70,"")</f>
      </c>
      <c r="D2510" s="15"/>
      <c r="E2510" s="15"/>
      <c r="F2510" s="11">
        <f t="shared" si="19"/>
      </c>
      <c r="G2510" s="22" cm="1">
        <f t="array" ref="G2510">IF(AND(Inputs!$C$60,Inputs!$C$61),INDEX(Utility_Rates!$C$29:$F$52,HOUR(C2510)+Inputs!$C$69,MATCH(INDEX(Utility_Rates!$K$6:$K$17,MONTH(C2510))&amp;IF(WEEKDAY(C2510,Inputs!$C$76)&lt;=Inputs!$C$74," weekday"," weekend"),Utility_Rates!$C$28:$F$28,Inputs!$C$68)),"")</f>
      </c>
      <c r="H2510" s="34"/>
      <c r="I2510" s="42">
        <f>IF(AND(ISNUMBER(D2510),ISNUMBER(H2510)),D2510*H2510*Inputs!$C$69,"")</f>
      </c>
      <c r="J2510" s="42">
        <f>IF(AND(ISNUMBER(F2510),ISNUMBER(H2510),F2510&gt;=Inputs!$C$68),F2510*H2510*Inputs!$C$69,"")</f>
      </c>
    </row>
    <row r="2511" spans="2:10" ht="15" customHeight="1" x14ac:dyDescent="0.2">
      <c r="B2511" s="39">
        <f t="shared" si="18"/>
      </c>
      <c r="C2511" s="40">
        <f>IF(Inputs!$C$60,Inputs!$C$11+(B2511-Inputs!$C$69)/Inputs!$C$70,"")</f>
      </c>
      <c r="D2511" s="15"/>
      <c r="E2511" s="15"/>
      <c r="F2511" s="11">
        <f t="shared" si="19"/>
      </c>
      <c r="G2511" s="22" cm="1">
        <f t="array" ref="G2511">IF(AND(Inputs!$C$60,Inputs!$C$61),INDEX(Utility_Rates!$C$29:$F$52,HOUR(C2511)+Inputs!$C$69,MATCH(INDEX(Utility_Rates!$K$6:$K$17,MONTH(C2511))&amp;IF(WEEKDAY(C2511,Inputs!$C$76)&lt;=Inputs!$C$74," weekday"," weekend"),Utility_Rates!$C$28:$F$28,Inputs!$C$68)),"")</f>
      </c>
      <c r="H2511" s="34"/>
      <c r="I2511" s="42">
        <f>IF(AND(ISNUMBER(D2511),ISNUMBER(H2511)),D2511*H2511*Inputs!$C$69,"")</f>
      </c>
      <c r="J2511" s="42">
        <f>IF(AND(ISNUMBER(F2511),ISNUMBER(H2511),F2511&gt;=Inputs!$C$68),F2511*H2511*Inputs!$C$69,"")</f>
      </c>
    </row>
    <row r="2512" spans="2:10" ht="15" customHeight="1" x14ac:dyDescent="0.2">
      <c r="B2512" s="39">
        <f t="shared" si="18"/>
      </c>
      <c r="C2512" s="40">
        <f>IF(Inputs!$C$60,Inputs!$C$11+(B2512-Inputs!$C$69)/Inputs!$C$70,"")</f>
      </c>
      <c r="D2512" s="15"/>
      <c r="E2512" s="15"/>
      <c r="F2512" s="11">
        <f t="shared" si="19"/>
      </c>
      <c r="G2512" s="22" cm="1">
        <f t="array" ref="G2512">IF(AND(Inputs!$C$60,Inputs!$C$61),INDEX(Utility_Rates!$C$29:$F$52,HOUR(C2512)+Inputs!$C$69,MATCH(INDEX(Utility_Rates!$K$6:$K$17,MONTH(C2512))&amp;IF(WEEKDAY(C2512,Inputs!$C$76)&lt;=Inputs!$C$74," weekday"," weekend"),Utility_Rates!$C$28:$F$28,Inputs!$C$68)),"")</f>
      </c>
      <c r="H2512" s="34"/>
      <c r="I2512" s="42">
        <f>IF(AND(ISNUMBER(D2512),ISNUMBER(H2512)),D2512*H2512*Inputs!$C$69,"")</f>
      </c>
      <c r="J2512" s="42">
        <f>IF(AND(ISNUMBER(F2512),ISNUMBER(H2512),F2512&gt;=Inputs!$C$68),F2512*H2512*Inputs!$C$69,"")</f>
      </c>
    </row>
    <row r="2513" spans="2:10" ht="15" customHeight="1" x14ac:dyDescent="0.2">
      <c r="B2513" s="39">
        <f t="shared" si="18"/>
      </c>
      <c r="C2513" s="40">
        <f>IF(Inputs!$C$60,Inputs!$C$11+(B2513-Inputs!$C$69)/Inputs!$C$70,"")</f>
      </c>
      <c r="D2513" s="15"/>
      <c r="E2513" s="15"/>
      <c r="F2513" s="11">
        <f t="shared" si="19"/>
      </c>
      <c r="G2513" s="22" cm="1">
        <f t="array" ref="G2513">IF(AND(Inputs!$C$60,Inputs!$C$61),INDEX(Utility_Rates!$C$29:$F$52,HOUR(C2513)+Inputs!$C$69,MATCH(INDEX(Utility_Rates!$K$6:$K$17,MONTH(C2513))&amp;IF(WEEKDAY(C2513,Inputs!$C$76)&lt;=Inputs!$C$74," weekday"," weekend"),Utility_Rates!$C$28:$F$28,Inputs!$C$68)),"")</f>
      </c>
      <c r="H2513" s="34"/>
      <c r="I2513" s="42">
        <f>IF(AND(ISNUMBER(D2513),ISNUMBER(H2513)),D2513*H2513*Inputs!$C$69,"")</f>
      </c>
      <c r="J2513" s="42">
        <f>IF(AND(ISNUMBER(F2513),ISNUMBER(H2513),F2513&gt;=Inputs!$C$68),F2513*H2513*Inputs!$C$69,"")</f>
      </c>
    </row>
    <row r="2514" spans="2:10" ht="15" customHeight="1" x14ac:dyDescent="0.2">
      <c r="B2514" s="39">
        <f t="shared" si="18"/>
      </c>
      <c r="C2514" s="40">
        <f>IF(Inputs!$C$60,Inputs!$C$11+(B2514-Inputs!$C$69)/Inputs!$C$70,"")</f>
      </c>
      <c r="D2514" s="15"/>
      <c r="E2514" s="15"/>
      <c r="F2514" s="11">
        <f t="shared" si="19"/>
      </c>
      <c r="G2514" s="22" cm="1">
        <f t="array" ref="G2514">IF(AND(Inputs!$C$60,Inputs!$C$61),INDEX(Utility_Rates!$C$29:$F$52,HOUR(C2514)+Inputs!$C$69,MATCH(INDEX(Utility_Rates!$K$6:$K$17,MONTH(C2514))&amp;IF(WEEKDAY(C2514,Inputs!$C$76)&lt;=Inputs!$C$74," weekday"," weekend"),Utility_Rates!$C$28:$F$28,Inputs!$C$68)),"")</f>
      </c>
      <c r="H2514" s="34"/>
      <c r="I2514" s="42">
        <f>IF(AND(ISNUMBER(D2514),ISNUMBER(H2514)),D2514*H2514*Inputs!$C$69,"")</f>
      </c>
      <c r="J2514" s="42">
        <f>IF(AND(ISNUMBER(F2514),ISNUMBER(H2514),F2514&gt;=Inputs!$C$68),F2514*H2514*Inputs!$C$69,"")</f>
      </c>
    </row>
    <row r="2515" spans="2:10" ht="15" customHeight="1" x14ac:dyDescent="0.2">
      <c r="B2515" s="39">
        <f t="shared" si="18"/>
      </c>
      <c r="C2515" s="40">
        <f>IF(Inputs!$C$60,Inputs!$C$11+(B2515-Inputs!$C$69)/Inputs!$C$70,"")</f>
      </c>
      <c r="D2515" s="15"/>
      <c r="E2515" s="15"/>
      <c r="F2515" s="11">
        <f t="shared" si="19"/>
      </c>
      <c r="G2515" s="22" cm="1">
        <f t="array" ref="G2515">IF(AND(Inputs!$C$60,Inputs!$C$61),INDEX(Utility_Rates!$C$29:$F$52,HOUR(C2515)+Inputs!$C$69,MATCH(INDEX(Utility_Rates!$K$6:$K$17,MONTH(C2515))&amp;IF(WEEKDAY(C2515,Inputs!$C$76)&lt;=Inputs!$C$74," weekday"," weekend"),Utility_Rates!$C$28:$F$28,Inputs!$C$68)),"")</f>
      </c>
      <c r="H2515" s="34"/>
      <c r="I2515" s="42">
        <f>IF(AND(ISNUMBER(D2515),ISNUMBER(H2515)),D2515*H2515*Inputs!$C$69,"")</f>
      </c>
      <c r="J2515" s="42">
        <f>IF(AND(ISNUMBER(F2515),ISNUMBER(H2515),F2515&gt;=Inputs!$C$68),F2515*H2515*Inputs!$C$69,"")</f>
      </c>
    </row>
    <row r="2516" spans="2:10" ht="15" customHeight="1" x14ac:dyDescent="0.2">
      <c r="B2516" s="39">
        <f t="shared" si="18"/>
      </c>
      <c r="C2516" s="40">
        <f>IF(Inputs!$C$60,Inputs!$C$11+(B2516-Inputs!$C$69)/Inputs!$C$70,"")</f>
      </c>
      <c r="D2516" s="15"/>
      <c r="E2516" s="15"/>
      <c r="F2516" s="11">
        <f t="shared" si="19"/>
      </c>
      <c r="G2516" s="22" cm="1">
        <f t="array" ref="G2516">IF(AND(Inputs!$C$60,Inputs!$C$61),INDEX(Utility_Rates!$C$29:$F$52,HOUR(C2516)+Inputs!$C$69,MATCH(INDEX(Utility_Rates!$K$6:$K$17,MONTH(C2516))&amp;IF(WEEKDAY(C2516,Inputs!$C$76)&lt;=Inputs!$C$74," weekday"," weekend"),Utility_Rates!$C$28:$F$28,Inputs!$C$68)),"")</f>
      </c>
      <c r="H2516" s="34"/>
      <c r="I2516" s="42">
        <f>IF(AND(ISNUMBER(D2516),ISNUMBER(H2516)),D2516*H2516*Inputs!$C$69,"")</f>
      </c>
      <c r="J2516" s="42">
        <f>IF(AND(ISNUMBER(F2516),ISNUMBER(H2516),F2516&gt;=Inputs!$C$68),F2516*H2516*Inputs!$C$69,"")</f>
      </c>
    </row>
    <row r="2517" spans="2:10" ht="15" customHeight="1" x14ac:dyDescent="0.2">
      <c r="B2517" s="39">
        <f t="shared" si="18"/>
      </c>
      <c r="C2517" s="40">
        <f>IF(Inputs!$C$60,Inputs!$C$11+(B2517-Inputs!$C$69)/Inputs!$C$70,"")</f>
      </c>
      <c r="D2517" s="15"/>
      <c r="E2517" s="15"/>
      <c r="F2517" s="11">
        <f t="shared" si="19"/>
      </c>
      <c r="G2517" s="22" cm="1">
        <f t="array" ref="G2517">IF(AND(Inputs!$C$60,Inputs!$C$61),INDEX(Utility_Rates!$C$29:$F$52,HOUR(C2517)+Inputs!$C$69,MATCH(INDEX(Utility_Rates!$K$6:$K$17,MONTH(C2517))&amp;IF(WEEKDAY(C2517,Inputs!$C$76)&lt;=Inputs!$C$74," weekday"," weekend"),Utility_Rates!$C$28:$F$28,Inputs!$C$68)),"")</f>
      </c>
      <c r="H2517" s="34"/>
      <c r="I2517" s="42">
        <f>IF(AND(ISNUMBER(D2517),ISNUMBER(H2517)),D2517*H2517*Inputs!$C$69,"")</f>
      </c>
      <c r="J2517" s="42">
        <f>IF(AND(ISNUMBER(F2517),ISNUMBER(H2517),F2517&gt;=Inputs!$C$68),F2517*H2517*Inputs!$C$69,"")</f>
      </c>
    </row>
    <row r="2518" spans="2:10" ht="15" customHeight="1" x14ac:dyDescent="0.2">
      <c r="B2518" s="39">
        <f t="shared" si="18"/>
      </c>
      <c r="C2518" s="40">
        <f>IF(Inputs!$C$60,Inputs!$C$11+(B2518-Inputs!$C$69)/Inputs!$C$70,"")</f>
      </c>
      <c r="D2518" s="15"/>
      <c r="E2518" s="15"/>
      <c r="F2518" s="11">
        <f t="shared" si="19"/>
      </c>
      <c r="G2518" s="22" cm="1">
        <f t="array" ref="G2518">IF(AND(Inputs!$C$60,Inputs!$C$61),INDEX(Utility_Rates!$C$29:$F$52,HOUR(C2518)+Inputs!$C$69,MATCH(INDEX(Utility_Rates!$K$6:$K$17,MONTH(C2518))&amp;IF(WEEKDAY(C2518,Inputs!$C$76)&lt;=Inputs!$C$74," weekday"," weekend"),Utility_Rates!$C$28:$F$28,Inputs!$C$68)),"")</f>
      </c>
      <c r="H2518" s="34"/>
      <c r="I2518" s="42">
        <f>IF(AND(ISNUMBER(D2518),ISNUMBER(H2518)),D2518*H2518*Inputs!$C$69,"")</f>
      </c>
      <c r="J2518" s="42">
        <f>IF(AND(ISNUMBER(F2518),ISNUMBER(H2518),F2518&gt;=Inputs!$C$68),F2518*H2518*Inputs!$C$69,"")</f>
      </c>
    </row>
    <row r="2519" spans="2:10" ht="15" customHeight="1" x14ac:dyDescent="0.2">
      <c r="B2519" s="39">
        <f t="shared" si="18"/>
      </c>
      <c r="C2519" s="40">
        <f>IF(Inputs!$C$60,Inputs!$C$11+(B2519-Inputs!$C$69)/Inputs!$C$70,"")</f>
      </c>
      <c r="D2519" s="15"/>
      <c r="E2519" s="15"/>
      <c r="F2519" s="11">
        <f t="shared" si="19"/>
      </c>
      <c r="G2519" s="22" cm="1">
        <f t="array" ref="G2519">IF(AND(Inputs!$C$60,Inputs!$C$61),INDEX(Utility_Rates!$C$29:$F$52,HOUR(C2519)+Inputs!$C$69,MATCH(INDEX(Utility_Rates!$K$6:$K$17,MONTH(C2519))&amp;IF(WEEKDAY(C2519,Inputs!$C$76)&lt;=Inputs!$C$74," weekday"," weekend"),Utility_Rates!$C$28:$F$28,Inputs!$C$68)),"")</f>
      </c>
      <c r="H2519" s="34"/>
      <c r="I2519" s="42">
        <f>IF(AND(ISNUMBER(D2519),ISNUMBER(H2519)),D2519*H2519*Inputs!$C$69,"")</f>
      </c>
      <c r="J2519" s="42">
        <f>IF(AND(ISNUMBER(F2519),ISNUMBER(H2519),F2519&gt;=Inputs!$C$68),F2519*H2519*Inputs!$C$69,"")</f>
      </c>
    </row>
    <row r="2520" spans="2:10" ht="15" customHeight="1" x14ac:dyDescent="0.2">
      <c r="B2520" s="39">
        <f t="shared" si="18"/>
      </c>
      <c r="C2520" s="40">
        <f>IF(Inputs!$C$60,Inputs!$C$11+(B2520-Inputs!$C$69)/Inputs!$C$70,"")</f>
      </c>
      <c r="D2520" s="15"/>
      <c r="E2520" s="15"/>
      <c r="F2520" s="11">
        <f t="shared" si="19"/>
      </c>
      <c r="G2520" s="22" cm="1">
        <f t="array" ref="G2520">IF(AND(Inputs!$C$60,Inputs!$C$61),INDEX(Utility_Rates!$C$29:$F$52,HOUR(C2520)+Inputs!$C$69,MATCH(INDEX(Utility_Rates!$K$6:$K$17,MONTH(C2520))&amp;IF(WEEKDAY(C2520,Inputs!$C$76)&lt;=Inputs!$C$74," weekday"," weekend"),Utility_Rates!$C$28:$F$28,Inputs!$C$68)),"")</f>
      </c>
      <c r="H2520" s="34"/>
      <c r="I2520" s="42">
        <f>IF(AND(ISNUMBER(D2520),ISNUMBER(H2520)),D2520*H2520*Inputs!$C$69,"")</f>
      </c>
      <c r="J2520" s="42">
        <f>IF(AND(ISNUMBER(F2520),ISNUMBER(H2520),F2520&gt;=Inputs!$C$68),F2520*H2520*Inputs!$C$69,"")</f>
      </c>
    </row>
    <row r="2521" spans="2:10" ht="15" customHeight="1" x14ac:dyDescent="0.2">
      <c r="B2521" s="39">
        <f t="shared" si="18"/>
      </c>
      <c r="C2521" s="40">
        <f>IF(Inputs!$C$60,Inputs!$C$11+(B2521-Inputs!$C$69)/Inputs!$C$70,"")</f>
      </c>
      <c r="D2521" s="15"/>
      <c r="E2521" s="15"/>
      <c r="F2521" s="11">
        <f t="shared" si="19"/>
      </c>
      <c r="G2521" s="22" cm="1">
        <f t="array" ref="G2521">IF(AND(Inputs!$C$60,Inputs!$C$61),INDEX(Utility_Rates!$C$29:$F$52,HOUR(C2521)+Inputs!$C$69,MATCH(INDEX(Utility_Rates!$K$6:$K$17,MONTH(C2521))&amp;IF(WEEKDAY(C2521,Inputs!$C$76)&lt;=Inputs!$C$74," weekday"," weekend"),Utility_Rates!$C$28:$F$28,Inputs!$C$68)),"")</f>
      </c>
      <c r="H2521" s="34"/>
      <c r="I2521" s="42">
        <f>IF(AND(ISNUMBER(D2521),ISNUMBER(H2521)),D2521*H2521*Inputs!$C$69,"")</f>
      </c>
      <c r="J2521" s="42">
        <f>IF(AND(ISNUMBER(F2521),ISNUMBER(H2521),F2521&gt;=Inputs!$C$68),F2521*H2521*Inputs!$C$69,"")</f>
      </c>
    </row>
    <row r="2522" spans="2:10" ht="15" customHeight="1" x14ac:dyDescent="0.2">
      <c r="B2522" s="39">
        <f t="shared" si="18"/>
      </c>
      <c r="C2522" s="40">
        <f>IF(Inputs!$C$60,Inputs!$C$11+(B2522-Inputs!$C$69)/Inputs!$C$70,"")</f>
      </c>
      <c r="D2522" s="15"/>
      <c r="E2522" s="15"/>
      <c r="F2522" s="11">
        <f t="shared" si="19"/>
      </c>
      <c r="G2522" s="22" cm="1">
        <f t="array" ref="G2522">IF(AND(Inputs!$C$60,Inputs!$C$61),INDEX(Utility_Rates!$C$29:$F$52,HOUR(C2522)+Inputs!$C$69,MATCH(INDEX(Utility_Rates!$K$6:$K$17,MONTH(C2522))&amp;IF(WEEKDAY(C2522,Inputs!$C$76)&lt;=Inputs!$C$74," weekday"," weekend"),Utility_Rates!$C$28:$F$28,Inputs!$C$68)),"")</f>
      </c>
      <c r="H2522" s="34"/>
      <c r="I2522" s="42">
        <f>IF(AND(ISNUMBER(D2522),ISNUMBER(H2522)),D2522*H2522*Inputs!$C$69,"")</f>
      </c>
      <c r="J2522" s="42">
        <f>IF(AND(ISNUMBER(F2522),ISNUMBER(H2522),F2522&gt;=Inputs!$C$68),F2522*H2522*Inputs!$C$69,"")</f>
      </c>
    </row>
    <row r="2523" spans="2:10" ht="15" customHeight="1" x14ac:dyDescent="0.2">
      <c r="B2523" s="39">
        <f t="shared" si="18"/>
      </c>
      <c r="C2523" s="40">
        <f>IF(Inputs!$C$60,Inputs!$C$11+(B2523-Inputs!$C$69)/Inputs!$C$70,"")</f>
      </c>
      <c r="D2523" s="15"/>
      <c r="E2523" s="15"/>
      <c r="F2523" s="11">
        <f t="shared" si="19"/>
      </c>
      <c r="G2523" s="22" cm="1">
        <f t="array" ref="G2523">IF(AND(Inputs!$C$60,Inputs!$C$61),INDEX(Utility_Rates!$C$29:$F$52,HOUR(C2523)+Inputs!$C$69,MATCH(INDEX(Utility_Rates!$K$6:$K$17,MONTH(C2523))&amp;IF(WEEKDAY(C2523,Inputs!$C$76)&lt;=Inputs!$C$74," weekday"," weekend"),Utility_Rates!$C$28:$F$28,Inputs!$C$68)),"")</f>
      </c>
      <c r="H2523" s="34"/>
      <c r="I2523" s="42">
        <f>IF(AND(ISNUMBER(D2523),ISNUMBER(H2523)),D2523*H2523*Inputs!$C$69,"")</f>
      </c>
      <c r="J2523" s="42">
        <f>IF(AND(ISNUMBER(F2523),ISNUMBER(H2523),F2523&gt;=Inputs!$C$68),F2523*H2523*Inputs!$C$69,"")</f>
      </c>
    </row>
    <row r="2524" spans="2:10" ht="15" customHeight="1" x14ac:dyDescent="0.2">
      <c r="B2524" s="39">
        <f t="shared" si="18"/>
      </c>
      <c r="C2524" s="40">
        <f>IF(Inputs!$C$60,Inputs!$C$11+(B2524-Inputs!$C$69)/Inputs!$C$70,"")</f>
      </c>
      <c r="D2524" s="15"/>
      <c r="E2524" s="15"/>
      <c r="F2524" s="11">
        <f t="shared" si="19"/>
      </c>
      <c r="G2524" s="22" cm="1">
        <f t="array" ref="G2524">IF(AND(Inputs!$C$60,Inputs!$C$61),INDEX(Utility_Rates!$C$29:$F$52,HOUR(C2524)+Inputs!$C$69,MATCH(INDEX(Utility_Rates!$K$6:$K$17,MONTH(C2524))&amp;IF(WEEKDAY(C2524,Inputs!$C$76)&lt;=Inputs!$C$74," weekday"," weekend"),Utility_Rates!$C$28:$F$28,Inputs!$C$68)),"")</f>
      </c>
      <c r="H2524" s="34"/>
      <c r="I2524" s="42">
        <f>IF(AND(ISNUMBER(D2524),ISNUMBER(H2524)),D2524*H2524*Inputs!$C$69,"")</f>
      </c>
      <c r="J2524" s="42">
        <f>IF(AND(ISNUMBER(F2524),ISNUMBER(H2524),F2524&gt;=Inputs!$C$68),F2524*H2524*Inputs!$C$69,"")</f>
      </c>
    </row>
    <row r="2525" spans="2:10" ht="15" customHeight="1" x14ac:dyDescent="0.2">
      <c r="B2525" s="39">
        <f t="shared" si="18"/>
      </c>
      <c r="C2525" s="40">
        <f>IF(Inputs!$C$60,Inputs!$C$11+(B2525-Inputs!$C$69)/Inputs!$C$70,"")</f>
      </c>
      <c r="D2525" s="15"/>
      <c r="E2525" s="15"/>
      <c r="F2525" s="11">
        <f t="shared" si="19"/>
      </c>
      <c r="G2525" s="22" cm="1">
        <f t="array" ref="G2525">IF(AND(Inputs!$C$60,Inputs!$C$61),INDEX(Utility_Rates!$C$29:$F$52,HOUR(C2525)+Inputs!$C$69,MATCH(INDEX(Utility_Rates!$K$6:$K$17,MONTH(C2525))&amp;IF(WEEKDAY(C2525,Inputs!$C$76)&lt;=Inputs!$C$74," weekday"," weekend"),Utility_Rates!$C$28:$F$28,Inputs!$C$68)),"")</f>
      </c>
      <c r="H2525" s="34"/>
      <c r="I2525" s="42">
        <f>IF(AND(ISNUMBER(D2525),ISNUMBER(H2525)),D2525*H2525*Inputs!$C$69,"")</f>
      </c>
      <c r="J2525" s="42">
        <f>IF(AND(ISNUMBER(F2525),ISNUMBER(H2525),F2525&gt;=Inputs!$C$68),F2525*H2525*Inputs!$C$69,"")</f>
      </c>
    </row>
    <row r="2526" spans="2:10" ht="15" customHeight="1" x14ac:dyDescent="0.2">
      <c r="B2526" s="39">
        <f t="shared" si="18"/>
      </c>
      <c r="C2526" s="40">
        <f>IF(Inputs!$C$60,Inputs!$C$11+(B2526-Inputs!$C$69)/Inputs!$C$70,"")</f>
      </c>
      <c r="D2526" s="15"/>
      <c r="E2526" s="15"/>
      <c r="F2526" s="11">
        <f t="shared" si="19"/>
      </c>
      <c r="G2526" s="22" cm="1">
        <f t="array" ref="G2526">IF(AND(Inputs!$C$60,Inputs!$C$61),INDEX(Utility_Rates!$C$29:$F$52,HOUR(C2526)+Inputs!$C$69,MATCH(INDEX(Utility_Rates!$K$6:$K$17,MONTH(C2526))&amp;IF(WEEKDAY(C2526,Inputs!$C$76)&lt;=Inputs!$C$74," weekday"," weekend"),Utility_Rates!$C$28:$F$28,Inputs!$C$68)),"")</f>
      </c>
      <c r="H2526" s="34"/>
      <c r="I2526" s="42">
        <f>IF(AND(ISNUMBER(D2526),ISNUMBER(H2526)),D2526*H2526*Inputs!$C$69,"")</f>
      </c>
      <c r="J2526" s="42">
        <f>IF(AND(ISNUMBER(F2526),ISNUMBER(H2526),F2526&gt;=Inputs!$C$68),F2526*H2526*Inputs!$C$69,"")</f>
      </c>
    </row>
    <row r="2527" spans="2:10" ht="15" customHeight="1" x14ac:dyDescent="0.2">
      <c r="B2527" s="39">
        <f t="shared" si="18"/>
      </c>
      <c r="C2527" s="40">
        <f>IF(Inputs!$C$60,Inputs!$C$11+(B2527-Inputs!$C$69)/Inputs!$C$70,"")</f>
      </c>
      <c r="D2527" s="15"/>
      <c r="E2527" s="15"/>
      <c r="F2527" s="11">
        <f t="shared" si="19"/>
      </c>
      <c r="G2527" s="22" cm="1">
        <f t="array" ref="G2527">IF(AND(Inputs!$C$60,Inputs!$C$61),INDEX(Utility_Rates!$C$29:$F$52,HOUR(C2527)+Inputs!$C$69,MATCH(INDEX(Utility_Rates!$K$6:$K$17,MONTH(C2527))&amp;IF(WEEKDAY(C2527,Inputs!$C$76)&lt;=Inputs!$C$74," weekday"," weekend"),Utility_Rates!$C$28:$F$28,Inputs!$C$68)),"")</f>
      </c>
      <c r="H2527" s="34"/>
      <c r="I2527" s="42">
        <f>IF(AND(ISNUMBER(D2527),ISNUMBER(H2527)),D2527*H2527*Inputs!$C$69,"")</f>
      </c>
      <c r="J2527" s="42">
        <f>IF(AND(ISNUMBER(F2527),ISNUMBER(H2527),F2527&gt;=Inputs!$C$68),F2527*H2527*Inputs!$C$69,"")</f>
      </c>
    </row>
    <row r="2528" spans="2:10" ht="15" customHeight="1" x14ac:dyDescent="0.2">
      <c r="B2528" s="39">
        <f t="shared" si="18"/>
      </c>
      <c r="C2528" s="40">
        <f>IF(Inputs!$C$60,Inputs!$C$11+(B2528-Inputs!$C$69)/Inputs!$C$70,"")</f>
      </c>
      <c r="D2528" s="15"/>
      <c r="E2528" s="15"/>
      <c r="F2528" s="11">
        <f t="shared" si="19"/>
      </c>
      <c r="G2528" s="22" cm="1">
        <f t="array" ref="G2528">IF(AND(Inputs!$C$60,Inputs!$C$61),INDEX(Utility_Rates!$C$29:$F$52,HOUR(C2528)+Inputs!$C$69,MATCH(INDEX(Utility_Rates!$K$6:$K$17,MONTH(C2528))&amp;IF(WEEKDAY(C2528,Inputs!$C$76)&lt;=Inputs!$C$74," weekday"," weekend"),Utility_Rates!$C$28:$F$28,Inputs!$C$68)),"")</f>
      </c>
      <c r="H2528" s="34"/>
      <c r="I2528" s="42">
        <f>IF(AND(ISNUMBER(D2528),ISNUMBER(H2528)),D2528*H2528*Inputs!$C$69,"")</f>
      </c>
      <c r="J2528" s="42">
        <f>IF(AND(ISNUMBER(F2528),ISNUMBER(H2528),F2528&gt;=Inputs!$C$68),F2528*H2528*Inputs!$C$69,"")</f>
      </c>
    </row>
    <row r="2529" spans="2:10" ht="15" customHeight="1" x14ac:dyDescent="0.2">
      <c r="B2529" s="39">
        <f t="shared" si="18"/>
      </c>
      <c r="C2529" s="40">
        <f>IF(Inputs!$C$60,Inputs!$C$11+(B2529-Inputs!$C$69)/Inputs!$C$70,"")</f>
      </c>
      <c r="D2529" s="15"/>
      <c r="E2529" s="15"/>
      <c r="F2529" s="11">
        <f t="shared" si="19"/>
      </c>
      <c r="G2529" s="22" cm="1">
        <f t="array" ref="G2529">IF(AND(Inputs!$C$60,Inputs!$C$61),INDEX(Utility_Rates!$C$29:$F$52,HOUR(C2529)+Inputs!$C$69,MATCH(INDEX(Utility_Rates!$K$6:$K$17,MONTH(C2529))&amp;IF(WEEKDAY(C2529,Inputs!$C$76)&lt;=Inputs!$C$74," weekday"," weekend"),Utility_Rates!$C$28:$F$28,Inputs!$C$68)),"")</f>
      </c>
      <c r="H2529" s="34"/>
      <c r="I2529" s="42">
        <f>IF(AND(ISNUMBER(D2529),ISNUMBER(H2529)),D2529*H2529*Inputs!$C$69,"")</f>
      </c>
      <c r="J2529" s="42">
        <f>IF(AND(ISNUMBER(F2529),ISNUMBER(H2529),F2529&gt;=Inputs!$C$68),F2529*H2529*Inputs!$C$69,"")</f>
      </c>
    </row>
    <row r="2530" spans="2:10" ht="15" customHeight="1" x14ac:dyDescent="0.2">
      <c r="B2530" s="39">
        <f t="shared" si="18"/>
      </c>
      <c r="C2530" s="40">
        <f>IF(Inputs!$C$60,Inputs!$C$11+(B2530-Inputs!$C$69)/Inputs!$C$70,"")</f>
      </c>
      <c r="D2530" s="15"/>
      <c r="E2530" s="15"/>
      <c r="F2530" s="11">
        <f t="shared" si="19"/>
      </c>
      <c r="G2530" s="22" cm="1">
        <f t="array" ref="G2530">IF(AND(Inputs!$C$60,Inputs!$C$61),INDEX(Utility_Rates!$C$29:$F$52,HOUR(C2530)+Inputs!$C$69,MATCH(INDEX(Utility_Rates!$K$6:$K$17,MONTH(C2530))&amp;IF(WEEKDAY(C2530,Inputs!$C$76)&lt;=Inputs!$C$74," weekday"," weekend"),Utility_Rates!$C$28:$F$28,Inputs!$C$68)),"")</f>
      </c>
      <c r="H2530" s="34"/>
      <c r="I2530" s="42">
        <f>IF(AND(ISNUMBER(D2530),ISNUMBER(H2530)),D2530*H2530*Inputs!$C$69,"")</f>
      </c>
      <c r="J2530" s="42">
        <f>IF(AND(ISNUMBER(F2530),ISNUMBER(H2530),F2530&gt;=Inputs!$C$68),F2530*H2530*Inputs!$C$69,"")</f>
      </c>
    </row>
    <row r="2531" spans="2:10" ht="15" customHeight="1" x14ac:dyDescent="0.2">
      <c r="B2531" s="39">
        <f t="shared" si="18"/>
      </c>
      <c r="C2531" s="40">
        <f>IF(Inputs!$C$60,Inputs!$C$11+(B2531-Inputs!$C$69)/Inputs!$C$70,"")</f>
      </c>
      <c r="D2531" s="15"/>
      <c r="E2531" s="15"/>
      <c r="F2531" s="11">
        <f t="shared" si="19"/>
      </c>
      <c r="G2531" s="22" cm="1">
        <f t="array" ref="G2531">IF(AND(Inputs!$C$60,Inputs!$C$61),INDEX(Utility_Rates!$C$29:$F$52,HOUR(C2531)+Inputs!$C$69,MATCH(INDEX(Utility_Rates!$K$6:$K$17,MONTH(C2531))&amp;IF(WEEKDAY(C2531,Inputs!$C$76)&lt;=Inputs!$C$74," weekday"," weekend"),Utility_Rates!$C$28:$F$28,Inputs!$C$68)),"")</f>
      </c>
      <c r="H2531" s="34"/>
      <c r="I2531" s="42">
        <f>IF(AND(ISNUMBER(D2531),ISNUMBER(H2531)),D2531*H2531*Inputs!$C$69,"")</f>
      </c>
      <c r="J2531" s="42">
        <f>IF(AND(ISNUMBER(F2531),ISNUMBER(H2531),F2531&gt;=Inputs!$C$68),F2531*H2531*Inputs!$C$69,"")</f>
      </c>
    </row>
    <row r="2532" spans="2:10" ht="15" customHeight="1" x14ac:dyDescent="0.2">
      <c r="B2532" s="39">
        <f t="shared" si="18"/>
      </c>
      <c r="C2532" s="40">
        <f>IF(Inputs!$C$60,Inputs!$C$11+(B2532-Inputs!$C$69)/Inputs!$C$70,"")</f>
      </c>
      <c r="D2532" s="15"/>
      <c r="E2532" s="15"/>
      <c r="F2532" s="11">
        <f t="shared" si="19"/>
      </c>
      <c r="G2532" s="22" cm="1">
        <f t="array" ref="G2532">IF(AND(Inputs!$C$60,Inputs!$C$61),INDEX(Utility_Rates!$C$29:$F$52,HOUR(C2532)+Inputs!$C$69,MATCH(INDEX(Utility_Rates!$K$6:$K$17,MONTH(C2532))&amp;IF(WEEKDAY(C2532,Inputs!$C$76)&lt;=Inputs!$C$74," weekday"," weekend"),Utility_Rates!$C$28:$F$28,Inputs!$C$68)),"")</f>
      </c>
      <c r="H2532" s="34"/>
      <c r="I2532" s="42">
        <f>IF(AND(ISNUMBER(D2532),ISNUMBER(H2532)),D2532*H2532*Inputs!$C$69,"")</f>
      </c>
      <c r="J2532" s="42">
        <f>IF(AND(ISNUMBER(F2532),ISNUMBER(H2532),F2532&gt;=Inputs!$C$68),F2532*H2532*Inputs!$C$69,"")</f>
      </c>
    </row>
    <row r="2533" spans="2:10" ht="15" customHeight="1" x14ac:dyDescent="0.2">
      <c r="B2533" s="39">
        <f t="shared" si="18"/>
      </c>
      <c r="C2533" s="40">
        <f>IF(Inputs!$C$60,Inputs!$C$11+(B2533-Inputs!$C$69)/Inputs!$C$70,"")</f>
      </c>
      <c r="D2533" s="15"/>
      <c r="E2533" s="15"/>
      <c r="F2533" s="11">
        <f t="shared" si="19"/>
      </c>
      <c r="G2533" s="22" cm="1">
        <f t="array" ref="G2533">IF(AND(Inputs!$C$60,Inputs!$C$61),INDEX(Utility_Rates!$C$29:$F$52,HOUR(C2533)+Inputs!$C$69,MATCH(INDEX(Utility_Rates!$K$6:$K$17,MONTH(C2533))&amp;IF(WEEKDAY(C2533,Inputs!$C$76)&lt;=Inputs!$C$74," weekday"," weekend"),Utility_Rates!$C$28:$F$28,Inputs!$C$68)),"")</f>
      </c>
      <c r="H2533" s="34"/>
      <c r="I2533" s="42">
        <f>IF(AND(ISNUMBER(D2533),ISNUMBER(H2533)),D2533*H2533*Inputs!$C$69,"")</f>
      </c>
      <c r="J2533" s="42">
        <f>IF(AND(ISNUMBER(F2533),ISNUMBER(H2533),F2533&gt;=Inputs!$C$68),F2533*H2533*Inputs!$C$69,"")</f>
      </c>
    </row>
    <row r="2534" spans="2:10" ht="15" customHeight="1" x14ac:dyDescent="0.2">
      <c r="B2534" s="39">
        <f t="shared" si="18"/>
      </c>
      <c r="C2534" s="40">
        <f>IF(Inputs!$C$60,Inputs!$C$11+(B2534-Inputs!$C$69)/Inputs!$C$70,"")</f>
      </c>
      <c r="D2534" s="15"/>
      <c r="E2534" s="15"/>
      <c r="F2534" s="11">
        <f t="shared" si="19"/>
      </c>
      <c r="G2534" s="22" cm="1">
        <f t="array" ref="G2534">IF(AND(Inputs!$C$60,Inputs!$C$61),INDEX(Utility_Rates!$C$29:$F$52,HOUR(C2534)+Inputs!$C$69,MATCH(INDEX(Utility_Rates!$K$6:$K$17,MONTH(C2534))&amp;IF(WEEKDAY(C2534,Inputs!$C$76)&lt;=Inputs!$C$74," weekday"," weekend"),Utility_Rates!$C$28:$F$28,Inputs!$C$68)),"")</f>
      </c>
      <c r="H2534" s="34"/>
      <c r="I2534" s="42">
        <f>IF(AND(ISNUMBER(D2534),ISNUMBER(H2534)),D2534*H2534*Inputs!$C$69,"")</f>
      </c>
      <c r="J2534" s="42">
        <f>IF(AND(ISNUMBER(F2534),ISNUMBER(H2534),F2534&gt;=Inputs!$C$68),F2534*H2534*Inputs!$C$69,"")</f>
      </c>
    </row>
    <row r="2535" spans="2:10" ht="15" customHeight="1" x14ac:dyDescent="0.2">
      <c r="B2535" s="39">
        <f t="shared" si="18"/>
      </c>
      <c r="C2535" s="40">
        <f>IF(Inputs!$C$60,Inputs!$C$11+(B2535-Inputs!$C$69)/Inputs!$C$70,"")</f>
      </c>
      <c r="D2535" s="15"/>
      <c r="E2535" s="15"/>
      <c r="F2535" s="11">
        <f t="shared" si="19"/>
      </c>
      <c r="G2535" s="22" cm="1">
        <f t="array" ref="G2535">IF(AND(Inputs!$C$60,Inputs!$C$61),INDEX(Utility_Rates!$C$29:$F$52,HOUR(C2535)+Inputs!$C$69,MATCH(INDEX(Utility_Rates!$K$6:$K$17,MONTH(C2535))&amp;IF(WEEKDAY(C2535,Inputs!$C$76)&lt;=Inputs!$C$74," weekday"," weekend"),Utility_Rates!$C$28:$F$28,Inputs!$C$68)),"")</f>
      </c>
      <c r="H2535" s="34"/>
      <c r="I2535" s="42">
        <f>IF(AND(ISNUMBER(D2535),ISNUMBER(H2535)),D2535*H2535*Inputs!$C$69,"")</f>
      </c>
      <c r="J2535" s="42">
        <f>IF(AND(ISNUMBER(F2535),ISNUMBER(H2535),F2535&gt;=Inputs!$C$68),F2535*H2535*Inputs!$C$69,"")</f>
      </c>
    </row>
    <row r="2536" spans="2:10" ht="15" customHeight="1" x14ac:dyDescent="0.2">
      <c r="B2536" s="39">
        <f t="shared" si="18"/>
      </c>
      <c r="C2536" s="40">
        <f>IF(Inputs!$C$60,Inputs!$C$11+(B2536-Inputs!$C$69)/Inputs!$C$70,"")</f>
      </c>
      <c r="D2536" s="15"/>
      <c r="E2536" s="15"/>
      <c r="F2536" s="11">
        <f t="shared" si="19"/>
      </c>
      <c r="G2536" s="22" cm="1">
        <f t="array" ref="G2536">IF(AND(Inputs!$C$60,Inputs!$C$61),INDEX(Utility_Rates!$C$29:$F$52,HOUR(C2536)+Inputs!$C$69,MATCH(INDEX(Utility_Rates!$K$6:$K$17,MONTH(C2536))&amp;IF(WEEKDAY(C2536,Inputs!$C$76)&lt;=Inputs!$C$74," weekday"," weekend"),Utility_Rates!$C$28:$F$28,Inputs!$C$68)),"")</f>
      </c>
      <c r="H2536" s="34"/>
      <c r="I2536" s="42">
        <f>IF(AND(ISNUMBER(D2536),ISNUMBER(H2536)),D2536*H2536*Inputs!$C$69,"")</f>
      </c>
      <c r="J2536" s="42">
        <f>IF(AND(ISNUMBER(F2536),ISNUMBER(H2536),F2536&gt;=Inputs!$C$68),F2536*H2536*Inputs!$C$69,"")</f>
      </c>
    </row>
    <row r="2537" spans="2:10" ht="15" customHeight="1" x14ac:dyDescent="0.2">
      <c r="B2537" s="39">
        <f t="shared" si="18"/>
      </c>
      <c r="C2537" s="40">
        <f>IF(Inputs!$C$60,Inputs!$C$11+(B2537-Inputs!$C$69)/Inputs!$C$70,"")</f>
      </c>
      <c r="D2537" s="15"/>
      <c r="E2537" s="15"/>
      <c r="F2537" s="11">
        <f t="shared" si="19"/>
      </c>
      <c r="G2537" s="22" cm="1">
        <f t="array" ref="G2537">IF(AND(Inputs!$C$60,Inputs!$C$61),INDEX(Utility_Rates!$C$29:$F$52,HOUR(C2537)+Inputs!$C$69,MATCH(INDEX(Utility_Rates!$K$6:$K$17,MONTH(C2537))&amp;IF(WEEKDAY(C2537,Inputs!$C$76)&lt;=Inputs!$C$74," weekday"," weekend"),Utility_Rates!$C$28:$F$28,Inputs!$C$68)),"")</f>
      </c>
      <c r="H2537" s="34"/>
      <c r="I2537" s="42">
        <f>IF(AND(ISNUMBER(D2537),ISNUMBER(H2537)),D2537*H2537*Inputs!$C$69,"")</f>
      </c>
      <c r="J2537" s="42">
        <f>IF(AND(ISNUMBER(F2537),ISNUMBER(H2537),F2537&gt;=Inputs!$C$68),F2537*H2537*Inputs!$C$69,"")</f>
      </c>
    </row>
    <row r="2538" spans="2:10" ht="15" customHeight="1" x14ac:dyDescent="0.2">
      <c r="B2538" s="39">
        <f t="shared" si="18"/>
      </c>
      <c r="C2538" s="40">
        <f>IF(Inputs!$C$60,Inputs!$C$11+(B2538-Inputs!$C$69)/Inputs!$C$70,"")</f>
      </c>
      <c r="D2538" s="15"/>
      <c r="E2538" s="15"/>
      <c r="F2538" s="11">
        <f t="shared" si="19"/>
      </c>
      <c r="G2538" s="22" cm="1">
        <f t="array" ref="G2538">IF(AND(Inputs!$C$60,Inputs!$C$61),INDEX(Utility_Rates!$C$29:$F$52,HOUR(C2538)+Inputs!$C$69,MATCH(INDEX(Utility_Rates!$K$6:$K$17,MONTH(C2538))&amp;IF(WEEKDAY(C2538,Inputs!$C$76)&lt;=Inputs!$C$74," weekday"," weekend"),Utility_Rates!$C$28:$F$28,Inputs!$C$68)),"")</f>
      </c>
      <c r="H2538" s="34"/>
      <c r="I2538" s="42">
        <f>IF(AND(ISNUMBER(D2538),ISNUMBER(H2538)),D2538*H2538*Inputs!$C$69,"")</f>
      </c>
      <c r="J2538" s="42">
        <f>IF(AND(ISNUMBER(F2538),ISNUMBER(H2538),F2538&gt;=Inputs!$C$68),F2538*H2538*Inputs!$C$69,"")</f>
      </c>
    </row>
    <row r="2539" spans="2:10" ht="15" customHeight="1" x14ac:dyDescent="0.2">
      <c r="B2539" s="39">
        <f t="shared" si="18"/>
      </c>
      <c r="C2539" s="40">
        <f>IF(Inputs!$C$60,Inputs!$C$11+(B2539-Inputs!$C$69)/Inputs!$C$70,"")</f>
      </c>
      <c r="D2539" s="15"/>
      <c r="E2539" s="15"/>
      <c r="F2539" s="11">
        <f t="shared" si="19"/>
      </c>
      <c r="G2539" s="22" cm="1">
        <f t="array" ref="G2539">IF(AND(Inputs!$C$60,Inputs!$C$61),INDEX(Utility_Rates!$C$29:$F$52,HOUR(C2539)+Inputs!$C$69,MATCH(INDEX(Utility_Rates!$K$6:$K$17,MONTH(C2539))&amp;IF(WEEKDAY(C2539,Inputs!$C$76)&lt;=Inputs!$C$74," weekday"," weekend"),Utility_Rates!$C$28:$F$28,Inputs!$C$68)),"")</f>
      </c>
      <c r="H2539" s="34"/>
      <c r="I2539" s="42">
        <f>IF(AND(ISNUMBER(D2539),ISNUMBER(H2539)),D2539*H2539*Inputs!$C$69,"")</f>
      </c>
      <c r="J2539" s="42">
        <f>IF(AND(ISNUMBER(F2539),ISNUMBER(H2539),F2539&gt;=Inputs!$C$68),F2539*H2539*Inputs!$C$69,"")</f>
      </c>
    </row>
    <row r="2540" spans="2:10" ht="15" customHeight="1" x14ac:dyDescent="0.2">
      <c r="B2540" s="39">
        <f t="shared" si="18"/>
      </c>
      <c r="C2540" s="40">
        <f>IF(Inputs!$C$60,Inputs!$C$11+(B2540-Inputs!$C$69)/Inputs!$C$70,"")</f>
      </c>
      <c r="D2540" s="15"/>
      <c r="E2540" s="15"/>
      <c r="F2540" s="11">
        <f t="shared" si="19"/>
      </c>
      <c r="G2540" s="22" cm="1">
        <f t="array" ref="G2540">IF(AND(Inputs!$C$60,Inputs!$C$61),INDEX(Utility_Rates!$C$29:$F$52,HOUR(C2540)+Inputs!$C$69,MATCH(INDEX(Utility_Rates!$K$6:$K$17,MONTH(C2540))&amp;IF(WEEKDAY(C2540,Inputs!$C$76)&lt;=Inputs!$C$74," weekday"," weekend"),Utility_Rates!$C$28:$F$28,Inputs!$C$68)),"")</f>
      </c>
      <c r="H2540" s="34"/>
      <c r="I2540" s="42">
        <f>IF(AND(ISNUMBER(D2540),ISNUMBER(H2540)),D2540*H2540*Inputs!$C$69,"")</f>
      </c>
      <c r="J2540" s="42">
        <f>IF(AND(ISNUMBER(F2540),ISNUMBER(H2540),F2540&gt;=Inputs!$C$68),F2540*H2540*Inputs!$C$69,"")</f>
      </c>
    </row>
    <row r="2541" spans="2:10" ht="15" customHeight="1" x14ac:dyDescent="0.2">
      <c r="B2541" s="39">
        <f t="shared" si="18"/>
      </c>
      <c r="C2541" s="40">
        <f>IF(Inputs!$C$60,Inputs!$C$11+(B2541-Inputs!$C$69)/Inputs!$C$70,"")</f>
      </c>
      <c r="D2541" s="15"/>
      <c r="E2541" s="15"/>
      <c r="F2541" s="11">
        <f t="shared" si="19"/>
      </c>
      <c r="G2541" s="22" cm="1">
        <f t="array" ref="G2541">IF(AND(Inputs!$C$60,Inputs!$C$61),INDEX(Utility_Rates!$C$29:$F$52,HOUR(C2541)+Inputs!$C$69,MATCH(INDEX(Utility_Rates!$K$6:$K$17,MONTH(C2541))&amp;IF(WEEKDAY(C2541,Inputs!$C$76)&lt;=Inputs!$C$74," weekday"," weekend"),Utility_Rates!$C$28:$F$28,Inputs!$C$68)),"")</f>
      </c>
      <c r="H2541" s="34"/>
      <c r="I2541" s="42">
        <f>IF(AND(ISNUMBER(D2541),ISNUMBER(H2541)),D2541*H2541*Inputs!$C$69,"")</f>
      </c>
      <c r="J2541" s="42">
        <f>IF(AND(ISNUMBER(F2541),ISNUMBER(H2541),F2541&gt;=Inputs!$C$68),F2541*H2541*Inputs!$C$69,"")</f>
      </c>
    </row>
    <row r="2542" spans="2:10" ht="15" customHeight="1" x14ac:dyDescent="0.2">
      <c r="B2542" s="39">
        <f t="shared" si="18"/>
      </c>
      <c r="C2542" s="40">
        <f>IF(Inputs!$C$60,Inputs!$C$11+(B2542-Inputs!$C$69)/Inputs!$C$70,"")</f>
      </c>
      <c r="D2542" s="15"/>
      <c r="E2542" s="15"/>
      <c r="F2542" s="11">
        <f t="shared" si="19"/>
      </c>
      <c r="G2542" s="22" cm="1">
        <f t="array" ref="G2542">IF(AND(Inputs!$C$60,Inputs!$C$61),INDEX(Utility_Rates!$C$29:$F$52,HOUR(C2542)+Inputs!$C$69,MATCH(INDEX(Utility_Rates!$K$6:$K$17,MONTH(C2542))&amp;IF(WEEKDAY(C2542,Inputs!$C$76)&lt;=Inputs!$C$74," weekday"," weekend"),Utility_Rates!$C$28:$F$28,Inputs!$C$68)),"")</f>
      </c>
      <c r="H2542" s="34"/>
      <c r="I2542" s="42">
        <f>IF(AND(ISNUMBER(D2542),ISNUMBER(H2542)),D2542*H2542*Inputs!$C$69,"")</f>
      </c>
      <c r="J2542" s="42">
        <f>IF(AND(ISNUMBER(F2542),ISNUMBER(H2542),F2542&gt;=Inputs!$C$68),F2542*H2542*Inputs!$C$69,"")</f>
      </c>
    </row>
    <row r="2543" spans="2:10" ht="15" customHeight="1" x14ac:dyDescent="0.2">
      <c r="B2543" s="39">
        <f t="shared" si="18"/>
      </c>
      <c r="C2543" s="40">
        <f>IF(Inputs!$C$60,Inputs!$C$11+(B2543-Inputs!$C$69)/Inputs!$C$70,"")</f>
      </c>
      <c r="D2543" s="15"/>
      <c r="E2543" s="15"/>
      <c r="F2543" s="11">
        <f t="shared" si="19"/>
      </c>
      <c r="G2543" s="22" cm="1">
        <f t="array" ref="G2543">IF(AND(Inputs!$C$60,Inputs!$C$61),INDEX(Utility_Rates!$C$29:$F$52,HOUR(C2543)+Inputs!$C$69,MATCH(INDEX(Utility_Rates!$K$6:$K$17,MONTH(C2543))&amp;IF(WEEKDAY(C2543,Inputs!$C$76)&lt;=Inputs!$C$74," weekday"," weekend"),Utility_Rates!$C$28:$F$28,Inputs!$C$68)),"")</f>
      </c>
      <c r="H2543" s="34"/>
      <c r="I2543" s="42">
        <f>IF(AND(ISNUMBER(D2543),ISNUMBER(H2543)),D2543*H2543*Inputs!$C$69,"")</f>
      </c>
      <c r="J2543" s="42">
        <f>IF(AND(ISNUMBER(F2543),ISNUMBER(H2543),F2543&gt;=Inputs!$C$68),F2543*H2543*Inputs!$C$69,"")</f>
      </c>
    </row>
    <row r="2544" spans="2:10" ht="15" customHeight="1" x14ac:dyDescent="0.2">
      <c r="B2544" s="39">
        <f t="shared" si="18"/>
      </c>
      <c r="C2544" s="40">
        <f>IF(Inputs!$C$60,Inputs!$C$11+(B2544-Inputs!$C$69)/Inputs!$C$70,"")</f>
      </c>
      <c r="D2544" s="15"/>
      <c r="E2544" s="15"/>
      <c r="F2544" s="11">
        <f t="shared" si="19"/>
      </c>
      <c r="G2544" s="22" cm="1">
        <f t="array" ref="G2544">IF(AND(Inputs!$C$60,Inputs!$C$61),INDEX(Utility_Rates!$C$29:$F$52,HOUR(C2544)+Inputs!$C$69,MATCH(INDEX(Utility_Rates!$K$6:$K$17,MONTH(C2544))&amp;IF(WEEKDAY(C2544,Inputs!$C$76)&lt;=Inputs!$C$74," weekday"," weekend"),Utility_Rates!$C$28:$F$28,Inputs!$C$68)),"")</f>
      </c>
      <c r="H2544" s="34"/>
      <c r="I2544" s="42">
        <f>IF(AND(ISNUMBER(D2544),ISNUMBER(H2544)),D2544*H2544*Inputs!$C$69,"")</f>
      </c>
      <c r="J2544" s="42">
        <f>IF(AND(ISNUMBER(F2544),ISNUMBER(H2544),F2544&gt;=Inputs!$C$68),F2544*H2544*Inputs!$C$69,"")</f>
      </c>
    </row>
    <row r="2545" spans="2:10" ht="15" customHeight="1" x14ac:dyDescent="0.2">
      <c r="B2545" s="39">
        <f t="shared" si="18"/>
      </c>
      <c r="C2545" s="40">
        <f>IF(Inputs!$C$60,Inputs!$C$11+(B2545-Inputs!$C$69)/Inputs!$C$70,"")</f>
      </c>
      <c r="D2545" s="15"/>
      <c r="E2545" s="15"/>
      <c r="F2545" s="11">
        <f t="shared" si="19"/>
      </c>
      <c r="G2545" s="22" cm="1">
        <f t="array" ref="G2545">IF(AND(Inputs!$C$60,Inputs!$C$61),INDEX(Utility_Rates!$C$29:$F$52,HOUR(C2545)+Inputs!$C$69,MATCH(INDEX(Utility_Rates!$K$6:$K$17,MONTH(C2545))&amp;IF(WEEKDAY(C2545,Inputs!$C$76)&lt;=Inputs!$C$74," weekday"," weekend"),Utility_Rates!$C$28:$F$28,Inputs!$C$68)),"")</f>
      </c>
      <c r="H2545" s="34"/>
      <c r="I2545" s="42">
        <f>IF(AND(ISNUMBER(D2545),ISNUMBER(H2545)),D2545*H2545*Inputs!$C$69,"")</f>
      </c>
      <c r="J2545" s="42">
        <f>IF(AND(ISNUMBER(F2545),ISNUMBER(H2545),F2545&gt;=Inputs!$C$68),F2545*H2545*Inputs!$C$69,"")</f>
      </c>
    </row>
    <row r="2546" spans="2:10" ht="15" customHeight="1" x14ac:dyDescent="0.2">
      <c r="B2546" s="39">
        <f t="shared" si="18"/>
      </c>
      <c r="C2546" s="40">
        <f>IF(Inputs!$C$60,Inputs!$C$11+(B2546-Inputs!$C$69)/Inputs!$C$70,"")</f>
      </c>
      <c r="D2546" s="15"/>
      <c r="E2546" s="15"/>
      <c r="F2546" s="11">
        <f t="shared" si="19"/>
      </c>
      <c r="G2546" s="22" cm="1">
        <f t="array" ref="G2546">IF(AND(Inputs!$C$60,Inputs!$C$61),INDEX(Utility_Rates!$C$29:$F$52,HOUR(C2546)+Inputs!$C$69,MATCH(INDEX(Utility_Rates!$K$6:$K$17,MONTH(C2546))&amp;IF(WEEKDAY(C2546,Inputs!$C$76)&lt;=Inputs!$C$74," weekday"," weekend"),Utility_Rates!$C$28:$F$28,Inputs!$C$68)),"")</f>
      </c>
      <c r="H2546" s="34"/>
      <c r="I2546" s="42">
        <f>IF(AND(ISNUMBER(D2546),ISNUMBER(H2546)),D2546*H2546*Inputs!$C$69,"")</f>
      </c>
      <c r="J2546" s="42">
        <f>IF(AND(ISNUMBER(F2546),ISNUMBER(H2546),F2546&gt;=Inputs!$C$68),F2546*H2546*Inputs!$C$69,"")</f>
      </c>
    </row>
    <row r="2547" spans="2:10" ht="15" customHeight="1" x14ac:dyDescent="0.2">
      <c r="B2547" s="39">
        <f t="shared" si="18"/>
      </c>
      <c r="C2547" s="40">
        <f>IF(Inputs!$C$60,Inputs!$C$11+(B2547-Inputs!$C$69)/Inputs!$C$70,"")</f>
      </c>
      <c r="D2547" s="15"/>
      <c r="E2547" s="15"/>
      <c r="F2547" s="11">
        <f t="shared" si="19"/>
      </c>
      <c r="G2547" s="22" cm="1">
        <f t="array" ref="G2547">IF(AND(Inputs!$C$60,Inputs!$C$61),INDEX(Utility_Rates!$C$29:$F$52,HOUR(C2547)+Inputs!$C$69,MATCH(INDEX(Utility_Rates!$K$6:$K$17,MONTH(C2547))&amp;IF(WEEKDAY(C2547,Inputs!$C$76)&lt;=Inputs!$C$74," weekday"," weekend"),Utility_Rates!$C$28:$F$28,Inputs!$C$68)),"")</f>
      </c>
      <c r="H2547" s="34"/>
      <c r="I2547" s="42">
        <f>IF(AND(ISNUMBER(D2547),ISNUMBER(H2547)),D2547*H2547*Inputs!$C$69,"")</f>
      </c>
      <c r="J2547" s="42">
        <f>IF(AND(ISNUMBER(F2547),ISNUMBER(H2547),F2547&gt;=Inputs!$C$68),F2547*H2547*Inputs!$C$69,"")</f>
      </c>
    </row>
    <row r="2548" spans="2:10" ht="15" customHeight="1" x14ac:dyDescent="0.2">
      <c r="B2548" s="39">
        <f t="shared" si="18"/>
      </c>
      <c r="C2548" s="40">
        <f>IF(Inputs!$C$60,Inputs!$C$11+(B2548-Inputs!$C$69)/Inputs!$C$70,"")</f>
      </c>
      <c r="D2548" s="15"/>
      <c r="E2548" s="15"/>
      <c r="F2548" s="11">
        <f t="shared" si="19"/>
      </c>
      <c r="G2548" s="22" cm="1">
        <f t="array" ref="G2548">IF(AND(Inputs!$C$60,Inputs!$C$61),INDEX(Utility_Rates!$C$29:$F$52,HOUR(C2548)+Inputs!$C$69,MATCH(INDEX(Utility_Rates!$K$6:$K$17,MONTH(C2548))&amp;IF(WEEKDAY(C2548,Inputs!$C$76)&lt;=Inputs!$C$74," weekday"," weekend"),Utility_Rates!$C$28:$F$28,Inputs!$C$68)),"")</f>
      </c>
      <c r="H2548" s="34"/>
      <c r="I2548" s="42">
        <f>IF(AND(ISNUMBER(D2548),ISNUMBER(H2548)),D2548*H2548*Inputs!$C$69,"")</f>
      </c>
      <c r="J2548" s="42">
        <f>IF(AND(ISNUMBER(F2548),ISNUMBER(H2548),F2548&gt;=Inputs!$C$68),F2548*H2548*Inputs!$C$69,"")</f>
      </c>
    </row>
    <row r="2549" spans="2:10" ht="15" customHeight="1" x14ac:dyDescent="0.2">
      <c r="B2549" s="39">
        <f t="shared" si="18"/>
      </c>
      <c r="C2549" s="40">
        <f>IF(Inputs!$C$60,Inputs!$C$11+(B2549-Inputs!$C$69)/Inputs!$C$70,"")</f>
      </c>
      <c r="D2549" s="15"/>
      <c r="E2549" s="15"/>
      <c r="F2549" s="11">
        <f t="shared" si="19"/>
      </c>
      <c r="G2549" s="22" cm="1">
        <f t="array" ref="G2549">IF(AND(Inputs!$C$60,Inputs!$C$61),INDEX(Utility_Rates!$C$29:$F$52,HOUR(C2549)+Inputs!$C$69,MATCH(INDEX(Utility_Rates!$K$6:$K$17,MONTH(C2549))&amp;IF(WEEKDAY(C2549,Inputs!$C$76)&lt;=Inputs!$C$74," weekday"," weekend"),Utility_Rates!$C$28:$F$28,Inputs!$C$68)),"")</f>
      </c>
      <c r="H2549" s="34"/>
      <c r="I2549" s="42">
        <f>IF(AND(ISNUMBER(D2549),ISNUMBER(H2549)),D2549*H2549*Inputs!$C$69,"")</f>
      </c>
      <c r="J2549" s="42">
        <f>IF(AND(ISNUMBER(F2549),ISNUMBER(H2549),F2549&gt;=Inputs!$C$68),F2549*H2549*Inputs!$C$69,"")</f>
      </c>
    </row>
    <row r="2550" spans="2:10" ht="15" customHeight="1" x14ac:dyDescent="0.2">
      <c r="B2550" s="39">
        <f t="shared" si="18"/>
      </c>
      <c r="C2550" s="40">
        <f>IF(Inputs!$C$60,Inputs!$C$11+(B2550-Inputs!$C$69)/Inputs!$C$70,"")</f>
      </c>
      <c r="D2550" s="15"/>
      <c r="E2550" s="15"/>
      <c r="F2550" s="11">
        <f t="shared" si="19"/>
      </c>
      <c r="G2550" s="22" cm="1">
        <f t="array" ref="G2550">IF(AND(Inputs!$C$60,Inputs!$C$61),INDEX(Utility_Rates!$C$29:$F$52,HOUR(C2550)+Inputs!$C$69,MATCH(INDEX(Utility_Rates!$K$6:$K$17,MONTH(C2550))&amp;IF(WEEKDAY(C2550,Inputs!$C$76)&lt;=Inputs!$C$74," weekday"," weekend"),Utility_Rates!$C$28:$F$28,Inputs!$C$68)),"")</f>
      </c>
      <c r="H2550" s="34"/>
      <c r="I2550" s="42">
        <f>IF(AND(ISNUMBER(D2550),ISNUMBER(H2550)),D2550*H2550*Inputs!$C$69,"")</f>
      </c>
      <c r="J2550" s="42">
        <f>IF(AND(ISNUMBER(F2550),ISNUMBER(H2550),F2550&gt;=Inputs!$C$68),F2550*H2550*Inputs!$C$69,"")</f>
      </c>
    </row>
    <row r="2551" spans="2:10" ht="15" customHeight="1" x14ac:dyDescent="0.2">
      <c r="B2551" s="39">
        <f t="shared" si="18"/>
      </c>
      <c r="C2551" s="40">
        <f>IF(Inputs!$C$60,Inputs!$C$11+(B2551-Inputs!$C$69)/Inputs!$C$70,"")</f>
      </c>
      <c r="D2551" s="15"/>
      <c r="E2551" s="15"/>
      <c r="F2551" s="11">
        <f t="shared" si="19"/>
      </c>
      <c r="G2551" s="22" cm="1">
        <f t="array" ref="G2551">IF(AND(Inputs!$C$60,Inputs!$C$61),INDEX(Utility_Rates!$C$29:$F$52,HOUR(C2551)+Inputs!$C$69,MATCH(INDEX(Utility_Rates!$K$6:$K$17,MONTH(C2551))&amp;IF(WEEKDAY(C2551,Inputs!$C$76)&lt;=Inputs!$C$74," weekday"," weekend"),Utility_Rates!$C$28:$F$28,Inputs!$C$68)),"")</f>
      </c>
      <c r="H2551" s="34"/>
      <c r="I2551" s="42">
        <f>IF(AND(ISNUMBER(D2551),ISNUMBER(H2551)),D2551*H2551*Inputs!$C$69,"")</f>
      </c>
      <c r="J2551" s="42">
        <f>IF(AND(ISNUMBER(F2551),ISNUMBER(H2551),F2551&gt;=Inputs!$C$68),F2551*H2551*Inputs!$C$69,"")</f>
      </c>
    </row>
    <row r="2552" spans="2:10" ht="15" customHeight="1" x14ac:dyDescent="0.2">
      <c r="B2552" s="39">
        <f t="shared" si="18"/>
      </c>
      <c r="C2552" s="40">
        <f>IF(Inputs!$C$60,Inputs!$C$11+(B2552-Inputs!$C$69)/Inputs!$C$70,"")</f>
      </c>
      <c r="D2552" s="15"/>
      <c r="E2552" s="15"/>
      <c r="F2552" s="11">
        <f t="shared" si="19"/>
      </c>
      <c r="G2552" s="22" cm="1">
        <f t="array" ref="G2552">IF(AND(Inputs!$C$60,Inputs!$C$61),INDEX(Utility_Rates!$C$29:$F$52,HOUR(C2552)+Inputs!$C$69,MATCH(INDEX(Utility_Rates!$K$6:$K$17,MONTH(C2552))&amp;IF(WEEKDAY(C2552,Inputs!$C$76)&lt;=Inputs!$C$74," weekday"," weekend"),Utility_Rates!$C$28:$F$28,Inputs!$C$68)),"")</f>
      </c>
      <c r="H2552" s="34"/>
      <c r="I2552" s="42">
        <f>IF(AND(ISNUMBER(D2552),ISNUMBER(H2552)),D2552*H2552*Inputs!$C$69,"")</f>
      </c>
      <c r="J2552" s="42">
        <f>IF(AND(ISNUMBER(F2552),ISNUMBER(H2552),F2552&gt;=Inputs!$C$68),F2552*H2552*Inputs!$C$69,"")</f>
      </c>
    </row>
    <row r="2553" spans="2:10" ht="15" customHeight="1" x14ac:dyDescent="0.2">
      <c r="B2553" s="39">
        <f t="shared" si="18"/>
      </c>
      <c r="C2553" s="40">
        <f>IF(Inputs!$C$60,Inputs!$C$11+(B2553-Inputs!$C$69)/Inputs!$C$70,"")</f>
      </c>
      <c r="D2553" s="15"/>
      <c r="E2553" s="15"/>
      <c r="F2553" s="11">
        <f t="shared" si="19"/>
      </c>
      <c r="G2553" s="22" cm="1">
        <f t="array" ref="G2553">IF(AND(Inputs!$C$60,Inputs!$C$61),INDEX(Utility_Rates!$C$29:$F$52,HOUR(C2553)+Inputs!$C$69,MATCH(INDEX(Utility_Rates!$K$6:$K$17,MONTH(C2553))&amp;IF(WEEKDAY(C2553,Inputs!$C$76)&lt;=Inputs!$C$74," weekday"," weekend"),Utility_Rates!$C$28:$F$28,Inputs!$C$68)),"")</f>
      </c>
      <c r="H2553" s="34"/>
      <c r="I2553" s="42">
        <f>IF(AND(ISNUMBER(D2553),ISNUMBER(H2553)),D2553*H2553*Inputs!$C$69,"")</f>
      </c>
      <c r="J2553" s="42">
        <f>IF(AND(ISNUMBER(F2553),ISNUMBER(H2553),F2553&gt;=Inputs!$C$68),F2553*H2553*Inputs!$C$69,"")</f>
      </c>
    </row>
    <row r="2554" spans="2:10" ht="15" customHeight="1" x14ac:dyDescent="0.2">
      <c r="B2554" s="39">
        <f t="shared" si="18"/>
      </c>
      <c r="C2554" s="40">
        <f>IF(Inputs!$C$60,Inputs!$C$11+(B2554-Inputs!$C$69)/Inputs!$C$70,"")</f>
      </c>
      <c r="D2554" s="15"/>
      <c r="E2554" s="15"/>
      <c r="F2554" s="11">
        <f t="shared" si="19"/>
      </c>
      <c r="G2554" s="22" cm="1">
        <f t="array" ref="G2554">IF(AND(Inputs!$C$60,Inputs!$C$61),INDEX(Utility_Rates!$C$29:$F$52,HOUR(C2554)+Inputs!$C$69,MATCH(INDEX(Utility_Rates!$K$6:$K$17,MONTH(C2554))&amp;IF(WEEKDAY(C2554,Inputs!$C$76)&lt;=Inputs!$C$74," weekday"," weekend"),Utility_Rates!$C$28:$F$28,Inputs!$C$68)),"")</f>
      </c>
      <c r="H2554" s="34"/>
      <c r="I2554" s="42">
        <f>IF(AND(ISNUMBER(D2554),ISNUMBER(H2554)),D2554*H2554*Inputs!$C$69,"")</f>
      </c>
      <c r="J2554" s="42">
        <f>IF(AND(ISNUMBER(F2554),ISNUMBER(H2554),F2554&gt;=Inputs!$C$68),F2554*H2554*Inputs!$C$69,"")</f>
      </c>
    </row>
    <row r="2555" spans="2:10" ht="15" customHeight="1" x14ac:dyDescent="0.2">
      <c r="B2555" s="39">
        <f t="shared" si="18"/>
      </c>
      <c r="C2555" s="40">
        <f>IF(Inputs!$C$60,Inputs!$C$11+(B2555-Inputs!$C$69)/Inputs!$C$70,"")</f>
      </c>
      <c r="D2555" s="15"/>
      <c r="E2555" s="15"/>
      <c r="F2555" s="11">
        <f t="shared" si="19"/>
      </c>
      <c r="G2555" s="22" cm="1">
        <f t="array" ref="G2555">IF(AND(Inputs!$C$60,Inputs!$C$61),INDEX(Utility_Rates!$C$29:$F$52,HOUR(C2555)+Inputs!$C$69,MATCH(INDEX(Utility_Rates!$K$6:$K$17,MONTH(C2555))&amp;IF(WEEKDAY(C2555,Inputs!$C$76)&lt;=Inputs!$C$74," weekday"," weekend"),Utility_Rates!$C$28:$F$28,Inputs!$C$68)),"")</f>
      </c>
      <c r="H2555" s="34"/>
      <c r="I2555" s="42">
        <f>IF(AND(ISNUMBER(D2555),ISNUMBER(H2555)),D2555*H2555*Inputs!$C$69,"")</f>
      </c>
      <c r="J2555" s="42">
        <f>IF(AND(ISNUMBER(F2555),ISNUMBER(H2555),F2555&gt;=Inputs!$C$68),F2555*H2555*Inputs!$C$69,"")</f>
      </c>
    </row>
    <row r="2556" spans="2:10" ht="15" customHeight="1" x14ac:dyDescent="0.2">
      <c r="B2556" s="39">
        <f t="shared" ref="B2556:B2810" si="20">ROW()-ROW($B$5)</f>
      </c>
      <c r="C2556" s="40">
        <f>IF(Inputs!$C$60,Inputs!$C$11+(B2556-Inputs!$C$69)/Inputs!$C$70,"")</f>
      </c>
      <c r="D2556" s="15"/>
      <c r="E2556" s="15"/>
      <c r="F2556" s="11">
        <f t="shared" ref="F2556:F2810" si="21">IF(COUNT(D2556:E2556)=COLUMNS(D2556:E2556),D2556-E2556,"")</f>
      </c>
      <c r="G2556" s="22" cm="1">
        <f t="array" ref="G2556">IF(AND(Inputs!$C$60,Inputs!$C$61),INDEX(Utility_Rates!$C$29:$F$52,HOUR(C2556)+Inputs!$C$69,MATCH(INDEX(Utility_Rates!$K$6:$K$17,MONTH(C2556))&amp;IF(WEEKDAY(C2556,Inputs!$C$76)&lt;=Inputs!$C$74," weekday"," weekend"),Utility_Rates!$C$28:$F$28,Inputs!$C$68)),"")</f>
      </c>
      <c r="H2556" s="34"/>
      <c r="I2556" s="42">
        <f>IF(AND(ISNUMBER(D2556),ISNUMBER(H2556)),D2556*H2556*Inputs!$C$69,"")</f>
      </c>
      <c r="J2556" s="42">
        <f>IF(AND(ISNUMBER(F2556),ISNUMBER(H2556),F2556&gt;=Inputs!$C$68),F2556*H2556*Inputs!$C$69,"")</f>
      </c>
    </row>
    <row r="2557" spans="2:10" ht="15" customHeight="1" x14ac:dyDescent="0.2">
      <c r="B2557" s="39">
        <f t="shared" si="20"/>
      </c>
      <c r="C2557" s="40">
        <f>IF(Inputs!$C$60,Inputs!$C$11+(B2557-Inputs!$C$69)/Inputs!$C$70,"")</f>
      </c>
      <c r="D2557" s="15"/>
      <c r="E2557" s="15"/>
      <c r="F2557" s="11">
        <f t="shared" si="21"/>
      </c>
      <c r="G2557" s="22" cm="1">
        <f t="array" ref="G2557">IF(AND(Inputs!$C$60,Inputs!$C$61),INDEX(Utility_Rates!$C$29:$F$52,HOUR(C2557)+Inputs!$C$69,MATCH(INDEX(Utility_Rates!$K$6:$K$17,MONTH(C2557))&amp;IF(WEEKDAY(C2557,Inputs!$C$76)&lt;=Inputs!$C$74," weekday"," weekend"),Utility_Rates!$C$28:$F$28,Inputs!$C$68)),"")</f>
      </c>
      <c r="H2557" s="34"/>
      <c r="I2557" s="42">
        <f>IF(AND(ISNUMBER(D2557),ISNUMBER(H2557)),D2557*H2557*Inputs!$C$69,"")</f>
      </c>
      <c r="J2557" s="42">
        <f>IF(AND(ISNUMBER(F2557),ISNUMBER(H2557),F2557&gt;=Inputs!$C$68),F2557*H2557*Inputs!$C$69,"")</f>
      </c>
    </row>
    <row r="2558" spans="2:10" ht="15" customHeight="1" x14ac:dyDescent="0.2">
      <c r="B2558" s="39">
        <f t="shared" si="20"/>
      </c>
      <c r="C2558" s="40">
        <f>IF(Inputs!$C$60,Inputs!$C$11+(B2558-Inputs!$C$69)/Inputs!$C$70,"")</f>
      </c>
      <c r="D2558" s="15"/>
      <c r="E2558" s="15"/>
      <c r="F2558" s="11">
        <f t="shared" si="21"/>
      </c>
      <c r="G2558" s="22" cm="1">
        <f t="array" ref="G2558">IF(AND(Inputs!$C$60,Inputs!$C$61),INDEX(Utility_Rates!$C$29:$F$52,HOUR(C2558)+Inputs!$C$69,MATCH(INDEX(Utility_Rates!$K$6:$K$17,MONTH(C2558))&amp;IF(WEEKDAY(C2558,Inputs!$C$76)&lt;=Inputs!$C$74," weekday"," weekend"),Utility_Rates!$C$28:$F$28,Inputs!$C$68)),"")</f>
      </c>
      <c r="H2558" s="34"/>
      <c r="I2558" s="42">
        <f>IF(AND(ISNUMBER(D2558),ISNUMBER(H2558)),D2558*H2558*Inputs!$C$69,"")</f>
      </c>
      <c r="J2558" s="42">
        <f>IF(AND(ISNUMBER(F2558),ISNUMBER(H2558),F2558&gt;=Inputs!$C$68),F2558*H2558*Inputs!$C$69,"")</f>
      </c>
    </row>
    <row r="2559" spans="2:10" ht="15" customHeight="1" x14ac:dyDescent="0.2">
      <c r="B2559" s="39">
        <f t="shared" si="20"/>
      </c>
      <c r="C2559" s="40">
        <f>IF(Inputs!$C$60,Inputs!$C$11+(B2559-Inputs!$C$69)/Inputs!$C$70,"")</f>
      </c>
      <c r="D2559" s="15"/>
      <c r="E2559" s="15"/>
      <c r="F2559" s="11">
        <f t="shared" si="21"/>
      </c>
      <c r="G2559" s="22" cm="1">
        <f t="array" ref="G2559">IF(AND(Inputs!$C$60,Inputs!$C$61),INDEX(Utility_Rates!$C$29:$F$52,HOUR(C2559)+Inputs!$C$69,MATCH(INDEX(Utility_Rates!$K$6:$K$17,MONTH(C2559))&amp;IF(WEEKDAY(C2559,Inputs!$C$76)&lt;=Inputs!$C$74," weekday"," weekend"),Utility_Rates!$C$28:$F$28,Inputs!$C$68)),"")</f>
      </c>
      <c r="H2559" s="34"/>
      <c r="I2559" s="42">
        <f>IF(AND(ISNUMBER(D2559),ISNUMBER(H2559)),D2559*H2559*Inputs!$C$69,"")</f>
      </c>
      <c r="J2559" s="42">
        <f>IF(AND(ISNUMBER(F2559),ISNUMBER(H2559),F2559&gt;=Inputs!$C$68),F2559*H2559*Inputs!$C$69,"")</f>
      </c>
    </row>
    <row r="2560" spans="2:10" ht="15" customHeight="1" x14ac:dyDescent="0.2">
      <c r="B2560" s="39">
        <f t="shared" si="20"/>
      </c>
      <c r="C2560" s="40">
        <f>IF(Inputs!$C$60,Inputs!$C$11+(B2560-Inputs!$C$69)/Inputs!$C$70,"")</f>
      </c>
      <c r="D2560" s="15"/>
      <c r="E2560" s="15"/>
      <c r="F2560" s="11">
        <f t="shared" si="21"/>
      </c>
      <c r="G2560" s="22" cm="1">
        <f t="array" ref="G2560">IF(AND(Inputs!$C$60,Inputs!$C$61),INDEX(Utility_Rates!$C$29:$F$52,HOUR(C2560)+Inputs!$C$69,MATCH(INDEX(Utility_Rates!$K$6:$K$17,MONTH(C2560))&amp;IF(WEEKDAY(C2560,Inputs!$C$76)&lt;=Inputs!$C$74," weekday"," weekend"),Utility_Rates!$C$28:$F$28,Inputs!$C$68)),"")</f>
      </c>
      <c r="H2560" s="34"/>
      <c r="I2560" s="42">
        <f>IF(AND(ISNUMBER(D2560),ISNUMBER(H2560)),D2560*H2560*Inputs!$C$69,"")</f>
      </c>
      <c r="J2560" s="42">
        <f>IF(AND(ISNUMBER(F2560),ISNUMBER(H2560),F2560&gt;=Inputs!$C$68),F2560*H2560*Inputs!$C$69,"")</f>
      </c>
    </row>
    <row r="2561" spans="2:10" ht="15" customHeight="1" x14ac:dyDescent="0.2">
      <c r="B2561" s="39">
        <f t="shared" si="20"/>
      </c>
      <c r="C2561" s="40">
        <f>IF(Inputs!$C$60,Inputs!$C$11+(B2561-Inputs!$C$69)/Inputs!$C$70,"")</f>
      </c>
      <c r="D2561" s="15"/>
      <c r="E2561" s="15"/>
      <c r="F2561" s="11">
        <f t="shared" si="21"/>
      </c>
      <c r="G2561" s="22" cm="1">
        <f t="array" ref="G2561">IF(AND(Inputs!$C$60,Inputs!$C$61),INDEX(Utility_Rates!$C$29:$F$52,HOUR(C2561)+Inputs!$C$69,MATCH(INDEX(Utility_Rates!$K$6:$K$17,MONTH(C2561))&amp;IF(WEEKDAY(C2561,Inputs!$C$76)&lt;=Inputs!$C$74," weekday"," weekend"),Utility_Rates!$C$28:$F$28,Inputs!$C$68)),"")</f>
      </c>
      <c r="H2561" s="34"/>
      <c r="I2561" s="42">
        <f>IF(AND(ISNUMBER(D2561),ISNUMBER(H2561)),D2561*H2561*Inputs!$C$69,"")</f>
      </c>
      <c r="J2561" s="42">
        <f>IF(AND(ISNUMBER(F2561),ISNUMBER(H2561),F2561&gt;=Inputs!$C$68),F2561*H2561*Inputs!$C$69,"")</f>
      </c>
    </row>
    <row r="2562" spans="2:10" ht="15" customHeight="1" x14ac:dyDescent="0.2">
      <c r="B2562" s="39">
        <f t="shared" si="20"/>
      </c>
      <c r="C2562" s="40">
        <f>IF(Inputs!$C$60,Inputs!$C$11+(B2562-Inputs!$C$69)/Inputs!$C$70,"")</f>
      </c>
      <c r="D2562" s="15"/>
      <c r="E2562" s="15"/>
      <c r="F2562" s="11">
        <f t="shared" si="21"/>
      </c>
      <c r="G2562" s="22" cm="1">
        <f t="array" ref="G2562">IF(AND(Inputs!$C$60,Inputs!$C$61),INDEX(Utility_Rates!$C$29:$F$52,HOUR(C2562)+Inputs!$C$69,MATCH(INDEX(Utility_Rates!$K$6:$K$17,MONTH(C2562))&amp;IF(WEEKDAY(C2562,Inputs!$C$76)&lt;=Inputs!$C$74," weekday"," weekend"),Utility_Rates!$C$28:$F$28,Inputs!$C$68)),"")</f>
      </c>
      <c r="H2562" s="34"/>
      <c r="I2562" s="42">
        <f>IF(AND(ISNUMBER(D2562),ISNUMBER(H2562)),D2562*H2562*Inputs!$C$69,"")</f>
      </c>
      <c r="J2562" s="42">
        <f>IF(AND(ISNUMBER(F2562),ISNUMBER(H2562),F2562&gt;=Inputs!$C$68),F2562*H2562*Inputs!$C$69,"")</f>
      </c>
    </row>
    <row r="2563" spans="2:10" ht="15" customHeight="1" x14ac:dyDescent="0.2">
      <c r="B2563" s="39">
        <f t="shared" si="20"/>
      </c>
      <c r="C2563" s="40">
        <f>IF(Inputs!$C$60,Inputs!$C$11+(B2563-Inputs!$C$69)/Inputs!$C$70,"")</f>
      </c>
      <c r="D2563" s="15"/>
      <c r="E2563" s="15"/>
      <c r="F2563" s="11">
        <f t="shared" si="21"/>
      </c>
      <c r="G2563" s="22" cm="1">
        <f t="array" ref="G2563">IF(AND(Inputs!$C$60,Inputs!$C$61),INDEX(Utility_Rates!$C$29:$F$52,HOUR(C2563)+Inputs!$C$69,MATCH(INDEX(Utility_Rates!$K$6:$K$17,MONTH(C2563))&amp;IF(WEEKDAY(C2563,Inputs!$C$76)&lt;=Inputs!$C$74," weekday"," weekend"),Utility_Rates!$C$28:$F$28,Inputs!$C$68)),"")</f>
      </c>
      <c r="H2563" s="34"/>
      <c r="I2563" s="42">
        <f>IF(AND(ISNUMBER(D2563),ISNUMBER(H2563)),D2563*H2563*Inputs!$C$69,"")</f>
      </c>
      <c r="J2563" s="42">
        <f>IF(AND(ISNUMBER(F2563),ISNUMBER(H2563),F2563&gt;=Inputs!$C$68),F2563*H2563*Inputs!$C$69,"")</f>
      </c>
    </row>
    <row r="2564" spans="2:10" ht="15" customHeight="1" x14ac:dyDescent="0.2">
      <c r="B2564" s="39">
        <f t="shared" si="20"/>
      </c>
      <c r="C2564" s="40">
        <f>IF(Inputs!$C$60,Inputs!$C$11+(B2564-Inputs!$C$69)/Inputs!$C$70,"")</f>
      </c>
      <c r="D2564" s="15"/>
      <c r="E2564" s="15"/>
      <c r="F2564" s="11">
        <f t="shared" si="21"/>
      </c>
      <c r="G2564" s="22" cm="1">
        <f t="array" ref="G2564">IF(AND(Inputs!$C$60,Inputs!$C$61),INDEX(Utility_Rates!$C$29:$F$52,HOUR(C2564)+Inputs!$C$69,MATCH(INDEX(Utility_Rates!$K$6:$K$17,MONTH(C2564))&amp;IF(WEEKDAY(C2564,Inputs!$C$76)&lt;=Inputs!$C$74," weekday"," weekend"),Utility_Rates!$C$28:$F$28,Inputs!$C$68)),"")</f>
      </c>
      <c r="H2564" s="34"/>
      <c r="I2564" s="42">
        <f>IF(AND(ISNUMBER(D2564),ISNUMBER(H2564)),D2564*H2564*Inputs!$C$69,"")</f>
      </c>
      <c r="J2564" s="42">
        <f>IF(AND(ISNUMBER(F2564),ISNUMBER(H2564),F2564&gt;=Inputs!$C$68),F2564*H2564*Inputs!$C$69,"")</f>
      </c>
    </row>
    <row r="2565" spans="2:10" ht="15" customHeight="1" x14ac:dyDescent="0.2">
      <c r="B2565" s="39">
        <f t="shared" si="20"/>
      </c>
      <c r="C2565" s="40">
        <f>IF(Inputs!$C$60,Inputs!$C$11+(B2565-Inputs!$C$69)/Inputs!$C$70,"")</f>
      </c>
      <c r="D2565" s="15"/>
      <c r="E2565" s="15"/>
      <c r="F2565" s="11">
        <f t="shared" si="21"/>
      </c>
      <c r="G2565" s="22" cm="1">
        <f t="array" ref="G2565">IF(AND(Inputs!$C$60,Inputs!$C$61),INDEX(Utility_Rates!$C$29:$F$52,HOUR(C2565)+Inputs!$C$69,MATCH(INDEX(Utility_Rates!$K$6:$K$17,MONTH(C2565))&amp;IF(WEEKDAY(C2565,Inputs!$C$76)&lt;=Inputs!$C$74," weekday"," weekend"),Utility_Rates!$C$28:$F$28,Inputs!$C$68)),"")</f>
      </c>
      <c r="H2565" s="34"/>
      <c r="I2565" s="42">
        <f>IF(AND(ISNUMBER(D2565),ISNUMBER(H2565)),D2565*H2565*Inputs!$C$69,"")</f>
      </c>
      <c r="J2565" s="42">
        <f>IF(AND(ISNUMBER(F2565),ISNUMBER(H2565),F2565&gt;=Inputs!$C$68),F2565*H2565*Inputs!$C$69,"")</f>
      </c>
    </row>
    <row r="2566" spans="2:10" ht="15" customHeight="1" x14ac:dyDescent="0.2">
      <c r="B2566" s="39">
        <f t="shared" si="20"/>
      </c>
      <c r="C2566" s="40">
        <f>IF(Inputs!$C$60,Inputs!$C$11+(B2566-Inputs!$C$69)/Inputs!$C$70,"")</f>
      </c>
      <c r="D2566" s="15"/>
      <c r="E2566" s="15"/>
      <c r="F2566" s="11">
        <f t="shared" si="21"/>
      </c>
      <c r="G2566" s="22" cm="1">
        <f t="array" ref="G2566">IF(AND(Inputs!$C$60,Inputs!$C$61),INDEX(Utility_Rates!$C$29:$F$52,HOUR(C2566)+Inputs!$C$69,MATCH(INDEX(Utility_Rates!$K$6:$K$17,MONTH(C2566))&amp;IF(WEEKDAY(C2566,Inputs!$C$76)&lt;=Inputs!$C$74," weekday"," weekend"),Utility_Rates!$C$28:$F$28,Inputs!$C$68)),"")</f>
      </c>
      <c r="H2566" s="34"/>
      <c r="I2566" s="42">
        <f>IF(AND(ISNUMBER(D2566),ISNUMBER(H2566)),D2566*H2566*Inputs!$C$69,"")</f>
      </c>
      <c r="J2566" s="42">
        <f>IF(AND(ISNUMBER(F2566),ISNUMBER(H2566),F2566&gt;=Inputs!$C$68),F2566*H2566*Inputs!$C$69,"")</f>
      </c>
    </row>
    <row r="2567" spans="2:10" ht="15" customHeight="1" x14ac:dyDescent="0.2">
      <c r="B2567" s="39">
        <f t="shared" si="20"/>
      </c>
      <c r="C2567" s="40">
        <f>IF(Inputs!$C$60,Inputs!$C$11+(B2567-Inputs!$C$69)/Inputs!$C$70,"")</f>
      </c>
      <c r="D2567" s="15"/>
      <c r="E2567" s="15"/>
      <c r="F2567" s="11">
        <f t="shared" si="21"/>
      </c>
      <c r="G2567" s="22" cm="1">
        <f t="array" ref="G2567">IF(AND(Inputs!$C$60,Inputs!$C$61),INDEX(Utility_Rates!$C$29:$F$52,HOUR(C2567)+Inputs!$C$69,MATCH(INDEX(Utility_Rates!$K$6:$K$17,MONTH(C2567))&amp;IF(WEEKDAY(C2567,Inputs!$C$76)&lt;=Inputs!$C$74," weekday"," weekend"),Utility_Rates!$C$28:$F$28,Inputs!$C$68)),"")</f>
      </c>
      <c r="H2567" s="34"/>
      <c r="I2567" s="42">
        <f>IF(AND(ISNUMBER(D2567),ISNUMBER(H2567)),D2567*H2567*Inputs!$C$69,"")</f>
      </c>
      <c r="J2567" s="42">
        <f>IF(AND(ISNUMBER(F2567),ISNUMBER(H2567),F2567&gt;=Inputs!$C$68),F2567*H2567*Inputs!$C$69,"")</f>
      </c>
    </row>
    <row r="2568" spans="2:10" ht="15" customHeight="1" x14ac:dyDescent="0.2">
      <c r="B2568" s="39">
        <f t="shared" si="20"/>
      </c>
      <c r="C2568" s="40">
        <f>IF(Inputs!$C$60,Inputs!$C$11+(B2568-Inputs!$C$69)/Inputs!$C$70,"")</f>
      </c>
      <c r="D2568" s="15"/>
      <c r="E2568" s="15"/>
      <c r="F2568" s="11">
        <f t="shared" si="21"/>
      </c>
      <c r="G2568" s="22" cm="1">
        <f t="array" ref="G2568">IF(AND(Inputs!$C$60,Inputs!$C$61),INDEX(Utility_Rates!$C$29:$F$52,HOUR(C2568)+Inputs!$C$69,MATCH(INDEX(Utility_Rates!$K$6:$K$17,MONTH(C2568))&amp;IF(WEEKDAY(C2568,Inputs!$C$76)&lt;=Inputs!$C$74," weekday"," weekend"),Utility_Rates!$C$28:$F$28,Inputs!$C$68)),"")</f>
      </c>
      <c r="H2568" s="34"/>
      <c r="I2568" s="42">
        <f>IF(AND(ISNUMBER(D2568),ISNUMBER(H2568)),D2568*H2568*Inputs!$C$69,"")</f>
      </c>
      <c r="J2568" s="42">
        <f>IF(AND(ISNUMBER(F2568),ISNUMBER(H2568),F2568&gt;=Inputs!$C$68),F2568*H2568*Inputs!$C$69,"")</f>
      </c>
    </row>
    <row r="2569" spans="2:10" ht="15" customHeight="1" x14ac:dyDescent="0.2">
      <c r="B2569" s="39">
        <f t="shared" si="20"/>
      </c>
      <c r="C2569" s="40">
        <f>IF(Inputs!$C$60,Inputs!$C$11+(B2569-Inputs!$C$69)/Inputs!$C$70,"")</f>
      </c>
      <c r="D2569" s="15"/>
      <c r="E2569" s="15"/>
      <c r="F2569" s="11">
        <f t="shared" si="21"/>
      </c>
      <c r="G2569" s="22" cm="1">
        <f t="array" ref="G2569">IF(AND(Inputs!$C$60,Inputs!$C$61),INDEX(Utility_Rates!$C$29:$F$52,HOUR(C2569)+Inputs!$C$69,MATCH(INDEX(Utility_Rates!$K$6:$K$17,MONTH(C2569))&amp;IF(WEEKDAY(C2569,Inputs!$C$76)&lt;=Inputs!$C$74," weekday"," weekend"),Utility_Rates!$C$28:$F$28,Inputs!$C$68)),"")</f>
      </c>
      <c r="H2569" s="34"/>
      <c r="I2569" s="42">
        <f>IF(AND(ISNUMBER(D2569),ISNUMBER(H2569)),D2569*H2569*Inputs!$C$69,"")</f>
      </c>
      <c r="J2569" s="42">
        <f>IF(AND(ISNUMBER(F2569),ISNUMBER(H2569),F2569&gt;=Inputs!$C$68),F2569*H2569*Inputs!$C$69,"")</f>
      </c>
    </row>
    <row r="2570" spans="2:10" ht="15" customHeight="1" x14ac:dyDescent="0.2">
      <c r="B2570" s="39">
        <f t="shared" si="20"/>
      </c>
      <c r="C2570" s="40">
        <f>IF(Inputs!$C$60,Inputs!$C$11+(B2570-Inputs!$C$69)/Inputs!$C$70,"")</f>
      </c>
      <c r="D2570" s="15"/>
      <c r="E2570" s="15"/>
      <c r="F2570" s="11">
        <f t="shared" si="21"/>
      </c>
      <c r="G2570" s="22" cm="1">
        <f t="array" ref="G2570">IF(AND(Inputs!$C$60,Inputs!$C$61),INDEX(Utility_Rates!$C$29:$F$52,HOUR(C2570)+Inputs!$C$69,MATCH(INDEX(Utility_Rates!$K$6:$K$17,MONTH(C2570))&amp;IF(WEEKDAY(C2570,Inputs!$C$76)&lt;=Inputs!$C$74," weekday"," weekend"),Utility_Rates!$C$28:$F$28,Inputs!$C$68)),"")</f>
      </c>
      <c r="H2570" s="34"/>
      <c r="I2570" s="42">
        <f>IF(AND(ISNUMBER(D2570),ISNUMBER(H2570)),D2570*H2570*Inputs!$C$69,"")</f>
      </c>
      <c r="J2570" s="42">
        <f>IF(AND(ISNUMBER(F2570),ISNUMBER(H2570),F2570&gt;=Inputs!$C$68),F2570*H2570*Inputs!$C$69,"")</f>
      </c>
    </row>
    <row r="2571" spans="2:10" ht="15" customHeight="1" x14ac:dyDescent="0.2">
      <c r="B2571" s="39">
        <f t="shared" si="20"/>
      </c>
      <c r="C2571" s="40">
        <f>IF(Inputs!$C$60,Inputs!$C$11+(B2571-Inputs!$C$69)/Inputs!$C$70,"")</f>
      </c>
      <c r="D2571" s="15"/>
      <c r="E2571" s="15"/>
      <c r="F2571" s="11">
        <f t="shared" si="21"/>
      </c>
      <c r="G2571" s="22" cm="1">
        <f t="array" ref="G2571">IF(AND(Inputs!$C$60,Inputs!$C$61),INDEX(Utility_Rates!$C$29:$F$52,HOUR(C2571)+Inputs!$C$69,MATCH(INDEX(Utility_Rates!$K$6:$K$17,MONTH(C2571))&amp;IF(WEEKDAY(C2571,Inputs!$C$76)&lt;=Inputs!$C$74," weekday"," weekend"),Utility_Rates!$C$28:$F$28,Inputs!$C$68)),"")</f>
      </c>
      <c r="H2571" s="34"/>
      <c r="I2571" s="42">
        <f>IF(AND(ISNUMBER(D2571),ISNUMBER(H2571)),D2571*H2571*Inputs!$C$69,"")</f>
      </c>
      <c r="J2571" s="42">
        <f>IF(AND(ISNUMBER(F2571),ISNUMBER(H2571),F2571&gt;=Inputs!$C$68),F2571*H2571*Inputs!$C$69,"")</f>
      </c>
    </row>
    <row r="2572" spans="2:10" ht="15" customHeight="1" x14ac:dyDescent="0.2">
      <c r="B2572" s="39">
        <f t="shared" si="20"/>
      </c>
      <c r="C2572" s="40">
        <f>IF(Inputs!$C$60,Inputs!$C$11+(B2572-Inputs!$C$69)/Inputs!$C$70,"")</f>
      </c>
      <c r="D2572" s="15"/>
      <c r="E2572" s="15"/>
      <c r="F2572" s="11">
        <f t="shared" si="21"/>
      </c>
      <c r="G2572" s="22" cm="1">
        <f t="array" ref="G2572">IF(AND(Inputs!$C$60,Inputs!$C$61),INDEX(Utility_Rates!$C$29:$F$52,HOUR(C2572)+Inputs!$C$69,MATCH(INDEX(Utility_Rates!$K$6:$K$17,MONTH(C2572))&amp;IF(WEEKDAY(C2572,Inputs!$C$76)&lt;=Inputs!$C$74," weekday"," weekend"),Utility_Rates!$C$28:$F$28,Inputs!$C$68)),"")</f>
      </c>
      <c r="H2572" s="34"/>
      <c r="I2572" s="42">
        <f>IF(AND(ISNUMBER(D2572),ISNUMBER(H2572)),D2572*H2572*Inputs!$C$69,"")</f>
      </c>
      <c r="J2572" s="42">
        <f>IF(AND(ISNUMBER(F2572),ISNUMBER(H2572),F2572&gt;=Inputs!$C$68),F2572*H2572*Inputs!$C$69,"")</f>
      </c>
    </row>
    <row r="2573" spans="2:10" ht="15" customHeight="1" x14ac:dyDescent="0.2">
      <c r="B2573" s="39">
        <f t="shared" si="20"/>
      </c>
      <c r="C2573" s="40">
        <f>IF(Inputs!$C$60,Inputs!$C$11+(B2573-Inputs!$C$69)/Inputs!$C$70,"")</f>
      </c>
      <c r="D2573" s="15"/>
      <c r="E2573" s="15"/>
      <c r="F2573" s="11">
        <f t="shared" si="21"/>
      </c>
      <c r="G2573" s="22" cm="1">
        <f t="array" ref="G2573">IF(AND(Inputs!$C$60,Inputs!$C$61),INDEX(Utility_Rates!$C$29:$F$52,HOUR(C2573)+Inputs!$C$69,MATCH(INDEX(Utility_Rates!$K$6:$K$17,MONTH(C2573))&amp;IF(WEEKDAY(C2573,Inputs!$C$76)&lt;=Inputs!$C$74," weekday"," weekend"),Utility_Rates!$C$28:$F$28,Inputs!$C$68)),"")</f>
      </c>
      <c r="H2573" s="34"/>
      <c r="I2573" s="42">
        <f>IF(AND(ISNUMBER(D2573),ISNUMBER(H2573)),D2573*H2573*Inputs!$C$69,"")</f>
      </c>
      <c r="J2573" s="42">
        <f>IF(AND(ISNUMBER(F2573),ISNUMBER(H2573),F2573&gt;=Inputs!$C$68),F2573*H2573*Inputs!$C$69,"")</f>
      </c>
    </row>
    <row r="2574" spans="2:10" ht="15" customHeight="1" x14ac:dyDescent="0.2">
      <c r="B2574" s="39">
        <f t="shared" si="20"/>
      </c>
      <c r="C2574" s="40">
        <f>IF(Inputs!$C$60,Inputs!$C$11+(B2574-Inputs!$C$69)/Inputs!$C$70,"")</f>
      </c>
      <c r="D2574" s="15"/>
      <c r="E2574" s="15"/>
      <c r="F2574" s="11">
        <f t="shared" si="21"/>
      </c>
      <c r="G2574" s="22" cm="1">
        <f t="array" ref="G2574">IF(AND(Inputs!$C$60,Inputs!$C$61),INDEX(Utility_Rates!$C$29:$F$52,HOUR(C2574)+Inputs!$C$69,MATCH(INDEX(Utility_Rates!$K$6:$K$17,MONTH(C2574))&amp;IF(WEEKDAY(C2574,Inputs!$C$76)&lt;=Inputs!$C$74," weekday"," weekend"),Utility_Rates!$C$28:$F$28,Inputs!$C$68)),"")</f>
      </c>
      <c r="H2574" s="34"/>
      <c r="I2574" s="42">
        <f>IF(AND(ISNUMBER(D2574),ISNUMBER(H2574)),D2574*H2574*Inputs!$C$69,"")</f>
      </c>
      <c r="J2574" s="42">
        <f>IF(AND(ISNUMBER(F2574),ISNUMBER(H2574),F2574&gt;=Inputs!$C$68),F2574*H2574*Inputs!$C$69,"")</f>
      </c>
    </row>
    <row r="2575" spans="2:10" ht="15" customHeight="1" x14ac:dyDescent="0.2">
      <c r="B2575" s="39">
        <f t="shared" si="20"/>
      </c>
      <c r="C2575" s="40">
        <f>IF(Inputs!$C$60,Inputs!$C$11+(B2575-Inputs!$C$69)/Inputs!$C$70,"")</f>
      </c>
      <c r="D2575" s="15"/>
      <c r="E2575" s="15"/>
      <c r="F2575" s="11">
        <f t="shared" si="21"/>
      </c>
      <c r="G2575" s="22" cm="1">
        <f t="array" ref="G2575">IF(AND(Inputs!$C$60,Inputs!$C$61),INDEX(Utility_Rates!$C$29:$F$52,HOUR(C2575)+Inputs!$C$69,MATCH(INDEX(Utility_Rates!$K$6:$K$17,MONTH(C2575))&amp;IF(WEEKDAY(C2575,Inputs!$C$76)&lt;=Inputs!$C$74," weekday"," weekend"),Utility_Rates!$C$28:$F$28,Inputs!$C$68)),"")</f>
      </c>
      <c r="H2575" s="34"/>
      <c r="I2575" s="42">
        <f>IF(AND(ISNUMBER(D2575),ISNUMBER(H2575)),D2575*H2575*Inputs!$C$69,"")</f>
      </c>
      <c r="J2575" s="42">
        <f>IF(AND(ISNUMBER(F2575),ISNUMBER(H2575),F2575&gt;=Inputs!$C$68),F2575*H2575*Inputs!$C$69,"")</f>
      </c>
    </row>
    <row r="2576" spans="2:10" ht="15" customHeight="1" x14ac:dyDescent="0.2">
      <c r="B2576" s="39">
        <f t="shared" si="20"/>
      </c>
      <c r="C2576" s="40">
        <f>IF(Inputs!$C$60,Inputs!$C$11+(B2576-Inputs!$C$69)/Inputs!$C$70,"")</f>
      </c>
      <c r="D2576" s="15"/>
      <c r="E2576" s="15"/>
      <c r="F2576" s="11">
        <f t="shared" si="21"/>
      </c>
      <c r="G2576" s="22" cm="1">
        <f t="array" ref="G2576">IF(AND(Inputs!$C$60,Inputs!$C$61),INDEX(Utility_Rates!$C$29:$F$52,HOUR(C2576)+Inputs!$C$69,MATCH(INDEX(Utility_Rates!$K$6:$K$17,MONTH(C2576))&amp;IF(WEEKDAY(C2576,Inputs!$C$76)&lt;=Inputs!$C$74," weekday"," weekend"),Utility_Rates!$C$28:$F$28,Inputs!$C$68)),"")</f>
      </c>
      <c r="H2576" s="34"/>
      <c r="I2576" s="42">
        <f>IF(AND(ISNUMBER(D2576),ISNUMBER(H2576)),D2576*H2576*Inputs!$C$69,"")</f>
      </c>
      <c r="J2576" s="42">
        <f>IF(AND(ISNUMBER(F2576),ISNUMBER(H2576),F2576&gt;=Inputs!$C$68),F2576*H2576*Inputs!$C$69,"")</f>
      </c>
    </row>
    <row r="2577" spans="2:10" ht="15" customHeight="1" x14ac:dyDescent="0.2">
      <c r="B2577" s="39">
        <f t="shared" si="20"/>
      </c>
      <c r="C2577" s="40">
        <f>IF(Inputs!$C$60,Inputs!$C$11+(B2577-Inputs!$C$69)/Inputs!$C$70,"")</f>
      </c>
      <c r="D2577" s="15"/>
      <c r="E2577" s="15"/>
      <c r="F2577" s="11">
        <f t="shared" si="21"/>
      </c>
      <c r="G2577" s="22" cm="1">
        <f t="array" ref="G2577">IF(AND(Inputs!$C$60,Inputs!$C$61),INDEX(Utility_Rates!$C$29:$F$52,HOUR(C2577)+Inputs!$C$69,MATCH(INDEX(Utility_Rates!$K$6:$K$17,MONTH(C2577))&amp;IF(WEEKDAY(C2577,Inputs!$C$76)&lt;=Inputs!$C$74," weekday"," weekend"),Utility_Rates!$C$28:$F$28,Inputs!$C$68)),"")</f>
      </c>
      <c r="H2577" s="34"/>
      <c r="I2577" s="42">
        <f>IF(AND(ISNUMBER(D2577),ISNUMBER(H2577)),D2577*H2577*Inputs!$C$69,"")</f>
      </c>
      <c r="J2577" s="42">
        <f>IF(AND(ISNUMBER(F2577),ISNUMBER(H2577),F2577&gt;=Inputs!$C$68),F2577*H2577*Inputs!$C$69,"")</f>
      </c>
    </row>
    <row r="2578" spans="2:10" ht="15" customHeight="1" x14ac:dyDescent="0.2">
      <c r="B2578" s="39">
        <f t="shared" si="20"/>
      </c>
      <c r="C2578" s="40">
        <f>IF(Inputs!$C$60,Inputs!$C$11+(B2578-Inputs!$C$69)/Inputs!$C$70,"")</f>
      </c>
      <c r="D2578" s="15"/>
      <c r="E2578" s="15"/>
      <c r="F2578" s="11">
        <f t="shared" si="21"/>
      </c>
      <c r="G2578" s="22" cm="1">
        <f t="array" ref="G2578">IF(AND(Inputs!$C$60,Inputs!$C$61),INDEX(Utility_Rates!$C$29:$F$52,HOUR(C2578)+Inputs!$C$69,MATCH(INDEX(Utility_Rates!$K$6:$K$17,MONTH(C2578))&amp;IF(WEEKDAY(C2578,Inputs!$C$76)&lt;=Inputs!$C$74," weekday"," weekend"),Utility_Rates!$C$28:$F$28,Inputs!$C$68)),"")</f>
      </c>
      <c r="H2578" s="34"/>
      <c r="I2578" s="42">
        <f>IF(AND(ISNUMBER(D2578),ISNUMBER(H2578)),D2578*H2578*Inputs!$C$69,"")</f>
      </c>
      <c r="J2578" s="42">
        <f>IF(AND(ISNUMBER(F2578),ISNUMBER(H2578),F2578&gt;=Inputs!$C$68),F2578*H2578*Inputs!$C$69,"")</f>
      </c>
    </row>
    <row r="2579" spans="2:10" ht="15" customHeight="1" x14ac:dyDescent="0.2">
      <c r="B2579" s="39">
        <f t="shared" si="20"/>
      </c>
      <c r="C2579" s="40">
        <f>IF(Inputs!$C$60,Inputs!$C$11+(B2579-Inputs!$C$69)/Inputs!$C$70,"")</f>
      </c>
      <c r="D2579" s="15"/>
      <c r="E2579" s="15"/>
      <c r="F2579" s="11">
        <f t="shared" si="21"/>
      </c>
      <c r="G2579" s="22" cm="1">
        <f t="array" ref="G2579">IF(AND(Inputs!$C$60,Inputs!$C$61),INDEX(Utility_Rates!$C$29:$F$52,HOUR(C2579)+Inputs!$C$69,MATCH(INDEX(Utility_Rates!$K$6:$K$17,MONTH(C2579))&amp;IF(WEEKDAY(C2579,Inputs!$C$76)&lt;=Inputs!$C$74," weekday"," weekend"),Utility_Rates!$C$28:$F$28,Inputs!$C$68)),"")</f>
      </c>
      <c r="H2579" s="34"/>
      <c r="I2579" s="42">
        <f>IF(AND(ISNUMBER(D2579),ISNUMBER(H2579)),D2579*H2579*Inputs!$C$69,"")</f>
      </c>
      <c r="J2579" s="42">
        <f>IF(AND(ISNUMBER(F2579),ISNUMBER(H2579),F2579&gt;=Inputs!$C$68),F2579*H2579*Inputs!$C$69,"")</f>
      </c>
    </row>
    <row r="2580" spans="2:10" ht="15" customHeight="1" x14ac:dyDescent="0.2">
      <c r="B2580" s="39">
        <f t="shared" si="20"/>
      </c>
      <c r="C2580" s="40">
        <f>IF(Inputs!$C$60,Inputs!$C$11+(B2580-Inputs!$C$69)/Inputs!$C$70,"")</f>
      </c>
      <c r="D2580" s="15"/>
      <c r="E2580" s="15"/>
      <c r="F2580" s="11">
        <f t="shared" si="21"/>
      </c>
      <c r="G2580" s="22" cm="1">
        <f t="array" ref="G2580">IF(AND(Inputs!$C$60,Inputs!$C$61),INDEX(Utility_Rates!$C$29:$F$52,HOUR(C2580)+Inputs!$C$69,MATCH(INDEX(Utility_Rates!$K$6:$K$17,MONTH(C2580))&amp;IF(WEEKDAY(C2580,Inputs!$C$76)&lt;=Inputs!$C$74," weekday"," weekend"),Utility_Rates!$C$28:$F$28,Inputs!$C$68)),"")</f>
      </c>
      <c r="H2580" s="34"/>
      <c r="I2580" s="42">
        <f>IF(AND(ISNUMBER(D2580),ISNUMBER(H2580)),D2580*H2580*Inputs!$C$69,"")</f>
      </c>
      <c r="J2580" s="42">
        <f>IF(AND(ISNUMBER(F2580),ISNUMBER(H2580),F2580&gt;=Inputs!$C$68),F2580*H2580*Inputs!$C$69,"")</f>
      </c>
    </row>
    <row r="2581" spans="2:10" ht="15" customHeight="1" x14ac:dyDescent="0.2">
      <c r="B2581" s="39">
        <f t="shared" si="20"/>
      </c>
      <c r="C2581" s="40">
        <f>IF(Inputs!$C$60,Inputs!$C$11+(B2581-Inputs!$C$69)/Inputs!$C$70,"")</f>
      </c>
      <c r="D2581" s="15"/>
      <c r="E2581" s="15"/>
      <c r="F2581" s="11">
        <f t="shared" si="21"/>
      </c>
      <c r="G2581" s="22" cm="1">
        <f t="array" ref="G2581">IF(AND(Inputs!$C$60,Inputs!$C$61),INDEX(Utility_Rates!$C$29:$F$52,HOUR(C2581)+Inputs!$C$69,MATCH(INDEX(Utility_Rates!$K$6:$K$17,MONTH(C2581))&amp;IF(WEEKDAY(C2581,Inputs!$C$76)&lt;=Inputs!$C$74," weekday"," weekend"),Utility_Rates!$C$28:$F$28,Inputs!$C$68)),"")</f>
      </c>
      <c r="H2581" s="34"/>
      <c r="I2581" s="42">
        <f>IF(AND(ISNUMBER(D2581),ISNUMBER(H2581)),D2581*H2581*Inputs!$C$69,"")</f>
      </c>
      <c r="J2581" s="42">
        <f>IF(AND(ISNUMBER(F2581),ISNUMBER(H2581),F2581&gt;=Inputs!$C$68),F2581*H2581*Inputs!$C$69,"")</f>
      </c>
    </row>
    <row r="2582" spans="2:10" ht="15" customHeight="1" x14ac:dyDescent="0.2">
      <c r="B2582" s="39">
        <f t="shared" si="20"/>
      </c>
      <c r="C2582" s="40">
        <f>IF(Inputs!$C$60,Inputs!$C$11+(B2582-Inputs!$C$69)/Inputs!$C$70,"")</f>
      </c>
      <c r="D2582" s="15"/>
      <c r="E2582" s="15"/>
      <c r="F2582" s="11">
        <f t="shared" si="21"/>
      </c>
      <c r="G2582" s="22" cm="1">
        <f t="array" ref="G2582">IF(AND(Inputs!$C$60,Inputs!$C$61),INDEX(Utility_Rates!$C$29:$F$52,HOUR(C2582)+Inputs!$C$69,MATCH(INDEX(Utility_Rates!$K$6:$K$17,MONTH(C2582))&amp;IF(WEEKDAY(C2582,Inputs!$C$76)&lt;=Inputs!$C$74," weekday"," weekend"),Utility_Rates!$C$28:$F$28,Inputs!$C$68)),"")</f>
      </c>
      <c r="H2582" s="34"/>
      <c r="I2582" s="42">
        <f>IF(AND(ISNUMBER(D2582),ISNUMBER(H2582)),D2582*H2582*Inputs!$C$69,"")</f>
      </c>
      <c r="J2582" s="42">
        <f>IF(AND(ISNUMBER(F2582),ISNUMBER(H2582),F2582&gt;=Inputs!$C$68),F2582*H2582*Inputs!$C$69,"")</f>
      </c>
    </row>
    <row r="2583" spans="2:10" ht="15" customHeight="1" x14ac:dyDescent="0.2">
      <c r="B2583" s="39">
        <f t="shared" si="20"/>
      </c>
      <c r="C2583" s="40">
        <f>IF(Inputs!$C$60,Inputs!$C$11+(B2583-Inputs!$C$69)/Inputs!$C$70,"")</f>
      </c>
      <c r="D2583" s="15"/>
      <c r="E2583" s="15"/>
      <c r="F2583" s="11">
        <f t="shared" si="21"/>
      </c>
      <c r="G2583" s="22" cm="1">
        <f t="array" ref="G2583">IF(AND(Inputs!$C$60,Inputs!$C$61),INDEX(Utility_Rates!$C$29:$F$52,HOUR(C2583)+Inputs!$C$69,MATCH(INDEX(Utility_Rates!$K$6:$K$17,MONTH(C2583))&amp;IF(WEEKDAY(C2583,Inputs!$C$76)&lt;=Inputs!$C$74," weekday"," weekend"),Utility_Rates!$C$28:$F$28,Inputs!$C$68)),"")</f>
      </c>
      <c r="H2583" s="34"/>
      <c r="I2583" s="42">
        <f>IF(AND(ISNUMBER(D2583),ISNUMBER(H2583)),D2583*H2583*Inputs!$C$69,"")</f>
      </c>
      <c r="J2583" s="42">
        <f>IF(AND(ISNUMBER(F2583),ISNUMBER(H2583),F2583&gt;=Inputs!$C$68),F2583*H2583*Inputs!$C$69,"")</f>
      </c>
    </row>
    <row r="2584" spans="2:10" ht="15" customHeight="1" x14ac:dyDescent="0.2">
      <c r="B2584" s="39">
        <f t="shared" si="20"/>
      </c>
      <c r="C2584" s="40">
        <f>IF(Inputs!$C$60,Inputs!$C$11+(B2584-Inputs!$C$69)/Inputs!$C$70,"")</f>
      </c>
      <c r="D2584" s="15"/>
      <c r="E2584" s="15"/>
      <c r="F2584" s="11">
        <f t="shared" si="21"/>
      </c>
      <c r="G2584" s="22" cm="1">
        <f t="array" ref="G2584">IF(AND(Inputs!$C$60,Inputs!$C$61),INDEX(Utility_Rates!$C$29:$F$52,HOUR(C2584)+Inputs!$C$69,MATCH(INDEX(Utility_Rates!$K$6:$K$17,MONTH(C2584))&amp;IF(WEEKDAY(C2584,Inputs!$C$76)&lt;=Inputs!$C$74," weekday"," weekend"),Utility_Rates!$C$28:$F$28,Inputs!$C$68)),"")</f>
      </c>
      <c r="H2584" s="34"/>
      <c r="I2584" s="42">
        <f>IF(AND(ISNUMBER(D2584),ISNUMBER(H2584)),D2584*H2584*Inputs!$C$69,"")</f>
      </c>
      <c r="J2584" s="42">
        <f>IF(AND(ISNUMBER(F2584),ISNUMBER(H2584),F2584&gt;=Inputs!$C$68),F2584*H2584*Inputs!$C$69,"")</f>
      </c>
    </row>
    <row r="2585" spans="2:10" ht="15" customHeight="1" x14ac:dyDescent="0.2">
      <c r="B2585" s="39">
        <f t="shared" si="20"/>
      </c>
      <c r="C2585" s="40">
        <f>IF(Inputs!$C$60,Inputs!$C$11+(B2585-Inputs!$C$69)/Inputs!$C$70,"")</f>
      </c>
      <c r="D2585" s="15"/>
      <c r="E2585" s="15"/>
      <c r="F2585" s="11">
        <f t="shared" si="21"/>
      </c>
      <c r="G2585" s="22" cm="1">
        <f t="array" ref="G2585">IF(AND(Inputs!$C$60,Inputs!$C$61),INDEX(Utility_Rates!$C$29:$F$52,HOUR(C2585)+Inputs!$C$69,MATCH(INDEX(Utility_Rates!$K$6:$K$17,MONTH(C2585))&amp;IF(WEEKDAY(C2585,Inputs!$C$76)&lt;=Inputs!$C$74," weekday"," weekend"),Utility_Rates!$C$28:$F$28,Inputs!$C$68)),"")</f>
      </c>
      <c r="H2585" s="34"/>
      <c r="I2585" s="42">
        <f>IF(AND(ISNUMBER(D2585),ISNUMBER(H2585)),D2585*H2585*Inputs!$C$69,"")</f>
      </c>
      <c r="J2585" s="42">
        <f>IF(AND(ISNUMBER(F2585),ISNUMBER(H2585),F2585&gt;=Inputs!$C$68),F2585*H2585*Inputs!$C$69,"")</f>
      </c>
    </row>
    <row r="2586" spans="2:10" ht="15" customHeight="1" x14ac:dyDescent="0.2">
      <c r="B2586" s="39">
        <f t="shared" si="20"/>
      </c>
      <c r="C2586" s="40">
        <f>IF(Inputs!$C$60,Inputs!$C$11+(B2586-Inputs!$C$69)/Inputs!$C$70,"")</f>
      </c>
      <c r="D2586" s="15"/>
      <c r="E2586" s="15"/>
      <c r="F2586" s="11">
        <f t="shared" si="21"/>
      </c>
      <c r="G2586" s="22" cm="1">
        <f t="array" ref="G2586">IF(AND(Inputs!$C$60,Inputs!$C$61),INDEX(Utility_Rates!$C$29:$F$52,HOUR(C2586)+Inputs!$C$69,MATCH(INDEX(Utility_Rates!$K$6:$K$17,MONTH(C2586))&amp;IF(WEEKDAY(C2586,Inputs!$C$76)&lt;=Inputs!$C$74," weekday"," weekend"),Utility_Rates!$C$28:$F$28,Inputs!$C$68)),"")</f>
      </c>
      <c r="H2586" s="34"/>
      <c r="I2586" s="42">
        <f>IF(AND(ISNUMBER(D2586),ISNUMBER(H2586)),D2586*H2586*Inputs!$C$69,"")</f>
      </c>
      <c r="J2586" s="42">
        <f>IF(AND(ISNUMBER(F2586),ISNUMBER(H2586),F2586&gt;=Inputs!$C$68),F2586*H2586*Inputs!$C$69,"")</f>
      </c>
    </row>
    <row r="2587" spans="2:10" ht="15" customHeight="1" x14ac:dyDescent="0.2">
      <c r="B2587" s="39">
        <f t="shared" si="20"/>
      </c>
      <c r="C2587" s="40">
        <f>IF(Inputs!$C$60,Inputs!$C$11+(B2587-Inputs!$C$69)/Inputs!$C$70,"")</f>
      </c>
      <c r="D2587" s="15"/>
      <c r="E2587" s="15"/>
      <c r="F2587" s="11">
        <f t="shared" si="21"/>
      </c>
      <c r="G2587" s="22" cm="1">
        <f t="array" ref="G2587">IF(AND(Inputs!$C$60,Inputs!$C$61),INDEX(Utility_Rates!$C$29:$F$52,HOUR(C2587)+Inputs!$C$69,MATCH(INDEX(Utility_Rates!$K$6:$K$17,MONTH(C2587))&amp;IF(WEEKDAY(C2587,Inputs!$C$76)&lt;=Inputs!$C$74," weekday"," weekend"),Utility_Rates!$C$28:$F$28,Inputs!$C$68)),"")</f>
      </c>
      <c r="H2587" s="34"/>
      <c r="I2587" s="42">
        <f>IF(AND(ISNUMBER(D2587),ISNUMBER(H2587)),D2587*H2587*Inputs!$C$69,"")</f>
      </c>
      <c r="J2587" s="42">
        <f>IF(AND(ISNUMBER(F2587),ISNUMBER(H2587),F2587&gt;=Inputs!$C$68),F2587*H2587*Inputs!$C$69,"")</f>
      </c>
    </row>
    <row r="2588" spans="2:10" ht="15" customHeight="1" x14ac:dyDescent="0.2">
      <c r="B2588" s="39">
        <f t="shared" si="20"/>
      </c>
      <c r="C2588" s="40">
        <f>IF(Inputs!$C$60,Inputs!$C$11+(B2588-Inputs!$C$69)/Inputs!$C$70,"")</f>
      </c>
      <c r="D2588" s="15"/>
      <c r="E2588" s="15"/>
      <c r="F2588" s="11">
        <f t="shared" si="21"/>
      </c>
      <c r="G2588" s="22" cm="1">
        <f t="array" ref="G2588">IF(AND(Inputs!$C$60,Inputs!$C$61),INDEX(Utility_Rates!$C$29:$F$52,HOUR(C2588)+Inputs!$C$69,MATCH(INDEX(Utility_Rates!$K$6:$K$17,MONTH(C2588))&amp;IF(WEEKDAY(C2588,Inputs!$C$76)&lt;=Inputs!$C$74," weekday"," weekend"),Utility_Rates!$C$28:$F$28,Inputs!$C$68)),"")</f>
      </c>
      <c r="H2588" s="34"/>
      <c r="I2588" s="42">
        <f>IF(AND(ISNUMBER(D2588),ISNUMBER(H2588)),D2588*H2588*Inputs!$C$69,"")</f>
      </c>
      <c r="J2588" s="42">
        <f>IF(AND(ISNUMBER(F2588),ISNUMBER(H2588),F2588&gt;=Inputs!$C$68),F2588*H2588*Inputs!$C$69,"")</f>
      </c>
    </row>
    <row r="2589" spans="2:10" ht="15" customHeight="1" x14ac:dyDescent="0.2">
      <c r="B2589" s="39">
        <f t="shared" si="20"/>
      </c>
      <c r="C2589" s="40">
        <f>IF(Inputs!$C$60,Inputs!$C$11+(B2589-Inputs!$C$69)/Inputs!$C$70,"")</f>
      </c>
      <c r="D2589" s="15"/>
      <c r="E2589" s="15"/>
      <c r="F2589" s="11">
        <f t="shared" si="21"/>
      </c>
      <c r="G2589" s="22" cm="1">
        <f t="array" ref="G2589">IF(AND(Inputs!$C$60,Inputs!$C$61),INDEX(Utility_Rates!$C$29:$F$52,HOUR(C2589)+Inputs!$C$69,MATCH(INDEX(Utility_Rates!$K$6:$K$17,MONTH(C2589))&amp;IF(WEEKDAY(C2589,Inputs!$C$76)&lt;=Inputs!$C$74," weekday"," weekend"),Utility_Rates!$C$28:$F$28,Inputs!$C$68)),"")</f>
      </c>
      <c r="H2589" s="34"/>
      <c r="I2589" s="42">
        <f>IF(AND(ISNUMBER(D2589),ISNUMBER(H2589)),D2589*H2589*Inputs!$C$69,"")</f>
      </c>
      <c r="J2589" s="42">
        <f>IF(AND(ISNUMBER(F2589),ISNUMBER(H2589),F2589&gt;=Inputs!$C$68),F2589*H2589*Inputs!$C$69,"")</f>
      </c>
    </row>
    <row r="2590" spans="2:10" ht="15" customHeight="1" x14ac:dyDescent="0.2">
      <c r="B2590" s="39">
        <f t="shared" si="20"/>
      </c>
      <c r="C2590" s="40">
        <f>IF(Inputs!$C$60,Inputs!$C$11+(B2590-Inputs!$C$69)/Inputs!$C$70,"")</f>
      </c>
      <c r="D2590" s="15"/>
      <c r="E2590" s="15"/>
      <c r="F2590" s="11">
        <f t="shared" si="21"/>
      </c>
      <c r="G2590" s="22" cm="1">
        <f t="array" ref="G2590">IF(AND(Inputs!$C$60,Inputs!$C$61),INDEX(Utility_Rates!$C$29:$F$52,HOUR(C2590)+Inputs!$C$69,MATCH(INDEX(Utility_Rates!$K$6:$K$17,MONTH(C2590))&amp;IF(WEEKDAY(C2590,Inputs!$C$76)&lt;=Inputs!$C$74," weekday"," weekend"),Utility_Rates!$C$28:$F$28,Inputs!$C$68)),"")</f>
      </c>
      <c r="H2590" s="34"/>
      <c r="I2590" s="42">
        <f>IF(AND(ISNUMBER(D2590),ISNUMBER(H2590)),D2590*H2590*Inputs!$C$69,"")</f>
      </c>
      <c r="J2590" s="42">
        <f>IF(AND(ISNUMBER(F2590),ISNUMBER(H2590),F2590&gt;=Inputs!$C$68),F2590*H2590*Inputs!$C$69,"")</f>
      </c>
    </row>
    <row r="2591" spans="2:10" ht="15" customHeight="1" x14ac:dyDescent="0.2">
      <c r="B2591" s="39">
        <f t="shared" si="20"/>
      </c>
      <c r="C2591" s="40">
        <f>IF(Inputs!$C$60,Inputs!$C$11+(B2591-Inputs!$C$69)/Inputs!$C$70,"")</f>
      </c>
      <c r="D2591" s="15"/>
      <c r="E2591" s="15"/>
      <c r="F2591" s="11">
        <f t="shared" si="21"/>
      </c>
      <c r="G2591" s="22" cm="1">
        <f t="array" ref="G2591">IF(AND(Inputs!$C$60,Inputs!$C$61),INDEX(Utility_Rates!$C$29:$F$52,HOUR(C2591)+Inputs!$C$69,MATCH(INDEX(Utility_Rates!$K$6:$K$17,MONTH(C2591))&amp;IF(WEEKDAY(C2591,Inputs!$C$76)&lt;=Inputs!$C$74," weekday"," weekend"),Utility_Rates!$C$28:$F$28,Inputs!$C$68)),"")</f>
      </c>
      <c r="H2591" s="34"/>
      <c r="I2591" s="42">
        <f>IF(AND(ISNUMBER(D2591),ISNUMBER(H2591)),D2591*H2591*Inputs!$C$69,"")</f>
      </c>
      <c r="J2591" s="42">
        <f>IF(AND(ISNUMBER(F2591),ISNUMBER(H2591),F2591&gt;=Inputs!$C$68),F2591*H2591*Inputs!$C$69,"")</f>
      </c>
    </row>
    <row r="2592" spans="2:10" ht="15" customHeight="1" x14ac:dyDescent="0.2">
      <c r="B2592" s="39">
        <f t="shared" si="20"/>
      </c>
      <c r="C2592" s="40">
        <f>IF(Inputs!$C$60,Inputs!$C$11+(B2592-Inputs!$C$69)/Inputs!$C$70,"")</f>
      </c>
      <c r="D2592" s="15"/>
      <c r="E2592" s="15"/>
      <c r="F2592" s="11">
        <f t="shared" si="21"/>
      </c>
      <c r="G2592" s="22" cm="1">
        <f t="array" ref="G2592">IF(AND(Inputs!$C$60,Inputs!$C$61),INDEX(Utility_Rates!$C$29:$F$52,HOUR(C2592)+Inputs!$C$69,MATCH(INDEX(Utility_Rates!$K$6:$K$17,MONTH(C2592))&amp;IF(WEEKDAY(C2592,Inputs!$C$76)&lt;=Inputs!$C$74," weekday"," weekend"),Utility_Rates!$C$28:$F$28,Inputs!$C$68)),"")</f>
      </c>
      <c r="H2592" s="34"/>
      <c r="I2592" s="42">
        <f>IF(AND(ISNUMBER(D2592),ISNUMBER(H2592)),D2592*H2592*Inputs!$C$69,"")</f>
      </c>
      <c r="J2592" s="42">
        <f>IF(AND(ISNUMBER(F2592),ISNUMBER(H2592),F2592&gt;=Inputs!$C$68),F2592*H2592*Inputs!$C$69,"")</f>
      </c>
    </row>
    <row r="2593" spans="2:10" ht="15" customHeight="1" x14ac:dyDescent="0.2">
      <c r="B2593" s="39">
        <f t="shared" si="20"/>
      </c>
      <c r="C2593" s="40">
        <f>IF(Inputs!$C$60,Inputs!$C$11+(B2593-Inputs!$C$69)/Inputs!$C$70,"")</f>
      </c>
      <c r="D2593" s="15"/>
      <c r="E2593" s="15"/>
      <c r="F2593" s="11">
        <f t="shared" si="21"/>
      </c>
      <c r="G2593" s="22" cm="1">
        <f t="array" ref="G2593">IF(AND(Inputs!$C$60,Inputs!$C$61),INDEX(Utility_Rates!$C$29:$F$52,HOUR(C2593)+Inputs!$C$69,MATCH(INDEX(Utility_Rates!$K$6:$K$17,MONTH(C2593))&amp;IF(WEEKDAY(C2593,Inputs!$C$76)&lt;=Inputs!$C$74," weekday"," weekend"),Utility_Rates!$C$28:$F$28,Inputs!$C$68)),"")</f>
      </c>
      <c r="H2593" s="34"/>
      <c r="I2593" s="42">
        <f>IF(AND(ISNUMBER(D2593),ISNUMBER(H2593)),D2593*H2593*Inputs!$C$69,"")</f>
      </c>
      <c r="J2593" s="42">
        <f>IF(AND(ISNUMBER(F2593),ISNUMBER(H2593),F2593&gt;=Inputs!$C$68),F2593*H2593*Inputs!$C$69,"")</f>
      </c>
    </row>
    <row r="2594" spans="2:10" ht="15" customHeight="1" x14ac:dyDescent="0.2">
      <c r="B2594" s="39">
        <f t="shared" si="20"/>
      </c>
      <c r="C2594" s="40">
        <f>IF(Inputs!$C$60,Inputs!$C$11+(B2594-Inputs!$C$69)/Inputs!$C$70,"")</f>
      </c>
      <c r="D2594" s="15"/>
      <c r="E2594" s="15"/>
      <c r="F2594" s="11">
        <f t="shared" si="21"/>
      </c>
      <c r="G2594" s="22" cm="1">
        <f t="array" ref="G2594">IF(AND(Inputs!$C$60,Inputs!$C$61),INDEX(Utility_Rates!$C$29:$F$52,HOUR(C2594)+Inputs!$C$69,MATCH(INDEX(Utility_Rates!$K$6:$K$17,MONTH(C2594))&amp;IF(WEEKDAY(C2594,Inputs!$C$76)&lt;=Inputs!$C$74," weekday"," weekend"),Utility_Rates!$C$28:$F$28,Inputs!$C$68)),"")</f>
      </c>
      <c r="H2594" s="34"/>
      <c r="I2594" s="42">
        <f>IF(AND(ISNUMBER(D2594),ISNUMBER(H2594)),D2594*H2594*Inputs!$C$69,"")</f>
      </c>
      <c r="J2594" s="42">
        <f>IF(AND(ISNUMBER(F2594),ISNUMBER(H2594),F2594&gt;=Inputs!$C$68),F2594*H2594*Inputs!$C$69,"")</f>
      </c>
    </row>
    <row r="2595" spans="2:10" ht="15" customHeight="1" x14ac:dyDescent="0.2">
      <c r="B2595" s="39">
        <f t="shared" si="20"/>
      </c>
      <c r="C2595" s="40">
        <f>IF(Inputs!$C$60,Inputs!$C$11+(B2595-Inputs!$C$69)/Inputs!$C$70,"")</f>
      </c>
      <c r="D2595" s="15"/>
      <c r="E2595" s="15"/>
      <c r="F2595" s="11">
        <f t="shared" si="21"/>
      </c>
      <c r="G2595" s="22" cm="1">
        <f t="array" ref="G2595">IF(AND(Inputs!$C$60,Inputs!$C$61),INDEX(Utility_Rates!$C$29:$F$52,HOUR(C2595)+Inputs!$C$69,MATCH(INDEX(Utility_Rates!$K$6:$K$17,MONTH(C2595))&amp;IF(WEEKDAY(C2595,Inputs!$C$76)&lt;=Inputs!$C$74," weekday"," weekend"),Utility_Rates!$C$28:$F$28,Inputs!$C$68)),"")</f>
      </c>
      <c r="H2595" s="34"/>
      <c r="I2595" s="42">
        <f>IF(AND(ISNUMBER(D2595),ISNUMBER(H2595)),D2595*H2595*Inputs!$C$69,"")</f>
      </c>
      <c r="J2595" s="42">
        <f>IF(AND(ISNUMBER(F2595),ISNUMBER(H2595),F2595&gt;=Inputs!$C$68),F2595*H2595*Inputs!$C$69,"")</f>
      </c>
    </row>
    <row r="2596" spans="2:10" ht="15" customHeight="1" x14ac:dyDescent="0.2">
      <c r="B2596" s="39">
        <f t="shared" si="20"/>
      </c>
      <c r="C2596" s="40">
        <f>IF(Inputs!$C$60,Inputs!$C$11+(B2596-Inputs!$C$69)/Inputs!$C$70,"")</f>
      </c>
      <c r="D2596" s="15"/>
      <c r="E2596" s="15"/>
      <c r="F2596" s="11">
        <f t="shared" si="21"/>
      </c>
      <c r="G2596" s="22" cm="1">
        <f t="array" ref="G2596">IF(AND(Inputs!$C$60,Inputs!$C$61),INDEX(Utility_Rates!$C$29:$F$52,HOUR(C2596)+Inputs!$C$69,MATCH(INDEX(Utility_Rates!$K$6:$K$17,MONTH(C2596))&amp;IF(WEEKDAY(C2596,Inputs!$C$76)&lt;=Inputs!$C$74," weekday"," weekend"),Utility_Rates!$C$28:$F$28,Inputs!$C$68)),"")</f>
      </c>
      <c r="H2596" s="34"/>
      <c r="I2596" s="42">
        <f>IF(AND(ISNUMBER(D2596),ISNUMBER(H2596)),D2596*H2596*Inputs!$C$69,"")</f>
      </c>
      <c r="J2596" s="42">
        <f>IF(AND(ISNUMBER(F2596),ISNUMBER(H2596),F2596&gt;=Inputs!$C$68),F2596*H2596*Inputs!$C$69,"")</f>
      </c>
    </row>
    <row r="2597" spans="2:10" ht="15" customHeight="1" x14ac:dyDescent="0.2">
      <c r="B2597" s="39">
        <f t="shared" si="20"/>
      </c>
      <c r="C2597" s="40">
        <f>IF(Inputs!$C$60,Inputs!$C$11+(B2597-Inputs!$C$69)/Inputs!$C$70,"")</f>
      </c>
      <c r="D2597" s="15"/>
      <c r="E2597" s="15"/>
      <c r="F2597" s="11">
        <f t="shared" si="21"/>
      </c>
      <c r="G2597" s="22" cm="1">
        <f t="array" ref="G2597">IF(AND(Inputs!$C$60,Inputs!$C$61),INDEX(Utility_Rates!$C$29:$F$52,HOUR(C2597)+Inputs!$C$69,MATCH(INDEX(Utility_Rates!$K$6:$K$17,MONTH(C2597))&amp;IF(WEEKDAY(C2597,Inputs!$C$76)&lt;=Inputs!$C$74," weekday"," weekend"),Utility_Rates!$C$28:$F$28,Inputs!$C$68)),"")</f>
      </c>
      <c r="H2597" s="34"/>
      <c r="I2597" s="42">
        <f>IF(AND(ISNUMBER(D2597),ISNUMBER(H2597)),D2597*H2597*Inputs!$C$69,"")</f>
      </c>
      <c r="J2597" s="42">
        <f>IF(AND(ISNUMBER(F2597),ISNUMBER(H2597),F2597&gt;=Inputs!$C$68),F2597*H2597*Inputs!$C$69,"")</f>
      </c>
    </row>
    <row r="2598" spans="2:10" ht="15" customHeight="1" x14ac:dyDescent="0.2">
      <c r="B2598" s="39">
        <f t="shared" si="20"/>
      </c>
      <c r="C2598" s="40">
        <f>IF(Inputs!$C$60,Inputs!$C$11+(B2598-Inputs!$C$69)/Inputs!$C$70,"")</f>
      </c>
      <c r="D2598" s="15"/>
      <c r="E2598" s="15"/>
      <c r="F2598" s="11">
        <f t="shared" si="21"/>
      </c>
      <c r="G2598" s="22" cm="1">
        <f t="array" ref="G2598">IF(AND(Inputs!$C$60,Inputs!$C$61),INDEX(Utility_Rates!$C$29:$F$52,HOUR(C2598)+Inputs!$C$69,MATCH(INDEX(Utility_Rates!$K$6:$K$17,MONTH(C2598))&amp;IF(WEEKDAY(C2598,Inputs!$C$76)&lt;=Inputs!$C$74," weekday"," weekend"),Utility_Rates!$C$28:$F$28,Inputs!$C$68)),"")</f>
      </c>
      <c r="H2598" s="34"/>
      <c r="I2598" s="42">
        <f>IF(AND(ISNUMBER(D2598),ISNUMBER(H2598)),D2598*H2598*Inputs!$C$69,"")</f>
      </c>
      <c r="J2598" s="42">
        <f>IF(AND(ISNUMBER(F2598),ISNUMBER(H2598),F2598&gt;=Inputs!$C$68),F2598*H2598*Inputs!$C$69,"")</f>
      </c>
    </row>
    <row r="2599" spans="2:10" ht="15" customHeight="1" x14ac:dyDescent="0.2">
      <c r="B2599" s="39">
        <f t="shared" si="20"/>
      </c>
      <c r="C2599" s="40">
        <f>IF(Inputs!$C$60,Inputs!$C$11+(B2599-Inputs!$C$69)/Inputs!$C$70,"")</f>
      </c>
      <c r="D2599" s="15"/>
      <c r="E2599" s="15"/>
      <c r="F2599" s="11">
        <f t="shared" si="21"/>
      </c>
      <c r="G2599" s="22" cm="1">
        <f t="array" ref="G2599">IF(AND(Inputs!$C$60,Inputs!$C$61),INDEX(Utility_Rates!$C$29:$F$52,HOUR(C2599)+Inputs!$C$69,MATCH(INDEX(Utility_Rates!$K$6:$K$17,MONTH(C2599))&amp;IF(WEEKDAY(C2599,Inputs!$C$76)&lt;=Inputs!$C$74," weekday"," weekend"),Utility_Rates!$C$28:$F$28,Inputs!$C$68)),"")</f>
      </c>
      <c r="H2599" s="34"/>
      <c r="I2599" s="42">
        <f>IF(AND(ISNUMBER(D2599),ISNUMBER(H2599)),D2599*H2599*Inputs!$C$69,"")</f>
      </c>
      <c r="J2599" s="42">
        <f>IF(AND(ISNUMBER(F2599),ISNUMBER(H2599),F2599&gt;=Inputs!$C$68),F2599*H2599*Inputs!$C$69,"")</f>
      </c>
    </row>
    <row r="2600" spans="2:10" ht="15" customHeight="1" x14ac:dyDescent="0.2">
      <c r="B2600" s="39">
        <f t="shared" si="20"/>
      </c>
      <c r="C2600" s="40">
        <f>IF(Inputs!$C$60,Inputs!$C$11+(B2600-Inputs!$C$69)/Inputs!$C$70,"")</f>
      </c>
      <c r="D2600" s="15"/>
      <c r="E2600" s="15"/>
      <c r="F2600" s="11">
        <f t="shared" si="21"/>
      </c>
      <c r="G2600" s="22" cm="1">
        <f t="array" ref="G2600">IF(AND(Inputs!$C$60,Inputs!$C$61),INDEX(Utility_Rates!$C$29:$F$52,HOUR(C2600)+Inputs!$C$69,MATCH(INDEX(Utility_Rates!$K$6:$K$17,MONTH(C2600))&amp;IF(WEEKDAY(C2600,Inputs!$C$76)&lt;=Inputs!$C$74," weekday"," weekend"),Utility_Rates!$C$28:$F$28,Inputs!$C$68)),"")</f>
      </c>
      <c r="H2600" s="34"/>
      <c r="I2600" s="42">
        <f>IF(AND(ISNUMBER(D2600),ISNUMBER(H2600)),D2600*H2600*Inputs!$C$69,"")</f>
      </c>
      <c r="J2600" s="42">
        <f>IF(AND(ISNUMBER(F2600),ISNUMBER(H2600),F2600&gt;=Inputs!$C$68),F2600*H2600*Inputs!$C$69,"")</f>
      </c>
    </row>
    <row r="2601" spans="2:10" ht="15" customHeight="1" x14ac:dyDescent="0.2">
      <c r="B2601" s="39">
        <f t="shared" si="20"/>
      </c>
      <c r="C2601" s="40">
        <f>IF(Inputs!$C$60,Inputs!$C$11+(B2601-Inputs!$C$69)/Inputs!$C$70,"")</f>
      </c>
      <c r="D2601" s="15"/>
      <c r="E2601" s="15"/>
      <c r="F2601" s="11">
        <f t="shared" si="21"/>
      </c>
      <c r="G2601" s="22" cm="1">
        <f t="array" ref="G2601">IF(AND(Inputs!$C$60,Inputs!$C$61),INDEX(Utility_Rates!$C$29:$F$52,HOUR(C2601)+Inputs!$C$69,MATCH(INDEX(Utility_Rates!$K$6:$K$17,MONTH(C2601))&amp;IF(WEEKDAY(C2601,Inputs!$C$76)&lt;=Inputs!$C$74," weekday"," weekend"),Utility_Rates!$C$28:$F$28,Inputs!$C$68)),"")</f>
      </c>
      <c r="H2601" s="34"/>
      <c r="I2601" s="42">
        <f>IF(AND(ISNUMBER(D2601),ISNUMBER(H2601)),D2601*H2601*Inputs!$C$69,"")</f>
      </c>
      <c r="J2601" s="42">
        <f>IF(AND(ISNUMBER(F2601),ISNUMBER(H2601),F2601&gt;=Inputs!$C$68),F2601*H2601*Inputs!$C$69,"")</f>
      </c>
    </row>
    <row r="2602" spans="2:10" ht="15" customHeight="1" x14ac:dyDescent="0.2">
      <c r="B2602" s="39">
        <f t="shared" si="20"/>
      </c>
      <c r="C2602" s="40">
        <f>IF(Inputs!$C$60,Inputs!$C$11+(B2602-Inputs!$C$69)/Inputs!$C$70,"")</f>
      </c>
      <c r="D2602" s="15"/>
      <c r="E2602" s="15"/>
      <c r="F2602" s="11">
        <f t="shared" si="21"/>
      </c>
      <c r="G2602" s="22" cm="1">
        <f t="array" ref="G2602">IF(AND(Inputs!$C$60,Inputs!$C$61),INDEX(Utility_Rates!$C$29:$F$52,HOUR(C2602)+Inputs!$C$69,MATCH(INDEX(Utility_Rates!$K$6:$K$17,MONTH(C2602))&amp;IF(WEEKDAY(C2602,Inputs!$C$76)&lt;=Inputs!$C$74," weekday"," weekend"),Utility_Rates!$C$28:$F$28,Inputs!$C$68)),"")</f>
      </c>
      <c r="H2602" s="34"/>
      <c r="I2602" s="42">
        <f>IF(AND(ISNUMBER(D2602),ISNUMBER(H2602)),D2602*H2602*Inputs!$C$69,"")</f>
      </c>
      <c r="J2602" s="42">
        <f>IF(AND(ISNUMBER(F2602),ISNUMBER(H2602),F2602&gt;=Inputs!$C$68),F2602*H2602*Inputs!$C$69,"")</f>
      </c>
    </row>
    <row r="2603" spans="2:10" ht="15" customHeight="1" x14ac:dyDescent="0.2">
      <c r="B2603" s="39">
        <f t="shared" si="20"/>
      </c>
      <c r="C2603" s="40">
        <f>IF(Inputs!$C$60,Inputs!$C$11+(B2603-Inputs!$C$69)/Inputs!$C$70,"")</f>
      </c>
      <c r="D2603" s="15"/>
      <c r="E2603" s="15"/>
      <c r="F2603" s="11">
        <f t="shared" si="21"/>
      </c>
      <c r="G2603" s="22" cm="1">
        <f t="array" ref="G2603">IF(AND(Inputs!$C$60,Inputs!$C$61),INDEX(Utility_Rates!$C$29:$F$52,HOUR(C2603)+Inputs!$C$69,MATCH(INDEX(Utility_Rates!$K$6:$K$17,MONTH(C2603))&amp;IF(WEEKDAY(C2603,Inputs!$C$76)&lt;=Inputs!$C$74," weekday"," weekend"),Utility_Rates!$C$28:$F$28,Inputs!$C$68)),"")</f>
      </c>
      <c r="H2603" s="34"/>
      <c r="I2603" s="42">
        <f>IF(AND(ISNUMBER(D2603),ISNUMBER(H2603)),D2603*H2603*Inputs!$C$69,"")</f>
      </c>
      <c r="J2603" s="42">
        <f>IF(AND(ISNUMBER(F2603),ISNUMBER(H2603),F2603&gt;=Inputs!$C$68),F2603*H2603*Inputs!$C$69,"")</f>
      </c>
    </row>
    <row r="2604" spans="2:10" ht="15" customHeight="1" x14ac:dyDescent="0.2">
      <c r="B2604" s="39">
        <f t="shared" si="20"/>
      </c>
      <c r="C2604" s="40">
        <f>IF(Inputs!$C$60,Inputs!$C$11+(B2604-Inputs!$C$69)/Inputs!$C$70,"")</f>
      </c>
      <c r="D2604" s="15"/>
      <c r="E2604" s="15"/>
      <c r="F2604" s="11">
        <f t="shared" si="21"/>
      </c>
      <c r="G2604" s="22" cm="1">
        <f t="array" ref="G2604">IF(AND(Inputs!$C$60,Inputs!$C$61),INDEX(Utility_Rates!$C$29:$F$52,HOUR(C2604)+Inputs!$C$69,MATCH(INDEX(Utility_Rates!$K$6:$K$17,MONTH(C2604))&amp;IF(WEEKDAY(C2604,Inputs!$C$76)&lt;=Inputs!$C$74," weekday"," weekend"),Utility_Rates!$C$28:$F$28,Inputs!$C$68)),"")</f>
      </c>
      <c r="H2604" s="34"/>
      <c r="I2604" s="42">
        <f>IF(AND(ISNUMBER(D2604),ISNUMBER(H2604)),D2604*H2604*Inputs!$C$69,"")</f>
      </c>
      <c r="J2604" s="42">
        <f>IF(AND(ISNUMBER(F2604),ISNUMBER(H2604),F2604&gt;=Inputs!$C$68),F2604*H2604*Inputs!$C$69,"")</f>
      </c>
    </row>
    <row r="2605" spans="2:10" ht="15" customHeight="1" x14ac:dyDescent="0.2">
      <c r="B2605" s="39">
        <f t="shared" si="20"/>
      </c>
      <c r="C2605" s="40">
        <f>IF(Inputs!$C$60,Inputs!$C$11+(B2605-Inputs!$C$69)/Inputs!$C$70,"")</f>
      </c>
      <c r="D2605" s="15"/>
      <c r="E2605" s="15"/>
      <c r="F2605" s="11">
        <f t="shared" si="21"/>
      </c>
      <c r="G2605" s="22" cm="1">
        <f t="array" ref="G2605">IF(AND(Inputs!$C$60,Inputs!$C$61),INDEX(Utility_Rates!$C$29:$F$52,HOUR(C2605)+Inputs!$C$69,MATCH(INDEX(Utility_Rates!$K$6:$K$17,MONTH(C2605))&amp;IF(WEEKDAY(C2605,Inputs!$C$76)&lt;=Inputs!$C$74," weekday"," weekend"),Utility_Rates!$C$28:$F$28,Inputs!$C$68)),"")</f>
      </c>
      <c r="H2605" s="34"/>
      <c r="I2605" s="42">
        <f>IF(AND(ISNUMBER(D2605),ISNUMBER(H2605)),D2605*H2605*Inputs!$C$69,"")</f>
      </c>
      <c r="J2605" s="42">
        <f>IF(AND(ISNUMBER(F2605),ISNUMBER(H2605),F2605&gt;=Inputs!$C$68),F2605*H2605*Inputs!$C$69,"")</f>
      </c>
    </row>
    <row r="2606" spans="2:10" ht="15" customHeight="1" x14ac:dyDescent="0.2">
      <c r="B2606" s="39">
        <f t="shared" si="20"/>
      </c>
      <c r="C2606" s="40">
        <f>IF(Inputs!$C$60,Inputs!$C$11+(B2606-Inputs!$C$69)/Inputs!$C$70,"")</f>
      </c>
      <c r="D2606" s="15"/>
      <c r="E2606" s="15"/>
      <c r="F2606" s="11">
        <f t="shared" si="21"/>
      </c>
      <c r="G2606" s="22" cm="1">
        <f t="array" ref="G2606">IF(AND(Inputs!$C$60,Inputs!$C$61),INDEX(Utility_Rates!$C$29:$F$52,HOUR(C2606)+Inputs!$C$69,MATCH(INDEX(Utility_Rates!$K$6:$K$17,MONTH(C2606))&amp;IF(WEEKDAY(C2606,Inputs!$C$76)&lt;=Inputs!$C$74," weekday"," weekend"),Utility_Rates!$C$28:$F$28,Inputs!$C$68)),"")</f>
      </c>
      <c r="H2606" s="34"/>
      <c r="I2606" s="42">
        <f>IF(AND(ISNUMBER(D2606),ISNUMBER(H2606)),D2606*H2606*Inputs!$C$69,"")</f>
      </c>
      <c r="J2606" s="42">
        <f>IF(AND(ISNUMBER(F2606),ISNUMBER(H2606),F2606&gt;=Inputs!$C$68),F2606*H2606*Inputs!$C$69,"")</f>
      </c>
    </row>
    <row r="2607" spans="2:10" ht="15" customHeight="1" x14ac:dyDescent="0.2">
      <c r="B2607" s="39">
        <f t="shared" si="20"/>
      </c>
      <c r="C2607" s="40">
        <f>IF(Inputs!$C$60,Inputs!$C$11+(B2607-Inputs!$C$69)/Inputs!$C$70,"")</f>
      </c>
      <c r="D2607" s="15"/>
      <c r="E2607" s="15"/>
      <c r="F2607" s="11">
        <f t="shared" si="21"/>
      </c>
      <c r="G2607" s="22" cm="1">
        <f t="array" ref="G2607">IF(AND(Inputs!$C$60,Inputs!$C$61),INDEX(Utility_Rates!$C$29:$F$52,HOUR(C2607)+Inputs!$C$69,MATCH(INDEX(Utility_Rates!$K$6:$K$17,MONTH(C2607))&amp;IF(WEEKDAY(C2607,Inputs!$C$76)&lt;=Inputs!$C$74," weekday"," weekend"),Utility_Rates!$C$28:$F$28,Inputs!$C$68)),"")</f>
      </c>
      <c r="H2607" s="34"/>
      <c r="I2607" s="42">
        <f>IF(AND(ISNUMBER(D2607),ISNUMBER(H2607)),D2607*H2607*Inputs!$C$69,"")</f>
      </c>
      <c r="J2607" s="42">
        <f>IF(AND(ISNUMBER(F2607),ISNUMBER(H2607),F2607&gt;=Inputs!$C$68),F2607*H2607*Inputs!$C$69,"")</f>
      </c>
    </row>
    <row r="2608" spans="2:10" ht="15" customHeight="1" x14ac:dyDescent="0.2">
      <c r="B2608" s="39">
        <f t="shared" si="20"/>
      </c>
      <c r="C2608" s="40">
        <f>IF(Inputs!$C$60,Inputs!$C$11+(B2608-Inputs!$C$69)/Inputs!$C$70,"")</f>
      </c>
      <c r="D2608" s="15"/>
      <c r="E2608" s="15"/>
      <c r="F2608" s="11">
        <f t="shared" si="21"/>
      </c>
      <c r="G2608" s="22" cm="1">
        <f t="array" ref="G2608">IF(AND(Inputs!$C$60,Inputs!$C$61),INDEX(Utility_Rates!$C$29:$F$52,HOUR(C2608)+Inputs!$C$69,MATCH(INDEX(Utility_Rates!$K$6:$K$17,MONTH(C2608))&amp;IF(WEEKDAY(C2608,Inputs!$C$76)&lt;=Inputs!$C$74," weekday"," weekend"),Utility_Rates!$C$28:$F$28,Inputs!$C$68)),"")</f>
      </c>
      <c r="H2608" s="34"/>
      <c r="I2608" s="42">
        <f>IF(AND(ISNUMBER(D2608),ISNUMBER(H2608)),D2608*H2608*Inputs!$C$69,"")</f>
      </c>
      <c r="J2608" s="42">
        <f>IF(AND(ISNUMBER(F2608),ISNUMBER(H2608),F2608&gt;=Inputs!$C$68),F2608*H2608*Inputs!$C$69,"")</f>
      </c>
    </row>
    <row r="2609" spans="2:10" ht="15" customHeight="1" x14ac:dyDescent="0.2">
      <c r="B2609" s="39">
        <f t="shared" si="20"/>
      </c>
      <c r="C2609" s="40">
        <f>IF(Inputs!$C$60,Inputs!$C$11+(B2609-Inputs!$C$69)/Inputs!$C$70,"")</f>
      </c>
      <c r="D2609" s="15"/>
      <c r="E2609" s="15"/>
      <c r="F2609" s="11">
        <f t="shared" si="21"/>
      </c>
      <c r="G2609" s="22" cm="1">
        <f t="array" ref="G2609">IF(AND(Inputs!$C$60,Inputs!$C$61),INDEX(Utility_Rates!$C$29:$F$52,HOUR(C2609)+Inputs!$C$69,MATCH(INDEX(Utility_Rates!$K$6:$K$17,MONTH(C2609))&amp;IF(WEEKDAY(C2609,Inputs!$C$76)&lt;=Inputs!$C$74," weekday"," weekend"),Utility_Rates!$C$28:$F$28,Inputs!$C$68)),"")</f>
      </c>
      <c r="H2609" s="34"/>
      <c r="I2609" s="42">
        <f>IF(AND(ISNUMBER(D2609),ISNUMBER(H2609)),D2609*H2609*Inputs!$C$69,"")</f>
      </c>
      <c r="J2609" s="42">
        <f>IF(AND(ISNUMBER(F2609),ISNUMBER(H2609),F2609&gt;=Inputs!$C$68),F2609*H2609*Inputs!$C$69,"")</f>
      </c>
    </row>
    <row r="2610" spans="2:10" ht="15" customHeight="1" x14ac:dyDescent="0.2">
      <c r="B2610" s="39">
        <f t="shared" si="20"/>
      </c>
      <c r="C2610" s="40">
        <f>IF(Inputs!$C$60,Inputs!$C$11+(B2610-Inputs!$C$69)/Inputs!$C$70,"")</f>
      </c>
      <c r="D2610" s="15"/>
      <c r="E2610" s="15"/>
      <c r="F2610" s="11">
        <f t="shared" si="21"/>
      </c>
      <c r="G2610" s="22" cm="1">
        <f t="array" ref="G2610">IF(AND(Inputs!$C$60,Inputs!$C$61),INDEX(Utility_Rates!$C$29:$F$52,HOUR(C2610)+Inputs!$C$69,MATCH(INDEX(Utility_Rates!$K$6:$K$17,MONTH(C2610))&amp;IF(WEEKDAY(C2610,Inputs!$C$76)&lt;=Inputs!$C$74," weekday"," weekend"),Utility_Rates!$C$28:$F$28,Inputs!$C$68)),"")</f>
      </c>
      <c r="H2610" s="34"/>
      <c r="I2610" s="42">
        <f>IF(AND(ISNUMBER(D2610),ISNUMBER(H2610)),D2610*H2610*Inputs!$C$69,"")</f>
      </c>
      <c r="J2610" s="42">
        <f>IF(AND(ISNUMBER(F2610),ISNUMBER(H2610),F2610&gt;=Inputs!$C$68),F2610*H2610*Inputs!$C$69,"")</f>
      </c>
    </row>
    <row r="2611" spans="2:10" ht="15" customHeight="1" x14ac:dyDescent="0.2">
      <c r="B2611" s="39">
        <f t="shared" si="20"/>
      </c>
      <c r="C2611" s="40">
        <f>IF(Inputs!$C$60,Inputs!$C$11+(B2611-Inputs!$C$69)/Inputs!$C$70,"")</f>
      </c>
      <c r="D2611" s="15"/>
      <c r="E2611" s="15"/>
      <c r="F2611" s="11">
        <f t="shared" si="21"/>
      </c>
      <c r="G2611" s="22" cm="1">
        <f t="array" ref="G2611">IF(AND(Inputs!$C$60,Inputs!$C$61),INDEX(Utility_Rates!$C$29:$F$52,HOUR(C2611)+Inputs!$C$69,MATCH(INDEX(Utility_Rates!$K$6:$K$17,MONTH(C2611))&amp;IF(WEEKDAY(C2611,Inputs!$C$76)&lt;=Inputs!$C$74," weekday"," weekend"),Utility_Rates!$C$28:$F$28,Inputs!$C$68)),"")</f>
      </c>
      <c r="H2611" s="34"/>
      <c r="I2611" s="42">
        <f>IF(AND(ISNUMBER(D2611),ISNUMBER(H2611)),D2611*H2611*Inputs!$C$69,"")</f>
      </c>
      <c r="J2611" s="42">
        <f>IF(AND(ISNUMBER(F2611),ISNUMBER(H2611),F2611&gt;=Inputs!$C$68),F2611*H2611*Inputs!$C$69,"")</f>
      </c>
    </row>
    <row r="2612" spans="2:10" ht="15" customHeight="1" x14ac:dyDescent="0.2">
      <c r="B2612" s="39">
        <f t="shared" si="20"/>
      </c>
      <c r="C2612" s="40">
        <f>IF(Inputs!$C$60,Inputs!$C$11+(B2612-Inputs!$C$69)/Inputs!$C$70,"")</f>
      </c>
      <c r="D2612" s="15"/>
      <c r="E2612" s="15"/>
      <c r="F2612" s="11">
        <f t="shared" si="21"/>
      </c>
      <c r="G2612" s="22" cm="1">
        <f t="array" ref="G2612">IF(AND(Inputs!$C$60,Inputs!$C$61),INDEX(Utility_Rates!$C$29:$F$52,HOUR(C2612)+Inputs!$C$69,MATCH(INDEX(Utility_Rates!$K$6:$K$17,MONTH(C2612))&amp;IF(WEEKDAY(C2612,Inputs!$C$76)&lt;=Inputs!$C$74," weekday"," weekend"),Utility_Rates!$C$28:$F$28,Inputs!$C$68)),"")</f>
      </c>
      <c r="H2612" s="34"/>
      <c r="I2612" s="42">
        <f>IF(AND(ISNUMBER(D2612),ISNUMBER(H2612)),D2612*H2612*Inputs!$C$69,"")</f>
      </c>
      <c r="J2612" s="42">
        <f>IF(AND(ISNUMBER(F2612),ISNUMBER(H2612),F2612&gt;=Inputs!$C$68),F2612*H2612*Inputs!$C$69,"")</f>
      </c>
    </row>
    <row r="2613" spans="2:10" ht="15" customHeight="1" x14ac:dyDescent="0.2">
      <c r="B2613" s="39">
        <f t="shared" si="20"/>
      </c>
      <c r="C2613" s="40">
        <f>IF(Inputs!$C$60,Inputs!$C$11+(B2613-Inputs!$C$69)/Inputs!$C$70,"")</f>
      </c>
      <c r="D2613" s="15"/>
      <c r="E2613" s="15"/>
      <c r="F2613" s="11">
        <f t="shared" si="21"/>
      </c>
      <c r="G2613" s="22" cm="1">
        <f t="array" ref="G2613">IF(AND(Inputs!$C$60,Inputs!$C$61),INDEX(Utility_Rates!$C$29:$F$52,HOUR(C2613)+Inputs!$C$69,MATCH(INDEX(Utility_Rates!$K$6:$K$17,MONTH(C2613))&amp;IF(WEEKDAY(C2613,Inputs!$C$76)&lt;=Inputs!$C$74," weekday"," weekend"),Utility_Rates!$C$28:$F$28,Inputs!$C$68)),"")</f>
      </c>
      <c r="H2613" s="34"/>
      <c r="I2613" s="42">
        <f>IF(AND(ISNUMBER(D2613),ISNUMBER(H2613)),D2613*H2613*Inputs!$C$69,"")</f>
      </c>
      <c r="J2613" s="42">
        <f>IF(AND(ISNUMBER(F2613),ISNUMBER(H2613),F2613&gt;=Inputs!$C$68),F2613*H2613*Inputs!$C$69,"")</f>
      </c>
    </row>
    <row r="2614" spans="2:10" ht="15" customHeight="1" x14ac:dyDescent="0.2">
      <c r="B2614" s="39">
        <f t="shared" si="20"/>
      </c>
      <c r="C2614" s="40">
        <f>IF(Inputs!$C$60,Inputs!$C$11+(B2614-Inputs!$C$69)/Inputs!$C$70,"")</f>
      </c>
      <c r="D2614" s="15"/>
      <c r="E2614" s="15"/>
      <c r="F2614" s="11">
        <f t="shared" si="21"/>
      </c>
      <c r="G2614" s="22" cm="1">
        <f t="array" ref="G2614">IF(AND(Inputs!$C$60,Inputs!$C$61),INDEX(Utility_Rates!$C$29:$F$52,HOUR(C2614)+Inputs!$C$69,MATCH(INDEX(Utility_Rates!$K$6:$K$17,MONTH(C2614))&amp;IF(WEEKDAY(C2614,Inputs!$C$76)&lt;=Inputs!$C$74," weekday"," weekend"),Utility_Rates!$C$28:$F$28,Inputs!$C$68)),"")</f>
      </c>
      <c r="H2614" s="34"/>
      <c r="I2614" s="42">
        <f>IF(AND(ISNUMBER(D2614),ISNUMBER(H2614)),D2614*H2614*Inputs!$C$69,"")</f>
      </c>
      <c r="J2614" s="42">
        <f>IF(AND(ISNUMBER(F2614),ISNUMBER(H2614),F2614&gt;=Inputs!$C$68),F2614*H2614*Inputs!$C$69,"")</f>
      </c>
    </row>
    <row r="2615" spans="2:10" ht="15" customHeight="1" x14ac:dyDescent="0.2">
      <c r="B2615" s="39">
        <f t="shared" si="20"/>
      </c>
      <c r="C2615" s="40">
        <f>IF(Inputs!$C$60,Inputs!$C$11+(B2615-Inputs!$C$69)/Inputs!$C$70,"")</f>
      </c>
      <c r="D2615" s="15"/>
      <c r="E2615" s="15"/>
      <c r="F2615" s="11">
        <f t="shared" si="21"/>
      </c>
      <c r="G2615" s="22" cm="1">
        <f t="array" ref="G2615">IF(AND(Inputs!$C$60,Inputs!$C$61),INDEX(Utility_Rates!$C$29:$F$52,HOUR(C2615)+Inputs!$C$69,MATCH(INDEX(Utility_Rates!$K$6:$K$17,MONTH(C2615))&amp;IF(WEEKDAY(C2615,Inputs!$C$76)&lt;=Inputs!$C$74," weekday"," weekend"),Utility_Rates!$C$28:$F$28,Inputs!$C$68)),"")</f>
      </c>
      <c r="H2615" s="34"/>
      <c r="I2615" s="42">
        <f>IF(AND(ISNUMBER(D2615),ISNUMBER(H2615)),D2615*H2615*Inputs!$C$69,"")</f>
      </c>
      <c r="J2615" s="42">
        <f>IF(AND(ISNUMBER(F2615),ISNUMBER(H2615),F2615&gt;=Inputs!$C$68),F2615*H2615*Inputs!$C$69,"")</f>
      </c>
    </row>
    <row r="2616" spans="2:10" ht="15" customHeight="1" x14ac:dyDescent="0.2">
      <c r="B2616" s="39">
        <f t="shared" si="20"/>
      </c>
      <c r="C2616" s="40">
        <f>IF(Inputs!$C$60,Inputs!$C$11+(B2616-Inputs!$C$69)/Inputs!$C$70,"")</f>
      </c>
      <c r="D2616" s="15"/>
      <c r="E2616" s="15"/>
      <c r="F2616" s="11">
        <f t="shared" si="21"/>
      </c>
      <c r="G2616" s="22" cm="1">
        <f t="array" ref="G2616">IF(AND(Inputs!$C$60,Inputs!$C$61),INDEX(Utility_Rates!$C$29:$F$52,HOUR(C2616)+Inputs!$C$69,MATCH(INDEX(Utility_Rates!$K$6:$K$17,MONTH(C2616))&amp;IF(WEEKDAY(C2616,Inputs!$C$76)&lt;=Inputs!$C$74," weekday"," weekend"),Utility_Rates!$C$28:$F$28,Inputs!$C$68)),"")</f>
      </c>
      <c r="H2616" s="34"/>
      <c r="I2616" s="42">
        <f>IF(AND(ISNUMBER(D2616),ISNUMBER(H2616)),D2616*H2616*Inputs!$C$69,"")</f>
      </c>
      <c r="J2616" s="42">
        <f>IF(AND(ISNUMBER(F2616),ISNUMBER(H2616),F2616&gt;=Inputs!$C$68),F2616*H2616*Inputs!$C$69,"")</f>
      </c>
    </row>
    <row r="2617" spans="2:10" ht="15" customHeight="1" x14ac:dyDescent="0.2">
      <c r="B2617" s="39">
        <f t="shared" si="20"/>
      </c>
      <c r="C2617" s="40">
        <f>IF(Inputs!$C$60,Inputs!$C$11+(B2617-Inputs!$C$69)/Inputs!$C$70,"")</f>
      </c>
      <c r="D2617" s="15"/>
      <c r="E2617" s="15"/>
      <c r="F2617" s="11">
        <f t="shared" si="21"/>
      </c>
      <c r="G2617" s="22" cm="1">
        <f t="array" ref="G2617">IF(AND(Inputs!$C$60,Inputs!$C$61),INDEX(Utility_Rates!$C$29:$F$52,HOUR(C2617)+Inputs!$C$69,MATCH(INDEX(Utility_Rates!$K$6:$K$17,MONTH(C2617))&amp;IF(WEEKDAY(C2617,Inputs!$C$76)&lt;=Inputs!$C$74," weekday"," weekend"),Utility_Rates!$C$28:$F$28,Inputs!$C$68)),"")</f>
      </c>
      <c r="H2617" s="34"/>
      <c r="I2617" s="42">
        <f>IF(AND(ISNUMBER(D2617),ISNUMBER(H2617)),D2617*H2617*Inputs!$C$69,"")</f>
      </c>
      <c r="J2617" s="42">
        <f>IF(AND(ISNUMBER(F2617),ISNUMBER(H2617),F2617&gt;=Inputs!$C$68),F2617*H2617*Inputs!$C$69,"")</f>
      </c>
    </row>
    <row r="2618" spans="2:10" ht="15" customHeight="1" x14ac:dyDescent="0.2">
      <c r="B2618" s="39">
        <f t="shared" si="20"/>
      </c>
      <c r="C2618" s="40">
        <f>IF(Inputs!$C$60,Inputs!$C$11+(B2618-Inputs!$C$69)/Inputs!$C$70,"")</f>
      </c>
      <c r="D2618" s="15"/>
      <c r="E2618" s="15"/>
      <c r="F2618" s="11">
        <f t="shared" si="21"/>
      </c>
      <c r="G2618" s="22" cm="1">
        <f t="array" ref="G2618">IF(AND(Inputs!$C$60,Inputs!$C$61),INDEX(Utility_Rates!$C$29:$F$52,HOUR(C2618)+Inputs!$C$69,MATCH(INDEX(Utility_Rates!$K$6:$K$17,MONTH(C2618))&amp;IF(WEEKDAY(C2618,Inputs!$C$76)&lt;=Inputs!$C$74," weekday"," weekend"),Utility_Rates!$C$28:$F$28,Inputs!$C$68)),"")</f>
      </c>
      <c r="H2618" s="34"/>
      <c r="I2618" s="42">
        <f>IF(AND(ISNUMBER(D2618),ISNUMBER(H2618)),D2618*H2618*Inputs!$C$69,"")</f>
      </c>
      <c r="J2618" s="42">
        <f>IF(AND(ISNUMBER(F2618),ISNUMBER(H2618),F2618&gt;=Inputs!$C$68),F2618*H2618*Inputs!$C$69,"")</f>
      </c>
    </row>
    <row r="2619" spans="2:10" ht="15" customHeight="1" x14ac:dyDescent="0.2">
      <c r="B2619" s="39">
        <f t="shared" si="20"/>
      </c>
      <c r="C2619" s="40">
        <f>IF(Inputs!$C$60,Inputs!$C$11+(B2619-Inputs!$C$69)/Inputs!$C$70,"")</f>
      </c>
      <c r="D2619" s="15"/>
      <c r="E2619" s="15"/>
      <c r="F2619" s="11">
        <f t="shared" si="21"/>
      </c>
      <c r="G2619" s="22" cm="1">
        <f t="array" ref="G2619">IF(AND(Inputs!$C$60,Inputs!$C$61),INDEX(Utility_Rates!$C$29:$F$52,HOUR(C2619)+Inputs!$C$69,MATCH(INDEX(Utility_Rates!$K$6:$K$17,MONTH(C2619))&amp;IF(WEEKDAY(C2619,Inputs!$C$76)&lt;=Inputs!$C$74," weekday"," weekend"),Utility_Rates!$C$28:$F$28,Inputs!$C$68)),"")</f>
      </c>
      <c r="H2619" s="34"/>
      <c r="I2619" s="42">
        <f>IF(AND(ISNUMBER(D2619),ISNUMBER(H2619)),D2619*H2619*Inputs!$C$69,"")</f>
      </c>
      <c r="J2619" s="42">
        <f>IF(AND(ISNUMBER(F2619),ISNUMBER(H2619),F2619&gt;=Inputs!$C$68),F2619*H2619*Inputs!$C$69,"")</f>
      </c>
    </row>
    <row r="2620" spans="2:10" ht="15" customHeight="1" x14ac:dyDescent="0.2">
      <c r="B2620" s="39">
        <f t="shared" si="20"/>
      </c>
      <c r="C2620" s="40">
        <f>IF(Inputs!$C$60,Inputs!$C$11+(B2620-Inputs!$C$69)/Inputs!$C$70,"")</f>
      </c>
      <c r="D2620" s="15"/>
      <c r="E2620" s="15"/>
      <c r="F2620" s="11">
        <f t="shared" si="21"/>
      </c>
      <c r="G2620" s="22" cm="1">
        <f t="array" ref="G2620">IF(AND(Inputs!$C$60,Inputs!$C$61),INDEX(Utility_Rates!$C$29:$F$52,HOUR(C2620)+Inputs!$C$69,MATCH(INDEX(Utility_Rates!$K$6:$K$17,MONTH(C2620))&amp;IF(WEEKDAY(C2620,Inputs!$C$76)&lt;=Inputs!$C$74," weekday"," weekend"),Utility_Rates!$C$28:$F$28,Inputs!$C$68)),"")</f>
      </c>
      <c r="H2620" s="34"/>
      <c r="I2620" s="42">
        <f>IF(AND(ISNUMBER(D2620),ISNUMBER(H2620)),D2620*H2620*Inputs!$C$69,"")</f>
      </c>
      <c r="J2620" s="42">
        <f>IF(AND(ISNUMBER(F2620),ISNUMBER(H2620),F2620&gt;=Inputs!$C$68),F2620*H2620*Inputs!$C$69,"")</f>
      </c>
    </row>
    <row r="2621" spans="2:10" ht="15" customHeight="1" x14ac:dyDescent="0.2">
      <c r="B2621" s="39">
        <f t="shared" si="20"/>
      </c>
      <c r="C2621" s="40">
        <f>IF(Inputs!$C$60,Inputs!$C$11+(B2621-Inputs!$C$69)/Inputs!$C$70,"")</f>
      </c>
      <c r="D2621" s="15"/>
      <c r="E2621" s="15"/>
      <c r="F2621" s="11">
        <f t="shared" si="21"/>
      </c>
      <c r="G2621" s="22" cm="1">
        <f t="array" ref="G2621">IF(AND(Inputs!$C$60,Inputs!$C$61),INDEX(Utility_Rates!$C$29:$F$52,HOUR(C2621)+Inputs!$C$69,MATCH(INDEX(Utility_Rates!$K$6:$K$17,MONTH(C2621))&amp;IF(WEEKDAY(C2621,Inputs!$C$76)&lt;=Inputs!$C$74," weekday"," weekend"),Utility_Rates!$C$28:$F$28,Inputs!$C$68)),"")</f>
      </c>
      <c r="H2621" s="34"/>
      <c r="I2621" s="42">
        <f>IF(AND(ISNUMBER(D2621),ISNUMBER(H2621)),D2621*H2621*Inputs!$C$69,"")</f>
      </c>
      <c r="J2621" s="42">
        <f>IF(AND(ISNUMBER(F2621),ISNUMBER(H2621),F2621&gt;=Inputs!$C$68),F2621*H2621*Inputs!$C$69,"")</f>
      </c>
    </row>
    <row r="2622" spans="2:10" ht="15" customHeight="1" x14ac:dyDescent="0.2">
      <c r="B2622" s="39">
        <f t="shared" si="20"/>
      </c>
      <c r="C2622" s="40">
        <f>IF(Inputs!$C$60,Inputs!$C$11+(B2622-Inputs!$C$69)/Inputs!$C$70,"")</f>
      </c>
      <c r="D2622" s="15"/>
      <c r="E2622" s="15"/>
      <c r="F2622" s="11">
        <f t="shared" si="21"/>
      </c>
      <c r="G2622" s="22" cm="1">
        <f t="array" ref="G2622">IF(AND(Inputs!$C$60,Inputs!$C$61),INDEX(Utility_Rates!$C$29:$F$52,HOUR(C2622)+Inputs!$C$69,MATCH(INDEX(Utility_Rates!$K$6:$K$17,MONTH(C2622))&amp;IF(WEEKDAY(C2622,Inputs!$C$76)&lt;=Inputs!$C$74," weekday"," weekend"),Utility_Rates!$C$28:$F$28,Inputs!$C$68)),"")</f>
      </c>
      <c r="H2622" s="34"/>
      <c r="I2622" s="42">
        <f>IF(AND(ISNUMBER(D2622),ISNUMBER(H2622)),D2622*H2622*Inputs!$C$69,"")</f>
      </c>
      <c r="J2622" s="42">
        <f>IF(AND(ISNUMBER(F2622),ISNUMBER(H2622),F2622&gt;=Inputs!$C$68),F2622*H2622*Inputs!$C$69,"")</f>
      </c>
    </row>
    <row r="2623" spans="2:10" ht="15" customHeight="1" x14ac:dyDescent="0.2">
      <c r="B2623" s="39">
        <f t="shared" si="20"/>
      </c>
      <c r="C2623" s="40">
        <f>IF(Inputs!$C$60,Inputs!$C$11+(B2623-Inputs!$C$69)/Inputs!$C$70,"")</f>
      </c>
      <c r="D2623" s="15"/>
      <c r="E2623" s="15"/>
      <c r="F2623" s="11">
        <f t="shared" si="21"/>
      </c>
      <c r="G2623" s="22" cm="1">
        <f t="array" ref="G2623">IF(AND(Inputs!$C$60,Inputs!$C$61),INDEX(Utility_Rates!$C$29:$F$52,HOUR(C2623)+Inputs!$C$69,MATCH(INDEX(Utility_Rates!$K$6:$K$17,MONTH(C2623))&amp;IF(WEEKDAY(C2623,Inputs!$C$76)&lt;=Inputs!$C$74," weekday"," weekend"),Utility_Rates!$C$28:$F$28,Inputs!$C$68)),"")</f>
      </c>
      <c r="H2623" s="34"/>
      <c r="I2623" s="42">
        <f>IF(AND(ISNUMBER(D2623),ISNUMBER(H2623)),D2623*H2623*Inputs!$C$69,"")</f>
      </c>
      <c r="J2623" s="42">
        <f>IF(AND(ISNUMBER(F2623),ISNUMBER(H2623),F2623&gt;=Inputs!$C$68),F2623*H2623*Inputs!$C$69,"")</f>
      </c>
    </row>
    <row r="2624" spans="2:10" ht="15" customHeight="1" x14ac:dyDescent="0.2">
      <c r="B2624" s="39">
        <f t="shared" si="20"/>
      </c>
      <c r="C2624" s="40">
        <f>IF(Inputs!$C$60,Inputs!$C$11+(B2624-Inputs!$C$69)/Inputs!$C$70,"")</f>
      </c>
      <c r="D2624" s="15"/>
      <c r="E2624" s="15"/>
      <c r="F2624" s="11">
        <f t="shared" si="21"/>
      </c>
      <c r="G2624" s="22" cm="1">
        <f t="array" ref="G2624">IF(AND(Inputs!$C$60,Inputs!$C$61),INDEX(Utility_Rates!$C$29:$F$52,HOUR(C2624)+Inputs!$C$69,MATCH(INDEX(Utility_Rates!$K$6:$K$17,MONTH(C2624))&amp;IF(WEEKDAY(C2624,Inputs!$C$76)&lt;=Inputs!$C$74," weekday"," weekend"),Utility_Rates!$C$28:$F$28,Inputs!$C$68)),"")</f>
      </c>
      <c r="H2624" s="34"/>
      <c r="I2624" s="42">
        <f>IF(AND(ISNUMBER(D2624),ISNUMBER(H2624)),D2624*H2624*Inputs!$C$69,"")</f>
      </c>
      <c r="J2624" s="42">
        <f>IF(AND(ISNUMBER(F2624),ISNUMBER(H2624),F2624&gt;=Inputs!$C$68),F2624*H2624*Inputs!$C$69,"")</f>
      </c>
    </row>
    <row r="2625" spans="2:10" ht="15" customHeight="1" x14ac:dyDescent="0.2">
      <c r="B2625" s="39">
        <f t="shared" si="20"/>
      </c>
      <c r="C2625" s="40">
        <f>IF(Inputs!$C$60,Inputs!$C$11+(B2625-Inputs!$C$69)/Inputs!$C$70,"")</f>
      </c>
      <c r="D2625" s="15"/>
      <c r="E2625" s="15"/>
      <c r="F2625" s="11">
        <f t="shared" si="21"/>
      </c>
      <c r="G2625" s="22" cm="1">
        <f t="array" ref="G2625">IF(AND(Inputs!$C$60,Inputs!$C$61),INDEX(Utility_Rates!$C$29:$F$52,HOUR(C2625)+Inputs!$C$69,MATCH(INDEX(Utility_Rates!$K$6:$K$17,MONTH(C2625))&amp;IF(WEEKDAY(C2625,Inputs!$C$76)&lt;=Inputs!$C$74," weekday"," weekend"),Utility_Rates!$C$28:$F$28,Inputs!$C$68)),"")</f>
      </c>
      <c r="H2625" s="34"/>
      <c r="I2625" s="42">
        <f>IF(AND(ISNUMBER(D2625),ISNUMBER(H2625)),D2625*H2625*Inputs!$C$69,"")</f>
      </c>
      <c r="J2625" s="42">
        <f>IF(AND(ISNUMBER(F2625),ISNUMBER(H2625),F2625&gt;=Inputs!$C$68),F2625*H2625*Inputs!$C$69,"")</f>
      </c>
    </row>
    <row r="2626" spans="2:10" ht="15" customHeight="1" x14ac:dyDescent="0.2">
      <c r="B2626" s="39">
        <f t="shared" si="20"/>
      </c>
      <c r="C2626" s="40">
        <f>IF(Inputs!$C$60,Inputs!$C$11+(B2626-Inputs!$C$69)/Inputs!$C$70,"")</f>
      </c>
      <c r="D2626" s="15"/>
      <c r="E2626" s="15"/>
      <c r="F2626" s="11">
        <f t="shared" si="21"/>
      </c>
      <c r="G2626" s="22" cm="1">
        <f t="array" ref="G2626">IF(AND(Inputs!$C$60,Inputs!$C$61),INDEX(Utility_Rates!$C$29:$F$52,HOUR(C2626)+Inputs!$C$69,MATCH(INDEX(Utility_Rates!$K$6:$K$17,MONTH(C2626))&amp;IF(WEEKDAY(C2626,Inputs!$C$76)&lt;=Inputs!$C$74," weekday"," weekend"),Utility_Rates!$C$28:$F$28,Inputs!$C$68)),"")</f>
      </c>
      <c r="H2626" s="34"/>
      <c r="I2626" s="42">
        <f>IF(AND(ISNUMBER(D2626),ISNUMBER(H2626)),D2626*H2626*Inputs!$C$69,"")</f>
      </c>
      <c r="J2626" s="42">
        <f>IF(AND(ISNUMBER(F2626),ISNUMBER(H2626),F2626&gt;=Inputs!$C$68),F2626*H2626*Inputs!$C$69,"")</f>
      </c>
    </row>
    <row r="2627" spans="2:10" ht="15" customHeight="1" x14ac:dyDescent="0.2">
      <c r="B2627" s="39">
        <f t="shared" si="20"/>
      </c>
      <c r="C2627" s="40">
        <f>IF(Inputs!$C$60,Inputs!$C$11+(B2627-Inputs!$C$69)/Inputs!$C$70,"")</f>
      </c>
      <c r="D2627" s="15"/>
      <c r="E2627" s="15"/>
      <c r="F2627" s="11">
        <f t="shared" si="21"/>
      </c>
      <c r="G2627" s="22" cm="1">
        <f t="array" ref="G2627">IF(AND(Inputs!$C$60,Inputs!$C$61),INDEX(Utility_Rates!$C$29:$F$52,HOUR(C2627)+Inputs!$C$69,MATCH(INDEX(Utility_Rates!$K$6:$K$17,MONTH(C2627))&amp;IF(WEEKDAY(C2627,Inputs!$C$76)&lt;=Inputs!$C$74," weekday"," weekend"),Utility_Rates!$C$28:$F$28,Inputs!$C$68)),"")</f>
      </c>
      <c r="H2627" s="34"/>
      <c r="I2627" s="42">
        <f>IF(AND(ISNUMBER(D2627),ISNUMBER(H2627)),D2627*H2627*Inputs!$C$69,"")</f>
      </c>
      <c r="J2627" s="42">
        <f>IF(AND(ISNUMBER(F2627),ISNUMBER(H2627),F2627&gt;=Inputs!$C$68),F2627*H2627*Inputs!$C$69,"")</f>
      </c>
    </row>
    <row r="2628" spans="2:10" ht="15" customHeight="1" x14ac:dyDescent="0.2">
      <c r="B2628" s="39">
        <f t="shared" si="20"/>
      </c>
      <c r="C2628" s="40">
        <f>IF(Inputs!$C$60,Inputs!$C$11+(B2628-Inputs!$C$69)/Inputs!$C$70,"")</f>
      </c>
      <c r="D2628" s="15"/>
      <c r="E2628" s="15"/>
      <c r="F2628" s="11">
        <f t="shared" si="21"/>
      </c>
      <c r="G2628" s="22" cm="1">
        <f t="array" ref="G2628">IF(AND(Inputs!$C$60,Inputs!$C$61),INDEX(Utility_Rates!$C$29:$F$52,HOUR(C2628)+Inputs!$C$69,MATCH(INDEX(Utility_Rates!$K$6:$K$17,MONTH(C2628))&amp;IF(WEEKDAY(C2628,Inputs!$C$76)&lt;=Inputs!$C$74," weekday"," weekend"),Utility_Rates!$C$28:$F$28,Inputs!$C$68)),"")</f>
      </c>
      <c r="H2628" s="34"/>
      <c r="I2628" s="42">
        <f>IF(AND(ISNUMBER(D2628),ISNUMBER(H2628)),D2628*H2628*Inputs!$C$69,"")</f>
      </c>
      <c r="J2628" s="42">
        <f>IF(AND(ISNUMBER(F2628),ISNUMBER(H2628),F2628&gt;=Inputs!$C$68),F2628*H2628*Inputs!$C$69,"")</f>
      </c>
    </row>
    <row r="2629" spans="2:10" ht="15" customHeight="1" x14ac:dyDescent="0.2">
      <c r="B2629" s="39">
        <f t="shared" si="20"/>
      </c>
      <c r="C2629" s="40">
        <f>IF(Inputs!$C$60,Inputs!$C$11+(B2629-Inputs!$C$69)/Inputs!$C$70,"")</f>
      </c>
      <c r="D2629" s="15"/>
      <c r="E2629" s="15"/>
      <c r="F2629" s="11">
        <f t="shared" si="21"/>
      </c>
      <c r="G2629" s="22" cm="1">
        <f t="array" ref="G2629">IF(AND(Inputs!$C$60,Inputs!$C$61),INDEX(Utility_Rates!$C$29:$F$52,HOUR(C2629)+Inputs!$C$69,MATCH(INDEX(Utility_Rates!$K$6:$K$17,MONTH(C2629))&amp;IF(WEEKDAY(C2629,Inputs!$C$76)&lt;=Inputs!$C$74," weekday"," weekend"),Utility_Rates!$C$28:$F$28,Inputs!$C$68)),"")</f>
      </c>
      <c r="H2629" s="34"/>
      <c r="I2629" s="42">
        <f>IF(AND(ISNUMBER(D2629),ISNUMBER(H2629)),D2629*H2629*Inputs!$C$69,"")</f>
      </c>
      <c r="J2629" s="42">
        <f>IF(AND(ISNUMBER(F2629),ISNUMBER(H2629),F2629&gt;=Inputs!$C$68),F2629*H2629*Inputs!$C$69,"")</f>
      </c>
    </row>
    <row r="2630" spans="2:10" ht="15" customHeight="1" x14ac:dyDescent="0.2">
      <c r="B2630" s="39">
        <f t="shared" si="20"/>
      </c>
      <c r="C2630" s="40">
        <f>IF(Inputs!$C$60,Inputs!$C$11+(B2630-Inputs!$C$69)/Inputs!$C$70,"")</f>
      </c>
      <c r="D2630" s="15"/>
      <c r="E2630" s="15"/>
      <c r="F2630" s="11">
        <f t="shared" si="21"/>
      </c>
      <c r="G2630" s="22" cm="1">
        <f t="array" ref="G2630">IF(AND(Inputs!$C$60,Inputs!$C$61),INDEX(Utility_Rates!$C$29:$F$52,HOUR(C2630)+Inputs!$C$69,MATCH(INDEX(Utility_Rates!$K$6:$K$17,MONTH(C2630))&amp;IF(WEEKDAY(C2630,Inputs!$C$76)&lt;=Inputs!$C$74," weekday"," weekend"),Utility_Rates!$C$28:$F$28,Inputs!$C$68)),"")</f>
      </c>
      <c r="H2630" s="34"/>
      <c r="I2630" s="42">
        <f>IF(AND(ISNUMBER(D2630),ISNUMBER(H2630)),D2630*H2630*Inputs!$C$69,"")</f>
      </c>
      <c r="J2630" s="42">
        <f>IF(AND(ISNUMBER(F2630),ISNUMBER(H2630),F2630&gt;=Inputs!$C$68),F2630*H2630*Inputs!$C$69,"")</f>
      </c>
    </row>
    <row r="2631" spans="2:10" ht="15" customHeight="1" x14ac:dyDescent="0.2">
      <c r="B2631" s="39">
        <f t="shared" si="20"/>
      </c>
      <c r="C2631" s="40">
        <f>IF(Inputs!$C$60,Inputs!$C$11+(B2631-Inputs!$C$69)/Inputs!$C$70,"")</f>
      </c>
      <c r="D2631" s="15"/>
      <c r="E2631" s="15"/>
      <c r="F2631" s="11">
        <f t="shared" si="21"/>
      </c>
      <c r="G2631" s="22" cm="1">
        <f t="array" ref="G2631">IF(AND(Inputs!$C$60,Inputs!$C$61),INDEX(Utility_Rates!$C$29:$F$52,HOUR(C2631)+Inputs!$C$69,MATCH(INDEX(Utility_Rates!$K$6:$K$17,MONTH(C2631))&amp;IF(WEEKDAY(C2631,Inputs!$C$76)&lt;=Inputs!$C$74," weekday"," weekend"),Utility_Rates!$C$28:$F$28,Inputs!$C$68)),"")</f>
      </c>
      <c r="H2631" s="34"/>
      <c r="I2631" s="42">
        <f>IF(AND(ISNUMBER(D2631),ISNUMBER(H2631)),D2631*H2631*Inputs!$C$69,"")</f>
      </c>
      <c r="J2631" s="42">
        <f>IF(AND(ISNUMBER(F2631),ISNUMBER(H2631),F2631&gt;=Inputs!$C$68),F2631*H2631*Inputs!$C$69,"")</f>
      </c>
    </row>
    <row r="2632" spans="2:10" ht="15" customHeight="1" x14ac:dyDescent="0.2">
      <c r="B2632" s="39">
        <f t="shared" si="20"/>
      </c>
      <c r="C2632" s="40">
        <f>IF(Inputs!$C$60,Inputs!$C$11+(B2632-Inputs!$C$69)/Inputs!$C$70,"")</f>
      </c>
      <c r="D2632" s="15"/>
      <c r="E2632" s="15"/>
      <c r="F2632" s="11">
        <f t="shared" si="21"/>
      </c>
      <c r="G2632" s="22" cm="1">
        <f t="array" ref="G2632">IF(AND(Inputs!$C$60,Inputs!$C$61),INDEX(Utility_Rates!$C$29:$F$52,HOUR(C2632)+Inputs!$C$69,MATCH(INDEX(Utility_Rates!$K$6:$K$17,MONTH(C2632))&amp;IF(WEEKDAY(C2632,Inputs!$C$76)&lt;=Inputs!$C$74," weekday"," weekend"),Utility_Rates!$C$28:$F$28,Inputs!$C$68)),"")</f>
      </c>
      <c r="H2632" s="34"/>
      <c r="I2632" s="42">
        <f>IF(AND(ISNUMBER(D2632),ISNUMBER(H2632)),D2632*H2632*Inputs!$C$69,"")</f>
      </c>
      <c r="J2632" s="42">
        <f>IF(AND(ISNUMBER(F2632),ISNUMBER(H2632),F2632&gt;=Inputs!$C$68),F2632*H2632*Inputs!$C$69,"")</f>
      </c>
    </row>
    <row r="2633" spans="2:10" ht="15" customHeight="1" x14ac:dyDescent="0.2">
      <c r="B2633" s="39">
        <f t="shared" si="20"/>
      </c>
      <c r="C2633" s="40">
        <f>IF(Inputs!$C$60,Inputs!$C$11+(B2633-Inputs!$C$69)/Inputs!$C$70,"")</f>
      </c>
      <c r="D2633" s="15"/>
      <c r="E2633" s="15"/>
      <c r="F2633" s="11">
        <f t="shared" si="21"/>
      </c>
      <c r="G2633" s="22" cm="1">
        <f t="array" ref="G2633">IF(AND(Inputs!$C$60,Inputs!$C$61),INDEX(Utility_Rates!$C$29:$F$52,HOUR(C2633)+Inputs!$C$69,MATCH(INDEX(Utility_Rates!$K$6:$K$17,MONTH(C2633))&amp;IF(WEEKDAY(C2633,Inputs!$C$76)&lt;=Inputs!$C$74," weekday"," weekend"),Utility_Rates!$C$28:$F$28,Inputs!$C$68)),"")</f>
      </c>
      <c r="H2633" s="34"/>
      <c r="I2633" s="42">
        <f>IF(AND(ISNUMBER(D2633),ISNUMBER(H2633)),D2633*H2633*Inputs!$C$69,"")</f>
      </c>
      <c r="J2633" s="42">
        <f>IF(AND(ISNUMBER(F2633),ISNUMBER(H2633),F2633&gt;=Inputs!$C$68),F2633*H2633*Inputs!$C$69,"")</f>
      </c>
    </row>
    <row r="2634" spans="2:10" ht="15" customHeight="1" x14ac:dyDescent="0.2">
      <c r="B2634" s="39">
        <f t="shared" si="20"/>
      </c>
      <c r="C2634" s="40">
        <f>IF(Inputs!$C$60,Inputs!$C$11+(B2634-Inputs!$C$69)/Inputs!$C$70,"")</f>
      </c>
      <c r="D2634" s="15"/>
      <c r="E2634" s="15"/>
      <c r="F2634" s="11">
        <f t="shared" si="21"/>
      </c>
      <c r="G2634" s="22" cm="1">
        <f t="array" ref="G2634">IF(AND(Inputs!$C$60,Inputs!$C$61),INDEX(Utility_Rates!$C$29:$F$52,HOUR(C2634)+Inputs!$C$69,MATCH(INDEX(Utility_Rates!$K$6:$K$17,MONTH(C2634))&amp;IF(WEEKDAY(C2634,Inputs!$C$76)&lt;=Inputs!$C$74," weekday"," weekend"),Utility_Rates!$C$28:$F$28,Inputs!$C$68)),"")</f>
      </c>
      <c r="H2634" s="34"/>
      <c r="I2634" s="42">
        <f>IF(AND(ISNUMBER(D2634),ISNUMBER(H2634)),D2634*H2634*Inputs!$C$69,"")</f>
      </c>
      <c r="J2634" s="42">
        <f>IF(AND(ISNUMBER(F2634),ISNUMBER(H2634),F2634&gt;=Inputs!$C$68),F2634*H2634*Inputs!$C$69,"")</f>
      </c>
    </row>
    <row r="2635" spans="2:10" ht="15" customHeight="1" x14ac:dyDescent="0.2">
      <c r="B2635" s="39">
        <f t="shared" si="20"/>
      </c>
      <c r="C2635" s="40">
        <f>IF(Inputs!$C$60,Inputs!$C$11+(B2635-Inputs!$C$69)/Inputs!$C$70,"")</f>
      </c>
      <c r="D2635" s="15"/>
      <c r="E2635" s="15"/>
      <c r="F2635" s="11">
        <f t="shared" si="21"/>
      </c>
      <c r="G2635" s="22" cm="1">
        <f t="array" ref="G2635">IF(AND(Inputs!$C$60,Inputs!$C$61),INDEX(Utility_Rates!$C$29:$F$52,HOUR(C2635)+Inputs!$C$69,MATCH(INDEX(Utility_Rates!$K$6:$K$17,MONTH(C2635))&amp;IF(WEEKDAY(C2635,Inputs!$C$76)&lt;=Inputs!$C$74," weekday"," weekend"),Utility_Rates!$C$28:$F$28,Inputs!$C$68)),"")</f>
      </c>
      <c r="H2635" s="34"/>
      <c r="I2635" s="42">
        <f>IF(AND(ISNUMBER(D2635),ISNUMBER(H2635)),D2635*H2635*Inputs!$C$69,"")</f>
      </c>
      <c r="J2635" s="42">
        <f>IF(AND(ISNUMBER(F2635),ISNUMBER(H2635),F2635&gt;=Inputs!$C$68),F2635*H2635*Inputs!$C$69,"")</f>
      </c>
    </row>
    <row r="2636" spans="2:10" ht="15" customHeight="1" x14ac:dyDescent="0.2">
      <c r="B2636" s="39">
        <f t="shared" si="20"/>
      </c>
      <c r="C2636" s="40">
        <f>IF(Inputs!$C$60,Inputs!$C$11+(B2636-Inputs!$C$69)/Inputs!$C$70,"")</f>
      </c>
      <c r="D2636" s="15"/>
      <c r="E2636" s="15"/>
      <c r="F2636" s="11">
        <f t="shared" si="21"/>
      </c>
      <c r="G2636" s="22" cm="1">
        <f t="array" ref="G2636">IF(AND(Inputs!$C$60,Inputs!$C$61),INDEX(Utility_Rates!$C$29:$F$52,HOUR(C2636)+Inputs!$C$69,MATCH(INDEX(Utility_Rates!$K$6:$K$17,MONTH(C2636))&amp;IF(WEEKDAY(C2636,Inputs!$C$76)&lt;=Inputs!$C$74," weekday"," weekend"),Utility_Rates!$C$28:$F$28,Inputs!$C$68)),"")</f>
      </c>
      <c r="H2636" s="34"/>
      <c r="I2636" s="42">
        <f>IF(AND(ISNUMBER(D2636),ISNUMBER(H2636)),D2636*H2636*Inputs!$C$69,"")</f>
      </c>
      <c r="J2636" s="42">
        <f>IF(AND(ISNUMBER(F2636),ISNUMBER(H2636),F2636&gt;=Inputs!$C$68),F2636*H2636*Inputs!$C$69,"")</f>
      </c>
    </row>
    <row r="2637" spans="2:10" ht="15" customHeight="1" x14ac:dyDescent="0.2">
      <c r="B2637" s="39">
        <f t="shared" si="20"/>
      </c>
      <c r="C2637" s="40">
        <f>IF(Inputs!$C$60,Inputs!$C$11+(B2637-Inputs!$C$69)/Inputs!$C$70,"")</f>
      </c>
      <c r="D2637" s="15"/>
      <c r="E2637" s="15"/>
      <c r="F2637" s="11">
        <f t="shared" si="21"/>
      </c>
      <c r="G2637" s="22" cm="1">
        <f t="array" ref="G2637">IF(AND(Inputs!$C$60,Inputs!$C$61),INDEX(Utility_Rates!$C$29:$F$52,HOUR(C2637)+Inputs!$C$69,MATCH(INDEX(Utility_Rates!$K$6:$K$17,MONTH(C2637))&amp;IF(WEEKDAY(C2637,Inputs!$C$76)&lt;=Inputs!$C$74," weekday"," weekend"),Utility_Rates!$C$28:$F$28,Inputs!$C$68)),"")</f>
      </c>
      <c r="H2637" s="34"/>
      <c r="I2637" s="42">
        <f>IF(AND(ISNUMBER(D2637),ISNUMBER(H2637)),D2637*H2637*Inputs!$C$69,"")</f>
      </c>
      <c r="J2637" s="42">
        <f>IF(AND(ISNUMBER(F2637),ISNUMBER(H2637),F2637&gt;=Inputs!$C$68),F2637*H2637*Inputs!$C$69,"")</f>
      </c>
    </row>
    <row r="2638" spans="2:10" ht="15" customHeight="1" x14ac:dyDescent="0.2">
      <c r="B2638" s="39">
        <f t="shared" si="20"/>
      </c>
      <c r="C2638" s="40">
        <f>IF(Inputs!$C$60,Inputs!$C$11+(B2638-Inputs!$C$69)/Inputs!$C$70,"")</f>
      </c>
      <c r="D2638" s="15"/>
      <c r="E2638" s="15"/>
      <c r="F2638" s="11">
        <f t="shared" si="21"/>
      </c>
      <c r="G2638" s="22" cm="1">
        <f t="array" ref="G2638">IF(AND(Inputs!$C$60,Inputs!$C$61),INDEX(Utility_Rates!$C$29:$F$52,HOUR(C2638)+Inputs!$C$69,MATCH(INDEX(Utility_Rates!$K$6:$K$17,MONTH(C2638))&amp;IF(WEEKDAY(C2638,Inputs!$C$76)&lt;=Inputs!$C$74," weekday"," weekend"),Utility_Rates!$C$28:$F$28,Inputs!$C$68)),"")</f>
      </c>
      <c r="H2638" s="34"/>
      <c r="I2638" s="42">
        <f>IF(AND(ISNUMBER(D2638),ISNUMBER(H2638)),D2638*H2638*Inputs!$C$69,"")</f>
      </c>
      <c r="J2638" s="42">
        <f>IF(AND(ISNUMBER(F2638),ISNUMBER(H2638),F2638&gt;=Inputs!$C$68),F2638*H2638*Inputs!$C$69,"")</f>
      </c>
    </row>
    <row r="2639" spans="2:10" ht="15" customHeight="1" x14ac:dyDescent="0.2">
      <c r="B2639" s="39">
        <f t="shared" si="20"/>
      </c>
      <c r="C2639" s="40">
        <f>IF(Inputs!$C$60,Inputs!$C$11+(B2639-Inputs!$C$69)/Inputs!$C$70,"")</f>
      </c>
      <c r="D2639" s="15"/>
      <c r="E2639" s="15"/>
      <c r="F2639" s="11">
        <f t="shared" si="21"/>
      </c>
      <c r="G2639" s="22" cm="1">
        <f t="array" ref="G2639">IF(AND(Inputs!$C$60,Inputs!$C$61),INDEX(Utility_Rates!$C$29:$F$52,HOUR(C2639)+Inputs!$C$69,MATCH(INDEX(Utility_Rates!$K$6:$K$17,MONTH(C2639))&amp;IF(WEEKDAY(C2639,Inputs!$C$76)&lt;=Inputs!$C$74," weekday"," weekend"),Utility_Rates!$C$28:$F$28,Inputs!$C$68)),"")</f>
      </c>
      <c r="H2639" s="34"/>
      <c r="I2639" s="42">
        <f>IF(AND(ISNUMBER(D2639),ISNUMBER(H2639)),D2639*H2639*Inputs!$C$69,"")</f>
      </c>
      <c r="J2639" s="42">
        <f>IF(AND(ISNUMBER(F2639),ISNUMBER(H2639),F2639&gt;=Inputs!$C$68),F2639*H2639*Inputs!$C$69,"")</f>
      </c>
    </row>
    <row r="2640" spans="2:10" ht="15" customHeight="1" x14ac:dyDescent="0.2">
      <c r="B2640" s="39">
        <f t="shared" si="20"/>
      </c>
      <c r="C2640" s="40">
        <f>IF(Inputs!$C$60,Inputs!$C$11+(B2640-Inputs!$C$69)/Inputs!$C$70,"")</f>
      </c>
      <c r="D2640" s="15"/>
      <c r="E2640" s="15"/>
      <c r="F2640" s="11">
        <f t="shared" si="21"/>
      </c>
      <c r="G2640" s="22" cm="1">
        <f t="array" ref="G2640">IF(AND(Inputs!$C$60,Inputs!$C$61),INDEX(Utility_Rates!$C$29:$F$52,HOUR(C2640)+Inputs!$C$69,MATCH(INDEX(Utility_Rates!$K$6:$K$17,MONTH(C2640))&amp;IF(WEEKDAY(C2640,Inputs!$C$76)&lt;=Inputs!$C$74," weekday"," weekend"),Utility_Rates!$C$28:$F$28,Inputs!$C$68)),"")</f>
      </c>
      <c r="H2640" s="34"/>
      <c r="I2640" s="42">
        <f>IF(AND(ISNUMBER(D2640),ISNUMBER(H2640)),D2640*H2640*Inputs!$C$69,"")</f>
      </c>
      <c r="J2640" s="42">
        <f>IF(AND(ISNUMBER(F2640),ISNUMBER(H2640),F2640&gt;=Inputs!$C$68),F2640*H2640*Inputs!$C$69,"")</f>
      </c>
    </row>
    <row r="2641" spans="2:10" ht="15" customHeight="1" x14ac:dyDescent="0.2">
      <c r="B2641" s="39">
        <f t="shared" si="20"/>
      </c>
      <c r="C2641" s="40">
        <f>IF(Inputs!$C$60,Inputs!$C$11+(B2641-Inputs!$C$69)/Inputs!$C$70,"")</f>
      </c>
      <c r="D2641" s="15"/>
      <c r="E2641" s="15"/>
      <c r="F2641" s="11">
        <f t="shared" si="21"/>
      </c>
      <c r="G2641" s="22" cm="1">
        <f t="array" ref="G2641">IF(AND(Inputs!$C$60,Inputs!$C$61),INDEX(Utility_Rates!$C$29:$F$52,HOUR(C2641)+Inputs!$C$69,MATCH(INDEX(Utility_Rates!$K$6:$K$17,MONTH(C2641))&amp;IF(WEEKDAY(C2641,Inputs!$C$76)&lt;=Inputs!$C$74," weekday"," weekend"),Utility_Rates!$C$28:$F$28,Inputs!$C$68)),"")</f>
      </c>
      <c r="H2641" s="34"/>
      <c r="I2641" s="42">
        <f>IF(AND(ISNUMBER(D2641),ISNUMBER(H2641)),D2641*H2641*Inputs!$C$69,"")</f>
      </c>
      <c r="J2641" s="42">
        <f>IF(AND(ISNUMBER(F2641),ISNUMBER(H2641),F2641&gt;=Inputs!$C$68),F2641*H2641*Inputs!$C$69,"")</f>
      </c>
    </row>
    <row r="2642" spans="2:10" ht="15" customHeight="1" x14ac:dyDescent="0.2">
      <c r="B2642" s="39">
        <f t="shared" si="20"/>
      </c>
      <c r="C2642" s="40">
        <f>IF(Inputs!$C$60,Inputs!$C$11+(B2642-Inputs!$C$69)/Inputs!$C$70,"")</f>
      </c>
      <c r="D2642" s="15"/>
      <c r="E2642" s="15"/>
      <c r="F2642" s="11">
        <f t="shared" si="21"/>
      </c>
      <c r="G2642" s="22" cm="1">
        <f t="array" ref="G2642">IF(AND(Inputs!$C$60,Inputs!$C$61),INDEX(Utility_Rates!$C$29:$F$52,HOUR(C2642)+Inputs!$C$69,MATCH(INDEX(Utility_Rates!$K$6:$K$17,MONTH(C2642))&amp;IF(WEEKDAY(C2642,Inputs!$C$76)&lt;=Inputs!$C$74," weekday"," weekend"),Utility_Rates!$C$28:$F$28,Inputs!$C$68)),"")</f>
      </c>
      <c r="H2642" s="34"/>
      <c r="I2642" s="42">
        <f>IF(AND(ISNUMBER(D2642),ISNUMBER(H2642)),D2642*H2642*Inputs!$C$69,"")</f>
      </c>
      <c r="J2642" s="42">
        <f>IF(AND(ISNUMBER(F2642),ISNUMBER(H2642),F2642&gt;=Inputs!$C$68),F2642*H2642*Inputs!$C$69,"")</f>
      </c>
    </row>
    <row r="2643" spans="2:10" ht="15" customHeight="1" x14ac:dyDescent="0.2">
      <c r="B2643" s="39">
        <f t="shared" si="20"/>
      </c>
      <c r="C2643" s="40">
        <f>IF(Inputs!$C$60,Inputs!$C$11+(B2643-Inputs!$C$69)/Inputs!$C$70,"")</f>
      </c>
      <c r="D2643" s="15"/>
      <c r="E2643" s="15"/>
      <c r="F2643" s="11">
        <f t="shared" si="21"/>
      </c>
      <c r="G2643" s="22" cm="1">
        <f t="array" ref="G2643">IF(AND(Inputs!$C$60,Inputs!$C$61),INDEX(Utility_Rates!$C$29:$F$52,HOUR(C2643)+Inputs!$C$69,MATCH(INDEX(Utility_Rates!$K$6:$K$17,MONTH(C2643))&amp;IF(WEEKDAY(C2643,Inputs!$C$76)&lt;=Inputs!$C$74," weekday"," weekend"),Utility_Rates!$C$28:$F$28,Inputs!$C$68)),"")</f>
      </c>
      <c r="H2643" s="34"/>
      <c r="I2643" s="42">
        <f>IF(AND(ISNUMBER(D2643),ISNUMBER(H2643)),D2643*H2643*Inputs!$C$69,"")</f>
      </c>
      <c r="J2643" s="42">
        <f>IF(AND(ISNUMBER(F2643),ISNUMBER(H2643),F2643&gt;=Inputs!$C$68),F2643*H2643*Inputs!$C$69,"")</f>
      </c>
    </row>
    <row r="2644" spans="2:10" ht="15" customHeight="1" x14ac:dyDescent="0.2">
      <c r="B2644" s="39">
        <f t="shared" si="20"/>
      </c>
      <c r="C2644" s="40">
        <f>IF(Inputs!$C$60,Inputs!$C$11+(B2644-Inputs!$C$69)/Inputs!$C$70,"")</f>
      </c>
      <c r="D2644" s="15"/>
      <c r="E2644" s="15"/>
      <c r="F2644" s="11">
        <f t="shared" si="21"/>
      </c>
      <c r="G2644" s="22" cm="1">
        <f t="array" ref="G2644">IF(AND(Inputs!$C$60,Inputs!$C$61),INDEX(Utility_Rates!$C$29:$F$52,HOUR(C2644)+Inputs!$C$69,MATCH(INDEX(Utility_Rates!$K$6:$K$17,MONTH(C2644))&amp;IF(WEEKDAY(C2644,Inputs!$C$76)&lt;=Inputs!$C$74," weekday"," weekend"),Utility_Rates!$C$28:$F$28,Inputs!$C$68)),"")</f>
      </c>
      <c r="H2644" s="34"/>
      <c r="I2644" s="42">
        <f>IF(AND(ISNUMBER(D2644),ISNUMBER(H2644)),D2644*H2644*Inputs!$C$69,"")</f>
      </c>
      <c r="J2644" s="42">
        <f>IF(AND(ISNUMBER(F2644),ISNUMBER(H2644),F2644&gt;=Inputs!$C$68),F2644*H2644*Inputs!$C$69,"")</f>
      </c>
    </row>
    <row r="2645" spans="2:10" ht="15" customHeight="1" x14ac:dyDescent="0.2">
      <c r="B2645" s="39">
        <f t="shared" si="20"/>
      </c>
      <c r="C2645" s="40">
        <f>IF(Inputs!$C$60,Inputs!$C$11+(B2645-Inputs!$C$69)/Inputs!$C$70,"")</f>
      </c>
      <c r="D2645" s="15"/>
      <c r="E2645" s="15"/>
      <c r="F2645" s="11">
        <f t="shared" si="21"/>
      </c>
      <c r="G2645" s="22" cm="1">
        <f t="array" ref="G2645">IF(AND(Inputs!$C$60,Inputs!$C$61),INDEX(Utility_Rates!$C$29:$F$52,HOUR(C2645)+Inputs!$C$69,MATCH(INDEX(Utility_Rates!$K$6:$K$17,MONTH(C2645))&amp;IF(WEEKDAY(C2645,Inputs!$C$76)&lt;=Inputs!$C$74," weekday"," weekend"),Utility_Rates!$C$28:$F$28,Inputs!$C$68)),"")</f>
      </c>
      <c r="H2645" s="34"/>
      <c r="I2645" s="42">
        <f>IF(AND(ISNUMBER(D2645),ISNUMBER(H2645)),D2645*H2645*Inputs!$C$69,"")</f>
      </c>
      <c r="J2645" s="42">
        <f>IF(AND(ISNUMBER(F2645),ISNUMBER(H2645),F2645&gt;=Inputs!$C$68),F2645*H2645*Inputs!$C$69,"")</f>
      </c>
    </row>
    <row r="2646" spans="2:10" ht="15" customHeight="1" x14ac:dyDescent="0.2">
      <c r="B2646" s="39">
        <f t="shared" si="20"/>
      </c>
      <c r="C2646" s="40">
        <f>IF(Inputs!$C$60,Inputs!$C$11+(B2646-Inputs!$C$69)/Inputs!$C$70,"")</f>
      </c>
      <c r="D2646" s="15"/>
      <c r="E2646" s="15"/>
      <c r="F2646" s="11">
        <f t="shared" si="21"/>
      </c>
      <c r="G2646" s="22" cm="1">
        <f t="array" ref="G2646">IF(AND(Inputs!$C$60,Inputs!$C$61),INDEX(Utility_Rates!$C$29:$F$52,HOUR(C2646)+Inputs!$C$69,MATCH(INDEX(Utility_Rates!$K$6:$K$17,MONTH(C2646))&amp;IF(WEEKDAY(C2646,Inputs!$C$76)&lt;=Inputs!$C$74," weekday"," weekend"),Utility_Rates!$C$28:$F$28,Inputs!$C$68)),"")</f>
      </c>
      <c r="H2646" s="34"/>
      <c r="I2646" s="42">
        <f>IF(AND(ISNUMBER(D2646),ISNUMBER(H2646)),D2646*H2646*Inputs!$C$69,"")</f>
      </c>
      <c r="J2646" s="42">
        <f>IF(AND(ISNUMBER(F2646),ISNUMBER(H2646),F2646&gt;=Inputs!$C$68),F2646*H2646*Inputs!$C$69,"")</f>
      </c>
    </row>
    <row r="2647" spans="2:10" ht="15" customHeight="1" x14ac:dyDescent="0.2">
      <c r="B2647" s="39">
        <f t="shared" si="20"/>
      </c>
      <c r="C2647" s="40">
        <f>IF(Inputs!$C$60,Inputs!$C$11+(B2647-Inputs!$C$69)/Inputs!$C$70,"")</f>
      </c>
      <c r="D2647" s="15"/>
      <c r="E2647" s="15"/>
      <c r="F2647" s="11">
        <f t="shared" si="21"/>
      </c>
      <c r="G2647" s="22" cm="1">
        <f t="array" ref="G2647">IF(AND(Inputs!$C$60,Inputs!$C$61),INDEX(Utility_Rates!$C$29:$F$52,HOUR(C2647)+Inputs!$C$69,MATCH(INDEX(Utility_Rates!$K$6:$K$17,MONTH(C2647))&amp;IF(WEEKDAY(C2647,Inputs!$C$76)&lt;=Inputs!$C$74," weekday"," weekend"),Utility_Rates!$C$28:$F$28,Inputs!$C$68)),"")</f>
      </c>
      <c r="H2647" s="34"/>
      <c r="I2647" s="42">
        <f>IF(AND(ISNUMBER(D2647),ISNUMBER(H2647)),D2647*H2647*Inputs!$C$69,"")</f>
      </c>
      <c r="J2647" s="42">
        <f>IF(AND(ISNUMBER(F2647),ISNUMBER(H2647),F2647&gt;=Inputs!$C$68),F2647*H2647*Inputs!$C$69,"")</f>
      </c>
    </row>
    <row r="2648" spans="2:10" ht="15" customHeight="1" x14ac:dyDescent="0.2">
      <c r="B2648" s="39">
        <f t="shared" si="20"/>
      </c>
      <c r="C2648" s="40">
        <f>IF(Inputs!$C$60,Inputs!$C$11+(B2648-Inputs!$C$69)/Inputs!$C$70,"")</f>
      </c>
      <c r="D2648" s="15"/>
      <c r="E2648" s="15"/>
      <c r="F2648" s="11">
        <f t="shared" si="21"/>
      </c>
      <c r="G2648" s="22" cm="1">
        <f t="array" ref="G2648">IF(AND(Inputs!$C$60,Inputs!$C$61),INDEX(Utility_Rates!$C$29:$F$52,HOUR(C2648)+Inputs!$C$69,MATCH(INDEX(Utility_Rates!$K$6:$K$17,MONTH(C2648))&amp;IF(WEEKDAY(C2648,Inputs!$C$76)&lt;=Inputs!$C$74," weekday"," weekend"),Utility_Rates!$C$28:$F$28,Inputs!$C$68)),"")</f>
      </c>
      <c r="H2648" s="34"/>
      <c r="I2648" s="42">
        <f>IF(AND(ISNUMBER(D2648),ISNUMBER(H2648)),D2648*H2648*Inputs!$C$69,"")</f>
      </c>
      <c r="J2648" s="42">
        <f>IF(AND(ISNUMBER(F2648),ISNUMBER(H2648),F2648&gt;=Inputs!$C$68),F2648*H2648*Inputs!$C$69,"")</f>
      </c>
    </row>
    <row r="2649" spans="2:10" ht="15" customHeight="1" x14ac:dyDescent="0.2">
      <c r="B2649" s="39">
        <f t="shared" si="20"/>
      </c>
      <c r="C2649" s="40">
        <f>IF(Inputs!$C$60,Inputs!$C$11+(B2649-Inputs!$C$69)/Inputs!$C$70,"")</f>
      </c>
      <c r="D2649" s="15"/>
      <c r="E2649" s="15"/>
      <c r="F2649" s="11">
        <f t="shared" si="21"/>
      </c>
      <c r="G2649" s="22" cm="1">
        <f t="array" ref="G2649">IF(AND(Inputs!$C$60,Inputs!$C$61),INDEX(Utility_Rates!$C$29:$F$52,HOUR(C2649)+Inputs!$C$69,MATCH(INDEX(Utility_Rates!$K$6:$K$17,MONTH(C2649))&amp;IF(WEEKDAY(C2649,Inputs!$C$76)&lt;=Inputs!$C$74," weekday"," weekend"),Utility_Rates!$C$28:$F$28,Inputs!$C$68)),"")</f>
      </c>
      <c r="H2649" s="34"/>
      <c r="I2649" s="42">
        <f>IF(AND(ISNUMBER(D2649),ISNUMBER(H2649)),D2649*H2649*Inputs!$C$69,"")</f>
      </c>
      <c r="J2649" s="42">
        <f>IF(AND(ISNUMBER(F2649),ISNUMBER(H2649),F2649&gt;=Inputs!$C$68),F2649*H2649*Inputs!$C$69,"")</f>
      </c>
    </row>
    <row r="2650" spans="2:10" ht="15" customHeight="1" x14ac:dyDescent="0.2">
      <c r="B2650" s="39">
        <f t="shared" si="20"/>
      </c>
      <c r="C2650" s="40">
        <f>IF(Inputs!$C$60,Inputs!$C$11+(B2650-Inputs!$C$69)/Inputs!$C$70,"")</f>
      </c>
      <c r="D2650" s="15"/>
      <c r="E2650" s="15"/>
      <c r="F2650" s="11">
        <f t="shared" si="21"/>
      </c>
      <c r="G2650" s="22" cm="1">
        <f t="array" ref="G2650">IF(AND(Inputs!$C$60,Inputs!$C$61),INDEX(Utility_Rates!$C$29:$F$52,HOUR(C2650)+Inputs!$C$69,MATCH(INDEX(Utility_Rates!$K$6:$K$17,MONTH(C2650))&amp;IF(WEEKDAY(C2650,Inputs!$C$76)&lt;=Inputs!$C$74," weekday"," weekend"),Utility_Rates!$C$28:$F$28,Inputs!$C$68)),"")</f>
      </c>
      <c r="H2650" s="34"/>
      <c r="I2650" s="42">
        <f>IF(AND(ISNUMBER(D2650),ISNUMBER(H2650)),D2650*H2650*Inputs!$C$69,"")</f>
      </c>
      <c r="J2650" s="42">
        <f>IF(AND(ISNUMBER(F2650),ISNUMBER(H2650),F2650&gt;=Inputs!$C$68),F2650*H2650*Inputs!$C$69,"")</f>
      </c>
    </row>
    <row r="2651" spans="2:10" ht="15" customHeight="1" x14ac:dyDescent="0.2">
      <c r="B2651" s="39">
        <f t="shared" si="20"/>
      </c>
      <c r="C2651" s="40">
        <f>IF(Inputs!$C$60,Inputs!$C$11+(B2651-Inputs!$C$69)/Inputs!$C$70,"")</f>
      </c>
      <c r="D2651" s="15"/>
      <c r="E2651" s="15"/>
      <c r="F2651" s="11">
        <f t="shared" si="21"/>
      </c>
      <c r="G2651" s="22" cm="1">
        <f t="array" ref="G2651">IF(AND(Inputs!$C$60,Inputs!$C$61),INDEX(Utility_Rates!$C$29:$F$52,HOUR(C2651)+Inputs!$C$69,MATCH(INDEX(Utility_Rates!$K$6:$K$17,MONTH(C2651))&amp;IF(WEEKDAY(C2651,Inputs!$C$76)&lt;=Inputs!$C$74," weekday"," weekend"),Utility_Rates!$C$28:$F$28,Inputs!$C$68)),"")</f>
      </c>
      <c r="H2651" s="34"/>
      <c r="I2651" s="42">
        <f>IF(AND(ISNUMBER(D2651),ISNUMBER(H2651)),D2651*H2651*Inputs!$C$69,"")</f>
      </c>
      <c r="J2651" s="42">
        <f>IF(AND(ISNUMBER(F2651),ISNUMBER(H2651),F2651&gt;=Inputs!$C$68),F2651*H2651*Inputs!$C$69,"")</f>
      </c>
    </row>
    <row r="2652" spans="2:10" ht="15" customHeight="1" x14ac:dyDescent="0.2">
      <c r="B2652" s="39">
        <f t="shared" si="20"/>
      </c>
      <c r="C2652" s="40">
        <f>IF(Inputs!$C$60,Inputs!$C$11+(B2652-Inputs!$C$69)/Inputs!$C$70,"")</f>
      </c>
      <c r="D2652" s="15"/>
      <c r="E2652" s="15"/>
      <c r="F2652" s="11">
        <f t="shared" si="21"/>
      </c>
      <c r="G2652" s="22" cm="1">
        <f t="array" ref="G2652">IF(AND(Inputs!$C$60,Inputs!$C$61),INDEX(Utility_Rates!$C$29:$F$52,HOUR(C2652)+Inputs!$C$69,MATCH(INDEX(Utility_Rates!$K$6:$K$17,MONTH(C2652))&amp;IF(WEEKDAY(C2652,Inputs!$C$76)&lt;=Inputs!$C$74," weekday"," weekend"),Utility_Rates!$C$28:$F$28,Inputs!$C$68)),"")</f>
      </c>
      <c r="H2652" s="34"/>
      <c r="I2652" s="42">
        <f>IF(AND(ISNUMBER(D2652),ISNUMBER(H2652)),D2652*H2652*Inputs!$C$69,"")</f>
      </c>
      <c r="J2652" s="42">
        <f>IF(AND(ISNUMBER(F2652),ISNUMBER(H2652),F2652&gt;=Inputs!$C$68),F2652*H2652*Inputs!$C$69,"")</f>
      </c>
    </row>
    <row r="2653" spans="2:10" ht="15" customHeight="1" x14ac:dyDescent="0.2">
      <c r="B2653" s="39">
        <f t="shared" si="20"/>
      </c>
      <c r="C2653" s="40">
        <f>IF(Inputs!$C$60,Inputs!$C$11+(B2653-Inputs!$C$69)/Inputs!$C$70,"")</f>
      </c>
      <c r="D2653" s="15"/>
      <c r="E2653" s="15"/>
      <c r="F2653" s="11">
        <f t="shared" si="21"/>
      </c>
      <c r="G2653" s="22" cm="1">
        <f t="array" ref="G2653">IF(AND(Inputs!$C$60,Inputs!$C$61),INDEX(Utility_Rates!$C$29:$F$52,HOUR(C2653)+Inputs!$C$69,MATCH(INDEX(Utility_Rates!$K$6:$K$17,MONTH(C2653))&amp;IF(WEEKDAY(C2653,Inputs!$C$76)&lt;=Inputs!$C$74," weekday"," weekend"),Utility_Rates!$C$28:$F$28,Inputs!$C$68)),"")</f>
      </c>
      <c r="H2653" s="34"/>
      <c r="I2653" s="42">
        <f>IF(AND(ISNUMBER(D2653),ISNUMBER(H2653)),D2653*H2653*Inputs!$C$69,"")</f>
      </c>
      <c r="J2653" s="42">
        <f>IF(AND(ISNUMBER(F2653),ISNUMBER(H2653),F2653&gt;=Inputs!$C$68),F2653*H2653*Inputs!$C$69,"")</f>
      </c>
    </row>
    <row r="2654" spans="2:10" ht="15" customHeight="1" x14ac:dyDescent="0.2">
      <c r="B2654" s="39">
        <f t="shared" si="20"/>
      </c>
      <c r="C2654" s="40">
        <f>IF(Inputs!$C$60,Inputs!$C$11+(B2654-Inputs!$C$69)/Inputs!$C$70,"")</f>
      </c>
      <c r="D2654" s="15"/>
      <c r="E2654" s="15"/>
      <c r="F2654" s="11">
        <f t="shared" si="21"/>
      </c>
      <c r="G2654" s="22" cm="1">
        <f t="array" ref="G2654">IF(AND(Inputs!$C$60,Inputs!$C$61),INDEX(Utility_Rates!$C$29:$F$52,HOUR(C2654)+Inputs!$C$69,MATCH(INDEX(Utility_Rates!$K$6:$K$17,MONTH(C2654))&amp;IF(WEEKDAY(C2654,Inputs!$C$76)&lt;=Inputs!$C$74," weekday"," weekend"),Utility_Rates!$C$28:$F$28,Inputs!$C$68)),"")</f>
      </c>
      <c r="H2654" s="34"/>
      <c r="I2654" s="42">
        <f>IF(AND(ISNUMBER(D2654),ISNUMBER(H2654)),D2654*H2654*Inputs!$C$69,"")</f>
      </c>
      <c r="J2654" s="42">
        <f>IF(AND(ISNUMBER(F2654),ISNUMBER(H2654),F2654&gt;=Inputs!$C$68),F2654*H2654*Inputs!$C$69,"")</f>
      </c>
    </row>
    <row r="2655" spans="2:10" ht="15" customHeight="1" x14ac:dyDescent="0.2">
      <c r="B2655" s="39">
        <f t="shared" si="20"/>
      </c>
      <c r="C2655" s="40">
        <f>IF(Inputs!$C$60,Inputs!$C$11+(B2655-Inputs!$C$69)/Inputs!$C$70,"")</f>
      </c>
      <c r="D2655" s="15"/>
      <c r="E2655" s="15"/>
      <c r="F2655" s="11">
        <f t="shared" si="21"/>
      </c>
      <c r="G2655" s="22" cm="1">
        <f t="array" ref="G2655">IF(AND(Inputs!$C$60,Inputs!$C$61),INDEX(Utility_Rates!$C$29:$F$52,HOUR(C2655)+Inputs!$C$69,MATCH(INDEX(Utility_Rates!$K$6:$K$17,MONTH(C2655))&amp;IF(WEEKDAY(C2655,Inputs!$C$76)&lt;=Inputs!$C$74," weekday"," weekend"),Utility_Rates!$C$28:$F$28,Inputs!$C$68)),"")</f>
      </c>
      <c r="H2655" s="34"/>
      <c r="I2655" s="42">
        <f>IF(AND(ISNUMBER(D2655),ISNUMBER(H2655)),D2655*H2655*Inputs!$C$69,"")</f>
      </c>
      <c r="J2655" s="42">
        <f>IF(AND(ISNUMBER(F2655),ISNUMBER(H2655),F2655&gt;=Inputs!$C$68),F2655*H2655*Inputs!$C$69,"")</f>
      </c>
    </row>
    <row r="2656" spans="2:10" ht="15" customHeight="1" x14ac:dyDescent="0.2">
      <c r="B2656" s="39">
        <f t="shared" si="20"/>
      </c>
      <c r="C2656" s="40">
        <f>IF(Inputs!$C$60,Inputs!$C$11+(B2656-Inputs!$C$69)/Inputs!$C$70,"")</f>
      </c>
      <c r="D2656" s="15"/>
      <c r="E2656" s="15"/>
      <c r="F2656" s="11">
        <f t="shared" si="21"/>
      </c>
      <c r="G2656" s="22" cm="1">
        <f t="array" ref="G2656">IF(AND(Inputs!$C$60,Inputs!$C$61),INDEX(Utility_Rates!$C$29:$F$52,HOUR(C2656)+Inputs!$C$69,MATCH(INDEX(Utility_Rates!$K$6:$K$17,MONTH(C2656))&amp;IF(WEEKDAY(C2656,Inputs!$C$76)&lt;=Inputs!$C$74," weekday"," weekend"),Utility_Rates!$C$28:$F$28,Inputs!$C$68)),"")</f>
      </c>
      <c r="H2656" s="34"/>
      <c r="I2656" s="42">
        <f>IF(AND(ISNUMBER(D2656),ISNUMBER(H2656)),D2656*H2656*Inputs!$C$69,"")</f>
      </c>
      <c r="J2656" s="42">
        <f>IF(AND(ISNUMBER(F2656),ISNUMBER(H2656),F2656&gt;=Inputs!$C$68),F2656*H2656*Inputs!$C$69,"")</f>
      </c>
    </row>
    <row r="2657" spans="2:10" ht="15" customHeight="1" x14ac:dyDescent="0.2">
      <c r="B2657" s="39">
        <f t="shared" si="20"/>
      </c>
      <c r="C2657" s="40">
        <f>IF(Inputs!$C$60,Inputs!$C$11+(B2657-Inputs!$C$69)/Inputs!$C$70,"")</f>
      </c>
      <c r="D2657" s="15"/>
      <c r="E2657" s="15"/>
      <c r="F2657" s="11">
        <f t="shared" si="21"/>
      </c>
      <c r="G2657" s="22" cm="1">
        <f t="array" ref="G2657">IF(AND(Inputs!$C$60,Inputs!$C$61),INDEX(Utility_Rates!$C$29:$F$52,HOUR(C2657)+Inputs!$C$69,MATCH(INDEX(Utility_Rates!$K$6:$K$17,MONTH(C2657))&amp;IF(WEEKDAY(C2657,Inputs!$C$76)&lt;=Inputs!$C$74," weekday"," weekend"),Utility_Rates!$C$28:$F$28,Inputs!$C$68)),"")</f>
      </c>
      <c r="H2657" s="34"/>
      <c r="I2657" s="42">
        <f>IF(AND(ISNUMBER(D2657),ISNUMBER(H2657)),D2657*H2657*Inputs!$C$69,"")</f>
      </c>
      <c r="J2657" s="42">
        <f>IF(AND(ISNUMBER(F2657),ISNUMBER(H2657),F2657&gt;=Inputs!$C$68),F2657*H2657*Inputs!$C$69,"")</f>
      </c>
    </row>
    <row r="2658" spans="2:10" ht="15" customHeight="1" x14ac:dyDescent="0.2">
      <c r="B2658" s="39">
        <f t="shared" si="20"/>
      </c>
      <c r="C2658" s="40">
        <f>IF(Inputs!$C$60,Inputs!$C$11+(B2658-Inputs!$C$69)/Inputs!$C$70,"")</f>
      </c>
      <c r="D2658" s="15"/>
      <c r="E2658" s="15"/>
      <c r="F2658" s="11">
        <f t="shared" si="21"/>
      </c>
      <c r="G2658" s="22" cm="1">
        <f t="array" ref="G2658">IF(AND(Inputs!$C$60,Inputs!$C$61),INDEX(Utility_Rates!$C$29:$F$52,HOUR(C2658)+Inputs!$C$69,MATCH(INDEX(Utility_Rates!$K$6:$K$17,MONTH(C2658))&amp;IF(WEEKDAY(C2658,Inputs!$C$76)&lt;=Inputs!$C$74," weekday"," weekend"),Utility_Rates!$C$28:$F$28,Inputs!$C$68)),"")</f>
      </c>
      <c r="H2658" s="34"/>
      <c r="I2658" s="42">
        <f>IF(AND(ISNUMBER(D2658),ISNUMBER(H2658)),D2658*H2658*Inputs!$C$69,"")</f>
      </c>
      <c r="J2658" s="42">
        <f>IF(AND(ISNUMBER(F2658),ISNUMBER(H2658),F2658&gt;=Inputs!$C$68),F2658*H2658*Inputs!$C$69,"")</f>
      </c>
    </row>
    <row r="2659" spans="2:10" ht="15" customHeight="1" x14ac:dyDescent="0.2">
      <c r="B2659" s="39">
        <f t="shared" si="20"/>
      </c>
      <c r="C2659" s="40">
        <f>IF(Inputs!$C$60,Inputs!$C$11+(B2659-Inputs!$C$69)/Inputs!$C$70,"")</f>
      </c>
      <c r="D2659" s="15"/>
      <c r="E2659" s="15"/>
      <c r="F2659" s="11">
        <f t="shared" si="21"/>
      </c>
      <c r="G2659" s="22" cm="1">
        <f t="array" ref="G2659">IF(AND(Inputs!$C$60,Inputs!$C$61),INDEX(Utility_Rates!$C$29:$F$52,HOUR(C2659)+Inputs!$C$69,MATCH(INDEX(Utility_Rates!$K$6:$K$17,MONTH(C2659))&amp;IF(WEEKDAY(C2659,Inputs!$C$76)&lt;=Inputs!$C$74," weekday"," weekend"),Utility_Rates!$C$28:$F$28,Inputs!$C$68)),"")</f>
      </c>
      <c r="H2659" s="34"/>
      <c r="I2659" s="42">
        <f>IF(AND(ISNUMBER(D2659),ISNUMBER(H2659)),D2659*H2659*Inputs!$C$69,"")</f>
      </c>
      <c r="J2659" s="42">
        <f>IF(AND(ISNUMBER(F2659),ISNUMBER(H2659),F2659&gt;=Inputs!$C$68),F2659*H2659*Inputs!$C$69,"")</f>
      </c>
    </row>
    <row r="2660" spans="2:10" ht="15" customHeight="1" x14ac:dyDescent="0.2">
      <c r="B2660" s="39">
        <f t="shared" si="20"/>
      </c>
      <c r="C2660" s="40">
        <f>IF(Inputs!$C$60,Inputs!$C$11+(B2660-Inputs!$C$69)/Inputs!$C$70,"")</f>
      </c>
      <c r="D2660" s="15"/>
      <c r="E2660" s="15"/>
      <c r="F2660" s="11">
        <f t="shared" si="21"/>
      </c>
      <c r="G2660" s="22" cm="1">
        <f t="array" ref="G2660">IF(AND(Inputs!$C$60,Inputs!$C$61),INDEX(Utility_Rates!$C$29:$F$52,HOUR(C2660)+Inputs!$C$69,MATCH(INDEX(Utility_Rates!$K$6:$K$17,MONTH(C2660))&amp;IF(WEEKDAY(C2660,Inputs!$C$76)&lt;=Inputs!$C$74," weekday"," weekend"),Utility_Rates!$C$28:$F$28,Inputs!$C$68)),"")</f>
      </c>
      <c r="H2660" s="34"/>
      <c r="I2660" s="42">
        <f>IF(AND(ISNUMBER(D2660),ISNUMBER(H2660)),D2660*H2660*Inputs!$C$69,"")</f>
      </c>
      <c r="J2660" s="42">
        <f>IF(AND(ISNUMBER(F2660),ISNUMBER(H2660),F2660&gt;=Inputs!$C$68),F2660*H2660*Inputs!$C$69,"")</f>
      </c>
    </row>
    <row r="2661" spans="2:10" ht="15" customHeight="1" x14ac:dyDescent="0.2">
      <c r="B2661" s="39">
        <f t="shared" si="20"/>
      </c>
      <c r="C2661" s="40">
        <f>IF(Inputs!$C$60,Inputs!$C$11+(B2661-Inputs!$C$69)/Inputs!$C$70,"")</f>
      </c>
      <c r="D2661" s="15"/>
      <c r="E2661" s="15"/>
      <c r="F2661" s="11">
        <f t="shared" si="21"/>
      </c>
      <c r="G2661" s="22" cm="1">
        <f t="array" ref="G2661">IF(AND(Inputs!$C$60,Inputs!$C$61),INDEX(Utility_Rates!$C$29:$F$52,HOUR(C2661)+Inputs!$C$69,MATCH(INDEX(Utility_Rates!$K$6:$K$17,MONTH(C2661))&amp;IF(WEEKDAY(C2661,Inputs!$C$76)&lt;=Inputs!$C$74," weekday"," weekend"),Utility_Rates!$C$28:$F$28,Inputs!$C$68)),"")</f>
      </c>
      <c r="H2661" s="34"/>
      <c r="I2661" s="42">
        <f>IF(AND(ISNUMBER(D2661),ISNUMBER(H2661)),D2661*H2661*Inputs!$C$69,"")</f>
      </c>
      <c r="J2661" s="42">
        <f>IF(AND(ISNUMBER(F2661),ISNUMBER(H2661),F2661&gt;=Inputs!$C$68),F2661*H2661*Inputs!$C$69,"")</f>
      </c>
    </row>
    <row r="2662" spans="2:10" ht="15" customHeight="1" x14ac:dyDescent="0.2">
      <c r="B2662" s="39">
        <f t="shared" si="20"/>
      </c>
      <c r="C2662" s="40">
        <f>IF(Inputs!$C$60,Inputs!$C$11+(B2662-Inputs!$C$69)/Inputs!$C$70,"")</f>
      </c>
      <c r="D2662" s="15"/>
      <c r="E2662" s="15"/>
      <c r="F2662" s="11">
        <f t="shared" si="21"/>
      </c>
      <c r="G2662" s="22" cm="1">
        <f t="array" ref="G2662">IF(AND(Inputs!$C$60,Inputs!$C$61),INDEX(Utility_Rates!$C$29:$F$52,HOUR(C2662)+Inputs!$C$69,MATCH(INDEX(Utility_Rates!$K$6:$K$17,MONTH(C2662))&amp;IF(WEEKDAY(C2662,Inputs!$C$76)&lt;=Inputs!$C$74," weekday"," weekend"),Utility_Rates!$C$28:$F$28,Inputs!$C$68)),"")</f>
      </c>
      <c r="H2662" s="34"/>
      <c r="I2662" s="42">
        <f>IF(AND(ISNUMBER(D2662),ISNUMBER(H2662)),D2662*H2662*Inputs!$C$69,"")</f>
      </c>
      <c r="J2662" s="42">
        <f>IF(AND(ISNUMBER(F2662),ISNUMBER(H2662),F2662&gt;=Inputs!$C$68),F2662*H2662*Inputs!$C$69,"")</f>
      </c>
    </row>
    <row r="2663" spans="2:10" ht="15" customHeight="1" x14ac:dyDescent="0.2">
      <c r="B2663" s="39">
        <f t="shared" si="20"/>
      </c>
      <c r="C2663" s="40">
        <f>IF(Inputs!$C$60,Inputs!$C$11+(B2663-Inputs!$C$69)/Inputs!$C$70,"")</f>
      </c>
      <c r="D2663" s="15"/>
      <c r="E2663" s="15"/>
      <c r="F2663" s="11">
        <f t="shared" si="21"/>
      </c>
      <c r="G2663" s="22" cm="1">
        <f t="array" ref="G2663">IF(AND(Inputs!$C$60,Inputs!$C$61),INDEX(Utility_Rates!$C$29:$F$52,HOUR(C2663)+Inputs!$C$69,MATCH(INDEX(Utility_Rates!$K$6:$K$17,MONTH(C2663))&amp;IF(WEEKDAY(C2663,Inputs!$C$76)&lt;=Inputs!$C$74," weekday"," weekend"),Utility_Rates!$C$28:$F$28,Inputs!$C$68)),"")</f>
      </c>
      <c r="H2663" s="34"/>
      <c r="I2663" s="42">
        <f>IF(AND(ISNUMBER(D2663),ISNUMBER(H2663)),D2663*H2663*Inputs!$C$69,"")</f>
      </c>
      <c r="J2663" s="42">
        <f>IF(AND(ISNUMBER(F2663),ISNUMBER(H2663),F2663&gt;=Inputs!$C$68),F2663*H2663*Inputs!$C$69,"")</f>
      </c>
    </row>
    <row r="2664" spans="2:10" ht="15" customHeight="1" x14ac:dyDescent="0.2">
      <c r="B2664" s="39">
        <f t="shared" si="20"/>
      </c>
      <c r="C2664" s="40">
        <f>IF(Inputs!$C$60,Inputs!$C$11+(B2664-Inputs!$C$69)/Inputs!$C$70,"")</f>
      </c>
      <c r="D2664" s="15"/>
      <c r="E2664" s="15"/>
      <c r="F2664" s="11">
        <f t="shared" si="21"/>
      </c>
      <c r="G2664" s="22" cm="1">
        <f t="array" ref="G2664">IF(AND(Inputs!$C$60,Inputs!$C$61),INDEX(Utility_Rates!$C$29:$F$52,HOUR(C2664)+Inputs!$C$69,MATCH(INDEX(Utility_Rates!$K$6:$K$17,MONTH(C2664))&amp;IF(WEEKDAY(C2664,Inputs!$C$76)&lt;=Inputs!$C$74," weekday"," weekend"),Utility_Rates!$C$28:$F$28,Inputs!$C$68)),"")</f>
      </c>
      <c r="H2664" s="34"/>
      <c r="I2664" s="42">
        <f>IF(AND(ISNUMBER(D2664),ISNUMBER(H2664)),D2664*H2664*Inputs!$C$69,"")</f>
      </c>
      <c r="J2664" s="42">
        <f>IF(AND(ISNUMBER(F2664),ISNUMBER(H2664),F2664&gt;=Inputs!$C$68),F2664*H2664*Inputs!$C$69,"")</f>
      </c>
    </row>
    <row r="2665" spans="2:10" ht="15" customHeight="1" x14ac:dyDescent="0.2">
      <c r="B2665" s="39">
        <f t="shared" si="20"/>
      </c>
      <c r="C2665" s="40">
        <f>IF(Inputs!$C$60,Inputs!$C$11+(B2665-Inputs!$C$69)/Inputs!$C$70,"")</f>
      </c>
      <c r="D2665" s="15"/>
      <c r="E2665" s="15"/>
      <c r="F2665" s="11">
        <f t="shared" si="21"/>
      </c>
      <c r="G2665" s="22" cm="1">
        <f t="array" ref="G2665">IF(AND(Inputs!$C$60,Inputs!$C$61),INDEX(Utility_Rates!$C$29:$F$52,HOUR(C2665)+Inputs!$C$69,MATCH(INDEX(Utility_Rates!$K$6:$K$17,MONTH(C2665))&amp;IF(WEEKDAY(C2665,Inputs!$C$76)&lt;=Inputs!$C$74," weekday"," weekend"),Utility_Rates!$C$28:$F$28,Inputs!$C$68)),"")</f>
      </c>
      <c r="H2665" s="34"/>
      <c r="I2665" s="42">
        <f>IF(AND(ISNUMBER(D2665),ISNUMBER(H2665)),D2665*H2665*Inputs!$C$69,"")</f>
      </c>
      <c r="J2665" s="42">
        <f>IF(AND(ISNUMBER(F2665),ISNUMBER(H2665),F2665&gt;=Inputs!$C$68),F2665*H2665*Inputs!$C$69,"")</f>
      </c>
    </row>
    <row r="2666" spans="2:10" ht="15" customHeight="1" x14ac:dyDescent="0.2">
      <c r="B2666" s="39">
        <f t="shared" si="20"/>
      </c>
      <c r="C2666" s="40">
        <f>IF(Inputs!$C$60,Inputs!$C$11+(B2666-Inputs!$C$69)/Inputs!$C$70,"")</f>
      </c>
      <c r="D2666" s="15"/>
      <c r="E2666" s="15"/>
      <c r="F2666" s="11">
        <f t="shared" si="21"/>
      </c>
      <c r="G2666" s="22" cm="1">
        <f t="array" ref="G2666">IF(AND(Inputs!$C$60,Inputs!$C$61),INDEX(Utility_Rates!$C$29:$F$52,HOUR(C2666)+Inputs!$C$69,MATCH(INDEX(Utility_Rates!$K$6:$K$17,MONTH(C2666))&amp;IF(WEEKDAY(C2666,Inputs!$C$76)&lt;=Inputs!$C$74," weekday"," weekend"),Utility_Rates!$C$28:$F$28,Inputs!$C$68)),"")</f>
      </c>
      <c r="H2666" s="34"/>
      <c r="I2666" s="42">
        <f>IF(AND(ISNUMBER(D2666),ISNUMBER(H2666)),D2666*H2666*Inputs!$C$69,"")</f>
      </c>
      <c r="J2666" s="42">
        <f>IF(AND(ISNUMBER(F2666),ISNUMBER(H2666),F2666&gt;=Inputs!$C$68),F2666*H2666*Inputs!$C$69,"")</f>
      </c>
    </row>
    <row r="2667" spans="2:10" ht="15" customHeight="1" x14ac:dyDescent="0.2">
      <c r="B2667" s="39">
        <f t="shared" si="20"/>
      </c>
      <c r="C2667" s="40">
        <f>IF(Inputs!$C$60,Inputs!$C$11+(B2667-Inputs!$C$69)/Inputs!$C$70,"")</f>
      </c>
      <c r="D2667" s="15"/>
      <c r="E2667" s="15"/>
      <c r="F2667" s="11">
        <f t="shared" si="21"/>
      </c>
      <c r="G2667" s="22" cm="1">
        <f t="array" ref="G2667">IF(AND(Inputs!$C$60,Inputs!$C$61),INDEX(Utility_Rates!$C$29:$F$52,HOUR(C2667)+Inputs!$C$69,MATCH(INDEX(Utility_Rates!$K$6:$K$17,MONTH(C2667))&amp;IF(WEEKDAY(C2667,Inputs!$C$76)&lt;=Inputs!$C$74," weekday"," weekend"),Utility_Rates!$C$28:$F$28,Inputs!$C$68)),"")</f>
      </c>
      <c r="H2667" s="34"/>
      <c r="I2667" s="42">
        <f>IF(AND(ISNUMBER(D2667),ISNUMBER(H2667)),D2667*H2667*Inputs!$C$69,"")</f>
      </c>
      <c r="J2667" s="42">
        <f>IF(AND(ISNUMBER(F2667),ISNUMBER(H2667),F2667&gt;=Inputs!$C$68),F2667*H2667*Inputs!$C$69,"")</f>
      </c>
    </row>
    <row r="2668" spans="2:10" ht="15" customHeight="1" x14ac:dyDescent="0.2">
      <c r="B2668" s="39">
        <f t="shared" si="20"/>
      </c>
      <c r="C2668" s="40">
        <f>IF(Inputs!$C$60,Inputs!$C$11+(B2668-Inputs!$C$69)/Inputs!$C$70,"")</f>
      </c>
      <c r="D2668" s="15"/>
      <c r="E2668" s="15"/>
      <c r="F2668" s="11">
        <f t="shared" si="21"/>
      </c>
      <c r="G2668" s="22" cm="1">
        <f t="array" ref="G2668">IF(AND(Inputs!$C$60,Inputs!$C$61),INDEX(Utility_Rates!$C$29:$F$52,HOUR(C2668)+Inputs!$C$69,MATCH(INDEX(Utility_Rates!$K$6:$K$17,MONTH(C2668))&amp;IF(WEEKDAY(C2668,Inputs!$C$76)&lt;=Inputs!$C$74," weekday"," weekend"),Utility_Rates!$C$28:$F$28,Inputs!$C$68)),"")</f>
      </c>
      <c r="H2668" s="34"/>
      <c r="I2668" s="42">
        <f>IF(AND(ISNUMBER(D2668),ISNUMBER(H2668)),D2668*H2668*Inputs!$C$69,"")</f>
      </c>
      <c r="J2668" s="42">
        <f>IF(AND(ISNUMBER(F2668),ISNUMBER(H2668),F2668&gt;=Inputs!$C$68),F2668*H2668*Inputs!$C$69,"")</f>
      </c>
    </row>
    <row r="2669" spans="2:10" ht="15" customHeight="1" x14ac:dyDescent="0.2">
      <c r="B2669" s="39">
        <f t="shared" si="20"/>
      </c>
      <c r="C2669" s="40">
        <f>IF(Inputs!$C$60,Inputs!$C$11+(B2669-Inputs!$C$69)/Inputs!$C$70,"")</f>
      </c>
      <c r="D2669" s="15"/>
      <c r="E2669" s="15"/>
      <c r="F2669" s="11">
        <f t="shared" si="21"/>
      </c>
      <c r="G2669" s="22" cm="1">
        <f t="array" ref="G2669">IF(AND(Inputs!$C$60,Inputs!$C$61),INDEX(Utility_Rates!$C$29:$F$52,HOUR(C2669)+Inputs!$C$69,MATCH(INDEX(Utility_Rates!$K$6:$K$17,MONTH(C2669))&amp;IF(WEEKDAY(C2669,Inputs!$C$76)&lt;=Inputs!$C$74," weekday"," weekend"),Utility_Rates!$C$28:$F$28,Inputs!$C$68)),"")</f>
      </c>
      <c r="H2669" s="34"/>
      <c r="I2669" s="42">
        <f>IF(AND(ISNUMBER(D2669),ISNUMBER(H2669)),D2669*H2669*Inputs!$C$69,"")</f>
      </c>
      <c r="J2669" s="42">
        <f>IF(AND(ISNUMBER(F2669),ISNUMBER(H2669),F2669&gt;=Inputs!$C$68),F2669*H2669*Inputs!$C$69,"")</f>
      </c>
    </row>
    <row r="2670" spans="2:10" ht="15" customHeight="1" x14ac:dyDescent="0.2">
      <c r="B2670" s="39">
        <f t="shared" si="20"/>
      </c>
      <c r="C2670" s="40">
        <f>IF(Inputs!$C$60,Inputs!$C$11+(B2670-Inputs!$C$69)/Inputs!$C$70,"")</f>
      </c>
      <c r="D2670" s="15"/>
      <c r="E2670" s="15"/>
      <c r="F2670" s="11">
        <f t="shared" si="21"/>
      </c>
      <c r="G2670" s="22" cm="1">
        <f t="array" ref="G2670">IF(AND(Inputs!$C$60,Inputs!$C$61),INDEX(Utility_Rates!$C$29:$F$52,HOUR(C2670)+Inputs!$C$69,MATCH(INDEX(Utility_Rates!$K$6:$K$17,MONTH(C2670))&amp;IF(WEEKDAY(C2670,Inputs!$C$76)&lt;=Inputs!$C$74," weekday"," weekend"),Utility_Rates!$C$28:$F$28,Inputs!$C$68)),"")</f>
      </c>
      <c r="H2670" s="34"/>
      <c r="I2670" s="42">
        <f>IF(AND(ISNUMBER(D2670),ISNUMBER(H2670)),D2670*H2670*Inputs!$C$69,"")</f>
      </c>
      <c r="J2670" s="42">
        <f>IF(AND(ISNUMBER(F2670),ISNUMBER(H2670),F2670&gt;=Inputs!$C$68),F2670*H2670*Inputs!$C$69,"")</f>
      </c>
    </row>
    <row r="2671" spans="2:10" ht="15" customHeight="1" x14ac:dyDescent="0.2">
      <c r="B2671" s="39">
        <f t="shared" si="20"/>
      </c>
      <c r="C2671" s="40">
        <f>IF(Inputs!$C$60,Inputs!$C$11+(B2671-Inputs!$C$69)/Inputs!$C$70,"")</f>
      </c>
      <c r="D2671" s="15"/>
      <c r="E2671" s="15"/>
      <c r="F2671" s="11">
        <f t="shared" si="21"/>
      </c>
      <c r="G2671" s="22" cm="1">
        <f t="array" ref="G2671">IF(AND(Inputs!$C$60,Inputs!$C$61),INDEX(Utility_Rates!$C$29:$F$52,HOUR(C2671)+Inputs!$C$69,MATCH(INDEX(Utility_Rates!$K$6:$K$17,MONTH(C2671))&amp;IF(WEEKDAY(C2671,Inputs!$C$76)&lt;=Inputs!$C$74," weekday"," weekend"),Utility_Rates!$C$28:$F$28,Inputs!$C$68)),"")</f>
      </c>
      <c r="H2671" s="34"/>
      <c r="I2671" s="42">
        <f>IF(AND(ISNUMBER(D2671),ISNUMBER(H2671)),D2671*H2671*Inputs!$C$69,"")</f>
      </c>
      <c r="J2671" s="42">
        <f>IF(AND(ISNUMBER(F2671),ISNUMBER(H2671),F2671&gt;=Inputs!$C$68),F2671*H2671*Inputs!$C$69,"")</f>
      </c>
    </row>
    <row r="2672" spans="2:10" ht="15" customHeight="1" x14ac:dyDescent="0.2">
      <c r="B2672" s="39">
        <f t="shared" si="20"/>
      </c>
      <c r="C2672" s="40">
        <f>IF(Inputs!$C$60,Inputs!$C$11+(B2672-Inputs!$C$69)/Inputs!$C$70,"")</f>
      </c>
      <c r="D2672" s="15"/>
      <c r="E2672" s="15"/>
      <c r="F2672" s="11">
        <f t="shared" si="21"/>
      </c>
      <c r="G2672" s="22" cm="1">
        <f t="array" ref="G2672">IF(AND(Inputs!$C$60,Inputs!$C$61),INDEX(Utility_Rates!$C$29:$F$52,HOUR(C2672)+Inputs!$C$69,MATCH(INDEX(Utility_Rates!$K$6:$K$17,MONTH(C2672))&amp;IF(WEEKDAY(C2672,Inputs!$C$76)&lt;=Inputs!$C$74," weekday"," weekend"),Utility_Rates!$C$28:$F$28,Inputs!$C$68)),"")</f>
      </c>
      <c r="H2672" s="34"/>
      <c r="I2672" s="42">
        <f>IF(AND(ISNUMBER(D2672),ISNUMBER(H2672)),D2672*H2672*Inputs!$C$69,"")</f>
      </c>
      <c r="J2672" s="42">
        <f>IF(AND(ISNUMBER(F2672),ISNUMBER(H2672),F2672&gt;=Inputs!$C$68),F2672*H2672*Inputs!$C$69,"")</f>
      </c>
    </row>
    <row r="2673" spans="2:10" ht="15" customHeight="1" x14ac:dyDescent="0.2">
      <c r="B2673" s="39">
        <f t="shared" si="20"/>
      </c>
      <c r="C2673" s="40">
        <f>IF(Inputs!$C$60,Inputs!$C$11+(B2673-Inputs!$C$69)/Inputs!$C$70,"")</f>
      </c>
      <c r="D2673" s="15"/>
      <c r="E2673" s="15"/>
      <c r="F2673" s="11">
        <f t="shared" si="21"/>
      </c>
      <c r="G2673" s="22" cm="1">
        <f t="array" ref="G2673">IF(AND(Inputs!$C$60,Inputs!$C$61),INDEX(Utility_Rates!$C$29:$F$52,HOUR(C2673)+Inputs!$C$69,MATCH(INDEX(Utility_Rates!$K$6:$K$17,MONTH(C2673))&amp;IF(WEEKDAY(C2673,Inputs!$C$76)&lt;=Inputs!$C$74," weekday"," weekend"),Utility_Rates!$C$28:$F$28,Inputs!$C$68)),"")</f>
      </c>
      <c r="H2673" s="34"/>
      <c r="I2673" s="42">
        <f>IF(AND(ISNUMBER(D2673),ISNUMBER(H2673)),D2673*H2673*Inputs!$C$69,"")</f>
      </c>
      <c r="J2673" s="42">
        <f>IF(AND(ISNUMBER(F2673),ISNUMBER(H2673),F2673&gt;=Inputs!$C$68),F2673*H2673*Inputs!$C$69,"")</f>
      </c>
    </row>
    <row r="2674" spans="2:10" ht="15" customHeight="1" x14ac:dyDescent="0.2">
      <c r="B2674" s="39">
        <f t="shared" si="20"/>
      </c>
      <c r="C2674" s="40">
        <f>IF(Inputs!$C$60,Inputs!$C$11+(B2674-Inputs!$C$69)/Inputs!$C$70,"")</f>
      </c>
      <c r="D2674" s="15"/>
      <c r="E2674" s="15"/>
      <c r="F2674" s="11">
        <f t="shared" si="21"/>
      </c>
      <c r="G2674" s="22" cm="1">
        <f t="array" ref="G2674">IF(AND(Inputs!$C$60,Inputs!$C$61),INDEX(Utility_Rates!$C$29:$F$52,HOUR(C2674)+Inputs!$C$69,MATCH(INDEX(Utility_Rates!$K$6:$K$17,MONTH(C2674))&amp;IF(WEEKDAY(C2674,Inputs!$C$76)&lt;=Inputs!$C$74," weekday"," weekend"),Utility_Rates!$C$28:$F$28,Inputs!$C$68)),"")</f>
      </c>
      <c r="H2674" s="34"/>
      <c r="I2674" s="42">
        <f>IF(AND(ISNUMBER(D2674),ISNUMBER(H2674)),D2674*H2674*Inputs!$C$69,"")</f>
      </c>
      <c r="J2674" s="42">
        <f>IF(AND(ISNUMBER(F2674),ISNUMBER(H2674),F2674&gt;=Inputs!$C$68),F2674*H2674*Inputs!$C$69,"")</f>
      </c>
    </row>
    <row r="2675" spans="2:10" ht="15" customHeight="1" x14ac:dyDescent="0.2">
      <c r="B2675" s="39">
        <f t="shared" si="20"/>
      </c>
      <c r="C2675" s="40">
        <f>IF(Inputs!$C$60,Inputs!$C$11+(B2675-Inputs!$C$69)/Inputs!$C$70,"")</f>
      </c>
      <c r="D2675" s="15"/>
      <c r="E2675" s="15"/>
      <c r="F2675" s="11">
        <f t="shared" si="21"/>
      </c>
      <c r="G2675" s="22" cm="1">
        <f t="array" ref="G2675">IF(AND(Inputs!$C$60,Inputs!$C$61),INDEX(Utility_Rates!$C$29:$F$52,HOUR(C2675)+Inputs!$C$69,MATCH(INDEX(Utility_Rates!$K$6:$K$17,MONTH(C2675))&amp;IF(WEEKDAY(C2675,Inputs!$C$76)&lt;=Inputs!$C$74," weekday"," weekend"),Utility_Rates!$C$28:$F$28,Inputs!$C$68)),"")</f>
      </c>
      <c r="H2675" s="34"/>
      <c r="I2675" s="42">
        <f>IF(AND(ISNUMBER(D2675),ISNUMBER(H2675)),D2675*H2675*Inputs!$C$69,"")</f>
      </c>
      <c r="J2675" s="42">
        <f>IF(AND(ISNUMBER(F2675),ISNUMBER(H2675),F2675&gt;=Inputs!$C$68),F2675*H2675*Inputs!$C$69,"")</f>
      </c>
    </row>
    <row r="2676" spans="2:10" ht="15" customHeight="1" x14ac:dyDescent="0.2">
      <c r="B2676" s="39">
        <f t="shared" si="20"/>
      </c>
      <c r="C2676" s="40">
        <f>IF(Inputs!$C$60,Inputs!$C$11+(B2676-Inputs!$C$69)/Inputs!$C$70,"")</f>
      </c>
      <c r="D2676" s="15"/>
      <c r="E2676" s="15"/>
      <c r="F2676" s="11">
        <f t="shared" si="21"/>
      </c>
      <c r="G2676" s="22" cm="1">
        <f t="array" ref="G2676">IF(AND(Inputs!$C$60,Inputs!$C$61),INDEX(Utility_Rates!$C$29:$F$52,HOUR(C2676)+Inputs!$C$69,MATCH(INDEX(Utility_Rates!$K$6:$K$17,MONTH(C2676))&amp;IF(WEEKDAY(C2676,Inputs!$C$76)&lt;=Inputs!$C$74," weekday"," weekend"),Utility_Rates!$C$28:$F$28,Inputs!$C$68)),"")</f>
      </c>
      <c r="H2676" s="34"/>
      <c r="I2676" s="42">
        <f>IF(AND(ISNUMBER(D2676),ISNUMBER(H2676)),D2676*H2676*Inputs!$C$69,"")</f>
      </c>
      <c r="J2676" s="42">
        <f>IF(AND(ISNUMBER(F2676),ISNUMBER(H2676),F2676&gt;=Inputs!$C$68),F2676*H2676*Inputs!$C$69,"")</f>
      </c>
    </row>
    <row r="2677" spans="2:10" ht="15" customHeight="1" x14ac:dyDescent="0.2">
      <c r="B2677" s="39">
        <f t="shared" si="20"/>
      </c>
      <c r="C2677" s="40">
        <f>IF(Inputs!$C$60,Inputs!$C$11+(B2677-Inputs!$C$69)/Inputs!$C$70,"")</f>
      </c>
      <c r="D2677" s="15"/>
      <c r="E2677" s="15"/>
      <c r="F2677" s="11">
        <f t="shared" si="21"/>
      </c>
      <c r="G2677" s="22" cm="1">
        <f t="array" ref="G2677">IF(AND(Inputs!$C$60,Inputs!$C$61),INDEX(Utility_Rates!$C$29:$F$52,HOUR(C2677)+Inputs!$C$69,MATCH(INDEX(Utility_Rates!$K$6:$K$17,MONTH(C2677))&amp;IF(WEEKDAY(C2677,Inputs!$C$76)&lt;=Inputs!$C$74," weekday"," weekend"),Utility_Rates!$C$28:$F$28,Inputs!$C$68)),"")</f>
      </c>
      <c r="H2677" s="34"/>
      <c r="I2677" s="42">
        <f>IF(AND(ISNUMBER(D2677),ISNUMBER(H2677)),D2677*H2677*Inputs!$C$69,"")</f>
      </c>
      <c r="J2677" s="42">
        <f>IF(AND(ISNUMBER(F2677),ISNUMBER(H2677),F2677&gt;=Inputs!$C$68),F2677*H2677*Inputs!$C$69,"")</f>
      </c>
    </row>
    <row r="2678" spans="2:10" ht="15" customHeight="1" x14ac:dyDescent="0.2">
      <c r="B2678" s="39">
        <f t="shared" si="20"/>
      </c>
      <c r="C2678" s="40">
        <f>IF(Inputs!$C$60,Inputs!$C$11+(B2678-Inputs!$C$69)/Inputs!$C$70,"")</f>
      </c>
      <c r="D2678" s="15"/>
      <c r="E2678" s="15"/>
      <c r="F2678" s="11">
        <f t="shared" si="21"/>
      </c>
      <c r="G2678" s="22" cm="1">
        <f t="array" ref="G2678">IF(AND(Inputs!$C$60,Inputs!$C$61),INDEX(Utility_Rates!$C$29:$F$52,HOUR(C2678)+Inputs!$C$69,MATCH(INDEX(Utility_Rates!$K$6:$K$17,MONTH(C2678))&amp;IF(WEEKDAY(C2678,Inputs!$C$76)&lt;=Inputs!$C$74," weekday"," weekend"),Utility_Rates!$C$28:$F$28,Inputs!$C$68)),"")</f>
      </c>
      <c r="H2678" s="34"/>
      <c r="I2678" s="42">
        <f>IF(AND(ISNUMBER(D2678),ISNUMBER(H2678)),D2678*H2678*Inputs!$C$69,"")</f>
      </c>
      <c r="J2678" s="42">
        <f>IF(AND(ISNUMBER(F2678),ISNUMBER(H2678),F2678&gt;=Inputs!$C$68),F2678*H2678*Inputs!$C$69,"")</f>
      </c>
    </row>
    <row r="2679" spans="2:10" ht="15" customHeight="1" x14ac:dyDescent="0.2">
      <c r="B2679" s="39">
        <f t="shared" si="20"/>
      </c>
      <c r="C2679" s="40">
        <f>IF(Inputs!$C$60,Inputs!$C$11+(B2679-Inputs!$C$69)/Inputs!$C$70,"")</f>
      </c>
      <c r="D2679" s="15"/>
      <c r="E2679" s="15"/>
      <c r="F2679" s="11">
        <f t="shared" si="21"/>
      </c>
      <c r="G2679" s="22" cm="1">
        <f t="array" ref="G2679">IF(AND(Inputs!$C$60,Inputs!$C$61),INDEX(Utility_Rates!$C$29:$F$52,HOUR(C2679)+Inputs!$C$69,MATCH(INDEX(Utility_Rates!$K$6:$K$17,MONTH(C2679))&amp;IF(WEEKDAY(C2679,Inputs!$C$76)&lt;=Inputs!$C$74," weekday"," weekend"),Utility_Rates!$C$28:$F$28,Inputs!$C$68)),"")</f>
      </c>
      <c r="H2679" s="34"/>
      <c r="I2679" s="42">
        <f>IF(AND(ISNUMBER(D2679),ISNUMBER(H2679)),D2679*H2679*Inputs!$C$69,"")</f>
      </c>
      <c r="J2679" s="42">
        <f>IF(AND(ISNUMBER(F2679),ISNUMBER(H2679),F2679&gt;=Inputs!$C$68),F2679*H2679*Inputs!$C$69,"")</f>
      </c>
    </row>
    <row r="2680" spans="2:10" ht="15" customHeight="1" x14ac:dyDescent="0.2">
      <c r="B2680" s="39">
        <f t="shared" si="20"/>
      </c>
      <c r="C2680" s="40">
        <f>IF(Inputs!$C$60,Inputs!$C$11+(B2680-Inputs!$C$69)/Inputs!$C$70,"")</f>
      </c>
      <c r="D2680" s="15"/>
      <c r="E2680" s="15"/>
      <c r="F2680" s="11">
        <f t="shared" si="21"/>
      </c>
      <c r="G2680" s="22" cm="1">
        <f t="array" ref="G2680">IF(AND(Inputs!$C$60,Inputs!$C$61),INDEX(Utility_Rates!$C$29:$F$52,HOUR(C2680)+Inputs!$C$69,MATCH(INDEX(Utility_Rates!$K$6:$K$17,MONTH(C2680))&amp;IF(WEEKDAY(C2680,Inputs!$C$76)&lt;=Inputs!$C$74," weekday"," weekend"),Utility_Rates!$C$28:$F$28,Inputs!$C$68)),"")</f>
      </c>
      <c r="H2680" s="34"/>
      <c r="I2680" s="42">
        <f>IF(AND(ISNUMBER(D2680),ISNUMBER(H2680)),D2680*H2680*Inputs!$C$69,"")</f>
      </c>
      <c r="J2680" s="42">
        <f>IF(AND(ISNUMBER(F2680),ISNUMBER(H2680),F2680&gt;=Inputs!$C$68),F2680*H2680*Inputs!$C$69,"")</f>
      </c>
    </row>
    <row r="2681" spans="2:10" ht="15" customHeight="1" x14ac:dyDescent="0.2">
      <c r="B2681" s="39">
        <f t="shared" si="20"/>
      </c>
      <c r="C2681" s="40">
        <f>IF(Inputs!$C$60,Inputs!$C$11+(B2681-Inputs!$C$69)/Inputs!$C$70,"")</f>
      </c>
      <c r="D2681" s="15"/>
      <c r="E2681" s="15"/>
      <c r="F2681" s="11">
        <f t="shared" si="21"/>
      </c>
      <c r="G2681" s="22" cm="1">
        <f t="array" ref="G2681">IF(AND(Inputs!$C$60,Inputs!$C$61),INDEX(Utility_Rates!$C$29:$F$52,HOUR(C2681)+Inputs!$C$69,MATCH(INDEX(Utility_Rates!$K$6:$K$17,MONTH(C2681))&amp;IF(WEEKDAY(C2681,Inputs!$C$76)&lt;=Inputs!$C$74," weekday"," weekend"),Utility_Rates!$C$28:$F$28,Inputs!$C$68)),"")</f>
      </c>
      <c r="H2681" s="34"/>
      <c r="I2681" s="42">
        <f>IF(AND(ISNUMBER(D2681),ISNUMBER(H2681)),D2681*H2681*Inputs!$C$69,"")</f>
      </c>
      <c r="J2681" s="42">
        <f>IF(AND(ISNUMBER(F2681),ISNUMBER(H2681),F2681&gt;=Inputs!$C$68),F2681*H2681*Inputs!$C$69,"")</f>
      </c>
    </row>
    <row r="2682" spans="2:10" ht="15" customHeight="1" x14ac:dyDescent="0.2">
      <c r="B2682" s="39">
        <f t="shared" si="20"/>
      </c>
      <c r="C2682" s="40">
        <f>IF(Inputs!$C$60,Inputs!$C$11+(B2682-Inputs!$C$69)/Inputs!$C$70,"")</f>
      </c>
      <c r="D2682" s="15"/>
      <c r="E2682" s="15"/>
      <c r="F2682" s="11">
        <f t="shared" si="21"/>
      </c>
      <c r="G2682" s="22" cm="1">
        <f t="array" ref="G2682">IF(AND(Inputs!$C$60,Inputs!$C$61),INDEX(Utility_Rates!$C$29:$F$52,HOUR(C2682)+Inputs!$C$69,MATCH(INDEX(Utility_Rates!$K$6:$K$17,MONTH(C2682))&amp;IF(WEEKDAY(C2682,Inputs!$C$76)&lt;=Inputs!$C$74," weekday"," weekend"),Utility_Rates!$C$28:$F$28,Inputs!$C$68)),"")</f>
      </c>
      <c r="H2682" s="34"/>
      <c r="I2682" s="42">
        <f>IF(AND(ISNUMBER(D2682),ISNUMBER(H2682)),D2682*H2682*Inputs!$C$69,"")</f>
      </c>
      <c r="J2682" s="42">
        <f>IF(AND(ISNUMBER(F2682),ISNUMBER(H2682),F2682&gt;=Inputs!$C$68),F2682*H2682*Inputs!$C$69,"")</f>
      </c>
    </row>
    <row r="2683" spans="2:10" ht="15" customHeight="1" x14ac:dyDescent="0.2">
      <c r="B2683" s="39">
        <f t="shared" si="20"/>
      </c>
      <c r="C2683" s="40">
        <f>IF(Inputs!$C$60,Inputs!$C$11+(B2683-Inputs!$C$69)/Inputs!$C$70,"")</f>
      </c>
      <c r="D2683" s="15"/>
      <c r="E2683" s="15"/>
      <c r="F2683" s="11">
        <f t="shared" si="21"/>
      </c>
      <c r="G2683" s="22" cm="1">
        <f t="array" ref="G2683">IF(AND(Inputs!$C$60,Inputs!$C$61),INDEX(Utility_Rates!$C$29:$F$52,HOUR(C2683)+Inputs!$C$69,MATCH(INDEX(Utility_Rates!$K$6:$K$17,MONTH(C2683))&amp;IF(WEEKDAY(C2683,Inputs!$C$76)&lt;=Inputs!$C$74," weekday"," weekend"),Utility_Rates!$C$28:$F$28,Inputs!$C$68)),"")</f>
      </c>
      <c r="H2683" s="34"/>
      <c r="I2683" s="42">
        <f>IF(AND(ISNUMBER(D2683),ISNUMBER(H2683)),D2683*H2683*Inputs!$C$69,"")</f>
      </c>
      <c r="J2683" s="42">
        <f>IF(AND(ISNUMBER(F2683),ISNUMBER(H2683),F2683&gt;=Inputs!$C$68),F2683*H2683*Inputs!$C$69,"")</f>
      </c>
    </row>
    <row r="2684" spans="2:10" ht="15" customHeight="1" x14ac:dyDescent="0.2">
      <c r="B2684" s="39">
        <f t="shared" si="20"/>
      </c>
      <c r="C2684" s="40">
        <f>IF(Inputs!$C$60,Inputs!$C$11+(B2684-Inputs!$C$69)/Inputs!$C$70,"")</f>
      </c>
      <c r="D2684" s="15"/>
      <c r="E2684" s="15"/>
      <c r="F2684" s="11">
        <f t="shared" si="21"/>
      </c>
      <c r="G2684" s="22" cm="1">
        <f t="array" ref="G2684">IF(AND(Inputs!$C$60,Inputs!$C$61),INDEX(Utility_Rates!$C$29:$F$52,HOUR(C2684)+Inputs!$C$69,MATCH(INDEX(Utility_Rates!$K$6:$K$17,MONTH(C2684))&amp;IF(WEEKDAY(C2684,Inputs!$C$76)&lt;=Inputs!$C$74," weekday"," weekend"),Utility_Rates!$C$28:$F$28,Inputs!$C$68)),"")</f>
      </c>
      <c r="H2684" s="34"/>
      <c r="I2684" s="42">
        <f>IF(AND(ISNUMBER(D2684),ISNUMBER(H2684)),D2684*H2684*Inputs!$C$69,"")</f>
      </c>
      <c r="J2684" s="42">
        <f>IF(AND(ISNUMBER(F2684),ISNUMBER(H2684),F2684&gt;=Inputs!$C$68),F2684*H2684*Inputs!$C$69,"")</f>
      </c>
    </row>
    <row r="2685" spans="2:10" ht="15" customHeight="1" x14ac:dyDescent="0.2">
      <c r="B2685" s="39">
        <f t="shared" si="20"/>
      </c>
      <c r="C2685" s="40">
        <f>IF(Inputs!$C$60,Inputs!$C$11+(B2685-Inputs!$C$69)/Inputs!$C$70,"")</f>
      </c>
      <c r="D2685" s="15"/>
      <c r="E2685" s="15"/>
      <c r="F2685" s="11">
        <f t="shared" si="21"/>
      </c>
      <c r="G2685" s="22" cm="1">
        <f t="array" ref="G2685">IF(AND(Inputs!$C$60,Inputs!$C$61),INDEX(Utility_Rates!$C$29:$F$52,HOUR(C2685)+Inputs!$C$69,MATCH(INDEX(Utility_Rates!$K$6:$K$17,MONTH(C2685))&amp;IF(WEEKDAY(C2685,Inputs!$C$76)&lt;=Inputs!$C$74," weekday"," weekend"),Utility_Rates!$C$28:$F$28,Inputs!$C$68)),"")</f>
      </c>
      <c r="H2685" s="34"/>
      <c r="I2685" s="42">
        <f>IF(AND(ISNUMBER(D2685),ISNUMBER(H2685)),D2685*H2685*Inputs!$C$69,"")</f>
      </c>
      <c r="J2685" s="42">
        <f>IF(AND(ISNUMBER(F2685),ISNUMBER(H2685),F2685&gt;=Inputs!$C$68),F2685*H2685*Inputs!$C$69,"")</f>
      </c>
    </row>
    <row r="2686" spans="2:10" ht="15" customHeight="1" x14ac:dyDescent="0.2">
      <c r="B2686" s="39">
        <f t="shared" si="20"/>
      </c>
      <c r="C2686" s="40">
        <f>IF(Inputs!$C$60,Inputs!$C$11+(B2686-Inputs!$C$69)/Inputs!$C$70,"")</f>
      </c>
      <c r="D2686" s="15"/>
      <c r="E2686" s="15"/>
      <c r="F2686" s="11">
        <f t="shared" si="21"/>
      </c>
      <c r="G2686" s="22" cm="1">
        <f t="array" ref="G2686">IF(AND(Inputs!$C$60,Inputs!$C$61),INDEX(Utility_Rates!$C$29:$F$52,HOUR(C2686)+Inputs!$C$69,MATCH(INDEX(Utility_Rates!$K$6:$K$17,MONTH(C2686))&amp;IF(WEEKDAY(C2686,Inputs!$C$76)&lt;=Inputs!$C$74," weekday"," weekend"),Utility_Rates!$C$28:$F$28,Inputs!$C$68)),"")</f>
      </c>
      <c r="H2686" s="34"/>
      <c r="I2686" s="42">
        <f>IF(AND(ISNUMBER(D2686),ISNUMBER(H2686)),D2686*H2686*Inputs!$C$69,"")</f>
      </c>
      <c r="J2686" s="42">
        <f>IF(AND(ISNUMBER(F2686),ISNUMBER(H2686),F2686&gt;=Inputs!$C$68),F2686*H2686*Inputs!$C$69,"")</f>
      </c>
    </row>
    <row r="2687" spans="2:10" ht="15" customHeight="1" x14ac:dyDescent="0.2">
      <c r="B2687" s="39">
        <f t="shared" si="20"/>
      </c>
      <c r="C2687" s="40">
        <f>IF(Inputs!$C$60,Inputs!$C$11+(B2687-Inputs!$C$69)/Inputs!$C$70,"")</f>
      </c>
      <c r="D2687" s="15"/>
      <c r="E2687" s="15"/>
      <c r="F2687" s="11">
        <f t="shared" si="21"/>
      </c>
      <c r="G2687" s="22" cm="1">
        <f t="array" ref="G2687">IF(AND(Inputs!$C$60,Inputs!$C$61),INDEX(Utility_Rates!$C$29:$F$52,HOUR(C2687)+Inputs!$C$69,MATCH(INDEX(Utility_Rates!$K$6:$K$17,MONTH(C2687))&amp;IF(WEEKDAY(C2687,Inputs!$C$76)&lt;=Inputs!$C$74," weekday"," weekend"),Utility_Rates!$C$28:$F$28,Inputs!$C$68)),"")</f>
      </c>
      <c r="H2687" s="34"/>
      <c r="I2687" s="42">
        <f>IF(AND(ISNUMBER(D2687),ISNUMBER(H2687)),D2687*H2687*Inputs!$C$69,"")</f>
      </c>
      <c r="J2687" s="42">
        <f>IF(AND(ISNUMBER(F2687),ISNUMBER(H2687),F2687&gt;=Inputs!$C$68),F2687*H2687*Inputs!$C$69,"")</f>
      </c>
    </row>
    <row r="2688" spans="2:10" ht="15" customHeight="1" x14ac:dyDescent="0.2">
      <c r="B2688" s="39">
        <f t="shared" si="20"/>
      </c>
      <c r="C2688" s="40">
        <f>IF(Inputs!$C$60,Inputs!$C$11+(B2688-Inputs!$C$69)/Inputs!$C$70,"")</f>
      </c>
      <c r="D2688" s="15"/>
      <c r="E2688" s="15"/>
      <c r="F2688" s="11">
        <f t="shared" si="21"/>
      </c>
      <c r="G2688" s="22" cm="1">
        <f t="array" ref="G2688">IF(AND(Inputs!$C$60,Inputs!$C$61),INDEX(Utility_Rates!$C$29:$F$52,HOUR(C2688)+Inputs!$C$69,MATCH(INDEX(Utility_Rates!$K$6:$K$17,MONTH(C2688))&amp;IF(WEEKDAY(C2688,Inputs!$C$76)&lt;=Inputs!$C$74," weekday"," weekend"),Utility_Rates!$C$28:$F$28,Inputs!$C$68)),"")</f>
      </c>
      <c r="H2688" s="34"/>
      <c r="I2688" s="42">
        <f>IF(AND(ISNUMBER(D2688),ISNUMBER(H2688)),D2688*H2688*Inputs!$C$69,"")</f>
      </c>
      <c r="J2688" s="42">
        <f>IF(AND(ISNUMBER(F2688),ISNUMBER(H2688),F2688&gt;=Inputs!$C$68),F2688*H2688*Inputs!$C$69,"")</f>
      </c>
    </row>
    <row r="2689" spans="2:10" ht="15" customHeight="1" x14ac:dyDescent="0.2">
      <c r="B2689" s="39">
        <f t="shared" si="20"/>
      </c>
      <c r="C2689" s="40">
        <f>IF(Inputs!$C$60,Inputs!$C$11+(B2689-Inputs!$C$69)/Inputs!$C$70,"")</f>
      </c>
      <c r="D2689" s="15"/>
      <c r="E2689" s="15"/>
      <c r="F2689" s="11">
        <f t="shared" si="21"/>
      </c>
      <c r="G2689" s="22" cm="1">
        <f t="array" ref="G2689">IF(AND(Inputs!$C$60,Inputs!$C$61),INDEX(Utility_Rates!$C$29:$F$52,HOUR(C2689)+Inputs!$C$69,MATCH(INDEX(Utility_Rates!$K$6:$K$17,MONTH(C2689))&amp;IF(WEEKDAY(C2689,Inputs!$C$76)&lt;=Inputs!$C$74," weekday"," weekend"),Utility_Rates!$C$28:$F$28,Inputs!$C$68)),"")</f>
      </c>
      <c r="H2689" s="34"/>
      <c r="I2689" s="42">
        <f>IF(AND(ISNUMBER(D2689),ISNUMBER(H2689)),D2689*H2689*Inputs!$C$69,"")</f>
      </c>
      <c r="J2689" s="42">
        <f>IF(AND(ISNUMBER(F2689),ISNUMBER(H2689),F2689&gt;=Inputs!$C$68),F2689*H2689*Inputs!$C$69,"")</f>
      </c>
    </row>
    <row r="2690" spans="2:10" ht="15" customHeight="1" x14ac:dyDescent="0.2">
      <c r="B2690" s="39">
        <f t="shared" si="20"/>
      </c>
      <c r="C2690" s="40">
        <f>IF(Inputs!$C$60,Inputs!$C$11+(B2690-Inputs!$C$69)/Inputs!$C$70,"")</f>
      </c>
      <c r="D2690" s="15"/>
      <c r="E2690" s="15"/>
      <c r="F2690" s="11">
        <f t="shared" si="21"/>
      </c>
      <c r="G2690" s="22" cm="1">
        <f t="array" ref="G2690">IF(AND(Inputs!$C$60,Inputs!$C$61),INDEX(Utility_Rates!$C$29:$F$52,HOUR(C2690)+Inputs!$C$69,MATCH(INDEX(Utility_Rates!$K$6:$K$17,MONTH(C2690))&amp;IF(WEEKDAY(C2690,Inputs!$C$76)&lt;=Inputs!$C$74," weekday"," weekend"),Utility_Rates!$C$28:$F$28,Inputs!$C$68)),"")</f>
      </c>
      <c r="H2690" s="34"/>
      <c r="I2690" s="42">
        <f>IF(AND(ISNUMBER(D2690),ISNUMBER(H2690)),D2690*H2690*Inputs!$C$69,"")</f>
      </c>
      <c r="J2690" s="42">
        <f>IF(AND(ISNUMBER(F2690),ISNUMBER(H2690),F2690&gt;=Inputs!$C$68),F2690*H2690*Inputs!$C$69,"")</f>
      </c>
    </row>
    <row r="2691" spans="2:10" ht="15" customHeight="1" x14ac:dyDescent="0.2">
      <c r="B2691" s="39">
        <f t="shared" si="20"/>
      </c>
      <c r="C2691" s="40">
        <f>IF(Inputs!$C$60,Inputs!$C$11+(B2691-Inputs!$C$69)/Inputs!$C$70,"")</f>
      </c>
      <c r="D2691" s="15"/>
      <c r="E2691" s="15"/>
      <c r="F2691" s="11">
        <f t="shared" si="21"/>
      </c>
      <c r="G2691" s="22" cm="1">
        <f t="array" ref="G2691">IF(AND(Inputs!$C$60,Inputs!$C$61),INDEX(Utility_Rates!$C$29:$F$52,HOUR(C2691)+Inputs!$C$69,MATCH(INDEX(Utility_Rates!$K$6:$K$17,MONTH(C2691))&amp;IF(WEEKDAY(C2691,Inputs!$C$76)&lt;=Inputs!$C$74," weekday"," weekend"),Utility_Rates!$C$28:$F$28,Inputs!$C$68)),"")</f>
      </c>
      <c r="H2691" s="34"/>
      <c r="I2691" s="42">
        <f>IF(AND(ISNUMBER(D2691),ISNUMBER(H2691)),D2691*H2691*Inputs!$C$69,"")</f>
      </c>
      <c r="J2691" s="42">
        <f>IF(AND(ISNUMBER(F2691),ISNUMBER(H2691),F2691&gt;=Inputs!$C$68),F2691*H2691*Inputs!$C$69,"")</f>
      </c>
    </row>
    <row r="2692" spans="2:10" ht="15" customHeight="1" x14ac:dyDescent="0.2">
      <c r="B2692" s="39">
        <f t="shared" si="20"/>
      </c>
      <c r="C2692" s="40">
        <f>IF(Inputs!$C$60,Inputs!$C$11+(B2692-Inputs!$C$69)/Inputs!$C$70,"")</f>
      </c>
      <c r="D2692" s="15"/>
      <c r="E2692" s="15"/>
      <c r="F2692" s="11">
        <f t="shared" si="21"/>
      </c>
      <c r="G2692" s="22" cm="1">
        <f t="array" ref="G2692">IF(AND(Inputs!$C$60,Inputs!$C$61),INDEX(Utility_Rates!$C$29:$F$52,HOUR(C2692)+Inputs!$C$69,MATCH(INDEX(Utility_Rates!$K$6:$K$17,MONTH(C2692))&amp;IF(WEEKDAY(C2692,Inputs!$C$76)&lt;=Inputs!$C$74," weekday"," weekend"),Utility_Rates!$C$28:$F$28,Inputs!$C$68)),"")</f>
      </c>
      <c r="H2692" s="34"/>
      <c r="I2692" s="42">
        <f>IF(AND(ISNUMBER(D2692),ISNUMBER(H2692)),D2692*H2692*Inputs!$C$69,"")</f>
      </c>
      <c r="J2692" s="42">
        <f>IF(AND(ISNUMBER(F2692),ISNUMBER(H2692),F2692&gt;=Inputs!$C$68),F2692*H2692*Inputs!$C$69,"")</f>
      </c>
    </row>
    <row r="2693" spans="2:10" ht="15" customHeight="1" x14ac:dyDescent="0.2">
      <c r="B2693" s="39">
        <f t="shared" si="20"/>
      </c>
      <c r="C2693" s="40">
        <f>IF(Inputs!$C$60,Inputs!$C$11+(B2693-Inputs!$C$69)/Inputs!$C$70,"")</f>
      </c>
      <c r="D2693" s="15"/>
      <c r="E2693" s="15"/>
      <c r="F2693" s="11">
        <f t="shared" si="21"/>
      </c>
      <c r="G2693" s="22" cm="1">
        <f t="array" ref="G2693">IF(AND(Inputs!$C$60,Inputs!$C$61),INDEX(Utility_Rates!$C$29:$F$52,HOUR(C2693)+Inputs!$C$69,MATCH(INDEX(Utility_Rates!$K$6:$K$17,MONTH(C2693))&amp;IF(WEEKDAY(C2693,Inputs!$C$76)&lt;=Inputs!$C$74," weekday"," weekend"),Utility_Rates!$C$28:$F$28,Inputs!$C$68)),"")</f>
      </c>
      <c r="H2693" s="34"/>
      <c r="I2693" s="42">
        <f>IF(AND(ISNUMBER(D2693),ISNUMBER(H2693)),D2693*H2693*Inputs!$C$69,"")</f>
      </c>
      <c r="J2693" s="42">
        <f>IF(AND(ISNUMBER(F2693),ISNUMBER(H2693),F2693&gt;=Inputs!$C$68),F2693*H2693*Inputs!$C$69,"")</f>
      </c>
    </row>
    <row r="2694" spans="2:10" ht="15" customHeight="1" x14ac:dyDescent="0.2">
      <c r="B2694" s="39">
        <f t="shared" si="20"/>
      </c>
      <c r="C2694" s="40">
        <f>IF(Inputs!$C$60,Inputs!$C$11+(B2694-Inputs!$C$69)/Inputs!$C$70,"")</f>
      </c>
      <c r="D2694" s="15"/>
      <c r="E2694" s="15"/>
      <c r="F2694" s="11">
        <f t="shared" si="21"/>
      </c>
      <c r="G2694" s="22" cm="1">
        <f t="array" ref="G2694">IF(AND(Inputs!$C$60,Inputs!$C$61),INDEX(Utility_Rates!$C$29:$F$52,HOUR(C2694)+Inputs!$C$69,MATCH(INDEX(Utility_Rates!$K$6:$K$17,MONTH(C2694))&amp;IF(WEEKDAY(C2694,Inputs!$C$76)&lt;=Inputs!$C$74," weekday"," weekend"),Utility_Rates!$C$28:$F$28,Inputs!$C$68)),"")</f>
      </c>
      <c r="H2694" s="34"/>
      <c r="I2694" s="42">
        <f>IF(AND(ISNUMBER(D2694),ISNUMBER(H2694)),D2694*H2694*Inputs!$C$69,"")</f>
      </c>
      <c r="J2694" s="42">
        <f>IF(AND(ISNUMBER(F2694),ISNUMBER(H2694),F2694&gt;=Inputs!$C$68),F2694*H2694*Inputs!$C$69,"")</f>
      </c>
    </row>
    <row r="2695" spans="2:10" ht="15" customHeight="1" x14ac:dyDescent="0.2">
      <c r="B2695" s="39">
        <f t="shared" si="20"/>
      </c>
      <c r="C2695" s="40">
        <f>IF(Inputs!$C$60,Inputs!$C$11+(B2695-Inputs!$C$69)/Inputs!$C$70,"")</f>
      </c>
      <c r="D2695" s="15"/>
      <c r="E2695" s="15"/>
      <c r="F2695" s="11">
        <f t="shared" si="21"/>
      </c>
      <c r="G2695" s="22" cm="1">
        <f t="array" ref="G2695">IF(AND(Inputs!$C$60,Inputs!$C$61),INDEX(Utility_Rates!$C$29:$F$52,HOUR(C2695)+Inputs!$C$69,MATCH(INDEX(Utility_Rates!$K$6:$K$17,MONTH(C2695))&amp;IF(WEEKDAY(C2695,Inputs!$C$76)&lt;=Inputs!$C$74," weekday"," weekend"),Utility_Rates!$C$28:$F$28,Inputs!$C$68)),"")</f>
      </c>
      <c r="H2695" s="34"/>
      <c r="I2695" s="42">
        <f>IF(AND(ISNUMBER(D2695),ISNUMBER(H2695)),D2695*H2695*Inputs!$C$69,"")</f>
      </c>
      <c r="J2695" s="42">
        <f>IF(AND(ISNUMBER(F2695),ISNUMBER(H2695),F2695&gt;=Inputs!$C$68),F2695*H2695*Inputs!$C$69,"")</f>
      </c>
    </row>
    <row r="2696" spans="2:10" ht="15" customHeight="1" x14ac:dyDescent="0.2">
      <c r="B2696" s="39">
        <f t="shared" si="20"/>
      </c>
      <c r="C2696" s="40">
        <f>IF(Inputs!$C$60,Inputs!$C$11+(B2696-Inputs!$C$69)/Inputs!$C$70,"")</f>
      </c>
      <c r="D2696" s="15"/>
      <c r="E2696" s="15"/>
      <c r="F2696" s="11">
        <f t="shared" si="21"/>
      </c>
      <c r="G2696" s="22" cm="1">
        <f t="array" ref="G2696">IF(AND(Inputs!$C$60,Inputs!$C$61),INDEX(Utility_Rates!$C$29:$F$52,HOUR(C2696)+Inputs!$C$69,MATCH(INDEX(Utility_Rates!$K$6:$K$17,MONTH(C2696))&amp;IF(WEEKDAY(C2696,Inputs!$C$76)&lt;=Inputs!$C$74," weekday"," weekend"),Utility_Rates!$C$28:$F$28,Inputs!$C$68)),"")</f>
      </c>
      <c r="H2696" s="34"/>
      <c r="I2696" s="42">
        <f>IF(AND(ISNUMBER(D2696),ISNUMBER(H2696)),D2696*H2696*Inputs!$C$69,"")</f>
      </c>
      <c r="J2696" s="42">
        <f>IF(AND(ISNUMBER(F2696),ISNUMBER(H2696),F2696&gt;=Inputs!$C$68),F2696*H2696*Inputs!$C$69,"")</f>
      </c>
    </row>
    <row r="2697" spans="2:10" ht="15" customHeight="1" x14ac:dyDescent="0.2">
      <c r="B2697" s="39">
        <f t="shared" si="20"/>
      </c>
      <c r="C2697" s="40">
        <f>IF(Inputs!$C$60,Inputs!$C$11+(B2697-Inputs!$C$69)/Inputs!$C$70,"")</f>
      </c>
      <c r="D2697" s="15"/>
      <c r="E2697" s="15"/>
      <c r="F2697" s="11">
        <f t="shared" si="21"/>
      </c>
      <c r="G2697" s="22" cm="1">
        <f t="array" ref="G2697">IF(AND(Inputs!$C$60,Inputs!$C$61),INDEX(Utility_Rates!$C$29:$F$52,HOUR(C2697)+Inputs!$C$69,MATCH(INDEX(Utility_Rates!$K$6:$K$17,MONTH(C2697))&amp;IF(WEEKDAY(C2697,Inputs!$C$76)&lt;=Inputs!$C$74," weekday"," weekend"),Utility_Rates!$C$28:$F$28,Inputs!$C$68)),"")</f>
      </c>
      <c r="H2697" s="34"/>
      <c r="I2697" s="42">
        <f>IF(AND(ISNUMBER(D2697),ISNUMBER(H2697)),D2697*H2697*Inputs!$C$69,"")</f>
      </c>
      <c r="J2697" s="42">
        <f>IF(AND(ISNUMBER(F2697),ISNUMBER(H2697),F2697&gt;=Inputs!$C$68),F2697*H2697*Inputs!$C$69,"")</f>
      </c>
    </row>
    <row r="2698" spans="2:10" ht="15" customHeight="1" x14ac:dyDescent="0.2">
      <c r="B2698" s="39">
        <f t="shared" si="20"/>
      </c>
      <c r="C2698" s="40">
        <f>IF(Inputs!$C$60,Inputs!$C$11+(B2698-Inputs!$C$69)/Inputs!$C$70,"")</f>
      </c>
      <c r="D2698" s="15"/>
      <c r="E2698" s="15"/>
      <c r="F2698" s="11">
        <f t="shared" si="21"/>
      </c>
      <c r="G2698" s="22" cm="1">
        <f t="array" ref="G2698">IF(AND(Inputs!$C$60,Inputs!$C$61),INDEX(Utility_Rates!$C$29:$F$52,HOUR(C2698)+Inputs!$C$69,MATCH(INDEX(Utility_Rates!$K$6:$K$17,MONTH(C2698))&amp;IF(WEEKDAY(C2698,Inputs!$C$76)&lt;=Inputs!$C$74," weekday"," weekend"),Utility_Rates!$C$28:$F$28,Inputs!$C$68)),"")</f>
      </c>
      <c r="H2698" s="34"/>
      <c r="I2698" s="42">
        <f>IF(AND(ISNUMBER(D2698),ISNUMBER(H2698)),D2698*H2698*Inputs!$C$69,"")</f>
      </c>
      <c r="J2698" s="42">
        <f>IF(AND(ISNUMBER(F2698),ISNUMBER(H2698),F2698&gt;=Inputs!$C$68),F2698*H2698*Inputs!$C$69,"")</f>
      </c>
    </row>
    <row r="2699" spans="2:10" ht="15" customHeight="1" x14ac:dyDescent="0.2">
      <c r="B2699" s="39">
        <f t="shared" si="20"/>
      </c>
      <c r="C2699" s="40">
        <f>IF(Inputs!$C$60,Inputs!$C$11+(B2699-Inputs!$C$69)/Inputs!$C$70,"")</f>
      </c>
      <c r="D2699" s="15"/>
      <c r="E2699" s="15"/>
      <c r="F2699" s="11">
        <f t="shared" si="21"/>
      </c>
      <c r="G2699" s="22" cm="1">
        <f t="array" ref="G2699">IF(AND(Inputs!$C$60,Inputs!$C$61),INDEX(Utility_Rates!$C$29:$F$52,HOUR(C2699)+Inputs!$C$69,MATCH(INDEX(Utility_Rates!$K$6:$K$17,MONTH(C2699))&amp;IF(WEEKDAY(C2699,Inputs!$C$76)&lt;=Inputs!$C$74," weekday"," weekend"),Utility_Rates!$C$28:$F$28,Inputs!$C$68)),"")</f>
      </c>
      <c r="H2699" s="34"/>
      <c r="I2699" s="42">
        <f>IF(AND(ISNUMBER(D2699),ISNUMBER(H2699)),D2699*H2699*Inputs!$C$69,"")</f>
      </c>
      <c r="J2699" s="42">
        <f>IF(AND(ISNUMBER(F2699),ISNUMBER(H2699),F2699&gt;=Inputs!$C$68),F2699*H2699*Inputs!$C$69,"")</f>
      </c>
    </row>
    <row r="2700" spans="2:10" ht="15" customHeight="1" x14ac:dyDescent="0.2">
      <c r="B2700" s="39">
        <f t="shared" si="20"/>
      </c>
      <c r="C2700" s="40">
        <f>IF(Inputs!$C$60,Inputs!$C$11+(B2700-Inputs!$C$69)/Inputs!$C$70,"")</f>
      </c>
      <c r="D2700" s="15"/>
      <c r="E2700" s="15"/>
      <c r="F2700" s="11">
        <f t="shared" si="21"/>
      </c>
      <c r="G2700" s="22" cm="1">
        <f t="array" ref="G2700">IF(AND(Inputs!$C$60,Inputs!$C$61),INDEX(Utility_Rates!$C$29:$F$52,HOUR(C2700)+Inputs!$C$69,MATCH(INDEX(Utility_Rates!$K$6:$K$17,MONTH(C2700))&amp;IF(WEEKDAY(C2700,Inputs!$C$76)&lt;=Inputs!$C$74," weekday"," weekend"),Utility_Rates!$C$28:$F$28,Inputs!$C$68)),"")</f>
      </c>
      <c r="H2700" s="34"/>
      <c r="I2700" s="42">
        <f>IF(AND(ISNUMBER(D2700),ISNUMBER(H2700)),D2700*H2700*Inputs!$C$69,"")</f>
      </c>
      <c r="J2700" s="42">
        <f>IF(AND(ISNUMBER(F2700),ISNUMBER(H2700),F2700&gt;=Inputs!$C$68),F2700*H2700*Inputs!$C$69,"")</f>
      </c>
    </row>
    <row r="2701" spans="2:10" ht="15" customHeight="1" x14ac:dyDescent="0.2">
      <c r="B2701" s="39">
        <f t="shared" si="20"/>
      </c>
      <c r="C2701" s="40">
        <f>IF(Inputs!$C$60,Inputs!$C$11+(B2701-Inputs!$C$69)/Inputs!$C$70,"")</f>
      </c>
      <c r="D2701" s="15"/>
      <c r="E2701" s="15"/>
      <c r="F2701" s="11">
        <f t="shared" si="21"/>
      </c>
      <c r="G2701" s="22" cm="1">
        <f t="array" ref="G2701">IF(AND(Inputs!$C$60,Inputs!$C$61),INDEX(Utility_Rates!$C$29:$F$52,HOUR(C2701)+Inputs!$C$69,MATCH(INDEX(Utility_Rates!$K$6:$K$17,MONTH(C2701))&amp;IF(WEEKDAY(C2701,Inputs!$C$76)&lt;=Inputs!$C$74," weekday"," weekend"),Utility_Rates!$C$28:$F$28,Inputs!$C$68)),"")</f>
      </c>
      <c r="H2701" s="34"/>
      <c r="I2701" s="42">
        <f>IF(AND(ISNUMBER(D2701),ISNUMBER(H2701)),D2701*H2701*Inputs!$C$69,"")</f>
      </c>
      <c r="J2701" s="42">
        <f>IF(AND(ISNUMBER(F2701),ISNUMBER(H2701),F2701&gt;=Inputs!$C$68),F2701*H2701*Inputs!$C$69,"")</f>
      </c>
    </row>
    <row r="2702" spans="2:10" ht="15" customHeight="1" x14ac:dyDescent="0.2">
      <c r="B2702" s="39">
        <f t="shared" si="20"/>
      </c>
      <c r="C2702" s="40">
        <f>IF(Inputs!$C$60,Inputs!$C$11+(B2702-Inputs!$C$69)/Inputs!$C$70,"")</f>
      </c>
      <c r="D2702" s="15"/>
      <c r="E2702" s="15"/>
      <c r="F2702" s="11">
        <f t="shared" si="21"/>
      </c>
      <c r="G2702" s="22" cm="1">
        <f t="array" ref="G2702">IF(AND(Inputs!$C$60,Inputs!$C$61),INDEX(Utility_Rates!$C$29:$F$52,HOUR(C2702)+Inputs!$C$69,MATCH(INDEX(Utility_Rates!$K$6:$K$17,MONTH(C2702))&amp;IF(WEEKDAY(C2702,Inputs!$C$76)&lt;=Inputs!$C$74," weekday"," weekend"),Utility_Rates!$C$28:$F$28,Inputs!$C$68)),"")</f>
      </c>
      <c r="H2702" s="34"/>
      <c r="I2702" s="42">
        <f>IF(AND(ISNUMBER(D2702),ISNUMBER(H2702)),D2702*H2702*Inputs!$C$69,"")</f>
      </c>
      <c r="J2702" s="42">
        <f>IF(AND(ISNUMBER(F2702),ISNUMBER(H2702),F2702&gt;=Inputs!$C$68),F2702*H2702*Inputs!$C$69,"")</f>
      </c>
    </row>
    <row r="2703" spans="2:10" ht="15" customHeight="1" x14ac:dyDescent="0.2">
      <c r="B2703" s="39">
        <f t="shared" si="20"/>
      </c>
      <c r="C2703" s="40">
        <f>IF(Inputs!$C$60,Inputs!$C$11+(B2703-Inputs!$C$69)/Inputs!$C$70,"")</f>
      </c>
      <c r="D2703" s="15"/>
      <c r="E2703" s="15"/>
      <c r="F2703" s="11">
        <f t="shared" si="21"/>
      </c>
      <c r="G2703" s="22" cm="1">
        <f t="array" ref="G2703">IF(AND(Inputs!$C$60,Inputs!$C$61),INDEX(Utility_Rates!$C$29:$F$52,HOUR(C2703)+Inputs!$C$69,MATCH(INDEX(Utility_Rates!$K$6:$K$17,MONTH(C2703))&amp;IF(WEEKDAY(C2703,Inputs!$C$76)&lt;=Inputs!$C$74," weekday"," weekend"),Utility_Rates!$C$28:$F$28,Inputs!$C$68)),"")</f>
      </c>
      <c r="H2703" s="34"/>
      <c r="I2703" s="42">
        <f>IF(AND(ISNUMBER(D2703),ISNUMBER(H2703)),D2703*H2703*Inputs!$C$69,"")</f>
      </c>
      <c r="J2703" s="42">
        <f>IF(AND(ISNUMBER(F2703),ISNUMBER(H2703),F2703&gt;=Inputs!$C$68),F2703*H2703*Inputs!$C$69,"")</f>
      </c>
    </row>
    <row r="2704" spans="2:10" ht="15" customHeight="1" x14ac:dyDescent="0.2">
      <c r="B2704" s="39">
        <f t="shared" si="20"/>
      </c>
      <c r="C2704" s="40">
        <f>IF(Inputs!$C$60,Inputs!$C$11+(B2704-Inputs!$C$69)/Inputs!$C$70,"")</f>
      </c>
      <c r="D2704" s="15"/>
      <c r="E2704" s="15"/>
      <c r="F2704" s="11">
        <f t="shared" si="21"/>
      </c>
      <c r="G2704" s="22" cm="1">
        <f t="array" ref="G2704">IF(AND(Inputs!$C$60,Inputs!$C$61),INDEX(Utility_Rates!$C$29:$F$52,HOUR(C2704)+Inputs!$C$69,MATCH(INDEX(Utility_Rates!$K$6:$K$17,MONTH(C2704))&amp;IF(WEEKDAY(C2704,Inputs!$C$76)&lt;=Inputs!$C$74," weekday"," weekend"),Utility_Rates!$C$28:$F$28,Inputs!$C$68)),"")</f>
      </c>
      <c r="H2704" s="34"/>
      <c r="I2704" s="42">
        <f>IF(AND(ISNUMBER(D2704),ISNUMBER(H2704)),D2704*H2704*Inputs!$C$69,"")</f>
      </c>
      <c r="J2704" s="42">
        <f>IF(AND(ISNUMBER(F2704),ISNUMBER(H2704),F2704&gt;=Inputs!$C$68),F2704*H2704*Inputs!$C$69,"")</f>
      </c>
    </row>
    <row r="2705" spans="2:10" ht="15" customHeight="1" x14ac:dyDescent="0.2">
      <c r="B2705" s="39">
        <f t="shared" si="20"/>
      </c>
      <c r="C2705" s="40">
        <f>IF(Inputs!$C$60,Inputs!$C$11+(B2705-Inputs!$C$69)/Inputs!$C$70,"")</f>
      </c>
      <c r="D2705" s="15"/>
      <c r="E2705" s="15"/>
      <c r="F2705" s="11">
        <f t="shared" si="21"/>
      </c>
      <c r="G2705" s="22" cm="1">
        <f t="array" ref="G2705">IF(AND(Inputs!$C$60,Inputs!$C$61),INDEX(Utility_Rates!$C$29:$F$52,HOUR(C2705)+Inputs!$C$69,MATCH(INDEX(Utility_Rates!$K$6:$K$17,MONTH(C2705))&amp;IF(WEEKDAY(C2705,Inputs!$C$76)&lt;=Inputs!$C$74," weekday"," weekend"),Utility_Rates!$C$28:$F$28,Inputs!$C$68)),"")</f>
      </c>
      <c r="H2705" s="34"/>
      <c r="I2705" s="42">
        <f>IF(AND(ISNUMBER(D2705),ISNUMBER(H2705)),D2705*H2705*Inputs!$C$69,"")</f>
      </c>
      <c r="J2705" s="42">
        <f>IF(AND(ISNUMBER(F2705),ISNUMBER(H2705),F2705&gt;=Inputs!$C$68),F2705*H2705*Inputs!$C$69,"")</f>
      </c>
    </row>
    <row r="2706" spans="2:10" ht="15" customHeight="1" x14ac:dyDescent="0.2">
      <c r="B2706" s="39">
        <f t="shared" si="20"/>
      </c>
      <c r="C2706" s="40">
        <f>IF(Inputs!$C$60,Inputs!$C$11+(B2706-Inputs!$C$69)/Inputs!$C$70,"")</f>
      </c>
      <c r="D2706" s="15"/>
      <c r="E2706" s="15"/>
      <c r="F2706" s="11">
        <f t="shared" si="21"/>
      </c>
      <c r="G2706" s="22" cm="1">
        <f t="array" ref="G2706">IF(AND(Inputs!$C$60,Inputs!$C$61),INDEX(Utility_Rates!$C$29:$F$52,HOUR(C2706)+Inputs!$C$69,MATCH(INDEX(Utility_Rates!$K$6:$K$17,MONTH(C2706))&amp;IF(WEEKDAY(C2706,Inputs!$C$76)&lt;=Inputs!$C$74," weekday"," weekend"),Utility_Rates!$C$28:$F$28,Inputs!$C$68)),"")</f>
      </c>
      <c r="H2706" s="34"/>
      <c r="I2706" s="42">
        <f>IF(AND(ISNUMBER(D2706),ISNUMBER(H2706)),D2706*H2706*Inputs!$C$69,"")</f>
      </c>
      <c r="J2706" s="42">
        <f>IF(AND(ISNUMBER(F2706),ISNUMBER(H2706),F2706&gt;=Inputs!$C$68),F2706*H2706*Inputs!$C$69,"")</f>
      </c>
    </row>
    <row r="2707" spans="2:10" ht="15" customHeight="1" x14ac:dyDescent="0.2">
      <c r="B2707" s="39">
        <f t="shared" si="20"/>
      </c>
      <c r="C2707" s="40">
        <f>IF(Inputs!$C$60,Inputs!$C$11+(B2707-Inputs!$C$69)/Inputs!$C$70,"")</f>
      </c>
      <c r="D2707" s="15"/>
      <c r="E2707" s="15"/>
      <c r="F2707" s="11">
        <f t="shared" si="21"/>
      </c>
      <c r="G2707" s="22" cm="1">
        <f t="array" ref="G2707">IF(AND(Inputs!$C$60,Inputs!$C$61),INDEX(Utility_Rates!$C$29:$F$52,HOUR(C2707)+Inputs!$C$69,MATCH(INDEX(Utility_Rates!$K$6:$K$17,MONTH(C2707))&amp;IF(WEEKDAY(C2707,Inputs!$C$76)&lt;=Inputs!$C$74," weekday"," weekend"),Utility_Rates!$C$28:$F$28,Inputs!$C$68)),"")</f>
      </c>
      <c r="H2707" s="34"/>
      <c r="I2707" s="42">
        <f>IF(AND(ISNUMBER(D2707),ISNUMBER(H2707)),D2707*H2707*Inputs!$C$69,"")</f>
      </c>
      <c r="J2707" s="42">
        <f>IF(AND(ISNUMBER(F2707),ISNUMBER(H2707),F2707&gt;=Inputs!$C$68),F2707*H2707*Inputs!$C$69,"")</f>
      </c>
    </row>
    <row r="2708" spans="2:10" ht="15" customHeight="1" x14ac:dyDescent="0.2">
      <c r="B2708" s="39">
        <f t="shared" si="20"/>
      </c>
      <c r="C2708" s="40">
        <f>IF(Inputs!$C$60,Inputs!$C$11+(B2708-Inputs!$C$69)/Inputs!$C$70,"")</f>
      </c>
      <c r="D2708" s="15"/>
      <c r="E2708" s="15"/>
      <c r="F2708" s="11">
        <f t="shared" si="21"/>
      </c>
      <c r="G2708" s="22" cm="1">
        <f t="array" ref="G2708">IF(AND(Inputs!$C$60,Inputs!$C$61),INDEX(Utility_Rates!$C$29:$F$52,HOUR(C2708)+Inputs!$C$69,MATCH(INDEX(Utility_Rates!$K$6:$K$17,MONTH(C2708))&amp;IF(WEEKDAY(C2708,Inputs!$C$76)&lt;=Inputs!$C$74," weekday"," weekend"),Utility_Rates!$C$28:$F$28,Inputs!$C$68)),"")</f>
      </c>
      <c r="H2708" s="34"/>
      <c r="I2708" s="42">
        <f>IF(AND(ISNUMBER(D2708),ISNUMBER(H2708)),D2708*H2708*Inputs!$C$69,"")</f>
      </c>
      <c r="J2708" s="42">
        <f>IF(AND(ISNUMBER(F2708),ISNUMBER(H2708),F2708&gt;=Inputs!$C$68),F2708*H2708*Inputs!$C$69,"")</f>
      </c>
    </row>
    <row r="2709" spans="2:10" ht="15" customHeight="1" x14ac:dyDescent="0.2">
      <c r="B2709" s="39">
        <f t="shared" si="20"/>
      </c>
      <c r="C2709" s="40">
        <f>IF(Inputs!$C$60,Inputs!$C$11+(B2709-Inputs!$C$69)/Inputs!$C$70,"")</f>
      </c>
      <c r="D2709" s="15"/>
      <c r="E2709" s="15"/>
      <c r="F2709" s="11">
        <f t="shared" si="21"/>
      </c>
      <c r="G2709" s="22" cm="1">
        <f t="array" ref="G2709">IF(AND(Inputs!$C$60,Inputs!$C$61),INDEX(Utility_Rates!$C$29:$F$52,HOUR(C2709)+Inputs!$C$69,MATCH(INDEX(Utility_Rates!$K$6:$K$17,MONTH(C2709))&amp;IF(WEEKDAY(C2709,Inputs!$C$76)&lt;=Inputs!$C$74," weekday"," weekend"),Utility_Rates!$C$28:$F$28,Inputs!$C$68)),"")</f>
      </c>
      <c r="H2709" s="34"/>
      <c r="I2709" s="42">
        <f>IF(AND(ISNUMBER(D2709),ISNUMBER(H2709)),D2709*H2709*Inputs!$C$69,"")</f>
      </c>
      <c r="J2709" s="42">
        <f>IF(AND(ISNUMBER(F2709),ISNUMBER(H2709),F2709&gt;=Inputs!$C$68),F2709*H2709*Inputs!$C$69,"")</f>
      </c>
    </row>
    <row r="2710" spans="2:10" ht="15" customHeight="1" x14ac:dyDescent="0.2">
      <c r="B2710" s="39">
        <f t="shared" si="20"/>
      </c>
      <c r="C2710" s="40">
        <f>IF(Inputs!$C$60,Inputs!$C$11+(B2710-Inputs!$C$69)/Inputs!$C$70,"")</f>
      </c>
      <c r="D2710" s="15"/>
      <c r="E2710" s="15"/>
      <c r="F2710" s="11">
        <f t="shared" si="21"/>
      </c>
      <c r="G2710" s="22" cm="1">
        <f t="array" ref="G2710">IF(AND(Inputs!$C$60,Inputs!$C$61),INDEX(Utility_Rates!$C$29:$F$52,HOUR(C2710)+Inputs!$C$69,MATCH(INDEX(Utility_Rates!$K$6:$K$17,MONTH(C2710))&amp;IF(WEEKDAY(C2710,Inputs!$C$76)&lt;=Inputs!$C$74," weekday"," weekend"),Utility_Rates!$C$28:$F$28,Inputs!$C$68)),"")</f>
      </c>
      <c r="H2710" s="34"/>
      <c r="I2710" s="42">
        <f>IF(AND(ISNUMBER(D2710),ISNUMBER(H2710)),D2710*H2710*Inputs!$C$69,"")</f>
      </c>
      <c r="J2710" s="42">
        <f>IF(AND(ISNUMBER(F2710),ISNUMBER(H2710),F2710&gt;=Inputs!$C$68),F2710*H2710*Inputs!$C$69,"")</f>
      </c>
    </row>
    <row r="2711" spans="2:10" ht="15" customHeight="1" x14ac:dyDescent="0.2">
      <c r="B2711" s="39">
        <f t="shared" si="20"/>
      </c>
      <c r="C2711" s="40">
        <f>IF(Inputs!$C$60,Inputs!$C$11+(B2711-Inputs!$C$69)/Inputs!$C$70,"")</f>
      </c>
      <c r="D2711" s="15"/>
      <c r="E2711" s="15"/>
      <c r="F2711" s="11">
        <f t="shared" si="21"/>
      </c>
      <c r="G2711" s="22" cm="1">
        <f t="array" ref="G2711">IF(AND(Inputs!$C$60,Inputs!$C$61),INDEX(Utility_Rates!$C$29:$F$52,HOUR(C2711)+Inputs!$C$69,MATCH(INDEX(Utility_Rates!$K$6:$K$17,MONTH(C2711))&amp;IF(WEEKDAY(C2711,Inputs!$C$76)&lt;=Inputs!$C$74," weekday"," weekend"),Utility_Rates!$C$28:$F$28,Inputs!$C$68)),"")</f>
      </c>
      <c r="H2711" s="34"/>
      <c r="I2711" s="42">
        <f>IF(AND(ISNUMBER(D2711),ISNUMBER(H2711)),D2711*H2711*Inputs!$C$69,"")</f>
      </c>
      <c r="J2711" s="42">
        <f>IF(AND(ISNUMBER(F2711),ISNUMBER(H2711),F2711&gt;=Inputs!$C$68),F2711*H2711*Inputs!$C$69,"")</f>
      </c>
    </row>
    <row r="2712" spans="2:10" ht="15" customHeight="1" x14ac:dyDescent="0.2">
      <c r="B2712" s="39">
        <f t="shared" si="20"/>
      </c>
      <c r="C2712" s="40">
        <f>IF(Inputs!$C$60,Inputs!$C$11+(B2712-Inputs!$C$69)/Inputs!$C$70,"")</f>
      </c>
      <c r="D2712" s="15"/>
      <c r="E2712" s="15"/>
      <c r="F2712" s="11">
        <f t="shared" si="21"/>
      </c>
      <c r="G2712" s="22" cm="1">
        <f t="array" ref="G2712">IF(AND(Inputs!$C$60,Inputs!$C$61),INDEX(Utility_Rates!$C$29:$F$52,HOUR(C2712)+Inputs!$C$69,MATCH(INDEX(Utility_Rates!$K$6:$K$17,MONTH(C2712))&amp;IF(WEEKDAY(C2712,Inputs!$C$76)&lt;=Inputs!$C$74," weekday"," weekend"),Utility_Rates!$C$28:$F$28,Inputs!$C$68)),"")</f>
      </c>
      <c r="H2712" s="34"/>
      <c r="I2712" s="42">
        <f>IF(AND(ISNUMBER(D2712),ISNUMBER(H2712)),D2712*H2712*Inputs!$C$69,"")</f>
      </c>
      <c r="J2712" s="42">
        <f>IF(AND(ISNUMBER(F2712),ISNUMBER(H2712),F2712&gt;=Inputs!$C$68),F2712*H2712*Inputs!$C$69,"")</f>
      </c>
    </row>
    <row r="2713" spans="2:10" ht="15" customHeight="1" x14ac:dyDescent="0.2">
      <c r="B2713" s="39">
        <f t="shared" si="20"/>
      </c>
      <c r="C2713" s="40">
        <f>IF(Inputs!$C$60,Inputs!$C$11+(B2713-Inputs!$C$69)/Inputs!$C$70,"")</f>
      </c>
      <c r="D2713" s="15"/>
      <c r="E2713" s="15"/>
      <c r="F2713" s="11">
        <f t="shared" si="21"/>
      </c>
      <c r="G2713" s="22" cm="1">
        <f t="array" ref="G2713">IF(AND(Inputs!$C$60,Inputs!$C$61),INDEX(Utility_Rates!$C$29:$F$52,HOUR(C2713)+Inputs!$C$69,MATCH(INDEX(Utility_Rates!$K$6:$K$17,MONTH(C2713))&amp;IF(WEEKDAY(C2713,Inputs!$C$76)&lt;=Inputs!$C$74," weekday"," weekend"),Utility_Rates!$C$28:$F$28,Inputs!$C$68)),"")</f>
      </c>
      <c r="H2713" s="34"/>
      <c r="I2713" s="42">
        <f>IF(AND(ISNUMBER(D2713),ISNUMBER(H2713)),D2713*H2713*Inputs!$C$69,"")</f>
      </c>
      <c r="J2713" s="42">
        <f>IF(AND(ISNUMBER(F2713),ISNUMBER(H2713),F2713&gt;=Inputs!$C$68),F2713*H2713*Inputs!$C$69,"")</f>
      </c>
    </row>
    <row r="2714" spans="2:10" ht="15" customHeight="1" x14ac:dyDescent="0.2">
      <c r="B2714" s="39">
        <f t="shared" si="20"/>
      </c>
      <c r="C2714" s="40">
        <f>IF(Inputs!$C$60,Inputs!$C$11+(B2714-Inputs!$C$69)/Inputs!$C$70,"")</f>
      </c>
      <c r="D2714" s="15"/>
      <c r="E2714" s="15"/>
      <c r="F2714" s="11">
        <f t="shared" si="21"/>
      </c>
      <c r="G2714" s="22" cm="1">
        <f t="array" ref="G2714">IF(AND(Inputs!$C$60,Inputs!$C$61),INDEX(Utility_Rates!$C$29:$F$52,HOUR(C2714)+Inputs!$C$69,MATCH(INDEX(Utility_Rates!$K$6:$K$17,MONTH(C2714))&amp;IF(WEEKDAY(C2714,Inputs!$C$76)&lt;=Inputs!$C$74," weekday"," weekend"),Utility_Rates!$C$28:$F$28,Inputs!$C$68)),"")</f>
      </c>
      <c r="H2714" s="34"/>
      <c r="I2714" s="42">
        <f>IF(AND(ISNUMBER(D2714),ISNUMBER(H2714)),D2714*H2714*Inputs!$C$69,"")</f>
      </c>
      <c r="J2714" s="42">
        <f>IF(AND(ISNUMBER(F2714),ISNUMBER(H2714),F2714&gt;=Inputs!$C$68),F2714*H2714*Inputs!$C$69,"")</f>
      </c>
    </row>
    <row r="2715" spans="2:10" ht="15" customHeight="1" x14ac:dyDescent="0.2">
      <c r="B2715" s="39">
        <f t="shared" si="20"/>
      </c>
      <c r="C2715" s="40">
        <f>IF(Inputs!$C$60,Inputs!$C$11+(B2715-Inputs!$C$69)/Inputs!$C$70,"")</f>
      </c>
      <c r="D2715" s="15"/>
      <c r="E2715" s="15"/>
      <c r="F2715" s="11">
        <f t="shared" si="21"/>
      </c>
      <c r="G2715" s="22" cm="1">
        <f t="array" ref="G2715">IF(AND(Inputs!$C$60,Inputs!$C$61),INDEX(Utility_Rates!$C$29:$F$52,HOUR(C2715)+Inputs!$C$69,MATCH(INDEX(Utility_Rates!$K$6:$K$17,MONTH(C2715))&amp;IF(WEEKDAY(C2715,Inputs!$C$76)&lt;=Inputs!$C$74," weekday"," weekend"),Utility_Rates!$C$28:$F$28,Inputs!$C$68)),"")</f>
      </c>
      <c r="H2715" s="34"/>
      <c r="I2715" s="42">
        <f>IF(AND(ISNUMBER(D2715),ISNUMBER(H2715)),D2715*H2715*Inputs!$C$69,"")</f>
      </c>
      <c r="J2715" s="42">
        <f>IF(AND(ISNUMBER(F2715),ISNUMBER(H2715),F2715&gt;=Inputs!$C$68),F2715*H2715*Inputs!$C$69,"")</f>
      </c>
    </row>
    <row r="2716" spans="2:10" ht="15" customHeight="1" x14ac:dyDescent="0.2">
      <c r="B2716" s="39">
        <f t="shared" si="20"/>
      </c>
      <c r="C2716" s="40">
        <f>IF(Inputs!$C$60,Inputs!$C$11+(B2716-Inputs!$C$69)/Inputs!$C$70,"")</f>
      </c>
      <c r="D2716" s="15"/>
      <c r="E2716" s="15"/>
      <c r="F2716" s="11">
        <f t="shared" si="21"/>
      </c>
      <c r="G2716" s="22" cm="1">
        <f t="array" ref="G2716">IF(AND(Inputs!$C$60,Inputs!$C$61),INDEX(Utility_Rates!$C$29:$F$52,HOUR(C2716)+Inputs!$C$69,MATCH(INDEX(Utility_Rates!$K$6:$K$17,MONTH(C2716))&amp;IF(WEEKDAY(C2716,Inputs!$C$76)&lt;=Inputs!$C$74," weekday"," weekend"),Utility_Rates!$C$28:$F$28,Inputs!$C$68)),"")</f>
      </c>
      <c r="H2716" s="34"/>
      <c r="I2716" s="42">
        <f>IF(AND(ISNUMBER(D2716),ISNUMBER(H2716)),D2716*H2716*Inputs!$C$69,"")</f>
      </c>
      <c r="J2716" s="42">
        <f>IF(AND(ISNUMBER(F2716),ISNUMBER(H2716),F2716&gt;=Inputs!$C$68),F2716*H2716*Inputs!$C$69,"")</f>
      </c>
    </row>
    <row r="2717" spans="2:10" ht="15" customHeight="1" x14ac:dyDescent="0.2">
      <c r="B2717" s="39">
        <f t="shared" si="20"/>
      </c>
      <c r="C2717" s="40">
        <f>IF(Inputs!$C$60,Inputs!$C$11+(B2717-Inputs!$C$69)/Inputs!$C$70,"")</f>
      </c>
      <c r="D2717" s="15"/>
      <c r="E2717" s="15"/>
      <c r="F2717" s="11">
        <f t="shared" si="21"/>
      </c>
      <c r="G2717" s="22" cm="1">
        <f t="array" ref="G2717">IF(AND(Inputs!$C$60,Inputs!$C$61),INDEX(Utility_Rates!$C$29:$F$52,HOUR(C2717)+Inputs!$C$69,MATCH(INDEX(Utility_Rates!$K$6:$K$17,MONTH(C2717))&amp;IF(WEEKDAY(C2717,Inputs!$C$76)&lt;=Inputs!$C$74," weekday"," weekend"),Utility_Rates!$C$28:$F$28,Inputs!$C$68)),"")</f>
      </c>
      <c r="H2717" s="34"/>
      <c r="I2717" s="42">
        <f>IF(AND(ISNUMBER(D2717),ISNUMBER(H2717)),D2717*H2717*Inputs!$C$69,"")</f>
      </c>
      <c r="J2717" s="42">
        <f>IF(AND(ISNUMBER(F2717),ISNUMBER(H2717),F2717&gt;=Inputs!$C$68),F2717*H2717*Inputs!$C$69,"")</f>
      </c>
    </row>
    <row r="2718" spans="2:10" ht="15" customHeight="1" x14ac:dyDescent="0.2">
      <c r="B2718" s="39">
        <f t="shared" si="20"/>
      </c>
      <c r="C2718" s="40">
        <f>IF(Inputs!$C$60,Inputs!$C$11+(B2718-Inputs!$C$69)/Inputs!$C$70,"")</f>
      </c>
      <c r="D2718" s="15"/>
      <c r="E2718" s="15"/>
      <c r="F2718" s="11">
        <f t="shared" si="21"/>
      </c>
      <c r="G2718" s="22" cm="1">
        <f t="array" ref="G2718">IF(AND(Inputs!$C$60,Inputs!$C$61),INDEX(Utility_Rates!$C$29:$F$52,HOUR(C2718)+Inputs!$C$69,MATCH(INDEX(Utility_Rates!$K$6:$K$17,MONTH(C2718))&amp;IF(WEEKDAY(C2718,Inputs!$C$76)&lt;=Inputs!$C$74," weekday"," weekend"),Utility_Rates!$C$28:$F$28,Inputs!$C$68)),"")</f>
      </c>
      <c r="H2718" s="34"/>
      <c r="I2718" s="42">
        <f>IF(AND(ISNUMBER(D2718),ISNUMBER(H2718)),D2718*H2718*Inputs!$C$69,"")</f>
      </c>
      <c r="J2718" s="42">
        <f>IF(AND(ISNUMBER(F2718),ISNUMBER(H2718),F2718&gt;=Inputs!$C$68),F2718*H2718*Inputs!$C$69,"")</f>
      </c>
    </row>
    <row r="2719" spans="2:10" ht="15" customHeight="1" x14ac:dyDescent="0.2">
      <c r="B2719" s="39">
        <f t="shared" si="20"/>
      </c>
      <c r="C2719" s="40">
        <f>IF(Inputs!$C$60,Inputs!$C$11+(B2719-Inputs!$C$69)/Inputs!$C$70,"")</f>
      </c>
      <c r="D2719" s="15"/>
      <c r="E2719" s="15"/>
      <c r="F2719" s="11">
        <f t="shared" si="21"/>
      </c>
      <c r="G2719" s="22" cm="1">
        <f t="array" ref="G2719">IF(AND(Inputs!$C$60,Inputs!$C$61),INDEX(Utility_Rates!$C$29:$F$52,HOUR(C2719)+Inputs!$C$69,MATCH(INDEX(Utility_Rates!$K$6:$K$17,MONTH(C2719))&amp;IF(WEEKDAY(C2719,Inputs!$C$76)&lt;=Inputs!$C$74," weekday"," weekend"),Utility_Rates!$C$28:$F$28,Inputs!$C$68)),"")</f>
      </c>
      <c r="H2719" s="34"/>
      <c r="I2719" s="42">
        <f>IF(AND(ISNUMBER(D2719),ISNUMBER(H2719)),D2719*H2719*Inputs!$C$69,"")</f>
      </c>
      <c r="J2719" s="42">
        <f>IF(AND(ISNUMBER(F2719),ISNUMBER(H2719),F2719&gt;=Inputs!$C$68),F2719*H2719*Inputs!$C$69,"")</f>
      </c>
    </row>
    <row r="2720" spans="2:10" ht="15" customHeight="1" x14ac:dyDescent="0.2">
      <c r="B2720" s="39">
        <f t="shared" si="20"/>
      </c>
      <c r="C2720" s="40">
        <f>IF(Inputs!$C$60,Inputs!$C$11+(B2720-Inputs!$C$69)/Inputs!$C$70,"")</f>
      </c>
      <c r="D2720" s="15"/>
      <c r="E2720" s="15"/>
      <c r="F2720" s="11">
        <f t="shared" si="21"/>
      </c>
      <c r="G2720" s="22" cm="1">
        <f t="array" ref="G2720">IF(AND(Inputs!$C$60,Inputs!$C$61),INDEX(Utility_Rates!$C$29:$F$52,HOUR(C2720)+Inputs!$C$69,MATCH(INDEX(Utility_Rates!$K$6:$K$17,MONTH(C2720))&amp;IF(WEEKDAY(C2720,Inputs!$C$76)&lt;=Inputs!$C$74," weekday"," weekend"),Utility_Rates!$C$28:$F$28,Inputs!$C$68)),"")</f>
      </c>
      <c r="H2720" s="34"/>
      <c r="I2720" s="42">
        <f>IF(AND(ISNUMBER(D2720),ISNUMBER(H2720)),D2720*H2720*Inputs!$C$69,"")</f>
      </c>
      <c r="J2720" s="42">
        <f>IF(AND(ISNUMBER(F2720),ISNUMBER(H2720),F2720&gt;=Inputs!$C$68),F2720*H2720*Inputs!$C$69,"")</f>
      </c>
    </row>
    <row r="2721" spans="2:10" ht="15" customHeight="1" x14ac:dyDescent="0.2">
      <c r="B2721" s="39">
        <f t="shared" si="20"/>
      </c>
      <c r="C2721" s="40">
        <f>IF(Inputs!$C$60,Inputs!$C$11+(B2721-Inputs!$C$69)/Inputs!$C$70,"")</f>
      </c>
      <c r="D2721" s="15"/>
      <c r="E2721" s="15"/>
      <c r="F2721" s="11">
        <f t="shared" si="21"/>
      </c>
      <c r="G2721" s="22" cm="1">
        <f t="array" ref="G2721">IF(AND(Inputs!$C$60,Inputs!$C$61),INDEX(Utility_Rates!$C$29:$F$52,HOUR(C2721)+Inputs!$C$69,MATCH(INDEX(Utility_Rates!$K$6:$K$17,MONTH(C2721))&amp;IF(WEEKDAY(C2721,Inputs!$C$76)&lt;=Inputs!$C$74," weekday"," weekend"),Utility_Rates!$C$28:$F$28,Inputs!$C$68)),"")</f>
      </c>
      <c r="H2721" s="34"/>
      <c r="I2721" s="42">
        <f>IF(AND(ISNUMBER(D2721),ISNUMBER(H2721)),D2721*H2721*Inputs!$C$69,"")</f>
      </c>
      <c r="J2721" s="42">
        <f>IF(AND(ISNUMBER(F2721),ISNUMBER(H2721),F2721&gt;=Inputs!$C$68),F2721*H2721*Inputs!$C$69,"")</f>
      </c>
    </row>
    <row r="2722" spans="2:10" ht="15" customHeight="1" x14ac:dyDescent="0.2">
      <c r="B2722" s="39">
        <f t="shared" si="20"/>
      </c>
      <c r="C2722" s="40">
        <f>IF(Inputs!$C$60,Inputs!$C$11+(B2722-Inputs!$C$69)/Inputs!$C$70,"")</f>
      </c>
      <c r="D2722" s="15"/>
      <c r="E2722" s="15"/>
      <c r="F2722" s="11">
        <f t="shared" si="21"/>
      </c>
      <c r="G2722" s="22" cm="1">
        <f t="array" ref="G2722">IF(AND(Inputs!$C$60,Inputs!$C$61),INDEX(Utility_Rates!$C$29:$F$52,HOUR(C2722)+Inputs!$C$69,MATCH(INDEX(Utility_Rates!$K$6:$K$17,MONTH(C2722))&amp;IF(WEEKDAY(C2722,Inputs!$C$76)&lt;=Inputs!$C$74," weekday"," weekend"),Utility_Rates!$C$28:$F$28,Inputs!$C$68)),"")</f>
      </c>
      <c r="H2722" s="34"/>
      <c r="I2722" s="42">
        <f>IF(AND(ISNUMBER(D2722),ISNUMBER(H2722)),D2722*H2722*Inputs!$C$69,"")</f>
      </c>
      <c r="J2722" s="42">
        <f>IF(AND(ISNUMBER(F2722),ISNUMBER(H2722),F2722&gt;=Inputs!$C$68),F2722*H2722*Inputs!$C$69,"")</f>
      </c>
    </row>
    <row r="2723" spans="2:10" ht="15" customHeight="1" x14ac:dyDescent="0.2">
      <c r="B2723" s="39">
        <f t="shared" si="20"/>
      </c>
      <c r="C2723" s="40">
        <f>IF(Inputs!$C$60,Inputs!$C$11+(B2723-Inputs!$C$69)/Inputs!$C$70,"")</f>
      </c>
      <c r="D2723" s="15"/>
      <c r="E2723" s="15"/>
      <c r="F2723" s="11">
        <f t="shared" si="21"/>
      </c>
      <c r="G2723" s="22" cm="1">
        <f t="array" ref="G2723">IF(AND(Inputs!$C$60,Inputs!$C$61),INDEX(Utility_Rates!$C$29:$F$52,HOUR(C2723)+Inputs!$C$69,MATCH(INDEX(Utility_Rates!$K$6:$K$17,MONTH(C2723))&amp;IF(WEEKDAY(C2723,Inputs!$C$76)&lt;=Inputs!$C$74," weekday"," weekend"),Utility_Rates!$C$28:$F$28,Inputs!$C$68)),"")</f>
      </c>
      <c r="H2723" s="34"/>
      <c r="I2723" s="42">
        <f>IF(AND(ISNUMBER(D2723),ISNUMBER(H2723)),D2723*H2723*Inputs!$C$69,"")</f>
      </c>
      <c r="J2723" s="42">
        <f>IF(AND(ISNUMBER(F2723),ISNUMBER(H2723),F2723&gt;=Inputs!$C$68),F2723*H2723*Inputs!$C$69,"")</f>
      </c>
    </row>
    <row r="2724" spans="2:10" ht="15" customHeight="1" x14ac:dyDescent="0.2">
      <c r="B2724" s="39">
        <f t="shared" si="20"/>
      </c>
      <c r="C2724" s="40">
        <f>IF(Inputs!$C$60,Inputs!$C$11+(B2724-Inputs!$C$69)/Inputs!$C$70,"")</f>
      </c>
      <c r="D2724" s="15"/>
      <c r="E2724" s="15"/>
      <c r="F2724" s="11">
        <f t="shared" si="21"/>
      </c>
      <c r="G2724" s="22" cm="1">
        <f t="array" ref="G2724">IF(AND(Inputs!$C$60,Inputs!$C$61),INDEX(Utility_Rates!$C$29:$F$52,HOUR(C2724)+Inputs!$C$69,MATCH(INDEX(Utility_Rates!$K$6:$K$17,MONTH(C2724))&amp;IF(WEEKDAY(C2724,Inputs!$C$76)&lt;=Inputs!$C$74," weekday"," weekend"),Utility_Rates!$C$28:$F$28,Inputs!$C$68)),"")</f>
      </c>
      <c r="H2724" s="34"/>
      <c r="I2724" s="42">
        <f>IF(AND(ISNUMBER(D2724),ISNUMBER(H2724)),D2724*H2724*Inputs!$C$69,"")</f>
      </c>
      <c r="J2724" s="42">
        <f>IF(AND(ISNUMBER(F2724),ISNUMBER(H2724),F2724&gt;=Inputs!$C$68),F2724*H2724*Inputs!$C$69,"")</f>
      </c>
    </row>
    <row r="2725" spans="2:10" ht="15" customHeight="1" x14ac:dyDescent="0.2">
      <c r="B2725" s="39">
        <f t="shared" si="20"/>
      </c>
      <c r="C2725" s="40">
        <f>IF(Inputs!$C$60,Inputs!$C$11+(B2725-Inputs!$C$69)/Inputs!$C$70,"")</f>
      </c>
      <c r="D2725" s="15"/>
      <c r="E2725" s="15"/>
      <c r="F2725" s="11">
        <f t="shared" si="21"/>
      </c>
      <c r="G2725" s="22" cm="1">
        <f t="array" ref="G2725">IF(AND(Inputs!$C$60,Inputs!$C$61),INDEX(Utility_Rates!$C$29:$F$52,HOUR(C2725)+Inputs!$C$69,MATCH(INDEX(Utility_Rates!$K$6:$K$17,MONTH(C2725))&amp;IF(WEEKDAY(C2725,Inputs!$C$76)&lt;=Inputs!$C$74," weekday"," weekend"),Utility_Rates!$C$28:$F$28,Inputs!$C$68)),"")</f>
      </c>
      <c r="H2725" s="34"/>
      <c r="I2725" s="42">
        <f>IF(AND(ISNUMBER(D2725),ISNUMBER(H2725)),D2725*H2725*Inputs!$C$69,"")</f>
      </c>
      <c r="J2725" s="42">
        <f>IF(AND(ISNUMBER(F2725),ISNUMBER(H2725),F2725&gt;=Inputs!$C$68),F2725*H2725*Inputs!$C$69,"")</f>
      </c>
    </row>
    <row r="2726" spans="2:10" ht="15" customHeight="1" x14ac:dyDescent="0.2">
      <c r="B2726" s="39">
        <f t="shared" si="20"/>
      </c>
      <c r="C2726" s="40">
        <f>IF(Inputs!$C$60,Inputs!$C$11+(B2726-Inputs!$C$69)/Inputs!$C$70,"")</f>
      </c>
      <c r="D2726" s="15"/>
      <c r="E2726" s="15"/>
      <c r="F2726" s="11">
        <f t="shared" si="21"/>
      </c>
      <c r="G2726" s="22" cm="1">
        <f t="array" ref="G2726">IF(AND(Inputs!$C$60,Inputs!$C$61),INDEX(Utility_Rates!$C$29:$F$52,HOUR(C2726)+Inputs!$C$69,MATCH(INDEX(Utility_Rates!$K$6:$K$17,MONTH(C2726))&amp;IF(WEEKDAY(C2726,Inputs!$C$76)&lt;=Inputs!$C$74," weekday"," weekend"),Utility_Rates!$C$28:$F$28,Inputs!$C$68)),"")</f>
      </c>
      <c r="H2726" s="34"/>
      <c r="I2726" s="42">
        <f>IF(AND(ISNUMBER(D2726),ISNUMBER(H2726)),D2726*H2726*Inputs!$C$69,"")</f>
      </c>
      <c r="J2726" s="42">
        <f>IF(AND(ISNUMBER(F2726),ISNUMBER(H2726),F2726&gt;=Inputs!$C$68),F2726*H2726*Inputs!$C$69,"")</f>
      </c>
    </row>
    <row r="2727" spans="2:10" ht="15" customHeight="1" x14ac:dyDescent="0.2">
      <c r="B2727" s="39">
        <f t="shared" si="20"/>
      </c>
      <c r="C2727" s="40">
        <f>IF(Inputs!$C$60,Inputs!$C$11+(B2727-Inputs!$C$69)/Inputs!$C$70,"")</f>
      </c>
      <c r="D2727" s="15"/>
      <c r="E2727" s="15"/>
      <c r="F2727" s="11">
        <f t="shared" si="21"/>
      </c>
      <c r="G2727" s="22" cm="1">
        <f t="array" ref="G2727">IF(AND(Inputs!$C$60,Inputs!$C$61),INDEX(Utility_Rates!$C$29:$F$52,HOUR(C2727)+Inputs!$C$69,MATCH(INDEX(Utility_Rates!$K$6:$K$17,MONTH(C2727))&amp;IF(WEEKDAY(C2727,Inputs!$C$76)&lt;=Inputs!$C$74," weekday"," weekend"),Utility_Rates!$C$28:$F$28,Inputs!$C$68)),"")</f>
      </c>
      <c r="H2727" s="34"/>
      <c r="I2727" s="42">
        <f>IF(AND(ISNUMBER(D2727),ISNUMBER(H2727)),D2727*H2727*Inputs!$C$69,"")</f>
      </c>
      <c r="J2727" s="42">
        <f>IF(AND(ISNUMBER(F2727),ISNUMBER(H2727),F2727&gt;=Inputs!$C$68),F2727*H2727*Inputs!$C$69,"")</f>
      </c>
    </row>
    <row r="2728" spans="2:10" ht="15" customHeight="1" x14ac:dyDescent="0.2">
      <c r="B2728" s="39">
        <f t="shared" si="20"/>
      </c>
      <c r="C2728" s="40">
        <f>IF(Inputs!$C$60,Inputs!$C$11+(B2728-Inputs!$C$69)/Inputs!$C$70,"")</f>
      </c>
      <c r="D2728" s="15"/>
      <c r="E2728" s="15"/>
      <c r="F2728" s="11">
        <f t="shared" si="21"/>
      </c>
      <c r="G2728" s="22" cm="1">
        <f t="array" ref="G2728">IF(AND(Inputs!$C$60,Inputs!$C$61),INDEX(Utility_Rates!$C$29:$F$52,HOUR(C2728)+Inputs!$C$69,MATCH(INDEX(Utility_Rates!$K$6:$K$17,MONTH(C2728))&amp;IF(WEEKDAY(C2728,Inputs!$C$76)&lt;=Inputs!$C$74," weekday"," weekend"),Utility_Rates!$C$28:$F$28,Inputs!$C$68)),"")</f>
      </c>
      <c r="H2728" s="34"/>
      <c r="I2728" s="42">
        <f>IF(AND(ISNUMBER(D2728),ISNUMBER(H2728)),D2728*H2728*Inputs!$C$69,"")</f>
      </c>
      <c r="J2728" s="42">
        <f>IF(AND(ISNUMBER(F2728),ISNUMBER(H2728),F2728&gt;=Inputs!$C$68),F2728*H2728*Inputs!$C$69,"")</f>
      </c>
    </row>
    <row r="2729" spans="2:10" ht="15" customHeight="1" x14ac:dyDescent="0.2">
      <c r="B2729" s="39">
        <f t="shared" si="20"/>
      </c>
      <c r="C2729" s="40">
        <f>IF(Inputs!$C$60,Inputs!$C$11+(B2729-Inputs!$C$69)/Inputs!$C$70,"")</f>
      </c>
      <c r="D2729" s="15"/>
      <c r="E2729" s="15"/>
      <c r="F2729" s="11">
        <f t="shared" si="21"/>
      </c>
      <c r="G2729" s="22" cm="1">
        <f t="array" ref="G2729">IF(AND(Inputs!$C$60,Inputs!$C$61),INDEX(Utility_Rates!$C$29:$F$52,HOUR(C2729)+Inputs!$C$69,MATCH(INDEX(Utility_Rates!$K$6:$K$17,MONTH(C2729))&amp;IF(WEEKDAY(C2729,Inputs!$C$76)&lt;=Inputs!$C$74," weekday"," weekend"),Utility_Rates!$C$28:$F$28,Inputs!$C$68)),"")</f>
      </c>
      <c r="H2729" s="34"/>
      <c r="I2729" s="42">
        <f>IF(AND(ISNUMBER(D2729),ISNUMBER(H2729)),D2729*H2729*Inputs!$C$69,"")</f>
      </c>
      <c r="J2729" s="42">
        <f>IF(AND(ISNUMBER(F2729),ISNUMBER(H2729),F2729&gt;=Inputs!$C$68),F2729*H2729*Inputs!$C$69,"")</f>
      </c>
    </row>
    <row r="2730" spans="2:10" ht="15" customHeight="1" x14ac:dyDescent="0.2">
      <c r="B2730" s="39">
        <f t="shared" si="20"/>
      </c>
      <c r="C2730" s="40">
        <f>IF(Inputs!$C$60,Inputs!$C$11+(B2730-Inputs!$C$69)/Inputs!$C$70,"")</f>
      </c>
      <c r="D2730" s="15"/>
      <c r="E2730" s="15"/>
      <c r="F2730" s="11">
        <f t="shared" si="21"/>
      </c>
      <c r="G2730" s="22" cm="1">
        <f t="array" ref="G2730">IF(AND(Inputs!$C$60,Inputs!$C$61),INDEX(Utility_Rates!$C$29:$F$52,HOUR(C2730)+Inputs!$C$69,MATCH(INDEX(Utility_Rates!$K$6:$K$17,MONTH(C2730))&amp;IF(WEEKDAY(C2730,Inputs!$C$76)&lt;=Inputs!$C$74," weekday"," weekend"),Utility_Rates!$C$28:$F$28,Inputs!$C$68)),"")</f>
      </c>
      <c r="H2730" s="34"/>
      <c r="I2730" s="42">
        <f>IF(AND(ISNUMBER(D2730),ISNUMBER(H2730)),D2730*H2730*Inputs!$C$69,"")</f>
      </c>
      <c r="J2730" s="42">
        <f>IF(AND(ISNUMBER(F2730),ISNUMBER(H2730),F2730&gt;=Inputs!$C$68),F2730*H2730*Inputs!$C$69,"")</f>
      </c>
    </row>
    <row r="2731" spans="2:10" ht="15" customHeight="1" x14ac:dyDescent="0.2">
      <c r="B2731" s="39">
        <f t="shared" si="20"/>
      </c>
      <c r="C2731" s="40">
        <f>IF(Inputs!$C$60,Inputs!$C$11+(B2731-Inputs!$C$69)/Inputs!$C$70,"")</f>
      </c>
      <c r="D2731" s="15"/>
      <c r="E2731" s="15"/>
      <c r="F2731" s="11">
        <f t="shared" si="21"/>
      </c>
      <c r="G2731" s="22" cm="1">
        <f t="array" ref="G2731">IF(AND(Inputs!$C$60,Inputs!$C$61),INDEX(Utility_Rates!$C$29:$F$52,HOUR(C2731)+Inputs!$C$69,MATCH(INDEX(Utility_Rates!$K$6:$K$17,MONTH(C2731))&amp;IF(WEEKDAY(C2731,Inputs!$C$76)&lt;=Inputs!$C$74," weekday"," weekend"),Utility_Rates!$C$28:$F$28,Inputs!$C$68)),"")</f>
      </c>
      <c r="H2731" s="34"/>
      <c r="I2731" s="42">
        <f>IF(AND(ISNUMBER(D2731),ISNUMBER(H2731)),D2731*H2731*Inputs!$C$69,"")</f>
      </c>
      <c r="J2731" s="42">
        <f>IF(AND(ISNUMBER(F2731),ISNUMBER(H2731),F2731&gt;=Inputs!$C$68),F2731*H2731*Inputs!$C$69,"")</f>
      </c>
    </row>
    <row r="2732" spans="2:10" ht="15" customHeight="1" x14ac:dyDescent="0.2">
      <c r="B2732" s="39">
        <f t="shared" si="20"/>
      </c>
      <c r="C2732" s="40">
        <f>IF(Inputs!$C$60,Inputs!$C$11+(B2732-Inputs!$C$69)/Inputs!$C$70,"")</f>
      </c>
      <c r="D2732" s="15"/>
      <c r="E2732" s="15"/>
      <c r="F2732" s="11">
        <f t="shared" si="21"/>
      </c>
      <c r="G2732" s="22" cm="1">
        <f t="array" ref="G2732">IF(AND(Inputs!$C$60,Inputs!$C$61),INDEX(Utility_Rates!$C$29:$F$52,HOUR(C2732)+Inputs!$C$69,MATCH(INDEX(Utility_Rates!$K$6:$K$17,MONTH(C2732))&amp;IF(WEEKDAY(C2732,Inputs!$C$76)&lt;=Inputs!$C$74," weekday"," weekend"),Utility_Rates!$C$28:$F$28,Inputs!$C$68)),"")</f>
      </c>
      <c r="H2732" s="34"/>
      <c r="I2732" s="42">
        <f>IF(AND(ISNUMBER(D2732),ISNUMBER(H2732)),D2732*H2732*Inputs!$C$69,"")</f>
      </c>
      <c r="J2732" s="42">
        <f>IF(AND(ISNUMBER(F2732),ISNUMBER(H2732),F2732&gt;=Inputs!$C$68),F2732*H2732*Inputs!$C$69,"")</f>
      </c>
    </row>
    <row r="2733" spans="2:10" ht="15" customHeight="1" x14ac:dyDescent="0.2">
      <c r="B2733" s="39">
        <f t="shared" si="20"/>
      </c>
      <c r="C2733" s="40">
        <f>IF(Inputs!$C$60,Inputs!$C$11+(B2733-Inputs!$C$69)/Inputs!$C$70,"")</f>
      </c>
      <c r="D2733" s="15"/>
      <c r="E2733" s="15"/>
      <c r="F2733" s="11">
        <f t="shared" si="21"/>
      </c>
      <c r="G2733" s="22" cm="1">
        <f t="array" ref="G2733">IF(AND(Inputs!$C$60,Inputs!$C$61),INDEX(Utility_Rates!$C$29:$F$52,HOUR(C2733)+Inputs!$C$69,MATCH(INDEX(Utility_Rates!$K$6:$K$17,MONTH(C2733))&amp;IF(WEEKDAY(C2733,Inputs!$C$76)&lt;=Inputs!$C$74," weekday"," weekend"),Utility_Rates!$C$28:$F$28,Inputs!$C$68)),"")</f>
      </c>
      <c r="H2733" s="34"/>
      <c r="I2733" s="42">
        <f>IF(AND(ISNUMBER(D2733),ISNUMBER(H2733)),D2733*H2733*Inputs!$C$69,"")</f>
      </c>
      <c r="J2733" s="42">
        <f>IF(AND(ISNUMBER(F2733),ISNUMBER(H2733),F2733&gt;=Inputs!$C$68),F2733*H2733*Inputs!$C$69,"")</f>
      </c>
    </row>
    <row r="2734" spans="2:10" ht="15" customHeight="1" x14ac:dyDescent="0.2">
      <c r="B2734" s="39">
        <f t="shared" si="20"/>
      </c>
      <c r="C2734" s="40">
        <f>IF(Inputs!$C$60,Inputs!$C$11+(B2734-Inputs!$C$69)/Inputs!$C$70,"")</f>
      </c>
      <c r="D2734" s="15"/>
      <c r="E2734" s="15"/>
      <c r="F2734" s="11">
        <f t="shared" si="21"/>
      </c>
      <c r="G2734" s="22" cm="1">
        <f t="array" ref="G2734">IF(AND(Inputs!$C$60,Inputs!$C$61),INDEX(Utility_Rates!$C$29:$F$52,HOUR(C2734)+Inputs!$C$69,MATCH(INDEX(Utility_Rates!$K$6:$K$17,MONTH(C2734))&amp;IF(WEEKDAY(C2734,Inputs!$C$76)&lt;=Inputs!$C$74," weekday"," weekend"),Utility_Rates!$C$28:$F$28,Inputs!$C$68)),"")</f>
      </c>
      <c r="H2734" s="34"/>
      <c r="I2734" s="42">
        <f>IF(AND(ISNUMBER(D2734),ISNUMBER(H2734)),D2734*H2734*Inputs!$C$69,"")</f>
      </c>
      <c r="J2734" s="42">
        <f>IF(AND(ISNUMBER(F2734),ISNUMBER(H2734),F2734&gt;=Inputs!$C$68),F2734*H2734*Inputs!$C$69,"")</f>
      </c>
    </row>
    <row r="2735" spans="2:10" ht="15" customHeight="1" x14ac:dyDescent="0.2">
      <c r="B2735" s="39">
        <f t="shared" si="20"/>
      </c>
      <c r="C2735" s="40">
        <f>IF(Inputs!$C$60,Inputs!$C$11+(B2735-Inputs!$C$69)/Inputs!$C$70,"")</f>
      </c>
      <c r="D2735" s="15"/>
      <c r="E2735" s="15"/>
      <c r="F2735" s="11">
        <f t="shared" si="21"/>
      </c>
      <c r="G2735" s="22" cm="1">
        <f t="array" ref="G2735">IF(AND(Inputs!$C$60,Inputs!$C$61),INDEX(Utility_Rates!$C$29:$F$52,HOUR(C2735)+Inputs!$C$69,MATCH(INDEX(Utility_Rates!$K$6:$K$17,MONTH(C2735))&amp;IF(WEEKDAY(C2735,Inputs!$C$76)&lt;=Inputs!$C$74," weekday"," weekend"),Utility_Rates!$C$28:$F$28,Inputs!$C$68)),"")</f>
      </c>
      <c r="H2735" s="34"/>
      <c r="I2735" s="42">
        <f>IF(AND(ISNUMBER(D2735),ISNUMBER(H2735)),D2735*H2735*Inputs!$C$69,"")</f>
      </c>
      <c r="J2735" s="42">
        <f>IF(AND(ISNUMBER(F2735),ISNUMBER(H2735),F2735&gt;=Inputs!$C$68),F2735*H2735*Inputs!$C$69,"")</f>
      </c>
    </row>
    <row r="2736" spans="2:10" ht="15" customHeight="1" x14ac:dyDescent="0.2">
      <c r="B2736" s="39">
        <f t="shared" si="20"/>
      </c>
      <c r="C2736" s="40">
        <f>IF(Inputs!$C$60,Inputs!$C$11+(B2736-Inputs!$C$69)/Inputs!$C$70,"")</f>
      </c>
      <c r="D2736" s="15"/>
      <c r="E2736" s="15"/>
      <c r="F2736" s="11">
        <f t="shared" si="21"/>
      </c>
      <c r="G2736" s="22" cm="1">
        <f t="array" ref="G2736">IF(AND(Inputs!$C$60,Inputs!$C$61),INDEX(Utility_Rates!$C$29:$F$52,HOUR(C2736)+Inputs!$C$69,MATCH(INDEX(Utility_Rates!$K$6:$K$17,MONTH(C2736))&amp;IF(WEEKDAY(C2736,Inputs!$C$76)&lt;=Inputs!$C$74," weekday"," weekend"),Utility_Rates!$C$28:$F$28,Inputs!$C$68)),"")</f>
      </c>
      <c r="H2736" s="34"/>
      <c r="I2736" s="42">
        <f>IF(AND(ISNUMBER(D2736),ISNUMBER(H2736)),D2736*H2736*Inputs!$C$69,"")</f>
      </c>
      <c r="J2736" s="42">
        <f>IF(AND(ISNUMBER(F2736),ISNUMBER(H2736),F2736&gt;=Inputs!$C$68),F2736*H2736*Inputs!$C$69,"")</f>
      </c>
    </row>
    <row r="2737" spans="2:10" ht="15" customHeight="1" x14ac:dyDescent="0.2">
      <c r="B2737" s="39">
        <f t="shared" si="20"/>
      </c>
      <c r="C2737" s="40">
        <f>IF(Inputs!$C$60,Inputs!$C$11+(B2737-Inputs!$C$69)/Inputs!$C$70,"")</f>
      </c>
      <c r="D2737" s="15"/>
      <c r="E2737" s="15"/>
      <c r="F2737" s="11">
        <f t="shared" si="21"/>
      </c>
      <c r="G2737" s="22" cm="1">
        <f t="array" ref="G2737">IF(AND(Inputs!$C$60,Inputs!$C$61),INDEX(Utility_Rates!$C$29:$F$52,HOUR(C2737)+Inputs!$C$69,MATCH(INDEX(Utility_Rates!$K$6:$K$17,MONTH(C2737))&amp;IF(WEEKDAY(C2737,Inputs!$C$76)&lt;=Inputs!$C$74," weekday"," weekend"),Utility_Rates!$C$28:$F$28,Inputs!$C$68)),"")</f>
      </c>
      <c r="H2737" s="34"/>
      <c r="I2737" s="42">
        <f>IF(AND(ISNUMBER(D2737),ISNUMBER(H2737)),D2737*H2737*Inputs!$C$69,"")</f>
      </c>
      <c r="J2737" s="42">
        <f>IF(AND(ISNUMBER(F2737),ISNUMBER(H2737),F2737&gt;=Inputs!$C$68),F2737*H2737*Inputs!$C$69,"")</f>
      </c>
    </row>
    <row r="2738" spans="2:10" ht="15" customHeight="1" x14ac:dyDescent="0.2">
      <c r="B2738" s="39">
        <f t="shared" si="20"/>
      </c>
      <c r="C2738" s="40">
        <f>IF(Inputs!$C$60,Inputs!$C$11+(B2738-Inputs!$C$69)/Inputs!$C$70,"")</f>
      </c>
      <c r="D2738" s="15"/>
      <c r="E2738" s="15"/>
      <c r="F2738" s="11">
        <f t="shared" si="21"/>
      </c>
      <c r="G2738" s="22" cm="1">
        <f t="array" ref="G2738">IF(AND(Inputs!$C$60,Inputs!$C$61),INDEX(Utility_Rates!$C$29:$F$52,HOUR(C2738)+Inputs!$C$69,MATCH(INDEX(Utility_Rates!$K$6:$K$17,MONTH(C2738))&amp;IF(WEEKDAY(C2738,Inputs!$C$76)&lt;=Inputs!$C$74," weekday"," weekend"),Utility_Rates!$C$28:$F$28,Inputs!$C$68)),"")</f>
      </c>
      <c r="H2738" s="34"/>
      <c r="I2738" s="42">
        <f>IF(AND(ISNUMBER(D2738),ISNUMBER(H2738)),D2738*H2738*Inputs!$C$69,"")</f>
      </c>
      <c r="J2738" s="42">
        <f>IF(AND(ISNUMBER(F2738),ISNUMBER(H2738),F2738&gt;=Inputs!$C$68),F2738*H2738*Inputs!$C$69,"")</f>
      </c>
    </row>
    <row r="2739" spans="2:10" ht="15" customHeight="1" x14ac:dyDescent="0.2">
      <c r="B2739" s="39">
        <f t="shared" si="20"/>
      </c>
      <c r="C2739" s="40">
        <f>IF(Inputs!$C$60,Inputs!$C$11+(B2739-Inputs!$C$69)/Inputs!$C$70,"")</f>
      </c>
      <c r="D2739" s="15"/>
      <c r="E2739" s="15"/>
      <c r="F2739" s="11">
        <f t="shared" si="21"/>
      </c>
      <c r="G2739" s="22" cm="1">
        <f t="array" ref="G2739">IF(AND(Inputs!$C$60,Inputs!$C$61),INDEX(Utility_Rates!$C$29:$F$52,HOUR(C2739)+Inputs!$C$69,MATCH(INDEX(Utility_Rates!$K$6:$K$17,MONTH(C2739))&amp;IF(WEEKDAY(C2739,Inputs!$C$76)&lt;=Inputs!$C$74," weekday"," weekend"),Utility_Rates!$C$28:$F$28,Inputs!$C$68)),"")</f>
      </c>
      <c r="H2739" s="34"/>
      <c r="I2739" s="42">
        <f>IF(AND(ISNUMBER(D2739),ISNUMBER(H2739)),D2739*H2739*Inputs!$C$69,"")</f>
      </c>
      <c r="J2739" s="42">
        <f>IF(AND(ISNUMBER(F2739),ISNUMBER(H2739),F2739&gt;=Inputs!$C$68),F2739*H2739*Inputs!$C$69,"")</f>
      </c>
    </row>
    <row r="2740" spans="2:10" ht="15" customHeight="1" x14ac:dyDescent="0.2">
      <c r="B2740" s="39">
        <f t="shared" si="20"/>
      </c>
      <c r="C2740" s="40">
        <f>IF(Inputs!$C$60,Inputs!$C$11+(B2740-Inputs!$C$69)/Inputs!$C$70,"")</f>
      </c>
      <c r="D2740" s="15"/>
      <c r="E2740" s="15"/>
      <c r="F2740" s="11">
        <f t="shared" si="21"/>
      </c>
      <c r="G2740" s="22" cm="1">
        <f t="array" ref="G2740">IF(AND(Inputs!$C$60,Inputs!$C$61),INDEX(Utility_Rates!$C$29:$F$52,HOUR(C2740)+Inputs!$C$69,MATCH(INDEX(Utility_Rates!$K$6:$K$17,MONTH(C2740))&amp;IF(WEEKDAY(C2740,Inputs!$C$76)&lt;=Inputs!$C$74," weekday"," weekend"),Utility_Rates!$C$28:$F$28,Inputs!$C$68)),"")</f>
      </c>
      <c r="H2740" s="34"/>
      <c r="I2740" s="42">
        <f>IF(AND(ISNUMBER(D2740),ISNUMBER(H2740)),D2740*H2740*Inputs!$C$69,"")</f>
      </c>
      <c r="J2740" s="42">
        <f>IF(AND(ISNUMBER(F2740),ISNUMBER(H2740),F2740&gt;=Inputs!$C$68),F2740*H2740*Inputs!$C$69,"")</f>
      </c>
    </row>
    <row r="2741" spans="2:10" ht="15" customHeight="1" x14ac:dyDescent="0.2">
      <c r="B2741" s="39">
        <f t="shared" si="20"/>
      </c>
      <c r="C2741" s="40">
        <f>IF(Inputs!$C$60,Inputs!$C$11+(B2741-Inputs!$C$69)/Inputs!$C$70,"")</f>
      </c>
      <c r="D2741" s="15"/>
      <c r="E2741" s="15"/>
      <c r="F2741" s="11">
        <f t="shared" si="21"/>
      </c>
      <c r="G2741" s="22" cm="1">
        <f t="array" ref="G2741">IF(AND(Inputs!$C$60,Inputs!$C$61),INDEX(Utility_Rates!$C$29:$F$52,HOUR(C2741)+Inputs!$C$69,MATCH(INDEX(Utility_Rates!$K$6:$K$17,MONTH(C2741))&amp;IF(WEEKDAY(C2741,Inputs!$C$76)&lt;=Inputs!$C$74," weekday"," weekend"),Utility_Rates!$C$28:$F$28,Inputs!$C$68)),"")</f>
      </c>
      <c r="H2741" s="34"/>
      <c r="I2741" s="42">
        <f>IF(AND(ISNUMBER(D2741),ISNUMBER(H2741)),D2741*H2741*Inputs!$C$69,"")</f>
      </c>
      <c r="J2741" s="42">
        <f>IF(AND(ISNUMBER(F2741),ISNUMBER(H2741),F2741&gt;=Inputs!$C$68),F2741*H2741*Inputs!$C$69,"")</f>
      </c>
    </row>
    <row r="2742" spans="2:10" ht="15" customHeight="1" x14ac:dyDescent="0.2">
      <c r="B2742" s="39">
        <f t="shared" si="20"/>
      </c>
      <c r="C2742" s="40">
        <f>IF(Inputs!$C$60,Inputs!$C$11+(B2742-Inputs!$C$69)/Inputs!$C$70,"")</f>
      </c>
      <c r="D2742" s="15"/>
      <c r="E2742" s="15"/>
      <c r="F2742" s="11">
        <f t="shared" si="21"/>
      </c>
      <c r="G2742" s="22" cm="1">
        <f t="array" ref="G2742">IF(AND(Inputs!$C$60,Inputs!$C$61),INDEX(Utility_Rates!$C$29:$F$52,HOUR(C2742)+Inputs!$C$69,MATCH(INDEX(Utility_Rates!$K$6:$K$17,MONTH(C2742))&amp;IF(WEEKDAY(C2742,Inputs!$C$76)&lt;=Inputs!$C$74," weekday"," weekend"),Utility_Rates!$C$28:$F$28,Inputs!$C$68)),"")</f>
      </c>
      <c r="H2742" s="34"/>
      <c r="I2742" s="42">
        <f>IF(AND(ISNUMBER(D2742),ISNUMBER(H2742)),D2742*H2742*Inputs!$C$69,"")</f>
      </c>
      <c r="J2742" s="42">
        <f>IF(AND(ISNUMBER(F2742),ISNUMBER(H2742),F2742&gt;=Inputs!$C$68),F2742*H2742*Inputs!$C$69,"")</f>
      </c>
    </row>
    <row r="2743" spans="2:10" ht="15" customHeight="1" x14ac:dyDescent="0.2">
      <c r="B2743" s="39">
        <f t="shared" si="20"/>
      </c>
      <c r="C2743" s="40">
        <f>IF(Inputs!$C$60,Inputs!$C$11+(B2743-Inputs!$C$69)/Inputs!$C$70,"")</f>
      </c>
      <c r="D2743" s="15"/>
      <c r="E2743" s="15"/>
      <c r="F2743" s="11">
        <f t="shared" si="21"/>
      </c>
      <c r="G2743" s="22" cm="1">
        <f t="array" ref="G2743">IF(AND(Inputs!$C$60,Inputs!$C$61),INDEX(Utility_Rates!$C$29:$F$52,HOUR(C2743)+Inputs!$C$69,MATCH(INDEX(Utility_Rates!$K$6:$K$17,MONTH(C2743))&amp;IF(WEEKDAY(C2743,Inputs!$C$76)&lt;=Inputs!$C$74," weekday"," weekend"),Utility_Rates!$C$28:$F$28,Inputs!$C$68)),"")</f>
      </c>
      <c r="H2743" s="34"/>
      <c r="I2743" s="42">
        <f>IF(AND(ISNUMBER(D2743),ISNUMBER(H2743)),D2743*H2743*Inputs!$C$69,"")</f>
      </c>
      <c r="J2743" s="42">
        <f>IF(AND(ISNUMBER(F2743),ISNUMBER(H2743),F2743&gt;=Inputs!$C$68),F2743*H2743*Inputs!$C$69,"")</f>
      </c>
    </row>
    <row r="2744" spans="2:10" ht="15" customHeight="1" x14ac:dyDescent="0.2">
      <c r="B2744" s="39">
        <f t="shared" si="20"/>
      </c>
      <c r="C2744" s="40">
        <f>IF(Inputs!$C$60,Inputs!$C$11+(B2744-Inputs!$C$69)/Inputs!$C$70,"")</f>
      </c>
      <c r="D2744" s="15"/>
      <c r="E2744" s="15"/>
      <c r="F2744" s="11">
        <f t="shared" si="21"/>
      </c>
      <c r="G2744" s="22" cm="1">
        <f t="array" ref="G2744">IF(AND(Inputs!$C$60,Inputs!$C$61),INDEX(Utility_Rates!$C$29:$F$52,HOUR(C2744)+Inputs!$C$69,MATCH(INDEX(Utility_Rates!$K$6:$K$17,MONTH(C2744))&amp;IF(WEEKDAY(C2744,Inputs!$C$76)&lt;=Inputs!$C$74," weekday"," weekend"),Utility_Rates!$C$28:$F$28,Inputs!$C$68)),"")</f>
      </c>
      <c r="H2744" s="34"/>
      <c r="I2744" s="42">
        <f>IF(AND(ISNUMBER(D2744),ISNUMBER(H2744)),D2744*H2744*Inputs!$C$69,"")</f>
      </c>
      <c r="J2744" s="42">
        <f>IF(AND(ISNUMBER(F2744),ISNUMBER(H2744),F2744&gt;=Inputs!$C$68),F2744*H2744*Inputs!$C$69,"")</f>
      </c>
    </row>
    <row r="2745" spans="2:10" ht="15" customHeight="1" x14ac:dyDescent="0.2">
      <c r="B2745" s="39">
        <f t="shared" si="20"/>
      </c>
      <c r="C2745" s="40">
        <f>IF(Inputs!$C$60,Inputs!$C$11+(B2745-Inputs!$C$69)/Inputs!$C$70,"")</f>
      </c>
      <c r="D2745" s="15"/>
      <c r="E2745" s="15"/>
      <c r="F2745" s="11">
        <f t="shared" si="21"/>
      </c>
      <c r="G2745" s="22" cm="1">
        <f t="array" ref="G2745">IF(AND(Inputs!$C$60,Inputs!$C$61),INDEX(Utility_Rates!$C$29:$F$52,HOUR(C2745)+Inputs!$C$69,MATCH(INDEX(Utility_Rates!$K$6:$K$17,MONTH(C2745))&amp;IF(WEEKDAY(C2745,Inputs!$C$76)&lt;=Inputs!$C$74," weekday"," weekend"),Utility_Rates!$C$28:$F$28,Inputs!$C$68)),"")</f>
      </c>
      <c r="H2745" s="34"/>
      <c r="I2745" s="42">
        <f>IF(AND(ISNUMBER(D2745),ISNUMBER(H2745)),D2745*H2745*Inputs!$C$69,"")</f>
      </c>
      <c r="J2745" s="42">
        <f>IF(AND(ISNUMBER(F2745),ISNUMBER(H2745),F2745&gt;=Inputs!$C$68),F2745*H2745*Inputs!$C$69,"")</f>
      </c>
    </row>
    <row r="2746" spans="2:10" ht="15" customHeight="1" x14ac:dyDescent="0.2">
      <c r="B2746" s="39">
        <f t="shared" si="20"/>
      </c>
      <c r="C2746" s="40">
        <f>IF(Inputs!$C$60,Inputs!$C$11+(B2746-Inputs!$C$69)/Inputs!$C$70,"")</f>
      </c>
      <c r="D2746" s="15"/>
      <c r="E2746" s="15"/>
      <c r="F2746" s="11">
        <f t="shared" si="21"/>
      </c>
      <c r="G2746" s="22" cm="1">
        <f t="array" ref="G2746">IF(AND(Inputs!$C$60,Inputs!$C$61),INDEX(Utility_Rates!$C$29:$F$52,HOUR(C2746)+Inputs!$C$69,MATCH(INDEX(Utility_Rates!$K$6:$K$17,MONTH(C2746))&amp;IF(WEEKDAY(C2746,Inputs!$C$76)&lt;=Inputs!$C$74," weekday"," weekend"),Utility_Rates!$C$28:$F$28,Inputs!$C$68)),"")</f>
      </c>
      <c r="H2746" s="34"/>
      <c r="I2746" s="42">
        <f>IF(AND(ISNUMBER(D2746),ISNUMBER(H2746)),D2746*H2746*Inputs!$C$69,"")</f>
      </c>
      <c r="J2746" s="42">
        <f>IF(AND(ISNUMBER(F2746),ISNUMBER(H2746),F2746&gt;=Inputs!$C$68),F2746*H2746*Inputs!$C$69,"")</f>
      </c>
    </row>
    <row r="2747" spans="2:10" ht="15" customHeight="1" x14ac:dyDescent="0.2">
      <c r="B2747" s="39">
        <f t="shared" si="20"/>
      </c>
      <c r="C2747" s="40">
        <f>IF(Inputs!$C$60,Inputs!$C$11+(B2747-Inputs!$C$69)/Inputs!$C$70,"")</f>
      </c>
      <c r="D2747" s="15"/>
      <c r="E2747" s="15"/>
      <c r="F2747" s="11">
        <f t="shared" si="21"/>
      </c>
      <c r="G2747" s="22" cm="1">
        <f t="array" ref="G2747">IF(AND(Inputs!$C$60,Inputs!$C$61),INDEX(Utility_Rates!$C$29:$F$52,HOUR(C2747)+Inputs!$C$69,MATCH(INDEX(Utility_Rates!$K$6:$K$17,MONTH(C2747))&amp;IF(WEEKDAY(C2747,Inputs!$C$76)&lt;=Inputs!$C$74," weekday"," weekend"),Utility_Rates!$C$28:$F$28,Inputs!$C$68)),"")</f>
      </c>
      <c r="H2747" s="34"/>
      <c r="I2747" s="42">
        <f>IF(AND(ISNUMBER(D2747),ISNUMBER(H2747)),D2747*H2747*Inputs!$C$69,"")</f>
      </c>
      <c r="J2747" s="42">
        <f>IF(AND(ISNUMBER(F2747),ISNUMBER(H2747),F2747&gt;=Inputs!$C$68),F2747*H2747*Inputs!$C$69,"")</f>
      </c>
    </row>
    <row r="2748" spans="2:10" ht="15" customHeight="1" x14ac:dyDescent="0.2">
      <c r="B2748" s="39">
        <f t="shared" si="20"/>
      </c>
      <c r="C2748" s="40">
        <f>IF(Inputs!$C$60,Inputs!$C$11+(B2748-Inputs!$C$69)/Inputs!$C$70,"")</f>
      </c>
      <c r="D2748" s="15"/>
      <c r="E2748" s="15"/>
      <c r="F2748" s="11">
        <f t="shared" si="21"/>
      </c>
      <c r="G2748" s="22" cm="1">
        <f t="array" ref="G2748">IF(AND(Inputs!$C$60,Inputs!$C$61),INDEX(Utility_Rates!$C$29:$F$52,HOUR(C2748)+Inputs!$C$69,MATCH(INDEX(Utility_Rates!$K$6:$K$17,MONTH(C2748))&amp;IF(WEEKDAY(C2748,Inputs!$C$76)&lt;=Inputs!$C$74," weekday"," weekend"),Utility_Rates!$C$28:$F$28,Inputs!$C$68)),"")</f>
      </c>
      <c r="H2748" s="34"/>
      <c r="I2748" s="42">
        <f>IF(AND(ISNUMBER(D2748),ISNUMBER(H2748)),D2748*H2748*Inputs!$C$69,"")</f>
      </c>
      <c r="J2748" s="42">
        <f>IF(AND(ISNUMBER(F2748),ISNUMBER(H2748),F2748&gt;=Inputs!$C$68),F2748*H2748*Inputs!$C$69,"")</f>
      </c>
    </row>
    <row r="2749" spans="2:10" ht="15" customHeight="1" x14ac:dyDescent="0.2">
      <c r="B2749" s="39">
        <f t="shared" si="20"/>
      </c>
      <c r="C2749" s="40">
        <f>IF(Inputs!$C$60,Inputs!$C$11+(B2749-Inputs!$C$69)/Inputs!$C$70,"")</f>
      </c>
      <c r="D2749" s="15"/>
      <c r="E2749" s="15"/>
      <c r="F2749" s="11">
        <f t="shared" si="21"/>
      </c>
      <c r="G2749" s="22" cm="1">
        <f t="array" ref="G2749">IF(AND(Inputs!$C$60,Inputs!$C$61),INDEX(Utility_Rates!$C$29:$F$52,HOUR(C2749)+Inputs!$C$69,MATCH(INDEX(Utility_Rates!$K$6:$K$17,MONTH(C2749))&amp;IF(WEEKDAY(C2749,Inputs!$C$76)&lt;=Inputs!$C$74," weekday"," weekend"),Utility_Rates!$C$28:$F$28,Inputs!$C$68)),"")</f>
      </c>
      <c r="H2749" s="34"/>
      <c r="I2749" s="42">
        <f>IF(AND(ISNUMBER(D2749),ISNUMBER(H2749)),D2749*H2749*Inputs!$C$69,"")</f>
      </c>
      <c r="J2749" s="42">
        <f>IF(AND(ISNUMBER(F2749),ISNUMBER(H2749),F2749&gt;=Inputs!$C$68),F2749*H2749*Inputs!$C$69,"")</f>
      </c>
    </row>
    <row r="2750" spans="2:10" ht="15" customHeight="1" x14ac:dyDescent="0.2">
      <c r="B2750" s="39">
        <f t="shared" si="20"/>
      </c>
      <c r="C2750" s="40">
        <f>IF(Inputs!$C$60,Inputs!$C$11+(B2750-Inputs!$C$69)/Inputs!$C$70,"")</f>
      </c>
      <c r="D2750" s="15"/>
      <c r="E2750" s="15"/>
      <c r="F2750" s="11">
        <f t="shared" si="21"/>
      </c>
      <c r="G2750" s="22" cm="1">
        <f t="array" ref="G2750">IF(AND(Inputs!$C$60,Inputs!$C$61),INDEX(Utility_Rates!$C$29:$F$52,HOUR(C2750)+Inputs!$C$69,MATCH(INDEX(Utility_Rates!$K$6:$K$17,MONTH(C2750))&amp;IF(WEEKDAY(C2750,Inputs!$C$76)&lt;=Inputs!$C$74," weekday"," weekend"),Utility_Rates!$C$28:$F$28,Inputs!$C$68)),"")</f>
      </c>
      <c r="H2750" s="34"/>
      <c r="I2750" s="42">
        <f>IF(AND(ISNUMBER(D2750),ISNUMBER(H2750)),D2750*H2750*Inputs!$C$69,"")</f>
      </c>
      <c r="J2750" s="42">
        <f>IF(AND(ISNUMBER(F2750),ISNUMBER(H2750),F2750&gt;=Inputs!$C$68),F2750*H2750*Inputs!$C$69,"")</f>
      </c>
    </row>
    <row r="2751" spans="2:10" ht="15" customHeight="1" x14ac:dyDescent="0.2">
      <c r="B2751" s="39">
        <f t="shared" si="20"/>
      </c>
      <c r="C2751" s="40">
        <f>IF(Inputs!$C$60,Inputs!$C$11+(B2751-Inputs!$C$69)/Inputs!$C$70,"")</f>
      </c>
      <c r="D2751" s="15"/>
      <c r="E2751" s="15"/>
      <c r="F2751" s="11">
        <f t="shared" si="21"/>
      </c>
      <c r="G2751" s="22" cm="1">
        <f t="array" ref="G2751">IF(AND(Inputs!$C$60,Inputs!$C$61),INDEX(Utility_Rates!$C$29:$F$52,HOUR(C2751)+Inputs!$C$69,MATCH(INDEX(Utility_Rates!$K$6:$K$17,MONTH(C2751))&amp;IF(WEEKDAY(C2751,Inputs!$C$76)&lt;=Inputs!$C$74," weekday"," weekend"),Utility_Rates!$C$28:$F$28,Inputs!$C$68)),"")</f>
      </c>
      <c r="H2751" s="34"/>
      <c r="I2751" s="42">
        <f>IF(AND(ISNUMBER(D2751),ISNUMBER(H2751)),D2751*H2751*Inputs!$C$69,"")</f>
      </c>
      <c r="J2751" s="42">
        <f>IF(AND(ISNUMBER(F2751),ISNUMBER(H2751),F2751&gt;=Inputs!$C$68),F2751*H2751*Inputs!$C$69,"")</f>
      </c>
    </row>
    <row r="2752" spans="2:10" ht="15" customHeight="1" x14ac:dyDescent="0.2">
      <c r="B2752" s="39">
        <f t="shared" si="20"/>
      </c>
      <c r="C2752" s="40">
        <f>IF(Inputs!$C$60,Inputs!$C$11+(B2752-Inputs!$C$69)/Inputs!$C$70,"")</f>
      </c>
      <c r="D2752" s="15"/>
      <c r="E2752" s="15"/>
      <c r="F2752" s="11">
        <f t="shared" si="21"/>
      </c>
      <c r="G2752" s="22" cm="1">
        <f t="array" ref="G2752">IF(AND(Inputs!$C$60,Inputs!$C$61),INDEX(Utility_Rates!$C$29:$F$52,HOUR(C2752)+Inputs!$C$69,MATCH(INDEX(Utility_Rates!$K$6:$K$17,MONTH(C2752))&amp;IF(WEEKDAY(C2752,Inputs!$C$76)&lt;=Inputs!$C$74," weekday"," weekend"),Utility_Rates!$C$28:$F$28,Inputs!$C$68)),"")</f>
      </c>
      <c r="H2752" s="34"/>
      <c r="I2752" s="42">
        <f>IF(AND(ISNUMBER(D2752),ISNUMBER(H2752)),D2752*H2752*Inputs!$C$69,"")</f>
      </c>
      <c r="J2752" s="42">
        <f>IF(AND(ISNUMBER(F2752),ISNUMBER(H2752),F2752&gt;=Inputs!$C$68),F2752*H2752*Inputs!$C$69,"")</f>
      </c>
    </row>
    <row r="2753" spans="2:10" ht="15" customHeight="1" x14ac:dyDescent="0.2">
      <c r="B2753" s="39">
        <f t="shared" si="20"/>
      </c>
      <c r="C2753" s="40">
        <f>IF(Inputs!$C$60,Inputs!$C$11+(B2753-Inputs!$C$69)/Inputs!$C$70,"")</f>
      </c>
      <c r="D2753" s="15"/>
      <c r="E2753" s="15"/>
      <c r="F2753" s="11">
        <f t="shared" si="21"/>
      </c>
      <c r="G2753" s="22" cm="1">
        <f t="array" ref="G2753">IF(AND(Inputs!$C$60,Inputs!$C$61),INDEX(Utility_Rates!$C$29:$F$52,HOUR(C2753)+Inputs!$C$69,MATCH(INDEX(Utility_Rates!$K$6:$K$17,MONTH(C2753))&amp;IF(WEEKDAY(C2753,Inputs!$C$76)&lt;=Inputs!$C$74," weekday"," weekend"),Utility_Rates!$C$28:$F$28,Inputs!$C$68)),"")</f>
      </c>
      <c r="H2753" s="34"/>
      <c r="I2753" s="42">
        <f>IF(AND(ISNUMBER(D2753),ISNUMBER(H2753)),D2753*H2753*Inputs!$C$69,"")</f>
      </c>
      <c r="J2753" s="42">
        <f>IF(AND(ISNUMBER(F2753),ISNUMBER(H2753),F2753&gt;=Inputs!$C$68),F2753*H2753*Inputs!$C$69,"")</f>
      </c>
    </row>
    <row r="2754" spans="2:10" ht="15" customHeight="1" x14ac:dyDescent="0.2">
      <c r="B2754" s="39">
        <f t="shared" si="20"/>
      </c>
      <c r="C2754" s="40">
        <f>IF(Inputs!$C$60,Inputs!$C$11+(B2754-Inputs!$C$69)/Inputs!$C$70,"")</f>
      </c>
      <c r="D2754" s="15"/>
      <c r="E2754" s="15"/>
      <c r="F2754" s="11">
        <f t="shared" si="21"/>
      </c>
      <c r="G2754" s="22" cm="1">
        <f t="array" ref="G2754">IF(AND(Inputs!$C$60,Inputs!$C$61),INDEX(Utility_Rates!$C$29:$F$52,HOUR(C2754)+Inputs!$C$69,MATCH(INDEX(Utility_Rates!$K$6:$K$17,MONTH(C2754))&amp;IF(WEEKDAY(C2754,Inputs!$C$76)&lt;=Inputs!$C$74," weekday"," weekend"),Utility_Rates!$C$28:$F$28,Inputs!$C$68)),"")</f>
      </c>
      <c r="H2754" s="34"/>
      <c r="I2754" s="42">
        <f>IF(AND(ISNUMBER(D2754),ISNUMBER(H2754)),D2754*H2754*Inputs!$C$69,"")</f>
      </c>
      <c r="J2754" s="42">
        <f>IF(AND(ISNUMBER(F2754),ISNUMBER(H2754),F2754&gt;=Inputs!$C$68),F2754*H2754*Inputs!$C$69,"")</f>
      </c>
    </row>
    <row r="2755" spans="2:10" ht="15" customHeight="1" x14ac:dyDescent="0.2">
      <c r="B2755" s="39">
        <f t="shared" si="20"/>
      </c>
      <c r="C2755" s="40">
        <f>IF(Inputs!$C$60,Inputs!$C$11+(B2755-Inputs!$C$69)/Inputs!$C$70,"")</f>
      </c>
      <c r="D2755" s="15"/>
      <c r="E2755" s="15"/>
      <c r="F2755" s="11">
        <f t="shared" si="21"/>
      </c>
      <c r="G2755" s="22" cm="1">
        <f t="array" ref="G2755">IF(AND(Inputs!$C$60,Inputs!$C$61),INDEX(Utility_Rates!$C$29:$F$52,HOUR(C2755)+Inputs!$C$69,MATCH(INDEX(Utility_Rates!$K$6:$K$17,MONTH(C2755))&amp;IF(WEEKDAY(C2755,Inputs!$C$76)&lt;=Inputs!$C$74," weekday"," weekend"),Utility_Rates!$C$28:$F$28,Inputs!$C$68)),"")</f>
      </c>
      <c r="H2755" s="34"/>
      <c r="I2755" s="42">
        <f>IF(AND(ISNUMBER(D2755),ISNUMBER(H2755)),D2755*H2755*Inputs!$C$69,"")</f>
      </c>
      <c r="J2755" s="42">
        <f>IF(AND(ISNUMBER(F2755),ISNUMBER(H2755),F2755&gt;=Inputs!$C$68),F2755*H2755*Inputs!$C$69,"")</f>
      </c>
    </row>
    <row r="2756" spans="2:10" ht="15" customHeight="1" x14ac:dyDescent="0.2">
      <c r="B2756" s="39">
        <f t="shared" si="20"/>
      </c>
      <c r="C2756" s="40">
        <f>IF(Inputs!$C$60,Inputs!$C$11+(B2756-Inputs!$C$69)/Inputs!$C$70,"")</f>
      </c>
      <c r="D2756" s="15"/>
      <c r="E2756" s="15"/>
      <c r="F2756" s="11">
        <f t="shared" si="21"/>
      </c>
      <c r="G2756" s="22" cm="1">
        <f t="array" ref="G2756">IF(AND(Inputs!$C$60,Inputs!$C$61),INDEX(Utility_Rates!$C$29:$F$52,HOUR(C2756)+Inputs!$C$69,MATCH(INDEX(Utility_Rates!$K$6:$K$17,MONTH(C2756))&amp;IF(WEEKDAY(C2756,Inputs!$C$76)&lt;=Inputs!$C$74," weekday"," weekend"),Utility_Rates!$C$28:$F$28,Inputs!$C$68)),"")</f>
      </c>
      <c r="H2756" s="34"/>
      <c r="I2756" s="42">
        <f>IF(AND(ISNUMBER(D2756),ISNUMBER(H2756)),D2756*H2756*Inputs!$C$69,"")</f>
      </c>
      <c r="J2756" s="42">
        <f>IF(AND(ISNUMBER(F2756),ISNUMBER(H2756),F2756&gt;=Inputs!$C$68),F2756*H2756*Inputs!$C$69,"")</f>
      </c>
    </row>
    <row r="2757" spans="2:10" ht="15" customHeight="1" x14ac:dyDescent="0.2">
      <c r="B2757" s="39">
        <f t="shared" si="20"/>
      </c>
      <c r="C2757" s="40">
        <f>IF(Inputs!$C$60,Inputs!$C$11+(B2757-Inputs!$C$69)/Inputs!$C$70,"")</f>
      </c>
      <c r="D2757" s="15"/>
      <c r="E2757" s="15"/>
      <c r="F2757" s="11">
        <f t="shared" si="21"/>
      </c>
      <c r="G2757" s="22" cm="1">
        <f t="array" ref="G2757">IF(AND(Inputs!$C$60,Inputs!$C$61),INDEX(Utility_Rates!$C$29:$F$52,HOUR(C2757)+Inputs!$C$69,MATCH(INDEX(Utility_Rates!$K$6:$K$17,MONTH(C2757))&amp;IF(WEEKDAY(C2757,Inputs!$C$76)&lt;=Inputs!$C$74," weekday"," weekend"),Utility_Rates!$C$28:$F$28,Inputs!$C$68)),"")</f>
      </c>
      <c r="H2757" s="34"/>
      <c r="I2757" s="42">
        <f>IF(AND(ISNUMBER(D2757),ISNUMBER(H2757)),D2757*H2757*Inputs!$C$69,"")</f>
      </c>
      <c r="J2757" s="42">
        <f>IF(AND(ISNUMBER(F2757),ISNUMBER(H2757),F2757&gt;=Inputs!$C$68),F2757*H2757*Inputs!$C$69,"")</f>
      </c>
    </row>
    <row r="2758" spans="2:10" ht="15" customHeight="1" x14ac:dyDescent="0.2">
      <c r="B2758" s="39">
        <f t="shared" si="20"/>
      </c>
      <c r="C2758" s="40">
        <f>IF(Inputs!$C$60,Inputs!$C$11+(B2758-Inputs!$C$69)/Inputs!$C$70,"")</f>
      </c>
      <c r="D2758" s="15"/>
      <c r="E2758" s="15"/>
      <c r="F2758" s="11">
        <f t="shared" si="21"/>
      </c>
      <c r="G2758" s="22" cm="1">
        <f t="array" ref="G2758">IF(AND(Inputs!$C$60,Inputs!$C$61),INDEX(Utility_Rates!$C$29:$F$52,HOUR(C2758)+Inputs!$C$69,MATCH(INDEX(Utility_Rates!$K$6:$K$17,MONTH(C2758))&amp;IF(WEEKDAY(C2758,Inputs!$C$76)&lt;=Inputs!$C$74," weekday"," weekend"),Utility_Rates!$C$28:$F$28,Inputs!$C$68)),"")</f>
      </c>
      <c r="H2758" s="34"/>
      <c r="I2758" s="42">
        <f>IF(AND(ISNUMBER(D2758),ISNUMBER(H2758)),D2758*H2758*Inputs!$C$69,"")</f>
      </c>
      <c r="J2758" s="42">
        <f>IF(AND(ISNUMBER(F2758),ISNUMBER(H2758),F2758&gt;=Inputs!$C$68),F2758*H2758*Inputs!$C$69,"")</f>
      </c>
    </row>
    <row r="2759" spans="2:10" ht="15" customHeight="1" x14ac:dyDescent="0.2">
      <c r="B2759" s="39">
        <f t="shared" si="20"/>
      </c>
      <c r="C2759" s="40">
        <f>IF(Inputs!$C$60,Inputs!$C$11+(B2759-Inputs!$C$69)/Inputs!$C$70,"")</f>
      </c>
      <c r="D2759" s="15"/>
      <c r="E2759" s="15"/>
      <c r="F2759" s="11">
        <f t="shared" si="21"/>
      </c>
      <c r="G2759" s="22" cm="1">
        <f t="array" ref="G2759">IF(AND(Inputs!$C$60,Inputs!$C$61),INDEX(Utility_Rates!$C$29:$F$52,HOUR(C2759)+Inputs!$C$69,MATCH(INDEX(Utility_Rates!$K$6:$K$17,MONTH(C2759))&amp;IF(WEEKDAY(C2759,Inputs!$C$76)&lt;=Inputs!$C$74," weekday"," weekend"),Utility_Rates!$C$28:$F$28,Inputs!$C$68)),"")</f>
      </c>
      <c r="H2759" s="34"/>
      <c r="I2759" s="42">
        <f>IF(AND(ISNUMBER(D2759),ISNUMBER(H2759)),D2759*H2759*Inputs!$C$69,"")</f>
      </c>
      <c r="J2759" s="42">
        <f>IF(AND(ISNUMBER(F2759),ISNUMBER(H2759),F2759&gt;=Inputs!$C$68),F2759*H2759*Inputs!$C$69,"")</f>
      </c>
    </row>
    <row r="2760" spans="2:10" ht="15" customHeight="1" x14ac:dyDescent="0.2">
      <c r="B2760" s="39">
        <f t="shared" si="20"/>
      </c>
      <c r="C2760" s="40">
        <f>IF(Inputs!$C$60,Inputs!$C$11+(B2760-Inputs!$C$69)/Inputs!$C$70,"")</f>
      </c>
      <c r="D2760" s="15"/>
      <c r="E2760" s="15"/>
      <c r="F2760" s="11">
        <f t="shared" si="21"/>
      </c>
      <c r="G2760" s="22" cm="1">
        <f t="array" ref="G2760">IF(AND(Inputs!$C$60,Inputs!$C$61),INDEX(Utility_Rates!$C$29:$F$52,HOUR(C2760)+Inputs!$C$69,MATCH(INDEX(Utility_Rates!$K$6:$K$17,MONTH(C2760))&amp;IF(WEEKDAY(C2760,Inputs!$C$76)&lt;=Inputs!$C$74," weekday"," weekend"),Utility_Rates!$C$28:$F$28,Inputs!$C$68)),"")</f>
      </c>
      <c r="H2760" s="34"/>
      <c r="I2760" s="42">
        <f>IF(AND(ISNUMBER(D2760),ISNUMBER(H2760)),D2760*H2760*Inputs!$C$69,"")</f>
      </c>
      <c r="J2760" s="42">
        <f>IF(AND(ISNUMBER(F2760),ISNUMBER(H2760),F2760&gt;=Inputs!$C$68),F2760*H2760*Inputs!$C$69,"")</f>
      </c>
    </row>
    <row r="2761" spans="2:10" ht="15" customHeight="1" x14ac:dyDescent="0.2">
      <c r="B2761" s="39">
        <f t="shared" si="20"/>
      </c>
      <c r="C2761" s="40">
        <f>IF(Inputs!$C$60,Inputs!$C$11+(B2761-Inputs!$C$69)/Inputs!$C$70,"")</f>
      </c>
      <c r="D2761" s="15"/>
      <c r="E2761" s="15"/>
      <c r="F2761" s="11">
        <f t="shared" si="21"/>
      </c>
      <c r="G2761" s="22" cm="1">
        <f t="array" ref="G2761">IF(AND(Inputs!$C$60,Inputs!$C$61),INDEX(Utility_Rates!$C$29:$F$52,HOUR(C2761)+Inputs!$C$69,MATCH(INDEX(Utility_Rates!$K$6:$K$17,MONTH(C2761))&amp;IF(WEEKDAY(C2761,Inputs!$C$76)&lt;=Inputs!$C$74," weekday"," weekend"),Utility_Rates!$C$28:$F$28,Inputs!$C$68)),"")</f>
      </c>
      <c r="H2761" s="34"/>
      <c r="I2761" s="42">
        <f>IF(AND(ISNUMBER(D2761),ISNUMBER(H2761)),D2761*H2761*Inputs!$C$69,"")</f>
      </c>
      <c r="J2761" s="42">
        <f>IF(AND(ISNUMBER(F2761),ISNUMBER(H2761),F2761&gt;=Inputs!$C$68),F2761*H2761*Inputs!$C$69,"")</f>
      </c>
    </row>
    <row r="2762" spans="2:10" ht="15" customHeight="1" x14ac:dyDescent="0.2">
      <c r="B2762" s="39">
        <f t="shared" si="20"/>
      </c>
      <c r="C2762" s="40">
        <f>IF(Inputs!$C$60,Inputs!$C$11+(B2762-Inputs!$C$69)/Inputs!$C$70,"")</f>
      </c>
      <c r="D2762" s="15"/>
      <c r="E2762" s="15"/>
      <c r="F2762" s="11">
        <f t="shared" si="21"/>
      </c>
      <c r="G2762" s="22" cm="1">
        <f t="array" ref="G2762">IF(AND(Inputs!$C$60,Inputs!$C$61),INDEX(Utility_Rates!$C$29:$F$52,HOUR(C2762)+Inputs!$C$69,MATCH(INDEX(Utility_Rates!$K$6:$K$17,MONTH(C2762))&amp;IF(WEEKDAY(C2762,Inputs!$C$76)&lt;=Inputs!$C$74," weekday"," weekend"),Utility_Rates!$C$28:$F$28,Inputs!$C$68)),"")</f>
      </c>
      <c r="H2762" s="34"/>
      <c r="I2762" s="42">
        <f>IF(AND(ISNUMBER(D2762),ISNUMBER(H2762)),D2762*H2762*Inputs!$C$69,"")</f>
      </c>
      <c r="J2762" s="42">
        <f>IF(AND(ISNUMBER(F2762),ISNUMBER(H2762),F2762&gt;=Inputs!$C$68),F2762*H2762*Inputs!$C$69,"")</f>
      </c>
    </row>
    <row r="2763" spans="2:10" ht="15" customHeight="1" x14ac:dyDescent="0.2">
      <c r="B2763" s="39">
        <f t="shared" si="20"/>
      </c>
      <c r="C2763" s="40">
        <f>IF(Inputs!$C$60,Inputs!$C$11+(B2763-Inputs!$C$69)/Inputs!$C$70,"")</f>
      </c>
      <c r="D2763" s="15"/>
      <c r="E2763" s="15"/>
      <c r="F2763" s="11">
        <f t="shared" si="21"/>
      </c>
      <c r="G2763" s="22" cm="1">
        <f t="array" ref="G2763">IF(AND(Inputs!$C$60,Inputs!$C$61),INDEX(Utility_Rates!$C$29:$F$52,HOUR(C2763)+Inputs!$C$69,MATCH(INDEX(Utility_Rates!$K$6:$K$17,MONTH(C2763))&amp;IF(WEEKDAY(C2763,Inputs!$C$76)&lt;=Inputs!$C$74," weekday"," weekend"),Utility_Rates!$C$28:$F$28,Inputs!$C$68)),"")</f>
      </c>
      <c r="H2763" s="34"/>
      <c r="I2763" s="42">
        <f>IF(AND(ISNUMBER(D2763),ISNUMBER(H2763)),D2763*H2763*Inputs!$C$69,"")</f>
      </c>
      <c r="J2763" s="42">
        <f>IF(AND(ISNUMBER(F2763),ISNUMBER(H2763),F2763&gt;=Inputs!$C$68),F2763*H2763*Inputs!$C$69,"")</f>
      </c>
    </row>
    <row r="2764" spans="2:10" ht="15" customHeight="1" x14ac:dyDescent="0.2">
      <c r="B2764" s="39">
        <f t="shared" si="20"/>
      </c>
      <c r="C2764" s="40">
        <f>IF(Inputs!$C$60,Inputs!$C$11+(B2764-Inputs!$C$69)/Inputs!$C$70,"")</f>
      </c>
      <c r="D2764" s="15"/>
      <c r="E2764" s="15"/>
      <c r="F2764" s="11">
        <f t="shared" si="21"/>
      </c>
      <c r="G2764" s="22" cm="1">
        <f t="array" ref="G2764">IF(AND(Inputs!$C$60,Inputs!$C$61),INDEX(Utility_Rates!$C$29:$F$52,HOUR(C2764)+Inputs!$C$69,MATCH(INDEX(Utility_Rates!$K$6:$K$17,MONTH(C2764))&amp;IF(WEEKDAY(C2764,Inputs!$C$76)&lt;=Inputs!$C$74," weekday"," weekend"),Utility_Rates!$C$28:$F$28,Inputs!$C$68)),"")</f>
      </c>
      <c r="H2764" s="34"/>
      <c r="I2764" s="42">
        <f>IF(AND(ISNUMBER(D2764),ISNUMBER(H2764)),D2764*H2764*Inputs!$C$69,"")</f>
      </c>
      <c r="J2764" s="42">
        <f>IF(AND(ISNUMBER(F2764),ISNUMBER(H2764),F2764&gt;=Inputs!$C$68),F2764*H2764*Inputs!$C$69,"")</f>
      </c>
    </row>
    <row r="2765" spans="2:10" ht="15" customHeight="1" x14ac:dyDescent="0.2">
      <c r="B2765" s="39">
        <f t="shared" si="20"/>
      </c>
      <c r="C2765" s="40">
        <f>IF(Inputs!$C$60,Inputs!$C$11+(B2765-Inputs!$C$69)/Inputs!$C$70,"")</f>
      </c>
      <c r="D2765" s="15"/>
      <c r="E2765" s="15"/>
      <c r="F2765" s="11">
        <f t="shared" si="21"/>
      </c>
      <c r="G2765" s="22" cm="1">
        <f t="array" ref="G2765">IF(AND(Inputs!$C$60,Inputs!$C$61),INDEX(Utility_Rates!$C$29:$F$52,HOUR(C2765)+Inputs!$C$69,MATCH(INDEX(Utility_Rates!$K$6:$K$17,MONTH(C2765))&amp;IF(WEEKDAY(C2765,Inputs!$C$76)&lt;=Inputs!$C$74," weekday"," weekend"),Utility_Rates!$C$28:$F$28,Inputs!$C$68)),"")</f>
      </c>
      <c r="H2765" s="34"/>
      <c r="I2765" s="42">
        <f>IF(AND(ISNUMBER(D2765),ISNUMBER(H2765)),D2765*H2765*Inputs!$C$69,"")</f>
      </c>
      <c r="J2765" s="42">
        <f>IF(AND(ISNUMBER(F2765),ISNUMBER(H2765),F2765&gt;=Inputs!$C$68),F2765*H2765*Inputs!$C$69,"")</f>
      </c>
    </row>
    <row r="2766" spans="2:10" ht="15" customHeight="1" x14ac:dyDescent="0.2">
      <c r="B2766" s="39">
        <f t="shared" si="20"/>
      </c>
      <c r="C2766" s="40">
        <f>IF(Inputs!$C$60,Inputs!$C$11+(B2766-Inputs!$C$69)/Inputs!$C$70,"")</f>
      </c>
      <c r="D2766" s="15"/>
      <c r="E2766" s="15"/>
      <c r="F2766" s="11">
        <f t="shared" si="21"/>
      </c>
      <c r="G2766" s="22" cm="1">
        <f t="array" ref="G2766">IF(AND(Inputs!$C$60,Inputs!$C$61),INDEX(Utility_Rates!$C$29:$F$52,HOUR(C2766)+Inputs!$C$69,MATCH(INDEX(Utility_Rates!$K$6:$K$17,MONTH(C2766))&amp;IF(WEEKDAY(C2766,Inputs!$C$76)&lt;=Inputs!$C$74," weekday"," weekend"),Utility_Rates!$C$28:$F$28,Inputs!$C$68)),"")</f>
      </c>
      <c r="H2766" s="34"/>
      <c r="I2766" s="42">
        <f>IF(AND(ISNUMBER(D2766),ISNUMBER(H2766)),D2766*H2766*Inputs!$C$69,"")</f>
      </c>
      <c r="J2766" s="42">
        <f>IF(AND(ISNUMBER(F2766),ISNUMBER(H2766),F2766&gt;=Inputs!$C$68),F2766*H2766*Inputs!$C$69,"")</f>
      </c>
    </row>
    <row r="2767" spans="2:10" ht="15" customHeight="1" x14ac:dyDescent="0.2">
      <c r="B2767" s="39">
        <f t="shared" si="20"/>
      </c>
      <c r="C2767" s="40">
        <f>IF(Inputs!$C$60,Inputs!$C$11+(B2767-Inputs!$C$69)/Inputs!$C$70,"")</f>
      </c>
      <c r="D2767" s="15"/>
      <c r="E2767" s="15"/>
      <c r="F2767" s="11">
        <f t="shared" si="21"/>
      </c>
      <c r="G2767" s="22" cm="1">
        <f t="array" ref="G2767">IF(AND(Inputs!$C$60,Inputs!$C$61),INDEX(Utility_Rates!$C$29:$F$52,HOUR(C2767)+Inputs!$C$69,MATCH(INDEX(Utility_Rates!$K$6:$K$17,MONTH(C2767))&amp;IF(WEEKDAY(C2767,Inputs!$C$76)&lt;=Inputs!$C$74," weekday"," weekend"),Utility_Rates!$C$28:$F$28,Inputs!$C$68)),"")</f>
      </c>
      <c r="H2767" s="34"/>
      <c r="I2767" s="42">
        <f>IF(AND(ISNUMBER(D2767),ISNUMBER(H2767)),D2767*H2767*Inputs!$C$69,"")</f>
      </c>
      <c r="J2767" s="42">
        <f>IF(AND(ISNUMBER(F2767),ISNUMBER(H2767),F2767&gt;=Inputs!$C$68),F2767*H2767*Inputs!$C$69,"")</f>
      </c>
    </row>
    <row r="2768" spans="2:10" ht="15" customHeight="1" x14ac:dyDescent="0.2">
      <c r="B2768" s="39">
        <f t="shared" si="20"/>
      </c>
      <c r="C2768" s="40">
        <f>IF(Inputs!$C$60,Inputs!$C$11+(B2768-Inputs!$C$69)/Inputs!$C$70,"")</f>
      </c>
      <c r="D2768" s="15"/>
      <c r="E2768" s="15"/>
      <c r="F2768" s="11">
        <f t="shared" si="21"/>
      </c>
      <c r="G2768" s="22" cm="1">
        <f t="array" ref="G2768">IF(AND(Inputs!$C$60,Inputs!$C$61),INDEX(Utility_Rates!$C$29:$F$52,HOUR(C2768)+Inputs!$C$69,MATCH(INDEX(Utility_Rates!$K$6:$K$17,MONTH(C2768))&amp;IF(WEEKDAY(C2768,Inputs!$C$76)&lt;=Inputs!$C$74," weekday"," weekend"),Utility_Rates!$C$28:$F$28,Inputs!$C$68)),"")</f>
      </c>
      <c r="H2768" s="34"/>
      <c r="I2768" s="42">
        <f>IF(AND(ISNUMBER(D2768),ISNUMBER(H2768)),D2768*H2768*Inputs!$C$69,"")</f>
      </c>
      <c r="J2768" s="42">
        <f>IF(AND(ISNUMBER(F2768),ISNUMBER(H2768),F2768&gt;=Inputs!$C$68),F2768*H2768*Inputs!$C$69,"")</f>
      </c>
    </row>
    <row r="2769" spans="2:10" ht="15" customHeight="1" x14ac:dyDescent="0.2">
      <c r="B2769" s="39">
        <f t="shared" si="20"/>
      </c>
      <c r="C2769" s="40">
        <f>IF(Inputs!$C$60,Inputs!$C$11+(B2769-Inputs!$C$69)/Inputs!$C$70,"")</f>
      </c>
      <c r="D2769" s="15"/>
      <c r="E2769" s="15"/>
      <c r="F2769" s="11">
        <f t="shared" si="21"/>
      </c>
      <c r="G2769" s="22" cm="1">
        <f t="array" ref="G2769">IF(AND(Inputs!$C$60,Inputs!$C$61),INDEX(Utility_Rates!$C$29:$F$52,HOUR(C2769)+Inputs!$C$69,MATCH(INDEX(Utility_Rates!$K$6:$K$17,MONTH(C2769))&amp;IF(WEEKDAY(C2769,Inputs!$C$76)&lt;=Inputs!$C$74," weekday"," weekend"),Utility_Rates!$C$28:$F$28,Inputs!$C$68)),"")</f>
      </c>
      <c r="H2769" s="34"/>
      <c r="I2769" s="42">
        <f>IF(AND(ISNUMBER(D2769),ISNUMBER(H2769)),D2769*H2769*Inputs!$C$69,"")</f>
      </c>
      <c r="J2769" s="42">
        <f>IF(AND(ISNUMBER(F2769),ISNUMBER(H2769),F2769&gt;=Inputs!$C$68),F2769*H2769*Inputs!$C$69,"")</f>
      </c>
    </row>
    <row r="2770" spans="2:10" ht="15" customHeight="1" x14ac:dyDescent="0.2">
      <c r="B2770" s="39">
        <f t="shared" si="20"/>
      </c>
      <c r="C2770" s="40">
        <f>IF(Inputs!$C$60,Inputs!$C$11+(B2770-Inputs!$C$69)/Inputs!$C$70,"")</f>
      </c>
      <c r="D2770" s="15"/>
      <c r="E2770" s="15"/>
      <c r="F2770" s="11">
        <f t="shared" si="21"/>
      </c>
      <c r="G2770" s="22" cm="1">
        <f t="array" ref="G2770">IF(AND(Inputs!$C$60,Inputs!$C$61),INDEX(Utility_Rates!$C$29:$F$52,HOUR(C2770)+Inputs!$C$69,MATCH(INDEX(Utility_Rates!$K$6:$K$17,MONTH(C2770))&amp;IF(WEEKDAY(C2770,Inputs!$C$76)&lt;=Inputs!$C$74," weekday"," weekend"),Utility_Rates!$C$28:$F$28,Inputs!$C$68)),"")</f>
      </c>
      <c r="H2770" s="34"/>
      <c r="I2770" s="42">
        <f>IF(AND(ISNUMBER(D2770),ISNUMBER(H2770)),D2770*H2770*Inputs!$C$69,"")</f>
      </c>
      <c r="J2770" s="42">
        <f>IF(AND(ISNUMBER(F2770),ISNUMBER(H2770),F2770&gt;=Inputs!$C$68),F2770*H2770*Inputs!$C$69,"")</f>
      </c>
    </row>
    <row r="2771" spans="2:10" ht="15" customHeight="1" x14ac:dyDescent="0.2">
      <c r="B2771" s="39">
        <f t="shared" si="20"/>
      </c>
      <c r="C2771" s="40">
        <f>IF(Inputs!$C$60,Inputs!$C$11+(B2771-Inputs!$C$69)/Inputs!$C$70,"")</f>
      </c>
      <c r="D2771" s="15"/>
      <c r="E2771" s="15"/>
      <c r="F2771" s="11">
        <f t="shared" si="21"/>
      </c>
      <c r="G2771" s="22" cm="1">
        <f t="array" ref="G2771">IF(AND(Inputs!$C$60,Inputs!$C$61),INDEX(Utility_Rates!$C$29:$F$52,HOUR(C2771)+Inputs!$C$69,MATCH(INDEX(Utility_Rates!$K$6:$K$17,MONTH(C2771))&amp;IF(WEEKDAY(C2771,Inputs!$C$76)&lt;=Inputs!$C$74," weekday"," weekend"),Utility_Rates!$C$28:$F$28,Inputs!$C$68)),"")</f>
      </c>
      <c r="H2771" s="34"/>
      <c r="I2771" s="42">
        <f>IF(AND(ISNUMBER(D2771),ISNUMBER(H2771)),D2771*H2771*Inputs!$C$69,"")</f>
      </c>
      <c r="J2771" s="42">
        <f>IF(AND(ISNUMBER(F2771),ISNUMBER(H2771),F2771&gt;=Inputs!$C$68),F2771*H2771*Inputs!$C$69,"")</f>
      </c>
    </row>
    <row r="2772" spans="2:10" ht="15" customHeight="1" x14ac:dyDescent="0.2">
      <c r="B2772" s="39">
        <f t="shared" si="20"/>
      </c>
      <c r="C2772" s="40">
        <f>IF(Inputs!$C$60,Inputs!$C$11+(B2772-Inputs!$C$69)/Inputs!$C$70,"")</f>
      </c>
      <c r="D2772" s="15"/>
      <c r="E2772" s="15"/>
      <c r="F2772" s="11">
        <f t="shared" si="21"/>
      </c>
      <c r="G2772" s="22" cm="1">
        <f t="array" ref="G2772">IF(AND(Inputs!$C$60,Inputs!$C$61),INDEX(Utility_Rates!$C$29:$F$52,HOUR(C2772)+Inputs!$C$69,MATCH(INDEX(Utility_Rates!$K$6:$K$17,MONTH(C2772))&amp;IF(WEEKDAY(C2772,Inputs!$C$76)&lt;=Inputs!$C$74," weekday"," weekend"),Utility_Rates!$C$28:$F$28,Inputs!$C$68)),"")</f>
      </c>
      <c r="H2772" s="34"/>
      <c r="I2772" s="42">
        <f>IF(AND(ISNUMBER(D2772),ISNUMBER(H2772)),D2772*H2772*Inputs!$C$69,"")</f>
      </c>
      <c r="J2772" s="42">
        <f>IF(AND(ISNUMBER(F2772),ISNUMBER(H2772),F2772&gt;=Inputs!$C$68),F2772*H2772*Inputs!$C$69,"")</f>
      </c>
    </row>
    <row r="2773" spans="2:10" ht="15" customHeight="1" x14ac:dyDescent="0.2">
      <c r="B2773" s="39">
        <f t="shared" si="20"/>
      </c>
      <c r="C2773" s="40">
        <f>IF(Inputs!$C$60,Inputs!$C$11+(B2773-Inputs!$C$69)/Inputs!$C$70,"")</f>
      </c>
      <c r="D2773" s="15"/>
      <c r="E2773" s="15"/>
      <c r="F2773" s="11">
        <f t="shared" si="21"/>
      </c>
      <c r="G2773" s="22" cm="1">
        <f t="array" ref="G2773">IF(AND(Inputs!$C$60,Inputs!$C$61),INDEX(Utility_Rates!$C$29:$F$52,HOUR(C2773)+Inputs!$C$69,MATCH(INDEX(Utility_Rates!$K$6:$K$17,MONTH(C2773))&amp;IF(WEEKDAY(C2773,Inputs!$C$76)&lt;=Inputs!$C$74," weekday"," weekend"),Utility_Rates!$C$28:$F$28,Inputs!$C$68)),"")</f>
      </c>
      <c r="H2773" s="34"/>
      <c r="I2773" s="42">
        <f>IF(AND(ISNUMBER(D2773),ISNUMBER(H2773)),D2773*H2773*Inputs!$C$69,"")</f>
      </c>
      <c r="J2773" s="42">
        <f>IF(AND(ISNUMBER(F2773),ISNUMBER(H2773),F2773&gt;=Inputs!$C$68),F2773*H2773*Inputs!$C$69,"")</f>
      </c>
    </row>
    <row r="2774" spans="2:10" ht="15" customHeight="1" x14ac:dyDescent="0.2">
      <c r="B2774" s="39">
        <f t="shared" si="20"/>
      </c>
      <c r="C2774" s="40">
        <f>IF(Inputs!$C$60,Inputs!$C$11+(B2774-Inputs!$C$69)/Inputs!$C$70,"")</f>
      </c>
      <c r="D2774" s="15"/>
      <c r="E2774" s="15"/>
      <c r="F2774" s="11">
        <f t="shared" si="21"/>
      </c>
      <c r="G2774" s="22" cm="1">
        <f t="array" ref="G2774">IF(AND(Inputs!$C$60,Inputs!$C$61),INDEX(Utility_Rates!$C$29:$F$52,HOUR(C2774)+Inputs!$C$69,MATCH(INDEX(Utility_Rates!$K$6:$K$17,MONTH(C2774))&amp;IF(WEEKDAY(C2774,Inputs!$C$76)&lt;=Inputs!$C$74," weekday"," weekend"),Utility_Rates!$C$28:$F$28,Inputs!$C$68)),"")</f>
      </c>
      <c r="H2774" s="34"/>
      <c r="I2774" s="42">
        <f>IF(AND(ISNUMBER(D2774),ISNUMBER(H2774)),D2774*H2774*Inputs!$C$69,"")</f>
      </c>
      <c r="J2774" s="42">
        <f>IF(AND(ISNUMBER(F2774),ISNUMBER(H2774),F2774&gt;=Inputs!$C$68),F2774*H2774*Inputs!$C$69,"")</f>
      </c>
    </row>
    <row r="2775" spans="2:10" ht="15" customHeight="1" x14ac:dyDescent="0.2">
      <c r="B2775" s="39">
        <f t="shared" si="20"/>
      </c>
      <c r="C2775" s="40">
        <f>IF(Inputs!$C$60,Inputs!$C$11+(B2775-Inputs!$C$69)/Inputs!$C$70,"")</f>
      </c>
      <c r="D2775" s="15"/>
      <c r="E2775" s="15"/>
      <c r="F2775" s="11">
        <f t="shared" si="21"/>
      </c>
      <c r="G2775" s="22" cm="1">
        <f t="array" ref="G2775">IF(AND(Inputs!$C$60,Inputs!$C$61),INDEX(Utility_Rates!$C$29:$F$52,HOUR(C2775)+Inputs!$C$69,MATCH(INDEX(Utility_Rates!$K$6:$K$17,MONTH(C2775))&amp;IF(WEEKDAY(C2775,Inputs!$C$76)&lt;=Inputs!$C$74," weekday"," weekend"),Utility_Rates!$C$28:$F$28,Inputs!$C$68)),"")</f>
      </c>
      <c r="H2775" s="34"/>
      <c r="I2775" s="42">
        <f>IF(AND(ISNUMBER(D2775),ISNUMBER(H2775)),D2775*H2775*Inputs!$C$69,"")</f>
      </c>
      <c r="J2775" s="42">
        <f>IF(AND(ISNUMBER(F2775),ISNUMBER(H2775),F2775&gt;=Inputs!$C$68),F2775*H2775*Inputs!$C$69,"")</f>
      </c>
    </row>
    <row r="2776" spans="2:10" ht="15" customHeight="1" x14ac:dyDescent="0.2">
      <c r="B2776" s="39">
        <f t="shared" si="20"/>
      </c>
      <c r="C2776" s="40">
        <f>IF(Inputs!$C$60,Inputs!$C$11+(B2776-Inputs!$C$69)/Inputs!$C$70,"")</f>
      </c>
      <c r="D2776" s="15"/>
      <c r="E2776" s="15"/>
      <c r="F2776" s="11">
        <f t="shared" si="21"/>
      </c>
      <c r="G2776" s="22" cm="1">
        <f t="array" ref="G2776">IF(AND(Inputs!$C$60,Inputs!$C$61),INDEX(Utility_Rates!$C$29:$F$52,HOUR(C2776)+Inputs!$C$69,MATCH(INDEX(Utility_Rates!$K$6:$K$17,MONTH(C2776))&amp;IF(WEEKDAY(C2776,Inputs!$C$76)&lt;=Inputs!$C$74," weekday"," weekend"),Utility_Rates!$C$28:$F$28,Inputs!$C$68)),"")</f>
      </c>
      <c r="H2776" s="34"/>
      <c r="I2776" s="42">
        <f>IF(AND(ISNUMBER(D2776),ISNUMBER(H2776)),D2776*H2776*Inputs!$C$69,"")</f>
      </c>
      <c r="J2776" s="42">
        <f>IF(AND(ISNUMBER(F2776),ISNUMBER(H2776),F2776&gt;=Inputs!$C$68),F2776*H2776*Inputs!$C$69,"")</f>
      </c>
    </row>
    <row r="2777" spans="2:10" ht="15" customHeight="1" x14ac:dyDescent="0.2">
      <c r="B2777" s="39">
        <f t="shared" si="20"/>
      </c>
      <c r="C2777" s="40">
        <f>IF(Inputs!$C$60,Inputs!$C$11+(B2777-Inputs!$C$69)/Inputs!$C$70,"")</f>
      </c>
      <c r="D2777" s="15"/>
      <c r="E2777" s="15"/>
      <c r="F2777" s="11">
        <f t="shared" si="21"/>
      </c>
      <c r="G2777" s="22" cm="1">
        <f t="array" ref="G2777">IF(AND(Inputs!$C$60,Inputs!$C$61),INDEX(Utility_Rates!$C$29:$F$52,HOUR(C2777)+Inputs!$C$69,MATCH(INDEX(Utility_Rates!$K$6:$K$17,MONTH(C2777))&amp;IF(WEEKDAY(C2777,Inputs!$C$76)&lt;=Inputs!$C$74," weekday"," weekend"),Utility_Rates!$C$28:$F$28,Inputs!$C$68)),"")</f>
      </c>
      <c r="H2777" s="34"/>
      <c r="I2777" s="42">
        <f>IF(AND(ISNUMBER(D2777),ISNUMBER(H2777)),D2777*H2777*Inputs!$C$69,"")</f>
      </c>
      <c r="J2777" s="42">
        <f>IF(AND(ISNUMBER(F2777),ISNUMBER(H2777),F2777&gt;=Inputs!$C$68),F2777*H2777*Inputs!$C$69,"")</f>
      </c>
    </row>
    <row r="2778" spans="2:10" ht="15" customHeight="1" x14ac:dyDescent="0.2">
      <c r="B2778" s="39">
        <f t="shared" si="20"/>
      </c>
      <c r="C2778" s="40">
        <f>IF(Inputs!$C$60,Inputs!$C$11+(B2778-Inputs!$C$69)/Inputs!$C$70,"")</f>
      </c>
      <c r="D2778" s="15"/>
      <c r="E2778" s="15"/>
      <c r="F2778" s="11">
        <f t="shared" si="21"/>
      </c>
      <c r="G2778" s="22" cm="1">
        <f t="array" ref="G2778">IF(AND(Inputs!$C$60,Inputs!$C$61),INDEX(Utility_Rates!$C$29:$F$52,HOUR(C2778)+Inputs!$C$69,MATCH(INDEX(Utility_Rates!$K$6:$K$17,MONTH(C2778))&amp;IF(WEEKDAY(C2778,Inputs!$C$76)&lt;=Inputs!$C$74," weekday"," weekend"),Utility_Rates!$C$28:$F$28,Inputs!$C$68)),"")</f>
      </c>
      <c r="H2778" s="34"/>
      <c r="I2778" s="42">
        <f>IF(AND(ISNUMBER(D2778),ISNUMBER(H2778)),D2778*H2778*Inputs!$C$69,"")</f>
      </c>
      <c r="J2778" s="42">
        <f>IF(AND(ISNUMBER(F2778),ISNUMBER(H2778),F2778&gt;=Inputs!$C$68),F2778*H2778*Inputs!$C$69,"")</f>
      </c>
    </row>
    <row r="2779" spans="2:10" ht="15" customHeight="1" x14ac:dyDescent="0.2">
      <c r="B2779" s="39">
        <f t="shared" si="20"/>
      </c>
      <c r="C2779" s="40">
        <f>IF(Inputs!$C$60,Inputs!$C$11+(B2779-Inputs!$C$69)/Inputs!$C$70,"")</f>
      </c>
      <c r="D2779" s="15"/>
      <c r="E2779" s="15"/>
      <c r="F2779" s="11">
        <f t="shared" si="21"/>
      </c>
      <c r="G2779" s="22" cm="1">
        <f t="array" ref="G2779">IF(AND(Inputs!$C$60,Inputs!$C$61),INDEX(Utility_Rates!$C$29:$F$52,HOUR(C2779)+Inputs!$C$69,MATCH(INDEX(Utility_Rates!$K$6:$K$17,MONTH(C2779))&amp;IF(WEEKDAY(C2779,Inputs!$C$76)&lt;=Inputs!$C$74," weekday"," weekend"),Utility_Rates!$C$28:$F$28,Inputs!$C$68)),"")</f>
      </c>
      <c r="H2779" s="34"/>
      <c r="I2779" s="42">
        <f>IF(AND(ISNUMBER(D2779),ISNUMBER(H2779)),D2779*H2779*Inputs!$C$69,"")</f>
      </c>
      <c r="J2779" s="42">
        <f>IF(AND(ISNUMBER(F2779),ISNUMBER(H2779),F2779&gt;=Inputs!$C$68),F2779*H2779*Inputs!$C$69,"")</f>
      </c>
    </row>
    <row r="2780" spans="2:10" ht="15" customHeight="1" x14ac:dyDescent="0.2">
      <c r="B2780" s="39">
        <f t="shared" si="20"/>
      </c>
      <c r="C2780" s="40">
        <f>IF(Inputs!$C$60,Inputs!$C$11+(B2780-Inputs!$C$69)/Inputs!$C$70,"")</f>
      </c>
      <c r="D2780" s="15"/>
      <c r="E2780" s="15"/>
      <c r="F2780" s="11">
        <f t="shared" si="21"/>
      </c>
      <c r="G2780" s="22" cm="1">
        <f t="array" ref="G2780">IF(AND(Inputs!$C$60,Inputs!$C$61),INDEX(Utility_Rates!$C$29:$F$52,HOUR(C2780)+Inputs!$C$69,MATCH(INDEX(Utility_Rates!$K$6:$K$17,MONTH(C2780))&amp;IF(WEEKDAY(C2780,Inputs!$C$76)&lt;=Inputs!$C$74," weekday"," weekend"),Utility_Rates!$C$28:$F$28,Inputs!$C$68)),"")</f>
      </c>
      <c r="H2780" s="34"/>
      <c r="I2780" s="42">
        <f>IF(AND(ISNUMBER(D2780),ISNUMBER(H2780)),D2780*H2780*Inputs!$C$69,"")</f>
      </c>
      <c r="J2780" s="42">
        <f>IF(AND(ISNUMBER(F2780),ISNUMBER(H2780),F2780&gt;=Inputs!$C$68),F2780*H2780*Inputs!$C$69,"")</f>
      </c>
    </row>
    <row r="2781" spans="2:10" ht="15" customHeight="1" x14ac:dyDescent="0.2">
      <c r="B2781" s="39">
        <f t="shared" si="20"/>
      </c>
      <c r="C2781" s="40">
        <f>IF(Inputs!$C$60,Inputs!$C$11+(B2781-Inputs!$C$69)/Inputs!$C$70,"")</f>
      </c>
      <c r="D2781" s="15"/>
      <c r="E2781" s="15"/>
      <c r="F2781" s="11">
        <f t="shared" si="21"/>
      </c>
      <c r="G2781" s="22" cm="1">
        <f t="array" ref="G2781">IF(AND(Inputs!$C$60,Inputs!$C$61),INDEX(Utility_Rates!$C$29:$F$52,HOUR(C2781)+Inputs!$C$69,MATCH(INDEX(Utility_Rates!$K$6:$K$17,MONTH(C2781))&amp;IF(WEEKDAY(C2781,Inputs!$C$76)&lt;=Inputs!$C$74," weekday"," weekend"),Utility_Rates!$C$28:$F$28,Inputs!$C$68)),"")</f>
      </c>
      <c r="H2781" s="34"/>
      <c r="I2781" s="42">
        <f>IF(AND(ISNUMBER(D2781),ISNUMBER(H2781)),D2781*H2781*Inputs!$C$69,"")</f>
      </c>
      <c r="J2781" s="42">
        <f>IF(AND(ISNUMBER(F2781),ISNUMBER(H2781),F2781&gt;=Inputs!$C$68),F2781*H2781*Inputs!$C$69,"")</f>
      </c>
    </row>
    <row r="2782" spans="2:10" ht="15" customHeight="1" x14ac:dyDescent="0.2">
      <c r="B2782" s="39">
        <f t="shared" si="20"/>
      </c>
      <c r="C2782" s="40">
        <f>IF(Inputs!$C$60,Inputs!$C$11+(B2782-Inputs!$C$69)/Inputs!$C$70,"")</f>
      </c>
      <c r="D2782" s="15"/>
      <c r="E2782" s="15"/>
      <c r="F2782" s="11">
        <f t="shared" si="21"/>
      </c>
      <c r="G2782" s="22" cm="1">
        <f t="array" ref="G2782">IF(AND(Inputs!$C$60,Inputs!$C$61),INDEX(Utility_Rates!$C$29:$F$52,HOUR(C2782)+Inputs!$C$69,MATCH(INDEX(Utility_Rates!$K$6:$K$17,MONTH(C2782))&amp;IF(WEEKDAY(C2782,Inputs!$C$76)&lt;=Inputs!$C$74," weekday"," weekend"),Utility_Rates!$C$28:$F$28,Inputs!$C$68)),"")</f>
      </c>
      <c r="H2782" s="34"/>
      <c r="I2782" s="42">
        <f>IF(AND(ISNUMBER(D2782),ISNUMBER(H2782)),D2782*H2782*Inputs!$C$69,"")</f>
      </c>
      <c r="J2782" s="42">
        <f>IF(AND(ISNUMBER(F2782),ISNUMBER(H2782),F2782&gt;=Inputs!$C$68),F2782*H2782*Inputs!$C$69,"")</f>
      </c>
    </row>
    <row r="2783" spans="2:10" ht="15" customHeight="1" x14ac:dyDescent="0.2">
      <c r="B2783" s="39">
        <f t="shared" si="20"/>
      </c>
      <c r="C2783" s="40">
        <f>IF(Inputs!$C$60,Inputs!$C$11+(B2783-Inputs!$C$69)/Inputs!$C$70,"")</f>
      </c>
      <c r="D2783" s="15"/>
      <c r="E2783" s="15"/>
      <c r="F2783" s="11">
        <f t="shared" si="21"/>
      </c>
      <c r="G2783" s="22" cm="1">
        <f t="array" ref="G2783">IF(AND(Inputs!$C$60,Inputs!$C$61),INDEX(Utility_Rates!$C$29:$F$52,HOUR(C2783)+Inputs!$C$69,MATCH(INDEX(Utility_Rates!$K$6:$K$17,MONTH(C2783))&amp;IF(WEEKDAY(C2783,Inputs!$C$76)&lt;=Inputs!$C$74," weekday"," weekend"),Utility_Rates!$C$28:$F$28,Inputs!$C$68)),"")</f>
      </c>
      <c r="H2783" s="34"/>
      <c r="I2783" s="42">
        <f>IF(AND(ISNUMBER(D2783),ISNUMBER(H2783)),D2783*H2783*Inputs!$C$69,"")</f>
      </c>
      <c r="J2783" s="42">
        <f>IF(AND(ISNUMBER(F2783),ISNUMBER(H2783),F2783&gt;=Inputs!$C$68),F2783*H2783*Inputs!$C$69,"")</f>
      </c>
    </row>
    <row r="2784" spans="2:10" ht="15" customHeight="1" x14ac:dyDescent="0.2">
      <c r="B2784" s="39">
        <f t="shared" si="20"/>
      </c>
      <c r="C2784" s="40">
        <f>IF(Inputs!$C$60,Inputs!$C$11+(B2784-Inputs!$C$69)/Inputs!$C$70,"")</f>
      </c>
      <c r="D2784" s="15"/>
      <c r="E2784" s="15"/>
      <c r="F2784" s="11">
        <f t="shared" si="21"/>
      </c>
      <c r="G2784" s="22" cm="1">
        <f t="array" ref="G2784">IF(AND(Inputs!$C$60,Inputs!$C$61),INDEX(Utility_Rates!$C$29:$F$52,HOUR(C2784)+Inputs!$C$69,MATCH(INDEX(Utility_Rates!$K$6:$K$17,MONTH(C2784))&amp;IF(WEEKDAY(C2784,Inputs!$C$76)&lt;=Inputs!$C$74," weekday"," weekend"),Utility_Rates!$C$28:$F$28,Inputs!$C$68)),"")</f>
      </c>
      <c r="H2784" s="34"/>
      <c r="I2784" s="42">
        <f>IF(AND(ISNUMBER(D2784),ISNUMBER(H2784)),D2784*H2784*Inputs!$C$69,"")</f>
      </c>
      <c r="J2784" s="42">
        <f>IF(AND(ISNUMBER(F2784),ISNUMBER(H2784),F2784&gt;=Inputs!$C$68),F2784*H2784*Inputs!$C$69,"")</f>
      </c>
    </row>
    <row r="2785" spans="2:10" ht="15" customHeight="1" x14ac:dyDescent="0.2">
      <c r="B2785" s="39">
        <f t="shared" si="20"/>
      </c>
      <c r="C2785" s="40">
        <f>IF(Inputs!$C$60,Inputs!$C$11+(B2785-Inputs!$C$69)/Inputs!$C$70,"")</f>
      </c>
      <c r="D2785" s="15"/>
      <c r="E2785" s="15"/>
      <c r="F2785" s="11">
        <f t="shared" si="21"/>
      </c>
      <c r="G2785" s="22" cm="1">
        <f t="array" ref="G2785">IF(AND(Inputs!$C$60,Inputs!$C$61),INDEX(Utility_Rates!$C$29:$F$52,HOUR(C2785)+Inputs!$C$69,MATCH(INDEX(Utility_Rates!$K$6:$K$17,MONTH(C2785))&amp;IF(WEEKDAY(C2785,Inputs!$C$76)&lt;=Inputs!$C$74," weekday"," weekend"),Utility_Rates!$C$28:$F$28,Inputs!$C$68)),"")</f>
      </c>
      <c r="H2785" s="34"/>
      <c r="I2785" s="42">
        <f>IF(AND(ISNUMBER(D2785),ISNUMBER(H2785)),D2785*H2785*Inputs!$C$69,"")</f>
      </c>
      <c r="J2785" s="42">
        <f>IF(AND(ISNUMBER(F2785),ISNUMBER(H2785),F2785&gt;=Inputs!$C$68),F2785*H2785*Inputs!$C$69,"")</f>
      </c>
    </row>
    <row r="2786" spans="2:10" ht="15" customHeight="1" x14ac:dyDescent="0.2">
      <c r="B2786" s="39">
        <f t="shared" si="20"/>
      </c>
      <c r="C2786" s="40">
        <f>IF(Inputs!$C$60,Inputs!$C$11+(B2786-Inputs!$C$69)/Inputs!$C$70,"")</f>
      </c>
      <c r="D2786" s="15"/>
      <c r="E2786" s="15"/>
      <c r="F2786" s="11">
        <f t="shared" si="21"/>
      </c>
      <c r="G2786" s="22" cm="1">
        <f t="array" ref="G2786">IF(AND(Inputs!$C$60,Inputs!$C$61),INDEX(Utility_Rates!$C$29:$F$52,HOUR(C2786)+Inputs!$C$69,MATCH(INDEX(Utility_Rates!$K$6:$K$17,MONTH(C2786))&amp;IF(WEEKDAY(C2786,Inputs!$C$76)&lt;=Inputs!$C$74," weekday"," weekend"),Utility_Rates!$C$28:$F$28,Inputs!$C$68)),"")</f>
      </c>
      <c r="H2786" s="34"/>
      <c r="I2786" s="42">
        <f>IF(AND(ISNUMBER(D2786),ISNUMBER(H2786)),D2786*H2786*Inputs!$C$69,"")</f>
      </c>
      <c r="J2786" s="42">
        <f>IF(AND(ISNUMBER(F2786),ISNUMBER(H2786),F2786&gt;=Inputs!$C$68),F2786*H2786*Inputs!$C$69,"")</f>
      </c>
    </row>
    <row r="2787" spans="2:10" ht="15" customHeight="1" x14ac:dyDescent="0.2">
      <c r="B2787" s="39">
        <f t="shared" si="20"/>
      </c>
      <c r="C2787" s="40">
        <f>IF(Inputs!$C$60,Inputs!$C$11+(B2787-Inputs!$C$69)/Inputs!$C$70,"")</f>
      </c>
      <c r="D2787" s="15"/>
      <c r="E2787" s="15"/>
      <c r="F2787" s="11">
        <f t="shared" si="21"/>
      </c>
      <c r="G2787" s="22" cm="1">
        <f t="array" ref="G2787">IF(AND(Inputs!$C$60,Inputs!$C$61),INDEX(Utility_Rates!$C$29:$F$52,HOUR(C2787)+Inputs!$C$69,MATCH(INDEX(Utility_Rates!$K$6:$K$17,MONTH(C2787))&amp;IF(WEEKDAY(C2787,Inputs!$C$76)&lt;=Inputs!$C$74," weekday"," weekend"),Utility_Rates!$C$28:$F$28,Inputs!$C$68)),"")</f>
      </c>
      <c r="H2787" s="34"/>
      <c r="I2787" s="42">
        <f>IF(AND(ISNUMBER(D2787),ISNUMBER(H2787)),D2787*H2787*Inputs!$C$69,"")</f>
      </c>
      <c r="J2787" s="42">
        <f>IF(AND(ISNUMBER(F2787),ISNUMBER(H2787),F2787&gt;=Inputs!$C$68),F2787*H2787*Inputs!$C$69,"")</f>
      </c>
    </row>
    <row r="2788" spans="2:10" ht="15" customHeight="1" x14ac:dyDescent="0.2">
      <c r="B2788" s="39">
        <f t="shared" si="20"/>
      </c>
      <c r="C2788" s="40">
        <f>IF(Inputs!$C$60,Inputs!$C$11+(B2788-Inputs!$C$69)/Inputs!$C$70,"")</f>
      </c>
      <c r="D2788" s="15"/>
      <c r="E2788" s="15"/>
      <c r="F2788" s="11">
        <f t="shared" si="21"/>
      </c>
      <c r="G2788" s="22" cm="1">
        <f t="array" ref="G2788">IF(AND(Inputs!$C$60,Inputs!$C$61),INDEX(Utility_Rates!$C$29:$F$52,HOUR(C2788)+Inputs!$C$69,MATCH(INDEX(Utility_Rates!$K$6:$K$17,MONTH(C2788))&amp;IF(WEEKDAY(C2788,Inputs!$C$76)&lt;=Inputs!$C$74," weekday"," weekend"),Utility_Rates!$C$28:$F$28,Inputs!$C$68)),"")</f>
      </c>
      <c r="H2788" s="34"/>
      <c r="I2788" s="42">
        <f>IF(AND(ISNUMBER(D2788),ISNUMBER(H2788)),D2788*H2788*Inputs!$C$69,"")</f>
      </c>
      <c r="J2788" s="42">
        <f>IF(AND(ISNUMBER(F2788),ISNUMBER(H2788),F2788&gt;=Inputs!$C$68),F2788*H2788*Inputs!$C$69,"")</f>
      </c>
    </row>
    <row r="2789" spans="2:10" ht="15" customHeight="1" x14ac:dyDescent="0.2">
      <c r="B2789" s="39">
        <f t="shared" si="20"/>
      </c>
      <c r="C2789" s="40">
        <f>IF(Inputs!$C$60,Inputs!$C$11+(B2789-Inputs!$C$69)/Inputs!$C$70,"")</f>
      </c>
      <c r="D2789" s="15"/>
      <c r="E2789" s="15"/>
      <c r="F2789" s="11">
        <f t="shared" si="21"/>
      </c>
      <c r="G2789" s="22" cm="1">
        <f t="array" ref="G2789">IF(AND(Inputs!$C$60,Inputs!$C$61),INDEX(Utility_Rates!$C$29:$F$52,HOUR(C2789)+Inputs!$C$69,MATCH(INDEX(Utility_Rates!$K$6:$K$17,MONTH(C2789))&amp;IF(WEEKDAY(C2789,Inputs!$C$76)&lt;=Inputs!$C$74," weekday"," weekend"),Utility_Rates!$C$28:$F$28,Inputs!$C$68)),"")</f>
      </c>
      <c r="H2789" s="34"/>
      <c r="I2789" s="42">
        <f>IF(AND(ISNUMBER(D2789),ISNUMBER(H2789)),D2789*H2789*Inputs!$C$69,"")</f>
      </c>
      <c r="J2789" s="42">
        <f>IF(AND(ISNUMBER(F2789),ISNUMBER(H2789),F2789&gt;=Inputs!$C$68),F2789*H2789*Inputs!$C$69,"")</f>
      </c>
    </row>
    <row r="2790" spans="2:10" ht="15" customHeight="1" x14ac:dyDescent="0.2">
      <c r="B2790" s="39">
        <f t="shared" si="20"/>
      </c>
      <c r="C2790" s="40">
        <f>IF(Inputs!$C$60,Inputs!$C$11+(B2790-Inputs!$C$69)/Inputs!$C$70,"")</f>
      </c>
      <c r="D2790" s="15"/>
      <c r="E2790" s="15"/>
      <c r="F2790" s="11">
        <f t="shared" si="21"/>
      </c>
      <c r="G2790" s="22" cm="1">
        <f t="array" ref="G2790">IF(AND(Inputs!$C$60,Inputs!$C$61),INDEX(Utility_Rates!$C$29:$F$52,HOUR(C2790)+Inputs!$C$69,MATCH(INDEX(Utility_Rates!$K$6:$K$17,MONTH(C2790))&amp;IF(WEEKDAY(C2790,Inputs!$C$76)&lt;=Inputs!$C$74," weekday"," weekend"),Utility_Rates!$C$28:$F$28,Inputs!$C$68)),"")</f>
      </c>
      <c r="H2790" s="34"/>
      <c r="I2790" s="42">
        <f>IF(AND(ISNUMBER(D2790),ISNUMBER(H2790)),D2790*H2790*Inputs!$C$69,"")</f>
      </c>
      <c r="J2790" s="42">
        <f>IF(AND(ISNUMBER(F2790),ISNUMBER(H2790),F2790&gt;=Inputs!$C$68),F2790*H2790*Inputs!$C$69,"")</f>
      </c>
    </row>
    <row r="2791" spans="2:10" ht="15" customHeight="1" x14ac:dyDescent="0.2">
      <c r="B2791" s="39">
        <f t="shared" si="20"/>
      </c>
      <c r="C2791" s="40">
        <f>IF(Inputs!$C$60,Inputs!$C$11+(B2791-Inputs!$C$69)/Inputs!$C$70,"")</f>
      </c>
      <c r="D2791" s="15"/>
      <c r="E2791" s="15"/>
      <c r="F2791" s="11">
        <f t="shared" si="21"/>
      </c>
      <c r="G2791" s="22" cm="1">
        <f t="array" ref="G2791">IF(AND(Inputs!$C$60,Inputs!$C$61),INDEX(Utility_Rates!$C$29:$F$52,HOUR(C2791)+Inputs!$C$69,MATCH(INDEX(Utility_Rates!$K$6:$K$17,MONTH(C2791))&amp;IF(WEEKDAY(C2791,Inputs!$C$76)&lt;=Inputs!$C$74," weekday"," weekend"),Utility_Rates!$C$28:$F$28,Inputs!$C$68)),"")</f>
      </c>
      <c r="H2791" s="34"/>
      <c r="I2791" s="42">
        <f>IF(AND(ISNUMBER(D2791),ISNUMBER(H2791)),D2791*H2791*Inputs!$C$69,"")</f>
      </c>
      <c r="J2791" s="42">
        <f>IF(AND(ISNUMBER(F2791),ISNUMBER(H2791),F2791&gt;=Inputs!$C$68),F2791*H2791*Inputs!$C$69,"")</f>
      </c>
    </row>
    <row r="2792" spans="2:10" ht="15" customHeight="1" x14ac:dyDescent="0.2">
      <c r="B2792" s="39">
        <f t="shared" si="20"/>
      </c>
      <c r="C2792" s="40">
        <f>IF(Inputs!$C$60,Inputs!$C$11+(B2792-Inputs!$C$69)/Inputs!$C$70,"")</f>
      </c>
      <c r="D2792" s="15"/>
      <c r="E2792" s="15"/>
      <c r="F2792" s="11">
        <f t="shared" si="21"/>
      </c>
      <c r="G2792" s="22" cm="1">
        <f t="array" ref="G2792">IF(AND(Inputs!$C$60,Inputs!$C$61),INDEX(Utility_Rates!$C$29:$F$52,HOUR(C2792)+Inputs!$C$69,MATCH(INDEX(Utility_Rates!$K$6:$K$17,MONTH(C2792))&amp;IF(WEEKDAY(C2792,Inputs!$C$76)&lt;=Inputs!$C$74," weekday"," weekend"),Utility_Rates!$C$28:$F$28,Inputs!$C$68)),"")</f>
      </c>
      <c r="H2792" s="34"/>
      <c r="I2792" s="42">
        <f>IF(AND(ISNUMBER(D2792),ISNUMBER(H2792)),D2792*H2792*Inputs!$C$69,"")</f>
      </c>
      <c r="J2792" s="42">
        <f>IF(AND(ISNUMBER(F2792),ISNUMBER(H2792),F2792&gt;=Inputs!$C$68),F2792*H2792*Inputs!$C$69,"")</f>
      </c>
    </row>
    <row r="2793" spans="2:10" ht="15" customHeight="1" x14ac:dyDescent="0.2">
      <c r="B2793" s="39">
        <f t="shared" si="20"/>
      </c>
      <c r="C2793" s="40">
        <f>IF(Inputs!$C$60,Inputs!$C$11+(B2793-Inputs!$C$69)/Inputs!$C$70,"")</f>
      </c>
      <c r="D2793" s="15"/>
      <c r="E2793" s="15"/>
      <c r="F2793" s="11">
        <f t="shared" si="21"/>
      </c>
      <c r="G2793" s="22" cm="1">
        <f t="array" ref="G2793">IF(AND(Inputs!$C$60,Inputs!$C$61),INDEX(Utility_Rates!$C$29:$F$52,HOUR(C2793)+Inputs!$C$69,MATCH(INDEX(Utility_Rates!$K$6:$K$17,MONTH(C2793))&amp;IF(WEEKDAY(C2793,Inputs!$C$76)&lt;=Inputs!$C$74," weekday"," weekend"),Utility_Rates!$C$28:$F$28,Inputs!$C$68)),"")</f>
      </c>
      <c r="H2793" s="34"/>
      <c r="I2793" s="42">
        <f>IF(AND(ISNUMBER(D2793),ISNUMBER(H2793)),D2793*H2793*Inputs!$C$69,"")</f>
      </c>
      <c r="J2793" s="42">
        <f>IF(AND(ISNUMBER(F2793),ISNUMBER(H2793),F2793&gt;=Inputs!$C$68),F2793*H2793*Inputs!$C$69,"")</f>
      </c>
    </row>
    <row r="2794" spans="2:10" ht="15" customHeight="1" x14ac:dyDescent="0.2">
      <c r="B2794" s="39">
        <f t="shared" si="20"/>
      </c>
      <c r="C2794" s="40">
        <f>IF(Inputs!$C$60,Inputs!$C$11+(B2794-Inputs!$C$69)/Inputs!$C$70,"")</f>
      </c>
      <c r="D2794" s="15"/>
      <c r="E2794" s="15"/>
      <c r="F2794" s="11">
        <f t="shared" si="21"/>
      </c>
      <c r="G2794" s="22" cm="1">
        <f t="array" ref="G2794">IF(AND(Inputs!$C$60,Inputs!$C$61),INDEX(Utility_Rates!$C$29:$F$52,HOUR(C2794)+Inputs!$C$69,MATCH(INDEX(Utility_Rates!$K$6:$K$17,MONTH(C2794))&amp;IF(WEEKDAY(C2794,Inputs!$C$76)&lt;=Inputs!$C$74," weekday"," weekend"),Utility_Rates!$C$28:$F$28,Inputs!$C$68)),"")</f>
      </c>
      <c r="H2794" s="34"/>
      <c r="I2794" s="42">
        <f>IF(AND(ISNUMBER(D2794),ISNUMBER(H2794)),D2794*H2794*Inputs!$C$69,"")</f>
      </c>
      <c r="J2794" s="42">
        <f>IF(AND(ISNUMBER(F2794),ISNUMBER(H2794),F2794&gt;=Inputs!$C$68),F2794*H2794*Inputs!$C$69,"")</f>
      </c>
    </row>
    <row r="2795" spans="2:10" ht="15" customHeight="1" x14ac:dyDescent="0.2">
      <c r="B2795" s="39">
        <f t="shared" si="20"/>
      </c>
      <c r="C2795" s="40">
        <f>IF(Inputs!$C$60,Inputs!$C$11+(B2795-Inputs!$C$69)/Inputs!$C$70,"")</f>
      </c>
      <c r="D2795" s="15"/>
      <c r="E2795" s="15"/>
      <c r="F2795" s="11">
        <f t="shared" si="21"/>
      </c>
      <c r="G2795" s="22" cm="1">
        <f t="array" ref="G2795">IF(AND(Inputs!$C$60,Inputs!$C$61),INDEX(Utility_Rates!$C$29:$F$52,HOUR(C2795)+Inputs!$C$69,MATCH(INDEX(Utility_Rates!$K$6:$K$17,MONTH(C2795))&amp;IF(WEEKDAY(C2795,Inputs!$C$76)&lt;=Inputs!$C$74," weekday"," weekend"),Utility_Rates!$C$28:$F$28,Inputs!$C$68)),"")</f>
      </c>
      <c r="H2795" s="34"/>
      <c r="I2795" s="42">
        <f>IF(AND(ISNUMBER(D2795),ISNUMBER(H2795)),D2795*H2795*Inputs!$C$69,"")</f>
      </c>
      <c r="J2795" s="42">
        <f>IF(AND(ISNUMBER(F2795),ISNUMBER(H2795),F2795&gt;=Inputs!$C$68),F2795*H2795*Inputs!$C$69,"")</f>
      </c>
    </row>
    <row r="2796" spans="2:10" ht="15" customHeight="1" x14ac:dyDescent="0.2">
      <c r="B2796" s="39">
        <f t="shared" si="20"/>
      </c>
      <c r="C2796" s="40">
        <f>IF(Inputs!$C$60,Inputs!$C$11+(B2796-Inputs!$C$69)/Inputs!$C$70,"")</f>
      </c>
      <c r="D2796" s="15"/>
      <c r="E2796" s="15"/>
      <c r="F2796" s="11">
        <f t="shared" si="21"/>
      </c>
      <c r="G2796" s="22" cm="1">
        <f t="array" ref="G2796">IF(AND(Inputs!$C$60,Inputs!$C$61),INDEX(Utility_Rates!$C$29:$F$52,HOUR(C2796)+Inputs!$C$69,MATCH(INDEX(Utility_Rates!$K$6:$K$17,MONTH(C2796))&amp;IF(WEEKDAY(C2796,Inputs!$C$76)&lt;=Inputs!$C$74," weekday"," weekend"),Utility_Rates!$C$28:$F$28,Inputs!$C$68)),"")</f>
      </c>
      <c r="H2796" s="34"/>
      <c r="I2796" s="42">
        <f>IF(AND(ISNUMBER(D2796),ISNUMBER(H2796)),D2796*H2796*Inputs!$C$69,"")</f>
      </c>
      <c r="J2796" s="42">
        <f>IF(AND(ISNUMBER(F2796),ISNUMBER(H2796),F2796&gt;=Inputs!$C$68),F2796*H2796*Inputs!$C$69,"")</f>
      </c>
    </row>
    <row r="2797" spans="2:10" ht="15" customHeight="1" x14ac:dyDescent="0.2">
      <c r="B2797" s="39">
        <f t="shared" si="20"/>
      </c>
      <c r="C2797" s="40">
        <f>IF(Inputs!$C$60,Inputs!$C$11+(B2797-Inputs!$C$69)/Inputs!$C$70,"")</f>
      </c>
      <c r="D2797" s="15"/>
      <c r="E2797" s="15"/>
      <c r="F2797" s="11">
        <f t="shared" si="21"/>
      </c>
      <c r="G2797" s="22" cm="1">
        <f t="array" ref="G2797">IF(AND(Inputs!$C$60,Inputs!$C$61),INDEX(Utility_Rates!$C$29:$F$52,HOUR(C2797)+Inputs!$C$69,MATCH(INDEX(Utility_Rates!$K$6:$K$17,MONTH(C2797))&amp;IF(WEEKDAY(C2797,Inputs!$C$76)&lt;=Inputs!$C$74," weekday"," weekend"),Utility_Rates!$C$28:$F$28,Inputs!$C$68)),"")</f>
      </c>
      <c r="H2797" s="34"/>
      <c r="I2797" s="42">
        <f>IF(AND(ISNUMBER(D2797),ISNUMBER(H2797)),D2797*H2797*Inputs!$C$69,"")</f>
      </c>
      <c r="J2797" s="42">
        <f>IF(AND(ISNUMBER(F2797),ISNUMBER(H2797),F2797&gt;=Inputs!$C$68),F2797*H2797*Inputs!$C$69,"")</f>
      </c>
    </row>
    <row r="2798" spans="2:10" ht="15" customHeight="1" x14ac:dyDescent="0.2">
      <c r="B2798" s="39">
        <f t="shared" si="20"/>
      </c>
      <c r="C2798" s="40">
        <f>IF(Inputs!$C$60,Inputs!$C$11+(B2798-Inputs!$C$69)/Inputs!$C$70,"")</f>
      </c>
      <c r="D2798" s="15"/>
      <c r="E2798" s="15"/>
      <c r="F2798" s="11">
        <f t="shared" si="21"/>
      </c>
      <c r="G2798" s="22" cm="1">
        <f t="array" ref="G2798">IF(AND(Inputs!$C$60,Inputs!$C$61),INDEX(Utility_Rates!$C$29:$F$52,HOUR(C2798)+Inputs!$C$69,MATCH(INDEX(Utility_Rates!$K$6:$K$17,MONTH(C2798))&amp;IF(WEEKDAY(C2798,Inputs!$C$76)&lt;=Inputs!$C$74," weekday"," weekend"),Utility_Rates!$C$28:$F$28,Inputs!$C$68)),"")</f>
      </c>
      <c r="H2798" s="34"/>
      <c r="I2798" s="42">
        <f>IF(AND(ISNUMBER(D2798),ISNUMBER(H2798)),D2798*H2798*Inputs!$C$69,"")</f>
      </c>
      <c r="J2798" s="42">
        <f>IF(AND(ISNUMBER(F2798),ISNUMBER(H2798),F2798&gt;=Inputs!$C$68),F2798*H2798*Inputs!$C$69,"")</f>
      </c>
    </row>
    <row r="2799" spans="2:10" ht="15" customHeight="1" x14ac:dyDescent="0.2">
      <c r="B2799" s="39">
        <f t="shared" si="20"/>
      </c>
      <c r="C2799" s="40">
        <f>IF(Inputs!$C$60,Inputs!$C$11+(B2799-Inputs!$C$69)/Inputs!$C$70,"")</f>
      </c>
      <c r="D2799" s="15"/>
      <c r="E2799" s="15"/>
      <c r="F2799" s="11">
        <f t="shared" si="21"/>
      </c>
      <c r="G2799" s="22" cm="1">
        <f t="array" ref="G2799">IF(AND(Inputs!$C$60,Inputs!$C$61),INDEX(Utility_Rates!$C$29:$F$52,HOUR(C2799)+Inputs!$C$69,MATCH(INDEX(Utility_Rates!$K$6:$K$17,MONTH(C2799))&amp;IF(WEEKDAY(C2799,Inputs!$C$76)&lt;=Inputs!$C$74," weekday"," weekend"),Utility_Rates!$C$28:$F$28,Inputs!$C$68)),"")</f>
      </c>
      <c r="H2799" s="34"/>
      <c r="I2799" s="42">
        <f>IF(AND(ISNUMBER(D2799),ISNUMBER(H2799)),D2799*H2799*Inputs!$C$69,"")</f>
      </c>
      <c r="J2799" s="42">
        <f>IF(AND(ISNUMBER(F2799),ISNUMBER(H2799),F2799&gt;=Inputs!$C$68),F2799*H2799*Inputs!$C$69,"")</f>
      </c>
    </row>
    <row r="2800" spans="2:10" ht="15" customHeight="1" x14ac:dyDescent="0.2">
      <c r="B2800" s="39">
        <f t="shared" si="20"/>
      </c>
      <c r="C2800" s="40">
        <f>IF(Inputs!$C$60,Inputs!$C$11+(B2800-Inputs!$C$69)/Inputs!$C$70,"")</f>
      </c>
      <c r="D2800" s="15"/>
      <c r="E2800" s="15"/>
      <c r="F2800" s="11">
        <f t="shared" si="21"/>
      </c>
      <c r="G2800" s="22" cm="1">
        <f t="array" ref="G2800">IF(AND(Inputs!$C$60,Inputs!$C$61),INDEX(Utility_Rates!$C$29:$F$52,HOUR(C2800)+Inputs!$C$69,MATCH(INDEX(Utility_Rates!$K$6:$K$17,MONTH(C2800))&amp;IF(WEEKDAY(C2800,Inputs!$C$76)&lt;=Inputs!$C$74," weekday"," weekend"),Utility_Rates!$C$28:$F$28,Inputs!$C$68)),"")</f>
      </c>
      <c r="H2800" s="34"/>
      <c r="I2800" s="42">
        <f>IF(AND(ISNUMBER(D2800),ISNUMBER(H2800)),D2800*H2800*Inputs!$C$69,"")</f>
      </c>
      <c r="J2800" s="42">
        <f>IF(AND(ISNUMBER(F2800),ISNUMBER(H2800),F2800&gt;=Inputs!$C$68),F2800*H2800*Inputs!$C$69,"")</f>
      </c>
    </row>
    <row r="2801" spans="2:10" ht="15" customHeight="1" x14ac:dyDescent="0.2">
      <c r="B2801" s="39">
        <f t="shared" si="20"/>
      </c>
      <c r="C2801" s="40">
        <f>IF(Inputs!$C$60,Inputs!$C$11+(B2801-Inputs!$C$69)/Inputs!$C$70,"")</f>
      </c>
      <c r="D2801" s="15"/>
      <c r="E2801" s="15"/>
      <c r="F2801" s="11">
        <f t="shared" si="21"/>
      </c>
      <c r="G2801" s="22" cm="1">
        <f t="array" ref="G2801">IF(AND(Inputs!$C$60,Inputs!$C$61),INDEX(Utility_Rates!$C$29:$F$52,HOUR(C2801)+Inputs!$C$69,MATCH(INDEX(Utility_Rates!$K$6:$K$17,MONTH(C2801))&amp;IF(WEEKDAY(C2801,Inputs!$C$76)&lt;=Inputs!$C$74," weekday"," weekend"),Utility_Rates!$C$28:$F$28,Inputs!$C$68)),"")</f>
      </c>
      <c r="H2801" s="34"/>
      <c r="I2801" s="42">
        <f>IF(AND(ISNUMBER(D2801),ISNUMBER(H2801)),D2801*H2801*Inputs!$C$69,"")</f>
      </c>
      <c r="J2801" s="42">
        <f>IF(AND(ISNUMBER(F2801),ISNUMBER(H2801),F2801&gt;=Inputs!$C$68),F2801*H2801*Inputs!$C$69,"")</f>
      </c>
    </row>
    <row r="2802" spans="2:10" ht="15" customHeight="1" x14ac:dyDescent="0.2">
      <c r="B2802" s="39">
        <f t="shared" si="20"/>
      </c>
      <c r="C2802" s="40">
        <f>IF(Inputs!$C$60,Inputs!$C$11+(B2802-Inputs!$C$69)/Inputs!$C$70,"")</f>
      </c>
      <c r="D2802" s="15"/>
      <c r="E2802" s="15"/>
      <c r="F2802" s="11">
        <f t="shared" si="21"/>
      </c>
      <c r="G2802" s="22" cm="1">
        <f t="array" ref="G2802">IF(AND(Inputs!$C$60,Inputs!$C$61),INDEX(Utility_Rates!$C$29:$F$52,HOUR(C2802)+Inputs!$C$69,MATCH(INDEX(Utility_Rates!$K$6:$K$17,MONTH(C2802))&amp;IF(WEEKDAY(C2802,Inputs!$C$76)&lt;=Inputs!$C$74," weekday"," weekend"),Utility_Rates!$C$28:$F$28,Inputs!$C$68)),"")</f>
      </c>
      <c r="H2802" s="34"/>
      <c r="I2802" s="42">
        <f>IF(AND(ISNUMBER(D2802),ISNUMBER(H2802)),D2802*H2802*Inputs!$C$69,"")</f>
      </c>
      <c r="J2802" s="42">
        <f>IF(AND(ISNUMBER(F2802),ISNUMBER(H2802),F2802&gt;=Inputs!$C$68),F2802*H2802*Inputs!$C$69,"")</f>
      </c>
    </row>
    <row r="2803" spans="2:10" ht="15" customHeight="1" x14ac:dyDescent="0.2">
      <c r="B2803" s="39">
        <f t="shared" si="20"/>
      </c>
      <c r="C2803" s="40">
        <f>IF(Inputs!$C$60,Inputs!$C$11+(B2803-Inputs!$C$69)/Inputs!$C$70,"")</f>
      </c>
      <c r="D2803" s="15"/>
      <c r="E2803" s="15"/>
      <c r="F2803" s="11">
        <f t="shared" si="21"/>
      </c>
      <c r="G2803" s="22" cm="1">
        <f t="array" ref="G2803">IF(AND(Inputs!$C$60,Inputs!$C$61),INDEX(Utility_Rates!$C$29:$F$52,HOUR(C2803)+Inputs!$C$69,MATCH(INDEX(Utility_Rates!$K$6:$K$17,MONTH(C2803))&amp;IF(WEEKDAY(C2803,Inputs!$C$76)&lt;=Inputs!$C$74," weekday"," weekend"),Utility_Rates!$C$28:$F$28,Inputs!$C$68)),"")</f>
      </c>
      <c r="H2803" s="34"/>
      <c r="I2803" s="42">
        <f>IF(AND(ISNUMBER(D2803),ISNUMBER(H2803)),D2803*H2803*Inputs!$C$69,"")</f>
      </c>
      <c r="J2803" s="42">
        <f>IF(AND(ISNUMBER(F2803),ISNUMBER(H2803),F2803&gt;=Inputs!$C$68),F2803*H2803*Inputs!$C$69,"")</f>
      </c>
    </row>
    <row r="2804" spans="2:10" ht="15" customHeight="1" x14ac:dyDescent="0.2">
      <c r="B2804" s="39">
        <f t="shared" si="20"/>
      </c>
      <c r="C2804" s="40">
        <f>IF(Inputs!$C$60,Inputs!$C$11+(B2804-Inputs!$C$69)/Inputs!$C$70,"")</f>
      </c>
      <c r="D2804" s="15"/>
      <c r="E2804" s="15"/>
      <c r="F2804" s="11">
        <f t="shared" si="21"/>
      </c>
      <c r="G2804" s="22" cm="1">
        <f t="array" ref="G2804">IF(AND(Inputs!$C$60,Inputs!$C$61),INDEX(Utility_Rates!$C$29:$F$52,HOUR(C2804)+Inputs!$C$69,MATCH(INDEX(Utility_Rates!$K$6:$K$17,MONTH(C2804))&amp;IF(WEEKDAY(C2804,Inputs!$C$76)&lt;=Inputs!$C$74," weekday"," weekend"),Utility_Rates!$C$28:$F$28,Inputs!$C$68)),"")</f>
      </c>
      <c r="H2804" s="34"/>
      <c r="I2804" s="42">
        <f>IF(AND(ISNUMBER(D2804),ISNUMBER(H2804)),D2804*H2804*Inputs!$C$69,"")</f>
      </c>
      <c r="J2804" s="42">
        <f>IF(AND(ISNUMBER(F2804),ISNUMBER(H2804),F2804&gt;=Inputs!$C$68),F2804*H2804*Inputs!$C$69,"")</f>
      </c>
    </row>
    <row r="2805" spans="2:10" ht="15" customHeight="1" x14ac:dyDescent="0.2">
      <c r="B2805" s="39">
        <f t="shared" si="20"/>
      </c>
      <c r="C2805" s="40">
        <f>IF(Inputs!$C$60,Inputs!$C$11+(B2805-Inputs!$C$69)/Inputs!$C$70,"")</f>
      </c>
      <c r="D2805" s="15"/>
      <c r="E2805" s="15"/>
      <c r="F2805" s="11">
        <f t="shared" si="21"/>
      </c>
      <c r="G2805" s="22" cm="1">
        <f t="array" ref="G2805">IF(AND(Inputs!$C$60,Inputs!$C$61),INDEX(Utility_Rates!$C$29:$F$52,HOUR(C2805)+Inputs!$C$69,MATCH(INDEX(Utility_Rates!$K$6:$K$17,MONTH(C2805))&amp;IF(WEEKDAY(C2805,Inputs!$C$76)&lt;=Inputs!$C$74," weekday"," weekend"),Utility_Rates!$C$28:$F$28,Inputs!$C$68)),"")</f>
      </c>
      <c r="H2805" s="34"/>
      <c r="I2805" s="42">
        <f>IF(AND(ISNUMBER(D2805),ISNUMBER(H2805)),D2805*H2805*Inputs!$C$69,"")</f>
      </c>
      <c r="J2805" s="42">
        <f>IF(AND(ISNUMBER(F2805),ISNUMBER(H2805),F2805&gt;=Inputs!$C$68),F2805*H2805*Inputs!$C$69,"")</f>
      </c>
    </row>
    <row r="2806" spans="2:10" ht="15" customHeight="1" x14ac:dyDescent="0.2">
      <c r="B2806" s="39">
        <f t="shared" si="20"/>
      </c>
      <c r="C2806" s="40">
        <f>IF(Inputs!$C$60,Inputs!$C$11+(B2806-Inputs!$C$69)/Inputs!$C$70,"")</f>
      </c>
      <c r="D2806" s="15"/>
      <c r="E2806" s="15"/>
      <c r="F2806" s="11">
        <f t="shared" si="21"/>
      </c>
      <c r="G2806" s="22" cm="1">
        <f t="array" ref="G2806">IF(AND(Inputs!$C$60,Inputs!$C$61),INDEX(Utility_Rates!$C$29:$F$52,HOUR(C2806)+Inputs!$C$69,MATCH(INDEX(Utility_Rates!$K$6:$K$17,MONTH(C2806))&amp;IF(WEEKDAY(C2806,Inputs!$C$76)&lt;=Inputs!$C$74," weekday"," weekend"),Utility_Rates!$C$28:$F$28,Inputs!$C$68)),"")</f>
      </c>
      <c r="H2806" s="34"/>
      <c r="I2806" s="42">
        <f>IF(AND(ISNUMBER(D2806),ISNUMBER(H2806)),D2806*H2806*Inputs!$C$69,"")</f>
      </c>
      <c r="J2806" s="42">
        <f>IF(AND(ISNUMBER(F2806),ISNUMBER(H2806),F2806&gt;=Inputs!$C$68),F2806*H2806*Inputs!$C$69,"")</f>
      </c>
    </row>
    <row r="2807" spans="2:10" ht="15" customHeight="1" x14ac:dyDescent="0.2">
      <c r="B2807" s="39">
        <f t="shared" si="20"/>
      </c>
      <c r="C2807" s="40">
        <f>IF(Inputs!$C$60,Inputs!$C$11+(B2807-Inputs!$C$69)/Inputs!$C$70,"")</f>
      </c>
      <c r="D2807" s="15"/>
      <c r="E2807" s="15"/>
      <c r="F2807" s="11">
        <f t="shared" si="21"/>
      </c>
      <c r="G2807" s="22" cm="1">
        <f t="array" ref="G2807">IF(AND(Inputs!$C$60,Inputs!$C$61),INDEX(Utility_Rates!$C$29:$F$52,HOUR(C2807)+Inputs!$C$69,MATCH(INDEX(Utility_Rates!$K$6:$K$17,MONTH(C2807))&amp;IF(WEEKDAY(C2807,Inputs!$C$76)&lt;=Inputs!$C$74," weekday"," weekend"),Utility_Rates!$C$28:$F$28,Inputs!$C$68)),"")</f>
      </c>
      <c r="H2807" s="34"/>
      <c r="I2807" s="42">
        <f>IF(AND(ISNUMBER(D2807),ISNUMBER(H2807)),D2807*H2807*Inputs!$C$69,"")</f>
      </c>
      <c r="J2807" s="42">
        <f>IF(AND(ISNUMBER(F2807),ISNUMBER(H2807),F2807&gt;=Inputs!$C$68),F2807*H2807*Inputs!$C$69,"")</f>
      </c>
    </row>
    <row r="2808" spans="2:10" ht="15" customHeight="1" x14ac:dyDescent="0.2">
      <c r="B2808" s="39">
        <f t="shared" si="20"/>
      </c>
      <c r="C2808" s="40">
        <f>IF(Inputs!$C$60,Inputs!$C$11+(B2808-Inputs!$C$69)/Inputs!$C$70,"")</f>
      </c>
      <c r="D2808" s="15"/>
      <c r="E2808" s="15"/>
      <c r="F2808" s="11">
        <f t="shared" si="21"/>
      </c>
      <c r="G2808" s="22" cm="1">
        <f t="array" ref="G2808">IF(AND(Inputs!$C$60,Inputs!$C$61),INDEX(Utility_Rates!$C$29:$F$52,HOUR(C2808)+Inputs!$C$69,MATCH(INDEX(Utility_Rates!$K$6:$K$17,MONTH(C2808))&amp;IF(WEEKDAY(C2808,Inputs!$C$76)&lt;=Inputs!$C$74," weekday"," weekend"),Utility_Rates!$C$28:$F$28,Inputs!$C$68)),"")</f>
      </c>
      <c r="H2808" s="34"/>
      <c r="I2808" s="42">
        <f>IF(AND(ISNUMBER(D2808),ISNUMBER(H2808)),D2808*H2808*Inputs!$C$69,"")</f>
      </c>
      <c r="J2808" s="42">
        <f>IF(AND(ISNUMBER(F2808),ISNUMBER(H2808),F2808&gt;=Inputs!$C$68),F2808*H2808*Inputs!$C$69,"")</f>
      </c>
    </row>
    <row r="2809" spans="2:10" ht="15" customHeight="1" x14ac:dyDescent="0.2">
      <c r="B2809" s="39">
        <f t="shared" si="20"/>
      </c>
      <c r="C2809" s="40">
        <f>IF(Inputs!$C$60,Inputs!$C$11+(B2809-Inputs!$C$69)/Inputs!$C$70,"")</f>
      </c>
      <c r="D2809" s="15"/>
      <c r="E2809" s="15"/>
      <c r="F2809" s="11">
        <f t="shared" si="21"/>
      </c>
      <c r="G2809" s="22" cm="1">
        <f t="array" ref="G2809">IF(AND(Inputs!$C$60,Inputs!$C$61),INDEX(Utility_Rates!$C$29:$F$52,HOUR(C2809)+Inputs!$C$69,MATCH(INDEX(Utility_Rates!$K$6:$K$17,MONTH(C2809))&amp;IF(WEEKDAY(C2809,Inputs!$C$76)&lt;=Inputs!$C$74," weekday"," weekend"),Utility_Rates!$C$28:$F$28,Inputs!$C$68)),"")</f>
      </c>
      <c r="H2809" s="34"/>
      <c r="I2809" s="42">
        <f>IF(AND(ISNUMBER(D2809),ISNUMBER(H2809)),D2809*H2809*Inputs!$C$69,"")</f>
      </c>
      <c r="J2809" s="42">
        <f>IF(AND(ISNUMBER(F2809),ISNUMBER(H2809),F2809&gt;=Inputs!$C$68),F2809*H2809*Inputs!$C$69,"")</f>
      </c>
    </row>
    <row r="2810" spans="2:10" ht="15" customHeight="1" x14ac:dyDescent="0.2">
      <c r="B2810" s="39">
        <f t="shared" si="20"/>
      </c>
      <c r="C2810" s="40">
        <f>IF(Inputs!$C$60,Inputs!$C$11+(B2810-Inputs!$C$69)/Inputs!$C$70,"")</f>
      </c>
      <c r="D2810" s="15"/>
      <c r="E2810" s="15"/>
      <c r="F2810" s="11">
        <f t="shared" si="21"/>
      </c>
      <c r="G2810" s="22" cm="1">
        <f t="array" ref="G2810">IF(AND(Inputs!$C$60,Inputs!$C$61),INDEX(Utility_Rates!$C$29:$F$52,HOUR(C2810)+Inputs!$C$69,MATCH(INDEX(Utility_Rates!$K$6:$K$17,MONTH(C2810))&amp;IF(WEEKDAY(C2810,Inputs!$C$76)&lt;=Inputs!$C$74," weekday"," weekend"),Utility_Rates!$C$28:$F$28,Inputs!$C$68)),"")</f>
      </c>
      <c r="H2810" s="34"/>
      <c r="I2810" s="42">
        <f>IF(AND(ISNUMBER(D2810),ISNUMBER(H2810)),D2810*H2810*Inputs!$C$69,"")</f>
      </c>
      <c r="J2810" s="42">
        <f>IF(AND(ISNUMBER(F2810),ISNUMBER(H2810),F2810&gt;=Inputs!$C$68),F2810*H2810*Inputs!$C$69,"")</f>
      </c>
    </row>
    <row r="2811" spans="2:10" ht="15" customHeight="1" x14ac:dyDescent="0.2">
      <c r="B2811" s="39">
        <f t="shared" ref="B2811:B3065" si="22">ROW()-ROW($B$5)</f>
      </c>
      <c r="C2811" s="40">
        <f>IF(Inputs!$C$60,Inputs!$C$11+(B2811-Inputs!$C$69)/Inputs!$C$70,"")</f>
      </c>
      <c r="D2811" s="15"/>
      <c r="E2811" s="15"/>
      <c r="F2811" s="11">
        <f t="shared" ref="F2811:F3065" si="23">IF(COUNT(D2811:E2811)=COLUMNS(D2811:E2811),D2811-E2811,"")</f>
      </c>
      <c r="G2811" s="22" cm="1">
        <f t="array" ref="G2811">IF(AND(Inputs!$C$60,Inputs!$C$61),INDEX(Utility_Rates!$C$29:$F$52,HOUR(C2811)+Inputs!$C$69,MATCH(INDEX(Utility_Rates!$K$6:$K$17,MONTH(C2811))&amp;IF(WEEKDAY(C2811,Inputs!$C$76)&lt;=Inputs!$C$74," weekday"," weekend"),Utility_Rates!$C$28:$F$28,Inputs!$C$68)),"")</f>
      </c>
      <c r="H2811" s="34"/>
      <c r="I2811" s="42">
        <f>IF(AND(ISNUMBER(D2811),ISNUMBER(H2811)),D2811*H2811*Inputs!$C$69,"")</f>
      </c>
      <c r="J2811" s="42">
        <f>IF(AND(ISNUMBER(F2811),ISNUMBER(H2811),F2811&gt;=Inputs!$C$68),F2811*H2811*Inputs!$C$69,"")</f>
      </c>
    </row>
    <row r="2812" spans="2:10" ht="15" customHeight="1" x14ac:dyDescent="0.2">
      <c r="B2812" s="39">
        <f t="shared" si="22"/>
      </c>
      <c r="C2812" s="40">
        <f>IF(Inputs!$C$60,Inputs!$C$11+(B2812-Inputs!$C$69)/Inputs!$C$70,"")</f>
      </c>
      <c r="D2812" s="15"/>
      <c r="E2812" s="15"/>
      <c r="F2812" s="11">
        <f t="shared" si="23"/>
      </c>
      <c r="G2812" s="22" cm="1">
        <f t="array" ref="G2812">IF(AND(Inputs!$C$60,Inputs!$C$61),INDEX(Utility_Rates!$C$29:$F$52,HOUR(C2812)+Inputs!$C$69,MATCH(INDEX(Utility_Rates!$K$6:$K$17,MONTH(C2812))&amp;IF(WEEKDAY(C2812,Inputs!$C$76)&lt;=Inputs!$C$74," weekday"," weekend"),Utility_Rates!$C$28:$F$28,Inputs!$C$68)),"")</f>
      </c>
      <c r="H2812" s="34"/>
      <c r="I2812" s="42">
        <f>IF(AND(ISNUMBER(D2812),ISNUMBER(H2812)),D2812*H2812*Inputs!$C$69,"")</f>
      </c>
      <c r="J2812" s="42">
        <f>IF(AND(ISNUMBER(F2812),ISNUMBER(H2812),F2812&gt;=Inputs!$C$68),F2812*H2812*Inputs!$C$69,"")</f>
      </c>
    </row>
    <row r="2813" spans="2:10" ht="15" customHeight="1" x14ac:dyDescent="0.2">
      <c r="B2813" s="39">
        <f t="shared" si="22"/>
      </c>
      <c r="C2813" s="40">
        <f>IF(Inputs!$C$60,Inputs!$C$11+(B2813-Inputs!$C$69)/Inputs!$C$70,"")</f>
      </c>
      <c r="D2813" s="15"/>
      <c r="E2813" s="15"/>
      <c r="F2813" s="11">
        <f t="shared" si="23"/>
      </c>
      <c r="G2813" s="22" cm="1">
        <f t="array" ref="G2813">IF(AND(Inputs!$C$60,Inputs!$C$61),INDEX(Utility_Rates!$C$29:$F$52,HOUR(C2813)+Inputs!$C$69,MATCH(INDEX(Utility_Rates!$K$6:$K$17,MONTH(C2813))&amp;IF(WEEKDAY(C2813,Inputs!$C$76)&lt;=Inputs!$C$74," weekday"," weekend"),Utility_Rates!$C$28:$F$28,Inputs!$C$68)),"")</f>
      </c>
      <c r="H2813" s="34"/>
      <c r="I2813" s="42">
        <f>IF(AND(ISNUMBER(D2813),ISNUMBER(H2813)),D2813*H2813*Inputs!$C$69,"")</f>
      </c>
      <c r="J2813" s="42">
        <f>IF(AND(ISNUMBER(F2813),ISNUMBER(H2813),F2813&gt;=Inputs!$C$68),F2813*H2813*Inputs!$C$69,"")</f>
      </c>
    </row>
    <row r="2814" spans="2:10" ht="15" customHeight="1" x14ac:dyDescent="0.2">
      <c r="B2814" s="39">
        <f t="shared" si="22"/>
      </c>
      <c r="C2814" s="40">
        <f>IF(Inputs!$C$60,Inputs!$C$11+(B2814-Inputs!$C$69)/Inputs!$C$70,"")</f>
      </c>
      <c r="D2814" s="15"/>
      <c r="E2814" s="15"/>
      <c r="F2814" s="11">
        <f t="shared" si="23"/>
      </c>
      <c r="G2814" s="22" cm="1">
        <f t="array" ref="G2814">IF(AND(Inputs!$C$60,Inputs!$C$61),INDEX(Utility_Rates!$C$29:$F$52,HOUR(C2814)+Inputs!$C$69,MATCH(INDEX(Utility_Rates!$K$6:$K$17,MONTH(C2814))&amp;IF(WEEKDAY(C2814,Inputs!$C$76)&lt;=Inputs!$C$74," weekday"," weekend"),Utility_Rates!$C$28:$F$28,Inputs!$C$68)),"")</f>
      </c>
      <c r="H2814" s="34"/>
      <c r="I2814" s="42">
        <f>IF(AND(ISNUMBER(D2814),ISNUMBER(H2814)),D2814*H2814*Inputs!$C$69,"")</f>
      </c>
      <c r="J2814" s="42">
        <f>IF(AND(ISNUMBER(F2814),ISNUMBER(H2814),F2814&gt;=Inputs!$C$68),F2814*H2814*Inputs!$C$69,"")</f>
      </c>
    </row>
    <row r="2815" spans="2:10" ht="15" customHeight="1" x14ac:dyDescent="0.2">
      <c r="B2815" s="39">
        <f t="shared" si="22"/>
      </c>
      <c r="C2815" s="40">
        <f>IF(Inputs!$C$60,Inputs!$C$11+(B2815-Inputs!$C$69)/Inputs!$C$70,"")</f>
      </c>
      <c r="D2815" s="15"/>
      <c r="E2815" s="15"/>
      <c r="F2815" s="11">
        <f t="shared" si="23"/>
      </c>
      <c r="G2815" s="22" cm="1">
        <f t="array" ref="G2815">IF(AND(Inputs!$C$60,Inputs!$C$61),INDEX(Utility_Rates!$C$29:$F$52,HOUR(C2815)+Inputs!$C$69,MATCH(INDEX(Utility_Rates!$K$6:$K$17,MONTH(C2815))&amp;IF(WEEKDAY(C2815,Inputs!$C$76)&lt;=Inputs!$C$74," weekday"," weekend"),Utility_Rates!$C$28:$F$28,Inputs!$C$68)),"")</f>
      </c>
      <c r="H2815" s="34"/>
      <c r="I2815" s="42">
        <f>IF(AND(ISNUMBER(D2815),ISNUMBER(H2815)),D2815*H2815*Inputs!$C$69,"")</f>
      </c>
      <c r="J2815" s="42">
        <f>IF(AND(ISNUMBER(F2815),ISNUMBER(H2815),F2815&gt;=Inputs!$C$68),F2815*H2815*Inputs!$C$69,"")</f>
      </c>
    </row>
    <row r="2816" spans="2:10" ht="15" customHeight="1" x14ac:dyDescent="0.2">
      <c r="B2816" s="39">
        <f t="shared" si="22"/>
      </c>
      <c r="C2816" s="40">
        <f>IF(Inputs!$C$60,Inputs!$C$11+(B2816-Inputs!$C$69)/Inputs!$C$70,"")</f>
      </c>
      <c r="D2816" s="15"/>
      <c r="E2816" s="15"/>
      <c r="F2816" s="11">
        <f t="shared" si="23"/>
      </c>
      <c r="G2816" s="22" cm="1">
        <f t="array" ref="G2816">IF(AND(Inputs!$C$60,Inputs!$C$61),INDEX(Utility_Rates!$C$29:$F$52,HOUR(C2816)+Inputs!$C$69,MATCH(INDEX(Utility_Rates!$K$6:$K$17,MONTH(C2816))&amp;IF(WEEKDAY(C2816,Inputs!$C$76)&lt;=Inputs!$C$74," weekday"," weekend"),Utility_Rates!$C$28:$F$28,Inputs!$C$68)),"")</f>
      </c>
      <c r="H2816" s="34"/>
      <c r="I2816" s="42">
        <f>IF(AND(ISNUMBER(D2816),ISNUMBER(H2816)),D2816*H2816*Inputs!$C$69,"")</f>
      </c>
      <c r="J2816" s="42">
        <f>IF(AND(ISNUMBER(F2816),ISNUMBER(H2816),F2816&gt;=Inputs!$C$68),F2816*H2816*Inputs!$C$69,"")</f>
      </c>
    </row>
    <row r="2817" spans="2:10" ht="15" customHeight="1" x14ac:dyDescent="0.2">
      <c r="B2817" s="39">
        <f t="shared" si="22"/>
      </c>
      <c r="C2817" s="40">
        <f>IF(Inputs!$C$60,Inputs!$C$11+(B2817-Inputs!$C$69)/Inputs!$C$70,"")</f>
      </c>
      <c r="D2817" s="15"/>
      <c r="E2817" s="15"/>
      <c r="F2817" s="11">
        <f t="shared" si="23"/>
      </c>
      <c r="G2817" s="22" cm="1">
        <f t="array" ref="G2817">IF(AND(Inputs!$C$60,Inputs!$C$61),INDEX(Utility_Rates!$C$29:$F$52,HOUR(C2817)+Inputs!$C$69,MATCH(INDEX(Utility_Rates!$K$6:$K$17,MONTH(C2817))&amp;IF(WEEKDAY(C2817,Inputs!$C$76)&lt;=Inputs!$C$74," weekday"," weekend"),Utility_Rates!$C$28:$F$28,Inputs!$C$68)),"")</f>
      </c>
      <c r="H2817" s="34"/>
      <c r="I2817" s="42">
        <f>IF(AND(ISNUMBER(D2817),ISNUMBER(H2817)),D2817*H2817*Inputs!$C$69,"")</f>
      </c>
      <c r="J2817" s="42">
        <f>IF(AND(ISNUMBER(F2817),ISNUMBER(H2817),F2817&gt;=Inputs!$C$68),F2817*H2817*Inputs!$C$69,"")</f>
      </c>
    </row>
    <row r="2818" spans="2:10" ht="15" customHeight="1" x14ac:dyDescent="0.2">
      <c r="B2818" s="39">
        <f t="shared" si="22"/>
      </c>
      <c r="C2818" s="40">
        <f>IF(Inputs!$C$60,Inputs!$C$11+(B2818-Inputs!$C$69)/Inputs!$C$70,"")</f>
      </c>
      <c r="D2818" s="15"/>
      <c r="E2818" s="15"/>
      <c r="F2818" s="11">
        <f t="shared" si="23"/>
      </c>
      <c r="G2818" s="22" cm="1">
        <f t="array" ref="G2818">IF(AND(Inputs!$C$60,Inputs!$C$61),INDEX(Utility_Rates!$C$29:$F$52,HOUR(C2818)+Inputs!$C$69,MATCH(INDEX(Utility_Rates!$K$6:$K$17,MONTH(C2818))&amp;IF(WEEKDAY(C2818,Inputs!$C$76)&lt;=Inputs!$C$74," weekday"," weekend"),Utility_Rates!$C$28:$F$28,Inputs!$C$68)),"")</f>
      </c>
      <c r="H2818" s="34"/>
      <c r="I2818" s="42">
        <f>IF(AND(ISNUMBER(D2818),ISNUMBER(H2818)),D2818*H2818*Inputs!$C$69,"")</f>
      </c>
      <c r="J2818" s="42">
        <f>IF(AND(ISNUMBER(F2818),ISNUMBER(H2818),F2818&gt;=Inputs!$C$68),F2818*H2818*Inputs!$C$69,"")</f>
      </c>
    </row>
    <row r="2819" spans="2:10" ht="15" customHeight="1" x14ac:dyDescent="0.2">
      <c r="B2819" s="39">
        <f t="shared" si="22"/>
      </c>
      <c r="C2819" s="40">
        <f>IF(Inputs!$C$60,Inputs!$C$11+(B2819-Inputs!$C$69)/Inputs!$C$70,"")</f>
      </c>
      <c r="D2819" s="15"/>
      <c r="E2819" s="15"/>
      <c r="F2819" s="11">
        <f t="shared" si="23"/>
      </c>
      <c r="G2819" s="22" cm="1">
        <f t="array" ref="G2819">IF(AND(Inputs!$C$60,Inputs!$C$61),INDEX(Utility_Rates!$C$29:$F$52,HOUR(C2819)+Inputs!$C$69,MATCH(INDEX(Utility_Rates!$K$6:$K$17,MONTH(C2819))&amp;IF(WEEKDAY(C2819,Inputs!$C$76)&lt;=Inputs!$C$74," weekday"," weekend"),Utility_Rates!$C$28:$F$28,Inputs!$C$68)),"")</f>
      </c>
      <c r="H2819" s="34"/>
      <c r="I2819" s="42">
        <f>IF(AND(ISNUMBER(D2819),ISNUMBER(H2819)),D2819*H2819*Inputs!$C$69,"")</f>
      </c>
      <c r="J2819" s="42">
        <f>IF(AND(ISNUMBER(F2819),ISNUMBER(H2819),F2819&gt;=Inputs!$C$68),F2819*H2819*Inputs!$C$69,"")</f>
      </c>
    </row>
    <row r="2820" spans="2:10" ht="15" customHeight="1" x14ac:dyDescent="0.2">
      <c r="B2820" s="39">
        <f t="shared" si="22"/>
      </c>
      <c r="C2820" s="40">
        <f>IF(Inputs!$C$60,Inputs!$C$11+(B2820-Inputs!$C$69)/Inputs!$C$70,"")</f>
      </c>
      <c r="D2820" s="15"/>
      <c r="E2820" s="15"/>
      <c r="F2820" s="11">
        <f t="shared" si="23"/>
      </c>
      <c r="G2820" s="22" cm="1">
        <f t="array" ref="G2820">IF(AND(Inputs!$C$60,Inputs!$C$61),INDEX(Utility_Rates!$C$29:$F$52,HOUR(C2820)+Inputs!$C$69,MATCH(INDEX(Utility_Rates!$K$6:$K$17,MONTH(C2820))&amp;IF(WEEKDAY(C2820,Inputs!$C$76)&lt;=Inputs!$C$74," weekday"," weekend"),Utility_Rates!$C$28:$F$28,Inputs!$C$68)),"")</f>
      </c>
      <c r="H2820" s="34"/>
      <c r="I2820" s="42">
        <f>IF(AND(ISNUMBER(D2820),ISNUMBER(H2820)),D2820*H2820*Inputs!$C$69,"")</f>
      </c>
      <c r="J2820" s="42">
        <f>IF(AND(ISNUMBER(F2820),ISNUMBER(H2820),F2820&gt;=Inputs!$C$68),F2820*H2820*Inputs!$C$69,"")</f>
      </c>
    </row>
    <row r="2821" spans="2:10" ht="15" customHeight="1" x14ac:dyDescent="0.2">
      <c r="B2821" s="39">
        <f t="shared" si="22"/>
      </c>
      <c r="C2821" s="40">
        <f>IF(Inputs!$C$60,Inputs!$C$11+(B2821-Inputs!$C$69)/Inputs!$C$70,"")</f>
      </c>
      <c r="D2821" s="15"/>
      <c r="E2821" s="15"/>
      <c r="F2821" s="11">
        <f t="shared" si="23"/>
      </c>
      <c r="G2821" s="22" cm="1">
        <f t="array" ref="G2821">IF(AND(Inputs!$C$60,Inputs!$C$61),INDEX(Utility_Rates!$C$29:$F$52,HOUR(C2821)+Inputs!$C$69,MATCH(INDEX(Utility_Rates!$K$6:$K$17,MONTH(C2821))&amp;IF(WEEKDAY(C2821,Inputs!$C$76)&lt;=Inputs!$C$74," weekday"," weekend"),Utility_Rates!$C$28:$F$28,Inputs!$C$68)),"")</f>
      </c>
      <c r="H2821" s="34"/>
      <c r="I2821" s="42">
        <f>IF(AND(ISNUMBER(D2821),ISNUMBER(H2821)),D2821*H2821*Inputs!$C$69,"")</f>
      </c>
      <c r="J2821" s="42">
        <f>IF(AND(ISNUMBER(F2821),ISNUMBER(H2821),F2821&gt;=Inputs!$C$68),F2821*H2821*Inputs!$C$69,"")</f>
      </c>
    </row>
    <row r="2822" spans="2:10" ht="15" customHeight="1" x14ac:dyDescent="0.2">
      <c r="B2822" s="39">
        <f t="shared" si="22"/>
      </c>
      <c r="C2822" s="40">
        <f>IF(Inputs!$C$60,Inputs!$C$11+(B2822-Inputs!$C$69)/Inputs!$C$70,"")</f>
      </c>
      <c r="D2822" s="15"/>
      <c r="E2822" s="15"/>
      <c r="F2822" s="11">
        <f t="shared" si="23"/>
      </c>
      <c r="G2822" s="22" cm="1">
        <f t="array" ref="G2822">IF(AND(Inputs!$C$60,Inputs!$C$61),INDEX(Utility_Rates!$C$29:$F$52,HOUR(C2822)+Inputs!$C$69,MATCH(INDEX(Utility_Rates!$K$6:$K$17,MONTH(C2822))&amp;IF(WEEKDAY(C2822,Inputs!$C$76)&lt;=Inputs!$C$74," weekday"," weekend"),Utility_Rates!$C$28:$F$28,Inputs!$C$68)),"")</f>
      </c>
      <c r="H2822" s="34"/>
      <c r="I2822" s="42">
        <f>IF(AND(ISNUMBER(D2822),ISNUMBER(H2822)),D2822*H2822*Inputs!$C$69,"")</f>
      </c>
      <c r="J2822" s="42">
        <f>IF(AND(ISNUMBER(F2822),ISNUMBER(H2822),F2822&gt;=Inputs!$C$68),F2822*H2822*Inputs!$C$69,"")</f>
      </c>
    </row>
    <row r="2823" spans="2:10" ht="15" customHeight="1" x14ac:dyDescent="0.2">
      <c r="B2823" s="39">
        <f t="shared" si="22"/>
      </c>
      <c r="C2823" s="40">
        <f>IF(Inputs!$C$60,Inputs!$C$11+(B2823-Inputs!$C$69)/Inputs!$C$70,"")</f>
      </c>
      <c r="D2823" s="15"/>
      <c r="E2823" s="15"/>
      <c r="F2823" s="11">
        <f t="shared" si="23"/>
      </c>
      <c r="G2823" s="22" cm="1">
        <f t="array" ref="G2823">IF(AND(Inputs!$C$60,Inputs!$C$61),INDEX(Utility_Rates!$C$29:$F$52,HOUR(C2823)+Inputs!$C$69,MATCH(INDEX(Utility_Rates!$K$6:$K$17,MONTH(C2823))&amp;IF(WEEKDAY(C2823,Inputs!$C$76)&lt;=Inputs!$C$74," weekday"," weekend"),Utility_Rates!$C$28:$F$28,Inputs!$C$68)),"")</f>
      </c>
      <c r="H2823" s="34"/>
      <c r="I2823" s="42">
        <f>IF(AND(ISNUMBER(D2823),ISNUMBER(H2823)),D2823*H2823*Inputs!$C$69,"")</f>
      </c>
      <c r="J2823" s="42">
        <f>IF(AND(ISNUMBER(F2823),ISNUMBER(H2823),F2823&gt;=Inputs!$C$68),F2823*H2823*Inputs!$C$69,"")</f>
      </c>
    </row>
    <row r="2824" spans="2:10" ht="15" customHeight="1" x14ac:dyDescent="0.2">
      <c r="B2824" s="39">
        <f t="shared" si="22"/>
      </c>
      <c r="C2824" s="40">
        <f>IF(Inputs!$C$60,Inputs!$C$11+(B2824-Inputs!$C$69)/Inputs!$C$70,"")</f>
      </c>
      <c r="D2824" s="15"/>
      <c r="E2824" s="15"/>
      <c r="F2824" s="11">
        <f t="shared" si="23"/>
      </c>
      <c r="G2824" s="22" cm="1">
        <f t="array" ref="G2824">IF(AND(Inputs!$C$60,Inputs!$C$61),INDEX(Utility_Rates!$C$29:$F$52,HOUR(C2824)+Inputs!$C$69,MATCH(INDEX(Utility_Rates!$K$6:$K$17,MONTH(C2824))&amp;IF(WEEKDAY(C2824,Inputs!$C$76)&lt;=Inputs!$C$74," weekday"," weekend"),Utility_Rates!$C$28:$F$28,Inputs!$C$68)),"")</f>
      </c>
      <c r="H2824" s="34"/>
      <c r="I2824" s="42">
        <f>IF(AND(ISNUMBER(D2824),ISNUMBER(H2824)),D2824*H2824*Inputs!$C$69,"")</f>
      </c>
      <c r="J2824" s="42">
        <f>IF(AND(ISNUMBER(F2824),ISNUMBER(H2824),F2824&gt;=Inputs!$C$68),F2824*H2824*Inputs!$C$69,"")</f>
      </c>
    </row>
    <row r="2825" spans="2:10" ht="15" customHeight="1" x14ac:dyDescent="0.2">
      <c r="B2825" s="39">
        <f t="shared" si="22"/>
      </c>
      <c r="C2825" s="40">
        <f>IF(Inputs!$C$60,Inputs!$C$11+(B2825-Inputs!$C$69)/Inputs!$C$70,"")</f>
      </c>
      <c r="D2825" s="15"/>
      <c r="E2825" s="15"/>
      <c r="F2825" s="11">
        <f t="shared" si="23"/>
      </c>
      <c r="G2825" s="22" cm="1">
        <f t="array" ref="G2825">IF(AND(Inputs!$C$60,Inputs!$C$61),INDEX(Utility_Rates!$C$29:$F$52,HOUR(C2825)+Inputs!$C$69,MATCH(INDEX(Utility_Rates!$K$6:$K$17,MONTH(C2825))&amp;IF(WEEKDAY(C2825,Inputs!$C$76)&lt;=Inputs!$C$74," weekday"," weekend"),Utility_Rates!$C$28:$F$28,Inputs!$C$68)),"")</f>
      </c>
      <c r="H2825" s="34"/>
      <c r="I2825" s="42">
        <f>IF(AND(ISNUMBER(D2825),ISNUMBER(H2825)),D2825*H2825*Inputs!$C$69,"")</f>
      </c>
      <c r="J2825" s="42">
        <f>IF(AND(ISNUMBER(F2825),ISNUMBER(H2825),F2825&gt;=Inputs!$C$68),F2825*H2825*Inputs!$C$69,"")</f>
      </c>
    </row>
    <row r="2826" spans="2:10" ht="15" customHeight="1" x14ac:dyDescent="0.2">
      <c r="B2826" s="39">
        <f t="shared" si="22"/>
      </c>
      <c r="C2826" s="40">
        <f>IF(Inputs!$C$60,Inputs!$C$11+(B2826-Inputs!$C$69)/Inputs!$C$70,"")</f>
      </c>
      <c r="D2826" s="15"/>
      <c r="E2826" s="15"/>
      <c r="F2826" s="11">
        <f t="shared" si="23"/>
      </c>
      <c r="G2826" s="22" cm="1">
        <f t="array" ref="G2826">IF(AND(Inputs!$C$60,Inputs!$C$61),INDEX(Utility_Rates!$C$29:$F$52,HOUR(C2826)+Inputs!$C$69,MATCH(INDEX(Utility_Rates!$K$6:$K$17,MONTH(C2826))&amp;IF(WEEKDAY(C2826,Inputs!$C$76)&lt;=Inputs!$C$74," weekday"," weekend"),Utility_Rates!$C$28:$F$28,Inputs!$C$68)),"")</f>
      </c>
      <c r="H2826" s="34"/>
      <c r="I2826" s="42">
        <f>IF(AND(ISNUMBER(D2826),ISNUMBER(H2826)),D2826*H2826*Inputs!$C$69,"")</f>
      </c>
      <c r="J2826" s="42">
        <f>IF(AND(ISNUMBER(F2826),ISNUMBER(H2826),F2826&gt;=Inputs!$C$68),F2826*H2826*Inputs!$C$69,"")</f>
      </c>
    </row>
    <row r="2827" spans="2:10" ht="15" customHeight="1" x14ac:dyDescent="0.2">
      <c r="B2827" s="39">
        <f t="shared" si="22"/>
      </c>
      <c r="C2827" s="40">
        <f>IF(Inputs!$C$60,Inputs!$C$11+(B2827-Inputs!$C$69)/Inputs!$C$70,"")</f>
      </c>
      <c r="D2827" s="15"/>
      <c r="E2827" s="15"/>
      <c r="F2827" s="11">
        <f t="shared" si="23"/>
      </c>
      <c r="G2827" s="22" cm="1">
        <f t="array" ref="G2827">IF(AND(Inputs!$C$60,Inputs!$C$61),INDEX(Utility_Rates!$C$29:$F$52,HOUR(C2827)+Inputs!$C$69,MATCH(INDEX(Utility_Rates!$K$6:$K$17,MONTH(C2827))&amp;IF(WEEKDAY(C2827,Inputs!$C$76)&lt;=Inputs!$C$74," weekday"," weekend"),Utility_Rates!$C$28:$F$28,Inputs!$C$68)),"")</f>
      </c>
      <c r="H2827" s="34"/>
      <c r="I2827" s="42">
        <f>IF(AND(ISNUMBER(D2827),ISNUMBER(H2827)),D2827*H2827*Inputs!$C$69,"")</f>
      </c>
      <c r="J2827" s="42">
        <f>IF(AND(ISNUMBER(F2827),ISNUMBER(H2827),F2827&gt;=Inputs!$C$68),F2827*H2827*Inputs!$C$69,"")</f>
      </c>
    </row>
    <row r="2828" spans="2:10" ht="15" customHeight="1" x14ac:dyDescent="0.2">
      <c r="B2828" s="39">
        <f t="shared" si="22"/>
      </c>
      <c r="C2828" s="40">
        <f>IF(Inputs!$C$60,Inputs!$C$11+(B2828-Inputs!$C$69)/Inputs!$C$70,"")</f>
      </c>
      <c r="D2828" s="15"/>
      <c r="E2828" s="15"/>
      <c r="F2828" s="11">
        <f t="shared" si="23"/>
      </c>
      <c r="G2828" s="22" cm="1">
        <f t="array" ref="G2828">IF(AND(Inputs!$C$60,Inputs!$C$61),INDEX(Utility_Rates!$C$29:$F$52,HOUR(C2828)+Inputs!$C$69,MATCH(INDEX(Utility_Rates!$K$6:$K$17,MONTH(C2828))&amp;IF(WEEKDAY(C2828,Inputs!$C$76)&lt;=Inputs!$C$74," weekday"," weekend"),Utility_Rates!$C$28:$F$28,Inputs!$C$68)),"")</f>
      </c>
      <c r="H2828" s="34"/>
      <c r="I2828" s="42">
        <f>IF(AND(ISNUMBER(D2828),ISNUMBER(H2828)),D2828*H2828*Inputs!$C$69,"")</f>
      </c>
      <c r="J2828" s="42">
        <f>IF(AND(ISNUMBER(F2828),ISNUMBER(H2828),F2828&gt;=Inputs!$C$68),F2828*H2828*Inputs!$C$69,"")</f>
      </c>
    </row>
    <row r="2829" spans="2:10" ht="15" customHeight="1" x14ac:dyDescent="0.2">
      <c r="B2829" s="39">
        <f t="shared" si="22"/>
      </c>
      <c r="C2829" s="40">
        <f>IF(Inputs!$C$60,Inputs!$C$11+(B2829-Inputs!$C$69)/Inputs!$C$70,"")</f>
      </c>
      <c r="D2829" s="15"/>
      <c r="E2829" s="15"/>
      <c r="F2829" s="11">
        <f t="shared" si="23"/>
      </c>
      <c r="G2829" s="22" cm="1">
        <f t="array" ref="G2829">IF(AND(Inputs!$C$60,Inputs!$C$61),INDEX(Utility_Rates!$C$29:$F$52,HOUR(C2829)+Inputs!$C$69,MATCH(INDEX(Utility_Rates!$K$6:$K$17,MONTH(C2829))&amp;IF(WEEKDAY(C2829,Inputs!$C$76)&lt;=Inputs!$C$74," weekday"," weekend"),Utility_Rates!$C$28:$F$28,Inputs!$C$68)),"")</f>
      </c>
      <c r="H2829" s="34"/>
      <c r="I2829" s="42">
        <f>IF(AND(ISNUMBER(D2829),ISNUMBER(H2829)),D2829*H2829*Inputs!$C$69,"")</f>
      </c>
      <c r="J2829" s="42">
        <f>IF(AND(ISNUMBER(F2829),ISNUMBER(H2829),F2829&gt;=Inputs!$C$68),F2829*H2829*Inputs!$C$69,"")</f>
      </c>
    </row>
    <row r="2830" spans="2:10" ht="15" customHeight="1" x14ac:dyDescent="0.2">
      <c r="B2830" s="39">
        <f t="shared" si="22"/>
      </c>
      <c r="C2830" s="40">
        <f>IF(Inputs!$C$60,Inputs!$C$11+(B2830-Inputs!$C$69)/Inputs!$C$70,"")</f>
      </c>
      <c r="D2830" s="15"/>
      <c r="E2830" s="15"/>
      <c r="F2830" s="11">
        <f t="shared" si="23"/>
      </c>
      <c r="G2830" s="22" cm="1">
        <f t="array" ref="G2830">IF(AND(Inputs!$C$60,Inputs!$C$61),INDEX(Utility_Rates!$C$29:$F$52,HOUR(C2830)+Inputs!$C$69,MATCH(INDEX(Utility_Rates!$K$6:$K$17,MONTH(C2830))&amp;IF(WEEKDAY(C2830,Inputs!$C$76)&lt;=Inputs!$C$74," weekday"," weekend"),Utility_Rates!$C$28:$F$28,Inputs!$C$68)),"")</f>
      </c>
      <c r="H2830" s="34"/>
      <c r="I2830" s="42">
        <f>IF(AND(ISNUMBER(D2830),ISNUMBER(H2830)),D2830*H2830*Inputs!$C$69,"")</f>
      </c>
      <c r="J2830" s="42">
        <f>IF(AND(ISNUMBER(F2830),ISNUMBER(H2830),F2830&gt;=Inputs!$C$68),F2830*H2830*Inputs!$C$69,"")</f>
      </c>
    </row>
    <row r="2831" spans="2:10" ht="15" customHeight="1" x14ac:dyDescent="0.2">
      <c r="B2831" s="39">
        <f t="shared" si="22"/>
      </c>
      <c r="C2831" s="40">
        <f>IF(Inputs!$C$60,Inputs!$C$11+(B2831-Inputs!$C$69)/Inputs!$C$70,"")</f>
      </c>
      <c r="D2831" s="15"/>
      <c r="E2831" s="15"/>
      <c r="F2831" s="11">
        <f t="shared" si="23"/>
      </c>
      <c r="G2831" s="22" cm="1">
        <f t="array" ref="G2831">IF(AND(Inputs!$C$60,Inputs!$C$61),INDEX(Utility_Rates!$C$29:$F$52,HOUR(C2831)+Inputs!$C$69,MATCH(INDEX(Utility_Rates!$K$6:$K$17,MONTH(C2831))&amp;IF(WEEKDAY(C2831,Inputs!$C$76)&lt;=Inputs!$C$74," weekday"," weekend"),Utility_Rates!$C$28:$F$28,Inputs!$C$68)),"")</f>
      </c>
      <c r="H2831" s="34"/>
      <c r="I2831" s="42">
        <f>IF(AND(ISNUMBER(D2831),ISNUMBER(H2831)),D2831*H2831*Inputs!$C$69,"")</f>
      </c>
      <c r="J2831" s="42">
        <f>IF(AND(ISNUMBER(F2831),ISNUMBER(H2831),F2831&gt;=Inputs!$C$68),F2831*H2831*Inputs!$C$69,"")</f>
      </c>
    </row>
    <row r="2832" spans="2:10" ht="15" customHeight="1" x14ac:dyDescent="0.2">
      <c r="B2832" s="39">
        <f t="shared" si="22"/>
      </c>
      <c r="C2832" s="40">
        <f>IF(Inputs!$C$60,Inputs!$C$11+(B2832-Inputs!$C$69)/Inputs!$C$70,"")</f>
      </c>
      <c r="D2832" s="15"/>
      <c r="E2832" s="15"/>
      <c r="F2832" s="11">
        <f t="shared" si="23"/>
      </c>
      <c r="G2832" s="22" cm="1">
        <f t="array" ref="G2832">IF(AND(Inputs!$C$60,Inputs!$C$61),INDEX(Utility_Rates!$C$29:$F$52,HOUR(C2832)+Inputs!$C$69,MATCH(INDEX(Utility_Rates!$K$6:$K$17,MONTH(C2832))&amp;IF(WEEKDAY(C2832,Inputs!$C$76)&lt;=Inputs!$C$74," weekday"," weekend"),Utility_Rates!$C$28:$F$28,Inputs!$C$68)),"")</f>
      </c>
      <c r="H2832" s="34"/>
      <c r="I2832" s="42">
        <f>IF(AND(ISNUMBER(D2832),ISNUMBER(H2832)),D2832*H2832*Inputs!$C$69,"")</f>
      </c>
      <c r="J2832" s="42">
        <f>IF(AND(ISNUMBER(F2832),ISNUMBER(H2832),F2832&gt;=Inputs!$C$68),F2832*H2832*Inputs!$C$69,"")</f>
      </c>
    </row>
    <row r="2833" spans="2:10" ht="15" customHeight="1" x14ac:dyDescent="0.2">
      <c r="B2833" s="39">
        <f t="shared" si="22"/>
      </c>
      <c r="C2833" s="40">
        <f>IF(Inputs!$C$60,Inputs!$C$11+(B2833-Inputs!$C$69)/Inputs!$C$70,"")</f>
      </c>
      <c r="D2833" s="15"/>
      <c r="E2833" s="15"/>
      <c r="F2833" s="11">
        <f t="shared" si="23"/>
      </c>
      <c r="G2833" s="22" cm="1">
        <f t="array" ref="G2833">IF(AND(Inputs!$C$60,Inputs!$C$61),INDEX(Utility_Rates!$C$29:$F$52,HOUR(C2833)+Inputs!$C$69,MATCH(INDEX(Utility_Rates!$K$6:$K$17,MONTH(C2833))&amp;IF(WEEKDAY(C2833,Inputs!$C$76)&lt;=Inputs!$C$74," weekday"," weekend"),Utility_Rates!$C$28:$F$28,Inputs!$C$68)),"")</f>
      </c>
      <c r="H2833" s="34"/>
      <c r="I2833" s="42">
        <f>IF(AND(ISNUMBER(D2833),ISNUMBER(H2833)),D2833*H2833*Inputs!$C$69,"")</f>
      </c>
      <c r="J2833" s="42">
        <f>IF(AND(ISNUMBER(F2833),ISNUMBER(H2833),F2833&gt;=Inputs!$C$68),F2833*H2833*Inputs!$C$69,"")</f>
      </c>
    </row>
    <row r="2834" spans="2:10" ht="15" customHeight="1" x14ac:dyDescent="0.2">
      <c r="B2834" s="39">
        <f t="shared" si="22"/>
      </c>
      <c r="C2834" s="40">
        <f>IF(Inputs!$C$60,Inputs!$C$11+(B2834-Inputs!$C$69)/Inputs!$C$70,"")</f>
      </c>
      <c r="D2834" s="15"/>
      <c r="E2834" s="15"/>
      <c r="F2834" s="11">
        <f t="shared" si="23"/>
      </c>
      <c r="G2834" s="22" cm="1">
        <f t="array" ref="G2834">IF(AND(Inputs!$C$60,Inputs!$C$61),INDEX(Utility_Rates!$C$29:$F$52,HOUR(C2834)+Inputs!$C$69,MATCH(INDEX(Utility_Rates!$K$6:$K$17,MONTH(C2834))&amp;IF(WEEKDAY(C2834,Inputs!$C$76)&lt;=Inputs!$C$74," weekday"," weekend"),Utility_Rates!$C$28:$F$28,Inputs!$C$68)),"")</f>
      </c>
      <c r="H2834" s="34"/>
      <c r="I2834" s="42">
        <f>IF(AND(ISNUMBER(D2834),ISNUMBER(H2834)),D2834*H2834*Inputs!$C$69,"")</f>
      </c>
      <c r="J2834" s="42">
        <f>IF(AND(ISNUMBER(F2834),ISNUMBER(H2834),F2834&gt;=Inputs!$C$68),F2834*H2834*Inputs!$C$69,"")</f>
      </c>
    </row>
    <row r="2835" spans="2:10" ht="15" customHeight="1" x14ac:dyDescent="0.2">
      <c r="B2835" s="39">
        <f t="shared" si="22"/>
      </c>
      <c r="C2835" s="40">
        <f>IF(Inputs!$C$60,Inputs!$C$11+(B2835-Inputs!$C$69)/Inputs!$C$70,"")</f>
      </c>
      <c r="D2835" s="15"/>
      <c r="E2835" s="15"/>
      <c r="F2835" s="11">
        <f t="shared" si="23"/>
      </c>
      <c r="G2835" s="22" cm="1">
        <f t="array" ref="G2835">IF(AND(Inputs!$C$60,Inputs!$C$61),INDEX(Utility_Rates!$C$29:$F$52,HOUR(C2835)+Inputs!$C$69,MATCH(INDEX(Utility_Rates!$K$6:$K$17,MONTH(C2835))&amp;IF(WEEKDAY(C2835,Inputs!$C$76)&lt;=Inputs!$C$74," weekday"," weekend"),Utility_Rates!$C$28:$F$28,Inputs!$C$68)),"")</f>
      </c>
      <c r="H2835" s="34"/>
      <c r="I2835" s="42">
        <f>IF(AND(ISNUMBER(D2835),ISNUMBER(H2835)),D2835*H2835*Inputs!$C$69,"")</f>
      </c>
      <c r="J2835" s="42">
        <f>IF(AND(ISNUMBER(F2835),ISNUMBER(H2835),F2835&gt;=Inputs!$C$68),F2835*H2835*Inputs!$C$69,"")</f>
      </c>
    </row>
    <row r="2836" spans="2:10" ht="15" customHeight="1" x14ac:dyDescent="0.2">
      <c r="B2836" s="39">
        <f t="shared" si="22"/>
      </c>
      <c r="C2836" s="40">
        <f>IF(Inputs!$C$60,Inputs!$C$11+(B2836-Inputs!$C$69)/Inputs!$C$70,"")</f>
      </c>
      <c r="D2836" s="15"/>
      <c r="E2836" s="15"/>
      <c r="F2836" s="11">
        <f t="shared" si="23"/>
      </c>
      <c r="G2836" s="22" cm="1">
        <f t="array" ref="G2836">IF(AND(Inputs!$C$60,Inputs!$C$61),INDEX(Utility_Rates!$C$29:$F$52,HOUR(C2836)+Inputs!$C$69,MATCH(INDEX(Utility_Rates!$K$6:$K$17,MONTH(C2836))&amp;IF(WEEKDAY(C2836,Inputs!$C$76)&lt;=Inputs!$C$74," weekday"," weekend"),Utility_Rates!$C$28:$F$28,Inputs!$C$68)),"")</f>
      </c>
      <c r="H2836" s="34"/>
      <c r="I2836" s="42">
        <f>IF(AND(ISNUMBER(D2836),ISNUMBER(H2836)),D2836*H2836*Inputs!$C$69,"")</f>
      </c>
      <c r="J2836" s="42">
        <f>IF(AND(ISNUMBER(F2836),ISNUMBER(H2836),F2836&gt;=Inputs!$C$68),F2836*H2836*Inputs!$C$69,"")</f>
      </c>
    </row>
    <row r="2837" spans="2:10" ht="15" customHeight="1" x14ac:dyDescent="0.2">
      <c r="B2837" s="39">
        <f t="shared" si="22"/>
      </c>
      <c r="C2837" s="40">
        <f>IF(Inputs!$C$60,Inputs!$C$11+(B2837-Inputs!$C$69)/Inputs!$C$70,"")</f>
      </c>
      <c r="D2837" s="15"/>
      <c r="E2837" s="15"/>
      <c r="F2837" s="11">
        <f t="shared" si="23"/>
      </c>
      <c r="G2837" s="22" cm="1">
        <f t="array" ref="G2837">IF(AND(Inputs!$C$60,Inputs!$C$61),INDEX(Utility_Rates!$C$29:$F$52,HOUR(C2837)+Inputs!$C$69,MATCH(INDEX(Utility_Rates!$K$6:$K$17,MONTH(C2837))&amp;IF(WEEKDAY(C2837,Inputs!$C$76)&lt;=Inputs!$C$74," weekday"," weekend"),Utility_Rates!$C$28:$F$28,Inputs!$C$68)),"")</f>
      </c>
      <c r="H2837" s="34"/>
      <c r="I2837" s="42">
        <f>IF(AND(ISNUMBER(D2837),ISNUMBER(H2837)),D2837*H2837*Inputs!$C$69,"")</f>
      </c>
      <c r="J2837" s="42">
        <f>IF(AND(ISNUMBER(F2837),ISNUMBER(H2837),F2837&gt;=Inputs!$C$68),F2837*H2837*Inputs!$C$69,"")</f>
      </c>
    </row>
    <row r="2838" spans="2:10" ht="15" customHeight="1" x14ac:dyDescent="0.2">
      <c r="B2838" s="39">
        <f t="shared" si="22"/>
      </c>
      <c r="C2838" s="40">
        <f>IF(Inputs!$C$60,Inputs!$C$11+(B2838-Inputs!$C$69)/Inputs!$C$70,"")</f>
      </c>
      <c r="D2838" s="15"/>
      <c r="E2838" s="15"/>
      <c r="F2838" s="11">
        <f t="shared" si="23"/>
      </c>
      <c r="G2838" s="22" cm="1">
        <f t="array" ref="G2838">IF(AND(Inputs!$C$60,Inputs!$C$61),INDEX(Utility_Rates!$C$29:$F$52,HOUR(C2838)+Inputs!$C$69,MATCH(INDEX(Utility_Rates!$K$6:$K$17,MONTH(C2838))&amp;IF(WEEKDAY(C2838,Inputs!$C$76)&lt;=Inputs!$C$74," weekday"," weekend"),Utility_Rates!$C$28:$F$28,Inputs!$C$68)),"")</f>
      </c>
      <c r="H2838" s="34"/>
      <c r="I2838" s="42">
        <f>IF(AND(ISNUMBER(D2838),ISNUMBER(H2838)),D2838*H2838*Inputs!$C$69,"")</f>
      </c>
      <c r="J2838" s="42">
        <f>IF(AND(ISNUMBER(F2838),ISNUMBER(H2838),F2838&gt;=Inputs!$C$68),F2838*H2838*Inputs!$C$69,"")</f>
      </c>
    </row>
    <row r="2839" spans="2:10" ht="15" customHeight="1" x14ac:dyDescent="0.2">
      <c r="B2839" s="39">
        <f t="shared" si="22"/>
      </c>
      <c r="C2839" s="40">
        <f>IF(Inputs!$C$60,Inputs!$C$11+(B2839-Inputs!$C$69)/Inputs!$C$70,"")</f>
      </c>
      <c r="D2839" s="15"/>
      <c r="E2839" s="15"/>
      <c r="F2839" s="11">
        <f t="shared" si="23"/>
      </c>
      <c r="G2839" s="22" cm="1">
        <f t="array" ref="G2839">IF(AND(Inputs!$C$60,Inputs!$C$61),INDEX(Utility_Rates!$C$29:$F$52,HOUR(C2839)+Inputs!$C$69,MATCH(INDEX(Utility_Rates!$K$6:$K$17,MONTH(C2839))&amp;IF(WEEKDAY(C2839,Inputs!$C$76)&lt;=Inputs!$C$74," weekday"," weekend"),Utility_Rates!$C$28:$F$28,Inputs!$C$68)),"")</f>
      </c>
      <c r="H2839" s="34"/>
      <c r="I2839" s="42">
        <f>IF(AND(ISNUMBER(D2839),ISNUMBER(H2839)),D2839*H2839*Inputs!$C$69,"")</f>
      </c>
      <c r="J2839" s="42">
        <f>IF(AND(ISNUMBER(F2839),ISNUMBER(H2839),F2839&gt;=Inputs!$C$68),F2839*H2839*Inputs!$C$69,"")</f>
      </c>
    </row>
    <row r="2840" spans="2:10" ht="15" customHeight="1" x14ac:dyDescent="0.2">
      <c r="B2840" s="39">
        <f t="shared" si="22"/>
      </c>
      <c r="C2840" s="40">
        <f>IF(Inputs!$C$60,Inputs!$C$11+(B2840-Inputs!$C$69)/Inputs!$C$70,"")</f>
      </c>
      <c r="D2840" s="15"/>
      <c r="E2840" s="15"/>
      <c r="F2840" s="11">
        <f t="shared" si="23"/>
      </c>
      <c r="G2840" s="22" cm="1">
        <f t="array" ref="G2840">IF(AND(Inputs!$C$60,Inputs!$C$61),INDEX(Utility_Rates!$C$29:$F$52,HOUR(C2840)+Inputs!$C$69,MATCH(INDEX(Utility_Rates!$K$6:$K$17,MONTH(C2840))&amp;IF(WEEKDAY(C2840,Inputs!$C$76)&lt;=Inputs!$C$74," weekday"," weekend"),Utility_Rates!$C$28:$F$28,Inputs!$C$68)),"")</f>
      </c>
      <c r="H2840" s="34"/>
      <c r="I2840" s="42">
        <f>IF(AND(ISNUMBER(D2840),ISNUMBER(H2840)),D2840*H2840*Inputs!$C$69,"")</f>
      </c>
      <c r="J2840" s="42">
        <f>IF(AND(ISNUMBER(F2840),ISNUMBER(H2840),F2840&gt;=Inputs!$C$68),F2840*H2840*Inputs!$C$69,"")</f>
      </c>
    </row>
    <row r="2841" spans="2:10" ht="15" customHeight="1" x14ac:dyDescent="0.2">
      <c r="B2841" s="39">
        <f t="shared" si="22"/>
      </c>
      <c r="C2841" s="40">
        <f>IF(Inputs!$C$60,Inputs!$C$11+(B2841-Inputs!$C$69)/Inputs!$C$70,"")</f>
      </c>
      <c r="D2841" s="15"/>
      <c r="E2841" s="15"/>
      <c r="F2841" s="11">
        <f t="shared" si="23"/>
      </c>
      <c r="G2841" s="22" cm="1">
        <f t="array" ref="G2841">IF(AND(Inputs!$C$60,Inputs!$C$61),INDEX(Utility_Rates!$C$29:$F$52,HOUR(C2841)+Inputs!$C$69,MATCH(INDEX(Utility_Rates!$K$6:$K$17,MONTH(C2841))&amp;IF(WEEKDAY(C2841,Inputs!$C$76)&lt;=Inputs!$C$74," weekday"," weekend"),Utility_Rates!$C$28:$F$28,Inputs!$C$68)),"")</f>
      </c>
      <c r="H2841" s="34"/>
      <c r="I2841" s="42">
        <f>IF(AND(ISNUMBER(D2841),ISNUMBER(H2841)),D2841*H2841*Inputs!$C$69,"")</f>
      </c>
      <c r="J2841" s="42">
        <f>IF(AND(ISNUMBER(F2841),ISNUMBER(H2841),F2841&gt;=Inputs!$C$68),F2841*H2841*Inputs!$C$69,"")</f>
      </c>
    </row>
    <row r="2842" spans="2:10" ht="15" customHeight="1" x14ac:dyDescent="0.2">
      <c r="B2842" s="39">
        <f t="shared" si="22"/>
      </c>
      <c r="C2842" s="40">
        <f>IF(Inputs!$C$60,Inputs!$C$11+(B2842-Inputs!$C$69)/Inputs!$C$70,"")</f>
      </c>
      <c r="D2842" s="15"/>
      <c r="E2842" s="15"/>
      <c r="F2842" s="11">
        <f t="shared" si="23"/>
      </c>
      <c r="G2842" s="22" cm="1">
        <f t="array" ref="G2842">IF(AND(Inputs!$C$60,Inputs!$C$61),INDEX(Utility_Rates!$C$29:$F$52,HOUR(C2842)+Inputs!$C$69,MATCH(INDEX(Utility_Rates!$K$6:$K$17,MONTH(C2842))&amp;IF(WEEKDAY(C2842,Inputs!$C$76)&lt;=Inputs!$C$74," weekday"," weekend"),Utility_Rates!$C$28:$F$28,Inputs!$C$68)),"")</f>
      </c>
      <c r="H2842" s="34"/>
      <c r="I2842" s="42">
        <f>IF(AND(ISNUMBER(D2842),ISNUMBER(H2842)),D2842*H2842*Inputs!$C$69,"")</f>
      </c>
      <c r="J2842" s="42">
        <f>IF(AND(ISNUMBER(F2842),ISNUMBER(H2842),F2842&gt;=Inputs!$C$68),F2842*H2842*Inputs!$C$69,"")</f>
      </c>
    </row>
    <row r="2843" spans="2:10" ht="15" customHeight="1" x14ac:dyDescent="0.2">
      <c r="B2843" s="39">
        <f t="shared" si="22"/>
      </c>
      <c r="C2843" s="40">
        <f>IF(Inputs!$C$60,Inputs!$C$11+(B2843-Inputs!$C$69)/Inputs!$C$70,"")</f>
      </c>
      <c r="D2843" s="15"/>
      <c r="E2843" s="15"/>
      <c r="F2843" s="11">
        <f t="shared" si="23"/>
      </c>
      <c r="G2843" s="22" cm="1">
        <f t="array" ref="G2843">IF(AND(Inputs!$C$60,Inputs!$C$61),INDEX(Utility_Rates!$C$29:$F$52,HOUR(C2843)+Inputs!$C$69,MATCH(INDEX(Utility_Rates!$K$6:$K$17,MONTH(C2843))&amp;IF(WEEKDAY(C2843,Inputs!$C$76)&lt;=Inputs!$C$74," weekday"," weekend"),Utility_Rates!$C$28:$F$28,Inputs!$C$68)),"")</f>
      </c>
      <c r="H2843" s="34"/>
      <c r="I2843" s="42">
        <f>IF(AND(ISNUMBER(D2843),ISNUMBER(H2843)),D2843*H2843*Inputs!$C$69,"")</f>
      </c>
      <c r="J2843" s="42">
        <f>IF(AND(ISNUMBER(F2843),ISNUMBER(H2843),F2843&gt;=Inputs!$C$68),F2843*H2843*Inputs!$C$69,"")</f>
      </c>
    </row>
    <row r="2844" spans="2:10" ht="15" customHeight="1" x14ac:dyDescent="0.2">
      <c r="B2844" s="39">
        <f t="shared" si="22"/>
      </c>
      <c r="C2844" s="40">
        <f>IF(Inputs!$C$60,Inputs!$C$11+(B2844-Inputs!$C$69)/Inputs!$C$70,"")</f>
      </c>
      <c r="D2844" s="15"/>
      <c r="E2844" s="15"/>
      <c r="F2844" s="11">
        <f t="shared" si="23"/>
      </c>
      <c r="G2844" s="22" cm="1">
        <f t="array" ref="G2844">IF(AND(Inputs!$C$60,Inputs!$C$61),INDEX(Utility_Rates!$C$29:$F$52,HOUR(C2844)+Inputs!$C$69,MATCH(INDEX(Utility_Rates!$K$6:$K$17,MONTH(C2844))&amp;IF(WEEKDAY(C2844,Inputs!$C$76)&lt;=Inputs!$C$74," weekday"," weekend"),Utility_Rates!$C$28:$F$28,Inputs!$C$68)),"")</f>
      </c>
      <c r="H2844" s="34"/>
      <c r="I2844" s="42">
        <f>IF(AND(ISNUMBER(D2844),ISNUMBER(H2844)),D2844*H2844*Inputs!$C$69,"")</f>
      </c>
      <c r="J2844" s="42">
        <f>IF(AND(ISNUMBER(F2844),ISNUMBER(H2844),F2844&gt;=Inputs!$C$68),F2844*H2844*Inputs!$C$69,"")</f>
      </c>
    </row>
    <row r="2845" spans="2:10" ht="15" customHeight="1" x14ac:dyDescent="0.2">
      <c r="B2845" s="39">
        <f t="shared" si="22"/>
      </c>
      <c r="C2845" s="40">
        <f>IF(Inputs!$C$60,Inputs!$C$11+(B2845-Inputs!$C$69)/Inputs!$C$70,"")</f>
      </c>
      <c r="D2845" s="15"/>
      <c r="E2845" s="15"/>
      <c r="F2845" s="11">
        <f t="shared" si="23"/>
      </c>
      <c r="G2845" s="22" cm="1">
        <f t="array" ref="G2845">IF(AND(Inputs!$C$60,Inputs!$C$61),INDEX(Utility_Rates!$C$29:$F$52,HOUR(C2845)+Inputs!$C$69,MATCH(INDEX(Utility_Rates!$K$6:$K$17,MONTH(C2845))&amp;IF(WEEKDAY(C2845,Inputs!$C$76)&lt;=Inputs!$C$74," weekday"," weekend"),Utility_Rates!$C$28:$F$28,Inputs!$C$68)),"")</f>
      </c>
      <c r="H2845" s="34"/>
      <c r="I2845" s="42">
        <f>IF(AND(ISNUMBER(D2845),ISNUMBER(H2845)),D2845*H2845*Inputs!$C$69,"")</f>
      </c>
      <c r="J2845" s="42">
        <f>IF(AND(ISNUMBER(F2845),ISNUMBER(H2845),F2845&gt;=Inputs!$C$68),F2845*H2845*Inputs!$C$69,"")</f>
      </c>
    </row>
    <row r="2846" spans="2:10" ht="15" customHeight="1" x14ac:dyDescent="0.2">
      <c r="B2846" s="39">
        <f t="shared" si="22"/>
      </c>
      <c r="C2846" s="40">
        <f>IF(Inputs!$C$60,Inputs!$C$11+(B2846-Inputs!$C$69)/Inputs!$C$70,"")</f>
      </c>
      <c r="D2846" s="15"/>
      <c r="E2846" s="15"/>
      <c r="F2846" s="11">
        <f t="shared" si="23"/>
      </c>
      <c r="G2846" s="22" cm="1">
        <f t="array" ref="G2846">IF(AND(Inputs!$C$60,Inputs!$C$61),INDEX(Utility_Rates!$C$29:$F$52,HOUR(C2846)+Inputs!$C$69,MATCH(INDEX(Utility_Rates!$K$6:$K$17,MONTH(C2846))&amp;IF(WEEKDAY(C2846,Inputs!$C$76)&lt;=Inputs!$C$74," weekday"," weekend"),Utility_Rates!$C$28:$F$28,Inputs!$C$68)),"")</f>
      </c>
      <c r="H2846" s="34"/>
      <c r="I2846" s="42">
        <f>IF(AND(ISNUMBER(D2846),ISNUMBER(H2846)),D2846*H2846*Inputs!$C$69,"")</f>
      </c>
      <c r="J2846" s="42">
        <f>IF(AND(ISNUMBER(F2846),ISNUMBER(H2846),F2846&gt;=Inputs!$C$68),F2846*H2846*Inputs!$C$69,"")</f>
      </c>
    </row>
    <row r="2847" spans="2:10" ht="15" customHeight="1" x14ac:dyDescent="0.2">
      <c r="B2847" s="39">
        <f t="shared" si="22"/>
      </c>
      <c r="C2847" s="40">
        <f>IF(Inputs!$C$60,Inputs!$C$11+(B2847-Inputs!$C$69)/Inputs!$C$70,"")</f>
      </c>
      <c r="D2847" s="15"/>
      <c r="E2847" s="15"/>
      <c r="F2847" s="11">
        <f t="shared" si="23"/>
      </c>
      <c r="G2847" s="22" cm="1">
        <f t="array" ref="G2847">IF(AND(Inputs!$C$60,Inputs!$C$61),INDEX(Utility_Rates!$C$29:$F$52,HOUR(C2847)+Inputs!$C$69,MATCH(INDEX(Utility_Rates!$K$6:$K$17,MONTH(C2847))&amp;IF(WEEKDAY(C2847,Inputs!$C$76)&lt;=Inputs!$C$74," weekday"," weekend"),Utility_Rates!$C$28:$F$28,Inputs!$C$68)),"")</f>
      </c>
      <c r="H2847" s="34"/>
      <c r="I2847" s="42">
        <f>IF(AND(ISNUMBER(D2847),ISNUMBER(H2847)),D2847*H2847*Inputs!$C$69,"")</f>
      </c>
      <c r="J2847" s="42">
        <f>IF(AND(ISNUMBER(F2847),ISNUMBER(H2847),F2847&gt;=Inputs!$C$68),F2847*H2847*Inputs!$C$69,"")</f>
      </c>
    </row>
    <row r="2848" spans="2:10" ht="15" customHeight="1" x14ac:dyDescent="0.2">
      <c r="B2848" s="39">
        <f t="shared" si="22"/>
      </c>
      <c r="C2848" s="40">
        <f>IF(Inputs!$C$60,Inputs!$C$11+(B2848-Inputs!$C$69)/Inputs!$C$70,"")</f>
      </c>
      <c r="D2848" s="15"/>
      <c r="E2848" s="15"/>
      <c r="F2848" s="11">
        <f t="shared" si="23"/>
      </c>
      <c r="G2848" s="22" cm="1">
        <f t="array" ref="G2848">IF(AND(Inputs!$C$60,Inputs!$C$61),INDEX(Utility_Rates!$C$29:$F$52,HOUR(C2848)+Inputs!$C$69,MATCH(INDEX(Utility_Rates!$K$6:$K$17,MONTH(C2848))&amp;IF(WEEKDAY(C2848,Inputs!$C$76)&lt;=Inputs!$C$74," weekday"," weekend"),Utility_Rates!$C$28:$F$28,Inputs!$C$68)),"")</f>
      </c>
      <c r="H2848" s="34"/>
      <c r="I2848" s="42">
        <f>IF(AND(ISNUMBER(D2848),ISNUMBER(H2848)),D2848*H2848*Inputs!$C$69,"")</f>
      </c>
      <c r="J2848" s="42">
        <f>IF(AND(ISNUMBER(F2848),ISNUMBER(H2848),F2848&gt;=Inputs!$C$68),F2848*H2848*Inputs!$C$69,"")</f>
      </c>
    </row>
    <row r="2849" spans="2:10" ht="15" customHeight="1" x14ac:dyDescent="0.2">
      <c r="B2849" s="39">
        <f t="shared" si="22"/>
      </c>
      <c r="C2849" s="40">
        <f>IF(Inputs!$C$60,Inputs!$C$11+(B2849-Inputs!$C$69)/Inputs!$C$70,"")</f>
      </c>
      <c r="D2849" s="15"/>
      <c r="E2849" s="15"/>
      <c r="F2849" s="11">
        <f t="shared" si="23"/>
      </c>
      <c r="G2849" s="22" cm="1">
        <f t="array" ref="G2849">IF(AND(Inputs!$C$60,Inputs!$C$61),INDEX(Utility_Rates!$C$29:$F$52,HOUR(C2849)+Inputs!$C$69,MATCH(INDEX(Utility_Rates!$K$6:$K$17,MONTH(C2849))&amp;IF(WEEKDAY(C2849,Inputs!$C$76)&lt;=Inputs!$C$74," weekday"," weekend"),Utility_Rates!$C$28:$F$28,Inputs!$C$68)),"")</f>
      </c>
      <c r="H2849" s="34"/>
      <c r="I2849" s="42">
        <f>IF(AND(ISNUMBER(D2849),ISNUMBER(H2849)),D2849*H2849*Inputs!$C$69,"")</f>
      </c>
      <c r="J2849" s="42">
        <f>IF(AND(ISNUMBER(F2849),ISNUMBER(H2849),F2849&gt;=Inputs!$C$68),F2849*H2849*Inputs!$C$69,"")</f>
      </c>
    </row>
    <row r="2850" spans="2:10" ht="15" customHeight="1" x14ac:dyDescent="0.2">
      <c r="B2850" s="39">
        <f t="shared" si="22"/>
      </c>
      <c r="C2850" s="40">
        <f>IF(Inputs!$C$60,Inputs!$C$11+(B2850-Inputs!$C$69)/Inputs!$C$70,"")</f>
      </c>
      <c r="D2850" s="15"/>
      <c r="E2850" s="15"/>
      <c r="F2850" s="11">
        <f t="shared" si="23"/>
      </c>
      <c r="G2850" s="22" cm="1">
        <f t="array" ref="G2850">IF(AND(Inputs!$C$60,Inputs!$C$61),INDEX(Utility_Rates!$C$29:$F$52,HOUR(C2850)+Inputs!$C$69,MATCH(INDEX(Utility_Rates!$K$6:$K$17,MONTH(C2850))&amp;IF(WEEKDAY(C2850,Inputs!$C$76)&lt;=Inputs!$C$74," weekday"," weekend"),Utility_Rates!$C$28:$F$28,Inputs!$C$68)),"")</f>
      </c>
      <c r="H2850" s="34"/>
      <c r="I2850" s="42">
        <f>IF(AND(ISNUMBER(D2850),ISNUMBER(H2850)),D2850*H2850*Inputs!$C$69,"")</f>
      </c>
      <c r="J2850" s="42">
        <f>IF(AND(ISNUMBER(F2850),ISNUMBER(H2850),F2850&gt;=Inputs!$C$68),F2850*H2850*Inputs!$C$69,"")</f>
      </c>
    </row>
    <row r="2851" spans="2:10" ht="15" customHeight="1" x14ac:dyDescent="0.2">
      <c r="B2851" s="39">
        <f t="shared" si="22"/>
      </c>
      <c r="C2851" s="40">
        <f>IF(Inputs!$C$60,Inputs!$C$11+(B2851-Inputs!$C$69)/Inputs!$C$70,"")</f>
      </c>
      <c r="D2851" s="15"/>
      <c r="E2851" s="15"/>
      <c r="F2851" s="11">
        <f t="shared" si="23"/>
      </c>
      <c r="G2851" s="22" cm="1">
        <f t="array" ref="G2851">IF(AND(Inputs!$C$60,Inputs!$C$61),INDEX(Utility_Rates!$C$29:$F$52,HOUR(C2851)+Inputs!$C$69,MATCH(INDEX(Utility_Rates!$K$6:$K$17,MONTH(C2851))&amp;IF(WEEKDAY(C2851,Inputs!$C$76)&lt;=Inputs!$C$74," weekday"," weekend"),Utility_Rates!$C$28:$F$28,Inputs!$C$68)),"")</f>
      </c>
      <c r="H2851" s="34"/>
      <c r="I2851" s="42">
        <f>IF(AND(ISNUMBER(D2851),ISNUMBER(H2851)),D2851*H2851*Inputs!$C$69,"")</f>
      </c>
      <c r="J2851" s="42">
        <f>IF(AND(ISNUMBER(F2851),ISNUMBER(H2851),F2851&gt;=Inputs!$C$68),F2851*H2851*Inputs!$C$69,"")</f>
      </c>
    </row>
    <row r="2852" spans="2:10" ht="15" customHeight="1" x14ac:dyDescent="0.2">
      <c r="B2852" s="39">
        <f t="shared" si="22"/>
      </c>
      <c r="C2852" s="40">
        <f>IF(Inputs!$C$60,Inputs!$C$11+(B2852-Inputs!$C$69)/Inputs!$C$70,"")</f>
      </c>
      <c r="D2852" s="15"/>
      <c r="E2852" s="15"/>
      <c r="F2852" s="11">
        <f t="shared" si="23"/>
      </c>
      <c r="G2852" s="22" cm="1">
        <f t="array" ref="G2852">IF(AND(Inputs!$C$60,Inputs!$C$61),INDEX(Utility_Rates!$C$29:$F$52,HOUR(C2852)+Inputs!$C$69,MATCH(INDEX(Utility_Rates!$K$6:$K$17,MONTH(C2852))&amp;IF(WEEKDAY(C2852,Inputs!$C$76)&lt;=Inputs!$C$74," weekday"," weekend"),Utility_Rates!$C$28:$F$28,Inputs!$C$68)),"")</f>
      </c>
      <c r="H2852" s="34"/>
      <c r="I2852" s="42">
        <f>IF(AND(ISNUMBER(D2852),ISNUMBER(H2852)),D2852*H2852*Inputs!$C$69,"")</f>
      </c>
      <c r="J2852" s="42">
        <f>IF(AND(ISNUMBER(F2852),ISNUMBER(H2852),F2852&gt;=Inputs!$C$68),F2852*H2852*Inputs!$C$69,"")</f>
      </c>
    </row>
    <row r="2853" spans="2:10" ht="15" customHeight="1" x14ac:dyDescent="0.2">
      <c r="B2853" s="39">
        <f t="shared" si="22"/>
      </c>
      <c r="C2853" s="40">
        <f>IF(Inputs!$C$60,Inputs!$C$11+(B2853-Inputs!$C$69)/Inputs!$C$70,"")</f>
      </c>
      <c r="D2853" s="15"/>
      <c r="E2853" s="15"/>
      <c r="F2853" s="11">
        <f t="shared" si="23"/>
      </c>
      <c r="G2853" s="22" cm="1">
        <f t="array" ref="G2853">IF(AND(Inputs!$C$60,Inputs!$C$61),INDEX(Utility_Rates!$C$29:$F$52,HOUR(C2853)+Inputs!$C$69,MATCH(INDEX(Utility_Rates!$K$6:$K$17,MONTH(C2853))&amp;IF(WEEKDAY(C2853,Inputs!$C$76)&lt;=Inputs!$C$74," weekday"," weekend"),Utility_Rates!$C$28:$F$28,Inputs!$C$68)),"")</f>
      </c>
      <c r="H2853" s="34"/>
      <c r="I2853" s="42">
        <f>IF(AND(ISNUMBER(D2853),ISNUMBER(H2853)),D2853*H2853*Inputs!$C$69,"")</f>
      </c>
      <c r="J2853" s="42">
        <f>IF(AND(ISNUMBER(F2853),ISNUMBER(H2853),F2853&gt;=Inputs!$C$68),F2853*H2853*Inputs!$C$69,"")</f>
      </c>
    </row>
    <row r="2854" spans="2:10" ht="15" customHeight="1" x14ac:dyDescent="0.2">
      <c r="B2854" s="39">
        <f t="shared" si="22"/>
      </c>
      <c r="C2854" s="40">
        <f>IF(Inputs!$C$60,Inputs!$C$11+(B2854-Inputs!$C$69)/Inputs!$C$70,"")</f>
      </c>
      <c r="D2854" s="15"/>
      <c r="E2854" s="15"/>
      <c r="F2854" s="11">
        <f t="shared" si="23"/>
      </c>
      <c r="G2854" s="22" cm="1">
        <f t="array" ref="G2854">IF(AND(Inputs!$C$60,Inputs!$C$61),INDEX(Utility_Rates!$C$29:$F$52,HOUR(C2854)+Inputs!$C$69,MATCH(INDEX(Utility_Rates!$K$6:$K$17,MONTH(C2854))&amp;IF(WEEKDAY(C2854,Inputs!$C$76)&lt;=Inputs!$C$74," weekday"," weekend"),Utility_Rates!$C$28:$F$28,Inputs!$C$68)),"")</f>
      </c>
      <c r="H2854" s="34"/>
      <c r="I2854" s="42">
        <f>IF(AND(ISNUMBER(D2854),ISNUMBER(H2854)),D2854*H2854*Inputs!$C$69,"")</f>
      </c>
      <c r="J2854" s="42">
        <f>IF(AND(ISNUMBER(F2854),ISNUMBER(H2854),F2854&gt;=Inputs!$C$68),F2854*H2854*Inputs!$C$69,"")</f>
      </c>
    </row>
    <row r="2855" spans="2:10" ht="15" customHeight="1" x14ac:dyDescent="0.2">
      <c r="B2855" s="39">
        <f t="shared" si="22"/>
      </c>
      <c r="C2855" s="40">
        <f>IF(Inputs!$C$60,Inputs!$C$11+(B2855-Inputs!$C$69)/Inputs!$C$70,"")</f>
      </c>
      <c r="D2855" s="15"/>
      <c r="E2855" s="15"/>
      <c r="F2855" s="11">
        <f t="shared" si="23"/>
      </c>
      <c r="G2855" s="22" cm="1">
        <f t="array" ref="G2855">IF(AND(Inputs!$C$60,Inputs!$C$61),INDEX(Utility_Rates!$C$29:$F$52,HOUR(C2855)+Inputs!$C$69,MATCH(INDEX(Utility_Rates!$K$6:$K$17,MONTH(C2855))&amp;IF(WEEKDAY(C2855,Inputs!$C$76)&lt;=Inputs!$C$74," weekday"," weekend"),Utility_Rates!$C$28:$F$28,Inputs!$C$68)),"")</f>
      </c>
      <c r="H2855" s="34"/>
      <c r="I2855" s="42">
        <f>IF(AND(ISNUMBER(D2855),ISNUMBER(H2855)),D2855*H2855*Inputs!$C$69,"")</f>
      </c>
      <c r="J2855" s="42">
        <f>IF(AND(ISNUMBER(F2855),ISNUMBER(H2855),F2855&gt;=Inputs!$C$68),F2855*H2855*Inputs!$C$69,"")</f>
      </c>
    </row>
    <row r="2856" spans="2:10" ht="15" customHeight="1" x14ac:dyDescent="0.2">
      <c r="B2856" s="39">
        <f t="shared" si="22"/>
      </c>
      <c r="C2856" s="40">
        <f>IF(Inputs!$C$60,Inputs!$C$11+(B2856-Inputs!$C$69)/Inputs!$C$70,"")</f>
      </c>
      <c r="D2856" s="15"/>
      <c r="E2856" s="15"/>
      <c r="F2856" s="11">
        <f t="shared" si="23"/>
      </c>
      <c r="G2856" s="22" cm="1">
        <f t="array" ref="G2856">IF(AND(Inputs!$C$60,Inputs!$C$61),INDEX(Utility_Rates!$C$29:$F$52,HOUR(C2856)+Inputs!$C$69,MATCH(INDEX(Utility_Rates!$K$6:$K$17,MONTH(C2856))&amp;IF(WEEKDAY(C2856,Inputs!$C$76)&lt;=Inputs!$C$74," weekday"," weekend"),Utility_Rates!$C$28:$F$28,Inputs!$C$68)),"")</f>
      </c>
      <c r="H2856" s="34"/>
      <c r="I2856" s="42">
        <f>IF(AND(ISNUMBER(D2856),ISNUMBER(H2856)),D2856*H2856*Inputs!$C$69,"")</f>
      </c>
      <c r="J2856" s="42">
        <f>IF(AND(ISNUMBER(F2856),ISNUMBER(H2856),F2856&gt;=Inputs!$C$68),F2856*H2856*Inputs!$C$69,"")</f>
      </c>
    </row>
    <row r="2857" spans="2:10" ht="15" customHeight="1" x14ac:dyDescent="0.2">
      <c r="B2857" s="39">
        <f t="shared" si="22"/>
      </c>
      <c r="C2857" s="40">
        <f>IF(Inputs!$C$60,Inputs!$C$11+(B2857-Inputs!$C$69)/Inputs!$C$70,"")</f>
      </c>
      <c r="D2857" s="15"/>
      <c r="E2857" s="15"/>
      <c r="F2857" s="11">
        <f t="shared" si="23"/>
      </c>
      <c r="G2857" s="22" cm="1">
        <f t="array" ref="G2857">IF(AND(Inputs!$C$60,Inputs!$C$61),INDEX(Utility_Rates!$C$29:$F$52,HOUR(C2857)+Inputs!$C$69,MATCH(INDEX(Utility_Rates!$K$6:$K$17,MONTH(C2857))&amp;IF(WEEKDAY(C2857,Inputs!$C$76)&lt;=Inputs!$C$74," weekday"," weekend"),Utility_Rates!$C$28:$F$28,Inputs!$C$68)),"")</f>
      </c>
      <c r="H2857" s="34"/>
      <c r="I2857" s="42">
        <f>IF(AND(ISNUMBER(D2857),ISNUMBER(H2857)),D2857*H2857*Inputs!$C$69,"")</f>
      </c>
      <c r="J2857" s="42">
        <f>IF(AND(ISNUMBER(F2857),ISNUMBER(H2857),F2857&gt;=Inputs!$C$68),F2857*H2857*Inputs!$C$69,"")</f>
      </c>
    </row>
    <row r="2858" spans="2:10" ht="15" customHeight="1" x14ac:dyDescent="0.2">
      <c r="B2858" s="39">
        <f t="shared" si="22"/>
      </c>
      <c r="C2858" s="40">
        <f>IF(Inputs!$C$60,Inputs!$C$11+(B2858-Inputs!$C$69)/Inputs!$C$70,"")</f>
      </c>
      <c r="D2858" s="15"/>
      <c r="E2858" s="15"/>
      <c r="F2858" s="11">
        <f t="shared" si="23"/>
      </c>
      <c r="G2858" s="22" cm="1">
        <f t="array" ref="G2858">IF(AND(Inputs!$C$60,Inputs!$C$61),INDEX(Utility_Rates!$C$29:$F$52,HOUR(C2858)+Inputs!$C$69,MATCH(INDEX(Utility_Rates!$K$6:$K$17,MONTH(C2858))&amp;IF(WEEKDAY(C2858,Inputs!$C$76)&lt;=Inputs!$C$74," weekday"," weekend"),Utility_Rates!$C$28:$F$28,Inputs!$C$68)),"")</f>
      </c>
      <c r="H2858" s="34"/>
      <c r="I2858" s="42">
        <f>IF(AND(ISNUMBER(D2858),ISNUMBER(H2858)),D2858*H2858*Inputs!$C$69,"")</f>
      </c>
      <c r="J2858" s="42">
        <f>IF(AND(ISNUMBER(F2858),ISNUMBER(H2858),F2858&gt;=Inputs!$C$68),F2858*H2858*Inputs!$C$69,"")</f>
      </c>
    </row>
    <row r="2859" spans="2:10" ht="15" customHeight="1" x14ac:dyDescent="0.2">
      <c r="B2859" s="39">
        <f t="shared" si="22"/>
      </c>
      <c r="C2859" s="40">
        <f>IF(Inputs!$C$60,Inputs!$C$11+(B2859-Inputs!$C$69)/Inputs!$C$70,"")</f>
      </c>
      <c r="D2859" s="15"/>
      <c r="E2859" s="15"/>
      <c r="F2859" s="11">
        <f t="shared" si="23"/>
      </c>
      <c r="G2859" s="22" cm="1">
        <f t="array" ref="G2859">IF(AND(Inputs!$C$60,Inputs!$C$61),INDEX(Utility_Rates!$C$29:$F$52,HOUR(C2859)+Inputs!$C$69,MATCH(INDEX(Utility_Rates!$K$6:$K$17,MONTH(C2859))&amp;IF(WEEKDAY(C2859,Inputs!$C$76)&lt;=Inputs!$C$74," weekday"," weekend"),Utility_Rates!$C$28:$F$28,Inputs!$C$68)),"")</f>
      </c>
      <c r="H2859" s="34"/>
      <c r="I2859" s="42">
        <f>IF(AND(ISNUMBER(D2859),ISNUMBER(H2859)),D2859*H2859*Inputs!$C$69,"")</f>
      </c>
      <c r="J2859" s="42">
        <f>IF(AND(ISNUMBER(F2859),ISNUMBER(H2859),F2859&gt;=Inputs!$C$68),F2859*H2859*Inputs!$C$69,"")</f>
      </c>
    </row>
    <row r="2860" spans="2:10" ht="15" customHeight="1" x14ac:dyDescent="0.2">
      <c r="B2860" s="39">
        <f t="shared" si="22"/>
      </c>
      <c r="C2860" s="40">
        <f>IF(Inputs!$C$60,Inputs!$C$11+(B2860-Inputs!$C$69)/Inputs!$C$70,"")</f>
      </c>
      <c r="D2860" s="15"/>
      <c r="E2860" s="15"/>
      <c r="F2860" s="11">
        <f t="shared" si="23"/>
      </c>
      <c r="G2860" s="22" cm="1">
        <f t="array" ref="G2860">IF(AND(Inputs!$C$60,Inputs!$C$61),INDEX(Utility_Rates!$C$29:$F$52,HOUR(C2860)+Inputs!$C$69,MATCH(INDEX(Utility_Rates!$K$6:$K$17,MONTH(C2860))&amp;IF(WEEKDAY(C2860,Inputs!$C$76)&lt;=Inputs!$C$74," weekday"," weekend"),Utility_Rates!$C$28:$F$28,Inputs!$C$68)),"")</f>
      </c>
      <c r="H2860" s="34"/>
      <c r="I2860" s="42">
        <f>IF(AND(ISNUMBER(D2860),ISNUMBER(H2860)),D2860*H2860*Inputs!$C$69,"")</f>
      </c>
      <c r="J2860" s="42">
        <f>IF(AND(ISNUMBER(F2860),ISNUMBER(H2860),F2860&gt;=Inputs!$C$68),F2860*H2860*Inputs!$C$69,"")</f>
      </c>
    </row>
    <row r="2861" spans="2:10" ht="15" customHeight="1" x14ac:dyDescent="0.2">
      <c r="B2861" s="39">
        <f t="shared" si="22"/>
      </c>
      <c r="C2861" s="40">
        <f>IF(Inputs!$C$60,Inputs!$C$11+(B2861-Inputs!$C$69)/Inputs!$C$70,"")</f>
      </c>
      <c r="D2861" s="15"/>
      <c r="E2861" s="15"/>
      <c r="F2861" s="11">
        <f t="shared" si="23"/>
      </c>
      <c r="G2861" s="22" cm="1">
        <f t="array" ref="G2861">IF(AND(Inputs!$C$60,Inputs!$C$61),INDEX(Utility_Rates!$C$29:$F$52,HOUR(C2861)+Inputs!$C$69,MATCH(INDEX(Utility_Rates!$K$6:$K$17,MONTH(C2861))&amp;IF(WEEKDAY(C2861,Inputs!$C$76)&lt;=Inputs!$C$74," weekday"," weekend"),Utility_Rates!$C$28:$F$28,Inputs!$C$68)),"")</f>
      </c>
      <c r="H2861" s="34"/>
      <c r="I2861" s="42">
        <f>IF(AND(ISNUMBER(D2861),ISNUMBER(H2861)),D2861*H2861*Inputs!$C$69,"")</f>
      </c>
      <c r="J2861" s="42">
        <f>IF(AND(ISNUMBER(F2861),ISNUMBER(H2861),F2861&gt;=Inputs!$C$68),F2861*H2861*Inputs!$C$69,"")</f>
      </c>
    </row>
    <row r="2862" spans="2:10" ht="15" customHeight="1" x14ac:dyDescent="0.2">
      <c r="B2862" s="39">
        <f t="shared" si="22"/>
      </c>
      <c r="C2862" s="40">
        <f>IF(Inputs!$C$60,Inputs!$C$11+(B2862-Inputs!$C$69)/Inputs!$C$70,"")</f>
      </c>
      <c r="D2862" s="15"/>
      <c r="E2862" s="15"/>
      <c r="F2862" s="11">
        <f t="shared" si="23"/>
      </c>
      <c r="G2862" s="22" cm="1">
        <f t="array" ref="G2862">IF(AND(Inputs!$C$60,Inputs!$C$61),INDEX(Utility_Rates!$C$29:$F$52,HOUR(C2862)+Inputs!$C$69,MATCH(INDEX(Utility_Rates!$K$6:$K$17,MONTH(C2862))&amp;IF(WEEKDAY(C2862,Inputs!$C$76)&lt;=Inputs!$C$74," weekday"," weekend"),Utility_Rates!$C$28:$F$28,Inputs!$C$68)),"")</f>
      </c>
      <c r="H2862" s="34"/>
      <c r="I2862" s="42">
        <f>IF(AND(ISNUMBER(D2862),ISNUMBER(H2862)),D2862*H2862*Inputs!$C$69,"")</f>
      </c>
      <c r="J2862" s="42">
        <f>IF(AND(ISNUMBER(F2862),ISNUMBER(H2862),F2862&gt;=Inputs!$C$68),F2862*H2862*Inputs!$C$69,"")</f>
      </c>
    </row>
    <row r="2863" spans="2:10" ht="15" customHeight="1" x14ac:dyDescent="0.2">
      <c r="B2863" s="39">
        <f t="shared" si="22"/>
      </c>
      <c r="C2863" s="40">
        <f>IF(Inputs!$C$60,Inputs!$C$11+(B2863-Inputs!$C$69)/Inputs!$C$70,"")</f>
      </c>
      <c r="D2863" s="15"/>
      <c r="E2863" s="15"/>
      <c r="F2863" s="11">
        <f t="shared" si="23"/>
      </c>
      <c r="G2863" s="22" cm="1">
        <f t="array" ref="G2863">IF(AND(Inputs!$C$60,Inputs!$C$61),INDEX(Utility_Rates!$C$29:$F$52,HOUR(C2863)+Inputs!$C$69,MATCH(INDEX(Utility_Rates!$K$6:$K$17,MONTH(C2863))&amp;IF(WEEKDAY(C2863,Inputs!$C$76)&lt;=Inputs!$C$74," weekday"," weekend"),Utility_Rates!$C$28:$F$28,Inputs!$C$68)),"")</f>
      </c>
      <c r="H2863" s="34"/>
      <c r="I2863" s="42">
        <f>IF(AND(ISNUMBER(D2863),ISNUMBER(H2863)),D2863*H2863*Inputs!$C$69,"")</f>
      </c>
      <c r="J2863" s="42">
        <f>IF(AND(ISNUMBER(F2863),ISNUMBER(H2863),F2863&gt;=Inputs!$C$68),F2863*H2863*Inputs!$C$69,"")</f>
      </c>
    </row>
    <row r="2864" spans="2:10" ht="15" customHeight="1" x14ac:dyDescent="0.2">
      <c r="B2864" s="39">
        <f t="shared" si="22"/>
      </c>
      <c r="C2864" s="40">
        <f>IF(Inputs!$C$60,Inputs!$C$11+(B2864-Inputs!$C$69)/Inputs!$C$70,"")</f>
      </c>
      <c r="D2864" s="15"/>
      <c r="E2864" s="15"/>
      <c r="F2864" s="11">
        <f t="shared" si="23"/>
      </c>
      <c r="G2864" s="22" cm="1">
        <f t="array" ref="G2864">IF(AND(Inputs!$C$60,Inputs!$C$61),INDEX(Utility_Rates!$C$29:$F$52,HOUR(C2864)+Inputs!$C$69,MATCH(INDEX(Utility_Rates!$K$6:$K$17,MONTH(C2864))&amp;IF(WEEKDAY(C2864,Inputs!$C$76)&lt;=Inputs!$C$74," weekday"," weekend"),Utility_Rates!$C$28:$F$28,Inputs!$C$68)),"")</f>
      </c>
      <c r="H2864" s="34"/>
      <c r="I2864" s="42">
        <f>IF(AND(ISNUMBER(D2864),ISNUMBER(H2864)),D2864*H2864*Inputs!$C$69,"")</f>
      </c>
      <c r="J2864" s="42">
        <f>IF(AND(ISNUMBER(F2864),ISNUMBER(H2864),F2864&gt;=Inputs!$C$68),F2864*H2864*Inputs!$C$69,"")</f>
      </c>
    </row>
    <row r="2865" spans="2:10" ht="15" customHeight="1" x14ac:dyDescent="0.2">
      <c r="B2865" s="39">
        <f t="shared" si="22"/>
      </c>
      <c r="C2865" s="40">
        <f>IF(Inputs!$C$60,Inputs!$C$11+(B2865-Inputs!$C$69)/Inputs!$C$70,"")</f>
      </c>
      <c r="D2865" s="15"/>
      <c r="E2865" s="15"/>
      <c r="F2865" s="11">
        <f t="shared" si="23"/>
      </c>
      <c r="G2865" s="22" cm="1">
        <f t="array" ref="G2865">IF(AND(Inputs!$C$60,Inputs!$C$61),INDEX(Utility_Rates!$C$29:$F$52,HOUR(C2865)+Inputs!$C$69,MATCH(INDEX(Utility_Rates!$K$6:$K$17,MONTH(C2865))&amp;IF(WEEKDAY(C2865,Inputs!$C$76)&lt;=Inputs!$C$74," weekday"," weekend"),Utility_Rates!$C$28:$F$28,Inputs!$C$68)),"")</f>
      </c>
      <c r="H2865" s="34"/>
      <c r="I2865" s="42">
        <f>IF(AND(ISNUMBER(D2865),ISNUMBER(H2865)),D2865*H2865*Inputs!$C$69,"")</f>
      </c>
      <c r="J2865" s="42">
        <f>IF(AND(ISNUMBER(F2865),ISNUMBER(H2865),F2865&gt;=Inputs!$C$68),F2865*H2865*Inputs!$C$69,"")</f>
      </c>
    </row>
    <row r="2866" spans="2:10" ht="15" customHeight="1" x14ac:dyDescent="0.2">
      <c r="B2866" s="39">
        <f t="shared" si="22"/>
      </c>
      <c r="C2866" s="40">
        <f>IF(Inputs!$C$60,Inputs!$C$11+(B2866-Inputs!$C$69)/Inputs!$C$70,"")</f>
      </c>
      <c r="D2866" s="15"/>
      <c r="E2866" s="15"/>
      <c r="F2866" s="11">
        <f t="shared" si="23"/>
      </c>
      <c r="G2866" s="22" cm="1">
        <f t="array" ref="G2866">IF(AND(Inputs!$C$60,Inputs!$C$61),INDEX(Utility_Rates!$C$29:$F$52,HOUR(C2866)+Inputs!$C$69,MATCH(INDEX(Utility_Rates!$K$6:$K$17,MONTH(C2866))&amp;IF(WEEKDAY(C2866,Inputs!$C$76)&lt;=Inputs!$C$74," weekday"," weekend"),Utility_Rates!$C$28:$F$28,Inputs!$C$68)),"")</f>
      </c>
      <c r="H2866" s="34"/>
      <c r="I2866" s="42">
        <f>IF(AND(ISNUMBER(D2866),ISNUMBER(H2866)),D2866*H2866*Inputs!$C$69,"")</f>
      </c>
      <c r="J2866" s="42">
        <f>IF(AND(ISNUMBER(F2866),ISNUMBER(H2866),F2866&gt;=Inputs!$C$68),F2866*H2866*Inputs!$C$69,"")</f>
      </c>
    </row>
    <row r="2867" spans="2:10" ht="15" customHeight="1" x14ac:dyDescent="0.2">
      <c r="B2867" s="39">
        <f t="shared" si="22"/>
      </c>
      <c r="C2867" s="40">
        <f>IF(Inputs!$C$60,Inputs!$C$11+(B2867-Inputs!$C$69)/Inputs!$C$70,"")</f>
      </c>
      <c r="D2867" s="15"/>
      <c r="E2867" s="15"/>
      <c r="F2867" s="11">
        <f t="shared" si="23"/>
      </c>
      <c r="G2867" s="22" cm="1">
        <f t="array" ref="G2867">IF(AND(Inputs!$C$60,Inputs!$C$61),INDEX(Utility_Rates!$C$29:$F$52,HOUR(C2867)+Inputs!$C$69,MATCH(INDEX(Utility_Rates!$K$6:$K$17,MONTH(C2867))&amp;IF(WEEKDAY(C2867,Inputs!$C$76)&lt;=Inputs!$C$74," weekday"," weekend"),Utility_Rates!$C$28:$F$28,Inputs!$C$68)),"")</f>
      </c>
      <c r="H2867" s="34"/>
      <c r="I2867" s="42">
        <f>IF(AND(ISNUMBER(D2867),ISNUMBER(H2867)),D2867*H2867*Inputs!$C$69,"")</f>
      </c>
      <c r="J2867" s="42">
        <f>IF(AND(ISNUMBER(F2867),ISNUMBER(H2867),F2867&gt;=Inputs!$C$68),F2867*H2867*Inputs!$C$69,"")</f>
      </c>
    </row>
    <row r="2868" spans="2:10" ht="15" customHeight="1" x14ac:dyDescent="0.2">
      <c r="B2868" s="39">
        <f t="shared" si="22"/>
      </c>
      <c r="C2868" s="40">
        <f>IF(Inputs!$C$60,Inputs!$C$11+(B2868-Inputs!$C$69)/Inputs!$C$70,"")</f>
      </c>
      <c r="D2868" s="15"/>
      <c r="E2868" s="15"/>
      <c r="F2868" s="11">
        <f t="shared" si="23"/>
      </c>
      <c r="G2868" s="22" cm="1">
        <f t="array" ref="G2868">IF(AND(Inputs!$C$60,Inputs!$C$61),INDEX(Utility_Rates!$C$29:$F$52,HOUR(C2868)+Inputs!$C$69,MATCH(INDEX(Utility_Rates!$K$6:$K$17,MONTH(C2868))&amp;IF(WEEKDAY(C2868,Inputs!$C$76)&lt;=Inputs!$C$74," weekday"," weekend"),Utility_Rates!$C$28:$F$28,Inputs!$C$68)),"")</f>
      </c>
      <c r="H2868" s="34"/>
      <c r="I2868" s="42">
        <f>IF(AND(ISNUMBER(D2868),ISNUMBER(H2868)),D2868*H2868*Inputs!$C$69,"")</f>
      </c>
      <c r="J2868" s="42">
        <f>IF(AND(ISNUMBER(F2868),ISNUMBER(H2868),F2868&gt;=Inputs!$C$68),F2868*H2868*Inputs!$C$69,"")</f>
      </c>
    </row>
    <row r="2869" spans="2:10" ht="15" customHeight="1" x14ac:dyDescent="0.2">
      <c r="B2869" s="39">
        <f t="shared" si="22"/>
      </c>
      <c r="C2869" s="40">
        <f>IF(Inputs!$C$60,Inputs!$C$11+(B2869-Inputs!$C$69)/Inputs!$C$70,"")</f>
      </c>
      <c r="D2869" s="15"/>
      <c r="E2869" s="15"/>
      <c r="F2869" s="11">
        <f t="shared" si="23"/>
      </c>
      <c r="G2869" s="22" cm="1">
        <f t="array" ref="G2869">IF(AND(Inputs!$C$60,Inputs!$C$61),INDEX(Utility_Rates!$C$29:$F$52,HOUR(C2869)+Inputs!$C$69,MATCH(INDEX(Utility_Rates!$K$6:$K$17,MONTH(C2869))&amp;IF(WEEKDAY(C2869,Inputs!$C$76)&lt;=Inputs!$C$74," weekday"," weekend"),Utility_Rates!$C$28:$F$28,Inputs!$C$68)),"")</f>
      </c>
      <c r="H2869" s="34"/>
      <c r="I2869" s="42">
        <f>IF(AND(ISNUMBER(D2869),ISNUMBER(H2869)),D2869*H2869*Inputs!$C$69,"")</f>
      </c>
      <c r="J2869" s="42">
        <f>IF(AND(ISNUMBER(F2869),ISNUMBER(H2869),F2869&gt;=Inputs!$C$68),F2869*H2869*Inputs!$C$69,"")</f>
      </c>
    </row>
    <row r="2870" spans="2:10" ht="15" customHeight="1" x14ac:dyDescent="0.2">
      <c r="B2870" s="39">
        <f t="shared" si="22"/>
      </c>
      <c r="C2870" s="40">
        <f>IF(Inputs!$C$60,Inputs!$C$11+(B2870-Inputs!$C$69)/Inputs!$C$70,"")</f>
      </c>
      <c r="D2870" s="15"/>
      <c r="E2870" s="15"/>
      <c r="F2870" s="11">
        <f t="shared" si="23"/>
      </c>
      <c r="G2870" s="22" cm="1">
        <f t="array" ref="G2870">IF(AND(Inputs!$C$60,Inputs!$C$61),INDEX(Utility_Rates!$C$29:$F$52,HOUR(C2870)+Inputs!$C$69,MATCH(INDEX(Utility_Rates!$K$6:$K$17,MONTH(C2870))&amp;IF(WEEKDAY(C2870,Inputs!$C$76)&lt;=Inputs!$C$74," weekday"," weekend"),Utility_Rates!$C$28:$F$28,Inputs!$C$68)),"")</f>
      </c>
      <c r="H2870" s="34"/>
      <c r="I2870" s="42">
        <f>IF(AND(ISNUMBER(D2870),ISNUMBER(H2870)),D2870*H2870*Inputs!$C$69,"")</f>
      </c>
      <c r="J2870" s="42">
        <f>IF(AND(ISNUMBER(F2870),ISNUMBER(H2870),F2870&gt;=Inputs!$C$68),F2870*H2870*Inputs!$C$69,"")</f>
      </c>
    </row>
    <row r="2871" spans="2:10" ht="15" customHeight="1" x14ac:dyDescent="0.2">
      <c r="B2871" s="39">
        <f t="shared" si="22"/>
      </c>
      <c r="C2871" s="40">
        <f>IF(Inputs!$C$60,Inputs!$C$11+(B2871-Inputs!$C$69)/Inputs!$C$70,"")</f>
      </c>
      <c r="D2871" s="15"/>
      <c r="E2871" s="15"/>
      <c r="F2871" s="11">
        <f t="shared" si="23"/>
      </c>
      <c r="G2871" s="22" cm="1">
        <f t="array" ref="G2871">IF(AND(Inputs!$C$60,Inputs!$C$61),INDEX(Utility_Rates!$C$29:$F$52,HOUR(C2871)+Inputs!$C$69,MATCH(INDEX(Utility_Rates!$K$6:$K$17,MONTH(C2871))&amp;IF(WEEKDAY(C2871,Inputs!$C$76)&lt;=Inputs!$C$74," weekday"," weekend"),Utility_Rates!$C$28:$F$28,Inputs!$C$68)),"")</f>
      </c>
      <c r="H2871" s="34"/>
      <c r="I2871" s="42">
        <f>IF(AND(ISNUMBER(D2871),ISNUMBER(H2871)),D2871*H2871*Inputs!$C$69,"")</f>
      </c>
      <c r="J2871" s="42">
        <f>IF(AND(ISNUMBER(F2871),ISNUMBER(H2871),F2871&gt;=Inputs!$C$68),F2871*H2871*Inputs!$C$69,"")</f>
      </c>
    </row>
    <row r="2872" spans="2:10" ht="15" customHeight="1" x14ac:dyDescent="0.2">
      <c r="B2872" s="39">
        <f t="shared" si="22"/>
      </c>
      <c r="C2872" s="40">
        <f>IF(Inputs!$C$60,Inputs!$C$11+(B2872-Inputs!$C$69)/Inputs!$C$70,"")</f>
      </c>
      <c r="D2872" s="15"/>
      <c r="E2872" s="15"/>
      <c r="F2872" s="11">
        <f t="shared" si="23"/>
      </c>
      <c r="G2872" s="22" cm="1">
        <f t="array" ref="G2872">IF(AND(Inputs!$C$60,Inputs!$C$61),INDEX(Utility_Rates!$C$29:$F$52,HOUR(C2872)+Inputs!$C$69,MATCH(INDEX(Utility_Rates!$K$6:$K$17,MONTH(C2872))&amp;IF(WEEKDAY(C2872,Inputs!$C$76)&lt;=Inputs!$C$74," weekday"," weekend"),Utility_Rates!$C$28:$F$28,Inputs!$C$68)),"")</f>
      </c>
      <c r="H2872" s="34"/>
      <c r="I2872" s="42">
        <f>IF(AND(ISNUMBER(D2872),ISNUMBER(H2872)),D2872*H2872*Inputs!$C$69,"")</f>
      </c>
      <c r="J2872" s="42">
        <f>IF(AND(ISNUMBER(F2872),ISNUMBER(H2872),F2872&gt;=Inputs!$C$68),F2872*H2872*Inputs!$C$69,"")</f>
      </c>
    </row>
    <row r="2873" spans="2:10" ht="15" customHeight="1" x14ac:dyDescent="0.2">
      <c r="B2873" s="39">
        <f t="shared" si="22"/>
      </c>
      <c r="C2873" s="40">
        <f>IF(Inputs!$C$60,Inputs!$C$11+(B2873-Inputs!$C$69)/Inputs!$C$70,"")</f>
      </c>
      <c r="D2873" s="15"/>
      <c r="E2873" s="15"/>
      <c r="F2873" s="11">
        <f t="shared" si="23"/>
      </c>
      <c r="G2873" s="22" cm="1">
        <f t="array" ref="G2873">IF(AND(Inputs!$C$60,Inputs!$C$61),INDEX(Utility_Rates!$C$29:$F$52,HOUR(C2873)+Inputs!$C$69,MATCH(INDEX(Utility_Rates!$K$6:$K$17,MONTH(C2873))&amp;IF(WEEKDAY(C2873,Inputs!$C$76)&lt;=Inputs!$C$74," weekday"," weekend"),Utility_Rates!$C$28:$F$28,Inputs!$C$68)),"")</f>
      </c>
      <c r="H2873" s="34"/>
      <c r="I2873" s="42">
        <f>IF(AND(ISNUMBER(D2873),ISNUMBER(H2873)),D2873*H2873*Inputs!$C$69,"")</f>
      </c>
      <c r="J2873" s="42">
        <f>IF(AND(ISNUMBER(F2873),ISNUMBER(H2873),F2873&gt;=Inputs!$C$68),F2873*H2873*Inputs!$C$69,"")</f>
      </c>
    </row>
    <row r="2874" spans="2:10" ht="15" customHeight="1" x14ac:dyDescent="0.2">
      <c r="B2874" s="39">
        <f t="shared" si="22"/>
      </c>
      <c r="C2874" s="40">
        <f>IF(Inputs!$C$60,Inputs!$C$11+(B2874-Inputs!$C$69)/Inputs!$C$70,"")</f>
      </c>
      <c r="D2874" s="15"/>
      <c r="E2874" s="15"/>
      <c r="F2874" s="11">
        <f t="shared" si="23"/>
      </c>
      <c r="G2874" s="22" cm="1">
        <f t="array" ref="G2874">IF(AND(Inputs!$C$60,Inputs!$C$61),INDEX(Utility_Rates!$C$29:$F$52,HOUR(C2874)+Inputs!$C$69,MATCH(INDEX(Utility_Rates!$K$6:$K$17,MONTH(C2874))&amp;IF(WEEKDAY(C2874,Inputs!$C$76)&lt;=Inputs!$C$74," weekday"," weekend"),Utility_Rates!$C$28:$F$28,Inputs!$C$68)),"")</f>
      </c>
      <c r="H2874" s="34"/>
      <c r="I2874" s="42">
        <f>IF(AND(ISNUMBER(D2874),ISNUMBER(H2874)),D2874*H2874*Inputs!$C$69,"")</f>
      </c>
      <c r="J2874" s="42">
        <f>IF(AND(ISNUMBER(F2874),ISNUMBER(H2874),F2874&gt;=Inputs!$C$68),F2874*H2874*Inputs!$C$69,"")</f>
      </c>
    </row>
    <row r="2875" spans="2:10" ht="15" customHeight="1" x14ac:dyDescent="0.2">
      <c r="B2875" s="39">
        <f t="shared" si="22"/>
      </c>
      <c r="C2875" s="40">
        <f>IF(Inputs!$C$60,Inputs!$C$11+(B2875-Inputs!$C$69)/Inputs!$C$70,"")</f>
      </c>
      <c r="D2875" s="15"/>
      <c r="E2875" s="15"/>
      <c r="F2875" s="11">
        <f t="shared" si="23"/>
      </c>
      <c r="G2875" s="22" cm="1">
        <f t="array" ref="G2875">IF(AND(Inputs!$C$60,Inputs!$C$61),INDEX(Utility_Rates!$C$29:$F$52,HOUR(C2875)+Inputs!$C$69,MATCH(INDEX(Utility_Rates!$K$6:$K$17,MONTH(C2875))&amp;IF(WEEKDAY(C2875,Inputs!$C$76)&lt;=Inputs!$C$74," weekday"," weekend"),Utility_Rates!$C$28:$F$28,Inputs!$C$68)),"")</f>
      </c>
      <c r="H2875" s="34"/>
      <c r="I2875" s="42">
        <f>IF(AND(ISNUMBER(D2875),ISNUMBER(H2875)),D2875*H2875*Inputs!$C$69,"")</f>
      </c>
      <c r="J2875" s="42">
        <f>IF(AND(ISNUMBER(F2875),ISNUMBER(H2875),F2875&gt;=Inputs!$C$68),F2875*H2875*Inputs!$C$69,"")</f>
      </c>
    </row>
    <row r="2876" spans="2:10" ht="15" customHeight="1" x14ac:dyDescent="0.2">
      <c r="B2876" s="39">
        <f t="shared" si="22"/>
      </c>
      <c r="C2876" s="40">
        <f>IF(Inputs!$C$60,Inputs!$C$11+(B2876-Inputs!$C$69)/Inputs!$C$70,"")</f>
      </c>
      <c r="D2876" s="15"/>
      <c r="E2876" s="15"/>
      <c r="F2876" s="11">
        <f t="shared" si="23"/>
      </c>
      <c r="G2876" s="22" cm="1">
        <f t="array" ref="G2876">IF(AND(Inputs!$C$60,Inputs!$C$61),INDEX(Utility_Rates!$C$29:$F$52,HOUR(C2876)+Inputs!$C$69,MATCH(INDEX(Utility_Rates!$K$6:$K$17,MONTH(C2876))&amp;IF(WEEKDAY(C2876,Inputs!$C$76)&lt;=Inputs!$C$74," weekday"," weekend"),Utility_Rates!$C$28:$F$28,Inputs!$C$68)),"")</f>
      </c>
      <c r="H2876" s="34"/>
      <c r="I2876" s="42">
        <f>IF(AND(ISNUMBER(D2876),ISNUMBER(H2876)),D2876*H2876*Inputs!$C$69,"")</f>
      </c>
      <c r="J2876" s="42">
        <f>IF(AND(ISNUMBER(F2876),ISNUMBER(H2876),F2876&gt;=Inputs!$C$68),F2876*H2876*Inputs!$C$69,"")</f>
      </c>
    </row>
    <row r="2877" spans="2:10" ht="15" customHeight="1" x14ac:dyDescent="0.2">
      <c r="B2877" s="39">
        <f t="shared" si="22"/>
      </c>
      <c r="C2877" s="40">
        <f>IF(Inputs!$C$60,Inputs!$C$11+(B2877-Inputs!$C$69)/Inputs!$C$70,"")</f>
      </c>
      <c r="D2877" s="15"/>
      <c r="E2877" s="15"/>
      <c r="F2877" s="11">
        <f t="shared" si="23"/>
      </c>
      <c r="G2877" s="22" cm="1">
        <f t="array" ref="G2877">IF(AND(Inputs!$C$60,Inputs!$C$61),INDEX(Utility_Rates!$C$29:$F$52,HOUR(C2877)+Inputs!$C$69,MATCH(INDEX(Utility_Rates!$K$6:$K$17,MONTH(C2877))&amp;IF(WEEKDAY(C2877,Inputs!$C$76)&lt;=Inputs!$C$74," weekday"," weekend"),Utility_Rates!$C$28:$F$28,Inputs!$C$68)),"")</f>
      </c>
      <c r="H2877" s="34"/>
      <c r="I2877" s="42">
        <f>IF(AND(ISNUMBER(D2877),ISNUMBER(H2877)),D2877*H2877*Inputs!$C$69,"")</f>
      </c>
      <c r="J2877" s="42">
        <f>IF(AND(ISNUMBER(F2877),ISNUMBER(H2877),F2877&gt;=Inputs!$C$68),F2877*H2877*Inputs!$C$69,"")</f>
      </c>
    </row>
    <row r="2878" spans="2:10" ht="15" customHeight="1" x14ac:dyDescent="0.2">
      <c r="B2878" s="39">
        <f t="shared" si="22"/>
      </c>
      <c r="C2878" s="40">
        <f>IF(Inputs!$C$60,Inputs!$C$11+(B2878-Inputs!$C$69)/Inputs!$C$70,"")</f>
      </c>
      <c r="D2878" s="15"/>
      <c r="E2878" s="15"/>
      <c r="F2878" s="11">
        <f t="shared" si="23"/>
      </c>
      <c r="G2878" s="22" cm="1">
        <f t="array" ref="G2878">IF(AND(Inputs!$C$60,Inputs!$C$61),INDEX(Utility_Rates!$C$29:$F$52,HOUR(C2878)+Inputs!$C$69,MATCH(INDEX(Utility_Rates!$K$6:$K$17,MONTH(C2878))&amp;IF(WEEKDAY(C2878,Inputs!$C$76)&lt;=Inputs!$C$74," weekday"," weekend"),Utility_Rates!$C$28:$F$28,Inputs!$C$68)),"")</f>
      </c>
      <c r="H2878" s="34"/>
      <c r="I2878" s="42">
        <f>IF(AND(ISNUMBER(D2878),ISNUMBER(H2878)),D2878*H2878*Inputs!$C$69,"")</f>
      </c>
      <c r="J2878" s="42">
        <f>IF(AND(ISNUMBER(F2878),ISNUMBER(H2878),F2878&gt;=Inputs!$C$68),F2878*H2878*Inputs!$C$69,"")</f>
      </c>
    </row>
    <row r="2879" spans="2:10" ht="15" customHeight="1" x14ac:dyDescent="0.2">
      <c r="B2879" s="39">
        <f t="shared" si="22"/>
      </c>
      <c r="C2879" s="40">
        <f>IF(Inputs!$C$60,Inputs!$C$11+(B2879-Inputs!$C$69)/Inputs!$C$70,"")</f>
      </c>
      <c r="D2879" s="15"/>
      <c r="E2879" s="15"/>
      <c r="F2879" s="11">
        <f t="shared" si="23"/>
      </c>
      <c r="G2879" s="22" cm="1">
        <f t="array" ref="G2879">IF(AND(Inputs!$C$60,Inputs!$C$61),INDEX(Utility_Rates!$C$29:$F$52,HOUR(C2879)+Inputs!$C$69,MATCH(INDEX(Utility_Rates!$K$6:$K$17,MONTH(C2879))&amp;IF(WEEKDAY(C2879,Inputs!$C$76)&lt;=Inputs!$C$74," weekday"," weekend"),Utility_Rates!$C$28:$F$28,Inputs!$C$68)),"")</f>
      </c>
      <c r="H2879" s="34"/>
      <c r="I2879" s="42">
        <f>IF(AND(ISNUMBER(D2879),ISNUMBER(H2879)),D2879*H2879*Inputs!$C$69,"")</f>
      </c>
      <c r="J2879" s="42">
        <f>IF(AND(ISNUMBER(F2879),ISNUMBER(H2879),F2879&gt;=Inputs!$C$68),F2879*H2879*Inputs!$C$69,"")</f>
      </c>
    </row>
    <row r="2880" spans="2:10" ht="15" customHeight="1" x14ac:dyDescent="0.2">
      <c r="B2880" s="39">
        <f t="shared" si="22"/>
      </c>
      <c r="C2880" s="40">
        <f>IF(Inputs!$C$60,Inputs!$C$11+(B2880-Inputs!$C$69)/Inputs!$C$70,"")</f>
      </c>
      <c r="D2880" s="15"/>
      <c r="E2880" s="15"/>
      <c r="F2880" s="11">
        <f t="shared" si="23"/>
      </c>
      <c r="G2880" s="22" cm="1">
        <f t="array" ref="G2880">IF(AND(Inputs!$C$60,Inputs!$C$61),INDEX(Utility_Rates!$C$29:$F$52,HOUR(C2880)+Inputs!$C$69,MATCH(INDEX(Utility_Rates!$K$6:$K$17,MONTH(C2880))&amp;IF(WEEKDAY(C2880,Inputs!$C$76)&lt;=Inputs!$C$74," weekday"," weekend"),Utility_Rates!$C$28:$F$28,Inputs!$C$68)),"")</f>
      </c>
      <c r="H2880" s="34"/>
      <c r="I2880" s="42">
        <f>IF(AND(ISNUMBER(D2880),ISNUMBER(H2880)),D2880*H2880*Inputs!$C$69,"")</f>
      </c>
      <c r="J2880" s="42">
        <f>IF(AND(ISNUMBER(F2880),ISNUMBER(H2880),F2880&gt;=Inputs!$C$68),F2880*H2880*Inputs!$C$69,"")</f>
      </c>
    </row>
    <row r="2881" spans="2:10" ht="15" customHeight="1" x14ac:dyDescent="0.2">
      <c r="B2881" s="39">
        <f t="shared" si="22"/>
      </c>
      <c r="C2881" s="40">
        <f>IF(Inputs!$C$60,Inputs!$C$11+(B2881-Inputs!$C$69)/Inputs!$C$70,"")</f>
      </c>
      <c r="D2881" s="15"/>
      <c r="E2881" s="15"/>
      <c r="F2881" s="11">
        <f t="shared" si="23"/>
      </c>
      <c r="G2881" s="22" cm="1">
        <f t="array" ref="G2881">IF(AND(Inputs!$C$60,Inputs!$C$61),INDEX(Utility_Rates!$C$29:$F$52,HOUR(C2881)+Inputs!$C$69,MATCH(INDEX(Utility_Rates!$K$6:$K$17,MONTH(C2881))&amp;IF(WEEKDAY(C2881,Inputs!$C$76)&lt;=Inputs!$C$74," weekday"," weekend"),Utility_Rates!$C$28:$F$28,Inputs!$C$68)),"")</f>
      </c>
      <c r="H2881" s="34"/>
      <c r="I2881" s="42">
        <f>IF(AND(ISNUMBER(D2881),ISNUMBER(H2881)),D2881*H2881*Inputs!$C$69,"")</f>
      </c>
      <c r="J2881" s="42">
        <f>IF(AND(ISNUMBER(F2881),ISNUMBER(H2881),F2881&gt;=Inputs!$C$68),F2881*H2881*Inputs!$C$69,"")</f>
      </c>
    </row>
    <row r="2882" spans="2:10" ht="15" customHeight="1" x14ac:dyDescent="0.2">
      <c r="B2882" s="39">
        <f t="shared" si="22"/>
      </c>
      <c r="C2882" s="40">
        <f>IF(Inputs!$C$60,Inputs!$C$11+(B2882-Inputs!$C$69)/Inputs!$C$70,"")</f>
      </c>
      <c r="D2882" s="15"/>
      <c r="E2882" s="15"/>
      <c r="F2882" s="11">
        <f t="shared" si="23"/>
      </c>
      <c r="G2882" s="22" cm="1">
        <f t="array" ref="G2882">IF(AND(Inputs!$C$60,Inputs!$C$61),INDEX(Utility_Rates!$C$29:$F$52,HOUR(C2882)+Inputs!$C$69,MATCH(INDEX(Utility_Rates!$K$6:$K$17,MONTH(C2882))&amp;IF(WEEKDAY(C2882,Inputs!$C$76)&lt;=Inputs!$C$74," weekday"," weekend"),Utility_Rates!$C$28:$F$28,Inputs!$C$68)),"")</f>
      </c>
      <c r="H2882" s="34"/>
      <c r="I2882" s="42">
        <f>IF(AND(ISNUMBER(D2882),ISNUMBER(H2882)),D2882*H2882*Inputs!$C$69,"")</f>
      </c>
      <c r="J2882" s="42">
        <f>IF(AND(ISNUMBER(F2882),ISNUMBER(H2882),F2882&gt;=Inputs!$C$68),F2882*H2882*Inputs!$C$69,"")</f>
      </c>
    </row>
    <row r="2883" spans="2:10" ht="15" customHeight="1" x14ac:dyDescent="0.2">
      <c r="B2883" s="39">
        <f t="shared" si="22"/>
      </c>
      <c r="C2883" s="40">
        <f>IF(Inputs!$C$60,Inputs!$C$11+(B2883-Inputs!$C$69)/Inputs!$C$70,"")</f>
      </c>
      <c r="D2883" s="15"/>
      <c r="E2883" s="15"/>
      <c r="F2883" s="11">
        <f t="shared" si="23"/>
      </c>
      <c r="G2883" s="22" cm="1">
        <f t="array" ref="G2883">IF(AND(Inputs!$C$60,Inputs!$C$61),INDEX(Utility_Rates!$C$29:$F$52,HOUR(C2883)+Inputs!$C$69,MATCH(INDEX(Utility_Rates!$K$6:$K$17,MONTH(C2883))&amp;IF(WEEKDAY(C2883,Inputs!$C$76)&lt;=Inputs!$C$74," weekday"," weekend"),Utility_Rates!$C$28:$F$28,Inputs!$C$68)),"")</f>
      </c>
      <c r="H2883" s="34"/>
      <c r="I2883" s="42">
        <f>IF(AND(ISNUMBER(D2883),ISNUMBER(H2883)),D2883*H2883*Inputs!$C$69,"")</f>
      </c>
      <c r="J2883" s="42">
        <f>IF(AND(ISNUMBER(F2883),ISNUMBER(H2883),F2883&gt;=Inputs!$C$68),F2883*H2883*Inputs!$C$69,"")</f>
      </c>
    </row>
    <row r="2884" spans="2:10" ht="15" customHeight="1" x14ac:dyDescent="0.2">
      <c r="B2884" s="39">
        <f t="shared" si="22"/>
      </c>
      <c r="C2884" s="40">
        <f>IF(Inputs!$C$60,Inputs!$C$11+(B2884-Inputs!$C$69)/Inputs!$C$70,"")</f>
      </c>
      <c r="D2884" s="15"/>
      <c r="E2884" s="15"/>
      <c r="F2884" s="11">
        <f t="shared" si="23"/>
      </c>
      <c r="G2884" s="22" cm="1">
        <f t="array" ref="G2884">IF(AND(Inputs!$C$60,Inputs!$C$61),INDEX(Utility_Rates!$C$29:$F$52,HOUR(C2884)+Inputs!$C$69,MATCH(INDEX(Utility_Rates!$K$6:$K$17,MONTH(C2884))&amp;IF(WEEKDAY(C2884,Inputs!$C$76)&lt;=Inputs!$C$74," weekday"," weekend"),Utility_Rates!$C$28:$F$28,Inputs!$C$68)),"")</f>
      </c>
      <c r="H2884" s="34"/>
      <c r="I2884" s="42">
        <f>IF(AND(ISNUMBER(D2884),ISNUMBER(H2884)),D2884*H2884*Inputs!$C$69,"")</f>
      </c>
      <c r="J2884" s="42">
        <f>IF(AND(ISNUMBER(F2884),ISNUMBER(H2884),F2884&gt;=Inputs!$C$68),F2884*H2884*Inputs!$C$69,"")</f>
      </c>
    </row>
    <row r="2885" spans="2:10" ht="15" customHeight="1" x14ac:dyDescent="0.2">
      <c r="B2885" s="39">
        <f t="shared" si="22"/>
      </c>
      <c r="C2885" s="40">
        <f>IF(Inputs!$C$60,Inputs!$C$11+(B2885-Inputs!$C$69)/Inputs!$C$70,"")</f>
      </c>
      <c r="D2885" s="15"/>
      <c r="E2885" s="15"/>
      <c r="F2885" s="11">
        <f t="shared" si="23"/>
      </c>
      <c r="G2885" s="22" cm="1">
        <f t="array" ref="G2885">IF(AND(Inputs!$C$60,Inputs!$C$61),INDEX(Utility_Rates!$C$29:$F$52,HOUR(C2885)+Inputs!$C$69,MATCH(INDEX(Utility_Rates!$K$6:$K$17,MONTH(C2885))&amp;IF(WEEKDAY(C2885,Inputs!$C$76)&lt;=Inputs!$C$74," weekday"," weekend"),Utility_Rates!$C$28:$F$28,Inputs!$C$68)),"")</f>
      </c>
      <c r="H2885" s="34"/>
      <c r="I2885" s="42">
        <f>IF(AND(ISNUMBER(D2885),ISNUMBER(H2885)),D2885*H2885*Inputs!$C$69,"")</f>
      </c>
      <c r="J2885" s="42">
        <f>IF(AND(ISNUMBER(F2885),ISNUMBER(H2885),F2885&gt;=Inputs!$C$68),F2885*H2885*Inputs!$C$69,"")</f>
      </c>
    </row>
    <row r="2886" spans="2:10" ht="15" customHeight="1" x14ac:dyDescent="0.2">
      <c r="B2886" s="39">
        <f t="shared" si="22"/>
      </c>
      <c r="C2886" s="40">
        <f>IF(Inputs!$C$60,Inputs!$C$11+(B2886-Inputs!$C$69)/Inputs!$C$70,"")</f>
      </c>
      <c r="D2886" s="15"/>
      <c r="E2886" s="15"/>
      <c r="F2886" s="11">
        <f t="shared" si="23"/>
      </c>
      <c r="G2886" s="22" cm="1">
        <f t="array" ref="G2886">IF(AND(Inputs!$C$60,Inputs!$C$61),INDEX(Utility_Rates!$C$29:$F$52,HOUR(C2886)+Inputs!$C$69,MATCH(INDEX(Utility_Rates!$K$6:$K$17,MONTH(C2886))&amp;IF(WEEKDAY(C2886,Inputs!$C$76)&lt;=Inputs!$C$74," weekday"," weekend"),Utility_Rates!$C$28:$F$28,Inputs!$C$68)),"")</f>
      </c>
      <c r="H2886" s="34"/>
      <c r="I2886" s="42">
        <f>IF(AND(ISNUMBER(D2886),ISNUMBER(H2886)),D2886*H2886*Inputs!$C$69,"")</f>
      </c>
      <c r="J2886" s="42">
        <f>IF(AND(ISNUMBER(F2886),ISNUMBER(H2886),F2886&gt;=Inputs!$C$68),F2886*H2886*Inputs!$C$69,"")</f>
      </c>
    </row>
    <row r="2887" spans="2:10" ht="15" customHeight="1" x14ac:dyDescent="0.2">
      <c r="B2887" s="39">
        <f t="shared" si="22"/>
      </c>
      <c r="C2887" s="40">
        <f>IF(Inputs!$C$60,Inputs!$C$11+(B2887-Inputs!$C$69)/Inputs!$C$70,"")</f>
      </c>
      <c r="D2887" s="15"/>
      <c r="E2887" s="15"/>
      <c r="F2887" s="11">
        <f t="shared" si="23"/>
      </c>
      <c r="G2887" s="22" cm="1">
        <f t="array" ref="G2887">IF(AND(Inputs!$C$60,Inputs!$C$61),INDEX(Utility_Rates!$C$29:$F$52,HOUR(C2887)+Inputs!$C$69,MATCH(INDEX(Utility_Rates!$K$6:$K$17,MONTH(C2887))&amp;IF(WEEKDAY(C2887,Inputs!$C$76)&lt;=Inputs!$C$74," weekday"," weekend"),Utility_Rates!$C$28:$F$28,Inputs!$C$68)),"")</f>
      </c>
      <c r="H2887" s="34"/>
      <c r="I2887" s="42">
        <f>IF(AND(ISNUMBER(D2887),ISNUMBER(H2887)),D2887*H2887*Inputs!$C$69,"")</f>
      </c>
      <c r="J2887" s="42">
        <f>IF(AND(ISNUMBER(F2887),ISNUMBER(H2887),F2887&gt;=Inputs!$C$68),F2887*H2887*Inputs!$C$69,"")</f>
      </c>
    </row>
    <row r="2888" spans="2:10" ht="15" customHeight="1" x14ac:dyDescent="0.2">
      <c r="B2888" s="39">
        <f t="shared" si="22"/>
      </c>
      <c r="C2888" s="40">
        <f>IF(Inputs!$C$60,Inputs!$C$11+(B2888-Inputs!$C$69)/Inputs!$C$70,"")</f>
      </c>
      <c r="D2888" s="15"/>
      <c r="E2888" s="15"/>
      <c r="F2888" s="11">
        <f t="shared" si="23"/>
      </c>
      <c r="G2888" s="22" cm="1">
        <f t="array" ref="G2888">IF(AND(Inputs!$C$60,Inputs!$C$61),INDEX(Utility_Rates!$C$29:$F$52,HOUR(C2888)+Inputs!$C$69,MATCH(INDEX(Utility_Rates!$K$6:$K$17,MONTH(C2888))&amp;IF(WEEKDAY(C2888,Inputs!$C$76)&lt;=Inputs!$C$74," weekday"," weekend"),Utility_Rates!$C$28:$F$28,Inputs!$C$68)),"")</f>
      </c>
      <c r="H2888" s="34"/>
      <c r="I2888" s="42">
        <f>IF(AND(ISNUMBER(D2888),ISNUMBER(H2888)),D2888*H2888*Inputs!$C$69,"")</f>
      </c>
      <c r="J2888" s="42">
        <f>IF(AND(ISNUMBER(F2888),ISNUMBER(H2888),F2888&gt;=Inputs!$C$68),F2888*H2888*Inputs!$C$69,"")</f>
      </c>
    </row>
    <row r="2889" spans="2:10" ht="15" customHeight="1" x14ac:dyDescent="0.2">
      <c r="B2889" s="39">
        <f t="shared" si="22"/>
      </c>
      <c r="C2889" s="40">
        <f>IF(Inputs!$C$60,Inputs!$C$11+(B2889-Inputs!$C$69)/Inputs!$C$70,"")</f>
      </c>
      <c r="D2889" s="15"/>
      <c r="E2889" s="15"/>
      <c r="F2889" s="11">
        <f t="shared" si="23"/>
      </c>
      <c r="G2889" s="22" cm="1">
        <f t="array" ref="G2889">IF(AND(Inputs!$C$60,Inputs!$C$61),INDEX(Utility_Rates!$C$29:$F$52,HOUR(C2889)+Inputs!$C$69,MATCH(INDEX(Utility_Rates!$K$6:$K$17,MONTH(C2889))&amp;IF(WEEKDAY(C2889,Inputs!$C$76)&lt;=Inputs!$C$74," weekday"," weekend"),Utility_Rates!$C$28:$F$28,Inputs!$C$68)),"")</f>
      </c>
      <c r="H2889" s="34"/>
      <c r="I2889" s="42">
        <f>IF(AND(ISNUMBER(D2889),ISNUMBER(H2889)),D2889*H2889*Inputs!$C$69,"")</f>
      </c>
      <c r="J2889" s="42">
        <f>IF(AND(ISNUMBER(F2889),ISNUMBER(H2889),F2889&gt;=Inputs!$C$68),F2889*H2889*Inputs!$C$69,"")</f>
      </c>
    </row>
    <row r="2890" spans="2:10" ht="15" customHeight="1" x14ac:dyDescent="0.2">
      <c r="B2890" s="39">
        <f t="shared" si="22"/>
      </c>
      <c r="C2890" s="40">
        <f>IF(Inputs!$C$60,Inputs!$C$11+(B2890-Inputs!$C$69)/Inputs!$C$70,"")</f>
      </c>
      <c r="D2890" s="15"/>
      <c r="E2890" s="15"/>
      <c r="F2890" s="11">
        <f t="shared" si="23"/>
      </c>
      <c r="G2890" s="22" cm="1">
        <f t="array" ref="G2890">IF(AND(Inputs!$C$60,Inputs!$C$61),INDEX(Utility_Rates!$C$29:$F$52,HOUR(C2890)+Inputs!$C$69,MATCH(INDEX(Utility_Rates!$K$6:$K$17,MONTH(C2890))&amp;IF(WEEKDAY(C2890,Inputs!$C$76)&lt;=Inputs!$C$74," weekday"," weekend"),Utility_Rates!$C$28:$F$28,Inputs!$C$68)),"")</f>
      </c>
      <c r="H2890" s="34"/>
      <c r="I2890" s="42">
        <f>IF(AND(ISNUMBER(D2890),ISNUMBER(H2890)),D2890*H2890*Inputs!$C$69,"")</f>
      </c>
      <c r="J2890" s="42">
        <f>IF(AND(ISNUMBER(F2890),ISNUMBER(H2890),F2890&gt;=Inputs!$C$68),F2890*H2890*Inputs!$C$69,"")</f>
      </c>
    </row>
    <row r="2891" spans="2:10" ht="15" customHeight="1" x14ac:dyDescent="0.2">
      <c r="B2891" s="39">
        <f t="shared" si="22"/>
      </c>
      <c r="C2891" s="40">
        <f>IF(Inputs!$C$60,Inputs!$C$11+(B2891-Inputs!$C$69)/Inputs!$C$70,"")</f>
      </c>
      <c r="D2891" s="15"/>
      <c r="E2891" s="15"/>
      <c r="F2891" s="11">
        <f t="shared" si="23"/>
      </c>
      <c r="G2891" s="22" cm="1">
        <f t="array" ref="G2891">IF(AND(Inputs!$C$60,Inputs!$C$61),INDEX(Utility_Rates!$C$29:$F$52,HOUR(C2891)+Inputs!$C$69,MATCH(INDEX(Utility_Rates!$K$6:$K$17,MONTH(C2891))&amp;IF(WEEKDAY(C2891,Inputs!$C$76)&lt;=Inputs!$C$74," weekday"," weekend"),Utility_Rates!$C$28:$F$28,Inputs!$C$68)),"")</f>
      </c>
      <c r="H2891" s="34"/>
      <c r="I2891" s="42">
        <f>IF(AND(ISNUMBER(D2891),ISNUMBER(H2891)),D2891*H2891*Inputs!$C$69,"")</f>
      </c>
      <c r="J2891" s="42">
        <f>IF(AND(ISNUMBER(F2891),ISNUMBER(H2891),F2891&gt;=Inputs!$C$68),F2891*H2891*Inputs!$C$69,"")</f>
      </c>
    </row>
    <row r="2892" spans="2:10" ht="15" customHeight="1" x14ac:dyDescent="0.2">
      <c r="B2892" s="39">
        <f t="shared" si="22"/>
      </c>
      <c r="C2892" s="40">
        <f>IF(Inputs!$C$60,Inputs!$C$11+(B2892-Inputs!$C$69)/Inputs!$C$70,"")</f>
      </c>
      <c r="D2892" s="15"/>
      <c r="E2892" s="15"/>
      <c r="F2892" s="11">
        <f t="shared" si="23"/>
      </c>
      <c r="G2892" s="22" cm="1">
        <f t="array" ref="G2892">IF(AND(Inputs!$C$60,Inputs!$C$61),INDEX(Utility_Rates!$C$29:$F$52,HOUR(C2892)+Inputs!$C$69,MATCH(INDEX(Utility_Rates!$K$6:$K$17,MONTH(C2892))&amp;IF(WEEKDAY(C2892,Inputs!$C$76)&lt;=Inputs!$C$74," weekday"," weekend"),Utility_Rates!$C$28:$F$28,Inputs!$C$68)),"")</f>
      </c>
      <c r="H2892" s="34"/>
      <c r="I2892" s="42">
        <f>IF(AND(ISNUMBER(D2892),ISNUMBER(H2892)),D2892*H2892*Inputs!$C$69,"")</f>
      </c>
      <c r="J2892" s="42">
        <f>IF(AND(ISNUMBER(F2892),ISNUMBER(H2892),F2892&gt;=Inputs!$C$68),F2892*H2892*Inputs!$C$69,"")</f>
      </c>
    </row>
    <row r="2893" spans="2:10" ht="15" customHeight="1" x14ac:dyDescent="0.2">
      <c r="B2893" s="39">
        <f t="shared" si="22"/>
      </c>
      <c r="C2893" s="40">
        <f>IF(Inputs!$C$60,Inputs!$C$11+(B2893-Inputs!$C$69)/Inputs!$C$70,"")</f>
      </c>
      <c r="D2893" s="15"/>
      <c r="E2893" s="15"/>
      <c r="F2893" s="11">
        <f t="shared" si="23"/>
      </c>
      <c r="G2893" s="22" cm="1">
        <f t="array" ref="G2893">IF(AND(Inputs!$C$60,Inputs!$C$61),INDEX(Utility_Rates!$C$29:$F$52,HOUR(C2893)+Inputs!$C$69,MATCH(INDEX(Utility_Rates!$K$6:$K$17,MONTH(C2893))&amp;IF(WEEKDAY(C2893,Inputs!$C$76)&lt;=Inputs!$C$74," weekday"," weekend"),Utility_Rates!$C$28:$F$28,Inputs!$C$68)),"")</f>
      </c>
      <c r="H2893" s="34"/>
      <c r="I2893" s="42">
        <f>IF(AND(ISNUMBER(D2893),ISNUMBER(H2893)),D2893*H2893*Inputs!$C$69,"")</f>
      </c>
      <c r="J2893" s="42">
        <f>IF(AND(ISNUMBER(F2893),ISNUMBER(H2893),F2893&gt;=Inputs!$C$68),F2893*H2893*Inputs!$C$69,"")</f>
      </c>
    </row>
    <row r="2894" spans="2:10" ht="15" customHeight="1" x14ac:dyDescent="0.2">
      <c r="B2894" s="39">
        <f t="shared" si="22"/>
      </c>
      <c r="C2894" s="40">
        <f>IF(Inputs!$C$60,Inputs!$C$11+(B2894-Inputs!$C$69)/Inputs!$C$70,"")</f>
      </c>
      <c r="D2894" s="15"/>
      <c r="E2894" s="15"/>
      <c r="F2894" s="11">
        <f t="shared" si="23"/>
      </c>
      <c r="G2894" s="22" cm="1">
        <f t="array" ref="G2894">IF(AND(Inputs!$C$60,Inputs!$C$61),INDEX(Utility_Rates!$C$29:$F$52,HOUR(C2894)+Inputs!$C$69,MATCH(INDEX(Utility_Rates!$K$6:$K$17,MONTH(C2894))&amp;IF(WEEKDAY(C2894,Inputs!$C$76)&lt;=Inputs!$C$74," weekday"," weekend"),Utility_Rates!$C$28:$F$28,Inputs!$C$68)),"")</f>
      </c>
      <c r="H2894" s="34"/>
      <c r="I2894" s="42">
        <f>IF(AND(ISNUMBER(D2894),ISNUMBER(H2894)),D2894*H2894*Inputs!$C$69,"")</f>
      </c>
      <c r="J2894" s="42">
        <f>IF(AND(ISNUMBER(F2894),ISNUMBER(H2894),F2894&gt;=Inputs!$C$68),F2894*H2894*Inputs!$C$69,"")</f>
      </c>
    </row>
    <row r="2895" spans="2:10" ht="15" customHeight="1" x14ac:dyDescent="0.2">
      <c r="B2895" s="39">
        <f t="shared" si="22"/>
      </c>
      <c r="C2895" s="40">
        <f>IF(Inputs!$C$60,Inputs!$C$11+(B2895-Inputs!$C$69)/Inputs!$C$70,"")</f>
      </c>
      <c r="D2895" s="15"/>
      <c r="E2895" s="15"/>
      <c r="F2895" s="11">
        <f t="shared" si="23"/>
      </c>
      <c r="G2895" s="22" cm="1">
        <f t="array" ref="G2895">IF(AND(Inputs!$C$60,Inputs!$C$61),INDEX(Utility_Rates!$C$29:$F$52,HOUR(C2895)+Inputs!$C$69,MATCH(INDEX(Utility_Rates!$K$6:$K$17,MONTH(C2895))&amp;IF(WEEKDAY(C2895,Inputs!$C$76)&lt;=Inputs!$C$74," weekday"," weekend"),Utility_Rates!$C$28:$F$28,Inputs!$C$68)),"")</f>
      </c>
      <c r="H2895" s="34"/>
      <c r="I2895" s="42">
        <f>IF(AND(ISNUMBER(D2895),ISNUMBER(H2895)),D2895*H2895*Inputs!$C$69,"")</f>
      </c>
      <c r="J2895" s="42">
        <f>IF(AND(ISNUMBER(F2895),ISNUMBER(H2895),F2895&gt;=Inputs!$C$68),F2895*H2895*Inputs!$C$69,"")</f>
      </c>
    </row>
    <row r="2896" spans="2:10" ht="15" customHeight="1" x14ac:dyDescent="0.2">
      <c r="B2896" s="39">
        <f t="shared" si="22"/>
      </c>
      <c r="C2896" s="40">
        <f>IF(Inputs!$C$60,Inputs!$C$11+(B2896-Inputs!$C$69)/Inputs!$C$70,"")</f>
      </c>
      <c r="D2896" s="15"/>
      <c r="E2896" s="15"/>
      <c r="F2896" s="11">
        <f t="shared" si="23"/>
      </c>
      <c r="G2896" s="22" cm="1">
        <f t="array" ref="G2896">IF(AND(Inputs!$C$60,Inputs!$C$61),INDEX(Utility_Rates!$C$29:$F$52,HOUR(C2896)+Inputs!$C$69,MATCH(INDEX(Utility_Rates!$K$6:$K$17,MONTH(C2896))&amp;IF(WEEKDAY(C2896,Inputs!$C$76)&lt;=Inputs!$C$74," weekday"," weekend"),Utility_Rates!$C$28:$F$28,Inputs!$C$68)),"")</f>
      </c>
      <c r="H2896" s="34"/>
      <c r="I2896" s="42">
        <f>IF(AND(ISNUMBER(D2896),ISNUMBER(H2896)),D2896*H2896*Inputs!$C$69,"")</f>
      </c>
      <c r="J2896" s="42">
        <f>IF(AND(ISNUMBER(F2896),ISNUMBER(H2896),F2896&gt;=Inputs!$C$68),F2896*H2896*Inputs!$C$69,"")</f>
      </c>
    </row>
    <row r="2897" spans="2:10" ht="15" customHeight="1" x14ac:dyDescent="0.2">
      <c r="B2897" s="39">
        <f t="shared" si="22"/>
      </c>
      <c r="C2897" s="40">
        <f>IF(Inputs!$C$60,Inputs!$C$11+(B2897-Inputs!$C$69)/Inputs!$C$70,"")</f>
      </c>
      <c r="D2897" s="15"/>
      <c r="E2897" s="15"/>
      <c r="F2897" s="11">
        <f t="shared" si="23"/>
      </c>
      <c r="G2897" s="22" cm="1">
        <f t="array" ref="G2897">IF(AND(Inputs!$C$60,Inputs!$C$61),INDEX(Utility_Rates!$C$29:$F$52,HOUR(C2897)+Inputs!$C$69,MATCH(INDEX(Utility_Rates!$K$6:$K$17,MONTH(C2897))&amp;IF(WEEKDAY(C2897,Inputs!$C$76)&lt;=Inputs!$C$74," weekday"," weekend"),Utility_Rates!$C$28:$F$28,Inputs!$C$68)),"")</f>
      </c>
      <c r="H2897" s="34"/>
      <c r="I2897" s="42">
        <f>IF(AND(ISNUMBER(D2897),ISNUMBER(H2897)),D2897*H2897*Inputs!$C$69,"")</f>
      </c>
      <c r="J2897" s="42">
        <f>IF(AND(ISNUMBER(F2897),ISNUMBER(H2897),F2897&gt;=Inputs!$C$68),F2897*H2897*Inputs!$C$69,"")</f>
      </c>
    </row>
    <row r="2898" spans="2:10" ht="15" customHeight="1" x14ac:dyDescent="0.2">
      <c r="B2898" s="39">
        <f t="shared" si="22"/>
      </c>
      <c r="C2898" s="40">
        <f>IF(Inputs!$C$60,Inputs!$C$11+(B2898-Inputs!$C$69)/Inputs!$C$70,"")</f>
      </c>
      <c r="D2898" s="15"/>
      <c r="E2898" s="15"/>
      <c r="F2898" s="11">
        <f t="shared" si="23"/>
      </c>
      <c r="G2898" s="22" cm="1">
        <f t="array" ref="G2898">IF(AND(Inputs!$C$60,Inputs!$C$61),INDEX(Utility_Rates!$C$29:$F$52,HOUR(C2898)+Inputs!$C$69,MATCH(INDEX(Utility_Rates!$K$6:$K$17,MONTH(C2898))&amp;IF(WEEKDAY(C2898,Inputs!$C$76)&lt;=Inputs!$C$74," weekday"," weekend"),Utility_Rates!$C$28:$F$28,Inputs!$C$68)),"")</f>
      </c>
      <c r="H2898" s="34"/>
      <c r="I2898" s="42">
        <f>IF(AND(ISNUMBER(D2898),ISNUMBER(H2898)),D2898*H2898*Inputs!$C$69,"")</f>
      </c>
      <c r="J2898" s="42">
        <f>IF(AND(ISNUMBER(F2898),ISNUMBER(H2898),F2898&gt;=Inputs!$C$68),F2898*H2898*Inputs!$C$69,"")</f>
      </c>
    </row>
    <row r="2899" spans="2:10" ht="15" customHeight="1" x14ac:dyDescent="0.2">
      <c r="B2899" s="39">
        <f t="shared" si="22"/>
      </c>
      <c r="C2899" s="40">
        <f>IF(Inputs!$C$60,Inputs!$C$11+(B2899-Inputs!$C$69)/Inputs!$C$70,"")</f>
      </c>
      <c r="D2899" s="15"/>
      <c r="E2899" s="15"/>
      <c r="F2899" s="11">
        <f t="shared" si="23"/>
      </c>
      <c r="G2899" s="22" cm="1">
        <f t="array" ref="G2899">IF(AND(Inputs!$C$60,Inputs!$C$61),INDEX(Utility_Rates!$C$29:$F$52,HOUR(C2899)+Inputs!$C$69,MATCH(INDEX(Utility_Rates!$K$6:$K$17,MONTH(C2899))&amp;IF(WEEKDAY(C2899,Inputs!$C$76)&lt;=Inputs!$C$74," weekday"," weekend"),Utility_Rates!$C$28:$F$28,Inputs!$C$68)),"")</f>
      </c>
      <c r="H2899" s="34"/>
      <c r="I2899" s="42">
        <f>IF(AND(ISNUMBER(D2899),ISNUMBER(H2899)),D2899*H2899*Inputs!$C$69,"")</f>
      </c>
      <c r="J2899" s="42">
        <f>IF(AND(ISNUMBER(F2899),ISNUMBER(H2899),F2899&gt;=Inputs!$C$68),F2899*H2899*Inputs!$C$69,"")</f>
      </c>
    </row>
    <row r="2900" spans="2:10" ht="15" customHeight="1" x14ac:dyDescent="0.2">
      <c r="B2900" s="39">
        <f t="shared" si="22"/>
      </c>
      <c r="C2900" s="40">
        <f>IF(Inputs!$C$60,Inputs!$C$11+(B2900-Inputs!$C$69)/Inputs!$C$70,"")</f>
      </c>
      <c r="D2900" s="15"/>
      <c r="E2900" s="15"/>
      <c r="F2900" s="11">
        <f t="shared" si="23"/>
      </c>
      <c r="G2900" s="22" cm="1">
        <f t="array" ref="G2900">IF(AND(Inputs!$C$60,Inputs!$C$61),INDEX(Utility_Rates!$C$29:$F$52,HOUR(C2900)+Inputs!$C$69,MATCH(INDEX(Utility_Rates!$K$6:$K$17,MONTH(C2900))&amp;IF(WEEKDAY(C2900,Inputs!$C$76)&lt;=Inputs!$C$74," weekday"," weekend"),Utility_Rates!$C$28:$F$28,Inputs!$C$68)),"")</f>
      </c>
      <c r="H2900" s="34"/>
      <c r="I2900" s="42">
        <f>IF(AND(ISNUMBER(D2900),ISNUMBER(H2900)),D2900*H2900*Inputs!$C$69,"")</f>
      </c>
      <c r="J2900" s="42">
        <f>IF(AND(ISNUMBER(F2900),ISNUMBER(H2900),F2900&gt;=Inputs!$C$68),F2900*H2900*Inputs!$C$69,"")</f>
      </c>
    </row>
    <row r="2901" spans="2:10" ht="15" customHeight="1" x14ac:dyDescent="0.2">
      <c r="B2901" s="39">
        <f t="shared" si="22"/>
      </c>
      <c r="C2901" s="40">
        <f>IF(Inputs!$C$60,Inputs!$C$11+(B2901-Inputs!$C$69)/Inputs!$C$70,"")</f>
      </c>
      <c r="D2901" s="15"/>
      <c r="E2901" s="15"/>
      <c r="F2901" s="11">
        <f t="shared" si="23"/>
      </c>
      <c r="G2901" s="22" cm="1">
        <f t="array" ref="G2901">IF(AND(Inputs!$C$60,Inputs!$C$61),INDEX(Utility_Rates!$C$29:$F$52,HOUR(C2901)+Inputs!$C$69,MATCH(INDEX(Utility_Rates!$K$6:$K$17,MONTH(C2901))&amp;IF(WEEKDAY(C2901,Inputs!$C$76)&lt;=Inputs!$C$74," weekday"," weekend"),Utility_Rates!$C$28:$F$28,Inputs!$C$68)),"")</f>
      </c>
      <c r="H2901" s="34"/>
      <c r="I2901" s="42">
        <f>IF(AND(ISNUMBER(D2901),ISNUMBER(H2901)),D2901*H2901*Inputs!$C$69,"")</f>
      </c>
      <c r="J2901" s="42">
        <f>IF(AND(ISNUMBER(F2901),ISNUMBER(H2901),F2901&gt;=Inputs!$C$68),F2901*H2901*Inputs!$C$69,"")</f>
      </c>
    </row>
    <row r="2902" spans="2:10" ht="15" customHeight="1" x14ac:dyDescent="0.2">
      <c r="B2902" s="39">
        <f t="shared" si="22"/>
      </c>
      <c r="C2902" s="40">
        <f>IF(Inputs!$C$60,Inputs!$C$11+(B2902-Inputs!$C$69)/Inputs!$C$70,"")</f>
      </c>
      <c r="D2902" s="15"/>
      <c r="E2902" s="15"/>
      <c r="F2902" s="11">
        <f t="shared" si="23"/>
      </c>
      <c r="G2902" s="22" cm="1">
        <f t="array" ref="G2902">IF(AND(Inputs!$C$60,Inputs!$C$61),INDEX(Utility_Rates!$C$29:$F$52,HOUR(C2902)+Inputs!$C$69,MATCH(INDEX(Utility_Rates!$K$6:$K$17,MONTH(C2902))&amp;IF(WEEKDAY(C2902,Inputs!$C$76)&lt;=Inputs!$C$74," weekday"," weekend"),Utility_Rates!$C$28:$F$28,Inputs!$C$68)),"")</f>
      </c>
      <c r="H2902" s="34"/>
      <c r="I2902" s="42">
        <f>IF(AND(ISNUMBER(D2902),ISNUMBER(H2902)),D2902*H2902*Inputs!$C$69,"")</f>
      </c>
      <c r="J2902" s="42">
        <f>IF(AND(ISNUMBER(F2902),ISNUMBER(H2902),F2902&gt;=Inputs!$C$68),F2902*H2902*Inputs!$C$69,"")</f>
      </c>
    </row>
    <row r="2903" spans="2:10" ht="15" customHeight="1" x14ac:dyDescent="0.2">
      <c r="B2903" s="39">
        <f t="shared" si="22"/>
      </c>
      <c r="C2903" s="40">
        <f>IF(Inputs!$C$60,Inputs!$C$11+(B2903-Inputs!$C$69)/Inputs!$C$70,"")</f>
      </c>
      <c r="D2903" s="15"/>
      <c r="E2903" s="15"/>
      <c r="F2903" s="11">
        <f t="shared" si="23"/>
      </c>
      <c r="G2903" s="22" cm="1">
        <f t="array" ref="G2903">IF(AND(Inputs!$C$60,Inputs!$C$61),INDEX(Utility_Rates!$C$29:$F$52,HOUR(C2903)+Inputs!$C$69,MATCH(INDEX(Utility_Rates!$K$6:$K$17,MONTH(C2903))&amp;IF(WEEKDAY(C2903,Inputs!$C$76)&lt;=Inputs!$C$74," weekday"," weekend"),Utility_Rates!$C$28:$F$28,Inputs!$C$68)),"")</f>
      </c>
      <c r="H2903" s="34"/>
      <c r="I2903" s="42">
        <f>IF(AND(ISNUMBER(D2903),ISNUMBER(H2903)),D2903*H2903*Inputs!$C$69,"")</f>
      </c>
      <c r="J2903" s="42">
        <f>IF(AND(ISNUMBER(F2903),ISNUMBER(H2903),F2903&gt;=Inputs!$C$68),F2903*H2903*Inputs!$C$69,"")</f>
      </c>
    </row>
    <row r="2904" spans="2:10" ht="15" customHeight="1" x14ac:dyDescent="0.2">
      <c r="B2904" s="39">
        <f t="shared" si="22"/>
      </c>
      <c r="C2904" s="40">
        <f>IF(Inputs!$C$60,Inputs!$C$11+(B2904-Inputs!$C$69)/Inputs!$C$70,"")</f>
      </c>
      <c r="D2904" s="15"/>
      <c r="E2904" s="15"/>
      <c r="F2904" s="11">
        <f t="shared" si="23"/>
      </c>
      <c r="G2904" s="22" cm="1">
        <f t="array" ref="G2904">IF(AND(Inputs!$C$60,Inputs!$C$61),INDEX(Utility_Rates!$C$29:$F$52,HOUR(C2904)+Inputs!$C$69,MATCH(INDEX(Utility_Rates!$K$6:$K$17,MONTH(C2904))&amp;IF(WEEKDAY(C2904,Inputs!$C$76)&lt;=Inputs!$C$74," weekday"," weekend"),Utility_Rates!$C$28:$F$28,Inputs!$C$68)),"")</f>
      </c>
      <c r="H2904" s="34"/>
      <c r="I2904" s="42">
        <f>IF(AND(ISNUMBER(D2904),ISNUMBER(H2904)),D2904*H2904*Inputs!$C$69,"")</f>
      </c>
      <c r="J2904" s="42">
        <f>IF(AND(ISNUMBER(F2904),ISNUMBER(H2904),F2904&gt;=Inputs!$C$68),F2904*H2904*Inputs!$C$69,"")</f>
      </c>
    </row>
    <row r="2905" spans="2:10" ht="15" customHeight="1" x14ac:dyDescent="0.2">
      <c r="B2905" s="39">
        <f t="shared" si="22"/>
      </c>
      <c r="C2905" s="40">
        <f>IF(Inputs!$C$60,Inputs!$C$11+(B2905-Inputs!$C$69)/Inputs!$C$70,"")</f>
      </c>
      <c r="D2905" s="15"/>
      <c r="E2905" s="15"/>
      <c r="F2905" s="11">
        <f t="shared" si="23"/>
      </c>
      <c r="G2905" s="22" cm="1">
        <f t="array" ref="G2905">IF(AND(Inputs!$C$60,Inputs!$C$61),INDEX(Utility_Rates!$C$29:$F$52,HOUR(C2905)+Inputs!$C$69,MATCH(INDEX(Utility_Rates!$K$6:$K$17,MONTH(C2905))&amp;IF(WEEKDAY(C2905,Inputs!$C$76)&lt;=Inputs!$C$74," weekday"," weekend"),Utility_Rates!$C$28:$F$28,Inputs!$C$68)),"")</f>
      </c>
      <c r="H2905" s="34"/>
      <c r="I2905" s="42">
        <f>IF(AND(ISNUMBER(D2905),ISNUMBER(H2905)),D2905*H2905*Inputs!$C$69,"")</f>
      </c>
      <c r="J2905" s="42">
        <f>IF(AND(ISNUMBER(F2905),ISNUMBER(H2905),F2905&gt;=Inputs!$C$68),F2905*H2905*Inputs!$C$69,"")</f>
      </c>
    </row>
    <row r="2906" spans="2:10" ht="15" customHeight="1" x14ac:dyDescent="0.2">
      <c r="B2906" s="39">
        <f t="shared" si="22"/>
      </c>
      <c r="C2906" s="40">
        <f>IF(Inputs!$C$60,Inputs!$C$11+(B2906-Inputs!$C$69)/Inputs!$C$70,"")</f>
      </c>
      <c r="D2906" s="15"/>
      <c r="E2906" s="15"/>
      <c r="F2906" s="11">
        <f t="shared" si="23"/>
      </c>
      <c r="G2906" s="22" cm="1">
        <f t="array" ref="G2906">IF(AND(Inputs!$C$60,Inputs!$C$61),INDEX(Utility_Rates!$C$29:$F$52,HOUR(C2906)+Inputs!$C$69,MATCH(INDEX(Utility_Rates!$K$6:$K$17,MONTH(C2906))&amp;IF(WEEKDAY(C2906,Inputs!$C$76)&lt;=Inputs!$C$74," weekday"," weekend"),Utility_Rates!$C$28:$F$28,Inputs!$C$68)),"")</f>
      </c>
      <c r="H2906" s="34"/>
      <c r="I2906" s="42">
        <f>IF(AND(ISNUMBER(D2906),ISNUMBER(H2906)),D2906*H2906*Inputs!$C$69,"")</f>
      </c>
      <c r="J2906" s="42">
        <f>IF(AND(ISNUMBER(F2906),ISNUMBER(H2906),F2906&gt;=Inputs!$C$68),F2906*H2906*Inputs!$C$69,"")</f>
      </c>
    </row>
    <row r="2907" spans="2:10" ht="15" customHeight="1" x14ac:dyDescent="0.2">
      <c r="B2907" s="39">
        <f t="shared" si="22"/>
      </c>
      <c r="C2907" s="40">
        <f>IF(Inputs!$C$60,Inputs!$C$11+(B2907-Inputs!$C$69)/Inputs!$C$70,"")</f>
      </c>
      <c r="D2907" s="15"/>
      <c r="E2907" s="15"/>
      <c r="F2907" s="11">
        <f t="shared" si="23"/>
      </c>
      <c r="G2907" s="22" cm="1">
        <f t="array" ref="G2907">IF(AND(Inputs!$C$60,Inputs!$C$61),INDEX(Utility_Rates!$C$29:$F$52,HOUR(C2907)+Inputs!$C$69,MATCH(INDEX(Utility_Rates!$K$6:$K$17,MONTH(C2907))&amp;IF(WEEKDAY(C2907,Inputs!$C$76)&lt;=Inputs!$C$74," weekday"," weekend"),Utility_Rates!$C$28:$F$28,Inputs!$C$68)),"")</f>
      </c>
      <c r="H2907" s="34"/>
      <c r="I2907" s="42">
        <f>IF(AND(ISNUMBER(D2907),ISNUMBER(H2907)),D2907*H2907*Inputs!$C$69,"")</f>
      </c>
      <c r="J2907" s="42">
        <f>IF(AND(ISNUMBER(F2907),ISNUMBER(H2907),F2907&gt;=Inputs!$C$68),F2907*H2907*Inputs!$C$69,"")</f>
      </c>
    </row>
    <row r="2908" spans="2:10" ht="15" customHeight="1" x14ac:dyDescent="0.2">
      <c r="B2908" s="39">
        <f t="shared" si="22"/>
      </c>
      <c r="C2908" s="40">
        <f>IF(Inputs!$C$60,Inputs!$C$11+(B2908-Inputs!$C$69)/Inputs!$C$70,"")</f>
      </c>
      <c r="D2908" s="15"/>
      <c r="E2908" s="15"/>
      <c r="F2908" s="11">
        <f t="shared" si="23"/>
      </c>
      <c r="G2908" s="22" cm="1">
        <f t="array" ref="G2908">IF(AND(Inputs!$C$60,Inputs!$C$61),INDEX(Utility_Rates!$C$29:$F$52,HOUR(C2908)+Inputs!$C$69,MATCH(INDEX(Utility_Rates!$K$6:$K$17,MONTH(C2908))&amp;IF(WEEKDAY(C2908,Inputs!$C$76)&lt;=Inputs!$C$74," weekday"," weekend"),Utility_Rates!$C$28:$F$28,Inputs!$C$68)),"")</f>
      </c>
      <c r="H2908" s="34"/>
      <c r="I2908" s="42">
        <f>IF(AND(ISNUMBER(D2908),ISNUMBER(H2908)),D2908*H2908*Inputs!$C$69,"")</f>
      </c>
      <c r="J2908" s="42">
        <f>IF(AND(ISNUMBER(F2908),ISNUMBER(H2908),F2908&gt;=Inputs!$C$68),F2908*H2908*Inputs!$C$69,"")</f>
      </c>
    </row>
    <row r="2909" spans="2:10" ht="15" customHeight="1" x14ac:dyDescent="0.2">
      <c r="B2909" s="39">
        <f t="shared" si="22"/>
      </c>
      <c r="C2909" s="40">
        <f>IF(Inputs!$C$60,Inputs!$C$11+(B2909-Inputs!$C$69)/Inputs!$C$70,"")</f>
      </c>
      <c r="D2909" s="15"/>
      <c r="E2909" s="15"/>
      <c r="F2909" s="11">
        <f t="shared" si="23"/>
      </c>
      <c r="G2909" s="22" cm="1">
        <f t="array" ref="G2909">IF(AND(Inputs!$C$60,Inputs!$C$61),INDEX(Utility_Rates!$C$29:$F$52,HOUR(C2909)+Inputs!$C$69,MATCH(INDEX(Utility_Rates!$K$6:$K$17,MONTH(C2909))&amp;IF(WEEKDAY(C2909,Inputs!$C$76)&lt;=Inputs!$C$74," weekday"," weekend"),Utility_Rates!$C$28:$F$28,Inputs!$C$68)),"")</f>
      </c>
      <c r="H2909" s="34"/>
      <c r="I2909" s="42">
        <f>IF(AND(ISNUMBER(D2909),ISNUMBER(H2909)),D2909*H2909*Inputs!$C$69,"")</f>
      </c>
      <c r="J2909" s="42">
        <f>IF(AND(ISNUMBER(F2909),ISNUMBER(H2909),F2909&gt;=Inputs!$C$68),F2909*H2909*Inputs!$C$69,"")</f>
      </c>
    </row>
    <row r="2910" spans="2:10" ht="15" customHeight="1" x14ac:dyDescent="0.2">
      <c r="B2910" s="39">
        <f t="shared" si="22"/>
      </c>
      <c r="C2910" s="40">
        <f>IF(Inputs!$C$60,Inputs!$C$11+(B2910-Inputs!$C$69)/Inputs!$C$70,"")</f>
      </c>
      <c r="D2910" s="15"/>
      <c r="E2910" s="15"/>
      <c r="F2910" s="11">
        <f t="shared" si="23"/>
      </c>
      <c r="G2910" s="22" cm="1">
        <f t="array" ref="G2910">IF(AND(Inputs!$C$60,Inputs!$C$61),INDEX(Utility_Rates!$C$29:$F$52,HOUR(C2910)+Inputs!$C$69,MATCH(INDEX(Utility_Rates!$K$6:$K$17,MONTH(C2910))&amp;IF(WEEKDAY(C2910,Inputs!$C$76)&lt;=Inputs!$C$74," weekday"," weekend"),Utility_Rates!$C$28:$F$28,Inputs!$C$68)),"")</f>
      </c>
      <c r="H2910" s="34"/>
      <c r="I2910" s="42">
        <f>IF(AND(ISNUMBER(D2910),ISNUMBER(H2910)),D2910*H2910*Inputs!$C$69,"")</f>
      </c>
      <c r="J2910" s="42">
        <f>IF(AND(ISNUMBER(F2910),ISNUMBER(H2910),F2910&gt;=Inputs!$C$68),F2910*H2910*Inputs!$C$69,"")</f>
      </c>
    </row>
    <row r="2911" spans="2:10" ht="15" customHeight="1" x14ac:dyDescent="0.2">
      <c r="B2911" s="39">
        <f t="shared" si="22"/>
      </c>
      <c r="C2911" s="40">
        <f>IF(Inputs!$C$60,Inputs!$C$11+(B2911-Inputs!$C$69)/Inputs!$C$70,"")</f>
      </c>
      <c r="D2911" s="15"/>
      <c r="E2911" s="15"/>
      <c r="F2911" s="11">
        <f t="shared" si="23"/>
      </c>
      <c r="G2911" s="22" cm="1">
        <f t="array" ref="G2911">IF(AND(Inputs!$C$60,Inputs!$C$61),INDEX(Utility_Rates!$C$29:$F$52,HOUR(C2911)+Inputs!$C$69,MATCH(INDEX(Utility_Rates!$K$6:$K$17,MONTH(C2911))&amp;IF(WEEKDAY(C2911,Inputs!$C$76)&lt;=Inputs!$C$74," weekday"," weekend"),Utility_Rates!$C$28:$F$28,Inputs!$C$68)),"")</f>
      </c>
      <c r="H2911" s="34"/>
      <c r="I2911" s="42">
        <f>IF(AND(ISNUMBER(D2911),ISNUMBER(H2911)),D2911*H2911*Inputs!$C$69,"")</f>
      </c>
      <c r="J2911" s="42">
        <f>IF(AND(ISNUMBER(F2911),ISNUMBER(H2911),F2911&gt;=Inputs!$C$68),F2911*H2911*Inputs!$C$69,"")</f>
      </c>
    </row>
    <row r="2912" spans="2:10" ht="15" customHeight="1" x14ac:dyDescent="0.2">
      <c r="B2912" s="39">
        <f t="shared" si="22"/>
      </c>
      <c r="C2912" s="40">
        <f>IF(Inputs!$C$60,Inputs!$C$11+(B2912-Inputs!$C$69)/Inputs!$C$70,"")</f>
      </c>
      <c r="D2912" s="15"/>
      <c r="E2912" s="15"/>
      <c r="F2912" s="11">
        <f t="shared" si="23"/>
      </c>
      <c r="G2912" s="22" cm="1">
        <f t="array" ref="G2912">IF(AND(Inputs!$C$60,Inputs!$C$61),INDEX(Utility_Rates!$C$29:$F$52,HOUR(C2912)+Inputs!$C$69,MATCH(INDEX(Utility_Rates!$K$6:$K$17,MONTH(C2912))&amp;IF(WEEKDAY(C2912,Inputs!$C$76)&lt;=Inputs!$C$74," weekday"," weekend"),Utility_Rates!$C$28:$F$28,Inputs!$C$68)),"")</f>
      </c>
      <c r="H2912" s="34"/>
      <c r="I2912" s="42">
        <f>IF(AND(ISNUMBER(D2912),ISNUMBER(H2912)),D2912*H2912*Inputs!$C$69,"")</f>
      </c>
      <c r="J2912" s="42">
        <f>IF(AND(ISNUMBER(F2912),ISNUMBER(H2912),F2912&gt;=Inputs!$C$68),F2912*H2912*Inputs!$C$69,"")</f>
      </c>
    </row>
    <row r="2913" spans="2:10" ht="15" customHeight="1" x14ac:dyDescent="0.2">
      <c r="B2913" s="39">
        <f t="shared" si="22"/>
      </c>
      <c r="C2913" s="40">
        <f>IF(Inputs!$C$60,Inputs!$C$11+(B2913-Inputs!$C$69)/Inputs!$C$70,"")</f>
      </c>
      <c r="D2913" s="15"/>
      <c r="E2913" s="15"/>
      <c r="F2913" s="11">
        <f t="shared" si="23"/>
      </c>
      <c r="G2913" s="22" cm="1">
        <f t="array" ref="G2913">IF(AND(Inputs!$C$60,Inputs!$C$61),INDEX(Utility_Rates!$C$29:$F$52,HOUR(C2913)+Inputs!$C$69,MATCH(INDEX(Utility_Rates!$K$6:$K$17,MONTH(C2913))&amp;IF(WEEKDAY(C2913,Inputs!$C$76)&lt;=Inputs!$C$74," weekday"," weekend"),Utility_Rates!$C$28:$F$28,Inputs!$C$68)),"")</f>
      </c>
      <c r="H2913" s="34"/>
      <c r="I2913" s="42">
        <f>IF(AND(ISNUMBER(D2913),ISNUMBER(H2913)),D2913*H2913*Inputs!$C$69,"")</f>
      </c>
      <c r="J2913" s="42">
        <f>IF(AND(ISNUMBER(F2913),ISNUMBER(H2913),F2913&gt;=Inputs!$C$68),F2913*H2913*Inputs!$C$69,"")</f>
      </c>
    </row>
    <row r="2914" spans="2:10" ht="15" customHeight="1" x14ac:dyDescent="0.2">
      <c r="B2914" s="39">
        <f t="shared" si="22"/>
      </c>
      <c r="C2914" s="40">
        <f>IF(Inputs!$C$60,Inputs!$C$11+(B2914-Inputs!$C$69)/Inputs!$C$70,"")</f>
      </c>
      <c r="D2914" s="15"/>
      <c r="E2914" s="15"/>
      <c r="F2914" s="11">
        <f t="shared" si="23"/>
      </c>
      <c r="G2914" s="22" cm="1">
        <f t="array" ref="G2914">IF(AND(Inputs!$C$60,Inputs!$C$61),INDEX(Utility_Rates!$C$29:$F$52,HOUR(C2914)+Inputs!$C$69,MATCH(INDEX(Utility_Rates!$K$6:$K$17,MONTH(C2914))&amp;IF(WEEKDAY(C2914,Inputs!$C$76)&lt;=Inputs!$C$74," weekday"," weekend"),Utility_Rates!$C$28:$F$28,Inputs!$C$68)),"")</f>
      </c>
      <c r="H2914" s="34"/>
      <c r="I2914" s="42">
        <f>IF(AND(ISNUMBER(D2914),ISNUMBER(H2914)),D2914*H2914*Inputs!$C$69,"")</f>
      </c>
      <c r="J2914" s="42">
        <f>IF(AND(ISNUMBER(F2914),ISNUMBER(H2914),F2914&gt;=Inputs!$C$68),F2914*H2914*Inputs!$C$69,"")</f>
      </c>
    </row>
    <row r="2915" spans="2:10" ht="15" customHeight="1" x14ac:dyDescent="0.2">
      <c r="B2915" s="39">
        <f t="shared" si="22"/>
      </c>
      <c r="C2915" s="40">
        <f>IF(Inputs!$C$60,Inputs!$C$11+(B2915-Inputs!$C$69)/Inputs!$C$70,"")</f>
      </c>
      <c r="D2915" s="15"/>
      <c r="E2915" s="15"/>
      <c r="F2915" s="11">
        <f t="shared" si="23"/>
      </c>
      <c r="G2915" s="22" cm="1">
        <f t="array" ref="G2915">IF(AND(Inputs!$C$60,Inputs!$C$61),INDEX(Utility_Rates!$C$29:$F$52,HOUR(C2915)+Inputs!$C$69,MATCH(INDEX(Utility_Rates!$K$6:$K$17,MONTH(C2915))&amp;IF(WEEKDAY(C2915,Inputs!$C$76)&lt;=Inputs!$C$74," weekday"," weekend"),Utility_Rates!$C$28:$F$28,Inputs!$C$68)),"")</f>
      </c>
      <c r="H2915" s="34"/>
      <c r="I2915" s="42">
        <f>IF(AND(ISNUMBER(D2915),ISNUMBER(H2915)),D2915*H2915*Inputs!$C$69,"")</f>
      </c>
      <c r="J2915" s="42">
        <f>IF(AND(ISNUMBER(F2915),ISNUMBER(H2915),F2915&gt;=Inputs!$C$68),F2915*H2915*Inputs!$C$69,"")</f>
      </c>
    </row>
    <row r="2916" spans="2:10" ht="15" customHeight="1" x14ac:dyDescent="0.2">
      <c r="B2916" s="39">
        <f t="shared" si="22"/>
      </c>
      <c r="C2916" s="40">
        <f>IF(Inputs!$C$60,Inputs!$C$11+(B2916-Inputs!$C$69)/Inputs!$C$70,"")</f>
      </c>
      <c r="D2916" s="15"/>
      <c r="E2916" s="15"/>
      <c r="F2916" s="11">
        <f t="shared" si="23"/>
      </c>
      <c r="G2916" s="22" cm="1">
        <f t="array" ref="G2916">IF(AND(Inputs!$C$60,Inputs!$C$61),INDEX(Utility_Rates!$C$29:$F$52,HOUR(C2916)+Inputs!$C$69,MATCH(INDEX(Utility_Rates!$K$6:$K$17,MONTH(C2916))&amp;IF(WEEKDAY(C2916,Inputs!$C$76)&lt;=Inputs!$C$74," weekday"," weekend"),Utility_Rates!$C$28:$F$28,Inputs!$C$68)),"")</f>
      </c>
      <c r="H2916" s="34"/>
      <c r="I2916" s="42">
        <f>IF(AND(ISNUMBER(D2916),ISNUMBER(H2916)),D2916*H2916*Inputs!$C$69,"")</f>
      </c>
      <c r="J2916" s="42">
        <f>IF(AND(ISNUMBER(F2916),ISNUMBER(H2916),F2916&gt;=Inputs!$C$68),F2916*H2916*Inputs!$C$69,"")</f>
      </c>
    </row>
    <row r="2917" spans="2:10" ht="15" customHeight="1" x14ac:dyDescent="0.2">
      <c r="B2917" s="39">
        <f t="shared" si="22"/>
      </c>
      <c r="C2917" s="40">
        <f>IF(Inputs!$C$60,Inputs!$C$11+(B2917-Inputs!$C$69)/Inputs!$C$70,"")</f>
      </c>
      <c r="D2917" s="15"/>
      <c r="E2917" s="15"/>
      <c r="F2917" s="11">
        <f t="shared" si="23"/>
      </c>
      <c r="G2917" s="22" cm="1">
        <f t="array" ref="G2917">IF(AND(Inputs!$C$60,Inputs!$C$61),INDEX(Utility_Rates!$C$29:$F$52,HOUR(C2917)+Inputs!$C$69,MATCH(INDEX(Utility_Rates!$K$6:$K$17,MONTH(C2917))&amp;IF(WEEKDAY(C2917,Inputs!$C$76)&lt;=Inputs!$C$74," weekday"," weekend"),Utility_Rates!$C$28:$F$28,Inputs!$C$68)),"")</f>
      </c>
      <c r="H2917" s="34"/>
      <c r="I2917" s="42">
        <f>IF(AND(ISNUMBER(D2917),ISNUMBER(H2917)),D2917*H2917*Inputs!$C$69,"")</f>
      </c>
      <c r="J2917" s="42">
        <f>IF(AND(ISNUMBER(F2917),ISNUMBER(H2917),F2917&gt;=Inputs!$C$68),F2917*H2917*Inputs!$C$69,"")</f>
      </c>
    </row>
    <row r="2918" spans="2:10" ht="15" customHeight="1" x14ac:dyDescent="0.2">
      <c r="B2918" s="39">
        <f t="shared" si="22"/>
      </c>
      <c r="C2918" s="40">
        <f>IF(Inputs!$C$60,Inputs!$C$11+(B2918-Inputs!$C$69)/Inputs!$C$70,"")</f>
      </c>
      <c r="D2918" s="15"/>
      <c r="E2918" s="15"/>
      <c r="F2918" s="11">
        <f t="shared" si="23"/>
      </c>
      <c r="G2918" s="22" cm="1">
        <f t="array" ref="G2918">IF(AND(Inputs!$C$60,Inputs!$C$61),INDEX(Utility_Rates!$C$29:$F$52,HOUR(C2918)+Inputs!$C$69,MATCH(INDEX(Utility_Rates!$K$6:$K$17,MONTH(C2918))&amp;IF(WEEKDAY(C2918,Inputs!$C$76)&lt;=Inputs!$C$74," weekday"," weekend"),Utility_Rates!$C$28:$F$28,Inputs!$C$68)),"")</f>
      </c>
      <c r="H2918" s="34"/>
      <c r="I2918" s="42">
        <f>IF(AND(ISNUMBER(D2918),ISNUMBER(H2918)),D2918*H2918*Inputs!$C$69,"")</f>
      </c>
      <c r="J2918" s="42">
        <f>IF(AND(ISNUMBER(F2918),ISNUMBER(H2918),F2918&gt;=Inputs!$C$68),F2918*H2918*Inputs!$C$69,"")</f>
      </c>
    </row>
    <row r="2919" spans="2:10" ht="15" customHeight="1" x14ac:dyDescent="0.2">
      <c r="B2919" s="39">
        <f t="shared" si="22"/>
      </c>
      <c r="C2919" s="40">
        <f>IF(Inputs!$C$60,Inputs!$C$11+(B2919-Inputs!$C$69)/Inputs!$C$70,"")</f>
      </c>
      <c r="D2919" s="15"/>
      <c r="E2919" s="15"/>
      <c r="F2919" s="11">
        <f t="shared" si="23"/>
      </c>
      <c r="G2919" s="22" cm="1">
        <f t="array" ref="G2919">IF(AND(Inputs!$C$60,Inputs!$C$61),INDEX(Utility_Rates!$C$29:$F$52,HOUR(C2919)+Inputs!$C$69,MATCH(INDEX(Utility_Rates!$K$6:$K$17,MONTH(C2919))&amp;IF(WEEKDAY(C2919,Inputs!$C$76)&lt;=Inputs!$C$74," weekday"," weekend"),Utility_Rates!$C$28:$F$28,Inputs!$C$68)),"")</f>
      </c>
      <c r="H2919" s="34"/>
      <c r="I2919" s="42">
        <f>IF(AND(ISNUMBER(D2919),ISNUMBER(H2919)),D2919*H2919*Inputs!$C$69,"")</f>
      </c>
      <c r="J2919" s="42">
        <f>IF(AND(ISNUMBER(F2919),ISNUMBER(H2919),F2919&gt;=Inputs!$C$68),F2919*H2919*Inputs!$C$69,"")</f>
      </c>
    </row>
    <row r="2920" spans="2:10" ht="15" customHeight="1" x14ac:dyDescent="0.2">
      <c r="B2920" s="39">
        <f t="shared" si="22"/>
      </c>
      <c r="C2920" s="40">
        <f>IF(Inputs!$C$60,Inputs!$C$11+(B2920-Inputs!$C$69)/Inputs!$C$70,"")</f>
      </c>
      <c r="D2920" s="15"/>
      <c r="E2920" s="15"/>
      <c r="F2920" s="11">
        <f t="shared" si="23"/>
      </c>
      <c r="G2920" s="22" cm="1">
        <f t="array" ref="G2920">IF(AND(Inputs!$C$60,Inputs!$C$61),INDEX(Utility_Rates!$C$29:$F$52,HOUR(C2920)+Inputs!$C$69,MATCH(INDEX(Utility_Rates!$K$6:$K$17,MONTH(C2920))&amp;IF(WEEKDAY(C2920,Inputs!$C$76)&lt;=Inputs!$C$74," weekday"," weekend"),Utility_Rates!$C$28:$F$28,Inputs!$C$68)),"")</f>
      </c>
      <c r="H2920" s="34"/>
      <c r="I2920" s="42">
        <f>IF(AND(ISNUMBER(D2920),ISNUMBER(H2920)),D2920*H2920*Inputs!$C$69,"")</f>
      </c>
      <c r="J2920" s="42">
        <f>IF(AND(ISNUMBER(F2920),ISNUMBER(H2920),F2920&gt;=Inputs!$C$68),F2920*H2920*Inputs!$C$69,"")</f>
      </c>
    </row>
    <row r="2921" spans="2:10" ht="15" customHeight="1" x14ac:dyDescent="0.2">
      <c r="B2921" s="39">
        <f t="shared" si="22"/>
      </c>
      <c r="C2921" s="40">
        <f>IF(Inputs!$C$60,Inputs!$C$11+(B2921-Inputs!$C$69)/Inputs!$C$70,"")</f>
      </c>
      <c r="D2921" s="15"/>
      <c r="E2921" s="15"/>
      <c r="F2921" s="11">
        <f t="shared" si="23"/>
      </c>
      <c r="G2921" s="22" cm="1">
        <f t="array" ref="G2921">IF(AND(Inputs!$C$60,Inputs!$C$61),INDEX(Utility_Rates!$C$29:$F$52,HOUR(C2921)+Inputs!$C$69,MATCH(INDEX(Utility_Rates!$K$6:$K$17,MONTH(C2921))&amp;IF(WEEKDAY(C2921,Inputs!$C$76)&lt;=Inputs!$C$74," weekday"," weekend"),Utility_Rates!$C$28:$F$28,Inputs!$C$68)),"")</f>
      </c>
      <c r="H2921" s="34"/>
      <c r="I2921" s="42">
        <f>IF(AND(ISNUMBER(D2921),ISNUMBER(H2921)),D2921*H2921*Inputs!$C$69,"")</f>
      </c>
      <c r="J2921" s="42">
        <f>IF(AND(ISNUMBER(F2921),ISNUMBER(H2921),F2921&gt;=Inputs!$C$68),F2921*H2921*Inputs!$C$69,"")</f>
      </c>
    </row>
    <row r="2922" spans="2:10" ht="15" customHeight="1" x14ac:dyDescent="0.2">
      <c r="B2922" s="39">
        <f t="shared" si="22"/>
      </c>
      <c r="C2922" s="40">
        <f>IF(Inputs!$C$60,Inputs!$C$11+(B2922-Inputs!$C$69)/Inputs!$C$70,"")</f>
      </c>
      <c r="D2922" s="15"/>
      <c r="E2922" s="15"/>
      <c r="F2922" s="11">
        <f t="shared" si="23"/>
      </c>
      <c r="G2922" s="22" cm="1">
        <f t="array" ref="G2922">IF(AND(Inputs!$C$60,Inputs!$C$61),INDEX(Utility_Rates!$C$29:$F$52,HOUR(C2922)+Inputs!$C$69,MATCH(INDEX(Utility_Rates!$K$6:$K$17,MONTH(C2922))&amp;IF(WEEKDAY(C2922,Inputs!$C$76)&lt;=Inputs!$C$74," weekday"," weekend"),Utility_Rates!$C$28:$F$28,Inputs!$C$68)),"")</f>
      </c>
      <c r="H2922" s="34"/>
      <c r="I2922" s="42">
        <f>IF(AND(ISNUMBER(D2922),ISNUMBER(H2922)),D2922*H2922*Inputs!$C$69,"")</f>
      </c>
      <c r="J2922" s="42">
        <f>IF(AND(ISNUMBER(F2922),ISNUMBER(H2922),F2922&gt;=Inputs!$C$68),F2922*H2922*Inputs!$C$69,"")</f>
      </c>
    </row>
    <row r="2923" spans="2:10" ht="15" customHeight="1" x14ac:dyDescent="0.2">
      <c r="B2923" s="39">
        <f t="shared" si="22"/>
      </c>
      <c r="C2923" s="40">
        <f>IF(Inputs!$C$60,Inputs!$C$11+(B2923-Inputs!$C$69)/Inputs!$C$70,"")</f>
      </c>
      <c r="D2923" s="15"/>
      <c r="E2923" s="15"/>
      <c r="F2923" s="11">
        <f t="shared" si="23"/>
      </c>
      <c r="G2923" s="22" cm="1">
        <f t="array" ref="G2923">IF(AND(Inputs!$C$60,Inputs!$C$61),INDEX(Utility_Rates!$C$29:$F$52,HOUR(C2923)+Inputs!$C$69,MATCH(INDEX(Utility_Rates!$K$6:$K$17,MONTH(C2923))&amp;IF(WEEKDAY(C2923,Inputs!$C$76)&lt;=Inputs!$C$74," weekday"," weekend"),Utility_Rates!$C$28:$F$28,Inputs!$C$68)),"")</f>
      </c>
      <c r="H2923" s="34"/>
      <c r="I2923" s="42">
        <f>IF(AND(ISNUMBER(D2923),ISNUMBER(H2923)),D2923*H2923*Inputs!$C$69,"")</f>
      </c>
      <c r="J2923" s="42">
        <f>IF(AND(ISNUMBER(F2923),ISNUMBER(H2923),F2923&gt;=Inputs!$C$68),F2923*H2923*Inputs!$C$69,"")</f>
      </c>
    </row>
    <row r="2924" spans="2:10" ht="15" customHeight="1" x14ac:dyDescent="0.2">
      <c r="B2924" s="39">
        <f t="shared" si="22"/>
      </c>
      <c r="C2924" s="40">
        <f>IF(Inputs!$C$60,Inputs!$C$11+(B2924-Inputs!$C$69)/Inputs!$C$70,"")</f>
      </c>
      <c r="D2924" s="15"/>
      <c r="E2924" s="15"/>
      <c r="F2924" s="11">
        <f t="shared" si="23"/>
      </c>
      <c r="G2924" s="22" cm="1">
        <f t="array" ref="G2924">IF(AND(Inputs!$C$60,Inputs!$C$61),INDEX(Utility_Rates!$C$29:$F$52,HOUR(C2924)+Inputs!$C$69,MATCH(INDEX(Utility_Rates!$K$6:$K$17,MONTH(C2924))&amp;IF(WEEKDAY(C2924,Inputs!$C$76)&lt;=Inputs!$C$74," weekday"," weekend"),Utility_Rates!$C$28:$F$28,Inputs!$C$68)),"")</f>
      </c>
      <c r="H2924" s="34"/>
      <c r="I2924" s="42">
        <f>IF(AND(ISNUMBER(D2924),ISNUMBER(H2924)),D2924*H2924*Inputs!$C$69,"")</f>
      </c>
      <c r="J2924" s="42">
        <f>IF(AND(ISNUMBER(F2924),ISNUMBER(H2924),F2924&gt;=Inputs!$C$68),F2924*H2924*Inputs!$C$69,"")</f>
      </c>
    </row>
    <row r="2925" spans="2:10" ht="15" customHeight="1" x14ac:dyDescent="0.2">
      <c r="B2925" s="39">
        <f t="shared" si="22"/>
      </c>
      <c r="C2925" s="40">
        <f>IF(Inputs!$C$60,Inputs!$C$11+(B2925-Inputs!$C$69)/Inputs!$C$70,"")</f>
      </c>
      <c r="D2925" s="15"/>
      <c r="E2925" s="15"/>
      <c r="F2925" s="11">
        <f t="shared" si="23"/>
      </c>
      <c r="G2925" s="22" cm="1">
        <f t="array" ref="G2925">IF(AND(Inputs!$C$60,Inputs!$C$61),INDEX(Utility_Rates!$C$29:$F$52,HOUR(C2925)+Inputs!$C$69,MATCH(INDEX(Utility_Rates!$K$6:$K$17,MONTH(C2925))&amp;IF(WEEKDAY(C2925,Inputs!$C$76)&lt;=Inputs!$C$74," weekday"," weekend"),Utility_Rates!$C$28:$F$28,Inputs!$C$68)),"")</f>
      </c>
      <c r="H2925" s="34"/>
      <c r="I2925" s="42">
        <f>IF(AND(ISNUMBER(D2925),ISNUMBER(H2925)),D2925*H2925*Inputs!$C$69,"")</f>
      </c>
      <c r="J2925" s="42">
        <f>IF(AND(ISNUMBER(F2925),ISNUMBER(H2925),F2925&gt;=Inputs!$C$68),F2925*H2925*Inputs!$C$69,"")</f>
      </c>
    </row>
    <row r="2926" spans="2:10" ht="15" customHeight="1" x14ac:dyDescent="0.2">
      <c r="B2926" s="39">
        <f t="shared" si="22"/>
      </c>
      <c r="C2926" s="40">
        <f>IF(Inputs!$C$60,Inputs!$C$11+(B2926-Inputs!$C$69)/Inputs!$C$70,"")</f>
      </c>
      <c r="D2926" s="15"/>
      <c r="E2926" s="15"/>
      <c r="F2926" s="11">
        <f t="shared" si="23"/>
      </c>
      <c r="G2926" s="22" cm="1">
        <f t="array" ref="G2926">IF(AND(Inputs!$C$60,Inputs!$C$61),INDEX(Utility_Rates!$C$29:$F$52,HOUR(C2926)+Inputs!$C$69,MATCH(INDEX(Utility_Rates!$K$6:$K$17,MONTH(C2926))&amp;IF(WEEKDAY(C2926,Inputs!$C$76)&lt;=Inputs!$C$74," weekday"," weekend"),Utility_Rates!$C$28:$F$28,Inputs!$C$68)),"")</f>
      </c>
      <c r="H2926" s="34"/>
      <c r="I2926" s="42">
        <f>IF(AND(ISNUMBER(D2926),ISNUMBER(H2926)),D2926*H2926*Inputs!$C$69,"")</f>
      </c>
      <c r="J2926" s="42">
        <f>IF(AND(ISNUMBER(F2926),ISNUMBER(H2926),F2926&gt;=Inputs!$C$68),F2926*H2926*Inputs!$C$69,"")</f>
      </c>
    </row>
    <row r="2927" spans="2:10" ht="15" customHeight="1" x14ac:dyDescent="0.2">
      <c r="B2927" s="39">
        <f t="shared" si="22"/>
      </c>
      <c r="C2927" s="40">
        <f>IF(Inputs!$C$60,Inputs!$C$11+(B2927-Inputs!$C$69)/Inputs!$C$70,"")</f>
      </c>
      <c r="D2927" s="15"/>
      <c r="E2927" s="15"/>
      <c r="F2927" s="11">
        <f t="shared" si="23"/>
      </c>
      <c r="G2927" s="22" cm="1">
        <f t="array" ref="G2927">IF(AND(Inputs!$C$60,Inputs!$C$61),INDEX(Utility_Rates!$C$29:$F$52,HOUR(C2927)+Inputs!$C$69,MATCH(INDEX(Utility_Rates!$K$6:$K$17,MONTH(C2927))&amp;IF(WEEKDAY(C2927,Inputs!$C$76)&lt;=Inputs!$C$74," weekday"," weekend"),Utility_Rates!$C$28:$F$28,Inputs!$C$68)),"")</f>
      </c>
      <c r="H2927" s="34"/>
      <c r="I2927" s="42">
        <f>IF(AND(ISNUMBER(D2927),ISNUMBER(H2927)),D2927*H2927*Inputs!$C$69,"")</f>
      </c>
      <c r="J2927" s="42">
        <f>IF(AND(ISNUMBER(F2927),ISNUMBER(H2927),F2927&gt;=Inputs!$C$68),F2927*H2927*Inputs!$C$69,"")</f>
      </c>
    </row>
    <row r="2928" spans="2:10" ht="15" customHeight="1" x14ac:dyDescent="0.2">
      <c r="B2928" s="39">
        <f t="shared" si="22"/>
      </c>
      <c r="C2928" s="40">
        <f>IF(Inputs!$C$60,Inputs!$C$11+(B2928-Inputs!$C$69)/Inputs!$C$70,"")</f>
      </c>
      <c r="D2928" s="15"/>
      <c r="E2928" s="15"/>
      <c r="F2928" s="11">
        <f t="shared" si="23"/>
      </c>
      <c r="G2928" s="22" cm="1">
        <f t="array" ref="G2928">IF(AND(Inputs!$C$60,Inputs!$C$61),INDEX(Utility_Rates!$C$29:$F$52,HOUR(C2928)+Inputs!$C$69,MATCH(INDEX(Utility_Rates!$K$6:$K$17,MONTH(C2928))&amp;IF(WEEKDAY(C2928,Inputs!$C$76)&lt;=Inputs!$C$74," weekday"," weekend"),Utility_Rates!$C$28:$F$28,Inputs!$C$68)),"")</f>
      </c>
      <c r="H2928" s="34"/>
      <c r="I2928" s="42">
        <f>IF(AND(ISNUMBER(D2928),ISNUMBER(H2928)),D2928*H2928*Inputs!$C$69,"")</f>
      </c>
      <c r="J2928" s="42">
        <f>IF(AND(ISNUMBER(F2928),ISNUMBER(H2928),F2928&gt;=Inputs!$C$68),F2928*H2928*Inputs!$C$69,"")</f>
      </c>
    </row>
    <row r="2929" spans="2:10" ht="15" customHeight="1" x14ac:dyDescent="0.2">
      <c r="B2929" s="39">
        <f t="shared" si="22"/>
      </c>
      <c r="C2929" s="40">
        <f>IF(Inputs!$C$60,Inputs!$C$11+(B2929-Inputs!$C$69)/Inputs!$C$70,"")</f>
      </c>
      <c r="D2929" s="15"/>
      <c r="E2929" s="15"/>
      <c r="F2929" s="11">
        <f t="shared" si="23"/>
      </c>
      <c r="G2929" s="22" cm="1">
        <f t="array" ref="G2929">IF(AND(Inputs!$C$60,Inputs!$C$61),INDEX(Utility_Rates!$C$29:$F$52,HOUR(C2929)+Inputs!$C$69,MATCH(INDEX(Utility_Rates!$K$6:$K$17,MONTH(C2929))&amp;IF(WEEKDAY(C2929,Inputs!$C$76)&lt;=Inputs!$C$74," weekday"," weekend"),Utility_Rates!$C$28:$F$28,Inputs!$C$68)),"")</f>
      </c>
      <c r="H2929" s="34"/>
      <c r="I2929" s="42">
        <f>IF(AND(ISNUMBER(D2929),ISNUMBER(H2929)),D2929*H2929*Inputs!$C$69,"")</f>
      </c>
      <c r="J2929" s="42">
        <f>IF(AND(ISNUMBER(F2929),ISNUMBER(H2929),F2929&gt;=Inputs!$C$68),F2929*H2929*Inputs!$C$69,"")</f>
      </c>
    </row>
    <row r="2930" spans="2:10" ht="15" customHeight="1" x14ac:dyDescent="0.2">
      <c r="B2930" s="39">
        <f t="shared" si="22"/>
      </c>
      <c r="C2930" s="40">
        <f>IF(Inputs!$C$60,Inputs!$C$11+(B2930-Inputs!$C$69)/Inputs!$C$70,"")</f>
      </c>
      <c r="D2930" s="15"/>
      <c r="E2930" s="15"/>
      <c r="F2930" s="11">
        <f t="shared" si="23"/>
      </c>
      <c r="G2930" s="22" cm="1">
        <f t="array" ref="G2930">IF(AND(Inputs!$C$60,Inputs!$C$61),INDEX(Utility_Rates!$C$29:$F$52,HOUR(C2930)+Inputs!$C$69,MATCH(INDEX(Utility_Rates!$K$6:$K$17,MONTH(C2930))&amp;IF(WEEKDAY(C2930,Inputs!$C$76)&lt;=Inputs!$C$74," weekday"," weekend"),Utility_Rates!$C$28:$F$28,Inputs!$C$68)),"")</f>
      </c>
      <c r="H2930" s="34"/>
      <c r="I2930" s="42">
        <f>IF(AND(ISNUMBER(D2930),ISNUMBER(H2930)),D2930*H2930*Inputs!$C$69,"")</f>
      </c>
      <c r="J2930" s="42">
        <f>IF(AND(ISNUMBER(F2930),ISNUMBER(H2930),F2930&gt;=Inputs!$C$68),F2930*H2930*Inputs!$C$69,"")</f>
      </c>
    </row>
    <row r="2931" spans="2:10" ht="15" customHeight="1" x14ac:dyDescent="0.2">
      <c r="B2931" s="39">
        <f t="shared" si="22"/>
      </c>
      <c r="C2931" s="40">
        <f>IF(Inputs!$C$60,Inputs!$C$11+(B2931-Inputs!$C$69)/Inputs!$C$70,"")</f>
      </c>
      <c r="D2931" s="15"/>
      <c r="E2931" s="15"/>
      <c r="F2931" s="11">
        <f t="shared" si="23"/>
      </c>
      <c r="G2931" s="22" cm="1">
        <f t="array" ref="G2931">IF(AND(Inputs!$C$60,Inputs!$C$61),INDEX(Utility_Rates!$C$29:$F$52,HOUR(C2931)+Inputs!$C$69,MATCH(INDEX(Utility_Rates!$K$6:$K$17,MONTH(C2931))&amp;IF(WEEKDAY(C2931,Inputs!$C$76)&lt;=Inputs!$C$74," weekday"," weekend"),Utility_Rates!$C$28:$F$28,Inputs!$C$68)),"")</f>
      </c>
      <c r="H2931" s="34"/>
      <c r="I2931" s="42">
        <f>IF(AND(ISNUMBER(D2931),ISNUMBER(H2931)),D2931*H2931*Inputs!$C$69,"")</f>
      </c>
      <c r="J2931" s="42">
        <f>IF(AND(ISNUMBER(F2931),ISNUMBER(H2931),F2931&gt;=Inputs!$C$68),F2931*H2931*Inputs!$C$69,"")</f>
      </c>
    </row>
    <row r="2932" spans="2:10" ht="15" customHeight="1" x14ac:dyDescent="0.2">
      <c r="B2932" s="39">
        <f t="shared" si="22"/>
      </c>
      <c r="C2932" s="40">
        <f>IF(Inputs!$C$60,Inputs!$C$11+(B2932-Inputs!$C$69)/Inputs!$C$70,"")</f>
      </c>
      <c r="D2932" s="15"/>
      <c r="E2932" s="15"/>
      <c r="F2932" s="11">
        <f t="shared" si="23"/>
      </c>
      <c r="G2932" s="22" cm="1">
        <f t="array" ref="G2932">IF(AND(Inputs!$C$60,Inputs!$C$61),INDEX(Utility_Rates!$C$29:$F$52,HOUR(C2932)+Inputs!$C$69,MATCH(INDEX(Utility_Rates!$K$6:$K$17,MONTH(C2932))&amp;IF(WEEKDAY(C2932,Inputs!$C$76)&lt;=Inputs!$C$74," weekday"," weekend"),Utility_Rates!$C$28:$F$28,Inputs!$C$68)),"")</f>
      </c>
      <c r="H2932" s="34"/>
      <c r="I2932" s="42">
        <f>IF(AND(ISNUMBER(D2932),ISNUMBER(H2932)),D2932*H2932*Inputs!$C$69,"")</f>
      </c>
      <c r="J2932" s="42">
        <f>IF(AND(ISNUMBER(F2932),ISNUMBER(H2932),F2932&gt;=Inputs!$C$68),F2932*H2932*Inputs!$C$69,"")</f>
      </c>
    </row>
    <row r="2933" spans="2:10" ht="15" customHeight="1" x14ac:dyDescent="0.2">
      <c r="B2933" s="39">
        <f t="shared" si="22"/>
      </c>
      <c r="C2933" s="40">
        <f>IF(Inputs!$C$60,Inputs!$C$11+(B2933-Inputs!$C$69)/Inputs!$C$70,"")</f>
      </c>
      <c r="D2933" s="15"/>
      <c r="E2933" s="15"/>
      <c r="F2933" s="11">
        <f t="shared" si="23"/>
      </c>
      <c r="G2933" s="22" cm="1">
        <f t="array" ref="G2933">IF(AND(Inputs!$C$60,Inputs!$C$61),INDEX(Utility_Rates!$C$29:$F$52,HOUR(C2933)+Inputs!$C$69,MATCH(INDEX(Utility_Rates!$K$6:$K$17,MONTH(C2933))&amp;IF(WEEKDAY(C2933,Inputs!$C$76)&lt;=Inputs!$C$74," weekday"," weekend"),Utility_Rates!$C$28:$F$28,Inputs!$C$68)),"")</f>
      </c>
      <c r="H2933" s="34"/>
      <c r="I2933" s="42">
        <f>IF(AND(ISNUMBER(D2933),ISNUMBER(H2933)),D2933*H2933*Inputs!$C$69,"")</f>
      </c>
      <c r="J2933" s="42">
        <f>IF(AND(ISNUMBER(F2933),ISNUMBER(H2933),F2933&gt;=Inputs!$C$68),F2933*H2933*Inputs!$C$69,"")</f>
      </c>
    </row>
    <row r="2934" spans="2:10" ht="15" customHeight="1" x14ac:dyDescent="0.2">
      <c r="B2934" s="39">
        <f t="shared" si="22"/>
      </c>
      <c r="C2934" s="40">
        <f>IF(Inputs!$C$60,Inputs!$C$11+(B2934-Inputs!$C$69)/Inputs!$C$70,"")</f>
      </c>
      <c r="D2934" s="15"/>
      <c r="E2934" s="15"/>
      <c r="F2934" s="11">
        <f t="shared" si="23"/>
      </c>
      <c r="G2934" s="22" cm="1">
        <f t="array" ref="G2934">IF(AND(Inputs!$C$60,Inputs!$C$61),INDEX(Utility_Rates!$C$29:$F$52,HOUR(C2934)+Inputs!$C$69,MATCH(INDEX(Utility_Rates!$K$6:$K$17,MONTH(C2934))&amp;IF(WEEKDAY(C2934,Inputs!$C$76)&lt;=Inputs!$C$74," weekday"," weekend"),Utility_Rates!$C$28:$F$28,Inputs!$C$68)),"")</f>
      </c>
      <c r="H2934" s="34"/>
      <c r="I2934" s="42">
        <f>IF(AND(ISNUMBER(D2934),ISNUMBER(H2934)),D2934*H2934*Inputs!$C$69,"")</f>
      </c>
      <c r="J2934" s="42">
        <f>IF(AND(ISNUMBER(F2934),ISNUMBER(H2934),F2934&gt;=Inputs!$C$68),F2934*H2934*Inputs!$C$69,"")</f>
      </c>
    </row>
    <row r="2935" spans="2:10" ht="15" customHeight="1" x14ac:dyDescent="0.2">
      <c r="B2935" s="39">
        <f t="shared" si="22"/>
      </c>
      <c r="C2935" s="40">
        <f>IF(Inputs!$C$60,Inputs!$C$11+(B2935-Inputs!$C$69)/Inputs!$C$70,"")</f>
      </c>
      <c r="D2935" s="15"/>
      <c r="E2935" s="15"/>
      <c r="F2935" s="11">
        <f t="shared" si="23"/>
      </c>
      <c r="G2935" s="22" cm="1">
        <f t="array" ref="G2935">IF(AND(Inputs!$C$60,Inputs!$C$61),INDEX(Utility_Rates!$C$29:$F$52,HOUR(C2935)+Inputs!$C$69,MATCH(INDEX(Utility_Rates!$K$6:$K$17,MONTH(C2935))&amp;IF(WEEKDAY(C2935,Inputs!$C$76)&lt;=Inputs!$C$74," weekday"," weekend"),Utility_Rates!$C$28:$F$28,Inputs!$C$68)),"")</f>
      </c>
      <c r="H2935" s="34"/>
      <c r="I2935" s="42">
        <f>IF(AND(ISNUMBER(D2935),ISNUMBER(H2935)),D2935*H2935*Inputs!$C$69,"")</f>
      </c>
      <c r="J2935" s="42">
        <f>IF(AND(ISNUMBER(F2935),ISNUMBER(H2935),F2935&gt;=Inputs!$C$68),F2935*H2935*Inputs!$C$69,"")</f>
      </c>
    </row>
    <row r="2936" spans="2:10" ht="15" customHeight="1" x14ac:dyDescent="0.2">
      <c r="B2936" s="39">
        <f t="shared" si="22"/>
      </c>
      <c r="C2936" s="40">
        <f>IF(Inputs!$C$60,Inputs!$C$11+(B2936-Inputs!$C$69)/Inputs!$C$70,"")</f>
      </c>
      <c r="D2936" s="15"/>
      <c r="E2936" s="15"/>
      <c r="F2936" s="11">
        <f t="shared" si="23"/>
      </c>
      <c r="G2936" s="22" cm="1">
        <f t="array" ref="G2936">IF(AND(Inputs!$C$60,Inputs!$C$61),INDEX(Utility_Rates!$C$29:$F$52,HOUR(C2936)+Inputs!$C$69,MATCH(INDEX(Utility_Rates!$K$6:$K$17,MONTH(C2936))&amp;IF(WEEKDAY(C2936,Inputs!$C$76)&lt;=Inputs!$C$74," weekday"," weekend"),Utility_Rates!$C$28:$F$28,Inputs!$C$68)),"")</f>
      </c>
      <c r="H2936" s="34"/>
      <c r="I2936" s="42">
        <f>IF(AND(ISNUMBER(D2936),ISNUMBER(H2936)),D2936*H2936*Inputs!$C$69,"")</f>
      </c>
      <c r="J2936" s="42">
        <f>IF(AND(ISNUMBER(F2936),ISNUMBER(H2936),F2936&gt;=Inputs!$C$68),F2936*H2936*Inputs!$C$69,"")</f>
      </c>
    </row>
    <row r="2937" spans="2:10" ht="15" customHeight="1" x14ac:dyDescent="0.2">
      <c r="B2937" s="39">
        <f t="shared" si="22"/>
      </c>
      <c r="C2937" s="40">
        <f>IF(Inputs!$C$60,Inputs!$C$11+(B2937-Inputs!$C$69)/Inputs!$C$70,"")</f>
      </c>
      <c r="D2937" s="15"/>
      <c r="E2937" s="15"/>
      <c r="F2937" s="11">
        <f t="shared" si="23"/>
      </c>
      <c r="G2937" s="22" cm="1">
        <f t="array" ref="G2937">IF(AND(Inputs!$C$60,Inputs!$C$61),INDEX(Utility_Rates!$C$29:$F$52,HOUR(C2937)+Inputs!$C$69,MATCH(INDEX(Utility_Rates!$K$6:$K$17,MONTH(C2937))&amp;IF(WEEKDAY(C2937,Inputs!$C$76)&lt;=Inputs!$C$74," weekday"," weekend"),Utility_Rates!$C$28:$F$28,Inputs!$C$68)),"")</f>
      </c>
      <c r="H2937" s="34"/>
      <c r="I2937" s="42">
        <f>IF(AND(ISNUMBER(D2937),ISNUMBER(H2937)),D2937*H2937*Inputs!$C$69,"")</f>
      </c>
      <c r="J2937" s="42">
        <f>IF(AND(ISNUMBER(F2937),ISNUMBER(H2937),F2937&gt;=Inputs!$C$68),F2937*H2937*Inputs!$C$69,"")</f>
      </c>
    </row>
    <row r="2938" spans="2:10" ht="15" customHeight="1" x14ac:dyDescent="0.2">
      <c r="B2938" s="39">
        <f t="shared" si="22"/>
      </c>
      <c r="C2938" s="40">
        <f>IF(Inputs!$C$60,Inputs!$C$11+(B2938-Inputs!$C$69)/Inputs!$C$70,"")</f>
      </c>
      <c r="D2938" s="15"/>
      <c r="E2938" s="15"/>
      <c r="F2938" s="11">
        <f t="shared" si="23"/>
      </c>
      <c r="G2938" s="22" cm="1">
        <f t="array" ref="G2938">IF(AND(Inputs!$C$60,Inputs!$C$61),INDEX(Utility_Rates!$C$29:$F$52,HOUR(C2938)+Inputs!$C$69,MATCH(INDEX(Utility_Rates!$K$6:$K$17,MONTH(C2938))&amp;IF(WEEKDAY(C2938,Inputs!$C$76)&lt;=Inputs!$C$74," weekday"," weekend"),Utility_Rates!$C$28:$F$28,Inputs!$C$68)),"")</f>
      </c>
      <c r="H2938" s="34"/>
      <c r="I2938" s="42">
        <f>IF(AND(ISNUMBER(D2938),ISNUMBER(H2938)),D2938*H2938*Inputs!$C$69,"")</f>
      </c>
      <c r="J2938" s="42">
        <f>IF(AND(ISNUMBER(F2938),ISNUMBER(H2938),F2938&gt;=Inputs!$C$68),F2938*H2938*Inputs!$C$69,"")</f>
      </c>
    </row>
    <row r="2939" spans="2:10" ht="15" customHeight="1" x14ac:dyDescent="0.2">
      <c r="B2939" s="39">
        <f t="shared" si="22"/>
      </c>
      <c r="C2939" s="40">
        <f>IF(Inputs!$C$60,Inputs!$C$11+(B2939-Inputs!$C$69)/Inputs!$C$70,"")</f>
      </c>
      <c r="D2939" s="15"/>
      <c r="E2939" s="15"/>
      <c r="F2939" s="11">
        <f t="shared" si="23"/>
      </c>
      <c r="G2939" s="22" cm="1">
        <f t="array" ref="G2939">IF(AND(Inputs!$C$60,Inputs!$C$61),INDEX(Utility_Rates!$C$29:$F$52,HOUR(C2939)+Inputs!$C$69,MATCH(INDEX(Utility_Rates!$K$6:$K$17,MONTH(C2939))&amp;IF(WEEKDAY(C2939,Inputs!$C$76)&lt;=Inputs!$C$74," weekday"," weekend"),Utility_Rates!$C$28:$F$28,Inputs!$C$68)),"")</f>
      </c>
      <c r="H2939" s="34"/>
      <c r="I2939" s="42">
        <f>IF(AND(ISNUMBER(D2939),ISNUMBER(H2939)),D2939*H2939*Inputs!$C$69,"")</f>
      </c>
      <c r="J2939" s="42">
        <f>IF(AND(ISNUMBER(F2939),ISNUMBER(H2939),F2939&gt;=Inputs!$C$68),F2939*H2939*Inputs!$C$69,"")</f>
      </c>
    </row>
    <row r="2940" spans="2:10" ht="15" customHeight="1" x14ac:dyDescent="0.2">
      <c r="B2940" s="39">
        <f t="shared" si="22"/>
      </c>
      <c r="C2940" s="40">
        <f>IF(Inputs!$C$60,Inputs!$C$11+(B2940-Inputs!$C$69)/Inputs!$C$70,"")</f>
      </c>
      <c r="D2940" s="15"/>
      <c r="E2940" s="15"/>
      <c r="F2940" s="11">
        <f t="shared" si="23"/>
      </c>
      <c r="G2940" s="22" cm="1">
        <f t="array" ref="G2940">IF(AND(Inputs!$C$60,Inputs!$C$61),INDEX(Utility_Rates!$C$29:$F$52,HOUR(C2940)+Inputs!$C$69,MATCH(INDEX(Utility_Rates!$K$6:$K$17,MONTH(C2940))&amp;IF(WEEKDAY(C2940,Inputs!$C$76)&lt;=Inputs!$C$74," weekday"," weekend"),Utility_Rates!$C$28:$F$28,Inputs!$C$68)),"")</f>
      </c>
      <c r="H2940" s="34"/>
      <c r="I2940" s="42">
        <f>IF(AND(ISNUMBER(D2940),ISNUMBER(H2940)),D2940*H2940*Inputs!$C$69,"")</f>
      </c>
      <c r="J2940" s="42">
        <f>IF(AND(ISNUMBER(F2940),ISNUMBER(H2940),F2940&gt;=Inputs!$C$68),F2940*H2940*Inputs!$C$69,"")</f>
      </c>
    </row>
    <row r="2941" spans="2:10" ht="15" customHeight="1" x14ac:dyDescent="0.2">
      <c r="B2941" s="39">
        <f t="shared" si="22"/>
      </c>
      <c r="C2941" s="40">
        <f>IF(Inputs!$C$60,Inputs!$C$11+(B2941-Inputs!$C$69)/Inputs!$C$70,"")</f>
      </c>
      <c r="D2941" s="15"/>
      <c r="E2941" s="15"/>
      <c r="F2941" s="11">
        <f t="shared" si="23"/>
      </c>
      <c r="G2941" s="22" cm="1">
        <f t="array" ref="G2941">IF(AND(Inputs!$C$60,Inputs!$C$61),INDEX(Utility_Rates!$C$29:$F$52,HOUR(C2941)+Inputs!$C$69,MATCH(INDEX(Utility_Rates!$K$6:$K$17,MONTH(C2941))&amp;IF(WEEKDAY(C2941,Inputs!$C$76)&lt;=Inputs!$C$74," weekday"," weekend"),Utility_Rates!$C$28:$F$28,Inputs!$C$68)),"")</f>
      </c>
      <c r="H2941" s="34"/>
      <c r="I2941" s="42">
        <f>IF(AND(ISNUMBER(D2941),ISNUMBER(H2941)),D2941*H2941*Inputs!$C$69,"")</f>
      </c>
      <c r="J2941" s="42">
        <f>IF(AND(ISNUMBER(F2941),ISNUMBER(H2941),F2941&gt;=Inputs!$C$68),F2941*H2941*Inputs!$C$69,"")</f>
      </c>
    </row>
    <row r="2942" spans="2:10" ht="15" customHeight="1" x14ac:dyDescent="0.2">
      <c r="B2942" s="39">
        <f t="shared" si="22"/>
      </c>
      <c r="C2942" s="40">
        <f>IF(Inputs!$C$60,Inputs!$C$11+(B2942-Inputs!$C$69)/Inputs!$C$70,"")</f>
      </c>
      <c r="D2942" s="15"/>
      <c r="E2942" s="15"/>
      <c r="F2942" s="11">
        <f t="shared" si="23"/>
      </c>
      <c r="G2942" s="22" cm="1">
        <f t="array" ref="G2942">IF(AND(Inputs!$C$60,Inputs!$C$61),INDEX(Utility_Rates!$C$29:$F$52,HOUR(C2942)+Inputs!$C$69,MATCH(INDEX(Utility_Rates!$K$6:$K$17,MONTH(C2942))&amp;IF(WEEKDAY(C2942,Inputs!$C$76)&lt;=Inputs!$C$74," weekday"," weekend"),Utility_Rates!$C$28:$F$28,Inputs!$C$68)),"")</f>
      </c>
      <c r="H2942" s="34"/>
      <c r="I2942" s="42">
        <f>IF(AND(ISNUMBER(D2942),ISNUMBER(H2942)),D2942*H2942*Inputs!$C$69,"")</f>
      </c>
      <c r="J2942" s="42">
        <f>IF(AND(ISNUMBER(F2942),ISNUMBER(H2942),F2942&gt;=Inputs!$C$68),F2942*H2942*Inputs!$C$69,"")</f>
      </c>
    </row>
    <row r="2943" spans="2:10" ht="15" customHeight="1" x14ac:dyDescent="0.2">
      <c r="B2943" s="39">
        <f t="shared" si="22"/>
      </c>
      <c r="C2943" s="40">
        <f>IF(Inputs!$C$60,Inputs!$C$11+(B2943-Inputs!$C$69)/Inputs!$C$70,"")</f>
      </c>
      <c r="D2943" s="15"/>
      <c r="E2943" s="15"/>
      <c r="F2943" s="11">
        <f t="shared" si="23"/>
      </c>
      <c r="G2943" s="22" cm="1">
        <f t="array" ref="G2943">IF(AND(Inputs!$C$60,Inputs!$C$61),INDEX(Utility_Rates!$C$29:$F$52,HOUR(C2943)+Inputs!$C$69,MATCH(INDEX(Utility_Rates!$K$6:$K$17,MONTH(C2943))&amp;IF(WEEKDAY(C2943,Inputs!$C$76)&lt;=Inputs!$C$74," weekday"," weekend"),Utility_Rates!$C$28:$F$28,Inputs!$C$68)),"")</f>
      </c>
      <c r="H2943" s="34"/>
      <c r="I2943" s="42">
        <f>IF(AND(ISNUMBER(D2943),ISNUMBER(H2943)),D2943*H2943*Inputs!$C$69,"")</f>
      </c>
      <c r="J2943" s="42">
        <f>IF(AND(ISNUMBER(F2943),ISNUMBER(H2943),F2943&gt;=Inputs!$C$68),F2943*H2943*Inputs!$C$69,"")</f>
      </c>
    </row>
    <row r="2944" spans="2:10" ht="15" customHeight="1" x14ac:dyDescent="0.2">
      <c r="B2944" s="39">
        <f t="shared" si="22"/>
      </c>
      <c r="C2944" s="40">
        <f>IF(Inputs!$C$60,Inputs!$C$11+(B2944-Inputs!$C$69)/Inputs!$C$70,"")</f>
      </c>
      <c r="D2944" s="15"/>
      <c r="E2944" s="15"/>
      <c r="F2944" s="11">
        <f t="shared" si="23"/>
      </c>
      <c r="G2944" s="22" cm="1">
        <f t="array" ref="G2944">IF(AND(Inputs!$C$60,Inputs!$C$61),INDEX(Utility_Rates!$C$29:$F$52,HOUR(C2944)+Inputs!$C$69,MATCH(INDEX(Utility_Rates!$K$6:$K$17,MONTH(C2944))&amp;IF(WEEKDAY(C2944,Inputs!$C$76)&lt;=Inputs!$C$74," weekday"," weekend"),Utility_Rates!$C$28:$F$28,Inputs!$C$68)),"")</f>
      </c>
      <c r="H2944" s="34"/>
      <c r="I2944" s="42">
        <f>IF(AND(ISNUMBER(D2944),ISNUMBER(H2944)),D2944*H2944*Inputs!$C$69,"")</f>
      </c>
      <c r="J2944" s="42">
        <f>IF(AND(ISNUMBER(F2944),ISNUMBER(H2944),F2944&gt;=Inputs!$C$68),F2944*H2944*Inputs!$C$69,"")</f>
      </c>
    </row>
    <row r="2945" spans="2:10" ht="15" customHeight="1" x14ac:dyDescent="0.2">
      <c r="B2945" s="39">
        <f t="shared" si="22"/>
      </c>
      <c r="C2945" s="40">
        <f>IF(Inputs!$C$60,Inputs!$C$11+(B2945-Inputs!$C$69)/Inputs!$C$70,"")</f>
      </c>
      <c r="D2945" s="15"/>
      <c r="E2945" s="15"/>
      <c r="F2945" s="11">
        <f t="shared" si="23"/>
      </c>
      <c r="G2945" s="22" cm="1">
        <f t="array" ref="G2945">IF(AND(Inputs!$C$60,Inputs!$C$61),INDEX(Utility_Rates!$C$29:$F$52,HOUR(C2945)+Inputs!$C$69,MATCH(INDEX(Utility_Rates!$K$6:$K$17,MONTH(C2945))&amp;IF(WEEKDAY(C2945,Inputs!$C$76)&lt;=Inputs!$C$74," weekday"," weekend"),Utility_Rates!$C$28:$F$28,Inputs!$C$68)),"")</f>
      </c>
      <c r="H2945" s="34"/>
      <c r="I2945" s="42">
        <f>IF(AND(ISNUMBER(D2945),ISNUMBER(H2945)),D2945*H2945*Inputs!$C$69,"")</f>
      </c>
      <c r="J2945" s="42">
        <f>IF(AND(ISNUMBER(F2945),ISNUMBER(H2945),F2945&gt;=Inputs!$C$68),F2945*H2945*Inputs!$C$69,"")</f>
      </c>
    </row>
    <row r="2946" spans="2:10" ht="15" customHeight="1" x14ac:dyDescent="0.2">
      <c r="B2946" s="39">
        <f t="shared" si="22"/>
      </c>
      <c r="C2946" s="40">
        <f>IF(Inputs!$C$60,Inputs!$C$11+(B2946-Inputs!$C$69)/Inputs!$C$70,"")</f>
      </c>
      <c r="D2946" s="15"/>
      <c r="E2946" s="15"/>
      <c r="F2946" s="11">
        <f t="shared" si="23"/>
      </c>
      <c r="G2946" s="22" cm="1">
        <f t="array" ref="G2946">IF(AND(Inputs!$C$60,Inputs!$C$61),INDEX(Utility_Rates!$C$29:$F$52,HOUR(C2946)+Inputs!$C$69,MATCH(INDEX(Utility_Rates!$K$6:$K$17,MONTH(C2946))&amp;IF(WEEKDAY(C2946,Inputs!$C$76)&lt;=Inputs!$C$74," weekday"," weekend"),Utility_Rates!$C$28:$F$28,Inputs!$C$68)),"")</f>
      </c>
      <c r="H2946" s="34"/>
      <c r="I2946" s="42">
        <f>IF(AND(ISNUMBER(D2946),ISNUMBER(H2946)),D2946*H2946*Inputs!$C$69,"")</f>
      </c>
      <c r="J2946" s="42">
        <f>IF(AND(ISNUMBER(F2946),ISNUMBER(H2946),F2946&gt;=Inputs!$C$68),F2946*H2946*Inputs!$C$69,"")</f>
      </c>
    </row>
    <row r="2947" spans="2:10" ht="15" customHeight="1" x14ac:dyDescent="0.2">
      <c r="B2947" s="39">
        <f t="shared" si="22"/>
      </c>
      <c r="C2947" s="40">
        <f>IF(Inputs!$C$60,Inputs!$C$11+(B2947-Inputs!$C$69)/Inputs!$C$70,"")</f>
      </c>
      <c r="D2947" s="15"/>
      <c r="E2947" s="15"/>
      <c r="F2947" s="11">
        <f t="shared" si="23"/>
      </c>
      <c r="G2947" s="22" cm="1">
        <f t="array" ref="G2947">IF(AND(Inputs!$C$60,Inputs!$C$61),INDEX(Utility_Rates!$C$29:$F$52,HOUR(C2947)+Inputs!$C$69,MATCH(INDEX(Utility_Rates!$K$6:$K$17,MONTH(C2947))&amp;IF(WEEKDAY(C2947,Inputs!$C$76)&lt;=Inputs!$C$74," weekday"," weekend"),Utility_Rates!$C$28:$F$28,Inputs!$C$68)),"")</f>
      </c>
      <c r="H2947" s="34"/>
      <c r="I2947" s="42">
        <f>IF(AND(ISNUMBER(D2947),ISNUMBER(H2947)),D2947*H2947*Inputs!$C$69,"")</f>
      </c>
      <c r="J2947" s="42">
        <f>IF(AND(ISNUMBER(F2947),ISNUMBER(H2947),F2947&gt;=Inputs!$C$68),F2947*H2947*Inputs!$C$69,"")</f>
      </c>
    </row>
    <row r="2948" spans="2:10" ht="15" customHeight="1" x14ac:dyDescent="0.2">
      <c r="B2948" s="39">
        <f t="shared" si="22"/>
      </c>
      <c r="C2948" s="40">
        <f>IF(Inputs!$C$60,Inputs!$C$11+(B2948-Inputs!$C$69)/Inputs!$C$70,"")</f>
      </c>
      <c r="D2948" s="15"/>
      <c r="E2948" s="15"/>
      <c r="F2948" s="11">
        <f t="shared" si="23"/>
      </c>
      <c r="G2948" s="22" cm="1">
        <f t="array" ref="G2948">IF(AND(Inputs!$C$60,Inputs!$C$61),INDEX(Utility_Rates!$C$29:$F$52,HOUR(C2948)+Inputs!$C$69,MATCH(INDEX(Utility_Rates!$K$6:$K$17,MONTH(C2948))&amp;IF(WEEKDAY(C2948,Inputs!$C$76)&lt;=Inputs!$C$74," weekday"," weekend"),Utility_Rates!$C$28:$F$28,Inputs!$C$68)),"")</f>
      </c>
      <c r="H2948" s="34"/>
      <c r="I2948" s="42">
        <f>IF(AND(ISNUMBER(D2948),ISNUMBER(H2948)),D2948*H2948*Inputs!$C$69,"")</f>
      </c>
      <c r="J2948" s="42">
        <f>IF(AND(ISNUMBER(F2948),ISNUMBER(H2948),F2948&gt;=Inputs!$C$68),F2948*H2948*Inputs!$C$69,"")</f>
      </c>
    </row>
    <row r="2949" spans="2:10" ht="15" customHeight="1" x14ac:dyDescent="0.2">
      <c r="B2949" s="39">
        <f t="shared" si="22"/>
      </c>
      <c r="C2949" s="40">
        <f>IF(Inputs!$C$60,Inputs!$C$11+(B2949-Inputs!$C$69)/Inputs!$C$70,"")</f>
      </c>
      <c r="D2949" s="15"/>
      <c r="E2949" s="15"/>
      <c r="F2949" s="11">
        <f t="shared" si="23"/>
      </c>
      <c r="G2949" s="22" cm="1">
        <f t="array" ref="G2949">IF(AND(Inputs!$C$60,Inputs!$C$61),INDEX(Utility_Rates!$C$29:$F$52,HOUR(C2949)+Inputs!$C$69,MATCH(INDEX(Utility_Rates!$K$6:$K$17,MONTH(C2949))&amp;IF(WEEKDAY(C2949,Inputs!$C$76)&lt;=Inputs!$C$74," weekday"," weekend"),Utility_Rates!$C$28:$F$28,Inputs!$C$68)),"")</f>
      </c>
      <c r="H2949" s="34"/>
      <c r="I2949" s="42">
        <f>IF(AND(ISNUMBER(D2949),ISNUMBER(H2949)),D2949*H2949*Inputs!$C$69,"")</f>
      </c>
      <c r="J2949" s="42">
        <f>IF(AND(ISNUMBER(F2949),ISNUMBER(H2949),F2949&gt;=Inputs!$C$68),F2949*H2949*Inputs!$C$69,"")</f>
      </c>
    </row>
    <row r="2950" spans="2:10" ht="15" customHeight="1" x14ac:dyDescent="0.2">
      <c r="B2950" s="39">
        <f t="shared" si="22"/>
      </c>
      <c r="C2950" s="40">
        <f>IF(Inputs!$C$60,Inputs!$C$11+(B2950-Inputs!$C$69)/Inputs!$C$70,"")</f>
      </c>
      <c r="D2950" s="15"/>
      <c r="E2950" s="15"/>
      <c r="F2950" s="11">
        <f t="shared" si="23"/>
      </c>
      <c r="G2950" s="22" cm="1">
        <f t="array" ref="G2950">IF(AND(Inputs!$C$60,Inputs!$C$61),INDEX(Utility_Rates!$C$29:$F$52,HOUR(C2950)+Inputs!$C$69,MATCH(INDEX(Utility_Rates!$K$6:$K$17,MONTH(C2950))&amp;IF(WEEKDAY(C2950,Inputs!$C$76)&lt;=Inputs!$C$74," weekday"," weekend"),Utility_Rates!$C$28:$F$28,Inputs!$C$68)),"")</f>
      </c>
      <c r="H2950" s="34"/>
      <c r="I2950" s="42">
        <f>IF(AND(ISNUMBER(D2950),ISNUMBER(H2950)),D2950*H2950*Inputs!$C$69,"")</f>
      </c>
      <c r="J2950" s="42">
        <f>IF(AND(ISNUMBER(F2950),ISNUMBER(H2950),F2950&gt;=Inputs!$C$68),F2950*H2950*Inputs!$C$69,"")</f>
      </c>
    </row>
    <row r="2951" spans="2:10" ht="15" customHeight="1" x14ac:dyDescent="0.2">
      <c r="B2951" s="39">
        <f t="shared" si="22"/>
      </c>
      <c r="C2951" s="40">
        <f>IF(Inputs!$C$60,Inputs!$C$11+(B2951-Inputs!$C$69)/Inputs!$C$70,"")</f>
      </c>
      <c r="D2951" s="15"/>
      <c r="E2951" s="15"/>
      <c r="F2951" s="11">
        <f t="shared" si="23"/>
      </c>
      <c r="G2951" s="22" cm="1">
        <f t="array" ref="G2951">IF(AND(Inputs!$C$60,Inputs!$C$61),INDEX(Utility_Rates!$C$29:$F$52,HOUR(C2951)+Inputs!$C$69,MATCH(INDEX(Utility_Rates!$K$6:$K$17,MONTH(C2951))&amp;IF(WEEKDAY(C2951,Inputs!$C$76)&lt;=Inputs!$C$74," weekday"," weekend"),Utility_Rates!$C$28:$F$28,Inputs!$C$68)),"")</f>
      </c>
      <c r="H2951" s="34"/>
      <c r="I2951" s="42">
        <f>IF(AND(ISNUMBER(D2951),ISNUMBER(H2951)),D2951*H2951*Inputs!$C$69,"")</f>
      </c>
      <c r="J2951" s="42">
        <f>IF(AND(ISNUMBER(F2951),ISNUMBER(H2951),F2951&gt;=Inputs!$C$68),F2951*H2951*Inputs!$C$69,"")</f>
      </c>
    </row>
    <row r="2952" spans="2:10" ht="15" customHeight="1" x14ac:dyDescent="0.2">
      <c r="B2952" s="39">
        <f t="shared" si="22"/>
      </c>
      <c r="C2952" s="40">
        <f>IF(Inputs!$C$60,Inputs!$C$11+(B2952-Inputs!$C$69)/Inputs!$C$70,"")</f>
      </c>
      <c r="D2952" s="15"/>
      <c r="E2952" s="15"/>
      <c r="F2952" s="11">
        <f t="shared" si="23"/>
      </c>
      <c r="G2952" s="22" cm="1">
        <f t="array" ref="G2952">IF(AND(Inputs!$C$60,Inputs!$C$61),INDEX(Utility_Rates!$C$29:$F$52,HOUR(C2952)+Inputs!$C$69,MATCH(INDEX(Utility_Rates!$K$6:$K$17,MONTH(C2952))&amp;IF(WEEKDAY(C2952,Inputs!$C$76)&lt;=Inputs!$C$74," weekday"," weekend"),Utility_Rates!$C$28:$F$28,Inputs!$C$68)),"")</f>
      </c>
      <c r="H2952" s="34"/>
      <c r="I2952" s="42">
        <f>IF(AND(ISNUMBER(D2952),ISNUMBER(H2952)),D2952*H2952*Inputs!$C$69,"")</f>
      </c>
      <c r="J2952" s="42">
        <f>IF(AND(ISNUMBER(F2952),ISNUMBER(H2952),F2952&gt;=Inputs!$C$68),F2952*H2952*Inputs!$C$69,"")</f>
      </c>
    </row>
    <row r="2953" spans="2:10" ht="15" customHeight="1" x14ac:dyDescent="0.2">
      <c r="B2953" s="39">
        <f t="shared" si="22"/>
      </c>
      <c r="C2953" s="40">
        <f>IF(Inputs!$C$60,Inputs!$C$11+(B2953-Inputs!$C$69)/Inputs!$C$70,"")</f>
      </c>
      <c r="D2953" s="15"/>
      <c r="E2953" s="15"/>
      <c r="F2953" s="11">
        <f t="shared" si="23"/>
      </c>
      <c r="G2953" s="22" cm="1">
        <f t="array" ref="G2953">IF(AND(Inputs!$C$60,Inputs!$C$61),INDEX(Utility_Rates!$C$29:$F$52,HOUR(C2953)+Inputs!$C$69,MATCH(INDEX(Utility_Rates!$K$6:$K$17,MONTH(C2953))&amp;IF(WEEKDAY(C2953,Inputs!$C$76)&lt;=Inputs!$C$74," weekday"," weekend"),Utility_Rates!$C$28:$F$28,Inputs!$C$68)),"")</f>
      </c>
      <c r="H2953" s="34"/>
      <c r="I2953" s="42">
        <f>IF(AND(ISNUMBER(D2953),ISNUMBER(H2953)),D2953*H2953*Inputs!$C$69,"")</f>
      </c>
      <c r="J2953" s="42">
        <f>IF(AND(ISNUMBER(F2953),ISNUMBER(H2953),F2953&gt;=Inputs!$C$68),F2953*H2953*Inputs!$C$69,"")</f>
      </c>
    </row>
    <row r="2954" spans="2:10" ht="15" customHeight="1" x14ac:dyDescent="0.2">
      <c r="B2954" s="39">
        <f t="shared" si="22"/>
      </c>
      <c r="C2954" s="40">
        <f>IF(Inputs!$C$60,Inputs!$C$11+(B2954-Inputs!$C$69)/Inputs!$C$70,"")</f>
      </c>
      <c r="D2954" s="15"/>
      <c r="E2954" s="15"/>
      <c r="F2954" s="11">
        <f t="shared" si="23"/>
      </c>
      <c r="G2954" s="22" cm="1">
        <f t="array" ref="G2954">IF(AND(Inputs!$C$60,Inputs!$C$61),INDEX(Utility_Rates!$C$29:$F$52,HOUR(C2954)+Inputs!$C$69,MATCH(INDEX(Utility_Rates!$K$6:$K$17,MONTH(C2954))&amp;IF(WEEKDAY(C2954,Inputs!$C$76)&lt;=Inputs!$C$74," weekday"," weekend"),Utility_Rates!$C$28:$F$28,Inputs!$C$68)),"")</f>
      </c>
      <c r="H2954" s="34"/>
      <c r="I2954" s="42">
        <f>IF(AND(ISNUMBER(D2954),ISNUMBER(H2954)),D2954*H2954*Inputs!$C$69,"")</f>
      </c>
      <c r="J2954" s="42">
        <f>IF(AND(ISNUMBER(F2954),ISNUMBER(H2954),F2954&gt;=Inputs!$C$68),F2954*H2954*Inputs!$C$69,"")</f>
      </c>
    </row>
    <row r="2955" spans="2:10" ht="15" customHeight="1" x14ac:dyDescent="0.2">
      <c r="B2955" s="39">
        <f t="shared" si="22"/>
      </c>
      <c r="C2955" s="40">
        <f>IF(Inputs!$C$60,Inputs!$C$11+(B2955-Inputs!$C$69)/Inputs!$C$70,"")</f>
      </c>
      <c r="D2955" s="15"/>
      <c r="E2955" s="15"/>
      <c r="F2955" s="11">
        <f t="shared" si="23"/>
      </c>
      <c r="G2955" s="22" cm="1">
        <f t="array" ref="G2955">IF(AND(Inputs!$C$60,Inputs!$C$61),INDEX(Utility_Rates!$C$29:$F$52,HOUR(C2955)+Inputs!$C$69,MATCH(INDEX(Utility_Rates!$K$6:$K$17,MONTH(C2955))&amp;IF(WEEKDAY(C2955,Inputs!$C$76)&lt;=Inputs!$C$74," weekday"," weekend"),Utility_Rates!$C$28:$F$28,Inputs!$C$68)),"")</f>
      </c>
      <c r="H2955" s="34"/>
      <c r="I2955" s="42">
        <f>IF(AND(ISNUMBER(D2955),ISNUMBER(H2955)),D2955*H2955*Inputs!$C$69,"")</f>
      </c>
      <c r="J2955" s="42">
        <f>IF(AND(ISNUMBER(F2955),ISNUMBER(H2955),F2955&gt;=Inputs!$C$68),F2955*H2955*Inputs!$C$69,"")</f>
      </c>
    </row>
    <row r="2956" spans="2:10" ht="15" customHeight="1" x14ac:dyDescent="0.2">
      <c r="B2956" s="39">
        <f t="shared" si="22"/>
      </c>
      <c r="C2956" s="40">
        <f>IF(Inputs!$C$60,Inputs!$C$11+(B2956-Inputs!$C$69)/Inputs!$C$70,"")</f>
      </c>
      <c r="D2956" s="15"/>
      <c r="E2956" s="15"/>
      <c r="F2956" s="11">
        <f t="shared" si="23"/>
      </c>
      <c r="G2956" s="22" cm="1">
        <f t="array" ref="G2956">IF(AND(Inputs!$C$60,Inputs!$C$61),INDEX(Utility_Rates!$C$29:$F$52,HOUR(C2956)+Inputs!$C$69,MATCH(INDEX(Utility_Rates!$K$6:$K$17,MONTH(C2956))&amp;IF(WEEKDAY(C2956,Inputs!$C$76)&lt;=Inputs!$C$74," weekday"," weekend"),Utility_Rates!$C$28:$F$28,Inputs!$C$68)),"")</f>
      </c>
      <c r="H2956" s="34"/>
      <c r="I2956" s="42">
        <f>IF(AND(ISNUMBER(D2956),ISNUMBER(H2956)),D2956*H2956*Inputs!$C$69,"")</f>
      </c>
      <c r="J2956" s="42">
        <f>IF(AND(ISNUMBER(F2956),ISNUMBER(H2956),F2956&gt;=Inputs!$C$68),F2956*H2956*Inputs!$C$69,"")</f>
      </c>
    </row>
    <row r="2957" spans="2:10" ht="15" customHeight="1" x14ac:dyDescent="0.2">
      <c r="B2957" s="39">
        <f t="shared" si="22"/>
      </c>
      <c r="C2957" s="40">
        <f>IF(Inputs!$C$60,Inputs!$C$11+(B2957-Inputs!$C$69)/Inputs!$C$70,"")</f>
      </c>
      <c r="D2957" s="15"/>
      <c r="E2957" s="15"/>
      <c r="F2957" s="11">
        <f t="shared" si="23"/>
      </c>
      <c r="G2957" s="22" cm="1">
        <f t="array" ref="G2957">IF(AND(Inputs!$C$60,Inputs!$C$61),INDEX(Utility_Rates!$C$29:$F$52,HOUR(C2957)+Inputs!$C$69,MATCH(INDEX(Utility_Rates!$K$6:$K$17,MONTH(C2957))&amp;IF(WEEKDAY(C2957,Inputs!$C$76)&lt;=Inputs!$C$74," weekday"," weekend"),Utility_Rates!$C$28:$F$28,Inputs!$C$68)),"")</f>
      </c>
      <c r="H2957" s="34"/>
      <c r="I2957" s="42">
        <f>IF(AND(ISNUMBER(D2957),ISNUMBER(H2957)),D2957*H2957*Inputs!$C$69,"")</f>
      </c>
      <c r="J2957" s="42">
        <f>IF(AND(ISNUMBER(F2957),ISNUMBER(H2957),F2957&gt;=Inputs!$C$68),F2957*H2957*Inputs!$C$69,"")</f>
      </c>
    </row>
    <row r="2958" spans="2:10" ht="15" customHeight="1" x14ac:dyDescent="0.2">
      <c r="B2958" s="39">
        <f t="shared" si="22"/>
      </c>
      <c r="C2958" s="40">
        <f>IF(Inputs!$C$60,Inputs!$C$11+(B2958-Inputs!$C$69)/Inputs!$C$70,"")</f>
      </c>
      <c r="D2958" s="15"/>
      <c r="E2958" s="15"/>
      <c r="F2958" s="11">
        <f t="shared" si="23"/>
      </c>
      <c r="G2958" s="22" cm="1">
        <f t="array" ref="G2958">IF(AND(Inputs!$C$60,Inputs!$C$61),INDEX(Utility_Rates!$C$29:$F$52,HOUR(C2958)+Inputs!$C$69,MATCH(INDEX(Utility_Rates!$K$6:$K$17,MONTH(C2958))&amp;IF(WEEKDAY(C2958,Inputs!$C$76)&lt;=Inputs!$C$74," weekday"," weekend"),Utility_Rates!$C$28:$F$28,Inputs!$C$68)),"")</f>
      </c>
      <c r="H2958" s="34"/>
      <c r="I2958" s="42">
        <f>IF(AND(ISNUMBER(D2958),ISNUMBER(H2958)),D2958*H2958*Inputs!$C$69,"")</f>
      </c>
      <c r="J2958" s="42">
        <f>IF(AND(ISNUMBER(F2958),ISNUMBER(H2958),F2958&gt;=Inputs!$C$68),F2958*H2958*Inputs!$C$69,"")</f>
      </c>
    </row>
    <row r="2959" spans="2:10" ht="15" customHeight="1" x14ac:dyDescent="0.2">
      <c r="B2959" s="39">
        <f t="shared" si="22"/>
      </c>
      <c r="C2959" s="40">
        <f>IF(Inputs!$C$60,Inputs!$C$11+(B2959-Inputs!$C$69)/Inputs!$C$70,"")</f>
      </c>
      <c r="D2959" s="15"/>
      <c r="E2959" s="15"/>
      <c r="F2959" s="11">
        <f t="shared" si="23"/>
      </c>
      <c r="G2959" s="22" cm="1">
        <f t="array" ref="G2959">IF(AND(Inputs!$C$60,Inputs!$C$61),INDEX(Utility_Rates!$C$29:$F$52,HOUR(C2959)+Inputs!$C$69,MATCH(INDEX(Utility_Rates!$K$6:$K$17,MONTH(C2959))&amp;IF(WEEKDAY(C2959,Inputs!$C$76)&lt;=Inputs!$C$74," weekday"," weekend"),Utility_Rates!$C$28:$F$28,Inputs!$C$68)),"")</f>
      </c>
      <c r="H2959" s="34"/>
      <c r="I2959" s="42">
        <f>IF(AND(ISNUMBER(D2959),ISNUMBER(H2959)),D2959*H2959*Inputs!$C$69,"")</f>
      </c>
      <c r="J2959" s="42">
        <f>IF(AND(ISNUMBER(F2959),ISNUMBER(H2959),F2959&gt;=Inputs!$C$68),F2959*H2959*Inputs!$C$69,"")</f>
      </c>
    </row>
    <row r="2960" spans="2:10" ht="15" customHeight="1" x14ac:dyDescent="0.2">
      <c r="B2960" s="39">
        <f t="shared" si="22"/>
      </c>
      <c r="C2960" s="40">
        <f>IF(Inputs!$C$60,Inputs!$C$11+(B2960-Inputs!$C$69)/Inputs!$C$70,"")</f>
      </c>
      <c r="D2960" s="15"/>
      <c r="E2960" s="15"/>
      <c r="F2960" s="11">
        <f t="shared" si="23"/>
      </c>
      <c r="G2960" s="22" cm="1">
        <f t="array" ref="G2960">IF(AND(Inputs!$C$60,Inputs!$C$61),INDEX(Utility_Rates!$C$29:$F$52,HOUR(C2960)+Inputs!$C$69,MATCH(INDEX(Utility_Rates!$K$6:$K$17,MONTH(C2960))&amp;IF(WEEKDAY(C2960,Inputs!$C$76)&lt;=Inputs!$C$74," weekday"," weekend"),Utility_Rates!$C$28:$F$28,Inputs!$C$68)),"")</f>
      </c>
      <c r="H2960" s="34"/>
      <c r="I2960" s="42">
        <f>IF(AND(ISNUMBER(D2960),ISNUMBER(H2960)),D2960*H2960*Inputs!$C$69,"")</f>
      </c>
      <c r="J2960" s="42">
        <f>IF(AND(ISNUMBER(F2960),ISNUMBER(H2960),F2960&gt;=Inputs!$C$68),F2960*H2960*Inputs!$C$69,"")</f>
      </c>
    </row>
    <row r="2961" spans="2:10" ht="15" customHeight="1" x14ac:dyDescent="0.2">
      <c r="B2961" s="39">
        <f t="shared" si="22"/>
      </c>
      <c r="C2961" s="40">
        <f>IF(Inputs!$C$60,Inputs!$C$11+(B2961-Inputs!$C$69)/Inputs!$C$70,"")</f>
      </c>
      <c r="D2961" s="15"/>
      <c r="E2961" s="15"/>
      <c r="F2961" s="11">
        <f t="shared" si="23"/>
      </c>
      <c r="G2961" s="22" cm="1">
        <f t="array" ref="G2961">IF(AND(Inputs!$C$60,Inputs!$C$61),INDEX(Utility_Rates!$C$29:$F$52,HOUR(C2961)+Inputs!$C$69,MATCH(INDEX(Utility_Rates!$K$6:$K$17,MONTH(C2961))&amp;IF(WEEKDAY(C2961,Inputs!$C$76)&lt;=Inputs!$C$74," weekday"," weekend"),Utility_Rates!$C$28:$F$28,Inputs!$C$68)),"")</f>
      </c>
      <c r="H2961" s="34"/>
      <c r="I2961" s="42">
        <f>IF(AND(ISNUMBER(D2961),ISNUMBER(H2961)),D2961*H2961*Inputs!$C$69,"")</f>
      </c>
      <c r="J2961" s="42">
        <f>IF(AND(ISNUMBER(F2961),ISNUMBER(H2961),F2961&gt;=Inputs!$C$68),F2961*H2961*Inputs!$C$69,"")</f>
      </c>
    </row>
    <row r="2962" spans="2:10" ht="15" customHeight="1" x14ac:dyDescent="0.2">
      <c r="B2962" s="39">
        <f t="shared" si="22"/>
      </c>
      <c r="C2962" s="40">
        <f>IF(Inputs!$C$60,Inputs!$C$11+(B2962-Inputs!$C$69)/Inputs!$C$70,"")</f>
      </c>
      <c r="D2962" s="15"/>
      <c r="E2962" s="15"/>
      <c r="F2962" s="11">
        <f t="shared" si="23"/>
      </c>
      <c r="G2962" s="22" cm="1">
        <f t="array" ref="G2962">IF(AND(Inputs!$C$60,Inputs!$C$61),INDEX(Utility_Rates!$C$29:$F$52,HOUR(C2962)+Inputs!$C$69,MATCH(INDEX(Utility_Rates!$K$6:$K$17,MONTH(C2962))&amp;IF(WEEKDAY(C2962,Inputs!$C$76)&lt;=Inputs!$C$74," weekday"," weekend"),Utility_Rates!$C$28:$F$28,Inputs!$C$68)),"")</f>
      </c>
      <c r="H2962" s="34"/>
      <c r="I2962" s="42">
        <f>IF(AND(ISNUMBER(D2962),ISNUMBER(H2962)),D2962*H2962*Inputs!$C$69,"")</f>
      </c>
      <c r="J2962" s="42">
        <f>IF(AND(ISNUMBER(F2962),ISNUMBER(H2962),F2962&gt;=Inputs!$C$68),F2962*H2962*Inputs!$C$69,"")</f>
      </c>
    </row>
    <row r="2963" spans="2:10" ht="15" customHeight="1" x14ac:dyDescent="0.2">
      <c r="B2963" s="39">
        <f t="shared" si="22"/>
      </c>
      <c r="C2963" s="40">
        <f>IF(Inputs!$C$60,Inputs!$C$11+(B2963-Inputs!$C$69)/Inputs!$C$70,"")</f>
      </c>
      <c r="D2963" s="15"/>
      <c r="E2963" s="15"/>
      <c r="F2963" s="11">
        <f t="shared" si="23"/>
      </c>
      <c r="G2963" s="22" cm="1">
        <f t="array" ref="G2963">IF(AND(Inputs!$C$60,Inputs!$C$61),INDEX(Utility_Rates!$C$29:$F$52,HOUR(C2963)+Inputs!$C$69,MATCH(INDEX(Utility_Rates!$K$6:$K$17,MONTH(C2963))&amp;IF(WEEKDAY(C2963,Inputs!$C$76)&lt;=Inputs!$C$74," weekday"," weekend"),Utility_Rates!$C$28:$F$28,Inputs!$C$68)),"")</f>
      </c>
      <c r="H2963" s="34"/>
      <c r="I2963" s="42">
        <f>IF(AND(ISNUMBER(D2963),ISNUMBER(H2963)),D2963*H2963*Inputs!$C$69,"")</f>
      </c>
      <c r="J2963" s="42">
        <f>IF(AND(ISNUMBER(F2963),ISNUMBER(H2963),F2963&gt;=Inputs!$C$68),F2963*H2963*Inputs!$C$69,"")</f>
      </c>
    </row>
    <row r="2964" spans="2:10" ht="15" customHeight="1" x14ac:dyDescent="0.2">
      <c r="B2964" s="39">
        <f t="shared" si="22"/>
      </c>
      <c r="C2964" s="40">
        <f>IF(Inputs!$C$60,Inputs!$C$11+(B2964-Inputs!$C$69)/Inputs!$C$70,"")</f>
      </c>
      <c r="D2964" s="15"/>
      <c r="E2964" s="15"/>
      <c r="F2964" s="11">
        <f t="shared" si="23"/>
      </c>
      <c r="G2964" s="22" cm="1">
        <f t="array" ref="G2964">IF(AND(Inputs!$C$60,Inputs!$C$61),INDEX(Utility_Rates!$C$29:$F$52,HOUR(C2964)+Inputs!$C$69,MATCH(INDEX(Utility_Rates!$K$6:$K$17,MONTH(C2964))&amp;IF(WEEKDAY(C2964,Inputs!$C$76)&lt;=Inputs!$C$74," weekday"," weekend"),Utility_Rates!$C$28:$F$28,Inputs!$C$68)),"")</f>
      </c>
      <c r="H2964" s="34"/>
      <c r="I2964" s="42">
        <f>IF(AND(ISNUMBER(D2964),ISNUMBER(H2964)),D2964*H2964*Inputs!$C$69,"")</f>
      </c>
      <c r="J2964" s="42">
        <f>IF(AND(ISNUMBER(F2964),ISNUMBER(H2964),F2964&gt;=Inputs!$C$68),F2964*H2964*Inputs!$C$69,"")</f>
      </c>
    </row>
    <row r="2965" spans="2:10" ht="15" customHeight="1" x14ac:dyDescent="0.2">
      <c r="B2965" s="39">
        <f t="shared" si="22"/>
      </c>
      <c r="C2965" s="40">
        <f>IF(Inputs!$C$60,Inputs!$C$11+(B2965-Inputs!$C$69)/Inputs!$C$70,"")</f>
      </c>
      <c r="D2965" s="15"/>
      <c r="E2965" s="15"/>
      <c r="F2965" s="11">
        <f t="shared" si="23"/>
      </c>
      <c r="G2965" s="22" cm="1">
        <f t="array" ref="G2965">IF(AND(Inputs!$C$60,Inputs!$C$61),INDEX(Utility_Rates!$C$29:$F$52,HOUR(C2965)+Inputs!$C$69,MATCH(INDEX(Utility_Rates!$K$6:$K$17,MONTH(C2965))&amp;IF(WEEKDAY(C2965,Inputs!$C$76)&lt;=Inputs!$C$74," weekday"," weekend"),Utility_Rates!$C$28:$F$28,Inputs!$C$68)),"")</f>
      </c>
      <c r="H2965" s="34"/>
      <c r="I2965" s="42">
        <f>IF(AND(ISNUMBER(D2965),ISNUMBER(H2965)),D2965*H2965*Inputs!$C$69,"")</f>
      </c>
      <c r="J2965" s="42">
        <f>IF(AND(ISNUMBER(F2965),ISNUMBER(H2965),F2965&gt;=Inputs!$C$68),F2965*H2965*Inputs!$C$69,"")</f>
      </c>
    </row>
    <row r="2966" spans="2:10" ht="15" customHeight="1" x14ac:dyDescent="0.2">
      <c r="B2966" s="39">
        <f t="shared" si="22"/>
      </c>
      <c r="C2966" s="40">
        <f>IF(Inputs!$C$60,Inputs!$C$11+(B2966-Inputs!$C$69)/Inputs!$C$70,"")</f>
      </c>
      <c r="D2966" s="15"/>
      <c r="E2966" s="15"/>
      <c r="F2966" s="11">
        <f t="shared" si="23"/>
      </c>
      <c r="G2966" s="22" cm="1">
        <f t="array" ref="G2966">IF(AND(Inputs!$C$60,Inputs!$C$61),INDEX(Utility_Rates!$C$29:$F$52,HOUR(C2966)+Inputs!$C$69,MATCH(INDEX(Utility_Rates!$K$6:$K$17,MONTH(C2966))&amp;IF(WEEKDAY(C2966,Inputs!$C$76)&lt;=Inputs!$C$74," weekday"," weekend"),Utility_Rates!$C$28:$F$28,Inputs!$C$68)),"")</f>
      </c>
      <c r="H2966" s="34"/>
      <c r="I2966" s="42">
        <f>IF(AND(ISNUMBER(D2966),ISNUMBER(H2966)),D2966*H2966*Inputs!$C$69,"")</f>
      </c>
      <c r="J2966" s="42">
        <f>IF(AND(ISNUMBER(F2966),ISNUMBER(H2966),F2966&gt;=Inputs!$C$68),F2966*H2966*Inputs!$C$69,"")</f>
      </c>
    </row>
    <row r="2967" spans="2:10" ht="15" customHeight="1" x14ac:dyDescent="0.2">
      <c r="B2967" s="39">
        <f t="shared" si="22"/>
      </c>
      <c r="C2967" s="40">
        <f>IF(Inputs!$C$60,Inputs!$C$11+(B2967-Inputs!$C$69)/Inputs!$C$70,"")</f>
      </c>
      <c r="D2967" s="15"/>
      <c r="E2967" s="15"/>
      <c r="F2967" s="11">
        <f t="shared" si="23"/>
      </c>
      <c r="G2967" s="22" cm="1">
        <f t="array" ref="G2967">IF(AND(Inputs!$C$60,Inputs!$C$61),INDEX(Utility_Rates!$C$29:$F$52,HOUR(C2967)+Inputs!$C$69,MATCH(INDEX(Utility_Rates!$K$6:$K$17,MONTH(C2967))&amp;IF(WEEKDAY(C2967,Inputs!$C$76)&lt;=Inputs!$C$74," weekday"," weekend"),Utility_Rates!$C$28:$F$28,Inputs!$C$68)),"")</f>
      </c>
      <c r="H2967" s="34"/>
      <c r="I2967" s="42">
        <f>IF(AND(ISNUMBER(D2967),ISNUMBER(H2967)),D2967*H2967*Inputs!$C$69,"")</f>
      </c>
      <c r="J2967" s="42">
        <f>IF(AND(ISNUMBER(F2967),ISNUMBER(H2967),F2967&gt;=Inputs!$C$68),F2967*H2967*Inputs!$C$69,"")</f>
      </c>
    </row>
    <row r="2968" spans="2:10" ht="15" customHeight="1" x14ac:dyDescent="0.2">
      <c r="B2968" s="39">
        <f t="shared" si="22"/>
      </c>
      <c r="C2968" s="40">
        <f>IF(Inputs!$C$60,Inputs!$C$11+(B2968-Inputs!$C$69)/Inputs!$C$70,"")</f>
      </c>
      <c r="D2968" s="15"/>
      <c r="E2968" s="15"/>
      <c r="F2968" s="11">
        <f t="shared" si="23"/>
      </c>
      <c r="G2968" s="22" cm="1">
        <f t="array" ref="G2968">IF(AND(Inputs!$C$60,Inputs!$C$61),INDEX(Utility_Rates!$C$29:$F$52,HOUR(C2968)+Inputs!$C$69,MATCH(INDEX(Utility_Rates!$K$6:$K$17,MONTH(C2968))&amp;IF(WEEKDAY(C2968,Inputs!$C$76)&lt;=Inputs!$C$74," weekday"," weekend"),Utility_Rates!$C$28:$F$28,Inputs!$C$68)),"")</f>
      </c>
      <c r="H2968" s="34"/>
      <c r="I2968" s="42">
        <f>IF(AND(ISNUMBER(D2968),ISNUMBER(H2968)),D2968*H2968*Inputs!$C$69,"")</f>
      </c>
      <c r="J2968" s="42">
        <f>IF(AND(ISNUMBER(F2968),ISNUMBER(H2968),F2968&gt;=Inputs!$C$68),F2968*H2968*Inputs!$C$69,"")</f>
      </c>
    </row>
    <row r="2969" spans="2:10" ht="15" customHeight="1" x14ac:dyDescent="0.2">
      <c r="B2969" s="39">
        <f t="shared" si="22"/>
      </c>
      <c r="C2969" s="40">
        <f>IF(Inputs!$C$60,Inputs!$C$11+(B2969-Inputs!$C$69)/Inputs!$C$70,"")</f>
      </c>
      <c r="D2969" s="15"/>
      <c r="E2969" s="15"/>
      <c r="F2969" s="11">
        <f t="shared" si="23"/>
      </c>
      <c r="G2969" s="22" cm="1">
        <f t="array" ref="G2969">IF(AND(Inputs!$C$60,Inputs!$C$61),INDEX(Utility_Rates!$C$29:$F$52,HOUR(C2969)+Inputs!$C$69,MATCH(INDEX(Utility_Rates!$K$6:$K$17,MONTH(C2969))&amp;IF(WEEKDAY(C2969,Inputs!$C$76)&lt;=Inputs!$C$74," weekday"," weekend"),Utility_Rates!$C$28:$F$28,Inputs!$C$68)),"")</f>
      </c>
      <c r="H2969" s="34"/>
      <c r="I2969" s="42">
        <f>IF(AND(ISNUMBER(D2969),ISNUMBER(H2969)),D2969*H2969*Inputs!$C$69,"")</f>
      </c>
      <c r="J2969" s="42">
        <f>IF(AND(ISNUMBER(F2969),ISNUMBER(H2969),F2969&gt;=Inputs!$C$68),F2969*H2969*Inputs!$C$69,"")</f>
      </c>
    </row>
    <row r="2970" spans="2:10" ht="15" customHeight="1" x14ac:dyDescent="0.2">
      <c r="B2970" s="39">
        <f t="shared" si="22"/>
      </c>
      <c r="C2970" s="40">
        <f>IF(Inputs!$C$60,Inputs!$C$11+(B2970-Inputs!$C$69)/Inputs!$C$70,"")</f>
      </c>
      <c r="D2970" s="15"/>
      <c r="E2970" s="15"/>
      <c r="F2970" s="11">
        <f t="shared" si="23"/>
      </c>
      <c r="G2970" s="22" cm="1">
        <f t="array" ref="G2970">IF(AND(Inputs!$C$60,Inputs!$C$61),INDEX(Utility_Rates!$C$29:$F$52,HOUR(C2970)+Inputs!$C$69,MATCH(INDEX(Utility_Rates!$K$6:$K$17,MONTH(C2970))&amp;IF(WEEKDAY(C2970,Inputs!$C$76)&lt;=Inputs!$C$74," weekday"," weekend"),Utility_Rates!$C$28:$F$28,Inputs!$C$68)),"")</f>
      </c>
      <c r="H2970" s="34"/>
      <c r="I2970" s="42">
        <f>IF(AND(ISNUMBER(D2970),ISNUMBER(H2970)),D2970*H2970*Inputs!$C$69,"")</f>
      </c>
      <c r="J2970" s="42">
        <f>IF(AND(ISNUMBER(F2970),ISNUMBER(H2970),F2970&gt;=Inputs!$C$68),F2970*H2970*Inputs!$C$69,"")</f>
      </c>
    </row>
    <row r="2971" spans="2:10" ht="15" customHeight="1" x14ac:dyDescent="0.2">
      <c r="B2971" s="39">
        <f t="shared" si="22"/>
      </c>
      <c r="C2971" s="40">
        <f>IF(Inputs!$C$60,Inputs!$C$11+(B2971-Inputs!$C$69)/Inputs!$C$70,"")</f>
      </c>
      <c r="D2971" s="15"/>
      <c r="E2971" s="15"/>
      <c r="F2971" s="11">
        <f t="shared" si="23"/>
      </c>
      <c r="G2971" s="22" cm="1">
        <f t="array" ref="G2971">IF(AND(Inputs!$C$60,Inputs!$C$61),INDEX(Utility_Rates!$C$29:$F$52,HOUR(C2971)+Inputs!$C$69,MATCH(INDEX(Utility_Rates!$K$6:$K$17,MONTH(C2971))&amp;IF(WEEKDAY(C2971,Inputs!$C$76)&lt;=Inputs!$C$74," weekday"," weekend"),Utility_Rates!$C$28:$F$28,Inputs!$C$68)),"")</f>
      </c>
      <c r="H2971" s="34"/>
      <c r="I2971" s="42">
        <f>IF(AND(ISNUMBER(D2971),ISNUMBER(H2971)),D2971*H2971*Inputs!$C$69,"")</f>
      </c>
      <c r="J2971" s="42">
        <f>IF(AND(ISNUMBER(F2971),ISNUMBER(H2971),F2971&gt;=Inputs!$C$68),F2971*H2971*Inputs!$C$69,"")</f>
      </c>
    </row>
    <row r="2972" spans="2:10" ht="15" customHeight="1" x14ac:dyDescent="0.2">
      <c r="B2972" s="39">
        <f t="shared" si="22"/>
      </c>
      <c r="C2972" s="40">
        <f>IF(Inputs!$C$60,Inputs!$C$11+(B2972-Inputs!$C$69)/Inputs!$C$70,"")</f>
      </c>
      <c r="D2972" s="15"/>
      <c r="E2972" s="15"/>
      <c r="F2972" s="11">
        <f t="shared" si="23"/>
      </c>
      <c r="G2972" s="22" cm="1">
        <f t="array" ref="G2972">IF(AND(Inputs!$C$60,Inputs!$C$61),INDEX(Utility_Rates!$C$29:$F$52,HOUR(C2972)+Inputs!$C$69,MATCH(INDEX(Utility_Rates!$K$6:$K$17,MONTH(C2972))&amp;IF(WEEKDAY(C2972,Inputs!$C$76)&lt;=Inputs!$C$74," weekday"," weekend"),Utility_Rates!$C$28:$F$28,Inputs!$C$68)),"")</f>
      </c>
      <c r="H2972" s="34"/>
      <c r="I2972" s="42">
        <f>IF(AND(ISNUMBER(D2972),ISNUMBER(H2972)),D2972*H2972*Inputs!$C$69,"")</f>
      </c>
      <c r="J2972" s="42">
        <f>IF(AND(ISNUMBER(F2972),ISNUMBER(H2972),F2972&gt;=Inputs!$C$68),F2972*H2972*Inputs!$C$69,"")</f>
      </c>
    </row>
    <row r="2973" spans="2:10" ht="15" customHeight="1" x14ac:dyDescent="0.2">
      <c r="B2973" s="39">
        <f t="shared" si="22"/>
      </c>
      <c r="C2973" s="40">
        <f>IF(Inputs!$C$60,Inputs!$C$11+(B2973-Inputs!$C$69)/Inputs!$C$70,"")</f>
      </c>
      <c r="D2973" s="15"/>
      <c r="E2973" s="15"/>
      <c r="F2973" s="11">
        <f t="shared" si="23"/>
      </c>
      <c r="G2973" s="22" cm="1">
        <f t="array" ref="G2973">IF(AND(Inputs!$C$60,Inputs!$C$61),INDEX(Utility_Rates!$C$29:$F$52,HOUR(C2973)+Inputs!$C$69,MATCH(INDEX(Utility_Rates!$K$6:$K$17,MONTH(C2973))&amp;IF(WEEKDAY(C2973,Inputs!$C$76)&lt;=Inputs!$C$74," weekday"," weekend"),Utility_Rates!$C$28:$F$28,Inputs!$C$68)),"")</f>
      </c>
      <c r="H2973" s="34"/>
      <c r="I2973" s="42">
        <f>IF(AND(ISNUMBER(D2973),ISNUMBER(H2973)),D2973*H2973*Inputs!$C$69,"")</f>
      </c>
      <c r="J2973" s="42">
        <f>IF(AND(ISNUMBER(F2973),ISNUMBER(H2973),F2973&gt;=Inputs!$C$68),F2973*H2973*Inputs!$C$69,"")</f>
      </c>
    </row>
    <row r="2974" spans="2:10" ht="15" customHeight="1" x14ac:dyDescent="0.2">
      <c r="B2974" s="39">
        <f t="shared" si="22"/>
      </c>
      <c r="C2974" s="40">
        <f>IF(Inputs!$C$60,Inputs!$C$11+(B2974-Inputs!$C$69)/Inputs!$C$70,"")</f>
      </c>
      <c r="D2974" s="15"/>
      <c r="E2974" s="15"/>
      <c r="F2974" s="11">
        <f t="shared" si="23"/>
      </c>
      <c r="G2974" s="22" cm="1">
        <f t="array" ref="G2974">IF(AND(Inputs!$C$60,Inputs!$C$61),INDEX(Utility_Rates!$C$29:$F$52,HOUR(C2974)+Inputs!$C$69,MATCH(INDEX(Utility_Rates!$K$6:$K$17,MONTH(C2974))&amp;IF(WEEKDAY(C2974,Inputs!$C$76)&lt;=Inputs!$C$74," weekday"," weekend"),Utility_Rates!$C$28:$F$28,Inputs!$C$68)),"")</f>
      </c>
      <c r="H2974" s="34"/>
      <c r="I2974" s="42">
        <f>IF(AND(ISNUMBER(D2974),ISNUMBER(H2974)),D2974*H2974*Inputs!$C$69,"")</f>
      </c>
      <c r="J2974" s="42">
        <f>IF(AND(ISNUMBER(F2974),ISNUMBER(H2974),F2974&gt;=Inputs!$C$68),F2974*H2974*Inputs!$C$69,"")</f>
      </c>
    </row>
    <row r="2975" spans="2:10" ht="15" customHeight="1" x14ac:dyDescent="0.2">
      <c r="B2975" s="39">
        <f t="shared" si="22"/>
      </c>
      <c r="C2975" s="40">
        <f>IF(Inputs!$C$60,Inputs!$C$11+(B2975-Inputs!$C$69)/Inputs!$C$70,"")</f>
      </c>
      <c r="D2975" s="15"/>
      <c r="E2975" s="15"/>
      <c r="F2975" s="11">
        <f t="shared" si="23"/>
      </c>
      <c r="G2975" s="22" cm="1">
        <f t="array" ref="G2975">IF(AND(Inputs!$C$60,Inputs!$C$61),INDEX(Utility_Rates!$C$29:$F$52,HOUR(C2975)+Inputs!$C$69,MATCH(INDEX(Utility_Rates!$K$6:$K$17,MONTH(C2975))&amp;IF(WEEKDAY(C2975,Inputs!$C$76)&lt;=Inputs!$C$74," weekday"," weekend"),Utility_Rates!$C$28:$F$28,Inputs!$C$68)),"")</f>
      </c>
      <c r="H2975" s="34"/>
      <c r="I2975" s="42">
        <f>IF(AND(ISNUMBER(D2975),ISNUMBER(H2975)),D2975*H2975*Inputs!$C$69,"")</f>
      </c>
      <c r="J2975" s="42">
        <f>IF(AND(ISNUMBER(F2975),ISNUMBER(H2975),F2975&gt;=Inputs!$C$68),F2975*H2975*Inputs!$C$69,"")</f>
      </c>
    </row>
    <row r="2976" spans="2:10" ht="15" customHeight="1" x14ac:dyDescent="0.2">
      <c r="B2976" s="39">
        <f t="shared" si="22"/>
      </c>
      <c r="C2976" s="40">
        <f>IF(Inputs!$C$60,Inputs!$C$11+(B2976-Inputs!$C$69)/Inputs!$C$70,"")</f>
      </c>
      <c r="D2976" s="15"/>
      <c r="E2976" s="15"/>
      <c r="F2976" s="11">
        <f t="shared" si="23"/>
      </c>
      <c r="G2976" s="22" cm="1">
        <f t="array" ref="G2976">IF(AND(Inputs!$C$60,Inputs!$C$61),INDEX(Utility_Rates!$C$29:$F$52,HOUR(C2976)+Inputs!$C$69,MATCH(INDEX(Utility_Rates!$K$6:$K$17,MONTH(C2976))&amp;IF(WEEKDAY(C2976,Inputs!$C$76)&lt;=Inputs!$C$74," weekday"," weekend"),Utility_Rates!$C$28:$F$28,Inputs!$C$68)),"")</f>
      </c>
      <c r="H2976" s="34"/>
      <c r="I2976" s="42">
        <f>IF(AND(ISNUMBER(D2976),ISNUMBER(H2976)),D2976*H2976*Inputs!$C$69,"")</f>
      </c>
      <c r="J2976" s="42">
        <f>IF(AND(ISNUMBER(F2976),ISNUMBER(H2976),F2976&gt;=Inputs!$C$68),F2976*H2976*Inputs!$C$69,"")</f>
      </c>
    </row>
    <row r="2977" spans="2:10" ht="15" customHeight="1" x14ac:dyDescent="0.2">
      <c r="B2977" s="39">
        <f t="shared" si="22"/>
      </c>
      <c r="C2977" s="40">
        <f>IF(Inputs!$C$60,Inputs!$C$11+(B2977-Inputs!$C$69)/Inputs!$C$70,"")</f>
      </c>
      <c r="D2977" s="15"/>
      <c r="E2977" s="15"/>
      <c r="F2977" s="11">
        <f t="shared" si="23"/>
      </c>
      <c r="G2977" s="22" cm="1">
        <f t="array" ref="G2977">IF(AND(Inputs!$C$60,Inputs!$C$61),INDEX(Utility_Rates!$C$29:$F$52,HOUR(C2977)+Inputs!$C$69,MATCH(INDEX(Utility_Rates!$K$6:$K$17,MONTH(C2977))&amp;IF(WEEKDAY(C2977,Inputs!$C$76)&lt;=Inputs!$C$74," weekday"," weekend"),Utility_Rates!$C$28:$F$28,Inputs!$C$68)),"")</f>
      </c>
      <c r="H2977" s="34"/>
      <c r="I2977" s="42">
        <f>IF(AND(ISNUMBER(D2977),ISNUMBER(H2977)),D2977*H2977*Inputs!$C$69,"")</f>
      </c>
      <c r="J2977" s="42">
        <f>IF(AND(ISNUMBER(F2977),ISNUMBER(H2977),F2977&gt;=Inputs!$C$68),F2977*H2977*Inputs!$C$69,"")</f>
      </c>
    </row>
    <row r="2978" spans="2:10" ht="15" customHeight="1" x14ac:dyDescent="0.2">
      <c r="B2978" s="39">
        <f t="shared" si="22"/>
      </c>
      <c r="C2978" s="40">
        <f>IF(Inputs!$C$60,Inputs!$C$11+(B2978-Inputs!$C$69)/Inputs!$C$70,"")</f>
      </c>
      <c r="D2978" s="15"/>
      <c r="E2978" s="15"/>
      <c r="F2978" s="11">
        <f t="shared" si="23"/>
      </c>
      <c r="G2978" s="22" cm="1">
        <f t="array" ref="G2978">IF(AND(Inputs!$C$60,Inputs!$C$61),INDEX(Utility_Rates!$C$29:$F$52,HOUR(C2978)+Inputs!$C$69,MATCH(INDEX(Utility_Rates!$K$6:$K$17,MONTH(C2978))&amp;IF(WEEKDAY(C2978,Inputs!$C$76)&lt;=Inputs!$C$74," weekday"," weekend"),Utility_Rates!$C$28:$F$28,Inputs!$C$68)),"")</f>
      </c>
      <c r="H2978" s="34"/>
      <c r="I2978" s="42">
        <f>IF(AND(ISNUMBER(D2978),ISNUMBER(H2978)),D2978*H2978*Inputs!$C$69,"")</f>
      </c>
      <c r="J2978" s="42">
        <f>IF(AND(ISNUMBER(F2978),ISNUMBER(H2978),F2978&gt;=Inputs!$C$68),F2978*H2978*Inputs!$C$69,"")</f>
      </c>
    </row>
    <row r="2979" spans="2:10" ht="15" customHeight="1" x14ac:dyDescent="0.2">
      <c r="B2979" s="39">
        <f t="shared" si="22"/>
      </c>
      <c r="C2979" s="40">
        <f>IF(Inputs!$C$60,Inputs!$C$11+(B2979-Inputs!$C$69)/Inputs!$C$70,"")</f>
      </c>
      <c r="D2979" s="15"/>
      <c r="E2979" s="15"/>
      <c r="F2979" s="11">
        <f t="shared" si="23"/>
      </c>
      <c r="G2979" s="22" cm="1">
        <f t="array" ref="G2979">IF(AND(Inputs!$C$60,Inputs!$C$61),INDEX(Utility_Rates!$C$29:$F$52,HOUR(C2979)+Inputs!$C$69,MATCH(INDEX(Utility_Rates!$K$6:$K$17,MONTH(C2979))&amp;IF(WEEKDAY(C2979,Inputs!$C$76)&lt;=Inputs!$C$74," weekday"," weekend"),Utility_Rates!$C$28:$F$28,Inputs!$C$68)),"")</f>
      </c>
      <c r="H2979" s="34"/>
      <c r="I2979" s="42">
        <f>IF(AND(ISNUMBER(D2979),ISNUMBER(H2979)),D2979*H2979*Inputs!$C$69,"")</f>
      </c>
      <c r="J2979" s="42">
        <f>IF(AND(ISNUMBER(F2979),ISNUMBER(H2979),F2979&gt;=Inputs!$C$68),F2979*H2979*Inputs!$C$69,"")</f>
      </c>
    </row>
    <row r="2980" spans="2:10" ht="15" customHeight="1" x14ac:dyDescent="0.2">
      <c r="B2980" s="39">
        <f t="shared" si="22"/>
      </c>
      <c r="C2980" s="40">
        <f>IF(Inputs!$C$60,Inputs!$C$11+(B2980-Inputs!$C$69)/Inputs!$C$70,"")</f>
      </c>
      <c r="D2980" s="15"/>
      <c r="E2980" s="15"/>
      <c r="F2980" s="11">
        <f t="shared" si="23"/>
      </c>
      <c r="G2980" s="22" cm="1">
        <f t="array" ref="G2980">IF(AND(Inputs!$C$60,Inputs!$C$61),INDEX(Utility_Rates!$C$29:$F$52,HOUR(C2980)+Inputs!$C$69,MATCH(INDEX(Utility_Rates!$K$6:$K$17,MONTH(C2980))&amp;IF(WEEKDAY(C2980,Inputs!$C$76)&lt;=Inputs!$C$74," weekday"," weekend"),Utility_Rates!$C$28:$F$28,Inputs!$C$68)),"")</f>
      </c>
      <c r="H2980" s="34"/>
      <c r="I2980" s="42">
        <f>IF(AND(ISNUMBER(D2980),ISNUMBER(H2980)),D2980*H2980*Inputs!$C$69,"")</f>
      </c>
      <c r="J2980" s="42">
        <f>IF(AND(ISNUMBER(F2980),ISNUMBER(H2980),F2980&gt;=Inputs!$C$68),F2980*H2980*Inputs!$C$69,"")</f>
      </c>
    </row>
    <row r="2981" spans="2:10" ht="15" customHeight="1" x14ac:dyDescent="0.2">
      <c r="B2981" s="39">
        <f t="shared" si="22"/>
      </c>
      <c r="C2981" s="40">
        <f>IF(Inputs!$C$60,Inputs!$C$11+(B2981-Inputs!$C$69)/Inputs!$C$70,"")</f>
      </c>
      <c r="D2981" s="15"/>
      <c r="E2981" s="15"/>
      <c r="F2981" s="11">
        <f t="shared" si="23"/>
      </c>
      <c r="G2981" s="22" cm="1">
        <f t="array" ref="G2981">IF(AND(Inputs!$C$60,Inputs!$C$61),INDEX(Utility_Rates!$C$29:$F$52,HOUR(C2981)+Inputs!$C$69,MATCH(INDEX(Utility_Rates!$K$6:$K$17,MONTH(C2981))&amp;IF(WEEKDAY(C2981,Inputs!$C$76)&lt;=Inputs!$C$74," weekday"," weekend"),Utility_Rates!$C$28:$F$28,Inputs!$C$68)),"")</f>
      </c>
      <c r="H2981" s="34"/>
      <c r="I2981" s="42">
        <f>IF(AND(ISNUMBER(D2981),ISNUMBER(H2981)),D2981*H2981*Inputs!$C$69,"")</f>
      </c>
      <c r="J2981" s="42">
        <f>IF(AND(ISNUMBER(F2981),ISNUMBER(H2981),F2981&gt;=Inputs!$C$68),F2981*H2981*Inputs!$C$69,"")</f>
      </c>
    </row>
    <row r="2982" spans="2:10" ht="15" customHeight="1" x14ac:dyDescent="0.2">
      <c r="B2982" s="39">
        <f t="shared" si="22"/>
      </c>
      <c r="C2982" s="40">
        <f>IF(Inputs!$C$60,Inputs!$C$11+(B2982-Inputs!$C$69)/Inputs!$C$70,"")</f>
      </c>
      <c r="D2982" s="15"/>
      <c r="E2982" s="15"/>
      <c r="F2982" s="11">
        <f t="shared" si="23"/>
      </c>
      <c r="G2982" s="22" cm="1">
        <f t="array" ref="G2982">IF(AND(Inputs!$C$60,Inputs!$C$61),INDEX(Utility_Rates!$C$29:$F$52,HOUR(C2982)+Inputs!$C$69,MATCH(INDEX(Utility_Rates!$K$6:$K$17,MONTH(C2982))&amp;IF(WEEKDAY(C2982,Inputs!$C$76)&lt;=Inputs!$C$74," weekday"," weekend"),Utility_Rates!$C$28:$F$28,Inputs!$C$68)),"")</f>
      </c>
      <c r="H2982" s="34"/>
      <c r="I2982" s="42">
        <f>IF(AND(ISNUMBER(D2982),ISNUMBER(H2982)),D2982*H2982*Inputs!$C$69,"")</f>
      </c>
      <c r="J2982" s="42">
        <f>IF(AND(ISNUMBER(F2982),ISNUMBER(H2982),F2982&gt;=Inputs!$C$68),F2982*H2982*Inputs!$C$69,"")</f>
      </c>
    </row>
    <row r="2983" spans="2:10" ht="15" customHeight="1" x14ac:dyDescent="0.2">
      <c r="B2983" s="39">
        <f t="shared" si="22"/>
      </c>
      <c r="C2983" s="40">
        <f>IF(Inputs!$C$60,Inputs!$C$11+(B2983-Inputs!$C$69)/Inputs!$C$70,"")</f>
      </c>
      <c r="D2983" s="15"/>
      <c r="E2983" s="15"/>
      <c r="F2983" s="11">
        <f t="shared" si="23"/>
      </c>
      <c r="G2983" s="22" cm="1">
        <f t="array" ref="G2983">IF(AND(Inputs!$C$60,Inputs!$C$61),INDEX(Utility_Rates!$C$29:$F$52,HOUR(C2983)+Inputs!$C$69,MATCH(INDEX(Utility_Rates!$K$6:$K$17,MONTH(C2983))&amp;IF(WEEKDAY(C2983,Inputs!$C$76)&lt;=Inputs!$C$74," weekday"," weekend"),Utility_Rates!$C$28:$F$28,Inputs!$C$68)),"")</f>
      </c>
      <c r="H2983" s="34"/>
      <c r="I2983" s="42">
        <f>IF(AND(ISNUMBER(D2983),ISNUMBER(H2983)),D2983*H2983*Inputs!$C$69,"")</f>
      </c>
      <c r="J2983" s="42">
        <f>IF(AND(ISNUMBER(F2983),ISNUMBER(H2983),F2983&gt;=Inputs!$C$68),F2983*H2983*Inputs!$C$69,"")</f>
      </c>
    </row>
    <row r="2984" spans="2:10" ht="15" customHeight="1" x14ac:dyDescent="0.2">
      <c r="B2984" s="39">
        <f t="shared" si="22"/>
      </c>
      <c r="C2984" s="40">
        <f>IF(Inputs!$C$60,Inputs!$C$11+(B2984-Inputs!$C$69)/Inputs!$C$70,"")</f>
      </c>
      <c r="D2984" s="15"/>
      <c r="E2984" s="15"/>
      <c r="F2984" s="11">
        <f t="shared" si="23"/>
      </c>
      <c r="G2984" s="22" cm="1">
        <f t="array" ref="G2984">IF(AND(Inputs!$C$60,Inputs!$C$61),INDEX(Utility_Rates!$C$29:$F$52,HOUR(C2984)+Inputs!$C$69,MATCH(INDEX(Utility_Rates!$K$6:$K$17,MONTH(C2984))&amp;IF(WEEKDAY(C2984,Inputs!$C$76)&lt;=Inputs!$C$74," weekday"," weekend"),Utility_Rates!$C$28:$F$28,Inputs!$C$68)),"")</f>
      </c>
      <c r="H2984" s="34"/>
      <c r="I2984" s="42">
        <f>IF(AND(ISNUMBER(D2984),ISNUMBER(H2984)),D2984*H2984*Inputs!$C$69,"")</f>
      </c>
      <c r="J2984" s="42">
        <f>IF(AND(ISNUMBER(F2984),ISNUMBER(H2984),F2984&gt;=Inputs!$C$68),F2984*H2984*Inputs!$C$69,"")</f>
      </c>
    </row>
    <row r="2985" spans="2:10" ht="15" customHeight="1" x14ac:dyDescent="0.2">
      <c r="B2985" s="39">
        <f t="shared" si="22"/>
      </c>
      <c r="C2985" s="40">
        <f>IF(Inputs!$C$60,Inputs!$C$11+(B2985-Inputs!$C$69)/Inputs!$C$70,"")</f>
      </c>
      <c r="D2985" s="15"/>
      <c r="E2985" s="15"/>
      <c r="F2985" s="11">
        <f t="shared" si="23"/>
      </c>
      <c r="G2985" s="22" cm="1">
        <f t="array" ref="G2985">IF(AND(Inputs!$C$60,Inputs!$C$61),INDEX(Utility_Rates!$C$29:$F$52,HOUR(C2985)+Inputs!$C$69,MATCH(INDEX(Utility_Rates!$K$6:$K$17,MONTH(C2985))&amp;IF(WEEKDAY(C2985,Inputs!$C$76)&lt;=Inputs!$C$74," weekday"," weekend"),Utility_Rates!$C$28:$F$28,Inputs!$C$68)),"")</f>
      </c>
      <c r="H2985" s="34"/>
      <c r="I2985" s="42">
        <f>IF(AND(ISNUMBER(D2985),ISNUMBER(H2985)),D2985*H2985*Inputs!$C$69,"")</f>
      </c>
      <c r="J2985" s="42">
        <f>IF(AND(ISNUMBER(F2985),ISNUMBER(H2985),F2985&gt;=Inputs!$C$68),F2985*H2985*Inputs!$C$69,"")</f>
      </c>
    </row>
    <row r="2986" spans="2:10" ht="15" customHeight="1" x14ac:dyDescent="0.2">
      <c r="B2986" s="39">
        <f t="shared" si="22"/>
      </c>
      <c r="C2986" s="40">
        <f>IF(Inputs!$C$60,Inputs!$C$11+(B2986-Inputs!$C$69)/Inputs!$C$70,"")</f>
      </c>
      <c r="D2986" s="15"/>
      <c r="E2986" s="15"/>
      <c r="F2986" s="11">
        <f t="shared" si="23"/>
      </c>
      <c r="G2986" s="22" cm="1">
        <f t="array" ref="G2986">IF(AND(Inputs!$C$60,Inputs!$C$61),INDEX(Utility_Rates!$C$29:$F$52,HOUR(C2986)+Inputs!$C$69,MATCH(INDEX(Utility_Rates!$K$6:$K$17,MONTH(C2986))&amp;IF(WEEKDAY(C2986,Inputs!$C$76)&lt;=Inputs!$C$74," weekday"," weekend"),Utility_Rates!$C$28:$F$28,Inputs!$C$68)),"")</f>
      </c>
      <c r="H2986" s="34"/>
      <c r="I2986" s="42">
        <f>IF(AND(ISNUMBER(D2986),ISNUMBER(H2986)),D2986*H2986*Inputs!$C$69,"")</f>
      </c>
      <c r="J2986" s="42">
        <f>IF(AND(ISNUMBER(F2986),ISNUMBER(H2986),F2986&gt;=Inputs!$C$68),F2986*H2986*Inputs!$C$69,"")</f>
      </c>
    </row>
    <row r="2987" spans="2:10" ht="15" customHeight="1" x14ac:dyDescent="0.2">
      <c r="B2987" s="39">
        <f t="shared" si="22"/>
      </c>
      <c r="C2987" s="40">
        <f>IF(Inputs!$C$60,Inputs!$C$11+(B2987-Inputs!$C$69)/Inputs!$C$70,"")</f>
      </c>
      <c r="D2987" s="15"/>
      <c r="E2987" s="15"/>
      <c r="F2987" s="11">
        <f t="shared" si="23"/>
      </c>
      <c r="G2987" s="22" cm="1">
        <f t="array" ref="G2987">IF(AND(Inputs!$C$60,Inputs!$C$61),INDEX(Utility_Rates!$C$29:$F$52,HOUR(C2987)+Inputs!$C$69,MATCH(INDEX(Utility_Rates!$K$6:$K$17,MONTH(C2987))&amp;IF(WEEKDAY(C2987,Inputs!$C$76)&lt;=Inputs!$C$74," weekday"," weekend"),Utility_Rates!$C$28:$F$28,Inputs!$C$68)),"")</f>
      </c>
      <c r="H2987" s="34"/>
      <c r="I2987" s="42">
        <f>IF(AND(ISNUMBER(D2987),ISNUMBER(H2987)),D2987*H2987*Inputs!$C$69,"")</f>
      </c>
      <c r="J2987" s="42">
        <f>IF(AND(ISNUMBER(F2987),ISNUMBER(H2987),F2987&gt;=Inputs!$C$68),F2987*H2987*Inputs!$C$69,"")</f>
      </c>
    </row>
    <row r="2988" spans="2:10" ht="15" customHeight="1" x14ac:dyDescent="0.2">
      <c r="B2988" s="39">
        <f t="shared" si="22"/>
      </c>
      <c r="C2988" s="40">
        <f>IF(Inputs!$C$60,Inputs!$C$11+(B2988-Inputs!$C$69)/Inputs!$C$70,"")</f>
      </c>
      <c r="D2988" s="15"/>
      <c r="E2988" s="15"/>
      <c r="F2988" s="11">
        <f t="shared" si="23"/>
      </c>
      <c r="G2988" s="22" cm="1">
        <f t="array" ref="G2988">IF(AND(Inputs!$C$60,Inputs!$C$61),INDEX(Utility_Rates!$C$29:$F$52,HOUR(C2988)+Inputs!$C$69,MATCH(INDEX(Utility_Rates!$K$6:$K$17,MONTH(C2988))&amp;IF(WEEKDAY(C2988,Inputs!$C$76)&lt;=Inputs!$C$74," weekday"," weekend"),Utility_Rates!$C$28:$F$28,Inputs!$C$68)),"")</f>
      </c>
      <c r="H2988" s="34"/>
      <c r="I2988" s="42">
        <f>IF(AND(ISNUMBER(D2988),ISNUMBER(H2988)),D2988*H2988*Inputs!$C$69,"")</f>
      </c>
      <c r="J2988" s="42">
        <f>IF(AND(ISNUMBER(F2988),ISNUMBER(H2988),F2988&gt;=Inputs!$C$68),F2988*H2988*Inputs!$C$69,"")</f>
      </c>
    </row>
    <row r="2989" spans="2:10" ht="15" customHeight="1" x14ac:dyDescent="0.2">
      <c r="B2989" s="39">
        <f t="shared" si="22"/>
      </c>
      <c r="C2989" s="40">
        <f>IF(Inputs!$C$60,Inputs!$C$11+(B2989-Inputs!$C$69)/Inputs!$C$70,"")</f>
      </c>
      <c r="D2989" s="15"/>
      <c r="E2989" s="15"/>
      <c r="F2989" s="11">
        <f t="shared" si="23"/>
      </c>
      <c r="G2989" s="22" cm="1">
        <f t="array" ref="G2989">IF(AND(Inputs!$C$60,Inputs!$C$61),INDEX(Utility_Rates!$C$29:$F$52,HOUR(C2989)+Inputs!$C$69,MATCH(INDEX(Utility_Rates!$K$6:$K$17,MONTH(C2989))&amp;IF(WEEKDAY(C2989,Inputs!$C$76)&lt;=Inputs!$C$74," weekday"," weekend"),Utility_Rates!$C$28:$F$28,Inputs!$C$68)),"")</f>
      </c>
      <c r="H2989" s="34"/>
      <c r="I2989" s="42">
        <f>IF(AND(ISNUMBER(D2989),ISNUMBER(H2989)),D2989*H2989*Inputs!$C$69,"")</f>
      </c>
      <c r="J2989" s="42">
        <f>IF(AND(ISNUMBER(F2989),ISNUMBER(H2989),F2989&gt;=Inputs!$C$68),F2989*H2989*Inputs!$C$69,"")</f>
      </c>
    </row>
    <row r="2990" spans="2:10" ht="15" customHeight="1" x14ac:dyDescent="0.2">
      <c r="B2990" s="39">
        <f t="shared" si="22"/>
      </c>
      <c r="C2990" s="40">
        <f>IF(Inputs!$C$60,Inputs!$C$11+(B2990-Inputs!$C$69)/Inputs!$C$70,"")</f>
      </c>
      <c r="D2990" s="15"/>
      <c r="E2990" s="15"/>
      <c r="F2990" s="11">
        <f t="shared" si="23"/>
      </c>
      <c r="G2990" s="22" cm="1">
        <f t="array" ref="G2990">IF(AND(Inputs!$C$60,Inputs!$C$61),INDEX(Utility_Rates!$C$29:$F$52,HOUR(C2990)+Inputs!$C$69,MATCH(INDEX(Utility_Rates!$K$6:$K$17,MONTH(C2990))&amp;IF(WEEKDAY(C2990,Inputs!$C$76)&lt;=Inputs!$C$74," weekday"," weekend"),Utility_Rates!$C$28:$F$28,Inputs!$C$68)),"")</f>
      </c>
      <c r="H2990" s="34"/>
      <c r="I2990" s="42">
        <f>IF(AND(ISNUMBER(D2990),ISNUMBER(H2990)),D2990*H2990*Inputs!$C$69,"")</f>
      </c>
      <c r="J2990" s="42">
        <f>IF(AND(ISNUMBER(F2990),ISNUMBER(H2990),F2990&gt;=Inputs!$C$68),F2990*H2990*Inputs!$C$69,"")</f>
      </c>
    </row>
    <row r="2991" spans="2:10" ht="15" customHeight="1" x14ac:dyDescent="0.2">
      <c r="B2991" s="39">
        <f t="shared" si="22"/>
      </c>
      <c r="C2991" s="40">
        <f>IF(Inputs!$C$60,Inputs!$C$11+(B2991-Inputs!$C$69)/Inputs!$C$70,"")</f>
      </c>
      <c r="D2991" s="15"/>
      <c r="E2991" s="15"/>
      <c r="F2991" s="11">
        <f t="shared" si="23"/>
      </c>
      <c r="G2991" s="22" cm="1">
        <f t="array" ref="G2991">IF(AND(Inputs!$C$60,Inputs!$C$61),INDEX(Utility_Rates!$C$29:$F$52,HOUR(C2991)+Inputs!$C$69,MATCH(INDEX(Utility_Rates!$K$6:$K$17,MONTH(C2991))&amp;IF(WEEKDAY(C2991,Inputs!$C$76)&lt;=Inputs!$C$74," weekday"," weekend"),Utility_Rates!$C$28:$F$28,Inputs!$C$68)),"")</f>
      </c>
      <c r="H2991" s="34"/>
      <c r="I2991" s="42">
        <f>IF(AND(ISNUMBER(D2991),ISNUMBER(H2991)),D2991*H2991*Inputs!$C$69,"")</f>
      </c>
      <c r="J2991" s="42">
        <f>IF(AND(ISNUMBER(F2991),ISNUMBER(H2991),F2991&gt;=Inputs!$C$68),F2991*H2991*Inputs!$C$69,"")</f>
      </c>
    </row>
    <row r="2992" spans="2:10" ht="15" customHeight="1" x14ac:dyDescent="0.2">
      <c r="B2992" s="39">
        <f t="shared" si="22"/>
      </c>
      <c r="C2992" s="40">
        <f>IF(Inputs!$C$60,Inputs!$C$11+(B2992-Inputs!$C$69)/Inputs!$C$70,"")</f>
      </c>
      <c r="D2992" s="15"/>
      <c r="E2992" s="15"/>
      <c r="F2992" s="11">
        <f t="shared" si="23"/>
      </c>
      <c r="G2992" s="22" cm="1">
        <f t="array" ref="G2992">IF(AND(Inputs!$C$60,Inputs!$C$61),INDEX(Utility_Rates!$C$29:$F$52,HOUR(C2992)+Inputs!$C$69,MATCH(INDEX(Utility_Rates!$K$6:$K$17,MONTH(C2992))&amp;IF(WEEKDAY(C2992,Inputs!$C$76)&lt;=Inputs!$C$74," weekday"," weekend"),Utility_Rates!$C$28:$F$28,Inputs!$C$68)),"")</f>
      </c>
      <c r="H2992" s="34"/>
      <c r="I2992" s="42">
        <f>IF(AND(ISNUMBER(D2992),ISNUMBER(H2992)),D2992*H2992*Inputs!$C$69,"")</f>
      </c>
      <c r="J2992" s="42">
        <f>IF(AND(ISNUMBER(F2992),ISNUMBER(H2992),F2992&gt;=Inputs!$C$68),F2992*H2992*Inputs!$C$69,"")</f>
      </c>
    </row>
    <row r="2993" spans="2:10" ht="15" customHeight="1" x14ac:dyDescent="0.2">
      <c r="B2993" s="39">
        <f t="shared" si="22"/>
      </c>
      <c r="C2993" s="40">
        <f>IF(Inputs!$C$60,Inputs!$C$11+(B2993-Inputs!$C$69)/Inputs!$C$70,"")</f>
      </c>
      <c r="D2993" s="15"/>
      <c r="E2993" s="15"/>
      <c r="F2993" s="11">
        <f t="shared" si="23"/>
      </c>
      <c r="G2993" s="22" cm="1">
        <f t="array" ref="G2993">IF(AND(Inputs!$C$60,Inputs!$C$61),INDEX(Utility_Rates!$C$29:$F$52,HOUR(C2993)+Inputs!$C$69,MATCH(INDEX(Utility_Rates!$K$6:$K$17,MONTH(C2993))&amp;IF(WEEKDAY(C2993,Inputs!$C$76)&lt;=Inputs!$C$74," weekday"," weekend"),Utility_Rates!$C$28:$F$28,Inputs!$C$68)),"")</f>
      </c>
      <c r="H2993" s="34"/>
      <c r="I2993" s="42">
        <f>IF(AND(ISNUMBER(D2993),ISNUMBER(H2993)),D2993*H2993*Inputs!$C$69,"")</f>
      </c>
      <c r="J2993" s="42">
        <f>IF(AND(ISNUMBER(F2993),ISNUMBER(H2993),F2993&gt;=Inputs!$C$68),F2993*H2993*Inputs!$C$69,"")</f>
      </c>
    </row>
    <row r="2994" spans="2:10" ht="15" customHeight="1" x14ac:dyDescent="0.2">
      <c r="B2994" s="39">
        <f t="shared" si="22"/>
      </c>
      <c r="C2994" s="40">
        <f>IF(Inputs!$C$60,Inputs!$C$11+(B2994-Inputs!$C$69)/Inputs!$C$70,"")</f>
      </c>
      <c r="D2994" s="15"/>
      <c r="E2994" s="15"/>
      <c r="F2994" s="11">
        <f t="shared" si="23"/>
      </c>
      <c r="G2994" s="22" cm="1">
        <f t="array" ref="G2994">IF(AND(Inputs!$C$60,Inputs!$C$61),INDEX(Utility_Rates!$C$29:$F$52,HOUR(C2994)+Inputs!$C$69,MATCH(INDEX(Utility_Rates!$K$6:$K$17,MONTH(C2994))&amp;IF(WEEKDAY(C2994,Inputs!$C$76)&lt;=Inputs!$C$74," weekday"," weekend"),Utility_Rates!$C$28:$F$28,Inputs!$C$68)),"")</f>
      </c>
      <c r="H2994" s="34"/>
      <c r="I2994" s="42">
        <f>IF(AND(ISNUMBER(D2994),ISNUMBER(H2994)),D2994*H2994*Inputs!$C$69,"")</f>
      </c>
      <c r="J2994" s="42">
        <f>IF(AND(ISNUMBER(F2994),ISNUMBER(H2994),F2994&gt;=Inputs!$C$68),F2994*H2994*Inputs!$C$69,"")</f>
      </c>
    </row>
    <row r="2995" spans="2:10" ht="15" customHeight="1" x14ac:dyDescent="0.2">
      <c r="B2995" s="39">
        <f t="shared" si="22"/>
      </c>
      <c r="C2995" s="40">
        <f>IF(Inputs!$C$60,Inputs!$C$11+(B2995-Inputs!$C$69)/Inputs!$C$70,"")</f>
      </c>
      <c r="D2995" s="15"/>
      <c r="E2995" s="15"/>
      <c r="F2995" s="11">
        <f t="shared" si="23"/>
      </c>
      <c r="G2995" s="22" cm="1">
        <f t="array" ref="G2995">IF(AND(Inputs!$C$60,Inputs!$C$61),INDEX(Utility_Rates!$C$29:$F$52,HOUR(C2995)+Inputs!$C$69,MATCH(INDEX(Utility_Rates!$K$6:$K$17,MONTH(C2995))&amp;IF(WEEKDAY(C2995,Inputs!$C$76)&lt;=Inputs!$C$74," weekday"," weekend"),Utility_Rates!$C$28:$F$28,Inputs!$C$68)),"")</f>
      </c>
      <c r="H2995" s="34"/>
      <c r="I2995" s="42">
        <f>IF(AND(ISNUMBER(D2995),ISNUMBER(H2995)),D2995*H2995*Inputs!$C$69,"")</f>
      </c>
      <c r="J2995" s="42">
        <f>IF(AND(ISNUMBER(F2995),ISNUMBER(H2995),F2995&gt;=Inputs!$C$68),F2995*H2995*Inputs!$C$69,"")</f>
      </c>
    </row>
    <row r="2996" spans="2:10" ht="15" customHeight="1" x14ac:dyDescent="0.2">
      <c r="B2996" s="39">
        <f t="shared" si="22"/>
      </c>
      <c r="C2996" s="40">
        <f>IF(Inputs!$C$60,Inputs!$C$11+(B2996-Inputs!$C$69)/Inputs!$C$70,"")</f>
      </c>
      <c r="D2996" s="15"/>
      <c r="E2996" s="15"/>
      <c r="F2996" s="11">
        <f t="shared" si="23"/>
      </c>
      <c r="G2996" s="22" cm="1">
        <f t="array" ref="G2996">IF(AND(Inputs!$C$60,Inputs!$C$61),INDEX(Utility_Rates!$C$29:$F$52,HOUR(C2996)+Inputs!$C$69,MATCH(INDEX(Utility_Rates!$K$6:$K$17,MONTH(C2996))&amp;IF(WEEKDAY(C2996,Inputs!$C$76)&lt;=Inputs!$C$74," weekday"," weekend"),Utility_Rates!$C$28:$F$28,Inputs!$C$68)),"")</f>
      </c>
      <c r="H2996" s="34"/>
      <c r="I2996" s="42">
        <f>IF(AND(ISNUMBER(D2996),ISNUMBER(H2996)),D2996*H2996*Inputs!$C$69,"")</f>
      </c>
      <c r="J2996" s="42">
        <f>IF(AND(ISNUMBER(F2996),ISNUMBER(H2996),F2996&gt;=Inputs!$C$68),F2996*H2996*Inputs!$C$69,"")</f>
      </c>
    </row>
    <row r="2997" spans="2:10" ht="15" customHeight="1" x14ac:dyDescent="0.2">
      <c r="B2997" s="39">
        <f t="shared" si="22"/>
      </c>
      <c r="C2997" s="40">
        <f>IF(Inputs!$C$60,Inputs!$C$11+(B2997-Inputs!$C$69)/Inputs!$C$70,"")</f>
      </c>
      <c r="D2997" s="15"/>
      <c r="E2997" s="15"/>
      <c r="F2997" s="11">
        <f t="shared" si="23"/>
      </c>
      <c r="G2997" s="22" cm="1">
        <f t="array" ref="G2997">IF(AND(Inputs!$C$60,Inputs!$C$61),INDEX(Utility_Rates!$C$29:$F$52,HOUR(C2997)+Inputs!$C$69,MATCH(INDEX(Utility_Rates!$K$6:$K$17,MONTH(C2997))&amp;IF(WEEKDAY(C2997,Inputs!$C$76)&lt;=Inputs!$C$74," weekday"," weekend"),Utility_Rates!$C$28:$F$28,Inputs!$C$68)),"")</f>
      </c>
      <c r="H2997" s="34"/>
      <c r="I2997" s="42">
        <f>IF(AND(ISNUMBER(D2997),ISNUMBER(H2997)),D2997*H2997*Inputs!$C$69,"")</f>
      </c>
      <c r="J2997" s="42">
        <f>IF(AND(ISNUMBER(F2997),ISNUMBER(H2997),F2997&gt;=Inputs!$C$68),F2997*H2997*Inputs!$C$69,"")</f>
      </c>
    </row>
    <row r="2998" spans="2:10" ht="15" customHeight="1" x14ac:dyDescent="0.2">
      <c r="B2998" s="39">
        <f t="shared" si="22"/>
      </c>
      <c r="C2998" s="40">
        <f>IF(Inputs!$C$60,Inputs!$C$11+(B2998-Inputs!$C$69)/Inputs!$C$70,"")</f>
      </c>
      <c r="D2998" s="15"/>
      <c r="E2998" s="15"/>
      <c r="F2998" s="11">
        <f t="shared" si="23"/>
      </c>
      <c r="G2998" s="22" cm="1">
        <f t="array" ref="G2998">IF(AND(Inputs!$C$60,Inputs!$C$61),INDEX(Utility_Rates!$C$29:$F$52,HOUR(C2998)+Inputs!$C$69,MATCH(INDEX(Utility_Rates!$K$6:$K$17,MONTH(C2998))&amp;IF(WEEKDAY(C2998,Inputs!$C$76)&lt;=Inputs!$C$74," weekday"," weekend"),Utility_Rates!$C$28:$F$28,Inputs!$C$68)),"")</f>
      </c>
      <c r="H2998" s="34"/>
      <c r="I2998" s="42">
        <f>IF(AND(ISNUMBER(D2998),ISNUMBER(H2998)),D2998*H2998*Inputs!$C$69,"")</f>
      </c>
      <c r="J2998" s="42">
        <f>IF(AND(ISNUMBER(F2998),ISNUMBER(H2998),F2998&gt;=Inputs!$C$68),F2998*H2998*Inputs!$C$69,"")</f>
      </c>
    </row>
    <row r="2999" spans="2:10" ht="15" customHeight="1" x14ac:dyDescent="0.2">
      <c r="B2999" s="39">
        <f t="shared" si="22"/>
      </c>
      <c r="C2999" s="40">
        <f>IF(Inputs!$C$60,Inputs!$C$11+(B2999-Inputs!$C$69)/Inputs!$C$70,"")</f>
      </c>
      <c r="D2999" s="15"/>
      <c r="E2999" s="15"/>
      <c r="F2999" s="11">
        <f t="shared" si="23"/>
      </c>
      <c r="G2999" s="22" cm="1">
        <f t="array" ref="G2999">IF(AND(Inputs!$C$60,Inputs!$C$61),INDEX(Utility_Rates!$C$29:$F$52,HOUR(C2999)+Inputs!$C$69,MATCH(INDEX(Utility_Rates!$K$6:$K$17,MONTH(C2999))&amp;IF(WEEKDAY(C2999,Inputs!$C$76)&lt;=Inputs!$C$74," weekday"," weekend"),Utility_Rates!$C$28:$F$28,Inputs!$C$68)),"")</f>
      </c>
      <c r="H2999" s="34"/>
      <c r="I2999" s="42">
        <f>IF(AND(ISNUMBER(D2999),ISNUMBER(H2999)),D2999*H2999*Inputs!$C$69,"")</f>
      </c>
      <c r="J2999" s="42">
        <f>IF(AND(ISNUMBER(F2999),ISNUMBER(H2999),F2999&gt;=Inputs!$C$68),F2999*H2999*Inputs!$C$69,"")</f>
      </c>
    </row>
    <row r="3000" spans="2:10" ht="15" customHeight="1" x14ac:dyDescent="0.2">
      <c r="B3000" s="39">
        <f t="shared" si="22"/>
      </c>
      <c r="C3000" s="40">
        <f>IF(Inputs!$C$60,Inputs!$C$11+(B3000-Inputs!$C$69)/Inputs!$C$70,"")</f>
      </c>
      <c r="D3000" s="15"/>
      <c r="E3000" s="15"/>
      <c r="F3000" s="11">
        <f t="shared" si="23"/>
      </c>
      <c r="G3000" s="22" cm="1">
        <f t="array" ref="G3000">IF(AND(Inputs!$C$60,Inputs!$C$61),INDEX(Utility_Rates!$C$29:$F$52,HOUR(C3000)+Inputs!$C$69,MATCH(INDEX(Utility_Rates!$K$6:$K$17,MONTH(C3000))&amp;IF(WEEKDAY(C3000,Inputs!$C$76)&lt;=Inputs!$C$74," weekday"," weekend"),Utility_Rates!$C$28:$F$28,Inputs!$C$68)),"")</f>
      </c>
      <c r="H3000" s="34"/>
      <c r="I3000" s="42">
        <f>IF(AND(ISNUMBER(D3000),ISNUMBER(H3000)),D3000*H3000*Inputs!$C$69,"")</f>
      </c>
      <c r="J3000" s="42">
        <f>IF(AND(ISNUMBER(F3000),ISNUMBER(H3000),F3000&gt;=Inputs!$C$68),F3000*H3000*Inputs!$C$69,"")</f>
      </c>
    </row>
    <row r="3001" spans="2:10" ht="15" customHeight="1" x14ac:dyDescent="0.2">
      <c r="B3001" s="39">
        <f t="shared" si="22"/>
      </c>
      <c r="C3001" s="40">
        <f>IF(Inputs!$C$60,Inputs!$C$11+(B3001-Inputs!$C$69)/Inputs!$C$70,"")</f>
      </c>
      <c r="D3001" s="15"/>
      <c r="E3001" s="15"/>
      <c r="F3001" s="11">
        <f t="shared" si="23"/>
      </c>
      <c r="G3001" s="22" cm="1">
        <f t="array" ref="G3001">IF(AND(Inputs!$C$60,Inputs!$C$61),INDEX(Utility_Rates!$C$29:$F$52,HOUR(C3001)+Inputs!$C$69,MATCH(INDEX(Utility_Rates!$K$6:$K$17,MONTH(C3001))&amp;IF(WEEKDAY(C3001,Inputs!$C$76)&lt;=Inputs!$C$74," weekday"," weekend"),Utility_Rates!$C$28:$F$28,Inputs!$C$68)),"")</f>
      </c>
      <c r="H3001" s="34"/>
      <c r="I3001" s="42">
        <f>IF(AND(ISNUMBER(D3001),ISNUMBER(H3001)),D3001*H3001*Inputs!$C$69,"")</f>
      </c>
      <c r="J3001" s="42">
        <f>IF(AND(ISNUMBER(F3001),ISNUMBER(H3001),F3001&gt;=Inputs!$C$68),F3001*H3001*Inputs!$C$69,"")</f>
      </c>
    </row>
    <row r="3002" spans="2:10" ht="15" customHeight="1" x14ac:dyDescent="0.2">
      <c r="B3002" s="39">
        <f t="shared" si="22"/>
      </c>
      <c r="C3002" s="40">
        <f>IF(Inputs!$C$60,Inputs!$C$11+(B3002-Inputs!$C$69)/Inputs!$C$70,"")</f>
      </c>
      <c r="D3002" s="15"/>
      <c r="E3002" s="15"/>
      <c r="F3002" s="11">
        <f t="shared" si="23"/>
      </c>
      <c r="G3002" s="22" cm="1">
        <f t="array" ref="G3002">IF(AND(Inputs!$C$60,Inputs!$C$61),INDEX(Utility_Rates!$C$29:$F$52,HOUR(C3002)+Inputs!$C$69,MATCH(INDEX(Utility_Rates!$K$6:$K$17,MONTH(C3002))&amp;IF(WEEKDAY(C3002,Inputs!$C$76)&lt;=Inputs!$C$74," weekday"," weekend"),Utility_Rates!$C$28:$F$28,Inputs!$C$68)),"")</f>
      </c>
      <c r="H3002" s="34"/>
      <c r="I3002" s="42">
        <f>IF(AND(ISNUMBER(D3002),ISNUMBER(H3002)),D3002*H3002*Inputs!$C$69,"")</f>
      </c>
      <c r="J3002" s="42">
        <f>IF(AND(ISNUMBER(F3002),ISNUMBER(H3002),F3002&gt;=Inputs!$C$68),F3002*H3002*Inputs!$C$69,"")</f>
      </c>
    </row>
    <row r="3003" spans="2:10" ht="15" customHeight="1" x14ac:dyDescent="0.2">
      <c r="B3003" s="39">
        <f t="shared" si="22"/>
      </c>
      <c r="C3003" s="40">
        <f>IF(Inputs!$C$60,Inputs!$C$11+(B3003-Inputs!$C$69)/Inputs!$C$70,"")</f>
      </c>
      <c r="D3003" s="15"/>
      <c r="E3003" s="15"/>
      <c r="F3003" s="11">
        <f t="shared" si="23"/>
      </c>
      <c r="G3003" s="22" cm="1">
        <f t="array" ref="G3003">IF(AND(Inputs!$C$60,Inputs!$C$61),INDEX(Utility_Rates!$C$29:$F$52,HOUR(C3003)+Inputs!$C$69,MATCH(INDEX(Utility_Rates!$K$6:$K$17,MONTH(C3003))&amp;IF(WEEKDAY(C3003,Inputs!$C$76)&lt;=Inputs!$C$74," weekday"," weekend"),Utility_Rates!$C$28:$F$28,Inputs!$C$68)),"")</f>
      </c>
      <c r="H3003" s="34"/>
      <c r="I3003" s="42">
        <f>IF(AND(ISNUMBER(D3003),ISNUMBER(H3003)),D3003*H3003*Inputs!$C$69,"")</f>
      </c>
      <c r="J3003" s="42">
        <f>IF(AND(ISNUMBER(F3003),ISNUMBER(H3003),F3003&gt;=Inputs!$C$68),F3003*H3003*Inputs!$C$69,"")</f>
      </c>
    </row>
    <row r="3004" spans="2:10" ht="15" customHeight="1" x14ac:dyDescent="0.2">
      <c r="B3004" s="39">
        <f t="shared" si="22"/>
      </c>
      <c r="C3004" s="40">
        <f>IF(Inputs!$C$60,Inputs!$C$11+(B3004-Inputs!$C$69)/Inputs!$C$70,"")</f>
      </c>
      <c r="D3004" s="15"/>
      <c r="E3004" s="15"/>
      <c r="F3004" s="11">
        <f t="shared" si="23"/>
      </c>
      <c r="G3004" s="22" cm="1">
        <f t="array" ref="G3004">IF(AND(Inputs!$C$60,Inputs!$C$61),INDEX(Utility_Rates!$C$29:$F$52,HOUR(C3004)+Inputs!$C$69,MATCH(INDEX(Utility_Rates!$K$6:$K$17,MONTH(C3004))&amp;IF(WEEKDAY(C3004,Inputs!$C$76)&lt;=Inputs!$C$74," weekday"," weekend"),Utility_Rates!$C$28:$F$28,Inputs!$C$68)),"")</f>
      </c>
      <c r="H3004" s="34"/>
      <c r="I3004" s="42">
        <f>IF(AND(ISNUMBER(D3004),ISNUMBER(H3004)),D3004*H3004*Inputs!$C$69,"")</f>
      </c>
      <c r="J3004" s="42">
        <f>IF(AND(ISNUMBER(F3004),ISNUMBER(H3004),F3004&gt;=Inputs!$C$68),F3004*H3004*Inputs!$C$69,"")</f>
      </c>
    </row>
    <row r="3005" spans="2:10" ht="15" customHeight="1" x14ac:dyDescent="0.2">
      <c r="B3005" s="39">
        <f t="shared" si="22"/>
      </c>
      <c r="C3005" s="40">
        <f>IF(Inputs!$C$60,Inputs!$C$11+(B3005-Inputs!$C$69)/Inputs!$C$70,"")</f>
      </c>
      <c r="D3005" s="15"/>
      <c r="E3005" s="15"/>
      <c r="F3005" s="11">
        <f t="shared" si="23"/>
      </c>
      <c r="G3005" s="22" cm="1">
        <f t="array" ref="G3005">IF(AND(Inputs!$C$60,Inputs!$C$61),INDEX(Utility_Rates!$C$29:$F$52,HOUR(C3005)+Inputs!$C$69,MATCH(INDEX(Utility_Rates!$K$6:$K$17,MONTH(C3005))&amp;IF(WEEKDAY(C3005,Inputs!$C$76)&lt;=Inputs!$C$74," weekday"," weekend"),Utility_Rates!$C$28:$F$28,Inputs!$C$68)),"")</f>
      </c>
      <c r="H3005" s="34"/>
      <c r="I3005" s="42">
        <f>IF(AND(ISNUMBER(D3005),ISNUMBER(H3005)),D3005*H3005*Inputs!$C$69,"")</f>
      </c>
      <c r="J3005" s="42">
        <f>IF(AND(ISNUMBER(F3005),ISNUMBER(H3005),F3005&gt;=Inputs!$C$68),F3005*H3005*Inputs!$C$69,"")</f>
      </c>
    </row>
    <row r="3006" spans="2:10" ht="15" customHeight="1" x14ac:dyDescent="0.2">
      <c r="B3006" s="39">
        <f t="shared" si="22"/>
      </c>
      <c r="C3006" s="40">
        <f>IF(Inputs!$C$60,Inputs!$C$11+(B3006-Inputs!$C$69)/Inputs!$C$70,"")</f>
      </c>
      <c r="D3006" s="15"/>
      <c r="E3006" s="15"/>
      <c r="F3006" s="11">
        <f t="shared" si="23"/>
      </c>
      <c r="G3006" s="22" cm="1">
        <f t="array" ref="G3006">IF(AND(Inputs!$C$60,Inputs!$C$61),INDEX(Utility_Rates!$C$29:$F$52,HOUR(C3006)+Inputs!$C$69,MATCH(INDEX(Utility_Rates!$K$6:$K$17,MONTH(C3006))&amp;IF(WEEKDAY(C3006,Inputs!$C$76)&lt;=Inputs!$C$74," weekday"," weekend"),Utility_Rates!$C$28:$F$28,Inputs!$C$68)),"")</f>
      </c>
      <c r="H3006" s="34"/>
      <c r="I3006" s="42">
        <f>IF(AND(ISNUMBER(D3006),ISNUMBER(H3006)),D3006*H3006*Inputs!$C$69,"")</f>
      </c>
      <c r="J3006" s="42">
        <f>IF(AND(ISNUMBER(F3006),ISNUMBER(H3006),F3006&gt;=Inputs!$C$68),F3006*H3006*Inputs!$C$69,"")</f>
      </c>
    </row>
    <row r="3007" spans="2:10" ht="15" customHeight="1" x14ac:dyDescent="0.2">
      <c r="B3007" s="39">
        <f t="shared" si="22"/>
      </c>
      <c r="C3007" s="40">
        <f>IF(Inputs!$C$60,Inputs!$C$11+(B3007-Inputs!$C$69)/Inputs!$C$70,"")</f>
      </c>
      <c r="D3007" s="15"/>
      <c r="E3007" s="15"/>
      <c r="F3007" s="11">
        <f t="shared" si="23"/>
      </c>
      <c r="G3007" s="22" cm="1">
        <f t="array" ref="G3007">IF(AND(Inputs!$C$60,Inputs!$C$61),INDEX(Utility_Rates!$C$29:$F$52,HOUR(C3007)+Inputs!$C$69,MATCH(INDEX(Utility_Rates!$K$6:$K$17,MONTH(C3007))&amp;IF(WEEKDAY(C3007,Inputs!$C$76)&lt;=Inputs!$C$74," weekday"," weekend"),Utility_Rates!$C$28:$F$28,Inputs!$C$68)),"")</f>
      </c>
      <c r="H3007" s="34"/>
      <c r="I3007" s="42">
        <f>IF(AND(ISNUMBER(D3007),ISNUMBER(H3007)),D3007*H3007*Inputs!$C$69,"")</f>
      </c>
      <c r="J3007" s="42">
        <f>IF(AND(ISNUMBER(F3007),ISNUMBER(H3007),F3007&gt;=Inputs!$C$68),F3007*H3007*Inputs!$C$69,"")</f>
      </c>
    </row>
    <row r="3008" spans="2:10" ht="15" customHeight="1" x14ac:dyDescent="0.2">
      <c r="B3008" s="39">
        <f t="shared" si="22"/>
      </c>
      <c r="C3008" s="40">
        <f>IF(Inputs!$C$60,Inputs!$C$11+(B3008-Inputs!$C$69)/Inputs!$C$70,"")</f>
      </c>
      <c r="D3008" s="15"/>
      <c r="E3008" s="15"/>
      <c r="F3008" s="11">
        <f t="shared" si="23"/>
      </c>
      <c r="G3008" s="22" cm="1">
        <f t="array" ref="G3008">IF(AND(Inputs!$C$60,Inputs!$C$61),INDEX(Utility_Rates!$C$29:$F$52,HOUR(C3008)+Inputs!$C$69,MATCH(INDEX(Utility_Rates!$K$6:$K$17,MONTH(C3008))&amp;IF(WEEKDAY(C3008,Inputs!$C$76)&lt;=Inputs!$C$74," weekday"," weekend"),Utility_Rates!$C$28:$F$28,Inputs!$C$68)),"")</f>
      </c>
      <c r="H3008" s="34"/>
      <c r="I3008" s="42">
        <f>IF(AND(ISNUMBER(D3008),ISNUMBER(H3008)),D3008*H3008*Inputs!$C$69,"")</f>
      </c>
      <c r="J3008" s="42">
        <f>IF(AND(ISNUMBER(F3008),ISNUMBER(H3008),F3008&gt;=Inputs!$C$68),F3008*H3008*Inputs!$C$69,"")</f>
      </c>
    </row>
    <row r="3009" spans="2:10" ht="15" customHeight="1" x14ac:dyDescent="0.2">
      <c r="B3009" s="39">
        <f t="shared" si="22"/>
      </c>
      <c r="C3009" s="40">
        <f>IF(Inputs!$C$60,Inputs!$C$11+(B3009-Inputs!$C$69)/Inputs!$C$70,"")</f>
      </c>
      <c r="D3009" s="15"/>
      <c r="E3009" s="15"/>
      <c r="F3009" s="11">
        <f t="shared" si="23"/>
      </c>
      <c r="G3009" s="22" cm="1">
        <f t="array" ref="G3009">IF(AND(Inputs!$C$60,Inputs!$C$61),INDEX(Utility_Rates!$C$29:$F$52,HOUR(C3009)+Inputs!$C$69,MATCH(INDEX(Utility_Rates!$K$6:$K$17,MONTH(C3009))&amp;IF(WEEKDAY(C3009,Inputs!$C$76)&lt;=Inputs!$C$74," weekday"," weekend"),Utility_Rates!$C$28:$F$28,Inputs!$C$68)),"")</f>
      </c>
      <c r="H3009" s="34"/>
      <c r="I3009" s="42">
        <f>IF(AND(ISNUMBER(D3009),ISNUMBER(H3009)),D3009*H3009*Inputs!$C$69,"")</f>
      </c>
      <c r="J3009" s="42">
        <f>IF(AND(ISNUMBER(F3009),ISNUMBER(H3009),F3009&gt;=Inputs!$C$68),F3009*H3009*Inputs!$C$69,"")</f>
      </c>
    </row>
    <row r="3010" spans="2:10" ht="15" customHeight="1" x14ac:dyDescent="0.2">
      <c r="B3010" s="39">
        <f t="shared" si="22"/>
      </c>
      <c r="C3010" s="40">
        <f>IF(Inputs!$C$60,Inputs!$C$11+(B3010-Inputs!$C$69)/Inputs!$C$70,"")</f>
      </c>
      <c r="D3010" s="15"/>
      <c r="E3010" s="15"/>
      <c r="F3010" s="11">
        <f t="shared" si="23"/>
      </c>
      <c r="G3010" s="22" cm="1">
        <f t="array" ref="G3010">IF(AND(Inputs!$C$60,Inputs!$C$61),INDEX(Utility_Rates!$C$29:$F$52,HOUR(C3010)+Inputs!$C$69,MATCH(INDEX(Utility_Rates!$K$6:$K$17,MONTH(C3010))&amp;IF(WEEKDAY(C3010,Inputs!$C$76)&lt;=Inputs!$C$74," weekday"," weekend"),Utility_Rates!$C$28:$F$28,Inputs!$C$68)),"")</f>
      </c>
      <c r="H3010" s="34"/>
      <c r="I3010" s="42">
        <f>IF(AND(ISNUMBER(D3010),ISNUMBER(H3010)),D3010*H3010*Inputs!$C$69,"")</f>
      </c>
      <c r="J3010" s="42">
        <f>IF(AND(ISNUMBER(F3010),ISNUMBER(H3010),F3010&gt;=Inputs!$C$68),F3010*H3010*Inputs!$C$69,"")</f>
      </c>
    </row>
    <row r="3011" spans="2:10" ht="15" customHeight="1" x14ac:dyDescent="0.2">
      <c r="B3011" s="39">
        <f t="shared" si="22"/>
      </c>
      <c r="C3011" s="40">
        <f>IF(Inputs!$C$60,Inputs!$C$11+(B3011-Inputs!$C$69)/Inputs!$C$70,"")</f>
      </c>
      <c r="D3011" s="15"/>
      <c r="E3011" s="15"/>
      <c r="F3011" s="11">
        <f t="shared" si="23"/>
      </c>
      <c r="G3011" s="22" cm="1">
        <f t="array" ref="G3011">IF(AND(Inputs!$C$60,Inputs!$C$61),INDEX(Utility_Rates!$C$29:$F$52,HOUR(C3011)+Inputs!$C$69,MATCH(INDEX(Utility_Rates!$K$6:$K$17,MONTH(C3011))&amp;IF(WEEKDAY(C3011,Inputs!$C$76)&lt;=Inputs!$C$74," weekday"," weekend"),Utility_Rates!$C$28:$F$28,Inputs!$C$68)),"")</f>
      </c>
      <c r="H3011" s="34"/>
      <c r="I3011" s="42">
        <f>IF(AND(ISNUMBER(D3011),ISNUMBER(H3011)),D3011*H3011*Inputs!$C$69,"")</f>
      </c>
      <c r="J3011" s="42">
        <f>IF(AND(ISNUMBER(F3011),ISNUMBER(H3011),F3011&gt;=Inputs!$C$68),F3011*H3011*Inputs!$C$69,"")</f>
      </c>
    </row>
    <row r="3012" spans="2:10" ht="15" customHeight="1" x14ac:dyDescent="0.2">
      <c r="B3012" s="39">
        <f t="shared" si="22"/>
      </c>
      <c r="C3012" s="40">
        <f>IF(Inputs!$C$60,Inputs!$C$11+(B3012-Inputs!$C$69)/Inputs!$C$70,"")</f>
      </c>
      <c r="D3012" s="15"/>
      <c r="E3012" s="15"/>
      <c r="F3012" s="11">
        <f t="shared" si="23"/>
      </c>
      <c r="G3012" s="22" cm="1">
        <f t="array" ref="G3012">IF(AND(Inputs!$C$60,Inputs!$C$61),INDEX(Utility_Rates!$C$29:$F$52,HOUR(C3012)+Inputs!$C$69,MATCH(INDEX(Utility_Rates!$K$6:$K$17,MONTH(C3012))&amp;IF(WEEKDAY(C3012,Inputs!$C$76)&lt;=Inputs!$C$74," weekday"," weekend"),Utility_Rates!$C$28:$F$28,Inputs!$C$68)),"")</f>
      </c>
      <c r="H3012" s="34"/>
      <c r="I3012" s="42">
        <f>IF(AND(ISNUMBER(D3012),ISNUMBER(H3012)),D3012*H3012*Inputs!$C$69,"")</f>
      </c>
      <c r="J3012" s="42">
        <f>IF(AND(ISNUMBER(F3012),ISNUMBER(H3012),F3012&gt;=Inputs!$C$68),F3012*H3012*Inputs!$C$69,"")</f>
      </c>
    </row>
    <row r="3013" spans="2:10" ht="15" customHeight="1" x14ac:dyDescent="0.2">
      <c r="B3013" s="39">
        <f t="shared" si="22"/>
      </c>
      <c r="C3013" s="40">
        <f>IF(Inputs!$C$60,Inputs!$C$11+(B3013-Inputs!$C$69)/Inputs!$C$70,"")</f>
      </c>
      <c r="D3013" s="15"/>
      <c r="E3013" s="15"/>
      <c r="F3013" s="11">
        <f t="shared" si="23"/>
      </c>
      <c r="G3013" s="22" cm="1">
        <f t="array" ref="G3013">IF(AND(Inputs!$C$60,Inputs!$C$61),INDEX(Utility_Rates!$C$29:$F$52,HOUR(C3013)+Inputs!$C$69,MATCH(INDEX(Utility_Rates!$K$6:$K$17,MONTH(C3013))&amp;IF(WEEKDAY(C3013,Inputs!$C$76)&lt;=Inputs!$C$74," weekday"," weekend"),Utility_Rates!$C$28:$F$28,Inputs!$C$68)),"")</f>
      </c>
      <c r="H3013" s="34"/>
      <c r="I3013" s="42">
        <f>IF(AND(ISNUMBER(D3013),ISNUMBER(H3013)),D3013*H3013*Inputs!$C$69,"")</f>
      </c>
      <c r="J3013" s="42">
        <f>IF(AND(ISNUMBER(F3013),ISNUMBER(H3013),F3013&gt;=Inputs!$C$68),F3013*H3013*Inputs!$C$69,"")</f>
      </c>
    </row>
    <row r="3014" spans="2:10" ht="15" customHeight="1" x14ac:dyDescent="0.2">
      <c r="B3014" s="39">
        <f t="shared" si="22"/>
      </c>
      <c r="C3014" s="40">
        <f>IF(Inputs!$C$60,Inputs!$C$11+(B3014-Inputs!$C$69)/Inputs!$C$70,"")</f>
      </c>
      <c r="D3014" s="15"/>
      <c r="E3014" s="15"/>
      <c r="F3014" s="11">
        <f t="shared" si="23"/>
      </c>
      <c r="G3014" s="22" cm="1">
        <f t="array" ref="G3014">IF(AND(Inputs!$C$60,Inputs!$C$61),INDEX(Utility_Rates!$C$29:$F$52,HOUR(C3014)+Inputs!$C$69,MATCH(INDEX(Utility_Rates!$K$6:$K$17,MONTH(C3014))&amp;IF(WEEKDAY(C3014,Inputs!$C$76)&lt;=Inputs!$C$74," weekday"," weekend"),Utility_Rates!$C$28:$F$28,Inputs!$C$68)),"")</f>
      </c>
      <c r="H3014" s="34"/>
      <c r="I3014" s="42">
        <f>IF(AND(ISNUMBER(D3014),ISNUMBER(H3014)),D3014*H3014*Inputs!$C$69,"")</f>
      </c>
      <c r="J3014" s="42">
        <f>IF(AND(ISNUMBER(F3014),ISNUMBER(H3014),F3014&gt;=Inputs!$C$68),F3014*H3014*Inputs!$C$69,"")</f>
      </c>
    </row>
    <row r="3015" spans="2:10" ht="15" customHeight="1" x14ac:dyDescent="0.2">
      <c r="B3015" s="39">
        <f t="shared" si="22"/>
      </c>
      <c r="C3015" s="40">
        <f>IF(Inputs!$C$60,Inputs!$C$11+(B3015-Inputs!$C$69)/Inputs!$C$70,"")</f>
      </c>
      <c r="D3015" s="15"/>
      <c r="E3015" s="15"/>
      <c r="F3015" s="11">
        <f t="shared" si="23"/>
      </c>
      <c r="G3015" s="22" cm="1">
        <f t="array" ref="G3015">IF(AND(Inputs!$C$60,Inputs!$C$61),INDEX(Utility_Rates!$C$29:$F$52,HOUR(C3015)+Inputs!$C$69,MATCH(INDEX(Utility_Rates!$K$6:$K$17,MONTH(C3015))&amp;IF(WEEKDAY(C3015,Inputs!$C$76)&lt;=Inputs!$C$74," weekday"," weekend"),Utility_Rates!$C$28:$F$28,Inputs!$C$68)),"")</f>
      </c>
      <c r="H3015" s="34"/>
      <c r="I3015" s="42">
        <f>IF(AND(ISNUMBER(D3015),ISNUMBER(H3015)),D3015*H3015*Inputs!$C$69,"")</f>
      </c>
      <c r="J3015" s="42">
        <f>IF(AND(ISNUMBER(F3015),ISNUMBER(H3015),F3015&gt;=Inputs!$C$68),F3015*H3015*Inputs!$C$69,"")</f>
      </c>
    </row>
    <row r="3016" spans="2:10" ht="15" customHeight="1" x14ac:dyDescent="0.2">
      <c r="B3016" s="39">
        <f t="shared" si="22"/>
      </c>
      <c r="C3016" s="40">
        <f>IF(Inputs!$C$60,Inputs!$C$11+(B3016-Inputs!$C$69)/Inputs!$C$70,"")</f>
      </c>
      <c r="D3016" s="15"/>
      <c r="E3016" s="15"/>
      <c r="F3016" s="11">
        <f t="shared" si="23"/>
      </c>
      <c r="G3016" s="22" cm="1">
        <f t="array" ref="G3016">IF(AND(Inputs!$C$60,Inputs!$C$61),INDEX(Utility_Rates!$C$29:$F$52,HOUR(C3016)+Inputs!$C$69,MATCH(INDEX(Utility_Rates!$K$6:$K$17,MONTH(C3016))&amp;IF(WEEKDAY(C3016,Inputs!$C$76)&lt;=Inputs!$C$74," weekday"," weekend"),Utility_Rates!$C$28:$F$28,Inputs!$C$68)),"")</f>
      </c>
      <c r="H3016" s="34"/>
      <c r="I3016" s="42">
        <f>IF(AND(ISNUMBER(D3016),ISNUMBER(H3016)),D3016*H3016*Inputs!$C$69,"")</f>
      </c>
      <c r="J3016" s="42">
        <f>IF(AND(ISNUMBER(F3016),ISNUMBER(H3016),F3016&gt;=Inputs!$C$68),F3016*H3016*Inputs!$C$69,"")</f>
      </c>
    </row>
    <row r="3017" spans="2:10" ht="15" customHeight="1" x14ac:dyDescent="0.2">
      <c r="B3017" s="39">
        <f t="shared" si="22"/>
      </c>
      <c r="C3017" s="40">
        <f>IF(Inputs!$C$60,Inputs!$C$11+(B3017-Inputs!$C$69)/Inputs!$C$70,"")</f>
      </c>
      <c r="D3017" s="15"/>
      <c r="E3017" s="15"/>
      <c r="F3017" s="11">
        <f t="shared" si="23"/>
      </c>
      <c r="G3017" s="22" cm="1">
        <f t="array" ref="G3017">IF(AND(Inputs!$C$60,Inputs!$C$61),INDEX(Utility_Rates!$C$29:$F$52,HOUR(C3017)+Inputs!$C$69,MATCH(INDEX(Utility_Rates!$K$6:$K$17,MONTH(C3017))&amp;IF(WEEKDAY(C3017,Inputs!$C$76)&lt;=Inputs!$C$74," weekday"," weekend"),Utility_Rates!$C$28:$F$28,Inputs!$C$68)),"")</f>
      </c>
      <c r="H3017" s="34"/>
      <c r="I3017" s="42">
        <f>IF(AND(ISNUMBER(D3017),ISNUMBER(H3017)),D3017*H3017*Inputs!$C$69,"")</f>
      </c>
      <c r="J3017" s="42">
        <f>IF(AND(ISNUMBER(F3017),ISNUMBER(H3017),F3017&gt;=Inputs!$C$68),F3017*H3017*Inputs!$C$69,"")</f>
      </c>
    </row>
    <row r="3018" spans="2:10" ht="15" customHeight="1" x14ac:dyDescent="0.2">
      <c r="B3018" s="39">
        <f t="shared" si="22"/>
      </c>
      <c r="C3018" s="40">
        <f>IF(Inputs!$C$60,Inputs!$C$11+(B3018-Inputs!$C$69)/Inputs!$C$70,"")</f>
      </c>
      <c r="D3018" s="15"/>
      <c r="E3018" s="15"/>
      <c r="F3018" s="11">
        <f t="shared" si="23"/>
      </c>
      <c r="G3018" s="22" cm="1">
        <f t="array" ref="G3018">IF(AND(Inputs!$C$60,Inputs!$C$61),INDEX(Utility_Rates!$C$29:$F$52,HOUR(C3018)+Inputs!$C$69,MATCH(INDEX(Utility_Rates!$K$6:$K$17,MONTH(C3018))&amp;IF(WEEKDAY(C3018,Inputs!$C$76)&lt;=Inputs!$C$74," weekday"," weekend"),Utility_Rates!$C$28:$F$28,Inputs!$C$68)),"")</f>
      </c>
      <c r="H3018" s="34"/>
      <c r="I3018" s="42">
        <f>IF(AND(ISNUMBER(D3018),ISNUMBER(H3018)),D3018*H3018*Inputs!$C$69,"")</f>
      </c>
      <c r="J3018" s="42">
        <f>IF(AND(ISNUMBER(F3018),ISNUMBER(H3018),F3018&gt;=Inputs!$C$68),F3018*H3018*Inputs!$C$69,"")</f>
      </c>
    </row>
    <row r="3019" spans="2:10" ht="15" customHeight="1" x14ac:dyDescent="0.2">
      <c r="B3019" s="39">
        <f t="shared" si="22"/>
      </c>
      <c r="C3019" s="40">
        <f>IF(Inputs!$C$60,Inputs!$C$11+(B3019-Inputs!$C$69)/Inputs!$C$70,"")</f>
      </c>
      <c r="D3019" s="15"/>
      <c r="E3019" s="15"/>
      <c r="F3019" s="11">
        <f t="shared" si="23"/>
      </c>
      <c r="G3019" s="22" cm="1">
        <f t="array" ref="G3019">IF(AND(Inputs!$C$60,Inputs!$C$61),INDEX(Utility_Rates!$C$29:$F$52,HOUR(C3019)+Inputs!$C$69,MATCH(INDEX(Utility_Rates!$K$6:$K$17,MONTH(C3019))&amp;IF(WEEKDAY(C3019,Inputs!$C$76)&lt;=Inputs!$C$74," weekday"," weekend"),Utility_Rates!$C$28:$F$28,Inputs!$C$68)),"")</f>
      </c>
      <c r="H3019" s="34"/>
      <c r="I3019" s="42">
        <f>IF(AND(ISNUMBER(D3019),ISNUMBER(H3019)),D3019*H3019*Inputs!$C$69,"")</f>
      </c>
      <c r="J3019" s="42">
        <f>IF(AND(ISNUMBER(F3019),ISNUMBER(H3019),F3019&gt;=Inputs!$C$68),F3019*H3019*Inputs!$C$69,"")</f>
      </c>
    </row>
    <row r="3020" spans="2:10" ht="15" customHeight="1" x14ac:dyDescent="0.2">
      <c r="B3020" s="39">
        <f t="shared" si="22"/>
      </c>
      <c r="C3020" s="40">
        <f>IF(Inputs!$C$60,Inputs!$C$11+(B3020-Inputs!$C$69)/Inputs!$C$70,"")</f>
      </c>
      <c r="D3020" s="15"/>
      <c r="E3020" s="15"/>
      <c r="F3020" s="11">
        <f t="shared" si="23"/>
      </c>
      <c r="G3020" s="22" cm="1">
        <f t="array" ref="G3020">IF(AND(Inputs!$C$60,Inputs!$C$61),INDEX(Utility_Rates!$C$29:$F$52,HOUR(C3020)+Inputs!$C$69,MATCH(INDEX(Utility_Rates!$K$6:$K$17,MONTH(C3020))&amp;IF(WEEKDAY(C3020,Inputs!$C$76)&lt;=Inputs!$C$74," weekday"," weekend"),Utility_Rates!$C$28:$F$28,Inputs!$C$68)),"")</f>
      </c>
      <c r="H3020" s="34"/>
      <c r="I3020" s="42">
        <f>IF(AND(ISNUMBER(D3020),ISNUMBER(H3020)),D3020*H3020*Inputs!$C$69,"")</f>
      </c>
      <c r="J3020" s="42">
        <f>IF(AND(ISNUMBER(F3020),ISNUMBER(H3020),F3020&gt;=Inputs!$C$68),F3020*H3020*Inputs!$C$69,"")</f>
      </c>
    </row>
    <row r="3021" spans="2:10" ht="15" customHeight="1" x14ac:dyDescent="0.2">
      <c r="B3021" s="39">
        <f t="shared" si="22"/>
      </c>
      <c r="C3021" s="40">
        <f>IF(Inputs!$C$60,Inputs!$C$11+(B3021-Inputs!$C$69)/Inputs!$C$70,"")</f>
      </c>
      <c r="D3021" s="15"/>
      <c r="E3021" s="15"/>
      <c r="F3021" s="11">
        <f t="shared" si="23"/>
      </c>
      <c r="G3021" s="22" cm="1">
        <f t="array" ref="G3021">IF(AND(Inputs!$C$60,Inputs!$C$61),INDEX(Utility_Rates!$C$29:$F$52,HOUR(C3021)+Inputs!$C$69,MATCH(INDEX(Utility_Rates!$K$6:$K$17,MONTH(C3021))&amp;IF(WEEKDAY(C3021,Inputs!$C$76)&lt;=Inputs!$C$74," weekday"," weekend"),Utility_Rates!$C$28:$F$28,Inputs!$C$68)),"")</f>
      </c>
      <c r="H3021" s="34"/>
      <c r="I3021" s="42">
        <f>IF(AND(ISNUMBER(D3021),ISNUMBER(H3021)),D3021*H3021*Inputs!$C$69,"")</f>
      </c>
      <c r="J3021" s="42">
        <f>IF(AND(ISNUMBER(F3021),ISNUMBER(H3021),F3021&gt;=Inputs!$C$68),F3021*H3021*Inputs!$C$69,"")</f>
      </c>
    </row>
    <row r="3022" spans="2:10" ht="15" customHeight="1" x14ac:dyDescent="0.2">
      <c r="B3022" s="39">
        <f t="shared" si="22"/>
      </c>
      <c r="C3022" s="40">
        <f>IF(Inputs!$C$60,Inputs!$C$11+(B3022-Inputs!$C$69)/Inputs!$C$70,"")</f>
      </c>
      <c r="D3022" s="15"/>
      <c r="E3022" s="15"/>
      <c r="F3022" s="11">
        <f t="shared" si="23"/>
      </c>
      <c r="G3022" s="22" cm="1">
        <f t="array" ref="G3022">IF(AND(Inputs!$C$60,Inputs!$C$61),INDEX(Utility_Rates!$C$29:$F$52,HOUR(C3022)+Inputs!$C$69,MATCH(INDEX(Utility_Rates!$K$6:$K$17,MONTH(C3022))&amp;IF(WEEKDAY(C3022,Inputs!$C$76)&lt;=Inputs!$C$74," weekday"," weekend"),Utility_Rates!$C$28:$F$28,Inputs!$C$68)),"")</f>
      </c>
      <c r="H3022" s="34"/>
      <c r="I3022" s="42">
        <f>IF(AND(ISNUMBER(D3022),ISNUMBER(H3022)),D3022*H3022*Inputs!$C$69,"")</f>
      </c>
      <c r="J3022" s="42">
        <f>IF(AND(ISNUMBER(F3022),ISNUMBER(H3022),F3022&gt;=Inputs!$C$68),F3022*H3022*Inputs!$C$69,"")</f>
      </c>
    </row>
    <row r="3023" spans="2:10" ht="15" customHeight="1" x14ac:dyDescent="0.2">
      <c r="B3023" s="39">
        <f t="shared" si="22"/>
      </c>
      <c r="C3023" s="40">
        <f>IF(Inputs!$C$60,Inputs!$C$11+(B3023-Inputs!$C$69)/Inputs!$C$70,"")</f>
      </c>
      <c r="D3023" s="15"/>
      <c r="E3023" s="15"/>
      <c r="F3023" s="11">
        <f t="shared" si="23"/>
      </c>
      <c r="G3023" s="22" cm="1">
        <f t="array" ref="G3023">IF(AND(Inputs!$C$60,Inputs!$C$61),INDEX(Utility_Rates!$C$29:$F$52,HOUR(C3023)+Inputs!$C$69,MATCH(INDEX(Utility_Rates!$K$6:$K$17,MONTH(C3023))&amp;IF(WEEKDAY(C3023,Inputs!$C$76)&lt;=Inputs!$C$74," weekday"," weekend"),Utility_Rates!$C$28:$F$28,Inputs!$C$68)),"")</f>
      </c>
      <c r="H3023" s="34"/>
      <c r="I3023" s="42">
        <f>IF(AND(ISNUMBER(D3023),ISNUMBER(H3023)),D3023*H3023*Inputs!$C$69,"")</f>
      </c>
      <c r="J3023" s="42">
        <f>IF(AND(ISNUMBER(F3023),ISNUMBER(H3023),F3023&gt;=Inputs!$C$68),F3023*H3023*Inputs!$C$69,"")</f>
      </c>
    </row>
    <row r="3024" spans="2:10" ht="15" customHeight="1" x14ac:dyDescent="0.2">
      <c r="B3024" s="39">
        <f t="shared" si="22"/>
      </c>
      <c r="C3024" s="40">
        <f>IF(Inputs!$C$60,Inputs!$C$11+(B3024-Inputs!$C$69)/Inputs!$C$70,"")</f>
      </c>
      <c r="D3024" s="15"/>
      <c r="E3024" s="15"/>
      <c r="F3024" s="11">
        <f t="shared" si="23"/>
      </c>
      <c r="G3024" s="22" cm="1">
        <f t="array" ref="G3024">IF(AND(Inputs!$C$60,Inputs!$C$61),INDEX(Utility_Rates!$C$29:$F$52,HOUR(C3024)+Inputs!$C$69,MATCH(INDEX(Utility_Rates!$K$6:$K$17,MONTH(C3024))&amp;IF(WEEKDAY(C3024,Inputs!$C$76)&lt;=Inputs!$C$74," weekday"," weekend"),Utility_Rates!$C$28:$F$28,Inputs!$C$68)),"")</f>
      </c>
      <c r="H3024" s="34"/>
      <c r="I3024" s="42">
        <f>IF(AND(ISNUMBER(D3024),ISNUMBER(H3024)),D3024*H3024*Inputs!$C$69,"")</f>
      </c>
      <c r="J3024" s="42">
        <f>IF(AND(ISNUMBER(F3024),ISNUMBER(H3024),F3024&gt;=Inputs!$C$68),F3024*H3024*Inputs!$C$69,"")</f>
      </c>
    </row>
    <row r="3025" spans="2:10" ht="15" customHeight="1" x14ac:dyDescent="0.2">
      <c r="B3025" s="39">
        <f t="shared" si="22"/>
      </c>
      <c r="C3025" s="40">
        <f>IF(Inputs!$C$60,Inputs!$C$11+(B3025-Inputs!$C$69)/Inputs!$C$70,"")</f>
      </c>
      <c r="D3025" s="15"/>
      <c r="E3025" s="15"/>
      <c r="F3025" s="11">
        <f t="shared" si="23"/>
      </c>
      <c r="G3025" s="22" cm="1">
        <f t="array" ref="G3025">IF(AND(Inputs!$C$60,Inputs!$C$61),INDEX(Utility_Rates!$C$29:$F$52,HOUR(C3025)+Inputs!$C$69,MATCH(INDEX(Utility_Rates!$K$6:$K$17,MONTH(C3025))&amp;IF(WEEKDAY(C3025,Inputs!$C$76)&lt;=Inputs!$C$74," weekday"," weekend"),Utility_Rates!$C$28:$F$28,Inputs!$C$68)),"")</f>
      </c>
      <c r="H3025" s="34"/>
      <c r="I3025" s="42">
        <f>IF(AND(ISNUMBER(D3025),ISNUMBER(H3025)),D3025*H3025*Inputs!$C$69,"")</f>
      </c>
      <c r="J3025" s="42">
        <f>IF(AND(ISNUMBER(F3025),ISNUMBER(H3025),F3025&gt;=Inputs!$C$68),F3025*H3025*Inputs!$C$69,"")</f>
      </c>
    </row>
    <row r="3026" spans="2:10" ht="15" customHeight="1" x14ac:dyDescent="0.2">
      <c r="B3026" s="39">
        <f t="shared" si="22"/>
      </c>
      <c r="C3026" s="40">
        <f>IF(Inputs!$C$60,Inputs!$C$11+(B3026-Inputs!$C$69)/Inputs!$C$70,"")</f>
      </c>
      <c r="D3026" s="15"/>
      <c r="E3026" s="15"/>
      <c r="F3026" s="11">
        <f t="shared" si="23"/>
      </c>
      <c r="G3026" s="22" cm="1">
        <f t="array" ref="G3026">IF(AND(Inputs!$C$60,Inputs!$C$61),INDEX(Utility_Rates!$C$29:$F$52,HOUR(C3026)+Inputs!$C$69,MATCH(INDEX(Utility_Rates!$K$6:$K$17,MONTH(C3026))&amp;IF(WEEKDAY(C3026,Inputs!$C$76)&lt;=Inputs!$C$74," weekday"," weekend"),Utility_Rates!$C$28:$F$28,Inputs!$C$68)),"")</f>
      </c>
      <c r="H3026" s="34"/>
      <c r="I3026" s="42">
        <f>IF(AND(ISNUMBER(D3026),ISNUMBER(H3026)),D3026*H3026*Inputs!$C$69,"")</f>
      </c>
      <c r="J3026" s="42">
        <f>IF(AND(ISNUMBER(F3026),ISNUMBER(H3026),F3026&gt;=Inputs!$C$68),F3026*H3026*Inputs!$C$69,"")</f>
      </c>
    </row>
    <row r="3027" spans="2:10" ht="15" customHeight="1" x14ac:dyDescent="0.2">
      <c r="B3027" s="39">
        <f t="shared" si="22"/>
      </c>
      <c r="C3027" s="40">
        <f>IF(Inputs!$C$60,Inputs!$C$11+(B3027-Inputs!$C$69)/Inputs!$C$70,"")</f>
      </c>
      <c r="D3027" s="15"/>
      <c r="E3027" s="15"/>
      <c r="F3027" s="11">
        <f t="shared" si="23"/>
      </c>
      <c r="G3027" s="22" cm="1">
        <f t="array" ref="G3027">IF(AND(Inputs!$C$60,Inputs!$C$61),INDEX(Utility_Rates!$C$29:$F$52,HOUR(C3027)+Inputs!$C$69,MATCH(INDEX(Utility_Rates!$K$6:$K$17,MONTH(C3027))&amp;IF(WEEKDAY(C3027,Inputs!$C$76)&lt;=Inputs!$C$74," weekday"," weekend"),Utility_Rates!$C$28:$F$28,Inputs!$C$68)),"")</f>
      </c>
      <c r="H3027" s="34"/>
      <c r="I3027" s="42">
        <f>IF(AND(ISNUMBER(D3027),ISNUMBER(H3027)),D3027*H3027*Inputs!$C$69,"")</f>
      </c>
      <c r="J3027" s="42">
        <f>IF(AND(ISNUMBER(F3027),ISNUMBER(H3027),F3027&gt;=Inputs!$C$68),F3027*H3027*Inputs!$C$69,"")</f>
      </c>
    </row>
    <row r="3028" spans="2:10" ht="15" customHeight="1" x14ac:dyDescent="0.2">
      <c r="B3028" s="39">
        <f t="shared" si="22"/>
      </c>
      <c r="C3028" s="40">
        <f>IF(Inputs!$C$60,Inputs!$C$11+(B3028-Inputs!$C$69)/Inputs!$C$70,"")</f>
      </c>
      <c r="D3028" s="15"/>
      <c r="E3028" s="15"/>
      <c r="F3028" s="11">
        <f t="shared" si="23"/>
      </c>
      <c r="G3028" s="22" cm="1">
        <f t="array" ref="G3028">IF(AND(Inputs!$C$60,Inputs!$C$61),INDEX(Utility_Rates!$C$29:$F$52,HOUR(C3028)+Inputs!$C$69,MATCH(INDEX(Utility_Rates!$K$6:$K$17,MONTH(C3028))&amp;IF(WEEKDAY(C3028,Inputs!$C$76)&lt;=Inputs!$C$74," weekday"," weekend"),Utility_Rates!$C$28:$F$28,Inputs!$C$68)),"")</f>
      </c>
      <c r="H3028" s="34"/>
      <c r="I3028" s="42">
        <f>IF(AND(ISNUMBER(D3028),ISNUMBER(H3028)),D3028*H3028*Inputs!$C$69,"")</f>
      </c>
      <c r="J3028" s="42">
        <f>IF(AND(ISNUMBER(F3028),ISNUMBER(H3028),F3028&gt;=Inputs!$C$68),F3028*H3028*Inputs!$C$69,"")</f>
      </c>
    </row>
    <row r="3029" spans="2:10" ht="15" customHeight="1" x14ac:dyDescent="0.2">
      <c r="B3029" s="39">
        <f t="shared" si="22"/>
      </c>
      <c r="C3029" s="40">
        <f>IF(Inputs!$C$60,Inputs!$C$11+(B3029-Inputs!$C$69)/Inputs!$C$70,"")</f>
      </c>
      <c r="D3029" s="15"/>
      <c r="E3029" s="15"/>
      <c r="F3029" s="11">
        <f t="shared" si="23"/>
      </c>
      <c r="G3029" s="22" cm="1">
        <f t="array" ref="G3029">IF(AND(Inputs!$C$60,Inputs!$C$61),INDEX(Utility_Rates!$C$29:$F$52,HOUR(C3029)+Inputs!$C$69,MATCH(INDEX(Utility_Rates!$K$6:$K$17,MONTH(C3029))&amp;IF(WEEKDAY(C3029,Inputs!$C$76)&lt;=Inputs!$C$74," weekday"," weekend"),Utility_Rates!$C$28:$F$28,Inputs!$C$68)),"")</f>
      </c>
      <c r="H3029" s="34"/>
      <c r="I3029" s="42">
        <f>IF(AND(ISNUMBER(D3029),ISNUMBER(H3029)),D3029*H3029*Inputs!$C$69,"")</f>
      </c>
      <c r="J3029" s="42">
        <f>IF(AND(ISNUMBER(F3029),ISNUMBER(H3029),F3029&gt;=Inputs!$C$68),F3029*H3029*Inputs!$C$69,"")</f>
      </c>
    </row>
    <row r="3030" spans="2:10" ht="15" customHeight="1" x14ac:dyDescent="0.2">
      <c r="B3030" s="39">
        <f t="shared" si="22"/>
      </c>
      <c r="C3030" s="40">
        <f>IF(Inputs!$C$60,Inputs!$C$11+(B3030-Inputs!$C$69)/Inputs!$C$70,"")</f>
      </c>
      <c r="D3030" s="15"/>
      <c r="E3030" s="15"/>
      <c r="F3030" s="11">
        <f t="shared" si="23"/>
      </c>
      <c r="G3030" s="22" cm="1">
        <f t="array" ref="G3030">IF(AND(Inputs!$C$60,Inputs!$C$61),INDEX(Utility_Rates!$C$29:$F$52,HOUR(C3030)+Inputs!$C$69,MATCH(INDEX(Utility_Rates!$K$6:$K$17,MONTH(C3030))&amp;IF(WEEKDAY(C3030,Inputs!$C$76)&lt;=Inputs!$C$74," weekday"," weekend"),Utility_Rates!$C$28:$F$28,Inputs!$C$68)),"")</f>
      </c>
      <c r="H3030" s="34"/>
      <c r="I3030" s="42">
        <f>IF(AND(ISNUMBER(D3030),ISNUMBER(H3030)),D3030*H3030*Inputs!$C$69,"")</f>
      </c>
      <c r="J3030" s="42">
        <f>IF(AND(ISNUMBER(F3030),ISNUMBER(H3030),F3030&gt;=Inputs!$C$68),F3030*H3030*Inputs!$C$69,"")</f>
      </c>
    </row>
    <row r="3031" spans="2:10" ht="15" customHeight="1" x14ac:dyDescent="0.2">
      <c r="B3031" s="39">
        <f t="shared" si="22"/>
      </c>
      <c r="C3031" s="40">
        <f>IF(Inputs!$C$60,Inputs!$C$11+(B3031-Inputs!$C$69)/Inputs!$C$70,"")</f>
      </c>
      <c r="D3031" s="15"/>
      <c r="E3031" s="15"/>
      <c r="F3031" s="11">
        <f t="shared" si="23"/>
      </c>
      <c r="G3031" s="22" cm="1">
        <f t="array" ref="G3031">IF(AND(Inputs!$C$60,Inputs!$C$61),INDEX(Utility_Rates!$C$29:$F$52,HOUR(C3031)+Inputs!$C$69,MATCH(INDEX(Utility_Rates!$K$6:$K$17,MONTH(C3031))&amp;IF(WEEKDAY(C3031,Inputs!$C$76)&lt;=Inputs!$C$74," weekday"," weekend"),Utility_Rates!$C$28:$F$28,Inputs!$C$68)),"")</f>
      </c>
      <c r="H3031" s="34"/>
      <c r="I3031" s="42">
        <f>IF(AND(ISNUMBER(D3031),ISNUMBER(H3031)),D3031*H3031*Inputs!$C$69,"")</f>
      </c>
      <c r="J3031" s="42">
        <f>IF(AND(ISNUMBER(F3031),ISNUMBER(H3031),F3031&gt;=Inputs!$C$68),F3031*H3031*Inputs!$C$69,"")</f>
      </c>
    </row>
    <row r="3032" spans="2:10" ht="15" customHeight="1" x14ac:dyDescent="0.2">
      <c r="B3032" s="39">
        <f t="shared" si="22"/>
      </c>
      <c r="C3032" s="40">
        <f>IF(Inputs!$C$60,Inputs!$C$11+(B3032-Inputs!$C$69)/Inputs!$C$70,"")</f>
      </c>
      <c r="D3032" s="15"/>
      <c r="E3032" s="15"/>
      <c r="F3032" s="11">
        <f t="shared" si="23"/>
      </c>
      <c r="G3032" s="22" cm="1">
        <f t="array" ref="G3032">IF(AND(Inputs!$C$60,Inputs!$C$61),INDEX(Utility_Rates!$C$29:$F$52,HOUR(C3032)+Inputs!$C$69,MATCH(INDEX(Utility_Rates!$K$6:$K$17,MONTH(C3032))&amp;IF(WEEKDAY(C3032,Inputs!$C$76)&lt;=Inputs!$C$74," weekday"," weekend"),Utility_Rates!$C$28:$F$28,Inputs!$C$68)),"")</f>
      </c>
      <c r="H3032" s="34"/>
      <c r="I3032" s="42">
        <f>IF(AND(ISNUMBER(D3032),ISNUMBER(H3032)),D3032*H3032*Inputs!$C$69,"")</f>
      </c>
      <c r="J3032" s="42">
        <f>IF(AND(ISNUMBER(F3032),ISNUMBER(H3032),F3032&gt;=Inputs!$C$68),F3032*H3032*Inputs!$C$69,"")</f>
      </c>
    </row>
    <row r="3033" spans="2:10" ht="15" customHeight="1" x14ac:dyDescent="0.2">
      <c r="B3033" s="39">
        <f t="shared" si="22"/>
      </c>
      <c r="C3033" s="40">
        <f>IF(Inputs!$C$60,Inputs!$C$11+(B3033-Inputs!$C$69)/Inputs!$C$70,"")</f>
      </c>
      <c r="D3033" s="15"/>
      <c r="E3033" s="15"/>
      <c r="F3033" s="11">
        <f t="shared" si="23"/>
      </c>
      <c r="G3033" s="22" cm="1">
        <f t="array" ref="G3033">IF(AND(Inputs!$C$60,Inputs!$C$61),INDEX(Utility_Rates!$C$29:$F$52,HOUR(C3033)+Inputs!$C$69,MATCH(INDEX(Utility_Rates!$K$6:$K$17,MONTH(C3033))&amp;IF(WEEKDAY(C3033,Inputs!$C$76)&lt;=Inputs!$C$74," weekday"," weekend"),Utility_Rates!$C$28:$F$28,Inputs!$C$68)),"")</f>
      </c>
      <c r="H3033" s="34"/>
      <c r="I3033" s="42">
        <f>IF(AND(ISNUMBER(D3033),ISNUMBER(H3033)),D3033*H3033*Inputs!$C$69,"")</f>
      </c>
      <c r="J3033" s="42">
        <f>IF(AND(ISNUMBER(F3033),ISNUMBER(H3033),F3033&gt;=Inputs!$C$68),F3033*H3033*Inputs!$C$69,"")</f>
      </c>
    </row>
    <row r="3034" spans="2:10" ht="15" customHeight="1" x14ac:dyDescent="0.2">
      <c r="B3034" s="39">
        <f t="shared" si="22"/>
      </c>
      <c r="C3034" s="40">
        <f>IF(Inputs!$C$60,Inputs!$C$11+(B3034-Inputs!$C$69)/Inputs!$C$70,"")</f>
      </c>
      <c r="D3034" s="15"/>
      <c r="E3034" s="15"/>
      <c r="F3034" s="11">
        <f t="shared" si="23"/>
      </c>
      <c r="G3034" s="22" cm="1">
        <f t="array" ref="G3034">IF(AND(Inputs!$C$60,Inputs!$C$61),INDEX(Utility_Rates!$C$29:$F$52,HOUR(C3034)+Inputs!$C$69,MATCH(INDEX(Utility_Rates!$K$6:$K$17,MONTH(C3034))&amp;IF(WEEKDAY(C3034,Inputs!$C$76)&lt;=Inputs!$C$74," weekday"," weekend"),Utility_Rates!$C$28:$F$28,Inputs!$C$68)),"")</f>
      </c>
      <c r="H3034" s="34"/>
      <c r="I3034" s="42">
        <f>IF(AND(ISNUMBER(D3034),ISNUMBER(H3034)),D3034*H3034*Inputs!$C$69,"")</f>
      </c>
      <c r="J3034" s="42">
        <f>IF(AND(ISNUMBER(F3034),ISNUMBER(H3034),F3034&gt;=Inputs!$C$68),F3034*H3034*Inputs!$C$69,"")</f>
      </c>
    </row>
    <row r="3035" spans="2:10" ht="15" customHeight="1" x14ac:dyDescent="0.2">
      <c r="B3035" s="39">
        <f t="shared" si="22"/>
      </c>
      <c r="C3035" s="40">
        <f>IF(Inputs!$C$60,Inputs!$C$11+(B3035-Inputs!$C$69)/Inputs!$C$70,"")</f>
      </c>
      <c r="D3035" s="15"/>
      <c r="E3035" s="15"/>
      <c r="F3035" s="11">
        <f t="shared" si="23"/>
      </c>
      <c r="G3035" s="22" cm="1">
        <f t="array" ref="G3035">IF(AND(Inputs!$C$60,Inputs!$C$61),INDEX(Utility_Rates!$C$29:$F$52,HOUR(C3035)+Inputs!$C$69,MATCH(INDEX(Utility_Rates!$K$6:$K$17,MONTH(C3035))&amp;IF(WEEKDAY(C3035,Inputs!$C$76)&lt;=Inputs!$C$74," weekday"," weekend"),Utility_Rates!$C$28:$F$28,Inputs!$C$68)),"")</f>
      </c>
      <c r="H3035" s="34"/>
      <c r="I3035" s="42">
        <f>IF(AND(ISNUMBER(D3035),ISNUMBER(H3035)),D3035*H3035*Inputs!$C$69,"")</f>
      </c>
      <c r="J3035" s="42">
        <f>IF(AND(ISNUMBER(F3035),ISNUMBER(H3035),F3035&gt;=Inputs!$C$68),F3035*H3035*Inputs!$C$69,"")</f>
      </c>
    </row>
    <row r="3036" spans="2:10" ht="15" customHeight="1" x14ac:dyDescent="0.2">
      <c r="B3036" s="39">
        <f t="shared" si="22"/>
      </c>
      <c r="C3036" s="40">
        <f>IF(Inputs!$C$60,Inputs!$C$11+(B3036-Inputs!$C$69)/Inputs!$C$70,"")</f>
      </c>
      <c r="D3036" s="15"/>
      <c r="E3036" s="15"/>
      <c r="F3036" s="11">
        <f t="shared" si="23"/>
      </c>
      <c r="G3036" s="22" cm="1">
        <f t="array" ref="G3036">IF(AND(Inputs!$C$60,Inputs!$C$61),INDEX(Utility_Rates!$C$29:$F$52,HOUR(C3036)+Inputs!$C$69,MATCH(INDEX(Utility_Rates!$K$6:$K$17,MONTH(C3036))&amp;IF(WEEKDAY(C3036,Inputs!$C$76)&lt;=Inputs!$C$74," weekday"," weekend"),Utility_Rates!$C$28:$F$28,Inputs!$C$68)),"")</f>
      </c>
      <c r="H3036" s="34"/>
      <c r="I3036" s="42">
        <f>IF(AND(ISNUMBER(D3036),ISNUMBER(H3036)),D3036*H3036*Inputs!$C$69,"")</f>
      </c>
      <c r="J3036" s="42">
        <f>IF(AND(ISNUMBER(F3036),ISNUMBER(H3036),F3036&gt;=Inputs!$C$68),F3036*H3036*Inputs!$C$69,"")</f>
      </c>
    </row>
    <row r="3037" spans="2:10" ht="15" customHeight="1" x14ac:dyDescent="0.2">
      <c r="B3037" s="39">
        <f t="shared" si="22"/>
      </c>
      <c r="C3037" s="40">
        <f>IF(Inputs!$C$60,Inputs!$C$11+(B3037-Inputs!$C$69)/Inputs!$C$70,"")</f>
      </c>
      <c r="D3037" s="15"/>
      <c r="E3037" s="15"/>
      <c r="F3037" s="11">
        <f t="shared" si="23"/>
      </c>
      <c r="G3037" s="22" cm="1">
        <f t="array" ref="G3037">IF(AND(Inputs!$C$60,Inputs!$C$61),INDEX(Utility_Rates!$C$29:$F$52,HOUR(C3037)+Inputs!$C$69,MATCH(INDEX(Utility_Rates!$K$6:$K$17,MONTH(C3037))&amp;IF(WEEKDAY(C3037,Inputs!$C$76)&lt;=Inputs!$C$74," weekday"," weekend"),Utility_Rates!$C$28:$F$28,Inputs!$C$68)),"")</f>
      </c>
      <c r="H3037" s="34"/>
      <c r="I3037" s="42">
        <f>IF(AND(ISNUMBER(D3037),ISNUMBER(H3037)),D3037*H3037*Inputs!$C$69,"")</f>
      </c>
      <c r="J3037" s="42">
        <f>IF(AND(ISNUMBER(F3037),ISNUMBER(H3037),F3037&gt;=Inputs!$C$68),F3037*H3037*Inputs!$C$69,"")</f>
      </c>
    </row>
    <row r="3038" spans="2:10" ht="15" customHeight="1" x14ac:dyDescent="0.2">
      <c r="B3038" s="39">
        <f t="shared" si="22"/>
      </c>
      <c r="C3038" s="40">
        <f>IF(Inputs!$C$60,Inputs!$C$11+(B3038-Inputs!$C$69)/Inputs!$C$70,"")</f>
      </c>
      <c r="D3038" s="15"/>
      <c r="E3038" s="15"/>
      <c r="F3038" s="11">
        <f t="shared" si="23"/>
      </c>
      <c r="G3038" s="22" cm="1">
        <f t="array" ref="G3038">IF(AND(Inputs!$C$60,Inputs!$C$61),INDEX(Utility_Rates!$C$29:$F$52,HOUR(C3038)+Inputs!$C$69,MATCH(INDEX(Utility_Rates!$K$6:$K$17,MONTH(C3038))&amp;IF(WEEKDAY(C3038,Inputs!$C$76)&lt;=Inputs!$C$74," weekday"," weekend"),Utility_Rates!$C$28:$F$28,Inputs!$C$68)),"")</f>
      </c>
      <c r="H3038" s="34"/>
      <c r="I3038" s="42">
        <f>IF(AND(ISNUMBER(D3038),ISNUMBER(H3038)),D3038*H3038*Inputs!$C$69,"")</f>
      </c>
      <c r="J3038" s="42">
        <f>IF(AND(ISNUMBER(F3038),ISNUMBER(H3038),F3038&gt;=Inputs!$C$68),F3038*H3038*Inputs!$C$69,"")</f>
      </c>
    </row>
    <row r="3039" spans="2:10" ht="15" customHeight="1" x14ac:dyDescent="0.2">
      <c r="B3039" s="39">
        <f t="shared" si="22"/>
      </c>
      <c r="C3039" s="40">
        <f>IF(Inputs!$C$60,Inputs!$C$11+(B3039-Inputs!$C$69)/Inputs!$C$70,"")</f>
      </c>
      <c r="D3039" s="15"/>
      <c r="E3039" s="15"/>
      <c r="F3039" s="11">
        <f t="shared" si="23"/>
      </c>
      <c r="G3039" s="22" cm="1">
        <f t="array" ref="G3039">IF(AND(Inputs!$C$60,Inputs!$C$61),INDEX(Utility_Rates!$C$29:$F$52,HOUR(C3039)+Inputs!$C$69,MATCH(INDEX(Utility_Rates!$K$6:$K$17,MONTH(C3039))&amp;IF(WEEKDAY(C3039,Inputs!$C$76)&lt;=Inputs!$C$74," weekday"," weekend"),Utility_Rates!$C$28:$F$28,Inputs!$C$68)),"")</f>
      </c>
      <c r="H3039" s="34"/>
      <c r="I3039" s="42">
        <f>IF(AND(ISNUMBER(D3039),ISNUMBER(H3039)),D3039*H3039*Inputs!$C$69,"")</f>
      </c>
      <c r="J3039" s="42">
        <f>IF(AND(ISNUMBER(F3039),ISNUMBER(H3039),F3039&gt;=Inputs!$C$68),F3039*H3039*Inputs!$C$69,"")</f>
      </c>
    </row>
    <row r="3040" spans="2:10" ht="15" customHeight="1" x14ac:dyDescent="0.2">
      <c r="B3040" s="39">
        <f t="shared" si="22"/>
      </c>
      <c r="C3040" s="40">
        <f>IF(Inputs!$C$60,Inputs!$C$11+(B3040-Inputs!$C$69)/Inputs!$C$70,"")</f>
      </c>
      <c r="D3040" s="15"/>
      <c r="E3040" s="15"/>
      <c r="F3040" s="11">
        <f t="shared" si="23"/>
      </c>
      <c r="G3040" s="22" cm="1">
        <f t="array" ref="G3040">IF(AND(Inputs!$C$60,Inputs!$C$61),INDEX(Utility_Rates!$C$29:$F$52,HOUR(C3040)+Inputs!$C$69,MATCH(INDEX(Utility_Rates!$K$6:$K$17,MONTH(C3040))&amp;IF(WEEKDAY(C3040,Inputs!$C$76)&lt;=Inputs!$C$74," weekday"," weekend"),Utility_Rates!$C$28:$F$28,Inputs!$C$68)),"")</f>
      </c>
      <c r="H3040" s="34"/>
      <c r="I3040" s="42">
        <f>IF(AND(ISNUMBER(D3040),ISNUMBER(H3040)),D3040*H3040*Inputs!$C$69,"")</f>
      </c>
      <c r="J3040" s="42">
        <f>IF(AND(ISNUMBER(F3040),ISNUMBER(H3040),F3040&gt;=Inputs!$C$68),F3040*H3040*Inputs!$C$69,"")</f>
      </c>
    </row>
    <row r="3041" spans="2:10" ht="15" customHeight="1" x14ac:dyDescent="0.2">
      <c r="B3041" s="39">
        <f t="shared" si="22"/>
      </c>
      <c r="C3041" s="40">
        <f>IF(Inputs!$C$60,Inputs!$C$11+(B3041-Inputs!$C$69)/Inputs!$C$70,"")</f>
      </c>
      <c r="D3041" s="15"/>
      <c r="E3041" s="15"/>
      <c r="F3041" s="11">
        <f t="shared" si="23"/>
      </c>
      <c r="G3041" s="22" cm="1">
        <f t="array" ref="G3041">IF(AND(Inputs!$C$60,Inputs!$C$61),INDEX(Utility_Rates!$C$29:$F$52,HOUR(C3041)+Inputs!$C$69,MATCH(INDEX(Utility_Rates!$K$6:$K$17,MONTH(C3041))&amp;IF(WEEKDAY(C3041,Inputs!$C$76)&lt;=Inputs!$C$74," weekday"," weekend"),Utility_Rates!$C$28:$F$28,Inputs!$C$68)),"")</f>
      </c>
      <c r="H3041" s="34"/>
      <c r="I3041" s="42">
        <f>IF(AND(ISNUMBER(D3041),ISNUMBER(H3041)),D3041*H3041*Inputs!$C$69,"")</f>
      </c>
      <c r="J3041" s="42">
        <f>IF(AND(ISNUMBER(F3041),ISNUMBER(H3041),F3041&gt;=Inputs!$C$68),F3041*H3041*Inputs!$C$69,"")</f>
      </c>
    </row>
    <row r="3042" spans="2:10" ht="15" customHeight="1" x14ac:dyDescent="0.2">
      <c r="B3042" s="39">
        <f t="shared" si="22"/>
      </c>
      <c r="C3042" s="40">
        <f>IF(Inputs!$C$60,Inputs!$C$11+(B3042-Inputs!$C$69)/Inputs!$C$70,"")</f>
      </c>
      <c r="D3042" s="15"/>
      <c r="E3042" s="15"/>
      <c r="F3042" s="11">
        <f t="shared" si="23"/>
      </c>
      <c r="G3042" s="22" cm="1">
        <f t="array" ref="G3042">IF(AND(Inputs!$C$60,Inputs!$C$61),INDEX(Utility_Rates!$C$29:$F$52,HOUR(C3042)+Inputs!$C$69,MATCH(INDEX(Utility_Rates!$K$6:$K$17,MONTH(C3042))&amp;IF(WEEKDAY(C3042,Inputs!$C$76)&lt;=Inputs!$C$74," weekday"," weekend"),Utility_Rates!$C$28:$F$28,Inputs!$C$68)),"")</f>
      </c>
      <c r="H3042" s="34"/>
      <c r="I3042" s="42">
        <f>IF(AND(ISNUMBER(D3042),ISNUMBER(H3042)),D3042*H3042*Inputs!$C$69,"")</f>
      </c>
      <c r="J3042" s="42">
        <f>IF(AND(ISNUMBER(F3042),ISNUMBER(H3042),F3042&gt;=Inputs!$C$68),F3042*H3042*Inputs!$C$69,"")</f>
      </c>
    </row>
    <row r="3043" spans="2:10" ht="15" customHeight="1" x14ac:dyDescent="0.2">
      <c r="B3043" s="39">
        <f t="shared" si="22"/>
      </c>
      <c r="C3043" s="40">
        <f>IF(Inputs!$C$60,Inputs!$C$11+(B3043-Inputs!$C$69)/Inputs!$C$70,"")</f>
      </c>
      <c r="D3043" s="15"/>
      <c r="E3043" s="15"/>
      <c r="F3043" s="11">
        <f t="shared" si="23"/>
      </c>
      <c r="G3043" s="22" cm="1">
        <f t="array" ref="G3043">IF(AND(Inputs!$C$60,Inputs!$C$61),INDEX(Utility_Rates!$C$29:$F$52,HOUR(C3043)+Inputs!$C$69,MATCH(INDEX(Utility_Rates!$K$6:$K$17,MONTH(C3043))&amp;IF(WEEKDAY(C3043,Inputs!$C$76)&lt;=Inputs!$C$74," weekday"," weekend"),Utility_Rates!$C$28:$F$28,Inputs!$C$68)),"")</f>
      </c>
      <c r="H3043" s="34"/>
      <c r="I3043" s="42">
        <f>IF(AND(ISNUMBER(D3043),ISNUMBER(H3043)),D3043*H3043*Inputs!$C$69,"")</f>
      </c>
      <c r="J3043" s="42">
        <f>IF(AND(ISNUMBER(F3043),ISNUMBER(H3043),F3043&gt;=Inputs!$C$68),F3043*H3043*Inputs!$C$69,"")</f>
      </c>
    </row>
    <row r="3044" spans="2:10" ht="15" customHeight="1" x14ac:dyDescent="0.2">
      <c r="B3044" s="39">
        <f t="shared" si="22"/>
      </c>
      <c r="C3044" s="40">
        <f>IF(Inputs!$C$60,Inputs!$C$11+(B3044-Inputs!$C$69)/Inputs!$C$70,"")</f>
      </c>
      <c r="D3044" s="15"/>
      <c r="E3044" s="15"/>
      <c r="F3044" s="11">
        <f t="shared" si="23"/>
      </c>
      <c r="G3044" s="22" cm="1">
        <f t="array" ref="G3044">IF(AND(Inputs!$C$60,Inputs!$C$61),INDEX(Utility_Rates!$C$29:$F$52,HOUR(C3044)+Inputs!$C$69,MATCH(INDEX(Utility_Rates!$K$6:$K$17,MONTH(C3044))&amp;IF(WEEKDAY(C3044,Inputs!$C$76)&lt;=Inputs!$C$74," weekday"," weekend"),Utility_Rates!$C$28:$F$28,Inputs!$C$68)),"")</f>
      </c>
      <c r="H3044" s="34"/>
      <c r="I3044" s="42">
        <f>IF(AND(ISNUMBER(D3044),ISNUMBER(H3044)),D3044*H3044*Inputs!$C$69,"")</f>
      </c>
      <c r="J3044" s="42">
        <f>IF(AND(ISNUMBER(F3044),ISNUMBER(H3044),F3044&gt;=Inputs!$C$68),F3044*H3044*Inputs!$C$69,"")</f>
      </c>
    </row>
    <row r="3045" spans="2:10" ht="15" customHeight="1" x14ac:dyDescent="0.2">
      <c r="B3045" s="39">
        <f t="shared" si="22"/>
      </c>
      <c r="C3045" s="40">
        <f>IF(Inputs!$C$60,Inputs!$C$11+(B3045-Inputs!$C$69)/Inputs!$C$70,"")</f>
      </c>
      <c r="D3045" s="15"/>
      <c r="E3045" s="15"/>
      <c r="F3045" s="11">
        <f t="shared" si="23"/>
      </c>
      <c r="G3045" s="22" cm="1">
        <f t="array" ref="G3045">IF(AND(Inputs!$C$60,Inputs!$C$61),INDEX(Utility_Rates!$C$29:$F$52,HOUR(C3045)+Inputs!$C$69,MATCH(INDEX(Utility_Rates!$K$6:$K$17,MONTH(C3045))&amp;IF(WEEKDAY(C3045,Inputs!$C$76)&lt;=Inputs!$C$74," weekday"," weekend"),Utility_Rates!$C$28:$F$28,Inputs!$C$68)),"")</f>
      </c>
      <c r="H3045" s="34"/>
      <c r="I3045" s="42">
        <f>IF(AND(ISNUMBER(D3045),ISNUMBER(H3045)),D3045*H3045*Inputs!$C$69,"")</f>
      </c>
      <c r="J3045" s="42">
        <f>IF(AND(ISNUMBER(F3045),ISNUMBER(H3045),F3045&gt;=Inputs!$C$68),F3045*H3045*Inputs!$C$69,"")</f>
      </c>
    </row>
    <row r="3046" spans="2:10" ht="15" customHeight="1" x14ac:dyDescent="0.2">
      <c r="B3046" s="39">
        <f t="shared" si="22"/>
      </c>
      <c r="C3046" s="40">
        <f>IF(Inputs!$C$60,Inputs!$C$11+(B3046-Inputs!$C$69)/Inputs!$C$70,"")</f>
      </c>
      <c r="D3046" s="15"/>
      <c r="E3046" s="15"/>
      <c r="F3046" s="11">
        <f t="shared" si="23"/>
      </c>
      <c r="G3046" s="22" cm="1">
        <f t="array" ref="G3046">IF(AND(Inputs!$C$60,Inputs!$C$61),INDEX(Utility_Rates!$C$29:$F$52,HOUR(C3046)+Inputs!$C$69,MATCH(INDEX(Utility_Rates!$K$6:$K$17,MONTH(C3046))&amp;IF(WEEKDAY(C3046,Inputs!$C$76)&lt;=Inputs!$C$74," weekday"," weekend"),Utility_Rates!$C$28:$F$28,Inputs!$C$68)),"")</f>
      </c>
      <c r="H3046" s="34"/>
      <c r="I3046" s="42">
        <f>IF(AND(ISNUMBER(D3046),ISNUMBER(H3046)),D3046*H3046*Inputs!$C$69,"")</f>
      </c>
      <c r="J3046" s="42">
        <f>IF(AND(ISNUMBER(F3046),ISNUMBER(H3046),F3046&gt;=Inputs!$C$68),F3046*H3046*Inputs!$C$69,"")</f>
      </c>
    </row>
    <row r="3047" spans="2:10" ht="15" customHeight="1" x14ac:dyDescent="0.2">
      <c r="B3047" s="39">
        <f t="shared" si="22"/>
      </c>
      <c r="C3047" s="40">
        <f>IF(Inputs!$C$60,Inputs!$C$11+(B3047-Inputs!$C$69)/Inputs!$C$70,"")</f>
      </c>
      <c r="D3047" s="15"/>
      <c r="E3047" s="15"/>
      <c r="F3047" s="11">
        <f t="shared" si="23"/>
      </c>
      <c r="G3047" s="22" cm="1">
        <f t="array" ref="G3047">IF(AND(Inputs!$C$60,Inputs!$C$61),INDEX(Utility_Rates!$C$29:$F$52,HOUR(C3047)+Inputs!$C$69,MATCH(INDEX(Utility_Rates!$K$6:$K$17,MONTH(C3047))&amp;IF(WEEKDAY(C3047,Inputs!$C$76)&lt;=Inputs!$C$74," weekday"," weekend"),Utility_Rates!$C$28:$F$28,Inputs!$C$68)),"")</f>
      </c>
      <c r="H3047" s="34"/>
      <c r="I3047" s="42">
        <f>IF(AND(ISNUMBER(D3047),ISNUMBER(H3047)),D3047*H3047*Inputs!$C$69,"")</f>
      </c>
      <c r="J3047" s="42">
        <f>IF(AND(ISNUMBER(F3047),ISNUMBER(H3047),F3047&gt;=Inputs!$C$68),F3047*H3047*Inputs!$C$69,"")</f>
      </c>
    </row>
    <row r="3048" spans="2:10" ht="15" customHeight="1" x14ac:dyDescent="0.2">
      <c r="B3048" s="39">
        <f t="shared" si="22"/>
      </c>
      <c r="C3048" s="40">
        <f>IF(Inputs!$C$60,Inputs!$C$11+(B3048-Inputs!$C$69)/Inputs!$C$70,"")</f>
      </c>
      <c r="D3048" s="15"/>
      <c r="E3048" s="15"/>
      <c r="F3048" s="11">
        <f t="shared" si="23"/>
      </c>
      <c r="G3048" s="22" cm="1">
        <f t="array" ref="G3048">IF(AND(Inputs!$C$60,Inputs!$C$61),INDEX(Utility_Rates!$C$29:$F$52,HOUR(C3048)+Inputs!$C$69,MATCH(INDEX(Utility_Rates!$K$6:$K$17,MONTH(C3048))&amp;IF(WEEKDAY(C3048,Inputs!$C$76)&lt;=Inputs!$C$74," weekday"," weekend"),Utility_Rates!$C$28:$F$28,Inputs!$C$68)),"")</f>
      </c>
      <c r="H3048" s="34"/>
      <c r="I3048" s="42">
        <f>IF(AND(ISNUMBER(D3048),ISNUMBER(H3048)),D3048*H3048*Inputs!$C$69,"")</f>
      </c>
      <c r="J3048" s="42">
        <f>IF(AND(ISNUMBER(F3048),ISNUMBER(H3048),F3048&gt;=Inputs!$C$68),F3048*H3048*Inputs!$C$69,"")</f>
      </c>
    </row>
    <row r="3049" spans="2:10" ht="15" customHeight="1" x14ac:dyDescent="0.2">
      <c r="B3049" s="39">
        <f t="shared" si="22"/>
      </c>
      <c r="C3049" s="40">
        <f>IF(Inputs!$C$60,Inputs!$C$11+(B3049-Inputs!$C$69)/Inputs!$C$70,"")</f>
      </c>
      <c r="D3049" s="15"/>
      <c r="E3049" s="15"/>
      <c r="F3049" s="11">
        <f t="shared" si="23"/>
      </c>
      <c r="G3049" s="22" cm="1">
        <f t="array" ref="G3049">IF(AND(Inputs!$C$60,Inputs!$C$61),INDEX(Utility_Rates!$C$29:$F$52,HOUR(C3049)+Inputs!$C$69,MATCH(INDEX(Utility_Rates!$K$6:$K$17,MONTH(C3049))&amp;IF(WEEKDAY(C3049,Inputs!$C$76)&lt;=Inputs!$C$74," weekday"," weekend"),Utility_Rates!$C$28:$F$28,Inputs!$C$68)),"")</f>
      </c>
      <c r="H3049" s="34"/>
      <c r="I3049" s="42">
        <f>IF(AND(ISNUMBER(D3049),ISNUMBER(H3049)),D3049*H3049*Inputs!$C$69,"")</f>
      </c>
      <c r="J3049" s="42">
        <f>IF(AND(ISNUMBER(F3049),ISNUMBER(H3049),F3049&gt;=Inputs!$C$68),F3049*H3049*Inputs!$C$69,"")</f>
      </c>
    </row>
    <row r="3050" spans="2:10" ht="15" customHeight="1" x14ac:dyDescent="0.2">
      <c r="B3050" s="39">
        <f t="shared" si="22"/>
      </c>
      <c r="C3050" s="40">
        <f>IF(Inputs!$C$60,Inputs!$C$11+(B3050-Inputs!$C$69)/Inputs!$C$70,"")</f>
      </c>
      <c r="D3050" s="15"/>
      <c r="E3050" s="15"/>
      <c r="F3050" s="11">
        <f t="shared" si="23"/>
      </c>
      <c r="G3050" s="22" cm="1">
        <f t="array" ref="G3050">IF(AND(Inputs!$C$60,Inputs!$C$61),INDEX(Utility_Rates!$C$29:$F$52,HOUR(C3050)+Inputs!$C$69,MATCH(INDEX(Utility_Rates!$K$6:$K$17,MONTH(C3050))&amp;IF(WEEKDAY(C3050,Inputs!$C$76)&lt;=Inputs!$C$74," weekday"," weekend"),Utility_Rates!$C$28:$F$28,Inputs!$C$68)),"")</f>
      </c>
      <c r="H3050" s="34"/>
      <c r="I3050" s="42">
        <f>IF(AND(ISNUMBER(D3050),ISNUMBER(H3050)),D3050*H3050*Inputs!$C$69,"")</f>
      </c>
      <c r="J3050" s="42">
        <f>IF(AND(ISNUMBER(F3050),ISNUMBER(H3050),F3050&gt;=Inputs!$C$68),F3050*H3050*Inputs!$C$69,"")</f>
      </c>
    </row>
    <row r="3051" spans="2:10" ht="15" customHeight="1" x14ac:dyDescent="0.2">
      <c r="B3051" s="39">
        <f t="shared" si="22"/>
      </c>
      <c r="C3051" s="40">
        <f>IF(Inputs!$C$60,Inputs!$C$11+(B3051-Inputs!$C$69)/Inputs!$C$70,"")</f>
      </c>
      <c r="D3051" s="15"/>
      <c r="E3051" s="15"/>
      <c r="F3051" s="11">
        <f t="shared" si="23"/>
      </c>
      <c r="G3051" s="22" cm="1">
        <f t="array" ref="G3051">IF(AND(Inputs!$C$60,Inputs!$C$61),INDEX(Utility_Rates!$C$29:$F$52,HOUR(C3051)+Inputs!$C$69,MATCH(INDEX(Utility_Rates!$K$6:$K$17,MONTH(C3051))&amp;IF(WEEKDAY(C3051,Inputs!$C$76)&lt;=Inputs!$C$74," weekday"," weekend"),Utility_Rates!$C$28:$F$28,Inputs!$C$68)),"")</f>
      </c>
      <c r="H3051" s="34"/>
      <c r="I3051" s="42">
        <f>IF(AND(ISNUMBER(D3051),ISNUMBER(H3051)),D3051*H3051*Inputs!$C$69,"")</f>
      </c>
      <c r="J3051" s="42">
        <f>IF(AND(ISNUMBER(F3051),ISNUMBER(H3051),F3051&gt;=Inputs!$C$68),F3051*H3051*Inputs!$C$69,"")</f>
      </c>
    </row>
    <row r="3052" spans="2:10" ht="15" customHeight="1" x14ac:dyDescent="0.2">
      <c r="B3052" s="39">
        <f t="shared" si="22"/>
      </c>
      <c r="C3052" s="40">
        <f>IF(Inputs!$C$60,Inputs!$C$11+(B3052-Inputs!$C$69)/Inputs!$C$70,"")</f>
      </c>
      <c r="D3052" s="15"/>
      <c r="E3052" s="15"/>
      <c r="F3052" s="11">
        <f t="shared" si="23"/>
      </c>
      <c r="G3052" s="22" cm="1">
        <f t="array" ref="G3052">IF(AND(Inputs!$C$60,Inputs!$C$61),INDEX(Utility_Rates!$C$29:$F$52,HOUR(C3052)+Inputs!$C$69,MATCH(INDEX(Utility_Rates!$K$6:$K$17,MONTH(C3052))&amp;IF(WEEKDAY(C3052,Inputs!$C$76)&lt;=Inputs!$C$74," weekday"," weekend"),Utility_Rates!$C$28:$F$28,Inputs!$C$68)),"")</f>
      </c>
      <c r="H3052" s="34"/>
      <c r="I3052" s="42">
        <f>IF(AND(ISNUMBER(D3052),ISNUMBER(H3052)),D3052*H3052*Inputs!$C$69,"")</f>
      </c>
      <c r="J3052" s="42">
        <f>IF(AND(ISNUMBER(F3052),ISNUMBER(H3052),F3052&gt;=Inputs!$C$68),F3052*H3052*Inputs!$C$69,"")</f>
      </c>
    </row>
    <row r="3053" spans="2:10" ht="15" customHeight="1" x14ac:dyDescent="0.2">
      <c r="B3053" s="39">
        <f t="shared" si="22"/>
      </c>
      <c r="C3053" s="40">
        <f>IF(Inputs!$C$60,Inputs!$C$11+(B3053-Inputs!$C$69)/Inputs!$C$70,"")</f>
      </c>
      <c r="D3053" s="15"/>
      <c r="E3053" s="15"/>
      <c r="F3053" s="11">
        <f t="shared" si="23"/>
      </c>
      <c r="G3053" s="22" cm="1">
        <f t="array" ref="G3053">IF(AND(Inputs!$C$60,Inputs!$C$61),INDEX(Utility_Rates!$C$29:$F$52,HOUR(C3053)+Inputs!$C$69,MATCH(INDEX(Utility_Rates!$K$6:$K$17,MONTH(C3053))&amp;IF(WEEKDAY(C3053,Inputs!$C$76)&lt;=Inputs!$C$74," weekday"," weekend"),Utility_Rates!$C$28:$F$28,Inputs!$C$68)),"")</f>
      </c>
      <c r="H3053" s="34"/>
      <c r="I3053" s="42">
        <f>IF(AND(ISNUMBER(D3053),ISNUMBER(H3053)),D3053*H3053*Inputs!$C$69,"")</f>
      </c>
      <c r="J3053" s="42">
        <f>IF(AND(ISNUMBER(F3053),ISNUMBER(H3053),F3053&gt;=Inputs!$C$68),F3053*H3053*Inputs!$C$69,"")</f>
      </c>
    </row>
    <row r="3054" spans="2:10" ht="15" customHeight="1" x14ac:dyDescent="0.2">
      <c r="B3054" s="39">
        <f t="shared" si="22"/>
      </c>
      <c r="C3054" s="40">
        <f>IF(Inputs!$C$60,Inputs!$C$11+(B3054-Inputs!$C$69)/Inputs!$C$70,"")</f>
      </c>
      <c r="D3054" s="15"/>
      <c r="E3054" s="15"/>
      <c r="F3054" s="11">
        <f t="shared" si="23"/>
      </c>
      <c r="G3054" s="22" cm="1">
        <f t="array" ref="G3054">IF(AND(Inputs!$C$60,Inputs!$C$61),INDEX(Utility_Rates!$C$29:$F$52,HOUR(C3054)+Inputs!$C$69,MATCH(INDEX(Utility_Rates!$K$6:$K$17,MONTH(C3054))&amp;IF(WEEKDAY(C3054,Inputs!$C$76)&lt;=Inputs!$C$74," weekday"," weekend"),Utility_Rates!$C$28:$F$28,Inputs!$C$68)),"")</f>
      </c>
      <c r="H3054" s="34"/>
      <c r="I3054" s="42">
        <f>IF(AND(ISNUMBER(D3054),ISNUMBER(H3054)),D3054*H3054*Inputs!$C$69,"")</f>
      </c>
      <c r="J3054" s="42">
        <f>IF(AND(ISNUMBER(F3054),ISNUMBER(H3054),F3054&gt;=Inputs!$C$68),F3054*H3054*Inputs!$C$69,"")</f>
      </c>
    </row>
    <row r="3055" spans="2:10" ht="15" customHeight="1" x14ac:dyDescent="0.2">
      <c r="B3055" s="39">
        <f t="shared" si="22"/>
      </c>
      <c r="C3055" s="40">
        <f>IF(Inputs!$C$60,Inputs!$C$11+(B3055-Inputs!$C$69)/Inputs!$C$70,"")</f>
      </c>
      <c r="D3055" s="15"/>
      <c r="E3055" s="15"/>
      <c r="F3055" s="11">
        <f t="shared" si="23"/>
      </c>
      <c r="G3055" s="22" cm="1">
        <f t="array" ref="G3055">IF(AND(Inputs!$C$60,Inputs!$C$61),INDEX(Utility_Rates!$C$29:$F$52,HOUR(C3055)+Inputs!$C$69,MATCH(INDEX(Utility_Rates!$K$6:$K$17,MONTH(C3055))&amp;IF(WEEKDAY(C3055,Inputs!$C$76)&lt;=Inputs!$C$74," weekday"," weekend"),Utility_Rates!$C$28:$F$28,Inputs!$C$68)),"")</f>
      </c>
      <c r="H3055" s="34"/>
      <c r="I3055" s="42">
        <f>IF(AND(ISNUMBER(D3055),ISNUMBER(H3055)),D3055*H3055*Inputs!$C$69,"")</f>
      </c>
      <c r="J3055" s="42">
        <f>IF(AND(ISNUMBER(F3055),ISNUMBER(H3055),F3055&gt;=Inputs!$C$68),F3055*H3055*Inputs!$C$69,"")</f>
      </c>
    </row>
    <row r="3056" spans="2:10" ht="15" customHeight="1" x14ac:dyDescent="0.2">
      <c r="B3056" s="39">
        <f t="shared" si="22"/>
      </c>
      <c r="C3056" s="40">
        <f>IF(Inputs!$C$60,Inputs!$C$11+(B3056-Inputs!$C$69)/Inputs!$C$70,"")</f>
      </c>
      <c r="D3056" s="15"/>
      <c r="E3056" s="15"/>
      <c r="F3056" s="11">
        <f t="shared" si="23"/>
      </c>
      <c r="G3056" s="22" cm="1">
        <f t="array" ref="G3056">IF(AND(Inputs!$C$60,Inputs!$C$61),INDEX(Utility_Rates!$C$29:$F$52,HOUR(C3056)+Inputs!$C$69,MATCH(INDEX(Utility_Rates!$K$6:$K$17,MONTH(C3056))&amp;IF(WEEKDAY(C3056,Inputs!$C$76)&lt;=Inputs!$C$74," weekday"," weekend"),Utility_Rates!$C$28:$F$28,Inputs!$C$68)),"")</f>
      </c>
      <c r="H3056" s="34"/>
      <c r="I3056" s="42">
        <f>IF(AND(ISNUMBER(D3056),ISNUMBER(H3056)),D3056*H3056*Inputs!$C$69,"")</f>
      </c>
      <c r="J3056" s="42">
        <f>IF(AND(ISNUMBER(F3056),ISNUMBER(H3056),F3056&gt;=Inputs!$C$68),F3056*H3056*Inputs!$C$69,"")</f>
      </c>
    </row>
    <row r="3057" spans="2:10" ht="15" customHeight="1" x14ac:dyDescent="0.2">
      <c r="B3057" s="39">
        <f t="shared" si="22"/>
      </c>
      <c r="C3057" s="40">
        <f>IF(Inputs!$C$60,Inputs!$C$11+(B3057-Inputs!$C$69)/Inputs!$C$70,"")</f>
      </c>
      <c r="D3057" s="15"/>
      <c r="E3057" s="15"/>
      <c r="F3057" s="11">
        <f t="shared" si="23"/>
      </c>
      <c r="G3057" s="22" cm="1">
        <f t="array" ref="G3057">IF(AND(Inputs!$C$60,Inputs!$C$61),INDEX(Utility_Rates!$C$29:$F$52,HOUR(C3057)+Inputs!$C$69,MATCH(INDEX(Utility_Rates!$K$6:$K$17,MONTH(C3057))&amp;IF(WEEKDAY(C3057,Inputs!$C$76)&lt;=Inputs!$C$74," weekday"," weekend"),Utility_Rates!$C$28:$F$28,Inputs!$C$68)),"")</f>
      </c>
      <c r="H3057" s="34"/>
      <c r="I3057" s="42">
        <f>IF(AND(ISNUMBER(D3057),ISNUMBER(H3057)),D3057*H3057*Inputs!$C$69,"")</f>
      </c>
      <c r="J3057" s="42">
        <f>IF(AND(ISNUMBER(F3057),ISNUMBER(H3057),F3057&gt;=Inputs!$C$68),F3057*H3057*Inputs!$C$69,"")</f>
      </c>
    </row>
    <row r="3058" spans="2:10" ht="15" customHeight="1" x14ac:dyDescent="0.2">
      <c r="B3058" s="39">
        <f t="shared" si="22"/>
      </c>
      <c r="C3058" s="40">
        <f>IF(Inputs!$C$60,Inputs!$C$11+(B3058-Inputs!$C$69)/Inputs!$C$70,"")</f>
      </c>
      <c r="D3058" s="15"/>
      <c r="E3058" s="15"/>
      <c r="F3058" s="11">
        <f t="shared" si="23"/>
      </c>
      <c r="G3058" s="22" cm="1">
        <f t="array" ref="G3058">IF(AND(Inputs!$C$60,Inputs!$C$61),INDEX(Utility_Rates!$C$29:$F$52,HOUR(C3058)+Inputs!$C$69,MATCH(INDEX(Utility_Rates!$K$6:$K$17,MONTH(C3058))&amp;IF(WEEKDAY(C3058,Inputs!$C$76)&lt;=Inputs!$C$74," weekday"," weekend"),Utility_Rates!$C$28:$F$28,Inputs!$C$68)),"")</f>
      </c>
      <c r="H3058" s="34"/>
      <c r="I3058" s="42">
        <f>IF(AND(ISNUMBER(D3058),ISNUMBER(H3058)),D3058*H3058*Inputs!$C$69,"")</f>
      </c>
      <c r="J3058" s="42">
        <f>IF(AND(ISNUMBER(F3058),ISNUMBER(H3058),F3058&gt;=Inputs!$C$68),F3058*H3058*Inputs!$C$69,"")</f>
      </c>
    </row>
    <row r="3059" spans="2:10" ht="15" customHeight="1" x14ac:dyDescent="0.2">
      <c r="B3059" s="39">
        <f t="shared" si="22"/>
      </c>
      <c r="C3059" s="40">
        <f>IF(Inputs!$C$60,Inputs!$C$11+(B3059-Inputs!$C$69)/Inputs!$C$70,"")</f>
      </c>
      <c r="D3059" s="15"/>
      <c r="E3059" s="15"/>
      <c r="F3059" s="11">
        <f t="shared" si="23"/>
      </c>
      <c r="G3059" s="22" cm="1">
        <f t="array" ref="G3059">IF(AND(Inputs!$C$60,Inputs!$C$61),INDEX(Utility_Rates!$C$29:$F$52,HOUR(C3059)+Inputs!$C$69,MATCH(INDEX(Utility_Rates!$K$6:$K$17,MONTH(C3059))&amp;IF(WEEKDAY(C3059,Inputs!$C$76)&lt;=Inputs!$C$74," weekday"," weekend"),Utility_Rates!$C$28:$F$28,Inputs!$C$68)),"")</f>
      </c>
      <c r="H3059" s="34"/>
      <c r="I3059" s="42">
        <f>IF(AND(ISNUMBER(D3059),ISNUMBER(H3059)),D3059*H3059*Inputs!$C$69,"")</f>
      </c>
      <c r="J3059" s="42">
        <f>IF(AND(ISNUMBER(F3059),ISNUMBER(H3059),F3059&gt;=Inputs!$C$68),F3059*H3059*Inputs!$C$69,"")</f>
      </c>
    </row>
    <row r="3060" spans="2:10" ht="15" customHeight="1" x14ac:dyDescent="0.2">
      <c r="B3060" s="39">
        <f t="shared" si="22"/>
      </c>
      <c r="C3060" s="40">
        <f>IF(Inputs!$C$60,Inputs!$C$11+(B3060-Inputs!$C$69)/Inputs!$C$70,"")</f>
      </c>
      <c r="D3060" s="15"/>
      <c r="E3060" s="15"/>
      <c r="F3060" s="11">
        <f t="shared" si="23"/>
      </c>
      <c r="G3060" s="22" cm="1">
        <f t="array" ref="G3060">IF(AND(Inputs!$C$60,Inputs!$C$61),INDEX(Utility_Rates!$C$29:$F$52,HOUR(C3060)+Inputs!$C$69,MATCH(INDEX(Utility_Rates!$K$6:$K$17,MONTH(C3060))&amp;IF(WEEKDAY(C3060,Inputs!$C$76)&lt;=Inputs!$C$74," weekday"," weekend"),Utility_Rates!$C$28:$F$28,Inputs!$C$68)),"")</f>
      </c>
      <c r="H3060" s="34"/>
      <c r="I3060" s="42">
        <f>IF(AND(ISNUMBER(D3060),ISNUMBER(H3060)),D3060*H3060*Inputs!$C$69,"")</f>
      </c>
      <c r="J3060" s="42">
        <f>IF(AND(ISNUMBER(F3060),ISNUMBER(H3060),F3060&gt;=Inputs!$C$68),F3060*H3060*Inputs!$C$69,"")</f>
      </c>
    </row>
    <row r="3061" spans="2:10" ht="15" customHeight="1" x14ac:dyDescent="0.2">
      <c r="B3061" s="39">
        <f t="shared" si="22"/>
      </c>
      <c r="C3061" s="40">
        <f>IF(Inputs!$C$60,Inputs!$C$11+(B3061-Inputs!$C$69)/Inputs!$C$70,"")</f>
      </c>
      <c r="D3061" s="15"/>
      <c r="E3061" s="15"/>
      <c r="F3061" s="11">
        <f t="shared" si="23"/>
      </c>
      <c r="G3061" s="22" cm="1">
        <f t="array" ref="G3061">IF(AND(Inputs!$C$60,Inputs!$C$61),INDEX(Utility_Rates!$C$29:$F$52,HOUR(C3061)+Inputs!$C$69,MATCH(INDEX(Utility_Rates!$K$6:$K$17,MONTH(C3061))&amp;IF(WEEKDAY(C3061,Inputs!$C$76)&lt;=Inputs!$C$74," weekday"," weekend"),Utility_Rates!$C$28:$F$28,Inputs!$C$68)),"")</f>
      </c>
      <c r="H3061" s="34"/>
      <c r="I3061" s="42">
        <f>IF(AND(ISNUMBER(D3061),ISNUMBER(H3061)),D3061*H3061*Inputs!$C$69,"")</f>
      </c>
      <c r="J3061" s="42">
        <f>IF(AND(ISNUMBER(F3061),ISNUMBER(H3061),F3061&gt;=Inputs!$C$68),F3061*H3061*Inputs!$C$69,"")</f>
      </c>
    </row>
    <row r="3062" spans="2:10" ht="15" customHeight="1" x14ac:dyDescent="0.2">
      <c r="B3062" s="39">
        <f t="shared" si="22"/>
      </c>
      <c r="C3062" s="40">
        <f>IF(Inputs!$C$60,Inputs!$C$11+(B3062-Inputs!$C$69)/Inputs!$C$70,"")</f>
      </c>
      <c r="D3062" s="15"/>
      <c r="E3062" s="15"/>
      <c r="F3062" s="11">
        <f t="shared" si="23"/>
      </c>
      <c r="G3062" s="22" cm="1">
        <f t="array" ref="G3062">IF(AND(Inputs!$C$60,Inputs!$C$61),INDEX(Utility_Rates!$C$29:$F$52,HOUR(C3062)+Inputs!$C$69,MATCH(INDEX(Utility_Rates!$K$6:$K$17,MONTH(C3062))&amp;IF(WEEKDAY(C3062,Inputs!$C$76)&lt;=Inputs!$C$74," weekday"," weekend"),Utility_Rates!$C$28:$F$28,Inputs!$C$68)),"")</f>
      </c>
      <c r="H3062" s="34"/>
      <c r="I3062" s="42">
        <f>IF(AND(ISNUMBER(D3062),ISNUMBER(H3062)),D3062*H3062*Inputs!$C$69,"")</f>
      </c>
      <c r="J3062" s="42">
        <f>IF(AND(ISNUMBER(F3062),ISNUMBER(H3062),F3062&gt;=Inputs!$C$68),F3062*H3062*Inputs!$C$69,"")</f>
      </c>
    </row>
    <row r="3063" spans="2:10" ht="15" customHeight="1" x14ac:dyDescent="0.2">
      <c r="B3063" s="39">
        <f t="shared" si="22"/>
      </c>
      <c r="C3063" s="40">
        <f>IF(Inputs!$C$60,Inputs!$C$11+(B3063-Inputs!$C$69)/Inputs!$C$70,"")</f>
      </c>
      <c r="D3063" s="15"/>
      <c r="E3063" s="15"/>
      <c r="F3063" s="11">
        <f t="shared" si="23"/>
      </c>
      <c r="G3063" s="22" cm="1">
        <f t="array" ref="G3063">IF(AND(Inputs!$C$60,Inputs!$C$61),INDEX(Utility_Rates!$C$29:$F$52,HOUR(C3063)+Inputs!$C$69,MATCH(INDEX(Utility_Rates!$K$6:$K$17,MONTH(C3063))&amp;IF(WEEKDAY(C3063,Inputs!$C$76)&lt;=Inputs!$C$74," weekday"," weekend"),Utility_Rates!$C$28:$F$28,Inputs!$C$68)),"")</f>
      </c>
      <c r="H3063" s="34"/>
      <c r="I3063" s="42">
        <f>IF(AND(ISNUMBER(D3063),ISNUMBER(H3063)),D3063*H3063*Inputs!$C$69,"")</f>
      </c>
      <c r="J3063" s="42">
        <f>IF(AND(ISNUMBER(F3063),ISNUMBER(H3063),F3063&gt;=Inputs!$C$68),F3063*H3063*Inputs!$C$69,"")</f>
      </c>
    </row>
    <row r="3064" spans="2:10" ht="15" customHeight="1" x14ac:dyDescent="0.2">
      <c r="B3064" s="39">
        <f t="shared" si="22"/>
      </c>
      <c r="C3064" s="40">
        <f>IF(Inputs!$C$60,Inputs!$C$11+(B3064-Inputs!$C$69)/Inputs!$C$70,"")</f>
      </c>
      <c r="D3064" s="15"/>
      <c r="E3064" s="15"/>
      <c r="F3064" s="11">
        <f t="shared" si="23"/>
      </c>
      <c r="G3064" s="22" cm="1">
        <f t="array" ref="G3064">IF(AND(Inputs!$C$60,Inputs!$C$61),INDEX(Utility_Rates!$C$29:$F$52,HOUR(C3064)+Inputs!$C$69,MATCH(INDEX(Utility_Rates!$K$6:$K$17,MONTH(C3064))&amp;IF(WEEKDAY(C3064,Inputs!$C$76)&lt;=Inputs!$C$74," weekday"," weekend"),Utility_Rates!$C$28:$F$28,Inputs!$C$68)),"")</f>
      </c>
      <c r="H3064" s="34"/>
      <c r="I3064" s="42">
        <f>IF(AND(ISNUMBER(D3064),ISNUMBER(H3064)),D3064*H3064*Inputs!$C$69,"")</f>
      </c>
      <c r="J3064" s="42">
        <f>IF(AND(ISNUMBER(F3064),ISNUMBER(H3064),F3064&gt;=Inputs!$C$68),F3064*H3064*Inputs!$C$69,"")</f>
      </c>
    </row>
    <row r="3065" spans="2:10" ht="15" customHeight="1" x14ac:dyDescent="0.2">
      <c r="B3065" s="39">
        <f t="shared" si="22"/>
      </c>
      <c r="C3065" s="40">
        <f>IF(Inputs!$C$60,Inputs!$C$11+(B3065-Inputs!$C$69)/Inputs!$C$70,"")</f>
      </c>
      <c r="D3065" s="15"/>
      <c r="E3065" s="15"/>
      <c r="F3065" s="11">
        <f t="shared" si="23"/>
      </c>
      <c r="G3065" s="22" cm="1">
        <f t="array" ref="G3065">IF(AND(Inputs!$C$60,Inputs!$C$61),INDEX(Utility_Rates!$C$29:$F$52,HOUR(C3065)+Inputs!$C$69,MATCH(INDEX(Utility_Rates!$K$6:$K$17,MONTH(C3065))&amp;IF(WEEKDAY(C3065,Inputs!$C$76)&lt;=Inputs!$C$74," weekday"," weekend"),Utility_Rates!$C$28:$F$28,Inputs!$C$68)),"")</f>
      </c>
      <c r="H3065" s="34"/>
      <c r="I3065" s="42">
        <f>IF(AND(ISNUMBER(D3065),ISNUMBER(H3065)),D3065*H3065*Inputs!$C$69,"")</f>
      </c>
      <c r="J3065" s="42">
        <f>IF(AND(ISNUMBER(F3065),ISNUMBER(H3065),F3065&gt;=Inputs!$C$68),F3065*H3065*Inputs!$C$69,"")</f>
      </c>
    </row>
    <row r="3066" spans="2:10" ht="15" customHeight="1" x14ac:dyDescent="0.2">
      <c r="B3066" s="39">
        <f t="shared" ref="B3066:B3320" si="24">ROW()-ROW($B$5)</f>
      </c>
      <c r="C3066" s="40">
        <f>IF(Inputs!$C$60,Inputs!$C$11+(B3066-Inputs!$C$69)/Inputs!$C$70,"")</f>
      </c>
      <c r="D3066" s="15"/>
      <c r="E3066" s="15"/>
      <c r="F3066" s="11">
        <f t="shared" ref="F3066:F3320" si="25">IF(COUNT(D3066:E3066)=COLUMNS(D3066:E3066),D3066-E3066,"")</f>
      </c>
      <c r="G3066" s="22" cm="1">
        <f t="array" ref="G3066">IF(AND(Inputs!$C$60,Inputs!$C$61),INDEX(Utility_Rates!$C$29:$F$52,HOUR(C3066)+Inputs!$C$69,MATCH(INDEX(Utility_Rates!$K$6:$K$17,MONTH(C3066))&amp;IF(WEEKDAY(C3066,Inputs!$C$76)&lt;=Inputs!$C$74," weekday"," weekend"),Utility_Rates!$C$28:$F$28,Inputs!$C$68)),"")</f>
      </c>
      <c r="H3066" s="34"/>
      <c r="I3066" s="42">
        <f>IF(AND(ISNUMBER(D3066),ISNUMBER(H3066)),D3066*H3066*Inputs!$C$69,"")</f>
      </c>
      <c r="J3066" s="42">
        <f>IF(AND(ISNUMBER(F3066),ISNUMBER(H3066),F3066&gt;=Inputs!$C$68),F3066*H3066*Inputs!$C$69,"")</f>
      </c>
    </row>
    <row r="3067" spans="2:10" ht="15" customHeight="1" x14ac:dyDescent="0.2">
      <c r="B3067" s="39">
        <f t="shared" si="24"/>
      </c>
      <c r="C3067" s="40">
        <f>IF(Inputs!$C$60,Inputs!$C$11+(B3067-Inputs!$C$69)/Inputs!$C$70,"")</f>
      </c>
      <c r="D3067" s="15"/>
      <c r="E3067" s="15"/>
      <c r="F3067" s="11">
        <f t="shared" si="25"/>
      </c>
      <c r="G3067" s="22" cm="1">
        <f t="array" ref="G3067">IF(AND(Inputs!$C$60,Inputs!$C$61),INDEX(Utility_Rates!$C$29:$F$52,HOUR(C3067)+Inputs!$C$69,MATCH(INDEX(Utility_Rates!$K$6:$K$17,MONTH(C3067))&amp;IF(WEEKDAY(C3067,Inputs!$C$76)&lt;=Inputs!$C$74," weekday"," weekend"),Utility_Rates!$C$28:$F$28,Inputs!$C$68)),"")</f>
      </c>
      <c r="H3067" s="34"/>
      <c r="I3067" s="42">
        <f>IF(AND(ISNUMBER(D3067),ISNUMBER(H3067)),D3067*H3067*Inputs!$C$69,"")</f>
      </c>
      <c r="J3067" s="42">
        <f>IF(AND(ISNUMBER(F3067),ISNUMBER(H3067),F3067&gt;=Inputs!$C$68),F3067*H3067*Inputs!$C$69,"")</f>
      </c>
    </row>
    <row r="3068" spans="2:10" ht="15" customHeight="1" x14ac:dyDescent="0.2">
      <c r="B3068" s="39">
        <f t="shared" si="24"/>
      </c>
      <c r="C3068" s="40">
        <f>IF(Inputs!$C$60,Inputs!$C$11+(B3068-Inputs!$C$69)/Inputs!$C$70,"")</f>
      </c>
      <c r="D3068" s="15"/>
      <c r="E3068" s="15"/>
      <c r="F3068" s="11">
        <f t="shared" si="25"/>
      </c>
      <c r="G3068" s="22" cm="1">
        <f t="array" ref="G3068">IF(AND(Inputs!$C$60,Inputs!$C$61),INDEX(Utility_Rates!$C$29:$F$52,HOUR(C3068)+Inputs!$C$69,MATCH(INDEX(Utility_Rates!$K$6:$K$17,MONTH(C3068))&amp;IF(WEEKDAY(C3068,Inputs!$C$76)&lt;=Inputs!$C$74," weekday"," weekend"),Utility_Rates!$C$28:$F$28,Inputs!$C$68)),"")</f>
      </c>
      <c r="H3068" s="34"/>
      <c r="I3068" s="42">
        <f>IF(AND(ISNUMBER(D3068),ISNUMBER(H3068)),D3068*H3068*Inputs!$C$69,"")</f>
      </c>
      <c r="J3068" s="42">
        <f>IF(AND(ISNUMBER(F3068),ISNUMBER(H3068),F3068&gt;=Inputs!$C$68),F3068*H3068*Inputs!$C$69,"")</f>
      </c>
    </row>
    <row r="3069" spans="2:10" ht="15" customHeight="1" x14ac:dyDescent="0.2">
      <c r="B3069" s="39">
        <f t="shared" si="24"/>
      </c>
      <c r="C3069" s="40">
        <f>IF(Inputs!$C$60,Inputs!$C$11+(B3069-Inputs!$C$69)/Inputs!$C$70,"")</f>
      </c>
      <c r="D3069" s="15"/>
      <c r="E3069" s="15"/>
      <c r="F3069" s="11">
        <f t="shared" si="25"/>
      </c>
      <c r="G3069" s="22" cm="1">
        <f t="array" ref="G3069">IF(AND(Inputs!$C$60,Inputs!$C$61),INDEX(Utility_Rates!$C$29:$F$52,HOUR(C3069)+Inputs!$C$69,MATCH(INDEX(Utility_Rates!$K$6:$K$17,MONTH(C3069))&amp;IF(WEEKDAY(C3069,Inputs!$C$76)&lt;=Inputs!$C$74," weekday"," weekend"),Utility_Rates!$C$28:$F$28,Inputs!$C$68)),"")</f>
      </c>
      <c r="H3069" s="34"/>
      <c r="I3069" s="42">
        <f>IF(AND(ISNUMBER(D3069),ISNUMBER(H3069)),D3069*H3069*Inputs!$C$69,"")</f>
      </c>
      <c r="J3069" s="42">
        <f>IF(AND(ISNUMBER(F3069),ISNUMBER(H3069),F3069&gt;=Inputs!$C$68),F3069*H3069*Inputs!$C$69,"")</f>
      </c>
    </row>
    <row r="3070" spans="2:10" ht="15" customHeight="1" x14ac:dyDescent="0.2">
      <c r="B3070" s="39">
        <f t="shared" si="24"/>
      </c>
      <c r="C3070" s="40">
        <f>IF(Inputs!$C$60,Inputs!$C$11+(B3070-Inputs!$C$69)/Inputs!$C$70,"")</f>
      </c>
      <c r="D3070" s="15"/>
      <c r="E3070" s="15"/>
      <c r="F3070" s="11">
        <f t="shared" si="25"/>
      </c>
      <c r="G3070" s="22" cm="1">
        <f t="array" ref="G3070">IF(AND(Inputs!$C$60,Inputs!$C$61),INDEX(Utility_Rates!$C$29:$F$52,HOUR(C3070)+Inputs!$C$69,MATCH(INDEX(Utility_Rates!$K$6:$K$17,MONTH(C3070))&amp;IF(WEEKDAY(C3070,Inputs!$C$76)&lt;=Inputs!$C$74," weekday"," weekend"),Utility_Rates!$C$28:$F$28,Inputs!$C$68)),"")</f>
      </c>
      <c r="H3070" s="34"/>
      <c r="I3070" s="42">
        <f>IF(AND(ISNUMBER(D3070),ISNUMBER(H3070)),D3070*H3070*Inputs!$C$69,"")</f>
      </c>
      <c r="J3070" s="42">
        <f>IF(AND(ISNUMBER(F3070),ISNUMBER(H3070),F3070&gt;=Inputs!$C$68),F3070*H3070*Inputs!$C$69,"")</f>
      </c>
    </row>
    <row r="3071" spans="2:10" ht="15" customHeight="1" x14ac:dyDescent="0.2">
      <c r="B3071" s="39">
        <f t="shared" si="24"/>
      </c>
      <c r="C3071" s="40">
        <f>IF(Inputs!$C$60,Inputs!$C$11+(B3071-Inputs!$C$69)/Inputs!$C$70,"")</f>
      </c>
      <c r="D3071" s="15"/>
      <c r="E3071" s="15"/>
      <c r="F3071" s="11">
        <f t="shared" si="25"/>
      </c>
      <c r="G3071" s="22" cm="1">
        <f t="array" ref="G3071">IF(AND(Inputs!$C$60,Inputs!$C$61),INDEX(Utility_Rates!$C$29:$F$52,HOUR(C3071)+Inputs!$C$69,MATCH(INDEX(Utility_Rates!$K$6:$K$17,MONTH(C3071))&amp;IF(WEEKDAY(C3071,Inputs!$C$76)&lt;=Inputs!$C$74," weekday"," weekend"),Utility_Rates!$C$28:$F$28,Inputs!$C$68)),"")</f>
      </c>
      <c r="H3071" s="34"/>
      <c r="I3071" s="42">
        <f>IF(AND(ISNUMBER(D3071),ISNUMBER(H3071)),D3071*H3071*Inputs!$C$69,"")</f>
      </c>
      <c r="J3071" s="42">
        <f>IF(AND(ISNUMBER(F3071),ISNUMBER(H3071),F3071&gt;=Inputs!$C$68),F3071*H3071*Inputs!$C$69,"")</f>
      </c>
    </row>
    <row r="3072" spans="2:10" ht="15" customHeight="1" x14ac:dyDescent="0.2">
      <c r="B3072" s="39">
        <f t="shared" si="24"/>
      </c>
      <c r="C3072" s="40">
        <f>IF(Inputs!$C$60,Inputs!$C$11+(B3072-Inputs!$C$69)/Inputs!$C$70,"")</f>
      </c>
      <c r="D3072" s="15"/>
      <c r="E3072" s="15"/>
      <c r="F3072" s="11">
        <f t="shared" si="25"/>
      </c>
      <c r="G3072" s="22" cm="1">
        <f t="array" ref="G3072">IF(AND(Inputs!$C$60,Inputs!$C$61),INDEX(Utility_Rates!$C$29:$F$52,HOUR(C3072)+Inputs!$C$69,MATCH(INDEX(Utility_Rates!$K$6:$K$17,MONTH(C3072))&amp;IF(WEEKDAY(C3072,Inputs!$C$76)&lt;=Inputs!$C$74," weekday"," weekend"),Utility_Rates!$C$28:$F$28,Inputs!$C$68)),"")</f>
      </c>
      <c r="H3072" s="34"/>
      <c r="I3072" s="42">
        <f>IF(AND(ISNUMBER(D3072),ISNUMBER(H3072)),D3072*H3072*Inputs!$C$69,"")</f>
      </c>
      <c r="J3072" s="42">
        <f>IF(AND(ISNUMBER(F3072),ISNUMBER(H3072),F3072&gt;=Inputs!$C$68),F3072*H3072*Inputs!$C$69,"")</f>
      </c>
    </row>
    <row r="3073" spans="2:10" ht="15" customHeight="1" x14ac:dyDescent="0.2">
      <c r="B3073" s="39">
        <f t="shared" si="24"/>
      </c>
      <c r="C3073" s="40">
        <f>IF(Inputs!$C$60,Inputs!$C$11+(B3073-Inputs!$C$69)/Inputs!$C$70,"")</f>
      </c>
      <c r="D3073" s="15"/>
      <c r="E3073" s="15"/>
      <c r="F3073" s="11">
        <f t="shared" si="25"/>
      </c>
      <c r="G3073" s="22" cm="1">
        <f t="array" ref="G3073">IF(AND(Inputs!$C$60,Inputs!$C$61),INDEX(Utility_Rates!$C$29:$F$52,HOUR(C3073)+Inputs!$C$69,MATCH(INDEX(Utility_Rates!$K$6:$K$17,MONTH(C3073))&amp;IF(WEEKDAY(C3073,Inputs!$C$76)&lt;=Inputs!$C$74," weekday"," weekend"),Utility_Rates!$C$28:$F$28,Inputs!$C$68)),"")</f>
      </c>
      <c r="H3073" s="34"/>
      <c r="I3073" s="42">
        <f>IF(AND(ISNUMBER(D3073),ISNUMBER(H3073)),D3073*H3073*Inputs!$C$69,"")</f>
      </c>
      <c r="J3073" s="42">
        <f>IF(AND(ISNUMBER(F3073),ISNUMBER(H3073),F3073&gt;=Inputs!$C$68),F3073*H3073*Inputs!$C$69,"")</f>
      </c>
    </row>
    <row r="3074" spans="2:10" ht="15" customHeight="1" x14ac:dyDescent="0.2">
      <c r="B3074" s="39">
        <f t="shared" si="24"/>
      </c>
      <c r="C3074" s="40">
        <f>IF(Inputs!$C$60,Inputs!$C$11+(B3074-Inputs!$C$69)/Inputs!$C$70,"")</f>
      </c>
      <c r="D3074" s="15"/>
      <c r="E3074" s="15"/>
      <c r="F3074" s="11">
        <f t="shared" si="25"/>
      </c>
      <c r="G3074" s="22" cm="1">
        <f t="array" ref="G3074">IF(AND(Inputs!$C$60,Inputs!$C$61),INDEX(Utility_Rates!$C$29:$F$52,HOUR(C3074)+Inputs!$C$69,MATCH(INDEX(Utility_Rates!$K$6:$K$17,MONTH(C3074))&amp;IF(WEEKDAY(C3074,Inputs!$C$76)&lt;=Inputs!$C$74," weekday"," weekend"),Utility_Rates!$C$28:$F$28,Inputs!$C$68)),"")</f>
      </c>
      <c r="H3074" s="34"/>
      <c r="I3074" s="42">
        <f>IF(AND(ISNUMBER(D3074),ISNUMBER(H3074)),D3074*H3074*Inputs!$C$69,"")</f>
      </c>
      <c r="J3074" s="42">
        <f>IF(AND(ISNUMBER(F3074),ISNUMBER(H3074),F3074&gt;=Inputs!$C$68),F3074*H3074*Inputs!$C$69,"")</f>
      </c>
    </row>
    <row r="3075" spans="2:10" ht="15" customHeight="1" x14ac:dyDescent="0.2">
      <c r="B3075" s="39">
        <f t="shared" si="24"/>
      </c>
      <c r="C3075" s="40">
        <f>IF(Inputs!$C$60,Inputs!$C$11+(B3075-Inputs!$C$69)/Inputs!$C$70,"")</f>
      </c>
      <c r="D3075" s="15"/>
      <c r="E3075" s="15"/>
      <c r="F3075" s="11">
        <f t="shared" si="25"/>
      </c>
      <c r="G3075" s="22" cm="1">
        <f t="array" ref="G3075">IF(AND(Inputs!$C$60,Inputs!$C$61),INDEX(Utility_Rates!$C$29:$F$52,HOUR(C3075)+Inputs!$C$69,MATCH(INDEX(Utility_Rates!$K$6:$K$17,MONTH(C3075))&amp;IF(WEEKDAY(C3075,Inputs!$C$76)&lt;=Inputs!$C$74," weekday"," weekend"),Utility_Rates!$C$28:$F$28,Inputs!$C$68)),"")</f>
      </c>
      <c r="H3075" s="34"/>
      <c r="I3075" s="42">
        <f>IF(AND(ISNUMBER(D3075),ISNUMBER(H3075)),D3075*H3075*Inputs!$C$69,"")</f>
      </c>
      <c r="J3075" s="42">
        <f>IF(AND(ISNUMBER(F3075),ISNUMBER(H3075),F3075&gt;=Inputs!$C$68),F3075*H3075*Inputs!$C$69,"")</f>
      </c>
    </row>
    <row r="3076" spans="2:10" ht="15" customHeight="1" x14ac:dyDescent="0.2">
      <c r="B3076" s="39">
        <f t="shared" si="24"/>
      </c>
      <c r="C3076" s="40">
        <f>IF(Inputs!$C$60,Inputs!$C$11+(B3076-Inputs!$C$69)/Inputs!$C$70,"")</f>
      </c>
      <c r="D3076" s="15"/>
      <c r="E3076" s="15"/>
      <c r="F3076" s="11">
        <f t="shared" si="25"/>
      </c>
      <c r="G3076" s="22" cm="1">
        <f t="array" ref="G3076">IF(AND(Inputs!$C$60,Inputs!$C$61),INDEX(Utility_Rates!$C$29:$F$52,HOUR(C3076)+Inputs!$C$69,MATCH(INDEX(Utility_Rates!$K$6:$K$17,MONTH(C3076))&amp;IF(WEEKDAY(C3076,Inputs!$C$76)&lt;=Inputs!$C$74," weekday"," weekend"),Utility_Rates!$C$28:$F$28,Inputs!$C$68)),"")</f>
      </c>
      <c r="H3076" s="34"/>
      <c r="I3076" s="42">
        <f>IF(AND(ISNUMBER(D3076),ISNUMBER(H3076)),D3076*H3076*Inputs!$C$69,"")</f>
      </c>
      <c r="J3076" s="42">
        <f>IF(AND(ISNUMBER(F3076),ISNUMBER(H3076),F3076&gt;=Inputs!$C$68),F3076*H3076*Inputs!$C$69,"")</f>
      </c>
    </row>
    <row r="3077" spans="2:10" ht="15" customHeight="1" x14ac:dyDescent="0.2">
      <c r="B3077" s="39">
        <f t="shared" si="24"/>
      </c>
      <c r="C3077" s="40">
        <f>IF(Inputs!$C$60,Inputs!$C$11+(B3077-Inputs!$C$69)/Inputs!$C$70,"")</f>
      </c>
      <c r="D3077" s="15"/>
      <c r="E3077" s="15"/>
      <c r="F3077" s="11">
        <f t="shared" si="25"/>
      </c>
      <c r="G3077" s="22" cm="1">
        <f t="array" ref="G3077">IF(AND(Inputs!$C$60,Inputs!$C$61),INDEX(Utility_Rates!$C$29:$F$52,HOUR(C3077)+Inputs!$C$69,MATCH(INDEX(Utility_Rates!$K$6:$K$17,MONTH(C3077))&amp;IF(WEEKDAY(C3077,Inputs!$C$76)&lt;=Inputs!$C$74," weekday"," weekend"),Utility_Rates!$C$28:$F$28,Inputs!$C$68)),"")</f>
      </c>
      <c r="H3077" s="34"/>
      <c r="I3077" s="42">
        <f>IF(AND(ISNUMBER(D3077),ISNUMBER(H3077)),D3077*H3077*Inputs!$C$69,"")</f>
      </c>
      <c r="J3077" s="42">
        <f>IF(AND(ISNUMBER(F3077),ISNUMBER(H3077),F3077&gt;=Inputs!$C$68),F3077*H3077*Inputs!$C$69,"")</f>
      </c>
    </row>
    <row r="3078" spans="2:10" ht="15" customHeight="1" x14ac:dyDescent="0.2">
      <c r="B3078" s="39">
        <f t="shared" si="24"/>
      </c>
      <c r="C3078" s="40">
        <f>IF(Inputs!$C$60,Inputs!$C$11+(B3078-Inputs!$C$69)/Inputs!$C$70,"")</f>
      </c>
      <c r="D3078" s="15"/>
      <c r="E3078" s="15"/>
      <c r="F3078" s="11">
        <f t="shared" si="25"/>
      </c>
      <c r="G3078" s="22" cm="1">
        <f t="array" ref="G3078">IF(AND(Inputs!$C$60,Inputs!$C$61),INDEX(Utility_Rates!$C$29:$F$52,HOUR(C3078)+Inputs!$C$69,MATCH(INDEX(Utility_Rates!$K$6:$K$17,MONTH(C3078))&amp;IF(WEEKDAY(C3078,Inputs!$C$76)&lt;=Inputs!$C$74," weekday"," weekend"),Utility_Rates!$C$28:$F$28,Inputs!$C$68)),"")</f>
      </c>
      <c r="H3078" s="34"/>
      <c r="I3078" s="42">
        <f>IF(AND(ISNUMBER(D3078),ISNUMBER(H3078)),D3078*H3078*Inputs!$C$69,"")</f>
      </c>
      <c r="J3078" s="42">
        <f>IF(AND(ISNUMBER(F3078),ISNUMBER(H3078),F3078&gt;=Inputs!$C$68),F3078*H3078*Inputs!$C$69,"")</f>
      </c>
    </row>
    <row r="3079" spans="2:10" ht="15" customHeight="1" x14ac:dyDescent="0.2">
      <c r="B3079" s="39">
        <f t="shared" si="24"/>
      </c>
      <c r="C3079" s="40">
        <f>IF(Inputs!$C$60,Inputs!$C$11+(B3079-Inputs!$C$69)/Inputs!$C$70,"")</f>
      </c>
      <c r="D3079" s="15"/>
      <c r="E3079" s="15"/>
      <c r="F3079" s="11">
        <f t="shared" si="25"/>
      </c>
      <c r="G3079" s="22" cm="1">
        <f t="array" ref="G3079">IF(AND(Inputs!$C$60,Inputs!$C$61),INDEX(Utility_Rates!$C$29:$F$52,HOUR(C3079)+Inputs!$C$69,MATCH(INDEX(Utility_Rates!$K$6:$K$17,MONTH(C3079))&amp;IF(WEEKDAY(C3079,Inputs!$C$76)&lt;=Inputs!$C$74," weekday"," weekend"),Utility_Rates!$C$28:$F$28,Inputs!$C$68)),"")</f>
      </c>
      <c r="H3079" s="34"/>
      <c r="I3079" s="42">
        <f>IF(AND(ISNUMBER(D3079),ISNUMBER(H3079)),D3079*H3079*Inputs!$C$69,"")</f>
      </c>
      <c r="J3079" s="42">
        <f>IF(AND(ISNUMBER(F3079),ISNUMBER(H3079),F3079&gt;=Inputs!$C$68),F3079*H3079*Inputs!$C$69,"")</f>
      </c>
    </row>
    <row r="3080" spans="2:10" ht="15" customHeight="1" x14ac:dyDescent="0.2">
      <c r="B3080" s="39">
        <f t="shared" si="24"/>
      </c>
      <c r="C3080" s="40">
        <f>IF(Inputs!$C$60,Inputs!$C$11+(B3080-Inputs!$C$69)/Inputs!$C$70,"")</f>
      </c>
      <c r="D3080" s="15"/>
      <c r="E3080" s="15"/>
      <c r="F3080" s="11">
        <f t="shared" si="25"/>
      </c>
      <c r="G3080" s="22" cm="1">
        <f t="array" ref="G3080">IF(AND(Inputs!$C$60,Inputs!$C$61),INDEX(Utility_Rates!$C$29:$F$52,HOUR(C3080)+Inputs!$C$69,MATCH(INDEX(Utility_Rates!$K$6:$K$17,MONTH(C3080))&amp;IF(WEEKDAY(C3080,Inputs!$C$76)&lt;=Inputs!$C$74," weekday"," weekend"),Utility_Rates!$C$28:$F$28,Inputs!$C$68)),"")</f>
      </c>
      <c r="H3080" s="34"/>
      <c r="I3080" s="42">
        <f>IF(AND(ISNUMBER(D3080),ISNUMBER(H3080)),D3080*H3080*Inputs!$C$69,"")</f>
      </c>
      <c r="J3080" s="42">
        <f>IF(AND(ISNUMBER(F3080),ISNUMBER(H3080),F3080&gt;=Inputs!$C$68),F3080*H3080*Inputs!$C$69,"")</f>
      </c>
    </row>
    <row r="3081" spans="2:10" ht="15" customHeight="1" x14ac:dyDescent="0.2">
      <c r="B3081" s="39">
        <f t="shared" si="24"/>
      </c>
      <c r="C3081" s="40">
        <f>IF(Inputs!$C$60,Inputs!$C$11+(B3081-Inputs!$C$69)/Inputs!$C$70,"")</f>
      </c>
      <c r="D3081" s="15"/>
      <c r="E3081" s="15"/>
      <c r="F3081" s="11">
        <f t="shared" si="25"/>
      </c>
      <c r="G3081" s="22" cm="1">
        <f t="array" ref="G3081">IF(AND(Inputs!$C$60,Inputs!$C$61),INDEX(Utility_Rates!$C$29:$F$52,HOUR(C3081)+Inputs!$C$69,MATCH(INDEX(Utility_Rates!$K$6:$K$17,MONTH(C3081))&amp;IF(WEEKDAY(C3081,Inputs!$C$76)&lt;=Inputs!$C$74," weekday"," weekend"),Utility_Rates!$C$28:$F$28,Inputs!$C$68)),"")</f>
      </c>
      <c r="H3081" s="34"/>
      <c r="I3081" s="42">
        <f>IF(AND(ISNUMBER(D3081),ISNUMBER(H3081)),D3081*H3081*Inputs!$C$69,"")</f>
      </c>
      <c r="J3081" s="42">
        <f>IF(AND(ISNUMBER(F3081),ISNUMBER(H3081),F3081&gt;=Inputs!$C$68),F3081*H3081*Inputs!$C$69,"")</f>
      </c>
    </row>
    <row r="3082" spans="2:10" ht="15" customHeight="1" x14ac:dyDescent="0.2">
      <c r="B3082" s="39">
        <f t="shared" si="24"/>
      </c>
      <c r="C3082" s="40">
        <f>IF(Inputs!$C$60,Inputs!$C$11+(B3082-Inputs!$C$69)/Inputs!$C$70,"")</f>
      </c>
      <c r="D3082" s="15"/>
      <c r="E3082" s="15"/>
      <c r="F3082" s="11">
        <f t="shared" si="25"/>
      </c>
      <c r="G3082" s="22" cm="1">
        <f t="array" ref="G3082">IF(AND(Inputs!$C$60,Inputs!$C$61),INDEX(Utility_Rates!$C$29:$F$52,HOUR(C3082)+Inputs!$C$69,MATCH(INDEX(Utility_Rates!$K$6:$K$17,MONTH(C3082))&amp;IF(WEEKDAY(C3082,Inputs!$C$76)&lt;=Inputs!$C$74," weekday"," weekend"),Utility_Rates!$C$28:$F$28,Inputs!$C$68)),"")</f>
      </c>
      <c r="H3082" s="34"/>
      <c r="I3082" s="42">
        <f>IF(AND(ISNUMBER(D3082),ISNUMBER(H3082)),D3082*H3082*Inputs!$C$69,"")</f>
      </c>
      <c r="J3082" s="42">
        <f>IF(AND(ISNUMBER(F3082),ISNUMBER(H3082),F3082&gt;=Inputs!$C$68),F3082*H3082*Inputs!$C$69,"")</f>
      </c>
    </row>
    <row r="3083" spans="2:10" ht="15" customHeight="1" x14ac:dyDescent="0.2">
      <c r="B3083" s="39">
        <f t="shared" si="24"/>
      </c>
      <c r="C3083" s="40">
        <f>IF(Inputs!$C$60,Inputs!$C$11+(B3083-Inputs!$C$69)/Inputs!$C$70,"")</f>
      </c>
      <c r="D3083" s="15"/>
      <c r="E3083" s="15"/>
      <c r="F3083" s="11">
        <f t="shared" si="25"/>
      </c>
      <c r="G3083" s="22" cm="1">
        <f t="array" ref="G3083">IF(AND(Inputs!$C$60,Inputs!$C$61),INDEX(Utility_Rates!$C$29:$F$52,HOUR(C3083)+Inputs!$C$69,MATCH(INDEX(Utility_Rates!$K$6:$K$17,MONTH(C3083))&amp;IF(WEEKDAY(C3083,Inputs!$C$76)&lt;=Inputs!$C$74," weekday"," weekend"),Utility_Rates!$C$28:$F$28,Inputs!$C$68)),"")</f>
      </c>
      <c r="H3083" s="34"/>
      <c r="I3083" s="42">
        <f>IF(AND(ISNUMBER(D3083),ISNUMBER(H3083)),D3083*H3083*Inputs!$C$69,"")</f>
      </c>
      <c r="J3083" s="42">
        <f>IF(AND(ISNUMBER(F3083),ISNUMBER(H3083),F3083&gt;=Inputs!$C$68),F3083*H3083*Inputs!$C$69,"")</f>
      </c>
    </row>
    <row r="3084" spans="2:10" ht="15" customHeight="1" x14ac:dyDescent="0.2">
      <c r="B3084" s="39">
        <f t="shared" si="24"/>
      </c>
      <c r="C3084" s="40">
        <f>IF(Inputs!$C$60,Inputs!$C$11+(B3084-Inputs!$C$69)/Inputs!$C$70,"")</f>
      </c>
      <c r="D3084" s="15"/>
      <c r="E3084" s="15"/>
      <c r="F3084" s="11">
        <f t="shared" si="25"/>
      </c>
      <c r="G3084" s="22" cm="1">
        <f t="array" ref="G3084">IF(AND(Inputs!$C$60,Inputs!$C$61),INDEX(Utility_Rates!$C$29:$F$52,HOUR(C3084)+Inputs!$C$69,MATCH(INDEX(Utility_Rates!$K$6:$K$17,MONTH(C3084))&amp;IF(WEEKDAY(C3084,Inputs!$C$76)&lt;=Inputs!$C$74," weekday"," weekend"),Utility_Rates!$C$28:$F$28,Inputs!$C$68)),"")</f>
      </c>
      <c r="H3084" s="34"/>
      <c r="I3084" s="42">
        <f>IF(AND(ISNUMBER(D3084),ISNUMBER(H3084)),D3084*H3084*Inputs!$C$69,"")</f>
      </c>
      <c r="J3084" s="42">
        <f>IF(AND(ISNUMBER(F3084),ISNUMBER(H3084),F3084&gt;=Inputs!$C$68),F3084*H3084*Inputs!$C$69,"")</f>
      </c>
    </row>
    <row r="3085" spans="2:10" ht="15" customHeight="1" x14ac:dyDescent="0.2">
      <c r="B3085" s="39">
        <f t="shared" si="24"/>
      </c>
      <c r="C3085" s="40">
        <f>IF(Inputs!$C$60,Inputs!$C$11+(B3085-Inputs!$C$69)/Inputs!$C$70,"")</f>
      </c>
      <c r="D3085" s="15"/>
      <c r="E3085" s="15"/>
      <c r="F3085" s="11">
        <f t="shared" si="25"/>
      </c>
      <c r="G3085" s="22" cm="1">
        <f t="array" ref="G3085">IF(AND(Inputs!$C$60,Inputs!$C$61),INDEX(Utility_Rates!$C$29:$F$52,HOUR(C3085)+Inputs!$C$69,MATCH(INDEX(Utility_Rates!$K$6:$K$17,MONTH(C3085))&amp;IF(WEEKDAY(C3085,Inputs!$C$76)&lt;=Inputs!$C$74," weekday"," weekend"),Utility_Rates!$C$28:$F$28,Inputs!$C$68)),"")</f>
      </c>
      <c r="H3085" s="34"/>
      <c r="I3085" s="42">
        <f>IF(AND(ISNUMBER(D3085),ISNUMBER(H3085)),D3085*H3085*Inputs!$C$69,"")</f>
      </c>
      <c r="J3085" s="42">
        <f>IF(AND(ISNUMBER(F3085),ISNUMBER(H3085),F3085&gt;=Inputs!$C$68),F3085*H3085*Inputs!$C$69,"")</f>
      </c>
    </row>
    <row r="3086" spans="2:10" ht="15" customHeight="1" x14ac:dyDescent="0.2">
      <c r="B3086" s="39">
        <f t="shared" si="24"/>
      </c>
      <c r="C3086" s="40">
        <f>IF(Inputs!$C$60,Inputs!$C$11+(B3086-Inputs!$C$69)/Inputs!$C$70,"")</f>
      </c>
      <c r="D3086" s="15"/>
      <c r="E3086" s="15"/>
      <c r="F3086" s="11">
        <f t="shared" si="25"/>
      </c>
      <c r="G3086" s="22" cm="1">
        <f t="array" ref="G3086">IF(AND(Inputs!$C$60,Inputs!$C$61),INDEX(Utility_Rates!$C$29:$F$52,HOUR(C3086)+Inputs!$C$69,MATCH(INDEX(Utility_Rates!$K$6:$K$17,MONTH(C3086))&amp;IF(WEEKDAY(C3086,Inputs!$C$76)&lt;=Inputs!$C$74," weekday"," weekend"),Utility_Rates!$C$28:$F$28,Inputs!$C$68)),"")</f>
      </c>
      <c r="H3086" s="34"/>
      <c r="I3086" s="42">
        <f>IF(AND(ISNUMBER(D3086),ISNUMBER(H3086)),D3086*H3086*Inputs!$C$69,"")</f>
      </c>
      <c r="J3086" s="42">
        <f>IF(AND(ISNUMBER(F3086),ISNUMBER(H3086),F3086&gt;=Inputs!$C$68),F3086*H3086*Inputs!$C$69,"")</f>
      </c>
    </row>
    <row r="3087" spans="2:10" ht="15" customHeight="1" x14ac:dyDescent="0.2">
      <c r="B3087" s="39">
        <f t="shared" si="24"/>
      </c>
      <c r="C3087" s="40">
        <f>IF(Inputs!$C$60,Inputs!$C$11+(B3087-Inputs!$C$69)/Inputs!$C$70,"")</f>
      </c>
      <c r="D3087" s="15"/>
      <c r="E3087" s="15"/>
      <c r="F3087" s="11">
        <f t="shared" si="25"/>
      </c>
      <c r="G3087" s="22" cm="1">
        <f t="array" ref="G3087">IF(AND(Inputs!$C$60,Inputs!$C$61),INDEX(Utility_Rates!$C$29:$F$52,HOUR(C3087)+Inputs!$C$69,MATCH(INDEX(Utility_Rates!$K$6:$K$17,MONTH(C3087))&amp;IF(WEEKDAY(C3087,Inputs!$C$76)&lt;=Inputs!$C$74," weekday"," weekend"),Utility_Rates!$C$28:$F$28,Inputs!$C$68)),"")</f>
      </c>
      <c r="H3087" s="34"/>
      <c r="I3087" s="42">
        <f>IF(AND(ISNUMBER(D3087),ISNUMBER(H3087)),D3087*H3087*Inputs!$C$69,"")</f>
      </c>
      <c r="J3087" s="42">
        <f>IF(AND(ISNUMBER(F3087),ISNUMBER(H3087),F3087&gt;=Inputs!$C$68),F3087*H3087*Inputs!$C$69,"")</f>
      </c>
    </row>
    <row r="3088" spans="2:10" ht="15" customHeight="1" x14ac:dyDescent="0.2">
      <c r="B3088" s="39">
        <f t="shared" si="24"/>
      </c>
      <c r="C3088" s="40">
        <f>IF(Inputs!$C$60,Inputs!$C$11+(B3088-Inputs!$C$69)/Inputs!$C$70,"")</f>
      </c>
      <c r="D3088" s="15"/>
      <c r="E3088" s="15"/>
      <c r="F3088" s="11">
        <f t="shared" si="25"/>
      </c>
      <c r="G3088" s="22" cm="1">
        <f t="array" ref="G3088">IF(AND(Inputs!$C$60,Inputs!$C$61),INDEX(Utility_Rates!$C$29:$F$52,HOUR(C3088)+Inputs!$C$69,MATCH(INDEX(Utility_Rates!$K$6:$K$17,MONTH(C3088))&amp;IF(WEEKDAY(C3088,Inputs!$C$76)&lt;=Inputs!$C$74," weekday"," weekend"),Utility_Rates!$C$28:$F$28,Inputs!$C$68)),"")</f>
      </c>
      <c r="H3088" s="34"/>
      <c r="I3088" s="42">
        <f>IF(AND(ISNUMBER(D3088),ISNUMBER(H3088)),D3088*H3088*Inputs!$C$69,"")</f>
      </c>
      <c r="J3088" s="42">
        <f>IF(AND(ISNUMBER(F3088),ISNUMBER(H3088),F3088&gt;=Inputs!$C$68),F3088*H3088*Inputs!$C$69,"")</f>
      </c>
    </row>
    <row r="3089" spans="2:10" ht="15" customHeight="1" x14ac:dyDescent="0.2">
      <c r="B3089" s="39">
        <f t="shared" si="24"/>
      </c>
      <c r="C3089" s="40">
        <f>IF(Inputs!$C$60,Inputs!$C$11+(B3089-Inputs!$C$69)/Inputs!$C$70,"")</f>
      </c>
      <c r="D3089" s="15"/>
      <c r="E3089" s="15"/>
      <c r="F3089" s="11">
        <f t="shared" si="25"/>
      </c>
      <c r="G3089" s="22" cm="1">
        <f t="array" ref="G3089">IF(AND(Inputs!$C$60,Inputs!$C$61),INDEX(Utility_Rates!$C$29:$F$52,HOUR(C3089)+Inputs!$C$69,MATCH(INDEX(Utility_Rates!$K$6:$K$17,MONTH(C3089))&amp;IF(WEEKDAY(C3089,Inputs!$C$76)&lt;=Inputs!$C$74," weekday"," weekend"),Utility_Rates!$C$28:$F$28,Inputs!$C$68)),"")</f>
      </c>
      <c r="H3089" s="34"/>
      <c r="I3089" s="42">
        <f>IF(AND(ISNUMBER(D3089),ISNUMBER(H3089)),D3089*H3089*Inputs!$C$69,"")</f>
      </c>
      <c r="J3089" s="42">
        <f>IF(AND(ISNUMBER(F3089),ISNUMBER(H3089),F3089&gt;=Inputs!$C$68),F3089*H3089*Inputs!$C$69,"")</f>
      </c>
    </row>
    <row r="3090" spans="2:10" ht="15" customHeight="1" x14ac:dyDescent="0.2">
      <c r="B3090" s="39">
        <f t="shared" si="24"/>
      </c>
      <c r="C3090" s="40">
        <f>IF(Inputs!$C$60,Inputs!$C$11+(B3090-Inputs!$C$69)/Inputs!$C$70,"")</f>
      </c>
      <c r="D3090" s="15"/>
      <c r="E3090" s="15"/>
      <c r="F3090" s="11">
        <f t="shared" si="25"/>
      </c>
      <c r="G3090" s="22" cm="1">
        <f t="array" ref="G3090">IF(AND(Inputs!$C$60,Inputs!$C$61),INDEX(Utility_Rates!$C$29:$F$52,HOUR(C3090)+Inputs!$C$69,MATCH(INDEX(Utility_Rates!$K$6:$K$17,MONTH(C3090))&amp;IF(WEEKDAY(C3090,Inputs!$C$76)&lt;=Inputs!$C$74," weekday"," weekend"),Utility_Rates!$C$28:$F$28,Inputs!$C$68)),"")</f>
      </c>
      <c r="H3090" s="34"/>
      <c r="I3090" s="42">
        <f>IF(AND(ISNUMBER(D3090),ISNUMBER(H3090)),D3090*H3090*Inputs!$C$69,"")</f>
      </c>
      <c r="J3090" s="42">
        <f>IF(AND(ISNUMBER(F3090),ISNUMBER(H3090),F3090&gt;=Inputs!$C$68),F3090*H3090*Inputs!$C$69,"")</f>
      </c>
    </row>
    <row r="3091" spans="2:10" ht="15" customHeight="1" x14ac:dyDescent="0.2">
      <c r="B3091" s="39">
        <f t="shared" si="24"/>
      </c>
      <c r="C3091" s="40">
        <f>IF(Inputs!$C$60,Inputs!$C$11+(B3091-Inputs!$C$69)/Inputs!$C$70,"")</f>
      </c>
      <c r="D3091" s="15"/>
      <c r="E3091" s="15"/>
      <c r="F3091" s="11">
        <f t="shared" si="25"/>
      </c>
      <c r="G3091" s="22" cm="1">
        <f t="array" ref="G3091">IF(AND(Inputs!$C$60,Inputs!$C$61),INDEX(Utility_Rates!$C$29:$F$52,HOUR(C3091)+Inputs!$C$69,MATCH(INDEX(Utility_Rates!$K$6:$K$17,MONTH(C3091))&amp;IF(WEEKDAY(C3091,Inputs!$C$76)&lt;=Inputs!$C$74," weekday"," weekend"),Utility_Rates!$C$28:$F$28,Inputs!$C$68)),"")</f>
      </c>
      <c r="H3091" s="34"/>
      <c r="I3091" s="42">
        <f>IF(AND(ISNUMBER(D3091),ISNUMBER(H3091)),D3091*H3091*Inputs!$C$69,"")</f>
      </c>
      <c r="J3091" s="42">
        <f>IF(AND(ISNUMBER(F3091),ISNUMBER(H3091),F3091&gt;=Inputs!$C$68),F3091*H3091*Inputs!$C$69,"")</f>
      </c>
    </row>
    <row r="3092" spans="2:10" ht="15" customHeight="1" x14ac:dyDescent="0.2">
      <c r="B3092" s="39">
        <f t="shared" si="24"/>
      </c>
      <c r="C3092" s="40">
        <f>IF(Inputs!$C$60,Inputs!$C$11+(B3092-Inputs!$C$69)/Inputs!$C$70,"")</f>
      </c>
      <c r="D3092" s="15"/>
      <c r="E3092" s="15"/>
      <c r="F3092" s="11">
        <f t="shared" si="25"/>
      </c>
      <c r="G3092" s="22" cm="1">
        <f t="array" ref="G3092">IF(AND(Inputs!$C$60,Inputs!$C$61),INDEX(Utility_Rates!$C$29:$F$52,HOUR(C3092)+Inputs!$C$69,MATCH(INDEX(Utility_Rates!$K$6:$K$17,MONTH(C3092))&amp;IF(WEEKDAY(C3092,Inputs!$C$76)&lt;=Inputs!$C$74," weekday"," weekend"),Utility_Rates!$C$28:$F$28,Inputs!$C$68)),"")</f>
      </c>
      <c r="H3092" s="34"/>
      <c r="I3092" s="42">
        <f>IF(AND(ISNUMBER(D3092),ISNUMBER(H3092)),D3092*H3092*Inputs!$C$69,"")</f>
      </c>
      <c r="J3092" s="42">
        <f>IF(AND(ISNUMBER(F3092),ISNUMBER(H3092),F3092&gt;=Inputs!$C$68),F3092*H3092*Inputs!$C$69,"")</f>
      </c>
    </row>
    <row r="3093" spans="2:10" ht="15" customHeight="1" x14ac:dyDescent="0.2">
      <c r="B3093" s="39">
        <f t="shared" si="24"/>
      </c>
      <c r="C3093" s="40">
        <f>IF(Inputs!$C$60,Inputs!$C$11+(B3093-Inputs!$C$69)/Inputs!$C$70,"")</f>
      </c>
      <c r="D3093" s="15"/>
      <c r="E3093" s="15"/>
      <c r="F3093" s="11">
        <f t="shared" si="25"/>
      </c>
      <c r="G3093" s="22" cm="1">
        <f t="array" ref="G3093">IF(AND(Inputs!$C$60,Inputs!$C$61),INDEX(Utility_Rates!$C$29:$F$52,HOUR(C3093)+Inputs!$C$69,MATCH(INDEX(Utility_Rates!$K$6:$K$17,MONTH(C3093))&amp;IF(WEEKDAY(C3093,Inputs!$C$76)&lt;=Inputs!$C$74," weekday"," weekend"),Utility_Rates!$C$28:$F$28,Inputs!$C$68)),"")</f>
      </c>
      <c r="H3093" s="34"/>
      <c r="I3093" s="42">
        <f>IF(AND(ISNUMBER(D3093),ISNUMBER(H3093)),D3093*H3093*Inputs!$C$69,"")</f>
      </c>
      <c r="J3093" s="42">
        <f>IF(AND(ISNUMBER(F3093),ISNUMBER(H3093),F3093&gt;=Inputs!$C$68),F3093*H3093*Inputs!$C$69,"")</f>
      </c>
    </row>
    <row r="3094" spans="2:10" ht="15" customHeight="1" x14ac:dyDescent="0.2">
      <c r="B3094" s="39">
        <f t="shared" si="24"/>
      </c>
      <c r="C3094" s="40">
        <f>IF(Inputs!$C$60,Inputs!$C$11+(B3094-Inputs!$C$69)/Inputs!$C$70,"")</f>
      </c>
      <c r="D3094" s="15"/>
      <c r="E3094" s="15"/>
      <c r="F3094" s="11">
        <f t="shared" si="25"/>
      </c>
      <c r="G3094" s="22" cm="1">
        <f t="array" ref="G3094">IF(AND(Inputs!$C$60,Inputs!$C$61),INDEX(Utility_Rates!$C$29:$F$52,HOUR(C3094)+Inputs!$C$69,MATCH(INDEX(Utility_Rates!$K$6:$K$17,MONTH(C3094))&amp;IF(WEEKDAY(C3094,Inputs!$C$76)&lt;=Inputs!$C$74," weekday"," weekend"),Utility_Rates!$C$28:$F$28,Inputs!$C$68)),"")</f>
      </c>
      <c r="H3094" s="34"/>
      <c r="I3094" s="42">
        <f>IF(AND(ISNUMBER(D3094),ISNUMBER(H3094)),D3094*H3094*Inputs!$C$69,"")</f>
      </c>
      <c r="J3094" s="42">
        <f>IF(AND(ISNUMBER(F3094),ISNUMBER(H3094),F3094&gt;=Inputs!$C$68),F3094*H3094*Inputs!$C$69,"")</f>
      </c>
    </row>
    <row r="3095" spans="2:10" ht="15" customHeight="1" x14ac:dyDescent="0.2">
      <c r="B3095" s="39">
        <f t="shared" si="24"/>
      </c>
      <c r="C3095" s="40">
        <f>IF(Inputs!$C$60,Inputs!$C$11+(B3095-Inputs!$C$69)/Inputs!$C$70,"")</f>
      </c>
      <c r="D3095" s="15"/>
      <c r="E3095" s="15"/>
      <c r="F3095" s="11">
        <f t="shared" si="25"/>
      </c>
      <c r="G3095" s="22" cm="1">
        <f t="array" ref="G3095">IF(AND(Inputs!$C$60,Inputs!$C$61),INDEX(Utility_Rates!$C$29:$F$52,HOUR(C3095)+Inputs!$C$69,MATCH(INDEX(Utility_Rates!$K$6:$K$17,MONTH(C3095))&amp;IF(WEEKDAY(C3095,Inputs!$C$76)&lt;=Inputs!$C$74," weekday"," weekend"),Utility_Rates!$C$28:$F$28,Inputs!$C$68)),"")</f>
      </c>
      <c r="H3095" s="34"/>
      <c r="I3095" s="42">
        <f>IF(AND(ISNUMBER(D3095),ISNUMBER(H3095)),D3095*H3095*Inputs!$C$69,"")</f>
      </c>
      <c r="J3095" s="42">
        <f>IF(AND(ISNUMBER(F3095),ISNUMBER(H3095),F3095&gt;=Inputs!$C$68),F3095*H3095*Inputs!$C$69,"")</f>
      </c>
    </row>
    <row r="3096" spans="2:10" ht="15" customHeight="1" x14ac:dyDescent="0.2">
      <c r="B3096" s="39">
        <f t="shared" si="24"/>
      </c>
      <c r="C3096" s="40">
        <f>IF(Inputs!$C$60,Inputs!$C$11+(B3096-Inputs!$C$69)/Inputs!$C$70,"")</f>
      </c>
      <c r="D3096" s="15"/>
      <c r="E3096" s="15"/>
      <c r="F3096" s="11">
        <f t="shared" si="25"/>
      </c>
      <c r="G3096" s="22" cm="1">
        <f t="array" ref="G3096">IF(AND(Inputs!$C$60,Inputs!$C$61),INDEX(Utility_Rates!$C$29:$F$52,HOUR(C3096)+Inputs!$C$69,MATCH(INDEX(Utility_Rates!$K$6:$K$17,MONTH(C3096))&amp;IF(WEEKDAY(C3096,Inputs!$C$76)&lt;=Inputs!$C$74," weekday"," weekend"),Utility_Rates!$C$28:$F$28,Inputs!$C$68)),"")</f>
      </c>
      <c r="H3096" s="34"/>
      <c r="I3096" s="42">
        <f>IF(AND(ISNUMBER(D3096),ISNUMBER(H3096)),D3096*H3096*Inputs!$C$69,"")</f>
      </c>
      <c r="J3096" s="42">
        <f>IF(AND(ISNUMBER(F3096),ISNUMBER(H3096),F3096&gt;=Inputs!$C$68),F3096*H3096*Inputs!$C$69,"")</f>
      </c>
    </row>
    <row r="3097" spans="2:10" ht="15" customHeight="1" x14ac:dyDescent="0.2">
      <c r="B3097" s="39">
        <f t="shared" si="24"/>
      </c>
      <c r="C3097" s="40">
        <f>IF(Inputs!$C$60,Inputs!$C$11+(B3097-Inputs!$C$69)/Inputs!$C$70,"")</f>
      </c>
      <c r="D3097" s="15"/>
      <c r="E3097" s="15"/>
      <c r="F3097" s="11">
        <f t="shared" si="25"/>
      </c>
      <c r="G3097" s="22" cm="1">
        <f t="array" ref="G3097">IF(AND(Inputs!$C$60,Inputs!$C$61),INDEX(Utility_Rates!$C$29:$F$52,HOUR(C3097)+Inputs!$C$69,MATCH(INDEX(Utility_Rates!$K$6:$K$17,MONTH(C3097))&amp;IF(WEEKDAY(C3097,Inputs!$C$76)&lt;=Inputs!$C$74," weekday"," weekend"),Utility_Rates!$C$28:$F$28,Inputs!$C$68)),"")</f>
      </c>
      <c r="H3097" s="34"/>
      <c r="I3097" s="42">
        <f>IF(AND(ISNUMBER(D3097),ISNUMBER(H3097)),D3097*H3097*Inputs!$C$69,"")</f>
      </c>
      <c r="J3097" s="42">
        <f>IF(AND(ISNUMBER(F3097),ISNUMBER(H3097),F3097&gt;=Inputs!$C$68),F3097*H3097*Inputs!$C$69,"")</f>
      </c>
    </row>
    <row r="3098" spans="2:10" ht="15" customHeight="1" x14ac:dyDescent="0.2">
      <c r="B3098" s="39">
        <f t="shared" si="24"/>
      </c>
      <c r="C3098" s="40">
        <f>IF(Inputs!$C$60,Inputs!$C$11+(B3098-Inputs!$C$69)/Inputs!$C$70,"")</f>
      </c>
      <c r="D3098" s="15"/>
      <c r="E3098" s="15"/>
      <c r="F3098" s="11">
        <f t="shared" si="25"/>
      </c>
      <c r="G3098" s="22" cm="1">
        <f t="array" ref="G3098">IF(AND(Inputs!$C$60,Inputs!$C$61),INDEX(Utility_Rates!$C$29:$F$52,HOUR(C3098)+Inputs!$C$69,MATCH(INDEX(Utility_Rates!$K$6:$K$17,MONTH(C3098))&amp;IF(WEEKDAY(C3098,Inputs!$C$76)&lt;=Inputs!$C$74," weekday"," weekend"),Utility_Rates!$C$28:$F$28,Inputs!$C$68)),"")</f>
      </c>
      <c r="H3098" s="34"/>
      <c r="I3098" s="42">
        <f>IF(AND(ISNUMBER(D3098),ISNUMBER(H3098)),D3098*H3098*Inputs!$C$69,"")</f>
      </c>
      <c r="J3098" s="42">
        <f>IF(AND(ISNUMBER(F3098),ISNUMBER(H3098),F3098&gt;=Inputs!$C$68),F3098*H3098*Inputs!$C$69,"")</f>
      </c>
    </row>
    <row r="3099" spans="2:10" ht="15" customHeight="1" x14ac:dyDescent="0.2">
      <c r="B3099" s="39">
        <f t="shared" si="24"/>
      </c>
      <c r="C3099" s="40">
        <f>IF(Inputs!$C$60,Inputs!$C$11+(B3099-Inputs!$C$69)/Inputs!$C$70,"")</f>
      </c>
      <c r="D3099" s="15"/>
      <c r="E3099" s="15"/>
      <c r="F3099" s="11">
        <f t="shared" si="25"/>
      </c>
      <c r="G3099" s="22" cm="1">
        <f t="array" ref="G3099">IF(AND(Inputs!$C$60,Inputs!$C$61),INDEX(Utility_Rates!$C$29:$F$52,HOUR(C3099)+Inputs!$C$69,MATCH(INDEX(Utility_Rates!$K$6:$K$17,MONTH(C3099))&amp;IF(WEEKDAY(C3099,Inputs!$C$76)&lt;=Inputs!$C$74," weekday"," weekend"),Utility_Rates!$C$28:$F$28,Inputs!$C$68)),"")</f>
      </c>
      <c r="H3099" s="34"/>
      <c r="I3099" s="42">
        <f>IF(AND(ISNUMBER(D3099),ISNUMBER(H3099)),D3099*H3099*Inputs!$C$69,"")</f>
      </c>
      <c r="J3099" s="42">
        <f>IF(AND(ISNUMBER(F3099),ISNUMBER(H3099),F3099&gt;=Inputs!$C$68),F3099*H3099*Inputs!$C$69,"")</f>
      </c>
    </row>
    <row r="3100" spans="2:10" ht="15" customHeight="1" x14ac:dyDescent="0.2">
      <c r="B3100" s="39">
        <f t="shared" si="24"/>
      </c>
      <c r="C3100" s="40">
        <f>IF(Inputs!$C$60,Inputs!$C$11+(B3100-Inputs!$C$69)/Inputs!$C$70,"")</f>
      </c>
      <c r="D3100" s="15"/>
      <c r="E3100" s="15"/>
      <c r="F3100" s="11">
        <f t="shared" si="25"/>
      </c>
      <c r="G3100" s="22" cm="1">
        <f t="array" ref="G3100">IF(AND(Inputs!$C$60,Inputs!$C$61),INDEX(Utility_Rates!$C$29:$F$52,HOUR(C3100)+Inputs!$C$69,MATCH(INDEX(Utility_Rates!$K$6:$K$17,MONTH(C3100))&amp;IF(WEEKDAY(C3100,Inputs!$C$76)&lt;=Inputs!$C$74," weekday"," weekend"),Utility_Rates!$C$28:$F$28,Inputs!$C$68)),"")</f>
      </c>
      <c r="H3100" s="34"/>
      <c r="I3100" s="42">
        <f>IF(AND(ISNUMBER(D3100),ISNUMBER(H3100)),D3100*H3100*Inputs!$C$69,"")</f>
      </c>
      <c r="J3100" s="42">
        <f>IF(AND(ISNUMBER(F3100),ISNUMBER(H3100),F3100&gt;=Inputs!$C$68),F3100*H3100*Inputs!$C$69,"")</f>
      </c>
    </row>
    <row r="3101" spans="2:10" ht="15" customHeight="1" x14ac:dyDescent="0.2">
      <c r="B3101" s="39">
        <f t="shared" si="24"/>
      </c>
      <c r="C3101" s="40">
        <f>IF(Inputs!$C$60,Inputs!$C$11+(B3101-Inputs!$C$69)/Inputs!$C$70,"")</f>
      </c>
      <c r="D3101" s="15"/>
      <c r="E3101" s="15"/>
      <c r="F3101" s="11">
        <f t="shared" si="25"/>
      </c>
      <c r="G3101" s="22" cm="1">
        <f t="array" ref="G3101">IF(AND(Inputs!$C$60,Inputs!$C$61),INDEX(Utility_Rates!$C$29:$F$52,HOUR(C3101)+Inputs!$C$69,MATCH(INDEX(Utility_Rates!$K$6:$K$17,MONTH(C3101))&amp;IF(WEEKDAY(C3101,Inputs!$C$76)&lt;=Inputs!$C$74," weekday"," weekend"),Utility_Rates!$C$28:$F$28,Inputs!$C$68)),"")</f>
      </c>
      <c r="H3101" s="34"/>
      <c r="I3101" s="42">
        <f>IF(AND(ISNUMBER(D3101),ISNUMBER(H3101)),D3101*H3101*Inputs!$C$69,"")</f>
      </c>
      <c r="J3101" s="42">
        <f>IF(AND(ISNUMBER(F3101),ISNUMBER(H3101),F3101&gt;=Inputs!$C$68),F3101*H3101*Inputs!$C$69,"")</f>
      </c>
    </row>
    <row r="3102" spans="2:10" ht="15" customHeight="1" x14ac:dyDescent="0.2">
      <c r="B3102" s="39">
        <f t="shared" si="24"/>
      </c>
      <c r="C3102" s="40">
        <f>IF(Inputs!$C$60,Inputs!$C$11+(B3102-Inputs!$C$69)/Inputs!$C$70,"")</f>
      </c>
      <c r="D3102" s="15"/>
      <c r="E3102" s="15"/>
      <c r="F3102" s="11">
        <f t="shared" si="25"/>
      </c>
      <c r="G3102" s="22" cm="1">
        <f t="array" ref="G3102">IF(AND(Inputs!$C$60,Inputs!$C$61),INDEX(Utility_Rates!$C$29:$F$52,HOUR(C3102)+Inputs!$C$69,MATCH(INDEX(Utility_Rates!$K$6:$K$17,MONTH(C3102))&amp;IF(WEEKDAY(C3102,Inputs!$C$76)&lt;=Inputs!$C$74," weekday"," weekend"),Utility_Rates!$C$28:$F$28,Inputs!$C$68)),"")</f>
      </c>
      <c r="H3102" s="34"/>
      <c r="I3102" s="42">
        <f>IF(AND(ISNUMBER(D3102),ISNUMBER(H3102)),D3102*H3102*Inputs!$C$69,"")</f>
      </c>
      <c r="J3102" s="42">
        <f>IF(AND(ISNUMBER(F3102),ISNUMBER(H3102),F3102&gt;=Inputs!$C$68),F3102*H3102*Inputs!$C$69,"")</f>
      </c>
    </row>
    <row r="3103" spans="2:10" ht="15" customHeight="1" x14ac:dyDescent="0.2">
      <c r="B3103" s="39">
        <f t="shared" si="24"/>
      </c>
      <c r="C3103" s="40">
        <f>IF(Inputs!$C$60,Inputs!$C$11+(B3103-Inputs!$C$69)/Inputs!$C$70,"")</f>
      </c>
      <c r="D3103" s="15"/>
      <c r="E3103" s="15"/>
      <c r="F3103" s="11">
        <f t="shared" si="25"/>
      </c>
      <c r="G3103" s="22" cm="1">
        <f t="array" ref="G3103">IF(AND(Inputs!$C$60,Inputs!$C$61),INDEX(Utility_Rates!$C$29:$F$52,HOUR(C3103)+Inputs!$C$69,MATCH(INDEX(Utility_Rates!$K$6:$K$17,MONTH(C3103))&amp;IF(WEEKDAY(C3103,Inputs!$C$76)&lt;=Inputs!$C$74," weekday"," weekend"),Utility_Rates!$C$28:$F$28,Inputs!$C$68)),"")</f>
      </c>
      <c r="H3103" s="34"/>
      <c r="I3103" s="42">
        <f>IF(AND(ISNUMBER(D3103),ISNUMBER(H3103)),D3103*H3103*Inputs!$C$69,"")</f>
      </c>
      <c r="J3103" s="42">
        <f>IF(AND(ISNUMBER(F3103),ISNUMBER(H3103),F3103&gt;=Inputs!$C$68),F3103*H3103*Inputs!$C$69,"")</f>
      </c>
    </row>
    <row r="3104" spans="2:10" ht="15" customHeight="1" x14ac:dyDescent="0.2">
      <c r="B3104" s="39">
        <f t="shared" si="24"/>
      </c>
      <c r="C3104" s="40">
        <f>IF(Inputs!$C$60,Inputs!$C$11+(B3104-Inputs!$C$69)/Inputs!$C$70,"")</f>
      </c>
      <c r="D3104" s="15"/>
      <c r="E3104" s="15"/>
      <c r="F3104" s="11">
        <f t="shared" si="25"/>
      </c>
      <c r="G3104" s="22" cm="1">
        <f t="array" ref="G3104">IF(AND(Inputs!$C$60,Inputs!$C$61),INDEX(Utility_Rates!$C$29:$F$52,HOUR(C3104)+Inputs!$C$69,MATCH(INDEX(Utility_Rates!$K$6:$K$17,MONTH(C3104))&amp;IF(WEEKDAY(C3104,Inputs!$C$76)&lt;=Inputs!$C$74," weekday"," weekend"),Utility_Rates!$C$28:$F$28,Inputs!$C$68)),"")</f>
      </c>
      <c r="H3104" s="34"/>
      <c r="I3104" s="42">
        <f>IF(AND(ISNUMBER(D3104),ISNUMBER(H3104)),D3104*H3104*Inputs!$C$69,"")</f>
      </c>
      <c r="J3104" s="42">
        <f>IF(AND(ISNUMBER(F3104),ISNUMBER(H3104),F3104&gt;=Inputs!$C$68),F3104*H3104*Inputs!$C$69,"")</f>
      </c>
    </row>
    <row r="3105" spans="2:10" ht="15" customHeight="1" x14ac:dyDescent="0.2">
      <c r="B3105" s="39">
        <f t="shared" si="24"/>
      </c>
      <c r="C3105" s="40">
        <f>IF(Inputs!$C$60,Inputs!$C$11+(B3105-Inputs!$C$69)/Inputs!$C$70,"")</f>
      </c>
      <c r="D3105" s="15"/>
      <c r="E3105" s="15"/>
      <c r="F3105" s="11">
        <f t="shared" si="25"/>
      </c>
      <c r="G3105" s="22" cm="1">
        <f t="array" ref="G3105">IF(AND(Inputs!$C$60,Inputs!$C$61),INDEX(Utility_Rates!$C$29:$F$52,HOUR(C3105)+Inputs!$C$69,MATCH(INDEX(Utility_Rates!$K$6:$K$17,MONTH(C3105))&amp;IF(WEEKDAY(C3105,Inputs!$C$76)&lt;=Inputs!$C$74," weekday"," weekend"),Utility_Rates!$C$28:$F$28,Inputs!$C$68)),"")</f>
      </c>
      <c r="H3105" s="34"/>
      <c r="I3105" s="42">
        <f>IF(AND(ISNUMBER(D3105),ISNUMBER(H3105)),D3105*H3105*Inputs!$C$69,"")</f>
      </c>
      <c r="J3105" s="42">
        <f>IF(AND(ISNUMBER(F3105),ISNUMBER(H3105),F3105&gt;=Inputs!$C$68),F3105*H3105*Inputs!$C$69,"")</f>
      </c>
    </row>
    <row r="3106" spans="2:10" ht="15" customHeight="1" x14ac:dyDescent="0.2">
      <c r="B3106" s="39">
        <f t="shared" si="24"/>
      </c>
      <c r="C3106" s="40">
        <f>IF(Inputs!$C$60,Inputs!$C$11+(B3106-Inputs!$C$69)/Inputs!$C$70,"")</f>
      </c>
      <c r="D3106" s="15"/>
      <c r="E3106" s="15"/>
      <c r="F3106" s="11">
        <f t="shared" si="25"/>
      </c>
      <c r="G3106" s="22" cm="1">
        <f t="array" ref="G3106">IF(AND(Inputs!$C$60,Inputs!$C$61),INDEX(Utility_Rates!$C$29:$F$52,HOUR(C3106)+Inputs!$C$69,MATCH(INDEX(Utility_Rates!$K$6:$K$17,MONTH(C3106))&amp;IF(WEEKDAY(C3106,Inputs!$C$76)&lt;=Inputs!$C$74," weekday"," weekend"),Utility_Rates!$C$28:$F$28,Inputs!$C$68)),"")</f>
      </c>
      <c r="H3106" s="34"/>
      <c r="I3106" s="42">
        <f>IF(AND(ISNUMBER(D3106),ISNUMBER(H3106)),D3106*H3106*Inputs!$C$69,"")</f>
      </c>
      <c r="J3106" s="42">
        <f>IF(AND(ISNUMBER(F3106),ISNUMBER(H3106),F3106&gt;=Inputs!$C$68),F3106*H3106*Inputs!$C$69,"")</f>
      </c>
    </row>
    <row r="3107" spans="2:10" ht="15" customHeight="1" x14ac:dyDescent="0.2">
      <c r="B3107" s="39">
        <f t="shared" si="24"/>
      </c>
      <c r="C3107" s="40">
        <f>IF(Inputs!$C$60,Inputs!$C$11+(B3107-Inputs!$C$69)/Inputs!$C$70,"")</f>
      </c>
      <c r="D3107" s="15"/>
      <c r="E3107" s="15"/>
      <c r="F3107" s="11">
        <f t="shared" si="25"/>
      </c>
      <c r="G3107" s="22" cm="1">
        <f t="array" ref="G3107">IF(AND(Inputs!$C$60,Inputs!$C$61),INDEX(Utility_Rates!$C$29:$F$52,HOUR(C3107)+Inputs!$C$69,MATCH(INDEX(Utility_Rates!$K$6:$K$17,MONTH(C3107))&amp;IF(WEEKDAY(C3107,Inputs!$C$76)&lt;=Inputs!$C$74," weekday"," weekend"),Utility_Rates!$C$28:$F$28,Inputs!$C$68)),"")</f>
      </c>
      <c r="H3107" s="34"/>
      <c r="I3107" s="42">
        <f>IF(AND(ISNUMBER(D3107),ISNUMBER(H3107)),D3107*H3107*Inputs!$C$69,"")</f>
      </c>
      <c r="J3107" s="42">
        <f>IF(AND(ISNUMBER(F3107),ISNUMBER(H3107),F3107&gt;=Inputs!$C$68),F3107*H3107*Inputs!$C$69,"")</f>
      </c>
    </row>
    <row r="3108" spans="2:10" ht="15" customHeight="1" x14ac:dyDescent="0.2">
      <c r="B3108" s="39">
        <f t="shared" si="24"/>
      </c>
      <c r="C3108" s="40">
        <f>IF(Inputs!$C$60,Inputs!$C$11+(B3108-Inputs!$C$69)/Inputs!$C$70,"")</f>
      </c>
      <c r="D3108" s="15"/>
      <c r="E3108" s="15"/>
      <c r="F3108" s="11">
        <f t="shared" si="25"/>
      </c>
      <c r="G3108" s="22" cm="1">
        <f t="array" ref="G3108">IF(AND(Inputs!$C$60,Inputs!$C$61),INDEX(Utility_Rates!$C$29:$F$52,HOUR(C3108)+Inputs!$C$69,MATCH(INDEX(Utility_Rates!$K$6:$K$17,MONTH(C3108))&amp;IF(WEEKDAY(C3108,Inputs!$C$76)&lt;=Inputs!$C$74," weekday"," weekend"),Utility_Rates!$C$28:$F$28,Inputs!$C$68)),"")</f>
      </c>
      <c r="H3108" s="34"/>
      <c r="I3108" s="42">
        <f>IF(AND(ISNUMBER(D3108),ISNUMBER(H3108)),D3108*H3108*Inputs!$C$69,"")</f>
      </c>
      <c r="J3108" s="42">
        <f>IF(AND(ISNUMBER(F3108),ISNUMBER(H3108),F3108&gt;=Inputs!$C$68),F3108*H3108*Inputs!$C$69,"")</f>
      </c>
    </row>
    <row r="3109" spans="2:10" ht="15" customHeight="1" x14ac:dyDescent="0.2">
      <c r="B3109" s="39">
        <f t="shared" si="24"/>
      </c>
      <c r="C3109" s="40">
        <f>IF(Inputs!$C$60,Inputs!$C$11+(B3109-Inputs!$C$69)/Inputs!$C$70,"")</f>
      </c>
      <c r="D3109" s="15"/>
      <c r="E3109" s="15"/>
      <c r="F3109" s="11">
        <f t="shared" si="25"/>
      </c>
      <c r="G3109" s="22" cm="1">
        <f t="array" ref="G3109">IF(AND(Inputs!$C$60,Inputs!$C$61),INDEX(Utility_Rates!$C$29:$F$52,HOUR(C3109)+Inputs!$C$69,MATCH(INDEX(Utility_Rates!$K$6:$K$17,MONTH(C3109))&amp;IF(WEEKDAY(C3109,Inputs!$C$76)&lt;=Inputs!$C$74," weekday"," weekend"),Utility_Rates!$C$28:$F$28,Inputs!$C$68)),"")</f>
      </c>
      <c r="H3109" s="34"/>
      <c r="I3109" s="42">
        <f>IF(AND(ISNUMBER(D3109),ISNUMBER(H3109)),D3109*H3109*Inputs!$C$69,"")</f>
      </c>
      <c r="J3109" s="42">
        <f>IF(AND(ISNUMBER(F3109),ISNUMBER(H3109),F3109&gt;=Inputs!$C$68),F3109*H3109*Inputs!$C$69,"")</f>
      </c>
    </row>
    <row r="3110" spans="2:10" ht="15" customHeight="1" x14ac:dyDescent="0.2">
      <c r="B3110" s="39">
        <f t="shared" si="24"/>
      </c>
      <c r="C3110" s="40">
        <f>IF(Inputs!$C$60,Inputs!$C$11+(B3110-Inputs!$C$69)/Inputs!$C$70,"")</f>
      </c>
      <c r="D3110" s="15"/>
      <c r="E3110" s="15"/>
      <c r="F3110" s="11">
        <f t="shared" si="25"/>
      </c>
      <c r="G3110" s="22" cm="1">
        <f t="array" ref="G3110">IF(AND(Inputs!$C$60,Inputs!$C$61),INDEX(Utility_Rates!$C$29:$F$52,HOUR(C3110)+Inputs!$C$69,MATCH(INDEX(Utility_Rates!$K$6:$K$17,MONTH(C3110))&amp;IF(WEEKDAY(C3110,Inputs!$C$76)&lt;=Inputs!$C$74," weekday"," weekend"),Utility_Rates!$C$28:$F$28,Inputs!$C$68)),"")</f>
      </c>
      <c r="H3110" s="34"/>
      <c r="I3110" s="42">
        <f>IF(AND(ISNUMBER(D3110),ISNUMBER(H3110)),D3110*H3110*Inputs!$C$69,"")</f>
      </c>
      <c r="J3110" s="42">
        <f>IF(AND(ISNUMBER(F3110),ISNUMBER(H3110),F3110&gt;=Inputs!$C$68),F3110*H3110*Inputs!$C$69,"")</f>
      </c>
    </row>
    <row r="3111" spans="2:10" ht="15" customHeight="1" x14ac:dyDescent="0.2">
      <c r="B3111" s="39">
        <f t="shared" si="24"/>
      </c>
      <c r="C3111" s="40">
        <f>IF(Inputs!$C$60,Inputs!$C$11+(B3111-Inputs!$C$69)/Inputs!$C$70,"")</f>
      </c>
      <c r="D3111" s="15"/>
      <c r="E3111" s="15"/>
      <c r="F3111" s="11">
        <f t="shared" si="25"/>
      </c>
      <c r="G3111" s="22" cm="1">
        <f t="array" ref="G3111">IF(AND(Inputs!$C$60,Inputs!$C$61),INDEX(Utility_Rates!$C$29:$F$52,HOUR(C3111)+Inputs!$C$69,MATCH(INDEX(Utility_Rates!$K$6:$K$17,MONTH(C3111))&amp;IF(WEEKDAY(C3111,Inputs!$C$76)&lt;=Inputs!$C$74," weekday"," weekend"),Utility_Rates!$C$28:$F$28,Inputs!$C$68)),"")</f>
      </c>
      <c r="H3111" s="34"/>
      <c r="I3111" s="42">
        <f>IF(AND(ISNUMBER(D3111),ISNUMBER(H3111)),D3111*H3111*Inputs!$C$69,"")</f>
      </c>
      <c r="J3111" s="42">
        <f>IF(AND(ISNUMBER(F3111),ISNUMBER(H3111),F3111&gt;=Inputs!$C$68),F3111*H3111*Inputs!$C$69,"")</f>
      </c>
    </row>
    <row r="3112" spans="2:10" ht="15" customHeight="1" x14ac:dyDescent="0.2">
      <c r="B3112" s="39">
        <f t="shared" si="24"/>
      </c>
      <c r="C3112" s="40">
        <f>IF(Inputs!$C$60,Inputs!$C$11+(B3112-Inputs!$C$69)/Inputs!$C$70,"")</f>
      </c>
      <c r="D3112" s="15"/>
      <c r="E3112" s="15"/>
      <c r="F3112" s="11">
        <f t="shared" si="25"/>
      </c>
      <c r="G3112" s="22" cm="1">
        <f t="array" ref="G3112">IF(AND(Inputs!$C$60,Inputs!$C$61),INDEX(Utility_Rates!$C$29:$F$52,HOUR(C3112)+Inputs!$C$69,MATCH(INDEX(Utility_Rates!$K$6:$K$17,MONTH(C3112))&amp;IF(WEEKDAY(C3112,Inputs!$C$76)&lt;=Inputs!$C$74," weekday"," weekend"),Utility_Rates!$C$28:$F$28,Inputs!$C$68)),"")</f>
      </c>
      <c r="H3112" s="34"/>
      <c r="I3112" s="42">
        <f>IF(AND(ISNUMBER(D3112),ISNUMBER(H3112)),D3112*H3112*Inputs!$C$69,"")</f>
      </c>
      <c r="J3112" s="42">
        <f>IF(AND(ISNUMBER(F3112),ISNUMBER(H3112),F3112&gt;=Inputs!$C$68),F3112*H3112*Inputs!$C$69,"")</f>
      </c>
    </row>
    <row r="3113" spans="2:10" ht="15" customHeight="1" x14ac:dyDescent="0.2">
      <c r="B3113" s="39">
        <f t="shared" si="24"/>
      </c>
      <c r="C3113" s="40">
        <f>IF(Inputs!$C$60,Inputs!$C$11+(B3113-Inputs!$C$69)/Inputs!$C$70,"")</f>
      </c>
      <c r="D3113" s="15"/>
      <c r="E3113" s="15"/>
      <c r="F3113" s="11">
        <f t="shared" si="25"/>
      </c>
      <c r="G3113" s="22" cm="1">
        <f t="array" ref="G3113">IF(AND(Inputs!$C$60,Inputs!$C$61),INDEX(Utility_Rates!$C$29:$F$52,HOUR(C3113)+Inputs!$C$69,MATCH(INDEX(Utility_Rates!$K$6:$K$17,MONTH(C3113))&amp;IF(WEEKDAY(C3113,Inputs!$C$76)&lt;=Inputs!$C$74," weekday"," weekend"),Utility_Rates!$C$28:$F$28,Inputs!$C$68)),"")</f>
      </c>
      <c r="H3113" s="34"/>
      <c r="I3113" s="42">
        <f>IF(AND(ISNUMBER(D3113),ISNUMBER(H3113)),D3113*H3113*Inputs!$C$69,"")</f>
      </c>
      <c r="J3113" s="42">
        <f>IF(AND(ISNUMBER(F3113),ISNUMBER(H3113),F3113&gt;=Inputs!$C$68),F3113*H3113*Inputs!$C$69,"")</f>
      </c>
    </row>
    <row r="3114" spans="2:10" ht="15" customHeight="1" x14ac:dyDescent="0.2">
      <c r="B3114" s="39">
        <f t="shared" si="24"/>
      </c>
      <c r="C3114" s="40">
        <f>IF(Inputs!$C$60,Inputs!$C$11+(B3114-Inputs!$C$69)/Inputs!$C$70,"")</f>
      </c>
      <c r="D3114" s="15"/>
      <c r="E3114" s="15"/>
      <c r="F3114" s="11">
        <f t="shared" si="25"/>
      </c>
      <c r="G3114" s="22" cm="1">
        <f t="array" ref="G3114">IF(AND(Inputs!$C$60,Inputs!$C$61),INDEX(Utility_Rates!$C$29:$F$52,HOUR(C3114)+Inputs!$C$69,MATCH(INDEX(Utility_Rates!$K$6:$K$17,MONTH(C3114))&amp;IF(WEEKDAY(C3114,Inputs!$C$76)&lt;=Inputs!$C$74," weekday"," weekend"),Utility_Rates!$C$28:$F$28,Inputs!$C$68)),"")</f>
      </c>
      <c r="H3114" s="34"/>
      <c r="I3114" s="42">
        <f>IF(AND(ISNUMBER(D3114),ISNUMBER(H3114)),D3114*H3114*Inputs!$C$69,"")</f>
      </c>
      <c r="J3114" s="42">
        <f>IF(AND(ISNUMBER(F3114),ISNUMBER(H3114),F3114&gt;=Inputs!$C$68),F3114*H3114*Inputs!$C$69,"")</f>
      </c>
    </row>
    <row r="3115" spans="2:10" ht="15" customHeight="1" x14ac:dyDescent="0.2">
      <c r="B3115" s="39">
        <f t="shared" si="24"/>
      </c>
      <c r="C3115" s="40">
        <f>IF(Inputs!$C$60,Inputs!$C$11+(B3115-Inputs!$C$69)/Inputs!$C$70,"")</f>
      </c>
      <c r="D3115" s="15"/>
      <c r="E3115" s="15"/>
      <c r="F3115" s="11">
        <f t="shared" si="25"/>
      </c>
      <c r="G3115" s="22" cm="1">
        <f t="array" ref="G3115">IF(AND(Inputs!$C$60,Inputs!$C$61),INDEX(Utility_Rates!$C$29:$F$52,HOUR(C3115)+Inputs!$C$69,MATCH(INDEX(Utility_Rates!$K$6:$K$17,MONTH(C3115))&amp;IF(WEEKDAY(C3115,Inputs!$C$76)&lt;=Inputs!$C$74," weekday"," weekend"),Utility_Rates!$C$28:$F$28,Inputs!$C$68)),"")</f>
      </c>
      <c r="H3115" s="34"/>
      <c r="I3115" s="42">
        <f>IF(AND(ISNUMBER(D3115),ISNUMBER(H3115)),D3115*H3115*Inputs!$C$69,"")</f>
      </c>
      <c r="J3115" s="42">
        <f>IF(AND(ISNUMBER(F3115),ISNUMBER(H3115),F3115&gt;=Inputs!$C$68),F3115*H3115*Inputs!$C$69,"")</f>
      </c>
    </row>
    <row r="3116" spans="2:10" ht="15" customHeight="1" x14ac:dyDescent="0.2">
      <c r="B3116" s="39">
        <f t="shared" si="24"/>
      </c>
      <c r="C3116" s="40">
        <f>IF(Inputs!$C$60,Inputs!$C$11+(B3116-Inputs!$C$69)/Inputs!$C$70,"")</f>
      </c>
      <c r="D3116" s="15"/>
      <c r="E3116" s="15"/>
      <c r="F3116" s="11">
        <f t="shared" si="25"/>
      </c>
      <c r="G3116" s="22" cm="1">
        <f t="array" ref="G3116">IF(AND(Inputs!$C$60,Inputs!$C$61),INDEX(Utility_Rates!$C$29:$F$52,HOUR(C3116)+Inputs!$C$69,MATCH(INDEX(Utility_Rates!$K$6:$K$17,MONTH(C3116))&amp;IF(WEEKDAY(C3116,Inputs!$C$76)&lt;=Inputs!$C$74," weekday"," weekend"),Utility_Rates!$C$28:$F$28,Inputs!$C$68)),"")</f>
      </c>
      <c r="H3116" s="34"/>
      <c r="I3116" s="42">
        <f>IF(AND(ISNUMBER(D3116),ISNUMBER(H3116)),D3116*H3116*Inputs!$C$69,"")</f>
      </c>
      <c r="J3116" s="42">
        <f>IF(AND(ISNUMBER(F3116),ISNUMBER(H3116),F3116&gt;=Inputs!$C$68),F3116*H3116*Inputs!$C$69,"")</f>
      </c>
    </row>
    <row r="3117" spans="2:10" ht="15" customHeight="1" x14ac:dyDescent="0.2">
      <c r="B3117" s="39">
        <f t="shared" si="24"/>
      </c>
      <c r="C3117" s="40">
        <f>IF(Inputs!$C$60,Inputs!$C$11+(B3117-Inputs!$C$69)/Inputs!$C$70,"")</f>
      </c>
      <c r="D3117" s="15"/>
      <c r="E3117" s="15"/>
      <c r="F3117" s="11">
        <f t="shared" si="25"/>
      </c>
      <c r="G3117" s="22" cm="1">
        <f t="array" ref="G3117">IF(AND(Inputs!$C$60,Inputs!$C$61),INDEX(Utility_Rates!$C$29:$F$52,HOUR(C3117)+Inputs!$C$69,MATCH(INDEX(Utility_Rates!$K$6:$K$17,MONTH(C3117))&amp;IF(WEEKDAY(C3117,Inputs!$C$76)&lt;=Inputs!$C$74," weekday"," weekend"),Utility_Rates!$C$28:$F$28,Inputs!$C$68)),"")</f>
      </c>
      <c r="H3117" s="34"/>
      <c r="I3117" s="42">
        <f>IF(AND(ISNUMBER(D3117),ISNUMBER(H3117)),D3117*H3117*Inputs!$C$69,"")</f>
      </c>
      <c r="J3117" s="42">
        <f>IF(AND(ISNUMBER(F3117),ISNUMBER(H3117),F3117&gt;=Inputs!$C$68),F3117*H3117*Inputs!$C$69,"")</f>
      </c>
    </row>
    <row r="3118" spans="2:10" ht="15" customHeight="1" x14ac:dyDescent="0.2">
      <c r="B3118" s="39">
        <f t="shared" si="24"/>
      </c>
      <c r="C3118" s="40">
        <f>IF(Inputs!$C$60,Inputs!$C$11+(B3118-Inputs!$C$69)/Inputs!$C$70,"")</f>
      </c>
      <c r="D3118" s="15"/>
      <c r="E3118" s="15"/>
      <c r="F3118" s="11">
        <f t="shared" si="25"/>
      </c>
      <c r="G3118" s="22" cm="1">
        <f t="array" ref="G3118">IF(AND(Inputs!$C$60,Inputs!$C$61),INDEX(Utility_Rates!$C$29:$F$52,HOUR(C3118)+Inputs!$C$69,MATCH(INDEX(Utility_Rates!$K$6:$K$17,MONTH(C3118))&amp;IF(WEEKDAY(C3118,Inputs!$C$76)&lt;=Inputs!$C$74," weekday"," weekend"),Utility_Rates!$C$28:$F$28,Inputs!$C$68)),"")</f>
      </c>
      <c r="H3118" s="34"/>
      <c r="I3118" s="42">
        <f>IF(AND(ISNUMBER(D3118),ISNUMBER(H3118)),D3118*H3118*Inputs!$C$69,"")</f>
      </c>
      <c r="J3118" s="42">
        <f>IF(AND(ISNUMBER(F3118),ISNUMBER(H3118),F3118&gt;=Inputs!$C$68),F3118*H3118*Inputs!$C$69,"")</f>
      </c>
    </row>
    <row r="3119" spans="2:10" ht="15" customHeight="1" x14ac:dyDescent="0.2">
      <c r="B3119" s="39">
        <f t="shared" si="24"/>
      </c>
      <c r="C3119" s="40">
        <f>IF(Inputs!$C$60,Inputs!$C$11+(B3119-Inputs!$C$69)/Inputs!$C$70,"")</f>
      </c>
      <c r="D3119" s="15"/>
      <c r="E3119" s="15"/>
      <c r="F3119" s="11">
        <f t="shared" si="25"/>
      </c>
      <c r="G3119" s="22" cm="1">
        <f t="array" ref="G3119">IF(AND(Inputs!$C$60,Inputs!$C$61),INDEX(Utility_Rates!$C$29:$F$52,HOUR(C3119)+Inputs!$C$69,MATCH(INDEX(Utility_Rates!$K$6:$K$17,MONTH(C3119))&amp;IF(WEEKDAY(C3119,Inputs!$C$76)&lt;=Inputs!$C$74," weekday"," weekend"),Utility_Rates!$C$28:$F$28,Inputs!$C$68)),"")</f>
      </c>
      <c r="H3119" s="34"/>
      <c r="I3119" s="42">
        <f>IF(AND(ISNUMBER(D3119),ISNUMBER(H3119)),D3119*H3119*Inputs!$C$69,"")</f>
      </c>
      <c r="J3119" s="42">
        <f>IF(AND(ISNUMBER(F3119),ISNUMBER(H3119),F3119&gt;=Inputs!$C$68),F3119*H3119*Inputs!$C$69,"")</f>
      </c>
    </row>
    <row r="3120" spans="2:10" ht="15" customHeight="1" x14ac:dyDescent="0.2">
      <c r="B3120" s="39">
        <f t="shared" si="24"/>
      </c>
      <c r="C3120" s="40">
        <f>IF(Inputs!$C$60,Inputs!$C$11+(B3120-Inputs!$C$69)/Inputs!$C$70,"")</f>
      </c>
      <c r="D3120" s="15"/>
      <c r="E3120" s="15"/>
      <c r="F3120" s="11">
        <f t="shared" si="25"/>
      </c>
      <c r="G3120" s="22" cm="1">
        <f t="array" ref="G3120">IF(AND(Inputs!$C$60,Inputs!$C$61),INDEX(Utility_Rates!$C$29:$F$52,HOUR(C3120)+Inputs!$C$69,MATCH(INDEX(Utility_Rates!$K$6:$K$17,MONTH(C3120))&amp;IF(WEEKDAY(C3120,Inputs!$C$76)&lt;=Inputs!$C$74," weekday"," weekend"),Utility_Rates!$C$28:$F$28,Inputs!$C$68)),"")</f>
      </c>
      <c r="H3120" s="34"/>
      <c r="I3120" s="42">
        <f>IF(AND(ISNUMBER(D3120),ISNUMBER(H3120)),D3120*H3120*Inputs!$C$69,"")</f>
      </c>
      <c r="J3120" s="42">
        <f>IF(AND(ISNUMBER(F3120),ISNUMBER(H3120),F3120&gt;=Inputs!$C$68),F3120*H3120*Inputs!$C$69,"")</f>
      </c>
    </row>
    <row r="3121" spans="2:10" ht="15" customHeight="1" x14ac:dyDescent="0.2">
      <c r="B3121" s="39">
        <f t="shared" si="24"/>
      </c>
      <c r="C3121" s="40">
        <f>IF(Inputs!$C$60,Inputs!$C$11+(B3121-Inputs!$C$69)/Inputs!$C$70,"")</f>
      </c>
      <c r="D3121" s="15"/>
      <c r="E3121" s="15"/>
      <c r="F3121" s="11">
        <f t="shared" si="25"/>
      </c>
      <c r="G3121" s="22" cm="1">
        <f t="array" ref="G3121">IF(AND(Inputs!$C$60,Inputs!$C$61),INDEX(Utility_Rates!$C$29:$F$52,HOUR(C3121)+Inputs!$C$69,MATCH(INDEX(Utility_Rates!$K$6:$K$17,MONTH(C3121))&amp;IF(WEEKDAY(C3121,Inputs!$C$76)&lt;=Inputs!$C$74," weekday"," weekend"),Utility_Rates!$C$28:$F$28,Inputs!$C$68)),"")</f>
      </c>
      <c r="H3121" s="34"/>
      <c r="I3121" s="42">
        <f>IF(AND(ISNUMBER(D3121),ISNUMBER(H3121)),D3121*H3121*Inputs!$C$69,"")</f>
      </c>
      <c r="J3121" s="42">
        <f>IF(AND(ISNUMBER(F3121),ISNUMBER(H3121),F3121&gt;=Inputs!$C$68),F3121*H3121*Inputs!$C$69,"")</f>
      </c>
    </row>
    <row r="3122" spans="2:10" ht="15" customHeight="1" x14ac:dyDescent="0.2">
      <c r="B3122" s="39">
        <f t="shared" si="24"/>
      </c>
      <c r="C3122" s="40">
        <f>IF(Inputs!$C$60,Inputs!$C$11+(B3122-Inputs!$C$69)/Inputs!$C$70,"")</f>
      </c>
      <c r="D3122" s="15"/>
      <c r="E3122" s="15"/>
      <c r="F3122" s="11">
        <f t="shared" si="25"/>
      </c>
      <c r="G3122" s="22" cm="1">
        <f t="array" ref="G3122">IF(AND(Inputs!$C$60,Inputs!$C$61),INDEX(Utility_Rates!$C$29:$F$52,HOUR(C3122)+Inputs!$C$69,MATCH(INDEX(Utility_Rates!$K$6:$K$17,MONTH(C3122))&amp;IF(WEEKDAY(C3122,Inputs!$C$76)&lt;=Inputs!$C$74," weekday"," weekend"),Utility_Rates!$C$28:$F$28,Inputs!$C$68)),"")</f>
      </c>
      <c r="H3122" s="34"/>
      <c r="I3122" s="42">
        <f>IF(AND(ISNUMBER(D3122),ISNUMBER(H3122)),D3122*H3122*Inputs!$C$69,"")</f>
      </c>
      <c r="J3122" s="42">
        <f>IF(AND(ISNUMBER(F3122),ISNUMBER(H3122),F3122&gt;=Inputs!$C$68),F3122*H3122*Inputs!$C$69,"")</f>
      </c>
    </row>
    <row r="3123" spans="2:10" ht="15" customHeight="1" x14ac:dyDescent="0.2">
      <c r="B3123" s="39">
        <f t="shared" si="24"/>
      </c>
      <c r="C3123" s="40">
        <f>IF(Inputs!$C$60,Inputs!$C$11+(B3123-Inputs!$C$69)/Inputs!$C$70,"")</f>
      </c>
      <c r="D3123" s="15"/>
      <c r="E3123" s="15"/>
      <c r="F3123" s="11">
        <f t="shared" si="25"/>
      </c>
      <c r="G3123" s="22" cm="1">
        <f t="array" ref="G3123">IF(AND(Inputs!$C$60,Inputs!$C$61),INDEX(Utility_Rates!$C$29:$F$52,HOUR(C3123)+Inputs!$C$69,MATCH(INDEX(Utility_Rates!$K$6:$K$17,MONTH(C3123))&amp;IF(WEEKDAY(C3123,Inputs!$C$76)&lt;=Inputs!$C$74," weekday"," weekend"),Utility_Rates!$C$28:$F$28,Inputs!$C$68)),"")</f>
      </c>
      <c r="H3123" s="34"/>
      <c r="I3123" s="42">
        <f>IF(AND(ISNUMBER(D3123),ISNUMBER(H3123)),D3123*H3123*Inputs!$C$69,"")</f>
      </c>
      <c r="J3123" s="42">
        <f>IF(AND(ISNUMBER(F3123),ISNUMBER(H3123),F3123&gt;=Inputs!$C$68),F3123*H3123*Inputs!$C$69,"")</f>
      </c>
    </row>
    <row r="3124" spans="2:10" ht="15" customHeight="1" x14ac:dyDescent="0.2">
      <c r="B3124" s="39">
        <f t="shared" si="24"/>
      </c>
      <c r="C3124" s="40">
        <f>IF(Inputs!$C$60,Inputs!$C$11+(B3124-Inputs!$C$69)/Inputs!$C$70,"")</f>
      </c>
      <c r="D3124" s="15"/>
      <c r="E3124" s="15"/>
      <c r="F3124" s="11">
        <f t="shared" si="25"/>
      </c>
      <c r="G3124" s="22" cm="1">
        <f t="array" ref="G3124">IF(AND(Inputs!$C$60,Inputs!$C$61),INDEX(Utility_Rates!$C$29:$F$52,HOUR(C3124)+Inputs!$C$69,MATCH(INDEX(Utility_Rates!$K$6:$K$17,MONTH(C3124))&amp;IF(WEEKDAY(C3124,Inputs!$C$76)&lt;=Inputs!$C$74," weekday"," weekend"),Utility_Rates!$C$28:$F$28,Inputs!$C$68)),"")</f>
      </c>
      <c r="H3124" s="34"/>
      <c r="I3124" s="42">
        <f>IF(AND(ISNUMBER(D3124),ISNUMBER(H3124)),D3124*H3124*Inputs!$C$69,"")</f>
      </c>
      <c r="J3124" s="42">
        <f>IF(AND(ISNUMBER(F3124),ISNUMBER(H3124),F3124&gt;=Inputs!$C$68),F3124*H3124*Inputs!$C$69,"")</f>
      </c>
    </row>
    <row r="3125" spans="2:10" ht="15" customHeight="1" x14ac:dyDescent="0.2">
      <c r="B3125" s="39">
        <f t="shared" si="24"/>
      </c>
      <c r="C3125" s="40">
        <f>IF(Inputs!$C$60,Inputs!$C$11+(B3125-Inputs!$C$69)/Inputs!$C$70,"")</f>
      </c>
      <c r="D3125" s="15"/>
      <c r="E3125" s="15"/>
      <c r="F3125" s="11">
        <f t="shared" si="25"/>
      </c>
      <c r="G3125" s="22" cm="1">
        <f t="array" ref="G3125">IF(AND(Inputs!$C$60,Inputs!$C$61),INDEX(Utility_Rates!$C$29:$F$52,HOUR(C3125)+Inputs!$C$69,MATCH(INDEX(Utility_Rates!$K$6:$K$17,MONTH(C3125))&amp;IF(WEEKDAY(C3125,Inputs!$C$76)&lt;=Inputs!$C$74," weekday"," weekend"),Utility_Rates!$C$28:$F$28,Inputs!$C$68)),"")</f>
      </c>
      <c r="H3125" s="34"/>
      <c r="I3125" s="42">
        <f>IF(AND(ISNUMBER(D3125),ISNUMBER(H3125)),D3125*H3125*Inputs!$C$69,"")</f>
      </c>
      <c r="J3125" s="42">
        <f>IF(AND(ISNUMBER(F3125),ISNUMBER(H3125),F3125&gt;=Inputs!$C$68),F3125*H3125*Inputs!$C$69,"")</f>
      </c>
    </row>
    <row r="3126" spans="2:10" ht="15" customHeight="1" x14ac:dyDescent="0.2">
      <c r="B3126" s="39">
        <f t="shared" si="24"/>
      </c>
      <c r="C3126" s="40">
        <f>IF(Inputs!$C$60,Inputs!$C$11+(B3126-Inputs!$C$69)/Inputs!$C$70,"")</f>
      </c>
      <c r="D3126" s="15"/>
      <c r="E3126" s="15"/>
      <c r="F3126" s="11">
        <f t="shared" si="25"/>
      </c>
      <c r="G3126" s="22" cm="1">
        <f t="array" ref="G3126">IF(AND(Inputs!$C$60,Inputs!$C$61),INDEX(Utility_Rates!$C$29:$F$52,HOUR(C3126)+Inputs!$C$69,MATCH(INDEX(Utility_Rates!$K$6:$K$17,MONTH(C3126))&amp;IF(WEEKDAY(C3126,Inputs!$C$76)&lt;=Inputs!$C$74," weekday"," weekend"),Utility_Rates!$C$28:$F$28,Inputs!$C$68)),"")</f>
      </c>
      <c r="H3126" s="34"/>
      <c r="I3126" s="42">
        <f>IF(AND(ISNUMBER(D3126),ISNUMBER(H3126)),D3126*H3126*Inputs!$C$69,"")</f>
      </c>
      <c r="J3126" s="42">
        <f>IF(AND(ISNUMBER(F3126),ISNUMBER(H3126),F3126&gt;=Inputs!$C$68),F3126*H3126*Inputs!$C$69,"")</f>
      </c>
    </row>
    <row r="3127" spans="2:10" ht="15" customHeight="1" x14ac:dyDescent="0.2">
      <c r="B3127" s="39">
        <f t="shared" si="24"/>
      </c>
      <c r="C3127" s="40">
        <f>IF(Inputs!$C$60,Inputs!$C$11+(B3127-Inputs!$C$69)/Inputs!$C$70,"")</f>
      </c>
      <c r="D3127" s="15"/>
      <c r="E3127" s="15"/>
      <c r="F3127" s="11">
        <f t="shared" si="25"/>
      </c>
      <c r="G3127" s="22" cm="1">
        <f t="array" ref="G3127">IF(AND(Inputs!$C$60,Inputs!$C$61),INDEX(Utility_Rates!$C$29:$F$52,HOUR(C3127)+Inputs!$C$69,MATCH(INDEX(Utility_Rates!$K$6:$K$17,MONTH(C3127))&amp;IF(WEEKDAY(C3127,Inputs!$C$76)&lt;=Inputs!$C$74," weekday"," weekend"),Utility_Rates!$C$28:$F$28,Inputs!$C$68)),"")</f>
      </c>
      <c r="H3127" s="34"/>
      <c r="I3127" s="42">
        <f>IF(AND(ISNUMBER(D3127),ISNUMBER(H3127)),D3127*H3127*Inputs!$C$69,"")</f>
      </c>
      <c r="J3127" s="42">
        <f>IF(AND(ISNUMBER(F3127),ISNUMBER(H3127),F3127&gt;=Inputs!$C$68),F3127*H3127*Inputs!$C$69,"")</f>
      </c>
    </row>
    <row r="3128" spans="2:10" ht="15" customHeight="1" x14ac:dyDescent="0.2">
      <c r="B3128" s="39">
        <f t="shared" si="24"/>
      </c>
      <c r="C3128" s="40">
        <f>IF(Inputs!$C$60,Inputs!$C$11+(B3128-Inputs!$C$69)/Inputs!$C$70,"")</f>
      </c>
      <c r="D3128" s="15"/>
      <c r="E3128" s="15"/>
      <c r="F3128" s="11">
        <f t="shared" si="25"/>
      </c>
      <c r="G3128" s="22" cm="1">
        <f t="array" ref="G3128">IF(AND(Inputs!$C$60,Inputs!$C$61),INDEX(Utility_Rates!$C$29:$F$52,HOUR(C3128)+Inputs!$C$69,MATCH(INDEX(Utility_Rates!$K$6:$K$17,MONTH(C3128))&amp;IF(WEEKDAY(C3128,Inputs!$C$76)&lt;=Inputs!$C$74," weekday"," weekend"),Utility_Rates!$C$28:$F$28,Inputs!$C$68)),"")</f>
      </c>
      <c r="H3128" s="34"/>
      <c r="I3128" s="42">
        <f>IF(AND(ISNUMBER(D3128),ISNUMBER(H3128)),D3128*H3128*Inputs!$C$69,"")</f>
      </c>
      <c r="J3128" s="42">
        <f>IF(AND(ISNUMBER(F3128),ISNUMBER(H3128),F3128&gt;=Inputs!$C$68),F3128*H3128*Inputs!$C$69,"")</f>
      </c>
    </row>
    <row r="3129" spans="2:10" ht="15" customHeight="1" x14ac:dyDescent="0.2">
      <c r="B3129" s="39">
        <f t="shared" si="24"/>
      </c>
      <c r="C3129" s="40">
        <f>IF(Inputs!$C$60,Inputs!$C$11+(B3129-Inputs!$C$69)/Inputs!$C$70,"")</f>
      </c>
      <c r="D3129" s="15"/>
      <c r="E3129" s="15"/>
      <c r="F3129" s="11">
        <f t="shared" si="25"/>
      </c>
      <c r="G3129" s="22" cm="1">
        <f t="array" ref="G3129">IF(AND(Inputs!$C$60,Inputs!$C$61),INDEX(Utility_Rates!$C$29:$F$52,HOUR(C3129)+Inputs!$C$69,MATCH(INDEX(Utility_Rates!$K$6:$K$17,MONTH(C3129))&amp;IF(WEEKDAY(C3129,Inputs!$C$76)&lt;=Inputs!$C$74," weekday"," weekend"),Utility_Rates!$C$28:$F$28,Inputs!$C$68)),"")</f>
      </c>
      <c r="H3129" s="34"/>
      <c r="I3129" s="42">
        <f>IF(AND(ISNUMBER(D3129),ISNUMBER(H3129)),D3129*H3129*Inputs!$C$69,"")</f>
      </c>
      <c r="J3129" s="42">
        <f>IF(AND(ISNUMBER(F3129),ISNUMBER(H3129),F3129&gt;=Inputs!$C$68),F3129*H3129*Inputs!$C$69,"")</f>
      </c>
    </row>
    <row r="3130" spans="2:10" ht="15" customHeight="1" x14ac:dyDescent="0.2">
      <c r="B3130" s="39">
        <f t="shared" si="24"/>
      </c>
      <c r="C3130" s="40">
        <f>IF(Inputs!$C$60,Inputs!$C$11+(B3130-Inputs!$C$69)/Inputs!$C$70,"")</f>
      </c>
      <c r="D3130" s="15"/>
      <c r="E3130" s="15"/>
      <c r="F3130" s="11">
        <f t="shared" si="25"/>
      </c>
      <c r="G3130" s="22" cm="1">
        <f t="array" ref="G3130">IF(AND(Inputs!$C$60,Inputs!$C$61),INDEX(Utility_Rates!$C$29:$F$52,HOUR(C3130)+Inputs!$C$69,MATCH(INDEX(Utility_Rates!$K$6:$K$17,MONTH(C3130))&amp;IF(WEEKDAY(C3130,Inputs!$C$76)&lt;=Inputs!$C$74," weekday"," weekend"),Utility_Rates!$C$28:$F$28,Inputs!$C$68)),"")</f>
      </c>
      <c r="H3130" s="34"/>
      <c r="I3130" s="42">
        <f>IF(AND(ISNUMBER(D3130),ISNUMBER(H3130)),D3130*H3130*Inputs!$C$69,"")</f>
      </c>
      <c r="J3130" s="42">
        <f>IF(AND(ISNUMBER(F3130),ISNUMBER(H3130),F3130&gt;=Inputs!$C$68),F3130*H3130*Inputs!$C$69,"")</f>
      </c>
    </row>
    <row r="3131" spans="2:10" ht="15" customHeight="1" x14ac:dyDescent="0.2">
      <c r="B3131" s="39">
        <f t="shared" si="24"/>
      </c>
      <c r="C3131" s="40">
        <f>IF(Inputs!$C$60,Inputs!$C$11+(B3131-Inputs!$C$69)/Inputs!$C$70,"")</f>
      </c>
      <c r="D3131" s="15"/>
      <c r="E3131" s="15"/>
      <c r="F3131" s="11">
        <f t="shared" si="25"/>
      </c>
      <c r="G3131" s="22" cm="1">
        <f t="array" ref="G3131">IF(AND(Inputs!$C$60,Inputs!$C$61),INDEX(Utility_Rates!$C$29:$F$52,HOUR(C3131)+Inputs!$C$69,MATCH(INDEX(Utility_Rates!$K$6:$K$17,MONTH(C3131))&amp;IF(WEEKDAY(C3131,Inputs!$C$76)&lt;=Inputs!$C$74," weekday"," weekend"),Utility_Rates!$C$28:$F$28,Inputs!$C$68)),"")</f>
      </c>
      <c r="H3131" s="34"/>
      <c r="I3131" s="42">
        <f>IF(AND(ISNUMBER(D3131),ISNUMBER(H3131)),D3131*H3131*Inputs!$C$69,"")</f>
      </c>
      <c r="J3131" s="42">
        <f>IF(AND(ISNUMBER(F3131),ISNUMBER(H3131),F3131&gt;=Inputs!$C$68),F3131*H3131*Inputs!$C$69,"")</f>
      </c>
    </row>
    <row r="3132" spans="2:10" ht="15" customHeight="1" x14ac:dyDescent="0.2">
      <c r="B3132" s="39">
        <f t="shared" si="24"/>
      </c>
      <c r="C3132" s="40">
        <f>IF(Inputs!$C$60,Inputs!$C$11+(B3132-Inputs!$C$69)/Inputs!$C$70,"")</f>
      </c>
      <c r="D3132" s="15"/>
      <c r="E3132" s="15"/>
      <c r="F3132" s="11">
        <f t="shared" si="25"/>
      </c>
      <c r="G3132" s="22" cm="1">
        <f t="array" ref="G3132">IF(AND(Inputs!$C$60,Inputs!$C$61),INDEX(Utility_Rates!$C$29:$F$52,HOUR(C3132)+Inputs!$C$69,MATCH(INDEX(Utility_Rates!$K$6:$K$17,MONTH(C3132))&amp;IF(WEEKDAY(C3132,Inputs!$C$76)&lt;=Inputs!$C$74," weekday"," weekend"),Utility_Rates!$C$28:$F$28,Inputs!$C$68)),"")</f>
      </c>
      <c r="H3132" s="34"/>
      <c r="I3132" s="42">
        <f>IF(AND(ISNUMBER(D3132),ISNUMBER(H3132)),D3132*H3132*Inputs!$C$69,"")</f>
      </c>
      <c r="J3132" s="42">
        <f>IF(AND(ISNUMBER(F3132),ISNUMBER(H3132),F3132&gt;=Inputs!$C$68),F3132*H3132*Inputs!$C$69,"")</f>
      </c>
    </row>
    <row r="3133" spans="2:10" ht="15" customHeight="1" x14ac:dyDescent="0.2">
      <c r="B3133" s="39">
        <f t="shared" si="24"/>
      </c>
      <c r="C3133" s="40">
        <f>IF(Inputs!$C$60,Inputs!$C$11+(B3133-Inputs!$C$69)/Inputs!$C$70,"")</f>
      </c>
      <c r="D3133" s="15"/>
      <c r="E3133" s="15"/>
      <c r="F3133" s="11">
        <f t="shared" si="25"/>
      </c>
      <c r="G3133" s="22" cm="1">
        <f t="array" ref="G3133">IF(AND(Inputs!$C$60,Inputs!$C$61),INDEX(Utility_Rates!$C$29:$F$52,HOUR(C3133)+Inputs!$C$69,MATCH(INDEX(Utility_Rates!$K$6:$K$17,MONTH(C3133))&amp;IF(WEEKDAY(C3133,Inputs!$C$76)&lt;=Inputs!$C$74," weekday"," weekend"),Utility_Rates!$C$28:$F$28,Inputs!$C$68)),"")</f>
      </c>
      <c r="H3133" s="34"/>
      <c r="I3133" s="42">
        <f>IF(AND(ISNUMBER(D3133),ISNUMBER(H3133)),D3133*H3133*Inputs!$C$69,"")</f>
      </c>
      <c r="J3133" s="42">
        <f>IF(AND(ISNUMBER(F3133),ISNUMBER(H3133),F3133&gt;=Inputs!$C$68),F3133*H3133*Inputs!$C$69,"")</f>
      </c>
    </row>
    <row r="3134" spans="2:10" ht="15" customHeight="1" x14ac:dyDescent="0.2">
      <c r="B3134" s="39">
        <f t="shared" si="24"/>
      </c>
      <c r="C3134" s="40">
        <f>IF(Inputs!$C$60,Inputs!$C$11+(B3134-Inputs!$C$69)/Inputs!$C$70,"")</f>
      </c>
      <c r="D3134" s="15"/>
      <c r="E3134" s="15"/>
      <c r="F3134" s="11">
        <f t="shared" si="25"/>
      </c>
      <c r="G3134" s="22" cm="1">
        <f t="array" ref="G3134">IF(AND(Inputs!$C$60,Inputs!$C$61),INDEX(Utility_Rates!$C$29:$F$52,HOUR(C3134)+Inputs!$C$69,MATCH(INDEX(Utility_Rates!$K$6:$K$17,MONTH(C3134))&amp;IF(WEEKDAY(C3134,Inputs!$C$76)&lt;=Inputs!$C$74," weekday"," weekend"),Utility_Rates!$C$28:$F$28,Inputs!$C$68)),"")</f>
      </c>
      <c r="H3134" s="34"/>
      <c r="I3134" s="42">
        <f>IF(AND(ISNUMBER(D3134),ISNUMBER(H3134)),D3134*H3134*Inputs!$C$69,"")</f>
      </c>
      <c r="J3134" s="42">
        <f>IF(AND(ISNUMBER(F3134),ISNUMBER(H3134),F3134&gt;=Inputs!$C$68),F3134*H3134*Inputs!$C$69,"")</f>
      </c>
    </row>
    <row r="3135" spans="2:10" ht="15" customHeight="1" x14ac:dyDescent="0.2">
      <c r="B3135" s="39">
        <f t="shared" si="24"/>
      </c>
      <c r="C3135" s="40">
        <f>IF(Inputs!$C$60,Inputs!$C$11+(B3135-Inputs!$C$69)/Inputs!$C$70,"")</f>
      </c>
      <c r="D3135" s="15"/>
      <c r="E3135" s="15"/>
      <c r="F3135" s="11">
        <f t="shared" si="25"/>
      </c>
      <c r="G3135" s="22" cm="1">
        <f t="array" ref="G3135">IF(AND(Inputs!$C$60,Inputs!$C$61),INDEX(Utility_Rates!$C$29:$F$52,HOUR(C3135)+Inputs!$C$69,MATCH(INDEX(Utility_Rates!$K$6:$K$17,MONTH(C3135))&amp;IF(WEEKDAY(C3135,Inputs!$C$76)&lt;=Inputs!$C$74," weekday"," weekend"),Utility_Rates!$C$28:$F$28,Inputs!$C$68)),"")</f>
      </c>
      <c r="H3135" s="34"/>
      <c r="I3135" s="42">
        <f>IF(AND(ISNUMBER(D3135),ISNUMBER(H3135)),D3135*H3135*Inputs!$C$69,"")</f>
      </c>
      <c r="J3135" s="42">
        <f>IF(AND(ISNUMBER(F3135),ISNUMBER(H3135),F3135&gt;=Inputs!$C$68),F3135*H3135*Inputs!$C$69,"")</f>
      </c>
    </row>
    <row r="3136" spans="2:10" ht="15" customHeight="1" x14ac:dyDescent="0.2">
      <c r="B3136" s="39">
        <f t="shared" si="24"/>
      </c>
      <c r="C3136" s="40">
        <f>IF(Inputs!$C$60,Inputs!$C$11+(B3136-Inputs!$C$69)/Inputs!$C$70,"")</f>
      </c>
      <c r="D3136" s="15"/>
      <c r="E3136" s="15"/>
      <c r="F3136" s="11">
        <f t="shared" si="25"/>
      </c>
      <c r="G3136" s="22" cm="1">
        <f t="array" ref="G3136">IF(AND(Inputs!$C$60,Inputs!$C$61),INDEX(Utility_Rates!$C$29:$F$52,HOUR(C3136)+Inputs!$C$69,MATCH(INDEX(Utility_Rates!$K$6:$K$17,MONTH(C3136))&amp;IF(WEEKDAY(C3136,Inputs!$C$76)&lt;=Inputs!$C$74," weekday"," weekend"),Utility_Rates!$C$28:$F$28,Inputs!$C$68)),"")</f>
      </c>
      <c r="H3136" s="34"/>
      <c r="I3136" s="42">
        <f>IF(AND(ISNUMBER(D3136),ISNUMBER(H3136)),D3136*H3136*Inputs!$C$69,"")</f>
      </c>
      <c r="J3136" s="42">
        <f>IF(AND(ISNUMBER(F3136),ISNUMBER(H3136),F3136&gt;=Inputs!$C$68),F3136*H3136*Inputs!$C$69,"")</f>
      </c>
    </row>
    <row r="3137" spans="2:10" ht="15" customHeight="1" x14ac:dyDescent="0.2">
      <c r="B3137" s="39">
        <f t="shared" si="24"/>
      </c>
      <c r="C3137" s="40">
        <f>IF(Inputs!$C$60,Inputs!$C$11+(B3137-Inputs!$C$69)/Inputs!$C$70,"")</f>
      </c>
      <c r="D3137" s="15"/>
      <c r="E3137" s="15"/>
      <c r="F3137" s="11">
        <f t="shared" si="25"/>
      </c>
      <c r="G3137" s="22" cm="1">
        <f t="array" ref="G3137">IF(AND(Inputs!$C$60,Inputs!$C$61),INDEX(Utility_Rates!$C$29:$F$52,HOUR(C3137)+Inputs!$C$69,MATCH(INDEX(Utility_Rates!$K$6:$K$17,MONTH(C3137))&amp;IF(WEEKDAY(C3137,Inputs!$C$76)&lt;=Inputs!$C$74," weekday"," weekend"),Utility_Rates!$C$28:$F$28,Inputs!$C$68)),"")</f>
      </c>
      <c r="H3137" s="34"/>
      <c r="I3137" s="42">
        <f>IF(AND(ISNUMBER(D3137),ISNUMBER(H3137)),D3137*H3137*Inputs!$C$69,"")</f>
      </c>
      <c r="J3137" s="42">
        <f>IF(AND(ISNUMBER(F3137),ISNUMBER(H3137),F3137&gt;=Inputs!$C$68),F3137*H3137*Inputs!$C$69,"")</f>
      </c>
    </row>
    <row r="3138" spans="2:10" ht="15" customHeight="1" x14ac:dyDescent="0.2">
      <c r="B3138" s="39">
        <f t="shared" si="24"/>
      </c>
      <c r="C3138" s="40">
        <f>IF(Inputs!$C$60,Inputs!$C$11+(B3138-Inputs!$C$69)/Inputs!$C$70,"")</f>
      </c>
      <c r="D3138" s="15"/>
      <c r="E3138" s="15"/>
      <c r="F3138" s="11">
        <f t="shared" si="25"/>
      </c>
      <c r="G3138" s="22" cm="1">
        <f t="array" ref="G3138">IF(AND(Inputs!$C$60,Inputs!$C$61),INDEX(Utility_Rates!$C$29:$F$52,HOUR(C3138)+Inputs!$C$69,MATCH(INDEX(Utility_Rates!$K$6:$K$17,MONTH(C3138))&amp;IF(WEEKDAY(C3138,Inputs!$C$76)&lt;=Inputs!$C$74," weekday"," weekend"),Utility_Rates!$C$28:$F$28,Inputs!$C$68)),"")</f>
      </c>
      <c r="H3138" s="34"/>
      <c r="I3138" s="42">
        <f>IF(AND(ISNUMBER(D3138),ISNUMBER(H3138)),D3138*H3138*Inputs!$C$69,"")</f>
      </c>
      <c r="J3138" s="42">
        <f>IF(AND(ISNUMBER(F3138),ISNUMBER(H3138),F3138&gt;=Inputs!$C$68),F3138*H3138*Inputs!$C$69,"")</f>
      </c>
    </row>
    <row r="3139" spans="2:10" ht="15" customHeight="1" x14ac:dyDescent="0.2">
      <c r="B3139" s="39">
        <f t="shared" si="24"/>
      </c>
      <c r="C3139" s="40">
        <f>IF(Inputs!$C$60,Inputs!$C$11+(B3139-Inputs!$C$69)/Inputs!$C$70,"")</f>
      </c>
      <c r="D3139" s="15"/>
      <c r="E3139" s="15"/>
      <c r="F3139" s="11">
        <f t="shared" si="25"/>
      </c>
      <c r="G3139" s="22" cm="1">
        <f t="array" ref="G3139">IF(AND(Inputs!$C$60,Inputs!$C$61),INDEX(Utility_Rates!$C$29:$F$52,HOUR(C3139)+Inputs!$C$69,MATCH(INDEX(Utility_Rates!$K$6:$K$17,MONTH(C3139))&amp;IF(WEEKDAY(C3139,Inputs!$C$76)&lt;=Inputs!$C$74," weekday"," weekend"),Utility_Rates!$C$28:$F$28,Inputs!$C$68)),"")</f>
      </c>
      <c r="H3139" s="34"/>
      <c r="I3139" s="42">
        <f>IF(AND(ISNUMBER(D3139),ISNUMBER(H3139)),D3139*H3139*Inputs!$C$69,"")</f>
      </c>
      <c r="J3139" s="42">
        <f>IF(AND(ISNUMBER(F3139),ISNUMBER(H3139),F3139&gt;=Inputs!$C$68),F3139*H3139*Inputs!$C$69,"")</f>
      </c>
    </row>
    <row r="3140" spans="2:10" ht="15" customHeight="1" x14ac:dyDescent="0.2">
      <c r="B3140" s="39">
        <f t="shared" si="24"/>
      </c>
      <c r="C3140" s="40">
        <f>IF(Inputs!$C$60,Inputs!$C$11+(B3140-Inputs!$C$69)/Inputs!$C$70,"")</f>
      </c>
      <c r="D3140" s="15"/>
      <c r="E3140" s="15"/>
      <c r="F3140" s="11">
        <f t="shared" si="25"/>
      </c>
      <c r="G3140" s="22" cm="1">
        <f t="array" ref="G3140">IF(AND(Inputs!$C$60,Inputs!$C$61),INDEX(Utility_Rates!$C$29:$F$52,HOUR(C3140)+Inputs!$C$69,MATCH(INDEX(Utility_Rates!$K$6:$K$17,MONTH(C3140))&amp;IF(WEEKDAY(C3140,Inputs!$C$76)&lt;=Inputs!$C$74," weekday"," weekend"),Utility_Rates!$C$28:$F$28,Inputs!$C$68)),"")</f>
      </c>
      <c r="H3140" s="34"/>
      <c r="I3140" s="42">
        <f>IF(AND(ISNUMBER(D3140),ISNUMBER(H3140)),D3140*H3140*Inputs!$C$69,"")</f>
      </c>
      <c r="J3140" s="42">
        <f>IF(AND(ISNUMBER(F3140),ISNUMBER(H3140),F3140&gt;=Inputs!$C$68),F3140*H3140*Inputs!$C$69,"")</f>
      </c>
    </row>
    <row r="3141" spans="2:10" ht="15" customHeight="1" x14ac:dyDescent="0.2">
      <c r="B3141" s="39">
        <f t="shared" si="24"/>
      </c>
      <c r="C3141" s="40">
        <f>IF(Inputs!$C$60,Inputs!$C$11+(B3141-Inputs!$C$69)/Inputs!$C$70,"")</f>
      </c>
      <c r="D3141" s="15"/>
      <c r="E3141" s="15"/>
      <c r="F3141" s="11">
        <f t="shared" si="25"/>
      </c>
      <c r="G3141" s="22" cm="1">
        <f t="array" ref="G3141">IF(AND(Inputs!$C$60,Inputs!$C$61),INDEX(Utility_Rates!$C$29:$F$52,HOUR(C3141)+Inputs!$C$69,MATCH(INDEX(Utility_Rates!$K$6:$K$17,MONTH(C3141))&amp;IF(WEEKDAY(C3141,Inputs!$C$76)&lt;=Inputs!$C$74," weekday"," weekend"),Utility_Rates!$C$28:$F$28,Inputs!$C$68)),"")</f>
      </c>
      <c r="H3141" s="34"/>
      <c r="I3141" s="42">
        <f>IF(AND(ISNUMBER(D3141),ISNUMBER(H3141)),D3141*H3141*Inputs!$C$69,"")</f>
      </c>
      <c r="J3141" s="42">
        <f>IF(AND(ISNUMBER(F3141),ISNUMBER(H3141),F3141&gt;=Inputs!$C$68),F3141*H3141*Inputs!$C$69,"")</f>
      </c>
    </row>
    <row r="3142" spans="2:10" ht="15" customHeight="1" x14ac:dyDescent="0.2">
      <c r="B3142" s="39">
        <f t="shared" si="24"/>
      </c>
      <c r="C3142" s="40">
        <f>IF(Inputs!$C$60,Inputs!$C$11+(B3142-Inputs!$C$69)/Inputs!$C$70,"")</f>
      </c>
      <c r="D3142" s="15"/>
      <c r="E3142" s="15"/>
      <c r="F3142" s="11">
        <f t="shared" si="25"/>
      </c>
      <c r="G3142" s="22" cm="1">
        <f t="array" ref="G3142">IF(AND(Inputs!$C$60,Inputs!$C$61),INDEX(Utility_Rates!$C$29:$F$52,HOUR(C3142)+Inputs!$C$69,MATCH(INDEX(Utility_Rates!$K$6:$K$17,MONTH(C3142))&amp;IF(WEEKDAY(C3142,Inputs!$C$76)&lt;=Inputs!$C$74," weekday"," weekend"),Utility_Rates!$C$28:$F$28,Inputs!$C$68)),"")</f>
      </c>
      <c r="H3142" s="34"/>
      <c r="I3142" s="42">
        <f>IF(AND(ISNUMBER(D3142),ISNUMBER(H3142)),D3142*H3142*Inputs!$C$69,"")</f>
      </c>
      <c r="J3142" s="42">
        <f>IF(AND(ISNUMBER(F3142),ISNUMBER(H3142),F3142&gt;=Inputs!$C$68),F3142*H3142*Inputs!$C$69,"")</f>
      </c>
    </row>
    <row r="3143" spans="2:10" ht="15" customHeight="1" x14ac:dyDescent="0.2">
      <c r="B3143" s="39">
        <f t="shared" si="24"/>
      </c>
      <c r="C3143" s="40">
        <f>IF(Inputs!$C$60,Inputs!$C$11+(B3143-Inputs!$C$69)/Inputs!$C$70,"")</f>
      </c>
      <c r="D3143" s="15"/>
      <c r="E3143" s="15"/>
      <c r="F3143" s="11">
        <f t="shared" si="25"/>
      </c>
      <c r="G3143" s="22" cm="1">
        <f t="array" ref="G3143">IF(AND(Inputs!$C$60,Inputs!$C$61),INDEX(Utility_Rates!$C$29:$F$52,HOUR(C3143)+Inputs!$C$69,MATCH(INDEX(Utility_Rates!$K$6:$K$17,MONTH(C3143))&amp;IF(WEEKDAY(C3143,Inputs!$C$76)&lt;=Inputs!$C$74," weekday"," weekend"),Utility_Rates!$C$28:$F$28,Inputs!$C$68)),"")</f>
      </c>
      <c r="H3143" s="34"/>
      <c r="I3143" s="42">
        <f>IF(AND(ISNUMBER(D3143),ISNUMBER(H3143)),D3143*H3143*Inputs!$C$69,"")</f>
      </c>
      <c r="J3143" s="42">
        <f>IF(AND(ISNUMBER(F3143),ISNUMBER(H3143),F3143&gt;=Inputs!$C$68),F3143*H3143*Inputs!$C$69,"")</f>
      </c>
    </row>
    <row r="3144" spans="2:10" ht="15" customHeight="1" x14ac:dyDescent="0.2">
      <c r="B3144" s="39">
        <f t="shared" si="24"/>
      </c>
      <c r="C3144" s="40">
        <f>IF(Inputs!$C$60,Inputs!$C$11+(B3144-Inputs!$C$69)/Inputs!$C$70,"")</f>
      </c>
      <c r="D3144" s="15"/>
      <c r="E3144" s="15"/>
      <c r="F3144" s="11">
        <f t="shared" si="25"/>
      </c>
      <c r="G3144" s="22" cm="1">
        <f t="array" ref="G3144">IF(AND(Inputs!$C$60,Inputs!$C$61),INDEX(Utility_Rates!$C$29:$F$52,HOUR(C3144)+Inputs!$C$69,MATCH(INDEX(Utility_Rates!$K$6:$K$17,MONTH(C3144))&amp;IF(WEEKDAY(C3144,Inputs!$C$76)&lt;=Inputs!$C$74," weekday"," weekend"),Utility_Rates!$C$28:$F$28,Inputs!$C$68)),"")</f>
      </c>
      <c r="H3144" s="34"/>
      <c r="I3144" s="42">
        <f>IF(AND(ISNUMBER(D3144),ISNUMBER(H3144)),D3144*H3144*Inputs!$C$69,"")</f>
      </c>
      <c r="J3144" s="42">
        <f>IF(AND(ISNUMBER(F3144),ISNUMBER(H3144),F3144&gt;=Inputs!$C$68),F3144*H3144*Inputs!$C$69,"")</f>
      </c>
    </row>
    <row r="3145" spans="2:10" ht="15" customHeight="1" x14ac:dyDescent="0.2">
      <c r="B3145" s="39">
        <f t="shared" si="24"/>
      </c>
      <c r="C3145" s="40">
        <f>IF(Inputs!$C$60,Inputs!$C$11+(B3145-Inputs!$C$69)/Inputs!$C$70,"")</f>
      </c>
      <c r="D3145" s="15"/>
      <c r="E3145" s="15"/>
      <c r="F3145" s="11">
        <f t="shared" si="25"/>
      </c>
      <c r="G3145" s="22" cm="1">
        <f t="array" ref="G3145">IF(AND(Inputs!$C$60,Inputs!$C$61),INDEX(Utility_Rates!$C$29:$F$52,HOUR(C3145)+Inputs!$C$69,MATCH(INDEX(Utility_Rates!$K$6:$K$17,MONTH(C3145))&amp;IF(WEEKDAY(C3145,Inputs!$C$76)&lt;=Inputs!$C$74," weekday"," weekend"),Utility_Rates!$C$28:$F$28,Inputs!$C$68)),"")</f>
      </c>
      <c r="H3145" s="34"/>
      <c r="I3145" s="42">
        <f>IF(AND(ISNUMBER(D3145),ISNUMBER(H3145)),D3145*H3145*Inputs!$C$69,"")</f>
      </c>
      <c r="J3145" s="42">
        <f>IF(AND(ISNUMBER(F3145),ISNUMBER(H3145),F3145&gt;=Inputs!$C$68),F3145*H3145*Inputs!$C$69,"")</f>
      </c>
    </row>
    <row r="3146" spans="2:10" ht="15" customHeight="1" x14ac:dyDescent="0.2">
      <c r="B3146" s="39">
        <f t="shared" si="24"/>
      </c>
      <c r="C3146" s="40">
        <f>IF(Inputs!$C$60,Inputs!$C$11+(B3146-Inputs!$C$69)/Inputs!$C$70,"")</f>
      </c>
      <c r="D3146" s="15"/>
      <c r="E3146" s="15"/>
      <c r="F3146" s="11">
        <f t="shared" si="25"/>
      </c>
      <c r="G3146" s="22" cm="1">
        <f t="array" ref="G3146">IF(AND(Inputs!$C$60,Inputs!$C$61),INDEX(Utility_Rates!$C$29:$F$52,HOUR(C3146)+Inputs!$C$69,MATCH(INDEX(Utility_Rates!$K$6:$K$17,MONTH(C3146))&amp;IF(WEEKDAY(C3146,Inputs!$C$76)&lt;=Inputs!$C$74," weekday"," weekend"),Utility_Rates!$C$28:$F$28,Inputs!$C$68)),"")</f>
      </c>
      <c r="H3146" s="34"/>
      <c r="I3146" s="42">
        <f>IF(AND(ISNUMBER(D3146),ISNUMBER(H3146)),D3146*H3146*Inputs!$C$69,"")</f>
      </c>
      <c r="J3146" s="42">
        <f>IF(AND(ISNUMBER(F3146),ISNUMBER(H3146),F3146&gt;=Inputs!$C$68),F3146*H3146*Inputs!$C$69,"")</f>
      </c>
    </row>
    <row r="3147" spans="2:10" ht="15" customHeight="1" x14ac:dyDescent="0.2">
      <c r="B3147" s="39">
        <f t="shared" si="24"/>
      </c>
      <c r="C3147" s="40">
        <f>IF(Inputs!$C$60,Inputs!$C$11+(B3147-Inputs!$C$69)/Inputs!$C$70,"")</f>
      </c>
      <c r="D3147" s="15"/>
      <c r="E3147" s="15"/>
      <c r="F3147" s="11">
        <f t="shared" si="25"/>
      </c>
      <c r="G3147" s="22" cm="1">
        <f t="array" ref="G3147">IF(AND(Inputs!$C$60,Inputs!$C$61),INDEX(Utility_Rates!$C$29:$F$52,HOUR(C3147)+Inputs!$C$69,MATCH(INDEX(Utility_Rates!$K$6:$K$17,MONTH(C3147))&amp;IF(WEEKDAY(C3147,Inputs!$C$76)&lt;=Inputs!$C$74," weekday"," weekend"),Utility_Rates!$C$28:$F$28,Inputs!$C$68)),"")</f>
      </c>
      <c r="H3147" s="34"/>
      <c r="I3147" s="42">
        <f>IF(AND(ISNUMBER(D3147),ISNUMBER(H3147)),D3147*H3147*Inputs!$C$69,"")</f>
      </c>
      <c r="J3147" s="42">
        <f>IF(AND(ISNUMBER(F3147),ISNUMBER(H3147),F3147&gt;=Inputs!$C$68),F3147*H3147*Inputs!$C$69,"")</f>
      </c>
    </row>
    <row r="3148" spans="2:10" ht="15" customHeight="1" x14ac:dyDescent="0.2">
      <c r="B3148" s="39">
        <f t="shared" si="24"/>
      </c>
      <c r="C3148" s="40">
        <f>IF(Inputs!$C$60,Inputs!$C$11+(B3148-Inputs!$C$69)/Inputs!$C$70,"")</f>
      </c>
      <c r="D3148" s="15"/>
      <c r="E3148" s="15"/>
      <c r="F3148" s="11">
        <f t="shared" si="25"/>
      </c>
      <c r="G3148" s="22" cm="1">
        <f t="array" ref="G3148">IF(AND(Inputs!$C$60,Inputs!$C$61),INDEX(Utility_Rates!$C$29:$F$52,HOUR(C3148)+Inputs!$C$69,MATCH(INDEX(Utility_Rates!$K$6:$K$17,MONTH(C3148))&amp;IF(WEEKDAY(C3148,Inputs!$C$76)&lt;=Inputs!$C$74," weekday"," weekend"),Utility_Rates!$C$28:$F$28,Inputs!$C$68)),"")</f>
      </c>
      <c r="H3148" s="34"/>
      <c r="I3148" s="42">
        <f>IF(AND(ISNUMBER(D3148),ISNUMBER(H3148)),D3148*H3148*Inputs!$C$69,"")</f>
      </c>
      <c r="J3148" s="42">
        <f>IF(AND(ISNUMBER(F3148),ISNUMBER(H3148),F3148&gt;=Inputs!$C$68),F3148*H3148*Inputs!$C$69,"")</f>
      </c>
    </row>
    <row r="3149" spans="2:10" ht="15" customHeight="1" x14ac:dyDescent="0.2">
      <c r="B3149" s="39">
        <f t="shared" si="24"/>
      </c>
      <c r="C3149" s="40">
        <f>IF(Inputs!$C$60,Inputs!$C$11+(B3149-Inputs!$C$69)/Inputs!$C$70,"")</f>
      </c>
      <c r="D3149" s="15"/>
      <c r="E3149" s="15"/>
      <c r="F3149" s="11">
        <f t="shared" si="25"/>
      </c>
      <c r="G3149" s="22" cm="1">
        <f t="array" ref="G3149">IF(AND(Inputs!$C$60,Inputs!$C$61),INDEX(Utility_Rates!$C$29:$F$52,HOUR(C3149)+Inputs!$C$69,MATCH(INDEX(Utility_Rates!$K$6:$K$17,MONTH(C3149))&amp;IF(WEEKDAY(C3149,Inputs!$C$76)&lt;=Inputs!$C$74," weekday"," weekend"),Utility_Rates!$C$28:$F$28,Inputs!$C$68)),"")</f>
      </c>
      <c r="H3149" s="34"/>
      <c r="I3149" s="42">
        <f>IF(AND(ISNUMBER(D3149),ISNUMBER(H3149)),D3149*H3149*Inputs!$C$69,"")</f>
      </c>
      <c r="J3149" s="42">
        <f>IF(AND(ISNUMBER(F3149),ISNUMBER(H3149),F3149&gt;=Inputs!$C$68),F3149*H3149*Inputs!$C$69,"")</f>
      </c>
    </row>
    <row r="3150" spans="2:10" ht="15" customHeight="1" x14ac:dyDescent="0.2">
      <c r="B3150" s="39">
        <f t="shared" si="24"/>
      </c>
      <c r="C3150" s="40">
        <f>IF(Inputs!$C$60,Inputs!$C$11+(B3150-Inputs!$C$69)/Inputs!$C$70,"")</f>
      </c>
      <c r="D3150" s="15"/>
      <c r="E3150" s="15"/>
      <c r="F3150" s="11">
        <f t="shared" si="25"/>
      </c>
      <c r="G3150" s="22" cm="1">
        <f t="array" ref="G3150">IF(AND(Inputs!$C$60,Inputs!$C$61),INDEX(Utility_Rates!$C$29:$F$52,HOUR(C3150)+Inputs!$C$69,MATCH(INDEX(Utility_Rates!$K$6:$K$17,MONTH(C3150))&amp;IF(WEEKDAY(C3150,Inputs!$C$76)&lt;=Inputs!$C$74," weekday"," weekend"),Utility_Rates!$C$28:$F$28,Inputs!$C$68)),"")</f>
      </c>
      <c r="H3150" s="34"/>
      <c r="I3150" s="42">
        <f>IF(AND(ISNUMBER(D3150),ISNUMBER(H3150)),D3150*H3150*Inputs!$C$69,"")</f>
      </c>
      <c r="J3150" s="42">
        <f>IF(AND(ISNUMBER(F3150),ISNUMBER(H3150),F3150&gt;=Inputs!$C$68),F3150*H3150*Inputs!$C$69,"")</f>
      </c>
    </row>
    <row r="3151" spans="2:10" ht="15" customHeight="1" x14ac:dyDescent="0.2">
      <c r="B3151" s="39">
        <f t="shared" si="24"/>
      </c>
      <c r="C3151" s="40">
        <f>IF(Inputs!$C$60,Inputs!$C$11+(B3151-Inputs!$C$69)/Inputs!$C$70,"")</f>
      </c>
      <c r="D3151" s="15"/>
      <c r="E3151" s="15"/>
      <c r="F3151" s="11">
        <f t="shared" si="25"/>
      </c>
      <c r="G3151" s="22" cm="1">
        <f t="array" ref="G3151">IF(AND(Inputs!$C$60,Inputs!$C$61),INDEX(Utility_Rates!$C$29:$F$52,HOUR(C3151)+Inputs!$C$69,MATCH(INDEX(Utility_Rates!$K$6:$K$17,MONTH(C3151))&amp;IF(WEEKDAY(C3151,Inputs!$C$76)&lt;=Inputs!$C$74," weekday"," weekend"),Utility_Rates!$C$28:$F$28,Inputs!$C$68)),"")</f>
      </c>
      <c r="H3151" s="34"/>
      <c r="I3151" s="42">
        <f>IF(AND(ISNUMBER(D3151),ISNUMBER(H3151)),D3151*H3151*Inputs!$C$69,"")</f>
      </c>
      <c r="J3151" s="42">
        <f>IF(AND(ISNUMBER(F3151),ISNUMBER(H3151),F3151&gt;=Inputs!$C$68),F3151*H3151*Inputs!$C$69,"")</f>
      </c>
    </row>
    <row r="3152" spans="2:10" ht="15" customHeight="1" x14ac:dyDescent="0.2">
      <c r="B3152" s="39">
        <f t="shared" si="24"/>
      </c>
      <c r="C3152" s="40">
        <f>IF(Inputs!$C$60,Inputs!$C$11+(B3152-Inputs!$C$69)/Inputs!$C$70,"")</f>
      </c>
      <c r="D3152" s="15"/>
      <c r="E3152" s="15"/>
      <c r="F3152" s="11">
        <f t="shared" si="25"/>
      </c>
      <c r="G3152" s="22" cm="1">
        <f t="array" ref="G3152">IF(AND(Inputs!$C$60,Inputs!$C$61),INDEX(Utility_Rates!$C$29:$F$52,HOUR(C3152)+Inputs!$C$69,MATCH(INDEX(Utility_Rates!$K$6:$K$17,MONTH(C3152))&amp;IF(WEEKDAY(C3152,Inputs!$C$76)&lt;=Inputs!$C$74," weekday"," weekend"),Utility_Rates!$C$28:$F$28,Inputs!$C$68)),"")</f>
      </c>
      <c r="H3152" s="34"/>
      <c r="I3152" s="42">
        <f>IF(AND(ISNUMBER(D3152),ISNUMBER(H3152)),D3152*H3152*Inputs!$C$69,"")</f>
      </c>
      <c r="J3152" s="42">
        <f>IF(AND(ISNUMBER(F3152),ISNUMBER(H3152),F3152&gt;=Inputs!$C$68),F3152*H3152*Inputs!$C$69,"")</f>
      </c>
    </row>
    <row r="3153" spans="2:10" ht="15" customHeight="1" x14ac:dyDescent="0.2">
      <c r="B3153" s="39">
        <f t="shared" si="24"/>
      </c>
      <c r="C3153" s="40">
        <f>IF(Inputs!$C$60,Inputs!$C$11+(B3153-Inputs!$C$69)/Inputs!$C$70,"")</f>
      </c>
      <c r="D3153" s="15"/>
      <c r="E3153" s="15"/>
      <c r="F3153" s="11">
        <f t="shared" si="25"/>
      </c>
      <c r="G3153" s="22" cm="1">
        <f t="array" ref="G3153">IF(AND(Inputs!$C$60,Inputs!$C$61),INDEX(Utility_Rates!$C$29:$F$52,HOUR(C3153)+Inputs!$C$69,MATCH(INDEX(Utility_Rates!$K$6:$K$17,MONTH(C3153))&amp;IF(WEEKDAY(C3153,Inputs!$C$76)&lt;=Inputs!$C$74," weekday"," weekend"),Utility_Rates!$C$28:$F$28,Inputs!$C$68)),"")</f>
      </c>
      <c r="H3153" s="34"/>
      <c r="I3153" s="42">
        <f>IF(AND(ISNUMBER(D3153),ISNUMBER(H3153)),D3153*H3153*Inputs!$C$69,"")</f>
      </c>
      <c r="J3153" s="42">
        <f>IF(AND(ISNUMBER(F3153),ISNUMBER(H3153),F3153&gt;=Inputs!$C$68),F3153*H3153*Inputs!$C$69,"")</f>
      </c>
    </row>
    <row r="3154" spans="2:10" ht="15" customHeight="1" x14ac:dyDescent="0.2">
      <c r="B3154" s="39">
        <f t="shared" si="24"/>
      </c>
      <c r="C3154" s="40">
        <f>IF(Inputs!$C$60,Inputs!$C$11+(B3154-Inputs!$C$69)/Inputs!$C$70,"")</f>
      </c>
      <c r="D3154" s="15"/>
      <c r="E3154" s="15"/>
      <c r="F3154" s="11">
        <f t="shared" si="25"/>
      </c>
      <c r="G3154" s="22" cm="1">
        <f t="array" ref="G3154">IF(AND(Inputs!$C$60,Inputs!$C$61),INDEX(Utility_Rates!$C$29:$F$52,HOUR(C3154)+Inputs!$C$69,MATCH(INDEX(Utility_Rates!$K$6:$K$17,MONTH(C3154))&amp;IF(WEEKDAY(C3154,Inputs!$C$76)&lt;=Inputs!$C$74," weekday"," weekend"),Utility_Rates!$C$28:$F$28,Inputs!$C$68)),"")</f>
      </c>
      <c r="H3154" s="34"/>
      <c r="I3154" s="42">
        <f>IF(AND(ISNUMBER(D3154),ISNUMBER(H3154)),D3154*H3154*Inputs!$C$69,"")</f>
      </c>
      <c r="J3154" s="42">
        <f>IF(AND(ISNUMBER(F3154),ISNUMBER(H3154),F3154&gt;=Inputs!$C$68),F3154*H3154*Inputs!$C$69,"")</f>
      </c>
    </row>
    <row r="3155" spans="2:10" ht="15" customHeight="1" x14ac:dyDescent="0.2">
      <c r="B3155" s="39">
        <f t="shared" si="24"/>
      </c>
      <c r="C3155" s="40">
        <f>IF(Inputs!$C$60,Inputs!$C$11+(B3155-Inputs!$C$69)/Inputs!$C$70,"")</f>
      </c>
      <c r="D3155" s="15"/>
      <c r="E3155" s="15"/>
      <c r="F3155" s="11">
        <f t="shared" si="25"/>
      </c>
      <c r="G3155" s="22" cm="1">
        <f t="array" ref="G3155">IF(AND(Inputs!$C$60,Inputs!$C$61),INDEX(Utility_Rates!$C$29:$F$52,HOUR(C3155)+Inputs!$C$69,MATCH(INDEX(Utility_Rates!$K$6:$K$17,MONTH(C3155))&amp;IF(WEEKDAY(C3155,Inputs!$C$76)&lt;=Inputs!$C$74," weekday"," weekend"),Utility_Rates!$C$28:$F$28,Inputs!$C$68)),"")</f>
      </c>
      <c r="H3155" s="34"/>
      <c r="I3155" s="42">
        <f>IF(AND(ISNUMBER(D3155),ISNUMBER(H3155)),D3155*H3155*Inputs!$C$69,"")</f>
      </c>
      <c r="J3155" s="42">
        <f>IF(AND(ISNUMBER(F3155),ISNUMBER(H3155),F3155&gt;=Inputs!$C$68),F3155*H3155*Inputs!$C$69,"")</f>
      </c>
    </row>
    <row r="3156" spans="2:10" ht="15" customHeight="1" x14ac:dyDescent="0.2">
      <c r="B3156" s="39">
        <f t="shared" si="24"/>
      </c>
      <c r="C3156" s="40">
        <f>IF(Inputs!$C$60,Inputs!$C$11+(B3156-Inputs!$C$69)/Inputs!$C$70,"")</f>
      </c>
      <c r="D3156" s="15"/>
      <c r="E3156" s="15"/>
      <c r="F3156" s="11">
        <f t="shared" si="25"/>
      </c>
      <c r="G3156" s="22" cm="1">
        <f t="array" ref="G3156">IF(AND(Inputs!$C$60,Inputs!$C$61),INDEX(Utility_Rates!$C$29:$F$52,HOUR(C3156)+Inputs!$C$69,MATCH(INDEX(Utility_Rates!$K$6:$K$17,MONTH(C3156))&amp;IF(WEEKDAY(C3156,Inputs!$C$76)&lt;=Inputs!$C$74," weekday"," weekend"),Utility_Rates!$C$28:$F$28,Inputs!$C$68)),"")</f>
      </c>
      <c r="H3156" s="34"/>
      <c r="I3156" s="42">
        <f>IF(AND(ISNUMBER(D3156),ISNUMBER(H3156)),D3156*H3156*Inputs!$C$69,"")</f>
      </c>
      <c r="J3156" s="42">
        <f>IF(AND(ISNUMBER(F3156),ISNUMBER(H3156),F3156&gt;=Inputs!$C$68),F3156*H3156*Inputs!$C$69,"")</f>
      </c>
    </row>
    <row r="3157" spans="2:10" ht="15" customHeight="1" x14ac:dyDescent="0.2">
      <c r="B3157" s="39">
        <f t="shared" si="24"/>
      </c>
      <c r="C3157" s="40">
        <f>IF(Inputs!$C$60,Inputs!$C$11+(B3157-Inputs!$C$69)/Inputs!$C$70,"")</f>
      </c>
      <c r="D3157" s="15"/>
      <c r="E3157" s="15"/>
      <c r="F3157" s="11">
        <f t="shared" si="25"/>
      </c>
      <c r="G3157" s="22" cm="1">
        <f t="array" ref="G3157">IF(AND(Inputs!$C$60,Inputs!$C$61),INDEX(Utility_Rates!$C$29:$F$52,HOUR(C3157)+Inputs!$C$69,MATCH(INDEX(Utility_Rates!$K$6:$K$17,MONTH(C3157))&amp;IF(WEEKDAY(C3157,Inputs!$C$76)&lt;=Inputs!$C$74," weekday"," weekend"),Utility_Rates!$C$28:$F$28,Inputs!$C$68)),"")</f>
      </c>
      <c r="H3157" s="34"/>
      <c r="I3157" s="42">
        <f>IF(AND(ISNUMBER(D3157),ISNUMBER(H3157)),D3157*H3157*Inputs!$C$69,"")</f>
      </c>
      <c r="J3157" s="42">
        <f>IF(AND(ISNUMBER(F3157),ISNUMBER(H3157),F3157&gt;=Inputs!$C$68),F3157*H3157*Inputs!$C$69,"")</f>
      </c>
    </row>
    <row r="3158" spans="2:10" ht="15" customHeight="1" x14ac:dyDescent="0.2">
      <c r="B3158" s="39">
        <f t="shared" si="24"/>
      </c>
      <c r="C3158" s="40">
        <f>IF(Inputs!$C$60,Inputs!$C$11+(B3158-Inputs!$C$69)/Inputs!$C$70,"")</f>
      </c>
      <c r="D3158" s="15"/>
      <c r="E3158" s="15"/>
      <c r="F3158" s="11">
        <f t="shared" si="25"/>
      </c>
      <c r="G3158" s="22" cm="1">
        <f t="array" ref="G3158">IF(AND(Inputs!$C$60,Inputs!$C$61),INDEX(Utility_Rates!$C$29:$F$52,HOUR(C3158)+Inputs!$C$69,MATCH(INDEX(Utility_Rates!$K$6:$K$17,MONTH(C3158))&amp;IF(WEEKDAY(C3158,Inputs!$C$76)&lt;=Inputs!$C$74," weekday"," weekend"),Utility_Rates!$C$28:$F$28,Inputs!$C$68)),"")</f>
      </c>
      <c r="H3158" s="34"/>
      <c r="I3158" s="42">
        <f>IF(AND(ISNUMBER(D3158),ISNUMBER(H3158)),D3158*H3158*Inputs!$C$69,"")</f>
      </c>
      <c r="J3158" s="42">
        <f>IF(AND(ISNUMBER(F3158),ISNUMBER(H3158),F3158&gt;=Inputs!$C$68),F3158*H3158*Inputs!$C$69,"")</f>
      </c>
    </row>
    <row r="3159" spans="2:10" ht="15" customHeight="1" x14ac:dyDescent="0.2">
      <c r="B3159" s="39">
        <f t="shared" si="24"/>
      </c>
      <c r="C3159" s="40">
        <f>IF(Inputs!$C$60,Inputs!$C$11+(B3159-Inputs!$C$69)/Inputs!$C$70,"")</f>
      </c>
      <c r="D3159" s="15"/>
      <c r="E3159" s="15"/>
      <c r="F3159" s="11">
        <f t="shared" si="25"/>
      </c>
      <c r="G3159" s="22" cm="1">
        <f t="array" ref="G3159">IF(AND(Inputs!$C$60,Inputs!$C$61),INDEX(Utility_Rates!$C$29:$F$52,HOUR(C3159)+Inputs!$C$69,MATCH(INDEX(Utility_Rates!$K$6:$K$17,MONTH(C3159))&amp;IF(WEEKDAY(C3159,Inputs!$C$76)&lt;=Inputs!$C$74," weekday"," weekend"),Utility_Rates!$C$28:$F$28,Inputs!$C$68)),"")</f>
      </c>
      <c r="H3159" s="34"/>
      <c r="I3159" s="42">
        <f>IF(AND(ISNUMBER(D3159),ISNUMBER(H3159)),D3159*H3159*Inputs!$C$69,"")</f>
      </c>
      <c r="J3159" s="42">
        <f>IF(AND(ISNUMBER(F3159),ISNUMBER(H3159),F3159&gt;=Inputs!$C$68),F3159*H3159*Inputs!$C$69,"")</f>
      </c>
    </row>
    <row r="3160" spans="2:10" ht="15" customHeight="1" x14ac:dyDescent="0.2">
      <c r="B3160" s="39">
        <f t="shared" si="24"/>
      </c>
      <c r="C3160" s="40">
        <f>IF(Inputs!$C$60,Inputs!$C$11+(B3160-Inputs!$C$69)/Inputs!$C$70,"")</f>
      </c>
      <c r="D3160" s="15"/>
      <c r="E3160" s="15"/>
      <c r="F3160" s="11">
        <f t="shared" si="25"/>
      </c>
      <c r="G3160" s="22" cm="1">
        <f t="array" ref="G3160">IF(AND(Inputs!$C$60,Inputs!$C$61),INDEX(Utility_Rates!$C$29:$F$52,HOUR(C3160)+Inputs!$C$69,MATCH(INDEX(Utility_Rates!$K$6:$K$17,MONTH(C3160))&amp;IF(WEEKDAY(C3160,Inputs!$C$76)&lt;=Inputs!$C$74," weekday"," weekend"),Utility_Rates!$C$28:$F$28,Inputs!$C$68)),"")</f>
      </c>
      <c r="H3160" s="34"/>
      <c r="I3160" s="42">
        <f>IF(AND(ISNUMBER(D3160),ISNUMBER(H3160)),D3160*H3160*Inputs!$C$69,"")</f>
      </c>
      <c r="J3160" s="42">
        <f>IF(AND(ISNUMBER(F3160),ISNUMBER(H3160),F3160&gt;=Inputs!$C$68),F3160*H3160*Inputs!$C$69,"")</f>
      </c>
    </row>
    <row r="3161" spans="2:10" ht="15" customHeight="1" x14ac:dyDescent="0.2">
      <c r="B3161" s="39">
        <f t="shared" si="24"/>
      </c>
      <c r="C3161" s="40">
        <f>IF(Inputs!$C$60,Inputs!$C$11+(B3161-Inputs!$C$69)/Inputs!$C$70,"")</f>
      </c>
      <c r="D3161" s="15"/>
      <c r="E3161" s="15"/>
      <c r="F3161" s="11">
        <f t="shared" si="25"/>
      </c>
      <c r="G3161" s="22" cm="1">
        <f t="array" ref="G3161">IF(AND(Inputs!$C$60,Inputs!$C$61),INDEX(Utility_Rates!$C$29:$F$52,HOUR(C3161)+Inputs!$C$69,MATCH(INDEX(Utility_Rates!$K$6:$K$17,MONTH(C3161))&amp;IF(WEEKDAY(C3161,Inputs!$C$76)&lt;=Inputs!$C$74," weekday"," weekend"),Utility_Rates!$C$28:$F$28,Inputs!$C$68)),"")</f>
      </c>
      <c r="H3161" s="34"/>
      <c r="I3161" s="42">
        <f>IF(AND(ISNUMBER(D3161),ISNUMBER(H3161)),D3161*H3161*Inputs!$C$69,"")</f>
      </c>
      <c r="J3161" s="42">
        <f>IF(AND(ISNUMBER(F3161),ISNUMBER(H3161),F3161&gt;=Inputs!$C$68),F3161*H3161*Inputs!$C$69,"")</f>
      </c>
    </row>
    <row r="3162" spans="2:10" ht="15" customHeight="1" x14ac:dyDescent="0.2">
      <c r="B3162" s="39">
        <f t="shared" si="24"/>
      </c>
      <c r="C3162" s="40">
        <f>IF(Inputs!$C$60,Inputs!$C$11+(B3162-Inputs!$C$69)/Inputs!$C$70,"")</f>
      </c>
      <c r="D3162" s="15"/>
      <c r="E3162" s="15"/>
      <c r="F3162" s="11">
        <f t="shared" si="25"/>
      </c>
      <c r="G3162" s="22" cm="1">
        <f t="array" ref="G3162">IF(AND(Inputs!$C$60,Inputs!$C$61),INDEX(Utility_Rates!$C$29:$F$52,HOUR(C3162)+Inputs!$C$69,MATCH(INDEX(Utility_Rates!$K$6:$K$17,MONTH(C3162))&amp;IF(WEEKDAY(C3162,Inputs!$C$76)&lt;=Inputs!$C$74," weekday"," weekend"),Utility_Rates!$C$28:$F$28,Inputs!$C$68)),"")</f>
      </c>
      <c r="H3162" s="34"/>
      <c r="I3162" s="42">
        <f>IF(AND(ISNUMBER(D3162),ISNUMBER(H3162)),D3162*H3162*Inputs!$C$69,"")</f>
      </c>
      <c r="J3162" s="42">
        <f>IF(AND(ISNUMBER(F3162),ISNUMBER(H3162),F3162&gt;=Inputs!$C$68),F3162*H3162*Inputs!$C$69,"")</f>
      </c>
    </row>
    <row r="3163" spans="2:10" ht="15" customHeight="1" x14ac:dyDescent="0.2">
      <c r="B3163" s="39">
        <f t="shared" si="24"/>
      </c>
      <c r="C3163" s="40">
        <f>IF(Inputs!$C$60,Inputs!$C$11+(B3163-Inputs!$C$69)/Inputs!$C$70,"")</f>
      </c>
      <c r="D3163" s="15"/>
      <c r="E3163" s="15"/>
      <c r="F3163" s="11">
        <f t="shared" si="25"/>
      </c>
      <c r="G3163" s="22" cm="1">
        <f t="array" ref="G3163">IF(AND(Inputs!$C$60,Inputs!$C$61),INDEX(Utility_Rates!$C$29:$F$52,HOUR(C3163)+Inputs!$C$69,MATCH(INDEX(Utility_Rates!$K$6:$K$17,MONTH(C3163))&amp;IF(WEEKDAY(C3163,Inputs!$C$76)&lt;=Inputs!$C$74," weekday"," weekend"),Utility_Rates!$C$28:$F$28,Inputs!$C$68)),"")</f>
      </c>
      <c r="H3163" s="34"/>
      <c r="I3163" s="42">
        <f>IF(AND(ISNUMBER(D3163),ISNUMBER(H3163)),D3163*H3163*Inputs!$C$69,"")</f>
      </c>
      <c r="J3163" s="42">
        <f>IF(AND(ISNUMBER(F3163),ISNUMBER(H3163),F3163&gt;=Inputs!$C$68),F3163*H3163*Inputs!$C$69,"")</f>
      </c>
    </row>
    <row r="3164" spans="2:10" ht="15" customHeight="1" x14ac:dyDescent="0.2">
      <c r="B3164" s="39">
        <f t="shared" si="24"/>
      </c>
      <c r="C3164" s="40">
        <f>IF(Inputs!$C$60,Inputs!$C$11+(B3164-Inputs!$C$69)/Inputs!$C$70,"")</f>
      </c>
      <c r="D3164" s="15"/>
      <c r="E3164" s="15"/>
      <c r="F3164" s="11">
        <f t="shared" si="25"/>
      </c>
      <c r="G3164" s="22" cm="1">
        <f t="array" ref="G3164">IF(AND(Inputs!$C$60,Inputs!$C$61),INDEX(Utility_Rates!$C$29:$F$52,HOUR(C3164)+Inputs!$C$69,MATCH(INDEX(Utility_Rates!$K$6:$K$17,MONTH(C3164))&amp;IF(WEEKDAY(C3164,Inputs!$C$76)&lt;=Inputs!$C$74," weekday"," weekend"),Utility_Rates!$C$28:$F$28,Inputs!$C$68)),"")</f>
      </c>
      <c r="H3164" s="34"/>
      <c r="I3164" s="42">
        <f>IF(AND(ISNUMBER(D3164),ISNUMBER(H3164)),D3164*H3164*Inputs!$C$69,"")</f>
      </c>
      <c r="J3164" s="42">
        <f>IF(AND(ISNUMBER(F3164),ISNUMBER(H3164),F3164&gt;=Inputs!$C$68),F3164*H3164*Inputs!$C$69,"")</f>
      </c>
    </row>
    <row r="3165" spans="2:10" ht="15" customHeight="1" x14ac:dyDescent="0.2">
      <c r="B3165" s="39">
        <f t="shared" si="24"/>
      </c>
      <c r="C3165" s="40">
        <f>IF(Inputs!$C$60,Inputs!$C$11+(B3165-Inputs!$C$69)/Inputs!$C$70,"")</f>
      </c>
      <c r="D3165" s="15"/>
      <c r="E3165" s="15"/>
      <c r="F3165" s="11">
        <f t="shared" si="25"/>
      </c>
      <c r="G3165" s="22" cm="1">
        <f t="array" ref="G3165">IF(AND(Inputs!$C$60,Inputs!$C$61),INDEX(Utility_Rates!$C$29:$F$52,HOUR(C3165)+Inputs!$C$69,MATCH(INDEX(Utility_Rates!$K$6:$K$17,MONTH(C3165))&amp;IF(WEEKDAY(C3165,Inputs!$C$76)&lt;=Inputs!$C$74," weekday"," weekend"),Utility_Rates!$C$28:$F$28,Inputs!$C$68)),"")</f>
      </c>
      <c r="H3165" s="34"/>
      <c r="I3165" s="42">
        <f>IF(AND(ISNUMBER(D3165),ISNUMBER(H3165)),D3165*H3165*Inputs!$C$69,"")</f>
      </c>
      <c r="J3165" s="42">
        <f>IF(AND(ISNUMBER(F3165),ISNUMBER(H3165),F3165&gt;=Inputs!$C$68),F3165*H3165*Inputs!$C$69,"")</f>
      </c>
    </row>
    <row r="3166" spans="2:10" ht="15" customHeight="1" x14ac:dyDescent="0.2">
      <c r="B3166" s="39">
        <f t="shared" si="24"/>
      </c>
      <c r="C3166" s="40">
        <f>IF(Inputs!$C$60,Inputs!$C$11+(B3166-Inputs!$C$69)/Inputs!$C$70,"")</f>
      </c>
      <c r="D3166" s="15"/>
      <c r="E3166" s="15"/>
      <c r="F3166" s="11">
        <f t="shared" si="25"/>
      </c>
      <c r="G3166" s="22" cm="1">
        <f t="array" ref="G3166">IF(AND(Inputs!$C$60,Inputs!$C$61),INDEX(Utility_Rates!$C$29:$F$52,HOUR(C3166)+Inputs!$C$69,MATCH(INDEX(Utility_Rates!$K$6:$K$17,MONTH(C3166))&amp;IF(WEEKDAY(C3166,Inputs!$C$76)&lt;=Inputs!$C$74," weekday"," weekend"),Utility_Rates!$C$28:$F$28,Inputs!$C$68)),"")</f>
      </c>
      <c r="H3166" s="34"/>
      <c r="I3166" s="42">
        <f>IF(AND(ISNUMBER(D3166),ISNUMBER(H3166)),D3166*H3166*Inputs!$C$69,"")</f>
      </c>
      <c r="J3166" s="42">
        <f>IF(AND(ISNUMBER(F3166),ISNUMBER(H3166),F3166&gt;=Inputs!$C$68),F3166*H3166*Inputs!$C$69,"")</f>
      </c>
    </row>
    <row r="3167" spans="2:10" ht="15" customHeight="1" x14ac:dyDescent="0.2">
      <c r="B3167" s="39">
        <f t="shared" si="24"/>
      </c>
      <c r="C3167" s="40">
        <f>IF(Inputs!$C$60,Inputs!$C$11+(B3167-Inputs!$C$69)/Inputs!$C$70,"")</f>
      </c>
      <c r="D3167" s="15"/>
      <c r="E3167" s="15"/>
      <c r="F3167" s="11">
        <f t="shared" si="25"/>
      </c>
      <c r="G3167" s="22" cm="1">
        <f t="array" ref="G3167">IF(AND(Inputs!$C$60,Inputs!$C$61),INDEX(Utility_Rates!$C$29:$F$52,HOUR(C3167)+Inputs!$C$69,MATCH(INDEX(Utility_Rates!$K$6:$K$17,MONTH(C3167))&amp;IF(WEEKDAY(C3167,Inputs!$C$76)&lt;=Inputs!$C$74," weekday"," weekend"),Utility_Rates!$C$28:$F$28,Inputs!$C$68)),"")</f>
      </c>
      <c r="H3167" s="34"/>
      <c r="I3167" s="42">
        <f>IF(AND(ISNUMBER(D3167),ISNUMBER(H3167)),D3167*H3167*Inputs!$C$69,"")</f>
      </c>
      <c r="J3167" s="42">
        <f>IF(AND(ISNUMBER(F3167),ISNUMBER(H3167),F3167&gt;=Inputs!$C$68),F3167*H3167*Inputs!$C$69,"")</f>
      </c>
    </row>
    <row r="3168" spans="2:10" ht="15" customHeight="1" x14ac:dyDescent="0.2">
      <c r="B3168" s="39">
        <f t="shared" si="24"/>
      </c>
      <c r="C3168" s="40">
        <f>IF(Inputs!$C$60,Inputs!$C$11+(B3168-Inputs!$C$69)/Inputs!$C$70,"")</f>
      </c>
      <c r="D3168" s="15"/>
      <c r="E3168" s="15"/>
      <c r="F3168" s="11">
        <f t="shared" si="25"/>
      </c>
      <c r="G3168" s="22" cm="1">
        <f t="array" ref="G3168">IF(AND(Inputs!$C$60,Inputs!$C$61),INDEX(Utility_Rates!$C$29:$F$52,HOUR(C3168)+Inputs!$C$69,MATCH(INDEX(Utility_Rates!$K$6:$K$17,MONTH(C3168))&amp;IF(WEEKDAY(C3168,Inputs!$C$76)&lt;=Inputs!$C$74," weekday"," weekend"),Utility_Rates!$C$28:$F$28,Inputs!$C$68)),"")</f>
      </c>
      <c r="H3168" s="34"/>
      <c r="I3168" s="42">
        <f>IF(AND(ISNUMBER(D3168),ISNUMBER(H3168)),D3168*H3168*Inputs!$C$69,"")</f>
      </c>
      <c r="J3168" s="42">
        <f>IF(AND(ISNUMBER(F3168),ISNUMBER(H3168),F3168&gt;=Inputs!$C$68),F3168*H3168*Inputs!$C$69,"")</f>
      </c>
    </row>
    <row r="3169" spans="2:10" ht="15" customHeight="1" x14ac:dyDescent="0.2">
      <c r="B3169" s="39">
        <f t="shared" si="24"/>
      </c>
      <c r="C3169" s="40">
        <f>IF(Inputs!$C$60,Inputs!$C$11+(B3169-Inputs!$C$69)/Inputs!$C$70,"")</f>
      </c>
      <c r="D3169" s="15"/>
      <c r="E3169" s="15"/>
      <c r="F3169" s="11">
        <f t="shared" si="25"/>
      </c>
      <c r="G3169" s="22" cm="1">
        <f t="array" ref="G3169">IF(AND(Inputs!$C$60,Inputs!$C$61),INDEX(Utility_Rates!$C$29:$F$52,HOUR(C3169)+Inputs!$C$69,MATCH(INDEX(Utility_Rates!$K$6:$K$17,MONTH(C3169))&amp;IF(WEEKDAY(C3169,Inputs!$C$76)&lt;=Inputs!$C$74," weekday"," weekend"),Utility_Rates!$C$28:$F$28,Inputs!$C$68)),"")</f>
      </c>
      <c r="H3169" s="34"/>
      <c r="I3169" s="42">
        <f>IF(AND(ISNUMBER(D3169),ISNUMBER(H3169)),D3169*H3169*Inputs!$C$69,"")</f>
      </c>
      <c r="J3169" s="42">
        <f>IF(AND(ISNUMBER(F3169),ISNUMBER(H3169),F3169&gt;=Inputs!$C$68),F3169*H3169*Inputs!$C$69,"")</f>
      </c>
    </row>
    <row r="3170" spans="2:10" ht="15" customHeight="1" x14ac:dyDescent="0.2">
      <c r="B3170" s="39">
        <f t="shared" si="24"/>
      </c>
      <c r="C3170" s="40">
        <f>IF(Inputs!$C$60,Inputs!$C$11+(B3170-Inputs!$C$69)/Inputs!$C$70,"")</f>
      </c>
      <c r="D3170" s="15"/>
      <c r="E3170" s="15"/>
      <c r="F3170" s="11">
        <f t="shared" si="25"/>
      </c>
      <c r="G3170" s="22" cm="1">
        <f t="array" ref="G3170">IF(AND(Inputs!$C$60,Inputs!$C$61),INDEX(Utility_Rates!$C$29:$F$52,HOUR(C3170)+Inputs!$C$69,MATCH(INDEX(Utility_Rates!$K$6:$K$17,MONTH(C3170))&amp;IF(WEEKDAY(C3170,Inputs!$C$76)&lt;=Inputs!$C$74," weekday"," weekend"),Utility_Rates!$C$28:$F$28,Inputs!$C$68)),"")</f>
      </c>
      <c r="H3170" s="34"/>
      <c r="I3170" s="42">
        <f>IF(AND(ISNUMBER(D3170),ISNUMBER(H3170)),D3170*H3170*Inputs!$C$69,"")</f>
      </c>
      <c r="J3170" s="42">
        <f>IF(AND(ISNUMBER(F3170),ISNUMBER(H3170),F3170&gt;=Inputs!$C$68),F3170*H3170*Inputs!$C$69,"")</f>
      </c>
    </row>
    <row r="3171" spans="2:10" ht="15" customHeight="1" x14ac:dyDescent="0.2">
      <c r="B3171" s="39">
        <f t="shared" si="24"/>
      </c>
      <c r="C3171" s="40">
        <f>IF(Inputs!$C$60,Inputs!$C$11+(B3171-Inputs!$C$69)/Inputs!$C$70,"")</f>
      </c>
      <c r="D3171" s="15"/>
      <c r="E3171" s="15"/>
      <c r="F3171" s="11">
        <f t="shared" si="25"/>
      </c>
      <c r="G3171" s="22" cm="1">
        <f t="array" ref="G3171">IF(AND(Inputs!$C$60,Inputs!$C$61),INDEX(Utility_Rates!$C$29:$F$52,HOUR(C3171)+Inputs!$C$69,MATCH(INDEX(Utility_Rates!$K$6:$K$17,MONTH(C3171))&amp;IF(WEEKDAY(C3171,Inputs!$C$76)&lt;=Inputs!$C$74," weekday"," weekend"),Utility_Rates!$C$28:$F$28,Inputs!$C$68)),"")</f>
      </c>
      <c r="H3171" s="34"/>
      <c r="I3171" s="42">
        <f>IF(AND(ISNUMBER(D3171),ISNUMBER(H3171)),D3171*H3171*Inputs!$C$69,"")</f>
      </c>
      <c r="J3171" s="42">
        <f>IF(AND(ISNUMBER(F3171),ISNUMBER(H3171),F3171&gt;=Inputs!$C$68),F3171*H3171*Inputs!$C$69,"")</f>
      </c>
    </row>
    <row r="3172" spans="2:10" ht="15" customHeight="1" x14ac:dyDescent="0.2">
      <c r="B3172" s="39">
        <f t="shared" si="24"/>
      </c>
      <c r="C3172" s="40">
        <f>IF(Inputs!$C$60,Inputs!$C$11+(B3172-Inputs!$C$69)/Inputs!$C$70,"")</f>
      </c>
      <c r="D3172" s="15"/>
      <c r="E3172" s="15"/>
      <c r="F3172" s="11">
        <f t="shared" si="25"/>
      </c>
      <c r="G3172" s="22" cm="1">
        <f t="array" ref="G3172">IF(AND(Inputs!$C$60,Inputs!$C$61),INDEX(Utility_Rates!$C$29:$F$52,HOUR(C3172)+Inputs!$C$69,MATCH(INDEX(Utility_Rates!$K$6:$K$17,MONTH(C3172))&amp;IF(WEEKDAY(C3172,Inputs!$C$76)&lt;=Inputs!$C$74," weekday"," weekend"),Utility_Rates!$C$28:$F$28,Inputs!$C$68)),"")</f>
      </c>
      <c r="H3172" s="34"/>
      <c r="I3172" s="42">
        <f>IF(AND(ISNUMBER(D3172),ISNUMBER(H3172)),D3172*H3172*Inputs!$C$69,"")</f>
      </c>
      <c r="J3172" s="42">
        <f>IF(AND(ISNUMBER(F3172),ISNUMBER(H3172),F3172&gt;=Inputs!$C$68),F3172*H3172*Inputs!$C$69,"")</f>
      </c>
    </row>
    <row r="3173" spans="2:10" ht="15" customHeight="1" x14ac:dyDescent="0.2">
      <c r="B3173" s="39">
        <f t="shared" si="24"/>
      </c>
      <c r="C3173" s="40">
        <f>IF(Inputs!$C$60,Inputs!$C$11+(B3173-Inputs!$C$69)/Inputs!$C$70,"")</f>
      </c>
      <c r="D3173" s="15"/>
      <c r="E3173" s="15"/>
      <c r="F3173" s="11">
        <f t="shared" si="25"/>
      </c>
      <c r="G3173" s="22" cm="1">
        <f t="array" ref="G3173">IF(AND(Inputs!$C$60,Inputs!$C$61),INDEX(Utility_Rates!$C$29:$F$52,HOUR(C3173)+Inputs!$C$69,MATCH(INDEX(Utility_Rates!$K$6:$K$17,MONTH(C3173))&amp;IF(WEEKDAY(C3173,Inputs!$C$76)&lt;=Inputs!$C$74," weekday"," weekend"),Utility_Rates!$C$28:$F$28,Inputs!$C$68)),"")</f>
      </c>
      <c r="H3173" s="34"/>
      <c r="I3173" s="42">
        <f>IF(AND(ISNUMBER(D3173),ISNUMBER(H3173)),D3173*H3173*Inputs!$C$69,"")</f>
      </c>
      <c r="J3173" s="42">
        <f>IF(AND(ISNUMBER(F3173),ISNUMBER(H3173),F3173&gt;=Inputs!$C$68),F3173*H3173*Inputs!$C$69,"")</f>
      </c>
    </row>
    <row r="3174" spans="2:10" ht="15" customHeight="1" x14ac:dyDescent="0.2">
      <c r="B3174" s="39">
        <f t="shared" si="24"/>
      </c>
      <c r="C3174" s="40">
        <f>IF(Inputs!$C$60,Inputs!$C$11+(B3174-Inputs!$C$69)/Inputs!$C$70,"")</f>
      </c>
      <c r="D3174" s="15"/>
      <c r="E3174" s="15"/>
      <c r="F3174" s="11">
        <f t="shared" si="25"/>
      </c>
      <c r="G3174" s="22" cm="1">
        <f t="array" ref="G3174">IF(AND(Inputs!$C$60,Inputs!$C$61),INDEX(Utility_Rates!$C$29:$F$52,HOUR(C3174)+Inputs!$C$69,MATCH(INDEX(Utility_Rates!$K$6:$K$17,MONTH(C3174))&amp;IF(WEEKDAY(C3174,Inputs!$C$76)&lt;=Inputs!$C$74," weekday"," weekend"),Utility_Rates!$C$28:$F$28,Inputs!$C$68)),"")</f>
      </c>
      <c r="H3174" s="34"/>
      <c r="I3174" s="42">
        <f>IF(AND(ISNUMBER(D3174),ISNUMBER(H3174)),D3174*H3174*Inputs!$C$69,"")</f>
      </c>
      <c r="J3174" s="42">
        <f>IF(AND(ISNUMBER(F3174),ISNUMBER(H3174),F3174&gt;=Inputs!$C$68),F3174*H3174*Inputs!$C$69,"")</f>
      </c>
    </row>
    <row r="3175" spans="2:10" ht="15" customHeight="1" x14ac:dyDescent="0.2">
      <c r="B3175" s="39">
        <f t="shared" si="24"/>
      </c>
      <c r="C3175" s="40">
        <f>IF(Inputs!$C$60,Inputs!$C$11+(B3175-Inputs!$C$69)/Inputs!$C$70,"")</f>
      </c>
      <c r="D3175" s="15"/>
      <c r="E3175" s="15"/>
      <c r="F3175" s="11">
        <f t="shared" si="25"/>
      </c>
      <c r="G3175" s="22" cm="1">
        <f t="array" ref="G3175">IF(AND(Inputs!$C$60,Inputs!$C$61),INDEX(Utility_Rates!$C$29:$F$52,HOUR(C3175)+Inputs!$C$69,MATCH(INDEX(Utility_Rates!$K$6:$K$17,MONTH(C3175))&amp;IF(WEEKDAY(C3175,Inputs!$C$76)&lt;=Inputs!$C$74," weekday"," weekend"),Utility_Rates!$C$28:$F$28,Inputs!$C$68)),"")</f>
      </c>
      <c r="H3175" s="34"/>
      <c r="I3175" s="42">
        <f>IF(AND(ISNUMBER(D3175),ISNUMBER(H3175)),D3175*H3175*Inputs!$C$69,"")</f>
      </c>
      <c r="J3175" s="42">
        <f>IF(AND(ISNUMBER(F3175),ISNUMBER(H3175),F3175&gt;=Inputs!$C$68),F3175*H3175*Inputs!$C$69,"")</f>
      </c>
    </row>
    <row r="3176" spans="2:10" ht="15" customHeight="1" x14ac:dyDescent="0.2">
      <c r="B3176" s="39">
        <f t="shared" si="24"/>
      </c>
      <c r="C3176" s="40">
        <f>IF(Inputs!$C$60,Inputs!$C$11+(B3176-Inputs!$C$69)/Inputs!$C$70,"")</f>
      </c>
      <c r="D3176" s="15"/>
      <c r="E3176" s="15"/>
      <c r="F3176" s="11">
        <f t="shared" si="25"/>
      </c>
      <c r="G3176" s="22" cm="1">
        <f t="array" ref="G3176">IF(AND(Inputs!$C$60,Inputs!$C$61),INDEX(Utility_Rates!$C$29:$F$52,HOUR(C3176)+Inputs!$C$69,MATCH(INDEX(Utility_Rates!$K$6:$K$17,MONTH(C3176))&amp;IF(WEEKDAY(C3176,Inputs!$C$76)&lt;=Inputs!$C$74," weekday"," weekend"),Utility_Rates!$C$28:$F$28,Inputs!$C$68)),"")</f>
      </c>
      <c r="H3176" s="34"/>
      <c r="I3176" s="42">
        <f>IF(AND(ISNUMBER(D3176),ISNUMBER(H3176)),D3176*H3176*Inputs!$C$69,"")</f>
      </c>
      <c r="J3176" s="42">
        <f>IF(AND(ISNUMBER(F3176),ISNUMBER(H3176),F3176&gt;=Inputs!$C$68),F3176*H3176*Inputs!$C$69,"")</f>
      </c>
    </row>
    <row r="3177" spans="2:10" ht="15" customHeight="1" x14ac:dyDescent="0.2">
      <c r="B3177" s="39">
        <f t="shared" si="24"/>
      </c>
      <c r="C3177" s="40">
        <f>IF(Inputs!$C$60,Inputs!$C$11+(B3177-Inputs!$C$69)/Inputs!$C$70,"")</f>
      </c>
      <c r="D3177" s="15"/>
      <c r="E3177" s="15"/>
      <c r="F3177" s="11">
        <f t="shared" si="25"/>
      </c>
      <c r="G3177" s="22" cm="1">
        <f t="array" ref="G3177">IF(AND(Inputs!$C$60,Inputs!$C$61),INDEX(Utility_Rates!$C$29:$F$52,HOUR(C3177)+Inputs!$C$69,MATCH(INDEX(Utility_Rates!$K$6:$K$17,MONTH(C3177))&amp;IF(WEEKDAY(C3177,Inputs!$C$76)&lt;=Inputs!$C$74," weekday"," weekend"),Utility_Rates!$C$28:$F$28,Inputs!$C$68)),"")</f>
      </c>
      <c r="H3177" s="34"/>
      <c r="I3177" s="42">
        <f>IF(AND(ISNUMBER(D3177),ISNUMBER(H3177)),D3177*H3177*Inputs!$C$69,"")</f>
      </c>
      <c r="J3177" s="42">
        <f>IF(AND(ISNUMBER(F3177),ISNUMBER(H3177),F3177&gt;=Inputs!$C$68),F3177*H3177*Inputs!$C$69,"")</f>
      </c>
    </row>
    <row r="3178" spans="2:10" ht="15" customHeight="1" x14ac:dyDescent="0.2">
      <c r="B3178" s="39">
        <f t="shared" si="24"/>
      </c>
      <c r="C3178" s="40">
        <f>IF(Inputs!$C$60,Inputs!$C$11+(B3178-Inputs!$C$69)/Inputs!$C$70,"")</f>
      </c>
      <c r="D3178" s="15"/>
      <c r="E3178" s="15"/>
      <c r="F3178" s="11">
        <f t="shared" si="25"/>
      </c>
      <c r="G3178" s="22" cm="1">
        <f t="array" ref="G3178">IF(AND(Inputs!$C$60,Inputs!$C$61),INDEX(Utility_Rates!$C$29:$F$52,HOUR(C3178)+Inputs!$C$69,MATCH(INDEX(Utility_Rates!$K$6:$K$17,MONTH(C3178))&amp;IF(WEEKDAY(C3178,Inputs!$C$76)&lt;=Inputs!$C$74," weekday"," weekend"),Utility_Rates!$C$28:$F$28,Inputs!$C$68)),"")</f>
      </c>
      <c r="H3178" s="34"/>
      <c r="I3178" s="42">
        <f>IF(AND(ISNUMBER(D3178),ISNUMBER(H3178)),D3178*H3178*Inputs!$C$69,"")</f>
      </c>
      <c r="J3178" s="42">
        <f>IF(AND(ISNUMBER(F3178),ISNUMBER(H3178),F3178&gt;=Inputs!$C$68),F3178*H3178*Inputs!$C$69,"")</f>
      </c>
    </row>
    <row r="3179" spans="2:10" ht="15" customHeight="1" x14ac:dyDescent="0.2">
      <c r="B3179" s="39">
        <f t="shared" si="24"/>
      </c>
      <c r="C3179" s="40">
        <f>IF(Inputs!$C$60,Inputs!$C$11+(B3179-Inputs!$C$69)/Inputs!$C$70,"")</f>
      </c>
      <c r="D3179" s="15"/>
      <c r="E3179" s="15"/>
      <c r="F3179" s="11">
        <f t="shared" si="25"/>
      </c>
      <c r="G3179" s="22" cm="1">
        <f t="array" ref="G3179">IF(AND(Inputs!$C$60,Inputs!$C$61),INDEX(Utility_Rates!$C$29:$F$52,HOUR(C3179)+Inputs!$C$69,MATCH(INDEX(Utility_Rates!$K$6:$K$17,MONTH(C3179))&amp;IF(WEEKDAY(C3179,Inputs!$C$76)&lt;=Inputs!$C$74," weekday"," weekend"),Utility_Rates!$C$28:$F$28,Inputs!$C$68)),"")</f>
      </c>
      <c r="H3179" s="34"/>
      <c r="I3179" s="42">
        <f>IF(AND(ISNUMBER(D3179),ISNUMBER(H3179)),D3179*H3179*Inputs!$C$69,"")</f>
      </c>
      <c r="J3179" s="42">
        <f>IF(AND(ISNUMBER(F3179),ISNUMBER(H3179),F3179&gt;=Inputs!$C$68),F3179*H3179*Inputs!$C$69,"")</f>
      </c>
    </row>
    <row r="3180" spans="2:10" ht="15" customHeight="1" x14ac:dyDescent="0.2">
      <c r="B3180" s="39">
        <f t="shared" si="24"/>
      </c>
      <c r="C3180" s="40">
        <f>IF(Inputs!$C$60,Inputs!$C$11+(B3180-Inputs!$C$69)/Inputs!$C$70,"")</f>
      </c>
      <c r="D3180" s="15"/>
      <c r="E3180" s="15"/>
      <c r="F3180" s="11">
        <f t="shared" si="25"/>
      </c>
      <c r="G3180" s="22" cm="1">
        <f t="array" ref="G3180">IF(AND(Inputs!$C$60,Inputs!$C$61),INDEX(Utility_Rates!$C$29:$F$52,HOUR(C3180)+Inputs!$C$69,MATCH(INDEX(Utility_Rates!$K$6:$K$17,MONTH(C3180))&amp;IF(WEEKDAY(C3180,Inputs!$C$76)&lt;=Inputs!$C$74," weekday"," weekend"),Utility_Rates!$C$28:$F$28,Inputs!$C$68)),"")</f>
      </c>
      <c r="H3180" s="34"/>
      <c r="I3180" s="42">
        <f>IF(AND(ISNUMBER(D3180),ISNUMBER(H3180)),D3180*H3180*Inputs!$C$69,"")</f>
      </c>
      <c r="J3180" s="42">
        <f>IF(AND(ISNUMBER(F3180),ISNUMBER(H3180),F3180&gt;=Inputs!$C$68),F3180*H3180*Inputs!$C$69,"")</f>
      </c>
    </row>
    <row r="3181" spans="2:10" ht="15" customHeight="1" x14ac:dyDescent="0.2">
      <c r="B3181" s="39">
        <f t="shared" si="24"/>
      </c>
      <c r="C3181" s="40">
        <f>IF(Inputs!$C$60,Inputs!$C$11+(B3181-Inputs!$C$69)/Inputs!$C$70,"")</f>
      </c>
      <c r="D3181" s="15"/>
      <c r="E3181" s="15"/>
      <c r="F3181" s="11">
        <f t="shared" si="25"/>
      </c>
      <c r="G3181" s="22" cm="1">
        <f t="array" ref="G3181">IF(AND(Inputs!$C$60,Inputs!$C$61),INDEX(Utility_Rates!$C$29:$F$52,HOUR(C3181)+Inputs!$C$69,MATCH(INDEX(Utility_Rates!$K$6:$K$17,MONTH(C3181))&amp;IF(WEEKDAY(C3181,Inputs!$C$76)&lt;=Inputs!$C$74," weekday"," weekend"),Utility_Rates!$C$28:$F$28,Inputs!$C$68)),"")</f>
      </c>
      <c r="H3181" s="34"/>
      <c r="I3181" s="42">
        <f>IF(AND(ISNUMBER(D3181),ISNUMBER(H3181)),D3181*H3181*Inputs!$C$69,"")</f>
      </c>
      <c r="J3181" s="42">
        <f>IF(AND(ISNUMBER(F3181),ISNUMBER(H3181),F3181&gt;=Inputs!$C$68),F3181*H3181*Inputs!$C$69,"")</f>
      </c>
    </row>
    <row r="3182" spans="2:10" ht="15" customHeight="1" x14ac:dyDescent="0.2">
      <c r="B3182" s="39">
        <f t="shared" si="24"/>
      </c>
      <c r="C3182" s="40">
        <f>IF(Inputs!$C$60,Inputs!$C$11+(B3182-Inputs!$C$69)/Inputs!$C$70,"")</f>
      </c>
      <c r="D3182" s="15"/>
      <c r="E3182" s="15"/>
      <c r="F3182" s="11">
        <f t="shared" si="25"/>
      </c>
      <c r="G3182" s="22" cm="1">
        <f t="array" ref="G3182">IF(AND(Inputs!$C$60,Inputs!$C$61),INDEX(Utility_Rates!$C$29:$F$52,HOUR(C3182)+Inputs!$C$69,MATCH(INDEX(Utility_Rates!$K$6:$K$17,MONTH(C3182))&amp;IF(WEEKDAY(C3182,Inputs!$C$76)&lt;=Inputs!$C$74," weekday"," weekend"),Utility_Rates!$C$28:$F$28,Inputs!$C$68)),"")</f>
      </c>
      <c r="H3182" s="34"/>
      <c r="I3182" s="42">
        <f>IF(AND(ISNUMBER(D3182),ISNUMBER(H3182)),D3182*H3182*Inputs!$C$69,"")</f>
      </c>
      <c r="J3182" s="42">
        <f>IF(AND(ISNUMBER(F3182),ISNUMBER(H3182),F3182&gt;=Inputs!$C$68),F3182*H3182*Inputs!$C$69,"")</f>
      </c>
    </row>
    <row r="3183" spans="2:10" ht="15" customHeight="1" x14ac:dyDescent="0.2">
      <c r="B3183" s="39">
        <f t="shared" si="24"/>
      </c>
      <c r="C3183" s="40">
        <f>IF(Inputs!$C$60,Inputs!$C$11+(B3183-Inputs!$C$69)/Inputs!$C$70,"")</f>
      </c>
      <c r="D3183" s="15"/>
      <c r="E3183" s="15"/>
      <c r="F3183" s="11">
        <f t="shared" si="25"/>
      </c>
      <c r="G3183" s="22" cm="1">
        <f t="array" ref="G3183">IF(AND(Inputs!$C$60,Inputs!$C$61),INDEX(Utility_Rates!$C$29:$F$52,HOUR(C3183)+Inputs!$C$69,MATCH(INDEX(Utility_Rates!$K$6:$K$17,MONTH(C3183))&amp;IF(WEEKDAY(C3183,Inputs!$C$76)&lt;=Inputs!$C$74," weekday"," weekend"),Utility_Rates!$C$28:$F$28,Inputs!$C$68)),"")</f>
      </c>
      <c r="H3183" s="34"/>
      <c r="I3183" s="42">
        <f>IF(AND(ISNUMBER(D3183),ISNUMBER(H3183)),D3183*H3183*Inputs!$C$69,"")</f>
      </c>
      <c r="J3183" s="42">
        <f>IF(AND(ISNUMBER(F3183),ISNUMBER(H3183),F3183&gt;=Inputs!$C$68),F3183*H3183*Inputs!$C$69,"")</f>
      </c>
    </row>
    <row r="3184" spans="2:10" ht="15" customHeight="1" x14ac:dyDescent="0.2">
      <c r="B3184" s="39">
        <f t="shared" si="24"/>
      </c>
      <c r="C3184" s="40">
        <f>IF(Inputs!$C$60,Inputs!$C$11+(B3184-Inputs!$C$69)/Inputs!$C$70,"")</f>
      </c>
      <c r="D3184" s="15"/>
      <c r="E3184" s="15"/>
      <c r="F3184" s="11">
        <f t="shared" si="25"/>
      </c>
      <c r="G3184" s="22" cm="1">
        <f t="array" ref="G3184">IF(AND(Inputs!$C$60,Inputs!$C$61),INDEX(Utility_Rates!$C$29:$F$52,HOUR(C3184)+Inputs!$C$69,MATCH(INDEX(Utility_Rates!$K$6:$K$17,MONTH(C3184))&amp;IF(WEEKDAY(C3184,Inputs!$C$76)&lt;=Inputs!$C$74," weekday"," weekend"),Utility_Rates!$C$28:$F$28,Inputs!$C$68)),"")</f>
      </c>
      <c r="H3184" s="34"/>
      <c r="I3184" s="42">
        <f>IF(AND(ISNUMBER(D3184),ISNUMBER(H3184)),D3184*H3184*Inputs!$C$69,"")</f>
      </c>
      <c r="J3184" s="42">
        <f>IF(AND(ISNUMBER(F3184),ISNUMBER(H3184),F3184&gt;=Inputs!$C$68),F3184*H3184*Inputs!$C$69,"")</f>
      </c>
    </row>
    <row r="3185" spans="2:10" ht="15" customHeight="1" x14ac:dyDescent="0.2">
      <c r="B3185" s="39">
        <f t="shared" si="24"/>
      </c>
      <c r="C3185" s="40">
        <f>IF(Inputs!$C$60,Inputs!$C$11+(B3185-Inputs!$C$69)/Inputs!$C$70,"")</f>
      </c>
      <c r="D3185" s="15"/>
      <c r="E3185" s="15"/>
      <c r="F3185" s="11">
        <f t="shared" si="25"/>
      </c>
      <c r="G3185" s="22" cm="1">
        <f t="array" ref="G3185">IF(AND(Inputs!$C$60,Inputs!$C$61),INDEX(Utility_Rates!$C$29:$F$52,HOUR(C3185)+Inputs!$C$69,MATCH(INDEX(Utility_Rates!$K$6:$K$17,MONTH(C3185))&amp;IF(WEEKDAY(C3185,Inputs!$C$76)&lt;=Inputs!$C$74," weekday"," weekend"),Utility_Rates!$C$28:$F$28,Inputs!$C$68)),"")</f>
      </c>
      <c r="H3185" s="34"/>
      <c r="I3185" s="42">
        <f>IF(AND(ISNUMBER(D3185),ISNUMBER(H3185)),D3185*H3185*Inputs!$C$69,"")</f>
      </c>
      <c r="J3185" s="42">
        <f>IF(AND(ISNUMBER(F3185),ISNUMBER(H3185),F3185&gt;=Inputs!$C$68),F3185*H3185*Inputs!$C$69,"")</f>
      </c>
    </row>
    <row r="3186" spans="2:10" ht="15" customHeight="1" x14ac:dyDescent="0.2">
      <c r="B3186" s="39">
        <f t="shared" si="24"/>
      </c>
      <c r="C3186" s="40">
        <f>IF(Inputs!$C$60,Inputs!$C$11+(B3186-Inputs!$C$69)/Inputs!$C$70,"")</f>
      </c>
      <c r="D3186" s="15"/>
      <c r="E3186" s="15"/>
      <c r="F3186" s="11">
        <f t="shared" si="25"/>
      </c>
      <c r="G3186" s="22" cm="1">
        <f t="array" ref="G3186">IF(AND(Inputs!$C$60,Inputs!$C$61),INDEX(Utility_Rates!$C$29:$F$52,HOUR(C3186)+Inputs!$C$69,MATCH(INDEX(Utility_Rates!$K$6:$K$17,MONTH(C3186))&amp;IF(WEEKDAY(C3186,Inputs!$C$76)&lt;=Inputs!$C$74," weekday"," weekend"),Utility_Rates!$C$28:$F$28,Inputs!$C$68)),"")</f>
      </c>
      <c r="H3186" s="34"/>
      <c r="I3186" s="42">
        <f>IF(AND(ISNUMBER(D3186),ISNUMBER(H3186)),D3186*H3186*Inputs!$C$69,"")</f>
      </c>
      <c r="J3186" s="42">
        <f>IF(AND(ISNUMBER(F3186),ISNUMBER(H3186),F3186&gt;=Inputs!$C$68),F3186*H3186*Inputs!$C$69,"")</f>
      </c>
    </row>
    <row r="3187" spans="2:10" ht="15" customHeight="1" x14ac:dyDescent="0.2">
      <c r="B3187" s="39">
        <f t="shared" si="24"/>
      </c>
      <c r="C3187" s="40">
        <f>IF(Inputs!$C$60,Inputs!$C$11+(B3187-Inputs!$C$69)/Inputs!$C$70,"")</f>
      </c>
      <c r="D3187" s="15"/>
      <c r="E3187" s="15"/>
      <c r="F3187" s="11">
        <f t="shared" si="25"/>
      </c>
      <c r="G3187" s="22" cm="1">
        <f t="array" ref="G3187">IF(AND(Inputs!$C$60,Inputs!$C$61),INDEX(Utility_Rates!$C$29:$F$52,HOUR(C3187)+Inputs!$C$69,MATCH(INDEX(Utility_Rates!$K$6:$K$17,MONTH(C3187))&amp;IF(WEEKDAY(C3187,Inputs!$C$76)&lt;=Inputs!$C$74," weekday"," weekend"),Utility_Rates!$C$28:$F$28,Inputs!$C$68)),"")</f>
      </c>
      <c r="H3187" s="34"/>
      <c r="I3187" s="42">
        <f>IF(AND(ISNUMBER(D3187),ISNUMBER(H3187)),D3187*H3187*Inputs!$C$69,"")</f>
      </c>
      <c r="J3187" s="42">
        <f>IF(AND(ISNUMBER(F3187),ISNUMBER(H3187),F3187&gt;=Inputs!$C$68),F3187*H3187*Inputs!$C$69,"")</f>
      </c>
    </row>
    <row r="3188" spans="2:10" ht="15" customHeight="1" x14ac:dyDescent="0.2">
      <c r="B3188" s="39">
        <f t="shared" si="24"/>
      </c>
      <c r="C3188" s="40">
        <f>IF(Inputs!$C$60,Inputs!$C$11+(B3188-Inputs!$C$69)/Inputs!$C$70,"")</f>
      </c>
      <c r="D3188" s="15"/>
      <c r="E3188" s="15"/>
      <c r="F3188" s="11">
        <f t="shared" si="25"/>
      </c>
      <c r="G3188" s="22" cm="1">
        <f t="array" ref="G3188">IF(AND(Inputs!$C$60,Inputs!$C$61),INDEX(Utility_Rates!$C$29:$F$52,HOUR(C3188)+Inputs!$C$69,MATCH(INDEX(Utility_Rates!$K$6:$K$17,MONTH(C3188))&amp;IF(WEEKDAY(C3188,Inputs!$C$76)&lt;=Inputs!$C$74," weekday"," weekend"),Utility_Rates!$C$28:$F$28,Inputs!$C$68)),"")</f>
      </c>
      <c r="H3188" s="34"/>
      <c r="I3188" s="42">
        <f>IF(AND(ISNUMBER(D3188),ISNUMBER(H3188)),D3188*H3188*Inputs!$C$69,"")</f>
      </c>
      <c r="J3188" s="42">
        <f>IF(AND(ISNUMBER(F3188),ISNUMBER(H3188),F3188&gt;=Inputs!$C$68),F3188*H3188*Inputs!$C$69,"")</f>
      </c>
    </row>
    <row r="3189" spans="2:10" ht="15" customHeight="1" x14ac:dyDescent="0.2">
      <c r="B3189" s="39">
        <f t="shared" si="24"/>
      </c>
      <c r="C3189" s="40">
        <f>IF(Inputs!$C$60,Inputs!$C$11+(B3189-Inputs!$C$69)/Inputs!$C$70,"")</f>
      </c>
      <c r="D3189" s="15"/>
      <c r="E3189" s="15"/>
      <c r="F3189" s="11">
        <f t="shared" si="25"/>
      </c>
      <c r="G3189" s="22" cm="1">
        <f t="array" ref="G3189">IF(AND(Inputs!$C$60,Inputs!$C$61),INDEX(Utility_Rates!$C$29:$F$52,HOUR(C3189)+Inputs!$C$69,MATCH(INDEX(Utility_Rates!$K$6:$K$17,MONTH(C3189))&amp;IF(WEEKDAY(C3189,Inputs!$C$76)&lt;=Inputs!$C$74," weekday"," weekend"),Utility_Rates!$C$28:$F$28,Inputs!$C$68)),"")</f>
      </c>
      <c r="H3189" s="34"/>
      <c r="I3189" s="42">
        <f>IF(AND(ISNUMBER(D3189),ISNUMBER(H3189)),D3189*H3189*Inputs!$C$69,"")</f>
      </c>
      <c r="J3189" s="42">
        <f>IF(AND(ISNUMBER(F3189),ISNUMBER(H3189),F3189&gt;=Inputs!$C$68),F3189*H3189*Inputs!$C$69,"")</f>
      </c>
    </row>
    <row r="3190" spans="2:10" ht="15" customHeight="1" x14ac:dyDescent="0.2">
      <c r="B3190" s="39">
        <f t="shared" si="24"/>
      </c>
      <c r="C3190" s="40">
        <f>IF(Inputs!$C$60,Inputs!$C$11+(B3190-Inputs!$C$69)/Inputs!$C$70,"")</f>
      </c>
      <c r="D3190" s="15"/>
      <c r="E3190" s="15"/>
      <c r="F3190" s="11">
        <f t="shared" si="25"/>
      </c>
      <c r="G3190" s="22" cm="1">
        <f t="array" ref="G3190">IF(AND(Inputs!$C$60,Inputs!$C$61),INDEX(Utility_Rates!$C$29:$F$52,HOUR(C3190)+Inputs!$C$69,MATCH(INDEX(Utility_Rates!$K$6:$K$17,MONTH(C3190))&amp;IF(WEEKDAY(C3190,Inputs!$C$76)&lt;=Inputs!$C$74," weekday"," weekend"),Utility_Rates!$C$28:$F$28,Inputs!$C$68)),"")</f>
      </c>
      <c r="H3190" s="34"/>
      <c r="I3190" s="42">
        <f>IF(AND(ISNUMBER(D3190),ISNUMBER(H3190)),D3190*H3190*Inputs!$C$69,"")</f>
      </c>
      <c r="J3190" s="42">
        <f>IF(AND(ISNUMBER(F3190),ISNUMBER(H3190),F3190&gt;=Inputs!$C$68),F3190*H3190*Inputs!$C$69,"")</f>
      </c>
    </row>
    <row r="3191" spans="2:10" ht="15" customHeight="1" x14ac:dyDescent="0.2">
      <c r="B3191" s="39">
        <f t="shared" si="24"/>
      </c>
      <c r="C3191" s="40">
        <f>IF(Inputs!$C$60,Inputs!$C$11+(B3191-Inputs!$C$69)/Inputs!$C$70,"")</f>
      </c>
      <c r="D3191" s="15"/>
      <c r="E3191" s="15"/>
      <c r="F3191" s="11">
        <f t="shared" si="25"/>
      </c>
      <c r="G3191" s="22" cm="1">
        <f t="array" ref="G3191">IF(AND(Inputs!$C$60,Inputs!$C$61),INDEX(Utility_Rates!$C$29:$F$52,HOUR(C3191)+Inputs!$C$69,MATCH(INDEX(Utility_Rates!$K$6:$K$17,MONTH(C3191))&amp;IF(WEEKDAY(C3191,Inputs!$C$76)&lt;=Inputs!$C$74," weekday"," weekend"),Utility_Rates!$C$28:$F$28,Inputs!$C$68)),"")</f>
      </c>
      <c r="H3191" s="34"/>
      <c r="I3191" s="42">
        <f>IF(AND(ISNUMBER(D3191),ISNUMBER(H3191)),D3191*H3191*Inputs!$C$69,"")</f>
      </c>
      <c r="J3191" s="42">
        <f>IF(AND(ISNUMBER(F3191),ISNUMBER(H3191),F3191&gt;=Inputs!$C$68),F3191*H3191*Inputs!$C$69,"")</f>
      </c>
    </row>
    <row r="3192" spans="2:10" ht="15" customHeight="1" x14ac:dyDescent="0.2">
      <c r="B3192" s="39">
        <f t="shared" si="24"/>
      </c>
      <c r="C3192" s="40">
        <f>IF(Inputs!$C$60,Inputs!$C$11+(B3192-Inputs!$C$69)/Inputs!$C$70,"")</f>
      </c>
      <c r="D3192" s="15"/>
      <c r="E3192" s="15"/>
      <c r="F3192" s="11">
        <f t="shared" si="25"/>
      </c>
      <c r="G3192" s="22" cm="1">
        <f t="array" ref="G3192">IF(AND(Inputs!$C$60,Inputs!$C$61),INDEX(Utility_Rates!$C$29:$F$52,HOUR(C3192)+Inputs!$C$69,MATCH(INDEX(Utility_Rates!$K$6:$K$17,MONTH(C3192))&amp;IF(WEEKDAY(C3192,Inputs!$C$76)&lt;=Inputs!$C$74," weekday"," weekend"),Utility_Rates!$C$28:$F$28,Inputs!$C$68)),"")</f>
      </c>
      <c r="H3192" s="34"/>
      <c r="I3192" s="42">
        <f>IF(AND(ISNUMBER(D3192),ISNUMBER(H3192)),D3192*H3192*Inputs!$C$69,"")</f>
      </c>
      <c r="J3192" s="42">
        <f>IF(AND(ISNUMBER(F3192),ISNUMBER(H3192),F3192&gt;=Inputs!$C$68),F3192*H3192*Inputs!$C$69,"")</f>
      </c>
    </row>
    <row r="3193" spans="2:10" ht="15" customHeight="1" x14ac:dyDescent="0.2">
      <c r="B3193" s="39">
        <f t="shared" si="24"/>
      </c>
      <c r="C3193" s="40">
        <f>IF(Inputs!$C$60,Inputs!$C$11+(B3193-Inputs!$C$69)/Inputs!$C$70,"")</f>
      </c>
      <c r="D3193" s="15"/>
      <c r="E3193" s="15"/>
      <c r="F3193" s="11">
        <f t="shared" si="25"/>
      </c>
      <c r="G3193" s="22" cm="1">
        <f t="array" ref="G3193">IF(AND(Inputs!$C$60,Inputs!$C$61),INDEX(Utility_Rates!$C$29:$F$52,HOUR(C3193)+Inputs!$C$69,MATCH(INDEX(Utility_Rates!$K$6:$K$17,MONTH(C3193))&amp;IF(WEEKDAY(C3193,Inputs!$C$76)&lt;=Inputs!$C$74," weekday"," weekend"),Utility_Rates!$C$28:$F$28,Inputs!$C$68)),"")</f>
      </c>
      <c r="H3193" s="34"/>
      <c r="I3193" s="42">
        <f>IF(AND(ISNUMBER(D3193),ISNUMBER(H3193)),D3193*H3193*Inputs!$C$69,"")</f>
      </c>
      <c r="J3193" s="42">
        <f>IF(AND(ISNUMBER(F3193),ISNUMBER(H3193),F3193&gt;=Inputs!$C$68),F3193*H3193*Inputs!$C$69,"")</f>
      </c>
    </row>
    <row r="3194" spans="2:10" ht="15" customHeight="1" x14ac:dyDescent="0.2">
      <c r="B3194" s="39">
        <f t="shared" si="24"/>
      </c>
      <c r="C3194" s="40">
        <f>IF(Inputs!$C$60,Inputs!$C$11+(B3194-Inputs!$C$69)/Inputs!$C$70,"")</f>
      </c>
      <c r="D3194" s="15"/>
      <c r="E3194" s="15"/>
      <c r="F3194" s="11">
        <f t="shared" si="25"/>
      </c>
      <c r="G3194" s="22" cm="1">
        <f t="array" ref="G3194">IF(AND(Inputs!$C$60,Inputs!$C$61),INDEX(Utility_Rates!$C$29:$F$52,HOUR(C3194)+Inputs!$C$69,MATCH(INDEX(Utility_Rates!$K$6:$K$17,MONTH(C3194))&amp;IF(WEEKDAY(C3194,Inputs!$C$76)&lt;=Inputs!$C$74," weekday"," weekend"),Utility_Rates!$C$28:$F$28,Inputs!$C$68)),"")</f>
      </c>
      <c r="H3194" s="34"/>
      <c r="I3194" s="42">
        <f>IF(AND(ISNUMBER(D3194),ISNUMBER(H3194)),D3194*H3194*Inputs!$C$69,"")</f>
      </c>
      <c r="J3194" s="42">
        <f>IF(AND(ISNUMBER(F3194),ISNUMBER(H3194),F3194&gt;=Inputs!$C$68),F3194*H3194*Inputs!$C$69,"")</f>
      </c>
    </row>
    <row r="3195" spans="2:10" ht="15" customHeight="1" x14ac:dyDescent="0.2">
      <c r="B3195" s="39">
        <f t="shared" si="24"/>
      </c>
      <c r="C3195" s="40">
        <f>IF(Inputs!$C$60,Inputs!$C$11+(B3195-Inputs!$C$69)/Inputs!$C$70,"")</f>
      </c>
      <c r="D3195" s="15"/>
      <c r="E3195" s="15"/>
      <c r="F3195" s="11">
        <f t="shared" si="25"/>
      </c>
      <c r="G3195" s="22" cm="1">
        <f t="array" ref="G3195">IF(AND(Inputs!$C$60,Inputs!$C$61),INDEX(Utility_Rates!$C$29:$F$52,HOUR(C3195)+Inputs!$C$69,MATCH(INDEX(Utility_Rates!$K$6:$K$17,MONTH(C3195))&amp;IF(WEEKDAY(C3195,Inputs!$C$76)&lt;=Inputs!$C$74," weekday"," weekend"),Utility_Rates!$C$28:$F$28,Inputs!$C$68)),"")</f>
      </c>
      <c r="H3195" s="34"/>
      <c r="I3195" s="42">
        <f>IF(AND(ISNUMBER(D3195),ISNUMBER(H3195)),D3195*H3195*Inputs!$C$69,"")</f>
      </c>
      <c r="J3195" s="42">
        <f>IF(AND(ISNUMBER(F3195),ISNUMBER(H3195),F3195&gt;=Inputs!$C$68),F3195*H3195*Inputs!$C$69,"")</f>
      </c>
    </row>
    <row r="3196" spans="2:10" ht="15" customHeight="1" x14ac:dyDescent="0.2">
      <c r="B3196" s="39">
        <f t="shared" si="24"/>
      </c>
      <c r="C3196" s="40">
        <f>IF(Inputs!$C$60,Inputs!$C$11+(B3196-Inputs!$C$69)/Inputs!$C$70,"")</f>
      </c>
      <c r="D3196" s="15"/>
      <c r="E3196" s="15"/>
      <c r="F3196" s="11">
        <f t="shared" si="25"/>
      </c>
      <c r="G3196" s="22" cm="1">
        <f t="array" ref="G3196">IF(AND(Inputs!$C$60,Inputs!$C$61),INDEX(Utility_Rates!$C$29:$F$52,HOUR(C3196)+Inputs!$C$69,MATCH(INDEX(Utility_Rates!$K$6:$K$17,MONTH(C3196))&amp;IF(WEEKDAY(C3196,Inputs!$C$76)&lt;=Inputs!$C$74," weekday"," weekend"),Utility_Rates!$C$28:$F$28,Inputs!$C$68)),"")</f>
      </c>
      <c r="H3196" s="34"/>
      <c r="I3196" s="42">
        <f>IF(AND(ISNUMBER(D3196),ISNUMBER(H3196)),D3196*H3196*Inputs!$C$69,"")</f>
      </c>
      <c r="J3196" s="42">
        <f>IF(AND(ISNUMBER(F3196),ISNUMBER(H3196),F3196&gt;=Inputs!$C$68),F3196*H3196*Inputs!$C$69,"")</f>
      </c>
    </row>
    <row r="3197" spans="2:10" ht="15" customHeight="1" x14ac:dyDescent="0.2">
      <c r="B3197" s="39">
        <f t="shared" si="24"/>
      </c>
      <c r="C3197" s="40">
        <f>IF(Inputs!$C$60,Inputs!$C$11+(B3197-Inputs!$C$69)/Inputs!$C$70,"")</f>
      </c>
      <c r="D3197" s="15"/>
      <c r="E3197" s="15"/>
      <c r="F3197" s="11">
        <f t="shared" si="25"/>
      </c>
      <c r="G3197" s="22" cm="1">
        <f t="array" ref="G3197">IF(AND(Inputs!$C$60,Inputs!$C$61),INDEX(Utility_Rates!$C$29:$F$52,HOUR(C3197)+Inputs!$C$69,MATCH(INDEX(Utility_Rates!$K$6:$K$17,MONTH(C3197))&amp;IF(WEEKDAY(C3197,Inputs!$C$76)&lt;=Inputs!$C$74," weekday"," weekend"),Utility_Rates!$C$28:$F$28,Inputs!$C$68)),"")</f>
      </c>
      <c r="H3197" s="34"/>
      <c r="I3197" s="42">
        <f>IF(AND(ISNUMBER(D3197),ISNUMBER(H3197)),D3197*H3197*Inputs!$C$69,"")</f>
      </c>
      <c r="J3197" s="42">
        <f>IF(AND(ISNUMBER(F3197),ISNUMBER(H3197),F3197&gt;=Inputs!$C$68),F3197*H3197*Inputs!$C$69,"")</f>
      </c>
    </row>
    <row r="3198" spans="2:10" ht="15" customHeight="1" x14ac:dyDescent="0.2">
      <c r="B3198" s="39">
        <f t="shared" si="24"/>
      </c>
      <c r="C3198" s="40">
        <f>IF(Inputs!$C$60,Inputs!$C$11+(B3198-Inputs!$C$69)/Inputs!$C$70,"")</f>
      </c>
      <c r="D3198" s="15"/>
      <c r="E3198" s="15"/>
      <c r="F3198" s="11">
        <f t="shared" si="25"/>
      </c>
      <c r="G3198" s="22" cm="1">
        <f t="array" ref="G3198">IF(AND(Inputs!$C$60,Inputs!$C$61),INDEX(Utility_Rates!$C$29:$F$52,HOUR(C3198)+Inputs!$C$69,MATCH(INDEX(Utility_Rates!$K$6:$K$17,MONTH(C3198))&amp;IF(WEEKDAY(C3198,Inputs!$C$76)&lt;=Inputs!$C$74," weekday"," weekend"),Utility_Rates!$C$28:$F$28,Inputs!$C$68)),"")</f>
      </c>
      <c r="H3198" s="34"/>
      <c r="I3198" s="42">
        <f>IF(AND(ISNUMBER(D3198),ISNUMBER(H3198)),D3198*H3198*Inputs!$C$69,"")</f>
      </c>
      <c r="J3198" s="42">
        <f>IF(AND(ISNUMBER(F3198),ISNUMBER(H3198),F3198&gt;=Inputs!$C$68),F3198*H3198*Inputs!$C$69,"")</f>
      </c>
    </row>
    <row r="3199" spans="2:10" ht="15" customHeight="1" x14ac:dyDescent="0.2">
      <c r="B3199" s="39">
        <f t="shared" si="24"/>
      </c>
      <c r="C3199" s="40">
        <f>IF(Inputs!$C$60,Inputs!$C$11+(B3199-Inputs!$C$69)/Inputs!$C$70,"")</f>
      </c>
      <c r="D3199" s="15"/>
      <c r="E3199" s="15"/>
      <c r="F3199" s="11">
        <f t="shared" si="25"/>
      </c>
      <c r="G3199" s="22" cm="1">
        <f t="array" ref="G3199">IF(AND(Inputs!$C$60,Inputs!$C$61),INDEX(Utility_Rates!$C$29:$F$52,HOUR(C3199)+Inputs!$C$69,MATCH(INDEX(Utility_Rates!$K$6:$K$17,MONTH(C3199))&amp;IF(WEEKDAY(C3199,Inputs!$C$76)&lt;=Inputs!$C$74," weekday"," weekend"),Utility_Rates!$C$28:$F$28,Inputs!$C$68)),"")</f>
      </c>
      <c r="H3199" s="34"/>
      <c r="I3199" s="42">
        <f>IF(AND(ISNUMBER(D3199),ISNUMBER(H3199)),D3199*H3199*Inputs!$C$69,"")</f>
      </c>
      <c r="J3199" s="42">
        <f>IF(AND(ISNUMBER(F3199),ISNUMBER(H3199),F3199&gt;=Inputs!$C$68),F3199*H3199*Inputs!$C$69,"")</f>
      </c>
    </row>
    <row r="3200" spans="2:10" ht="15" customHeight="1" x14ac:dyDescent="0.2">
      <c r="B3200" s="39">
        <f t="shared" si="24"/>
      </c>
      <c r="C3200" s="40">
        <f>IF(Inputs!$C$60,Inputs!$C$11+(B3200-Inputs!$C$69)/Inputs!$C$70,"")</f>
      </c>
      <c r="D3200" s="15"/>
      <c r="E3200" s="15"/>
      <c r="F3200" s="11">
        <f t="shared" si="25"/>
      </c>
      <c r="G3200" s="22" cm="1">
        <f t="array" ref="G3200">IF(AND(Inputs!$C$60,Inputs!$C$61),INDEX(Utility_Rates!$C$29:$F$52,HOUR(C3200)+Inputs!$C$69,MATCH(INDEX(Utility_Rates!$K$6:$K$17,MONTH(C3200))&amp;IF(WEEKDAY(C3200,Inputs!$C$76)&lt;=Inputs!$C$74," weekday"," weekend"),Utility_Rates!$C$28:$F$28,Inputs!$C$68)),"")</f>
      </c>
      <c r="H3200" s="34"/>
      <c r="I3200" s="42">
        <f>IF(AND(ISNUMBER(D3200),ISNUMBER(H3200)),D3200*H3200*Inputs!$C$69,"")</f>
      </c>
      <c r="J3200" s="42">
        <f>IF(AND(ISNUMBER(F3200),ISNUMBER(H3200),F3200&gt;=Inputs!$C$68),F3200*H3200*Inputs!$C$69,"")</f>
      </c>
    </row>
    <row r="3201" spans="2:10" ht="15" customHeight="1" x14ac:dyDescent="0.2">
      <c r="B3201" s="39">
        <f t="shared" si="24"/>
      </c>
      <c r="C3201" s="40">
        <f>IF(Inputs!$C$60,Inputs!$C$11+(B3201-Inputs!$C$69)/Inputs!$C$70,"")</f>
      </c>
      <c r="D3201" s="15"/>
      <c r="E3201" s="15"/>
      <c r="F3201" s="11">
        <f t="shared" si="25"/>
      </c>
      <c r="G3201" s="22" cm="1">
        <f t="array" ref="G3201">IF(AND(Inputs!$C$60,Inputs!$C$61),INDEX(Utility_Rates!$C$29:$F$52,HOUR(C3201)+Inputs!$C$69,MATCH(INDEX(Utility_Rates!$K$6:$K$17,MONTH(C3201))&amp;IF(WEEKDAY(C3201,Inputs!$C$76)&lt;=Inputs!$C$74," weekday"," weekend"),Utility_Rates!$C$28:$F$28,Inputs!$C$68)),"")</f>
      </c>
      <c r="H3201" s="34"/>
      <c r="I3201" s="42">
        <f>IF(AND(ISNUMBER(D3201),ISNUMBER(H3201)),D3201*H3201*Inputs!$C$69,"")</f>
      </c>
      <c r="J3201" s="42">
        <f>IF(AND(ISNUMBER(F3201),ISNUMBER(H3201),F3201&gt;=Inputs!$C$68),F3201*H3201*Inputs!$C$69,"")</f>
      </c>
    </row>
    <row r="3202" spans="2:10" ht="15" customHeight="1" x14ac:dyDescent="0.2">
      <c r="B3202" s="39">
        <f t="shared" si="24"/>
      </c>
      <c r="C3202" s="40">
        <f>IF(Inputs!$C$60,Inputs!$C$11+(B3202-Inputs!$C$69)/Inputs!$C$70,"")</f>
      </c>
      <c r="D3202" s="15"/>
      <c r="E3202" s="15"/>
      <c r="F3202" s="11">
        <f t="shared" si="25"/>
      </c>
      <c r="G3202" s="22" cm="1">
        <f t="array" ref="G3202">IF(AND(Inputs!$C$60,Inputs!$C$61),INDEX(Utility_Rates!$C$29:$F$52,HOUR(C3202)+Inputs!$C$69,MATCH(INDEX(Utility_Rates!$K$6:$K$17,MONTH(C3202))&amp;IF(WEEKDAY(C3202,Inputs!$C$76)&lt;=Inputs!$C$74," weekday"," weekend"),Utility_Rates!$C$28:$F$28,Inputs!$C$68)),"")</f>
      </c>
      <c r="H3202" s="34"/>
      <c r="I3202" s="42">
        <f>IF(AND(ISNUMBER(D3202),ISNUMBER(H3202)),D3202*H3202*Inputs!$C$69,"")</f>
      </c>
      <c r="J3202" s="42">
        <f>IF(AND(ISNUMBER(F3202),ISNUMBER(H3202),F3202&gt;=Inputs!$C$68),F3202*H3202*Inputs!$C$69,"")</f>
      </c>
    </row>
    <row r="3203" spans="2:10" ht="15" customHeight="1" x14ac:dyDescent="0.2">
      <c r="B3203" s="39">
        <f t="shared" si="24"/>
      </c>
      <c r="C3203" s="40">
        <f>IF(Inputs!$C$60,Inputs!$C$11+(B3203-Inputs!$C$69)/Inputs!$C$70,"")</f>
      </c>
      <c r="D3203" s="15"/>
      <c r="E3203" s="15"/>
      <c r="F3203" s="11">
        <f t="shared" si="25"/>
      </c>
      <c r="G3203" s="22" cm="1">
        <f t="array" ref="G3203">IF(AND(Inputs!$C$60,Inputs!$C$61),INDEX(Utility_Rates!$C$29:$F$52,HOUR(C3203)+Inputs!$C$69,MATCH(INDEX(Utility_Rates!$K$6:$K$17,MONTH(C3203))&amp;IF(WEEKDAY(C3203,Inputs!$C$76)&lt;=Inputs!$C$74," weekday"," weekend"),Utility_Rates!$C$28:$F$28,Inputs!$C$68)),"")</f>
      </c>
      <c r="H3203" s="34"/>
      <c r="I3203" s="42">
        <f>IF(AND(ISNUMBER(D3203),ISNUMBER(H3203)),D3203*H3203*Inputs!$C$69,"")</f>
      </c>
      <c r="J3203" s="42">
        <f>IF(AND(ISNUMBER(F3203),ISNUMBER(H3203),F3203&gt;=Inputs!$C$68),F3203*H3203*Inputs!$C$69,"")</f>
      </c>
    </row>
    <row r="3204" spans="2:10" ht="15" customHeight="1" x14ac:dyDescent="0.2">
      <c r="B3204" s="39">
        <f t="shared" si="24"/>
      </c>
      <c r="C3204" s="40">
        <f>IF(Inputs!$C$60,Inputs!$C$11+(B3204-Inputs!$C$69)/Inputs!$C$70,"")</f>
      </c>
      <c r="D3204" s="15"/>
      <c r="E3204" s="15"/>
      <c r="F3204" s="11">
        <f t="shared" si="25"/>
      </c>
      <c r="G3204" s="22" cm="1">
        <f t="array" ref="G3204">IF(AND(Inputs!$C$60,Inputs!$C$61),INDEX(Utility_Rates!$C$29:$F$52,HOUR(C3204)+Inputs!$C$69,MATCH(INDEX(Utility_Rates!$K$6:$K$17,MONTH(C3204))&amp;IF(WEEKDAY(C3204,Inputs!$C$76)&lt;=Inputs!$C$74," weekday"," weekend"),Utility_Rates!$C$28:$F$28,Inputs!$C$68)),"")</f>
      </c>
      <c r="H3204" s="34"/>
      <c r="I3204" s="42">
        <f>IF(AND(ISNUMBER(D3204),ISNUMBER(H3204)),D3204*H3204*Inputs!$C$69,"")</f>
      </c>
      <c r="J3204" s="42">
        <f>IF(AND(ISNUMBER(F3204),ISNUMBER(H3204),F3204&gt;=Inputs!$C$68),F3204*H3204*Inputs!$C$69,"")</f>
      </c>
    </row>
    <row r="3205" spans="2:10" ht="15" customHeight="1" x14ac:dyDescent="0.2">
      <c r="B3205" s="39">
        <f t="shared" si="24"/>
      </c>
      <c r="C3205" s="40">
        <f>IF(Inputs!$C$60,Inputs!$C$11+(B3205-Inputs!$C$69)/Inputs!$C$70,"")</f>
      </c>
      <c r="D3205" s="15"/>
      <c r="E3205" s="15"/>
      <c r="F3205" s="11">
        <f t="shared" si="25"/>
      </c>
      <c r="G3205" s="22" cm="1">
        <f t="array" ref="G3205">IF(AND(Inputs!$C$60,Inputs!$C$61),INDEX(Utility_Rates!$C$29:$F$52,HOUR(C3205)+Inputs!$C$69,MATCH(INDEX(Utility_Rates!$K$6:$K$17,MONTH(C3205))&amp;IF(WEEKDAY(C3205,Inputs!$C$76)&lt;=Inputs!$C$74," weekday"," weekend"),Utility_Rates!$C$28:$F$28,Inputs!$C$68)),"")</f>
      </c>
      <c r="H3205" s="34"/>
      <c r="I3205" s="42">
        <f>IF(AND(ISNUMBER(D3205),ISNUMBER(H3205)),D3205*H3205*Inputs!$C$69,"")</f>
      </c>
      <c r="J3205" s="42">
        <f>IF(AND(ISNUMBER(F3205),ISNUMBER(H3205),F3205&gt;=Inputs!$C$68),F3205*H3205*Inputs!$C$69,"")</f>
      </c>
    </row>
    <row r="3206" spans="2:10" ht="15" customHeight="1" x14ac:dyDescent="0.2">
      <c r="B3206" s="39">
        <f t="shared" si="24"/>
      </c>
      <c r="C3206" s="40">
        <f>IF(Inputs!$C$60,Inputs!$C$11+(B3206-Inputs!$C$69)/Inputs!$C$70,"")</f>
      </c>
      <c r="D3206" s="15"/>
      <c r="E3206" s="15"/>
      <c r="F3206" s="11">
        <f t="shared" si="25"/>
      </c>
      <c r="G3206" s="22" cm="1">
        <f t="array" ref="G3206">IF(AND(Inputs!$C$60,Inputs!$C$61),INDEX(Utility_Rates!$C$29:$F$52,HOUR(C3206)+Inputs!$C$69,MATCH(INDEX(Utility_Rates!$K$6:$K$17,MONTH(C3206))&amp;IF(WEEKDAY(C3206,Inputs!$C$76)&lt;=Inputs!$C$74," weekday"," weekend"),Utility_Rates!$C$28:$F$28,Inputs!$C$68)),"")</f>
      </c>
      <c r="H3206" s="34"/>
      <c r="I3206" s="42">
        <f>IF(AND(ISNUMBER(D3206),ISNUMBER(H3206)),D3206*H3206*Inputs!$C$69,"")</f>
      </c>
      <c r="J3206" s="42">
        <f>IF(AND(ISNUMBER(F3206),ISNUMBER(H3206),F3206&gt;=Inputs!$C$68),F3206*H3206*Inputs!$C$69,"")</f>
      </c>
    </row>
    <row r="3207" spans="2:10" ht="15" customHeight="1" x14ac:dyDescent="0.2">
      <c r="B3207" s="39">
        <f t="shared" si="24"/>
      </c>
      <c r="C3207" s="40">
        <f>IF(Inputs!$C$60,Inputs!$C$11+(B3207-Inputs!$C$69)/Inputs!$C$70,"")</f>
      </c>
      <c r="D3207" s="15"/>
      <c r="E3207" s="15"/>
      <c r="F3207" s="11">
        <f t="shared" si="25"/>
      </c>
      <c r="G3207" s="22" cm="1">
        <f t="array" ref="G3207">IF(AND(Inputs!$C$60,Inputs!$C$61),INDEX(Utility_Rates!$C$29:$F$52,HOUR(C3207)+Inputs!$C$69,MATCH(INDEX(Utility_Rates!$K$6:$K$17,MONTH(C3207))&amp;IF(WEEKDAY(C3207,Inputs!$C$76)&lt;=Inputs!$C$74," weekday"," weekend"),Utility_Rates!$C$28:$F$28,Inputs!$C$68)),"")</f>
      </c>
      <c r="H3207" s="34"/>
      <c r="I3207" s="42">
        <f>IF(AND(ISNUMBER(D3207),ISNUMBER(H3207)),D3207*H3207*Inputs!$C$69,"")</f>
      </c>
      <c r="J3207" s="42">
        <f>IF(AND(ISNUMBER(F3207),ISNUMBER(H3207),F3207&gt;=Inputs!$C$68),F3207*H3207*Inputs!$C$69,"")</f>
      </c>
    </row>
    <row r="3208" spans="2:10" ht="15" customHeight="1" x14ac:dyDescent="0.2">
      <c r="B3208" s="39">
        <f t="shared" si="24"/>
      </c>
      <c r="C3208" s="40">
        <f>IF(Inputs!$C$60,Inputs!$C$11+(B3208-Inputs!$C$69)/Inputs!$C$70,"")</f>
      </c>
      <c r="D3208" s="15"/>
      <c r="E3208" s="15"/>
      <c r="F3208" s="11">
        <f t="shared" si="25"/>
      </c>
      <c r="G3208" s="22" cm="1">
        <f t="array" ref="G3208">IF(AND(Inputs!$C$60,Inputs!$C$61),INDEX(Utility_Rates!$C$29:$F$52,HOUR(C3208)+Inputs!$C$69,MATCH(INDEX(Utility_Rates!$K$6:$K$17,MONTH(C3208))&amp;IF(WEEKDAY(C3208,Inputs!$C$76)&lt;=Inputs!$C$74," weekday"," weekend"),Utility_Rates!$C$28:$F$28,Inputs!$C$68)),"")</f>
      </c>
      <c r="H3208" s="34"/>
      <c r="I3208" s="42">
        <f>IF(AND(ISNUMBER(D3208),ISNUMBER(H3208)),D3208*H3208*Inputs!$C$69,"")</f>
      </c>
      <c r="J3208" s="42">
        <f>IF(AND(ISNUMBER(F3208),ISNUMBER(H3208),F3208&gt;=Inputs!$C$68),F3208*H3208*Inputs!$C$69,"")</f>
      </c>
    </row>
    <row r="3209" spans="2:10" ht="15" customHeight="1" x14ac:dyDescent="0.2">
      <c r="B3209" s="39">
        <f t="shared" si="24"/>
      </c>
      <c r="C3209" s="40">
        <f>IF(Inputs!$C$60,Inputs!$C$11+(B3209-Inputs!$C$69)/Inputs!$C$70,"")</f>
      </c>
      <c r="D3209" s="15"/>
      <c r="E3209" s="15"/>
      <c r="F3209" s="11">
        <f t="shared" si="25"/>
      </c>
      <c r="G3209" s="22" cm="1">
        <f t="array" ref="G3209">IF(AND(Inputs!$C$60,Inputs!$C$61),INDEX(Utility_Rates!$C$29:$F$52,HOUR(C3209)+Inputs!$C$69,MATCH(INDEX(Utility_Rates!$K$6:$K$17,MONTH(C3209))&amp;IF(WEEKDAY(C3209,Inputs!$C$76)&lt;=Inputs!$C$74," weekday"," weekend"),Utility_Rates!$C$28:$F$28,Inputs!$C$68)),"")</f>
      </c>
      <c r="H3209" s="34"/>
      <c r="I3209" s="42">
        <f>IF(AND(ISNUMBER(D3209),ISNUMBER(H3209)),D3209*H3209*Inputs!$C$69,"")</f>
      </c>
      <c r="J3209" s="42">
        <f>IF(AND(ISNUMBER(F3209),ISNUMBER(H3209),F3209&gt;=Inputs!$C$68),F3209*H3209*Inputs!$C$69,"")</f>
      </c>
    </row>
    <row r="3210" spans="2:10" ht="15" customHeight="1" x14ac:dyDescent="0.2">
      <c r="B3210" s="39">
        <f t="shared" si="24"/>
      </c>
      <c r="C3210" s="40">
        <f>IF(Inputs!$C$60,Inputs!$C$11+(B3210-Inputs!$C$69)/Inputs!$C$70,"")</f>
      </c>
      <c r="D3210" s="15"/>
      <c r="E3210" s="15"/>
      <c r="F3210" s="11">
        <f t="shared" si="25"/>
      </c>
      <c r="G3210" s="22" cm="1">
        <f t="array" ref="G3210">IF(AND(Inputs!$C$60,Inputs!$C$61),INDEX(Utility_Rates!$C$29:$F$52,HOUR(C3210)+Inputs!$C$69,MATCH(INDEX(Utility_Rates!$K$6:$K$17,MONTH(C3210))&amp;IF(WEEKDAY(C3210,Inputs!$C$76)&lt;=Inputs!$C$74," weekday"," weekend"),Utility_Rates!$C$28:$F$28,Inputs!$C$68)),"")</f>
      </c>
      <c r="H3210" s="34"/>
      <c r="I3210" s="42">
        <f>IF(AND(ISNUMBER(D3210),ISNUMBER(H3210)),D3210*H3210*Inputs!$C$69,"")</f>
      </c>
      <c r="J3210" s="42">
        <f>IF(AND(ISNUMBER(F3210),ISNUMBER(H3210),F3210&gt;=Inputs!$C$68),F3210*H3210*Inputs!$C$69,"")</f>
      </c>
    </row>
    <row r="3211" spans="2:10" ht="15" customHeight="1" x14ac:dyDescent="0.2">
      <c r="B3211" s="39">
        <f t="shared" si="24"/>
      </c>
      <c r="C3211" s="40">
        <f>IF(Inputs!$C$60,Inputs!$C$11+(B3211-Inputs!$C$69)/Inputs!$C$70,"")</f>
      </c>
      <c r="D3211" s="15"/>
      <c r="E3211" s="15"/>
      <c r="F3211" s="11">
        <f t="shared" si="25"/>
      </c>
      <c r="G3211" s="22" cm="1">
        <f t="array" ref="G3211">IF(AND(Inputs!$C$60,Inputs!$C$61),INDEX(Utility_Rates!$C$29:$F$52,HOUR(C3211)+Inputs!$C$69,MATCH(INDEX(Utility_Rates!$K$6:$K$17,MONTH(C3211))&amp;IF(WEEKDAY(C3211,Inputs!$C$76)&lt;=Inputs!$C$74," weekday"," weekend"),Utility_Rates!$C$28:$F$28,Inputs!$C$68)),"")</f>
      </c>
      <c r="H3211" s="34"/>
      <c r="I3211" s="42">
        <f>IF(AND(ISNUMBER(D3211),ISNUMBER(H3211)),D3211*H3211*Inputs!$C$69,"")</f>
      </c>
      <c r="J3211" s="42">
        <f>IF(AND(ISNUMBER(F3211),ISNUMBER(H3211),F3211&gt;=Inputs!$C$68),F3211*H3211*Inputs!$C$69,"")</f>
      </c>
    </row>
    <row r="3212" spans="2:10" ht="15" customHeight="1" x14ac:dyDescent="0.2">
      <c r="B3212" s="39">
        <f t="shared" si="24"/>
      </c>
      <c r="C3212" s="40">
        <f>IF(Inputs!$C$60,Inputs!$C$11+(B3212-Inputs!$C$69)/Inputs!$C$70,"")</f>
      </c>
      <c r="D3212" s="15"/>
      <c r="E3212" s="15"/>
      <c r="F3212" s="11">
        <f t="shared" si="25"/>
      </c>
      <c r="G3212" s="22" cm="1">
        <f t="array" ref="G3212">IF(AND(Inputs!$C$60,Inputs!$C$61),INDEX(Utility_Rates!$C$29:$F$52,HOUR(C3212)+Inputs!$C$69,MATCH(INDEX(Utility_Rates!$K$6:$K$17,MONTH(C3212))&amp;IF(WEEKDAY(C3212,Inputs!$C$76)&lt;=Inputs!$C$74," weekday"," weekend"),Utility_Rates!$C$28:$F$28,Inputs!$C$68)),"")</f>
      </c>
      <c r="H3212" s="34"/>
      <c r="I3212" s="42">
        <f>IF(AND(ISNUMBER(D3212),ISNUMBER(H3212)),D3212*H3212*Inputs!$C$69,"")</f>
      </c>
      <c r="J3212" s="42">
        <f>IF(AND(ISNUMBER(F3212),ISNUMBER(H3212),F3212&gt;=Inputs!$C$68),F3212*H3212*Inputs!$C$69,"")</f>
      </c>
    </row>
    <row r="3213" spans="2:10" ht="15" customHeight="1" x14ac:dyDescent="0.2">
      <c r="B3213" s="39">
        <f t="shared" si="24"/>
      </c>
      <c r="C3213" s="40">
        <f>IF(Inputs!$C$60,Inputs!$C$11+(B3213-Inputs!$C$69)/Inputs!$C$70,"")</f>
      </c>
      <c r="D3213" s="15"/>
      <c r="E3213" s="15"/>
      <c r="F3213" s="11">
        <f t="shared" si="25"/>
      </c>
      <c r="G3213" s="22" cm="1">
        <f t="array" ref="G3213">IF(AND(Inputs!$C$60,Inputs!$C$61),INDEX(Utility_Rates!$C$29:$F$52,HOUR(C3213)+Inputs!$C$69,MATCH(INDEX(Utility_Rates!$K$6:$K$17,MONTH(C3213))&amp;IF(WEEKDAY(C3213,Inputs!$C$76)&lt;=Inputs!$C$74," weekday"," weekend"),Utility_Rates!$C$28:$F$28,Inputs!$C$68)),"")</f>
      </c>
      <c r="H3213" s="34"/>
      <c r="I3213" s="42">
        <f>IF(AND(ISNUMBER(D3213),ISNUMBER(H3213)),D3213*H3213*Inputs!$C$69,"")</f>
      </c>
      <c r="J3213" s="42">
        <f>IF(AND(ISNUMBER(F3213),ISNUMBER(H3213),F3213&gt;=Inputs!$C$68),F3213*H3213*Inputs!$C$69,"")</f>
      </c>
    </row>
    <row r="3214" spans="2:10" ht="15" customHeight="1" x14ac:dyDescent="0.2">
      <c r="B3214" s="39">
        <f t="shared" si="24"/>
      </c>
      <c r="C3214" s="40">
        <f>IF(Inputs!$C$60,Inputs!$C$11+(B3214-Inputs!$C$69)/Inputs!$C$70,"")</f>
      </c>
      <c r="D3214" s="15"/>
      <c r="E3214" s="15"/>
      <c r="F3214" s="11">
        <f t="shared" si="25"/>
      </c>
      <c r="G3214" s="22" cm="1">
        <f t="array" ref="G3214">IF(AND(Inputs!$C$60,Inputs!$C$61),INDEX(Utility_Rates!$C$29:$F$52,HOUR(C3214)+Inputs!$C$69,MATCH(INDEX(Utility_Rates!$K$6:$K$17,MONTH(C3214))&amp;IF(WEEKDAY(C3214,Inputs!$C$76)&lt;=Inputs!$C$74," weekday"," weekend"),Utility_Rates!$C$28:$F$28,Inputs!$C$68)),"")</f>
      </c>
      <c r="H3214" s="34"/>
      <c r="I3214" s="42">
        <f>IF(AND(ISNUMBER(D3214),ISNUMBER(H3214)),D3214*H3214*Inputs!$C$69,"")</f>
      </c>
      <c r="J3214" s="42">
        <f>IF(AND(ISNUMBER(F3214),ISNUMBER(H3214),F3214&gt;=Inputs!$C$68),F3214*H3214*Inputs!$C$69,"")</f>
      </c>
    </row>
    <row r="3215" spans="2:10" ht="15" customHeight="1" x14ac:dyDescent="0.2">
      <c r="B3215" s="39">
        <f t="shared" si="24"/>
      </c>
      <c r="C3215" s="40">
        <f>IF(Inputs!$C$60,Inputs!$C$11+(B3215-Inputs!$C$69)/Inputs!$C$70,"")</f>
      </c>
      <c r="D3215" s="15"/>
      <c r="E3215" s="15"/>
      <c r="F3215" s="11">
        <f t="shared" si="25"/>
      </c>
      <c r="G3215" s="22" cm="1">
        <f t="array" ref="G3215">IF(AND(Inputs!$C$60,Inputs!$C$61),INDEX(Utility_Rates!$C$29:$F$52,HOUR(C3215)+Inputs!$C$69,MATCH(INDEX(Utility_Rates!$K$6:$K$17,MONTH(C3215))&amp;IF(WEEKDAY(C3215,Inputs!$C$76)&lt;=Inputs!$C$74," weekday"," weekend"),Utility_Rates!$C$28:$F$28,Inputs!$C$68)),"")</f>
      </c>
      <c r="H3215" s="34"/>
      <c r="I3215" s="42">
        <f>IF(AND(ISNUMBER(D3215),ISNUMBER(H3215)),D3215*H3215*Inputs!$C$69,"")</f>
      </c>
      <c r="J3215" s="42">
        <f>IF(AND(ISNUMBER(F3215),ISNUMBER(H3215),F3215&gt;=Inputs!$C$68),F3215*H3215*Inputs!$C$69,"")</f>
      </c>
    </row>
    <row r="3216" spans="2:10" ht="15" customHeight="1" x14ac:dyDescent="0.2">
      <c r="B3216" s="39">
        <f t="shared" si="24"/>
      </c>
      <c r="C3216" s="40">
        <f>IF(Inputs!$C$60,Inputs!$C$11+(B3216-Inputs!$C$69)/Inputs!$C$70,"")</f>
      </c>
      <c r="D3216" s="15"/>
      <c r="E3216" s="15"/>
      <c r="F3216" s="11">
        <f t="shared" si="25"/>
      </c>
      <c r="G3216" s="22" cm="1">
        <f t="array" ref="G3216">IF(AND(Inputs!$C$60,Inputs!$C$61),INDEX(Utility_Rates!$C$29:$F$52,HOUR(C3216)+Inputs!$C$69,MATCH(INDEX(Utility_Rates!$K$6:$K$17,MONTH(C3216))&amp;IF(WEEKDAY(C3216,Inputs!$C$76)&lt;=Inputs!$C$74," weekday"," weekend"),Utility_Rates!$C$28:$F$28,Inputs!$C$68)),"")</f>
      </c>
      <c r="H3216" s="34"/>
      <c r="I3216" s="42">
        <f>IF(AND(ISNUMBER(D3216),ISNUMBER(H3216)),D3216*H3216*Inputs!$C$69,"")</f>
      </c>
      <c r="J3216" s="42">
        <f>IF(AND(ISNUMBER(F3216),ISNUMBER(H3216),F3216&gt;=Inputs!$C$68),F3216*H3216*Inputs!$C$69,"")</f>
      </c>
    </row>
    <row r="3217" spans="2:10" ht="15" customHeight="1" x14ac:dyDescent="0.2">
      <c r="B3217" s="39">
        <f t="shared" si="24"/>
      </c>
      <c r="C3217" s="40">
        <f>IF(Inputs!$C$60,Inputs!$C$11+(B3217-Inputs!$C$69)/Inputs!$C$70,"")</f>
      </c>
      <c r="D3217" s="15"/>
      <c r="E3217" s="15"/>
      <c r="F3217" s="11">
        <f t="shared" si="25"/>
      </c>
      <c r="G3217" s="22" cm="1">
        <f t="array" ref="G3217">IF(AND(Inputs!$C$60,Inputs!$C$61),INDEX(Utility_Rates!$C$29:$F$52,HOUR(C3217)+Inputs!$C$69,MATCH(INDEX(Utility_Rates!$K$6:$K$17,MONTH(C3217))&amp;IF(WEEKDAY(C3217,Inputs!$C$76)&lt;=Inputs!$C$74," weekday"," weekend"),Utility_Rates!$C$28:$F$28,Inputs!$C$68)),"")</f>
      </c>
      <c r="H3217" s="34"/>
      <c r="I3217" s="42">
        <f>IF(AND(ISNUMBER(D3217),ISNUMBER(H3217)),D3217*H3217*Inputs!$C$69,"")</f>
      </c>
      <c r="J3217" s="42">
        <f>IF(AND(ISNUMBER(F3217),ISNUMBER(H3217),F3217&gt;=Inputs!$C$68),F3217*H3217*Inputs!$C$69,"")</f>
      </c>
    </row>
    <row r="3218" spans="2:10" ht="15" customHeight="1" x14ac:dyDescent="0.2">
      <c r="B3218" s="39">
        <f t="shared" si="24"/>
      </c>
      <c r="C3218" s="40">
        <f>IF(Inputs!$C$60,Inputs!$C$11+(B3218-Inputs!$C$69)/Inputs!$C$70,"")</f>
      </c>
      <c r="D3218" s="15"/>
      <c r="E3218" s="15"/>
      <c r="F3218" s="11">
        <f t="shared" si="25"/>
      </c>
      <c r="G3218" s="22" cm="1">
        <f t="array" ref="G3218">IF(AND(Inputs!$C$60,Inputs!$C$61),INDEX(Utility_Rates!$C$29:$F$52,HOUR(C3218)+Inputs!$C$69,MATCH(INDEX(Utility_Rates!$K$6:$K$17,MONTH(C3218))&amp;IF(WEEKDAY(C3218,Inputs!$C$76)&lt;=Inputs!$C$74," weekday"," weekend"),Utility_Rates!$C$28:$F$28,Inputs!$C$68)),"")</f>
      </c>
      <c r="H3218" s="34"/>
      <c r="I3218" s="42">
        <f>IF(AND(ISNUMBER(D3218),ISNUMBER(H3218)),D3218*H3218*Inputs!$C$69,"")</f>
      </c>
      <c r="J3218" s="42">
        <f>IF(AND(ISNUMBER(F3218),ISNUMBER(H3218),F3218&gt;=Inputs!$C$68),F3218*H3218*Inputs!$C$69,"")</f>
      </c>
    </row>
    <row r="3219" spans="2:10" ht="15" customHeight="1" x14ac:dyDescent="0.2">
      <c r="B3219" s="39">
        <f t="shared" si="24"/>
      </c>
      <c r="C3219" s="40">
        <f>IF(Inputs!$C$60,Inputs!$C$11+(B3219-Inputs!$C$69)/Inputs!$C$70,"")</f>
      </c>
      <c r="D3219" s="15"/>
      <c r="E3219" s="15"/>
      <c r="F3219" s="11">
        <f t="shared" si="25"/>
      </c>
      <c r="G3219" s="22" cm="1">
        <f t="array" ref="G3219">IF(AND(Inputs!$C$60,Inputs!$C$61),INDEX(Utility_Rates!$C$29:$F$52,HOUR(C3219)+Inputs!$C$69,MATCH(INDEX(Utility_Rates!$K$6:$K$17,MONTH(C3219))&amp;IF(WEEKDAY(C3219,Inputs!$C$76)&lt;=Inputs!$C$74," weekday"," weekend"),Utility_Rates!$C$28:$F$28,Inputs!$C$68)),"")</f>
      </c>
      <c r="H3219" s="34"/>
      <c r="I3219" s="42">
        <f>IF(AND(ISNUMBER(D3219),ISNUMBER(H3219)),D3219*H3219*Inputs!$C$69,"")</f>
      </c>
      <c r="J3219" s="42">
        <f>IF(AND(ISNUMBER(F3219),ISNUMBER(H3219),F3219&gt;=Inputs!$C$68),F3219*H3219*Inputs!$C$69,"")</f>
      </c>
    </row>
    <row r="3220" spans="2:10" ht="15" customHeight="1" x14ac:dyDescent="0.2">
      <c r="B3220" s="39">
        <f t="shared" si="24"/>
      </c>
      <c r="C3220" s="40">
        <f>IF(Inputs!$C$60,Inputs!$C$11+(B3220-Inputs!$C$69)/Inputs!$C$70,"")</f>
      </c>
      <c r="D3220" s="15"/>
      <c r="E3220" s="15"/>
      <c r="F3220" s="11">
        <f t="shared" si="25"/>
      </c>
      <c r="G3220" s="22" cm="1">
        <f t="array" ref="G3220">IF(AND(Inputs!$C$60,Inputs!$C$61),INDEX(Utility_Rates!$C$29:$F$52,HOUR(C3220)+Inputs!$C$69,MATCH(INDEX(Utility_Rates!$K$6:$K$17,MONTH(C3220))&amp;IF(WEEKDAY(C3220,Inputs!$C$76)&lt;=Inputs!$C$74," weekday"," weekend"),Utility_Rates!$C$28:$F$28,Inputs!$C$68)),"")</f>
      </c>
      <c r="H3220" s="34"/>
      <c r="I3220" s="42">
        <f>IF(AND(ISNUMBER(D3220),ISNUMBER(H3220)),D3220*H3220*Inputs!$C$69,"")</f>
      </c>
      <c r="J3220" s="42">
        <f>IF(AND(ISNUMBER(F3220),ISNUMBER(H3220),F3220&gt;=Inputs!$C$68),F3220*H3220*Inputs!$C$69,"")</f>
      </c>
    </row>
    <row r="3221" spans="2:10" ht="15" customHeight="1" x14ac:dyDescent="0.2">
      <c r="B3221" s="39">
        <f t="shared" si="24"/>
      </c>
      <c r="C3221" s="40">
        <f>IF(Inputs!$C$60,Inputs!$C$11+(B3221-Inputs!$C$69)/Inputs!$C$70,"")</f>
      </c>
      <c r="D3221" s="15"/>
      <c r="E3221" s="15"/>
      <c r="F3221" s="11">
        <f t="shared" si="25"/>
      </c>
      <c r="G3221" s="22" cm="1">
        <f t="array" ref="G3221">IF(AND(Inputs!$C$60,Inputs!$C$61),INDEX(Utility_Rates!$C$29:$F$52,HOUR(C3221)+Inputs!$C$69,MATCH(INDEX(Utility_Rates!$K$6:$K$17,MONTH(C3221))&amp;IF(WEEKDAY(C3221,Inputs!$C$76)&lt;=Inputs!$C$74," weekday"," weekend"),Utility_Rates!$C$28:$F$28,Inputs!$C$68)),"")</f>
      </c>
      <c r="H3221" s="34"/>
      <c r="I3221" s="42">
        <f>IF(AND(ISNUMBER(D3221),ISNUMBER(H3221)),D3221*H3221*Inputs!$C$69,"")</f>
      </c>
      <c r="J3221" s="42">
        <f>IF(AND(ISNUMBER(F3221),ISNUMBER(H3221),F3221&gt;=Inputs!$C$68),F3221*H3221*Inputs!$C$69,"")</f>
      </c>
    </row>
    <row r="3222" spans="2:10" ht="15" customHeight="1" x14ac:dyDescent="0.2">
      <c r="B3222" s="39">
        <f t="shared" si="24"/>
      </c>
      <c r="C3222" s="40">
        <f>IF(Inputs!$C$60,Inputs!$C$11+(B3222-Inputs!$C$69)/Inputs!$C$70,"")</f>
      </c>
      <c r="D3222" s="15"/>
      <c r="E3222" s="15"/>
      <c r="F3222" s="11">
        <f t="shared" si="25"/>
      </c>
      <c r="G3222" s="22" cm="1">
        <f t="array" ref="G3222">IF(AND(Inputs!$C$60,Inputs!$C$61),INDEX(Utility_Rates!$C$29:$F$52,HOUR(C3222)+Inputs!$C$69,MATCH(INDEX(Utility_Rates!$K$6:$K$17,MONTH(C3222))&amp;IF(WEEKDAY(C3222,Inputs!$C$76)&lt;=Inputs!$C$74," weekday"," weekend"),Utility_Rates!$C$28:$F$28,Inputs!$C$68)),"")</f>
      </c>
      <c r="H3222" s="34"/>
      <c r="I3222" s="42">
        <f>IF(AND(ISNUMBER(D3222),ISNUMBER(H3222)),D3222*H3222*Inputs!$C$69,"")</f>
      </c>
      <c r="J3222" s="42">
        <f>IF(AND(ISNUMBER(F3222),ISNUMBER(H3222),F3222&gt;=Inputs!$C$68),F3222*H3222*Inputs!$C$69,"")</f>
      </c>
    </row>
    <row r="3223" spans="2:10" ht="15" customHeight="1" x14ac:dyDescent="0.2">
      <c r="B3223" s="39">
        <f t="shared" si="24"/>
      </c>
      <c r="C3223" s="40">
        <f>IF(Inputs!$C$60,Inputs!$C$11+(B3223-Inputs!$C$69)/Inputs!$C$70,"")</f>
      </c>
      <c r="D3223" s="15"/>
      <c r="E3223" s="15"/>
      <c r="F3223" s="11">
        <f t="shared" si="25"/>
      </c>
      <c r="G3223" s="22" cm="1">
        <f t="array" ref="G3223">IF(AND(Inputs!$C$60,Inputs!$C$61),INDEX(Utility_Rates!$C$29:$F$52,HOUR(C3223)+Inputs!$C$69,MATCH(INDEX(Utility_Rates!$K$6:$K$17,MONTH(C3223))&amp;IF(WEEKDAY(C3223,Inputs!$C$76)&lt;=Inputs!$C$74," weekday"," weekend"),Utility_Rates!$C$28:$F$28,Inputs!$C$68)),"")</f>
      </c>
      <c r="H3223" s="34"/>
      <c r="I3223" s="42">
        <f>IF(AND(ISNUMBER(D3223),ISNUMBER(H3223)),D3223*H3223*Inputs!$C$69,"")</f>
      </c>
      <c r="J3223" s="42">
        <f>IF(AND(ISNUMBER(F3223),ISNUMBER(H3223),F3223&gt;=Inputs!$C$68),F3223*H3223*Inputs!$C$69,"")</f>
      </c>
    </row>
    <row r="3224" spans="2:10" ht="15" customHeight="1" x14ac:dyDescent="0.2">
      <c r="B3224" s="39">
        <f t="shared" si="24"/>
      </c>
      <c r="C3224" s="40">
        <f>IF(Inputs!$C$60,Inputs!$C$11+(B3224-Inputs!$C$69)/Inputs!$C$70,"")</f>
      </c>
      <c r="D3224" s="15"/>
      <c r="E3224" s="15"/>
      <c r="F3224" s="11">
        <f t="shared" si="25"/>
      </c>
      <c r="G3224" s="22" cm="1">
        <f t="array" ref="G3224">IF(AND(Inputs!$C$60,Inputs!$C$61),INDEX(Utility_Rates!$C$29:$F$52,HOUR(C3224)+Inputs!$C$69,MATCH(INDEX(Utility_Rates!$K$6:$K$17,MONTH(C3224))&amp;IF(WEEKDAY(C3224,Inputs!$C$76)&lt;=Inputs!$C$74," weekday"," weekend"),Utility_Rates!$C$28:$F$28,Inputs!$C$68)),"")</f>
      </c>
      <c r="H3224" s="34"/>
      <c r="I3224" s="42">
        <f>IF(AND(ISNUMBER(D3224),ISNUMBER(H3224)),D3224*H3224*Inputs!$C$69,"")</f>
      </c>
      <c r="J3224" s="42">
        <f>IF(AND(ISNUMBER(F3224),ISNUMBER(H3224),F3224&gt;=Inputs!$C$68),F3224*H3224*Inputs!$C$69,"")</f>
      </c>
    </row>
    <row r="3225" spans="2:10" ht="15" customHeight="1" x14ac:dyDescent="0.2">
      <c r="B3225" s="39">
        <f t="shared" si="24"/>
      </c>
      <c r="C3225" s="40">
        <f>IF(Inputs!$C$60,Inputs!$C$11+(B3225-Inputs!$C$69)/Inputs!$C$70,"")</f>
      </c>
      <c r="D3225" s="15"/>
      <c r="E3225" s="15"/>
      <c r="F3225" s="11">
        <f t="shared" si="25"/>
      </c>
      <c r="G3225" s="22" cm="1">
        <f t="array" ref="G3225">IF(AND(Inputs!$C$60,Inputs!$C$61),INDEX(Utility_Rates!$C$29:$F$52,HOUR(C3225)+Inputs!$C$69,MATCH(INDEX(Utility_Rates!$K$6:$K$17,MONTH(C3225))&amp;IF(WEEKDAY(C3225,Inputs!$C$76)&lt;=Inputs!$C$74," weekday"," weekend"),Utility_Rates!$C$28:$F$28,Inputs!$C$68)),"")</f>
      </c>
      <c r="H3225" s="34"/>
      <c r="I3225" s="42">
        <f>IF(AND(ISNUMBER(D3225),ISNUMBER(H3225)),D3225*H3225*Inputs!$C$69,"")</f>
      </c>
      <c r="J3225" s="42">
        <f>IF(AND(ISNUMBER(F3225),ISNUMBER(H3225),F3225&gt;=Inputs!$C$68),F3225*H3225*Inputs!$C$69,"")</f>
      </c>
    </row>
    <row r="3226" spans="2:10" ht="15" customHeight="1" x14ac:dyDescent="0.2">
      <c r="B3226" s="39">
        <f t="shared" si="24"/>
      </c>
      <c r="C3226" s="40">
        <f>IF(Inputs!$C$60,Inputs!$C$11+(B3226-Inputs!$C$69)/Inputs!$C$70,"")</f>
      </c>
      <c r="D3226" s="15"/>
      <c r="E3226" s="15"/>
      <c r="F3226" s="11">
        <f t="shared" si="25"/>
      </c>
      <c r="G3226" s="22" cm="1">
        <f t="array" ref="G3226">IF(AND(Inputs!$C$60,Inputs!$C$61),INDEX(Utility_Rates!$C$29:$F$52,HOUR(C3226)+Inputs!$C$69,MATCH(INDEX(Utility_Rates!$K$6:$K$17,MONTH(C3226))&amp;IF(WEEKDAY(C3226,Inputs!$C$76)&lt;=Inputs!$C$74," weekday"," weekend"),Utility_Rates!$C$28:$F$28,Inputs!$C$68)),"")</f>
      </c>
      <c r="H3226" s="34"/>
      <c r="I3226" s="42">
        <f>IF(AND(ISNUMBER(D3226),ISNUMBER(H3226)),D3226*H3226*Inputs!$C$69,"")</f>
      </c>
      <c r="J3226" s="42">
        <f>IF(AND(ISNUMBER(F3226),ISNUMBER(H3226),F3226&gt;=Inputs!$C$68),F3226*H3226*Inputs!$C$69,"")</f>
      </c>
    </row>
    <row r="3227" spans="2:10" ht="15" customHeight="1" x14ac:dyDescent="0.2">
      <c r="B3227" s="39">
        <f t="shared" si="24"/>
      </c>
      <c r="C3227" s="40">
        <f>IF(Inputs!$C$60,Inputs!$C$11+(B3227-Inputs!$C$69)/Inputs!$C$70,"")</f>
      </c>
      <c r="D3227" s="15"/>
      <c r="E3227" s="15"/>
      <c r="F3227" s="11">
        <f t="shared" si="25"/>
      </c>
      <c r="G3227" s="22" cm="1">
        <f t="array" ref="G3227">IF(AND(Inputs!$C$60,Inputs!$C$61),INDEX(Utility_Rates!$C$29:$F$52,HOUR(C3227)+Inputs!$C$69,MATCH(INDEX(Utility_Rates!$K$6:$K$17,MONTH(C3227))&amp;IF(WEEKDAY(C3227,Inputs!$C$76)&lt;=Inputs!$C$74," weekday"," weekend"),Utility_Rates!$C$28:$F$28,Inputs!$C$68)),"")</f>
      </c>
      <c r="H3227" s="34"/>
      <c r="I3227" s="42">
        <f>IF(AND(ISNUMBER(D3227),ISNUMBER(H3227)),D3227*H3227*Inputs!$C$69,"")</f>
      </c>
      <c r="J3227" s="42">
        <f>IF(AND(ISNUMBER(F3227),ISNUMBER(H3227),F3227&gt;=Inputs!$C$68),F3227*H3227*Inputs!$C$69,"")</f>
      </c>
    </row>
    <row r="3228" spans="2:10" ht="15" customHeight="1" x14ac:dyDescent="0.2">
      <c r="B3228" s="39">
        <f t="shared" si="24"/>
      </c>
      <c r="C3228" s="40">
        <f>IF(Inputs!$C$60,Inputs!$C$11+(B3228-Inputs!$C$69)/Inputs!$C$70,"")</f>
      </c>
      <c r="D3228" s="15"/>
      <c r="E3228" s="15"/>
      <c r="F3228" s="11">
        <f t="shared" si="25"/>
      </c>
      <c r="G3228" s="22" cm="1">
        <f t="array" ref="G3228">IF(AND(Inputs!$C$60,Inputs!$C$61),INDEX(Utility_Rates!$C$29:$F$52,HOUR(C3228)+Inputs!$C$69,MATCH(INDEX(Utility_Rates!$K$6:$K$17,MONTH(C3228))&amp;IF(WEEKDAY(C3228,Inputs!$C$76)&lt;=Inputs!$C$74," weekday"," weekend"),Utility_Rates!$C$28:$F$28,Inputs!$C$68)),"")</f>
      </c>
      <c r="H3228" s="34"/>
      <c r="I3228" s="42">
        <f>IF(AND(ISNUMBER(D3228),ISNUMBER(H3228)),D3228*H3228*Inputs!$C$69,"")</f>
      </c>
      <c r="J3228" s="42">
        <f>IF(AND(ISNUMBER(F3228),ISNUMBER(H3228),F3228&gt;=Inputs!$C$68),F3228*H3228*Inputs!$C$69,"")</f>
      </c>
    </row>
    <row r="3229" spans="2:10" ht="15" customHeight="1" x14ac:dyDescent="0.2">
      <c r="B3229" s="39">
        <f t="shared" si="24"/>
      </c>
      <c r="C3229" s="40">
        <f>IF(Inputs!$C$60,Inputs!$C$11+(B3229-Inputs!$C$69)/Inputs!$C$70,"")</f>
      </c>
      <c r="D3229" s="15"/>
      <c r="E3229" s="15"/>
      <c r="F3229" s="11">
        <f t="shared" si="25"/>
      </c>
      <c r="G3229" s="22" cm="1">
        <f t="array" ref="G3229">IF(AND(Inputs!$C$60,Inputs!$C$61),INDEX(Utility_Rates!$C$29:$F$52,HOUR(C3229)+Inputs!$C$69,MATCH(INDEX(Utility_Rates!$K$6:$K$17,MONTH(C3229))&amp;IF(WEEKDAY(C3229,Inputs!$C$76)&lt;=Inputs!$C$74," weekday"," weekend"),Utility_Rates!$C$28:$F$28,Inputs!$C$68)),"")</f>
      </c>
      <c r="H3229" s="34"/>
      <c r="I3229" s="42">
        <f>IF(AND(ISNUMBER(D3229),ISNUMBER(H3229)),D3229*H3229*Inputs!$C$69,"")</f>
      </c>
      <c r="J3229" s="42">
        <f>IF(AND(ISNUMBER(F3229),ISNUMBER(H3229),F3229&gt;=Inputs!$C$68),F3229*H3229*Inputs!$C$69,"")</f>
      </c>
    </row>
    <row r="3230" spans="2:10" ht="15" customHeight="1" x14ac:dyDescent="0.2">
      <c r="B3230" s="39">
        <f t="shared" si="24"/>
      </c>
      <c r="C3230" s="40">
        <f>IF(Inputs!$C$60,Inputs!$C$11+(B3230-Inputs!$C$69)/Inputs!$C$70,"")</f>
      </c>
      <c r="D3230" s="15"/>
      <c r="E3230" s="15"/>
      <c r="F3230" s="11">
        <f t="shared" si="25"/>
      </c>
      <c r="G3230" s="22" cm="1">
        <f t="array" ref="G3230">IF(AND(Inputs!$C$60,Inputs!$C$61),INDEX(Utility_Rates!$C$29:$F$52,HOUR(C3230)+Inputs!$C$69,MATCH(INDEX(Utility_Rates!$K$6:$K$17,MONTH(C3230))&amp;IF(WEEKDAY(C3230,Inputs!$C$76)&lt;=Inputs!$C$74," weekday"," weekend"),Utility_Rates!$C$28:$F$28,Inputs!$C$68)),"")</f>
      </c>
      <c r="H3230" s="34"/>
      <c r="I3230" s="42">
        <f>IF(AND(ISNUMBER(D3230),ISNUMBER(H3230)),D3230*H3230*Inputs!$C$69,"")</f>
      </c>
      <c r="J3230" s="42">
        <f>IF(AND(ISNUMBER(F3230),ISNUMBER(H3230),F3230&gt;=Inputs!$C$68),F3230*H3230*Inputs!$C$69,"")</f>
      </c>
    </row>
    <row r="3231" spans="2:10" ht="15" customHeight="1" x14ac:dyDescent="0.2">
      <c r="B3231" s="39">
        <f t="shared" si="24"/>
      </c>
      <c r="C3231" s="40">
        <f>IF(Inputs!$C$60,Inputs!$C$11+(B3231-Inputs!$C$69)/Inputs!$C$70,"")</f>
      </c>
      <c r="D3231" s="15"/>
      <c r="E3231" s="15"/>
      <c r="F3231" s="11">
        <f t="shared" si="25"/>
      </c>
      <c r="G3231" s="22" cm="1">
        <f t="array" ref="G3231">IF(AND(Inputs!$C$60,Inputs!$C$61),INDEX(Utility_Rates!$C$29:$F$52,HOUR(C3231)+Inputs!$C$69,MATCH(INDEX(Utility_Rates!$K$6:$K$17,MONTH(C3231))&amp;IF(WEEKDAY(C3231,Inputs!$C$76)&lt;=Inputs!$C$74," weekday"," weekend"),Utility_Rates!$C$28:$F$28,Inputs!$C$68)),"")</f>
      </c>
      <c r="H3231" s="34"/>
      <c r="I3231" s="42">
        <f>IF(AND(ISNUMBER(D3231),ISNUMBER(H3231)),D3231*H3231*Inputs!$C$69,"")</f>
      </c>
      <c r="J3231" s="42">
        <f>IF(AND(ISNUMBER(F3231),ISNUMBER(H3231),F3231&gt;=Inputs!$C$68),F3231*H3231*Inputs!$C$69,"")</f>
      </c>
    </row>
    <row r="3232" spans="2:10" ht="15" customHeight="1" x14ac:dyDescent="0.2">
      <c r="B3232" s="39">
        <f t="shared" si="24"/>
      </c>
      <c r="C3232" s="40">
        <f>IF(Inputs!$C$60,Inputs!$C$11+(B3232-Inputs!$C$69)/Inputs!$C$70,"")</f>
      </c>
      <c r="D3232" s="15"/>
      <c r="E3232" s="15"/>
      <c r="F3232" s="11">
        <f t="shared" si="25"/>
      </c>
      <c r="G3232" s="22" cm="1">
        <f t="array" ref="G3232">IF(AND(Inputs!$C$60,Inputs!$C$61),INDEX(Utility_Rates!$C$29:$F$52,HOUR(C3232)+Inputs!$C$69,MATCH(INDEX(Utility_Rates!$K$6:$K$17,MONTH(C3232))&amp;IF(WEEKDAY(C3232,Inputs!$C$76)&lt;=Inputs!$C$74," weekday"," weekend"),Utility_Rates!$C$28:$F$28,Inputs!$C$68)),"")</f>
      </c>
      <c r="H3232" s="34"/>
      <c r="I3232" s="42">
        <f>IF(AND(ISNUMBER(D3232),ISNUMBER(H3232)),D3232*H3232*Inputs!$C$69,"")</f>
      </c>
      <c r="J3232" s="42">
        <f>IF(AND(ISNUMBER(F3232),ISNUMBER(H3232),F3232&gt;=Inputs!$C$68),F3232*H3232*Inputs!$C$69,"")</f>
      </c>
    </row>
    <row r="3233" spans="2:10" ht="15" customHeight="1" x14ac:dyDescent="0.2">
      <c r="B3233" s="39">
        <f t="shared" si="24"/>
      </c>
      <c r="C3233" s="40">
        <f>IF(Inputs!$C$60,Inputs!$C$11+(B3233-Inputs!$C$69)/Inputs!$C$70,"")</f>
      </c>
      <c r="D3233" s="15"/>
      <c r="E3233" s="15"/>
      <c r="F3233" s="11">
        <f t="shared" si="25"/>
      </c>
      <c r="G3233" s="22" cm="1">
        <f t="array" ref="G3233">IF(AND(Inputs!$C$60,Inputs!$C$61),INDEX(Utility_Rates!$C$29:$F$52,HOUR(C3233)+Inputs!$C$69,MATCH(INDEX(Utility_Rates!$K$6:$K$17,MONTH(C3233))&amp;IF(WEEKDAY(C3233,Inputs!$C$76)&lt;=Inputs!$C$74," weekday"," weekend"),Utility_Rates!$C$28:$F$28,Inputs!$C$68)),"")</f>
      </c>
      <c r="H3233" s="34"/>
      <c r="I3233" s="42">
        <f>IF(AND(ISNUMBER(D3233),ISNUMBER(H3233)),D3233*H3233*Inputs!$C$69,"")</f>
      </c>
      <c r="J3233" s="42">
        <f>IF(AND(ISNUMBER(F3233),ISNUMBER(H3233),F3233&gt;=Inputs!$C$68),F3233*H3233*Inputs!$C$69,"")</f>
      </c>
    </row>
    <row r="3234" spans="2:10" ht="15" customHeight="1" x14ac:dyDescent="0.2">
      <c r="B3234" s="39">
        <f t="shared" si="24"/>
      </c>
      <c r="C3234" s="40">
        <f>IF(Inputs!$C$60,Inputs!$C$11+(B3234-Inputs!$C$69)/Inputs!$C$70,"")</f>
      </c>
      <c r="D3234" s="15"/>
      <c r="E3234" s="15"/>
      <c r="F3234" s="11">
        <f t="shared" si="25"/>
      </c>
      <c r="G3234" s="22" cm="1">
        <f t="array" ref="G3234">IF(AND(Inputs!$C$60,Inputs!$C$61),INDEX(Utility_Rates!$C$29:$F$52,HOUR(C3234)+Inputs!$C$69,MATCH(INDEX(Utility_Rates!$K$6:$K$17,MONTH(C3234))&amp;IF(WEEKDAY(C3234,Inputs!$C$76)&lt;=Inputs!$C$74," weekday"," weekend"),Utility_Rates!$C$28:$F$28,Inputs!$C$68)),"")</f>
      </c>
      <c r="H3234" s="34"/>
      <c r="I3234" s="42">
        <f>IF(AND(ISNUMBER(D3234),ISNUMBER(H3234)),D3234*H3234*Inputs!$C$69,"")</f>
      </c>
      <c r="J3234" s="42">
        <f>IF(AND(ISNUMBER(F3234),ISNUMBER(H3234),F3234&gt;=Inputs!$C$68),F3234*H3234*Inputs!$C$69,"")</f>
      </c>
    </row>
    <row r="3235" spans="2:10" ht="15" customHeight="1" x14ac:dyDescent="0.2">
      <c r="B3235" s="39">
        <f t="shared" si="24"/>
      </c>
      <c r="C3235" s="40">
        <f>IF(Inputs!$C$60,Inputs!$C$11+(B3235-Inputs!$C$69)/Inputs!$C$70,"")</f>
      </c>
      <c r="D3235" s="15"/>
      <c r="E3235" s="15"/>
      <c r="F3235" s="11">
        <f t="shared" si="25"/>
      </c>
      <c r="G3235" s="22" cm="1">
        <f t="array" ref="G3235">IF(AND(Inputs!$C$60,Inputs!$C$61),INDEX(Utility_Rates!$C$29:$F$52,HOUR(C3235)+Inputs!$C$69,MATCH(INDEX(Utility_Rates!$K$6:$K$17,MONTH(C3235))&amp;IF(WEEKDAY(C3235,Inputs!$C$76)&lt;=Inputs!$C$74," weekday"," weekend"),Utility_Rates!$C$28:$F$28,Inputs!$C$68)),"")</f>
      </c>
      <c r="H3235" s="34"/>
      <c r="I3235" s="42">
        <f>IF(AND(ISNUMBER(D3235),ISNUMBER(H3235)),D3235*H3235*Inputs!$C$69,"")</f>
      </c>
      <c r="J3235" s="42">
        <f>IF(AND(ISNUMBER(F3235),ISNUMBER(H3235),F3235&gt;=Inputs!$C$68),F3235*H3235*Inputs!$C$69,"")</f>
      </c>
    </row>
    <row r="3236" spans="2:10" ht="15" customHeight="1" x14ac:dyDescent="0.2">
      <c r="B3236" s="39">
        <f t="shared" si="24"/>
      </c>
      <c r="C3236" s="40">
        <f>IF(Inputs!$C$60,Inputs!$C$11+(B3236-Inputs!$C$69)/Inputs!$C$70,"")</f>
      </c>
      <c r="D3236" s="15"/>
      <c r="E3236" s="15"/>
      <c r="F3236" s="11">
        <f t="shared" si="25"/>
      </c>
      <c r="G3236" s="22" cm="1">
        <f t="array" ref="G3236">IF(AND(Inputs!$C$60,Inputs!$C$61),INDEX(Utility_Rates!$C$29:$F$52,HOUR(C3236)+Inputs!$C$69,MATCH(INDEX(Utility_Rates!$K$6:$K$17,MONTH(C3236))&amp;IF(WEEKDAY(C3236,Inputs!$C$76)&lt;=Inputs!$C$74," weekday"," weekend"),Utility_Rates!$C$28:$F$28,Inputs!$C$68)),"")</f>
      </c>
      <c r="H3236" s="34"/>
      <c r="I3236" s="42">
        <f>IF(AND(ISNUMBER(D3236),ISNUMBER(H3236)),D3236*H3236*Inputs!$C$69,"")</f>
      </c>
      <c r="J3236" s="42">
        <f>IF(AND(ISNUMBER(F3236),ISNUMBER(H3236),F3236&gt;=Inputs!$C$68),F3236*H3236*Inputs!$C$69,"")</f>
      </c>
    </row>
    <row r="3237" spans="2:10" ht="15" customHeight="1" x14ac:dyDescent="0.2">
      <c r="B3237" s="39">
        <f t="shared" si="24"/>
      </c>
      <c r="C3237" s="40">
        <f>IF(Inputs!$C$60,Inputs!$C$11+(B3237-Inputs!$C$69)/Inputs!$C$70,"")</f>
      </c>
      <c r="D3237" s="15"/>
      <c r="E3237" s="15"/>
      <c r="F3237" s="11">
        <f t="shared" si="25"/>
      </c>
      <c r="G3237" s="22" cm="1">
        <f t="array" ref="G3237">IF(AND(Inputs!$C$60,Inputs!$C$61),INDEX(Utility_Rates!$C$29:$F$52,HOUR(C3237)+Inputs!$C$69,MATCH(INDEX(Utility_Rates!$K$6:$K$17,MONTH(C3237))&amp;IF(WEEKDAY(C3237,Inputs!$C$76)&lt;=Inputs!$C$74," weekday"," weekend"),Utility_Rates!$C$28:$F$28,Inputs!$C$68)),"")</f>
      </c>
      <c r="H3237" s="34"/>
      <c r="I3237" s="42">
        <f>IF(AND(ISNUMBER(D3237),ISNUMBER(H3237)),D3237*H3237*Inputs!$C$69,"")</f>
      </c>
      <c r="J3237" s="42">
        <f>IF(AND(ISNUMBER(F3237),ISNUMBER(H3237),F3237&gt;=Inputs!$C$68),F3237*H3237*Inputs!$C$69,"")</f>
      </c>
    </row>
    <row r="3238" spans="2:10" ht="15" customHeight="1" x14ac:dyDescent="0.2">
      <c r="B3238" s="39">
        <f t="shared" si="24"/>
      </c>
      <c r="C3238" s="40">
        <f>IF(Inputs!$C$60,Inputs!$C$11+(B3238-Inputs!$C$69)/Inputs!$C$70,"")</f>
      </c>
      <c r="D3238" s="15"/>
      <c r="E3238" s="15"/>
      <c r="F3238" s="11">
        <f t="shared" si="25"/>
      </c>
      <c r="G3238" s="22" cm="1">
        <f t="array" ref="G3238">IF(AND(Inputs!$C$60,Inputs!$C$61),INDEX(Utility_Rates!$C$29:$F$52,HOUR(C3238)+Inputs!$C$69,MATCH(INDEX(Utility_Rates!$K$6:$K$17,MONTH(C3238))&amp;IF(WEEKDAY(C3238,Inputs!$C$76)&lt;=Inputs!$C$74," weekday"," weekend"),Utility_Rates!$C$28:$F$28,Inputs!$C$68)),"")</f>
      </c>
      <c r="H3238" s="34"/>
      <c r="I3238" s="42">
        <f>IF(AND(ISNUMBER(D3238),ISNUMBER(H3238)),D3238*H3238*Inputs!$C$69,"")</f>
      </c>
      <c r="J3238" s="42">
        <f>IF(AND(ISNUMBER(F3238),ISNUMBER(H3238),F3238&gt;=Inputs!$C$68),F3238*H3238*Inputs!$C$69,"")</f>
      </c>
    </row>
    <row r="3239" spans="2:10" ht="15" customHeight="1" x14ac:dyDescent="0.2">
      <c r="B3239" s="39">
        <f t="shared" si="24"/>
      </c>
      <c r="C3239" s="40">
        <f>IF(Inputs!$C$60,Inputs!$C$11+(B3239-Inputs!$C$69)/Inputs!$C$70,"")</f>
      </c>
      <c r="D3239" s="15"/>
      <c r="E3239" s="15"/>
      <c r="F3239" s="11">
        <f t="shared" si="25"/>
      </c>
      <c r="G3239" s="22" cm="1">
        <f t="array" ref="G3239">IF(AND(Inputs!$C$60,Inputs!$C$61),INDEX(Utility_Rates!$C$29:$F$52,HOUR(C3239)+Inputs!$C$69,MATCH(INDEX(Utility_Rates!$K$6:$K$17,MONTH(C3239))&amp;IF(WEEKDAY(C3239,Inputs!$C$76)&lt;=Inputs!$C$74," weekday"," weekend"),Utility_Rates!$C$28:$F$28,Inputs!$C$68)),"")</f>
      </c>
      <c r="H3239" s="34"/>
      <c r="I3239" s="42">
        <f>IF(AND(ISNUMBER(D3239),ISNUMBER(H3239)),D3239*H3239*Inputs!$C$69,"")</f>
      </c>
      <c r="J3239" s="42">
        <f>IF(AND(ISNUMBER(F3239),ISNUMBER(H3239),F3239&gt;=Inputs!$C$68),F3239*H3239*Inputs!$C$69,"")</f>
      </c>
    </row>
    <row r="3240" spans="2:10" ht="15" customHeight="1" x14ac:dyDescent="0.2">
      <c r="B3240" s="39">
        <f t="shared" si="24"/>
      </c>
      <c r="C3240" s="40">
        <f>IF(Inputs!$C$60,Inputs!$C$11+(B3240-Inputs!$C$69)/Inputs!$C$70,"")</f>
      </c>
      <c r="D3240" s="15"/>
      <c r="E3240" s="15"/>
      <c r="F3240" s="11">
        <f t="shared" si="25"/>
      </c>
      <c r="G3240" s="22" cm="1">
        <f t="array" ref="G3240">IF(AND(Inputs!$C$60,Inputs!$C$61),INDEX(Utility_Rates!$C$29:$F$52,HOUR(C3240)+Inputs!$C$69,MATCH(INDEX(Utility_Rates!$K$6:$K$17,MONTH(C3240))&amp;IF(WEEKDAY(C3240,Inputs!$C$76)&lt;=Inputs!$C$74," weekday"," weekend"),Utility_Rates!$C$28:$F$28,Inputs!$C$68)),"")</f>
      </c>
      <c r="H3240" s="34"/>
      <c r="I3240" s="42">
        <f>IF(AND(ISNUMBER(D3240),ISNUMBER(H3240)),D3240*H3240*Inputs!$C$69,"")</f>
      </c>
      <c r="J3240" s="42">
        <f>IF(AND(ISNUMBER(F3240),ISNUMBER(H3240),F3240&gt;=Inputs!$C$68),F3240*H3240*Inputs!$C$69,"")</f>
      </c>
    </row>
    <row r="3241" spans="2:10" ht="15" customHeight="1" x14ac:dyDescent="0.2">
      <c r="B3241" s="39">
        <f t="shared" si="24"/>
      </c>
      <c r="C3241" s="40">
        <f>IF(Inputs!$C$60,Inputs!$C$11+(B3241-Inputs!$C$69)/Inputs!$C$70,"")</f>
      </c>
      <c r="D3241" s="15"/>
      <c r="E3241" s="15"/>
      <c r="F3241" s="11">
        <f t="shared" si="25"/>
      </c>
      <c r="G3241" s="22" cm="1">
        <f t="array" ref="G3241">IF(AND(Inputs!$C$60,Inputs!$C$61),INDEX(Utility_Rates!$C$29:$F$52,HOUR(C3241)+Inputs!$C$69,MATCH(INDEX(Utility_Rates!$K$6:$K$17,MONTH(C3241))&amp;IF(WEEKDAY(C3241,Inputs!$C$76)&lt;=Inputs!$C$74," weekday"," weekend"),Utility_Rates!$C$28:$F$28,Inputs!$C$68)),"")</f>
      </c>
      <c r="H3241" s="34"/>
      <c r="I3241" s="42">
        <f>IF(AND(ISNUMBER(D3241),ISNUMBER(H3241)),D3241*H3241*Inputs!$C$69,"")</f>
      </c>
      <c r="J3241" s="42">
        <f>IF(AND(ISNUMBER(F3241),ISNUMBER(H3241),F3241&gt;=Inputs!$C$68),F3241*H3241*Inputs!$C$69,"")</f>
      </c>
    </row>
    <row r="3242" spans="2:10" ht="15" customHeight="1" x14ac:dyDescent="0.2">
      <c r="B3242" s="39">
        <f t="shared" si="24"/>
      </c>
      <c r="C3242" s="40">
        <f>IF(Inputs!$C$60,Inputs!$C$11+(B3242-Inputs!$C$69)/Inputs!$C$70,"")</f>
      </c>
      <c r="D3242" s="15"/>
      <c r="E3242" s="15"/>
      <c r="F3242" s="11">
        <f t="shared" si="25"/>
      </c>
      <c r="G3242" s="22" cm="1">
        <f t="array" ref="G3242">IF(AND(Inputs!$C$60,Inputs!$C$61),INDEX(Utility_Rates!$C$29:$F$52,HOUR(C3242)+Inputs!$C$69,MATCH(INDEX(Utility_Rates!$K$6:$K$17,MONTH(C3242))&amp;IF(WEEKDAY(C3242,Inputs!$C$76)&lt;=Inputs!$C$74," weekday"," weekend"),Utility_Rates!$C$28:$F$28,Inputs!$C$68)),"")</f>
      </c>
      <c r="H3242" s="34"/>
      <c r="I3242" s="42">
        <f>IF(AND(ISNUMBER(D3242),ISNUMBER(H3242)),D3242*H3242*Inputs!$C$69,"")</f>
      </c>
      <c r="J3242" s="42">
        <f>IF(AND(ISNUMBER(F3242),ISNUMBER(H3242),F3242&gt;=Inputs!$C$68),F3242*H3242*Inputs!$C$69,"")</f>
      </c>
    </row>
    <row r="3243" spans="2:10" ht="15" customHeight="1" x14ac:dyDescent="0.2">
      <c r="B3243" s="39">
        <f t="shared" si="24"/>
      </c>
      <c r="C3243" s="40">
        <f>IF(Inputs!$C$60,Inputs!$C$11+(B3243-Inputs!$C$69)/Inputs!$C$70,"")</f>
      </c>
      <c r="D3243" s="15"/>
      <c r="E3243" s="15"/>
      <c r="F3243" s="11">
        <f t="shared" si="25"/>
      </c>
      <c r="G3243" s="22" cm="1">
        <f t="array" ref="G3243">IF(AND(Inputs!$C$60,Inputs!$C$61),INDEX(Utility_Rates!$C$29:$F$52,HOUR(C3243)+Inputs!$C$69,MATCH(INDEX(Utility_Rates!$K$6:$K$17,MONTH(C3243))&amp;IF(WEEKDAY(C3243,Inputs!$C$76)&lt;=Inputs!$C$74," weekday"," weekend"),Utility_Rates!$C$28:$F$28,Inputs!$C$68)),"")</f>
      </c>
      <c r="H3243" s="34"/>
      <c r="I3243" s="42">
        <f>IF(AND(ISNUMBER(D3243),ISNUMBER(H3243)),D3243*H3243*Inputs!$C$69,"")</f>
      </c>
      <c r="J3243" s="42">
        <f>IF(AND(ISNUMBER(F3243),ISNUMBER(H3243),F3243&gt;=Inputs!$C$68),F3243*H3243*Inputs!$C$69,"")</f>
      </c>
    </row>
    <row r="3244" spans="2:10" ht="15" customHeight="1" x14ac:dyDescent="0.2">
      <c r="B3244" s="39">
        <f t="shared" si="24"/>
      </c>
      <c r="C3244" s="40">
        <f>IF(Inputs!$C$60,Inputs!$C$11+(B3244-Inputs!$C$69)/Inputs!$C$70,"")</f>
      </c>
      <c r="D3244" s="15"/>
      <c r="E3244" s="15"/>
      <c r="F3244" s="11">
        <f t="shared" si="25"/>
      </c>
      <c r="G3244" s="22" cm="1">
        <f t="array" ref="G3244">IF(AND(Inputs!$C$60,Inputs!$C$61),INDEX(Utility_Rates!$C$29:$F$52,HOUR(C3244)+Inputs!$C$69,MATCH(INDEX(Utility_Rates!$K$6:$K$17,MONTH(C3244))&amp;IF(WEEKDAY(C3244,Inputs!$C$76)&lt;=Inputs!$C$74," weekday"," weekend"),Utility_Rates!$C$28:$F$28,Inputs!$C$68)),"")</f>
      </c>
      <c r="H3244" s="34"/>
      <c r="I3244" s="42">
        <f>IF(AND(ISNUMBER(D3244),ISNUMBER(H3244)),D3244*H3244*Inputs!$C$69,"")</f>
      </c>
      <c r="J3244" s="42">
        <f>IF(AND(ISNUMBER(F3244),ISNUMBER(H3244),F3244&gt;=Inputs!$C$68),F3244*H3244*Inputs!$C$69,"")</f>
      </c>
    </row>
    <row r="3245" spans="2:10" ht="15" customHeight="1" x14ac:dyDescent="0.2">
      <c r="B3245" s="39">
        <f t="shared" si="24"/>
      </c>
      <c r="C3245" s="40">
        <f>IF(Inputs!$C$60,Inputs!$C$11+(B3245-Inputs!$C$69)/Inputs!$C$70,"")</f>
      </c>
      <c r="D3245" s="15"/>
      <c r="E3245" s="15"/>
      <c r="F3245" s="11">
        <f t="shared" si="25"/>
      </c>
      <c r="G3245" s="22" cm="1">
        <f t="array" ref="G3245">IF(AND(Inputs!$C$60,Inputs!$C$61),INDEX(Utility_Rates!$C$29:$F$52,HOUR(C3245)+Inputs!$C$69,MATCH(INDEX(Utility_Rates!$K$6:$K$17,MONTH(C3245))&amp;IF(WEEKDAY(C3245,Inputs!$C$76)&lt;=Inputs!$C$74," weekday"," weekend"),Utility_Rates!$C$28:$F$28,Inputs!$C$68)),"")</f>
      </c>
      <c r="H3245" s="34"/>
      <c r="I3245" s="42">
        <f>IF(AND(ISNUMBER(D3245),ISNUMBER(H3245)),D3245*H3245*Inputs!$C$69,"")</f>
      </c>
      <c r="J3245" s="42">
        <f>IF(AND(ISNUMBER(F3245),ISNUMBER(H3245),F3245&gt;=Inputs!$C$68),F3245*H3245*Inputs!$C$69,"")</f>
      </c>
    </row>
    <row r="3246" spans="2:10" ht="15" customHeight="1" x14ac:dyDescent="0.2">
      <c r="B3246" s="39">
        <f t="shared" si="24"/>
      </c>
      <c r="C3246" s="40">
        <f>IF(Inputs!$C$60,Inputs!$C$11+(B3246-Inputs!$C$69)/Inputs!$C$70,"")</f>
      </c>
      <c r="D3246" s="15"/>
      <c r="E3246" s="15"/>
      <c r="F3246" s="11">
        <f t="shared" si="25"/>
      </c>
      <c r="G3246" s="22" cm="1">
        <f t="array" ref="G3246">IF(AND(Inputs!$C$60,Inputs!$C$61),INDEX(Utility_Rates!$C$29:$F$52,HOUR(C3246)+Inputs!$C$69,MATCH(INDEX(Utility_Rates!$K$6:$K$17,MONTH(C3246))&amp;IF(WEEKDAY(C3246,Inputs!$C$76)&lt;=Inputs!$C$74," weekday"," weekend"),Utility_Rates!$C$28:$F$28,Inputs!$C$68)),"")</f>
      </c>
      <c r="H3246" s="34"/>
      <c r="I3246" s="42">
        <f>IF(AND(ISNUMBER(D3246),ISNUMBER(H3246)),D3246*H3246*Inputs!$C$69,"")</f>
      </c>
      <c r="J3246" s="42">
        <f>IF(AND(ISNUMBER(F3246),ISNUMBER(H3246),F3246&gt;=Inputs!$C$68),F3246*H3246*Inputs!$C$69,"")</f>
      </c>
    </row>
    <row r="3247" spans="2:10" ht="15" customHeight="1" x14ac:dyDescent="0.2">
      <c r="B3247" s="39">
        <f t="shared" si="24"/>
      </c>
      <c r="C3247" s="40">
        <f>IF(Inputs!$C$60,Inputs!$C$11+(B3247-Inputs!$C$69)/Inputs!$C$70,"")</f>
      </c>
      <c r="D3247" s="15"/>
      <c r="E3247" s="15"/>
      <c r="F3247" s="11">
        <f t="shared" si="25"/>
      </c>
      <c r="G3247" s="22" cm="1">
        <f t="array" ref="G3247">IF(AND(Inputs!$C$60,Inputs!$C$61),INDEX(Utility_Rates!$C$29:$F$52,HOUR(C3247)+Inputs!$C$69,MATCH(INDEX(Utility_Rates!$K$6:$K$17,MONTH(C3247))&amp;IF(WEEKDAY(C3247,Inputs!$C$76)&lt;=Inputs!$C$74," weekday"," weekend"),Utility_Rates!$C$28:$F$28,Inputs!$C$68)),"")</f>
      </c>
      <c r="H3247" s="34"/>
      <c r="I3247" s="42">
        <f>IF(AND(ISNUMBER(D3247),ISNUMBER(H3247)),D3247*H3247*Inputs!$C$69,"")</f>
      </c>
      <c r="J3247" s="42">
        <f>IF(AND(ISNUMBER(F3247),ISNUMBER(H3247),F3247&gt;=Inputs!$C$68),F3247*H3247*Inputs!$C$69,"")</f>
      </c>
    </row>
    <row r="3248" spans="2:10" ht="15" customHeight="1" x14ac:dyDescent="0.2">
      <c r="B3248" s="39">
        <f t="shared" si="24"/>
      </c>
      <c r="C3248" s="40">
        <f>IF(Inputs!$C$60,Inputs!$C$11+(B3248-Inputs!$C$69)/Inputs!$C$70,"")</f>
      </c>
      <c r="D3248" s="15"/>
      <c r="E3248" s="15"/>
      <c r="F3248" s="11">
        <f t="shared" si="25"/>
      </c>
      <c r="G3248" s="22" cm="1">
        <f t="array" ref="G3248">IF(AND(Inputs!$C$60,Inputs!$C$61),INDEX(Utility_Rates!$C$29:$F$52,HOUR(C3248)+Inputs!$C$69,MATCH(INDEX(Utility_Rates!$K$6:$K$17,MONTH(C3248))&amp;IF(WEEKDAY(C3248,Inputs!$C$76)&lt;=Inputs!$C$74," weekday"," weekend"),Utility_Rates!$C$28:$F$28,Inputs!$C$68)),"")</f>
      </c>
      <c r="H3248" s="34"/>
      <c r="I3248" s="42">
        <f>IF(AND(ISNUMBER(D3248),ISNUMBER(H3248)),D3248*H3248*Inputs!$C$69,"")</f>
      </c>
      <c r="J3248" s="42">
        <f>IF(AND(ISNUMBER(F3248),ISNUMBER(H3248),F3248&gt;=Inputs!$C$68),F3248*H3248*Inputs!$C$69,"")</f>
      </c>
    </row>
    <row r="3249" spans="2:10" ht="15" customHeight="1" x14ac:dyDescent="0.2">
      <c r="B3249" s="39">
        <f t="shared" si="24"/>
      </c>
      <c r="C3249" s="40">
        <f>IF(Inputs!$C$60,Inputs!$C$11+(B3249-Inputs!$C$69)/Inputs!$C$70,"")</f>
      </c>
      <c r="D3249" s="15"/>
      <c r="E3249" s="15"/>
      <c r="F3249" s="11">
        <f t="shared" si="25"/>
      </c>
      <c r="G3249" s="22" cm="1">
        <f t="array" ref="G3249">IF(AND(Inputs!$C$60,Inputs!$C$61),INDEX(Utility_Rates!$C$29:$F$52,HOUR(C3249)+Inputs!$C$69,MATCH(INDEX(Utility_Rates!$K$6:$K$17,MONTH(C3249))&amp;IF(WEEKDAY(C3249,Inputs!$C$76)&lt;=Inputs!$C$74," weekday"," weekend"),Utility_Rates!$C$28:$F$28,Inputs!$C$68)),"")</f>
      </c>
      <c r="H3249" s="34"/>
      <c r="I3249" s="42">
        <f>IF(AND(ISNUMBER(D3249),ISNUMBER(H3249)),D3249*H3249*Inputs!$C$69,"")</f>
      </c>
      <c r="J3249" s="42">
        <f>IF(AND(ISNUMBER(F3249),ISNUMBER(H3249),F3249&gt;=Inputs!$C$68),F3249*H3249*Inputs!$C$69,"")</f>
      </c>
    </row>
    <row r="3250" spans="2:10" ht="15" customHeight="1" x14ac:dyDescent="0.2">
      <c r="B3250" s="39">
        <f t="shared" si="24"/>
      </c>
      <c r="C3250" s="40">
        <f>IF(Inputs!$C$60,Inputs!$C$11+(B3250-Inputs!$C$69)/Inputs!$C$70,"")</f>
      </c>
      <c r="D3250" s="15"/>
      <c r="E3250" s="15"/>
      <c r="F3250" s="11">
        <f t="shared" si="25"/>
      </c>
      <c r="G3250" s="22" cm="1">
        <f t="array" ref="G3250">IF(AND(Inputs!$C$60,Inputs!$C$61),INDEX(Utility_Rates!$C$29:$F$52,HOUR(C3250)+Inputs!$C$69,MATCH(INDEX(Utility_Rates!$K$6:$K$17,MONTH(C3250))&amp;IF(WEEKDAY(C3250,Inputs!$C$76)&lt;=Inputs!$C$74," weekday"," weekend"),Utility_Rates!$C$28:$F$28,Inputs!$C$68)),"")</f>
      </c>
      <c r="H3250" s="34"/>
      <c r="I3250" s="42">
        <f>IF(AND(ISNUMBER(D3250),ISNUMBER(H3250)),D3250*H3250*Inputs!$C$69,"")</f>
      </c>
      <c r="J3250" s="42">
        <f>IF(AND(ISNUMBER(F3250),ISNUMBER(H3250),F3250&gt;=Inputs!$C$68),F3250*H3250*Inputs!$C$69,"")</f>
      </c>
    </row>
    <row r="3251" spans="2:10" ht="15" customHeight="1" x14ac:dyDescent="0.2">
      <c r="B3251" s="39">
        <f t="shared" si="24"/>
      </c>
      <c r="C3251" s="40">
        <f>IF(Inputs!$C$60,Inputs!$C$11+(B3251-Inputs!$C$69)/Inputs!$C$70,"")</f>
      </c>
      <c r="D3251" s="15"/>
      <c r="E3251" s="15"/>
      <c r="F3251" s="11">
        <f t="shared" si="25"/>
      </c>
      <c r="G3251" s="22" cm="1">
        <f t="array" ref="G3251">IF(AND(Inputs!$C$60,Inputs!$C$61),INDEX(Utility_Rates!$C$29:$F$52,HOUR(C3251)+Inputs!$C$69,MATCH(INDEX(Utility_Rates!$K$6:$K$17,MONTH(C3251))&amp;IF(WEEKDAY(C3251,Inputs!$C$76)&lt;=Inputs!$C$74," weekday"," weekend"),Utility_Rates!$C$28:$F$28,Inputs!$C$68)),"")</f>
      </c>
      <c r="H3251" s="34"/>
      <c r="I3251" s="42">
        <f>IF(AND(ISNUMBER(D3251),ISNUMBER(H3251)),D3251*H3251*Inputs!$C$69,"")</f>
      </c>
      <c r="J3251" s="42">
        <f>IF(AND(ISNUMBER(F3251),ISNUMBER(H3251),F3251&gt;=Inputs!$C$68),F3251*H3251*Inputs!$C$69,"")</f>
      </c>
    </row>
    <row r="3252" spans="2:10" ht="15" customHeight="1" x14ac:dyDescent="0.2">
      <c r="B3252" s="39">
        <f t="shared" si="24"/>
      </c>
      <c r="C3252" s="40">
        <f>IF(Inputs!$C$60,Inputs!$C$11+(B3252-Inputs!$C$69)/Inputs!$C$70,"")</f>
      </c>
      <c r="D3252" s="15"/>
      <c r="E3252" s="15"/>
      <c r="F3252" s="11">
        <f t="shared" si="25"/>
      </c>
      <c r="G3252" s="22" cm="1">
        <f t="array" ref="G3252">IF(AND(Inputs!$C$60,Inputs!$C$61),INDEX(Utility_Rates!$C$29:$F$52,HOUR(C3252)+Inputs!$C$69,MATCH(INDEX(Utility_Rates!$K$6:$K$17,MONTH(C3252))&amp;IF(WEEKDAY(C3252,Inputs!$C$76)&lt;=Inputs!$C$74," weekday"," weekend"),Utility_Rates!$C$28:$F$28,Inputs!$C$68)),"")</f>
      </c>
      <c r="H3252" s="34"/>
      <c r="I3252" s="42">
        <f>IF(AND(ISNUMBER(D3252),ISNUMBER(H3252)),D3252*H3252*Inputs!$C$69,"")</f>
      </c>
      <c r="J3252" s="42">
        <f>IF(AND(ISNUMBER(F3252),ISNUMBER(H3252),F3252&gt;=Inputs!$C$68),F3252*H3252*Inputs!$C$69,"")</f>
      </c>
    </row>
    <row r="3253" spans="2:10" ht="15" customHeight="1" x14ac:dyDescent="0.2">
      <c r="B3253" s="39">
        <f t="shared" si="24"/>
      </c>
      <c r="C3253" s="40">
        <f>IF(Inputs!$C$60,Inputs!$C$11+(B3253-Inputs!$C$69)/Inputs!$C$70,"")</f>
      </c>
      <c r="D3253" s="15"/>
      <c r="E3253" s="15"/>
      <c r="F3253" s="11">
        <f t="shared" si="25"/>
      </c>
      <c r="G3253" s="22" cm="1">
        <f t="array" ref="G3253">IF(AND(Inputs!$C$60,Inputs!$C$61),INDEX(Utility_Rates!$C$29:$F$52,HOUR(C3253)+Inputs!$C$69,MATCH(INDEX(Utility_Rates!$K$6:$K$17,MONTH(C3253))&amp;IF(WEEKDAY(C3253,Inputs!$C$76)&lt;=Inputs!$C$74," weekday"," weekend"),Utility_Rates!$C$28:$F$28,Inputs!$C$68)),"")</f>
      </c>
      <c r="H3253" s="34"/>
      <c r="I3253" s="42">
        <f>IF(AND(ISNUMBER(D3253),ISNUMBER(H3253)),D3253*H3253*Inputs!$C$69,"")</f>
      </c>
      <c r="J3253" s="42">
        <f>IF(AND(ISNUMBER(F3253),ISNUMBER(H3253),F3253&gt;=Inputs!$C$68),F3253*H3253*Inputs!$C$69,"")</f>
      </c>
    </row>
    <row r="3254" spans="2:10" ht="15" customHeight="1" x14ac:dyDescent="0.2">
      <c r="B3254" s="39">
        <f t="shared" si="24"/>
      </c>
      <c r="C3254" s="40">
        <f>IF(Inputs!$C$60,Inputs!$C$11+(B3254-Inputs!$C$69)/Inputs!$C$70,"")</f>
      </c>
      <c r="D3254" s="15"/>
      <c r="E3254" s="15"/>
      <c r="F3254" s="11">
        <f t="shared" si="25"/>
      </c>
      <c r="G3254" s="22" cm="1">
        <f t="array" ref="G3254">IF(AND(Inputs!$C$60,Inputs!$C$61),INDEX(Utility_Rates!$C$29:$F$52,HOUR(C3254)+Inputs!$C$69,MATCH(INDEX(Utility_Rates!$K$6:$K$17,MONTH(C3254))&amp;IF(WEEKDAY(C3254,Inputs!$C$76)&lt;=Inputs!$C$74," weekday"," weekend"),Utility_Rates!$C$28:$F$28,Inputs!$C$68)),"")</f>
      </c>
      <c r="H3254" s="34"/>
      <c r="I3254" s="42">
        <f>IF(AND(ISNUMBER(D3254),ISNUMBER(H3254)),D3254*H3254*Inputs!$C$69,"")</f>
      </c>
      <c r="J3254" s="42">
        <f>IF(AND(ISNUMBER(F3254),ISNUMBER(H3254),F3254&gt;=Inputs!$C$68),F3254*H3254*Inputs!$C$69,"")</f>
      </c>
    </row>
    <row r="3255" spans="2:10" ht="15" customHeight="1" x14ac:dyDescent="0.2">
      <c r="B3255" s="39">
        <f t="shared" si="24"/>
      </c>
      <c r="C3255" s="40">
        <f>IF(Inputs!$C$60,Inputs!$C$11+(B3255-Inputs!$C$69)/Inputs!$C$70,"")</f>
      </c>
      <c r="D3255" s="15"/>
      <c r="E3255" s="15"/>
      <c r="F3255" s="11">
        <f t="shared" si="25"/>
      </c>
      <c r="G3255" s="22" cm="1">
        <f t="array" ref="G3255">IF(AND(Inputs!$C$60,Inputs!$C$61),INDEX(Utility_Rates!$C$29:$F$52,HOUR(C3255)+Inputs!$C$69,MATCH(INDEX(Utility_Rates!$K$6:$K$17,MONTH(C3255))&amp;IF(WEEKDAY(C3255,Inputs!$C$76)&lt;=Inputs!$C$74," weekday"," weekend"),Utility_Rates!$C$28:$F$28,Inputs!$C$68)),"")</f>
      </c>
      <c r="H3255" s="34"/>
      <c r="I3255" s="42">
        <f>IF(AND(ISNUMBER(D3255),ISNUMBER(H3255)),D3255*H3255*Inputs!$C$69,"")</f>
      </c>
      <c r="J3255" s="42">
        <f>IF(AND(ISNUMBER(F3255),ISNUMBER(H3255),F3255&gt;=Inputs!$C$68),F3255*H3255*Inputs!$C$69,"")</f>
      </c>
    </row>
    <row r="3256" spans="2:10" ht="15" customHeight="1" x14ac:dyDescent="0.2">
      <c r="B3256" s="39">
        <f t="shared" si="24"/>
      </c>
      <c r="C3256" s="40">
        <f>IF(Inputs!$C$60,Inputs!$C$11+(B3256-Inputs!$C$69)/Inputs!$C$70,"")</f>
      </c>
      <c r="D3256" s="15"/>
      <c r="E3256" s="15"/>
      <c r="F3256" s="11">
        <f t="shared" si="25"/>
      </c>
      <c r="G3256" s="22" cm="1">
        <f t="array" ref="G3256">IF(AND(Inputs!$C$60,Inputs!$C$61),INDEX(Utility_Rates!$C$29:$F$52,HOUR(C3256)+Inputs!$C$69,MATCH(INDEX(Utility_Rates!$K$6:$K$17,MONTH(C3256))&amp;IF(WEEKDAY(C3256,Inputs!$C$76)&lt;=Inputs!$C$74," weekday"," weekend"),Utility_Rates!$C$28:$F$28,Inputs!$C$68)),"")</f>
      </c>
      <c r="H3256" s="34"/>
      <c r="I3256" s="42">
        <f>IF(AND(ISNUMBER(D3256),ISNUMBER(H3256)),D3256*H3256*Inputs!$C$69,"")</f>
      </c>
      <c r="J3256" s="42">
        <f>IF(AND(ISNUMBER(F3256),ISNUMBER(H3256),F3256&gt;=Inputs!$C$68),F3256*H3256*Inputs!$C$69,"")</f>
      </c>
    </row>
    <row r="3257" spans="2:10" ht="15" customHeight="1" x14ac:dyDescent="0.2">
      <c r="B3257" s="39">
        <f t="shared" si="24"/>
      </c>
      <c r="C3257" s="40">
        <f>IF(Inputs!$C$60,Inputs!$C$11+(B3257-Inputs!$C$69)/Inputs!$C$70,"")</f>
      </c>
      <c r="D3257" s="15"/>
      <c r="E3257" s="15"/>
      <c r="F3257" s="11">
        <f t="shared" si="25"/>
      </c>
      <c r="G3257" s="22" cm="1">
        <f t="array" ref="G3257">IF(AND(Inputs!$C$60,Inputs!$C$61),INDEX(Utility_Rates!$C$29:$F$52,HOUR(C3257)+Inputs!$C$69,MATCH(INDEX(Utility_Rates!$K$6:$K$17,MONTH(C3257))&amp;IF(WEEKDAY(C3257,Inputs!$C$76)&lt;=Inputs!$C$74," weekday"," weekend"),Utility_Rates!$C$28:$F$28,Inputs!$C$68)),"")</f>
      </c>
      <c r="H3257" s="34"/>
      <c r="I3257" s="42">
        <f>IF(AND(ISNUMBER(D3257),ISNUMBER(H3257)),D3257*H3257*Inputs!$C$69,"")</f>
      </c>
      <c r="J3257" s="42">
        <f>IF(AND(ISNUMBER(F3257),ISNUMBER(H3257),F3257&gt;=Inputs!$C$68),F3257*H3257*Inputs!$C$69,"")</f>
      </c>
    </row>
    <row r="3258" spans="2:10" ht="15" customHeight="1" x14ac:dyDescent="0.2">
      <c r="B3258" s="39">
        <f t="shared" si="24"/>
      </c>
      <c r="C3258" s="40">
        <f>IF(Inputs!$C$60,Inputs!$C$11+(B3258-Inputs!$C$69)/Inputs!$C$70,"")</f>
      </c>
      <c r="D3258" s="15"/>
      <c r="E3258" s="15"/>
      <c r="F3258" s="11">
        <f t="shared" si="25"/>
      </c>
      <c r="G3258" s="22" cm="1">
        <f t="array" ref="G3258">IF(AND(Inputs!$C$60,Inputs!$C$61),INDEX(Utility_Rates!$C$29:$F$52,HOUR(C3258)+Inputs!$C$69,MATCH(INDEX(Utility_Rates!$K$6:$K$17,MONTH(C3258))&amp;IF(WEEKDAY(C3258,Inputs!$C$76)&lt;=Inputs!$C$74," weekday"," weekend"),Utility_Rates!$C$28:$F$28,Inputs!$C$68)),"")</f>
      </c>
      <c r="H3258" s="34"/>
      <c r="I3258" s="42">
        <f>IF(AND(ISNUMBER(D3258),ISNUMBER(H3258)),D3258*H3258*Inputs!$C$69,"")</f>
      </c>
      <c r="J3258" s="42">
        <f>IF(AND(ISNUMBER(F3258),ISNUMBER(H3258),F3258&gt;=Inputs!$C$68),F3258*H3258*Inputs!$C$69,"")</f>
      </c>
    </row>
    <row r="3259" spans="2:10" ht="15" customHeight="1" x14ac:dyDescent="0.2">
      <c r="B3259" s="39">
        <f t="shared" si="24"/>
      </c>
      <c r="C3259" s="40">
        <f>IF(Inputs!$C$60,Inputs!$C$11+(B3259-Inputs!$C$69)/Inputs!$C$70,"")</f>
      </c>
      <c r="D3259" s="15"/>
      <c r="E3259" s="15"/>
      <c r="F3259" s="11">
        <f t="shared" si="25"/>
      </c>
      <c r="G3259" s="22" cm="1">
        <f t="array" ref="G3259">IF(AND(Inputs!$C$60,Inputs!$C$61),INDEX(Utility_Rates!$C$29:$F$52,HOUR(C3259)+Inputs!$C$69,MATCH(INDEX(Utility_Rates!$K$6:$K$17,MONTH(C3259))&amp;IF(WEEKDAY(C3259,Inputs!$C$76)&lt;=Inputs!$C$74," weekday"," weekend"),Utility_Rates!$C$28:$F$28,Inputs!$C$68)),"")</f>
      </c>
      <c r="H3259" s="34"/>
      <c r="I3259" s="42">
        <f>IF(AND(ISNUMBER(D3259),ISNUMBER(H3259)),D3259*H3259*Inputs!$C$69,"")</f>
      </c>
      <c r="J3259" s="42">
        <f>IF(AND(ISNUMBER(F3259),ISNUMBER(H3259),F3259&gt;=Inputs!$C$68),F3259*H3259*Inputs!$C$69,"")</f>
      </c>
    </row>
    <row r="3260" spans="2:10" ht="15" customHeight="1" x14ac:dyDescent="0.2">
      <c r="B3260" s="39">
        <f t="shared" si="24"/>
      </c>
      <c r="C3260" s="40">
        <f>IF(Inputs!$C$60,Inputs!$C$11+(B3260-Inputs!$C$69)/Inputs!$C$70,"")</f>
      </c>
      <c r="D3260" s="15"/>
      <c r="E3260" s="15"/>
      <c r="F3260" s="11">
        <f t="shared" si="25"/>
      </c>
      <c r="G3260" s="22" cm="1">
        <f t="array" ref="G3260">IF(AND(Inputs!$C$60,Inputs!$C$61),INDEX(Utility_Rates!$C$29:$F$52,HOUR(C3260)+Inputs!$C$69,MATCH(INDEX(Utility_Rates!$K$6:$K$17,MONTH(C3260))&amp;IF(WEEKDAY(C3260,Inputs!$C$76)&lt;=Inputs!$C$74," weekday"," weekend"),Utility_Rates!$C$28:$F$28,Inputs!$C$68)),"")</f>
      </c>
      <c r="H3260" s="34"/>
      <c r="I3260" s="42">
        <f>IF(AND(ISNUMBER(D3260),ISNUMBER(H3260)),D3260*H3260*Inputs!$C$69,"")</f>
      </c>
      <c r="J3260" s="42">
        <f>IF(AND(ISNUMBER(F3260),ISNUMBER(H3260),F3260&gt;=Inputs!$C$68),F3260*H3260*Inputs!$C$69,"")</f>
      </c>
    </row>
    <row r="3261" spans="2:10" ht="15" customHeight="1" x14ac:dyDescent="0.2">
      <c r="B3261" s="39">
        <f t="shared" si="24"/>
      </c>
      <c r="C3261" s="40">
        <f>IF(Inputs!$C$60,Inputs!$C$11+(B3261-Inputs!$C$69)/Inputs!$C$70,"")</f>
      </c>
      <c r="D3261" s="15"/>
      <c r="E3261" s="15"/>
      <c r="F3261" s="11">
        <f t="shared" si="25"/>
      </c>
      <c r="G3261" s="22" cm="1">
        <f t="array" ref="G3261">IF(AND(Inputs!$C$60,Inputs!$C$61),INDEX(Utility_Rates!$C$29:$F$52,HOUR(C3261)+Inputs!$C$69,MATCH(INDEX(Utility_Rates!$K$6:$K$17,MONTH(C3261))&amp;IF(WEEKDAY(C3261,Inputs!$C$76)&lt;=Inputs!$C$74," weekday"," weekend"),Utility_Rates!$C$28:$F$28,Inputs!$C$68)),"")</f>
      </c>
      <c r="H3261" s="34"/>
      <c r="I3261" s="42">
        <f>IF(AND(ISNUMBER(D3261),ISNUMBER(H3261)),D3261*H3261*Inputs!$C$69,"")</f>
      </c>
      <c r="J3261" s="42">
        <f>IF(AND(ISNUMBER(F3261),ISNUMBER(H3261),F3261&gt;=Inputs!$C$68),F3261*H3261*Inputs!$C$69,"")</f>
      </c>
    </row>
    <row r="3262" spans="2:10" ht="15" customHeight="1" x14ac:dyDescent="0.2">
      <c r="B3262" s="39">
        <f t="shared" si="24"/>
      </c>
      <c r="C3262" s="40">
        <f>IF(Inputs!$C$60,Inputs!$C$11+(B3262-Inputs!$C$69)/Inputs!$C$70,"")</f>
      </c>
      <c r="D3262" s="15"/>
      <c r="E3262" s="15"/>
      <c r="F3262" s="11">
        <f t="shared" si="25"/>
      </c>
      <c r="G3262" s="22" cm="1">
        <f t="array" ref="G3262">IF(AND(Inputs!$C$60,Inputs!$C$61),INDEX(Utility_Rates!$C$29:$F$52,HOUR(C3262)+Inputs!$C$69,MATCH(INDEX(Utility_Rates!$K$6:$K$17,MONTH(C3262))&amp;IF(WEEKDAY(C3262,Inputs!$C$76)&lt;=Inputs!$C$74," weekday"," weekend"),Utility_Rates!$C$28:$F$28,Inputs!$C$68)),"")</f>
      </c>
      <c r="H3262" s="34"/>
      <c r="I3262" s="42">
        <f>IF(AND(ISNUMBER(D3262),ISNUMBER(H3262)),D3262*H3262*Inputs!$C$69,"")</f>
      </c>
      <c r="J3262" s="42">
        <f>IF(AND(ISNUMBER(F3262),ISNUMBER(H3262),F3262&gt;=Inputs!$C$68),F3262*H3262*Inputs!$C$69,"")</f>
      </c>
    </row>
    <row r="3263" spans="2:10" ht="15" customHeight="1" x14ac:dyDescent="0.2">
      <c r="B3263" s="39">
        <f t="shared" si="24"/>
      </c>
      <c r="C3263" s="40">
        <f>IF(Inputs!$C$60,Inputs!$C$11+(B3263-Inputs!$C$69)/Inputs!$C$70,"")</f>
      </c>
      <c r="D3263" s="15"/>
      <c r="E3263" s="15"/>
      <c r="F3263" s="11">
        <f t="shared" si="25"/>
      </c>
      <c r="G3263" s="22" cm="1">
        <f t="array" ref="G3263">IF(AND(Inputs!$C$60,Inputs!$C$61),INDEX(Utility_Rates!$C$29:$F$52,HOUR(C3263)+Inputs!$C$69,MATCH(INDEX(Utility_Rates!$K$6:$K$17,MONTH(C3263))&amp;IF(WEEKDAY(C3263,Inputs!$C$76)&lt;=Inputs!$C$74," weekday"," weekend"),Utility_Rates!$C$28:$F$28,Inputs!$C$68)),"")</f>
      </c>
      <c r="H3263" s="34"/>
      <c r="I3263" s="42">
        <f>IF(AND(ISNUMBER(D3263),ISNUMBER(H3263)),D3263*H3263*Inputs!$C$69,"")</f>
      </c>
      <c r="J3263" s="42">
        <f>IF(AND(ISNUMBER(F3263),ISNUMBER(H3263),F3263&gt;=Inputs!$C$68),F3263*H3263*Inputs!$C$69,"")</f>
      </c>
    </row>
    <row r="3264" spans="2:10" ht="15" customHeight="1" x14ac:dyDescent="0.2">
      <c r="B3264" s="39">
        <f t="shared" si="24"/>
      </c>
      <c r="C3264" s="40">
        <f>IF(Inputs!$C$60,Inputs!$C$11+(B3264-Inputs!$C$69)/Inputs!$C$70,"")</f>
      </c>
      <c r="D3264" s="15"/>
      <c r="E3264" s="15"/>
      <c r="F3264" s="11">
        <f t="shared" si="25"/>
      </c>
      <c r="G3264" s="22" cm="1">
        <f t="array" ref="G3264">IF(AND(Inputs!$C$60,Inputs!$C$61),INDEX(Utility_Rates!$C$29:$F$52,HOUR(C3264)+Inputs!$C$69,MATCH(INDEX(Utility_Rates!$K$6:$K$17,MONTH(C3264))&amp;IF(WEEKDAY(C3264,Inputs!$C$76)&lt;=Inputs!$C$74," weekday"," weekend"),Utility_Rates!$C$28:$F$28,Inputs!$C$68)),"")</f>
      </c>
      <c r="H3264" s="34"/>
      <c r="I3264" s="42">
        <f>IF(AND(ISNUMBER(D3264),ISNUMBER(H3264)),D3264*H3264*Inputs!$C$69,"")</f>
      </c>
      <c r="J3264" s="42">
        <f>IF(AND(ISNUMBER(F3264),ISNUMBER(H3264),F3264&gt;=Inputs!$C$68),F3264*H3264*Inputs!$C$69,"")</f>
      </c>
    </row>
    <row r="3265" spans="2:10" ht="15" customHeight="1" x14ac:dyDescent="0.2">
      <c r="B3265" s="39">
        <f t="shared" si="24"/>
      </c>
      <c r="C3265" s="40">
        <f>IF(Inputs!$C$60,Inputs!$C$11+(B3265-Inputs!$C$69)/Inputs!$C$70,"")</f>
      </c>
      <c r="D3265" s="15"/>
      <c r="E3265" s="15"/>
      <c r="F3265" s="11">
        <f t="shared" si="25"/>
      </c>
      <c r="G3265" s="22" cm="1">
        <f t="array" ref="G3265">IF(AND(Inputs!$C$60,Inputs!$C$61),INDEX(Utility_Rates!$C$29:$F$52,HOUR(C3265)+Inputs!$C$69,MATCH(INDEX(Utility_Rates!$K$6:$K$17,MONTH(C3265))&amp;IF(WEEKDAY(C3265,Inputs!$C$76)&lt;=Inputs!$C$74," weekday"," weekend"),Utility_Rates!$C$28:$F$28,Inputs!$C$68)),"")</f>
      </c>
      <c r="H3265" s="34"/>
      <c r="I3265" s="42">
        <f>IF(AND(ISNUMBER(D3265),ISNUMBER(H3265)),D3265*H3265*Inputs!$C$69,"")</f>
      </c>
      <c r="J3265" s="42">
        <f>IF(AND(ISNUMBER(F3265),ISNUMBER(H3265),F3265&gt;=Inputs!$C$68),F3265*H3265*Inputs!$C$69,"")</f>
      </c>
    </row>
    <row r="3266" spans="2:10" ht="15" customHeight="1" x14ac:dyDescent="0.2">
      <c r="B3266" s="39">
        <f t="shared" si="24"/>
      </c>
      <c r="C3266" s="40">
        <f>IF(Inputs!$C$60,Inputs!$C$11+(B3266-Inputs!$C$69)/Inputs!$C$70,"")</f>
      </c>
      <c r="D3266" s="15"/>
      <c r="E3266" s="15"/>
      <c r="F3266" s="11">
        <f t="shared" si="25"/>
      </c>
      <c r="G3266" s="22" cm="1">
        <f t="array" ref="G3266">IF(AND(Inputs!$C$60,Inputs!$C$61),INDEX(Utility_Rates!$C$29:$F$52,HOUR(C3266)+Inputs!$C$69,MATCH(INDEX(Utility_Rates!$K$6:$K$17,MONTH(C3266))&amp;IF(WEEKDAY(C3266,Inputs!$C$76)&lt;=Inputs!$C$74," weekday"," weekend"),Utility_Rates!$C$28:$F$28,Inputs!$C$68)),"")</f>
      </c>
      <c r="H3266" s="34"/>
      <c r="I3266" s="42">
        <f>IF(AND(ISNUMBER(D3266),ISNUMBER(H3266)),D3266*H3266*Inputs!$C$69,"")</f>
      </c>
      <c r="J3266" s="42">
        <f>IF(AND(ISNUMBER(F3266),ISNUMBER(H3266),F3266&gt;=Inputs!$C$68),F3266*H3266*Inputs!$C$69,"")</f>
      </c>
    </row>
    <row r="3267" spans="2:10" ht="15" customHeight="1" x14ac:dyDescent="0.2">
      <c r="B3267" s="39">
        <f t="shared" si="24"/>
      </c>
      <c r="C3267" s="40">
        <f>IF(Inputs!$C$60,Inputs!$C$11+(B3267-Inputs!$C$69)/Inputs!$C$70,"")</f>
      </c>
      <c r="D3267" s="15"/>
      <c r="E3267" s="15"/>
      <c r="F3267" s="11">
        <f t="shared" si="25"/>
      </c>
      <c r="G3267" s="22" cm="1">
        <f t="array" ref="G3267">IF(AND(Inputs!$C$60,Inputs!$C$61),INDEX(Utility_Rates!$C$29:$F$52,HOUR(C3267)+Inputs!$C$69,MATCH(INDEX(Utility_Rates!$K$6:$K$17,MONTH(C3267))&amp;IF(WEEKDAY(C3267,Inputs!$C$76)&lt;=Inputs!$C$74," weekday"," weekend"),Utility_Rates!$C$28:$F$28,Inputs!$C$68)),"")</f>
      </c>
      <c r="H3267" s="34"/>
      <c r="I3267" s="42">
        <f>IF(AND(ISNUMBER(D3267),ISNUMBER(H3267)),D3267*H3267*Inputs!$C$69,"")</f>
      </c>
      <c r="J3267" s="42">
        <f>IF(AND(ISNUMBER(F3267),ISNUMBER(H3267),F3267&gt;=Inputs!$C$68),F3267*H3267*Inputs!$C$69,"")</f>
      </c>
    </row>
    <row r="3268" spans="2:10" ht="15" customHeight="1" x14ac:dyDescent="0.2">
      <c r="B3268" s="39">
        <f t="shared" si="24"/>
      </c>
      <c r="C3268" s="40">
        <f>IF(Inputs!$C$60,Inputs!$C$11+(B3268-Inputs!$C$69)/Inputs!$C$70,"")</f>
      </c>
      <c r="D3268" s="15"/>
      <c r="E3268" s="15"/>
      <c r="F3268" s="11">
        <f t="shared" si="25"/>
      </c>
      <c r="G3268" s="22" cm="1">
        <f t="array" ref="G3268">IF(AND(Inputs!$C$60,Inputs!$C$61),INDEX(Utility_Rates!$C$29:$F$52,HOUR(C3268)+Inputs!$C$69,MATCH(INDEX(Utility_Rates!$K$6:$K$17,MONTH(C3268))&amp;IF(WEEKDAY(C3268,Inputs!$C$76)&lt;=Inputs!$C$74," weekday"," weekend"),Utility_Rates!$C$28:$F$28,Inputs!$C$68)),"")</f>
      </c>
      <c r="H3268" s="34"/>
      <c r="I3268" s="42">
        <f>IF(AND(ISNUMBER(D3268),ISNUMBER(H3268)),D3268*H3268*Inputs!$C$69,"")</f>
      </c>
      <c r="J3268" s="42">
        <f>IF(AND(ISNUMBER(F3268),ISNUMBER(H3268),F3268&gt;=Inputs!$C$68),F3268*H3268*Inputs!$C$69,"")</f>
      </c>
    </row>
    <row r="3269" spans="2:10" ht="15" customHeight="1" x14ac:dyDescent="0.2">
      <c r="B3269" s="39">
        <f t="shared" si="24"/>
      </c>
      <c r="C3269" s="40">
        <f>IF(Inputs!$C$60,Inputs!$C$11+(B3269-Inputs!$C$69)/Inputs!$C$70,"")</f>
      </c>
      <c r="D3269" s="15"/>
      <c r="E3269" s="15"/>
      <c r="F3269" s="11">
        <f t="shared" si="25"/>
      </c>
      <c r="G3269" s="22" cm="1">
        <f t="array" ref="G3269">IF(AND(Inputs!$C$60,Inputs!$C$61),INDEX(Utility_Rates!$C$29:$F$52,HOUR(C3269)+Inputs!$C$69,MATCH(INDEX(Utility_Rates!$K$6:$K$17,MONTH(C3269))&amp;IF(WEEKDAY(C3269,Inputs!$C$76)&lt;=Inputs!$C$74," weekday"," weekend"),Utility_Rates!$C$28:$F$28,Inputs!$C$68)),"")</f>
      </c>
      <c r="H3269" s="34"/>
      <c r="I3269" s="42">
        <f>IF(AND(ISNUMBER(D3269),ISNUMBER(H3269)),D3269*H3269*Inputs!$C$69,"")</f>
      </c>
      <c r="J3269" s="42">
        <f>IF(AND(ISNUMBER(F3269),ISNUMBER(H3269),F3269&gt;=Inputs!$C$68),F3269*H3269*Inputs!$C$69,"")</f>
      </c>
    </row>
    <row r="3270" spans="2:10" ht="15" customHeight="1" x14ac:dyDescent="0.2">
      <c r="B3270" s="39">
        <f t="shared" si="24"/>
      </c>
      <c r="C3270" s="40">
        <f>IF(Inputs!$C$60,Inputs!$C$11+(B3270-Inputs!$C$69)/Inputs!$C$70,"")</f>
      </c>
      <c r="D3270" s="15"/>
      <c r="E3270" s="15"/>
      <c r="F3270" s="11">
        <f t="shared" si="25"/>
      </c>
      <c r="G3270" s="22" cm="1">
        <f t="array" ref="G3270">IF(AND(Inputs!$C$60,Inputs!$C$61),INDEX(Utility_Rates!$C$29:$F$52,HOUR(C3270)+Inputs!$C$69,MATCH(INDEX(Utility_Rates!$K$6:$K$17,MONTH(C3270))&amp;IF(WEEKDAY(C3270,Inputs!$C$76)&lt;=Inputs!$C$74," weekday"," weekend"),Utility_Rates!$C$28:$F$28,Inputs!$C$68)),"")</f>
      </c>
      <c r="H3270" s="34"/>
      <c r="I3270" s="42">
        <f>IF(AND(ISNUMBER(D3270),ISNUMBER(H3270)),D3270*H3270*Inputs!$C$69,"")</f>
      </c>
      <c r="J3270" s="42">
        <f>IF(AND(ISNUMBER(F3270),ISNUMBER(H3270),F3270&gt;=Inputs!$C$68),F3270*H3270*Inputs!$C$69,"")</f>
      </c>
    </row>
    <row r="3271" spans="2:10" ht="15" customHeight="1" x14ac:dyDescent="0.2">
      <c r="B3271" s="39">
        <f t="shared" si="24"/>
      </c>
      <c r="C3271" s="40">
        <f>IF(Inputs!$C$60,Inputs!$C$11+(B3271-Inputs!$C$69)/Inputs!$C$70,"")</f>
      </c>
      <c r="D3271" s="15"/>
      <c r="E3271" s="15"/>
      <c r="F3271" s="11">
        <f t="shared" si="25"/>
      </c>
      <c r="G3271" s="22" cm="1">
        <f t="array" ref="G3271">IF(AND(Inputs!$C$60,Inputs!$C$61),INDEX(Utility_Rates!$C$29:$F$52,HOUR(C3271)+Inputs!$C$69,MATCH(INDEX(Utility_Rates!$K$6:$K$17,MONTH(C3271))&amp;IF(WEEKDAY(C3271,Inputs!$C$76)&lt;=Inputs!$C$74," weekday"," weekend"),Utility_Rates!$C$28:$F$28,Inputs!$C$68)),"")</f>
      </c>
      <c r="H3271" s="34"/>
      <c r="I3271" s="42">
        <f>IF(AND(ISNUMBER(D3271),ISNUMBER(H3271)),D3271*H3271*Inputs!$C$69,"")</f>
      </c>
      <c r="J3271" s="42">
        <f>IF(AND(ISNUMBER(F3271),ISNUMBER(H3271),F3271&gt;=Inputs!$C$68),F3271*H3271*Inputs!$C$69,"")</f>
      </c>
    </row>
    <row r="3272" spans="2:10" ht="15" customHeight="1" x14ac:dyDescent="0.2">
      <c r="B3272" s="39">
        <f t="shared" si="24"/>
      </c>
      <c r="C3272" s="40">
        <f>IF(Inputs!$C$60,Inputs!$C$11+(B3272-Inputs!$C$69)/Inputs!$C$70,"")</f>
      </c>
      <c r="D3272" s="15"/>
      <c r="E3272" s="15"/>
      <c r="F3272" s="11">
        <f t="shared" si="25"/>
      </c>
      <c r="G3272" s="22" cm="1">
        <f t="array" ref="G3272">IF(AND(Inputs!$C$60,Inputs!$C$61),INDEX(Utility_Rates!$C$29:$F$52,HOUR(C3272)+Inputs!$C$69,MATCH(INDEX(Utility_Rates!$K$6:$K$17,MONTH(C3272))&amp;IF(WEEKDAY(C3272,Inputs!$C$76)&lt;=Inputs!$C$74," weekday"," weekend"),Utility_Rates!$C$28:$F$28,Inputs!$C$68)),"")</f>
      </c>
      <c r="H3272" s="34"/>
      <c r="I3272" s="42">
        <f>IF(AND(ISNUMBER(D3272),ISNUMBER(H3272)),D3272*H3272*Inputs!$C$69,"")</f>
      </c>
      <c r="J3272" s="42">
        <f>IF(AND(ISNUMBER(F3272),ISNUMBER(H3272),F3272&gt;=Inputs!$C$68),F3272*H3272*Inputs!$C$69,"")</f>
      </c>
    </row>
    <row r="3273" spans="2:10" ht="15" customHeight="1" x14ac:dyDescent="0.2">
      <c r="B3273" s="39">
        <f t="shared" si="24"/>
      </c>
      <c r="C3273" s="40">
        <f>IF(Inputs!$C$60,Inputs!$C$11+(B3273-Inputs!$C$69)/Inputs!$C$70,"")</f>
      </c>
      <c r="D3273" s="15"/>
      <c r="E3273" s="15"/>
      <c r="F3273" s="11">
        <f t="shared" si="25"/>
      </c>
      <c r="G3273" s="22" cm="1">
        <f t="array" ref="G3273">IF(AND(Inputs!$C$60,Inputs!$C$61),INDEX(Utility_Rates!$C$29:$F$52,HOUR(C3273)+Inputs!$C$69,MATCH(INDEX(Utility_Rates!$K$6:$K$17,MONTH(C3273))&amp;IF(WEEKDAY(C3273,Inputs!$C$76)&lt;=Inputs!$C$74," weekday"," weekend"),Utility_Rates!$C$28:$F$28,Inputs!$C$68)),"")</f>
      </c>
      <c r="H3273" s="34"/>
      <c r="I3273" s="42">
        <f>IF(AND(ISNUMBER(D3273),ISNUMBER(H3273)),D3273*H3273*Inputs!$C$69,"")</f>
      </c>
      <c r="J3273" s="42">
        <f>IF(AND(ISNUMBER(F3273),ISNUMBER(H3273),F3273&gt;=Inputs!$C$68),F3273*H3273*Inputs!$C$69,"")</f>
      </c>
    </row>
    <row r="3274" spans="2:10" ht="15" customHeight="1" x14ac:dyDescent="0.2">
      <c r="B3274" s="39">
        <f t="shared" si="24"/>
      </c>
      <c r="C3274" s="40">
        <f>IF(Inputs!$C$60,Inputs!$C$11+(B3274-Inputs!$C$69)/Inputs!$C$70,"")</f>
      </c>
      <c r="D3274" s="15"/>
      <c r="E3274" s="15"/>
      <c r="F3274" s="11">
        <f t="shared" si="25"/>
      </c>
      <c r="G3274" s="22" cm="1">
        <f t="array" ref="G3274">IF(AND(Inputs!$C$60,Inputs!$C$61),INDEX(Utility_Rates!$C$29:$F$52,HOUR(C3274)+Inputs!$C$69,MATCH(INDEX(Utility_Rates!$K$6:$K$17,MONTH(C3274))&amp;IF(WEEKDAY(C3274,Inputs!$C$76)&lt;=Inputs!$C$74," weekday"," weekend"),Utility_Rates!$C$28:$F$28,Inputs!$C$68)),"")</f>
      </c>
      <c r="H3274" s="34"/>
      <c r="I3274" s="42">
        <f>IF(AND(ISNUMBER(D3274),ISNUMBER(H3274)),D3274*H3274*Inputs!$C$69,"")</f>
      </c>
      <c r="J3274" s="42">
        <f>IF(AND(ISNUMBER(F3274),ISNUMBER(H3274),F3274&gt;=Inputs!$C$68),F3274*H3274*Inputs!$C$69,"")</f>
      </c>
    </row>
    <row r="3275" spans="2:10" ht="15" customHeight="1" x14ac:dyDescent="0.2">
      <c r="B3275" s="39">
        <f t="shared" si="24"/>
      </c>
      <c r="C3275" s="40">
        <f>IF(Inputs!$C$60,Inputs!$C$11+(B3275-Inputs!$C$69)/Inputs!$C$70,"")</f>
      </c>
      <c r="D3275" s="15"/>
      <c r="E3275" s="15"/>
      <c r="F3275" s="11">
        <f t="shared" si="25"/>
      </c>
      <c r="G3275" s="22" cm="1">
        <f t="array" ref="G3275">IF(AND(Inputs!$C$60,Inputs!$C$61),INDEX(Utility_Rates!$C$29:$F$52,HOUR(C3275)+Inputs!$C$69,MATCH(INDEX(Utility_Rates!$K$6:$K$17,MONTH(C3275))&amp;IF(WEEKDAY(C3275,Inputs!$C$76)&lt;=Inputs!$C$74," weekday"," weekend"),Utility_Rates!$C$28:$F$28,Inputs!$C$68)),"")</f>
      </c>
      <c r="H3275" s="34"/>
      <c r="I3275" s="42">
        <f>IF(AND(ISNUMBER(D3275),ISNUMBER(H3275)),D3275*H3275*Inputs!$C$69,"")</f>
      </c>
      <c r="J3275" s="42">
        <f>IF(AND(ISNUMBER(F3275),ISNUMBER(H3275),F3275&gt;=Inputs!$C$68),F3275*H3275*Inputs!$C$69,"")</f>
      </c>
    </row>
    <row r="3276" spans="2:10" ht="15" customHeight="1" x14ac:dyDescent="0.2">
      <c r="B3276" s="39">
        <f t="shared" si="24"/>
      </c>
      <c r="C3276" s="40">
        <f>IF(Inputs!$C$60,Inputs!$C$11+(B3276-Inputs!$C$69)/Inputs!$C$70,"")</f>
      </c>
      <c r="D3276" s="15"/>
      <c r="E3276" s="15"/>
      <c r="F3276" s="11">
        <f t="shared" si="25"/>
      </c>
      <c r="G3276" s="22" cm="1">
        <f t="array" ref="G3276">IF(AND(Inputs!$C$60,Inputs!$C$61),INDEX(Utility_Rates!$C$29:$F$52,HOUR(C3276)+Inputs!$C$69,MATCH(INDEX(Utility_Rates!$K$6:$K$17,MONTH(C3276))&amp;IF(WEEKDAY(C3276,Inputs!$C$76)&lt;=Inputs!$C$74," weekday"," weekend"),Utility_Rates!$C$28:$F$28,Inputs!$C$68)),"")</f>
      </c>
      <c r="H3276" s="34"/>
      <c r="I3276" s="42">
        <f>IF(AND(ISNUMBER(D3276),ISNUMBER(H3276)),D3276*H3276*Inputs!$C$69,"")</f>
      </c>
      <c r="J3276" s="42">
        <f>IF(AND(ISNUMBER(F3276),ISNUMBER(H3276),F3276&gt;=Inputs!$C$68),F3276*H3276*Inputs!$C$69,"")</f>
      </c>
    </row>
    <row r="3277" spans="2:10" ht="15" customHeight="1" x14ac:dyDescent="0.2">
      <c r="B3277" s="39">
        <f t="shared" si="24"/>
      </c>
      <c r="C3277" s="40">
        <f>IF(Inputs!$C$60,Inputs!$C$11+(B3277-Inputs!$C$69)/Inputs!$C$70,"")</f>
      </c>
      <c r="D3277" s="15"/>
      <c r="E3277" s="15"/>
      <c r="F3277" s="11">
        <f t="shared" si="25"/>
      </c>
      <c r="G3277" s="22" cm="1">
        <f t="array" ref="G3277">IF(AND(Inputs!$C$60,Inputs!$C$61),INDEX(Utility_Rates!$C$29:$F$52,HOUR(C3277)+Inputs!$C$69,MATCH(INDEX(Utility_Rates!$K$6:$K$17,MONTH(C3277))&amp;IF(WEEKDAY(C3277,Inputs!$C$76)&lt;=Inputs!$C$74," weekday"," weekend"),Utility_Rates!$C$28:$F$28,Inputs!$C$68)),"")</f>
      </c>
      <c r="H3277" s="34"/>
      <c r="I3277" s="42">
        <f>IF(AND(ISNUMBER(D3277),ISNUMBER(H3277)),D3277*H3277*Inputs!$C$69,"")</f>
      </c>
      <c r="J3277" s="42">
        <f>IF(AND(ISNUMBER(F3277),ISNUMBER(H3277),F3277&gt;=Inputs!$C$68),F3277*H3277*Inputs!$C$69,"")</f>
      </c>
    </row>
    <row r="3278" spans="2:10" ht="15" customHeight="1" x14ac:dyDescent="0.2">
      <c r="B3278" s="39">
        <f t="shared" si="24"/>
      </c>
      <c r="C3278" s="40">
        <f>IF(Inputs!$C$60,Inputs!$C$11+(B3278-Inputs!$C$69)/Inputs!$C$70,"")</f>
      </c>
      <c r="D3278" s="15"/>
      <c r="E3278" s="15"/>
      <c r="F3278" s="11">
        <f t="shared" si="25"/>
      </c>
      <c r="G3278" s="22" cm="1">
        <f t="array" ref="G3278">IF(AND(Inputs!$C$60,Inputs!$C$61),INDEX(Utility_Rates!$C$29:$F$52,HOUR(C3278)+Inputs!$C$69,MATCH(INDEX(Utility_Rates!$K$6:$K$17,MONTH(C3278))&amp;IF(WEEKDAY(C3278,Inputs!$C$76)&lt;=Inputs!$C$74," weekday"," weekend"),Utility_Rates!$C$28:$F$28,Inputs!$C$68)),"")</f>
      </c>
      <c r="H3278" s="34"/>
      <c r="I3278" s="42">
        <f>IF(AND(ISNUMBER(D3278),ISNUMBER(H3278)),D3278*H3278*Inputs!$C$69,"")</f>
      </c>
      <c r="J3278" s="42">
        <f>IF(AND(ISNUMBER(F3278),ISNUMBER(H3278),F3278&gt;=Inputs!$C$68),F3278*H3278*Inputs!$C$69,"")</f>
      </c>
    </row>
    <row r="3279" spans="2:10" ht="15" customHeight="1" x14ac:dyDescent="0.2">
      <c r="B3279" s="39">
        <f t="shared" si="24"/>
      </c>
      <c r="C3279" s="40">
        <f>IF(Inputs!$C$60,Inputs!$C$11+(B3279-Inputs!$C$69)/Inputs!$C$70,"")</f>
      </c>
      <c r="D3279" s="15"/>
      <c r="E3279" s="15"/>
      <c r="F3279" s="11">
        <f t="shared" si="25"/>
      </c>
      <c r="G3279" s="22" cm="1">
        <f t="array" ref="G3279">IF(AND(Inputs!$C$60,Inputs!$C$61),INDEX(Utility_Rates!$C$29:$F$52,HOUR(C3279)+Inputs!$C$69,MATCH(INDEX(Utility_Rates!$K$6:$K$17,MONTH(C3279))&amp;IF(WEEKDAY(C3279,Inputs!$C$76)&lt;=Inputs!$C$74," weekday"," weekend"),Utility_Rates!$C$28:$F$28,Inputs!$C$68)),"")</f>
      </c>
      <c r="H3279" s="34"/>
      <c r="I3279" s="42">
        <f>IF(AND(ISNUMBER(D3279),ISNUMBER(H3279)),D3279*H3279*Inputs!$C$69,"")</f>
      </c>
      <c r="J3279" s="42">
        <f>IF(AND(ISNUMBER(F3279),ISNUMBER(H3279),F3279&gt;=Inputs!$C$68),F3279*H3279*Inputs!$C$69,"")</f>
      </c>
    </row>
    <row r="3280" spans="2:10" ht="15" customHeight="1" x14ac:dyDescent="0.2">
      <c r="B3280" s="39">
        <f t="shared" si="24"/>
      </c>
      <c r="C3280" s="40">
        <f>IF(Inputs!$C$60,Inputs!$C$11+(B3280-Inputs!$C$69)/Inputs!$C$70,"")</f>
      </c>
      <c r="D3280" s="15"/>
      <c r="E3280" s="15"/>
      <c r="F3280" s="11">
        <f t="shared" si="25"/>
      </c>
      <c r="G3280" s="22" cm="1">
        <f t="array" ref="G3280">IF(AND(Inputs!$C$60,Inputs!$C$61),INDEX(Utility_Rates!$C$29:$F$52,HOUR(C3280)+Inputs!$C$69,MATCH(INDEX(Utility_Rates!$K$6:$K$17,MONTH(C3280))&amp;IF(WEEKDAY(C3280,Inputs!$C$76)&lt;=Inputs!$C$74," weekday"," weekend"),Utility_Rates!$C$28:$F$28,Inputs!$C$68)),"")</f>
      </c>
      <c r="H3280" s="34"/>
      <c r="I3280" s="42">
        <f>IF(AND(ISNUMBER(D3280),ISNUMBER(H3280)),D3280*H3280*Inputs!$C$69,"")</f>
      </c>
      <c r="J3280" s="42">
        <f>IF(AND(ISNUMBER(F3280),ISNUMBER(H3280),F3280&gt;=Inputs!$C$68),F3280*H3280*Inputs!$C$69,"")</f>
      </c>
    </row>
    <row r="3281" spans="2:10" ht="15" customHeight="1" x14ac:dyDescent="0.2">
      <c r="B3281" s="39">
        <f t="shared" si="24"/>
      </c>
      <c r="C3281" s="40">
        <f>IF(Inputs!$C$60,Inputs!$C$11+(B3281-Inputs!$C$69)/Inputs!$C$70,"")</f>
      </c>
      <c r="D3281" s="15"/>
      <c r="E3281" s="15"/>
      <c r="F3281" s="11">
        <f t="shared" si="25"/>
      </c>
      <c r="G3281" s="22" cm="1">
        <f t="array" ref="G3281">IF(AND(Inputs!$C$60,Inputs!$C$61),INDEX(Utility_Rates!$C$29:$F$52,HOUR(C3281)+Inputs!$C$69,MATCH(INDEX(Utility_Rates!$K$6:$K$17,MONTH(C3281))&amp;IF(WEEKDAY(C3281,Inputs!$C$76)&lt;=Inputs!$C$74," weekday"," weekend"),Utility_Rates!$C$28:$F$28,Inputs!$C$68)),"")</f>
      </c>
      <c r="H3281" s="34"/>
      <c r="I3281" s="42">
        <f>IF(AND(ISNUMBER(D3281),ISNUMBER(H3281)),D3281*H3281*Inputs!$C$69,"")</f>
      </c>
      <c r="J3281" s="42">
        <f>IF(AND(ISNUMBER(F3281),ISNUMBER(H3281),F3281&gt;=Inputs!$C$68),F3281*H3281*Inputs!$C$69,"")</f>
      </c>
    </row>
    <row r="3282" spans="2:10" ht="15" customHeight="1" x14ac:dyDescent="0.2">
      <c r="B3282" s="39">
        <f t="shared" si="24"/>
      </c>
      <c r="C3282" s="40">
        <f>IF(Inputs!$C$60,Inputs!$C$11+(B3282-Inputs!$C$69)/Inputs!$C$70,"")</f>
      </c>
      <c r="D3282" s="15"/>
      <c r="E3282" s="15"/>
      <c r="F3282" s="11">
        <f t="shared" si="25"/>
      </c>
      <c r="G3282" s="22" cm="1">
        <f t="array" ref="G3282">IF(AND(Inputs!$C$60,Inputs!$C$61),INDEX(Utility_Rates!$C$29:$F$52,HOUR(C3282)+Inputs!$C$69,MATCH(INDEX(Utility_Rates!$K$6:$K$17,MONTH(C3282))&amp;IF(WEEKDAY(C3282,Inputs!$C$76)&lt;=Inputs!$C$74," weekday"," weekend"),Utility_Rates!$C$28:$F$28,Inputs!$C$68)),"")</f>
      </c>
      <c r="H3282" s="34"/>
      <c r="I3282" s="42">
        <f>IF(AND(ISNUMBER(D3282),ISNUMBER(H3282)),D3282*H3282*Inputs!$C$69,"")</f>
      </c>
      <c r="J3282" s="42">
        <f>IF(AND(ISNUMBER(F3282),ISNUMBER(H3282),F3282&gt;=Inputs!$C$68),F3282*H3282*Inputs!$C$69,"")</f>
      </c>
    </row>
    <row r="3283" spans="2:10" ht="15" customHeight="1" x14ac:dyDescent="0.2">
      <c r="B3283" s="39">
        <f t="shared" si="24"/>
      </c>
      <c r="C3283" s="40">
        <f>IF(Inputs!$C$60,Inputs!$C$11+(B3283-Inputs!$C$69)/Inputs!$C$70,"")</f>
      </c>
      <c r="D3283" s="15"/>
      <c r="E3283" s="15"/>
      <c r="F3283" s="11">
        <f t="shared" si="25"/>
      </c>
      <c r="G3283" s="22" cm="1">
        <f t="array" ref="G3283">IF(AND(Inputs!$C$60,Inputs!$C$61),INDEX(Utility_Rates!$C$29:$F$52,HOUR(C3283)+Inputs!$C$69,MATCH(INDEX(Utility_Rates!$K$6:$K$17,MONTH(C3283))&amp;IF(WEEKDAY(C3283,Inputs!$C$76)&lt;=Inputs!$C$74," weekday"," weekend"),Utility_Rates!$C$28:$F$28,Inputs!$C$68)),"")</f>
      </c>
      <c r="H3283" s="34"/>
      <c r="I3283" s="42">
        <f>IF(AND(ISNUMBER(D3283),ISNUMBER(H3283)),D3283*H3283*Inputs!$C$69,"")</f>
      </c>
      <c r="J3283" s="42">
        <f>IF(AND(ISNUMBER(F3283),ISNUMBER(H3283),F3283&gt;=Inputs!$C$68),F3283*H3283*Inputs!$C$69,"")</f>
      </c>
    </row>
    <row r="3284" spans="2:10" ht="15" customHeight="1" x14ac:dyDescent="0.2">
      <c r="B3284" s="39">
        <f t="shared" si="24"/>
      </c>
      <c r="C3284" s="40">
        <f>IF(Inputs!$C$60,Inputs!$C$11+(B3284-Inputs!$C$69)/Inputs!$C$70,"")</f>
      </c>
      <c r="D3284" s="15"/>
      <c r="E3284" s="15"/>
      <c r="F3284" s="11">
        <f t="shared" si="25"/>
      </c>
      <c r="G3284" s="22" cm="1">
        <f t="array" ref="G3284">IF(AND(Inputs!$C$60,Inputs!$C$61),INDEX(Utility_Rates!$C$29:$F$52,HOUR(C3284)+Inputs!$C$69,MATCH(INDEX(Utility_Rates!$K$6:$K$17,MONTH(C3284))&amp;IF(WEEKDAY(C3284,Inputs!$C$76)&lt;=Inputs!$C$74," weekday"," weekend"),Utility_Rates!$C$28:$F$28,Inputs!$C$68)),"")</f>
      </c>
      <c r="H3284" s="34"/>
      <c r="I3284" s="42">
        <f>IF(AND(ISNUMBER(D3284),ISNUMBER(H3284)),D3284*H3284*Inputs!$C$69,"")</f>
      </c>
      <c r="J3284" s="42">
        <f>IF(AND(ISNUMBER(F3284),ISNUMBER(H3284),F3284&gt;=Inputs!$C$68),F3284*H3284*Inputs!$C$69,"")</f>
      </c>
    </row>
    <row r="3285" spans="2:10" ht="15" customHeight="1" x14ac:dyDescent="0.2">
      <c r="B3285" s="39">
        <f t="shared" si="24"/>
      </c>
      <c r="C3285" s="40">
        <f>IF(Inputs!$C$60,Inputs!$C$11+(B3285-Inputs!$C$69)/Inputs!$C$70,"")</f>
      </c>
      <c r="D3285" s="15"/>
      <c r="E3285" s="15"/>
      <c r="F3285" s="11">
        <f t="shared" si="25"/>
      </c>
      <c r="G3285" s="22" cm="1">
        <f t="array" ref="G3285">IF(AND(Inputs!$C$60,Inputs!$C$61),INDEX(Utility_Rates!$C$29:$F$52,HOUR(C3285)+Inputs!$C$69,MATCH(INDEX(Utility_Rates!$K$6:$K$17,MONTH(C3285))&amp;IF(WEEKDAY(C3285,Inputs!$C$76)&lt;=Inputs!$C$74," weekday"," weekend"),Utility_Rates!$C$28:$F$28,Inputs!$C$68)),"")</f>
      </c>
      <c r="H3285" s="34"/>
      <c r="I3285" s="42">
        <f>IF(AND(ISNUMBER(D3285),ISNUMBER(H3285)),D3285*H3285*Inputs!$C$69,"")</f>
      </c>
      <c r="J3285" s="42">
        <f>IF(AND(ISNUMBER(F3285),ISNUMBER(H3285),F3285&gt;=Inputs!$C$68),F3285*H3285*Inputs!$C$69,"")</f>
      </c>
    </row>
    <row r="3286" spans="2:10" ht="15" customHeight="1" x14ac:dyDescent="0.2">
      <c r="B3286" s="39">
        <f t="shared" si="24"/>
      </c>
      <c r="C3286" s="40">
        <f>IF(Inputs!$C$60,Inputs!$C$11+(B3286-Inputs!$C$69)/Inputs!$C$70,"")</f>
      </c>
      <c r="D3286" s="15"/>
      <c r="E3286" s="15"/>
      <c r="F3286" s="11">
        <f t="shared" si="25"/>
      </c>
      <c r="G3286" s="22" cm="1">
        <f t="array" ref="G3286">IF(AND(Inputs!$C$60,Inputs!$C$61),INDEX(Utility_Rates!$C$29:$F$52,HOUR(C3286)+Inputs!$C$69,MATCH(INDEX(Utility_Rates!$K$6:$K$17,MONTH(C3286))&amp;IF(WEEKDAY(C3286,Inputs!$C$76)&lt;=Inputs!$C$74," weekday"," weekend"),Utility_Rates!$C$28:$F$28,Inputs!$C$68)),"")</f>
      </c>
      <c r="H3286" s="34"/>
      <c r="I3286" s="42">
        <f>IF(AND(ISNUMBER(D3286),ISNUMBER(H3286)),D3286*H3286*Inputs!$C$69,"")</f>
      </c>
      <c r="J3286" s="42">
        <f>IF(AND(ISNUMBER(F3286),ISNUMBER(H3286),F3286&gt;=Inputs!$C$68),F3286*H3286*Inputs!$C$69,"")</f>
      </c>
    </row>
    <row r="3287" spans="2:10" ht="15" customHeight="1" x14ac:dyDescent="0.2">
      <c r="B3287" s="39">
        <f t="shared" si="24"/>
      </c>
      <c r="C3287" s="40">
        <f>IF(Inputs!$C$60,Inputs!$C$11+(B3287-Inputs!$C$69)/Inputs!$C$70,"")</f>
      </c>
      <c r="D3287" s="15"/>
      <c r="E3287" s="15"/>
      <c r="F3287" s="11">
        <f t="shared" si="25"/>
      </c>
      <c r="G3287" s="22" cm="1">
        <f t="array" ref="G3287">IF(AND(Inputs!$C$60,Inputs!$C$61),INDEX(Utility_Rates!$C$29:$F$52,HOUR(C3287)+Inputs!$C$69,MATCH(INDEX(Utility_Rates!$K$6:$K$17,MONTH(C3287))&amp;IF(WEEKDAY(C3287,Inputs!$C$76)&lt;=Inputs!$C$74," weekday"," weekend"),Utility_Rates!$C$28:$F$28,Inputs!$C$68)),"")</f>
      </c>
      <c r="H3287" s="34"/>
      <c r="I3287" s="42">
        <f>IF(AND(ISNUMBER(D3287),ISNUMBER(H3287)),D3287*H3287*Inputs!$C$69,"")</f>
      </c>
      <c r="J3287" s="42">
        <f>IF(AND(ISNUMBER(F3287),ISNUMBER(H3287),F3287&gt;=Inputs!$C$68),F3287*H3287*Inputs!$C$69,"")</f>
      </c>
    </row>
    <row r="3288" spans="2:10" ht="15" customHeight="1" x14ac:dyDescent="0.2">
      <c r="B3288" s="39">
        <f t="shared" si="24"/>
      </c>
      <c r="C3288" s="40">
        <f>IF(Inputs!$C$60,Inputs!$C$11+(B3288-Inputs!$C$69)/Inputs!$C$70,"")</f>
      </c>
      <c r="D3288" s="15"/>
      <c r="E3288" s="15"/>
      <c r="F3288" s="11">
        <f t="shared" si="25"/>
      </c>
      <c r="G3288" s="22" cm="1">
        <f t="array" ref="G3288">IF(AND(Inputs!$C$60,Inputs!$C$61),INDEX(Utility_Rates!$C$29:$F$52,HOUR(C3288)+Inputs!$C$69,MATCH(INDEX(Utility_Rates!$K$6:$K$17,MONTH(C3288))&amp;IF(WEEKDAY(C3288,Inputs!$C$76)&lt;=Inputs!$C$74," weekday"," weekend"),Utility_Rates!$C$28:$F$28,Inputs!$C$68)),"")</f>
      </c>
      <c r="H3288" s="34"/>
      <c r="I3288" s="42">
        <f>IF(AND(ISNUMBER(D3288),ISNUMBER(H3288)),D3288*H3288*Inputs!$C$69,"")</f>
      </c>
      <c r="J3288" s="42">
        <f>IF(AND(ISNUMBER(F3288),ISNUMBER(H3288),F3288&gt;=Inputs!$C$68),F3288*H3288*Inputs!$C$69,"")</f>
      </c>
    </row>
    <row r="3289" spans="2:10" ht="15" customHeight="1" x14ac:dyDescent="0.2">
      <c r="B3289" s="39">
        <f t="shared" si="24"/>
      </c>
      <c r="C3289" s="40">
        <f>IF(Inputs!$C$60,Inputs!$C$11+(B3289-Inputs!$C$69)/Inputs!$C$70,"")</f>
      </c>
      <c r="D3289" s="15"/>
      <c r="E3289" s="15"/>
      <c r="F3289" s="11">
        <f t="shared" si="25"/>
      </c>
      <c r="G3289" s="22" cm="1">
        <f t="array" ref="G3289">IF(AND(Inputs!$C$60,Inputs!$C$61),INDEX(Utility_Rates!$C$29:$F$52,HOUR(C3289)+Inputs!$C$69,MATCH(INDEX(Utility_Rates!$K$6:$K$17,MONTH(C3289))&amp;IF(WEEKDAY(C3289,Inputs!$C$76)&lt;=Inputs!$C$74," weekday"," weekend"),Utility_Rates!$C$28:$F$28,Inputs!$C$68)),"")</f>
      </c>
      <c r="H3289" s="34"/>
      <c r="I3289" s="42">
        <f>IF(AND(ISNUMBER(D3289),ISNUMBER(H3289)),D3289*H3289*Inputs!$C$69,"")</f>
      </c>
      <c r="J3289" s="42">
        <f>IF(AND(ISNUMBER(F3289),ISNUMBER(H3289),F3289&gt;=Inputs!$C$68),F3289*H3289*Inputs!$C$69,"")</f>
      </c>
    </row>
    <row r="3290" spans="2:10" ht="15" customHeight="1" x14ac:dyDescent="0.2">
      <c r="B3290" s="39">
        <f t="shared" si="24"/>
      </c>
      <c r="C3290" s="40">
        <f>IF(Inputs!$C$60,Inputs!$C$11+(B3290-Inputs!$C$69)/Inputs!$C$70,"")</f>
      </c>
      <c r="D3290" s="15"/>
      <c r="E3290" s="15"/>
      <c r="F3290" s="11">
        <f t="shared" si="25"/>
      </c>
      <c r="G3290" s="22" cm="1">
        <f t="array" ref="G3290">IF(AND(Inputs!$C$60,Inputs!$C$61),INDEX(Utility_Rates!$C$29:$F$52,HOUR(C3290)+Inputs!$C$69,MATCH(INDEX(Utility_Rates!$K$6:$K$17,MONTH(C3290))&amp;IF(WEEKDAY(C3290,Inputs!$C$76)&lt;=Inputs!$C$74," weekday"," weekend"),Utility_Rates!$C$28:$F$28,Inputs!$C$68)),"")</f>
      </c>
      <c r="H3290" s="34"/>
      <c r="I3290" s="42">
        <f>IF(AND(ISNUMBER(D3290),ISNUMBER(H3290)),D3290*H3290*Inputs!$C$69,"")</f>
      </c>
      <c r="J3290" s="42">
        <f>IF(AND(ISNUMBER(F3290),ISNUMBER(H3290),F3290&gt;=Inputs!$C$68),F3290*H3290*Inputs!$C$69,"")</f>
      </c>
    </row>
    <row r="3291" spans="2:10" ht="15" customHeight="1" x14ac:dyDescent="0.2">
      <c r="B3291" s="39">
        <f t="shared" si="24"/>
      </c>
      <c r="C3291" s="40">
        <f>IF(Inputs!$C$60,Inputs!$C$11+(B3291-Inputs!$C$69)/Inputs!$C$70,"")</f>
      </c>
      <c r="D3291" s="15"/>
      <c r="E3291" s="15"/>
      <c r="F3291" s="11">
        <f t="shared" si="25"/>
      </c>
      <c r="G3291" s="22" cm="1">
        <f t="array" ref="G3291">IF(AND(Inputs!$C$60,Inputs!$C$61),INDEX(Utility_Rates!$C$29:$F$52,HOUR(C3291)+Inputs!$C$69,MATCH(INDEX(Utility_Rates!$K$6:$K$17,MONTH(C3291))&amp;IF(WEEKDAY(C3291,Inputs!$C$76)&lt;=Inputs!$C$74," weekday"," weekend"),Utility_Rates!$C$28:$F$28,Inputs!$C$68)),"")</f>
      </c>
      <c r="H3291" s="34"/>
      <c r="I3291" s="42">
        <f>IF(AND(ISNUMBER(D3291),ISNUMBER(H3291)),D3291*H3291*Inputs!$C$69,"")</f>
      </c>
      <c r="J3291" s="42">
        <f>IF(AND(ISNUMBER(F3291),ISNUMBER(H3291),F3291&gt;=Inputs!$C$68),F3291*H3291*Inputs!$C$69,"")</f>
      </c>
    </row>
    <row r="3292" spans="2:10" ht="15" customHeight="1" x14ac:dyDescent="0.2">
      <c r="B3292" s="39">
        <f t="shared" si="24"/>
      </c>
      <c r="C3292" s="40">
        <f>IF(Inputs!$C$60,Inputs!$C$11+(B3292-Inputs!$C$69)/Inputs!$C$70,"")</f>
      </c>
      <c r="D3292" s="15"/>
      <c r="E3292" s="15"/>
      <c r="F3292" s="11">
        <f t="shared" si="25"/>
      </c>
      <c r="G3292" s="22" cm="1">
        <f t="array" ref="G3292">IF(AND(Inputs!$C$60,Inputs!$C$61),INDEX(Utility_Rates!$C$29:$F$52,HOUR(C3292)+Inputs!$C$69,MATCH(INDEX(Utility_Rates!$K$6:$K$17,MONTH(C3292))&amp;IF(WEEKDAY(C3292,Inputs!$C$76)&lt;=Inputs!$C$74," weekday"," weekend"),Utility_Rates!$C$28:$F$28,Inputs!$C$68)),"")</f>
      </c>
      <c r="H3292" s="34"/>
      <c r="I3292" s="42">
        <f>IF(AND(ISNUMBER(D3292),ISNUMBER(H3292)),D3292*H3292*Inputs!$C$69,"")</f>
      </c>
      <c r="J3292" s="42">
        <f>IF(AND(ISNUMBER(F3292),ISNUMBER(H3292),F3292&gt;=Inputs!$C$68),F3292*H3292*Inputs!$C$69,"")</f>
      </c>
    </row>
    <row r="3293" spans="2:10" ht="15" customHeight="1" x14ac:dyDescent="0.2">
      <c r="B3293" s="39">
        <f t="shared" si="24"/>
      </c>
      <c r="C3293" s="40">
        <f>IF(Inputs!$C$60,Inputs!$C$11+(B3293-Inputs!$C$69)/Inputs!$C$70,"")</f>
      </c>
      <c r="D3293" s="15"/>
      <c r="E3293" s="15"/>
      <c r="F3293" s="11">
        <f t="shared" si="25"/>
      </c>
      <c r="G3293" s="22" cm="1">
        <f t="array" ref="G3293">IF(AND(Inputs!$C$60,Inputs!$C$61),INDEX(Utility_Rates!$C$29:$F$52,HOUR(C3293)+Inputs!$C$69,MATCH(INDEX(Utility_Rates!$K$6:$K$17,MONTH(C3293))&amp;IF(WEEKDAY(C3293,Inputs!$C$76)&lt;=Inputs!$C$74," weekday"," weekend"),Utility_Rates!$C$28:$F$28,Inputs!$C$68)),"")</f>
      </c>
      <c r="H3293" s="34"/>
      <c r="I3293" s="42">
        <f>IF(AND(ISNUMBER(D3293),ISNUMBER(H3293)),D3293*H3293*Inputs!$C$69,"")</f>
      </c>
      <c r="J3293" s="42">
        <f>IF(AND(ISNUMBER(F3293),ISNUMBER(H3293),F3293&gt;=Inputs!$C$68),F3293*H3293*Inputs!$C$69,"")</f>
      </c>
    </row>
    <row r="3294" spans="2:10" ht="15" customHeight="1" x14ac:dyDescent="0.2">
      <c r="B3294" s="39">
        <f t="shared" si="24"/>
      </c>
      <c r="C3294" s="40">
        <f>IF(Inputs!$C$60,Inputs!$C$11+(B3294-Inputs!$C$69)/Inputs!$C$70,"")</f>
      </c>
      <c r="D3294" s="15"/>
      <c r="E3294" s="15"/>
      <c r="F3294" s="11">
        <f t="shared" si="25"/>
      </c>
      <c r="G3294" s="22" cm="1">
        <f t="array" ref="G3294">IF(AND(Inputs!$C$60,Inputs!$C$61),INDEX(Utility_Rates!$C$29:$F$52,HOUR(C3294)+Inputs!$C$69,MATCH(INDEX(Utility_Rates!$K$6:$K$17,MONTH(C3294))&amp;IF(WEEKDAY(C3294,Inputs!$C$76)&lt;=Inputs!$C$74," weekday"," weekend"),Utility_Rates!$C$28:$F$28,Inputs!$C$68)),"")</f>
      </c>
      <c r="H3294" s="34"/>
      <c r="I3294" s="42">
        <f>IF(AND(ISNUMBER(D3294),ISNUMBER(H3294)),D3294*H3294*Inputs!$C$69,"")</f>
      </c>
      <c r="J3294" s="42">
        <f>IF(AND(ISNUMBER(F3294),ISNUMBER(H3294),F3294&gt;=Inputs!$C$68),F3294*H3294*Inputs!$C$69,"")</f>
      </c>
    </row>
    <row r="3295" spans="2:10" ht="15" customHeight="1" x14ac:dyDescent="0.2">
      <c r="B3295" s="39">
        <f t="shared" si="24"/>
      </c>
      <c r="C3295" s="40">
        <f>IF(Inputs!$C$60,Inputs!$C$11+(B3295-Inputs!$C$69)/Inputs!$C$70,"")</f>
      </c>
      <c r="D3295" s="15"/>
      <c r="E3295" s="15"/>
      <c r="F3295" s="11">
        <f t="shared" si="25"/>
      </c>
      <c r="G3295" s="22" cm="1">
        <f t="array" ref="G3295">IF(AND(Inputs!$C$60,Inputs!$C$61),INDEX(Utility_Rates!$C$29:$F$52,HOUR(C3295)+Inputs!$C$69,MATCH(INDEX(Utility_Rates!$K$6:$K$17,MONTH(C3295))&amp;IF(WEEKDAY(C3295,Inputs!$C$76)&lt;=Inputs!$C$74," weekday"," weekend"),Utility_Rates!$C$28:$F$28,Inputs!$C$68)),"")</f>
      </c>
      <c r="H3295" s="34"/>
      <c r="I3295" s="42">
        <f>IF(AND(ISNUMBER(D3295),ISNUMBER(H3295)),D3295*H3295*Inputs!$C$69,"")</f>
      </c>
      <c r="J3295" s="42">
        <f>IF(AND(ISNUMBER(F3295),ISNUMBER(H3295),F3295&gt;=Inputs!$C$68),F3295*H3295*Inputs!$C$69,"")</f>
      </c>
    </row>
    <row r="3296" spans="2:10" ht="15" customHeight="1" x14ac:dyDescent="0.2">
      <c r="B3296" s="39">
        <f t="shared" si="24"/>
      </c>
      <c r="C3296" s="40">
        <f>IF(Inputs!$C$60,Inputs!$C$11+(B3296-Inputs!$C$69)/Inputs!$C$70,"")</f>
      </c>
      <c r="D3296" s="15"/>
      <c r="E3296" s="15"/>
      <c r="F3296" s="11">
        <f t="shared" si="25"/>
      </c>
      <c r="G3296" s="22" cm="1">
        <f t="array" ref="G3296">IF(AND(Inputs!$C$60,Inputs!$C$61),INDEX(Utility_Rates!$C$29:$F$52,HOUR(C3296)+Inputs!$C$69,MATCH(INDEX(Utility_Rates!$K$6:$K$17,MONTH(C3296))&amp;IF(WEEKDAY(C3296,Inputs!$C$76)&lt;=Inputs!$C$74," weekday"," weekend"),Utility_Rates!$C$28:$F$28,Inputs!$C$68)),"")</f>
      </c>
      <c r="H3296" s="34"/>
      <c r="I3296" s="42">
        <f>IF(AND(ISNUMBER(D3296),ISNUMBER(H3296)),D3296*H3296*Inputs!$C$69,"")</f>
      </c>
      <c r="J3296" s="42">
        <f>IF(AND(ISNUMBER(F3296),ISNUMBER(H3296),F3296&gt;=Inputs!$C$68),F3296*H3296*Inputs!$C$69,"")</f>
      </c>
    </row>
    <row r="3297" spans="2:10" ht="15" customHeight="1" x14ac:dyDescent="0.2">
      <c r="B3297" s="39">
        <f t="shared" si="24"/>
      </c>
      <c r="C3297" s="40">
        <f>IF(Inputs!$C$60,Inputs!$C$11+(B3297-Inputs!$C$69)/Inputs!$C$70,"")</f>
      </c>
      <c r="D3297" s="15"/>
      <c r="E3297" s="15"/>
      <c r="F3297" s="11">
        <f t="shared" si="25"/>
      </c>
      <c r="G3297" s="22" cm="1">
        <f t="array" ref="G3297">IF(AND(Inputs!$C$60,Inputs!$C$61),INDEX(Utility_Rates!$C$29:$F$52,HOUR(C3297)+Inputs!$C$69,MATCH(INDEX(Utility_Rates!$K$6:$K$17,MONTH(C3297))&amp;IF(WEEKDAY(C3297,Inputs!$C$76)&lt;=Inputs!$C$74," weekday"," weekend"),Utility_Rates!$C$28:$F$28,Inputs!$C$68)),"")</f>
      </c>
      <c r="H3297" s="34"/>
      <c r="I3297" s="42">
        <f>IF(AND(ISNUMBER(D3297),ISNUMBER(H3297)),D3297*H3297*Inputs!$C$69,"")</f>
      </c>
      <c r="J3297" s="42">
        <f>IF(AND(ISNUMBER(F3297),ISNUMBER(H3297),F3297&gt;=Inputs!$C$68),F3297*H3297*Inputs!$C$69,"")</f>
      </c>
    </row>
    <row r="3298" spans="2:10" ht="15" customHeight="1" x14ac:dyDescent="0.2">
      <c r="B3298" s="39">
        <f t="shared" si="24"/>
      </c>
      <c r="C3298" s="40">
        <f>IF(Inputs!$C$60,Inputs!$C$11+(B3298-Inputs!$C$69)/Inputs!$C$70,"")</f>
      </c>
      <c r="D3298" s="15"/>
      <c r="E3298" s="15"/>
      <c r="F3298" s="11">
        <f t="shared" si="25"/>
      </c>
      <c r="G3298" s="22" cm="1">
        <f t="array" ref="G3298">IF(AND(Inputs!$C$60,Inputs!$C$61),INDEX(Utility_Rates!$C$29:$F$52,HOUR(C3298)+Inputs!$C$69,MATCH(INDEX(Utility_Rates!$K$6:$K$17,MONTH(C3298))&amp;IF(WEEKDAY(C3298,Inputs!$C$76)&lt;=Inputs!$C$74," weekday"," weekend"),Utility_Rates!$C$28:$F$28,Inputs!$C$68)),"")</f>
      </c>
      <c r="H3298" s="34"/>
      <c r="I3298" s="42">
        <f>IF(AND(ISNUMBER(D3298),ISNUMBER(H3298)),D3298*H3298*Inputs!$C$69,"")</f>
      </c>
      <c r="J3298" s="42">
        <f>IF(AND(ISNUMBER(F3298),ISNUMBER(H3298),F3298&gt;=Inputs!$C$68),F3298*H3298*Inputs!$C$69,"")</f>
      </c>
    </row>
    <row r="3299" spans="2:10" ht="15" customHeight="1" x14ac:dyDescent="0.2">
      <c r="B3299" s="39">
        <f t="shared" si="24"/>
      </c>
      <c r="C3299" s="40">
        <f>IF(Inputs!$C$60,Inputs!$C$11+(B3299-Inputs!$C$69)/Inputs!$C$70,"")</f>
      </c>
      <c r="D3299" s="15"/>
      <c r="E3299" s="15"/>
      <c r="F3299" s="11">
        <f t="shared" si="25"/>
      </c>
      <c r="G3299" s="22" cm="1">
        <f t="array" ref="G3299">IF(AND(Inputs!$C$60,Inputs!$C$61),INDEX(Utility_Rates!$C$29:$F$52,HOUR(C3299)+Inputs!$C$69,MATCH(INDEX(Utility_Rates!$K$6:$K$17,MONTH(C3299))&amp;IF(WEEKDAY(C3299,Inputs!$C$76)&lt;=Inputs!$C$74," weekday"," weekend"),Utility_Rates!$C$28:$F$28,Inputs!$C$68)),"")</f>
      </c>
      <c r="H3299" s="34"/>
      <c r="I3299" s="42">
        <f>IF(AND(ISNUMBER(D3299),ISNUMBER(H3299)),D3299*H3299*Inputs!$C$69,"")</f>
      </c>
      <c r="J3299" s="42">
        <f>IF(AND(ISNUMBER(F3299),ISNUMBER(H3299),F3299&gt;=Inputs!$C$68),F3299*H3299*Inputs!$C$69,"")</f>
      </c>
    </row>
    <row r="3300" spans="2:10" ht="15" customHeight="1" x14ac:dyDescent="0.2">
      <c r="B3300" s="39">
        <f t="shared" si="24"/>
      </c>
      <c r="C3300" s="40">
        <f>IF(Inputs!$C$60,Inputs!$C$11+(B3300-Inputs!$C$69)/Inputs!$C$70,"")</f>
      </c>
      <c r="D3300" s="15"/>
      <c r="E3300" s="15"/>
      <c r="F3300" s="11">
        <f t="shared" si="25"/>
      </c>
      <c r="G3300" s="22" cm="1">
        <f t="array" ref="G3300">IF(AND(Inputs!$C$60,Inputs!$C$61),INDEX(Utility_Rates!$C$29:$F$52,HOUR(C3300)+Inputs!$C$69,MATCH(INDEX(Utility_Rates!$K$6:$K$17,MONTH(C3300))&amp;IF(WEEKDAY(C3300,Inputs!$C$76)&lt;=Inputs!$C$74," weekday"," weekend"),Utility_Rates!$C$28:$F$28,Inputs!$C$68)),"")</f>
      </c>
      <c r="H3300" s="34"/>
      <c r="I3300" s="42">
        <f>IF(AND(ISNUMBER(D3300),ISNUMBER(H3300)),D3300*H3300*Inputs!$C$69,"")</f>
      </c>
      <c r="J3300" s="42">
        <f>IF(AND(ISNUMBER(F3300),ISNUMBER(H3300),F3300&gt;=Inputs!$C$68),F3300*H3300*Inputs!$C$69,"")</f>
      </c>
    </row>
    <row r="3301" spans="2:10" ht="15" customHeight="1" x14ac:dyDescent="0.2">
      <c r="B3301" s="39">
        <f t="shared" si="24"/>
      </c>
      <c r="C3301" s="40">
        <f>IF(Inputs!$C$60,Inputs!$C$11+(B3301-Inputs!$C$69)/Inputs!$C$70,"")</f>
      </c>
      <c r="D3301" s="15"/>
      <c r="E3301" s="15"/>
      <c r="F3301" s="11">
        <f t="shared" si="25"/>
      </c>
      <c r="G3301" s="22" cm="1">
        <f t="array" ref="G3301">IF(AND(Inputs!$C$60,Inputs!$C$61),INDEX(Utility_Rates!$C$29:$F$52,HOUR(C3301)+Inputs!$C$69,MATCH(INDEX(Utility_Rates!$K$6:$K$17,MONTH(C3301))&amp;IF(WEEKDAY(C3301,Inputs!$C$76)&lt;=Inputs!$C$74," weekday"," weekend"),Utility_Rates!$C$28:$F$28,Inputs!$C$68)),"")</f>
      </c>
      <c r="H3301" s="34"/>
      <c r="I3301" s="42">
        <f>IF(AND(ISNUMBER(D3301),ISNUMBER(H3301)),D3301*H3301*Inputs!$C$69,"")</f>
      </c>
      <c r="J3301" s="42">
        <f>IF(AND(ISNUMBER(F3301),ISNUMBER(H3301),F3301&gt;=Inputs!$C$68),F3301*H3301*Inputs!$C$69,"")</f>
      </c>
    </row>
    <row r="3302" spans="2:10" ht="15" customHeight="1" x14ac:dyDescent="0.2">
      <c r="B3302" s="39">
        <f t="shared" si="24"/>
      </c>
      <c r="C3302" s="40">
        <f>IF(Inputs!$C$60,Inputs!$C$11+(B3302-Inputs!$C$69)/Inputs!$C$70,"")</f>
      </c>
      <c r="D3302" s="15"/>
      <c r="E3302" s="15"/>
      <c r="F3302" s="11">
        <f t="shared" si="25"/>
      </c>
      <c r="G3302" s="22" cm="1">
        <f t="array" ref="G3302">IF(AND(Inputs!$C$60,Inputs!$C$61),INDEX(Utility_Rates!$C$29:$F$52,HOUR(C3302)+Inputs!$C$69,MATCH(INDEX(Utility_Rates!$K$6:$K$17,MONTH(C3302))&amp;IF(WEEKDAY(C3302,Inputs!$C$76)&lt;=Inputs!$C$74," weekday"," weekend"),Utility_Rates!$C$28:$F$28,Inputs!$C$68)),"")</f>
      </c>
      <c r="H3302" s="34"/>
      <c r="I3302" s="42">
        <f>IF(AND(ISNUMBER(D3302),ISNUMBER(H3302)),D3302*H3302*Inputs!$C$69,"")</f>
      </c>
      <c r="J3302" s="42">
        <f>IF(AND(ISNUMBER(F3302),ISNUMBER(H3302),F3302&gt;=Inputs!$C$68),F3302*H3302*Inputs!$C$69,"")</f>
      </c>
    </row>
    <row r="3303" spans="2:10" ht="15" customHeight="1" x14ac:dyDescent="0.2">
      <c r="B3303" s="39">
        <f t="shared" si="24"/>
      </c>
      <c r="C3303" s="40">
        <f>IF(Inputs!$C$60,Inputs!$C$11+(B3303-Inputs!$C$69)/Inputs!$C$70,"")</f>
      </c>
      <c r="D3303" s="15"/>
      <c r="E3303" s="15"/>
      <c r="F3303" s="11">
        <f t="shared" si="25"/>
      </c>
      <c r="G3303" s="22" cm="1">
        <f t="array" ref="G3303">IF(AND(Inputs!$C$60,Inputs!$C$61),INDEX(Utility_Rates!$C$29:$F$52,HOUR(C3303)+Inputs!$C$69,MATCH(INDEX(Utility_Rates!$K$6:$K$17,MONTH(C3303))&amp;IF(WEEKDAY(C3303,Inputs!$C$76)&lt;=Inputs!$C$74," weekday"," weekend"),Utility_Rates!$C$28:$F$28,Inputs!$C$68)),"")</f>
      </c>
      <c r="H3303" s="34"/>
      <c r="I3303" s="42">
        <f>IF(AND(ISNUMBER(D3303),ISNUMBER(H3303)),D3303*H3303*Inputs!$C$69,"")</f>
      </c>
      <c r="J3303" s="42">
        <f>IF(AND(ISNUMBER(F3303),ISNUMBER(H3303),F3303&gt;=Inputs!$C$68),F3303*H3303*Inputs!$C$69,"")</f>
      </c>
    </row>
    <row r="3304" spans="2:10" ht="15" customHeight="1" x14ac:dyDescent="0.2">
      <c r="B3304" s="39">
        <f t="shared" si="24"/>
      </c>
      <c r="C3304" s="40">
        <f>IF(Inputs!$C$60,Inputs!$C$11+(B3304-Inputs!$C$69)/Inputs!$C$70,"")</f>
      </c>
      <c r="D3304" s="15"/>
      <c r="E3304" s="15"/>
      <c r="F3304" s="11">
        <f t="shared" si="25"/>
      </c>
      <c r="G3304" s="22" cm="1">
        <f t="array" ref="G3304">IF(AND(Inputs!$C$60,Inputs!$C$61),INDEX(Utility_Rates!$C$29:$F$52,HOUR(C3304)+Inputs!$C$69,MATCH(INDEX(Utility_Rates!$K$6:$K$17,MONTH(C3304))&amp;IF(WEEKDAY(C3304,Inputs!$C$76)&lt;=Inputs!$C$74," weekday"," weekend"),Utility_Rates!$C$28:$F$28,Inputs!$C$68)),"")</f>
      </c>
      <c r="H3304" s="34"/>
      <c r="I3304" s="42">
        <f>IF(AND(ISNUMBER(D3304),ISNUMBER(H3304)),D3304*H3304*Inputs!$C$69,"")</f>
      </c>
      <c r="J3304" s="42">
        <f>IF(AND(ISNUMBER(F3304),ISNUMBER(H3304),F3304&gt;=Inputs!$C$68),F3304*H3304*Inputs!$C$69,"")</f>
      </c>
    </row>
    <row r="3305" spans="2:10" ht="15" customHeight="1" x14ac:dyDescent="0.2">
      <c r="B3305" s="39">
        <f t="shared" si="24"/>
      </c>
      <c r="C3305" s="40">
        <f>IF(Inputs!$C$60,Inputs!$C$11+(B3305-Inputs!$C$69)/Inputs!$C$70,"")</f>
      </c>
      <c r="D3305" s="15"/>
      <c r="E3305" s="15"/>
      <c r="F3305" s="11">
        <f t="shared" si="25"/>
      </c>
      <c r="G3305" s="22" cm="1">
        <f t="array" ref="G3305">IF(AND(Inputs!$C$60,Inputs!$C$61),INDEX(Utility_Rates!$C$29:$F$52,HOUR(C3305)+Inputs!$C$69,MATCH(INDEX(Utility_Rates!$K$6:$K$17,MONTH(C3305))&amp;IF(WEEKDAY(C3305,Inputs!$C$76)&lt;=Inputs!$C$74," weekday"," weekend"),Utility_Rates!$C$28:$F$28,Inputs!$C$68)),"")</f>
      </c>
      <c r="H3305" s="34"/>
      <c r="I3305" s="42">
        <f>IF(AND(ISNUMBER(D3305),ISNUMBER(H3305)),D3305*H3305*Inputs!$C$69,"")</f>
      </c>
      <c r="J3305" s="42">
        <f>IF(AND(ISNUMBER(F3305),ISNUMBER(H3305),F3305&gt;=Inputs!$C$68),F3305*H3305*Inputs!$C$69,"")</f>
      </c>
    </row>
    <row r="3306" spans="2:10" ht="15" customHeight="1" x14ac:dyDescent="0.2">
      <c r="B3306" s="39">
        <f t="shared" si="24"/>
      </c>
      <c r="C3306" s="40">
        <f>IF(Inputs!$C$60,Inputs!$C$11+(B3306-Inputs!$C$69)/Inputs!$C$70,"")</f>
      </c>
      <c r="D3306" s="15"/>
      <c r="E3306" s="15"/>
      <c r="F3306" s="11">
        <f t="shared" si="25"/>
      </c>
      <c r="G3306" s="22" cm="1">
        <f t="array" ref="G3306">IF(AND(Inputs!$C$60,Inputs!$C$61),INDEX(Utility_Rates!$C$29:$F$52,HOUR(C3306)+Inputs!$C$69,MATCH(INDEX(Utility_Rates!$K$6:$K$17,MONTH(C3306))&amp;IF(WEEKDAY(C3306,Inputs!$C$76)&lt;=Inputs!$C$74," weekday"," weekend"),Utility_Rates!$C$28:$F$28,Inputs!$C$68)),"")</f>
      </c>
      <c r="H3306" s="34"/>
      <c r="I3306" s="42">
        <f>IF(AND(ISNUMBER(D3306),ISNUMBER(H3306)),D3306*H3306*Inputs!$C$69,"")</f>
      </c>
      <c r="J3306" s="42">
        <f>IF(AND(ISNUMBER(F3306),ISNUMBER(H3306),F3306&gt;=Inputs!$C$68),F3306*H3306*Inputs!$C$69,"")</f>
      </c>
    </row>
    <row r="3307" spans="2:10" ht="15" customHeight="1" x14ac:dyDescent="0.2">
      <c r="B3307" s="39">
        <f t="shared" si="24"/>
      </c>
      <c r="C3307" s="40">
        <f>IF(Inputs!$C$60,Inputs!$C$11+(B3307-Inputs!$C$69)/Inputs!$C$70,"")</f>
      </c>
      <c r="D3307" s="15"/>
      <c r="E3307" s="15"/>
      <c r="F3307" s="11">
        <f t="shared" si="25"/>
      </c>
      <c r="G3307" s="22" cm="1">
        <f t="array" ref="G3307">IF(AND(Inputs!$C$60,Inputs!$C$61),INDEX(Utility_Rates!$C$29:$F$52,HOUR(C3307)+Inputs!$C$69,MATCH(INDEX(Utility_Rates!$K$6:$K$17,MONTH(C3307))&amp;IF(WEEKDAY(C3307,Inputs!$C$76)&lt;=Inputs!$C$74," weekday"," weekend"),Utility_Rates!$C$28:$F$28,Inputs!$C$68)),"")</f>
      </c>
      <c r="H3307" s="34"/>
      <c r="I3307" s="42">
        <f>IF(AND(ISNUMBER(D3307),ISNUMBER(H3307)),D3307*H3307*Inputs!$C$69,"")</f>
      </c>
      <c r="J3307" s="42">
        <f>IF(AND(ISNUMBER(F3307),ISNUMBER(H3307),F3307&gt;=Inputs!$C$68),F3307*H3307*Inputs!$C$69,"")</f>
      </c>
    </row>
    <row r="3308" spans="2:10" ht="15" customHeight="1" x14ac:dyDescent="0.2">
      <c r="B3308" s="39">
        <f t="shared" si="24"/>
      </c>
      <c r="C3308" s="40">
        <f>IF(Inputs!$C$60,Inputs!$C$11+(B3308-Inputs!$C$69)/Inputs!$C$70,"")</f>
      </c>
      <c r="D3308" s="15"/>
      <c r="E3308" s="15"/>
      <c r="F3308" s="11">
        <f t="shared" si="25"/>
      </c>
      <c r="G3308" s="22" cm="1">
        <f t="array" ref="G3308">IF(AND(Inputs!$C$60,Inputs!$C$61),INDEX(Utility_Rates!$C$29:$F$52,HOUR(C3308)+Inputs!$C$69,MATCH(INDEX(Utility_Rates!$K$6:$K$17,MONTH(C3308))&amp;IF(WEEKDAY(C3308,Inputs!$C$76)&lt;=Inputs!$C$74," weekday"," weekend"),Utility_Rates!$C$28:$F$28,Inputs!$C$68)),"")</f>
      </c>
      <c r="H3308" s="34"/>
      <c r="I3308" s="42">
        <f>IF(AND(ISNUMBER(D3308),ISNUMBER(H3308)),D3308*H3308*Inputs!$C$69,"")</f>
      </c>
      <c r="J3308" s="42">
        <f>IF(AND(ISNUMBER(F3308),ISNUMBER(H3308),F3308&gt;=Inputs!$C$68),F3308*H3308*Inputs!$C$69,"")</f>
      </c>
    </row>
    <row r="3309" spans="2:10" ht="15" customHeight="1" x14ac:dyDescent="0.2">
      <c r="B3309" s="39">
        <f t="shared" si="24"/>
      </c>
      <c r="C3309" s="40">
        <f>IF(Inputs!$C$60,Inputs!$C$11+(B3309-Inputs!$C$69)/Inputs!$C$70,"")</f>
      </c>
      <c r="D3309" s="15"/>
      <c r="E3309" s="15"/>
      <c r="F3309" s="11">
        <f t="shared" si="25"/>
      </c>
      <c r="G3309" s="22" cm="1">
        <f t="array" ref="G3309">IF(AND(Inputs!$C$60,Inputs!$C$61),INDEX(Utility_Rates!$C$29:$F$52,HOUR(C3309)+Inputs!$C$69,MATCH(INDEX(Utility_Rates!$K$6:$K$17,MONTH(C3309))&amp;IF(WEEKDAY(C3309,Inputs!$C$76)&lt;=Inputs!$C$74," weekday"," weekend"),Utility_Rates!$C$28:$F$28,Inputs!$C$68)),"")</f>
      </c>
      <c r="H3309" s="34"/>
      <c r="I3309" s="42">
        <f>IF(AND(ISNUMBER(D3309),ISNUMBER(H3309)),D3309*H3309*Inputs!$C$69,"")</f>
      </c>
      <c r="J3309" s="42">
        <f>IF(AND(ISNUMBER(F3309),ISNUMBER(H3309),F3309&gt;=Inputs!$C$68),F3309*H3309*Inputs!$C$69,"")</f>
      </c>
    </row>
    <row r="3310" spans="2:10" ht="15" customHeight="1" x14ac:dyDescent="0.2">
      <c r="B3310" s="39">
        <f t="shared" si="24"/>
      </c>
      <c r="C3310" s="40">
        <f>IF(Inputs!$C$60,Inputs!$C$11+(B3310-Inputs!$C$69)/Inputs!$C$70,"")</f>
      </c>
      <c r="D3310" s="15"/>
      <c r="E3310" s="15"/>
      <c r="F3310" s="11">
        <f t="shared" si="25"/>
      </c>
      <c r="G3310" s="22" cm="1">
        <f t="array" ref="G3310">IF(AND(Inputs!$C$60,Inputs!$C$61),INDEX(Utility_Rates!$C$29:$F$52,HOUR(C3310)+Inputs!$C$69,MATCH(INDEX(Utility_Rates!$K$6:$K$17,MONTH(C3310))&amp;IF(WEEKDAY(C3310,Inputs!$C$76)&lt;=Inputs!$C$74," weekday"," weekend"),Utility_Rates!$C$28:$F$28,Inputs!$C$68)),"")</f>
      </c>
      <c r="H3310" s="34"/>
      <c r="I3310" s="42">
        <f>IF(AND(ISNUMBER(D3310),ISNUMBER(H3310)),D3310*H3310*Inputs!$C$69,"")</f>
      </c>
      <c r="J3310" s="42">
        <f>IF(AND(ISNUMBER(F3310),ISNUMBER(H3310),F3310&gt;=Inputs!$C$68),F3310*H3310*Inputs!$C$69,"")</f>
      </c>
    </row>
    <row r="3311" spans="2:10" ht="15" customHeight="1" x14ac:dyDescent="0.2">
      <c r="B3311" s="39">
        <f t="shared" si="24"/>
      </c>
      <c r="C3311" s="40">
        <f>IF(Inputs!$C$60,Inputs!$C$11+(B3311-Inputs!$C$69)/Inputs!$C$70,"")</f>
      </c>
      <c r="D3311" s="15"/>
      <c r="E3311" s="15"/>
      <c r="F3311" s="11">
        <f t="shared" si="25"/>
      </c>
      <c r="G3311" s="22" cm="1">
        <f t="array" ref="G3311">IF(AND(Inputs!$C$60,Inputs!$C$61),INDEX(Utility_Rates!$C$29:$F$52,HOUR(C3311)+Inputs!$C$69,MATCH(INDEX(Utility_Rates!$K$6:$K$17,MONTH(C3311))&amp;IF(WEEKDAY(C3311,Inputs!$C$76)&lt;=Inputs!$C$74," weekday"," weekend"),Utility_Rates!$C$28:$F$28,Inputs!$C$68)),"")</f>
      </c>
      <c r="H3311" s="34"/>
      <c r="I3311" s="42">
        <f>IF(AND(ISNUMBER(D3311),ISNUMBER(H3311)),D3311*H3311*Inputs!$C$69,"")</f>
      </c>
      <c r="J3311" s="42">
        <f>IF(AND(ISNUMBER(F3311),ISNUMBER(H3311),F3311&gt;=Inputs!$C$68),F3311*H3311*Inputs!$C$69,"")</f>
      </c>
    </row>
    <row r="3312" spans="2:10" ht="15" customHeight="1" x14ac:dyDescent="0.2">
      <c r="B3312" s="39">
        <f t="shared" si="24"/>
      </c>
      <c r="C3312" s="40">
        <f>IF(Inputs!$C$60,Inputs!$C$11+(B3312-Inputs!$C$69)/Inputs!$C$70,"")</f>
      </c>
      <c r="D3312" s="15"/>
      <c r="E3312" s="15"/>
      <c r="F3312" s="11">
        <f t="shared" si="25"/>
      </c>
      <c r="G3312" s="22" cm="1">
        <f t="array" ref="G3312">IF(AND(Inputs!$C$60,Inputs!$C$61),INDEX(Utility_Rates!$C$29:$F$52,HOUR(C3312)+Inputs!$C$69,MATCH(INDEX(Utility_Rates!$K$6:$K$17,MONTH(C3312))&amp;IF(WEEKDAY(C3312,Inputs!$C$76)&lt;=Inputs!$C$74," weekday"," weekend"),Utility_Rates!$C$28:$F$28,Inputs!$C$68)),"")</f>
      </c>
      <c r="H3312" s="34"/>
      <c r="I3312" s="42">
        <f>IF(AND(ISNUMBER(D3312),ISNUMBER(H3312)),D3312*H3312*Inputs!$C$69,"")</f>
      </c>
      <c r="J3312" s="42">
        <f>IF(AND(ISNUMBER(F3312),ISNUMBER(H3312),F3312&gt;=Inputs!$C$68),F3312*H3312*Inputs!$C$69,"")</f>
      </c>
    </row>
    <row r="3313" spans="2:10" ht="15" customHeight="1" x14ac:dyDescent="0.2">
      <c r="B3313" s="39">
        <f t="shared" si="24"/>
      </c>
      <c r="C3313" s="40">
        <f>IF(Inputs!$C$60,Inputs!$C$11+(B3313-Inputs!$C$69)/Inputs!$C$70,"")</f>
      </c>
      <c r="D3313" s="15"/>
      <c r="E3313" s="15"/>
      <c r="F3313" s="11">
        <f t="shared" si="25"/>
      </c>
      <c r="G3313" s="22" cm="1">
        <f t="array" ref="G3313">IF(AND(Inputs!$C$60,Inputs!$C$61),INDEX(Utility_Rates!$C$29:$F$52,HOUR(C3313)+Inputs!$C$69,MATCH(INDEX(Utility_Rates!$K$6:$K$17,MONTH(C3313))&amp;IF(WEEKDAY(C3313,Inputs!$C$76)&lt;=Inputs!$C$74," weekday"," weekend"),Utility_Rates!$C$28:$F$28,Inputs!$C$68)),"")</f>
      </c>
      <c r="H3313" s="34"/>
      <c r="I3313" s="42">
        <f>IF(AND(ISNUMBER(D3313),ISNUMBER(H3313)),D3313*H3313*Inputs!$C$69,"")</f>
      </c>
      <c r="J3313" s="42">
        <f>IF(AND(ISNUMBER(F3313),ISNUMBER(H3313),F3313&gt;=Inputs!$C$68),F3313*H3313*Inputs!$C$69,"")</f>
      </c>
    </row>
    <row r="3314" spans="2:10" ht="15" customHeight="1" x14ac:dyDescent="0.2">
      <c r="B3314" s="39">
        <f t="shared" si="24"/>
      </c>
      <c r="C3314" s="40">
        <f>IF(Inputs!$C$60,Inputs!$C$11+(B3314-Inputs!$C$69)/Inputs!$C$70,"")</f>
      </c>
      <c r="D3314" s="15"/>
      <c r="E3314" s="15"/>
      <c r="F3314" s="11">
        <f t="shared" si="25"/>
      </c>
      <c r="G3314" s="22" cm="1">
        <f t="array" ref="G3314">IF(AND(Inputs!$C$60,Inputs!$C$61),INDEX(Utility_Rates!$C$29:$F$52,HOUR(C3314)+Inputs!$C$69,MATCH(INDEX(Utility_Rates!$K$6:$K$17,MONTH(C3314))&amp;IF(WEEKDAY(C3314,Inputs!$C$76)&lt;=Inputs!$C$74," weekday"," weekend"),Utility_Rates!$C$28:$F$28,Inputs!$C$68)),"")</f>
      </c>
      <c r="H3314" s="34"/>
      <c r="I3314" s="42">
        <f>IF(AND(ISNUMBER(D3314),ISNUMBER(H3314)),D3314*H3314*Inputs!$C$69,"")</f>
      </c>
      <c r="J3314" s="42">
        <f>IF(AND(ISNUMBER(F3314),ISNUMBER(H3314),F3314&gt;=Inputs!$C$68),F3314*H3314*Inputs!$C$69,"")</f>
      </c>
    </row>
    <row r="3315" spans="2:10" ht="15" customHeight="1" x14ac:dyDescent="0.2">
      <c r="B3315" s="39">
        <f t="shared" si="24"/>
      </c>
      <c r="C3315" s="40">
        <f>IF(Inputs!$C$60,Inputs!$C$11+(B3315-Inputs!$C$69)/Inputs!$C$70,"")</f>
      </c>
      <c r="D3315" s="15"/>
      <c r="E3315" s="15"/>
      <c r="F3315" s="11">
        <f t="shared" si="25"/>
      </c>
      <c r="G3315" s="22" cm="1">
        <f t="array" ref="G3315">IF(AND(Inputs!$C$60,Inputs!$C$61),INDEX(Utility_Rates!$C$29:$F$52,HOUR(C3315)+Inputs!$C$69,MATCH(INDEX(Utility_Rates!$K$6:$K$17,MONTH(C3315))&amp;IF(WEEKDAY(C3315,Inputs!$C$76)&lt;=Inputs!$C$74," weekday"," weekend"),Utility_Rates!$C$28:$F$28,Inputs!$C$68)),"")</f>
      </c>
      <c r="H3315" s="34"/>
      <c r="I3315" s="42">
        <f>IF(AND(ISNUMBER(D3315),ISNUMBER(H3315)),D3315*H3315*Inputs!$C$69,"")</f>
      </c>
      <c r="J3315" s="42">
        <f>IF(AND(ISNUMBER(F3315),ISNUMBER(H3315),F3315&gt;=Inputs!$C$68),F3315*H3315*Inputs!$C$69,"")</f>
      </c>
    </row>
    <row r="3316" spans="2:10" ht="15" customHeight="1" x14ac:dyDescent="0.2">
      <c r="B3316" s="39">
        <f t="shared" si="24"/>
      </c>
      <c r="C3316" s="40">
        <f>IF(Inputs!$C$60,Inputs!$C$11+(B3316-Inputs!$C$69)/Inputs!$C$70,"")</f>
      </c>
      <c r="D3316" s="15"/>
      <c r="E3316" s="15"/>
      <c r="F3316" s="11">
        <f t="shared" si="25"/>
      </c>
      <c r="G3316" s="22" cm="1">
        <f t="array" ref="G3316">IF(AND(Inputs!$C$60,Inputs!$C$61),INDEX(Utility_Rates!$C$29:$F$52,HOUR(C3316)+Inputs!$C$69,MATCH(INDEX(Utility_Rates!$K$6:$K$17,MONTH(C3316))&amp;IF(WEEKDAY(C3316,Inputs!$C$76)&lt;=Inputs!$C$74," weekday"," weekend"),Utility_Rates!$C$28:$F$28,Inputs!$C$68)),"")</f>
      </c>
      <c r="H3316" s="34"/>
      <c r="I3316" s="42">
        <f>IF(AND(ISNUMBER(D3316),ISNUMBER(H3316)),D3316*H3316*Inputs!$C$69,"")</f>
      </c>
      <c r="J3316" s="42">
        <f>IF(AND(ISNUMBER(F3316),ISNUMBER(H3316),F3316&gt;=Inputs!$C$68),F3316*H3316*Inputs!$C$69,"")</f>
      </c>
    </row>
    <row r="3317" spans="2:10" ht="15" customHeight="1" x14ac:dyDescent="0.2">
      <c r="B3317" s="39">
        <f t="shared" si="24"/>
      </c>
      <c r="C3317" s="40">
        <f>IF(Inputs!$C$60,Inputs!$C$11+(B3317-Inputs!$C$69)/Inputs!$C$70,"")</f>
      </c>
      <c r="D3317" s="15"/>
      <c r="E3317" s="15"/>
      <c r="F3317" s="11">
        <f t="shared" si="25"/>
      </c>
      <c r="G3317" s="22" cm="1">
        <f t="array" ref="G3317">IF(AND(Inputs!$C$60,Inputs!$C$61),INDEX(Utility_Rates!$C$29:$F$52,HOUR(C3317)+Inputs!$C$69,MATCH(INDEX(Utility_Rates!$K$6:$K$17,MONTH(C3317))&amp;IF(WEEKDAY(C3317,Inputs!$C$76)&lt;=Inputs!$C$74," weekday"," weekend"),Utility_Rates!$C$28:$F$28,Inputs!$C$68)),"")</f>
      </c>
      <c r="H3317" s="34"/>
      <c r="I3317" s="42">
        <f>IF(AND(ISNUMBER(D3317),ISNUMBER(H3317)),D3317*H3317*Inputs!$C$69,"")</f>
      </c>
      <c r="J3317" s="42">
        <f>IF(AND(ISNUMBER(F3317),ISNUMBER(H3317),F3317&gt;=Inputs!$C$68),F3317*H3317*Inputs!$C$69,"")</f>
      </c>
    </row>
    <row r="3318" spans="2:10" ht="15" customHeight="1" x14ac:dyDescent="0.2">
      <c r="B3318" s="39">
        <f t="shared" si="24"/>
      </c>
      <c r="C3318" s="40">
        <f>IF(Inputs!$C$60,Inputs!$C$11+(B3318-Inputs!$C$69)/Inputs!$C$70,"")</f>
      </c>
      <c r="D3318" s="15"/>
      <c r="E3318" s="15"/>
      <c r="F3318" s="11">
        <f t="shared" si="25"/>
      </c>
      <c r="G3318" s="22" cm="1">
        <f t="array" ref="G3318">IF(AND(Inputs!$C$60,Inputs!$C$61),INDEX(Utility_Rates!$C$29:$F$52,HOUR(C3318)+Inputs!$C$69,MATCH(INDEX(Utility_Rates!$K$6:$K$17,MONTH(C3318))&amp;IF(WEEKDAY(C3318,Inputs!$C$76)&lt;=Inputs!$C$74," weekday"," weekend"),Utility_Rates!$C$28:$F$28,Inputs!$C$68)),"")</f>
      </c>
      <c r="H3318" s="34"/>
      <c r="I3318" s="42">
        <f>IF(AND(ISNUMBER(D3318),ISNUMBER(H3318)),D3318*H3318*Inputs!$C$69,"")</f>
      </c>
      <c r="J3318" s="42">
        <f>IF(AND(ISNUMBER(F3318),ISNUMBER(H3318),F3318&gt;=Inputs!$C$68),F3318*H3318*Inputs!$C$69,"")</f>
      </c>
    </row>
    <row r="3319" spans="2:10" ht="15" customHeight="1" x14ac:dyDescent="0.2">
      <c r="B3319" s="39">
        <f t="shared" si="24"/>
      </c>
      <c r="C3319" s="40">
        <f>IF(Inputs!$C$60,Inputs!$C$11+(B3319-Inputs!$C$69)/Inputs!$C$70,"")</f>
      </c>
      <c r="D3319" s="15"/>
      <c r="E3319" s="15"/>
      <c r="F3319" s="11">
        <f t="shared" si="25"/>
      </c>
      <c r="G3319" s="22" cm="1">
        <f t="array" ref="G3319">IF(AND(Inputs!$C$60,Inputs!$C$61),INDEX(Utility_Rates!$C$29:$F$52,HOUR(C3319)+Inputs!$C$69,MATCH(INDEX(Utility_Rates!$K$6:$K$17,MONTH(C3319))&amp;IF(WEEKDAY(C3319,Inputs!$C$76)&lt;=Inputs!$C$74," weekday"," weekend"),Utility_Rates!$C$28:$F$28,Inputs!$C$68)),"")</f>
      </c>
      <c r="H3319" s="34"/>
      <c r="I3319" s="42">
        <f>IF(AND(ISNUMBER(D3319),ISNUMBER(H3319)),D3319*H3319*Inputs!$C$69,"")</f>
      </c>
      <c r="J3319" s="42">
        <f>IF(AND(ISNUMBER(F3319),ISNUMBER(H3319),F3319&gt;=Inputs!$C$68),F3319*H3319*Inputs!$C$69,"")</f>
      </c>
    </row>
    <row r="3320" spans="2:10" ht="15" customHeight="1" x14ac:dyDescent="0.2">
      <c r="B3320" s="39">
        <f t="shared" si="24"/>
      </c>
      <c r="C3320" s="40">
        <f>IF(Inputs!$C$60,Inputs!$C$11+(B3320-Inputs!$C$69)/Inputs!$C$70,"")</f>
      </c>
      <c r="D3320" s="15"/>
      <c r="E3320" s="15"/>
      <c r="F3320" s="11">
        <f t="shared" si="25"/>
      </c>
      <c r="G3320" s="22" cm="1">
        <f t="array" ref="G3320">IF(AND(Inputs!$C$60,Inputs!$C$61),INDEX(Utility_Rates!$C$29:$F$52,HOUR(C3320)+Inputs!$C$69,MATCH(INDEX(Utility_Rates!$K$6:$K$17,MONTH(C3320))&amp;IF(WEEKDAY(C3320,Inputs!$C$76)&lt;=Inputs!$C$74," weekday"," weekend"),Utility_Rates!$C$28:$F$28,Inputs!$C$68)),"")</f>
      </c>
      <c r="H3320" s="34"/>
      <c r="I3320" s="42">
        <f>IF(AND(ISNUMBER(D3320),ISNUMBER(H3320)),D3320*H3320*Inputs!$C$69,"")</f>
      </c>
      <c r="J3320" s="42">
        <f>IF(AND(ISNUMBER(F3320),ISNUMBER(H3320),F3320&gt;=Inputs!$C$68),F3320*H3320*Inputs!$C$69,"")</f>
      </c>
    </row>
    <row r="3321" spans="2:10" ht="15" customHeight="1" x14ac:dyDescent="0.2">
      <c r="B3321" s="39">
        <f t="shared" ref="B3321:B3575" si="26">ROW()-ROW($B$5)</f>
      </c>
      <c r="C3321" s="40">
        <f>IF(Inputs!$C$60,Inputs!$C$11+(B3321-Inputs!$C$69)/Inputs!$C$70,"")</f>
      </c>
      <c r="D3321" s="15"/>
      <c r="E3321" s="15"/>
      <c r="F3321" s="11">
        <f t="shared" ref="F3321:F3575" si="27">IF(COUNT(D3321:E3321)=COLUMNS(D3321:E3321),D3321-E3321,"")</f>
      </c>
      <c r="G3321" s="22" cm="1">
        <f t="array" ref="G3321">IF(AND(Inputs!$C$60,Inputs!$C$61),INDEX(Utility_Rates!$C$29:$F$52,HOUR(C3321)+Inputs!$C$69,MATCH(INDEX(Utility_Rates!$K$6:$K$17,MONTH(C3321))&amp;IF(WEEKDAY(C3321,Inputs!$C$76)&lt;=Inputs!$C$74," weekday"," weekend"),Utility_Rates!$C$28:$F$28,Inputs!$C$68)),"")</f>
      </c>
      <c r="H3321" s="34"/>
      <c r="I3321" s="42">
        <f>IF(AND(ISNUMBER(D3321),ISNUMBER(H3321)),D3321*H3321*Inputs!$C$69,"")</f>
      </c>
      <c r="J3321" s="42">
        <f>IF(AND(ISNUMBER(F3321),ISNUMBER(H3321),F3321&gt;=Inputs!$C$68),F3321*H3321*Inputs!$C$69,"")</f>
      </c>
    </row>
    <row r="3322" spans="2:10" ht="15" customHeight="1" x14ac:dyDescent="0.2">
      <c r="B3322" s="39">
        <f t="shared" si="26"/>
      </c>
      <c r="C3322" s="40">
        <f>IF(Inputs!$C$60,Inputs!$C$11+(B3322-Inputs!$C$69)/Inputs!$C$70,"")</f>
      </c>
      <c r="D3322" s="15"/>
      <c r="E3322" s="15"/>
      <c r="F3322" s="11">
        <f t="shared" si="27"/>
      </c>
      <c r="G3322" s="22" cm="1">
        <f t="array" ref="G3322">IF(AND(Inputs!$C$60,Inputs!$C$61),INDEX(Utility_Rates!$C$29:$F$52,HOUR(C3322)+Inputs!$C$69,MATCH(INDEX(Utility_Rates!$K$6:$K$17,MONTH(C3322))&amp;IF(WEEKDAY(C3322,Inputs!$C$76)&lt;=Inputs!$C$74," weekday"," weekend"),Utility_Rates!$C$28:$F$28,Inputs!$C$68)),"")</f>
      </c>
      <c r="H3322" s="34"/>
      <c r="I3322" s="42">
        <f>IF(AND(ISNUMBER(D3322),ISNUMBER(H3322)),D3322*H3322*Inputs!$C$69,"")</f>
      </c>
      <c r="J3322" s="42">
        <f>IF(AND(ISNUMBER(F3322),ISNUMBER(H3322),F3322&gt;=Inputs!$C$68),F3322*H3322*Inputs!$C$69,"")</f>
      </c>
    </row>
    <row r="3323" spans="2:10" ht="15" customHeight="1" x14ac:dyDescent="0.2">
      <c r="B3323" s="39">
        <f t="shared" si="26"/>
      </c>
      <c r="C3323" s="40">
        <f>IF(Inputs!$C$60,Inputs!$C$11+(B3323-Inputs!$C$69)/Inputs!$C$70,"")</f>
      </c>
      <c r="D3323" s="15"/>
      <c r="E3323" s="15"/>
      <c r="F3323" s="11">
        <f t="shared" si="27"/>
      </c>
      <c r="G3323" s="22" cm="1">
        <f t="array" ref="G3323">IF(AND(Inputs!$C$60,Inputs!$C$61),INDEX(Utility_Rates!$C$29:$F$52,HOUR(C3323)+Inputs!$C$69,MATCH(INDEX(Utility_Rates!$K$6:$K$17,MONTH(C3323))&amp;IF(WEEKDAY(C3323,Inputs!$C$76)&lt;=Inputs!$C$74," weekday"," weekend"),Utility_Rates!$C$28:$F$28,Inputs!$C$68)),"")</f>
      </c>
      <c r="H3323" s="34"/>
      <c r="I3323" s="42">
        <f>IF(AND(ISNUMBER(D3323),ISNUMBER(H3323)),D3323*H3323*Inputs!$C$69,"")</f>
      </c>
      <c r="J3323" s="42">
        <f>IF(AND(ISNUMBER(F3323),ISNUMBER(H3323),F3323&gt;=Inputs!$C$68),F3323*H3323*Inputs!$C$69,"")</f>
      </c>
    </row>
    <row r="3324" spans="2:10" ht="15" customHeight="1" x14ac:dyDescent="0.2">
      <c r="B3324" s="39">
        <f t="shared" si="26"/>
      </c>
      <c r="C3324" s="40">
        <f>IF(Inputs!$C$60,Inputs!$C$11+(B3324-Inputs!$C$69)/Inputs!$C$70,"")</f>
      </c>
      <c r="D3324" s="15"/>
      <c r="E3324" s="15"/>
      <c r="F3324" s="11">
        <f t="shared" si="27"/>
      </c>
      <c r="G3324" s="22" cm="1">
        <f t="array" ref="G3324">IF(AND(Inputs!$C$60,Inputs!$C$61),INDEX(Utility_Rates!$C$29:$F$52,HOUR(C3324)+Inputs!$C$69,MATCH(INDEX(Utility_Rates!$K$6:$K$17,MONTH(C3324))&amp;IF(WEEKDAY(C3324,Inputs!$C$76)&lt;=Inputs!$C$74," weekday"," weekend"),Utility_Rates!$C$28:$F$28,Inputs!$C$68)),"")</f>
      </c>
      <c r="H3324" s="34"/>
      <c r="I3324" s="42">
        <f>IF(AND(ISNUMBER(D3324),ISNUMBER(H3324)),D3324*H3324*Inputs!$C$69,"")</f>
      </c>
      <c r="J3324" s="42">
        <f>IF(AND(ISNUMBER(F3324),ISNUMBER(H3324),F3324&gt;=Inputs!$C$68),F3324*H3324*Inputs!$C$69,"")</f>
      </c>
    </row>
    <row r="3325" spans="2:10" ht="15" customHeight="1" x14ac:dyDescent="0.2">
      <c r="B3325" s="39">
        <f t="shared" si="26"/>
      </c>
      <c r="C3325" s="40">
        <f>IF(Inputs!$C$60,Inputs!$C$11+(B3325-Inputs!$C$69)/Inputs!$C$70,"")</f>
      </c>
      <c r="D3325" s="15"/>
      <c r="E3325" s="15"/>
      <c r="F3325" s="11">
        <f t="shared" si="27"/>
      </c>
      <c r="G3325" s="22" cm="1">
        <f t="array" ref="G3325">IF(AND(Inputs!$C$60,Inputs!$C$61),INDEX(Utility_Rates!$C$29:$F$52,HOUR(C3325)+Inputs!$C$69,MATCH(INDEX(Utility_Rates!$K$6:$K$17,MONTH(C3325))&amp;IF(WEEKDAY(C3325,Inputs!$C$76)&lt;=Inputs!$C$74," weekday"," weekend"),Utility_Rates!$C$28:$F$28,Inputs!$C$68)),"")</f>
      </c>
      <c r="H3325" s="34"/>
      <c r="I3325" s="42">
        <f>IF(AND(ISNUMBER(D3325),ISNUMBER(H3325)),D3325*H3325*Inputs!$C$69,"")</f>
      </c>
      <c r="J3325" s="42">
        <f>IF(AND(ISNUMBER(F3325),ISNUMBER(H3325),F3325&gt;=Inputs!$C$68),F3325*H3325*Inputs!$C$69,"")</f>
      </c>
    </row>
    <row r="3326" spans="2:10" ht="15" customHeight="1" x14ac:dyDescent="0.2">
      <c r="B3326" s="39">
        <f t="shared" si="26"/>
      </c>
      <c r="C3326" s="40">
        <f>IF(Inputs!$C$60,Inputs!$C$11+(B3326-Inputs!$C$69)/Inputs!$C$70,"")</f>
      </c>
      <c r="D3326" s="15"/>
      <c r="E3326" s="15"/>
      <c r="F3326" s="11">
        <f t="shared" si="27"/>
      </c>
      <c r="G3326" s="22" cm="1">
        <f t="array" ref="G3326">IF(AND(Inputs!$C$60,Inputs!$C$61),INDEX(Utility_Rates!$C$29:$F$52,HOUR(C3326)+Inputs!$C$69,MATCH(INDEX(Utility_Rates!$K$6:$K$17,MONTH(C3326))&amp;IF(WEEKDAY(C3326,Inputs!$C$76)&lt;=Inputs!$C$74," weekday"," weekend"),Utility_Rates!$C$28:$F$28,Inputs!$C$68)),"")</f>
      </c>
      <c r="H3326" s="34"/>
      <c r="I3326" s="42">
        <f>IF(AND(ISNUMBER(D3326),ISNUMBER(H3326)),D3326*H3326*Inputs!$C$69,"")</f>
      </c>
      <c r="J3326" s="42">
        <f>IF(AND(ISNUMBER(F3326),ISNUMBER(H3326),F3326&gt;=Inputs!$C$68),F3326*H3326*Inputs!$C$69,"")</f>
      </c>
    </row>
    <row r="3327" spans="2:10" ht="15" customHeight="1" x14ac:dyDescent="0.2">
      <c r="B3327" s="39">
        <f t="shared" si="26"/>
      </c>
      <c r="C3327" s="40">
        <f>IF(Inputs!$C$60,Inputs!$C$11+(B3327-Inputs!$C$69)/Inputs!$C$70,"")</f>
      </c>
      <c r="D3327" s="15"/>
      <c r="E3327" s="15"/>
      <c r="F3327" s="11">
        <f t="shared" si="27"/>
      </c>
      <c r="G3327" s="22" cm="1">
        <f t="array" ref="G3327">IF(AND(Inputs!$C$60,Inputs!$C$61),INDEX(Utility_Rates!$C$29:$F$52,HOUR(C3327)+Inputs!$C$69,MATCH(INDEX(Utility_Rates!$K$6:$K$17,MONTH(C3327))&amp;IF(WEEKDAY(C3327,Inputs!$C$76)&lt;=Inputs!$C$74," weekday"," weekend"),Utility_Rates!$C$28:$F$28,Inputs!$C$68)),"")</f>
      </c>
      <c r="H3327" s="34"/>
      <c r="I3327" s="42">
        <f>IF(AND(ISNUMBER(D3327),ISNUMBER(H3327)),D3327*H3327*Inputs!$C$69,"")</f>
      </c>
      <c r="J3327" s="42">
        <f>IF(AND(ISNUMBER(F3327),ISNUMBER(H3327),F3327&gt;=Inputs!$C$68),F3327*H3327*Inputs!$C$69,"")</f>
      </c>
    </row>
    <row r="3328" spans="2:10" ht="15" customHeight="1" x14ac:dyDescent="0.2">
      <c r="B3328" s="39">
        <f t="shared" si="26"/>
      </c>
      <c r="C3328" s="40">
        <f>IF(Inputs!$C$60,Inputs!$C$11+(B3328-Inputs!$C$69)/Inputs!$C$70,"")</f>
      </c>
      <c r="D3328" s="15"/>
      <c r="E3328" s="15"/>
      <c r="F3328" s="11">
        <f t="shared" si="27"/>
      </c>
      <c r="G3328" s="22" cm="1">
        <f t="array" ref="G3328">IF(AND(Inputs!$C$60,Inputs!$C$61),INDEX(Utility_Rates!$C$29:$F$52,HOUR(C3328)+Inputs!$C$69,MATCH(INDEX(Utility_Rates!$K$6:$K$17,MONTH(C3328))&amp;IF(WEEKDAY(C3328,Inputs!$C$76)&lt;=Inputs!$C$74," weekday"," weekend"),Utility_Rates!$C$28:$F$28,Inputs!$C$68)),"")</f>
      </c>
      <c r="H3328" s="34"/>
      <c r="I3328" s="42">
        <f>IF(AND(ISNUMBER(D3328),ISNUMBER(H3328)),D3328*H3328*Inputs!$C$69,"")</f>
      </c>
      <c r="J3328" s="42">
        <f>IF(AND(ISNUMBER(F3328),ISNUMBER(H3328),F3328&gt;=Inputs!$C$68),F3328*H3328*Inputs!$C$69,"")</f>
      </c>
    </row>
    <row r="3329" spans="2:10" ht="15" customHeight="1" x14ac:dyDescent="0.2">
      <c r="B3329" s="39">
        <f t="shared" si="26"/>
      </c>
      <c r="C3329" s="40">
        <f>IF(Inputs!$C$60,Inputs!$C$11+(B3329-Inputs!$C$69)/Inputs!$C$70,"")</f>
      </c>
      <c r="D3329" s="15"/>
      <c r="E3329" s="15"/>
      <c r="F3329" s="11">
        <f t="shared" si="27"/>
      </c>
      <c r="G3329" s="22" cm="1">
        <f t="array" ref="G3329">IF(AND(Inputs!$C$60,Inputs!$C$61),INDEX(Utility_Rates!$C$29:$F$52,HOUR(C3329)+Inputs!$C$69,MATCH(INDEX(Utility_Rates!$K$6:$K$17,MONTH(C3329))&amp;IF(WEEKDAY(C3329,Inputs!$C$76)&lt;=Inputs!$C$74," weekday"," weekend"),Utility_Rates!$C$28:$F$28,Inputs!$C$68)),"")</f>
      </c>
      <c r="H3329" s="34"/>
      <c r="I3329" s="42">
        <f>IF(AND(ISNUMBER(D3329),ISNUMBER(H3329)),D3329*H3329*Inputs!$C$69,"")</f>
      </c>
      <c r="J3329" s="42">
        <f>IF(AND(ISNUMBER(F3329),ISNUMBER(H3329),F3329&gt;=Inputs!$C$68),F3329*H3329*Inputs!$C$69,"")</f>
      </c>
    </row>
    <row r="3330" spans="2:10" ht="15" customHeight="1" x14ac:dyDescent="0.2">
      <c r="B3330" s="39">
        <f t="shared" si="26"/>
      </c>
      <c r="C3330" s="40">
        <f>IF(Inputs!$C$60,Inputs!$C$11+(B3330-Inputs!$C$69)/Inputs!$C$70,"")</f>
      </c>
      <c r="D3330" s="15"/>
      <c r="E3330" s="15"/>
      <c r="F3330" s="11">
        <f t="shared" si="27"/>
      </c>
      <c r="G3330" s="22" cm="1">
        <f t="array" ref="G3330">IF(AND(Inputs!$C$60,Inputs!$C$61),INDEX(Utility_Rates!$C$29:$F$52,HOUR(C3330)+Inputs!$C$69,MATCH(INDEX(Utility_Rates!$K$6:$K$17,MONTH(C3330))&amp;IF(WEEKDAY(C3330,Inputs!$C$76)&lt;=Inputs!$C$74," weekday"," weekend"),Utility_Rates!$C$28:$F$28,Inputs!$C$68)),"")</f>
      </c>
      <c r="H3330" s="34"/>
      <c r="I3330" s="42">
        <f>IF(AND(ISNUMBER(D3330),ISNUMBER(H3330)),D3330*H3330*Inputs!$C$69,"")</f>
      </c>
      <c r="J3330" s="42">
        <f>IF(AND(ISNUMBER(F3330),ISNUMBER(H3330),F3330&gt;=Inputs!$C$68),F3330*H3330*Inputs!$C$69,"")</f>
      </c>
    </row>
    <row r="3331" spans="2:10" ht="15" customHeight="1" x14ac:dyDescent="0.2">
      <c r="B3331" s="39">
        <f t="shared" si="26"/>
      </c>
      <c r="C3331" s="40">
        <f>IF(Inputs!$C$60,Inputs!$C$11+(B3331-Inputs!$C$69)/Inputs!$C$70,"")</f>
      </c>
      <c r="D3331" s="15"/>
      <c r="E3331" s="15"/>
      <c r="F3331" s="11">
        <f t="shared" si="27"/>
      </c>
      <c r="G3331" s="22" cm="1">
        <f t="array" ref="G3331">IF(AND(Inputs!$C$60,Inputs!$C$61),INDEX(Utility_Rates!$C$29:$F$52,HOUR(C3331)+Inputs!$C$69,MATCH(INDEX(Utility_Rates!$K$6:$K$17,MONTH(C3331))&amp;IF(WEEKDAY(C3331,Inputs!$C$76)&lt;=Inputs!$C$74," weekday"," weekend"),Utility_Rates!$C$28:$F$28,Inputs!$C$68)),"")</f>
      </c>
      <c r="H3331" s="34"/>
      <c r="I3331" s="42">
        <f>IF(AND(ISNUMBER(D3331),ISNUMBER(H3331)),D3331*H3331*Inputs!$C$69,"")</f>
      </c>
      <c r="J3331" s="42">
        <f>IF(AND(ISNUMBER(F3331),ISNUMBER(H3331),F3331&gt;=Inputs!$C$68),F3331*H3331*Inputs!$C$69,"")</f>
      </c>
    </row>
    <row r="3332" spans="2:10" ht="15" customHeight="1" x14ac:dyDescent="0.2">
      <c r="B3332" s="39">
        <f t="shared" si="26"/>
      </c>
      <c r="C3332" s="40">
        <f>IF(Inputs!$C$60,Inputs!$C$11+(B3332-Inputs!$C$69)/Inputs!$C$70,"")</f>
      </c>
      <c r="D3332" s="15"/>
      <c r="E3332" s="15"/>
      <c r="F3332" s="11">
        <f t="shared" si="27"/>
      </c>
      <c r="G3332" s="22" cm="1">
        <f t="array" ref="G3332">IF(AND(Inputs!$C$60,Inputs!$C$61),INDEX(Utility_Rates!$C$29:$F$52,HOUR(C3332)+Inputs!$C$69,MATCH(INDEX(Utility_Rates!$K$6:$K$17,MONTH(C3332))&amp;IF(WEEKDAY(C3332,Inputs!$C$76)&lt;=Inputs!$C$74," weekday"," weekend"),Utility_Rates!$C$28:$F$28,Inputs!$C$68)),"")</f>
      </c>
      <c r="H3332" s="34"/>
      <c r="I3332" s="42">
        <f>IF(AND(ISNUMBER(D3332),ISNUMBER(H3332)),D3332*H3332*Inputs!$C$69,"")</f>
      </c>
      <c r="J3332" s="42">
        <f>IF(AND(ISNUMBER(F3332),ISNUMBER(H3332),F3332&gt;=Inputs!$C$68),F3332*H3332*Inputs!$C$69,"")</f>
      </c>
    </row>
    <row r="3333" spans="2:10" ht="15" customHeight="1" x14ac:dyDescent="0.2">
      <c r="B3333" s="39">
        <f t="shared" si="26"/>
      </c>
      <c r="C3333" s="40">
        <f>IF(Inputs!$C$60,Inputs!$C$11+(B3333-Inputs!$C$69)/Inputs!$C$70,"")</f>
      </c>
      <c r="D3333" s="15"/>
      <c r="E3333" s="15"/>
      <c r="F3333" s="11">
        <f t="shared" si="27"/>
      </c>
      <c r="G3333" s="22" cm="1">
        <f t="array" ref="G3333">IF(AND(Inputs!$C$60,Inputs!$C$61),INDEX(Utility_Rates!$C$29:$F$52,HOUR(C3333)+Inputs!$C$69,MATCH(INDEX(Utility_Rates!$K$6:$K$17,MONTH(C3333))&amp;IF(WEEKDAY(C3333,Inputs!$C$76)&lt;=Inputs!$C$74," weekday"," weekend"),Utility_Rates!$C$28:$F$28,Inputs!$C$68)),"")</f>
      </c>
      <c r="H3333" s="34"/>
      <c r="I3333" s="42">
        <f>IF(AND(ISNUMBER(D3333),ISNUMBER(H3333)),D3333*H3333*Inputs!$C$69,"")</f>
      </c>
      <c r="J3333" s="42">
        <f>IF(AND(ISNUMBER(F3333),ISNUMBER(H3333),F3333&gt;=Inputs!$C$68),F3333*H3333*Inputs!$C$69,"")</f>
      </c>
    </row>
    <row r="3334" spans="2:10" ht="15" customHeight="1" x14ac:dyDescent="0.2">
      <c r="B3334" s="39">
        <f t="shared" si="26"/>
      </c>
      <c r="C3334" s="40">
        <f>IF(Inputs!$C$60,Inputs!$C$11+(B3334-Inputs!$C$69)/Inputs!$C$70,"")</f>
      </c>
      <c r="D3334" s="15"/>
      <c r="E3334" s="15"/>
      <c r="F3334" s="11">
        <f t="shared" si="27"/>
      </c>
      <c r="G3334" s="22" cm="1">
        <f t="array" ref="G3334">IF(AND(Inputs!$C$60,Inputs!$C$61),INDEX(Utility_Rates!$C$29:$F$52,HOUR(C3334)+Inputs!$C$69,MATCH(INDEX(Utility_Rates!$K$6:$K$17,MONTH(C3334))&amp;IF(WEEKDAY(C3334,Inputs!$C$76)&lt;=Inputs!$C$74," weekday"," weekend"),Utility_Rates!$C$28:$F$28,Inputs!$C$68)),"")</f>
      </c>
      <c r="H3334" s="34"/>
      <c r="I3334" s="42">
        <f>IF(AND(ISNUMBER(D3334),ISNUMBER(H3334)),D3334*H3334*Inputs!$C$69,"")</f>
      </c>
      <c r="J3334" s="42">
        <f>IF(AND(ISNUMBER(F3334),ISNUMBER(H3334),F3334&gt;=Inputs!$C$68),F3334*H3334*Inputs!$C$69,"")</f>
      </c>
    </row>
    <row r="3335" spans="2:10" ht="15" customHeight="1" x14ac:dyDescent="0.2">
      <c r="B3335" s="39">
        <f t="shared" si="26"/>
      </c>
      <c r="C3335" s="40">
        <f>IF(Inputs!$C$60,Inputs!$C$11+(B3335-Inputs!$C$69)/Inputs!$C$70,"")</f>
      </c>
      <c r="D3335" s="15"/>
      <c r="E3335" s="15"/>
      <c r="F3335" s="11">
        <f t="shared" si="27"/>
      </c>
      <c r="G3335" s="22" cm="1">
        <f t="array" ref="G3335">IF(AND(Inputs!$C$60,Inputs!$C$61),INDEX(Utility_Rates!$C$29:$F$52,HOUR(C3335)+Inputs!$C$69,MATCH(INDEX(Utility_Rates!$K$6:$K$17,MONTH(C3335))&amp;IF(WEEKDAY(C3335,Inputs!$C$76)&lt;=Inputs!$C$74," weekday"," weekend"),Utility_Rates!$C$28:$F$28,Inputs!$C$68)),"")</f>
      </c>
      <c r="H3335" s="34"/>
      <c r="I3335" s="42">
        <f>IF(AND(ISNUMBER(D3335),ISNUMBER(H3335)),D3335*H3335*Inputs!$C$69,"")</f>
      </c>
      <c r="J3335" s="42">
        <f>IF(AND(ISNUMBER(F3335),ISNUMBER(H3335),F3335&gt;=Inputs!$C$68),F3335*H3335*Inputs!$C$69,"")</f>
      </c>
    </row>
    <row r="3336" spans="2:10" ht="15" customHeight="1" x14ac:dyDescent="0.2">
      <c r="B3336" s="39">
        <f t="shared" si="26"/>
      </c>
      <c r="C3336" s="40">
        <f>IF(Inputs!$C$60,Inputs!$C$11+(B3336-Inputs!$C$69)/Inputs!$C$70,"")</f>
      </c>
      <c r="D3336" s="15"/>
      <c r="E3336" s="15"/>
      <c r="F3336" s="11">
        <f t="shared" si="27"/>
      </c>
      <c r="G3336" s="22" cm="1">
        <f t="array" ref="G3336">IF(AND(Inputs!$C$60,Inputs!$C$61),INDEX(Utility_Rates!$C$29:$F$52,HOUR(C3336)+Inputs!$C$69,MATCH(INDEX(Utility_Rates!$K$6:$K$17,MONTH(C3336))&amp;IF(WEEKDAY(C3336,Inputs!$C$76)&lt;=Inputs!$C$74," weekday"," weekend"),Utility_Rates!$C$28:$F$28,Inputs!$C$68)),"")</f>
      </c>
      <c r="H3336" s="34"/>
      <c r="I3336" s="42">
        <f>IF(AND(ISNUMBER(D3336),ISNUMBER(H3336)),D3336*H3336*Inputs!$C$69,"")</f>
      </c>
      <c r="J3336" s="42">
        <f>IF(AND(ISNUMBER(F3336),ISNUMBER(H3336),F3336&gt;=Inputs!$C$68),F3336*H3336*Inputs!$C$69,"")</f>
      </c>
    </row>
    <row r="3337" spans="2:10" ht="15" customHeight="1" x14ac:dyDescent="0.2">
      <c r="B3337" s="39">
        <f t="shared" si="26"/>
      </c>
      <c r="C3337" s="40">
        <f>IF(Inputs!$C$60,Inputs!$C$11+(B3337-Inputs!$C$69)/Inputs!$C$70,"")</f>
      </c>
      <c r="D3337" s="15"/>
      <c r="E3337" s="15"/>
      <c r="F3337" s="11">
        <f t="shared" si="27"/>
      </c>
      <c r="G3337" s="22" cm="1">
        <f t="array" ref="G3337">IF(AND(Inputs!$C$60,Inputs!$C$61),INDEX(Utility_Rates!$C$29:$F$52,HOUR(C3337)+Inputs!$C$69,MATCH(INDEX(Utility_Rates!$K$6:$K$17,MONTH(C3337))&amp;IF(WEEKDAY(C3337,Inputs!$C$76)&lt;=Inputs!$C$74," weekday"," weekend"),Utility_Rates!$C$28:$F$28,Inputs!$C$68)),"")</f>
      </c>
      <c r="H3337" s="34"/>
      <c r="I3337" s="42">
        <f>IF(AND(ISNUMBER(D3337),ISNUMBER(H3337)),D3337*H3337*Inputs!$C$69,"")</f>
      </c>
      <c r="J3337" s="42">
        <f>IF(AND(ISNUMBER(F3337),ISNUMBER(H3337),F3337&gt;=Inputs!$C$68),F3337*H3337*Inputs!$C$69,"")</f>
      </c>
    </row>
    <row r="3338" spans="2:10" ht="15" customHeight="1" x14ac:dyDescent="0.2">
      <c r="B3338" s="39">
        <f t="shared" si="26"/>
      </c>
      <c r="C3338" s="40">
        <f>IF(Inputs!$C$60,Inputs!$C$11+(B3338-Inputs!$C$69)/Inputs!$C$70,"")</f>
      </c>
      <c r="D3338" s="15"/>
      <c r="E3338" s="15"/>
      <c r="F3338" s="11">
        <f t="shared" si="27"/>
      </c>
      <c r="G3338" s="22" cm="1">
        <f t="array" ref="G3338">IF(AND(Inputs!$C$60,Inputs!$C$61),INDEX(Utility_Rates!$C$29:$F$52,HOUR(C3338)+Inputs!$C$69,MATCH(INDEX(Utility_Rates!$K$6:$K$17,MONTH(C3338))&amp;IF(WEEKDAY(C3338,Inputs!$C$76)&lt;=Inputs!$C$74," weekday"," weekend"),Utility_Rates!$C$28:$F$28,Inputs!$C$68)),"")</f>
      </c>
      <c r="H3338" s="34"/>
      <c r="I3338" s="42">
        <f>IF(AND(ISNUMBER(D3338),ISNUMBER(H3338)),D3338*H3338*Inputs!$C$69,"")</f>
      </c>
      <c r="J3338" s="42">
        <f>IF(AND(ISNUMBER(F3338),ISNUMBER(H3338),F3338&gt;=Inputs!$C$68),F3338*H3338*Inputs!$C$69,"")</f>
      </c>
    </row>
    <row r="3339" spans="2:10" ht="15" customHeight="1" x14ac:dyDescent="0.2">
      <c r="B3339" s="39">
        <f t="shared" si="26"/>
      </c>
      <c r="C3339" s="40">
        <f>IF(Inputs!$C$60,Inputs!$C$11+(B3339-Inputs!$C$69)/Inputs!$C$70,"")</f>
      </c>
      <c r="D3339" s="15"/>
      <c r="E3339" s="15"/>
      <c r="F3339" s="11">
        <f t="shared" si="27"/>
      </c>
      <c r="G3339" s="22" cm="1">
        <f t="array" ref="G3339">IF(AND(Inputs!$C$60,Inputs!$C$61),INDEX(Utility_Rates!$C$29:$F$52,HOUR(C3339)+Inputs!$C$69,MATCH(INDEX(Utility_Rates!$K$6:$K$17,MONTH(C3339))&amp;IF(WEEKDAY(C3339,Inputs!$C$76)&lt;=Inputs!$C$74," weekday"," weekend"),Utility_Rates!$C$28:$F$28,Inputs!$C$68)),"")</f>
      </c>
      <c r="H3339" s="34"/>
      <c r="I3339" s="42">
        <f>IF(AND(ISNUMBER(D3339),ISNUMBER(H3339)),D3339*H3339*Inputs!$C$69,"")</f>
      </c>
      <c r="J3339" s="42">
        <f>IF(AND(ISNUMBER(F3339),ISNUMBER(H3339),F3339&gt;=Inputs!$C$68),F3339*H3339*Inputs!$C$69,"")</f>
      </c>
    </row>
    <row r="3340" spans="2:10" ht="15" customHeight="1" x14ac:dyDescent="0.2">
      <c r="B3340" s="39">
        <f t="shared" si="26"/>
      </c>
      <c r="C3340" s="40">
        <f>IF(Inputs!$C$60,Inputs!$C$11+(B3340-Inputs!$C$69)/Inputs!$C$70,"")</f>
      </c>
      <c r="D3340" s="15"/>
      <c r="E3340" s="15"/>
      <c r="F3340" s="11">
        <f t="shared" si="27"/>
      </c>
      <c r="G3340" s="22" cm="1">
        <f t="array" ref="G3340">IF(AND(Inputs!$C$60,Inputs!$C$61),INDEX(Utility_Rates!$C$29:$F$52,HOUR(C3340)+Inputs!$C$69,MATCH(INDEX(Utility_Rates!$K$6:$K$17,MONTH(C3340))&amp;IF(WEEKDAY(C3340,Inputs!$C$76)&lt;=Inputs!$C$74," weekday"," weekend"),Utility_Rates!$C$28:$F$28,Inputs!$C$68)),"")</f>
      </c>
      <c r="H3340" s="34"/>
      <c r="I3340" s="42">
        <f>IF(AND(ISNUMBER(D3340),ISNUMBER(H3340)),D3340*H3340*Inputs!$C$69,"")</f>
      </c>
      <c r="J3340" s="42">
        <f>IF(AND(ISNUMBER(F3340),ISNUMBER(H3340),F3340&gt;=Inputs!$C$68),F3340*H3340*Inputs!$C$69,"")</f>
      </c>
    </row>
    <row r="3341" spans="2:10" ht="15" customHeight="1" x14ac:dyDescent="0.2">
      <c r="B3341" s="39">
        <f t="shared" si="26"/>
      </c>
      <c r="C3341" s="40">
        <f>IF(Inputs!$C$60,Inputs!$C$11+(B3341-Inputs!$C$69)/Inputs!$C$70,"")</f>
      </c>
      <c r="D3341" s="15"/>
      <c r="E3341" s="15"/>
      <c r="F3341" s="11">
        <f t="shared" si="27"/>
      </c>
      <c r="G3341" s="22" cm="1">
        <f t="array" ref="G3341">IF(AND(Inputs!$C$60,Inputs!$C$61),INDEX(Utility_Rates!$C$29:$F$52,HOUR(C3341)+Inputs!$C$69,MATCH(INDEX(Utility_Rates!$K$6:$K$17,MONTH(C3341))&amp;IF(WEEKDAY(C3341,Inputs!$C$76)&lt;=Inputs!$C$74," weekday"," weekend"),Utility_Rates!$C$28:$F$28,Inputs!$C$68)),"")</f>
      </c>
      <c r="H3341" s="34"/>
      <c r="I3341" s="42">
        <f>IF(AND(ISNUMBER(D3341),ISNUMBER(H3341)),D3341*H3341*Inputs!$C$69,"")</f>
      </c>
      <c r="J3341" s="42">
        <f>IF(AND(ISNUMBER(F3341),ISNUMBER(H3341),F3341&gt;=Inputs!$C$68),F3341*H3341*Inputs!$C$69,"")</f>
      </c>
    </row>
    <row r="3342" spans="2:10" ht="15" customHeight="1" x14ac:dyDescent="0.2">
      <c r="B3342" s="39">
        <f t="shared" si="26"/>
      </c>
      <c r="C3342" s="40">
        <f>IF(Inputs!$C$60,Inputs!$C$11+(B3342-Inputs!$C$69)/Inputs!$C$70,"")</f>
      </c>
      <c r="D3342" s="15"/>
      <c r="E3342" s="15"/>
      <c r="F3342" s="11">
        <f t="shared" si="27"/>
      </c>
      <c r="G3342" s="22" cm="1">
        <f t="array" ref="G3342">IF(AND(Inputs!$C$60,Inputs!$C$61),INDEX(Utility_Rates!$C$29:$F$52,HOUR(C3342)+Inputs!$C$69,MATCH(INDEX(Utility_Rates!$K$6:$K$17,MONTH(C3342))&amp;IF(WEEKDAY(C3342,Inputs!$C$76)&lt;=Inputs!$C$74," weekday"," weekend"),Utility_Rates!$C$28:$F$28,Inputs!$C$68)),"")</f>
      </c>
      <c r="H3342" s="34"/>
      <c r="I3342" s="42">
        <f>IF(AND(ISNUMBER(D3342),ISNUMBER(H3342)),D3342*H3342*Inputs!$C$69,"")</f>
      </c>
      <c r="J3342" s="42">
        <f>IF(AND(ISNUMBER(F3342),ISNUMBER(H3342),F3342&gt;=Inputs!$C$68),F3342*H3342*Inputs!$C$69,"")</f>
      </c>
    </row>
    <row r="3343" spans="2:10" ht="15" customHeight="1" x14ac:dyDescent="0.2">
      <c r="B3343" s="39">
        <f t="shared" si="26"/>
      </c>
      <c r="C3343" s="40">
        <f>IF(Inputs!$C$60,Inputs!$C$11+(B3343-Inputs!$C$69)/Inputs!$C$70,"")</f>
      </c>
      <c r="D3343" s="15"/>
      <c r="E3343" s="15"/>
      <c r="F3343" s="11">
        <f t="shared" si="27"/>
      </c>
      <c r="G3343" s="22" cm="1">
        <f t="array" ref="G3343">IF(AND(Inputs!$C$60,Inputs!$C$61),INDEX(Utility_Rates!$C$29:$F$52,HOUR(C3343)+Inputs!$C$69,MATCH(INDEX(Utility_Rates!$K$6:$K$17,MONTH(C3343))&amp;IF(WEEKDAY(C3343,Inputs!$C$76)&lt;=Inputs!$C$74," weekday"," weekend"),Utility_Rates!$C$28:$F$28,Inputs!$C$68)),"")</f>
      </c>
      <c r="H3343" s="34"/>
      <c r="I3343" s="42">
        <f>IF(AND(ISNUMBER(D3343),ISNUMBER(H3343)),D3343*H3343*Inputs!$C$69,"")</f>
      </c>
      <c r="J3343" s="42">
        <f>IF(AND(ISNUMBER(F3343),ISNUMBER(H3343),F3343&gt;=Inputs!$C$68),F3343*H3343*Inputs!$C$69,"")</f>
      </c>
    </row>
    <row r="3344" spans="2:10" ht="15" customHeight="1" x14ac:dyDescent="0.2">
      <c r="B3344" s="39">
        <f t="shared" si="26"/>
      </c>
      <c r="C3344" s="40">
        <f>IF(Inputs!$C$60,Inputs!$C$11+(B3344-Inputs!$C$69)/Inputs!$C$70,"")</f>
      </c>
      <c r="D3344" s="15"/>
      <c r="E3344" s="15"/>
      <c r="F3344" s="11">
        <f t="shared" si="27"/>
      </c>
      <c r="G3344" s="22" cm="1">
        <f t="array" ref="G3344">IF(AND(Inputs!$C$60,Inputs!$C$61),INDEX(Utility_Rates!$C$29:$F$52,HOUR(C3344)+Inputs!$C$69,MATCH(INDEX(Utility_Rates!$K$6:$K$17,MONTH(C3344))&amp;IF(WEEKDAY(C3344,Inputs!$C$76)&lt;=Inputs!$C$74," weekday"," weekend"),Utility_Rates!$C$28:$F$28,Inputs!$C$68)),"")</f>
      </c>
      <c r="H3344" s="34"/>
      <c r="I3344" s="42">
        <f>IF(AND(ISNUMBER(D3344),ISNUMBER(H3344)),D3344*H3344*Inputs!$C$69,"")</f>
      </c>
      <c r="J3344" s="42">
        <f>IF(AND(ISNUMBER(F3344),ISNUMBER(H3344),F3344&gt;=Inputs!$C$68),F3344*H3344*Inputs!$C$69,"")</f>
      </c>
    </row>
    <row r="3345" spans="2:10" ht="15" customHeight="1" x14ac:dyDescent="0.2">
      <c r="B3345" s="39">
        <f t="shared" si="26"/>
      </c>
      <c r="C3345" s="40">
        <f>IF(Inputs!$C$60,Inputs!$C$11+(B3345-Inputs!$C$69)/Inputs!$C$70,"")</f>
      </c>
      <c r="D3345" s="15"/>
      <c r="E3345" s="15"/>
      <c r="F3345" s="11">
        <f t="shared" si="27"/>
      </c>
      <c r="G3345" s="22" cm="1">
        <f t="array" ref="G3345">IF(AND(Inputs!$C$60,Inputs!$C$61),INDEX(Utility_Rates!$C$29:$F$52,HOUR(C3345)+Inputs!$C$69,MATCH(INDEX(Utility_Rates!$K$6:$K$17,MONTH(C3345))&amp;IF(WEEKDAY(C3345,Inputs!$C$76)&lt;=Inputs!$C$74," weekday"," weekend"),Utility_Rates!$C$28:$F$28,Inputs!$C$68)),"")</f>
      </c>
      <c r="H3345" s="34"/>
      <c r="I3345" s="42">
        <f>IF(AND(ISNUMBER(D3345),ISNUMBER(H3345)),D3345*H3345*Inputs!$C$69,"")</f>
      </c>
      <c r="J3345" s="42">
        <f>IF(AND(ISNUMBER(F3345),ISNUMBER(H3345),F3345&gt;=Inputs!$C$68),F3345*H3345*Inputs!$C$69,"")</f>
      </c>
    </row>
    <row r="3346" spans="2:10" ht="15" customHeight="1" x14ac:dyDescent="0.2">
      <c r="B3346" s="39">
        <f t="shared" si="26"/>
      </c>
      <c r="C3346" s="40">
        <f>IF(Inputs!$C$60,Inputs!$C$11+(B3346-Inputs!$C$69)/Inputs!$C$70,"")</f>
      </c>
      <c r="D3346" s="15"/>
      <c r="E3346" s="15"/>
      <c r="F3346" s="11">
        <f t="shared" si="27"/>
      </c>
      <c r="G3346" s="22" cm="1">
        <f t="array" ref="G3346">IF(AND(Inputs!$C$60,Inputs!$C$61),INDEX(Utility_Rates!$C$29:$F$52,HOUR(C3346)+Inputs!$C$69,MATCH(INDEX(Utility_Rates!$K$6:$K$17,MONTH(C3346))&amp;IF(WEEKDAY(C3346,Inputs!$C$76)&lt;=Inputs!$C$74," weekday"," weekend"),Utility_Rates!$C$28:$F$28,Inputs!$C$68)),"")</f>
      </c>
      <c r="H3346" s="34"/>
      <c r="I3346" s="42">
        <f>IF(AND(ISNUMBER(D3346),ISNUMBER(H3346)),D3346*H3346*Inputs!$C$69,"")</f>
      </c>
      <c r="J3346" s="42">
        <f>IF(AND(ISNUMBER(F3346),ISNUMBER(H3346),F3346&gt;=Inputs!$C$68),F3346*H3346*Inputs!$C$69,"")</f>
      </c>
    </row>
    <row r="3347" spans="2:10" ht="15" customHeight="1" x14ac:dyDescent="0.2">
      <c r="B3347" s="39">
        <f t="shared" si="26"/>
      </c>
      <c r="C3347" s="40">
        <f>IF(Inputs!$C$60,Inputs!$C$11+(B3347-Inputs!$C$69)/Inputs!$C$70,"")</f>
      </c>
      <c r="D3347" s="15"/>
      <c r="E3347" s="15"/>
      <c r="F3347" s="11">
        <f t="shared" si="27"/>
      </c>
      <c r="G3347" s="22" cm="1">
        <f t="array" ref="G3347">IF(AND(Inputs!$C$60,Inputs!$C$61),INDEX(Utility_Rates!$C$29:$F$52,HOUR(C3347)+Inputs!$C$69,MATCH(INDEX(Utility_Rates!$K$6:$K$17,MONTH(C3347))&amp;IF(WEEKDAY(C3347,Inputs!$C$76)&lt;=Inputs!$C$74," weekday"," weekend"),Utility_Rates!$C$28:$F$28,Inputs!$C$68)),"")</f>
      </c>
      <c r="H3347" s="34"/>
      <c r="I3347" s="42">
        <f>IF(AND(ISNUMBER(D3347),ISNUMBER(H3347)),D3347*H3347*Inputs!$C$69,"")</f>
      </c>
      <c r="J3347" s="42">
        <f>IF(AND(ISNUMBER(F3347),ISNUMBER(H3347),F3347&gt;=Inputs!$C$68),F3347*H3347*Inputs!$C$69,"")</f>
      </c>
    </row>
    <row r="3348" spans="2:10" ht="15" customHeight="1" x14ac:dyDescent="0.2">
      <c r="B3348" s="39">
        <f t="shared" si="26"/>
      </c>
      <c r="C3348" s="40">
        <f>IF(Inputs!$C$60,Inputs!$C$11+(B3348-Inputs!$C$69)/Inputs!$C$70,"")</f>
      </c>
      <c r="D3348" s="15"/>
      <c r="E3348" s="15"/>
      <c r="F3348" s="11">
        <f t="shared" si="27"/>
      </c>
      <c r="G3348" s="22" cm="1">
        <f t="array" ref="G3348">IF(AND(Inputs!$C$60,Inputs!$C$61),INDEX(Utility_Rates!$C$29:$F$52,HOUR(C3348)+Inputs!$C$69,MATCH(INDEX(Utility_Rates!$K$6:$K$17,MONTH(C3348))&amp;IF(WEEKDAY(C3348,Inputs!$C$76)&lt;=Inputs!$C$74," weekday"," weekend"),Utility_Rates!$C$28:$F$28,Inputs!$C$68)),"")</f>
      </c>
      <c r="H3348" s="34"/>
      <c r="I3348" s="42">
        <f>IF(AND(ISNUMBER(D3348),ISNUMBER(H3348)),D3348*H3348*Inputs!$C$69,"")</f>
      </c>
      <c r="J3348" s="42">
        <f>IF(AND(ISNUMBER(F3348),ISNUMBER(H3348),F3348&gt;=Inputs!$C$68),F3348*H3348*Inputs!$C$69,"")</f>
      </c>
    </row>
    <row r="3349" spans="2:10" ht="15" customHeight="1" x14ac:dyDescent="0.2">
      <c r="B3349" s="39">
        <f t="shared" si="26"/>
      </c>
      <c r="C3349" s="40">
        <f>IF(Inputs!$C$60,Inputs!$C$11+(B3349-Inputs!$C$69)/Inputs!$C$70,"")</f>
      </c>
      <c r="D3349" s="15"/>
      <c r="E3349" s="15"/>
      <c r="F3349" s="11">
        <f t="shared" si="27"/>
      </c>
      <c r="G3349" s="22" cm="1">
        <f t="array" ref="G3349">IF(AND(Inputs!$C$60,Inputs!$C$61),INDEX(Utility_Rates!$C$29:$F$52,HOUR(C3349)+Inputs!$C$69,MATCH(INDEX(Utility_Rates!$K$6:$K$17,MONTH(C3349))&amp;IF(WEEKDAY(C3349,Inputs!$C$76)&lt;=Inputs!$C$74," weekday"," weekend"),Utility_Rates!$C$28:$F$28,Inputs!$C$68)),"")</f>
      </c>
      <c r="H3349" s="34"/>
      <c r="I3349" s="42">
        <f>IF(AND(ISNUMBER(D3349),ISNUMBER(H3349)),D3349*H3349*Inputs!$C$69,"")</f>
      </c>
      <c r="J3349" s="42">
        <f>IF(AND(ISNUMBER(F3349),ISNUMBER(H3349),F3349&gt;=Inputs!$C$68),F3349*H3349*Inputs!$C$69,"")</f>
      </c>
    </row>
    <row r="3350" spans="2:10" ht="15" customHeight="1" x14ac:dyDescent="0.2">
      <c r="B3350" s="39">
        <f t="shared" si="26"/>
      </c>
      <c r="C3350" s="40">
        <f>IF(Inputs!$C$60,Inputs!$C$11+(B3350-Inputs!$C$69)/Inputs!$C$70,"")</f>
      </c>
      <c r="D3350" s="15"/>
      <c r="E3350" s="15"/>
      <c r="F3350" s="11">
        <f t="shared" si="27"/>
      </c>
      <c r="G3350" s="22" cm="1">
        <f t="array" ref="G3350">IF(AND(Inputs!$C$60,Inputs!$C$61),INDEX(Utility_Rates!$C$29:$F$52,HOUR(C3350)+Inputs!$C$69,MATCH(INDEX(Utility_Rates!$K$6:$K$17,MONTH(C3350))&amp;IF(WEEKDAY(C3350,Inputs!$C$76)&lt;=Inputs!$C$74," weekday"," weekend"),Utility_Rates!$C$28:$F$28,Inputs!$C$68)),"")</f>
      </c>
      <c r="H3350" s="34"/>
      <c r="I3350" s="42">
        <f>IF(AND(ISNUMBER(D3350),ISNUMBER(H3350)),D3350*H3350*Inputs!$C$69,"")</f>
      </c>
      <c r="J3350" s="42">
        <f>IF(AND(ISNUMBER(F3350),ISNUMBER(H3350),F3350&gt;=Inputs!$C$68),F3350*H3350*Inputs!$C$69,"")</f>
      </c>
    </row>
    <row r="3351" spans="2:10" ht="15" customHeight="1" x14ac:dyDescent="0.2">
      <c r="B3351" s="39">
        <f t="shared" si="26"/>
      </c>
      <c r="C3351" s="40">
        <f>IF(Inputs!$C$60,Inputs!$C$11+(B3351-Inputs!$C$69)/Inputs!$C$70,"")</f>
      </c>
      <c r="D3351" s="15"/>
      <c r="E3351" s="15"/>
      <c r="F3351" s="11">
        <f t="shared" si="27"/>
      </c>
      <c r="G3351" s="22" cm="1">
        <f t="array" ref="G3351">IF(AND(Inputs!$C$60,Inputs!$C$61),INDEX(Utility_Rates!$C$29:$F$52,HOUR(C3351)+Inputs!$C$69,MATCH(INDEX(Utility_Rates!$K$6:$K$17,MONTH(C3351))&amp;IF(WEEKDAY(C3351,Inputs!$C$76)&lt;=Inputs!$C$74," weekday"," weekend"),Utility_Rates!$C$28:$F$28,Inputs!$C$68)),"")</f>
      </c>
      <c r="H3351" s="34"/>
      <c r="I3351" s="42">
        <f>IF(AND(ISNUMBER(D3351),ISNUMBER(H3351)),D3351*H3351*Inputs!$C$69,"")</f>
      </c>
      <c r="J3351" s="42">
        <f>IF(AND(ISNUMBER(F3351),ISNUMBER(H3351),F3351&gt;=Inputs!$C$68),F3351*H3351*Inputs!$C$69,"")</f>
      </c>
    </row>
    <row r="3352" spans="2:10" ht="15" customHeight="1" x14ac:dyDescent="0.2">
      <c r="B3352" s="39">
        <f t="shared" si="26"/>
      </c>
      <c r="C3352" s="40">
        <f>IF(Inputs!$C$60,Inputs!$C$11+(B3352-Inputs!$C$69)/Inputs!$C$70,"")</f>
      </c>
      <c r="D3352" s="15"/>
      <c r="E3352" s="15"/>
      <c r="F3352" s="11">
        <f t="shared" si="27"/>
      </c>
      <c r="G3352" s="22" cm="1">
        <f t="array" ref="G3352">IF(AND(Inputs!$C$60,Inputs!$C$61),INDEX(Utility_Rates!$C$29:$F$52,HOUR(C3352)+Inputs!$C$69,MATCH(INDEX(Utility_Rates!$K$6:$K$17,MONTH(C3352))&amp;IF(WEEKDAY(C3352,Inputs!$C$76)&lt;=Inputs!$C$74," weekday"," weekend"),Utility_Rates!$C$28:$F$28,Inputs!$C$68)),"")</f>
      </c>
      <c r="H3352" s="34"/>
      <c r="I3352" s="42">
        <f>IF(AND(ISNUMBER(D3352),ISNUMBER(H3352)),D3352*H3352*Inputs!$C$69,"")</f>
      </c>
      <c r="J3352" s="42">
        <f>IF(AND(ISNUMBER(F3352),ISNUMBER(H3352),F3352&gt;=Inputs!$C$68),F3352*H3352*Inputs!$C$69,"")</f>
      </c>
    </row>
    <row r="3353" spans="2:10" ht="15" customHeight="1" x14ac:dyDescent="0.2">
      <c r="B3353" s="39">
        <f t="shared" si="26"/>
      </c>
      <c r="C3353" s="40">
        <f>IF(Inputs!$C$60,Inputs!$C$11+(B3353-Inputs!$C$69)/Inputs!$C$70,"")</f>
      </c>
      <c r="D3353" s="15"/>
      <c r="E3353" s="15"/>
      <c r="F3353" s="11">
        <f t="shared" si="27"/>
      </c>
      <c r="G3353" s="22" cm="1">
        <f t="array" ref="G3353">IF(AND(Inputs!$C$60,Inputs!$C$61),INDEX(Utility_Rates!$C$29:$F$52,HOUR(C3353)+Inputs!$C$69,MATCH(INDEX(Utility_Rates!$K$6:$K$17,MONTH(C3353))&amp;IF(WEEKDAY(C3353,Inputs!$C$76)&lt;=Inputs!$C$74," weekday"," weekend"),Utility_Rates!$C$28:$F$28,Inputs!$C$68)),"")</f>
      </c>
      <c r="H3353" s="34"/>
      <c r="I3353" s="42">
        <f>IF(AND(ISNUMBER(D3353),ISNUMBER(H3353)),D3353*H3353*Inputs!$C$69,"")</f>
      </c>
      <c r="J3353" s="42">
        <f>IF(AND(ISNUMBER(F3353),ISNUMBER(H3353),F3353&gt;=Inputs!$C$68),F3353*H3353*Inputs!$C$69,"")</f>
      </c>
    </row>
    <row r="3354" spans="2:10" ht="15" customHeight="1" x14ac:dyDescent="0.2">
      <c r="B3354" s="39">
        <f t="shared" si="26"/>
      </c>
      <c r="C3354" s="40">
        <f>IF(Inputs!$C$60,Inputs!$C$11+(B3354-Inputs!$C$69)/Inputs!$C$70,"")</f>
      </c>
      <c r="D3354" s="15"/>
      <c r="E3354" s="15"/>
      <c r="F3354" s="11">
        <f t="shared" si="27"/>
      </c>
      <c r="G3354" s="22" cm="1">
        <f t="array" ref="G3354">IF(AND(Inputs!$C$60,Inputs!$C$61),INDEX(Utility_Rates!$C$29:$F$52,HOUR(C3354)+Inputs!$C$69,MATCH(INDEX(Utility_Rates!$K$6:$K$17,MONTH(C3354))&amp;IF(WEEKDAY(C3354,Inputs!$C$76)&lt;=Inputs!$C$74," weekday"," weekend"),Utility_Rates!$C$28:$F$28,Inputs!$C$68)),"")</f>
      </c>
      <c r="H3354" s="34"/>
      <c r="I3354" s="42">
        <f>IF(AND(ISNUMBER(D3354),ISNUMBER(H3354)),D3354*H3354*Inputs!$C$69,"")</f>
      </c>
      <c r="J3354" s="42">
        <f>IF(AND(ISNUMBER(F3354),ISNUMBER(H3354),F3354&gt;=Inputs!$C$68),F3354*H3354*Inputs!$C$69,"")</f>
      </c>
    </row>
    <row r="3355" spans="2:10" ht="15" customHeight="1" x14ac:dyDescent="0.2">
      <c r="B3355" s="39">
        <f t="shared" si="26"/>
      </c>
      <c r="C3355" s="40">
        <f>IF(Inputs!$C$60,Inputs!$C$11+(B3355-Inputs!$C$69)/Inputs!$C$70,"")</f>
      </c>
      <c r="D3355" s="15"/>
      <c r="E3355" s="15"/>
      <c r="F3355" s="11">
        <f t="shared" si="27"/>
      </c>
      <c r="G3355" s="22" cm="1">
        <f t="array" ref="G3355">IF(AND(Inputs!$C$60,Inputs!$C$61),INDEX(Utility_Rates!$C$29:$F$52,HOUR(C3355)+Inputs!$C$69,MATCH(INDEX(Utility_Rates!$K$6:$K$17,MONTH(C3355))&amp;IF(WEEKDAY(C3355,Inputs!$C$76)&lt;=Inputs!$C$74," weekday"," weekend"),Utility_Rates!$C$28:$F$28,Inputs!$C$68)),"")</f>
      </c>
      <c r="H3355" s="34"/>
      <c r="I3355" s="42">
        <f>IF(AND(ISNUMBER(D3355),ISNUMBER(H3355)),D3355*H3355*Inputs!$C$69,"")</f>
      </c>
      <c r="J3355" s="42">
        <f>IF(AND(ISNUMBER(F3355),ISNUMBER(H3355),F3355&gt;=Inputs!$C$68),F3355*H3355*Inputs!$C$69,"")</f>
      </c>
    </row>
    <row r="3356" spans="2:10" ht="15" customHeight="1" x14ac:dyDescent="0.2">
      <c r="B3356" s="39">
        <f t="shared" si="26"/>
      </c>
      <c r="C3356" s="40">
        <f>IF(Inputs!$C$60,Inputs!$C$11+(B3356-Inputs!$C$69)/Inputs!$C$70,"")</f>
      </c>
      <c r="D3356" s="15"/>
      <c r="E3356" s="15"/>
      <c r="F3356" s="11">
        <f t="shared" si="27"/>
      </c>
      <c r="G3356" s="22" cm="1">
        <f t="array" ref="G3356">IF(AND(Inputs!$C$60,Inputs!$C$61),INDEX(Utility_Rates!$C$29:$F$52,HOUR(C3356)+Inputs!$C$69,MATCH(INDEX(Utility_Rates!$K$6:$K$17,MONTH(C3356))&amp;IF(WEEKDAY(C3356,Inputs!$C$76)&lt;=Inputs!$C$74," weekday"," weekend"),Utility_Rates!$C$28:$F$28,Inputs!$C$68)),"")</f>
      </c>
      <c r="H3356" s="34"/>
      <c r="I3356" s="42">
        <f>IF(AND(ISNUMBER(D3356),ISNUMBER(H3356)),D3356*H3356*Inputs!$C$69,"")</f>
      </c>
      <c r="J3356" s="42">
        <f>IF(AND(ISNUMBER(F3356),ISNUMBER(H3356),F3356&gt;=Inputs!$C$68),F3356*H3356*Inputs!$C$69,"")</f>
      </c>
    </row>
    <row r="3357" spans="2:10" ht="15" customHeight="1" x14ac:dyDescent="0.2">
      <c r="B3357" s="39">
        <f t="shared" si="26"/>
      </c>
      <c r="C3357" s="40">
        <f>IF(Inputs!$C$60,Inputs!$C$11+(B3357-Inputs!$C$69)/Inputs!$C$70,"")</f>
      </c>
      <c r="D3357" s="15"/>
      <c r="E3357" s="15"/>
      <c r="F3357" s="11">
        <f t="shared" si="27"/>
      </c>
      <c r="G3357" s="22" cm="1">
        <f t="array" ref="G3357">IF(AND(Inputs!$C$60,Inputs!$C$61),INDEX(Utility_Rates!$C$29:$F$52,HOUR(C3357)+Inputs!$C$69,MATCH(INDEX(Utility_Rates!$K$6:$K$17,MONTH(C3357))&amp;IF(WEEKDAY(C3357,Inputs!$C$76)&lt;=Inputs!$C$74," weekday"," weekend"),Utility_Rates!$C$28:$F$28,Inputs!$C$68)),"")</f>
      </c>
      <c r="H3357" s="34"/>
      <c r="I3357" s="42">
        <f>IF(AND(ISNUMBER(D3357),ISNUMBER(H3357)),D3357*H3357*Inputs!$C$69,"")</f>
      </c>
      <c r="J3357" s="42">
        <f>IF(AND(ISNUMBER(F3357),ISNUMBER(H3357),F3357&gt;=Inputs!$C$68),F3357*H3357*Inputs!$C$69,"")</f>
      </c>
    </row>
    <row r="3358" spans="2:10" ht="15" customHeight="1" x14ac:dyDescent="0.2">
      <c r="B3358" s="39">
        <f t="shared" si="26"/>
      </c>
      <c r="C3358" s="40">
        <f>IF(Inputs!$C$60,Inputs!$C$11+(B3358-Inputs!$C$69)/Inputs!$C$70,"")</f>
      </c>
      <c r="D3358" s="15"/>
      <c r="E3358" s="15"/>
      <c r="F3358" s="11">
        <f t="shared" si="27"/>
      </c>
      <c r="G3358" s="22" cm="1">
        <f t="array" ref="G3358">IF(AND(Inputs!$C$60,Inputs!$C$61),INDEX(Utility_Rates!$C$29:$F$52,HOUR(C3358)+Inputs!$C$69,MATCH(INDEX(Utility_Rates!$K$6:$K$17,MONTH(C3358))&amp;IF(WEEKDAY(C3358,Inputs!$C$76)&lt;=Inputs!$C$74," weekday"," weekend"),Utility_Rates!$C$28:$F$28,Inputs!$C$68)),"")</f>
      </c>
      <c r="H3358" s="34"/>
      <c r="I3358" s="42">
        <f>IF(AND(ISNUMBER(D3358),ISNUMBER(H3358)),D3358*H3358*Inputs!$C$69,"")</f>
      </c>
      <c r="J3358" s="42">
        <f>IF(AND(ISNUMBER(F3358),ISNUMBER(H3358),F3358&gt;=Inputs!$C$68),F3358*H3358*Inputs!$C$69,"")</f>
      </c>
    </row>
    <row r="3359" spans="2:10" ht="15" customHeight="1" x14ac:dyDescent="0.2">
      <c r="B3359" s="39">
        <f t="shared" si="26"/>
      </c>
      <c r="C3359" s="40">
        <f>IF(Inputs!$C$60,Inputs!$C$11+(B3359-Inputs!$C$69)/Inputs!$C$70,"")</f>
      </c>
      <c r="D3359" s="15"/>
      <c r="E3359" s="15"/>
      <c r="F3359" s="11">
        <f t="shared" si="27"/>
      </c>
      <c r="G3359" s="22" cm="1">
        <f t="array" ref="G3359">IF(AND(Inputs!$C$60,Inputs!$C$61),INDEX(Utility_Rates!$C$29:$F$52,HOUR(C3359)+Inputs!$C$69,MATCH(INDEX(Utility_Rates!$K$6:$K$17,MONTH(C3359))&amp;IF(WEEKDAY(C3359,Inputs!$C$76)&lt;=Inputs!$C$74," weekday"," weekend"),Utility_Rates!$C$28:$F$28,Inputs!$C$68)),"")</f>
      </c>
      <c r="H3359" s="34"/>
      <c r="I3359" s="42">
        <f>IF(AND(ISNUMBER(D3359),ISNUMBER(H3359)),D3359*H3359*Inputs!$C$69,"")</f>
      </c>
      <c r="J3359" s="42">
        <f>IF(AND(ISNUMBER(F3359),ISNUMBER(H3359),F3359&gt;=Inputs!$C$68),F3359*H3359*Inputs!$C$69,"")</f>
      </c>
    </row>
    <row r="3360" spans="2:10" ht="15" customHeight="1" x14ac:dyDescent="0.2">
      <c r="B3360" s="39">
        <f t="shared" si="26"/>
      </c>
      <c r="C3360" s="40">
        <f>IF(Inputs!$C$60,Inputs!$C$11+(B3360-Inputs!$C$69)/Inputs!$C$70,"")</f>
      </c>
      <c r="D3360" s="15"/>
      <c r="E3360" s="15"/>
      <c r="F3360" s="11">
        <f t="shared" si="27"/>
      </c>
      <c r="G3360" s="22" cm="1">
        <f t="array" ref="G3360">IF(AND(Inputs!$C$60,Inputs!$C$61),INDEX(Utility_Rates!$C$29:$F$52,HOUR(C3360)+Inputs!$C$69,MATCH(INDEX(Utility_Rates!$K$6:$K$17,MONTH(C3360))&amp;IF(WEEKDAY(C3360,Inputs!$C$76)&lt;=Inputs!$C$74," weekday"," weekend"),Utility_Rates!$C$28:$F$28,Inputs!$C$68)),"")</f>
      </c>
      <c r="H3360" s="34"/>
      <c r="I3360" s="42">
        <f>IF(AND(ISNUMBER(D3360),ISNUMBER(H3360)),D3360*H3360*Inputs!$C$69,"")</f>
      </c>
      <c r="J3360" s="42">
        <f>IF(AND(ISNUMBER(F3360),ISNUMBER(H3360),F3360&gt;=Inputs!$C$68),F3360*H3360*Inputs!$C$69,"")</f>
      </c>
    </row>
    <row r="3361" spans="2:10" ht="15" customHeight="1" x14ac:dyDescent="0.2">
      <c r="B3361" s="39">
        <f t="shared" si="26"/>
      </c>
      <c r="C3361" s="40">
        <f>IF(Inputs!$C$60,Inputs!$C$11+(B3361-Inputs!$C$69)/Inputs!$C$70,"")</f>
      </c>
      <c r="D3361" s="15"/>
      <c r="E3361" s="15"/>
      <c r="F3361" s="11">
        <f t="shared" si="27"/>
      </c>
      <c r="G3361" s="22" cm="1">
        <f t="array" ref="G3361">IF(AND(Inputs!$C$60,Inputs!$C$61),INDEX(Utility_Rates!$C$29:$F$52,HOUR(C3361)+Inputs!$C$69,MATCH(INDEX(Utility_Rates!$K$6:$K$17,MONTH(C3361))&amp;IF(WEEKDAY(C3361,Inputs!$C$76)&lt;=Inputs!$C$74," weekday"," weekend"),Utility_Rates!$C$28:$F$28,Inputs!$C$68)),"")</f>
      </c>
      <c r="H3361" s="34"/>
      <c r="I3361" s="42">
        <f>IF(AND(ISNUMBER(D3361),ISNUMBER(H3361)),D3361*H3361*Inputs!$C$69,"")</f>
      </c>
      <c r="J3361" s="42">
        <f>IF(AND(ISNUMBER(F3361),ISNUMBER(H3361),F3361&gt;=Inputs!$C$68),F3361*H3361*Inputs!$C$69,"")</f>
      </c>
    </row>
    <row r="3362" spans="2:10" ht="15" customHeight="1" x14ac:dyDescent="0.2">
      <c r="B3362" s="39">
        <f t="shared" si="26"/>
      </c>
      <c r="C3362" s="40">
        <f>IF(Inputs!$C$60,Inputs!$C$11+(B3362-Inputs!$C$69)/Inputs!$C$70,"")</f>
      </c>
      <c r="D3362" s="15"/>
      <c r="E3362" s="15"/>
      <c r="F3362" s="11">
        <f t="shared" si="27"/>
      </c>
      <c r="G3362" s="22" cm="1">
        <f t="array" ref="G3362">IF(AND(Inputs!$C$60,Inputs!$C$61),INDEX(Utility_Rates!$C$29:$F$52,HOUR(C3362)+Inputs!$C$69,MATCH(INDEX(Utility_Rates!$K$6:$K$17,MONTH(C3362))&amp;IF(WEEKDAY(C3362,Inputs!$C$76)&lt;=Inputs!$C$74," weekday"," weekend"),Utility_Rates!$C$28:$F$28,Inputs!$C$68)),"")</f>
      </c>
      <c r="H3362" s="34"/>
      <c r="I3362" s="42">
        <f>IF(AND(ISNUMBER(D3362),ISNUMBER(H3362)),D3362*H3362*Inputs!$C$69,"")</f>
      </c>
      <c r="J3362" s="42">
        <f>IF(AND(ISNUMBER(F3362),ISNUMBER(H3362),F3362&gt;=Inputs!$C$68),F3362*H3362*Inputs!$C$69,"")</f>
      </c>
    </row>
    <row r="3363" spans="2:10" ht="15" customHeight="1" x14ac:dyDescent="0.2">
      <c r="B3363" s="39">
        <f t="shared" si="26"/>
      </c>
      <c r="C3363" s="40">
        <f>IF(Inputs!$C$60,Inputs!$C$11+(B3363-Inputs!$C$69)/Inputs!$C$70,"")</f>
      </c>
      <c r="D3363" s="15"/>
      <c r="E3363" s="15"/>
      <c r="F3363" s="11">
        <f t="shared" si="27"/>
      </c>
      <c r="G3363" s="22" cm="1">
        <f t="array" ref="G3363">IF(AND(Inputs!$C$60,Inputs!$C$61),INDEX(Utility_Rates!$C$29:$F$52,HOUR(C3363)+Inputs!$C$69,MATCH(INDEX(Utility_Rates!$K$6:$K$17,MONTH(C3363))&amp;IF(WEEKDAY(C3363,Inputs!$C$76)&lt;=Inputs!$C$74," weekday"," weekend"),Utility_Rates!$C$28:$F$28,Inputs!$C$68)),"")</f>
      </c>
      <c r="H3363" s="34"/>
      <c r="I3363" s="42">
        <f>IF(AND(ISNUMBER(D3363),ISNUMBER(H3363)),D3363*H3363*Inputs!$C$69,"")</f>
      </c>
      <c r="J3363" s="42">
        <f>IF(AND(ISNUMBER(F3363),ISNUMBER(H3363),F3363&gt;=Inputs!$C$68),F3363*H3363*Inputs!$C$69,"")</f>
      </c>
    </row>
    <row r="3364" spans="2:10" ht="15" customHeight="1" x14ac:dyDescent="0.2">
      <c r="B3364" s="39">
        <f t="shared" si="26"/>
      </c>
      <c r="C3364" s="40">
        <f>IF(Inputs!$C$60,Inputs!$C$11+(B3364-Inputs!$C$69)/Inputs!$C$70,"")</f>
      </c>
      <c r="D3364" s="15"/>
      <c r="E3364" s="15"/>
      <c r="F3364" s="11">
        <f t="shared" si="27"/>
      </c>
      <c r="G3364" s="22" cm="1">
        <f t="array" ref="G3364">IF(AND(Inputs!$C$60,Inputs!$C$61),INDEX(Utility_Rates!$C$29:$F$52,HOUR(C3364)+Inputs!$C$69,MATCH(INDEX(Utility_Rates!$K$6:$K$17,MONTH(C3364))&amp;IF(WEEKDAY(C3364,Inputs!$C$76)&lt;=Inputs!$C$74," weekday"," weekend"),Utility_Rates!$C$28:$F$28,Inputs!$C$68)),"")</f>
      </c>
      <c r="H3364" s="34"/>
      <c r="I3364" s="42">
        <f>IF(AND(ISNUMBER(D3364),ISNUMBER(H3364)),D3364*H3364*Inputs!$C$69,"")</f>
      </c>
      <c r="J3364" s="42">
        <f>IF(AND(ISNUMBER(F3364),ISNUMBER(H3364),F3364&gt;=Inputs!$C$68),F3364*H3364*Inputs!$C$69,"")</f>
      </c>
    </row>
    <row r="3365" spans="2:10" ht="15" customHeight="1" x14ac:dyDescent="0.2">
      <c r="B3365" s="39">
        <f t="shared" si="26"/>
      </c>
      <c r="C3365" s="40">
        <f>IF(Inputs!$C$60,Inputs!$C$11+(B3365-Inputs!$C$69)/Inputs!$C$70,"")</f>
      </c>
      <c r="D3365" s="15"/>
      <c r="E3365" s="15"/>
      <c r="F3365" s="11">
        <f t="shared" si="27"/>
      </c>
      <c r="G3365" s="22" cm="1">
        <f t="array" ref="G3365">IF(AND(Inputs!$C$60,Inputs!$C$61),INDEX(Utility_Rates!$C$29:$F$52,HOUR(C3365)+Inputs!$C$69,MATCH(INDEX(Utility_Rates!$K$6:$K$17,MONTH(C3365))&amp;IF(WEEKDAY(C3365,Inputs!$C$76)&lt;=Inputs!$C$74," weekday"," weekend"),Utility_Rates!$C$28:$F$28,Inputs!$C$68)),"")</f>
      </c>
      <c r="H3365" s="34"/>
      <c r="I3365" s="42">
        <f>IF(AND(ISNUMBER(D3365),ISNUMBER(H3365)),D3365*H3365*Inputs!$C$69,"")</f>
      </c>
      <c r="J3365" s="42">
        <f>IF(AND(ISNUMBER(F3365),ISNUMBER(H3365),F3365&gt;=Inputs!$C$68),F3365*H3365*Inputs!$C$69,"")</f>
      </c>
    </row>
    <row r="3366" spans="2:10" ht="15" customHeight="1" x14ac:dyDescent="0.2">
      <c r="B3366" s="39">
        <f t="shared" si="26"/>
      </c>
      <c r="C3366" s="40">
        <f>IF(Inputs!$C$60,Inputs!$C$11+(B3366-Inputs!$C$69)/Inputs!$C$70,"")</f>
      </c>
      <c r="D3366" s="15"/>
      <c r="E3366" s="15"/>
      <c r="F3366" s="11">
        <f t="shared" si="27"/>
      </c>
      <c r="G3366" s="22" cm="1">
        <f t="array" ref="G3366">IF(AND(Inputs!$C$60,Inputs!$C$61),INDEX(Utility_Rates!$C$29:$F$52,HOUR(C3366)+Inputs!$C$69,MATCH(INDEX(Utility_Rates!$K$6:$K$17,MONTH(C3366))&amp;IF(WEEKDAY(C3366,Inputs!$C$76)&lt;=Inputs!$C$74," weekday"," weekend"),Utility_Rates!$C$28:$F$28,Inputs!$C$68)),"")</f>
      </c>
      <c r="H3366" s="34"/>
      <c r="I3366" s="42">
        <f>IF(AND(ISNUMBER(D3366),ISNUMBER(H3366)),D3366*H3366*Inputs!$C$69,"")</f>
      </c>
      <c r="J3366" s="42">
        <f>IF(AND(ISNUMBER(F3366),ISNUMBER(H3366),F3366&gt;=Inputs!$C$68),F3366*H3366*Inputs!$C$69,"")</f>
      </c>
    </row>
    <row r="3367" spans="2:10" ht="15" customHeight="1" x14ac:dyDescent="0.2">
      <c r="B3367" s="39">
        <f t="shared" si="26"/>
      </c>
      <c r="C3367" s="40">
        <f>IF(Inputs!$C$60,Inputs!$C$11+(B3367-Inputs!$C$69)/Inputs!$C$70,"")</f>
      </c>
      <c r="D3367" s="15"/>
      <c r="E3367" s="15"/>
      <c r="F3367" s="11">
        <f t="shared" si="27"/>
      </c>
      <c r="G3367" s="22" cm="1">
        <f t="array" ref="G3367">IF(AND(Inputs!$C$60,Inputs!$C$61),INDEX(Utility_Rates!$C$29:$F$52,HOUR(C3367)+Inputs!$C$69,MATCH(INDEX(Utility_Rates!$K$6:$K$17,MONTH(C3367))&amp;IF(WEEKDAY(C3367,Inputs!$C$76)&lt;=Inputs!$C$74," weekday"," weekend"),Utility_Rates!$C$28:$F$28,Inputs!$C$68)),"")</f>
      </c>
      <c r="H3367" s="34"/>
      <c r="I3367" s="42">
        <f>IF(AND(ISNUMBER(D3367),ISNUMBER(H3367)),D3367*H3367*Inputs!$C$69,"")</f>
      </c>
      <c r="J3367" s="42">
        <f>IF(AND(ISNUMBER(F3367),ISNUMBER(H3367),F3367&gt;=Inputs!$C$68),F3367*H3367*Inputs!$C$69,"")</f>
      </c>
    </row>
    <row r="3368" spans="2:10" ht="15" customHeight="1" x14ac:dyDescent="0.2">
      <c r="B3368" s="39">
        <f t="shared" si="26"/>
      </c>
      <c r="C3368" s="40">
        <f>IF(Inputs!$C$60,Inputs!$C$11+(B3368-Inputs!$C$69)/Inputs!$C$70,"")</f>
      </c>
      <c r="D3368" s="15"/>
      <c r="E3368" s="15"/>
      <c r="F3368" s="11">
        <f t="shared" si="27"/>
      </c>
      <c r="G3368" s="22" cm="1">
        <f t="array" ref="G3368">IF(AND(Inputs!$C$60,Inputs!$C$61),INDEX(Utility_Rates!$C$29:$F$52,HOUR(C3368)+Inputs!$C$69,MATCH(INDEX(Utility_Rates!$K$6:$K$17,MONTH(C3368))&amp;IF(WEEKDAY(C3368,Inputs!$C$76)&lt;=Inputs!$C$74," weekday"," weekend"),Utility_Rates!$C$28:$F$28,Inputs!$C$68)),"")</f>
      </c>
      <c r="H3368" s="34"/>
      <c r="I3368" s="42">
        <f>IF(AND(ISNUMBER(D3368),ISNUMBER(H3368)),D3368*H3368*Inputs!$C$69,"")</f>
      </c>
      <c r="J3368" s="42">
        <f>IF(AND(ISNUMBER(F3368),ISNUMBER(H3368),F3368&gt;=Inputs!$C$68),F3368*H3368*Inputs!$C$69,"")</f>
      </c>
    </row>
    <row r="3369" spans="2:10" ht="15" customHeight="1" x14ac:dyDescent="0.2">
      <c r="B3369" s="39">
        <f t="shared" si="26"/>
      </c>
      <c r="C3369" s="40">
        <f>IF(Inputs!$C$60,Inputs!$C$11+(B3369-Inputs!$C$69)/Inputs!$C$70,"")</f>
      </c>
      <c r="D3369" s="15"/>
      <c r="E3369" s="15"/>
      <c r="F3369" s="11">
        <f t="shared" si="27"/>
      </c>
      <c r="G3369" s="22" cm="1">
        <f t="array" ref="G3369">IF(AND(Inputs!$C$60,Inputs!$C$61),INDEX(Utility_Rates!$C$29:$F$52,HOUR(C3369)+Inputs!$C$69,MATCH(INDEX(Utility_Rates!$K$6:$K$17,MONTH(C3369))&amp;IF(WEEKDAY(C3369,Inputs!$C$76)&lt;=Inputs!$C$74," weekday"," weekend"),Utility_Rates!$C$28:$F$28,Inputs!$C$68)),"")</f>
      </c>
      <c r="H3369" s="34"/>
      <c r="I3369" s="42">
        <f>IF(AND(ISNUMBER(D3369),ISNUMBER(H3369)),D3369*H3369*Inputs!$C$69,"")</f>
      </c>
      <c r="J3369" s="42">
        <f>IF(AND(ISNUMBER(F3369),ISNUMBER(H3369),F3369&gt;=Inputs!$C$68),F3369*H3369*Inputs!$C$69,"")</f>
      </c>
    </row>
    <row r="3370" spans="2:10" ht="15" customHeight="1" x14ac:dyDescent="0.2">
      <c r="B3370" s="39">
        <f t="shared" si="26"/>
      </c>
      <c r="C3370" s="40">
        <f>IF(Inputs!$C$60,Inputs!$C$11+(B3370-Inputs!$C$69)/Inputs!$C$70,"")</f>
      </c>
      <c r="D3370" s="15"/>
      <c r="E3370" s="15"/>
      <c r="F3370" s="11">
        <f t="shared" si="27"/>
      </c>
      <c r="G3370" s="22" cm="1">
        <f t="array" ref="G3370">IF(AND(Inputs!$C$60,Inputs!$C$61),INDEX(Utility_Rates!$C$29:$F$52,HOUR(C3370)+Inputs!$C$69,MATCH(INDEX(Utility_Rates!$K$6:$K$17,MONTH(C3370))&amp;IF(WEEKDAY(C3370,Inputs!$C$76)&lt;=Inputs!$C$74," weekday"," weekend"),Utility_Rates!$C$28:$F$28,Inputs!$C$68)),"")</f>
      </c>
      <c r="H3370" s="34"/>
      <c r="I3370" s="42">
        <f>IF(AND(ISNUMBER(D3370),ISNUMBER(H3370)),D3370*H3370*Inputs!$C$69,"")</f>
      </c>
      <c r="J3370" s="42">
        <f>IF(AND(ISNUMBER(F3370),ISNUMBER(H3370),F3370&gt;=Inputs!$C$68),F3370*H3370*Inputs!$C$69,"")</f>
      </c>
    </row>
    <row r="3371" spans="2:10" ht="15" customHeight="1" x14ac:dyDescent="0.2">
      <c r="B3371" s="39">
        <f t="shared" si="26"/>
      </c>
      <c r="C3371" s="40">
        <f>IF(Inputs!$C$60,Inputs!$C$11+(B3371-Inputs!$C$69)/Inputs!$C$70,"")</f>
      </c>
      <c r="D3371" s="15"/>
      <c r="E3371" s="15"/>
      <c r="F3371" s="11">
        <f t="shared" si="27"/>
      </c>
      <c r="G3371" s="22" cm="1">
        <f t="array" ref="G3371">IF(AND(Inputs!$C$60,Inputs!$C$61),INDEX(Utility_Rates!$C$29:$F$52,HOUR(C3371)+Inputs!$C$69,MATCH(INDEX(Utility_Rates!$K$6:$K$17,MONTH(C3371))&amp;IF(WEEKDAY(C3371,Inputs!$C$76)&lt;=Inputs!$C$74," weekday"," weekend"),Utility_Rates!$C$28:$F$28,Inputs!$C$68)),"")</f>
      </c>
      <c r="H3371" s="34"/>
      <c r="I3371" s="42">
        <f>IF(AND(ISNUMBER(D3371),ISNUMBER(H3371)),D3371*H3371*Inputs!$C$69,"")</f>
      </c>
      <c r="J3371" s="42">
        <f>IF(AND(ISNUMBER(F3371),ISNUMBER(H3371),F3371&gt;=Inputs!$C$68),F3371*H3371*Inputs!$C$69,"")</f>
      </c>
    </row>
    <row r="3372" spans="2:10" ht="15" customHeight="1" x14ac:dyDescent="0.2">
      <c r="B3372" s="39">
        <f t="shared" si="26"/>
      </c>
      <c r="C3372" s="40">
        <f>IF(Inputs!$C$60,Inputs!$C$11+(B3372-Inputs!$C$69)/Inputs!$C$70,"")</f>
      </c>
      <c r="D3372" s="15"/>
      <c r="E3372" s="15"/>
      <c r="F3372" s="11">
        <f t="shared" si="27"/>
      </c>
      <c r="G3372" s="22" cm="1">
        <f t="array" ref="G3372">IF(AND(Inputs!$C$60,Inputs!$C$61),INDEX(Utility_Rates!$C$29:$F$52,HOUR(C3372)+Inputs!$C$69,MATCH(INDEX(Utility_Rates!$K$6:$K$17,MONTH(C3372))&amp;IF(WEEKDAY(C3372,Inputs!$C$76)&lt;=Inputs!$C$74," weekday"," weekend"),Utility_Rates!$C$28:$F$28,Inputs!$C$68)),"")</f>
      </c>
      <c r="H3372" s="34"/>
      <c r="I3372" s="42">
        <f>IF(AND(ISNUMBER(D3372),ISNUMBER(H3372)),D3372*H3372*Inputs!$C$69,"")</f>
      </c>
      <c r="J3372" s="42">
        <f>IF(AND(ISNUMBER(F3372),ISNUMBER(H3372),F3372&gt;=Inputs!$C$68),F3372*H3372*Inputs!$C$69,"")</f>
      </c>
    </row>
    <row r="3373" spans="2:10" ht="15" customHeight="1" x14ac:dyDescent="0.2">
      <c r="B3373" s="39">
        <f t="shared" si="26"/>
      </c>
      <c r="C3373" s="40">
        <f>IF(Inputs!$C$60,Inputs!$C$11+(B3373-Inputs!$C$69)/Inputs!$C$70,"")</f>
      </c>
      <c r="D3373" s="15"/>
      <c r="E3373" s="15"/>
      <c r="F3373" s="11">
        <f t="shared" si="27"/>
      </c>
      <c r="G3373" s="22" cm="1">
        <f t="array" ref="G3373">IF(AND(Inputs!$C$60,Inputs!$C$61),INDEX(Utility_Rates!$C$29:$F$52,HOUR(C3373)+Inputs!$C$69,MATCH(INDEX(Utility_Rates!$K$6:$K$17,MONTH(C3373))&amp;IF(WEEKDAY(C3373,Inputs!$C$76)&lt;=Inputs!$C$74," weekday"," weekend"),Utility_Rates!$C$28:$F$28,Inputs!$C$68)),"")</f>
      </c>
      <c r="H3373" s="34"/>
      <c r="I3373" s="42">
        <f>IF(AND(ISNUMBER(D3373),ISNUMBER(H3373)),D3373*H3373*Inputs!$C$69,"")</f>
      </c>
      <c r="J3373" s="42">
        <f>IF(AND(ISNUMBER(F3373),ISNUMBER(H3373),F3373&gt;=Inputs!$C$68),F3373*H3373*Inputs!$C$69,"")</f>
      </c>
    </row>
    <row r="3374" spans="2:10" ht="15" customHeight="1" x14ac:dyDescent="0.2">
      <c r="B3374" s="39">
        <f t="shared" si="26"/>
      </c>
      <c r="C3374" s="40">
        <f>IF(Inputs!$C$60,Inputs!$C$11+(B3374-Inputs!$C$69)/Inputs!$C$70,"")</f>
      </c>
      <c r="D3374" s="15"/>
      <c r="E3374" s="15"/>
      <c r="F3374" s="11">
        <f t="shared" si="27"/>
      </c>
      <c r="G3374" s="22" cm="1">
        <f t="array" ref="G3374">IF(AND(Inputs!$C$60,Inputs!$C$61),INDEX(Utility_Rates!$C$29:$F$52,HOUR(C3374)+Inputs!$C$69,MATCH(INDEX(Utility_Rates!$K$6:$K$17,MONTH(C3374))&amp;IF(WEEKDAY(C3374,Inputs!$C$76)&lt;=Inputs!$C$74," weekday"," weekend"),Utility_Rates!$C$28:$F$28,Inputs!$C$68)),"")</f>
      </c>
      <c r="H3374" s="34"/>
      <c r="I3374" s="42">
        <f>IF(AND(ISNUMBER(D3374),ISNUMBER(H3374)),D3374*H3374*Inputs!$C$69,"")</f>
      </c>
      <c r="J3374" s="42">
        <f>IF(AND(ISNUMBER(F3374),ISNUMBER(H3374),F3374&gt;=Inputs!$C$68),F3374*H3374*Inputs!$C$69,"")</f>
      </c>
    </row>
    <row r="3375" spans="2:10" ht="15" customHeight="1" x14ac:dyDescent="0.2">
      <c r="B3375" s="39">
        <f t="shared" si="26"/>
      </c>
      <c r="C3375" s="40">
        <f>IF(Inputs!$C$60,Inputs!$C$11+(B3375-Inputs!$C$69)/Inputs!$C$70,"")</f>
      </c>
      <c r="D3375" s="15"/>
      <c r="E3375" s="15"/>
      <c r="F3375" s="11">
        <f t="shared" si="27"/>
      </c>
      <c r="G3375" s="22" cm="1">
        <f t="array" ref="G3375">IF(AND(Inputs!$C$60,Inputs!$C$61),INDEX(Utility_Rates!$C$29:$F$52,HOUR(C3375)+Inputs!$C$69,MATCH(INDEX(Utility_Rates!$K$6:$K$17,MONTH(C3375))&amp;IF(WEEKDAY(C3375,Inputs!$C$76)&lt;=Inputs!$C$74," weekday"," weekend"),Utility_Rates!$C$28:$F$28,Inputs!$C$68)),"")</f>
      </c>
      <c r="H3375" s="34"/>
      <c r="I3375" s="42">
        <f>IF(AND(ISNUMBER(D3375),ISNUMBER(H3375)),D3375*H3375*Inputs!$C$69,"")</f>
      </c>
      <c r="J3375" s="42">
        <f>IF(AND(ISNUMBER(F3375),ISNUMBER(H3375),F3375&gt;=Inputs!$C$68),F3375*H3375*Inputs!$C$69,"")</f>
      </c>
    </row>
    <row r="3376" spans="2:10" ht="15" customHeight="1" x14ac:dyDescent="0.2">
      <c r="B3376" s="39">
        <f t="shared" si="26"/>
      </c>
      <c r="C3376" s="40">
        <f>IF(Inputs!$C$60,Inputs!$C$11+(B3376-Inputs!$C$69)/Inputs!$C$70,"")</f>
      </c>
      <c r="D3376" s="15"/>
      <c r="E3376" s="15"/>
      <c r="F3376" s="11">
        <f t="shared" si="27"/>
      </c>
      <c r="G3376" s="22" cm="1">
        <f t="array" ref="G3376">IF(AND(Inputs!$C$60,Inputs!$C$61),INDEX(Utility_Rates!$C$29:$F$52,HOUR(C3376)+Inputs!$C$69,MATCH(INDEX(Utility_Rates!$K$6:$K$17,MONTH(C3376))&amp;IF(WEEKDAY(C3376,Inputs!$C$76)&lt;=Inputs!$C$74," weekday"," weekend"),Utility_Rates!$C$28:$F$28,Inputs!$C$68)),"")</f>
      </c>
      <c r="H3376" s="34"/>
      <c r="I3376" s="42">
        <f>IF(AND(ISNUMBER(D3376),ISNUMBER(H3376)),D3376*H3376*Inputs!$C$69,"")</f>
      </c>
      <c r="J3376" s="42">
        <f>IF(AND(ISNUMBER(F3376),ISNUMBER(H3376),F3376&gt;=Inputs!$C$68),F3376*H3376*Inputs!$C$69,"")</f>
      </c>
    </row>
    <row r="3377" spans="2:10" ht="15" customHeight="1" x14ac:dyDescent="0.2">
      <c r="B3377" s="39">
        <f t="shared" si="26"/>
      </c>
      <c r="C3377" s="40">
        <f>IF(Inputs!$C$60,Inputs!$C$11+(B3377-Inputs!$C$69)/Inputs!$C$70,"")</f>
      </c>
      <c r="D3377" s="15"/>
      <c r="E3377" s="15"/>
      <c r="F3377" s="11">
        <f t="shared" si="27"/>
      </c>
      <c r="G3377" s="22" cm="1">
        <f t="array" ref="G3377">IF(AND(Inputs!$C$60,Inputs!$C$61),INDEX(Utility_Rates!$C$29:$F$52,HOUR(C3377)+Inputs!$C$69,MATCH(INDEX(Utility_Rates!$K$6:$K$17,MONTH(C3377))&amp;IF(WEEKDAY(C3377,Inputs!$C$76)&lt;=Inputs!$C$74," weekday"," weekend"),Utility_Rates!$C$28:$F$28,Inputs!$C$68)),"")</f>
      </c>
      <c r="H3377" s="34"/>
      <c r="I3377" s="42">
        <f>IF(AND(ISNUMBER(D3377),ISNUMBER(H3377)),D3377*H3377*Inputs!$C$69,"")</f>
      </c>
      <c r="J3377" s="42">
        <f>IF(AND(ISNUMBER(F3377),ISNUMBER(H3377),F3377&gt;=Inputs!$C$68),F3377*H3377*Inputs!$C$69,"")</f>
      </c>
    </row>
    <row r="3378" spans="2:10" ht="15" customHeight="1" x14ac:dyDescent="0.2">
      <c r="B3378" s="39">
        <f t="shared" si="26"/>
      </c>
      <c r="C3378" s="40">
        <f>IF(Inputs!$C$60,Inputs!$C$11+(B3378-Inputs!$C$69)/Inputs!$C$70,"")</f>
      </c>
      <c r="D3378" s="15"/>
      <c r="E3378" s="15"/>
      <c r="F3378" s="11">
        <f t="shared" si="27"/>
      </c>
      <c r="G3378" s="22" cm="1">
        <f t="array" ref="G3378">IF(AND(Inputs!$C$60,Inputs!$C$61),INDEX(Utility_Rates!$C$29:$F$52,HOUR(C3378)+Inputs!$C$69,MATCH(INDEX(Utility_Rates!$K$6:$K$17,MONTH(C3378))&amp;IF(WEEKDAY(C3378,Inputs!$C$76)&lt;=Inputs!$C$74," weekday"," weekend"),Utility_Rates!$C$28:$F$28,Inputs!$C$68)),"")</f>
      </c>
      <c r="H3378" s="34"/>
      <c r="I3378" s="42">
        <f>IF(AND(ISNUMBER(D3378),ISNUMBER(H3378)),D3378*H3378*Inputs!$C$69,"")</f>
      </c>
      <c r="J3378" s="42">
        <f>IF(AND(ISNUMBER(F3378),ISNUMBER(H3378),F3378&gt;=Inputs!$C$68),F3378*H3378*Inputs!$C$69,"")</f>
      </c>
    </row>
    <row r="3379" spans="2:10" ht="15" customHeight="1" x14ac:dyDescent="0.2">
      <c r="B3379" s="39">
        <f t="shared" si="26"/>
      </c>
      <c r="C3379" s="40">
        <f>IF(Inputs!$C$60,Inputs!$C$11+(B3379-Inputs!$C$69)/Inputs!$C$70,"")</f>
      </c>
      <c r="D3379" s="15"/>
      <c r="E3379" s="15"/>
      <c r="F3379" s="11">
        <f t="shared" si="27"/>
      </c>
      <c r="G3379" s="22" cm="1">
        <f t="array" ref="G3379">IF(AND(Inputs!$C$60,Inputs!$C$61),INDEX(Utility_Rates!$C$29:$F$52,HOUR(C3379)+Inputs!$C$69,MATCH(INDEX(Utility_Rates!$K$6:$K$17,MONTH(C3379))&amp;IF(WEEKDAY(C3379,Inputs!$C$76)&lt;=Inputs!$C$74," weekday"," weekend"),Utility_Rates!$C$28:$F$28,Inputs!$C$68)),"")</f>
      </c>
      <c r="H3379" s="34"/>
      <c r="I3379" s="42">
        <f>IF(AND(ISNUMBER(D3379),ISNUMBER(H3379)),D3379*H3379*Inputs!$C$69,"")</f>
      </c>
      <c r="J3379" s="42">
        <f>IF(AND(ISNUMBER(F3379),ISNUMBER(H3379),F3379&gt;=Inputs!$C$68),F3379*H3379*Inputs!$C$69,"")</f>
      </c>
    </row>
    <row r="3380" spans="2:10" ht="15" customHeight="1" x14ac:dyDescent="0.2">
      <c r="B3380" s="39">
        <f t="shared" si="26"/>
      </c>
      <c r="C3380" s="40">
        <f>IF(Inputs!$C$60,Inputs!$C$11+(B3380-Inputs!$C$69)/Inputs!$C$70,"")</f>
      </c>
      <c r="D3380" s="15"/>
      <c r="E3380" s="15"/>
      <c r="F3380" s="11">
        <f t="shared" si="27"/>
      </c>
      <c r="G3380" s="22" cm="1">
        <f t="array" ref="G3380">IF(AND(Inputs!$C$60,Inputs!$C$61),INDEX(Utility_Rates!$C$29:$F$52,HOUR(C3380)+Inputs!$C$69,MATCH(INDEX(Utility_Rates!$K$6:$K$17,MONTH(C3380))&amp;IF(WEEKDAY(C3380,Inputs!$C$76)&lt;=Inputs!$C$74," weekday"," weekend"),Utility_Rates!$C$28:$F$28,Inputs!$C$68)),"")</f>
      </c>
      <c r="H3380" s="34"/>
      <c r="I3380" s="42">
        <f>IF(AND(ISNUMBER(D3380),ISNUMBER(H3380)),D3380*H3380*Inputs!$C$69,"")</f>
      </c>
      <c r="J3380" s="42">
        <f>IF(AND(ISNUMBER(F3380),ISNUMBER(H3380),F3380&gt;=Inputs!$C$68),F3380*H3380*Inputs!$C$69,"")</f>
      </c>
    </row>
    <row r="3381" spans="2:10" ht="15" customHeight="1" x14ac:dyDescent="0.2">
      <c r="B3381" s="39">
        <f t="shared" si="26"/>
      </c>
      <c r="C3381" s="40">
        <f>IF(Inputs!$C$60,Inputs!$C$11+(B3381-Inputs!$C$69)/Inputs!$C$70,"")</f>
      </c>
      <c r="D3381" s="15"/>
      <c r="E3381" s="15"/>
      <c r="F3381" s="11">
        <f t="shared" si="27"/>
      </c>
      <c r="G3381" s="22" cm="1">
        <f t="array" ref="G3381">IF(AND(Inputs!$C$60,Inputs!$C$61),INDEX(Utility_Rates!$C$29:$F$52,HOUR(C3381)+Inputs!$C$69,MATCH(INDEX(Utility_Rates!$K$6:$K$17,MONTH(C3381))&amp;IF(WEEKDAY(C3381,Inputs!$C$76)&lt;=Inputs!$C$74," weekday"," weekend"),Utility_Rates!$C$28:$F$28,Inputs!$C$68)),"")</f>
      </c>
      <c r="H3381" s="34"/>
      <c r="I3381" s="42">
        <f>IF(AND(ISNUMBER(D3381),ISNUMBER(H3381)),D3381*H3381*Inputs!$C$69,"")</f>
      </c>
      <c r="J3381" s="42">
        <f>IF(AND(ISNUMBER(F3381),ISNUMBER(H3381),F3381&gt;=Inputs!$C$68),F3381*H3381*Inputs!$C$69,"")</f>
      </c>
    </row>
    <row r="3382" spans="2:10" ht="15" customHeight="1" x14ac:dyDescent="0.2">
      <c r="B3382" s="39">
        <f t="shared" si="26"/>
      </c>
      <c r="C3382" s="40">
        <f>IF(Inputs!$C$60,Inputs!$C$11+(B3382-Inputs!$C$69)/Inputs!$C$70,"")</f>
      </c>
      <c r="D3382" s="15"/>
      <c r="E3382" s="15"/>
      <c r="F3382" s="11">
        <f t="shared" si="27"/>
      </c>
      <c r="G3382" s="22" cm="1">
        <f t="array" ref="G3382">IF(AND(Inputs!$C$60,Inputs!$C$61),INDEX(Utility_Rates!$C$29:$F$52,HOUR(C3382)+Inputs!$C$69,MATCH(INDEX(Utility_Rates!$K$6:$K$17,MONTH(C3382))&amp;IF(WEEKDAY(C3382,Inputs!$C$76)&lt;=Inputs!$C$74," weekday"," weekend"),Utility_Rates!$C$28:$F$28,Inputs!$C$68)),"")</f>
      </c>
      <c r="H3382" s="34"/>
      <c r="I3382" s="42">
        <f>IF(AND(ISNUMBER(D3382),ISNUMBER(H3382)),D3382*H3382*Inputs!$C$69,"")</f>
      </c>
      <c r="J3382" s="42">
        <f>IF(AND(ISNUMBER(F3382),ISNUMBER(H3382),F3382&gt;=Inputs!$C$68),F3382*H3382*Inputs!$C$69,"")</f>
      </c>
    </row>
    <row r="3383" spans="2:10" ht="15" customHeight="1" x14ac:dyDescent="0.2">
      <c r="B3383" s="39">
        <f t="shared" si="26"/>
      </c>
      <c r="C3383" s="40">
        <f>IF(Inputs!$C$60,Inputs!$C$11+(B3383-Inputs!$C$69)/Inputs!$C$70,"")</f>
      </c>
      <c r="D3383" s="15"/>
      <c r="E3383" s="15"/>
      <c r="F3383" s="11">
        <f t="shared" si="27"/>
      </c>
      <c r="G3383" s="22" cm="1">
        <f t="array" ref="G3383">IF(AND(Inputs!$C$60,Inputs!$C$61),INDEX(Utility_Rates!$C$29:$F$52,HOUR(C3383)+Inputs!$C$69,MATCH(INDEX(Utility_Rates!$K$6:$K$17,MONTH(C3383))&amp;IF(WEEKDAY(C3383,Inputs!$C$76)&lt;=Inputs!$C$74," weekday"," weekend"),Utility_Rates!$C$28:$F$28,Inputs!$C$68)),"")</f>
      </c>
      <c r="H3383" s="34"/>
      <c r="I3383" s="42">
        <f>IF(AND(ISNUMBER(D3383),ISNUMBER(H3383)),D3383*H3383*Inputs!$C$69,"")</f>
      </c>
      <c r="J3383" s="42">
        <f>IF(AND(ISNUMBER(F3383),ISNUMBER(H3383),F3383&gt;=Inputs!$C$68),F3383*H3383*Inputs!$C$69,"")</f>
      </c>
    </row>
    <row r="3384" spans="2:10" ht="15" customHeight="1" x14ac:dyDescent="0.2">
      <c r="B3384" s="39">
        <f t="shared" si="26"/>
      </c>
      <c r="C3384" s="40">
        <f>IF(Inputs!$C$60,Inputs!$C$11+(B3384-Inputs!$C$69)/Inputs!$C$70,"")</f>
      </c>
      <c r="D3384" s="15"/>
      <c r="E3384" s="15"/>
      <c r="F3384" s="11">
        <f t="shared" si="27"/>
      </c>
      <c r="G3384" s="22" cm="1">
        <f t="array" ref="G3384">IF(AND(Inputs!$C$60,Inputs!$C$61),INDEX(Utility_Rates!$C$29:$F$52,HOUR(C3384)+Inputs!$C$69,MATCH(INDEX(Utility_Rates!$K$6:$K$17,MONTH(C3384))&amp;IF(WEEKDAY(C3384,Inputs!$C$76)&lt;=Inputs!$C$74," weekday"," weekend"),Utility_Rates!$C$28:$F$28,Inputs!$C$68)),"")</f>
      </c>
      <c r="H3384" s="34"/>
      <c r="I3384" s="42">
        <f>IF(AND(ISNUMBER(D3384),ISNUMBER(H3384)),D3384*H3384*Inputs!$C$69,"")</f>
      </c>
      <c r="J3384" s="42">
        <f>IF(AND(ISNUMBER(F3384),ISNUMBER(H3384),F3384&gt;=Inputs!$C$68),F3384*H3384*Inputs!$C$69,"")</f>
      </c>
    </row>
    <row r="3385" spans="2:10" ht="15" customHeight="1" x14ac:dyDescent="0.2">
      <c r="B3385" s="39">
        <f t="shared" si="26"/>
      </c>
      <c r="C3385" s="40">
        <f>IF(Inputs!$C$60,Inputs!$C$11+(B3385-Inputs!$C$69)/Inputs!$C$70,"")</f>
      </c>
      <c r="D3385" s="15"/>
      <c r="E3385" s="15"/>
      <c r="F3385" s="11">
        <f t="shared" si="27"/>
      </c>
      <c r="G3385" s="22" cm="1">
        <f t="array" ref="G3385">IF(AND(Inputs!$C$60,Inputs!$C$61),INDEX(Utility_Rates!$C$29:$F$52,HOUR(C3385)+Inputs!$C$69,MATCH(INDEX(Utility_Rates!$K$6:$K$17,MONTH(C3385))&amp;IF(WEEKDAY(C3385,Inputs!$C$76)&lt;=Inputs!$C$74," weekday"," weekend"),Utility_Rates!$C$28:$F$28,Inputs!$C$68)),"")</f>
      </c>
      <c r="H3385" s="34"/>
      <c r="I3385" s="42">
        <f>IF(AND(ISNUMBER(D3385),ISNUMBER(H3385)),D3385*H3385*Inputs!$C$69,"")</f>
      </c>
      <c r="J3385" s="42">
        <f>IF(AND(ISNUMBER(F3385),ISNUMBER(H3385),F3385&gt;=Inputs!$C$68),F3385*H3385*Inputs!$C$69,"")</f>
      </c>
    </row>
    <row r="3386" spans="2:10" ht="15" customHeight="1" x14ac:dyDescent="0.2">
      <c r="B3386" s="39">
        <f t="shared" si="26"/>
      </c>
      <c r="C3386" s="40">
        <f>IF(Inputs!$C$60,Inputs!$C$11+(B3386-Inputs!$C$69)/Inputs!$C$70,"")</f>
      </c>
      <c r="D3386" s="15"/>
      <c r="E3386" s="15"/>
      <c r="F3386" s="11">
        <f t="shared" si="27"/>
      </c>
      <c r="G3386" s="22" cm="1">
        <f t="array" ref="G3386">IF(AND(Inputs!$C$60,Inputs!$C$61),INDEX(Utility_Rates!$C$29:$F$52,HOUR(C3386)+Inputs!$C$69,MATCH(INDEX(Utility_Rates!$K$6:$K$17,MONTH(C3386))&amp;IF(WEEKDAY(C3386,Inputs!$C$76)&lt;=Inputs!$C$74," weekday"," weekend"),Utility_Rates!$C$28:$F$28,Inputs!$C$68)),"")</f>
      </c>
      <c r="H3386" s="34"/>
      <c r="I3386" s="42">
        <f>IF(AND(ISNUMBER(D3386),ISNUMBER(H3386)),D3386*H3386*Inputs!$C$69,"")</f>
      </c>
      <c r="J3386" s="42">
        <f>IF(AND(ISNUMBER(F3386),ISNUMBER(H3386),F3386&gt;=Inputs!$C$68),F3386*H3386*Inputs!$C$69,"")</f>
      </c>
    </row>
    <row r="3387" spans="2:10" ht="15" customHeight="1" x14ac:dyDescent="0.2">
      <c r="B3387" s="39">
        <f t="shared" si="26"/>
      </c>
      <c r="C3387" s="40">
        <f>IF(Inputs!$C$60,Inputs!$C$11+(B3387-Inputs!$C$69)/Inputs!$C$70,"")</f>
      </c>
      <c r="D3387" s="15"/>
      <c r="E3387" s="15"/>
      <c r="F3387" s="11">
        <f t="shared" si="27"/>
      </c>
      <c r="G3387" s="22" cm="1">
        <f t="array" ref="G3387">IF(AND(Inputs!$C$60,Inputs!$C$61),INDEX(Utility_Rates!$C$29:$F$52,HOUR(C3387)+Inputs!$C$69,MATCH(INDEX(Utility_Rates!$K$6:$K$17,MONTH(C3387))&amp;IF(WEEKDAY(C3387,Inputs!$C$76)&lt;=Inputs!$C$74," weekday"," weekend"),Utility_Rates!$C$28:$F$28,Inputs!$C$68)),"")</f>
      </c>
      <c r="H3387" s="34"/>
      <c r="I3387" s="42">
        <f>IF(AND(ISNUMBER(D3387),ISNUMBER(H3387)),D3387*H3387*Inputs!$C$69,"")</f>
      </c>
      <c r="J3387" s="42">
        <f>IF(AND(ISNUMBER(F3387),ISNUMBER(H3387),F3387&gt;=Inputs!$C$68),F3387*H3387*Inputs!$C$69,"")</f>
      </c>
    </row>
    <row r="3388" spans="2:10" ht="15" customHeight="1" x14ac:dyDescent="0.2">
      <c r="B3388" s="39">
        <f t="shared" si="26"/>
      </c>
      <c r="C3388" s="40">
        <f>IF(Inputs!$C$60,Inputs!$C$11+(B3388-Inputs!$C$69)/Inputs!$C$70,"")</f>
      </c>
      <c r="D3388" s="15"/>
      <c r="E3388" s="15"/>
      <c r="F3388" s="11">
        <f t="shared" si="27"/>
      </c>
      <c r="G3388" s="22" cm="1">
        <f t="array" ref="G3388">IF(AND(Inputs!$C$60,Inputs!$C$61),INDEX(Utility_Rates!$C$29:$F$52,HOUR(C3388)+Inputs!$C$69,MATCH(INDEX(Utility_Rates!$K$6:$K$17,MONTH(C3388))&amp;IF(WEEKDAY(C3388,Inputs!$C$76)&lt;=Inputs!$C$74," weekday"," weekend"),Utility_Rates!$C$28:$F$28,Inputs!$C$68)),"")</f>
      </c>
      <c r="H3388" s="34"/>
      <c r="I3388" s="42">
        <f>IF(AND(ISNUMBER(D3388),ISNUMBER(H3388)),D3388*H3388*Inputs!$C$69,"")</f>
      </c>
      <c r="J3388" s="42">
        <f>IF(AND(ISNUMBER(F3388),ISNUMBER(H3388),F3388&gt;=Inputs!$C$68),F3388*H3388*Inputs!$C$69,"")</f>
      </c>
    </row>
    <row r="3389" spans="2:10" ht="15" customHeight="1" x14ac:dyDescent="0.2">
      <c r="B3389" s="39">
        <f t="shared" si="26"/>
      </c>
      <c r="C3389" s="40">
        <f>IF(Inputs!$C$60,Inputs!$C$11+(B3389-Inputs!$C$69)/Inputs!$C$70,"")</f>
      </c>
      <c r="D3389" s="15"/>
      <c r="E3389" s="15"/>
      <c r="F3389" s="11">
        <f t="shared" si="27"/>
      </c>
      <c r="G3389" s="22" cm="1">
        <f t="array" ref="G3389">IF(AND(Inputs!$C$60,Inputs!$C$61),INDEX(Utility_Rates!$C$29:$F$52,HOUR(C3389)+Inputs!$C$69,MATCH(INDEX(Utility_Rates!$K$6:$K$17,MONTH(C3389))&amp;IF(WEEKDAY(C3389,Inputs!$C$76)&lt;=Inputs!$C$74," weekday"," weekend"),Utility_Rates!$C$28:$F$28,Inputs!$C$68)),"")</f>
      </c>
      <c r="H3389" s="34"/>
      <c r="I3389" s="42">
        <f>IF(AND(ISNUMBER(D3389),ISNUMBER(H3389)),D3389*H3389*Inputs!$C$69,"")</f>
      </c>
      <c r="J3389" s="42">
        <f>IF(AND(ISNUMBER(F3389),ISNUMBER(H3389),F3389&gt;=Inputs!$C$68),F3389*H3389*Inputs!$C$69,"")</f>
      </c>
    </row>
    <row r="3390" spans="2:10" ht="15" customHeight="1" x14ac:dyDescent="0.2">
      <c r="B3390" s="39">
        <f t="shared" si="26"/>
      </c>
      <c r="C3390" s="40">
        <f>IF(Inputs!$C$60,Inputs!$C$11+(B3390-Inputs!$C$69)/Inputs!$C$70,"")</f>
      </c>
      <c r="D3390" s="15"/>
      <c r="E3390" s="15"/>
      <c r="F3390" s="11">
        <f t="shared" si="27"/>
      </c>
      <c r="G3390" s="22" cm="1">
        <f t="array" ref="G3390">IF(AND(Inputs!$C$60,Inputs!$C$61),INDEX(Utility_Rates!$C$29:$F$52,HOUR(C3390)+Inputs!$C$69,MATCH(INDEX(Utility_Rates!$K$6:$K$17,MONTH(C3390))&amp;IF(WEEKDAY(C3390,Inputs!$C$76)&lt;=Inputs!$C$74," weekday"," weekend"),Utility_Rates!$C$28:$F$28,Inputs!$C$68)),"")</f>
      </c>
      <c r="H3390" s="34"/>
      <c r="I3390" s="42">
        <f>IF(AND(ISNUMBER(D3390),ISNUMBER(H3390)),D3390*H3390*Inputs!$C$69,"")</f>
      </c>
      <c r="J3390" s="42">
        <f>IF(AND(ISNUMBER(F3390),ISNUMBER(H3390),F3390&gt;=Inputs!$C$68),F3390*H3390*Inputs!$C$69,"")</f>
      </c>
    </row>
    <row r="3391" spans="2:10" ht="15" customHeight="1" x14ac:dyDescent="0.2">
      <c r="B3391" s="39">
        <f t="shared" si="26"/>
      </c>
      <c r="C3391" s="40">
        <f>IF(Inputs!$C$60,Inputs!$C$11+(B3391-Inputs!$C$69)/Inputs!$C$70,"")</f>
      </c>
      <c r="D3391" s="15"/>
      <c r="E3391" s="15"/>
      <c r="F3391" s="11">
        <f t="shared" si="27"/>
      </c>
      <c r="G3391" s="22" cm="1">
        <f t="array" ref="G3391">IF(AND(Inputs!$C$60,Inputs!$C$61),INDEX(Utility_Rates!$C$29:$F$52,HOUR(C3391)+Inputs!$C$69,MATCH(INDEX(Utility_Rates!$K$6:$K$17,MONTH(C3391))&amp;IF(WEEKDAY(C3391,Inputs!$C$76)&lt;=Inputs!$C$74," weekday"," weekend"),Utility_Rates!$C$28:$F$28,Inputs!$C$68)),"")</f>
      </c>
      <c r="H3391" s="34"/>
      <c r="I3391" s="42">
        <f>IF(AND(ISNUMBER(D3391),ISNUMBER(H3391)),D3391*H3391*Inputs!$C$69,"")</f>
      </c>
      <c r="J3391" s="42">
        <f>IF(AND(ISNUMBER(F3391),ISNUMBER(H3391),F3391&gt;=Inputs!$C$68),F3391*H3391*Inputs!$C$69,"")</f>
      </c>
    </row>
    <row r="3392" spans="2:10" ht="15" customHeight="1" x14ac:dyDescent="0.2">
      <c r="B3392" s="39">
        <f t="shared" si="26"/>
      </c>
      <c r="C3392" s="40">
        <f>IF(Inputs!$C$60,Inputs!$C$11+(B3392-Inputs!$C$69)/Inputs!$C$70,"")</f>
      </c>
      <c r="D3392" s="15"/>
      <c r="E3392" s="15"/>
      <c r="F3392" s="11">
        <f t="shared" si="27"/>
      </c>
      <c r="G3392" s="22" cm="1">
        <f t="array" ref="G3392">IF(AND(Inputs!$C$60,Inputs!$C$61),INDEX(Utility_Rates!$C$29:$F$52,HOUR(C3392)+Inputs!$C$69,MATCH(INDEX(Utility_Rates!$K$6:$K$17,MONTH(C3392))&amp;IF(WEEKDAY(C3392,Inputs!$C$76)&lt;=Inputs!$C$74," weekday"," weekend"),Utility_Rates!$C$28:$F$28,Inputs!$C$68)),"")</f>
      </c>
      <c r="H3392" s="34"/>
      <c r="I3392" s="42">
        <f>IF(AND(ISNUMBER(D3392),ISNUMBER(H3392)),D3392*H3392*Inputs!$C$69,"")</f>
      </c>
      <c r="J3392" s="42">
        <f>IF(AND(ISNUMBER(F3392),ISNUMBER(H3392),F3392&gt;=Inputs!$C$68),F3392*H3392*Inputs!$C$69,"")</f>
      </c>
    </row>
    <row r="3393" spans="2:10" ht="15" customHeight="1" x14ac:dyDescent="0.2">
      <c r="B3393" s="39">
        <f t="shared" si="26"/>
      </c>
      <c r="C3393" s="40">
        <f>IF(Inputs!$C$60,Inputs!$C$11+(B3393-Inputs!$C$69)/Inputs!$C$70,"")</f>
      </c>
      <c r="D3393" s="15"/>
      <c r="E3393" s="15"/>
      <c r="F3393" s="11">
        <f t="shared" si="27"/>
      </c>
      <c r="G3393" s="22" cm="1">
        <f t="array" ref="G3393">IF(AND(Inputs!$C$60,Inputs!$C$61),INDEX(Utility_Rates!$C$29:$F$52,HOUR(C3393)+Inputs!$C$69,MATCH(INDEX(Utility_Rates!$K$6:$K$17,MONTH(C3393))&amp;IF(WEEKDAY(C3393,Inputs!$C$76)&lt;=Inputs!$C$74," weekday"," weekend"),Utility_Rates!$C$28:$F$28,Inputs!$C$68)),"")</f>
      </c>
      <c r="H3393" s="34"/>
      <c r="I3393" s="42">
        <f>IF(AND(ISNUMBER(D3393),ISNUMBER(H3393)),D3393*H3393*Inputs!$C$69,"")</f>
      </c>
      <c r="J3393" s="42">
        <f>IF(AND(ISNUMBER(F3393),ISNUMBER(H3393),F3393&gt;=Inputs!$C$68),F3393*H3393*Inputs!$C$69,"")</f>
      </c>
    </row>
    <row r="3394" spans="2:10" ht="15" customHeight="1" x14ac:dyDescent="0.2">
      <c r="B3394" s="39">
        <f t="shared" si="26"/>
      </c>
      <c r="C3394" s="40">
        <f>IF(Inputs!$C$60,Inputs!$C$11+(B3394-Inputs!$C$69)/Inputs!$C$70,"")</f>
      </c>
      <c r="D3394" s="15"/>
      <c r="E3394" s="15"/>
      <c r="F3394" s="11">
        <f t="shared" si="27"/>
      </c>
      <c r="G3394" s="22" cm="1">
        <f t="array" ref="G3394">IF(AND(Inputs!$C$60,Inputs!$C$61),INDEX(Utility_Rates!$C$29:$F$52,HOUR(C3394)+Inputs!$C$69,MATCH(INDEX(Utility_Rates!$K$6:$K$17,MONTH(C3394))&amp;IF(WEEKDAY(C3394,Inputs!$C$76)&lt;=Inputs!$C$74," weekday"," weekend"),Utility_Rates!$C$28:$F$28,Inputs!$C$68)),"")</f>
      </c>
      <c r="H3394" s="34"/>
      <c r="I3394" s="42">
        <f>IF(AND(ISNUMBER(D3394),ISNUMBER(H3394)),D3394*H3394*Inputs!$C$69,"")</f>
      </c>
      <c r="J3394" s="42">
        <f>IF(AND(ISNUMBER(F3394),ISNUMBER(H3394),F3394&gt;=Inputs!$C$68),F3394*H3394*Inputs!$C$69,"")</f>
      </c>
    </row>
    <row r="3395" spans="2:10" ht="15" customHeight="1" x14ac:dyDescent="0.2">
      <c r="B3395" s="39">
        <f t="shared" si="26"/>
      </c>
      <c r="C3395" s="40">
        <f>IF(Inputs!$C$60,Inputs!$C$11+(B3395-Inputs!$C$69)/Inputs!$C$70,"")</f>
      </c>
      <c r="D3395" s="15"/>
      <c r="E3395" s="15"/>
      <c r="F3395" s="11">
        <f t="shared" si="27"/>
      </c>
      <c r="G3395" s="22" cm="1">
        <f t="array" ref="G3395">IF(AND(Inputs!$C$60,Inputs!$C$61),INDEX(Utility_Rates!$C$29:$F$52,HOUR(C3395)+Inputs!$C$69,MATCH(INDEX(Utility_Rates!$K$6:$K$17,MONTH(C3395))&amp;IF(WEEKDAY(C3395,Inputs!$C$76)&lt;=Inputs!$C$74," weekday"," weekend"),Utility_Rates!$C$28:$F$28,Inputs!$C$68)),"")</f>
      </c>
      <c r="H3395" s="34"/>
      <c r="I3395" s="42">
        <f>IF(AND(ISNUMBER(D3395),ISNUMBER(H3395)),D3395*H3395*Inputs!$C$69,"")</f>
      </c>
      <c r="J3395" s="42">
        <f>IF(AND(ISNUMBER(F3395),ISNUMBER(H3395),F3395&gt;=Inputs!$C$68),F3395*H3395*Inputs!$C$69,"")</f>
      </c>
    </row>
    <row r="3396" spans="2:10" ht="15" customHeight="1" x14ac:dyDescent="0.2">
      <c r="B3396" s="39">
        <f t="shared" si="26"/>
      </c>
      <c r="C3396" s="40">
        <f>IF(Inputs!$C$60,Inputs!$C$11+(B3396-Inputs!$C$69)/Inputs!$C$70,"")</f>
      </c>
      <c r="D3396" s="15"/>
      <c r="E3396" s="15"/>
      <c r="F3396" s="11">
        <f t="shared" si="27"/>
      </c>
      <c r="G3396" s="22" cm="1">
        <f t="array" ref="G3396">IF(AND(Inputs!$C$60,Inputs!$C$61),INDEX(Utility_Rates!$C$29:$F$52,HOUR(C3396)+Inputs!$C$69,MATCH(INDEX(Utility_Rates!$K$6:$K$17,MONTH(C3396))&amp;IF(WEEKDAY(C3396,Inputs!$C$76)&lt;=Inputs!$C$74," weekday"," weekend"),Utility_Rates!$C$28:$F$28,Inputs!$C$68)),"")</f>
      </c>
      <c r="H3396" s="34"/>
      <c r="I3396" s="42">
        <f>IF(AND(ISNUMBER(D3396),ISNUMBER(H3396)),D3396*H3396*Inputs!$C$69,"")</f>
      </c>
      <c r="J3396" s="42">
        <f>IF(AND(ISNUMBER(F3396),ISNUMBER(H3396),F3396&gt;=Inputs!$C$68),F3396*H3396*Inputs!$C$69,"")</f>
      </c>
    </row>
    <row r="3397" spans="2:10" ht="15" customHeight="1" x14ac:dyDescent="0.2">
      <c r="B3397" s="39">
        <f t="shared" si="26"/>
      </c>
      <c r="C3397" s="40">
        <f>IF(Inputs!$C$60,Inputs!$C$11+(B3397-Inputs!$C$69)/Inputs!$C$70,"")</f>
      </c>
      <c r="D3397" s="15"/>
      <c r="E3397" s="15"/>
      <c r="F3397" s="11">
        <f t="shared" si="27"/>
      </c>
      <c r="G3397" s="22" cm="1">
        <f t="array" ref="G3397">IF(AND(Inputs!$C$60,Inputs!$C$61),INDEX(Utility_Rates!$C$29:$F$52,HOUR(C3397)+Inputs!$C$69,MATCH(INDEX(Utility_Rates!$K$6:$K$17,MONTH(C3397))&amp;IF(WEEKDAY(C3397,Inputs!$C$76)&lt;=Inputs!$C$74," weekday"," weekend"),Utility_Rates!$C$28:$F$28,Inputs!$C$68)),"")</f>
      </c>
      <c r="H3397" s="34"/>
      <c r="I3397" s="42">
        <f>IF(AND(ISNUMBER(D3397),ISNUMBER(H3397)),D3397*H3397*Inputs!$C$69,"")</f>
      </c>
      <c r="J3397" s="42">
        <f>IF(AND(ISNUMBER(F3397),ISNUMBER(H3397),F3397&gt;=Inputs!$C$68),F3397*H3397*Inputs!$C$69,"")</f>
      </c>
    </row>
    <row r="3398" spans="2:10" ht="15" customHeight="1" x14ac:dyDescent="0.2">
      <c r="B3398" s="39">
        <f t="shared" si="26"/>
      </c>
      <c r="C3398" s="40">
        <f>IF(Inputs!$C$60,Inputs!$C$11+(B3398-Inputs!$C$69)/Inputs!$C$70,"")</f>
      </c>
      <c r="D3398" s="15"/>
      <c r="E3398" s="15"/>
      <c r="F3398" s="11">
        <f t="shared" si="27"/>
      </c>
      <c r="G3398" s="22" cm="1">
        <f t="array" ref="G3398">IF(AND(Inputs!$C$60,Inputs!$C$61),INDEX(Utility_Rates!$C$29:$F$52,HOUR(C3398)+Inputs!$C$69,MATCH(INDEX(Utility_Rates!$K$6:$K$17,MONTH(C3398))&amp;IF(WEEKDAY(C3398,Inputs!$C$76)&lt;=Inputs!$C$74," weekday"," weekend"),Utility_Rates!$C$28:$F$28,Inputs!$C$68)),"")</f>
      </c>
      <c r="H3398" s="34"/>
      <c r="I3398" s="42">
        <f>IF(AND(ISNUMBER(D3398),ISNUMBER(H3398)),D3398*H3398*Inputs!$C$69,"")</f>
      </c>
      <c r="J3398" s="42">
        <f>IF(AND(ISNUMBER(F3398),ISNUMBER(H3398),F3398&gt;=Inputs!$C$68),F3398*H3398*Inputs!$C$69,"")</f>
      </c>
    </row>
    <row r="3399" spans="2:10" ht="15" customHeight="1" x14ac:dyDescent="0.2">
      <c r="B3399" s="39">
        <f t="shared" si="26"/>
      </c>
      <c r="C3399" s="40">
        <f>IF(Inputs!$C$60,Inputs!$C$11+(B3399-Inputs!$C$69)/Inputs!$C$70,"")</f>
      </c>
      <c r="D3399" s="15"/>
      <c r="E3399" s="15"/>
      <c r="F3399" s="11">
        <f t="shared" si="27"/>
      </c>
      <c r="G3399" s="22" cm="1">
        <f t="array" ref="G3399">IF(AND(Inputs!$C$60,Inputs!$C$61),INDEX(Utility_Rates!$C$29:$F$52,HOUR(C3399)+Inputs!$C$69,MATCH(INDEX(Utility_Rates!$K$6:$K$17,MONTH(C3399))&amp;IF(WEEKDAY(C3399,Inputs!$C$76)&lt;=Inputs!$C$74," weekday"," weekend"),Utility_Rates!$C$28:$F$28,Inputs!$C$68)),"")</f>
      </c>
      <c r="H3399" s="34"/>
      <c r="I3399" s="42">
        <f>IF(AND(ISNUMBER(D3399),ISNUMBER(H3399)),D3399*H3399*Inputs!$C$69,"")</f>
      </c>
      <c r="J3399" s="42">
        <f>IF(AND(ISNUMBER(F3399),ISNUMBER(H3399),F3399&gt;=Inputs!$C$68),F3399*H3399*Inputs!$C$69,"")</f>
      </c>
    </row>
    <row r="3400" spans="2:10" ht="15" customHeight="1" x14ac:dyDescent="0.2">
      <c r="B3400" s="39">
        <f t="shared" si="26"/>
      </c>
      <c r="C3400" s="40">
        <f>IF(Inputs!$C$60,Inputs!$C$11+(B3400-Inputs!$C$69)/Inputs!$C$70,"")</f>
      </c>
      <c r="D3400" s="15"/>
      <c r="E3400" s="15"/>
      <c r="F3400" s="11">
        <f t="shared" si="27"/>
      </c>
      <c r="G3400" s="22" cm="1">
        <f t="array" ref="G3400">IF(AND(Inputs!$C$60,Inputs!$C$61),INDEX(Utility_Rates!$C$29:$F$52,HOUR(C3400)+Inputs!$C$69,MATCH(INDEX(Utility_Rates!$K$6:$K$17,MONTH(C3400))&amp;IF(WEEKDAY(C3400,Inputs!$C$76)&lt;=Inputs!$C$74," weekday"," weekend"),Utility_Rates!$C$28:$F$28,Inputs!$C$68)),"")</f>
      </c>
      <c r="H3400" s="34"/>
      <c r="I3400" s="42">
        <f>IF(AND(ISNUMBER(D3400),ISNUMBER(H3400)),D3400*H3400*Inputs!$C$69,"")</f>
      </c>
      <c r="J3400" s="42">
        <f>IF(AND(ISNUMBER(F3400),ISNUMBER(H3400),F3400&gt;=Inputs!$C$68),F3400*H3400*Inputs!$C$69,"")</f>
      </c>
    </row>
    <row r="3401" spans="2:10" ht="15" customHeight="1" x14ac:dyDescent="0.2">
      <c r="B3401" s="39">
        <f t="shared" si="26"/>
      </c>
      <c r="C3401" s="40">
        <f>IF(Inputs!$C$60,Inputs!$C$11+(B3401-Inputs!$C$69)/Inputs!$C$70,"")</f>
      </c>
      <c r="D3401" s="15"/>
      <c r="E3401" s="15"/>
      <c r="F3401" s="11">
        <f t="shared" si="27"/>
      </c>
      <c r="G3401" s="22" cm="1">
        <f t="array" ref="G3401">IF(AND(Inputs!$C$60,Inputs!$C$61),INDEX(Utility_Rates!$C$29:$F$52,HOUR(C3401)+Inputs!$C$69,MATCH(INDEX(Utility_Rates!$K$6:$K$17,MONTH(C3401))&amp;IF(WEEKDAY(C3401,Inputs!$C$76)&lt;=Inputs!$C$74," weekday"," weekend"),Utility_Rates!$C$28:$F$28,Inputs!$C$68)),"")</f>
      </c>
      <c r="H3401" s="34"/>
      <c r="I3401" s="42">
        <f>IF(AND(ISNUMBER(D3401),ISNUMBER(H3401)),D3401*H3401*Inputs!$C$69,"")</f>
      </c>
      <c r="J3401" s="42">
        <f>IF(AND(ISNUMBER(F3401),ISNUMBER(H3401),F3401&gt;=Inputs!$C$68),F3401*H3401*Inputs!$C$69,"")</f>
      </c>
    </row>
    <row r="3402" spans="2:10" ht="15" customHeight="1" x14ac:dyDescent="0.2">
      <c r="B3402" s="39">
        <f t="shared" si="26"/>
      </c>
      <c r="C3402" s="40">
        <f>IF(Inputs!$C$60,Inputs!$C$11+(B3402-Inputs!$C$69)/Inputs!$C$70,"")</f>
      </c>
      <c r="D3402" s="15"/>
      <c r="E3402" s="15"/>
      <c r="F3402" s="11">
        <f t="shared" si="27"/>
      </c>
      <c r="G3402" s="22" cm="1">
        <f t="array" ref="G3402">IF(AND(Inputs!$C$60,Inputs!$C$61),INDEX(Utility_Rates!$C$29:$F$52,HOUR(C3402)+Inputs!$C$69,MATCH(INDEX(Utility_Rates!$K$6:$K$17,MONTH(C3402))&amp;IF(WEEKDAY(C3402,Inputs!$C$76)&lt;=Inputs!$C$74," weekday"," weekend"),Utility_Rates!$C$28:$F$28,Inputs!$C$68)),"")</f>
      </c>
      <c r="H3402" s="34"/>
      <c r="I3402" s="42">
        <f>IF(AND(ISNUMBER(D3402),ISNUMBER(H3402)),D3402*H3402*Inputs!$C$69,"")</f>
      </c>
      <c r="J3402" s="42">
        <f>IF(AND(ISNUMBER(F3402),ISNUMBER(H3402),F3402&gt;=Inputs!$C$68),F3402*H3402*Inputs!$C$69,"")</f>
      </c>
    </row>
    <row r="3403" spans="2:10" ht="15" customHeight="1" x14ac:dyDescent="0.2">
      <c r="B3403" s="39">
        <f t="shared" si="26"/>
      </c>
      <c r="C3403" s="40">
        <f>IF(Inputs!$C$60,Inputs!$C$11+(B3403-Inputs!$C$69)/Inputs!$C$70,"")</f>
      </c>
      <c r="D3403" s="15"/>
      <c r="E3403" s="15"/>
      <c r="F3403" s="11">
        <f t="shared" si="27"/>
      </c>
      <c r="G3403" s="22" cm="1">
        <f t="array" ref="G3403">IF(AND(Inputs!$C$60,Inputs!$C$61),INDEX(Utility_Rates!$C$29:$F$52,HOUR(C3403)+Inputs!$C$69,MATCH(INDEX(Utility_Rates!$K$6:$K$17,MONTH(C3403))&amp;IF(WEEKDAY(C3403,Inputs!$C$76)&lt;=Inputs!$C$74," weekday"," weekend"),Utility_Rates!$C$28:$F$28,Inputs!$C$68)),"")</f>
      </c>
      <c r="H3403" s="34"/>
      <c r="I3403" s="42">
        <f>IF(AND(ISNUMBER(D3403),ISNUMBER(H3403)),D3403*H3403*Inputs!$C$69,"")</f>
      </c>
      <c r="J3403" s="42">
        <f>IF(AND(ISNUMBER(F3403),ISNUMBER(H3403),F3403&gt;=Inputs!$C$68),F3403*H3403*Inputs!$C$69,"")</f>
      </c>
    </row>
    <row r="3404" spans="2:10" ht="15" customHeight="1" x14ac:dyDescent="0.2">
      <c r="B3404" s="39">
        <f t="shared" si="26"/>
      </c>
      <c r="C3404" s="40">
        <f>IF(Inputs!$C$60,Inputs!$C$11+(B3404-Inputs!$C$69)/Inputs!$C$70,"")</f>
      </c>
      <c r="D3404" s="15"/>
      <c r="E3404" s="15"/>
      <c r="F3404" s="11">
        <f t="shared" si="27"/>
      </c>
      <c r="G3404" s="22" cm="1">
        <f t="array" ref="G3404">IF(AND(Inputs!$C$60,Inputs!$C$61),INDEX(Utility_Rates!$C$29:$F$52,HOUR(C3404)+Inputs!$C$69,MATCH(INDEX(Utility_Rates!$K$6:$K$17,MONTH(C3404))&amp;IF(WEEKDAY(C3404,Inputs!$C$76)&lt;=Inputs!$C$74," weekday"," weekend"),Utility_Rates!$C$28:$F$28,Inputs!$C$68)),"")</f>
      </c>
      <c r="H3404" s="34"/>
      <c r="I3404" s="42">
        <f>IF(AND(ISNUMBER(D3404),ISNUMBER(H3404)),D3404*H3404*Inputs!$C$69,"")</f>
      </c>
      <c r="J3404" s="42">
        <f>IF(AND(ISNUMBER(F3404),ISNUMBER(H3404),F3404&gt;=Inputs!$C$68),F3404*H3404*Inputs!$C$69,"")</f>
      </c>
    </row>
    <row r="3405" spans="2:10" ht="15" customHeight="1" x14ac:dyDescent="0.2">
      <c r="B3405" s="39">
        <f t="shared" si="26"/>
      </c>
      <c r="C3405" s="40">
        <f>IF(Inputs!$C$60,Inputs!$C$11+(B3405-Inputs!$C$69)/Inputs!$C$70,"")</f>
      </c>
      <c r="D3405" s="15"/>
      <c r="E3405" s="15"/>
      <c r="F3405" s="11">
        <f t="shared" si="27"/>
      </c>
      <c r="G3405" s="22" cm="1">
        <f t="array" ref="G3405">IF(AND(Inputs!$C$60,Inputs!$C$61),INDEX(Utility_Rates!$C$29:$F$52,HOUR(C3405)+Inputs!$C$69,MATCH(INDEX(Utility_Rates!$K$6:$K$17,MONTH(C3405))&amp;IF(WEEKDAY(C3405,Inputs!$C$76)&lt;=Inputs!$C$74," weekday"," weekend"),Utility_Rates!$C$28:$F$28,Inputs!$C$68)),"")</f>
      </c>
      <c r="H3405" s="34"/>
      <c r="I3405" s="42">
        <f>IF(AND(ISNUMBER(D3405),ISNUMBER(H3405)),D3405*H3405*Inputs!$C$69,"")</f>
      </c>
      <c r="J3405" s="42">
        <f>IF(AND(ISNUMBER(F3405),ISNUMBER(H3405),F3405&gt;=Inputs!$C$68),F3405*H3405*Inputs!$C$69,"")</f>
      </c>
    </row>
    <row r="3406" spans="2:10" ht="15" customHeight="1" x14ac:dyDescent="0.2">
      <c r="B3406" s="39">
        <f t="shared" si="26"/>
      </c>
      <c r="C3406" s="40">
        <f>IF(Inputs!$C$60,Inputs!$C$11+(B3406-Inputs!$C$69)/Inputs!$C$70,"")</f>
      </c>
      <c r="D3406" s="15"/>
      <c r="E3406" s="15"/>
      <c r="F3406" s="11">
        <f t="shared" si="27"/>
      </c>
      <c r="G3406" s="22" cm="1">
        <f t="array" ref="G3406">IF(AND(Inputs!$C$60,Inputs!$C$61),INDEX(Utility_Rates!$C$29:$F$52,HOUR(C3406)+Inputs!$C$69,MATCH(INDEX(Utility_Rates!$K$6:$K$17,MONTH(C3406))&amp;IF(WEEKDAY(C3406,Inputs!$C$76)&lt;=Inputs!$C$74," weekday"," weekend"),Utility_Rates!$C$28:$F$28,Inputs!$C$68)),"")</f>
      </c>
      <c r="H3406" s="34"/>
      <c r="I3406" s="42">
        <f>IF(AND(ISNUMBER(D3406),ISNUMBER(H3406)),D3406*H3406*Inputs!$C$69,"")</f>
      </c>
      <c r="J3406" s="42">
        <f>IF(AND(ISNUMBER(F3406),ISNUMBER(H3406),F3406&gt;=Inputs!$C$68),F3406*H3406*Inputs!$C$69,"")</f>
      </c>
    </row>
    <row r="3407" spans="2:10" ht="15" customHeight="1" x14ac:dyDescent="0.2">
      <c r="B3407" s="39">
        <f t="shared" si="26"/>
      </c>
      <c r="C3407" s="40">
        <f>IF(Inputs!$C$60,Inputs!$C$11+(B3407-Inputs!$C$69)/Inputs!$C$70,"")</f>
      </c>
      <c r="D3407" s="15"/>
      <c r="E3407" s="15"/>
      <c r="F3407" s="11">
        <f t="shared" si="27"/>
      </c>
      <c r="G3407" s="22" cm="1">
        <f t="array" ref="G3407">IF(AND(Inputs!$C$60,Inputs!$C$61),INDEX(Utility_Rates!$C$29:$F$52,HOUR(C3407)+Inputs!$C$69,MATCH(INDEX(Utility_Rates!$K$6:$K$17,MONTH(C3407))&amp;IF(WEEKDAY(C3407,Inputs!$C$76)&lt;=Inputs!$C$74," weekday"," weekend"),Utility_Rates!$C$28:$F$28,Inputs!$C$68)),"")</f>
      </c>
      <c r="H3407" s="34"/>
      <c r="I3407" s="42">
        <f>IF(AND(ISNUMBER(D3407),ISNUMBER(H3407)),D3407*H3407*Inputs!$C$69,"")</f>
      </c>
      <c r="J3407" s="42">
        <f>IF(AND(ISNUMBER(F3407),ISNUMBER(H3407),F3407&gt;=Inputs!$C$68),F3407*H3407*Inputs!$C$69,"")</f>
      </c>
    </row>
    <row r="3408" spans="2:10" ht="15" customHeight="1" x14ac:dyDescent="0.2">
      <c r="B3408" s="39">
        <f t="shared" si="26"/>
      </c>
      <c r="C3408" s="40">
        <f>IF(Inputs!$C$60,Inputs!$C$11+(B3408-Inputs!$C$69)/Inputs!$C$70,"")</f>
      </c>
      <c r="D3408" s="15"/>
      <c r="E3408" s="15"/>
      <c r="F3408" s="11">
        <f t="shared" si="27"/>
      </c>
      <c r="G3408" s="22" cm="1">
        <f t="array" ref="G3408">IF(AND(Inputs!$C$60,Inputs!$C$61),INDEX(Utility_Rates!$C$29:$F$52,HOUR(C3408)+Inputs!$C$69,MATCH(INDEX(Utility_Rates!$K$6:$K$17,MONTH(C3408))&amp;IF(WEEKDAY(C3408,Inputs!$C$76)&lt;=Inputs!$C$74," weekday"," weekend"),Utility_Rates!$C$28:$F$28,Inputs!$C$68)),"")</f>
      </c>
      <c r="H3408" s="34"/>
      <c r="I3408" s="42">
        <f>IF(AND(ISNUMBER(D3408),ISNUMBER(H3408)),D3408*H3408*Inputs!$C$69,"")</f>
      </c>
      <c r="J3408" s="42">
        <f>IF(AND(ISNUMBER(F3408),ISNUMBER(H3408),F3408&gt;=Inputs!$C$68),F3408*H3408*Inputs!$C$69,"")</f>
      </c>
    </row>
    <row r="3409" spans="2:10" ht="15" customHeight="1" x14ac:dyDescent="0.2">
      <c r="B3409" s="39">
        <f t="shared" si="26"/>
      </c>
      <c r="C3409" s="40">
        <f>IF(Inputs!$C$60,Inputs!$C$11+(B3409-Inputs!$C$69)/Inputs!$C$70,"")</f>
      </c>
      <c r="D3409" s="15"/>
      <c r="E3409" s="15"/>
      <c r="F3409" s="11">
        <f t="shared" si="27"/>
      </c>
      <c r="G3409" s="22" cm="1">
        <f t="array" ref="G3409">IF(AND(Inputs!$C$60,Inputs!$C$61),INDEX(Utility_Rates!$C$29:$F$52,HOUR(C3409)+Inputs!$C$69,MATCH(INDEX(Utility_Rates!$K$6:$K$17,MONTH(C3409))&amp;IF(WEEKDAY(C3409,Inputs!$C$76)&lt;=Inputs!$C$74," weekday"," weekend"),Utility_Rates!$C$28:$F$28,Inputs!$C$68)),"")</f>
      </c>
      <c r="H3409" s="34"/>
      <c r="I3409" s="42">
        <f>IF(AND(ISNUMBER(D3409),ISNUMBER(H3409)),D3409*H3409*Inputs!$C$69,"")</f>
      </c>
      <c r="J3409" s="42">
        <f>IF(AND(ISNUMBER(F3409),ISNUMBER(H3409),F3409&gt;=Inputs!$C$68),F3409*H3409*Inputs!$C$69,"")</f>
      </c>
    </row>
    <row r="3410" spans="2:10" ht="15" customHeight="1" x14ac:dyDescent="0.2">
      <c r="B3410" s="39">
        <f t="shared" si="26"/>
      </c>
      <c r="C3410" s="40">
        <f>IF(Inputs!$C$60,Inputs!$C$11+(B3410-Inputs!$C$69)/Inputs!$C$70,"")</f>
      </c>
      <c r="D3410" s="15"/>
      <c r="E3410" s="15"/>
      <c r="F3410" s="11">
        <f t="shared" si="27"/>
      </c>
      <c r="G3410" s="22" cm="1">
        <f t="array" ref="G3410">IF(AND(Inputs!$C$60,Inputs!$C$61),INDEX(Utility_Rates!$C$29:$F$52,HOUR(C3410)+Inputs!$C$69,MATCH(INDEX(Utility_Rates!$K$6:$K$17,MONTH(C3410))&amp;IF(WEEKDAY(C3410,Inputs!$C$76)&lt;=Inputs!$C$74," weekday"," weekend"),Utility_Rates!$C$28:$F$28,Inputs!$C$68)),"")</f>
      </c>
      <c r="H3410" s="34"/>
      <c r="I3410" s="42">
        <f>IF(AND(ISNUMBER(D3410),ISNUMBER(H3410)),D3410*H3410*Inputs!$C$69,"")</f>
      </c>
      <c r="J3410" s="42">
        <f>IF(AND(ISNUMBER(F3410),ISNUMBER(H3410),F3410&gt;=Inputs!$C$68),F3410*H3410*Inputs!$C$69,"")</f>
      </c>
    </row>
    <row r="3411" spans="2:10" ht="15" customHeight="1" x14ac:dyDescent="0.2">
      <c r="B3411" s="39">
        <f t="shared" si="26"/>
      </c>
      <c r="C3411" s="40">
        <f>IF(Inputs!$C$60,Inputs!$C$11+(B3411-Inputs!$C$69)/Inputs!$C$70,"")</f>
      </c>
      <c r="D3411" s="15"/>
      <c r="E3411" s="15"/>
      <c r="F3411" s="11">
        <f t="shared" si="27"/>
      </c>
      <c r="G3411" s="22" cm="1">
        <f t="array" ref="G3411">IF(AND(Inputs!$C$60,Inputs!$C$61),INDEX(Utility_Rates!$C$29:$F$52,HOUR(C3411)+Inputs!$C$69,MATCH(INDEX(Utility_Rates!$K$6:$K$17,MONTH(C3411))&amp;IF(WEEKDAY(C3411,Inputs!$C$76)&lt;=Inputs!$C$74," weekday"," weekend"),Utility_Rates!$C$28:$F$28,Inputs!$C$68)),"")</f>
      </c>
      <c r="H3411" s="34"/>
      <c r="I3411" s="42">
        <f>IF(AND(ISNUMBER(D3411),ISNUMBER(H3411)),D3411*H3411*Inputs!$C$69,"")</f>
      </c>
      <c r="J3411" s="42">
        <f>IF(AND(ISNUMBER(F3411),ISNUMBER(H3411),F3411&gt;=Inputs!$C$68),F3411*H3411*Inputs!$C$69,"")</f>
      </c>
    </row>
    <row r="3412" spans="2:10" ht="15" customHeight="1" x14ac:dyDescent="0.2">
      <c r="B3412" s="39">
        <f t="shared" si="26"/>
      </c>
      <c r="C3412" s="40">
        <f>IF(Inputs!$C$60,Inputs!$C$11+(B3412-Inputs!$C$69)/Inputs!$C$70,"")</f>
      </c>
      <c r="D3412" s="15"/>
      <c r="E3412" s="15"/>
      <c r="F3412" s="11">
        <f t="shared" si="27"/>
      </c>
      <c r="G3412" s="22" cm="1">
        <f t="array" ref="G3412">IF(AND(Inputs!$C$60,Inputs!$C$61),INDEX(Utility_Rates!$C$29:$F$52,HOUR(C3412)+Inputs!$C$69,MATCH(INDEX(Utility_Rates!$K$6:$K$17,MONTH(C3412))&amp;IF(WEEKDAY(C3412,Inputs!$C$76)&lt;=Inputs!$C$74," weekday"," weekend"),Utility_Rates!$C$28:$F$28,Inputs!$C$68)),"")</f>
      </c>
      <c r="H3412" s="34"/>
      <c r="I3412" s="42">
        <f>IF(AND(ISNUMBER(D3412),ISNUMBER(H3412)),D3412*H3412*Inputs!$C$69,"")</f>
      </c>
      <c r="J3412" s="42">
        <f>IF(AND(ISNUMBER(F3412),ISNUMBER(H3412),F3412&gt;=Inputs!$C$68),F3412*H3412*Inputs!$C$69,"")</f>
      </c>
    </row>
    <row r="3413" spans="2:10" ht="15" customHeight="1" x14ac:dyDescent="0.2">
      <c r="B3413" s="39">
        <f t="shared" si="26"/>
      </c>
      <c r="C3413" s="40">
        <f>IF(Inputs!$C$60,Inputs!$C$11+(B3413-Inputs!$C$69)/Inputs!$C$70,"")</f>
      </c>
      <c r="D3413" s="15"/>
      <c r="E3413" s="15"/>
      <c r="F3413" s="11">
        <f t="shared" si="27"/>
      </c>
      <c r="G3413" s="22" cm="1">
        <f t="array" ref="G3413">IF(AND(Inputs!$C$60,Inputs!$C$61),INDEX(Utility_Rates!$C$29:$F$52,HOUR(C3413)+Inputs!$C$69,MATCH(INDEX(Utility_Rates!$K$6:$K$17,MONTH(C3413))&amp;IF(WEEKDAY(C3413,Inputs!$C$76)&lt;=Inputs!$C$74," weekday"," weekend"),Utility_Rates!$C$28:$F$28,Inputs!$C$68)),"")</f>
      </c>
      <c r="H3413" s="34"/>
      <c r="I3413" s="42">
        <f>IF(AND(ISNUMBER(D3413),ISNUMBER(H3413)),D3413*H3413*Inputs!$C$69,"")</f>
      </c>
      <c r="J3413" s="42">
        <f>IF(AND(ISNUMBER(F3413),ISNUMBER(H3413),F3413&gt;=Inputs!$C$68),F3413*H3413*Inputs!$C$69,"")</f>
      </c>
    </row>
    <row r="3414" spans="2:10" ht="15" customHeight="1" x14ac:dyDescent="0.2">
      <c r="B3414" s="39">
        <f t="shared" si="26"/>
      </c>
      <c r="C3414" s="40">
        <f>IF(Inputs!$C$60,Inputs!$C$11+(B3414-Inputs!$C$69)/Inputs!$C$70,"")</f>
      </c>
      <c r="D3414" s="15"/>
      <c r="E3414" s="15"/>
      <c r="F3414" s="11">
        <f t="shared" si="27"/>
      </c>
      <c r="G3414" s="22" cm="1">
        <f t="array" ref="G3414">IF(AND(Inputs!$C$60,Inputs!$C$61),INDEX(Utility_Rates!$C$29:$F$52,HOUR(C3414)+Inputs!$C$69,MATCH(INDEX(Utility_Rates!$K$6:$K$17,MONTH(C3414))&amp;IF(WEEKDAY(C3414,Inputs!$C$76)&lt;=Inputs!$C$74," weekday"," weekend"),Utility_Rates!$C$28:$F$28,Inputs!$C$68)),"")</f>
      </c>
      <c r="H3414" s="34"/>
      <c r="I3414" s="42">
        <f>IF(AND(ISNUMBER(D3414),ISNUMBER(H3414)),D3414*H3414*Inputs!$C$69,"")</f>
      </c>
      <c r="J3414" s="42">
        <f>IF(AND(ISNUMBER(F3414),ISNUMBER(H3414),F3414&gt;=Inputs!$C$68),F3414*H3414*Inputs!$C$69,"")</f>
      </c>
    </row>
    <row r="3415" spans="2:10" ht="15" customHeight="1" x14ac:dyDescent="0.2">
      <c r="B3415" s="39">
        <f t="shared" si="26"/>
      </c>
      <c r="C3415" s="40">
        <f>IF(Inputs!$C$60,Inputs!$C$11+(B3415-Inputs!$C$69)/Inputs!$C$70,"")</f>
      </c>
      <c r="D3415" s="15"/>
      <c r="E3415" s="15"/>
      <c r="F3415" s="11">
        <f t="shared" si="27"/>
      </c>
      <c r="G3415" s="22" cm="1">
        <f t="array" ref="G3415">IF(AND(Inputs!$C$60,Inputs!$C$61),INDEX(Utility_Rates!$C$29:$F$52,HOUR(C3415)+Inputs!$C$69,MATCH(INDEX(Utility_Rates!$K$6:$K$17,MONTH(C3415))&amp;IF(WEEKDAY(C3415,Inputs!$C$76)&lt;=Inputs!$C$74," weekday"," weekend"),Utility_Rates!$C$28:$F$28,Inputs!$C$68)),"")</f>
      </c>
      <c r="H3415" s="34"/>
      <c r="I3415" s="42">
        <f>IF(AND(ISNUMBER(D3415),ISNUMBER(H3415)),D3415*H3415*Inputs!$C$69,"")</f>
      </c>
      <c r="J3415" s="42">
        <f>IF(AND(ISNUMBER(F3415),ISNUMBER(H3415),F3415&gt;=Inputs!$C$68),F3415*H3415*Inputs!$C$69,"")</f>
      </c>
    </row>
    <row r="3416" spans="2:10" ht="15" customHeight="1" x14ac:dyDescent="0.2">
      <c r="B3416" s="39">
        <f t="shared" si="26"/>
      </c>
      <c r="C3416" s="40">
        <f>IF(Inputs!$C$60,Inputs!$C$11+(B3416-Inputs!$C$69)/Inputs!$C$70,"")</f>
      </c>
      <c r="D3416" s="15"/>
      <c r="E3416" s="15"/>
      <c r="F3416" s="11">
        <f t="shared" si="27"/>
      </c>
      <c r="G3416" s="22" cm="1">
        <f t="array" ref="G3416">IF(AND(Inputs!$C$60,Inputs!$C$61),INDEX(Utility_Rates!$C$29:$F$52,HOUR(C3416)+Inputs!$C$69,MATCH(INDEX(Utility_Rates!$K$6:$K$17,MONTH(C3416))&amp;IF(WEEKDAY(C3416,Inputs!$C$76)&lt;=Inputs!$C$74," weekday"," weekend"),Utility_Rates!$C$28:$F$28,Inputs!$C$68)),"")</f>
      </c>
      <c r="H3416" s="34"/>
      <c r="I3416" s="42">
        <f>IF(AND(ISNUMBER(D3416),ISNUMBER(H3416)),D3416*H3416*Inputs!$C$69,"")</f>
      </c>
      <c r="J3416" s="42">
        <f>IF(AND(ISNUMBER(F3416),ISNUMBER(H3416),F3416&gt;=Inputs!$C$68),F3416*H3416*Inputs!$C$69,"")</f>
      </c>
    </row>
    <row r="3417" spans="2:10" ht="15" customHeight="1" x14ac:dyDescent="0.2">
      <c r="B3417" s="39">
        <f t="shared" si="26"/>
      </c>
      <c r="C3417" s="40">
        <f>IF(Inputs!$C$60,Inputs!$C$11+(B3417-Inputs!$C$69)/Inputs!$C$70,"")</f>
      </c>
      <c r="D3417" s="15"/>
      <c r="E3417" s="15"/>
      <c r="F3417" s="11">
        <f t="shared" si="27"/>
      </c>
      <c r="G3417" s="22" cm="1">
        <f t="array" ref="G3417">IF(AND(Inputs!$C$60,Inputs!$C$61),INDEX(Utility_Rates!$C$29:$F$52,HOUR(C3417)+Inputs!$C$69,MATCH(INDEX(Utility_Rates!$K$6:$K$17,MONTH(C3417))&amp;IF(WEEKDAY(C3417,Inputs!$C$76)&lt;=Inputs!$C$74," weekday"," weekend"),Utility_Rates!$C$28:$F$28,Inputs!$C$68)),"")</f>
      </c>
      <c r="H3417" s="34"/>
      <c r="I3417" s="42">
        <f>IF(AND(ISNUMBER(D3417),ISNUMBER(H3417)),D3417*H3417*Inputs!$C$69,"")</f>
      </c>
      <c r="J3417" s="42">
        <f>IF(AND(ISNUMBER(F3417),ISNUMBER(H3417),F3417&gt;=Inputs!$C$68),F3417*H3417*Inputs!$C$69,"")</f>
      </c>
    </row>
    <row r="3418" spans="2:10" ht="15" customHeight="1" x14ac:dyDescent="0.2">
      <c r="B3418" s="39">
        <f t="shared" si="26"/>
      </c>
      <c r="C3418" s="40">
        <f>IF(Inputs!$C$60,Inputs!$C$11+(B3418-Inputs!$C$69)/Inputs!$C$70,"")</f>
      </c>
      <c r="D3418" s="15"/>
      <c r="E3418" s="15"/>
      <c r="F3418" s="11">
        <f t="shared" si="27"/>
      </c>
      <c r="G3418" s="22" cm="1">
        <f t="array" ref="G3418">IF(AND(Inputs!$C$60,Inputs!$C$61),INDEX(Utility_Rates!$C$29:$F$52,HOUR(C3418)+Inputs!$C$69,MATCH(INDEX(Utility_Rates!$K$6:$K$17,MONTH(C3418))&amp;IF(WEEKDAY(C3418,Inputs!$C$76)&lt;=Inputs!$C$74," weekday"," weekend"),Utility_Rates!$C$28:$F$28,Inputs!$C$68)),"")</f>
      </c>
      <c r="H3418" s="34"/>
      <c r="I3418" s="42">
        <f>IF(AND(ISNUMBER(D3418),ISNUMBER(H3418)),D3418*H3418*Inputs!$C$69,"")</f>
      </c>
      <c r="J3418" s="42">
        <f>IF(AND(ISNUMBER(F3418),ISNUMBER(H3418),F3418&gt;=Inputs!$C$68),F3418*H3418*Inputs!$C$69,"")</f>
      </c>
    </row>
    <row r="3419" spans="2:10" ht="15" customHeight="1" x14ac:dyDescent="0.2">
      <c r="B3419" s="39">
        <f t="shared" si="26"/>
      </c>
      <c r="C3419" s="40">
        <f>IF(Inputs!$C$60,Inputs!$C$11+(B3419-Inputs!$C$69)/Inputs!$C$70,"")</f>
      </c>
      <c r="D3419" s="15"/>
      <c r="E3419" s="15"/>
      <c r="F3419" s="11">
        <f t="shared" si="27"/>
      </c>
      <c r="G3419" s="22" cm="1">
        <f t="array" ref="G3419">IF(AND(Inputs!$C$60,Inputs!$C$61),INDEX(Utility_Rates!$C$29:$F$52,HOUR(C3419)+Inputs!$C$69,MATCH(INDEX(Utility_Rates!$K$6:$K$17,MONTH(C3419))&amp;IF(WEEKDAY(C3419,Inputs!$C$76)&lt;=Inputs!$C$74," weekday"," weekend"),Utility_Rates!$C$28:$F$28,Inputs!$C$68)),"")</f>
      </c>
      <c r="H3419" s="34"/>
      <c r="I3419" s="42">
        <f>IF(AND(ISNUMBER(D3419),ISNUMBER(H3419)),D3419*H3419*Inputs!$C$69,"")</f>
      </c>
      <c r="J3419" s="42">
        <f>IF(AND(ISNUMBER(F3419),ISNUMBER(H3419),F3419&gt;=Inputs!$C$68),F3419*H3419*Inputs!$C$69,"")</f>
      </c>
    </row>
    <row r="3420" spans="2:10" ht="15" customHeight="1" x14ac:dyDescent="0.2">
      <c r="B3420" s="39">
        <f t="shared" si="26"/>
      </c>
      <c r="C3420" s="40">
        <f>IF(Inputs!$C$60,Inputs!$C$11+(B3420-Inputs!$C$69)/Inputs!$C$70,"")</f>
      </c>
      <c r="D3420" s="15"/>
      <c r="E3420" s="15"/>
      <c r="F3420" s="11">
        <f t="shared" si="27"/>
      </c>
      <c r="G3420" s="22" cm="1">
        <f t="array" ref="G3420">IF(AND(Inputs!$C$60,Inputs!$C$61),INDEX(Utility_Rates!$C$29:$F$52,HOUR(C3420)+Inputs!$C$69,MATCH(INDEX(Utility_Rates!$K$6:$K$17,MONTH(C3420))&amp;IF(WEEKDAY(C3420,Inputs!$C$76)&lt;=Inputs!$C$74," weekday"," weekend"),Utility_Rates!$C$28:$F$28,Inputs!$C$68)),"")</f>
      </c>
      <c r="H3420" s="34"/>
      <c r="I3420" s="42">
        <f>IF(AND(ISNUMBER(D3420),ISNUMBER(H3420)),D3420*H3420*Inputs!$C$69,"")</f>
      </c>
      <c r="J3420" s="42">
        <f>IF(AND(ISNUMBER(F3420),ISNUMBER(H3420),F3420&gt;=Inputs!$C$68),F3420*H3420*Inputs!$C$69,"")</f>
      </c>
    </row>
    <row r="3421" spans="2:10" ht="15" customHeight="1" x14ac:dyDescent="0.2">
      <c r="B3421" s="39">
        <f t="shared" si="26"/>
      </c>
      <c r="C3421" s="40">
        <f>IF(Inputs!$C$60,Inputs!$C$11+(B3421-Inputs!$C$69)/Inputs!$C$70,"")</f>
      </c>
      <c r="D3421" s="15"/>
      <c r="E3421" s="15"/>
      <c r="F3421" s="11">
        <f t="shared" si="27"/>
      </c>
      <c r="G3421" s="22" cm="1">
        <f t="array" ref="G3421">IF(AND(Inputs!$C$60,Inputs!$C$61),INDEX(Utility_Rates!$C$29:$F$52,HOUR(C3421)+Inputs!$C$69,MATCH(INDEX(Utility_Rates!$K$6:$K$17,MONTH(C3421))&amp;IF(WEEKDAY(C3421,Inputs!$C$76)&lt;=Inputs!$C$74," weekday"," weekend"),Utility_Rates!$C$28:$F$28,Inputs!$C$68)),"")</f>
      </c>
      <c r="H3421" s="34"/>
      <c r="I3421" s="42">
        <f>IF(AND(ISNUMBER(D3421),ISNUMBER(H3421)),D3421*H3421*Inputs!$C$69,"")</f>
      </c>
      <c r="J3421" s="42">
        <f>IF(AND(ISNUMBER(F3421),ISNUMBER(H3421),F3421&gt;=Inputs!$C$68),F3421*H3421*Inputs!$C$69,"")</f>
      </c>
    </row>
    <row r="3422" spans="2:10" ht="15" customHeight="1" x14ac:dyDescent="0.2">
      <c r="B3422" s="39">
        <f t="shared" si="26"/>
      </c>
      <c r="C3422" s="40">
        <f>IF(Inputs!$C$60,Inputs!$C$11+(B3422-Inputs!$C$69)/Inputs!$C$70,"")</f>
      </c>
      <c r="D3422" s="15"/>
      <c r="E3422" s="15"/>
      <c r="F3422" s="11">
        <f t="shared" si="27"/>
      </c>
      <c r="G3422" s="22" cm="1">
        <f t="array" ref="G3422">IF(AND(Inputs!$C$60,Inputs!$C$61),INDEX(Utility_Rates!$C$29:$F$52,HOUR(C3422)+Inputs!$C$69,MATCH(INDEX(Utility_Rates!$K$6:$K$17,MONTH(C3422))&amp;IF(WEEKDAY(C3422,Inputs!$C$76)&lt;=Inputs!$C$74," weekday"," weekend"),Utility_Rates!$C$28:$F$28,Inputs!$C$68)),"")</f>
      </c>
      <c r="H3422" s="34"/>
      <c r="I3422" s="42">
        <f>IF(AND(ISNUMBER(D3422),ISNUMBER(H3422)),D3422*H3422*Inputs!$C$69,"")</f>
      </c>
      <c r="J3422" s="42">
        <f>IF(AND(ISNUMBER(F3422),ISNUMBER(H3422),F3422&gt;=Inputs!$C$68),F3422*H3422*Inputs!$C$69,"")</f>
      </c>
    </row>
    <row r="3423" spans="2:10" ht="15" customHeight="1" x14ac:dyDescent="0.2">
      <c r="B3423" s="39">
        <f t="shared" si="26"/>
      </c>
      <c r="C3423" s="40">
        <f>IF(Inputs!$C$60,Inputs!$C$11+(B3423-Inputs!$C$69)/Inputs!$C$70,"")</f>
      </c>
      <c r="D3423" s="15"/>
      <c r="E3423" s="15"/>
      <c r="F3423" s="11">
        <f t="shared" si="27"/>
      </c>
      <c r="G3423" s="22" cm="1">
        <f t="array" ref="G3423">IF(AND(Inputs!$C$60,Inputs!$C$61),INDEX(Utility_Rates!$C$29:$F$52,HOUR(C3423)+Inputs!$C$69,MATCH(INDEX(Utility_Rates!$K$6:$K$17,MONTH(C3423))&amp;IF(WEEKDAY(C3423,Inputs!$C$76)&lt;=Inputs!$C$74," weekday"," weekend"),Utility_Rates!$C$28:$F$28,Inputs!$C$68)),"")</f>
      </c>
      <c r="H3423" s="34"/>
      <c r="I3423" s="42">
        <f>IF(AND(ISNUMBER(D3423),ISNUMBER(H3423)),D3423*H3423*Inputs!$C$69,"")</f>
      </c>
      <c r="J3423" s="42">
        <f>IF(AND(ISNUMBER(F3423),ISNUMBER(H3423),F3423&gt;=Inputs!$C$68),F3423*H3423*Inputs!$C$69,"")</f>
      </c>
    </row>
    <row r="3424" spans="2:10" ht="15" customHeight="1" x14ac:dyDescent="0.2">
      <c r="B3424" s="39">
        <f t="shared" si="26"/>
      </c>
      <c r="C3424" s="40">
        <f>IF(Inputs!$C$60,Inputs!$C$11+(B3424-Inputs!$C$69)/Inputs!$C$70,"")</f>
      </c>
      <c r="D3424" s="15"/>
      <c r="E3424" s="15"/>
      <c r="F3424" s="11">
        <f t="shared" si="27"/>
      </c>
      <c r="G3424" s="22" cm="1">
        <f t="array" ref="G3424">IF(AND(Inputs!$C$60,Inputs!$C$61),INDEX(Utility_Rates!$C$29:$F$52,HOUR(C3424)+Inputs!$C$69,MATCH(INDEX(Utility_Rates!$K$6:$K$17,MONTH(C3424))&amp;IF(WEEKDAY(C3424,Inputs!$C$76)&lt;=Inputs!$C$74," weekday"," weekend"),Utility_Rates!$C$28:$F$28,Inputs!$C$68)),"")</f>
      </c>
      <c r="H3424" s="34"/>
      <c r="I3424" s="42">
        <f>IF(AND(ISNUMBER(D3424),ISNUMBER(H3424)),D3424*H3424*Inputs!$C$69,"")</f>
      </c>
      <c r="J3424" s="42">
        <f>IF(AND(ISNUMBER(F3424),ISNUMBER(H3424),F3424&gt;=Inputs!$C$68),F3424*H3424*Inputs!$C$69,"")</f>
      </c>
    </row>
    <row r="3425" spans="2:10" ht="15" customHeight="1" x14ac:dyDescent="0.2">
      <c r="B3425" s="39">
        <f t="shared" si="26"/>
      </c>
      <c r="C3425" s="40">
        <f>IF(Inputs!$C$60,Inputs!$C$11+(B3425-Inputs!$C$69)/Inputs!$C$70,"")</f>
      </c>
      <c r="D3425" s="15"/>
      <c r="E3425" s="15"/>
      <c r="F3425" s="11">
        <f t="shared" si="27"/>
      </c>
      <c r="G3425" s="22" cm="1">
        <f t="array" ref="G3425">IF(AND(Inputs!$C$60,Inputs!$C$61),INDEX(Utility_Rates!$C$29:$F$52,HOUR(C3425)+Inputs!$C$69,MATCH(INDEX(Utility_Rates!$K$6:$K$17,MONTH(C3425))&amp;IF(WEEKDAY(C3425,Inputs!$C$76)&lt;=Inputs!$C$74," weekday"," weekend"),Utility_Rates!$C$28:$F$28,Inputs!$C$68)),"")</f>
      </c>
      <c r="H3425" s="34"/>
      <c r="I3425" s="42">
        <f>IF(AND(ISNUMBER(D3425),ISNUMBER(H3425)),D3425*H3425*Inputs!$C$69,"")</f>
      </c>
      <c r="J3425" s="42">
        <f>IF(AND(ISNUMBER(F3425),ISNUMBER(H3425),F3425&gt;=Inputs!$C$68),F3425*H3425*Inputs!$C$69,"")</f>
      </c>
    </row>
    <row r="3426" spans="2:10" ht="15" customHeight="1" x14ac:dyDescent="0.2">
      <c r="B3426" s="39">
        <f t="shared" si="26"/>
      </c>
      <c r="C3426" s="40">
        <f>IF(Inputs!$C$60,Inputs!$C$11+(B3426-Inputs!$C$69)/Inputs!$C$70,"")</f>
      </c>
      <c r="D3426" s="15"/>
      <c r="E3426" s="15"/>
      <c r="F3426" s="11">
        <f t="shared" si="27"/>
      </c>
      <c r="G3426" s="22" cm="1">
        <f t="array" ref="G3426">IF(AND(Inputs!$C$60,Inputs!$C$61),INDEX(Utility_Rates!$C$29:$F$52,HOUR(C3426)+Inputs!$C$69,MATCH(INDEX(Utility_Rates!$K$6:$K$17,MONTH(C3426))&amp;IF(WEEKDAY(C3426,Inputs!$C$76)&lt;=Inputs!$C$74," weekday"," weekend"),Utility_Rates!$C$28:$F$28,Inputs!$C$68)),"")</f>
      </c>
      <c r="H3426" s="34"/>
      <c r="I3426" s="42">
        <f>IF(AND(ISNUMBER(D3426),ISNUMBER(H3426)),D3426*H3426*Inputs!$C$69,"")</f>
      </c>
      <c r="J3426" s="42">
        <f>IF(AND(ISNUMBER(F3426),ISNUMBER(H3426),F3426&gt;=Inputs!$C$68),F3426*H3426*Inputs!$C$69,"")</f>
      </c>
    </row>
    <row r="3427" spans="2:10" ht="15" customHeight="1" x14ac:dyDescent="0.2">
      <c r="B3427" s="39">
        <f t="shared" si="26"/>
      </c>
      <c r="C3427" s="40">
        <f>IF(Inputs!$C$60,Inputs!$C$11+(B3427-Inputs!$C$69)/Inputs!$C$70,"")</f>
      </c>
      <c r="D3427" s="15"/>
      <c r="E3427" s="15"/>
      <c r="F3427" s="11">
        <f t="shared" si="27"/>
      </c>
      <c r="G3427" s="22" cm="1">
        <f t="array" ref="G3427">IF(AND(Inputs!$C$60,Inputs!$C$61),INDEX(Utility_Rates!$C$29:$F$52,HOUR(C3427)+Inputs!$C$69,MATCH(INDEX(Utility_Rates!$K$6:$K$17,MONTH(C3427))&amp;IF(WEEKDAY(C3427,Inputs!$C$76)&lt;=Inputs!$C$74," weekday"," weekend"),Utility_Rates!$C$28:$F$28,Inputs!$C$68)),"")</f>
      </c>
      <c r="H3427" s="34"/>
      <c r="I3427" s="42">
        <f>IF(AND(ISNUMBER(D3427),ISNUMBER(H3427)),D3427*H3427*Inputs!$C$69,"")</f>
      </c>
      <c r="J3427" s="42">
        <f>IF(AND(ISNUMBER(F3427),ISNUMBER(H3427),F3427&gt;=Inputs!$C$68),F3427*H3427*Inputs!$C$69,"")</f>
      </c>
    </row>
    <row r="3428" spans="2:10" ht="15" customHeight="1" x14ac:dyDescent="0.2">
      <c r="B3428" s="39">
        <f t="shared" si="26"/>
      </c>
      <c r="C3428" s="40">
        <f>IF(Inputs!$C$60,Inputs!$C$11+(B3428-Inputs!$C$69)/Inputs!$C$70,"")</f>
      </c>
      <c r="D3428" s="15"/>
      <c r="E3428" s="15"/>
      <c r="F3428" s="11">
        <f t="shared" si="27"/>
      </c>
      <c r="G3428" s="22" cm="1">
        <f t="array" ref="G3428">IF(AND(Inputs!$C$60,Inputs!$C$61),INDEX(Utility_Rates!$C$29:$F$52,HOUR(C3428)+Inputs!$C$69,MATCH(INDEX(Utility_Rates!$K$6:$K$17,MONTH(C3428))&amp;IF(WEEKDAY(C3428,Inputs!$C$76)&lt;=Inputs!$C$74," weekday"," weekend"),Utility_Rates!$C$28:$F$28,Inputs!$C$68)),"")</f>
      </c>
      <c r="H3428" s="34"/>
      <c r="I3428" s="42">
        <f>IF(AND(ISNUMBER(D3428),ISNUMBER(H3428)),D3428*H3428*Inputs!$C$69,"")</f>
      </c>
      <c r="J3428" s="42">
        <f>IF(AND(ISNUMBER(F3428),ISNUMBER(H3428),F3428&gt;=Inputs!$C$68),F3428*H3428*Inputs!$C$69,"")</f>
      </c>
    </row>
    <row r="3429" spans="2:10" ht="15" customHeight="1" x14ac:dyDescent="0.2">
      <c r="B3429" s="39">
        <f t="shared" si="26"/>
      </c>
      <c r="C3429" s="40">
        <f>IF(Inputs!$C$60,Inputs!$C$11+(B3429-Inputs!$C$69)/Inputs!$C$70,"")</f>
      </c>
      <c r="D3429" s="15"/>
      <c r="E3429" s="15"/>
      <c r="F3429" s="11">
        <f t="shared" si="27"/>
      </c>
      <c r="G3429" s="22" cm="1">
        <f t="array" ref="G3429">IF(AND(Inputs!$C$60,Inputs!$C$61),INDEX(Utility_Rates!$C$29:$F$52,HOUR(C3429)+Inputs!$C$69,MATCH(INDEX(Utility_Rates!$K$6:$K$17,MONTH(C3429))&amp;IF(WEEKDAY(C3429,Inputs!$C$76)&lt;=Inputs!$C$74," weekday"," weekend"),Utility_Rates!$C$28:$F$28,Inputs!$C$68)),"")</f>
      </c>
      <c r="H3429" s="34"/>
      <c r="I3429" s="42">
        <f>IF(AND(ISNUMBER(D3429),ISNUMBER(H3429)),D3429*H3429*Inputs!$C$69,"")</f>
      </c>
      <c r="J3429" s="42">
        <f>IF(AND(ISNUMBER(F3429),ISNUMBER(H3429),F3429&gt;=Inputs!$C$68),F3429*H3429*Inputs!$C$69,"")</f>
      </c>
    </row>
    <row r="3430" spans="2:10" ht="15" customHeight="1" x14ac:dyDescent="0.2">
      <c r="B3430" s="39">
        <f t="shared" si="26"/>
      </c>
      <c r="C3430" s="40">
        <f>IF(Inputs!$C$60,Inputs!$C$11+(B3430-Inputs!$C$69)/Inputs!$C$70,"")</f>
      </c>
      <c r="D3430" s="15"/>
      <c r="E3430" s="15"/>
      <c r="F3430" s="11">
        <f t="shared" si="27"/>
      </c>
      <c r="G3430" s="22" cm="1">
        <f t="array" ref="G3430">IF(AND(Inputs!$C$60,Inputs!$C$61),INDEX(Utility_Rates!$C$29:$F$52,HOUR(C3430)+Inputs!$C$69,MATCH(INDEX(Utility_Rates!$K$6:$K$17,MONTH(C3430))&amp;IF(WEEKDAY(C3430,Inputs!$C$76)&lt;=Inputs!$C$74," weekday"," weekend"),Utility_Rates!$C$28:$F$28,Inputs!$C$68)),"")</f>
      </c>
      <c r="H3430" s="34"/>
      <c r="I3430" s="42">
        <f>IF(AND(ISNUMBER(D3430),ISNUMBER(H3430)),D3430*H3430*Inputs!$C$69,"")</f>
      </c>
      <c r="J3430" s="42">
        <f>IF(AND(ISNUMBER(F3430),ISNUMBER(H3430),F3430&gt;=Inputs!$C$68),F3430*H3430*Inputs!$C$69,"")</f>
      </c>
    </row>
    <row r="3431" spans="2:10" ht="15" customHeight="1" x14ac:dyDescent="0.2">
      <c r="B3431" s="39">
        <f t="shared" si="26"/>
      </c>
      <c r="C3431" s="40">
        <f>IF(Inputs!$C$60,Inputs!$C$11+(B3431-Inputs!$C$69)/Inputs!$C$70,"")</f>
      </c>
      <c r="D3431" s="15"/>
      <c r="E3431" s="15"/>
      <c r="F3431" s="11">
        <f t="shared" si="27"/>
      </c>
      <c r="G3431" s="22" cm="1">
        <f t="array" ref="G3431">IF(AND(Inputs!$C$60,Inputs!$C$61),INDEX(Utility_Rates!$C$29:$F$52,HOUR(C3431)+Inputs!$C$69,MATCH(INDEX(Utility_Rates!$K$6:$K$17,MONTH(C3431))&amp;IF(WEEKDAY(C3431,Inputs!$C$76)&lt;=Inputs!$C$74," weekday"," weekend"),Utility_Rates!$C$28:$F$28,Inputs!$C$68)),"")</f>
      </c>
      <c r="H3431" s="34"/>
      <c r="I3431" s="42">
        <f>IF(AND(ISNUMBER(D3431),ISNUMBER(H3431)),D3431*H3431*Inputs!$C$69,"")</f>
      </c>
      <c r="J3431" s="42">
        <f>IF(AND(ISNUMBER(F3431),ISNUMBER(H3431),F3431&gt;=Inputs!$C$68),F3431*H3431*Inputs!$C$69,"")</f>
      </c>
    </row>
    <row r="3432" spans="2:10" ht="15" customHeight="1" x14ac:dyDescent="0.2">
      <c r="B3432" s="39">
        <f t="shared" si="26"/>
      </c>
      <c r="C3432" s="40">
        <f>IF(Inputs!$C$60,Inputs!$C$11+(B3432-Inputs!$C$69)/Inputs!$C$70,"")</f>
      </c>
      <c r="D3432" s="15"/>
      <c r="E3432" s="15"/>
      <c r="F3432" s="11">
        <f t="shared" si="27"/>
      </c>
      <c r="G3432" s="22" cm="1">
        <f t="array" ref="G3432">IF(AND(Inputs!$C$60,Inputs!$C$61),INDEX(Utility_Rates!$C$29:$F$52,HOUR(C3432)+Inputs!$C$69,MATCH(INDEX(Utility_Rates!$K$6:$K$17,MONTH(C3432))&amp;IF(WEEKDAY(C3432,Inputs!$C$76)&lt;=Inputs!$C$74," weekday"," weekend"),Utility_Rates!$C$28:$F$28,Inputs!$C$68)),"")</f>
      </c>
      <c r="H3432" s="34"/>
      <c r="I3432" s="42">
        <f>IF(AND(ISNUMBER(D3432),ISNUMBER(H3432)),D3432*H3432*Inputs!$C$69,"")</f>
      </c>
      <c r="J3432" s="42">
        <f>IF(AND(ISNUMBER(F3432),ISNUMBER(H3432),F3432&gt;=Inputs!$C$68),F3432*H3432*Inputs!$C$69,"")</f>
      </c>
    </row>
    <row r="3433" spans="2:10" ht="15" customHeight="1" x14ac:dyDescent="0.2">
      <c r="B3433" s="39">
        <f t="shared" si="26"/>
      </c>
      <c r="C3433" s="40">
        <f>IF(Inputs!$C$60,Inputs!$C$11+(B3433-Inputs!$C$69)/Inputs!$C$70,"")</f>
      </c>
      <c r="D3433" s="15"/>
      <c r="E3433" s="15"/>
      <c r="F3433" s="11">
        <f t="shared" si="27"/>
      </c>
      <c r="G3433" s="22" cm="1">
        <f t="array" ref="G3433">IF(AND(Inputs!$C$60,Inputs!$C$61),INDEX(Utility_Rates!$C$29:$F$52,HOUR(C3433)+Inputs!$C$69,MATCH(INDEX(Utility_Rates!$K$6:$K$17,MONTH(C3433))&amp;IF(WEEKDAY(C3433,Inputs!$C$76)&lt;=Inputs!$C$74," weekday"," weekend"),Utility_Rates!$C$28:$F$28,Inputs!$C$68)),"")</f>
      </c>
      <c r="H3433" s="34"/>
      <c r="I3433" s="42">
        <f>IF(AND(ISNUMBER(D3433),ISNUMBER(H3433)),D3433*H3433*Inputs!$C$69,"")</f>
      </c>
      <c r="J3433" s="42">
        <f>IF(AND(ISNUMBER(F3433),ISNUMBER(H3433),F3433&gt;=Inputs!$C$68),F3433*H3433*Inputs!$C$69,"")</f>
      </c>
    </row>
    <row r="3434" spans="2:10" ht="15" customHeight="1" x14ac:dyDescent="0.2">
      <c r="B3434" s="39">
        <f t="shared" si="26"/>
      </c>
      <c r="C3434" s="40">
        <f>IF(Inputs!$C$60,Inputs!$C$11+(B3434-Inputs!$C$69)/Inputs!$C$70,"")</f>
      </c>
      <c r="D3434" s="15"/>
      <c r="E3434" s="15"/>
      <c r="F3434" s="11">
        <f t="shared" si="27"/>
      </c>
      <c r="G3434" s="22" cm="1">
        <f t="array" ref="G3434">IF(AND(Inputs!$C$60,Inputs!$C$61),INDEX(Utility_Rates!$C$29:$F$52,HOUR(C3434)+Inputs!$C$69,MATCH(INDEX(Utility_Rates!$K$6:$K$17,MONTH(C3434))&amp;IF(WEEKDAY(C3434,Inputs!$C$76)&lt;=Inputs!$C$74," weekday"," weekend"),Utility_Rates!$C$28:$F$28,Inputs!$C$68)),"")</f>
      </c>
      <c r="H3434" s="34"/>
      <c r="I3434" s="42">
        <f>IF(AND(ISNUMBER(D3434),ISNUMBER(H3434)),D3434*H3434*Inputs!$C$69,"")</f>
      </c>
      <c r="J3434" s="42">
        <f>IF(AND(ISNUMBER(F3434),ISNUMBER(H3434),F3434&gt;=Inputs!$C$68),F3434*H3434*Inputs!$C$69,"")</f>
      </c>
    </row>
    <row r="3435" spans="2:10" ht="15" customHeight="1" x14ac:dyDescent="0.2">
      <c r="B3435" s="39">
        <f t="shared" si="26"/>
      </c>
      <c r="C3435" s="40">
        <f>IF(Inputs!$C$60,Inputs!$C$11+(B3435-Inputs!$C$69)/Inputs!$C$70,"")</f>
      </c>
      <c r="D3435" s="15"/>
      <c r="E3435" s="15"/>
      <c r="F3435" s="11">
        <f t="shared" si="27"/>
      </c>
      <c r="G3435" s="22" cm="1">
        <f t="array" ref="G3435">IF(AND(Inputs!$C$60,Inputs!$C$61),INDEX(Utility_Rates!$C$29:$F$52,HOUR(C3435)+Inputs!$C$69,MATCH(INDEX(Utility_Rates!$K$6:$K$17,MONTH(C3435))&amp;IF(WEEKDAY(C3435,Inputs!$C$76)&lt;=Inputs!$C$74," weekday"," weekend"),Utility_Rates!$C$28:$F$28,Inputs!$C$68)),"")</f>
      </c>
      <c r="H3435" s="34"/>
      <c r="I3435" s="42">
        <f>IF(AND(ISNUMBER(D3435),ISNUMBER(H3435)),D3435*H3435*Inputs!$C$69,"")</f>
      </c>
      <c r="J3435" s="42">
        <f>IF(AND(ISNUMBER(F3435),ISNUMBER(H3435),F3435&gt;=Inputs!$C$68),F3435*H3435*Inputs!$C$69,"")</f>
      </c>
    </row>
    <row r="3436" spans="2:10" ht="15" customHeight="1" x14ac:dyDescent="0.2">
      <c r="B3436" s="39">
        <f t="shared" si="26"/>
      </c>
      <c r="C3436" s="40">
        <f>IF(Inputs!$C$60,Inputs!$C$11+(B3436-Inputs!$C$69)/Inputs!$C$70,"")</f>
      </c>
      <c r="D3436" s="15"/>
      <c r="E3436" s="15"/>
      <c r="F3436" s="11">
        <f t="shared" si="27"/>
      </c>
      <c r="G3436" s="22" cm="1">
        <f t="array" ref="G3436">IF(AND(Inputs!$C$60,Inputs!$C$61),INDEX(Utility_Rates!$C$29:$F$52,HOUR(C3436)+Inputs!$C$69,MATCH(INDEX(Utility_Rates!$K$6:$K$17,MONTH(C3436))&amp;IF(WEEKDAY(C3436,Inputs!$C$76)&lt;=Inputs!$C$74," weekday"," weekend"),Utility_Rates!$C$28:$F$28,Inputs!$C$68)),"")</f>
      </c>
      <c r="H3436" s="34"/>
      <c r="I3436" s="42">
        <f>IF(AND(ISNUMBER(D3436),ISNUMBER(H3436)),D3436*H3436*Inputs!$C$69,"")</f>
      </c>
      <c r="J3436" s="42">
        <f>IF(AND(ISNUMBER(F3436),ISNUMBER(H3436),F3436&gt;=Inputs!$C$68),F3436*H3436*Inputs!$C$69,"")</f>
      </c>
    </row>
    <row r="3437" spans="2:10" ht="15" customHeight="1" x14ac:dyDescent="0.2">
      <c r="B3437" s="39">
        <f t="shared" si="26"/>
      </c>
      <c r="C3437" s="40">
        <f>IF(Inputs!$C$60,Inputs!$C$11+(B3437-Inputs!$C$69)/Inputs!$C$70,"")</f>
      </c>
      <c r="D3437" s="15"/>
      <c r="E3437" s="15"/>
      <c r="F3437" s="11">
        <f t="shared" si="27"/>
      </c>
      <c r="G3437" s="22" cm="1">
        <f t="array" ref="G3437">IF(AND(Inputs!$C$60,Inputs!$C$61),INDEX(Utility_Rates!$C$29:$F$52,HOUR(C3437)+Inputs!$C$69,MATCH(INDEX(Utility_Rates!$K$6:$K$17,MONTH(C3437))&amp;IF(WEEKDAY(C3437,Inputs!$C$76)&lt;=Inputs!$C$74," weekday"," weekend"),Utility_Rates!$C$28:$F$28,Inputs!$C$68)),"")</f>
      </c>
      <c r="H3437" s="34"/>
      <c r="I3437" s="42">
        <f>IF(AND(ISNUMBER(D3437),ISNUMBER(H3437)),D3437*H3437*Inputs!$C$69,"")</f>
      </c>
      <c r="J3437" s="42">
        <f>IF(AND(ISNUMBER(F3437),ISNUMBER(H3437),F3437&gt;=Inputs!$C$68),F3437*H3437*Inputs!$C$69,"")</f>
      </c>
    </row>
    <row r="3438" spans="2:10" ht="15" customHeight="1" x14ac:dyDescent="0.2">
      <c r="B3438" s="39">
        <f t="shared" si="26"/>
      </c>
      <c r="C3438" s="40">
        <f>IF(Inputs!$C$60,Inputs!$C$11+(B3438-Inputs!$C$69)/Inputs!$C$70,"")</f>
      </c>
      <c r="D3438" s="15"/>
      <c r="E3438" s="15"/>
      <c r="F3438" s="11">
        <f t="shared" si="27"/>
      </c>
      <c r="G3438" s="22" cm="1">
        <f t="array" ref="G3438">IF(AND(Inputs!$C$60,Inputs!$C$61),INDEX(Utility_Rates!$C$29:$F$52,HOUR(C3438)+Inputs!$C$69,MATCH(INDEX(Utility_Rates!$K$6:$K$17,MONTH(C3438))&amp;IF(WEEKDAY(C3438,Inputs!$C$76)&lt;=Inputs!$C$74," weekday"," weekend"),Utility_Rates!$C$28:$F$28,Inputs!$C$68)),"")</f>
      </c>
      <c r="H3438" s="34"/>
      <c r="I3438" s="42">
        <f>IF(AND(ISNUMBER(D3438),ISNUMBER(H3438)),D3438*H3438*Inputs!$C$69,"")</f>
      </c>
      <c r="J3438" s="42">
        <f>IF(AND(ISNUMBER(F3438),ISNUMBER(H3438),F3438&gt;=Inputs!$C$68),F3438*H3438*Inputs!$C$69,"")</f>
      </c>
    </row>
    <row r="3439" spans="2:10" ht="15" customHeight="1" x14ac:dyDescent="0.2">
      <c r="B3439" s="39">
        <f t="shared" si="26"/>
      </c>
      <c r="C3439" s="40">
        <f>IF(Inputs!$C$60,Inputs!$C$11+(B3439-Inputs!$C$69)/Inputs!$C$70,"")</f>
      </c>
      <c r="D3439" s="15"/>
      <c r="E3439" s="15"/>
      <c r="F3439" s="11">
        <f t="shared" si="27"/>
      </c>
      <c r="G3439" s="22" cm="1">
        <f t="array" ref="G3439">IF(AND(Inputs!$C$60,Inputs!$C$61),INDEX(Utility_Rates!$C$29:$F$52,HOUR(C3439)+Inputs!$C$69,MATCH(INDEX(Utility_Rates!$K$6:$K$17,MONTH(C3439))&amp;IF(WEEKDAY(C3439,Inputs!$C$76)&lt;=Inputs!$C$74," weekday"," weekend"),Utility_Rates!$C$28:$F$28,Inputs!$C$68)),"")</f>
      </c>
      <c r="H3439" s="34"/>
      <c r="I3439" s="42">
        <f>IF(AND(ISNUMBER(D3439),ISNUMBER(H3439)),D3439*H3439*Inputs!$C$69,"")</f>
      </c>
      <c r="J3439" s="42">
        <f>IF(AND(ISNUMBER(F3439),ISNUMBER(H3439),F3439&gt;=Inputs!$C$68),F3439*H3439*Inputs!$C$69,"")</f>
      </c>
    </row>
    <row r="3440" spans="2:10" ht="15" customHeight="1" x14ac:dyDescent="0.2">
      <c r="B3440" s="39">
        <f t="shared" si="26"/>
      </c>
      <c r="C3440" s="40">
        <f>IF(Inputs!$C$60,Inputs!$C$11+(B3440-Inputs!$C$69)/Inputs!$C$70,"")</f>
      </c>
      <c r="D3440" s="15"/>
      <c r="E3440" s="15"/>
      <c r="F3440" s="11">
        <f t="shared" si="27"/>
      </c>
      <c r="G3440" s="22" cm="1">
        <f t="array" ref="G3440">IF(AND(Inputs!$C$60,Inputs!$C$61),INDEX(Utility_Rates!$C$29:$F$52,HOUR(C3440)+Inputs!$C$69,MATCH(INDEX(Utility_Rates!$K$6:$K$17,MONTH(C3440))&amp;IF(WEEKDAY(C3440,Inputs!$C$76)&lt;=Inputs!$C$74," weekday"," weekend"),Utility_Rates!$C$28:$F$28,Inputs!$C$68)),"")</f>
      </c>
      <c r="H3440" s="34"/>
      <c r="I3440" s="42">
        <f>IF(AND(ISNUMBER(D3440),ISNUMBER(H3440)),D3440*H3440*Inputs!$C$69,"")</f>
      </c>
      <c r="J3440" s="42">
        <f>IF(AND(ISNUMBER(F3440),ISNUMBER(H3440),F3440&gt;=Inputs!$C$68),F3440*H3440*Inputs!$C$69,"")</f>
      </c>
    </row>
    <row r="3441" spans="2:10" ht="15" customHeight="1" x14ac:dyDescent="0.2">
      <c r="B3441" s="39">
        <f t="shared" si="26"/>
      </c>
      <c r="C3441" s="40">
        <f>IF(Inputs!$C$60,Inputs!$C$11+(B3441-Inputs!$C$69)/Inputs!$C$70,"")</f>
      </c>
      <c r="D3441" s="15"/>
      <c r="E3441" s="15"/>
      <c r="F3441" s="11">
        <f t="shared" si="27"/>
      </c>
      <c r="G3441" s="22" cm="1">
        <f t="array" ref="G3441">IF(AND(Inputs!$C$60,Inputs!$C$61),INDEX(Utility_Rates!$C$29:$F$52,HOUR(C3441)+Inputs!$C$69,MATCH(INDEX(Utility_Rates!$K$6:$K$17,MONTH(C3441))&amp;IF(WEEKDAY(C3441,Inputs!$C$76)&lt;=Inputs!$C$74," weekday"," weekend"),Utility_Rates!$C$28:$F$28,Inputs!$C$68)),"")</f>
      </c>
      <c r="H3441" s="34"/>
      <c r="I3441" s="42">
        <f>IF(AND(ISNUMBER(D3441),ISNUMBER(H3441)),D3441*H3441*Inputs!$C$69,"")</f>
      </c>
      <c r="J3441" s="42">
        <f>IF(AND(ISNUMBER(F3441),ISNUMBER(H3441),F3441&gt;=Inputs!$C$68),F3441*H3441*Inputs!$C$69,"")</f>
      </c>
    </row>
    <row r="3442" spans="2:10" ht="15" customHeight="1" x14ac:dyDescent="0.2">
      <c r="B3442" s="39">
        <f t="shared" si="26"/>
      </c>
      <c r="C3442" s="40">
        <f>IF(Inputs!$C$60,Inputs!$C$11+(B3442-Inputs!$C$69)/Inputs!$C$70,"")</f>
      </c>
      <c r="D3442" s="15"/>
      <c r="E3442" s="15"/>
      <c r="F3442" s="11">
        <f t="shared" si="27"/>
      </c>
      <c r="G3442" s="22" cm="1">
        <f t="array" ref="G3442">IF(AND(Inputs!$C$60,Inputs!$C$61),INDEX(Utility_Rates!$C$29:$F$52,HOUR(C3442)+Inputs!$C$69,MATCH(INDEX(Utility_Rates!$K$6:$K$17,MONTH(C3442))&amp;IF(WEEKDAY(C3442,Inputs!$C$76)&lt;=Inputs!$C$74," weekday"," weekend"),Utility_Rates!$C$28:$F$28,Inputs!$C$68)),"")</f>
      </c>
      <c r="H3442" s="34"/>
      <c r="I3442" s="42">
        <f>IF(AND(ISNUMBER(D3442),ISNUMBER(H3442)),D3442*H3442*Inputs!$C$69,"")</f>
      </c>
      <c r="J3442" s="42">
        <f>IF(AND(ISNUMBER(F3442),ISNUMBER(H3442),F3442&gt;=Inputs!$C$68),F3442*H3442*Inputs!$C$69,"")</f>
      </c>
    </row>
    <row r="3443" spans="2:10" ht="15" customHeight="1" x14ac:dyDescent="0.2">
      <c r="B3443" s="39">
        <f t="shared" si="26"/>
      </c>
      <c r="C3443" s="40">
        <f>IF(Inputs!$C$60,Inputs!$C$11+(B3443-Inputs!$C$69)/Inputs!$C$70,"")</f>
      </c>
      <c r="D3443" s="15"/>
      <c r="E3443" s="15"/>
      <c r="F3443" s="11">
        <f t="shared" si="27"/>
      </c>
      <c r="G3443" s="22" cm="1">
        <f t="array" ref="G3443">IF(AND(Inputs!$C$60,Inputs!$C$61),INDEX(Utility_Rates!$C$29:$F$52,HOUR(C3443)+Inputs!$C$69,MATCH(INDEX(Utility_Rates!$K$6:$K$17,MONTH(C3443))&amp;IF(WEEKDAY(C3443,Inputs!$C$76)&lt;=Inputs!$C$74," weekday"," weekend"),Utility_Rates!$C$28:$F$28,Inputs!$C$68)),"")</f>
      </c>
      <c r="H3443" s="34"/>
      <c r="I3443" s="42">
        <f>IF(AND(ISNUMBER(D3443),ISNUMBER(H3443)),D3443*H3443*Inputs!$C$69,"")</f>
      </c>
      <c r="J3443" s="42">
        <f>IF(AND(ISNUMBER(F3443),ISNUMBER(H3443),F3443&gt;=Inputs!$C$68),F3443*H3443*Inputs!$C$69,"")</f>
      </c>
    </row>
    <row r="3444" spans="2:10" ht="15" customHeight="1" x14ac:dyDescent="0.2">
      <c r="B3444" s="39">
        <f t="shared" si="26"/>
      </c>
      <c r="C3444" s="40">
        <f>IF(Inputs!$C$60,Inputs!$C$11+(B3444-Inputs!$C$69)/Inputs!$C$70,"")</f>
      </c>
      <c r="D3444" s="15"/>
      <c r="E3444" s="15"/>
      <c r="F3444" s="11">
        <f t="shared" si="27"/>
      </c>
      <c r="G3444" s="22" cm="1">
        <f t="array" ref="G3444">IF(AND(Inputs!$C$60,Inputs!$C$61),INDEX(Utility_Rates!$C$29:$F$52,HOUR(C3444)+Inputs!$C$69,MATCH(INDEX(Utility_Rates!$K$6:$K$17,MONTH(C3444))&amp;IF(WEEKDAY(C3444,Inputs!$C$76)&lt;=Inputs!$C$74," weekday"," weekend"),Utility_Rates!$C$28:$F$28,Inputs!$C$68)),"")</f>
      </c>
      <c r="H3444" s="34"/>
      <c r="I3444" s="42">
        <f>IF(AND(ISNUMBER(D3444),ISNUMBER(H3444)),D3444*H3444*Inputs!$C$69,"")</f>
      </c>
      <c r="J3444" s="42">
        <f>IF(AND(ISNUMBER(F3444),ISNUMBER(H3444),F3444&gt;=Inputs!$C$68),F3444*H3444*Inputs!$C$69,"")</f>
      </c>
    </row>
    <row r="3445" spans="2:10" ht="15" customHeight="1" x14ac:dyDescent="0.2">
      <c r="B3445" s="39">
        <f t="shared" si="26"/>
      </c>
      <c r="C3445" s="40">
        <f>IF(Inputs!$C$60,Inputs!$C$11+(B3445-Inputs!$C$69)/Inputs!$C$70,"")</f>
      </c>
      <c r="D3445" s="15"/>
      <c r="E3445" s="15"/>
      <c r="F3445" s="11">
        <f t="shared" si="27"/>
      </c>
      <c r="G3445" s="22" cm="1">
        <f t="array" ref="G3445">IF(AND(Inputs!$C$60,Inputs!$C$61),INDEX(Utility_Rates!$C$29:$F$52,HOUR(C3445)+Inputs!$C$69,MATCH(INDEX(Utility_Rates!$K$6:$K$17,MONTH(C3445))&amp;IF(WEEKDAY(C3445,Inputs!$C$76)&lt;=Inputs!$C$74," weekday"," weekend"),Utility_Rates!$C$28:$F$28,Inputs!$C$68)),"")</f>
      </c>
      <c r="H3445" s="34"/>
      <c r="I3445" s="42">
        <f>IF(AND(ISNUMBER(D3445),ISNUMBER(H3445)),D3445*H3445*Inputs!$C$69,"")</f>
      </c>
      <c r="J3445" s="42">
        <f>IF(AND(ISNUMBER(F3445),ISNUMBER(H3445),F3445&gt;=Inputs!$C$68),F3445*H3445*Inputs!$C$69,"")</f>
      </c>
    </row>
    <row r="3446" spans="2:10" ht="15" customHeight="1" x14ac:dyDescent="0.2">
      <c r="B3446" s="39">
        <f t="shared" si="26"/>
      </c>
      <c r="C3446" s="40">
        <f>IF(Inputs!$C$60,Inputs!$C$11+(B3446-Inputs!$C$69)/Inputs!$C$70,"")</f>
      </c>
      <c r="D3446" s="15"/>
      <c r="E3446" s="15"/>
      <c r="F3446" s="11">
        <f t="shared" si="27"/>
      </c>
      <c r="G3446" s="22" cm="1">
        <f t="array" ref="G3446">IF(AND(Inputs!$C$60,Inputs!$C$61),INDEX(Utility_Rates!$C$29:$F$52,HOUR(C3446)+Inputs!$C$69,MATCH(INDEX(Utility_Rates!$K$6:$K$17,MONTH(C3446))&amp;IF(WEEKDAY(C3446,Inputs!$C$76)&lt;=Inputs!$C$74," weekday"," weekend"),Utility_Rates!$C$28:$F$28,Inputs!$C$68)),"")</f>
      </c>
      <c r="H3446" s="34"/>
      <c r="I3446" s="42">
        <f>IF(AND(ISNUMBER(D3446),ISNUMBER(H3446)),D3446*H3446*Inputs!$C$69,"")</f>
      </c>
      <c r="J3446" s="42">
        <f>IF(AND(ISNUMBER(F3446),ISNUMBER(H3446),F3446&gt;=Inputs!$C$68),F3446*H3446*Inputs!$C$69,"")</f>
      </c>
    </row>
    <row r="3447" spans="2:10" ht="15" customHeight="1" x14ac:dyDescent="0.2">
      <c r="B3447" s="39">
        <f t="shared" si="26"/>
      </c>
      <c r="C3447" s="40">
        <f>IF(Inputs!$C$60,Inputs!$C$11+(B3447-Inputs!$C$69)/Inputs!$C$70,"")</f>
      </c>
      <c r="D3447" s="15"/>
      <c r="E3447" s="15"/>
      <c r="F3447" s="11">
        <f t="shared" si="27"/>
      </c>
      <c r="G3447" s="22" cm="1">
        <f t="array" ref="G3447">IF(AND(Inputs!$C$60,Inputs!$C$61),INDEX(Utility_Rates!$C$29:$F$52,HOUR(C3447)+Inputs!$C$69,MATCH(INDEX(Utility_Rates!$K$6:$K$17,MONTH(C3447))&amp;IF(WEEKDAY(C3447,Inputs!$C$76)&lt;=Inputs!$C$74," weekday"," weekend"),Utility_Rates!$C$28:$F$28,Inputs!$C$68)),"")</f>
      </c>
      <c r="H3447" s="34"/>
      <c r="I3447" s="42">
        <f>IF(AND(ISNUMBER(D3447),ISNUMBER(H3447)),D3447*H3447*Inputs!$C$69,"")</f>
      </c>
      <c r="J3447" s="42">
        <f>IF(AND(ISNUMBER(F3447),ISNUMBER(H3447),F3447&gt;=Inputs!$C$68),F3447*H3447*Inputs!$C$69,"")</f>
      </c>
    </row>
    <row r="3448" spans="2:10" ht="15" customHeight="1" x14ac:dyDescent="0.2">
      <c r="B3448" s="39">
        <f t="shared" si="26"/>
      </c>
      <c r="C3448" s="40">
        <f>IF(Inputs!$C$60,Inputs!$C$11+(B3448-Inputs!$C$69)/Inputs!$C$70,"")</f>
      </c>
      <c r="D3448" s="15"/>
      <c r="E3448" s="15"/>
      <c r="F3448" s="11">
        <f t="shared" si="27"/>
      </c>
      <c r="G3448" s="22" cm="1">
        <f t="array" ref="G3448">IF(AND(Inputs!$C$60,Inputs!$C$61),INDEX(Utility_Rates!$C$29:$F$52,HOUR(C3448)+Inputs!$C$69,MATCH(INDEX(Utility_Rates!$K$6:$K$17,MONTH(C3448))&amp;IF(WEEKDAY(C3448,Inputs!$C$76)&lt;=Inputs!$C$74," weekday"," weekend"),Utility_Rates!$C$28:$F$28,Inputs!$C$68)),"")</f>
      </c>
      <c r="H3448" s="34"/>
      <c r="I3448" s="42">
        <f>IF(AND(ISNUMBER(D3448),ISNUMBER(H3448)),D3448*H3448*Inputs!$C$69,"")</f>
      </c>
      <c r="J3448" s="42">
        <f>IF(AND(ISNUMBER(F3448),ISNUMBER(H3448),F3448&gt;=Inputs!$C$68),F3448*H3448*Inputs!$C$69,"")</f>
      </c>
    </row>
    <row r="3449" spans="2:10" ht="15" customHeight="1" x14ac:dyDescent="0.2">
      <c r="B3449" s="39">
        <f t="shared" si="26"/>
      </c>
      <c r="C3449" s="40">
        <f>IF(Inputs!$C$60,Inputs!$C$11+(B3449-Inputs!$C$69)/Inputs!$C$70,"")</f>
      </c>
      <c r="D3449" s="15"/>
      <c r="E3449" s="15"/>
      <c r="F3449" s="11">
        <f t="shared" si="27"/>
      </c>
      <c r="G3449" s="22" cm="1">
        <f t="array" ref="G3449">IF(AND(Inputs!$C$60,Inputs!$C$61),INDEX(Utility_Rates!$C$29:$F$52,HOUR(C3449)+Inputs!$C$69,MATCH(INDEX(Utility_Rates!$K$6:$K$17,MONTH(C3449))&amp;IF(WEEKDAY(C3449,Inputs!$C$76)&lt;=Inputs!$C$74," weekday"," weekend"),Utility_Rates!$C$28:$F$28,Inputs!$C$68)),"")</f>
      </c>
      <c r="H3449" s="34"/>
      <c r="I3449" s="42">
        <f>IF(AND(ISNUMBER(D3449),ISNUMBER(H3449)),D3449*H3449*Inputs!$C$69,"")</f>
      </c>
      <c r="J3449" s="42">
        <f>IF(AND(ISNUMBER(F3449),ISNUMBER(H3449),F3449&gt;=Inputs!$C$68),F3449*H3449*Inputs!$C$69,"")</f>
      </c>
    </row>
    <row r="3450" spans="2:10" ht="15" customHeight="1" x14ac:dyDescent="0.2">
      <c r="B3450" s="39">
        <f t="shared" si="26"/>
      </c>
      <c r="C3450" s="40">
        <f>IF(Inputs!$C$60,Inputs!$C$11+(B3450-Inputs!$C$69)/Inputs!$C$70,"")</f>
      </c>
      <c r="D3450" s="15"/>
      <c r="E3450" s="15"/>
      <c r="F3450" s="11">
        <f t="shared" si="27"/>
      </c>
      <c r="G3450" s="22" cm="1">
        <f t="array" ref="G3450">IF(AND(Inputs!$C$60,Inputs!$C$61),INDEX(Utility_Rates!$C$29:$F$52,HOUR(C3450)+Inputs!$C$69,MATCH(INDEX(Utility_Rates!$K$6:$K$17,MONTH(C3450))&amp;IF(WEEKDAY(C3450,Inputs!$C$76)&lt;=Inputs!$C$74," weekday"," weekend"),Utility_Rates!$C$28:$F$28,Inputs!$C$68)),"")</f>
      </c>
      <c r="H3450" s="34"/>
      <c r="I3450" s="42">
        <f>IF(AND(ISNUMBER(D3450),ISNUMBER(H3450)),D3450*H3450*Inputs!$C$69,"")</f>
      </c>
      <c r="J3450" s="42">
        <f>IF(AND(ISNUMBER(F3450),ISNUMBER(H3450),F3450&gt;=Inputs!$C$68),F3450*H3450*Inputs!$C$69,"")</f>
      </c>
    </row>
    <row r="3451" spans="2:10" ht="15" customHeight="1" x14ac:dyDescent="0.2">
      <c r="B3451" s="39">
        <f t="shared" si="26"/>
      </c>
      <c r="C3451" s="40">
        <f>IF(Inputs!$C$60,Inputs!$C$11+(B3451-Inputs!$C$69)/Inputs!$C$70,"")</f>
      </c>
      <c r="D3451" s="15"/>
      <c r="E3451" s="15"/>
      <c r="F3451" s="11">
        <f t="shared" si="27"/>
      </c>
      <c r="G3451" s="22" cm="1">
        <f t="array" ref="G3451">IF(AND(Inputs!$C$60,Inputs!$C$61),INDEX(Utility_Rates!$C$29:$F$52,HOUR(C3451)+Inputs!$C$69,MATCH(INDEX(Utility_Rates!$K$6:$K$17,MONTH(C3451))&amp;IF(WEEKDAY(C3451,Inputs!$C$76)&lt;=Inputs!$C$74," weekday"," weekend"),Utility_Rates!$C$28:$F$28,Inputs!$C$68)),"")</f>
      </c>
      <c r="H3451" s="34"/>
      <c r="I3451" s="42">
        <f>IF(AND(ISNUMBER(D3451),ISNUMBER(H3451)),D3451*H3451*Inputs!$C$69,"")</f>
      </c>
      <c r="J3451" s="42">
        <f>IF(AND(ISNUMBER(F3451),ISNUMBER(H3451),F3451&gt;=Inputs!$C$68),F3451*H3451*Inputs!$C$69,"")</f>
      </c>
    </row>
    <row r="3452" spans="2:10" ht="15" customHeight="1" x14ac:dyDescent="0.2">
      <c r="B3452" s="39">
        <f t="shared" si="26"/>
      </c>
      <c r="C3452" s="40">
        <f>IF(Inputs!$C$60,Inputs!$C$11+(B3452-Inputs!$C$69)/Inputs!$C$70,"")</f>
      </c>
      <c r="D3452" s="15"/>
      <c r="E3452" s="15"/>
      <c r="F3452" s="11">
        <f t="shared" si="27"/>
      </c>
      <c r="G3452" s="22" cm="1">
        <f t="array" ref="G3452">IF(AND(Inputs!$C$60,Inputs!$C$61),INDEX(Utility_Rates!$C$29:$F$52,HOUR(C3452)+Inputs!$C$69,MATCH(INDEX(Utility_Rates!$K$6:$K$17,MONTH(C3452))&amp;IF(WEEKDAY(C3452,Inputs!$C$76)&lt;=Inputs!$C$74," weekday"," weekend"),Utility_Rates!$C$28:$F$28,Inputs!$C$68)),"")</f>
      </c>
      <c r="H3452" s="34"/>
      <c r="I3452" s="42">
        <f>IF(AND(ISNUMBER(D3452),ISNUMBER(H3452)),D3452*H3452*Inputs!$C$69,"")</f>
      </c>
      <c r="J3452" s="42">
        <f>IF(AND(ISNUMBER(F3452),ISNUMBER(H3452),F3452&gt;=Inputs!$C$68),F3452*H3452*Inputs!$C$69,"")</f>
      </c>
    </row>
    <row r="3453" spans="2:10" ht="15" customHeight="1" x14ac:dyDescent="0.2">
      <c r="B3453" s="39">
        <f t="shared" si="26"/>
      </c>
      <c r="C3453" s="40">
        <f>IF(Inputs!$C$60,Inputs!$C$11+(B3453-Inputs!$C$69)/Inputs!$C$70,"")</f>
      </c>
      <c r="D3453" s="15"/>
      <c r="E3453" s="15"/>
      <c r="F3453" s="11">
        <f t="shared" si="27"/>
      </c>
      <c r="G3453" s="22" cm="1">
        <f t="array" ref="G3453">IF(AND(Inputs!$C$60,Inputs!$C$61),INDEX(Utility_Rates!$C$29:$F$52,HOUR(C3453)+Inputs!$C$69,MATCH(INDEX(Utility_Rates!$K$6:$K$17,MONTH(C3453))&amp;IF(WEEKDAY(C3453,Inputs!$C$76)&lt;=Inputs!$C$74," weekday"," weekend"),Utility_Rates!$C$28:$F$28,Inputs!$C$68)),"")</f>
      </c>
      <c r="H3453" s="34"/>
      <c r="I3453" s="42">
        <f>IF(AND(ISNUMBER(D3453),ISNUMBER(H3453)),D3453*H3453*Inputs!$C$69,"")</f>
      </c>
      <c r="J3453" s="42">
        <f>IF(AND(ISNUMBER(F3453),ISNUMBER(H3453),F3453&gt;=Inputs!$C$68),F3453*H3453*Inputs!$C$69,"")</f>
      </c>
    </row>
    <row r="3454" spans="2:10" ht="15" customHeight="1" x14ac:dyDescent="0.2">
      <c r="B3454" s="39">
        <f t="shared" si="26"/>
      </c>
      <c r="C3454" s="40">
        <f>IF(Inputs!$C$60,Inputs!$C$11+(B3454-Inputs!$C$69)/Inputs!$C$70,"")</f>
      </c>
      <c r="D3454" s="15"/>
      <c r="E3454" s="15"/>
      <c r="F3454" s="11">
        <f t="shared" si="27"/>
      </c>
      <c r="G3454" s="22" cm="1">
        <f t="array" ref="G3454">IF(AND(Inputs!$C$60,Inputs!$C$61),INDEX(Utility_Rates!$C$29:$F$52,HOUR(C3454)+Inputs!$C$69,MATCH(INDEX(Utility_Rates!$K$6:$K$17,MONTH(C3454))&amp;IF(WEEKDAY(C3454,Inputs!$C$76)&lt;=Inputs!$C$74," weekday"," weekend"),Utility_Rates!$C$28:$F$28,Inputs!$C$68)),"")</f>
      </c>
      <c r="H3454" s="34"/>
      <c r="I3454" s="42">
        <f>IF(AND(ISNUMBER(D3454),ISNUMBER(H3454)),D3454*H3454*Inputs!$C$69,"")</f>
      </c>
      <c r="J3454" s="42">
        <f>IF(AND(ISNUMBER(F3454),ISNUMBER(H3454),F3454&gt;=Inputs!$C$68),F3454*H3454*Inputs!$C$69,"")</f>
      </c>
    </row>
    <row r="3455" spans="2:10" ht="15" customHeight="1" x14ac:dyDescent="0.2">
      <c r="B3455" s="39">
        <f t="shared" si="26"/>
      </c>
      <c r="C3455" s="40">
        <f>IF(Inputs!$C$60,Inputs!$C$11+(B3455-Inputs!$C$69)/Inputs!$C$70,"")</f>
      </c>
      <c r="D3455" s="15"/>
      <c r="E3455" s="15"/>
      <c r="F3455" s="11">
        <f t="shared" si="27"/>
      </c>
      <c r="G3455" s="22" cm="1">
        <f t="array" ref="G3455">IF(AND(Inputs!$C$60,Inputs!$C$61),INDEX(Utility_Rates!$C$29:$F$52,HOUR(C3455)+Inputs!$C$69,MATCH(INDEX(Utility_Rates!$K$6:$K$17,MONTH(C3455))&amp;IF(WEEKDAY(C3455,Inputs!$C$76)&lt;=Inputs!$C$74," weekday"," weekend"),Utility_Rates!$C$28:$F$28,Inputs!$C$68)),"")</f>
      </c>
      <c r="H3455" s="34"/>
      <c r="I3455" s="42">
        <f>IF(AND(ISNUMBER(D3455),ISNUMBER(H3455)),D3455*H3455*Inputs!$C$69,"")</f>
      </c>
      <c r="J3455" s="42">
        <f>IF(AND(ISNUMBER(F3455),ISNUMBER(H3455),F3455&gt;=Inputs!$C$68),F3455*H3455*Inputs!$C$69,"")</f>
      </c>
    </row>
    <row r="3456" spans="2:10" ht="15" customHeight="1" x14ac:dyDescent="0.2">
      <c r="B3456" s="39">
        <f t="shared" si="26"/>
      </c>
      <c r="C3456" s="40">
        <f>IF(Inputs!$C$60,Inputs!$C$11+(B3456-Inputs!$C$69)/Inputs!$C$70,"")</f>
      </c>
      <c r="D3456" s="15"/>
      <c r="E3456" s="15"/>
      <c r="F3456" s="11">
        <f t="shared" si="27"/>
      </c>
      <c r="G3456" s="22" cm="1">
        <f t="array" ref="G3456">IF(AND(Inputs!$C$60,Inputs!$C$61),INDEX(Utility_Rates!$C$29:$F$52,HOUR(C3456)+Inputs!$C$69,MATCH(INDEX(Utility_Rates!$K$6:$K$17,MONTH(C3456))&amp;IF(WEEKDAY(C3456,Inputs!$C$76)&lt;=Inputs!$C$74," weekday"," weekend"),Utility_Rates!$C$28:$F$28,Inputs!$C$68)),"")</f>
      </c>
      <c r="H3456" s="34"/>
      <c r="I3456" s="42">
        <f>IF(AND(ISNUMBER(D3456),ISNUMBER(H3456)),D3456*H3456*Inputs!$C$69,"")</f>
      </c>
      <c r="J3456" s="42">
        <f>IF(AND(ISNUMBER(F3456),ISNUMBER(H3456),F3456&gt;=Inputs!$C$68),F3456*H3456*Inputs!$C$69,"")</f>
      </c>
    </row>
    <row r="3457" spans="2:10" ht="15" customHeight="1" x14ac:dyDescent="0.2">
      <c r="B3457" s="39">
        <f t="shared" si="26"/>
      </c>
      <c r="C3457" s="40">
        <f>IF(Inputs!$C$60,Inputs!$C$11+(B3457-Inputs!$C$69)/Inputs!$C$70,"")</f>
      </c>
      <c r="D3457" s="15"/>
      <c r="E3457" s="15"/>
      <c r="F3457" s="11">
        <f t="shared" si="27"/>
      </c>
      <c r="G3457" s="22" cm="1">
        <f t="array" ref="G3457">IF(AND(Inputs!$C$60,Inputs!$C$61),INDEX(Utility_Rates!$C$29:$F$52,HOUR(C3457)+Inputs!$C$69,MATCH(INDEX(Utility_Rates!$K$6:$K$17,MONTH(C3457))&amp;IF(WEEKDAY(C3457,Inputs!$C$76)&lt;=Inputs!$C$74," weekday"," weekend"),Utility_Rates!$C$28:$F$28,Inputs!$C$68)),"")</f>
      </c>
      <c r="H3457" s="34"/>
      <c r="I3457" s="42">
        <f>IF(AND(ISNUMBER(D3457),ISNUMBER(H3457)),D3457*H3457*Inputs!$C$69,"")</f>
      </c>
      <c r="J3457" s="42">
        <f>IF(AND(ISNUMBER(F3457),ISNUMBER(H3457),F3457&gt;=Inputs!$C$68),F3457*H3457*Inputs!$C$69,"")</f>
      </c>
    </row>
    <row r="3458" spans="2:10" ht="15" customHeight="1" x14ac:dyDescent="0.2">
      <c r="B3458" s="39">
        <f t="shared" si="26"/>
      </c>
      <c r="C3458" s="40">
        <f>IF(Inputs!$C$60,Inputs!$C$11+(B3458-Inputs!$C$69)/Inputs!$C$70,"")</f>
      </c>
      <c r="D3458" s="15"/>
      <c r="E3458" s="15"/>
      <c r="F3458" s="11">
        <f t="shared" si="27"/>
      </c>
      <c r="G3458" s="22" cm="1">
        <f t="array" ref="G3458">IF(AND(Inputs!$C$60,Inputs!$C$61),INDEX(Utility_Rates!$C$29:$F$52,HOUR(C3458)+Inputs!$C$69,MATCH(INDEX(Utility_Rates!$K$6:$K$17,MONTH(C3458))&amp;IF(WEEKDAY(C3458,Inputs!$C$76)&lt;=Inputs!$C$74," weekday"," weekend"),Utility_Rates!$C$28:$F$28,Inputs!$C$68)),"")</f>
      </c>
      <c r="H3458" s="34"/>
      <c r="I3458" s="42">
        <f>IF(AND(ISNUMBER(D3458),ISNUMBER(H3458)),D3458*H3458*Inputs!$C$69,"")</f>
      </c>
      <c r="J3458" s="42">
        <f>IF(AND(ISNUMBER(F3458),ISNUMBER(H3458),F3458&gt;=Inputs!$C$68),F3458*H3458*Inputs!$C$69,"")</f>
      </c>
    </row>
    <row r="3459" spans="2:10" ht="15" customHeight="1" x14ac:dyDescent="0.2">
      <c r="B3459" s="39">
        <f t="shared" si="26"/>
      </c>
      <c r="C3459" s="40">
        <f>IF(Inputs!$C$60,Inputs!$C$11+(B3459-Inputs!$C$69)/Inputs!$C$70,"")</f>
      </c>
      <c r="D3459" s="15"/>
      <c r="E3459" s="15"/>
      <c r="F3459" s="11">
        <f t="shared" si="27"/>
      </c>
      <c r="G3459" s="22" cm="1">
        <f t="array" ref="G3459">IF(AND(Inputs!$C$60,Inputs!$C$61),INDEX(Utility_Rates!$C$29:$F$52,HOUR(C3459)+Inputs!$C$69,MATCH(INDEX(Utility_Rates!$K$6:$K$17,MONTH(C3459))&amp;IF(WEEKDAY(C3459,Inputs!$C$76)&lt;=Inputs!$C$74," weekday"," weekend"),Utility_Rates!$C$28:$F$28,Inputs!$C$68)),"")</f>
      </c>
      <c r="H3459" s="34"/>
      <c r="I3459" s="42">
        <f>IF(AND(ISNUMBER(D3459),ISNUMBER(H3459)),D3459*H3459*Inputs!$C$69,"")</f>
      </c>
      <c r="J3459" s="42">
        <f>IF(AND(ISNUMBER(F3459),ISNUMBER(H3459),F3459&gt;=Inputs!$C$68),F3459*H3459*Inputs!$C$69,"")</f>
      </c>
    </row>
    <row r="3460" spans="2:10" ht="15" customHeight="1" x14ac:dyDescent="0.2">
      <c r="B3460" s="39">
        <f t="shared" si="26"/>
      </c>
      <c r="C3460" s="40">
        <f>IF(Inputs!$C$60,Inputs!$C$11+(B3460-Inputs!$C$69)/Inputs!$C$70,"")</f>
      </c>
      <c r="D3460" s="15"/>
      <c r="E3460" s="15"/>
      <c r="F3460" s="11">
        <f t="shared" si="27"/>
      </c>
      <c r="G3460" s="22" cm="1">
        <f t="array" ref="G3460">IF(AND(Inputs!$C$60,Inputs!$C$61),INDEX(Utility_Rates!$C$29:$F$52,HOUR(C3460)+Inputs!$C$69,MATCH(INDEX(Utility_Rates!$K$6:$K$17,MONTH(C3460))&amp;IF(WEEKDAY(C3460,Inputs!$C$76)&lt;=Inputs!$C$74," weekday"," weekend"),Utility_Rates!$C$28:$F$28,Inputs!$C$68)),"")</f>
      </c>
      <c r="H3460" s="34"/>
      <c r="I3460" s="42">
        <f>IF(AND(ISNUMBER(D3460),ISNUMBER(H3460)),D3460*H3460*Inputs!$C$69,"")</f>
      </c>
      <c r="J3460" s="42">
        <f>IF(AND(ISNUMBER(F3460),ISNUMBER(H3460),F3460&gt;=Inputs!$C$68),F3460*H3460*Inputs!$C$69,"")</f>
      </c>
    </row>
    <row r="3461" spans="2:10" ht="15" customHeight="1" x14ac:dyDescent="0.2">
      <c r="B3461" s="39">
        <f t="shared" si="26"/>
      </c>
      <c r="C3461" s="40">
        <f>IF(Inputs!$C$60,Inputs!$C$11+(B3461-Inputs!$C$69)/Inputs!$C$70,"")</f>
      </c>
      <c r="D3461" s="15"/>
      <c r="E3461" s="15"/>
      <c r="F3461" s="11">
        <f t="shared" si="27"/>
      </c>
      <c r="G3461" s="22" cm="1">
        <f t="array" ref="G3461">IF(AND(Inputs!$C$60,Inputs!$C$61),INDEX(Utility_Rates!$C$29:$F$52,HOUR(C3461)+Inputs!$C$69,MATCH(INDEX(Utility_Rates!$K$6:$K$17,MONTH(C3461))&amp;IF(WEEKDAY(C3461,Inputs!$C$76)&lt;=Inputs!$C$74," weekday"," weekend"),Utility_Rates!$C$28:$F$28,Inputs!$C$68)),"")</f>
      </c>
      <c r="H3461" s="34"/>
      <c r="I3461" s="42">
        <f>IF(AND(ISNUMBER(D3461),ISNUMBER(H3461)),D3461*H3461*Inputs!$C$69,"")</f>
      </c>
      <c r="J3461" s="42">
        <f>IF(AND(ISNUMBER(F3461),ISNUMBER(H3461),F3461&gt;=Inputs!$C$68),F3461*H3461*Inputs!$C$69,"")</f>
      </c>
    </row>
    <row r="3462" spans="2:10" ht="15" customHeight="1" x14ac:dyDescent="0.2">
      <c r="B3462" s="39">
        <f t="shared" si="26"/>
      </c>
      <c r="C3462" s="40">
        <f>IF(Inputs!$C$60,Inputs!$C$11+(B3462-Inputs!$C$69)/Inputs!$C$70,"")</f>
      </c>
      <c r="D3462" s="15"/>
      <c r="E3462" s="15"/>
      <c r="F3462" s="11">
        <f t="shared" si="27"/>
      </c>
      <c r="G3462" s="22" cm="1">
        <f t="array" ref="G3462">IF(AND(Inputs!$C$60,Inputs!$C$61),INDEX(Utility_Rates!$C$29:$F$52,HOUR(C3462)+Inputs!$C$69,MATCH(INDEX(Utility_Rates!$K$6:$K$17,MONTH(C3462))&amp;IF(WEEKDAY(C3462,Inputs!$C$76)&lt;=Inputs!$C$74," weekday"," weekend"),Utility_Rates!$C$28:$F$28,Inputs!$C$68)),"")</f>
      </c>
      <c r="H3462" s="34"/>
      <c r="I3462" s="42">
        <f>IF(AND(ISNUMBER(D3462),ISNUMBER(H3462)),D3462*H3462*Inputs!$C$69,"")</f>
      </c>
      <c r="J3462" s="42">
        <f>IF(AND(ISNUMBER(F3462),ISNUMBER(H3462),F3462&gt;=Inputs!$C$68),F3462*H3462*Inputs!$C$69,"")</f>
      </c>
    </row>
    <row r="3463" spans="2:10" ht="15" customHeight="1" x14ac:dyDescent="0.2">
      <c r="B3463" s="39">
        <f t="shared" si="26"/>
      </c>
      <c r="C3463" s="40">
        <f>IF(Inputs!$C$60,Inputs!$C$11+(B3463-Inputs!$C$69)/Inputs!$C$70,"")</f>
      </c>
      <c r="D3463" s="15"/>
      <c r="E3463" s="15"/>
      <c r="F3463" s="11">
        <f t="shared" si="27"/>
      </c>
      <c r="G3463" s="22" cm="1">
        <f t="array" ref="G3463">IF(AND(Inputs!$C$60,Inputs!$C$61),INDEX(Utility_Rates!$C$29:$F$52,HOUR(C3463)+Inputs!$C$69,MATCH(INDEX(Utility_Rates!$K$6:$K$17,MONTH(C3463))&amp;IF(WEEKDAY(C3463,Inputs!$C$76)&lt;=Inputs!$C$74," weekday"," weekend"),Utility_Rates!$C$28:$F$28,Inputs!$C$68)),"")</f>
      </c>
      <c r="H3463" s="34"/>
      <c r="I3463" s="42">
        <f>IF(AND(ISNUMBER(D3463),ISNUMBER(H3463)),D3463*H3463*Inputs!$C$69,"")</f>
      </c>
      <c r="J3463" s="42">
        <f>IF(AND(ISNUMBER(F3463),ISNUMBER(H3463),F3463&gt;=Inputs!$C$68),F3463*H3463*Inputs!$C$69,"")</f>
      </c>
    </row>
    <row r="3464" spans="2:10" ht="15" customHeight="1" x14ac:dyDescent="0.2">
      <c r="B3464" s="39">
        <f t="shared" si="26"/>
      </c>
      <c r="C3464" s="40">
        <f>IF(Inputs!$C$60,Inputs!$C$11+(B3464-Inputs!$C$69)/Inputs!$C$70,"")</f>
      </c>
      <c r="D3464" s="15"/>
      <c r="E3464" s="15"/>
      <c r="F3464" s="11">
        <f t="shared" si="27"/>
      </c>
      <c r="G3464" s="22" cm="1">
        <f t="array" ref="G3464">IF(AND(Inputs!$C$60,Inputs!$C$61),INDEX(Utility_Rates!$C$29:$F$52,HOUR(C3464)+Inputs!$C$69,MATCH(INDEX(Utility_Rates!$K$6:$K$17,MONTH(C3464))&amp;IF(WEEKDAY(C3464,Inputs!$C$76)&lt;=Inputs!$C$74," weekday"," weekend"),Utility_Rates!$C$28:$F$28,Inputs!$C$68)),"")</f>
      </c>
      <c r="H3464" s="34"/>
      <c r="I3464" s="42">
        <f>IF(AND(ISNUMBER(D3464),ISNUMBER(H3464)),D3464*H3464*Inputs!$C$69,"")</f>
      </c>
      <c r="J3464" s="42">
        <f>IF(AND(ISNUMBER(F3464),ISNUMBER(H3464),F3464&gt;=Inputs!$C$68),F3464*H3464*Inputs!$C$69,"")</f>
      </c>
    </row>
    <row r="3465" spans="2:10" ht="15" customHeight="1" x14ac:dyDescent="0.2">
      <c r="B3465" s="39">
        <f t="shared" si="26"/>
      </c>
      <c r="C3465" s="40">
        <f>IF(Inputs!$C$60,Inputs!$C$11+(B3465-Inputs!$C$69)/Inputs!$C$70,"")</f>
      </c>
      <c r="D3465" s="15"/>
      <c r="E3465" s="15"/>
      <c r="F3465" s="11">
        <f t="shared" si="27"/>
      </c>
      <c r="G3465" s="22" cm="1">
        <f t="array" ref="G3465">IF(AND(Inputs!$C$60,Inputs!$C$61),INDEX(Utility_Rates!$C$29:$F$52,HOUR(C3465)+Inputs!$C$69,MATCH(INDEX(Utility_Rates!$K$6:$K$17,MONTH(C3465))&amp;IF(WEEKDAY(C3465,Inputs!$C$76)&lt;=Inputs!$C$74," weekday"," weekend"),Utility_Rates!$C$28:$F$28,Inputs!$C$68)),"")</f>
      </c>
      <c r="H3465" s="34"/>
      <c r="I3465" s="42">
        <f>IF(AND(ISNUMBER(D3465),ISNUMBER(H3465)),D3465*H3465*Inputs!$C$69,"")</f>
      </c>
      <c r="J3465" s="42">
        <f>IF(AND(ISNUMBER(F3465),ISNUMBER(H3465),F3465&gt;=Inputs!$C$68),F3465*H3465*Inputs!$C$69,"")</f>
      </c>
    </row>
    <row r="3466" spans="2:10" ht="15" customHeight="1" x14ac:dyDescent="0.2">
      <c r="B3466" s="39">
        <f t="shared" si="26"/>
      </c>
      <c r="C3466" s="40">
        <f>IF(Inputs!$C$60,Inputs!$C$11+(B3466-Inputs!$C$69)/Inputs!$C$70,"")</f>
      </c>
      <c r="D3466" s="15"/>
      <c r="E3466" s="15"/>
      <c r="F3466" s="11">
        <f t="shared" si="27"/>
      </c>
      <c r="G3466" s="22" cm="1">
        <f t="array" ref="G3466">IF(AND(Inputs!$C$60,Inputs!$C$61),INDEX(Utility_Rates!$C$29:$F$52,HOUR(C3466)+Inputs!$C$69,MATCH(INDEX(Utility_Rates!$K$6:$K$17,MONTH(C3466))&amp;IF(WEEKDAY(C3466,Inputs!$C$76)&lt;=Inputs!$C$74," weekday"," weekend"),Utility_Rates!$C$28:$F$28,Inputs!$C$68)),"")</f>
      </c>
      <c r="H3466" s="34"/>
      <c r="I3466" s="42">
        <f>IF(AND(ISNUMBER(D3466),ISNUMBER(H3466)),D3466*H3466*Inputs!$C$69,"")</f>
      </c>
      <c r="J3466" s="42">
        <f>IF(AND(ISNUMBER(F3466),ISNUMBER(H3466),F3466&gt;=Inputs!$C$68),F3466*H3466*Inputs!$C$69,"")</f>
      </c>
    </row>
    <row r="3467" spans="2:10" ht="15" customHeight="1" x14ac:dyDescent="0.2">
      <c r="B3467" s="39">
        <f t="shared" si="26"/>
      </c>
      <c r="C3467" s="40">
        <f>IF(Inputs!$C$60,Inputs!$C$11+(B3467-Inputs!$C$69)/Inputs!$C$70,"")</f>
      </c>
      <c r="D3467" s="15"/>
      <c r="E3467" s="15"/>
      <c r="F3467" s="11">
        <f t="shared" si="27"/>
      </c>
      <c r="G3467" s="22" cm="1">
        <f t="array" ref="G3467">IF(AND(Inputs!$C$60,Inputs!$C$61),INDEX(Utility_Rates!$C$29:$F$52,HOUR(C3467)+Inputs!$C$69,MATCH(INDEX(Utility_Rates!$K$6:$K$17,MONTH(C3467))&amp;IF(WEEKDAY(C3467,Inputs!$C$76)&lt;=Inputs!$C$74," weekday"," weekend"),Utility_Rates!$C$28:$F$28,Inputs!$C$68)),"")</f>
      </c>
      <c r="H3467" s="34"/>
      <c r="I3467" s="42">
        <f>IF(AND(ISNUMBER(D3467),ISNUMBER(H3467)),D3467*H3467*Inputs!$C$69,"")</f>
      </c>
      <c r="J3467" s="42">
        <f>IF(AND(ISNUMBER(F3467),ISNUMBER(H3467),F3467&gt;=Inputs!$C$68),F3467*H3467*Inputs!$C$69,"")</f>
      </c>
    </row>
    <row r="3468" spans="2:10" ht="15" customHeight="1" x14ac:dyDescent="0.2">
      <c r="B3468" s="39">
        <f t="shared" si="26"/>
      </c>
      <c r="C3468" s="40">
        <f>IF(Inputs!$C$60,Inputs!$C$11+(B3468-Inputs!$C$69)/Inputs!$C$70,"")</f>
      </c>
      <c r="D3468" s="15"/>
      <c r="E3468" s="15"/>
      <c r="F3468" s="11">
        <f t="shared" si="27"/>
      </c>
      <c r="G3468" s="22" cm="1">
        <f t="array" ref="G3468">IF(AND(Inputs!$C$60,Inputs!$C$61),INDEX(Utility_Rates!$C$29:$F$52,HOUR(C3468)+Inputs!$C$69,MATCH(INDEX(Utility_Rates!$K$6:$K$17,MONTH(C3468))&amp;IF(WEEKDAY(C3468,Inputs!$C$76)&lt;=Inputs!$C$74," weekday"," weekend"),Utility_Rates!$C$28:$F$28,Inputs!$C$68)),"")</f>
      </c>
      <c r="H3468" s="34"/>
      <c r="I3468" s="42">
        <f>IF(AND(ISNUMBER(D3468),ISNUMBER(H3468)),D3468*H3468*Inputs!$C$69,"")</f>
      </c>
      <c r="J3468" s="42">
        <f>IF(AND(ISNUMBER(F3468),ISNUMBER(H3468),F3468&gt;=Inputs!$C$68),F3468*H3468*Inputs!$C$69,"")</f>
      </c>
    </row>
    <row r="3469" spans="2:10" ht="15" customHeight="1" x14ac:dyDescent="0.2">
      <c r="B3469" s="39">
        <f t="shared" si="26"/>
      </c>
      <c r="C3469" s="40">
        <f>IF(Inputs!$C$60,Inputs!$C$11+(B3469-Inputs!$C$69)/Inputs!$C$70,"")</f>
      </c>
      <c r="D3469" s="15"/>
      <c r="E3469" s="15"/>
      <c r="F3469" s="11">
        <f t="shared" si="27"/>
      </c>
      <c r="G3469" s="22" cm="1">
        <f t="array" ref="G3469">IF(AND(Inputs!$C$60,Inputs!$C$61),INDEX(Utility_Rates!$C$29:$F$52,HOUR(C3469)+Inputs!$C$69,MATCH(INDEX(Utility_Rates!$K$6:$K$17,MONTH(C3469))&amp;IF(WEEKDAY(C3469,Inputs!$C$76)&lt;=Inputs!$C$74," weekday"," weekend"),Utility_Rates!$C$28:$F$28,Inputs!$C$68)),"")</f>
      </c>
      <c r="H3469" s="34"/>
      <c r="I3469" s="42">
        <f>IF(AND(ISNUMBER(D3469),ISNUMBER(H3469)),D3469*H3469*Inputs!$C$69,"")</f>
      </c>
      <c r="J3469" s="42">
        <f>IF(AND(ISNUMBER(F3469),ISNUMBER(H3469),F3469&gt;=Inputs!$C$68),F3469*H3469*Inputs!$C$69,"")</f>
      </c>
    </row>
    <row r="3470" spans="2:10" ht="15" customHeight="1" x14ac:dyDescent="0.2">
      <c r="B3470" s="39">
        <f t="shared" si="26"/>
      </c>
      <c r="C3470" s="40">
        <f>IF(Inputs!$C$60,Inputs!$C$11+(B3470-Inputs!$C$69)/Inputs!$C$70,"")</f>
      </c>
      <c r="D3470" s="15"/>
      <c r="E3470" s="15"/>
      <c r="F3470" s="11">
        <f t="shared" si="27"/>
      </c>
      <c r="G3470" s="22" cm="1">
        <f t="array" ref="G3470">IF(AND(Inputs!$C$60,Inputs!$C$61),INDEX(Utility_Rates!$C$29:$F$52,HOUR(C3470)+Inputs!$C$69,MATCH(INDEX(Utility_Rates!$K$6:$K$17,MONTH(C3470))&amp;IF(WEEKDAY(C3470,Inputs!$C$76)&lt;=Inputs!$C$74," weekday"," weekend"),Utility_Rates!$C$28:$F$28,Inputs!$C$68)),"")</f>
      </c>
      <c r="H3470" s="34"/>
      <c r="I3470" s="42">
        <f>IF(AND(ISNUMBER(D3470),ISNUMBER(H3470)),D3470*H3470*Inputs!$C$69,"")</f>
      </c>
      <c r="J3470" s="42">
        <f>IF(AND(ISNUMBER(F3470),ISNUMBER(H3470),F3470&gt;=Inputs!$C$68),F3470*H3470*Inputs!$C$69,"")</f>
      </c>
    </row>
    <row r="3471" spans="2:10" ht="15" customHeight="1" x14ac:dyDescent="0.2">
      <c r="B3471" s="39">
        <f t="shared" si="26"/>
      </c>
      <c r="C3471" s="40">
        <f>IF(Inputs!$C$60,Inputs!$C$11+(B3471-Inputs!$C$69)/Inputs!$C$70,"")</f>
      </c>
      <c r="D3471" s="15"/>
      <c r="E3471" s="15"/>
      <c r="F3471" s="11">
        <f t="shared" si="27"/>
      </c>
      <c r="G3471" s="22" cm="1">
        <f t="array" ref="G3471">IF(AND(Inputs!$C$60,Inputs!$C$61),INDEX(Utility_Rates!$C$29:$F$52,HOUR(C3471)+Inputs!$C$69,MATCH(INDEX(Utility_Rates!$K$6:$K$17,MONTH(C3471))&amp;IF(WEEKDAY(C3471,Inputs!$C$76)&lt;=Inputs!$C$74," weekday"," weekend"),Utility_Rates!$C$28:$F$28,Inputs!$C$68)),"")</f>
      </c>
      <c r="H3471" s="34"/>
      <c r="I3471" s="42">
        <f>IF(AND(ISNUMBER(D3471),ISNUMBER(H3471)),D3471*H3471*Inputs!$C$69,"")</f>
      </c>
      <c r="J3471" s="42">
        <f>IF(AND(ISNUMBER(F3471),ISNUMBER(H3471),F3471&gt;=Inputs!$C$68),F3471*H3471*Inputs!$C$69,"")</f>
      </c>
    </row>
    <row r="3472" spans="2:10" ht="15" customHeight="1" x14ac:dyDescent="0.2">
      <c r="B3472" s="39">
        <f t="shared" si="26"/>
      </c>
      <c r="C3472" s="40">
        <f>IF(Inputs!$C$60,Inputs!$C$11+(B3472-Inputs!$C$69)/Inputs!$C$70,"")</f>
      </c>
      <c r="D3472" s="15"/>
      <c r="E3472" s="15"/>
      <c r="F3472" s="11">
        <f t="shared" si="27"/>
      </c>
      <c r="G3472" s="22" cm="1">
        <f t="array" ref="G3472">IF(AND(Inputs!$C$60,Inputs!$C$61),INDEX(Utility_Rates!$C$29:$F$52,HOUR(C3472)+Inputs!$C$69,MATCH(INDEX(Utility_Rates!$K$6:$K$17,MONTH(C3472))&amp;IF(WEEKDAY(C3472,Inputs!$C$76)&lt;=Inputs!$C$74," weekday"," weekend"),Utility_Rates!$C$28:$F$28,Inputs!$C$68)),"")</f>
      </c>
      <c r="H3472" s="34"/>
      <c r="I3472" s="42">
        <f>IF(AND(ISNUMBER(D3472),ISNUMBER(H3472)),D3472*H3472*Inputs!$C$69,"")</f>
      </c>
      <c r="J3472" s="42">
        <f>IF(AND(ISNUMBER(F3472),ISNUMBER(H3472),F3472&gt;=Inputs!$C$68),F3472*H3472*Inputs!$C$69,"")</f>
      </c>
    </row>
    <row r="3473" spans="2:10" ht="15" customHeight="1" x14ac:dyDescent="0.2">
      <c r="B3473" s="39">
        <f t="shared" si="26"/>
      </c>
      <c r="C3473" s="40">
        <f>IF(Inputs!$C$60,Inputs!$C$11+(B3473-Inputs!$C$69)/Inputs!$C$70,"")</f>
      </c>
      <c r="D3473" s="15"/>
      <c r="E3473" s="15"/>
      <c r="F3473" s="11">
        <f t="shared" si="27"/>
      </c>
      <c r="G3473" s="22" cm="1">
        <f t="array" ref="G3473">IF(AND(Inputs!$C$60,Inputs!$C$61),INDEX(Utility_Rates!$C$29:$F$52,HOUR(C3473)+Inputs!$C$69,MATCH(INDEX(Utility_Rates!$K$6:$K$17,MONTH(C3473))&amp;IF(WEEKDAY(C3473,Inputs!$C$76)&lt;=Inputs!$C$74," weekday"," weekend"),Utility_Rates!$C$28:$F$28,Inputs!$C$68)),"")</f>
      </c>
      <c r="H3473" s="34"/>
      <c r="I3473" s="42">
        <f>IF(AND(ISNUMBER(D3473),ISNUMBER(H3473)),D3473*H3473*Inputs!$C$69,"")</f>
      </c>
      <c r="J3473" s="42">
        <f>IF(AND(ISNUMBER(F3473),ISNUMBER(H3473),F3473&gt;=Inputs!$C$68),F3473*H3473*Inputs!$C$69,"")</f>
      </c>
    </row>
    <row r="3474" spans="2:10" ht="15" customHeight="1" x14ac:dyDescent="0.2">
      <c r="B3474" s="39">
        <f t="shared" si="26"/>
      </c>
      <c r="C3474" s="40">
        <f>IF(Inputs!$C$60,Inputs!$C$11+(B3474-Inputs!$C$69)/Inputs!$C$70,"")</f>
      </c>
      <c r="D3474" s="15"/>
      <c r="E3474" s="15"/>
      <c r="F3474" s="11">
        <f t="shared" si="27"/>
      </c>
      <c r="G3474" s="22" cm="1">
        <f t="array" ref="G3474">IF(AND(Inputs!$C$60,Inputs!$C$61),INDEX(Utility_Rates!$C$29:$F$52,HOUR(C3474)+Inputs!$C$69,MATCH(INDEX(Utility_Rates!$K$6:$K$17,MONTH(C3474))&amp;IF(WEEKDAY(C3474,Inputs!$C$76)&lt;=Inputs!$C$74," weekday"," weekend"),Utility_Rates!$C$28:$F$28,Inputs!$C$68)),"")</f>
      </c>
      <c r="H3474" s="34"/>
      <c r="I3474" s="42">
        <f>IF(AND(ISNUMBER(D3474),ISNUMBER(H3474)),D3474*H3474*Inputs!$C$69,"")</f>
      </c>
      <c r="J3474" s="42">
        <f>IF(AND(ISNUMBER(F3474),ISNUMBER(H3474),F3474&gt;=Inputs!$C$68),F3474*H3474*Inputs!$C$69,"")</f>
      </c>
    </row>
    <row r="3475" spans="2:10" ht="15" customHeight="1" x14ac:dyDescent="0.2">
      <c r="B3475" s="39">
        <f t="shared" si="26"/>
      </c>
      <c r="C3475" s="40">
        <f>IF(Inputs!$C$60,Inputs!$C$11+(B3475-Inputs!$C$69)/Inputs!$C$70,"")</f>
      </c>
      <c r="D3475" s="15"/>
      <c r="E3475" s="15"/>
      <c r="F3475" s="11">
        <f t="shared" si="27"/>
      </c>
      <c r="G3475" s="22" cm="1">
        <f t="array" ref="G3475">IF(AND(Inputs!$C$60,Inputs!$C$61),INDEX(Utility_Rates!$C$29:$F$52,HOUR(C3475)+Inputs!$C$69,MATCH(INDEX(Utility_Rates!$K$6:$K$17,MONTH(C3475))&amp;IF(WEEKDAY(C3475,Inputs!$C$76)&lt;=Inputs!$C$74," weekday"," weekend"),Utility_Rates!$C$28:$F$28,Inputs!$C$68)),"")</f>
      </c>
      <c r="H3475" s="34"/>
      <c r="I3475" s="42">
        <f>IF(AND(ISNUMBER(D3475),ISNUMBER(H3475)),D3475*H3475*Inputs!$C$69,"")</f>
      </c>
      <c r="J3475" s="42">
        <f>IF(AND(ISNUMBER(F3475),ISNUMBER(H3475),F3475&gt;=Inputs!$C$68),F3475*H3475*Inputs!$C$69,"")</f>
      </c>
    </row>
    <row r="3476" spans="2:10" ht="15" customHeight="1" x14ac:dyDescent="0.2">
      <c r="B3476" s="39">
        <f t="shared" si="26"/>
      </c>
      <c r="C3476" s="40">
        <f>IF(Inputs!$C$60,Inputs!$C$11+(B3476-Inputs!$C$69)/Inputs!$C$70,"")</f>
      </c>
      <c r="D3476" s="15"/>
      <c r="E3476" s="15"/>
      <c r="F3476" s="11">
        <f t="shared" si="27"/>
      </c>
      <c r="G3476" s="22" cm="1">
        <f t="array" ref="G3476">IF(AND(Inputs!$C$60,Inputs!$C$61),INDEX(Utility_Rates!$C$29:$F$52,HOUR(C3476)+Inputs!$C$69,MATCH(INDEX(Utility_Rates!$K$6:$K$17,MONTH(C3476))&amp;IF(WEEKDAY(C3476,Inputs!$C$76)&lt;=Inputs!$C$74," weekday"," weekend"),Utility_Rates!$C$28:$F$28,Inputs!$C$68)),"")</f>
      </c>
      <c r="H3476" s="34"/>
      <c r="I3476" s="42">
        <f>IF(AND(ISNUMBER(D3476),ISNUMBER(H3476)),D3476*H3476*Inputs!$C$69,"")</f>
      </c>
      <c r="J3476" s="42">
        <f>IF(AND(ISNUMBER(F3476),ISNUMBER(H3476),F3476&gt;=Inputs!$C$68),F3476*H3476*Inputs!$C$69,"")</f>
      </c>
    </row>
    <row r="3477" spans="2:10" ht="15" customHeight="1" x14ac:dyDescent="0.2">
      <c r="B3477" s="39">
        <f t="shared" si="26"/>
      </c>
      <c r="C3477" s="40">
        <f>IF(Inputs!$C$60,Inputs!$C$11+(B3477-Inputs!$C$69)/Inputs!$C$70,"")</f>
      </c>
      <c r="D3477" s="15"/>
      <c r="E3477" s="15"/>
      <c r="F3477" s="11">
        <f t="shared" si="27"/>
      </c>
      <c r="G3477" s="22" cm="1">
        <f t="array" ref="G3477">IF(AND(Inputs!$C$60,Inputs!$C$61),INDEX(Utility_Rates!$C$29:$F$52,HOUR(C3477)+Inputs!$C$69,MATCH(INDEX(Utility_Rates!$K$6:$K$17,MONTH(C3477))&amp;IF(WEEKDAY(C3477,Inputs!$C$76)&lt;=Inputs!$C$74," weekday"," weekend"),Utility_Rates!$C$28:$F$28,Inputs!$C$68)),"")</f>
      </c>
      <c r="H3477" s="34"/>
      <c r="I3477" s="42">
        <f>IF(AND(ISNUMBER(D3477),ISNUMBER(H3477)),D3477*H3477*Inputs!$C$69,"")</f>
      </c>
      <c r="J3477" s="42">
        <f>IF(AND(ISNUMBER(F3477),ISNUMBER(H3477),F3477&gt;=Inputs!$C$68),F3477*H3477*Inputs!$C$69,"")</f>
      </c>
    </row>
    <row r="3478" spans="2:10" ht="15" customHeight="1" x14ac:dyDescent="0.2">
      <c r="B3478" s="39">
        <f t="shared" si="26"/>
      </c>
      <c r="C3478" s="40">
        <f>IF(Inputs!$C$60,Inputs!$C$11+(B3478-Inputs!$C$69)/Inputs!$C$70,"")</f>
      </c>
      <c r="D3478" s="15"/>
      <c r="E3478" s="15"/>
      <c r="F3478" s="11">
        <f t="shared" si="27"/>
      </c>
      <c r="G3478" s="22" cm="1">
        <f t="array" ref="G3478">IF(AND(Inputs!$C$60,Inputs!$C$61),INDEX(Utility_Rates!$C$29:$F$52,HOUR(C3478)+Inputs!$C$69,MATCH(INDEX(Utility_Rates!$K$6:$K$17,MONTH(C3478))&amp;IF(WEEKDAY(C3478,Inputs!$C$76)&lt;=Inputs!$C$74," weekday"," weekend"),Utility_Rates!$C$28:$F$28,Inputs!$C$68)),"")</f>
      </c>
      <c r="H3478" s="34"/>
      <c r="I3478" s="42">
        <f>IF(AND(ISNUMBER(D3478),ISNUMBER(H3478)),D3478*H3478*Inputs!$C$69,"")</f>
      </c>
      <c r="J3478" s="42">
        <f>IF(AND(ISNUMBER(F3478),ISNUMBER(H3478),F3478&gt;=Inputs!$C$68),F3478*H3478*Inputs!$C$69,"")</f>
      </c>
    </row>
    <row r="3479" spans="2:10" ht="15" customHeight="1" x14ac:dyDescent="0.2">
      <c r="B3479" s="39">
        <f t="shared" si="26"/>
      </c>
      <c r="C3479" s="40">
        <f>IF(Inputs!$C$60,Inputs!$C$11+(B3479-Inputs!$C$69)/Inputs!$C$70,"")</f>
      </c>
      <c r="D3479" s="15"/>
      <c r="E3479" s="15"/>
      <c r="F3479" s="11">
        <f t="shared" si="27"/>
      </c>
      <c r="G3479" s="22" cm="1">
        <f t="array" ref="G3479">IF(AND(Inputs!$C$60,Inputs!$C$61),INDEX(Utility_Rates!$C$29:$F$52,HOUR(C3479)+Inputs!$C$69,MATCH(INDEX(Utility_Rates!$K$6:$K$17,MONTH(C3479))&amp;IF(WEEKDAY(C3479,Inputs!$C$76)&lt;=Inputs!$C$74," weekday"," weekend"),Utility_Rates!$C$28:$F$28,Inputs!$C$68)),"")</f>
      </c>
      <c r="H3479" s="34"/>
      <c r="I3479" s="42">
        <f>IF(AND(ISNUMBER(D3479),ISNUMBER(H3479)),D3479*H3479*Inputs!$C$69,"")</f>
      </c>
      <c r="J3479" s="42">
        <f>IF(AND(ISNUMBER(F3479),ISNUMBER(H3479),F3479&gt;=Inputs!$C$68),F3479*H3479*Inputs!$C$69,"")</f>
      </c>
    </row>
    <row r="3480" spans="2:10" ht="15" customHeight="1" x14ac:dyDescent="0.2">
      <c r="B3480" s="39">
        <f t="shared" si="26"/>
      </c>
      <c r="C3480" s="40">
        <f>IF(Inputs!$C$60,Inputs!$C$11+(B3480-Inputs!$C$69)/Inputs!$C$70,"")</f>
      </c>
      <c r="D3480" s="15"/>
      <c r="E3480" s="15"/>
      <c r="F3480" s="11">
        <f t="shared" si="27"/>
      </c>
      <c r="G3480" s="22" cm="1">
        <f t="array" ref="G3480">IF(AND(Inputs!$C$60,Inputs!$C$61),INDEX(Utility_Rates!$C$29:$F$52,HOUR(C3480)+Inputs!$C$69,MATCH(INDEX(Utility_Rates!$K$6:$K$17,MONTH(C3480))&amp;IF(WEEKDAY(C3480,Inputs!$C$76)&lt;=Inputs!$C$74," weekday"," weekend"),Utility_Rates!$C$28:$F$28,Inputs!$C$68)),"")</f>
      </c>
      <c r="H3480" s="34"/>
      <c r="I3480" s="42">
        <f>IF(AND(ISNUMBER(D3480),ISNUMBER(H3480)),D3480*H3480*Inputs!$C$69,"")</f>
      </c>
      <c r="J3480" s="42">
        <f>IF(AND(ISNUMBER(F3480),ISNUMBER(H3480),F3480&gt;=Inputs!$C$68),F3480*H3480*Inputs!$C$69,"")</f>
      </c>
    </row>
    <row r="3481" spans="2:10" ht="15" customHeight="1" x14ac:dyDescent="0.2">
      <c r="B3481" s="39">
        <f t="shared" si="26"/>
      </c>
      <c r="C3481" s="40">
        <f>IF(Inputs!$C$60,Inputs!$C$11+(B3481-Inputs!$C$69)/Inputs!$C$70,"")</f>
      </c>
      <c r="D3481" s="15"/>
      <c r="E3481" s="15"/>
      <c r="F3481" s="11">
        <f t="shared" si="27"/>
      </c>
      <c r="G3481" s="22" cm="1">
        <f t="array" ref="G3481">IF(AND(Inputs!$C$60,Inputs!$C$61),INDEX(Utility_Rates!$C$29:$F$52,HOUR(C3481)+Inputs!$C$69,MATCH(INDEX(Utility_Rates!$K$6:$K$17,MONTH(C3481))&amp;IF(WEEKDAY(C3481,Inputs!$C$76)&lt;=Inputs!$C$74," weekday"," weekend"),Utility_Rates!$C$28:$F$28,Inputs!$C$68)),"")</f>
      </c>
      <c r="H3481" s="34"/>
      <c r="I3481" s="42">
        <f>IF(AND(ISNUMBER(D3481),ISNUMBER(H3481)),D3481*H3481*Inputs!$C$69,"")</f>
      </c>
      <c r="J3481" s="42">
        <f>IF(AND(ISNUMBER(F3481),ISNUMBER(H3481),F3481&gt;=Inputs!$C$68),F3481*H3481*Inputs!$C$69,"")</f>
      </c>
    </row>
    <row r="3482" spans="2:10" ht="15" customHeight="1" x14ac:dyDescent="0.2">
      <c r="B3482" s="39">
        <f t="shared" si="26"/>
      </c>
      <c r="C3482" s="40">
        <f>IF(Inputs!$C$60,Inputs!$C$11+(B3482-Inputs!$C$69)/Inputs!$C$70,"")</f>
      </c>
      <c r="D3482" s="15"/>
      <c r="E3482" s="15"/>
      <c r="F3482" s="11">
        <f t="shared" si="27"/>
      </c>
      <c r="G3482" s="22" cm="1">
        <f t="array" ref="G3482">IF(AND(Inputs!$C$60,Inputs!$C$61),INDEX(Utility_Rates!$C$29:$F$52,HOUR(C3482)+Inputs!$C$69,MATCH(INDEX(Utility_Rates!$K$6:$K$17,MONTH(C3482))&amp;IF(WEEKDAY(C3482,Inputs!$C$76)&lt;=Inputs!$C$74," weekday"," weekend"),Utility_Rates!$C$28:$F$28,Inputs!$C$68)),"")</f>
      </c>
      <c r="H3482" s="34"/>
      <c r="I3482" s="42">
        <f>IF(AND(ISNUMBER(D3482),ISNUMBER(H3482)),D3482*H3482*Inputs!$C$69,"")</f>
      </c>
      <c r="J3482" s="42">
        <f>IF(AND(ISNUMBER(F3482),ISNUMBER(H3482),F3482&gt;=Inputs!$C$68),F3482*H3482*Inputs!$C$69,"")</f>
      </c>
    </row>
    <row r="3483" spans="2:10" ht="15" customHeight="1" x14ac:dyDescent="0.2">
      <c r="B3483" s="39">
        <f t="shared" si="26"/>
      </c>
      <c r="C3483" s="40">
        <f>IF(Inputs!$C$60,Inputs!$C$11+(B3483-Inputs!$C$69)/Inputs!$C$70,"")</f>
      </c>
      <c r="D3483" s="15"/>
      <c r="E3483" s="15"/>
      <c r="F3483" s="11">
        <f t="shared" si="27"/>
      </c>
      <c r="G3483" s="22" cm="1">
        <f t="array" ref="G3483">IF(AND(Inputs!$C$60,Inputs!$C$61),INDEX(Utility_Rates!$C$29:$F$52,HOUR(C3483)+Inputs!$C$69,MATCH(INDEX(Utility_Rates!$K$6:$K$17,MONTH(C3483))&amp;IF(WEEKDAY(C3483,Inputs!$C$76)&lt;=Inputs!$C$74," weekday"," weekend"),Utility_Rates!$C$28:$F$28,Inputs!$C$68)),"")</f>
      </c>
      <c r="H3483" s="34"/>
      <c r="I3483" s="42">
        <f>IF(AND(ISNUMBER(D3483),ISNUMBER(H3483)),D3483*H3483*Inputs!$C$69,"")</f>
      </c>
      <c r="J3483" s="42">
        <f>IF(AND(ISNUMBER(F3483),ISNUMBER(H3483),F3483&gt;=Inputs!$C$68),F3483*H3483*Inputs!$C$69,"")</f>
      </c>
    </row>
    <row r="3484" spans="2:10" ht="15" customHeight="1" x14ac:dyDescent="0.2">
      <c r="B3484" s="39">
        <f t="shared" si="26"/>
      </c>
      <c r="C3484" s="40">
        <f>IF(Inputs!$C$60,Inputs!$C$11+(B3484-Inputs!$C$69)/Inputs!$C$70,"")</f>
      </c>
      <c r="D3484" s="15"/>
      <c r="E3484" s="15"/>
      <c r="F3484" s="11">
        <f t="shared" si="27"/>
      </c>
      <c r="G3484" s="22" cm="1">
        <f t="array" ref="G3484">IF(AND(Inputs!$C$60,Inputs!$C$61),INDEX(Utility_Rates!$C$29:$F$52,HOUR(C3484)+Inputs!$C$69,MATCH(INDEX(Utility_Rates!$K$6:$K$17,MONTH(C3484))&amp;IF(WEEKDAY(C3484,Inputs!$C$76)&lt;=Inputs!$C$74," weekday"," weekend"),Utility_Rates!$C$28:$F$28,Inputs!$C$68)),"")</f>
      </c>
      <c r="H3484" s="34"/>
      <c r="I3484" s="42">
        <f>IF(AND(ISNUMBER(D3484),ISNUMBER(H3484)),D3484*H3484*Inputs!$C$69,"")</f>
      </c>
      <c r="J3484" s="42">
        <f>IF(AND(ISNUMBER(F3484),ISNUMBER(H3484),F3484&gt;=Inputs!$C$68),F3484*H3484*Inputs!$C$69,"")</f>
      </c>
    </row>
    <row r="3485" spans="2:10" ht="15" customHeight="1" x14ac:dyDescent="0.2">
      <c r="B3485" s="39">
        <f t="shared" si="26"/>
      </c>
      <c r="C3485" s="40">
        <f>IF(Inputs!$C$60,Inputs!$C$11+(B3485-Inputs!$C$69)/Inputs!$C$70,"")</f>
      </c>
      <c r="D3485" s="15"/>
      <c r="E3485" s="15"/>
      <c r="F3485" s="11">
        <f t="shared" si="27"/>
      </c>
      <c r="G3485" s="22" cm="1">
        <f t="array" ref="G3485">IF(AND(Inputs!$C$60,Inputs!$C$61),INDEX(Utility_Rates!$C$29:$F$52,HOUR(C3485)+Inputs!$C$69,MATCH(INDEX(Utility_Rates!$K$6:$K$17,MONTH(C3485))&amp;IF(WEEKDAY(C3485,Inputs!$C$76)&lt;=Inputs!$C$74," weekday"," weekend"),Utility_Rates!$C$28:$F$28,Inputs!$C$68)),"")</f>
      </c>
      <c r="H3485" s="34"/>
      <c r="I3485" s="42">
        <f>IF(AND(ISNUMBER(D3485),ISNUMBER(H3485)),D3485*H3485*Inputs!$C$69,"")</f>
      </c>
      <c r="J3485" s="42">
        <f>IF(AND(ISNUMBER(F3485),ISNUMBER(H3485),F3485&gt;=Inputs!$C$68),F3485*H3485*Inputs!$C$69,"")</f>
      </c>
    </row>
    <row r="3486" spans="2:10" ht="15" customHeight="1" x14ac:dyDescent="0.2">
      <c r="B3486" s="39">
        <f t="shared" si="26"/>
      </c>
      <c r="C3486" s="40">
        <f>IF(Inputs!$C$60,Inputs!$C$11+(B3486-Inputs!$C$69)/Inputs!$C$70,"")</f>
      </c>
      <c r="D3486" s="15"/>
      <c r="E3486" s="15"/>
      <c r="F3486" s="11">
        <f t="shared" si="27"/>
      </c>
      <c r="G3486" s="22" cm="1">
        <f t="array" ref="G3486">IF(AND(Inputs!$C$60,Inputs!$C$61),INDEX(Utility_Rates!$C$29:$F$52,HOUR(C3486)+Inputs!$C$69,MATCH(INDEX(Utility_Rates!$K$6:$K$17,MONTH(C3486))&amp;IF(WEEKDAY(C3486,Inputs!$C$76)&lt;=Inputs!$C$74," weekday"," weekend"),Utility_Rates!$C$28:$F$28,Inputs!$C$68)),"")</f>
      </c>
      <c r="H3486" s="34"/>
      <c r="I3486" s="42">
        <f>IF(AND(ISNUMBER(D3486),ISNUMBER(H3486)),D3486*H3486*Inputs!$C$69,"")</f>
      </c>
      <c r="J3486" s="42">
        <f>IF(AND(ISNUMBER(F3486),ISNUMBER(H3486),F3486&gt;=Inputs!$C$68),F3486*H3486*Inputs!$C$69,"")</f>
      </c>
    </row>
    <row r="3487" spans="2:10" ht="15" customHeight="1" x14ac:dyDescent="0.2">
      <c r="B3487" s="39">
        <f t="shared" si="26"/>
      </c>
      <c r="C3487" s="40">
        <f>IF(Inputs!$C$60,Inputs!$C$11+(B3487-Inputs!$C$69)/Inputs!$C$70,"")</f>
      </c>
      <c r="D3487" s="15"/>
      <c r="E3487" s="15"/>
      <c r="F3487" s="11">
        <f t="shared" si="27"/>
      </c>
      <c r="G3487" s="22" cm="1">
        <f t="array" ref="G3487">IF(AND(Inputs!$C$60,Inputs!$C$61),INDEX(Utility_Rates!$C$29:$F$52,HOUR(C3487)+Inputs!$C$69,MATCH(INDEX(Utility_Rates!$K$6:$K$17,MONTH(C3487))&amp;IF(WEEKDAY(C3487,Inputs!$C$76)&lt;=Inputs!$C$74," weekday"," weekend"),Utility_Rates!$C$28:$F$28,Inputs!$C$68)),"")</f>
      </c>
      <c r="H3487" s="34"/>
      <c r="I3487" s="42">
        <f>IF(AND(ISNUMBER(D3487),ISNUMBER(H3487)),D3487*H3487*Inputs!$C$69,"")</f>
      </c>
      <c r="J3487" s="42">
        <f>IF(AND(ISNUMBER(F3487),ISNUMBER(H3487),F3487&gt;=Inputs!$C$68),F3487*H3487*Inputs!$C$69,"")</f>
      </c>
    </row>
    <row r="3488" spans="2:10" ht="15" customHeight="1" x14ac:dyDescent="0.2">
      <c r="B3488" s="39">
        <f t="shared" si="26"/>
      </c>
      <c r="C3488" s="40">
        <f>IF(Inputs!$C$60,Inputs!$C$11+(B3488-Inputs!$C$69)/Inputs!$C$70,"")</f>
      </c>
      <c r="D3488" s="15"/>
      <c r="E3488" s="15"/>
      <c r="F3488" s="11">
        <f t="shared" si="27"/>
      </c>
      <c r="G3488" s="22" cm="1">
        <f t="array" ref="G3488">IF(AND(Inputs!$C$60,Inputs!$C$61),INDEX(Utility_Rates!$C$29:$F$52,HOUR(C3488)+Inputs!$C$69,MATCH(INDEX(Utility_Rates!$K$6:$K$17,MONTH(C3488))&amp;IF(WEEKDAY(C3488,Inputs!$C$76)&lt;=Inputs!$C$74," weekday"," weekend"),Utility_Rates!$C$28:$F$28,Inputs!$C$68)),"")</f>
      </c>
      <c r="H3488" s="34"/>
      <c r="I3488" s="42">
        <f>IF(AND(ISNUMBER(D3488),ISNUMBER(H3488)),D3488*H3488*Inputs!$C$69,"")</f>
      </c>
      <c r="J3488" s="42">
        <f>IF(AND(ISNUMBER(F3488),ISNUMBER(H3488),F3488&gt;=Inputs!$C$68),F3488*H3488*Inputs!$C$69,"")</f>
      </c>
    </row>
    <row r="3489" spans="2:10" ht="15" customHeight="1" x14ac:dyDescent="0.2">
      <c r="B3489" s="39">
        <f t="shared" si="26"/>
      </c>
      <c r="C3489" s="40">
        <f>IF(Inputs!$C$60,Inputs!$C$11+(B3489-Inputs!$C$69)/Inputs!$C$70,"")</f>
      </c>
      <c r="D3489" s="15"/>
      <c r="E3489" s="15"/>
      <c r="F3489" s="11">
        <f t="shared" si="27"/>
      </c>
      <c r="G3489" s="22" cm="1">
        <f t="array" ref="G3489">IF(AND(Inputs!$C$60,Inputs!$C$61),INDEX(Utility_Rates!$C$29:$F$52,HOUR(C3489)+Inputs!$C$69,MATCH(INDEX(Utility_Rates!$K$6:$K$17,MONTH(C3489))&amp;IF(WEEKDAY(C3489,Inputs!$C$76)&lt;=Inputs!$C$74," weekday"," weekend"),Utility_Rates!$C$28:$F$28,Inputs!$C$68)),"")</f>
      </c>
      <c r="H3489" s="34"/>
      <c r="I3489" s="42">
        <f>IF(AND(ISNUMBER(D3489),ISNUMBER(H3489)),D3489*H3489*Inputs!$C$69,"")</f>
      </c>
      <c r="J3489" s="42">
        <f>IF(AND(ISNUMBER(F3489),ISNUMBER(H3489),F3489&gt;=Inputs!$C$68),F3489*H3489*Inputs!$C$69,"")</f>
      </c>
    </row>
    <row r="3490" spans="2:10" ht="15" customHeight="1" x14ac:dyDescent="0.2">
      <c r="B3490" s="39">
        <f t="shared" si="26"/>
      </c>
      <c r="C3490" s="40">
        <f>IF(Inputs!$C$60,Inputs!$C$11+(B3490-Inputs!$C$69)/Inputs!$C$70,"")</f>
      </c>
      <c r="D3490" s="15"/>
      <c r="E3490" s="15"/>
      <c r="F3490" s="11">
        <f t="shared" si="27"/>
      </c>
      <c r="G3490" s="22" cm="1">
        <f t="array" ref="G3490">IF(AND(Inputs!$C$60,Inputs!$C$61),INDEX(Utility_Rates!$C$29:$F$52,HOUR(C3490)+Inputs!$C$69,MATCH(INDEX(Utility_Rates!$K$6:$K$17,MONTH(C3490))&amp;IF(WEEKDAY(C3490,Inputs!$C$76)&lt;=Inputs!$C$74," weekday"," weekend"),Utility_Rates!$C$28:$F$28,Inputs!$C$68)),"")</f>
      </c>
      <c r="H3490" s="34"/>
      <c r="I3490" s="42">
        <f>IF(AND(ISNUMBER(D3490),ISNUMBER(H3490)),D3490*H3490*Inputs!$C$69,"")</f>
      </c>
      <c r="J3490" s="42">
        <f>IF(AND(ISNUMBER(F3490),ISNUMBER(H3490),F3490&gt;=Inputs!$C$68),F3490*H3490*Inputs!$C$69,"")</f>
      </c>
    </row>
    <row r="3491" spans="2:10" ht="15" customHeight="1" x14ac:dyDescent="0.2">
      <c r="B3491" s="39">
        <f t="shared" si="26"/>
      </c>
      <c r="C3491" s="40">
        <f>IF(Inputs!$C$60,Inputs!$C$11+(B3491-Inputs!$C$69)/Inputs!$C$70,"")</f>
      </c>
      <c r="D3491" s="15"/>
      <c r="E3491" s="15"/>
      <c r="F3491" s="11">
        <f t="shared" si="27"/>
      </c>
      <c r="G3491" s="22" cm="1">
        <f t="array" ref="G3491">IF(AND(Inputs!$C$60,Inputs!$C$61),INDEX(Utility_Rates!$C$29:$F$52,HOUR(C3491)+Inputs!$C$69,MATCH(INDEX(Utility_Rates!$K$6:$K$17,MONTH(C3491))&amp;IF(WEEKDAY(C3491,Inputs!$C$76)&lt;=Inputs!$C$74," weekday"," weekend"),Utility_Rates!$C$28:$F$28,Inputs!$C$68)),"")</f>
      </c>
      <c r="H3491" s="34"/>
      <c r="I3491" s="42">
        <f>IF(AND(ISNUMBER(D3491),ISNUMBER(H3491)),D3491*H3491*Inputs!$C$69,"")</f>
      </c>
      <c r="J3491" s="42">
        <f>IF(AND(ISNUMBER(F3491),ISNUMBER(H3491),F3491&gt;=Inputs!$C$68),F3491*H3491*Inputs!$C$69,"")</f>
      </c>
    </row>
    <row r="3492" spans="2:10" ht="15" customHeight="1" x14ac:dyDescent="0.2">
      <c r="B3492" s="39">
        <f t="shared" si="26"/>
      </c>
      <c r="C3492" s="40">
        <f>IF(Inputs!$C$60,Inputs!$C$11+(B3492-Inputs!$C$69)/Inputs!$C$70,"")</f>
      </c>
      <c r="D3492" s="15"/>
      <c r="E3492" s="15"/>
      <c r="F3492" s="11">
        <f t="shared" si="27"/>
      </c>
      <c r="G3492" s="22" cm="1">
        <f t="array" ref="G3492">IF(AND(Inputs!$C$60,Inputs!$C$61),INDEX(Utility_Rates!$C$29:$F$52,HOUR(C3492)+Inputs!$C$69,MATCH(INDEX(Utility_Rates!$K$6:$K$17,MONTH(C3492))&amp;IF(WEEKDAY(C3492,Inputs!$C$76)&lt;=Inputs!$C$74," weekday"," weekend"),Utility_Rates!$C$28:$F$28,Inputs!$C$68)),"")</f>
      </c>
      <c r="H3492" s="34"/>
      <c r="I3492" s="42">
        <f>IF(AND(ISNUMBER(D3492),ISNUMBER(H3492)),D3492*H3492*Inputs!$C$69,"")</f>
      </c>
      <c r="J3492" s="42">
        <f>IF(AND(ISNUMBER(F3492),ISNUMBER(H3492),F3492&gt;=Inputs!$C$68),F3492*H3492*Inputs!$C$69,"")</f>
      </c>
    </row>
    <row r="3493" spans="2:10" ht="15" customHeight="1" x14ac:dyDescent="0.2">
      <c r="B3493" s="39">
        <f t="shared" si="26"/>
      </c>
      <c r="C3493" s="40">
        <f>IF(Inputs!$C$60,Inputs!$C$11+(B3493-Inputs!$C$69)/Inputs!$C$70,"")</f>
      </c>
      <c r="D3493" s="15"/>
      <c r="E3493" s="15"/>
      <c r="F3493" s="11">
        <f t="shared" si="27"/>
      </c>
      <c r="G3493" s="22" cm="1">
        <f t="array" ref="G3493">IF(AND(Inputs!$C$60,Inputs!$C$61),INDEX(Utility_Rates!$C$29:$F$52,HOUR(C3493)+Inputs!$C$69,MATCH(INDEX(Utility_Rates!$K$6:$K$17,MONTH(C3493))&amp;IF(WEEKDAY(C3493,Inputs!$C$76)&lt;=Inputs!$C$74," weekday"," weekend"),Utility_Rates!$C$28:$F$28,Inputs!$C$68)),"")</f>
      </c>
      <c r="H3493" s="34"/>
      <c r="I3493" s="42">
        <f>IF(AND(ISNUMBER(D3493),ISNUMBER(H3493)),D3493*H3493*Inputs!$C$69,"")</f>
      </c>
      <c r="J3493" s="42">
        <f>IF(AND(ISNUMBER(F3493),ISNUMBER(H3493),F3493&gt;=Inputs!$C$68),F3493*H3493*Inputs!$C$69,"")</f>
      </c>
    </row>
    <row r="3494" spans="2:10" ht="15" customHeight="1" x14ac:dyDescent="0.2">
      <c r="B3494" s="39">
        <f t="shared" si="26"/>
      </c>
      <c r="C3494" s="40">
        <f>IF(Inputs!$C$60,Inputs!$C$11+(B3494-Inputs!$C$69)/Inputs!$C$70,"")</f>
      </c>
      <c r="D3494" s="15"/>
      <c r="E3494" s="15"/>
      <c r="F3494" s="11">
        <f t="shared" si="27"/>
      </c>
      <c r="G3494" s="22" cm="1">
        <f t="array" ref="G3494">IF(AND(Inputs!$C$60,Inputs!$C$61),INDEX(Utility_Rates!$C$29:$F$52,HOUR(C3494)+Inputs!$C$69,MATCH(INDEX(Utility_Rates!$K$6:$K$17,MONTH(C3494))&amp;IF(WEEKDAY(C3494,Inputs!$C$76)&lt;=Inputs!$C$74," weekday"," weekend"),Utility_Rates!$C$28:$F$28,Inputs!$C$68)),"")</f>
      </c>
      <c r="H3494" s="34"/>
      <c r="I3494" s="42">
        <f>IF(AND(ISNUMBER(D3494),ISNUMBER(H3494)),D3494*H3494*Inputs!$C$69,"")</f>
      </c>
      <c r="J3494" s="42">
        <f>IF(AND(ISNUMBER(F3494),ISNUMBER(H3494),F3494&gt;=Inputs!$C$68),F3494*H3494*Inputs!$C$69,"")</f>
      </c>
    </row>
    <row r="3495" spans="2:10" ht="15" customHeight="1" x14ac:dyDescent="0.2">
      <c r="B3495" s="39">
        <f t="shared" si="26"/>
      </c>
      <c r="C3495" s="40">
        <f>IF(Inputs!$C$60,Inputs!$C$11+(B3495-Inputs!$C$69)/Inputs!$C$70,"")</f>
      </c>
      <c r="D3495" s="15"/>
      <c r="E3495" s="15"/>
      <c r="F3495" s="11">
        <f t="shared" si="27"/>
      </c>
      <c r="G3495" s="22" cm="1">
        <f t="array" ref="G3495">IF(AND(Inputs!$C$60,Inputs!$C$61),INDEX(Utility_Rates!$C$29:$F$52,HOUR(C3495)+Inputs!$C$69,MATCH(INDEX(Utility_Rates!$K$6:$K$17,MONTH(C3495))&amp;IF(WEEKDAY(C3495,Inputs!$C$76)&lt;=Inputs!$C$74," weekday"," weekend"),Utility_Rates!$C$28:$F$28,Inputs!$C$68)),"")</f>
      </c>
      <c r="H3495" s="34"/>
      <c r="I3495" s="42">
        <f>IF(AND(ISNUMBER(D3495),ISNUMBER(H3495)),D3495*H3495*Inputs!$C$69,"")</f>
      </c>
      <c r="J3495" s="42">
        <f>IF(AND(ISNUMBER(F3495),ISNUMBER(H3495),F3495&gt;=Inputs!$C$68),F3495*H3495*Inputs!$C$69,"")</f>
      </c>
    </row>
    <row r="3496" spans="2:10" ht="15" customHeight="1" x14ac:dyDescent="0.2">
      <c r="B3496" s="39">
        <f t="shared" si="26"/>
      </c>
      <c r="C3496" s="40">
        <f>IF(Inputs!$C$60,Inputs!$C$11+(B3496-Inputs!$C$69)/Inputs!$C$70,"")</f>
      </c>
      <c r="D3496" s="15"/>
      <c r="E3496" s="15"/>
      <c r="F3496" s="11">
        <f t="shared" si="27"/>
      </c>
      <c r="G3496" s="22" cm="1">
        <f t="array" ref="G3496">IF(AND(Inputs!$C$60,Inputs!$C$61),INDEX(Utility_Rates!$C$29:$F$52,HOUR(C3496)+Inputs!$C$69,MATCH(INDEX(Utility_Rates!$K$6:$K$17,MONTH(C3496))&amp;IF(WEEKDAY(C3496,Inputs!$C$76)&lt;=Inputs!$C$74," weekday"," weekend"),Utility_Rates!$C$28:$F$28,Inputs!$C$68)),"")</f>
      </c>
      <c r="H3496" s="34"/>
      <c r="I3496" s="42">
        <f>IF(AND(ISNUMBER(D3496),ISNUMBER(H3496)),D3496*H3496*Inputs!$C$69,"")</f>
      </c>
      <c r="J3496" s="42">
        <f>IF(AND(ISNUMBER(F3496),ISNUMBER(H3496),F3496&gt;=Inputs!$C$68),F3496*H3496*Inputs!$C$69,"")</f>
      </c>
    </row>
    <row r="3497" spans="2:10" ht="15" customHeight="1" x14ac:dyDescent="0.2">
      <c r="B3497" s="39">
        <f t="shared" si="26"/>
      </c>
      <c r="C3497" s="40">
        <f>IF(Inputs!$C$60,Inputs!$C$11+(B3497-Inputs!$C$69)/Inputs!$C$70,"")</f>
      </c>
      <c r="D3497" s="15"/>
      <c r="E3497" s="15"/>
      <c r="F3497" s="11">
        <f t="shared" si="27"/>
      </c>
      <c r="G3497" s="22" cm="1">
        <f t="array" ref="G3497">IF(AND(Inputs!$C$60,Inputs!$C$61),INDEX(Utility_Rates!$C$29:$F$52,HOUR(C3497)+Inputs!$C$69,MATCH(INDEX(Utility_Rates!$K$6:$K$17,MONTH(C3497))&amp;IF(WEEKDAY(C3497,Inputs!$C$76)&lt;=Inputs!$C$74," weekday"," weekend"),Utility_Rates!$C$28:$F$28,Inputs!$C$68)),"")</f>
      </c>
      <c r="H3497" s="34"/>
      <c r="I3497" s="42">
        <f>IF(AND(ISNUMBER(D3497),ISNUMBER(H3497)),D3497*H3497*Inputs!$C$69,"")</f>
      </c>
      <c r="J3497" s="42">
        <f>IF(AND(ISNUMBER(F3497),ISNUMBER(H3497),F3497&gt;=Inputs!$C$68),F3497*H3497*Inputs!$C$69,"")</f>
      </c>
    </row>
    <row r="3498" spans="2:10" ht="15" customHeight="1" x14ac:dyDescent="0.2">
      <c r="B3498" s="39">
        <f t="shared" si="26"/>
      </c>
      <c r="C3498" s="40">
        <f>IF(Inputs!$C$60,Inputs!$C$11+(B3498-Inputs!$C$69)/Inputs!$C$70,"")</f>
      </c>
      <c r="D3498" s="15"/>
      <c r="E3498" s="15"/>
      <c r="F3498" s="11">
        <f t="shared" si="27"/>
      </c>
      <c r="G3498" s="22" cm="1">
        <f t="array" ref="G3498">IF(AND(Inputs!$C$60,Inputs!$C$61),INDEX(Utility_Rates!$C$29:$F$52,HOUR(C3498)+Inputs!$C$69,MATCH(INDEX(Utility_Rates!$K$6:$K$17,MONTH(C3498))&amp;IF(WEEKDAY(C3498,Inputs!$C$76)&lt;=Inputs!$C$74," weekday"," weekend"),Utility_Rates!$C$28:$F$28,Inputs!$C$68)),"")</f>
      </c>
      <c r="H3498" s="34"/>
      <c r="I3498" s="42">
        <f>IF(AND(ISNUMBER(D3498),ISNUMBER(H3498)),D3498*H3498*Inputs!$C$69,"")</f>
      </c>
      <c r="J3498" s="42">
        <f>IF(AND(ISNUMBER(F3498),ISNUMBER(H3498),F3498&gt;=Inputs!$C$68),F3498*H3498*Inputs!$C$69,"")</f>
      </c>
    </row>
    <row r="3499" spans="2:10" ht="15" customHeight="1" x14ac:dyDescent="0.2">
      <c r="B3499" s="39">
        <f t="shared" si="26"/>
      </c>
      <c r="C3499" s="40">
        <f>IF(Inputs!$C$60,Inputs!$C$11+(B3499-Inputs!$C$69)/Inputs!$C$70,"")</f>
      </c>
      <c r="D3499" s="15"/>
      <c r="E3499" s="15"/>
      <c r="F3499" s="11">
        <f t="shared" si="27"/>
      </c>
      <c r="G3499" s="22" cm="1">
        <f t="array" ref="G3499">IF(AND(Inputs!$C$60,Inputs!$C$61),INDEX(Utility_Rates!$C$29:$F$52,HOUR(C3499)+Inputs!$C$69,MATCH(INDEX(Utility_Rates!$K$6:$K$17,MONTH(C3499))&amp;IF(WEEKDAY(C3499,Inputs!$C$76)&lt;=Inputs!$C$74," weekday"," weekend"),Utility_Rates!$C$28:$F$28,Inputs!$C$68)),"")</f>
      </c>
      <c r="H3499" s="34"/>
      <c r="I3499" s="42">
        <f>IF(AND(ISNUMBER(D3499),ISNUMBER(H3499)),D3499*H3499*Inputs!$C$69,"")</f>
      </c>
      <c r="J3499" s="42">
        <f>IF(AND(ISNUMBER(F3499),ISNUMBER(H3499),F3499&gt;=Inputs!$C$68),F3499*H3499*Inputs!$C$69,"")</f>
      </c>
    </row>
    <row r="3500" spans="2:10" ht="15" customHeight="1" x14ac:dyDescent="0.2">
      <c r="B3500" s="39">
        <f t="shared" si="26"/>
      </c>
      <c r="C3500" s="40">
        <f>IF(Inputs!$C$60,Inputs!$C$11+(B3500-Inputs!$C$69)/Inputs!$C$70,"")</f>
      </c>
      <c r="D3500" s="15"/>
      <c r="E3500" s="15"/>
      <c r="F3500" s="11">
        <f t="shared" si="27"/>
      </c>
      <c r="G3500" s="22" cm="1">
        <f t="array" ref="G3500">IF(AND(Inputs!$C$60,Inputs!$C$61),INDEX(Utility_Rates!$C$29:$F$52,HOUR(C3500)+Inputs!$C$69,MATCH(INDEX(Utility_Rates!$K$6:$K$17,MONTH(C3500))&amp;IF(WEEKDAY(C3500,Inputs!$C$76)&lt;=Inputs!$C$74," weekday"," weekend"),Utility_Rates!$C$28:$F$28,Inputs!$C$68)),"")</f>
      </c>
      <c r="H3500" s="34"/>
      <c r="I3500" s="42">
        <f>IF(AND(ISNUMBER(D3500),ISNUMBER(H3500)),D3500*H3500*Inputs!$C$69,"")</f>
      </c>
      <c r="J3500" s="42">
        <f>IF(AND(ISNUMBER(F3500),ISNUMBER(H3500),F3500&gt;=Inputs!$C$68),F3500*H3500*Inputs!$C$69,"")</f>
      </c>
    </row>
    <row r="3501" spans="2:10" ht="15" customHeight="1" x14ac:dyDescent="0.2">
      <c r="B3501" s="39">
        <f t="shared" si="26"/>
      </c>
      <c r="C3501" s="40">
        <f>IF(Inputs!$C$60,Inputs!$C$11+(B3501-Inputs!$C$69)/Inputs!$C$70,"")</f>
      </c>
      <c r="D3501" s="15"/>
      <c r="E3501" s="15"/>
      <c r="F3501" s="11">
        <f t="shared" si="27"/>
      </c>
      <c r="G3501" s="22" cm="1">
        <f t="array" ref="G3501">IF(AND(Inputs!$C$60,Inputs!$C$61),INDEX(Utility_Rates!$C$29:$F$52,HOUR(C3501)+Inputs!$C$69,MATCH(INDEX(Utility_Rates!$K$6:$K$17,MONTH(C3501))&amp;IF(WEEKDAY(C3501,Inputs!$C$76)&lt;=Inputs!$C$74," weekday"," weekend"),Utility_Rates!$C$28:$F$28,Inputs!$C$68)),"")</f>
      </c>
      <c r="H3501" s="34"/>
      <c r="I3501" s="42">
        <f>IF(AND(ISNUMBER(D3501),ISNUMBER(H3501)),D3501*H3501*Inputs!$C$69,"")</f>
      </c>
      <c r="J3501" s="42">
        <f>IF(AND(ISNUMBER(F3501),ISNUMBER(H3501),F3501&gt;=Inputs!$C$68),F3501*H3501*Inputs!$C$69,"")</f>
      </c>
    </row>
    <row r="3502" spans="2:10" ht="15" customHeight="1" x14ac:dyDescent="0.2">
      <c r="B3502" s="39">
        <f t="shared" si="26"/>
      </c>
      <c r="C3502" s="40">
        <f>IF(Inputs!$C$60,Inputs!$C$11+(B3502-Inputs!$C$69)/Inputs!$C$70,"")</f>
      </c>
      <c r="D3502" s="15"/>
      <c r="E3502" s="15"/>
      <c r="F3502" s="11">
        <f t="shared" si="27"/>
      </c>
      <c r="G3502" s="22" cm="1">
        <f t="array" ref="G3502">IF(AND(Inputs!$C$60,Inputs!$C$61),INDEX(Utility_Rates!$C$29:$F$52,HOUR(C3502)+Inputs!$C$69,MATCH(INDEX(Utility_Rates!$K$6:$K$17,MONTH(C3502))&amp;IF(WEEKDAY(C3502,Inputs!$C$76)&lt;=Inputs!$C$74," weekday"," weekend"),Utility_Rates!$C$28:$F$28,Inputs!$C$68)),"")</f>
      </c>
      <c r="H3502" s="34"/>
      <c r="I3502" s="42">
        <f>IF(AND(ISNUMBER(D3502),ISNUMBER(H3502)),D3502*H3502*Inputs!$C$69,"")</f>
      </c>
      <c r="J3502" s="42">
        <f>IF(AND(ISNUMBER(F3502),ISNUMBER(H3502),F3502&gt;=Inputs!$C$68),F3502*H3502*Inputs!$C$69,"")</f>
      </c>
    </row>
    <row r="3503" spans="2:10" ht="15" customHeight="1" x14ac:dyDescent="0.2">
      <c r="B3503" s="39">
        <f t="shared" si="26"/>
      </c>
      <c r="C3503" s="40">
        <f>IF(Inputs!$C$60,Inputs!$C$11+(B3503-Inputs!$C$69)/Inputs!$C$70,"")</f>
      </c>
      <c r="D3503" s="15"/>
      <c r="E3503" s="15"/>
      <c r="F3503" s="11">
        <f t="shared" si="27"/>
      </c>
      <c r="G3503" s="22" cm="1">
        <f t="array" ref="G3503">IF(AND(Inputs!$C$60,Inputs!$C$61),INDEX(Utility_Rates!$C$29:$F$52,HOUR(C3503)+Inputs!$C$69,MATCH(INDEX(Utility_Rates!$K$6:$K$17,MONTH(C3503))&amp;IF(WEEKDAY(C3503,Inputs!$C$76)&lt;=Inputs!$C$74," weekday"," weekend"),Utility_Rates!$C$28:$F$28,Inputs!$C$68)),"")</f>
      </c>
      <c r="H3503" s="34"/>
      <c r="I3503" s="42">
        <f>IF(AND(ISNUMBER(D3503),ISNUMBER(H3503)),D3503*H3503*Inputs!$C$69,"")</f>
      </c>
      <c r="J3503" s="42">
        <f>IF(AND(ISNUMBER(F3503),ISNUMBER(H3503),F3503&gt;=Inputs!$C$68),F3503*H3503*Inputs!$C$69,"")</f>
      </c>
    </row>
    <row r="3504" spans="2:10" ht="15" customHeight="1" x14ac:dyDescent="0.2">
      <c r="B3504" s="39">
        <f t="shared" si="26"/>
      </c>
      <c r="C3504" s="40">
        <f>IF(Inputs!$C$60,Inputs!$C$11+(B3504-Inputs!$C$69)/Inputs!$C$70,"")</f>
      </c>
      <c r="D3504" s="15"/>
      <c r="E3504" s="15"/>
      <c r="F3504" s="11">
        <f t="shared" si="27"/>
      </c>
      <c r="G3504" s="22" cm="1">
        <f t="array" ref="G3504">IF(AND(Inputs!$C$60,Inputs!$C$61),INDEX(Utility_Rates!$C$29:$F$52,HOUR(C3504)+Inputs!$C$69,MATCH(INDEX(Utility_Rates!$K$6:$K$17,MONTH(C3504))&amp;IF(WEEKDAY(C3504,Inputs!$C$76)&lt;=Inputs!$C$74," weekday"," weekend"),Utility_Rates!$C$28:$F$28,Inputs!$C$68)),"")</f>
      </c>
      <c r="H3504" s="34"/>
      <c r="I3504" s="42">
        <f>IF(AND(ISNUMBER(D3504),ISNUMBER(H3504)),D3504*H3504*Inputs!$C$69,"")</f>
      </c>
      <c r="J3504" s="42">
        <f>IF(AND(ISNUMBER(F3504),ISNUMBER(H3504),F3504&gt;=Inputs!$C$68),F3504*H3504*Inputs!$C$69,"")</f>
      </c>
    </row>
    <row r="3505" spans="2:10" ht="15" customHeight="1" x14ac:dyDescent="0.2">
      <c r="B3505" s="39">
        <f t="shared" si="26"/>
      </c>
      <c r="C3505" s="40">
        <f>IF(Inputs!$C$60,Inputs!$C$11+(B3505-Inputs!$C$69)/Inputs!$C$70,"")</f>
      </c>
      <c r="D3505" s="15"/>
      <c r="E3505" s="15"/>
      <c r="F3505" s="11">
        <f t="shared" si="27"/>
      </c>
      <c r="G3505" s="22" cm="1">
        <f t="array" ref="G3505">IF(AND(Inputs!$C$60,Inputs!$C$61),INDEX(Utility_Rates!$C$29:$F$52,HOUR(C3505)+Inputs!$C$69,MATCH(INDEX(Utility_Rates!$K$6:$K$17,MONTH(C3505))&amp;IF(WEEKDAY(C3505,Inputs!$C$76)&lt;=Inputs!$C$74," weekday"," weekend"),Utility_Rates!$C$28:$F$28,Inputs!$C$68)),"")</f>
      </c>
      <c r="H3505" s="34"/>
      <c r="I3505" s="42">
        <f>IF(AND(ISNUMBER(D3505),ISNUMBER(H3505)),D3505*H3505*Inputs!$C$69,"")</f>
      </c>
      <c r="J3505" s="42">
        <f>IF(AND(ISNUMBER(F3505),ISNUMBER(H3505),F3505&gt;=Inputs!$C$68),F3505*H3505*Inputs!$C$69,"")</f>
      </c>
    </row>
    <row r="3506" spans="2:10" ht="15" customHeight="1" x14ac:dyDescent="0.2">
      <c r="B3506" s="39">
        <f t="shared" si="26"/>
      </c>
      <c r="C3506" s="40">
        <f>IF(Inputs!$C$60,Inputs!$C$11+(B3506-Inputs!$C$69)/Inputs!$C$70,"")</f>
      </c>
      <c r="D3506" s="15"/>
      <c r="E3506" s="15"/>
      <c r="F3506" s="11">
        <f t="shared" si="27"/>
      </c>
      <c r="G3506" s="22" cm="1">
        <f t="array" ref="G3506">IF(AND(Inputs!$C$60,Inputs!$C$61),INDEX(Utility_Rates!$C$29:$F$52,HOUR(C3506)+Inputs!$C$69,MATCH(INDEX(Utility_Rates!$K$6:$K$17,MONTH(C3506))&amp;IF(WEEKDAY(C3506,Inputs!$C$76)&lt;=Inputs!$C$74," weekday"," weekend"),Utility_Rates!$C$28:$F$28,Inputs!$C$68)),"")</f>
      </c>
      <c r="H3506" s="34"/>
      <c r="I3506" s="42">
        <f>IF(AND(ISNUMBER(D3506),ISNUMBER(H3506)),D3506*H3506*Inputs!$C$69,"")</f>
      </c>
      <c r="J3506" s="42">
        <f>IF(AND(ISNUMBER(F3506),ISNUMBER(H3506),F3506&gt;=Inputs!$C$68),F3506*H3506*Inputs!$C$69,"")</f>
      </c>
    </row>
    <row r="3507" spans="2:10" ht="15" customHeight="1" x14ac:dyDescent="0.2">
      <c r="B3507" s="39">
        <f t="shared" si="26"/>
      </c>
      <c r="C3507" s="40">
        <f>IF(Inputs!$C$60,Inputs!$C$11+(B3507-Inputs!$C$69)/Inputs!$C$70,"")</f>
      </c>
      <c r="D3507" s="15"/>
      <c r="E3507" s="15"/>
      <c r="F3507" s="11">
        <f t="shared" si="27"/>
      </c>
      <c r="G3507" s="22" cm="1">
        <f t="array" ref="G3507">IF(AND(Inputs!$C$60,Inputs!$C$61),INDEX(Utility_Rates!$C$29:$F$52,HOUR(C3507)+Inputs!$C$69,MATCH(INDEX(Utility_Rates!$K$6:$K$17,MONTH(C3507))&amp;IF(WEEKDAY(C3507,Inputs!$C$76)&lt;=Inputs!$C$74," weekday"," weekend"),Utility_Rates!$C$28:$F$28,Inputs!$C$68)),"")</f>
      </c>
      <c r="H3507" s="34"/>
      <c r="I3507" s="42">
        <f>IF(AND(ISNUMBER(D3507),ISNUMBER(H3507)),D3507*H3507*Inputs!$C$69,"")</f>
      </c>
      <c r="J3507" s="42">
        <f>IF(AND(ISNUMBER(F3507),ISNUMBER(H3507),F3507&gt;=Inputs!$C$68),F3507*H3507*Inputs!$C$69,"")</f>
      </c>
    </row>
    <row r="3508" spans="2:10" ht="15" customHeight="1" x14ac:dyDescent="0.2">
      <c r="B3508" s="39">
        <f t="shared" si="26"/>
      </c>
      <c r="C3508" s="40">
        <f>IF(Inputs!$C$60,Inputs!$C$11+(B3508-Inputs!$C$69)/Inputs!$C$70,"")</f>
      </c>
      <c r="D3508" s="15"/>
      <c r="E3508" s="15"/>
      <c r="F3508" s="11">
        <f t="shared" si="27"/>
      </c>
      <c r="G3508" s="22" cm="1">
        <f t="array" ref="G3508">IF(AND(Inputs!$C$60,Inputs!$C$61),INDEX(Utility_Rates!$C$29:$F$52,HOUR(C3508)+Inputs!$C$69,MATCH(INDEX(Utility_Rates!$K$6:$K$17,MONTH(C3508))&amp;IF(WEEKDAY(C3508,Inputs!$C$76)&lt;=Inputs!$C$74," weekday"," weekend"),Utility_Rates!$C$28:$F$28,Inputs!$C$68)),"")</f>
      </c>
      <c r="H3508" s="34"/>
      <c r="I3508" s="42">
        <f>IF(AND(ISNUMBER(D3508),ISNUMBER(H3508)),D3508*H3508*Inputs!$C$69,"")</f>
      </c>
      <c r="J3508" s="42">
        <f>IF(AND(ISNUMBER(F3508),ISNUMBER(H3508),F3508&gt;=Inputs!$C$68),F3508*H3508*Inputs!$C$69,"")</f>
      </c>
    </row>
    <row r="3509" spans="2:10" ht="15" customHeight="1" x14ac:dyDescent="0.2">
      <c r="B3509" s="39">
        <f t="shared" si="26"/>
      </c>
      <c r="C3509" s="40">
        <f>IF(Inputs!$C$60,Inputs!$C$11+(B3509-Inputs!$C$69)/Inputs!$C$70,"")</f>
      </c>
      <c r="D3509" s="15"/>
      <c r="E3509" s="15"/>
      <c r="F3509" s="11">
        <f t="shared" si="27"/>
      </c>
      <c r="G3509" s="22" cm="1">
        <f t="array" ref="G3509">IF(AND(Inputs!$C$60,Inputs!$C$61),INDEX(Utility_Rates!$C$29:$F$52,HOUR(C3509)+Inputs!$C$69,MATCH(INDEX(Utility_Rates!$K$6:$K$17,MONTH(C3509))&amp;IF(WEEKDAY(C3509,Inputs!$C$76)&lt;=Inputs!$C$74," weekday"," weekend"),Utility_Rates!$C$28:$F$28,Inputs!$C$68)),"")</f>
      </c>
      <c r="H3509" s="34"/>
      <c r="I3509" s="42">
        <f>IF(AND(ISNUMBER(D3509),ISNUMBER(H3509)),D3509*H3509*Inputs!$C$69,"")</f>
      </c>
      <c r="J3509" s="42">
        <f>IF(AND(ISNUMBER(F3509),ISNUMBER(H3509),F3509&gt;=Inputs!$C$68),F3509*H3509*Inputs!$C$69,"")</f>
      </c>
    </row>
    <row r="3510" spans="2:10" ht="15" customHeight="1" x14ac:dyDescent="0.2">
      <c r="B3510" s="39">
        <f t="shared" si="26"/>
      </c>
      <c r="C3510" s="40">
        <f>IF(Inputs!$C$60,Inputs!$C$11+(B3510-Inputs!$C$69)/Inputs!$C$70,"")</f>
      </c>
      <c r="D3510" s="15"/>
      <c r="E3510" s="15"/>
      <c r="F3510" s="11">
        <f t="shared" si="27"/>
      </c>
      <c r="G3510" s="22" cm="1">
        <f t="array" ref="G3510">IF(AND(Inputs!$C$60,Inputs!$C$61),INDEX(Utility_Rates!$C$29:$F$52,HOUR(C3510)+Inputs!$C$69,MATCH(INDEX(Utility_Rates!$K$6:$K$17,MONTH(C3510))&amp;IF(WEEKDAY(C3510,Inputs!$C$76)&lt;=Inputs!$C$74," weekday"," weekend"),Utility_Rates!$C$28:$F$28,Inputs!$C$68)),"")</f>
      </c>
      <c r="H3510" s="34"/>
      <c r="I3510" s="42">
        <f>IF(AND(ISNUMBER(D3510),ISNUMBER(H3510)),D3510*H3510*Inputs!$C$69,"")</f>
      </c>
      <c r="J3510" s="42">
        <f>IF(AND(ISNUMBER(F3510),ISNUMBER(H3510),F3510&gt;=Inputs!$C$68),F3510*H3510*Inputs!$C$69,"")</f>
      </c>
    </row>
    <row r="3511" spans="2:10" ht="15" customHeight="1" x14ac:dyDescent="0.2">
      <c r="B3511" s="39">
        <f t="shared" si="26"/>
      </c>
      <c r="C3511" s="40">
        <f>IF(Inputs!$C$60,Inputs!$C$11+(B3511-Inputs!$C$69)/Inputs!$C$70,"")</f>
      </c>
      <c r="D3511" s="15"/>
      <c r="E3511" s="15"/>
      <c r="F3511" s="11">
        <f t="shared" si="27"/>
      </c>
      <c r="G3511" s="22" cm="1">
        <f t="array" ref="G3511">IF(AND(Inputs!$C$60,Inputs!$C$61),INDEX(Utility_Rates!$C$29:$F$52,HOUR(C3511)+Inputs!$C$69,MATCH(INDEX(Utility_Rates!$K$6:$K$17,MONTH(C3511))&amp;IF(WEEKDAY(C3511,Inputs!$C$76)&lt;=Inputs!$C$74," weekday"," weekend"),Utility_Rates!$C$28:$F$28,Inputs!$C$68)),"")</f>
      </c>
      <c r="H3511" s="34"/>
      <c r="I3511" s="42">
        <f>IF(AND(ISNUMBER(D3511),ISNUMBER(H3511)),D3511*H3511*Inputs!$C$69,"")</f>
      </c>
      <c r="J3511" s="42">
        <f>IF(AND(ISNUMBER(F3511),ISNUMBER(H3511),F3511&gt;=Inputs!$C$68),F3511*H3511*Inputs!$C$69,"")</f>
      </c>
    </row>
    <row r="3512" spans="2:10" ht="15" customHeight="1" x14ac:dyDescent="0.2">
      <c r="B3512" s="39">
        <f t="shared" si="26"/>
      </c>
      <c r="C3512" s="40">
        <f>IF(Inputs!$C$60,Inputs!$C$11+(B3512-Inputs!$C$69)/Inputs!$C$70,"")</f>
      </c>
      <c r="D3512" s="15"/>
      <c r="E3512" s="15"/>
      <c r="F3512" s="11">
        <f t="shared" si="27"/>
      </c>
      <c r="G3512" s="22" cm="1">
        <f t="array" ref="G3512">IF(AND(Inputs!$C$60,Inputs!$C$61),INDEX(Utility_Rates!$C$29:$F$52,HOUR(C3512)+Inputs!$C$69,MATCH(INDEX(Utility_Rates!$K$6:$K$17,MONTH(C3512))&amp;IF(WEEKDAY(C3512,Inputs!$C$76)&lt;=Inputs!$C$74," weekday"," weekend"),Utility_Rates!$C$28:$F$28,Inputs!$C$68)),"")</f>
      </c>
      <c r="H3512" s="34"/>
      <c r="I3512" s="42">
        <f>IF(AND(ISNUMBER(D3512),ISNUMBER(H3512)),D3512*H3512*Inputs!$C$69,"")</f>
      </c>
      <c r="J3512" s="42">
        <f>IF(AND(ISNUMBER(F3512),ISNUMBER(H3512),F3512&gt;=Inputs!$C$68),F3512*H3512*Inputs!$C$69,"")</f>
      </c>
    </row>
    <row r="3513" spans="2:10" ht="15" customHeight="1" x14ac:dyDescent="0.2">
      <c r="B3513" s="39">
        <f t="shared" si="26"/>
      </c>
      <c r="C3513" s="40">
        <f>IF(Inputs!$C$60,Inputs!$C$11+(B3513-Inputs!$C$69)/Inputs!$C$70,"")</f>
      </c>
      <c r="D3513" s="15"/>
      <c r="E3513" s="15"/>
      <c r="F3513" s="11">
        <f t="shared" si="27"/>
      </c>
      <c r="G3513" s="22" cm="1">
        <f t="array" ref="G3513">IF(AND(Inputs!$C$60,Inputs!$C$61),INDEX(Utility_Rates!$C$29:$F$52,HOUR(C3513)+Inputs!$C$69,MATCH(INDEX(Utility_Rates!$K$6:$K$17,MONTH(C3513))&amp;IF(WEEKDAY(C3513,Inputs!$C$76)&lt;=Inputs!$C$74," weekday"," weekend"),Utility_Rates!$C$28:$F$28,Inputs!$C$68)),"")</f>
      </c>
      <c r="H3513" s="34"/>
      <c r="I3513" s="42">
        <f>IF(AND(ISNUMBER(D3513),ISNUMBER(H3513)),D3513*H3513*Inputs!$C$69,"")</f>
      </c>
      <c r="J3513" s="42">
        <f>IF(AND(ISNUMBER(F3513),ISNUMBER(H3513),F3513&gt;=Inputs!$C$68),F3513*H3513*Inputs!$C$69,"")</f>
      </c>
    </row>
    <row r="3514" spans="2:10" ht="15" customHeight="1" x14ac:dyDescent="0.2">
      <c r="B3514" s="39">
        <f t="shared" si="26"/>
      </c>
      <c r="C3514" s="40">
        <f>IF(Inputs!$C$60,Inputs!$C$11+(B3514-Inputs!$C$69)/Inputs!$C$70,"")</f>
      </c>
      <c r="D3514" s="15"/>
      <c r="E3514" s="15"/>
      <c r="F3514" s="11">
        <f t="shared" si="27"/>
      </c>
      <c r="G3514" s="22" cm="1">
        <f t="array" ref="G3514">IF(AND(Inputs!$C$60,Inputs!$C$61),INDEX(Utility_Rates!$C$29:$F$52,HOUR(C3514)+Inputs!$C$69,MATCH(INDEX(Utility_Rates!$K$6:$K$17,MONTH(C3514))&amp;IF(WEEKDAY(C3514,Inputs!$C$76)&lt;=Inputs!$C$74," weekday"," weekend"),Utility_Rates!$C$28:$F$28,Inputs!$C$68)),"")</f>
      </c>
      <c r="H3514" s="34"/>
      <c r="I3514" s="42">
        <f>IF(AND(ISNUMBER(D3514),ISNUMBER(H3514)),D3514*H3514*Inputs!$C$69,"")</f>
      </c>
      <c r="J3514" s="42">
        <f>IF(AND(ISNUMBER(F3514),ISNUMBER(H3514),F3514&gt;=Inputs!$C$68),F3514*H3514*Inputs!$C$69,"")</f>
      </c>
    </row>
    <row r="3515" spans="2:10" ht="15" customHeight="1" x14ac:dyDescent="0.2">
      <c r="B3515" s="39">
        <f t="shared" si="26"/>
      </c>
      <c r="C3515" s="40">
        <f>IF(Inputs!$C$60,Inputs!$C$11+(B3515-Inputs!$C$69)/Inputs!$C$70,"")</f>
      </c>
      <c r="D3515" s="15"/>
      <c r="E3515" s="15"/>
      <c r="F3515" s="11">
        <f t="shared" si="27"/>
      </c>
      <c r="G3515" s="22" cm="1">
        <f t="array" ref="G3515">IF(AND(Inputs!$C$60,Inputs!$C$61),INDEX(Utility_Rates!$C$29:$F$52,HOUR(C3515)+Inputs!$C$69,MATCH(INDEX(Utility_Rates!$K$6:$K$17,MONTH(C3515))&amp;IF(WEEKDAY(C3515,Inputs!$C$76)&lt;=Inputs!$C$74," weekday"," weekend"),Utility_Rates!$C$28:$F$28,Inputs!$C$68)),"")</f>
      </c>
      <c r="H3515" s="34"/>
      <c r="I3515" s="42">
        <f>IF(AND(ISNUMBER(D3515),ISNUMBER(H3515)),D3515*H3515*Inputs!$C$69,"")</f>
      </c>
      <c r="J3515" s="42">
        <f>IF(AND(ISNUMBER(F3515),ISNUMBER(H3515),F3515&gt;=Inputs!$C$68),F3515*H3515*Inputs!$C$69,"")</f>
      </c>
    </row>
    <row r="3516" spans="2:10" ht="15" customHeight="1" x14ac:dyDescent="0.2">
      <c r="B3516" s="39">
        <f t="shared" si="26"/>
      </c>
      <c r="C3516" s="40">
        <f>IF(Inputs!$C$60,Inputs!$C$11+(B3516-Inputs!$C$69)/Inputs!$C$70,"")</f>
      </c>
      <c r="D3516" s="15"/>
      <c r="E3516" s="15"/>
      <c r="F3516" s="11">
        <f t="shared" si="27"/>
      </c>
      <c r="G3516" s="22" cm="1">
        <f t="array" ref="G3516">IF(AND(Inputs!$C$60,Inputs!$C$61),INDEX(Utility_Rates!$C$29:$F$52,HOUR(C3516)+Inputs!$C$69,MATCH(INDEX(Utility_Rates!$K$6:$K$17,MONTH(C3516))&amp;IF(WEEKDAY(C3516,Inputs!$C$76)&lt;=Inputs!$C$74," weekday"," weekend"),Utility_Rates!$C$28:$F$28,Inputs!$C$68)),"")</f>
      </c>
      <c r="H3516" s="34"/>
      <c r="I3516" s="42">
        <f>IF(AND(ISNUMBER(D3516),ISNUMBER(H3516)),D3516*H3516*Inputs!$C$69,"")</f>
      </c>
      <c r="J3516" s="42">
        <f>IF(AND(ISNUMBER(F3516),ISNUMBER(H3516),F3516&gt;=Inputs!$C$68),F3516*H3516*Inputs!$C$69,"")</f>
      </c>
    </row>
    <row r="3517" spans="2:10" ht="15" customHeight="1" x14ac:dyDescent="0.2">
      <c r="B3517" s="39">
        <f t="shared" si="26"/>
      </c>
      <c r="C3517" s="40">
        <f>IF(Inputs!$C$60,Inputs!$C$11+(B3517-Inputs!$C$69)/Inputs!$C$70,"")</f>
      </c>
      <c r="D3517" s="15"/>
      <c r="E3517" s="15"/>
      <c r="F3517" s="11">
        <f t="shared" si="27"/>
      </c>
      <c r="G3517" s="22" cm="1">
        <f t="array" ref="G3517">IF(AND(Inputs!$C$60,Inputs!$C$61),INDEX(Utility_Rates!$C$29:$F$52,HOUR(C3517)+Inputs!$C$69,MATCH(INDEX(Utility_Rates!$K$6:$K$17,MONTH(C3517))&amp;IF(WEEKDAY(C3517,Inputs!$C$76)&lt;=Inputs!$C$74," weekday"," weekend"),Utility_Rates!$C$28:$F$28,Inputs!$C$68)),"")</f>
      </c>
      <c r="H3517" s="34"/>
      <c r="I3517" s="42">
        <f>IF(AND(ISNUMBER(D3517),ISNUMBER(H3517)),D3517*H3517*Inputs!$C$69,"")</f>
      </c>
      <c r="J3517" s="42">
        <f>IF(AND(ISNUMBER(F3517),ISNUMBER(H3517),F3517&gt;=Inputs!$C$68),F3517*H3517*Inputs!$C$69,"")</f>
      </c>
    </row>
    <row r="3518" spans="2:10" ht="15" customHeight="1" x14ac:dyDescent="0.2">
      <c r="B3518" s="39">
        <f t="shared" si="26"/>
      </c>
      <c r="C3518" s="40">
        <f>IF(Inputs!$C$60,Inputs!$C$11+(B3518-Inputs!$C$69)/Inputs!$C$70,"")</f>
      </c>
      <c r="D3518" s="15"/>
      <c r="E3518" s="15"/>
      <c r="F3518" s="11">
        <f t="shared" si="27"/>
      </c>
      <c r="G3518" s="22" cm="1">
        <f t="array" ref="G3518">IF(AND(Inputs!$C$60,Inputs!$C$61),INDEX(Utility_Rates!$C$29:$F$52,HOUR(C3518)+Inputs!$C$69,MATCH(INDEX(Utility_Rates!$K$6:$K$17,MONTH(C3518))&amp;IF(WEEKDAY(C3518,Inputs!$C$76)&lt;=Inputs!$C$74," weekday"," weekend"),Utility_Rates!$C$28:$F$28,Inputs!$C$68)),"")</f>
      </c>
      <c r="H3518" s="34"/>
      <c r="I3518" s="42">
        <f>IF(AND(ISNUMBER(D3518),ISNUMBER(H3518)),D3518*H3518*Inputs!$C$69,"")</f>
      </c>
      <c r="J3518" s="42">
        <f>IF(AND(ISNUMBER(F3518),ISNUMBER(H3518),F3518&gt;=Inputs!$C$68),F3518*H3518*Inputs!$C$69,"")</f>
      </c>
    </row>
    <row r="3519" spans="2:10" ht="15" customHeight="1" x14ac:dyDescent="0.2">
      <c r="B3519" s="39">
        <f t="shared" si="26"/>
      </c>
      <c r="C3519" s="40">
        <f>IF(Inputs!$C$60,Inputs!$C$11+(B3519-Inputs!$C$69)/Inputs!$C$70,"")</f>
      </c>
      <c r="D3519" s="15"/>
      <c r="E3519" s="15"/>
      <c r="F3519" s="11">
        <f t="shared" si="27"/>
      </c>
      <c r="G3519" s="22" cm="1">
        <f t="array" ref="G3519">IF(AND(Inputs!$C$60,Inputs!$C$61),INDEX(Utility_Rates!$C$29:$F$52,HOUR(C3519)+Inputs!$C$69,MATCH(INDEX(Utility_Rates!$K$6:$K$17,MONTH(C3519))&amp;IF(WEEKDAY(C3519,Inputs!$C$76)&lt;=Inputs!$C$74," weekday"," weekend"),Utility_Rates!$C$28:$F$28,Inputs!$C$68)),"")</f>
      </c>
      <c r="H3519" s="34"/>
      <c r="I3519" s="42">
        <f>IF(AND(ISNUMBER(D3519),ISNUMBER(H3519)),D3519*H3519*Inputs!$C$69,"")</f>
      </c>
      <c r="J3519" s="42">
        <f>IF(AND(ISNUMBER(F3519),ISNUMBER(H3519),F3519&gt;=Inputs!$C$68),F3519*H3519*Inputs!$C$69,"")</f>
      </c>
    </row>
    <row r="3520" spans="2:10" ht="15" customHeight="1" x14ac:dyDescent="0.2">
      <c r="B3520" s="39">
        <f t="shared" si="26"/>
      </c>
      <c r="C3520" s="40">
        <f>IF(Inputs!$C$60,Inputs!$C$11+(B3520-Inputs!$C$69)/Inputs!$C$70,"")</f>
      </c>
      <c r="D3520" s="15"/>
      <c r="E3520" s="15"/>
      <c r="F3520" s="11">
        <f t="shared" si="27"/>
      </c>
      <c r="G3520" s="22" cm="1">
        <f t="array" ref="G3520">IF(AND(Inputs!$C$60,Inputs!$C$61),INDEX(Utility_Rates!$C$29:$F$52,HOUR(C3520)+Inputs!$C$69,MATCH(INDEX(Utility_Rates!$K$6:$K$17,MONTH(C3520))&amp;IF(WEEKDAY(C3520,Inputs!$C$76)&lt;=Inputs!$C$74," weekday"," weekend"),Utility_Rates!$C$28:$F$28,Inputs!$C$68)),"")</f>
      </c>
      <c r="H3520" s="34"/>
      <c r="I3520" s="42">
        <f>IF(AND(ISNUMBER(D3520),ISNUMBER(H3520)),D3520*H3520*Inputs!$C$69,"")</f>
      </c>
      <c r="J3520" s="42">
        <f>IF(AND(ISNUMBER(F3520),ISNUMBER(H3520),F3520&gt;=Inputs!$C$68),F3520*H3520*Inputs!$C$69,"")</f>
      </c>
    </row>
    <row r="3521" spans="2:10" ht="15" customHeight="1" x14ac:dyDescent="0.2">
      <c r="B3521" s="39">
        <f t="shared" si="26"/>
      </c>
      <c r="C3521" s="40">
        <f>IF(Inputs!$C$60,Inputs!$C$11+(B3521-Inputs!$C$69)/Inputs!$C$70,"")</f>
      </c>
      <c r="D3521" s="15"/>
      <c r="E3521" s="15"/>
      <c r="F3521" s="11">
        <f t="shared" si="27"/>
      </c>
      <c r="G3521" s="22" cm="1">
        <f t="array" ref="G3521">IF(AND(Inputs!$C$60,Inputs!$C$61),INDEX(Utility_Rates!$C$29:$F$52,HOUR(C3521)+Inputs!$C$69,MATCH(INDEX(Utility_Rates!$K$6:$K$17,MONTH(C3521))&amp;IF(WEEKDAY(C3521,Inputs!$C$76)&lt;=Inputs!$C$74," weekday"," weekend"),Utility_Rates!$C$28:$F$28,Inputs!$C$68)),"")</f>
      </c>
      <c r="H3521" s="34"/>
      <c r="I3521" s="42">
        <f>IF(AND(ISNUMBER(D3521),ISNUMBER(H3521)),D3521*H3521*Inputs!$C$69,"")</f>
      </c>
      <c r="J3521" s="42">
        <f>IF(AND(ISNUMBER(F3521),ISNUMBER(H3521),F3521&gt;=Inputs!$C$68),F3521*H3521*Inputs!$C$69,"")</f>
      </c>
    </row>
    <row r="3522" spans="2:10" ht="15" customHeight="1" x14ac:dyDescent="0.2">
      <c r="B3522" s="39">
        <f t="shared" si="26"/>
      </c>
      <c r="C3522" s="40">
        <f>IF(Inputs!$C$60,Inputs!$C$11+(B3522-Inputs!$C$69)/Inputs!$C$70,"")</f>
      </c>
      <c r="D3522" s="15"/>
      <c r="E3522" s="15"/>
      <c r="F3522" s="11">
        <f t="shared" si="27"/>
      </c>
      <c r="G3522" s="22" cm="1">
        <f t="array" ref="G3522">IF(AND(Inputs!$C$60,Inputs!$C$61),INDEX(Utility_Rates!$C$29:$F$52,HOUR(C3522)+Inputs!$C$69,MATCH(INDEX(Utility_Rates!$K$6:$K$17,MONTH(C3522))&amp;IF(WEEKDAY(C3522,Inputs!$C$76)&lt;=Inputs!$C$74," weekday"," weekend"),Utility_Rates!$C$28:$F$28,Inputs!$C$68)),"")</f>
      </c>
      <c r="H3522" s="34"/>
      <c r="I3522" s="42">
        <f>IF(AND(ISNUMBER(D3522),ISNUMBER(H3522)),D3522*H3522*Inputs!$C$69,"")</f>
      </c>
      <c r="J3522" s="42">
        <f>IF(AND(ISNUMBER(F3522),ISNUMBER(H3522),F3522&gt;=Inputs!$C$68),F3522*H3522*Inputs!$C$69,"")</f>
      </c>
    </row>
    <row r="3523" spans="2:10" ht="15" customHeight="1" x14ac:dyDescent="0.2">
      <c r="B3523" s="39">
        <f t="shared" si="26"/>
      </c>
      <c r="C3523" s="40">
        <f>IF(Inputs!$C$60,Inputs!$C$11+(B3523-Inputs!$C$69)/Inputs!$C$70,"")</f>
      </c>
      <c r="D3523" s="15"/>
      <c r="E3523" s="15"/>
      <c r="F3523" s="11">
        <f t="shared" si="27"/>
      </c>
      <c r="G3523" s="22" cm="1">
        <f t="array" ref="G3523">IF(AND(Inputs!$C$60,Inputs!$C$61),INDEX(Utility_Rates!$C$29:$F$52,HOUR(C3523)+Inputs!$C$69,MATCH(INDEX(Utility_Rates!$K$6:$K$17,MONTH(C3523))&amp;IF(WEEKDAY(C3523,Inputs!$C$76)&lt;=Inputs!$C$74," weekday"," weekend"),Utility_Rates!$C$28:$F$28,Inputs!$C$68)),"")</f>
      </c>
      <c r="H3523" s="34"/>
      <c r="I3523" s="42">
        <f>IF(AND(ISNUMBER(D3523),ISNUMBER(H3523)),D3523*H3523*Inputs!$C$69,"")</f>
      </c>
      <c r="J3523" s="42">
        <f>IF(AND(ISNUMBER(F3523),ISNUMBER(H3523),F3523&gt;=Inputs!$C$68),F3523*H3523*Inputs!$C$69,"")</f>
      </c>
    </row>
    <row r="3524" spans="2:10" ht="15" customHeight="1" x14ac:dyDescent="0.2">
      <c r="B3524" s="39">
        <f t="shared" si="26"/>
      </c>
      <c r="C3524" s="40">
        <f>IF(Inputs!$C$60,Inputs!$C$11+(B3524-Inputs!$C$69)/Inputs!$C$70,"")</f>
      </c>
      <c r="D3524" s="15"/>
      <c r="E3524" s="15"/>
      <c r="F3524" s="11">
        <f t="shared" si="27"/>
      </c>
      <c r="G3524" s="22" cm="1">
        <f t="array" ref="G3524">IF(AND(Inputs!$C$60,Inputs!$C$61),INDEX(Utility_Rates!$C$29:$F$52,HOUR(C3524)+Inputs!$C$69,MATCH(INDEX(Utility_Rates!$K$6:$K$17,MONTH(C3524))&amp;IF(WEEKDAY(C3524,Inputs!$C$76)&lt;=Inputs!$C$74," weekday"," weekend"),Utility_Rates!$C$28:$F$28,Inputs!$C$68)),"")</f>
      </c>
      <c r="H3524" s="34"/>
      <c r="I3524" s="42">
        <f>IF(AND(ISNUMBER(D3524),ISNUMBER(H3524)),D3524*H3524*Inputs!$C$69,"")</f>
      </c>
      <c r="J3524" s="42">
        <f>IF(AND(ISNUMBER(F3524),ISNUMBER(H3524),F3524&gt;=Inputs!$C$68),F3524*H3524*Inputs!$C$69,"")</f>
      </c>
    </row>
    <row r="3525" spans="2:10" ht="15" customHeight="1" x14ac:dyDescent="0.2">
      <c r="B3525" s="39">
        <f t="shared" si="26"/>
      </c>
      <c r="C3525" s="40">
        <f>IF(Inputs!$C$60,Inputs!$C$11+(B3525-Inputs!$C$69)/Inputs!$C$70,"")</f>
      </c>
      <c r="D3525" s="15"/>
      <c r="E3525" s="15"/>
      <c r="F3525" s="11">
        <f t="shared" si="27"/>
      </c>
      <c r="G3525" s="22" cm="1">
        <f t="array" ref="G3525">IF(AND(Inputs!$C$60,Inputs!$C$61),INDEX(Utility_Rates!$C$29:$F$52,HOUR(C3525)+Inputs!$C$69,MATCH(INDEX(Utility_Rates!$K$6:$K$17,MONTH(C3525))&amp;IF(WEEKDAY(C3525,Inputs!$C$76)&lt;=Inputs!$C$74," weekday"," weekend"),Utility_Rates!$C$28:$F$28,Inputs!$C$68)),"")</f>
      </c>
      <c r="H3525" s="34"/>
      <c r="I3525" s="42">
        <f>IF(AND(ISNUMBER(D3525),ISNUMBER(H3525)),D3525*H3525*Inputs!$C$69,"")</f>
      </c>
      <c r="J3525" s="42">
        <f>IF(AND(ISNUMBER(F3525),ISNUMBER(H3525),F3525&gt;=Inputs!$C$68),F3525*H3525*Inputs!$C$69,"")</f>
      </c>
    </row>
    <row r="3526" spans="2:10" ht="15" customHeight="1" x14ac:dyDescent="0.2">
      <c r="B3526" s="39">
        <f t="shared" si="26"/>
      </c>
      <c r="C3526" s="40">
        <f>IF(Inputs!$C$60,Inputs!$C$11+(B3526-Inputs!$C$69)/Inputs!$C$70,"")</f>
      </c>
      <c r="D3526" s="15"/>
      <c r="E3526" s="15"/>
      <c r="F3526" s="11">
        <f t="shared" si="27"/>
      </c>
      <c r="G3526" s="22" cm="1">
        <f t="array" ref="G3526">IF(AND(Inputs!$C$60,Inputs!$C$61),INDEX(Utility_Rates!$C$29:$F$52,HOUR(C3526)+Inputs!$C$69,MATCH(INDEX(Utility_Rates!$K$6:$K$17,MONTH(C3526))&amp;IF(WEEKDAY(C3526,Inputs!$C$76)&lt;=Inputs!$C$74," weekday"," weekend"),Utility_Rates!$C$28:$F$28,Inputs!$C$68)),"")</f>
      </c>
      <c r="H3526" s="34"/>
      <c r="I3526" s="42">
        <f>IF(AND(ISNUMBER(D3526),ISNUMBER(H3526)),D3526*H3526*Inputs!$C$69,"")</f>
      </c>
      <c r="J3526" s="42">
        <f>IF(AND(ISNUMBER(F3526),ISNUMBER(H3526),F3526&gt;=Inputs!$C$68),F3526*H3526*Inputs!$C$69,"")</f>
      </c>
    </row>
    <row r="3527" spans="2:10" ht="15" customHeight="1" x14ac:dyDescent="0.2">
      <c r="B3527" s="39">
        <f t="shared" si="26"/>
      </c>
      <c r="C3527" s="40">
        <f>IF(Inputs!$C$60,Inputs!$C$11+(B3527-Inputs!$C$69)/Inputs!$C$70,"")</f>
      </c>
      <c r="D3527" s="15"/>
      <c r="E3527" s="15"/>
      <c r="F3527" s="11">
        <f t="shared" si="27"/>
      </c>
      <c r="G3527" s="22" cm="1">
        <f t="array" ref="G3527">IF(AND(Inputs!$C$60,Inputs!$C$61),INDEX(Utility_Rates!$C$29:$F$52,HOUR(C3527)+Inputs!$C$69,MATCH(INDEX(Utility_Rates!$K$6:$K$17,MONTH(C3527))&amp;IF(WEEKDAY(C3527,Inputs!$C$76)&lt;=Inputs!$C$74," weekday"," weekend"),Utility_Rates!$C$28:$F$28,Inputs!$C$68)),"")</f>
      </c>
      <c r="H3527" s="34"/>
      <c r="I3527" s="42">
        <f>IF(AND(ISNUMBER(D3527),ISNUMBER(H3527)),D3527*H3527*Inputs!$C$69,"")</f>
      </c>
      <c r="J3527" s="42">
        <f>IF(AND(ISNUMBER(F3527),ISNUMBER(H3527),F3527&gt;=Inputs!$C$68),F3527*H3527*Inputs!$C$69,"")</f>
      </c>
    </row>
    <row r="3528" spans="2:10" ht="15" customHeight="1" x14ac:dyDescent="0.2">
      <c r="B3528" s="39">
        <f t="shared" si="26"/>
      </c>
      <c r="C3528" s="40">
        <f>IF(Inputs!$C$60,Inputs!$C$11+(B3528-Inputs!$C$69)/Inputs!$C$70,"")</f>
      </c>
      <c r="D3528" s="15"/>
      <c r="E3528" s="15"/>
      <c r="F3528" s="11">
        <f t="shared" si="27"/>
      </c>
      <c r="G3528" s="22" cm="1">
        <f t="array" ref="G3528">IF(AND(Inputs!$C$60,Inputs!$C$61),INDEX(Utility_Rates!$C$29:$F$52,HOUR(C3528)+Inputs!$C$69,MATCH(INDEX(Utility_Rates!$K$6:$K$17,MONTH(C3528))&amp;IF(WEEKDAY(C3528,Inputs!$C$76)&lt;=Inputs!$C$74," weekday"," weekend"),Utility_Rates!$C$28:$F$28,Inputs!$C$68)),"")</f>
      </c>
      <c r="H3528" s="34"/>
      <c r="I3528" s="42">
        <f>IF(AND(ISNUMBER(D3528),ISNUMBER(H3528)),D3528*H3528*Inputs!$C$69,"")</f>
      </c>
      <c r="J3528" s="42">
        <f>IF(AND(ISNUMBER(F3528),ISNUMBER(H3528),F3528&gt;=Inputs!$C$68),F3528*H3528*Inputs!$C$69,"")</f>
      </c>
    </row>
    <row r="3529" spans="2:10" ht="15" customHeight="1" x14ac:dyDescent="0.2">
      <c r="B3529" s="39">
        <f t="shared" si="26"/>
      </c>
      <c r="C3529" s="40">
        <f>IF(Inputs!$C$60,Inputs!$C$11+(B3529-Inputs!$C$69)/Inputs!$C$70,"")</f>
      </c>
      <c r="D3529" s="15"/>
      <c r="E3529" s="15"/>
      <c r="F3529" s="11">
        <f t="shared" si="27"/>
      </c>
      <c r="G3529" s="22" cm="1">
        <f t="array" ref="G3529">IF(AND(Inputs!$C$60,Inputs!$C$61),INDEX(Utility_Rates!$C$29:$F$52,HOUR(C3529)+Inputs!$C$69,MATCH(INDEX(Utility_Rates!$K$6:$K$17,MONTH(C3529))&amp;IF(WEEKDAY(C3529,Inputs!$C$76)&lt;=Inputs!$C$74," weekday"," weekend"),Utility_Rates!$C$28:$F$28,Inputs!$C$68)),"")</f>
      </c>
      <c r="H3529" s="34"/>
      <c r="I3529" s="42">
        <f>IF(AND(ISNUMBER(D3529),ISNUMBER(H3529)),D3529*H3529*Inputs!$C$69,"")</f>
      </c>
      <c r="J3529" s="42">
        <f>IF(AND(ISNUMBER(F3529),ISNUMBER(H3529),F3529&gt;=Inputs!$C$68),F3529*H3529*Inputs!$C$69,"")</f>
      </c>
    </row>
    <row r="3530" spans="2:10" ht="15" customHeight="1" x14ac:dyDescent="0.2">
      <c r="B3530" s="39">
        <f t="shared" si="26"/>
      </c>
      <c r="C3530" s="40">
        <f>IF(Inputs!$C$60,Inputs!$C$11+(B3530-Inputs!$C$69)/Inputs!$C$70,"")</f>
      </c>
      <c r="D3530" s="15"/>
      <c r="E3530" s="15"/>
      <c r="F3530" s="11">
        <f t="shared" si="27"/>
      </c>
      <c r="G3530" s="22" cm="1">
        <f t="array" ref="G3530">IF(AND(Inputs!$C$60,Inputs!$C$61),INDEX(Utility_Rates!$C$29:$F$52,HOUR(C3530)+Inputs!$C$69,MATCH(INDEX(Utility_Rates!$K$6:$K$17,MONTH(C3530))&amp;IF(WEEKDAY(C3530,Inputs!$C$76)&lt;=Inputs!$C$74," weekday"," weekend"),Utility_Rates!$C$28:$F$28,Inputs!$C$68)),"")</f>
      </c>
      <c r="H3530" s="34"/>
      <c r="I3530" s="42">
        <f>IF(AND(ISNUMBER(D3530),ISNUMBER(H3530)),D3530*H3530*Inputs!$C$69,"")</f>
      </c>
      <c r="J3530" s="42">
        <f>IF(AND(ISNUMBER(F3530),ISNUMBER(H3530),F3530&gt;=Inputs!$C$68),F3530*H3530*Inputs!$C$69,"")</f>
      </c>
    </row>
    <row r="3531" spans="2:10" ht="15" customHeight="1" x14ac:dyDescent="0.2">
      <c r="B3531" s="39">
        <f t="shared" si="26"/>
      </c>
      <c r="C3531" s="40">
        <f>IF(Inputs!$C$60,Inputs!$C$11+(B3531-Inputs!$C$69)/Inputs!$C$70,"")</f>
      </c>
      <c r="D3531" s="15"/>
      <c r="E3531" s="15"/>
      <c r="F3531" s="11">
        <f t="shared" si="27"/>
      </c>
      <c r="G3531" s="22" cm="1">
        <f t="array" ref="G3531">IF(AND(Inputs!$C$60,Inputs!$C$61),INDEX(Utility_Rates!$C$29:$F$52,HOUR(C3531)+Inputs!$C$69,MATCH(INDEX(Utility_Rates!$K$6:$K$17,MONTH(C3531))&amp;IF(WEEKDAY(C3531,Inputs!$C$76)&lt;=Inputs!$C$74," weekday"," weekend"),Utility_Rates!$C$28:$F$28,Inputs!$C$68)),"")</f>
      </c>
      <c r="H3531" s="34"/>
      <c r="I3531" s="42">
        <f>IF(AND(ISNUMBER(D3531),ISNUMBER(H3531)),D3531*H3531*Inputs!$C$69,"")</f>
      </c>
      <c r="J3531" s="42">
        <f>IF(AND(ISNUMBER(F3531),ISNUMBER(H3531),F3531&gt;=Inputs!$C$68),F3531*H3531*Inputs!$C$69,"")</f>
      </c>
    </row>
    <row r="3532" spans="2:10" ht="15" customHeight="1" x14ac:dyDescent="0.2">
      <c r="B3532" s="39">
        <f t="shared" si="26"/>
      </c>
      <c r="C3532" s="40">
        <f>IF(Inputs!$C$60,Inputs!$C$11+(B3532-Inputs!$C$69)/Inputs!$C$70,"")</f>
      </c>
      <c r="D3532" s="15"/>
      <c r="E3532" s="15"/>
      <c r="F3532" s="11">
        <f t="shared" si="27"/>
      </c>
      <c r="G3532" s="22" cm="1">
        <f t="array" ref="G3532">IF(AND(Inputs!$C$60,Inputs!$C$61),INDEX(Utility_Rates!$C$29:$F$52,HOUR(C3532)+Inputs!$C$69,MATCH(INDEX(Utility_Rates!$K$6:$K$17,MONTH(C3532))&amp;IF(WEEKDAY(C3532,Inputs!$C$76)&lt;=Inputs!$C$74," weekday"," weekend"),Utility_Rates!$C$28:$F$28,Inputs!$C$68)),"")</f>
      </c>
      <c r="H3532" s="34"/>
      <c r="I3532" s="42">
        <f>IF(AND(ISNUMBER(D3532),ISNUMBER(H3532)),D3532*H3532*Inputs!$C$69,"")</f>
      </c>
      <c r="J3532" s="42">
        <f>IF(AND(ISNUMBER(F3532),ISNUMBER(H3532),F3532&gt;=Inputs!$C$68),F3532*H3532*Inputs!$C$69,"")</f>
      </c>
    </row>
    <row r="3533" spans="2:10" ht="15" customHeight="1" x14ac:dyDescent="0.2">
      <c r="B3533" s="39">
        <f t="shared" si="26"/>
      </c>
      <c r="C3533" s="40">
        <f>IF(Inputs!$C$60,Inputs!$C$11+(B3533-Inputs!$C$69)/Inputs!$C$70,"")</f>
      </c>
      <c r="D3533" s="15"/>
      <c r="E3533" s="15"/>
      <c r="F3533" s="11">
        <f t="shared" si="27"/>
      </c>
      <c r="G3533" s="22" cm="1">
        <f t="array" ref="G3533">IF(AND(Inputs!$C$60,Inputs!$C$61),INDEX(Utility_Rates!$C$29:$F$52,HOUR(C3533)+Inputs!$C$69,MATCH(INDEX(Utility_Rates!$K$6:$K$17,MONTH(C3533))&amp;IF(WEEKDAY(C3533,Inputs!$C$76)&lt;=Inputs!$C$74," weekday"," weekend"),Utility_Rates!$C$28:$F$28,Inputs!$C$68)),"")</f>
      </c>
      <c r="H3533" s="34"/>
      <c r="I3533" s="42">
        <f>IF(AND(ISNUMBER(D3533),ISNUMBER(H3533)),D3533*H3533*Inputs!$C$69,"")</f>
      </c>
      <c r="J3533" s="42">
        <f>IF(AND(ISNUMBER(F3533),ISNUMBER(H3533),F3533&gt;=Inputs!$C$68),F3533*H3533*Inputs!$C$69,"")</f>
      </c>
    </row>
    <row r="3534" spans="2:10" ht="15" customHeight="1" x14ac:dyDescent="0.2">
      <c r="B3534" s="39">
        <f t="shared" si="26"/>
      </c>
      <c r="C3534" s="40">
        <f>IF(Inputs!$C$60,Inputs!$C$11+(B3534-Inputs!$C$69)/Inputs!$C$70,"")</f>
      </c>
      <c r="D3534" s="15"/>
      <c r="E3534" s="15"/>
      <c r="F3534" s="11">
        <f t="shared" si="27"/>
      </c>
      <c r="G3534" s="22" cm="1">
        <f t="array" ref="G3534">IF(AND(Inputs!$C$60,Inputs!$C$61),INDEX(Utility_Rates!$C$29:$F$52,HOUR(C3534)+Inputs!$C$69,MATCH(INDEX(Utility_Rates!$K$6:$K$17,MONTH(C3534))&amp;IF(WEEKDAY(C3534,Inputs!$C$76)&lt;=Inputs!$C$74," weekday"," weekend"),Utility_Rates!$C$28:$F$28,Inputs!$C$68)),"")</f>
      </c>
      <c r="H3534" s="34"/>
      <c r="I3534" s="42">
        <f>IF(AND(ISNUMBER(D3534),ISNUMBER(H3534)),D3534*H3534*Inputs!$C$69,"")</f>
      </c>
      <c r="J3534" s="42">
        <f>IF(AND(ISNUMBER(F3534),ISNUMBER(H3534),F3534&gt;=Inputs!$C$68),F3534*H3534*Inputs!$C$69,"")</f>
      </c>
    </row>
    <row r="3535" spans="2:10" ht="15" customHeight="1" x14ac:dyDescent="0.2">
      <c r="B3535" s="39">
        <f t="shared" si="26"/>
      </c>
      <c r="C3535" s="40">
        <f>IF(Inputs!$C$60,Inputs!$C$11+(B3535-Inputs!$C$69)/Inputs!$C$70,"")</f>
      </c>
      <c r="D3535" s="15"/>
      <c r="E3535" s="15"/>
      <c r="F3535" s="11">
        <f t="shared" si="27"/>
      </c>
      <c r="G3535" s="22" cm="1">
        <f t="array" ref="G3535">IF(AND(Inputs!$C$60,Inputs!$C$61),INDEX(Utility_Rates!$C$29:$F$52,HOUR(C3535)+Inputs!$C$69,MATCH(INDEX(Utility_Rates!$K$6:$K$17,MONTH(C3535))&amp;IF(WEEKDAY(C3535,Inputs!$C$76)&lt;=Inputs!$C$74," weekday"," weekend"),Utility_Rates!$C$28:$F$28,Inputs!$C$68)),"")</f>
      </c>
      <c r="H3535" s="34"/>
      <c r="I3535" s="42">
        <f>IF(AND(ISNUMBER(D3535),ISNUMBER(H3535)),D3535*H3535*Inputs!$C$69,"")</f>
      </c>
      <c r="J3535" s="42">
        <f>IF(AND(ISNUMBER(F3535),ISNUMBER(H3535),F3535&gt;=Inputs!$C$68),F3535*H3535*Inputs!$C$69,"")</f>
      </c>
    </row>
    <row r="3536" spans="2:10" ht="15" customHeight="1" x14ac:dyDescent="0.2">
      <c r="B3536" s="39">
        <f t="shared" si="26"/>
      </c>
      <c r="C3536" s="40">
        <f>IF(Inputs!$C$60,Inputs!$C$11+(B3536-Inputs!$C$69)/Inputs!$C$70,"")</f>
      </c>
      <c r="D3536" s="15"/>
      <c r="E3536" s="15"/>
      <c r="F3536" s="11">
        <f t="shared" si="27"/>
      </c>
      <c r="G3536" s="22" cm="1">
        <f t="array" ref="G3536">IF(AND(Inputs!$C$60,Inputs!$C$61),INDEX(Utility_Rates!$C$29:$F$52,HOUR(C3536)+Inputs!$C$69,MATCH(INDEX(Utility_Rates!$K$6:$K$17,MONTH(C3536))&amp;IF(WEEKDAY(C3536,Inputs!$C$76)&lt;=Inputs!$C$74," weekday"," weekend"),Utility_Rates!$C$28:$F$28,Inputs!$C$68)),"")</f>
      </c>
      <c r="H3536" s="34"/>
      <c r="I3536" s="42">
        <f>IF(AND(ISNUMBER(D3536),ISNUMBER(H3536)),D3536*H3536*Inputs!$C$69,"")</f>
      </c>
      <c r="J3536" s="42">
        <f>IF(AND(ISNUMBER(F3536),ISNUMBER(H3536),F3536&gt;=Inputs!$C$68),F3536*H3536*Inputs!$C$69,"")</f>
      </c>
    </row>
    <row r="3537" spans="2:10" ht="15" customHeight="1" x14ac:dyDescent="0.2">
      <c r="B3537" s="39">
        <f t="shared" si="26"/>
      </c>
      <c r="C3537" s="40">
        <f>IF(Inputs!$C$60,Inputs!$C$11+(B3537-Inputs!$C$69)/Inputs!$C$70,"")</f>
      </c>
      <c r="D3537" s="15"/>
      <c r="E3537" s="15"/>
      <c r="F3537" s="11">
        <f t="shared" si="27"/>
      </c>
      <c r="G3537" s="22" cm="1">
        <f t="array" ref="G3537">IF(AND(Inputs!$C$60,Inputs!$C$61),INDEX(Utility_Rates!$C$29:$F$52,HOUR(C3537)+Inputs!$C$69,MATCH(INDEX(Utility_Rates!$K$6:$K$17,MONTH(C3537))&amp;IF(WEEKDAY(C3537,Inputs!$C$76)&lt;=Inputs!$C$74," weekday"," weekend"),Utility_Rates!$C$28:$F$28,Inputs!$C$68)),"")</f>
      </c>
      <c r="H3537" s="34"/>
      <c r="I3537" s="42">
        <f>IF(AND(ISNUMBER(D3537),ISNUMBER(H3537)),D3537*H3537*Inputs!$C$69,"")</f>
      </c>
      <c r="J3537" s="42">
        <f>IF(AND(ISNUMBER(F3537),ISNUMBER(H3537),F3537&gt;=Inputs!$C$68),F3537*H3537*Inputs!$C$69,"")</f>
      </c>
    </row>
    <row r="3538" spans="2:10" ht="15" customHeight="1" x14ac:dyDescent="0.2">
      <c r="B3538" s="39">
        <f t="shared" si="26"/>
      </c>
      <c r="C3538" s="40">
        <f>IF(Inputs!$C$60,Inputs!$C$11+(B3538-Inputs!$C$69)/Inputs!$C$70,"")</f>
      </c>
      <c r="D3538" s="15"/>
      <c r="E3538" s="15"/>
      <c r="F3538" s="11">
        <f t="shared" si="27"/>
      </c>
      <c r="G3538" s="22" cm="1">
        <f t="array" ref="G3538">IF(AND(Inputs!$C$60,Inputs!$C$61),INDEX(Utility_Rates!$C$29:$F$52,HOUR(C3538)+Inputs!$C$69,MATCH(INDEX(Utility_Rates!$K$6:$K$17,MONTH(C3538))&amp;IF(WEEKDAY(C3538,Inputs!$C$76)&lt;=Inputs!$C$74," weekday"," weekend"),Utility_Rates!$C$28:$F$28,Inputs!$C$68)),"")</f>
      </c>
      <c r="H3538" s="34"/>
      <c r="I3538" s="42">
        <f>IF(AND(ISNUMBER(D3538),ISNUMBER(H3538)),D3538*H3538*Inputs!$C$69,"")</f>
      </c>
      <c r="J3538" s="42">
        <f>IF(AND(ISNUMBER(F3538),ISNUMBER(H3538),F3538&gt;=Inputs!$C$68),F3538*H3538*Inputs!$C$69,"")</f>
      </c>
    </row>
    <row r="3539" spans="2:10" ht="15" customHeight="1" x14ac:dyDescent="0.2">
      <c r="B3539" s="39">
        <f t="shared" si="26"/>
      </c>
      <c r="C3539" s="40">
        <f>IF(Inputs!$C$60,Inputs!$C$11+(B3539-Inputs!$C$69)/Inputs!$C$70,"")</f>
      </c>
      <c r="D3539" s="15"/>
      <c r="E3539" s="15"/>
      <c r="F3539" s="11">
        <f t="shared" si="27"/>
      </c>
      <c r="G3539" s="22" cm="1">
        <f t="array" ref="G3539">IF(AND(Inputs!$C$60,Inputs!$C$61),INDEX(Utility_Rates!$C$29:$F$52,HOUR(C3539)+Inputs!$C$69,MATCH(INDEX(Utility_Rates!$K$6:$K$17,MONTH(C3539))&amp;IF(WEEKDAY(C3539,Inputs!$C$76)&lt;=Inputs!$C$74," weekday"," weekend"),Utility_Rates!$C$28:$F$28,Inputs!$C$68)),"")</f>
      </c>
      <c r="H3539" s="34"/>
      <c r="I3539" s="42">
        <f>IF(AND(ISNUMBER(D3539),ISNUMBER(H3539)),D3539*H3539*Inputs!$C$69,"")</f>
      </c>
      <c r="J3539" s="42">
        <f>IF(AND(ISNUMBER(F3539),ISNUMBER(H3539),F3539&gt;=Inputs!$C$68),F3539*H3539*Inputs!$C$69,"")</f>
      </c>
    </row>
    <row r="3540" spans="2:10" ht="15" customHeight="1" x14ac:dyDescent="0.2">
      <c r="B3540" s="39">
        <f t="shared" si="26"/>
      </c>
      <c r="C3540" s="40">
        <f>IF(Inputs!$C$60,Inputs!$C$11+(B3540-Inputs!$C$69)/Inputs!$C$70,"")</f>
      </c>
      <c r="D3540" s="15"/>
      <c r="E3540" s="15"/>
      <c r="F3540" s="11">
        <f t="shared" si="27"/>
      </c>
      <c r="G3540" s="22" cm="1">
        <f t="array" ref="G3540">IF(AND(Inputs!$C$60,Inputs!$C$61),INDEX(Utility_Rates!$C$29:$F$52,HOUR(C3540)+Inputs!$C$69,MATCH(INDEX(Utility_Rates!$K$6:$K$17,MONTH(C3540))&amp;IF(WEEKDAY(C3540,Inputs!$C$76)&lt;=Inputs!$C$74," weekday"," weekend"),Utility_Rates!$C$28:$F$28,Inputs!$C$68)),"")</f>
      </c>
      <c r="H3540" s="34"/>
      <c r="I3540" s="42">
        <f>IF(AND(ISNUMBER(D3540),ISNUMBER(H3540)),D3540*H3540*Inputs!$C$69,"")</f>
      </c>
      <c r="J3540" s="42">
        <f>IF(AND(ISNUMBER(F3540),ISNUMBER(H3540),F3540&gt;=Inputs!$C$68),F3540*H3540*Inputs!$C$69,"")</f>
      </c>
    </row>
    <row r="3541" spans="2:10" ht="15" customHeight="1" x14ac:dyDescent="0.2">
      <c r="B3541" s="39">
        <f t="shared" si="26"/>
      </c>
      <c r="C3541" s="40">
        <f>IF(Inputs!$C$60,Inputs!$C$11+(B3541-Inputs!$C$69)/Inputs!$C$70,"")</f>
      </c>
      <c r="D3541" s="15"/>
      <c r="E3541" s="15"/>
      <c r="F3541" s="11">
        <f t="shared" si="27"/>
      </c>
      <c r="G3541" s="22" cm="1">
        <f t="array" ref="G3541">IF(AND(Inputs!$C$60,Inputs!$C$61),INDEX(Utility_Rates!$C$29:$F$52,HOUR(C3541)+Inputs!$C$69,MATCH(INDEX(Utility_Rates!$K$6:$K$17,MONTH(C3541))&amp;IF(WEEKDAY(C3541,Inputs!$C$76)&lt;=Inputs!$C$74," weekday"," weekend"),Utility_Rates!$C$28:$F$28,Inputs!$C$68)),"")</f>
      </c>
      <c r="H3541" s="34"/>
      <c r="I3541" s="42">
        <f>IF(AND(ISNUMBER(D3541),ISNUMBER(H3541)),D3541*H3541*Inputs!$C$69,"")</f>
      </c>
      <c r="J3541" s="42">
        <f>IF(AND(ISNUMBER(F3541),ISNUMBER(H3541),F3541&gt;=Inputs!$C$68),F3541*H3541*Inputs!$C$69,"")</f>
      </c>
    </row>
    <row r="3542" spans="2:10" ht="15" customHeight="1" x14ac:dyDescent="0.2">
      <c r="B3542" s="39">
        <f t="shared" si="26"/>
      </c>
      <c r="C3542" s="40">
        <f>IF(Inputs!$C$60,Inputs!$C$11+(B3542-Inputs!$C$69)/Inputs!$C$70,"")</f>
      </c>
      <c r="D3542" s="15"/>
      <c r="E3542" s="15"/>
      <c r="F3542" s="11">
        <f t="shared" si="27"/>
      </c>
      <c r="G3542" s="22" cm="1">
        <f t="array" ref="G3542">IF(AND(Inputs!$C$60,Inputs!$C$61),INDEX(Utility_Rates!$C$29:$F$52,HOUR(C3542)+Inputs!$C$69,MATCH(INDEX(Utility_Rates!$K$6:$K$17,MONTH(C3542))&amp;IF(WEEKDAY(C3542,Inputs!$C$76)&lt;=Inputs!$C$74," weekday"," weekend"),Utility_Rates!$C$28:$F$28,Inputs!$C$68)),"")</f>
      </c>
      <c r="H3542" s="34"/>
      <c r="I3542" s="42">
        <f>IF(AND(ISNUMBER(D3542),ISNUMBER(H3542)),D3542*H3542*Inputs!$C$69,"")</f>
      </c>
      <c r="J3542" s="42">
        <f>IF(AND(ISNUMBER(F3542),ISNUMBER(H3542),F3542&gt;=Inputs!$C$68),F3542*H3542*Inputs!$C$69,"")</f>
      </c>
    </row>
    <row r="3543" spans="2:10" ht="15" customHeight="1" x14ac:dyDescent="0.2">
      <c r="B3543" s="39">
        <f t="shared" si="26"/>
      </c>
      <c r="C3543" s="40">
        <f>IF(Inputs!$C$60,Inputs!$C$11+(B3543-Inputs!$C$69)/Inputs!$C$70,"")</f>
      </c>
      <c r="D3543" s="15"/>
      <c r="E3543" s="15"/>
      <c r="F3543" s="11">
        <f t="shared" si="27"/>
      </c>
      <c r="G3543" s="22" cm="1">
        <f t="array" ref="G3543">IF(AND(Inputs!$C$60,Inputs!$C$61),INDEX(Utility_Rates!$C$29:$F$52,HOUR(C3543)+Inputs!$C$69,MATCH(INDEX(Utility_Rates!$K$6:$K$17,MONTH(C3543))&amp;IF(WEEKDAY(C3543,Inputs!$C$76)&lt;=Inputs!$C$74," weekday"," weekend"),Utility_Rates!$C$28:$F$28,Inputs!$C$68)),"")</f>
      </c>
      <c r="H3543" s="34"/>
      <c r="I3543" s="42">
        <f>IF(AND(ISNUMBER(D3543),ISNUMBER(H3543)),D3543*H3543*Inputs!$C$69,"")</f>
      </c>
      <c r="J3543" s="42">
        <f>IF(AND(ISNUMBER(F3543),ISNUMBER(H3543),F3543&gt;=Inputs!$C$68),F3543*H3543*Inputs!$C$69,"")</f>
      </c>
    </row>
    <row r="3544" spans="2:10" ht="15" customHeight="1" x14ac:dyDescent="0.2">
      <c r="B3544" s="39">
        <f t="shared" si="26"/>
      </c>
      <c r="C3544" s="40">
        <f>IF(Inputs!$C$60,Inputs!$C$11+(B3544-Inputs!$C$69)/Inputs!$C$70,"")</f>
      </c>
      <c r="D3544" s="15"/>
      <c r="E3544" s="15"/>
      <c r="F3544" s="11">
        <f t="shared" si="27"/>
      </c>
      <c r="G3544" s="22" cm="1">
        <f t="array" ref="G3544">IF(AND(Inputs!$C$60,Inputs!$C$61),INDEX(Utility_Rates!$C$29:$F$52,HOUR(C3544)+Inputs!$C$69,MATCH(INDEX(Utility_Rates!$K$6:$K$17,MONTH(C3544))&amp;IF(WEEKDAY(C3544,Inputs!$C$76)&lt;=Inputs!$C$74," weekday"," weekend"),Utility_Rates!$C$28:$F$28,Inputs!$C$68)),"")</f>
      </c>
      <c r="H3544" s="34"/>
      <c r="I3544" s="42">
        <f>IF(AND(ISNUMBER(D3544),ISNUMBER(H3544)),D3544*H3544*Inputs!$C$69,"")</f>
      </c>
      <c r="J3544" s="42">
        <f>IF(AND(ISNUMBER(F3544),ISNUMBER(H3544),F3544&gt;=Inputs!$C$68),F3544*H3544*Inputs!$C$69,"")</f>
      </c>
    </row>
    <row r="3545" spans="2:10" ht="15" customHeight="1" x14ac:dyDescent="0.2">
      <c r="B3545" s="39">
        <f t="shared" si="26"/>
      </c>
      <c r="C3545" s="40">
        <f>IF(Inputs!$C$60,Inputs!$C$11+(B3545-Inputs!$C$69)/Inputs!$C$70,"")</f>
      </c>
      <c r="D3545" s="15"/>
      <c r="E3545" s="15"/>
      <c r="F3545" s="11">
        <f t="shared" si="27"/>
      </c>
      <c r="G3545" s="22" cm="1">
        <f t="array" ref="G3545">IF(AND(Inputs!$C$60,Inputs!$C$61),INDEX(Utility_Rates!$C$29:$F$52,HOUR(C3545)+Inputs!$C$69,MATCH(INDEX(Utility_Rates!$K$6:$K$17,MONTH(C3545))&amp;IF(WEEKDAY(C3545,Inputs!$C$76)&lt;=Inputs!$C$74," weekday"," weekend"),Utility_Rates!$C$28:$F$28,Inputs!$C$68)),"")</f>
      </c>
      <c r="H3545" s="34"/>
      <c r="I3545" s="42">
        <f>IF(AND(ISNUMBER(D3545),ISNUMBER(H3545)),D3545*H3545*Inputs!$C$69,"")</f>
      </c>
      <c r="J3545" s="42">
        <f>IF(AND(ISNUMBER(F3545),ISNUMBER(H3545),F3545&gt;=Inputs!$C$68),F3545*H3545*Inputs!$C$69,"")</f>
      </c>
    </row>
    <row r="3546" spans="2:10" ht="15" customHeight="1" x14ac:dyDescent="0.2">
      <c r="B3546" s="39">
        <f t="shared" si="26"/>
      </c>
      <c r="C3546" s="40">
        <f>IF(Inputs!$C$60,Inputs!$C$11+(B3546-Inputs!$C$69)/Inputs!$C$70,"")</f>
      </c>
      <c r="D3546" s="15"/>
      <c r="E3546" s="15"/>
      <c r="F3546" s="11">
        <f t="shared" si="27"/>
      </c>
      <c r="G3546" s="22" cm="1">
        <f t="array" ref="G3546">IF(AND(Inputs!$C$60,Inputs!$C$61),INDEX(Utility_Rates!$C$29:$F$52,HOUR(C3546)+Inputs!$C$69,MATCH(INDEX(Utility_Rates!$K$6:$K$17,MONTH(C3546))&amp;IF(WEEKDAY(C3546,Inputs!$C$76)&lt;=Inputs!$C$74," weekday"," weekend"),Utility_Rates!$C$28:$F$28,Inputs!$C$68)),"")</f>
      </c>
      <c r="H3546" s="34"/>
      <c r="I3546" s="42">
        <f>IF(AND(ISNUMBER(D3546),ISNUMBER(H3546)),D3546*H3546*Inputs!$C$69,"")</f>
      </c>
      <c r="J3546" s="42">
        <f>IF(AND(ISNUMBER(F3546),ISNUMBER(H3546),F3546&gt;=Inputs!$C$68),F3546*H3546*Inputs!$C$69,"")</f>
      </c>
    </row>
    <row r="3547" spans="2:10" ht="15" customHeight="1" x14ac:dyDescent="0.2">
      <c r="B3547" s="39">
        <f t="shared" si="26"/>
      </c>
      <c r="C3547" s="40">
        <f>IF(Inputs!$C$60,Inputs!$C$11+(B3547-Inputs!$C$69)/Inputs!$C$70,"")</f>
      </c>
      <c r="D3547" s="15"/>
      <c r="E3547" s="15"/>
      <c r="F3547" s="11">
        <f t="shared" si="27"/>
      </c>
      <c r="G3547" s="22" cm="1">
        <f t="array" ref="G3547">IF(AND(Inputs!$C$60,Inputs!$C$61),INDEX(Utility_Rates!$C$29:$F$52,HOUR(C3547)+Inputs!$C$69,MATCH(INDEX(Utility_Rates!$K$6:$K$17,MONTH(C3547))&amp;IF(WEEKDAY(C3547,Inputs!$C$76)&lt;=Inputs!$C$74," weekday"," weekend"),Utility_Rates!$C$28:$F$28,Inputs!$C$68)),"")</f>
      </c>
      <c r="H3547" s="34"/>
      <c r="I3547" s="42">
        <f>IF(AND(ISNUMBER(D3547),ISNUMBER(H3547)),D3547*H3547*Inputs!$C$69,"")</f>
      </c>
      <c r="J3547" s="42">
        <f>IF(AND(ISNUMBER(F3547),ISNUMBER(H3547),F3547&gt;=Inputs!$C$68),F3547*H3547*Inputs!$C$69,"")</f>
      </c>
    </row>
    <row r="3548" spans="2:10" ht="15" customHeight="1" x14ac:dyDescent="0.2">
      <c r="B3548" s="39">
        <f t="shared" si="26"/>
      </c>
      <c r="C3548" s="40">
        <f>IF(Inputs!$C$60,Inputs!$C$11+(B3548-Inputs!$C$69)/Inputs!$C$70,"")</f>
      </c>
      <c r="D3548" s="15"/>
      <c r="E3548" s="15"/>
      <c r="F3548" s="11">
        <f t="shared" si="27"/>
      </c>
      <c r="G3548" s="22" cm="1">
        <f t="array" ref="G3548">IF(AND(Inputs!$C$60,Inputs!$C$61),INDEX(Utility_Rates!$C$29:$F$52,HOUR(C3548)+Inputs!$C$69,MATCH(INDEX(Utility_Rates!$K$6:$K$17,MONTH(C3548))&amp;IF(WEEKDAY(C3548,Inputs!$C$76)&lt;=Inputs!$C$74," weekday"," weekend"),Utility_Rates!$C$28:$F$28,Inputs!$C$68)),"")</f>
      </c>
      <c r="H3548" s="34"/>
      <c r="I3548" s="42">
        <f>IF(AND(ISNUMBER(D3548),ISNUMBER(H3548)),D3548*H3548*Inputs!$C$69,"")</f>
      </c>
      <c r="J3548" s="42">
        <f>IF(AND(ISNUMBER(F3548),ISNUMBER(H3548),F3548&gt;=Inputs!$C$68),F3548*H3548*Inputs!$C$69,"")</f>
      </c>
    </row>
    <row r="3549" spans="2:10" ht="15" customHeight="1" x14ac:dyDescent="0.2">
      <c r="B3549" s="39">
        <f t="shared" si="26"/>
      </c>
      <c r="C3549" s="40">
        <f>IF(Inputs!$C$60,Inputs!$C$11+(B3549-Inputs!$C$69)/Inputs!$C$70,"")</f>
      </c>
      <c r="D3549" s="15"/>
      <c r="E3549" s="15"/>
      <c r="F3549" s="11">
        <f t="shared" si="27"/>
      </c>
      <c r="G3549" s="22" cm="1">
        <f t="array" ref="G3549">IF(AND(Inputs!$C$60,Inputs!$C$61),INDEX(Utility_Rates!$C$29:$F$52,HOUR(C3549)+Inputs!$C$69,MATCH(INDEX(Utility_Rates!$K$6:$K$17,MONTH(C3549))&amp;IF(WEEKDAY(C3549,Inputs!$C$76)&lt;=Inputs!$C$74," weekday"," weekend"),Utility_Rates!$C$28:$F$28,Inputs!$C$68)),"")</f>
      </c>
      <c r="H3549" s="34"/>
      <c r="I3549" s="42">
        <f>IF(AND(ISNUMBER(D3549),ISNUMBER(H3549)),D3549*H3549*Inputs!$C$69,"")</f>
      </c>
      <c r="J3549" s="42">
        <f>IF(AND(ISNUMBER(F3549),ISNUMBER(H3549),F3549&gt;=Inputs!$C$68),F3549*H3549*Inputs!$C$69,"")</f>
      </c>
    </row>
    <row r="3550" spans="2:10" ht="15" customHeight="1" x14ac:dyDescent="0.2">
      <c r="B3550" s="39">
        <f t="shared" si="26"/>
      </c>
      <c r="C3550" s="40">
        <f>IF(Inputs!$C$60,Inputs!$C$11+(B3550-Inputs!$C$69)/Inputs!$C$70,"")</f>
      </c>
      <c r="D3550" s="15"/>
      <c r="E3550" s="15"/>
      <c r="F3550" s="11">
        <f t="shared" si="27"/>
      </c>
      <c r="G3550" s="22" cm="1">
        <f t="array" ref="G3550">IF(AND(Inputs!$C$60,Inputs!$C$61),INDEX(Utility_Rates!$C$29:$F$52,HOUR(C3550)+Inputs!$C$69,MATCH(INDEX(Utility_Rates!$K$6:$K$17,MONTH(C3550))&amp;IF(WEEKDAY(C3550,Inputs!$C$76)&lt;=Inputs!$C$74," weekday"," weekend"),Utility_Rates!$C$28:$F$28,Inputs!$C$68)),"")</f>
      </c>
      <c r="H3550" s="34"/>
      <c r="I3550" s="42">
        <f>IF(AND(ISNUMBER(D3550),ISNUMBER(H3550)),D3550*H3550*Inputs!$C$69,"")</f>
      </c>
      <c r="J3550" s="42">
        <f>IF(AND(ISNUMBER(F3550),ISNUMBER(H3550),F3550&gt;=Inputs!$C$68),F3550*H3550*Inputs!$C$69,"")</f>
      </c>
    </row>
    <row r="3551" spans="2:10" ht="15" customHeight="1" x14ac:dyDescent="0.2">
      <c r="B3551" s="39">
        <f t="shared" si="26"/>
      </c>
      <c r="C3551" s="40">
        <f>IF(Inputs!$C$60,Inputs!$C$11+(B3551-Inputs!$C$69)/Inputs!$C$70,"")</f>
      </c>
      <c r="D3551" s="15"/>
      <c r="E3551" s="15"/>
      <c r="F3551" s="11">
        <f t="shared" si="27"/>
      </c>
      <c r="G3551" s="22" cm="1">
        <f t="array" ref="G3551">IF(AND(Inputs!$C$60,Inputs!$C$61),INDEX(Utility_Rates!$C$29:$F$52,HOUR(C3551)+Inputs!$C$69,MATCH(INDEX(Utility_Rates!$K$6:$K$17,MONTH(C3551))&amp;IF(WEEKDAY(C3551,Inputs!$C$76)&lt;=Inputs!$C$74," weekday"," weekend"),Utility_Rates!$C$28:$F$28,Inputs!$C$68)),"")</f>
      </c>
      <c r="H3551" s="34"/>
      <c r="I3551" s="42">
        <f>IF(AND(ISNUMBER(D3551),ISNUMBER(H3551)),D3551*H3551*Inputs!$C$69,"")</f>
      </c>
      <c r="J3551" s="42">
        <f>IF(AND(ISNUMBER(F3551),ISNUMBER(H3551),F3551&gt;=Inputs!$C$68),F3551*H3551*Inputs!$C$69,"")</f>
      </c>
    </row>
    <row r="3552" spans="2:10" ht="15" customHeight="1" x14ac:dyDescent="0.2">
      <c r="B3552" s="39">
        <f t="shared" si="26"/>
      </c>
      <c r="C3552" s="40">
        <f>IF(Inputs!$C$60,Inputs!$C$11+(B3552-Inputs!$C$69)/Inputs!$C$70,"")</f>
      </c>
      <c r="D3552" s="15"/>
      <c r="E3552" s="15"/>
      <c r="F3552" s="11">
        <f t="shared" si="27"/>
      </c>
      <c r="G3552" s="22" cm="1">
        <f t="array" ref="G3552">IF(AND(Inputs!$C$60,Inputs!$C$61),INDEX(Utility_Rates!$C$29:$F$52,HOUR(C3552)+Inputs!$C$69,MATCH(INDEX(Utility_Rates!$K$6:$K$17,MONTH(C3552))&amp;IF(WEEKDAY(C3552,Inputs!$C$76)&lt;=Inputs!$C$74," weekday"," weekend"),Utility_Rates!$C$28:$F$28,Inputs!$C$68)),"")</f>
      </c>
      <c r="H3552" s="34"/>
      <c r="I3552" s="42">
        <f>IF(AND(ISNUMBER(D3552),ISNUMBER(H3552)),D3552*H3552*Inputs!$C$69,"")</f>
      </c>
      <c r="J3552" s="42">
        <f>IF(AND(ISNUMBER(F3552),ISNUMBER(H3552),F3552&gt;=Inputs!$C$68),F3552*H3552*Inputs!$C$69,"")</f>
      </c>
    </row>
    <row r="3553" spans="2:10" ht="15" customHeight="1" x14ac:dyDescent="0.2">
      <c r="B3553" s="39">
        <f t="shared" si="26"/>
      </c>
      <c r="C3553" s="40">
        <f>IF(Inputs!$C$60,Inputs!$C$11+(B3553-Inputs!$C$69)/Inputs!$C$70,"")</f>
      </c>
      <c r="D3553" s="15"/>
      <c r="E3553" s="15"/>
      <c r="F3553" s="11">
        <f t="shared" si="27"/>
      </c>
      <c r="G3553" s="22" cm="1">
        <f t="array" ref="G3553">IF(AND(Inputs!$C$60,Inputs!$C$61),INDEX(Utility_Rates!$C$29:$F$52,HOUR(C3553)+Inputs!$C$69,MATCH(INDEX(Utility_Rates!$K$6:$K$17,MONTH(C3553))&amp;IF(WEEKDAY(C3553,Inputs!$C$76)&lt;=Inputs!$C$74," weekday"," weekend"),Utility_Rates!$C$28:$F$28,Inputs!$C$68)),"")</f>
      </c>
      <c r="H3553" s="34"/>
      <c r="I3553" s="42">
        <f>IF(AND(ISNUMBER(D3553),ISNUMBER(H3553)),D3553*H3553*Inputs!$C$69,"")</f>
      </c>
      <c r="J3553" s="42">
        <f>IF(AND(ISNUMBER(F3553),ISNUMBER(H3553),F3553&gt;=Inputs!$C$68),F3553*H3553*Inputs!$C$69,"")</f>
      </c>
    </row>
    <row r="3554" spans="2:10" ht="15" customHeight="1" x14ac:dyDescent="0.2">
      <c r="B3554" s="39">
        <f t="shared" si="26"/>
      </c>
      <c r="C3554" s="40">
        <f>IF(Inputs!$C$60,Inputs!$C$11+(B3554-Inputs!$C$69)/Inputs!$C$70,"")</f>
      </c>
      <c r="D3554" s="15"/>
      <c r="E3554" s="15"/>
      <c r="F3554" s="11">
        <f t="shared" si="27"/>
      </c>
      <c r="G3554" s="22" cm="1">
        <f t="array" ref="G3554">IF(AND(Inputs!$C$60,Inputs!$C$61),INDEX(Utility_Rates!$C$29:$F$52,HOUR(C3554)+Inputs!$C$69,MATCH(INDEX(Utility_Rates!$K$6:$K$17,MONTH(C3554))&amp;IF(WEEKDAY(C3554,Inputs!$C$76)&lt;=Inputs!$C$74," weekday"," weekend"),Utility_Rates!$C$28:$F$28,Inputs!$C$68)),"")</f>
      </c>
      <c r="H3554" s="34"/>
      <c r="I3554" s="42">
        <f>IF(AND(ISNUMBER(D3554),ISNUMBER(H3554)),D3554*H3554*Inputs!$C$69,"")</f>
      </c>
      <c r="J3554" s="42">
        <f>IF(AND(ISNUMBER(F3554),ISNUMBER(H3554),F3554&gt;=Inputs!$C$68),F3554*H3554*Inputs!$C$69,"")</f>
      </c>
    </row>
    <row r="3555" spans="2:10" ht="15" customHeight="1" x14ac:dyDescent="0.2">
      <c r="B3555" s="39">
        <f t="shared" si="26"/>
      </c>
      <c r="C3555" s="40">
        <f>IF(Inputs!$C$60,Inputs!$C$11+(B3555-Inputs!$C$69)/Inputs!$C$70,"")</f>
      </c>
      <c r="D3555" s="15"/>
      <c r="E3555" s="15"/>
      <c r="F3555" s="11">
        <f t="shared" si="27"/>
      </c>
      <c r="G3555" s="22" cm="1">
        <f t="array" ref="G3555">IF(AND(Inputs!$C$60,Inputs!$C$61),INDEX(Utility_Rates!$C$29:$F$52,HOUR(C3555)+Inputs!$C$69,MATCH(INDEX(Utility_Rates!$K$6:$K$17,MONTH(C3555))&amp;IF(WEEKDAY(C3555,Inputs!$C$76)&lt;=Inputs!$C$74," weekday"," weekend"),Utility_Rates!$C$28:$F$28,Inputs!$C$68)),"")</f>
      </c>
      <c r="H3555" s="34"/>
      <c r="I3555" s="42">
        <f>IF(AND(ISNUMBER(D3555),ISNUMBER(H3555)),D3555*H3555*Inputs!$C$69,"")</f>
      </c>
      <c r="J3555" s="42">
        <f>IF(AND(ISNUMBER(F3555),ISNUMBER(H3555),F3555&gt;=Inputs!$C$68),F3555*H3555*Inputs!$C$69,"")</f>
      </c>
    </row>
    <row r="3556" spans="2:10" ht="15" customHeight="1" x14ac:dyDescent="0.2">
      <c r="B3556" s="39">
        <f t="shared" si="26"/>
      </c>
      <c r="C3556" s="40">
        <f>IF(Inputs!$C$60,Inputs!$C$11+(B3556-Inputs!$C$69)/Inputs!$C$70,"")</f>
      </c>
      <c r="D3556" s="15"/>
      <c r="E3556" s="15"/>
      <c r="F3556" s="11">
        <f t="shared" si="27"/>
      </c>
      <c r="G3556" s="22" cm="1">
        <f t="array" ref="G3556">IF(AND(Inputs!$C$60,Inputs!$C$61),INDEX(Utility_Rates!$C$29:$F$52,HOUR(C3556)+Inputs!$C$69,MATCH(INDEX(Utility_Rates!$K$6:$K$17,MONTH(C3556))&amp;IF(WEEKDAY(C3556,Inputs!$C$76)&lt;=Inputs!$C$74," weekday"," weekend"),Utility_Rates!$C$28:$F$28,Inputs!$C$68)),"")</f>
      </c>
      <c r="H3556" s="34"/>
      <c r="I3556" s="42">
        <f>IF(AND(ISNUMBER(D3556),ISNUMBER(H3556)),D3556*H3556*Inputs!$C$69,"")</f>
      </c>
      <c r="J3556" s="42">
        <f>IF(AND(ISNUMBER(F3556),ISNUMBER(H3556),F3556&gt;=Inputs!$C$68),F3556*H3556*Inputs!$C$69,"")</f>
      </c>
    </row>
    <row r="3557" spans="2:10" ht="15" customHeight="1" x14ac:dyDescent="0.2">
      <c r="B3557" s="39">
        <f t="shared" si="26"/>
      </c>
      <c r="C3557" s="40">
        <f>IF(Inputs!$C$60,Inputs!$C$11+(B3557-Inputs!$C$69)/Inputs!$C$70,"")</f>
      </c>
      <c r="D3557" s="15"/>
      <c r="E3557" s="15"/>
      <c r="F3557" s="11">
        <f t="shared" si="27"/>
      </c>
      <c r="G3557" s="22" cm="1">
        <f t="array" ref="G3557">IF(AND(Inputs!$C$60,Inputs!$C$61),INDEX(Utility_Rates!$C$29:$F$52,HOUR(C3557)+Inputs!$C$69,MATCH(INDEX(Utility_Rates!$K$6:$K$17,MONTH(C3557))&amp;IF(WEEKDAY(C3557,Inputs!$C$76)&lt;=Inputs!$C$74," weekday"," weekend"),Utility_Rates!$C$28:$F$28,Inputs!$C$68)),"")</f>
      </c>
      <c r="H3557" s="34"/>
      <c r="I3557" s="42">
        <f>IF(AND(ISNUMBER(D3557),ISNUMBER(H3557)),D3557*H3557*Inputs!$C$69,"")</f>
      </c>
      <c r="J3557" s="42">
        <f>IF(AND(ISNUMBER(F3557),ISNUMBER(H3557),F3557&gt;=Inputs!$C$68),F3557*H3557*Inputs!$C$69,"")</f>
      </c>
    </row>
    <row r="3558" spans="2:10" ht="15" customHeight="1" x14ac:dyDescent="0.2">
      <c r="B3558" s="39">
        <f t="shared" si="26"/>
      </c>
      <c r="C3558" s="40">
        <f>IF(Inputs!$C$60,Inputs!$C$11+(B3558-Inputs!$C$69)/Inputs!$C$70,"")</f>
      </c>
      <c r="D3558" s="15"/>
      <c r="E3558" s="15"/>
      <c r="F3558" s="11">
        <f t="shared" si="27"/>
      </c>
      <c r="G3558" s="22" cm="1">
        <f t="array" ref="G3558">IF(AND(Inputs!$C$60,Inputs!$C$61),INDEX(Utility_Rates!$C$29:$F$52,HOUR(C3558)+Inputs!$C$69,MATCH(INDEX(Utility_Rates!$K$6:$K$17,MONTH(C3558))&amp;IF(WEEKDAY(C3558,Inputs!$C$76)&lt;=Inputs!$C$74," weekday"," weekend"),Utility_Rates!$C$28:$F$28,Inputs!$C$68)),"")</f>
      </c>
      <c r="H3558" s="34"/>
      <c r="I3558" s="42">
        <f>IF(AND(ISNUMBER(D3558),ISNUMBER(H3558)),D3558*H3558*Inputs!$C$69,"")</f>
      </c>
      <c r="J3558" s="42">
        <f>IF(AND(ISNUMBER(F3558),ISNUMBER(H3558),F3558&gt;=Inputs!$C$68),F3558*H3558*Inputs!$C$69,"")</f>
      </c>
    </row>
    <row r="3559" spans="2:10" ht="15" customHeight="1" x14ac:dyDescent="0.2">
      <c r="B3559" s="39">
        <f t="shared" si="26"/>
      </c>
      <c r="C3559" s="40">
        <f>IF(Inputs!$C$60,Inputs!$C$11+(B3559-Inputs!$C$69)/Inputs!$C$70,"")</f>
      </c>
      <c r="D3559" s="15"/>
      <c r="E3559" s="15"/>
      <c r="F3559" s="11">
        <f t="shared" si="27"/>
      </c>
      <c r="G3559" s="22" cm="1">
        <f t="array" ref="G3559">IF(AND(Inputs!$C$60,Inputs!$C$61),INDEX(Utility_Rates!$C$29:$F$52,HOUR(C3559)+Inputs!$C$69,MATCH(INDEX(Utility_Rates!$K$6:$K$17,MONTH(C3559))&amp;IF(WEEKDAY(C3559,Inputs!$C$76)&lt;=Inputs!$C$74," weekday"," weekend"),Utility_Rates!$C$28:$F$28,Inputs!$C$68)),"")</f>
      </c>
      <c r="H3559" s="34"/>
      <c r="I3559" s="42">
        <f>IF(AND(ISNUMBER(D3559),ISNUMBER(H3559)),D3559*H3559*Inputs!$C$69,"")</f>
      </c>
      <c r="J3559" s="42">
        <f>IF(AND(ISNUMBER(F3559),ISNUMBER(H3559),F3559&gt;=Inputs!$C$68),F3559*H3559*Inputs!$C$69,"")</f>
      </c>
    </row>
    <row r="3560" spans="2:10" ht="15" customHeight="1" x14ac:dyDescent="0.2">
      <c r="B3560" s="39">
        <f t="shared" si="26"/>
      </c>
      <c r="C3560" s="40">
        <f>IF(Inputs!$C$60,Inputs!$C$11+(B3560-Inputs!$C$69)/Inputs!$C$70,"")</f>
      </c>
      <c r="D3560" s="15"/>
      <c r="E3560" s="15"/>
      <c r="F3560" s="11">
        <f t="shared" si="27"/>
      </c>
      <c r="G3560" s="22" cm="1">
        <f t="array" ref="G3560">IF(AND(Inputs!$C$60,Inputs!$C$61),INDEX(Utility_Rates!$C$29:$F$52,HOUR(C3560)+Inputs!$C$69,MATCH(INDEX(Utility_Rates!$K$6:$K$17,MONTH(C3560))&amp;IF(WEEKDAY(C3560,Inputs!$C$76)&lt;=Inputs!$C$74," weekday"," weekend"),Utility_Rates!$C$28:$F$28,Inputs!$C$68)),"")</f>
      </c>
      <c r="H3560" s="34"/>
      <c r="I3560" s="42">
        <f>IF(AND(ISNUMBER(D3560),ISNUMBER(H3560)),D3560*H3560*Inputs!$C$69,"")</f>
      </c>
      <c r="J3560" s="42">
        <f>IF(AND(ISNUMBER(F3560),ISNUMBER(H3560),F3560&gt;=Inputs!$C$68),F3560*H3560*Inputs!$C$69,"")</f>
      </c>
    </row>
    <row r="3561" spans="2:10" ht="15" customHeight="1" x14ac:dyDescent="0.2">
      <c r="B3561" s="39">
        <f t="shared" si="26"/>
      </c>
      <c r="C3561" s="40">
        <f>IF(Inputs!$C$60,Inputs!$C$11+(B3561-Inputs!$C$69)/Inputs!$C$70,"")</f>
      </c>
      <c r="D3561" s="15"/>
      <c r="E3561" s="15"/>
      <c r="F3561" s="11">
        <f t="shared" si="27"/>
      </c>
      <c r="G3561" s="22" cm="1">
        <f t="array" ref="G3561">IF(AND(Inputs!$C$60,Inputs!$C$61),INDEX(Utility_Rates!$C$29:$F$52,HOUR(C3561)+Inputs!$C$69,MATCH(INDEX(Utility_Rates!$K$6:$K$17,MONTH(C3561))&amp;IF(WEEKDAY(C3561,Inputs!$C$76)&lt;=Inputs!$C$74," weekday"," weekend"),Utility_Rates!$C$28:$F$28,Inputs!$C$68)),"")</f>
      </c>
      <c r="H3561" s="34"/>
      <c r="I3561" s="42">
        <f>IF(AND(ISNUMBER(D3561),ISNUMBER(H3561)),D3561*H3561*Inputs!$C$69,"")</f>
      </c>
      <c r="J3561" s="42">
        <f>IF(AND(ISNUMBER(F3561),ISNUMBER(H3561),F3561&gt;=Inputs!$C$68),F3561*H3561*Inputs!$C$69,"")</f>
      </c>
    </row>
    <row r="3562" spans="2:10" ht="15" customHeight="1" x14ac:dyDescent="0.2">
      <c r="B3562" s="39">
        <f t="shared" si="26"/>
      </c>
      <c r="C3562" s="40">
        <f>IF(Inputs!$C$60,Inputs!$C$11+(B3562-Inputs!$C$69)/Inputs!$C$70,"")</f>
      </c>
      <c r="D3562" s="15"/>
      <c r="E3562" s="15"/>
      <c r="F3562" s="11">
        <f t="shared" si="27"/>
      </c>
      <c r="G3562" s="22" cm="1">
        <f t="array" ref="G3562">IF(AND(Inputs!$C$60,Inputs!$C$61),INDEX(Utility_Rates!$C$29:$F$52,HOUR(C3562)+Inputs!$C$69,MATCH(INDEX(Utility_Rates!$K$6:$K$17,MONTH(C3562))&amp;IF(WEEKDAY(C3562,Inputs!$C$76)&lt;=Inputs!$C$74," weekday"," weekend"),Utility_Rates!$C$28:$F$28,Inputs!$C$68)),"")</f>
      </c>
      <c r="H3562" s="34"/>
      <c r="I3562" s="42">
        <f>IF(AND(ISNUMBER(D3562),ISNUMBER(H3562)),D3562*H3562*Inputs!$C$69,"")</f>
      </c>
      <c r="J3562" s="42">
        <f>IF(AND(ISNUMBER(F3562),ISNUMBER(H3562),F3562&gt;=Inputs!$C$68),F3562*H3562*Inputs!$C$69,"")</f>
      </c>
    </row>
    <row r="3563" spans="2:10" ht="15" customHeight="1" x14ac:dyDescent="0.2">
      <c r="B3563" s="39">
        <f t="shared" si="26"/>
      </c>
      <c r="C3563" s="40">
        <f>IF(Inputs!$C$60,Inputs!$C$11+(B3563-Inputs!$C$69)/Inputs!$C$70,"")</f>
      </c>
      <c r="D3563" s="15"/>
      <c r="E3563" s="15"/>
      <c r="F3563" s="11">
        <f t="shared" si="27"/>
      </c>
      <c r="G3563" s="22" cm="1">
        <f t="array" ref="G3563">IF(AND(Inputs!$C$60,Inputs!$C$61),INDEX(Utility_Rates!$C$29:$F$52,HOUR(C3563)+Inputs!$C$69,MATCH(INDEX(Utility_Rates!$K$6:$K$17,MONTH(C3563))&amp;IF(WEEKDAY(C3563,Inputs!$C$76)&lt;=Inputs!$C$74," weekday"," weekend"),Utility_Rates!$C$28:$F$28,Inputs!$C$68)),"")</f>
      </c>
      <c r="H3563" s="34"/>
      <c r="I3563" s="42">
        <f>IF(AND(ISNUMBER(D3563),ISNUMBER(H3563)),D3563*H3563*Inputs!$C$69,"")</f>
      </c>
      <c r="J3563" s="42">
        <f>IF(AND(ISNUMBER(F3563),ISNUMBER(H3563),F3563&gt;=Inputs!$C$68),F3563*H3563*Inputs!$C$69,"")</f>
      </c>
    </row>
    <row r="3564" spans="2:10" ht="15" customHeight="1" x14ac:dyDescent="0.2">
      <c r="B3564" s="39">
        <f t="shared" si="26"/>
      </c>
      <c r="C3564" s="40">
        <f>IF(Inputs!$C$60,Inputs!$C$11+(B3564-Inputs!$C$69)/Inputs!$C$70,"")</f>
      </c>
      <c r="D3564" s="15"/>
      <c r="E3564" s="15"/>
      <c r="F3564" s="11">
        <f t="shared" si="27"/>
      </c>
      <c r="G3564" s="22" cm="1">
        <f t="array" ref="G3564">IF(AND(Inputs!$C$60,Inputs!$C$61),INDEX(Utility_Rates!$C$29:$F$52,HOUR(C3564)+Inputs!$C$69,MATCH(INDEX(Utility_Rates!$K$6:$K$17,MONTH(C3564))&amp;IF(WEEKDAY(C3564,Inputs!$C$76)&lt;=Inputs!$C$74," weekday"," weekend"),Utility_Rates!$C$28:$F$28,Inputs!$C$68)),"")</f>
      </c>
      <c r="H3564" s="34"/>
      <c r="I3564" s="42">
        <f>IF(AND(ISNUMBER(D3564),ISNUMBER(H3564)),D3564*H3564*Inputs!$C$69,"")</f>
      </c>
      <c r="J3564" s="42">
        <f>IF(AND(ISNUMBER(F3564),ISNUMBER(H3564),F3564&gt;=Inputs!$C$68),F3564*H3564*Inputs!$C$69,"")</f>
      </c>
    </row>
    <row r="3565" spans="2:10" ht="15" customHeight="1" x14ac:dyDescent="0.2">
      <c r="B3565" s="39">
        <f t="shared" si="26"/>
      </c>
      <c r="C3565" s="40">
        <f>IF(Inputs!$C$60,Inputs!$C$11+(B3565-Inputs!$C$69)/Inputs!$C$70,"")</f>
      </c>
      <c r="D3565" s="15"/>
      <c r="E3565" s="15"/>
      <c r="F3565" s="11">
        <f t="shared" si="27"/>
      </c>
      <c r="G3565" s="22" cm="1">
        <f t="array" ref="G3565">IF(AND(Inputs!$C$60,Inputs!$C$61),INDEX(Utility_Rates!$C$29:$F$52,HOUR(C3565)+Inputs!$C$69,MATCH(INDEX(Utility_Rates!$K$6:$K$17,MONTH(C3565))&amp;IF(WEEKDAY(C3565,Inputs!$C$76)&lt;=Inputs!$C$74," weekday"," weekend"),Utility_Rates!$C$28:$F$28,Inputs!$C$68)),"")</f>
      </c>
      <c r="H3565" s="34"/>
      <c r="I3565" s="42">
        <f>IF(AND(ISNUMBER(D3565),ISNUMBER(H3565)),D3565*H3565*Inputs!$C$69,"")</f>
      </c>
      <c r="J3565" s="42">
        <f>IF(AND(ISNUMBER(F3565),ISNUMBER(H3565),F3565&gt;=Inputs!$C$68),F3565*H3565*Inputs!$C$69,"")</f>
      </c>
    </row>
    <row r="3566" spans="2:10" ht="15" customHeight="1" x14ac:dyDescent="0.2">
      <c r="B3566" s="39">
        <f t="shared" si="26"/>
      </c>
      <c r="C3566" s="40">
        <f>IF(Inputs!$C$60,Inputs!$C$11+(B3566-Inputs!$C$69)/Inputs!$C$70,"")</f>
      </c>
      <c r="D3566" s="15"/>
      <c r="E3566" s="15"/>
      <c r="F3566" s="11">
        <f t="shared" si="27"/>
      </c>
      <c r="G3566" s="22" cm="1">
        <f t="array" ref="G3566">IF(AND(Inputs!$C$60,Inputs!$C$61),INDEX(Utility_Rates!$C$29:$F$52,HOUR(C3566)+Inputs!$C$69,MATCH(INDEX(Utility_Rates!$K$6:$K$17,MONTH(C3566))&amp;IF(WEEKDAY(C3566,Inputs!$C$76)&lt;=Inputs!$C$74," weekday"," weekend"),Utility_Rates!$C$28:$F$28,Inputs!$C$68)),"")</f>
      </c>
      <c r="H3566" s="34"/>
      <c r="I3566" s="42">
        <f>IF(AND(ISNUMBER(D3566),ISNUMBER(H3566)),D3566*H3566*Inputs!$C$69,"")</f>
      </c>
      <c r="J3566" s="42">
        <f>IF(AND(ISNUMBER(F3566),ISNUMBER(H3566),F3566&gt;=Inputs!$C$68),F3566*H3566*Inputs!$C$69,"")</f>
      </c>
    </row>
    <row r="3567" spans="2:10" ht="15" customHeight="1" x14ac:dyDescent="0.2">
      <c r="B3567" s="39">
        <f t="shared" si="26"/>
      </c>
      <c r="C3567" s="40">
        <f>IF(Inputs!$C$60,Inputs!$C$11+(B3567-Inputs!$C$69)/Inputs!$C$70,"")</f>
      </c>
      <c r="D3567" s="15"/>
      <c r="E3567" s="15"/>
      <c r="F3567" s="11">
        <f t="shared" si="27"/>
      </c>
      <c r="G3567" s="22" cm="1">
        <f t="array" ref="G3567">IF(AND(Inputs!$C$60,Inputs!$C$61),INDEX(Utility_Rates!$C$29:$F$52,HOUR(C3567)+Inputs!$C$69,MATCH(INDEX(Utility_Rates!$K$6:$K$17,MONTH(C3567))&amp;IF(WEEKDAY(C3567,Inputs!$C$76)&lt;=Inputs!$C$74," weekday"," weekend"),Utility_Rates!$C$28:$F$28,Inputs!$C$68)),"")</f>
      </c>
      <c r="H3567" s="34"/>
      <c r="I3567" s="42">
        <f>IF(AND(ISNUMBER(D3567),ISNUMBER(H3567)),D3567*H3567*Inputs!$C$69,"")</f>
      </c>
      <c r="J3567" s="42">
        <f>IF(AND(ISNUMBER(F3567),ISNUMBER(H3567),F3567&gt;=Inputs!$C$68),F3567*H3567*Inputs!$C$69,"")</f>
      </c>
    </row>
    <row r="3568" spans="2:10" ht="15" customHeight="1" x14ac:dyDescent="0.2">
      <c r="B3568" s="39">
        <f t="shared" si="26"/>
      </c>
      <c r="C3568" s="40">
        <f>IF(Inputs!$C$60,Inputs!$C$11+(B3568-Inputs!$C$69)/Inputs!$C$70,"")</f>
      </c>
      <c r="D3568" s="15"/>
      <c r="E3568" s="15"/>
      <c r="F3568" s="11">
        <f t="shared" si="27"/>
      </c>
      <c r="G3568" s="22" cm="1">
        <f t="array" ref="G3568">IF(AND(Inputs!$C$60,Inputs!$C$61),INDEX(Utility_Rates!$C$29:$F$52,HOUR(C3568)+Inputs!$C$69,MATCH(INDEX(Utility_Rates!$K$6:$K$17,MONTH(C3568))&amp;IF(WEEKDAY(C3568,Inputs!$C$76)&lt;=Inputs!$C$74," weekday"," weekend"),Utility_Rates!$C$28:$F$28,Inputs!$C$68)),"")</f>
      </c>
      <c r="H3568" s="34"/>
      <c r="I3568" s="42">
        <f>IF(AND(ISNUMBER(D3568),ISNUMBER(H3568)),D3568*H3568*Inputs!$C$69,"")</f>
      </c>
      <c r="J3568" s="42">
        <f>IF(AND(ISNUMBER(F3568),ISNUMBER(H3568),F3568&gt;=Inputs!$C$68),F3568*H3568*Inputs!$C$69,"")</f>
      </c>
    </row>
    <row r="3569" spans="2:10" ht="15" customHeight="1" x14ac:dyDescent="0.2">
      <c r="B3569" s="39">
        <f t="shared" si="26"/>
      </c>
      <c r="C3569" s="40">
        <f>IF(Inputs!$C$60,Inputs!$C$11+(B3569-Inputs!$C$69)/Inputs!$C$70,"")</f>
      </c>
      <c r="D3569" s="15"/>
      <c r="E3569" s="15"/>
      <c r="F3569" s="11">
        <f t="shared" si="27"/>
      </c>
      <c r="G3569" s="22" cm="1">
        <f t="array" ref="G3569">IF(AND(Inputs!$C$60,Inputs!$C$61),INDEX(Utility_Rates!$C$29:$F$52,HOUR(C3569)+Inputs!$C$69,MATCH(INDEX(Utility_Rates!$K$6:$K$17,MONTH(C3569))&amp;IF(WEEKDAY(C3569,Inputs!$C$76)&lt;=Inputs!$C$74," weekday"," weekend"),Utility_Rates!$C$28:$F$28,Inputs!$C$68)),"")</f>
      </c>
      <c r="H3569" s="34"/>
      <c r="I3569" s="42">
        <f>IF(AND(ISNUMBER(D3569),ISNUMBER(H3569)),D3569*H3569*Inputs!$C$69,"")</f>
      </c>
      <c r="J3569" s="42">
        <f>IF(AND(ISNUMBER(F3569),ISNUMBER(H3569),F3569&gt;=Inputs!$C$68),F3569*H3569*Inputs!$C$69,"")</f>
      </c>
    </row>
    <row r="3570" spans="2:10" ht="15" customHeight="1" x14ac:dyDescent="0.2">
      <c r="B3570" s="39">
        <f t="shared" si="26"/>
      </c>
      <c r="C3570" s="40">
        <f>IF(Inputs!$C$60,Inputs!$C$11+(B3570-Inputs!$C$69)/Inputs!$C$70,"")</f>
      </c>
      <c r="D3570" s="15"/>
      <c r="E3570" s="15"/>
      <c r="F3570" s="11">
        <f t="shared" si="27"/>
      </c>
      <c r="G3570" s="22" cm="1">
        <f t="array" ref="G3570">IF(AND(Inputs!$C$60,Inputs!$C$61),INDEX(Utility_Rates!$C$29:$F$52,HOUR(C3570)+Inputs!$C$69,MATCH(INDEX(Utility_Rates!$K$6:$K$17,MONTH(C3570))&amp;IF(WEEKDAY(C3570,Inputs!$C$76)&lt;=Inputs!$C$74," weekday"," weekend"),Utility_Rates!$C$28:$F$28,Inputs!$C$68)),"")</f>
      </c>
      <c r="H3570" s="34"/>
      <c r="I3570" s="42">
        <f>IF(AND(ISNUMBER(D3570),ISNUMBER(H3570)),D3570*H3570*Inputs!$C$69,"")</f>
      </c>
      <c r="J3570" s="42">
        <f>IF(AND(ISNUMBER(F3570),ISNUMBER(H3570),F3570&gt;=Inputs!$C$68),F3570*H3570*Inputs!$C$69,"")</f>
      </c>
    </row>
    <row r="3571" spans="2:10" ht="15" customHeight="1" x14ac:dyDescent="0.2">
      <c r="B3571" s="39">
        <f t="shared" si="26"/>
      </c>
      <c r="C3571" s="40">
        <f>IF(Inputs!$C$60,Inputs!$C$11+(B3571-Inputs!$C$69)/Inputs!$C$70,"")</f>
      </c>
      <c r="D3571" s="15"/>
      <c r="E3571" s="15"/>
      <c r="F3571" s="11">
        <f t="shared" si="27"/>
      </c>
      <c r="G3571" s="22" cm="1">
        <f t="array" ref="G3571">IF(AND(Inputs!$C$60,Inputs!$C$61),INDEX(Utility_Rates!$C$29:$F$52,HOUR(C3571)+Inputs!$C$69,MATCH(INDEX(Utility_Rates!$K$6:$K$17,MONTH(C3571))&amp;IF(WEEKDAY(C3571,Inputs!$C$76)&lt;=Inputs!$C$74," weekday"," weekend"),Utility_Rates!$C$28:$F$28,Inputs!$C$68)),"")</f>
      </c>
      <c r="H3571" s="34"/>
      <c r="I3571" s="42">
        <f>IF(AND(ISNUMBER(D3571),ISNUMBER(H3571)),D3571*H3571*Inputs!$C$69,"")</f>
      </c>
      <c r="J3571" s="42">
        <f>IF(AND(ISNUMBER(F3571),ISNUMBER(H3571),F3571&gt;=Inputs!$C$68),F3571*H3571*Inputs!$C$69,"")</f>
      </c>
    </row>
    <row r="3572" spans="2:10" ht="15" customHeight="1" x14ac:dyDescent="0.2">
      <c r="B3572" s="39">
        <f t="shared" si="26"/>
      </c>
      <c r="C3572" s="40">
        <f>IF(Inputs!$C$60,Inputs!$C$11+(B3572-Inputs!$C$69)/Inputs!$C$70,"")</f>
      </c>
      <c r="D3572" s="15"/>
      <c r="E3572" s="15"/>
      <c r="F3572" s="11">
        <f t="shared" si="27"/>
      </c>
      <c r="G3572" s="22" cm="1">
        <f t="array" ref="G3572">IF(AND(Inputs!$C$60,Inputs!$C$61),INDEX(Utility_Rates!$C$29:$F$52,HOUR(C3572)+Inputs!$C$69,MATCH(INDEX(Utility_Rates!$K$6:$K$17,MONTH(C3572))&amp;IF(WEEKDAY(C3572,Inputs!$C$76)&lt;=Inputs!$C$74," weekday"," weekend"),Utility_Rates!$C$28:$F$28,Inputs!$C$68)),"")</f>
      </c>
      <c r="H3572" s="34"/>
      <c r="I3572" s="42">
        <f>IF(AND(ISNUMBER(D3572),ISNUMBER(H3572)),D3572*H3572*Inputs!$C$69,"")</f>
      </c>
      <c r="J3572" s="42">
        <f>IF(AND(ISNUMBER(F3572),ISNUMBER(H3572),F3572&gt;=Inputs!$C$68),F3572*H3572*Inputs!$C$69,"")</f>
      </c>
    </row>
    <row r="3573" spans="2:10" ht="15" customHeight="1" x14ac:dyDescent="0.2">
      <c r="B3573" s="39">
        <f t="shared" si="26"/>
      </c>
      <c r="C3573" s="40">
        <f>IF(Inputs!$C$60,Inputs!$C$11+(B3573-Inputs!$C$69)/Inputs!$C$70,"")</f>
      </c>
      <c r="D3573" s="15"/>
      <c r="E3573" s="15"/>
      <c r="F3573" s="11">
        <f t="shared" si="27"/>
      </c>
      <c r="G3573" s="22" cm="1">
        <f t="array" ref="G3573">IF(AND(Inputs!$C$60,Inputs!$C$61),INDEX(Utility_Rates!$C$29:$F$52,HOUR(C3573)+Inputs!$C$69,MATCH(INDEX(Utility_Rates!$K$6:$K$17,MONTH(C3573))&amp;IF(WEEKDAY(C3573,Inputs!$C$76)&lt;=Inputs!$C$74," weekday"," weekend"),Utility_Rates!$C$28:$F$28,Inputs!$C$68)),"")</f>
      </c>
      <c r="H3573" s="34"/>
      <c r="I3573" s="42">
        <f>IF(AND(ISNUMBER(D3573),ISNUMBER(H3573)),D3573*H3573*Inputs!$C$69,"")</f>
      </c>
      <c r="J3573" s="42">
        <f>IF(AND(ISNUMBER(F3573),ISNUMBER(H3573),F3573&gt;=Inputs!$C$68),F3573*H3573*Inputs!$C$69,"")</f>
      </c>
    </row>
    <row r="3574" spans="2:10" ht="15" customHeight="1" x14ac:dyDescent="0.2">
      <c r="B3574" s="39">
        <f t="shared" si="26"/>
      </c>
      <c r="C3574" s="40">
        <f>IF(Inputs!$C$60,Inputs!$C$11+(B3574-Inputs!$C$69)/Inputs!$C$70,"")</f>
      </c>
      <c r="D3574" s="15"/>
      <c r="E3574" s="15"/>
      <c r="F3574" s="11">
        <f t="shared" si="27"/>
      </c>
      <c r="G3574" s="22" cm="1">
        <f t="array" ref="G3574">IF(AND(Inputs!$C$60,Inputs!$C$61),INDEX(Utility_Rates!$C$29:$F$52,HOUR(C3574)+Inputs!$C$69,MATCH(INDEX(Utility_Rates!$K$6:$K$17,MONTH(C3574))&amp;IF(WEEKDAY(C3574,Inputs!$C$76)&lt;=Inputs!$C$74," weekday"," weekend"),Utility_Rates!$C$28:$F$28,Inputs!$C$68)),"")</f>
      </c>
      <c r="H3574" s="34"/>
      <c r="I3574" s="42">
        <f>IF(AND(ISNUMBER(D3574),ISNUMBER(H3574)),D3574*H3574*Inputs!$C$69,"")</f>
      </c>
      <c r="J3574" s="42">
        <f>IF(AND(ISNUMBER(F3574),ISNUMBER(H3574),F3574&gt;=Inputs!$C$68),F3574*H3574*Inputs!$C$69,"")</f>
      </c>
    </row>
    <row r="3575" spans="2:10" ht="15" customHeight="1" x14ac:dyDescent="0.2">
      <c r="B3575" s="39">
        <f t="shared" si="26"/>
      </c>
      <c r="C3575" s="40">
        <f>IF(Inputs!$C$60,Inputs!$C$11+(B3575-Inputs!$C$69)/Inputs!$C$70,"")</f>
      </c>
      <c r="D3575" s="15"/>
      <c r="E3575" s="15"/>
      <c r="F3575" s="11">
        <f t="shared" si="27"/>
      </c>
      <c r="G3575" s="22" cm="1">
        <f t="array" ref="G3575">IF(AND(Inputs!$C$60,Inputs!$C$61),INDEX(Utility_Rates!$C$29:$F$52,HOUR(C3575)+Inputs!$C$69,MATCH(INDEX(Utility_Rates!$K$6:$K$17,MONTH(C3575))&amp;IF(WEEKDAY(C3575,Inputs!$C$76)&lt;=Inputs!$C$74," weekday"," weekend"),Utility_Rates!$C$28:$F$28,Inputs!$C$68)),"")</f>
      </c>
      <c r="H3575" s="34"/>
      <c r="I3575" s="42">
        <f>IF(AND(ISNUMBER(D3575),ISNUMBER(H3575)),D3575*H3575*Inputs!$C$69,"")</f>
      </c>
      <c r="J3575" s="42">
        <f>IF(AND(ISNUMBER(F3575),ISNUMBER(H3575),F3575&gt;=Inputs!$C$68),F3575*H3575*Inputs!$C$69,"")</f>
      </c>
    </row>
    <row r="3576" spans="2:10" ht="15" customHeight="1" x14ac:dyDescent="0.2">
      <c r="B3576" s="39">
        <f t="shared" ref="B3576:B3830" si="28">ROW()-ROW($B$5)</f>
      </c>
      <c r="C3576" s="40">
        <f>IF(Inputs!$C$60,Inputs!$C$11+(B3576-Inputs!$C$69)/Inputs!$C$70,"")</f>
      </c>
      <c r="D3576" s="15"/>
      <c r="E3576" s="15"/>
      <c r="F3576" s="11">
        <f t="shared" ref="F3576:F3830" si="29">IF(COUNT(D3576:E3576)=COLUMNS(D3576:E3576),D3576-E3576,"")</f>
      </c>
      <c r="G3576" s="22" cm="1">
        <f t="array" ref="G3576">IF(AND(Inputs!$C$60,Inputs!$C$61),INDEX(Utility_Rates!$C$29:$F$52,HOUR(C3576)+Inputs!$C$69,MATCH(INDEX(Utility_Rates!$K$6:$K$17,MONTH(C3576))&amp;IF(WEEKDAY(C3576,Inputs!$C$76)&lt;=Inputs!$C$74," weekday"," weekend"),Utility_Rates!$C$28:$F$28,Inputs!$C$68)),"")</f>
      </c>
      <c r="H3576" s="34"/>
      <c r="I3576" s="42">
        <f>IF(AND(ISNUMBER(D3576),ISNUMBER(H3576)),D3576*H3576*Inputs!$C$69,"")</f>
      </c>
      <c r="J3576" s="42">
        <f>IF(AND(ISNUMBER(F3576),ISNUMBER(H3576),F3576&gt;=Inputs!$C$68),F3576*H3576*Inputs!$C$69,"")</f>
      </c>
    </row>
    <row r="3577" spans="2:10" ht="15" customHeight="1" x14ac:dyDescent="0.2">
      <c r="B3577" s="39">
        <f t="shared" si="28"/>
      </c>
      <c r="C3577" s="40">
        <f>IF(Inputs!$C$60,Inputs!$C$11+(B3577-Inputs!$C$69)/Inputs!$C$70,"")</f>
      </c>
      <c r="D3577" s="15"/>
      <c r="E3577" s="15"/>
      <c r="F3577" s="11">
        <f t="shared" si="29"/>
      </c>
      <c r="G3577" s="22" cm="1">
        <f t="array" ref="G3577">IF(AND(Inputs!$C$60,Inputs!$C$61),INDEX(Utility_Rates!$C$29:$F$52,HOUR(C3577)+Inputs!$C$69,MATCH(INDEX(Utility_Rates!$K$6:$K$17,MONTH(C3577))&amp;IF(WEEKDAY(C3577,Inputs!$C$76)&lt;=Inputs!$C$74," weekday"," weekend"),Utility_Rates!$C$28:$F$28,Inputs!$C$68)),"")</f>
      </c>
      <c r="H3577" s="34"/>
      <c r="I3577" s="42">
        <f>IF(AND(ISNUMBER(D3577),ISNUMBER(H3577)),D3577*H3577*Inputs!$C$69,"")</f>
      </c>
      <c r="J3577" s="42">
        <f>IF(AND(ISNUMBER(F3577),ISNUMBER(H3577),F3577&gt;=Inputs!$C$68),F3577*H3577*Inputs!$C$69,"")</f>
      </c>
    </row>
    <row r="3578" spans="2:10" ht="15" customHeight="1" x14ac:dyDescent="0.2">
      <c r="B3578" s="39">
        <f t="shared" si="28"/>
      </c>
      <c r="C3578" s="40">
        <f>IF(Inputs!$C$60,Inputs!$C$11+(B3578-Inputs!$C$69)/Inputs!$C$70,"")</f>
      </c>
      <c r="D3578" s="15"/>
      <c r="E3578" s="15"/>
      <c r="F3578" s="11">
        <f t="shared" si="29"/>
      </c>
      <c r="G3578" s="22" cm="1">
        <f t="array" ref="G3578">IF(AND(Inputs!$C$60,Inputs!$C$61),INDEX(Utility_Rates!$C$29:$F$52,HOUR(C3578)+Inputs!$C$69,MATCH(INDEX(Utility_Rates!$K$6:$K$17,MONTH(C3578))&amp;IF(WEEKDAY(C3578,Inputs!$C$76)&lt;=Inputs!$C$74," weekday"," weekend"),Utility_Rates!$C$28:$F$28,Inputs!$C$68)),"")</f>
      </c>
      <c r="H3578" s="34"/>
      <c r="I3578" s="42">
        <f>IF(AND(ISNUMBER(D3578),ISNUMBER(H3578)),D3578*H3578*Inputs!$C$69,"")</f>
      </c>
      <c r="J3578" s="42">
        <f>IF(AND(ISNUMBER(F3578),ISNUMBER(H3578),F3578&gt;=Inputs!$C$68),F3578*H3578*Inputs!$C$69,"")</f>
      </c>
    </row>
    <row r="3579" spans="2:10" ht="15" customHeight="1" x14ac:dyDescent="0.2">
      <c r="B3579" s="39">
        <f t="shared" si="28"/>
      </c>
      <c r="C3579" s="40">
        <f>IF(Inputs!$C$60,Inputs!$C$11+(B3579-Inputs!$C$69)/Inputs!$C$70,"")</f>
      </c>
      <c r="D3579" s="15"/>
      <c r="E3579" s="15"/>
      <c r="F3579" s="11">
        <f t="shared" si="29"/>
      </c>
      <c r="G3579" s="22" cm="1">
        <f t="array" ref="G3579">IF(AND(Inputs!$C$60,Inputs!$C$61),INDEX(Utility_Rates!$C$29:$F$52,HOUR(C3579)+Inputs!$C$69,MATCH(INDEX(Utility_Rates!$K$6:$K$17,MONTH(C3579))&amp;IF(WEEKDAY(C3579,Inputs!$C$76)&lt;=Inputs!$C$74," weekday"," weekend"),Utility_Rates!$C$28:$F$28,Inputs!$C$68)),"")</f>
      </c>
      <c r="H3579" s="34"/>
      <c r="I3579" s="42">
        <f>IF(AND(ISNUMBER(D3579),ISNUMBER(H3579)),D3579*H3579*Inputs!$C$69,"")</f>
      </c>
      <c r="J3579" s="42">
        <f>IF(AND(ISNUMBER(F3579),ISNUMBER(H3579),F3579&gt;=Inputs!$C$68),F3579*H3579*Inputs!$C$69,"")</f>
      </c>
    </row>
    <row r="3580" spans="2:10" ht="15" customHeight="1" x14ac:dyDescent="0.2">
      <c r="B3580" s="39">
        <f t="shared" si="28"/>
      </c>
      <c r="C3580" s="40">
        <f>IF(Inputs!$C$60,Inputs!$C$11+(B3580-Inputs!$C$69)/Inputs!$C$70,"")</f>
      </c>
      <c r="D3580" s="15"/>
      <c r="E3580" s="15"/>
      <c r="F3580" s="11">
        <f t="shared" si="29"/>
      </c>
      <c r="G3580" s="22" cm="1">
        <f t="array" ref="G3580">IF(AND(Inputs!$C$60,Inputs!$C$61),INDEX(Utility_Rates!$C$29:$F$52,HOUR(C3580)+Inputs!$C$69,MATCH(INDEX(Utility_Rates!$K$6:$K$17,MONTH(C3580))&amp;IF(WEEKDAY(C3580,Inputs!$C$76)&lt;=Inputs!$C$74," weekday"," weekend"),Utility_Rates!$C$28:$F$28,Inputs!$C$68)),"")</f>
      </c>
      <c r="H3580" s="34"/>
      <c r="I3580" s="42">
        <f>IF(AND(ISNUMBER(D3580),ISNUMBER(H3580)),D3580*H3580*Inputs!$C$69,"")</f>
      </c>
      <c r="J3580" s="42">
        <f>IF(AND(ISNUMBER(F3580),ISNUMBER(H3580),F3580&gt;=Inputs!$C$68),F3580*H3580*Inputs!$C$69,"")</f>
      </c>
    </row>
    <row r="3581" spans="2:10" ht="15" customHeight="1" x14ac:dyDescent="0.2">
      <c r="B3581" s="39">
        <f t="shared" si="28"/>
      </c>
      <c r="C3581" s="40">
        <f>IF(Inputs!$C$60,Inputs!$C$11+(B3581-Inputs!$C$69)/Inputs!$C$70,"")</f>
      </c>
      <c r="D3581" s="15"/>
      <c r="E3581" s="15"/>
      <c r="F3581" s="11">
        <f t="shared" si="29"/>
      </c>
      <c r="G3581" s="22" cm="1">
        <f t="array" ref="G3581">IF(AND(Inputs!$C$60,Inputs!$C$61),INDEX(Utility_Rates!$C$29:$F$52,HOUR(C3581)+Inputs!$C$69,MATCH(INDEX(Utility_Rates!$K$6:$K$17,MONTH(C3581))&amp;IF(WEEKDAY(C3581,Inputs!$C$76)&lt;=Inputs!$C$74," weekday"," weekend"),Utility_Rates!$C$28:$F$28,Inputs!$C$68)),"")</f>
      </c>
      <c r="H3581" s="34"/>
      <c r="I3581" s="42">
        <f>IF(AND(ISNUMBER(D3581),ISNUMBER(H3581)),D3581*H3581*Inputs!$C$69,"")</f>
      </c>
      <c r="J3581" s="42">
        <f>IF(AND(ISNUMBER(F3581),ISNUMBER(H3581),F3581&gt;=Inputs!$C$68),F3581*H3581*Inputs!$C$69,"")</f>
      </c>
    </row>
    <row r="3582" spans="2:10" ht="15" customHeight="1" x14ac:dyDescent="0.2">
      <c r="B3582" s="39">
        <f t="shared" si="28"/>
      </c>
      <c r="C3582" s="40">
        <f>IF(Inputs!$C$60,Inputs!$C$11+(B3582-Inputs!$C$69)/Inputs!$C$70,"")</f>
      </c>
      <c r="D3582" s="15"/>
      <c r="E3582" s="15"/>
      <c r="F3582" s="11">
        <f t="shared" si="29"/>
      </c>
      <c r="G3582" s="22" cm="1">
        <f t="array" ref="G3582">IF(AND(Inputs!$C$60,Inputs!$C$61),INDEX(Utility_Rates!$C$29:$F$52,HOUR(C3582)+Inputs!$C$69,MATCH(INDEX(Utility_Rates!$K$6:$K$17,MONTH(C3582))&amp;IF(WEEKDAY(C3582,Inputs!$C$76)&lt;=Inputs!$C$74," weekday"," weekend"),Utility_Rates!$C$28:$F$28,Inputs!$C$68)),"")</f>
      </c>
      <c r="H3582" s="34"/>
      <c r="I3582" s="42">
        <f>IF(AND(ISNUMBER(D3582),ISNUMBER(H3582)),D3582*H3582*Inputs!$C$69,"")</f>
      </c>
      <c r="J3582" s="42">
        <f>IF(AND(ISNUMBER(F3582),ISNUMBER(H3582),F3582&gt;=Inputs!$C$68),F3582*H3582*Inputs!$C$69,"")</f>
      </c>
    </row>
    <row r="3583" spans="2:10" ht="15" customHeight="1" x14ac:dyDescent="0.2">
      <c r="B3583" s="39">
        <f t="shared" si="28"/>
      </c>
      <c r="C3583" s="40">
        <f>IF(Inputs!$C$60,Inputs!$C$11+(B3583-Inputs!$C$69)/Inputs!$C$70,"")</f>
      </c>
      <c r="D3583" s="15"/>
      <c r="E3583" s="15"/>
      <c r="F3583" s="11">
        <f t="shared" si="29"/>
      </c>
      <c r="G3583" s="22" cm="1">
        <f t="array" ref="G3583">IF(AND(Inputs!$C$60,Inputs!$C$61),INDEX(Utility_Rates!$C$29:$F$52,HOUR(C3583)+Inputs!$C$69,MATCH(INDEX(Utility_Rates!$K$6:$K$17,MONTH(C3583))&amp;IF(WEEKDAY(C3583,Inputs!$C$76)&lt;=Inputs!$C$74," weekday"," weekend"),Utility_Rates!$C$28:$F$28,Inputs!$C$68)),"")</f>
      </c>
      <c r="H3583" s="34"/>
      <c r="I3583" s="42">
        <f>IF(AND(ISNUMBER(D3583),ISNUMBER(H3583)),D3583*H3583*Inputs!$C$69,"")</f>
      </c>
      <c r="J3583" s="42">
        <f>IF(AND(ISNUMBER(F3583),ISNUMBER(H3583),F3583&gt;=Inputs!$C$68),F3583*H3583*Inputs!$C$69,"")</f>
      </c>
    </row>
    <row r="3584" spans="2:10" ht="15" customHeight="1" x14ac:dyDescent="0.2">
      <c r="B3584" s="39">
        <f t="shared" si="28"/>
      </c>
      <c r="C3584" s="40">
        <f>IF(Inputs!$C$60,Inputs!$C$11+(B3584-Inputs!$C$69)/Inputs!$C$70,"")</f>
      </c>
      <c r="D3584" s="15"/>
      <c r="E3584" s="15"/>
      <c r="F3584" s="11">
        <f t="shared" si="29"/>
      </c>
      <c r="G3584" s="22" cm="1">
        <f t="array" ref="G3584">IF(AND(Inputs!$C$60,Inputs!$C$61),INDEX(Utility_Rates!$C$29:$F$52,HOUR(C3584)+Inputs!$C$69,MATCH(INDEX(Utility_Rates!$K$6:$K$17,MONTH(C3584))&amp;IF(WEEKDAY(C3584,Inputs!$C$76)&lt;=Inputs!$C$74," weekday"," weekend"),Utility_Rates!$C$28:$F$28,Inputs!$C$68)),"")</f>
      </c>
      <c r="H3584" s="34"/>
      <c r="I3584" s="42">
        <f>IF(AND(ISNUMBER(D3584),ISNUMBER(H3584)),D3584*H3584*Inputs!$C$69,"")</f>
      </c>
      <c r="J3584" s="42">
        <f>IF(AND(ISNUMBER(F3584),ISNUMBER(H3584),F3584&gt;=Inputs!$C$68),F3584*H3584*Inputs!$C$69,"")</f>
      </c>
    </row>
    <row r="3585" spans="2:10" ht="15" customHeight="1" x14ac:dyDescent="0.2">
      <c r="B3585" s="39">
        <f t="shared" si="28"/>
      </c>
      <c r="C3585" s="40">
        <f>IF(Inputs!$C$60,Inputs!$C$11+(B3585-Inputs!$C$69)/Inputs!$C$70,"")</f>
      </c>
      <c r="D3585" s="15"/>
      <c r="E3585" s="15"/>
      <c r="F3585" s="11">
        <f t="shared" si="29"/>
      </c>
      <c r="G3585" s="22" cm="1">
        <f t="array" ref="G3585">IF(AND(Inputs!$C$60,Inputs!$C$61),INDEX(Utility_Rates!$C$29:$F$52,HOUR(C3585)+Inputs!$C$69,MATCH(INDEX(Utility_Rates!$K$6:$K$17,MONTH(C3585))&amp;IF(WEEKDAY(C3585,Inputs!$C$76)&lt;=Inputs!$C$74," weekday"," weekend"),Utility_Rates!$C$28:$F$28,Inputs!$C$68)),"")</f>
      </c>
      <c r="H3585" s="34"/>
      <c r="I3585" s="42">
        <f>IF(AND(ISNUMBER(D3585),ISNUMBER(H3585)),D3585*H3585*Inputs!$C$69,"")</f>
      </c>
      <c r="J3585" s="42">
        <f>IF(AND(ISNUMBER(F3585),ISNUMBER(H3585),F3585&gt;=Inputs!$C$68),F3585*H3585*Inputs!$C$69,"")</f>
      </c>
    </row>
    <row r="3586" spans="2:10" ht="15" customHeight="1" x14ac:dyDescent="0.2">
      <c r="B3586" s="39">
        <f t="shared" si="28"/>
      </c>
      <c r="C3586" s="40">
        <f>IF(Inputs!$C$60,Inputs!$C$11+(B3586-Inputs!$C$69)/Inputs!$C$70,"")</f>
      </c>
      <c r="D3586" s="15"/>
      <c r="E3586" s="15"/>
      <c r="F3586" s="11">
        <f t="shared" si="29"/>
      </c>
      <c r="G3586" s="22" cm="1">
        <f t="array" ref="G3586">IF(AND(Inputs!$C$60,Inputs!$C$61),INDEX(Utility_Rates!$C$29:$F$52,HOUR(C3586)+Inputs!$C$69,MATCH(INDEX(Utility_Rates!$K$6:$K$17,MONTH(C3586))&amp;IF(WEEKDAY(C3586,Inputs!$C$76)&lt;=Inputs!$C$74," weekday"," weekend"),Utility_Rates!$C$28:$F$28,Inputs!$C$68)),"")</f>
      </c>
      <c r="H3586" s="34"/>
      <c r="I3586" s="42">
        <f>IF(AND(ISNUMBER(D3586),ISNUMBER(H3586)),D3586*H3586*Inputs!$C$69,"")</f>
      </c>
      <c r="J3586" s="42">
        <f>IF(AND(ISNUMBER(F3586),ISNUMBER(H3586),F3586&gt;=Inputs!$C$68),F3586*H3586*Inputs!$C$69,"")</f>
      </c>
    </row>
    <row r="3587" spans="2:10" ht="15" customHeight="1" x14ac:dyDescent="0.2">
      <c r="B3587" s="39">
        <f t="shared" si="28"/>
      </c>
      <c r="C3587" s="40">
        <f>IF(Inputs!$C$60,Inputs!$C$11+(B3587-Inputs!$C$69)/Inputs!$C$70,"")</f>
      </c>
      <c r="D3587" s="15"/>
      <c r="E3587" s="15"/>
      <c r="F3587" s="11">
        <f t="shared" si="29"/>
      </c>
      <c r="G3587" s="22" cm="1">
        <f t="array" ref="G3587">IF(AND(Inputs!$C$60,Inputs!$C$61),INDEX(Utility_Rates!$C$29:$F$52,HOUR(C3587)+Inputs!$C$69,MATCH(INDEX(Utility_Rates!$K$6:$K$17,MONTH(C3587))&amp;IF(WEEKDAY(C3587,Inputs!$C$76)&lt;=Inputs!$C$74," weekday"," weekend"),Utility_Rates!$C$28:$F$28,Inputs!$C$68)),"")</f>
      </c>
      <c r="H3587" s="34"/>
      <c r="I3587" s="42">
        <f>IF(AND(ISNUMBER(D3587),ISNUMBER(H3587)),D3587*H3587*Inputs!$C$69,"")</f>
      </c>
      <c r="J3587" s="42">
        <f>IF(AND(ISNUMBER(F3587),ISNUMBER(H3587),F3587&gt;=Inputs!$C$68),F3587*H3587*Inputs!$C$69,"")</f>
      </c>
    </row>
    <row r="3588" spans="2:10" ht="15" customHeight="1" x14ac:dyDescent="0.2">
      <c r="B3588" s="39">
        <f t="shared" si="28"/>
      </c>
      <c r="C3588" s="40">
        <f>IF(Inputs!$C$60,Inputs!$C$11+(B3588-Inputs!$C$69)/Inputs!$C$70,"")</f>
      </c>
      <c r="D3588" s="15"/>
      <c r="E3588" s="15"/>
      <c r="F3588" s="11">
        <f t="shared" si="29"/>
      </c>
      <c r="G3588" s="22" cm="1">
        <f t="array" ref="G3588">IF(AND(Inputs!$C$60,Inputs!$C$61),INDEX(Utility_Rates!$C$29:$F$52,HOUR(C3588)+Inputs!$C$69,MATCH(INDEX(Utility_Rates!$K$6:$K$17,MONTH(C3588))&amp;IF(WEEKDAY(C3588,Inputs!$C$76)&lt;=Inputs!$C$74," weekday"," weekend"),Utility_Rates!$C$28:$F$28,Inputs!$C$68)),"")</f>
      </c>
      <c r="H3588" s="34"/>
      <c r="I3588" s="42">
        <f>IF(AND(ISNUMBER(D3588),ISNUMBER(H3588)),D3588*H3588*Inputs!$C$69,"")</f>
      </c>
      <c r="J3588" s="42">
        <f>IF(AND(ISNUMBER(F3588),ISNUMBER(H3588),F3588&gt;=Inputs!$C$68),F3588*H3588*Inputs!$C$69,"")</f>
      </c>
    </row>
    <row r="3589" spans="2:10" ht="15" customHeight="1" x14ac:dyDescent="0.2">
      <c r="B3589" s="39">
        <f t="shared" si="28"/>
      </c>
      <c r="C3589" s="40">
        <f>IF(Inputs!$C$60,Inputs!$C$11+(B3589-Inputs!$C$69)/Inputs!$C$70,"")</f>
      </c>
      <c r="D3589" s="15"/>
      <c r="E3589" s="15"/>
      <c r="F3589" s="11">
        <f t="shared" si="29"/>
      </c>
      <c r="G3589" s="22" cm="1">
        <f t="array" ref="G3589">IF(AND(Inputs!$C$60,Inputs!$C$61),INDEX(Utility_Rates!$C$29:$F$52,HOUR(C3589)+Inputs!$C$69,MATCH(INDEX(Utility_Rates!$K$6:$K$17,MONTH(C3589))&amp;IF(WEEKDAY(C3589,Inputs!$C$76)&lt;=Inputs!$C$74," weekday"," weekend"),Utility_Rates!$C$28:$F$28,Inputs!$C$68)),"")</f>
      </c>
      <c r="H3589" s="34"/>
      <c r="I3589" s="42">
        <f>IF(AND(ISNUMBER(D3589),ISNUMBER(H3589)),D3589*H3589*Inputs!$C$69,"")</f>
      </c>
      <c r="J3589" s="42">
        <f>IF(AND(ISNUMBER(F3589),ISNUMBER(H3589),F3589&gt;=Inputs!$C$68),F3589*H3589*Inputs!$C$69,"")</f>
      </c>
    </row>
    <row r="3590" spans="2:10" ht="15" customHeight="1" x14ac:dyDescent="0.2">
      <c r="B3590" s="39">
        <f t="shared" si="28"/>
      </c>
      <c r="C3590" s="40">
        <f>IF(Inputs!$C$60,Inputs!$C$11+(B3590-Inputs!$C$69)/Inputs!$C$70,"")</f>
      </c>
      <c r="D3590" s="15"/>
      <c r="E3590" s="15"/>
      <c r="F3590" s="11">
        <f t="shared" si="29"/>
      </c>
      <c r="G3590" s="22" cm="1">
        <f t="array" ref="G3590">IF(AND(Inputs!$C$60,Inputs!$C$61),INDEX(Utility_Rates!$C$29:$F$52,HOUR(C3590)+Inputs!$C$69,MATCH(INDEX(Utility_Rates!$K$6:$K$17,MONTH(C3590))&amp;IF(WEEKDAY(C3590,Inputs!$C$76)&lt;=Inputs!$C$74," weekday"," weekend"),Utility_Rates!$C$28:$F$28,Inputs!$C$68)),"")</f>
      </c>
      <c r="H3590" s="34"/>
      <c r="I3590" s="42">
        <f>IF(AND(ISNUMBER(D3590),ISNUMBER(H3590)),D3590*H3590*Inputs!$C$69,"")</f>
      </c>
      <c r="J3590" s="42">
        <f>IF(AND(ISNUMBER(F3590),ISNUMBER(H3590),F3590&gt;=Inputs!$C$68),F3590*H3590*Inputs!$C$69,"")</f>
      </c>
    </row>
    <row r="3591" spans="2:10" ht="15" customHeight="1" x14ac:dyDescent="0.2">
      <c r="B3591" s="39">
        <f t="shared" si="28"/>
      </c>
      <c r="C3591" s="40">
        <f>IF(Inputs!$C$60,Inputs!$C$11+(B3591-Inputs!$C$69)/Inputs!$C$70,"")</f>
      </c>
      <c r="D3591" s="15"/>
      <c r="E3591" s="15"/>
      <c r="F3591" s="11">
        <f t="shared" si="29"/>
      </c>
      <c r="G3591" s="22" cm="1">
        <f t="array" ref="G3591">IF(AND(Inputs!$C$60,Inputs!$C$61),INDEX(Utility_Rates!$C$29:$F$52,HOUR(C3591)+Inputs!$C$69,MATCH(INDEX(Utility_Rates!$K$6:$K$17,MONTH(C3591))&amp;IF(WEEKDAY(C3591,Inputs!$C$76)&lt;=Inputs!$C$74," weekday"," weekend"),Utility_Rates!$C$28:$F$28,Inputs!$C$68)),"")</f>
      </c>
      <c r="H3591" s="34"/>
      <c r="I3591" s="42">
        <f>IF(AND(ISNUMBER(D3591),ISNUMBER(H3591)),D3591*H3591*Inputs!$C$69,"")</f>
      </c>
      <c r="J3591" s="42">
        <f>IF(AND(ISNUMBER(F3591),ISNUMBER(H3591),F3591&gt;=Inputs!$C$68),F3591*H3591*Inputs!$C$69,"")</f>
      </c>
    </row>
    <row r="3592" spans="2:10" ht="15" customHeight="1" x14ac:dyDescent="0.2">
      <c r="B3592" s="39">
        <f t="shared" si="28"/>
      </c>
      <c r="C3592" s="40">
        <f>IF(Inputs!$C$60,Inputs!$C$11+(B3592-Inputs!$C$69)/Inputs!$C$70,"")</f>
      </c>
      <c r="D3592" s="15"/>
      <c r="E3592" s="15"/>
      <c r="F3592" s="11">
        <f t="shared" si="29"/>
      </c>
      <c r="G3592" s="22" cm="1">
        <f t="array" ref="G3592">IF(AND(Inputs!$C$60,Inputs!$C$61),INDEX(Utility_Rates!$C$29:$F$52,HOUR(C3592)+Inputs!$C$69,MATCH(INDEX(Utility_Rates!$K$6:$K$17,MONTH(C3592))&amp;IF(WEEKDAY(C3592,Inputs!$C$76)&lt;=Inputs!$C$74," weekday"," weekend"),Utility_Rates!$C$28:$F$28,Inputs!$C$68)),"")</f>
      </c>
      <c r="H3592" s="34"/>
      <c r="I3592" s="42">
        <f>IF(AND(ISNUMBER(D3592),ISNUMBER(H3592)),D3592*H3592*Inputs!$C$69,"")</f>
      </c>
      <c r="J3592" s="42">
        <f>IF(AND(ISNUMBER(F3592),ISNUMBER(H3592),F3592&gt;=Inputs!$C$68),F3592*H3592*Inputs!$C$69,"")</f>
      </c>
    </row>
    <row r="3593" spans="2:10" ht="15" customHeight="1" x14ac:dyDescent="0.2">
      <c r="B3593" s="39">
        <f t="shared" si="28"/>
      </c>
      <c r="C3593" s="40">
        <f>IF(Inputs!$C$60,Inputs!$C$11+(B3593-Inputs!$C$69)/Inputs!$C$70,"")</f>
      </c>
      <c r="D3593" s="15"/>
      <c r="E3593" s="15"/>
      <c r="F3593" s="11">
        <f t="shared" si="29"/>
      </c>
      <c r="G3593" s="22" cm="1">
        <f t="array" ref="G3593">IF(AND(Inputs!$C$60,Inputs!$C$61),INDEX(Utility_Rates!$C$29:$F$52,HOUR(C3593)+Inputs!$C$69,MATCH(INDEX(Utility_Rates!$K$6:$K$17,MONTH(C3593))&amp;IF(WEEKDAY(C3593,Inputs!$C$76)&lt;=Inputs!$C$74," weekday"," weekend"),Utility_Rates!$C$28:$F$28,Inputs!$C$68)),"")</f>
      </c>
      <c r="H3593" s="34"/>
      <c r="I3593" s="42">
        <f>IF(AND(ISNUMBER(D3593),ISNUMBER(H3593)),D3593*H3593*Inputs!$C$69,"")</f>
      </c>
      <c r="J3593" s="42">
        <f>IF(AND(ISNUMBER(F3593),ISNUMBER(H3593),F3593&gt;=Inputs!$C$68),F3593*H3593*Inputs!$C$69,"")</f>
      </c>
    </row>
    <row r="3594" spans="2:10" ht="15" customHeight="1" x14ac:dyDescent="0.2">
      <c r="B3594" s="39">
        <f t="shared" si="28"/>
      </c>
      <c r="C3594" s="40">
        <f>IF(Inputs!$C$60,Inputs!$C$11+(B3594-Inputs!$C$69)/Inputs!$C$70,"")</f>
      </c>
      <c r="D3594" s="15"/>
      <c r="E3594" s="15"/>
      <c r="F3594" s="11">
        <f t="shared" si="29"/>
      </c>
      <c r="G3594" s="22" cm="1">
        <f t="array" ref="G3594">IF(AND(Inputs!$C$60,Inputs!$C$61),INDEX(Utility_Rates!$C$29:$F$52,HOUR(C3594)+Inputs!$C$69,MATCH(INDEX(Utility_Rates!$K$6:$K$17,MONTH(C3594))&amp;IF(WEEKDAY(C3594,Inputs!$C$76)&lt;=Inputs!$C$74," weekday"," weekend"),Utility_Rates!$C$28:$F$28,Inputs!$C$68)),"")</f>
      </c>
      <c r="H3594" s="34"/>
      <c r="I3594" s="42">
        <f>IF(AND(ISNUMBER(D3594),ISNUMBER(H3594)),D3594*H3594*Inputs!$C$69,"")</f>
      </c>
      <c r="J3594" s="42">
        <f>IF(AND(ISNUMBER(F3594),ISNUMBER(H3594),F3594&gt;=Inputs!$C$68),F3594*H3594*Inputs!$C$69,"")</f>
      </c>
    </row>
    <row r="3595" spans="2:10" ht="15" customHeight="1" x14ac:dyDescent="0.2">
      <c r="B3595" s="39">
        <f t="shared" si="28"/>
      </c>
      <c r="C3595" s="40">
        <f>IF(Inputs!$C$60,Inputs!$C$11+(B3595-Inputs!$C$69)/Inputs!$C$70,"")</f>
      </c>
      <c r="D3595" s="15"/>
      <c r="E3595" s="15"/>
      <c r="F3595" s="11">
        <f t="shared" si="29"/>
      </c>
      <c r="G3595" s="22" cm="1">
        <f t="array" ref="G3595">IF(AND(Inputs!$C$60,Inputs!$C$61),INDEX(Utility_Rates!$C$29:$F$52,HOUR(C3595)+Inputs!$C$69,MATCH(INDEX(Utility_Rates!$K$6:$K$17,MONTH(C3595))&amp;IF(WEEKDAY(C3595,Inputs!$C$76)&lt;=Inputs!$C$74," weekday"," weekend"),Utility_Rates!$C$28:$F$28,Inputs!$C$68)),"")</f>
      </c>
      <c r="H3595" s="34"/>
      <c r="I3595" s="42">
        <f>IF(AND(ISNUMBER(D3595),ISNUMBER(H3595)),D3595*H3595*Inputs!$C$69,"")</f>
      </c>
      <c r="J3595" s="42">
        <f>IF(AND(ISNUMBER(F3595),ISNUMBER(H3595),F3595&gt;=Inputs!$C$68),F3595*H3595*Inputs!$C$69,"")</f>
      </c>
    </row>
    <row r="3596" spans="2:10" ht="15" customHeight="1" x14ac:dyDescent="0.2">
      <c r="B3596" s="39">
        <f t="shared" si="28"/>
      </c>
      <c r="C3596" s="40">
        <f>IF(Inputs!$C$60,Inputs!$C$11+(B3596-Inputs!$C$69)/Inputs!$C$70,"")</f>
      </c>
      <c r="D3596" s="15"/>
      <c r="E3596" s="15"/>
      <c r="F3596" s="11">
        <f t="shared" si="29"/>
      </c>
      <c r="G3596" s="22" cm="1">
        <f t="array" ref="G3596">IF(AND(Inputs!$C$60,Inputs!$C$61),INDEX(Utility_Rates!$C$29:$F$52,HOUR(C3596)+Inputs!$C$69,MATCH(INDEX(Utility_Rates!$K$6:$K$17,MONTH(C3596))&amp;IF(WEEKDAY(C3596,Inputs!$C$76)&lt;=Inputs!$C$74," weekday"," weekend"),Utility_Rates!$C$28:$F$28,Inputs!$C$68)),"")</f>
      </c>
      <c r="H3596" s="34"/>
      <c r="I3596" s="42">
        <f>IF(AND(ISNUMBER(D3596),ISNUMBER(H3596)),D3596*H3596*Inputs!$C$69,"")</f>
      </c>
      <c r="J3596" s="42">
        <f>IF(AND(ISNUMBER(F3596),ISNUMBER(H3596),F3596&gt;=Inputs!$C$68),F3596*H3596*Inputs!$C$69,"")</f>
      </c>
    </row>
    <row r="3597" spans="2:10" ht="15" customHeight="1" x14ac:dyDescent="0.2">
      <c r="B3597" s="39">
        <f t="shared" si="28"/>
      </c>
      <c r="C3597" s="40">
        <f>IF(Inputs!$C$60,Inputs!$C$11+(B3597-Inputs!$C$69)/Inputs!$C$70,"")</f>
      </c>
      <c r="D3597" s="15"/>
      <c r="E3597" s="15"/>
      <c r="F3597" s="11">
        <f t="shared" si="29"/>
      </c>
      <c r="G3597" s="22" cm="1">
        <f t="array" ref="G3597">IF(AND(Inputs!$C$60,Inputs!$C$61),INDEX(Utility_Rates!$C$29:$F$52,HOUR(C3597)+Inputs!$C$69,MATCH(INDEX(Utility_Rates!$K$6:$K$17,MONTH(C3597))&amp;IF(WEEKDAY(C3597,Inputs!$C$76)&lt;=Inputs!$C$74," weekday"," weekend"),Utility_Rates!$C$28:$F$28,Inputs!$C$68)),"")</f>
      </c>
      <c r="H3597" s="34"/>
      <c r="I3597" s="42">
        <f>IF(AND(ISNUMBER(D3597),ISNUMBER(H3597)),D3597*H3597*Inputs!$C$69,"")</f>
      </c>
      <c r="J3597" s="42">
        <f>IF(AND(ISNUMBER(F3597),ISNUMBER(H3597),F3597&gt;=Inputs!$C$68),F3597*H3597*Inputs!$C$69,"")</f>
      </c>
    </row>
    <row r="3598" spans="2:10" ht="15" customHeight="1" x14ac:dyDescent="0.2">
      <c r="B3598" s="39">
        <f t="shared" si="28"/>
      </c>
      <c r="C3598" s="40">
        <f>IF(Inputs!$C$60,Inputs!$C$11+(B3598-Inputs!$C$69)/Inputs!$C$70,"")</f>
      </c>
      <c r="D3598" s="15"/>
      <c r="E3598" s="15"/>
      <c r="F3598" s="11">
        <f t="shared" si="29"/>
      </c>
      <c r="G3598" s="22" cm="1">
        <f t="array" ref="G3598">IF(AND(Inputs!$C$60,Inputs!$C$61),INDEX(Utility_Rates!$C$29:$F$52,HOUR(C3598)+Inputs!$C$69,MATCH(INDEX(Utility_Rates!$K$6:$K$17,MONTH(C3598))&amp;IF(WEEKDAY(C3598,Inputs!$C$76)&lt;=Inputs!$C$74," weekday"," weekend"),Utility_Rates!$C$28:$F$28,Inputs!$C$68)),"")</f>
      </c>
      <c r="H3598" s="34"/>
      <c r="I3598" s="42">
        <f>IF(AND(ISNUMBER(D3598),ISNUMBER(H3598)),D3598*H3598*Inputs!$C$69,"")</f>
      </c>
      <c r="J3598" s="42">
        <f>IF(AND(ISNUMBER(F3598),ISNUMBER(H3598),F3598&gt;=Inputs!$C$68),F3598*H3598*Inputs!$C$69,"")</f>
      </c>
    </row>
    <row r="3599" spans="2:10" ht="15" customHeight="1" x14ac:dyDescent="0.2">
      <c r="B3599" s="39">
        <f t="shared" si="28"/>
      </c>
      <c r="C3599" s="40">
        <f>IF(Inputs!$C$60,Inputs!$C$11+(B3599-Inputs!$C$69)/Inputs!$C$70,"")</f>
      </c>
      <c r="D3599" s="15"/>
      <c r="E3599" s="15"/>
      <c r="F3599" s="11">
        <f t="shared" si="29"/>
      </c>
      <c r="G3599" s="22" cm="1">
        <f t="array" ref="G3599">IF(AND(Inputs!$C$60,Inputs!$C$61),INDEX(Utility_Rates!$C$29:$F$52,HOUR(C3599)+Inputs!$C$69,MATCH(INDEX(Utility_Rates!$K$6:$K$17,MONTH(C3599))&amp;IF(WEEKDAY(C3599,Inputs!$C$76)&lt;=Inputs!$C$74," weekday"," weekend"),Utility_Rates!$C$28:$F$28,Inputs!$C$68)),"")</f>
      </c>
      <c r="H3599" s="34"/>
      <c r="I3599" s="42">
        <f>IF(AND(ISNUMBER(D3599),ISNUMBER(H3599)),D3599*H3599*Inputs!$C$69,"")</f>
      </c>
      <c r="J3599" s="42">
        <f>IF(AND(ISNUMBER(F3599),ISNUMBER(H3599),F3599&gt;=Inputs!$C$68),F3599*H3599*Inputs!$C$69,"")</f>
      </c>
    </row>
    <row r="3600" spans="2:10" ht="15" customHeight="1" x14ac:dyDescent="0.2">
      <c r="B3600" s="39">
        <f t="shared" si="28"/>
      </c>
      <c r="C3600" s="40">
        <f>IF(Inputs!$C$60,Inputs!$C$11+(B3600-Inputs!$C$69)/Inputs!$C$70,"")</f>
      </c>
      <c r="D3600" s="15"/>
      <c r="E3600" s="15"/>
      <c r="F3600" s="11">
        <f t="shared" si="29"/>
      </c>
      <c r="G3600" s="22" cm="1">
        <f t="array" ref="G3600">IF(AND(Inputs!$C$60,Inputs!$C$61),INDEX(Utility_Rates!$C$29:$F$52,HOUR(C3600)+Inputs!$C$69,MATCH(INDEX(Utility_Rates!$K$6:$K$17,MONTH(C3600))&amp;IF(WEEKDAY(C3600,Inputs!$C$76)&lt;=Inputs!$C$74," weekday"," weekend"),Utility_Rates!$C$28:$F$28,Inputs!$C$68)),"")</f>
      </c>
      <c r="H3600" s="34"/>
      <c r="I3600" s="42">
        <f>IF(AND(ISNUMBER(D3600),ISNUMBER(H3600)),D3600*H3600*Inputs!$C$69,"")</f>
      </c>
      <c r="J3600" s="42">
        <f>IF(AND(ISNUMBER(F3600),ISNUMBER(H3600),F3600&gt;=Inputs!$C$68),F3600*H3600*Inputs!$C$69,"")</f>
      </c>
    </row>
    <row r="3601" spans="2:10" ht="15" customHeight="1" x14ac:dyDescent="0.2">
      <c r="B3601" s="39">
        <f t="shared" si="28"/>
      </c>
      <c r="C3601" s="40">
        <f>IF(Inputs!$C$60,Inputs!$C$11+(B3601-Inputs!$C$69)/Inputs!$C$70,"")</f>
      </c>
      <c r="D3601" s="15"/>
      <c r="E3601" s="15"/>
      <c r="F3601" s="11">
        <f t="shared" si="29"/>
      </c>
      <c r="G3601" s="22" cm="1">
        <f t="array" ref="G3601">IF(AND(Inputs!$C$60,Inputs!$C$61),INDEX(Utility_Rates!$C$29:$F$52,HOUR(C3601)+Inputs!$C$69,MATCH(INDEX(Utility_Rates!$K$6:$K$17,MONTH(C3601))&amp;IF(WEEKDAY(C3601,Inputs!$C$76)&lt;=Inputs!$C$74," weekday"," weekend"),Utility_Rates!$C$28:$F$28,Inputs!$C$68)),"")</f>
      </c>
      <c r="H3601" s="34"/>
      <c r="I3601" s="42">
        <f>IF(AND(ISNUMBER(D3601),ISNUMBER(H3601)),D3601*H3601*Inputs!$C$69,"")</f>
      </c>
      <c r="J3601" s="42">
        <f>IF(AND(ISNUMBER(F3601),ISNUMBER(H3601),F3601&gt;=Inputs!$C$68),F3601*H3601*Inputs!$C$69,"")</f>
      </c>
    </row>
    <row r="3602" spans="2:10" ht="15" customHeight="1" x14ac:dyDescent="0.2">
      <c r="B3602" s="39">
        <f t="shared" si="28"/>
      </c>
      <c r="C3602" s="40">
        <f>IF(Inputs!$C$60,Inputs!$C$11+(B3602-Inputs!$C$69)/Inputs!$C$70,"")</f>
      </c>
      <c r="D3602" s="15"/>
      <c r="E3602" s="15"/>
      <c r="F3602" s="11">
        <f t="shared" si="29"/>
      </c>
      <c r="G3602" s="22" cm="1">
        <f t="array" ref="G3602">IF(AND(Inputs!$C$60,Inputs!$C$61),INDEX(Utility_Rates!$C$29:$F$52,HOUR(C3602)+Inputs!$C$69,MATCH(INDEX(Utility_Rates!$K$6:$K$17,MONTH(C3602))&amp;IF(WEEKDAY(C3602,Inputs!$C$76)&lt;=Inputs!$C$74," weekday"," weekend"),Utility_Rates!$C$28:$F$28,Inputs!$C$68)),"")</f>
      </c>
      <c r="H3602" s="34"/>
      <c r="I3602" s="42">
        <f>IF(AND(ISNUMBER(D3602),ISNUMBER(H3602)),D3602*H3602*Inputs!$C$69,"")</f>
      </c>
      <c r="J3602" s="42">
        <f>IF(AND(ISNUMBER(F3602),ISNUMBER(H3602),F3602&gt;=Inputs!$C$68),F3602*H3602*Inputs!$C$69,"")</f>
      </c>
    </row>
    <row r="3603" spans="2:10" ht="15" customHeight="1" x14ac:dyDescent="0.2">
      <c r="B3603" s="39">
        <f t="shared" si="28"/>
      </c>
      <c r="C3603" s="40">
        <f>IF(Inputs!$C$60,Inputs!$C$11+(B3603-Inputs!$C$69)/Inputs!$C$70,"")</f>
      </c>
      <c r="D3603" s="15"/>
      <c r="E3603" s="15"/>
      <c r="F3603" s="11">
        <f t="shared" si="29"/>
      </c>
      <c r="G3603" s="22" cm="1">
        <f t="array" ref="G3603">IF(AND(Inputs!$C$60,Inputs!$C$61),INDEX(Utility_Rates!$C$29:$F$52,HOUR(C3603)+Inputs!$C$69,MATCH(INDEX(Utility_Rates!$K$6:$K$17,MONTH(C3603))&amp;IF(WEEKDAY(C3603,Inputs!$C$76)&lt;=Inputs!$C$74," weekday"," weekend"),Utility_Rates!$C$28:$F$28,Inputs!$C$68)),"")</f>
      </c>
      <c r="H3603" s="34"/>
      <c r="I3603" s="42">
        <f>IF(AND(ISNUMBER(D3603),ISNUMBER(H3603)),D3603*H3603*Inputs!$C$69,"")</f>
      </c>
      <c r="J3603" s="42">
        <f>IF(AND(ISNUMBER(F3603),ISNUMBER(H3603),F3603&gt;=Inputs!$C$68),F3603*H3603*Inputs!$C$69,"")</f>
      </c>
    </row>
    <row r="3604" spans="2:10" ht="15" customHeight="1" x14ac:dyDescent="0.2">
      <c r="B3604" s="39">
        <f t="shared" si="28"/>
      </c>
      <c r="C3604" s="40">
        <f>IF(Inputs!$C$60,Inputs!$C$11+(B3604-Inputs!$C$69)/Inputs!$C$70,"")</f>
      </c>
      <c r="D3604" s="15"/>
      <c r="E3604" s="15"/>
      <c r="F3604" s="11">
        <f t="shared" si="29"/>
      </c>
      <c r="G3604" s="22" cm="1">
        <f t="array" ref="G3604">IF(AND(Inputs!$C$60,Inputs!$C$61),INDEX(Utility_Rates!$C$29:$F$52,HOUR(C3604)+Inputs!$C$69,MATCH(INDEX(Utility_Rates!$K$6:$K$17,MONTH(C3604))&amp;IF(WEEKDAY(C3604,Inputs!$C$76)&lt;=Inputs!$C$74," weekday"," weekend"),Utility_Rates!$C$28:$F$28,Inputs!$C$68)),"")</f>
      </c>
      <c r="H3604" s="34"/>
      <c r="I3604" s="42">
        <f>IF(AND(ISNUMBER(D3604),ISNUMBER(H3604)),D3604*H3604*Inputs!$C$69,"")</f>
      </c>
      <c r="J3604" s="42">
        <f>IF(AND(ISNUMBER(F3604),ISNUMBER(H3604),F3604&gt;=Inputs!$C$68),F3604*H3604*Inputs!$C$69,"")</f>
      </c>
    </row>
    <row r="3605" spans="2:10" ht="15" customHeight="1" x14ac:dyDescent="0.2">
      <c r="B3605" s="39">
        <f t="shared" si="28"/>
      </c>
      <c r="C3605" s="40">
        <f>IF(Inputs!$C$60,Inputs!$C$11+(B3605-Inputs!$C$69)/Inputs!$C$70,"")</f>
      </c>
      <c r="D3605" s="15"/>
      <c r="E3605" s="15"/>
      <c r="F3605" s="11">
        <f t="shared" si="29"/>
      </c>
      <c r="G3605" s="22" cm="1">
        <f t="array" ref="G3605">IF(AND(Inputs!$C$60,Inputs!$C$61),INDEX(Utility_Rates!$C$29:$F$52,HOUR(C3605)+Inputs!$C$69,MATCH(INDEX(Utility_Rates!$K$6:$K$17,MONTH(C3605))&amp;IF(WEEKDAY(C3605,Inputs!$C$76)&lt;=Inputs!$C$74," weekday"," weekend"),Utility_Rates!$C$28:$F$28,Inputs!$C$68)),"")</f>
      </c>
      <c r="H3605" s="34"/>
      <c r="I3605" s="42">
        <f>IF(AND(ISNUMBER(D3605),ISNUMBER(H3605)),D3605*H3605*Inputs!$C$69,"")</f>
      </c>
      <c r="J3605" s="42">
        <f>IF(AND(ISNUMBER(F3605),ISNUMBER(H3605),F3605&gt;=Inputs!$C$68),F3605*H3605*Inputs!$C$69,"")</f>
      </c>
    </row>
    <row r="3606" spans="2:10" ht="15" customHeight="1" x14ac:dyDescent="0.2">
      <c r="B3606" s="39">
        <f t="shared" si="28"/>
      </c>
      <c r="C3606" s="40">
        <f>IF(Inputs!$C$60,Inputs!$C$11+(B3606-Inputs!$C$69)/Inputs!$C$70,"")</f>
      </c>
      <c r="D3606" s="15"/>
      <c r="E3606" s="15"/>
      <c r="F3606" s="11">
        <f t="shared" si="29"/>
      </c>
      <c r="G3606" s="22" cm="1">
        <f t="array" ref="G3606">IF(AND(Inputs!$C$60,Inputs!$C$61),INDEX(Utility_Rates!$C$29:$F$52,HOUR(C3606)+Inputs!$C$69,MATCH(INDEX(Utility_Rates!$K$6:$K$17,MONTH(C3606))&amp;IF(WEEKDAY(C3606,Inputs!$C$76)&lt;=Inputs!$C$74," weekday"," weekend"),Utility_Rates!$C$28:$F$28,Inputs!$C$68)),"")</f>
      </c>
      <c r="H3606" s="34"/>
      <c r="I3606" s="42">
        <f>IF(AND(ISNUMBER(D3606),ISNUMBER(H3606)),D3606*H3606*Inputs!$C$69,"")</f>
      </c>
      <c r="J3606" s="42">
        <f>IF(AND(ISNUMBER(F3606),ISNUMBER(H3606),F3606&gt;=Inputs!$C$68),F3606*H3606*Inputs!$C$69,"")</f>
      </c>
    </row>
    <row r="3607" spans="2:10" ht="15" customHeight="1" x14ac:dyDescent="0.2">
      <c r="B3607" s="39">
        <f t="shared" si="28"/>
      </c>
      <c r="C3607" s="40">
        <f>IF(Inputs!$C$60,Inputs!$C$11+(B3607-Inputs!$C$69)/Inputs!$C$70,"")</f>
      </c>
      <c r="D3607" s="15"/>
      <c r="E3607" s="15"/>
      <c r="F3607" s="11">
        <f t="shared" si="29"/>
      </c>
      <c r="G3607" s="22" cm="1">
        <f t="array" ref="G3607">IF(AND(Inputs!$C$60,Inputs!$C$61),INDEX(Utility_Rates!$C$29:$F$52,HOUR(C3607)+Inputs!$C$69,MATCH(INDEX(Utility_Rates!$K$6:$K$17,MONTH(C3607))&amp;IF(WEEKDAY(C3607,Inputs!$C$76)&lt;=Inputs!$C$74," weekday"," weekend"),Utility_Rates!$C$28:$F$28,Inputs!$C$68)),"")</f>
      </c>
      <c r="H3607" s="34"/>
      <c r="I3607" s="42">
        <f>IF(AND(ISNUMBER(D3607),ISNUMBER(H3607)),D3607*H3607*Inputs!$C$69,"")</f>
      </c>
      <c r="J3607" s="42">
        <f>IF(AND(ISNUMBER(F3607),ISNUMBER(H3607),F3607&gt;=Inputs!$C$68),F3607*H3607*Inputs!$C$69,"")</f>
      </c>
    </row>
    <row r="3608" spans="2:10" ht="15" customHeight="1" x14ac:dyDescent="0.2">
      <c r="B3608" s="39">
        <f t="shared" si="28"/>
      </c>
      <c r="C3608" s="40">
        <f>IF(Inputs!$C$60,Inputs!$C$11+(B3608-Inputs!$C$69)/Inputs!$C$70,"")</f>
      </c>
      <c r="D3608" s="15"/>
      <c r="E3608" s="15"/>
      <c r="F3608" s="11">
        <f t="shared" si="29"/>
      </c>
      <c r="G3608" s="22" cm="1">
        <f t="array" ref="G3608">IF(AND(Inputs!$C$60,Inputs!$C$61),INDEX(Utility_Rates!$C$29:$F$52,HOUR(C3608)+Inputs!$C$69,MATCH(INDEX(Utility_Rates!$K$6:$K$17,MONTH(C3608))&amp;IF(WEEKDAY(C3608,Inputs!$C$76)&lt;=Inputs!$C$74," weekday"," weekend"),Utility_Rates!$C$28:$F$28,Inputs!$C$68)),"")</f>
      </c>
      <c r="H3608" s="34"/>
      <c r="I3608" s="42">
        <f>IF(AND(ISNUMBER(D3608),ISNUMBER(H3608)),D3608*H3608*Inputs!$C$69,"")</f>
      </c>
      <c r="J3608" s="42">
        <f>IF(AND(ISNUMBER(F3608),ISNUMBER(H3608),F3608&gt;=Inputs!$C$68),F3608*H3608*Inputs!$C$69,"")</f>
      </c>
    </row>
    <row r="3609" spans="2:10" ht="15" customHeight="1" x14ac:dyDescent="0.2">
      <c r="B3609" s="39">
        <f t="shared" si="28"/>
      </c>
      <c r="C3609" s="40">
        <f>IF(Inputs!$C$60,Inputs!$C$11+(B3609-Inputs!$C$69)/Inputs!$C$70,"")</f>
      </c>
      <c r="D3609" s="15"/>
      <c r="E3609" s="15"/>
      <c r="F3609" s="11">
        <f t="shared" si="29"/>
      </c>
      <c r="G3609" s="22" cm="1">
        <f t="array" ref="G3609">IF(AND(Inputs!$C$60,Inputs!$C$61),INDEX(Utility_Rates!$C$29:$F$52,HOUR(C3609)+Inputs!$C$69,MATCH(INDEX(Utility_Rates!$K$6:$K$17,MONTH(C3609))&amp;IF(WEEKDAY(C3609,Inputs!$C$76)&lt;=Inputs!$C$74," weekday"," weekend"),Utility_Rates!$C$28:$F$28,Inputs!$C$68)),"")</f>
      </c>
      <c r="H3609" s="34"/>
      <c r="I3609" s="42">
        <f>IF(AND(ISNUMBER(D3609),ISNUMBER(H3609)),D3609*H3609*Inputs!$C$69,"")</f>
      </c>
      <c r="J3609" s="42">
        <f>IF(AND(ISNUMBER(F3609),ISNUMBER(H3609),F3609&gt;=Inputs!$C$68),F3609*H3609*Inputs!$C$69,"")</f>
      </c>
    </row>
    <row r="3610" spans="2:10" ht="15" customHeight="1" x14ac:dyDescent="0.2">
      <c r="B3610" s="39">
        <f t="shared" si="28"/>
      </c>
      <c r="C3610" s="40">
        <f>IF(Inputs!$C$60,Inputs!$C$11+(B3610-Inputs!$C$69)/Inputs!$C$70,"")</f>
      </c>
      <c r="D3610" s="15"/>
      <c r="E3610" s="15"/>
      <c r="F3610" s="11">
        <f t="shared" si="29"/>
      </c>
      <c r="G3610" s="22" cm="1">
        <f t="array" ref="G3610">IF(AND(Inputs!$C$60,Inputs!$C$61),INDEX(Utility_Rates!$C$29:$F$52,HOUR(C3610)+Inputs!$C$69,MATCH(INDEX(Utility_Rates!$K$6:$K$17,MONTH(C3610))&amp;IF(WEEKDAY(C3610,Inputs!$C$76)&lt;=Inputs!$C$74," weekday"," weekend"),Utility_Rates!$C$28:$F$28,Inputs!$C$68)),"")</f>
      </c>
      <c r="H3610" s="34"/>
      <c r="I3610" s="42">
        <f>IF(AND(ISNUMBER(D3610),ISNUMBER(H3610)),D3610*H3610*Inputs!$C$69,"")</f>
      </c>
      <c r="J3610" s="42">
        <f>IF(AND(ISNUMBER(F3610),ISNUMBER(H3610),F3610&gt;=Inputs!$C$68),F3610*H3610*Inputs!$C$69,"")</f>
      </c>
    </row>
    <row r="3611" spans="2:10" ht="15" customHeight="1" x14ac:dyDescent="0.2">
      <c r="B3611" s="39">
        <f t="shared" si="28"/>
      </c>
      <c r="C3611" s="40">
        <f>IF(Inputs!$C$60,Inputs!$C$11+(B3611-Inputs!$C$69)/Inputs!$C$70,"")</f>
      </c>
      <c r="D3611" s="15"/>
      <c r="E3611" s="15"/>
      <c r="F3611" s="11">
        <f t="shared" si="29"/>
      </c>
      <c r="G3611" s="22" cm="1">
        <f t="array" ref="G3611">IF(AND(Inputs!$C$60,Inputs!$C$61),INDEX(Utility_Rates!$C$29:$F$52,HOUR(C3611)+Inputs!$C$69,MATCH(INDEX(Utility_Rates!$K$6:$K$17,MONTH(C3611))&amp;IF(WEEKDAY(C3611,Inputs!$C$76)&lt;=Inputs!$C$74," weekday"," weekend"),Utility_Rates!$C$28:$F$28,Inputs!$C$68)),"")</f>
      </c>
      <c r="H3611" s="34"/>
      <c r="I3611" s="42">
        <f>IF(AND(ISNUMBER(D3611),ISNUMBER(H3611)),D3611*H3611*Inputs!$C$69,"")</f>
      </c>
      <c r="J3611" s="42">
        <f>IF(AND(ISNUMBER(F3611),ISNUMBER(H3611),F3611&gt;=Inputs!$C$68),F3611*H3611*Inputs!$C$69,"")</f>
      </c>
    </row>
    <row r="3612" spans="2:10" ht="15" customHeight="1" x14ac:dyDescent="0.2">
      <c r="B3612" s="39">
        <f t="shared" si="28"/>
      </c>
      <c r="C3612" s="40">
        <f>IF(Inputs!$C$60,Inputs!$C$11+(B3612-Inputs!$C$69)/Inputs!$C$70,"")</f>
      </c>
      <c r="D3612" s="15"/>
      <c r="E3612" s="15"/>
      <c r="F3612" s="11">
        <f t="shared" si="29"/>
      </c>
      <c r="G3612" s="22" cm="1">
        <f t="array" ref="G3612">IF(AND(Inputs!$C$60,Inputs!$C$61),INDEX(Utility_Rates!$C$29:$F$52,HOUR(C3612)+Inputs!$C$69,MATCH(INDEX(Utility_Rates!$K$6:$K$17,MONTH(C3612))&amp;IF(WEEKDAY(C3612,Inputs!$C$76)&lt;=Inputs!$C$74," weekday"," weekend"),Utility_Rates!$C$28:$F$28,Inputs!$C$68)),"")</f>
      </c>
      <c r="H3612" s="34"/>
      <c r="I3612" s="42">
        <f>IF(AND(ISNUMBER(D3612),ISNUMBER(H3612)),D3612*H3612*Inputs!$C$69,"")</f>
      </c>
      <c r="J3612" s="42">
        <f>IF(AND(ISNUMBER(F3612),ISNUMBER(H3612),F3612&gt;=Inputs!$C$68),F3612*H3612*Inputs!$C$69,"")</f>
      </c>
    </row>
    <row r="3613" spans="2:10" ht="15" customHeight="1" x14ac:dyDescent="0.2">
      <c r="B3613" s="39">
        <f t="shared" si="28"/>
      </c>
      <c r="C3613" s="40">
        <f>IF(Inputs!$C$60,Inputs!$C$11+(B3613-Inputs!$C$69)/Inputs!$C$70,"")</f>
      </c>
      <c r="D3613" s="15"/>
      <c r="E3613" s="15"/>
      <c r="F3613" s="11">
        <f t="shared" si="29"/>
      </c>
      <c r="G3613" s="22" cm="1">
        <f t="array" ref="G3613">IF(AND(Inputs!$C$60,Inputs!$C$61),INDEX(Utility_Rates!$C$29:$F$52,HOUR(C3613)+Inputs!$C$69,MATCH(INDEX(Utility_Rates!$K$6:$K$17,MONTH(C3613))&amp;IF(WEEKDAY(C3613,Inputs!$C$76)&lt;=Inputs!$C$74," weekday"," weekend"),Utility_Rates!$C$28:$F$28,Inputs!$C$68)),"")</f>
      </c>
      <c r="H3613" s="34"/>
      <c r="I3613" s="42">
        <f>IF(AND(ISNUMBER(D3613),ISNUMBER(H3613)),D3613*H3613*Inputs!$C$69,"")</f>
      </c>
      <c r="J3613" s="42">
        <f>IF(AND(ISNUMBER(F3613),ISNUMBER(H3613),F3613&gt;=Inputs!$C$68),F3613*H3613*Inputs!$C$69,"")</f>
      </c>
    </row>
    <row r="3614" spans="2:10" ht="15" customHeight="1" x14ac:dyDescent="0.2">
      <c r="B3614" s="39">
        <f t="shared" si="28"/>
      </c>
      <c r="C3614" s="40">
        <f>IF(Inputs!$C$60,Inputs!$C$11+(B3614-Inputs!$C$69)/Inputs!$C$70,"")</f>
      </c>
      <c r="D3614" s="15"/>
      <c r="E3614" s="15"/>
      <c r="F3614" s="11">
        <f t="shared" si="29"/>
      </c>
      <c r="G3614" s="22" cm="1">
        <f t="array" ref="G3614">IF(AND(Inputs!$C$60,Inputs!$C$61),INDEX(Utility_Rates!$C$29:$F$52,HOUR(C3614)+Inputs!$C$69,MATCH(INDEX(Utility_Rates!$K$6:$K$17,MONTH(C3614))&amp;IF(WEEKDAY(C3614,Inputs!$C$76)&lt;=Inputs!$C$74," weekday"," weekend"),Utility_Rates!$C$28:$F$28,Inputs!$C$68)),"")</f>
      </c>
      <c r="H3614" s="34"/>
      <c r="I3614" s="42">
        <f>IF(AND(ISNUMBER(D3614),ISNUMBER(H3614)),D3614*H3614*Inputs!$C$69,"")</f>
      </c>
      <c r="J3614" s="42">
        <f>IF(AND(ISNUMBER(F3614),ISNUMBER(H3614),F3614&gt;=Inputs!$C$68),F3614*H3614*Inputs!$C$69,"")</f>
      </c>
    </row>
    <row r="3615" spans="2:10" ht="15" customHeight="1" x14ac:dyDescent="0.2">
      <c r="B3615" s="39">
        <f t="shared" si="28"/>
      </c>
      <c r="C3615" s="40">
        <f>IF(Inputs!$C$60,Inputs!$C$11+(B3615-Inputs!$C$69)/Inputs!$C$70,"")</f>
      </c>
      <c r="D3615" s="15"/>
      <c r="E3615" s="15"/>
      <c r="F3615" s="11">
        <f t="shared" si="29"/>
      </c>
      <c r="G3615" s="22" cm="1">
        <f t="array" ref="G3615">IF(AND(Inputs!$C$60,Inputs!$C$61),INDEX(Utility_Rates!$C$29:$F$52,HOUR(C3615)+Inputs!$C$69,MATCH(INDEX(Utility_Rates!$K$6:$K$17,MONTH(C3615))&amp;IF(WEEKDAY(C3615,Inputs!$C$76)&lt;=Inputs!$C$74," weekday"," weekend"),Utility_Rates!$C$28:$F$28,Inputs!$C$68)),"")</f>
      </c>
      <c r="H3615" s="34"/>
      <c r="I3615" s="42">
        <f>IF(AND(ISNUMBER(D3615),ISNUMBER(H3615)),D3615*H3615*Inputs!$C$69,"")</f>
      </c>
      <c r="J3615" s="42">
        <f>IF(AND(ISNUMBER(F3615),ISNUMBER(H3615),F3615&gt;=Inputs!$C$68),F3615*H3615*Inputs!$C$69,"")</f>
      </c>
    </row>
    <row r="3616" spans="2:10" ht="15" customHeight="1" x14ac:dyDescent="0.2">
      <c r="B3616" s="39">
        <f t="shared" si="28"/>
      </c>
      <c r="C3616" s="40">
        <f>IF(Inputs!$C$60,Inputs!$C$11+(B3616-Inputs!$C$69)/Inputs!$C$70,"")</f>
      </c>
      <c r="D3616" s="15"/>
      <c r="E3616" s="15"/>
      <c r="F3616" s="11">
        <f t="shared" si="29"/>
      </c>
      <c r="G3616" s="22" cm="1">
        <f t="array" ref="G3616">IF(AND(Inputs!$C$60,Inputs!$C$61),INDEX(Utility_Rates!$C$29:$F$52,HOUR(C3616)+Inputs!$C$69,MATCH(INDEX(Utility_Rates!$K$6:$K$17,MONTH(C3616))&amp;IF(WEEKDAY(C3616,Inputs!$C$76)&lt;=Inputs!$C$74," weekday"," weekend"),Utility_Rates!$C$28:$F$28,Inputs!$C$68)),"")</f>
      </c>
      <c r="H3616" s="34"/>
      <c r="I3616" s="42">
        <f>IF(AND(ISNUMBER(D3616),ISNUMBER(H3616)),D3616*H3616*Inputs!$C$69,"")</f>
      </c>
      <c r="J3616" s="42">
        <f>IF(AND(ISNUMBER(F3616),ISNUMBER(H3616),F3616&gt;=Inputs!$C$68),F3616*H3616*Inputs!$C$69,"")</f>
      </c>
    </row>
    <row r="3617" spans="2:10" ht="15" customHeight="1" x14ac:dyDescent="0.2">
      <c r="B3617" s="39">
        <f t="shared" si="28"/>
      </c>
      <c r="C3617" s="40">
        <f>IF(Inputs!$C$60,Inputs!$C$11+(B3617-Inputs!$C$69)/Inputs!$C$70,"")</f>
      </c>
      <c r="D3617" s="15"/>
      <c r="E3617" s="15"/>
      <c r="F3617" s="11">
        <f t="shared" si="29"/>
      </c>
      <c r="G3617" s="22" cm="1">
        <f t="array" ref="G3617">IF(AND(Inputs!$C$60,Inputs!$C$61),INDEX(Utility_Rates!$C$29:$F$52,HOUR(C3617)+Inputs!$C$69,MATCH(INDEX(Utility_Rates!$K$6:$K$17,MONTH(C3617))&amp;IF(WEEKDAY(C3617,Inputs!$C$76)&lt;=Inputs!$C$74," weekday"," weekend"),Utility_Rates!$C$28:$F$28,Inputs!$C$68)),"")</f>
      </c>
      <c r="H3617" s="34"/>
      <c r="I3617" s="42">
        <f>IF(AND(ISNUMBER(D3617),ISNUMBER(H3617)),D3617*H3617*Inputs!$C$69,"")</f>
      </c>
      <c r="J3617" s="42">
        <f>IF(AND(ISNUMBER(F3617),ISNUMBER(H3617),F3617&gt;=Inputs!$C$68),F3617*H3617*Inputs!$C$69,"")</f>
      </c>
    </row>
    <row r="3618" spans="2:10" ht="15" customHeight="1" x14ac:dyDescent="0.2">
      <c r="B3618" s="39">
        <f t="shared" si="28"/>
      </c>
      <c r="C3618" s="40">
        <f>IF(Inputs!$C$60,Inputs!$C$11+(B3618-Inputs!$C$69)/Inputs!$C$70,"")</f>
      </c>
      <c r="D3618" s="15"/>
      <c r="E3618" s="15"/>
      <c r="F3618" s="11">
        <f t="shared" si="29"/>
      </c>
      <c r="G3618" s="22" cm="1">
        <f t="array" ref="G3618">IF(AND(Inputs!$C$60,Inputs!$C$61),INDEX(Utility_Rates!$C$29:$F$52,HOUR(C3618)+Inputs!$C$69,MATCH(INDEX(Utility_Rates!$K$6:$K$17,MONTH(C3618))&amp;IF(WEEKDAY(C3618,Inputs!$C$76)&lt;=Inputs!$C$74," weekday"," weekend"),Utility_Rates!$C$28:$F$28,Inputs!$C$68)),"")</f>
      </c>
      <c r="H3618" s="34"/>
      <c r="I3618" s="42">
        <f>IF(AND(ISNUMBER(D3618),ISNUMBER(H3618)),D3618*H3618*Inputs!$C$69,"")</f>
      </c>
      <c r="J3618" s="42">
        <f>IF(AND(ISNUMBER(F3618),ISNUMBER(H3618),F3618&gt;=Inputs!$C$68),F3618*H3618*Inputs!$C$69,"")</f>
      </c>
    </row>
    <row r="3619" spans="2:10" ht="15" customHeight="1" x14ac:dyDescent="0.2">
      <c r="B3619" s="39">
        <f t="shared" si="28"/>
      </c>
      <c r="C3619" s="40">
        <f>IF(Inputs!$C$60,Inputs!$C$11+(B3619-Inputs!$C$69)/Inputs!$C$70,"")</f>
      </c>
      <c r="D3619" s="15"/>
      <c r="E3619" s="15"/>
      <c r="F3619" s="11">
        <f t="shared" si="29"/>
      </c>
      <c r="G3619" s="22" cm="1">
        <f t="array" ref="G3619">IF(AND(Inputs!$C$60,Inputs!$C$61),INDEX(Utility_Rates!$C$29:$F$52,HOUR(C3619)+Inputs!$C$69,MATCH(INDEX(Utility_Rates!$K$6:$K$17,MONTH(C3619))&amp;IF(WEEKDAY(C3619,Inputs!$C$76)&lt;=Inputs!$C$74," weekday"," weekend"),Utility_Rates!$C$28:$F$28,Inputs!$C$68)),"")</f>
      </c>
      <c r="H3619" s="34"/>
      <c r="I3619" s="42">
        <f>IF(AND(ISNUMBER(D3619),ISNUMBER(H3619)),D3619*H3619*Inputs!$C$69,"")</f>
      </c>
      <c r="J3619" s="42">
        <f>IF(AND(ISNUMBER(F3619),ISNUMBER(H3619),F3619&gt;=Inputs!$C$68),F3619*H3619*Inputs!$C$69,"")</f>
      </c>
    </row>
    <row r="3620" spans="2:10" ht="15" customHeight="1" x14ac:dyDescent="0.2">
      <c r="B3620" s="39">
        <f t="shared" si="28"/>
      </c>
      <c r="C3620" s="40">
        <f>IF(Inputs!$C$60,Inputs!$C$11+(B3620-Inputs!$C$69)/Inputs!$C$70,"")</f>
      </c>
      <c r="D3620" s="15"/>
      <c r="E3620" s="15"/>
      <c r="F3620" s="11">
        <f t="shared" si="29"/>
      </c>
      <c r="G3620" s="22" cm="1">
        <f t="array" ref="G3620">IF(AND(Inputs!$C$60,Inputs!$C$61),INDEX(Utility_Rates!$C$29:$F$52,HOUR(C3620)+Inputs!$C$69,MATCH(INDEX(Utility_Rates!$K$6:$K$17,MONTH(C3620))&amp;IF(WEEKDAY(C3620,Inputs!$C$76)&lt;=Inputs!$C$74," weekday"," weekend"),Utility_Rates!$C$28:$F$28,Inputs!$C$68)),"")</f>
      </c>
      <c r="H3620" s="34"/>
      <c r="I3620" s="42">
        <f>IF(AND(ISNUMBER(D3620),ISNUMBER(H3620)),D3620*H3620*Inputs!$C$69,"")</f>
      </c>
      <c r="J3620" s="42">
        <f>IF(AND(ISNUMBER(F3620),ISNUMBER(H3620),F3620&gt;=Inputs!$C$68),F3620*H3620*Inputs!$C$69,"")</f>
      </c>
    </row>
    <row r="3621" spans="2:10" ht="15" customHeight="1" x14ac:dyDescent="0.2">
      <c r="B3621" s="39">
        <f t="shared" si="28"/>
      </c>
      <c r="C3621" s="40">
        <f>IF(Inputs!$C$60,Inputs!$C$11+(B3621-Inputs!$C$69)/Inputs!$C$70,"")</f>
      </c>
      <c r="D3621" s="15"/>
      <c r="E3621" s="15"/>
      <c r="F3621" s="11">
        <f t="shared" si="29"/>
      </c>
      <c r="G3621" s="22" cm="1">
        <f t="array" ref="G3621">IF(AND(Inputs!$C$60,Inputs!$C$61),INDEX(Utility_Rates!$C$29:$F$52,HOUR(C3621)+Inputs!$C$69,MATCH(INDEX(Utility_Rates!$K$6:$K$17,MONTH(C3621))&amp;IF(WEEKDAY(C3621,Inputs!$C$76)&lt;=Inputs!$C$74," weekday"," weekend"),Utility_Rates!$C$28:$F$28,Inputs!$C$68)),"")</f>
      </c>
      <c r="H3621" s="34"/>
      <c r="I3621" s="42">
        <f>IF(AND(ISNUMBER(D3621),ISNUMBER(H3621)),D3621*H3621*Inputs!$C$69,"")</f>
      </c>
      <c r="J3621" s="42">
        <f>IF(AND(ISNUMBER(F3621),ISNUMBER(H3621),F3621&gt;=Inputs!$C$68),F3621*H3621*Inputs!$C$69,"")</f>
      </c>
    </row>
    <row r="3622" spans="2:10" ht="15" customHeight="1" x14ac:dyDescent="0.2">
      <c r="B3622" s="39">
        <f t="shared" si="28"/>
      </c>
      <c r="C3622" s="40">
        <f>IF(Inputs!$C$60,Inputs!$C$11+(B3622-Inputs!$C$69)/Inputs!$C$70,"")</f>
      </c>
      <c r="D3622" s="15"/>
      <c r="E3622" s="15"/>
      <c r="F3622" s="11">
        <f t="shared" si="29"/>
      </c>
      <c r="G3622" s="22" cm="1">
        <f t="array" ref="G3622">IF(AND(Inputs!$C$60,Inputs!$C$61),INDEX(Utility_Rates!$C$29:$F$52,HOUR(C3622)+Inputs!$C$69,MATCH(INDEX(Utility_Rates!$K$6:$K$17,MONTH(C3622))&amp;IF(WEEKDAY(C3622,Inputs!$C$76)&lt;=Inputs!$C$74," weekday"," weekend"),Utility_Rates!$C$28:$F$28,Inputs!$C$68)),"")</f>
      </c>
      <c r="H3622" s="34"/>
      <c r="I3622" s="42">
        <f>IF(AND(ISNUMBER(D3622),ISNUMBER(H3622)),D3622*H3622*Inputs!$C$69,"")</f>
      </c>
      <c r="J3622" s="42">
        <f>IF(AND(ISNUMBER(F3622),ISNUMBER(H3622),F3622&gt;=Inputs!$C$68),F3622*H3622*Inputs!$C$69,"")</f>
      </c>
    </row>
    <row r="3623" spans="2:10" ht="15" customHeight="1" x14ac:dyDescent="0.2">
      <c r="B3623" s="39">
        <f t="shared" si="28"/>
      </c>
      <c r="C3623" s="40">
        <f>IF(Inputs!$C$60,Inputs!$C$11+(B3623-Inputs!$C$69)/Inputs!$C$70,"")</f>
      </c>
      <c r="D3623" s="15"/>
      <c r="E3623" s="15"/>
      <c r="F3623" s="11">
        <f t="shared" si="29"/>
      </c>
      <c r="G3623" s="22" cm="1">
        <f t="array" ref="G3623">IF(AND(Inputs!$C$60,Inputs!$C$61),INDEX(Utility_Rates!$C$29:$F$52,HOUR(C3623)+Inputs!$C$69,MATCH(INDEX(Utility_Rates!$K$6:$K$17,MONTH(C3623))&amp;IF(WEEKDAY(C3623,Inputs!$C$76)&lt;=Inputs!$C$74," weekday"," weekend"),Utility_Rates!$C$28:$F$28,Inputs!$C$68)),"")</f>
      </c>
      <c r="H3623" s="34"/>
      <c r="I3623" s="42">
        <f>IF(AND(ISNUMBER(D3623),ISNUMBER(H3623)),D3623*H3623*Inputs!$C$69,"")</f>
      </c>
      <c r="J3623" s="42">
        <f>IF(AND(ISNUMBER(F3623),ISNUMBER(H3623),F3623&gt;=Inputs!$C$68),F3623*H3623*Inputs!$C$69,"")</f>
      </c>
    </row>
    <row r="3624" spans="2:10" ht="15" customHeight="1" x14ac:dyDescent="0.2">
      <c r="B3624" s="39">
        <f t="shared" si="28"/>
      </c>
      <c r="C3624" s="40">
        <f>IF(Inputs!$C$60,Inputs!$C$11+(B3624-Inputs!$C$69)/Inputs!$C$70,"")</f>
      </c>
      <c r="D3624" s="15"/>
      <c r="E3624" s="15"/>
      <c r="F3624" s="11">
        <f t="shared" si="29"/>
      </c>
      <c r="G3624" s="22" cm="1">
        <f t="array" ref="G3624">IF(AND(Inputs!$C$60,Inputs!$C$61),INDEX(Utility_Rates!$C$29:$F$52,HOUR(C3624)+Inputs!$C$69,MATCH(INDEX(Utility_Rates!$K$6:$K$17,MONTH(C3624))&amp;IF(WEEKDAY(C3624,Inputs!$C$76)&lt;=Inputs!$C$74," weekday"," weekend"),Utility_Rates!$C$28:$F$28,Inputs!$C$68)),"")</f>
      </c>
      <c r="H3624" s="34"/>
      <c r="I3624" s="42">
        <f>IF(AND(ISNUMBER(D3624),ISNUMBER(H3624)),D3624*H3624*Inputs!$C$69,"")</f>
      </c>
      <c r="J3624" s="42">
        <f>IF(AND(ISNUMBER(F3624),ISNUMBER(H3624),F3624&gt;=Inputs!$C$68),F3624*H3624*Inputs!$C$69,"")</f>
      </c>
    </row>
    <row r="3625" spans="2:10" ht="15" customHeight="1" x14ac:dyDescent="0.2">
      <c r="B3625" s="39">
        <f t="shared" si="28"/>
      </c>
      <c r="C3625" s="40">
        <f>IF(Inputs!$C$60,Inputs!$C$11+(B3625-Inputs!$C$69)/Inputs!$C$70,"")</f>
      </c>
      <c r="D3625" s="15"/>
      <c r="E3625" s="15"/>
      <c r="F3625" s="11">
        <f t="shared" si="29"/>
      </c>
      <c r="G3625" s="22" cm="1">
        <f t="array" ref="G3625">IF(AND(Inputs!$C$60,Inputs!$C$61),INDEX(Utility_Rates!$C$29:$F$52,HOUR(C3625)+Inputs!$C$69,MATCH(INDEX(Utility_Rates!$K$6:$K$17,MONTH(C3625))&amp;IF(WEEKDAY(C3625,Inputs!$C$76)&lt;=Inputs!$C$74," weekday"," weekend"),Utility_Rates!$C$28:$F$28,Inputs!$C$68)),"")</f>
      </c>
      <c r="H3625" s="34"/>
      <c r="I3625" s="42">
        <f>IF(AND(ISNUMBER(D3625),ISNUMBER(H3625)),D3625*H3625*Inputs!$C$69,"")</f>
      </c>
      <c r="J3625" s="42">
        <f>IF(AND(ISNUMBER(F3625),ISNUMBER(H3625),F3625&gt;=Inputs!$C$68),F3625*H3625*Inputs!$C$69,"")</f>
      </c>
    </row>
    <row r="3626" spans="2:10" ht="15" customHeight="1" x14ac:dyDescent="0.2">
      <c r="B3626" s="39">
        <f t="shared" si="28"/>
      </c>
      <c r="C3626" s="40">
        <f>IF(Inputs!$C$60,Inputs!$C$11+(B3626-Inputs!$C$69)/Inputs!$C$70,"")</f>
      </c>
      <c r="D3626" s="15"/>
      <c r="E3626" s="15"/>
      <c r="F3626" s="11">
        <f t="shared" si="29"/>
      </c>
      <c r="G3626" s="22" cm="1">
        <f t="array" ref="G3626">IF(AND(Inputs!$C$60,Inputs!$C$61),INDEX(Utility_Rates!$C$29:$F$52,HOUR(C3626)+Inputs!$C$69,MATCH(INDEX(Utility_Rates!$K$6:$K$17,MONTH(C3626))&amp;IF(WEEKDAY(C3626,Inputs!$C$76)&lt;=Inputs!$C$74," weekday"," weekend"),Utility_Rates!$C$28:$F$28,Inputs!$C$68)),"")</f>
      </c>
      <c r="H3626" s="34"/>
      <c r="I3626" s="42">
        <f>IF(AND(ISNUMBER(D3626),ISNUMBER(H3626)),D3626*H3626*Inputs!$C$69,"")</f>
      </c>
      <c r="J3626" s="42">
        <f>IF(AND(ISNUMBER(F3626),ISNUMBER(H3626),F3626&gt;=Inputs!$C$68),F3626*H3626*Inputs!$C$69,"")</f>
      </c>
    </row>
    <row r="3627" spans="2:10" ht="15" customHeight="1" x14ac:dyDescent="0.2">
      <c r="B3627" s="39">
        <f t="shared" si="28"/>
      </c>
      <c r="C3627" s="40">
        <f>IF(Inputs!$C$60,Inputs!$C$11+(B3627-Inputs!$C$69)/Inputs!$C$70,"")</f>
      </c>
      <c r="D3627" s="15"/>
      <c r="E3627" s="15"/>
      <c r="F3627" s="11">
        <f t="shared" si="29"/>
      </c>
      <c r="G3627" s="22" cm="1">
        <f t="array" ref="G3627">IF(AND(Inputs!$C$60,Inputs!$C$61),INDEX(Utility_Rates!$C$29:$F$52,HOUR(C3627)+Inputs!$C$69,MATCH(INDEX(Utility_Rates!$K$6:$K$17,MONTH(C3627))&amp;IF(WEEKDAY(C3627,Inputs!$C$76)&lt;=Inputs!$C$74," weekday"," weekend"),Utility_Rates!$C$28:$F$28,Inputs!$C$68)),"")</f>
      </c>
      <c r="H3627" s="34"/>
      <c r="I3627" s="42">
        <f>IF(AND(ISNUMBER(D3627),ISNUMBER(H3627)),D3627*H3627*Inputs!$C$69,"")</f>
      </c>
      <c r="J3627" s="42">
        <f>IF(AND(ISNUMBER(F3627),ISNUMBER(H3627),F3627&gt;=Inputs!$C$68),F3627*H3627*Inputs!$C$69,"")</f>
      </c>
    </row>
    <row r="3628" spans="2:10" ht="15" customHeight="1" x14ac:dyDescent="0.2">
      <c r="B3628" s="39">
        <f t="shared" si="28"/>
      </c>
      <c r="C3628" s="40">
        <f>IF(Inputs!$C$60,Inputs!$C$11+(B3628-Inputs!$C$69)/Inputs!$C$70,"")</f>
      </c>
      <c r="D3628" s="15"/>
      <c r="E3628" s="15"/>
      <c r="F3628" s="11">
        <f t="shared" si="29"/>
      </c>
      <c r="G3628" s="22" cm="1">
        <f t="array" ref="G3628">IF(AND(Inputs!$C$60,Inputs!$C$61),INDEX(Utility_Rates!$C$29:$F$52,HOUR(C3628)+Inputs!$C$69,MATCH(INDEX(Utility_Rates!$K$6:$K$17,MONTH(C3628))&amp;IF(WEEKDAY(C3628,Inputs!$C$76)&lt;=Inputs!$C$74," weekday"," weekend"),Utility_Rates!$C$28:$F$28,Inputs!$C$68)),"")</f>
      </c>
      <c r="H3628" s="34"/>
      <c r="I3628" s="42">
        <f>IF(AND(ISNUMBER(D3628),ISNUMBER(H3628)),D3628*H3628*Inputs!$C$69,"")</f>
      </c>
      <c r="J3628" s="42">
        <f>IF(AND(ISNUMBER(F3628),ISNUMBER(H3628),F3628&gt;=Inputs!$C$68),F3628*H3628*Inputs!$C$69,"")</f>
      </c>
    </row>
    <row r="3629" spans="2:10" ht="15" customHeight="1" x14ac:dyDescent="0.2">
      <c r="B3629" s="39">
        <f t="shared" si="28"/>
      </c>
      <c r="C3629" s="40">
        <f>IF(Inputs!$C$60,Inputs!$C$11+(B3629-Inputs!$C$69)/Inputs!$C$70,"")</f>
      </c>
      <c r="D3629" s="15"/>
      <c r="E3629" s="15"/>
      <c r="F3629" s="11">
        <f t="shared" si="29"/>
      </c>
      <c r="G3629" s="22" cm="1">
        <f t="array" ref="G3629">IF(AND(Inputs!$C$60,Inputs!$C$61),INDEX(Utility_Rates!$C$29:$F$52,HOUR(C3629)+Inputs!$C$69,MATCH(INDEX(Utility_Rates!$K$6:$K$17,MONTH(C3629))&amp;IF(WEEKDAY(C3629,Inputs!$C$76)&lt;=Inputs!$C$74," weekday"," weekend"),Utility_Rates!$C$28:$F$28,Inputs!$C$68)),"")</f>
      </c>
      <c r="H3629" s="34"/>
      <c r="I3629" s="42">
        <f>IF(AND(ISNUMBER(D3629),ISNUMBER(H3629)),D3629*H3629*Inputs!$C$69,"")</f>
      </c>
      <c r="J3629" s="42">
        <f>IF(AND(ISNUMBER(F3629),ISNUMBER(H3629),F3629&gt;=Inputs!$C$68),F3629*H3629*Inputs!$C$69,"")</f>
      </c>
    </row>
    <row r="3630" spans="2:10" ht="15" customHeight="1" x14ac:dyDescent="0.2">
      <c r="B3630" s="39">
        <f t="shared" si="28"/>
      </c>
      <c r="C3630" s="40">
        <f>IF(Inputs!$C$60,Inputs!$C$11+(B3630-Inputs!$C$69)/Inputs!$C$70,"")</f>
      </c>
      <c r="D3630" s="15"/>
      <c r="E3630" s="15"/>
      <c r="F3630" s="11">
        <f t="shared" si="29"/>
      </c>
      <c r="G3630" s="22" cm="1">
        <f t="array" ref="G3630">IF(AND(Inputs!$C$60,Inputs!$C$61),INDEX(Utility_Rates!$C$29:$F$52,HOUR(C3630)+Inputs!$C$69,MATCH(INDEX(Utility_Rates!$K$6:$K$17,MONTH(C3630))&amp;IF(WEEKDAY(C3630,Inputs!$C$76)&lt;=Inputs!$C$74," weekday"," weekend"),Utility_Rates!$C$28:$F$28,Inputs!$C$68)),"")</f>
      </c>
      <c r="H3630" s="34"/>
      <c r="I3630" s="42">
        <f>IF(AND(ISNUMBER(D3630),ISNUMBER(H3630)),D3630*H3630*Inputs!$C$69,"")</f>
      </c>
      <c r="J3630" s="42">
        <f>IF(AND(ISNUMBER(F3630),ISNUMBER(H3630),F3630&gt;=Inputs!$C$68),F3630*H3630*Inputs!$C$69,"")</f>
      </c>
    </row>
    <row r="3631" spans="2:10" ht="15" customHeight="1" x14ac:dyDescent="0.2">
      <c r="B3631" s="39">
        <f t="shared" si="28"/>
      </c>
      <c r="C3631" s="40">
        <f>IF(Inputs!$C$60,Inputs!$C$11+(B3631-Inputs!$C$69)/Inputs!$C$70,"")</f>
      </c>
      <c r="D3631" s="15"/>
      <c r="E3631" s="15"/>
      <c r="F3631" s="11">
        <f t="shared" si="29"/>
      </c>
      <c r="G3631" s="22" cm="1">
        <f t="array" ref="G3631">IF(AND(Inputs!$C$60,Inputs!$C$61),INDEX(Utility_Rates!$C$29:$F$52,HOUR(C3631)+Inputs!$C$69,MATCH(INDEX(Utility_Rates!$K$6:$K$17,MONTH(C3631))&amp;IF(WEEKDAY(C3631,Inputs!$C$76)&lt;=Inputs!$C$74," weekday"," weekend"),Utility_Rates!$C$28:$F$28,Inputs!$C$68)),"")</f>
      </c>
      <c r="H3631" s="34"/>
      <c r="I3631" s="42">
        <f>IF(AND(ISNUMBER(D3631),ISNUMBER(H3631)),D3631*H3631*Inputs!$C$69,"")</f>
      </c>
      <c r="J3631" s="42">
        <f>IF(AND(ISNUMBER(F3631),ISNUMBER(H3631),F3631&gt;=Inputs!$C$68),F3631*H3631*Inputs!$C$69,"")</f>
      </c>
    </row>
    <row r="3632" spans="2:10" ht="15" customHeight="1" x14ac:dyDescent="0.2">
      <c r="B3632" s="39">
        <f t="shared" si="28"/>
      </c>
      <c r="C3632" s="40">
        <f>IF(Inputs!$C$60,Inputs!$C$11+(B3632-Inputs!$C$69)/Inputs!$C$70,"")</f>
      </c>
      <c r="D3632" s="15"/>
      <c r="E3632" s="15"/>
      <c r="F3632" s="11">
        <f t="shared" si="29"/>
      </c>
      <c r="G3632" s="22" cm="1">
        <f t="array" ref="G3632">IF(AND(Inputs!$C$60,Inputs!$C$61),INDEX(Utility_Rates!$C$29:$F$52,HOUR(C3632)+Inputs!$C$69,MATCH(INDEX(Utility_Rates!$K$6:$K$17,MONTH(C3632))&amp;IF(WEEKDAY(C3632,Inputs!$C$76)&lt;=Inputs!$C$74," weekday"," weekend"),Utility_Rates!$C$28:$F$28,Inputs!$C$68)),"")</f>
      </c>
      <c r="H3632" s="34"/>
      <c r="I3632" s="42">
        <f>IF(AND(ISNUMBER(D3632),ISNUMBER(H3632)),D3632*H3632*Inputs!$C$69,"")</f>
      </c>
      <c r="J3632" s="42">
        <f>IF(AND(ISNUMBER(F3632),ISNUMBER(H3632),F3632&gt;=Inputs!$C$68),F3632*H3632*Inputs!$C$69,"")</f>
      </c>
    </row>
    <row r="3633" spans="2:10" ht="15" customHeight="1" x14ac:dyDescent="0.2">
      <c r="B3633" s="39">
        <f t="shared" si="28"/>
      </c>
      <c r="C3633" s="40">
        <f>IF(Inputs!$C$60,Inputs!$C$11+(B3633-Inputs!$C$69)/Inputs!$C$70,"")</f>
      </c>
      <c r="D3633" s="15"/>
      <c r="E3633" s="15"/>
      <c r="F3633" s="11">
        <f t="shared" si="29"/>
      </c>
      <c r="G3633" s="22" cm="1">
        <f t="array" ref="G3633">IF(AND(Inputs!$C$60,Inputs!$C$61),INDEX(Utility_Rates!$C$29:$F$52,HOUR(C3633)+Inputs!$C$69,MATCH(INDEX(Utility_Rates!$K$6:$K$17,MONTH(C3633))&amp;IF(WEEKDAY(C3633,Inputs!$C$76)&lt;=Inputs!$C$74," weekday"," weekend"),Utility_Rates!$C$28:$F$28,Inputs!$C$68)),"")</f>
      </c>
      <c r="H3633" s="34"/>
      <c r="I3633" s="42">
        <f>IF(AND(ISNUMBER(D3633),ISNUMBER(H3633)),D3633*H3633*Inputs!$C$69,"")</f>
      </c>
      <c r="J3633" s="42">
        <f>IF(AND(ISNUMBER(F3633),ISNUMBER(H3633),F3633&gt;=Inputs!$C$68),F3633*H3633*Inputs!$C$69,"")</f>
      </c>
    </row>
    <row r="3634" spans="2:10" ht="15" customHeight="1" x14ac:dyDescent="0.2">
      <c r="B3634" s="39">
        <f t="shared" si="28"/>
      </c>
      <c r="C3634" s="40">
        <f>IF(Inputs!$C$60,Inputs!$C$11+(B3634-Inputs!$C$69)/Inputs!$C$70,"")</f>
      </c>
      <c r="D3634" s="15"/>
      <c r="E3634" s="15"/>
      <c r="F3634" s="11">
        <f t="shared" si="29"/>
      </c>
      <c r="G3634" s="22" cm="1">
        <f t="array" ref="G3634">IF(AND(Inputs!$C$60,Inputs!$C$61),INDEX(Utility_Rates!$C$29:$F$52,HOUR(C3634)+Inputs!$C$69,MATCH(INDEX(Utility_Rates!$K$6:$K$17,MONTH(C3634))&amp;IF(WEEKDAY(C3634,Inputs!$C$76)&lt;=Inputs!$C$74," weekday"," weekend"),Utility_Rates!$C$28:$F$28,Inputs!$C$68)),"")</f>
      </c>
      <c r="H3634" s="34"/>
      <c r="I3634" s="42">
        <f>IF(AND(ISNUMBER(D3634),ISNUMBER(H3634)),D3634*H3634*Inputs!$C$69,"")</f>
      </c>
      <c r="J3634" s="42">
        <f>IF(AND(ISNUMBER(F3634),ISNUMBER(H3634),F3634&gt;=Inputs!$C$68),F3634*H3634*Inputs!$C$69,"")</f>
      </c>
    </row>
    <row r="3635" spans="2:10" ht="15" customHeight="1" x14ac:dyDescent="0.2">
      <c r="B3635" s="39">
        <f t="shared" si="28"/>
      </c>
      <c r="C3635" s="40">
        <f>IF(Inputs!$C$60,Inputs!$C$11+(B3635-Inputs!$C$69)/Inputs!$C$70,"")</f>
      </c>
      <c r="D3635" s="15"/>
      <c r="E3635" s="15"/>
      <c r="F3635" s="11">
        <f t="shared" si="29"/>
      </c>
      <c r="G3635" s="22" cm="1">
        <f t="array" ref="G3635">IF(AND(Inputs!$C$60,Inputs!$C$61),INDEX(Utility_Rates!$C$29:$F$52,HOUR(C3635)+Inputs!$C$69,MATCH(INDEX(Utility_Rates!$K$6:$K$17,MONTH(C3635))&amp;IF(WEEKDAY(C3635,Inputs!$C$76)&lt;=Inputs!$C$74," weekday"," weekend"),Utility_Rates!$C$28:$F$28,Inputs!$C$68)),"")</f>
      </c>
      <c r="H3635" s="34"/>
      <c r="I3635" s="42">
        <f>IF(AND(ISNUMBER(D3635),ISNUMBER(H3635)),D3635*H3635*Inputs!$C$69,"")</f>
      </c>
      <c r="J3635" s="42">
        <f>IF(AND(ISNUMBER(F3635),ISNUMBER(H3635),F3635&gt;=Inputs!$C$68),F3635*H3635*Inputs!$C$69,"")</f>
      </c>
    </row>
    <row r="3636" spans="2:10" ht="15" customHeight="1" x14ac:dyDescent="0.2">
      <c r="B3636" s="39">
        <f t="shared" si="28"/>
      </c>
      <c r="C3636" s="40">
        <f>IF(Inputs!$C$60,Inputs!$C$11+(B3636-Inputs!$C$69)/Inputs!$C$70,"")</f>
      </c>
      <c r="D3636" s="15"/>
      <c r="E3636" s="15"/>
      <c r="F3636" s="11">
        <f t="shared" si="29"/>
      </c>
      <c r="G3636" s="22" cm="1">
        <f t="array" ref="G3636">IF(AND(Inputs!$C$60,Inputs!$C$61),INDEX(Utility_Rates!$C$29:$F$52,HOUR(C3636)+Inputs!$C$69,MATCH(INDEX(Utility_Rates!$K$6:$K$17,MONTH(C3636))&amp;IF(WEEKDAY(C3636,Inputs!$C$76)&lt;=Inputs!$C$74," weekday"," weekend"),Utility_Rates!$C$28:$F$28,Inputs!$C$68)),"")</f>
      </c>
      <c r="H3636" s="34"/>
      <c r="I3636" s="42">
        <f>IF(AND(ISNUMBER(D3636),ISNUMBER(H3636)),D3636*H3636*Inputs!$C$69,"")</f>
      </c>
      <c r="J3636" s="42">
        <f>IF(AND(ISNUMBER(F3636),ISNUMBER(H3636),F3636&gt;=Inputs!$C$68),F3636*H3636*Inputs!$C$69,"")</f>
      </c>
    </row>
    <row r="3637" spans="2:10" ht="15" customHeight="1" x14ac:dyDescent="0.2">
      <c r="B3637" s="39">
        <f t="shared" si="28"/>
      </c>
      <c r="C3637" s="40">
        <f>IF(Inputs!$C$60,Inputs!$C$11+(B3637-Inputs!$C$69)/Inputs!$C$70,"")</f>
      </c>
      <c r="D3637" s="15"/>
      <c r="E3637" s="15"/>
      <c r="F3637" s="11">
        <f t="shared" si="29"/>
      </c>
      <c r="G3637" s="22" cm="1">
        <f t="array" ref="G3637">IF(AND(Inputs!$C$60,Inputs!$C$61),INDEX(Utility_Rates!$C$29:$F$52,HOUR(C3637)+Inputs!$C$69,MATCH(INDEX(Utility_Rates!$K$6:$K$17,MONTH(C3637))&amp;IF(WEEKDAY(C3637,Inputs!$C$76)&lt;=Inputs!$C$74," weekday"," weekend"),Utility_Rates!$C$28:$F$28,Inputs!$C$68)),"")</f>
      </c>
      <c r="H3637" s="34"/>
      <c r="I3637" s="42">
        <f>IF(AND(ISNUMBER(D3637),ISNUMBER(H3637)),D3637*H3637*Inputs!$C$69,"")</f>
      </c>
      <c r="J3637" s="42">
        <f>IF(AND(ISNUMBER(F3637),ISNUMBER(H3637),F3637&gt;=Inputs!$C$68),F3637*H3637*Inputs!$C$69,"")</f>
      </c>
    </row>
    <row r="3638" spans="2:10" ht="15" customHeight="1" x14ac:dyDescent="0.2">
      <c r="B3638" s="39">
        <f t="shared" si="28"/>
      </c>
      <c r="C3638" s="40">
        <f>IF(Inputs!$C$60,Inputs!$C$11+(B3638-Inputs!$C$69)/Inputs!$C$70,"")</f>
      </c>
      <c r="D3638" s="15"/>
      <c r="E3638" s="15"/>
      <c r="F3638" s="11">
        <f t="shared" si="29"/>
      </c>
      <c r="G3638" s="22" cm="1">
        <f t="array" ref="G3638">IF(AND(Inputs!$C$60,Inputs!$C$61),INDEX(Utility_Rates!$C$29:$F$52,HOUR(C3638)+Inputs!$C$69,MATCH(INDEX(Utility_Rates!$K$6:$K$17,MONTH(C3638))&amp;IF(WEEKDAY(C3638,Inputs!$C$76)&lt;=Inputs!$C$74," weekday"," weekend"),Utility_Rates!$C$28:$F$28,Inputs!$C$68)),"")</f>
      </c>
      <c r="H3638" s="34"/>
      <c r="I3638" s="42">
        <f>IF(AND(ISNUMBER(D3638),ISNUMBER(H3638)),D3638*H3638*Inputs!$C$69,"")</f>
      </c>
      <c r="J3638" s="42">
        <f>IF(AND(ISNUMBER(F3638),ISNUMBER(H3638),F3638&gt;=Inputs!$C$68),F3638*H3638*Inputs!$C$69,"")</f>
      </c>
    </row>
    <row r="3639" spans="2:10" ht="15" customHeight="1" x14ac:dyDescent="0.2">
      <c r="B3639" s="39">
        <f t="shared" si="28"/>
      </c>
      <c r="C3639" s="40">
        <f>IF(Inputs!$C$60,Inputs!$C$11+(B3639-Inputs!$C$69)/Inputs!$C$70,"")</f>
      </c>
      <c r="D3639" s="15"/>
      <c r="E3639" s="15"/>
      <c r="F3639" s="11">
        <f t="shared" si="29"/>
      </c>
      <c r="G3639" s="22" cm="1">
        <f t="array" ref="G3639">IF(AND(Inputs!$C$60,Inputs!$C$61),INDEX(Utility_Rates!$C$29:$F$52,HOUR(C3639)+Inputs!$C$69,MATCH(INDEX(Utility_Rates!$K$6:$K$17,MONTH(C3639))&amp;IF(WEEKDAY(C3639,Inputs!$C$76)&lt;=Inputs!$C$74," weekday"," weekend"),Utility_Rates!$C$28:$F$28,Inputs!$C$68)),"")</f>
      </c>
      <c r="H3639" s="34"/>
      <c r="I3639" s="42">
        <f>IF(AND(ISNUMBER(D3639),ISNUMBER(H3639)),D3639*H3639*Inputs!$C$69,"")</f>
      </c>
      <c r="J3639" s="42">
        <f>IF(AND(ISNUMBER(F3639),ISNUMBER(H3639),F3639&gt;=Inputs!$C$68),F3639*H3639*Inputs!$C$69,"")</f>
      </c>
    </row>
    <row r="3640" spans="2:10" ht="15" customHeight="1" x14ac:dyDescent="0.2">
      <c r="B3640" s="39">
        <f t="shared" si="28"/>
      </c>
      <c r="C3640" s="40">
        <f>IF(Inputs!$C$60,Inputs!$C$11+(B3640-Inputs!$C$69)/Inputs!$C$70,"")</f>
      </c>
      <c r="D3640" s="15"/>
      <c r="E3640" s="15"/>
      <c r="F3640" s="11">
        <f t="shared" si="29"/>
      </c>
      <c r="G3640" s="22" cm="1">
        <f t="array" ref="G3640">IF(AND(Inputs!$C$60,Inputs!$C$61),INDEX(Utility_Rates!$C$29:$F$52,HOUR(C3640)+Inputs!$C$69,MATCH(INDEX(Utility_Rates!$K$6:$K$17,MONTH(C3640))&amp;IF(WEEKDAY(C3640,Inputs!$C$76)&lt;=Inputs!$C$74," weekday"," weekend"),Utility_Rates!$C$28:$F$28,Inputs!$C$68)),"")</f>
      </c>
      <c r="H3640" s="34"/>
      <c r="I3640" s="42">
        <f>IF(AND(ISNUMBER(D3640),ISNUMBER(H3640)),D3640*H3640*Inputs!$C$69,"")</f>
      </c>
      <c r="J3640" s="42">
        <f>IF(AND(ISNUMBER(F3640),ISNUMBER(H3640),F3640&gt;=Inputs!$C$68),F3640*H3640*Inputs!$C$69,"")</f>
      </c>
    </row>
    <row r="3641" spans="2:10" ht="15" customHeight="1" x14ac:dyDescent="0.2">
      <c r="B3641" s="39">
        <f t="shared" si="28"/>
      </c>
      <c r="C3641" s="40">
        <f>IF(Inputs!$C$60,Inputs!$C$11+(B3641-Inputs!$C$69)/Inputs!$C$70,"")</f>
      </c>
      <c r="D3641" s="15"/>
      <c r="E3641" s="15"/>
      <c r="F3641" s="11">
        <f t="shared" si="29"/>
      </c>
      <c r="G3641" s="22" cm="1">
        <f t="array" ref="G3641">IF(AND(Inputs!$C$60,Inputs!$C$61),INDEX(Utility_Rates!$C$29:$F$52,HOUR(C3641)+Inputs!$C$69,MATCH(INDEX(Utility_Rates!$K$6:$K$17,MONTH(C3641))&amp;IF(WEEKDAY(C3641,Inputs!$C$76)&lt;=Inputs!$C$74," weekday"," weekend"),Utility_Rates!$C$28:$F$28,Inputs!$C$68)),"")</f>
      </c>
      <c r="H3641" s="34"/>
      <c r="I3641" s="42">
        <f>IF(AND(ISNUMBER(D3641),ISNUMBER(H3641)),D3641*H3641*Inputs!$C$69,"")</f>
      </c>
      <c r="J3641" s="42">
        <f>IF(AND(ISNUMBER(F3641),ISNUMBER(H3641),F3641&gt;=Inputs!$C$68),F3641*H3641*Inputs!$C$69,"")</f>
      </c>
    </row>
    <row r="3642" spans="2:10" ht="15" customHeight="1" x14ac:dyDescent="0.2">
      <c r="B3642" s="39">
        <f t="shared" si="28"/>
      </c>
      <c r="C3642" s="40">
        <f>IF(Inputs!$C$60,Inputs!$C$11+(B3642-Inputs!$C$69)/Inputs!$C$70,"")</f>
      </c>
      <c r="D3642" s="15"/>
      <c r="E3642" s="15"/>
      <c r="F3642" s="11">
        <f t="shared" si="29"/>
      </c>
      <c r="G3642" s="22" cm="1">
        <f t="array" ref="G3642">IF(AND(Inputs!$C$60,Inputs!$C$61),INDEX(Utility_Rates!$C$29:$F$52,HOUR(C3642)+Inputs!$C$69,MATCH(INDEX(Utility_Rates!$K$6:$K$17,MONTH(C3642))&amp;IF(WEEKDAY(C3642,Inputs!$C$76)&lt;=Inputs!$C$74," weekday"," weekend"),Utility_Rates!$C$28:$F$28,Inputs!$C$68)),"")</f>
      </c>
      <c r="H3642" s="34"/>
      <c r="I3642" s="42">
        <f>IF(AND(ISNUMBER(D3642),ISNUMBER(H3642)),D3642*H3642*Inputs!$C$69,"")</f>
      </c>
      <c r="J3642" s="42">
        <f>IF(AND(ISNUMBER(F3642),ISNUMBER(H3642),F3642&gt;=Inputs!$C$68),F3642*H3642*Inputs!$C$69,"")</f>
      </c>
    </row>
    <row r="3643" spans="2:10" ht="15" customHeight="1" x14ac:dyDescent="0.2">
      <c r="B3643" s="39">
        <f t="shared" si="28"/>
      </c>
      <c r="C3643" s="40">
        <f>IF(Inputs!$C$60,Inputs!$C$11+(B3643-Inputs!$C$69)/Inputs!$C$70,"")</f>
      </c>
      <c r="D3643" s="15"/>
      <c r="E3643" s="15"/>
      <c r="F3643" s="11">
        <f t="shared" si="29"/>
      </c>
      <c r="G3643" s="22" cm="1">
        <f t="array" ref="G3643">IF(AND(Inputs!$C$60,Inputs!$C$61),INDEX(Utility_Rates!$C$29:$F$52,HOUR(C3643)+Inputs!$C$69,MATCH(INDEX(Utility_Rates!$K$6:$K$17,MONTH(C3643))&amp;IF(WEEKDAY(C3643,Inputs!$C$76)&lt;=Inputs!$C$74," weekday"," weekend"),Utility_Rates!$C$28:$F$28,Inputs!$C$68)),"")</f>
      </c>
      <c r="H3643" s="34"/>
      <c r="I3643" s="42">
        <f>IF(AND(ISNUMBER(D3643),ISNUMBER(H3643)),D3643*H3643*Inputs!$C$69,"")</f>
      </c>
      <c r="J3643" s="42">
        <f>IF(AND(ISNUMBER(F3643),ISNUMBER(H3643),F3643&gt;=Inputs!$C$68),F3643*H3643*Inputs!$C$69,"")</f>
      </c>
    </row>
    <row r="3644" spans="2:10" ht="15" customHeight="1" x14ac:dyDescent="0.2">
      <c r="B3644" s="39">
        <f t="shared" si="28"/>
      </c>
      <c r="C3644" s="40">
        <f>IF(Inputs!$C$60,Inputs!$C$11+(B3644-Inputs!$C$69)/Inputs!$C$70,"")</f>
      </c>
      <c r="D3644" s="15"/>
      <c r="E3644" s="15"/>
      <c r="F3644" s="11">
        <f t="shared" si="29"/>
      </c>
      <c r="G3644" s="22" cm="1">
        <f t="array" ref="G3644">IF(AND(Inputs!$C$60,Inputs!$C$61),INDEX(Utility_Rates!$C$29:$F$52,HOUR(C3644)+Inputs!$C$69,MATCH(INDEX(Utility_Rates!$K$6:$K$17,MONTH(C3644))&amp;IF(WEEKDAY(C3644,Inputs!$C$76)&lt;=Inputs!$C$74," weekday"," weekend"),Utility_Rates!$C$28:$F$28,Inputs!$C$68)),"")</f>
      </c>
      <c r="H3644" s="34"/>
      <c r="I3644" s="42">
        <f>IF(AND(ISNUMBER(D3644),ISNUMBER(H3644)),D3644*H3644*Inputs!$C$69,"")</f>
      </c>
      <c r="J3644" s="42">
        <f>IF(AND(ISNUMBER(F3644),ISNUMBER(H3644),F3644&gt;=Inputs!$C$68),F3644*H3644*Inputs!$C$69,"")</f>
      </c>
    </row>
    <row r="3645" spans="2:10" ht="15" customHeight="1" x14ac:dyDescent="0.2">
      <c r="B3645" s="39">
        <f t="shared" si="28"/>
      </c>
      <c r="C3645" s="40">
        <f>IF(Inputs!$C$60,Inputs!$C$11+(B3645-Inputs!$C$69)/Inputs!$C$70,"")</f>
      </c>
      <c r="D3645" s="15"/>
      <c r="E3645" s="15"/>
      <c r="F3645" s="11">
        <f t="shared" si="29"/>
      </c>
      <c r="G3645" s="22" cm="1">
        <f t="array" ref="G3645">IF(AND(Inputs!$C$60,Inputs!$C$61),INDEX(Utility_Rates!$C$29:$F$52,HOUR(C3645)+Inputs!$C$69,MATCH(INDEX(Utility_Rates!$K$6:$K$17,MONTH(C3645))&amp;IF(WEEKDAY(C3645,Inputs!$C$76)&lt;=Inputs!$C$74," weekday"," weekend"),Utility_Rates!$C$28:$F$28,Inputs!$C$68)),"")</f>
      </c>
      <c r="H3645" s="34"/>
      <c r="I3645" s="42">
        <f>IF(AND(ISNUMBER(D3645),ISNUMBER(H3645)),D3645*H3645*Inputs!$C$69,"")</f>
      </c>
      <c r="J3645" s="42">
        <f>IF(AND(ISNUMBER(F3645),ISNUMBER(H3645),F3645&gt;=Inputs!$C$68),F3645*H3645*Inputs!$C$69,"")</f>
      </c>
    </row>
    <row r="3646" spans="2:10" ht="15" customHeight="1" x14ac:dyDescent="0.2">
      <c r="B3646" s="39">
        <f t="shared" si="28"/>
      </c>
      <c r="C3646" s="40">
        <f>IF(Inputs!$C$60,Inputs!$C$11+(B3646-Inputs!$C$69)/Inputs!$C$70,"")</f>
      </c>
      <c r="D3646" s="15"/>
      <c r="E3646" s="15"/>
      <c r="F3646" s="11">
        <f t="shared" si="29"/>
      </c>
      <c r="G3646" s="22" cm="1">
        <f t="array" ref="G3646">IF(AND(Inputs!$C$60,Inputs!$C$61),INDEX(Utility_Rates!$C$29:$F$52,HOUR(C3646)+Inputs!$C$69,MATCH(INDEX(Utility_Rates!$K$6:$K$17,MONTH(C3646))&amp;IF(WEEKDAY(C3646,Inputs!$C$76)&lt;=Inputs!$C$74," weekday"," weekend"),Utility_Rates!$C$28:$F$28,Inputs!$C$68)),"")</f>
      </c>
      <c r="H3646" s="34"/>
      <c r="I3646" s="42">
        <f>IF(AND(ISNUMBER(D3646),ISNUMBER(H3646)),D3646*H3646*Inputs!$C$69,"")</f>
      </c>
      <c r="J3646" s="42">
        <f>IF(AND(ISNUMBER(F3646),ISNUMBER(H3646),F3646&gt;=Inputs!$C$68),F3646*H3646*Inputs!$C$69,"")</f>
      </c>
    </row>
    <row r="3647" spans="2:10" ht="15" customHeight="1" x14ac:dyDescent="0.2">
      <c r="B3647" s="39">
        <f t="shared" si="28"/>
      </c>
      <c r="C3647" s="40">
        <f>IF(Inputs!$C$60,Inputs!$C$11+(B3647-Inputs!$C$69)/Inputs!$C$70,"")</f>
      </c>
      <c r="D3647" s="15"/>
      <c r="E3647" s="15"/>
      <c r="F3647" s="11">
        <f t="shared" si="29"/>
      </c>
      <c r="G3647" s="22" cm="1">
        <f t="array" ref="G3647">IF(AND(Inputs!$C$60,Inputs!$C$61),INDEX(Utility_Rates!$C$29:$F$52,HOUR(C3647)+Inputs!$C$69,MATCH(INDEX(Utility_Rates!$K$6:$K$17,MONTH(C3647))&amp;IF(WEEKDAY(C3647,Inputs!$C$76)&lt;=Inputs!$C$74," weekday"," weekend"),Utility_Rates!$C$28:$F$28,Inputs!$C$68)),"")</f>
      </c>
      <c r="H3647" s="34"/>
      <c r="I3647" s="42">
        <f>IF(AND(ISNUMBER(D3647),ISNUMBER(H3647)),D3647*H3647*Inputs!$C$69,"")</f>
      </c>
      <c r="J3647" s="42">
        <f>IF(AND(ISNUMBER(F3647),ISNUMBER(H3647),F3647&gt;=Inputs!$C$68),F3647*H3647*Inputs!$C$69,"")</f>
      </c>
    </row>
    <row r="3648" spans="2:10" ht="15" customHeight="1" x14ac:dyDescent="0.2">
      <c r="B3648" s="39">
        <f t="shared" si="28"/>
      </c>
      <c r="C3648" s="40">
        <f>IF(Inputs!$C$60,Inputs!$C$11+(B3648-Inputs!$C$69)/Inputs!$C$70,"")</f>
      </c>
      <c r="D3648" s="15"/>
      <c r="E3648" s="15"/>
      <c r="F3648" s="11">
        <f t="shared" si="29"/>
      </c>
      <c r="G3648" s="22" cm="1">
        <f t="array" ref="G3648">IF(AND(Inputs!$C$60,Inputs!$C$61),INDEX(Utility_Rates!$C$29:$F$52,HOUR(C3648)+Inputs!$C$69,MATCH(INDEX(Utility_Rates!$K$6:$K$17,MONTH(C3648))&amp;IF(WEEKDAY(C3648,Inputs!$C$76)&lt;=Inputs!$C$74," weekday"," weekend"),Utility_Rates!$C$28:$F$28,Inputs!$C$68)),"")</f>
      </c>
      <c r="H3648" s="34"/>
      <c r="I3648" s="42">
        <f>IF(AND(ISNUMBER(D3648),ISNUMBER(H3648)),D3648*H3648*Inputs!$C$69,"")</f>
      </c>
      <c r="J3648" s="42">
        <f>IF(AND(ISNUMBER(F3648),ISNUMBER(H3648),F3648&gt;=Inputs!$C$68),F3648*H3648*Inputs!$C$69,"")</f>
      </c>
    </row>
    <row r="3649" spans="2:10" ht="15" customHeight="1" x14ac:dyDescent="0.2">
      <c r="B3649" s="39">
        <f t="shared" si="28"/>
      </c>
      <c r="C3649" s="40">
        <f>IF(Inputs!$C$60,Inputs!$C$11+(B3649-Inputs!$C$69)/Inputs!$C$70,"")</f>
      </c>
      <c r="D3649" s="15"/>
      <c r="E3649" s="15"/>
      <c r="F3649" s="11">
        <f t="shared" si="29"/>
      </c>
      <c r="G3649" s="22" cm="1">
        <f t="array" ref="G3649">IF(AND(Inputs!$C$60,Inputs!$C$61),INDEX(Utility_Rates!$C$29:$F$52,HOUR(C3649)+Inputs!$C$69,MATCH(INDEX(Utility_Rates!$K$6:$K$17,MONTH(C3649))&amp;IF(WEEKDAY(C3649,Inputs!$C$76)&lt;=Inputs!$C$74," weekday"," weekend"),Utility_Rates!$C$28:$F$28,Inputs!$C$68)),"")</f>
      </c>
      <c r="H3649" s="34"/>
      <c r="I3649" s="42">
        <f>IF(AND(ISNUMBER(D3649),ISNUMBER(H3649)),D3649*H3649*Inputs!$C$69,"")</f>
      </c>
      <c r="J3649" s="42">
        <f>IF(AND(ISNUMBER(F3649),ISNUMBER(H3649),F3649&gt;=Inputs!$C$68),F3649*H3649*Inputs!$C$69,"")</f>
      </c>
    </row>
    <row r="3650" spans="2:10" ht="15" customHeight="1" x14ac:dyDescent="0.2">
      <c r="B3650" s="39">
        <f t="shared" si="28"/>
      </c>
      <c r="C3650" s="40">
        <f>IF(Inputs!$C$60,Inputs!$C$11+(B3650-Inputs!$C$69)/Inputs!$C$70,"")</f>
      </c>
      <c r="D3650" s="15"/>
      <c r="E3650" s="15"/>
      <c r="F3650" s="11">
        <f t="shared" si="29"/>
      </c>
      <c r="G3650" s="22" cm="1">
        <f t="array" ref="G3650">IF(AND(Inputs!$C$60,Inputs!$C$61),INDEX(Utility_Rates!$C$29:$F$52,HOUR(C3650)+Inputs!$C$69,MATCH(INDEX(Utility_Rates!$K$6:$K$17,MONTH(C3650))&amp;IF(WEEKDAY(C3650,Inputs!$C$76)&lt;=Inputs!$C$74," weekday"," weekend"),Utility_Rates!$C$28:$F$28,Inputs!$C$68)),"")</f>
      </c>
      <c r="H3650" s="34"/>
      <c r="I3650" s="42">
        <f>IF(AND(ISNUMBER(D3650),ISNUMBER(H3650)),D3650*H3650*Inputs!$C$69,"")</f>
      </c>
      <c r="J3650" s="42">
        <f>IF(AND(ISNUMBER(F3650),ISNUMBER(H3650),F3650&gt;=Inputs!$C$68),F3650*H3650*Inputs!$C$69,"")</f>
      </c>
    </row>
    <row r="3651" spans="2:10" ht="15" customHeight="1" x14ac:dyDescent="0.2">
      <c r="B3651" s="39">
        <f t="shared" si="28"/>
      </c>
      <c r="C3651" s="40">
        <f>IF(Inputs!$C$60,Inputs!$C$11+(B3651-Inputs!$C$69)/Inputs!$C$70,"")</f>
      </c>
      <c r="D3651" s="15"/>
      <c r="E3651" s="15"/>
      <c r="F3651" s="11">
        <f t="shared" si="29"/>
      </c>
      <c r="G3651" s="22" cm="1">
        <f t="array" ref="G3651">IF(AND(Inputs!$C$60,Inputs!$C$61),INDEX(Utility_Rates!$C$29:$F$52,HOUR(C3651)+Inputs!$C$69,MATCH(INDEX(Utility_Rates!$K$6:$K$17,MONTH(C3651))&amp;IF(WEEKDAY(C3651,Inputs!$C$76)&lt;=Inputs!$C$74," weekday"," weekend"),Utility_Rates!$C$28:$F$28,Inputs!$C$68)),"")</f>
      </c>
      <c r="H3651" s="34"/>
      <c r="I3651" s="42">
        <f>IF(AND(ISNUMBER(D3651),ISNUMBER(H3651)),D3651*H3651*Inputs!$C$69,"")</f>
      </c>
      <c r="J3651" s="42">
        <f>IF(AND(ISNUMBER(F3651),ISNUMBER(H3651),F3651&gt;=Inputs!$C$68),F3651*H3651*Inputs!$C$69,"")</f>
      </c>
    </row>
    <row r="3652" spans="2:10" ht="15" customHeight="1" x14ac:dyDescent="0.2">
      <c r="B3652" s="39">
        <f t="shared" si="28"/>
      </c>
      <c r="C3652" s="40">
        <f>IF(Inputs!$C$60,Inputs!$C$11+(B3652-Inputs!$C$69)/Inputs!$C$70,"")</f>
      </c>
      <c r="D3652" s="15"/>
      <c r="E3652" s="15"/>
      <c r="F3652" s="11">
        <f t="shared" si="29"/>
      </c>
      <c r="G3652" s="22" cm="1">
        <f t="array" ref="G3652">IF(AND(Inputs!$C$60,Inputs!$C$61),INDEX(Utility_Rates!$C$29:$F$52,HOUR(C3652)+Inputs!$C$69,MATCH(INDEX(Utility_Rates!$K$6:$K$17,MONTH(C3652))&amp;IF(WEEKDAY(C3652,Inputs!$C$76)&lt;=Inputs!$C$74," weekday"," weekend"),Utility_Rates!$C$28:$F$28,Inputs!$C$68)),"")</f>
      </c>
      <c r="H3652" s="34"/>
      <c r="I3652" s="42">
        <f>IF(AND(ISNUMBER(D3652),ISNUMBER(H3652)),D3652*H3652*Inputs!$C$69,"")</f>
      </c>
      <c r="J3652" s="42">
        <f>IF(AND(ISNUMBER(F3652),ISNUMBER(H3652),F3652&gt;=Inputs!$C$68),F3652*H3652*Inputs!$C$69,"")</f>
      </c>
    </row>
    <row r="3653" spans="2:10" ht="15" customHeight="1" x14ac:dyDescent="0.2">
      <c r="B3653" s="39">
        <f t="shared" si="28"/>
      </c>
      <c r="C3653" s="40">
        <f>IF(Inputs!$C$60,Inputs!$C$11+(B3653-Inputs!$C$69)/Inputs!$C$70,"")</f>
      </c>
      <c r="D3653" s="15"/>
      <c r="E3653" s="15"/>
      <c r="F3653" s="11">
        <f t="shared" si="29"/>
      </c>
      <c r="G3653" s="22" cm="1">
        <f t="array" ref="G3653">IF(AND(Inputs!$C$60,Inputs!$C$61),INDEX(Utility_Rates!$C$29:$F$52,HOUR(C3653)+Inputs!$C$69,MATCH(INDEX(Utility_Rates!$K$6:$K$17,MONTH(C3653))&amp;IF(WEEKDAY(C3653,Inputs!$C$76)&lt;=Inputs!$C$74," weekday"," weekend"),Utility_Rates!$C$28:$F$28,Inputs!$C$68)),"")</f>
      </c>
      <c r="H3653" s="34"/>
      <c r="I3653" s="42">
        <f>IF(AND(ISNUMBER(D3653),ISNUMBER(H3653)),D3653*H3653*Inputs!$C$69,"")</f>
      </c>
      <c r="J3653" s="42">
        <f>IF(AND(ISNUMBER(F3653),ISNUMBER(H3653),F3653&gt;=Inputs!$C$68),F3653*H3653*Inputs!$C$69,"")</f>
      </c>
    </row>
    <row r="3654" spans="2:10" ht="15" customHeight="1" x14ac:dyDescent="0.2">
      <c r="B3654" s="39">
        <f t="shared" si="28"/>
      </c>
      <c r="C3654" s="40">
        <f>IF(Inputs!$C$60,Inputs!$C$11+(B3654-Inputs!$C$69)/Inputs!$C$70,"")</f>
      </c>
      <c r="D3654" s="15"/>
      <c r="E3654" s="15"/>
      <c r="F3654" s="11">
        <f t="shared" si="29"/>
      </c>
      <c r="G3654" s="22" cm="1">
        <f t="array" ref="G3654">IF(AND(Inputs!$C$60,Inputs!$C$61),INDEX(Utility_Rates!$C$29:$F$52,HOUR(C3654)+Inputs!$C$69,MATCH(INDEX(Utility_Rates!$K$6:$K$17,MONTH(C3654))&amp;IF(WEEKDAY(C3654,Inputs!$C$76)&lt;=Inputs!$C$74," weekday"," weekend"),Utility_Rates!$C$28:$F$28,Inputs!$C$68)),"")</f>
      </c>
      <c r="H3654" s="34"/>
      <c r="I3654" s="42">
        <f>IF(AND(ISNUMBER(D3654),ISNUMBER(H3654)),D3654*H3654*Inputs!$C$69,"")</f>
      </c>
      <c r="J3654" s="42">
        <f>IF(AND(ISNUMBER(F3654),ISNUMBER(H3654),F3654&gt;=Inputs!$C$68),F3654*H3654*Inputs!$C$69,"")</f>
      </c>
    </row>
    <row r="3655" spans="2:10" ht="15" customHeight="1" x14ac:dyDescent="0.2">
      <c r="B3655" s="39">
        <f t="shared" si="28"/>
      </c>
      <c r="C3655" s="40">
        <f>IF(Inputs!$C$60,Inputs!$C$11+(B3655-Inputs!$C$69)/Inputs!$C$70,"")</f>
      </c>
      <c r="D3655" s="15"/>
      <c r="E3655" s="15"/>
      <c r="F3655" s="11">
        <f t="shared" si="29"/>
      </c>
      <c r="G3655" s="22" cm="1">
        <f t="array" ref="G3655">IF(AND(Inputs!$C$60,Inputs!$C$61),INDEX(Utility_Rates!$C$29:$F$52,HOUR(C3655)+Inputs!$C$69,MATCH(INDEX(Utility_Rates!$K$6:$K$17,MONTH(C3655))&amp;IF(WEEKDAY(C3655,Inputs!$C$76)&lt;=Inputs!$C$74," weekday"," weekend"),Utility_Rates!$C$28:$F$28,Inputs!$C$68)),"")</f>
      </c>
      <c r="H3655" s="34"/>
      <c r="I3655" s="42">
        <f>IF(AND(ISNUMBER(D3655),ISNUMBER(H3655)),D3655*H3655*Inputs!$C$69,"")</f>
      </c>
      <c r="J3655" s="42">
        <f>IF(AND(ISNUMBER(F3655),ISNUMBER(H3655),F3655&gt;=Inputs!$C$68),F3655*H3655*Inputs!$C$69,"")</f>
      </c>
    </row>
    <row r="3656" spans="2:10" ht="15" customHeight="1" x14ac:dyDescent="0.2">
      <c r="B3656" s="39">
        <f t="shared" si="28"/>
      </c>
      <c r="C3656" s="40">
        <f>IF(Inputs!$C$60,Inputs!$C$11+(B3656-Inputs!$C$69)/Inputs!$C$70,"")</f>
      </c>
      <c r="D3656" s="15"/>
      <c r="E3656" s="15"/>
      <c r="F3656" s="11">
        <f t="shared" si="29"/>
      </c>
      <c r="G3656" s="22" cm="1">
        <f t="array" ref="G3656">IF(AND(Inputs!$C$60,Inputs!$C$61),INDEX(Utility_Rates!$C$29:$F$52,HOUR(C3656)+Inputs!$C$69,MATCH(INDEX(Utility_Rates!$K$6:$K$17,MONTH(C3656))&amp;IF(WEEKDAY(C3656,Inputs!$C$76)&lt;=Inputs!$C$74," weekday"," weekend"),Utility_Rates!$C$28:$F$28,Inputs!$C$68)),"")</f>
      </c>
      <c r="H3656" s="34"/>
      <c r="I3656" s="42">
        <f>IF(AND(ISNUMBER(D3656),ISNUMBER(H3656)),D3656*H3656*Inputs!$C$69,"")</f>
      </c>
      <c r="J3656" s="42">
        <f>IF(AND(ISNUMBER(F3656),ISNUMBER(H3656),F3656&gt;=Inputs!$C$68),F3656*H3656*Inputs!$C$69,"")</f>
      </c>
    </row>
    <row r="3657" spans="2:10" ht="15" customHeight="1" x14ac:dyDescent="0.2">
      <c r="B3657" s="39">
        <f t="shared" si="28"/>
      </c>
      <c r="C3657" s="40">
        <f>IF(Inputs!$C$60,Inputs!$C$11+(B3657-Inputs!$C$69)/Inputs!$C$70,"")</f>
      </c>
      <c r="D3657" s="15"/>
      <c r="E3657" s="15"/>
      <c r="F3657" s="11">
        <f t="shared" si="29"/>
      </c>
      <c r="G3657" s="22" cm="1">
        <f t="array" ref="G3657">IF(AND(Inputs!$C$60,Inputs!$C$61),INDEX(Utility_Rates!$C$29:$F$52,HOUR(C3657)+Inputs!$C$69,MATCH(INDEX(Utility_Rates!$K$6:$K$17,MONTH(C3657))&amp;IF(WEEKDAY(C3657,Inputs!$C$76)&lt;=Inputs!$C$74," weekday"," weekend"),Utility_Rates!$C$28:$F$28,Inputs!$C$68)),"")</f>
      </c>
      <c r="H3657" s="34"/>
      <c r="I3657" s="42">
        <f>IF(AND(ISNUMBER(D3657),ISNUMBER(H3657)),D3657*H3657*Inputs!$C$69,"")</f>
      </c>
      <c r="J3657" s="42">
        <f>IF(AND(ISNUMBER(F3657),ISNUMBER(H3657),F3657&gt;=Inputs!$C$68),F3657*H3657*Inputs!$C$69,"")</f>
      </c>
    </row>
    <row r="3658" spans="2:10" ht="15" customHeight="1" x14ac:dyDescent="0.2">
      <c r="B3658" s="39">
        <f t="shared" si="28"/>
      </c>
      <c r="C3658" s="40">
        <f>IF(Inputs!$C$60,Inputs!$C$11+(B3658-Inputs!$C$69)/Inputs!$C$70,"")</f>
      </c>
      <c r="D3658" s="15"/>
      <c r="E3658" s="15"/>
      <c r="F3658" s="11">
        <f t="shared" si="29"/>
      </c>
      <c r="G3658" s="22" cm="1">
        <f t="array" ref="G3658">IF(AND(Inputs!$C$60,Inputs!$C$61),INDEX(Utility_Rates!$C$29:$F$52,HOUR(C3658)+Inputs!$C$69,MATCH(INDEX(Utility_Rates!$K$6:$K$17,MONTH(C3658))&amp;IF(WEEKDAY(C3658,Inputs!$C$76)&lt;=Inputs!$C$74," weekday"," weekend"),Utility_Rates!$C$28:$F$28,Inputs!$C$68)),"")</f>
      </c>
      <c r="H3658" s="34"/>
      <c r="I3658" s="42">
        <f>IF(AND(ISNUMBER(D3658),ISNUMBER(H3658)),D3658*H3658*Inputs!$C$69,"")</f>
      </c>
      <c r="J3658" s="42">
        <f>IF(AND(ISNUMBER(F3658),ISNUMBER(H3658),F3658&gt;=Inputs!$C$68),F3658*H3658*Inputs!$C$69,"")</f>
      </c>
    </row>
    <row r="3659" spans="2:10" ht="15" customHeight="1" x14ac:dyDescent="0.2">
      <c r="B3659" s="39">
        <f t="shared" si="28"/>
      </c>
      <c r="C3659" s="40">
        <f>IF(Inputs!$C$60,Inputs!$C$11+(B3659-Inputs!$C$69)/Inputs!$C$70,"")</f>
      </c>
      <c r="D3659" s="15"/>
      <c r="E3659" s="15"/>
      <c r="F3659" s="11">
        <f t="shared" si="29"/>
      </c>
      <c r="G3659" s="22" cm="1">
        <f t="array" ref="G3659">IF(AND(Inputs!$C$60,Inputs!$C$61),INDEX(Utility_Rates!$C$29:$F$52,HOUR(C3659)+Inputs!$C$69,MATCH(INDEX(Utility_Rates!$K$6:$K$17,MONTH(C3659))&amp;IF(WEEKDAY(C3659,Inputs!$C$76)&lt;=Inputs!$C$74," weekday"," weekend"),Utility_Rates!$C$28:$F$28,Inputs!$C$68)),"")</f>
      </c>
      <c r="H3659" s="34"/>
      <c r="I3659" s="42">
        <f>IF(AND(ISNUMBER(D3659),ISNUMBER(H3659)),D3659*H3659*Inputs!$C$69,"")</f>
      </c>
      <c r="J3659" s="42">
        <f>IF(AND(ISNUMBER(F3659),ISNUMBER(H3659),F3659&gt;=Inputs!$C$68),F3659*H3659*Inputs!$C$69,"")</f>
      </c>
    </row>
    <row r="3660" spans="2:10" ht="15" customHeight="1" x14ac:dyDescent="0.2">
      <c r="B3660" s="39">
        <f t="shared" si="28"/>
      </c>
      <c r="C3660" s="40">
        <f>IF(Inputs!$C$60,Inputs!$C$11+(B3660-Inputs!$C$69)/Inputs!$C$70,"")</f>
      </c>
      <c r="D3660" s="15"/>
      <c r="E3660" s="15"/>
      <c r="F3660" s="11">
        <f t="shared" si="29"/>
      </c>
      <c r="G3660" s="22" cm="1">
        <f t="array" ref="G3660">IF(AND(Inputs!$C$60,Inputs!$C$61),INDEX(Utility_Rates!$C$29:$F$52,HOUR(C3660)+Inputs!$C$69,MATCH(INDEX(Utility_Rates!$K$6:$K$17,MONTH(C3660))&amp;IF(WEEKDAY(C3660,Inputs!$C$76)&lt;=Inputs!$C$74," weekday"," weekend"),Utility_Rates!$C$28:$F$28,Inputs!$C$68)),"")</f>
      </c>
      <c r="H3660" s="34"/>
      <c r="I3660" s="42">
        <f>IF(AND(ISNUMBER(D3660),ISNUMBER(H3660)),D3660*H3660*Inputs!$C$69,"")</f>
      </c>
      <c r="J3660" s="42">
        <f>IF(AND(ISNUMBER(F3660),ISNUMBER(H3660),F3660&gt;=Inputs!$C$68),F3660*H3660*Inputs!$C$69,"")</f>
      </c>
    </row>
    <row r="3661" spans="2:10" ht="15" customHeight="1" x14ac:dyDescent="0.2">
      <c r="B3661" s="39">
        <f t="shared" si="28"/>
      </c>
      <c r="C3661" s="40">
        <f>IF(Inputs!$C$60,Inputs!$C$11+(B3661-Inputs!$C$69)/Inputs!$C$70,"")</f>
      </c>
      <c r="D3661" s="15"/>
      <c r="E3661" s="15"/>
      <c r="F3661" s="11">
        <f t="shared" si="29"/>
      </c>
      <c r="G3661" s="22" cm="1">
        <f t="array" ref="G3661">IF(AND(Inputs!$C$60,Inputs!$C$61),INDEX(Utility_Rates!$C$29:$F$52,HOUR(C3661)+Inputs!$C$69,MATCH(INDEX(Utility_Rates!$K$6:$K$17,MONTH(C3661))&amp;IF(WEEKDAY(C3661,Inputs!$C$76)&lt;=Inputs!$C$74," weekday"," weekend"),Utility_Rates!$C$28:$F$28,Inputs!$C$68)),"")</f>
      </c>
      <c r="H3661" s="34"/>
      <c r="I3661" s="42">
        <f>IF(AND(ISNUMBER(D3661),ISNUMBER(H3661)),D3661*H3661*Inputs!$C$69,"")</f>
      </c>
      <c r="J3661" s="42">
        <f>IF(AND(ISNUMBER(F3661),ISNUMBER(H3661),F3661&gt;=Inputs!$C$68),F3661*H3661*Inputs!$C$69,"")</f>
      </c>
    </row>
    <row r="3662" spans="2:10" ht="15" customHeight="1" x14ac:dyDescent="0.2">
      <c r="B3662" s="39">
        <f t="shared" si="28"/>
      </c>
      <c r="C3662" s="40">
        <f>IF(Inputs!$C$60,Inputs!$C$11+(B3662-Inputs!$C$69)/Inputs!$C$70,"")</f>
      </c>
      <c r="D3662" s="15"/>
      <c r="E3662" s="15"/>
      <c r="F3662" s="11">
        <f t="shared" si="29"/>
      </c>
      <c r="G3662" s="22" cm="1">
        <f t="array" ref="G3662">IF(AND(Inputs!$C$60,Inputs!$C$61),INDEX(Utility_Rates!$C$29:$F$52,HOUR(C3662)+Inputs!$C$69,MATCH(INDEX(Utility_Rates!$K$6:$K$17,MONTH(C3662))&amp;IF(WEEKDAY(C3662,Inputs!$C$76)&lt;=Inputs!$C$74," weekday"," weekend"),Utility_Rates!$C$28:$F$28,Inputs!$C$68)),"")</f>
      </c>
      <c r="H3662" s="34"/>
      <c r="I3662" s="42">
        <f>IF(AND(ISNUMBER(D3662),ISNUMBER(H3662)),D3662*H3662*Inputs!$C$69,"")</f>
      </c>
      <c r="J3662" s="42">
        <f>IF(AND(ISNUMBER(F3662),ISNUMBER(H3662),F3662&gt;=Inputs!$C$68),F3662*H3662*Inputs!$C$69,"")</f>
      </c>
    </row>
    <row r="3663" spans="2:10" ht="15" customHeight="1" x14ac:dyDescent="0.2">
      <c r="B3663" s="39">
        <f t="shared" si="28"/>
      </c>
      <c r="C3663" s="40">
        <f>IF(Inputs!$C$60,Inputs!$C$11+(B3663-Inputs!$C$69)/Inputs!$C$70,"")</f>
      </c>
      <c r="D3663" s="15"/>
      <c r="E3663" s="15"/>
      <c r="F3663" s="11">
        <f t="shared" si="29"/>
      </c>
      <c r="G3663" s="22" cm="1">
        <f t="array" ref="G3663">IF(AND(Inputs!$C$60,Inputs!$C$61),INDEX(Utility_Rates!$C$29:$F$52,HOUR(C3663)+Inputs!$C$69,MATCH(INDEX(Utility_Rates!$K$6:$K$17,MONTH(C3663))&amp;IF(WEEKDAY(C3663,Inputs!$C$76)&lt;=Inputs!$C$74," weekday"," weekend"),Utility_Rates!$C$28:$F$28,Inputs!$C$68)),"")</f>
      </c>
      <c r="H3663" s="34"/>
      <c r="I3663" s="42">
        <f>IF(AND(ISNUMBER(D3663),ISNUMBER(H3663)),D3663*H3663*Inputs!$C$69,"")</f>
      </c>
      <c r="J3663" s="42">
        <f>IF(AND(ISNUMBER(F3663),ISNUMBER(H3663),F3663&gt;=Inputs!$C$68),F3663*H3663*Inputs!$C$69,"")</f>
      </c>
    </row>
    <row r="3664" spans="2:10" ht="15" customHeight="1" x14ac:dyDescent="0.2">
      <c r="B3664" s="39">
        <f t="shared" si="28"/>
      </c>
      <c r="C3664" s="40">
        <f>IF(Inputs!$C$60,Inputs!$C$11+(B3664-Inputs!$C$69)/Inputs!$C$70,"")</f>
      </c>
      <c r="D3664" s="15"/>
      <c r="E3664" s="15"/>
      <c r="F3664" s="11">
        <f t="shared" si="29"/>
      </c>
      <c r="G3664" s="22" cm="1">
        <f t="array" ref="G3664">IF(AND(Inputs!$C$60,Inputs!$C$61),INDEX(Utility_Rates!$C$29:$F$52,HOUR(C3664)+Inputs!$C$69,MATCH(INDEX(Utility_Rates!$K$6:$K$17,MONTH(C3664))&amp;IF(WEEKDAY(C3664,Inputs!$C$76)&lt;=Inputs!$C$74," weekday"," weekend"),Utility_Rates!$C$28:$F$28,Inputs!$C$68)),"")</f>
      </c>
      <c r="H3664" s="34"/>
      <c r="I3664" s="42">
        <f>IF(AND(ISNUMBER(D3664),ISNUMBER(H3664)),D3664*H3664*Inputs!$C$69,"")</f>
      </c>
      <c r="J3664" s="42">
        <f>IF(AND(ISNUMBER(F3664),ISNUMBER(H3664),F3664&gt;=Inputs!$C$68),F3664*H3664*Inputs!$C$69,"")</f>
      </c>
    </row>
    <row r="3665" spans="2:10" ht="15" customHeight="1" x14ac:dyDescent="0.2">
      <c r="B3665" s="39">
        <f t="shared" si="28"/>
      </c>
      <c r="C3665" s="40">
        <f>IF(Inputs!$C$60,Inputs!$C$11+(B3665-Inputs!$C$69)/Inputs!$C$70,"")</f>
      </c>
      <c r="D3665" s="15"/>
      <c r="E3665" s="15"/>
      <c r="F3665" s="11">
        <f t="shared" si="29"/>
      </c>
      <c r="G3665" s="22" cm="1">
        <f t="array" ref="G3665">IF(AND(Inputs!$C$60,Inputs!$C$61),INDEX(Utility_Rates!$C$29:$F$52,HOUR(C3665)+Inputs!$C$69,MATCH(INDEX(Utility_Rates!$K$6:$K$17,MONTH(C3665))&amp;IF(WEEKDAY(C3665,Inputs!$C$76)&lt;=Inputs!$C$74," weekday"," weekend"),Utility_Rates!$C$28:$F$28,Inputs!$C$68)),"")</f>
      </c>
      <c r="H3665" s="34"/>
      <c r="I3665" s="42">
        <f>IF(AND(ISNUMBER(D3665),ISNUMBER(H3665)),D3665*H3665*Inputs!$C$69,"")</f>
      </c>
      <c r="J3665" s="42">
        <f>IF(AND(ISNUMBER(F3665),ISNUMBER(H3665),F3665&gt;=Inputs!$C$68),F3665*H3665*Inputs!$C$69,"")</f>
      </c>
    </row>
    <row r="3666" spans="2:10" ht="15" customHeight="1" x14ac:dyDescent="0.2">
      <c r="B3666" s="39">
        <f t="shared" si="28"/>
      </c>
      <c r="C3666" s="40">
        <f>IF(Inputs!$C$60,Inputs!$C$11+(B3666-Inputs!$C$69)/Inputs!$C$70,"")</f>
      </c>
      <c r="D3666" s="15"/>
      <c r="E3666" s="15"/>
      <c r="F3666" s="11">
        <f t="shared" si="29"/>
      </c>
      <c r="G3666" s="22" cm="1">
        <f t="array" ref="G3666">IF(AND(Inputs!$C$60,Inputs!$C$61),INDEX(Utility_Rates!$C$29:$F$52,HOUR(C3666)+Inputs!$C$69,MATCH(INDEX(Utility_Rates!$K$6:$K$17,MONTH(C3666))&amp;IF(WEEKDAY(C3666,Inputs!$C$76)&lt;=Inputs!$C$74," weekday"," weekend"),Utility_Rates!$C$28:$F$28,Inputs!$C$68)),"")</f>
      </c>
      <c r="H3666" s="34"/>
      <c r="I3666" s="42">
        <f>IF(AND(ISNUMBER(D3666),ISNUMBER(H3666)),D3666*H3666*Inputs!$C$69,"")</f>
      </c>
      <c r="J3666" s="42">
        <f>IF(AND(ISNUMBER(F3666),ISNUMBER(H3666),F3666&gt;=Inputs!$C$68),F3666*H3666*Inputs!$C$69,"")</f>
      </c>
    </row>
    <row r="3667" spans="2:10" ht="15" customHeight="1" x14ac:dyDescent="0.2">
      <c r="B3667" s="39">
        <f t="shared" si="28"/>
      </c>
      <c r="C3667" s="40">
        <f>IF(Inputs!$C$60,Inputs!$C$11+(B3667-Inputs!$C$69)/Inputs!$C$70,"")</f>
      </c>
      <c r="D3667" s="15"/>
      <c r="E3667" s="15"/>
      <c r="F3667" s="11">
        <f t="shared" si="29"/>
      </c>
      <c r="G3667" s="22" cm="1">
        <f t="array" ref="G3667">IF(AND(Inputs!$C$60,Inputs!$C$61),INDEX(Utility_Rates!$C$29:$F$52,HOUR(C3667)+Inputs!$C$69,MATCH(INDEX(Utility_Rates!$K$6:$K$17,MONTH(C3667))&amp;IF(WEEKDAY(C3667,Inputs!$C$76)&lt;=Inputs!$C$74," weekday"," weekend"),Utility_Rates!$C$28:$F$28,Inputs!$C$68)),"")</f>
      </c>
      <c r="H3667" s="34"/>
      <c r="I3667" s="42">
        <f>IF(AND(ISNUMBER(D3667),ISNUMBER(H3667)),D3667*H3667*Inputs!$C$69,"")</f>
      </c>
      <c r="J3667" s="42">
        <f>IF(AND(ISNUMBER(F3667),ISNUMBER(H3667),F3667&gt;=Inputs!$C$68),F3667*H3667*Inputs!$C$69,"")</f>
      </c>
    </row>
    <row r="3668" spans="2:10" ht="15" customHeight="1" x14ac:dyDescent="0.2">
      <c r="B3668" s="39">
        <f t="shared" si="28"/>
      </c>
      <c r="C3668" s="40">
        <f>IF(Inputs!$C$60,Inputs!$C$11+(B3668-Inputs!$C$69)/Inputs!$C$70,"")</f>
      </c>
      <c r="D3668" s="15"/>
      <c r="E3668" s="15"/>
      <c r="F3668" s="11">
        <f t="shared" si="29"/>
      </c>
      <c r="G3668" s="22" cm="1">
        <f t="array" ref="G3668">IF(AND(Inputs!$C$60,Inputs!$C$61),INDEX(Utility_Rates!$C$29:$F$52,HOUR(C3668)+Inputs!$C$69,MATCH(INDEX(Utility_Rates!$K$6:$K$17,MONTH(C3668))&amp;IF(WEEKDAY(C3668,Inputs!$C$76)&lt;=Inputs!$C$74," weekday"," weekend"),Utility_Rates!$C$28:$F$28,Inputs!$C$68)),"")</f>
      </c>
      <c r="H3668" s="34"/>
      <c r="I3668" s="42">
        <f>IF(AND(ISNUMBER(D3668),ISNUMBER(H3668)),D3668*H3668*Inputs!$C$69,"")</f>
      </c>
      <c r="J3668" s="42">
        <f>IF(AND(ISNUMBER(F3668),ISNUMBER(H3668),F3668&gt;=Inputs!$C$68),F3668*H3668*Inputs!$C$69,"")</f>
      </c>
    </row>
    <row r="3669" spans="2:10" ht="15" customHeight="1" x14ac:dyDescent="0.2">
      <c r="B3669" s="39">
        <f t="shared" si="28"/>
      </c>
      <c r="C3669" s="40">
        <f>IF(Inputs!$C$60,Inputs!$C$11+(B3669-Inputs!$C$69)/Inputs!$C$70,"")</f>
      </c>
      <c r="D3669" s="15"/>
      <c r="E3669" s="15"/>
      <c r="F3669" s="11">
        <f t="shared" si="29"/>
      </c>
      <c r="G3669" s="22" cm="1">
        <f t="array" ref="G3669">IF(AND(Inputs!$C$60,Inputs!$C$61),INDEX(Utility_Rates!$C$29:$F$52,HOUR(C3669)+Inputs!$C$69,MATCH(INDEX(Utility_Rates!$K$6:$K$17,MONTH(C3669))&amp;IF(WEEKDAY(C3669,Inputs!$C$76)&lt;=Inputs!$C$74," weekday"," weekend"),Utility_Rates!$C$28:$F$28,Inputs!$C$68)),"")</f>
      </c>
      <c r="H3669" s="34"/>
      <c r="I3669" s="42">
        <f>IF(AND(ISNUMBER(D3669),ISNUMBER(H3669)),D3669*H3669*Inputs!$C$69,"")</f>
      </c>
      <c r="J3669" s="42">
        <f>IF(AND(ISNUMBER(F3669),ISNUMBER(H3669),F3669&gt;=Inputs!$C$68),F3669*H3669*Inputs!$C$69,"")</f>
      </c>
    </row>
    <row r="3670" spans="2:10" ht="15" customHeight="1" x14ac:dyDescent="0.2">
      <c r="B3670" s="39">
        <f t="shared" si="28"/>
      </c>
      <c r="C3670" s="40">
        <f>IF(Inputs!$C$60,Inputs!$C$11+(B3670-Inputs!$C$69)/Inputs!$C$70,"")</f>
      </c>
      <c r="D3670" s="15"/>
      <c r="E3670" s="15"/>
      <c r="F3670" s="11">
        <f t="shared" si="29"/>
      </c>
      <c r="G3670" s="22" cm="1">
        <f t="array" ref="G3670">IF(AND(Inputs!$C$60,Inputs!$C$61),INDEX(Utility_Rates!$C$29:$F$52,HOUR(C3670)+Inputs!$C$69,MATCH(INDEX(Utility_Rates!$K$6:$K$17,MONTH(C3670))&amp;IF(WEEKDAY(C3670,Inputs!$C$76)&lt;=Inputs!$C$74," weekday"," weekend"),Utility_Rates!$C$28:$F$28,Inputs!$C$68)),"")</f>
      </c>
      <c r="H3670" s="34"/>
      <c r="I3670" s="42">
        <f>IF(AND(ISNUMBER(D3670),ISNUMBER(H3670)),D3670*H3670*Inputs!$C$69,"")</f>
      </c>
      <c r="J3670" s="42">
        <f>IF(AND(ISNUMBER(F3670),ISNUMBER(H3670),F3670&gt;=Inputs!$C$68),F3670*H3670*Inputs!$C$69,"")</f>
      </c>
    </row>
    <row r="3671" spans="2:10" ht="15" customHeight="1" x14ac:dyDescent="0.2">
      <c r="B3671" s="39">
        <f t="shared" si="28"/>
      </c>
      <c r="C3671" s="40">
        <f>IF(Inputs!$C$60,Inputs!$C$11+(B3671-Inputs!$C$69)/Inputs!$C$70,"")</f>
      </c>
      <c r="D3671" s="15"/>
      <c r="E3671" s="15"/>
      <c r="F3671" s="11">
        <f t="shared" si="29"/>
      </c>
      <c r="G3671" s="22" cm="1">
        <f t="array" ref="G3671">IF(AND(Inputs!$C$60,Inputs!$C$61),INDEX(Utility_Rates!$C$29:$F$52,HOUR(C3671)+Inputs!$C$69,MATCH(INDEX(Utility_Rates!$K$6:$K$17,MONTH(C3671))&amp;IF(WEEKDAY(C3671,Inputs!$C$76)&lt;=Inputs!$C$74," weekday"," weekend"),Utility_Rates!$C$28:$F$28,Inputs!$C$68)),"")</f>
      </c>
      <c r="H3671" s="34"/>
      <c r="I3671" s="42">
        <f>IF(AND(ISNUMBER(D3671),ISNUMBER(H3671)),D3671*H3671*Inputs!$C$69,"")</f>
      </c>
      <c r="J3671" s="42">
        <f>IF(AND(ISNUMBER(F3671),ISNUMBER(H3671),F3671&gt;=Inputs!$C$68),F3671*H3671*Inputs!$C$69,"")</f>
      </c>
    </row>
    <row r="3672" spans="2:10" ht="15" customHeight="1" x14ac:dyDescent="0.2">
      <c r="B3672" s="39">
        <f t="shared" si="28"/>
      </c>
      <c r="C3672" s="40">
        <f>IF(Inputs!$C$60,Inputs!$C$11+(B3672-Inputs!$C$69)/Inputs!$C$70,"")</f>
      </c>
      <c r="D3672" s="15"/>
      <c r="E3672" s="15"/>
      <c r="F3672" s="11">
        <f t="shared" si="29"/>
      </c>
      <c r="G3672" s="22" cm="1">
        <f t="array" ref="G3672">IF(AND(Inputs!$C$60,Inputs!$C$61),INDEX(Utility_Rates!$C$29:$F$52,HOUR(C3672)+Inputs!$C$69,MATCH(INDEX(Utility_Rates!$K$6:$K$17,MONTH(C3672))&amp;IF(WEEKDAY(C3672,Inputs!$C$76)&lt;=Inputs!$C$74," weekday"," weekend"),Utility_Rates!$C$28:$F$28,Inputs!$C$68)),"")</f>
      </c>
      <c r="H3672" s="34"/>
      <c r="I3672" s="42">
        <f>IF(AND(ISNUMBER(D3672),ISNUMBER(H3672)),D3672*H3672*Inputs!$C$69,"")</f>
      </c>
      <c r="J3672" s="42">
        <f>IF(AND(ISNUMBER(F3672),ISNUMBER(H3672),F3672&gt;=Inputs!$C$68),F3672*H3672*Inputs!$C$69,"")</f>
      </c>
    </row>
    <row r="3673" spans="2:10" ht="15" customHeight="1" x14ac:dyDescent="0.2">
      <c r="B3673" s="39">
        <f t="shared" si="28"/>
      </c>
      <c r="C3673" s="40">
        <f>IF(Inputs!$C$60,Inputs!$C$11+(B3673-Inputs!$C$69)/Inputs!$C$70,"")</f>
      </c>
      <c r="D3673" s="15"/>
      <c r="E3673" s="15"/>
      <c r="F3673" s="11">
        <f t="shared" si="29"/>
      </c>
      <c r="G3673" s="22" cm="1">
        <f t="array" ref="G3673">IF(AND(Inputs!$C$60,Inputs!$C$61),INDEX(Utility_Rates!$C$29:$F$52,HOUR(C3673)+Inputs!$C$69,MATCH(INDEX(Utility_Rates!$K$6:$K$17,MONTH(C3673))&amp;IF(WEEKDAY(C3673,Inputs!$C$76)&lt;=Inputs!$C$74," weekday"," weekend"),Utility_Rates!$C$28:$F$28,Inputs!$C$68)),"")</f>
      </c>
      <c r="H3673" s="34"/>
      <c r="I3673" s="42">
        <f>IF(AND(ISNUMBER(D3673),ISNUMBER(H3673)),D3673*H3673*Inputs!$C$69,"")</f>
      </c>
      <c r="J3673" s="42">
        <f>IF(AND(ISNUMBER(F3673),ISNUMBER(H3673),F3673&gt;=Inputs!$C$68),F3673*H3673*Inputs!$C$69,"")</f>
      </c>
    </row>
    <row r="3674" spans="2:10" ht="15" customHeight="1" x14ac:dyDescent="0.2">
      <c r="B3674" s="39">
        <f t="shared" si="28"/>
      </c>
      <c r="C3674" s="40">
        <f>IF(Inputs!$C$60,Inputs!$C$11+(B3674-Inputs!$C$69)/Inputs!$C$70,"")</f>
      </c>
      <c r="D3674" s="15"/>
      <c r="E3674" s="15"/>
      <c r="F3674" s="11">
        <f t="shared" si="29"/>
      </c>
      <c r="G3674" s="22" cm="1">
        <f t="array" ref="G3674">IF(AND(Inputs!$C$60,Inputs!$C$61),INDEX(Utility_Rates!$C$29:$F$52,HOUR(C3674)+Inputs!$C$69,MATCH(INDEX(Utility_Rates!$K$6:$K$17,MONTH(C3674))&amp;IF(WEEKDAY(C3674,Inputs!$C$76)&lt;=Inputs!$C$74," weekday"," weekend"),Utility_Rates!$C$28:$F$28,Inputs!$C$68)),"")</f>
      </c>
      <c r="H3674" s="34"/>
      <c r="I3674" s="42">
        <f>IF(AND(ISNUMBER(D3674),ISNUMBER(H3674)),D3674*H3674*Inputs!$C$69,"")</f>
      </c>
      <c r="J3674" s="42">
        <f>IF(AND(ISNUMBER(F3674),ISNUMBER(H3674),F3674&gt;=Inputs!$C$68),F3674*H3674*Inputs!$C$69,"")</f>
      </c>
    </row>
    <row r="3675" spans="2:10" ht="15" customHeight="1" x14ac:dyDescent="0.2">
      <c r="B3675" s="39">
        <f t="shared" si="28"/>
      </c>
      <c r="C3675" s="40">
        <f>IF(Inputs!$C$60,Inputs!$C$11+(B3675-Inputs!$C$69)/Inputs!$C$70,"")</f>
      </c>
      <c r="D3675" s="15"/>
      <c r="E3675" s="15"/>
      <c r="F3675" s="11">
        <f t="shared" si="29"/>
      </c>
      <c r="G3675" s="22" cm="1">
        <f t="array" ref="G3675">IF(AND(Inputs!$C$60,Inputs!$C$61),INDEX(Utility_Rates!$C$29:$F$52,HOUR(C3675)+Inputs!$C$69,MATCH(INDEX(Utility_Rates!$K$6:$K$17,MONTH(C3675))&amp;IF(WEEKDAY(C3675,Inputs!$C$76)&lt;=Inputs!$C$74," weekday"," weekend"),Utility_Rates!$C$28:$F$28,Inputs!$C$68)),"")</f>
      </c>
      <c r="H3675" s="34"/>
      <c r="I3675" s="42">
        <f>IF(AND(ISNUMBER(D3675),ISNUMBER(H3675)),D3675*H3675*Inputs!$C$69,"")</f>
      </c>
      <c r="J3675" s="42">
        <f>IF(AND(ISNUMBER(F3675),ISNUMBER(H3675),F3675&gt;=Inputs!$C$68),F3675*H3675*Inputs!$C$69,"")</f>
      </c>
    </row>
    <row r="3676" spans="2:10" ht="15" customHeight="1" x14ac:dyDescent="0.2">
      <c r="B3676" s="39">
        <f t="shared" si="28"/>
      </c>
      <c r="C3676" s="40">
        <f>IF(Inputs!$C$60,Inputs!$C$11+(B3676-Inputs!$C$69)/Inputs!$C$70,"")</f>
      </c>
      <c r="D3676" s="15"/>
      <c r="E3676" s="15"/>
      <c r="F3676" s="11">
        <f t="shared" si="29"/>
      </c>
      <c r="G3676" s="22" cm="1">
        <f t="array" ref="G3676">IF(AND(Inputs!$C$60,Inputs!$C$61),INDEX(Utility_Rates!$C$29:$F$52,HOUR(C3676)+Inputs!$C$69,MATCH(INDEX(Utility_Rates!$K$6:$K$17,MONTH(C3676))&amp;IF(WEEKDAY(C3676,Inputs!$C$76)&lt;=Inputs!$C$74," weekday"," weekend"),Utility_Rates!$C$28:$F$28,Inputs!$C$68)),"")</f>
      </c>
      <c r="H3676" s="34"/>
      <c r="I3676" s="42">
        <f>IF(AND(ISNUMBER(D3676),ISNUMBER(H3676)),D3676*H3676*Inputs!$C$69,"")</f>
      </c>
      <c r="J3676" s="42">
        <f>IF(AND(ISNUMBER(F3676),ISNUMBER(H3676),F3676&gt;=Inputs!$C$68),F3676*H3676*Inputs!$C$69,"")</f>
      </c>
    </row>
    <row r="3677" spans="2:10" ht="15" customHeight="1" x14ac:dyDescent="0.2">
      <c r="B3677" s="39">
        <f t="shared" si="28"/>
      </c>
      <c r="C3677" s="40">
        <f>IF(Inputs!$C$60,Inputs!$C$11+(B3677-Inputs!$C$69)/Inputs!$C$70,"")</f>
      </c>
      <c r="D3677" s="15"/>
      <c r="E3677" s="15"/>
      <c r="F3677" s="11">
        <f t="shared" si="29"/>
      </c>
      <c r="G3677" s="22" cm="1">
        <f t="array" ref="G3677">IF(AND(Inputs!$C$60,Inputs!$C$61),INDEX(Utility_Rates!$C$29:$F$52,HOUR(C3677)+Inputs!$C$69,MATCH(INDEX(Utility_Rates!$K$6:$K$17,MONTH(C3677))&amp;IF(WEEKDAY(C3677,Inputs!$C$76)&lt;=Inputs!$C$74," weekday"," weekend"),Utility_Rates!$C$28:$F$28,Inputs!$C$68)),"")</f>
      </c>
      <c r="H3677" s="34"/>
      <c r="I3677" s="42">
        <f>IF(AND(ISNUMBER(D3677),ISNUMBER(H3677)),D3677*H3677*Inputs!$C$69,"")</f>
      </c>
      <c r="J3677" s="42">
        <f>IF(AND(ISNUMBER(F3677),ISNUMBER(H3677),F3677&gt;=Inputs!$C$68),F3677*H3677*Inputs!$C$69,"")</f>
      </c>
    </row>
    <row r="3678" spans="2:10" ht="15" customHeight="1" x14ac:dyDescent="0.2">
      <c r="B3678" s="39">
        <f t="shared" si="28"/>
      </c>
      <c r="C3678" s="40">
        <f>IF(Inputs!$C$60,Inputs!$C$11+(B3678-Inputs!$C$69)/Inputs!$C$70,"")</f>
      </c>
      <c r="D3678" s="15"/>
      <c r="E3678" s="15"/>
      <c r="F3678" s="11">
        <f t="shared" si="29"/>
      </c>
      <c r="G3678" s="22" cm="1">
        <f t="array" ref="G3678">IF(AND(Inputs!$C$60,Inputs!$C$61),INDEX(Utility_Rates!$C$29:$F$52,HOUR(C3678)+Inputs!$C$69,MATCH(INDEX(Utility_Rates!$K$6:$K$17,MONTH(C3678))&amp;IF(WEEKDAY(C3678,Inputs!$C$76)&lt;=Inputs!$C$74," weekday"," weekend"),Utility_Rates!$C$28:$F$28,Inputs!$C$68)),"")</f>
      </c>
      <c r="H3678" s="34"/>
      <c r="I3678" s="42">
        <f>IF(AND(ISNUMBER(D3678),ISNUMBER(H3678)),D3678*H3678*Inputs!$C$69,"")</f>
      </c>
      <c r="J3678" s="42">
        <f>IF(AND(ISNUMBER(F3678),ISNUMBER(H3678),F3678&gt;=Inputs!$C$68),F3678*H3678*Inputs!$C$69,"")</f>
      </c>
    </row>
    <row r="3679" spans="2:10" ht="15" customHeight="1" x14ac:dyDescent="0.2">
      <c r="B3679" s="39">
        <f t="shared" si="28"/>
      </c>
      <c r="C3679" s="40">
        <f>IF(Inputs!$C$60,Inputs!$C$11+(B3679-Inputs!$C$69)/Inputs!$C$70,"")</f>
      </c>
      <c r="D3679" s="15"/>
      <c r="E3679" s="15"/>
      <c r="F3679" s="11">
        <f t="shared" si="29"/>
      </c>
      <c r="G3679" s="22" cm="1">
        <f t="array" ref="G3679">IF(AND(Inputs!$C$60,Inputs!$C$61),INDEX(Utility_Rates!$C$29:$F$52,HOUR(C3679)+Inputs!$C$69,MATCH(INDEX(Utility_Rates!$K$6:$K$17,MONTH(C3679))&amp;IF(WEEKDAY(C3679,Inputs!$C$76)&lt;=Inputs!$C$74," weekday"," weekend"),Utility_Rates!$C$28:$F$28,Inputs!$C$68)),"")</f>
      </c>
      <c r="H3679" s="34"/>
      <c r="I3679" s="42">
        <f>IF(AND(ISNUMBER(D3679),ISNUMBER(H3679)),D3679*H3679*Inputs!$C$69,"")</f>
      </c>
      <c r="J3679" s="42">
        <f>IF(AND(ISNUMBER(F3679),ISNUMBER(H3679),F3679&gt;=Inputs!$C$68),F3679*H3679*Inputs!$C$69,"")</f>
      </c>
    </row>
    <row r="3680" spans="2:10" ht="15" customHeight="1" x14ac:dyDescent="0.2">
      <c r="B3680" s="39">
        <f t="shared" si="28"/>
      </c>
      <c r="C3680" s="40">
        <f>IF(Inputs!$C$60,Inputs!$C$11+(B3680-Inputs!$C$69)/Inputs!$C$70,"")</f>
      </c>
      <c r="D3680" s="15"/>
      <c r="E3680" s="15"/>
      <c r="F3680" s="11">
        <f t="shared" si="29"/>
      </c>
      <c r="G3680" s="22" cm="1">
        <f t="array" ref="G3680">IF(AND(Inputs!$C$60,Inputs!$C$61),INDEX(Utility_Rates!$C$29:$F$52,HOUR(C3680)+Inputs!$C$69,MATCH(INDEX(Utility_Rates!$K$6:$K$17,MONTH(C3680))&amp;IF(WEEKDAY(C3680,Inputs!$C$76)&lt;=Inputs!$C$74," weekday"," weekend"),Utility_Rates!$C$28:$F$28,Inputs!$C$68)),"")</f>
      </c>
      <c r="H3680" s="34"/>
      <c r="I3680" s="42">
        <f>IF(AND(ISNUMBER(D3680),ISNUMBER(H3680)),D3680*H3680*Inputs!$C$69,"")</f>
      </c>
      <c r="J3680" s="42">
        <f>IF(AND(ISNUMBER(F3680),ISNUMBER(H3680),F3680&gt;=Inputs!$C$68),F3680*H3680*Inputs!$C$69,"")</f>
      </c>
    </row>
    <row r="3681" spans="2:10" ht="15" customHeight="1" x14ac:dyDescent="0.2">
      <c r="B3681" s="39">
        <f t="shared" si="28"/>
      </c>
      <c r="C3681" s="40">
        <f>IF(Inputs!$C$60,Inputs!$C$11+(B3681-Inputs!$C$69)/Inputs!$C$70,"")</f>
      </c>
      <c r="D3681" s="15"/>
      <c r="E3681" s="15"/>
      <c r="F3681" s="11">
        <f t="shared" si="29"/>
      </c>
      <c r="G3681" s="22" cm="1">
        <f t="array" ref="G3681">IF(AND(Inputs!$C$60,Inputs!$C$61),INDEX(Utility_Rates!$C$29:$F$52,HOUR(C3681)+Inputs!$C$69,MATCH(INDEX(Utility_Rates!$K$6:$K$17,MONTH(C3681))&amp;IF(WEEKDAY(C3681,Inputs!$C$76)&lt;=Inputs!$C$74," weekday"," weekend"),Utility_Rates!$C$28:$F$28,Inputs!$C$68)),"")</f>
      </c>
      <c r="H3681" s="34"/>
      <c r="I3681" s="42">
        <f>IF(AND(ISNUMBER(D3681),ISNUMBER(H3681)),D3681*H3681*Inputs!$C$69,"")</f>
      </c>
      <c r="J3681" s="42">
        <f>IF(AND(ISNUMBER(F3681),ISNUMBER(H3681),F3681&gt;=Inputs!$C$68),F3681*H3681*Inputs!$C$69,"")</f>
      </c>
    </row>
    <row r="3682" spans="2:10" ht="15" customHeight="1" x14ac:dyDescent="0.2">
      <c r="B3682" s="39">
        <f t="shared" si="28"/>
      </c>
      <c r="C3682" s="40">
        <f>IF(Inputs!$C$60,Inputs!$C$11+(B3682-Inputs!$C$69)/Inputs!$C$70,"")</f>
      </c>
      <c r="D3682" s="15"/>
      <c r="E3682" s="15"/>
      <c r="F3682" s="11">
        <f t="shared" si="29"/>
      </c>
      <c r="G3682" s="22" cm="1">
        <f t="array" ref="G3682">IF(AND(Inputs!$C$60,Inputs!$C$61),INDEX(Utility_Rates!$C$29:$F$52,HOUR(C3682)+Inputs!$C$69,MATCH(INDEX(Utility_Rates!$K$6:$K$17,MONTH(C3682))&amp;IF(WEEKDAY(C3682,Inputs!$C$76)&lt;=Inputs!$C$74," weekday"," weekend"),Utility_Rates!$C$28:$F$28,Inputs!$C$68)),"")</f>
      </c>
      <c r="H3682" s="34"/>
      <c r="I3682" s="42">
        <f>IF(AND(ISNUMBER(D3682),ISNUMBER(H3682)),D3682*H3682*Inputs!$C$69,"")</f>
      </c>
      <c r="J3682" s="42">
        <f>IF(AND(ISNUMBER(F3682),ISNUMBER(H3682),F3682&gt;=Inputs!$C$68),F3682*H3682*Inputs!$C$69,"")</f>
      </c>
    </row>
    <row r="3683" spans="2:10" ht="15" customHeight="1" x14ac:dyDescent="0.2">
      <c r="B3683" s="39">
        <f t="shared" si="28"/>
      </c>
      <c r="C3683" s="40">
        <f>IF(Inputs!$C$60,Inputs!$C$11+(B3683-Inputs!$C$69)/Inputs!$C$70,"")</f>
      </c>
      <c r="D3683" s="15"/>
      <c r="E3683" s="15"/>
      <c r="F3683" s="11">
        <f t="shared" si="29"/>
      </c>
      <c r="G3683" s="22" cm="1">
        <f t="array" ref="G3683">IF(AND(Inputs!$C$60,Inputs!$C$61),INDEX(Utility_Rates!$C$29:$F$52,HOUR(C3683)+Inputs!$C$69,MATCH(INDEX(Utility_Rates!$K$6:$K$17,MONTH(C3683))&amp;IF(WEEKDAY(C3683,Inputs!$C$76)&lt;=Inputs!$C$74," weekday"," weekend"),Utility_Rates!$C$28:$F$28,Inputs!$C$68)),"")</f>
      </c>
      <c r="H3683" s="34"/>
      <c r="I3683" s="42">
        <f>IF(AND(ISNUMBER(D3683),ISNUMBER(H3683)),D3683*H3683*Inputs!$C$69,"")</f>
      </c>
      <c r="J3683" s="42">
        <f>IF(AND(ISNUMBER(F3683),ISNUMBER(H3683),F3683&gt;=Inputs!$C$68),F3683*H3683*Inputs!$C$69,"")</f>
      </c>
    </row>
    <row r="3684" spans="2:10" ht="15" customHeight="1" x14ac:dyDescent="0.2">
      <c r="B3684" s="39">
        <f t="shared" si="28"/>
      </c>
      <c r="C3684" s="40">
        <f>IF(Inputs!$C$60,Inputs!$C$11+(B3684-Inputs!$C$69)/Inputs!$C$70,"")</f>
      </c>
      <c r="D3684" s="15"/>
      <c r="E3684" s="15"/>
      <c r="F3684" s="11">
        <f t="shared" si="29"/>
      </c>
      <c r="G3684" s="22" cm="1">
        <f t="array" ref="G3684">IF(AND(Inputs!$C$60,Inputs!$C$61),INDEX(Utility_Rates!$C$29:$F$52,HOUR(C3684)+Inputs!$C$69,MATCH(INDEX(Utility_Rates!$K$6:$K$17,MONTH(C3684))&amp;IF(WEEKDAY(C3684,Inputs!$C$76)&lt;=Inputs!$C$74," weekday"," weekend"),Utility_Rates!$C$28:$F$28,Inputs!$C$68)),"")</f>
      </c>
      <c r="H3684" s="34"/>
      <c r="I3684" s="42">
        <f>IF(AND(ISNUMBER(D3684),ISNUMBER(H3684)),D3684*H3684*Inputs!$C$69,"")</f>
      </c>
      <c r="J3684" s="42">
        <f>IF(AND(ISNUMBER(F3684),ISNUMBER(H3684),F3684&gt;=Inputs!$C$68),F3684*H3684*Inputs!$C$69,"")</f>
      </c>
    </row>
    <row r="3685" spans="2:10" ht="15" customHeight="1" x14ac:dyDescent="0.2">
      <c r="B3685" s="39">
        <f t="shared" si="28"/>
      </c>
      <c r="C3685" s="40">
        <f>IF(Inputs!$C$60,Inputs!$C$11+(B3685-Inputs!$C$69)/Inputs!$C$70,"")</f>
      </c>
      <c r="D3685" s="15"/>
      <c r="E3685" s="15"/>
      <c r="F3685" s="11">
        <f t="shared" si="29"/>
      </c>
      <c r="G3685" s="22" cm="1">
        <f t="array" ref="G3685">IF(AND(Inputs!$C$60,Inputs!$C$61),INDEX(Utility_Rates!$C$29:$F$52,HOUR(C3685)+Inputs!$C$69,MATCH(INDEX(Utility_Rates!$K$6:$K$17,MONTH(C3685))&amp;IF(WEEKDAY(C3685,Inputs!$C$76)&lt;=Inputs!$C$74," weekday"," weekend"),Utility_Rates!$C$28:$F$28,Inputs!$C$68)),"")</f>
      </c>
      <c r="H3685" s="34"/>
      <c r="I3685" s="42">
        <f>IF(AND(ISNUMBER(D3685),ISNUMBER(H3685)),D3685*H3685*Inputs!$C$69,"")</f>
      </c>
      <c r="J3685" s="42">
        <f>IF(AND(ISNUMBER(F3685),ISNUMBER(H3685),F3685&gt;=Inputs!$C$68),F3685*H3685*Inputs!$C$69,"")</f>
      </c>
    </row>
    <row r="3686" spans="2:10" ht="15" customHeight="1" x14ac:dyDescent="0.2">
      <c r="B3686" s="39">
        <f t="shared" si="28"/>
      </c>
      <c r="C3686" s="40">
        <f>IF(Inputs!$C$60,Inputs!$C$11+(B3686-Inputs!$C$69)/Inputs!$C$70,"")</f>
      </c>
      <c r="D3686" s="15"/>
      <c r="E3686" s="15"/>
      <c r="F3686" s="11">
        <f t="shared" si="29"/>
      </c>
      <c r="G3686" s="22" cm="1">
        <f t="array" ref="G3686">IF(AND(Inputs!$C$60,Inputs!$C$61),INDEX(Utility_Rates!$C$29:$F$52,HOUR(C3686)+Inputs!$C$69,MATCH(INDEX(Utility_Rates!$K$6:$K$17,MONTH(C3686))&amp;IF(WEEKDAY(C3686,Inputs!$C$76)&lt;=Inputs!$C$74," weekday"," weekend"),Utility_Rates!$C$28:$F$28,Inputs!$C$68)),"")</f>
      </c>
      <c r="H3686" s="34"/>
      <c r="I3686" s="42">
        <f>IF(AND(ISNUMBER(D3686),ISNUMBER(H3686)),D3686*H3686*Inputs!$C$69,"")</f>
      </c>
      <c r="J3686" s="42">
        <f>IF(AND(ISNUMBER(F3686),ISNUMBER(H3686),F3686&gt;=Inputs!$C$68),F3686*H3686*Inputs!$C$69,"")</f>
      </c>
    </row>
    <row r="3687" spans="2:10" ht="15" customHeight="1" x14ac:dyDescent="0.2">
      <c r="B3687" s="39">
        <f t="shared" si="28"/>
      </c>
      <c r="C3687" s="40">
        <f>IF(Inputs!$C$60,Inputs!$C$11+(B3687-Inputs!$C$69)/Inputs!$C$70,"")</f>
      </c>
      <c r="D3687" s="15"/>
      <c r="E3687" s="15"/>
      <c r="F3687" s="11">
        <f t="shared" si="29"/>
      </c>
      <c r="G3687" s="22" cm="1">
        <f t="array" ref="G3687">IF(AND(Inputs!$C$60,Inputs!$C$61),INDEX(Utility_Rates!$C$29:$F$52,HOUR(C3687)+Inputs!$C$69,MATCH(INDEX(Utility_Rates!$K$6:$K$17,MONTH(C3687))&amp;IF(WEEKDAY(C3687,Inputs!$C$76)&lt;=Inputs!$C$74," weekday"," weekend"),Utility_Rates!$C$28:$F$28,Inputs!$C$68)),"")</f>
      </c>
      <c r="H3687" s="34"/>
      <c r="I3687" s="42">
        <f>IF(AND(ISNUMBER(D3687),ISNUMBER(H3687)),D3687*H3687*Inputs!$C$69,"")</f>
      </c>
      <c r="J3687" s="42">
        <f>IF(AND(ISNUMBER(F3687),ISNUMBER(H3687),F3687&gt;=Inputs!$C$68),F3687*H3687*Inputs!$C$69,"")</f>
      </c>
    </row>
    <row r="3688" spans="2:10" ht="15" customHeight="1" x14ac:dyDescent="0.2">
      <c r="B3688" s="39">
        <f t="shared" si="28"/>
      </c>
      <c r="C3688" s="40">
        <f>IF(Inputs!$C$60,Inputs!$C$11+(B3688-Inputs!$C$69)/Inputs!$C$70,"")</f>
      </c>
      <c r="D3688" s="15"/>
      <c r="E3688" s="15"/>
      <c r="F3688" s="11">
        <f t="shared" si="29"/>
      </c>
      <c r="G3688" s="22" cm="1">
        <f t="array" ref="G3688">IF(AND(Inputs!$C$60,Inputs!$C$61),INDEX(Utility_Rates!$C$29:$F$52,HOUR(C3688)+Inputs!$C$69,MATCH(INDEX(Utility_Rates!$K$6:$K$17,MONTH(C3688))&amp;IF(WEEKDAY(C3688,Inputs!$C$76)&lt;=Inputs!$C$74," weekday"," weekend"),Utility_Rates!$C$28:$F$28,Inputs!$C$68)),"")</f>
      </c>
      <c r="H3688" s="34"/>
      <c r="I3688" s="42">
        <f>IF(AND(ISNUMBER(D3688),ISNUMBER(H3688)),D3688*H3688*Inputs!$C$69,"")</f>
      </c>
      <c r="J3688" s="42">
        <f>IF(AND(ISNUMBER(F3688),ISNUMBER(H3688),F3688&gt;=Inputs!$C$68),F3688*H3688*Inputs!$C$69,"")</f>
      </c>
    </row>
    <row r="3689" spans="2:10" ht="15" customHeight="1" x14ac:dyDescent="0.2">
      <c r="B3689" s="39">
        <f t="shared" si="28"/>
      </c>
      <c r="C3689" s="40">
        <f>IF(Inputs!$C$60,Inputs!$C$11+(B3689-Inputs!$C$69)/Inputs!$C$70,"")</f>
      </c>
      <c r="D3689" s="15"/>
      <c r="E3689" s="15"/>
      <c r="F3689" s="11">
        <f t="shared" si="29"/>
      </c>
      <c r="G3689" s="22" cm="1">
        <f t="array" ref="G3689">IF(AND(Inputs!$C$60,Inputs!$C$61),INDEX(Utility_Rates!$C$29:$F$52,HOUR(C3689)+Inputs!$C$69,MATCH(INDEX(Utility_Rates!$K$6:$K$17,MONTH(C3689))&amp;IF(WEEKDAY(C3689,Inputs!$C$76)&lt;=Inputs!$C$74," weekday"," weekend"),Utility_Rates!$C$28:$F$28,Inputs!$C$68)),"")</f>
      </c>
      <c r="H3689" s="34"/>
      <c r="I3689" s="42">
        <f>IF(AND(ISNUMBER(D3689),ISNUMBER(H3689)),D3689*H3689*Inputs!$C$69,"")</f>
      </c>
      <c r="J3689" s="42">
        <f>IF(AND(ISNUMBER(F3689),ISNUMBER(H3689),F3689&gt;=Inputs!$C$68),F3689*H3689*Inputs!$C$69,"")</f>
      </c>
    </row>
    <row r="3690" spans="2:10" ht="15" customHeight="1" x14ac:dyDescent="0.2">
      <c r="B3690" s="39">
        <f t="shared" si="28"/>
      </c>
      <c r="C3690" s="40">
        <f>IF(Inputs!$C$60,Inputs!$C$11+(B3690-Inputs!$C$69)/Inputs!$C$70,"")</f>
      </c>
      <c r="D3690" s="15"/>
      <c r="E3690" s="15"/>
      <c r="F3690" s="11">
        <f t="shared" si="29"/>
      </c>
      <c r="G3690" s="22" cm="1">
        <f t="array" ref="G3690">IF(AND(Inputs!$C$60,Inputs!$C$61),INDEX(Utility_Rates!$C$29:$F$52,HOUR(C3690)+Inputs!$C$69,MATCH(INDEX(Utility_Rates!$K$6:$K$17,MONTH(C3690))&amp;IF(WEEKDAY(C3690,Inputs!$C$76)&lt;=Inputs!$C$74," weekday"," weekend"),Utility_Rates!$C$28:$F$28,Inputs!$C$68)),"")</f>
      </c>
      <c r="H3690" s="34"/>
      <c r="I3690" s="42">
        <f>IF(AND(ISNUMBER(D3690),ISNUMBER(H3690)),D3690*H3690*Inputs!$C$69,"")</f>
      </c>
      <c r="J3690" s="42">
        <f>IF(AND(ISNUMBER(F3690),ISNUMBER(H3690),F3690&gt;=Inputs!$C$68),F3690*H3690*Inputs!$C$69,"")</f>
      </c>
    </row>
    <row r="3691" spans="2:10" ht="15" customHeight="1" x14ac:dyDescent="0.2">
      <c r="B3691" s="39">
        <f t="shared" si="28"/>
      </c>
      <c r="C3691" s="40">
        <f>IF(Inputs!$C$60,Inputs!$C$11+(B3691-Inputs!$C$69)/Inputs!$C$70,"")</f>
      </c>
      <c r="D3691" s="15"/>
      <c r="E3691" s="15"/>
      <c r="F3691" s="11">
        <f t="shared" si="29"/>
      </c>
      <c r="G3691" s="22" cm="1">
        <f t="array" ref="G3691">IF(AND(Inputs!$C$60,Inputs!$C$61),INDEX(Utility_Rates!$C$29:$F$52,HOUR(C3691)+Inputs!$C$69,MATCH(INDEX(Utility_Rates!$K$6:$K$17,MONTH(C3691))&amp;IF(WEEKDAY(C3691,Inputs!$C$76)&lt;=Inputs!$C$74," weekday"," weekend"),Utility_Rates!$C$28:$F$28,Inputs!$C$68)),"")</f>
      </c>
      <c r="H3691" s="34"/>
      <c r="I3691" s="42">
        <f>IF(AND(ISNUMBER(D3691),ISNUMBER(H3691)),D3691*H3691*Inputs!$C$69,"")</f>
      </c>
      <c r="J3691" s="42">
        <f>IF(AND(ISNUMBER(F3691),ISNUMBER(H3691),F3691&gt;=Inputs!$C$68),F3691*H3691*Inputs!$C$69,"")</f>
      </c>
    </row>
    <row r="3692" spans="2:10" ht="15" customHeight="1" x14ac:dyDescent="0.2">
      <c r="B3692" s="39">
        <f t="shared" si="28"/>
      </c>
      <c r="C3692" s="40">
        <f>IF(Inputs!$C$60,Inputs!$C$11+(B3692-Inputs!$C$69)/Inputs!$C$70,"")</f>
      </c>
      <c r="D3692" s="15"/>
      <c r="E3692" s="15"/>
      <c r="F3692" s="11">
        <f t="shared" si="29"/>
      </c>
      <c r="G3692" s="22" cm="1">
        <f t="array" ref="G3692">IF(AND(Inputs!$C$60,Inputs!$C$61),INDEX(Utility_Rates!$C$29:$F$52,HOUR(C3692)+Inputs!$C$69,MATCH(INDEX(Utility_Rates!$K$6:$K$17,MONTH(C3692))&amp;IF(WEEKDAY(C3692,Inputs!$C$76)&lt;=Inputs!$C$74," weekday"," weekend"),Utility_Rates!$C$28:$F$28,Inputs!$C$68)),"")</f>
      </c>
      <c r="H3692" s="34"/>
      <c r="I3692" s="42">
        <f>IF(AND(ISNUMBER(D3692),ISNUMBER(H3692)),D3692*H3692*Inputs!$C$69,"")</f>
      </c>
      <c r="J3692" s="42">
        <f>IF(AND(ISNUMBER(F3692),ISNUMBER(H3692),F3692&gt;=Inputs!$C$68),F3692*H3692*Inputs!$C$69,"")</f>
      </c>
    </row>
    <row r="3693" spans="2:10" ht="15" customHeight="1" x14ac:dyDescent="0.2">
      <c r="B3693" s="39">
        <f t="shared" si="28"/>
      </c>
      <c r="C3693" s="40">
        <f>IF(Inputs!$C$60,Inputs!$C$11+(B3693-Inputs!$C$69)/Inputs!$C$70,"")</f>
      </c>
      <c r="D3693" s="15"/>
      <c r="E3693" s="15"/>
      <c r="F3693" s="11">
        <f t="shared" si="29"/>
      </c>
      <c r="G3693" s="22" cm="1">
        <f t="array" ref="G3693">IF(AND(Inputs!$C$60,Inputs!$C$61),INDEX(Utility_Rates!$C$29:$F$52,HOUR(C3693)+Inputs!$C$69,MATCH(INDEX(Utility_Rates!$K$6:$K$17,MONTH(C3693))&amp;IF(WEEKDAY(C3693,Inputs!$C$76)&lt;=Inputs!$C$74," weekday"," weekend"),Utility_Rates!$C$28:$F$28,Inputs!$C$68)),"")</f>
      </c>
      <c r="H3693" s="34"/>
      <c r="I3693" s="42">
        <f>IF(AND(ISNUMBER(D3693),ISNUMBER(H3693)),D3693*H3693*Inputs!$C$69,"")</f>
      </c>
      <c r="J3693" s="42">
        <f>IF(AND(ISNUMBER(F3693),ISNUMBER(H3693),F3693&gt;=Inputs!$C$68),F3693*H3693*Inputs!$C$69,"")</f>
      </c>
    </row>
    <row r="3694" spans="2:10" ht="15" customHeight="1" x14ac:dyDescent="0.2">
      <c r="B3694" s="39">
        <f t="shared" si="28"/>
      </c>
      <c r="C3694" s="40">
        <f>IF(Inputs!$C$60,Inputs!$C$11+(B3694-Inputs!$C$69)/Inputs!$C$70,"")</f>
      </c>
      <c r="D3694" s="15"/>
      <c r="E3694" s="15"/>
      <c r="F3694" s="11">
        <f t="shared" si="29"/>
      </c>
      <c r="G3694" s="22" cm="1">
        <f t="array" ref="G3694">IF(AND(Inputs!$C$60,Inputs!$C$61),INDEX(Utility_Rates!$C$29:$F$52,HOUR(C3694)+Inputs!$C$69,MATCH(INDEX(Utility_Rates!$K$6:$K$17,MONTH(C3694))&amp;IF(WEEKDAY(C3694,Inputs!$C$76)&lt;=Inputs!$C$74," weekday"," weekend"),Utility_Rates!$C$28:$F$28,Inputs!$C$68)),"")</f>
      </c>
      <c r="H3694" s="34"/>
      <c r="I3694" s="42">
        <f>IF(AND(ISNUMBER(D3694),ISNUMBER(H3694)),D3694*H3694*Inputs!$C$69,"")</f>
      </c>
      <c r="J3694" s="42">
        <f>IF(AND(ISNUMBER(F3694),ISNUMBER(H3694),F3694&gt;=Inputs!$C$68),F3694*H3694*Inputs!$C$69,"")</f>
      </c>
    </row>
    <row r="3695" spans="2:10" ht="15" customHeight="1" x14ac:dyDescent="0.2">
      <c r="B3695" s="39">
        <f t="shared" si="28"/>
      </c>
      <c r="C3695" s="40">
        <f>IF(Inputs!$C$60,Inputs!$C$11+(B3695-Inputs!$C$69)/Inputs!$C$70,"")</f>
      </c>
      <c r="D3695" s="15"/>
      <c r="E3695" s="15"/>
      <c r="F3695" s="11">
        <f t="shared" si="29"/>
      </c>
      <c r="G3695" s="22" cm="1">
        <f t="array" ref="G3695">IF(AND(Inputs!$C$60,Inputs!$C$61),INDEX(Utility_Rates!$C$29:$F$52,HOUR(C3695)+Inputs!$C$69,MATCH(INDEX(Utility_Rates!$K$6:$K$17,MONTH(C3695))&amp;IF(WEEKDAY(C3695,Inputs!$C$76)&lt;=Inputs!$C$74," weekday"," weekend"),Utility_Rates!$C$28:$F$28,Inputs!$C$68)),"")</f>
      </c>
      <c r="H3695" s="34"/>
      <c r="I3695" s="42">
        <f>IF(AND(ISNUMBER(D3695),ISNUMBER(H3695)),D3695*H3695*Inputs!$C$69,"")</f>
      </c>
      <c r="J3695" s="42">
        <f>IF(AND(ISNUMBER(F3695),ISNUMBER(H3695),F3695&gt;=Inputs!$C$68),F3695*H3695*Inputs!$C$69,"")</f>
      </c>
    </row>
    <row r="3696" spans="2:10" ht="15" customHeight="1" x14ac:dyDescent="0.2">
      <c r="B3696" s="39">
        <f t="shared" si="28"/>
      </c>
      <c r="C3696" s="40">
        <f>IF(Inputs!$C$60,Inputs!$C$11+(B3696-Inputs!$C$69)/Inputs!$C$70,"")</f>
      </c>
      <c r="D3696" s="15"/>
      <c r="E3696" s="15"/>
      <c r="F3696" s="11">
        <f t="shared" si="29"/>
      </c>
      <c r="G3696" s="22" cm="1">
        <f t="array" ref="G3696">IF(AND(Inputs!$C$60,Inputs!$C$61),INDEX(Utility_Rates!$C$29:$F$52,HOUR(C3696)+Inputs!$C$69,MATCH(INDEX(Utility_Rates!$K$6:$K$17,MONTH(C3696))&amp;IF(WEEKDAY(C3696,Inputs!$C$76)&lt;=Inputs!$C$74," weekday"," weekend"),Utility_Rates!$C$28:$F$28,Inputs!$C$68)),"")</f>
      </c>
      <c r="H3696" s="34"/>
      <c r="I3696" s="42">
        <f>IF(AND(ISNUMBER(D3696),ISNUMBER(H3696)),D3696*H3696*Inputs!$C$69,"")</f>
      </c>
      <c r="J3696" s="42">
        <f>IF(AND(ISNUMBER(F3696),ISNUMBER(H3696),F3696&gt;=Inputs!$C$68),F3696*H3696*Inputs!$C$69,"")</f>
      </c>
    </row>
    <row r="3697" spans="2:10" ht="15" customHeight="1" x14ac:dyDescent="0.2">
      <c r="B3697" s="39">
        <f t="shared" si="28"/>
      </c>
      <c r="C3697" s="40">
        <f>IF(Inputs!$C$60,Inputs!$C$11+(B3697-Inputs!$C$69)/Inputs!$C$70,"")</f>
      </c>
      <c r="D3697" s="15"/>
      <c r="E3697" s="15"/>
      <c r="F3697" s="11">
        <f t="shared" si="29"/>
      </c>
      <c r="G3697" s="22" cm="1">
        <f t="array" ref="G3697">IF(AND(Inputs!$C$60,Inputs!$C$61),INDEX(Utility_Rates!$C$29:$F$52,HOUR(C3697)+Inputs!$C$69,MATCH(INDEX(Utility_Rates!$K$6:$K$17,MONTH(C3697))&amp;IF(WEEKDAY(C3697,Inputs!$C$76)&lt;=Inputs!$C$74," weekday"," weekend"),Utility_Rates!$C$28:$F$28,Inputs!$C$68)),"")</f>
      </c>
      <c r="H3697" s="34"/>
      <c r="I3697" s="42">
        <f>IF(AND(ISNUMBER(D3697),ISNUMBER(H3697)),D3697*H3697*Inputs!$C$69,"")</f>
      </c>
      <c r="J3697" s="42">
        <f>IF(AND(ISNUMBER(F3697),ISNUMBER(H3697),F3697&gt;=Inputs!$C$68),F3697*H3697*Inputs!$C$69,"")</f>
      </c>
    </row>
    <row r="3698" spans="2:10" ht="15" customHeight="1" x14ac:dyDescent="0.2">
      <c r="B3698" s="39">
        <f t="shared" si="28"/>
      </c>
      <c r="C3698" s="40">
        <f>IF(Inputs!$C$60,Inputs!$C$11+(B3698-Inputs!$C$69)/Inputs!$C$70,"")</f>
      </c>
      <c r="D3698" s="15"/>
      <c r="E3698" s="15"/>
      <c r="F3698" s="11">
        <f t="shared" si="29"/>
      </c>
      <c r="G3698" s="22" cm="1">
        <f t="array" ref="G3698">IF(AND(Inputs!$C$60,Inputs!$C$61),INDEX(Utility_Rates!$C$29:$F$52,HOUR(C3698)+Inputs!$C$69,MATCH(INDEX(Utility_Rates!$K$6:$K$17,MONTH(C3698))&amp;IF(WEEKDAY(C3698,Inputs!$C$76)&lt;=Inputs!$C$74," weekday"," weekend"),Utility_Rates!$C$28:$F$28,Inputs!$C$68)),"")</f>
      </c>
      <c r="H3698" s="34"/>
      <c r="I3698" s="42">
        <f>IF(AND(ISNUMBER(D3698),ISNUMBER(H3698)),D3698*H3698*Inputs!$C$69,"")</f>
      </c>
      <c r="J3698" s="42">
        <f>IF(AND(ISNUMBER(F3698),ISNUMBER(H3698),F3698&gt;=Inputs!$C$68),F3698*H3698*Inputs!$C$69,"")</f>
      </c>
    </row>
    <row r="3699" spans="2:10" ht="15" customHeight="1" x14ac:dyDescent="0.2">
      <c r="B3699" s="39">
        <f t="shared" si="28"/>
      </c>
      <c r="C3699" s="40">
        <f>IF(Inputs!$C$60,Inputs!$C$11+(B3699-Inputs!$C$69)/Inputs!$C$70,"")</f>
      </c>
      <c r="D3699" s="15"/>
      <c r="E3699" s="15"/>
      <c r="F3699" s="11">
        <f t="shared" si="29"/>
      </c>
      <c r="G3699" s="22" cm="1">
        <f t="array" ref="G3699">IF(AND(Inputs!$C$60,Inputs!$C$61),INDEX(Utility_Rates!$C$29:$F$52,HOUR(C3699)+Inputs!$C$69,MATCH(INDEX(Utility_Rates!$K$6:$K$17,MONTH(C3699))&amp;IF(WEEKDAY(C3699,Inputs!$C$76)&lt;=Inputs!$C$74," weekday"," weekend"),Utility_Rates!$C$28:$F$28,Inputs!$C$68)),"")</f>
      </c>
      <c r="H3699" s="34"/>
      <c r="I3699" s="42">
        <f>IF(AND(ISNUMBER(D3699),ISNUMBER(H3699)),D3699*H3699*Inputs!$C$69,"")</f>
      </c>
      <c r="J3699" s="42">
        <f>IF(AND(ISNUMBER(F3699),ISNUMBER(H3699),F3699&gt;=Inputs!$C$68),F3699*H3699*Inputs!$C$69,"")</f>
      </c>
    </row>
    <row r="3700" spans="2:10" ht="15" customHeight="1" x14ac:dyDescent="0.2">
      <c r="B3700" s="39">
        <f t="shared" si="28"/>
      </c>
      <c r="C3700" s="40">
        <f>IF(Inputs!$C$60,Inputs!$C$11+(B3700-Inputs!$C$69)/Inputs!$C$70,"")</f>
      </c>
      <c r="D3700" s="15"/>
      <c r="E3700" s="15"/>
      <c r="F3700" s="11">
        <f t="shared" si="29"/>
      </c>
      <c r="G3700" s="22" cm="1">
        <f t="array" ref="G3700">IF(AND(Inputs!$C$60,Inputs!$C$61),INDEX(Utility_Rates!$C$29:$F$52,HOUR(C3700)+Inputs!$C$69,MATCH(INDEX(Utility_Rates!$K$6:$K$17,MONTH(C3700))&amp;IF(WEEKDAY(C3700,Inputs!$C$76)&lt;=Inputs!$C$74," weekday"," weekend"),Utility_Rates!$C$28:$F$28,Inputs!$C$68)),"")</f>
      </c>
      <c r="H3700" s="34"/>
      <c r="I3700" s="42">
        <f>IF(AND(ISNUMBER(D3700),ISNUMBER(H3700)),D3700*H3700*Inputs!$C$69,"")</f>
      </c>
      <c r="J3700" s="42">
        <f>IF(AND(ISNUMBER(F3700),ISNUMBER(H3700),F3700&gt;=Inputs!$C$68),F3700*H3700*Inputs!$C$69,"")</f>
      </c>
    </row>
    <row r="3701" spans="2:10" ht="15" customHeight="1" x14ac:dyDescent="0.2">
      <c r="B3701" s="39">
        <f t="shared" si="28"/>
      </c>
      <c r="C3701" s="40">
        <f>IF(Inputs!$C$60,Inputs!$C$11+(B3701-Inputs!$C$69)/Inputs!$C$70,"")</f>
      </c>
      <c r="D3701" s="15"/>
      <c r="E3701" s="15"/>
      <c r="F3701" s="11">
        <f t="shared" si="29"/>
      </c>
      <c r="G3701" s="22" cm="1">
        <f t="array" ref="G3701">IF(AND(Inputs!$C$60,Inputs!$C$61),INDEX(Utility_Rates!$C$29:$F$52,HOUR(C3701)+Inputs!$C$69,MATCH(INDEX(Utility_Rates!$K$6:$K$17,MONTH(C3701))&amp;IF(WEEKDAY(C3701,Inputs!$C$76)&lt;=Inputs!$C$74," weekday"," weekend"),Utility_Rates!$C$28:$F$28,Inputs!$C$68)),"")</f>
      </c>
      <c r="H3701" s="34"/>
      <c r="I3701" s="42">
        <f>IF(AND(ISNUMBER(D3701),ISNUMBER(H3701)),D3701*H3701*Inputs!$C$69,"")</f>
      </c>
      <c r="J3701" s="42">
        <f>IF(AND(ISNUMBER(F3701),ISNUMBER(H3701),F3701&gt;=Inputs!$C$68),F3701*H3701*Inputs!$C$69,"")</f>
      </c>
    </row>
    <row r="3702" spans="2:10" ht="15" customHeight="1" x14ac:dyDescent="0.2">
      <c r="B3702" s="39">
        <f t="shared" si="28"/>
      </c>
      <c r="C3702" s="40">
        <f>IF(Inputs!$C$60,Inputs!$C$11+(B3702-Inputs!$C$69)/Inputs!$C$70,"")</f>
      </c>
      <c r="D3702" s="15"/>
      <c r="E3702" s="15"/>
      <c r="F3702" s="11">
        <f t="shared" si="29"/>
      </c>
      <c r="G3702" s="22" cm="1">
        <f t="array" ref="G3702">IF(AND(Inputs!$C$60,Inputs!$C$61),INDEX(Utility_Rates!$C$29:$F$52,HOUR(C3702)+Inputs!$C$69,MATCH(INDEX(Utility_Rates!$K$6:$K$17,MONTH(C3702))&amp;IF(WEEKDAY(C3702,Inputs!$C$76)&lt;=Inputs!$C$74," weekday"," weekend"),Utility_Rates!$C$28:$F$28,Inputs!$C$68)),"")</f>
      </c>
      <c r="H3702" s="34"/>
      <c r="I3702" s="42">
        <f>IF(AND(ISNUMBER(D3702),ISNUMBER(H3702)),D3702*H3702*Inputs!$C$69,"")</f>
      </c>
      <c r="J3702" s="42">
        <f>IF(AND(ISNUMBER(F3702),ISNUMBER(H3702),F3702&gt;=Inputs!$C$68),F3702*H3702*Inputs!$C$69,"")</f>
      </c>
    </row>
    <row r="3703" spans="2:10" ht="15" customHeight="1" x14ac:dyDescent="0.2">
      <c r="B3703" s="39">
        <f t="shared" si="28"/>
      </c>
      <c r="C3703" s="40">
        <f>IF(Inputs!$C$60,Inputs!$C$11+(B3703-Inputs!$C$69)/Inputs!$C$70,"")</f>
      </c>
      <c r="D3703" s="15"/>
      <c r="E3703" s="15"/>
      <c r="F3703" s="11">
        <f t="shared" si="29"/>
      </c>
      <c r="G3703" s="22" cm="1">
        <f t="array" ref="G3703">IF(AND(Inputs!$C$60,Inputs!$C$61),INDEX(Utility_Rates!$C$29:$F$52,HOUR(C3703)+Inputs!$C$69,MATCH(INDEX(Utility_Rates!$K$6:$K$17,MONTH(C3703))&amp;IF(WEEKDAY(C3703,Inputs!$C$76)&lt;=Inputs!$C$74," weekday"," weekend"),Utility_Rates!$C$28:$F$28,Inputs!$C$68)),"")</f>
      </c>
      <c r="H3703" s="34"/>
      <c r="I3703" s="42">
        <f>IF(AND(ISNUMBER(D3703),ISNUMBER(H3703)),D3703*H3703*Inputs!$C$69,"")</f>
      </c>
      <c r="J3703" s="42">
        <f>IF(AND(ISNUMBER(F3703),ISNUMBER(H3703),F3703&gt;=Inputs!$C$68),F3703*H3703*Inputs!$C$69,"")</f>
      </c>
    </row>
    <row r="3704" spans="2:10" ht="15" customHeight="1" x14ac:dyDescent="0.2">
      <c r="B3704" s="39">
        <f t="shared" si="28"/>
      </c>
      <c r="C3704" s="40">
        <f>IF(Inputs!$C$60,Inputs!$C$11+(B3704-Inputs!$C$69)/Inputs!$C$70,"")</f>
      </c>
      <c r="D3704" s="15"/>
      <c r="E3704" s="15"/>
      <c r="F3704" s="11">
        <f t="shared" si="29"/>
      </c>
      <c r="G3704" s="22" cm="1">
        <f t="array" ref="G3704">IF(AND(Inputs!$C$60,Inputs!$C$61),INDEX(Utility_Rates!$C$29:$F$52,HOUR(C3704)+Inputs!$C$69,MATCH(INDEX(Utility_Rates!$K$6:$K$17,MONTH(C3704))&amp;IF(WEEKDAY(C3704,Inputs!$C$76)&lt;=Inputs!$C$74," weekday"," weekend"),Utility_Rates!$C$28:$F$28,Inputs!$C$68)),"")</f>
      </c>
      <c r="H3704" s="34"/>
      <c r="I3704" s="42">
        <f>IF(AND(ISNUMBER(D3704),ISNUMBER(H3704)),D3704*H3704*Inputs!$C$69,"")</f>
      </c>
      <c r="J3704" s="42">
        <f>IF(AND(ISNUMBER(F3704),ISNUMBER(H3704),F3704&gt;=Inputs!$C$68),F3704*H3704*Inputs!$C$69,"")</f>
      </c>
    </row>
    <row r="3705" spans="2:10" ht="15" customHeight="1" x14ac:dyDescent="0.2">
      <c r="B3705" s="39">
        <f t="shared" si="28"/>
      </c>
      <c r="C3705" s="40">
        <f>IF(Inputs!$C$60,Inputs!$C$11+(B3705-Inputs!$C$69)/Inputs!$C$70,"")</f>
      </c>
      <c r="D3705" s="15"/>
      <c r="E3705" s="15"/>
      <c r="F3705" s="11">
        <f t="shared" si="29"/>
      </c>
      <c r="G3705" s="22" cm="1">
        <f t="array" ref="G3705">IF(AND(Inputs!$C$60,Inputs!$C$61),INDEX(Utility_Rates!$C$29:$F$52,HOUR(C3705)+Inputs!$C$69,MATCH(INDEX(Utility_Rates!$K$6:$K$17,MONTH(C3705))&amp;IF(WEEKDAY(C3705,Inputs!$C$76)&lt;=Inputs!$C$74," weekday"," weekend"),Utility_Rates!$C$28:$F$28,Inputs!$C$68)),"")</f>
      </c>
      <c r="H3705" s="34"/>
      <c r="I3705" s="42">
        <f>IF(AND(ISNUMBER(D3705),ISNUMBER(H3705)),D3705*H3705*Inputs!$C$69,"")</f>
      </c>
      <c r="J3705" s="42">
        <f>IF(AND(ISNUMBER(F3705),ISNUMBER(H3705),F3705&gt;=Inputs!$C$68),F3705*H3705*Inputs!$C$69,"")</f>
      </c>
    </row>
    <row r="3706" spans="2:10" ht="15" customHeight="1" x14ac:dyDescent="0.2">
      <c r="B3706" s="39">
        <f t="shared" si="28"/>
      </c>
      <c r="C3706" s="40">
        <f>IF(Inputs!$C$60,Inputs!$C$11+(B3706-Inputs!$C$69)/Inputs!$C$70,"")</f>
      </c>
      <c r="D3706" s="15"/>
      <c r="E3706" s="15"/>
      <c r="F3706" s="11">
        <f t="shared" si="29"/>
      </c>
      <c r="G3706" s="22" cm="1">
        <f t="array" ref="G3706">IF(AND(Inputs!$C$60,Inputs!$C$61),INDEX(Utility_Rates!$C$29:$F$52,HOUR(C3706)+Inputs!$C$69,MATCH(INDEX(Utility_Rates!$K$6:$K$17,MONTH(C3706))&amp;IF(WEEKDAY(C3706,Inputs!$C$76)&lt;=Inputs!$C$74," weekday"," weekend"),Utility_Rates!$C$28:$F$28,Inputs!$C$68)),"")</f>
      </c>
      <c r="H3706" s="34"/>
      <c r="I3706" s="42">
        <f>IF(AND(ISNUMBER(D3706),ISNUMBER(H3706)),D3706*H3706*Inputs!$C$69,"")</f>
      </c>
      <c r="J3706" s="42">
        <f>IF(AND(ISNUMBER(F3706),ISNUMBER(H3706),F3706&gt;=Inputs!$C$68),F3706*H3706*Inputs!$C$69,"")</f>
      </c>
    </row>
    <row r="3707" spans="2:10" ht="15" customHeight="1" x14ac:dyDescent="0.2">
      <c r="B3707" s="39">
        <f t="shared" si="28"/>
      </c>
      <c r="C3707" s="40">
        <f>IF(Inputs!$C$60,Inputs!$C$11+(B3707-Inputs!$C$69)/Inputs!$C$70,"")</f>
      </c>
      <c r="D3707" s="15"/>
      <c r="E3707" s="15"/>
      <c r="F3707" s="11">
        <f t="shared" si="29"/>
      </c>
      <c r="G3707" s="22" cm="1">
        <f t="array" ref="G3707">IF(AND(Inputs!$C$60,Inputs!$C$61),INDEX(Utility_Rates!$C$29:$F$52,HOUR(C3707)+Inputs!$C$69,MATCH(INDEX(Utility_Rates!$K$6:$K$17,MONTH(C3707))&amp;IF(WEEKDAY(C3707,Inputs!$C$76)&lt;=Inputs!$C$74," weekday"," weekend"),Utility_Rates!$C$28:$F$28,Inputs!$C$68)),"")</f>
      </c>
      <c r="H3707" s="34"/>
      <c r="I3707" s="42">
        <f>IF(AND(ISNUMBER(D3707),ISNUMBER(H3707)),D3707*H3707*Inputs!$C$69,"")</f>
      </c>
      <c r="J3707" s="42">
        <f>IF(AND(ISNUMBER(F3707),ISNUMBER(H3707),F3707&gt;=Inputs!$C$68),F3707*H3707*Inputs!$C$69,"")</f>
      </c>
    </row>
    <row r="3708" spans="2:10" ht="15" customHeight="1" x14ac:dyDescent="0.2">
      <c r="B3708" s="39">
        <f t="shared" si="28"/>
      </c>
      <c r="C3708" s="40">
        <f>IF(Inputs!$C$60,Inputs!$C$11+(B3708-Inputs!$C$69)/Inputs!$C$70,"")</f>
      </c>
      <c r="D3708" s="15"/>
      <c r="E3708" s="15"/>
      <c r="F3708" s="11">
        <f t="shared" si="29"/>
      </c>
      <c r="G3708" s="22" cm="1">
        <f t="array" ref="G3708">IF(AND(Inputs!$C$60,Inputs!$C$61),INDEX(Utility_Rates!$C$29:$F$52,HOUR(C3708)+Inputs!$C$69,MATCH(INDEX(Utility_Rates!$K$6:$K$17,MONTH(C3708))&amp;IF(WEEKDAY(C3708,Inputs!$C$76)&lt;=Inputs!$C$74," weekday"," weekend"),Utility_Rates!$C$28:$F$28,Inputs!$C$68)),"")</f>
      </c>
      <c r="H3708" s="34"/>
      <c r="I3708" s="42">
        <f>IF(AND(ISNUMBER(D3708),ISNUMBER(H3708)),D3708*H3708*Inputs!$C$69,"")</f>
      </c>
      <c r="J3708" s="42">
        <f>IF(AND(ISNUMBER(F3708),ISNUMBER(H3708),F3708&gt;=Inputs!$C$68),F3708*H3708*Inputs!$C$69,"")</f>
      </c>
    </row>
    <row r="3709" spans="2:10" ht="15" customHeight="1" x14ac:dyDescent="0.2">
      <c r="B3709" s="39">
        <f t="shared" si="28"/>
      </c>
      <c r="C3709" s="40">
        <f>IF(Inputs!$C$60,Inputs!$C$11+(B3709-Inputs!$C$69)/Inputs!$C$70,"")</f>
      </c>
      <c r="D3709" s="15"/>
      <c r="E3709" s="15"/>
      <c r="F3709" s="11">
        <f t="shared" si="29"/>
      </c>
      <c r="G3709" s="22" cm="1">
        <f t="array" ref="G3709">IF(AND(Inputs!$C$60,Inputs!$C$61),INDEX(Utility_Rates!$C$29:$F$52,HOUR(C3709)+Inputs!$C$69,MATCH(INDEX(Utility_Rates!$K$6:$K$17,MONTH(C3709))&amp;IF(WEEKDAY(C3709,Inputs!$C$76)&lt;=Inputs!$C$74," weekday"," weekend"),Utility_Rates!$C$28:$F$28,Inputs!$C$68)),"")</f>
      </c>
      <c r="H3709" s="34"/>
      <c r="I3709" s="42">
        <f>IF(AND(ISNUMBER(D3709),ISNUMBER(H3709)),D3709*H3709*Inputs!$C$69,"")</f>
      </c>
      <c r="J3709" s="42">
        <f>IF(AND(ISNUMBER(F3709),ISNUMBER(H3709),F3709&gt;=Inputs!$C$68),F3709*H3709*Inputs!$C$69,"")</f>
      </c>
    </row>
    <row r="3710" spans="2:10" ht="15" customHeight="1" x14ac:dyDescent="0.2">
      <c r="B3710" s="39">
        <f t="shared" si="28"/>
      </c>
      <c r="C3710" s="40">
        <f>IF(Inputs!$C$60,Inputs!$C$11+(B3710-Inputs!$C$69)/Inputs!$C$70,"")</f>
      </c>
      <c r="D3710" s="15"/>
      <c r="E3710" s="15"/>
      <c r="F3710" s="11">
        <f t="shared" si="29"/>
      </c>
      <c r="G3710" s="22" cm="1">
        <f t="array" ref="G3710">IF(AND(Inputs!$C$60,Inputs!$C$61),INDEX(Utility_Rates!$C$29:$F$52,HOUR(C3710)+Inputs!$C$69,MATCH(INDEX(Utility_Rates!$K$6:$K$17,MONTH(C3710))&amp;IF(WEEKDAY(C3710,Inputs!$C$76)&lt;=Inputs!$C$74," weekday"," weekend"),Utility_Rates!$C$28:$F$28,Inputs!$C$68)),"")</f>
      </c>
      <c r="H3710" s="34"/>
      <c r="I3710" s="42">
        <f>IF(AND(ISNUMBER(D3710),ISNUMBER(H3710)),D3710*H3710*Inputs!$C$69,"")</f>
      </c>
      <c r="J3710" s="42">
        <f>IF(AND(ISNUMBER(F3710),ISNUMBER(H3710),F3710&gt;=Inputs!$C$68),F3710*H3710*Inputs!$C$69,"")</f>
      </c>
    </row>
    <row r="3711" spans="2:10" ht="15" customHeight="1" x14ac:dyDescent="0.2">
      <c r="B3711" s="39">
        <f t="shared" si="28"/>
      </c>
      <c r="C3711" s="40">
        <f>IF(Inputs!$C$60,Inputs!$C$11+(B3711-Inputs!$C$69)/Inputs!$C$70,"")</f>
      </c>
      <c r="D3711" s="15"/>
      <c r="E3711" s="15"/>
      <c r="F3711" s="11">
        <f t="shared" si="29"/>
      </c>
      <c r="G3711" s="22" cm="1">
        <f t="array" ref="G3711">IF(AND(Inputs!$C$60,Inputs!$C$61),INDEX(Utility_Rates!$C$29:$F$52,HOUR(C3711)+Inputs!$C$69,MATCH(INDEX(Utility_Rates!$K$6:$K$17,MONTH(C3711))&amp;IF(WEEKDAY(C3711,Inputs!$C$76)&lt;=Inputs!$C$74," weekday"," weekend"),Utility_Rates!$C$28:$F$28,Inputs!$C$68)),"")</f>
      </c>
      <c r="H3711" s="34"/>
      <c r="I3711" s="42">
        <f>IF(AND(ISNUMBER(D3711),ISNUMBER(H3711)),D3711*H3711*Inputs!$C$69,"")</f>
      </c>
      <c r="J3711" s="42">
        <f>IF(AND(ISNUMBER(F3711),ISNUMBER(H3711),F3711&gt;=Inputs!$C$68),F3711*H3711*Inputs!$C$69,"")</f>
      </c>
    </row>
    <row r="3712" spans="2:10" ht="15" customHeight="1" x14ac:dyDescent="0.2">
      <c r="B3712" s="39">
        <f t="shared" si="28"/>
      </c>
      <c r="C3712" s="40">
        <f>IF(Inputs!$C$60,Inputs!$C$11+(B3712-Inputs!$C$69)/Inputs!$C$70,"")</f>
      </c>
      <c r="D3712" s="15"/>
      <c r="E3712" s="15"/>
      <c r="F3712" s="11">
        <f t="shared" si="29"/>
      </c>
      <c r="G3712" s="22" cm="1">
        <f t="array" ref="G3712">IF(AND(Inputs!$C$60,Inputs!$C$61),INDEX(Utility_Rates!$C$29:$F$52,HOUR(C3712)+Inputs!$C$69,MATCH(INDEX(Utility_Rates!$K$6:$K$17,MONTH(C3712))&amp;IF(WEEKDAY(C3712,Inputs!$C$76)&lt;=Inputs!$C$74," weekday"," weekend"),Utility_Rates!$C$28:$F$28,Inputs!$C$68)),"")</f>
      </c>
      <c r="H3712" s="34"/>
      <c r="I3712" s="42">
        <f>IF(AND(ISNUMBER(D3712),ISNUMBER(H3712)),D3712*H3712*Inputs!$C$69,"")</f>
      </c>
      <c r="J3712" s="42">
        <f>IF(AND(ISNUMBER(F3712),ISNUMBER(H3712),F3712&gt;=Inputs!$C$68),F3712*H3712*Inputs!$C$69,"")</f>
      </c>
    </row>
    <row r="3713" spans="2:10" ht="15" customHeight="1" x14ac:dyDescent="0.2">
      <c r="B3713" s="39">
        <f t="shared" si="28"/>
      </c>
      <c r="C3713" s="40">
        <f>IF(Inputs!$C$60,Inputs!$C$11+(B3713-Inputs!$C$69)/Inputs!$C$70,"")</f>
      </c>
      <c r="D3713" s="15"/>
      <c r="E3713" s="15"/>
      <c r="F3713" s="11">
        <f t="shared" si="29"/>
      </c>
      <c r="G3713" s="22" cm="1">
        <f t="array" ref="G3713">IF(AND(Inputs!$C$60,Inputs!$C$61),INDEX(Utility_Rates!$C$29:$F$52,HOUR(C3713)+Inputs!$C$69,MATCH(INDEX(Utility_Rates!$K$6:$K$17,MONTH(C3713))&amp;IF(WEEKDAY(C3713,Inputs!$C$76)&lt;=Inputs!$C$74," weekday"," weekend"),Utility_Rates!$C$28:$F$28,Inputs!$C$68)),"")</f>
      </c>
      <c r="H3713" s="34"/>
      <c r="I3713" s="42">
        <f>IF(AND(ISNUMBER(D3713),ISNUMBER(H3713)),D3713*H3713*Inputs!$C$69,"")</f>
      </c>
      <c r="J3713" s="42">
        <f>IF(AND(ISNUMBER(F3713),ISNUMBER(H3713),F3713&gt;=Inputs!$C$68),F3713*H3713*Inputs!$C$69,"")</f>
      </c>
    </row>
    <row r="3714" spans="2:10" ht="15" customHeight="1" x14ac:dyDescent="0.2">
      <c r="B3714" s="39">
        <f t="shared" si="28"/>
      </c>
      <c r="C3714" s="40">
        <f>IF(Inputs!$C$60,Inputs!$C$11+(B3714-Inputs!$C$69)/Inputs!$C$70,"")</f>
      </c>
      <c r="D3714" s="15"/>
      <c r="E3714" s="15"/>
      <c r="F3714" s="11">
        <f t="shared" si="29"/>
      </c>
      <c r="G3714" s="22" cm="1">
        <f t="array" ref="G3714">IF(AND(Inputs!$C$60,Inputs!$C$61),INDEX(Utility_Rates!$C$29:$F$52,HOUR(C3714)+Inputs!$C$69,MATCH(INDEX(Utility_Rates!$K$6:$K$17,MONTH(C3714))&amp;IF(WEEKDAY(C3714,Inputs!$C$76)&lt;=Inputs!$C$74," weekday"," weekend"),Utility_Rates!$C$28:$F$28,Inputs!$C$68)),"")</f>
      </c>
      <c r="H3714" s="34"/>
      <c r="I3714" s="42">
        <f>IF(AND(ISNUMBER(D3714),ISNUMBER(H3714)),D3714*H3714*Inputs!$C$69,"")</f>
      </c>
      <c r="J3714" s="42">
        <f>IF(AND(ISNUMBER(F3714),ISNUMBER(H3714),F3714&gt;=Inputs!$C$68),F3714*H3714*Inputs!$C$69,"")</f>
      </c>
    </row>
    <row r="3715" spans="2:10" ht="15" customHeight="1" x14ac:dyDescent="0.2">
      <c r="B3715" s="39">
        <f t="shared" si="28"/>
      </c>
      <c r="C3715" s="40">
        <f>IF(Inputs!$C$60,Inputs!$C$11+(B3715-Inputs!$C$69)/Inputs!$C$70,"")</f>
      </c>
      <c r="D3715" s="15"/>
      <c r="E3715" s="15"/>
      <c r="F3715" s="11">
        <f t="shared" si="29"/>
      </c>
      <c r="G3715" s="22" cm="1">
        <f t="array" ref="G3715">IF(AND(Inputs!$C$60,Inputs!$C$61),INDEX(Utility_Rates!$C$29:$F$52,HOUR(C3715)+Inputs!$C$69,MATCH(INDEX(Utility_Rates!$K$6:$K$17,MONTH(C3715))&amp;IF(WEEKDAY(C3715,Inputs!$C$76)&lt;=Inputs!$C$74," weekday"," weekend"),Utility_Rates!$C$28:$F$28,Inputs!$C$68)),"")</f>
      </c>
      <c r="H3715" s="34"/>
      <c r="I3715" s="42">
        <f>IF(AND(ISNUMBER(D3715),ISNUMBER(H3715)),D3715*H3715*Inputs!$C$69,"")</f>
      </c>
      <c r="J3715" s="42">
        <f>IF(AND(ISNUMBER(F3715),ISNUMBER(H3715),F3715&gt;=Inputs!$C$68),F3715*H3715*Inputs!$C$69,"")</f>
      </c>
    </row>
    <row r="3716" spans="2:10" ht="15" customHeight="1" x14ac:dyDescent="0.2">
      <c r="B3716" s="39">
        <f t="shared" si="28"/>
      </c>
      <c r="C3716" s="40">
        <f>IF(Inputs!$C$60,Inputs!$C$11+(B3716-Inputs!$C$69)/Inputs!$C$70,"")</f>
      </c>
      <c r="D3716" s="15"/>
      <c r="E3716" s="15"/>
      <c r="F3716" s="11">
        <f t="shared" si="29"/>
      </c>
      <c r="G3716" s="22" cm="1">
        <f t="array" ref="G3716">IF(AND(Inputs!$C$60,Inputs!$C$61),INDEX(Utility_Rates!$C$29:$F$52,HOUR(C3716)+Inputs!$C$69,MATCH(INDEX(Utility_Rates!$K$6:$K$17,MONTH(C3716))&amp;IF(WEEKDAY(C3716,Inputs!$C$76)&lt;=Inputs!$C$74," weekday"," weekend"),Utility_Rates!$C$28:$F$28,Inputs!$C$68)),"")</f>
      </c>
      <c r="H3716" s="34"/>
      <c r="I3716" s="42">
        <f>IF(AND(ISNUMBER(D3716),ISNUMBER(H3716)),D3716*H3716*Inputs!$C$69,"")</f>
      </c>
      <c r="J3716" s="42">
        <f>IF(AND(ISNUMBER(F3716),ISNUMBER(H3716),F3716&gt;=Inputs!$C$68),F3716*H3716*Inputs!$C$69,"")</f>
      </c>
    </row>
    <row r="3717" spans="2:10" ht="15" customHeight="1" x14ac:dyDescent="0.2">
      <c r="B3717" s="39">
        <f t="shared" si="28"/>
      </c>
      <c r="C3717" s="40">
        <f>IF(Inputs!$C$60,Inputs!$C$11+(B3717-Inputs!$C$69)/Inputs!$C$70,"")</f>
      </c>
      <c r="D3717" s="15"/>
      <c r="E3717" s="15"/>
      <c r="F3717" s="11">
        <f t="shared" si="29"/>
      </c>
      <c r="G3717" s="22" cm="1">
        <f t="array" ref="G3717">IF(AND(Inputs!$C$60,Inputs!$C$61),INDEX(Utility_Rates!$C$29:$F$52,HOUR(C3717)+Inputs!$C$69,MATCH(INDEX(Utility_Rates!$K$6:$K$17,MONTH(C3717))&amp;IF(WEEKDAY(C3717,Inputs!$C$76)&lt;=Inputs!$C$74," weekday"," weekend"),Utility_Rates!$C$28:$F$28,Inputs!$C$68)),"")</f>
      </c>
      <c r="H3717" s="34"/>
      <c r="I3717" s="42">
        <f>IF(AND(ISNUMBER(D3717),ISNUMBER(H3717)),D3717*H3717*Inputs!$C$69,"")</f>
      </c>
      <c r="J3717" s="42">
        <f>IF(AND(ISNUMBER(F3717),ISNUMBER(H3717),F3717&gt;=Inputs!$C$68),F3717*H3717*Inputs!$C$69,"")</f>
      </c>
    </row>
    <row r="3718" spans="2:10" ht="15" customHeight="1" x14ac:dyDescent="0.2">
      <c r="B3718" s="39">
        <f t="shared" si="28"/>
      </c>
      <c r="C3718" s="40">
        <f>IF(Inputs!$C$60,Inputs!$C$11+(B3718-Inputs!$C$69)/Inputs!$C$70,"")</f>
      </c>
      <c r="D3718" s="15"/>
      <c r="E3718" s="15"/>
      <c r="F3718" s="11">
        <f t="shared" si="29"/>
      </c>
      <c r="G3718" s="22" cm="1">
        <f t="array" ref="G3718">IF(AND(Inputs!$C$60,Inputs!$C$61),INDEX(Utility_Rates!$C$29:$F$52,HOUR(C3718)+Inputs!$C$69,MATCH(INDEX(Utility_Rates!$K$6:$K$17,MONTH(C3718))&amp;IF(WEEKDAY(C3718,Inputs!$C$76)&lt;=Inputs!$C$74," weekday"," weekend"),Utility_Rates!$C$28:$F$28,Inputs!$C$68)),"")</f>
      </c>
      <c r="H3718" s="34"/>
      <c r="I3718" s="42">
        <f>IF(AND(ISNUMBER(D3718),ISNUMBER(H3718)),D3718*H3718*Inputs!$C$69,"")</f>
      </c>
      <c r="J3718" s="42">
        <f>IF(AND(ISNUMBER(F3718),ISNUMBER(H3718),F3718&gt;=Inputs!$C$68),F3718*H3718*Inputs!$C$69,"")</f>
      </c>
    </row>
    <row r="3719" spans="2:10" ht="15" customHeight="1" x14ac:dyDescent="0.2">
      <c r="B3719" s="39">
        <f t="shared" si="28"/>
      </c>
      <c r="C3719" s="40">
        <f>IF(Inputs!$C$60,Inputs!$C$11+(B3719-Inputs!$C$69)/Inputs!$C$70,"")</f>
      </c>
      <c r="D3719" s="15"/>
      <c r="E3719" s="15"/>
      <c r="F3719" s="11">
        <f t="shared" si="29"/>
      </c>
      <c r="G3719" s="22" cm="1">
        <f t="array" ref="G3719">IF(AND(Inputs!$C$60,Inputs!$C$61),INDEX(Utility_Rates!$C$29:$F$52,HOUR(C3719)+Inputs!$C$69,MATCH(INDEX(Utility_Rates!$K$6:$K$17,MONTH(C3719))&amp;IF(WEEKDAY(C3719,Inputs!$C$76)&lt;=Inputs!$C$74," weekday"," weekend"),Utility_Rates!$C$28:$F$28,Inputs!$C$68)),"")</f>
      </c>
      <c r="H3719" s="34"/>
      <c r="I3719" s="42">
        <f>IF(AND(ISNUMBER(D3719),ISNUMBER(H3719)),D3719*H3719*Inputs!$C$69,"")</f>
      </c>
      <c r="J3719" s="42">
        <f>IF(AND(ISNUMBER(F3719),ISNUMBER(H3719),F3719&gt;=Inputs!$C$68),F3719*H3719*Inputs!$C$69,"")</f>
      </c>
    </row>
    <row r="3720" spans="2:10" ht="15" customHeight="1" x14ac:dyDescent="0.2">
      <c r="B3720" s="39">
        <f t="shared" si="28"/>
      </c>
      <c r="C3720" s="40">
        <f>IF(Inputs!$C$60,Inputs!$C$11+(B3720-Inputs!$C$69)/Inputs!$C$70,"")</f>
      </c>
      <c r="D3720" s="15"/>
      <c r="E3720" s="15"/>
      <c r="F3720" s="11">
        <f t="shared" si="29"/>
      </c>
      <c r="G3720" s="22" cm="1">
        <f t="array" ref="G3720">IF(AND(Inputs!$C$60,Inputs!$C$61),INDEX(Utility_Rates!$C$29:$F$52,HOUR(C3720)+Inputs!$C$69,MATCH(INDEX(Utility_Rates!$K$6:$K$17,MONTH(C3720))&amp;IF(WEEKDAY(C3720,Inputs!$C$76)&lt;=Inputs!$C$74," weekday"," weekend"),Utility_Rates!$C$28:$F$28,Inputs!$C$68)),"")</f>
      </c>
      <c r="H3720" s="34"/>
      <c r="I3720" s="42">
        <f>IF(AND(ISNUMBER(D3720),ISNUMBER(H3720)),D3720*H3720*Inputs!$C$69,"")</f>
      </c>
      <c r="J3720" s="42">
        <f>IF(AND(ISNUMBER(F3720),ISNUMBER(H3720),F3720&gt;=Inputs!$C$68),F3720*H3720*Inputs!$C$69,"")</f>
      </c>
    </row>
    <row r="3721" spans="2:10" ht="15" customHeight="1" x14ac:dyDescent="0.2">
      <c r="B3721" s="39">
        <f t="shared" si="28"/>
      </c>
      <c r="C3721" s="40">
        <f>IF(Inputs!$C$60,Inputs!$C$11+(B3721-Inputs!$C$69)/Inputs!$C$70,"")</f>
      </c>
      <c r="D3721" s="15"/>
      <c r="E3721" s="15"/>
      <c r="F3721" s="11">
        <f t="shared" si="29"/>
      </c>
      <c r="G3721" s="22" cm="1">
        <f t="array" ref="G3721">IF(AND(Inputs!$C$60,Inputs!$C$61),INDEX(Utility_Rates!$C$29:$F$52,HOUR(C3721)+Inputs!$C$69,MATCH(INDEX(Utility_Rates!$K$6:$K$17,MONTH(C3721))&amp;IF(WEEKDAY(C3721,Inputs!$C$76)&lt;=Inputs!$C$74," weekday"," weekend"),Utility_Rates!$C$28:$F$28,Inputs!$C$68)),"")</f>
      </c>
      <c r="H3721" s="34"/>
      <c r="I3721" s="42">
        <f>IF(AND(ISNUMBER(D3721),ISNUMBER(H3721)),D3721*H3721*Inputs!$C$69,"")</f>
      </c>
      <c r="J3721" s="42">
        <f>IF(AND(ISNUMBER(F3721),ISNUMBER(H3721),F3721&gt;=Inputs!$C$68),F3721*H3721*Inputs!$C$69,"")</f>
      </c>
    </row>
    <row r="3722" spans="2:10" ht="15" customHeight="1" x14ac:dyDescent="0.2">
      <c r="B3722" s="39">
        <f t="shared" si="28"/>
      </c>
      <c r="C3722" s="40">
        <f>IF(Inputs!$C$60,Inputs!$C$11+(B3722-Inputs!$C$69)/Inputs!$C$70,"")</f>
      </c>
      <c r="D3722" s="15"/>
      <c r="E3722" s="15"/>
      <c r="F3722" s="11">
        <f t="shared" si="29"/>
      </c>
      <c r="G3722" s="22" cm="1">
        <f t="array" ref="G3722">IF(AND(Inputs!$C$60,Inputs!$C$61),INDEX(Utility_Rates!$C$29:$F$52,HOUR(C3722)+Inputs!$C$69,MATCH(INDEX(Utility_Rates!$K$6:$K$17,MONTH(C3722))&amp;IF(WEEKDAY(C3722,Inputs!$C$76)&lt;=Inputs!$C$74," weekday"," weekend"),Utility_Rates!$C$28:$F$28,Inputs!$C$68)),"")</f>
      </c>
      <c r="H3722" s="34"/>
      <c r="I3722" s="42">
        <f>IF(AND(ISNUMBER(D3722),ISNUMBER(H3722)),D3722*H3722*Inputs!$C$69,"")</f>
      </c>
      <c r="J3722" s="42">
        <f>IF(AND(ISNUMBER(F3722),ISNUMBER(H3722),F3722&gt;=Inputs!$C$68),F3722*H3722*Inputs!$C$69,"")</f>
      </c>
    </row>
    <row r="3723" spans="2:10" ht="15" customHeight="1" x14ac:dyDescent="0.2">
      <c r="B3723" s="39">
        <f t="shared" si="28"/>
      </c>
      <c r="C3723" s="40">
        <f>IF(Inputs!$C$60,Inputs!$C$11+(B3723-Inputs!$C$69)/Inputs!$C$70,"")</f>
      </c>
      <c r="D3723" s="15"/>
      <c r="E3723" s="15"/>
      <c r="F3723" s="11">
        <f t="shared" si="29"/>
      </c>
      <c r="G3723" s="22" cm="1">
        <f t="array" ref="G3723">IF(AND(Inputs!$C$60,Inputs!$C$61),INDEX(Utility_Rates!$C$29:$F$52,HOUR(C3723)+Inputs!$C$69,MATCH(INDEX(Utility_Rates!$K$6:$K$17,MONTH(C3723))&amp;IF(WEEKDAY(C3723,Inputs!$C$76)&lt;=Inputs!$C$74," weekday"," weekend"),Utility_Rates!$C$28:$F$28,Inputs!$C$68)),"")</f>
      </c>
      <c r="H3723" s="34"/>
      <c r="I3723" s="42">
        <f>IF(AND(ISNUMBER(D3723),ISNUMBER(H3723)),D3723*H3723*Inputs!$C$69,"")</f>
      </c>
      <c r="J3723" s="42">
        <f>IF(AND(ISNUMBER(F3723),ISNUMBER(H3723),F3723&gt;=Inputs!$C$68),F3723*H3723*Inputs!$C$69,"")</f>
      </c>
    </row>
    <row r="3724" spans="2:10" ht="15" customHeight="1" x14ac:dyDescent="0.2">
      <c r="B3724" s="39">
        <f t="shared" si="28"/>
      </c>
      <c r="C3724" s="40">
        <f>IF(Inputs!$C$60,Inputs!$C$11+(B3724-Inputs!$C$69)/Inputs!$C$70,"")</f>
      </c>
      <c r="D3724" s="15"/>
      <c r="E3724" s="15"/>
      <c r="F3724" s="11">
        <f t="shared" si="29"/>
      </c>
      <c r="G3724" s="22" cm="1">
        <f t="array" ref="G3724">IF(AND(Inputs!$C$60,Inputs!$C$61),INDEX(Utility_Rates!$C$29:$F$52,HOUR(C3724)+Inputs!$C$69,MATCH(INDEX(Utility_Rates!$K$6:$K$17,MONTH(C3724))&amp;IF(WEEKDAY(C3724,Inputs!$C$76)&lt;=Inputs!$C$74," weekday"," weekend"),Utility_Rates!$C$28:$F$28,Inputs!$C$68)),"")</f>
      </c>
      <c r="H3724" s="34"/>
      <c r="I3724" s="42">
        <f>IF(AND(ISNUMBER(D3724),ISNUMBER(H3724)),D3724*H3724*Inputs!$C$69,"")</f>
      </c>
      <c r="J3724" s="42">
        <f>IF(AND(ISNUMBER(F3724),ISNUMBER(H3724),F3724&gt;=Inputs!$C$68),F3724*H3724*Inputs!$C$69,"")</f>
      </c>
    </row>
    <row r="3725" spans="2:10" ht="15" customHeight="1" x14ac:dyDescent="0.2">
      <c r="B3725" s="39">
        <f t="shared" si="28"/>
      </c>
      <c r="C3725" s="40">
        <f>IF(Inputs!$C$60,Inputs!$C$11+(B3725-Inputs!$C$69)/Inputs!$C$70,"")</f>
      </c>
      <c r="D3725" s="15"/>
      <c r="E3725" s="15"/>
      <c r="F3725" s="11">
        <f t="shared" si="29"/>
      </c>
      <c r="G3725" s="22" cm="1">
        <f t="array" ref="G3725">IF(AND(Inputs!$C$60,Inputs!$C$61),INDEX(Utility_Rates!$C$29:$F$52,HOUR(C3725)+Inputs!$C$69,MATCH(INDEX(Utility_Rates!$K$6:$K$17,MONTH(C3725))&amp;IF(WEEKDAY(C3725,Inputs!$C$76)&lt;=Inputs!$C$74," weekday"," weekend"),Utility_Rates!$C$28:$F$28,Inputs!$C$68)),"")</f>
      </c>
      <c r="H3725" s="34"/>
      <c r="I3725" s="42">
        <f>IF(AND(ISNUMBER(D3725),ISNUMBER(H3725)),D3725*H3725*Inputs!$C$69,"")</f>
      </c>
      <c r="J3725" s="42">
        <f>IF(AND(ISNUMBER(F3725),ISNUMBER(H3725),F3725&gt;=Inputs!$C$68),F3725*H3725*Inputs!$C$69,"")</f>
      </c>
    </row>
    <row r="3726" spans="2:10" ht="15" customHeight="1" x14ac:dyDescent="0.2">
      <c r="B3726" s="39">
        <f t="shared" si="28"/>
      </c>
      <c r="C3726" s="40">
        <f>IF(Inputs!$C$60,Inputs!$C$11+(B3726-Inputs!$C$69)/Inputs!$C$70,"")</f>
      </c>
      <c r="D3726" s="15"/>
      <c r="E3726" s="15"/>
      <c r="F3726" s="11">
        <f t="shared" si="29"/>
      </c>
      <c r="G3726" s="22" cm="1">
        <f t="array" ref="G3726">IF(AND(Inputs!$C$60,Inputs!$C$61),INDEX(Utility_Rates!$C$29:$F$52,HOUR(C3726)+Inputs!$C$69,MATCH(INDEX(Utility_Rates!$K$6:$K$17,MONTH(C3726))&amp;IF(WEEKDAY(C3726,Inputs!$C$76)&lt;=Inputs!$C$74," weekday"," weekend"),Utility_Rates!$C$28:$F$28,Inputs!$C$68)),"")</f>
      </c>
      <c r="H3726" s="34"/>
      <c r="I3726" s="42">
        <f>IF(AND(ISNUMBER(D3726),ISNUMBER(H3726)),D3726*H3726*Inputs!$C$69,"")</f>
      </c>
      <c r="J3726" s="42">
        <f>IF(AND(ISNUMBER(F3726),ISNUMBER(H3726),F3726&gt;=Inputs!$C$68),F3726*H3726*Inputs!$C$69,"")</f>
      </c>
    </row>
    <row r="3727" spans="2:10" ht="15" customHeight="1" x14ac:dyDescent="0.2">
      <c r="B3727" s="39">
        <f t="shared" si="28"/>
      </c>
      <c r="C3727" s="40">
        <f>IF(Inputs!$C$60,Inputs!$C$11+(B3727-Inputs!$C$69)/Inputs!$C$70,"")</f>
      </c>
      <c r="D3727" s="15"/>
      <c r="E3727" s="15"/>
      <c r="F3727" s="11">
        <f t="shared" si="29"/>
      </c>
      <c r="G3727" s="22" cm="1">
        <f t="array" ref="G3727">IF(AND(Inputs!$C$60,Inputs!$C$61),INDEX(Utility_Rates!$C$29:$F$52,HOUR(C3727)+Inputs!$C$69,MATCH(INDEX(Utility_Rates!$K$6:$K$17,MONTH(C3727))&amp;IF(WEEKDAY(C3727,Inputs!$C$76)&lt;=Inputs!$C$74," weekday"," weekend"),Utility_Rates!$C$28:$F$28,Inputs!$C$68)),"")</f>
      </c>
      <c r="H3727" s="34"/>
      <c r="I3727" s="42">
        <f>IF(AND(ISNUMBER(D3727),ISNUMBER(H3727)),D3727*H3727*Inputs!$C$69,"")</f>
      </c>
      <c r="J3727" s="42">
        <f>IF(AND(ISNUMBER(F3727),ISNUMBER(H3727),F3727&gt;=Inputs!$C$68),F3727*H3727*Inputs!$C$69,"")</f>
      </c>
    </row>
    <row r="3728" spans="2:10" ht="15" customHeight="1" x14ac:dyDescent="0.2">
      <c r="B3728" s="39">
        <f t="shared" si="28"/>
      </c>
      <c r="C3728" s="40">
        <f>IF(Inputs!$C$60,Inputs!$C$11+(B3728-Inputs!$C$69)/Inputs!$C$70,"")</f>
      </c>
      <c r="D3728" s="15"/>
      <c r="E3728" s="15"/>
      <c r="F3728" s="11">
        <f t="shared" si="29"/>
      </c>
      <c r="G3728" s="22" cm="1">
        <f t="array" ref="G3728">IF(AND(Inputs!$C$60,Inputs!$C$61),INDEX(Utility_Rates!$C$29:$F$52,HOUR(C3728)+Inputs!$C$69,MATCH(INDEX(Utility_Rates!$K$6:$K$17,MONTH(C3728))&amp;IF(WEEKDAY(C3728,Inputs!$C$76)&lt;=Inputs!$C$74," weekday"," weekend"),Utility_Rates!$C$28:$F$28,Inputs!$C$68)),"")</f>
      </c>
      <c r="H3728" s="34"/>
      <c r="I3728" s="42">
        <f>IF(AND(ISNUMBER(D3728),ISNUMBER(H3728)),D3728*H3728*Inputs!$C$69,"")</f>
      </c>
      <c r="J3728" s="42">
        <f>IF(AND(ISNUMBER(F3728),ISNUMBER(H3728),F3728&gt;=Inputs!$C$68),F3728*H3728*Inputs!$C$69,"")</f>
      </c>
    </row>
    <row r="3729" spans="2:10" ht="15" customHeight="1" x14ac:dyDescent="0.2">
      <c r="B3729" s="39">
        <f t="shared" si="28"/>
      </c>
      <c r="C3729" s="40">
        <f>IF(Inputs!$C$60,Inputs!$C$11+(B3729-Inputs!$C$69)/Inputs!$C$70,"")</f>
      </c>
      <c r="D3729" s="15"/>
      <c r="E3729" s="15"/>
      <c r="F3729" s="11">
        <f t="shared" si="29"/>
      </c>
      <c r="G3729" s="22" cm="1">
        <f t="array" ref="G3729">IF(AND(Inputs!$C$60,Inputs!$C$61),INDEX(Utility_Rates!$C$29:$F$52,HOUR(C3729)+Inputs!$C$69,MATCH(INDEX(Utility_Rates!$K$6:$K$17,MONTH(C3729))&amp;IF(WEEKDAY(C3729,Inputs!$C$76)&lt;=Inputs!$C$74," weekday"," weekend"),Utility_Rates!$C$28:$F$28,Inputs!$C$68)),"")</f>
      </c>
      <c r="H3729" s="34"/>
      <c r="I3729" s="42">
        <f>IF(AND(ISNUMBER(D3729),ISNUMBER(H3729)),D3729*H3729*Inputs!$C$69,"")</f>
      </c>
      <c r="J3729" s="42">
        <f>IF(AND(ISNUMBER(F3729),ISNUMBER(H3729),F3729&gt;=Inputs!$C$68),F3729*H3729*Inputs!$C$69,"")</f>
      </c>
    </row>
    <row r="3730" spans="2:10" ht="15" customHeight="1" x14ac:dyDescent="0.2">
      <c r="B3730" s="39">
        <f t="shared" si="28"/>
      </c>
      <c r="C3730" s="40">
        <f>IF(Inputs!$C$60,Inputs!$C$11+(B3730-Inputs!$C$69)/Inputs!$C$70,"")</f>
      </c>
      <c r="D3730" s="15"/>
      <c r="E3730" s="15"/>
      <c r="F3730" s="11">
        <f t="shared" si="29"/>
      </c>
      <c r="G3730" s="22" cm="1">
        <f t="array" ref="G3730">IF(AND(Inputs!$C$60,Inputs!$C$61),INDEX(Utility_Rates!$C$29:$F$52,HOUR(C3730)+Inputs!$C$69,MATCH(INDEX(Utility_Rates!$K$6:$K$17,MONTH(C3730))&amp;IF(WEEKDAY(C3730,Inputs!$C$76)&lt;=Inputs!$C$74," weekday"," weekend"),Utility_Rates!$C$28:$F$28,Inputs!$C$68)),"")</f>
      </c>
      <c r="H3730" s="34"/>
      <c r="I3730" s="42">
        <f>IF(AND(ISNUMBER(D3730),ISNUMBER(H3730)),D3730*H3730*Inputs!$C$69,"")</f>
      </c>
      <c r="J3730" s="42">
        <f>IF(AND(ISNUMBER(F3730),ISNUMBER(H3730),F3730&gt;=Inputs!$C$68),F3730*H3730*Inputs!$C$69,"")</f>
      </c>
    </row>
    <row r="3731" spans="2:10" ht="15" customHeight="1" x14ac:dyDescent="0.2">
      <c r="B3731" s="39">
        <f t="shared" si="28"/>
      </c>
      <c r="C3731" s="40">
        <f>IF(Inputs!$C$60,Inputs!$C$11+(B3731-Inputs!$C$69)/Inputs!$C$70,"")</f>
      </c>
      <c r="D3731" s="15"/>
      <c r="E3731" s="15"/>
      <c r="F3731" s="11">
        <f t="shared" si="29"/>
      </c>
      <c r="G3731" s="22" cm="1">
        <f t="array" ref="G3731">IF(AND(Inputs!$C$60,Inputs!$C$61),INDEX(Utility_Rates!$C$29:$F$52,HOUR(C3731)+Inputs!$C$69,MATCH(INDEX(Utility_Rates!$K$6:$K$17,MONTH(C3731))&amp;IF(WEEKDAY(C3731,Inputs!$C$76)&lt;=Inputs!$C$74," weekday"," weekend"),Utility_Rates!$C$28:$F$28,Inputs!$C$68)),"")</f>
      </c>
      <c r="H3731" s="34"/>
      <c r="I3731" s="42">
        <f>IF(AND(ISNUMBER(D3731),ISNUMBER(H3731)),D3731*H3731*Inputs!$C$69,"")</f>
      </c>
      <c r="J3731" s="42">
        <f>IF(AND(ISNUMBER(F3731),ISNUMBER(H3731),F3731&gt;=Inputs!$C$68),F3731*H3731*Inputs!$C$69,"")</f>
      </c>
    </row>
    <row r="3732" spans="2:10" ht="15" customHeight="1" x14ac:dyDescent="0.2">
      <c r="B3732" s="39">
        <f t="shared" si="28"/>
      </c>
      <c r="C3732" s="40">
        <f>IF(Inputs!$C$60,Inputs!$C$11+(B3732-Inputs!$C$69)/Inputs!$C$70,"")</f>
      </c>
      <c r="D3732" s="15"/>
      <c r="E3732" s="15"/>
      <c r="F3732" s="11">
        <f t="shared" si="29"/>
      </c>
      <c r="G3732" s="22" cm="1">
        <f t="array" ref="G3732">IF(AND(Inputs!$C$60,Inputs!$C$61),INDEX(Utility_Rates!$C$29:$F$52,HOUR(C3732)+Inputs!$C$69,MATCH(INDEX(Utility_Rates!$K$6:$K$17,MONTH(C3732))&amp;IF(WEEKDAY(C3732,Inputs!$C$76)&lt;=Inputs!$C$74," weekday"," weekend"),Utility_Rates!$C$28:$F$28,Inputs!$C$68)),"")</f>
      </c>
      <c r="H3732" s="34"/>
      <c r="I3732" s="42">
        <f>IF(AND(ISNUMBER(D3732),ISNUMBER(H3732)),D3732*H3732*Inputs!$C$69,"")</f>
      </c>
      <c r="J3732" s="42">
        <f>IF(AND(ISNUMBER(F3732),ISNUMBER(H3732),F3732&gt;=Inputs!$C$68),F3732*H3732*Inputs!$C$69,"")</f>
      </c>
    </row>
    <row r="3733" spans="2:10" ht="15" customHeight="1" x14ac:dyDescent="0.2">
      <c r="B3733" s="39">
        <f t="shared" si="28"/>
      </c>
      <c r="C3733" s="40">
        <f>IF(Inputs!$C$60,Inputs!$C$11+(B3733-Inputs!$C$69)/Inputs!$C$70,"")</f>
      </c>
      <c r="D3733" s="15"/>
      <c r="E3733" s="15"/>
      <c r="F3733" s="11">
        <f t="shared" si="29"/>
      </c>
      <c r="G3733" s="22" cm="1">
        <f t="array" ref="G3733">IF(AND(Inputs!$C$60,Inputs!$C$61),INDEX(Utility_Rates!$C$29:$F$52,HOUR(C3733)+Inputs!$C$69,MATCH(INDEX(Utility_Rates!$K$6:$K$17,MONTH(C3733))&amp;IF(WEEKDAY(C3733,Inputs!$C$76)&lt;=Inputs!$C$74," weekday"," weekend"),Utility_Rates!$C$28:$F$28,Inputs!$C$68)),"")</f>
      </c>
      <c r="H3733" s="34"/>
      <c r="I3733" s="42">
        <f>IF(AND(ISNUMBER(D3733),ISNUMBER(H3733)),D3733*H3733*Inputs!$C$69,"")</f>
      </c>
      <c r="J3733" s="42">
        <f>IF(AND(ISNUMBER(F3733),ISNUMBER(H3733),F3733&gt;=Inputs!$C$68),F3733*H3733*Inputs!$C$69,"")</f>
      </c>
    </row>
    <row r="3734" spans="2:10" ht="15" customHeight="1" x14ac:dyDescent="0.2">
      <c r="B3734" s="39">
        <f t="shared" si="28"/>
      </c>
      <c r="C3734" s="40">
        <f>IF(Inputs!$C$60,Inputs!$C$11+(B3734-Inputs!$C$69)/Inputs!$C$70,"")</f>
      </c>
      <c r="D3734" s="15"/>
      <c r="E3734" s="15"/>
      <c r="F3734" s="11">
        <f t="shared" si="29"/>
      </c>
      <c r="G3734" s="22" cm="1">
        <f t="array" ref="G3734">IF(AND(Inputs!$C$60,Inputs!$C$61),INDEX(Utility_Rates!$C$29:$F$52,HOUR(C3734)+Inputs!$C$69,MATCH(INDEX(Utility_Rates!$K$6:$K$17,MONTH(C3734))&amp;IF(WEEKDAY(C3734,Inputs!$C$76)&lt;=Inputs!$C$74," weekday"," weekend"),Utility_Rates!$C$28:$F$28,Inputs!$C$68)),"")</f>
      </c>
      <c r="H3734" s="34"/>
      <c r="I3734" s="42">
        <f>IF(AND(ISNUMBER(D3734),ISNUMBER(H3734)),D3734*H3734*Inputs!$C$69,"")</f>
      </c>
      <c r="J3734" s="42">
        <f>IF(AND(ISNUMBER(F3734),ISNUMBER(H3734),F3734&gt;=Inputs!$C$68),F3734*H3734*Inputs!$C$69,"")</f>
      </c>
    </row>
    <row r="3735" spans="2:10" ht="15" customHeight="1" x14ac:dyDescent="0.2">
      <c r="B3735" s="39">
        <f t="shared" si="28"/>
      </c>
      <c r="C3735" s="40">
        <f>IF(Inputs!$C$60,Inputs!$C$11+(B3735-Inputs!$C$69)/Inputs!$C$70,"")</f>
      </c>
      <c r="D3735" s="15"/>
      <c r="E3735" s="15"/>
      <c r="F3735" s="11">
        <f t="shared" si="29"/>
      </c>
      <c r="G3735" s="22" cm="1">
        <f t="array" ref="G3735">IF(AND(Inputs!$C$60,Inputs!$C$61),INDEX(Utility_Rates!$C$29:$F$52,HOUR(C3735)+Inputs!$C$69,MATCH(INDEX(Utility_Rates!$K$6:$K$17,MONTH(C3735))&amp;IF(WEEKDAY(C3735,Inputs!$C$76)&lt;=Inputs!$C$74," weekday"," weekend"),Utility_Rates!$C$28:$F$28,Inputs!$C$68)),"")</f>
      </c>
      <c r="H3735" s="34"/>
      <c r="I3735" s="42">
        <f>IF(AND(ISNUMBER(D3735),ISNUMBER(H3735)),D3735*H3735*Inputs!$C$69,"")</f>
      </c>
      <c r="J3735" s="42">
        <f>IF(AND(ISNUMBER(F3735),ISNUMBER(H3735),F3735&gt;=Inputs!$C$68),F3735*H3735*Inputs!$C$69,"")</f>
      </c>
    </row>
    <row r="3736" spans="2:10" ht="15" customHeight="1" x14ac:dyDescent="0.2">
      <c r="B3736" s="39">
        <f t="shared" si="28"/>
      </c>
      <c r="C3736" s="40">
        <f>IF(Inputs!$C$60,Inputs!$C$11+(B3736-Inputs!$C$69)/Inputs!$C$70,"")</f>
      </c>
      <c r="D3736" s="15"/>
      <c r="E3736" s="15"/>
      <c r="F3736" s="11">
        <f t="shared" si="29"/>
      </c>
      <c r="G3736" s="22" cm="1">
        <f t="array" ref="G3736">IF(AND(Inputs!$C$60,Inputs!$C$61),INDEX(Utility_Rates!$C$29:$F$52,HOUR(C3736)+Inputs!$C$69,MATCH(INDEX(Utility_Rates!$K$6:$K$17,MONTH(C3736))&amp;IF(WEEKDAY(C3736,Inputs!$C$76)&lt;=Inputs!$C$74," weekday"," weekend"),Utility_Rates!$C$28:$F$28,Inputs!$C$68)),"")</f>
      </c>
      <c r="H3736" s="34"/>
      <c r="I3736" s="42">
        <f>IF(AND(ISNUMBER(D3736),ISNUMBER(H3736)),D3736*H3736*Inputs!$C$69,"")</f>
      </c>
      <c r="J3736" s="42">
        <f>IF(AND(ISNUMBER(F3736),ISNUMBER(H3736),F3736&gt;=Inputs!$C$68),F3736*H3736*Inputs!$C$69,"")</f>
      </c>
    </row>
    <row r="3737" spans="2:10" ht="15" customHeight="1" x14ac:dyDescent="0.2">
      <c r="B3737" s="39">
        <f t="shared" si="28"/>
      </c>
      <c r="C3737" s="40">
        <f>IF(Inputs!$C$60,Inputs!$C$11+(B3737-Inputs!$C$69)/Inputs!$C$70,"")</f>
      </c>
      <c r="D3737" s="15"/>
      <c r="E3737" s="15"/>
      <c r="F3737" s="11">
        <f t="shared" si="29"/>
      </c>
      <c r="G3737" s="22" cm="1">
        <f t="array" ref="G3737">IF(AND(Inputs!$C$60,Inputs!$C$61),INDEX(Utility_Rates!$C$29:$F$52,HOUR(C3737)+Inputs!$C$69,MATCH(INDEX(Utility_Rates!$K$6:$K$17,MONTH(C3737))&amp;IF(WEEKDAY(C3737,Inputs!$C$76)&lt;=Inputs!$C$74," weekday"," weekend"),Utility_Rates!$C$28:$F$28,Inputs!$C$68)),"")</f>
      </c>
      <c r="H3737" s="34"/>
      <c r="I3737" s="42">
        <f>IF(AND(ISNUMBER(D3737),ISNUMBER(H3737)),D3737*H3737*Inputs!$C$69,"")</f>
      </c>
      <c r="J3737" s="42">
        <f>IF(AND(ISNUMBER(F3737),ISNUMBER(H3737),F3737&gt;=Inputs!$C$68),F3737*H3737*Inputs!$C$69,"")</f>
      </c>
    </row>
    <row r="3738" spans="2:10" ht="15" customHeight="1" x14ac:dyDescent="0.2">
      <c r="B3738" s="39">
        <f t="shared" si="28"/>
      </c>
      <c r="C3738" s="40">
        <f>IF(Inputs!$C$60,Inputs!$C$11+(B3738-Inputs!$C$69)/Inputs!$C$70,"")</f>
      </c>
      <c r="D3738" s="15"/>
      <c r="E3738" s="15"/>
      <c r="F3738" s="11">
        <f t="shared" si="29"/>
      </c>
      <c r="G3738" s="22" cm="1">
        <f t="array" ref="G3738">IF(AND(Inputs!$C$60,Inputs!$C$61),INDEX(Utility_Rates!$C$29:$F$52,HOUR(C3738)+Inputs!$C$69,MATCH(INDEX(Utility_Rates!$K$6:$K$17,MONTH(C3738))&amp;IF(WEEKDAY(C3738,Inputs!$C$76)&lt;=Inputs!$C$74," weekday"," weekend"),Utility_Rates!$C$28:$F$28,Inputs!$C$68)),"")</f>
      </c>
      <c r="H3738" s="34"/>
      <c r="I3738" s="42">
        <f>IF(AND(ISNUMBER(D3738),ISNUMBER(H3738)),D3738*H3738*Inputs!$C$69,"")</f>
      </c>
      <c r="J3738" s="42">
        <f>IF(AND(ISNUMBER(F3738),ISNUMBER(H3738),F3738&gt;=Inputs!$C$68),F3738*H3738*Inputs!$C$69,"")</f>
      </c>
    </row>
    <row r="3739" spans="2:10" ht="15" customHeight="1" x14ac:dyDescent="0.2">
      <c r="B3739" s="39">
        <f t="shared" si="28"/>
      </c>
      <c r="C3739" s="40">
        <f>IF(Inputs!$C$60,Inputs!$C$11+(B3739-Inputs!$C$69)/Inputs!$C$70,"")</f>
      </c>
      <c r="D3739" s="15"/>
      <c r="E3739" s="15"/>
      <c r="F3739" s="11">
        <f t="shared" si="29"/>
      </c>
      <c r="G3739" s="22" cm="1">
        <f t="array" ref="G3739">IF(AND(Inputs!$C$60,Inputs!$C$61),INDEX(Utility_Rates!$C$29:$F$52,HOUR(C3739)+Inputs!$C$69,MATCH(INDEX(Utility_Rates!$K$6:$K$17,MONTH(C3739))&amp;IF(WEEKDAY(C3739,Inputs!$C$76)&lt;=Inputs!$C$74," weekday"," weekend"),Utility_Rates!$C$28:$F$28,Inputs!$C$68)),"")</f>
      </c>
      <c r="H3739" s="34"/>
      <c r="I3739" s="42">
        <f>IF(AND(ISNUMBER(D3739),ISNUMBER(H3739)),D3739*H3739*Inputs!$C$69,"")</f>
      </c>
      <c r="J3739" s="42">
        <f>IF(AND(ISNUMBER(F3739),ISNUMBER(H3739),F3739&gt;=Inputs!$C$68),F3739*H3739*Inputs!$C$69,"")</f>
      </c>
    </row>
    <row r="3740" spans="2:10" ht="15" customHeight="1" x14ac:dyDescent="0.2">
      <c r="B3740" s="39">
        <f t="shared" si="28"/>
      </c>
      <c r="C3740" s="40">
        <f>IF(Inputs!$C$60,Inputs!$C$11+(B3740-Inputs!$C$69)/Inputs!$C$70,"")</f>
      </c>
      <c r="D3740" s="15"/>
      <c r="E3740" s="15"/>
      <c r="F3740" s="11">
        <f t="shared" si="29"/>
      </c>
      <c r="G3740" s="22" cm="1">
        <f t="array" ref="G3740">IF(AND(Inputs!$C$60,Inputs!$C$61),INDEX(Utility_Rates!$C$29:$F$52,HOUR(C3740)+Inputs!$C$69,MATCH(INDEX(Utility_Rates!$K$6:$K$17,MONTH(C3740))&amp;IF(WEEKDAY(C3740,Inputs!$C$76)&lt;=Inputs!$C$74," weekday"," weekend"),Utility_Rates!$C$28:$F$28,Inputs!$C$68)),"")</f>
      </c>
      <c r="H3740" s="34"/>
      <c r="I3740" s="42">
        <f>IF(AND(ISNUMBER(D3740),ISNUMBER(H3740)),D3740*H3740*Inputs!$C$69,"")</f>
      </c>
      <c r="J3740" s="42">
        <f>IF(AND(ISNUMBER(F3740),ISNUMBER(H3740),F3740&gt;=Inputs!$C$68),F3740*H3740*Inputs!$C$69,"")</f>
      </c>
    </row>
    <row r="3741" spans="2:10" ht="15" customHeight="1" x14ac:dyDescent="0.2">
      <c r="B3741" s="39">
        <f t="shared" si="28"/>
      </c>
      <c r="C3741" s="40">
        <f>IF(Inputs!$C$60,Inputs!$C$11+(B3741-Inputs!$C$69)/Inputs!$C$70,"")</f>
      </c>
      <c r="D3741" s="15"/>
      <c r="E3741" s="15"/>
      <c r="F3741" s="11">
        <f t="shared" si="29"/>
      </c>
      <c r="G3741" s="22" cm="1">
        <f t="array" ref="G3741">IF(AND(Inputs!$C$60,Inputs!$C$61),INDEX(Utility_Rates!$C$29:$F$52,HOUR(C3741)+Inputs!$C$69,MATCH(INDEX(Utility_Rates!$K$6:$K$17,MONTH(C3741))&amp;IF(WEEKDAY(C3741,Inputs!$C$76)&lt;=Inputs!$C$74," weekday"," weekend"),Utility_Rates!$C$28:$F$28,Inputs!$C$68)),"")</f>
      </c>
      <c r="H3741" s="34"/>
      <c r="I3741" s="42">
        <f>IF(AND(ISNUMBER(D3741),ISNUMBER(H3741)),D3741*H3741*Inputs!$C$69,"")</f>
      </c>
      <c r="J3741" s="42">
        <f>IF(AND(ISNUMBER(F3741),ISNUMBER(H3741),F3741&gt;=Inputs!$C$68),F3741*H3741*Inputs!$C$69,"")</f>
      </c>
    </row>
    <row r="3742" spans="2:10" ht="15" customHeight="1" x14ac:dyDescent="0.2">
      <c r="B3742" s="39">
        <f t="shared" si="28"/>
      </c>
      <c r="C3742" s="40">
        <f>IF(Inputs!$C$60,Inputs!$C$11+(B3742-Inputs!$C$69)/Inputs!$C$70,"")</f>
      </c>
      <c r="D3742" s="15"/>
      <c r="E3742" s="15"/>
      <c r="F3742" s="11">
        <f t="shared" si="29"/>
      </c>
      <c r="G3742" s="22" cm="1">
        <f t="array" ref="G3742">IF(AND(Inputs!$C$60,Inputs!$C$61),INDEX(Utility_Rates!$C$29:$F$52,HOUR(C3742)+Inputs!$C$69,MATCH(INDEX(Utility_Rates!$K$6:$K$17,MONTH(C3742))&amp;IF(WEEKDAY(C3742,Inputs!$C$76)&lt;=Inputs!$C$74," weekday"," weekend"),Utility_Rates!$C$28:$F$28,Inputs!$C$68)),"")</f>
      </c>
      <c r="H3742" s="34"/>
      <c r="I3742" s="42">
        <f>IF(AND(ISNUMBER(D3742),ISNUMBER(H3742)),D3742*H3742*Inputs!$C$69,"")</f>
      </c>
      <c r="J3742" s="42">
        <f>IF(AND(ISNUMBER(F3742),ISNUMBER(H3742),F3742&gt;=Inputs!$C$68),F3742*H3742*Inputs!$C$69,"")</f>
      </c>
    </row>
    <row r="3743" spans="2:10" ht="15" customHeight="1" x14ac:dyDescent="0.2">
      <c r="B3743" s="39">
        <f t="shared" si="28"/>
      </c>
      <c r="C3743" s="40">
        <f>IF(Inputs!$C$60,Inputs!$C$11+(B3743-Inputs!$C$69)/Inputs!$C$70,"")</f>
      </c>
      <c r="D3743" s="15"/>
      <c r="E3743" s="15"/>
      <c r="F3743" s="11">
        <f t="shared" si="29"/>
      </c>
      <c r="G3743" s="22" cm="1">
        <f t="array" ref="G3743">IF(AND(Inputs!$C$60,Inputs!$C$61),INDEX(Utility_Rates!$C$29:$F$52,HOUR(C3743)+Inputs!$C$69,MATCH(INDEX(Utility_Rates!$K$6:$K$17,MONTH(C3743))&amp;IF(WEEKDAY(C3743,Inputs!$C$76)&lt;=Inputs!$C$74," weekday"," weekend"),Utility_Rates!$C$28:$F$28,Inputs!$C$68)),"")</f>
      </c>
      <c r="H3743" s="34"/>
      <c r="I3743" s="42">
        <f>IF(AND(ISNUMBER(D3743),ISNUMBER(H3743)),D3743*H3743*Inputs!$C$69,"")</f>
      </c>
      <c r="J3743" s="42">
        <f>IF(AND(ISNUMBER(F3743),ISNUMBER(H3743),F3743&gt;=Inputs!$C$68),F3743*H3743*Inputs!$C$69,"")</f>
      </c>
    </row>
    <row r="3744" spans="2:10" ht="15" customHeight="1" x14ac:dyDescent="0.2">
      <c r="B3744" s="39">
        <f t="shared" si="28"/>
      </c>
      <c r="C3744" s="40">
        <f>IF(Inputs!$C$60,Inputs!$C$11+(B3744-Inputs!$C$69)/Inputs!$C$70,"")</f>
      </c>
      <c r="D3744" s="15"/>
      <c r="E3744" s="15"/>
      <c r="F3744" s="11">
        <f t="shared" si="29"/>
      </c>
      <c r="G3744" s="22" cm="1">
        <f t="array" ref="G3744">IF(AND(Inputs!$C$60,Inputs!$C$61),INDEX(Utility_Rates!$C$29:$F$52,HOUR(C3744)+Inputs!$C$69,MATCH(INDEX(Utility_Rates!$K$6:$K$17,MONTH(C3744))&amp;IF(WEEKDAY(C3744,Inputs!$C$76)&lt;=Inputs!$C$74," weekday"," weekend"),Utility_Rates!$C$28:$F$28,Inputs!$C$68)),"")</f>
      </c>
      <c r="H3744" s="34"/>
      <c r="I3744" s="42">
        <f>IF(AND(ISNUMBER(D3744),ISNUMBER(H3744)),D3744*H3744*Inputs!$C$69,"")</f>
      </c>
      <c r="J3744" s="42">
        <f>IF(AND(ISNUMBER(F3744),ISNUMBER(H3744),F3744&gt;=Inputs!$C$68),F3744*H3744*Inputs!$C$69,"")</f>
      </c>
    </row>
    <row r="3745" spans="2:10" ht="15" customHeight="1" x14ac:dyDescent="0.2">
      <c r="B3745" s="39">
        <f t="shared" si="28"/>
      </c>
      <c r="C3745" s="40">
        <f>IF(Inputs!$C$60,Inputs!$C$11+(B3745-Inputs!$C$69)/Inputs!$C$70,"")</f>
      </c>
      <c r="D3745" s="15"/>
      <c r="E3745" s="15"/>
      <c r="F3745" s="11">
        <f t="shared" si="29"/>
      </c>
      <c r="G3745" s="22" cm="1">
        <f t="array" ref="G3745">IF(AND(Inputs!$C$60,Inputs!$C$61),INDEX(Utility_Rates!$C$29:$F$52,HOUR(C3745)+Inputs!$C$69,MATCH(INDEX(Utility_Rates!$K$6:$K$17,MONTH(C3745))&amp;IF(WEEKDAY(C3745,Inputs!$C$76)&lt;=Inputs!$C$74," weekday"," weekend"),Utility_Rates!$C$28:$F$28,Inputs!$C$68)),"")</f>
      </c>
      <c r="H3745" s="34"/>
      <c r="I3745" s="42">
        <f>IF(AND(ISNUMBER(D3745),ISNUMBER(H3745)),D3745*H3745*Inputs!$C$69,"")</f>
      </c>
      <c r="J3745" s="42">
        <f>IF(AND(ISNUMBER(F3745),ISNUMBER(H3745),F3745&gt;=Inputs!$C$68),F3745*H3745*Inputs!$C$69,"")</f>
      </c>
    </row>
    <row r="3746" spans="2:10" ht="15" customHeight="1" x14ac:dyDescent="0.2">
      <c r="B3746" s="39">
        <f t="shared" si="28"/>
      </c>
      <c r="C3746" s="40">
        <f>IF(Inputs!$C$60,Inputs!$C$11+(B3746-Inputs!$C$69)/Inputs!$C$70,"")</f>
      </c>
      <c r="D3746" s="15"/>
      <c r="E3746" s="15"/>
      <c r="F3746" s="11">
        <f t="shared" si="29"/>
      </c>
      <c r="G3746" s="22" cm="1">
        <f t="array" ref="G3746">IF(AND(Inputs!$C$60,Inputs!$C$61),INDEX(Utility_Rates!$C$29:$F$52,HOUR(C3746)+Inputs!$C$69,MATCH(INDEX(Utility_Rates!$K$6:$K$17,MONTH(C3746))&amp;IF(WEEKDAY(C3746,Inputs!$C$76)&lt;=Inputs!$C$74," weekday"," weekend"),Utility_Rates!$C$28:$F$28,Inputs!$C$68)),"")</f>
      </c>
      <c r="H3746" s="34"/>
      <c r="I3746" s="42">
        <f>IF(AND(ISNUMBER(D3746),ISNUMBER(H3746)),D3746*H3746*Inputs!$C$69,"")</f>
      </c>
      <c r="J3746" s="42">
        <f>IF(AND(ISNUMBER(F3746),ISNUMBER(H3746),F3746&gt;=Inputs!$C$68),F3746*H3746*Inputs!$C$69,"")</f>
      </c>
    </row>
    <row r="3747" spans="2:10" ht="15" customHeight="1" x14ac:dyDescent="0.2">
      <c r="B3747" s="39">
        <f t="shared" si="28"/>
      </c>
      <c r="C3747" s="40">
        <f>IF(Inputs!$C$60,Inputs!$C$11+(B3747-Inputs!$C$69)/Inputs!$C$70,"")</f>
      </c>
      <c r="D3747" s="15"/>
      <c r="E3747" s="15"/>
      <c r="F3747" s="11">
        <f t="shared" si="29"/>
      </c>
      <c r="G3747" s="22" cm="1">
        <f t="array" ref="G3747">IF(AND(Inputs!$C$60,Inputs!$C$61),INDEX(Utility_Rates!$C$29:$F$52,HOUR(C3747)+Inputs!$C$69,MATCH(INDEX(Utility_Rates!$K$6:$K$17,MONTH(C3747))&amp;IF(WEEKDAY(C3747,Inputs!$C$76)&lt;=Inputs!$C$74," weekday"," weekend"),Utility_Rates!$C$28:$F$28,Inputs!$C$68)),"")</f>
      </c>
      <c r="H3747" s="34"/>
      <c r="I3747" s="42">
        <f>IF(AND(ISNUMBER(D3747),ISNUMBER(H3747)),D3747*H3747*Inputs!$C$69,"")</f>
      </c>
      <c r="J3747" s="42">
        <f>IF(AND(ISNUMBER(F3747),ISNUMBER(H3747),F3747&gt;=Inputs!$C$68),F3747*H3747*Inputs!$C$69,"")</f>
      </c>
    </row>
    <row r="3748" spans="2:10" ht="15" customHeight="1" x14ac:dyDescent="0.2">
      <c r="B3748" s="39">
        <f t="shared" si="28"/>
      </c>
      <c r="C3748" s="40">
        <f>IF(Inputs!$C$60,Inputs!$C$11+(B3748-Inputs!$C$69)/Inputs!$C$70,"")</f>
      </c>
      <c r="D3748" s="15"/>
      <c r="E3748" s="15"/>
      <c r="F3748" s="11">
        <f t="shared" si="29"/>
      </c>
      <c r="G3748" s="22" cm="1">
        <f t="array" ref="G3748">IF(AND(Inputs!$C$60,Inputs!$C$61),INDEX(Utility_Rates!$C$29:$F$52,HOUR(C3748)+Inputs!$C$69,MATCH(INDEX(Utility_Rates!$K$6:$K$17,MONTH(C3748))&amp;IF(WEEKDAY(C3748,Inputs!$C$76)&lt;=Inputs!$C$74," weekday"," weekend"),Utility_Rates!$C$28:$F$28,Inputs!$C$68)),"")</f>
      </c>
      <c r="H3748" s="34"/>
      <c r="I3748" s="42">
        <f>IF(AND(ISNUMBER(D3748),ISNUMBER(H3748)),D3748*H3748*Inputs!$C$69,"")</f>
      </c>
      <c r="J3748" s="42">
        <f>IF(AND(ISNUMBER(F3748),ISNUMBER(H3748),F3748&gt;=Inputs!$C$68),F3748*H3748*Inputs!$C$69,"")</f>
      </c>
    </row>
    <row r="3749" spans="2:10" ht="15" customHeight="1" x14ac:dyDescent="0.2">
      <c r="B3749" s="39">
        <f t="shared" si="28"/>
      </c>
      <c r="C3749" s="40">
        <f>IF(Inputs!$C$60,Inputs!$C$11+(B3749-Inputs!$C$69)/Inputs!$C$70,"")</f>
      </c>
      <c r="D3749" s="15"/>
      <c r="E3749" s="15"/>
      <c r="F3749" s="11">
        <f t="shared" si="29"/>
      </c>
      <c r="G3749" s="22" cm="1">
        <f t="array" ref="G3749">IF(AND(Inputs!$C$60,Inputs!$C$61),INDEX(Utility_Rates!$C$29:$F$52,HOUR(C3749)+Inputs!$C$69,MATCH(INDEX(Utility_Rates!$K$6:$K$17,MONTH(C3749))&amp;IF(WEEKDAY(C3749,Inputs!$C$76)&lt;=Inputs!$C$74," weekday"," weekend"),Utility_Rates!$C$28:$F$28,Inputs!$C$68)),"")</f>
      </c>
      <c r="H3749" s="34"/>
      <c r="I3749" s="42">
        <f>IF(AND(ISNUMBER(D3749),ISNUMBER(H3749)),D3749*H3749*Inputs!$C$69,"")</f>
      </c>
      <c r="J3749" s="42">
        <f>IF(AND(ISNUMBER(F3749),ISNUMBER(H3749),F3749&gt;=Inputs!$C$68),F3749*H3749*Inputs!$C$69,"")</f>
      </c>
    </row>
    <row r="3750" spans="2:10" ht="15" customHeight="1" x14ac:dyDescent="0.2">
      <c r="B3750" s="39">
        <f t="shared" si="28"/>
      </c>
      <c r="C3750" s="40">
        <f>IF(Inputs!$C$60,Inputs!$C$11+(B3750-Inputs!$C$69)/Inputs!$C$70,"")</f>
      </c>
      <c r="D3750" s="15"/>
      <c r="E3750" s="15"/>
      <c r="F3750" s="11">
        <f t="shared" si="29"/>
      </c>
      <c r="G3750" s="22" cm="1">
        <f t="array" ref="G3750">IF(AND(Inputs!$C$60,Inputs!$C$61),INDEX(Utility_Rates!$C$29:$F$52,HOUR(C3750)+Inputs!$C$69,MATCH(INDEX(Utility_Rates!$K$6:$K$17,MONTH(C3750))&amp;IF(WEEKDAY(C3750,Inputs!$C$76)&lt;=Inputs!$C$74," weekday"," weekend"),Utility_Rates!$C$28:$F$28,Inputs!$C$68)),"")</f>
      </c>
      <c r="H3750" s="34"/>
      <c r="I3750" s="42">
        <f>IF(AND(ISNUMBER(D3750),ISNUMBER(H3750)),D3750*H3750*Inputs!$C$69,"")</f>
      </c>
      <c r="J3750" s="42">
        <f>IF(AND(ISNUMBER(F3750),ISNUMBER(H3750),F3750&gt;=Inputs!$C$68),F3750*H3750*Inputs!$C$69,"")</f>
      </c>
    </row>
    <row r="3751" spans="2:10" ht="15" customHeight="1" x14ac:dyDescent="0.2">
      <c r="B3751" s="39">
        <f t="shared" si="28"/>
      </c>
      <c r="C3751" s="40">
        <f>IF(Inputs!$C$60,Inputs!$C$11+(B3751-Inputs!$C$69)/Inputs!$C$70,"")</f>
      </c>
      <c r="D3751" s="15"/>
      <c r="E3751" s="15"/>
      <c r="F3751" s="11">
        <f t="shared" si="29"/>
      </c>
      <c r="G3751" s="22" cm="1">
        <f t="array" ref="G3751">IF(AND(Inputs!$C$60,Inputs!$C$61),INDEX(Utility_Rates!$C$29:$F$52,HOUR(C3751)+Inputs!$C$69,MATCH(INDEX(Utility_Rates!$K$6:$K$17,MONTH(C3751))&amp;IF(WEEKDAY(C3751,Inputs!$C$76)&lt;=Inputs!$C$74," weekday"," weekend"),Utility_Rates!$C$28:$F$28,Inputs!$C$68)),"")</f>
      </c>
      <c r="H3751" s="34"/>
      <c r="I3751" s="42">
        <f>IF(AND(ISNUMBER(D3751),ISNUMBER(H3751)),D3751*H3751*Inputs!$C$69,"")</f>
      </c>
      <c r="J3751" s="42">
        <f>IF(AND(ISNUMBER(F3751),ISNUMBER(H3751),F3751&gt;=Inputs!$C$68),F3751*H3751*Inputs!$C$69,"")</f>
      </c>
    </row>
    <row r="3752" spans="2:10" ht="15" customHeight="1" x14ac:dyDescent="0.2">
      <c r="B3752" s="39">
        <f t="shared" si="28"/>
      </c>
      <c r="C3752" s="40">
        <f>IF(Inputs!$C$60,Inputs!$C$11+(B3752-Inputs!$C$69)/Inputs!$C$70,"")</f>
      </c>
      <c r="D3752" s="15"/>
      <c r="E3752" s="15"/>
      <c r="F3752" s="11">
        <f t="shared" si="29"/>
      </c>
      <c r="G3752" s="22" cm="1">
        <f t="array" ref="G3752">IF(AND(Inputs!$C$60,Inputs!$C$61),INDEX(Utility_Rates!$C$29:$F$52,HOUR(C3752)+Inputs!$C$69,MATCH(INDEX(Utility_Rates!$K$6:$K$17,MONTH(C3752))&amp;IF(WEEKDAY(C3752,Inputs!$C$76)&lt;=Inputs!$C$74," weekday"," weekend"),Utility_Rates!$C$28:$F$28,Inputs!$C$68)),"")</f>
      </c>
      <c r="H3752" s="34"/>
      <c r="I3752" s="42">
        <f>IF(AND(ISNUMBER(D3752),ISNUMBER(H3752)),D3752*H3752*Inputs!$C$69,"")</f>
      </c>
      <c r="J3752" s="42">
        <f>IF(AND(ISNUMBER(F3752),ISNUMBER(H3752),F3752&gt;=Inputs!$C$68),F3752*H3752*Inputs!$C$69,"")</f>
      </c>
    </row>
    <row r="3753" spans="2:10" ht="15" customHeight="1" x14ac:dyDescent="0.2">
      <c r="B3753" s="39">
        <f t="shared" si="28"/>
      </c>
      <c r="C3753" s="40">
        <f>IF(Inputs!$C$60,Inputs!$C$11+(B3753-Inputs!$C$69)/Inputs!$C$70,"")</f>
      </c>
      <c r="D3753" s="15"/>
      <c r="E3753" s="15"/>
      <c r="F3753" s="11">
        <f t="shared" si="29"/>
      </c>
      <c r="G3753" s="22" cm="1">
        <f t="array" ref="G3753">IF(AND(Inputs!$C$60,Inputs!$C$61),INDEX(Utility_Rates!$C$29:$F$52,HOUR(C3753)+Inputs!$C$69,MATCH(INDEX(Utility_Rates!$K$6:$K$17,MONTH(C3753))&amp;IF(WEEKDAY(C3753,Inputs!$C$76)&lt;=Inputs!$C$74," weekday"," weekend"),Utility_Rates!$C$28:$F$28,Inputs!$C$68)),"")</f>
      </c>
      <c r="H3753" s="34"/>
      <c r="I3753" s="42">
        <f>IF(AND(ISNUMBER(D3753),ISNUMBER(H3753)),D3753*H3753*Inputs!$C$69,"")</f>
      </c>
      <c r="J3753" s="42">
        <f>IF(AND(ISNUMBER(F3753),ISNUMBER(H3753),F3753&gt;=Inputs!$C$68),F3753*H3753*Inputs!$C$69,"")</f>
      </c>
    </row>
    <row r="3754" spans="2:10" ht="15" customHeight="1" x14ac:dyDescent="0.2">
      <c r="B3754" s="39">
        <f t="shared" si="28"/>
      </c>
      <c r="C3754" s="40">
        <f>IF(Inputs!$C$60,Inputs!$C$11+(B3754-Inputs!$C$69)/Inputs!$C$70,"")</f>
      </c>
      <c r="D3754" s="15"/>
      <c r="E3754" s="15"/>
      <c r="F3754" s="11">
        <f t="shared" si="29"/>
      </c>
      <c r="G3754" s="22" cm="1">
        <f t="array" ref="G3754">IF(AND(Inputs!$C$60,Inputs!$C$61),INDEX(Utility_Rates!$C$29:$F$52,HOUR(C3754)+Inputs!$C$69,MATCH(INDEX(Utility_Rates!$K$6:$K$17,MONTH(C3754))&amp;IF(WEEKDAY(C3754,Inputs!$C$76)&lt;=Inputs!$C$74," weekday"," weekend"),Utility_Rates!$C$28:$F$28,Inputs!$C$68)),"")</f>
      </c>
      <c r="H3754" s="34"/>
      <c r="I3754" s="42">
        <f>IF(AND(ISNUMBER(D3754),ISNUMBER(H3754)),D3754*H3754*Inputs!$C$69,"")</f>
      </c>
      <c r="J3754" s="42">
        <f>IF(AND(ISNUMBER(F3754),ISNUMBER(H3754),F3754&gt;=Inputs!$C$68),F3754*H3754*Inputs!$C$69,"")</f>
      </c>
    </row>
    <row r="3755" spans="2:10" ht="15" customHeight="1" x14ac:dyDescent="0.2">
      <c r="B3755" s="39">
        <f t="shared" si="28"/>
      </c>
      <c r="C3755" s="40">
        <f>IF(Inputs!$C$60,Inputs!$C$11+(B3755-Inputs!$C$69)/Inputs!$C$70,"")</f>
      </c>
      <c r="D3755" s="15"/>
      <c r="E3755" s="15"/>
      <c r="F3755" s="11">
        <f t="shared" si="29"/>
      </c>
      <c r="G3755" s="22" cm="1">
        <f t="array" ref="G3755">IF(AND(Inputs!$C$60,Inputs!$C$61),INDEX(Utility_Rates!$C$29:$F$52,HOUR(C3755)+Inputs!$C$69,MATCH(INDEX(Utility_Rates!$K$6:$K$17,MONTH(C3755))&amp;IF(WEEKDAY(C3755,Inputs!$C$76)&lt;=Inputs!$C$74," weekday"," weekend"),Utility_Rates!$C$28:$F$28,Inputs!$C$68)),"")</f>
      </c>
      <c r="H3755" s="34"/>
      <c r="I3755" s="42">
        <f>IF(AND(ISNUMBER(D3755),ISNUMBER(H3755)),D3755*H3755*Inputs!$C$69,"")</f>
      </c>
      <c r="J3755" s="42">
        <f>IF(AND(ISNUMBER(F3755),ISNUMBER(H3755),F3755&gt;=Inputs!$C$68),F3755*H3755*Inputs!$C$69,"")</f>
      </c>
    </row>
    <row r="3756" spans="2:10" ht="15" customHeight="1" x14ac:dyDescent="0.2">
      <c r="B3756" s="39">
        <f t="shared" si="28"/>
      </c>
      <c r="C3756" s="40">
        <f>IF(Inputs!$C$60,Inputs!$C$11+(B3756-Inputs!$C$69)/Inputs!$C$70,"")</f>
      </c>
      <c r="D3756" s="15"/>
      <c r="E3756" s="15"/>
      <c r="F3756" s="11">
        <f t="shared" si="29"/>
      </c>
      <c r="G3756" s="22" cm="1">
        <f t="array" ref="G3756">IF(AND(Inputs!$C$60,Inputs!$C$61),INDEX(Utility_Rates!$C$29:$F$52,HOUR(C3756)+Inputs!$C$69,MATCH(INDEX(Utility_Rates!$K$6:$K$17,MONTH(C3756))&amp;IF(WEEKDAY(C3756,Inputs!$C$76)&lt;=Inputs!$C$74," weekday"," weekend"),Utility_Rates!$C$28:$F$28,Inputs!$C$68)),"")</f>
      </c>
      <c r="H3756" s="34"/>
      <c r="I3756" s="42">
        <f>IF(AND(ISNUMBER(D3756),ISNUMBER(H3756)),D3756*H3756*Inputs!$C$69,"")</f>
      </c>
      <c r="J3756" s="42">
        <f>IF(AND(ISNUMBER(F3756),ISNUMBER(H3756),F3756&gt;=Inputs!$C$68),F3756*H3756*Inputs!$C$69,"")</f>
      </c>
    </row>
    <row r="3757" spans="2:10" ht="15" customHeight="1" x14ac:dyDescent="0.2">
      <c r="B3757" s="39">
        <f t="shared" si="28"/>
      </c>
      <c r="C3757" s="40">
        <f>IF(Inputs!$C$60,Inputs!$C$11+(B3757-Inputs!$C$69)/Inputs!$C$70,"")</f>
      </c>
      <c r="D3757" s="15"/>
      <c r="E3757" s="15"/>
      <c r="F3757" s="11">
        <f t="shared" si="29"/>
      </c>
      <c r="G3757" s="22" cm="1">
        <f t="array" ref="G3757">IF(AND(Inputs!$C$60,Inputs!$C$61),INDEX(Utility_Rates!$C$29:$F$52,HOUR(C3757)+Inputs!$C$69,MATCH(INDEX(Utility_Rates!$K$6:$K$17,MONTH(C3757))&amp;IF(WEEKDAY(C3757,Inputs!$C$76)&lt;=Inputs!$C$74," weekday"," weekend"),Utility_Rates!$C$28:$F$28,Inputs!$C$68)),"")</f>
      </c>
      <c r="H3757" s="34"/>
      <c r="I3757" s="42">
        <f>IF(AND(ISNUMBER(D3757),ISNUMBER(H3757)),D3757*H3757*Inputs!$C$69,"")</f>
      </c>
      <c r="J3757" s="42">
        <f>IF(AND(ISNUMBER(F3757),ISNUMBER(H3757),F3757&gt;=Inputs!$C$68),F3757*H3757*Inputs!$C$69,"")</f>
      </c>
    </row>
    <row r="3758" spans="2:10" ht="15" customHeight="1" x14ac:dyDescent="0.2">
      <c r="B3758" s="39">
        <f t="shared" si="28"/>
      </c>
      <c r="C3758" s="40">
        <f>IF(Inputs!$C$60,Inputs!$C$11+(B3758-Inputs!$C$69)/Inputs!$C$70,"")</f>
      </c>
      <c r="D3758" s="15"/>
      <c r="E3758" s="15"/>
      <c r="F3758" s="11">
        <f t="shared" si="29"/>
      </c>
      <c r="G3758" s="22" cm="1">
        <f t="array" ref="G3758">IF(AND(Inputs!$C$60,Inputs!$C$61),INDEX(Utility_Rates!$C$29:$F$52,HOUR(C3758)+Inputs!$C$69,MATCH(INDEX(Utility_Rates!$K$6:$K$17,MONTH(C3758))&amp;IF(WEEKDAY(C3758,Inputs!$C$76)&lt;=Inputs!$C$74," weekday"," weekend"),Utility_Rates!$C$28:$F$28,Inputs!$C$68)),"")</f>
      </c>
      <c r="H3758" s="34"/>
      <c r="I3758" s="42">
        <f>IF(AND(ISNUMBER(D3758),ISNUMBER(H3758)),D3758*H3758*Inputs!$C$69,"")</f>
      </c>
      <c r="J3758" s="42">
        <f>IF(AND(ISNUMBER(F3758),ISNUMBER(H3758),F3758&gt;=Inputs!$C$68),F3758*H3758*Inputs!$C$69,"")</f>
      </c>
    </row>
    <row r="3759" spans="2:10" ht="15" customHeight="1" x14ac:dyDescent="0.2">
      <c r="B3759" s="39">
        <f t="shared" si="28"/>
      </c>
      <c r="C3759" s="40">
        <f>IF(Inputs!$C$60,Inputs!$C$11+(B3759-Inputs!$C$69)/Inputs!$C$70,"")</f>
      </c>
      <c r="D3759" s="15"/>
      <c r="E3759" s="15"/>
      <c r="F3759" s="11">
        <f t="shared" si="29"/>
      </c>
      <c r="G3759" s="22" cm="1">
        <f t="array" ref="G3759">IF(AND(Inputs!$C$60,Inputs!$C$61),INDEX(Utility_Rates!$C$29:$F$52,HOUR(C3759)+Inputs!$C$69,MATCH(INDEX(Utility_Rates!$K$6:$K$17,MONTH(C3759))&amp;IF(WEEKDAY(C3759,Inputs!$C$76)&lt;=Inputs!$C$74," weekday"," weekend"),Utility_Rates!$C$28:$F$28,Inputs!$C$68)),"")</f>
      </c>
      <c r="H3759" s="34"/>
      <c r="I3759" s="42">
        <f>IF(AND(ISNUMBER(D3759),ISNUMBER(H3759)),D3759*H3759*Inputs!$C$69,"")</f>
      </c>
      <c r="J3759" s="42">
        <f>IF(AND(ISNUMBER(F3759),ISNUMBER(H3759),F3759&gt;=Inputs!$C$68),F3759*H3759*Inputs!$C$69,"")</f>
      </c>
    </row>
    <row r="3760" spans="2:10" ht="15" customHeight="1" x14ac:dyDescent="0.2">
      <c r="B3760" s="39">
        <f t="shared" si="28"/>
      </c>
      <c r="C3760" s="40">
        <f>IF(Inputs!$C$60,Inputs!$C$11+(B3760-Inputs!$C$69)/Inputs!$C$70,"")</f>
      </c>
      <c r="D3760" s="15"/>
      <c r="E3760" s="15"/>
      <c r="F3760" s="11">
        <f t="shared" si="29"/>
      </c>
      <c r="G3760" s="22" cm="1">
        <f t="array" ref="G3760">IF(AND(Inputs!$C$60,Inputs!$C$61),INDEX(Utility_Rates!$C$29:$F$52,HOUR(C3760)+Inputs!$C$69,MATCH(INDEX(Utility_Rates!$K$6:$K$17,MONTH(C3760))&amp;IF(WEEKDAY(C3760,Inputs!$C$76)&lt;=Inputs!$C$74," weekday"," weekend"),Utility_Rates!$C$28:$F$28,Inputs!$C$68)),"")</f>
      </c>
      <c r="H3760" s="34"/>
      <c r="I3760" s="42">
        <f>IF(AND(ISNUMBER(D3760),ISNUMBER(H3760)),D3760*H3760*Inputs!$C$69,"")</f>
      </c>
      <c r="J3760" s="42">
        <f>IF(AND(ISNUMBER(F3760),ISNUMBER(H3760),F3760&gt;=Inputs!$C$68),F3760*H3760*Inputs!$C$69,"")</f>
      </c>
    </row>
    <row r="3761" spans="2:10" ht="15" customHeight="1" x14ac:dyDescent="0.2">
      <c r="B3761" s="39">
        <f t="shared" si="28"/>
      </c>
      <c r="C3761" s="40">
        <f>IF(Inputs!$C$60,Inputs!$C$11+(B3761-Inputs!$C$69)/Inputs!$C$70,"")</f>
      </c>
      <c r="D3761" s="15"/>
      <c r="E3761" s="15"/>
      <c r="F3761" s="11">
        <f t="shared" si="29"/>
      </c>
      <c r="G3761" s="22" cm="1">
        <f t="array" ref="G3761">IF(AND(Inputs!$C$60,Inputs!$C$61),INDEX(Utility_Rates!$C$29:$F$52,HOUR(C3761)+Inputs!$C$69,MATCH(INDEX(Utility_Rates!$K$6:$K$17,MONTH(C3761))&amp;IF(WEEKDAY(C3761,Inputs!$C$76)&lt;=Inputs!$C$74," weekday"," weekend"),Utility_Rates!$C$28:$F$28,Inputs!$C$68)),"")</f>
      </c>
      <c r="H3761" s="34"/>
      <c r="I3761" s="42">
        <f>IF(AND(ISNUMBER(D3761),ISNUMBER(H3761)),D3761*H3761*Inputs!$C$69,"")</f>
      </c>
      <c r="J3761" s="42">
        <f>IF(AND(ISNUMBER(F3761),ISNUMBER(H3761),F3761&gt;=Inputs!$C$68),F3761*H3761*Inputs!$C$69,"")</f>
      </c>
    </row>
    <row r="3762" spans="2:10" ht="15" customHeight="1" x14ac:dyDescent="0.2">
      <c r="B3762" s="39">
        <f t="shared" si="28"/>
      </c>
      <c r="C3762" s="40">
        <f>IF(Inputs!$C$60,Inputs!$C$11+(B3762-Inputs!$C$69)/Inputs!$C$70,"")</f>
      </c>
      <c r="D3762" s="15"/>
      <c r="E3762" s="15"/>
      <c r="F3762" s="11">
        <f t="shared" si="29"/>
      </c>
      <c r="G3762" s="22" cm="1">
        <f t="array" ref="G3762">IF(AND(Inputs!$C$60,Inputs!$C$61),INDEX(Utility_Rates!$C$29:$F$52,HOUR(C3762)+Inputs!$C$69,MATCH(INDEX(Utility_Rates!$K$6:$K$17,MONTH(C3762))&amp;IF(WEEKDAY(C3762,Inputs!$C$76)&lt;=Inputs!$C$74," weekday"," weekend"),Utility_Rates!$C$28:$F$28,Inputs!$C$68)),"")</f>
      </c>
      <c r="H3762" s="34"/>
      <c r="I3762" s="42">
        <f>IF(AND(ISNUMBER(D3762),ISNUMBER(H3762)),D3762*H3762*Inputs!$C$69,"")</f>
      </c>
      <c r="J3762" s="42">
        <f>IF(AND(ISNUMBER(F3762),ISNUMBER(H3762),F3762&gt;=Inputs!$C$68),F3762*H3762*Inputs!$C$69,"")</f>
      </c>
    </row>
    <row r="3763" spans="2:10" ht="15" customHeight="1" x14ac:dyDescent="0.2">
      <c r="B3763" s="39">
        <f t="shared" si="28"/>
      </c>
      <c r="C3763" s="40">
        <f>IF(Inputs!$C$60,Inputs!$C$11+(B3763-Inputs!$C$69)/Inputs!$C$70,"")</f>
      </c>
      <c r="D3763" s="15"/>
      <c r="E3763" s="15"/>
      <c r="F3763" s="11">
        <f t="shared" si="29"/>
      </c>
      <c r="G3763" s="22" cm="1">
        <f t="array" ref="G3763">IF(AND(Inputs!$C$60,Inputs!$C$61),INDEX(Utility_Rates!$C$29:$F$52,HOUR(C3763)+Inputs!$C$69,MATCH(INDEX(Utility_Rates!$K$6:$K$17,MONTH(C3763))&amp;IF(WEEKDAY(C3763,Inputs!$C$76)&lt;=Inputs!$C$74," weekday"," weekend"),Utility_Rates!$C$28:$F$28,Inputs!$C$68)),"")</f>
      </c>
      <c r="H3763" s="34"/>
      <c r="I3763" s="42">
        <f>IF(AND(ISNUMBER(D3763),ISNUMBER(H3763)),D3763*H3763*Inputs!$C$69,"")</f>
      </c>
      <c r="J3763" s="42">
        <f>IF(AND(ISNUMBER(F3763),ISNUMBER(H3763),F3763&gt;=Inputs!$C$68),F3763*H3763*Inputs!$C$69,"")</f>
      </c>
    </row>
    <row r="3764" spans="2:10" ht="15" customHeight="1" x14ac:dyDescent="0.2">
      <c r="B3764" s="39">
        <f t="shared" si="28"/>
      </c>
      <c r="C3764" s="40">
        <f>IF(Inputs!$C$60,Inputs!$C$11+(B3764-Inputs!$C$69)/Inputs!$C$70,"")</f>
      </c>
      <c r="D3764" s="15"/>
      <c r="E3764" s="15"/>
      <c r="F3764" s="11">
        <f t="shared" si="29"/>
      </c>
      <c r="G3764" s="22" cm="1">
        <f t="array" ref="G3764">IF(AND(Inputs!$C$60,Inputs!$C$61),INDEX(Utility_Rates!$C$29:$F$52,HOUR(C3764)+Inputs!$C$69,MATCH(INDEX(Utility_Rates!$K$6:$K$17,MONTH(C3764))&amp;IF(WEEKDAY(C3764,Inputs!$C$76)&lt;=Inputs!$C$74," weekday"," weekend"),Utility_Rates!$C$28:$F$28,Inputs!$C$68)),"")</f>
      </c>
      <c r="H3764" s="34"/>
      <c r="I3764" s="42">
        <f>IF(AND(ISNUMBER(D3764),ISNUMBER(H3764)),D3764*H3764*Inputs!$C$69,"")</f>
      </c>
      <c r="J3764" s="42">
        <f>IF(AND(ISNUMBER(F3764),ISNUMBER(H3764),F3764&gt;=Inputs!$C$68),F3764*H3764*Inputs!$C$69,"")</f>
      </c>
    </row>
    <row r="3765" spans="2:10" ht="15" customHeight="1" x14ac:dyDescent="0.2">
      <c r="B3765" s="39">
        <f t="shared" si="28"/>
      </c>
      <c r="C3765" s="40">
        <f>IF(Inputs!$C$60,Inputs!$C$11+(B3765-Inputs!$C$69)/Inputs!$C$70,"")</f>
      </c>
      <c r="D3765" s="15"/>
      <c r="E3765" s="15"/>
      <c r="F3765" s="11">
        <f t="shared" si="29"/>
      </c>
      <c r="G3765" s="22" cm="1">
        <f t="array" ref="G3765">IF(AND(Inputs!$C$60,Inputs!$C$61),INDEX(Utility_Rates!$C$29:$F$52,HOUR(C3765)+Inputs!$C$69,MATCH(INDEX(Utility_Rates!$K$6:$K$17,MONTH(C3765))&amp;IF(WEEKDAY(C3765,Inputs!$C$76)&lt;=Inputs!$C$74," weekday"," weekend"),Utility_Rates!$C$28:$F$28,Inputs!$C$68)),"")</f>
      </c>
      <c r="H3765" s="34"/>
      <c r="I3765" s="42">
        <f>IF(AND(ISNUMBER(D3765),ISNUMBER(H3765)),D3765*H3765*Inputs!$C$69,"")</f>
      </c>
      <c r="J3765" s="42">
        <f>IF(AND(ISNUMBER(F3765),ISNUMBER(H3765),F3765&gt;=Inputs!$C$68),F3765*H3765*Inputs!$C$69,"")</f>
      </c>
    </row>
    <row r="3766" spans="2:10" ht="15" customHeight="1" x14ac:dyDescent="0.2">
      <c r="B3766" s="39">
        <f t="shared" si="28"/>
      </c>
      <c r="C3766" s="40">
        <f>IF(Inputs!$C$60,Inputs!$C$11+(B3766-Inputs!$C$69)/Inputs!$C$70,"")</f>
      </c>
      <c r="D3766" s="15"/>
      <c r="E3766" s="15"/>
      <c r="F3766" s="11">
        <f t="shared" si="29"/>
      </c>
      <c r="G3766" s="22" cm="1">
        <f t="array" ref="G3766">IF(AND(Inputs!$C$60,Inputs!$C$61),INDEX(Utility_Rates!$C$29:$F$52,HOUR(C3766)+Inputs!$C$69,MATCH(INDEX(Utility_Rates!$K$6:$K$17,MONTH(C3766))&amp;IF(WEEKDAY(C3766,Inputs!$C$76)&lt;=Inputs!$C$74," weekday"," weekend"),Utility_Rates!$C$28:$F$28,Inputs!$C$68)),"")</f>
      </c>
      <c r="H3766" s="34"/>
      <c r="I3766" s="42">
        <f>IF(AND(ISNUMBER(D3766),ISNUMBER(H3766)),D3766*H3766*Inputs!$C$69,"")</f>
      </c>
      <c r="J3766" s="42">
        <f>IF(AND(ISNUMBER(F3766),ISNUMBER(H3766),F3766&gt;=Inputs!$C$68),F3766*H3766*Inputs!$C$69,"")</f>
      </c>
    </row>
    <row r="3767" spans="2:10" ht="15" customHeight="1" x14ac:dyDescent="0.2">
      <c r="B3767" s="39">
        <f t="shared" si="28"/>
      </c>
      <c r="C3767" s="40">
        <f>IF(Inputs!$C$60,Inputs!$C$11+(B3767-Inputs!$C$69)/Inputs!$C$70,"")</f>
      </c>
      <c r="D3767" s="15"/>
      <c r="E3767" s="15"/>
      <c r="F3767" s="11">
        <f t="shared" si="29"/>
      </c>
      <c r="G3767" s="22" cm="1">
        <f t="array" ref="G3767">IF(AND(Inputs!$C$60,Inputs!$C$61),INDEX(Utility_Rates!$C$29:$F$52,HOUR(C3767)+Inputs!$C$69,MATCH(INDEX(Utility_Rates!$K$6:$K$17,MONTH(C3767))&amp;IF(WEEKDAY(C3767,Inputs!$C$76)&lt;=Inputs!$C$74," weekday"," weekend"),Utility_Rates!$C$28:$F$28,Inputs!$C$68)),"")</f>
      </c>
      <c r="H3767" s="34"/>
      <c r="I3767" s="42">
        <f>IF(AND(ISNUMBER(D3767),ISNUMBER(H3767)),D3767*H3767*Inputs!$C$69,"")</f>
      </c>
      <c r="J3767" s="42">
        <f>IF(AND(ISNUMBER(F3767),ISNUMBER(H3767),F3767&gt;=Inputs!$C$68),F3767*H3767*Inputs!$C$69,"")</f>
      </c>
    </row>
    <row r="3768" spans="2:10" ht="15" customHeight="1" x14ac:dyDescent="0.2">
      <c r="B3768" s="39">
        <f t="shared" si="28"/>
      </c>
      <c r="C3768" s="40">
        <f>IF(Inputs!$C$60,Inputs!$C$11+(B3768-Inputs!$C$69)/Inputs!$C$70,"")</f>
      </c>
      <c r="D3768" s="15"/>
      <c r="E3768" s="15"/>
      <c r="F3768" s="11">
        <f t="shared" si="29"/>
      </c>
      <c r="G3768" s="22" cm="1">
        <f t="array" ref="G3768">IF(AND(Inputs!$C$60,Inputs!$C$61),INDEX(Utility_Rates!$C$29:$F$52,HOUR(C3768)+Inputs!$C$69,MATCH(INDEX(Utility_Rates!$K$6:$K$17,MONTH(C3768))&amp;IF(WEEKDAY(C3768,Inputs!$C$76)&lt;=Inputs!$C$74," weekday"," weekend"),Utility_Rates!$C$28:$F$28,Inputs!$C$68)),"")</f>
      </c>
      <c r="H3768" s="34"/>
      <c r="I3768" s="42">
        <f>IF(AND(ISNUMBER(D3768),ISNUMBER(H3768)),D3768*H3768*Inputs!$C$69,"")</f>
      </c>
      <c r="J3768" s="42">
        <f>IF(AND(ISNUMBER(F3768),ISNUMBER(H3768),F3768&gt;=Inputs!$C$68),F3768*H3768*Inputs!$C$69,"")</f>
      </c>
    </row>
    <row r="3769" spans="2:10" ht="15" customHeight="1" x14ac:dyDescent="0.2">
      <c r="B3769" s="39">
        <f t="shared" si="28"/>
      </c>
      <c r="C3769" s="40">
        <f>IF(Inputs!$C$60,Inputs!$C$11+(B3769-Inputs!$C$69)/Inputs!$C$70,"")</f>
      </c>
      <c r="D3769" s="15"/>
      <c r="E3769" s="15"/>
      <c r="F3769" s="11">
        <f t="shared" si="29"/>
      </c>
      <c r="G3769" s="22" cm="1">
        <f t="array" ref="G3769">IF(AND(Inputs!$C$60,Inputs!$C$61),INDEX(Utility_Rates!$C$29:$F$52,HOUR(C3769)+Inputs!$C$69,MATCH(INDEX(Utility_Rates!$K$6:$K$17,MONTH(C3769))&amp;IF(WEEKDAY(C3769,Inputs!$C$76)&lt;=Inputs!$C$74," weekday"," weekend"),Utility_Rates!$C$28:$F$28,Inputs!$C$68)),"")</f>
      </c>
      <c r="H3769" s="34"/>
      <c r="I3769" s="42">
        <f>IF(AND(ISNUMBER(D3769),ISNUMBER(H3769)),D3769*H3769*Inputs!$C$69,"")</f>
      </c>
      <c r="J3769" s="42">
        <f>IF(AND(ISNUMBER(F3769),ISNUMBER(H3769),F3769&gt;=Inputs!$C$68),F3769*H3769*Inputs!$C$69,"")</f>
      </c>
    </row>
    <row r="3770" spans="2:10" ht="15" customHeight="1" x14ac:dyDescent="0.2">
      <c r="B3770" s="39">
        <f t="shared" si="28"/>
      </c>
      <c r="C3770" s="40">
        <f>IF(Inputs!$C$60,Inputs!$C$11+(B3770-Inputs!$C$69)/Inputs!$C$70,"")</f>
      </c>
      <c r="D3770" s="15"/>
      <c r="E3770" s="15"/>
      <c r="F3770" s="11">
        <f t="shared" si="29"/>
      </c>
      <c r="G3770" s="22" cm="1">
        <f t="array" ref="G3770">IF(AND(Inputs!$C$60,Inputs!$C$61),INDEX(Utility_Rates!$C$29:$F$52,HOUR(C3770)+Inputs!$C$69,MATCH(INDEX(Utility_Rates!$K$6:$K$17,MONTH(C3770))&amp;IF(WEEKDAY(C3770,Inputs!$C$76)&lt;=Inputs!$C$74," weekday"," weekend"),Utility_Rates!$C$28:$F$28,Inputs!$C$68)),"")</f>
      </c>
      <c r="H3770" s="34"/>
      <c r="I3770" s="42">
        <f>IF(AND(ISNUMBER(D3770),ISNUMBER(H3770)),D3770*H3770*Inputs!$C$69,"")</f>
      </c>
      <c r="J3770" s="42">
        <f>IF(AND(ISNUMBER(F3770),ISNUMBER(H3770),F3770&gt;=Inputs!$C$68),F3770*H3770*Inputs!$C$69,"")</f>
      </c>
    </row>
    <row r="3771" spans="2:10" ht="15" customHeight="1" x14ac:dyDescent="0.2">
      <c r="B3771" s="39">
        <f t="shared" si="28"/>
      </c>
      <c r="C3771" s="40">
        <f>IF(Inputs!$C$60,Inputs!$C$11+(B3771-Inputs!$C$69)/Inputs!$C$70,"")</f>
      </c>
      <c r="D3771" s="15"/>
      <c r="E3771" s="15"/>
      <c r="F3771" s="11">
        <f t="shared" si="29"/>
      </c>
      <c r="G3771" s="22" cm="1">
        <f t="array" ref="G3771">IF(AND(Inputs!$C$60,Inputs!$C$61),INDEX(Utility_Rates!$C$29:$F$52,HOUR(C3771)+Inputs!$C$69,MATCH(INDEX(Utility_Rates!$K$6:$K$17,MONTH(C3771))&amp;IF(WEEKDAY(C3771,Inputs!$C$76)&lt;=Inputs!$C$74," weekday"," weekend"),Utility_Rates!$C$28:$F$28,Inputs!$C$68)),"")</f>
      </c>
      <c r="H3771" s="34"/>
      <c r="I3771" s="42">
        <f>IF(AND(ISNUMBER(D3771),ISNUMBER(H3771)),D3771*H3771*Inputs!$C$69,"")</f>
      </c>
      <c r="J3771" s="42">
        <f>IF(AND(ISNUMBER(F3771),ISNUMBER(H3771),F3771&gt;=Inputs!$C$68),F3771*H3771*Inputs!$C$69,"")</f>
      </c>
    </row>
    <row r="3772" spans="2:10" ht="15" customHeight="1" x14ac:dyDescent="0.2">
      <c r="B3772" s="39">
        <f t="shared" si="28"/>
      </c>
      <c r="C3772" s="40">
        <f>IF(Inputs!$C$60,Inputs!$C$11+(B3772-Inputs!$C$69)/Inputs!$C$70,"")</f>
      </c>
      <c r="D3772" s="15"/>
      <c r="E3772" s="15"/>
      <c r="F3772" s="11">
        <f t="shared" si="29"/>
      </c>
      <c r="G3772" s="22" cm="1">
        <f t="array" ref="G3772">IF(AND(Inputs!$C$60,Inputs!$C$61),INDEX(Utility_Rates!$C$29:$F$52,HOUR(C3772)+Inputs!$C$69,MATCH(INDEX(Utility_Rates!$K$6:$K$17,MONTH(C3772))&amp;IF(WEEKDAY(C3772,Inputs!$C$76)&lt;=Inputs!$C$74," weekday"," weekend"),Utility_Rates!$C$28:$F$28,Inputs!$C$68)),"")</f>
      </c>
      <c r="H3772" s="34"/>
      <c r="I3772" s="42">
        <f>IF(AND(ISNUMBER(D3772),ISNUMBER(H3772)),D3772*H3772*Inputs!$C$69,"")</f>
      </c>
      <c r="J3772" s="42">
        <f>IF(AND(ISNUMBER(F3772),ISNUMBER(H3772),F3772&gt;=Inputs!$C$68),F3772*H3772*Inputs!$C$69,"")</f>
      </c>
    </row>
    <row r="3773" spans="2:10" ht="15" customHeight="1" x14ac:dyDescent="0.2">
      <c r="B3773" s="39">
        <f t="shared" si="28"/>
      </c>
      <c r="C3773" s="40">
        <f>IF(Inputs!$C$60,Inputs!$C$11+(B3773-Inputs!$C$69)/Inputs!$C$70,"")</f>
      </c>
      <c r="D3773" s="15"/>
      <c r="E3773" s="15"/>
      <c r="F3773" s="11">
        <f t="shared" si="29"/>
      </c>
      <c r="G3773" s="22" cm="1">
        <f t="array" ref="G3773">IF(AND(Inputs!$C$60,Inputs!$C$61),INDEX(Utility_Rates!$C$29:$F$52,HOUR(C3773)+Inputs!$C$69,MATCH(INDEX(Utility_Rates!$K$6:$K$17,MONTH(C3773))&amp;IF(WEEKDAY(C3773,Inputs!$C$76)&lt;=Inputs!$C$74," weekday"," weekend"),Utility_Rates!$C$28:$F$28,Inputs!$C$68)),"")</f>
      </c>
      <c r="H3773" s="34"/>
      <c r="I3773" s="42">
        <f>IF(AND(ISNUMBER(D3773),ISNUMBER(H3773)),D3773*H3773*Inputs!$C$69,"")</f>
      </c>
      <c r="J3773" s="42">
        <f>IF(AND(ISNUMBER(F3773),ISNUMBER(H3773),F3773&gt;=Inputs!$C$68),F3773*H3773*Inputs!$C$69,"")</f>
      </c>
    </row>
    <row r="3774" spans="2:10" ht="15" customHeight="1" x14ac:dyDescent="0.2">
      <c r="B3774" s="39">
        <f t="shared" si="28"/>
      </c>
      <c r="C3774" s="40">
        <f>IF(Inputs!$C$60,Inputs!$C$11+(B3774-Inputs!$C$69)/Inputs!$C$70,"")</f>
      </c>
      <c r="D3774" s="15"/>
      <c r="E3774" s="15"/>
      <c r="F3774" s="11">
        <f t="shared" si="29"/>
      </c>
      <c r="G3774" s="22" cm="1">
        <f t="array" ref="G3774">IF(AND(Inputs!$C$60,Inputs!$C$61),INDEX(Utility_Rates!$C$29:$F$52,HOUR(C3774)+Inputs!$C$69,MATCH(INDEX(Utility_Rates!$K$6:$K$17,MONTH(C3774))&amp;IF(WEEKDAY(C3774,Inputs!$C$76)&lt;=Inputs!$C$74," weekday"," weekend"),Utility_Rates!$C$28:$F$28,Inputs!$C$68)),"")</f>
      </c>
      <c r="H3774" s="34"/>
      <c r="I3774" s="42">
        <f>IF(AND(ISNUMBER(D3774),ISNUMBER(H3774)),D3774*H3774*Inputs!$C$69,"")</f>
      </c>
      <c r="J3774" s="42">
        <f>IF(AND(ISNUMBER(F3774),ISNUMBER(H3774),F3774&gt;=Inputs!$C$68),F3774*H3774*Inputs!$C$69,"")</f>
      </c>
    </row>
    <row r="3775" spans="2:10" ht="15" customHeight="1" x14ac:dyDescent="0.2">
      <c r="B3775" s="39">
        <f t="shared" si="28"/>
      </c>
      <c r="C3775" s="40">
        <f>IF(Inputs!$C$60,Inputs!$C$11+(B3775-Inputs!$C$69)/Inputs!$C$70,"")</f>
      </c>
      <c r="D3775" s="15"/>
      <c r="E3775" s="15"/>
      <c r="F3775" s="11">
        <f t="shared" si="29"/>
      </c>
      <c r="G3775" s="22" cm="1">
        <f t="array" ref="G3775">IF(AND(Inputs!$C$60,Inputs!$C$61),INDEX(Utility_Rates!$C$29:$F$52,HOUR(C3775)+Inputs!$C$69,MATCH(INDEX(Utility_Rates!$K$6:$K$17,MONTH(C3775))&amp;IF(WEEKDAY(C3775,Inputs!$C$76)&lt;=Inputs!$C$74," weekday"," weekend"),Utility_Rates!$C$28:$F$28,Inputs!$C$68)),"")</f>
      </c>
      <c r="H3775" s="34"/>
      <c r="I3775" s="42">
        <f>IF(AND(ISNUMBER(D3775),ISNUMBER(H3775)),D3775*H3775*Inputs!$C$69,"")</f>
      </c>
      <c r="J3775" s="42">
        <f>IF(AND(ISNUMBER(F3775),ISNUMBER(H3775),F3775&gt;=Inputs!$C$68),F3775*H3775*Inputs!$C$69,"")</f>
      </c>
    </row>
    <row r="3776" spans="2:10" ht="15" customHeight="1" x14ac:dyDescent="0.2">
      <c r="B3776" s="39">
        <f t="shared" si="28"/>
      </c>
      <c r="C3776" s="40">
        <f>IF(Inputs!$C$60,Inputs!$C$11+(B3776-Inputs!$C$69)/Inputs!$C$70,"")</f>
      </c>
      <c r="D3776" s="15"/>
      <c r="E3776" s="15"/>
      <c r="F3776" s="11">
        <f t="shared" si="29"/>
      </c>
      <c r="G3776" s="22" cm="1">
        <f t="array" ref="G3776">IF(AND(Inputs!$C$60,Inputs!$C$61),INDEX(Utility_Rates!$C$29:$F$52,HOUR(C3776)+Inputs!$C$69,MATCH(INDEX(Utility_Rates!$K$6:$K$17,MONTH(C3776))&amp;IF(WEEKDAY(C3776,Inputs!$C$76)&lt;=Inputs!$C$74," weekday"," weekend"),Utility_Rates!$C$28:$F$28,Inputs!$C$68)),"")</f>
      </c>
      <c r="H3776" s="34"/>
      <c r="I3776" s="42">
        <f>IF(AND(ISNUMBER(D3776),ISNUMBER(H3776)),D3776*H3776*Inputs!$C$69,"")</f>
      </c>
      <c r="J3776" s="42">
        <f>IF(AND(ISNUMBER(F3776),ISNUMBER(H3776),F3776&gt;=Inputs!$C$68),F3776*H3776*Inputs!$C$69,"")</f>
      </c>
    </row>
    <row r="3777" spans="2:10" ht="15" customHeight="1" x14ac:dyDescent="0.2">
      <c r="B3777" s="39">
        <f t="shared" si="28"/>
      </c>
      <c r="C3777" s="40">
        <f>IF(Inputs!$C$60,Inputs!$C$11+(B3777-Inputs!$C$69)/Inputs!$C$70,"")</f>
      </c>
      <c r="D3777" s="15"/>
      <c r="E3777" s="15"/>
      <c r="F3777" s="11">
        <f t="shared" si="29"/>
      </c>
      <c r="G3777" s="22" cm="1">
        <f t="array" ref="G3777">IF(AND(Inputs!$C$60,Inputs!$C$61),INDEX(Utility_Rates!$C$29:$F$52,HOUR(C3777)+Inputs!$C$69,MATCH(INDEX(Utility_Rates!$K$6:$K$17,MONTH(C3777))&amp;IF(WEEKDAY(C3777,Inputs!$C$76)&lt;=Inputs!$C$74," weekday"," weekend"),Utility_Rates!$C$28:$F$28,Inputs!$C$68)),"")</f>
      </c>
      <c r="H3777" s="34"/>
      <c r="I3777" s="42">
        <f>IF(AND(ISNUMBER(D3777),ISNUMBER(H3777)),D3777*H3777*Inputs!$C$69,"")</f>
      </c>
      <c r="J3777" s="42">
        <f>IF(AND(ISNUMBER(F3777),ISNUMBER(H3777),F3777&gt;=Inputs!$C$68),F3777*H3777*Inputs!$C$69,"")</f>
      </c>
    </row>
    <row r="3778" spans="2:10" ht="15" customHeight="1" x14ac:dyDescent="0.2">
      <c r="B3778" s="39">
        <f t="shared" si="28"/>
      </c>
      <c r="C3778" s="40">
        <f>IF(Inputs!$C$60,Inputs!$C$11+(B3778-Inputs!$C$69)/Inputs!$C$70,"")</f>
      </c>
      <c r="D3778" s="15"/>
      <c r="E3778" s="15"/>
      <c r="F3778" s="11">
        <f t="shared" si="29"/>
      </c>
      <c r="G3778" s="22" cm="1">
        <f t="array" ref="G3778">IF(AND(Inputs!$C$60,Inputs!$C$61),INDEX(Utility_Rates!$C$29:$F$52,HOUR(C3778)+Inputs!$C$69,MATCH(INDEX(Utility_Rates!$K$6:$K$17,MONTH(C3778))&amp;IF(WEEKDAY(C3778,Inputs!$C$76)&lt;=Inputs!$C$74," weekday"," weekend"),Utility_Rates!$C$28:$F$28,Inputs!$C$68)),"")</f>
      </c>
      <c r="H3778" s="34"/>
      <c r="I3778" s="42">
        <f>IF(AND(ISNUMBER(D3778),ISNUMBER(H3778)),D3778*H3778*Inputs!$C$69,"")</f>
      </c>
      <c r="J3778" s="42">
        <f>IF(AND(ISNUMBER(F3778),ISNUMBER(H3778),F3778&gt;=Inputs!$C$68),F3778*H3778*Inputs!$C$69,"")</f>
      </c>
    </row>
    <row r="3779" spans="2:10" ht="15" customHeight="1" x14ac:dyDescent="0.2">
      <c r="B3779" s="39">
        <f t="shared" si="28"/>
      </c>
      <c r="C3779" s="40">
        <f>IF(Inputs!$C$60,Inputs!$C$11+(B3779-Inputs!$C$69)/Inputs!$C$70,"")</f>
      </c>
      <c r="D3779" s="15"/>
      <c r="E3779" s="15"/>
      <c r="F3779" s="11">
        <f t="shared" si="29"/>
      </c>
      <c r="G3779" s="22" cm="1">
        <f t="array" ref="G3779">IF(AND(Inputs!$C$60,Inputs!$C$61),INDEX(Utility_Rates!$C$29:$F$52,HOUR(C3779)+Inputs!$C$69,MATCH(INDEX(Utility_Rates!$K$6:$K$17,MONTH(C3779))&amp;IF(WEEKDAY(C3779,Inputs!$C$76)&lt;=Inputs!$C$74," weekday"," weekend"),Utility_Rates!$C$28:$F$28,Inputs!$C$68)),"")</f>
      </c>
      <c r="H3779" s="34"/>
      <c r="I3779" s="42">
        <f>IF(AND(ISNUMBER(D3779),ISNUMBER(H3779)),D3779*H3779*Inputs!$C$69,"")</f>
      </c>
      <c r="J3779" s="42">
        <f>IF(AND(ISNUMBER(F3779),ISNUMBER(H3779),F3779&gt;=Inputs!$C$68),F3779*H3779*Inputs!$C$69,"")</f>
      </c>
    </row>
    <row r="3780" spans="2:10" ht="15" customHeight="1" x14ac:dyDescent="0.2">
      <c r="B3780" s="39">
        <f t="shared" si="28"/>
      </c>
      <c r="C3780" s="40">
        <f>IF(Inputs!$C$60,Inputs!$C$11+(B3780-Inputs!$C$69)/Inputs!$C$70,"")</f>
      </c>
      <c r="D3780" s="15"/>
      <c r="E3780" s="15"/>
      <c r="F3780" s="11">
        <f t="shared" si="29"/>
      </c>
      <c r="G3780" s="22" cm="1">
        <f t="array" ref="G3780">IF(AND(Inputs!$C$60,Inputs!$C$61),INDEX(Utility_Rates!$C$29:$F$52,HOUR(C3780)+Inputs!$C$69,MATCH(INDEX(Utility_Rates!$K$6:$K$17,MONTH(C3780))&amp;IF(WEEKDAY(C3780,Inputs!$C$76)&lt;=Inputs!$C$74," weekday"," weekend"),Utility_Rates!$C$28:$F$28,Inputs!$C$68)),"")</f>
      </c>
      <c r="H3780" s="34"/>
      <c r="I3780" s="42">
        <f>IF(AND(ISNUMBER(D3780),ISNUMBER(H3780)),D3780*H3780*Inputs!$C$69,"")</f>
      </c>
      <c r="J3780" s="42">
        <f>IF(AND(ISNUMBER(F3780),ISNUMBER(H3780),F3780&gt;=Inputs!$C$68),F3780*H3780*Inputs!$C$69,"")</f>
      </c>
    </row>
    <row r="3781" spans="2:10" ht="15" customHeight="1" x14ac:dyDescent="0.2">
      <c r="B3781" s="39">
        <f t="shared" si="28"/>
      </c>
      <c r="C3781" s="40">
        <f>IF(Inputs!$C$60,Inputs!$C$11+(B3781-Inputs!$C$69)/Inputs!$C$70,"")</f>
      </c>
      <c r="D3781" s="15"/>
      <c r="E3781" s="15"/>
      <c r="F3781" s="11">
        <f t="shared" si="29"/>
      </c>
      <c r="G3781" s="22" cm="1">
        <f t="array" ref="G3781">IF(AND(Inputs!$C$60,Inputs!$C$61),INDEX(Utility_Rates!$C$29:$F$52,HOUR(C3781)+Inputs!$C$69,MATCH(INDEX(Utility_Rates!$K$6:$K$17,MONTH(C3781))&amp;IF(WEEKDAY(C3781,Inputs!$C$76)&lt;=Inputs!$C$74," weekday"," weekend"),Utility_Rates!$C$28:$F$28,Inputs!$C$68)),"")</f>
      </c>
      <c r="H3781" s="34"/>
      <c r="I3781" s="42">
        <f>IF(AND(ISNUMBER(D3781),ISNUMBER(H3781)),D3781*H3781*Inputs!$C$69,"")</f>
      </c>
      <c r="J3781" s="42">
        <f>IF(AND(ISNUMBER(F3781),ISNUMBER(H3781),F3781&gt;=Inputs!$C$68),F3781*H3781*Inputs!$C$69,"")</f>
      </c>
    </row>
    <row r="3782" spans="2:10" ht="15" customHeight="1" x14ac:dyDescent="0.2">
      <c r="B3782" s="39">
        <f t="shared" si="28"/>
      </c>
      <c r="C3782" s="40">
        <f>IF(Inputs!$C$60,Inputs!$C$11+(B3782-Inputs!$C$69)/Inputs!$C$70,"")</f>
      </c>
      <c r="D3782" s="15"/>
      <c r="E3782" s="15"/>
      <c r="F3782" s="11">
        <f t="shared" si="29"/>
      </c>
      <c r="G3782" s="22" cm="1">
        <f t="array" ref="G3782">IF(AND(Inputs!$C$60,Inputs!$C$61),INDEX(Utility_Rates!$C$29:$F$52,HOUR(C3782)+Inputs!$C$69,MATCH(INDEX(Utility_Rates!$K$6:$K$17,MONTH(C3782))&amp;IF(WEEKDAY(C3782,Inputs!$C$76)&lt;=Inputs!$C$74," weekday"," weekend"),Utility_Rates!$C$28:$F$28,Inputs!$C$68)),"")</f>
      </c>
      <c r="H3782" s="34"/>
      <c r="I3782" s="42">
        <f>IF(AND(ISNUMBER(D3782),ISNUMBER(H3782)),D3782*H3782*Inputs!$C$69,"")</f>
      </c>
      <c r="J3782" s="42">
        <f>IF(AND(ISNUMBER(F3782),ISNUMBER(H3782),F3782&gt;=Inputs!$C$68),F3782*H3782*Inputs!$C$69,"")</f>
      </c>
    </row>
    <row r="3783" spans="2:10" ht="15" customHeight="1" x14ac:dyDescent="0.2">
      <c r="B3783" s="39">
        <f t="shared" si="28"/>
      </c>
      <c r="C3783" s="40">
        <f>IF(Inputs!$C$60,Inputs!$C$11+(B3783-Inputs!$C$69)/Inputs!$C$70,"")</f>
      </c>
      <c r="D3783" s="15"/>
      <c r="E3783" s="15"/>
      <c r="F3783" s="11">
        <f t="shared" si="29"/>
      </c>
      <c r="G3783" s="22" cm="1">
        <f t="array" ref="G3783">IF(AND(Inputs!$C$60,Inputs!$C$61),INDEX(Utility_Rates!$C$29:$F$52,HOUR(C3783)+Inputs!$C$69,MATCH(INDEX(Utility_Rates!$K$6:$K$17,MONTH(C3783))&amp;IF(WEEKDAY(C3783,Inputs!$C$76)&lt;=Inputs!$C$74," weekday"," weekend"),Utility_Rates!$C$28:$F$28,Inputs!$C$68)),"")</f>
      </c>
      <c r="H3783" s="34"/>
      <c r="I3783" s="42">
        <f>IF(AND(ISNUMBER(D3783),ISNUMBER(H3783)),D3783*H3783*Inputs!$C$69,"")</f>
      </c>
      <c r="J3783" s="42">
        <f>IF(AND(ISNUMBER(F3783),ISNUMBER(H3783),F3783&gt;=Inputs!$C$68),F3783*H3783*Inputs!$C$69,"")</f>
      </c>
    </row>
    <row r="3784" spans="2:10" ht="15" customHeight="1" x14ac:dyDescent="0.2">
      <c r="B3784" s="39">
        <f t="shared" si="28"/>
      </c>
      <c r="C3784" s="40">
        <f>IF(Inputs!$C$60,Inputs!$C$11+(B3784-Inputs!$C$69)/Inputs!$C$70,"")</f>
      </c>
      <c r="D3784" s="15"/>
      <c r="E3784" s="15"/>
      <c r="F3784" s="11">
        <f t="shared" si="29"/>
      </c>
      <c r="G3784" s="22" cm="1">
        <f t="array" ref="G3784">IF(AND(Inputs!$C$60,Inputs!$C$61),INDEX(Utility_Rates!$C$29:$F$52,HOUR(C3784)+Inputs!$C$69,MATCH(INDEX(Utility_Rates!$K$6:$K$17,MONTH(C3784))&amp;IF(WEEKDAY(C3784,Inputs!$C$76)&lt;=Inputs!$C$74," weekday"," weekend"),Utility_Rates!$C$28:$F$28,Inputs!$C$68)),"")</f>
      </c>
      <c r="H3784" s="34"/>
      <c r="I3784" s="42">
        <f>IF(AND(ISNUMBER(D3784),ISNUMBER(H3784)),D3784*H3784*Inputs!$C$69,"")</f>
      </c>
      <c r="J3784" s="42">
        <f>IF(AND(ISNUMBER(F3784),ISNUMBER(H3784),F3784&gt;=Inputs!$C$68),F3784*H3784*Inputs!$C$69,"")</f>
      </c>
    </row>
    <row r="3785" spans="2:10" ht="15" customHeight="1" x14ac:dyDescent="0.2">
      <c r="B3785" s="39">
        <f t="shared" si="28"/>
      </c>
      <c r="C3785" s="40">
        <f>IF(Inputs!$C$60,Inputs!$C$11+(B3785-Inputs!$C$69)/Inputs!$C$70,"")</f>
      </c>
      <c r="D3785" s="15"/>
      <c r="E3785" s="15"/>
      <c r="F3785" s="11">
        <f t="shared" si="29"/>
      </c>
      <c r="G3785" s="22" cm="1">
        <f t="array" ref="G3785">IF(AND(Inputs!$C$60,Inputs!$C$61),INDEX(Utility_Rates!$C$29:$F$52,HOUR(C3785)+Inputs!$C$69,MATCH(INDEX(Utility_Rates!$K$6:$K$17,MONTH(C3785))&amp;IF(WEEKDAY(C3785,Inputs!$C$76)&lt;=Inputs!$C$74," weekday"," weekend"),Utility_Rates!$C$28:$F$28,Inputs!$C$68)),"")</f>
      </c>
      <c r="H3785" s="34"/>
      <c r="I3785" s="42">
        <f>IF(AND(ISNUMBER(D3785),ISNUMBER(H3785)),D3785*H3785*Inputs!$C$69,"")</f>
      </c>
      <c r="J3785" s="42">
        <f>IF(AND(ISNUMBER(F3785),ISNUMBER(H3785),F3785&gt;=Inputs!$C$68),F3785*H3785*Inputs!$C$69,"")</f>
      </c>
    </row>
    <row r="3786" spans="2:10" ht="15" customHeight="1" x14ac:dyDescent="0.2">
      <c r="B3786" s="39">
        <f t="shared" si="28"/>
      </c>
      <c r="C3786" s="40">
        <f>IF(Inputs!$C$60,Inputs!$C$11+(B3786-Inputs!$C$69)/Inputs!$C$70,"")</f>
      </c>
      <c r="D3786" s="15"/>
      <c r="E3786" s="15"/>
      <c r="F3786" s="11">
        <f t="shared" si="29"/>
      </c>
      <c r="G3786" s="22" cm="1">
        <f t="array" ref="G3786">IF(AND(Inputs!$C$60,Inputs!$C$61),INDEX(Utility_Rates!$C$29:$F$52,HOUR(C3786)+Inputs!$C$69,MATCH(INDEX(Utility_Rates!$K$6:$K$17,MONTH(C3786))&amp;IF(WEEKDAY(C3786,Inputs!$C$76)&lt;=Inputs!$C$74," weekday"," weekend"),Utility_Rates!$C$28:$F$28,Inputs!$C$68)),"")</f>
      </c>
      <c r="H3786" s="34"/>
      <c r="I3786" s="42">
        <f>IF(AND(ISNUMBER(D3786),ISNUMBER(H3786)),D3786*H3786*Inputs!$C$69,"")</f>
      </c>
      <c r="J3786" s="42">
        <f>IF(AND(ISNUMBER(F3786),ISNUMBER(H3786),F3786&gt;=Inputs!$C$68),F3786*H3786*Inputs!$C$69,"")</f>
      </c>
    </row>
    <row r="3787" spans="2:10" ht="15" customHeight="1" x14ac:dyDescent="0.2">
      <c r="B3787" s="39">
        <f t="shared" si="28"/>
      </c>
      <c r="C3787" s="40">
        <f>IF(Inputs!$C$60,Inputs!$C$11+(B3787-Inputs!$C$69)/Inputs!$C$70,"")</f>
      </c>
      <c r="D3787" s="15"/>
      <c r="E3787" s="15"/>
      <c r="F3787" s="11">
        <f t="shared" si="29"/>
      </c>
      <c r="G3787" s="22" cm="1">
        <f t="array" ref="G3787">IF(AND(Inputs!$C$60,Inputs!$C$61),INDEX(Utility_Rates!$C$29:$F$52,HOUR(C3787)+Inputs!$C$69,MATCH(INDEX(Utility_Rates!$K$6:$K$17,MONTH(C3787))&amp;IF(WEEKDAY(C3787,Inputs!$C$76)&lt;=Inputs!$C$74," weekday"," weekend"),Utility_Rates!$C$28:$F$28,Inputs!$C$68)),"")</f>
      </c>
      <c r="H3787" s="34"/>
      <c r="I3787" s="42">
        <f>IF(AND(ISNUMBER(D3787),ISNUMBER(H3787)),D3787*H3787*Inputs!$C$69,"")</f>
      </c>
      <c r="J3787" s="42">
        <f>IF(AND(ISNUMBER(F3787),ISNUMBER(H3787),F3787&gt;=Inputs!$C$68),F3787*H3787*Inputs!$C$69,"")</f>
      </c>
    </row>
    <row r="3788" spans="2:10" ht="15" customHeight="1" x14ac:dyDescent="0.2">
      <c r="B3788" s="39">
        <f t="shared" si="28"/>
      </c>
      <c r="C3788" s="40">
        <f>IF(Inputs!$C$60,Inputs!$C$11+(B3788-Inputs!$C$69)/Inputs!$C$70,"")</f>
      </c>
      <c r="D3788" s="15"/>
      <c r="E3788" s="15"/>
      <c r="F3788" s="11">
        <f t="shared" si="29"/>
      </c>
      <c r="G3788" s="22" cm="1">
        <f t="array" ref="G3788">IF(AND(Inputs!$C$60,Inputs!$C$61),INDEX(Utility_Rates!$C$29:$F$52,HOUR(C3788)+Inputs!$C$69,MATCH(INDEX(Utility_Rates!$K$6:$K$17,MONTH(C3788))&amp;IF(WEEKDAY(C3788,Inputs!$C$76)&lt;=Inputs!$C$74," weekday"," weekend"),Utility_Rates!$C$28:$F$28,Inputs!$C$68)),"")</f>
      </c>
      <c r="H3788" s="34"/>
      <c r="I3788" s="42">
        <f>IF(AND(ISNUMBER(D3788),ISNUMBER(H3788)),D3788*H3788*Inputs!$C$69,"")</f>
      </c>
      <c r="J3788" s="42">
        <f>IF(AND(ISNUMBER(F3788),ISNUMBER(H3788),F3788&gt;=Inputs!$C$68),F3788*H3788*Inputs!$C$69,"")</f>
      </c>
    </row>
    <row r="3789" spans="2:10" ht="15" customHeight="1" x14ac:dyDescent="0.2">
      <c r="B3789" s="39">
        <f t="shared" si="28"/>
      </c>
      <c r="C3789" s="40">
        <f>IF(Inputs!$C$60,Inputs!$C$11+(B3789-Inputs!$C$69)/Inputs!$C$70,"")</f>
      </c>
      <c r="D3789" s="15"/>
      <c r="E3789" s="15"/>
      <c r="F3789" s="11">
        <f t="shared" si="29"/>
      </c>
      <c r="G3789" s="22" cm="1">
        <f t="array" ref="G3789">IF(AND(Inputs!$C$60,Inputs!$C$61),INDEX(Utility_Rates!$C$29:$F$52,HOUR(C3789)+Inputs!$C$69,MATCH(INDEX(Utility_Rates!$K$6:$K$17,MONTH(C3789))&amp;IF(WEEKDAY(C3789,Inputs!$C$76)&lt;=Inputs!$C$74," weekday"," weekend"),Utility_Rates!$C$28:$F$28,Inputs!$C$68)),"")</f>
      </c>
      <c r="H3789" s="34"/>
      <c r="I3789" s="42">
        <f>IF(AND(ISNUMBER(D3789),ISNUMBER(H3789)),D3789*H3789*Inputs!$C$69,"")</f>
      </c>
      <c r="J3789" s="42">
        <f>IF(AND(ISNUMBER(F3789),ISNUMBER(H3789),F3789&gt;=Inputs!$C$68),F3789*H3789*Inputs!$C$69,"")</f>
      </c>
    </row>
    <row r="3790" spans="2:10" ht="15" customHeight="1" x14ac:dyDescent="0.2">
      <c r="B3790" s="39">
        <f t="shared" si="28"/>
      </c>
      <c r="C3790" s="40">
        <f>IF(Inputs!$C$60,Inputs!$C$11+(B3790-Inputs!$C$69)/Inputs!$C$70,"")</f>
      </c>
      <c r="D3790" s="15"/>
      <c r="E3790" s="15"/>
      <c r="F3790" s="11">
        <f t="shared" si="29"/>
      </c>
      <c r="G3790" s="22" cm="1">
        <f t="array" ref="G3790">IF(AND(Inputs!$C$60,Inputs!$C$61),INDEX(Utility_Rates!$C$29:$F$52,HOUR(C3790)+Inputs!$C$69,MATCH(INDEX(Utility_Rates!$K$6:$K$17,MONTH(C3790))&amp;IF(WEEKDAY(C3790,Inputs!$C$76)&lt;=Inputs!$C$74," weekday"," weekend"),Utility_Rates!$C$28:$F$28,Inputs!$C$68)),"")</f>
      </c>
      <c r="H3790" s="34"/>
      <c r="I3790" s="42">
        <f>IF(AND(ISNUMBER(D3790),ISNUMBER(H3790)),D3790*H3790*Inputs!$C$69,"")</f>
      </c>
      <c r="J3790" s="42">
        <f>IF(AND(ISNUMBER(F3790),ISNUMBER(H3790),F3790&gt;=Inputs!$C$68),F3790*H3790*Inputs!$C$69,"")</f>
      </c>
    </row>
    <row r="3791" spans="2:10" ht="15" customHeight="1" x14ac:dyDescent="0.2">
      <c r="B3791" s="39">
        <f t="shared" si="28"/>
      </c>
      <c r="C3791" s="40">
        <f>IF(Inputs!$C$60,Inputs!$C$11+(B3791-Inputs!$C$69)/Inputs!$C$70,"")</f>
      </c>
      <c r="D3791" s="15"/>
      <c r="E3791" s="15"/>
      <c r="F3791" s="11">
        <f t="shared" si="29"/>
      </c>
      <c r="G3791" s="22" cm="1">
        <f t="array" ref="G3791">IF(AND(Inputs!$C$60,Inputs!$C$61),INDEX(Utility_Rates!$C$29:$F$52,HOUR(C3791)+Inputs!$C$69,MATCH(INDEX(Utility_Rates!$K$6:$K$17,MONTH(C3791))&amp;IF(WEEKDAY(C3791,Inputs!$C$76)&lt;=Inputs!$C$74," weekday"," weekend"),Utility_Rates!$C$28:$F$28,Inputs!$C$68)),"")</f>
      </c>
      <c r="H3791" s="34"/>
      <c r="I3791" s="42">
        <f>IF(AND(ISNUMBER(D3791),ISNUMBER(H3791)),D3791*H3791*Inputs!$C$69,"")</f>
      </c>
      <c r="J3791" s="42">
        <f>IF(AND(ISNUMBER(F3791),ISNUMBER(H3791),F3791&gt;=Inputs!$C$68),F3791*H3791*Inputs!$C$69,"")</f>
      </c>
    </row>
    <row r="3792" spans="2:10" ht="15" customHeight="1" x14ac:dyDescent="0.2">
      <c r="B3792" s="39">
        <f t="shared" si="28"/>
      </c>
      <c r="C3792" s="40">
        <f>IF(Inputs!$C$60,Inputs!$C$11+(B3792-Inputs!$C$69)/Inputs!$C$70,"")</f>
      </c>
      <c r="D3792" s="15"/>
      <c r="E3792" s="15"/>
      <c r="F3792" s="11">
        <f t="shared" si="29"/>
      </c>
      <c r="G3792" s="22" cm="1">
        <f t="array" ref="G3792">IF(AND(Inputs!$C$60,Inputs!$C$61),INDEX(Utility_Rates!$C$29:$F$52,HOUR(C3792)+Inputs!$C$69,MATCH(INDEX(Utility_Rates!$K$6:$K$17,MONTH(C3792))&amp;IF(WEEKDAY(C3792,Inputs!$C$76)&lt;=Inputs!$C$74," weekday"," weekend"),Utility_Rates!$C$28:$F$28,Inputs!$C$68)),"")</f>
      </c>
      <c r="H3792" s="34"/>
      <c r="I3792" s="42">
        <f>IF(AND(ISNUMBER(D3792),ISNUMBER(H3792)),D3792*H3792*Inputs!$C$69,"")</f>
      </c>
      <c r="J3792" s="42">
        <f>IF(AND(ISNUMBER(F3792),ISNUMBER(H3792),F3792&gt;=Inputs!$C$68),F3792*H3792*Inputs!$C$69,"")</f>
      </c>
    </row>
    <row r="3793" spans="2:10" ht="15" customHeight="1" x14ac:dyDescent="0.2">
      <c r="B3793" s="39">
        <f t="shared" si="28"/>
      </c>
      <c r="C3793" s="40">
        <f>IF(Inputs!$C$60,Inputs!$C$11+(B3793-Inputs!$C$69)/Inputs!$C$70,"")</f>
      </c>
      <c r="D3793" s="15"/>
      <c r="E3793" s="15"/>
      <c r="F3793" s="11">
        <f t="shared" si="29"/>
      </c>
      <c r="G3793" s="22" cm="1">
        <f t="array" ref="G3793">IF(AND(Inputs!$C$60,Inputs!$C$61),INDEX(Utility_Rates!$C$29:$F$52,HOUR(C3793)+Inputs!$C$69,MATCH(INDEX(Utility_Rates!$K$6:$K$17,MONTH(C3793))&amp;IF(WEEKDAY(C3793,Inputs!$C$76)&lt;=Inputs!$C$74," weekday"," weekend"),Utility_Rates!$C$28:$F$28,Inputs!$C$68)),"")</f>
      </c>
      <c r="H3793" s="34"/>
      <c r="I3793" s="42">
        <f>IF(AND(ISNUMBER(D3793),ISNUMBER(H3793)),D3793*H3793*Inputs!$C$69,"")</f>
      </c>
      <c r="J3793" s="42">
        <f>IF(AND(ISNUMBER(F3793),ISNUMBER(H3793),F3793&gt;=Inputs!$C$68),F3793*H3793*Inputs!$C$69,"")</f>
      </c>
    </row>
    <row r="3794" spans="2:10" ht="15" customHeight="1" x14ac:dyDescent="0.2">
      <c r="B3794" s="39">
        <f t="shared" si="28"/>
      </c>
      <c r="C3794" s="40">
        <f>IF(Inputs!$C$60,Inputs!$C$11+(B3794-Inputs!$C$69)/Inputs!$C$70,"")</f>
      </c>
      <c r="D3794" s="15"/>
      <c r="E3794" s="15"/>
      <c r="F3794" s="11">
        <f t="shared" si="29"/>
      </c>
      <c r="G3794" s="22" cm="1">
        <f t="array" ref="G3794">IF(AND(Inputs!$C$60,Inputs!$C$61),INDEX(Utility_Rates!$C$29:$F$52,HOUR(C3794)+Inputs!$C$69,MATCH(INDEX(Utility_Rates!$K$6:$K$17,MONTH(C3794))&amp;IF(WEEKDAY(C3794,Inputs!$C$76)&lt;=Inputs!$C$74," weekday"," weekend"),Utility_Rates!$C$28:$F$28,Inputs!$C$68)),"")</f>
      </c>
      <c r="H3794" s="34"/>
      <c r="I3794" s="42">
        <f>IF(AND(ISNUMBER(D3794),ISNUMBER(H3794)),D3794*H3794*Inputs!$C$69,"")</f>
      </c>
      <c r="J3794" s="42">
        <f>IF(AND(ISNUMBER(F3794),ISNUMBER(H3794),F3794&gt;=Inputs!$C$68),F3794*H3794*Inputs!$C$69,"")</f>
      </c>
    </row>
    <row r="3795" spans="2:10" ht="15" customHeight="1" x14ac:dyDescent="0.2">
      <c r="B3795" s="39">
        <f t="shared" si="28"/>
      </c>
      <c r="C3795" s="40">
        <f>IF(Inputs!$C$60,Inputs!$C$11+(B3795-Inputs!$C$69)/Inputs!$C$70,"")</f>
      </c>
      <c r="D3795" s="15"/>
      <c r="E3795" s="15"/>
      <c r="F3795" s="11">
        <f t="shared" si="29"/>
      </c>
      <c r="G3795" s="22" cm="1">
        <f t="array" ref="G3795">IF(AND(Inputs!$C$60,Inputs!$C$61),INDEX(Utility_Rates!$C$29:$F$52,HOUR(C3795)+Inputs!$C$69,MATCH(INDEX(Utility_Rates!$K$6:$K$17,MONTH(C3795))&amp;IF(WEEKDAY(C3795,Inputs!$C$76)&lt;=Inputs!$C$74," weekday"," weekend"),Utility_Rates!$C$28:$F$28,Inputs!$C$68)),"")</f>
      </c>
      <c r="H3795" s="34"/>
      <c r="I3795" s="42">
        <f>IF(AND(ISNUMBER(D3795),ISNUMBER(H3795)),D3795*H3795*Inputs!$C$69,"")</f>
      </c>
      <c r="J3795" s="42">
        <f>IF(AND(ISNUMBER(F3795),ISNUMBER(H3795),F3795&gt;=Inputs!$C$68),F3795*H3795*Inputs!$C$69,"")</f>
      </c>
    </row>
    <row r="3796" spans="2:10" ht="15" customHeight="1" x14ac:dyDescent="0.2">
      <c r="B3796" s="39">
        <f t="shared" si="28"/>
      </c>
      <c r="C3796" s="40">
        <f>IF(Inputs!$C$60,Inputs!$C$11+(B3796-Inputs!$C$69)/Inputs!$C$70,"")</f>
      </c>
      <c r="D3796" s="15"/>
      <c r="E3796" s="15"/>
      <c r="F3796" s="11">
        <f t="shared" si="29"/>
      </c>
      <c r="G3796" s="22" cm="1">
        <f t="array" ref="G3796">IF(AND(Inputs!$C$60,Inputs!$C$61),INDEX(Utility_Rates!$C$29:$F$52,HOUR(C3796)+Inputs!$C$69,MATCH(INDEX(Utility_Rates!$K$6:$K$17,MONTH(C3796))&amp;IF(WEEKDAY(C3796,Inputs!$C$76)&lt;=Inputs!$C$74," weekday"," weekend"),Utility_Rates!$C$28:$F$28,Inputs!$C$68)),"")</f>
      </c>
      <c r="H3796" s="34"/>
      <c r="I3796" s="42">
        <f>IF(AND(ISNUMBER(D3796),ISNUMBER(H3796)),D3796*H3796*Inputs!$C$69,"")</f>
      </c>
      <c r="J3796" s="42">
        <f>IF(AND(ISNUMBER(F3796),ISNUMBER(H3796),F3796&gt;=Inputs!$C$68),F3796*H3796*Inputs!$C$69,"")</f>
      </c>
    </row>
    <row r="3797" spans="2:10" ht="15" customHeight="1" x14ac:dyDescent="0.2">
      <c r="B3797" s="39">
        <f t="shared" si="28"/>
      </c>
      <c r="C3797" s="40">
        <f>IF(Inputs!$C$60,Inputs!$C$11+(B3797-Inputs!$C$69)/Inputs!$C$70,"")</f>
      </c>
      <c r="D3797" s="15"/>
      <c r="E3797" s="15"/>
      <c r="F3797" s="11">
        <f t="shared" si="29"/>
      </c>
      <c r="G3797" s="22" cm="1">
        <f t="array" ref="G3797">IF(AND(Inputs!$C$60,Inputs!$C$61),INDEX(Utility_Rates!$C$29:$F$52,HOUR(C3797)+Inputs!$C$69,MATCH(INDEX(Utility_Rates!$K$6:$K$17,MONTH(C3797))&amp;IF(WEEKDAY(C3797,Inputs!$C$76)&lt;=Inputs!$C$74," weekday"," weekend"),Utility_Rates!$C$28:$F$28,Inputs!$C$68)),"")</f>
      </c>
      <c r="H3797" s="34"/>
      <c r="I3797" s="42">
        <f>IF(AND(ISNUMBER(D3797),ISNUMBER(H3797)),D3797*H3797*Inputs!$C$69,"")</f>
      </c>
      <c r="J3797" s="42">
        <f>IF(AND(ISNUMBER(F3797),ISNUMBER(H3797),F3797&gt;=Inputs!$C$68),F3797*H3797*Inputs!$C$69,"")</f>
      </c>
    </row>
    <row r="3798" spans="2:10" ht="15" customHeight="1" x14ac:dyDescent="0.2">
      <c r="B3798" s="39">
        <f t="shared" si="28"/>
      </c>
      <c r="C3798" s="40">
        <f>IF(Inputs!$C$60,Inputs!$C$11+(B3798-Inputs!$C$69)/Inputs!$C$70,"")</f>
      </c>
      <c r="D3798" s="15"/>
      <c r="E3798" s="15"/>
      <c r="F3798" s="11">
        <f t="shared" si="29"/>
      </c>
      <c r="G3798" s="22" cm="1">
        <f t="array" ref="G3798">IF(AND(Inputs!$C$60,Inputs!$C$61),INDEX(Utility_Rates!$C$29:$F$52,HOUR(C3798)+Inputs!$C$69,MATCH(INDEX(Utility_Rates!$K$6:$K$17,MONTH(C3798))&amp;IF(WEEKDAY(C3798,Inputs!$C$76)&lt;=Inputs!$C$74," weekday"," weekend"),Utility_Rates!$C$28:$F$28,Inputs!$C$68)),"")</f>
      </c>
      <c r="H3798" s="34"/>
      <c r="I3798" s="42">
        <f>IF(AND(ISNUMBER(D3798),ISNUMBER(H3798)),D3798*H3798*Inputs!$C$69,"")</f>
      </c>
      <c r="J3798" s="42">
        <f>IF(AND(ISNUMBER(F3798),ISNUMBER(H3798),F3798&gt;=Inputs!$C$68),F3798*H3798*Inputs!$C$69,"")</f>
      </c>
    </row>
    <row r="3799" spans="2:10" ht="15" customHeight="1" x14ac:dyDescent="0.2">
      <c r="B3799" s="39">
        <f t="shared" si="28"/>
      </c>
      <c r="C3799" s="40">
        <f>IF(Inputs!$C$60,Inputs!$C$11+(B3799-Inputs!$C$69)/Inputs!$C$70,"")</f>
      </c>
      <c r="D3799" s="15"/>
      <c r="E3799" s="15"/>
      <c r="F3799" s="11">
        <f t="shared" si="29"/>
      </c>
      <c r="G3799" s="22" cm="1">
        <f t="array" ref="G3799">IF(AND(Inputs!$C$60,Inputs!$C$61),INDEX(Utility_Rates!$C$29:$F$52,HOUR(C3799)+Inputs!$C$69,MATCH(INDEX(Utility_Rates!$K$6:$K$17,MONTH(C3799))&amp;IF(WEEKDAY(C3799,Inputs!$C$76)&lt;=Inputs!$C$74," weekday"," weekend"),Utility_Rates!$C$28:$F$28,Inputs!$C$68)),"")</f>
      </c>
      <c r="H3799" s="34"/>
      <c r="I3799" s="42">
        <f>IF(AND(ISNUMBER(D3799),ISNUMBER(H3799)),D3799*H3799*Inputs!$C$69,"")</f>
      </c>
      <c r="J3799" s="42">
        <f>IF(AND(ISNUMBER(F3799),ISNUMBER(H3799),F3799&gt;=Inputs!$C$68),F3799*H3799*Inputs!$C$69,"")</f>
      </c>
    </row>
    <row r="3800" spans="2:10" ht="15" customHeight="1" x14ac:dyDescent="0.2">
      <c r="B3800" s="39">
        <f t="shared" si="28"/>
      </c>
      <c r="C3800" s="40">
        <f>IF(Inputs!$C$60,Inputs!$C$11+(B3800-Inputs!$C$69)/Inputs!$C$70,"")</f>
      </c>
      <c r="D3800" s="15"/>
      <c r="E3800" s="15"/>
      <c r="F3800" s="11">
        <f t="shared" si="29"/>
      </c>
      <c r="G3800" s="22" cm="1">
        <f t="array" ref="G3800">IF(AND(Inputs!$C$60,Inputs!$C$61),INDEX(Utility_Rates!$C$29:$F$52,HOUR(C3800)+Inputs!$C$69,MATCH(INDEX(Utility_Rates!$K$6:$K$17,MONTH(C3800))&amp;IF(WEEKDAY(C3800,Inputs!$C$76)&lt;=Inputs!$C$74," weekday"," weekend"),Utility_Rates!$C$28:$F$28,Inputs!$C$68)),"")</f>
      </c>
      <c r="H3800" s="34"/>
      <c r="I3800" s="42">
        <f>IF(AND(ISNUMBER(D3800),ISNUMBER(H3800)),D3800*H3800*Inputs!$C$69,"")</f>
      </c>
      <c r="J3800" s="42">
        <f>IF(AND(ISNUMBER(F3800),ISNUMBER(H3800),F3800&gt;=Inputs!$C$68),F3800*H3800*Inputs!$C$69,"")</f>
      </c>
    </row>
    <row r="3801" spans="2:10" ht="15" customHeight="1" x14ac:dyDescent="0.2">
      <c r="B3801" s="39">
        <f t="shared" si="28"/>
      </c>
      <c r="C3801" s="40">
        <f>IF(Inputs!$C$60,Inputs!$C$11+(B3801-Inputs!$C$69)/Inputs!$C$70,"")</f>
      </c>
      <c r="D3801" s="15"/>
      <c r="E3801" s="15"/>
      <c r="F3801" s="11">
        <f t="shared" si="29"/>
      </c>
      <c r="G3801" s="22" cm="1">
        <f t="array" ref="G3801">IF(AND(Inputs!$C$60,Inputs!$C$61),INDEX(Utility_Rates!$C$29:$F$52,HOUR(C3801)+Inputs!$C$69,MATCH(INDEX(Utility_Rates!$K$6:$K$17,MONTH(C3801))&amp;IF(WEEKDAY(C3801,Inputs!$C$76)&lt;=Inputs!$C$74," weekday"," weekend"),Utility_Rates!$C$28:$F$28,Inputs!$C$68)),"")</f>
      </c>
      <c r="H3801" s="34"/>
      <c r="I3801" s="42">
        <f>IF(AND(ISNUMBER(D3801),ISNUMBER(H3801)),D3801*H3801*Inputs!$C$69,"")</f>
      </c>
      <c r="J3801" s="42">
        <f>IF(AND(ISNUMBER(F3801),ISNUMBER(H3801),F3801&gt;=Inputs!$C$68),F3801*H3801*Inputs!$C$69,"")</f>
      </c>
    </row>
    <row r="3802" spans="2:10" ht="15" customHeight="1" x14ac:dyDescent="0.2">
      <c r="B3802" s="39">
        <f t="shared" si="28"/>
      </c>
      <c r="C3802" s="40">
        <f>IF(Inputs!$C$60,Inputs!$C$11+(B3802-Inputs!$C$69)/Inputs!$C$70,"")</f>
      </c>
      <c r="D3802" s="15"/>
      <c r="E3802" s="15"/>
      <c r="F3802" s="11">
        <f t="shared" si="29"/>
      </c>
      <c r="G3802" s="22" cm="1">
        <f t="array" ref="G3802">IF(AND(Inputs!$C$60,Inputs!$C$61),INDEX(Utility_Rates!$C$29:$F$52,HOUR(C3802)+Inputs!$C$69,MATCH(INDEX(Utility_Rates!$K$6:$K$17,MONTH(C3802))&amp;IF(WEEKDAY(C3802,Inputs!$C$76)&lt;=Inputs!$C$74," weekday"," weekend"),Utility_Rates!$C$28:$F$28,Inputs!$C$68)),"")</f>
      </c>
      <c r="H3802" s="34"/>
      <c r="I3802" s="42">
        <f>IF(AND(ISNUMBER(D3802),ISNUMBER(H3802)),D3802*H3802*Inputs!$C$69,"")</f>
      </c>
      <c r="J3802" s="42">
        <f>IF(AND(ISNUMBER(F3802),ISNUMBER(H3802),F3802&gt;=Inputs!$C$68),F3802*H3802*Inputs!$C$69,"")</f>
      </c>
    </row>
    <row r="3803" spans="2:10" ht="15" customHeight="1" x14ac:dyDescent="0.2">
      <c r="B3803" s="39">
        <f t="shared" si="28"/>
      </c>
      <c r="C3803" s="40">
        <f>IF(Inputs!$C$60,Inputs!$C$11+(B3803-Inputs!$C$69)/Inputs!$C$70,"")</f>
      </c>
      <c r="D3803" s="15"/>
      <c r="E3803" s="15"/>
      <c r="F3803" s="11">
        <f t="shared" si="29"/>
      </c>
      <c r="G3803" s="22" cm="1">
        <f t="array" ref="G3803">IF(AND(Inputs!$C$60,Inputs!$C$61),INDEX(Utility_Rates!$C$29:$F$52,HOUR(C3803)+Inputs!$C$69,MATCH(INDEX(Utility_Rates!$K$6:$K$17,MONTH(C3803))&amp;IF(WEEKDAY(C3803,Inputs!$C$76)&lt;=Inputs!$C$74," weekday"," weekend"),Utility_Rates!$C$28:$F$28,Inputs!$C$68)),"")</f>
      </c>
      <c r="H3803" s="34"/>
      <c r="I3803" s="42">
        <f>IF(AND(ISNUMBER(D3803),ISNUMBER(H3803)),D3803*H3803*Inputs!$C$69,"")</f>
      </c>
      <c r="J3803" s="42">
        <f>IF(AND(ISNUMBER(F3803),ISNUMBER(H3803),F3803&gt;=Inputs!$C$68),F3803*H3803*Inputs!$C$69,"")</f>
      </c>
    </row>
    <row r="3804" spans="2:10" ht="15" customHeight="1" x14ac:dyDescent="0.2">
      <c r="B3804" s="39">
        <f t="shared" si="28"/>
      </c>
      <c r="C3804" s="40">
        <f>IF(Inputs!$C$60,Inputs!$C$11+(B3804-Inputs!$C$69)/Inputs!$C$70,"")</f>
      </c>
      <c r="D3804" s="15"/>
      <c r="E3804" s="15"/>
      <c r="F3804" s="11">
        <f t="shared" si="29"/>
      </c>
      <c r="G3804" s="22" cm="1">
        <f t="array" ref="G3804">IF(AND(Inputs!$C$60,Inputs!$C$61),INDEX(Utility_Rates!$C$29:$F$52,HOUR(C3804)+Inputs!$C$69,MATCH(INDEX(Utility_Rates!$K$6:$K$17,MONTH(C3804))&amp;IF(WEEKDAY(C3804,Inputs!$C$76)&lt;=Inputs!$C$74," weekday"," weekend"),Utility_Rates!$C$28:$F$28,Inputs!$C$68)),"")</f>
      </c>
      <c r="H3804" s="34"/>
      <c r="I3804" s="42">
        <f>IF(AND(ISNUMBER(D3804),ISNUMBER(H3804)),D3804*H3804*Inputs!$C$69,"")</f>
      </c>
      <c r="J3804" s="42">
        <f>IF(AND(ISNUMBER(F3804),ISNUMBER(H3804),F3804&gt;=Inputs!$C$68),F3804*H3804*Inputs!$C$69,"")</f>
      </c>
    </row>
    <row r="3805" spans="2:10" ht="15" customHeight="1" x14ac:dyDescent="0.2">
      <c r="B3805" s="39">
        <f t="shared" si="28"/>
      </c>
      <c r="C3805" s="40">
        <f>IF(Inputs!$C$60,Inputs!$C$11+(B3805-Inputs!$C$69)/Inputs!$C$70,"")</f>
      </c>
      <c r="D3805" s="15"/>
      <c r="E3805" s="15"/>
      <c r="F3805" s="11">
        <f t="shared" si="29"/>
      </c>
      <c r="G3805" s="22" cm="1">
        <f t="array" ref="G3805">IF(AND(Inputs!$C$60,Inputs!$C$61),INDEX(Utility_Rates!$C$29:$F$52,HOUR(C3805)+Inputs!$C$69,MATCH(INDEX(Utility_Rates!$K$6:$K$17,MONTH(C3805))&amp;IF(WEEKDAY(C3805,Inputs!$C$76)&lt;=Inputs!$C$74," weekday"," weekend"),Utility_Rates!$C$28:$F$28,Inputs!$C$68)),"")</f>
      </c>
      <c r="H3805" s="34"/>
      <c r="I3805" s="42">
        <f>IF(AND(ISNUMBER(D3805),ISNUMBER(H3805)),D3805*H3805*Inputs!$C$69,"")</f>
      </c>
      <c r="J3805" s="42">
        <f>IF(AND(ISNUMBER(F3805),ISNUMBER(H3805),F3805&gt;=Inputs!$C$68),F3805*H3805*Inputs!$C$69,"")</f>
      </c>
    </row>
    <row r="3806" spans="2:10" ht="15" customHeight="1" x14ac:dyDescent="0.2">
      <c r="B3806" s="39">
        <f t="shared" si="28"/>
      </c>
      <c r="C3806" s="40">
        <f>IF(Inputs!$C$60,Inputs!$C$11+(B3806-Inputs!$C$69)/Inputs!$C$70,"")</f>
      </c>
      <c r="D3806" s="15"/>
      <c r="E3806" s="15"/>
      <c r="F3806" s="11">
        <f t="shared" si="29"/>
      </c>
      <c r="G3806" s="22" cm="1">
        <f t="array" ref="G3806">IF(AND(Inputs!$C$60,Inputs!$C$61),INDEX(Utility_Rates!$C$29:$F$52,HOUR(C3806)+Inputs!$C$69,MATCH(INDEX(Utility_Rates!$K$6:$K$17,MONTH(C3806))&amp;IF(WEEKDAY(C3806,Inputs!$C$76)&lt;=Inputs!$C$74," weekday"," weekend"),Utility_Rates!$C$28:$F$28,Inputs!$C$68)),"")</f>
      </c>
      <c r="H3806" s="34"/>
      <c r="I3806" s="42">
        <f>IF(AND(ISNUMBER(D3806),ISNUMBER(H3806)),D3806*H3806*Inputs!$C$69,"")</f>
      </c>
      <c r="J3806" s="42">
        <f>IF(AND(ISNUMBER(F3806),ISNUMBER(H3806),F3806&gt;=Inputs!$C$68),F3806*H3806*Inputs!$C$69,"")</f>
      </c>
    </row>
    <row r="3807" spans="2:10" ht="15" customHeight="1" x14ac:dyDescent="0.2">
      <c r="B3807" s="39">
        <f t="shared" si="28"/>
      </c>
      <c r="C3807" s="40">
        <f>IF(Inputs!$C$60,Inputs!$C$11+(B3807-Inputs!$C$69)/Inputs!$C$70,"")</f>
      </c>
      <c r="D3807" s="15"/>
      <c r="E3807" s="15"/>
      <c r="F3807" s="11">
        <f t="shared" si="29"/>
      </c>
      <c r="G3807" s="22" cm="1">
        <f t="array" ref="G3807">IF(AND(Inputs!$C$60,Inputs!$C$61),INDEX(Utility_Rates!$C$29:$F$52,HOUR(C3807)+Inputs!$C$69,MATCH(INDEX(Utility_Rates!$K$6:$K$17,MONTH(C3807))&amp;IF(WEEKDAY(C3807,Inputs!$C$76)&lt;=Inputs!$C$74," weekday"," weekend"),Utility_Rates!$C$28:$F$28,Inputs!$C$68)),"")</f>
      </c>
      <c r="H3807" s="34"/>
      <c r="I3807" s="42">
        <f>IF(AND(ISNUMBER(D3807),ISNUMBER(H3807)),D3807*H3807*Inputs!$C$69,"")</f>
      </c>
      <c r="J3807" s="42">
        <f>IF(AND(ISNUMBER(F3807),ISNUMBER(H3807),F3807&gt;=Inputs!$C$68),F3807*H3807*Inputs!$C$69,"")</f>
      </c>
    </row>
    <row r="3808" spans="2:10" ht="15" customHeight="1" x14ac:dyDescent="0.2">
      <c r="B3808" s="39">
        <f t="shared" si="28"/>
      </c>
      <c r="C3808" s="40">
        <f>IF(Inputs!$C$60,Inputs!$C$11+(B3808-Inputs!$C$69)/Inputs!$C$70,"")</f>
      </c>
      <c r="D3808" s="15"/>
      <c r="E3808" s="15"/>
      <c r="F3808" s="11">
        <f t="shared" si="29"/>
      </c>
      <c r="G3808" s="22" cm="1">
        <f t="array" ref="G3808">IF(AND(Inputs!$C$60,Inputs!$C$61),INDEX(Utility_Rates!$C$29:$F$52,HOUR(C3808)+Inputs!$C$69,MATCH(INDEX(Utility_Rates!$K$6:$K$17,MONTH(C3808))&amp;IF(WEEKDAY(C3808,Inputs!$C$76)&lt;=Inputs!$C$74," weekday"," weekend"),Utility_Rates!$C$28:$F$28,Inputs!$C$68)),"")</f>
      </c>
      <c r="H3808" s="34"/>
      <c r="I3808" s="42">
        <f>IF(AND(ISNUMBER(D3808),ISNUMBER(H3808)),D3808*H3808*Inputs!$C$69,"")</f>
      </c>
      <c r="J3808" s="42">
        <f>IF(AND(ISNUMBER(F3808),ISNUMBER(H3808),F3808&gt;=Inputs!$C$68),F3808*H3808*Inputs!$C$69,"")</f>
      </c>
    </row>
    <row r="3809" spans="2:10" ht="15" customHeight="1" x14ac:dyDescent="0.2">
      <c r="B3809" s="39">
        <f t="shared" si="28"/>
      </c>
      <c r="C3809" s="40">
        <f>IF(Inputs!$C$60,Inputs!$C$11+(B3809-Inputs!$C$69)/Inputs!$C$70,"")</f>
      </c>
      <c r="D3809" s="15"/>
      <c r="E3809" s="15"/>
      <c r="F3809" s="11">
        <f t="shared" si="29"/>
      </c>
      <c r="G3809" s="22" cm="1">
        <f t="array" ref="G3809">IF(AND(Inputs!$C$60,Inputs!$C$61),INDEX(Utility_Rates!$C$29:$F$52,HOUR(C3809)+Inputs!$C$69,MATCH(INDEX(Utility_Rates!$K$6:$K$17,MONTH(C3809))&amp;IF(WEEKDAY(C3809,Inputs!$C$76)&lt;=Inputs!$C$74," weekday"," weekend"),Utility_Rates!$C$28:$F$28,Inputs!$C$68)),"")</f>
      </c>
      <c r="H3809" s="34"/>
      <c r="I3809" s="42">
        <f>IF(AND(ISNUMBER(D3809),ISNUMBER(H3809)),D3809*H3809*Inputs!$C$69,"")</f>
      </c>
      <c r="J3809" s="42">
        <f>IF(AND(ISNUMBER(F3809),ISNUMBER(H3809),F3809&gt;=Inputs!$C$68),F3809*H3809*Inputs!$C$69,"")</f>
      </c>
    </row>
    <row r="3810" spans="2:10" ht="15" customHeight="1" x14ac:dyDescent="0.2">
      <c r="B3810" s="39">
        <f t="shared" si="28"/>
      </c>
      <c r="C3810" s="40">
        <f>IF(Inputs!$C$60,Inputs!$C$11+(B3810-Inputs!$C$69)/Inputs!$C$70,"")</f>
      </c>
      <c r="D3810" s="15"/>
      <c r="E3810" s="15"/>
      <c r="F3810" s="11">
        <f t="shared" si="29"/>
      </c>
      <c r="G3810" s="22" cm="1">
        <f t="array" ref="G3810">IF(AND(Inputs!$C$60,Inputs!$C$61),INDEX(Utility_Rates!$C$29:$F$52,HOUR(C3810)+Inputs!$C$69,MATCH(INDEX(Utility_Rates!$K$6:$K$17,MONTH(C3810))&amp;IF(WEEKDAY(C3810,Inputs!$C$76)&lt;=Inputs!$C$74," weekday"," weekend"),Utility_Rates!$C$28:$F$28,Inputs!$C$68)),"")</f>
      </c>
      <c r="H3810" s="34"/>
      <c r="I3810" s="42">
        <f>IF(AND(ISNUMBER(D3810),ISNUMBER(H3810)),D3810*H3810*Inputs!$C$69,"")</f>
      </c>
      <c r="J3810" s="42">
        <f>IF(AND(ISNUMBER(F3810),ISNUMBER(H3810),F3810&gt;=Inputs!$C$68),F3810*H3810*Inputs!$C$69,"")</f>
      </c>
    </row>
    <row r="3811" spans="2:10" ht="15" customHeight="1" x14ac:dyDescent="0.2">
      <c r="B3811" s="39">
        <f t="shared" si="28"/>
      </c>
      <c r="C3811" s="40">
        <f>IF(Inputs!$C$60,Inputs!$C$11+(B3811-Inputs!$C$69)/Inputs!$C$70,"")</f>
      </c>
      <c r="D3811" s="15"/>
      <c r="E3811" s="15"/>
      <c r="F3811" s="11">
        <f t="shared" si="29"/>
      </c>
      <c r="G3811" s="22" cm="1">
        <f t="array" ref="G3811">IF(AND(Inputs!$C$60,Inputs!$C$61),INDEX(Utility_Rates!$C$29:$F$52,HOUR(C3811)+Inputs!$C$69,MATCH(INDEX(Utility_Rates!$K$6:$K$17,MONTH(C3811))&amp;IF(WEEKDAY(C3811,Inputs!$C$76)&lt;=Inputs!$C$74," weekday"," weekend"),Utility_Rates!$C$28:$F$28,Inputs!$C$68)),"")</f>
      </c>
      <c r="H3811" s="34"/>
      <c r="I3811" s="42">
        <f>IF(AND(ISNUMBER(D3811),ISNUMBER(H3811)),D3811*H3811*Inputs!$C$69,"")</f>
      </c>
      <c r="J3811" s="42">
        <f>IF(AND(ISNUMBER(F3811),ISNUMBER(H3811),F3811&gt;=Inputs!$C$68),F3811*H3811*Inputs!$C$69,"")</f>
      </c>
    </row>
    <row r="3812" spans="2:10" ht="15" customHeight="1" x14ac:dyDescent="0.2">
      <c r="B3812" s="39">
        <f t="shared" si="28"/>
      </c>
      <c r="C3812" s="40">
        <f>IF(Inputs!$C$60,Inputs!$C$11+(B3812-Inputs!$C$69)/Inputs!$C$70,"")</f>
      </c>
      <c r="D3812" s="15"/>
      <c r="E3812" s="15"/>
      <c r="F3812" s="11">
        <f t="shared" si="29"/>
      </c>
      <c r="G3812" s="22" cm="1">
        <f t="array" ref="G3812">IF(AND(Inputs!$C$60,Inputs!$C$61),INDEX(Utility_Rates!$C$29:$F$52,HOUR(C3812)+Inputs!$C$69,MATCH(INDEX(Utility_Rates!$K$6:$K$17,MONTH(C3812))&amp;IF(WEEKDAY(C3812,Inputs!$C$76)&lt;=Inputs!$C$74," weekday"," weekend"),Utility_Rates!$C$28:$F$28,Inputs!$C$68)),"")</f>
      </c>
      <c r="H3812" s="34"/>
      <c r="I3812" s="42">
        <f>IF(AND(ISNUMBER(D3812),ISNUMBER(H3812)),D3812*H3812*Inputs!$C$69,"")</f>
      </c>
      <c r="J3812" s="42">
        <f>IF(AND(ISNUMBER(F3812),ISNUMBER(H3812),F3812&gt;=Inputs!$C$68),F3812*H3812*Inputs!$C$69,"")</f>
      </c>
    </row>
    <row r="3813" spans="2:10" ht="15" customHeight="1" x14ac:dyDescent="0.2">
      <c r="B3813" s="39">
        <f t="shared" si="28"/>
      </c>
      <c r="C3813" s="40">
        <f>IF(Inputs!$C$60,Inputs!$C$11+(B3813-Inputs!$C$69)/Inputs!$C$70,"")</f>
      </c>
      <c r="D3813" s="15"/>
      <c r="E3813" s="15"/>
      <c r="F3813" s="11">
        <f t="shared" si="29"/>
      </c>
      <c r="G3813" s="22" cm="1">
        <f t="array" ref="G3813">IF(AND(Inputs!$C$60,Inputs!$C$61),INDEX(Utility_Rates!$C$29:$F$52,HOUR(C3813)+Inputs!$C$69,MATCH(INDEX(Utility_Rates!$K$6:$K$17,MONTH(C3813))&amp;IF(WEEKDAY(C3813,Inputs!$C$76)&lt;=Inputs!$C$74," weekday"," weekend"),Utility_Rates!$C$28:$F$28,Inputs!$C$68)),"")</f>
      </c>
      <c r="H3813" s="34"/>
      <c r="I3813" s="42">
        <f>IF(AND(ISNUMBER(D3813),ISNUMBER(H3813)),D3813*H3813*Inputs!$C$69,"")</f>
      </c>
      <c r="J3813" s="42">
        <f>IF(AND(ISNUMBER(F3813),ISNUMBER(H3813),F3813&gt;=Inputs!$C$68),F3813*H3813*Inputs!$C$69,"")</f>
      </c>
    </row>
    <row r="3814" spans="2:10" ht="15" customHeight="1" x14ac:dyDescent="0.2">
      <c r="B3814" s="39">
        <f t="shared" si="28"/>
      </c>
      <c r="C3814" s="40">
        <f>IF(Inputs!$C$60,Inputs!$C$11+(B3814-Inputs!$C$69)/Inputs!$C$70,"")</f>
      </c>
      <c r="D3814" s="15"/>
      <c r="E3814" s="15"/>
      <c r="F3814" s="11">
        <f t="shared" si="29"/>
      </c>
      <c r="G3814" s="22" cm="1">
        <f t="array" ref="G3814">IF(AND(Inputs!$C$60,Inputs!$C$61),INDEX(Utility_Rates!$C$29:$F$52,HOUR(C3814)+Inputs!$C$69,MATCH(INDEX(Utility_Rates!$K$6:$K$17,MONTH(C3814))&amp;IF(WEEKDAY(C3814,Inputs!$C$76)&lt;=Inputs!$C$74," weekday"," weekend"),Utility_Rates!$C$28:$F$28,Inputs!$C$68)),"")</f>
      </c>
      <c r="H3814" s="34"/>
      <c r="I3814" s="42">
        <f>IF(AND(ISNUMBER(D3814),ISNUMBER(H3814)),D3814*H3814*Inputs!$C$69,"")</f>
      </c>
      <c r="J3814" s="42">
        <f>IF(AND(ISNUMBER(F3814),ISNUMBER(H3814),F3814&gt;=Inputs!$C$68),F3814*H3814*Inputs!$C$69,"")</f>
      </c>
    </row>
    <row r="3815" spans="2:10" ht="15" customHeight="1" x14ac:dyDescent="0.2">
      <c r="B3815" s="39">
        <f t="shared" si="28"/>
      </c>
      <c r="C3815" s="40">
        <f>IF(Inputs!$C$60,Inputs!$C$11+(B3815-Inputs!$C$69)/Inputs!$C$70,"")</f>
      </c>
      <c r="D3815" s="15"/>
      <c r="E3815" s="15"/>
      <c r="F3815" s="11">
        <f t="shared" si="29"/>
      </c>
      <c r="G3815" s="22" cm="1">
        <f t="array" ref="G3815">IF(AND(Inputs!$C$60,Inputs!$C$61),INDEX(Utility_Rates!$C$29:$F$52,HOUR(C3815)+Inputs!$C$69,MATCH(INDEX(Utility_Rates!$K$6:$K$17,MONTH(C3815))&amp;IF(WEEKDAY(C3815,Inputs!$C$76)&lt;=Inputs!$C$74," weekday"," weekend"),Utility_Rates!$C$28:$F$28,Inputs!$C$68)),"")</f>
      </c>
      <c r="H3815" s="34"/>
      <c r="I3815" s="42">
        <f>IF(AND(ISNUMBER(D3815),ISNUMBER(H3815)),D3815*H3815*Inputs!$C$69,"")</f>
      </c>
      <c r="J3815" s="42">
        <f>IF(AND(ISNUMBER(F3815),ISNUMBER(H3815),F3815&gt;=Inputs!$C$68),F3815*H3815*Inputs!$C$69,"")</f>
      </c>
    </row>
    <row r="3816" spans="2:10" ht="15" customHeight="1" x14ac:dyDescent="0.2">
      <c r="B3816" s="39">
        <f t="shared" si="28"/>
      </c>
      <c r="C3816" s="40">
        <f>IF(Inputs!$C$60,Inputs!$C$11+(B3816-Inputs!$C$69)/Inputs!$C$70,"")</f>
      </c>
      <c r="D3816" s="15"/>
      <c r="E3816" s="15"/>
      <c r="F3816" s="11">
        <f t="shared" si="29"/>
      </c>
      <c r="G3816" s="22" cm="1">
        <f t="array" ref="G3816">IF(AND(Inputs!$C$60,Inputs!$C$61),INDEX(Utility_Rates!$C$29:$F$52,HOUR(C3816)+Inputs!$C$69,MATCH(INDEX(Utility_Rates!$K$6:$K$17,MONTH(C3816))&amp;IF(WEEKDAY(C3816,Inputs!$C$76)&lt;=Inputs!$C$74," weekday"," weekend"),Utility_Rates!$C$28:$F$28,Inputs!$C$68)),"")</f>
      </c>
      <c r="H3816" s="34"/>
      <c r="I3816" s="42">
        <f>IF(AND(ISNUMBER(D3816),ISNUMBER(H3816)),D3816*H3816*Inputs!$C$69,"")</f>
      </c>
      <c r="J3816" s="42">
        <f>IF(AND(ISNUMBER(F3816),ISNUMBER(H3816),F3816&gt;=Inputs!$C$68),F3816*H3816*Inputs!$C$69,"")</f>
      </c>
    </row>
    <row r="3817" spans="2:10" ht="15" customHeight="1" x14ac:dyDescent="0.2">
      <c r="B3817" s="39">
        <f t="shared" si="28"/>
      </c>
      <c r="C3817" s="40">
        <f>IF(Inputs!$C$60,Inputs!$C$11+(B3817-Inputs!$C$69)/Inputs!$C$70,"")</f>
      </c>
      <c r="D3817" s="15"/>
      <c r="E3817" s="15"/>
      <c r="F3817" s="11">
        <f t="shared" si="29"/>
      </c>
      <c r="G3817" s="22" cm="1">
        <f t="array" ref="G3817">IF(AND(Inputs!$C$60,Inputs!$C$61),INDEX(Utility_Rates!$C$29:$F$52,HOUR(C3817)+Inputs!$C$69,MATCH(INDEX(Utility_Rates!$K$6:$K$17,MONTH(C3817))&amp;IF(WEEKDAY(C3817,Inputs!$C$76)&lt;=Inputs!$C$74," weekday"," weekend"),Utility_Rates!$C$28:$F$28,Inputs!$C$68)),"")</f>
      </c>
      <c r="H3817" s="34"/>
      <c r="I3817" s="42">
        <f>IF(AND(ISNUMBER(D3817),ISNUMBER(H3817)),D3817*H3817*Inputs!$C$69,"")</f>
      </c>
      <c r="J3817" s="42">
        <f>IF(AND(ISNUMBER(F3817),ISNUMBER(H3817),F3817&gt;=Inputs!$C$68),F3817*H3817*Inputs!$C$69,"")</f>
      </c>
    </row>
    <row r="3818" spans="2:10" ht="15" customHeight="1" x14ac:dyDescent="0.2">
      <c r="B3818" s="39">
        <f t="shared" si="28"/>
      </c>
      <c r="C3818" s="40">
        <f>IF(Inputs!$C$60,Inputs!$C$11+(B3818-Inputs!$C$69)/Inputs!$C$70,"")</f>
      </c>
      <c r="D3818" s="15"/>
      <c r="E3818" s="15"/>
      <c r="F3818" s="11">
        <f t="shared" si="29"/>
      </c>
      <c r="G3818" s="22" cm="1">
        <f t="array" ref="G3818">IF(AND(Inputs!$C$60,Inputs!$C$61),INDEX(Utility_Rates!$C$29:$F$52,HOUR(C3818)+Inputs!$C$69,MATCH(INDEX(Utility_Rates!$K$6:$K$17,MONTH(C3818))&amp;IF(WEEKDAY(C3818,Inputs!$C$76)&lt;=Inputs!$C$74," weekday"," weekend"),Utility_Rates!$C$28:$F$28,Inputs!$C$68)),"")</f>
      </c>
      <c r="H3818" s="34"/>
      <c r="I3818" s="42">
        <f>IF(AND(ISNUMBER(D3818),ISNUMBER(H3818)),D3818*H3818*Inputs!$C$69,"")</f>
      </c>
      <c r="J3818" s="42">
        <f>IF(AND(ISNUMBER(F3818),ISNUMBER(H3818),F3818&gt;=Inputs!$C$68),F3818*H3818*Inputs!$C$69,"")</f>
      </c>
    </row>
    <row r="3819" spans="2:10" ht="15" customHeight="1" x14ac:dyDescent="0.2">
      <c r="B3819" s="39">
        <f t="shared" si="28"/>
      </c>
      <c r="C3819" s="40">
        <f>IF(Inputs!$C$60,Inputs!$C$11+(B3819-Inputs!$C$69)/Inputs!$C$70,"")</f>
      </c>
      <c r="D3819" s="15"/>
      <c r="E3819" s="15"/>
      <c r="F3819" s="11">
        <f t="shared" si="29"/>
      </c>
      <c r="G3819" s="22" cm="1">
        <f t="array" ref="G3819">IF(AND(Inputs!$C$60,Inputs!$C$61),INDEX(Utility_Rates!$C$29:$F$52,HOUR(C3819)+Inputs!$C$69,MATCH(INDEX(Utility_Rates!$K$6:$K$17,MONTH(C3819))&amp;IF(WEEKDAY(C3819,Inputs!$C$76)&lt;=Inputs!$C$74," weekday"," weekend"),Utility_Rates!$C$28:$F$28,Inputs!$C$68)),"")</f>
      </c>
      <c r="H3819" s="34"/>
      <c r="I3819" s="42">
        <f>IF(AND(ISNUMBER(D3819),ISNUMBER(H3819)),D3819*H3819*Inputs!$C$69,"")</f>
      </c>
      <c r="J3819" s="42">
        <f>IF(AND(ISNUMBER(F3819),ISNUMBER(H3819),F3819&gt;=Inputs!$C$68),F3819*H3819*Inputs!$C$69,"")</f>
      </c>
    </row>
    <row r="3820" spans="2:10" ht="15" customHeight="1" x14ac:dyDescent="0.2">
      <c r="B3820" s="39">
        <f t="shared" si="28"/>
      </c>
      <c r="C3820" s="40">
        <f>IF(Inputs!$C$60,Inputs!$C$11+(B3820-Inputs!$C$69)/Inputs!$C$70,"")</f>
      </c>
      <c r="D3820" s="15"/>
      <c r="E3820" s="15"/>
      <c r="F3820" s="11">
        <f t="shared" si="29"/>
      </c>
      <c r="G3820" s="22" cm="1">
        <f t="array" ref="G3820">IF(AND(Inputs!$C$60,Inputs!$C$61),INDEX(Utility_Rates!$C$29:$F$52,HOUR(C3820)+Inputs!$C$69,MATCH(INDEX(Utility_Rates!$K$6:$K$17,MONTH(C3820))&amp;IF(WEEKDAY(C3820,Inputs!$C$76)&lt;=Inputs!$C$74," weekday"," weekend"),Utility_Rates!$C$28:$F$28,Inputs!$C$68)),"")</f>
      </c>
      <c r="H3820" s="34"/>
      <c r="I3820" s="42">
        <f>IF(AND(ISNUMBER(D3820),ISNUMBER(H3820)),D3820*H3820*Inputs!$C$69,"")</f>
      </c>
      <c r="J3820" s="42">
        <f>IF(AND(ISNUMBER(F3820),ISNUMBER(H3820),F3820&gt;=Inputs!$C$68),F3820*H3820*Inputs!$C$69,"")</f>
      </c>
    </row>
    <row r="3821" spans="2:10" ht="15" customHeight="1" x14ac:dyDescent="0.2">
      <c r="B3821" s="39">
        <f t="shared" si="28"/>
      </c>
      <c r="C3821" s="40">
        <f>IF(Inputs!$C$60,Inputs!$C$11+(B3821-Inputs!$C$69)/Inputs!$C$70,"")</f>
      </c>
      <c r="D3821" s="15"/>
      <c r="E3821" s="15"/>
      <c r="F3821" s="11">
        <f t="shared" si="29"/>
      </c>
      <c r="G3821" s="22" cm="1">
        <f t="array" ref="G3821">IF(AND(Inputs!$C$60,Inputs!$C$61),INDEX(Utility_Rates!$C$29:$F$52,HOUR(C3821)+Inputs!$C$69,MATCH(INDEX(Utility_Rates!$K$6:$K$17,MONTH(C3821))&amp;IF(WEEKDAY(C3821,Inputs!$C$76)&lt;=Inputs!$C$74," weekday"," weekend"),Utility_Rates!$C$28:$F$28,Inputs!$C$68)),"")</f>
      </c>
      <c r="H3821" s="34"/>
      <c r="I3821" s="42">
        <f>IF(AND(ISNUMBER(D3821),ISNUMBER(H3821)),D3821*H3821*Inputs!$C$69,"")</f>
      </c>
      <c r="J3821" s="42">
        <f>IF(AND(ISNUMBER(F3821),ISNUMBER(H3821),F3821&gt;=Inputs!$C$68),F3821*H3821*Inputs!$C$69,"")</f>
      </c>
    </row>
    <row r="3822" spans="2:10" ht="15" customHeight="1" x14ac:dyDescent="0.2">
      <c r="B3822" s="39">
        <f t="shared" si="28"/>
      </c>
      <c r="C3822" s="40">
        <f>IF(Inputs!$C$60,Inputs!$C$11+(B3822-Inputs!$C$69)/Inputs!$C$70,"")</f>
      </c>
      <c r="D3822" s="15"/>
      <c r="E3822" s="15"/>
      <c r="F3822" s="11">
        <f t="shared" si="29"/>
      </c>
      <c r="G3822" s="22" cm="1">
        <f t="array" ref="G3822">IF(AND(Inputs!$C$60,Inputs!$C$61),INDEX(Utility_Rates!$C$29:$F$52,HOUR(C3822)+Inputs!$C$69,MATCH(INDEX(Utility_Rates!$K$6:$K$17,MONTH(C3822))&amp;IF(WEEKDAY(C3822,Inputs!$C$76)&lt;=Inputs!$C$74," weekday"," weekend"),Utility_Rates!$C$28:$F$28,Inputs!$C$68)),"")</f>
      </c>
      <c r="H3822" s="34"/>
      <c r="I3822" s="42">
        <f>IF(AND(ISNUMBER(D3822),ISNUMBER(H3822)),D3822*H3822*Inputs!$C$69,"")</f>
      </c>
      <c r="J3822" s="42">
        <f>IF(AND(ISNUMBER(F3822),ISNUMBER(H3822),F3822&gt;=Inputs!$C$68),F3822*H3822*Inputs!$C$69,"")</f>
      </c>
    </row>
    <row r="3823" spans="2:10" ht="15" customHeight="1" x14ac:dyDescent="0.2">
      <c r="B3823" s="39">
        <f t="shared" si="28"/>
      </c>
      <c r="C3823" s="40">
        <f>IF(Inputs!$C$60,Inputs!$C$11+(B3823-Inputs!$C$69)/Inputs!$C$70,"")</f>
      </c>
      <c r="D3823" s="15"/>
      <c r="E3823" s="15"/>
      <c r="F3823" s="11">
        <f t="shared" si="29"/>
      </c>
      <c r="G3823" s="22" cm="1">
        <f t="array" ref="G3823">IF(AND(Inputs!$C$60,Inputs!$C$61),INDEX(Utility_Rates!$C$29:$F$52,HOUR(C3823)+Inputs!$C$69,MATCH(INDEX(Utility_Rates!$K$6:$K$17,MONTH(C3823))&amp;IF(WEEKDAY(C3823,Inputs!$C$76)&lt;=Inputs!$C$74," weekday"," weekend"),Utility_Rates!$C$28:$F$28,Inputs!$C$68)),"")</f>
      </c>
      <c r="H3823" s="34"/>
      <c r="I3823" s="42">
        <f>IF(AND(ISNUMBER(D3823),ISNUMBER(H3823)),D3823*H3823*Inputs!$C$69,"")</f>
      </c>
      <c r="J3823" s="42">
        <f>IF(AND(ISNUMBER(F3823),ISNUMBER(H3823),F3823&gt;=Inputs!$C$68),F3823*H3823*Inputs!$C$69,"")</f>
      </c>
    </row>
    <row r="3824" spans="2:10" ht="15" customHeight="1" x14ac:dyDescent="0.2">
      <c r="B3824" s="39">
        <f t="shared" si="28"/>
      </c>
      <c r="C3824" s="40">
        <f>IF(Inputs!$C$60,Inputs!$C$11+(B3824-Inputs!$C$69)/Inputs!$C$70,"")</f>
      </c>
      <c r="D3824" s="15"/>
      <c r="E3824" s="15"/>
      <c r="F3824" s="11">
        <f t="shared" si="29"/>
      </c>
      <c r="G3824" s="22" cm="1">
        <f t="array" ref="G3824">IF(AND(Inputs!$C$60,Inputs!$C$61),INDEX(Utility_Rates!$C$29:$F$52,HOUR(C3824)+Inputs!$C$69,MATCH(INDEX(Utility_Rates!$K$6:$K$17,MONTH(C3824))&amp;IF(WEEKDAY(C3824,Inputs!$C$76)&lt;=Inputs!$C$74," weekday"," weekend"),Utility_Rates!$C$28:$F$28,Inputs!$C$68)),"")</f>
      </c>
      <c r="H3824" s="34"/>
      <c r="I3824" s="42">
        <f>IF(AND(ISNUMBER(D3824),ISNUMBER(H3824)),D3824*H3824*Inputs!$C$69,"")</f>
      </c>
      <c r="J3824" s="42">
        <f>IF(AND(ISNUMBER(F3824),ISNUMBER(H3824),F3824&gt;=Inputs!$C$68),F3824*H3824*Inputs!$C$69,"")</f>
      </c>
    </row>
    <row r="3825" spans="2:10" ht="15" customHeight="1" x14ac:dyDescent="0.2">
      <c r="B3825" s="39">
        <f t="shared" si="28"/>
      </c>
      <c r="C3825" s="40">
        <f>IF(Inputs!$C$60,Inputs!$C$11+(B3825-Inputs!$C$69)/Inputs!$C$70,"")</f>
      </c>
      <c r="D3825" s="15"/>
      <c r="E3825" s="15"/>
      <c r="F3825" s="11">
        <f t="shared" si="29"/>
      </c>
      <c r="G3825" s="22" cm="1">
        <f t="array" ref="G3825">IF(AND(Inputs!$C$60,Inputs!$C$61),INDEX(Utility_Rates!$C$29:$F$52,HOUR(C3825)+Inputs!$C$69,MATCH(INDEX(Utility_Rates!$K$6:$K$17,MONTH(C3825))&amp;IF(WEEKDAY(C3825,Inputs!$C$76)&lt;=Inputs!$C$74," weekday"," weekend"),Utility_Rates!$C$28:$F$28,Inputs!$C$68)),"")</f>
      </c>
      <c r="H3825" s="34"/>
      <c r="I3825" s="42">
        <f>IF(AND(ISNUMBER(D3825),ISNUMBER(H3825)),D3825*H3825*Inputs!$C$69,"")</f>
      </c>
      <c r="J3825" s="42">
        <f>IF(AND(ISNUMBER(F3825),ISNUMBER(H3825),F3825&gt;=Inputs!$C$68),F3825*H3825*Inputs!$C$69,"")</f>
      </c>
    </row>
    <row r="3826" spans="2:10" ht="15" customHeight="1" x14ac:dyDescent="0.2">
      <c r="B3826" s="39">
        <f t="shared" si="28"/>
      </c>
      <c r="C3826" s="40">
        <f>IF(Inputs!$C$60,Inputs!$C$11+(B3826-Inputs!$C$69)/Inputs!$C$70,"")</f>
      </c>
      <c r="D3826" s="15"/>
      <c r="E3826" s="15"/>
      <c r="F3826" s="11">
        <f t="shared" si="29"/>
      </c>
      <c r="G3826" s="22" cm="1">
        <f t="array" ref="G3826">IF(AND(Inputs!$C$60,Inputs!$C$61),INDEX(Utility_Rates!$C$29:$F$52,HOUR(C3826)+Inputs!$C$69,MATCH(INDEX(Utility_Rates!$K$6:$K$17,MONTH(C3826))&amp;IF(WEEKDAY(C3826,Inputs!$C$76)&lt;=Inputs!$C$74," weekday"," weekend"),Utility_Rates!$C$28:$F$28,Inputs!$C$68)),"")</f>
      </c>
      <c r="H3826" s="34"/>
      <c r="I3826" s="42">
        <f>IF(AND(ISNUMBER(D3826),ISNUMBER(H3826)),D3826*H3826*Inputs!$C$69,"")</f>
      </c>
      <c r="J3826" s="42">
        <f>IF(AND(ISNUMBER(F3826),ISNUMBER(H3826),F3826&gt;=Inputs!$C$68),F3826*H3826*Inputs!$C$69,"")</f>
      </c>
    </row>
    <row r="3827" spans="2:10" ht="15" customHeight="1" x14ac:dyDescent="0.2">
      <c r="B3827" s="39">
        <f t="shared" si="28"/>
      </c>
      <c r="C3827" s="40">
        <f>IF(Inputs!$C$60,Inputs!$C$11+(B3827-Inputs!$C$69)/Inputs!$C$70,"")</f>
      </c>
      <c r="D3827" s="15"/>
      <c r="E3827" s="15"/>
      <c r="F3827" s="11">
        <f t="shared" si="29"/>
      </c>
      <c r="G3827" s="22" cm="1">
        <f t="array" ref="G3827">IF(AND(Inputs!$C$60,Inputs!$C$61),INDEX(Utility_Rates!$C$29:$F$52,HOUR(C3827)+Inputs!$C$69,MATCH(INDEX(Utility_Rates!$K$6:$K$17,MONTH(C3827))&amp;IF(WEEKDAY(C3827,Inputs!$C$76)&lt;=Inputs!$C$74," weekday"," weekend"),Utility_Rates!$C$28:$F$28,Inputs!$C$68)),"")</f>
      </c>
      <c r="H3827" s="34"/>
      <c r="I3827" s="42">
        <f>IF(AND(ISNUMBER(D3827),ISNUMBER(H3827)),D3827*H3827*Inputs!$C$69,"")</f>
      </c>
      <c r="J3827" s="42">
        <f>IF(AND(ISNUMBER(F3827),ISNUMBER(H3827),F3827&gt;=Inputs!$C$68),F3827*H3827*Inputs!$C$69,"")</f>
      </c>
    </row>
    <row r="3828" spans="2:10" ht="15" customHeight="1" x14ac:dyDescent="0.2">
      <c r="B3828" s="39">
        <f t="shared" si="28"/>
      </c>
      <c r="C3828" s="40">
        <f>IF(Inputs!$C$60,Inputs!$C$11+(B3828-Inputs!$C$69)/Inputs!$C$70,"")</f>
      </c>
      <c r="D3828" s="15"/>
      <c r="E3828" s="15"/>
      <c r="F3828" s="11">
        <f t="shared" si="29"/>
      </c>
      <c r="G3828" s="22" cm="1">
        <f t="array" ref="G3828">IF(AND(Inputs!$C$60,Inputs!$C$61),INDEX(Utility_Rates!$C$29:$F$52,HOUR(C3828)+Inputs!$C$69,MATCH(INDEX(Utility_Rates!$K$6:$K$17,MONTH(C3828))&amp;IF(WEEKDAY(C3828,Inputs!$C$76)&lt;=Inputs!$C$74," weekday"," weekend"),Utility_Rates!$C$28:$F$28,Inputs!$C$68)),"")</f>
      </c>
      <c r="H3828" s="34"/>
      <c r="I3828" s="42">
        <f>IF(AND(ISNUMBER(D3828),ISNUMBER(H3828)),D3828*H3828*Inputs!$C$69,"")</f>
      </c>
      <c r="J3828" s="42">
        <f>IF(AND(ISNUMBER(F3828),ISNUMBER(H3828),F3828&gt;=Inputs!$C$68),F3828*H3828*Inputs!$C$69,"")</f>
      </c>
    </row>
    <row r="3829" spans="2:10" ht="15" customHeight="1" x14ac:dyDescent="0.2">
      <c r="B3829" s="39">
        <f t="shared" si="28"/>
      </c>
      <c r="C3829" s="40">
        <f>IF(Inputs!$C$60,Inputs!$C$11+(B3829-Inputs!$C$69)/Inputs!$C$70,"")</f>
      </c>
      <c r="D3829" s="15"/>
      <c r="E3829" s="15"/>
      <c r="F3829" s="11">
        <f t="shared" si="29"/>
      </c>
      <c r="G3829" s="22" cm="1">
        <f t="array" ref="G3829">IF(AND(Inputs!$C$60,Inputs!$C$61),INDEX(Utility_Rates!$C$29:$F$52,HOUR(C3829)+Inputs!$C$69,MATCH(INDEX(Utility_Rates!$K$6:$K$17,MONTH(C3829))&amp;IF(WEEKDAY(C3829,Inputs!$C$76)&lt;=Inputs!$C$74," weekday"," weekend"),Utility_Rates!$C$28:$F$28,Inputs!$C$68)),"")</f>
      </c>
      <c r="H3829" s="34"/>
      <c r="I3829" s="42">
        <f>IF(AND(ISNUMBER(D3829),ISNUMBER(H3829)),D3829*H3829*Inputs!$C$69,"")</f>
      </c>
      <c r="J3829" s="42">
        <f>IF(AND(ISNUMBER(F3829),ISNUMBER(H3829),F3829&gt;=Inputs!$C$68),F3829*H3829*Inputs!$C$69,"")</f>
      </c>
    </row>
    <row r="3830" spans="2:10" ht="15" customHeight="1" x14ac:dyDescent="0.2">
      <c r="B3830" s="39">
        <f t="shared" si="28"/>
      </c>
      <c r="C3830" s="40">
        <f>IF(Inputs!$C$60,Inputs!$C$11+(B3830-Inputs!$C$69)/Inputs!$C$70,"")</f>
      </c>
      <c r="D3830" s="15"/>
      <c r="E3830" s="15"/>
      <c r="F3830" s="11">
        <f t="shared" si="29"/>
      </c>
      <c r="G3830" s="22" cm="1">
        <f t="array" ref="G3830">IF(AND(Inputs!$C$60,Inputs!$C$61),INDEX(Utility_Rates!$C$29:$F$52,HOUR(C3830)+Inputs!$C$69,MATCH(INDEX(Utility_Rates!$K$6:$K$17,MONTH(C3830))&amp;IF(WEEKDAY(C3830,Inputs!$C$76)&lt;=Inputs!$C$74," weekday"," weekend"),Utility_Rates!$C$28:$F$28,Inputs!$C$68)),"")</f>
      </c>
      <c r="H3830" s="34"/>
      <c r="I3830" s="42">
        <f>IF(AND(ISNUMBER(D3830),ISNUMBER(H3830)),D3830*H3830*Inputs!$C$69,"")</f>
      </c>
      <c r="J3830" s="42">
        <f>IF(AND(ISNUMBER(F3830),ISNUMBER(H3830),F3830&gt;=Inputs!$C$68),F3830*H3830*Inputs!$C$69,"")</f>
      </c>
    </row>
    <row r="3831" spans="2:10" ht="15" customHeight="1" x14ac:dyDescent="0.2">
      <c r="B3831" s="39">
        <f t="shared" ref="B3831:B4085" si="30">ROW()-ROW($B$5)</f>
      </c>
      <c r="C3831" s="40">
        <f>IF(Inputs!$C$60,Inputs!$C$11+(B3831-Inputs!$C$69)/Inputs!$C$70,"")</f>
      </c>
      <c r="D3831" s="15"/>
      <c r="E3831" s="15"/>
      <c r="F3831" s="11">
        <f t="shared" ref="F3831:F4085" si="31">IF(COUNT(D3831:E3831)=COLUMNS(D3831:E3831),D3831-E3831,"")</f>
      </c>
      <c r="G3831" s="22" cm="1">
        <f t="array" ref="G3831">IF(AND(Inputs!$C$60,Inputs!$C$61),INDEX(Utility_Rates!$C$29:$F$52,HOUR(C3831)+Inputs!$C$69,MATCH(INDEX(Utility_Rates!$K$6:$K$17,MONTH(C3831))&amp;IF(WEEKDAY(C3831,Inputs!$C$76)&lt;=Inputs!$C$74," weekday"," weekend"),Utility_Rates!$C$28:$F$28,Inputs!$C$68)),"")</f>
      </c>
      <c r="H3831" s="34"/>
      <c r="I3831" s="42">
        <f>IF(AND(ISNUMBER(D3831),ISNUMBER(H3831)),D3831*H3831*Inputs!$C$69,"")</f>
      </c>
      <c r="J3831" s="42">
        <f>IF(AND(ISNUMBER(F3831),ISNUMBER(H3831),F3831&gt;=Inputs!$C$68),F3831*H3831*Inputs!$C$69,"")</f>
      </c>
    </row>
    <row r="3832" spans="2:10" ht="15" customHeight="1" x14ac:dyDescent="0.2">
      <c r="B3832" s="39">
        <f t="shared" si="30"/>
      </c>
      <c r="C3832" s="40">
        <f>IF(Inputs!$C$60,Inputs!$C$11+(B3832-Inputs!$C$69)/Inputs!$C$70,"")</f>
      </c>
      <c r="D3832" s="15"/>
      <c r="E3832" s="15"/>
      <c r="F3832" s="11">
        <f t="shared" si="31"/>
      </c>
      <c r="G3832" s="22" cm="1">
        <f t="array" ref="G3832">IF(AND(Inputs!$C$60,Inputs!$C$61),INDEX(Utility_Rates!$C$29:$F$52,HOUR(C3832)+Inputs!$C$69,MATCH(INDEX(Utility_Rates!$K$6:$K$17,MONTH(C3832))&amp;IF(WEEKDAY(C3832,Inputs!$C$76)&lt;=Inputs!$C$74," weekday"," weekend"),Utility_Rates!$C$28:$F$28,Inputs!$C$68)),"")</f>
      </c>
      <c r="H3832" s="34"/>
      <c r="I3832" s="42">
        <f>IF(AND(ISNUMBER(D3832),ISNUMBER(H3832)),D3832*H3832*Inputs!$C$69,"")</f>
      </c>
      <c r="J3832" s="42">
        <f>IF(AND(ISNUMBER(F3832),ISNUMBER(H3832),F3832&gt;=Inputs!$C$68),F3832*H3832*Inputs!$C$69,"")</f>
      </c>
    </row>
    <row r="3833" spans="2:10" ht="15" customHeight="1" x14ac:dyDescent="0.2">
      <c r="B3833" s="39">
        <f t="shared" si="30"/>
      </c>
      <c r="C3833" s="40">
        <f>IF(Inputs!$C$60,Inputs!$C$11+(B3833-Inputs!$C$69)/Inputs!$C$70,"")</f>
      </c>
      <c r="D3833" s="15"/>
      <c r="E3833" s="15"/>
      <c r="F3833" s="11">
        <f t="shared" si="31"/>
      </c>
      <c r="G3833" s="22" cm="1">
        <f t="array" ref="G3833">IF(AND(Inputs!$C$60,Inputs!$C$61),INDEX(Utility_Rates!$C$29:$F$52,HOUR(C3833)+Inputs!$C$69,MATCH(INDEX(Utility_Rates!$K$6:$K$17,MONTH(C3833))&amp;IF(WEEKDAY(C3833,Inputs!$C$76)&lt;=Inputs!$C$74," weekday"," weekend"),Utility_Rates!$C$28:$F$28,Inputs!$C$68)),"")</f>
      </c>
      <c r="H3833" s="34"/>
      <c r="I3833" s="42">
        <f>IF(AND(ISNUMBER(D3833),ISNUMBER(H3833)),D3833*H3833*Inputs!$C$69,"")</f>
      </c>
      <c r="J3833" s="42">
        <f>IF(AND(ISNUMBER(F3833),ISNUMBER(H3833),F3833&gt;=Inputs!$C$68),F3833*H3833*Inputs!$C$69,"")</f>
      </c>
    </row>
    <row r="3834" spans="2:10" ht="15" customHeight="1" x14ac:dyDescent="0.2">
      <c r="B3834" s="39">
        <f t="shared" si="30"/>
      </c>
      <c r="C3834" s="40">
        <f>IF(Inputs!$C$60,Inputs!$C$11+(B3834-Inputs!$C$69)/Inputs!$C$70,"")</f>
      </c>
      <c r="D3834" s="15"/>
      <c r="E3834" s="15"/>
      <c r="F3834" s="11">
        <f t="shared" si="31"/>
      </c>
      <c r="G3834" s="22" cm="1">
        <f t="array" ref="G3834">IF(AND(Inputs!$C$60,Inputs!$C$61),INDEX(Utility_Rates!$C$29:$F$52,HOUR(C3834)+Inputs!$C$69,MATCH(INDEX(Utility_Rates!$K$6:$K$17,MONTH(C3834))&amp;IF(WEEKDAY(C3834,Inputs!$C$76)&lt;=Inputs!$C$74," weekday"," weekend"),Utility_Rates!$C$28:$F$28,Inputs!$C$68)),"")</f>
      </c>
      <c r="H3834" s="34"/>
      <c r="I3834" s="42">
        <f>IF(AND(ISNUMBER(D3834),ISNUMBER(H3834)),D3834*H3834*Inputs!$C$69,"")</f>
      </c>
      <c r="J3834" s="42">
        <f>IF(AND(ISNUMBER(F3834),ISNUMBER(H3834),F3834&gt;=Inputs!$C$68),F3834*H3834*Inputs!$C$69,"")</f>
      </c>
    </row>
    <row r="3835" spans="2:10" ht="15" customHeight="1" x14ac:dyDescent="0.2">
      <c r="B3835" s="39">
        <f t="shared" si="30"/>
      </c>
      <c r="C3835" s="40">
        <f>IF(Inputs!$C$60,Inputs!$C$11+(B3835-Inputs!$C$69)/Inputs!$C$70,"")</f>
      </c>
      <c r="D3835" s="15"/>
      <c r="E3835" s="15"/>
      <c r="F3835" s="11">
        <f t="shared" si="31"/>
      </c>
      <c r="G3835" s="22" cm="1">
        <f t="array" ref="G3835">IF(AND(Inputs!$C$60,Inputs!$C$61),INDEX(Utility_Rates!$C$29:$F$52,HOUR(C3835)+Inputs!$C$69,MATCH(INDEX(Utility_Rates!$K$6:$K$17,MONTH(C3835))&amp;IF(WEEKDAY(C3835,Inputs!$C$76)&lt;=Inputs!$C$74," weekday"," weekend"),Utility_Rates!$C$28:$F$28,Inputs!$C$68)),"")</f>
      </c>
      <c r="H3835" s="34"/>
      <c r="I3835" s="42">
        <f>IF(AND(ISNUMBER(D3835),ISNUMBER(H3835)),D3835*H3835*Inputs!$C$69,"")</f>
      </c>
      <c r="J3835" s="42">
        <f>IF(AND(ISNUMBER(F3835),ISNUMBER(H3835),F3835&gt;=Inputs!$C$68),F3835*H3835*Inputs!$C$69,"")</f>
      </c>
    </row>
    <row r="3836" spans="2:10" ht="15" customHeight="1" x14ac:dyDescent="0.2">
      <c r="B3836" s="39">
        <f t="shared" si="30"/>
      </c>
      <c r="C3836" s="40">
        <f>IF(Inputs!$C$60,Inputs!$C$11+(B3836-Inputs!$C$69)/Inputs!$C$70,"")</f>
      </c>
      <c r="D3836" s="15"/>
      <c r="E3836" s="15"/>
      <c r="F3836" s="11">
        <f t="shared" si="31"/>
      </c>
      <c r="G3836" s="22" cm="1">
        <f t="array" ref="G3836">IF(AND(Inputs!$C$60,Inputs!$C$61),INDEX(Utility_Rates!$C$29:$F$52,HOUR(C3836)+Inputs!$C$69,MATCH(INDEX(Utility_Rates!$K$6:$K$17,MONTH(C3836))&amp;IF(WEEKDAY(C3836,Inputs!$C$76)&lt;=Inputs!$C$74," weekday"," weekend"),Utility_Rates!$C$28:$F$28,Inputs!$C$68)),"")</f>
      </c>
      <c r="H3836" s="34"/>
      <c r="I3836" s="42">
        <f>IF(AND(ISNUMBER(D3836),ISNUMBER(H3836)),D3836*H3836*Inputs!$C$69,"")</f>
      </c>
      <c r="J3836" s="42">
        <f>IF(AND(ISNUMBER(F3836),ISNUMBER(H3836),F3836&gt;=Inputs!$C$68),F3836*H3836*Inputs!$C$69,"")</f>
      </c>
    </row>
    <row r="3837" spans="2:10" ht="15" customHeight="1" x14ac:dyDescent="0.2">
      <c r="B3837" s="39">
        <f t="shared" si="30"/>
      </c>
      <c r="C3837" s="40">
        <f>IF(Inputs!$C$60,Inputs!$C$11+(B3837-Inputs!$C$69)/Inputs!$C$70,"")</f>
      </c>
      <c r="D3837" s="15"/>
      <c r="E3837" s="15"/>
      <c r="F3837" s="11">
        <f t="shared" si="31"/>
      </c>
      <c r="G3837" s="22" cm="1">
        <f t="array" ref="G3837">IF(AND(Inputs!$C$60,Inputs!$C$61),INDEX(Utility_Rates!$C$29:$F$52,HOUR(C3837)+Inputs!$C$69,MATCH(INDEX(Utility_Rates!$K$6:$K$17,MONTH(C3837))&amp;IF(WEEKDAY(C3837,Inputs!$C$76)&lt;=Inputs!$C$74," weekday"," weekend"),Utility_Rates!$C$28:$F$28,Inputs!$C$68)),"")</f>
      </c>
      <c r="H3837" s="34"/>
      <c r="I3837" s="42">
        <f>IF(AND(ISNUMBER(D3837),ISNUMBER(H3837)),D3837*H3837*Inputs!$C$69,"")</f>
      </c>
      <c r="J3837" s="42">
        <f>IF(AND(ISNUMBER(F3837),ISNUMBER(H3837),F3837&gt;=Inputs!$C$68),F3837*H3837*Inputs!$C$69,"")</f>
      </c>
    </row>
    <row r="3838" spans="2:10" ht="15" customHeight="1" x14ac:dyDescent="0.2">
      <c r="B3838" s="39">
        <f t="shared" si="30"/>
      </c>
      <c r="C3838" s="40">
        <f>IF(Inputs!$C$60,Inputs!$C$11+(B3838-Inputs!$C$69)/Inputs!$C$70,"")</f>
      </c>
      <c r="D3838" s="15"/>
      <c r="E3838" s="15"/>
      <c r="F3838" s="11">
        <f t="shared" si="31"/>
      </c>
      <c r="G3838" s="22" cm="1">
        <f t="array" ref="G3838">IF(AND(Inputs!$C$60,Inputs!$C$61),INDEX(Utility_Rates!$C$29:$F$52,HOUR(C3838)+Inputs!$C$69,MATCH(INDEX(Utility_Rates!$K$6:$K$17,MONTH(C3838))&amp;IF(WEEKDAY(C3838,Inputs!$C$76)&lt;=Inputs!$C$74," weekday"," weekend"),Utility_Rates!$C$28:$F$28,Inputs!$C$68)),"")</f>
      </c>
      <c r="H3838" s="34"/>
      <c r="I3838" s="42">
        <f>IF(AND(ISNUMBER(D3838),ISNUMBER(H3838)),D3838*H3838*Inputs!$C$69,"")</f>
      </c>
      <c r="J3838" s="42">
        <f>IF(AND(ISNUMBER(F3838),ISNUMBER(H3838),F3838&gt;=Inputs!$C$68),F3838*H3838*Inputs!$C$69,"")</f>
      </c>
    </row>
    <row r="3839" spans="2:10" ht="15" customHeight="1" x14ac:dyDescent="0.2">
      <c r="B3839" s="39">
        <f t="shared" si="30"/>
      </c>
      <c r="C3839" s="40">
        <f>IF(Inputs!$C$60,Inputs!$C$11+(B3839-Inputs!$C$69)/Inputs!$C$70,"")</f>
      </c>
      <c r="D3839" s="15"/>
      <c r="E3839" s="15"/>
      <c r="F3839" s="11">
        <f t="shared" si="31"/>
      </c>
      <c r="G3839" s="22" cm="1">
        <f t="array" ref="G3839">IF(AND(Inputs!$C$60,Inputs!$C$61),INDEX(Utility_Rates!$C$29:$F$52,HOUR(C3839)+Inputs!$C$69,MATCH(INDEX(Utility_Rates!$K$6:$K$17,MONTH(C3839))&amp;IF(WEEKDAY(C3839,Inputs!$C$76)&lt;=Inputs!$C$74," weekday"," weekend"),Utility_Rates!$C$28:$F$28,Inputs!$C$68)),"")</f>
      </c>
      <c r="H3839" s="34"/>
      <c r="I3839" s="42">
        <f>IF(AND(ISNUMBER(D3839),ISNUMBER(H3839)),D3839*H3839*Inputs!$C$69,"")</f>
      </c>
      <c r="J3839" s="42">
        <f>IF(AND(ISNUMBER(F3839),ISNUMBER(H3839),F3839&gt;=Inputs!$C$68),F3839*H3839*Inputs!$C$69,"")</f>
      </c>
    </row>
    <row r="3840" spans="2:10" ht="15" customHeight="1" x14ac:dyDescent="0.2">
      <c r="B3840" s="39">
        <f t="shared" si="30"/>
      </c>
      <c r="C3840" s="40">
        <f>IF(Inputs!$C$60,Inputs!$C$11+(B3840-Inputs!$C$69)/Inputs!$C$70,"")</f>
      </c>
      <c r="D3840" s="15"/>
      <c r="E3840" s="15"/>
      <c r="F3840" s="11">
        <f t="shared" si="31"/>
      </c>
      <c r="G3840" s="22" cm="1">
        <f t="array" ref="G3840">IF(AND(Inputs!$C$60,Inputs!$C$61),INDEX(Utility_Rates!$C$29:$F$52,HOUR(C3840)+Inputs!$C$69,MATCH(INDEX(Utility_Rates!$K$6:$K$17,MONTH(C3840))&amp;IF(WEEKDAY(C3840,Inputs!$C$76)&lt;=Inputs!$C$74," weekday"," weekend"),Utility_Rates!$C$28:$F$28,Inputs!$C$68)),"")</f>
      </c>
      <c r="H3840" s="34"/>
      <c r="I3840" s="42">
        <f>IF(AND(ISNUMBER(D3840),ISNUMBER(H3840)),D3840*H3840*Inputs!$C$69,"")</f>
      </c>
      <c r="J3840" s="42">
        <f>IF(AND(ISNUMBER(F3840),ISNUMBER(H3840),F3840&gt;=Inputs!$C$68),F3840*H3840*Inputs!$C$69,"")</f>
      </c>
    </row>
    <row r="3841" spans="2:10" ht="15" customHeight="1" x14ac:dyDescent="0.2">
      <c r="B3841" s="39">
        <f t="shared" si="30"/>
      </c>
      <c r="C3841" s="40">
        <f>IF(Inputs!$C$60,Inputs!$C$11+(B3841-Inputs!$C$69)/Inputs!$C$70,"")</f>
      </c>
      <c r="D3841" s="15"/>
      <c r="E3841" s="15"/>
      <c r="F3841" s="11">
        <f t="shared" si="31"/>
      </c>
      <c r="G3841" s="22" cm="1">
        <f t="array" ref="G3841">IF(AND(Inputs!$C$60,Inputs!$C$61),INDEX(Utility_Rates!$C$29:$F$52,HOUR(C3841)+Inputs!$C$69,MATCH(INDEX(Utility_Rates!$K$6:$K$17,MONTH(C3841))&amp;IF(WEEKDAY(C3841,Inputs!$C$76)&lt;=Inputs!$C$74," weekday"," weekend"),Utility_Rates!$C$28:$F$28,Inputs!$C$68)),"")</f>
      </c>
      <c r="H3841" s="34"/>
      <c r="I3841" s="42">
        <f>IF(AND(ISNUMBER(D3841),ISNUMBER(H3841)),D3841*H3841*Inputs!$C$69,"")</f>
      </c>
      <c r="J3841" s="42">
        <f>IF(AND(ISNUMBER(F3841),ISNUMBER(H3841),F3841&gt;=Inputs!$C$68),F3841*H3841*Inputs!$C$69,"")</f>
      </c>
    </row>
    <row r="3842" spans="2:10" ht="15" customHeight="1" x14ac:dyDescent="0.2">
      <c r="B3842" s="39">
        <f t="shared" si="30"/>
      </c>
      <c r="C3842" s="40">
        <f>IF(Inputs!$C$60,Inputs!$C$11+(B3842-Inputs!$C$69)/Inputs!$C$70,"")</f>
      </c>
      <c r="D3842" s="15"/>
      <c r="E3842" s="15"/>
      <c r="F3842" s="11">
        <f t="shared" si="31"/>
      </c>
      <c r="G3842" s="22" cm="1">
        <f t="array" ref="G3842">IF(AND(Inputs!$C$60,Inputs!$C$61),INDEX(Utility_Rates!$C$29:$F$52,HOUR(C3842)+Inputs!$C$69,MATCH(INDEX(Utility_Rates!$K$6:$K$17,MONTH(C3842))&amp;IF(WEEKDAY(C3842,Inputs!$C$76)&lt;=Inputs!$C$74," weekday"," weekend"),Utility_Rates!$C$28:$F$28,Inputs!$C$68)),"")</f>
      </c>
      <c r="H3842" s="34"/>
      <c r="I3842" s="42">
        <f>IF(AND(ISNUMBER(D3842),ISNUMBER(H3842)),D3842*H3842*Inputs!$C$69,"")</f>
      </c>
      <c r="J3842" s="42">
        <f>IF(AND(ISNUMBER(F3842),ISNUMBER(H3842),F3842&gt;=Inputs!$C$68),F3842*H3842*Inputs!$C$69,"")</f>
      </c>
    </row>
    <row r="3843" spans="2:10" ht="15" customHeight="1" x14ac:dyDescent="0.2">
      <c r="B3843" s="39">
        <f t="shared" si="30"/>
      </c>
      <c r="C3843" s="40">
        <f>IF(Inputs!$C$60,Inputs!$C$11+(B3843-Inputs!$C$69)/Inputs!$C$70,"")</f>
      </c>
      <c r="D3843" s="15"/>
      <c r="E3843" s="15"/>
      <c r="F3843" s="11">
        <f t="shared" si="31"/>
      </c>
      <c r="G3843" s="22" cm="1">
        <f t="array" ref="G3843">IF(AND(Inputs!$C$60,Inputs!$C$61),INDEX(Utility_Rates!$C$29:$F$52,HOUR(C3843)+Inputs!$C$69,MATCH(INDEX(Utility_Rates!$K$6:$K$17,MONTH(C3843))&amp;IF(WEEKDAY(C3843,Inputs!$C$76)&lt;=Inputs!$C$74," weekday"," weekend"),Utility_Rates!$C$28:$F$28,Inputs!$C$68)),"")</f>
      </c>
      <c r="H3843" s="34"/>
      <c r="I3843" s="42">
        <f>IF(AND(ISNUMBER(D3843),ISNUMBER(H3843)),D3843*H3843*Inputs!$C$69,"")</f>
      </c>
      <c r="J3843" s="42">
        <f>IF(AND(ISNUMBER(F3843),ISNUMBER(H3843),F3843&gt;=Inputs!$C$68),F3843*H3843*Inputs!$C$69,"")</f>
      </c>
    </row>
    <row r="3844" spans="2:10" ht="15" customHeight="1" x14ac:dyDescent="0.2">
      <c r="B3844" s="39">
        <f t="shared" si="30"/>
      </c>
      <c r="C3844" s="40">
        <f>IF(Inputs!$C$60,Inputs!$C$11+(B3844-Inputs!$C$69)/Inputs!$C$70,"")</f>
      </c>
      <c r="D3844" s="15"/>
      <c r="E3844" s="15"/>
      <c r="F3844" s="11">
        <f t="shared" si="31"/>
      </c>
      <c r="G3844" s="22" cm="1">
        <f t="array" ref="G3844">IF(AND(Inputs!$C$60,Inputs!$C$61),INDEX(Utility_Rates!$C$29:$F$52,HOUR(C3844)+Inputs!$C$69,MATCH(INDEX(Utility_Rates!$K$6:$K$17,MONTH(C3844))&amp;IF(WEEKDAY(C3844,Inputs!$C$76)&lt;=Inputs!$C$74," weekday"," weekend"),Utility_Rates!$C$28:$F$28,Inputs!$C$68)),"")</f>
      </c>
      <c r="H3844" s="34"/>
      <c r="I3844" s="42">
        <f>IF(AND(ISNUMBER(D3844),ISNUMBER(H3844)),D3844*H3844*Inputs!$C$69,"")</f>
      </c>
      <c r="J3844" s="42">
        <f>IF(AND(ISNUMBER(F3844),ISNUMBER(H3844),F3844&gt;=Inputs!$C$68),F3844*H3844*Inputs!$C$69,"")</f>
      </c>
    </row>
    <row r="3845" spans="2:10" ht="15" customHeight="1" x14ac:dyDescent="0.2">
      <c r="B3845" s="39">
        <f t="shared" si="30"/>
      </c>
      <c r="C3845" s="40">
        <f>IF(Inputs!$C$60,Inputs!$C$11+(B3845-Inputs!$C$69)/Inputs!$C$70,"")</f>
      </c>
      <c r="D3845" s="15"/>
      <c r="E3845" s="15"/>
      <c r="F3845" s="11">
        <f t="shared" si="31"/>
      </c>
      <c r="G3845" s="22" cm="1">
        <f t="array" ref="G3845">IF(AND(Inputs!$C$60,Inputs!$C$61),INDEX(Utility_Rates!$C$29:$F$52,HOUR(C3845)+Inputs!$C$69,MATCH(INDEX(Utility_Rates!$K$6:$K$17,MONTH(C3845))&amp;IF(WEEKDAY(C3845,Inputs!$C$76)&lt;=Inputs!$C$74," weekday"," weekend"),Utility_Rates!$C$28:$F$28,Inputs!$C$68)),"")</f>
      </c>
      <c r="H3845" s="34"/>
      <c r="I3845" s="42">
        <f>IF(AND(ISNUMBER(D3845),ISNUMBER(H3845)),D3845*H3845*Inputs!$C$69,"")</f>
      </c>
      <c r="J3845" s="42">
        <f>IF(AND(ISNUMBER(F3845),ISNUMBER(H3845),F3845&gt;=Inputs!$C$68),F3845*H3845*Inputs!$C$69,"")</f>
      </c>
    </row>
    <row r="3846" spans="2:10" ht="15" customHeight="1" x14ac:dyDescent="0.2">
      <c r="B3846" s="39">
        <f t="shared" si="30"/>
      </c>
      <c r="C3846" s="40">
        <f>IF(Inputs!$C$60,Inputs!$C$11+(B3846-Inputs!$C$69)/Inputs!$C$70,"")</f>
      </c>
      <c r="D3846" s="15"/>
      <c r="E3846" s="15"/>
      <c r="F3846" s="11">
        <f t="shared" si="31"/>
      </c>
      <c r="G3846" s="22" cm="1">
        <f t="array" ref="G3846">IF(AND(Inputs!$C$60,Inputs!$C$61),INDEX(Utility_Rates!$C$29:$F$52,HOUR(C3846)+Inputs!$C$69,MATCH(INDEX(Utility_Rates!$K$6:$K$17,MONTH(C3846))&amp;IF(WEEKDAY(C3846,Inputs!$C$76)&lt;=Inputs!$C$74," weekday"," weekend"),Utility_Rates!$C$28:$F$28,Inputs!$C$68)),"")</f>
      </c>
      <c r="H3846" s="34"/>
      <c r="I3846" s="42">
        <f>IF(AND(ISNUMBER(D3846),ISNUMBER(H3846)),D3846*H3846*Inputs!$C$69,"")</f>
      </c>
      <c r="J3846" s="42">
        <f>IF(AND(ISNUMBER(F3846),ISNUMBER(H3846),F3846&gt;=Inputs!$C$68),F3846*H3846*Inputs!$C$69,"")</f>
      </c>
    </row>
    <row r="3847" spans="2:10" ht="15" customHeight="1" x14ac:dyDescent="0.2">
      <c r="B3847" s="39">
        <f t="shared" si="30"/>
      </c>
      <c r="C3847" s="40">
        <f>IF(Inputs!$C$60,Inputs!$C$11+(B3847-Inputs!$C$69)/Inputs!$C$70,"")</f>
      </c>
      <c r="D3847" s="15"/>
      <c r="E3847" s="15"/>
      <c r="F3847" s="11">
        <f t="shared" si="31"/>
      </c>
      <c r="G3847" s="22" cm="1">
        <f t="array" ref="G3847">IF(AND(Inputs!$C$60,Inputs!$C$61),INDEX(Utility_Rates!$C$29:$F$52,HOUR(C3847)+Inputs!$C$69,MATCH(INDEX(Utility_Rates!$K$6:$K$17,MONTH(C3847))&amp;IF(WEEKDAY(C3847,Inputs!$C$76)&lt;=Inputs!$C$74," weekday"," weekend"),Utility_Rates!$C$28:$F$28,Inputs!$C$68)),"")</f>
      </c>
      <c r="H3847" s="34"/>
      <c r="I3847" s="42">
        <f>IF(AND(ISNUMBER(D3847),ISNUMBER(H3847)),D3847*H3847*Inputs!$C$69,"")</f>
      </c>
      <c r="J3847" s="42">
        <f>IF(AND(ISNUMBER(F3847),ISNUMBER(H3847),F3847&gt;=Inputs!$C$68),F3847*H3847*Inputs!$C$69,"")</f>
      </c>
    </row>
    <row r="3848" spans="2:10" ht="15" customHeight="1" x14ac:dyDescent="0.2">
      <c r="B3848" s="39">
        <f t="shared" si="30"/>
      </c>
      <c r="C3848" s="40">
        <f>IF(Inputs!$C$60,Inputs!$C$11+(B3848-Inputs!$C$69)/Inputs!$C$70,"")</f>
      </c>
      <c r="D3848" s="15"/>
      <c r="E3848" s="15"/>
      <c r="F3848" s="11">
        <f t="shared" si="31"/>
      </c>
      <c r="G3848" s="22" cm="1">
        <f t="array" ref="G3848">IF(AND(Inputs!$C$60,Inputs!$C$61),INDEX(Utility_Rates!$C$29:$F$52,HOUR(C3848)+Inputs!$C$69,MATCH(INDEX(Utility_Rates!$K$6:$K$17,MONTH(C3848))&amp;IF(WEEKDAY(C3848,Inputs!$C$76)&lt;=Inputs!$C$74," weekday"," weekend"),Utility_Rates!$C$28:$F$28,Inputs!$C$68)),"")</f>
      </c>
      <c r="H3848" s="34"/>
      <c r="I3848" s="42">
        <f>IF(AND(ISNUMBER(D3848),ISNUMBER(H3848)),D3848*H3848*Inputs!$C$69,"")</f>
      </c>
      <c r="J3848" s="42">
        <f>IF(AND(ISNUMBER(F3848),ISNUMBER(H3848),F3848&gt;=Inputs!$C$68),F3848*H3848*Inputs!$C$69,"")</f>
      </c>
    </row>
    <row r="3849" spans="2:10" ht="15" customHeight="1" x14ac:dyDescent="0.2">
      <c r="B3849" s="39">
        <f t="shared" si="30"/>
      </c>
      <c r="C3849" s="40">
        <f>IF(Inputs!$C$60,Inputs!$C$11+(B3849-Inputs!$C$69)/Inputs!$C$70,"")</f>
      </c>
      <c r="D3849" s="15"/>
      <c r="E3849" s="15"/>
      <c r="F3849" s="11">
        <f t="shared" si="31"/>
      </c>
      <c r="G3849" s="22" cm="1">
        <f t="array" ref="G3849">IF(AND(Inputs!$C$60,Inputs!$C$61),INDEX(Utility_Rates!$C$29:$F$52,HOUR(C3849)+Inputs!$C$69,MATCH(INDEX(Utility_Rates!$K$6:$K$17,MONTH(C3849))&amp;IF(WEEKDAY(C3849,Inputs!$C$76)&lt;=Inputs!$C$74," weekday"," weekend"),Utility_Rates!$C$28:$F$28,Inputs!$C$68)),"")</f>
      </c>
      <c r="H3849" s="34"/>
      <c r="I3849" s="42">
        <f>IF(AND(ISNUMBER(D3849),ISNUMBER(H3849)),D3849*H3849*Inputs!$C$69,"")</f>
      </c>
      <c r="J3849" s="42">
        <f>IF(AND(ISNUMBER(F3849),ISNUMBER(H3849),F3849&gt;=Inputs!$C$68),F3849*H3849*Inputs!$C$69,"")</f>
      </c>
    </row>
    <row r="3850" spans="2:10" ht="15" customHeight="1" x14ac:dyDescent="0.2">
      <c r="B3850" s="39">
        <f t="shared" si="30"/>
      </c>
      <c r="C3850" s="40">
        <f>IF(Inputs!$C$60,Inputs!$C$11+(B3850-Inputs!$C$69)/Inputs!$C$70,"")</f>
      </c>
      <c r="D3850" s="15"/>
      <c r="E3850" s="15"/>
      <c r="F3850" s="11">
        <f t="shared" si="31"/>
      </c>
      <c r="G3850" s="22" cm="1">
        <f t="array" ref="G3850">IF(AND(Inputs!$C$60,Inputs!$C$61),INDEX(Utility_Rates!$C$29:$F$52,HOUR(C3850)+Inputs!$C$69,MATCH(INDEX(Utility_Rates!$K$6:$K$17,MONTH(C3850))&amp;IF(WEEKDAY(C3850,Inputs!$C$76)&lt;=Inputs!$C$74," weekday"," weekend"),Utility_Rates!$C$28:$F$28,Inputs!$C$68)),"")</f>
      </c>
      <c r="H3850" s="34"/>
      <c r="I3850" s="42">
        <f>IF(AND(ISNUMBER(D3850),ISNUMBER(H3850)),D3850*H3850*Inputs!$C$69,"")</f>
      </c>
      <c r="J3850" s="42">
        <f>IF(AND(ISNUMBER(F3850),ISNUMBER(H3850),F3850&gt;=Inputs!$C$68),F3850*H3850*Inputs!$C$69,"")</f>
      </c>
    </row>
    <row r="3851" spans="2:10" ht="15" customHeight="1" x14ac:dyDescent="0.2">
      <c r="B3851" s="39">
        <f t="shared" si="30"/>
      </c>
      <c r="C3851" s="40">
        <f>IF(Inputs!$C$60,Inputs!$C$11+(B3851-Inputs!$C$69)/Inputs!$C$70,"")</f>
      </c>
      <c r="D3851" s="15"/>
      <c r="E3851" s="15"/>
      <c r="F3851" s="11">
        <f t="shared" si="31"/>
      </c>
      <c r="G3851" s="22" cm="1">
        <f t="array" ref="G3851">IF(AND(Inputs!$C$60,Inputs!$C$61),INDEX(Utility_Rates!$C$29:$F$52,HOUR(C3851)+Inputs!$C$69,MATCH(INDEX(Utility_Rates!$K$6:$K$17,MONTH(C3851))&amp;IF(WEEKDAY(C3851,Inputs!$C$76)&lt;=Inputs!$C$74," weekday"," weekend"),Utility_Rates!$C$28:$F$28,Inputs!$C$68)),"")</f>
      </c>
      <c r="H3851" s="34"/>
      <c r="I3851" s="42">
        <f>IF(AND(ISNUMBER(D3851),ISNUMBER(H3851)),D3851*H3851*Inputs!$C$69,"")</f>
      </c>
      <c r="J3851" s="42">
        <f>IF(AND(ISNUMBER(F3851),ISNUMBER(H3851),F3851&gt;=Inputs!$C$68),F3851*H3851*Inputs!$C$69,"")</f>
      </c>
    </row>
    <row r="3852" spans="2:10" ht="15" customHeight="1" x14ac:dyDescent="0.2">
      <c r="B3852" s="39">
        <f t="shared" si="30"/>
      </c>
      <c r="C3852" s="40">
        <f>IF(Inputs!$C$60,Inputs!$C$11+(B3852-Inputs!$C$69)/Inputs!$C$70,"")</f>
      </c>
      <c r="D3852" s="15"/>
      <c r="E3852" s="15"/>
      <c r="F3852" s="11">
        <f t="shared" si="31"/>
      </c>
      <c r="G3852" s="22" cm="1">
        <f t="array" ref="G3852">IF(AND(Inputs!$C$60,Inputs!$C$61),INDEX(Utility_Rates!$C$29:$F$52,HOUR(C3852)+Inputs!$C$69,MATCH(INDEX(Utility_Rates!$K$6:$K$17,MONTH(C3852))&amp;IF(WEEKDAY(C3852,Inputs!$C$76)&lt;=Inputs!$C$74," weekday"," weekend"),Utility_Rates!$C$28:$F$28,Inputs!$C$68)),"")</f>
      </c>
      <c r="H3852" s="34"/>
      <c r="I3852" s="42">
        <f>IF(AND(ISNUMBER(D3852),ISNUMBER(H3852)),D3852*H3852*Inputs!$C$69,"")</f>
      </c>
      <c r="J3852" s="42">
        <f>IF(AND(ISNUMBER(F3852),ISNUMBER(H3852),F3852&gt;=Inputs!$C$68),F3852*H3852*Inputs!$C$69,"")</f>
      </c>
    </row>
    <row r="3853" spans="2:10" ht="15" customHeight="1" x14ac:dyDescent="0.2">
      <c r="B3853" s="39">
        <f t="shared" si="30"/>
      </c>
      <c r="C3853" s="40">
        <f>IF(Inputs!$C$60,Inputs!$C$11+(B3853-Inputs!$C$69)/Inputs!$C$70,"")</f>
      </c>
      <c r="D3853" s="15"/>
      <c r="E3853" s="15"/>
      <c r="F3853" s="11">
        <f t="shared" si="31"/>
      </c>
      <c r="G3853" s="22" cm="1">
        <f t="array" ref="G3853">IF(AND(Inputs!$C$60,Inputs!$C$61),INDEX(Utility_Rates!$C$29:$F$52,HOUR(C3853)+Inputs!$C$69,MATCH(INDEX(Utility_Rates!$K$6:$K$17,MONTH(C3853))&amp;IF(WEEKDAY(C3853,Inputs!$C$76)&lt;=Inputs!$C$74," weekday"," weekend"),Utility_Rates!$C$28:$F$28,Inputs!$C$68)),"")</f>
      </c>
      <c r="H3853" s="34"/>
      <c r="I3853" s="42">
        <f>IF(AND(ISNUMBER(D3853),ISNUMBER(H3853)),D3853*H3853*Inputs!$C$69,"")</f>
      </c>
      <c r="J3853" s="42">
        <f>IF(AND(ISNUMBER(F3853),ISNUMBER(H3853),F3853&gt;=Inputs!$C$68),F3853*H3853*Inputs!$C$69,"")</f>
      </c>
    </row>
    <row r="3854" spans="2:10" ht="15" customHeight="1" x14ac:dyDescent="0.2">
      <c r="B3854" s="39">
        <f t="shared" si="30"/>
      </c>
      <c r="C3854" s="40">
        <f>IF(Inputs!$C$60,Inputs!$C$11+(B3854-Inputs!$C$69)/Inputs!$C$70,"")</f>
      </c>
      <c r="D3854" s="15"/>
      <c r="E3854" s="15"/>
      <c r="F3854" s="11">
        <f t="shared" si="31"/>
      </c>
      <c r="G3854" s="22" cm="1">
        <f t="array" ref="G3854">IF(AND(Inputs!$C$60,Inputs!$C$61),INDEX(Utility_Rates!$C$29:$F$52,HOUR(C3854)+Inputs!$C$69,MATCH(INDEX(Utility_Rates!$K$6:$K$17,MONTH(C3854))&amp;IF(WEEKDAY(C3854,Inputs!$C$76)&lt;=Inputs!$C$74," weekday"," weekend"),Utility_Rates!$C$28:$F$28,Inputs!$C$68)),"")</f>
      </c>
      <c r="H3854" s="34"/>
      <c r="I3854" s="42">
        <f>IF(AND(ISNUMBER(D3854),ISNUMBER(H3854)),D3854*H3854*Inputs!$C$69,"")</f>
      </c>
      <c r="J3854" s="42">
        <f>IF(AND(ISNUMBER(F3854),ISNUMBER(H3854),F3854&gt;=Inputs!$C$68),F3854*H3854*Inputs!$C$69,"")</f>
      </c>
    </row>
    <row r="3855" spans="2:10" ht="15" customHeight="1" x14ac:dyDescent="0.2">
      <c r="B3855" s="39">
        <f t="shared" si="30"/>
      </c>
      <c r="C3855" s="40">
        <f>IF(Inputs!$C$60,Inputs!$C$11+(B3855-Inputs!$C$69)/Inputs!$C$70,"")</f>
      </c>
      <c r="D3855" s="15"/>
      <c r="E3855" s="15"/>
      <c r="F3855" s="11">
        <f t="shared" si="31"/>
      </c>
      <c r="G3855" s="22" cm="1">
        <f t="array" ref="G3855">IF(AND(Inputs!$C$60,Inputs!$C$61),INDEX(Utility_Rates!$C$29:$F$52,HOUR(C3855)+Inputs!$C$69,MATCH(INDEX(Utility_Rates!$K$6:$K$17,MONTH(C3855))&amp;IF(WEEKDAY(C3855,Inputs!$C$76)&lt;=Inputs!$C$74," weekday"," weekend"),Utility_Rates!$C$28:$F$28,Inputs!$C$68)),"")</f>
      </c>
      <c r="H3855" s="34"/>
      <c r="I3855" s="42">
        <f>IF(AND(ISNUMBER(D3855),ISNUMBER(H3855)),D3855*H3855*Inputs!$C$69,"")</f>
      </c>
      <c r="J3855" s="42">
        <f>IF(AND(ISNUMBER(F3855),ISNUMBER(H3855),F3855&gt;=Inputs!$C$68),F3855*H3855*Inputs!$C$69,"")</f>
      </c>
    </row>
    <row r="3856" spans="2:10" ht="15" customHeight="1" x14ac:dyDescent="0.2">
      <c r="B3856" s="39">
        <f t="shared" si="30"/>
      </c>
      <c r="C3856" s="40">
        <f>IF(Inputs!$C$60,Inputs!$C$11+(B3856-Inputs!$C$69)/Inputs!$C$70,"")</f>
      </c>
      <c r="D3856" s="15"/>
      <c r="E3856" s="15"/>
      <c r="F3856" s="11">
        <f t="shared" si="31"/>
      </c>
      <c r="G3856" s="22" cm="1">
        <f t="array" ref="G3856">IF(AND(Inputs!$C$60,Inputs!$C$61),INDEX(Utility_Rates!$C$29:$F$52,HOUR(C3856)+Inputs!$C$69,MATCH(INDEX(Utility_Rates!$K$6:$K$17,MONTH(C3856))&amp;IF(WEEKDAY(C3856,Inputs!$C$76)&lt;=Inputs!$C$74," weekday"," weekend"),Utility_Rates!$C$28:$F$28,Inputs!$C$68)),"")</f>
      </c>
      <c r="H3856" s="34"/>
      <c r="I3856" s="42">
        <f>IF(AND(ISNUMBER(D3856),ISNUMBER(H3856)),D3856*H3856*Inputs!$C$69,"")</f>
      </c>
      <c r="J3856" s="42">
        <f>IF(AND(ISNUMBER(F3856),ISNUMBER(H3856),F3856&gt;=Inputs!$C$68),F3856*H3856*Inputs!$C$69,"")</f>
      </c>
    </row>
    <row r="3857" spans="2:10" ht="15" customHeight="1" x14ac:dyDescent="0.2">
      <c r="B3857" s="39">
        <f t="shared" si="30"/>
      </c>
      <c r="C3857" s="40">
        <f>IF(Inputs!$C$60,Inputs!$C$11+(B3857-Inputs!$C$69)/Inputs!$C$70,"")</f>
      </c>
      <c r="D3857" s="15"/>
      <c r="E3857" s="15"/>
      <c r="F3857" s="11">
        <f t="shared" si="31"/>
      </c>
      <c r="G3857" s="22" cm="1">
        <f t="array" ref="G3857">IF(AND(Inputs!$C$60,Inputs!$C$61),INDEX(Utility_Rates!$C$29:$F$52,HOUR(C3857)+Inputs!$C$69,MATCH(INDEX(Utility_Rates!$K$6:$K$17,MONTH(C3857))&amp;IF(WEEKDAY(C3857,Inputs!$C$76)&lt;=Inputs!$C$74," weekday"," weekend"),Utility_Rates!$C$28:$F$28,Inputs!$C$68)),"")</f>
      </c>
      <c r="H3857" s="34"/>
      <c r="I3857" s="42">
        <f>IF(AND(ISNUMBER(D3857),ISNUMBER(H3857)),D3857*H3857*Inputs!$C$69,"")</f>
      </c>
      <c r="J3857" s="42">
        <f>IF(AND(ISNUMBER(F3857),ISNUMBER(H3857),F3857&gt;=Inputs!$C$68),F3857*H3857*Inputs!$C$69,"")</f>
      </c>
    </row>
    <row r="3858" spans="2:10" ht="15" customHeight="1" x14ac:dyDescent="0.2">
      <c r="B3858" s="39">
        <f t="shared" si="30"/>
      </c>
      <c r="C3858" s="40">
        <f>IF(Inputs!$C$60,Inputs!$C$11+(B3858-Inputs!$C$69)/Inputs!$C$70,"")</f>
      </c>
      <c r="D3858" s="15"/>
      <c r="E3858" s="15"/>
      <c r="F3858" s="11">
        <f t="shared" si="31"/>
      </c>
      <c r="G3858" s="22" cm="1">
        <f t="array" ref="G3858">IF(AND(Inputs!$C$60,Inputs!$C$61),INDEX(Utility_Rates!$C$29:$F$52,HOUR(C3858)+Inputs!$C$69,MATCH(INDEX(Utility_Rates!$K$6:$K$17,MONTH(C3858))&amp;IF(WEEKDAY(C3858,Inputs!$C$76)&lt;=Inputs!$C$74," weekday"," weekend"),Utility_Rates!$C$28:$F$28,Inputs!$C$68)),"")</f>
      </c>
      <c r="H3858" s="34"/>
      <c r="I3858" s="42">
        <f>IF(AND(ISNUMBER(D3858),ISNUMBER(H3858)),D3858*H3858*Inputs!$C$69,"")</f>
      </c>
      <c r="J3858" s="42">
        <f>IF(AND(ISNUMBER(F3858),ISNUMBER(H3858),F3858&gt;=Inputs!$C$68),F3858*H3858*Inputs!$C$69,"")</f>
      </c>
    </row>
    <row r="3859" spans="2:10" ht="15" customHeight="1" x14ac:dyDescent="0.2">
      <c r="B3859" s="39">
        <f t="shared" si="30"/>
      </c>
      <c r="C3859" s="40">
        <f>IF(Inputs!$C$60,Inputs!$C$11+(B3859-Inputs!$C$69)/Inputs!$C$70,"")</f>
      </c>
      <c r="D3859" s="15"/>
      <c r="E3859" s="15"/>
      <c r="F3859" s="11">
        <f t="shared" si="31"/>
      </c>
      <c r="G3859" s="22" cm="1">
        <f t="array" ref="G3859">IF(AND(Inputs!$C$60,Inputs!$C$61),INDEX(Utility_Rates!$C$29:$F$52,HOUR(C3859)+Inputs!$C$69,MATCH(INDEX(Utility_Rates!$K$6:$K$17,MONTH(C3859))&amp;IF(WEEKDAY(C3859,Inputs!$C$76)&lt;=Inputs!$C$74," weekday"," weekend"),Utility_Rates!$C$28:$F$28,Inputs!$C$68)),"")</f>
      </c>
      <c r="H3859" s="34"/>
      <c r="I3859" s="42">
        <f>IF(AND(ISNUMBER(D3859),ISNUMBER(H3859)),D3859*H3859*Inputs!$C$69,"")</f>
      </c>
      <c r="J3859" s="42">
        <f>IF(AND(ISNUMBER(F3859),ISNUMBER(H3859),F3859&gt;=Inputs!$C$68),F3859*H3859*Inputs!$C$69,"")</f>
      </c>
    </row>
    <row r="3860" spans="2:10" ht="15" customHeight="1" x14ac:dyDescent="0.2">
      <c r="B3860" s="39">
        <f t="shared" si="30"/>
      </c>
      <c r="C3860" s="40">
        <f>IF(Inputs!$C$60,Inputs!$C$11+(B3860-Inputs!$C$69)/Inputs!$C$70,"")</f>
      </c>
      <c r="D3860" s="15"/>
      <c r="E3860" s="15"/>
      <c r="F3860" s="11">
        <f t="shared" si="31"/>
      </c>
      <c r="G3860" s="22" cm="1">
        <f t="array" ref="G3860">IF(AND(Inputs!$C$60,Inputs!$C$61),INDEX(Utility_Rates!$C$29:$F$52,HOUR(C3860)+Inputs!$C$69,MATCH(INDEX(Utility_Rates!$K$6:$K$17,MONTH(C3860))&amp;IF(WEEKDAY(C3860,Inputs!$C$76)&lt;=Inputs!$C$74," weekday"," weekend"),Utility_Rates!$C$28:$F$28,Inputs!$C$68)),"")</f>
      </c>
      <c r="H3860" s="34"/>
      <c r="I3860" s="42">
        <f>IF(AND(ISNUMBER(D3860),ISNUMBER(H3860)),D3860*H3860*Inputs!$C$69,"")</f>
      </c>
      <c r="J3860" s="42">
        <f>IF(AND(ISNUMBER(F3860),ISNUMBER(H3860),F3860&gt;=Inputs!$C$68),F3860*H3860*Inputs!$C$69,"")</f>
      </c>
    </row>
    <row r="3861" spans="2:10" ht="15" customHeight="1" x14ac:dyDescent="0.2">
      <c r="B3861" s="39">
        <f t="shared" si="30"/>
      </c>
      <c r="C3861" s="40">
        <f>IF(Inputs!$C$60,Inputs!$C$11+(B3861-Inputs!$C$69)/Inputs!$C$70,"")</f>
      </c>
      <c r="D3861" s="15"/>
      <c r="E3861" s="15"/>
      <c r="F3861" s="11">
        <f t="shared" si="31"/>
      </c>
      <c r="G3861" s="22" cm="1">
        <f t="array" ref="G3861">IF(AND(Inputs!$C$60,Inputs!$C$61),INDEX(Utility_Rates!$C$29:$F$52,HOUR(C3861)+Inputs!$C$69,MATCH(INDEX(Utility_Rates!$K$6:$K$17,MONTH(C3861))&amp;IF(WEEKDAY(C3861,Inputs!$C$76)&lt;=Inputs!$C$74," weekday"," weekend"),Utility_Rates!$C$28:$F$28,Inputs!$C$68)),"")</f>
      </c>
      <c r="H3861" s="34"/>
      <c r="I3861" s="42">
        <f>IF(AND(ISNUMBER(D3861),ISNUMBER(H3861)),D3861*H3861*Inputs!$C$69,"")</f>
      </c>
      <c r="J3861" s="42">
        <f>IF(AND(ISNUMBER(F3861),ISNUMBER(H3861),F3861&gt;=Inputs!$C$68),F3861*H3861*Inputs!$C$69,"")</f>
      </c>
    </row>
    <row r="3862" spans="2:10" ht="15" customHeight="1" x14ac:dyDescent="0.2">
      <c r="B3862" s="39">
        <f t="shared" si="30"/>
      </c>
      <c r="C3862" s="40">
        <f>IF(Inputs!$C$60,Inputs!$C$11+(B3862-Inputs!$C$69)/Inputs!$C$70,"")</f>
      </c>
      <c r="D3862" s="15"/>
      <c r="E3862" s="15"/>
      <c r="F3862" s="11">
        <f t="shared" si="31"/>
      </c>
      <c r="G3862" s="22" cm="1">
        <f t="array" ref="G3862">IF(AND(Inputs!$C$60,Inputs!$C$61),INDEX(Utility_Rates!$C$29:$F$52,HOUR(C3862)+Inputs!$C$69,MATCH(INDEX(Utility_Rates!$K$6:$K$17,MONTH(C3862))&amp;IF(WEEKDAY(C3862,Inputs!$C$76)&lt;=Inputs!$C$74," weekday"," weekend"),Utility_Rates!$C$28:$F$28,Inputs!$C$68)),"")</f>
      </c>
      <c r="H3862" s="34"/>
      <c r="I3862" s="42">
        <f>IF(AND(ISNUMBER(D3862),ISNUMBER(H3862)),D3862*H3862*Inputs!$C$69,"")</f>
      </c>
      <c r="J3862" s="42">
        <f>IF(AND(ISNUMBER(F3862),ISNUMBER(H3862),F3862&gt;=Inputs!$C$68),F3862*H3862*Inputs!$C$69,"")</f>
      </c>
    </row>
    <row r="3863" spans="2:10" ht="15" customHeight="1" x14ac:dyDescent="0.2">
      <c r="B3863" s="39">
        <f t="shared" si="30"/>
      </c>
      <c r="C3863" s="40">
        <f>IF(Inputs!$C$60,Inputs!$C$11+(B3863-Inputs!$C$69)/Inputs!$C$70,"")</f>
      </c>
      <c r="D3863" s="15"/>
      <c r="E3863" s="15"/>
      <c r="F3863" s="11">
        <f t="shared" si="31"/>
      </c>
      <c r="G3863" s="22" cm="1">
        <f t="array" ref="G3863">IF(AND(Inputs!$C$60,Inputs!$C$61),INDEX(Utility_Rates!$C$29:$F$52,HOUR(C3863)+Inputs!$C$69,MATCH(INDEX(Utility_Rates!$K$6:$K$17,MONTH(C3863))&amp;IF(WEEKDAY(C3863,Inputs!$C$76)&lt;=Inputs!$C$74," weekday"," weekend"),Utility_Rates!$C$28:$F$28,Inputs!$C$68)),"")</f>
      </c>
      <c r="H3863" s="34"/>
      <c r="I3863" s="42">
        <f>IF(AND(ISNUMBER(D3863),ISNUMBER(H3863)),D3863*H3863*Inputs!$C$69,"")</f>
      </c>
      <c r="J3863" s="42">
        <f>IF(AND(ISNUMBER(F3863),ISNUMBER(H3863),F3863&gt;=Inputs!$C$68),F3863*H3863*Inputs!$C$69,"")</f>
      </c>
    </row>
    <row r="3864" spans="2:10" ht="15" customHeight="1" x14ac:dyDescent="0.2">
      <c r="B3864" s="39">
        <f t="shared" si="30"/>
      </c>
      <c r="C3864" s="40">
        <f>IF(Inputs!$C$60,Inputs!$C$11+(B3864-Inputs!$C$69)/Inputs!$C$70,"")</f>
      </c>
      <c r="D3864" s="15"/>
      <c r="E3864" s="15"/>
      <c r="F3864" s="11">
        <f t="shared" si="31"/>
      </c>
      <c r="G3864" s="22" cm="1">
        <f t="array" ref="G3864">IF(AND(Inputs!$C$60,Inputs!$C$61),INDEX(Utility_Rates!$C$29:$F$52,HOUR(C3864)+Inputs!$C$69,MATCH(INDEX(Utility_Rates!$K$6:$K$17,MONTH(C3864))&amp;IF(WEEKDAY(C3864,Inputs!$C$76)&lt;=Inputs!$C$74," weekday"," weekend"),Utility_Rates!$C$28:$F$28,Inputs!$C$68)),"")</f>
      </c>
      <c r="H3864" s="34"/>
      <c r="I3864" s="42">
        <f>IF(AND(ISNUMBER(D3864),ISNUMBER(H3864)),D3864*H3864*Inputs!$C$69,"")</f>
      </c>
      <c r="J3864" s="42">
        <f>IF(AND(ISNUMBER(F3864),ISNUMBER(H3864),F3864&gt;=Inputs!$C$68),F3864*H3864*Inputs!$C$69,"")</f>
      </c>
    </row>
    <row r="3865" spans="2:10" ht="15" customHeight="1" x14ac:dyDescent="0.2">
      <c r="B3865" s="39">
        <f t="shared" si="30"/>
      </c>
      <c r="C3865" s="40">
        <f>IF(Inputs!$C$60,Inputs!$C$11+(B3865-Inputs!$C$69)/Inputs!$C$70,"")</f>
      </c>
      <c r="D3865" s="15"/>
      <c r="E3865" s="15"/>
      <c r="F3865" s="11">
        <f t="shared" si="31"/>
      </c>
      <c r="G3865" s="22" cm="1">
        <f t="array" ref="G3865">IF(AND(Inputs!$C$60,Inputs!$C$61),INDEX(Utility_Rates!$C$29:$F$52,HOUR(C3865)+Inputs!$C$69,MATCH(INDEX(Utility_Rates!$K$6:$K$17,MONTH(C3865))&amp;IF(WEEKDAY(C3865,Inputs!$C$76)&lt;=Inputs!$C$74," weekday"," weekend"),Utility_Rates!$C$28:$F$28,Inputs!$C$68)),"")</f>
      </c>
      <c r="H3865" s="34"/>
      <c r="I3865" s="42">
        <f>IF(AND(ISNUMBER(D3865),ISNUMBER(H3865)),D3865*H3865*Inputs!$C$69,"")</f>
      </c>
      <c r="J3865" s="42">
        <f>IF(AND(ISNUMBER(F3865),ISNUMBER(H3865),F3865&gt;=Inputs!$C$68),F3865*H3865*Inputs!$C$69,"")</f>
      </c>
    </row>
    <row r="3866" spans="2:10" ht="15" customHeight="1" x14ac:dyDescent="0.2">
      <c r="B3866" s="39">
        <f t="shared" si="30"/>
      </c>
      <c r="C3866" s="40">
        <f>IF(Inputs!$C$60,Inputs!$C$11+(B3866-Inputs!$C$69)/Inputs!$C$70,"")</f>
      </c>
      <c r="D3866" s="15"/>
      <c r="E3866" s="15"/>
      <c r="F3866" s="11">
        <f t="shared" si="31"/>
      </c>
      <c r="G3866" s="22" cm="1">
        <f t="array" ref="G3866">IF(AND(Inputs!$C$60,Inputs!$C$61),INDEX(Utility_Rates!$C$29:$F$52,HOUR(C3866)+Inputs!$C$69,MATCH(INDEX(Utility_Rates!$K$6:$K$17,MONTH(C3866))&amp;IF(WEEKDAY(C3866,Inputs!$C$76)&lt;=Inputs!$C$74," weekday"," weekend"),Utility_Rates!$C$28:$F$28,Inputs!$C$68)),"")</f>
      </c>
      <c r="H3866" s="34"/>
      <c r="I3866" s="42">
        <f>IF(AND(ISNUMBER(D3866),ISNUMBER(H3866)),D3866*H3866*Inputs!$C$69,"")</f>
      </c>
      <c r="J3866" s="42">
        <f>IF(AND(ISNUMBER(F3866),ISNUMBER(H3866),F3866&gt;=Inputs!$C$68),F3866*H3866*Inputs!$C$69,"")</f>
      </c>
    </row>
    <row r="3867" spans="2:10" ht="15" customHeight="1" x14ac:dyDescent="0.2">
      <c r="B3867" s="39">
        <f t="shared" si="30"/>
      </c>
      <c r="C3867" s="40">
        <f>IF(Inputs!$C$60,Inputs!$C$11+(B3867-Inputs!$C$69)/Inputs!$C$70,"")</f>
      </c>
      <c r="D3867" s="15"/>
      <c r="E3867" s="15"/>
      <c r="F3867" s="11">
        <f t="shared" si="31"/>
      </c>
      <c r="G3867" s="22" cm="1">
        <f t="array" ref="G3867">IF(AND(Inputs!$C$60,Inputs!$C$61),INDEX(Utility_Rates!$C$29:$F$52,HOUR(C3867)+Inputs!$C$69,MATCH(INDEX(Utility_Rates!$K$6:$K$17,MONTH(C3867))&amp;IF(WEEKDAY(C3867,Inputs!$C$76)&lt;=Inputs!$C$74," weekday"," weekend"),Utility_Rates!$C$28:$F$28,Inputs!$C$68)),"")</f>
      </c>
      <c r="H3867" s="34"/>
      <c r="I3867" s="42">
        <f>IF(AND(ISNUMBER(D3867),ISNUMBER(H3867)),D3867*H3867*Inputs!$C$69,"")</f>
      </c>
      <c r="J3867" s="42">
        <f>IF(AND(ISNUMBER(F3867),ISNUMBER(H3867),F3867&gt;=Inputs!$C$68),F3867*H3867*Inputs!$C$69,"")</f>
      </c>
    </row>
    <row r="3868" spans="2:10" ht="15" customHeight="1" x14ac:dyDescent="0.2">
      <c r="B3868" s="39">
        <f t="shared" si="30"/>
      </c>
      <c r="C3868" s="40">
        <f>IF(Inputs!$C$60,Inputs!$C$11+(B3868-Inputs!$C$69)/Inputs!$C$70,"")</f>
      </c>
      <c r="D3868" s="15"/>
      <c r="E3868" s="15"/>
      <c r="F3868" s="11">
        <f t="shared" si="31"/>
      </c>
      <c r="G3868" s="22" cm="1">
        <f t="array" ref="G3868">IF(AND(Inputs!$C$60,Inputs!$C$61),INDEX(Utility_Rates!$C$29:$F$52,HOUR(C3868)+Inputs!$C$69,MATCH(INDEX(Utility_Rates!$K$6:$K$17,MONTH(C3868))&amp;IF(WEEKDAY(C3868,Inputs!$C$76)&lt;=Inputs!$C$74," weekday"," weekend"),Utility_Rates!$C$28:$F$28,Inputs!$C$68)),"")</f>
      </c>
      <c r="H3868" s="34"/>
      <c r="I3868" s="42">
        <f>IF(AND(ISNUMBER(D3868),ISNUMBER(H3868)),D3868*H3868*Inputs!$C$69,"")</f>
      </c>
      <c r="J3868" s="42">
        <f>IF(AND(ISNUMBER(F3868),ISNUMBER(H3868),F3868&gt;=Inputs!$C$68),F3868*H3868*Inputs!$C$69,"")</f>
      </c>
    </row>
    <row r="3869" spans="2:10" ht="15" customHeight="1" x14ac:dyDescent="0.2">
      <c r="B3869" s="39">
        <f t="shared" si="30"/>
      </c>
      <c r="C3869" s="40">
        <f>IF(Inputs!$C$60,Inputs!$C$11+(B3869-Inputs!$C$69)/Inputs!$C$70,"")</f>
      </c>
      <c r="D3869" s="15"/>
      <c r="E3869" s="15"/>
      <c r="F3869" s="11">
        <f t="shared" si="31"/>
      </c>
      <c r="G3869" s="22" cm="1">
        <f t="array" ref="G3869">IF(AND(Inputs!$C$60,Inputs!$C$61),INDEX(Utility_Rates!$C$29:$F$52,HOUR(C3869)+Inputs!$C$69,MATCH(INDEX(Utility_Rates!$K$6:$K$17,MONTH(C3869))&amp;IF(WEEKDAY(C3869,Inputs!$C$76)&lt;=Inputs!$C$74," weekday"," weekend"),Utility_Rates!$C$28:$F$28,Inputs!$C$68)),"")</f>
      </c>
      <c r="H3869" s="34"/>
      <c r="I3869" s="42">
        <f>IF(AND(ISNUMBER(D3869),ISNUMBER(H3869)),D3869*H3869*Inputs!$C$69,"")</f>
      </c>
      <c r="J3869" s="42">
        <f>IF(AND(ISNUMBER(F3869),ISNUMBER(H3869),F3869&gt;=Inputs!$C$68),F3869*H3869*Inputs!$C$69,"")</f>
      </c>
    </row>
    <row r="3870" spans="2:10" ht="15" customHeight="1" x14ac:dyDescent="0.2">
      <c r="B3870" s="39">
        <f t="shared" si="30"/>
      </c>
      <c r="C3870" s="40">
        <f>IF(Inputs!$C$60,Inputs!$C$11+(B3870-Inputs!$C$69)/Inputs!$C$70,"")</f>
      </c>
      <c r="D3870" s="15"/>
      <c r="E3870" s="15"/>
      <c r="F3870" s="11">
        <f t="shared" si="31"/>
      </c>
      <c r="G3870" s="22" cm="1">
        <f t="array" ref="G3870">IF(AND(Inputs!$C$60,Inputs!$C$61),INDEX(Utility_Rates!$C$29:$F$52,HOUR(C3870)+Inputs!$C$69,MATCH(INDEX(Utility_Rates!$K$6:$K$17,MONTH(C3870))&amp;IF(WEEKDAY(C3870,Inputs!$C$76)&lt;=Inputs!$C$74," weekday"," weekend"),Utility_Rates!$C$28:$F$28,Inputs!$C$68)),"")</f>
      </c>
      <c r="H3870" s="34"/>
      <c r="I3870" s="42">
        <f>IF(AND(ISNUMBER(D3870),ISNUMBER(H3870)),D3870*H3870*Inputs!$C$69,"")</f>
      </c>
      <c r="J3870" s="42">
        <f>IF(AND(ISNUMBER(F3870),ISNUMBER(H3870),F3870&gt;=Inputs!$C$68),F3870*H3870*Inputs!$C$69,"")</f>
      </c>
    </row>
    <row r="3871" spans="2:10" ht="15" customHeight="1" x14ac:dyDescent="0.2">
      <c r="B3871" s="39">
        <f t="shared" si="30"/>
      </c>
      <c r="C3871" s="40">
        <f>IF(Inputs!$C$60,Inputs!$C$11+(B3871-Inputs!$C$69)/Inputs!$C$70,"")</f>
      </c>
      <c r="D3871" s="15"/>
      <c r="E3871" s="15"/>
      <c r="F3871" s="11">
        <f t="shared" si="31"/>
      </c>
      <c r="G3871" s="22" cm="1">
        <f t="array" ref="G3871">IF(AND(Inputs!$C$60,Inputs!$C$61),INDEX(Utility_Rates!$C$29:$F$52,HOUR(C3871)+Inputs!$C$69,MATCH(INDEX(Utility_Rates!$K$6:$K$17,MONTH(C3871))&amp;IF(WEEKDAY(C3871,Inputs!$C$76)&lt;=Inputs!$C$74," weekday"," weekend"),Utility_Rates!$C$28:$F$28,Inputs!$C$68)),"")</f>
      </c>
      <c r="H3871" s="34"/>
      <c r="I3871" s="42">
        <f>IF(AND(ISNUMBER(D3871),ISNUMBER(H3871)),D3871*H3871*Inputs!$C$69,"")</f>
      </c>
      <c r="J3871" s="42">
        <f>IF(AND(ISNUMBER(F3871),ISNUMBER(H3871),F3871&gt;=Inputs!$C$68),F3871*H3871*Inputs!$C$69,"")</f>
      </c>
    </row>
    <row r="3872" spans="2:10" ht="15" customHeight="1" x14ac:dyDescent="0.2">
      <c r="B3872" s="39">
        <f t="shared" si="30"/>
      </c>
      <c r="C3872" s="40">
        <f>IF(Inputs!$C$60,Inputs!$C$11+(B3872-Inputs!$C$69)/Inputs!$C$70,"")</f>
      </c>
      <c r="D3872" s="15"/>
      <c r="E3872" s="15"/>
      <c r="F3872" s="11">
        <f t="shared" si="31"/>
      </c>
      <c r="G3872" s="22" cm="1">
        <f t="array" ref="G3872">IF(AND(Inputs!$C$60,Inputs!$C$61),INDEX(Utility_Rates!$C$29:$F$52,HOUR(C3872)+Inputs!$C$69,MATCH(INDEX(Utility_Rates!$K$6:$K$17,MONTH(C3872))&amp;IF(WEEKDAY(C3872,Inputs!$C$76)&lt;=Inputs!$C$74," weekday"," weekend"),Utility_Rates!$C$28:$F$28,Inputs!$C$68)),"")</f>
      </c>
      <c r="H3872" s="34"/>
      <c r="I3872" s="42">
        <f>IF(AND(ISNUMBER(D3872),ISNUMBER(H3872)),D3872*H3872*Inputs!$C$69,"")</f>
      </c>
      <c r="J3872" s="42">
        <f>IF(AND(ISNUMBER(F3872),ISNUMBER(H3872),F3872&gt;=Inputs!$C$68),F3872*H3872*Inputs!$C$69,"")</f>
      </c>
    </row>
    <row r="3873" spans="2:10" ht="15" customHeight="1" x14ac:dyDescent="0.2">
      <c r="B3873" s="39">
        <f t="shared" si="30"/>
      </c>
      <c r="C3873" s="40">
        <f>IF(Inputs!$C$60,Inputs!$C$11+(B3873-Inputs!$C$69)/Inputs!$C$70,"")</f>
      </c>
      <c r="D3873" s="15"/>
      <c r="E3873" s="15"/>
      <c r="F3873" s="11">
        <f t="shared" si="31"/>
      </c>
      <c r="G3873" s="22" cm="1">
        <f t="array" ref="G3873">IF(AND(Inputs!$C$60,Inputs!$C$61),INDEX(Utility_Rates!$C$29:$F$52,HOUR(C3873)+Inputs!$C$69,MATCH(INDEX(Utility_Rates!$K$6:$K$17,MONTH(C3873))&amp;IF(WEEKDAY(C3873,Inputs!$C$76)&lt;=Inputs!$C$74," weekday"," weekend"),Utility_Rates!$C$28:$F$28,Inputs!$C$68)),"")</f>
      </c>
      <c r="H3873" s="34"/>
      <c r="I3873" s="42">
        <f>IF(AND(ISNUMBER(D3873),ISNUMBER(H3873)),D3873*H3873*Inputs!$C$69,"")</f>
      </c>
      <c r="J3873" s="42">
        <f>IF(AND(ISNUMBER(F3873),ISNUMBER(H3873),F3873&gt;=Inputs!$C$68),F3873*H3873*Inputs!$C$69,"")</f>
      </c>
    </row>
    <row r="3874" spans="2:10" ht="15" customHeight="1" x14ac:dyDescent="0.2">
      <c r="B3874" s="39">
        <f t="shared" si="30"/>
      </c>
      <c r="C3874" s="40">
        <f>IF(Inputs!$C$60,Inputs!$C$11+(B3874-Inputs!$C$69)/Inputs!$C$70,"")</f>
      </c>
      <c r="D3874" s="15"/>
      <c r="E3874" s="15"/>
      <c r="F3874" s="11">
        <f t="shared" si="31"/>
      </c>
      <c r="G3874" s="22" cm="1">
        <f t="array" ref="G3874">IF(AND(Inputs!$C$60,Inputs!$C$61),INDEX(Utility_Rates!$C$29:$F$52,HOUR(C3874)+Inputs!$C$69,MATCH(INDEX(Utility_Rates!$K$6:$K$17,MONTH(C3874))&amp;IF(WEEKDAY(C3874,Inputs!$C$76)&lt;=Inputs!$C$74," weekday"," weekend"),Utility_Rates!$C$28:$F$28,Inputs!$C$68)),"")</f>
      </c>
      <c r="H3874" s="34"/>
      <c r="I3874" s="42">
        <f>IF(AND(ISNUMBER(D3874),ISNUMBER(H3874)),D3874*H3874*Inputs!$C$69,"")</f>
      </c>
      <c r="J3874" s="42">
        <f>IF(AND(ISNUMBER(F3874),ISNUMBER(H3874),F3874&gt;=Inputs!$C$68),F3874*H3874*Inputs!$C$69,"")</f>
      </c>
    </row>
    <row r="3875" spans="2:10" ht="15" customHeight="1" x14ac:dyDescent="0.2">
      <c r="B3875" s="39">
        <f t="shared" si="30"/>
      </c>
      <c r="C3875" s="40">
        <f>IF(Inputs!$C$60,Inputs!$C$11+(B3875-Inputs!$C$69)/Inputs!$C$70,"")</f>
      </c>
      <c r="D3875" s="15"/>
      <c r="E3875" s="15"/>
      <c r="F3875" s="11">
        <f t="shared" si="31"/>
      </c>
      <c r="G3875" s="22" cm="1">
        <f t="array" ref="G3875">IF(AND(Inputs!$C$60,Inputs!$C$61),INDEX(Utility_Rates!$C$29:$F$52,HOUR(C3875)+Inputs!$C$69,MATCH(INDEX(Utility_Rates!$K$6:$K$17,MONTH(C3875))&amp;IF(WEEKDAY(C3875,Inputs!$C$76)&lt;=Inputs!$C$74," weekday"," weekend"),Utility_Rates!$C$28:$F$28,Inputs!$C$68)),"")</f>
      </c>
      <c r="H3875" s="34"/>
      <c r="I3875" s="42">
        <f>IF(AND(ISNUMBER(D3875),ISNUMBER(H3875)),D3875*H3875*Inputs!$C$69,"")</f>
      </c>
      <c r="J3875" s="42">
        <f>IF(AND(ISNUMBER(F3875),ISNUMBER(H3875),F3875&gt;=Inputs!$C$68),F3875*H3875*Inputs!$C$69,"")</f>
      </c>
    </row>
    <row r="3876" spans="2:10" ht="15" customHeight="1" x14ac:dyDescent="0.2">
      <c r="B3876" s="39">
        <f t="shared" si="30"/>
      </c>
      <c r="C3876" s="40">
        <f>IF(Inputs!$C$60,Inputs!$C$11+(B3876-Inputs!$C$69)/Inputs!$C$70,"")</f>
      </c>
      <c r="D3876" s="15"/>
      <c r="E3876" s="15"/>
      <c r="F3876" s="11">
        <f t="shared" si="31"/>
      </c>
      <c r="G3876" s="22" cm="1">
        <f t="array" ref="G3876">IF(AND(Inputs!$C$60,Inputs!$C$61),INDEX(Utility_Rates!$C$29:$F$52,HOUR(C3876)+Inputs!$C$69,MATCH(INDEX(Utility_Rates!$K$6:$K$17,MONTH(C3876))&amp;IF(WEEKDAY(C3876,Inputs!$C$76)&lt;=Inputs!$C$74," weekday"," weekend"),Utility_Rates!$C$28:$F$28,Inputs!$C$68)),"")</f>
      </c>
      <c r="H3876" s="34"/>
      <c r="I3876" s="42">
        <f>IF(AND(ISNUMBER(D3876),ISNUMBER(H3876)),D3876*H3876*Inputs!$C$69,"")</f>
      </c>
      <c r="J3876" s="42">
        <f>IF(AND(ISNUMBER(F3876),ISNUMBER(H3876),F3876&gt;=Inputs!$C$68),F3876*H3876*Inputs!$C$69,"")</f>
      </c>
    </row>
    <row r="3877" spans="2:10" ht="15" customHeight="1" x14ac:dyDescent="0.2">
      <c r="B3877" s="39">
        <f t="shared" si="30"/>
      </c>
      <c r="C3877" s="40">
        <f>IF(Inputs!$C$60,Inputs!$C$11+(B3877-Inputs!$C$69)/Inputs!$C$70,"")</f>
      </c>
      <c r="D3877" s="15"/>
      <c r="E3877" s="15"/>
      <c r="F3877" s="11">
        <f t="shared" si="31"/>
      </c>
      <c r="G3877" s="22" cm="1">
        <f t="array" ref="G3877">IF(AND(Inputs!$C$60,Inputs!$C$61),INDEX(Utility_Rates!$C$29:$F$52,HOUR(C3877)+Inputs!$C$69,MATCH(INDEX(Utility_Rates!$K$6:$K$17,MONTH(C3877))&amp;IF(WEEKDAY(C3877,Inputs!$C$76)&lt;=Inputs!$C$74," weekday"," weekend"),Utility_Rates!$C$28:$F$28,Inputs!$C$68)),"")</f>
      </c>
      <c r="H3877" s="34"/>
      <c r="I3877" s="42">
        <f>IF(AND(ISNUMBER(D3877),ISNUMBER(H3877)),D3877*H3877*Inputs!$C$69,"")</f>
      </c>
      <c r="J3877" s="42">
        <f>IF(AND(ISNUMBER(F3877),ISNUMBER(H3877),F3877&gt;=Inputs!$C$68),F3877*H3877*Inputs!$C$69,"")</f>
      </c>
    </row>
    <row r="3878" spans="2:10" ht="15" customHeight="1" x14ac:dyDescent="0.2">
      <c r="B3878" s="39">
        <f t="shared" si="30"/>
      </c>
      <c r="C3878" s="40">
        <f>IF(Inputs!$C$60,Inputs!$C$11+(B3878-Inputs!$C$69)/Inputs!$C$70,"")</f>
      </c>
      <c r="D3878" s="15"/>
      <c r="E3878" s="15"/>
      <c r="F3878" s="11">
        <f t="shared" si="31"/>
      </c>
      <c r="G3878" s="22" cm="1">
        <f t="array" ref="G3878">IF(AND(Inputs!$C$60,Inputs!$C$61),INDEX(Utility_Rates!$C$29:$F$52,HOUR(C3878)+Inputs!$C$69,MATCH(INDEX(Utility_Rates!$K$6:$K$17,MONTH(C3878))&amp;IF(WEEKDAY(C3878,Inputs!$C$76)&lt;=Inputs!$C$74," weekday"," weekend"),Utility_Rates!$C$28:$F$28,Inputs!$C$68)),"")</f>
      </c>
      <c r="H3878" s="34"/>
      <c r="I3878" s="42">
        <f>IF(AND(ISNUMBER(D3878),ISNUMBER(H3878)),D3878*H3878*Inputs!$C$69,"")</f>
      </c>
      <c r="J3878" s="42">
        <f>IF(AND(ISNUMBER(F3878),ISNUMBER(H3878),F3878&gt;=Inputs!$C$68),F3878*H3878*Inputs!$C$69,"")</f>
      </c>
    </row>
    <row r="3879" spans="2:10" ht="15" customHeight="1" x14ac:dyDescent="0.2">
      <c r="B3879" s="39">
        <f t="shared" si="30"/>
      </c>
      <c r="C3879" s="40">
        <f>IF(Inputs!$C$60,Inputs!$C$11+(B3879-Inputs!$C$69)/Inputs!$C$70,"")</f>
      </c>
      <c r="D3879" s="15"/>
      <c r="E3879" s="15"/>
      <c r="F3879" s="11">
        <f t="shared" si="31"/>
      </c>
      <c r="G3879" s="22" cm="1">
        <f t="array" ref="G3879">IF(AND(Inputs!$C$60,Inputs!$C$61),INDEX(Utility_Rates!$C$29:$F$52,HOUR(C3879)+Inputs!$C$69,MATCH(INDEX(Utility_Rates!$K$6:$K$17,MONTH(C3879))&amp;IF(WEEKDAY(C3879,Inputs!$C$76)&lt;=Inputs!$C$74," weekday"," weekend"),Utility_Rates!$C$28:$F$28,Inputs!$C$68)),"")</f>
      </c>
      <c r="H3879" s="34"/>
      <c r="I3879" s="42">
        <f>IF(AND(ISNUMBER(D3879),ISNUMBER(H3879)),D3879*H3879*Inputs!$C$69,"")</f>
      </c>
      <c r="J3879" s="42">
        <f>IF(AND(ISNUMBER(F3879),ISNUMBER(H3879),F3879&gt;=Inputs!$C$68),F3879*H3879*Inputs!$C$69,"")</f>
      </c>
    </row>
    <row r="3880" spans="2:10" ht="15" customHeight="1" x14ac:dyDescent="0.2">
      <c r="B3880" s="39">
        <f t="shared" si="30"/>
      </c>
      <c r="C3880" s="40">
        <f>IF(Inputs!$C$60,Inputs!$C$11+(B3880-Inputs!$C$69)/Inputs!$C$70,"")</f>
      </c>
      <c r="D3880" s="15"/>
      <c r="E3880" s="15"/>
      <c r="F3880" s="11">
        <f t="shared" si="31"/>
      </c>
      <c r="G3880" s="22" cm="1">
        <f t="array" ref="G3880">IF(AND(Inputs!$C$60,Inputs!$C$61),INDEX(Utility_Rates!$C$29:$F$52,HOUR(C3880)+Inputs!$C$69,MATCH(INDEX(Utility_Rates!$K$6:$K$17,MONTH(C3880))&amp;IF(WEEKDAY(C3880,Inputs!$C$76)&lt;=Inputs!$C$74," weekday"," weekend"),Utility_Rates!$C$28:$F$28,Inputs!$C$68)),"")</f>
      </c>
      <c r="H3880" s="34"/>
      <c r="I3880" s="42">
        <f>IF(AND(ISNUMBER(D3880),ISNUMBER(H3880)),D3880*H3880*Inputs!$C$69,"")</f>
      </c>
      <c r="J3880" s="42">
        <f>IF(AND(ISNUMBER(F3880),ISNUMBER(H3880),F3880&gt;=Inputs!$C$68),F3880*H3880*Inputs!$C$69,"")</f>
      </c>
    </row>
    <row r="3881" spans="2:10" ht="15" customHeight="1" x14ac:dyDescent="0.2">
      <c r="B3881" s="39">
        <f t="shared" si="30"/>
      </c>
      <c r="C3881" s="40">
        <f>IF(Inputs!$C$60,Inputs!$C$11+(B3881-Inputs!$C$69)/Inputs!$C$70,"")</f>
      </c>
      <c r="D3881" s="15"/>
      <c r="E3881" s="15"/>
      <c r="F3881" s="11">
        <f t="shared" si="31"/>
      </c>
      <c r="G3881" s="22" cm="1">
        <f t="array" ref="G3881">IF(AND(Inputs!$C$60,Inputs!$C$61),INDEX(Utility_Rates!$C$29:$F$52,HOUR(C3881)+Inputs!$C$69,MATCH(INDEX(Utility_Rates!$K$6:$K$17,MONTH(C3881))&amp;IF(WEEKDAY(C3881,Inputs!$C$76)&lt;=Inputs!$C$74," weekday"," weekend"),Utility_Rates!$C$28:$F$28,Inputs!$C$68)),"")</f>
      </c>
      <c r="H3881" s="34"/>
      <c r="I3881" s="42">
        <f>IF(AND(ISNUMBER(D3881),ISNUMBER(H3881)),D3881*H3881*Inputs!$C$69,"")</f>
      </c>
      <c r="J3881" s="42">
        <f>IF(AND(ISNUMBER(F3881),ISNUMBER(H3881),F3881&gt;=Inputs!$C$68),F3881*H3881*Inputs!$C$69,"")</f>
      </c>
    </row>
    <row r="3882" spans="2:10" ht="15" customHeight="1" x14ac:dyDescent="0.2">
      <c r="B3882" s="39">
        <f t="shared" si="30"/>
      </c>
      <c r="C3882" s="40">
        <f>IF(Inputs!$C$60,Inputs!$C$11+(B3882-Inputs!$C$69)/Inputs!$C$70,"")</f>
      </c>
      <c r="D3882" s="15"/>
      <c r="E3882" s="15"/>
      <c r="F3882" s="11">
        <f t="shared" si="31"/>
      </c>
      <c r="G3882" s="22" cm="1">
        <f t="array" ref="G3882">IF(AND(Inputs!$C$60,Inputs!$C$61),INDEX(Utility_Rates!$C$29:$F$52,HOUR(C3882)+Inputs!$C$69,MATCH(INDEX(Utility_Rates!$K$6:$K$17,MONTH(C3882))&amp;IF(WEEKDAY(C3882,Inputs!$C$76)&lt;=Inputs!$C$74," weekday"," weekend"),Utility_Rates!$C$28:$F$28,Inputs!$C$68)),"")</f>
      </c>
      <c r="H3882" s="34"/>
      <c r="I3882" s="42">
        <f>IF(AND(ISNUMBER(D3882),ISNUMBER(H3882)),D3882*H3882*Inputs!$C$69,"")</f>
      </c>
      <c r="J3882" s="42">
        <f>IF(AND(ISNUMBER(F3882),ISNUMBER(H3882),F3882&gt;=Inputs!$C$68),F3882*H3882*Inputs!$C$69,"")</f>
      </c>
    </row>
    <row r="3883" spans="2:10" ht="15" customHeight="1" x14ac:dyDescent="0.2">
      <c r="B3883" s="39">
        <f t="shared" si="30"/>
      </c>
      <c r="C3883" s="40">
        <f>IF(Inputs!$C$60,Inputs!$C$11+(B3883-Inputs!$C$69)/Inputs!$C$70,"")</f>
      </c>
      <c r="D3883" s="15"/>
      <c r="E3883" s="15"/>
      <c r="F3883" s="11">
        <f t="shared" si="31"/>
      </c>
      <c r="G3883" s="22" cm="1">
        <f t="array" ref="G3883">IF(AND(Inputs!$C$60,Inputs!$C$61),INDEX(Utility_Rates!$C$29:$F$52,HOUR(C3883)+Inputs!$C$69,MATCH(INDEX(Utility_Rates!$K$6:$K$17,MONTH(C3883))&amp;IF(WEEKDAY(C3883,Inputs!$C$76)&lt;=Inputs!$C$74," weekday"," weekend"),Utility_Rates!$C$28:$F$28,Inputs!$C$68)),"")</f>
      </c>
      <c r="H3883" s="34"/>
      <c r="I3883" s="42">
        <f>IF(AND(ISNUMBER(D3883),ISNUMBER(H3883)),D3883*H3883*Inputs!$C$69,"")</f>
      </c>
      <c r="J3883" s="42">
        <f>IF(AND(ISNUMBER(F3883),ISNUMBER(H3883),F3883&gt;=Inputs!$C$68),F3883*H3883*Inputs!$C$69,"")</f>
      </c>
    </row>
    <row r="3884" spans="2:10" ht="15" customHeight="1" x14ac:dyDescent="0.2">
      <c r="B3884" s="39">
        <f t="shared" si="30"/>
      </c>
      <c r="C3884" s="40">
        <f>IF(Inputs!$C$60,Inputs!$C$11+(B3884-Inputs!$C$69)/Inputs!$C$70,"")</f>
      </c>
      <c r="D3884" s="15"/>
      <c r="E3884" s="15"/>
      <c r="F3884" s="11">
        <f t="shared" si="31"/>
      </c>
      <c r="G3884" s="22" cm="1">
        <f t="array" ref="G3884">IF(AND(Inputs!$C$60,Inputs!$C$61),INDEX(Utility_Rates!$C$29:$F$52,HOUR(C3884)+Inputs!$C$69,MATCH(INDEX(Utility_Rates!$K$6:$K$17,MONTH(C3884))&amp;IF(WEEKDAY(C3884,Inputs!$C$76)&lt;=Inputs!$C$74," weekday"," weekend"),Utility_Rates!$C$28:$F$28,Inputs!$C$68)),"")</f>
      </c>
      <c r="H3884" s="34"/>
      <c r="I3884" s="42">
        <f>IF(AND(ISNUMBER(D3884),ISNUMBER(H3884)),D3884*H3884*Inputs!$C$69,"")</f>
      </c>
      <c r="J3884" s="42">
        <f>IF(AND(ISNUMBER(F3884),ISNUMBER(H3884),F3884&gt;=Inputs!$C$68),F3884*H3884*Inputs!$C$69,"")</f>
      </c>
    </row>
    <row r="3885" spans="2:10" ht="15" customHeight="1" x14ac:dyDescent="0.2">
      <c r="B3885" s="39">
        <f t="shared" si="30"/>
      </c>
      <c r="C3885" s="40">
        <f>IF(Inputs!$C$60,Inputs!$C$11+(B3885-Inputs!$C$69)/Inputs!$C$70,"")</f>
      </c>
      <c r="D3885" s="15"/>
      <c r="E3885" s="15"/>
      <c r="F3885" s="11">
        <f t="shared" si="31"/>
      </c>
      <c r="G3885" s="22" cm="1">
        <f t="array" ref="G3885">IF(AND(Inputs!$C$60,Inputs!$C$61),INDEX(Utility_Rates!$C$29:$F$52,HOUR(C3885)+Inputs!$C$69,MATCH(INDEX(Utility_Rates!$K$6:$K$17,MONTH(C3885))&amp;IF(WEEKDAY(C3885,Inputs!$C$76)&lt;=Inputs!$C$74," weekday"," weekend"),Utility_Rates!$C$28:$F$28,Inputs!$C$68)),"")</f>
      </c>
      <c r="H3885" s="34"/>
      <c r="I3885" s="42">
        <f>IF(AND(ISNUMBER(D3885),ISNUMBER(H3885)),D3885*H3885*Inputs!$C$69,"")</f>
      </c>
      <c r="J3885" s="42">
        <f>IF(AND(ISNUMBER(F3885),ISNUMBER(H3885),F3885&gt;=Inputs!$C$68),F3885*H3885*Inputs!$C$69,"")</f>
      </c>
    </row>
    <row r="3886" spans="2:10" ht="15" customHeight="1" x14ac:dyDescent="0.2">
      <c r="B3886" s="39">
        <f t="shared" si="30"/>
      </c>
      <c r="C3886" s="40">
        <f>IF(Inputs!$C$60,Inputs!$C$11+(B3886-Inputs!$C$69)/Inputs!$C$70,"")</f>
      </c>
      <c r="D3886" s="15"/>
      <c r="E3886" s="15"/>
      <c r="F3886" s="11">
        <f t="shared" si="31"/>
      </c>
      <c r="G3886" s="22" cm="1">
        <f t="array" ref="G3886">IF(AND(Inputs!$C$60,Inputs!$C$61),INDEX(Utility_Rates!$C$29:$F$52,HOUR(C3886)+Inputs!$C$69,MATCH(INDEX(Utility_Rates!$K$6:$K$17,MONTH(C3886))&amp;IF(WEEKDAY(C3886,Inputs!$C$76)&lt;=Inputs!$C$74," weekday"," weekend"),Utility_Rates!$C$28:$F$28,Inputs!$C$68)),"")</f>
      </c>
      <c r="H3886" s="34"/>
      <c r="I3886" s="42">
        <f>IF(AND(ISNUMBER(D3886),ISNUMBER(H3886)),D3886*H3886*Inputs!$C$69,"")</f>
      </c>
      <c r="J3886" s="42">
        <f>IF(AND(ISNUMBER(F3886),ISNUMBER(H3886),F3886&gt;=Inputs!$C$68),F3886*H3886*Inputs!$C$69,"")</f>
      </c>
    </row>
    <row r="3887" spans="2:10" ht="15" customHeight="1" x14ac:dyDescent="0.2">
      <c r="B3887" s="39">
        <f t="shared" si="30"/>
      </c>
      <c r="C3887" s="40">
        <f>IF(Inputs!$C$60,Inputs!$C$11+(B3887-Inputs!$C$69)/Inputs!$C$70,"")</f>
      </c>
      <c r="D3887" s="15"/>
      <c r="E3887" s="15"/>
      <c r="F3887" s="11">
        <f t="shared" si="31"/>
      </c>
      <c r="G3887" s="22" cm="1">
        <f t="array" ref="G3887">IF(AND(Inputs!$C$60,Inputs!$C$61),INDEX(Utility_Rates!$C$29:$F$52,HOUR(C3887)+Inputs!$C$69,MATCH(INDEX(Utility_Rates!$K$6:$K$17,MONTH(C3887))&amp;IF(WEEKDAY(C3887,Inputs!$C$76)&lt;=Inputs!$C$74," weekday"," weekend"),Utility_Rates!$C$28:$F$28,Inputs!$C$68)),"")</f>
      </c>
      <c r="H3887" s="34"/>
      <c r="I3887" s="42">
        <f>IF(AND(ISNUMBER(D3887),ISNUMBER(H3887)),D3887*H3887*Inputs!$C$69,"")</f>
      </c>
      <c r="J3887" s="42">
        <f>IF(AND(ISNUMBER(F3887),ISNUMBER(H3887),F3887&gt;=Inputs!$C$68),F3887*H3887*Inputs!$C$69,"")</f>
      </c>
    </row>
    <row r="3888" spans="2:10" ht="15" customHeight="1" x14ac:dyDescent="0.2">
      <c r="B3888" s="39">
        <f t="shared" si="30"/>
      </c>
      <c r="C3888" s="40">
        <f>IF(Inputs!$C$60,Inputs!$C$11+(B3888-Inputs!$C$69)/Inputs!$C$70,"")</f>
      </c>
      <c r="D3888" s="15"/>
      <c r="E3888" s="15"/>
      <c r="F3888" s="11">
        <f t="shared" si="31"/>
      </c>
      <c r="G3888" s="22" cm="1">
        <f t="array" ref="G3888">IF(AND(Inputs!$C$60,Inputs!$C$61),INDEX(Utility_Rates!$C$29:$F$52,HOUR(C3888)+Inputs!$C$69,MATCH(INDEX(Utility_Rates!$K$6:$K$17,MONTH(C3888))&amp;IF(WEEKDAY(C3888,Inputs!$C$76)&lt;=Inputs!$C$74," weekday"," weekend"),Utility_Rates!$C$28:$F$28,Inputs!$C$68)),"")</f>
      </c>
      <c r="H3888" s="34"/>
      <c r="I3888" s="42">
        <f>IF(AND(ISNUMBER(D3888),ISNUMBER(H3888)),D3888*H3888*Inputs!$C$69,"")</f>
      </c>
      <c r="J3888" s="42">
        <f>IF(AND(ISNUMBER(F3888),ISNUMBER(H3888),F3888&gt;=Inputs!$C$68),F3888*H3888*Inputs!$C$69,"")</f>
      </c>
    </row>
    <row r="3889" spans="2:10" ht="15" customHeight="1" x14ac:dyDescent="0.2">
      <c r="B3889" s="39">
        <f t="shared" si="30"/>
      </c>
      <c r="C3889" s="40">
        <f>IF(Inputs!$C$60,Inputs!$C$11+(B3889-Inputs!$C$69)/Inputs!$C$70,"")</f>
      </c>
      <c r="D3889" s="15"/>
      <c r="E3889" s="15"/>
      <c r="F3889" s="11">
        <f t="shared" si="31"/>
      </c>
      <c r="G3889" s="22" cm="1">
        <f t="array" ref="G3889">IF(AND(Inputs!$C$60,Inputs!$C$61),INDEX(Utility_Rates!$C$29:$F$52,HOUR(C3889)+Inputs!$C$69,MATCH(INDEX(Utility_Rates!$K$6:$K$17,MONTH(C3889))&amp;IF(WEEKDAY(C3889,Inputs!$C$76)&lt;=Inputs!$C$74," weekday"," weekend"),Utility_Rates!$C$28:$F$28,Inputs!$C$68)),"")</f>
      </c>
      <c r="H3889" s="34"/>
      <c r="I3889" s="42">
        <f>IF(AND(ISNUMBER(D3889),ISNUMBER(H3889)),D3889*H3889*Inputs!$C$69,"")</f>
      </c>
      <c r="J3889" s="42">
        <f>IF(AND(ISNUMBER(F3889),ISNUMBER(H3889),F3889&gt;=Inputs!$C$68),F3889*H3889*Inputs!$C$69,"")</f>
      </c>
    </row>
    <row r="3890" spans="2:10" ht="15" customHeight="1" x14ac:dyDescent="0.2">
      <c r="B3890" s="39">
        <f t="shared" si="30"/>
      </c>
      <c r="C3890" s="40">
        <f>IF(Inputs!$C$60,Inputs!$C$11+(B3890-Inputs!$C$69)/Inputs!$C$70,"")</f>
      </c>
      <c r="D3890" s="15"/>
      <c r="E3890" s="15"/>
      <c r="F3890" s="11">
        <f t="shared" si="31"/>
      </c>
      <c r="G3890" s="22" cm="1">
        <f t="array" ref="G3890">IF(AND(Inputs!$C$60,Inputs!$C$61),INDEX(Utility_Rates!$C$29:$F$52,HOUR(C3890)+Inputs!$C$69,MATCH(INDEX(Utility_Rates!$K$6:$K$17,MONTH(C3890))&amp;IF(WEEKDAY(C3890,Inputs!$C$76)&lt;=Inputs!$C$74," weekday"," weekend"),Utility_Rates!$C$28:$F$28,Inputs!$C$68)),"")</f>
      </c>
      <c r="H3890" s="34"/>
      <c r="I3890" s="42">
        <f>IF(AND(ISNUMBER(D3890),ISNUMBER(H3890)),D3890*H3890*Inputs!$C$69,"")</f>
      </c>
      <c r="J3890" s="42">
        <f>IF(AND(ISNUMBER(F3890),ISNUMBER(H3890),F3890&gt;=Inputs!$C$68),F3890*H3890*Inputs!$C$69,"")</f>
      </c>
    </row>
    <row r="3891" spans="2:10" ht="15" customHeight="1" x14ac:dyDescent="0.2">
      <c r="B3891" s="39">
        <f t="shared" si="30"/>
      </c>
      <c r="C3891" s="40">
        <f>IF(Inputs!$C$60,Inputs!$C$11+(B3891-Inputs!$C$69)/Inputs!$C$70,"")</f>
      </c>
      <c r="D3891" s="15"/>
      <c r="E3891" s="15"/>
      <c r="F3891" s="11">
        <f t="shared" si="31"/>
      </c>
      <c r="G3891" s="22" cm="1">
        <f t="array" ref="G3891">IF(AND(Inputs!$C$60,Inputs!$C$61),INDEX(Utility_Rates!$C$29:$F$52,HOUR(C3891)+Inputs!$C$69,MATCH(INDEX(Utility_Rates!$K$6:$K$17,MONTH(C3891))&amp;IF(WEEKDAY(C3891,Inputs!$C$76)&lt;=Inputs!$C$74," weekday"," weekend"),Utility_Rates!$C$28:$F$28,Inputs!$C$68)),"")</f>
      </c>
      <c r="H3891" s="34"/>
      <c r="I3891" s="42">
        <f>IF(AND(ISNUMBER(D3891),ISNUMBER(H3891)),D3891*H3891*Inputs!$C$69,"")</f>
      </c>
      <c r="J3891" s="42">
        <f>IF(AND(ISNUMBER(F3891),ISNUMBER(H3891),F3891&gt;=Inputs!$C$68),F3891*H3891*Inputs!$C$69,"")</f>
      </c>
    </row>
    <row r="3892" spans="2:10" ht="15" customHeight="1" x14ac:dyDescent="0.2">
      <c r="B3892" s="39">
        <f t="shared" si="30"/>
      </c>
      <c r="C3892" s="40">
        <f>IF(Inputs!$C$60,Inputs!$C$11+(B3892-Inputs!$C$69)/Inputs!$C$70,"")</f>
      </c>
      <c r="D3892" s="15"/>
      <c r="E3892" s="15"/>
      <c r="F3892" s="11">
        <f t="shared" si="31"/>
      </c>
      <c r="G3892" s="22" cm="1">
        <f t="array" ref="G3892">IF(AND(Inputs!$C$60,Inputs!$C$61),INDEX(Utility_Rates!$C$29:$F$52,HOUR(C3892)+Inputs!$C$69,MATCH(INDEX(Utility_Rates!$K$6:$K$17,MONTH(C3892))&amp;IF(WEEKDAY(C3892,Inputs!$C$76)&lt;=Inputs!$C$74," weekday"," weekend"),Utility_Rates!$C$28:$F$28,Inputs!$C$68)),"")</f>
      </c>
      <c r="H3892" s="34"/>
      <c r="I3892" s="42">
        <f>IF(AND(ISNUMBER(D3892),ISNUMBER(H3892)),D3892*H3892*Inputs!$C$69,"")</f>
      </c>
      <c r="J3892" s="42">
        <f>IF(AND(ISNUMBER(F3892),ISNUMBER(H3892),F3892&gt;=Inputs!$C$68),F3892*H3892*Inputs!$C$69,"")</f>
      </c>
    </row>
    <row r="3893" spans="2:10" ht="15" customHeight="1" x14ac:dyDescent="0.2">
      <c r="B3893" s="39">
        <f t="shared" si="30"/>
      </c>
      <c r="C3893" s="40">
        <f>IF(Inputs!$C$60,Inputs!$C$11+(B3893-Inputs!$C$69)/Inputs!$C$70,"")</f>
      </c>
      <c r="D3893" s="15"/>
      <c r="E3893" s="15"/>
      <c r="F3893" s="11">
        <f t="shared" si="31"/>
      </c>
      <c r="G3893" s="22" cm="1">
        <f t="array" ref="G3893">IF(AND(Inputs!$C$60,Inputs!$C$61),INDEX(Utility_Rates!$C$29:$F$52,HOUR(C3893)+Inputs!$C$69,MATCH(INDEX(Utility_Rates!$K$6:$K$17,MONTH(C3893))&amp;IF(WEEKDAY(C3893,Inputs!$C$76)&lt;=Inputs!$C$74," weekday"," weekend"),Utility_Rates!$C$28:$F$28,Inputs!$C$68)),"")</f>
      </c>
      <c r="H3893" s="34"/>
      <c r="I3893" s="42">
        <f>IF(AND(ISNUMBER(D3893),ISNUMBER(H3893)),D3893*H3893*Inputs!$C$69,"")</f>
      </c>
      <c r="J3893" s="42">
        <f>IF(AND(ISNUMBER(F3893),ISNUMBER(H3893),F3893&gt;=Inputs!$C$68),F3893*H3893*Inputs!$C$69,"")</f>
      </c>
    </row>
    <row r="3894" spans="2:10" ht="15" customHeight="1" x14ac:dyDescent="0.2">
      <c r="B3894" s="39">
        <f t="shared" si="30"/>
      </c>
      <c r="C3894" s="40">
        <f>IF(Inputs!$C$60,Inputs!$C$11+(B3894-Inputs!$C$69)/Inputs!$C$70,"")</f>
      </c>
      <c r="D3894" s="15"/>
      <c r="E3894" s="15"/>
      <c r="F3894" s="11">
        <f t="shared" si="31"/>
      </c>
      <c r="G3894" s="22" cm="1">
        <f t="array" ref="G3894">IF(AND(Inputs!$C$60,Inputs!$C$61),INDEX(Utility_Rates!$C$29:$F$52,HOUR(C3894)+Inputs!$C$69,MATCH(INDEX(Utility_Rates!$K$6:$K$17,MONTH(C3894))&amp;IF(WEEKDAY(C3894,Inputs!$C$76)&lt;=Inputs!$C$74," weekday"," weekend"),Utility_Rates!$C$28:$F$28,Inputs!$C$68)),"")</f>
      </c>
      <c r="H3894" s="34"/>
      <c r="I3894" s="42">
        <f>IF(AND(ISNUMBER(D3894),ISNUMBER(H3894)),D3894*H3894*Inputs!$C$69,"")</f>
      </c>
      <c r="J3894" s="42">
        <f>IF(AND(ISNUMBER(F3894),ISNUMBER(H3894),F3894&gt;=Inputs!$C$68),F3894*H3894*Inputs!$C$69,"")</f>
      </c>
    </row>
    <row r="3895" spans="2:10" ht="15" customHeight="1" x14ac:dyDescent="0.2">
      <c r="B3895" s="39">
        <f t="shared" si="30"/>
      </c>
      <c r="C3895" s="40">
        <f>IF(Inputs!$C$60,Inputs!$C$11+(B3895-Inputs!$C$69)/Inputs!$C$70,"")</f>
      </c>
      <c r="D3895" s="15"/>
      <c r="E3895" s="15"/>
      <c r="F3895" s="11">
        <f t="shared" si="31"/>
      </c>
      <c r="G3895" s="22" cm="1">
        <f t="array" ref="G3895">IF(AND(Inputs!$C$60,Inputs!$C$61),INDEX(Utility_Rates!$C$29:$F$52,HOUR(C3895)+Inputs!$C$69,MATCH(INDEX(Utility_Rates!$K$6:$K$17,MONTH(C3895))&amp;IF(WEEKDAY(C3895,Inputs!$C$76)&lt;=Inputs!$C$74," weekday"," weekend"),Utility_Rates!$C$28:$F$28,Inputs!$C$68)),"")</f>
      </c>
      <c r="H3895" s="34"/>
      <c r="I3895" s="42">
        <f>IF(AND(ISNUMBER(D3895),ISNUMBER(H3895)),D3895*H3895*Inputs!$C$69,"")</f>
      </c>
      <c r="J3895" s="42">
        <f>IF(AND(ISNUMBER(F3895),ISNUMBER(H3895),F3895&gt;=Inputs!$C$68),F3895*H3895*Inputs!$C$69,"")</f>
      </c>
    </row>
    <row r="3896" spans="2:10" ht="15" customHeight="1" x14ac:dyDescent="0.2">
      <c r="B3896" s="39">
        <f t="shared" si="30"/>
      </c>
      <c r="C3896" s="40">
        <f>IF(Inputs!$C$60,Inputs!$C$11+(B3896-Inputs!$C$69)/Inputs!$C$70,"")</f>
      </c>
      <c r="D3896" s="15"/>
      <c r="E3896" s="15"/>
      <c r="F3896" s="11">
        <f t="shared" si="31"/>
      </c>
      <c r="G3896" s="22" cm="1">
        <f t="array" ref="G3896">IF(AND(Inputs!$C$60,Inputs!$C$61),INDEX(Utility_Rates!$C$29:$F$52,HOUR(C3896)+Inputs!$C$69,MATCH(INDEX(Utility_Rates!$K$6:$K$17,MONTH(C3896))&amp;IF(WEEKDAY(C3896,Inputs!$C$76)&lt;=Inputs!$C$74," weekday"," weekend"),Utility_Rates!$C$28:$F$28,Inputs!$C$68)),"")</f>
      </c>
      <c r="H3896" s="34"/>
      <c r="I3896" s="42">
        <f>IF(AND(ISNUMBER(D3896),ISNUMBER(H3896)),D3896*H3896*Inputs!$C$69,"")</f>
      </c>
      <c r="J3896" s="42">
        <f>IF(AND(ISNUMBER(F3896),ISNUMBER(H3896),F3896&gt;=Inputs!$C$68),F3896*H3896*Inputs!$C$69,"")</f>
      </c>
    </row>
    <row r="3897" spans="2:10" ht="15" customHeight="1" x14ac:dyDescent="0.2">
      <c r="B3897" s="39">
        <f t="shared" si="30"/>
      </c>
      <c r="C3897" s="40">
        <f>IF(Inputs!$C$60,Inputs!$C$11+(B3897-Inputs!$C$69)/Inputs!$C$70,"")</f>
      </c>
      <c r="D3897" s="15"/>
      <c r="E3897" s="15"/>
      <c r="F3897" s="11">
        <f t="shared" si="31"/>
      </c>
      <c r="G3897" s="22" cm="1">
        <f t="array" ref="G3897">IF(AND(Inputs!$C$60,Inputs!$C$61),INDEX(Utility_Rates!$C$29:$F$52,HOUR(C3897)+Inputs!$C$69,MATCH(INDEX(Utility_Rates!$K$6:$K$17,MONTH(C3897))&amp;IF(WEEKDAY(C3897,Inputs!$C$76)&lt;=Inputs!$C$74," weekday"," weekend"),Utility_Rates!$C$28:$F$28,Inputs!$C$68)),"")</f>
      </c>
      <c r="H3897" s="34"/>
      <c r="I3897" s="42">
        <f>IF(AND(ISNUMBER(D3897),ISNUMBER(H3897)),D3897*H3897*Inputs!$C$69,"")</f>
      </c>
      <c r="J3897" s="42">
        <f>IF(AND(ISNUMBER(F3897),ISNUMBER(H3897),F3897&gt;=Inputs!$C$68),F3897*H3897*Inputs!$C$69,"")</f>
      </c>
    </row>
    <row r="3898" spans="2:10" ht="15" customHeight="1" x14ac:dyDescent="0.2">
      <c r="B3898" s="39">
        <f t="shared" si="30"/>
      </c>
      <c r="C3898" s="40">
        <f>IF(Inputs!$C$60,Inputs!$C$11+(B3898-Inputs!$C$69)/Inputs!$C$70,"")</f>
      </c>
      <c r="D3898" s="15"/>
      <c r="E3898" s="15"/>
      <c r="F3898" s="11">
        <f t="shared" si="31"/>
      </c>
      <c r="G3898" s="22" cm="1">
        <f t="array" ref="G3898">IF(AND(Inputs!$C$60,Inputs!$C$61),INDEX(Utility_Rates!$C$29:$F$52,HOUR(C3898)+Inputs!$C$69,MATCH(INDEX(Utility_Rates!$K$6:$K$17,MONTH(C3898))&amp;IF(WEEKDAY(C3898,Inputs!$C$76)&lt;=Inputs!$C$74," weekday"," weekend"),Utility_Rates!$C$28:$F$28,Inputs!$C$68)),"")</f>
      </c>
      <c r="H3898" s="34"/>
      <c r="I3898" s="42">
        <f>IF(AND(ISNUMBER(D3898),ISNUMBER(H3898)),D3898*H3898*Inputs!$C$69,"")</f>
      </c>
      <c r="J3898" s="42">
        <f>IF(AND(ISNUMBER(F3898),ISNUMBER(H3898),F3898&gt;=Inputs!$C$68),F3898*H3898*Inputs!$C$69,"")</f>
      </c>
    </row>
    <row r="3899" spans="2:10" ht="15" customHeight="1" x14ac:dyDescent="0.2">
      <c r="B3899" s="39">
        <f t="shared" si="30"/>
      </c>
      <c r="C3899" s="40">
        <f>IF(Inputs!$C$60,Inputs!$C$11+(B3899-Inputs!$C$69)/Inputs!$C$70,"")</f>
      </c>
      <c r="D3899" s="15"/>
      <c r="E3899" s="15"/>
      <c r="F3899" s="11">
        <f t="shared" si="31"/>
      </c>
      <c r="G3899" s="22" cm="1">
        <f t="array" ref="G3899">IF(AND(Inputs!$C$60,Inputs!$C$61),INDEX(Utility_Rates!$C$29:$F$52,HOUR(C3899)+Inputs!$C$69,MATCH(INDEX(Utility_Rates!$K$6:$K$17,MONTH(C3899))&amp;IF(WEEKDAY(C3899,Inputs!$C$76)&lt;=Inputs!$C$74," weekday"," weekend"),Utility_Rates!$C$28:$F$28,Inputs!$C$68)),"")</f>
      </c>
      <c r="H3899" s="34"/>
      <c r="I3899" s="42">
        <f>IF(AND(ISNUMBER(D3899),ISNUMBER(H3899)),D3899*H3899*Inputs!$C$69,"")</f>
      </c>
      <c r="J3899" s="42">
        <f>IF(AND(ISNUMBER(F3899),ISNUMBER(H3899),F3899&gt;=Inputs!$C$68),F3899*H3899*Inputs!$C$69,"")</f>
      </c>
    </row>
    <row r="3900" spans="2:10" ht="15" customHeight="1" x14ac:dyDescent="0.2">
      <c r="B3900" s="39">
        <f t="shared" si="30"/>
      </c>
      <c r="C3900" s="40">
        <f>IF(Inputs!$C$60,Inputs!$C$11+(B3900-Inputs!$C$69)/Inputs!$C$70,"")</f>
      </c>
      <c r="D3900" s="15"/>
      <c r="E3900" s="15"/>
      <c r="F3900" s="11">
        <f t="shared" si="31"/>
      </c>
      <c r="G3900" s="22" cm="1">
        <f t="array" ref="G3900">IF(AND(Inputs!$C$60,Inputs!$C$61),INDEX(Utility_Rates!$C$29:$F$52,HOUR(C3900)+Inputs!$C$69,MATCH(INDEX(Utility_Rates!$K$6:$K$17,MONTH(C3900))&amp;IF(WEEKDAY(C3900,Inputs!$C$76)&lt;=Inputs!$C$74," weekday"," weekend"),Utility_Rates!$C$28:$F$28,Inputs!$C$68)),"")</f>
      </c>
      <c r="H3900" s="34"/>
      <c r="I3900" s="42">
        <f>IF(AND(ISNUMBER(D3900),ISNUMBER(H3900)),D3900*H3900*Inputs!$C$69,"")</f>
      </c>
      <c r="J3900" s="42">
        <f>IF(AND(ISNUMBER(F3900),ISNUMBER(H3900),F3900&gt;=Inputs!$C$68),F3900*H3900*Inputs!$C$69,"")</f>
      </c>
    </row>
    <row r="3901" spans="2:10" ht="15" customHeight="1" x14ac:dyDescent="0.2">
      <c r="B3901" s="39">
        <f t="shared" si="30"/>
      </c>
      <c r="C3901" s="40">
        <f>IF(Inputs!$C$60,Inputs!$C$11+(B3901-Inputs!$C$69)/Inputs!$C$70,"")</f>
      </c>
      <c r="D3901" s="15"/>
      <c r="E3901" s="15"/>
      <c r="F3901" s="11">
        <f t="shared" si="31"/>
      </c>
      <c r="G3901" s="22" cm="1">
        <f t="array" ref="G3901">IF(AND(Inputs!$C$60,Inputs!$C$61),INDEX(Utility_Rates!$C$29:$F$52,HOUR(C3901)+Inputs!$C$69,MATCH(INDEX(Utility_Rates!$K$6:$K$17,MONTH(C3901))&amp;IF(WEEKDAY(C3901,Inputs!$C$76)&lt;=Inputs!$C$74," weekday"," weekend"),Utility_Rates!$C$28:$F$28,Inputs!$C$68)),"")</f>
      </c>
      <c r="H3901" s="34"/>
      <c r="I3901" s="42">
        <f>IF(AND(ISNUMBER(D3901),ISNUMBER(H3901)),D3901*H3901*Inputs!$C$69,"")</f>
      </c>
      <c r="J3901" s="42">
        <f>IF(AND(ISNUMBER(F3901),ISNUMBER(H3901),F3901&gt;=Inputs!$C$68),F3901*H3901*Inputs!$C$69,"")</f>
      </c>
    </row>
    <row r="3902" spans="2:10" ht="15" customHeight="1" x14ac:dyDescent="0.2">
      <c r="B3902" s="39">
        <f t="shared" si="30"/>
      </c>
      <c r="C3902" s="40">
        <f>IF(Inputs!$C$60,Inputs!$C$11+(B3902-Inputs!$C$69)/Inputs!$C$70,"")</f>
      </c>
      <c r="D3902" s="15"/>
      <c r="E3902" s="15"/>
      <c r="F3902" s="11">
        <f t="shared" si="31"/>
      </c>
      <c r="G3902" s="22" cm="1">
        <f t="array" ref="G3902">IF(AND(Inputs!$C$60,Inputs!$C$61),INDEX(Utility_Rates!$C$29:$F$52,HOUR(C3902)+Inputs!$C$69,MATCH(INDEX(Utility_Rates!$K$6:$K$17,MONTH(C3902))&amp;IF(WEEKDAY(C3902,Inputs!$C$76)&lt;=Inputs!$C$74," weekday"," weekend"),Utility_Rates!$C$28:$F$28,Inputs!$C$68)),"")</f>
      </c>
      <c r="H3902" s="34"/>
      <c r="I3902" s="42">
        <f>IF(AND(ISNUMBER(D3902),ISNUMBER(H3902)),D3902*H3902*Inputs!$C$69,"")</f>
      </c>
      <c r="J3902" s="42">
        <f>IF(AND(ISNUMBER(F3902),ISNUMBER(H3902),F3902&gt;=Inputs!$C$68),F3902*H3902*Inputs!$C$69,"")</f>
      </c>
    </row>
    <row r="3903" spans="2:10" ht="15" customHeight="1" x14ac:dyDescent="0.2">
      <c r="B3903" s="39">
        <f t="shared" si="30"/>
      </c>
      <c r="C3903" s="40">
        <f>IF(Inputs!$C$60,Inputs!$C$11+(B3903-Inputs!$C$69)/Inputs!$C$70,"")</f>
      </c>
      <c r="D3903" s="15"/>
      <c r="E3903" s="15"/>
      <c r="F3903" s="11">
        <f t="shared" si="31"/>
      </c>
      <c r="G3903" s="22" cm="1">
        <f t="array" ref="G3903">IF(AND(Inputs!$C$60,Inputs!$C$61),INDEX(Utility_Rates!$C$29:$F$52,HOUR(C3903)+Inputs!$C$69,MATCH(INDEX(Utility_Rates!$K$6:$K$17,MONTH(C3903))&amp;IF(WEEKDAY(C3903,Inputs!$C$76)&lt;=Inputs!$C$74," weekday"," weekend"),Utility_Rates!$C$28:$F$28,Inputs!$C$68)),"")</f>
      </c>
      <c r="H3903" s="34"/>
      <c r="I3903" s="42">
        <f>IF(AND(ISNUMBER(D3903),ISNUMBER(H3903)),D3903*H3903*Inputs!$C$69,"")</f>
      </c>
      <c r="J3903" s="42">
        <f>IF(AND(ISNUMBER(F3903),ISNUMBER(H3903),F3903&gt;=Inputs!$C$68),F3903*H3903*Inputs!$C$69,"")</f>
      </c>
    </row>
    <row r="3904" spans="2:10" ht="15" customHeight="1" x14ac:dyDescent="0.2">
      <c r="B3904" s="39">
        <f t="shared" si="30"/>
      </c>
      <c r="C3904" s="40">
        <f>IF(Inputs!$C$60,Inputs!$C$11+(B3904-Inputs!$C$69)/Inputs!$C$70,"")</f>
      </c>
      <c r="D3904" s="15"/>
      <c r="E3904" s="15"/>
      <c r="F3904" s="11">
        <f t="shared" si="31"/>
      </c>
      <c r="G3904" s="22" cm="1">
        <f t="array" ref="G3904">IF(AND(Inputs!$C$60,Inputs!$C$61),INDEX(Utility_Rates!$C$29:$F$52,HOUR(C3904)+Inputs!$C$69,MATCH(INDEX(Utility_Rates!$K$6:$K$17,MONTH(C3904))&amp;IF(WEEKDAY(C3904,Inputs!$C$76)&lt;=Inputs!$C$74," weekday"," weekend"),Utility_Rates!$C$28:$F$28,Inputs!$C$68)),"")</f>
      </c>
      <c r="H3904" s="34"/>
      <c r="I3904" s="42">
        <f>IF(AND(ISNUMBER(D3904),ISNUMBER(H3904)),D3904*H3904*Inputs!$C$69,"")</f>
      </c>
      <c r="J3904" s="42">
        <f>IF(AND(ISNUMBER(F3904),ISNUMBER(H3904),F3904&gt;=Inputs!$C$68),F3904*H3904*Inputs!$C$69,"")</f>
      </c>
    </row>
    <row r="3905" spans="2:10" ht="15" customHeight="1" x14ac:dyDescent="0.2">
      <c r="B3905" s="39">
        <f t="shared" si="30"/>
      </c>
      <c r="C3905" s="40">
        <f>IF(Inputs!$C$60,Inputs!$C$11+(B3905-Inputs!$C$69)/Inputs!$C$70,"")</f>
      </c>
      <c r="D3905" s="15"/>
      <c r="E3905" s="15"/>
      <c r="F3905" s="11">
        <f t="shared" si="31"/>
      </c>
      <c r="G3905" s="22" cm="1">
        <f t="array" ref="G3905">IF(AND(Inputs!$C$60,Inputs!$C$61),INDEX(Utility_Rates!$C$29:$F$52,HOUR(C3905)+Inputs!$C$69,MATCH(INDEX(Utility_Rates!$K$6:$K$17,MONTH(C3905))&amp;IF(WEEKDAY(C3905,Inputs!$C$76)&lt;=Inputs!$C$74," weekday"," weekend"),Utility_Rates!$C$28:$F$28,Inputs!$C$68)),"")</f>
      </c>
      <c r="H3905" s="34"/>
      <c r="I3905" s="42">
        <f>IF(AND(ISNUMBER(D3905),ISNUMBER(H3905)),D3905*H3905*Inputs!$C$69,"")</f>
      </c>
      <c r="J3905" s="42">
        <f>IF(AND(ISNUMBER(F3905),ISNUMBER(H3905),F3905&gt;=Inputs!$C$68),F3905*H3905*Inputs!$C$69,"")</f>
      </c>
    </row>
    <row r="3906" spans="2:10" ht="15" customHeight="1" x14ac:dyDescent="0.2">
      <c r="B3906" s="39">
        <f t="shared" si="30"/>
      </c>
      <c r="C3906" s="40">
        <f>IF(Inputs!$C$60,Inputs!$C$11+(B3906-Inputs!$C$69)/Inputs!$C$70,"")</f>
      </c>
      <c r="D3906" s="15"/>
      <c r="E3906" s="15"/>
      <c r="F3906" s="11">
        <f t="shared" si="31"/>
      </c>
      <c r="G3906" s="22" cm="1">
        <f t="array" ref="G3906">IF(AND(Inputs!$C$60,Inputs!$C$61),INDEX(Utility_Rates!$C$29:$F$52,HOUR(C3906)+Inputs!$C$69,MATCH(INDEX(Utility_Rates!$K$6:$K$17,MONTH(C3906))&amp;IF(WEEKDAY(C3906,Inputs!$C$76)&lt;=Inputs!$C$74," weekday"," weekend"),Utility_Rates!$C$28:$F$28,Inputs!$C$68)),"")</f>
      </c>
      <c r="H3906" s="34"/>
      <c r="I3906" s="42">
        <f>IF(AND(ISNUMBER(D3906),ISNUMBER(H3906)),D3906*H3906*Inputs!$C$69,"")</f>
      </c>
      <c r="J3906" s="42">
        <f>IF(AND(ISNUMBER(F3906),ISNUMBER(H3906),F3906&gt;=Inputs!$C$68),F3906*H3906*Inputs!$C$69,"")</f>
      </c>
    </row>
    <row r="3907" spans="2:10" ht="15" customHeight="1" x14ac:dyDescent="0.2">
      <c r="B3907" s="39">
        <f t="shared" si="30"/>
      </c>
      <c r="C3907" s="40">
        <f>IF(Inputs!$C$60,Inputs!$C$11+(B3907-Inputs!$C$69)/Inputs!$C$70,"")</f>
      </c>
      <c r="D3907" s="15"/>
      <c r="E3907" s="15"/>
      <c r="F3907" s="11">
        <f t="shared" si="31"/>
      </c>
      <c r="G3907" s="22" cm="1">
        <f t="array" ref="G3907">IF(AND(Inputs!$C$60,Inputs!$C$61),INDEX(Utility_Rates!$C$29:$F$52,HOUR(C3907)+Inputs!$C$69,MATCH(INDEX(Utility_Rates!$K$6:$K$17,MONTH(C3907))&amp;IF(WEEKDAY(C3907,Inputs!$C$76)&lt;=Inputs!$C$74," weekday"," weekend"),Utility_Rates!$C$28:$F$28,Inputs!$C$68)),"")</f>
      </c>
      <c r="H3907" s="34"/>
      <c r="I3907" s="42">
        <f>IF(AND(ISNUMBER(D3907),ISNUMBER(H3907)),D3907*H3907*Inputs!$C$69,"")</f>
      </c>
      <c r="J3907" s="42">
        <f>IF(AND(ISNUMBER(F3907),ISNUMBER(H3907),F3907&gt;=Inputs!$C$68),F3907*H3907*Inputs!$C$69,"")</f>
      </c>
    </row>
    <row r="3908" spans="2:10" ht="15" customHeight="1" x14ac:dyDescent="0.2">
      <c r="B3908" s="39">
        <f t="shared" si="30"/>
      </c>
      <c r="C3908" s="40">
        <f>IF(Inputs!$C$60,Inputs!$C$11+(B3908-Inputs!$C$69)/Inputs!$C$70,"")</f>
      </c>
      <c r="D3908" s="15"/>
      <c r="E3908" s="15"/>
      <c r="F3908" s="11">
        <f t="shared" si="31"/>
      </c>
      <c r="G3908" s="22" cm="1">
        <f t="array" ref="G3908">IF(AND(Inputs!$C$60,Inputs!$C$61),INDEX(Utility_Rates!$C$29:$F$52,HOUR(C3908)+Inputs!$C$69,MATCH(INDEX(Utility_Rates!$K$6:$K$17,MONTH(C3908))&amp;IF(WEEKDAY(C3908,Inputs!$C$76)&lt;=Inputs!$C$74," weekday"," weekend"),Utility_Rates!$C$28:$F$28,Inputs!$C$68)),"")</f>
      </c>
      <c r="H3908" s="34"/>
      <c r="I3908" s="42">
        <f>IF(AND(ISNUMBER(D3908),ISNUMBER(H3908)),D3908*H3908*Inputs!$C$69,"")</f>
      </c>
      <c r="J3908" s="42">
        <f>IF(AND(ISNUMBER(F3908),ISNUMBER(H3908),F3908&gt;=Inputs!$C$68),F3908*H3908*Inputs!$C$69,"")</f>
      </c>
    </row>
    <row r="3909" spans="2:10" ht="15" customHeight="1" x14ac:dyDescent="0.2">
      <c r="B3909" s="39">
        <f t="shared" si="30"/>
      </c>
      <c r="C3909" s="40">
        <f>IF(Inputs!$C$60,Inputs!$C$11+(B3909-Inputs!$C$69)/Inputs!$C$70,"")</f>
      </c>
      <c r="D3909" s="15"/>
      <c r="E3909" s="15"/>
      <c r="F3909" s="11">
        <f t="shared" si="31"/>
      </c>
      <c r="G3909" s="22" cm="1">
        <f t="array" ref="G3909">IF(AND(Inputs!$C$60,Inputs!$C$61),INDEX(Utility_Rates!$C$29:$F$52,HOUR(C3909)+Inputs!$C$69,MATCH(INDEX(Utility_Rates!$K$6:$K$17,MONTH(C3909))&amp;IF(WEEKDAY(C3909,Inputs!$C$76)&lt;=Inputs!$C$74," weekday"," weekend"),Utility_Rates!$C$28:$F$28,Inputs!$C$68)),"")</f>
      </c>
      <c r="H3909" s="34"/>
      <c r="I3909" s="42">
        <f>IF(AND(ISNUMBER(D3909),ISNUMBER(H3909)),D3909*H3909*Inputs!$C$69,"")</f>
      </c>
      <c r="J3909" s="42">
        <f>IF(AND(ISNUMBER(F3909),ISNUMBER(H3909),F3909&gt;=Inputs!$C$68),F3909*H3909*Inputs!$C$69,"")</f>
      </c>
    </row>
    <row r="3910" spans="2:10" ht="15" customHeight="1" x14ac:dyDescent="0.2">
      <c r="B3910" s="39">
        <f t="shared" si="30"/>
      </c>
      <c r="C3910" s="40">
        <f>IF(Inputs!$C$60,Inputs!$C$11+(B3910-Inputs!$C$69)/Inputs!$C$70,"")</f>
      </c>
      <c r="D3910" s="15"/>
      <c r="E3910" s="15"/>
      <c r="F3910" s="11">
        <f t="shared" si="31"/>
      </c>
      <c r="G3910" s="22" cm="1">
        <f t="array" ref="G3910">IF(AND(Inputs!$C$60,Inputs!$C$61),INDEX(Utility_Rates!$C$29:$F$52,HOUR(C3910)+Inputs!$C$69,MATCH(INDEX(Utility_Rates!$K$6:$K$17,MONTH(C3910))&amp;IF(WEEKDAY(C3910,Inputs!$C$76)&lt;=Inputs!$C$74," weekday"," weekend"),Utility_Rates!$C$28:$F$28,Inputs!$C$68)),"")</f>
      </c>
      <c r="H3910" s="34"/>
      <c r="I3910" s="42">
        <f>IF(AND(ISNUMBER(D3910),ISNUMBER(H3910)),D3910*H3910*Inputs!$C$69,"")</f>
      </c>
      <c r="J3910" s="42">
        <f>IF(AND(ISNUMBER(F3910),ISNUMBER(H3910),F3910&gt;=Inputs!$C$68),F3910*H3910*Inputs!$C$69,"")</f>
      </c>
    </row>
    <row r="3911" spans="2:10" ht="15" customHeight="1" x14ac:dyDescent="0.2">
      <c r="B3911" s="39">
        <f t="shared" si="30"/>
      </c>
      <c r="C3911" s="40">
        <f>IF(Inputs!$C$60,Inputs!$C$11+(B3911-Inputs!$C$69)/Inputs!$C$70,"")</f>
      </c>
      <c r="D3911" s="15"/>
      <c r="E3911" s="15"/>
      <c r="F3911" s="11">
        <f t="shared" si="31"/>
      </c>
      <c r="G3911" s="22" cm="1">
        <f t="array" ref="G3911">IF(AND(Inputs!$C$60,Inputs!$C$61),INDEX(Utility_Rates!$C$29:$F$52,HOUR(C3911)+Inputs!$C$69,MATCH(INDEX(Utility_Rates!$K$6:$K$17,MONTH(C3911))&amp;IF(WEEKDAY(C3911,Inputs!$C$76)&lt;=Inputs!$C$74," weekday"," weekend"),Utility_Rates!$C$28:$F$28,Inputs!$C$68)),"")</f>
      </c>
      <c r="H3911" s="34"/>
      <c r="I3911" s="42">
        <f>IF(AND(ISNUMBER(D3911),ISNUMBER(H3911)),D3911*H3911*Inputs!$C$69,"")</f>
      </c>
      <c r="J3911" s="42">
        <f>IF(AND(ISNUMBER(F3911),ISNUMBER(H3911),F3911&gt;=Inputs!$C$68),F3911*H3911*Inputs!$C$69,"")</f>
      </c>
    </row>
    <row r="3912" spans="2:10" ht="15" customHeight="1" x14ac:dyDescent="0.2">
      <c r="B3912" s="39">
        <f t="shared" si="30"/>
      </c>
      <c r="C3912" s="40">
        <f>IF(Inputs!$C$60,Inputs!$C$11+(B3912-Inputs!$C$69)/Inputs!$C$70,"")</f>
      </c>
      <c r="D3912" s="15"/>
      <c r="E3912" s="15"/>
      <c r="F3912" s="11">
        <f t="shared" si="31"/>
      </c>
      <c r="G3912" s="22" cm="1">
        <f t="array" ref="G3912">IF(AND(Inputs!$C$60,Inputs!$C$61),INDEX(Utility_Rates!$C$29:$F$52,HOUR(C3912)+Inputs!$C$69,MATCH(INDEX(Utility_Rates!$K$6:$K$17,MONTH(C3912))&amp;IF(WEEKDAY(C3912,Inputs!$C$76)&lt;=Inputs!$C$74," weekday"," weekend"),Utility_Rates!$C$28:$F$28,Inputs!$C$68)),"")</f>
      </c>
      <c r="H3912" s="34"/>
      <c r="I3912" s="42">
        <f>IF(AND(ISNUMBER(D3912),ISNUMBER(H3912)),D3912*H3912*Inputs!$C$69,"")</f>
      </c>
      <c r="J3912" s="42">
        <f>IF(AND(ISNUMBER(F3912),ISNUMBER(H3912),F3912&gt;=Inputs!$C$68),F3912*H3912*Inputs!$C$69,"")</f>
      </c>
    </row>
    <row r="3913" spans="2:10" ht="15" customHeight="1" x14ac:dyDescent="0.2">
      <c r="B3913" s="39">
        <f t="shared" si="30"/>
      </c>
      <c r="C3913" s="40">
        <f>IF(Inputs!$C$60,Inputs!$C$11+(B3913-Inputs!$C$69)/Inputs!$C$70,"")</f>
      </c>
      <c r="D3913" s="15"/>
      <c r="E3913" s="15"/>
      <c r="F3913" s="11">
        <f t="shared" si="31"/>
      </c>
      <c r="G3913" s="22" cm="1">
        <f t="array" ref="G3913">IF(AND(Inputs!$C$60,Inputs!$C$61),INDEX(Utility_Rates!$C$29:$F$52,HOUR(C3913)+Inputs!$C$69,MATCH(INDEX(Utility_Rates!$K$6:$K$17,MONTH(C3913))&amp;IF(WEEKDAY(C3913,Inputs!$C$76)&lt;=Inputs!$C$74," weekday"," weekend"),Utility_Rates!$C$28:$F$28,Inputs!$C$68)),"")</f>
      </c>
      <c r="H3913" s="34"/>
      <c r="I3913" s="42">
        <f>IF(AND(ISNUMBER(D3913),ISNUMBER(H3913)),D3913*H3913*Inputs!$C$69,"")</f>
      </c>
      <c r="J3913" s="42">
        <f>IF(AND(ISNUMBER(F3913),ISNUMBER(H3913),F3913&gt;=Inputs!$C$68),F3913*H3913*Inputs!$C$69,"")</f>
      </c>
    </row>
    <row r="3914" spans="2:10" ht="15" customHeight="1" x14ac:dyDescent="0.2">
      <c r="B3914" s="39">
        <f t="shared" si="30"/>
      </c>
      <c r="C3914" s="40">
        <f>IF(Inputs!$C$60,Inputs!$C$11+(B3914-Inputs!$C$69)/Inputs!$C$70,"")</f>
      </c>
      <c r="D3914" s="15"/>
      <c r="E3914" s="15"/>
      <c r="F3914" s="11">
        <f t="shared" si="31"/>
      </c>
      <c r="G3914" s="22" cm="1">
        <f t="array" ref="G3914">IF(AND(Inputs!$C$60,Inputs!$C$61),INDEX(Utility_Rates!$C$29:$F$52,HOUR(C3914)+Inputs!$C$69,MATCH(INDEX(Utility_Rates!$K$6:$K$17,MONTH(C3914))&amp;IF(WEEKDAY(C3914,Inputs!$C$76)&lt;=Inputs!$C$74," weekday"," weekend"),Utility_Rates!$C$28:$F$28,Inputs!$C$68)),"")</f>
      </c>
      <c r="H3914" s="34"/>
      <c r="I3914" s="42">
        <f>IF(AND(ISNUMBER(D3914),ISNUMBER(H3914)),D3914*H3914*Inputs!$C$69,"")</f>
      </c>
      <c r="J3914" s="42">
        <f>IF(AND(ISNUMBER(F3914),ISNUMBER(H3914),F3914&gt;=Inputs!$C$68),F3914*H3914*Inputs!$C$69,"")</f>
      </c>
    </row>
    <row r="3915" spans="2:10" ht="15" customHeight="1" x14ac:dyDescent="0.2">
      <c r="B3915" s="39">
        <f t="shared" si="30"/>
      </c>
      <c r="C3915" s="40">
        <f>IF(Inputs!$C$60,Inputs!$C$11+(B3915-Inputs!$C$69)/Inputs!$C$70,"")</f>
      </c>
      <c r="D3915" s="15"/>
      <c r="E3915" s="15"/>
      <c r="F3915" s="11">
        <f t="shared" si="31"/>
      </c>
      <c r="G3915" s="22" cm="1">
        <f t="array" ref="G3915">IF(AND(Inputs!$C$60,Inputs!$C$61),INDEX(Utility_Rates!$C$29:$F$52,HOUR(C3915)+Inputs!$C$69,MATCH(INDEX(Utility_Rates!$K$6:$K$17,MONTH(C3915))&amp;IF(WEEKDAY(C3915,Inputs!$C$76)&lt;=Inputs!$C$74," weekday"," weekend"),Utility_Rates!$C$28:$F$28,Inputs!$C$68)),"")</f>
      </c>
      <c r="H3915" s="34"/>
      <c r="I3915" s="42">
        <f>IF(AND(ISNUMBER(D3915),ISNUMBER(H3915)),D3915*H3915*Inputs!$C$69,"")</f>
      </c>
      <c r="J3915" s="42">
        <f>IF(AND(ISNUMBER(F3915),ISNUMBER(H3915),F3915&gt;=Inputs!$C$68),F3915*H3915*Inputs!$C$69,"")</f>
      </c>
    </row>
    <row r="3916" spans="2:10" ht="15" customHeight="1" x14ac:dyDescent="0.2">
      <c r="B3916" s="39">
        <f t="shared" si="30"/>
      </c>
      <c r="C3916" s="40">
        <f>IF(Inputs!$C$60,Inputs!$C$11+(B3916-Inputs!$C$69)/Inputs!$C$70,"")</f>
      </c>
      <c r="D3916" s="15"/>
      <c r="E3916" s="15"/>
      <c r="F3916" s="11">
        <f t="shared" si="31"/>
      </c>
      <c r="G3916" s="22" cm="1">
        <f t="array" ref="G3916">IF(AND(Inputs!$C$60,Inputs!$C$61),INDEX(Utility_Rates!$C$29:$F$52,HOUR(C3916)+Inputs!$C$69,MATCH(INDEX(Utility_Rates!$K$6:$K$17,MONTH(C3916))&amp;IF(WEEKDAY(C3916,Inputs!$C$76)&lt;=Inputs!$C$74," weekday"," weekend"),Utility_Rates!$C$28:$F$28,Inputs!$C$68)),"")</f>
      </c>
      <c r="H3916" s="34"/>
      <c r="I3916" s="42">
        <f>IF(AND(ISNUMBER(D3916),ISNUMBER(H3916)),D3916*H3916*Inputs!$C$69,"")</f>
      </c>
      <c r="J3916" s="42">
        <f>IF(AND(ISNUMBER(F3916),ISNUMBER(H3916),F3916&gt;=Inputs!$C$68),F3916*H3916*Inputs!$C$69,"")</f>
      </c>
    </row>
    <row r="3917" spans="2:10" ht="15" customHeight="1" x14ac:dyDescent="0.2">
      <c r="B3917" s="39">
        <f t="shared" si="30"/>
      </c>
      <c r="C3917" s="40">
        <f>IF(Inputs!$C$60,Inputs!$C$11+(B3917-Inputs!$C$69)/Inputs!$C$70,"")</f>
      </c>
      <c r="D3917" s="15"/>
      <c r="E3917" s="15"/>
      <c r="F3917" s="11">
        <f t="shared" si="31"/>
      </c>
      <c r="G3917" s="22" cm="1">
        <f t="array" ref="G3917">IF(AND(Inputs!$C$60,Inputs!$C$61),INDEX(Utility_Rates!$C$29:$F$52,HOUR(C3917)+Inputs!$C$69,MATCH(INDEX(Utility_Rates!$K$6:$K$17,MONTH(C3917))&amp;IF(WEEKDAY(C3917,Inputs!$C$76)&lt;=Inputs!$C$74," weekday"," weekend"),Utility_Rates!$C$28:$F$28,Inputs!$C$68)),"")</f>
      </c>
      <c r="H3917" s="34"/>
      <c r="I3917" s="42">
        <f>IF(AND(ISNUMBER(D3917),ISNUMBER(H3917)),D3917*H3917*Inputs!$C$69,"")</f>
      </c>
      <c r="J3917" s="42">
        <f>IF(AND(ISNUMBER(F3917),ISNUMBER(H3917),F3917&gt;=Inputs!$C$68),F3917*H3917*Inputs!$C$69,"")</f>
      </c>
    </row>
    <row r="3918" spans="2:10" ht="15" customHeight="1" x14ac:dyDescent="0.2">
      <c r="B3918" s="39">
        <f t="shared" si="30"/>
      </c>
      <c r="C3918" s="40">
        <f>IF(Inputs!$C$60,Inputs!$C$11+(B3918-Inputs!$C$69)/Inputs!$C$70,"")</f>
      </c>
      <c r="D3918" s="15"/>
      <c r="E3918" s="15"/>
      <c r="F3918" s="11">
        <f t="shared" si="31"/>
      </c>
      <c r="G3918" s="22" cm="1">
        <f t="array" ref="G3918">IF(AND(Inputs!$C$60,Inputs!$C$61),INDEX(Utility_Rates!$C$29:$F$52,HOUR(C3918)+Inputs!$C$69,MATCH(INDEX(Utility_Rates!$K$6:$K$17,MONTH(C3918))&amp;IF(WEEKDAY(C3918,Inputs!$C$76)&lt;=Inputs!$C$74," weekday"," weekend"),Utility_Rates!$C$28:$F$28,Inputs!$C$68)),"")</f>
      </c>
      <c r="H3918" s="34"/>
      <c r="I3918" s="42">
        <f>IF(AND(ISNUMBER(D3918),ISNUMBER(H3918)),D3918*H3918*Inputs!$C$69,"")</f>
      </c>
      <c r="J3918" s="42">
        <f>IF(AND(ISNUMBER(F3918),ISNUMBER(H3918),F3918&gt;=Inputs!$C$68),F3918*H3918*Inputs!$C$69,"")</f>
      </c>
    </row>
    <row r="3919" spans="2:10" ht="15" customHeight="1" x14ac:dyDescent="0.2">
      <c r="B3919" s="39">
        <f t="shared" si="30"/>
      </c>
      <c r="C3919" s="40">
        <f>IF(Inputs!$C$60,Inputs!$C$11+(B3919-Inputs!$C$69)/Inputs!$C$70,"")</f>
      </c>
      <c r="D3919" s="15"/>
      <c r="E3919" s="15"/>
      <c r="F3919" s="11">
        <f t="shared" si="31"/>
      </c>
      <c r="G3919" s="22" cm="1">
        <f t="array" ref="G3919">IF(AND(Inputs!$C$60,Inputs!$C$61),INDEX(Utility_Rates!$C$29:$F$52,HOUR(C3919)+Inputs!$C$69,MATCH(INDEX(Utility_Rates!$K$6:$K$17,MONTH(C3919))&amp;IF(WEEKDAY(C3919,Inputs!$C$76)&lt;=Inputs!$C$74," weekday"," weekend"),Utility_Rates!$C$28:$F$28,Inputs!$C$68)),"")</f>
      </c>
      <c r="H3919" s="34"/>
      <c r="I3919" s="42">
        <f>IF(AND(ISNUMBER(D3919),ISNUMBER(H3919)),D3919*H3919*Inputs!$C$69,"")</f>
      </c>
      <c r="J3919" s="42">
        <f>IF(AND(ISNUMBER(F3919),ISNUMBER(H3919),F3919&gt;=Inputs!$C$68),F3919*H3919*Inputs!$C$69,"")</f>
      </c>
    </row>
    <row r="3920" spans="2:10" ht="15" customHeight="1" x14ac:dyDescent="0.2">
      <c r="B3920" s="39">
        <f t="shared" si="30"/>
      </c>
      <c r="C3920" s="40">
        <f>IF(Inputs!$C$60,Inputs!$C$11+(B3920-Inputs!$C$69)/Inputs!$C$70,"")</f>
      </c>
      <c r="D3920" s="15"/>
      <c r="E3920" s="15"/>
      <c r="F3920" s="11">
        <f t="shared" si="31"/>
      </c>
      <c r="G3920" s="22" cm="1">
        <f t="array" ref="G3920">IF(AND(Inputs!$C$60,Inputs!$C$61),INDEX(Utility_Rates!$C$29:$F$52,HOUR(C3920)+Inputs!$C$69,MATCH(INDEX(Utility_Rates!$K$6:$K$17,MONTH(C3920))&amp;IF(WEEKDAY(C3920,Inputs!$C$76)&lt;=Inputs!$C$74," weekday"," weekend"),Utility_Rates!$C$28:$F$28,Inputs!$C$68)),"")</f>
      </c>
      <c r="H3920" s="34"/>
      <c r="I3920" s="42">
        <f>IF(AND(ISNUMBER(D3920),ISNUMBER(H3920)),D3920*H3920*Inputs!$C$69,"")</f>
      </c>
      <c r="J3920" s="42">
        <f>IF(AND(ISNUMBER(F3920),ISNUMBER(H3920),F3920&gt;=Inputs!$C$68),F3920*H3920*Inputs!$C$69,"")</f>
      </c>
    </row>
    <row r="3921" spans="2:10" ht="15" customHeight="1" x14ac:dyDescent="0.2">
      <c r="B3921" s="39">
        <f t="shared" si="30"/>
      </c>
      <c r="C3921" s="40">
        <f>IF(Inputs!$C$60,Inputs!$C$11+(B3921-Inputs!$C$69)/Inputs!$C$70,"")</f>
      </c>
      <c r="D3921" s="15"/>
      <c r="E3921" s="15"/>
      <c r="F3921" s="11">
        <f t="shared" si="31"/>
      </c>
      <c r="G3921" s="22" cm="1">
        <f t="array" ref="G3921">IF(AND(Inputs!$C$60,Inputs!$C$61),INDEX(Utility_Rates!$C$29:$F$52,HOUR(C3921)+Inputs!$C$69,MATCH(INDEX(Utility_Rates!$K$6:$K$17,MONTH(C3921))&amp;IF(WEEKDAY(C3921,Inputs!$C$76)&lt;=Inputs!$C$74," weekday"," weekend"),Utility_Rates!$C$28:$F$28,Inputs!$C$68)),"")</f>
      </c>
      <c r="H3921" s="34"/>
      <c r="I3921" s="42">
        <f>IF(AND(ISNUMBER(D3921),ISNUMBER(H3921)),D3921*H3921*Inputs!$C$69,"")</f>
      </c>
      <c r="J3921" s="42">
        <f>IF(AND(ISNUMBER(F3921),ISNUMBER(H3921),F3921&gt;=Inputs!$C$68),F3921*H3921*Inputs!$C$69,"")</f>
      </c>
    </row>
    <row r="3922" spans="2:10" ht="15" customHeight="1" x14ac:dyDescent="0.2">
      <c r="B3922" s="39">
        <f t="shared" si="30"/>
      </c>
      <c r="C3922" s="40">
        <f>IF(Inputs!$C$60,Inputs!$C$11+(B3922-Inputs!$C$69)/Inputs!$C$70,"")</f>
      </c>
      <c r="D3922" s="15"/>
      <c r="E3922" s="15"/>
      <c r="F3922" s="11">
        <f t="shared" si="31"/>
      </c>
      <c r="G3922" s="22" cm="1">
        <f t="array" ref="G3922">IF(AND(Inputs!$C$60,Inputs!$C$61),INDEX(Utility_Rates!$C$29:$F$52,HOUR(C3922)+Inputs!$C$69,MATCH(INDEX(Utility_Rates!$K$6:$K$17,MONTH(C3922))&amp;IF(WEEKDAY(C3922,Inputs!$C$76)&lt;=Inputs!$C$74," weekday"," weekend"),Utility_Rates!$C$28:$F$28,Inputs!$C$68)),"")</f>
      </c>
      <c r="H3922" s="34"/>
      <c r="I3922" s="42">
        <f>IF(AND(ISNUMBER(D3922),ISNUMBER(H3922)),D3922*H3922*Inputs!$C$69,"")</f>
      </c>
      <c r="J3922" s="42">
        <f>IF(AND(ISNUMBER(F3922),ISNUMBER(H3922),F3922&gt;=Inputs!$C$68),F3922*H3922*Inputs!$C$69,"")</f>
      </c>
    </row>
    <row r="3923" spans="2:10" ht="15" customHeight="1" x14ac:dyDescent="0.2">
      <c r="B3923" s="39">
        <f t="shared" si="30"/>
      </c>
      <c r="C3923" s="40">
        <f>IF(Inputs!$C$60,Inputs!$C$11+(B3923-Inputs!$C$69)/Inputs!$C$70,"")</f>
      </c>
      <c r="D3923" s="15"/>
      <c r="E3923" s="15"/>
      <c r="F3923" s="11">
        <f t="shared" si="31"/>
      </c>
      <c r="G3923" s="22" cm="1">
        <f t="array" ref="G3923">IF(AND(Inputs!$C$60,Inputs!$C$61),INDEX(Utility_Rates!$C$29:$F$52,HOUR(C3923)+Inputs!$C$69,MATCH(INDEX(Utility_Rates!$K$6:$K$17,MONTH(C3923))&amp;IF(WEEKDAY(C3923,Inputs!$C$76)&lt;=Inputs!$C$74," weekday"," weekend"),Utility_Rates!$C$28:$F$28,Inputs!$C$68)),"")</f>
      </c>
      <c r="H3923" s="34"/>
      <c r="I3923" s="42">
        <f>IF(AND(ISNUMBER(D3923),ISNUMBER(H3923)),D3923*H3923*Inputs!$C$69,"")</f>
      </c>
      <c r="J3923" s="42">
        <f>IF(AND(ISNUMBER(F3923),ISNUMBER(H3923),F3923&gt;=Inputs!$C$68),F3923*H3923*Inputs!$C$69,"")</f>
      </c>
    </row>
    <row r="3924" spans="2:10" ht="15" customHeight="1" x14ac:dyDescent="0.2">
      <c r="B3924" s="39">
        <f t="shared" si="30"/>
      </c>
      <c r="C3924" s="40">
        <f>IF(Inputs!$C$60,Inputs!$C$11+(B3924-Inputs!$C$69)/Inputs!$C$70,"")</f>
      </c>
      <c r="D3924" s="15"/>
      <c r="E3924" s="15"/>
      <c r="F3924" s="11">
        <f t="shared" si="31"/>
      </c>
      <c r="G3924" s="22" cm="1">
        <f t="array" ref="G3924">IF(AND(Inputs!$C$60,Inputs!$C$61),INDEX(Utility_Rates!$C$29:$F$52,HOUR(C3924)+Inputs!$C$69,MATCH(INDEX(Utility_Rates!$K$6:$K$17,MONTH(C3924))&amp;IF(WEEKDAY(C3924,Inputs!$C$76)&lt;=Inputs!$C$74," weekday"," weekend"),Utility_Rates!$C$28:$F$28,Inputs!$C$68)),"")</f>
      </c>
      <c r="H3924" s="34"/>
      <c r="I3924" s="42">
        <f>IF(AND(ISNUMBER(D3924),ISNUMBER(H3924)),D3924*H3924*Inputs!$C$69,"")</f>
      </c>
      <c r="J3924" s="42">
        <f>IF(AND(ISNUMBER(F3924),ISNUMBER(H3924),F3924&gt;=Inputs!$C$68),F3924*H3924*Inputs!$C$69,"")</f>
      </c>
    </row>
    <row r="3925" spans="2:10" ht="15" customHeight="1" x14ac:dyDescent="0.2">
      <c r="B3925" s="39">
        <f t="shared" si="30"/>
      </c>
      <c r="C3925" s="40">
        <f>IF(Inputs!$C$60,Inputs!$C$11+(B3925-Inputs!$C$69)/Inputs!$C$70,"")</f>
      </c>
      <c r="D3925" s="15"/>
      <c r="E3925" s="15"/>
      <c r="F3925" s="11">
        <f t="shared" si="31"/>
      </c>
      <c r="G3925" s="22" cm="1">
        <f t="array" ref="G3925">IF(AND(Inputs!$C$60,Inputs!$C$61),INDEX(Utility_Rates!$C$29:$F$52,HOUR(C3925)+Inputs!$C$69,MATCH(INDEX(Utility_Rates!$K$6:$K$17,MONTH(C3925))&amp;IF(WEEKDAY(C3925,Inputs!$C$76)&lt;=Inputs!$C$74," weekday"," weekend"),Utility_Rates!$C$28:$F$28,Inputs!$C$68)),"")</f>
      </c>
      <c r="H3925" s="34"/>
      <c r="I3925" s="42">
        <f>IF(AND(ISNUMBER(D3925),ISNUMBER(H3925)),D3925*H3925*Inputs!$C$69,"")</f>
      </c>
      <c r="J3925" s="42">
        <f>IF(AND(ISNUMBER(F3925),ISNUMBER(H3925),F3925&gt;=Inputs!$C$68),F3925*H3925*Inputs!$C$69,"")</f>
      </c>
    </row>
    <row r="3926" spans="2:10" ht="15" customHeight="1" x14ac:dyDescent="0.2">
      <c r="B3926" s="39">
        <f t="shared" si="30"/>
      </c>
      <c r="C3926" s="40">
        <f>IF(Inputs!$C$60,Inputs!$C$11+(B3926-Inputs!$C$69)/Inputs!$C$70,"")</f>
      </c>
      <c r="D3926" s="15"/>
      <c r="E3926" s="15"/>
      <c r="F3926" s="11">
        <f t="shared" si="31"/>
      </c>
      <c r="G3926" s="22" cm="1">
        <f t="array" ref="G3926">IF(AND(Inputs!$C$60,Inputs!$C$61),INDEX(Utility_Rates!$C$29:$F$52,HOUR(C3926)+Inputs!$C$69,MATCH(INDEX(Utility_Rates!$K$6:$K$17,MONTH(C3926))&amp;IF(WEEKDAY(C3926,Inputs!$C$76)&lt;=Inputs!$C$74," weekday"," weekend"),Utility_Rates!$C$28:$F$28,Inputs!$C$68)),"")</f>
      </c>
      <c r="H3926" s="34"/>
      <c r="I3926" s="42">
        <f>IF(AND(ISNUMBER(D3926),ISNUMBER(H3926)),D3926*H3926*Inputs!$C$69,"")</f>
      </c>
      <c r="J3926" s="42">
        <f>IF(AND(ISNUMBER(F3926),ISNUMBER(H3926),F3926&gt;=Inputs!$C$68),F3926*H3926*Inputs!$C$69,"")</f>
      </c>
    </row>
    <row r="3927" spans="2:10" ht="15" customHeight="1" x14ac:dyDescent="0.2">
      <c r="B3927" s="39">
        <f t="shared" si="30"/>
      </c>
      <c r="C3927" s="40">
        <f>IF(Inputs!$C$60,Inputs!$C$11+(B3927-Inputs!$C$69)/Inputs!$C$70,"")</f>
      </c>
      <c r="D3927" s="15"/>
      <c r="E3927" s="15"/>
      <c r="F3927" s="11">
        <f t="shared" si="31"/>
      </c>
      <c r="G3927" s="22" cm="1">
        <f t="array" ref="G3927">IF(AND(Inputs!$C$60,Inputs!$C$61),INDEX(Utility_Rates!$C$29:$F$52,HOUR(C3927)+Inputs!$C$69,MATCH(INDEX(Utility_Rates!$K$6:$K$17,MONTH(C3927))&amp;IF(WEEKDAY(C3927,Inputs!$C$76)&lt;=Inputs!$C$74," weekday"," weekend"),Utility_Rates!$C$28:$F$28,Inputs!$C$68)),"")</f>
      </c>
      <c r="H3927" s="34"/>
      <c r="I3927" s="42">
        <f>IF(AND(ISNUMBER(D3927),ISNUMBER(H3927)),D3927*H3927*Inputs!$C$69,"")</f>
      </c>
      <c r="J3927" s="42">
        <f>IF(AND(ISNUMBER(F3927),ISNUMBER(H3927),F3927&gt;=Inputs!$C$68),F3927*H3927*Inputs!$C$69,"")</f>
      </c>
    </row>
    <row r="3928" spans="2:10" ht="15" customHeight="1" x14ac:dyDescent="0.2">
      <c r="B3928" s="39">
        <f t="shared" si="30"/>
      </c>
      <c r="C3928" s="40">
        <f>IF(Inputs!$C$60,Inputs!$C$11+(B3928-Inputs!$C$69)/Inputs!$C$70,"")</f>
      </c>
      <c r="D3928" s="15"/>
      <c r="E3928" s="15"/>
      <c r="F3928" s="11">
        <f t="shared" si="31"/>
      </c>
      <c r="G3928" s="22" cm="1">
        <f t="array" ref="G3928">IF(AND(Inputs!$C$60,Inputs!$C$61),INDEX(Utility_Rates!$C$29:$F$52,HOUR(C3928)+Inputs!$C$69,MATCH(INDEX(Utility_Rates!$K$6:$K$17,MONTH(C3928))&amp;IF(WEEKDAY(C3928,Inputs!$C$76)&lt;=Inputs!$C$74," weekday"," weekend"),Utility_Rates!$C$28:$F$28,Inputs!$C$68)),"")</f>
      </c>
      <c r="H3928" s="34"/>
      <c r="I3928" s="42">
        <f>IF(AND(ISNUMBER(D3928),ISNUMBER(H3928)),D3928*H3928*Inputs!$C$69,"")</f>
      </c>
      <c r="J3928" s="42">
        <f>IF(AND(ISNUMBER(F3928),ISNUMBER(H3928),F3928&gt;=Inputs!$C$68),F3928*H3928*Inputs!$C$69,"")</f>
      </c>
    </row>
    <row r="3929" spans="2:10" ht="15" customHeight="1" x14ac:dyDescent="0.2">
      <c r="B3929" s="39">
        <f t="shared" si="30"/>
      </c>
      <c r="C3929" s="40">
        <f>IF(Inputs!$C$60,Inputs!$C$11+(B3929-Inputs!$C$69)/Inputs!$C$70,"")</f>
      </c>
      <c r="D3929" s="15"/>
      <c r="E3929" s="15"/>
      <c r="F3929" s="11">
        <f t="shared" si="31"/>
      </c>
      <c r="G3929" s="22" cm="1">
        <f t="array" ref="G3929">IF(AND(Inputs!$C$60,Inputs!$C$61),INDEX(Utility_Rates!$C$29:$F$52,HOUR(C3929)+Inputs!$C$69,MATCH(INDEX(Utility_Rates!$K$6:$K$17,MONTH(C3929))&amp;IF(WEEKDAY(C3929,Inputs!$C$76)&lt;=Inputs!$C$74," weekday"," weekend"),Utility_Rates!$C$28:$F$28,Inputs!$C$68)),"")</f>
      </c>
      <c r="H3929" s="34"/>
      <c r="I3929" s="42">
        <f>IF(AND(ISNUMBER(D3929),ISNUMBER(H3929)),D3929*H3929*Inputs!$C$69,"")</f>
      </c>
      <c r="J3929" s="42">
        <f>IF(AND(ISNUMBER(F3929),ISNUMBER(H3929),F3929&gt;=Inputs!$C$68),F3929*H3929*Inputs!$C$69,"")</f>
      </c>
    </row>
    <row r="3930" spans="2:10" ht="15" customHeight="1" x14ac:dyDescent="0.2">
      <c r="B3930" s="39">
        <f t="shared" si="30"/>
      </c>
      <c r="C3930" s="40">
        <f>IF(Inputs!$C$60,Inputs!$C$11+(B3930-Inputs!$C$69)/Inputs!$C$70,"")</f>
      </c>
      <c r="D3930" s="15"/>
      <c r="E3930" s="15"/>
      <c r="F3930" s="11">
        <f t="shared" si="31"/>
      </c>
      <c r="G3930" s="22" cm="1">
        <f t="array" ref="G3930">IF(AND(Inputs!$C$60,Inputs!$C$61),INDEX(Utility_Rates!$C$29:$F$52,HOUR(C3930)+Inputs!$C$69,MATCH(INDEX(Utility_Rates!$K$6:$K$17,MONTH(C3930))&amp;IF(WEEKDAY(C3930,Inputs!$C$76)&lt;=Inputs!$C$74," weekday"," weekend"),Utility_Rates!$C$28:$F$28,Inputs!$C$68)),"")</f>
      </c>
      <c r="H3930" s="34"/>
      <c r="I3930" s="42">
        <f>IF(AND(ISNUMBER(D3930),ISNUMBER(H3930)),D3930*H3930*Inputs!$C$69,"")</f>
      </c>
      <c r="J3930" s="42">
        <f>IF(AND(ISNUMBER(F3930),ISNUMBER(H3930),F3930&gt;=Inputs!$C$68),F3930*H3930*Inputs!$C$69,"")</f>
      </c>
    </row>
    <row r="3931" spans="2:10" ht="15" customHeight="1" x14ac:dyDescent="0.2">
      <c r="B3931" s="39">
        <f t="shared" si="30"/>
      </c>
      <c r="C3931" s="40">
        <f>IF(Inputs!$C$60,Inputs!$C$11+(B3931-Inputs!$C$69)/Inputs!$C$70,"")</f>
      </c>
      <c r="D3931" s="15"/>
      <c r="E3931" s="15"/>
      <c r="F3931" s="11">
        <f t="shared" si="31"/>
      </c>
      <c r="G3931" s="22" cm="1">
        <f t="array" ref="G3931">IF(AND(Inputs!$C$60,Inputs!$C$61),INDEX(Utility_Rates!$C$29:$F$52,HOUR(C3931)+Inputs!$C$69,MATCH(INDEX(Utility_Rates!$K$6:$K$17,MONTH(C3931))&amp;IF(WEEKDAY(C3931,Inputs!$C$76)&lt;=Inputs!$C$74," weekday"," weekend"),Utility_Rates!$C$28:$F$28,Inputs!$C$68)),"")</f>
      </c>
      <c r="H3931" s="34"/>
      <c r="I3931" s="42">
        <f>IF(AND(ISNUMBER(D3931),ISNUMBER(H3931)),D3931*H3931*Inputs!$C$69,"")</f>
      </c>
      <c r="J3931" s="42">
        <f>IF(AND(ISNUMBER(F3931),ISNUMBER(H3931),F3931&gt;=Inputs!$C$68),F3931*H3931*Inputs!$C$69,"")</f>
      </c>
    </row>
    <row r="3932" spans="2:10" ht="15" customHeight="1" x14ac:dyDescent="0.2">
      <c r="B3932" s="39">
        <f t="shared" si="30"/>
      </c>
      <c r="C3932" s="40">
        <f>IF(Inputs!$C$60,Inputs!$C$11+(B3932-Inputs!$C$69)/Inputs!$C$70,"")</f>
      </c>
      <c r="D3932" s="15"/>
      <c r="E3932" s="15"/>
      <c r="F3932" s="11">
        <f t="shared" si="31"/>
      </c>
      <c r="G3932" s="22" cm="1">
        <f t="array" ref="G3932">IF(AND(Inputs!$C$60,Inputs!$C$61),INDEX(Utility_Rates!$C$29:$F$52,HOUR(C3932)+Inputs!$C$69,MATCH(INDEX(Utility_Rates!$K$6:$K$17,MONTH(C3932))&amp;IF(WEEKDAY(C3932,Inputs!$C$76)&lt;=Inputs!$C$74," weekday"," weekend"),Utility_Rates!$C$28:$F$28,Inputs!$C$68)),"")</f>
      </c>
      <c r="H3932" s="34"/>
      <c r="I3932" s="42">
        <f>IF(AND(ISNUMBER(D3932),ISNUMBER(H3932)),D3932*H3932*Inputs!$C$69,"")</f>
      </c>
      <c r="J3932" s="42">
        <f>IF(AND(ISNUMBER(F3932),ISNUMBER(H3932),F3932&gt;=Inputs!$C$68),F3932*H3932*Inputs!$C$69,"")</f>
      </c>
    </row>
    <row r="3933" spans="2:10" ht="15" customHeight="1" x14ac:dyDescent="0.2">
      <c r="B3933" s="39">
        <f t="shared" si="30"/>
      </c>
      <c r="C3933" s="40">
        <f>IF(Inputs!$C$60,Inputs!$C$11+(B3933-Inputs!$C$69)/Inputs!$C$70,"")</f>
      </c>
      <c r="D3933" s="15"/>
      <c r="E3933" s="15"/>
      <c r="F3933" s="11">
        <f t="shared" si="31"/>
      </c>
      <c r="G3933" s="22" cm="1">
        <f t="array" ref="G3933">IF(AND(Inputs!$C$60,Inputs!$C$61),INDEX(Utility_Rates!$C$29:$F$52,HOUR(C3933)+Inputs!$C$69,MATCH(INDEX(Utility_Rates!$K$6:$K$17,MONTH(C3933))&amp;IF(WEEKDAY(C3933,Inputs!$C$76)&lt;=Inputs!$C$74," weekday"," weekend"),Utility_Rates!$C$28:$F$28,Inputs!$C$68)),"")</f>
      </c>
      <c r="H3933" s="34"/>
      <c r="I3933" s="42">
        <f>IF(AND(ISNUMBER(D3933),ISNUMBER(H3933)),D3933*H3933*Inputs!$C$69,"")</f>
      </c>
      <c r="J3933" s="42">
        <f>IF(AND(ISNUMBER(F3933),ISNUMBER(H3933),F3933&gt;=Inputs!$C$68),F3933*H3933*Inputs!$C$69,"")</f>
      </c>
    </row>
    <row r="3934" spans="2:10" ht="15" customHeight="1" x14ac:dyDescent="0.2">
      <c r="B3934" s="39">
        <f t="shared" si="30"/>
      </c>
      <c r="C3934" s="40">
        <f>IF(Inputs!$C$60,Inputs!$C$11+(B3934-Inputs!$C$69)/Inputs!$C$70,"")</f>
      </c>
      <c r="D3934" s="15"/>
      <c r="E3934" s="15"/>
      <c r="F3934" s="11">
        <f t="shared" si="31"/>
      </c>
      <c r="G3934" s="22" cm="1">
        <f t="array" ref="G3934">IF(AND(Inputs!$C$60,Inputs!$C$61),INDEX(Utility_Rates!$C$29:$F$52,HOUR(C3934)+Inputs!$C$69,MATCH(INDEX(Utility_Rates!$K$6:$K$17,MONTH(C3934))&amp;IF(WEEKDAY(C3934,Inputs!$C$76)&lt;=Inputs!$C$74," weekday"," weekend"),Utility_Rates!$C$28:$F$28,Inputs!$C$68)),"")</f>
      </c>
      <c r="H3934" s="34"/>
      <c r="I3934" s="42">
        <f>IF(AND(ISNUMBER(D3934),ISNUMBER(H3934)),D3934*H3934*Inputs!$C$69,"")</f>
      </c>
      <c r="J3934" s="42">
        <f>IF(AND(ISNUMBER(F3934),ISNUMBER(H3934),F3934&gt;=Inputs!$C$68),F3934*H3934*Inputs!$C$69,"")</f>
      </c>
    </row>
    <row r="3935" spans="2:10" ht="15" customHeight="1" x14ac:dyDescent="0.2">
      <c r="B3935" s="39">
        <f t="shared" si="30"/>
      </c>
      <c r="C3935" s="40">
        <f>IF(Inputs!$C$60,Inputs!$C$11+(B3935-Inputs!$C$69)/Inputs!$C$70,"")</f>
      </c>
      <c r="D3935" s="15"/>
      <c r="E3935" s="15"/>
      <c r="F3935" s="11">
        <f t="shared" si="31"/>
      </c>
      <c r="G3935" s="22" cm="1">
        <f t="array" ref="G3935">IF(AND(Inputs!$C$60,Inputs!$C$61),INDEX(Utility_Rates!$C$29:$F$52,HOUR(C3935)+Inputs!$C$69,MATCH(INDEX(Utility_Rates!$K$6:$K$17,MONTH(C3935))&amp;IF(WEEKDAY(C3935,Inputs!$C$76)&lt;=Inputs!$C$74," weekday"," weekend"),Utility_Rates!$C$28:$F$28,Inputs!$C$68)),"")</f>
      </c>
      <c r="H3935" s="34"/>
      <c r="I3935" s="42">
        <f>IF(AND(ISNUMBER(D3935),ISNUMBER(H3935)),D3935*H3935*Inputs!$C$69,"")</f>
      </c>
      <c r="J3935" s="42">
        <f>IF(AND(ISNUMBER(F3935),ISNUMBER(H3935),F3935&gt;=Inputs!$C$68),F3935*H3935*Inputs!$C$69,"")</f>
      </c>
    </row>
    <row r="3936" spans="2:10" ht="15" customHeight="1" x14ac:dyDescent="0.2">
      <c r="B3936" s="39">
        <f t="shared" si="30"/>
      </c>
      <c r="C3936" s="40">
        <f>IF(Inputs!$C$60,Inputs!$C$11+(B3936-Inputs!$C$69)/Inputs!$C$70,"")</f>
      </c>
      <c r="D3936" s="15"/>
      <c r="E3936" s="15"/>
      <c r="F3936" s="11">
        <f t="shared" si="31"/>
      </c>
      <c r="G3936" s="22" cm="1">
        <f t="array" ref="G3936">IF(AND(Inputs!$C$60,Inputs!$C$61),INDEX(Utility_Rates!$C$29:$F$52,HOUR(C3936)+Inputs!$C$69,MATCH(INDEX(Utility_Rates!$K$6:$K$17,MONTH(C3936))&amp;IF(WEEKDAY(C3936,Inputs!$C$76)&lt;=Inputs!$C$74," weekday"," weekend"),Utility_Rates!$C$28:$F$28,Inputs!$C$68)),"")</f>
      </c>
      <c r="H3936" s="34"/>
      <c r="I3936" s="42">
        <f>IF(AND(ISNUMBER(D3936),ISNUMBER(H3936)),D3936*H3936*Inputs!$C$69,"")</f>
      </c>
      <c r="J3936" s="42">
        <f>IF(AND(ISNUMBER(F3936),ISNUMBER(H3936),F3936&gt;=Inputs!$C$68),F3936*H3936*Inputs!$C$69,"")</f>
      </c>
    </row>
    <row r="3937" spans="2:10" ht="15" customHeight="1" x14ac:dyDescent="0.2">
      <c r="B3937" s="39">
        <f t="shared" si="30"/>
      </c>
      <c r="C3937" s="40">
        <f>IF(Inputs!$C$60,Inputs!$C$11+(B3937-Inputs!$C$69)/Inputs!$C$70,"")</f>
      </c>
      <c r="D3937" s="15"/>
      <c r="E3937" s="15"/>
      <c r="F3937" s="11">
        <f t="shared" si="31"/>
      </c>
      <c r="G3937" s="22" cm="1">
        <f t="array" ref="G3937">IF(AND(Inputs!$C$60,Inputs!$C$61),INDEX(Utility_Rates!$C$29:$F$52,HOUR(C3937)+Inputs!$C$69,MATCH(INDEX(Utility_Rates!$K$6:$K$17,MONTH(C3937))&amp;IF(WEEKDAY(C3937,Inputs!$C$76)&lt;=Inputs!$C$74," weekday"," weekend"),Utility_Rates!$C$28:$F$28,Inputs!$C$68)),"")</f>
      </c>
      <c r="H3937" s="34"/>
      <c r="I3937" s="42">
        <f>IF(AND(ISNUMBER(D3937),ISNUMBER(H3937)),D3937*H3937*Inputs!$C$69,"")</f>
      </c>
      <c r="J3937" s="42">
        <f>IF(AND(ISNUMBER(F3937),ISNUMBER(H3937),F3937&gt;=Inputs!$C$68),F3937*H3937*Inputs!$C$69,"")</f>
      </c>
    </row>
    <row r="3938" spans="2:10" ht="15" customHeight="1" x14ac:dyDescent="0.2">
      <c r="B3938" s="39">
        <f t="shared" si="30"/>
      </c>
      <c r="C3938" s="40">
        <f>IF(Inputs!$C$60,Inputs!$C$11+(B3938-Inputs!$C$69)/Inputs!$C$70,"")</f>
      </c>
      <c r="D3938" s="15"/>
      <c r="E3938" s="15"/>
      <c r="F3938" s="11">
        <f t="shared" si="31"/>
      </c>
      <c r="G3938" s="22" cm="1">
        <f t="array" ref="G3938">IF(AND(Inputs!$C$60,Inputs!$C$61),INDEX(Utility_Rates!$C$29:$F$52,HOUR(C3938)+Inputs!$C$69,MATCH(INDEX(Utility_Rates!$K$6:$K$17,MONTH(C3938))&amp;IF(WEEKDAY(C3938,Inputs!$C$76)&lt;=Inputs!$C$74," weekday"," weekend"),Utility_Rates!$C$28:$F$28,Inputs!$C$68)),"")</f>
      </c>
      <c r="H3938" s="34"/>
      <c r="I3938" s="42">
        <f>IF(AND(ISNUMBER(D3938),ISNUMBER(H3938)),D3938*H3938*Inputs!$C$69,"")</f>
      </c>
      <c r="J3938" s="42">
        <f>IF(AND(ISNUMBER(F3938),ISNUMBER(H3938),F3938&gt;=Inputs!$C$68),F3938*H3938*Inputs!$C$69,"")</f>
      </c>
    </row>
    <row r="3939" spans="2:10" ht="15" customHeight="1" x14ac:dyDescent="0.2">
      <c r="B3939" s="39">
        <f t="shared" si="30"/>
      </c>
      <c r="C3939" s="40">
        <f>IF(Inputs!$C$60,Inputs!$C$11+(B3939-Inputs!$C$69)/Inputs!$C$70,"")</f>
      </c>
      <c r="D3939" s="15"/>
      <c r="E3939" s="15"/>
      <c r="F3939" s="11">
        <f t="shared" si="31"/>
      </c>
      <c r="G3939" s="22" cm="1">
        <f t="array" ref="G3939">IF(AND(Inputs!$C$60,Inputs!$C$61),INDEX(Utility_Rates!$C$29:$F$52,HOUR(C3939)+Inputs!$C$69,MATCH(INDEX(Utility_Rates!$K$6:$K$17,MONTH(C3939))&amp;IF(WEEKDAY(C3939,Inputs!$C$76)&lt;=Inputs!$C$74," weekday"," weekend"),Utility_Rates!$C$28:$F$28,Inputs!$C$68)),"")</f>
      </c>
      <c r="H3939" s="34"/>
      <c r="I3939" s="42">
        <f>IF(AND(ISNUMBER(D3939),ISNUMBER(H3939)),D3939*H3939*Inputs!$C$69,"")</f>
      </c>
      <c r="J3939" s="42">
        <f>IF(AND(ISNUMBER(F3939),ISNUMBER(H3939),F3939&gt;=Inputs!$C$68),F3939*H3939*Inputs!$C$69,"")</f>
      </c>
    </row>
    <row r="3940" spans="2:10" ht="15" customHeight="1" x14ac:dyDescent="0.2">
      <c r="B3940" s="39">
        <f t="shared" si="30"/>
      </c>
      <c r="C3940" s="40">
        <f>IF(Inputs!$C$60,Inputs!$C$11+(B3940-Inputs!$C$69)/Inputs!$C$70,"")</f>
      </c>
      <c r="D3940" s="15"/>
      <c r="E3940" s="15"/>
      <c r="F3940" s="11">
        <f t="shared" si="31"/>
      </c>
      <c r="G3940" s="22" cm="1">
        <f t="array" ref="G3940">IF(AND(Inputs!$C$60,Inputs!$C$61),INDEX(Utility_Rates!$C$29:$F$52,HOUR(C3940)+Inputs!$C$69,MATCH(INDEX(Utility_Rates!$K$6:$K$17,MONTH(C3940))&amp;IF(WEEKDAY(C3940,Inputs!$C$76)&lt;=Inputs!$C$74," weekday"," weekend"),Utility_Rates!$C$28:$F$28,Inputs!$C$68)),"")</f>
      </c>
      <c r="H3940" s="34"/>
      <c r="I3940" s="42">
        <f>IF(AND(ISNUMBER(D3940),ISNUMBER(H3940)),D3940*H3940*Inputs!$C$69,"")</f>
      </c>
      <c r="J3940" s="42">
        <f>IF(AND(ISNUMBER(F3940),ISNUMBER(H3940),F3940&gt;=Inputs!$C$68),F3940*H3940*Inputs!$C$69,"")</f>
      </c>
    </row>
    <row r="3941" spans="2:10" ht="15" customHeight="1" x14ac:dyDescent="0.2">
      <c r="B3941" s="39">
        <f t="shared" si="30"/>
      </c>
      <c r="C3941" s="40">
        <f>IF(Inputs!$C$60,Inputs!$C$11+(B3941-Inputs!$C$69)/Inputs!$C$70,"")</f>
      </c>
      <c r="D3941" s="15"/>
      <c r="E3941" s="15"/>
      <c r="F3941" s="11">
        <f t="shared" si="31"/>
      </c>
      <c r="G3941" s="22" cm="1">
        <f t="array" ref="G3941">IF(AND(Inputs!$C$60,Inputs!$C$61),INDEX(Utility_Rates!$C$29:$F$52,HOUR(C3941)+Inputs!$C$69,MATCH(INDEX(Utility_Rates!$K$6:$K$17,MONTH(C3941))&amp;IF(WEEKDAY(C3941,Inputs!$C$76)&lt;=Inputs!$C$74," weekday"," weekend"),Utility_Rates!$C$28:$F$28,Inputs!$C$68)),"")</f>
      </c>
      <c r="H3941" s="34"/>
      <c r="I3941" s="42">
        <f>IF(AND(ISNUMBER(D3941),ISNUMBER(H3941)),D3941*H3941*Inputs!$C$69,"")</f>
      </c>
      <c r="J3941" s="42">
        <f>IF(AND(ISNUMBER(F3941),ISNUMBER(H3941),F3941&gt;=Inputs!$C$68),F3941*H3941*Inputs!$C$69,"")</f>
      </c>
    </row>
    <row r="3942" spans="2:10" ht="15" customHeight="1" x14ac:dyDescent="0.2">
      <c r="B3942" s="39">
        <f t="shared" si="30"/>
      </c>
      <c r="C3942" s="40">
        <f>IF(Inputs!$C$60,Inputs!$C$11+(B3942-Inputs!$C$69)/Inputs!$C$70,"")</f>
      </c>
      <c r="D3942" s="15"/>
      <c r="E3942" s="15"/>
      <c r="F3942" s="11">
        <f t="shared" si="31"/>
      </c>
      <c r="G3942" s="22" cm="1">
        <f t="array" ref="G3942">IF(AND(Inputs!$C$60,Inputs!$C$61),INDEX(Utility_Rates!$C$29:$F$52,HOUR(C3942)+Inputs!$C$69,MATCH(INDEX(Utility_Rates!$K$6:$K$17,MONTH(C3942))&amp;IF(WEEKDAY(C3942,Inputs!$C$76)&lt;=Inputs!$C$74," weekday"," weekend"),Utility_Rates!$C$28:$F$28,Inputs!$C$68)),"")</f>
      </c>
      <c r="H3942" s="34"/>
      <c r="I3942" s="42">
        <f>IF(AND(ISNUMBER(D3942),ISNUMBER(H3942)),D3942*H3942*Inputs!$C$69,"")</f>
      </c>
      <c r="J3942" s="42">
        <f>IF(AND(ISNUMBER(F3942),ISNUMBER(H3942),F3942&gt;=Inputs!$C$68),F3942*H3942*Inputs!$C$69,"")</f>
      </c>
    </row>
    <row r="3943" spans="2:10" ht="15" customHeight="1" x14ac:dyDescent="0.2">
      <c r="B3943" s="39">
        <f t="shared" si="30"/>
      </c>
      <c r="C3943" s="40">
        <f>IF(Inputs!$C$60,Inputs!$C$11+(B3943-Inputs!$C$69)/Inputs!$C$70,"")</f>
      </c>
      <c r="D3943" s="15"/>
      <c r="E3943" s="15"/>
      <c r="F3943" s="11">
        <f t="shared" si="31"/>
      </c>
      <c r="G3943" s="22" cm="1">
        <f t="array" ref="G3943">IF(AND(Inputs!$C$60,Inputs!$C$61),INDEX(Utility_Rates!$C$29:$F$52,HOUR(C3943)+Inputs!$C$69,MATCH(INDEX(Utility_Rates!$K$6:$K$17,MONTH(C3943))&amp;IF(WEEKDAY(C3943,Inputs!$C$76)&lt;=Inputs!$C$74," weekday"," weekend"),Utility_Rates!$C$28:$F$28,Inputs!$C$68)),"")</f>
      </c>
      <c r="H3943" s="34"/>
      <c r="I3943" s="42">
        <f>IF(AND(ISNUMBER(D3943),ISNUMBER(H3943)),D3943*H3943*Inputs!$C$69,"")</f>
      </c>
      <c r="J3943" s="42">
        <f>IF(AND(ISNUMBER(F3943),ISNUMBER(H3943),F3943&gt;=Inputs!$C$68),F3943*H3943*Inputs!$C$69,"")</f>
      </c>
    </row>
    <row r="3944" spans="2:10" ht="15" customHeight="1" x14ac:dyDescent="0.2">
      <c r="B3944" s="39">
        <f t="shared" si="30"/>
      </c>
      <c r="C3944" s="40">
        <f>IF(Inputs!$C$60,Inputs!$C$11+(B3944-Inputs!$C$69)/Inputs!$C$70,"")</f>
      </c>
      <c r="D3944" s="15"/>
      <c r="E3944" s="15"/>
      <c r="F3944" s="11">
        <f t="shared" si="31"/>
      </c>
      <c r="G3944" s="22" cm="1">
        <f t="array" ref="G3944">IF(AND(Inputs!$C$60,Inputs!$C$61),INDEX(Utility_Rates!$C$29:$F$52,HOUR(C3944)+Inputs!$C$69,MATCH(INDEX(Utility_Rates!$K$6:$K$17,MONTH(C3944))&amp;IF(WEEKDAY(C3944,Inputs!$C$76)&lt;=Inputs!$C$74," weekday"," weekend"),Utility_Rates!$C$28:$F$28,Inputs!$C$68)),"")</f>
      </c>
      <c r="H3944" s="34"/>
      <c r="I3944" s="42">
        <f>IF(AND(ISNUMBER(D3944),ISNUMBER(H3944)),D3944*H3944*Inputs!$C$69,"")</f>
      </c>
      <c r="J3944" s="42">
        <f>IF(AND(ISNUMBER(F3944),ISNUMBER(H3944),F3944&gt;=Inputs!$C$68),F3944*H3944*Inputs!$C$69,"")</f>
      </c>
    </row>
    <row r="3945" spans="2:10" ht="15" customHeight="1" x14ac:dyDescent="0.2">
      <c r="B3945" s="39">
        <f t="shared" si="30"/>
      </c>
      <c r="C3945" s="40">
        <f>IF(Inputs!$C$60,Inputs!$C$11+(B3945-Inputs!$C$69)/Inputs!$C$70,"")</f>
      </c>
      <c r="D3945" s="15"/>
      <c r="E3945" s="15"/>
      <c r="F3945" s="11">
        <f t="shared" si="31"/>
      </c>
      <c r="G3945" s="22" cm="1">
        <f t="array" ref="G3945">IF(AND(Inputs!$C$60,Inputs!$C$61),INDEX(Utility_Rates!$C$29:$F$52,HOUR(C3945)+Inputs!$C$69,MATCH(INDEX(Utility_Rates!$K$6:$K$17,MONTH(C3945))&amp;IF(WEEKDAY(C3945,Inputs!$C$76)&lt;=Inputs!$C$74," weekday"," weekend"),Utility_Rates!$C$28:$F$28,Inputs!$C$68)),"")</f>
      </c>
      <c r="H3945" s="34"/>
      <c r="I3945" s="42">
        <f>IF(AND(ISNUMBER(D3945),ISNUMBER(H3945)),D3945*H3945*Inputs!$C$69,"")</f>
      </c>
      <c r="J3945" s="42">
        <f>IF(AND(ISNUMBER(F3945),ISNUMBER(H3945),F3945&gt;=Inputs!$C$68),F3945*H3945*Inputs!$C$69,"")</f>
      </c>
    </row>
    <row r="3946" spans="2:10" ht="15" customHeight="1" x14ac:dyDescent="0.2">
      <c r="B3946" s="39">
        <f t="shared" si="30"/>
      </c>
      <c r="C3946" s="40">
        <f>IF(Inputs!$C$60,Inputs!$C$11+(B3946-Inputs!$C$69)/Inputs!$C$70,"")</f>
      </c>
      <c r="D3946" s="15"/>
      <c r="E3946" s="15"/>
      <c r="F3946" s="11">
        <f t="shared" si="31"/>
      </c>
      <c r="G3946" s="22" cm="1">
        <f t="array" ref="G3946">IF(AND(Inputs!$C$60,Inputs!$C$61),INDEX(Utility_Rates!$C$29:$F$52,HOUR(C3946)+Inputs!$C$69,MATCH(INDEX(Utility_Rates!$K$6:$K$17,MONTH(C3946))&amp;IF(WEEKDAY(C3946,Inputs!$C$76)&lt;=Inputs!$C$74," weekday"," weekend"),Utility_Rates!$C$28:$F$28,Inputs!$C$68)),"")</f>
      </c>
      <c r="H3946" s="34"/>
      <c r="I3946" s="42">
        <f>IF(AND(ISNUMBER(D3946),ISNUMBER(H3946)),D3946*H3946*Inputs!$C$69,"")</f>
      </c>
      <c r="J3946" s="42">
        <f>IF(AND(ISNUMBER(F3946),ISNUMBER(H3946),F3946&gt;=Inputs!$C$68),F3946*H3946*Inputs!$C$69,"")</f>
      </c>
    </row>
    <row r="3947" spans="2:10" ht="15" customHeight="1" x14ac:dyDescent="0.2">
      <c r="B3947" s="39">
        <f t="shared" si="30"/>
      </c>
      <c r="C3947" s="40">
        <f>IF(Inputs!$C$60,Inputs!$C$11+(B3947-Inputs!$C$69)/Inputs!$C$70,"")</f>
      </c>
      <c r="D3947" s="15"/>
      <c r="E3947" s="15"/>
      <c r="F3947" s="11">
        <f t="shared" si="31"/>
      </c>
      <c r="G3947" s="22" cm="1">
        <f t="array" ref="G3947">IF(AND(Inputs!$C$60,Inputs!$C$61),INDEX(Utility_Rates!$C$29:$F$52,HOUR(C3947)+Inputs!$C$69,MATCH(INDEX(Utility_Rates!$K$6:$K$17,MONTH(C3947))&amp;IF(WEEKDAY(C3947,Inputs!$C$76)&lt;=Inputs!$C$74," weekday"," weekend"),Utility_Rates!$C$28:$F$28,Inputs!$C$68)),"")</f>
      </c>
      <c r="H3947" s="34"/>
      <c r="I3947" s="42">
        <f>IF(AND(ISNUMBER(D3947),ISNUMBER(H3947)),D3947*H3947*Inputs!$C$69,"")</f>
      </c>
      <c r="J3947" s="42">
        <f>IF(AND(ISNUMBER(F3947),ISNUMBER(H3947),F3947&gt;=Inputs!$C$68),F3947*H3947*Inputs!$C$69,"")</f>
      </c>
    </row>
    <row r="3948" spans="2:10" ht="15" customHeight="1" x14ac:dyDescent="0.2">
      <c r="B3948" s="39">
        <f t="shared" si="30"/>
      </c>
      <c r="C3948" s="40">
        <f>IF(Inputs!$C$60,Inputs!$C$11+(B3948-Inputs!$C$69)/Inputs!$C$70,"")</f>
      </c>
      <c r="D3948" s="15"/>
      <c r="E3948" s="15"/>
      <c r="F3948" s="11">
        <f t="shared" si="31"/>
      </c>
      <c r="G3948" s="22" cm="1">
        <f t="array" ref="G3948">IF(AND(Inputs!$C$60,Inputs!$C$61),INDEX(Utility_Rates!$C$29:$F$52,HOUR(C3948)+Inputs!$C$69,MATCH(INDEX(Utility_Rates!$K$6:$K$17,MONTH(C3948))&amp;IF(WEEKDAY(C3948,Inputs!$C$76)&lt;=Inputs!$C$74," weekday"," weekend"),Utility_Rates!$C$28:$F$28,Inputs!$C$68)),"")</f>
      </c>
      <c r="H3948" s="34"/>
      <c r="I3948" s="42">
        <f>IF(AND(ISNUMBER(D3948),ISNUMBER(H3948)),D3948*H3948*Inputs!$C$69,"")</f>
      </c>
      <c r="J3948" s="42">
        <f>IF(AND(ISNUMBER(F3948),ISNUMBER(H3948),F3948&gt;=Inputs!$C$68),F3948*H3948*Inputs!$C$69,"")</f>
      </c>
    </row>
    <row r="3949" spans="2:10" ht="15" customHeight="1" x14ac:dyDescent="0.2">
      <c r="B3949" s="39">
        <f t="shared" si="30"/>
      </c>
      <c r="C3949" s="40">
        <f>IF(Inputs!$C$60,Inputs!$C$11+(B3949-Inputs!$C$69)/Inputs!$C$70,"")</f>
      </c>
      <c r="D3949" s="15"/>
      <c r="E3949" s="15"/>
      <c r="F3949" s="11">
        <f t="shared" si="31"/>
      </c>
      <c r="G3949" s="22" cm="1">
        <f t="array" ref="G3949">IF(AND(Inputs!$C$60,Inputs!$C$61),INDEX(Utility_Rates!$C$29:$F$52,HOUR(C3949)+Inputs!$C$69,MATCH(INDEX(Utility_Rates!$K$6:$K$17,MONTH(C3949))&amp;IF(WEEKDAY(C3949,Inputs!$C$76)&lt;=Inputs!$C$74," weekday"," weekend"),Utility_Rates!$C$28:$F$28,Inputs!$C$68)),"")</f>
      </c>
      <c r="H3949" s="34"/>
      <c r="I3949" s="42">
        <f>IF(AND(ISNUMBER(D3949),ISNUMBER(H3949)),D3949*H3949*Inputs!$C$69,"")</f>
      </c>
      <c r="J3949" s="42">
        <f>IF(AND(ISNUMBER(F3949),ISNUMBER(H3949),F3949&gt;=Inputs!$C$68),F3949*H3949*Inputs!$C$69,"")</f>
      </c>
    </row>
    <row r="3950" spans="2:10" ht="15" customHeight="1" x14ac:dyDescent="0.2">
      <c r="B3950" s="39">
        <f t="shared" si="30"/>
      </c>
      <c r="C3950" s="40">
        <f>IF(Inputs!$C$60,Inputs!$C$11+(B3950-Inputs!$C$69)/Inputs!$C$70,"")</f>
      </c>
      <c r="D3950" s="15"/>
      <c r="E3950" s="15"/>
      <c r="F3950" s="11">
        <f t="shared" si="31"/>
      </c>
      <c r="G3950" s="22" cm="1">
        <f t="array" ref="G3950">IF(AND(Inputs!$C$60,Inputs!$C$61),INDEX(Utility_Rates!$C$29:$F$52,HOUR(C3950)+Inputs!$C$69,MATCH(INDEX(Utility_Rates!$K$6:$K$17,MONTH(C3950))&amp;IF(WEEKDAY(C3950,Inputs!$C$76)&lt;=Inputs!$C$74," weekday"," weekend"),Utility_Rates!$C$28:$F$28,Inputs!$C$68)),"")</f>
      </c>
      <c r="H3950" s="34"/>
      <c r="I3950" s="42">
        <f>IF(AND(ISNUMBER(D3950),ISNUMBER(H3950)),D3950*H3950*Inputs!$C$69,"")</f>
      </c>
      <c r="J3950" s="42">
        <f>IF(AND(ISNUMBER(F3950),ISNUMBER(H3950),F3950&gt;=Inputs!$C$68),F3950*H3950*Inputs!$C$69,"")</f>
      </c>
    </row>
    <row r="3951" spans="2:10" ht="15" customHeight="1" x14ac:dyDescent="0.2">
      <c r="B3951" s="39">
        <f t="shared" si="30"/>
      </c>
      <c r="C3951" s="40">
        <f>IF(Inputs!$C$60,Inputs!$C$11+(B3951-Inputs!$C$69)/Inputs!$C$70,"")</f>
      </c>
      <c r="D3951" s="15"/>
      <c r="E3951" s="15"/>
      <c r="F3951" s="11">
        <f t="shared" si="31"/>
      </c>
      <c r="G3951" s="22" cm="1">
        <f t="array" ref="G3951">IF(AND(Inputs!$C$60,Inputs!$C$61),INDEX(Utility_Rates!$C$29:$F$52,HOUR(C3951)+Inputs!$C$69,MATCH(INDEX(Utility_Rates!$K$6:$K$17,MONTH(C3951))&amp;IF(WEEKDAY(C3951,Inputs!$C$76)&lt;=Inputs!$C$74," weekday"," weekend"),Utility_Rates!$C$28:$F$28,Inputs!$C$68)),"")</f>
      </c>
      <c r="H3951" s="34"/>
      <c r="I3951" s="42">
        <f>IF(AND(ISNUMBER(D3951),ISNUMBER(H3951)),D3951*H3951*Inputs!$C$69,"")</f>
      </c>
      <c r="J3951" s="42">
        <f>IF(AND(ISNUMBER(F3951),ISNUMBER(H3951),F3951&gt;=Inputs!$C$68),F3951*H3951*Inputs!$C$69,"")</f>
      </c>
    </row>
    <row r="3952" spans="2:10" ht="15" customHeight="1" x14ac:dyDescent="0.2">
      <c r="B3952" s="39">
        <f t="shared" si="30"/>
      </c>
      <c r="C3952" s="40">
        <f>IF(Inputs!$C$60,Inputs!$C$11+(B3952-Inputs!$C$69)/Inputs!$C$70,"")</f>
      </c>
      <c r="D3952" s="15"/>
      <c r="E3952" s="15"/>
      <c r="F3952" s="11">
        <f t="shared" si="31"/>
      </c>
      <c r="G3952" s="22" cm="1">
        <f t="array" ref="G3952">IF(AND(Inputs!$C$60,Inputs!$C$61),INDEX(Utility_Rates!$C$29:$F$52,HOUR(C3952)+Inputs!$C$69,MATCH(INDEX(Utility_Rates!$K$6:$K$17,MONTH(C3952))&amp;IF(WEEKDAY(C3952,Inputs!$C$76)&lt;=Inputs!$C$74," weekday"," weekend"),Utility_Rates!$C$28:$F$28,Inputs!$C$68)),"")</f>
      </c>
      <c r="H3952" s="34"/>
      <c r="I3952" s="42">
        <f>IF(AND(ISNUMBER(D3952),ISNUMBER(H3952)),D3952*H3952*Inputs!$C$69,"")</f>
      </c>
      <c r="J3952" s="42">
        <f>IF(AND(ISNUMBER(F3952),ISNUMBER(H3952),F3952&gt;=Inputs!$C$68),F3952*H3952*Inputs!$C$69,"")</f>
      </c>
    </row>
    <row r="3953" spans="2:10" ht="15" customHeight="1" x14ac:dyDescent="0.2">
      <c r="B3953" s="39">
        <f t="shared" si="30"/>
      </c>
      <c r="C3953" s="40">
        <f>IF(Inputs!$C$60,Inputs!$C$11+(B3953-Inputs!$C$69)/Inputs!$C$70,"")</f>
      </c>
      <c r="D3953" s="15"/>
      <c r="E3953" s="15"/>
      <c r="F3953" s="11">
        <f t="shared" si="31"/>
      </c>
      <c r="G3953" s="22" cm="1">
        <f t="array" ref="G3953">IF(AND(Inputs!$C$60,Inputs!$C$61),INDEX(Utility_Rates!$C$29:$F$52,HOUR(C3953)+Inputs!$C$69,MATCH(INDEX(Utility_Rates!$K$6:$K$17,MONTH(C3953))&amp;IF(WEEKDAY(C3953,Inputs!$C$76)&lt;=Inputs!$C$74," weekday"," weekend"),Utility_Rates!$C$28:$F$28,Inputs!$C$68)),"")</f>
      </c>
      <c r="H3953" s="34"/>
      <c r="I3953" s="42">
        <f>IF(AND(ISNUMBER(D3953),ISNUMBER(H3953)),D3953*H3953*Inputs!$C$69,"")</f>
      </c>
      <c r="J3953" s="42">
        <f>IF(AND(ISNUMBER(F3953),ISNUMBER(H3953),F3953&gt;=Inputs!$C$68),F3953*H3953*Inputs!$C$69,"")</f>
      </c>
    </row>
    <row r="3954" spans="2:10" ht="15" customHeight="1" x14ac:dyDescent="0.2">
      <c r="B3954" s="39">
        <f t="shared" si="30"/>
      </c>
      <c r="C3954" s="40">
        <f>IF(Inputs!$C$60,Inputs!$C$11+(B3954-Inputs!$C$69)/Inputs!$C$70,"")</f>
      </c>
      <c r="D3954" s="15"/>
      <c r="E3954" s="15"/>
      <c r="F3954" s="11">
        <f t="shared" si="31"/>
      </c>
      <c r="G3954" s="22" cm="1">
        <f t="array" ref="G3954">IF(AND(Inputs!$C$60,Inputs!$C$61),INDEX(Utility_Rates!$C$29:$F$52,HOUR(C3954)+Inputs!$C$69,MATCH(INDEX(Utility_Rates!$K$6:$K$17,MONTH(C3954))&amp;IF(WEEKDAY(C3954,Inputs!$C$76)&lt;=Inputs!$C$74," weekday"," weekend"),Utility_Rates!$C$28:$F$28,Inputs!$C$68)),"")</f>
      </c>
      <c r="H3954" s="34"/>
      <c r="I3954" s="42">
        <f>IF(AND(ISNUMBER(D3954),ISNUMBER(H3954)),D3954*H3954*Inputs!$C$69,"")</f>
      </c>
      <c r="J3954" s="42">
        <f>IF(AND(ISNUMBER(F3954),ISNUMBER(H3954),F3954&gt;=Inputs!$C$68),F3954*H3954*Inputs!$C$69,"")</f>
      </c>
    </row>
    <row r="3955" spans="2:10" ht="15" customHeight="1" x14ac:dyDescent="0.2">
      <c r="B3955" s="39">
        <f t="shared" si="30"/>
      </c>
      <c r="C3955" s="40">
        <f>IF(Inputs!$C$60,Inputs!$C$11+(B3955-Inputs!$C$69)/Inputs!$C$70,"")</f>
      </c>
      <c r="D3955" s="15"/>
      <c r="E3955" s="15"/>
      <c r="F3955" s="11">
        <f t="shared" si="31"/>
      </c>
      <c r="G3955" s="22" cm="1">
        <f t="array" ref="G3955">IF(AND(Inputs!$C$60,Inputs!$C$61),INDEX(Utility_Rates!$C$29:$F$52,HOUR(C3955)+Inputs!$C$69,MATCH(INDEX(Utility_Rates!$K$6:$K$17,MONTH(C3955))&amp;IF(WEEKDAY(C3955,Inputs!$C$76)&lt;=Inputs!$C$74," weekday"," weekend"),Utility_Rates!$C$28:$F$28,Inputs!$C$68)),"")</f>
      </c>
      <c r="H3955" s="34"/>
      <c r="I3955" s="42">
        <f>IF(AND(ISNUMBER(D3955),ISNUMBER(H3955)),D3955*H3955*Inputs!$C$69,"")</f>
      </c>
      <c r="J3955" s="42">
        <f>IF(AND(ISNUMBER(F3955),ISNUMBER(H3955),F3955&gt;=Inputs!$C$68),F3955*H3955*Inputs!$C$69,"")</f>
      </c>
    </row>
    <row r="3956" spans="2:10" ht="15" customHeight="1" x14ac:dyDescent="0.2">
      <c r="B3956" s="39">
        <f t="shared" si="30"/>
      </c>
      <c r="C3956" s="40">
        <f>IF(Inputs!$C$60,Inputs!$C$11+(B3956-Inputs!$C$69)/Inputs!$C$70,"")</f>
      </c>
      <c r="D3956" s="15"/>
      <c r="E3956" s="15"/>
      <c r="F3956" s="11">
        <f t="shared" si="31"/>
      </c>
      <c r="G3956" s="22" cm="1">
        <f t="array" ref="G3956">IF(AND(Inputs!$C$60,Inputs!$C$61),INDEX(Utility_Rates!$C$29:$F$52,HOUR(C3956)+Inputs!$C$69,MATCH(INDEX(Utility_Rates!$K$6:$K$17,MONTH(C3956))&amp;IF(WEEKDAY(C3956,Inputs!$C$76)&lt;=Inputs!$C$74," weekday"," weekend"),Utility_Rates!$C$28:$F$28,Inputs!$C$68)),"")</f>
      </c>
      <c r="H3956" s="34"/>
      <c r="I3956" s="42">
        <f>IF(AND(ISNUMBER(D3956),ISNUMBER(H3956)),D3956*H3956*Inputs!$C$69,"")</f>
      </c>
      <c r="J3956" s="42">
        <f>IF(AND(ISNUMBER(F3956),ISNUMBER(H3956),F3956&gt;=Inputs!$C$68),F3956*H3956*Inputs!$C$69,"")</f>
      </c>
    </row>
    <row r="3957" spans="2:10" ht="15" customHeight="1" x14ac:dyDescent="0.2">
      <c r="B3957" s="39">
        <f t="shared" si="30"/>
      </c>
      <c r="C3957" s="40">
        <f>IF(Inputs!$C$60,Inputs!$C$11+(B3957-Inputs!$C$69)/Inputs!$C$70,"")</f>
      </c>
      <c r="D3957" s="15"/>
      <c r="E3957" s="15"/>
      <c r="F3957" s="11">
        <f t="shared" si="31"/>
      </c>
      <c r="G3957" s="22" cm="1">
        <f t="array" ref="G3957">IF(AND(Inputs!$C$60,Inputs!$C$61),INDEX(Utility_Rates!$C$29:$F$52,HOUR(C3957)+Inputs!$C$69,MATCH(INDEX(Utility_Rates!$K$6:$K$17,MONTH(C3957))&amp;IF(WEEKDAY(C3957,Inputs!$C$76)&lt;=Inputs!$C$74," weekday"," weekend"),Utility_Rates!$C$28:$F$28,Inputs!$C$68)),"")</f>
      </c>
      <c r="H3957" s="34"/>
      <c r="I3957" s="42">
        <f>IF(AND(ISNUMBER(D3957),ISNUMBER(H3957)),D3957*H3957*Inputs!$C$69,"")</f>
      </c>
      <c r="J3957" s="42">
        <f>IF(AND(ISNUMBER(F3957),ISNUMBER(H3957),F3957&gt;=Inputs!$C$68),F3957*H3957*Inputs!$C$69,"")</f>
      </c>
    </row>
    <row r="3958" spans="2:10" ht="15" customHeight="1" x14ac:dyDescent="0.2">
      <c r="B3958" s="39">
        <f t="shared" si="30"/>
      </c>
      <c r="C3958" s="40">
        <f>IF(Inputs!$C$60,Inputs!$C$11+(B3958-Inputs!$C$69)/Inputs!$C$70,"")</f>
      </c>
      <c r="D3958" s="15"/>
      <c r="E3958" s="15"/>
      <c r="F3958" s="11">
        <f t="shared" si="31"/>
      </c>
      <c r="G3958" s="22" cm="1">
        <f t="array" ref="G3958">IF(AND(Inputs!$C$60,Inputs!$C$61),INDEX(Utility_Rates!$C$29:$F$52,HOUR(C3958)+Inputs!$C$69,MATCH(INDEX(Utility_Rates!$K$6:$K$17,MONTH(C3958))&amp;IF(WEEKDAY(C3958,Inputs!$C$76)&lt;=Inputs!$C$74," weekday"," weekend"),Utility_Rates!$C$28:$F$28,Inputs!$C$68)),"")</f>
      </c>
      <c r="H3958" s="34"/>
      <c r="I3958" s="42">
        <f>IF(AND(ISNUMBER(D3958),ISNUMBER(H3958)),D3958*H3958*Inputs!$C$69,"")</f>
      </c>
      <c r="J3958" s="42">
        <f>IF(AND(ISNUMBER(F3958),ISNUMBER(H3958),F3958&gt;=Inputs!$C$68),F3958*H3958*Inputs!$C$69,"")</f>
      </c>
    </row>
    <row r="3959" spans="2:10" ht="15" customHeight="1" x14ac:dyDescent="0.2">
      <c r="B3959" s="39">
        <f t="shared" si="30"/>
      </c>
      <c r="C3959" s="40">
        <f>IF(Inputs!$C$60,Inputs!$C$11+(B3959-Inputs!$C$69)/Inputs!$C$70,"")</f>
      </c>
      <c r="D3959" s="15"/>
      <c r="E3959" s="15"/>
      <c r="F3959" s="11">
        <f t="shared" si="31"/>
      </c>
      <c r="G3959" s="22" cm="1">
        <f t="array" ref="G3959">IF(AND(Inputs!$C$60,Inputs!$C$61),INDEX(Utility_Rates!$C$29:$F$52,HOUR(C3959)+Inputs!$C$69,MATCH(INDEX(Utility_Rates!$K$6:$K$17,MONTH(C3959))&amp;IF(WEEKDAY(C3959,Inputs!$C$76)&lt;=Inputs!$C$74," weekday"," weekend"),Utility_Rates!$C$28:$F$28,Inputs!$C$68)),"")</f>
      </c>
      <c r="H3959" s="34"/>
      <c r="I3959" s="42">
        <f>IF(AND(ISNUMBER(D3959),ISNUMBER(H3959)),D3959*H3959*Inputs!$C$69,"")</f>
      </c>
      <c r="J3959" s="42">
        <f>IF(AND(ISNUMBER(F3959),ISNUMBER(H3959),F3959&gt;=Inputs!$C$68),F3959*H3959*Inputs!$C$69,"")</f>
      </c>
    </row>
    <row r="3960" spans="2:10" ht="15" customHeight="1" x14ac:dyDescent="0.2">
      <c r="B3960" s="39">
        <f t="shared" si="30"/>
      </c>
      <c r="C3960" s="40">
        <f>IF(Inputs!$C$60,Inputs!$C$11+(B3960-Inputs!$C$69)/Inputs!$C$70,"")</f>
      </c>
      <c r="D3960" s="15"/>
      <c r="E3960" s="15"/>
      <c r="F3960" s="11">
        <f t="shared" si="31"/>
      </c>
      <c r="G3960" s="22" cm="1">
        <f t="array" ref="G3960">IF(AND(Inputs!$C$60,Inputs!$C$61),INDEX(Utility_Rates!$C$29:$F$52,HOUR(C3960)+Inputs!$C$69,MATCH(INDEX(Utility_Rates!$K$6:$K$17,MONTH(C3960))&amp;IF(WEEKDAY(C3960,Inputs!$C$76)&lt;=Inputs!$C$74," weekday"," weekend"),Utility_Rates!$C$28:$F$28,Inputs!$C$68)),"")</f>
      </c>
      <c r="H3960" s="34"/>
      <c r="I3960" s="42">
        <f>IF(AND(ISNUMBER(D3960),ISNUMBER(H3960)),D3960*H3960*Inputs!$C$69,"")</f>
      </c>
      <c r="J3960" s="42">
        <f>IF(AND(ISNUMBER(F3960),ISNUMBER(H3960),F3960&gt;=Inputs!$C$68),F3960*H3960*Inputs!$C$69,"")</f>
      </c>
    </row>
    <row r="3961" spans="2:10" ht="15" customHeight="1" x14ac:dyDescent="0.2">
      <c r="B3961" s="39">
        <f t="shared" si="30"/>
      </c>
      <c r="C3961" s="40">
        <f>IF(Inputs!$C$60,Inputs!$C$11+(B3961-Inputs!$C$69)/Inputs!$C$70,"")</f>
      </c>
      <c r="D3961" s="15"/>
      <c r="E3961" s="15"/>
      <c r="F3961" s="11">
        <f t="shared" si="31"/>
      </c>
      <c r="G3961" s="22" cm="1">
        <f t="array" ref="G3961">IF(AND(Inputs!$C$60,Inputs!$C$61),INDEX(Utility_Rates!$C$29:$F$52,HOUR(C3961)+Inputs!$C$69,MATCH(INDEX(Utility_Rates!$K$6:$K$17,MONTH(C3961))&amp;IF(WEEKDAY(C3961,Inputs!$C$76)&lt;=Inputs!$C$74," weekday"," weekend"),Utility_Rates!$C$28:$F$28,Inputs!$C$68)),"")</f>
      </c>
      <c r="H3961" s="34"/>
      <c r="I3961" s="42">
        <f>IF(AND(ISNUMBER(D3961),ISNUMBER(H3961)),D3961*H3961*Inputs!$C$69,"")</f>
      </c>
      <c r="J3961" s="42">
        <f>IF(AND(ISNUMBER(F3961),ISNUMBER(H3961),F3961&gt;=Inputs!$C$68),F3961*H3961*Inputs!$C$69,"")</f>
      </c>
    </row>
    <row r="3962" spans="2:10" ht="15" customHeight="1" x14ac:dyDescent="0.2">
      <c r="B3962" s="39">
        <f t="shared" si="30"/>
      </c>
      <c r="C3962" s="40">
        <f>IF(Inputs!$C$60,Inputs!$C$11+(B3962-Inputs!$C$69)/Inputs!$C$70,"")</f>
      </c>
      <c r="D3962" s="15"/>
      <c r="E3962" s="15"/>
      <c r="F3962" s="11">
        <f t="shared" si="31"/>
      </c>
      <c r="G3962" s="22" cm="1">
        <f t="array" ref="G3962">IF(AND(Inputs!$C$60,Inputs!$C$61),INDEX(Utility_Rates!$C$29:$F$52,HOUR(C3962)+Inputs!$C$69,MATCH(INDEX(Utility_Rates!$K$6:$K$17,MONTH(C3962))&amp;IF(WEEKDAY(C3962,Inputs!$C$76)&lt;=Inputs!$C$74," weekday"," weekend"),Utility_Rates!$C$28:$F$28,Inputs!$C$68)),"")</f>
      </c>
      <c r="H3962" s="34"/>
      <c r="I3962" s="42">
        <f>IF(AND(ISNUMBER(D3962),ISNUMBER(H3962)),D3962*H3962*Inputs!$C$69,"")</f>
      </c>
      <c r="J3962" s="42">
        <f>IF(AND(ISNUMBER(F3962),ISNUMBER(H3962),F3962&gt;=Inputs!$C$68),F3962*H3962*Inputs!$C$69,"")</f>
      </c>
    </row>
    <row r="3963" spans="2:10" ht="15" customHeight="1" x14ac:dyDescent="0.2">
      <c r="B3963" s="39">
        <f t="shared" si="30"/>
      </c>
      <c r="C3963" s="40">
        <f>IF(Inputs!$C$60,Inputs!$C$11+(B3963-Inputs!$C$69)/Inputs!$C$70,"")</f>
      </c>
      <c r="D3963" s="15"/>
      <c r="E3963" s="15"/>
      <c r="F3963" s="11">
        <f t="shared" si="31"/>
      </c>
      <c r="G3963" s="22" cm="1">
        <f t="array" ref="G3963">IF(AND(Inputs!$C$60,Inputs!$C$61),INDEX(Utility_Rates!$C$29:$F$52,HOUR(C3963)+Inputs!$C$69,MATCH(INDEX(Utility_Rates!$K$6:$K$17,MONTH(C3963))&amp;IF(WEEKDAY(C3963,Inputs!$C$76)&lt;=Inputs!$C$74," weekday"," weekend"),Utility_Rates!$C$28:$F$28,Inputs!$C$68)),"")</f>
      </c>
      <c r="H3963" s="34"/>
      <c r="I3963" s="42">
        <f>IF(AND(ISNUMBER(D3963),ISNUMBER(H3963)),D3963*H3963*Inputs!$C$69,"")</f>
      </c>
      <c r="J3963" s="42">
        <f>IF(AND(ISNUMBER(F3963),ISNUMBER(H3963),F3963&gt;=Inputs!$C$68),F3963*H3963*Inputs!$C$69,"")</f>
      </c>
    </row>
    <row r="3964" spans="2:10" ht="15" customHeight="1" x14ac:dyDescent="0.2">
      <c r="B3964" s="39">
        <f t="shared" si="30"/>
      </c>
      <c r="C3964" s="40">
        <f>IF(Inputs!$C$60,Inputs!$C$11+(B3964-Inputs!$C$69)/Inputs!$C$70,"")</f>
      </c>
      <c r="D3964" s="15"/>
      <c r="E3964" s="15"/>
      <c r="F3964" s="11">
        <f t="shared" si="31"/>
      </c>
      <c r="G3964" s="22" cm="1">
        <f t="array" ref="G3964">IF(AND(Inputs!$C$60,Inputs!$C$61),INDEX(Utility_Rates!$C$29:$F$52,HOUR(C3964)+Inputs!$C$69,MATCH(INDEX(Utility_Rates!$K$6:$K$17,MONTH(C3964))&amp;IF(WEEKDAY(C3964,Inputs!$C$76)&lt;=Inputs!$C$74," weekday"," weekend"),Utility_Rates!$C$28:$F$28,Inputs!$C$68)),"")</f>
      </c>
      <c r="H3964" s="34"/>
      <c r="I3964" s="42">
        <f>IF(AND(ISNUMBER(D3964),ISNUMBER(H3964)),D3964*H3964*Inputs!$C$69,"")</f>
      </c>
      <c r="J3964" s="42">
        <f>IF(AND(ISNUMBER(F3964),ISNUMBER(H3964),F3964&gt;=Inputs!$C$68),F3964*H3964*Inputs!$C$69,"")</f>
      </c>
    </row>
    <row r="3965" spans="2:10" ht="15" customHeight="1" x14ac:dyDescent="0.2">
      <c r="B3965" s="39">
        <f t="shared" si="30"/>
      </c>
      <c r="C3965" s="40">
        <f>IF(Inputs!$C$60,Inputs!$C$11+(B3965-Inputs!$C$69)/Inputs!$C$70,"")</f>
      </c>
      <c r="D3965" s="15"/>
      <c r="E3965" s="15"/>
      <c r="F3965" s="11">
        <f t="shared" si="31"/>
      </c>
      <c r="G3965" s="22" cm="1">
        <f t="array" ref="G3965">IF(AND(Inputs!$C$60,Inputs!$C$61),INDEX(Utility_Rates!$C$29:$F$52,HOUR(C3965)+Inputs!$C$69,MATCH(INDEX(Utility_Rates!$K$6:$K$17,MONTH(C3965))&amp;IF(WEEKDAY(C3965,Inputs!$C$76)&lt;=Inputs!$C$74," weekday"," weekend"),Utility_Rates!$C$28:$F$28,Inputs!$C$68)),"")</f>
      </c>
      <c r="H3965" s="34"/>
      <c r="I3965" s="42">
        <f>IF(AND(ISNUMBER(D3965),ISNUMBER(H3965)),D3965*H3965*Inputs!$C$69,"")</f>
      </c>
      <c r="J3965" s="42">
        <f>IF(AND(ISNUMBER(F3965),ISNUMBER(H3965),F3965&gt;=Inputs!$C$68),F3965*H3965*Inputs!$C$69,"")</f>
      </c>
    </row>
    <row r="3966" spans="2:10" ht="15" customHeight="1" x14ac:dyDescent="0.2">
      <c r="B3966" s="39">
        <f t="shared" si="30"/>
      </c>
      <c r="C3966" s="40">
        <f>IF(Inputs!$C$60,Inputs!$C$11+(B3966-Inputs!$C$69)/Inputs!$C$70,"")</f>
      </c>
      <c r="D3966" s="15"/>
      <c r="E3966" s="15"/>
      <c r="F3966" s="11">
        <f t="shared" si="31"/>
      </c>
      <c r="G3966" s="22" cm="1">
        <f t="array" ref="G3966">IF(AND(Inputs!$C$60,Inputs!$C$61),INDEX(Utility_Rates!$C$29:$F$52,HOUR(C3966)+Inputs!$C$69,MATCH(INDEX(Utility_Rates!$K$6:$K$17,MONTH(C3966))&amp;IF(WEEKDAY(C3966,Inputs!$C$76)&lt;=Inputs!$C$74," weekday"," weekend"),Utility_Rates!$C$28:$F$28,Inputs!$C$68)),"")</f>
      </c>
      <c r="H3966" s="34"/>
      <c r="I3966" s="42">
        <f>IF(AND(ISNUMBER(D3966),ISNUMBER(H3966)),D3966*H3966*Inputs!$C$69,"")</f>
      </c>
      <c r="J3966" s="42">
        <f>IF(AND(ISNUMBER(F3966),ISNUMBER(H3966),F3966&gt;=Inputs!$C$68),F3966*H3966*Inputs!$C$69,"")</f>
      </c>
    </row>
    <row r="3967" spans="2:10" ht="15" customHeight="1" x14ac:dyDescent="0.2">
      <c r="B3967" s="39">
        <f t="shared" si="30"/>
      </c>
      <c r="C3967" s="40">
        <f>IF(Inputs!$C$60,Inputs!$C$11+(B3967-Inputs!$C$69)/Inputs!$C$70,"")</f>
      </c>
      <c r="D3967" s="15"/>
      <c r="E3967" s="15"/>
      <c r="F3967" s="11">
        <f t="shared" si="31"/>
      </c>
      <c r="G3967" s="22" cm="1">
        <f t="array" ref="G3967">IF(AND(Inputs!$C$60,Inputs!$C$61),INDEX(Utility_Rates!$C$29:$F$52,HOUR(C3967)+Inputs!$C$69,MATCH(INDEX(Utility_Rates!$K$6:$K$17,MONTH(C3967))&amp;IF(WEEKDAY(C3967,Inputs!$C$76)&lt;=Inputs!$C$74," weekday"," weekend"),Utility_Rates!$C$28:$F$28,Inputs!$C$68)),"")</f>
      </c>
      <c r="H3967" s="34"/>
      <c r="I3967" s="42">
        <f>IF(AND(ISNUMBER(D3967),ISNUMBER(H3967)),D3967*H3967*Inputs!$C$69,"")</f>
      </c>
      <c r="J3967" s="42">
        <f>IF(AND(ISNUMBER(F3967),ISNUMBER(H3967),F3967&gt;=Inputs!$C$68),F3967*H3967*Inputs!$C$69,"")</f>
      </c>
    </row>
    <row r="3968" spans="2:10" ht="15" customHeight="1" x14ac:dyDescent="0.2">
      <c r="B3968" s="39">
        <f t="shared" si="30"/>
      </c>
      <c r="C3968" s="40">
        <f>IF(Inputs!$C$60,Inputs!$C$11+(B3968-Inputs!$C$69)/Inputs!$C$70,"")</f>
      </c>
      <c r="D3968" s="15"/>
      <c r="E3968" s="15"/>
      <c r="F3968" s="11">
        <f t="shared" si="31"/>
      </c>
      <c r="G3968" s="22" cm="1">
        <f t="array" ref="G3968">IF(AND(Inputs!$C$60,Inputs!$C$61),INDEX(Utility_Rates!$C$29:$F$52,HOUR(C3968)+Inputs!$C$69,MATCH(INDEX(Utility_Rates!$K$6:$K$17,MONTH(C3968))&amp;IF(WEEKDAY(C3968,Inputs!$C$76)&lt;=Inputs!$C$74," weekday"," weekend"),Utility_Rates!$C$28:$F$28,Inputs!$C$68)),"")</f>
      </c>
      <c r="H3968" s="34"/>
      <c r="I3968" s="42">
        <f>IF(AND(ISNUMBER(D3968),ISNUMBER(H3968)),D3968*H3968*Inputs!$C$69,"")</f>
      </c>
      <c r="J3968" s="42">
        <f>IF(AND(ISNUMBER(F3968),ISNUMBER(H3968),F3968&gt;=Inputs!$C$68),F3968*H3968*Inputs!$C$69,"")</f>
      </c>
    </row>
    <row r="3969" spans="2:10" ht="15" customHeight="1" x14ac:dyDescent="0.2">
      <c r="B3969" s="39">
        <f t="shared" si="30"/>
      </c>
      <c r="C3969" s="40">
        <f>IF(Inputs!$C$60,Inputs!$C$11+(B3969-Inputs!$C$69)/Inputs!$C$70,"")</f>
      </c>
      <c r="D3969" s="15"/>
      <c r="E3969" s="15"/>
      <c r="F3969" s="11">
        <f t="shared" si="31"/>
      </c>
      <c r="G3969" s="22" cm="1">
        <f t="array" ref="G3969">IF(AND(Inputs!$C$60,Inputs!$C$61),INDEX(Utility_Rates!$C$29:$F$52,HOUR(C3969)+Inputs!$C$69,MATCH(INDEX(Utility_Rates!$K$6:$K$17,MONTH(C3969))&amp;IF(WEEKDAY(C3969,Inputs!$C$76)&lt;=Inputs!$C$74," weekday"," weekend"),Utility_Rates!$C$28:$F$28,Inputs!$C$68)),"")</f>
      </c>
      <c r="H3969" s="34"/>
      <c r="I3969" s="42">
        <f>IF(AND(ISNUMBER(D3969),ISNUMBER(H3969)),D3969*H3969*Inputs!$C$69,"")</f>
      </c>
      <c r="J3969" s="42">
        <f>IF(AND(ISNUMBER(F3969),ISNUMBER(H3969),F3969&gt;=Inputs!$C$68),F3969*H3969*Inputs!$C$69,"")</f>
      </c>
    </row>
    <row r="3970" spans="2:10" ht="15" customHeight="1" x14ac:dyDescent="0.2">
      <c r="B3970" s="39">
        <f t="shared" si="30"/>
      </c>
      <c r="C3970" s="40">
        <f>IF(Inputs!$C$60,Inputs!$C$11+(B3970-Inputs!$C$69)/Inputs!$C$70,"")</f>
      </c>
      <c r="D3970" s="15"/>
      <c r="E3970" s="15"/>
      <c r="F3970" s="11">
        <f t="shared" si="31"/>
      </c>
      <c r="G3970" s="22" cm="1">
        <f t="array" ref="G3970">IF(AND(Inputs!$C$60,Inputs!$C$61),INDEX(Utility_Rates!$C$29:$F$52,HOUR(C3970)+Inputs!$C$69,MATCH(INDEX(Utility_Rates!$K$6:$K$17,MONTH(C3970))&amp;IF(WEEKDAY(C3970,Inputs!$C$76)&lt;=Inputs!$C$74," weekday"," weekend"),Utility_Rates!$C$28:$F$28,Inputs!$C$68)),"")</f>
      </c>
      <c r="H3970" s="34"/>
      <c r="I3970" s="42">
        <f>IF(AND(ISNUMBER(D3970),ISNUMBER(H3970)),D3970*H3970*Inputs!$C$69,"")</f>
      </c>
      <c r="J3970" s="42">
        <f>IF(AND(ISNUMBER(F3970),ISNUMBER(H3970),F3970&gt;=Inputs!$C$68),F3970*H3970*Inputs!$C$69,"")</f>
      </c>
    </row>
    <row r="3971" spans="2:10" ht="15" customHeight="1" x14ac:dyDescent="0.2">
      <c r="B3971" s="39">
        <f t="shared" si="30"/>
      </c>
      <c r="C3971" s="40">
        <f>IF(Inputs!$C$60,Inputs!$C$11+(B3971-Inputs!$C$69)/Inputs!$C$70,"")</f>
      </c>
      <c r="D3971" s="15"/>
      <c r="E3971" s="15"/>
      <c r="F3971" s="11">
        <f t="shared" si="31"/>
      </c>
      <c r="G3971" s="22" cm="1">
        <f t="array" ref="G3971">IF(AND(Inputs!$C$60,Inputs!$C$61),INDEX(Utility_Rates!$C$29:$F$52,HOUR(C3971)+Inputs!$C$69,MATCH(INDEX(Utility_Rates!$K$6:$K$17,MONTH(C3971))&amp;IF(WEEKDAY(C3971,Inputs!$C$76)&lt;=Inputs!$C$74," weekday"," weekend"),Utility_Rates!$C$28:$F$28,Inputs!$C$68)),"")</f>
      </c>
      <c r="H3971" s="34"/>
      <c r="I3971" s="42">
        <f>IF(AND(ISNUMBER(D3971),ISNUMBER(H3971)),D3971*H3971*Inputs!$C$69,"")</f>
      </c>
      <c r="J3971" s="42">
        <f>IF(AND(ISNUMBER(F3971),ISNUMBER(H3971),F3971&gt;=Inputs!$C$68),F3971*H3971*Inputs!$C$69,"")</f>
      </c>
    </row>
    <row r="3972" spans="2:10" ht="15" customHeight="1" x14ac:dyDescent="0.2">
      <c r="B3972" s="39">
        <f t="shared" si="30"/>
      </c>
      <c r="C3972" s="40">
        <f>IF(Inputs!$C$60,Inputs!$C$11+(B3972-Inputs!$C$69)/Inputs!$C$70,"")</f>
      </c>
      <c r="D3972" s="15"/>
      <c r="E3972" s="15"/>
      <c r="F3972" s="11">
        <f t="shared" si="31"/>
      </c>
      <c r="G3972" s="22" cm="1">
        <f t="array" ref="G3972">IF(AND(Inputs!$C$60,Inputs!$C$61),INDEX(Utility_Rates!$C$29:$F$52,HOUR(C3972)+Inputs!$C$69,MATCH(INDEX(Utility_Rates!$K$6:$K$17,MONTH(C3972))&amp;IF(WEEKDAY(C3972,Inputs!$C$76)&lt;=Inputs!$C$74," weekday"," weekend"),Utility_Rates!$C$28:$F$28,Inputs!$C$68)),"")</f>
      </c>
      <c r="H3972" s="34"/>
      <c r="I3972" s="42">
        <f>IF(AND(ISNUMBER(D3972),ISNUMBER(H3972)),D3972*H3972*Inputs!$C$69,"")</f>
      </c>
      <c r="J3972" s="42">
        <f>IF(AND(ISNUMBER(F3972),ISNUMBER(H3972),F3972&gt;=Inputs!$C$68),F3972*H3972*Inputs!$C$69,"")</f>
      </c>
    </row>
    <row r="3973" spans="2:10" ht="15" customHeight="1" x14ac:dyDescent="0.2">
      <c r="B3973" s="39">
        <f t="shared" si="30"/>
      </c>
      <c r="C3973" s="40">
        <f>IF(Inputs!$C$60,Inputs!$C$11+(B3973-Inputs!$C$69)/Inputs!$C$70,"")</f>
      </c>
      <c r="D3973" s="15"/>
      <c r="E3973" s="15"/>
      <c r="F3973" s="11">
        <f t="shared" si="31"/>
      </c>
      <c r="G3973" s="22" cm="1">
        <f t="array" ref="G3973">IF(AND(Inputs!$C$60,Inputs!$C$61),INDEX(Utility_Rates!$C$29:$F$52,HOUR(C3973)+Inputs!$C$69,MATCH(INDEX(Utility_Rates!$K$6:$K$17,MONTH(C3973))&amp;IF(WEEKDAY(C3973,Inputs!$C$76)&lt;=Inputs!$C$74," weekday"," weekend"),Utility_Rates!$C$28:$F$28,Inputs!$C$68)),"")</f>
      </c>
      <c r="H3973" s="34"/>
      <c r="I3973" s="42">
        <f>IF(AND(ISNUMBER(D3973),ISNUMBER(H3973)),D3973*H3973*Inputs!$C$69,"")</f>
      </c>
      <c r="J3973" s="42">
        <f>IF(AND(ISNUMBER(F3973),ISNUMBER(H3973),F3973&gt;=Inputs!$C$68),F3973*H3973*Inputs!$C$69,"")</f>
      </c>
    </row>
    <row r="3974" spans="2:10" ht="15" customHeight="1" x14ac:dyDescent="0.2">
      <c r="B3974" s="39">
        <f t="shared" si="30"/>
      </c>
      <c r="C3974" s="40">
        <f>IF(Inputs!$C$60,Inputs!$C$11+(B3974-Inputs!$C$69)/Inputs!$C$70,"")</f>
      </c>
      <c r="D3974" s="15"/>
      <c r="E3974" s="15"/>
      <c r="F3974" s="11">
        <f t="shared" si="31"/>
      </c>
      <c r="G3974" s="22" cm="1">
        <f t="array" ref="G3974">IF(AND(Inputs!$C$60,Inputs!$C$61),INDEX(Utility_Rates!$C$29:$F$52,HOUR(C3974)+Inputs!$C$69,MATCH(INDEX(Utility_Rates!$K$6:$K$17,MONTH(C3974))&amp;IF(WEEKDAY(C3974,Inputs!$C$76)&lt;=Inputs!$C$74," weekday"," weekend"),Utility_Rates!$C$28:$F$28,Inputs!$C$68)),"")</f>
      </c>
      <c r="H3974" s="34"/>
      <c r="I3974" s="42">
        <f>IF(AND(ISNUMBER(D3974),ISNUMBER(H3974)),D3974*H3974*Inputs!$C$69,"")</f>
      </c>
      <c r="J3974" s="42">
        <f>IF(AND(ISNUMBER(F3974),ISNUMBER(H3974),F3974&gt;=Inputs!$C$68),F3974*H3974*Inputs!$C$69,"")</f>
      </c>
    </row>
    <row r="3975" spans="2:10" ht="15" customHeight="1" x14ac:dyDescent="0.2">
      <c r="B3975" s="39">
        <f t="shared" si="30"/>
      </c>
      <c r="C3975" s="40">
        <f>IF(Inputs!$C$60,Inputs!$C$11+(B3975-Inputs!$C$69)/Inputs!$C$70,"")</f>
      </c>
      <c r="D3975" s="15"/>
      <c r="E3975" s="15"/>
      <c r="F3975" s="11">
        <f t="shared" si="31"/>
      </c>
      <c r="G3975" s="22" cm="1">
        <f t="array" ref="G3975">IF(AND(Inputs!$C$60,Inputs!$C$61),INDEX(Utility_Rates!$C$29:$F$52,HOUR(C3975)+Inputs!$C$69,MATCH(INDEX(Utility_Rates!$K$6:$K$17,MONTH(C3975))&amp;IF(WEEKDAY(C3975,Inputs!$C$76)&lt;=Inputs!$C$74," weekday"," weekend"),Utility_Rates!$C$28:$F$28,Inputs!$C$68)),"")</f>
      </c>
      <c r="H3975" s="34"/>
      <c r="I3975" s="42">
        <f>IF(AND(ISNUMBER(D3975),ISNUMBER(H3975)),D3975*H3975*Inputs!$C$69,"")</f>
      </c>
      <c r="J3975" s="42">
        <f>IF(AND(ISNUMBER(F3975),ISNUMBER(H3975),F3975&gt;=Inputs!$C$68),F3975*H3975*Inputs!$C$69,"")</f>
      </c>
    </row>
    <row r="3976" spans="2:10" ht="15" customHeight="1" x14ac:dyDescent="0.2">
      <c r="B3976" s="39">
        <f t="shared" si="30"/>
      </c>
      <c r="C3976" s="40">
        <f>IF(Inputs!$C$60,Inputs!$C$11+(B3976-Inputs!$C$69)/Inputs!$C$70,"")</f>
      </c>
      <c r="D3976" s="15"/>
      <c r="E3976" s="15"/>
      <c r="F3976" s="11">
        <f t="shared" si="31"/>
      </c>
      <c r="G3976" s="22" cm="1">
        <f t="array" ref="G3976">IF(AND(Inputs!$C$60,Inputs!$C$61),INDEX(Utility_Rates!$C$29:$F$52,HOUR(C3976)+Inputs!$C$69,MATCH(INDEX(Utility_Rates!$K$6:$K$17,MONTH(C3976))&amp;IF(WEEKDAY(C3976,Inputs!$C$76)&lt;=Inputs!$C$74," weekday"," weekend"),Utility_Rates!$C$28:$F$28,Inputs!$C$68)),"")</f>
      </c>
      <c r="H3976" s="34"/>
      <c r="I3976" s="42">
        <f>IF(AND(ISNUMBER(D3976),ISNUMBER(H3976)),D3976*H3976*Inputs!$C$69,"")</f>
      </c>
      <c r="J3976" s="42">
        <f>IF(AND(ISNUMBER(F3976),ISNUMBER(H3976),F3976&gt;=Inputs!$C$68),F3976*H3976*Inputs!$C$69,"")</f>
      </c>
    </row>
    <row r="3977" spans="2:10" ht="15" customHeight="1" x14ac:dyDescent="0.2">
      <c r="B3977" s="39">
        <f t="shared" si="30"/>
      </c>
      <c r="C3977" s="40">
        <f>IF(Inputs!$C$60,Inputs!$C$11+(B3977-Inputs!$C$69)/Inputs!$C$70,"")</f>
      </c>
      <c r="D3977" s="15"/>
      <c r="E3977" s="15"/>
      <c r="F3977" s="11">
        <f t="shared" si="31"/>
      </c>
      <c r="G3977" s="22" cm="1">
        <f t="array" ref="G3977">IF(AND(Inputs!$C$60,Inputs!$C$61),INDEX(Utility_Rates!$C$29:$F$52,HOUR(C3977)+Inputs!$C$69,MATCH(INDEX(Utility_Rates!$K$6:$K$17,MONTH(C3977))&amp;IF(WEEKDAY(C3977,Inputs!$C$76)&lt;=Inputs!$C$74," weekday"," weekend"),Utility_Rates!$C$28:$F$28,Inputs!$C$68)),"")</f>
      </c>
      <c r="H3977" s="34"/>
      <c r="I3977" s="42">
        <f>IF(AND(ISNUMBER(D3977),ISNUMBER(H3977)),D3977*H3977*Inputs!$C$69,"")</f>
      </c>
      <c r="J3977" s="42">
        <f>IF(AND(ISNUMBER(F3977),ISNUMBER(H3977),F3977&gt;=Inputs!$C$68),F3977*H3977*Inputs!$C$69,"")</f>
      </c>
    </row>
    <row r="3978" spans="2:10" ht="15" customHeight="1" x14ac:dyDescent="0.2">
      <c r="B3978" s="39">
        <f t="shared" si="30"/>
      </c>
      <c r="C3978" s="40">
        <f>IF(Inputs!$C$60,Inputs!$C$11+(B3978-Inputs!$C$69)/Inputs!$C$70,"")</f>
      </c>
      <c r="D3978" s="15"/>
      <c r="E3978" s="15"/>
      <c r="F3978" s="11">
        <f t="shared" si="31"/>
      </c>
      <c r="G3978" s="22" cm="1">
        <f t="array" ref="G3978">IF(AND(Inputs!$C$60,Inputs!$C$61),INDEX(Utility_Rates!$C$29:$F$52,HOUR(C3978)+Inputs!$C$69,MATCH(INDEX(Utility_Rates!$K$6:$K$17,MONTH(C3978))&amp;IF(WEEKDAY(C3978,Inputs!$C$76)&lt;=Inputs!$C$74," weekday"," weekend"),Utility_Rates!$C$28:$F$28,Inputs!$C$68)),"")</f>
      </c>
      <c r="H3978" s="34"/>
      <c r="I3978" s="42">
        <f>IF(AND(ISNUMBER(D3978),ISNUMBER(H3978)),D3978*H3978*Inputs!$C$69,"")</f>
      </c>
      <c r="J3978" s="42">
        <f>IF(AND(ISNUMBER(F3978),ISNUMBER(H3978),F3978&gt;=Inputs!$C$68),F3978*H3978*Inputs!$C$69,"")</f>
      </c>
    </row>
    <row r="3979" spans="2:10" ht="15" customHeight="1" x14ac:dyDescent="0.2">
      <c r="B3979" s="39">
        <f t="shared" si="30"/>
      </c>
      <c r="C3979" s="40">
        <f>IF(Inputs!$C$60,Inputs!$C$11+(B3979-Inputs!$C$69)/Inputs!$C$70,"")</f>
      </c>
      <c r="D3979" s="15"/>
      <c r="E3979" s="15"/>
      <c r="F3979" s="11">
        <f t="shared" si="31"/>
      </c>
      <c r="G3979" s="22" cm="1">
        <f t="array" ref="G3979">IF(AND(Inputs!$C$60,Inputs!$C$61),INDEX(Utility_Rates!$C$29:$F$52,HOUR(C3979)+Inputs!$C$69,MATCH(INDEX(Utility_Rates!$K$6:$K$17,MONTH(C3979))&amp;IF(WEEKDAY(C3979,Inputs!$C$76)&lt;=Inputs!$C$74," weekday"," weekend"),Utility_Rates!$C$28:$F$28,Inputs!$C$68)),"")</f>
      </c>
      <c r="H3979" s="34"/>
      <c r="I3979" s="42">
        <f>IF(AND(ISNUMBER(D3979),ISNUMBER(H3979)),D3979*H3979*Inputs!$C$69,"")</f>
      </c>
      <c r="J3979" s="42">
        <f>IF(AND(ISNUMBER(F3979),ISNUMBER(H3979),F3979&gt;=Inputs!$C$68),F3979*H3979*Inputs!$C$69,"")</f>
      </c>
    </row>
    <row r="3980" spans="2:10" ht="15" customHeight="1" x14ac:dyDescent="0.2">
      <c r="B3980" s="39">
        <f t="shared" si="30"/>
      </c>
      <c r="C3980" s="40">
        <f>IF(Inputs!$C$60,Inputs!$C$11+(B3980-Inputs!$C$69)/Inputs!$C$70,"")</f>
      </c>
      <c r="D3980" s="15"/>
      <c r="E3980" s="15"/>
      <c r="F3980" s="11">
        <f t="shared" si="31"/>
      </c>
      <c r="G3980" s="22" cm="1">
        <f t="array" ref="G3980">IF(AND(Inputs!$C$60,Inputs!$C$61),INDEX(Utility_Rates!$C$29:$F$52,HOUR(C3980)+Inputs!$C$69,MATCH(INDEX(Utility_Rates!$K$6:$K$17,MONTH(C3980))&amp;IF(WEEKDAY(C3980,Inputs!$C$76)&lt;=Inputs!$C$74," weekday"," weekend"),Utility_Rates!$C$28:$F$28,Inputs!$C$68)),"")</f>
      </c>
      <c r="H3980" s="34"/>
      <c r="I3980" s="42">
        <f>IF(AND(ISNUMBER(D3980),ISNUMBER(H3980)),D3980*H3980*Inputs!$C$69,"")</f>
      </c>
      <c r="J3980" s="42">
        <f>IF(AND(ISNUMBER(F3980),ISNUMBER(H3980),F3980&gt;=Inputs!$C$68),F3980*H3980*Inputs!$C$69,"")</f>
      </c>
    </row>
    <row r="3981" spans="2:10" ht="15" customHeight="1" x14ac:dyDescent="0.2">
      <c r="B3981" s="39">
        <f t="shared" si="30"/>
      </c>
      <c r="C3981" s="40">
        <f>IF(Inputs!$C$60,Inputs!$C$11+(B3981-Inputs!$C$69)/Inputs!$C$70,"")</f>
      </c>
      <c r="D3981" s="15"/>
      <c r="E3981" s="15"/>
      <c r="F3981" s="11">
        <f t="shared" si="31"/>
      </c>
      <c r="G3981" s="22" cm="1">
        <f t="array" ref="G3981">IF(AND(Inputs!$C$60,Inputs!$C$61),INDEX(Utility_Rates!$C$29:$F$52,HOUR(C3981)+Inputs!$C$69,MATCH(INDEX(Utility_Rates!$K$6:$K$17,MONTH(C3981))&amp;IF(WEEKDAY(C3981,Inputs!$C$76)&lt;=Inputs!$C$74," weekday"," weekend"),Utility_Rates!$C$28:$F$28,Inputs!$C$68)),"")</f>
      </c>
      <c r="H3981" s="34"/>
      <c r="I3981" s="42">
        <f>IF(AND(ISNUMBER(D3981),ISNUMBER(H3981)),D3981*H3981*Inputs!$C$69,"")</f>
      </c>
      <c r="J3981" s="42">
        <f>IF(AND(ISNUMBER(F3981),ISNUMBER(H3981),F3981&gt;=Inputs!$C$68),F3981*H3981*Inputs!$C$69,"")</f>
      </c>
    </row>
    <row r="3982" spans="2:10" ht="15" customHeight="1" x14ac:dyDescent="0.2">
      <c r="B3982" s="39">
        <f t="shared" si="30"/>
      </c>
      <c r="C3982" s="40">
        <f>IF(Inputs!$C$60,Inputs!$C$11+(B3982-Inputs!$C$69)/Inputs!$C$70,"")</f>
      </c>
      <c r="D3982" s="15"/>
      <c r="E3982" s="15"/>
      <c r="F3982" s="11">
        <f t="shared" si="31"/>
      </c>
      <c r="G3982" s="22" cm="1">
        <f t="array" ref="G3982">IF(AND(Inputs!$C$60,Inputs!$C$61),INDEX(Utility_Rates!$C$29:$F$52,HOUR(C3982)+Inputs!$C$69,MATCH(INDEX(Utility_Rates!$K$6:$K$17,MONTH(C3982))&amp;IF(WEEKDAY(C3982,Inputs!$C$76)&lt;=Inputs!$C$74," weekday"," weekend"),Utility_Rates!$C$28:$F$28,Inputs!$C$68)),"")</f>
      </c>
      <c r="H3982" s="34"/>
      <c r="I3982" s="42">
        <f>IF(AND(ISNUMBER(D3982),ISNUMBER(H3982)),D3982*H3982*Inputs!$C$69,"")</f>
      </c>
      <c r="J3982" s="42">
        <f>IF(AND(ISNUMBER(F3982),ISNUMBER(H3982),F3982&gt;=Inputs!$C$68),F3982*H3982*Inputs!$C$69,"")</f>
      </c>
    </row>
    <row r="3983" spans="2:10" ht="15" customHeight="1" x14ac:dyDescent="0.2">
      <c r="B3983" s="39">
        <f t="shared" si="30"/>
      </c>
      <c r="C3983" s="40">
        <f>IF(Inputs!$C$60,Inputs!$C$11+(B3983-Inputs!$C$69)/Inputs!$C$70,"")</f>
      </c>
      <c r="D3983" s="15"/>
      <c r="E3983" s="15"/>
      <c r="F3983" s="11">
        <f t="shared" si="31"/>
      </c>
      <c r="G3983" s="22" cm="1">
        <f t="array" ref="G3983">IF(AND(Inputs!$C$60,Inputs!$C$61),INDEX(Utility_Rates!$C$29:$F$52,HOUR(C3983)+Inputs!$C$69,MATCH(INDEX(Utility_Rates!$K$6:$K$17,MONTH(C3983))&amp;IF(WEEKDAY(C3983,Inputs!$C$76)&lt;=Inputs!$C$74," weekday"," weekend"),Utility_Rates!$C$28:$F$28,Inputs!$C$68)),"")</f>
      </c>
      <c r="H3983" s="34"/>
      <c r="I3983" s="42">
        <f>IF(AND(ISNUMBER(D3983),ISNUMBER(H3983)),D3983*H3983*Inputs!$C$69,"")</f>
      </c>
      <c r="J3983" s="42">
        <f>IF(AND(ISNUMBER(F3983),ISNUMBER(H3983),F3983&gt;=Inputs!$C$68),F3983*H3983*Inputs!$C$69,"")</f>
      </c>
    </row>
    <row r="3984" spans="2:10" ht="15" customHeight="1" x14ac:dyDescent="0.2">
      <c r="B3984" s="39">
        <f t="shared" si="30"/>
      </c>
      <c r="C3984" s="40">
        <f>IF(Inputs!$C$60,Inputs!$C$11+(B3984-Inputs!$C$69)/Inputs!$C$70,"")</f>
      </c>
      <c r="D3984" s="15"/>
      <c r="E3984" s="15"/>
      <c r="F3984" s="11">
        <f t="shared" si="31"/>
      </c>
      <c r="G3984" s="22" cm="1">
        <f t="array" ref="G3984">IF(AND(Inputs!$C$60,Inputs!$C$61),INDEX(Utility_Rates!$C$29:$F$52,HOUR(C3984)+Inputs!$C$69,MATCH(INDEX(Utility_Rates!$K$6:$K$17,MONTH(C3984))&amp;IF(WEEKDAY(C3984,Inputs!$C$76)&lt;=Inputs!$C$74," weekday"," weekend"),Utility_Rates!$C$28:$F$28,Inputs!$C$68)),"")</f>
      </c>
      <c r="H3984" s="34"/>
      <c r="I3984" s="42">
        <f>IF(AND(ISNUMBER(D3984),ISNUMBER(H3984)),D3984*H3984*Inputs!$C$69,"")</f>
      </c>
      <c r="J3984" s="42">
        <f>IF(AND(ISNUMBER(F3984),ISNUMBER(H3984),F3984&gt;=Inputs!$C$68),F3984*H3984*Inputs!$C$69,"")</f>
      </c>
    </row>
    <row r="3985" spans="2:10" ht="15" customHeight="1" x14ac:dyDescent="0.2">
      <c r="B3985" s="39">
        <f t="shared" si="30"/>
      </c>
      <c r="C3985" s="40">
        <f>IF(Inputs!$C$60,Inputs!$C$11+(B3985-Inputs!$C$69)/Inputs!$C$70,"")</f>
      </c>
      <c r="D3985" s="15"/>
      <c r="E3985" s="15"/>
      <c r="F3985" s="11">
        <f t="shared" si="31"/>
      </c>
      <c r="G3985" s="22" cm="1">
        <f t="array" ref="G3985">IF(AND(Inputs!$C$60,Inputs!$C$61),INDEX(Utility_Rates!$C$29:$F$52,HOUR(C3985)+Inputs!$C$69,MATCH(INDEX(Utility_Rates!$K$6:$K$17,MONTH(C3985))&amp;IF(WEEKDAY(C3985,Inputs!$C$76)&lt;=Inputs!$C$74," weekday"," weekend"),Utility_Rates!$C$28:$F$28,Inputs!$C$68)),"")</f>
      </c>
      <c r="H3985" s="34"/>
      <c r="I3985" s="42">
        <f>IF(AND(ISNUMBER(D3985),ISNUMBER(H3985)),D3985*H3985*Inputs!$C$69,"")</f>
      </c>
      <c r="J3985" s="42">
        <f>IF(AND(ISNUMBER(F3985),ISNUMBER(H3985),F3985&gt;=Inputs!$C$68),F3985*H3985*Inputs!$C$69,"")</f>
      </c>
    </row>
    <row r="3986" spans="2:10" ht="15" customHeight="1" x14ac:dyDescent="0.2">
      <c r="B3986" s="39">
        <f t="shared" si="30"/>
      </c>
      <c r="C3986" s="40">
        <f>IF(Inputs!$C$60,Inputs!$C$11+(B3986-Inputs!$C$69)/Inputs!$C$70,"")</f>
      </c>
      <c r="D3986" s="15"/>
      <c r="E3986" s="15"/>
      <c r="F3986" s="11">
        <f t="shared" si="31"/>
      </c>
      <c r="G3986" s="22" cm="1">
        <f t="array" ref="G3986">IF(AND(Inputs!$C$60,Inputs!$C$61),INDEX(Utility_Rates!$C$29:$F$52,HOUR(C3986)+Inputs!$C$69,MATCH(INDEX(Utility_Rates!$K$6:$K$17,MONTH(C3986))&amp;IF(WEEKDAY(C3986,Inputs!$C$76)&lt;=Inputs!$C$74," weekday"," weekend"),Utility_Rates!$C$28:$F$28,Inputs!$C$68)),"")</f>
      </c>
      <c r="H3986" s="34"/>
      <c r="I3986" s="42">
        <f>IF(AND(ISNUMBER(D3986),ISNUMBER(H3986)),D3986*H3986*Inputs!$C$69,"")</f>
      </c>
      <c r="J3986" s="42">
        <f>IF(AND(ISNUMBER(F3986),ISNUMBER(H3986),F3986&gt;=Inputs!$C$68),F3986*H3986*Inputs!$C$69,"")</f>
      </c>
    </row>
    <row r="3987" spans="2:10" ht="15" customHeight="1" x14ac:dyDescent="0.2">
      <c r="B3987" s="39">
        <f t="shared" si="30"/>
      </c>
      <c r="C3987" s="40">
        <f>IF(Inputs!$C$60,Inputs!$C$11+(B3987-Inputs!$C$69)/Inputs!$C$70,"")</f>
      </c>
      <c r="D3987" s="15"/>
      <c r="E3987" s="15"/>
      <c r="F3987" s="11">
        <f t="shared" si="31"/>
      </c>
      <c r="G3987" s="22" cm="1">
        <f t="array" ref="G3987">IF(AND(Inputs!$C$60,Inputs!$C$61),INDEX(Utility_Rates!$C$29:$F$52,HOUR(C3987)+Inputs!$C$69,MATCH(INDEX(Utility_Rates!$K$6:$K$17,MONTH(C3987))&amp;IF(WEEKDAY(C3987,Inputs!$C$76)&lt;=Inputs!$C$74," weekday"," weekend"),Utility_Rates!$C$28:$F$28,Inputs!$C$68)),"")</f>
      </c>
      <c r="H3987" s="34"/>
      <c r="I3987" s="42">
        <f>IF(AND(ISNUMBER(D3987),ISNUMBER(H3987)),D3987*H3987*Inputs!$C$69,"")</f>
      </c>
      <c r="J3987" s="42">
        <f>IF(AND(ISNUMBER(F3987),ISNUMBER(H3987),F3987&gt;=Inputs!$C$68),F3987*H3987*Inputs!$C$69,"")</f>
      </c>
    </row>
    <row r="3988" spans="2:10" ht="15" customHeight="1" x14ac:dyDescent="0.2">
      <c r="B3988" s="39">
        <f t="shared" si="30"/>
      </c>
      <c r="C3988" s="40">
        <f>IF(Inputs!$C$60,Inputs!$C$11+(B3988-Inputs!$C$69)/Inputs!$C$70,"")</f>
      </c>
      <c r="D3988" s="15"/>
      <c r="E3988" s="15"/>
      <c r="F3988" s="11">
        <f t="shared" si="31"/>
      </c>
      <c r="G3988" s="22" cm="1">
        <f t="array" ref="G3988">IF(AND(Inputs!$C$60,Inputs!$C$61),INDEX(Utility_Rates!$C$29:$F$52,HOUR(C3988)+Inputs!$C$69,MATCH(INDEX(Utility_Rates!$K$6:$K$17,MONTH(C3988))&amp;IF(WEEKDAY(C3988,Inputs!$C$76)&lt;=Inputs!$C$74," weekday"," weekend"),Utility_Rates!$C$28:$F$28,Inputs!$C$68)),"")</f>
      </c>
      <c r="H3988" s="34"/>
      <c r="I3988" s="42">
        <f>IF(AND(ISNUMBER(D3988),ISNUMBER(H3988)),D3988*H3988*Inputs!$C$69,"")</f>
      </c>
      <c r="J3988" s="42">
        <f>IF(AND(ISNUMBER(F3988),ISNUMBER(H3988),F3988&gt;=Inputs!$C$68),F3988*H3988*Inputs!$C$69,"")</f>
      </c>
    </row>
    <row r="3989" spans="2:10" ht="15" customHeight="1" x14ac:dyDescent="0.2">
      <c r="B3989" s="39">
        <f t="shared" si="30"/>
      </c>
      <c r="C3989" s="40">
        <f>IF(Inputs!$C$60,Inputs!$C$11+(B3989-Inputs!$C$69)/Inputs!$C$70,"")</f>
      </c>
      <c r="D3989" s="15"/>
      <c r="E3989" s="15"/>
      <c r="F3989" s="11">
        <f t="shared" si="31"/>
      </c>
      <c r="G3989" s="22" cm="1">
        <f t="array" ref="G3989">IF(AND(Inputs!$C$60,Inputs!$C$61),INDEX(Utility_Rates!$C$29:$F$52,HOUR(C3989)+Inputs!$C$69,MATCH(INDEX(Utility_Rates!$K$6:$K$17,MONTH(C3989))&amp;IF(WEEKDAY(C3989,Inputs!$C$76)&lt;=Inputs!$C$74," weekday"," weekend"),Utility_Rates!$C$28:$F$28,Inputs!$C$68)),"")</f>
      </c>
      <c r="H3989" s="34"/>
      <c r="I3989" s="42">
        <f>IF(AND(ISNUMBER(D3989),ISNUMBER(H3989)),D3989*H3989*Inputs!$C$69,"")</f>
      </c>
      <c r="J3989" s="42">
        <f>IF(AND(ISNUMBER(F3989),ISNUMBER(H3989),F3989&gt;=Inputs!$C$68),F3989*H3989*Inputs!$C$69,"")</f>
      </c>
    </row>
    <row r="3990" spans="2:10" ht="15" customHeight="1" x14ac:dyDescent="0.2">
      <c r="B3990" s="39">
        <f t="shared" si="30"/>
      </c>
      <c r="C3990" s="40">
        <f>IF(Inputs!$C$60,Inputs!$C$11+(B3990-Inputs!$C$69)/Inputs!$C$70,"")</f>
      </c>
      <c r="D3990" s="15"/>
      <c r="E3990" s="15"/>
      <c r="F3990" s="11">
        <f t="shared" si="31"/>
      </c>
      <c r="G3990" s="22" cm="1">
        <f t="array" ref="G3990">IF(AND(Inputs!$C$60,Inputs!$C$61),INDEX(Utility_Rates!$C$29:$F$52,HOUR(C3990)+Inputs!$C$69,MATCH(INDEX(Utility_Rates!$K$6:$K$17,MONTH(C3990))&amp;IF(WEEKDAY(C3990,Inputs!$C$76)&lt;=Inputs!$C$74," weekday"," weekend"),Utility_Rates!$C$28:$F$28,Inputs!$C$68)),"")</f>
      </c>
      <c r="H3990" s="34"/>
      <c r="I3990" s="42">
        <f>IF(AND(ISNUMBER(D3990),ISNUMBER(H3990)),D3990*H3990*Inputs!$C$69,"")</f>
      </c>
      <c r="J3990" s="42">
        <f>IF(AND(ISNUMBER(F3990),ISNUMBER(H3990),F3990&gt;=Inputs!$C$68),F3990*H3990*Inputs!$C$69,"")</f>
      </c>
    </row>
    <row r="3991" spans="2:10" ht="15" customHeight="1" x14ac:dyDescent="0.2">
      <c r="B3991" s="39">
        <f t="shared" si="30"/>
      </c>
      <c r="C3991" s="40">
        <f>IF(Inputs!$C$60,Inputs!$C$11+(B3991-Inputs!$C$69)/Inputs!$C$70,"")</f>
      </c>
      <c r="D3991" s="15"/>
      <c r="E3991" s="15"/>
      <c r="F3991" s="11">
        <f t="shared" si="31"/>
      </c>
      <c r="G3991" s="22" cm="1">
        <f t="array" ref="G3991">IF(AND(Inputs!$C$60,Inputs!$C$61),INDEX(Utility_Rates!$C$29:$F$52,HOUR(C3991)+Inputs!$C$69,MATCH(INDEX(Utility_Rates!$K$6:$K$17,MONTH(C3991))&amp;IF(WEEKDAY(C3991,Inputs!$C$76)&lt;=Inputs!$C$74," weekday"," weekend"),Utility_Rates!$C$28:$F$28,Inputs!$C$68)),"")</f>
      </c>
      <c r="H3991" s="34"/>
      <c r="I3991" s="42">
        <f>IF(AND(ISNUMBER(D3991),ISNUMBER(H3991)),D3991*H3991*Inputs!$C$69,"")</f>
      </c>
      <c r="J3991" s="42">
        <f>IF(AND(ISNUMBER(F3991),ISNUMBER(H3991),F3991&gt;=Inputs!$C$68),F3991*H3991*Inputs!$C$69,"")</f>
      </c>
    </row>
    <row r="3992" spans="2:10" ht="15" customHeight="1" x14ac:dyDescent="0.2">
      <c r="B3992" s="39">
        <f t="shared" si="30"/>
      </c>
      <c r="C3992" s="40">
        <f>IF(Inputs!$C$60,Inputs!$C$11+(B3992-Inputs!$C$69)/Inputs!$C$70,"")</f>
      </c>
      <c r="D3992" s="15"/>
      <c r="E3992" s="15"/>
      <c r="F3992" s="11">
        <f t="shared" si="31"/>
      </c>
      <c r="G3992" s="22" cm="1">
        <f t="array" ref="G3992">IF(AND(Inputs!$C$60,Inputs!$C$61),INDEX(Utility_Rates!$C$29:$F$52,HOUR(C3992)+Inputs!$C$69,MATCH(INDEX(Utility_Rates!$K$6:$K$17,MONTH(C3992))&amp;IF(WEEKDAY(C3992,Inputs!$C$76)&lt;=Inputs!$C$74," weekday"," weekend"),Utility_Rates!$C$28:$F$28,Inputs!$C$68)),"")</f>
      </c>
      <c r="H3992" s="34"/>
      <c r="I3992" s="42">
        <f>IF(AND(ISNUMBER(D3992),ISNUMBER(H3992)),D3992*H3992*Inputs!$C$69,"")</f>
      </c>
      <c r="J3992" s="42">
        <f>IF(AND(ISNUMBER(F3992),ISNUMBER(H3992),F3992&gt;=Inputs!$C$68),F3992*H3992*Inputs!$C$69,"")</f>
      </c>
    </row>
    <row r="3993" spans="2:10" ht="15" customHeight="1" x14ac:dyDescent="0.2">
      <c r="B3993" s="39">
        <f t="shared" si="30"/>
      </c>
      <c r="C3993" s="40">
        <f>IF(Inputs!$C$60,Inputs!$C$11+(B3993-Inputs!$C$69)/Inputs!$C$70,"")</f>
      </c>
      <c r="D3993" s="15"/>
      <c r="E3993" s="15"/>
      <c r="F3993" s="11">
        <f t="shared" si="31"/>
      </c>
      <c r="G3993" s="22" cm="1">
        <f t="array" ref="G3993">IF(AND(Inputs!$C$60,Inputs!$C$61),INDEX(Utility_Rates!$C$29:$F$52,HOUR(C3993)+Inputs!$C$69,MATCH(INDEX(Utility_Rates!$K$6:$K$17,MONTH(C3993))&amp;IF(WEEKDAY(C3993,Inputs!$C$76)&lt;=Inputs!$C$74," weekday"," weekend"),Utility_Rates!$C$28:$F$28,Inputs!$C$68)),"")</f>
      </c>
      <c r="H3993" s="34"/>
      <c r="I3993" s="42">
        <f>IF(AND(ISNUMBER(D3993),ISNUMBER(H3993)),D3993*H3993*Inputs!$C$69,"")</f>
      </c>
      <c r="J3993" s="42">
        <f>IF(AND(ISNUMBER(F3993),ISNUMBER(H3993),F3993&gt;=Inputs!$C$68),F3993*H3993*Inputs!$C$69,"")</f>
      </c>
    </row>
    <row r="3994" spans="2:10" ht="15" customHeight="1" x14ac:dyDescent="0.2">
      <c r="B3994" s="39">
        <f t="shared" si="30"/>
      </c>
      <c r="C3994" s="40">
        <f>IF(Inputs!$C$60,Inputs!$C$11+(B3994-Inputs!$C$69)/Inputs!$C$70,"")</f>
      </c>
      <c r="D3994" s="15"/>
      <c r="E3994" s="15"/>
      <c r="F3994" s="11">
        <f t="shared" si="31"/>
      </c>
      <c r="G3994" s="22" cm="1">
        <f t="array" ref="G3994">IF(AND(Inputs!$C$60,Inputs!$C$61),INDEX(Utility_Rates!$C$29:$F$52,HOUR(C3994)+Inputs!$C$69,MATCH(INDEX(Utility_Rates!$K$6:$K$17,MONTH(C3994))&amp;IF(WEEKDAY(C3994,Inputs!$C$76)&lt;=Inputs!$C$74," weekday"," weekend"),Utility_Rates!$C$28:$F$28,Inputs!$C$68)),"")</f>
      </c>
      <c r="H3994" s="34"/>
      <c r="I3994" s="42">
        <f>IF(AND(ISNUMBER(D3994),ISNUMBER(H3994)),D3994*H3994*Inputs!$C$69,"")</f>
      </c>
      <c r="J3994" s="42">
        <f>IF(AND(ISNUMBER(F3994),ISNUMBER(H3994),F3994&gt;=Inputs!$C$68),F3994*H3994*Inputs!$C$69,"")</f>
      </c>
    </row>
    <row r="3995" spans="2:10" ht="15" customHeight="1" x14ac:dyDescent="0.2">
      <c r="B3995" s="39">
        <f t="shared" si="30"/>
      </c>
      <c r="C3995" s="40">
        <f>IF(Inputs!$C$60,Inputs!$C$11+(B3995-Inputs!$C$69)/Inputs!$C$70,"")</f>
      </c>
      <c r="D3995" s="15"/>
      <c r="E3995" s="15"/>
      <c r="F3995" s="11">
        <f t="shared" si="31"/>
      </c>
      <c r="G3995" s="22" cm="1">
        <f t="array" ref="G3995">IF(AND(Inputs!$C$60,Inputs!$C$61),INDEX(Utility_Rates!$C$29:$F$52,HOUR(C3995)+Inputs!$C$69,MATCH(INDEX(Utility_Rates!$K$6:$K$17,MONTH(C3995))&amp;IF(WEEKDAY(C3995,Inputs!$C$76)&lt;=Inputs!$C$74," weekday"," weekend"),Utility_Rates!$C$28:$F$28,Inputs!$C$68)),"")</f>
      </c>
      <c r="H3995" s="34"/>
      <c r="I3995" s="42">
        <f>IF(AND(ISNUMBER(D3995),ISNUMBER(H3995)),D3995*H3995*Inputs!$C$69,"")</f>
      </c>
      <c r="J3995" s="42">
        <f>IF(AND(ISNUMBER(F3995),ISNUMBER(H3995),F3995&gt;=Inputs!$C$68),F3995*H3995*Inputs!$C$69,"")</f>
      </c>
    </row>
    <row r="3996" spans="2:10" ht="15" customHeight="1" x14ac:dyDescent="0.2">
      <c r="B3996" s="39">
        <f t="shared" si="30"/>
      </c>
      <c r="C3996" s="40">
        <f>IF(Inputs!$C$60,Inputs!$C$11+(B3996-Inputs!$C$69)/Inputs!$C$70,"")</f>
      </c>
      <c r="D3996" s="15"/>
      <c r="E3996" s="15"/>
      <c r="F3996" s="11">
        <f t="shared" si="31"/>
      </c>
      <c r="G3996" s="22" cm="1">
        <f t="array" ref="G3996">IF(AND(Inputs!$C$60,Inputs!$C$61),INDEX(Utility_Rates!$C$29:$F$52,HOUR(C3996)+Inputs!$C$69,MATCH(INDEX(Utility_Rates!$K$6:$K$17,MONTH(C3996))&amp;IF(WEEKDAY(C3996,Inputs!$C$76)&lt;=Inputs!$C$74," weekday"," weekend"),Utility_Rates!$C$28:$F$28,Inputs!$C$68)),"")</f>
      </c>
      <c r="H3996" s="34"/>
      <c r="I3996" s="42">
        <f>IF(AND(ISNUMBER(D3996),ISNUMBER(H3996)),D3996*H3996*Inputs!$C$69,"")</f>
      </c>
      <c r="J3996" s="42">
        <f>IF(AND(ISNUMBER(F3996),ISNUMBER(H3996),F3996&gt;=Inputs!$C$68),F3996*H3996*Inputs!$C$69,"")</f>
      </c>
    </row>
    <row r="3997" spans="2:10" ht="15" customHeight="1" x14ac:dyDescent="0.2">
      <c r="B3997" s="39">
        <f t="shared" si="30"/>
      </c>
      <c r="C3997" s="40">
        <f>IF(Inputs!$C$60,Inputs!$C$11+(B3997-Inputs!$C$69)/Inputs!$C$70,"")</f>
      </c>
      <c r="D3997" s="15"/>
      <c r="E3997" s="15"/>
      <c r="F3997" s="11">
        <f t="shared" si="31"/>
      </c>
      <c r="G3997" s="22" cm="1">
        <f t="array" ref="G3997">IF(AND(Inputs!$C$60,Inputs!$C$61),INDEX(Utility_Rates!$C$29:$F$52,HOUR(C3997)+Inputs!$C$69,MATCH(INDEX(Utility_Rates!$K$6:$K$17,MONTH(C3997))&amp;IF(WEEKDAY(C3997,Inputs!$C$76)&lt;=Inputs!$C$74," weekday"," weekend"),Utility_Rates!$C$28:$F$28,Inputs!$C$68)),"")</f>
      </c>
      <c r="H3997" s="34"/>
      <c r="I3997" s="42">
        <f>IF(AND(ISNUMBER(D3997),ISNUMBER(H3997)),D3997*H3997*Inputs!$C$69,"")</f>
      </c>
      <c r="J3997" s="42">
        <f>IF(AND(ISNUMBER(F3997),ISNUMBER(H3997),F3997&gt;=Inputs!$C$68),F3997*H3997*Inputs!$C$69,"")</f>
      </c>
    </row>
    <row r="3998" spans="2:10" ht="15" customHeight="1" x14ac:dyDescent="0.2">
      <c r="B3998" s="39">
        <f t="shared" si="30"/>
      </c>
      <c r="C3998" s="40">
        <f>IF(Inputs!$C$60,Inputs!$C$11+(B3998-Inputs!$C$69)/Inputs!$C$70,"")</f>
      </c>
      <c r="D3998" s="15"/>
      <c r="E3998" s="15"/>
      <c r="F3998" s="11">
        <f t="shared" si="31"/>
      </c>
      <c r="G3998" s="22" cm="1">
        <f t="array" ref="G3998">IF(AND(Inputs!$C$60,Inputs!$C$61),INDEX(Utility_Rates!$C$29:$F$52,HOUR(C3998)+Inputs!$C$69,MATCH(INDEX(Utility_Rates!$K$6:$K$17,MONTH(C3998))&amp;IF(WEEKDAY(C3998,Inputs!$C$76)&lt;=Inputs!$C$74," weekday"," weekend"),Utility_Rates!$C$28:$F$28,Inputs!$C$68)),"")</f>
      </c>
      <c r="H3998" s="34"/>
      <c r="I3998" s="42">
        <f>IF(AND(ISNUMBER(D3998),ISNUMBER(H3998)),D3998*H3998*Inputs!$C$69,"")</f>
      </c>
      <c r="J3998" s="42">
        <f>IF(AND(ISNUMBER(F3998),ISNUMBER(H3998),F3998&gt;=Inputs!$C$68),F3998*H3998*Inputs!$C$69,"")</f>
      </c>
    </row>
    <row r="3999" spans="2:10" ht="15" customHeight="1" x14ac:dyDescent="0.2">
      <c r="B3999" s="39">
        <f t="shared" si="30"/>
      </c>
      <c r="C3999" s="40">
        <f>IF(Inputs!$C$60,Inputs!$C$11+(B3999-Inputs!$C$69)/Inputs!$C$70,"")</f>
      </c>
      <c r="D3999" s="15"/>
      <c r="E3999" s="15"/>
      <c r="F3999" s="11">
        <f t="shared" si="31"/>
      </c>
      <c r="G3999" s="22" cm="1">
        <f t="array" ref="G3999">IF(AND(Inputs!$C$60,Inputs!$C$61),INDEX(Utility_Rates!$C$29:$F$52,HOUR(C3999)+Inputs!$C$69,MATCH(INDEX(Utility_Rates!$K$6:$K$17,MONTH(C3999))&amp;IF(WEEKDAY(C3999,Inputs!$C$76)&lt;=Inputs!$C$74," weekday"," weekend"),Utility_Rates!$C$28:$F$28,Inputs!$C$68)),"")</f>
      </c>
      <c r="H3999" s="34"/>
      <c r="I3999" s="42">
        <f>IF(AND(ISNUMBER(D3999),ISNUMBER(H3999)),D3999*H3999*Inputs!$C$69,"")</f>
      </c>
      <c r="J3999" s="42">
        <f>IF(AND(ISNUMBER(F3999),ISNUMBER(H3999),F3999&gt;=Inputs!$C$68),F3999*H3999*Inputs!$C$69,"")</f>
      </c>
    </row>
    <row r="4000" spans="2:10" ht="15" customHeight="1" x14ac:dyDescent="0.2">
      <c r="B4000" s="39">
        <f t="shared" si="30"/>
      </c>
      <c r="C4000" s="40">
        <f>IF(Inputs!$C$60,Inputs!$C$11+(B4000-Inputs!$C$69)/Inputs!$C$70,"")</f>
      </c>
      <c r="D4000" s="15"/>
      <c r="E4000" s="15"/>
      <c r="F4000" s="11">
        <f t="shared" si="31"/>
      </c>
      <c r="G4000" s="22" cm="1">
        <f t="array" ref="G4000">IF(AND(Inputs!$C$60,Inputs!$C$61),INDEX(Utility_Rates!$C$29:$F$52,HOUR(C4000)+Inputs!$C$69,MATCH(INDEX(Utility_Rates!$K$6:$K$17,MONTH(C4000))&amp;IF(WEEKDAY(C4000,Inputs!$C$76)&lt;=Inputs!$C$74," weekday"," weekend"),Utility_Rates!$C$28:$F$28,Inputs!$C$68)),"")</f>
      </c>
      <c r="H4000" s="34"/>
      <c r="I4000" s="42">
        <f>IF(AND(ISNUMBER(D4000),ISNUMBER(H4000)),D4000*H4000*Inputs!$C$69,"")</f>
      </c>
      <c r="J4000" s="42">
        <f>IF(AND(ISNUMBER(F4000),ISNUMBER(H4000),F4000&gt;=Inputs!$C$68),F4000*H4000*Inputs!$C$69,"")</f>
      </c>
    </row>
    <row r="4001" spans="2:10" ht="15" customHeight="1" x14ac:dyDescent="0.2">
      <c r="B4001" s="39">
        <f t="shared" si="30"/>
      </c>
      <c r="C4001" s="40">
        <f>IF(Inputs!$C$60,Inputs!$C$11+(B4001-Inputs!$C$69)/Inputs!$C$70,"")</f>
      </c>
      <c r="D4001" s="15"/>
      <c r="E4001" s="15"/>
      <c r="F4001" s="11">
        <f t="shared" si="31"/>
      </c>
      <c r="G4001" s="22" cm="1">
        <f t="array" ref="G4001">IF(AND(Inputs!$C$60,Inputs!$C$61),INDEX(Utility_Rates!$C$29:$F$52,HOUR(C4001)+Inputs!$C$69,MATCH(INDEX(Utility_Rates!$K$6:$K$17,MONTH(C4001))&amp;IF(WEEKDAY(C4001,Inputs!$C$76)&lt;=Inputs!$C$74," weekday"," weekend"),Utility_Rates!$C$28:$F$28,Inputs!$C$68)),"")</f>
      </c>
      <c r="H4001" s="34"/>
      <c r="I4001" s="42">
        <f>IF(AND(ISNUMBER(D4001),ISNUMBER(H4001)),D4001*H4001*Inputs!$C$69,"")</f>
      </c>
      <c r="J4001" s="42">
        <f>IF(AND(ISNUMBER(F4001),ISNUMBER(H4001),F4001&gt;=Inputs!$C$68),F4001*H4001*Inputs!$C$69,"")</f>
      </c>
    </row>
    <row r="4002" spans="2:10" ht="15" customHeight="1" x14ac:dyDescent="0.2">
      <c r="B4002" s="39">
        <f t="shared" si="30"/>
      </c>
      <c r="C4002" s="40">
        <f>IF(Inputs!$C$60,Inputs!$C$11+(B4002-Inputs!$C$69)/Inputs!$C$70,"")</f>
      </c>
      <c r="D4002" s="15"/>
      <c r="E4002" s="15"/>
      <c r="F4002" s="11">
        <f t="shared" si="31"/>
      </c>
      <c r="G4002" s="22" cm="1">
        <f t="array" ref="G4002">IF(AND(Inputs!$C$60,Inputs!$C$61),INDEX(Utility_Rates!$C$29:$F$52,HOUR(C4002)+Inputs!$C$69,MATCH(INDEX(Utility_Rates!$K$6:$K$17,MONTH(C4002))&amp;IF(WEEKDAY(C4002,Inputs!$C$76)&lt;=Inputs!$C$74," weekday"," weekend"),Utility_Rates!$C$28:$F$28,Inputs!$C$68)),"")</f>
      </c>
      <c r="H4002" s="34"/>
      <c r="I4002" s="42">
        <f>IF(AND(ISNUMBER(D4002),ISNUMBER(H4002)),D4002*H4002*Inputs!$C$69,"")</f>
      </c>
      <c r="J4002" s="42">
        <f>IF(AND(ISNUMBER(F4002),ISNUMBER(H4002),F4002&gt;=Inputs!$C$68),F4002*H4002*Inputs!$C$69,"")</f>
      </c>
    </row>
    <row r="4003" spans="2:10" ht="15" customHeight="1" x14ac:dyDescent="0.2">
      <c r="B4003" s="39">
        <f t="shared" si="30"/>
      </c>
      <c r="C4003" s="40">
        <f>IF(Inputs!$C$60,Inputs!$C$11+(B4003-Inputs!$C$69)/Inputs!$C$70,"")</f>
      </c>
      <c r="D4003" s="15"/>
      <c r="E4003" s="15"/>
      <c r="F4003" s="11">
        <f t="shared" si="31"/>
      </c>
      <c r="G4003" s="22" cm="1">
        <f t="array" ref="G4003">IF(AND(Inputs!$C$60,Inputs!$C$61),INDEX(Utility_Rates!$C$29:$F$52,HOUR(C4003)+Inputs!$C$69,MATCH(INDEX(Utility_Rates!$K$6:$K$17,MONTH(C4003))&amp;IF(WEEKDAY(C4003,Inputs!$C$76)&lt;=Inputs!$C$74," weekday"," weekend"),Utility_Rates!$C$28:$F$28,Inputs!$C$68)),"")</f>
      </c>
      <c r="H4003" s="34"/>
      <c r="I4003" s="42">
        <f>IF(AND(ISNUMBER(D4003),ISNUMBER(H4003)),D4003*H4003*Inputs!$C$69,"")</f>
      </c>
      <c r="J4003" s="42">
        <f>IF(AND(ISNUMBER(F4003),ISNUMBER(H4003),F4003&gt;=Inputs!$C$68),F4003*H4003*Inputs!$C$69,"")</f>
      </c>
    </row>
    <row r="4004" spans="2:10" ht="15" customHeight="1" x14ac:dyDescent="0.2">
      <c r="B4004" s="39">
        <f t="shared" si="30"/>
      </c>
      <c r="C4004" s="40">
        <f>IF(Inputs!$C$60,Inputs!$C$11+(B4004-Inputs!$C$69)/Inputs!$C$70,"")</f>
      </c>
      <c r="D4004" s="15"/>
      <c r="E4004" s="15"/>
      <c r="F4004" s="11">
        <f t="shared" si="31"/>
      </c>
      <c r="G4004" s="22" cm="1">
        <f t="array" ref="G4004">IF(AND(Inputs!$C$60,Inputs!$C$61),INDEX(Utility_Rates!$C$29:$F$52,HOUR(C4004)+Inputs!$C$69,MATCH(INDEX(Utility_Rates!$K$6:$K$17,MONTH(C4004))&amp;IF(WEEKDAY(C4004,Inputs!$C$76)&lt;=Inputs!$C$74," weekday"," weekend"),Utility_Rates!$C$28:$F$28,Inputs!$C$68)),"")</f>
      </c>
      <c r="H4004" s="34"/>
      <c r="I4004" s="42">
        <f>IF(AND(ISNUMBER(D4004),ISNUMBER(H4004)),D4004*H4004*Inputs!$C$69,"")</f>
      </c>
      <c r="J4004" s="42">
        <f>IF(AND(ISNUMBER(F4004),ISNUMBER(H4004),F4004&gt;=Inputs!$C$68),F4004*H4004*Inputs!$C$69,"")</f>
      </c>
    </row>
    <row r="4005" spans="2:10" ht="15" customHeight="1" x14ac:dyDescent="0.2">
      <c r="B4005" s="39">
        <f t="shared" si="30"/>
      </c>
      <c r="C4005" s="40">
        <f>IF(Inputs!$C$60,Inputs!$C$11+(B4005-Inputs!$C$69)/Inputs!$C$70,"")</f>
      </c>
      <c r="D4005" s="15"/>
      <c r="E4005" s="15"/>
      <c r="F4005" s="11">
        <f t="shared" si="31"/>
      </c>
      <c r="G4005" s="22" cm="1">
        <f t="array" ref="G4005">IF(AND(Inputs!$C$60,Inputs!$C$61),INDEX(Utility_Rates!$C$29:$F$52,HOUR(C4005)+Inputs!$C$69,MATCH(INDEX(Utility_Rates!$K$6:$K$17,MONTH(C4005))&amp;IF(WEEKDAY(C4005,Inputs!$C$76)&lt;=Inputs!$C$74," weekday"," weekend"),Utility_Rates!$C$28:$F$28,Inputs!$C$68)),"")</f>
      </c>
      <c r="H4005" s="34"/>
      <c r="I4005" s="42">
        <f>IF(AND(ISNUMBER(D4005),ISNUMBER(H4005)),D4005*H4005*Inputs!$C$69,"")</f>
      </c>
      <c r="J4005" s="42">
        <f>IF(AND(ISNUMBER(F4005),ISNUMBER(H4005),F4005&gt;=Inputs!$C$68),F4005*H4005*Inputs!$C$69,"")</f>
      </c>
    </row>
    <row r="4006" spans="2:10" ht="15" customHeight="1" x14ac:dyDescent="0.2">
      <c r="B4006" s="39">
        <f t="shared" si="30"/>
      </c>
      <c r="C4006" s="40">
        <f>IF(Inputs!$C$60,Inputs!$C$11+(B4006-Inputs!$C$69)/Inputs!$C$70,"")</f>
      </c>
      <c r="D4006" s="15"/>
      <c r="E4006" s="15"/>
      <c r="F4006" s="11">
        <f t="shared" si="31"/>
      </c>
      <c r="G4006" s="22" cm="1">
        <f t="array" ref="G4006">IF(AND(Inputs!$C$60,Inputs!$C$61),INDEX(Utility_Rates!$C$29:$F$52,HOUR(C4006)+Inputs!$C$69,MATCH(INDEX(Utility_Rates!$K$6:$K$17,MONTH(C4006))&amp;IF(WEEKDAY(C4006,Inputs!$C$76)&lt;=Inputs!$C$74," weekday"," weekend"),Utility_Rates!$C$28:$F$28,Inputs!$C$68)),"")</f>
      </c>
      <c r="H4006" s="34"/>
      <c r="I4006" s="42">
        <f>IF(AND(ISNUMBER(D4006),ISNUMBER(H4006)),D4006*H4006*Inputs!$C$69,"")</f>
      </c>
      <c r="J4006" s="42">
        <f>IF(AND(ISNUMBER(F4006),ISNUMBER(H4006),F4006&gt;=Inputs!$C$68),F4006*H4006*Inputs!$C$69,"")</f>
      </c>
    </row>
    <row r="4007" spans="2:10" ht="15" customHeight="1" x14ac:dyDescent="0.2">
      <c r="B4007" s="39">
        <f t="shared" si="30"/>
      </c>
      <c r="C4007" s="40">
        <f>IF(Inputs!$C$60,Inputs!$C$11+(B4007-Inputs!$C$69)/Inputs!$C$70,"")</f>
      </c>
      <c r="D4007" s="15"/>
      <c r="E4007" s="15"/>
      <c r="F4007" s="11">
        <f t="shared" si="31"/>
      </c>
      <c r="G4007" s="22" cm="1">
        <f t="array" ref="G4007">IF(AND(Inputs!$C$60,Inputs!$C$61),INDEX(Utility_Rates!$C$29:$F$52,HOUR(C4007)+Inputs!$C$69,MATCH(INDEX(Utility_Rates!$K$6:$K$17,MONTH(C4007))&amp;IF(WEEKDAY(C4007,Inputs!$C$76)&lt;=Inputs!$C$74," weekday"," weekend"),Utility_Rates!$C$28:$F$28,Inputs!$C$68)),"")</f>
      </c>
      <c r="H4007" s="34"/>
      <c r="I4007" s="42">
        <f>IF(AND(ISNUMBER(D4007),ISNUMBER(H4007)),D4007*H4007*Inputs!$C$69,"")</f>
      </c>
      <c r="J4007" s="42">
        <f>IF(AND(ISNUMBER(F4007),ISNUMBER(H4007),F4007&gt;=Inputs!$C$68),F4007*H4007*Inputs!$C$69,"")</f>
      </c>
    </row>
    <row r="4008" spans="2:10" ht="15" customHeight="1" x14ac:dyDescent="0.2">
      <c r="B4008" s="39">
        <f t="shared" si="30"/>
      </c>
      <c r="C4008" s="40">
        <f>IF(Inputs!$C$60,Inputs!$C$11+(B4008-Inputs!$C$69)/Inputs!$C$70,"")</f>
      </c>
      <c r="D4008" s="15"/>
      <c r="E4008" s="15"/>
      <c r="F4008" s="11">
        <f t="shared" si="31"/>
      </c>
      <c r="G4008" s="22" cm="1">
        <f t="array" ref="G4008">IF(AND(Inputs!$C$60,Inputs!$C$61),INDEX(Utility_Rates!$C$29:$F$52,HOUR(C4008)+Inputs!$C$69,MATCH(INDEX(Utility_Rates!$K$6:$K$17,MONTH(C4008))&amp;IF(WEEKDAY(C4008,Inputs!$C$76)&lt;=Inputs!$C$74," weekday"," weekend"),Utility_Rates!$C$28:$F$28,Inputs!$C$68)),"")</f>
      </c>
      <c r="H4008" s="34"/>
      <c r="I4008" s="42">
        <f>IF(AND(ISNUMBER(D4008),ISNUMBER(H4008)),D4008*H4008*Inputs!$C$69,"")</f>
      </c>
      <c r="J4008" s="42">
        <f>IF(AND(ISNUMBER(F4008),ISNUMBER(H4008),F4008&gt;=Inputs!$C$68),F4008*H4008*Inputs!$C$69,"")</f>
      </c>
    </row>
    <row r="4009" spans="2:10" ht="15" customHeight="1" x14ac:dyDescent="0.2">
      <c r="B4009" s="39">
        <f t="shared" si="30"/>
      </c>
      <c r="C4009" s="40">
        <f>IF(Inputs!$C$60,Inputs!$C$11+(B4009-Inputs!$C$69)/Inputs!$C$70,"")</f>
      </c>
      <c r="D4009" s="15"/>
      <c r="E4009" s="15"/>
      <c r="F4009" s="11">
        <f t="shared" si="31"/>
      </c>
      <c r="G4009" s="22" cm="1">
        <f t="array" ref="G4009">IF(AND(Inputs!$C$60,Inputs!$C$61),INDEX(Utility_Rates!$C$29:$F$52,HOUR(C4009)+Inputs!$C$69,MATCH(INDEX(Utility_Rates!$K$6:$K$17,MONTH(C4009))&amp;IF(WEEKDAY(C4009,Inputs!$C$76)&lt;=Inputs!$C$74," weekday"," weekend"),Utility_Rates!$C$28:$F$28,Inputs!$C$68)),"")</f>
      </c>
      <c r="H4009" s="34"/>
      <c r="I4009" s="42">
        <f>IF(AND(ISNUMBER(D4009),ISNUMBER(H4009)),D4009*H4009*Inputs!$C$69,"")</f>
      </c>
      <c r="J4009" s="42">
        <f>IF(AND(ISNUMBER(F4009),ISNUMBER(H4009),F4009&gt;=Inputs!$C$68),F4009*H4009*Inputs!$C$69,"")</f>
      </c>
    </row>
    <row r="4010" spans="2:10" ht="15" customHeight="1" x14ac:dyDescent="0.2">
      <c r="B4010" s="39">
        <f t="shared" si="30"/>
      </c>
      <c r="C4010" s="40">
        <f>IF(Inputs!$C$60,Inputs!$C$11+(B4010-Inputs!$C$69)/Inputs!$C$70,"")</f>
      </c>
      <c r="D4010" s="15"/>
      <c r="E4010" s="15"/>
      <c r="F4010" s="11">
        <f t="shared" si="31"/>
      </c>
      <c r="G4010" s="22" cm="1">
        <f t="array" ref="G4010">IF(AND(Inputs!$C$60,Inputs!$C$61),INDEX(Utility_Rates!$C$29:$F$52,HOUR(C4010)+Inputs!$C$69,MATCH(INDEX(Utility_Rates!$K$6:$K$17,MONTH(C4010))&amp;IF(WEEKDAY(C4010,Inputs!$C$76)&lt;=Inputs!$C$74," weekday"," weekend"),Utility_Rates!$C$28:$F$28,Inputs!$C$68)),"")</f>
      </c>
      <c r="H4010" s="34"/>
      <c r="I4010" s="42">
        <f>IF(AND(ISNUMBER(D4010),ISNUMBER(H4010)),D4010*H4010*Inputs!$C$69,"")</f>
      </c>
      <c r="J4010" s="42">
        <f>IF(AND(ISNUMBER(F4010),ISNUMBER(H4010),F4010&gt;=Inputs!$C$68),F4010*H4010*Inputs!$C$69,"")</f>
      </c>
    </row>
    <row r="4011" spans="2:10" ht="15" customHeight="1" x14ac:dyDescent="0.2">
      <c r="B4011" s="39">
        <f t="shared" si="30"/>
      </c>
      <c r="C4011" s="40">
        <f>IF(Inputs!$C$60,Inputs!$C$11+(B4011-Inputs!$C$69)/Inputs!$C$70,"")</f>
      </c>
      <c r="D4011" s="15"/>
      <c r="E4011" s="15"/>
      <c r="F4011" s="11">
        <f t="shared" si="31"/>
      </c>
      <c r="G4011" s="22" cm="1">
        <f t="array" ref="G4011">IF(AND(Inputs!$C$60,Inputs!$C$61),INDEX(Utility_Rates!$C$29:$F$52,HOUR(C4011)+Inputs!$C$69,MATCH(INDEX(Utility_Rates!$K$6:$K$17,MONTH(C4011))&amp;IF(WEEKDAY(C4011,Inputs!$C$76)&lt;=Inputs!$C$74," weekday"," weekend"),Utility_Rates!$C$28:$F$28,Inputs!$C$68)),"")</f>
      </c>
      <c r="H4011" s="34"/>
      <c r="I4011" s="42">
        <f>IF(AND(ISNUMBER(D4011),ISNUMBER(H4011)),D4011*H4011*Inputs!$C$69,"")</f>
      </c>
      <c r="J4011" s="42">
        <f>IF(AND(ISNUMBER(F4011),ISNUMBER(H4011),F4011&gt;=Inputs!$C$68),F4011*H4011*Inputs!$C$69,"")</f>
      </c>
    </row>
    <row r="4012" spans="2:10" ht="15" customHeight="1" x14ac:dyDescent="0.2">
      <c r="B4012" s="39">
        <f t="shared" si="30"/>
      </c>
      <c r="C4012" s="40">
        <f>IF(Inputs!$C$60,Inputs!$C$11+(B4012-Inputs!$C$69)/Inputs!$C$70,"")</f>
      </c>
      <c r="D4012" s="15"/>
      <c r="E4012" s="15"/>
      <c r="F4012" s="11">
        <f t="shared" si="31"/>
      </c>
      <c r="G4012" s="22" cm="1">
        <f t="array" ref="G4012">IF(AND(Inputs!$C$60,Inputs!$C$61),INDEX(Utility_Rates!$C$29:$F$52,HOUR(C4012)+Inputs!$C$69,MATCH(INDEX(Utility_Rates!$K$6:$K$17,MONTH(C4012))&amp;IF(WEEKDAY(C4012,Inputs!$C$76)&lt;=Inputs!$C$74," weekday"," weekend"),Utility_Rates!$C$28:$F$28,Inputs!$C$68)),"")</f>
      </c>
      <c r="H4012" s="34"/>
      <c r="I4012" s="42">
        <f>IF(AND(ISNUMBER(D4012),ISNUMBER(H4012)),D4012*H4012*Inputs!$C$69,"")</f>
      </c>
      <c r="J4012" s="42">
        <f>IF(AND(ISNUMBER(F4012),ISNUMBER(H4012),F4012&gt;=Inputs!$C$68),F4012*H4012*Inputs!$C$69,"")</f>
      </c>
    </row>
    <row r="4013" spans="2:10" ht="15" customHeight="1" x14ac:dyDescent="0.2">
      <c r="B4013" s="39">
        <f t="shared" si="30"/>
      </c>
      <c r="C4013" s="40">
        <f>IF(Inputs!$C$60,Inputs!$C$11+(B4013-Inputs!$C$69)/Inputs!$C$70,"")</f>
      </c>
      <c r="D4013" s="15"/>
      <c r="E4013" s="15"/>
      <c r="F4013" s="11">
        <f t="shared" si="31"/>
      </c>
      <c r="G4013" s="22" cm="1">
        <f t="array" ref="G4013">IF(AND(Inputs!$C$60,Inputs!$C$61),INDEX(Utility_Rates!$C$29:$F$52,HOUR(C4013)+Inputs!$C$69,MATCH(INDEX(Utility_Rates!$K$6:$K$17,MONTH(C4013))&amp;IF(WEEKDAY(C4013,Inputs!$C$76)&lt;=Inputs!$C$74," weekday"," weekend"),Utility_Rates!$C$28:$F$28,Inputs!$C$68)),"")</f>
      </c>
      <c r="H4013" s="34"/>
      <c r="I4013" s="42">
        <f>IF(AND(ISNUMBER(D4013),ISNUMBER(H4013)),D4013*H4013*Inputs!$C$69,"")</f>
      </c>
      <c r="J4013" s="42">
        <f>IF(AND(ISNUMBER(F4013),ISNUMBER(H4013),F4013&gt;=Inputs!$C$68),F4013*H4013*Inputs!$C$69,"")</f>
      </c>
    </row>
    <row r="4014" spans="2:10" ht="15" customHeight="1" x14ac:dyDescent="0.2">
      <c r="B4014" s="39">
        <f t="shared" si="30"/>
      </c>
      <c r="C4014" s="40">
        <f>IF(Inputs!$C$60,Inputs!$C$11+(B4014-Inputs!$C$69)/Inputs!$C$70,"")</f>
      </c>
      <c r="D4014" s="15"/>
      <c r="E4014" s="15"/>
      <c r="F4014" s="11">
        <f t="shared" si="31"/>
      </c>
      <c r="G4014" s="22" cm="1">
        <f t="array" ref="G4014">IF(AND(Inputs!$C$60,Inputs!$C$61),INDEX(Utility_Rates!$C$29:$F$52,HOUR(C4014)+Inputs!$C$69,MATCH(INDEX(Utility_Rates!$K$6:$K$17,MONTH(C4014))&amp;IF(WEEKDAY(C4014,Inputs!$C$76)&lt;=Inputs!$C$74," weekday"," weekend"),Utility_Rates!$C$28:$F$28,Inputs!$C$68)),"")</f>
      </c>
      <c r="H4014" s="34"/>
      <c r="I4014" s="42">
        <f>IF(AND(ISNUMBER(D4014),ISNUMBER(H4014)),D4014*H4014*Inputs!$C$69,"")</f>
      </c>
      <c r="J4014" s="42">
        <f>IF(AND(ISNUMBER(F4014),ISNUMBER(H4014),F4014&gt;=Inputs!$C$68),F4014*H4014*Inputs!$C$69,"")</f>
      </c>
    </row>
    <row r="4015" spans="2:10" ht="15" customHeight="1" x14ac:dyDescent="0.2">
      <c r="B4015" s="39">
        <f t="shared" si="30"/>
      </c>
      <c r="C4015" s="40">
        <f>IF(Inputs!$C$60,Inputs!$C$11+(B4015-Inputs!$C$69)/Inputs!$C$70,"")</f>
      </c>
      <c r="D4015" s="15"/>
      <c r="E4015" s="15"/>
      <c r="F4015" s="11">
        <f t="shared" si="31"/>
      </c>
      <c r="G4015" s="22" cm="1">
        <f t="array" ref="G4015">IF(AND(Inputs!$C$60,Inputs!$C$61),INDEX(Utility_Rates!$C$29:$F$52,HOUR(C4015)+Inputs!$C$69,MATCH(INDEX(Utility_Rates!$K$6:$K$17,MONTH(C4015))&amp;IF(WEEKDAY(C4015,Inputs!$C$76)&lt;=Inputs!$C$74," weekday"," weekend"),Utility_Rates!$C$28:$F$28,Inputs!$C$68)),"")</f>
      </c>
      <c r="H4015" s="34"/>
      <c r="I4015" s="42">
        <f>IF(AND(ISNUMBER(D4015),ISNUMBER(H4015)),D4015*H4015*Inputs!$C$69,"")</f>
      </c>
      <c r="J4015" s="42">
        <f>IF(AND(ISNUMBER(F4015),ISNUMBER(H4015),F4015&gt;=Inputs!$C$68),F4015*H4015*Inputs!$C$69,"")</f>
      </c>
    </row>
    <row r="4016" spans="2:10" ht="15" customHeight="1" x14ac:dyDescent="0.2">
      <c r="B4016" s="39">
        <f t="shared" si="30"/>
      </c>
      <c r="C4016" s="40">
        <f>IF(Inputs!$C$60,Inputs!$C$11+(B4016-Inputs!$C$69)/Inputs!$C$70,"")</f>
      </c>
      <c r="D4016" s="15"/>
      <c r="E4016" s="15"/>
      <c r="F4016" s="11">
        <f t="shared" si="31"/>
      </c>
      <c r="G4016" s="22" cm="1">
        <f t="array" ref="G4016">IF(AND(Inputs!$C$60,Inputs!$C$61),INDEX(Utility_Rates!$C$29:$F$52,HOUR(C4016)+Inputs!$C$69,MATCH(INDEX(Utility_Rates!$K$6:$K$17,MONTH(C4016))&amp;IF(WEEKDAY(C4016,Inputs!$C$76)&lt;=Inputs!$C$74," weekday"," weekend"),Utility_Rates!$C$28:$F$28,Inputs!$C$68)),"")</f>
      </c>
      <c r="H4016" s="34"/>
      <c r="I4016" s="42">
        <f>IF(AND(ISNUMBER(D4016),ISNUMBER(H4016)),D4016*H4016*Inputs!$C$69,"")</f>
      </c>
      <c r="J4016" s="42">
        <f>IF(AND(ISNUMBER(F4016),ISNUMBER(H4016),F4016&gt;=Inputs!$C$68),F4016*H4016*Inputs!$C$69,"")</f>
      </c>
    </row>
    <row r="4017" spans="2:10" ht="15" customHeight="1" x14ac:dyDescent="0.2">
      <c r="B4017" s="39">
        <f t="shared" si="30"/>
      </c>
      <c r="C4017" s="40">
        <f>IF(Inputs!$C$60,Inputs!$C$11+(B4017-Inputs!$C$69)/Inputs!$C$70,"")</f>
      </c>
      <c r="D4017" s="15"/>
      <c r="E4017" s="15"/>
      <c r="F4017" s="11">
        <f t="shared" si="31"/>
      </c>
      <c r="G4017" s="22" cm="1">
        <f t="array" ref="G4017">IF(AND(Inputs!$C$60,Inputs!$C$61),INDEX(Utility_Rates!$C$29:$F$52,HOUR(C4017)+Inputs!$C$69,MATCH(INDEX(Utility_Rates!$K$6:$K$17,MONTH(C4017))&amp;IF(WEEKDAY(C4017,Inputs!$C$76)&lt;=Inputs!$C$74," weekday"," weekend"),Utility_Rates!$C$28:$F$28,Inputs!$C$68)),"")</f>
      </c>
      <c r="H4017" s="34"/>
      <c r="I4017" s="42">
        <f>IF(AND(ISNUMBER(D4017),ISNUMBER(H4017)),D4017*H4017*Inputs!$C$69,"")</f>
      </c>
      <c r="J4017" s="42">
        <f>IF(AND(ISNUMBER(F4017),ISNUMBER(H4017),F4017&gt;=Inputs!$C$68),F4017*H4017*Inputs!$C$69,"")</f>
      </c>
    </row>
    <row r="4018" spans="2:10" ht="15" customHeight="1" x14ac:dyDescent="0.2">
      <c r="B4018" s="39">
        <f t="shared" si="30"/>
      </c>
      <c r="C4018" s="40">
        <f>IF(Inputs!$C$60,Inputs!$C$11+(B4018-Inputs!$C$69)/Inputs!$C$70,"")</f>
      </c>
      <c r="D4018" s="15"/>
      <c r="E4018" s="15"/>
      <c r="F4018" s="11">
        <f t="shared" si="31"/>
      </c>
      <c r="G4018" s="22" cm="1">
        <f t="array" ref="G4018">IF(AND(Inputs!$C$60,Inputs!$C$61),INDEX(Utility_Rates!$C$29:$F$52,HOUR(C4018)+Inputs!$C$69,MATCH(INDEX(Utility_Rates!$K$6:$K$17,MONTH(C4018))&amp;IF(WEEKDAY(C4018,Inputs!$C$76)&lt;=Inputs!$C$74," weekday"," weekend"),Utility_Rates!$C$28:$F$28,Inputs!$C$68)),"")</f>
      </c>
      <c r="H4018" s="34"/>
      <c r="I4018" s="42">
        <f>IF(AND(ISNUMBER(D4018),ISNUMBER(H4018)),D4018*H4018*Inputs!$C$69,"")</f>
      </c>
      <c r="J4018" s="42">
        <f>IF(AND(ISNUMBER(F4018),ISNUMBER(H4018),F4018&gt;=Inputs!$C$68),F4018*H4018*Inputs!$C$69,"")</f>
      </c>
    </row>
    <row r="4019" spans="2:10" ht="15" customHeight="1" x14ac:dyDescent="0.2">
      <c r="B4019" s="39">
        <f t="shared" si="30"/>
      </c>
      <c r="C4019" s="40">
        <f>IF(Inputs!$C$60,Inputs!$C$11+(B4019-Inputs!$C$69)/Inputs!$C$70,"")</f>
      </c>
      <c r="D4019" s="15"/>
      <c r="E4019" s="15"/>
      <c r="F4019" s="11">
        <f t="shared" si="31"/>
      </c>
      <c r="G4019" s="22" cm="1">
        <f t="array" ref="G4019">IF(AND(Inputs!$C$60,Inputs!$C$61),INDEX(Utility_Rates!$C$29:$F$52,HOUR(C4019)+Inputs!$C$69,MATCH(INDEX(Utility_Rates!$K$6:$K$17,MONTH(C4019))&amp;IF(WEEKDAY(C4019,Inputs!$C$76)&lt;=Inputs!$C$74," weekday"," weekend"),Utility_Rates!$C$28:$F$28,Inputs!$C$68)),"")</f>
      </c>
      <c r="H4019" s="34"/>
      <c r="I4019" s="42">
        <f>IF(AND(ISNUMBER(D4019),ISNUMBER(H4019)),D4019*H4019*Inputs!$C$69,"")</f>
      </c>
      <c r="J4019" s="42">
        <f>IF(AND(ISNUMBER(F4019),ISNUMBER(H4019),F4019&gt;=Inputs!$C$68),F4019*H4019*Inputs!$C$69,"")</f>
      </c>
    </row>
    <row r="4020" spans="2:10" ht="15" customHeight="1" x14ac:dyDescent="0.2">
      <c r="B4020" s="39">
        <f t="shared" si="30"/>
      </c>
      <c r="C4020" s="40">
        <f>IF(Inputs!$C$60,Inputs!$C$11+(B4020-Inputs!$C$69)/Inputs!$C$70,"")</f>
      </c>
      <c r="D4020" s="15"/>
      <c r="E4020" s="15"/>
      <c r="F4020" s="11">
        <f t="shared" si="31"/>
      </c>
      <c r="G4020" s="22" cm="1">
        <f t="array" ref="G4020">IF(AND(Inputs!$C$60,Inputs!$C$61),INDEX(Utility_Rates!$C$29:$F$52,HOUR(C4020)+Inputs!$C$69,MATCH(INDEX(Utility_Rates!$K$6:$K$17,MONTH(C4020))&amp;IF(WEEKDAY(C4020,Inputs!$C$76)&lt;=Inputs!$C$74," weekday"," weekend"),Utility_Rates!$C$28:$F$28,Inputs!$C$68)),"")</f>
      </c>
      <c r="H4020" s="34"/>
      <c r="I4020" s="42">
        <f>IF(AND(ISNUMBER(D4020),ISNUMBER(H4020)),D4020*H4020*Inputs!$C$69,"")</f>
      </c>
      <c r="J4020" s="42">
        <f>IF(AND(ISNUMBER(F4020),ISNUMBER(H4020),F4020&gt;=Inputs!$C$68),F4020*H4020*Inputs!$C$69,"")</f>
      </c>
    </row>
    <row r="4021" spans="2:10" ht="15" customHeight="1" x14ac:dyDescent="0.2">
      <c r="B4021" s="39">
        <f t="shared" si="30"/>
      </c>
      <c r="C4021" s="40">
        <f>IF(Inputs!$C$60,Inputs!$C$11+(B4021-Inputs!$C$69)/Inputs!$C$70,"")</f>
      </c>
      <c r="D4021" s="15"/>
      <c r="E4021" s="15"/>
      <c r="F4021" s="11">
        <f t="shared" si="31"/>
      </c>
      <c r="G4021" s="22" cm="1">
        <f t="array" ref="G4021">IF(AND(Inputs!$C$60,Inputs!$C$61),INDEX(Utility_Rates!$C$29:$F$52,HOUR(C4021)+Inputs!$C$69,MATCH(INDEX(Utility_Rates!$K$6:$K$17,MONTH(C4021))&amp;IF(WEEKDAY(C4021,Inputs!$C$76)&lt;=Inputs!$C$74," weekday"," weekend"),Utility_Rates!$C$28:$F$28,Inputs!$C$68)),"")</f>
      </c>
      <c r="H4021" s="34"/>
      <c r="I4021" s="42">
        <f>IF(AND(ISNUMBER(D4021),ISNUMBER(H4021)),D4021*H4021*Inputs!$C$69,"")</f>
      </c>
      <c r="J4021" s="42">
        <f>IF(AND(ISNUMBER(F4021),ISNUMBER(H4021),F4021&gt;=Inputs!$C$68),F4021*H4021*Inputs!$C$69,"")</f>
      </c>
    </row>
    <row r="4022" spans="2:10" ht="15" customHeight="1" x14ac:dyDescent="0.2">
      <c r="B4022" s="39">
        <f t="shared" si="30"/>
      </c>
      <c r="C4022" s="40">
        <f>IF(Inputs!$C$60,Inputs!$C$11+(B4022-Inputs!$C$69)/Inputs!$C$70,"")</f>
      </c>
      <c r="D4022" s="15"/>
      <c r="E4022" s="15"/>
      <c r="F4022" s="11">
        <f t="shared" si="31"/>
      </c>
      <c r="G4022" s="22" cm="1">
        <f t="array" ref="G4022">IF(AND(Inputs!$C$60,Inputs!$C$61),INDEX(Utility_Rates!$C$29:$F$52,HOUR(C4022)+Inputs!$C$69,MATCH(INDEX(Utility_Rates!$K$6:$K$17,MONTH(C4022))&amp;IF(WEEKDAY(C4022,Inputs!$C$76)&lt;=Inputs!$C$74," weekday"," weekend"),Utility_Rates!$C$28:$F$28,Inputs!$C$68)),"")</f>
      </c>
      <c r="H4022" s="34"/>
      <c r="I4022" s="42">
        <f>IF(AND(ISNUMBER(D4022),ISNUMBER(H4022)),D4022*H4022*Inputs!$C$69,"")</f>
      </c>
      <c r="J4022" s="42">
        <f>IF(AND(ISNUMBER(F4022),ISNUMBER(H4022),F4022&gt;=Inputs!$C$68),F4022*H4022*Inputs!$C$69,"")</f>
      </c>
    </row>
    <row r="4023" spans="2:10" ht="15" customHeight="1" x14ac:dyDescent="0.2">
      <c r="B4023" s="39">
        <f t="shared" si="30"/>
      </c>
      <c r="C4023" s="40">
        <f>IF(Inputs!$C$60,Inputs!$C$11+(B4023-Inputs!$C$69)/Inputs!$C$70,"")</f>
      </c>
      <c r="D4023" s="15"/>
      <c r="E4023" s="15"/>
      <c r="F4023" s="11">
        <f t="shared" si="31"/>
      </c>
      <c r="G4023" s="22" cm="1">
        <f t="array" ref="G4023">IF(AND(Inputs!$C$60,Inputs!$C$61),INDEX(Utility_Rates!$C$29:$F$52,HOUR(C4023)+Inputs!$C$69,MATCH(INDEX(Utility_Rates!$K$6:$K$17,MONTH(C4023))&amp;IF(WEEKDAY(C4023,Inputs!$C$76)&lt;=Inputs!$C$74," weekday"," weekend"),Utility_Rates!$C$28:$F$28,Inputs!$C$68)),"")</f>
      </c>
      <c r="H4023" s="34"/>
      <c r="I4023" s="42">
        <f>IF(AND(ISNUMBER(D4023),ISNUMBER(H4023)),D4023*H4023*Inputs!$C$69,"")</f>
      </c>
      <c r="J4023" s="42">
        <f>IF(AND(ISNUMBER(F4023),ISNUMBER(H4023),F4023&gt;=Inputs!$C$68),F4023*H4023*Inputs!$C$69,"")</f>
      </c>
    </row>
    <row r="4024" spans="2:10" ht="15" customHeight="1" x14ac:dyDescent="0.2">
      <c r="B4024" s="39">
        <f t="shared" si="30"/>
      </c>
      <c r="C4024" s="40">
        <f>IF(Inputs!$C$60,Inputs!$C$11+(B4024-Inputs!$C$69)/Inputs!$C$70,"")</f>
      </c>
      <c r="D4024" s="15"/>
      <c r="E4024" s="15"/>
      <c r="F4024" s="11">
        <f t="shared" si="31"/>
      </c>
      <c r="G4024" s="22" cm="1">
        <f t="array" ref="G4024">IF(AND(Inputs!$C$60,Inputs!$C$61),INDEX(Utility_Rates!$C$29:$F$52,HOUR(C4024)+Inputs!$C$69,MATCH(INDEX(Utility_Rates!$K$6:$K$17,MONTH(C4024))&amp;IF(WEEKDAY(C4024,Inputs!$C$76)&lt;=Inputs!$C$74," weekday"," weekend"),Utility_Rates!$C$28:$F$28,Inputs!$C$68)),"")</f>
      </c>
      <c r="H4024" s="34"/>
      <c r="I4024" s="42">
        <f>IF(AND(ISNUMBER(D4024),ISNUMBER(H4024)),D4024*H4024*Inputs!$C$69,"")</f>
      </c>
      <c r="J4024" s="42">
        <f>IF(AND(ISNUMBER(F4024),ISNUMBER(H4024),F4024&gt;=Inputs!$C$68),F4024*H4024*Inputs!$C$69,"")</f>
      </c>
    </row>
    <row r="4025" spans="2:10" ht="15" customHeight="1" x14ac:dyDescent="0.2">
      <c r="B4025" s="39">
        <f t="shared" si="30"/>
      </c>
      <c r="C4025" s="40">
        <f>IF(Inputs!$C$60,Inputs!$C$11+(B4025-Inputs!$C$69)/Inputs!$C$70,"")</f>
      </c>
      <c r="D4025" s="15"/>
      <c r="E4025" s="15"/>
      <c r="F4025" s="11">
        <f t="shared" si="31"/>
      </c>
      <c r="G4025" s="22" cm="1">
        <f t="array" ref="G4025">IF(AND(Inputs!$C$60,Inputs!$C$61),INDEX(Utility_Rates!$C$29:$F$52,HOUR(C4025)+Inputs!$C$69,MATCH(INDEX(Utility_Rates!$K$6:$K$17,MONTH(C4025))&amp;IF(WEEKDAY(C4025,Inputs!$C$76)&lt;=Inputs!$C$74," weekday"," weekend"),Utility_Rates!$C$28:$F$28,Inputs!$C$68)),"")</f>
      </c>
      <c r="H4025" s="34"/>
      <c r="I4025" s="42">
        <f>IF(AND(ISNUMBER(D4025),ISNUMBER(H4025)),D4025*H4025*Inputs!$C$69,"")</f>
      </c>
      <c r="J4025" s="42">
        <f>IF(AND(ISNUMBER(F4025),ISNUMBER(H4025),F4025&gt;=Inputs!$C$68),F4025*H4025*Inputs!$C$69,"")</f>
      </c>
    </row>
    <row r="4026" spans="2:10" ht="15" customHeight="1" x14ac:dyDescent="0.2">
      <c r="B4026" s="39">
        <f t="shared" si="30"/>
      </c>
      <c r="C4026" s="40">
        <f>IF(Inputs!$C$60,Inputs!$C$11+(B4026-Inputs!$C$69)/Inputs!$C$70,"")</f>
      </c>
      <c r="D4026" s="15"/>
      <c r="E4026" s="15"/>
      <c r="F4026" s="11">
        <f t="shared" si="31"/>
      </c>
      <c r="G4026" s="22" cm="1">
        <f t="array" ref="G4026">IF(AND(Inputs!$C$60,Inputs!$C$61),INDEX(Utility_Rates!$C$29:$F$52,HOUR(C4026)+Inputs!$C$69,MATCH(INDEX(Utility_Rates!$K$6:$K$17,MONTH(C4026))&amp;IF(WEEKDAY(C4026,Inputs!$C$76)&lt;=Inputs!$C$74," weekday"," weekend"),Utility_Rates!$C$28:$F$28,Inputs!$C$68)),"")</f>
      </c>
      <c r="H4026" s="34"/>
      <c r="I4026" s="42">
        <f>IF(AND(ISNUMBER(D4026),ISNUMBER(H4026)),D4026*H4026*Inputs!$C$69,"")</f>
      </c>
      <c r="J4026" s="42">
        <f>IF(AND(ISNUMBER(F4026),ISNUMBER(H4026),F4026&gt;=Inputs!$C$68),F4026*H4026*Inputs!$C$69,"")</f>
      </c>
    </row>
    <row r="4027" spans="2:10" ht="15" customHeight="1" x14ac:dyDescent="0.2">
      <c r="B4027" s="39">
        <f t="shared" si="30"/>
      </c>
      <c r="C4027" s="40">
        <f>IF(Inputs!$C$60,Inputs!$C$11+(B4027-Inputs!$C$69)/Inputs!$C$70,"")</f>
      </c>
      <c r="D4027" s="15"/>
      <c r="E4027" s="15"/>
      <c r="F4027" s="11">
        <f t="shared" si="31"/>
      </c>
      <c r="G4027" s="22" cm="1">
        <f t="array" ref="G4027">IF(AND(Inputs!$C$60,Inputs!$C$61),INDEX(Utility_Rates!$C$29:$F$52,HOUR(C4027)+Inputs!$C$69,MATCH(INDEX(Utility_Rates!$K$6:$K$17,MONTH(C4027))&amp;IF(WEEKDAY(C4027,Inputs!$C$76)&lt;=Inputs!$C$74," weekday"," weekend"),Utility_Rates!$C$28:$F$28,Inputs!$C$68)),"")</f>
      </c>
      <c r="H4027" s="34"/>
      <c r="I4027" s="42">
        <f>IF(AND(ISNUMBER(D4027),ISNUMBER(H4027)),D4027*H4027*Inputs!$C$69,"")</f>
      </c>
      <c r="J4027" s="42">
        <f>IF(AND(ISNUMBER(F4027),ISNUMBER(H4027),F4027&gt;=Inputs!$C$68),F4027*H4027*Inputs!$C$69,"")</f>
      </c>
    </row>
    <row r="4028" spans="2:10" ht="15" customHeight="1" x14ac:dyDescent="0.2">
      <c r="B4028" s="39">
        <f t="shared" si="30"/>
      </c>
      <c r="C4028" s="40">
        <f>IF(Inputs!$C$60,Inputs!$C$11+(B4028-Inputs!$C$69)/Inputs!$C$70,"")</f>
      </c>
      <c r="D4028" s="15"/>
      <c r="E4028" s="15"/>
      <c r="F4028" s="11">
        <f t="shared" si="31"/>
      </c>
      <c r="G4028" s="22" cm="1">
        <f t="array" ref="G4028">IF(AND(Inputs!$C$60,Inputs!$C$61),INDEX(Utility_Rates!$C$29:$F$52,HOUR(C4028)+Inputs!$C$69,MATCH(INDEX(Utility_Rates!$K$6:$K$17,MONTH(C4028))&amp;IF(WEEKDAY(C4028,Inputs!$C$76)&lt;=Inputs!$C$74," weekday"," weekend"),Utility_Rates!$C$28:$F$28,Inputs!$C$68)),"")</f>
      </c>
      <c r="H4028" s="34"/>
      <c r="I4028" s="42">
        <f>IF(AND(ISNUMBER(D4028),ISNUMBER(H4028)),D4028*H4028*Inputs!$C$69,"")</f>
      </c>
      <c r="J4028" s="42">
        <f>IF(AND(ISNUMBER(F4028),ISNUMBER(H4028),F4028&gt;=Inputs!$C$68),F4028*H4028*Inputs!$C$69,"")</f>
      </c>
    </row>
    <row r="4029" spans="2:10" ht="15" customHeight="1" x14ac:dyDescent="0.2">
      <c r="B4029" s="39">
        <f t="shared" si="30"/>
      </c>
      <c r="C4029" s="40">
        <f>IF(Inputs!$C$60,Inputs!$C$11+(B4029-Inputs!$C$69)/Inputs!$C$70,"")</f>
      </c>
      <c r="D4029" s="15"/>
      <c r="E4029" s="15"/>
      <c r="F4029" s="11">
        <f t="shared" si="31"/>
      </c>
      <c r="G4029" s="22" cm="1">
        <f t="array" ref="G4029">IF(AND(Inputs!$C$60,Inputs!$C$61),INDEX(Utility_Rates!$C$29:$F$52,HOUR(C4029)+Inputs!$C$69,MATCH(INDEX(Utility_Rates!$K$6:$K$17,MONTH(C4029))&amp;IF(WEEKDAY(C4029,Inputs!$C$76)&lt;=Inputs!$C$74," weekday"," weekend"),Utility_Rates!$C$28:$F$28,Inputs!$C$68)),"")</f>
      </c>
      <c r="H4029" s="34"/>
      <c r="I4029" s="42">
        <f>IF(AND(ISNUMBER(D4029),ISNUMBER(H4029)),D4029*H4029*Inputs!$C$69,"")</f>
      </c>
      <c r="J4029" s="42">
        <f>IF(AND(ISNUMBER(F4029),ISNUMBER(H4029),F4029&gt;=Inputs!$C$68),F4029*H4029*Inputs!$C$69,"")</f>
      </c>
    </row>
    <row r="4030" spans="2:10" ht="15" customHeight="1" x14ac:dyDescent="0.2">
      <c r="B4030" s="39">
        <f t="shared" si="30"/>
      </c>
      <c r="C4030" s="40">
        <f>IF(Inputs!$C$60,Inputs!$C$11+(B4030-Inputs!$C$69)/Inputs!$C$70,"")</f>
      </c>
      <c r="D4030" s="15"/>
      <c r="E4030" s="15"/>
      <c r="F4030" s="11">
        <f t="shared" si="31"/>
      </c>
      <c r="G4030" s="22" cm="1">
        <f t="array" ref="G4030">IF(AND(Inputs!$C$60,Inputs!$C$61),INDEX(Utility_Rates!$C$29:$F$52,HOUR(C4030)+Inputs!$C$69,MATCH(INDEX(Utility_Rates!$K$6:$K$17,MONTH(C4030))&amp;IF(WEEKDAY(C4030,Inputs!$C$76)&lt;=Inputs!$C$74," weekday"," weekend"),Utility_Rates!$C$28:$F$28,Inputs!$C$68)),"")</f>
      </c>
      <c r="H4030" s="34"/>
      <c r="I4030" s="42">
        <f>IF(AND(ISNUMBER(D4030),ISNUMBER(H4030)),D4030*H4030*Inputs!$C$69,"")</f>
      </c>
      <c r="J4030" s="42">
        <f>IF(AND(ISNUMBER(F4030),ISNUMBER(H4030),F4030&gt;=Inputs!$C$68),F4030*H4030*Inputs!$C$69,"")</f>
      </c>
    </row>
    <row r="4031" spans="2:10" ht="15" customHeight="1" x14ac:dyDescent="0.2">
      <c r="B4031" s="39">
        <f t="shared" si="30"/>
      </c>
      <c r="C4031" s="40">
        <f>IF(Inputs!$C$60,Inputs!$C$11+(B4031-Inputs!$C$69)/Inputs!$C$70,"")</f>
      </c>
      <c r="D4031" s="15"/>
      <c r="E4031" s="15"/>
      <c r="F4031" s="11">
        <f t="shared" si="31"/>
      </c>
      <c r="G4031" s="22" cm="1">
        <f t="array" ref="G4031">IF(AND(Inputs!$C$60,Inputs!$C$61),INDEX(Utility_Rates!$C$29:$F$52,HOUR(C4031)+Inputs!$C$69,MATCH(INDEX(Utility_Rates!$K$6:$K$17,MONTH(C4031))&amp;IF(WEEKDAY(C4031,Inputs!$C$76)&lt;=Inputs!$C$74," weekday"," weekend"),Utility_Rates!$C$28:$F$28,Inputs!$C$68)),"")</f>
      </c>
      <c r="H4031" s="34"/>
      <c r="I4031" s="42">
        <f>IF(AND(ISNUMBER(D4031),ISNUMBER(H4031)),D4031*H4031*Inputs!$C$69,"")</f>
      </c>
      <c r="J4031" s="42">
        <f>IF(AND(ISNUMBER(F4031),ISNUMBER(H4031),F4031&gt;=Inputs!$C$68),F4031*H4031*Inputs!$C$69,"")</f>
      </c>
    </row>
    <row r="4032" spans="2:10" ht="15" customHeight="1" x14ac:dyDescent="0.2">
      <c r="B4032" s="39">
        <f t="shared" si="30"/>
      </c>
      <c r="C4032" s="40">
        <f>IF(Inputs!$C$60,Inputs!$C$11+(B4032-Inputs!$C$69)/Inputs!$C$70,"")</f>
      </c>
      <c r="D4032" s="15"/>
      <c r="E4032" s="15"/>
      <c r="F4032" s="11">
        <f t="shared" si="31"/>
      </c>
      <c r="G4032" s="22" cm="1">
        <f t="array" ref="G4032">IF(AND(Inputs!$C$60,Inputs!$C$61),INDEX(Utility_Rates!$C$29:$F$52,HOUR(C4032)+Inputs!$C$69,MATCH(INDEX(Utility_Rates!$K$6:$K$17,MONTH(C4032))&amp;IF(WEEKDAY(C4032,Inputs!$C$76)&lt;=Inputs!$C$74," weekday"," weekend"),Utility_Rates!$C$28:$F$28,Inputs!$C$68)),"")</f>
      </c>
      <c r="H4032" s="34"/>
      <c r="I4032" s="42">
        <f>IF(AND(ISNUMBER(D4032),ISNUMBER(H4032)),D4032*H4032*Inputs!$C$69,"")</f>
      </c>
      <c r="J4032" s="42">
        <f>IF(AND(ISNUMBER(F4032),ISNUMBER(H4032),F4032&gt;=Inputs!$C$68),F4032*H4032*Inputs!$C$69,"")</f>
      </c>
    </row>
    <row r="4033" spans="2:10" ht="15" customHeight="1" x14ac:dyDescent="0.2">
      <c r="B4033" s="39">
        <f t="shared" si="30"/>
      </c>
      <c r="C4033" s="40">
        <f>IF(Inputs!$C$60,Inputs!$C$11+(B4033-Inputs!$C$69)/Inputs!$C$70,"")</f>
      </c>
      <c r="D4033" s="15"/>
      <c r="E4033" s="15"/>
      <c r="F4033" s="11">
        <f t="shared" si="31"/>
      </c>
      <c r="G4033" s="22" cm="1">
        <f t="array" ref="G4033">IF(AND(Inputs!$C$60,Inputs!$C$61),INDEX(Utility_Rates!$C$29:$F$52,HOUR(C4033)+Inputs!$C$69,MATCH(INDEX(Utility_Rates!$K$6:$K$17,MONTH(C4033))&amp;IF(WEEKDAY(C4033,Inputs!$C$76)&lt;=Inputs!$C$74," weekday"," weekend"),Utility_Rates!$C$28:$F$28,Inputs!$C$68)),"")</f>
      </c>
      <c r="H4033" s="34"/>
      <c r="I4033" s="42">
        <f>IF(AND(ISNUMBER(D4033),ISNUMBER(H4033)),D4033*H4033*Inputs!$C$69,"")</f>
      </c>
      <c r="J4033" s="42">
        <f>IF(AND(ISNUMBER(F4033),ISNUMBER(H4033),F4033&gt;=Inputs!$C$68),F4033*H4033*Inputs!$C$69,"")</f>
      </c>
    </row>
    <row r="4034" spans="2:10" ht="15" customHeight="1" x14ac:dyDescent="0.2">
      <c r="B4034" s="39">
        <f t="shared" si="30"/>
      </c>
      <c r="C4034" s="40">
        <f>IF(Inputs!$C$60,Inputs!$C$11+(B4034-Inputs!$C$69)/Inputs!$C$70,"")</f>
      </c>
      <c r="D4034" s="15"/>
      <c r="E4034" s="15"/>
      <c r="F4034" s="11">
        <f t="shared" si="31"/>
      </c>
      <c r="G4034" s="22" cm="1">
        <f t="array" ref="G4034">IF(AND(Inputs!$C$60,Inputs!$C$61),INDEX(Utility_Rates!$C$29:$F$52,HOUR(C4034)+Inputs!$C$69,MATCH(INDEX(Utility_Rates!$K$6:$K$17,MONTH(C4034))&amp;IF(WEEKDAY(C4034,Inputs!$C$76)&lt;=Inputs!$C$74," weekday"," weekend"),Utility_Rates!$C$28:$F$28,Inputs!$C$68)),"")</f>
      </c>
      <c r="H4034" s="34"/>
      <c r="I4034" s="42">
        <f>IF(AND(ISNUMBER(D4034),ISNUMBER(H4034)),D4034*H4034*Inputs!$C$69,"")</f>
      </c>
      <c r="J4034" s="42">
        <f>IF(AND(ISNUMBER(F4034),ISNUMBER(H4034),F4034&gt;=Inputs!$C$68),F4034*H4034*Inputs!$C$69,"")</f>
      </c>
    </row>
    <row r="4035" spans="2:10" ht="15" customHeight="1" x14ac:dyDescent="0.2">
      <c r="B4035" s="39">
        <f t="shared" si="30"/>
      </c>
      <c r="C4035" s="40">
        <f>IF(Inputs!$C$60,Inputs!$C$11+(B4035-Inputs!$C$69)/Inputs!$C$70,"")</f>
      </c>
      <c r="D4035" s="15"/>
      <c r="E4035" s="15"/>
      <c r="F4035" s="11">
        <f t="shared" si="31"/>
      </c>
      <c r="G4035" s="22" cm="1">
        <f t="array" ref="G4035">IF(AND(Inputs!$C$60,Inputs!$C$61),INDEX(Utility_Rates!$C$29:$F$52,HOUR(C4035)+Inputs!$C$69,MATCH(INDEX(Utility_Rates!$K$6:$K$17,MONTH(C4035))&amp;IF(WEEKDAY(C4035,Inputs!$C$76)&lt;=Inputs!$C$74," weekday"," weekend"),Utility_Rates!$C$28:$F$28,Inputs!$C$68)),"")</f>
      </c>
      <c r="H4035" s="34"/>
      <c r="I4035" s="42">
        <f>IF(AND(ISNUMBER(D4035),ISNUMBER(H4035)),D4035*H4035*Inputs!$C$69,"")</f>
      </c>
      <c r="J4035" s="42">
        <f>IF(AND(ISNUMBER(F4035),ISNUMBER(H4035),F4035&gt;=Inputs!$C$68),F4035*H4035*Inputs!$C$69,"")</f>
      </c>
    </row>
    <row r="4036" spans="2:10" ht="15" customHeight="1" x14ac:dyDescent="0.2">
      <c r="B4036" s="39">
        <f t="shared" si="30"/>
      </c>
      <c r="C4036" s="40">
        <f>IF(Inputs!$C$60,Inputs!$C$11+(B4036-Inputs!$C$69)/Inputs!$C$70,"")</f>
      </c>
      <c r="D4036" s="15"/>
      <c r="E4036" s="15"/>
      <c r="F4036" s="11">
        <f t="shared" si="31"/>
      </c>
      <c r="G4036" s="22" cm="1">
        <f t="array" ref="G4036">IF(AND(Inputs!$C$60,Inputs!$C$61),INDEX(Utility_Rates!$C$29:$F$52,HOUR(C4036)+Inputs!$C$69,MATCH(INDEX(Utility_Rates!$K$6:$K$17,MONTH(C4036))&amp;IF(WEEKDAY(C4036,Inputs!$C$76)&lt;=Inputs!$C$74," weekday"," weekend"),Utility_Rates!$C$28:$F$28,Inputs!$C$68)),"")</f>
      </c>
      <c r="H4036" s="34"/>
      <c r="I4036" s="42">
        <f>IF(AND(ISNUMBER(D4036),ISNUMBER(H4036)),D4036*H4036*Inputs!$C$69,"")</f>
      </c>
      <c r="J4036" s="42">
        <f>IF(AND(ISNUMBER(F4036),ISNUMBER(H4036),F4036&gt;=Inputs!$C$68),F4036*H4036*Inputs!$C$69,"")</f>
      </c>
    </row>
    <row r="4037" spans="2:10" ht="15" customHeight="1" x14ac:dyDescent="0.2">
      <c r="B4037" s="39">
        <f t="shared" si="30"/>
      </c>
      <c r="C4037" s="40">
        <f>IF(Inputs!$C$60,Inputs!$C$11+(B4037-Inputs!$C$69)/Inputs!$C$70,"")</f>
      </c>
      <c r="D4037" s="15"/>
      <c r="E4037" s="15"/>
      <c r="F4037" s="11">
        <f t="shared" si="31"/>
      </c>
      <c r="G4037" s="22" cm="1">
        <f t="array" ref="G4037">IF(AND(Inputs!$C$60,Inputs!$C$61),INDEX(Utility_Rates!$C$29:$F$52,HOUR(C4037)+Inputs!$C$69,MATCH(INDEX(Utility_Rates!$K$6:$K$17,MONTH(C4037))&amp;IF(WEEKDAY(C4037,Inputs!$C$76)&lt;=Inputs!$C$74," weekday"," weekend"),Utility_Rates!$C$28:$F$28,Inputs!$C$68)),"")</f>
      </c>
      <c r="H4037" s="34"/>
      <c r="I4037" s="42">
        <f>IF(AND(ISNUMBER(D4037),ISNUMBER(H4037)),D4037*H4037*Inputs!$C$69,"")</f>
      </c>
      <c r="J4037" s="42">
        <f>IF(AND(ISNUMBER(F4037),ISNUMBER(H4037),F4037&gt;=Inputs!$C$68),F4037*H4037*Inputs!$C$69,"")</f>
      </c>
    </row>
    <row r="4038" spans="2:10" ht="15" customHeight="1" x14ac:dyDescent="0.2">
      <c r="B4038" s="39">
        <f t="shared" si="30"/>
      </c>
      <c r="C4038" s="40">
        <f>IF(Inputs!$C$60,Inputs!$C$11+(B4038-Inputs!$C$69)/Inputs!$C$70,"")</f>
      </c>
      <c r="D4038" s="15"/>
      <c r="E4038" s="15"/>
      <c r="F4038" s="11">
        <f t="shared" si="31"/>
      </c>
      <c r="G4038" s="22" cm="1">
        <f t="array" ref="G4038">IF(AND(Inputs!$C$60,Inputs!$C$61),INDEX(Utility_Rates!$C$29:$F$52,HOUR(C4038)+Inputs!$C$69,MATCH(INDEX(Utility_Rates!$K$6:$K$17,MONTH(C4038))&amp;IF(WEEKDAY(C4038,Inputs!$C$76)&lt;=Inputs!$C$74," weekday"," weekend"),Utility_Rates!$C$28:$F$28,Inputs!$C$68)),"")</f>
      </c>
      <c r="H4038" s="34"/>
      <c r="I4038" s="42">
        <f>IF(AND(ISNUMBER(D4038),ISNUMBER(H4038)),D4038*H4038*Inputs!$C$69,"")</f>
      </c>
      <c r="J4038" s="42">
        <f>IF(AND(ISNUMBER(F4038),ISNUMBER(H4038),F4038&gt;=Inputs!$C$68),F4038*H4038*Inputs!$C$69,"")</f>
      </c>
    </row>
    <row r="4039" spans="2:10" ht="15" customHeight="1" x14ac:dyDescent="0.2">
      <c r="B4039" s="39">
        <f t="shared" si="30"/>
      </c>
      <c r="C4039" s="40">
        <f>IF(Inputs!$C$60,Inputs!$C$11+(B4039-Inputs!$C$69)/Inputs!$C$70,"")</f>
      </c>
      <c r="D4039" s="15"/>
      <c r="E4039" s="15"/>
      <c r="F4039" s="11">
        <f t="shared" si="31"/>
      </c>
      <c r="G4039" s="22" cm="1">
        <f t="array" ref="G4039">IF(AND(Inputs!$C$60,Inputs!$C$61),INDEX(Utility_Rates!$C$29:$F$52,HOUR(C4039)+Inputs!$C$69,MATCH(INDEX(Utility_Rates!$K$6:$K$17,MONTH(C4039))&amp;IF(WEEKDAY(C4039,Inputs!$C$76)&lt;=Inputs!$C$74," weekday"," weekend"),Utility_Rates!$C$28:$F$28,Inputs!$C$68)),"")</f>
      </c>
      <c r="H4039" s="34"/>
      <c r="I4039" s="42">
        <f>IF(AND(ISNUMBER(D4039),ISNUMBER(H4039)),D4039*H4039*Inputs!$C$69,"")</f>
      </c>
      <c r="J4039" s="42">
        <f>IF(AND(ISNUMBER(F4039),ISNUMBER(H4039),F4039&gt;=Inputs!$C$68),F4039*H4039*Inputs!$C$69,"")</f>
      </c>
    </row>
    <row r="4040" spans="2:10" ht="15" customHeight="1" x14ac:dyDescent="0.2">
      <c r="B4040" s="39">
        <f t="shared" si="30"/>
      </c>
      <c r="C4040" s="40">
        <f>IF(Inputs!$C$60,Inputs!$C$11+(B4040-Inputs!$C$69)/Inputs!$C$70,"")</f>
      </c>
      <c r="D4040" s="15"/>
      <c r="E4040" s="15"/>
      <c r="F4040" s="11">
        <f t="shared" si="31"/>
      </c>
      <c r="G4040" s="22" cm="1">
        <f t="array" ref="G4040">IF(AND(Inputs!$C$60,Inputs!$C$61),INDEX(Utility_Rates!$C$29:$F$52,HOUR(C4040)+Inputs!$C$69,MATCH(INDEX(Utility_Rates!$K$6:$K$17,MONTH(C4040))&amp;IF(WEEKDAY(C4040,Inputs!$C$76)&lt;=Inputs!$C$74," weekday"," weekend"),Utility_Rates!$C$28:$F$28,Inputs!$C$68)),"")</f>
      </c>
      <c r="H4040" s="34"/>
      <c r="I4040" s="42">
        <f>IF(AND(ISNUMBER(D4040),ISNUMBER(H4040)),D4040*H4040*Inputs!$C$69,"")</f>
      </c>
      <c r="J4040" s="42">
        <f>IF(AND(ISNUMBER(F4040),ISNUMBER(H4040),F4040&gt;=Inputs!$C$68),F4040*H4040*Inputs!$C$69,"")</f>
      </c>
    </row>
    <row r="4041" spans="2:10" ht="15" customHeight="1" x14ac:dyDescent="0.2">
      <c r="B4041" s="39">
        <f t="shared" si="30"/>
      </c>
      <c r="C4041" s="40">
        <f>IF(Inputs!$C$60,Inputs!$C$11+(B4041-Inputs!$C$69)/Inputs!$C$70,"")</f>
      </c>
      <c r="D4041" s="15"/>
      <c r="E4041" s="15"/>
      <c r="F4041" s="11">
        <f t="shared" si="31"/>
      </c>
      <c r="G4041" s="22" cm="1">
        <f t="array" ref="G4041">IF(AND(Inputs!$C$60,Inputs!$C$61),INDEX(Utility_Rates!$C$29:$F$52,HOUR(C4041)+Inputs!$C$69,MATCH(INDEX(Utility_Rates!$K$6:$K$17,MONTH(C4041))&amp;IF(WEEKDAY(C4041,Inputs!$C$76)&lt;=Inputs!$C$74," weekday"," weekend"),Utility_Rates!$C$28:$F$28,Inputs!$C$68)),"")</f>
      </c>
      <c r="H4041" s="34"/>
      <c r="I4041" s="42">
        <f>IF(AND(ISNUMBER(D4041),ISNUMBER(H4041)),D4041*H4041*Inputs!$C$69,"")</f>
      </c>
      <c r="J4041" s="42">
        <f>IF(AND(ISNUMBER(F4041),ISNUMBER(H4041),F4041&gt;=Inputs!$C$68),F4041*H4041*Inputs!$C$69,"")</f>
      </c>
    </row>
    <row r="4042" spans="2:10" ht="15" customHeight="1" x14ac:dyDescent="0.2">
      <c r="B4042" s="39">
        <f t="shared" si="30"/>
      </c>
      <c r="C4042" s="40">
        <f>IF(Inputs!$C$60,Inputs!$C$11+(B4042-Inputs!$C$69)/Inputs!$C$70,"")</f>
      </c>
      <c r="D4042" s="15"/>
      <c r="E4042" s="15"/>
      <c r="F4042" s="11">
        <f t="shared" si="31"/>
      </c>
      <c r="G4042" s="22" cm="1">
        <f t="array" ref="G4042">IF(AND(Inputs!$C$60,Inputs!$C$61),INDEX(Utility_Rates!$C$29:$F$52,HOUR(C4042)+Inputs!$C$69,MATCH(INDEX(Utility_Rates!$K$6:$K$17,MONTH(C4042))&amp;IF(WEEKDAY(C4042,Inputs!$C$76)&lt;=Inputs!$C$74," weekday"," weekend"),Utility_Rates!$C$28:$F$28,Inputs!$C$68)),"")</f>
      </c>
      <c r="H4042" s="34"/>
      <c r="I4042" s="42">
        <f>IF(AND(ISNUMBER(D4042),ISNUMBER(H4042)),D4042*H4042*Inputs!$C$69,"")</f>
      </c>
      <c r="J4042" s="42">
        <f>IF(AND(ISNUMBER(F4042),ISNUMBER(H4042),F4042&gt;=Inputs!$C$68),F4042*H4042*Inputs!$C$69,"")</f>
      </c>
    </row>
    <row r="4043" spans="2:10" ht="15" customHeight="1" x14ac:dyDescent="0.2">
      <c r="B4043" s="39">
        <f t="shared" si="30"/>
      </c>
      <c r="C4043" s="40">
        <f>IF(Inputs!$C$60,Inputs!$C$11+(B4043-Inputs!$C$69)/Inputs!$C$70,"")</f>
      </c>
      <c r="D4043" s="15"/>
      <c r="E4043" s="15"/>
      <c r="F4043" s="11">
        <f t="shared" si="31"/>
      </c>
      <c r="G4043" s="22" cm="1">
        <f t="array" ref="G4043">IF(AND(Inputs!$C$60,Inputs!$C$61),INDEX(Utility_Rates!$C$29:$F$52,HOUR(C4043)+Inputs!$C$69,MATCH(INDEX(Utility_Rates!$K$6:$K$17,MONTH(C4043))&amp;IF(WEEKDAY(C4043,Inputs!$C$76)&lt;=Inputs!$C$74," weekday"," weekend"),Utility_Rates!$C$28:$F$28,Inputs!$C$68)),"")</f>
      </c>
      <c r="H4043" s="34"/>
      <c r="I4043" s="42">
        <f>IF(AND(ISNUMBER(D4043),ISNUMBER(H4043)),D4043*H4043*Inputs!$C$69,"")</f>
      </c>
      <c r="J4043" s="42">
        <f>IF(AND(ISNUMBER(F4043),ISNUMBER(H4043),F4043&gt;=Inputs!$C$68),F4043*H4043*Inputs!$C$69,"")</f>
      </c>
    </row>
    <row r="4044" spans="2:10" ht="15" customHeight="1" x14ac:dyDescent="0.2">
      <c r="B4044" s="39">
        <f t="shared" si="30"/>
      </c>
      <c r="C4044" s="40">
        <f>IF(Inputs!$C$60,Inputs!$C$11+(B4044-Inputs!$C$69)/Inputs!$C$70,"")</f>
      </c>
      <c r="D4044" s="15"/>
      <c r="E4044" s="15"/>
      <c r="F4044" s="11">
        <f t="shared" si="31"/>
      </c>
      <c r="G4044" s="22" cm="1">
        <f t="array" ref="G4044">IF(AND(Inputs!$C$60,Inputs!$C$61),INDEX(Utility_Rates!$C$29:$F$52,HOUR(C4044)+Inputs!$C$69,MATCH(INDEX(Utility_Rates!$K$6:$K$17,MONTH(C4044))&amp;IF(WEEKDAY(C4044,Inputs!$C$76)&lt;=Inputs!$C$74," weekday"," weekend"),Utility_Rates!$C$28:$F$28,Inputs!$C$68)),"")</f>
      </c>
      <c r="H4044" s="34"/>
      <c r="I4044" s="42">
        <f>IF(AND(ISNUMBER(D4044),ISNUMBER(H4044)),D4044*H4044*Inputs!$C$69,"")</f>
      </c>
      <c r="J4044" s="42">
        <f>IF(AND(ISNUMBER(F4044),ISNUMBER(H4044),F4044&gt;=Inputs!$C$68),F4044*H4044*Inputs!$C$69,"")</f>
      </c>
    </row>
    <row r="4045" spans="2:10" ht="15" customHeight="1" x14ac:dyDescent="0.2">
      <c r="B4045" s="39">
        <f t="shared" si="30"/>
      </c>
      <c r="C4045" s="40">
        <f>IF(Inputs!$C$60,Inputs!$C$11+(B4045-Inputs!$C$69)/Inputs!$C$70,"")</f>
      </c>
      <c r="D4045" s="15"/>
      <c r="E4045" s="15"/>
      <c r="F4045" s="11">
        <f t="shared" si="31"/>
      </c>
      <c r="G4045" s="22" cm="1">
        <f t="array" ref="G4045">IF(AND(Inputs!$C$60,Inputs!$C$61),INDEX(Utility_Rates!$C$29:$F$52,HOUR(C4045)+Inputs!$C$69,MATCH(INDEX(Utility_Rates!$K$6:$K$17,MONTH(C4045))&amp;IF(WEEKDAY(C4045,Inputs!$C$76)&lt;=Inputs!$C$74," weekday"," weekend"),Utility_Rates!$C$28:$F$28,Inputs!$C$68)),"")</f>
      </c>
      <c r="H4045" s="34"/>
      <c r="I4045" s="42">
        <f>IF(AND(ISNUMBER(D4045),ISNUMBER(H4045)),D4045*H4045*Inputs!$C$69,"")</f>
      </c>
      <c r="J4045" s="42">
        <f>IF(AND(ISNUMBER(F4045),ISNUMBER(H4045),F4045&gt;=Inputs!$C$68),F4045*H4045*Inputs!$C$69,"")</f>
      </c>
    </row>
    <row r="4046" spans="2:10" ht="15" customHeight="1" x14ac:dyDescent="0.2">
      <c r="B4046" s="39">
        <f t="shared" si="30"/>
      </c>
      <c r="C4046" s="40">
        <f>IF(Inputs!$C$60,Inputs!$C$11+(B4046-Inputs!$C$69)/Inputs!$C$70,"")</f>
      </c>
      <c r="D4046" s="15"/>
      <c r="E4046" s="15"/>
      <c r="F4046" s="11">
        <f t="shared" si="31"/>
      </c>
      <c r="G4046" s="22" cm="1">
        <f t="array" ref="G4046">IF(AND(Inputs!$C$60,Inputs!$C$61),INDEX(Utility_Rates!$C$29:$F$52,HOUR(C4046)+Inputs!$C$69,MATCH(INDEX(Utility_Rates!$K$6:$K$17,MONTH(C4046))&amp;IF(WEEKDAY(C4046,Inputs!$C$76)&lt;=Inputs!$C$74," weekday"," weekend"),Utility_Rates!$C$28:$F$28,Inputs!$C$68)),"")</f>
      </c>
      <c r="H4046" s="34"/>
      <c r="I4046" s="42">
        <f>IF(AND(ISNUMBER(D4046),ISNUMBER(H4046)),D4046*H4046*Inputs!$C$69,"")</f>
      </c>
      <c r="J4046" s="42">
        <f>IF(AND(ISNUMBER(F4046),ISNUMBER(H4046),F4046&gt;=Inputs!$C$68),F4046*H4046*Inputs!$C$69,"")</f>
      </c>
    </row>
    <row r="4047" spans="2:10" ht="15" customHeight="1" x14ac:dyDescent="0.2">
      <c r="B4047" s="39">
        <f t="shared" si="30"/>
      </c>
      <c r="C4047" s="40">
        <f>IF(Inputs!$C$60,Inputs!$C$11+(B4047-Inputs!$C$69)/Inputs!$C$70,"")</f>
      </c>
      <c r="D4047" s="15"/>
      <c r="E4047" s="15"/>
      <c r="F4047" s="11">
        <f t="shared" si="31"/>
      </c>
      <c r="G4047" s="22" cm="1">
        <f t="array" ref="G4047">IF(AND(Inputs!$C$60,Inputs!$C$61),INDEX(Utility_Rates!$C$29:$F$52,HOUR(C4047)+Inputs!$C$69,MATCH(INDEX(Utility_Rates!$K$6:$K$17,MONTH(C4047))&amp;IF(WEEKDAY(C4047,Inputs!$C$76)&lt;=Inputs!$C$74," weekday"," weekend"),Utility_Rates!$C$28:$F$28,Inputs!$C$68)),"")</f>
      </c>
      <c r="H4047" s="34"/>
      <c r="I4047" s="42">
        <f>IF(AND(ISNUMBER(D4047),ISNUMBER(H4047)),D4047*H4047*Inputs!$C$69,"")</f>
      </c>
      <c r="J4047" s="42">
        <f>IF(AND(ISNUMBER(F4047),ISNUMBER(H4047),F4047&gt;=Inputs!$C$68),F4047*H4047*Inputs!$C$69,"")</f>
      </c>
    </row>
    <row r="4048" spans="2:10" ht="15" customHeight="1" x14ac:dyDescent="0.2">
      <c r="B4048" s="39">
        <f t="shared" si="30"/>
      </c>
      <c r="C4048" s="40">
        <f>IF(Inputs!$C$60,Inputs!$C$11+(B4048-Inputs!$C$69)/Inputs!$C$70,"")</f>
      </c>
      <c r="D4048" s="15"/>
      <c r="E4048" s="15"/>
      <c r="F4048" s="11">
        <f t="shared" si="31"/>
      </c>
      <c r="G4048" s="22" cm="1">
        <f t="array" ref="G4048">IF(AND(Inputs!$C$60,Inputs!$C$61),INDEX(Utility_Rates!$C$29:$F$52,HOUR(C4048)+Inputs!$C$69,MATCH(INDEX(Utility_Rates!$K$6:$K$17,MONTH(C4048))&amp;IF(WEEKDAY(C4048,Inputs!$C$76)&lt;=Inputs!$C$74," weekday"," weekend"),Utility_Rates!$C$28:$F$28,Inputs!$C$68)),"")</f>
      </c>
      <c r="H4048" s="34"/>
      <c r="I4048" s="42">
        <f>IF(AND(ISNUMBER(D4048),ISNUMBER(H4048)),D4048*H4048*Inputs!$C$69,"")</f>
      </c>
      <c r="J4048" s="42">
        <f>IF(AND(ISNUMBER(F4048),ISNUMBER(H4048),F4048&gt;=Inputs!$C$68),F4048*H4048*Inputs!$C$69,"")</f>
      </c>
    </row>
    <row r="4049" spans="2:10" ht="15" customHeight="1" x14ac:dyDescent="0.2">
      <c r="B4049" s="39">
        <f t="shared" si="30"/>
      </c>
      <c r="C4049" s="40">
        <f>IF(Inputs!$C$60,Inputs!$C$11+(B4049-Inputs!$C$69)/Inputs!$C$70,"")</f>
      </c>
      <c r="D4049" s="15"/>
      <c r="E4049" s="15"/>
      <c r="F4049" s="11">
        <f t="shared" si="31"/>
      </c>
      <c r="G4049" s="22" cm="1">
        <f t="array" ref="G4049">IF(AND(Inputs!$C$60,Inputs!$C$61),INDEX(Utility_Rates!$C$29:$F$52,HOUR(C4049)+Inputs!$C$69,MATCH(INDEX(Utility_Rates!$K$6:$K$17,MONTH(C4049))&amp;IF(WEEKDAY(C4049,Inputs!$C$76)&lt;=Inputs!$C$74," weekday"," weekend"),Utility_Rates!$C$28:$F$28,Inputs!$C$68)),"")</f>
      </c>
      <c r="H4049" s="34"/>
      <c r="I4049" s="42">
        <f>IF(AND(ISNUMBER(D4049),ISNUMBER(H4049)),D4049*H4049*Inputs!$C$69,"")</f>
      </c>
      <c r="J4049" s="42">
        <f>IF(AND(ISNUMBER(F4049),ISNUMBER(H4049),F4049&gt;=Inputs!$C$68),F4049*H4049*Inputs!$C$69,"")</f>
      </c>
    </row>
    <row r="4050" spans="2:10" ht="15" customHeight="1" x14ac:dyDescent="0.2">
      <c r="B4050" s="39">
        <f t="shared" si="30"/>
      </c>
      <c r="C4050" s="40">
        <f>IF(Inputs!$C$60,Inputs!$C$11+(B4050-Inputs!$C$69)/Inputs!$C$70,"")</f>
      </c>
      <c r="D4050" s="15"/>
      <c r="E4050" s="15"/>
      <c r="F4050" s="11">
        <f t="shared" si="31"/>
      </c>
      <c r="G4050" s="22" cm="1">
        <f t="array" ref="G4050">IF(AND(Inputs!$C$60,Inputs!$C$61),INDEX(Utility_Rates!$C$29:$F$52,HOUR(C4050)+Inputs!$C$69,MATCH(INDEX(Utility_Rates!$K$6:$K$17,MONTH(C4050))&amp;IF(WEEKDAY(C4050,Inputs!$C$76)&lt;=Inputs!$C$74," weekday"," weekend"),Utility_Rates!$C$28:$F$28,Inputs!$C$68)),"")</f>
      </c>
      <c r="H4050" s="34"/>
      <c r="I4050" s="42">
        <f>IF(AND(ISNUMBER(D4050),ISNUMBER(H4050)),D4050*H4050*Inputs!$C$69,"")</f>
      </c>
      <c r="J4050" s="42">
        <f>IF(AND(ISNUMBER(F4050),ISNUMBER(H4050),F4050&gt;=Inputs!$C$68),F4050*H4050*Inputs!$C$69,"")</f>
      </c>
    </row>
    <row r="4051" spans="2:10" ht="15" customHeight="1" x14ac:dyDescent="0.2">
      <c r="B4051" s="39">
        <f t="shared" si="30"/>
      </c>
      <c r="C4051" s="40">
        <f>IF(Inputs!$C$60,Inputs!$C$11+(B4051-Inputs!$C$69)/Inputs!$C$70,"")</f>
      </c>
      <c r="D4051" s="15"/>
      <c r="E4051" s="15"/>
      <c r="F4051" s="11">
        <f t="shared" si="31"/>
      </c>
      <c r="G4051" s="22" cm="1">
        <f t="array" ref="G4051">IF(AND(Inputs!$C$60,Inputs!$C$61),INDEX(Utility_Rates!$C$29:$F$52,HOUR(C4051)+Inputs!$C$69,MATCH(INDEX(Utility_Rates!$K$6:$K$17,MONTH(C4051))&amp;IF(WEEKDAY(C4051,Inputs!$C$76)&lt;=Inputs!$C$74," weekday"," weekend"),Utility_Rates!$C$28:$F$28,Inputs!$C$68)),"")</f>
      </c>
      <c r="H4051" s="34"/>
      <c r="I4051" s="42">
        <f>IF(AND(ISNUMBER(D4051),ISNUMBER(H4051)),D4051*H4051*Inputs!$C$69,"")</f>
      </c>
      <c r="J4051" s="42">
        <f>IF(AND(ISNUMBER(F4051),ISNUMBER(H4051),F4051&gt;=Inputs!$C$68),F4051*H4051*Inputs!$C$69,"")</f>
      </c>
    </row>
    <row r="4052" spans="2:10" ht="15" customHeight="1" x14ac:dyDescent="0.2">
      <c r="B4052" s="39">
        <f t="shared" si="30"/>
      </c>
      <c r="C4052" s="40">
        <f>IF(Inputs!$C$60,Inputs!$C$11+(B4052-Inputs!$C$69)/Inputs!$C$70,"")</f>
      </c>
      <c r="D4052" s="15"/>
      <c r="E4052" s="15"/>
      <c r="F4052" s="11">
        <f t="shared" si="31"/>
      </c>
      <c r="G4052" s="22" cm="1">
        <f t="array" ref="G4052">IF(AND(Inputs!$C$60,Inputs!$C$61),INDEX(Utility_Rates!$C$29:$F$52,HOUR(C4052)+Inputs!$C$69,MATCH(INDEX(Utility_Rates!$K$6:$K$17,MONTH(C4052))&amp;IF(WEEKDAY(C4052,Inputs!$C$76)&lt;=Inputs!$C$74," weekday"," weekend"),Utility_Rates!$C$28:$F$28,Inputs!$C$68)),"")</f>
      </c>
      <c r="H4052" s="34"/>
      <c r="I4052" s="42">
        <f>IF(AND(ISNUMBER(D4052),ISNUMBER(H4052)),D4052*H4052*Inputs!$C$69,"")</f>
      </c>
      <c r="J4052" s="42">
        <f>IF(AND(ISNUMBER(F4052),ISNUMBER(H4052),F4052&gt;=Inputs!$C$68),F4052*H4052*Inputs!$C$69,"")</f>
      </c>
    </row>
    <row r="4053" spans="2:10" ht="15" customHeight="1" x14ac:dyDescent="0.2">
      <c r="B4053" s="39">
        <f t="shared" si="30"/>
      </c>
      <c r="C4053" s="40">
        <f>IF(Inputs!$C$60,Inputs!$C$11+(B4053-Inputs!$C$69)/Inputs!$C$70,"")</f>
      </c>
      <c r="D4053" s="15"/>
      <c r="E4053" s="15"/>
      <c r="F4053" s="11">
        <f t="shared" si="31"/>
      </c>
      <c r="G4053" s="22" cm="1">
        <f t="array" ref="G4053">IF(AND(Inputs!$C$60,Inputs!$C$61),INDEX(Utility_Rates!$C$29:$F$52,HOUR(C4053)+Inputs!$C$69,MATCH(INDEX(Utility_Rates!$K$6:$K$17,MONTH(C4053))&amp;IF(WEEKDAY(C4053,Inputs!$C$76)&lt;=Inputs!$C$74," weekday"," weekend"),Utility_Rates!$C$28:$F$28,Inputs!$C$68)),"")</f>
      </c>
      <c r="H4053" s="34"/>
      <c r="I4053" s="42">
        <f>IF(AND(ISNUMBER(D4053),ISNUMBER(H4053)),D4053*H4053*Inputs!$C$69,"")</f>
      </c>
      <c r="J4053" s="42">
        <f>IF(AND(ISNUMBER(F4053),ISNUMBER(H4053),F4053&gt;=Inputs!$C$68),F4053*H4053*Inputs!$C$69,"")</f>
      </c>
    </row>
    <row r="4054" spans="2:10" ht="15" customHeight="1" x14ac:dyDescent="0.2">
      <c r="B4054" s="39">
        <f t="shared" si="30"/>
      </c>
      <c r="C4054" s="40">
        <f>IF(Inputs!$C$60,Inputs!$C$11+(B4054-Inputs!$C$69)/Inputs!$C$70,"")</f>
      </c>
      <c r="D4054" s="15"/>
      <c r="E4054" s="15"/>
      <c r="F4054" s="11">
        <f t="shared" si="31"/>
      </c>
      <c r="G4054" s="22" cm="1">
        <f t="array" ref="G4054">IF(AND(Inputs!$C$60,Inputs!$C$61),INDEX(Utility_Rates!$C$29:$F$52,HOUR(C4054)+Inputs!$C$69,MATCH(INDEX(Utility_Rates!$K$6:$K$17,MONTH(C4054))&amp;IF(WEEKDAY(C4054,Inputs!$C$76)&lt;=Inputs!$C$74," weekday"," weekend"),Utility_Rates!$C$28:$F$28,Inputs!$C$68)),"")</f>
      </c>
      <c r="H4054" s="34"/>
      <c r="I4054" s="42">
        <f>IF(AND(ISNUMBER(D4054),ISNUMBER(H4054)),D4054*H4054*Inputs!$C$69,"")</f>
      </c>
      <c r="J4054" s="42">
        <f>IF(AND(ISNUMBER(F4054),ISNUMBER(H4054),F4054&gt;=Inputs!$C$68),F4054*H4054*Inputs!$C$69,"")</f>
      </c>
    </row>
    <row r="4055" spans="2:10" ht="15" customHeight="1" x14ac:dyDescent="0.2">
      <c r="B4055" s="39">
        <f t="shared" si="30"/>
      </c>
      <c r="C4055" s="40">
        <f>IF(Inputs!$C$60,Inputs!$C$11+(B4055-Inputs!$C$69)/Inputs!$C$70,"")</f>
      </c>
      <c r="D4055" s="15"/>
      <c r="E4055" s="15"/>
      <c r="F4055" s="11">
        <f t="shared" si="31"/>
      </c>
      <c r="G4055" s="22" cm="1">
        <f t="array" ref="G4055">IF(AND(Inputs!$C$60,Inputs!$C$61),INDEX(Utility_Rates!$C$29:$F$52,HOUR(C4055)+Inputs!$C$69,MATCH(INDEX(Utility_Rates!$K$6:$K$17,MONTH(C4055))&amp;IF(WEEKDAY(C4055,Inputs!$C$76)&lt;=Inputs!$C$74," weekday"," weekend"),Utility_Rates!$C$28:$F$28,Inputs!$C$68)),"")</f>
      </c>
      <c r="H4055" s="34"/>
      <c r="I4055" s="42">
        <f>IF(AND(ISNUMBER(D4055),ISNUMBER(H4055)),D4055*H4055*Inputs!$C$69,"")</f>
      </c>
      <c r="J4055" s="42">
        <f>IF(AND(ISNUMBER(F4055),ISNUMBER(H4055),F4055&gt;=Inputs!$C$68),F4055*H4055*Inputs!$C$69,"")</f>
      </c>
    </row>
    <row r="4056" spans="2:10" ht="15" customHeight="1" x14ac:dyDescent="0.2">
      <c r="B4056" s="39">
        <f t="shared" si="30"/>
      </c>
      <c r="C4056" s="40">
        <f>IF(Inputs!$C$60,Inputs!$C$11+(B4056-Inputs!$C$69)/Inputs!$C$70,"")</f>
      </c>
      <c r="D4056" s="15"/>
      <c r="E4056" s="15"/>
      <c r="F4056" s="11">
        <f t="shared" si="31"/>
      </c>
      <c r="G4056" s="22" cm="1">
        <f t="array" ref="G4056">IF(AND(Inputs!$C$60,Inputs!$C$61),INDEX(Utility_Rates!$C$29:$F$52,HOUR(C4056)+Inputs!$C$69,MATCH(INDEX(Utility_Rates!$K$6:$K$17,MONTH(C4056))&amp;IF(WEEKDAY(C4056,Inputs!$C$76)&lt;=Inputs!$C$74," weekday"," weekend"),Utility_Rates!$C$28:$F$28,Inputs!$C$68)),"")</f>
      </c>
      <c r="H4056" s="34"/>
      <c r="I4056" s="42">
        <f>IF(AND(ISNUMBER(D4056),ISNUMBER(H4056)),D4056*H4056*Inputs!$C$69,"")</f>
      </c>
      <c r="J4056" s="42">
        <f>IF(AND(ISNUMBER(F4056),ISNUMBER(H4056),F4056&gt;=Inputs!$C$68),F4056*H4056*Inputs!$C$69,"")</f>
      </c>
    </row>
    <row r="4057" spans="2:10" ht="15" customHeight="1" x14ac:dyDescent="0.2">
      <c r="B4057" s="39">
        <f t="shared" si="30"/>
      </c>
      <c r="C4057" s="40">
        <f>IF(Inputs!$C$60,Inputs!$C$11+(B4057-Inputs!$C$69)/Inputs!$C$70,"")</f>
      </c>
      <c r="D4057" s="15"/>
      <c r="E4057" s="15"/>
      <c r="F4057" s="11">
        <f t="shared" si="31"/>
      </c>
      <c r="G4057" s="22" cm="1">
        <f t="array" ref="G4057">IF(AND(Inputs!$C$60,Inputs!$C$61),INDEX(Utility_Rates!$C$29:$F$52,HOUR(C4057)+Inputs!$C$69,MATCH(INDEX(Utility_Rates!$K$6:$K$17,MONTH(C4057))&amp;IF(WEEKDAY(C4057,Inputs!$C$76)&lt;=Inputs!$C$74," weekday"," weekend"),Utility_Rates!$C$28:$F$28,Inputs!$C$68)),"")</f>
      </c>
      <c r="H4057" s="34"/>
      <c r="I4057" s="42">
        <f>IF(AND(ISNUMBER(D4057),ISNUMBER(H4057)),D4057*H4057*Inputs!$C$69,"")</f>
      </c>
      <c r="J4057" s="42">
        <f>IF(AND(ISNUMBER(F4057),ISNUMBER(H4057),F4057&gt;=Inputs!$C$68),F4057*H4057*Inputs!$C$69,"")</f>
      </c>
    </row>
    <row r="4058" spans="2:10" ht="15" customHeight="1" x14ac:dyDescent="0.2">
      <c r="B4058" s="39">
        <f t="shared" si="30"/>
      </c>
      <c r="C4058" s="40">
        <f>IF(Inputs!$C$60,Inputs!$C$11+(B4058-Inputs!$C$69)/Inputs!$C$70,"")</f>
      </c>
      <c r="D4058" s="15"/>
      <c r="E4058" s="15"/>
      <c r="F4058" s="11">
        <f t="shared" si="31"/>
      </c>
      <c r="G4058" s="22" cm="1">
        <f t="array" ref="G4058">IF(AND(Inputs!$C$60,Inputs!$C$61),INDEX(Utility_Rates!$C$29:$F$52,HOUR(C4058)+Inputs!$C$69,MATCH(INDEX(Utility_Rates!$K$6:$K$17,MONTH(C4058))&amp;IF(WEEKDAY(C4058,Inputs!$C$76)&lt;=Inputs!$C$74," weekday"," weekend"),Utility_Rates!$C$28:$F$28,Inputs!$C$68)),"")</f>
      </c>
      <c r="H4058" s="34"/>
      <c r="I4058" s="42">
        <f>IF(AND(ISNUMBER(D4058),ISNUMBER(H4058)),D4058*H4058*Inputs!$C$69,"")</f>
      </c>
      <c r="J4058" s="42">
        <f>IF(AND(ISNUMBER(F4058),ISNUMBER(H4058),F4058&gt;=Inputs!$C$68),F4058*H4058*Inputs!$C$69,"")</f>
      </c>
    </row>
    <row r="4059" spans="2:10" ht="15" customHeight="1" x14ac:dyDescent="0.2">
      <c r="B4059" s="39">
        <f t="shared" si="30"/>
      </c>
      <c r="C4059" s="40">
        <f>IF(Inputs!$C$60,Inputs!$C$11+(B4059-Inputs!$C$69)/Inputs!$C$70,"")</f>
      </c>
      <c r="D4059" s="15"/>
      <c r="E4059" s="15"/>
      <c r="F4059" s="11">
        <f t="shared" si="31"/>
      </c>
      <c r="G4059" s="22" cm="1">
        <f t="array" ref="G4059">IF(AND(Inputs!$C$60,Inputs!$C$61),INDEX(Utility_Rates!$C$29:$F$52,HOUR(C4059)+Inputs!$C$69,MATCH(INDEX(Utility_Rates!$K$6:$K$17,MONTH(C4059))&amp;IF(WEEKDAY(C4059,Inputs!$C$76)&lt;=Inputs!$C$74," weekday"," weekend"),Utility_Rates!$C$28:$F$28,Inputs!$C$68)),"")</f>
      </c>
      <c r="H4059" s="34"/>
      <c r="I4059" s="42">
        <f>IF(AND(ISNUMBER(D4059),ISNUMBER(H4059)),D4059*H4059*Inputs!$C$69,"")</f>
      </c>
      <c r="J4059" s="42">
        <f>IF(AND(ISNUMBER(F4059),ISNUMBER(H4059),F4059&gt;=Inputs!$C$68),F4059*H4059*Inputs!$C$69,"")</f>
      </c>
    </row>
    <row r="4060" spans="2:10" ht="15" customHeight="1" x14ac:dyDescent="0.2">
      <c r="B4060" s="39">
        <f t="shared" si="30"/>
      </c>
      <c r="C4060" s="40">
        <f>IF(Inputs!$C$60,Inputs!$C$11+(B4060-Inputs!$C$69)/Inputs!$C$70,"")</f>
      </c>
      <c r="D4060" s="15"/>
      <c r="E4060" s="15"/>
      <c r="F4060" s="11">
        <f t="shared" si="31"/>
      </c>
      <c r="G4060" s="22" cm="1">
        <f t="array" ref="G4060">IF(AND(Inputs!$C$60,Inputs!$C$61),INDEX(Utility_Rates!$C$29:$F$52,HOUR(C4060)+Inputs!$C$69,MATCH(INDEX(Utility_Rates!$K$6:$K$17,MONTH(C4060))&amp;IF(WEEKDAY(C4060,Inputs!$C$76)&lt;=Inputs!$C$74," weekday"," weekend"),Utility_Rates!$C$28:$F$28,Inputs!$C$68)),"")</f>
      </c>
      <c r="H4060" s="34"/>
      <c r="I4060" s="42">
        <f>IF(AND(ISNUMBER(D4060),ISNUMBER(H4060)),D4060*H4060*Inputs!$C$69,"")</f>
      </c>
      <c r="J4060" s="42">
        <f>IF(AND(ISNUMBER(F4060),ISNUMBER(H4060),F4060&gt;=Inputs!$C$68),F4060*H4060*Inputs!$C$69,"")</f>
      </c>
    </row>
    <row r="4061" spans="2:10" ht="15" customHeight="1" x14ac:dyDescent="0.2">
      <c r="B4061" s="39">
        <f t="shared" si="30"/>
      </c>
      <c r="C4061" s="40">
        <f>IF(Inputs!$C$60,Inputs!$C$11+(B4061-Inputs!$C$69)/Inputs!$C$70,"")</f>
      </c>
      <c r="D4061" s="15"/>
      <c r="E4061" s="15"/>
      <c r="F4061" s="11">
        <f t="shared" si="31"/>
      </c>
      <c r="G4061" s="22" cm="1">
        <f t="array" ref="G4061">IF(AND(Inputs!$C$60,Inputs!$C$61),INDEX(Utility_Rates!$C$29:$F$52,HOUR(C4061)+Inputs!$C$69,MATCH(INDEX(Utility_Rates!$K$6:$K$17,MONTH(C4061))&amp;IF(WEEKDAY(C4061,Inputs!$C$76)&lt;=Inputs!$C$74," weekday"," weekend"),Utility_Rates!$C$28:$F$28,Inputs!$C$68)),"")</f>
      </c>
      <c r="H4061" s="34"/>
      <c r="I4061" s="42">
        <f>IF(AND(ISNUMBER(D4061),ISNUMBER(H4061)),D4061*H4061*Inputs!$C$69,"")</f>
      </c>
      <c r="J4061" s="42">
        <f>IF(AND(ISNUMBER(F4061),ISNUMBER(H4061),F4061&gt;=Inputs!$C$68),F4061*H4061*Inputs!$C$69,"")</f>
      </c>
    </row>
    <row r="4062" spans="2:10" ht="15" customHeight="1" x14ac:dyDescent="0.2">
      <c r="B4062" s="39">
        <f t="shared" si="30"/>
      </c>
      <c r="C4062" s="40">
        <f>IF(Inputs!$C$60,Inputs!$C$11+(B4062-Inputs!$C$69)/Inputs!$C$70,"")</f>
      </c>
      <c r="D4062" s="15"/>
      <c r="E4062" s="15"/>
      <c r="F4062" s="11">
        <f t="shared" si="31"/>
      </c>
      <c r="G4062" s="22" cm="1">
        <f t="array" ref="G4062">IF(AND(Inputs!$C$60,Inputs!$C$61),INDEX(Utility_Rates!$C$29:$F$52,HOUR(C4062)+Inputs!$C$69,MATCH(INDEX(Utility_Rates!$K$6:$K$17,MONTH(C4062))&amp;IF(WEEKDAY(C4062,Inputs!$C$76)&lt;=Inputs!$C$74," weekday"," weekend"),Utility_Rates!$C$28:$F$28,Inputs!$C$68)),"")</f>
      </c>
      <c r="H4062" s="34"/>
      <c r="I4062" s="42">
        <f>IF(AND(ISNUMBER(D4062),ISNUMBER(H4062)),D4062*H4062*Inputs!$C$69,"")</f>
      </c>
      <c r="J4062" s="42">
        <f>IF(AND(ISNUMBER(F4062),ISNUMBER(H4062),F4062&gt;=Inputs!$C$68),F4062*H4062*Inputs!$C$69,"")</f>
      </c>
    </row>
    <row r="4063" spans="2:10" ht="15" customHeight="1" x14ac:dyDescent="0.2">
      <c r="B4063" s="39">
        <f t="shared" si="30"/>
      </c>
      <c r="C4063" s="40">
        <f>IF(Inputs!$C$60,Inputs!$C$11+(B4063-Inputs!$C$69)/Inputs!$C$70,"")</f>
      </c>
      <c r="D4063" s="15"/>
      <c r="E4063" s="15"/>
      <c r="F4063" s="11">
        <f t="shared" si="31"/>
      </c>
      <c r="G4063" s="22" cm="1">
        <f t="array" ref="G4063">IF(AND(Inputs!$C$60,Inputs!$C$61),INDEX(Utility_Rates!$C$29:$F$52,HOUR(C4063)+Inputs!$C$69,MATCH(INDEX(Utility_Rates!$K$6:$K$17,MONTH(C4063))&amp;IF(WEEKDAY(C4063,Inputs!$C$76)&lt;=Inputs!$C$74," weekday"," weekend"),Utility_Rates!$C$28:$F$28,Inputs!$C$68)),"")</f>
      </c>
      <c r="H4063" s="34"/>
      <c r="I4063" s="42">
        <f>IF(AND(ISNUMBER(D4063),ISNUMBER(H4063)),D4063*H4063*Inputs!$C$69,"")</f>
      </c>
      <c r="J4063" s="42">
        <f>IF(AND(ISNUMBER(F4063),ISNUMBER(H4063),F4063&gt;=Inputs!$C$68),F4063*H4063*Inputs!$C$69,"")</f>
      </c>
    </row>
    <row r="4064" spans="2:10" ht="15" customHeight="1" x14ac:dyDescent="0.2">
      <c r="B4064" s="39">
        <f t="shared" si="30"/>
      </c>
      <c r="C4064" s="40">
        <f>IF(Inputs!$C$60,Inputs!$C$11+(B4064-Inputs!$C$69)/Inputs!$C$70,"")</f>
      </c>
      <c r="D4064" s="15"/>
      <c r="E4064" s="15"/>
      <c r="F4064" s="11">
        <f t="shared" si="31"/>
      </c>
      <c r="G4064" s="22" cm="1">
        <f t="array" ref="G4064">IF(AND(Inputs!$C$60,Inputs!$C$61),INDEX(Utility_Rates!$C$29:$F$52,HOUR(C4064)+Inputs!$C$69,MATCH(INDEX(Utility_Rates!$K$6:$K$17,MONTH(C4064))&amp;IF(WEEKDAY(C4064,Inputs!$C$76)&lt;=Inputs!$C$74," weekday"," weekend"),Utility_Rates!$C$28:$F$28,Inputs!$C$68)),"")</f>
      </c>
      <c r="H4064" s="34"/>
      <c r="I4064" s="42">
        <f>IF(AND(ISNUMBER(D4064),ISNUMBER(H4064)),D4064*H4064*Inputs!$C$69,"")</f>
      </c>
      <c r="J4064" s="42">
        <f>IF(AND(ISNUMBER(F4064),ISNUMBER(H4064),F4064&gt;=Inputs!$C$68),F4064*H4064*Inputs!$C$69,"")</f>
      </c>
    </row>
    <row r="4065" spans="2:10" ht="15" customHeight="1" x14ac:dyDescent="0.2">
      <c r="B4065" s="39">
        <f t="shared" si="30"/>
      </c>
      <c r="C4065" s="40">
        <f>IF(Inputs!$C$60,Inputs!$C$11+(B4065-Inputs!$C$69)/Inputs!$C$70,"")</f>
      </c>
      <c r="D4065" s="15"/>
      <c r="E4065" s="15"/>
      <c r="F4065" s="11">
        <f t="shared" si="31"/>
      </c>
      <c r="G4065" s="22" cm="1">
        <f t="array" ref="G4065">IF(AND(Inputs!$C$60,Inputs!$C$61),INDEX(Utility_Rates!$C$29:$F$52,HOUR(C4065)+Inputs!$C$69,MATCH(INDEX(Utility_Rates!$K$6:$K$17,MONTH(C4065))&amp;IF(WEEKDAY(C4065,Inputs!$C$76)&lt;=Inputs!$C$74," weekday"," weekend"),Utility_Rates!$C$28:$F$28,Inputs!$C$68)),"")</f>
      </c>
      <c r="H4065" s="34"/>
      <c r="I4065" s="42">
        <f>IF(AND(ISNUMBER(D4065),ISNUMBER(H4065)),D4065*H4065*Inputs!$C$69,"")</f>
      </c>
      <c r="J4065" s="42">
        <f>IF(AND(ISNUMBER(F4065),ISNUMBER(H4065),F4065&gt;=Inputs!$C$68),F4065*H4065*Inputs!$C$69,"")</f>
      </c>
    </row>
    <row r="4066" spans="2:10" ht="15" customHeight="1" x14ac:dyDescent="0.2">
      <c r="B4066" s="39">
        <f t="shared" si="30"/>
      </c>
      <c r="C4066" s="40">
        <f>IF(Inputs!$C$60,Inputs!$C$11+(B4066-Inputs!$C$69)/Inputs!$C$70,"")</f>
      </c>
      <c r="D4066" s="15"/>
      <c r="E4066" s="15"/>
      <c r="F4066" s="11">
        <f t="shared" si="31"/>
      </c>
      <c r="G4066" s="22" cm="1">
        <f t="array" ref="G4066">IF(AND(Inputs!$C$60,Inputs!$C$61),INDEX(Utility_Rates!$C$29:$F$52,HOUR(C4066)+Inputs!$C$69,MATCH(INDEX(Utility_Rates!$K$6:$K$17,MONTH(C4066))&amp;IF(WEEKDAY(C4066,Inputs!$C$76)&lt;=Inputs!$C$74," weekday"," weekend"),Utility_Rates!$C$28:$F$28,Inputs!$C$68)),"")</f>
      </c>
      <c r="H4066" s="34"/>
      <c r="I4066" s="42">
        <f>IF(AND(ISNUMBER(D4066),ISNUMBER(H4066)),D4066*H4066*Inputs!$C$69,"")</f>
      </c>
      <c r="J4066" s="42">
        <f>IF(AND(ISNUMBER(F4066),ISNUMBER(H4066),F4066&gt;=Inputs!$C$68),F4066*H4066*Inputs!$C$69,"")</f>
      </c>
    </row>
    <row r="4067" spans="2:10" ht="15" customHeight="1" x14ac:dyDescent="0.2">
      <c r="B4067" s="39">
        <f t="shared" si="30"/>
      </c>
      <c r="C4067" s="40">
        <f>IF(Inputs!$C$60,Inputs!$C$11+(B4067-Inputs!$C$69)/Inputs!$C$70,"")</f>
      </c>
      <c r="D4067" s="15"/>
      <c r="E4067" s="15"/>
      <c r="F4067" s="11">
        <f t="shared" si="31"/>
      </c>
      <c r="G4067" s="22" cm="1">
        <f t="array" ref="G4067">IF(AND(Inputs!$C$60,Inputs!$C$61),INDEX(Utility_Rates!$C$29:$F$52,HOUR(C4067)+Inputs!$C$69,MATCH(INDEX(Utility_Rates!$K$6:$K$17,MONTH(C4067))&amp;IF(WEEKDAY(C4067,Inputs!$C$76)&lt;=Inputs!$C$74," weekday"," weekend"),Utility_Rates!$C$28:$F$28,Inputs!$C$68)),"")</f>
      </c>
      <c r="H4067" s="34"/>
      <c r="I4067" s="42">
        <f>IF(AND(ISNUMBER(D4067),ISNUMBER(H4067)),D4067*H4067*Inputs!$C$69,"")</f>
      </c>
      <c r="J4067" s="42">
        <f>IF(AND(ISNUMBER(F4067),ISNUMBER(H4067),F4067&gt;=Inputs!$C$68),F4067*H4067*Inputs!$C$69,"")</f>
      </c>
    </row>
    <row r="4068" spans="2:10" ht="15" customHeight="1" x14ac:dyDescent="0.2">
      <c r="B4068" s="39">
        <f t="shared" si="30"/>
      </c>
      <c r="C4068" s="40">
        <f>IF(Inputs!$C$60,Inputs!$C$11+(B4068-Inputs!$C$69)/Inputs!$C$70,"")</f>
      </c>
      <c r="D4068" s="15"/>
      <c r="E4068" s="15"/>
      <c r="F4068" s="11">
        <f t="shared" si="31"/>
      </c>
      <c r="G4068" s="22" cm="1">
        <f t="array" ref="G4068">IF(AND(Inputs!$C$60,Inputs!$C$61),INDEX(Utility_Rates!$C$29:$F$52,HOUR(C4068)+Inputs!$C$69,MATCH(INDEX(Utility_Rates!$K$6:$K$17,MONTH(C4068))&amp;IF(WEEKDAY(C4068,Inputs!$C$76)&lt;=Inputs!$C$74," weekday"," weekend"),Utility_Rates!$C$28:$F$28,Inputs!$C$68)),"")</f>
      </c>
      <c r="H4068" s="34"/>
      <c r="I4068" s="42">
        <f>IF(AND(ISNUMBER(D4068),ISNUMBER(H4068)),D4068*H4068*Inputs!$C$69,"")</f>
      </c>
      <c r="J4068" s="42">
        <f>IF(AND(ISNUMBER(F4068),ISNUMBER(H4068),F4068&gt;=Inputs!$C$68),F4068*H4068*Inputs!$C$69,"")</f>
      </c>
    </row>
    <row r="4069" spans="2:10" ht="15" customHeight="1" x14ac:dyDescent="0.2">
      <c r="B4069" s="39">
        <f t="shared" si="30"/>
      </c>
      <c r="C4069" s="40">
        <f>IF(Inputs!$C$60,Inputs!$C$11+(B4069-Inputs!$C$69)/Inputs!$C$70,"")</f>
      </c>
      <c r="D4069" s="15"/>
      <c r="E4069" s="15"/>
      <c r="F4069" s="11">
        <f t="shared" si="31"/>
      </c>
      <c r="G4069" s="22" cm="1">
        <f t="array" ref="G4069">IF(AND(Inputs!$C$60,Inputs!$C$61),INDEX(Utility_Rates!$C$29:$F$52,HOUR(C4069)+Inputs!$C$69,MATCH(INDEX(Utility_Rates!$K$6:$K$17,MONTH(C4069))&amp;IF(WEEKDAY(C4069,Inputs!$C$76)&lt;=Inputs!$C$74," weekday"," weekend"),Utility_Rates!$C$28:$F$28,Inputs!$C$68)),"")</f>
      </c>
      <c r="H4069" s="34"/>
      <c r="I4069" s="42">
        <f>IF(AND(ISNUMBER(D4069),ISNUMBER(H4069)),D4069*H4069*Inputs!$C$69,"")</f>
      </c>
      <c r="J4069" s="42">
        <f>IF(AND(ISNUMBER(F4069),ISNUMBER(H4069),F4069&gt;=Inputs!$C$68),F4069*H4069*Inputs!$C$69,"")</f>
      </c>
    </row>
    <row r="4070" spans="2:10" ht="15" customHeight="1" x14ac:dyDescent="0.2">
      <c r="B4070" s="39">
        <f t="shared" si="30"/>
      </c>
      <c r="C4070" s="40">
        <f>IF(Inputs!$C$60,Inputs!$C$11+(B4070-Inputs!$C$69)/Inputs!$C$70,"")</f>
      </c>
      <c r="D4070" s="15"/>
      <c r="E4070" s="15"/>
      <c r="F4070" s="11">
        <f t="shared" si="31"/>
      </c>
      <c r="G4070" s="22" cm="1">
        <f t="array" ref="G4070">IF(AND(Inputs!$C$60,Inputs!$C$61),INDEX(Utility_Rates!$C$29:$F$52,HOUR(C4070)+Inputs!$C$69,MATCH(INDEX(Utility_Rates!$K$6:$K$17,MONTH(C4070))&amp;IF(WEEKDAY(C4070,Inputs!$C$76)&lt;=Inputs!$C$74," weekday"," weekend"),Utility_Rates!$C$28:$F$28,Inputs!$C$68)),"")</f>
      </c>
      <c r="H4070" s="34"/>
      <c r="I4070" s="42">
        <f>IF(AND(ISNUMBER(D4070),ISNUMBER(H4070)),D4070*H4070*Inputs!$C$69,"")</f>
      </c>
      <c r="J4070" s="42">
        <f>IF(AND(ISNUMBER(F4070),ISNUMBER(H4070),F4070&gt;=Inputs!$C$68),F4070*H4070*Inputs!$C$69,"")</f>
      </c>
    </row>
    <row r="4071" spans="2:10" ht="15" customHeight="1" x14ac:dyDescent="0.2">
      <c r="B4071" s="39">
        <f t="shared" si="30"/>
      </c>
      <c r="C4071" s="40">
        <f>IF(Inputs!$C$60,Inputs!$C$11+(B4071-Inputs!$C$69)/Inputs!$C$70,"")</f>
      </c>
      <c r="D4071" s="15"/>
      <c r="E4071" s="15"/>
      <c r="F4071" s="11">
        <f t="shared" si="31"/>
      </c>
      <c r="G4071" s="22" cm="1">
        <f t="array" ref="G4071">IF(AND(Inputs!$C$60,Inputs!$C$61),INDEX(Utility_Rates!$C$29:$F$52,HOUR(C4071)+Inputs!$C$69,MATCH(INDEX(Utility_Rates!$K$6:$K$17,MONTH(C4071))&amp;IF(WEEKDAY(C4071,Inputs!$C$76)&lt;=Inputs!$C$74," weekday"," weekend"),Utility_Rates!$C$28:$F$28,Inputs!$C$68)),"")</f>
      </c>
      <c r="H4071" s="34"/>
      <c r="I4071" s="42">
        <f>IF(AND(ISNUMBER(D4071),ISNUMBER(H4071)),D4071*H4071*Inputs!$C$69,"")</f>
      </c>
      <c r="J4071" s="42">
        <f>IF(AND(ISNUMBER(F4071),ISNUMBER(H4071),F4071&gt;=Inputs!$C$68),F4071*H4071*Inputs!$C$69,"")</f>
      </c>
    </row>
    <row r="4072" spans="2:10" ht="15" customHeight="1" x14ac:dyDescent="0.2">
      <c r="B4072" s="39">
        <f t="shared" si="30"/>
      </c>
      <c r="C4072" s="40">
        <f>IF(Inputs!$C$60,Inputs!$C$11+(B4072-Inputs!$C$69)/Inputs!$C$70,"")</f>
      </c>
      <c r="D4072" s="15"/>
      <c r="E4072" s="15"/>
      <c r="F4072" s="11">
        <f t="shared" si="31"/>
      </c>
      <c r="G4072" s="22" cm="1">
        <f t="array" ref="G4072">IF(AND(Inputs!$C$60,Inputs!$C$61),INDEX(Utility_Rates!$C$29:$F$52,HOUR(C4072)+Inputs!$C$69,MATCH(INDEX(Utility_Rates!$K$6:$K$17,MONTH(C4072))&amp;IF(WEEKDAY(C4072,Inputs!$C$76)&lt;=Inputs!$C$74," weekday"," weekend"),Utility_Rates!$C$28:$F$28,Inputs!$C$68)),"")</f>
      </c>
      <c r="H4072" s="34"/>
      <c r="I4072" s="42">
        <f>IF(AND(ISNUMBER(D4072),ISNUMBER(H4072)),D4072*H4072*Inputs!$C$69,"")</f>
      </c>
      <c r="J4072" s="42">
        <f>IF(AND(ISNUMBER(F4072),ISNUMBER(H4072),F4072&gt;=Inputs!$C$68),F4072*H4072*Inputs!$C$69,"")</f>
      </c>
    </row>
    <row r="4073" spans="2:10" ht="15" customHeight="1" x14ac:dyDescent="0.2">
      <c r="B4073" s="39">
        <f t="shared" si="30"/>
      </c>
      <c r="C4073" s="40">
        <f>IF(Inputs!$C$60,Inputs!$C$11+(B4073-Inputs!$C$69)/Inputs!$C$70,"")</f>
      </c>
      <c r="D4073" s="15"/>
      <c r="E4073" s="15"/>
      <c r="F4073" s="11">
        <f t="shared" si="31"/>
      </c>
      <c r="G4073" s="22" cm="1">
        <f t="array" ref="G4073">IF(AND(Inputs!$C$60,Inputs!$C$61),INDEX(Utility_Rates!$C$29:$F$52,HOUR(C4073)+Inputs!$C$69,MATCH(INDEX(Utility_Rates!$K$6:$K$17,MONTH(C4073))&amp;IF(WEEKDAY(C4073,Inputs!$C$76)&lt;=Inputs!$C$74," weekday"," weekend"),Utility_Rates!$C$28:$F$28,Inputs!$C$68)),"")</f>
      </c>
      <c r="H4073" s="34"/>
      <c r="I4073" s="42">
        <f>IF(AND(ISNUMBER(D4073),ISNUMBER(H4073)),D4073*H4073*Inputs!$C$69,"")</f>
      </c>
      <c r="J4073" s="42">
        <f>IF(AND(ISNUMBER(F4073),ISNUMBER(H4073),F4073&gt;=Inputs!$C$68),F4073*H4073*Inputs!$C$69,"")</f>
      </c>
    </row>
    <row r="4074" spans="2:10" ht="15" customHeight="1" x14ac:dyDescent="0.2">
      <c r="B4074" s="39">
        <f t="shared" si="30"/>
      </c>
      <c r="C4074" s="40">
        <f>IF(Inputs!$C$60,Inputs!$C$11+(B4074-Inputs!$C$69)/Inputs!$C$70,"")</f>
      </c>
      <c r="D4074" s="15"/>
      <c r="E4074" s="15"/>
      <c r="F4074" s="11">
        <f t="shared" si="31"/>
      </c>
      <c r="G4074" s="22" cm="1">
        <f t="array" ref="G4074">IF(AND(Inputs!$C$60,Inputs!$C$61),INDEX(Utility_Rates!$C$29:$F$52,HOUR(C4074)+Inputs!$C$69,MATCH(INDEX(Utility_Rates!$K$6:$K$17,MONTH(C4074))&amp;IF(WEEKDAY(C4074,Inputs!$C$76)&lt;=Inputs!$C$74," weekday"," weekend"),Utility_Rates!$C$28:$F$28,Inputs!$C$68)),"")</f>
      </c>
      <c r="H4074" s="34"/>
      <c r="I4074" s="42">
        <f>IF(AND(ISNUMBER(D4074),ISNUMBER(H4074)),D4074*H4074*Inputs!$C$69,"")</f>
      </c>
      <c r="J4074" s="42">
        <f>IF(AND(ISNUMBER(F4074),ISNUMBER(H4074),F4074&gt;=Inputs!$C$68),F4074*H4074*Inputs!$C$69,"")</f>
      </c>
    </row>
    <row r="4075" spans="2:10" ht="15" customHeight="1" x14ac:dyDescent="0.2">
      <c r="B4075" s="39">
        <f t="shared" si="30"/>
      </c>
      <c r="C4075" s="40">
        <f>IF(Inputs!$C$60,Inputs!$C$11+(B4075-Inputs!$C$69)/Inputs!$C$70,"")</f>
      </c>
      <c r="D4075" s="15"/>
      <c r="E4075" s="15"/>
      <c r="F4075" s="11">
        <f t="shared" si="31"/>
      </c>
      <c r="G4075" s="22" cm="1">
        <f t="array" ref="G4075">IF(AND(Inputs!$C$60,Inputs!$C$61),INDEX(Utility_Rates!$C$29:$F$52,HOUR(C4075)+Inputs!$C$69,MATCH(INDEX(Utility_Rates!$K$6:$K$17,MONTH(C4075))&amp;IF(WEEKDAY(C4075,Inputs!$C$76)&lt;=Inputs!$C$74," weekday"," weekend"),Utility_Rates!$C$28:$F$28,Inputs!$C$68)),"")</f>
      </c>
      <c r="H4075" s="34"/>
      <c r="I4075" s="42">
        <f>IF(AND(ISNUMBER(D4075),ISNUMBER(H4075)),D4075*H4075*Inputs!$C$69,"")</f>
      </c>
      <c r="J4075" s="42">
        <f>IF(AND(ISNUMBER(F4075),ISNUMBER(H4075),F4075&gt;=Inputs!$C$68),F4075*H4075*Inputs!$C$69,"")</f>
      </c>
    </row>
    <row r="4076" spans="2:10" ht="15" customHeight="1" x14ac:dyDescent="0.2">
      <c r="B4076" s="39">
        <f t="shared" si="30"/>
      </c>
      <c r="C4076" s="40">
        <f>IF(Inputs!$C$60,Inputs!$C$11+(B4076-Inputs!$C$69)/Inputs!$C$70,"")</f>
      </c>
      <c r="D4076" s="15"/>
      <c r="E4076" s="15"/>
      <c r="F4076" s="11">
        <f t="shared" si="31"/>
      </c>
      <c r="G4076" s="22" cm="1">
        <f t="array" ref="G4076">IF(AND(Inputs!$C$60,Inputs!$C$61),INDEX(Utility_Rates!$C$29:$F$52,HOUR(C4076)+Inputs!$C$69,MATCH(INDEX(Utility_Rates!$K$6:$K$17,MONTH(C4076))&amp;IF(WEEKDAY(C4076,Inputs!$C$76)&lt;=Inputs!$C$74," weekday"," weekend"),Utility_Rates!$C$28:$F$28,Inputs!$C$68)),"")</f>
      </c>
      <c r="H4076" s="34"/>
      <c r="I4076" s="42">
        <f>IF(AND(ISNUMBER(D4076),ISNUMBER(H4076)),D4076*H4076*Inputs!$C$69,"")</f>
      </c>
      <c r="J4076" s="42">
        <f>IF(AND(ISNUMBER(F4076),ISNUMBER(H4076),F4076&gt;=Inputs!$C$68),F4076*H4076*Inputs!$C$69,"")</f>
      </c>
    </row>
    <row r="4077" spans="2:10" ht="15" customHeight="1" x14ac:dyDescent="0.2">
      <c r="B4077" s="39">
        <f t="shared" si="30"/>
      </c>
      <c r="C4077" s="40">
        <f>IF(Inputs!$C$60,Inputs!$C$11+(B4077-Inputs!$C$69)/Inputs!$C$70,"")</f>
      </c>
      <c r="D4077" s="15"/>
      <c r="E4077" s="15"/>
      <c r="F4077" s="11">
        <f t="shared" si="31"/>
      </c>
      <c r="G4077" s="22" cm="1">
        <f t="array" ref="G4077">IF(AND(Inputs!$C$60,Inputs!$C$61),INDEX(Utility_Rates!$C$29:$F$52,HOUR(C4077)+Inputs!$C$69,MATCH(INDEX(Utility_Rates!$K$6:$K$17,MONTH(C4077))&amp;IF(WEEKDAY(C4077,Inputs!$C$76)&lt;=Inputs!$C$74," weekday"," weekend"),Utility_Rates!$C$28:$F$28,Inputs!$C$68)),"")</f>
      </c>
      <c r="H4077" s="34"/>
      <c r="I4077" s="42">
        <f>IF(AND(ISNUMBER(D4077),ISNUMBER(H4077)),D4077*H4077*Inputs!$C$69,"")</f>
      </c>
      <c r="J4077" s="42">
        <f>IF(AND(ISNUMBER(F4077),ISNUMBER(H4077),F4077&gt;=Inputs!$C$68),F4077*H4077*Inputs!$C$69,"")</f>
      </c>
    </row>
    <row r="4078" spans="2:10" ht="15" customHeight="1" x14ac:dyDescent="0.2">
      <c r="B4078" s="39">
        <f t="shared" si="30"/>
      </c>
      <c r="C4078" s="40">
        <f>IF(Inputs!$C$60,Inputs!$C$11+(B4078-Inputs!$C$69)/Inputs!$C$70,"")</f>
      </c>
      <c r="D4078" s="15"/>
      <c r="E4078" s="15"/>
      <c r="F4078" s="11">
        <f t="shared" si="31"/>
      </c>
      <c r="G4078" s="22" cm="1">
        <f t="array" ref="G4078">IF(AND(Inputs!$C$60,Inputs!$C$61),INDEX(Utility_Rates!$C$29:$F$52,HOUR(C4078)+Inputs!$C$69,MATCH(INDEX(Utility_Rates!$K$6:$K$17,MONTH(C4078))&amp;IF(WEEKDAY(C4078,Inputs!$C$76)&lt;=Inputs!$C$74," weekday"," weekend"),Utility_Rates!$C$28:$F$28,Inputs!$C$68)),"")</f>
      </c>
      <c r="H4078" s="34"/>
      <c r="I4078" s="42">
        <f>IF(AND(ISNUMBER(D4078),ISNUMBER(H4078)),D4078*H4078*Inputs!$C$69,"")</f>
      </c>
      <c r="J4078" s="42">
        <f>IF(AND(ISNUMBER(F4078),ISNUMBER(H4078),F4078&gt;=Inputs!$C$68),F4078*H4078*Inputs!$C$69,"")</f>
      </c>
    </row>
    <row r="4079" spans="2:10" ht="15" customHeight="1" x14ac:dyDescent="0.2">
      <c r="B4079" s="39">
        <f t="shared" si="30"/>
      </c>
      <c r="C4079" s="40">
        <f>IF(Inputs!$C$60,Inputs!$C$11+(B4079-Inputs!$C$69)/Inputs!$C$70,"")</f>
      </c>
      <c r="D4079" s="15"/>
      <c r="E4079" s="15"/>
      <c r="F4079" s="11">
        <f t="shared" si="31"/>
      </c>
      <c r="G4079" s="22" cm="1">
        <f t="array" ref="G4079">IF(AND(Inputs!$C$60,Inputs!$C$61),INDEX(Utility_Rates!$C$29:$F$52,HOUR(C4079)+Inputs!$C$69,MATCH(INDEX(Utility_Rates!$K$6:$K$17,MONTH(C4079))&amp;IF(WEEKDAY(C4079,Inputs!$C$76)&lt;=Inputs!$C$74," weekday"," weekend"),Utility_Rates!$C$28:$F$28,Inputs!$C$68)),"")</f>
      </c>
      <c r="H4079" s="34"/>
      <c r="I4079" s="42">
        <f>IF(AND(ISNUMBER(D4079),ISNUMBER(H4079)),D4079*H4079*Inputs!$C$69,"")</f>
      </c>
      <c r="J4079" s="42">
        <f>IF(AND(ISNUMBER(F4079),ISNUMBER(H4079),F4079&gt;=Inputs!$C$68),F4079*H4079*Inputs!$C$69,"")</f>
      </c>
    </row>
    <row r="4080" spans="2:10" ht="15" customHeight="1" x14ac:dyDescent="0.2">
      <c r="B4080" s="39">
        <f t="shared" si="30"/>
      </c>
      <c r="C4080" s="40">
        <f>IF(Inputs!$C$60,Inputs!$C$11+(B4080-Inputs!$C$69)/Inputs!$C$70,"")</f>
      </c>
      <c r="D4080" s="15"/>
      <c r="E4080" s="15"/>
      <c r="F4080" s="11">
        <f t="shared" si="31"/>
      </c>
      <c r="G4080" s="22" cm="1">
        <f t="array" ref="G4080">IF(AND(Inputs!$C$60,Inputs!$C$61),INDEX(Utility_Rates!$C$29:$F$52,HOUR(C4080)+Inputs!$C$69,MATCH(INDEX(Utility_Rates!$K$6:$K$17,MONTH(C4080))&amp;IF(WEEKDAY(C4080,Inputs!$C$76)&lt;=Inputs!$C$74," weekday"," weekend"),Utility_Rates!$C$28:$F$28,Inputs!$C$68)),"")</f>
      </c>
      <c r="H4080" s="34"/>
      <c r="I4080" s="42">
        <f>IF(AND(ISNUMBER(D4080),ISNUMBER(H4080)),D4080*H4080*Inputs!$C$69,"")</f>
      </c>
      <c r="J4080" s="42">
        <f>IF(AND(ISNUMBER(F4080),ISNUMBER(H4080),F4080&gt;=Inputs!$C$68),F4080*H4080*Inputs!$C$69,"")</f>
      </c>
    </row>
    <row r="4081" spans="2:10" ht="15" customHeight="1" x14ac:dyDescent="0.2">
      <c r="B4081" s="39">
        <f t="shared" si="30"/>
      </c>
      <c r="C4081" s="40">
        <f>IF(Inputs!$C$60,Inputs!$C$11+(B4081-Inputs!$C$69)/Inputs!$C$70,"")</f>
      </c>
      <c r="D4081" s="15"/>
      <c r="E4081" s="15"/>
      <c r="F4081" s="11">
        <f t="shared" si="31"/>
      </c>
      <c r="G4081" s="22" cm="1">
        <f t="array" ref="G4081">IF(AND(Inputs!$C$60,Inputs!$C$61),INDEX(Utility_Rates!$C$29:$F$52,HOUR(C4081)+Inputs!$C$69,MATCH(INDEX(Utility_Rates!$K$6:$K$17,MONTH(C4081))&amp;IF(WEEKDAY(C4081,Inputs!$C$76)&lt;=Inputs!$C$74," weekday"," weekend"),Utility_Rates!$C$28:$F$28,Inputs!$C$68)),"")</f>
      </c>
      <c r="H4081" s="34"/>
      <c r="I4081" s="42">
        <f>IF(AND(ISNUMBER(D4081),ISNUMBER(H4081)),D4081*H4081*Inputs!$C$69,"")</f>
      </c>
      <c r="J4081" s="42">
        <f>IF(AND(ISNUMBER(F4081),ISNUMBER(H4081),F4081&gt;=Inputs!$C$68),F4081*H4081*Inputs!$C$69,"")</f>
      </c>
    </row>
    <row r="4082" spans="2:10" ht="15" customHeight="1" x14ac:dyDescent="0.2">
      <c r="B4082" s="39">
        <f t="shared" si="30"/>
      </c>
      <c r="C4082" s="40">
        <f>IF(Inputs!$C$60,Inputs!$C$11+(B4082-Inputs!$C$69)/Inputs!$C$70,"")</f>
      </c>
      <c r="D4082" s="15"/>
      <c r="E4082" s="15"/>
      <c r="F4082" s="11">
        <f t="shared" si="31"/>
      </c>
      <c r="G4082" s="22" cm="1">
        <f t="array" ref="G4082">IF(AND(Inputs!$C$60,Inputs!$C$61),INDEX(Utility_Rates!$C$29:$F$52,HOUR(C4082)+Inputs!$C$69,MATCH(INDEX(Utility_Rates!$K$6:$K$17,MONTH(C4082))&amp;IF(WEEKDAY(C4082,Inputs!$C$76)&lt;=Inputs!$C$74," weekday"," weekend"),Utility_Rates!$C$28:$F$28,Inputs!$C$68)),"")</f>
      </c>
      <c r="H4082" s="34"/>
      <c r="I4082" s="42">
        <f>IF(AND(ISNUMBER(D4082),ISNUMBER(H4082)),D4082*H4082*Inputs!$C$69,"")</f>
      </c>
      <c r="J4082" s="42">
        <f>IF(AND(ISNUMBER(F4082),ISNUMBER(H4082),F4082&gt;=Inputs!$C$68),F4082*H4082*Inputs!$C$69,"")</f>
      </c>
    </row>
    <row r="4083" spans="2:10" ht="15" customHeight="1" x14ac:dyDescent="0.2">
      <c r="B4083" s="39">
        <f t="shared" si="30"/>
      </c>
      <c r="C4083" s="40">
        <f>IF(Inputs!$C$60,Inputs!$C$11+(B4083-Inputs!$C$69)/Inputs!$C$70,"")</f>
      </c>
      <c r="D4083" s="15"/>
      <c r="E4083" s="15"/>
      <c r="F4083" s="11">
        <f t="shared" si="31"/>
      </c>
      <c r="G4083" s="22" cm="1">
        <f t="array" ref="G4083">IF(AND(Inputs!$C$60,Inputs!$C$61),INDEX(Utility_Rates!$C$29:$F$52,HOUR(C4083)+Inputs!$C$69,MATCH(INDEX(Utility_Rates!$K$6:$K$17,MONTH(C4083))&amp;IF(WEEKDAY(C4083,Inputs!$C$76)&lt;=Inputs!$C$74," weekday"," weekend"),Utility_Rates!$C$28:$F$28,Inputs!$C$68)),"")</f>
      </c>
      <c r="H4083" s="34"/>
      <c r="I4083" s="42">
        <f>IF(AND(ISNUMBER(D4083),ISNUMBER(H4083)),D4083*H4083*Inputs!$C$69,"")</f>
      </c>
      <c r="J4083" s="42">
        <f>IF(AND(ISNUMBER(F4083),ISNUMBER(H4083),F4083&gt;=Inputs!$C$68),F4083*H4083*Inputs!$C$69,"")</f>
      </c>
    </row>
    <row r="4084" spans="2:10" ht="15" customHeight="1" x14ac:dyDescent="0.2">
      <c r="B4084" s="39">
        <f t="shared" si="30"/>
      </c>
      <c r="C4084" s="40">
        <f>IF(Inputs!$C$60,Inputs!$C$11+(B4084-Inputs!$C$69)/Inputs!$C$70,"")</f>
      </c>
      <c r="D4084" s="15"/>
      <c r="E4084" s="15"/>
      <c r="F4084" s="11">
        <f t="shared" si="31"/>
      </c>
      <c r="G4084" s="22" cm="1">
        <f t="array" ref="G4084">IF(AND(Inputs!$C$60,Inputs!$C$61),INDEX(Utility_Rates!$C$29:$F$52,HOUR(C4084)+Inputs!$C$69,MATCH(INDEX(Utility_Rates!$K$6:$K$17,MONTH(C4084))&amp;IF(WEEKDAY(C4084,Inputs!$C$76)&lt;=Inputs!$C$74," weekday"," weekend"),Utility_Rates!$C$28:$F$28,Inputs!$C$68)),"")</f>
      </c>
      <c r="H4084" s="34"/>
      <c r="I4084" s="42">
        <f>IF(AND(ISNUMBER(D4084),ISNUMBER(H4084)),D4084*H4084*Inputs!$C$69,"")</f>
      </c>
      <c r="J4084" s="42">
        <f>IF(AND(ISNUMBER(F4084),ISNUMBER(H4084),F4084&gt;=Inputs!$C$68),F4084*H4084*Inputs!$C$69,"")</f>
      </c>
    </row>
    <row r="4085" spans="2:10" ht="15" customHeight="1" x14ac:dyDescent="0.2">
      <c r="B4085" s="39">
        <f t="shared" si="30"/>
      </c>
      <c r="C4085" s="40">
        <f>IF(Inputs!$C$60,Inputs!$C$11+(B4085-Inputs!$C$69)/Inputs!$C$70,"")</f>
      </c>
      <c r="D4085" s="15"/>
      <c r="E4085" s="15"/>
      <c r="F4085" s="11">
        <f t="shared" si="31"/>
      </c>
      <c r="G4085" s="22" cm="1">
        <f t="array" ref="G4085">IF(AND(Inputs!$C$60,Inputs!$C$61),INDEX(Utility_Rates!$C$29:$F$52,HOUR(C4085)+Inputs!$C$69,MATCH(INDEX(Utility_Rates!$K$6:$K$17,MONTH(C4085))&amp;IF(WEEKDAY(C4085,Inputs!$C$76)&lt;=Inputs!$C$74," weekday"," weekend"),Utility_Rates!$C$28:$F$28,Inputs!$C$68)),"")</f>
      </c>
      <c r="H4085" s="34"/>
      <c r="I4085" s="42">
        <f>IF(AND(ISNUMBER(D4085),ISNUMBER(H4085)),D4085*H4085*Inputs!$C$69,"")</f>
      </c>
      <c r="J4085" s="42">
        <f>IF(AND(ISNUMBER(F4085),ISNUMBER(H4085),F4085&gt;=Inputs!$C$68),F4085*H4085*Inputs!$C$69,"")</f>
      </c>
    </row>
    <row r="4086" spans="2:10" ht="15" customHeight="1" x14ac:dyDescent="0.2">
      <c r="B4086" s="39">
        <f t="shared" ref="B4086:B4340" si="32">ROW()-ROW($B$5)</f>
      </c>
      <c r="C4086" s="40">
        <f>IF(Inputs!$C$60,Inputs!$C$11+(B4086-Inputs!$C$69)/Inputs!$C$70,"")</f>
      </c>
      <c r="D4086" s="15"/>
      <c r="E4086" s="15"/>
      <c r="F4086" s="11">
        <f t="shared" ref="F4086:F4340" si="33">IF(COUNT(D4086:E4086)=COLUMNS(D4086:E4086),D4086-E4086,"")</f>
      </c>
      <c r="G4086" s="22" cm="1">
        <f t="array" ref="G4086">IF(AND(Inputs!$C$60,Inputs!$C$61),INDEX(Utility_Rates!$C$29:$F$52,HOUR(C4086)+Inputs!$C$69,MATCH(INDEX(Utility_Rates!$K$6:$K$17,MONTH(C4086))&amp;IF(WEEKDAY(C4086,Inputs!$C$76)&lt;=Inputs!$C$74," weekday"," weekend"),Utility_Rates!$C$28:$F$28,Inputs!$C$68)),"")</f>
      </c>
      <c r="H4086" s="34"/>
      <c r="I4086" s="42">
        <f>IF(AND(ISNUMBER(D4086),ISNUMBER(H4086)),D4086*H4086*Inputs!$C$69,"")</f>
      </c>
      <c r="J4086" s="42">
        <f>IF(AND(ISNUMBER(F4086),ISNUMBER(H4086),F4086&gt;=Inputs!$C$68),F4086*H4086*Inputs!$C$69,"")</f>
      </c>
    </row>
    <row r="4087" spans="2:10" ht="15" customHeight="1" x14ac:dyDescent="0.2">
      <c r="B4087" s="39">
        <f t="shared" si="32"/>
      </c>
      <c r="C4087" s="40">
        <f>IF(Inputs!$C$60,Inputs!$C$11+(B4087-Inputs!$C$69)/Inputs!$C$70,"")</f>
      </c>
      <c r="D4087" s="15"/>
      <c r="E4087" s="15"/>
      <c r="F4087" s="11">
        <f t="shared" si="33"/>
      </c>
      <c r="G4087" s="22" cm="1">
        <f t="array" ref="G4087">IF(AND(Inputs!$C$60,Inputs!$C$61),INDEX(Utility_Rates!$C$29:$F$52,HOUR(C4087)+Inputs!$C$69,MATCH(INDEX(Utility_Rates!$K$6:$K$17,MONTH(C4087))&amp;IF(WEEKDAY(C4087,Inputs!$C$76)&lt;=Inputs!$C$74," weekday"," weekend"),Utility_Rates!$C$28:$F$28,Inputs!$C$68)),"")</f>
      </c>
      <c r="H4087" s="34"/>
      <c r="I4087" s="42">
        <f>IF(AND(ISNUMBER(D4087),ISNUMBER(H4087)),D4087*H4087*Inputs!$C$69,"")</f>
      </c>
      <c r="J4087" s="42">
        <f>IF(AND(ISNUMBER(F4087),ISNUMBER(H4087),F4087&gt;=Inputs!$C$68),F4087*H4087*Inputs!$C$69,"")</f>
      </c>
    </row>
    <row r="4088" spans="2:10" ht="15" customHeight="1" x14ac:dyDescent="0.2">
      <c r="B4088" s="39">
        <f t="shared" si="32"/>
      </c>
      <c r="C4088" s="40">
        <f>IF(Inputs!$C$60,Inputs!$C$11+(B4088-Inputs!$C$69)/Inputs!$C$70,"")</f>
      </c>
      <c r="D4088" s="15"/>
      <c r="E4088" s="15"/>
      <c r="F4088" s="11">
        <f t="shared" si="33"/>
      </c>
      <c r="G4088" s="22" cm="1">
        <f t="array" ref="G4088">IF(AND(Inputs!$C$60,Inputs!$C$61),INDEX(Utility_Rates!$C$29:$F$52,HOUR(C4088)+Inputs!$C$69,MATCH(INDEX(Utility_Rates!$K$6:$K$17,MONTH(C4088))&amp;IF(WEEKDAY(C4088,Inputs!$C$76)&lt;=Inputs!$C$74," weekday"," weekend"),Utility_Rates!$C$28:$F$28,Inputs!$C$68)),"")</f>
      </c>
      <c r="H4088" s="34"/>
      <c r="I4088" s="42">
        <f>IF(AND(ISNUMBER(D4088),ISNUMBER(H4088)),D4088*H4088*Inputs!$C$69,"")</f>
      </c>
      <c r="J4088" s="42">
        <f>IF(AND(ISNUMBER(F4088),ISNUMBER(H4088),F4088&gt;=Inputs!$C$68),F4088*H4088*Inputs!$C$69,"")</f>
      </c>
    </row>
    <row r="4089" spans="2:10" ht="15" customHeight="1" x14ac:dyDescent="0.2">
      <c r="B4089" s="39">
        <f t="shared" si="32"/>
      </c>
      <c r="C4089" s="40">
        <f>IF(Inputs!$C$60,Inputs!$C$11+(B4089-Inputs!$C$69)/Inputs!$C$70,"")</f>
      </c>
      <c r="D4089" s="15"/>
      <c r="E4089" s="15"/>
      <c r="F4089" s="11">
        <f t="shared" si="33"/>
      </c>
      <c r="G4089" s="22" cm="1">
        <f t="array" ref="G4089">IF(AND(Inputs!$C$60,Inputs!$C$61),INDEX(Utility_Rates!$C$29:$F$52,HOUR(C4089)+Inputs!$C$69,MATCH(INDEX(Utility_Rates!$K$6:$K$17,MONTH(C4089))&amp;IF(WEEKDAY(C4089,Inputs!$C$76)&lt;=Inputs!$C$74," weekday"," weekend"),Utility_Rates!$C$28:$F$28,Inputs!$C$68)),"")</f>
      </c>
      <c r="H4089" s="34"/>
      <c r="I4089" s="42">
        <f>IF(AND(ISNUMBER(D4089),ISNUMBER(H4089)),D4089*H4089*Inputs!$C$69,"")</f>
      </c>
      <c r="J4089" s="42">
        <f>IF(AND(ISNUMBER(F4089),ISNUMBER(H4089),F4089&gt;=Inputs!$C$68),F4089*H4089*Inputs!$C$69,"")</f>
      </c>
    </row>
    <row r="4090" spans="2:10" ht="15" customHeight="1" x14ac:dyDescent="0.2">
      <c r="B4090" s="39">
        <f t="shared" si="32"/>
      </c>
      <c r="C4090" s="40">
        <f>IF(Inputs!$C$60,Inputs!$C$11+(B4090-Inputs!$C$69)/Inputs!$C$70,"")</f>
      </c>
      <c r="D4090" s="15"/>
      <c r="E4090" s="15"/>
      <c r="F4090" s="11">
        <f t="shared" si="33"/>
      </c>
      <c r="G4090" s="22" cm="1">
        <f t="array" ref="G4090">IF(AND(Inputs!$C$60,Inputs!$C$61),INDEX(Utility_Rates!$C$29:$F$52,HOUR(C4090)+Inputs!$C$69,MATCH(INDEX(Utility_Rates!$K$6:$K$17,MONTH(C4090))&amp;IF(WEEKDAY(C4090,Inputs!$C$76)&lt;=Inputs!$C$74," weekday"," weekend"),Utility_Rates!$C$28:$F$28,Inputs!$C$68)),"")</f>
      </c>
      <c r="H4090" s="34"/>
      <c r="I4090" s="42">
        <f>IF(AND(ISNUMBER(D4090),ISNUMBER(H4090)),D4090*H4090*Inputs!$C$69,"")</f>
      </c>
      <c r="J4090" s="42">
        <f>IF(AND(ISNUMBER(F4090),ISNUMBER(H4090),F4090&gt;=Inputs!$C$68),F4090*H4090*Inputs!$C$69,"")</f>
      </c>
    </row>
    <row r="4091" spans="2:10" ht="15" customHeight="1" x14ac:dyDescent="0.2">
      <c r="B4091" s="39">
        <f t="shared" si="32"/>
      </c>
      <c r="C4091" s="40">
        <f>IF(Inputs!$C$60,Inputs!$C$11+(B4091-Inputs!$C$69)/Inputs!$C$70,"")</f>
      </c>
      <c r="D4091" s="15"/>
      <c r="E4091" s="15"/>
      <c r="F4091" s="11">
        <f t="shared" si="33"/>
      </c>
      <c r="G4091" s="22" cm="1">
        <f t="array" ref="G4091">IF(AND(Inputs!$C$60,Inputs!$C$61),INDEX(Utility_Rates!$C$29:$F$52,HOUR(C4091)+Inputs!$C$69,MATCH(INDEX(Utility_Rates!$K$6:$K$17,MONTH(C4091))&amp;IF(WEEKDAY(C4091,Inputs!$C$76)&lt;=Inputs!$C$74," weekday"," weekend"),Utility_Rates!$C$28:$F$28,Inputs!$C$68)),"")</f>
      </c>
      <c r="H4091" s="34"/>
      <c r="I4091" s="42">
        <f>IF(AND(ISNUMBER(D4091),ISNUMBER(H4091)),D4091*H4091*Inputs!$C$69,"")</f>
      </c>
      <c r="J4091" s="42">
        <f>IF(AND(ISNUMBER(F4091),ISNUMBER(H4091),F4091&gt;=Inputs!$C$68),F4091*H4091*Inputs!$C$69,"")</f>
      </c>
    </row>
    <row r="4092" spans="2:10" ht="15" customHeight="1" x14ac:dyDescent="0.2">
      <c r="B4092" s="39">
        <f t="shared" si="32"/>
      </c>
      <c r="C4092" s="40">
        <f>IF(Inputs!$C$60,Inputs!$C$11+(B4092-Inputs!$C$69)/Inputs!$C$70,"")</f>
      </c>
      <c r="D4092" s="15"/>
      <c r="E4092" s="15"/>
      <c r="F4092" s="11">
        <f t="shared" si="33"/>
      </c>
      <c r="G4092" s="22" cm="1">
        <f t="array" ref="G4092">IF(AND(Inputs!$C$60,Inputs!$C$61),INDEX(Utility_Rates!$C$29:$F$52,HOUR(C4092)+Inputs!$C$69,MATCH(INDEX(Utility_Rates!$K$6:$K$17,MONTH(C4092))&amp;IF(WEEKDAY(C4092,Inputs!$C$76)&lt;=Inputs!$C$74," weekday"," weekend"),Utility_Rates!$C$28:$F$28,Inputs!$C$68)),"")</f>
      </c>
      <c r="H4092" s="34"/>
      <c r="I4092" s="42">
        <f>IF(AND(ISNUMBER(D4092),ISNUMBER(H4092)),D4092*H4092*Inputs!$C$69,"")</f>
      </c>
      <c r="J4092" s="42">
        <f>IF(AND(ISNUMBER(F4092),ISNUMBER(H4092),F4092&gt;=Inputs!$C$68),F4092*H4092*Inputs!$C$69,"")</f>
      </c>
    </row>
    <row r="4093" spans="2:10" ht="15" customHeight="1" x14ac:dyDescent="0.2">
      <c r="B4093" s="39">
        <f t="shared" si="32"/>
      </c>
      <c r="C4093" s="40">
        <f>IF(Inputs!$C$60,Inputs!$C$11+(B4093-Inputs!$C$69)/Inputs!$C$70,"")</f>
      </c>
      <c r="D4093" s="15"/>
      <c r="E4093" s="15"/>
      <c r="F4093" s="11">
        <f t="shared" si="33"/>
      </c>
      <c r="G4093" s="22" cm="1">
        <f t="array" ref="G4093">IF(AND(Inputs!$C$60,Inputs!$C$61),INDEX(Utility_Rates!$C$29:$F$52,HOUR(C4093)+Inputs!$C$69,MATCH(INDEX(Utility_Rates!$K$6:$K$17,MONTH(C4093))&amp;IF(WEEKDAY(C4093,Inputs!$C$76)&lt;=Inputs!$C$74," weekday"," weekend"),Utility_Rates!$C$28:$F$28,Inputs!$C$68)),"")</f>
      </c>
      <c r="H4093" s="34"/>
      <c r="I4093" s="42">
        <f>IF(AND(ISNUMBER(D4093),ISNUMBER(H4093)),D4093*H4093*Inputs!$C$69,"")</f>
      </c>
      <c r="J4093" s="42">
        <f>IF(AND(ISNUMBER(F4093),ISNUMBER(H4093),F4093&gt;=Inputs!$C$68),F4093*H4093*Inputs!$C$69,"")</f>
      </c>
    </row>
    <row r="4094" spans="2:10" ht="15" customHeight="1" x14ac:dyDescent="0.2">
      <c r="B4094" s="39">
        <f t="shared" si="32"/>
      </c>
      <c r="C4094" s="40">
        <f>IF(Inputs!$C$60,Inputs!$C$11+(B4094-Inputs!$C$69)/Inputs!$C$70,"")</f>
      </c>
      <c r="D4094" s="15"/>
      <c r="E4094" s="15"/>
      <c r="F4094" s="11">
        <f t="shared" si="33"/>
      </c>
      <c r="G4094" s="22" cm="1">
        <f t="array" ref="G4094">IF(AND(Inputs!$C$60,Inputs!$C$61),INDEX(Utility_Rates!$C$29:$F$52,HOUR(C4094)+Inputs!$C$69,MATCH(INDEX(Utility_Rates!$K$6:$K$17,MONTH(C4094))&amp;IF(WEEKDAY(C4094,Inputs!$C$76)&lt;=Inputs!$C$74," weekday"," weekend"),Utility_Rates!$C$28:$F$28,Inputs!$C$68)),"")</f>
      </c>
      <c r="H4094" s="34"/>
      <c r="I4094" s="42">
        <f>IF(AND(ISNUMBER(D4094),ISNUMBER(H4094)),D4094*H4094*Inputs!$C$69,"")</f>
      </c>
      <c r="J4094" s="42">
        <f>IF(AND(ISNUMBER(F4094),ISNUMBER(H4094),F4094&gt;=Inputs!$C$68),F4094*H4094*Inputs!$C$69,"")</f>
      </c>
    </row>
    <row r="4095" spans="2:10" ht="15" customHeight="1" x14ac:dyDescent="0.2">
      <c r="B4095" s="39">
        <f t="shared" si="32"/>
      </c>
      <c r="C4095" s="40">
        <f>IF(Inputs!$C$60,Inputs!$C$11+(B4095-Inputs!$C$69)/Inputs!$C$70,"")</f>
      </c>
      <c r="D4095" s="15"/>
      <c r="E4095" s="15"/>
      <c r="F4095" s="11">
        <f t="shared" si="33"/>
      </c>
      <c r="G4095" s="22" cm="1">
        <f t="array" ref="G4095">IF(AND(Inputs!$C$60,Inputs!$C$61),INDEX(Utility_Rates!$C$29:$F$52,HOUR(C4095)+Inputs!$C$69,MATCH(INDEX(Utility_Rates!$K$6:$K$17,MONTH(C4095))&amp;IF(WEEKDAY(C4095,Inputs!$C$76)&lt;=Inputs!$C$74," weekday"," weekend"),Utility_Rates!$C$28:$F$28,Inputs!$C$68)),"")</f>
      </c>
      <c r="H4095" s="34"/>
      <c r="I4095" s="42">
        <f>IF(AND(ISNUMBER(D4095),ISNUMBER(H4095)),D4095*H4095*Inputs!$C$69,"")</f>
      </c>
      <c r="J4095" s="42">
        <f>IF(AND(ISNUMBER(F4095),ISNUMBER(H4095),F4095&gt;=Inputs!$C$68),F4095*H4095*Inputs!$C$69,"")</f>
      </c>
    </row>
    <row r="4096" spans="2:10" ht="15" customHeight="1" x14ac:dyDescent="0.2">
      <c r="B4096" s="39">
        <f t="shared" si="32"/>
      </c>
      <c r="C4096" s="40">
        <f>IF(Inputs!$C$60,Inputs!$C$11+(B4096-Inputs!$C$69)/Inputs!$C$70,"")</f>
      </c>
      <c r="D4096" s="15"/>
      <c r="E4096" s="15"/>
      <c r="F4096" s="11">
        <f t="shared" si="33"/>
      </c>
      <c r="G4096" s="22" cm="1">
        <f t="array" ref="G4096">IF(AND(Inputs!$C$60,Inputs!$C$61),INDEX(Utility_Rates!$C$29:$F$52,HOUR(C4096)+Inputs!$C$69,MATCH(INDEX(Utility_Rates!$K$6:$K$17,MONTH(C4096))&amp;IF(WEEKDAY(C4096,Inputs!$C$76)&lt;=Inputs!$C$74," weekday"," weekend"),Utility_Rates!$C$28:$F$28,Inputs!$C$68)),"")</f>
      </c>
      <c r="H4096" s="34"/>
      <c r="I4096" s="42">
        <f>IF(AND(ISNUMBER(D4096),ISNUMBER(H4096)),D4096*H4096*Inputs!$C$69,"")</f>
      </c>
      <c r="J4096" s="42">
        <f>IF(AND(ISNUMBER(F4096),ISNUMBER(H4096),F4096&gt;=Inputs!$C$68),F4096*H4096*Inputs!$C$69,"")</f>
      </c>
    </row>
    <row r="4097" spans="2:10" ht="15" customHeight="1" x14ac:dyDescent="0.2">
      <c r="B4097" s="39">
        <f t="shared" si="32"/>
      </c>
      <c r="C4097" s="40">
        <f>IF(Inputs!$C$60,Inputs!$C$11+(B4097-Inputs!$C$69)/Inputs!$C$70,"")</f>
      </c>
      <c r="D4097" s="15"/>
      <c r="E4097" s="15"/>
      <c r="F4097" s="11">
        <f t="shared" si="33"/>
      </c>
      <c r="G4097" s="22" cm="1">
        <f t="array" ref="G4097">IF(AND(Inputs!$C$60,Inputs!$C$61),INDEX(Utility_Rates!$C$29:$F$52,HOUR(C4097)+Inputs!$C$69,MATCH(INDEX(Utility_Rates!$K$6:$K$17,MONTH(C4097))&amp;IF(WEEKDAY(C4097,Inputs!$C$76)&lt;=Inputs!$C$74," weekday"," weekend"),Utility_Rates!$C$28:$F$28,Inputs!$C$68)),"")</f>
      </c>
      <c r="H4097" s="34"/>
      <c r="I4097" s="42">
        <f>IF(AND(ISNUMBER(D4097),ISNUMBER(H4097)),D4097*H4097*Inputs!$C$69,"")</f>
      </c>
      <c r="J4097" s="42">
        <f>IF(AND(ISNUMBER(F4097),ISNUMBER(H4097),F4097&gt;=Inputs!$C$68),F4097*H4097*Inputs!$C$69,"")</f>
      </c>
    </row>
    <row r="4098" spans="2:10" ht="15" customHeight="1" x14ac:dyDescent="0.2">
      <c r="B4098" s="39">
        <f t="shared" si="32"/>
      </c>
      <c r="C4098" s="40">
        <f>IF(Inputs!$C$60,Inputs!$C$11+(B4098-Inputs!$C$69)/Inputs!$C$70,"")</f>
      </c>
      <c r="D4098" s="15"/>
      <c r="E4098" s="15"/>
      <c r="F4098" s="11">
        <f t="shared" si="33"/>
      </c>
      <c r="G4098" s="22" cm="1">
        <f t="array" ref="G4098">IF(AND(Inputs!$C$60,Inputs!$C$61),INDEX(Utility_Rates!$C$29:$F$52,HOUR(C4098)+Inputs!$C$69,MATCH(INDEX(Utility_Rates!$K$6:$K$17,MONTH(C4098))&amp;IF(WEEKDAY(C4098,Inputs!$C$76)&lt;=Inputs!$C$74," weekday"," weekend"),Utility_Rates!$C$28:$F$28,Inputs!$C$68)),"")</f>
      </c>
      <c r="H4098" s="34"/>
      <c r="I4098" s="42">
        <f>IF(AND(ISNUMBER(D4098),ISNUMBER(H4098)),D4098*H4098*Inputs!$C$69,"")</f>
      </c>
      <c r="J4098" s="42">
        <f>IF(AND(ISNUMBER(F4098),ISNUMBER(H4098),F4098&gt;=Inputs!$C$68),F4098*H4098*Inputs!$C$69,"")</f>
      </c>
    </row>
    <row r="4099" spans="2:10" ht="15" customHeight="1" x14ac:dyDescent="0.2">
      <c r="B4099" s="39">
        <f t="shared" si="32"/>
      </c>
      <c r="C4099" s="40">
        <f>IF(Inputs!$C$60,Inputs!$C$11+(B4099-Inputs!$C$69)/Inputs!$C$70,"")</f>
      </c>
      <c r="D4099" s="15"/>
      <c r="E4099" s="15"/>
      <c r="F4099" s="11">
        <f t="shared" si="33"/>
      </c>
      <c r="G4099" s="22" cm="1">
        <f t="array" ref="G4099">IF(AND(Inputs!$C$60,Inputs!$C$61),INDEX(Utility_Rates!$C$29:$F$52,HOUR(C4099)+Inputs!$C$69,MATCH(INDEX(Utility_Rates!$K$6:$K$17,MONTH(C4099))&amp;IF(WEEKDAY(C4099,Inputs!$C$76)&lt;=Inputs!$C$74," weekday"," weekend"),Utility_Rates!$C$28:$F$28,Inputs!$C$68)),"")</f>
      </c>
      <c r="H4099" s="34"/>
      <c r="I4099" s="42">
        <f>IF(AND(ISNUMBER(D4099),ISNUMBER(H4099)),D4099*H4099*Inputs!$C$69,"")</f>
      </c>
      <c r="J4099" s="42">
        <f>IF(AND(ISNUMBER(F4099),ISNUMBER(H4099),F4099&gt;=Inputs!$C$68),F4099*H4099*Inputs!$C$69,"")</f>
      </c>
    </row>
    <row r="4100" spans="2:10" ht="15" customHeight="1" x14ac:dyDescent="0.2">
      <c r="B4100" s="39">
        <f t="shared" si="32"/>
      </c>
      <c r="C4100" s="40">
        <f>IF(Inputs!$C$60,Inputs!$C$11+(B4100-Inputs!$C$69)/Inputs!$C$70,"")</f>
      </c>
      <c r="D4100" s="15"/>
      <c r="E4100" s="15"/>
      <c r="F4100" s="11">
        <f t="shared" si="33"/>
      </c>
      <c r="G4100" s="22" cm="1">
        <f t="array" ref="G4100">IF(AND(Inputs!$C$60,Inputs!$C$61),INDEX(Utility_Rates!$C$29:$F$52,HOUR(C4100)+Inputs!$C$69,MATCH(INDEX(Utility_Rates!$K$6:$K$17,MONTH(C4100))&amp;IF(WEEKDAY(C4100,Inputs!$C$76)&lt;=Inputs!$C$74," weekday"," weekend"),Utility_Rates!$C$28:$F$28,Inputs!$C$68)),"")</f>
      </c>
      <c r="H4100" s="34"/>
      <c r="I4100" s="42">
        <f>IF(AND(ISNUMBER(D4100),ISNUMBER(H4100)),D4100*H4100*Inputs!$C$69,"")</f>
      </c>
      <c r="J4100" s="42">
        <f>IF(AND(ISNUMBER(F4100),ISNUMBER(H4100),F4100&gt;=Inputs!$C$68),F4100*H4100*Inputs!$C$69,"")</f>
      </c>
    </row>
    <row r="4101" spans="2:10" ht="15" customHeight="1" x14ac:dyDescent="0.2">
      <c r="B4101" s="39">
        <f t="shared" si="32"/>
      </c>
      <c r="C4101" s="40">
        <f>IF(Inputs!$C$60,Inputs!$C$11+(B4101-Inputs!$C$69)/Inputs!$C$70,"")</f>
      </c>
      <c r="D4101" s="15"/>
      <c r="E4101" s="15"/>
      <c r="F4101" s="11">
        <f t="shared" si="33"/>
      </c>
      <c r="G4101" s="22" cm="1">
        <f t="array" ref="G4101">IF(AND(Inputs!$C$60,Inputs!$C$61),INDEX(Utility_Rates!$C$29:$F$52,HOUR(C4101)+Inputs!$C$69,MATCH(INDEX(Utility_Rates!$K$6:$K$17,MONTH(C4101))&amp;IF(WEEKDAY(C4101,Inputs!$C$76)&lt;=Inputs!$C$74," weekday"," weekend"),Utility_Rates!$C$28:$F$28,Inputs!$C$68)),"")</f>
      </c>
      <c r="H4101" s="34"/>
      <c r="I4101" s="42">
        <f>IF(AND(ISNUMBER(D4101),ISNUMBER(H4101)),D4101*H4101*Inputs!$C$69,"")</f>
      </c>
      <c r="J4101" s="42">
        <f>IF(AND(ISNUMBER(F4101),ISNUMBER(H4101),F4101&gt;=Inputs!$C$68),F4101*H4101*Inputs!$C$69,"")</f>
      </c>
    </row>
    <row r="4102" spans="2:10" ht="15" customHeight="1" x14ac:dyDescent="0.2">
      <c r="B4102" s="39">
        <f t="shared" si="32"/>
      </c>
      <c r="C4102" s="40">
        <f>IF(Inputs!$C$60,Inputs!$C$11+(B4102-Inputs!$C$69)/Inputs!$C$70,"")</f>
      </c>
      <c r="D4102" s="15"/>
      <c r="E4102" s="15"/>
      <c r="F4102" s="11">
        <f t="shared" si="33"/>
      </c>
      <c r="G4102" s="22" cm="1">
        <f t="array" ref="G4102">IF(AND(Inputs!$C$60,Inputs!$C$61),INDEX(Utility_Rates!$C$29:$F$52,HOUR(C4102)+Inputs!$C$69,MATCH(INDEX(Utility_Rates!$K$6:$K$17,MONTH(C4102))&amp;IF(WEEKDAY(C4102,Inputs!$C$76)&lt;=Inputs!$C$74," weekday"," weekend"),Utility_Rates!$C$28:$F$28,Inputs!$C$68)),"")</f>
      </c>
      <c r="H4102" s="34"/>
      <c r="I4102" s="42">
        <f>IF(AND(ISNUMBER(D4102),ISNUMBER(H4102)),D4102*H4102*Inputs!$C$69,"")</f>
      </c>
      <c r="J4102" s="42">
        <f>IF(AND(ISNUMBER(F4102),ISNUMBER(H4102),F4102&gt;=Inputs!$C$68),F4102*H4102*Inputs!$C$69,"")</f>
      </c>
    </row>
    <row r="4103" spans="2:10" ht="15" customHeight="1" x14ac:dyDescent="0.2">
      <c r="B4103" s="39">
        <f t="shared" si="32"/>
      </c>
      <c r="C4103" s="40">
        <f>IF(Inputs!$C$60,Inputs!$C$11+(B4103-Inputs!$C$69)/Inputs!$C$70,"")</f>
      </c>
      <c r="D4103" s="15"/>
      <c r="E4103" s="15"/>
      <c r="F4103" s="11">
        <f t="shared" si="33"/>
      </c>
      <c r="G4103" s="22" cm="1">
        <f t="array" ref="G4103">IF(AND(Inputs!$C$60,Inputs!$C$61),INDEX(Utility_Rates!$C$29:$F$52,HOUR(C4103)+Inputs!$C$69,MATCH(INDEX(Utility_Rates!$K$6:$K$17,MONTH(C4103))&amp;IF(WEEKDAY(C4103,Inputs!$C$76)&lt;=Inputs!$C$74," weekday"," weekend"),Utility_Rates!$C$28:$F$28,Inputs!$C$68)),"")</f>
      </c>
      <c r="H4103" s="34"/>
      <c r="I4103" s="42">
        <f>IF(AND(ISNUMBER(D4103),ISNUMBER(H4103)),D4103*H4103*Inputs!$C$69,"")</f>
      </c>
      <c r="J4103" s="42">
        <f>IF(AND(ISNUMBER(F4103),ISNUMBER(H4103),F4103&gt;=Inputs!$C$68),F4103*H4103*Inputs!$C$69,"")</f>
      </c>
    </row>
    <row r="4104" spans="2:10" ht="15" customHeight="1" x14ac:dyDescent="0.2">
      <c r="B4104" s="39">
        <f t="shared" si="32"/>
      </c>
      <c r="C4104" s="40">
        <f>IF(Inputs!$C$60,Inputs!$C$11+(B4104-Inputs!$C$69)/Inputs!$C$70,"")</f>
      </c>
      <c r="D4104" s="15"/>
      <c r="E4104" s="15"/>
      <c r="F4104" s="11">
        <f t="shared" si="33"/>
      </c>
      <c r="G4104" s="22" cm="1">
        <f t="array" ref="G4104">IF(AND(Inputs!$C$60,Inputs!$C$61),INDEX(Utility_Rates!$C$29:$F$52,HOUR(C4104)+Inputs!$C$69,MATCH(INDEX(Utility_Rates!$K$6:$K$17,MONTH(C4104))&amp;IF(WEEKDAY(C4104,Inputs!$C$76)&lt;=Inputs!$C$74," weekday"," weekend"),Utility_Rates!$C$28:$F$28,Inputs!$C$68)),"")</f>
      </c>
      <c r="H4104" s="34"/>
      <c r="I4104" s="42">
        <f>IF(AND(ISNUMBER(D4104),ISNUMBER(H4104)),D4104*H4104*Inputs!$C$69,"")</f>
      </c>
      <c r="J4104" s="42">
        <f>IF(AND(ISNUMBER(F4104),ISNUMBER(H4104),F4104&gt;=Inputs!$C$68),F4104*H4104*Inputs!$C$69,"")</f>
      </c>
    </row>
    <row r="4105" spans="2:10" ht="15" customHeight="1" x14ac:dyDescent="0.2">
      <c r="B4105" s="39">
        <f t="shared" si="32"/>
      </c>
      <c r="C4105" s="40">
        <f>IF(Inputs!$C$60,Inputs!$C$11+(B4105-Inputs!$C$69)/Inputs!$C$70,"")</f>
      </c>
      <c r="D4105" s="15"/>
      <c r="E4105" s="15"/>
      <c r="F4105" s="11">
        <f t="shared" si="33"/>
      </c>
      <c r="G4105" s="22" cm="1">
        <f t="array" ref="G4105">IF(AND(Inputs!$C$60,Inputs!$C$61),INDEX(Utility_Rates!$C$29:$F$52,HOUR(C4105)+Inputs!$C$69,MATCH(INDEX(Utility_Rates!$K$6:$K$17,MONTH(C4105))&amp;IF(WEEKDAY(C4105,Inputs!$C$76)&lt;=Inputs!$C$74," weekday"," weekend"),Utility_Rates!$C$28:$F$28,Inputs!$C$68)),"")</f>
      </c>
      <c r="H4105" s="34"/>
      <c r="I4105" s="42">
        <f>IF(AND(ISNUMBER(D4105),ISNUMBER(H4105)),D4105*H4105*Inputs!$C$69,"")</f>
      </c>
      <c r="J4105" s="42">
        <f>IF(AND(ISNUMBER(F4105),ISNUMBER(H4105),F4105&gt;=Inputs!$C$68),F4105*H4105*Inputs!$C$69,"")</f>
      </c>
    </row>
    <row r="4106" spans="2:10" ht="15" customHeight="1" x14ac:dyDescent="0.2">
      <c r="B4106" s="39">
        <f t="shared" si="32"/>
      </c>
      <c r="C4106" s="40">
        <f>IF(Inputs!$C$60,Inputs!$C$11+(B4106-Inputs!$C$69)/Inputs!$C$70,"")</f>
      </c>
      <c r="D4106" s="15"/>
      <c r="E4106" s="15"/>
      <c r="F4106" s="11">
        <f t="shared" si="33"/>
      </c>
      <c r="G4106" s="22" cm="1">
        <f t="array" ref="G4106">IF(AND(Inputs!$C$60,Inputs!$C$61),INDEX(Utility_Rates!$C$29:$F$52,HOUR(C4106)+Inputs!$C$69,MATCH(INDEX(Utility_Rates!$K$6:$K$17,MONTH(C4106))&amp;IF(WEEKDAY(C4106,Inputs!$C$76)&lt;=Inputs!$C$74," weekday"," weekend"),Utility_Rates!$C$28:$F$28,Inputs!$C$68)),"")</f>
      </c>
      <c r="H4106" s="34"/>
      <c r="I4106" s="42">
        <f>IF(AND(ISNUMBER(D4106),ISNUMBER(H4106)),D4106*H4106*Inputs!$C$69,"")</f>
      </c>
      <c r="J4106" s="42">
        <f>IF(AND(ISNUMBER(F4106),ISNUMBER(H4106),F4106&gt;=Inputs!$C$68),F4106*H4106*Inputs!$C$69,"")</f>
      </c>
    </row>
    <row r="4107" spans="2:10" ht="15" customHeight="1" x14ac:dyDescent="0.2">
      <c r="B4107" s="39">
        <f t="shared" si="32"/>
      </c>
      <c r="C4107" s="40">
        <f>IF(Inputs!$C$60,Inputs!$C$11+(B4107-Inputs!$C$69)/Inputs!$C$70,"")</f>
      </c>
      <c r="D4107" s="15"/>
      <c r="E4107" s="15"/>
      <c r="F4107" s="11">
        <f t="shared" si="33"/>
      </c>
      <c r="G4107" s="22" cm="1">
        <f t="array" ref="G4107">IF(AND(Inputs!$C$60,Inputs!$C$61),INDEX(Utility_Rates!$C$29:$F$52,HOUR(C4107)+Inputs!$C$69,MATCH(INDEX(Utility_Rates!$K$6:$K$17,MONTH(C4107))&amp;IF(WEEKDAY(C4107,Inputs!$C$76)&lt;=Inputs!$C$74," weekday"," weekend"),Utility_Rates!$C$28:$F$28,Inputs!$C$68)),"")</f>
      </c>
      <c r="H4107" s="34"/>
      <c r="I4107" s="42">
        <f>IF(AND(ISNUMBER(D4107),ISNUMBER(H4107)),D4107*H4107*Inputs!$C$69,"")</f>
      </c>
      <c r="J4107" s="42">
        <f>IF(AND(ISNUMBER(F4107),ISNUMBER(H4107),F4107&gt;=Inputs!$C$68),F4107*H4107*Inputs!$C$69,"")</f>
      </c>
    </row>
    <row r="4108" spans="2:10" ht="15" customHeight="1" x14ac:dyDescent="0.2">
      <c r="B4108" s="39">
        <f t="shared" si="32"/>
      </c>
      <c r="C4108" s="40">
        <f>IF(Inputs!$C$60,Inputs!$C$11+(B4108-Inputs!$C$69)/Inputs!$C$70,"")</f>
      </c>
      <c r="D4108" s="15"/>
      <c r="E4108" s="15"/>
      <c r="F4108" s="11">
        <f t="shared" si="33"/>
      </c>
      <c r="G4108" s="22" cm="1">
        <f t="array" ref="G4108">IF(AND(Inputs!$C$60,Inputs!$C$61),INDEX(Utility_Rates!$C$29:$F$52,HOUR(C4108)+Inputs!$C$69,MATCH(INDEX(Utility_Rates!$K$6:$K$17,MONTH(C4108))&amp;IF(WEEKDAY(C4108,Inputs!$C$76)&lt;=Inputs!$C$74," weekday"," weekend"),Utility_Rates!$C$28:$F$28,Inputs!$C$68)),"")</f>
      </c>
      <c r="H4108" s="34"/>
      <c r="I4108" s="42">
        <f>IF(AND(ISNUMBER(D4108),ISNUMBER(H4108)),D4108*H4108*Inputs!$C$69,"")</f>
      </c>
      <c r="J4108" s="42">
        <f>IF(AND(ISNUMBER(F4108),ISNUMBER(H4108),F4108&gt;=Inputs!$C$68),F4108*H4108*Inputs!$C$69,"")</f>
      </c>
    </row>
    <row r="4109" spans="2:10" ht="15" customHeight="1" x14ac:dyDescent="0.2">
      <c r="B4109" s="39">
        <f t="shared" si="32"/>
      </c>
      <c r="C4109" s="40">
        <f>IF(Inputs!$C$60,Inputs!$C$11+(B4109-Inputs!$C$69)/Inputs!$C$70,"")</f>
      </c>
      <c r="D4109" s="15"/>
      <c r="E4109" s="15"/>
      <c r="F4109" s="11">
        <f t="shared" si="33"/>
      </c>
      <c r="G4109" s="22" cm="1">
        <f t="array" ref="G4109">IF(AND(Inputs!$C$60,Inputs!$C$61),INDEX(Utility_Rates!$C$29:$F$52,HOUR(C4109)+Inputs!$C$69,MATCH(INDEX(Utility_Rates!$K$6:$K$17,MONTH(C4109))&amp;IF(WEEKDAY(C4109,Inputs!$C$76)&lt;=Inputs!$C$74," weekday"," weekend"),Utility_Rates!$C$28:$F$28,Inputs!$C$68)),"")</f>
      </c>
      <c r="H4109" s="34"/>
      <c r="I4109" s="42">
        <f>IF(AND(ISNUMBER(D4109),ISNUMBER(H4109)),D4109*H4109*Inputs!$C$69,"")</f>
      </c>
      <c r="J4109" s="42">
        <f>IF(AND(ISNUMBER(F4109),ISNUMBER(H4109),F4109&gt;=Inputs!$C$68),F4109*H4109*Inputs!$C$69,"")</f>
      </c>
    </row>
    <row r="4110" spans="2:10" ht="15" customHeight="1" x14ac:dyDescent="0.2">
      <c r="B4110" s="39">
        <f t="shared" si="32"/>
      </c>
      <c r="C4110" s="40">
        <f>IF(Inputs!$C$60,Inputs!$C$11+(B4110-Inputs!$C$69)/Inputs!$C$70,"")</f>
      </c>
      <c r="D4110" s="15"/>
      <c r="E4110" s="15"/>
      <c r="F4110" s="11">
        <f t="shared" si="33"/>
      </c>
      <c r="G4110" s="22" cm="1">
        <f t="array" ref="G4110">IF(AND(Inputs!$C$60,Inputs!$C$61),INDEX(Utility_Rates!$C$29:$F$52,HOUR(C4110)+Inputs!$C$69,MATCH(INDEX(Utility_Rates!$K$6:$K$17,MONTH(C4110))&amp;IF(WEEKDAY(C4110,Inputs!$C$76)&lt;=Inputs!$C$74," weekday"," weekend"),Utility_Rates!$C$28:$F$28,Inputs!$C$68)),"")</f>
      </c>
      <c r="H4110" s="34"/>
      <c r="I4110" s="42">
        <f>IF(AND(ISNUMBER(D4110),ISNUMBER(H4110)),D4110*H4110*Inputs!$C$69,"")</f>
      </c>
      <c r="J4110" s="42">
        <f>IF(AND(ISNUMBER(F4110),ISNUMBER(H4110),F4110&gt;=Inputs!$C$68),F4110*H4110*Inputs!$C$69,"")</f>
      </c>
    </row>
    <row r="4111" spans="2:10" ht="15" customHeight="1" x14ac:dyDescent="0.2">
      <c r="B4111" s="39">
        <f t="shared" si="32"/>
      </c>
      <c r="C4111" s="40">
        <f>IF(Inputs!$C$60,Inputs!$C$11+(B4111-Inputs!$C$69)/Inputs!$C$70,"")</f>
      </c>
      <c r="D4111" s="15"/>
      <c r="E4111" s="15"/>
      <c r="F4111" s="11">
        <f t="shared" si="33"/>
      </c>
      <c r="G4111" s="22" cm="1">
        <f t="array" ref="G4111">IF(AND(Inputs!$C$60,Inputs!$C$61),INDEX(Utility_Rates!$C$29:$F$52,HOUR(C4111)+Inputs!$C$69,MATCH(INDEX(Utility_Rates!$K$6:$K$17,MONTH(C4111))&amp;IF(WEEKDAY(C4111,Inputs!$C$76)&lt;=Inputs!$C$74," weekday"," weekend"),Utility_Rates!$C$28:$F$28,Inputs!$C$68)),"")</f>
      </c>
      <c r="H4111" s="34"/>
      <c r="I4111" s="42">
        <f>IF(AND(ISNUMBER(D4111),ISNUMBER(H4111)),D4111*H4111*Inputs!$C$69,"")</f>
      </c>
      <c r="J4111" s="42">
        <f>IF(AND(ISNUMBER(F4111),ISNUMBER(H4111),F4111&gt;=Inputs!$C$68),F4111*H4111*Inputs!$C$69,"")</f>
      </c>
    </row>
    <row r="4112" spans="2:10" ht="15" customHeight="1" x14ac:dyDescent="0.2">
      <c r="B4112" s="39">
        <f t="shared" si="32"/>
      </c>
      <c r="C4112" s="40">
        <f>IF(Inputs!$C$60,Inputs!$C$11+(B4112-Inputs!$C$69)/Inputs!$C$70,"")</f>
      </c>
      <c r="D4112" s="15"/>
      <c r="E4112" s="15"/>
      <c r="F4112" s="11">
        <f t="shared" si="33"/>
      </c>
      <c r="G4112" s="22" cm="1">
        <f t="array" ref="G4112">IF(AND(Inputs!$C$60,Inputs!$C$61),INDEX(Utility_Rates!$C$29:$F$52,HOUR(C4112)+Inputs!$C$69,MATCH(INDEX(Utility_Rates!$K$6:$K$17,MONTH(C4112))&amp;IF(WEEKDAY(C4112,Inputs!$C$76)&lt;=Inputs!$C$74," weekday"," weekend"),Utility_Rates!$C$28:$F$28,Inputs!$C$68)),"")</f>
      </c>
      <c r="H4112" s="34"/>
      <c r="I4112" s="42">
        <f>IF(AND(ISNUMBER(D4112),ISNUMBER(H4112)),D4112*H4112*Inputs!$C$69,"")</f>
      </c>
      <c r="J4112" s="42">
        <f>IF(AND(ISNUMBER(F4112),ISNUMBER(H4112),F4112&gt;=Inputs!$C$68),F4112*H4112*Inputs!$C$69,"")</f>
      </c>
    </row>
    <row r="4113" spans="2:10" ht="15" customHeight="1" x14ac:dyDescent="0.2">
      <c r="B4113" s="39">
        <f t="shared" si="32"/>
      </c>
      <c r="C4113" s="40">
        <f>IF(Inputs!$C$60,Inputs!$C$11+(B4113-Inputs!$C$69)/Inputs!$C$70,"")</f>
      </c>
      <c r="D4113" s="15"/>
      <c r="E4113" s="15"/>
      <c r="F4113" s="11">
        <f t="shared" si="33"/>
      </c>
      <c r="G4113" s="22" cm="1">
        <f t="array" ref="G4113">IF(AND(Inputs!$C$60,Inputs!$C$61),INDEX(Utility_Rates!$C$29:$F$52,HOUR(C4113)+Inputs!$C$69,MATCH(INDEX(Utility_Rates!$K$6:$K$17,MONTH(C4113))&amp;IF(WEEKDAY(C4113,Inputs!$C$76)&lt;=Inputs!$C$74," weekday"," weekend"),Utility_Rates!$C$28:$F$28,Inputs!$C$68)),"")</f>
      </c>
      <c r="H4113" s="34"/>
      <c r="I4113" s="42">
        <f>IF(AND(ISNUMBER(D4113),ISNUMBER(H4113)),D4113*H4113*Inputs!$C$69,"")</f>
      </c>
      <c r="J4113" s="42">
        <f>IF(AND(ISNUMBER(F4113),ISNUMBER(H4113),F4113&gt;=Inputs!$C$68),F4113*H4113*Inputs!$C$69,"")</f>
      </c>
    </row>
    <row r="4114" spans="2:10" ht="15" customHeight="1" x14ac:dyDescent="0.2">
      <c r="B4114" s="39">
        <f t="shared" si="32"/>
      </c>
      <c r="C4114" s="40">
        <f>IF(Inputs!$C$60,Inputs!$C$11+(B4114-Inputs!$C$69)/Inputs!$C$70,"")</f>
      </c>
      <c r="D4114" s="15"/>
      <c r="E4114" s="15"/>
      <c r="F4114" s="11">
        <f t="shared" si="33"/>
      </c>
      <c r="G4114" s="22" cm="1">
        <f t="array" ref="G4114">IF(AND(Inputs!$C$60,Inputs!$C$61),INDEX(Utility_Rates!$C$29:$F$52,HOUR(C4114)+Inputs!$C$69,MATCH(INDEX(Utility_Rates!$K$6:$K$17,MONTH(C4114))&amp;IF(WEEKDAY(C4114,Inputs!$C$76)&lt;=Inputs!$C$74," weekday"," weekend"),Utility_Rates!$C$28:$F$28,Inputs!$C$68)),"")</f>
      </c>
      <c r="H4114" s="34"/>
      <c r="I4114" s="42">
        <f>IF(AND(ISNUMBER(D4114),ISNUMBER(H4114)),D4114*H4114*Inputs!$C$69,"")</f>
      </c>
      <c r="J4114" s="42">
        <f>IF(AND(ISNUMBER(F4114),ISNUMBER(H4114),F4114&gt;=Inputs!$C$68),F4114*H4114*Inputs!$C$69,"")</f>
      </c>
    </row>
    <row r="4115" spans="2:10" ht="15" customHeight="1" x14ac:dyDescent="0.2">
      <c r="B4115" s="39">
        <f t="shared" si="32"/>
      </c>
      <c r="C4115" s="40">
        <f>IF(Inputs!$C$60,Inputs!$C$11+(B4115-Inputs!$C$69)/Inputs!$C$70,"")</f>
      </c>
      <c r="D4115" s="15"/>
      <c r="E4115" s="15"/>
      <c r="F4115" s="11">
        <f t="shared" si="33"/>
      </c>
      <c r="G4115" s="22" cm="1">
        <f t="array" ref="G4115">IF(AND(Inputs!$C$60,Inputs!$C$61),INDEX(Utility_Rates!$C$29:$F$52,HOUR(C4115)+Inputs!$C$69,MATCH(INDEX(Utility_Rates!$K$6:$K$17,MONTH(C4115))&amp;IF(WEEKDAY(C4115,Inputs!$C$76)&lt;=Inputs!$C$74," weekday"," weekend"),Utility_Rates!$C$28:$F$28,Inputs!$C$68)),"")</f>
      </c>
      <c r="H4115" s="34"/>
      <c r="I4115" s="42">
        <f>IF(AND(ISNUMBER(D4115),ISNUMBER(H4115)),D4115*H4115*Inputs!$C$69,"")</f>
      </c>
      <c r="J4115" s="42">
        <f>IF(AND(ISNUMBER(F4115),ISNUMBER(H4115),F4115&gt;=Inputs!$C$68),F4115*H4115*Inputs!$C$69,"")</f>
      </c>
    </row>
    <row r="4116" spans="2:10" ht="15" customHeight="1" x14ac:dyDescent="0.2">
      <c r="B4116" s="39">
        <f t="shared" si="32"/>
      </c>
      <c r="C4116" s="40">
        <f>IF(Inputs!$C$60,Inputs!$C$11+(B4116-Inputs!$C$69)/Inputs!$C$70,"")</f>
      </c>
      <c r="D4116" s="15"/>
      <c r="E4116" s="15"/>
      <c r="F4116" s="11">
        <f t="shared" si="33"/>
      </c>
      <c r="G4116" s="22" cm="1">
        <f t="array" ref="G4116">IF(AND(Inputs!$C$60,Inputs!$C$61),INDEX(Utility_Rates!$C$29:$F$52,HOUR(C4116)+Inputs!$C$69,MATCH(INDEX(Utility_Rates!$K$6:$K$17,MONTH(C4116))&amp;IF(WEEKDAY(C4116,Inputs!$C$76)&lt;=Inputs!$C$74," weekday"," weekend"),Utility_Rates!$C$28:$F$28,Inputs!$C$68)),"")</f>
      </c>
      <c r="H4116" s="34"/>
      <c r="I4116" s="42">
        <f>IF(AND(ISNUMBER(D4116),ISNUMBER(H4116)),D4116*H4116*Inputs!$C$69,"")</f>
      </c>
      <c r="J4116" s="42">
        <f>IF(AND(ISNUMBER(F4116),ISNUMBER(H4116),F4116&gt;=Inputs!$C$68),F4116*H4116*Inputs!$C$69,"")</f>
      </c>
    </row>
    <row r="4117" spans="2:10" ht="15" customHeight="1" x14ac:dyDescent="0.2">
      <c r="B4117" s="39">
        <f t="shared" si="32"/>
      </c>
      <c r="C4117" s="40">
        <f>IF(Inputs!$C$60,Inputs!$C$11+(B4117-Inputs!$C$69)/Inputs!$C$70,"")</f>
      </c>
      <c r="D4117" s="15"/>
      <c r="E4117" s="15"/>
      <c r="F4117" s="11">
        <f t="shared" si="33"/>
      </c>
      <c r="G4117" s="22" cm="1">
        <f t="array" ref="G4117">IF(AND(Inputs!$C$60,Inputs!$C$61),INDEX(Utility_Rates!$C$29:$F$52,HOUR(C4117)+Inputs!$C$69,MATCH(INDEX(Utility_Rates!$K$6:$K$17,MONTH(C4117))&amp;IF(WEEKDAY(C4117,Inputs!$C$76)&lt;=Inputs!$C$74," weekday"," weekend"),Utility_Rates!$C$28:$F$28,Inputs!$C$68)),"")</f>
      </c>
      <c r="H4117" s="34"/>
      <c r="I4117" s="42">
        <f>IF(AND(ISNUMBER(D4117),ISNUMBER(H4117)),D4117*H4117*Inputs!$C$69,"")</f>
      </c>
      <c r="J4117" s="42">
        <f>IF(AND(ISNUMBER(F4117),ISNUMBER(H4117),F4117&gt;=Inputs!$C$68),F4117*H4117*Inputs!$C$69,"")</f>
      </c>
    </row>
    <row r="4118" spans="2:10" ht="15" customHeight="1" x14ac:dyDescent="0.2">
      <c r="B4118" s="39">
        <f t="shared" si="32"/>
      </c>
      <c r="C4118" s="40">
        <f>IF(Inputs!$C$60,Inputs!$C$11+(B4118-Inputs!$C$69)/Inputs!$C$70,"")</f>
      </c>
      <c r="D4118" s="15"/>
      <c r="E4118" s="15"/>
      <c r="F4118" s="11">
        <f t="shared" si="33"/>
      </c>
      <c r="G4118" s="22" cm="1">
        <f t="array" ref="G4118">IF(AND(Inputs!$C$60,Inputs!$C$61),INDEX(Utility_Rates!$C$29:$F$52,HOUR(C4118)+Inputs!$C$69,MATCH(INDEX(Utility_Rates!$K$6:$K$17,MONTH(C4118))&amp;IF(WEEKDAY(C4118,Inputs!$C$76)&lt;=Inputs!$C$74," weekday"," weekend"),Utility_Rates!$C$28:$F$28,Inputs!$C$68)),"")</f>
      </c>
      <c r="H4118" s="34"/>
      <c r="I4118" s="42">
        <f>IF(AND(ISNUMBER(D4118),ISNUMBER(H4118)),D4118*H4118*Inputs!$C$69,"")</f>
      </c>
      <c r="J4118" s="42">
        <f>IF(AND(ISNUMBER(F4118),ISNUMBER(H4118),F4118&gt;=Inputs!$C$68),F4118*H4118*Inputs!$C$69,"")</f>
      </c>
    </row>
    <row r="4119" spans="2:10" ht="15" customHeight="1" x14ac:dyDescent="0.2">
      <c r="B4119" s="39">
        <f t="shared" si="32"/>
      </c>
      <c r="C4119" s="40">
        <f>IF(Inputs!$C$60,Inputs!$C$11+(B4119-Inputs!$C$69)/Inputs!$C$70,"")</f>
      </c>
      <c r="D4119" s="15"/>
      <c r="E4119" s="15"/>
      <c r="F4119" s="11">
        <f t="shared" si="33"/>
      </c>
      <c r="G4119" s="22" cm="1">
        <f t="array" ref="G4119">IF(AND(Inputs!$C$60,Inputs!$C$61),INDEX(Utility_Rates!$C$29:$F$52,HOUR(C4119)+Inputs!$C$69,MATCH(INDEX(Utility_Rates!$K$6:$K$17,MONTH(C4119))&amp;IF(WEEKDAY(C4119,Inputs!$C$76)&lt;=Inputs!$C$74," weekday"," weekend"),Utility_Rates!$C$28:$F$28,Inputs!$C$68)),"")</f>
      </c>
      <c r="H4119" s="34"/>
      <c r="I4119" s="42">
        <f>IF(AND(ISNUMBER(D4119),ISNUMBER(H4119)),D4119*H4119*Inputs!$C$69,"")</f>
      </c>
      <c r="J4119" s="42">
        <f>IF(AND(ISNUMBER(F4119),ISNUMBER(H4119),F4119&gt;=Inputs!$C$68),F4119*H4119*Inputs!$C$69,"")</f>
      </c>
    </row>
    <row r="4120" spans="2:10" ht="15" customHeight="1" x14ac:dyDescent="0.2">
      <c r="B4120" s="39">
        <f t="shared" si="32"/>
      </c>
      <c r="C4120" s="40">
        <f>IF(Inputs!$C$60,Inputs!$C$11+(B4120-Inputs!$C$69)/Inputs!$C$70,"")</f>
      </c>
      <c r="D4120" s="15"/>
      <c r="E4120" s="15"/>
      <c r="F4120" s="11">
        <f t="shared" si="33"/>
      </c>
      <c r="G4120" s="22" cm="1">
        <f t="array" ref="G4120">IF(AND(Inputs!$C$60,Inputs!$C$61),INDEX(Utility_Rates!$C$29:$F$52,HOUR(C4120)+Inputs!$C$69,MATCH(INDEX(Utility_Rates!$K$6:$K$17,MONTH(C4120))&amp;IF(WEEKDAY(C4120,Inputs!$C$76)&lt;=Inputs!$C$74," weekday"," weekend"),Utility_Rates!$C$28:$F$28,Inputs!$C$68)),"")</f>
      </c>
      <c r="H4120" s="34"/>
      <c r="I4120" s="42">
        <f>IF(AND(ISNUMBER(D4120),ISNUMBER(H4120)),D4120*H4120*Inputs!$C$69,"")</f>
      </c>
      <c r="J4120" s="42">
        <f>IF(AND(ISNUMBER(F4120),ISNUMBER(H4120),F4120&gt;=Inputs!$C$68),F4120*H4120*Inputs!$C$69,"")</f>
      </c>
    </row>
    <row r="4121" spans="2:10" ht="15" customHeight="1" x14ac:dyDescent="0.2">
      <c r="B4121" s="39">
        <f t="shared" si="32"/>
      </c>
      <c r="C4121" s="40">
        <f>IF(Inputs!$C$60,Inputs!$C$11+(B4121-Inputs!$C$69)/Inputs!$C$70,"")</f>
      </c>
      <c r="D4121" s="15"/>
      <c r="E4121" s="15"/>
      <c r="F4121" s="11">
        <f t="shared" si="33"/>
      </c>
      <c r="G4121" s="22" cm="1">
        <f t="array" ref="G4121">IF(AND(Inputs!$C$60,Inputs!$C$61),INDEX(Utility_Rates!$C$29:$F$52,HOUR(C4121)+Inputs!$C$69,MATCH(INDEX(Utility_Rates!$K$6:$K$17,MONTH(C4121))&amp;IF(WEEKDAY(C4121,Inputs!$C$76)&lt;=Inputs!$C$74," weekday"," weekend"),Utility_Rates!$C$28:$F$28,Inputs!$C$68)),"")</f>
      </c>
      <c r="H4121" s="34"/>
      <c r="I4121" s="42">
        <f>IF(AND(ISNUMBER(D4121),ISNUMBER(H4121)),D4121*H4121*Inputs!$C$69,"")</f>
      </c>
      <c r="J4121" s="42">
        <f>IF(AND(ISNUMBER(F4121),ISNUMBER(H4121),F4121&gt;=Inputs!$C$68),F4121*H4121*Inputs!$C$69,"")</f>
      </c>
    </row>
    <row r="4122" spans="2:10" ht="15" customHeight="1" x14ac:dyDescent="0.2">
      <c r="B4122" s="39">
        <f t="shared" si="32"/>
      </c>
      <c r="C4122" s="40">
        <f>IF(Inputs!$C$60,Inputs!$C$11+(B4122-Inputs!$C$69)/Inputs!$C$70,"")</f>
      </c>
      <c r="D4122" s="15"/>
      <c r="E4122" s="15"/>
      <c r="F4122" s="11">
        <f t="shared" si="33"/>
      </c>
      <c r="G4122" s="22" cm="1">
        <f t="array" ref="G4122">IF(AND(Inputs!$C$60,Inputs!$C$61),INDEX(Utility_Rates!$C$29:$F$52,HOUR(C4122)+Inputs!$C$69,MATCH(INDEX(Utility_Rates!$K$6:$K$17,MONTH(C4122))&amp;IF(WEEKDAY(C4122,Inputs!$C$76)&lt;=Inputs!$C$74," weekday"," weekend"),Utility_Rates!$C$28:$F$28,Inputs!$C$68)),"")</f>
      </c>
      <c r="H4122" s="34"/>
      <c r="I4122" s="42">
        <f>IF(AND(ISNUMBER(D4122),ISNUMBER(H4122)),D4122*H4122*Inputs!$C$69,"")</f>
      </c>
      <c r="J4122" s="42">
        <f>IF(AND(ISNUMBER(F4122),ISNUMBER(H4122),F4122&gt;=Inputs!$C$68),F4122*H4122*Inputs!$C$69,"")</f>
      </c>
    </row>
    <row r="4123" spans="2:10" ht="15" customHeight="1" x14ac:dyDescent="0.2">
      <c r="B4123" s="39">
        <f t="shared" si="32"/>
      </c>
      <c r="C4123" s="40">
        <f>IF(Inputs!$C$60,Inputs!$C$11+(B4123-Inputs!$C$69)/Inputs!$C$70,"")</f>
      </c>
      <c r="D4123" s="15"/>
      <c r="E4123" s="15"/>
      <c r="F4123" s="11">
        <f t="shared" si="33"/>
      </c>
      <c r="G4123" s="22" cm="1">
        <f t="array" ref="G4123">IF(AND(Inputs!$C$60,Inputs!$C$61),INDEX(Utility_Rates!$C$29:$F$52,HOUR(C4123)+Inputs!$C$69,MATCH(INDEX(Utility_Rates!$K$6:$K$17,MONTH(C4123))&amp;IF(WEEKDAY(C4123,Inputs!$C$76)&lt;=Inputs!$C$74," weekday"," weekend"),Utility_Rates!$C$28:$F$28,Inputs!$C$68)),"")</f>
      </c>
      <c r="H4123" s="34"/>
      <c r="I4123" s="42">
        <f>IF(AND(ISNUMBER(D4123),ISNUMBER(H4123)),D4123*H4123*Inputs!$C$69,"")</f>
      </c>
      <c r="J4123" s="42">
        <f>IF(AND(ISNUMBER(F4123),ISNUMBER(H4123),F4123&gt;=Inputs!$C$68),F4123*H4123*Inputs!$C$69,"")</f>
      </c>
    </row>
    <row r="4124" spans="2:10" ht="15" customHeight="1" x14ac:dyDescent="0.2">
      <c r="B4124" s="39">
        <f t="shared" si="32"/>
      </c>
      <c r="C4124" s="40">
        <f>IF(Inputs!$C$60,Inputs!$C$11+(B4124-Inputs!$C$69)/Inputs!$C$70,"")</f>
      </c>
      <c r="D4124" s="15"/>
      <c r="E4124" s="15"/>
      <c r="F4124" s="11">
        <f t="shared" si="33"/>
      </c>
      <c r="G4124" s="22" cm="1">
        <f t="array" ref="G4124">IF(AND(Inputs!$C$60,Inputs!$C$61),INDEX(Utility_Rates!$C$29:$F$52,HOUR(C4124)+Inputs!$C$69,MATCH(INDEX(Utility_Rates!$K$6:$K$17,MONTH(C4124))&amp;IF(WEEKDAY(C4124,Inputs!$C$76)&lt;=Inputs!$C$74," weekday"," weekend"),Utility_Rates!$C$28:$F$28,Inputs!$C$68)),"")</f>
      </c>
      <c r="H4124" s="34"/>
      <c r="I4124" s="42">
        <f>IF(AND(ISNUMBER(D4124),ISNUMBER(H4124)),D4124*H4124*Inputs!$C$69,"")</f>
      </c>
      <c r="J4124" s="42">
        <f>IF(AND(ISNUMBER(F4124),ISNUMBER(H4124),F4124&gt;=Inputs!$C$68),F4124*H4124*Inputs!$C$69,"")</f>
      </c>
    </row>
    <row r="4125" spans="2:10" ht="15" customHeight="1" x14ac:dyDescent="0.2">
      <c r="B4125" s="39">
        <f t="shared" si="32"/>
      </c>
      <c r="C4125" s="40">
        <f>IF(Inputs!$C$60,Inputs!$C$11+(B4125-Inputs!$C$69)/Inputs!$C$70,"")</f>
      </c>
      <c r="D4125" s="15"/>
      <c r="E4125" s="15"/>
      <c r="F4125" s="11">
        <f t="shared" si="33"/>
      </c>
      <c r="G4125" s="22" cm="1">
        <f t="array" ref="G4125">IF(AND(Inputs!$C$60,Inputs!$C$61),INDEX(Utility_Rates!$C$29:$F$52,HOUR(C4125)+Inputs!$C$69,MATCH(INDEX(Utility_Rates!$K$6:$K$17,MONTH(C4125))&amp;IF(WEEKDAY(C4125,Inputs!$C$76)&lt;=Inputs!$C$74," weekday"," weekend"),Utility_Rates!$C$28:$F$28,Inputs!$C$68)),"")</f>
      </c>
      <c r="H4125" s="34"/>
      <c r="I4125" s="42">
        <f>IF(AND(ISNUMBER(D4125),ISNUMBER(H4125)),D4125*H4125*Inputs!$C$69,"")</f>
      </c>
      <c r="J4125" s="42">
        <f>IF(AND(ISNUMBER(F4125),ISNUMBER(H4125),F4125&gt;=Inputs!$C$68),F4125*H4125*Inputs!$C$69,"")</f>
      </c>
    </row>
    <row r="4126" spans="2:10" ht="15" customHeight="1" x14ac:dyDescent="0.2">
      <c r="B4126" s="39">
        <f t="shared" si="32"/>
      </c>
      <c r="C4126" s="40">
        <f>IF(Inputs!$C$60,Inputs!$C$11+(B4126-Inputs!$C$69)/Inputs!$C$70,"")</f>
      </c>
      <c r="D4126" s="15"/>
      <c r="E4126" s="15"/>
      <c r="F4126" s="11">
        <f t="shared" si="33"/>
      </c>
      <c r="G4126" s="22" cm="1">
        <f t="array" ref="G4126">IF(AND(Inputs!$C$60,Inputs!$C$61),INDEX(Utility_Rates!$C$29:$F$52,HOUR(C4126)+Inputs!$C$69,MATCH(INDEX(Utility_Rates!$K$6:$K$17,MONTH(C4126))&amp;IF(WEEKDAY(C4126,Inputs!$C$76)&lt;=Inputs!$C$74," weekday"," weekend"),Utility_Rates!$C$28:$F$28,Inputs!$C$68)),"")</f>
      </c>
      <c r="H4126" s="34"/>
      <c r="I4126" s="42">
        <f>IF(AND(ISNUMBER(D4126),ISNUMBER(H4126)),D4126*H4126*Inputs!$C$69,"")</f>
      </c>
      <c r="J4126" s="42">
        <f>IF(AND(ISNUMBER(F4126),ISNUMBER(H4126),F4126&gt;=Inputs!$C$68),F4126*H4126*Inputs!$C$69,"")</f>
      </c>
    </row>
    <row r="4127" spans="2:10" ht="15" customHeight="1" x14ac:dyDescent="0.2">
      <c r="B4127" s="39">
        <f t="shared" si="32"/>
      </c>
      <c r="C4127" s="40">
        <f>IF(Inputs!$C$60,Inputs!$C$11+(B4127-Inputs!$C$69)/Inputs!$C$70,"")</f>
      </c>
      <c r="D4127" s="15"/>
      <c r="E4127" s="15"/>
      <c r="F4127" s="11">
        <f t="shared" si="33"/>
      </c>
      <c r="G4127" s="22" cm="1">
        <f t="array" ref="G4127">IF(AND(Inputs!$C$60,Inputs!$C$61),INDEX(Utility_Rates!$C$29:$F$52,HOUR(C4127)+Inputs!$C$69,MATCH(INDEX(Utility_Rates!$K$6:$K$17,MONTH(C4127))&amp;IF(WEEKDAY(C4127,Inputs!$C$76)&lt;=Inputs!$C$74," weekday"," weekend"),Utility_Rates!$C$28:$F$28,Inputs!$C$68)),"")</f>
      </c>
      <c r="H4127" s="34"/>
      <c r="I4127" s="42">
        <f>IF(AND(ISNUMBER(D4127),ISNUMBER(H4127)),D4127*H4127*Inputs!$C$69,"")</f>
      </c>
      <c r="J4127" s="42">
        <f>IF(AND(ISNUMBER(F4127),ISNUMBER(H4127),F4127&gt;=Inputs!$C$68),F4127*H4127*Inputs!$C$69,"")</f>
      </c>
    </row>
    <row r="4128" spans="2:10" ht="15" customHeight="1" x14ac:dyDescent="0.2">
      <c r="B4128" s="39">
        <f t="shared" si="32"/>
      </c>
      <c r="C4128" s="40">
        <f>IF(Inputs!$C$60,Inputs!$C$11+(B4128-Inputs!$C$69)/Inputs!$C$70,"")</f>
      </c>
      <c r="D4128" s="15"/>
      <c r="E4128" s="15"/>
      <c r="F4128" s="11">
        <f t="shared" si="33"/>
      </c>
      <c r="G4128" s="22" cm="1">
        <f t="array" ref="G4128">IF(AND(Inputs!$C$60,Inputs!$C$61),INDEX(Utility_Rates!$C$29:$F$52,HOUR(C4128)+Inputs!$C$69,MATCH(INDEX(Utility_Rates!$K$6:$K$17,MONTH(C4128))&amp;IF(WEEKDAY(C4128,Inputs!$C$76)&lt;=Inputs!$C$74," weekday"," weekend"),Utility_Rates!$C$28:$F$28,Inputs!$C$68)),"")</f>
      </c>
      <c r="H4128" s="34"/>
      <c r="I4128" s="42">
        <f>IF(AND(ISNUMBER(D4128),ISNUMBER(H4128)),D4128*H4128*Inputs!$C$69,"")</f>
      </c>
      <c r="J4128" s="42">
        <f>IF(AND(ISNUMBER(F4128),ISNUMBER(H4128),F4128&gt;=Inputs!$C$68),F4128*H4128*Inputs!$C$69,"")</f>
      </c>
    </row>
    <row r="4129" spans="2:10" ht="15" customHeight="1" x14ac:dyDescent="0.2">
      <c r="B4129" s="39">
        <f t="shared" si="32"/>
      </c>
      <c r="C4129" s="40">
        <f>IF(Inputs!$C$60,Inputs!$C$11+(B4129-Inputs!$C$69)/Inputs!$C$70,"")</f>
      </c>
      <c r="D4129" s="15"/>
      <c r="E4129" s="15"/>
      <c r="F4129" s="11">
        <f t="shared" si="33"/>
      </c>
      <c r="G4129" s="22" cm="1">
        <f t="array" ref="G4129">IF(AND(Inputs!$C$60,Inputs!$C$61),INDEX(Utility_Rates!$C$29:$F$52,HOUR(C4129)+Inputs!$C$69,MATCH(INDEX(Utility_Rates!$K$6:$K$17,MONTH(C4129))&amp;IF(WEEKDAY(C4129,Inputs!$C$76)&lt;=Inputs!$C$74," weekday"," weekend"),Utility_Rates!$C$28:$F$28,Inputs!$C$68)),"")</f>
      </c>
      <c r="H4129" s="34"/>
      <c r="I4129" s="42">
        <f>IF(AND(ISNUMBER(D4129),ISNUMBER(H4129)),D4129*H4129*Inputs!$C$69,"")</f>
      </c>
      <c r="J4129" s="42">
        <f>IF(AND(ISNUMBER(F4129),ISNUMBER(H4129),F4129&gt;=Inputs!$C$68),F4129*H4129*Inputs!$C$69,"")</f>
      </c>
    </row>
    <row r="4130" spans="2:10" ht="15" customHeight="1" x14ac:dyDescent="0.2">
      <c r="B4130" s="39">
        <f t="shared" si="32"/>
      </c>
      <c r="C4130" s="40">
        <f>IF(Inputs!$C$60,Inputs!$C$11+(B4130-Inputs!$C$69)/Inputs!$C$70,"")</f>
      </c>
      <c r="D4130" s="15"/>
      <c r="E4130" s="15"/>
      <c r="F4130" s="11">
        <f t="shared" si="33"/>
      </c>
      <c r="G4130" s="22" cm="1">
        <f t="array" ref="G4130">IF(AND(Inputs!$C$60,Inputs!$C$61),INDEX(Utility_Rates!$C$29:$F$52,HOUR(C4130)+Inputs!$C$69,MATCH(INDEX(Utility_Rates!$K$6:$K$17,MONTH(C4130))&amp;IF(WEEKDAY(C4130,Inputs!$C$76)&lt;=Inputs!$C$74," weekday"," weekend"),Utility_Rates!$C$28:$F$28,Inputs!$C$68)),"")</f>
      </c>
      <c r="H4130" s="34"/>
      <c r="I4130" s="42">
        <f>IF(AND(ISNUMBER(D4130),ISNUMBER(H4130)),D4130*H4130*Inputs!$C$69,"")</f>
      </c>
      <c r="J4130" s="42">
        <f>IF(AND(ISNUMBER(F4130),ISNUMBER(H4130),F4130&gt;=Inputs!$C$68),F4130*H4130*Inputs!$C$69,"")</f>
      </c>
    </row>
    <row r="4131" spans="2:10" ht="15" customHeight="1" x14ac:dyDescent="0.2">
      <c r="B4131" s="39">
        <f t="shared" si="32"/>
      </c>
      <c r="C4131" s="40">
        <f>IF(Inputs!$C$60,Inputs!$C$11+(B4131-Inputs!$C$69)/Inputs!$C$70,"")</f>
      </c>
      <c r="D4131" s="15"/>
      <c r="E4131" s="15"/>
      <c r="F4131" s="11">
        <f t="shared" si="33"/>
      </c>
      <c r="G4131" s="22" cm="1">
        <f t="array" ref="G4131">IF(AND(Inputs!$C$60,Inputs!$C$61),INDEX(Utility_Rates!$C$29:$F$52,HOUR(C4131)+Inputs!$C$69,MATCH(INDEX(Utility_Rates!$K$6:$K$17,MONTH(C4131))&amp;IF(WEEKDAY(C4131,Inputs!$C$76)&lt;=Inputs!$C$74," weekday"," weekend"),Utility_Rates!$C$28:$F$28,Inputs!$C$68)),"")</f>
      </c>
      <c r="H4131" s="34"/>
      <c r="I4131" s="42">
        <f>IF(AND(ISNUMBER(D4131),ISNUMBER(H4131)),D4131*H4131*Inputs!$C$69,"")</f>
      </c>
      <c r="J4131" s="42">
        <f>IF(AND(ISNUMBER(F4131),ISNUMBER(H4131),F4131&gt;=Inputs!$C$68),F4131*H4131*Inputs!$C$69,"")</f>
      </c>
    </row>
    <row r="4132" spans="2:10" ht="15" customHeight="1" x14ac:dyDescent="0.2">
      <c r="B4132" s="39">
        <f t="shared" si="32"/>
      </c>
      <c r="C4132" s="40">
        <f>IF(Inputs!$C$60,Inputs!$C$11+(B4132-Inputs!$C$69)/Inputs!$C$70,"")</f>
      </c>
      <c r="D4132" s="15"/>
      <c r="E4132" s="15"/>
      <c r="F4132" s="11">
        <f t="shared" si="33"/>
      </c>
      <c r="G4132" s="22" cm="1">
        <f t="array" ref="G4132">IF(AND(Inputs!$C$60,Inputs!$C$61),INDEX(Utility_Rates!$C$29:$F$52,HOUR(C4132)+Inputs!$C$69,MATCH(INDEX(Utility_Rates!$K$6:$K$17,MONTH(C4132))&amp;IF(WEEKDAY(C4132,Inputs!$C$76)&lt;=Inputs!$C$74," weekday"," weekend"),Utility_Rates!$C$28:$F$28,Inputs!$C$68)),"")</f>
      </c>
      <c r="H4132" s="34"/>
      <c r="I4132" s="42">
        <f>IF(AND(ISNUMBER(D4132),ISNUMBER(H4132)),D4132*H4132*Inputs!$C$69,"")</f>
      </c>
      <c r="J4132" s="42">
        <f>IF(AND(ISNUMBER(F4132),ISNUMBER(H4132),F4132&gt;=Inputs!$C$68),F4132*H4132*Inputs!$C$69,"")</f>
      </c>
    </row>
    <row r="4133" spans="2:10" ht="15" customHeight="1" x14ac:dyDescent="0.2">
      <c r="B4133" s="39">
        <f t="shared" si="32"/>
      </c>
      <c r="C4133" s="40">
        <f>IF(Inputs!$C$60,Inputs!$C$11+(B4133-Inputs!$C$69)/Inputs!$C$70,"")</f>
      </c>
      <c r="D4133" s="15"/>
      <c r="E4133" s="15"/>
      <c r="F4133" s="11">
        <f t="shared" si="33"/>
      </c>
      <c r="G4133" s="22" cm="1">
        <f t="array" ref="G4133">IF(AND(Inputs!$C$60,Inputs!$C$61),INDEX(Utility_Rates!$C$29:$F$52,HOUR(C4133)+Inputs!$C$69,MATCH(INDEX(Utility_Rates!$K$6:$K$17,MONTH(C4133))&amp;IF(WEEKDAY(C4133,Inputs!$C$76)&lt;=Inputs!$C$74," weekday"," weekend"),Utility_Rates!$C$28:$F$28,Inputs!$C$68)),"")</f>
      </c>
      <c r="H4133" s="34"/>
      <c r="I4133" s="42">
        <f>IF(AND(ISNUMBER(D4133),ISNUMBER(H4133)),D4133*H4133*Inputs!$C$69,"")</f>
      </c>
      <c r="J4133" s="42">
        <f>IF(AND(ISNUMBER(F4133),ISNUMBER(H4133),F4133&gt;=Inputs!$C$68),F4133*H4133*Inputs!$C$69,"")</f>
      </c>
    </row>
    <row r="4134" spans="2:10" ht="15" customHeight="1" x14ac:dyDescent="0.2">
      <c r="B4134" s="39">
        <f t="shared" si="32"/>
      </c>
      <c r="C4134" s="40">
        <f>IF(Inputs!$C$60,Inputs!$C$11+(B4134-Inputs!$C$69)/Inputs!$C$70,"")</f>
      </c>
      <c r="D4134" s="15"/>
      <c r="E4134" s="15"/>
      <c r="F4134" s="11">
        <f t="shared" si="33"/>
      </c>
      <c r="G4134" s="22" cm="1">
        <f t="array" ref="G4134">IF(AND(Inputs!$C$60,Inputs!$C$61),INDEX(Utility_Rates!$C$29:$F$52,HOUR(C4134)+Inputs!$C$69,MATCH(INDEX(Utility_Rates!$K$6:$K$17,MONTH(C4134))&amp;IF(WEEKDAY(C4134,Inputs!$C$76)&lt;=Inputs!$C$74," weekday"," weekend"),Utility_Rates!$C$28:$F$28,Inputs!$C$68)),"")</f>
      </c>
      <c r="H4134" s="34"/>
      <c r="I4134" s="42">
        <f>IF(AND(ISNUMBER(D4134),ISNUMBER(H4134)),D4134*H4134*Inputs!$C$69,"")</f>
      </c>
      <c r="J4134" s="42">
        <f>IF(AND(ISNUMBER(F4134),ISNUMBER(H4134),F4134&gt;=Inputs!$C$68),F4134*H4134*Inputs!$C$69,"")</f>
      </c>
    </row>
    <row r="4135" spans="2:10" ht="15" customHeight="1" x14ac:dyDescent="0.2">
      <c r="B4135" s="39">
        <f t="shared" si="32"/>
      </c>
      <c r="C4135" s="40">
        <f>IF(Inputs!$C$60,Inputs!$C$11+(B4135-Inputs!$C$69)/Inputs!$C$70,"")</f>
      </c>
      <c r="D4135" s="15"/>
      <c r="E4135" s="15"/>
      <c r="F4135" s="11">
        <f t="shared" si="33"/>
      </c>
      <c r="G4135" s="22" cm="1">
        <f t="array" ref="G4135">IF(AND(Inputs!$C$60,Inputs!$C$61),INDEX(Utility_Rates!$C$29:$F$52,HOUR(C4135)+Inputs!$C$69,MATCH(INDEX(Utility_Rates!$K$6:$K$17,MONTH(C4135))&amp;IF(WEEKDAY(C4135,Inputs!$C$76)&lt;=Inputs!$C$74," weekday"," weekend"),Utility_Rates!$C$28:$F$28,Inputs!$C$68)),"")</f>
      </c>
      <c r="H4135" s="34"/>
      <c r="I4135" s="42">
        <f>IF(AND(ISNUMBER(D4135),ISNUMBER(H4135)),D4135*H4135*Inputs!$C$69,"")</f>
      </c>
      <c r="J4135" s="42">
        <f>IF(AND(ISNUMBER(F4135),ISNUMBER(H4135),F4135&gt;=Inputs!$C$68),F4135*H4135*Inputs!$C$69,"")</f>
      </c>
    </row>
    <row r="4136" spans="2:10" ht="15" customHeight="1" x14ac:dyDescent="0.2">
      <c r="B4136" s="39">
        <f t="shared" si="32"/>
      </c>
      <c r="C4136" s="40">
        <f>IF(Inputs!$C$60,Inputs!$C$11+(B4136-Inputs!$C$69)/Inputs!$C$70,"")</f>
      </c>
      <c r="D4136" s="15"/>
      <c r="E4136" s="15"/>
      <c r="F4136" s="11">
        <f t="shared" si="33"/>
      </c>
      <c r="G4136" s="22" cm="1">
        <f t="array" ref="G4136">IF(AND(Inputs!$C$60,Inputs!$C$61),INDEX(Utility_Rates!$C$29:$F$52,HOUR(C4136)+Inputs!$C$69,MATCH(INDEX(Utility_Rates!$K$6:$K$17,MONTH(C4136))&amp;IF(WEEKDAY(C4136,Inputs!$C$76)&lt;=Inputs!$C$74," weekday"," weekend"),Utility_Rates!$C$28:$F$28,Inputs!$C$68)),"")</f>
      </c>
      <c r="H4136" s="34"/>
      <c r="I4136" s="42">
        <f>IF(AND(ISNUMBER(D4136),ISNUMBER(H4136)),D4136*H4136*Inputs!$C$69,"")</f>
      </c>
      <c r="J4136" s="42">
        <f>IF(AND(ISNUMBER(F4136),ISNUMBER(H4136),F4136&gt;=Inputs!$C$68),F4136*H4136*Inputs!$C$69,"")</f>
      </c>
    </row>
    <row r="4137" spans="2:10" ht="15" customHeight="1" x14ac:dyDescent="0.2">
      <c r="B4137" s="39">
        <f t="shared" si="32"/>
      </c>
      <c r="C4137" s="40">
        <f>IF(Inputs!$C$60,Inputs!$C$11+(B4137-Inputs!$C$69)/Inputs!$C$70,"")</f>
      </c>
      <c r="D4137" s="15"/>
      <c r="E4137" s="15"/>
      <c r="F4137" s="11">
        <f t="shared" si="33"/>
      </c>
      <c r="G4137" s="22" cm="1">
        <f t="array" ref="G4137">IF(AND(Inputs!$C$60,Inputs!$C$61),INDEX(Utility_Rates!$C$29:$F$52,HOUR(C4137)+Inputs!$C$69,MATCH(INDEX(Utility_Rates!$K$6:$K$17,MONTH(C4137))&amp;IF(WEEKDAY(C4137,Inputs!$C$76)&lt;=Inputs!$C$74," weekday"," weekend"),Utility_Rates!$C$28:$F$28,Inputs!$C$68)),"")</f>
      </c>
      <c r="H4137" s="34"/>
      <c r="I4137" s="42">
        <f>IF(AND(ISNUMBER(D4137),ISNUMBER(H4137)),D4137*H4137*Inputs!$C$69,"")</f>
      </c>
      <c r="J4137" s="42">
        <f>IF(AND(ISNUMBER(F4137),ISNUMBER(H4137),F4137&gt;=Inputs!$C$68),F4137*H4137*Inputs!$C$69,"")</f>
      </c>
    </row>
    <row r="4138" spans="2:10" ht="15" customHeight="1" x14ac:dyDescent="0.2">
      <c r="B4138" s="39">
        <f t="shared" si="32"/>
      </c>
      <c r="C4138" s="40">
        <f>IF(Inputs!$C$60,Inputs!$C$11+(B4138-Inputs!$C$69)/Inputs!$C$70,"")</f>
      </c>
      <c r="D4138" s="15"/>
      <c r="E4138" s="15"/>
      <c r="F4138" s="11">
        <f t="shared" si="33"/>
      </c>
      <c r="G4138" s="22" cm="1">
        <f t="array" ref="G4138">IF(AND(Inputs!$C$60,Inputs!$C$61),INDEX(Utility_Rates!$C$29:$F$52,HOUR(C4138)+Inputs!$C$69,MATCH(INDEX(Utility_Rates!$K$6:$K$17,MONTH(C4138))&amp;IF(WEEKDAY(C4138,Inputs!$C$76)&lt;=Inputs!$C$74," weekday"," weekend"),Utility_Rates!$C$28:$F$28,Inputs!$C$68)),"")</f>
      </c>
      <c r="H4138" s="34"/>
      <c r="I4138" s="42">
        <f>IF(AND(ISNUMBER(D4138),ISNUMBER(H4138)),D4138*H4138*Inputs!$C$69,"")</f>
      </c>
      <c r="J4138" s="42">
        <f>IF(AND(ISNUMBER(F4138),ISNUMBER(H4138),F4138&gt;=Inputs!$C$68),F4138*H4138*Inputs!$C$69,"")</f>
      </c>
    </row>
    <row r="4139" spans="2:10" ht="15" customHeight="1" x14ac:dyDescent="0.2">
      <c r="B4139" s="39">
        <f t="shared" si="32"/>
      </c>
      <c r="C4139" s="40">
        <f>IF(Inputs!$C$60,Inputs!$C$11+(B4139-Inputs!$C$69)/Inputs!$C$70,"")</f>
      </c>
      <c r="D4139" s="15"/>
      <c r="E4139" s="15"/>
      <c r="F4139" s="11">
        <f t="shared" si="33"/>
      </c>
      <c r="G4139" s="22" cm="1">
        <f t="array" ref="G4139">IF(AND(Inputs!$C$60,Inputs!$C$61),INDEX(Utility_Rates!$C$29:$F$52,HOUR(C4139)+Inputs!$C$69,MATCH(INDEX(Utility_Rates!$K$6:$K$17,MONTH(C4139))&amp;IF(WEEKDAY(C4139,Inputs!$C$76)&lt;=Inputs!$C$74," weekday"," weekend"),Utility_Rates!$C$28:$F$28,Inputs!$C$68)),"")</f>
      </c>
      <c r="H4139" s="34"/>
      <c r="I4139" s="42">
        <f>IF(AND(ISNUMBER(D4139),ISNUMBER(H4139)),D4139*H4139*Inputs!$C$69,"")</f>
      </c>
      <c r="J4139" s="42">
        <f>IF(AND(ISNUMBER(F4139),ISNUMBER(H4139),F4139&gt;=Inputs!$C$68),F4139*H4139*Inputs!$C$69,"")</f>
      </c>
    </row>
    <row r="4140" spans="2:10" ht="15" customHeight="1" x14ac:dyDescent="0.2">
      <c r="B4140" s="39">
        <f t="shared" si="32"/>
      </c>
      <c r="C4140" s="40">
        <f>IF(Inputs!$C$60,Inputs!$C$11+(B4140-Inputs!$C$69)/Inputs!$C$70,"")</f>
      </c>
      <c r="D4140" s="15"/>
      <c r="E4140" s="15"/>
      <c r="F4140" s="11">
        <f t="shared" si="33"/>
      </c>
      <c r="G4140" s="22" cm="1">
        <f t="array" ref="G4140">IF(AND(Inputs!$C$60,Inputs!$C$61),INDEX(Utility_Rates!$C$29:$F$52,HOUR(C4140)+Inputs!$C$69,MATCH(INDEX(Utility_Rates!$K$6:$K$17,MONTH(C4140))&amp;IF(WEEKDAY(C4140,Inputs!$C$76)&lt;=Inputs!$C$74," weekday"," weekend"),Utility_Rates!$C$28:$F$28,Inputs!$C$68)),"")</f>
      </c>
      <c r="H4140" s="34"/>
      <c r="I4140" s="42">
        <f>IF(AND(ISNUMBER(D4140),ISNUMBER(H4140)),D4140*H4140*Inputs!$C$69,"")</f>
      </c>
      <c r="J4140" s="42">
        <f>IF(AND(ISNUMBER(F4140),ISNUMBER(H4140),F4140&gt;=Inputs!$C$68),F4140*H4140*Inputs!$C$69,"")</f>
      </c>
    </row>
    <row r="4141" spans="2:10" ht="15" customHeight="1" x14ac:dyDescent="0.2">
      <c r="B4141" s="39">
        <f t="shared" si="32"/>
      </c>
      <c r="C4141" s="40">
        <f>IF(Inputs!$C$60,Inputs!$C$11+(B4141-Inputs!$C$69)/Inputs!$C$70,"")</f>
      </c>
      <c r="D4141" s="15"/>
      <c r="E4141" s="15"/>
      <c r="F4141" s="11">
        <f t="shared" si="33"/>
      </c>
      <c r="G4141" s="22" cm="1">
        <f t="array" ref="G4141">IF(AND(Inputs!$C$60,Inputs!$C$61),INDEX(Utility_Rates!$C$29:$F$52,HOUR(C4141)+Inputs!$C$69,MATCH(INDEX(Utility_Rates!$K$6:$K$17,MONTH(C4141))&amp;IF(WEEKDAY(C4141,Inputs!$C$76)&lt;=Inputs!$C$74," weekday"," weekend"),Utility_Rates!$C$28:$F$28,Inputs!$C$68)),"")</f>
      </c>
      <c r="H4141" s="34"/>
      <c r="I4141" s="42">
        <f>IF(AND(ISNUMBER(D4141),ISNUMBER(H4141)),D4141*H4141*Inputs!$C$69,"")</f>
      </c>
      <c r="J4141" s="42">
        <f>IF(AND(ISNUMBER(F4141),ISNUMBER(H4141),F4141&gt;=Inputs!$C$68),F4141*H4141*Inputs!$C$69,"")</f>
      </c>
    </row>
    <row r="4142" spans="2:10" ht="15" customHeight="1" x14ac:dyDescent="0.2">
      <c r="B4142" s="39">
        <f t="shared" si="32"/>
      </c>
      <c r="C4142" s="40">
        <f>IF(Inputs!$C$60,Inputs!$C$11+(B4142-Inputs!$C$69)/Inputs!$C$70,"")</f>
      </c>
      <c r="D4142" s="15"/>
      <c r="E4142" s="15"/>
      <c r="F4142" s="11">
        <f t="shared" si="33"/>
      </c>
      <c r="G4142" s="22" cm="1">
        <f t="array" ref="G4142">IF(AND(Inputs!$C$60,Inputs!$C$61),INDEX(Utility_Rates!$C$29:$F$52,HOUR(C4142)+Inputs!$C$69,MATCH(INDEX(Utility_Rates!$K$6:$K$17,MONTH(C4142))&amp;IF(WEEKDAY(C4142,Inputs!$C$76)&lt;=Inputs!$C$74," weekday"," weekend"),Utility_Rates!$C$28:$F$28,Inputs!$C$68)),"")</f>
      </c>
      <c r="H4142" s="34"/>
      <c r="I4142" s="42">
        <f>IF(AND(ISNUMBER(D4142),ISNUMBER(H4142)),D4142*H4142*Inputs!$C$69,"")</f>
      </c>
      <c r="J4142" s="42">
        <f>IF(AND(ISNUMBER(F4142),ISNUMBER(H4142),F4142&gt;=Inputs!$C$68),F4142*H4142*Inputs!$C$69,"")</f>
      </c>
    </row>
    <row r="4143" spans="2:10" ht="15" customHeight="1" x14ac:dyDescent="0.2">
      <c r="B4143" s="39">
        <f t="shared" si="32"/>
      </c>
      <c r="C4143" s="40">
        <f>IF(Inputs!$C$60,Inputs!$C$11+(B4143-Inputs!$C$69)/Inputs!$C$70,"")</f>
      </c>
      <c r="D4143" s="15"/>
      <c r="E4143" s="15"/>
      <c r="F4143" s="11">
        <f t="shared" si="33"/>
      </c>
      <c r="G4143" s="22" cm="1">
        <f t="array" ref="G4143">IF(AND(Inputs!$C$60,Inputs!$C$61),INDEX(Utility_Rates!$C$29:$F$52,HOUR(C4143)+Inputs!$C$69,MATCH(INDEX(Utility_Rates!$K$6:$K$17,MONTH(C4143))&amp;IF(WEEKDAY(C4143,Inputs!$C$76)&lt;=Inputs!$C$74," weekday"," weekend"),Utility_Rates!$C$28:$F$28,Inputs!$C$68)),"")</f>
      </c>
      <c r="H4143" s="34"/>
      <c r="I4143" s="42">
        <f>IF(AND(ISNUMBER(D4143),ISNUMBER(H4143)),D4143*H4143*Inputs!$C$69,"")</f>
      </c>
      <c r="J4143" s="42">
        <f>IF(AND(ISNUMBER(F4143),ISNUMBER(H4143),F4143&gt;=Inputs!$C$68),F4143*H4143*Inputs!$C$69,"")</f>
      </c>
    </row>
    <row r="4144" spans="2:10" ht="15" customHeight="1" x14ac:dyDescent="0.2">
      <c r="B4144" s="39">
        <f t="shared" si="32"/>
      </c>
      <c r="C4144" s="40">
        <f>IF(Inputs!$C$60,Inputs!$C$11+(B4144-Inputs!$C$69)/Inputs!$C$70,"")</f>
      </c>
      <c r="D4144" s="15"/>
      <c r="E4144" s="15"/>
      <c r="F4144" s="11">
        <f t="shared" si="33"/>
      </c>
      <c r="G4144" s="22" cm="1">
        <f t="array" ref="G4144">IF(AND(Inputs!$C$60,Inputs!$C$61),INDEX(Utility_Rates!$C$29:$F$52,HOUR(C4144)+Inputs!$C$69,MATCH(INDEX(Utility_Rates!$K$6:$K$17,MONTH(C4144))&amp;IF(WEEKDAY(C4144,Inputs!$C$76)&lt;=Inputs!$C$74," weekday"," weekend"),Utility_Rates!$C$28:$F$28,Inputs!$C$68)),"")</f>
      </c>
      <c r="H4144" s="34"/>
      <c r="I4144" s="42">
        <f>IF(AND(ISNUMBER(D4144),ISNUMBER(H4144)),D4144*H4144*Inputs!$C$69,"")</f>
      </c>
      <c r="J4144" s="42">
        <f>IF(AND(ISNUMBER(F4144),ISNUMBER(H4144),F4144&gt;=Inputs!$C$68),F4144*H4144*Inputs!$C$69,"")</f>
      </c>
    </row>
    <row r="4145" spans="2:10" ht="15" customHeight="1" x14ac:dyDescent="0.2">
      <c r="B4145" s="39">
        <f t="shared" si="32"/>
      </c>
      <c r="C4145" s="40">
        <f>IF(Inputs!$C$60,Inputs!$C$11+(B4145-Inputs!$C$69)/Inputs!$C$70,"")</f>
      </c>
      <c r="D4145" s="15"/>
      <c r="E4145" s="15"/>
      <c r="F4145" s="11">
        <f t="shared" si="33"/>
      </c>
      <c r="G4145" s="22" cm="1">
        <f t="array" ref="G4145">IF(AND(Inputs!$C$60,Inputs!$C$61),INDEX(Utility_Rates!$C$29:$F$52,HOUR(C4145)+Inputs!$C$69,MATCH(INDEX(Utility_Rates!$K$6:$K$17,MONTH(C4145))&amp;IF(WEEKDAY(C4145,Inputs!$C$76)&lt;=Inputs!$C$74," weekday"," weekend"),Utility_Rates!$C$28:$F$28,Inputs!$C$68)),"")</f>
      </c>
      <c r="H4145" s="34"/>
      <c r="I4145" s="42">
        <f>IF(AND(ISNUMBER(D4145),ISNUMBER(H4145)),D4145*H4145*Inputs!$C$69,"")</f>
      </c>
      <c r="J4145" s="42">
        <f>IF(AND(ISNUMBER(F4145),ISNUMBER(H4145),F4145&gt;=Inputs!$C$68),F4145*H4145*Inputs!$C$69,"")</f>
      </c>
    </row>
    <row r="4146" spans="2:10" ht="15" customHeight="1" x14ac:dyDescent="0.2">
      <c r="B4146" s="39">
        <f t="shared" si="32"/>
      </c>
      <c r="C4146" s="40">
        <f>IF(Inputs!$C$60,Inputs!$C$11+(B4146-Inputs!$C$69)/Inputs!$C$70,"")</f>
      </c>
      <c r="D4146" s="15"/>
      <c r="E4146" s="15"/>
      <c r="F4146" s="11">
        <f t="shared" si="33"/>
      </c>
      <c r="G4146" s="22" cm="1">
        <f t="array" ref="G4146">IF(AND(Inputs!$C$60,Inputs!$C$61),INDEX(Utility_Rates!$C$29:$F$52,HOUR(C4146)+Inputs!$C$69,MATCH(INDEX(Utility_Rates!$K$6:$K$17,MONTH(C4146))&amp;IF(WEEKDAY(C4146,Inputs!$C$76)&lt;=Inputs!$C$74," weekday"," weekend"),Utility_Rates!$C$28:$F$28,Inputs!$C$68)),"")</f>
      </c>
      <c r="H4146" s="34"/>
      <c r="I4146" s="42">
        <f>IF(AND(ISNUMBER(D4146),ISNUMBER(H4146)),D4146*H4146*Inputs!$C$69,"")</f>
      </c>
      <c r="J4146" s="42">
        <f>IF(AND(ISNUMBER(F4146),ISNUMBER(H4146),F4146&gt;=Inputs!$C$68),F4146*H4146*Inputs!$C$69,"")</f>
      </c>
    </row>
    <row r="4147" spans="2:10" ht="15" customHeight="1" x14ac:dyDescent="0.2">
      <c r="B4147" s="39">
        <f t="shared" si="32"/>
      </c>
      <c r="C4147" s="40">
        <f>IF(Inputs!$C$60,Inputs!$C$11+(B4147-Inputs!$C$69)/Inputs!$C$70,"")</f>
      </c>
      <c r="D4147" s="15"/>
      <c r="E4147" s="15"/>
      <c r="F4147" s="11">
        <f t="shared" si="33"/>
      </c>
      <c r="G4147" s="22" cm="1">
        <f t="array" ref="G4147">IF(AND(Inputs!$C$60,Inputs!$C$61),INDEX(Utility_Rates!$C$29:$F$52,HOUR(C4147)+Inputs!$C$69,MATCH(INDEX(Utility_Rates!$K$6:$K$17,MONTH(C4147))&amp;IF(WEEKDAY(C4147,Inputs!$C$76)&lt;=Inputs!$C$74," weekday"," weekend"),Utility_Rates!$C$28:$F$28,Inputs!$C$68)),"")</f>
      </c>
      <c r="H4147" s="34"/>
      <c r="I4147" s="42">
        <f>IF(AND(ISNUMBER(D4147),ISNUMBER(H4147)),D4147*H4147*Inputs!$C$69,"")</f>
      </c>
      <c r="J4147" s="42">
        <f>IF(AND(ISNUMBER(F4147),ISNUMBER(H4147),F4147&gt;=Inputs!$C$68),F4147*H4147*Inputs!$C$69,"")</f>
      </c>
    </row>
    <row r="4148" spans="2:10" ht="15" customHeight="1" x14ac:dyDescent="0.2">
      <c r="B4148" s="39">
        <f t="shared" si="32"/>
      </c>
      <c r="C4148" s="40">
        <f>IF(Inputs!$C$60,Inputs!$C$11+(B4148-Inputs!$C$69)/Inputs!$C$70,"")</f>
      </c>
      <c r="D4148" s="15"/>
      <c r="E4148" s="15"/>
      <c r="F4148" s="11">
        <f t="shared" si="33"/>
      </c>
      <c r="G4148" s="22" cm="1">
        <f t="array" ref="G4148">IF(AND(Inputs!$C$60,Inputs!$C$61),INDEX(Utility_Rates!$C$29:$F$52,HOUR(C4148)+Inputs!$C$69,MATCH(INDEX(Utility_Rates!$K$6:$K$17,MONTH(C4148))&amp;IF(WEEKDAY(C4148,Inputs!$C$76)&lt;=Inputs!$C$74," weekday"," weekend"),Utility_Rates!$C$28:$F$28,Inputs!$C$68)),"")</f>
      </c>
      <c r="H4148" s="34"/>
      <c r="I4148" s="42">
        <f>IF(AND(ISNUMBER(D4148),ISNUMBER(H4148)),D4148*H4148*Inputs!$C$69,"")</f>
      </c>
      <c r="J4148" s="42">
        <f>IF(AND(ISNUMBER(F4148),ISNUMBER(H4148),F4148&gt;=Inputs!$C$68),F4148*H4148*Inputs!$C$69,"")</f>
      </c>
    </row>
    <row r="4149" spans="2:10" ht="15" customHeight="1" x14ac:dyDescent="0.2">
      <c r="B4149" s="39">
        <f t="shared" si="32"/>
      </c>
      <c r="C4149" s="40">
        <f>IF(Inputs!$C$60,Inputs!$C$11+(B4149-Inputs!$C$69)/Inputs!$C$70,"")</f>
      </c>
      <c r="D4149" s="15"/>
      <c r="E4149" s="15"/>
      <c r="F4149" s="11">
        <f t="shared" si="33"/>
      </c>
      <c r="G4149" s="22" cm="1">
        <f t="array" ref="G4149">IF(AND(Inputs!$C$60,Inputs!$C$61),INDEX(Utility_Rates!$C$29:$F$52,HOUR(C4149)+Inputs!$C$69,MATCH(INDEX(Utility_Rates!$K$6:$K$17,MONTH(C4149))&amp;IF(WEEKDAY(C4149,Inputs!$C$76)&lt;=Inputs!$C$74," weekday"," weekend"),Utility_Rates!$C$28:$F$28,Inputs!$C$68)),"")</f>
      </c>
      <c r="H4149" s="34"/>
      <c r="I4149" s="42">
        <f>IF(AND(ISNUMBER(D4149),ISNUMBER(H4149)),D4149*H4149*Inputs!$C$69,"")</f>
      </c>
      <c r="J4149" s="42">
        <f>IF(AND(ISNUMBER(F4149),ISNUMBER(H4149),F4149&gt;=Inputs!$C$68),F4149*H4149*Inputs!$C$69,"")</f>
      </c>
    </row>
    <row r="4150" spans="2:10" ht="15" customHeight="1" x14ac:dyDescent="0.2">
      <c r="B4150" s="39">
        <f t="shared" si="32"/>
      </c>
      <c r="C4150" s="40">
        <f>IF(Inputs!$C$60,Inputs!$C$11+(B4150-Inputs!$C$69)/Inputs!$C$70,"")</f>
      </c>
      <c r="D4150" s="15"/>
      <c r="E4150" s="15"/>
      <c r="F4150" s="11">
        <f t="shared" si="33"/>
      </c>
      <c r="G4150" s="22" cm="1">
        <f t="array" ref="G4150">IF(AND(Inputs!$C$60,Inputs!$C$61),INDEX(Utility_Rates!$C$29:$F$52,HOUR(C4150)+Inputs!$C$69,MATCH(INDEX(Utility_Rates!$K$6:$K$17,MONTH(C4150))&amp;IF(WEEKDAY(C4150,Inputs!$C$76)&lt;=Inputs!$C$74," weekday"," weekend"),Utility_Rates!$C$28:$F$28,Inputs!$C$68)),"")</f>
      </c>
      <c r="H4150" s="34"/>
      <c r="I4150" s="42">
        <f>IF(AND(ISNUMBER(D4150),ISNUMBER(H4150)),D4150*H4150*Inputs!$C$69,"")</f>
      </c>
      <c r="J4150" s="42">
        <f>IF(AND(ISNUMBER(F4150),ISNUMBER(H4150),F4150&gt;=Inputs!$C$68),F4150*H4150*Inputs!$C$69,"")</f>
      </c>
    </row>
    <row r="4151" spans="2:10" ht="15" customHeight="1" x14ac:dyDescent="0.2">
      <c r="B4151" s="39">
        <f t="shared" si="32"/>
      </c>
      <c r="C4151" s="40">
        <f>IF(Inputs!$C$60,Inputs!$C$11+(B4151-Inputs!$C$69)/Inputs!$C$70,"")</f>
      </c>
      <c r="D4151" s="15"/>
      <c r="E4151" s="15"/>
      <c r="F4151" s="11">
        <f t="shared" si="33"/>
      </c>
      <c r="G4151" s="22" cm="1">
        <f t="array" ref="G4151">IF(AND(Inputs!$C$60,Inputs!$C$61),INDEX(Utility_Rates!$C$29:$F$52,HOUR(C4151)+Inputs!$C$69,MATCH(INDEX(Utility_Rates!$K$6:$K$17,MONTH(C4151))&amp;IF(WEEKDAY(C4151,Inputs!$C$76)&lt;=Inputs!$C$74," weekday"," weekend"),Utility_Rates!$C$28:$F$28,Inputs!$C$68)),"")</f>
      </c>
      <c r="H4151" s="34"/>
      <c r="I4151" s="42">
        <f>IF(AND(ISNUMBER(D4151),ISNUMBER(H4151)),D4151*H4151*Inputs!$C$69,"")</f>
      </c>
      <c r="J4151" s="42">
        <f>IF(AND(ISNUMBER(F4151),ISNUMBER(H4151),F4151&gt;=Inputs!$C$68),F4151*H4151*Inputs!$C$69,"")</f>
      </c>
    </row>
    <row r="4152" spans="2:10" ht="15" customHeight="1" x14ac:dyDescent="0.2">
      <c r="B4152" s="39">
        <f t="shared" si="32"/>
      </c>
      <c r="C4152" s="40">
        <f>IF(Inputs!$C$60,Inputs!$C$11+(B4152-Inputs!$C$69)/Inputs!$C$70,"")</f>
      </c>
      <c r="D4152" s="15"/>
      <c r="E4152" s="15"/>
      <c r="F4152" s="11">
        <f t="shared" si="33"/>
      </c>
      <c r="G4152" s="22" cm="1">
        <f t="array" ref="G4152">IF(AND(Inputs!$C$60,Inputs!$C$61),INDEX(Utility_Rates!$C$29:$F$52,HOUR(C4152)+Inputs!$C$69,MATCH(INDEX(Utility_Rates!$K$6:$K$17,MONTH(C4152))&amp;IF(WEEKDAY(C4152,Inputs!$C$76)&lt;=Inputs!$C$74," weekday"," weekend"),Utility_Rates!$C$28:$F$28,Inputs!$C$68)),"")</f>
      </c>
      <c r="H4152" s="34"/>
      <c r="I4152" s="42">
        <f>IF(AND(ISNUMBER(D4152),ISNUMBER(H4152)),D4152*H4152*Inputs!$C$69,"")</f>
      </c>
      <c r="J4152" s="42">
        <f>IF(AND(ISNUMBER(F4152),ISNUMBER(H4152),F4152&gt;=Inputs!$C$68),F4152*H4152*Inputs!$C$69,"")</f>
      </c>
    </row>
    <row r="4153" spans="2:10" ht="15" customHeight="1" x14ac:dyDescent="0.2">
      <c r="B4153" s="39">
        <f t="shared" si="32"/>
      </c>
      <c r="C4153" s="40">
        <f>IF(Inputs!$C$60,Inputs!$C$11+(B4153-Inputs!$C$69)/Inputs!$C$70,"")</f>
      </c>
      <c r="D4153" s="15"/>
      <c r="E4153" s="15"/>
      <c r="F4153" s="11">
        <f t="shared" si="33"/>
      </c>
      <c r="G4153" s="22" cm="1">
        <f t="array" ref="G4153">IF(AND(Inputs!$C$60,Inputs!$C$61),INDEX(Utility_Rates!$C$29:$F$52,HOUR(C4153)+Inputs!$C$69,MATCH(INDEX(Utility_Rates!$K$6:$K$17,MONTH(C4153))&amp;IF(WEEKDAY(C4153,Inputs!$C$76)&lt;=Inputs!$C$74," weekday"," weekend"),Utility_Rates!$C$28:$F$28,Inputs!$C$68)),"")</f>
      </c>
      <c r="H4153" s="34"/>
      <c r="I4153" s="42">
        <f>IF(AND(ISNUMBER(D4153),ISNUMBER(H4153)),D4153*H4153*Inputs!$C$69,"")</f>
      </c>
      <c r="J4153" s="42">
        <f>IF(AND(ISNUMBER(F4153),ISNUMBER(H4153),F4153&gt;=Inputs!$C$68),F4153*H4153*Inputs!$C$69,"")</f>
      </c>
    </row>
    <row r="4154" spans="2:10" ht="15" customHeight="1" x14ac:dyDescent="0.2">
      <c r="B4154" s="39">
        <f t="shared" si="32"/>
      </c>
      <c r="C4154" s="40">
        <f>IF(Inputs!$C$60,Inputs!$C$11+(B4154-Inputs!$C$69)/Inputs!$C$70,"")</f>
      </c>
      <c r="D4154" s="15"/>
      <c r="E4154" s="15"/>
      <c r="F4154" s="11">
        <f t="shared" si="33"/>
      </c>
      <c r="G4154" s="22" cm="1">
        <f t="array" ref="G4154">IF(AND(Inputs!$C$60,Inputs!$C$61),INDEX(Utility_Rates!$C$29:$F$52,HOUR(C4154)+Inputs!$C$69,MATCH(INDEX(Utility_Rates!$K$6:$K$17,MONTH(C4154))&amp;IF(WEEKDAY(C4154,Inputs!$C$76)&lt;=Inputs!$C$74," weekday"," weekend"),Utility_Rates!$C$28:$F$28,Inputs!$C$68)),"")</f>
      </c>
      <c r="H4154" s="34"/>
      <c r="I4154" s="42">
        <f>IF(AND(ISNUMBER(D4154),ISNUMBER(H4154)),D4154*H4154*Inputs!$C$69,"")</f>
      </c>
      <c r="J4154" s="42">
        <f>IF(AND(ISNUMBER(F4154),ISNUMBER(H4154),F4154&gt;=Inputs!$C$68),F4154*H4154*Inputs!$C$69,"")</f>
      </c>
    </row>
    <row r="4155" spans="2:10" ht="15" customHeight="1" x14ac:dyDescent="0.2">
      <c r="B4155" s="39">
        <f t="shared" si="32"/>
      </c>
      <c r="C4155" s="40">
        <f>IF(Inputs!$C$60,Inputs!$C$11+(B4155-Inputs!$C$69)/Inputs!$C$70,"")</f>
      </c>
      <c r="D4155" s="15"/>
      <c r="E4155" s="15"/>
      <c r="F4155" s="11">
        <f t="shared" si="33"/>
      </c>
      <c r="G4155" s="22" cm="1">
        <f t="array" ref="G4155">IF(AND(Inputs!$C$60,Inputs!$C$61),INDEX(Utility_Rates!$C$29:$F$52,HOUR(C4155)+Inputs!$C$69,MATCH(INDEX(Utility_Rates!$K$6:$K$17,MONTH(C4155))&amp;IF(WEEKDAY(C4155,Inputs!$C$76)&lt;=Inputs!$C$74," weekday"," weekend"),Utility_Rates!$C$28:$F$28,Inputs!$C$68)),"")</f>
      </c>
      <c r="H4155" s="34"/>
      <c r="I4155" s="42">
        <f>IF(AND(ISNUMBER(D4155),ISNUMBER(H4155)),D4155*H4155*Inputs!$C$69,"")</f>
      </c>
      <c r="J4155" s="42">
        <f>IF(AND(ISNUMBER(F4155),ISNUMBER(H4155),F4155&gt;=Inputs!$C$68),F4155*H4155*Inputs!$C$69,"")</f>
      </c>
    </row>
    <row r="4156" spans="2:10" ht="15" customHeight="1" x14ac:dyDescent="0.2">
      <c r="B4156" s="39">
        <f t="shared" si="32"/>
      </c>
      <c r="C4156" s="40">
        <f>IF(Inputs!$C$60,Inputs!$C$11+(B4156-Inputs!$C$69)/Inputs!$C$70,"")</f>
      </c>
      <c r="D4156" s="15"/>
      <c r="E4156" s="15"/>
      <c r="F4156" s="11">
        <f t="shared" si="33"/>
      </c>
      <c r="G4156" s="22" cm="1">
        <f t="array" ref="G4156">IF(AND(Inputs!$C$60,Inputs!$C$61),INDEX(Utility_Rates!$C$29:$F$52,HOUR(C4156)+Inputs!$C$69,MATCH(INDEX(Utility_Rates!$K$6:$K$17,MONTH(C4156))&amp;IF(WEEKDAY(C4156,Inputs!$C$76)&lt;=Inputs!$C$74," weekday"," weekend"),Utility_Rates!$C$28:$F$28,Inputs!$C$68)),"")</f>
      </c>
      <c r="H4156" s="34"/>
      <c r="I4156" s="42">
        <f>IF(AND(ISNUMBER(D4156),ISNUMBER(H4156)),D4156*H4156*Inputs!$C$69,"")</f>
      </c>
      <c r="J4156" s="42">
        <f>IF(AND(ISNUMBER(F4156),ISNUMBER(H4156),F4156&gt;=Inputs!$C$68),F4156*H4156*Inputs!$C$69,"")</f>
      </c>
    </row>
    <row r="4157" spans="2:10" ht="15" customHeight="1" x14ac:dyDescent="0.2">
      <c r="B4157" s="39">
        <f t="shared" si="32"/>
      </c>
      <c r="C4157" s="40">
        <f>IF(Inputs!$C$60,Inputs!$C$11+(B4157-Inputs!$C$69)/Inputs!$C$70,"")</f>
      </c>
      <c r="D4157" s="15"/>
      <c r="E4157" s="15"/>
      <c r="F4157" s="11">
        <f t="shared" si="33"/>
      </c>
      <c r="G4157" s="22" cm="1">
        <f t="array" ref="G4157">IF(AND(Inputs!$C$60,Inputs!$C$61),INDEX(Utility_Rates!$C$29:$F$52,HOUR(C4157)+Inputs!$C$69,MATCH(INDEX(Utility_Rates!$K$6:$K$17,MONTH(C4157))&amp;IF(WEEKDAY(C4157,Inputs!$C$76)&lt;=Inputs!$C$74," weekday"," weekend"),Utility_Rates!$C$28:$F$28,Inputs!$C$68)),"")</f>
      </c>
      <c r="H4157" s="34"/>
      <c r="I4157" s="42">
        <f>IF(AND(ISNUMBER(D4157),ISNUMBER(H4157)),D4157*H4157*Inputs!$C$69,"")</f>
      </c>
      <c r="J4157" s="42">
        <f>IF(AND(ISNUMBER(F4157),ISNUMBER(H4157),F4157&gt;=Inputs!$C$68),F4157*H4157*Inputs!$C$69,"")</f>
      </c>
    </row>
    <row r="4158" spans="2:10" ht="15" customHeight="1" x14ac:dyDescent="0.2">
      <c r="B4158" s="39">
        <f t="shared" si="32"/>
      </c>
      <c r="C4158" s="40">
        <f>IF(Inputs!$C$60,Inputs!$C$11+(B4158-Inputs!$C$69)/Inputs!$C$70,"")</f>
      </c>
      <c r="D4158" s="15"/>
      <c r="E4158" s="15"/>
      <c r="F4158" s="11">
        <f t="shared" si="33"/>
      </c>
      <c r="G4158" s="22" cm="1">
        <f t="array" ref="G4158">IF(AND(Inputs!$C$60,Inputs!$C$61),INDEX(Utility_Rates!$C$29:$F$52,HOUR(C4158)+Inputs!$C$69,MATCH(INDEX(Utility_Rates!$K$6:$K$17,MONTH(C4158))&amp;IF(WEEKDAY(C4158,Inputs!$C$76)&lt;=Inputs!$C$74," weekday"," weekend"),Utility_Rates!$C$28:$F$28,Inputs!$C$68)),"")</f>
      </c>
      <c r="H4158" s="34"/>
      <c r="I4158" s="42">
        <f>IF(AND(ISNUMBER(D4158),ISNUMBER(H4158)),D4158*H4158*Inputs!$C$69,"")</f>
      </c>
      <c r="J4158" s="42">
        <f>IF(AND(ISNUMBER(F4158),ISNUMBER(H4158),F4158&gt;=Inputs!$C$68),F4158*H4158*Inputs!$C$69,"")</f>
      </c>
    </row>
    <row r="4159" spans="2:10" ht="15" customHeight="1" x14ac:dyDescent="0.2">
      <c r="B4159" s="39">
        <f t="shared" si="32"/>
      </c>
      <c r="C4159" s="40">
        <f>IF(Inputs!$C$60,Inputs!$C$11+(B4159-Inputs!$C$69)/Inputs!$C$70,"")</f>
      </c>
      <c r="D4159" s="15"/>
      <c r="E4159" s="15"/>
      <c r="F4159" s="11">
        <f t="shared" si="33"/>
      </c>
      <c r="G4159" s="22" cm="1">
        <f t="array" ref="G4159">IF(AND(Inputs!$C$60,Inputs!$C$61),INDEX(Utility_Rates!$C$29:$F$52,HOUR(C4159)+Inputs!$C$69,MATCH(INDEX(Utility_Rates!$K$6:$K$17,MONTH(C4159))&amp;IF(WEEKDAY(C4159,Inputs!$C$76)&lt;=Inputs!$C$74," weekday"," weekend"),Utility_Rates!$C$28:$F$28,Inputs!$C$68)),"")</f>
      </c>
      <c r="H4159" s="34"/>
      <c r="I4159" s="42">
        <f>IF(AND(ISNUMBER(D4159),ISNUMBER(H4159)),D4159*H4159*Inputs!$C$69,"")</f>
      </c>
      <c r="J4159" s="42">
        <f>IF(AND(ISNUMBER(F4159),ISNUMBER(H4159),F4159&gt;=Inputs!$C$68),F4159*H4159*Inputs!$C$69,"")</f>
      </c>
    </row>
    <row r="4160" spans="2:10" ht="15" customHeight="1" x14ac:dyDescent="0.2">
      <c r="B4160" s="39">
        <f t="shared" si="32"/>
      </c>
      <c r="C4160" s="40">
        <f>IF(Inputs!$C$60,Inputs!$C$11+(B4160-Inputs!$C$69)/Inputs!$C$70,"")</f>
      </c>
      <c r="D4160" s="15"/>
      <c r="E4160" s="15"/>
      <c r="F4160" s="11">
        <f t="shared" si="33"/>
      </c>
      <c r="G4160" s="22" cm="1">
        <f t="array" ref="G4160">IF(AND(Inputs!$C$60,Inputs!$C$61),INDEX(Utility_Rates!$C$29:$F$52,HOUR(C4160)+Inputs!$C$69,MATCH(INDEX(Utility_Rates!$K$6:$K$17,MONTH(C4160))&amp;IF(WEEKDAY(C4160,Inputs!$C$76)&lt;=Inputs!$C$74," weekday"," weekend"),Utility_Rates!$C$28:$F$28,Inputs!$C$68)),"")</f>
      </c>
      <c r="H4160" s="34"/>
      <c r="I4160" s="42">
        <f>IF(AND(ISNUMBER(D4160),ISNUMBER(H4160)),D4160*H4160*Inputs!$C$69,"")</f>
      </c>
      <c r="J4160" s="42">
        <f>IF(AND(ISNUMBER(F4160),ISNUMBER(H4160),F4160&gt;=Inputs!$C$68),F4160*H4160*Inputs!$C$69,"")</f>
      </c>
    </row>
    <row r="4161" spans="2:10" ht="15" customHeight="1" x14ac:dyDescent="0.2">
      <c r="B4161" s="39">
        <f t="shared" si="32"/>
      </c>
      <c r="C4161" s="40">
        <f>IF(Inputs!$C$60,Inputs!$C$11+(B4161-Inputs!$C$69)/Inputs!$C$70,"")</f>
      </c>
      <c r="D4161" s="15"/>
      <c r="E4161" s="15"/>
      <c r="F4161" s="11">
        <f t="shared" si="33"/>
      </c>
      <c r="G4161" s="22" cm="1">
        <f t="array" ref="G4161">IF(AND(Inputs!$C$60,Inputs!$C$61),INDEX(Utility_Rates!$C$29:$F$52,HOUR(C4161)+Inputs!$C$69,MATCH(INDEX(Utility_Rates!$K$6:$K$17,MONTH(C4161))&amp;IF(WEEKDAY(C4161,Inputs!$C$76)&lt;=Inputs!$C$74," weekday"," weekend"),Utility_Rates!$C$28:$F$28,Inputs!$C$68)),"")</f>
      </c>
      <c r="H4161" s="34"/>
      <c r="I4161" s="42">
        <f>IF(AND(ISNUMBER(D4161),ISNUMBER(H4161)),D4161*H4161*Inputs!$C$69,"")</f>
      </c>
      <c r="J4161" s="42">
        <f>IF(AND(ISNUMBER(F4161),ISNUMBER(H4161),F4161&gt;=Inputs!$C$68),F4161*H4161*Inputs!$C$69,"")</f>
      </c>
    </row>
    <row r="4162" spans="2:10" ht="15" customHeight="1" x14ac:dyDescent="0.2">
      <c r="B4162" s="39">
        <f t="shared" si="32"/>
      </c>
      <c r="C4162" s="40">
        <f>IF(Inputs!$C$60,Inputs!$C$11+(B4162-Inputs!$C$69)/Inputs!$C$70,"")</f>
      </c>
      <c r="D4162" s="15"/>
      <c r="E4162" s="15"/>
      <c r="F4162" s="11">
        <f t="shared" si="33"/>
      </c>
      <c r="G4162" s="22" cm="1">
        <f t="array" ref="G4162">IF(AND(Inputs!$C$60,Inputs!$C$61),INDEX(Utility_Rates!$C$29:$F$52,HOUR(C4162)+Inputs!$C$69,MATCH(INDEX(Utility_Rates!$K$6:$K$17,MONTH(C4162))&amp;IF(WEEKDAY(C4162,Inputs!$C$76)&lt;=Inputs!$C$74," weekday"," weekend"),Utility_Rates!$C$28:$F$28,Inputs!$C$68)),"")</f>
      </c>
      <c r="H4162" s="34"/>
      <c r="I4162" s="42">
        <f>IF(AND(ISNUMBER(D4162),ISNUMBER(H4162)),D4162*H4162*Inputs!$C$69,"")</f>
      </c>
      <c r="J4162" s="42">
        <f>IF(AND(ISNUMBER(F4162),ISNUMBER(H4162),F4162&gt;=Inputs!$C$68),F4162*H4162*Inputs!$C$69,"")</f>
      </c>
    </row>
    <row r="4163" spans="2:10" ht="15" customHeight="1" x14ac:dyDescent="0.2">
      <c r="B4163" s="39">
        <f t="shared" si="32"/>
      </c>
      <c r="C4163" s="40">
        <f>IF(Inputs!$C$60,Inputs!$C$11+(B4163-Inputs!$C$69)/Inputs!$C$70,"")</f>
      </c>
      <c r="D4163" s="15"/>
      <c r="E4163" s="15"/>
      <c r="F4163" s="11">
        <f t="shared" si="33"/>
      </c>
      <c r="G4163" s="22" cm="1">
        <f t="array" ref="G4163">IF(AND(Inputs!$C$60,Inputs!$C$61),INDEX(Utility_Rates!$C$29:$F$52,HOUR(C4163)+Inputs!$C$69,MATCH(INDEX(Utility_Rates!$K$6:$K$17,MONTH(C4163))&amp;IF(WEEKDAY(C4163,Inputs!$C$76)&lt;=Inputs!$C$74," weekday"," weekend"),Utility_Rates!$C$28:$F$28,Inputs!$C$68)),"")</f>
      </c>
      <c r="H4163" s="34"/>
      <c r="I4163" s="42">
        <f>IF(AND(ISNUMBER(D4163),ISNUMBER(H4163)),D4163*H4163*Inputs!$C$69,"")</f>
      </c>
      <c r="J4163" s="42">
        <f>IF(AND(ISNUMBER(F4163),ISNUMBER(H4163),F4163&gt;=Inputs!$C$68),F4163*H4163*Inputs!$C$69,"")</f>
      </c>
    </row>
    <row r="4164" spans="2:10" ht="15" customHeight="1" x14ac:dyDescent="0.2">
      <c r="B4164" s="39">
        <f t="shared" si="32"/>
      </c>
      <c r="C4164" s="40">
        <f>IF(Inputs!$C$60,Inputs!$C$11+(B4164-Inputs!$C$69)/Inputs!$C$70,"")</f>
      </c>
      <c r="D4164" s="15"/>
      <c r="E4164" s="15"/>
      <c r="F4164" s="11">
        <f t="shared" si="33"/>
      </c>
      <c r="G4164" s="22" cm="1">
        <f t="array" ref="G4164">IF(AND(Inputs!$C$60,Inputs!$C$61),INDEX(Utility_Rates!$C$29:$F$52,HOUR(C4164)+Inputs!$C$69,MATCH(INDEX(Utility_Rates!$K$6:$K$17,MONTH(C4164))&amp;IF(WEEKDAY(C4164,Inputs!$C$76)&lt;=Inputs!$C$74," weekday"," weekend"),Utility_Rates!$C$28:$F$28,Inputs!$C$68)),"")</f>
      </c>
      <c r="H4164" s="34"/>
      <c r="I4164" s="42">
        <f>IF(AND(ISNUMBER(D4164),ISNUMBER(H4164)),D4164*H4164*Inputs!$C$69,"")</f>
      </c>
      <c r="J4164" s="42">
        <f>IF(AND(ISNUMBER(F4164),ISNUMBER(H4164),F4164&gt;=Inputs!$C$68),F4164*H4164*Inputs!$C$69,"")</f>
      </c>
    </row>
    <row r="4165" spans="2:10" ht="15" customHeight="1" x14ac:dyDescent="0.2">
      <c r="B4165" s="39">
        <f t="shared" si="32"/>
      </c>
      <c r="C4165" s="40">
        <f>IF(Inputs!$C$60,Inputs!$C$11+(B4165-Inputs!$C$69)/Inputs!$C$70,"")</f>
      </c>
      <c r="D4165" s="15"/>
      <c r="E4165" s="15"/>
      <c r="F4165" s="11">
        <f t="shared" si="33"/>
      </c>
      <c r="G4165" s="22" cm="1">
        <f t="array" ref="G4165">IF(AND(Inputs!$C$60,Inputs!$C$61),INDEX(Utility_Rates!$C$29:$F$52,HOUR(C4165)+Inputs!$C$69,MATCH(INDEX(Utility_Rates!$K$6:$K$17,MONTH(C4165))&amp;IF(WEEKDAY(C4165,Inputs!$C$76)&lt;=Inputs!$C$74," weekday"," weekend"),Utility_Rates!$C$28:$F$28,Inputs!$C$68)),"")</f>
      </c>
      <c r="H4165" s="34"/>
      <c r="I4165" s="42">
        <f>IF(AND(ISNUMBER(D4165),ISNUMBER(H4165)),D4165*H4165*Inputs!$C$69,"")</f>
      </c>
      <c r="J4165" s="42">
        <f>IF(AND(ISNUMBER(F4165),ISNUMBER(H4165),F4165&gt;=Inputs!$C$68),F4165*H4165*Inputs!$C$69,"")</f>
      </c>
    </row>
    <row r="4166" spans="2:10" ht="15" customHeight="1" x14ac:dyDescent="0.2">
      <c r="B4166" s="39">
        <f t="shared" si="32"/>
      </c>
      <c r="C4166" s="40">
        <f>IF(Inputs!$C$60,Inputs!$C$11+(B4166-Inputs!$C$69)/Inputs!$C$70,"")</f>
      </c>
      <c r="D4166" s="15"/>
      <c r="E4166" s="15"/>
      <c r="F4166" s="11">
        <f t="shared" si="33"/>
      </c>
      <c r="G4166" s="22" cm="1">
        <f t="array" ref="G4166">IF(AND(Inputs!$C$60,Inputs!$C$61),INDEX(Utility_Rates!$C$29:$F$52,HOUR(C4166)+Inputs!$C$69,MATCH(INDEX(Utility_Rates!$K$6:$K$17,MONTH(C4166))&amp;IF(WEEKDAY(C4166,Inputs!$C$76)&lt;=Inputs!$C$74," weekday"," weekend"),Utility_Rates!$C$28:$F$28,Inputs!$C$68)),"")</f>
      </c>
      <c r="H4166" s="34"/>
      <c r="I4166" s="42">
        <f>IF(AND(ISNUMBER(D4166),ISNUMBER(H4166)),D4166*H4166*Inputs!$C$69,"")</f>
      </c>
      <c r="J4166" s="42">
        <f>IF(AND(ISNUMBER(F4166),ISNUMBER(H4166),F4166&gt;=Inputs!$C$68),F4166*H4166*Inputs!$C$69,"")</f>
      </c>
    </row>
    <row r="4167" spans="2:10" ht="15" customHeight="1" x14ac:dyDescent="0.2">
      <c r="B4167" s="39">
        <f t="shared" si="32"/>
      </c>
      <c r="C4167" s="40">
        <f>IF(Inputs!$C$60,Inputs!$C$11+(B4167-Inputs!$C$69)/Inputs!$C$70,"")</f>
      </c>
      <c r="D4167" s="15"/>
      <c r="E4167" s="15"/>
      <c r="F4167" s="11">
        <f t="shared" si="33"/>
      </c>
      <c r="G4167" s="22" cm="1">
        <f t="array" ref="G4167">IF(AND(Inputs!$C$60,Inputs!$C$61),INDEX(Utility_Rates!$C$29:$F$52,HOUR(C4167)+Inputs!$C$69,MATCH(INDEX(Utility_Rates!$K$6:$K$17,MONTH(C4167))&amp;IF(WEEKDAY(C4167,Inputs!$C$76)&lt;=Inputs!$C$74," weekday"," weekend"),Utility_Rates!$C$28:$F$28,Inputs!$C$68)),"")</f>
      </c>
      <c r="H4167" s="34"/>
      <c r="I4167" s="42">
        <f>IF(AND(ISNUMBER(D4167),ISNUMBER(H4167)),D4167*H4167*Inputs!$C$69,"")</f>
      </c>
      <c r="J4167" s="42">
        <f>IF(AND(ISNUMBER(F4167),ISNUMBER(H4167),F4167&gt;=Inputs!$C$68),F4167*H4167*Inputs!$C$69,"")</f>
      </c>
    </row>
    <row r="4168" spans="2:10" ht="15" customHeight="1" x14ac:dyDescent="0.2">
      <c r="B4168" s="39">
        <f t="shared" si="32"/>
      </c>
      <c r="C4168" s="40">
        <f>IF(Inputs!$C$60,Inputs!$C$11+(B4168-Inputs!$C$69)/Inputs!$C$70,"")</f>
      </c>
      <c r="D4168" s="15"/>
      <c r="E4168" s="15"/>
      <c r="F4168" s="11">
        <f t="shared" si="33"/>
      </c>
      <c r="G4168" s="22" cm="1">
        <f t="array" ref="G4168">IF(AND(Inputs!$C$60,Inputs!$C$61),INDEX(Utility_Rates!$C$29:$F$52,HOUR(C4168)+Inputs!$C$69,MATCH(INDEX(Utility_Rates!$K$6:$K$17,MONTH(C4168))&amp;IF(WEEKDAY(C4168,Inputs!$C$76)&lt;=Inputs!$C$74," weekday"," weekend"),Utility_Rates!$C$28:$F$28,Inputs!$C$68)),"")</f>
      </c>
      <c r="H4168" s="34"/>
      <c r="I4168" s="42">
        <f>IF(AND(ISNUMBER(D4168),ISNUMBER(H4168)),D4168*H4168*Inputs!$C$69,"")</f>
      </c>
      <c r="J4168" s="42">
        <f>IF(AND(ISNUMBER(F4168),ISNUMBER(H4168),F4168&gt;=Inputs!$C$68),F4168*H4168*Inputs!$C$69,"")</f>
      </c>
    </row>
    <row r="4169" spans="2:10" ht="15" customHeight="1" x14ac:dyDescent="0.2">
      <c r="B4169" s="39">
        <f t="shared" si="32"/>
      </c>
      <c r="C4169" s="40">
        <f>IF(Inputs!$C$60,Inputs!$C$11+(B4169-Inputs!$C$69)/Inputs!$C$70,"")</f>
      </c>
      <c r="D4169" s="15"/>
      <c r="E4169" s="15"/>
      <c r="F4169" s="11">
        <f t="shared" si="33"/>
      </c>
      <c r="G4169" s="22" cm="1">
        <f t="array" ref="G4169">IF(AND(Inputs!$C$60,Inputs!$C$61),INDEX(Utility_Rates!$C$29:$F$52,HOUR(C4169)+Inputs!$C$69,MATCH(INDEX(Utility_Rates!$K$6:$K$17,MONTH(C4169))&amp;IF(WEEKDAY(C4169,Inputs!$C$76)&lt;=Inputs!$C$74," weekday"," weekend"),Utility_Rates!$C$28:$F$28,Inputs!$C$68)),"")</f>
      </c>
      <c r="H4169" s="34"/>
      <c r="I4169" s="42">
        <f>IF(AND(ISNUMBER(D4169),ISNUMBER(H4169)),D4169*H4169*Inputs!$C$69,"")</f>
      </c>
      <c r="J4169" s="42">
        <f>IF(AND(ISNUMBER(F4169),ISNUMBER(H4169),F4169&gt;=Inputs!$C$68),F4169*H4169*Inputs!$C$69,"")</f>
      </c>
    </row>
    <row r="4170" spans="2:10" ht="15" customHeight="1" x14ac:dyDescent="0.2">
      <c r="B4170" s="39">
        <f t="shared" si="32"/>
      </c>
      <c r="C4170" s="40">
        <f>IF(Inputs!$C$60,Inputs!$C$11+(B4170-Inputs!$C$69)/Inputs!$C$70,"")</f>
      </c>
      <c r="D4170" s="15"/>
      <c r="E4170" s="15"/>
      <c r="F4170" s="11">
        <f t="shared" si="33"/>
      </c>
      <c r="G4170" s="22" cm="1">
        <f t="array" ref="G4170">IF(AND(Inputs!$C$60,Inputs!$C$61),INDEX(Utility_Rates!$C$29:$F$52,HOUR(C4170)+Inputs!$C$69,MATCH(INDEX(Utility_Rates!$K$6:$K$17,MONTH(C4170))&amp;IF(WEEKDAY(C4170,Inputs!$C$76)&lt;=Inputs!$C$74," weekday"," weekend"),Utility_Rates!$C$28:$F$28,Inputs!$C$68)),"")</f>
      </c>
      <c r="H4170" s="34"/>
      <c r="I4170" s="42">
        <f>IF(AND(ISNUMBER(D4170),ISNUMBER(H4170)),D4170*H4170*Inputs!$C$69,"")</f>
      </c>
      <c r="J4170" s="42">
        <f>IF(AND(ISNUMBER(F4170),ISNUMBER(H4170),F4170&gt;=Inputs!$C$68),F4170*H4170*Inputs!$C$69,"")</f>
      </c>
    </row>
    <row r="4171" spans="2:10" ht="15" customHeight="1" x14ac:dyDescent="0.2">
      <c r="B4171" s="39">
        <f t="shared" si="32"/>
      </c>
      <c r="C4171" s="40">
        <f>IF(Inputs!$C$60,Inputs!$C$11+(B4171-Inputs!$C$69)/Inputs!$C$70,"")</f>
      </c>
      <c r="D4171" s="15"/>
      <c r="E4171" s="15"/>
      <c r="F4171" s="11">
        <f t="shared" si="33"/>
      </c>
      <c r="G4171" s="22" cm="1">
        <f t="array" ref="G4171">IF(AND(Inputs!$C$60,Inputs!$C$61),INDEX(Utility_Rates!$C$29:$F$52,HOUR(C4171)+Inputs!$C$69,MATCH(INDEX(Utility_Rates!$K$6:$K$17,MONTH(C4171))&amp;IF(WEEKDAY(C4171,Inputs!$C$76)&lt;=Inputs!$C$74," weekday"," weekend"),Utility_Rates!$C$28:$F$28,Inputs!$C$68)),"")</f>
      </c>
      <c r="H4171" s="34"/>
      <c r="I4171" s="42">
        <f>IF(AND(ISNUMBER(D4171),ISNUMBER(H4171)),D4171*H4171*Inputs!$C$69,"")</f>
      </c>
      <c r="J4171" s="42">
        <f>IF(AND(ISNUMBER(F4171),ISNUMBER(H4171),F4171&gt;=Inputs!$C$68),F4171*H4171*Inputs!$C$69,"")</f>
      </c>
    </row>
    <row r="4172" spans="2:10" ht="15" customHeight="1" x14ac:dyDescent="0.2">
      <c r="B4172" s="39">
        <f t="shared" si="32"/>
      </c>
      <c r="C4172" s="40">
        <f>IF(Inputs!$C$60,Inputs!$C$11+(B4172-Inputs!$C$69)/Inputs!$C$70,"")</f>
      </c>
      <c r="D4172" s="15"/>
      <c r="E4172" s="15"/>
      <c r="F4172" s="11">
        <f t="shared" si="33"/>
      </c>
      <c r="G4172" s="22" cm="1">
        <f t="array" ref="G4172">IF(AND(Inputs!$C$60,Inputs!$C$61),INDEX(Utility_Rates!$C$29:$F$52,HOUR(C4172)+Inputs!$C$69,MATCH(INDEX(Utility_Rates!$K$6:$K$17,MONTH(C4172))&amp;IF(WEEKDAY(C4172,Inputs!$C$76)&lt;=Inputs!$C$74," weekday"," weekend"),Utility_Rates!$C$28:$F$28,Inputs!$C$68)),"")</f>
      </c>
      <c r="H4172" s="34"/>
      <c r="I4172" s="42">
        <f>IF(AND(ISNUMBER(D4172),ISNUMBER(H4172)),D4172*H4172*Inputs!$C$69,"")</f>
      </c>
      <c r="J4172" s="42">
        <f>IF(AND(ISNUMBER(F4172),ISNUMBER(H4172),F4172&gt;=Inputs!$C$68),F4172*H4172*Inputs!$C$69,"")</f>
      </c>
    </row>
    <row r="4173" spans="2:10" ht="15" customHeight="1" x14ac:dyDescent="0.2">
      <c r="B4173" s="39">
        <f t="shared" si="32"/>
      </c>
      <c r="C4173" s="40">
        <f>IF(Inputs!$C$60,Inputs!$C$11+(B4173-Inputs!$C$69)/Inputs!$C$70,"")</f>
      </c>
      <c r="D4173" s="15"/>
      <c r="E4173" s="15"/>
      <c r="F4173" s="11">
        <f t="shared" si="33"/>
      </c>
      <c r="G4173" s="22" cm="1">
        <f t="array" ref="G4173">IF(AND(Inputs!$C$60,Inputs!$C$61),INDEX(Utility_Rates!$C$29:$F$52,HOUR(C4173)+Inputs!$C$69,MATCH(INDEX(Utility_Rates!$K$6:$K$17,MONTH(C4173))&amp;IF(WEEKDAY(C4173,Inputs!$C$76)&lt;=Inputs!$C$74," weekday"," weekend"),Utility_Rates!$C$28:$F$28,Inputs!$C$68)),"")</f>
      </c>
      <c r="H4173" s="34"/>
      <c r="I4173" s="42">
        <f>IF(AND(ISNUMBER(D4173),ISNUMBER(H4173)),D4173*H4173*Inputs!$C$69,"")</f>
      </c>
      <c r="J4173" s="42">
        <f>IF(AND(ISNUMBER(F4173),ISNUMBER(H4173),F4173&gt;=Inputs!$C$68),F4173*H4173*Inputs!$C$69,"")</f>
      </c>
    </row>
    <row r="4174" spans="2:10" ht="15" customHeight="1" x14ac:dyDescent="0.2">
      <c r="B4174" s="39">
        <f t="shared" si="32"/>
      </c>
      <c r="C4174" s="40">
        <f>IF(Inputs!$C$60,Inputs!$C$11+(B4174-Inputs!$C$69)/Inputs!$C$70,"")</f>
      </c>
      <c r="D4174" s="15"/>
      <c r="E4174" s="15"/>
      <c r="F4174" s="11">
        <f t="shared" si="33"/>
      </c>
      <c r="G4174" s="22" cm="1">
        <f t="array" ref="G4174">IF(AND(Inputs!$C$60,Inputs!$C$61),INDEX(Utility_Rates!$C$29:$F$52,HOUR(C4174)+Inputs!$C$69,MATCH(INDEX(Utility_Rates!$K$6:$K$17,MONTH(C4174))&amp;IF(WEEKDAY(C4174,Inputs!$C$76)&lt;=Inputs!$C$74," weekday"," weekend"),Utility_Rates!$C$28:$F$28,Inputs!$C$68)),"")</f>
      </c>
      <c r="H4174" s="34"/>
      <c r="I4174" s="42">
        <f>IF(AND(ISNUMBER(D4174),ISNUMBER(H4174)),D4174*H4174*Inputs!$C$69,"")</f>
      </c>
      <c r="J4174" s="42">
        <f>IF(AND(ISNUMBER(F4174),ISNUMBER(H4174),F4174&gt;=Inputs!$C$68),F4174*H4174*Inputs!$C$69,"")</f>
      </c>
    </row>
    <row r="4175" spans="2:10" ht="15" customHeight="1" x14ac:dyDescent="0.2">
      <c r="B4175" s="39">
        <f t="shared" si="32"/>
      </c>
      <c r="C4175" s="40">
        <f>IF(Inputs!$C$60,Inputs!$C$11+(B4175-Inputs!$C$69)/Inputs!$C$70,"")</f>
      </c>
      <c r="D4175" s="15"/>
      <c r="E4175" s="15"/>
      <c r="F4175" s="11">
        <f t="shared" si="33"/>
      </c>
      <c r="G4175" s="22" cm="1">
        <f t="array" ref="G4175">IF(AND(Inputs!$C$60,Inputs!$C$61),INDEX(Utility_Rates!$C$29:$F$52,HOUR(C4175)+Inputs!$C$69,MATCH(INDEX(Utility_Rates!$K$6:$K$17,MONTH(C4175))&amp;IF(WEEKDAY(C4175,Inputs!$C$76)&lt;=Inputs!$C$74," weekday"," weekend"),Utility_Rates!$C$28:$F$28,Inputs!$C$68)),"")</f>
      </c>
      <c r="H4175" s="34"/>
      <c r="I4175" s="42">
        <f>IF(AND(ISNUMBER(D4175),ISNUMBER(H4175)),D4175*H4175*Inputs!$C$69,"")</f>
      </c>
      <c r="J4175" s="42">
        <f>IF(AND(ISNUMBER(F4175),ISNUMBER(H4175),F4175&gt;=Inputs!$C$68),F4175*H4175*Inputs!$C$69,"")</f>
      </c>
    </row>
    <row r="4176" spans="2:10" ht="15" customHeight="1" x14ac:dyDescent="0.2">
      <c r="B4176" s="39">
        <f t="shared" si="32"/>
      </c>
      <c r="C4176" s="40">
        <f>IF(Inputs!$C$60,Inputs!$C$11+(B4176-Inputs!$C$69)/Inputs!$C$70,"")</f>
      </c>
      <c r="D4176" s="15"/>
      <c r="E4176" s="15"/>
      <c r="F4176" s="11">
        <f t="shared" si="33"/>
      </c>
      <c r="G4176" s="22" cm="1">
        <f t="array" ref="G4176">IF(AND(Inputs!$C$60,Inputs!$C$61),INDEX(Utility_Rates!$C$29:$F$52,HOUR(C4176)+Inputs!$C$69,MATCH(INDEX(Utility_Rates!$K$6:$K$17,MONTH(C4176))&amp;IF(WEEKDAY(C4176,Inputs!$C$76)&lt;=Inputs!$C$74," weekday"," weekend"),Utility_Rates!$C$28:$F$28,Inputs!$C$68)),"")</f>
      </c>
      <c r="H4176" s="34"/>
      <c r="I4176" s="42">
        <f>IF(AND(ISNUMBER(D4176),ISNUMBER(H4176)),D4176*H4176*Inputs!$C$69,"")</f>
      </c>
      <c r="J4176" s="42">
        <f>IF(AND(ISNUMBER(F4176),ISNUMBER(H4176),F4176&gt;=Inputs!$C$68),F4176*H4176*Inputs!$C$69,"")</f>
      </c>
    </row>
    <row r="4177" spans="2:10" ht="15" customHeight="1" x14ac:dyDescent="0.2">
      <c r="B4177" s="39">
        <f t="shared" si="32"/>
      </c>
      <c r="C4177" s="40">
        <f>IF(Inputs!$C$60,Inputs!$C$11+(B4177-Inputs!$C$69)/Inputs!$C$70,"")</f>
      </c>
      <c r="D4177" s="15"/>
      <c r="E4177" s="15"/>
      <c r="F4177" s="11">
        <f t="shared" si="33"/>
      </c>
      <c r="G4177" s="22" cm="1">
        <f t="array" ref="G4177">IF(AND(Inputs!$C$60,Inputs!$C$61),INDEX(Utility_Rates!$C$29:$F$52,HOUR(C4177)+Inputs!$C$69,MATCH(INDEX(Utility_Rates!$K$6:$K$17,MONTH(C4177))&amp;IF(WEEKDAY(C4177,Inputs!$C$76)&lt;=Inputs!$C$74," weekday"," weekend"),Utility_Rates!$C$28:$F$28,Inputs!$C$68)),"")</f>
      </c>
      <c r="H4177" s="34"/>
      <c r="I4177" s="42">
        <f>IF(AND(ISNUMBER(D4177),ISNUMBER(H4177)),D4177*H4177*Inputs!$C$69,"")</f>
      </c>
      <c r="J4177" s="42">
        <f>IF(AND(ISNUMBER(F4177),ISNUMBER(H4177),F4177&gt;=Inputs!$C$68),F4177*H4177*Inputs!$C$69,"")</f>
      </c>
    </row>
    <row r="4178" spans="2:10" ht="15" customHeight="1" x14ac:dyDescent="0.2">
      <c r="B4178" s="39">
        <f t="shared" si="32"/>
      </c>
      <c r="C4178" s="40">
        <f>IF(Inputs!$C$60,Inputs!$C$11+(B4178-Inputs!$C$69)/Inputs!$C$70,"")</f>
      </c>
      <c r="D4178" s="15"/>
      <c r="E4178" s="15"/>
      <c r="F4178" s="11">
        <f t="shared" si="33"/>
      </c>
      <c r="G4178" s="22" cm="1">
        <f t="array" ref="G4178">IF(AND(Inputs!$C$60,Inputs!$C$61),INDEX(Utility_Rates!$C$29:$F$52,HOUR(C4178)+Inputs!$C$69,MATCH(INDEX(Utility_Rates!$K$6:$K$17,MONTH(C4178))&amp;IF(WEEKDAY(C4178,Inputs!$C$76)&lt;=Inputs!$C$74," weekday"," weekend"),Utility_Rates!$C$28:$F$28,Inputs!$C$68)),"")</f>
      </c>
      <c r="H4178" s="34"/>
      <c r="I4178" s="42">
        <f>IF(AND(ISNUMBER(D4178),ISNUMBER(H4178)),D4178*H4178*Inputs!$C$69,"")</f>
      </c>
      <c r="J4178" s="42">
        <f>IF(AND(ISNUMBER(F4178),ISNUMBER(H4178),F4178&gt;=Inputs!$C$68),F4178*H4178*Inputs!$C$69,"")</f>
      </c>
    </row>
    <row r="4179" spans="2:10" ht="15" customHeight="1" x14ac:dyDescent="0.2">
      <c r="B4179" s="39">
        <f t="shared" si="32"/>
      </c>
      <c r="C4179" s="40">
        <f>IF(Inputs!$C$60,Inputs!$C$11+(B4179-Inputs!$C$69)/Inputs!$C$70,"")</f>
      </c>
      <c r="D4179" s="15"/>
      <c r="E4179" s="15"/>
      <c r="F4179" s="11">
        <f t="shared" si="33"/>
      </c>
      <c r="G4179" s="22" cm="1">
        <f t="array" ref="G4179">IF(AND(Inputs!$C$60,Inputs!$C$61),INDEX(Utility_Rates!$C$29:$F$52,HOUR(C4179)+Inputs!$C$69,MATCH(INDEX(Utility_Rates!$K$6:$K$17,MONTH(C4179))&amp;IF(WEEKDAY(C4179,Inputs!$C$76)&lt;=Inputs!$C$74," weekday"," weekend"),Utility_Rates!$C$28:$F$28,Inputs!$C$68)),"")</f>
      </c>
      <c r="H4179" s="34"/>
      <c r="I4179" s="42">
        <f>IF(AND(ISNUMBER(D4179),ISNUMBER(H4179)),D4179*H4179*Inputs!$C$69,"")</f>
      </c>
      <c r="J4179" s="42">
        <f>IF(AND(ISNUMBER(F4179),ISNUMBER(H4179),F4179&gt;=Inputs!$C$68),F4179*H4179*Inputs!$C$69,"")</f>
      </c>
    </row>
    <row r="4180" spans="2:10" ht="15" customHeight="1" x14ac:dyDescent="0.2">
      <c r="B4180" s="39">
        <f t="shared" si="32"/>
      </c>
      <c r="C4180" s="40">
        <f>IF(Inputs!$C$60,Inputs!$C$11+(B4180-Inputs!$C$69)/Inputs!$C$70,"")</f>
      </c>
      <c r="D4180" s="15"/>
      <c r="E4180" s="15"/>
      <c r="F4180" s="11">
        <f t="shared" si="33"/>
      </c>
      <c r="G4180" s="22" cm="1">
        <f t="array" ref="G4180">IF(AND(Inputs!$C$60,Inputs!$C$61),INDEX(Utility_Rates!$C$29:$F$52,HOUR(C4180)+Inputs!$C$69,MATCH(INDEX(Utility_Rates!$K$6:$K$17,MONTH(C4180))&amp;IF(WEEKDAY(C4180,Inputs!$C$76)&lt;=Inputs!$C$74," weekday"," weekend"),Utility_Rates!$C$28:$F$28,Inputs!$C$68)),"")</f>
      </c>
      <c r="H4180" s="34"/>
      <c r="I4180" s="42">
        <f>IF(AND(ISNUMBER(D4180),ISNUMBER(H4180)),D4180*H4180*Inputs!$C$69,"")</f>
      </c>
      <c r="J4180" s="42">
        <f>IF(AND(ISNUMBER(F4180),ISNUMBER(H4180),F4180&gt;=Inputs!$C$68),F4180*H4180*Inputs!$C$69,"")</f>
      </c>
    </row>
    <row r="4181" spans="2:10" ht="15" customHeight="1" x14ac:dyDescent="0.2">
      <c r="B4181" s="39">
        <f t="shared" si="32"/>
      </c>
      <c r="C4181" s="40">
        <f>IF(Inputs!$C$60,Inputs!$C$11+(B4181-Inputs!$C$69)/Inputs!$C$70,"")</f>
      </c>
      <c r="D4181" s="15"/>
      <c r="E4181" s="15"/>
      <c r="F4181" s="11">
        <f t="shared" si="33"/>
      </c>
      <c r="G4181" s="22" cm="1">
        <f t="array" ref="G4181">IF(AND(Inputs!$C$60,Inputs!$C$61),INDEX(Utility_Rates!$C$29:$F$52,HOUR(C4181)+Inputs!$C$69,MATCH(INDEX(Utility_Rates!$K$6:$K$17,MONTH(C4181))&amp;IF(WEEKDAY(C4181,Inputs!$C$76)&lt;=Inputs!$C$74," weekday"," weekend"),Utility_Rates!$C$28:$F$28,Inputs!$C$68)),"")</f>
      </c>
      <c r="H4181" s="34"/>
      <c r="I4181" s="42">
        <f>IF(AND(ISNUMBER(D4181),ISNUMBER(H4181)),D4181*H4181*Inputs!$C$69,"")</f>
      </c>
      <c r="J4181" s="42">
        <f>IF(AND(ISNUMBER(F4181),ISNUMBER(H4181),F4181&gt;=Inputs!$C$68),F4181*H4181*Inputs!$C$69,"")</f>
      </c>
    </row>
    <row r="4182" spans="2:10" ht="15" customHeight="1" x14ac:dyDescent="0.2">
      <c r="B4182" s="39">
        <f t="shared" si="32"/>
      </c>
      <c r="C4182" s="40">
        <f>IF(Inputs!$C$60,Inputs!$C$11+(B4182-Inputs!$C$69)/Inputs!$C$70,"")</f>
      </c>
      <c r="D4182" s="15"/>
      <c r="E4182" s="15"/>
      <c r="F4182" s="11">
        <f t="shared" si="33"/>
      </c>
      <c r="G4182" s="22" cm="1">
        <f t="array" ref="G4182">IF(AND(Inputs!$C$60,Inputs!$C$61),INDEX(Utility_Rates!$C$29:$F$52,HOUR(C4182)+Inputs!$C$69,MATCH(INDEX(Utility_Rates!$K$6:$K$17,MONTH(C4182))&amp;IF(WEEKDAY(C4182,Inputs!$C$76)&lt;=Inputs!$C$74," weekday"," weekend"),Utility_Rates!$C$28:$F$28,Inputs!$C$68)),"")</f>
      </c>
      <c r="H4182" s="34"/>
      <c r="I4182" s="42">
        <f>IF(AND(ISNUMBER(D4182),ISNUMBER(H4182)),D4182*H4182*Inputs!$C$69,"")</f>
      </c>
      <c r="J4182" s="42">
        <f>IF(AND(ISNUMBER(F4182),ISNUMBER(H4182),F4182&gt;=Inputs!$C$68),F4182*H4182*Inputs!$C$69,"")</f>
      </c>
    </row>
    <row r="4183" spans="2:10" ht="15" customHeight="1" x14ac:dyDescent="0.2">
      <c r="B4183" s="39">
        <f t="shared" si="32"/>
      </c>
      <c r="C4183" s="40">
        <f>IF(Inputs!$C$60,Inputs!$C$11+(B4183-Inputs!$C$69)/Inputs!$C$70,"")</f>
      </c>
      <c r="D4183" s="15"/>
      <c r="E4183" s="15"/>
      <c r="F4183" s="11">
        <f t="shared" si="33"/>
      </c>
      <c r="G4183" s="22" cm="1">
        <f t="array" ref="G4183">IF(AND(Inputs!$C$60,Inputs!$C$61),INDEX(Utility_Rates!$C$29:$F$52,HOUR(C4183)+Inputs!$C$69,MATCH(INDEX(Utility_Rates!$K$6:$K$17,MONTH(C4183))&amp;IF(WEEKDAY(C4183,Inputs!$C$76)&lt;=Inputs!$C$74," weekday"," weekend"),Utility_Rates!$C$28:$F$28,Inputs!$C$68)),"")</f>
      </c>
      <c r="H4183" s="34"/>
      <c r="I4183" s="42">
        <f>IF(AND(ISNUMBER(D4183),ISNUMBER(H4183)),D4183*H4183*Inputs!$C$69,"")</f>
      </c>
      <c r="J4183" s="42">
        <f>IF(AND(ISNUMBER(F4183),ISNUMBER(H4183),F4183&gt;=Inputs!$C$68),F4183*H4183*Inputs!$C$69,"")</f>
      </c>
    </row>
    <row r="4184" spans="2:10" ht="15" customHeight="1" x14ac:dyDescent="0.2">
      <c r="B4184" s="39">
        <f t="shared" si="32"/>
      </c>
      <c r="C4184" s="40">
        <f>IF(Inputs!$C$60,Inputs!$C$11+(B4184-Inputs!$C$69)/Inputs!$C$70,"")</f>
      </c>
      <c r="D4184" s="15"/>
      <c r="E4184" s="15"/>
      <c r="F4184" s="11">
        <f t="shared" si="33"/>
      </c>
      <c r="G4184" s="22" cm="1">
        <f t="array" ref="G4184">IF(AND(Inputs!$C$60,Inputs!$C$61),INDEX(Utility_Rates!$C$29:$F$52,HOUR(C4184)+Inputs!$C$69,MATCH(INDEX(Utility_Rates!$K$6:$K$17,MONTH(C4184))&amp;IF(WEEKDAY(C4184,Inputs!$C$76)&lt;=Inputs!$C$74," weekday"," weekend"),Utility_Rates!$C$28:$F$28,Inputs!$C$68)),"")</f>
      </c>
      <c r="H4184" s="34"/>
      <c r="I4184" s="42">
        <f>IF(AND(ISNUMBER(D4184),ISNUMBER(H4184)),D4184*H4184*Inputs!$C$69,"")</f>
      </c>
      <c r="J4184" s="42">
        <f>IF(AND(ISNUMBER(F4184),ISNUMBER(H4184),F4184&gt;=Inputs!$C$68),F4184*H4184*Inputs!$C$69,"")</f>
      </c>
    </row>
    <row r="4185" spans="2:10" ht="15" customHeight="1" x14ac:dyDescent="0.2">
      <c r="B4185" s="39">
        <f t="shared" si="32"/>
      </c>
      <c r="C4185" s="40">
        <f>IF(Inputs!$C$60,Inputs!$C$11+(B4185-Inputs!$C$69)/Inputs!$C$70,"")</f>
      </c>
      <c r="D4185" s="15"/>
      <c r="E4185" s="15"/>
      <c r="F4185" s="11">
        <f t="shared" si="33"/>
      </c>
      <c r="G4185" s="22" cm="1">
        <f t="array" ref="G4185">IF(AND(Inputs!$C$60,Inputs!$C$61),INDEX(Utility_Rates!$C$29:$F$52,HOUR(C4185)+Inputs!$C$69,MATCH(INDEX(Utility_Rates!$K$6:$K$17,MONTH(C4185))&amp;IF(WEEKDAY(C4185,Inputs!$C$76)&lt;=Inputs!$C$74," weekday"," weekend"),Utility_Rates!$C$28:$F$28,Inputs!$C$68)),"")</f>
      </c>
      <c r="H4185" s="34"/>
      <c r="I4185" s="42">
        <f>IF(AND(ISNUMBER(D4185),ISNUMBER(H4185)),D4185*H4185*Inputs!$C$69,"")</f>
      </c>
      <c r="J4185" s="42">
        <f>IF(AND(ISNUMBER(F4185),ISNUMBER(H4185),F4185&gt;=Inputs!$C$68),F4185*H4185*Inputs!$C$69,"")</f>
      </c>
    </row>
    <row r="4186" spans="2:10" ht="15" customHeight="1" x14ac:dyDescent="0.2">
      <c r="B4186" s="39">
        <f t="shared" si="32"/>
      </c>
      <c r="C4186" s="40">
        <f>IF(Inputs!$C$60,Inputs!$C$11+(B4186-Inputs!$C$69)/Inputs!$C$70,"")</f>
      </c>
      <c r="D4186" s="15"/>
      <c r="E4186" s="15"/>
      <c r="F4186" s="11">
        <f t="shared" si="33"/>
      </c>
      <c r="G4186" s="22" cm="1">
        <f t="array" ref="G4186">IF(AND(Inputs!$C$60,Inputs!$C$61),INDEX(Utility_Rates!$C$29:$F$52,HOUR(C4186)+Inputs!$C$69,MATCH(INDEX(Utility_Rates!$K$6:$K$17,MONTH(C4186))&amp;IF(WEEKDAY(C4186,Inputs!$C$76)&lt;=Inputs!$C$74," weekday"," weekend"),Utility_Rates!$C$28:$F$28,Inputs!$C$68)),"")</f>
      </c>
      <c r="H4186" s="34"/>
      <c r="I4186" s="42">
        <f>IF(AND(ISNUMBER(D4186),ISNUMBER(H4186)),D4186*H4186*Inputs!$C$69,"")</f>
      </c>
      <c r="J4186" s="42">
        <f>IF(AND(ISNUMBER(F4186),ISNUMBER(H4186),F4186&gt;=Inputs!$C$68),F4186*H4186*Inputs!$C$69,"")</f>
      </c>
    </row>
    <row r="4187" spans="2:10" ht="15" customHeight="1" x14ac:dyDescent="0.2">
      <c r="B4187" s="39">
        <f t="shared" si="32"/>
      </c>
      <c r="C4187" s="40">
        <f>IF(Inputs!$C$60,Inputs!$C$11+(B4187-Inputs!$C$69)/Inputs!$C$70,"")</f>
      </c>
      <c r="D4187" s="15"/>
      <c r="E4187" s="15"/>
      <c r="F4187" s="11">
        <f t="shared" si="33"/>
      </c>
      <c r="G4187" s="22" cm="1">
        <f t="array" ref="G4187">IF(AND(Inputs!$C$60,Inputs!$C$61),INDEX(Utility_Rates!$C$29:$F$52,HOUR(C4187)+Inputs!$C$69,MATCH(INDEX(Utility_Rates!$K$6:$K$17,MONTH(C4187))&amp;IF(WEEKDAY(C4187,Inputs!$C$76)&lt;=Inputs!$C$74," weekday"," weekend"),Utility_Rates!$C$28:$F$28,Inputs!$C$68)),"")</f>
      </c>
      <c r="H4187" s="34"/>
      <c r="I4187" s="42">
        <f>IF(AND(ISNUMBER(D4187),ISNUMBER(H4187)),D4187*H4187*Inputs!$C$69,"")</f>
      </c>
      <c r="J4187" s="42">
        <f>IF(AND(ISNUMBER(F4187),ISNUMBER(H4187),F4187&gt;=Inputs!$C$68),F4187*H4187*Inputs!$C$69,"")</f>
      </c>
    </row>
    <row r="4188" spans="2:10" ht="15" customHeight="1" x14ac:dyDescent="0.2">
      <c r="B4188" s="39">
        <f t="shared" si="32"/>
      </c>
      <c r="C4188" s="40">
        <f>IF(Inputs!$C$60,Inputs!$C$11+(B4188-Inputs!$C$69)/Inputs!$C$70,"")</f>
      </c>
      <c r="D4188" s="15"/>
      <c r="E4188" s="15"/>
      <c r="F4188" s="11">
        <f t="shared" si="33"/>
      </c>
      <c r="G4188" s="22" cm="1">
        <f t="array" ref="G4188">IF(AND(Inputs!$C$60,Inputs!$C$61),INDEX(Utility_Rates!$C$29:$F$52,HOUR(C4188)+Inputs!$C$69,MATCH(INDEX(Utility_Rates!$K$6:$K$17,MONTH(C4188))&amp;IF(WEEKDAY(C4188,Inputs!$C$76)&lt;=Inputs!$C$74," weekday"," weekend"),Utility_Rates!$C$28:$F$28,Inputs!$C$68)),"")</f>
      </c>
      <c r="H4188" s="34"/>
      <c r="I4188" s="42">
        <f>IF(AND(ISNUMBER(D4188),ISNUMBER(H4188)),D4188*H4188*Inputs!$C$69,"")</f>
      </c>
      <c r="J4188" s="42">
        <f>IF(AND(ISNUMBER(F4188),ISNUMBER(H4188),F4188&gt;=Inputs!$C$68),F4188*H4188*Inputs!$C$69,"")</f>
      </c>
    </row>
    <row r="4189" spans="2:10" ht="15" customHeight="1" x14ac:dyDescent="0.2">
      <c r="B4189" s="39">
        <f t="shared" si="32"/>
      </c>
      <c r="C4189" s="40">
        <f>IF(Inputs!$C$60,Inputs!$C$11+(B4189-Inputs!$C$69)/Inputs!$C$70,"")</f>
      </c>
      <c r="D4189" s="15"/>
      <c r="E4189" s="15"/>
      <c r="F4189" s="11">
        <f t="shared" si="33"/>
      </c>
      <c r="G4189" s="22" cm="1">
        <f t="array" ref="G4189">IF(AND(Inputs!$C$60,Inputs!$C$61),INDEX(Utility_Rates!$C$29:$F$52,HOUR(C4189)+Inputs!$C$69,MATCH(INDEX(Utility_Rates!$K$6:$K$17,MONTH(C4189))&amp;IF(WEEKDAY(C4189,Inputs!$C$76)&lt;=Inputs!$C$74," weekday"," weekend"),Utility_Rates!$C$28:$F$28,Inputs!$C$68)),"")</f>
      </c>
      <c r="H4189" s="34"/>
      <c r="I4189" s="42">
        <f>IF(AND(ISNUMBER(D4189),ISNUMBER(H4189)),D4189*H4189*Inputs!$C$69,"")</f>
      </c>
      <c r="J4189" s="42">
        <f>IF(AND(ISNUMBER(F4189),ISNUMBER(H4189),F4189&gt;=Inputs!$C$68),F4189*H4189*Inputs!$C$69,"")</f>
      </c>
    </row>
    <row r="4190" spans="2:10" ht="15" customHeight="1" x14ac:dyDescent="0.2">
      <c r="B4190" s="39">
        <f t="shared" si="32"/>
      </c>
      <c r="C4190" s="40">
        <f>IF(Inputs!$C$60,Inputs!$C$11+(B4190-Inputs!$C$69)/Inputs!$C$70,"")</f>
      </c>
      <c r="D4190" s="15"/>
      <c r="E4190" s="15"/>
      <c r="F4190" s="11">
        <f t="shared" si="33"/>
      </c>
      <c r="G4190" s="22" cm="1">
        <f t="array" ref="G4190">IF(AND(Inputs!$C$60,Inputs!$C$61),INDEX(Utility_Rates!$C$29:$F$52,HOUR(C4190)+Inputs!$C$69,MATCH(INDEX(Utility_Rates!$K$6:$K$17,MONTH(C4190))&amp;IF(WEEKDAY(C4190,Inputs!$C$76)&lt;=Inputs!$C$74," weekday"," weekend"),Utility_Rates!$C$28:$F$28,Inputs!$C$68)),"")</f>
      </c>
      <c r="H4190" s="34"/>
      <c r="I4190" s="42">
        <f>IF(AND(ISNUMBER(D4190),ISNUMBER(H4190)),D4190*H4190*Inputs!$C$69,"")</f>
      </c>
      <c r="J4190" s="42">
        <f>IF(AND(ISNUMBER(F4190),ISNUMBER(H4190),F4190&gt;=Inputs!$C$68),F4190*H4190*Inputs!$C$69,"")</f>
      </c>
    </row>
    <row r="4191" spans="2:10" ht="15" customHeight="1" x14ac:dyDescent="0.2">
      <c r="B4191" s="39">
        <f t="shared" si="32"/>
      </c>
      <c r="C4191" s="40">
        <f>IF(Inputs!$C$60,Inputs!$C$11+(B4191-Inputs!$C$69)/Inputs!$C$70,"")</f>
      </c>
      <c r="D4191" s="15"/>
      <c r="E4191" s="15"/>
      <c r="F4191" s="11">
        <f t="shared" si="33"/>
      </c>
      <c r="G4191" s="22" cm="1">
        <f t="array" ref="G4191">IF(AND(Inputs!$C$60,Inputs!$C$61),INDEX(Utility_Rates!$C$29:$F$52,HOUR(C4191)+Inputs!$C$69,MATCH(INDEX(Utility_Rates!$K$6:$K$17,MONTH(C4191))&amp;IF(WEEKDAY(C4191,Inputs!$C$76)&lt;=Inputs!$C$74," weekday"," weekend"),Utility_Rates!$C$28:$F$28,Inputs!$C$68)),"")</f>
      </c>
      <c r="H4191" s="34"/>
      <c r="I4191" s="42">
        <f>IF(AND(ISNUMBER(D4191),ISNUMBER(H4191)),D4191*H4191*Inputs!$C$69,"")</f>
      </c>
      <c r="J4191" s="42">
        <f>IF(AND(ISNUMBER(F4191),ISNUMBER(H4191),F4191&gt;=Inputs!$C$68),F4191*H4191*Inputs!$C$69,"")</f>
      </c>
    </row>
    <row r="4192" spans="2:10" ht="15" customHeight="1" x14ac:dyDescent="0.2">
      <c r="B4192" s="39">
        <f t="shared" si="32"/>
      </c>
      <c r="C4192" s="40">
        <f>IF(Inputs!$C$60,Inputs!$C$11+(B4192-Inputs!$C$69)/Inputs!$C$70,"")</f>
      </c>
      <c r="D4192" s="15"/>
      <c r="E4192" s="15"/>
      <c r="F4192" s="11">
        <f t="shared" si="33"/>
      </c>
      <c r="G4192" s="22" cm="1">
        <f t="array" ref="G4192">IF(AND(Inputs!$C$60,Inputs!$C$61),INDEX(Utility_Rates!$C$29:$F$52,HOUR(C4192)+Inputs!$C$69,MATCH(INDEX(Utility_Rates!$K$6:$K$17,MONTH(C4192))&amp;IF(WEEKDAY(C4192,Inputs!$C$76)&lt;=Inputs!$C$74," weekday"," weekend"),Utility_Rates!$C$28:$F$28,Inputs!$C$68)),"")</f>
      </c>
      <c r="H4192" s="34"/>
      <c r="I4192" s="42">
        <f>IF(AND(ISNUMBER(D4192),ISNUMBER(H4192)),D4192*H4192*Inputs!$C$69,"")</f>
      </c>
      <c r="J4192" s="42">
        <f>IF(AND(ISNUMBER(F4192),ISNUMBER(H4192),F4192&gt;=Inputs!$C$68),F4192*H4192*Inputs!$C$69,"")</f>
      </c>
    </row>
    <row r="4193" spans="2:10" ht="15" customHeight="1" x14ac:dyDescent="0.2">
      <c r="B4193" s="39">
        <f t="shared" si="32"/>
      </c>
      <c r="C4193" s="40">
        <f>IF(Inputs!$C$60,Inputs!$C$11+(B4193-Inputs!$C$69)/Inputs!$C$70,"")</f>
      </c>
      <c r="D4193" s="15"/>
      <c r="E4193" s="15"/>
      <c r="F4193" s="11">
        <f t="shared" si="33"/>
      </c>
      <c r="G4193" s="22" cm="1">
        <f t="array" ref="G4193">IF(AND(Inputs!$C$60,Inputs!$C$61),INDEX(Utility_Rates!$C$29:$F$52,HOUR(C4193)+Inputs!$C$69,MATCH(INDEX(Utility_Rates!$K$6:$K$17,MONTH(C4193))&amp;IF(WEEKDAY(C4193,Inputs!$C$76)&lt;=Inputs!$C$74," weekday"," weekend"),Utility_Rates!$C$28:$F$28,Inputs!$C$68)),"")</f>
      </c>
      <c r="H4193" s="34"/>
      <c r="I4193" s="42">
        <f>IF(AND(ISNUMBER(D4193),ISNUMBER(H4193)),D4193*H4193*Inputs!$C$69,"")</f>
      </c>
      <c r="J4193" s="42">
        <f>IF(AND(ISNUMBER(F4193),ISNUMBER(H4193),F4193&gt;=Inputs!$C$68),F4193*H4193*Inputs!$C$69,"")</f>
      </c>
    </row>
    <row r="4194" spans="2:10" ht="15" customHeight="1" x14ac:dyDescent="0.2">
      <c r="B4194" s="39">
        <f t="shared" si="32"/>
      </c>
      <c r="C4194" s="40">
        <f>IF(Inputs!$C$60,Inputs!$C$11+(B4194-Inputs!$C$69)/Inputs!$C$70,"")</f>
      </c>
      <c r="D4194" s="15"/>
      <c r="E4194" s="15"/>
      <c r="F4194" s="11">
        <f t="shared" si="33"/>
      </c>
      <c r="G4194" s="22" cm="1">
        <f t="array" ref="G4194">IF(AND(Inputs!$C$60,Inputs!$C$61),INDEX(Utility_Rates!$C$29:$F$52,HOUR(C4194)+Inputs!$C$69,MATCH(INDEX(Utility_Rates!$K$6:$K$17,MONTH(C4194))&amp;IF(WEEKDAY(C4194,Inputs!$C$76)&lt;=Inputs!$C$74," weekday"," weekend"),Utility_Rates!$C$28:$F$28,Inputs!$C$68)),"")</f>
      </c>
      <c r="H4194" s="34"/>
      <c r="I4194" s="42">
        <f>IF(AND(ISNUMBER(D4194),ISNUMBER(H4194)),D4194*H4194*Inputs!$C$69,"")</f>
      </c>
      <c r="J4194" s="42">
        <f>IF(AND(ISNUMBER(F4194),ISNUMBER(H4194),F4194&gt;=Inputs!$C$68),F4194*H4194*Inputs!$C$69,"")</f>
      </c>
    </row>
    <row r="4195" spans="2:10" ht="15" customHeight="1" x14ac:dyDescent="0.2">
      <c r="B4195" s="39">
        <f t="shared" si="32"/>
      </c>
      <c r="C4195" s="40">
        <f>IF(Inputs!$C$60,Inputs!$C$11+(B4195-Inputs!$C$69)/Inputs!$C$70,"")</f>
      </c>
      <c r="D4195" s="15"/>
      <c r="E4195" s="15"/>
      <c r="F4195" s="11">
        <f t="shared" si="33"/>
      </c>
      <c r="G4195" s="22" cm="1">
        <f t="array" ref="G4195">IF(AND(Inputs!$C$60,Inputs!$C$61),INDEX(Utility_Rates!$C$29:$F$52,HOUR(C4195)+Inputs!$C$69,MATCH(INDEX(Utility_Rates!$K$6:$K$17,MONTH(C4195))&amp;IF(WEEKDAY(C4195,Inputs!$C$76)&lt;=Inputs!$C$74," weekday"," weekend"),Utility_Rates!$C$28:$F$28,Inputs!$C$68)),"")</f>
      </c>
      <c r="H4195" s="34"/>
      <c r="I4195" s="42">
        <f>IF(AND(ISNUMBER(D4195),ISNUMBER(H4195)),D4195*H4195*Inputs!$C$69,"")</f>
      </c>
      <c r="J4195" s="42">
        <f>IF(AND(ISNUMBER(F4195),ISNUMBER(H4195),F4195&gt;=Inputs!$C$68),F4195*H4195*Inputs!$C$69,"")</f>
      </c>
    </row>
    <row r="4196" spans="2:10" ht="15" customHeight="1" x14ac:dyDescent="0.2">
      <c r="B4196" s="39">
        <f t="shared" si="32"/>
      </c>
      <c r="C4196" s="40">
        <f>IF(Inputs!$C$60,Inputs!$C$11+(B4196-Inputs!$C$69)/Inputs!$C$70,"")</f>
      </c>
      <c r="D4196" s="15"/>
      <c r="E4196" s="15"/>
      <c r="F4196" s="11">
        <f t="shared" si="33"/>
      </c>
      <c r="G4196" s="22" cm="1">
        <f t="array" ref="G4196">IF(AND(Inputs!$C$60,Inputs!$C$61),INDEX(Utility_Rates!$C$29:$F$52,HOUR(C4196)+Inputs!$C$69,MATCH(INDEX(Utility_Rates!$K$6:$K$17,MONTH(C4196))&amp;IF(WEEKDAY(C4196,Inputs!$C$76)&lt;=Inputs!$C$74," weekday"," weekend"),Utility_Rates!$C$28:$F$28,Inputs!$C$68)),"")</f>
      </c>
      <c r="H4196" s="34"/>
      <c r="I4196" s="42">
        <f>IF(AND(ISNUMBER(D4196),ISNUMBER(H4196)),D4196*H4196*Inputs!$C$69,"")</f>
      </c>
      <c r="J4196" s="42">
        <f>IF(AND(ISNUMBER(F4196),ISNUMBER(H4196),F4196&gt;=Inputs!$C$68),F4196*H4196*Inputs!$C$69,"")</f>
      </c>
    </row>
    <row r="4197" spans="2:10" ht="15" customHeight="1" x14ac:dyDescent="0.2">
      <c r="B4197" s="39">
        <f t="shared" si="32"/>
      </c>
      <c r="C4197" s="40">
        <f>IF(Inputs!$C$60,Inputs!$C$11+(B4197-Inputs!$C$69)/Inputs!$C$70,"")</f>
      </c>
      <c r="D4197" s="15"/>
      <c r="E4197" s="15"/>
      <c r="F4197" s="11">
        <f t="shared" si="33"/>
      </c>
      <c r="G4197" s="22" cm="1">
        <f t="array" ref="G4197">IF(AND(Inputs!$C$60,Inputs!$C$61),INDEX(Utility_Rates!$C$29:$F$52,HOUR(C4197)+Inputs!$C$69,MATCH(INDEX(Utility_Rates!$K$6:$K$17,MONTH(C4197))&amp;IF(WEEKDAY(C4197,Inputs!$C$76)&lt;=Inputs!$C$74," weekday"," weekend"),Utility_Rates!$C$28:$F$28,Inputs!$C$68)),"")</f>
      </c>
      <c r="H4197" s="34"/>
      <c r="I4197" s="42">
        <f>IF(AND(ISNUMBER(D4197),ISNUMBER(H4197)),D4197*H4197*Inputs!$C$69,"")</f>
      </c>
      <c r="J4197" s="42">
        <f>IF(AND(ISNUMBER(F4197),ISNUMBER(H4197),F4197&gt;=Inputs!$C$68),F4197*H4197*Inputs!$C$69,"")</f>
      </c>
    </row>
    <row r="4198" spans="2:10" ht="15" customHeight="1" x14ac:dyDescent="0.2">
      <c r="B4198" s="39">
        <f t="shared" si="32"/>
      </c>
      <c r="C4198" s="40">
        <f>IF(Inputs!$C$60,Inputs!$C$11+(B4198-Inputs!$C$69)/Inputs!$C$70,"")</f>
      </c>
      <c r="D4198" s="15"/>
      <c r="E4198" s="15"/>
      <c r="F4198" s="11">
        <f t="shared" si="33"/>
      </c>
      <c r="G4198" s="22" cm="1">
        <f t="array" ref="G4198">IF(AND(Inputs!$C$60,Inputs!$C$61),INDEX(Utility_Rates!$C$29:$F$52,HOUR(C4198)+Inputs!$C$69,MATCH(INDEX(Utility_Rates!$K$6:$K$17,MONTH(C4198))&amp;IF(WEEKDAY(C4198,Inputs!$C$76)&lt;=Inputs!$C$74," weekday"," weekend"),Utility_Rates!$C$28:$F$28,Inputs!$C$68)),"")</f>
      </c>
      <c r="H4198" s="34"/>
      <c r="I4198" s="42">
        <f>IF(AND(ISNUMBER(D4198),ISNUMBER(H4198)),D4198*H4198*Inputs!$C$69,"")</f>
      </c>
      <c r="J4198" s="42">
        <f>IF(AND(ISNUMBER(F4198),ISNUMBER(H4198),F4198&gt;=Inputs!$C$68),F4198*H4198*Inputs!$C$69,"")</f>
      </c>
    </row>
    <row r="4199" spans="2:10" ht="15" customHeight="1" x14ac:dyDescent="0.2">
      <c r="B4199" s="39">
        <f t="shared" si="32"/>
      </c>
      <c r="C4199" s="40">
        <f>IF(Inputs!$C$60,Inputs!$C$11+(B4199-Inputs!$C$69)/Inputs!$C$70,"")</f>
      </c>
      <c r="D4199" s="15"/>
      <c r="E4199" s="15"/>
      <c r="F4199" s="11">
        <f t="shared" si="33"/>
      </c>
      <c r="G4199" s="22" cm="1">
        <f t="array" ref="G4199">IF(AND(Inputs!$C$60,Inputs!$C$61),INDEX(Utility_Rates!$C$29:$F$52,HOUR(C4199)+Inputs!$C$69,MATCH(INDEX(Utility_Rates!$K$6:$K$17,MONTH(C4199))&amp;IF(WEEKDAY(C4199,Inputs!$C$76)&lt;=Inputs!$C$74," weekday"," weekend"),Utility_Rates!$C$28:$F$28,Inputs!$C$68)),"")</f>
      </c>
      <c r="H4199" s="34"/>
      <c r="I4199" s="42">
        <f>IF(AND(ISNUMBER(D4199),ISNUMBER(H4199)),D4199*H4199*Inputs!$C$69,"")</f>
      </c>
      <c r="J4199" s="42">
        <f>IF(AND(ISNUMBER(F4199),ISNUMBER(H4199),F4199&gt;=Inputs!$C$68),F4199*H4199*Inputs!$C$69,"")</f>
      </c>
    </row>
    <row r="4200" spans="2:10" ht="15" customHeight="1" x14ac:dyDescent="0.2">
      <c r="B4200" s="39">
        <f t="shared" si="32"/>
      </c>
      <c r="C4200" s="40">
        <f>IF(Inputs!$C$60,Inputs!$C$11+(B4200-Inputs!$C$69)/Inputs!$C$70,"")</f>
      </c>
      <c r="D4200" s="15"/>
      <c r="E4200" s="15"/>
      <c r="F4200" s="11">
        <f t="shared" si="33"/>
      </c>
      <c r="G4200" s="22" cm="1">
        <f t="array" ref="G4200">IF(AND(Inputs!$C$60,Inputs!$C$61),INDEX(Utility_Rates!$C$29:$F$52,HOUR(C4200)+Inputs!$C$69,MATCH(INDEX(Utility_Rates!$K$6:$K$17,MONTH(C4200))&amp;IF(WEEKDAY(C4200,Inputs!$C$76)&lt;=Inputs!$C$74," weekday"," weekend"),Utility_Rates!$C$28:$F$28,Inputs!$C$68)),"")</f>
      </c>
      <c r="H4200" s="34"/>
      <c r="I4200" s="42">
        <f>IF(AND(ISNUMBER(D4200),ISNUMBER(H4200)),D4200*H4200*Inputs!$C$69,"")</f>
      </c>
      <c r="J4200" s="42">
        <f>IF(AND(ISNUMBER(F4200),ISNUMBER(H4200),F4200&gt;=Inputs!$C$68),F4200*H4200*Inputs!$C$69,"")</f>
      </c>
    </row>
    <row r="4201" spans="2:10" ht="15" customHeight="1" x14ac:dyDescent="0.2">
      <c r="B4201" s="39">
        <f t="shared" si="32"/>
      </c>
      <c r="C4201" s="40">
        <f>IF(Inputs!$C$60,Inputs!$C$11+(B4201-Inputs!$C$69)/Inputs!$C$70,"")</f>
      </c>
      <c r="D4201" s="15"/>
      <c r="E4201" s="15"/>
      <c r="F4201" s="11">
        <f t="shared" si="33"/>
      </c>
      <c r="G4201" s="22" cm="1">
        <f t="array" ref="G4201">IF(AND(Inputs!$C$60,Inputs!$C$61),INDEX(Utility_Rates!$C$29:$F$52,HOUR(C4201)+Inputs!$C$69,MATCH(INDEX(Utility_Rates!$K$6:$K$17,MONTH(C4201))&amp;IF(WEEKDAY(C4201,Inputs!$C$76)&lt;=Inputs!$C$74," weekday"," weekend"),Utility_Rates!$C$28:$F$28,Inputs!$C$68)),"")</f>
      </c>
      <c r="H4201" s="34"/>
      <c r="I4201" s="42">
        <f>IF(AND(ISNUMBER(D4201),ISNUMBER(H4201)),D4201*H4201*Inputs!$C$69,"")</f>
      </c>
      <c r="J4201" s="42">
        <f>IF(AND(ISNUMBER(F4201),ISNUMBER(H4201),F4201&gt;=Inputs!$C$68),F4201*H4201*Inputs!$C$69,"")</f>
      </c>
    </row>
    <row r="4202" spans="2:10" ht="15" customHeight="1" x14ac:dyDescent="0.2">
      <c r="B4202" s="39">
        <f t="shared" si="32"/>
      </c>
      <c r="C4202" s="40">
        <f>IF(Inputs!$C$60,Inputs!$C$11+(B4202-Inputs!$C$69)/Inputs!$C$70,"")</f>
      </c>
      <c r="D4202" s="15"/>
      <c r="E4202" s="15"/>
      <c r="F4202" s="11">
        <f t="shared" si="33"/>
      </c>
      <c r="G4202" s="22" cm="1">
        <f t="array" ref="G4202">IF(AND(Inputs!$C$60,Inputs!$C$61),INDEX(Utility_Rates!$C$29:$F$52,HOUR(C4202)+Inputs!$C$69,MATCH(INDEX(Utility_Rates!$K$6:$K$17,MONTH(C4202))&amp;IF(WEEKDAY(C4202,Inputs!$C$76)&lt;=Inputs!$C$74," weekday"," weekend"),Utility_Rates!$C$28:$F$28,Inputs!$C$68)),"")</f>
      </c>
      <c r="H4202" s="34"/>
      <c r="I4202" s="42">
        <f>IF(AND(ISNUMBER(D4202),ISNUMBER(H4202)),D4202*H4202*Inputs!$C$69,"")</f>
      </c>
      <c r="J4202" s="42">
        <f>IF(AND(ISNUMBER(F4202),ISNUMBER(H4202),F4202&gt;=Inputs!$C$68),F4202*H4202*Inputs!$C$69,"")</f>
      </c>
    </row>
    <row r="4203" spans="2:10" ht="15" customHeight="1" x14ac:dyDescent="0.2">
      <c r="B4203" s="39">
        <f t="shared" si="32"/>
      </c>
      <c r="C4203" s="40">
        <f>IF(Inputs!$C$60,Inputs!$C$11+(B4203-Inputs!$C$69)/Inputs!$C$70,"")</f>
      </c>
      <c r="D4203" s="15"/>
      <c r="E4203" s="15"/>
      <c r="F4203" s="11">
        <f t="shared" si="33"/>
      </c>
      <c r="G4203" s="22" cm="1">
        <f t="array" ref="G4203">IF(AND(Inputs!$C$60,Inputs!$C$61),INDEX(Utility_Rates!$C$29:$F$52,HOUR(C4203)+Inputs!$C$69,MATCH(INDEX(Utility_Rates!$K$6:$K$17,MONTH(C4203))&amp;IF(WEEKDAY(C4203,Inputs!$C$76)&lt;=Inputs!$C$74," weekday"," weekend"),Utility_Rates!$C$28:$F$28,Inputs!$C$68)),"")</f>
      </c>
      <c r="H4203" s="34"/>
      <c r="I4203" s="42">
        <f>IF(AND(ISNUMBER(D4203),ISNUMBER(H4203)),D4203*H4203*Inputs!$C$69,"")</f>
      </c>
      <c r="J4203" s="42">
        <f>IF(AND(ISNUMBER(F4203),ISNUMBER(H4203),F4203&gt;=Inputs!$C$68),F4203*H4203*Inputs!$C$69,"")</f>
      </c>
    </row>
    <row r="4204" spans="2:10" ht="15" customHeight="1" x14ac:dyDescent="0.2">
      <c r="B4204" s="39">
        <f t="shared" si="32"/>
      </c>
      <c r="C4204" s="40">
        <f>IF(Inputs!$C$60,Inputs!$C$11+(B4204-Inputs!$C$69)/Inputs!$C$70,"")</f>
      </c>
      <c r="D4204" s="15"/>
      <c r="E4204" s="15"/>
      <c r="F4204" s="11">
        <f t="shared" si="33"/>
      </c>
      <c r="G4204" s="22" cm="1">
        <f t="array" ref="G4204">IF(AND(Inputs!$C$60,Inputs!$C$61),INDEX(Utility_Rates!$C$29:$F$52,HOUR(C4204)+Inputs!$C$69,MATCH(INDEX(Utility_Rates!$K$6:$K$17,MONTH(C4204))&amp;IF(WEEKDAY(C4204,Inputs!$C$76)&lt;=Inputs!$C$74," weekday"," weekend"),Utility_Rates!$C$28:$F$28,Inputs!$C$68)),"")</f>
      </c>
      <c r="H4204" s="34"/>
      <c r="I4204" s="42">
        <f>IF(AND(ISNUMBER(D4204),ISNUMBER(H4204)),D4204*H4204*Inputs!$C$69,"")</f>
      </c>
      <c r="J4204" s="42">
        <f>IF(AND(ISNUMBER(F4204),ISNUMBER(H4204),F4204&gt;=Inputs!$C$68),F4204*H4204*Inputs!$C$69,"")</f>
      </c>
    </row>
    <row r="4205" spans="2:10" ht="15" customHeight="1" x14ac:dyDescent="0.2">
      <c r="B4205" s="39">
        <f t="shared" si="32"/>
      </c>
      <c r="C4205" s="40">
        <f>IF(Inputs!$C$60,Inputs!$C$11+(B4205-Inputs!$C$69)/Inputs!$C$70,"")</f>
      </c>
      <c r="D4205" s="15"/>
      <c r="E4205" s="15"/>
      <c r="F4205" s="11">
        <f t="shared" si="33"/>
      </c>
      <c r="G4205" s="22" cm="1">
        <f t="array" ref="G4205">IF(AND(Inputs!$C$60,Inputs!$C$61),INDEX(Utility_Rates!$C$29:$F$52,HOUR(C4205)+Inputs!$C$69,MATCH(INDEX(Utility_Rates!$K$6:$K$17,MONTH(C4205))&amp;IF(WEEKDAY(C4205,Inputs!$C$76)&lt;=Inputs!$C$74," weekday"," weekend"),Utility_Rates!$C$28:$F$28,Inputs!$C$68)),"")</f>
      </c>
      <c r="H4205" s="34"/>
      <c r="I4205" s="42">
        <f>IF(AND(ISNUMBER(D4205),ISNUMBER(H4205)),D4205*H4205*Inputs!$C$69,"")</f>
      </c>
      <c r="J4205" s="42">
        <f>IF(AND(ISNUMBER(F4205),ISNUMBER(H4205),F4205&gt;=Inputs!$C$68),F4205*H4205*Inputs!$C$69,"")</f>
      </c>
    </row>
    <row r="4206" spans="2:10" ht="15" customHeight="1" x14ac:dyDescent="0.2">
      <c r="B4206" s="39">
        <f t="shared" si="32"/>
      </c>
      <c r="C4206" s="40">
        <f>IF(Inputs!$C$60,Inputs!$C$11+(B4206-Inputs!$C$69)/Inputs!$C$70,"")</f>
      </c>
      <c r="D4206" s="15"/>
      <c r="E4206" s="15"/>
      <c r="F4206" s="11">
        <f t="shared" si="33"/>
      </c>
      <c r="G4206" s="22" cm="1">
        <f t="array" ref="G4206">IF(AND(Inputs!$C$60,Inputs!$C$61),INDEX(Utility_Rates!$C$29:$F$52,HOUR(C4206)+Inputs!$C$69,MATCH(INDEX(Utility_Rates!$K$6:$K$17,MONTH(C4206))&amp;IF(WEEKDAY(C4206,Inputs!$C$76)&lt;=Inputs!$C$74," weekday"," weekend"),Utility_Rates!$C$28:$F$28,Inputs!$C$68)),"")</f>
      </c>
      <c r="H4206" s="34"/>
      <c r="I4206" s="42">
        <f>IF(AND(ISNUMBER(D4206),ISNUMBER(H4206)),D4206*H4206*Inputs!$C$69,"")</f>
      </c>
      <c r="J4206" s="42">
        <f>IF(AND(ISNUMBER(F4206),ISNUMBER(H4206),F4206&gt;=Inputs!$C$68),F4206*H4206*Inputs!$C$69,"")</f>
      </c>
    </row>
    <row r="4207" spans="2:10" ht="15" customHeight="1" x14ac:dyDescent="0.2">
      <c r="B4207" s="39">
        <f t="shared" si="32"/>
      </c>
      <c r="C4207" s="40">
        <f>IF(Inputs!$C$60,Inputs!$C$11+(B4207-Inputs!$C$69)/Inputs!$C$70,"")</f>
      </c>
      <c r="D4207" s="15"/>
      <c r="E4207" s="15"/>
      <c r="F4207" s="11">
        <f t="shared" si="33"/>
      </c>
      <c r="G4207" s="22" cm="1">
        <f t="array" ref="G4207">IF(AND(Inputs!$C$60,Inputs!$C$61),INDEX(Utility_Rates!$C$29:$F$52,HOUR(C4207)+Inputs!$C$69,MATCH(INDEX(Utility_Rates!$K$6:$K$17,MONTH(C4207))&amp;IF(WEEKDAY(C4207,Inputs!$C$76)&lt;=Inputs!$C$74," weekday"," weekend"),Utility_Rates!$C$28:$F$28,Inputs!$C$68)),"")</f>
      </c>
      <c r="H4207" s="34"/>
      <c r="I4207" s="42">
        <f>IF(AND(ISNUMBER(D4207),ISNUMBER(H4207)),D4207*H4207*Inputs!$C$69,"")</f>
      </c>
      <c r="J4207" s="42">
        <f>IF(AND(ISNUMBER(F4207),ISNUMBER(H4207),F4207&gt;=Inputs!$C$68),F4207*H4207*Inputs!$C$69,"")</f>
      </c>
    </row>
    <row r="4208" spans="2:10" ht="15" customHeight="1" x14ac:dyDescent="0.2">
      <c r="B4208" s="39">
        <f t="shared" si="32"/>
      </c>
      <c r="C4208" s="40">
        <f>IF(Inputs!$C$60,Inputs!$C$11+(B4208-Inputs!$C$69)/Inputs!$C$70,"")</f>
      </c>
      <c r="D4208" s="15"/>
      <c r="E4208" s="15"/>
      <c r="F4208" s="11">
        <f t="shared" si="33"/>
      </c>
      <c r="G4208" s="22" cm="1">
        <f t="array" ref="G4208">IF(AND(Inputs!$C$60,Inputs!$C$61),INDEX(Utility_Rates!$C$29:$F$52,HOUR(C4208)+Inputs!$C$69,MATCH(INDEX(Utility_Rates!$K$6:$K$17,MONTH(C4208))&amp;IF(WEEKDAY(C4208,Inputs!$C$76)&lt;=Inputs!$C$74," weekday"," weekend"),Utility_Rates!$C$28:$F$28,Inputs!$C$68)),"")</f>
      </c>
      <c r="H4208" s="34"/>
      <c r="I4208" s="42">
        <f>IF(AND(ISNUMBER(D4208),ISNUMBER(H4208)),D4208*H4208*Inputs!$C$69,"")</f>
      </c>
      <c r="J4208" s="42">
        <f>IF(AND(ISNUMBER(F4208),ISNUMBER(H4208),F4208&gt;=Inputs!$C$68),F4208*H4208*Inputs!$C$69,"")</f>
      </c>
    </row>
    <row r="4209" spans="2:10" ht="15" customHeight="1" x14ac:dyDescent="0.2">
      <c r="B4209" s="39">
        <f t="shared" si="32"/>
      </c>
      <c r="C4209" s="40">
        <f>IF(Inputs!$C$60,Inputs!$C$11+(B4209-Inputs!$C$69)/Inputs!$C$70,"")</f>
      </c>
      <c r="D4209" s="15"/>
      <c r="E4209" s="15"/>
      <c r="F4209" s="11">
        <f t="shared" si="33"/>
      </c>
      <c r="G4209" s="22" cm="1">
        <f t="array" ref="G4209">IF(AND(Inputs!$C$60,Inputs!$C$61),INDEX(Utility_Rates!$C$29:$F$52,HOUR(C4209)+Inputs!$C$69,MATCH(INDEX(Utility_Rates!$K$6:$K$17,MONTH(C4209))&amp;IF(WEEKDAY(C4209,Inputs!$C$76)&lt;=Inputs!$C$74," weekday"," weekend"),Utility_Rates!$C$28:$F$28,Inputs!$C$68)),"")</f>
      </c>
      <c r="H4209" s="34"/>
      <c r="I4209" s="42">
        <f>IF(AND(ISNUMBER(D4209),ISNUMBER(H4209)),D4209*H4209*Inputs!$C$69,"")</f>
      </c>
      <c r="J4209" s="42">
        <f>IF(AND(ISNUMBER(F4209),ISNUMBER(H4209),F4209&gt;=Inputs!$C$68),F4209*H4209*Inputs!$C$69,"")</f>
      </c>
    </row>
    <row r="4210" spans="2:10" ht="15" customHeight="1" x14ac:dyDescent="0.2">
      <c r="B4210" s="39">
        <f t="shared" si="32"/>
      </c>
      <c r="C4210" s="40">
        <f>IF(Inputs!$C$60,Inputs!$C$11+(B4210-Inputs!$C$69)/Inputs!$C$70,"")</f>
      </c>
      <c r="D4210" s="15"/>
      <c r="E4210" s="15"/>
      <c r="F4210" s="11">
        <f t="shared" si="33"/>
      </c>
      <c r="G4210" s="22" cm="1">
        <f t="array" ref="G4210">IF(AND(Inputs!$C$60,Inputs!$C$61),INDEX(Utility_Rates!$C$29:$F$52,HOUR(C4210)+Inputs!$C$69,MATCH(INDEX(Utility_Rates!$K$6:$K$17,MONTH(C4210))&amp;IF(WEEKDAY(C4210,Inputs!$C$76)&lt;=Inputs!$C$74," weekday"," weekend"),Utility_Rates!$C$28:$F$28,Inputs!$C$68)),"")</f>
      </c>
      <c r="H4210" s="34"/>
      <c r="I4210" s="42">
        <f>IF(AND(ISNUMBER(D4210),ISNUMBER(H4210)),D4210*H4210*Inputs!$C$69,"")</f>
      </c>
      <c r="J4210" s="42">
        <f>IF(AND(ISNUMBER(F4210),ISNUMBER(H4210),F4210&gt;=Inputs!$C$68),F4210*H4210*Inputs!$C$69,"")</f>
      </c>
    </row>
    <row r="4211" spans="2:10" ht="15" customHeight="1" x14ac:dyDescent="0.2">
      <c r="B4211" s="39">
        <f t="shared" si="32"/>
      </c>
      <c r="C4211" s="40">
        <f>IF(Inputs!$C$60,Inputs!$C$11+(B4211-Inputs!$C$69)/Inputs!$C$70,"")</f>
      </c>
      <c r="D4211" s="15"/>
      <c r="E4211" s="15"/>
      <c r="F4211" s="11">
        <f t="shared" si="33"/>
      </c>
      <c r="G4211" s="22" cm="1">
        <f t="array" ref="G4211">IF(AND(Inputs!$C$60,Inputs!$C$61),INDEX(Utility_Rates!$C$29:$F$52,HOUR(C4211)+Inputs!$C$69,MATCH(INDEX(Utility_Rates!$K$6:$K$17,MONTH(C4211))&amp;IF(WEEKDAY(C4211,Inputs!$C$76)&lt;=Inputs!$C$74," weekday"," weekend"),Utility_Rates!$C$28:$F$28,Inputs!$C$68)),"")</f>
      </c>
      <c r="H4211" s="34"/>
      <c r="I4211" s="42">
        <f>IF(AND(ISNUMBER(D4211),ISNUMBER(H4211)),D4211*H4211*Inputs!$C$69,"")</f>
      </c>
      <c r="J4211" s="42">
        <f>IF(AND(ISNUMBER(F4211),ISNUMBER(H4211),F4211&gt;=Inputs!$C$68),F4211*H4211*Inputs!$C$69,"")</f>
      </c>
    </row>
    <row r="4212" spans="2:10" ht="15" customHeight="1" x14ac:dyDescent="0.2">
      <c r="B4212" s="39">
        <f t="shared" si="32"/>
      </c>
      <c r="C4212" s="40">
        <f>IF(Inputs!$C$60,Inputs!$C$11+(B4212-Inputs!$C$69)/Inputs!$C$70,"")</f>
      </c>
      <c r="D4212" s="15"/>
      <c r="E4212" s="15"/>
      <c r="F4212" s="11">
        <f t="shared" si="33"/>
      </c>
      <c r="G4212" s="22" cm="1">
        <f t="array" ref="G4212">IF(AND(Inputs!$C$60,Inputs!$C$61),INDEX(Utility_Rates!$C$29:$F$52,HOUR(C4212)+Inputs!$C$69,MATCH(INDEX(Utility_Rates!$K$6:$K$17,MONTH(C4212))&amp;IF(WEEKDAY(C4212,Inputs!$C$76)&lt;=Inputs!$C$74," weekday"," weekend"),Utility_Rates!$C$28:$F$28,Inputs!$C$68)),"")</f>
      </c>
      <c r="H4212" s="34"/>
      <c r="I4212" s="42">
        <f>IF(AND(ISNUMBER(D4212),ISNUMBER(H4212)),D4212*H4212*Inputs!$C$69,"")</f>
      </c>
      <c r="J4212" s="42">
        <f>IF(AND(ISNUMBER(F4212),ISNUMBER(H4212),F4212&gt;=Inputs!$C$68),F4212*H4212*Inputs!$C$69,"")</f>
      </c>
    </row>
    <row r="4213" spans="2:10" ht="15" customHeight="1" x14ac:dyDescent="0.2">
      <c r="B4213" s="39">
        <f t="shared" si="32"/>
      </c>
      <c r="C4213" s="40">
        <f>IF(Inputs!$C$60,Inputs!$C$11+(B4213-Inputs!$C$69)/Inputs!$C$70,"")</f>
      </c>
      <c r="D4213" s="15"/>
      <c r="E4213" s="15"/>
      <c r="F4213" s="11">
        <f t="shared" si="33"/>
      </c>
      <c r="G4213" s="22" cm="1">
        <f t="array" ref="G4213">IF(AND(Inputs!$C$60,Inputs!$C$61),INDEX(Utility_Rates!$C$29:$F$52,HOUR(C4213)+Inputs!$C$69,MATCH(INDEX(Utility_Rates!$K$6:$K$17,MONTH(C4213))&amp;IF(WEEKDAY(C4213,Inputs!$C$76)&lt;=Inputs!$C$74," weekday"," weekend"),Utility_Rates!$C$28:$F$28,Inputs!$C$68)),"")</f>
      </c>
      <c r="H4213" s="34"/>
      <c r="I4213" s="42">
        <f>IF(AND(ISNUMBER(D4213),ISNUMBER(H4213)),D4213*H4213*Inputs!$C$69,"")</f>
      </c>
      <c r="J4213" s="42">
        <f>IF(AND(ISNUMBER(F4213),ISNUMBER(H4213),F4213&gt;=Inputs!$C$68),F4213*H4213*Inputs!$C$69,"")</f>
      </c>
    </row>
    <row r="4214" spans="2:10" ht="15" customHeight="1" x14ac:dyDescent="0.2">
      <c r="B4214" s="39">
        <f t="shared" si="32"/>
      </c>
      <c r="C4214" s="40">
        <f>IF(Inputs!$C$60,Inputs!$C$11+(B4214-Inputs!$C$69)/Inputs!$C$70,"")</f>
      </c>
      <c r="D4214" s="15"/>
      <c r="E4214" s="15"/>
      <c r="F4214" s="11">
        <f t="shared" si="33"/>
      </c>
      <c r="G4214" s="22" cm="1">
        <f t="array" ref="G4214">IF(AND(Inputs!$C$60,Inputs!$C$61),INDEX(Utility_Rates!$C$29:$F$52,HOUR(C4214)+Inputs!$C$69,MATCH(INDEX(Utility_Rates!$K$6:$K$17,MONTH(C4214))&amp;IF(WEEKDAY(C4214,Inputs!$C$76)&lt;=Inputs!$C$74," weekday"," weekend"),Utility_Rates!$C$28:$F$28,Inputs!$C$68)),"")</f>
      </c>
      <c r="H4214" s="34"/>
      <c r="I4214" s="42">
        <f>IF(AND(ISNUMBER(D4214),ISNUMBER(H4214)),D4214*H4214*Inputs!$C$69,"")</f>
      </c>
      <c r="J4214" s="42">
        <f>IF(AND(ISNUMBER(F4214),ISNUMBER(H4214),F4214&gt;=Inputs!$C$68),F4214*H4214*Inputs!$C$69,"")</f>
      </c>
    </row>
    <row r="4215" spans="2:10" ht="15" customHeight="1" x14ac:dyDescent="0.2">
      <c r="B4215" s="39">
        <f t="shared" si="32"/>
      </c>
      <c r="C4215" s="40">
        <f>IF(Inputs!$C$60,Inputs!$C$11+(B4215-Inputs!$C$69)/Inputs!$C$70,"")</f>
      </c>
      <c r="D4215" s="15"/>
      <c r="E4215" s="15"/>
      <c r="F4215" s="11">
        <f t="shared" si="33"/>
      </c>
      <c r="G4215" s="22" cm="1">
        <f t="array" ref="G4215">IF(AND(Inputs!$C$60,Inputs!$C$61),INDEX(Utility_Rates!$C$29:$F$52,HOUR(C4215)+Inputs!$C$69,MATCH(INDEX(Utility_Rates!$K$6:$K$17,MONTH(C4215))&amp;IF(WEEKDAY(C4215,Inputs!$C$76)&lt;=Inputs!$C$74," weekday"," weekend"),Utility_Rates!$C$28:$F$28,Inputs!$C$68)),"")</f>
      </c>
      <c r="H4215" s="34"/>
      <c r="I4215" s="42">
        <f>IF(AND(ISNUMBER(D4215),ISNUMBER(H4215)),D4215*H4215*Inputs!$C$69,"")</f>
      </c>
      <c r="J4215" s="42">
        <f>IF(AND(ISNUMBER(F4215),ISNUMBER(H4215),F4215&gt;=Inputs!$C$68),F4215*H4215*Inputs!$C$69,"")</f>
      </c>
    </row>
    <row r="4216" spans="2:10" ht="15" customHeight="1" x14ac:dyDescent="0.2">
      <c r="B4216" s="39">
        <f t="shared" si="32"/>
      </c>
      <c r="C4216" s="40">
        <f>IF(Inputs!$C$60,Inputs!$C$11+(B4216-Inputs!$C$69)/Inputs!$C$70,"")</f>
      </c>
      <c r="D4216" s="15"/>
      <c r="E4216" s="15"/>
      <c r="F4216" s="11">
        <f t="shared" si="33"/>
      </c>
      <c r="G4216" s="22" cm="1">
        <f t="array" ref="G4216">IF(AND(Inputs!$C$60,Inputs!$C$61),INDEX(Utility_Rates!$C$29:$F$52,HOUR(C4216)+Inputs!$C$69,MATCH(INDEX(Utility_Rates!$K$6:$K$17,MONTH(C4216))&amp;IF(WEEKDAY(C4216,Inputs!$C$76)&lt;=Inputs!$C$74," weekday"," weekend"),Utility_Rates!$C$28:$F$28,Inputs!$C$68)),"")</f>
      </c>
      <c r="H4216" s="34"/>
      <c r="I4216" s="42">
        <f>IF(AND(ISNUMBER(D4216),ISNUMBER(H4216)),D4216*H4216*Inputs!$C$69,"")</f>
      </c>
      <c r="J4216" s="42">
        <f>IF(AND(ISNUMBER(F4216),ISNUMBER(H4216),F4216&gt;=Inputs!$C$68),F4216*H4216*Inputs!$C$69,"")</f>
      </c>
    </row>
    <row r="4217" spans="2:10" ht="15" customHeight="1" x14ac:dyDescent="0.2">
      <c r="B4217" s="39">
        <f t="shared" si="32"/>
      </c>
      <c r="C4217" s="40">
        <f>IF(Inputs!$C$60,Inputs!$C$11+(B4217-Inputs!$C$69)/Inputs!$C$70,"")</f>
      </c>
      <c r="D4217" s="15"/>
      <c r="E4217" s="15"/>
      <c r="F4217" s="11">
        <f t="shared" si="33"/>
      </c>
      <c r="G4217" s="22" cm="1">
        <f t="array" ref="G4217">IF(AND(Inputs!$C$60,Inputs!$C$61),INDEX(Utility_Rates!$C$29:$F$52,HOUR(C4217)+Inputs!$C$69,MATCH(INDEX(Utility_Rates!$K$6:$K$17,MONTH(C4217))&amp;IF(WEEKDAY(C4217,Inputs!$C$76)&lt;=Inputs!$C$74," weekday"," weekend"),Utility_Rates!$C$28:$F$28,Inputs!$C$68)),"")</f>
      </c>
      <c r="H4217" s="34"/>
      <c r="I4217" s="42">
        <f>IF(AND(ISNUMBER(D4217),ISNUMBER(H4217)),D4217*H4217*Inputs!$C$69,"")</f>
      </c>
      <c r="J4217" s="42">
        <f>IF(AND(ISNUMBER(F4217),ISNUMBER(H4217),F4217&gt;=Inputs!$C$68),F4217*H4217*Inputs!$C$69,"")</f>
      </c>
    </row>
    <row r="4218" spans="2:10" ht="15" customHeight="1" x14ac:dyDescent="0.2">
      <c r="B4218" s="39">
        <f t="shared" si="32"/>
      </c>
      <c r="C4218" s="40">
        <f>IF(Inputs!$C$60,Inputs!$C$11+(B4218-Inputs!$C$69)/Inputs!$C$70,"")</f>
      </c>
      <c r="D4218" s="15"/>
      <c r="E4218" s="15"/>
      <c r="F4218" s="11">
        <f t="shared" si="33"/>
      </c>
      <c r="G4218" s="22" cm="1">
        <f t="array" ref="G4218">IF(AND(Inputs!$C$60,Inputs!$C$61),INDEX(Utility_Rates!$C$29:$F$52,HOUR(C4218)+Inputs!$C$69,MATCH(INDEX(Utility_Rates!$K$6:$K$17,MONTH(C4218))&amp;IF(WEEKDAY(C4218,Inputs!$C$76)&lt;=Inputs!$C$74," weekday"," weekend"),Utility_Rates!$C$28:$F$28,Inputs!$C$68)),"")</f>
      </c>
      <c r="H4218" s="34"/>
      <c r="I4218" s="42">
        <f>IF(AND(ISNUMBER(D4218),ISNUMBER(H4218)),D4218*H4218*Inputs!$C$69,"")</f>
      </c>
      <c r="J4218" s="42">
        <f>IF(AND(ISNUMBER(F4218),ISNUMBER(H4218),F4218&gt;=Inputs!$C$68),F4218*H4218*Inputs!$C$69,"")</f>
      </c>
    </row>
    <row r="4219" spans="2:10" ht="15" customHeight="1" x14ac:dyDescent="0.2">
      <c r="B4219" s="39">
        <f t="shared" si="32"/>
      </c>
      <c r="C4219" s="40">
        <f>IF(Inputs!$C$60,Inputs!$C$11+(B4219-Inputs!$C$69)/Inputs!$C$70,"")</f>
      </c>
      <c r="D4219" s="15"/>
      <c r="E4219" s="15"/>
      <c r="F4219" s="11">
        <f t="shared" si="33"/>
      </c>
      <c r="G4219" s="22" cm="1">
        <f t="array" ref="G4219">IF(AND(Inputs!$C$60,Inputs!$C$61),INDEX(Utility_Rates!$C$29:$F$52,HOUR(C4219)+Inputs!$C$69,MATCH(INDEX(Utility_Rates!$K$6:$K$17,MONTH(C4219))&amp;IF(WEEKDAY(C4219,Inputs!$C$76)&lt;=Inputs!$C$74," weekday"," weekend"),Utility_Rates!$C$28:$F$28,Inputs!$C$68)),"")</f>
      </c>
      <c r="H4219" s="34"/>
      <c r="I4219" s="42">
        <f>IF(AND(ISNUMBER(D4219),ISNUMBER(H4219)),D4219*H4219*Inputs!$C$69,"")</f>
      </c>
      <c r="J4219" s="42">
        <f>IF(AND(ISNUMBER(F4219),ISNUMBER(H4219),F4219&gt;=Inputs!$C$68),F4219*H4219*Inputs!$C$69,"")</f>
      </c>
    </row>
    <row r="4220" spans="2:10" ht="15" customHeight="1" x14ac:dyDescent="0.2">
      <c r="B4220" s="39">
        <f t="shared" si="32"/>
      </c>
      <c r="C4220" s="40">
        <f>IF(Inputs!$C$60,Inputs!$C$11+(B4220-Inputs!$C$69)/Inputs!$C$70,"")</f>
      </c>
      <c r="D4220" s="15"/>
      <c r="E4220" s="15"/>
      <c r="F4220" s="11">
        <f t="shared" si="33"/>
      </c>
      <c r="G4220" s="22" cm="1">
        <f t="array" ref="G4220">IF(AND(Inputs!$C$60,Inputs!$C$61),INDEX(Utility_Rates!$C$29:$F$52,HOUR(C4220)+Inputs!$C$69,MATCH(INDEX(Utility_Rates!$K$6:$K$17,MONTH(C4220))&amp;IF(WEEKDAY(C4220,Inputs!$C$76)&lt;=Inputs!$C$74," weekday"," weekend"),Utility_Rates!$C$28:$F$28,Inputs!$C$68)),"")</f>
      </c>
      <c r="H4220" s="34"/>
      <c r="I4220" s="42">
        <f>IF(AND(ISNUMBER(D4220),ISNUMBER(H4220)),D4220*H4220*Inputs!$C$69,"")</f>
      </c>
      <c r="J4220" s="42">
        <f>IF(AND(ISNUMBER(F4220),ISNUMBER(H4220),F4220&gt;=Inputs!$C$68),F4220*H4220*Inputs!$C$69,"")</f>
      </c>
    </row>
    <row r="4221" spans="2:10" ht="15" customHeight="1" x14ac:dyDescent="0.2">
      <c r="B4221" s="39">
        <f t="shared" si="32"/>
      </c>
      <c r="C4221" s="40">
        <f>IF(Inputs!$C$60,Inputs!$C$11+(B4221-Inputs!$C$69)/Inputs!$C$70,"")</f>
      </c>
      <c r="D4221" s="15"/>
      <c r="E4221" s="15"/>
      <c r="F4221" s="11">
        <f t="shared" si="33"/>
      </c>
      <c r="G4221" s="22" cm="1">
        <f t="array" ref="G4221">IF(AND(Inputs!$C$60,Inputs!$C$61),INDEX(Utility_Rates!$C$29:$F$52,HOUR(C4221)+Inputs!$C$69,MATCH(INDEX(Utility_Rates!$K$6:$K$17,MONTH(C4221))&amp;IF(WEEKDAY(C4221,Inputs!$C$76)&lt;=Inputs!$C$74," weekday"," weekend"),Utility_Rates!$C$28:$F$28,Inputs!$C$68)),"")</f>
      </c>
      <c r="H4221" s="34"/>
      <c r="I4221" s="42">
        <f>IF(AND(ISNUMBER(D4221),ISNUMBER(H4221)),D4221*H4221*Inputs!$C$69,"")</f>
      </c>
      <c r="J4221" s="42">
        <f>IF(AND(ISNUMBER(F4221),ISNUMBER(H4221),F4221&gt;=Inputs!$C$68),F4221*H4221*Inputs!$C$69,"")</f>
      </c>
    </row>
    <row r="4222" spans="2:10" ht="15" customHeight="1" x14ac:dyDescent="0.2">
      <c r="B4222" s="39">
        <f t="shared" si="32"/>
      </c>
      <c r="C4222" s="40">
        <f>IF(Inputs!$C$60,Inputs!$C$11+(B4222-Inputs!$C$69)/Inputs!$C$70,"")</f>
      </c>
      <c r="D4222" s="15"/>
      <c r="E4222" s="15"/>
      <c r="F4222" s="11">
        <f t="shared" si="33"/>
      </c>
      <c r="G4222" s="22" cm="1">
        <f t="array" ref="G4222">IF(AND(Inputs!$C$60,Inputs!$C$61),INDEX(Utility_Rates!$C$29:$F$52,HOUR(C4222)+Inputs!$C$69,MATCH(INDEX(Utility_Rates!$K$6:$K$17,MONTH(C4222))&amp;IF(WEEKDAY(C4222,Inputs!$C$76)&lt;=Inputs!$C$74," weekday"," weekend"),Utility_Rates!$C$28:$F$28,Inputs!$C$68)),"")</f>
      </c>
      <c r="H4222" s="34"/>
      <c r="I4222" s="42">
        <f>IF(AND(ISNUMBER(D4222),ISNUMBER(H4222)),D4222*H4222*Inputs!$C$69,"")</f>
      </c>
      <c r="J4222" s="42">
        <f>IF(AND(ISNUMBER(F4222),ISNUMBER(H4222),F4222&gt;=Inputs!$C$68),F4222*H4222*Inputs!$C$69,"")</f>
      </c>
    </row>
    <row r="4223" spans="2:10" ht="15" customHeight="1" x14ac:dyDescent="0.2">
      <c r="B4223" s="39">
        <f t="shared" si="32"/>
      </c>
      <c r="C4223" s="40">
        <f>IF(Inputs!$C$60,Inputs!$C$11+(B4223-Inputs!$C$69)/Inputs!$C$70,"")</f>
      </c>
      <c r="D4223" s="15"/>
      <c r="E4223" s="15"/>
      <c r="F4223" s="11">
        <f t="shared" si="33"/>
      </c>
      <c r="G4223" s="22" cm="1">
        <f t="array" ref="G4223">IF(AND(Inputs!$C$60,Inputs!$C$61),INDEX(Utility_Rates!$C$29:$F$52,HOUR(C4223)+Inputs!$C$69,MATCH(INDEX(Utility_Rates!$K$6:$K$17,MONTH(C4223))&amp;IF(WEEKDAY(C4223,Inputs!$C$76)&lt;=Inputs!$C$74," weekday"," weekend"),Utility_Rates!$C$28:$F$28,Inputs!$C$68)),"")</f>
      </c>
      <c r="H4223" s="34"/>
      <c r="I4223" s="42">
        <f>IF(AND(ISNUMBER(D4223),ISNUMBER(H4223)),D4223*H4223*Inputs!$C$69,"")</f>
      </c>
      <c r="J4223" s="42">
        <f>IF(AND(ISNUMBER(F4223),ISNUMBER(H4223),F4223&gt;=Inputs!$C$68),F4223*H4223*Inputs!$C$69,"")</f>
      </c>
    </row>
    <row r="4224" spans="2:10" ht="15" customHeight="1" x14ac:dyDescent="0.2">
      <c r="B4224" s="39">
        <f t="shared" si="32"/>
      </c>
      <c r="C4224" s="40">
        <f>IF(Inputs!$C$60,Inputs!$C$11+(B4224-Inputs!$C$69)/Inputs!$C$70,"")</f>
      </c>
      <c r="D4224" s="15"/>
      <c r="E4224" s="15"/>
      <c r="F4224" s="11">
        <f t="shared" si="33"/>
      </c>
      <c r="G4224" s="22" cm="1">
        <f t="array" ref="G4224">IF(AND(Inputs!$C$60,Inputs!$C$61),INDEX(Utility_Rates!$C$29:$F$52,HOUR(C4224)+Inputs!$C$69,MATCH(INDEX(Utility_Rates!$K$6:$K$17,MONTH(C4224))&amp;IF(WEEKDAY(C4224,Inputs!$C$76)&lt;=Inputs!$C$74," weekday"," weekend"),Utility_Rates!$C$28:$F$28,Inputs!$C$68)),"")</f>
      </c>
      <c r="H4224" s="34"/>
      <c r="I4224" s="42">
        <f>IF(AND(ISNUMBER(D4224),ISNUMBER(H4224)),D4224*H4224*Inputs!$C$69,"")</f>
      </c>
      <c r="J4224" s="42">
        <f>IF(AND(ISNUMBER(F4224),ISNUMBER(H4224),F4224&gt;=Inputs!$C$68),F4224*H4224*Inputs!$C$69,"")</f>
      </c>
    </row>
    <row r="4225" spans="2:10" ht="15" customHeight="1" x14ac:dyDescent="0.2">
      <c r="B4225" s="39">
        <f t="shared" si="32"/>
      </c>
      <c r="C4225" s="40">
        <f>IF(Inputs!$C$60,Inputs!$C$11+(B4225-Inputs!$C$69)/Inputs!$C$70,"")</f>
      </c>
      <c r="D4225" s="15"/>
      <c r="E4225" s="15"/>
      <c r="F4225" s="11">
        <f t="shared" si="33"/>
      </c>
      <c r="G4225" s="22" cm="1">
        <f t="array" ref="G4225">IF(AND(Inputs!$C$60,Inputs!$C$61),INDEX(Utility_Rates!$C$29:$F$52,HOUR(C4225)+Inputs!$C$69,MATCH(INDEX(Utility_Rates!$K$6:$K$17,MONTH(C4225))&amp;IF(WEEKDAY(C4225,Inputs!$C$76)&lt;=Inputs!$C$74," weekday"," weekend"),Utility_Rates!$C$28:$F$28,Inputs!$C$68)),"")</f>
      </c>
      <c r="H4225" s="34"/>
      <c r="I4225" s="42">
        <f>IF(AND(ISNUMBER(D4225),ISNUMBER(H4225)),D4225*H4225*Inputs!$C$69,"")</f>
      </c>
      <c r="J4225" s="42">
        <f>IF(AND(ISNUMBER(F4225),ISNUMBER(H4225),F4225&gt;=Inputs!$C$68),F4225*H4225*Inputs!$C$69,"")</f>
      </c>
    </row>
    <row r="4226" spans="2:10" ht="15" customHeight="1" x14ac:dyDescent="0.2">
      <c r="B4226" s="39">
        <f t="shared" si="32"/>
      </c>
      <c r="C4226" s="40">
        <f>IF(Inputs!$C$60,Inputs!$C$11+(B4226-Inputs!$C$69)/Inputs!$C$70,"")</f>
      </c>
      <c r="D4226" s="15"/>
      <c r="E4226" s="15"/>
      <c r="F4226" s="11">
        <f t="shared" si="33"/>
      </c>
      <c r="G4226" s="22" cm="1">
        <f t="array" ref="G4226">IF(AND(Inputs!$C$60,Inputs!$C$61),INDEX(Utility_Rates!$C$29:$F$52,HOUR(C4226)+Inputs!$C$69,MATCH(INDEX(Utility_Rates!$K$6:$K$17,MONTH(C4226))&amp;IF(WEEKDAY(C4226,Inputs!$C$76)&lt;=Inputs!$C$74," weekday"," weekend"),Utility_Rates!$C$28:$F$28,Inputs!$C$68)),"")</f>
      </c>
      <c r="H4226" s="34"/>
      <c r="I4226" s="42">
        <f>IF(AND(ISNUMBER(D4226),ISNUMBER(H4226)),D4226*H4226*Inputs!$C$69,"")</f>
      </c>
      <c r="J4226" s="42">
        <f>IF(AND(ISNUMBER(F4226),ISNUMBER(H4226),F4226&gt;=Inputs!$C$68),F4226*H4226*Inputs!$C$69,"")</f>
      </c>
    </row>
    <row r="4227" spans="2:10" ht="15" customHeight="1" x14ac:dyDescent="0.2">
      <c r="B4227" s="39">
        <f t="shared" si="32"/>
      </c>
      <c r="C4227" s="40">
        <f>IF(Inputs!$C$60,Inputs!$C$11+(B4227-Inputs!$C$69)/Inputs!$C$70,"")</f>
      </c>
      <c r="D4227" s="15"/>
      <c r="E4227" s="15"/>
      <c r="F4227" s="11">
        <f t="shared" si="33"/>
      </c>
      <c r="G4227" s="22" cm="1">
        <f t="array" ref="G4227">IF(AND(Inputs!$C$60,Inputs!$C$61),INDEX(Utility_Rates!$C$29:$F$52,HOUR(C4227)+Inputs!$C$69,MATCH(INDEX(Utility_Rates!$K$6:$K$17,MONTH(C4227))&amp;IF(WEEKDAY(C4227,Inputs!$C$76)&lt;=Inputs!$C$74," weekday"," weekend"),Utility_Rates!$C$28:$F$28,Inputs!$C$68)),"")</f>
      </c>
      <c r="H4227" s="34"/>
      <c r="I4227" s="42">
        <f>IF(AND(ISNUMBER(D4227),ISNUMBER(H4227)),D4227*H4227*Inputs!$C$69,"")</f>
      </c>
      <c r="J4227" s="42">
        <f>IF(AND(ISNUMBER(F4227),ISNUMBER(H4227),F4227&gt;=Inputs!$C$68),F4227*H4227*Inputs!$C$69,"")</f>
      </c>
    </row>
    <row r="4228" spans="2:10" ht="15" customHeight="1" x14ac:dyDescent="0.2">
      <c r="B4228" s="39">
        <f t="shared" si="32"/>
      </c>
      <c r="C4228" s="40">
        <f>IF(Inputs!$C$60,Inputs!$C$11+(B4228-Inputs!$C$69)/Inputs!$C$70,"")</f>
      </c>
      <c r="D4228" s="15"/>
      <c r="E4228" s="15"/>
      <c r="F4228" s="11">
        <f t="shared" si="33"/>
      </c>
      <c r="G4228" s="22" cm="1">
        <f t="array" ref="G4228">IF(AND(Inputs!$C$60,Inputs!$C$61),INDEX(Utility_Rates!$C$29:$F$52,HOUR(C4228)+Inputs!$C$69,MATCH(INDEX(Utility_Rates!$K$6:$K$17,MONTH(C4228))&amp;IF(WEEKDAY(C4228,Inputs!$C$76)&lt;=Inputs!$C$74," weekday"," weekend"),Utility_Rates!$C$28:$F$28,Inputs!$C$68)),"")</f>
      </c>
      <c r="H4228" s="34"/>
      <c r="I4228" s="42">
        <f>IF(AND(ISNUMBER(D4228),ISNUMBER(H4228)),D4228*H4228*Inputs!$C$69,"")</f>
      </c>
      <c r="J4228" s="42">
        <f>IF(AND(ISNUMBER(F4228),ISNUMBER(H4228),F4228&gt;=Inputs!$C$68),F4228*H4228*Inputs!$C$69,"")</f>
      </c>
    </row>
    <row r="4229" spans="2:10" ht="15" customHeight="1" x14ac:dyDescent="0.2">
      <c r="B4229" s="39">
        <f t="shared" si="32"/>
      </c>
      <c r="C4229" s="40">
        <f>IF(Inputs!$C$60,Inputs!$C$11+(B4229-Inputs!$C$69)/Inputs!$C$70,"")</f>
      </c>
      <c r="D4229" s="15"/>
      <c r="E4229" s="15"/>
      <c r="F4229" s="11">
        <f t="shared" si="33"/>
      </c>
      <c r="G4229" s="22" cm="1">
        <f t="array" ref="G4229">IF(AND(Inputs!$C$60,Inputs!$C$61),INDEX(Utility_Rates!$C$29:$F$52,HOUR(C4229)+Inputs!$C$69,MATCH(INDEX(Utility_Rates!$K$6:$K$17,MONTH(C4229))&amp;IF(WEEKDAY(C4229,Inputs!$C$76)&lt;=Inputs!$C$74," weekday"," weekend"),Utility_Rates!$C$28:$F$28,Inputs!$C$68)),"")</f>
      </c>
      <c r="H4229" s="34"/>
      <c r="I4229" s="42">
        <f>IF(AND(ISNUMBER(D4229),ISNUMBER(H4229)),D4229*H4229*Inputs!$C$69,"")</f>
      </c>
      <c r="J4229" s="42">
        <f>IF(AND(ISNUMBER(F4229),ISNUMBER(H4229),F4229&gt;=Inputs!$C$68),F4229*H4229*Inputs!$C$69,"")</f>
      </c>
    </row>
    <row r="4230" spans="2:10" ht="15" customHeight="1" x14ac:dyDescent="0.2">
      <c r="B4230" s="39">
        <f t="shared" si="32"/>
      </c>
      <c r="C4230" s="40">
        <f>IF(Inputs!$C$60,Inputs!$C$11+(B4230-Inputs!$C$69)/Inputs!$C$70,"")</f>
      </c>
      <c r="D4230" s="15"/>
      <c r="E4230" s="15"/>
      <c r="F4230" s="11">
        <f t="shared" si="33"/>
      </c>
      <c r="G4230" s="22" cm="1">
        <f t="array" ref="G4230">IF(AND(Inputs!$C$60,Inputs!$C$61),INDEX(Utility_Rates!$C$29:$F$52,HOUR(C4230)+Inputs!$C$69,MATCH(INDEX(Utility_Rates!$K$6:$K$17,MONTH(C4230))&amp;IF(WEEKDAY(C4230,Inputs!$C$76)&lt;=Inputs!$C$74," weekday"," weekend"),Utility_Rates!$C$28:$F$28,Inputs!$C$68)),"")</f>
      </c>
      <c r="H4230" s="34"/>
      <c r="I4230" s="42">
        <f>IF(AND(ISNUMBER(D4230),ISNUMBER(H4230)),D4230*H4230*Inputs!$C$69,"")</f>
      </c>
      <c r="J4230" s="42">
        <f>IF(AND(ISNUMBER(F4230),ISNUMBER(H4230),F4230&gt;=Inputs!$C$68),F4230*H4230*Inputs!$C$69,"")</f>
      </c>
    </row>
    <row r="4231" spans="2:10" ht="15" customHeight="1" x14ac:dyDescent="0.2">
      <c r="B4231" s="39">
        <f t="shared" si="32"/>
      </c>
      <c r="C4231" s="40">
        <f>IF(Inputs!$C$60,Inputs!$C$11+(B4231-Inputs!$C$69)/Inputs!$C$70,"")</f>
      </c>
      <c r="D4231" s="15"/>
      <c r="E4231" s="15"/>
      <c r="F4231" s="11">
        <f t="shared" si="33"/>
      </c>
      <c r="G4231" s="22" cm="1">
        <f t="array" ref="G4231">IF(AND(Inputs!$C$60,Inputs!$C$61),INDEX(Utility_Rates!$C$29:$F$52,HOUR(C4231)+Inputs!$C$69,MATCH(INDEX(Utility_Rates!$K$6:$K$17,MONTH(C4231))&amp;IF(WEEKDAY(C4231,Inputs!$C$76)&lt;=Inputs!$C$74," weekday"," weekend"),Utility_Rates!$C$28:$F$28,Inputs!$C$68)),"")</f>
      </c>
      <c r="H4231" s="34"/>
      <c r="I4231" s="42">
        <f>IF(AND(ISNUMBER(D4231),ISNUMBER(H4231)),D4231*H4231*Inputs!$C$69,"")</f>
      </c>
      <c r="J4231" s="42">
        <f>IF(AND(ISNUMBER(F4231),ISNUMBER(H4231),F4231&gt;=Inputs!$C$68),F4231*H4231*Inputs!$C$69,"")</f>
      </c>
    </row>
    <row r="4232" spans="2:10" ht="15" customHeight="1" x14ac:dyDescent="0.2">
      <c r="B4232" s="39">
        <f t="shared" si="32"/>
      </c>
      <c r="C4232" s="40">
        <f>IF(Inputs!$C$60,Inputs!$C$11+(B4232-Inputs!$C$69)/Inputs!$C$70,"")</f>
      </c>
      <c r="D4232" s="15"/>
      <c r="E4232" s="15"/>
      <c r="F4232" s="11">
        <f t="shared" si="33"/>
      </c>
      <c r="G4232" s="22" cm="1">
        <f t="array" ref="G4232">IF(AND(Inputs!$C$60,Inputs!$C$61),INDEX(Utility_Rates!$C$29:$F$52,HOUR(C4232)+Inputs!$C$69,MATCH(INDEX(Utility_Rates!$K$6:$K$17,MONTH(C4232))&amp;IF(WEEKDAY(C4232,Inputs!$C$76)&lt;=Inputs!$C$74," weekday"," weekend"),Utility_Rates!$C$28:$F$28,Inputs!$C$68)),"")</f>
      </c>
      <c r="H4232" s="34"/>
      <c r="I4232" s="42">
        <f>IF(AND(ISNUMBER(D4232),ISNUMBER(H4232)),D4232*H4232*Inputs!$C$69,"")</f>
      </c>
      <c r="J4232" s="42">
        <f>IF(AND(ISNUMBER(F4232),ISNUMBER(H4232),F4232&gt;=Inputs!$C$68),F4232*H4232*Inputs!$C$69,"")</f>
      </c>
    </row>
    <row r="4233" spans="2:10" ht="15" customHeight="1" x14ac:dyDescent="0.2">
      <c r="B4233" s="39">
        <f t="shared" si="32"/>
      </c>
      <c r="C4233" s="40">
        <f>IF(Inputs!$C$60,Inputs!$C$11+(B4233-Inputs!$C$69)/Inputs!$C$70,"")</f>
      </c>
      <c r="D4233" s="15"/>
      <c r="E4233" s="15"/>
      <c r="F4233" s="11">
        <f t="shared" si="33"/>
      </c>
      <c r="G4233" s="22" cm="1">
        <f t="array" ref="G4233">IF(AND(Inputs!$C$60,Inputs!$C$61),INDEX(Utility_Rates!$C$29:$F$52,HOUR(C4233)+Inputs!$C$69,MATCH(INDEX(Utility_Rates!$K$6:$K$17,MONTH(C4233))&amp;IF(WEEKDAY(C4233,Inputs!$C$76)&lt;=Inputs!$C$74," weekday"," weekend"),Utility_Rates!$C$28:$F$28,Inputs!$C$68)),"")</f>
      </c>
      <c r="H4233" s="34"/>
      <c r="I4233" s="42">
        <f>IF(AND(ISNUMBER(D4233),ISNUMBER(H4233)),D4233*H4233*Inputs!$C$69,"")</f>
      </c>
      <c r="J4233" s="42">
        <f>IF(AND(ISNUMBER(F4233),ISNUMBER(H4233),F4233&gt;=Inputs!$C$68),F4233*H4233*Inputs!$C$69,"")</f>
      </c>
    </row>
    <row r="4234" spans="2:10" ht="15" customHeight="1" x14ac:dyDescent="0.2">
      <c r="B4234" s="39">
        <f t="shared" si="32"/>
      </c>
      <c r="C4234" s="40">
        <f>IF(Inputs!$C$60,Inputs!$C$11+(B4234-Inputs!$C$69)/Inputs!$C$70,"")</f>
      </c>
      <c r="D4234" s="15"/>
      <c r="E4234" s="15"/>
      <c r="F4234" s="11">
        <f t="shared" si="33"/>
      </c>
      <c r="G4234" s="22" cm="1">
        <f t="array" ref="G4234">IF(AND(Inputs!$C$60,Inputs!$C$61),INDEX(Utility_Rates!$C$29:$F$52,HOUR(C4234)+Inputs!$C$69,MATCH(INDEX(Utility_Rates!$K$6:$K$17,MONTH(C4234))&amp;IF(WEEKDAY(C4234,Inputs!$C$76)&lt;=Inputs!$C$74," weekday"," weekend"),Utility_Rates!$C$28:$F$28,Inputs!$C$68)),"")</f>
      </c>
      <c r="H4234" s="34"/>
      <c r="I4234" s="42">
        <f>IF(AND(ISNUMBER(D4234),ISNUMBER(H4234)),D4234*H4234*Inputs!$C$69,"")</f>
      </c>
      <c r="J4234" s="42">
        <f>IF(AND(ISNUMBER(F4234),ISNUMBER(H4234),F4234&gt;=Inputs!$C$68),F4234*H4234*Inputs!$C$69,"")</f>
      </c>
    </row>
    <row r="4235" spans="2:10" ht="15" customHeight="1" x14ac:dyDescent="0.2">
      <c r="B4235" s="39">
        <f t="shared" si="32"/>
      </c>
      <c r="C4235" s="40">
        <f>IF(Inputs!$C$60,Inputs!$C$11+(B4235-Inputs!$C$69)/Inputs!$C$70,"")</f>
      </c>
      <c r="D4235" s="15"/>
      <c r="E4235" s="15"/>
      <c r="F4235" s="11">
        <f t="shared" si="33"/>
      </c>
      <c r="G4235" s="22" cm="1">
        <f t="array" ref="G4235">IF(AND(Inputs!$C$60,Inputs!$C$61),INDEX(Utility_Rates!$C$29:$F$52,HOUR(C4235)+Inputs!$C$69,MATCH(INDEX(Utility_Rates!$K$6:$K$17,MONTH(C4235))&amp;IF(WEEKDAY(C4235,Inputs!$C$76)&lt;=Inputs!$C$74," weekday"," weekend"),Utility_Rates!$C$28:$F$28,Inputs!$C$68)),"")</f>
      </c>
      <c r="H4235" s="34"/>
      <c r="I4235" s="42">
        <f>IF(AND(ISNUMBER(D4235),ISNUMBER(H4235)),D4235*H4235*Inputs!$C$69,"")</f>
      </c>
      <c r="J4235" s="42">
        <f>IF(AND(ISNUMBER(F4235),ISNUMBER(H4235),F4235&gt;=Inputs!$C$68),F4235*H4235*Inputs!$C$69,"")</f>
      </c>
    </row>
    <row r="4236" spans="2:10" ht="15" customHeight="1" x14ac:dyDescent="0.2">
      <c r="B4236" s="39">
        <f t="shared" si="32"/>
      </c>
      <c r="C4236" s="40">
        <f>IF(Inputs!$C$60,Inputs!$C$11+(B4236-Inputs!$C$69)/Inputs!$C$70,"")</f>
      </c>
      <c r="D4236" s="15"/>
      <c r="E4236" s="15"/>
      <c r="F4236" s="11">
        <f t="shared" si="33"/>
      </c>
      <c r="G4236" s="22" cm="1">
        <f t="array" ref="G4236">IF(AND(Inputs!$C$60,Inputs!$C$61),INDEX(Utility_Rates!$C$29:$F$52,HOUR(C4236)+Inputs!$C$69,MATCH(INDEX(Utility_Rates!$K$6:$K$17,MONTH(C4236))&amp;IF(WEEKDAY(C4236,Inputs!$C$76)&lt;=Inputs!$C$74," weekday"," weekend"),Utility_Rates!$C$28:$F$28,Inputs!$C$68)),"")</f>
      </c>
      <c r="H4236" s="34"/>
      <c r="I4236" s="42">
        <f>IF(AND(ISNUMBER(D4236),ISNUMBER(H4236)),D4236*H4236*Inputs!$C$69,"")</f>
      </c>
      <c r="J4236" s="42">
        <f>IF(AND(ISNUMBER(F4236),ISNUMBER(H4236),F4236&gt;=Inputs!$C$68),F4236*H4236*Inputs!$C$69,"")</f>
      </c>
    </row>
    <row r="4237" spans="2:10" ht="15" customHeight="1" x14ac:dyDescent="0.2">
      <c r="B4237" s="39">
        <f t="shared" si="32"/>
      </c>
      <c r="C4237" s="40">
        <f>IF(Inputs!$C$60,Inputs!$C$11+(B4237-Inputs!$C$69)/Inputs!$C$70,"")</f>
      </c>
      <c r="D4237" s="15"/>
      <c r="E4237" s="15"/>
      <c r="F4237" s="11">
        <f t="shared" si="33"/>
      </c>
      <c r="G4237" s="22" cm="1">
        <f t="array" ref="G4237">IF(AND(Inputs!$C$60,Inputs!$C$61),INDEX(Utility_Rates!$C$29:$F$52,HOUR(C4237)+Inputs!$C$69,MATCH(INDEX(Utility_Rates!$K$6:$K$17,MONTH(C4237))&amp;IF(WEEKDAY(C4237,Inputs!$C$76)&lt;=Inputs!$C$74," weekday"," weekend"),Utility_Rates!$C$28:$F$28,Inputs!$C$68)),"")</f>
      </c>
      <c r="H4237" s="34"/>
      <c r="I4237" s="42">
        <f>IF(AND(ISNUMBER(D4237),ISNUMBER(H4237)),D4237*H4237*Inputs!$C$69,"")</f>
      </c>
      <c r="J4237" s="42">
        <f>IF(AND(ISNUMBER(F4237),ISNUMBER(H4237),F4237&gt;=Inputs!$C$68),F4237*H4237*Inputs!$C$69,"")</f>
      </c>
    </row>
    <row r="4238" spans="2:10" ht="15" customHeight="1" x14ac:dyDescent="0.2">
      <c r="B4238" s="39">
        <f t="shared" si="32"/>
      </c>
      <c r="C4238" s="40">
        <f>IF(Inputs!$C$60,Inputs!$C$11+(B4238-Inputs!$C$69)/Inputs!$C$70,"")</f>
      </c>
      <c r="D4238" s="15"/>
      <c r="E4238" s="15"/>
      <c r="F4238" s="11">
        <f t="shared" si="33"/>
      </c>
      <c r="G4238" s="22" cm="1">
        <f t="array" ref="G4238">IF(AND(Inputs!$C$60,Inputs!$C$61),INDEX(Utility_Rates!$C$29:$F$52,HOUR(C4238)+Inputs!$C$69,MATCH(INDEX(Utility_Rates!$K$6:$K$17,MONTH(C4238))&amp;IF(WEEKDAY(C4238,Inputs!$C$76)&lt;=Inputs!$C$74," weekday"," weekend"),Utility_Rates!$C$28:$F$28,Inputs!$C$68)),"")</f>
      </c>
      <c r="H4238" s="34"/>
      <c r="I4238" s="42">
        <f>IF(AND(ISNUMBER(D4238),ISNUMBER(H4238)),D4238*H4238*Inputs!$C$69,"")</f>
      </c>
      <c r="J4238" s="42">
        <f>IF(AND(ISNUMBER(F4238),ISNUMBER(H4238),F4238&gt;=Inputs!$C$68),F4238*H4238*Inputs!$C$69,"")</f>
      </c>
    </row>
    <row r="4239" spans="2:10" ht="15" customHeight="1" x14ac:dyDescent="0.2">
      <c r="B4239" s="39">
        <f t="shared" si="32"/>
      </c>
      <c r="C4239" s="40">
        <f>IF(Inputs!$C$60,Inputs!$C$11+(B4239-Inputs!$C$69)/Inputs!$C$70,"")</f>
      </c>
      <c r="D4239" s="15"/>
      <c r="E4239" s="15"/>
      <c r="F4239" s="11">
        <f t="shared" si="33"/>
      </c>
      <c r="G4239" s="22" cm="1">
        <f t="array" ref="G4239">IF(AND(Inputs!$C$60,Inputs!$C$61),INDEX(Utility_Rates!$C$29:$F$52,HOUR(C4239)+Inputs!$C$69,MATCH(INDEX(Utility_Rates!$K$6:$K$17,MONTH(C4239))&amp;IF(WEEKDAY(C4239,Inputs!$C$76)&lt;=Inputs!$C$74," weekday"," weekend"),Utility_Rates!$C$28:$F$28,Inputs!$C$68)),"")</f>
      </c>
      <c r="H4239" s="34"/>
      <c r="I4239" s="42">
        <f>IF(AND(ISNUMBER(D4239),ISNUMBER(H4239)),D4239*H4239*Inputs!$C$69,"")</f>
      </c>
      <c r="J4239" s="42">
        <f>IF(AND(ISNUMBER(F4239),ISNUMBER(H4239),F4239&gt;=Inputs!$C$68),F4239*H4239*Inputs!$C$69,"")</f>
      </c>
    </row>
    <row r="4240" spans="2:10" ht="15" customHeight="1" x14ac:dyDescent="0.2">
      <c r="B4240" s="39">
        <f t="shared" si="32"/>
      </c>
      <c r="C4240" s="40">
        <f>IF(Inputs!$C$60,Inputs!$C$11+(B4240-Inputs!$C$69)/Inputs!$C$70,"")</f>
      </c>
      <c r="D4240" s="15"/>
      <c r="E4240" s="15"/>
      <c r="F4240" s="11">
        <f t="shared" si="33"/>
      </c>
      <c r="G4240" s="22" cm="1">
        <f t="array" ref="G4240">IF(AND(Inputs!$C$60,Inputs!$C$61),INDEX(Utility_Rates!$C$29:$F$52,HOUR(C4240)+Inputs!$C$69,MATCH(INDEX(Utility_Rates!$K$6:$K$17,MONTH(C4240))&amp;IF(WEEKDAY(C4240,Inputs!$C$76)&lt;=Inputs!$C$74," weekday"," weekend"),Utility_Rates!$C$28:$F$28,Inputs!$C$68)),"")</f>
      </c>
      <c r="H4240" s="34"/>
      <c r="I4240" s="42">
        <f>IF(AND(ISNUMBER(D4240),ISNUMBER(H4240)),D4240*H4240*Inputs!$C$69,"")</f>
      </c>
      <c r="J4240" s="42">
        <f>IF(AND(ISNUMBER(F4240),ISNUMBER(H4240),F4240&gt;=Inputs!$C$68),F4240*H4240*Inputs!$C$69,"")</f>
      </c>
    </row>
    <row r="4241" spans="2:10" ht="15" customHeight="1" x14ac:dyDescent="0.2">
      <c r="B4241" s="39">
        <f t="shared" si="32"/>
      </c>
      <c r="C4241" s="40">
        <f>IF(Inputs!$C$60,Inputs!$C$11+(B4241-Inputs!$C$69)/Inputs!$C$70,"")</f>
      </c>
      <c r="D4241" s="15"/>
      <c r="E4241" s="15"/>
      <c r="F4241" s="11">
        <f t="shared" si="33"/>
      </c>
      <c r="G4241" s="22" cm="1">
        <f t="array" ref="G4241">IF(AND(Inputs!$C$60,Inputs!$C$61),INDEX(Utility_Rates!$C$29:$F$52,HOUR(C4241)+Inputs!$C$69,MATCH(INDEX(Utility_Rates!$K$6:$K$17,MONTH(C4241))&amp;IF(WEEKDAY(C4241,Inputs!$C$76)&lt;=Inputs!$C$74," weekday"," weekend"),Utility_Rates!$C$28:$F$28,Inputs!$C$68)),"")</f>
      </c>
      <c r="H4241" s="34"/>
      <c r="I4241" s="42">
        <f>IF(AND(ISNUMBER(D4241),ISNUMBER(H4241)),D4241*H4241*Inputs!$C$69,"")</f>
      </c>
      <c r="J4241" s="42">
        <f>IF(AND(ISNUMBER(F4241),ISNUMBER(H4241),F4241&gt;=Inputs!$C$68),F4241*H4241*Inputs!$C$69,"")</f>
      </c>
    </row>
    <row r="4242" spans="2:10" ht="15" customHeight="1" x14ac:dyDescent="0.2">
      <c r="B4242" s="39">
        <f t="shared" si="32"/>
      </c>
      <c r="C4242" s="40">
        <f>IF(Inputs!$C$60,Inputs!$C$11+(B4242-Inputs!$C$69)/Inputs!$C$70,"")</f>
      </c>
      <c r="D4242" s="15"/>
      <c r="E4242" s="15"/>
      <c r="F4242" s="11">
        <f t="shared" si="33"/>
      </c>
      <c r="G4242" s="22" cm="1">
        <f t="array" ref="G4242">IF(AND(Inputs!$C$60,Inputs!$C$61),INDEX(Utility_Rates!$C$29:$F$52,HOUR(C4242)+Inputs!$C$69,MATCH(INDEX(Utility_Rates!$K$6:$K$17,MONTH(C4242))&amp;IF(WEEKDAY(C4242,Inputs!$C$76)&lt;=Inputs!$C$74," weekday"," weekend"),Utility_Rates!$C$28:$F$28,Inputs!$C$68)),"")</f>
      </c>
      <c r="H4242" s="34"/>
      <c r="I4242" s="42">
        <f>IF(AND(ISNUMBER(D4242),ISNUMBER(H4242)),D4242*H4242*Inputs!$C$69,"")</f>
      </c>
      <c r="J4242" s="42">
        <f>IF(AND(ISNUMBER(F4242),ISNUMBER(H4242),F4242&gt;=Inputs!$C$68),F4242*H4242*Inputs!$C$69,"")</f>
      </c>
    </row>
    <row r="4243" spans="2:10" ht="15" customHeight="1" x14ac:dyDescent="0.2">
      <c r="B4243" s="39">
        <f t="shared" si="32"/>
      </c>
      <c r="C4243" s="40">
        <f>IF(Inputs!$C$60,Inputs!$C$11+(B4243-Inputs!$C$69)/Inputs!$C$70,"")</f>
      </c>
      <c r="D4243" s="15"/>
      <c r="E4243" s="15"/>
      <c r="F4243" s="11">
        <f t="shared" si="33"/>
      </c>
      <c r="G4243" s="22" cm="1">
        <f t="array" ref="G4243">IF(AND(Inputs!$C$60,Inputs!$C$61),INDEX(Utility_Rates!$C$29:$F$52,HOUR(C4243)+Inputs!$C$69,MATCH(INDEX(Utility_Rates!$K$6:$K$17,MONTH(C4243))&amp;IF(WEEKDAY(C4243,Inputs!$C$76)&lt;=Inputs!$C$74," weekday"," weekend"),Utility_Rates!$C$28:$F$28,Inputs!$C$68)),"")</f>
      </c>
      <c r="H4243" s="34"/>
      <c r="I4243" s="42">
        <f>IF(AND(ISNUMBER(D4243),ISNUMBER(H4243)),D4243*H4243*Inputs!$C$69,"")</f>
      </c>
      <c r="J4243" s="42">
        <f>IF(AND(ISNUMBER(F4243),ISNUMBER(H4243),F4243&gt;=Inputs!$C$68),F4243*H4243*Inputs!$C$69,"")</f>
      </c>
    </row>
    <row r="4244" spans="2:10" ht="15" customHeight="1" x14ac:dyDescent="0.2">
      <c r="B4244" s="39">
        <f t="shared" si="32"/>
      </c>
      <c r="C4244" s="40">
        <f>IF(Inputs!$C$60,Inputs!$C$11+(B4244-Inputs!$C$69)/Inputs!$C$70,"")</f>
      </c>
      <c r="D4244" s="15"/>
      <c r="E4244" s="15"/>
      <c r="F4244" s="11">
        <f t="shared" si="33"/>
      </c>
      <c r="G4244" s="22" cm="1">
        <f t="array" ref="G4244">IF(AND(Inputs!$C$60,Inputs!$C$61),INDEX(Utility_Rates!$C$29:$F$52,HOUR(C4244)+Inputs!$C$69,MATCH(INDEX(Utility_Rates!$K$6:$K$17,MONTH(C4244))&amp;IF(WEEKDAY(C4244,Inputs!$C$76)&lt;=Inputs!$C$74," weekday"," weekend"),Utility_Rates!$C$28:$F$28,Inputs!$C$68)),"")</f>
      </c>
      <c r="H4244" s="34"/>
      <c r="I4244" s="42">
        <f>IF(AND(ISNUMBER(D4244),ISNUMBER(H4244)),D4244*H4244*Inputs!$C$69,"")</f>
      </c>
      <c r="J4244" s="42">
        <f>IF(AND(ISNUMBER(F4244),ISNUMBER(H4244),F4244&gt;=Inputs!$C$68),F4244*H4244*Inputs!$C$69,"")</f>
      </c>
    </row>
    <row r="4245" spans="2:10" ht="15" customHeight="1" x14ac:dyDescent="0.2">
      <c r="B4245" s="39">
        <f t="shared" si="32"/>
      </c>
      <c r="C4245" s="40">
        <f>IF(Inputs!$C$60,Inputs!$C$11+(B4245-Inputs!$C$69)/Inputs!$C$70,"")</f>
      </c>
      <c r="D4245" s="15"/>
      <c r="E4245" s="15"/>
      <c r="F4245" s="11">
        <f t="shared" si="33"/>
      </c>
      <c r="G4245" s="22" cm="1">
        <f t="array" ref="G4245">IF(AND(Inputs!$C$60,Inputs!$C$61),INDEX(Utility_Rates!$C$29:$F$52,HOUR(C4245)+Inputs!$C$69,MATCH(INDEX(Utility_Rates!$K$6:$K$17,MONTH(C4245))&amp;IF(WEEKDAY(C4245,Inputs!$C$76)&lt;=Inputs!$C$74," weekday"," weekend"),Utility_Rates!$C$28:$F$28,Inputs!$C$68)),"")</f>
      </c>
      <c r="H4245" s="34"/>
      <c r="I4245" s="42">
        <f>IF(AND(ISNUMBER(D4245),ISNUMBER(H4245)),D4245*H4245*Inputs!$C$69,"")</f>
      </c>
      <c r="J4245" s="42">
        <f>IF(AND(ISNUMBER(F4245),ISNUMBER(H4245),F4245&gt;=Inputs!$C$68),F4245*H4245*Inputs!$C$69,"")</f>
      </c>
    </row>
    <row r="4246" spans="2:10" ht="15" customHeight="1" x14ac:dyDescent="0.2">
      <c r="B4246" s="39">
        <f t="shared" si="32"/>
      </c>
      <c r="C4246" s="40">
        <f>IF(Inputs!$C$60,Inputs!$C$11+(B4246-Inputs!$C$69)/Inputs!$C$70,"")</f>
      </c>
      <c r="D4246" s="15"/>
      <c r="E4246" s="15"/>
      <c r="F4246" s="11">
        <f t="shared" si="33"/>
      </c>
      <c r="G4246" s="22" cm="1">
        <f t="array" ref="G4246">IF(AND(Inputs!$C$60,Inputs!$C$61),INDEX(Utility_Rates!$C$29:$F$52,HOUR(C4246)+Inputs!$C$69,MATCH(INDEX(Utility_Rates!$K$6:$K$17,MONTH(C4246))&amp;IF(WEEKDAY(C4246,Inputs!$C$76)&lt;=Inputs!$C$74," weekday"," weekend"),Utility_Rates!$C$28:$F$28,Inputs!$C$68)),"")</f>
      </c>
      <c r="H4246" s="34"/>
      <c r="I4246" s="42">
        <f>IF(AND(ISNUMBER(D4246),ISNUMBER(H4246)),D4246*H4246*Inputs!$C$69,"")</f>
      </c>
      <c r="J4246" s="42">
        <f>IF(AND(ISNUMBER(F4246),ISNUMBER(H4246),F4246&gt;=Inputs!$C$68),F4246*H4246*Inputs!$C$69,"")</f>
      </c>
    </row>
    <row r="4247" spans="2:10" ht="15" customHeight="1" x14ac:dyDescent="0.2">
      <c r="B4247" s="39">
        <f t="shared" si="32"/>
      </c>
      <c r="C4247" s="40">
        <f>IF(Inputs!$C$60,Inputs!$C$11+(B4247-Inputs!$C$69)/Inputs!$C$70,"")</f>
      </c>
      <c r="D4247" s="15"/>
      <c r="E4247" s="15"/>
      <c r="F4247" s="11">
        <f t="shared" si="33"/>
      </c>
      <c r="G4247" s="22" cm="1">
        <f t="array" ref="G4247">IF(AND(Inputs!$C$60,Inputs!$C$61),INDEX(Utility_Rates!$C$29:$F$52,HOUR(C4247)+Inputs!$C$69,MATCH(INDEX(Utility_Rates!$K$6:$K$17,MONTH(C4247))&amp;IF(WEEKDAY(C4247,Inputs!$C$76)&lt;=Inputs!$C$74," weekday"," weekend"),Utility_Rates!$C$28:$F$28,Inputs!$C$68)),"")</f>
      </c>
      <c r="H4247" s="34"/>
      <c r="I4247" s="42">
        <f>IF(AND(ISNUMBER(D4247),ISNUMBER(H4247)),D4247*H4247*Inputs!$C$69,"")</f>
      </c>
      <c r="J4247" s="42">
        <f>IF(AND(ISNUMBER(F4247),ISNUMBER(H4247),F4247&gt;=Inputs!$C$68),F4247*H4247*Inputs!$C$69,"")</f>
      </c>
    </row>
    <row r="4248" spans="2:10" ht="15" customHeight="1" x14ac:dyDescent="0.2">
      <c r="B4248" s="39">
        <f t="shared" si="32"/>
      </c>
      <c r="C4248" s="40">
        <f>IF(Inputs!$C$60,Inputs!$C$11+(B4248-Inputs!$C$69)/Inputs!$C$70,"")</f>
      </c>
      <c r="D4248" s="15"/>
      <c r="E4248" s="15"/>
      <c r="F4248" s="11">
        <f t="shared" si="33"/>
      </c>
      <c r="G4248" s="22" cm="1">
        <f t="array" ref="G4248">IF(AND(Inputs!$C$60,Inputs!$C$61),INDEX(Utility_Rates!$C$29:$F$52,HOUR(C4248)+Inputs!$C$69,MATCH(INDEX(Utility_Rates!$K$6:$K$17,MONTH(C4248))&amp;IF(WEEKDAY(C4248,Inputs!$C$76)&lt;=Inputs!$C$74," weekday"," weekend"),Utility_Rates!$C$28:$F$28,Inputs!$C$68)),"")</f>
      </c>
      <c r="H4248" s="34"/>
      <c r="I4248" s="42">
        <f>IF(AND(ISNUMBER(D4248),ISNUMBER(H4248)),D4248*H4248*Inputs!$C$69,"")</f>
      </c>
      <c r="J4248" s="42">
        <f>IF(AND(ISNUMBER(F4248),ISNUMBER(H4248),F4248&gt;=Inputs!$C$68),F4248*H4248*Inputs!$C$69,"")</f>
      </c>
    </row>
    <row r="4249" spans="2:10" ht="15" customHeight="1" x14ac:dyDescent="0.2">
      <c r="B4249" s="39">
        <f t="shared" si="32"/>
      </c>
      <c r="C4249" s="40">
        <f>IF(Inputs!$C$60,Inputs!$C$11+(B4249-Inputs!$C$69)/Inputs!$C$70,"")</f>
      </c>
      <c r="D4249" s="15"/>
      <c r="E4249" s="15"/>
      <c r="F4249" s="11">
        <f t="shared" si="33"/>
      </c>
      <c r="G4249" s="22" cm="1">
        <f t="array" ref="G4249">IF(AND(Inputs!$C$60,Inputs!$C$61),INDEX(Utility_Rates!$C$29:$F$52,HOUR(C4249)+Inputs!$C$69,MATCH(INDEX(Utility_Rates!$K$6:$K$17,MONTH(C4249))&amp;IF(WEEKDAY(C4249,Inputs!$C$76)&lt;=Inputs!$C$74," weekday"," weekend"),Utility_Rates!$C$28:$F$28,Inputs!$C$68)),"")</f>
      </c>
      <c r="H4249" s="34"/>
      <c r="I4249" s="42">
        <f>IF(AND(ISNUMBER(D4249),ISNUMBER(H4249)),D4249*H4249*Inputs!$C$69,"")</f>
      </c>
      <c r="J4249" s="42">
        <f>IF(AND(ISNUMBER(F4249),ISNUMBER(H4249),F4249&gt;=Inputs!$C$68),F4249*H4249*Inputs!$C$69,"")</f>
      </c>
    </row>
    <row r="4250" spans="2:10" ht="15" customHeight="1" x14ac:dyDescent="0.2">
      <c r="B4250" s="39">
        <f t="shared" si="32"/>
      </c>
      <c r="C4250" s="40">
        <f>IF(Inputs!$C$60,Inputs!$C$11+(B4250-Inputs!$C$69)/Inputs!$C$70,"")</f>
      </c>
      <c r="D4250" s="15"/>
      <c r="E4250" s="15"/>
      <c r="F4250" s="11">
        <f t="shared" si="33"/>
      </c>
      <c r="G4250" s="22" cm="1">
        <f t="array" ref="G4250">IF(AND(Inputs!$C$60,Inputs!$C$61),INDEX(Utility_Rates!$C$29:$F$52,HOUR(C4250)+Inputs!$C$69,MATCH(INDEX(Utility_Rates!$K$6:$K$17,MONTH(C4250))&amp;IF(WEEKDAY(C4250,Inputs!$C$76)&lt;=Inputs!$C$74," weekday"," weekend"),Utility_Rates!$C$28:$F$28,Inputs!$C$68)),"")</f>
      </c>
      <c r="H4250" s="34"/>
      <c r="I4250" s="42">
        <f>IF(AND(ISNUMBER(D4250),ISNUMBER(H4250)),D4250*H4250*Inputs!$C$69,"")</f>
      </c>
      <c r="J4250" s="42">
        <f>IF(AND(ISNUMBER(F4250),ISNUMBER(H4250),F4250&gt;=Inputs!$C$68),F4250*H4250*Inputs!$C$69,"")</f>
      </c>
    </row>
    <row r="4251" spans="2:10" ht="15" customHeight="1" x14ac:dyDescent="0.2">
      <c r="B4251" s="39">
        <f t="shared" si="32"/>
      </c>
      <c r="C4251" s="40">
        <f>IF(Inputs!$C$60,Inputs!$C$11+(B4251-Inputs!$C$69)/Inputs!$C$70,"")</f>
      </c>
      <c r="D4251" s="15"/>
      <c r="E4251" s="15"/>
      <c r="F4251" s="11">
        <f t="shared" si="33"/>
      </c>
      <c r="G4251" s="22" cm="1">
        <f t="array" ref="G4251">IF(AND(Inputs!$C$60,Inputs!$C$61),INDEX(Utility_Rates!$C$29:$F$52,HOUR(C4251)+Inputs!$C$69,MATCH(INDEX(Utility_Rates!$K$6:$K$17,MONTH(C4251))&amp;IF(WEEKDAY(C4251,Inputs!$C$76)&lt;=Inputs!$C$74," weekday"," weekend"),Utility_Rates!$C$28:$F$28,Inputs!$C$68)),"")</f>
      </c>
      <c r="H4251" s="34"/>
      <c r="I4251" s="42">
        <f>IF(AND(ISNUMBER(D4251),ISNUMBER(H4251)),D4251*H4251*Inputs!$C$69,"")</f>
      </c>
      <c r="J4251" s="42">
        <f>IF(AND(ISNUMBER(F4251),ISNUMBER(H4251),F4251&gt;=Inputs!$C$68),F4251*H4251*Inputs!$C$69,"")</f>
      </c>
    </row>
    <row r="4252" spans="2:10" ht="15" customHeight="1" x14ac:dyDescent="0.2">
      <c r="B4252" s="39">
        <f t="shared" si="32"/>
      </c>
      <c r="C4252" s="40">
        <f>IF(Inputs!$C$60,Inputs!$C$11+(B4252-Inputs!$C$69)/Inputs!$C$70,"")</f>
      </c>
      <c r="D4252" s="15"/>
      <c r="E4252" s="15"/>
      <c r="F4252" s="11">
        <f t="shared" si="33"/>
      </c>
      <c r="G4252" s="22" cm="1">
        <f t="array" ref="G4252">IF(AND(Inputs!$C$60,Inputs!$C$61),INDEX(Utility_Rates!$C$29:$F$52,HOUR(C4252)+Inputs!$C$69,MATCH(INDEX(Utility_Rates!$K$6:$K$17,MONTH(C4252))&amp;IF(WEEKDAY(C4252,Inputs!$C$76)&lt;=Inputs!$C$74," weekday"," weekend"),Utility_Rates!$C$28:$F$28,Inputs!$C$68)),"")</f>
      </c>
      <c r="H4252" s="34"/>
      <c r="I4252" s="42">
        <f>IF(AND(ISNUMBER(D4252),ISNUMBER(H4252)),D4252*H4252*Inputs!$C$69,"")</f>
      </c>
      <c r="J4252" s="42">
        <f>IF(AND(ISNUMBER(F4252),ISNUMBER(H4252),F4252&gt;=Inputs!$C$68),F4252*H4252*Inputs!$C$69,"")</f>
      </c>
    </row>
    <row r="4253" spans="2:10" ht="15" customHeight="1" x14ac:dyDescent="0.2">
      <c r="B4253" s="39">
        <f t="shared" si="32"/>
      </c>
      <c r="C4253" s="40">
        <f>IF(Inputs!$C$60,Inputs!$C$11+(B4253-Inputs!$C$69)/Inputs!$C$70,"")</f>
      </c>
      <c r="D4253" s="15"/>
      <c r="E4253" s="15"/>
      <c r="F4253" s="11">
        <f t="shared" si="33"/>
      </c>
      <c r="G4253" s="22" cm="1">
        <f t="array" ref="G4253">IF(AND(Inputs!$C$60,Inputs!$C$61),INDEX(Utility_Rates!$C$29:$F$52,HOUR(C4253)+Inputs!$C$69,MATCH(INDEX(Utility_Rates!$K$6:$K$17,MONTH(C4253))&amp;IF(WEEKDAY(C4253,Inputs!$C$76)&lt;=Inputs!$C$74," weekday"," weekend"),Utility_Rates!$C$28:$F$28,Inputs!$C$68)),"")</f>
      </c>
      <c r="H4253" s="34"/>
      <c r="I4253" s="42">
        <f>IF(AND(ISNUMBER(D4253),ISNUMBER(H4253)),D4253*H4253*Inputs!$C$69,"")</f>
      </c>
      <c r="J4253" s="42">
        <f>IF(AND(ISNUMBER(F4253),ISNUMBER(H4253),F4253&gt;=Inputs!$C$68),F4253*H4253*Inputs!$C$69,"")</f>
      </c>
    </row>
    <row r="4254" spans="2:10" ht="15" customHeight="1" x14ac:dyDescent="0.2">
      <c r="B4254" s="39">
        <f t="shared" si="32"/>
      </c>
      <c r="C4254" s="40">
        <f>IF(Inputs!$C$60,Inputs!$C$11+(B4254-Inputs!$C$69)/Inputs!$C$70,"")</f>
      </c>
      <c r="D4254" s="15"/>
      <c r="E4254" s="15"/>
      <c r="F4254" s="11">
        <f t="shared" si="33"/>
      </c>
      <c r="G4254" s="22" cm="1">
        <f t="array" ref="G4254">IF(AND(Inputs!$C$60,Inputs!$C$61),INDEX(Utility_Rates!$C$29:$F$52,HOUR(C4254)+Inputs!$C$69,MATCH(INDEX(Utility_Rates!$K$6:$K$17,MONTH(C4254))&amp;IF(WEEKDAY(C4254,Inputs!$C$76)&lt;=Inputs!$C$74," weekday"," weekend"),Utility_Rates!$C$28:$F$28,Inputs!$C$68)),"")</f>
      </c>
      <c r="H4254" s="34"/>
      <c r="I4254" s="42">
        <f>IF(AND(ISNUMBER(D4254),ISNUMBER(H4254)),D4254*H4254*Inputs!$C$69,"")</f>
      </c>
      <c r="J4254" s="42">
        <f>IF(AND(ISNUMBER(F4254),ISNUMBER(H4254),F4254&gt;=Inputs!$C$68),F4254*H4254*Inputs!$C$69,"")</f>
      </c>
    </row>
    <row r="4255" spans="2:10" ht="15" customHeight="1" x14ac:dyDescent="0.2">
      <c r="B4255" s="39">
        <f t="shared" si="32"/>
      </c>
      <c r="C4255" s="40">
        <f>IF(Inputs!$C$60,Inputs!$C$11+(B4255-Inputs!$C$69)/Inputs!$C$70,"")</f>
      </c>
      <c r="D4255" s="15"/>
      <c r="E4255" s="15"/>
      <c r="F4255" s="11">
        <f t="shared" si="33"/>
      </c>
      <c r="G4255" s="22" cm="1">
        <f t="array" ref="G4255">IF(AND(Inputs!$C$60,Inputs!$C$61),INDEX(Utility_Rates!$C$29:$F$52,HOUR(C4255)+Inputs!$C$69,MATCH(INDEX(Utility_Rates!$K$6:$K$17,MONTH(C4255))&amp;IF(WEEKDAY(C4255,Inputs!$C$76)&lt;=Inputs!$C$74," weekday"," weekend"),Utility_Rates!$C$28:$F$28,Inputs!$C$68)),"")</f>
      </c>
      <c r="H4255" s="34"/>
      <c r="I4255" s="42">
        <f>IF(AND(ISNUMBER(D4255),ISNUMBER(H4255)),D4255*H4255*Inputs!$C$69,"")</f>
      </c>
      <c r="J4255" s="42">
        <f>IF(AND(ISNUMBER(F4255),ISNUMBER(H4255),F4255&gt;=Inputs!$C$68),F4255*H4255*Inputs!$C$69,"")</f>
      </c>
    </row>
    <row r="4256" spans="2:10" ht="15" customHeight="1" x14ac:dyDescent="0.2">
      <c r="B4256" s="39">
        <f t="shared" si="32"/>
      </c>
      <c r="C4256" s="40">
        <f>IF(Inputs!$C$60,Inputs!$C$11+(B4256-Inputs!$C$69)/Inputs!$C$70,"")</f>
      </c>
      <c r="D4256" s="15"/>
      <c r="E4256" s="15"/>
      <c r="F4256" s="11">
        <f t="shared" si="33"/>
      </c>
      <c r="G4256" s="22" cm="1">
        <f t="array" ref="G4256">IF(AND(Inputs!$C$60,Inputs!$C$61),INDEX(Utility_Rates!$C$29:$F$52,HOUR(C4256)+Inputs!$C$69,MATCH(INDEX(Utility_Rates!$K$6:$K$17,MONTH(C4256))&amp;IF(WEEKDAY(C4256,Inputs!$C$76)&lt;=Inputs!$C$74," weekday"," weekend"),Utility_Rates!$C$28:$F$28,Inputs!$C$68)),"")</f>
      </c>
      <c r="H4256" s="34"/>
      <c r="I4256" s="42">
        <f>IF(AND(ISNUMBER(D4256),ISNUMBER(H4256)),D4256*H4256*Inputs!$C$69,"")</f>
      </c>
      <c r="J4256" s="42">
        <f>IF(AND(ISNUMBER(F4256),ISNUMBER(H4256),F4256&gt;=Inputs!$C$68),F4256*H4256*Inputs!$C$69,"")</f>
      </c>
    </row>
    <row r="4257" spans="2:10" ht="15" customHeight="1" x14ac:dyDescent="0.2">
      <c r="B4257" s="39">
        <f t="shared" si="32"/>
      </c>
      <c r="C4257" s="40">
        <f>IF(Inputs!$C$60,Inputs!$C$11+(B4257-Inputs!$C$69)/Inputs!$C$70,"")</f>
      </c>
      <c r="D4257" s="15"/>
      <c r="E4257" s="15"/>
      <c r="F4257" s="11">
        <f t="shared" si="33"/>
      </c>
      <c r="G4257" s="22" cm="1">
        <f t="array" ref="G4257">IF(AND(Inputs!$C$60,Inputs!$C$61),INDEX(Utility_Rates!$C$29:$F$52,HOUR(C4257)+Inputs!$C$69,MATCH(INDEX(Utility_Rates!$K$6:$K$17,MONTH(C4257))&amp;IF(WEEKDAY(C4257,Inputs!$C$76)&lt;=Inputs!$C$74," weekday"," weekend"),Utility_Rates!$C$28:$F$28,Inputs!$C$68)),"")</f>
      </c>
      <c r="H4257" s="34"/>
      <c r="I4257" s="42">
        <f>IF(AND(ISNUMBER(D4257),ISNUMBER(H4257)),D4257*H4257*Inputs!$C$69,"")</f>
      </c>
      <c r="J4257" s="42">
        <f>IF(AND(ISNUMBER(F4257),ISNUMBER(H4257),F4257&gt;=Inputs!$C$68),F4257*H4257*Inputs!$C$69,"")</f>
      </c>
    </row>
    <row r="4258" spans="2:10" ht="15" customHeight="1" x14ac:dyDescent="0.2">
      <c r="B4258" s="39">
        <f t="shared" si="32"/>
      </c>
      <c r="C4258" s="40">
        <f>IF(Inputs!$C$60,Inputs!$C$11+(B4258-Inputs!$C$69)/Inputs!$C$70,"")</f>
      </c>
      <c r="D4258" s="15"/>
      <c r="E4258" s="15"/>
      <c r="F4258" s="11">
        <f t="shared" si="33"/>
      </c>
      <c r="G4258" s="22" cm="1">
        <f t="array" ref="G4258">IF(AND(Inputs!$C$60,Inputs!$C$61),INDEX(Utility_Rates!$C$29:$F$52,HOUR(C4258)+Inputs!$C$69,MATCH(INDEX(Utility_Rates!$K$6:$K$17,MONTH(C4258))&amp;IF(WEEKDAY(C4258,Inputs!$C$76)&lt;=Inputs!$C$74," weekday"," weekend"),Utility_Rates!$C$28:$F$28,Inputs!$C$68)),"")</f>
      </c>
      <c r="H4258" s="34"/>
      <c r="I4258" s="42">
        <f>IF(AND(ISNUMBER(D4258),ISNUMBER(H4258)),D4258*H4258*Inputs!$C$69,"")</f>
      </c>
      <c r="J4258" s="42">
        <f>IF(AND(ISNUMBER(F4258),ISNUMBER(H4258),F4258&gt;=Inputs!$C$68),F4258*H4258*Inputs!$C$69,"")</f>
      </c>
    </row>
    <row r="4259" spans="2:10" ht="15" customHeight="1" x14ac:dyDescent="0.2">
      <c r="B4259" s="39">
        <f t="shared" si="32"/>
      </c>
      <c r="C4259" s="40">
        <f>IF(Inputs!$C$60,Inputs!$C$11+(B4259-Inputs!$C$69)/Inputs!$C$70,"")</f>
      </c>
      <c r="D4259" s="15"/>
      <c r="E4259" s="15"/>
      <c r="F4259" s="11">
        <f t="shared" si="33"/>
      </c>
      <c r="G4259" s="22" cm="1">
        <f t="array" ref="G4259">IF(AND(Inputs!$C$60,Inputs!$C$61),INDEX(Utility_Rates!$C$29:$F$52,HOUR(C4259)+Inputs!$C$69,MATCH(INDEX(Utility_Rates!$K$6:$K$17,MONTH(C4259))&amp;IF(WEEKDAY(C4259,Inputs!$C$76)&lt;=Inputs!$C$74," weekday"," weekend"),Utility_Rates!$C$28:$F$28,Inputs!$C$68)),"")</f>
      </c>
      <c r="H4259" s="34"/>
      <c r="I4259" s="42">
        <f>IF(AND(ISNUMBER(D4259),ISNUMBER(H4259)),D4259*H4259*Inputs!$C$69,"")</f>
      </c>
      <c r="J4259" s="42">
        <f>IF(AND(ISNUMBER(F4259),ISNUMBER(H4259),F4259&gt;=Inputs!$C$68),F4259*H4259*Inputs!$C$69,"")</f>
      </c>
    </row>
    <row r="4260" spans="2:10" ht="15" customHeight="1" x14ac:dyDescent="0.2">
      <c r="B4260" s="39">
        <f t="shared" si="32"/>
      </c>
      <c r="C4260" s="40">
        <f>IF(Inputs!$C$60,Inputs!$C$11+(B4260-Inputs!$C$69)/Inputs!$C$70,"")</f>
      </c>
      <c r="D4260" s="15"/>
      <c r="E4260" s="15"/>
      <c r="F4260" s="11">
        <f t="shared" si="33"/>
      </c>
      <c r="G4260" s="22" cm="1">
        <f t="array" ref="G4260">IF(AND(Inputs!$C$60,Inputs!$C$61),INDEX(Utility_Rates!$C$29:$F$52,HOUR(C4260)+Inputs!$C$69,MATCH(INDEX(Utility_Rates!$K$6:$K$17,MONTH(C4260))&amp;IF(WEEKDAY(C4260,Inputs!$C$76)&lt;=Inputs!$C$74," weekday"," weekend"),Utility_Rates!$C$28:$F$28,Inputs!$C$68)),"")</f>
      </c>
      <c r="H4260" s="34"/>
      <c r="I4260" s="42">
        <f>IF(AND(ISNUMBER(D4260),ISNUMBER(H4260)),D4260*H4260*Inputs!$C$69,"")</f>
      </c>
      <c r="J4260" s="42">
        <f>IF(AND(ISNUMBER(F4260),ISNUMBER(H4260),F4260&gt;=Inputs!$C$68),F4260*H4260*Inputs!$C$69,"")</f>
      </c>
    </row>
    <row r="4261" spans="2:10" ht="15" customHeight="1" x14ac:dyDescent="0.2">
      <c r="B4261" s="39">
        <f t="shared" si="32"/>
      </c>
      <c r="C4261" s="40">
        <f>IF(Inputs!$C$60,Inputs!$C$11+(B4261-Inputs!$C$69)/Inputs!$C$70,"")</f>
      </c>
      <c r="D4261" s="15"/>
      <c r="E4261" s="15"/>
      <c r="F4261" s="11">
        <f t="shared" si="33"/>
      </c>
      <c r="G4261" s="22" cm="1">
        <f t="array" ref="G4261">IF(AND(Inputs!$C$60,Inputs!$C$61),INDEX(Utility_Rates!$C$29:$F$52,HOUR(C4261)+Inputs!$C$69,MATCH(INDEX(Utility_Rates!$K$6:$K$17,MONTH(C4261))&amp;IF(WEEKDAY(C4261,Inputs!$C$76)&lt;=Inputs!$C$74," weekday"," weekend"),Utility_Rates!$C$28:$F$28,Inputs!$C$68)),"")</f>
      </c>
      <c r="H4261" s="34"/>
      <c r="I4261" s="42">
        <f>IF(AND(ISNUMBER(D4261),ISNUMBER(H4261)),D4261*H4261*Inputs!$C$69,"")</f>
      </c>
      <c r="J4261" s="42">
        <f>IF(AND(ISNUMBER(F4261),ISNUMBER(H4261),F4261&gt;=Inputs!$C$68),F4261*H4261*Inputs!$C$69,"")</f>
      </c>
    </row>
    <row r="4262" spans="2:10" ht="15" customHeight="1" x14ac:dyDescent="0.2">
      <c r="B4262" s="39">
        <f t="shared" si="32"/>
      </c>
      <c r="C4262" s="40">
        <f>IF(Inputs!$C$60,Inputs!$C$11+(B4262-Inputs!$C$69)/Inputs!$C$70,"")</f>
      </c>
      <c r="D4262" s="15"/>
      <c r="E4262" s="15"/>
      <c r="F4262" s="11">
        <f t="shared" si="33"/>
      </c>
      <c r="G4262" s="22" cm="1">
        <f t="array" ref="G4262">IF(AND(Inputs!$C$60,Inputs!$C$61),INDEX(Utility_Rates!$C$29:$F$52,HOUR(C4262)+Inputs!$C$69,MATCH(INDEX(Utility_Rates!$K$6:$K$17,MONTH(C4262))&amp;IF(WEEKDAY(C4262,Inputs!$C$76)&lt;=Inputs!$C$74," weekday"," weekend"),Utility_Rates!$C$28:$F$28,Inputs!$C$68)),"")</f>
      </c>
      <c r="H4262" s="34"/>
      <c r="I4262" s="42">
        <f>IF(AND(ISNUMBER(D4262),ISNUMBER(H4262)),D4262*H4262*Inputs!$C$69,"")</f>
      </c>
      <c r="J4262" s="42">
        <f>IF(AND(ISNUMBER(F4262),ISNUMBER(H4262),F4262&gt;=Inputs!$C$68),F4262*H4262*Inputs!$C$69,"")</f>
      </c>
    </row>
    <row r="4263" spans="2:10" ht="15" customHeight="1" x14ac:dyDescent="0.2">
      <c r="B4263" s="39">
        <f t="shared" si="32"/>
      </c>
      <c r="C4263" s="40">
        <f>IF(Inputs!$C$60,Inputs!$C$11+(B4263-Inputs!$C$69)/Inputs!$C$70,"")</f>
      </c>
      <c r="D4263" s="15"/>
      <c r="E4263" s="15"/>
      <c r="F4263" s="11">
        <f t="shared" si="33"/>
      </c>
      <c r="G4263" s="22" cm="1">
        <f t="array" ref="G4263">IF(AND(Inputs!$C$60,Inputs!$C$61),INDEX(Utility_Rates!$C$29:$F$52,HOUR(C4263)+Inputs!$C$69,MATCH(INDEX(Utility_Rates!$K$6:$K$17,MONTH(C4263))&amp;IF(WEEKDAY(C4263,Inputs!$C$76)&lt;=Inputs!$C$74," weekday"," weekend"),Utility_Rates!$C$28:$F$28,Inputs!$C$68)),"")</f>
      </c>
      <c r="H4263" s="34"/>
      <c r="I4263" s="42">
        <f>IF(AND(ISNUMBER(D4263),ISNUMBER(H4263)),D4263*H4263*Inputs!$C$69,"")</f>
      </c>
      <c r="J4263" s="42">
        <f>IF(AND(ISNUMBER(F4263),ISNUMBER(H4263),F4263&gt;=Inputs!$C$68),F4263*H4263*Inputs!$C$69,"")</f>
      </c>
    </row>
    <row r="4264" spans="2:10" ht="15" customHeight="1" x14ac:dyDescent="0.2">
      <c r="B4264" s="39">
        <f t="shared" si="32"/>
      </c>
      <c r="C4264" s="40">
        <f>IF(Inputs!$C$60,Inputs!$C$11+(B4264-Inputs!$C$69)/Inputs!$C$70,"")</f>
      </c>
      <c r="D4264" s="15"/>
      <c r="E4264" s="15"/>
      <c r="F4264" s="11">
        <f t="shared" si="33"/>
      </c>
      <c r="G4264" s="22" cm="1">
        <f t="array" ref="G4264">IF(AND(Inputs!$C$60,Inputs!$C$61),INDEX(Utility_Rates!$C$29:$F$52,HOUR(C4264)+Inputs!$C$69,MATCH(INDEX(Utility_Rates!$K$6:$K$17,MONTH(C4264))&amp;IF(WEEKDAY(C4264,Inputs!$C$76)&lt;=Inputs!$C$74," weekday"," weekend"),Utility_Rates!$C$28:$F$28,Inputs!$C$68)),"")</f>
      </c>
      <c r="H4264" s="34"/>
      <c r="I4264" s="42">
        <f>IF(AND(ISNUMBER(D4264),ISNUMBER(H4264)),D4264*H4264*Inputs!$C$69,"")</f>
      </c>
      <c r="J4264" s="42">
        <f>IF(AND(ISNUMBER(F4264),ISNUMBER(H4264),F4264&gt;=Inputs!$C$68),F4264*H4264*Inputs!$C$69,"")</f>
      </c>
    </row>
    <row r="4265" spans="2:10" ht="15" customHeight="1" x14ac:dyDescent="0.2">
      <c r="B4265" s="39">
        <f t="shared" si="32"/>
      </c>
      <c r="C4265" s="40">
        <f>IF(Inputs!$C$60,Inputs!$C$11+(B4265-Inputs!$C$69)/Inputs!$C$70,"")</f>
      </c>
      <c r="D4265" s="15"/>
      <c r="E4265" s="15"/>
      <c r="F4265" s="11">
        <f t="shared" si="33"/>
      </c>
      <c r="G4265" s="22" cm="1">
        <f t="array" ref="G4265">IF(AND(Inputs!$C$60,Inputs!$C$61),INDEX(Utility_Rates!$C$29:$F$52,HOUR(C4265)+Inputs!$C$69,MATCH(INDEX(Utility_Rates!$K$6:$K$17,MONTH(C4265))&amp;IF(WEEKDAY(C4265,Inputs!$C$76)&lt;=Inputs!$C$74," weekday"," weekend"),Utility_Rates!$C$28:$F$28,Inputs!$C$68)),"")</f>
      </c>
      <c r="H4265" s="34"/>
      <c r="I4265" s="42">
        <f>IF(AND(ISNUMBER(D4265),ISNUMBER(H4265)),D4265*H4265*Inputs!$C$69,"")</f>
      </c>
      <c r="J4265" s="42">
        <f>IF(AND(ISNUMBER(F4265),ISNUMBER(H4265),F4265&gt;=Inputs!$C$68),F4265*H4265*Inputs!$C$69,"")</f>
      </c>
    </row>
    <row r="4266" spans="2:10" ht="15" customHeight="1" x14ac:dyDescent="0.2">
      <c r="B4266" s="39">
        <f t="shared" si="32"/>
      </c>
      <c r="C4266" s="40">
        <f>IF(Inputs!$C$60,Inputs!$C$11+(B4266-Inputs!$C$69)/Inputs!$C$70,"")</f>
      </c>
      <c r="D4266" s="15"/>
      <c r="E4266" s="15"/>
      <c r="F4266" s="11">
        <f t="shared" si="33"/>
      </c>
      <c r="G4266" s="22" cm="1">
        <f t="array" ref="G4266">IF(AND(Inputs!$C$60,Inputs!$C$61),INDEX(Utility_Rates!$C$29:$F$52,HOUR(C4266)+Inputs!$C$69,MATCH(INDEX(Utility_Rates!$K$6:$K$17,MONTH(C4266))&amp;IF(WEEKDAY(C4266,Inputs!$C$76)&lt;=Inputs!$C$74," weekday"," weekend"),Utility_Rates!$C$28:$F$28,Inputs!$C$68)),"")</f>
      </c>
      <c r="H4266" s="34"/>
      <c r="I4266" s="42">
        <f>IF(AND(ISNUMBER(D4266),ISNUMBER(H4266)),D4266*H4266*Inputs!$C$69,"")</f>
      </c>
      <c r="J4266" s="42">
        <f>IF(AND(ISNUMBER(F4266),ISNUMBER(H4266),F4266&gt;=Inputs!$C$68),F4266*H4266*Inputs!$C$69,"")</f>
      </c>
    </row>
    <row r="4267" spans="2:10" ht="15" customHeight="1" x14ac:dyDescent="0.2">
      <c r="B4267" s="39">
        <f t="shared" si="32"/>
      </c>
      <c r="C4267" s="40">
        <f>IF(Inputs!$C$60,Inputs!$C$11+(B4267-Inputs!$C$69)/Inputs!$C$70,"")</f>
      </c>
      <c r="D4267" s="15"/>
      <c r="E4267" s="15"/>
      <c r="F4267" s="11">
        <f t="shared" si="33"/>
      </c>
      <c r="G4267" s="22" cm="1">
        <f t="array" ref="G4267">IF(AND(Inputs!$C$60,Inputs!$C$61),INDEX(Utility_Rates!$C$29:$F$52,HOUR(C4267)+Inputs!$C$69,MATCH(INDEX(Utility_Rates!$K$6:$K$17,MONTH(C4267))&amp;IF(WEEKDAY(C4267,Inputs!$C$76)&lt;=Inputs!$C$74," weekday"," weekend"),Utility_Rates!$C$28:$F$28,Inputs!$C$68)),"")</f>
      </c>
      <c r="H4267" s="34"/>
      <c r="I4267" s="42">
        <f>IF(AND(ISNUMBER(D4267),ISNUMBER(H4267)),D4267*H4267*Inputs!$C$69,"")</f>
      </c>
      <c r="J4267" s="42">
        <f>IF(AND(ISNUMBER(F4267),ISNUMBER(H4267),F4267&gt;=Inputs!$C$68),F4267*H4267*Inputs!$C$69,"")</f>
      </c>
    </row>
    <row r="4268" spans="2:10" ht="15" customHeight="1" x14ac:dyDescent="0.2">
      <c r="B4268" s="39">
        <f t="shared" si="32"/>
      </c>
      <c r="C4268" s="40">
        <f>IF(Inputs!$C$60,Inputs!$C$11+(B4268-Inputs!$C$69)/Inputs!$C$70,"")</f>
      </c>
      <c r="D4268" s="15"/>
      <c r="E4268" s="15"/>
      <c r="F4268" s="11">
        <f t="shared" si="33"/>
      </c>
      <c r="G4268" s="22" cm="1">
        <f t="array" ref="G4268">IF(AND(Inputs!$C$60,Inputs!$C$61),INDEX(Utility_Rates!$C$29:$F$52,HOUR(C4268)+Inputs!$C$69,MATCH(INDEX(Utility_Rates!$K$6:$K$17,MONTH(C4268))&amp;IF(WEEKDAY(C4268,Inputs!$C$76)&lt;=Inputs!$C$74," weekday"," weekend"),Utility_Rates!$C$28:$F$28,Inputs!$C$68)),"")</f>
      </c>
      <c r="H4268" s="34"/>
      <c r="I4268" s="42">
        <f>IF(AND(ISNUMBER(D4268),ISNUMBER(H4268)),D4268*H4268*Inputs!$C$69,"")</f>
      </c>
      <c r="J4268" s="42">
        <f>IF(AND(ISNUMBER(F4268),ISNUMBER(H4268),F4268&gt;=Inputs!$C$68),F4268*H4268*Inputs!$C$69,"")</f>
      </c>
    </row>
    <row r="4269" spans="2:10" ht="15" customHeight="1" x14ac:dyDescent="0.2">
      <c r="B4269" s="39">
        <f t="shared" si="32"/>
      </c>
      <c r="C4269" s="40">
        <f>IF(Inputs!$C$60,Inputs!$C$11+(B4269-Inputs!$C$69)/Inputs!$C$70,"")</f>
      </c>
      <c r="D4269" s="15"/>
      <c r="E4269" s="15"/>
      <c r="F4269" s="11">
        <f t="shared" si="33"/>
      </c>
      <c r="G4269" s="22" cm="1">
        <f t="array" ref="G4269">IF(AND(Inputs!$C$60,Inputs!$C$61),INDEX(Utility_Rates!$C$29:$F$52,HOUR(C4269)+Inputs!$C$69,MATCH(INDEX(Utility_Rates!$K$6:$K$17,MONTH(C4269))&amp;IF(WEEKDAY(C4269,Inputs!$C$76)&lt;=Inputs!$C$74," weekday"," weekend"),Utility_Rates!$C$28:$F$28,Inputs!$C$68)),"")</f>
      </c>
      <c r="H4269" s="34"/>
      <c r="I4269" s="42">
        <f>IF(AND(ISNUMBER(D4269),ISNUMBER(H4269)),D4269*H4269*Inputs!$C$69,"")</f>
      </c>
      <c r="J4269" s="42">
        <f>IF(AND(ISNUMBER(F4269),ISNUMBER(H4269),F4269&gt;=Inputs!$C$68),F4269*H4269*Inputs!$C$69,"")</f>
      </c>
    </row>
    <row r="4270" spans="2:10" ht="15" customHeight="1" x14ac:dyDescent="0.2">
      <c r="B4270" s="39">
        <f t="shared" si="32"/>
      </c>
      <c r="C4270" s="40">
        <f>IF(Inputs!$C$60,Inputs!$C$11+(B4270-Inputs!$C$69)/Inputs!$C$70,"")</f>
      </c>
      <c r="D4270" s="15"/>
      <c r="E4270" s="15"/>
      <c r="F4270" s="11">
        <f t="shared" si="33"/>
      </c>
      <c r="G4270" s="22" cm="1">
        <f t="array" ref="G4270">IF(AND(Inputs!$C$60,Inputs!$C$61),INDEX(Utility_Rates!$C$29:$F$52,HOUR(C4270)+Inputs!$C$69,MATCH(INDEX(Utility_Rates!$K$6:$K$17,MONTH(C4270))&amp;IF(WEEKDAY(C4270,Inputs!$C$76)&lt;=Inputs!$C$74," weekday"," weekend"),Utility_Rates!$C$28:$F$28,Inputs!$C$68)),"")</f>
      </c>
      <c r="H4270" s="34"/>
      <c r="I4270" s="42">
        <f>IF(AND(ISNUMBER(D4270),ISNUMBER(H4270)),D4270*H4270*Inputs!$C$69,"")</f>
      </c>
      <c r="J4270" s="42">
        <f>IF(AND(ISNUMBER(F4270),ISNUMBER(H4270),F4270&gt;=Inputs!$C$68),F4270*H4270*Inputs!$C$69,"")</f>
      </c>
    </row>
    <row r="4271" spans="2:10" ht="15" customHeight="1" x14ac:dyDescent="0.2">
      <c r="B4271" s="39">
        <f t="shared" si="32"/>
      </c>
      <c r="C4271" s="40">
        <f>IF(Inputs!$C$60,Inputs!$C$11+(B4271-Inputs!$C$69)/Inputs!$C$70,"")</f>
      </c>
      <c r="D4271" s="15"/>
      <c r="E4271" s="15"/>
      <c r="F4271" s="11">
        <f t="shared" si="33"/>
      </c>
      <c r="G4271" s="22" cm="1">
        <f t="array" ref="G4271">IF(AND(Inputs!$C$60,Inputs!$C$61),INDEX(Utility_Rates!$C$29:$F$52,HOUR(C4271)+Inputs!$C$69,MATCH(INDEX(Utility_Rates!$K$6:$K$17,MONTH(C4271))&amp;IF(WEEKDAY(C4271,Inputs!$C$76)&lt;=Inputs!$C$74," weekday"," weekend"),Utility_Rates!$C$28:$F$28,Inputs!$C$68)),"")</f>
      </c>
      <c r="H4271" s="34"/>
      <c r="I4271" s="42">
        <f>IF(AND(ISNUMBER(D4271),ISNUMBER(H4271)),D4271*H4271*Inputs!$C$69,"")</f>
      </c>
      <c r="J4271" s="42">
        <f>IF(AND(ISNUMBER(F4271),ISNUMBER(H4271),F4271&gt;=Inputs!$C$68),F4271*H4271*Inputs!$C$69,"")</f>
      </c>
    </row>
    <row r="4272" spans="2:10" ht="15" customHeight="1" x14ac:dyDescent="0.2">
      <c r="B4272" s="39">
        <f t="shared" si="32"/>
      </c>
      <c r="C4272" s="40">
        <f>IF(Inputs!$C$60,Inputs!$C$11+(B4272-Inputs!$C$69)/Inputs!$C$70,"")</f>
      </c>
      <c r="D4272" s="15"/>
      <c r="E4272" s="15"/>
      <c r="F4272" s="11">
        <f t="shared" si="33"/>
      </c>
      <c r="G4272" s="22" cm="1">
        <f t="array" ref="G4272">IF(AND(Inputs!$C$60,Inputs!$C$61),INDEX(Utility_Rates!$C$29:$F$52,HOUR(C4272)+Inputs!$C$69,MATCH(INDEX(Utility_Rates!$K$6:$K$17,MONTH(C4272))&amp;IF(WEEKDAY(C4272,Inputs!$C$76)&lt;=Inputs!$C$74," weekday"," weekend"),Utility_Rates!$C$28:$F$28,Inputs!$C$68)),"")</f>
      </c>
      <c r="H4272" s="34"/>
      <c r="I4272" s="42">
        <f>IF(AND(ISNUMBER(D4272),ISNUMBER(H4272)),D4272*H4272*Inputs!$C$69,"")</f>
      </c>
      <c r="J4272" s="42">
        <f>IF(AND(ISNUMBER(F4272),ISNUMBER(H4272),F4272&gt;=Inputs!$C$68),F4272*H4272*Inputs!$C$69,"")</f>
      </c>
    </row>
    <row r="4273" spans="2:10" ht="15" customHeight="1" x14ac:dyDescent="0.2">
      <c r="B4273" s="39">
        <f t="shared" si="32"/>
      </c>
      <c r="C4273" s="40">
        <f>IF(Inputs!$C$60,Inputs!$C$11+(B4273-Inputs!$C$69)/Inputs!$C$70,"")</f>
      </c>
      <c r="D4273" s="15"/>
      <c r="E4273" s="15"/>
      <c r="F4273" s="11">
        <f t="shared" si="33"/>
      </c>
      <c r="G4273" s="22" cm="1">
        <f t="array" ref="G4273">IF(AND(Inputs!$C$60,Inputs!$C$61),INDEX(Utility_Rates!$C$29:$F$52,HOUR(C4273)+Inputs!$C$69,MATCH(INDEX(Utility_Rates!$K$6:$K$17,MONTH(C4273))&amp;IF(WEEKDAY(C4273,Inputs!$C$76)&lt;=Inputs!$C$74," weekday"," weekend"),Utility_Rates!$C$28:$F$28,Inputs!$C$68)),"")</f>
      </c>
      <c r="H4273" s="34"/>
      <c r="I4273" s="42">
        <f>IF(AND(ISNUMBER(D4273),ISNUMBER(H4273)),D4273*H4273*Inputs!$C$69,"")</f>
      </c>
      <c r="J4273" s="42">
        <f>IF(AND(ISNUMBER(F4273),ISNUMBER(H4273),F4273&gt;=Inputs!$C$68),F4273*H4273*Inputs!$C$69,"")</f>
      </c>
    </row>
    <row r="4274" spans="2:10" ht="15" customHeight="1" x14ac:dyDescent="0.2">
      <c r="B4274" s="39">
        <f t="shared" si="32"/>
      </c>
      <c r="C4274" s="40">
        <f>IF(Inputs!$C$60,Inputs!$C$11+(B4274-Inputs!$C$69)/Inputs!$C$70,"")</f>
      </c>
      <c r="D4274" s="15"/>
      <c r="E4274" s="15"/>
      <c r="F4274" s="11">
        <f t="shared" si="33"/>
      </c>
      <c r="G4274" s="22" cm="1">
        <f t="array" ref="G4274">IF(AND(Inputs!$C$60,Inputs!$C$61),INDEX(Utility_Rates!$C$29:$F$52,HOUR(C4274)+Inputs!$C$69,MATCH(INDEX(Utility_Rates!$K$6:$K$17,MONTH(C4274))&amp;IF(WEEKDAY(C4274,Inputs!$C$76)&lt;=Inputs!$C$74," weekday"," weekend"),Utility_Rates!$C$28:$F$28,Inputs!$C$68)),"")</f>
      </c>
      <c r="H4274" s="34"/>
      <c r="I4274" s="42">
        <f>IF(AND(ISNUMBER(D4274),ISNUMBER(H4274)),D4274*H4274*Inputs!$C$69,"")</f>
      </c>
      <c r="J4274" s="42">
        <f>IF(AND(ISNUMBER(F4274),ISNUMBER(H4274),F4274&gt;=Inputs!$C$68),F4274*H4274*Inputs!$C$69,"")</f>
      </c>
    </row>
    <row r="4275" spans="2:10" ht="15" customHeight="1" x14ac:dyDescent="0.2">
      <c r="B4275" s="39">
        <f t="shared" si="32"/>
      </c>
      <c r="C4275" s="40">
        <f>IF(Inputs!$C$60,Inputs!$C$11+(B4275-Inputs!$C$69)/Inputs!$C$70,"")</f>
      </c>
      <c r="D4275" s="15"/>
      <c r="E4275" s="15"/>
      <c r="F4275" s="11">
        <f t="shared" si="33"/>
      </c>
      <c r="G4275" s="22" cm="1">
        <f t="array" ref="G4275">IF(AND(Inputs!$C$60,Inputs!$C$61),INDEX(Utility_Rates!$C$29:$F$52,HOUR(C4275)+Inputs!$C$69,MATCH(INDEX(Utility_Rates!$K$6:$K$17,MONTH(C4275))&amp;IF(WEEKDAY(C4275,Inputs!$C$76)&lt;=Inputs!$C$74," weekday"," weekend"),Utility_Rates!$C$28:$F$28,Inputs!$C$68)),"")</f>
      </c>
      <c r="H4275" s="34"/>
      <c r="I4275" s="42">
        <f>IF(AND(ISNUMBER(D4275),ISNUMBER(H4275)),D4275*H4275*Inputs!$C$69,"")</f>
      </c>
      <c r="J4275" s="42">
        <f>IF(AND(ISNUMBER(F4275),ISNUMBER(H4275),F4275&gt;=Inputs!$C$68),F4275*H4275*Inputs!$C$69,"")</f>
      </c>
    </row>
    <row r="4276" spans="2:10" ht="15" customHeight="1" x14ac:dyDescent="0.2">
      <c r="B4276" s="39">
        <f t="shared" si="32"/>
      </c>
      <c r="C4276" s="40">
        <f>IF(Inputs!$C$60,Inputs!$C$11+(B4276-Inputs!$C$69)/Inputs!$C$70,"")</f>
      </c>
      <c r="D4276" s="15"/>
      <c r="E4276" s="15"/>
      <c r="F4276" s="11">
        <f t="shared" si="33"/>
      </c>
      <c r="G4276" s="22" cm="1">
        <f t="array" ref="G4276">IF(AND(Inputs!$C$60,Inputs!$C$61),INDEX(Utility_Rates!$C$29:$F$52,HOUR(C4276)+Inputs!$C$69,MATCH(INDEX(Utility_Rates!$K$6:$K$17,MONTH(C4276))&amp;IF(WEEKDAY(C4276,Inputs!$C$76)&lt;=Inputs!$C$74," weekday"," weekend"),Utility_Rates!$C$28:$F$28,Inputs!$C$68)),"")</f>
      </c>
      <c r="H4276" s="34"/>
      <c r="I4276" s="42">
        <f>IF(AND(ISNUMBER(D4276),ISNUMBER(H4276)),D4276*H4276*Inputs!$C$69,"")</f>
      </c>
      <c r="J4276" s="42">
        <f>IF(AND(ISNUMBER(F4276),ISNUMBER(H4276),F4276&gt;=Inputs!$C$68),F4276*H4276*Inputs!$C$69,"")</f>
      </c>
    </row>
    <row r="4277" spans="2:10" ht="15" customHeight="1" x14ac:dyDescent="0.2">
      <c r="B4277" s="39">
        <f t="shared" si="32"/>
      </c>
      <c r="C4277" s="40">
        <f>IF(Inputs!$C$60,Inputs!$C$11+(B4277-Inputs!$C$69)/Inputs!$C$70,"")</f>
      </c>
      <c r="D4277" s="15"/>
      <c r="E4277" s="15"/>
      <c r="F4277" s="11">
        <f t="shared" si="33"/>
      </c>
      <c r="G4277" s="22" cm="1">
        <f t="array" ref="G4277">IF(AND(Inputs!$C$60,Inputs!$C$61),INDEX(Utility_Rates!$C$29:$F$52,HOUR(C4277)+Inputs!$C$69,MATCH(INDEX(Utility_Rates!$K$6:$K$17,MONTH(C4277))&amp;IF(WEEKDAY(C4277,Inputs!$C$76)&lt;=Inputs!$C$74," weekday"," weekend"),Utility_Rates!$C$28:$F$28,Inputs!$C$68)),"")</f>
      </c>
      <c r="H4277" s="34"/>
      <c r="I4277" s="42">
        <f>IF(AND(ISNUMBER(D4277),ISNUMBER(H4277)),D4277*H4277*Inputs!$C$69,"")</f>
      </c>
      <c r="J4277" s="42">
        <f>IF(AND(ISNUMBER(F4277),ISNUMBER(H4277),F4277&gt;=Inputs!$C$68),F4277*H4277*Inputs!$C$69,"")</f>
      </c>
    </row>
    <row r="4278" spans="2:10" ht="15" customHeight="1" x14ac:dyDescent="0.2">
      <c r="B4278" s="39">
        <f t="shared" si="32"/>
      </c>
      <c r="C4278" s="40">
        <f>IF(Inputs!$C$60,Inputs!$C$11+(B4278-Inputs!$C$69)/Inputs!$C$70,"")</f>
      </c>
      <c r="D4278" s="15"/>
      <c r="E4278" s="15"/>
      <c r="F4278" s="11">
        <f t="shared" si="33"/>
      </c>
      <c r="G4278" s="22" cm="1">
        <f t="array" ref="G4278">IF(AND(Inputs!$C$60,Inputs!$C$61),INDEX(Utility_Rates!$C$29:$F$52,HOUR(C4278)+Inputs!$C$69,MATCH(INDEX(Utility_Rates!$K$6:$K$17,MONTH(C4278))&amp;IF(WEEKDAY(C4278,Inputs!$C$76)&lt;=Inputs!$C$74," weekday"," weekend"),Utility_Rates!$C$28:$F$28,Inputs!$C$68)),"")</f>
      </c>
      <c r="H4278" s="34"/>
      <c r="I4278" s="42">
        <f>IF(AND(ISNUMBER(D4278),ISNUMBER(H4278)),D4278*H4278*Inputs!$C$69,"")</f>
      </c>
      <c r="J4278" s="42">
        <f>IF(AND(ISNUMBER(F4278),ISNUMBER(H4278),F4278&gt;=Inputs!$C$68),F4278*H4278*Inputs!$C$69,"")</f>
      </c>
    </row>
    <row r="4279" spans="2:10" ht="15" customHeight="1" x14ac:dyDescent="0.2">
      <c r="B4279" s="39">
        <f t="shared" si="32"/>
      </c>
      <c r="C4279" s="40">
        <f>IF(Inputs!$C$60,Inputs!$C$11+(B4279-Inputs!$C$69)/Inputs!$C$70,"")</f>
      </c>
      <c r="D4279" s="15"/>
      <c r="E4279" s="15"/>
      <c r="F4279" s="11">
        <f t="shared" si="33"/>
      </c>
      <c r="G4279" s="22" cm="1">
        <f t="array" ref="G4279">IF(AND(Inputs!$C$60,Inputs!$C$61),INDEX(Utility_Rates!$C$29:$F$52,HOUR(C4279)+Inputs!$C$69,MATCH(INDEX(Utility_Rates!$K$6:$K$17,MONTH(C4279))&amp;IF(WEEKDAY(C4279,Inputs!$C$76)&lt;=Inputs!$C$74," weekday"," weekend"),Utility_Rates!$C$28:$F$28,Inputs!$C$68)),"")</f>
      </c>
      <c r="H4279" s="34"/>
      <c r="I4279" s="42">
        <f>IF(AND(ISNUMBER(D4279),ISNUMBER(H4279)),D4279*H4279*Inputs!$C$69,"")</f>
      </c>
      <c r="J4279" s="42">
        <f>IF(AND(ISNUMBER(F4279),ISNUMBER(H4279),F4279&gt;=Inputs!$C$68),F4279*H4279*Inputs!$C$69,"")</f>
      </c>
    </row>
    <row r="4280" spans="2:10" ht="15" customHeight="1" x14ac:dyDescent="0.2">
      <c r="B4280" s="39">
        <f t="shared" si="32"/>
      </c>
      <c r="C4280" s="40">
        <f>IF(Inputs!$C$60,Inputs!$C$11+(B4280-Inputs!$C$69)/Inputs!$C$70,"")</f>
      </c>
      <c r="D4280" s="15"/>
      <c r="E4280" s="15"/>
      <c r="F4280" s="11">
        <f t="shared" si="33"/>
      </c>
      <c r="G4280" s="22" cm="1">
        <f t="array" ref="G4280">IF(AND(Inputs!$C$60,Inputs!$C$61),INDEX(Utility_Rates!$C$29:$F$52,HOUR(C4280)+Inputs!$C$69,MATCH(INDEX(Utility_Rates!$K$6:$K$17,MONTH(C4280))&amp;IF(WEEKDAY(C4280,Inputs!$C$76)&lt;=Inputs!$C$74," weekday"," weekend"),Utility_Rates!$C$28:$F$28,Inputs!$C$68)),"")</f>
      </c>
      <c r="H4280" s="34"/>
      <c r="I4280" s="42">
        <f>IF(AND(ISNUMBER(D4280),ISNUMBER(H4280)),D4280*H4280*Inputs!$C$69,"")</f>
      </c>
      <c r="J4280" s="42">
        <f>IF(AND(ISNUMBER(F4280),ISNUMBER(H4280),F4280&gt;=Inputs!$C$68),F4280*H4280*Inputs!$C$69,"")</f>
      </c>
    </row>
    <row r="4281" spans="2:10" ht="15" customHeight="1" x14ac:dyDescent="0.2">
      <c r="B4281" s="39">
        <f t="shared" si="32"/>
      </c>
      <c r="C4281" s="40">
        <f>IF(Inputs!$C$60,Inputs!$C$11+(B4281-Inputs!$C$69)/Inputs!$C$70,"")</f>
      </c>
      <c r="D4281" s="15"/>
      <c r="E4281" s="15"/>
      <c r="F4281" s="11">
        <f t="shared" si="33"/>
      </c>
      <c r="G4281" s="22" cm="1">
        <f t="array" ref="G4281">IF(AND(Inputs!$C$60,Inputs!$C$61),INDEX(Utility_Rates!$C$29:$F$52,HOUR(C4281)+Inputs!$C$69,MATCH(INDEX(Utility_Rates!$K$6:$K$17,MONTH(C4281))&amp;IF(WEEKDAY(C4281,Inputs!$C$76)&lt;=Inputs!$C$74," weekday"," weekend"),Utility_Rates!$C$28:$F$28,Inputs!$C$68)),"")</f>
      </c>
      <c r="H4281" s="34"/>
      <c r="I4281" s="42">
        <f>IF(AND(ISNUMBER(D4281),ISNUMBER(H4281)),D4281*H4281*Inputs!$C$69,"")</f>
      </c>
      <c r="J4281" s="42">
        <f>IF(AND(ISNUMBER(F4281),ISNUMBER(H4281),F4281&gt;=Inputs!$C$68),F4281*H4281*Inputs!$C$69,"")</f>
      </c>
    </row>
    <row r="4282" spans="2:10" ht="15" customHeight="1" x14ac:dyDescent="0.2">
      <c r="B4282" s="39">
        <f t="shared" si="32"/>
      </c>
      <c r="C4282" s="40">
        <f>IF(Inputs!$C$60,Inputs!$C$11+(B4282-Inputs!$C$69)/Inputs!$C$70,"")</f>
      </c>
      <c r="D4282" s="15"/>
      <c r="E4282" s="15"/>
      <c r="F4282" s="11">
        <f t="shared" si="33"/>
      </c>
      <c r="G4282" s="22" cm="1">
        <f t="array" ref="G4282">IF(AND(Inputs!$C$60,Inputs!$C$61),INDEX(Utility_Rates!$C$29:$F$52,HOUR(C4282)+Inputs!$C$69,MATCH(INDEX(Utility_Rates!$K$6:$K$17,MONTH(C4282))&amp;IF(WEEKDAY(C4282,Inputs!$C$76)&lt;=Inputs!$C$74," weekday"," weekend"),Utility_Rates!$C$28:$F$28,Inputs!$C$68)),"")</f>
      </c>
      <c r="H4282" s="34"/>
      <c r="I4282" s="42">
        <f>IF(AND(ISNUMBER(D4282),ISNUMBER(H4282)),D4282*H4282*Inputs!$C$69,"")</f>
      </c>
      <c r="J4282" s="42">
        <f>IF(AND(ISNUMBER(F4282),ISNUMBER(H4282),F4282&gt;=Inputs!$C$68),F4282*H4282*Inputs!$C$69,"")</f>
      </c>
    </row>
    <row r="4283" spans="2:10" ht="15" customHeight="1" x14ac:dyDescent="0.2">
      <c r="B4283" s="39">
        <f t="shared" si="32"/>
      </c>
      <c r="C4283" s="40">
        <f>IF(Inputs!$C$60,Inputs!$C$11+(B4283-Inputs!$C$69)/Inputs!$C$70,"")</f>
      </c>
      <c r="D4283" s="15"/>
      <c r="E4283" s="15"/>
      <c r="F4283" s="11">
        <f t="shared" si="33"/>
      </c>
      <c r="G4283" s="22" cm="1">
        <f t="array" ref="G4283">IF(AND(Inputs!$C$60,Inputs!$C$61),INDEX(Utility_Rates!$C$29:$F$52,HOUR(C4283)+Inputs!$C$69,MATCH(INDEX(Utility_Rates!$K$6:$K$17,MONTH(C4283))&amp;IF(WEEKDAY(C4283,Inputs!$C$76)&lt;=Inputs!$C$74," weekday"," weekend"),Utility_Rates!$C$28:$F$28,Inputs!$C$68)),"")</f>
      </c>
      <c r="H4283" s="34"/>
      <c r="I4283" s="42">
        <f>IF(AND(ISNUMBER(D4283),ISNUMBER(H4283)),D4283*H4283*Inputs!$C$69,"")</f>
      </c>
      <c r="J4283" s="42">
        <f>IF(AND(ISNUMBER(F4283),ISNUMBER(H4283),F4283&gt;=Inputs!$C$68),F4283*H4283*Inputs!$C$69,"")</f>
      </c>
    </row>
    <row r="4284" spans="2:10" ht="15" customHeight="1" x14ac:dyDescent="0.2">
      <c r="B4284" s="39">
        <f t="shared" si="32"/>
      </c>
      <c r="C4284" s="40">
        <f>IF(Inputs!$C$60,Inputs!$C$11+(B4284-Inputs!$C$69)/Inputs!$C$70,"")</f>
      </c>
      <c r="D4284" s="15"/>
      <c r="E4284" s="15"/>
      <c r="F4284" s="11">
        <f t="shared" si="33"/>
      </c>
      <c r="G4284" s="22" cm="1">
        <f t="array" ref="G4284">IF(AND(Inputs!$C$60,Inputs!$C$61),INDEX(Utility_Rates!$C$29:$F$52,HOUR(C4284)+Inputs!$C$69,MATCH(INDEX(Utility_Rates!$K$6:$K$17,MONTH(C4284))&amp;IF(WEEKDAY(C4284,Inputs!$C$76)&lt;=Inputs!$C$74," weekday"," weekend"),Utility_Rates!$C$28:$F$28,Inputs!$C$68)),"")</f>
      </c>
      <c r="H4284" s="34"/>
      <c r="I4284" s="42">
        <f>IF(AND(ISNUMBER(D4284),ISNUMBER(H4284)),D4284*H4284*Inputs!$C$69,"")</f>
      </c>
      <c r="J4284" s="42">
        <f>IF(AND(ISNUMBER(F4284),ISNUMBER(H4284),F4284&gt;=Inputs!$C$68),F4284*H4284*Inputs!$C$69,"")</f>
      </c>
    </row>
    <row r="4285" spans="2:10" ht="15" customHeight="1" x14ac:dyDescent="0.2">
      <c r="B4285" s="39">
        <f t="shared" si="32"/>
      </c>
      <c r="C4285" s="40">
        <f>IF(Inputs!$C$60,Inputs!$C$11+(B4285-Inputs!$C$69)/Inputs!$C$70,"")</f>
      </c>
      <c r="D4285" s="15"/>
      <c r="E4285" s="15"/>
      <c r="F4285" s="11">
        <f t="shared" si="33"/>
      </c>
      <c r="G4285" s="22" cm="1">
        <f t="array" ref="G4285">IF(AND(Inputs!$C$60,Inputs!$C$61),INDEX(Utility_Rates!$C$29:$F$52,HOUR(C4285)+Inputs!$C$69,MATCH(INDEX(Utility_Rates!$K$6:$K$17,MONTH(C4285))&amp;IF(WEEKDAY(C4285,Inputs!$C$76)&lt;=Inputs!$C$74," weekday"," weekend"),Utility_Rates!$C$28:$F$28,Inputs!$C$68)),"")</f>
      </c>
      <c r="H4285" s="34"/>
      <c r="I4285" s="42">
        <f>IF(AND(ISNUMBER(D4285),ISNUMBER(H4285)),D4285*H4285*Inputs!$C$69,"")</f>
      </c>
      <c r="J4285" s="42">
        <f>IF(AND(ISNUMBER(F4285),ISNUMBER(H4285),F4285&gt;=Inputs!$C$68),F4285*H4285*Inputs!$C$69,"")</f>
      </c>
    </row>
    <row r="4286" spans="2:10" ht="15" customHeight="1" x14ac:dyDescent="0.2">
      <c r="B4286" s="39">
        <f t="shared" si="32"/>
      </c>
      <c r="C4286" s="40">
        <f>IF(Inputs!$C$60,Inputs!$C$11+(B4286-Inputs!$C$69)/Inputs!$C$70,"")</f>
      </c>
      <c r="D4286" s="15"/>
      <c r="E4286" s="15"/>
      <c r="F4286" s="11">
        <f t="shared" si="33"/>
      </c>
      <c r="G4286" s="22" cm="1">
        <f t="array" ref="G4286">IF(AND(Inputs!$C$60,Inputs!$C$61),INDEX(Utility_Rates!$C$29:$F$52,HOUR(C4286)+Inputs!$C$69,MATCH(INDEX(Utility_Rates!$K$6:$K$17,MONTH(C4286))&amp;IF(WEEKDAY(C4286,Inputs!$C$76)&lt;=Inputs!$C$74," weekday"," weekend"),Utility_Rates!$C$28:$F$28,Inputs!$C$68)),"")</f>
      </c>
      <c r="H4286" s="34"/>
      <c r="I4286" s="42">
        <f>IF(AND(ISNUMBER(D4286),ISNUMBER(H4286)),D4286*H4286*Inputs!$C$69,"")</f>
      </c>
      <c r="J4286" s="42">
        <f>IF(AND(ISNUMBER(F4286),ISNUMBER(H4286),F4286&gt;=Inputs!$C$68),F4286*H4286*Inputs!$C$69,"")</f>
      </c>
    </row>
    <row r="4287" spans="2:10" ht="15" customHeight="1" x14ac:dyDescent="0.2">
      <c r="B4287" s="39">
        <f t="shared" si="32"/>
      </c>
      <c r="C4287" s="40">
        <f>IF(Inputs!$C$60,Inputs!$C$11+(B4287-Inputs!$C$69)/Inputs!$C$70,"")</f>
      </c>
      <c r="D4287" s="15"/>
      <c r="E4287" s="15"/>
      <c r="F4287" s="11">
        <f t="shared" si="33"/>
      </c>
      <c r="G4287" s="22" cm="1">
        <f t="array" ref="G4287">IF(AND(Inputs!$C$60,Inputs!$C$61),INDEX(Utility_Rates!$C$29:$F$52,HOUR(C4287)+Inputs!$C$69,MATCH(INDEX(Utility_Rates!$K$6:$K$17,MONTH(C4287))&amp;IF(WEEKDAY(C4287,Inputs!$C$76)&lt;=Inputs!$C$74," weekday"," weekend"),Utility_Rates!$C$28:$F$28,Inputs!$C$68)),"")</f>
      </c>
      <c r="H4287" s="34"/>
      <c r="I4287" s="42">
        <f>IF(AND(ISNUMBER(D4287),ISNUMBER(H4287)),D4287*H4287*Inputs!$C$69,"")</f>
      </c>
      <c r="J4287" s="42">
        <f>IF(AND(ISNUMBER(F4287),ISNUMBER(H4287),F4287&gt;=Inputs!$C$68),F4287*H4287*Inputs!$C$69,"")</f>
      </c>
    </row>
    <row r="4288" spans="2:10" ht="15" customHeight="1" x14ac:dyDescent="0.2">
      <c r="B4288" s="39">
        <f t="shared" si="32"/>
      </c>
      <c r="C4288" s="40">
        <f>IF(Inputs!$C$60,Inputs!$C$11+(B4288-Inputs!$C$69)/Inputs!$C$70,"")</f>
      </c>
      <c r="D4288" s="15"/>
      <c r="E4288" s="15"/>
      <c r="F4288" s="11">
        <f t="shared" si="33"/>
      </c>
      <c r="G4288" s="22" cm="1">
        <f t="array" ref="G4288">IF(AND(Inputs!$C$60,Inputs!$C$61),INDEX(Utility_Rates!$C$29:$F$52,HOUR(C4288)+Inputs!$C$69,MATCH(INDEX(Utility_Rates!$K$6:$K$17,MONTH(C4288))&amp;IF(WEEKDAY(C4288,Inputs!$C$76)&lt;=Inputs!$C$74," weekday"," weekend"),Utility_Rates!$C$28:$F$28,Inputs!$C$68)),"")</f>
      </c>
      <c r="H4288" s="34"/>
      <c r="I4288" s="42">
        <f>IF(AND(ISNUMBER(D4288),ISNUMBER(H4288)),D4288*H4288*Inputs!$C$69,"")</f>
      </c>
      <c r="J4288" s="42">
        <f>IF(AND(ISNUMBER(F4288),ISNUMBER(H4288),F4288&gt;=Inputs!$C$68),F4288*H4288*Inputs!$C$69,"")</f>
      </c>
    </row>
    <row r="4289" spans="2:10" ht="15" customHeight="1" x14ac:dyDescent="0.2">
      <c r="B4289" s="39">
        <f t="shared" si="32"/>
      </c>
      <c r="C4289" s="40">
        <f>IF(Inputs!$C$60,Inputs!$C$11+(B4289-Inputs!$C$69)/Inputs!$C$70,"")</f>
      </c>
      <c r="D4289" s="15"/>
      <c r="E4289" s="15"/>
      <c r="F4289" s="11">
        <f t="shared" si="33"/>
      </c>
      <c r="G4289" s="22" cm="1">
        <f t="array" ref="G4289">IF(AND(Inputs!$C$60,Inputs!$C$61),INDEX(Utility_Rates!$C$29:$F$52,HOUR(C4289)+Inputs!$C$69,MATCH(INDEX(Utility_Rates!$K$6:$K$17,MONTH(C4289))&amp;IF(WEEKDAY(C4289,Inputs!$C$76)&lt;=Inputs!$C$74," weekday"," weekend"),Utility_Rates!$C$28:$F$28,Inputs!$C$68)),"")</f>
      </c>
      <c r="H4289" s="34"/>
      <c r="I4289" s="42">
        <f>IF(AND(ISNUMBER(D4289),ISNUMBER(H4289)),D4289*H4289*Inputs!$C$69,"")</f>
      </c>
      <c r="J4289" s="42">
        <f>IF(AND(ISNUMBER(F4289),ISNUMBER(H4289),F4289&gt;=Inputs!$C$68),F4289*H4289*Inputs!$C$69,"")</f>
      </c>
    </row>
    <row r="4290" spans="2:10" ht="15" customHeight="1" x14ac:dyDescent="0.2">
      <c r="B4290" s="39">
        <f t="shared" si="32"/>
      </c>
      <c r="C4290" s="40">
        <f>IF(Inputs!$C$60,Inputs!$C$11+(B4290-Inputs!$C$69)/Inputs!$C$70,"")</f>
      </c>
      <c r="D4290" s="15"/>
      <c r="E4290" s="15"/>
      <c r="F4290" s="11">
        <f t="shared" si="33"/>
      </c>
      <c r="G4290" s="22" cm="1">
        <f t="array" ref="G4290">IF(AND(Inputs!$C$60,Inputs!$C$61),INDEX(Utility_Rates!$C$29:$F$52,HOUR(C4290)+Inputs!$C$69,MATCH(INDEX(Utility_Rates!$K$6:$K$17,MONTH(C4290))&amp;IF(WEEKDAY(C4290,Inputs!$C$76)&lt;=Inputs!$C$74," weekday"," weekend"),Utility_Rates!$C$28:$F$28,Inputs!$C$68)),"")</f>
      </c>
      <c r="H4290" s="34"/>
      <c r="I4290" s="42">
        <f>IF(AND(ISNUMBER(D4290),ISNUMBER(H4290)),D4290*H4290*Inputs!$C$69,"")</f>
      </c>
      <c r="J4290" s="42">
        <f>IF(AND(ISNUMBER(F4290),ISNUMBER(H4290),F4290&gt;=Inputs!$C$68),F4290*H4290*Inputs!$C$69,"")</f>
      </c>
    </row>
    <row r="4291" spans="2:10" ht="15" customHeight="1" x14ac:dyDescent="0.2">
      <c r="B4291" s="39">
        <f t="shared" si="32"/>
      </c>
      <c r="C4291" s="40">
        <f>IF(Inputs!$C$60,Inputs!$C$11+(B4291-Inputs!$C$69)/Inputs!$C$70,"")</f>
      </c>
      <c r="D4291" s="15"/>
      <c r="E4291" s="15"/>
      <c r="F4291" s="11">
        <f t="shared" si="33"/>
      </c>
      <c r="G4291" s="22" cm="1">
        <f t="array" ref="G4291">IF(AND(Inputs!$C$60,Inputs!$C$61),INDEX(Utility_Rates!$C$29:$F$52,HOUR(C4291)+Inputs!$C$69,MATCH(INDEX(Utility_Rates!$K$6:$K$17,MONTH(C4291))&amp;IF(WEEKDAY(C4291,Inputs!$C$76)&lt;=Inputs!$C$74," weekday"," weekend"),Utility_Rates!$C$28:$F$28,Inputs!$C$68)),"")</f>
      </c>
      <c r="H4291" s="34"/>
      <c r="I4291" s="42">
        <f>IF(AND(ISNUMBER(D4291),ISNUMBER(H4291)),D4291*H4291*Inputs!$C$69,"")</f>
      </c>
      <c r="J4291" s="42">
        <f>IF(AND(ISNUMBER(F4291),ISNUMBER(H4291),F4291&gt;=Inputs!$C$68),F4291*H4291*Inputs!$C$69,"")</f>
      </c>
    </row>
    <row r="4292" spans="2:10" ht="15" customHeight="1" x14ac:dyDescent="0.2">
      <c r="B4292" s="39">
        <f t="shared" si="32"/>
      </c>
      <c r="C4292" s="40">
        <f>IF(Inputs!$C$60,Inputs!$C$11+(B4292-Inputs!$C$69)/Inputs!$C$70,"")</f>
      </c>
      <c r="D4292" s="15"/>
      <c r="E4292" s="15"/>
      <c r="F4292" s="11">
        <f t="shared" si="33"/>
      </c>
      <c r="G4292" s="22" cm="1">
        <f t="array" ref="G4292">IF(AND(Inputs!$C$60,Inputs!$C$61),INDEX(Utility_Rates!$C$29:$F$52,HOUR(C4292)+Inputs!$C$69,MATCH(INDEX(Utility_Rates!$K$6:$K$17,MONTH(C4292))&amp;IF(WEEKDAY(C4292,Inputs!$C$76)&lt;=Inputs!$C$74," weekday"," weekend"),Utility_Rates!$C$28:$F$28,Inputs!$C$68)),"")</f>
      </c>
      <c r="H4292" s="34"/>
      <c r="I4292" s="42">
        <f>IF(AND(ISNUMBER(D4292),ISNUMBER(H4292)),D4292*H4292*Inputs!$C$69,"")</f>
      </c>
      <c r="J4292" s="42">
        <f>IF(AND(ISNUMBER(F4292),ISNUMBER(H4292),F4292&gt;=Inputs!$C$68),F4292*H4292*Inputs!$C$69,"")</f>
      </c>
    </row>
    <row r="4293" spans="2:10" ht="15" customHeight="1" x14ac:dyDescent="0.2">
      <c r="B4293" s="39">
        <f t="shared" si="32"/>
      </c>
      <c r="C4293" s="40">
        <f>IF(Inputs!$C$60,Inputs!$C$11+(B4293-Inputs!$C$69)/Inputs!$C$70,"")</f>
      </c>
      <c r="D4293" s="15"/>
      <c r="E4293" s="15"/>
      <c r="F4293" s="11">
        <f t="shared" si="33"/>
      </c>
      <c r="G4293" s="22" cm="1">
        <f t="array" ref="G4293">IF(AND(Inputs!$C$60,Inputs!$C$61),INDEX(Utility_Rates!$C$29:$F$52,HOUR(C4293)+Inputs!$C$69,MATCH(INDEX(Utility_Rates!$K$6:$K$17,MONTH(C4293))&amp;IF(WEEKDAY(C4293,Inputs!$C$76)&lt;=Inputs!$C$74," weekday"," weekend"),Utility_Rates!$C$28:$F$28,Inputs!$C$68)),"")</f>
      </c>
      <c r="H4293" s="34"/>
      <c r="I4293" s="42">
        <f>IF(AND(ISNUMBER(D4293),ISNUMBER(H4293)),D4293*H4293*Inputs!$C$69,"")</f>
      </c>
      <c r="J4293" s="42">
        <f>IF(AND(ISNUMBER(F4293),ISNUMBER(H4293),F4293&gt;=Inputs!$C$68),F4293*H4293*Inputs!$C$69,"")</f>
      </c>
    </row>
    <row r="4294" spans="2:10" ht="15" customHeight="1" x14ac:dyDescent="0.2">
      <c r="B4294" s="39">
        <f t="shared" si="32"/>
      </c>
      <c r="C4294" s="40">
        <f>IF(Inputs!$C$60,Inputs!$C$11+(B4294-Inputs!$C$69)/Inputs!$C$70,"")</f>
      </c>
      <c r="D4294" s="15"/>
      <c r="E4294" s="15"/>
      <c r="F4294" s="11">
        <f t="shared" si="33"/>
      </c>
      <c r="G4294" s="22" cm="1">
        <f t="array" ref="G4294">IF(AND(Inputs!$C$60,Inputs!$C$61),INDEX(Utility_Rates!$C$29:$F$52,HOUR(C4294)+Inputs!$C$69,MATCH(INDEX(Utility_Rates!$K$6:$K$17,MONTH(C4294))&amp;IF(WEEKDAY(C4294,Inputs!$C$76)&lt;=Inputs!$C$74," weekday"," weekend"),Utility_Rates!$C$28:$F$28,Inputs!$C$68)),"")</f>
      </c>
      <c r="H4294" s="34"/>
      <c r="I4294" s="42">
        <f>IF(AND(ISNUMBER(D4294),ISNUMBER(H4294)),D4294*H4294*Inputs!$C$69,"")</f>
      </c>
      <c r="J4294" s="42">
        <f>IF(AND(ISNUMBER(F4294),ISNUMBER(H4294),F4294&gt;=Inputs!$C$68),F4294*H4294*Inputs!$C$69,"")</f>
      </c>
    </row>
    <row r="4295" spans="2:10" ht="15" customHeight="1" x14ac:dyDescent="0.2">
      <c r="B4295" s="39">
        <f t="shared" si="32"/>
      </c>
      <c r="C4295" s="40">
        <f>IF(Inputs!$C$60,Inputs!$C$11+(B4295-Inputs!$C$69)/Inputs!$C$70,"")</f>
      </c>
      <c r="D4295" s="15"/>
      <c r="E4295" s="15"/>
      <c r="F4295" s="11">
        <f t="shared" si="33"/>
      </c>
      <c r="G4295" s="22" cm="1">
        <f t="array" ref="G4295">IF(AND(Inputs!$C$60,Inputs!$C$61),INDEX(Utility_Rates!$C$29:$F$52,HOUR(C4295)+Inputs!$C$69,MATCH(INDEX(Utility_Rates!$K$6:$K$17,MONTH(C4295))&amp;IF(WEEKDAY(C4295,Inputs!$C$76)&lt;=Inputs!$C$74," weekday"," weekend"),Utility_Rates!$C$28:$F$28,Inputs!$C$68)),"")</f>
      </c>
      <c r="H4295" s="34"/>
      <c r="I4295" s="42">
        <f>IF(AND(ISNUMBER(D4295),ISNUMBER(H4295)),D4295*H4295*Inputs!$C$69,"")</f>
      </c>
      <c r="J4295" s="42">
        <f>IF(AND(ISNUMBER(F4295),ISNUMBER(H4295),F4295&gt;=Inputs!$C$68),F4295*H4295*Inputs!$C$69,"")</f>
      </c>
    </row>
    <row r="4296" spans="2:10" ht="15" customHeight="1" x14ac:dyDescent="0.2">
      <c r="B4296" s="39">
        <f t="shared" si="32"/>
      </c>
      <c r="C4296" s="40">
        <f>IF(Inputs!$C$60,Inputs!$C$11+(B4296-Inputs!$C$69)/Inputs!$C$70,"")</f>
      </c>
      <c r="D4296" s="15"/>
      <c r="E4296" s="15"/>
      <c r="F4296" s="11">
        <f t="shared" si="33"/>
      </c>
      <c r="G4296" s="22" cm="1">
        <f t="array" ref="G4296">IF(AND(Inputs!$C$60,Inputs!$C$61),INDEX(Utility_Rates!$C$29:$F$52,HOUR(C4296)+Inputs!$C$69,MATCH(INDEX(Utility_Rates!$K$6:$K$17,MONTH(C4296))&amp;IF(WEEKDAY(C4296,Inputs!$C$76)&lt;=Inputs!$C$74," weekday"," weekend"),Utility_Rates!$C$28:$F$28,Inputs!$C$68)),"")</f>
      </c>
      <c r="H4296" s="34"/>
      <c r="I4296" s="42">
        <f>IF(AND(ISNUMBER(D4296),ISNUMBER(H4296)),D4296*H4296*Inputs!$C$69,"")</f>
      </c>
      <c r="J4296" s="42">
        <f>IF(AND(ISNUMBER(F4296),ISNUMBER(H4296),F4296&gt;=Inputs!$C$68),F4296*H4296*Inputs!$C$69,"")</f>
      </c>
    </row>
    <row r="4297" spans="2:10" ht="15" customHeight="1" x14ac:dyDescent="0.2">
      <c r="B4297" s="39">
        <f t="shared" si="32"/>
      </c>
      <c r="C4297" s="40">
        <f>IF(Inputs!$C$60,Inputs!$C$11+(B4297-Inputs!$C$69)/Inputs!$C$70,"")</f>
      </c>
      <c r="D4297" s="15"/>
      <c r="E4297" s="15"/>
      <c r="F4297" s="11">
        <f t="shared" si="33"/>
      </c>
      <c r="G4297" s="22" cm="1">
        <f t="array" ref="G4297">IF(AND(Inputs!$C$60,Inputs!$C$61),INDEX(Utility_Rates!$C$29:$F$52,HOUR(C4297)+Inputs!$C$69,MATCH(INDEX(Utility_Rates!$K$6:$K$17,MONTH(C4297))&amp;IF(WEEKDAY(C4297,Inputs!$C$76)&lt;=Inputs!$C$74," weekday"," weekend"),Utility_Rates!$C$28:$F$28,Inputs!$C$68)),"")</f>
      </c>
      <c r="H4297" s="34"/>
      <c r="I4297" s="42">
        <f>IF(AND(ISNUMBER(D4297),ISNUMBER(H4297)),D4297*H4297*Inputs!$C$69,"")</f>
      </c>
      <c r="J4297" s="42">
        <f>IF(AND(ISNUMBER(F4297),ISNUMBER(H4297),F4297&gt;=Inputs!$C$68),F4297*H4297*Inputs!$C$69,"")</f>
      </c>
    </row>
    <row r="4298" spans="2:10" ht="15" customHeight="1" x14ac:dyDescent="0.2">
      <c r="B4298" s="39">
        <f t="shared" si="32"/>
      </c>
      <c r="C4298" s="40">
        <f>IF(Inputs!$C$60,Inputs!$C$11+(B4298-Inputs!$C$69)/Inputs!$C$70,"")</f>
      </c>
      <c r="D4298" s="15"/>
      <c r="E4298" s="15"/>
      <c r="F4298" s="11">
        <f t="shared" si="33"/>
      </c>
      <c r="G4298" s="22" cm="1">
        <f t="array" ref="G4298">IF(AND(Inputs!$C$60,Inputs!$C$61),INDEX(Utility_Rates!$C$29:$F$52,HOUR(C4298)+Inputs!$C$69,MATCH(INDEX(Utility_Rates!$K$6:$K$17,MONTH(C4298))&amp;IF(WEEKDAY(C4298,Inputs!$C$76)&lt;=Inputs!$C$74," weekday"," weekend"),Utility_Rates!$C$28:$F$28,Inputs!$C$68)),"")</f>
      </c>
      <c r="H4298" s="34"/>
      <c r="I4298" s="42">
        <f>IF(AND(ISNUMBER(D4298),ISNUMBER(H4298)),D4298*H4298*Inputs!$C$69,"")</f>
      </c>
      <c r="J4298" s="42">
        <f>IF(AND(ISNUMBER(F4298),ISNUMBER(H4298),F4298&gt;=Inputs!$C$68),F4298*H4298*Inputs!$C$69,"")</f>
      </c>
    </row>
    <row r="4299" spans="2:10" ht="15" customHeight="1" x14ac:dyDescent="0.2">
      <c r="B4299" s="39">
        <f t="shared" si="32"/>
      </c>
      <c r="C4299" s="40">
        <f>IF(Inputs!$C$60,Inputs!$C$11+(B4299-Inputs!$C$69)/Inputs!$C$70,"")</f>
      </c>
      <c r="D4299" s="15"/>
      <c r="E4299" s="15"/>
      <c r="F4299" s="11">
        <f t="shared" si="33"/>
      </c>
      <c r="G4299" s="22" cm="1">
        <f t="array" ref="G4299">IF(AND(Inputs!$C$60,Inputs!$C$61),INDEX(Utility_Rates!$C$29:$F$52,HOUR(C4299)+Inputs!$C$69,MATCH(INDEX(Utility_Rates!$K$6:$K$17,MONTH(C4299))&amp;IF(WEEKDAY(C4299,Inputs!$C$76)&lt;=Inputs!$C$74," weekday"," weekend"),Utility_Rates!$C$28:$F$28,Inputs!$C$68)),"")</f>
      </c>
      <c r="H4299" s="34"/>
      <c r="I4299" s="42">
        <f>IF(AND(ISNUMBER(D4299),ISNUMBER(H4299)),D4299*H4299*Inputs!$C$69,"")</f>
      </c>
      <c r="J4299" s="42">
        <f>IF(AND(ISNUMBER(F4299),ISNUMBER(H4299),F4299&gt;=Inputs!$C$68),F4299*H4299*Inputs!$C$69,"")</f>
      </c>
    </row>
    <row r="4300" spans="2:10" ht="15" customHeight="1" x14ac:dyDescent="0.2">
      <c r="B4300" s="39">
        <f t="shared" si="32"/>
      </c>
      <c r="C4300" s="40">
        <f>IF(Inputs!$C$60,Inputs!$C$11+(B4300-Inputs!$C$69)/Inputs!$C$70,"")</f>
      </c>
      <c r="D4300" s="15"/>
      <c r="E4300" s="15"/>
      <c r="F4300" s="11">
        <f t="shared" si="33"/>
      </c>
      <c r="G4300" s="22" cm="1">
        <f t="array" ref="G4300">IF(AND(Inputs!$C$60,Inputs!$C$61),INDEX(Utility_Rates!$C$29:$F$52,HOUR(C4300)+Inputs!$C$69,MATCH(INDEX(Utility_Rates!$K$6:$K$17,MONTH(C4300))&amp;IF(WEEKDAY(C4300,Inputs!$C$76)&lt;=Inputs!$C$74," weekday"," weekend"),Utility_Rates!$C$28:$F$28,Inputs!$C$68)),"")</f>
      </c>
      <c r="H4300" s="34"/>
      <c r="I4300" s="42">
        <f>IF(AND(ISNUMBER(D4300),ISNUMBER(H4300)),D4300*H4300*Inputs!$C$69,"")</f>
      </c>
      <c r="J4300" s="42">
        <f>IF(AND(ISNUMBER(F4300),ISNUMBER(H4300),F4300&gt;=Inputs!$C$68),F4300*H4300*Inputs!$C$69,"")</f>
      </c>
    </row>
    <row r="4301" spans="2:10" ht="15" customHeight="1" x14ac:dyDescent="0.2">
      <c r="B4301" s="39">
        <f t="shared" si="32"/>
      </c>
      <c r="C4301" s="40">
        <f>IF(Inputs!$C$60,Inputs!$C$11+(B4301-Inputs!$C$69)/Inputs!$C$70,"")</f>
      </c>
      <c r="D4301" s="15"/>
      <c r="E4301" s="15"/>
      <c r="F4301" s="11">
        <f t="shared" si="33"/>
      </c>
      <c r="G4301" s="22" cm="1">
        <f t="array" ref="G4301">IF(AND(Inputs!$C$60,Inputs!$C$61),INDEX(Utility_Rates!$C$29:$F$52,HOUR(C4301)+Inputs!$C$69,MATCH(INDEX(Utility_Rates!$K$6:$K$17,MONTH(C4301))&amp;IF(WEEKDAY(C4301,Inputs!$C$76)&lt;=Inputs!$C$74," weekday"," weekend"),Utility_Rates!$C$28:$F$28,Inputs!$C$68)),"")</f>
      </c>
      <c r="H4301" s="34"/>
      <c r="I4301" s="42">
        <f>IF(AND(ISNUMBER(D4301),ISNUMBER(H4301)),D4301*H4301*Inputs!$C$69,"")</f>
      </c>
      <c r="J4301" s="42">
        <f>IF(AND(ISNUMBER(F4301),ISNUMBER(H4301),F4301&gt;=Inputs!$C$68),F4301*H4301*Inputs!$C$69,"")</f>
      </c>
    </row>
    <row r="4302" spans="2:10" ht="15" customHeight="1" x14ac:dyDescent="0.2">
      <c r="B4302" s="39">
        <f t="shared" si="32"/>
      </c>
      <c r="C4302" s="40">
        <f>IF(Inputs!$C$60,Inputs!$C$11+(B4302-Inputs!$C$69)/Inputs!$C$70,"")</f>
      </c>
      <c r="D4302" s="15"/>
      <c r="E4302" s="15"/>
      <c r="F4302" s="11">
        <f t="shared" si="33"/>
      </c>
      <c r="G4302" s="22" cm="1">
        <f t="array" ref="G4302">IF(AND(Inputs!$C$60,Inputs!$C$61),INDEX(Utility_Rates!$C$29:$F$52,HOUR(C4302)+Inputs!$C$69,MATCH(INDEX(Utility_Rates!$K$6:$K$17,MONTH(C4302))&amp;IF(WEEKDAY(C4302,Inputs!$C$76)&lt;=Inputs!$C$74," weekday"," weekend"),Utility_Rates!$C$28:$F$28,Inputs!$C$68)),"")</f>
      </c>
      <c r="H4302" s="34"/>
      <c r="I4302" s="42">
        <f>IF(AND(ISNUMBER(D4302),ISNUMBER(H4302)),D4302*H4302*Inputs!$C$69,"")</f>
      </c>
      <c r="J4302" s="42">
        <f>IF(AND(ISNUMBER(F4302),ISNUMBER(H4302),F4302&gt;=Inputs!$C$68),F4302*H4302*Inputs!$C$69,"")</f>
      </c>
    </row>
    <row r="4303" spans="2:10" ht="15" customHeight="1" x14ac:dyDescent="0.2">
      <c r="B4303" s="39">
        <f t="shared" si="32"/>
      </c>
      <c r="C4303" s="40">
        <f>IF(Inputs!$C$60,Inputs!$C$11+(B4303-Inputs!$C$69)/Inputs!$C$70,"")</f>
      </c>
      <c r="D4303" s="15"/>
      <c r="E4303" s="15"/>
      <c r="F4303" s="11">
        <f t="shared" si="33"/>
      </c>
      <c r="G4303" s="22" cm="1">
        <f t="array" ref="G4303">IF(AND(Inputs!$C$60,Inputs!$C$61),INDEX(Utility_Rates!$C$29:$F$52,HOUR(C4303)+Inputs!$C$69,MATCH(INDEX(Utility_Rates!$K$6:$K$17,MONTH(C4303))&amp;IF(WEEKDAY(C4303,Inputs!$C$76)&lt;=Inputs!$C$74," weekday"," weekend"),Utility_Rates!$C$28:$F$28,Inputs!$C$68)),"")</f>
      </c>
      <c r="H4303" s="34"/>
      <c r="I4303" s="42">
        <f>IF(AND(ISNUMBER(D4303),ISNUMBER(H4303)),D4303*H4303*Inputs!$C$69,"")</f>
      </c>
      <c r="J4303" s="42">
        <f>IF(AND(ISNUMBER(F4303),ISNUMBER(H4303),F4303&gt;=Inputs!$C$68),F4303*H4303*Inputs!$C$69,"")</f>
      </c>
    </row>
    <row r="4304" spans="2:10" ht="15" customHeight="1" x14ac:dyDescent="0.2">
      <c r="B4304" s="39">
        <f t="shared" si="32"/>
      </c>
      <c r="C4304" s="40">
        <f>IF(Inputs!$C$60,Inputs!$C$11+(B4304-Inputs!$C$69)/Inputs!$C$70,"")</f>
      </c>
      <c r="D4304" s="15"/>
      <c r="E4304" s="15"/>
      <c r="F4304" s="11">
        <f t="shared" si="33"/>
      </c>
      <c r="G4304" s="22" cm="1">
        <f t="array" ref="G4304">IF(AND(Inputs!$C$60,Inputs!$C$61),INDEX(Utility_Rates!$C$29:$F$52,HOUR(C4304)+Inputs!$C$69,MATCH(INDEX(Utility_Rates!$K$6:$K$17,MONTH(C4304))&amp;IF(WEEKDAY(C4304,Inputs!$C$76)&lt;=Inputs!$C$74," weekday"," weekend"),Utility_Rates!$C$28:$F$28,Inputs!$C$68)),"")</f>
      </c>
      <c r="H4304" s="34"/>
      <c r="I4304" s="42">
        <f>IF(AND(ISNUMBER(D4304),ISNUMBER(H4304)),D4304*H4304*Inputs!$C$69,"")</f>
      </c>
      <c r="J4304" s="42">
        <f>IF(AND(ISNUMBER(F4304),ISNUMBER(H4304),F4304&gt;=Inputs!$C$68),F4304*H4304*Inputs!$C$69,"")</f>
      </c>
    </row>
    <row r="4305" spans="2:10" ht="15" customHeight="1" x14ac:dyDescent="0.2">
      <c r="B4305" s="39">
        <f t="shared" si="32"/>
      </c>
      <c r="C4305" s="40">
        <f>IF(Inputs!$C$60,Inputs!$C$11+(B4305-Inputs!$C$69)/Inputs!$C$70,"")</f>
      </c>
      <c r="D4305" s="15"/>
      <c r="E4305" s="15"/>
      <c r="F4305" s="11">
        <f t="shared" si="33"/>
      </c>
      <c r="G4305" s="22" cm="1">
        <f t="array" ref="G4305">IF(AND(Inputs!$C$60,Inputs!$C$61),INDEX(Utility_Rates!$C$29:$F$52,HOUR(C4305)+Inputs!$C$69,MATCH(INDEX(Utility_Rates!$K$6:$K$17,MONTH(C4305))&amp;IF(WEEKDAY(C4305,Inputs!$C$76)&lt;=Inputs!$C$74," weekday"," weekend"),Utility_Rates!$C$28:$F$28,Inputs!$C$68)),"")</f>
      </c>
      <c r="H4305" s="34"/>
      <c r="I4305" s="42">
        <f>IF(AND(ISNUMBER(D4305),ISNUMBER(H4305)),D4305*H4305*Inputs!$C$69,"")</f>
      </c>
      <c r="J4305" s="42">
        <f>IF(AND(ISNUMBER(F4305),ISNUMBER(H4305),F4305&gt;=Inputs!$C$68),F4305*H4305*Inputs!$C$69,"")</f>
      </c>
    </row>
    <row r="4306" spans="2:10" ht="15" customHeight="1" x14ac:dyDescent="0.2">
      <c r="B4306" s="39">
        <f t="shared" si="32"/>
      </c>
      <c r="C4306" s="40">
        <f>IF(Inputs!$C$60,Inputs!$C$11+(B4306-Inputs!$C$69)/Inputs!$C$70,"")</f>
      </c>
      <c r="D4306" s="15"/>
      <c r="E4306" s="15"/>
      <c r="F4306" s="11">
        <f t="shared" si="33"/>
      </c>
      <c r="G4306" s="22" cm="1">
        <f t="array" ref="G4306">IF(AND(Inputs!$C$60,Inputs!$C$61),INDEX(Utility_Rates!$C$29:$F$52,HOUR(C4306)+Inputs!$C$69,MATCH(INDEX(Utility_Rates!$K$6:$K$17,MONTH(C4306))&amp;IF(WEEKDAY(C4306,Inputs!$C$76)&lt;=Inputs!$C$74," weekday"," weekend"),Utility_Rates!$C$28:$F$28,Inputs!$C$68)),"")</f>
      </c>
      <c r="H4306" s="34"/>
      <c r="I4306" s="42">
        <f>IF(AND(ISNUMBER(D4306),ISNUMBER(H4306)),D4306*H4306*Inputs!$C$69,"")</f>
      </c>
      <c r="J4306" s="42">
        <f>IF(AND(ISNUMBER(F4306),ISNUMBER(H4306),F4306&gt;=Inputs!$C$68),F4306*H4306*Inputs!$C$69,"")</f>
      </c>
    </row>
    <row r="4307" spans="2:10" ht="15" customHeight="1" x14ac:dyDescent="0.2">
      <c r="B4307" s="39">
        <f t="shared" si="32"/>
      </c>
      <c r="C4307" s="40">
        <f>IF(Inputs!$C$60,Inputs!$C$11+(B4307-Inputs!$C$69)/Inputs!$C$70,"")</f>
      </c>
      <c r="D4307" s="15"/>
      <c r="E4307" s="15"/>
      <c r="F4307" s="11">
        <f t="shared" si="33"/>
      </c>
      <c r="G4307" s="22" cm="1">
        <f t="array" ref="G4307">IF(AND(Inputs!$C$60,Inputs!$C$61),INDEX(Utility_Rates!$C$29:$F$52,HOUR(C4307)+Inputs!$C$69,MATCH(INDEX(Utility_Rates!$K$6:$K$17,MONTH(C4307))&amp;IF(WEEKDAY(C4307,Inputs!$C$76)&lt;=Inputs!$C$74," weekday"," weekend"),Utility_Rates!$C$28:$F$28,Inputs!$C$68)),"")</f>
      </c>
      <c r="H4307" s="34"/>
      <c r="I4307" s="42">
        <f>IF(AND(ISNUMBER(D4307),ISNUMBER(H4307)),D4307*H4307*Inputs!$C$69,"")</f>
      </c>
      <c r="J4307" s="42">
        <f>IF(AND(ISNUMBER(F4307),ISNUMBER(H4307),F4307&gt;=Inputs!$C$68),F4307*H4307*Inputs!$C$69,"")</f>
      </c>
    </row>
    <row r="4308" spans="2:10" ht="15" customHeight="1" x14ac:dyDescent="0.2">
      <c r="B4308" s="39">
        <f t="shared" si="32"/>
      </c>
      <c r="C4308" s="40">
        <f>IF(Inputs!$C$60,Inputs!$C$11+(B4308-Inputs!$C$69)/Inputs!$C$70,"")</f>
      </c>
      <c r="D4308" s="15"/>
      <c r="E4308" s="15"/>
      <c r="F4308" s="11">
        <f t="shared" si="33"/>
      </c>
      <c r="G4308" s="22" cm="1">
        <f t="array" ref="G4308">IF(AND(Inputs!$C$60,Inputs!$C$61),INDEX(Utility_Rates!$C$29:$F$52,HOUR(C4308)+Inputs!$C$69,MATCH(INDEX(Utility_Rates!$K$6:$K$17,MONTH(C4308))&amp;IF(WEEKDAY(C4308,Inputs!$C$76)&lt;=Inputs!$C$74," weekday"," weekend"),Utility_Rates!$C$28:$F$28,Inputs!$C$68)),"")</f>
      </c>
      <c r="H4308" s="34"/>
      <c r="I4308" s="42">
        <f>IF(AND(ISNUMBER(D4308),ISNUMBER(H4308)),D4308*H4308*Inputs!$C$69,"")</f>
      </c>
      <c r="J4308" s="42">
        <f>IF(AND(ISNUMBER(F4308),ISNUMBER(H4308),F4308&gt;=Inputs!$C$68),F4308*H4308*Inputs!$C$69,"")</f>
      </c>
    </row>
    <row r="4309" spans="2:10" ht="15" customHeight="1" x14ac:dyDescent="0.2">
      <c r="B4309" s="39">
        <f t="shared" si="32"/>
      </c>
      <c r="C4309" s="40">
        <f>IF(Inputs!$C$60,Inputs!$C$11+(B4309-Inputs!$C$69)/Inputs!$C$70,"")</f>
      </c>
      <c r="D4309" s="15"/>
      <c r="E4309" s="15"/>
      <c r="F4309" s="11">
        <f t="shared" si="33"/>
      </c>
      <c r="G4309" s="22" cm="1">
        <f t="array" ref="G4309">IF(AND(Inputs!$C$60,Inputs!$C$61),INDEX(Utility_Rates!$C$29:$F$52,HOUR(C4309)+Inputs!$C$69,MATCH(INDEX(Utility_Rates!$K$6:$K$17,MONTH(C4309))&amp;IF(WEEKDAY(C4309,Inputs!$C$76)&lt;=Inputs!$C$74," weekday"," weekend"),Utility_Rates!$C$28:$F$28,Inputs!$C$68)),"")</f>
      </c>
      <c r="H4309" s="34"/>
      <c r="I4309" s="42">
        <f>IF(AND(ISNUMBER(D4309),ISNUMBER(H4309)),D4309*H4309*Inputs!$C$69,"")</f>
      </c>
      <c r="J4309" s="42">
        <f>IF(AND(ISNUMBER(F4309),ISNUMBER(H4309),F4309&gt;=Inputs!$C$68),F4309*H4309*Inputs!$C$69,"")</f>
      </c>
    </row>
    <row r="4310" spans="2:10" ht="15" customHeight="1" x14ac:dyDescent="0.2">
      <c r="B4310" s="39">
        <f t="shared" si="32"/>
      </c>
      <c r="C4310" s="40">
        <f>IF(Inputs!$C$60,Inputs!$C$11+(B4310-Inputs!$C$69)/Inputs!$C$70,"")</f>
      </c>
      <c r="D4310" s="15"/>
      <c r="E4310" s="15"/>
      <c r="F4310" s="11">
        <f t="shared" si="33"/>
      </c>
      <c r="G4310" s="22" cm="1">
        <f t="array" ref="G4310">IF(AND(Inputs!$C$60,Inputs!$C$61),INDEX(Utility_Rates!$C$29:$F$52,HOUR(C4310)+Inputs!$C$69,MATCH(INDEX(Utility_Rates!$K$6:$K$17,MONTH(C4310))&amp;IF(WEEKDAY(C4310,Inputs!$C$76)&lt;=Inputs!$C$74," weekday"," weekend"),Utility_Rates!$C$28:$F$28,Inputs!$C$68)),"")</f>
      </c>
      <c r="H4310" s="34"/>
      <c r="I4310" s="42">
        <f>IF(AND(ISNUMBER(D4310),ISNUMBER(H4310)),D4310*H4310*Inputs!$C$69,"")</f>
      </c>
      <c r="J4310" s="42">
        <f>IF(AND(ISNUMBER(F4310),ISNUMBER(H4310),F4310&gt;=Inputs!$C$68),F4310*H4310*Inputs!$C$69,"")</f>
      </c>
    </row>
    <row r="4311" spans="2:10" ht="15" customHeight="1" x14ac:dyDescent="0.2">
      <c r="B4311" s="39">
        <f t="shared" si="32"/>
      </c>
      <c r="C4311" s="40">
        <f>IF(Inputs!$C$60,Inputs!$C$11+(B4311-Inputs!$C$69)/Inputs!$C$70,"")</f>
      </c>
      <c r="D4311" s="15"/>
      <c r="E4311" s="15"/>
      <c r="F4311" s="11">
        <f t="shared" si="33"/>
      </c>
      <c r="G4311" s="22" cm="1">
        <f t="array" ref="G4311">IF(AND(Inputs!$C$60,Inputs!$C$61),INDEX(Utility_Rates!$C$29:$F$52,HOUR(C4311)+Inputs!$C$69,MATCH(INDEX(Utility_Rates!$K$6:$K$17,MONTH(C4311))&amp;IF(WEEKDAY(C4311,Inputs!$C$76)&lt;=Inputs!$C$74," weekday"," weekend"),Utility_Rates!$C$28:$F$28,Inputs!$C$68)),"")</f>
      </c>
      <c r="H4311" s="34"/>
      <c r="I4311" s="42">
        <f>IF(AND(ISNUMBER(D4311),ISNUMBER(H4311)),D4311*H4311*Inputs!$C$69,"")</f>
      </c>
      <c r="J4311" s="42">
        <f>IF(AND(ISNUMBER(F4311),ISNUMBER(H4311),F4311&gt;=Inputs!$C$68),F4311*H4311*Inputs!$C$69,"")</f>
      </c>
    </row>
    <row r="4312" spans="2:10" ht="15" customHeight="1" x14ac:dyDescent="0.2">
      <c r="B4312" s="39">
        <f t="shared" si="32"/>
      </c>
      <c r="C4312" s="40">
        <f>IF(Inputs!$C$60,Inputs!$C$11+(B4312-Inputs!$C$69)/Inputs!$C$70,"")</f>
      </c>
      <c r="D4312" s="15"/>
      <c r="E4312" s="15"/>
      <c r="F4312" s="11">
        <f t="shared" si="33"/>
      </c>
      <c r="G4312" s="22" cm="1">
        <f t="array" ref="G4312">IF(AND(Inputs!$C$60,Inputs!$C$61),INDEX(Utility_Rates!$C$29:$F$52,HOUR(C4312)+Inputs!$C$69,MATCH(INDEX(Utility_Rates!$K$6:$K$17,MONTH(C4312))&amp;IF(WEEKDAY(C4312,Inputs!$C$76)&lt;=Inputs!$C$74," weekday"," weekend"),Utility_Rates!$C$28:$F$28,Inputs!$C$68)),"")</f>
      </c>
      <c r="H4312" s="34"/>
      <c r="I4312" s="42">
        <f>IF(AND(ISNUMBER(D4312),ISNUMBER(H4312)),D4312*H4312*Inputs!$C$69,"")</f>
      </c>
      <c r="J4312" s="42">
        <f>IF(AND(ISNUMBER(F4312),ISNUMBER(H4312),F4312&gt;=Inputs!$C$68),F4312*H4312*Inputs!$C$69,"")</f>
      </c>
    </row>
    <row r="4313" spans="2:10" ht="15" customHeight="1" x14ac:dyDescent="0.2">
      <c r="B4313" s="39">
        <f t="shared" si="32"/>
      </c>
      <c r="C4313" s="40">
        <f>IF(Inputs!$C$60,Inputs!$C$11+(B4313-Inputs!$C$69)/Inputs!$C$70,"")</f>
      </c>
      <c r="D4313" s="15"/>
      <c r="E4313" s="15"/>
      <c r="F4313" s="11">
        <f t="shared" si="33"/>
      </c>
      <c r="G4313" s="22" cm="1">
        <f t="array" ref="G4313">IF(AND(Inputs!$C$60,Inputs!$C$61),INDEX(Utility_Rates!$C$29:$F$52,HOUR(C4313)+Inputs!$C$69,MATCH(INDEX(Utility_Rates!$K$6:$K$17,MONTH(C4313))&amp;IF(WEEKDAY(C4313,Inputs!$C$76)&lt;=Inputs!$C$74," weekday"," weekend"),Utility_Rates!$C$28:$F$28,Inputs!$C$68)),"")</f>
      </c>
      <c r="H4313" s="34"/>
      <c r="I4313" s="42">
        <f>IF(AND(ISNUMBER(D4313),ISNUMBER(H4313)),D4313*H4313*Inputs!$C$69,"")</f>
      </c>
      <c r="J4313" s="42">
        <f>IF(AND(ISNUMBER(F4313),ISNUMBER(H4313),F4313&gt;=Inputs!$C$68),F4313*H4313*Inputs!$C$69,"")</f>
      </c>
    </row>
    <row r="4314" spans="2:10" ht="15" customHeight="1" x14ac:dyDescent="0.2">
      <c r="B4314" s="39">
        <f t="shared" si="32"/>
      </c>
      <c r="C4314" s="40">
        <f>IF(Inputs!$C$60,Inputs!$C$11+(B4314-Inputs!$C$69)/Inputs!$C$70,"")</f>
      </c>
      <c r="D4314" s="15"/>
      <c r="E4314" s="15"/>
      <c r="F4314" s="11">
        <f t="shared" si="33"/>
      </c>
      <c r="G4314" s="22" cm="1">
        <f t="array" ref="G4314">IF(AND(Inputs!$C$60,Inputs!$C$61),INDEX(Utility_Rates!$C$29:$F$52,HOUR(C4314)+Inputs!$C$69,MATCH(INDEX(Utility_Rates!$K$6:$K$17,MONTH(C4314))&amp;IF(WEEKDAY(C4314,Inputs!$C$76)&lt;=Inputs!$C$74," weekday"," weekend"),Utility_Rates!$C$28:$F$28,Inputs!$C$68)),"")</f>
      </c>
      <c r="H4314" s="34"/>
      <c r="I4314" s="42">
        <f>IF(AND(ISNUMBER(D4314),ISNUMBER(H4314)),D4314*H4314*Inputs!$C$69,"")</f>
      </c>
      <c r="J4314" s="42">
        <f>IF(AND(ISNUMBER(F4314),ISNUMBER(H4314),F4314&gt;=Inputs!$C$68),F4314*H4314*Inputs!$C$69,"")</f>
      </c>
    </row>
    <row r="4315" spans="2:10" ht="15" customHeight="1" x14ac:dyDescent="0.2">
      <c r="B4315" s="39">
        <f t="shared" si="32"/>
      </c>
      <c r="C4315" s="40">
        <f>IF(Inputs!$C$60,Inputs!$C$11+(B4315-Inputs!$C$69)/Inputs!$C$70,"")</f>
      </c>
      <c r="D4315" s="15"/>
      <c r="E4315" s="15"/>
      <c r="F4315" s="11">
        <f t="shared" si="33"/>
      </c>
      <c r="G4315" s="22" cm="1">
        <f t="array" ref="G4315">IF(AND(Inputs!$C$60,Inputs!$C$61),INDEX(Utility_Rates!$C$29:$F$52,HOUR(C4315)+Inputs!$C$69,MATCH(INDEX(Utility_Rates!$K$6:$K$17,MONTH(C4315))&amp;IF(WEEKDAY(C4315,Inputs!$C$76)&lt;=Inputs!$C$74," weekday"," weekend"),Utility_Rates!$C$28:$F$28,Inputs!$C$68)),"")</f>
      </c>
      <c r="H4315" s="34"/>
      <c r="I4315" s="42">
        <f>IF(AND(ISNUMBER(D4315),ISNUMBER(H4315)),D4315*H4315*Inputs!$C$69,"")</f>
      </c>
      <c r="J4315" s="42">
        <f>IF(AND(ISNUMBER(F4315),ISNUMBER(H4315),F4315&gt;=Inputs!$C$68),F4315*H4315*Inputs!$C$69,"")</f>
      </c>
    </row>
    <row r="4316" spans="2:10" ht="15" customHeight="1" x14ac:dyDescent="0.2">
      <c r="B4316" s="39">
        <f t="shared" si="32"/>
      </c>
      <c r="C4316" s="40">
        <f>IF(Inputs!$C$60,Inputs!$C$11+(B4316-Inputs!$C$69)/Inputs!$C$70,"")</f>
      </c>
      <c r="D4316" s="15"/>
      <c r="E4316" s="15"/>
      <c r="F4316" s="11">
        <f t="shared" si="33"/>
      </c>
      <c r="G4316" s="22" cm="1">
        <f t="array" ref="G4316">IF(AND(Inputs!$C$60,Inputs!$C$61),INDEX(Utility_Rates!$C$29:$F$52,HOUR(C4316)+Inputs!$C$69,MATCH(INDEX(Utility_Rates!$K$6:$K$17,MONTH(C4316))&amp;IF(WEEKDAY(C4316,Inputs!$C$76)&lt;=Inputs!$C$74," weekday"," weekend"),Utility_Rates!$C$28:$F$28,Inputs!$C$68)),"")</f>
      </c>
      <c r="H4316" s="34"/>
      <c r="I4316" s="42">
        <f>IF(AND(ISNUMBER(D4316),ISNUMBER(H4316)),D4316*H4316*Inputs!$C$69,"")</f>
      </c>
      <c r="J4316" s="42">
        <f>IF(AND(ISNUMBER(F4316),ISNUMBER(H4316),F4316&gt;=Inputs!$C$68),F4316*H4316*Inputs!$C$69,"")</f>
      </c>
    </row>
    <row r="4317" spans="2:10" ht="15" customHeight="1" x14ac:dyDescent="0.2">
      <c r="B4317" s="39">
        <f t="shared" si="32"/>
      </c>
      <c r="C4317" s="40">
        <f>IF(Inputs!$C$60,Inputs!$C$11+(B4317-Inputs!$C$69)/Inputs!$C$70,"")</f>
      </c>
      <c r="D4317" s="15"/>
      <c r="E4317" s="15"/>
      <c r="F4317" s="11">
        <f t="shared" si="33"/>
      </c>
      <c r="G4317" s="22" cm="1">
        <f t="array" ref="G4317">IF(AND(Inputs!$C$60,Inputs!$C$61),INDEX(Utility_Rates!$C$29:$F$52,HOUR(C4317)+Inputs!$C$69,MATCH(INDEX(Utility_Rates!$K$6:$K$17,MONTH(C4317))&amp;IF(WEEKDAY(C4317,Inputs!$C$76)&lt;=Inputs!$C$74," weekday"," weekend"),Utility_Rates!$C$28:$F$28,Inputs!$C$68)),"")</f>
      </c>
      <c r="H4317" s="34"/>
      <c r="I4317" s="42">
        <f>IF(AND(ISNUMBER(D4317),ISNUMBER(H4317)),D4317*H4317*Inputs!$C$69,"")</f>
      </c>
      <c r="J4317" s="42">
        <f>IF(AND(ISNUMBER(F4317),ISNUMBER(H4317),F4317&gt;=Inputs!$C$68),F4317*H4317*Inputs!$C$69,"")</f>
      </c>
    </row>
    <row r="4318" spans="2:10" ht="15" customHeight="1" x14ac:dyDescent="0.2">
      <c r="B4318" s="39">
        <f t="shared" si="32"/>
      </c>
      <c r="C4318" s="40">
        <f>IF(Inputs!$C$60,Inputs!$C$11+(B4318-Inputs!$C$69)/Inputs!$C$70,"")</f>
      </c>
      <c r="D4318" s="15"/>
      <c r="E4318" s="15"/>
      <c r="F4318" s="11">
        <f t="shared" si="33"/>
      </c>
      <c r="G4318" s="22" cm="1">
        <f t="array" ref="G4318">IF(AND(Inputs!$C$60,Inputs!$C$61),INDEX(Utility_Rates!$C$29:$F$52,HOUR(C4318)+Inputs!$C$69,MATCH(INDEX(Utility_Rates!$K$6:$K$17,MONTH(C4318))&amp;IF(WEEKDAY(C4318,Inputs!$C$76)&lt;=Inputs!$C$74," weekday"," weekend"),Utility_Rates!$C$28:$F$28,Inputs!$C$68)),"")</f>
      </c>
      <c r="H4318" s="34"/>
      <c r="I4318" s="42">
        <f>IF(AND(ISNUMBER(D4318),ISNUMBER(H4318)),D4318*H4318*Inputs!$C$69,"")</f>
      </c>
      <c r="J4318" s="42">
        <f>IF(AND(ISNUMBER(F4318),ISNUMBER(H4318),F4318&gt;=Inputs!$C$68),F4318*H4318*Inputs!$C$69,"")</f>
      </c>
    </row>
    <row r="4319" spans="2:10" ht="15" customHeight="1" x14ac:dyDescent="0.2">
      <c r="B4319" s="39">
        <f t="shared" si="32"/>
      </c>
      <c r="C4319" s="40">
        <f>IF(Inputs!$C$60,Inputs!$C$11+(B4319-Inputs!$C$69)/Inputs!$C$70,"")</f>
      </c>
      <c r="D4319" s="15"/>
      <c r="E4319" s="15"/>
      <c r="F4319" s="11">
        <f t="shared" si="33"/>
      </c>
      <c r="G4319" s="22" cm="1">
        <f t="array" ref="G4319">IF(AND(Inputs!$C$60,Inputs!$C$61),INDEX(Utility_Rates!$C$29:$F$52,HOUR(C4319)+Inputs!$C$69,MATCH(INDEX(Utility_Rates!$K$6:$K$17,MONTH(C4319))&amp;IF(WEEKDAY(C4319,Inputs!$C$76)&lt;=Inputs!$C$74," weekday"," weekend"),Utility_Rates!$C$28:$F$28,Inputs!$C$68)),"")</f>
      </c>
      <c r="H4319" s="34"/>
      <c r="I4319" s="42">
        <f>IF(AND(ISNUMBER(D4319),ISNUMBER(H4319)),D4319*H4319*Inputs!$C$69,"")</f>
      </c>
      <c r="J4319" s="42">
        <f>IF(AND(ISNUMBER(F4319),ISNUMBER(H4319),F4319&gt;=Inputs!$C$68),F4319*H4319*Inputs!$C$69,"")</f>
      </c>
    </row>
    <row r="4320" spans="2:10" ht="15" customHeight="1" x14ac:dyDescent="0.2">
      <c r="B4320" s="39">
        <f t="shared" si="32"/>
      </c>
      <c r="C4320" s="40">
        <f>IF(Inputs!$C$60,Inputs!$C$11+(B4320-Inputs!$C$69)/Inputs!$C$70,"")</f>
      </c>
      <c r="D4320" s="15"/>
      <c r="E4320" s="15"/>
      <c r="F4320" s="11">
        <f t="shared" si="33"/>
      </c>
      <c r="G4320" s="22" cm="1">
        <f t="array" ref="G4320">IF(AND(Inputs!$C$60,Inputs!$C$61),INDEX(Utility_Rates!$C$29:$F$52,HOUR(C4320)+Inputs!$C$69,MATCH(INDEX(Utility_Rates!$K$6:$K$17,MONTH(C4320))&amp;IF(WEEKDAY(C4320,Inputs!$C$76)&lt;=Inputs!$C$74," weekday"," weekend"),Utility_Rates!$C$28:$F$28,Inputs!$C$68)),"")</f>
      </c>
      <c r="H4320" s="34"/>
      <c r="I4320" s="42">
        <f>IF(AND(ISNUMBER(D4320),ISNUMBER(H4320)),D4320*H4320*Inputs!$C$69,"")</f>
      </c>
      <c r="J4320" s="42">
        <f>IF(AND(ISNUMBER(F4320),ISNUMBER(H4320),F4320&gt;=Inputs!$C$68),F4320*H4320*Inputs!$C$69,"")</f>
      </c>
    </row>
    <row r="4321" spans="2:10" ht="15" customHeight="1" x14ac:dyDescent="0.2">
      <c r="B4321" s="39">
        <f t="shared" si="32"/>
      </c>
      <c r="C4321" s="40">
        <f>IF(Inputs!$C$60,Inputs!$C$11+(B4321-Inputs!$C$69)/Inputs!$C$70,"")</f>
      </c>
      <c r="D4321" s="15"/>
      <c r="E4321" s="15"/>
      <c r="F4321" s="11">
        <f t="shared" si="33"/>
      </c>
      <c r="G4321" s="22" cm="1">
        <f t="array" ref="G4321">IF(AND(Inputs!$C$60,Inputs!$C$61),INDEX(Utility_Rates!$C$29:$F$52,HOUR(C4321)+Inputs!$C$69,MATCH(INDEX(Utility_Rates!$K$6:$K$17,MONTH(C4321))&amp;IF(WEEKDAY(C4321,Inputs!$C$76)&lt;=Inputs!$C$74," weekday"," weekend"),Utility_Rates!$C$28:$F$28,Inputs!$C$68)),"")</f>
      </c>
      <c r="H4321" s="34"/>
      <c r="I4321" s="42">
        <f>IF(AND(ISNUMBER(D4321),ISNUMBER(H4321)),D4321*H4321*Inputs!$C$69,"")</f>
      </c>
      <c r="J4321" s="42">
        <f>IF(AND(ISNUMBER(F4321),ISNUMBER(H4321),F4321&gt;=Inputs!$C$68),F4321*H4321*Inputs!$C$69,"")</f>
      </c>
    </row>
    <row r="4322" spans="2:10" ht="15" customHeight="1" x14ac:dyDescent="0.2">
      <c r="B4322" s="39">
        <f t="shared" si="32"/>
      </c>
      <c r="C4322" s="40">
        <f>IF(Inputs!$C$60,Inputs!$C$11+(B4322-Inputs!$C$69)/Inputs!$C$70,"")</f>
      </c>
      <c r="D4322" s="15"/>
      <c r="E4322" s="15"/>
      <c r="F4322" s="11">
        <f t="shared" si="33"/>
      </c>
      <c r="G4322" s="22" cm="1">
        <f t="array" ref="G4322">IF(AND(Inputs!$C$60,Inputs!$C$61),INDEX(Utility_Rates!$C$29:$F$52,HOUR(C4322)+Inputs!$C$69,MATCH(INDEX(Utility_Rates!$K$6:$K$17,MONTH(C4322))&amp;IF(WEEKDAY(C4322,Inputs!$C$76)&lt;=Inputs!$C$74," weekday"," weekend"),Utility_Rates!$C$28:$F$28,Inputs!$C$68)),"")</f>
      </c>
      <c r="H4322" s="34"/>
      <c r="I4322" s="42">
        <f>IF(AND(ISNUMBER(D4322),ISNUMBER(H4322)),D4322*H4322*Inputs!$C$69,"")</f>
      </c>
      <c r="J4322" s="42">
        <f>IF(AND(ISNUMBER(F4322),ISNUMBER(H4322),F4322&gt;=Inputs!$C$68),F4322*H4322*Inputs!$C$69,"")</f>
      </c>
    </row>
    <row r="4323" spans="2:10" ht="15" customHeight="1" x14ac:dyDescent="0.2">
      <c r="B4323" s="39">
        <f t="shared" si="32"/>
      </c>
      <c r="C4323" s="40">
        <f>IF(Inputs!$C$60,Inputs!$C$11+(B4323-Inputs!$C$69)/Inputs!$C$70,"")</f>
      </c>
      <c r="D4323" s="15"/>
      <c r="E4323" s="15"/>
      <c r="F4323" s="11">
        <f t="shared" si="33"/>
      </c>
      <c r="G4323" s="22" cm="1">
        <f t="array" ref="G4323">IF(AND(Inputs!$C$60,Inputs!$C$61),INDEX(Utility_Rates!$C$29:$F$52,HOUR(C4323)+Inputs!$C$69,MATCH(INDEX(Utility_Rates!$K$6:$K$17,MONTH(C4323))&amp;IF(WEEKDAY(C4323,Inputs!$C$76)&lt;=Inputs!$C$74," weekday"," weekend"),Utility_Rates!$C$28:$F$28,Inputs!$C$68)),"")</f>
      </c>
      <c r="H4323" s="34"/>
      <c r="I4323" s="42">
        <f>IF(AND(ISNUMBER(D4323),ISNUMBER(H4323)),D4323*H4323*Inputs!$C$69,"")</f>
      </c>
      <c r="J4323" s="42">
        <f>IF(AND(ISNUMBER(F4323),ISNUMBER(H4323),F4323&gt;=Inputs!$C$68),F4323*H4323*Inputs!$C$69,"")</f>
      </c>
    </row>
    <row r="4324" spans="2:10" ht="15" customHeight="1" x14ac:dyDescent="0.2">
      <c r="B4324" s="39">
        <f t="shared" si="32"/>
      </c>
      <c r="C4324" s="40">
        <f>IF(Inputs!$C$60,Inputs!$C$11+(B4324-Inputs!$C$69)/Inputs!$C$70,"")</f>
      </c>
      <c r="D4324" s="15"/>
      <c r="E4324" s="15"/>
      <c r="F4324" s="11">
        <f t="shared" si="33"/>
      </c>
      <c r="G4324" s="22" cm="1">
        <f t="array" ref="G4324">IF(AND(Inputs!$C$60,Inputs!$C$61),INDEX(Utility_Rates!$C$29:$F$52,HOUR(C4324)+Inputs!$C$69,MATCH(INDEX(Utility_Rates!$K$6:$K$17,MONTH(C4324))&amp;IF(WEEKDAY(C4324,Inputs!$C$76)&lt;=Inputs!$C$74," weekday"," weekend"),Utility_Rates!$C$28:$F$28,Inputs!$C$68)),"")</f>
      </c>
      <c r="H4324" s="34"/>
      <c r="I4324" s="42">
        <f>IF(AND(ISNUMBER(D4324),ISNUMBER(H4324)),D4324*H4324*Inputs!$C$69,"")</f>
      </c>
      <c r="J4324" s="42">
        <f>IF(AND(ISNUMBER(F4324),ISNUMBER(H4324),F4324&gt;=Inputs!$C$68),F4324*H4324*Inputs!$C$69,"")</f>
      </c>
    </row>
    <row r="4325" spans="2:10" ht="15" customHeight="1" x14ac:dyDescent="0.2">
      <c r="B4325" s="39">
        <f t="shared" si="32"/>
      </c>
      <c r="C4325" s="40">
        <f>IF(Inputs!$C$60,Inputs!$C$11+(B4325-Inputs!$C$69)/Inputs!$C$70,"")</f>
      </c>
      <c r="D4325" s="15"/>
      <c r="E4325" s="15"/>
      <c r="F4325" s="11">
        <f t="shared" si="33"/>
      </c>
      <c r="G4325" s="22" cm="1">
        <f t="array" ref="G4325">IF(AND(Inputs!$C$60,Inputs!$C$61),INDEX(Utility_Rates!$C$29:$F$52,HOUR(C4325)+Inputs!$C$69,MATCH(INDEX(Utility_Rates!$K$6:$K$17,MONTH(C4325))&amp;IF(WEEKDAY(C4325,Inputs!$C$76)&lt;=Inputs!$C$74," weekday"," weekend"),Utility_Rates!$C$28:$F$28,Inputs!$C$68)),"")</f>
      </c>
      <c r="H4325" s="34"/>
      <c r="I4325" s="42">
        <f>IF(AND(ISNUMBER(D4325),ISNUMBER(H4325)),D4325*H4325*Inputs!$C$69,"")</f>
      </c>
      <c r="J4325" s="42">
        <f>IF(AND(ISNUMBER(F4325),ISNUMBER(H4325),F4325&gt;=Inputs!$C$68),F4325*H4325*Inputs!$C$69,"")</f>
      </c>
    </row>
    <row r="4326" spans="2:10" ht="15" customHeight="1" x14ac:dyDescent="0.2">
      <c r="B4326" s="39">
        <f t="shared" si="32"/>
      </c>
      <c r="C4326" s="40">
        <f>IF(Inputs!$C$60,Inputs!$C$11+(B4326-Inputs!$C$69)/Inputs!$C$70,"")</f>
      </c>
      <c r="D4326" s="15"/>
      <c r="E4326" s="15"/>
      <c r="F4326" s="11">
        <f t="shared" si="33"/>
      </c>
      <c r="G4326" s="22" cm="1">
        <f t="array" ref="G4326">IF(AND(Inputs!$C$60,Inputs!$C$61),INDEX(Utility_Rates!$C$29:$F$52,HOUR(C4326)+Inputs!$C$69,MATCH(INDEX(Utility_Rates!$K$6:$K$17,MONTH(C4326))&amp;IF(WEEKDAY(C4326,Inputs!$C$76)&lt;=Inputs!$C$74," weekday"," weekend"),Utility_Rates!$C$28:$F$28,Inputs!$C$68)),"")</f>
      </c>
      <c r="H4326" s="34"/>
      <c r="I4326" s="42">
        <f>IF(AND(ISNUMBER(D4326),ISNUMBER(H4326)),D4326*H4326*Inputs!$C$69,"")</f>
      </c>
      <c r="J4326" s="42">
        <f>IF(AND(ISNUMBER(F4326),ISNUMBER(H4326),F4326&gt;=Inputs!$C$68),F4326*H4326*Inputs!$C$69,"")</f>
      </c>
    </row>
    <row r="4327" spans="2:10" ht="15" customHeight="1" x14ac:dyDescent="0.2">
      <c r="B4327" s="39">
        <f t="shared" si="32"/>
      </c>
      <c r="C4327" s="40">
        <f>IF(Inputs!$C$60,Inputs!$C$11+(B4327-Inputs!$C$69)/Inputs!$C$70,"")</f>
      </c>
      <c r="D4327" s="15"/>
      <c r="E4327" s="15"/>
      <c r="F4327" s="11">
        <f t="shared" si="33"/>
      </c>
      <c r="G4327" s="22" cm="1">
        <f t="array" ref="G4327">IF(AND(Inputs!$C$60,Inputs!$C$61),INDEX(Utility_Rates!$C$29:$F$52,HOUR(C4327)+Inputs!$C$69,MATCH(INDEX(Utility_Rates!$K$6:$K$17,MONTH(C4327))&amp;IF(WEEKDAY(C4327,Inputs!$C$76)&lt;=Inputs!$C$74," weekday"," weekend"),Utility_Rates!$C$28:$F$28,Inputs!$C$68)),"")</f>
      </c>
      <c r="H4327" s="34"/>
      <c r="I4327" s="42">
        <f>IF(AND(ISNUMBER(D4327),ISNUMBER(H4327)),D4327*H4327*Inputs!$C$69,"")</f>
      </c>
      <c r="J4327" s="42">
        <f>IF(AND(ISNUMBER(F4327),ISNUMBER(H4327),F4327&gt;=Inputs!$C$68),F4327*H4327*Inputs!$C$69,"")</f>
      </c>
    </row>
    <row r="4328" spans="2:10" ht="15" customHeight="1" x14ac:dyDescent="0.2">
      <c r="B4328" s="39">
        <f t="shared" si="32"/>
      </c>
      <c r="C4328" s="40">
        <f>IF(Inputs!$C$60,Inputs!$C$11+(B4328-Inputs!$C$69)/Inputs!$C$70,"")</f>
      </c>
      <c r="D4328" s="15"/>
      <c r="E4328" s="15"/>
      <c r="F4328" s="11">
        <f t="shared" si="33"/>
      </c>
      <c r="G4328" s="22" cm="1">
        <f t="array" ref="G4328">IF(AND(Inputs!$C$60,Inputs!$C$61),INDEX(Utility_Rates!$C$29:$F$52,HOUR(C4328)+Inputs!$C$69,MATCH(INDEX(Utility_Rates!$K$6:$K$17,MONTH(C4328))&amp;IF(WEEKDAY(C4328,Inputs!$C$76)&lt;=Inputs!$C$74," weekday"," weekend"),Utility_Rates!$C$28:$F$28,Inputs!$C$68)),"")</f>
      </c>
      <c r="H4328" s="34"/>
      <c r="I4328" s="42">
        <f>IF(AND(ISNUMBER(D4328),ISNUMBER(H4328)),D4328*H4328*Inputs!$C$69,"")</f>
      </c>
      <c r="J4328" s="42">
        <f>IF(AND(ISNUMBER(F4328),ISNUMBER(H4328),F4328&gt;=Inputs!$C$68),F4328*H4328*Inputs!$C$69,"")</f>
      </c>
    </row>
    <row r="4329" spans="2:10" ht="15" customHeight="1" x14ac:dyDescent="0.2">
      <c r="B4329" s="39">
        <f t="shared" si="32"/>
      </c>
      <c r="C4329" s="40">
        <f>IF(Inputs!$C$60,Inputs!$C$11+(B4329-Inputs!$C$69)/Inputs!$C$70,"")</f>
      </c>
      <c r="D4329" s="15"/>
      <c r="E4329" s="15"/>
      <c r="F4329" s="11">
        <f t="shared" si="33"/>
      </c>
      <c r="G4329" s="22" cm="1">
        <f t="array" ref="G4329">IF(AND(Inputs!$C$60,Inputs!$C$61),INDEX(Utility_Rates!$C$29:$F$52,HOUR(C4329)+Inputs!$C$69,MATCH(INDEX(Utility_Rates!$K$6:$K$17,MONTH(C4329))&amp;IF(WEEKDAY(C4329,Inputs!$C$76)&lt;=Inputs!$C$74," weekday"," weekend"),Utility_Rates!$C$28:$F$28,Inputs!$C$68)),"")</f>
      </c>
      <c r="H4329" s="34"/>
      <c r="I4329" s="42">
        <f>IF(AND(ISNUMBER(D4329),ISNUMBER(H4329)),D4329*H4329*Inputs!$C$69,"")</f>
      </c>
      <c r="J4329" s="42">
        <f>IF(AND(ISNUMBER(F4329),ISNUMBER(H4329),F4329&gt;=Inputs!$C$68),F4329*H4329*Inputs!$C$69,"")</f>
      </c>
    </row>
    <row r="4330" spans="2:10" ht="15" customHeight="1" x14ac:dyDescent="0.2">
      <c r="B4330" s="39">
        <f t="shared" si="32"/>
      </c>
      <c r="C4330" s="40">
        <f>IF(Inputs!$C$60,Inputs!$C$11+(B4330-Inputs!$C$69)/Inputs!$C$70,"")</f>
      </c>
      <c r="D4330" s="15"/>
      <c r="E4330" s="15"/>
      <c r="F4330" s="11">
        <f t="shared" si="33"/>
      </c>
      <c r="G4330" s="22" cm="1">
        <f t="array" ref="G4330">IF(AND(Inputs!$C$60,Inputs!$C$61),INDEX(Utility_Rates!$C$29:$F$52,HOUR(C4330)+Inputs!$C$69,MATCH(INDEX(Utility_Rates!$K$6:$K$17,MONTH(C4330))&amp;IF(WEEKDAY(C4330,Inputs!$C$76)&lt;=Inputs!$C$74," weekday"," weekend"),Utility_Rates!$C$28:$F$28,Inputs!$C$68)),"")</f>
      </c>
      <c r="H4330" s="34"/>
      <c r="I4330" s="42">
        <f>IF(AND(ISNUMBER(D4330),ISNUMBER(H4330)),D4330*H4330*Inputs!$C$69,"")</f>
      </c>
      <c r="J4330" s="42">
        <f>IF(AND(ISNUMBER(F4330),ISNUMBER(H4330),F4330&gt;=Inputs!$C$68),F4330*H4330*Inputs!$C$69,"")</f>
      </c>
    </row>
    <row r="4331" spans="2:10" ht="15" customHeight="1" x14ac:dyDescent="0.2">
      <c r="B4331" s="39">
        <f t="shared" si="32"/>
      </c>
      <c r="C4331" s="40">
        <f>IF(Inputs!$C$60,Inputs!$C$11+(B4331-Inputs!$C$69)/Inputs!$C$70,"")</f>
      </c>
      <c r="D4331" s="15"/>
      <c r="E4331" s="15"/>
      <c r="F4331" s="11">
        <f t="shared" si="33"/>
      </c>
      <c r="G4331" s="22" cm="1">
        <f t="array" ref="G4331">IF(AND(Inputs!$C$60,Inputs!$C$61),INDEX(Utility_Rates!$C$29:$F$52,HOUR(C4331)+Inputs!$C$69,MATCH(INDEX(Utility_Rates!$K$6:$K$17,MONTH(C4331))&amp;IF(WEEKDAY(C4331,Inputs!$C$76)&lt;=Inputs!$C$74," weekday"," weekend"),Utility_Rates!$C$28:$F$28,Inputs!$C$68)),"")</f>
      </c>
      <c r="H4331" s="34"/>
      <c r="I4331" s="42">
        <f>IF(AND(ISNUMBER(D4331),ISNUMBER(H4331)),D4331*H4331*Inputs!$C$69,"")</f>
      </c>
      <c r="J4331" s="42">
        <f>IF(AND(ISNUMBER(F4331),ISNUMBER(H4331),F4331&gt;=Inputs!$C$68),F4331*H4331*Inputs!$C$69,"")</f>
      </c>
    </row>
    <row r="4332" spans="2:10" ht="15" customHeight="1" x14ac:dyDescent="0.2">
      <c r="B4332" s="39">
        <f t="shared" si="32"/>
      </c>
      <c r="C4332" s="40">
        <f>IF(Inputs!$C$60,Inputs!$C$11+(B4332-Inputs!$C$69)/Inputs!$C$70,"")</f>
      </c>
      <c r="D4332" s="15"/>
      <c r="E4332" s="15"/>
      <c r="F4332" s="11">
        <f t="shared" si="33"/>
      </c>
      <c r="G4332" s="22" cm="1">
        <f t="array" ref="G4332">IF(AND(Inputs!$C$60,Inputs!$C$61),INDEX(Utility_Rates!$C$29:$F$52,HOUR(C4332)+Inputs!$C$69,MATCH(INDEX(Utility_Rates!$K$6:$K$17,MONTH(C4332))&amp;IF(WEEKDAY(C4332,Inputs!$C$76)&lt;=Inputs!$C$74," weekday"," weekend"),Utility_Rates!$C$28:$F$28,Inputs!$C$68)),"")</f>
      </c>
      <c r="H4332" s="34"/>
      <c r="I4332" s="42">
        <f>IF(AND(ISNUMBER(D4332),ISNUMBER(H4332)),D4332*H4332*Inputs!$C$69,"")</f>
      </c>
      <c r="J4332" s="42">
        <f>IF(AND(ISNUMBER(F4332),ISNUMBER(H4332),F4332&gt;=Inputs!$C$68),F4332*H4332*Inputs!$C$69,"")</f>
      </c>
    </row>
    <row r="4333" spans="2:10" ht="15" customHeight="1" x14ac:dyDescent="0.2">
      <c r="B4333" s="39">
        <f t="shared" si="32"/>
      </c>
      <c r="C4333" s="40">
        <f>IF(Inputs!$C$60,Inputs!$C$11+(B4333-Inputs!$C$69)/Inputs!$C$70,"")</f>
      </c>
      <c r="D4333" s="15"/>
      <c r="E4333" s="15"/>
      <c r="F4333" s="11">
        <f t="shared" si="33"/>
      </c>
      <c r="G4333" s="22" cm="1">
        <f t="array" ref="G4333">IF(AND(Inputs!$C$60,Inputs!$C$61),INDEX(Utility_Rates!$C$29:$F$52,HOUR(C4333)+Inputs!$C$69,MATCH(INDEX(Utility_Rates!$K$6:$K$17,MONTH(C4333))&amp;IF(WEEKDAY(C4333,Inputs!$C$76)&lt;=Inputs!$C$74," weekday"," weekend"),Utility_Rates!$C$28:$F$28,Inputs!$C$68)),"")</f>
      </c>
      <c r="H4333" s="34"/>
      <c r="I4333" s="42">
        <f>IF(AND(ISNUMBER(D4333),ISNUMBER(H4333)),D4333*H4333*Inputs!$C$69,"")</f>
      </c>
      <c r="J4333" s="42">
        <f>IF(AND(ISNUMBER(F4333),ISNUMBER(H4333),F4333&gt;=Inputs!$C$68),F4333*H4333*Inputs!$C$69,"")</f>
      </c>
    </row>
    <row r="4334" spans="2:10" ht="15" customHeight="1" x14ac:dyDescent="0.2">
      <c r="B4334" s="39">
        <f t="shared" si="32"/>
      </c>
      <c r="C4334" s="40">
        <f>IF(Inputs!$C$60,Inputs!$C$11+(B4334-Inputs!$C$69)/Inputs!$C$70,"")</f>
      </c>
      <c r="D4334" s="15"/>
      <c r="E4334" s="15"/>
      <c r="F4334" s="11">
        <f t="shared" si="33"/>
      </c>
      <c r="G4334" s="22" cm="1">
        <f t="array" ref="G4334">IF(AND(Inputs!$C$60,Inputs!$C$61),INDEX(Utility_Rates!$C$29:$F$52,HOUR(C4334)+Inputs!$C$69,MATCH(INDEX(Utility_Rates!$K$6:$K$17,MONTH(C4334))&amp;IF(WEEKDAY(C4334,Inputs!$C$76)&lt;=Inputs!$C$74," weekday"," weekend"),Utility_Rates!$C$28:$F$28,Inputs!$C$68)),"")</f>
      </c>
      <c r="H4334" s="34"/>
      <c r="I4334" s="42">
        <f>IF(AND(ISNUMBER(D4334),ISNUMBER(H4334)),D4334*H4334*Inputs!$C$69,"")</f>
      </c>
      <c r="J4334" s="42">
        <f>IF(AND(ISNUMBER(F4334),ISNUMBER(H4334),F4334&gt;=Inputs!$C$68),F4334*H4334*Inputs!$C$69,"")</f>
      </c>
    </row>
    <row r="4335" spans="2:10" ht="15" customHeight="1" x14ac:dyDescent="0.2">
      <c r="B4335" s="39">
        <f t="shared" si="32"/>
      </c>
      <c r="C4335" s="40">
        <f>IF(Inputs!$C$60,Inputs!$C$11+(B4335-Inputs!$C$69)/Inputs!$C$70,"")</f>
      </c>
      <c r="D4335" s="15"/>
      <c r="E4335" s="15"/>
      <c r="F4335" s="11">
        <f t="shared" si="33"/>
      </c>
      <c r="G4335" s="22" cm="1">
        <f t="array" ref="G4335">IF(AND(Inputs!$C$60,Inputs!$C$61),INDEX(Utility_Rates!$C$29:$F$52,HOUR(C4335)+Inputs!$C$69,MATCH(INDEX(Utility_Rates!$K$6:$K$17,MONTH(C4335))&amp;IF(WEEKDAY(C4335,Inputs!$C$76)&lt;=Inputs!$C$74," weekday"," weekend"),Utility_Rates!$C$28:$F$28,Inputs!$C$68)),"")</f>
      </c>
      <c r="H4335" s="34"/>
      <c r="I4335" s="42">
        <f>IF(AND(ISNUMBER(D4335),ISNUMBER(H4335)),D4335*H4335*Inputs!$C$69,"")</f>
      </c>
      <c r="J4335" s="42">
        <f>IF(AND(ISNUMBER(F4335),ISNUMBER(H4335),F4335&gt;=Inputs!$C$68),F4335*H4335*Inputs!$C$69,"")</f>
      </c>
    </row>
    <row r="4336" spans="2:10" ht="15" customHeight="1" x14ac:dyDescent="0.2">
      <c r="B4336" s="39">
        <f t="shared" si="32"/>
      </c>
      <c r="C4336" s="40">
        <f>IF(Inputs!$C$60,Inputs!$C$11+(B4336-Inputs!$C$69)/Inputs!$C$70,"")</f>
      </c>
      <c r="D4336" s="15"/>
      <c r="E4336" s="15"/>
      <c r="F4336" s="11">
        <f t="shared" si="33"/>
      </c>
      <c r="G4336" s="22" cm="1">
        <f t="array" ref="G4336">IF(AND(Inputs!$C$60,Inputs!$C$61),INDEX(Utility_Rates!$C$29:$F$52,HOUR(C4336)+Inputs!$C$69,MATCH(INDEX(Utility_Rates!$K$6:$K$17,MONTH(C4336))&amp;IF(WEEKDAY(C4336,Inputs!$C$76)&lt;=Inputs!$C$74," weekday"," weekend"),Utility_Rates!$C$28:$F$28,Inputs!$C$68)),"")</f>
      </c>
      <c r="H4336" s="34"/>
      <c r="I4336" s="42">
        <f>IF(AND(ISNUMBER(D4336),ISNUMBER(H4336)),D4336*H4336*Inputs!$C$69,"")</f>
      </c>
      <c r="J4336" s="42">
        <f>IF(AND(ISNUMBER(F4336),ISNUMBER(H4336),F4336&gt;=Inputs!$C$68),F4336*H4336*Inputs!$C$69,"")</f>
      </c>
    </row>
    <row r="4337" spans="2:10" ht="15" customHeight="1" x14ac:dyDescent="0.2">
      <c r="B4337" s="39">
        <f t="shared" si="32"/>
      </c>
      <c r="C4337" s="40">
        <f>IF(Inputs!$C$60,Inputs!$C$11+(B4337-Inputs!$C$69)/Inputs!$C$70,"")</f>
      </c>
      <c r="D4337" s="15"/>
      <c r="E4337" s="15"/>
      <c r="F4337" s="11">
        <f t="shared" si="33"/>
      </c>
      <c r="G4337" s="22" cm="1">
        <f t="array" ref="G4337">IF(AND(Inputs!$C$60,Inputs!$C$61),INDEX(Utility_Rates!$C$29:$F$52,HOUR(C4337)+Inputs!$C$69,MATCH(INDEX(Utility_Rates!$K$6:$K$17,MONTH(C4337))&amp;IF(WEEKDAY(C4337,Inputs!$C$76)&lt;=Inputs!$C$74," weekday"," weekend"),Utility_Rates!$C$28:$F$28,Inputs!$C$68)),"")</f>
      </c>
      <c r="H4337" s="34"/>
      <c r="I4337" s="42">
        <f>IF(AND(ISNUMBER(D4337),ISNUMBER(H4337)),D4337*H4337*Inputs!$C$69,"")</f>
      </c>
      <c r="J4337" s="42">
        <f>IF(AND(ISNUMBER(F4337),ISNUMBER(H4337),F4337&gt;=Inputs!$C$68),F4337*H4337*Inputs!$C$69,"")</f>
      </c>
    </row>
    <row r="4338" spans="2:10" ht="15" customHeight="1" x14ac:dyDescent="0.2">
      <c r="B4338" s="39">
        <f t="shared" si="32"/>
      </c>
      <c r="C4338" s="40">
        <f>IF(Inputs!$C$60,Inputs!$C$11+(B4338-Inputs!$C$69)/Inputs!$C$70,"")</f>
      </c>
      <c r="D4338" s="15"/>
      <c r="E4338" s="15"/>
      <c r="F4338" s="11">
        <f t="shared" si="33"/>
      </c>
      <c r="G4338" s="22" cm="1">
        <f t="array" ref="G4338">IF(AND(Inputs!$C$60,Inputs!$C$61),INDEX(Utility_Rates!$C$29:$F$52,HOUR(C4338)+Inputs!$C$69,MATCH(INDEX(Utility_Rates!$K$6:$K$17,MONTH(C4338))&amp;IF(WEEKDAY(C4338,Inputs!$C$76)&lt;=Inputs!$C$74," weekday"," weekend"),Utility_Rates!$C$28:$F$28,Inputs!$C$68)),"")</f>
      </c>
      <c r="H4338" s="34"/>
      <c r="I4338" s="42">
        <f>IF(AND(ISNUMBER(D4338),ISNUMBER(H4338)),D4338*H4338*Inputs!$C$69,"")</f>
      </c>
      <c r="J4338" s="42">
        <f>IF(AND(ISNUMBER(F4338),ISNUMBER(H4338),F4338&gt;=Inputs!$C$68),F4338*H4338*Inputs!$C$69,"")</f>
      </c>
    </row>
    <row r="4339" spans="2:10" ht="15" customHeight="1" x14ac:dyDescent="0.2">
      <c r="B4339" s="39">
        <f t="shared" si="32"/>
      </c>
      <c r="C4339" s="40">
        <f>IF(Inputs!$C$60,Inputs!$C$11+(B4339-Inputs!$C$69)/Inputs!$C$70,"")</f>
      </c>
      <c r="D4339" s="15"/>
      <c r="E4339" s="15"/>
      <c r="F4339" s="11">
        <f t="shared" si="33"/>
      </c>
      <c r="G4339" s="22" cm="1">
        <f t="array" ref="G4339">IF(AND(Inputs!$C$60,Inputs!$C$61),INDEX(Utility_Rates!$C$29:$F$52,HOUR(C4339)+Inputs!$C$69,MATCH(INDEX(Utility_Rates!$K$6:$K$17,MONTH(C4339))&amp;IF(WEEKDAY(C4339,Inputs!$C$76)&lt;=Inputs!$C$74," weekday"," weekend"),Utility_Rates!$C$28:$F$28,Inputs!$C$68)),"")</f>
      </c>
      <c r="H4339" s="34"/>
      <c r="I4339" s="42">
        <f>IF(AND(ISNUMBER(D4339),ISNUMBER(H4339)),D4339*H4339*Inputs!$C$69,"")</f>
      </c>
      <c r="J4339" s="42">
        <f>IF(AND(ISNUMBER(F4339),ISNUMBER(H4339),F4339&gt;=Inputs!$C$68),F4339*H4339*Inputs!$C$69,"")</f>
      </c>
    </row>
    <row r="4340" spans="2:10" ht="15" customHeight="1" x14ac:dyDescent="0.2">
      <c r="B4340" s="39">
        <f t="shared" si="32"/>
      </c>
      <c r="C4340" s="40">
        <f>IF(Inputs!$C$60,Inputs!$C$11+(B4340-Inputs!$C$69)/Inputs!$C$70,"")</f>
      </c>
      <c r="D4340" s="15"/>
      <c r="E4340" s="15"/>
      <c r="F4340" s="11">
        <f t="shared" si="33"/>
      </c>
      <c r="G4340" s="22" cm="1">
        <f t="array" ref="G4340">IF(AND(Inputs!$C$60,Inputs!$C$61),INDEX(Utility_Rates!$C$29:$F$52,HOUR(C4340)+Inputs!$C$69,MATCH(INDEX(Utility_Rates!$K$6:$K$17,MONTH(C4340))&amp;IF(WEEKDAY(C4340,Inputs!$C$76)&lt;=Inputs!$C$74," weekday"," weekend"),Utility_Rates!$C$28:$F$28,Inputs!$C$68)),"")</f>
      </c>
      <c r="H4340" s="34"/>
      <c r="I4340" s="42">
        <f>IF(AND(ISNUMBER(D4340),ISNUMBER(H4340)),D4340*H4340*Inputs!$C$69,"")</f>
      </c>
      <c r="J4340" s="42">
        <f>IF(AND(ISNUMBER(F4340),ISNUMBER(H4340),F4340&gt;=Inputs!$C$68),F4340*H4340*Inputs!$C$69,"")</f>
      </c>
    </row>
    <row r="4341" spans="2:10" ht="15" customHeight="1" x14ac:dyDescent="0.2">
      <c r="B4341" s="39">
        <f t="shared" ref="B4341:B4595" si="34">ROW()-ROW($B$5)</f>
      </c>
      <c r="C4341" s="40">
        <f>IF(Inputs!$C$60,Inputs!$C$11+(B4341-Inputs!$C$69)/Inputs!$C$70,"")</f>
      </c>
      <c r="D4341" s="15"/>
      <c r="E4341" s="15"/>
      <c r="F4341" s="11">
        <f t="shared" ref="F4341:F4595" si="35">IF(COUNT(D4341:E4341)=COLUMNS(D4341:E4341),D4341-E4341,"")</f>
      </c>
      <c r="G4341" s="22" cm="1">
        <f t="array" ref="G4341">IF(AND(Inputs!$C$60,Inputs!$C$61),INDEX(Utility_Rates!$C$29:$F$52,HOUR(C4341)+Inputs!$C$69,MATCH(INDEX(Utility_Rates!$K$6:$K$17,MONTH(C4341))&amp;IF(WEEKDAY(C4341,Inputs!$C$76)&lt;=Inputs!$C$74," weekday"," weekend"),Utility_Rates!$C$28:$F$28,Inputs!$C$68)),"")</f>
      </c>
      <c r="H4341" s="34"/>
      <c r="I4341" s="42">
        <f>IF(AND(ISNUMBER(D4341),ISNUMBER(H4341)),D4341*H4341*Inputs!$C$69,"")</f>
      </c>
      <c r="J4341" s="42">
        <f>IF(AND(ISNUMBER(F4341),ISNUMBER(H4341),F4341&gt;=Inputs!$C$68),F4341*H4341*Inputs!$C$69,"")</f>
      </c>
    </row>
    <row r="4342" spans="2:10" ht="15" customHeight="1" x14ac:dyDescent="0.2">
      <c r="B4342" s="39">
        <f t="shared" si="34"/>
      </c>
      <c r="C4342" s="40">
        <f>IF(Inputs!$C$60,Inputs!$C$11+(B4342-Inputs!$C$69)/Inputs!$C$70,"")</f>
      </c>
      <c r="D4342" s="15"/>
      <c r="E4342" s="15"/>
      <c r="F4342" s="11">
        <f t="shared" si="35"/>
      </c>
      <c r="G4342" s="22" cm="1">
        <f t="array" ref="G4342">IF(AND(Inputs!$C$60,Inputs!$C$61),INDEX(Utility_Rates!$C$29:$F$52,HOUR(C4342)+Inputs!$C$69,MATCH(INDEX(Utility_Rates!$K$6:$K$17,MONTH(C4342))&amp;IF(WEEKDAY(C4342,Inputs!$C$76)&lt;=Inputs!$C$74," weekday"," weekend"),Utility_Rates!$C$28:$F$28,Inputs!$C$68)),"")</f>
      </c>
      <c r="H4342" s="34"/>
      <c r="I4342" s="42">
        <f>IF(AND(ISNUMBER(D4342),ISNUMBER(H4342)),D4342*H4342*Inputs!$C$69,"")</f>
      </c>
      <c r="J4342" s="42">
        <f>IF(AND(ISNUMBER(F4342),ISNUMBER(H4342),F4342&gt;=Inputs!$C$68),F4342*H4342*Inputs!$C$69,"")</f>
      </c>
    </row>
    <row r="4343" spans="2:10" ht="15" customHeight="1" x14ac:dyDescent="0.2">
      <c r="B4343" s="39">
        <f t="shared" si="34"/>
      </c>
      <c r="C4343" s="40">
        <f>IF(Inputs!$C$60,Inputs!$C$11+(B4343-Inputs!$C$69)/Inputs!$C$70,"")</f>
      </c>
      <c r="D4343" s="15"/>
      <c r="E4343" s="15"/>
      <c r="F4343" s="11">
        <f t="shared" si="35"/>
      </c>
      <c r="G4343" s="22" cm="1">
        <f t="array" ref="G4343">IF(AND(Inputs!$C$60,Inputs!$C$61),INDEX(Utility_Rates!$C$29:$F$52,HOUR(C4343)+Inputs!$C$69,MATCH(INDEX(Utility_Rates!$K$6:$K$17,MONTH(C4343))&amp;IF(WEEKDAY(C4343,Inputs!$C$76)&lt;=Inputs!$C$74," weekday"," weekend"),Utility_Rates!$C$28:$F$28,Inputs!$C$68)),"")</f>
      </c>
      <c r="H4343" s="34"/>
      <c r="I4343" s="42">
        <f>IF(AND(ISNUMBER(D4343),ISNUMBER(H4343)),D4343*H4343*Inputs!$C$69,"")</f>
      </c>
      <c r="J4343" s="42">
        <f>IF(AND(ISNUMBER(F4343),ISNUMBER(H4343),F4343&gt;=Inputs!$C$68),F4343*H4343*Inputs!$C$69,"")</f>
      </c>
    </row>
    <row r="4344" spans="2:10" ht="15" customHeight="1" x14ac:dyDescent="0.2">
      <c r="B4344" s="39">
        <f t="shared" si="34"/>
      </c>
      <c r="C4344" s="40">
        <f>IF(Inputs!$C$60,Inputs!$C$11+(B4344-Inputs!$C$69)/Inputs!$C$70,"")</f>
      </c>
      <c r="D4344" s="15"/>
      <c r="E4344" s="15"/>
      <c r="F4344" s="11">
        <f t="shared" si="35"/>
      </c>
      <c r="G4344" s="22" cm="1">
        <f t="array" ref="G4344">IF(AND(Inputs!$C$60,Inputs!$C$61),INDEX(Utility_Rates!$C$29:$F$52,HOUR(C4344)+Inputs!$C$69,MATCH(INDEX(Utility_Rates!$K$6:$K$17,MONTH(C4344))&amp;IF(WEEKDAY(C4344,Inputs!$C$76)&lt;=Inputs!$C$74," weekday"," weekend"),Utility_Rates!$C$28:$F$28,Inputs!$C$68)),"")</f>
      </c>
      <c r="H4344" s="34"/>
      <c r="I4344" s="42">
        <f>IF(AND(ISNUMBER(D4344),ISNUMBER(H4344)),D4344*H4344*Inputs!$C$69,"")</f>
      </c>
      <c r="J4344" s="42">
        <f>IF(AND(ISNUMBER(F4344),ISNUMBER(H4344),F4344&gt;=Inputs!$C$68),F4344*H4344*Inputs!$C$69,"")</f>
      </c>
    </row>
    <row r="4345" spans="2:10" ht="15" customHeight="1" x14ac:dyDescent="0.2">
      <c r="B4345" s="39">
        <f t="shared" si="34"/>
      </c>
      <c r="C4345" s="40">
        <f>IF(Inputs!$C$60,Inputs!$C$11+(B4345-Inputs!$C$69)/Inputs!$C$70,"")</f>
      </c>
      <c r="D4345" s="15"/>
      <c r="E4345" s="15"/>
      <c r="F4345" s="11">
        <f t="shared" si="35"/>
      </c>
      <c r="G4345" s="22" cm="1">
        <f t="array" ref="G4345">IF(AND(Inputs!$C$60,Inputs!$C$61),INDEX(Utility_Rates!$C$29:$F$52,HOUR(C4345)+Inputs!$C$69,MATCH(INDEX(Utility_Rates!$K$6:$K$17,MONTH(C4345))&amp;IF(WEEKDAY(C4345,Inputs!$C$76)&lt;=Inputs!$C$74," weekday"," weekend"),Utility_Rates!$C$28:$F$28,Inputs!$C$68)),"")</f>
      </c>
      <c r="H4345" s="34"/>
      <c r="I4345" s="42">
        <f>IF(AND(ISNUMBER(D4345),ISNUMBER(H4345)),D4345*H4345*Inputs!$C$69,"")</f>
      </c>
      <c r="J4345" s="42">
        <f>IF(AND(ISNUMBER(F4345),ISNUMBER(H4345),F4345&gt;=Inputs!$C$68),F4345*H4345*Inputs!$C$69,"")</f>
      </c>
    </row>
    <row r="4346" spans="2:10" ht="15" customHeight="1" x14ac:dyDescent="0.2">
      <c r="B4346" s="39">
        <f t="shared" si="34"/>
      </c>
      <c r="C4346" s="40">
        <f>IF(Inputs!$C$60,Inputs!$C$11+(B4346-Inputs!$C$69)/Inputs!$C$70,"")</f>
      </c>
      <c r="D4346" s="15"/>
      <c r="E4346" s="15"/>
      <c r="F4346" s="11">
        <f t="shared" si="35"/>
      </c>
      <c r="G4346" s="22" cm="1">
        <f t="array" ref="G4346">IF(AND(Inputs!$C$60,Inputs!$C$61),INDEX(Utility_Rates!$C$29:$F$52,HOUR(C4346)+Inputs!$C$69,MATCH(INDEX(Utility_Rates!$K$6:$K$17,MONTH(C4346))&amp;IF(WEEKDAY(C4346,Inputs!$C$76)&lt;=Inputs!$C$74," weekday"," weekend"),Utility_Rates!$C$28:$F$28,Inputs!$C$68)),"")</f>
      </c>
      <c r="H4346" s="34"/>
      <c r="I4346" s="42">
        <f>IF(AND(ISNUMBER(D4346),ISNUMBER(H4346)),D4346*H4346*Inputs!$C$69,"")</f>
      </c>
      <c r="J4346" s="42">
        <f>IF(AND(ISNUMBER(F4346),ISNUMBER(H4346),F4346&gt;=Inputs!$C$68),F4346*H4346*Inputs!$C$69,"")</f>
      </c>
    </row>
    <row r="4347" spans="2:10" ht="15" customHeight="1" x14ac:dyDescent="0.2">
      <c r="B4347" s="39">
        <f t="shared" si="34"/>
      </c>
      <c r="C4347" s="40">
        <f>IF(Inputs!$C$60,Inputs!$C$11+(B4347-Inputs!$C$69)/Inputs!$C$70,"")</f>
      </c>
      <c r="D4347" s="15"/>
      <c r="E4347" s="15"/>
      <c r="F4347" s="11">
        <f t="shared" si="35"/>
      </c>
      <c r="G4347" s="22" cm="1">
        <f t="array" ref="G4347">IF(AND(Inputs!$C$60,Inputs!$C$61),INDEX(Utility_Rates!$C$29:$F$52,HOUR(C4347)+Inputs!$C$69,MATCH(INDEX(Utility_Rates!$K$6:$K$17,MONTH(C4347))&amp;IF(WEEKDAY(C4347,Inputs!$C$76)&lt;=Inputs!$C$74," weekday"," weekend"),Utility_Rates!$C$28:$F$28,Inputs!$C$68)),"")</f>
      </c>
      <c r="H4347" s="34"/>
      <c r="I4347" s="42">
        <f>IF(AND(ISNUMBER(D4347),ISNUMBER(H4347)),D4347*H4347*Inputs!$C$69,"")</f>
      </c>
      <c r="J4347" s="42">
        <f>IF(AND(ISNUMBER(F4347),ISNUMBER(H4347),F4347&gt;=Inputs!$C$68),F4347*H4347*Inputs!$C$69,"")</f>
      </c>
    </row>
    <row r="4348" spans="2:10" ht="15" customHeight="1" x14ac:dyDescent="0.2">
      <c r="B4348" s="39">
        <f t="shared" si="34"/>
      </c>
      <c r="C4348" s="40">
        <f>IF(Inputs!$C$60,Inputs!$C$11+(B4348-Inputs!$C$69)/Inputs!$C$70,"")</f>
      </c>
      <c r="D4348" s="15"/>
      <c r="E4348" s="15"/>
      <c r="F4348" s="11">
        <f t="shared" si="35"/>
      </c>
      <c r="G4348" s="22" cm="1">
        <f t="array" ref="G4348">IF(AND(Inputs!$C$60,Inputs!$C$61),INDEX(Utility_Rates!$C$29:$F$52,HOUR(C4348)+Inputs!$C$69,MATCH(INDEX(Utility_Rates!$K$6:$K$17,MONTH(C4348))&amp;IF(WEEKDAY(C4348,Inputs!$C$76)&lt;=Inputs!$C$74," weekday"," weekend"),Utility_Rates!$C$28:$F$28,Inputs!$C$68)),"")</f>
      </c>
      <c r="H4348" s="34"/>
      <c r="I4348" s="42">
        <f>IF(AND(ISNUMBER(D4348),ISNUMBER(H4348)),D4348*H4348*Inputs!$C$69,"")</f>
      </c>
      <c r="J4348" s="42">
        <f>IF(AND(ISNUMBER(F4348),ISNUMBER(H4348),F4348&gt;=Inputs!$C$68),F4348*H4348*Inputs!$C$69,"")</f>
      </c>
    </row>
    <row r="4349" spans="2:10" ht="15" customHeight="1" x14ac:dyDescent="0.2">
      <c r="B4349" s="39">
        <f t="shared" si="34"/>
      </c>
      <c r="C4349" s="40">
        <f>IF(Inputs!$C$60,Inputs!$C$11+(B4349-Inputs!$C$69)/Inputs!$C$70,"")</f>
      </c>
      <c r="D4349" s="15"/>
      <c r="E4349" s="15"/>
      <c r="F4349" s="11">
        <f t="shared" si="35"/>
      </c>
      <c r="G4349" s="22" cm="1">
        <f t="array" ref="G4349">IF(AND(Inputs!$C$60,Inputs!$C$61),INDEX(Utility_Rates!$C$29:$F$52,HOUR(C4349)+Inputs!$C$69,MATCH(INDEX(Utility_Rates!$K$6:$K$17,MONTH(C4349))&amp;IF(WEEKDAY(C4349,Inputs!$C$76)&lt;=Inputs!$C$74," weekday"," weekend"),Utility_Rates!$C$28:$F$28,Inputs!$C$68)),"")</f>
      </c>
      <c r="H4349" s="34"/>
      <c r="I4349" s="42">
        <f>IF(AND(ISNUMBER(D4349),ISNUMBER(H4349)),D4349*H4349*Inputs!$C$69,"")</f>
      </c>
      <c r="J4349" s="42">
        <f>IF(AND(ISNUMBER(F4349),ISNUMBER(H4349),F4349&gt;=Inputs!$C$68),F4349*H4349*Inputs!$C$69,"")</f>
      </c>
    </row>
    <row r="4350" spans="2:10" ht="15" customHeight="1" x14ac:dyDescent="0.2">
      <c r="B4350" s="39">
        <f t="shared" si="34"/>
      </c>
      <c r="C4350" s="40">
        <f>IF(Inputs!$C$60,Inputs!$C$11+(B4350-Inputs!$C$69)/Inputs!$C$70,"")</f>
      </c>
      <c r="D4350" s="15"/>
      <c r="E4350" s="15"/>
      <c r="F4350" s="11">
        <f t="shared" si="35"/>
      </c>
      <c r="G4350" s="22" cm="1">
        <f t="array" ref="G4350">IF(AND(Inputs!$C$60,Inputs!$C$61),INDEX(Utility_Rates!$C$29:$F$52,HOUR(C4350)+Inputs!$C$69,MATCH(INDEX(Utility_Rates!$K$6:$K$17,MONTH(C4350))&amp;IF(WEEKDAY(C4350,Inputs!$C$76)&lt;=Inputs!$C$74," weekday"," weekend"),Utility_Rates!$C$28:$F$28,Inputs!$C$68)),"")</f>
      </c>
      <c r="H4350" s="34"/>
      <c r="I4350" s="42">
        <f>IF(AND(ISNUMBER(D4350),ISNUMBER(H4350)),D4350*H4350*Inputs!$C$69,"")</f>
      </c>
      <c r="J4350" s="42">
        <f>IF(AND(ISNUMBER(F4350),ISNUMBER(H4350),F4350&gt;=Inputs!$C$68),F4350*H4350*Inputs!$C$69,"")</f>
      </c>
    </row>
    <row r="4351" spans="2:10" ht="15" customHeight="1" x14ac:dyDescent="0.2">
      <c r="B4351" s="39">
        <f t="shared" si="34"/>
      </c>
      <c r="C4351" s="40">
        <f>IF(Inputs!$C$60,Inputs!$C$11+(B4351-Inputs!$C$69)/Inputs!$C$70,"")</f>
      </c>
      <c r="D4351" s="15"/>
      <c r="E4351" s="15"/>
      <c r="F4351" s="11">
        <f t="shared" si="35"/>
      </c>
      <c r="G4351" s="22" cm="1">
        <f t="array" ref="G4351">IF(AND(Inputs!$C$60,Inputs!$C$61),INDEX(Utility_Rates!$C$29:$F$52,HOUR(C4351)+Inputs!$C$69,MATCH(INDEX(Utility_Rates!$K$6:$K$17,MONTH(C4351))&amp;IF(WEEKDAY(C4351,Inputs!$C$76)&lt;=Inputs!$C$74," weekday"," weekend"),Utility_Rates!$C$28:$F$28,Inputs!$C$68)),"")</f>
      </c>
      <c r="H4351" s="34"/>
      <c r="I4351" s="42">
        <f>IF(AND(ISNUMBER(D4351),ISNUMBER(H4351)),D4351*H4351*Inputs!$C$69,"")</f>
      </c>
      <c r="J4351" s="42">
        <f>IF(AND(ISNUMBER(F4351),ISNUMBER(H4351),F4351&gt;=Inputs!$C$68),F4351*H4351*Inputs!$C$69,"")</f>
      </c>
    </row>
    <row r="4352" spans="2:10" ht="15" customHeight="1" x14ac:dyDescent="0.2">
      <c r="B4352" s="39">
        <f t="shared" si="34"/>
      </c>
      <c r="C4352" s="40">
        <f>IF(Inputs!$C$60,Inputs!$C$11+(B4352-Inputs!$C$69)/Inputs!$C$70,"")</f>
      </c>
      <c r="D4352" s="15"/>
      <c r="E4352" s="15"/>
      <c r="F4352" s="11">
        <f t="shared" si="35"/>
      </c>
      <c r="G4352" s="22" cm="1">
        <f t="array" ref="G4352">IF(AND(Inputs!$C$60,Inputs!$C$61),INDEX(Utility_Rates!$C$29:$F$52,HOUR(C4352)+Inputs!$C$69,MATCH(INDEX(Utility_Rates!$K$6:$K$17,MONTH(C4352))&amp;IF(WEEKDAY(C4352,Inputs!$C$76)&lt;=Inputs!$C$74," weekday"," weekend"),Utility_Rates!$C$28:$F$28,Inputs!$C$68)),"")</f>
      </c>
      <c r="H4352" s="34"/>
      <c r="I4352" s="42">
        <f>IF(AND(ISNUMBER(D4352),ISNUMBER(H4352)),D4352*H4352*Inputs!$C$69,"")</f>
      </c>
      <c r="J4352" s="42">
        <f>IF(AND(ISNUMBER(F4352),ISNUMBER(H4352),F4352&gt;=Inputs!$C$68),F4352*H4352*Inputs!$C$69,"")</f>
      </c>
    </row>
    <row r="4353" spans="2:10" ht="15" customHeight="1" x14ac:dyDescent="0.2">
      <c r="B4353" s="39">
        <f t="shared" si="34"/>
      </c>
      <c r="C4353" s="40">
        <f>IF(Inputs!$C$60,Inputs!$C$11+(B4353-Inputs!$C$69)/Inputs!$C$70,"")</f>
      </c>
      <c r="D4353" s="15"/>
      <c r="E4353" s="15"/>
      <c r="F4353" s="11">
        <f t="shared" si="35"/>
      </c>
      <c r="G4353" s="22" cm="1">
        <f t="array" ref="G4353">IF(AND(Inputs!$C$60,Inputs!$C$61),INDEX(Utility_Rates!$C$29:$F$52,HOUR(C4353)+Inputs!$C$69,MATCH(INDEX(Utility_Rates!$K$6:$K$17,MONTH(C4353))&amp;IF(WEEKDAY(C4353,Inputs!$C$76)&lt;=Inputs!$C$74," weekday"," weekend"),Utility_Rates!$C$28:$F$28,Inputs!$C$68)),"")</f>
      </c>
      <c r="H4353" s="34"/>
      <c r="I4353" s="42">
        <f>IF(AND(ISNUMBER(D4353),ISNUMBER(H4353)),D4353*H4353*Inputs!$C$69,"")</f>
      </c>
      <c r="J4353" s="42">
        <f>IF(AND(ISNUMBER(F4353),ISNUMBER(H4353),F4353&gt;=Inputs!$C$68),F4353*H4353*Inputs!$C$69,"")</f>
      </c>
    </row>
    <row r="4354" spans="2:10" ht="15" customHeight="1" x14ac:dyDescent="0.2">
      <c r="B4354" s="39">
        <f t="shared" si="34"/>
      </c>
      <c r="C4354" s="40">
        <f>IF(Inputs!$C$60,Inputs!$C$11+(B4354-Inputs!$C$69)/Inputs!$C$70,"")</f>
      </c>
      <c r="D4354" s="15"/>
      <c r="E4354" s="15"/>
      <c r="F4354" s="11">
        <f t="shared" si="35"/>
      </c>
      <c r="G4354" s="22" cm="1">
        <f t="array" ref="G4354">IF(AND(Inputs!$C$60,Inputs!$C$61),INDEX(Utility_Rates!$C$29:$F$52,HOUR(C4354)+Inputs!$C$69,MATCH(INDEX(Utility_Rates!$K$6:$K$17,MONTH(C4354))&amp;IF(WEEKDAY(C4354,Inputs!$C$76)&lt;=Inputs!$C$74," weekday"," weekend"),Utility_Rates!$C$28:$F$28,Inputs!$C$68)),"")</f>
      </c>
      <c r="H4354" s="34"/>
      <c r="I4354" s="42">
        <f>IF(AND(ISNUMBER(D4354),ISNUMBER(H4354)),D4354*H4354*Inputs!$C$69,"")</f>
      </c>
      <c r="J4354" s="42">
        <f>IF(AND(ISNUMBER(F4354),ISNUMBER(H4354),F4354&gt;=Inputs!$C$68),F4354*H4354*Inputs!$C$69,"")</f>
      </c>
    </row>
    <row r="4355" spans="2:10" ht="15" customHeight="1" x14ac:dyDescent="0.2">
      <c r="B4355" s="39">
        <f t="shared" si="34"/>
      </c>
      <c r="C4355" s="40">
        <f>IF(Inputs!$C$60,Inputs!$C$11+(B4355-Inputs!$C$69)/Inputs!$C$70,"")</f>
      </c>
      <c r="D4355" s="15"/>
      <c r="E4355" s="15"/>
      <c r="F4355" s="11">
        <f t="shared" si="35"/>
      </c>
      <c r="G4355" s="22" cm="1">
        <f t="array" ref="G4355">IF(AND(Inputs!$C$60,Inputs!$C$61),INDEX(Utility_Rates!$C$29:$F$52,HOUR(C4355)+Inputs!$C$69,MATCH(INDEX(Utility_Rates!$K$6:$K$17,MONTH(C4355))&amp;IF(WEEKDAY(C4355,Inputs!$C$76)&lt;=Inputs!$C$74," weekday"," weekend"),Utility_Rates!$C$28:$F$28,Inputs!$C$68)),"")</f>
      </c>
      <c r="H4355" s="34"/>
      <c r="I4355" s="42">
        <f>IF(AND(ISNUMBER(D4355),ISNUMBER(H4355)),D4355*H4355*Inputs!$C$69,"")</f>
      </c>
      <c r="J4355" s="42">
        <f>IF(AND(ISNUMBER(F4355),ISNUMBER(H4355),F4355&gt;=Inputs!$C$68),F4355*H4355*Inputs!$C$69,"")</f>
      </c>
    </row>
    <row r="4356" spans="2:10" ht="15" customHeight="1" x14ac:dyDescent="0.2">
      <c r="B4356" s="39">
        <f t="shared" si="34"/>
      </c>
      <c r="C4356" s="40">
        <f>IF(Inputs!$C$60,Inputs!$C$11+(B4356-Inputs!$C$69)/Inputs!$C$70,"")</f>
      </c>
      <c r="D4356" s="15"/>
      <c r="E4356" s="15"/>
      <c r="F4356" s="11">
        <f t="shared" si="35"/>
      </c>
      <c r="G4356" s="22" cm="1">
        <f t="array" ref="G4356">IF(AND(Inputs!$C$60,Inputs!$C$61),INDEX(Utility_Rates!$C$29:$F$52,HOUR(C4356)+Inputs!$C$69,MATCH(INDEX(Utility_Rates!$K$6:$K$17,MONTH(C4356))&amp;IF(WEEKDAY(C4356,Inputs!$C$76)&lt;=Inputs!$C$74," weekday"," weekend"),Utility_Rates!$C$28:$F$28,Inputs!$C$68)),"")</f>
      </c>
      <c r="H4356" s="34"/>
      <c r="I4356" s="42">
        <f>IF(AND(ISNUMBER(D4356),ISNUMBER(H4356)),D4356*H4356*Inputs!$C$69,"")</f>
      </c>
      <c r="J4356" s="42">
        <f>IF(AND(ISNUMBER(F4356),ISNUMBER(H4356),F4356&gt;=Inputs!$C$68),F4356*H4356*Inputs!$C$69,"")</f>
      </c>
    </row>
    <row r="4357" spans="2:10" ht="15" customHeight="1" x14ac:dyDescent="0.2">
      <c r="B4357" s="39">
        <f t="shared" si="34"/>
      </c>
      <c r="C4357" s="40">
        <f>IF(Inputs!$C$60,Inputs!$C$11+(B4357-Inputs!$C$69)/Inputs!$C$70,"")</f>
      </c>
      <c r="D4357" s="15"/>
      <c r="E4357" s="15"/>
      <c r="F4357" s="11">
        <f t="shared" si="35"/>
      </c>
      <c r="G4357" s="22" cm="1">
        <f t="array" ref="G4357">IF(AND(Inputs!$C$60,Inputs!$C$61),INDEX(Utility_Rates!$C$29:$F$52,HOUR(C4357)+Inputs!$C$69,MATCH(INDEX(Utility_Rates!$K$6:$K$17,MONTH(C4357))&amp;IF(WEEKDAY(C4357,Inputs!$C$76)&lt;=Inputs!$C$74," weekday"," weekend"),Utility_Rates!$C$28:$F$28,Inputs!$C$68)),"")</f>
      </c>
      <c r="H4357" s="34"/>
      <c r="I4357" s="42">
        <f>IF(AND(ISNUMBER(D4357),ISNUMBER(H4357)),D4357*H4357*Inputs!$C$69,"")</f>
      </c>
      <c r="J4357" s="42">
        <f>IF(AND(ISNUMBER(F4357),ISNUMBER(H4357),F4357&gt;=Inputs!$C$68),F4357*H4357*Inputs!$C$69,"")</f>
      </c>
    </row>
    <row r="4358" spans="2:10" ht="15" customHeight="1" x14ac:dyDescent="0.2">
      <c r="B4358" s="39">
        <f t="shared" si="34"/>
      </c>
      <c r="C4358" s="40">
        <f>IF(Inputs!$C$60,Inputs!$C$11+(B4358-Inputs!$C$69)/Inputs!$C$70,"")</f>
      </c>
      <c r="D4358" s="15"/>
      <c r="E4358" s="15"/>
      <c r="F4358" s="11">
        <f t="shared" si="35"/>
      </c>
      <c r="G4358" s="22" cm="1">
        <f t="array" ref="G4358">IF(AND(Inputs!$C$60,Inputs!$C$61),INDEX(Utility_Rates!$C$29:$F$52,HOUR(C4358)+Inputs!$C$69,MATCH(INDEX(Utility_Rates!$K$6:$K$17,MONTH(C4358))&amp;IF(WEEKDAY(C4358,Inputs!$C$76)&lt;=Inputs!$C$74," weekday"," weekend"),Utility_Rates!$C$28:$F$28,Inputs!$C$68)),"")</f>
      </c>
      <c r="H4358" s="34"/>
      <c r="I4358" s="42">
        <f>IF(AND(ISNUMBER(D4358),ISNUMBER(H4358)),D4358*H4358*Inputs!$C$69,"")</f>
      </c>
      <c r="J4358" s="42">
        <f>IF(AND(ISNUMBER(F4358),ISNUMBER(H4358),F4358&gt;=Inputs!$C$68),F4358*H4358*Inputs!$C$69,"")</f>
      </c>
    </row>
    <row r="4359" spans="2:10" ht="15" customHeight="1" x14ac:dyDescent="0.2">
      <c r="B4359" s="39">
        <f t="shared" si="34"/>
      </c>
      <c r="C4359" s="40">
        <f>IF(Inputs!$C$60,Inputs!$C$11+(B4359-Inputs!$C$69)/Inputs!$C$70,"")</f>
      </c>
      <c r="D4359" s="15"/>
      <c r="E4359" s="15"/>
      <c r="F4359" s="11">
        <f t="shared" si="35"/>
      </c>
      <c r="G4359" s="22" cm="1">
        <f t="array" ref="G4359">IF(AND(Inputs!$C$60,Inputs!$C$61),INDEX(Utility_Rates!$C$29:$F$52,HOUR(C4359)+Inputs!$C$69,MATCH(INDEX(Utility_Rates!$K$6:$K$17,MONTH(C4359))&amp;IF(WEEKDAY(C4359,Inputs!$C$76)&lt;=Inputs!$C$74," weekday"," weekend"),Utility_Rates!$C$28:$F$28,Inputs!$C$68)),"")</f>
      </c>
      <c r="H4359" s="34"/>
      <c r="I4359" s="42">
        <f>IF(AND(ISNUMBER(D4359),ISNUMBER(H4359)),D4359*H4359*Inputs!$C$69,"")</f>
      </c>
      <c r="J4359" s="42">
        <f>IF(AND(ISNUMBER(F4359),ISNUMBER(H4359),F4359&gt;=Inputs!$C$68),F4359*H4359*Inputs!$C$69,"")</f>
      </c>
    </row>
    <row r="4360" spans="2:10" ht="15" customHeight="1" x14ac:dyDescent="0.2">
      <c r="B4360" s="39">
        <f t="shared" si="34"/>
      </c>
      <c r="C4360" s="40">
        <f>IF(Inputs!$C$60,Inputs!$C$11+(B4360-Inputs!$C$69)/Inputs!$C$70,"")</f>
      </c>
      <c r="D4360" s="15"/>
      <c r="E4360" s="15"/>
      <c r="F4360" s="11">
        <f t="shared" si="35"/>
      </c>
      <c r="G4360" s="22" cm="1">
        <f t="array" ref="G4360">IF(AND(Inputs!$C$60,Inputs!$C$61),INDEX(Utility_Rates!$C$29:$F$52,HOUR(C4360)+Inputs!$C$69,MATCH(INDEX(Utility_Rates!$K$6:$K$17,MONTH(C4360))&amp;IF(WEEKDAY(C4360,Inputs!$C$76)&lt;=Inputs!$C$74," weekday"," weekend"),Utility_Rates!$C$28:$F$28,Inputs!$C$68)),"")</f>
      </c>
      <c r="H4360" s="34"/>
      <c r="I4360" s="42">
        <f>IF(AND(ISNUMBER(D4360),ISNUMBER(H4360)),D4360*H4360*Inputs!$C$69,"")</f>
      </c>
      <c r="J4360" s="42">
        <f>IF(AND(ISNUMBER(F4360),ISNUMBER(H4360),F4360&gt;=Inputs!$C$68),F4360*H4360*Inputs!$C$69,"")</f>
      </c>
    </row>
    <row r="4361" spans="2:10" ht="15" customHeight="1" x14ac:dyDescent="0.2">
      <c r="B4361" s="39">
        <f t="shared" si="34"/>
      </c>
      <c r="C4361" s="40">
        <f>IF(Inputs!$C$60,Inputs!$C$11+(B4361-Inputs!$C$69)/Inputs!$C$70,"")</f>
      </c>
      <c r="D4361" s="15"/>
      <c r="E4361" s="15"/>
      <c r="F4361" s="11">
        <f t="shared" si="35"/>
      </c>
      <c r="G4361" s="22" cm="1">
        <f t="array" ref="G4361">IF(AND(Inputs!$C$60,Inputs!$C$61),INDEX(Utility_Rates!$C$29:$F$52,HOUR(C4361)+Inputs!$C$69,MATCH(INDEX(Utility_Rates!$K$6:$K$17,MONTH(C4361))&amp;IF(WEEKDAY(C4361,Inputs!$C$76)&lt;=Inputs!$C$74," weekday"," weekend"),Utility_Rates!$C$28:$F$28,Inputs!$C$68)),"")</f>
      </c>
      <c r="H4361" s="34"/>
      <c r="I4361" s="42">
        <f>IF(AND(ISNUMBER(D4361),ISNUMBER(H4361)),D4361*H4361*Inputs!$C$69,"")</f>
      </c>
      <c r="J4361" s="42">
        <f>IF(AND(ISNUMBER(F4361),ISNUMBER(H4361),F4361&gt;=Inputs!$C$68),F4361*H4361*Inputs!$C$69,"")</f>
      </c>
    </row>
    <row r="4362" spans="2:10" ht="15" customHeight="1" x14ac:dyDescent="0.2">
      <c r="B4362" s="39">
        <f t="shared" si="34"/>
      </c>
      <c r="C4362" s="40">
        <f>IF(Inputs!$C$60,Inputs!$C$11+(B4362-Inputs!$C$69)/Inputs!$C$70,"")</f>
      </c>
      <c r="D4362" s="15"/>
      <c r="E4362" s="15"/>
      <c r="F4362" s="11">
        <f t="shared" si="35"/>
      </c>
      <c r="G4362" s="22" cm="1">
        <f t="array" ref="G4362">IF(AND(Inputs!$C$60,Inputs!$C$61),INDEX(Utility_Rates!$C$29:$F$52,HOUR(C4362)+Inputs!$C$69,MATCH(INDEX(Utility_Rates!$K$6:$K$17,MONTH(C4362))&amp;IF(WEEKDAY(C4362,Inputs!$C$76)&lt;=Inputs!$C$74," weekday"," weekend"),Utility_Rates!$C$28:$F$28,Inputs!$C$68)),"")</f>
      </c>
      <c r="H4362" s="34"/>
      <c r="I4362" s="42">
        <f>IF(AND(ISNUMBER(D4362),ISNUMBER(H4362)),D4362*H4362*Inputs!$C$69,"")</f>
      </c>
      <c r="J4362" s="42">
        <f>IF(AND(ISNUMBER(F4362),ISNUMBER(H4362),F4362&gt;=Inputs!$C$68),F4362*H4362*Inputs!$C$69,"")</f>
      </c>
    </row>
    <row r="4363" spans="2:10" ht="15" customHeight="1" x14ac:dyDescent="0.2">
      <c r="B4363" s="39">
        <f t="shared" si="34"/>
      </c>
      <c r="C4363" s="40">
        <f>IF(Inputs!$C$60,Inputs!$C$11+(B4363-Inputs!$C$69)/Inputs!$C$70,"")</f>
      </c>
      <c r="D4363" s="15"/>
      <c r="E4363" s="15"/>
      <c r="F4363" s="11">
        <f t="shared" si="35"/>
      </c>
      <c r="G4363" s="22" cm="1">
        <f t="array" ref="G4363">IF(AND(Inputs!$C$60,Inputs!$C$61),INDEX(Utility_Rates!$C$29:$F$52,HOUR(C4363)+Inputs!$C$69,MATCH(INDEX(Utility_Rates!$K$6:$K$17,MONTH(C4363))&amp;IF(WEEKDAY(C4363,Inputs!$C$76)&lt;=Inputs!$C$74," weekday"," weekend"),Utility_Rates!$C$28:$F$28,Inputs!$C$68)),"")</f>
      </c>
      <c r="H4363" s="34"/>
      <c r="I4363" s="42">
        <f>IF(AND(ISNUMBER(D4363),ISNUMBER(H4363)),D4363*H4363*Inputs!$C$69,"")</f>
      </c>
      <c r="J4363" s="42">
        <f>IF(AND(ISNUMBER(F4363),ISNUMBER(H4363),F4363&gt;=Inputs!$C$68),F4363*H4363*Inputs!$C$69,"")</f>
      </c>
    </row>
    <row r="4364" spans="2:10" ht="15" customHeight="1" x14ac:dyDescent="0.2">
      <c r="B4364" s="39">
        <f t="shared" si="34"/>
      </c>
      <c r="C4364" s="40">
        <f>IF(Inputs!$C$60,Inputs!$C$11+(B4364-Inputs!$C$69)/Inputs!$C$70,"")</f>
      </c>
      <c r="D4364" s="15"/>
      <c r="E4364" s="15"/>
      <c r="F4364" s="11">
        <f t="shared" si="35"/>
      </c>
      <c r="G4364" s="22" cm="1">
        <f t="array" ref="G4364">IF(AND(Inputs!$C$60,Inputs!$C$61),INDEX(Utility_Rates!$C$29:$F$52,HOUR(C4364)+Inputs!$C$69,MATCH(INDEX(Utility_Rates!$K$6:$K$17,MONTH(C4364))&amp;IF(WEEKDAY(C4364,Inputs!$C$76)&lt;=Inputs!$C$74," weekday"," weekend"),Utility_Rates!$C$28:$F$28,Inputs!$C$68)),"")</f>
      </c>
      <c r="H4364" s="34"/>
      <c r="I4364" s="42">
        <f>IF(AND(ISNUMBER(D4364),ISNUMBER(H4364)),D4364*H4364*Inputs!$C$69,"")</f>
      </c>
      <c r="J4364" s="42">
        <f>IF(AND(ISNUMBER(F4364),ISNUMBER(H4364),F4364&gt;=Inputs!$C$68),F4364*H4364*Inputs!$C$69,"")</f>
      </c>
    </row>
    <row r="4365" spans="2:10" ht="15" customHeight="1" x14ac:dyDescent="0.2">
      <c r="B4365" s="39">
        <f t="shared" si="34"/>
      </c>
      <c r="C4365" s="40">
        <f>IF(Inputs!$C$60,Inputs!$C$11+(B4365-Inputs!$C$69)/Inputs!$C$70,"")</f>
      </c>
      <c r="D4365" s="15"/>
      <c r="E4365" s="15"/>
      <c r="F4365" s="11">
        <f t="shared" si="35"/>
      </c>
      <c r="G4365" s="22" cm="1">
        <f t="array" ref="G4365">IF(AND(Inputs!$C$60,Inputs!$C$61),INDEX(Utility_Rates!$C$29:$F$52,HOUR(C4365)+Inputs!$C$69,MATCH(INDEX(Utility_Rates!$K$6:$K$17,MONTH(C4365))&amp;IF(WEEKDAY(C4365,Inputs!$C$76)&lt;=Inputs!$C$74," weekday"," weekend"),Utility_Rates!$C$28:$F$28,Inputs!$C$68)),"")</f>
      </c>
      <c r="H4365" s="34"/>
      <c r="I4365" s="42">
        <f>IF(AND(ISNUMBER(D4365),ISNUMBER(H4365)),D4365*H4365*Inputs!$C$69,"")</f>
      </c>
      <c r="J4365" s="42">
        <f>IF(AND(ISNUMBER(F4365),ISNUMBER(H4365),F4365&gt;=Inputs!$C$68),F4365*H4365*Inputs!$C$69,"")</f>
      </c>
    </row>
    <row r="4366" spans="2:10" ht="15" customHeight="1" x14ac:dyDescent="0.2">
      <c r="B4366" s="39">
        <f t="shared" si="34"/>
      </c>
      <c r="C4366" s="40">
        <f>IF(Inputs!$C$60,Inputs!$C$11+(B4366-Inputs!$C$69)/Inputs!$C$70,"")</f>
      </c>
      <c r="D4366" s="15"/>
      <c r="E4366" s="15"/>
      <c r="F4366" s="11">
        <f t="shared" si="35"/>
      </c>
      <c r="G4366" s="22" cm="1">
        <f t="array" ref="G4366">IF(AND(Inputs!$C$60,Inputs!$C$61),INDEX(Utility_Rates!$C$29:$F$52,HOUR(C4366)+Inputs!$C$69,MATCH(INDEX(Utility_Rates!$K$6:$K$17,MONTH(C4366))&amp;IF(WEEKDAY(C4366,Inputs!$C$76)&lt;=Inputs!$C$74," weekday"," weekend"),Utility_Rates!$C$28:$F$28,Inputs!$C$68)),"")</f>
      </c>
      <c r="H4366" s="34"/>
      <c r="I4366" s="42">
        <f>IF(AND(ISNUMBER(D4366),ISNUMBER(H4366)),D4366*H4366*Inputs!$C$69,"")</f>
      </c>
      <c r="J4366" s="42">
        <f>IF(AND(ISNUMBER(F4366),ISNUMBER(H4366),F4366&gt;=Inputs!$C$68),F4366*H4366*Inputs!$C$69,"")</f>
      </c>
    </row>
    <row r="4367" spans="2:10" ht="15" customHeight="1" x14ac:dyDescent="0.2">
      <c r="B4367" s="39">
        <f t="shared" si="34"/>
      </c>
      <c r="C4367" s="40">
        <f>IF(Inputs!$C$60,Inputs!$C$11+(B4367-Inputs!$C$69)/Inputs!$C$70,"")</f>
      </c>
      <c r="D4367" s="15"/>
      <c r="E4367" s="15"/>
      <c r="F4367" s="11">
        <f t="shared" si="35"/>
      </c>
      <c r="G4367" s="22" cm="1">
        <f t="array" ref="G4367">IF(AND(Inputs!$C$60,Inputs!$C$61),INDEX(Utility_Rates!$C$29:$F$52,HOUR(C4367)+Inputs!$C$69,MATCH(INDEX(Utility_Rates!$K$6:$K$17,MONTH(C4367))&amp;IF(WEEKDAY(C4367,Inputs!$C$76)&lt;=Inputs!$C$74," weekday"," weekend"),Utility_Rates!$C$28:$F$28,Inputs!$C$68)),"")</f>
      </c>
      <c r="H4367" s="34"/>
      <c r="I4367" s="42">
        <f>IF(AND(ISNUMBER(D4367),ISNUMBER(H4367)),D4367*H4367*Inputs!$C$69,"")</f>
      </c>
      <c r="J4367" s="42">
        <f>IF(AND(ISNUMBER(F4367),ISNUMBER(H4367),F4367&gt;=Inputs!$C$68),F4367*H4367*Inputs!$C$69,"")</f>
      </c>
    </row>
    <row r="4368" spans="2:10" ht="15" customHeight="1" x14ac:dyDescent="0.2">
      <c r="B4368" s="39">
        <f t="shared" si="34"/>
      </c>
      <c r="C4368" s="40">
        <f>IF(Inputs!$C$60,Inputs!$C$11+(B4368-Inputs!$C$69)/Inputs!$C$70,"")</f>
      </c>
      <c r="D4368" s="15"/>
      <c r="E4368" s="15"/>
      <c r="F4368" s="11">
        <f t="shared" si="35"/>
      </c>
      <c r="G4368" s="22" cm="1">
        <f t="array" ref="G4368">IF(AND(Inputs!$C$60,Inputs!$C$61),INDEX(Utility_Rates!$C$29:$F$52,HOUR(C4368)+Inputs!$C$69,MATCH(INDEX(Utility_Rates!$K$6:$K$17,MONTH(C4368))&amp;IF(WEEKDAY(C4368,Inputs!$C$76)&lt;=Inputs!$C$74," weekday"," weekend"),Utility_Rates!$C$28:$F$28,Inputs!$C$68)),"")</f>
      </c>
      <c r="H4368" s="34"/>
      <c r="I4368" s="42">
        <f>IF(AND(ISNUMBER(D4368),ISNUMBER(H4368)),D4368*H4368*Inputs!$C$69,"")</f>
      </c>
      <c r="J4368" s="42">
        <f>IF(AND(ISNUMBER(F4368),ISNUMBER(H4368),F4368&gt;=Inputs!$C$68),F4368*H4368*Inputs!$C$69,"")</f>
      </c>
    </row>
    <row r="4369" spans="2:10" ht="15" customHeight="1" x14ac:dyDescent="0.2">
      <c r="B4369" s="39">
        <f t="shared" si="34"/>
      </c>
      <c r="C4369" s="40">
        <f>IF(Inputs!$C$60,Inputs!$C$11+(B4369-Inputs!$C$69)/Inputs!$C$70,"")</f>
      </c>
      <c r="D4369" s="15"/>
      <c r="E4369" s="15"/>
      <c r="F4369" s="11">
        <f t="shared" si="35"/>
      </c>
      <c r="G4369" s="22" cm="1">
        <f t="array" ref="G4369">IF(AND(Inputs!$C$60,Inputs!$C$61),INDEX(Utility_Rates!$C$29:$F$52,HOUR(C4369)+Inputs!$C$69,MATCH(INDEX(Utility_Rates!$K$6:$K$17,MONTH(C4369))&amp;IF(WEEKDAY(C4369,Inputs!$C$76)&lt;=Inputs!$C$74," weekday"," weekend"),Utility_Rates!$C$28:$F$28,Inputs!$C$68)),"")</f>
      </c>
      <c r="H4369" s="34"/>
      <c r="I4369" s="42">
        <f>IF(AND(ISNUMBER(D4369),ISNUMBER(H4369)),D4369*H4369*Inputs!$C$69,"")</f>
      </c>
      <c r="J4369" s="42">
        <f>IF(AND(ISNUMBER(F4369),ISNUMBER(H4369),F4369&gt;=Inputs!$C$68),F4369*H4369*Inputs!$C$69,"")</f>
      </c>
    </row>
    <row r="4370" spans="2:10" ht="15" customHeight="1" x14ac:dyDescent="0.2">
      <c r="B4370" s="39">
        <f t="shared" si="34"/>
      </c>
      <c r="C4370" s="40">
        <f>IF(Inputs!$C$60,Inputs!$C$11+(B4370-Inputs!$C$69)/Inputs!$C$70,"")</f>
      </c>
      <c r="D4370" s="15"/>
      <c r="E4370" s="15"/>
      <c r="F4370" s="11">
        <f t="shared" si="35"/>
      </c>
      <c r="G4370" s="22" cm="1">
        <f t="array" ref="G4370">IF(AND(Inputs!$C$60,Inputs!$C$61),INDEX(Utility_Rates!$C$29:$F$52,HOUR(C4370)+Inputs!$C$69,MATCH(INDEX(Utility_Rates!$K$6:$K$17,MONTH(C4370))&amp;IF(WEEKDAY(C4370,Inputs!$C$76)&lt;=Inputs!$C$74," weekday"," weekend"),Utility_Rates!$C$28:$F$28,Inputs!$C$68)),"")</f>
      </c>
      <c r="H4370" s="34"/>
      <c r="I4370" s="42">
        <f>IF(AND(ISNUMBER(D4370),ISNUMBER(H4370)),D4370*H4370*Inputs!$C$69,"")</f>
      </c>
      <c r="J4370" s="42">
        <f>IF(AND(ISNUMBER(F4370),ISNUMBER(H4370),F4370&gt;=Inputs!$C$68),F4370*H4370*Inputs!$C$69,"")</f>
      </c>
    </row>
    <row r="4371" spans="2:10" ht="15" customHeight="1" x14ac:dyDescent="0.2">
      <c r="B4371" s="39">
        <f t="shared" si="34"/>
      </c>
      <c r="C4371" s="40">
        <f>IF(Inputs!$C$60,Inputs!$C$11+(B4371-Inputs!$C$69)/Inputs!$C$70,"")</f>
      </c>
      <c r="D4371" s="15"/>
      <c r="E4371" s="15"/>
      <c r="F4371" s="11">
        <f t="shared" si="35"/>
      </c>
      <c r="G4371" s="22" cm="1">
        <f t="array" ref="G4371">IF(AND(Inputs!$C$60,Inputs!$C$61),INDEX(Utility_Rates!$C$29:$F$52,HOUR(C4371)+Inputs!$C$69,MATCH(INDEX(Utility_Rates!$K$6:$K$17,MONTH(C4371))&amp;IF(WEEKDAY(C4371,Inputs!$C$76)&lt;=Inputs!$C$74," weekday"," weekend"),Utility_Rates!$C$28:$F$28,Inputs!$C$68)),"")</f>
      </c>
      <c r="H4371" s="34"/>
      <c r="I4371" s="42">
        <f>IF(AND(ISNUMBER(D4371),ISNUMBER(H4371)),D4371*H4371*Inputs!$C$69,"")</f>
      </c>
      <c r="J4371" s="42">
        <f>IF(AND(ISNUMBER(F4371),ISNUMBER(H4371),F4371&gt;=Inputs!$C$68),F4371*H4371*Inputs!$C$69,"")</f>
      </c>
    </row>
    <row r="4372" spans="2:10" ht="15" customHeight="1" x14ac:dyDescent="0.2">
      <c r="B4372" s="39">
        <f t="shared" si="34"/>
      </c>
      <c r="C4372" s="40">
        <f>IF(Inputs!$C$60,Inputs!$C$11+(B4372-Inputs!$C$69)/Inputs!$C$70,"")</f>
      </c>
      <c r="D4372" s="15"/>
      <c r="E4372" s="15"/>
      <c r="F4372" s="11">
        <f t="shared" si="35"/>
      </c>
      <c r="G4372" s="22" cm="1">
        <f t="array" ref="G4372">IF(AND(Inputs!$C$60,Inputs!$C$61),INDEX(Utility_Rates!$C$29:$F$52,HOUR(C4372)+Inputs!$C$69,MATCH(INDEX(Utility_Rates!$K$6:$K$17,MONTH(C4372))&amp;IF(WEEKDAY(C4372,Inputs!$C$76)&lt;=Inputs!$C$74," weekday"," weekend"),Utility_Rates!$C$28:$F$28,Inputs!$C$68)),"")</f>
      </c>
      <c r="H4372" s="34"/>
      <c r="I4372" s="42">
        <f>IF(AND(ISNUMBER(D4372),ISNUMBER(H4372)),D4372*H4372*Inputs!$C$69,"")</f>
      </c>
      <c r="J4372" s="42">
        <f>IF(AND(ISNUMBER(F4372),ISNUMBER(H4372),F4372&gt;=Inputs!$C$68),F4372*H4372*Inputs!$C$69,"")</f>
      </c>
    </row>
    <row r="4373" spans="2:10" ht="15" customHeight="1" x14ac:dyDescent="0.2">
      <c r="B4373" s="39">
        <f t="shared" si="34"/>
      </c>
      <c r="C4373" s="40">
        <f>IF(Inputs!$C$60,Inputs!$C$11+(B4373-Inputs!$C$69)/Inputs!$C$70,"")</f>
      </c>
      <c r="D4373" s="15"/>
      <c r="E4373" s="15"/>
      <c r="F4373" s="11">
        <f t="shared" si="35"/>
      </c>
      <c r="G4373" s="22" cm="1">
        <f t="array" ref="G4373">IF(AND(Inputs!$C$60,Inputs!$C$61),INDEX(Utility_Rates!$C$29:$F$52,HOUR(C4373)+Inputs!$C$69,MATCH(INDEX(Utility_Rates!$K$6:$K$17,MONTH(C4373))&amp;IF(WEEKDAY(C4373,Inputs!$C$76)&lt;=Inputs!$C$74," weekday"," weekend"),Utility_Rates!$C$28:$F$28,Inputs!$C$68)),"")</f>
      </c>
      <c r="H4373" s="34"/>
      <c r="I4373" s="42">
        <f>IF(AND(ISNUMBER(D4373),ISNUMBER(H4373)),D4373*H4373*Inputs!$C$69,"")</f>
      </c>
      <c r="J4373" s="42">
        <f>IF(AND(ISNUMBER(F4373),ISNUMBER(H4373),F4373&gt;=Inputs!$C$68),F4373*H4373*Inputs!$C$69,"")</f>
      </c>
    </row>
    <row r="4374" spans="2:10" ht="15" customHeight="1" x14ac:dyDescent="0.2">
      <c r="B4374" s="39">
        <f t="shared" si="34"/>
      </c>
      <c r="C4374" s="40">
        <f>IF(Inputs!$C$60,Inputs!$C$11+(B4374-Inputs!$C$69)/Inputs!$C$70,"")</f>
      </c>
      <c r="D4374" s="15"/>
      <c r="E4374" s="15"/>
      <c r="F4374" s="11">
        <f t="shared" si="35"/>
      </c>
      <c r="G4374" s="22" cm="1">
        <f t="array" ref="G4374">IF(AND(Inputs!$C$60,Inputs!$C$61),INDEX(Utility_Rates!$C$29:$F$52,HOUR(C4374)+Inputs!$C$69,MATCH(INDEX(Utility_Rates!$K$6:$K$17,MONTH(C4374))&amp;IF(WEEKDAY(C4374,Inputs!$C$76)&lt;=Inputs!$C$74," weekday"," weekend"),Utility_Rates!$C$28:$F$28,Inputs!$C$68)),"")</f>
      </c>
      <c r="H4374" s="34"/>
      <c r="I4374" s="42">
        <f>IF(AND(ISNUMBER(D4374),ISNUMBER(H4374)),D4374*H4374*Inputs!$C$69,"")</f>
      </c>
      <c r="J4374" s="42">
        <f>IF(AND(ISNUMBER(F4374),ISNUMBER(H4374),F4374&gt;=Inputs!$C$68),F4374*H4374*Inputs!$C$69,"")</f>
      </c>
    </row>
    <row r="4375" spans="2:10" ht="15" customHeight="1" x14ac:dyDescent="0.2">
      <c r="B4375" s="39">
        <f t="shared" si="34"/>
      </c>
      <c r="C4375" s="40">
        <f>IF(Inputs!$C$60,Inputs!$C$11+(B4375-Inputs!$C$69)/Inputs!$C$70,"")</f>
      </c>
      <c r="D4375" s="15"/>
      <c r="E4375" s="15"/>
      <c r="F4375" s="11">
        <f t="shared" si="35"/>
      </c>
      <c r="G4375" s="22" cm="1">
        <f t="array" ref="G4375">IF(AND(Inputs!$C$60,Inputs!$C$61),INDEX(Utility_Rates!$C$29:$F$52,HOUR(C4375)+Inputs!$C$69,MATCH(INDEX(Utility_Rates!$K$6:$K$17,MONTH(C4375))&amp;IF(WEEKDAY(C4375,Inputs!$C$76)&lt;=Inputs!$C$74," weekday"," weekend"),Utility_Rates!$C$28:$F$28,Inputs!$C$68)),"")</f>
      </c>
      <c r="H4375" s="34"/>
      <c r="I4375" s="42">
        <f>IF(AND(ISNUMBER(D4375),ISNUMBER(H4375)),D4375*H4375*Inputs!$C$69,"")</f>
      </c>
      <c r="J4375" s="42">
        <f>IF(AND(ISNUMBER(F4375),ISNUMBER(H4375),F4375&gt;=Inputs!$C$68),F4375*H4375*Inputs!$C$69,"")</f>
      </c>
    </row>
    <row r="4376" spans="2:10" ht="15" customHeight="1" x14ac:dyDescent="0.2">
      <c r="B4376" s="39">
        <f t="shared" si="34"/>
      </c>
      <c r="C4376" s="40">
        <f>IF(Inputs!$C$60,Inputs!$C$11+(B4376-Inputs!$C$69)/Inputs!$C$70,"")</f>
      </c>
      <c r="D4376" s="15"/>
      <c r="E4376" s="15"/>
      <c r="F4376" s="11">
        <f t="shared" si="35"/>
      </c>
      <c r="G4376" s="22" cm="1">
        <f t="array" ref="G4376">IF(AND(Inputs!$C$60,Inputs!$C$61),INDEX(Utility_Rates!$C$29:$F$52,HOUR(C4376)+Inputs!$C$69,MATCH(INDEX(Utility_Rates!$K$6:$K$17,MONTH(C4376))&amp;IF(WEEKDAY(C4376,Inputs!$C$76)&lt;=Inputs!$C$74," weekday"," weekend"),Utility_Rates!$C$28:$F$28,Inputs!$C$68)),"")</f>
      </c>
      <c r="H4376" s="34"/>
      <c r="I4376" s="42">
        <f>IF(AND(ISNUMBER(D4376),ISNUMBER(H4376)),D4376*H4376*Inputs!$C$69,"")</f>
      </c>
      <c r="J4376" s="42">
        <f>IF(AND(ISNUMBER(F4376),ISNUMBER(H4376),F4376&gt;=Inputs!$C$68),F4376*H4376*Inputs!$C$69,"")</f>
      </c>
    </row>
    <row r="4377" spans="2:10" ht="15" customHeight="1" x14ac:dyDescent="0.2">
      <c r="B4377" s="39">
        <f t="shared" si="34"/>
      </c>
      <c r="C4377" s="40">
        <f>IF(Inputs!$C$60,Inputs!$C$11+(B4377-Inputs!$C$69)/Inputs!$C$70,"")</f>
      </c>
      <c r="D4377" s="15"/>
      <c r="E4377" s="15"/>
      <c r="F4377" s="11">
        <f t="shared" si="35"/>
      </c>
      <c r="G4377" s="22" cm="1">
        <f t="array" ref="G4377">IF(AND(Inputs!$C$60,Inputs!$C$61),INDEX(Utility_Rates!$C$29:$F$52,HOUR(C4377)+Inputs!$C$69,MATCH(INDEX(Utility_Rates!$K$6:$K$17,MONTH(C4377))&amp;IF(WEEKDAY(C4377,Inputs!$C$76)&lt;=Inputs!$C$74," weekday"," weekend"),Utility_Rates!$C$28:$F$28,Inputs!$C$68)),"")</f>
      </c>
      <c r="H4377" s="34"/>
      <c r="I4377" s="42">
        <f>IF(AND(ISNUMBER(D4377),ISNUMBER(H4377)),D4377*H4377*Inputs!$C$69,"")</f>
      </c>
      <c r="J4377" s="42">
        <f>IF(AND(ISNUMBER(F4377),ISNUMBER(H4377),F4377&gt;=Inputs!$C$68),F4377*H4377*Inputs!$C$69,"")</f>
      </c>
    </row>
    <row r="4378" spans="2:10" ht="15" customHeight="1" x14ac:dyDescent="0.2">
      <c r="B4378" s="39">
        <f t="shared" si="34"/>
      </c>
      <c r="C4378" s="40">
        <f>IF(Inputs!$C$60,Inputs!$C$11+(B4378-Inputs!$C$69)/Inputs!$C$70,"")</f>
      </c>
      <c r="D4378" s="15"/>
      <c r="E4378" s="15"/>
      <c r="F4378" s="11">
        <f t="shared" si="35"/>
      </c>
      <c r="G4378" s="22" cm="1">
        <f t="array" ref="G4378">IF(AND(Inputs!$C$60,Inputs!$C$61),INDEX(Utility_Rates!$C$29:$F$52,HOUR(C4378)+Inputs!$C$69,MATCH(INDEX(Utility_Rates!$K$6:$K$17,MONTH(C4378))&amp;IF(WEEKDAY(C4378,Inputs!$C$76)&lt;=Inputs!$C$74," weekday"," weekend"),Utility_Rates!$C$28:$F$28,Inputs!$C$68)),"")</f>
      </c>
      <c r="H4378" s="34"/>
      <c r="I4378" s="42">
        <f>IF(AND(ISNUMBER(D4378),ISNUMBER(H4378)),D4378*H4378*Inputs!$C$69,"")</f>
      </c>
      <c r="J4378" s="42">
        <f>IF(AND(ISNUMBER(F4378),ISNUMBER(H4378),F4378&gt;=Inputs!$C$68),F4378*H4378*Inputs!$C$69,"")</f>
      </c>
    </row>
    <row r="4379" spans="2:10" ht="15" customHeight="1" x14ac:dyDescent="0.2">
      <c r="B4379" s="39">
        <f t="shared" si="34"/>
      </c>
      <c r="C4379" s="40">
        <f>IF(Inputs!$C$60,Inputs!$C$11+(B4379-Inputs!$C$69)/Inputs!$C$70,"")</f>
      </c>
      <c r="D4379" s="15"/>
      <c r="E4379" s="15"/>
      <c r="F4379" s="11">
        <f t="shared" si="35"/>
      </c>
      <c r="G4379" s="22" cm="1">
        <f t="array" ref="G4379">IF(AND(Inputs!$C$60,Inputs!$C$61),INDEX(Utility_Rates!$C$29:$F$52,HOUR(C4379)+Inputs!$C$69,MATCH(INDEX(Utility_Rates!$K$6:$K$17,MONTH(C4379))&amp;IF(WEEKDAY(C4379,Inputs!$C$76)&lt;=Inputs!$C$74," weekday"," weekend"),Utility_Rates!$C$28:$F$28,Inputs!$C$68)),"")</f>
      </c>
      <c r="H4379" s="34"/>
      <c r="I4379" s="42">
        <f>IF(AND(ISNUMBER(D4379),ISNUMBER(H4379)),D4379*H4379*Inputs!$C$69,"")</f>
      </c>
      <c r="J4379" s="42">
        <f>IF(AND(ISNUMBER(F4379),ISNUMBER(H4379),F4379&gt;=Inputs!$C$68),F4379*H4379*Inputs!$C$69,"")</f>
      </c>
    </row>
    <row r="4380" spans="2:10" ht="15" customHeight="1" x14ac:dyDescent="0.2">
      <c r="B4380" s="39">
        <f t="shared" si="34"/>
      </c>
      <c r="C4380" s="40">
        <f>IF(Inputs!$C$60,Inputs!$C$11+(B4380-Inputs!$C$69)/Inputs!$C$70,"")</f>
      </c>
      <c r="D4380" s="15"/>
      <c r="E4380" s="15"/>
      <c r="F4380" s="11">
        <f t="shared" si="35"/>
      </c>
      <c r="G4380" s="22" cm="1">
        <f t="array" ref="G4380">IF(AND(Inputs!$C$60,Inputs!$C$61),INDEX(Utility_Rates!$C$29:$F$52,HOUR(C4380)+Inputs!$C$69,MATCH(INDEX(Utility_Rates!$K$6:$K$17,MONTH(C4380))&amp;IF(WEEKDAY(C4380,Inputs!$C$76)&lt;=Inputs!$C$74," weekday"," weekend"),Utility_Rates!$C$28:$F$28,Inputs!$C$68)),"")</f>
      </c>
      <c r="H4380" s="34"/>
      <c r="I4380" s="42">
        <f>IF(AND(ISNUMBER(D4380),ISNUMBER(H4380)),D4380*H4380*Inputs!$C$69,"")</f>
      </c>
      <c r="J4380" s="42">
        <f>IF(AND(ISNUMBER(F4380),ISNUMBER(H4380),F4380&gt;=Inputs!$C$68),F4380*H4380*Inputs!$C$69,"")</f>
      </c>
    </row>
    <row r="4381" spans="2:10" ht="15" customHeight="1" x14ac:dyDescent="0.2">
      <c r="B4381" s="39">
        <f t="shared" si="34"/>
      </c>
      <c r="C4381" s="40">
        <f>IF(Inputs!$C$60,Inputs!$C$11+(B4381-Inputs!$C$69)/Inputs!$C$70,"")</f>
      </c>
      <c r="D4381" s="15"/>
      <c r="E4381" s="15"/>
      <c r="F4381" s="11">
        <f t="shared" si="35"/>
      </c>
      <c r="G4381" s="22" cm="1">
        <f t="array" ref="G4381">IF(AND(Inputs!$C$60,Inputs!$C$61),INDEX(Utility_Rates!$C$29:$F$52,HOUR(C4381)+Inputs!$C$69,MATCH(INDEX(Utility_Rates!$K$6:$K$17,MONTH(C4381))&amp;IF(WEEKDAY(C4381,Inputs!$C$76)&lt;=Inputs!$C$74," weekday"," weekend"),Utility_Rates!$C$28:$F$28,Inputs!$C$68)),"")</f>
      </c>
      <c r="H4381" s="34"/>
      <c r="I4381" s="42">
        <f>IF(AND(ISNUMBER(D4381),ISNUMBER(H4381)),D4381*H4381*Inputs!$C$69,"")</f>
      </c>
      <c r="J4381" s="42">
        <f>IF(AND(ISNUMBER(F4381),ISNUMBER(H4381),F4381&gt;=Inputs!$C$68),F4381*H4381*Inputs!$C$69,"")</f>
      </c>
    </row>
    <row r="4382" spans="2:10" ht="15" customHeight="1" x14ac:dyDescent="0.2">
      <c r="B4382" s="39">
        <f t="shared" si="34"/>
      </c>
      <c r="C4382" s="40">
        <f>IF(Inputs!$C$60,Inputs!$C$11+(B4382-Inputs!$C$69)/Inputs!$C$70,"")</f>
      </c>
      <c r="D4382" s="15"/>
      <c r="E4382" s="15"/>
      <c r="F4382" s="11">
        <f t="shared" si="35"/>
      </c>
      <c r="G4382" s="22" cm="1">
        <f t="array" ref="G4382">IF(AND(Inputs!$C$60,Inputs!$C$61),INDEX(Utility_Rates!$C$29:$F$52,HOUR(C4382)+Inputs!$C$69,MATCH(INDEX(Utility_Rates!$K$6:$K$17,MONTH(C4382))&amp;IF(WEEKDAY(C4382,Inputs!$C$76)&lt;=Inputs!$C$74," weekday"," weekend"),Utility_Rates!$C$28:$F$28,Inputs!$C$68)),"")</f>
      </c>
      <c r="H4382" s="34"/>
      <c r="I4382" s="42">
        <f>IF(AND(ISNUMBER(D4382),ISNUMBER(H4382)),D4382*H4382*Inputs!$C$69,"")</f>
      </c>
      <c r="J4382" s="42">
        <f>IF(AND(ISNUMBER(F4382),ISNUMBER(H4382),F4382&gt;=Inputs!$C$68),F4382*H4382*Inputs!$C$69,"")</f>
      </c>
    </row>
    <row r="4383" spans="2:10" ht="15" customHeight="1" x14ac:dyDescent="0.2">
      <c r="B4383" s="39">
        <f t="shared" si="34"/>
      </c>
      <c r="C4383" s="40">
        <f>IF(Inputs!$C$60,Inputs!$C$11+(B4383-Inputs!$C$69)/Inputs!$C$70,"")</f>
      </c>
      <c r="D4383" s="15"/>
      <c r="E4383" s="15"/>
      <c r="F4383" s="11">
        <f t="shared" si="35"/>
      </c>
      <c r="G4383" s="22" cm="1">
        <f t="array" ref="G4383">IF(AND(Inputs!$C$60,Inputs!$C$61),INDEX(Utility_Rates!$C$29:$F$52,HOUR(C4383)+Inputs!$C$69,MATCH(INDEX(Utility_Rates!$K$6:$K$17,MONTH(C4383))&amp;IF(WEEKDAY(C4383,Inputs!$C$76)&lt;=Inputs!$C$74," weekday"," weekend"),Utility_Rates!$C$28:$F$28,Inputs!$C$68)),"")</f>
      </c>
      <c r="H4383" s="34"/>
      <c r="I4383" s="42">
        <f>IF(AND(ISNUMBER(D4383),ISNUMBER(H4383)),D4383*H4383*Inputs!$C$69,"")</f>
      </c>
      <c r="J4383" s="42">
        <f>IF(AND(ISNUMBER(F4383),ISNUMBER(H4383),F4383&gt;=Inputs!$C$68),F4383*H4383*Inputs!$C$69,"")</f>
      </c>
    </row>
    <row r="4384" spans="2:10" ht="15" customHeight="1" x14ac:dyDescent="0.2">
      <c r="B4384" s="39">
        <f t="shared" si="34"/>
      </c>
      <c r="C4384" s="40">
        <f>IF(Inputs!$C$60,Inputs!$C$11+(B4384-Inputs!$C$69)/Inputs!$C$70,"")</f>
      </c>
      <c r="D4384" s="15"/>
      <c r="E4384" s="15"/>
      <c r="F4384" s="11">
        <f t="shared" si="35"/>
      </c>
      <c r="G4384" s="22" cm="1">
        <f t="array" ref="G4384">IF(AND(Inputs!$C$60,Inputs!$C$61),INDEX(Utility_Rates!$C$29:$F$52,HOUR(C4384)+Inputs!$C$69,MATCH(INDEX(Utility_Rates!$K$6:$K$17,MONTH(C4384))&amp;IF(WEEKDAY(C4384,Inputs!$C$76)&lt;=Inputs!$C$74," weekday"," weekend"),Utility_Rates!$C$28:$F$28,Inputs!$C$68)),"")</f>
      </c>
      <c r="H4384" s="34"/>
      <c r="I4384" s="42">
        <f>IF(AND(ISNUMBER(D4384),ISNUMBER(H4384)),D4384*H4384*Inputs!$C$69,"")</f>
      </c>
      <c r="J4384" s="42">
        <f>IF(AND(ISNUMBER(F4384),ISNUMBER(H4384),F4384&gt;=Inputs!$C$68),F4384*H4384*Inputs!$C$69,"")</f>
      </c>
    </row>
    <row r="4385" spans="2:10" ht="15" customHeight="1" x14ac:dyDescent="0.2">
      <c r="B4385" s="39">
        <f t="shared" si="34"/>
      </c>
      <c r="C4385" s="40">
        <f>IF(Inputs!$C$60,Inputs!$C$11+(B4385-Inputs!$C$69)/Inputs!$C$70,"")</f>
      </c>
      <c r="D4385" s="15"/>
      <c r="E4385" s="15"/>
      <c r="F4385" s="11">
        <f t="shared" si="35"/>
      </c>
      <c r="G4385" s="22" cm="1">
        <f t="array" ref="G4385">IF(AND(Inputs!$C$60,Inputs!$C$61),INDEX(Utility_Rates!$C$29:$F$52,HOUR(C4385)+Inputs!$C$69,MATCH(INDEX(Utility_Rates!$K$6:$K$17,MONTH(C4385))&amp;IF(WEEKDAY(C4385,Inputs!$C$76)&lt;=Inputs!$C$74," weekday"," weekend"),Utility_Rates!$C$28:$F$28,Inputs!$C$68)),"")</f>
      </c>
      <c r="H4385" s="34"/>
      <c r="I4385" s="42">
        <f>IF(AND(ISNUMBER(D4385),ISNUMBER(H4385)),D4385*H4385*Inputs!$C$69,"")</f>
      </c>
      <c r="J4385" s="42">
        <f>IF(AND(ISNUMBER(F4385),ISNUMBER(H4385),F4385&gt;=Inputs!$C$68),F4385*H4385*Inputs!$C$69,"")</f>
      </c>
    </row>
    <row r="4386" spans="2:10" ht="15" customHeight="1" x14ac:dyDescent="0.2">
      <c r="B4386" s="39">
        <f t="shared" si="34"/>
      </c>
      <c r="C4386" s="40">
        <f>IF(Inputs!$C$60,Inputs!$C$11+(B4386-Inputs!$C$69)/Inputs!$C$70,"")</f>
      </c>
      <c r="D4386" s="15"/>
      <c r="E4386" s="15"/>
      <c r="F4386" s="11">
        <f t="shared" si="35"/>
      </c>
      <c r="G4386" s="22" cm="1">
        <f t="array" ref="G4386">IF(AND(Inputs!$C$60,Inputs!$C$61),INDEX(Utility_Rates!$C$29:$F$52,HOUR(C4386)+Inputs!$C$69,MATCH(INDEX(Utility_Rates!$K$6:$K$17,MONTH(C4386))&amp;IF(WEEKDAY(C4386,Inputs!$C$76)&lt;=Inputs!$C$74," weekday"," weekend"),Utility_Rates!$C$28:$F$28,Inputs!$C$68)),"")</f>
      </c>
      <c r="H4386" s="34"/>
      <c r="I4386" s="42">
        <f>IF(AND(ISNUMBER(D4386),ISNUMBER(H4386)),D4386*H4386*Inputs!$C$69,"")</f>
      </c>
      <c r="J4386" s="42">
        <f>IF(AND(ISNUMBER(F4386),ISNUMBER(H4386),F4386&gt;=Inputs!$C$68),F4386*H4386*Inputs!$C$69,"")</f>
      </c>
    </row>
    <row r="4387" spans="2:10" ht="15" customHeight="1" x14ac:dyDescent="0.2">
      <c r="B4387" s="39">
        <f t="shared" si="34"/>
      </c>
      <c r="C4387" s="40">
        <f>IF(Inputs!$C$60,Inputs!$C$11+(B4387-Inputs!$C$69)/Inputs!$C$70,"")</f>
      </c>
      <c r="D4387" s="15"/>
      <c r="E4387" s="15"/>
      <c r="F4387" s="11">
        <f t="shared" si="35"/>
      </c>
      <c r="G4387" s="22" cm="1">
        <f t="array" ref="G4387">IF(AND(Inputs!$C$60,Inputs!$C$61),INDEX(Utility_Rates!$C$29:$F$52,HOUR(C4387)+Inputs!$C$69,MATCH(INDEX(Utility_Rates!$K$6:$K$17,MONTH(C4387))&amp;IF(WEEKDAY(C4387,Inputs!$C$76)&lt;=Inputs!$C$74," weekday"," weekend"),Utility_Rates!$C$28:$F$28,Inputs!$C$68)),"")</f>
      </c>
      <c r="H4387" s="34"/>
      <c r="I4387" s="42">
        <f>IF(AND(ISNUMBER(D4387),ISNUMBER(H4387)),D4387*H4387*Inputs!$C$69,"")</f>
      </c>
      <c r="J4387" s="42">
        <f>IF(AND(ISNUMBER(F4387),ISNUMBER(H4387),F4387&gt;=Inputs!$C$68),F4387*H4387*Inputs!$C$69,"")</f>
      </c>
    </row>
    <row r="4388" spans="2:10" ht="15" customHeight="1" x14ac:dyDescent="0.2">
      <c r="B4388" s="39">
        <f t="shared" si="34"/>
      </c>
      <c r="C4388" s="40">
        <f>IF(Inputs!$C$60,Inputs!$C$11+(B4388-Inputs!$C$69)/Inputs!$C$70,"")</f>
      </c>
      <c r="D4388" s="15"/>
      <c r="E4388" s="15"/>
      <c r="F4388" s="11">
        <f t="shared" si="35"/>
      </c>
      <c r="G4388" s="22" cm="1">
        <f t="array" ref="G4388">IF(AND(Inputs!$C$60,Inputs!$C$61),INDEX(Utility_Rates!$C$29:$F$52,HOUR(C4388)+Inputs!$C$69,MATCH(INDEX(Utility_Rates!$K$6:$K$17,MONTH(C4388))&amp;IF(WEEKDAY(C4388,Inputs!$C$76)&lt;=Inputs!$C$74," weekday"," weekend"),Utility_Rates!$C$28:$F$28,Inputs!$C$68)),"")</f>
      </c>
      <c r="H4388" s="34"/>
      <c r="I4388" s="42">
        <f>IF(AND(ISNUMBER(D4388),ISNUMBER(H4388)),D4388*H4388*Inputs!$C$69,"")</f>
      </c>
      <c r="J4388" s="42">
        <f>IF(AND(ISNUMBER(F4388),ISNUMBER(H4388),F4388&gt;=Inputs!$C$68),F4388*H4388*Inputs!$C$69,"")</f>
      </c>
    </row>
    <row r="4389" spans="2:10" ht="15" customHeight="1" x14ac:dyDescent="0.2">
      <c r="B4389" s="39">
        <f t="shared" si="34"/>
      </c>
      <c r="C4389" s="40">
        <f>IF(Inputs!$C$60,Inputs!$C$11+(B4389-Inputs!$C$69)/Inputs!$C$70,"")</f>
      </c>
      <c r="D4389" s="15"/>
      <c r="E4389" s="15"/>
      <c r="F4389" s="11">
        <f t="shared" si="35"/>
      </c>
      <c r="G4389" s="22" cm="1">
        <f t="array" ref="G4389">IF(AND(Inputs!$C$60,Inputs!$C$61),INDEX(Utility_Rates!$C$29:$F$52,HOUR(C4389)+Inputs!$C$69,MATCH(INDEX(Utility_Rates!$K$6:$K$17,MONTH(C4389))&amp;IF(WEEKDAY(C4389,Inputs!$C$76)&lt;=Inputs!$C$74," weekday"," weekend"),Utility_Rates!$C$28:$F$28,Inputs!$C$68)),"")</f>
      </c>
      <c r="H4389" s="34"/>
      <c r="I4389" s="42">
        <f>IF(AND(ISNUMBER(D4389),ISNUMBER(H4389)),D4389*H4389*Inputs!$C$69,"")</f>
      </c>
      <c r="J4389" s="42">
        <f>IF(AND(ISNUMBER(F4389),ISNUMBER(H4389),F4389&gt;=Inputs!$C$68),F4389*H4389*Inputs!$C$69,"")</f>
      </c>
    </row>
    <row r="4390" spans="2:10" ht="15" customHeight="1" x14ac:dyDescent="0.2">
      <c r="B4390" s="39">
        <f t="shared" si="34"/>
      </c>
      <c r="C4390" s="40">
        <f>IF(Inputs!$C$60,Inputs!$C$11+(B4390-Inputs!$C$69)/Inputs!$C$70,"")</f>
      </c>
      <c r="D4390" s="15"/>
      <c r="E4390" s="15"/>
      <c r="F4390" s="11">
        <f t="shared" si="35"/>
      </c>
      <c r="G4390" s="22" cm="1">
        <f t="array" ref="G4390">IF(AND(Inputs!$C$60,Inputs!$C$61),INDEX(Utility_Rates!$C$29:$F$52,HOUR(C4390)+Inputs!$C$69,MATCH(INDEX(Utility_Rates!$K$6:$K$17,MONTH(C4390))&amp;IF(WEEKDAY(C4390,Inputs!$C$76)&lt;=Inputs!$C$74," weekday"," weekend"),Utility_Rates!$C$28:$F$28,Inputs!$C$68)),"")</f>
      </c>
      <c r="H4390" s="34"/>
      <c r="I4390" s="42">
        <f>IF(AND(ISNUMBER(D4390),ISNUMBER(H4390)),D4390*H4390*Inputs!$C$69,"")</f>
      </c>
      <c r="J4390" s="42">
        <f>IF(AND(ISNUMBER(F4390),ISNUMBER(H4390),F4390&gt;=Inputs!$C$68),F4390*H4390*Inputs!$C$69,"")</f>
      </c>
    </row>
    <row r="4391" spans="2:10" ht="15" customHeight="1" x14ac:dyDescent="0.2">
      <c r="B4391" s="39">
        <f t="shared" si="34"/>
      </c>
      <c r="C4391" s="40">
        <f>IF(Inputs!$C$60,Inputs!$C$11+(B4391-Inputs!$C$69)/Inputs!$C$70,"")</f>
      </c>
      <c r="D4391" s="15"/>
      <c r="E4391" s="15"/>
      <c r="F4391" s="11">
        <f t="shared" si="35"/>
      </c>
      <c r="G4391" s="22" cm="1">
        <f t="array" ref="G4391">IF(AND(Inputs!$C$60,Inputs!$C$61),INDEX(Utility_Rates!$C$29:$F$52,HOUR(C4391)+Inputs!$C$69,MATCH(INDEX(Utility_Rates!$K$6:$K$17,MONTH(C4391))&amp;IF(WEEKDAY(C4391,Inputs!$C$76)&lt;=Inputs!$C$74," weekday"," weekend"),Utility_Rates!$C$28:$F$28,Inputs!$C$68)),"")</f>
      </c>
      <c r="H4391" s="34"/>
      <c r="I4391" s="42">
        <f>IF(AND(ISNUMBER(D4391),ISNUMBER(H4391)),D4391*H4391*Inputs!$C$69,"")</f>
      </c>
      <c r="J4391" s="42">
        <f>IF(AND(ISNUMBER(F4391),ISNUMBER(H4391),F4391&gt;=Inputs!$C$68),F4391*H4391*Inputs!$C$69,"")</f>
      </c>
    </row>
    <row r="4392" spans="2:10" ht="15" customHeight="1" x14ac:dyDescent="0.2">
      <c r="B4392" s="39">
        <f t="shared" si="34"/>
      </c>
      <c r="C4392" s="40">
        <f>IF(Inputs!$C$60,Inputs!$C$11+(B4392-Inputs!$C$69)/Inputs!$C$70,"")</f>
      </c>
      <c r="D4392" s="15"/>
      <c r="E4392" s="15"/>
      <c r="F4392" s="11">
        <f t="shared" si="35"/>
      </c>
      <c r="G4392" s="22" cm="1">
        <f t="array" ref="G4392">IF(AND(Inputs!$C$60,Inputs!$C$61),INDEX(Utility_Rates!$C$29:$F$52,HOUR(C4392)+Inputs!$C$69,MATCH(INDEX(Utility_Rates!$K$6:$K$17,MONTH(C4392))&amp;IF(WEEKDAY(C4392,Inputs!$C$76)&lt;=Inputs!$C$74," weekday"," weekend"),Utility_Rates!$C$28:$F$28,Inputs!$C$68)),"")</f>
      </c>
      <c r="H4392" s="34"/>
      <c r="I4392" s="42">
        <f>IF(AND(ISNUMBER(D4392),ISNUMBER(H4392)),D4392*H4392*Inputs!$C$69,"")</f>
      </c>
      <c r="J4392" s="42">
        <f>IF(AND(ISNUMBER(F4392),ISNUMBER(H4392),F4392&gt;=Inputs!$C$68),F4392*H4392*Inputs!$C$69,"")</f>
      </c>
    </row>
    <row r="4393" spans="2:10" ht="15" customHeight="1" x14ac:dyDescent="0.2">
      <c r="B4393" s="39">
        <f t="shared" si="34"/>
      </c>
      <c r="C4393" s="40">
        <f>IF(Inputs!$C$60,Inputs!$C$11+(B4393-Inputs!$C$69)/Inputs!$C$70,"")</f>
      </c>
      <c r="D4393" s="15"/>
      <c r="E4393" s="15"/>
      <c r="F4393" s="11">
        <f t="shared" si="35"/>
      </c>
      <c r="G4393" s="22" cm="1">
        <f t="array" ref="G4393">IF(AND(Inputs!$C$60,Inputs!$C$61),INDEX(Utility_Rates!$C$29:$F$52,HOUR(C4393)+Inputs!$C$69,MATCH(INDEX(Utility_Rates!$K$6:$K$17,MONTH(C4393))&amp;IF(WEEKDAY(C4393,Inputs!$C$76)&lt;=Inputs!$C$74," weekday"," weekend"),Utility_Rates!$C$28:$F$28,Inputs!$C$68)),"")</f>
      </c>
      <c r="H4393" s="34"/>
      <c r="I4393" s="42">
        <f>IF(AND(ISNUMBER(D4393),ISNUMBER(H4393)),D4393*H4393*Inputs!$C$69,"")</f>
      </c>
      <c r="J4393" s="42">
        <f>IF(AND(ISNUMBER(F4393),ISNUMBER(H4393),F4393&gt;=Inputs!$C$68),F4393*H4393*Inputs!$C$69,"")</f>
      </c>
    </row>
    <row r="4394" spans="2:10" ht="15" customHeight="1" x14ac:dyDescent="0.2">
      <c r="B4394" s="39">
        <f t="shared" si="34"/>
      </c>
      <c r="C4394" s="40">
        <f>IF(Inputs!$C$60,Inputs!$C$11+(B4394-Inputs!$C$69)/Inputs!$C$70,"")</f>
      </c>
      <c r="D4394" s="15"/>
      <c r="E4394" s="15"/>
      <c r="F4394" s="11">
        <f t="shared" si="35"/>
      </c>
      <c r="G4394" s="22" cm="1">
        <f t="array" ref="G4394">IF(AND(Inputs!$C$60,Inputs!$C$61),INDEX(Utility_Rates!$C$29:$F$52,HOUR(C4394)+Inputs!$C$69,MATCH(INDEX(Utility_Rates!$K$6:$K$17,MONTH(C4394))&amp;IF(WEEKDAY(C4394,Inputs!$C$76)&lt;=Inputs!$C$74," weekday"," weekend"),Utility_Rates!$C$28:$F$28,Inputs!$C$68)),"")</f>
      </c>
      <c r="H4394" s="34"/>
      <c r="I4394" s="42">
        <f>IF(AND(ISNUMBER(D4394),ISNUMBER(H4394)),D4394*H4394*Inputs!$C$69,"")</f>
      </c>
      <c r="J4394" s="42">
        <f>IF(AND(ISNUMBER(F4394),ISNUMBER(H4394),F4394&gt;=Inputs!$C$68),F4394*H4394*Inputs!$C$69,"")</f>
      </c>
    </row>
    <row r="4395" spans="2:10" ht="15" customHeight="1" x14ac:dyDescent="0.2">
      <c r="B4395" s="39">
        <f t="shared" si="34"/>
      </c>
      <c r="C4395" s="40">
        <f>IF(Inputs!$C$60,Inputs!$C$11+(B4395-Inputs!$C$69)/Inputs!$C$70,"")</f>
      </c>
      <c r="D4395" s="15"/>
      <c r="E4395" s="15"/>
      <c r="F4395" s="11">
        <f t="shared" si="35"/>
      </c>
      <c r="G4395" s="22" cm="1">
        <f t="array" ref="G4395">IF(AND(Inputs!$C$60,Inputs!$C$61),INDEX(Utility_Rates!$C$29:$F$52,HOUR(C4395)+Inputs!$C$69,MATCH(INDEX(Utility_Rates!$K$6:$K$17,MONTH(C4395))&amp;IF(WEEKDAY(C4395,Inputs!$C$76)&lt;=Inputs!$C$74," weekday"," weekend"),Utility_Rates!$C$28:$F$28,Inputs!$C$68)),"")</f>
      </c>
      <c r="H4395" s="34"/>
      <c r="I4395" s="42">
        <f>IF(AND(ISNUMBER(D4395),ISNUMBER(H4395)),D4395*H4395*Inputs!$C$69,"")</f>
      </c>
      <c r="J4395" s="42">
        <f>IF(AND(ISNUMBER(F4395),ISNUMBER(H4395),F4395&gt;=Inputs!$C$68),F4395*H4395*Inputs!$C$69,"")</f>
      </c>
    </row>
    <row r="4396" spans="2:10" ht="15" customHeight="1" x14ac:dyDescent="0.2">
      <c r="B4396" s="39">
        <f t="shared" si="34"/>
      </c>
      <c r="C4396" s="40">
        <f>IF(Inputs!$C$60,Inputs!$C$11+(B4396-Inputs!$C$69)/Inputs!$C$70,"")</f>
      </c>
      <c r="D4396" s="15"/>
      <c r="E4396" s="15"/>
      <c r="F4396" s="11">
        <f t="shared" si="35"/>
      </c>
      <c r="G4396" s="22" cm="1">
        <f t="array" ref="G4396">IF(AND(Inputs!$C$60,Inputs!$C$61),INDEX(Utility_Rates!$C$29:$F$52,HOUR(C4396)+Inputs!$C$69,MATCH(INDEX(Utility_Rates!$K$6:$K$17,MONTH(C4396))&amp;IF(WEEKDAY(C4396,Inputs!$C$76)&lt;=Inputs!$C$74," weekday"," weekend"),Utility_Rates!$C$28:$F$28,Inputs!$C$68)),"")</f>
      </c>
      <c r="H4396" s="34"/>
      <c r="I4396" s="42">
        <f>IF(AND(ISNUMBER(D4396),ISNUMBER(H4396)),D4396*H4396*Inputs!$C$69,"")</f>
      </c>
      <c r="J4396" s="42">
        <f>IF(AND(ISNUMBER(F4396),ISNUMBER(H4396),F4396&gt;=Inputs!$C$68),F4396*H4396*Inputs!$C$69,"")</f>
      </c>
    </row>
    <row r="4397" spans="2:10" ht="15" customHeight="1" x14ac:dyDescent="0.2">
      <c r="B4397" s="39">
        <f t="shared" si="34"/>
      </c>
      <c r="C4397" s="40">
        <f>IF(Inputs!$C$60,Inputs!$C$11+(B4397-Inputs!$C$69)/Inputs!$C$70,"")</f>
      </c>
      <c r="D4397" s="15"/>
      <c r="E4397" s="15"/>
      <c r="F4397" s="11">
        <f t="shared" si="35"/>
      </c>
      <c r="G4397" s="22" cm="1">
        <f t="array" ref="G4397">IF(AND(Inputs!$C$60,Inputs!$C$61),INDEX(Utility_Rates!$C$29:$F$52,HOUR(C4397)+Inputs!$C$69,MATCH(INDEX(Utility_Rates!$K$6:$K$17,MONTH(C4397))&amp;IF(WEEKDAY(C4397,Inputs!$C$76)&lt;=Inputs!$C$74," weekday"," weekend"),Utility_Rates!$C$28:$F$28,Inputs!$C$68)),"")</f>
      </c>
      <c r="H4397" s="34"/>
      <c r="I4397" s="42">
        <f>IF(AND(ISNUMBER(D4397),ISNUMBER(H4397)),D4397*H4397*Inputs!$C$69,"")</f>
      </c>
      <c r="J4397" s="42">
        <f>IF(AND(ISNUMBER(F4397),ISNUMBER(H4397),F4397&gt;=Inputs!$C$68),F4397*H4397*Inputs!$C$69,"")</f>
      </c>
    </row>
    <row r="4398" spans="2:10" ht="15" customHeight="1" x14ac:dyDescent="0.2">
      <c r="B4398" s="39">
        <f t="shared" si="34"/>
      </c>
      <c r="C4398" s="40">
        <f>IF(Inputs!$C$60,Inputs!$C$11+(B4398-Inputs!$C$69)/Inputs!$C$70,"")</f>
      </c>
      <c r="D4398" s="15"/>
      <c r="E4398" s="15"/>
      <c r="F4398" s="11">
        <f t="shared" si="35"/>
      </c>
      <c r="G4398" s="22" cm="1">
        <f t="array" ref="G4398">IF(AND(Inputs!$C$60,Inputs!$C$61),INDEX(Utility_Rates!$C$29:$F$52,HOUR(C4398)+Inputs!$C$69,MATCH(INDEX(Utility_Rates!$K$6:$K$17,MONTH(C4398))&amp;IF(WEEKDAY(C4398,Inputs!$C$76)&lt;=Inputs!$C$74," weekday"," weekend"),Utility_Rates!$C$28:$F$28,Inputs!$C$68)),"")</f>
      </c>
      <c r="H4398" s="34"/>
      <c r="I4398" s="42">
        <f>IF(AND(ISNUMBER(D4398),ISNUMBER(H4398)),D4398*H4398*Inputs!$C$69,"")</f>
      </c>
      <c r="J4398" s="42">
        <f>IF(AND(ISNUMBER(F4398),ISNUMBER(H4398),F4398&gt;=Inputs!$C$68),F4398*H4398*Inputs!$C$69,"")</f>
      </c>
    </row>
    <row r="4399" spans="2:10" ht="15" customHeight="1" x14ac:dyDescent="0.2">
      <c r="B4399" s="39">
        <f t="shared" si="34"/>
      </c>
      <c r="C4399" s="40">
        <f>IF(Inputs!$C$60,Inputs!$C$11+(B4399-Inputs!$C$69)/Inputs!$C$70,"")</f>
      </c>
      <c r="D4399" s="15"/>
      <c r="E4399" s="15"/>
      <c r="F4399" s="11">
        <f t="shared" si="35"/>
      </c>
      <c r="G4399" s="22" cm="1">
        <f t="array" ref="G4399">IF(AND(Inputs!$C$60,Inputs!$C$61),INDEX(Utility_Rates!$C$29:$F$52,HOUR(C4399)+Inputs!$C$69,MATCH(INDEX(Utility_Rates!$K$6:$K$17,MONTH(C4399))&amp;IF(WEEKDAY(C4399,Inputs!$C$76)&lt;=Inputs!$C$74," weekday"," weekend"),Utility_Rates!$C$28:$F$28,Inputs!$C$68)),"")</f>
      </c>
      <c r="H4399" s="34"/>
      <c r="I4399" s="42">
        <f>IF(AND(ISNUMBER(D4399),ISNUMBER(H4399)),D4399*H4399*Inputs!$C$69,"")</f>
      </c>
      <c r="J4399" s="42">
        <f>IF(AND(ISNUMBER(F4399),ISNUMBER(H4399),F4399&gt;=Inputs!$C$68),F4399*H4399*Inputs!$C$69,"")</f>
      </c>
    </row>
    <row r="4400" spans="2:10" ht="15" customHeight="1" x14ac:dyDescent="0.2">
      <c r="B4400" s="39">
        <f t="shared" si="34"/>
      </c>
      <c r="C4400" s="40">
        <f>IF(Inputs!$C$60,Inputs!$C$11+(B4400-Inputs!$C$69)/Inputs!$C$70,"")</f>
      </c>
      <c r="D4400" s="15"/>
      <c r="E4400" s="15"/>
      <c r="F4400" s="11">
        <f t="shared" si="35"/>
      </c>
      <c r="G4400" s="22" cm="1">
        <f t="array" ref="G4400">IF(AND(Inputs!$C$60,Inputs!$C$61),INDEX(Utility_Rates!$C$29:$F$52,HOUR(C4400)+Inputs!$C$69,MATCH(INDEX(Utility_Rates!$K$6:$K$17,MONTH(C4400))&amp;IF(WEEKDAY(C4400,Inputs!$C$76)&lt;=Inputs!$C$74," weekday"," weekend"),Utility_Rates!$C$28:$F$28,Inputs!$C$68)),"")</f>
      </c>
      <c r="H4400" s="34"/>
      <c r="I4400" s="42">
        <f>IF(AND(ISNUMBER(D4400),ISNUMBER(H4400)),D4400*H4400*Inputs!$C$69,"")</f>
      </c>
      <c r="J4400" s="42">
        <f>IF(AND(ISNUMBER(F4400),ISNUMBER(H4400),F4400&gt;=Inputs!$C$68),F4400*H4400*Inputs!$C$69,"")</f>
      </c>
    </row>
    <row r="4401" spans="2:10" ht="15" customHeight="1" x14ac:dyDescent="0.2">
      <c r="B4401" s="39">
        <f t="shared" si="34"/>
      </c>
      <c r="C4401" s="40">
        <f>IF(Inputs!$C$60,Inputs!$C$11+(B4401-Inputs!$C$69)/Inputs!$C$70,"")</f>
      </c>
      <c r="D4401" s="15"/>
      <c r="E4401" s="15"/>
      <c r="F4401" s="11">
        <f t="shared" si="35"/>
      </c>
      <c r="G4401" s="22" cm="1">
        <f t="array" ref="G4401">IF(AND(Inputs!$C$60,Inputs!$C$61),INDEX(Utility_Rates!$C$29:$F$52,HOUR(C4401)+Inputs!$C$69,MATCH(INDEX(Utility_Rates!$K$6:$K$17,MONTH(C4401))&amp;IF(WEEKDAY(C4401,Inputs!$C$76)&lt;=Inputs!$C$74," weekday"," weekend"),Utility_Rates!$C$28:$F$28,Inputs!$C$68)),"")</f>
      </c>
      <c r="H4401" s="34"/>
      <c r="I4401" s="42">
        <f>IF(AND(ISNUMBER(D4401),ISNUMBER(H4401)),D4401*H4401*Inputs!$C$69,"")</f>
      </c>
      <c r="J4401" s="42">
        <f>IF(AND(ISNUMBER(F4401),ISNUMBER(H4401),F4401&gt;=Inputs!$C$68),F4401*H4401*Inputs!$C$69,"")</f>
      </c>
    </row>
    <row r="4402" spans="2:10" ht="15" customHeight="1" x14ac:dyDescent="0.2">
      <c r="B4402" s="39">
        <f t="shared" si="34"/>
      </c>
      <c r="C4402" s="40">
        <f>IF(Inputs!$C$60,Inputs!$C$11+(B4402-Inputs!$C$69)/Inputs!$C$70,"")</f>
      </c>
      <c r="D4402" s="15"/>
      <c r="E4402" s="15"/>
      <c r="F4402" s="11">
        <f t="shared" si="35"/>
      </c>
      <c r="G4402" s="22" cm="1">
        <f t="array" ref="G4402">IF(AND(Inputs!$C$60,Inputs!$C$61),INDEX(Utility_Rates!$C$29:$F$52,HOUR(C4402)+Inputs!$C$69,MATCH(INDEX(Utility_Rates!$K$6:$K$17,MONTH(C4402))&amp;IF(WEEKDAY(C4402,Inputs!$C$76)&lt;=Inputs!$C$74," weekday"," weekend"),Utility_Rates!$C$28:$F$28,Inputs!$C$68)),"")</f>
      </c>
      <c r="H4402" s="34"/>
      <c r="I4402" s="42">
        <f>IF(AND(ISNUMBER(D4402),ISNUMBER(H4402)),D4402*H4402*Inputs!$C$69,"")</f>
      </c>
      <c r="J4402" s="42">
        <f>IF(AND(ISNUMBER(F4402),ISNUMBER(H4402),F4402&gt;=Inputs!$C$68),F4402*H4402*Inputs!$C$69,"")</f>
      </c>
    </row>
    <row r="4403" spans="2:10" ht="15" customHeight="1" x14ac:dyDescent="0.2">
      <c r="B4403" s="39">
        <f t="shared" si="34"/>
      </c>
      <c r="C4403" s="40">
        <f>IF(Inputs!$C$60,Inputs!$C$11+(B4403-Inputs!$C$69)/Inputs!$C$70,"")</f>
      </c>
      <c r="D4403" s="15"/>
      <c r="E4403" s="15"/>
      <c r="F4403" s="11">
        <f t="shared" si="35"/>
      </c>
      <c r="G4403" s="22" cm="1">
        <f t="array" ref="G4403">IF(AND(Inputs!$C$60,Inputs!$C$61),INDEX(Utility_Rates!$C$29:$F$52,HOUR(C4403)+Inputs!$C$69,MATCH(INDEX(Utility_Rates!$K$6:$K$17,MONTH(C4403))&amp;IF(WEEKDAY(C4403,Inputs!$C$76)&lt;=Inputs!$C$74," weekday"," weekend"),Utility_Rates!$C$28:$F$28,Inputs!$C$68)),"")</f>
      </c>
      <c r="H4403" s="34"/>
      <c r="I4403" s="42">
        <f>IF(AND(ISNUMBER(D4403),ISNUMBER(H4403)),D4403*H4403*Inputs!$C$69,"")</f>
      </c>
      <c r="J4403" s="42">
        <f>IF(AND(ISNUMBER(F4403),ISNUMBER(H4403),F4403&gt;=Inputs!$C$68),F4403*H4403*Inputs!$C$69,"")</f>
      </c>
    </row>
    <row r="4404" spans="2:10" ht="15" customHeight="1" x14ac:dyDescent="0.2">
      <c r="B4404" s="39">
        <f t="shared" si="34"/>
      </c>
      <c r="C4404" s="40">
        <f>IF(Inputs!$C$60,Inputs!$C$11+(B4404-Inputs!$C$69)/Inputs!$C$70,"")</f>
      </c>
      <c r="D4404" s="15"/>
      <c r="E4404" s="15"/>
      <c r="F4404" s="11">
        <f t="shared" si="35"/>
      </c>
      <c r="G4404" s="22" cm="1">
        <f t="array" ref="G4404">IF(AND(Inputs!$C$60,Inputs!$C$61),INDEX(Utility_Rates!$C$29:$F$52,HOUR(C4404)+Inputs!$C$69,MATCH(INDEX(Utility_Rates!$K$6:$K$17,MONTH(C4404))&amp;IF(WEEKDAY(C4404,Inputs!$C$76)&lt;=Inputs!$C$74," weekday"," weekend"),Utility_Rates!$C$28:$F$28,Inputs!$C$68)),"")</f>
      </c>
      <c r="H4404" s="34"/>
      <c r="I4404" s="42">
        <f>IF(AND(ISNUMBER(D4404),ISNUMBER(H4404)),D4404*H4404*Inputs!$C$69,"")</f>
      </c>
      <c r="J4404" s="42">
        <f>IF(AND(ISNUMBER(F4404),ISNUMBER(H4404),F4404&gt;=Inputs!$C$68),F4404*H4404*Inputs!$C$69,"")</f>
      </c>
    </row>
    <row r="4405" spans="2:10" ht="15" customHeight="1" x14ac:dyDescent="0.2">
      <c r="B4405" s="39">
        <f t="shared" si="34"/>
      </c>
      <c r="C4405" s="40">
        <f>IF(Inputs!$C$60,Inputs!$C$11+(B4405-Inputs!$C$69)/Inputs!$C$70,"")</f>
      </c>
      <c r="D4405" s="15"/>
      <c r="E4405" s="15"/>
      <c r="F4405" s="11">
        <f t="shared" si="35"/>
      </c>
      <c r="G4405" s="22" cm="1">
        <f t="array" ref="G4405">IF(AND(Inputs!$C$60,Inputs!$C$61),INDEX(Utility_Rates!$C$29:$F$52,HOUR(C4405)+Inputs!$C$69,MATCH(INDEX(Utility_Rates!$K$6:$K$17,MONTH(C4405))&amp;IF(WEEKDAY(C4405,Inputs!$C$76)&lt;=Inputs!$C$74," weekday"," weekend"),Utility_Rates!$C$28:$F$28,Inputs!$C$68)),"")</f>
      </c>
      <c r="H4405" s="34"/>
      <c r="I4405" s="42">
        <f>IF(AND(ISNUMBER(D4405),ISNUMBER(H4405)),D4405*H4405*Inputs!$C$69,"")</f>
      </c>
      <c r="J4405" s="42">
        <f>IF(AND(ISNUMBER(F4405),ISNUMBER(H4405),F4405&gt;=Inputs!$C$68),F4405*H4405*Inputs!$C$69,"")</f>
      </c>
    </row>
    <row r="4406" spans="2:10" ht="15" customHeight="1" x14ac:dyDescent="0.2">
      <c r="B4406" s="39">
        <f t="shared" si="34"/>
      </c>
      <c r="C4406" s="40">
        <f>IF(Inputs!$C$60,Inputs!$C$11+(B4406-Inputs!$C$69)/Inputs!$C$70,"")</f>
      </c>
      <c r="D4406" s="15"/>
      <c r="E4406" s="15"/>
      <c r="F4406" s="11">
        <f t="shared" si="35"/>
      </c>
      <c r="G4406" s="22" cm="1">
        <f t="array" ref="G4406">IF(AND(Inputs!$C$60,Inputs!$C$61),INDEX(Utility_Rates!$C$29:$F$52,HOUR(C4406)+Inputs!$C$69,MATCH(INDEX(Utility_Rates!$K$6:$K$17,MONTH(C4406))&amp;IF(WEEKDAY(C4406,Inputs!$C$76)&lt;=Inputs!$C$74," weekday"," weekend"),Utility_Rates!$C$28:$F$28,Inputs!$C$68)),"")</f>
      </c>
      <c r="H4406" s="34"/>
      <c r="I4406" s="42">
        <f>IF(AND(ISNUMBER(D4406),ISNUMBER(H4406)),D4406*H4406*Inputs!$C$69,"")</f>
      </c>
      <c r="J4406" s="42">
        <f>IF(AND(ISNUMBER(F4406),ISNUMBER(H4406),F4406&gt;=Inputs!$C$68),F4406*H4406*Inputs!$C$69,"")</f>
      </c>
    </row>
    <row r="4407" spans="2:10" ht="15" customHeight="1" x14ac:dyDescent="0.2">
      <c r="B4407" s="39">
        <f t="shared" si="34"/>
      </c>
      <c r="C4407" s="40">
        <f>IF(Inputs!$C$60,Inputs!$C$11+(B4407-Inputs!$C$69)/Inputs!$C$70,"")</f>
      </c>
      <c r="D4407" s="15"/>
      <c r="E4407" s="15"/>
      <c r="F4407" s="11">
        <f t="shared" si="35"/>
      </c>
      <c r="G4407" s="22" cm="1">
        <f t="array" ref="G4407">IF(AND(Inputs!$C$60,Inputs!$C$61),INDEX(Utility_Rates!$C$29:$F$52,HOUR(C4407)+Inputs!$C$69,MATCH(INDEX(Utility_Rates!$K$6:$K$17,MONTH(C4407))&amp;IF(WEEKDAY(C4407,Inputs!$C$76)&lt;=Inputs!$C$74," weekday"," weekend"),Utility_Rates!$C$28:$F$28,Inputs!$C$68)),"")</f>
      </c>
      <c r="H4407" s="34"/>
      <c r="I4407" s="42">
        <f>IF(AND(ISNUMBER(D4407),ISNUMBER(H4407)),D4407*H4407*Inputs!$C$69,"")</f>
      </c>
      <c r="J4407" s="42">
        <f>IF(AND(ISNUMBER(F4407),ISNUMBER(H4407),F4407&gt;=Inputs!$C$68),F4407*H4407*Inputs!$C$69,"")</f>
      </c>
    </row>
    <row r="4408" spans="2:10" ht="15" customHeight="1" x14ac:dyDescent="0.2">
      <c r="B4408" s="39">
        <f t="shared" si="34"/>
      </c>
      <c r="C4408" s="40">
        <f>IF(Inputs!$C$60,Inputs!$C$11+(B4408-Inputs!$C$69)/Inputs!$C$70,"")</f>
      </c>
      <c r="D4408" s="15"/>
      <c r="E4408" s="15"/>
      <c r="F4408" s="11">
        <f t="shared" si="35"/>
      </c>
      <c r="G4408" s="22" cm="1">
        <f t="array" ref="G4408">IF(AND(Inputs!$C$60,Inputs!$C$61),INDEX(Utility_Rates!$C$29:$F$52,HOUR(C4408)+Inputs!$C$69,MATCH(INDEX(Utility_Rates!$K$6:$K$17,MONTH(C4408))&amp;IF(WEEKDAY(C4408,Inputs!$C$76)&lt;=Inputs!$C$74," weekday"," weekend"),Utility_Rates!$C$28:$F$28,Inputs!$C$68)),"")</f>
      </c>
      <c r="H4408" s="34"/>
      <c r="I4408" s="42">
        <f>IF(AND(ISNUMBER(D4408),ISNUMBER(H4408)),D4408*H4408*Inputs!$C$69,"")</f>
      </c>
      <c r="J4408" s="42">
        <f>IF(AND(ISNUMBER(F4408),ISNUMBER(H4408),F4408&gt;=Inputs!$C$68),F4408*H4408*Inputs!$C$69,"")</f>
      </c>
    </row>
    <row r="4409" spans="2:10" ht="15" customHeight="1" x14ac:dyDescent="0.2">
      <c r="B4409" s="39">
        <f t="shared" si="34"/>
      </c>
      <c r="C4409" s="40">
        <f>IF(Inputs!$C$60,Inputs!$C$11+(B4409-Inputs!$C$69)/Inputs!$C$70,"")</f>
      </c>
      <c r="D4409" s="15"/>
      <c r="E4409" s="15"/>
      <c r="F4409" s="11">
        <f t="shared" si="35"/>
      </c>
      <c r="G4409" s="22" cm="1">
        <f t="array" ref="G4409">IF(AND(Inputs!$C$60,Inputs!$C$61),INDEX(Utility_Rates!$C$29:$F$52,HOUR(C4409)+Inputs!$C$69,MATCH(INDEX(Utility_Rates!$K$6:$K$17,MONTH(C4409))&amp;IF(WEEKDAY(C4409,Inputs!$C$76)&lt;=Inputs!$C$74," weekday"," weekend"),Utility_Rates!$C$28:$F$28,Inputs!$C$68)),"")</f>
      </c>
      <c r="H4409" s="34"/>
      <c r="I4409" s="42">
        <f>IF(AND(ISNUMBER(D4409),ISNUMBER(H4409)),D4409*H4409*Inputs!$C$69,"")</f>
      </c>
      <c r="J4409" s="42">
        <f>IF(AND(ISNUMBER(F4409),ISNUMBER(H4409),F4409&gt;=Inputs!$C$68),F4409*H4409*Inputs!$C$69,"")</f>
      </c>
    </row>
    <row r="4410" spans="2:10" ht="15" customHeight="1" x14ac:dyDescent="0.2">
      <c r="B4410" s="39">
        <f t="shared" si="34"/>
      </c>
      <c r="C4410" s="40">
        <f>IF(Inputs!$C$60,Inputs!$C$11+(B4410-Inputs!$C$69)/Inputs!$C$70,"")</f>
      </c>
      <c r="D4410" s="15"/>
      <c r="E4410" s="15"/>
      <c r="F4410" s="11">
        <f t="shared" si="35"/>
      </c>
      <c r="G4410" s="22" cm="1">
        <f t="array" ref="G4410">IF(AND(Inputs!$C$60,Inputs!$C$61),INDEX(Utility_Rates!$C$29:$F$52,HOUR(C4410)+Inputs!$C$69,MATCH(INDEX(Utility_Rates!$K$6:$K$17,MONTH(C4410))&amp;IF(WEEKDAY(C4410,Inputs!$C$76)&lt;=Inputs!$C$74," weekday"," weekend"),Utility_Rates!$C$28:$F$28,Inputs!$C$68)),"")</f>
      </c>
      <c r="H4410" s="34"/>
      <c r="I4410" s="42">
        <f>IF(AND(ISNUMBER(D4410),ISNUMBER(H4410)),D4410*H4410*Inputs!$C$69,"")</f>
      </c>
      <c r="J4410" s="42">
        <f>IF(AND(ISNUMBER(F4410),ISNUMBER(H4410),F4410&gt;=Inputs!$C$68),F4410*H4410*Inputs!$C$69,"")</f>
      </c>
    </row>
    <row r="4411" spans="2:10" ht="15" customHeight="1" x14ac:dyDescent="0.2">
      <c r="B4411" s="39">
        <f t="shared" si="34"/>
      </c>
      <c r="C4411" s="40">
        <f>IF(Inputs!$C$60,Inputs!$C$11+(B4411-Inputs!$C$69)/Inputs!$C$70,"")</f>
      </c>
      <c r="D4411" s="15"/>
      <c r="E4411" s="15"/>
      <c r="F4411" s="11">
        <f t="shared" si="35"/>
      </c>
      <c r="G4411" s="22" cm="1">
        <f t="array" ref="G4411">IF(AND(Inputs!$C$60,Inputs!$C$61),INDEX(Utility_Rates!$C$29:$F$52,HOUR(C4411)+Inputs!$C$69,MATCH(INDEX(Utility_Rates!$K$6:$K$17,MONTH(C4411))&amp;IF(WEEKDAY(C4411,Inputs!$C$76)&lt;=Inputs!$C$74," weekday"," weekend"),Utility_Rates!$C$28:$F$28,Inputs!$C$68)),"")</f>
      </c>
      <c r="H4411" s="34"/>
      <c r="I4411" s="42">
        <f>IF(AND(ISNUMBER(D4411),ISNUMBER(H4411)),D4411*H4411*Inputs!$C$69,"")</f>
      </c>
      <c r="J4411" s="42">
        <f>IF(AND(ISNUMBER(F4411),ISNUMBER(H4411),F4411&gt;=Inputs!$C$68),F4411*H4411*Inputs!$C$69,"")</f>
      </c>
    </row>
    <row r="4412" spans="2:10" ht="15" customHeight="1" x14ac:dyDescent="0.2">
      <c r="B4412" s="39">
        <f t="shared" si="34"/>
      </c>
      <c r="C4412" s="40">
        <f>IF(Inputs!$C$60,Inputs!$C$11+(B4412-Inputs!$C$69)/Inputs!$C$70,"")</f>
      </c>
      <c r="D4412" s="15"/>
      <c r="E4412" s="15"/>
      <c r="F4412" s="11">
        <f t="shared" si="35"/>
      </c>
      <c r="G4412" s="22" cm="1">
        <f t="array" ref="G4412">IF(AND(Inputs!$C$60,Inputs!$C$61),INDEX(Utility_Rates!$C$29:$F$52,HOUR(C4412)+Inputs!$C$69,MATCH(INDEX(Utility_Rates!$K$6:$K$17,MONTH(C4412))&amp;IF(WEEKDAY(C4412,Inputs!$C$76)&lt;=Inputs!$C$74," weekday"," weekend"),Utility_Rates!$C$28:$F$28,Inputs!$C$68)),"")</f>
      </c>
      <c r="H4412" s="34"/>
      <c r="I4412" s="42">
        <f>IF(AND(ISNUMBER(D4412),ISNUMBER(H4412)),D4412*H4412*Inputs!$C$69,"")</f>
      </c>
      <c r="J4412" s="42">
        <f>IF(AND(ISNUMBER(F4412),ISNUMBER(H4412),F4412&gt;=Inputs!$C$68),F4412*H4412*Inputs!$C$69,"")</f>
      </c>
    </row>
    <row r="4413" spans="2:10" ht="15" customHeight="1" x14ac:dyDescent="0.2">
      <c r="B4413" s="39">
        <f t="shared" si="34"/>
      </c>
      <c r="C4413" s="40">
        <f>IF(Inputs!$C$60,Inputs!$C$11+(B4413-Inputs!$C$69)/Inputs!$C$70,"")</f>
      </c>
      <c r="D4413" s="15"/>
      <c r="E4413" s="15"/>
      <c r="F4413" s="11">
        <f t="shared" si="35"/>
      </c>
      <c r="G4413" s="22" cm="1">
        <f t="array" ref="G4413">IF(AND(Inputs!$C$60,Inputs!$C$61),INDEX(Utility_Rates!$C$29:$F$52,HOUR(C4413)+Inputs!$C$69,MATCH(INDEX(Utility_Rates!$K$6:$K$17,MONTH(C4413))&amp;IF(WEEKDAY(C4413,Inputs!$C$76)&lt;=Inputs!$C$74," weekday"," weekend"),Utility_Rates!$C$28:$F$28,Inputs!$C$68)),"")</f>
      </c>
      <c r="H4413" s="34"/>
      <c r="I4413" s="42">
        <f>IF(AND(ISNUMBER(D4413),ISNUMBER(H4413)),D4413*H4413*Inputs!$C$69,"")</f>
      </c>
      <c r="J4413" s="42">
        <f>IF(AND(ISNUMBER(F4413),ISNUMBER(H4413),F4413&gt;=Inputs!$C$68),F4413*H4413*Inputs!$C$69,"")</f>
      </c>
    </row>
    <row r="4414" spans="2:10" ht="15" customHeight="1" x14ac:dyDescent="0.2">
      <c r="B4414" s="39">
        <f t="shared" si="34"/>
      </c>
      <c r="C4414" s="40">
        <f>IF(Inputs!$C$60,Inputs!$C$11+(B4414-Inputs!$C$69)/Inputs!$C$70,"")</f>
      </c>
      <c r="D4414" s="15"/>
      <c r="E4414" s="15"/>
      <c r="F4414" s="11">
        <f t="shared" si="35"/>
      </c>
      <c r="G4414" s="22" cm="1">
        <f t="array" ref="G4414">IF(AND(Inputs!$C$60,Inputs!$C$61),INDEX(Utility_Rates!$C$29:$F$52,HOUR(C4414)+Inputs!$C$69,MATCH(INDEX(Utility_Rates!$K$6:$K$17,MONTH(C4414))&amp;IF(WEEKDAY(C4414,Inputs!$C$76)&lt;=Inputs!$C$74," weekday"," weekend"),Utility_Rates!$C$28:$F$28,Inputs!$C$68)),"")</f>
      </c>
      <c r="H4414" s="34"/>
      <c r="I4414" s="42">
        <f>IF(AND(ISNUMBER(D4414),ISNUMBER(H4414)),D4414*H4414*Inputs!$C$69,"")</f>
      </c>
      <c r="J4414" s="42">
        <f>IF(AND(ISNUMBER(F4414),ISNUMBER(H4414),F4414&gt;=Inputs!$C$68),F4414*H4414*Inputs!$C$69,"")</f>
      </c>
    </row>
    <row r="4415" spans="2:10" ht="15" customHeight="1" x14ac:dyDescent="0.2">
      <c r="B4415" s="39">
        <f t="shared" si="34"/>
      </c>
      <c r="C4415" s="40">
        <f>IF(Inputs!$C$60,Inputs!$C$11+(B4415-Inputs!$C$69)/Inputs!$C$70,"")</f>
      </c>
      <c r="D4415" s="15"/>
      <c r="E4415" s="15"/>
      <c r="F4415" s="11">
        <f t="shared" si="35"/>
      </c>
      <c r="G4415" s="22" cm="1">
        <f t="array" ref="G4415">IF(AND(Inputs!$C$60,Inputs!$C$61),INDEX(Utility_Rates!$C$29:$F$52,HOUR(C4415)+Inputs!$C$69,MATCH(INDEX(Utility_Rates!$K$6:$K$17,MONTH(C4415))&amp;IF(WEEKDAY(C4415,Inputs!$C$76)&lt;=Inputs!$C$74," weekday"," weekend"),Utility_Rates!$C$28:$F$28,Inputs!$C$68)),"")</f>
      </c>
      <c r="H4415" s="34"/>
      <c r="I4415" s="42">
        <f>IF(AND(ISNUMBER(D4415),ISNUMBER(H4415)),D4415*H4415*Inputs!$C$69,"")</f>
      </c>
      <c r="J4415" s="42">
        <f>IF(AND(ISNUMBER(F4415),ISNUMBER(H4415),F4415&gt;=Inputs!$C$68),F4415*H4415*Inputs!$C$69,"")</f>
      </c>
    </row>
    <row r="4416" spans="2:10" ht="15" customHeight="1" x14ac:dyDescent="0.2">
      <c r="B4416" s="39">
        <f t="shared" si="34"/>
      </c>
      <c r="C4416" s="40">
        <f>IF(Inputs!$C$60,Inputs!$C$11+(B4416-Inputs!$C$69)/Inputs!$C$70,"")</f>
      </c>
      <c r="D4416" s="15"/>
      <c r="E4416" s="15"/>
      <c r="F4416" s="11">
        <f t="shared" si="35"/>
      </c>
      <c r="G4416" s="22" cm="1">
        <f t="array" ref="G4416">IF(AND(Inputs!$C$60,Inputs!$C$61),INDEX(Utility_Rates!$C$29:$F$52,HOUR(C4416)+Inputs!$C$69,MATCH(INDEX(Utility_Rates!$K$6:$K$17,MONTH(C4416))&amp;IF(WEEKDAY(C4416,Inputs!$C$76)&lt;=Inputs!$C$74," weekday"," weekend"),Utility_Rates!$C$28:$F$28,Inputs!$C$68)),"")</f>
      </c>
      <c r="H4416" s="34"/>
      <c r="I4416" s="42">
        <f>IF(AND(ISNUMBER(D4416),ISNUMBER(H4416)),D4416*H4416*Inputs!$C$69,"")</f>
      </c>
      <c r="J4416" s="42">
        <f>IF(AND(ISNUMBER(F4416),ISNUMBER(H4416),F4416&gt;=Inputs!$C$68),F4416*H4416*Inputs!$C$69,"")</f>
      </c>
    </row>
    <row r="4417" spans="2:10" ht="15" customHeight="1" x14ac:dyDescent="0.2">
      <c r="B4417" s="39">
        <f t="shared" si="34"/>
      </c>
      <c r="C4417" s="40">
        <f>IF(Inputs!$C$60,Inputs!$C$11+(B4417-Inputs!$C$69)/Inputs!$C$70,"")</f>
      </c>
      <c r="D4417" s="15"/>
      <c r="E4417" s="15"/>
      <c r="F4417" s="11">
        <f t="shared" si="35"/>
      </c>
      <c r="G4417" s="22" cm="1">
        <f t="array" ref="G4417">IF(AND(Inputs!$C$60,Inputs!$C$61),INDEX(Utility_Rates!$C$29:$F$52,HOUR(C4417)+Inputs!$C$69,MATCH(INDEX(Utility_Rates!$K$6:$K$17,MONTH(C4417))&amp;IF(WEEKDAY(C4417,Inputs!$C$76)&lt;=Inputs!$C$74," weekday"," weekend"),Utility_Rates!$C$28:$F$28,Inputs!$C$68)),"")</f>
      </c>
      <c r="H4417" s="34"/>
      <c r="I4417" s="42">
        <f>IF(AND(ISNUMBER(D4417),ISNUMBER(H4417)),D4417*H4417*Inputs!$C$69,"")</f>
      </c>
      <c r="J4417" s="42">
        <f>IF(AND(ISNUMBER(F4417),ISNUMBER(H4417),F4417&gt;=Inputs!$C$68),F4417*H4417*Inputs!$C$69,"")</f>
      </c>
    </row>
    <row r="4418" spans="2:10" ht="15" customHeight="1" x14ac:dyDescent="0.2">
      <c r="B4418" s="39">
        <f t="shared" si="34"/>
      </c>
      <c r="C4418" s="40">
        <f>IF(Inputs!$C$60,Inputs!$C$11+(B4418-Inputs!$C$69)/Inputs!$C$70,"")</f>
      </c>
      <c r="D4418" s="15"/>
      <c r="E4418" s="15"/>
      <c r="F4418" s="11">
        <f t="shared" si="35"/>
      </c>
      <c r="G4418" s="22" cm="1">
        <f t="array" ref="G4418">IF(AND(Inputs!$C$60,Inputs!$C$61),INDEX(Utility_Rates!$C$29:$F$52,HOUR(C4418)+Inputs!$C$69,MATCH(INDEX(Utility_Rates!$K$6:$K$17,MONTH(C4418))&amp;IF(WEEKDAY(C4418,Inputs!$C$76)&lt;=Inputs!$C$74," weekday"," weekend"),Utility_Rates!$C$28:$F$28,Inputs!$C$68)),"")</f>
      </c>
      <c r="H4418" s="34"/>
      <c r="I4418" s="42">
        <f>IF(AND(ISNUMBER(D4418),ISNUMBER(H4418)),D4418*H4418*Inputs!$C$69,"")</f>
      </c>
      <c r="J4418" s="42">
        <f>IF(AND(ISNUMBER(F4418),ISNUMBER(H4418),F4418&gt;=Inputs!$C$68),F4418*H4418*Inputs!$C$69,"")</f>
      </c>
    </row>
    <row r="4419" spans="2:10" ht="15" customHeight="1" x14ac:dyDescent="0.2">
      <c r="B4419" s="39">
        <f t="shared" si="34"/>
      </c>
      <c r="C4419" s="40">
        <f>IF(Inputs!$C$60,Inputs!$C$11+(B4419-Inputs!$C$69)/Inputs!$C$70,"")</f>
      </c>
      <c r="D4419" s="15"/>
      <c r="E4419" s="15"/>
      <c r="F4419" s="11">
        <f t="shared" si="35"/>
      </c>
      <c r="G4419" s="22" cm="1">
        <f t="array" ref="G4419">IF(AND(Inputs!$C$60,Inputs!$C$61),INDEX(Utility_Rates!$C$29:$F$52,HOUR(C4419)+Inputs!$C$69,MATCH(INDEX(Utility_Rates!$K$6:$K$17,MONTH(C4419))&amp;IF(WEEKDAY(C4419,Inputs!$C$76)&lt;=Inputs!$C$74," weekday"," weekend"),Utility_Rates!$C$28:$F$28,Inputs!$C$68)),"")</f>
      </c>
      <c r="H4419" s="34"/>
      <c r="I4419" s="42">
        <f>IF(AND(ISNUMBER(D4419),ISNUMBER(H4419)),D4419*H4419*Inputs!$C$69,"")</f>
      </c>
      <c r="J4419" s="42">
        <f>IF(AND(ISNUMBER(F4419),ISNUMBER(H4419),F4419&gt;=Inputs!$C$68),F4419*H4419*Inputs!$C$69,"")</f>
      </c>
    </row>
    <row r="4420" spans="2:10" ht="15" customHeight="1" x14ac:dyDescent="0.2">
      <c r="B4420" s="39">
        <f t="shared" si="34"/>
      </c>
      <c r="C4420" s="40">
        <f>IF(Inputs!$C$60,Inputs!$C$11+(B4420-Inputs!$C$69)/Inputs!$C$70,"")</f>
      </c>
      <c r="D4420" s="15"/>
      <c r="E4420" s="15"/>
      <c r="F4420" s="11">
        <f t="shared" si="35"/>
      </c>
      <c r="G4420" s="22" cm="1">
        <f t="array" ref="G4420">IF(AND(Inputs!$C$60,Inputs!$C$61),INDEX(Utility_Rates!$C$29:$F$52,HOUR(C4420)+Inputs!$C$69,MATCH(INDEX(Utility_Rates!$K$6:$K$17,MONTH(C4420))&amp;IF(WEEKDAY(C4420,Inputs!$C$76)&lt;=Inputs!$C$74," weekday"," weekend"),Utility_Rates!$C$28:$F$28,Inputs!$C$68)),"")</f>
      </c>
      <c r="H4420" s="34"/>
      <c r="I4420" s="42">
        <f>IF(AND(ISNUMBER(D4420),ISNUMBER(H4420)),D4420*H4420*Inputs!$C$69,"")</f>
      </c>
      <c r="J4420" s="42">
        <f>IF(AND(ISNUMBER(F4420),ISNUMBER(H4420),F4420&gt;=Inputs!$C$68),F4420*H4420*Inputs!$C$69,"")</f>
      </c>
    </row>
    <row r="4421" spans="2:10" ht="15" customHeight="1" x14ac:dyDescent="0.2">
      <c r="B4421" s="39">
        <f t="shared" si="34"/>
      </c>
      <c r="C4421" s="40">
        <f>IF(Inputs!$C$60,Inputs!$C$11+(B4421-Inputs!$C$69)/Inputs!$C$70,"")</f>
      </c>
      <c r="D4421" s="15"/>
      <c r="E4421" s="15"/>
      <c r="F4421" s="11">
        <f t="shared" si="35"/>
      </c>
      <c r="G4421" s="22" cm="1">
        <f t="array" ref="G4421">IF(AND(Inputs!$C$60,Inputs!$C$61),INDEX(Utility_Rates!$C$29:$F$52,HOUR(C4421)+Inputs!$C$69,MATCH(INDEX(Utility_Rates!$K$6:$K$17,MONTH(C4421))&amp;IF(WEEKDAY(C4421,Inputs!$C$76)&lt;=Inputs!$C$74," weekday"," weekend"),Utility_Rates!$C$28:$F$28,Inputs!$C$68)),"")</f>
      </c>
      <c r="H4421" s="34"/>
      <c r="I4421" s="42">
        <f>IF(AND(ISNUMBER(D4421),ISNUMBER(H4421)),D4421*H4421*Inputs!$C$69,"")</f>
      </c>
      <c r="J4421" s="42">
        <f>IF(AND(ISNUMBER(F4421),ISNUMBER(H4421),F4421&gt;=Inputs!$C$68),F4421*H4421*Inputs!$C$69,"")</f>
      </c>
    </row>
    <row r="4422" spans="2:10" ht="15" customHeight="1" x14ac:dyDescent="0.2">
      <c r="B4422" s="39">
        <f t="shared" si="34"/>
      </c>
      <c r="C4422" s="40">
        <f>IF(Inputs!$C$60,Inputs!$C$11+(B4422-Inputs!$C$69)/Inputs!$C$70,"")</f>
      </c>
      <c r="D4422" s="15"/>
      <c r="E4422" s="15"/>
      <c r="F4422" s="11">
        <f t="shared" si="35"/>
      </c>
      <c r="G4422" s="22" cm="1">
        <f t="array" ref="G4422">IF(AND(Inputs!$C$60,Inputs!$C$61),INDEX(Utility_Rates!$C$29:$F$52,HOUR(C4422)+Inputs!$C$69,MATCH(INDEX(Utility_Rates!$K$6:$K$17,MONTH(C4422))&amp;IF(WEEKDAY(C4422,Inputs!$C$76)&lt;=Inputs!$C$74," weekday"," weekend"),Utility_Rates!$C$28:$F$28,Inputs!$C$68)),"")</f>
      </c>
      <c r="H4422" s="34"/>
      <c r="I4422" s="42">
        <f>IF(AND(ISNUMBER(D4422),ISNUMBER(H4422)),D4422*H4422*Inputs!$C$69,"")</f>
      </c>
      <c r="J4422" s="42">
        <f>IF(AND(ISNUMBER(F4422),ISNUMBER(H4422),F4422&gt;=Inputs!$C$68),F4422*H4422*Inputs!$C$69,"")</f>
      </c>
    </row>
    <row r="4423" spans="2:10" ht="15" customHeight="1" x14ac:dyDescent="0.2">
      <c r="B4423" s="39">
        <f t="shared" si="34"/>
      </c>
      <c r="C4423" s="40">
        <f>IF(Inputs!$C$60,Inputs!$C$11+(B4423-Inputs!$C$69)/Inputs!$C$70,"")</f>
      </c>
      <c r="D4423" s="15"/>
      <c r="E4423" s="15"/>
      <c r="F4423" s="11">
        <f t="shared" si="35"/>
      </c>
      <c r="G4423" s="22" cm="1">
        <f t="array" ref="G4423">IF(AND(Inputs!$C$60,Inputs!$C$61),INDEX(Utility_Rates!$C$29:$F$52,HOUR(C4423)+Inputs!$C$69,MATCH(INDEX(Utility_Rates!$K$6:$K$17,MONTH(C4423))&amp;IF(WEEKDAY(C4423,Inputs!$C$76)&lt;=Inputs!$C$74," weekday"," weekend"),Utility_Rates!$C$28:$F$28,Inputs!$C$68)),"")</f>
      </c>
      <c r="H4423" s="34"/>
      <c r="I4423" s="42">
        <f>IF(AND(ISNUMBER(D4423),ISNUMBER(H4423)),D4423*H4423*Inputs!$C$69,"")</f>
      </c>
      <c r="J4423" s="42">
        <f>IF(AND(ISNUMBER(F4423),ISNUMBER(H4423),F4423&gt;=Inputs!$C$68),F4423*H4423*Inputs!$C$69,"")</f>
      </c>
    </row>
    <row r="4424" spans="2:10" ht="15" customHeight="1" x14ac:dyDescent="0.2">
      <c r="B4424" s="39">
        <f t="shared" si="34"/>
      </c>
      <c r="C4424" s="40">
        <f>IF(Inputs!$C$60,Inputs!$C$11+(B4424-Inputs!$C$69)/Inputs!$C$70,"")</f>
      </c>
      <c r="D4424" s="15"/>
      <c r="E4424" s="15"/>
      <c r="F4424" s="11">
        <f t="shared" si="35"/>
      </c>
      <c r="G4424" s="22" cm="1">
        <f t="array" ref="G4424">IF(AND(Inputs!$C$60,Inputs!$C$61),INDEX(Utility_Rates!$C$29:$F$52,HOUR(C4424)+Inputs!$C$69,MATCH(INDEX(Utility_Rates!$K$6:$K$17,MONTH(C4424))&amp;IF(WEEKDAY(C4424,Inputs!$C$76)&lt;=Inputs!$C$74," weekday"," weekend"),Utility_Rates!$C$28:$F$28,Inputs!$C$68)),"")</f>
      </c>
      <c r="H4424" s="34"/>
      <c r="I4424" s="42">
        <f>IF(AND(ISNUMBER(D4424),ISNUMBER(H4424)),D4424*H4424*Inputs!$C$69,"")</f>
      </c>
      <c r="J4424" s="42">
        <f>IF(AND(ISNUMBER(F4424),ISNUMBER(H4424),F4424&gt;=Inputs!$C$68),F4424*H4424*Inputs!$C$69,"")</f>
      </c>
    </row>
    <row r="4425" spans="2:10" ht="15" customHeight="1" x14ac:dyDescent="0.2">
      <c r="B4425" s="39">
        <f t="shared" si="34"/>
      </c>
      <c r="C4425" s="40">
        <f>IF(Inputs!$C$60,Inputs!$C$11+(B4425-Inputs!$C$69)/Inputs!$C$70,"")</f>
      </c>
      <c r="D4425" s="15"/>
      <c r="E4425" s="15"/>
      <c r="F4425" s="11">
        <f t="shared" si="35"/>
      </c>
      <c r="G4425" s="22" cm="1">
        <f t="array" ref="G4425">IF(AND(Inputs!$C$60,Inputs!$C$61),INDEX(Utility_Rates!$C$29:$F$52,HOUR(C4425)+Inputs!$C$69,MATCH(INDEX(Utility_Rates!$K$6:$K$17,MONTH(C4425))&amp;IF(WEEKDAY(C4425,Inputs!$C$76)&lt;=Inputs!$C$74," weekday"," weekend"),Utility_Rates!$C$28:$F$28,Inputs!$C$68)),"")</f>
      </c>
      <c r="H4425" s="34"/>
      <c r="I4425" s="42">
        <f>IF(AND(ISNUMBER(D4425),ISNUMBER(H4425)),D4425*H4425*Inputs!$C$69,"")</f>
      </c>
      <c r="J4425" s="42">
        <f>IF(AND(ISNUMBER(F4425),ISNUMBER(H4425),F4425&gt;=Inputs!$C$68),F4425*H4425*Inputs!$C$69,"")</f>
      </c>
    </row>
    <row r="4426" spans="2:10" ht="15" customHeight="1" x14ac:dyDescent="0.2">
      <c r="B4426" s="39">
        <f t="shared" si="34"/>
      </c>
      <c r="C4426" s="40">
        <f>IF(Inputs!$C$60,Inputs!$C$11+(B4426-Inputs!$C$69)/Inputs!$C$70,"")</f>
      </c>
      <c r="D4426" s="15"/>
      <c r="E4426" s="15"/>
      <c r="F4426" s="11">
        <f t="shared" si="35"/>
      </c>
      <c r="G4426" s="22" cm="1">
        <f t="array" ref="G4426">IF(AND(Inputs!$C$60,Inputs!$C$61),INDEX(Utility_Rates!$C$29:$F$52,HOUR(C4426)+Inputs!$C$69,MATCH(INDEX(Utility_Rates!$K$6:$K$17,MONTH(C4426))&amp;IF(WEEKDAY(C4426,Inputs!$C$76)&lt;=Inputs!$C$74," weekday"," weekend"),Utility_Rates!$C$28:$F$28,Inputs!$C$68)),"")</f>
      </c>
      <c r="H4426" s="34"/>
      <c r="I4426" s="42">
        <f>IF(AND(ISNUMBER(D4426),ISNUMBER(H4426)),D4426*H4426*Inputs!$C$69,"")</f>
      </c>
      <c r="J4426" s="42">
        <f>IF(AND(ISNUMBER(F4426),ISNUMBER(H4426),F4426&gt;=Inputs!$C$68),F4426*H4426*Inputs!$C$69,"")</f>
      </c>
    </row>
    <row r="4427" spans="2:10" ht="15" customHeight="1" x14ac:dyDescent="0.2">
      <c r="B4427" s="39">
        <f t="shared" si="34"/>
      </c>
      <c r="C4427" s="40">
        <f>IF(Inputs!$C$60,Inputs!$C$11+(B4427-Inputs!$C$69)/Inputs!$C$70,"")</f>
      </c>
      <c r="D4427" s="15"/>
      <c r="E4427" s="15"/>
      <c r="F4427" s="11">
        <f t="shared" si="35"/>
      </c>
      <c r="G4427" s="22" cm="1">
        <f t="array" ref="G4427">IF(AND(Inputs!$C$60,Inputs!$C$61),INDEX(Utility_Rates!$C$29:$F$52,HOUR(C4427)+Inputs!$C$69,MATCH(INDEX(Utility_Rates!$K$6:$K$17,MONTH(C4427))&amp;IF(WEEKDAY(C4427,Inputs!$C$76)&lt;=Inputs!$C$74," weekday"," weekend"),Utility_Rates!$C$28:$F$28,Inputs!$C$68)),"")</f>
      </c>
      <c r="H4427" s="34"/>
      <c r="I4427" s="42">
        <f>IF(AND(ISNUMBER(D4427),ISNUMBER(H4427)),D4427*H4427*Inputs!$C$69,"")</f>
      </c>
      <c r="J4427" s="42">
        <f>IF(AND(ISNUMBER(F4427),ISNUMBER(H4427),F4427&gt;=Inputs!$C$68),F4427*H4427*Inputs!$C$69,"")</f>
      </c>
    </row>
    <row r="4428" spans="2:10" ht="15" customHeight="1" x14ac:dyDescent="0.2">
      <c r="B4428" s="39">
        <f t="shared" si="34"/>
      </c>
      <c r="C4428" s="40">
        <f>IF(Inputs!$C$60,Inputs!$C$11+(B4428-Inputs!$C$69)/Inputs!$C$70,"")</f>
      </c>
      <c r="D4428" s="15"/>
      <c r="E4428" s="15"/>
      <c r="F4428" s="11">
        <f t="shared" si="35"/>
      </c>
      <c r="G4428" s="22" cm="1">
        <f t="array" ref="G4428">IF(AND(Inputs!$C$60,Inputs!$C$61),INDEX(Utility_Rates!$C$29:$F$52,HOUR(C4428)+Inputs!$C$69,MATCH(INDEX(Utility_Rates!$K$6:$K$17,MONTH(C4428))&amp;IF(WEEKDAY(C4428,Inputs!$C$76)&lt;=Inputs!$C$74," weekday"," weekend"),Utility_Rates!$C$28:$F$28,Inputs!$C$68)),"")</f>
      </c>
      <c r="H4428" s="34"/>
      <c r="I4428" s="42">
        <f>IF(AND(ISNUMBER(D4428),ISNUMBER(H4428)),D4428*H4428*Inputs!$C$69,"")</f>
      </c>
      <c r="J4428" s="42">
        <f>IF(AND(ISNUMBER(F4428),ISNUMBER(H4428),F4428&gt;=Inputs!$C$68),F4428*H4428*Inputs!$C$69,"")</f>
      </c>
    </row>
    <row r="4429" spans="2:10" ht="15" customHeight="1" x14ac:dyDescent="0.2">
      <c r="B4429" s="39">
        <f t="shared" si="34"/>
      </c>
      <c r="C4429" s="40">
        <f>IF(Inputs!$C$60,Inputs!$C$11+(B4429-Inputs!$C$69)/Inputs!$C$70,"")</f>
      </c>
      <c r="D4429" s="15"/>
      <c r="E4429" s="15"/>
      <c r="F4429" s="11">
        <f t="shared" si="35"/>
      </c>
      <c r="G4429" s="22" cm="1">
        <f t="array" ref="G4429">IF(AND(Inputs!$C$60,Inputs!$C$61),INDEX(Utility_Rates!$C$29:$F$52,HOUR(C4429)+Inputs!$C$69,MATCH(INDEX(Utility_Rates!$K$6:$K$17,MONTH(C4429))&amp;IF(WEEKDAY(C4429,Inputs!$C$76)&lt;=Inputs!$C$74," weekday"," weekend"),Utility_Rates!$C$28:$F$28,Inputs!$C$68)),"")</f>
      </c>
      <c r="H4429" s="34"/>
      <c r="I4429" s="42">
        <f>IF(AND(ISNUMBER(D4429),ISNUMBER(H4429)),D4429*H4429*Inputs!$C$69,"")</f>
      </c>
      <c r="J4429" s="42">
        <f>IF(AND(ISNUMBER(F4429),ISNUMBER(H4429),F4429&gt;=Inputs!$C$68),F4429*H4429*Inputs!$C$69,"")</f>
      </c>
    </row>
    <row r="4430" spans="2:10" ht="15" customHeight="1" x14ac:dyDescent="0.2">
      <c r="B4430" s="39">
        <f t="shared" si="34"/>
      </c>
      <c r="C4430" s="40">
        <f>IF(Inputs!$C$60,Inputs!$C$11+(B4430-Inputs!$C$69)/Inputs!$C$70,"")</f>
      </c>
      <c r="D4430" s="15"/>
      <c r="E4430" s="15"/>
      <c r="F4430" s="11">
        <f t="shared" si="35"/>
      </c>
      <c r="G4430" s="22" cm="1">
        <f t="array" ref="G4430">IF(AND(Inputs!$C$60,Inputs!$C$61),INDEX(Utility_Rates!$C$29:$F$52,HOUR(C4430)+Inputs!$C$69,MATCH(INDEX(Utility_Rates!$K$6:$K$17,MONTH(C4430))&amp;IF(WEEKDAY(C4430,Inputs!$C$76)&lt;=Inputs!$C$74," weekday"," weekend"),Utility_Rates!$C$28:$F$28,Inputs!$C$68)),"")</f>
      </c>
      <c r="H4430" s="34"/>
      <c r="I4430" s="42">
        <f>IF(AND(ISNUMBER(D4430),ISNUMBER(H4430)),D4430*H4430*Inputs!$C$69,"")</f>
      </c>
      <c r="J4430" s="42">
        <f>IF(AND(ISNUMBER(F4430),ISNUMBER(H4430),F4430&gt;=Inputs!$C$68),F4430*H4430*Inputs!$C$69,"")</f>
      </c>
    </row>
    <row r="4431" spans="2:10" ht="15" customHeight="1" x14ac:dyDescent="0.2">
      <c r="B4431" s="39">
        <f t="shared" si="34"/>
      </c>
      <c r="C4431" s="40">
        <f>IF(Inputs!$C$60,Inputs!$C$11+(B4431-Inputs!$C$69)/Inputs!$C$70,"")</f>
      </c>
      <c r="D4431" s="15"/>
      <c r="E4431" s="15"/>
      <c r="F4431" s="11">
        <f t="shared" si="35"/>
      </c>
      <c r="G4431" s="22" cm="1">
        <f t="array" ref="G4431">IF(AND(Inputs!$C$60,Inputs!$C$61),INDEX(Utility_Rates!$C$29:$F$52,HOUR(C4431)+Inputs!$C$69,MATCH(INDEX(Utility_Rates!$K$6:$K$17,MONTH(C4431))&amp;IF(WEEKDAY(C4431,Inputs!$C$76)&lt;=Inputs!$C$74," weekday"," weekend"),Utility_Rates!$C$28:$F$28,Inputs!$C$68)),"")</f>
      </c>
      <c r="H4431" s="34"/>
      <c r="I4431" s="42">
        <f>IF(AND(ISNUMBER(D4431),ISNUMBER(H4431)),D4431*H4431*Inputs!$C$69,"")</f>
      </c>
      <c r="J4431" s="42">
        <f>IF(AND(ISNUMBER(F4431),ISNUMBER(H4431),F4431&gt;=Inputs!$C$68),F4431*H4431*Inputs!$C$69,"")</f>
      </c>
    </row>
    <row r="4432" spans="2:10" ht="15" customHeight="1" x14ac:dyDescent="0.2">
      <c r="B4432" s="39">
        <f t="shared" si="34"/>
      </c>
      <c r="C4432" s="40">
        <f>IF(Inputs!$C$60,Inputs!$C$11+(B4432-Inputs!$C$69)/Inputs!$C$70,"")</f>
      </c>
      <c r="D4432" s="15"/>
      <c r="E4432" s="15"/>
      <c r="F4432" s="11">
        <f t="shared" si="35"/>
      </c>
      <c r="G4432" s="22" cm="1">
        <f t="array" ref="G4432">IF(AND(Inputs!$C$60,Inputs!$C$61),INDEX(Utility_Rates!$C$29:$F$52,HOUR(C4432)+Inputs!$C$69,MATCH(INDEX(Utility_Rates!$K$6:$K$17,MONTH(C4432))&amp;IF(WEEKDAY(C4432,Inputs!$C$76)&lt;=Inputs!$C$74," weekday"," weekend"),Utility_Rates!$C$28:$F$28,Inputs!$C$68)),"")</f>
      </c>
      <c r="H4432" s="34"/>
      <c r="I4432" s="42">
        <f>IF(AND(ISNUMBER(D4432),ISNUMBER(H4432)),D4432*H4432*Inputs!$C$69,"")</f>
      </c>
      <c r="J4432" s="42">
        <f>IF(AND(ISNUMBER(F4432),ISNUMBER(H4432),F4432&gt;=Inputs!$C$68),F4432*H4432*Inputs!$C$69,"")</f>
      </c>
    </row>
    <row r="4433" spans="2:10" ht="15" customHeight="1" x14ac:dyDescent="0.2">
      <c r="B4433" s="39">
        <f t="shared" si="34"/>
      </c>
      <c r="C4433" s="40">
        <f>IF(Inputs!$C$60,Inputs!$C$11+(B4433-Inputs!$C$69)/Inputs!$C$70,"")</f>
      </c>
      <c r="D4433" s="15"/>
      <c r="E4433" s="15"/>
      <c r="F4433" s="11">
        <f t="shared" si="35"/>
      </c>
      <c r="G4433" s="22" cm="1">
        <f t="array" ref="G4433">IF(AND(Inputs!$C$60,Inputs!$C$61),INDEX(Utility_Rates!$C$29:$F$52,HOUR(C4433)+Inputs!$C$69,MATCH(INDEX(Utility_Rates!$K$6:$K$17,MONTH(C4433))&amp;IF(WEEKDAY(C4433,Inputs!$C$76)&lt;=Inputs!$C$74," weekday"," weekend"),Utility_Rates!$C$28:$F$28,Inputs!$C$68)),"")</f>
      </c>
      <c r="H4433" s="34"/>
      <c r="I4433" s="42">
        <f>IF(AND(ISNUMBER(D4433),ISNUMBER(H4433)),D4433*H4433*Inputs!$C$69,"")</f>
      </c>
      <c r="J4433" s="42">
        <f>IF(AND(ISNUMBER(F4433),ISNUMBER(H4433),F4433&gt;=Inputs!$C$68),F4433*H4433*Inputs!$C$69,"")</f>
      </c>
    </row>
    <row r="4434" spans="2:10" ht="15" customHeight="1" x14ac:dyDescent="0.2">
      <c r="B4434" s="39">
        <f t="shared" si="34"/>
      </c>
      <c r="C4434" s="40">
        <f>IF(Inputs!$C$60,Inputs!$C$11+(B4434-Inputs!$C$69)/Inputs!$C$70,"")</f>
      </c>
      <c r="D4434" s="15"/>
      <c r="E4434" s="15"/>
      <c r="F4434" s="11">
        <f t="shared" si="35"/>
      </c>
      <c r="G4434" s="22" cm="1">
        <f t="array" ref="G4434">IF(AND(Inputs!$C$60,Inputs!$C$61),INDEX(Utility_Rates!$C$29:$F$52,HOUR(C4434)+Inputs!$C$69,MATCH(INDEX(Utility_Rates!$K$6:$K$17,MONTH(C4434))&amp;IF(WEEKDAY(C4434,Inputs!$C$76)&lt;=Inputs!$C$74," weekday"," weekend"),Utility_Rates!$C$28:$F$28,Inputs!$C$68)),"")</f>
      </c>
      <c r="H4434" s="34"/>
      <c r="I4434" s="42">
        <f>IF(AND(ISNUMBER(D4434),ISNUMBER(H4434)),D4434*H4434*Inputs!$C$69,"")</f>
      </c>
      <c r="J4434" s="42">
        <f>IF(AND(ISNUMBER(F4434),ISNUMBER(H4434),F4434&gt;=Inputs!$C$68),F4434*H4434*Inputs!$C$69,"")</f>
      </c>
    </row>
    <row r="4435" spans="2:10" ht="15" customHeight="1" x14ac:dyDescent="0.2">
      <c r="B4435" s="39">
        <f t="shared" si="34"/>
      </c>
      <c r="C4435" s="40">
        <f>IF(Inputs!$C$60,Inputs!$C$11+(B4435-Inputs!$C$69)/Inputs!$C$70,"")</f>
      </c>
      <c r="D4435" s="15"/>
      <c r="E4435" s="15"/>
      <c r="F4435" s="11">
        <f t="shared" si="35"/>
      </c>
      <c r="G4435" s="22" cm="1">
        <f t="array" ref="G4435">IF(AND(Inputs!$C$60,Inputs!$C$61),INDEX(Utility_Rates!$C$29:$F$52,HOUR(C4435)+Inputs!$C$69,MATCH(INDEX(Utility_Rates!$K$6:$K$17,MONTH(C4435))&amp;IF(WEEKDAY(C4435,Inputs!$C$76)&lt;=Inputs!$C$74," weekday"," weekend"),Utility_Rates!$C$28:$F$28,Inputs!$C$68)),"")</f>
      </c>
      <c r="H4435" s="34"/>
      <c r="I4435" s="42">
        <f>IF(AND(ISNUMBER(D4435),ISNUMBER(H4435)),D4435*H4435*Inputs!$C$69,"")</f>
      </c>
      <c r="J4435" s="42">
        <f>IF(AND(ISNUMBER(F4435),ISNUMBER(H4435),F4435&gt;=Inputs!$C$68),F4435*H4435*Inputs!$C$69,"")</f>
      </c>
    </row>
    <row r="4436" spans="2:10" ht="15" customHeight="1" x14ac:dyDescent="0.2">
      <c r="B4436" s="39">
        <f t="shared" si="34"/>
      </c>
      <c r="C4436" s="40">
        <f>IF(Inputs!$C$60,Inputs!$C$11+(B4436-Inputs!$C$69)/Inputs!$C$70,"")</f>
      </c>
      <c r="D4436" s="15"/>
      <c r="E4436" s="15"/>
      <c r="F4436" s="11">
        <f t="shared" si="35"/>
      </c>
      <c r="G4436" s="22" cm="1">
        <f t="array" ref="G4436">IF(AND(Inputs!$C$60,Inputs!$C$61),INDEX(Utility_Rates!$C$29:$F$52,HOUR(C4436)+Inputs!$C$69,MATCH(INDEX(Utility_Rates!$K$6:$K$17,MONTH(C4436))&amp;IF(WEEKDAY(C4436,Inputs!$C$76)&lt;=Inputs!$C$74," weekday"," weekend"),Utility_Rates!$C$28:$F$28,Inputs!$C$68)),"")</f>
      </c>
      <c r="H4436" s="34"/>
      <c r="I4436" s="42">
        <f>IF(AND(ISNUMBER(D4436),ISNUMBER(H4436)),D4436*H4436*Inputs!$C$69,"")</f>
      </c>
      <c r="J4436" s="42">
        <f>IF(AND(ISNUMBER(F4436),ISNUMBER(H4436),F4436&gt;=Inputs!$C$68),F4436*H4436*Inputs!$C$69,"")</f>
      </c>
    </row>
    <row r="4437" spans="2:10" ht="15" customHeight="1" x14ac:dyDescent="0.2">
      <c r="B4437" s="39">
        <f t="shared" si="34"/>
      </c>
      <c r="C4437" s="40">
        <f>IF(Inputs!$C$60,Inputs!$C$11+(B4437-Inputs!$C$69)/Inputs!$C$70,"")</f>
      </c>
      <c r="D4437" s="15"/>
      <c r="E4437" s="15"/>
      <c r="F4437" s="11">
        <f t="shared" si="35"/>
      </c>
      <c r="G4437" s="22" cm="1">
        <f t="array" ref="G4437">IF(AND(Inputs!$C$60,Inputs!$C$61),INDEX(Utility_Rates!$C$29:$F$52,HOUR(C4437)+Inputs!$C$69,MATCH(INDEX(Utility_Rates!$K$6:$K$17,MONTH(C4437))&amp;IF(WEEKDAY(C4437,Inputs!$C$76)&lt;=Inputs!$C$74," weekday"," weekend"),Utility_Rates!$C$28:$F$28,Inputs!$C$68)),"")</f>
      </c>
      <c r="H4437" s="34"/>
      <c r="I4437" s="42">
        <f>IF(AND(ISNUMBER(D4437),ISNUMBER(H4437)),D4437*H4437*Inputs!$C$69,"")</f>
      </c>
      <c r="J4437" s="42">
        <f>IF(AND(ISNUMBER(F4437),ISNUMBER(H4437),F4437&gt;=Inputs!$C$68),F4437*H4437*Inputs!$C$69,"")</f>
      </c>
    </row>
    <row r="4438" spans="2:10" ht="15" customHeight="1" x14ac:dyDescent="0.2">
      <c r="B4438" s="39">
        <f t="shared" si="34"/>
      </c>
      <c r="C4438" s="40">
        <f>IF(Inputs!$C$60,Inputs!$C$11+(B4438-Inputs!$C$69)/Inputs!$C$70,"")</f>
      </c>
      <c r="D4438" s="15"/>
      <c r="E4438" s="15"/>
      <c r="F4438" s="11">
        <f t="shared" si="35"/>
      </c>
      <c r="G4438" s="22" cm="1">
        <f t="array" ref="G4438">IF(AND(Inputs!$C$60,Inputs!$C$61),INDEX(Utility_Rates!$C$29:$F$52,HOUR(C4438)+Inputs!$C$69,MATCH(INDEX(Utility_Rates!$K$6:$K$17,MONTH(C4438))&amp;IF(WEEKDAY(C4438,Inputs!$C$76)&lt;=Inputs!$C$74," weekday"," weekend"),Utility_Rates!$C$28:$F$28,Inputs!$C$68)),"")</f>
      </c>
      <c r="H4438" s="34"/>
      <c r="I4438" s="42">
        <f>IF(AND(ISNUMBER(D4438),ISNUMBER(H4438)),D4438*H4438*Inputs!$C$69,"")</f>
      </c>
      <c r="J4438" s="42">
        <f>IF(AND(ISNUMBER(F4438),ISNUMBER(H4438),F4438&gt;=Inputs!$C$68),F4438*H4438*Inputs!$C$69,"")</f>
      </c>
    </row>
    <row r="4439" spans="2:10" ht="15" customHeight="1" x14ac:dyDescent="0.2">
      <c r="B4439" s="39">
        <f t="shared" si="34"/>
      </c>
      <c r="C4439" s="40">
        <f>IF(Inputs!$C$60,Inputs!$C$11+(B4439-Inputs!$C$69)/Inputs!$C$70,"")</f>
      </c>
      <c r="D4439" s="15"/>
      <c r="E4439" s="15"/>
      <c r="F4439" s="11">
        <f t="shared" si="35"/>
      </c>
      <c r="G4439" s="22" cm="1">
        <f t="array" ref="G4439">IF(AND(Inputs!$C$60,Inputs!$C$61),INDEX(Utility_Rates!$C$29:$F$52,HOUR(C4439)+Inputs!$C$69,MATCH(INDEX(Utility_Rates!$K$6:$K$17,MONTH(C4439))&amp;IF(WEEKDAY(C4439,Inputs!$C$76)&lt;=Inputs!$C$74," weekday"," weekend"),Utility_Rates!$C$28:$F$28,Inputs!$C$68)),"")</f>
      </c>
      <c r="H4439" s="34"/>
      <c r="I4439" s="42">
        <f>IF(AND(ISNUMBER(D4439),ISNUMBER(H4439)),D4439*H4439*Inputs!$C$69,"")</f>
      </c>
      <c r="J4439" s="42">
        <f>IF(AND(ISNUMBER(F4439),ISNUMBER(H4439),F4439&gt;=Inputs!$C$68),F4439*H4439*Inputs!$C$69,"")</f>
      </c>
    </row>
    <row r="4440" spans="2:10" ht="15" customHeight="1" x14ac:dyDescent="0.2">
      <c r="B4440" s="39">
        <f t="shared" si="34"/>
      </c>
      <c r="C4440" s="40">
        <f>IF(Inputs!$C$60,Inputs!$C$11+(B4440-Inputs!$C$69)/Inputs!$C$70,"")</f>
      </c>
      <c r="D4440" s="15"/>
      <c r="E4440" s="15"/>
      <c r="F4440" s="11">
        <f t="shared" si="35"/>
      </c>
      <c r="G4440" s="22" cm="1">
        <f t="array" ref="G4440">IF(AND(Inputs!$C$60,Inputs!$C$61),INDEX(Utility_Rates!$C$29:$F$52,HOUR(C4440)+Inputs!$C$69,MATCH(INDEX(Utility_Rates!$K$6:$K$17,MONTH(C4440))&amp;IF(WEEKDAY(C4440,Inputs!$C$76)&lt;=Inputs!$C$74," weekday"," weekend"),Utility_Rates!$C$28:$F$28,Inputs!$C$68)),"")</f>
      </c>
      <c r="H4440" s="34"/>
      <c r="I4440" s="42">
        <f>IF(AND(ISNUMBER(D4440),ISNUMBER(H4440)),D4440*H4440*Inputs!$C$69,"")</f>
      </c>
      <c r="J4440" s="42">
        <f>IF(AND(ISNUMBER(F4440),ISNUMBER(H4440),F4440&gt;=Inputs!$C$68),F4440*H4440*Inputs!$C$69,"")</f>
      </c>
    </row>
    <row r="4441" spans="2:10" ht="15" customHeight="1" x14ac:dyDescent="0.2">
      <c r="B4441" s="39">
        <f t="shared" si="34"/>
      </c>
      <c r="C4441" s="40">
        <f>IF(Inputs!$C$60,Inputs!$C$11+(B4441-Inputs!$C$69)/Inputs!$C$70,"")</f>
      </c>
      <c r="D4441" s="15"/>
      <c r="E4441" s="15"/>
      <c r="F4441" s="11">
        <f t="shared" si="35"/>
      </c>
      <c r="G4441" s="22" cm="1">
        <f t="array" ref="G4441">IF(AND(Inputs!$C$60,Inputs!$C$61),INDEX(Utility_Rates!$C$29:$F$52,HOUR(C4441)+Inputs!$C$69,MATCH(INDEX(Utility_Rates!$K$6:$K$17,MONTH(C4441))&amp;IF(WEEKDAY(C4441,Inputs!$C$76)&lt;=Inputs!$C$74," weekday"," weekend"),Utility_Rates!$C$28:$F$28,Inputs!$C$68)),"")</f>
      </c>
      <c r="H4441" s="34"/>
      <c r="I4441" s="42">
        <f>IF(AND(ISNUMBER(D4441),ISNUMBER(H4441)),D4441*H4441*Inputs!$C$69,"")</f>
      </c>
      <c r="J4441" s="42">
        <f>IF(AND(ISNUMBER(F4441),ISNUMBER(H4441),F4441&gt;=Inputs!$C$68),F4441*H4441*Inputs!$C$69,"")</f>
      </c>
    </row>
    <row r="4442" spans="2:10" ht="15" customHeight="1" x14ac:dyDescent="0.2">
      <c r="B4442" s="39">
        <f t="shared" si="34"/>
      </c>
      <c r="C4442" s="40">
        <f>IF(Inputs!$C$60,Inputs!$C$11+(B4442-Inputs!$C$69)/Inputs!$C$70,"")</f>
      </c>
      <c r="D4442" s="15"/>
      <c r="E4442" s="15"/>
      <c r="F4442" s="11">
        <f t="shared" si="35"/>
      </c>
      <c r="G4442" s="22" cm="1">
        <f t="array" ref="G4442">IF(AND(Inputs!$C$60,Inputs!$C$61),INDEX(Utility_Rates!$C$29:$F$52,HOUR(C4442)+Inputs!$C$69,MATCH(INDEX(Utility_Rates!$K$6:$K$17,MONTH(C4442))&amp;IF(WEEKDAY(C4442,Inputs!$C$76)&lt;=Inputs!$C$74," weekday"," weekend"),Utility_Rates!$C$28:$F$28,Inputs!$C$68)),"")</f>
      </c>
      <c r="H4442" s="34"/>
      <c r="I4442" s="42">
        <f>IF(AND(ISNUMBER(D4442),ISNUMBER(H4442)),D4442*H4442*Inputs!$C$69,"")</f>
      </c>
      <c r="J4442" s="42">
        <f>IF(AND(ISNUMBER(F4442),ISNUMBER(H4442),F4442&gt;=Inputs!$C$68),F4442*H4442*Inputs!$C$69,"")</f>
      </c>
    </row>
    <row r="4443" spans="2:10" ht="15" customHeight="1" x14ac:dyDescent="0.2">
      <c r="B4443" s="39">
        <f t="shared" si="34"/>
      </c>
      <c r="C4443" s="40">
        <f>IF(Inputs!$C$60,Inputs!$C$11+(B4443-Inputs!$C$69)/Inputs!$C$70,"")</f>
      </c>
      <c r="D4443" s="15"/>
      <c r="E4443" s="15"/>
      <c r="F4443" s="11">
        <f t="shared" si="35"/>
      </c>
      <c r="G4443" s="22" cm="1">
        <f t="array" ref="G4443">IF(AND(Inputs!$C$60,Inputs!$C$61),INDEX(Utility_Rates!$C$29:$F$52,HOUR(C4443)+Inputs!$C$69,MATCH(INDEX(Utility_Rates!$K$6:$K$17,MONTH(C4443))&amp;IF(WEEKDAY(C4443,Inputs!$C$76)&lt;=Inputs!$C$74," weekday"," weekend"),Utility_Rates!$C$28:$F$28,Inputs!$C$68)),"")</f>
      </c>
      <c r="H4443" s="34"/>
      <c r="I4443" s="42">
        <f>IF(AND(ISNUMBER(D4443),ISNUMBER(H4443)),D4443*H4443*Inputs!$C$69,"")</f>
      </c>
      <c r="J4443" s="42">
        <f>IF(AND(ISNUMBER(F4443),ISNUMBER(H4443),F4443&gt;=Inputs!$C$68),F4443*H4443*Inputs!$C$69,"")</f>
      </c>
    </row>
    <row r="4444" spans="2:10" ht="15" customHeight="1" x14ac:dyDescent="0.2">
      <c r="B4444" s="39">
        <f t="shared" si="34"/>
      </c>
      <c r="C4444" s="40">
        <f>IF(Inputs!$C$60,Inputs!$C$11+(B4444-Inputs!$C$69)/Inputs!$C$70,"")</f>
      </c>
      <c r="D4444" s="15"/>
      <c r="E4444" s="15"/>
      <c r="F4444" s="11">
        <f t="shared" si="35"/>
      </c>
      <c r="G4444" s="22" cm="1">
        <f t="array" ref="G4444">IF(AND(Inputs!$C$60,Inputs!$C$61),INDEX(Utility_Rates!$C$29:$F$52,HOUR(C4444)+Inputs!$C$69,MATCH(INDEX(Utility_Rates!$K$6:$K$17,MONTH(C4444))&amp;IF(WEEKDAY(C4444,Inputs!$C$76)&lt;=Inputs!$C$74," weekday"," weekend"),Utility_Rates!$C$28:$F$28,Inputs!$C$68)),"")</f>
      </c>
      <c r="H4444" s="34"/>
      <c r="I4444" s="42">
        <f>IF(AND(ISNUMBER(D4444),ISNUMBER(H4444)),D4444*H4444*Inputs!$C$69,"")</f>
      </c>
      <c r="J4444" s="42">
        <f>IF(AND(ISNUMBER(F4444),ISNUMBER(H4444),F4444&gt;=Inputs!$C$68),F4444*H4444*Inputs!$C$69,"")</f>
      </c>
    </row>
    <row r="4445" spans="2:10" ht="15" customHeight="1" x14ac:dyDescent="0.2">
      <c r="B4445" s="39">
        <f t="shared" si="34"/>
      </c>
      <c r="C4445" s="40">
        <f>IF(Inputs!$C$60,Inputs!$C$11+(B4445-Inputs!$C$69)/Inputs!$C$70,"")</f>
      </c>
      <c r="D4445" s="15"/>
      <c r="E4445" s="15"/>
      <c r="F4445" s="11">
        <f t="shared" si="35"/>
      </c>
      <c r="G4445" s="22" cm="1">
        <f t="array" ref="G4445">IF(AND(Inputs!$C$60,Inputs!$C$61),INDEX(Utility_Rates!$C$29:$F$52,HOUR(C4445)+Inputs!$C$69,MATCH(INDEX(Utility_Rates!$K$6:$K$17,MONTH(C4445))&amp;IF(WEEKDAY(C4445,Inputs!$C$76)&lt;=Inputs!$C$74," weekday"," weekend"),Utility_Rates!$C$28:$F$28,Inputs!$C$68)),"")</f>
      </c>
      <c r="H4445" s="34"/>
      <c r="I4445" s="42">
        <f>IF(AND(ISNUMBER(D4445),ISNUMBER(H4445)),D4445*H4445*Inputs!$C$69,"")</f>
      </c>
      <c r="J4445" s="42">
        <f>IF(AND(ISNUMBER(F4445),ISNUMBER(H4445),F4445&gt;=Inputs!$C$68),F4445*H4445*Inputs!$C$69,"")</f>
      </c>
    </row>
    <row r="4446" spans="2:10" ht="15" customHeight="1" x14ac:dyDescent="0.2">
      <c r="B4446" s="39">
        <f t="shared" si="34"/>
      </c>
      <c r="C4446" s="40">
        <f>IF(Inputs!$C$60,Inputs!$C$11+(B4446-Inputs!$C$69)/Inputs!$C$70,"")</f>
      </c>
      <c r="D4446" s="15"/>
      <c r="E4446" s="15"/>
      <c r="F4446" s="11">
        <f t="shared" si="35"/>
      </c>
      <c r="G4446" s="22" cm="1">
        <f t="array" ref="G4446">IF(AND(Inputs!$C$60,Inputs!$C$61),INDEX(Utility_Rates!$C$29:$F$52,HOUR(C4446)+Inputs!$C$69,MATCH(INDEX(Utility_Rates!$K$6:$K$17,MONTH(C4446))&amp;IF(WEEKDAY(C4446,Inputs!$C$76)&lt;=Inputs!$C$74," weekday"," weekend"),Utility_Rates!$C$28:$F$28,Inputs!$C$68)),"")</f>
      </c>
      <c r="H4446" s="34"/>
      <c r="I4446" s="42">
        <f>IF(AND(ISNUMBER(D4446),ISNUMBER(H4446)),D4446*H4446*Inputs!$C$69,"")</f>
      </c>
      <c r="J4446" s="42">
        <f>IF(AND(ISNUMBER(F4446),ISNUMBER(H4446),F4446&gt;=Inputs!$C$68),F4446*H4446*Inputs!$C$69,"")</f>
      </c>
    </row>
    <row r="4447" spans="2:10" ht="15" customHeight="1" x14ac:dyDescent="0.2">
      <c r="B4447" s="39">
        <f t="shared" si="34"/>
      </c>
      <c r="C4447" s="40">
        <f>IF(Inputs!$C$60,Inputs!$C$11+(B4447-Inputs!$C$69)/Inputs!$C$70,"")</f>
      </c>
      <c r="D4447" s="15"/>
      <c r="E4447" s="15"/>
      <c r="F4447" s="11">
        <f t="shared" si="35"/>
      </c>
      <c r="G4447" s="22" cm="1">
        <f t="array" ref="G4447">IF(AND(Inputs!$C$60,Inputs!$C$61),INDEX(Utility_Rates!$C$29:$F$52,HOUR(C4447)+Inputs!$C$69,MATCH(INDEX(Utility_Rates!$K$6:$K$17,MONTH(C4447))&amp;IF(WEEKDAY(C4447,Inputs!$C$76)&lt;=Inputs!$C$74," weekday"," weekend"),Utility_Rates!$C$28:$F$28,Inputs!$C$68)),"")</f>
      </c>
      <c r="H4447" s="34"/>
      <c r="I4447" s="42">
        <f>IF(AND(ISNUMBER(D4447),ISNUMBER(H4447)),D4447*H4447*Inputs!$C$69,"")</f>
      </c>
      <c r="J4447" s="42">
        <f>IF(AND(ISNUMBER(F4447),ISNUMBER(H4447),F4447&gt;=Inputs!$C$68),F4447*H4447*Inputs!$C$69,"")</f>
      </c>
    </row>
    <row r="4448" spans="2:10" ht="15" customHeight="1" x14ac:dyDescent="0.2">
      <c r="B4448" s="39">
        <f t="shared" si="34"/>
      </c>
      <c r="C4448" s="40">
        <f>IF(Inputs!$C$60,Inputs!$C$11+(B4448-Inputs!$C$69)/Inputs!$C$70,"")</f>
      </c>
      <c r="D4448" s="15"/>
      <c r="E4448" s="15"/>
      <c r="F4448" s="11">
        <f t="shared" si="35"/>
      </c>
      <c r="G4448" s="22" cm="1">
        <f t="array" ref="G4448">IF(AND(Inputs!$C$60,Inputs!$C$61),INDEX(Utility_Rates!$C$29:$F$52,HOUR(C4448)+Inputs!$C$69,MATCH(INDEX(Utility_Rates!$K$6:$K$17,MONTH(C4448))&amp;IF(WEEKDAY(C4448,Inputs!$C$76)&lt;=Inputs!$C$74," weekday"," weekend"),Utility_Rates!$C$28:$F$28,Inputs!$C$68)),"")</f>
      </c>
      <c r="H4448" s="34"/>
      <c r="I4448" s="42">
        <f>IF(AND(ISNUMBER(D4448),ISNUMBER(H4448)),D4448*H4448*Inputs!$C$69,"")</f>
      </c>
      <c r="J4448" s="42">
        <f>IF(AND(ISNUMBER(F4448),ISNUMBER(H4448),F4448&gt;=Inputs!$C$68),F4448*H4448*Inputs!$C$69,"")</f>
      </c>
    </row>
    <row r="4449" spans="2:10" ht="15" customHeight="1" x14ac:dyDescent="0.2">
      <c r="B4449" s="39">
        <f t="shared" si="34"/>
      </c>
      <c r="C4449" s="40">
        <f>IF(Inputs!$C$60,Inputs!$C$11+(B4449-Inputs!$C$69)/Inputs!$C$70,"")</f>
      </c>
      <c r="D4449" s="15"/>
      <c r="E4449" s="15"/>
      <c r="F4449" s="11">
        <f t="shared" si="35"/>
      </c>
      <c r="G4449" s="22" cm="1">
        <f t="array" ref="G4449">IF(AND(Inputs!$C$60,Inputs!$C$61),INDEX(Utility_Rates!$C$29:$F$52,HOUR(C4449)+Inputs!$C$69,MATCH(INDEX(Utility_Rates!$K$6:$K$17,MONTH(C4449))&amp;IF(WEEKDAY(C4449,Inputs!$C$76)&lt;=Inputs!$C$74," weekday"," weekend"),Utility_Rates!$C$28:$F$28,Inputs!$C$68)),"")</f>
      </c>
      <c r="H4449" s="34"/>
      <c r="I4449" s="42">
        <f>IF(AND(ISNUMBER(D4449),ISNUMBER(H4449)),D4449*H4449*Inputs!$C$69,"")</f>
      </c>
      <c r="J4449" s="42">
        <f>IF(AND(ISNUMBER(F4449),ISNUMBER(H4449),F4449&gt;=Inputs!$C$68),F4449*H4449*Inputs!$C$69,"")</f>
      </c>
    </row>
    <row r="4450" spans="2:10" ht="15" customHeight="1" x14ac:dyDescent="0.2">
      <c r="B4450" s="39">
        <f t="shared" si="34"/>
      </c>
      <c r="C4450" s="40">
        <f>IF(Inputs!$C$60,Inputs!$C$11+(B4450-Inputs!$C$69)/Inputs!$C$70,"")</f>
      </c>
      <c r="D4450" s="15"/>
      <c r="E4450" s="15"/>
      <c r="F4450" s="11">
        <f t="shared" si="35"/>
      </c>
      <c r="G4450" s="22" cm="1">
        <f t="array" ref="G4450">IF(AND(Inputs!$C$60,Inputs!$C$61),INDEX(Utility_Rates!$C$29:$F$52,HOUR(C4450)+Inputs!$C$69,MATCH(INDEX(Utility_Rates!$K$6:$K$17,MONTH(C4450))&amp;IF(WEEKDAY(C4450,Inputs!$C$76)&lt;=Inputs!$C$74," weekday"," weekend"),Utility_Rates!$C$28:$F$28,Inputs!$C$68)),"")</f>
      </c>
      <c r="H4450" s="34"/>
      <c r="I4450" s="42">
        <f>IF(AND(ISNUMBER(D4450),ISNUMBER(H4450)),D4450*H4450*Inputs!$C$69,"")</f>
      </c>
      <c r="J4450" s="42">
        <f>IF(AND(ISNUMBER(F4450),ISNUMBER(H4450),F4450&gt;=Inputs!$C$68),F4450*H4450*Inputs!$C$69,"")</f>
      </c>
    </row>
    <row r="4451" spans="2:10" ht="15" customHeight="1" x14ac:dyDescent="0.2">
      <c r="B4451" s="39">
        <f t="shared" si="34"/>
      </c>
      <c r="C4451" s="40">
        <f>IF(Inputs!$C$60,Inputs!$C$11+(B4451-Inputs!$C$69)/Inputs!$C$70,"")</f>
      </c>
      <c r="D4451" s="15"/>
      <c r="E4451" s="15"/>
      <c r="F4451" s="11">
        <f t="shared" si="35"/>
      </c>
      <c r="G4451" s="22" cm="1">
        <f t="array" ref="G4451">IF(AND(Inputs!$C$60,Inputs!$C$61),INDEX(Utility_Rates!$C$29:$F$52,HOUR(C4451)+Inputs!$C$69,MATCH(INDEX(Utility_Rates!$K$6:$K$17,MONTH(C4451))&amp;IF(WEEKDAY(C4451,Inputs!$C$76)&lt;=Inputs!$C$74," weekday"," weekend"),Utility_Rates!$C$28:$F$28,Inputs!$C$68)),"")</f>
      </c>
      <c r="H4451" s="34"/>
      <c r="I4451" s="42">
        <f>IF(AND(ISNUMBER(D4451),ISNUMBER(H4451)),D4451*H4451*Inputs!$C$69,"")</f>
      </c>
      <c r="J4451" s="42">
        <f>IF(AND(ISNUMBER(F4451),ISNUMBER(H4451),F4451&gt;=Inputs!$C$68),F4451*H4451*Inputs!$C$69,"")</f>
      </c>
    </row>
    <row r="4452" spans="2:10" ht="15" customHeight="1" x14ac:dyDescent="0.2">
      <c r="B4452" s="39">
        <f t="shared" si="34"/>
      </c>
      <c r="C4452" s="40">
        <f>IF(Inputs!$C$60,Inputs!$C$11+(B4452-Inputs!$C$69)/Inputs!$C$70,"")</f>
      </c>
      <c r="D4452" s="15"/>
      <c r="E4452" s="15"/>
      <c r="F4452" s="11">
        <f t="shared" si="35"/>
      </c>
      <c r="G4452" s="22" cm="1">
        <f t="array" ref="G4452">IF(AND(Inputs!$C$60,Inputs!$C$61),INDEX(Utility_Rates!$C$29:$F$52,HOUR(C4452)+Inputs!$C$69,MATCH(INDEX(Utility_Rates!$K$6:$K$17,MONTH(C4452))&amp;IF(WEEKDAY(C4452,Inputs!$C$76)&lt;=Inputs!$C$74," weekday"," weekend"),Utility_Rates!$C$28:$F$28,Inputs!$C$68)),"")</f>
      </c>
      <c r="H4452" s="34"/>
      <c r="I4452" s="42">
        <f>IF(AND(ISNUMBER(D4452),ISNUMBER(H4452)),D4452*H4452*Inputs!$C$69,"")</f>
      </c>
      <c r="J4452" s="42">
        <f>IF(AND(ISNUMBER(F4452),ISNUMBER(H4452),F4452&gt;=Inputs!$C$68),F4452*H4452*Inputs!$C$69,"")</f>
      </c>
    </row>
    <row r="4453" spans="2:10" ht="15" customHeight="1" x14ac:dyDescent="0.2">
      <c r="B4453" s="39">
        <f t="shared" si="34"/>
      </c>
      <c r="C4453" s="40">
        <f>IF(Inputs!$C$60,Inputs!$C$11+(B4453-Inputs!$C$69)/Inputs!$C$70,"")</f>
      </c>
      <c r="D4453" s="15"/>
      <c r="E4453" s="15"/>
      <c r="F4453" s="11">
        <f t="shared" si="35"/>
      </c>
      <c r="G4453" s="22" cm="1">
        <f t="array" ref="G4453">IF(AND(Inputs!$C$60,Inputs!$C$61),INDEX(Utility_Rates!$C$29:$F$52,HOUR(C4453)+Inputs!$C$69,MATCH(INDEX(Utility_Rates!$K$6:$K$17,MONTH(C4453))&amp;IF(WEEKDAY(C4453,Inputs!$C$76)&lt;=Inputs!$C$74," weekday"," weekend"),Utility_Rates!$C$28:$F$28,Inputs!$C$68)),"")</f>
      </c>
      <c r="H4453" s="34"/>
      <c r="I4453" s="42">
        <f>IF(AND(ISNUMBER(D4453),ISNUMBER(H4453)),D4453*H4453*Inputs!$C$69,"")</f>
      </c>
      <c r="J4453" s="42">
        <f>IF(AND(ISNUMBER(F4453),ISNUMBER(H4453),F4453&gt;=Inputs!$C$68),F4453*H4453*Inputs!$C$69,"")</f>
      </c>
    </row>
    <row r="4454" spans="2:10" ht="15" customHeight="1" x14ac:dyDescent="0.2">
      <c r="B4454" s="39">
        <f t="shared" si="34"/>
      </c>
      <c r="C4454" s="40">
        <f>IF(Inputs!$C$60,Inputs!$C$11+(B4454-Inputs!$C$69)/Inputs!$C$70,"")</f>
      </c>
      <c r="D4454" s="15"/>
      <c r="E4454" s="15"/>
      <c r="F4454" s="11">
        <f t="shared" si="35"/>
      </c>
      <c r="G4454" s="22" cm="1">
        <f t="array" ref="G4454">IF(AND(Inputs!$C$60,Inputs!$C$61),INDEX(Utility_Rates!$C$29:$F$52,HOUR(C4454)+Inputs!$C$69,MATCH(INDEX(Utility_Rates!$K$6:$K$17,MONTH(C4454))&amp;IF(WEEKDAY(C4454,Inputs!$C$76)&lt;=Inputs!$C$74," weekday"," weekend"),Utility_Rates!$C$28:$F$28,Inputs!$C$68)),"")</f>
      </c>
      <c r="H4454" s="34"/>
      <c r="I4454" s="42">
        <f>IF(AND(ISNUMBER(D4454),ISNUMBER(H4454)),D4454*H4454*Inputs!$C$69,"")</f>
      </c>
      <c r="J4454" s="42">
        <f>IF(AND(ISNUMBER(F4454),ISNUMBER(H4454),F4454&gt;=Inputs!$C$68),F4454*H4454*Inputs!$C$69,"")</f>
      </c>
    </row>
    <row r="4455" spans="2:10" ht="15" customHeight="1" x14ac:dyDescent="0.2">
      <c r="B4455" s="39">
        <f t="shared" si="34"/>
      </c>
      <c r="C4455" s="40">
        <f>IF(Inputs!$C$60,Inputs!$C$11+(B4455-Inputs!$C$69)/Inputs!$C$70,"")</f>
      </c>
      <c r="D4455" s="15"/>
      <c r="E4455" s="15"/>
      <c r="F4455" s="11">
        <f t="shared" si="35"/>
      </c>
      <c r="G4455" s="22" cm="1">
        <f t="array" ref="G4455">IF(AND(Inputs!$C$60,Inputs!$C$61),INDEX(Utility_Rates!$C$29:$F$52,HOUR(C4455)+Inputs!$C$69,MATCH(INDEX(Utility_Rates!$K$6:$K$17,MONTH(C4455))&amp;IF(WEEKDAY(C4455,Inputs!$C$76)&lt;=Inputs!$C$74," weekday"," weekend"),Utility_Rates!$C$28:$F$28,Inputs!$C$68)),"")</f>
      </c>
      <c r="H4455" s="34"/>
      <c r="I4455" s="42">
        <f>IF(AND(ISNUMBER(D4455),ISNUMBER(H4455)),D4455*H4455*Inputs!$C$69,"")</f>
      </c>
      <c r="J4455" s="42">
        <f>IF(AND(ISNUMBER(F4455),ISNUMBER(H4455),F4455&gt;=Inputs!$C$68),F4455*H4455*Inputs!$C$69,"")</f>
      </c>
    </row>
    <row r="4456" spans="2:10" ht="15" customHeight="1" x14ac:dyDescent="0.2">
      <c r="B4456" s="39">
        <f t="shared" si="34"/>
      </c>
      <c r="C4456" s="40">
        <f>IF(Inputs!$C$60,Inputs!$C$11+(B4456-Inputs!$C$69)/Inputs!$C$70,"")</f>
      </c>
      <c r="D4456" s="15"/>
      <c r="E4456" s="15"/>
      <c r="F4456" s="11">
        <f t="shared" si="35"/>
      </c>
      <c r="G4456" s="22" cm="1">
        <f t="array" ref="G4456">IF(AND(Inputs!$C$60,Inputs!$C$61),INDEX(Utility_Rates!$C$29:$F$52,HOUR(C4456)+Inputs!$C$69,MATCH(INDEX(Utility_Rates!$K$6:$K$17,MONTH(C4456))&amp;IF(WEEKDAY(C4456,Inputs!$C$76)&lt;=Inputs!$C$74," weekday"," weekend"),Utility_Rates!$C$28:$F$28,Inputs!$C$68)),"")</f>
      </c>
      <c r="H4456" s="34"/>
      <c r="I4456" s="42">
        <f>IF(AND(ISNUMBER(D4456),ISNUMBER(H4456)),D4456*H4456*Inputs!$C$69,"")</f>
      </c>
      <c r="J4456" s="42">
        <f>IF(AND(ISNUMBER(F4456),ISNUMBER(H4456),F4456&gt;=Inputs!$C$68),F4456*H4456*Inputs!$C$69,"")</f>
      </c>
    </row>
    <row r="4457" spans="2:10" ht="15" customHeight="1" x14ac:dyDescent="0.2">
      <c r="B4457" s="39">
        <f t="shared" si="34"/>
      </c>
      <c r="C4457" s="40">
        <f>IF(Inputs!$C$60,Inputs!$C$11+(B4457-Inputs!$C$69)/Inputs!$C$70,"")</f>
      </c>
      <c r="D4457" s="15"/>
      <c r="E4457" s="15"/>
      <c r="F4457" s="11">
        <f t="shared" si="35"/>
      </c>
      <c r="G4457" s="22" cm="1">
        <f t="array" ref="G4457">IF(AND(Inputs!$C$60,Inputs!$C$61),INDEX(Utility_Rates!$C$29:$F$52,HOUR(C4457)+Inputs!$C$69,MATCH(INDEX(Utility_Rates!$K$6:$K$17,MONTH(C4457))&amp;IF(WEEKDAY(C4457,Inputs!$C$76)&lt;=Inputs!$C$74," weekday"," weekend"),Utility_Rates!$C$28:$F$28,Inputs!$C$68)),"")</f>
      </c>
      <c r="H4457" s="34"/>
      <c r="I4457" s="42">
        <f>IF(AND(ISNUMBER(D4457),ISNUMBER(H4457)),D4457*H4457*Inputs!$C$69,"")</f>
      </c>
      <c r="J4457" s="42">
        <f>IF(AND(ISNUMBER(F4457),ISNUMBER(H4457),F4457&gt;=Inputs!$C$68),F4457*H4457*Inputs!$C$69,"")</f>
      </c>
    </row>
    <row r="4458" spans="2:10" ht="15" customHeight="1" x14ac:dyDescent="0.2">
      <c r="B4458" s="39">
        <f t="shared" si="34"/>
      </c>
      <c r="C4458" s="40">
        <f>IF(Inputs!$C$60,Inputs!$C$11+(B4458-Inputs!$C$69)/Inputs!$C$70,"")</f>
      </c>
      <c r="D4458" s="15"/>
      <c r="E4458" s="15"/>
      <c r="F4458" s="11">
        <f t="shared" si="35"/>
      </c>
      <c r="G4458" s="22" cm="1">
        <f t="array" ref="G4458">IF(AND(Inputs!$C$60,Inputs!$C$61),INDEX(Utility_Rates!$C$29:$F$52,HOUR(C4458)+Inputs!$C$69,MATCH(INDEX(Utility_Rates!$K$6:$K$17,MONTH(C4458))&amp;IF(WEEKDAY(C4458,Inputs!$C$76)&lt;=Inputs!$C$74," weekday"," weekend"),Utility_Rates!$C$28:$F$28,Inputs!$C$68)),"")</f>
      </c>
      <c r="H4458" s="34"/>
      <c r="I4458" s="42">
        <f>IF(AND(ISNUMBER(D4458),ISNUMBER(H4458)),D4458*H4458*Inputs!$C$69,"")</f>
      </c>
      <c r="J4458" s="42">
        <f>IF(AND(ISNUMBER(F4458),ISNUMBER(H4458),F4458&gt;=Inputs!$C$68),F4458*H4458*Inputs!$C$69,"")</f>
      </c>
    </row>
    <row r="4459" spans="2:10" ht="15" customHeight="1" x14ac:dyDescent="0.2">
      <c r="B4459" s="39">
        <f t="shared" si="34"/>
      </c>
      <c r="C4459" s="40">
        <f>IF(Inputs!$C$60,Inputs!$C$11+(B4459-Inputs!$C$69)/Inputs!$C$70,"")</f>
      </c>
      <c r="D4459" s="15"/>
      <c r="E4459" s="15"/>
      <c r="F4459" s="11">
        <f t="shared" si="35"/>
      </c>
      <c r="G4459" s="22" cm="1">
        <f t="array" ref="G4459">IF(AND(Inputs!$C$60,Inputs!$C$61),INDEX(Utility_Rates!$C$29:$F$52,HOUR(C4459)+Inputs!$C$69,MATCH(INDEX(Utility_Rates!$K$6:$K$17,MONTH(C4459))&amp;IF(WEEKDAY(C4459,Inputs!$C$76)&lt;=Inputs!$C$74," weekday"," weekend"),Utility_Rates!$C$28:$F$28,Inputs!$C$68)),"")</f>
      </c>
      <c r="H4459" s="34"/>
      <c r="I4459" s="42">
        <f>IF(AND(ISNUMBER(D4459),ISNUMBER(H4459)),D4459*H4459*Inputs!$C$69,"")</f>
      </c>
      <c r="J4459" s="42">
        <f>IF(AND(ISNUMBER(F4459),ISNUMBER(H4459),F4459&gt;=Inputs!$C$68),F4459*H4459*Inputs!$C$69,"")</f>
      </c>
    </row>
    <row r="4460" spans="2:10" ht="15" customHeight="1" x14ac:dyDescent="0.2">
      <c r="B4460" s="39">
        <f t="shared" si="34"/>
      </c>
      <c r="C4460" s="40">
        <f>IF(Inputs!$C$60,Inputs!$C$11+(B4460-Inputs!$C$69)/Inputs!$C$70,"")</f>
      </c>
      <c r="D4460" s="15"/>
      <c r="E4460" s="15"/>
      <c r="F4460" s="11">
        <f t="shared" si="35"/>
      </c>
      <c r="G4460" s="22" cm="1">
        <f t="array" ref="G4460">IF(AND(Inputs!$C$60,Inputs!$C$61),INDEX(Utility_Rates!$C$29:$F$52,HOUR(C4460)+Inputs!$C$69,MATCH(INDEX(Utility_Rates!$K$6:$K$17,MONTH(C4460))&amp;IF(WEEKDAY(C4460,Inputs!$C$76)&lt;=Inputs!$C$74," weekday"," weekend"),Utility_Rates!$C$28:$F$28,Inputs!$C$68)),"")</f>
      </c>
      <c r="H4460" s="34"/>
      <c r="I4460" s="42">
        <f>IF(AND(ISNUMBER(D4460),ISNUMBER(H4460)),D4460*H4460*Inputs!$C$69,"")</f>
      </c>
      <c r="J4460" s="42">
        <f>IF(AND(ISNUMBER(F4460),ISNUMBER(H4460),F4460&gt;=Inputs!$C$68),F4460*H4460*Inputs!$C$69,"")</f>
      </c>
    </row>
    <row r="4461" spans="2:10" ht="15" customHeight="1" x14ac:dyDescent="0.2">
      <c r="B4461" s="39">
        <f t="shared" si="34"/>
      </c>
      <c r="C4461" s="40">
        <f>IF(Inputs!$C$60,Inputs!$C$11+(B4461-Inputs!$C$69)/Inputs!$C$70,"")</f>
      </c>
      <c r="D4461" s="15"/>
      <c r="E4461" s="15"/>
      <c r="F4461" s="11">
        <f t="shared" si="35"/>
      </c>
      <c r="G4461" s="22" cm="1">
        <f t="array" ref="G4461">IF(AND(Inputs!$C$60,Inputs!$C$61),INDEX(Utility_Rates!$C$29:$F$52,HOUR(C4461)+Inputs!$C$69,MATCH(INDEX(Utility_Rates!$K$6:$K$17,MONTH(C4461))&amp;IF(WEEKDAY(C4461,Inputs!$C$76)&lt;=Inputs!$C$74," weekday"," weekend"),Utility_Rates!$C$28:$F$28,Inputs!$C$68)),"")</f>
      </c>
      <c r="H4461" s="34"/>
      <c r="I4461" s="42">
        <f>IF(AND(ISNUMBER(D4461),ISNUMBER(H4461)),D4461*H4461*Inputs!$C$69,"")</f>
      </c>
      <c r="J4461" s="42">
        <f>IF(AND(ISNUMBER(F4461),ISNUMBER(H4461),F4461&gt;=Inputs!$C$68),F4461*H4461*Inputs!$C$69,"")</f>
      </c>
    </row>
    <row r="4462" spans="2:10" ht="15" customHeight="1" x14ac:dyDescent="0.2">
      <c r="B4462" s="39">
        <f t="shared" si="34"/>
      </c>
      <c r="C4462" s="40">
        <f>IF(Inputs!$C$60,Inputs!$C$11+(B4462-Inputs!$C$69)/Inputs!$C$70,"")</f>
      </c>
      <c r="D4462" s="15"/>
      <c r="E4462" s="15"/>
      <c r="F4462" s="11">
        <f t="shared" si="35"/>
      </c>
      <c r="G4462" s="22" cm="1">
        <f t="array" ref="G4462">IF(AND(Inputs!$C$60,Inputs!$C$61),INDEX(Utility_Rates!$C$29:$F$52,HOUR(C4462)+Inputs!$C$69,MATCH(INDEX(Utility_Rates!$K$6:$K$17,MONTH(C4462))&amp;IF(WEEKDAY(C4462,Inputs!$C$76)&lt;=Inputs!$C$74," weekday"," weekend"),Utility_Rates!$C$28:$F$28,Inputs!$C$68)),"")</f>
      </c>
      <c r="H4462" s="34"/>
      <c r="I4462" s="42">
        <f>IF(AND(ISNUMBER(D4462),ISNUMBER(H4462)),D4462*H4462*Inputs!$C$69,"")</f>
      </c>
      <c r="J4462" s="42">
        <f>IF(AND(ISNUMBER(F4462),ISNUMBER(H4462),F4462&gt;=Inputs!$C$68),F4462*H4462*Inputs!$C$69,"")</f>
      </c>
    </row>
    <row r="4463" spans="2:10" ht="15" customHeight="1" x14ac:dyDescent="0.2">
      <c r="B4463" s="39">
        <f t="shared" si="34"/>
      </c>
      <c r="C4463" s="40">
        <f>IF(Inputs!$C$60,Inputs!$C$11+(B4463-Inputs!$C$69)/Inputs!$C$70,"")</f>
      </c>
      <c r="D4463" s="15"/>
      <c r="E4463" s="15"/>
      <c r="F4463" s="11">
        <f t="shared" si="35"/>
      </c>
      <c r="G4463" s="22" cm="1">
        <f t="array" ref="G4463">IF(AND(Inputs!$C$60,Inputs!$C$61),INDEX(Utility_Rates!$C$29:$F$52,HOUR(C4463)+Inputs!$C$69,MATCH(INDEX(Utility_Rates!$K$6:$K$17,MONTH(C4463))&amp;IF(WEEKDAY(C4463,Inputs!$C$76)&lt;=Inputs!$C$74," weekday"," weekend"),Utility_Rates!$C$28:$F$28,Inputs!$C$68)),"")</f>
      </c>
      <c r="H4463" s="34"/>
      <c r="I4463" s="42">
        <f>IF(AND(ISNUMBER(D4463),ISNUMBER(H4463)),D4463*H4463*Inputs!$C$69,"")</f>
      </c>
      <c r="J4463" s="42">
        <f>IF(AND(ISNUMBER(F4463),ISNUMBER(H4463),F4463&gt;=Inputs!$C$68),F4463*H4463*Inputs!$C$69,"")</f>
      </c>
    </row>
    <row r="4464" spans="2:10" ht="15" customHeight="1" x14ac:dyDescent="0.2">
      <c r="B4464" s="39">
        <f t="shared" si="34"/>
      </c>
      <c r="C4464" s="40">
        <f>IF(Inputs!$C$60,Inputs!$C$11+(B4464-Inputs!$C$69)/Inputs!$C$70,"")</f>
      </c>
      <c r="D4464" s="15"/>
      <c r="E4464" s="15"/>
      <c r="F4464" s="11">
        <f t="shared" si="35"/>
      </c>
      <c r="G4464" s="22" cm="1">
        <f t="array" ref="G4464">IF(AND(Inputs!$C$60,Inputs!$C$61),INDEX(Utility_Rates!$C$29:$F$52,HOUR(C4464)+Inputs!$C$69,MATCH(INDEX(Utility_Rates!$K$6:$K$17,MONTH(C4464))&amp;IF(WEEKDAY(C4464,Inputs!$C$76)&lt;=Inputs!$C$74," weekday"," weekend"),Utility_Rates!$C$28:$F$28,Inputs!$C$68)),"")</f>
      </c>
      <c r="H4464" s="34"/>
      <c r="I4464" s="42">
        <f>IF(AND(ISNUMBER(D4464),ISNUMBER(H4464)),D4464*H4464*Inputs!$C$69,"")</f>
      </c>
      <c r="J4464" s="42">
        <f>IF(AND(ISNUMBER(F4464),ISNUMBER(H4464),F4464&gt;=Inputs!$C$68),F4464*H4464*Inputs!$C$69,"")</f>
      </c>
    </row>
    <row r="4465" spans="2:10" ht="15" customHeight="1" x14ac:dyDescent="0.2">
      <c r="B4465" s="39">
        <f t="shared" si="34"/>
      </c>
      <c r="C4465" s="40">
        <f>IF(Inputs!$C$60,Inputs!$C$11+(B4465-Inputs!$C$69)/Inputs!$C$70,"")</f>
      </c>
      <c r="D4465" s="15"/>
      <c r="E4465" s="15"/>
      <c r="F4465" s="11">
        <f t="shared" si="35"/>
      </c>
      <c r="G4465" s="22" cm="1">
        <f t="array" ref="G4465">IF(AND(Inputs!$C$60,Inputs!$C$61),INDEX(Utility_Rates!$C$29:$F$52,HOUR(C4465)+Inputs!$C$69,MATCH(INDEX(Utility_Rates!$K$6:$K$17,MONTH(C4465))&amp;IF(WEEKDAY(C4465,Inputs!$C$76)&lt;=Inputs!$C$74," weekday"," weekend"),Utility_Rates!$C$28:$F$28,Inputs!$C$68)),"")</f>
      </c>
      <c r="H4465" s="34"/>
      <c r="I4465" s="42">
        <f>IF(AND(ISNUMBER(D4465),ISNUMBER(H4465)),D4465*H4465*Inputs!$C$69,"")</f>
      </c>
      <c r="J4465" s="42">
        <f>IF(AND(ISNUMBER(F4465),ISNUMBER(H4465),F4465&gt;=Inputs!$C$68),F4465*H4465*Inputs!$C$69,"")</f>
      </c>
    </row>
    <row r="4466" spans="2:10" ht="15" customHeight="1" x14ac:dyDescent="0.2">
      <c r="B4466" s="39">
        <f t="shared" si="34"/>
      </c>
      <c r="C4466" s="40">
        <f>IF(Inputs!$C$60,Inputs!$C$11+(B4466-Inputs!$C$69)/Inputs!$C$70,"")</f>
      </c>
      <c r="D4466" s="15"/>
      <c r="E4466" s="15"/>
      <c r="F4466" s="11">
        <f t="shared" si="35"/>
      </c>
      <c r="G4466" s="22" cm="1">
        <f t="array" ref="G4466">IF(AND(Inputs!$C$60,Inputs!$C$61),INDEX(Utility_Rates!$C$29:$F$52,HOUR(C4466)+Inputs!$C$69,MATCH(INDEX(Utility_Rates!$K$6:$K$17,MONTH(C4466))&amp;IF(WEEKDAY(C4466,Inputs!$C$76)&lt;=Inputs!$C$74," weekday"," weekend"),Utility_Rates!$C$28:$F$28,Inputs!$C$68)),"")</f>
      </c>
      <c r="H4466" s="34"/>
      <c r="I4466" s="42">
        <f>IF(AND(ISNUMBER(D4466),ISNUMBER(H4466)),D4466*H4466*Inputs!$C$69,"")</f>
      </c>
      <c r="J4466" s="42">
        <f>IF(AND(ISNUMBER(F4466),ISNUMBER(H4466),F4466&gt;=Inputs!$C$68),F4466*H4466*Inputs!$C$69,"")</f>
      </c>
    </row>
    <row r="4467" spans="2:10" ht="15" customHeight="1" x14ac:dyDescent="0.2">
      <c r="B4467" s="39">
        <f t="shared" si="34"/>
      </c>
      <c r="C4467" s="40">
        <f>IF(Inputs!$C$60,Inputs!$C$11+(B4467-Inputs!$C$69)/Inputs!$C$70,"")</f>
      </c>
      <c r="D4467" s="15"/>
      <c r="E4467" s="15"/>
      <c r="F4467" s="11">
        <f t="shared" si="35"/>
      </c>
      <c r="G4467" s="22" cm="1">
        <f t="array" ref="G4467">IF(AND(Inputs!$C$60,Inputs!$C$61),INDEX(Utility_Rates!$C$29:$F$52,HOUR(C4467)+Inputs!$C$69,MATCH(INDEX(Utility_Rates!$K$6:$K$17,MONTH(C4467))&amp;IF(WEEKDAY(C4467,Inputs!$C$76)&lt;=Inputs!$C$74," weekday"," weekend"),Utility_Rates!$C$28:$F$28,Inputs!$C$68)),"")</f>
      </c>
      <c r="H4467" s="34"/>
      <c r="I4467" s="42">
        <f>IF(AND(ISNUMBER(D4467),ISNUMBER(H4467)),D4467*H4467*Inputs!$C$69,"")</f>
      </c>
      <c r="J4467" s="42">
        <f>IF(AND(ISNUMBER(F4467),ISNUMBER(H4467),F4467&gt;=Inputs!$C$68),F4467*H4467*Inputs!$C$69,"")</f>
      </c>
    </row>
    <row r="4468" spans="2:10" ht="15" customHeight="1" x14ac:dyDescent="0.2">
      <c r="B4468" s="39">
        <f t="shared" si="34"/>
      </c>
      <c r="C4468" s="40">
        <f>IF(Inputs!$C$60,Inputs!$C$11+(B4468-Inputs!$C$69)/Inputs!$C$70,"")</f>
      </c>
      <c r="D4468" s="15"/>
      <c r="E4468" s="15"/>
      <c r="F4468" s="11">
        <f t="shared" si="35"/>
      </c>
      <c r="G4468" s="22" cm="1">
        <f t="array" ref="G4468">IF(AND(Inputs!$C$60,Inputs!$C$61),INDEX(Utility_Rates!$C$29:$F$52,HOUR(C4468)+Inputs!$C$69,MATCH(INDEX(Utility_Rates!$K$6:$K$17,MONTH(C4468))&amp;IF(WEEKDAY(C4468,Inputs!$C$76)&lt;=Inputs!$C$74," weekday"," weekend"),Utility_Rates!$C$28:$F$28,Inputs!$C$68)),"")</f>
      </c>
      <c r="H4468" s="34"/>
      <c r="I4468" s="42">
        <f>IF(AND(ISNUMBER(D4468),ISNUMBER(H4468)),D4468*H4468*Inputs!$C$69,"")</f>
      </c>
      <c r="J4468" s="42">
        <f>IF(AND(ISNUMBER(F4468),ISNUMBER(H4468),F4468&gt;=Inputs!$C$68),F4468*H4468*Inputs!$C$69,"")</f>
      </c>
    </row>
    <row r="4469" spans="2:10" ht="15" customHeight="1" x14ac:dyDescent="0.2">
      <c r="B4469" s="39">
        <f t="shared" si="34"/>
      </c>
      <c r="C4469" s="40">
        <f>IF(Inputs!$C$60,Inputs!$C$11+(B4469-Inputs!$C$69)/Inputs!$C$70,"")</f>
      </c>
      <c r="D4469" s="15"/>
      <c r="E4469" s="15"/>
      <c r="F4469" s="11">
        <f t="shared" si="35"/>
      </c>
      <c r="G4469" s="22" cm="1">
        <f t="array" ref="G4469">IF(AND(Inputs!$C$60,Inputs!$C$61),INDEX(Utility_Rates!$C$29:$F$52,HOUR(C4469)+Inputs!$C$69,MATCH(INDEX(Utility_Rates!$K$6:$K$17,MONTH(C4469))&amp;IF(WEEKDAY(C4469,Inputs!$C$76)&lt;=Inputs!$C$74," weekday"," weekend"),Utility_Rates!$C$28:$F$28,Inputs!$C$68)),"")</f>
      </c>
      <c r="H4469" s="34"/>
      <c r="I4469" s="42">
        <f>IF(AND(ISNUMBER(D4469),ISNUMBER(H4469)),D4469*H4469*Inputs!$C$69,"")</f>
      </c>
      <c r="J4469" s="42">
        <f>IF(AND(ISNUMBER(F4469),ISNUMBER(H4469),F4469&gt;=Inputs!$C$68),F4469*H4469*Inputs!$C$69,"")</f>
      </c>
    </row>
    <row r="4470" spans="2:10" ht="15" customHeight="1" x14ac:dyDescent="0.2">
      <c r="B4470" s="39">
        <f t="shared" si="34"/>
      </c>
      <c r="C4470" s="40">
        <f>IF(Inputs!$C$60,Inputs!$C$11+(B4470-Inputs!$C$69)/Inputs!$C$70,"")</f>
      </c>
      <c r="D4470" s="15"/>
      <c r="E4470" s="15"/>
      <c r="F4470" s="11">
        <f t="shared" si="35"/>
      </c>
      <c r="G4470" s="22" cm="1">
        <f t="array" ref="G4470">IF(AND(Inputs!$C$60,Inputs!$C$61),INDEX(Utility_Rates!$C$29:$F$52,HOUR(C4470)+Inputs!$C$69,MATCH(INDEX(Utility_Rates!$K$6:$K$17,MONTH(C4470))&amp;IF(WEEKDAY(C4470,Inputs!$C$76)&lt;=Inputs!$C$74," weekday"," weekend"),Utility_Rates!$C$28:$F$28,Inputs!$C$68)),"")</f>
      </c>
      <c r="H4470" s="34"/>
      <c r="I4470" s="42">
        <f>IF(AND(ISNUMBER(D4470),ISNUMBER(H4470)),D4470*H4470*Inputs!$C$69,"")</f>
      </c>
      <c r="J4470" s="42">
        <f>IF(AND(ISNUMBER(F4470),ISNUMBER(H4470),F4470&gt;=Inputs!$C$68),F4470*H4470*Inputs!$C$69,"")</f>
      </c>
    </row>
    <row r="4471" spans="2:10" ht="15" customHeight="1" x14ac:dyDescent="0.2">
      <c r="B4471" s="39">
        <f t="shared" si="34"/>
      </c>
      <c r="C4471" s="40">
        <f>IF(Inputs!$C$60,Inputs!$C$11+(B4471-Inputs!$C$69)/Inputs!$C$70,"")</f>
      </c>
      <c r="D4471" s="15"/>
      <c r="E4471" s="15"/>
      <c r="F4471" s="11">
        <f t="shared" si="35"/>
      </c>
      <c r="G4471" s="22" cm="1">
        <f t="array" ref="G4471">IF(AND(Inputs!$C$60,Inputs!$C$61),INDEX(Utility_Rates!$C$29:$F$52,HOUR(C4471)+Inputs!$C$69,MATCH(INDEX(Utility_Rates!$K$6:$K$17,MONTH(C4471))&amp;IF(WEEKDAY(C4471,Inputs!$C$76)&lt;=Inputs!$C$74," weekday"," weekend"),Utility_Rates!$C$28:$F$28,Inputs!$C$68)),"")</f>
      </c>
      <c r="H4471" s="34"/>
      <c r="I4471" s="42">
        <f>IF(AND(ISNUMBER(D4471),ISNUMBER(H4471)),D4471*H4471*Inputs!$C$69,"")</f>
      </c>
      <c r="J4471" s="42">
        <f>IF(AND(ISNUMBER(F4471),ISNUMBER(H4471),F4471&gt;=Inputs!$C$68),F4471*H4471*Inputs!$C$69,"")</f>
      </c>
    </row>
    <row r="4472" spans="2:10" ht="15" customHeight="1" x14ac:dyDescent="0.2">
      <c r="B4472" s="39">
        <f t="shared" si="34"/>
      </c>
      <c r="C4472" s="40">
        <f>IF(Inputs!$C$60,Inputs!$C$11+(B4472-Inputs!$C$69)/Inputs!$C$70,"")</f>
      </c>
      <c r="D4472" s="15"/>
      <c r="E4472" s="15"/>
      <c r="F4472" s="11">
        <f t="shared" si="35"/>
      </c>
      <c r="G4472" s="22" cm="1">
        <f t="array" ref="G4472">IF(AND(Inputs!$C$60,Inputs!$C$61),INDEX(Utility_Rates!$C$29:$F$52,HOUR(C4472)+Inputs!$C$69,MATCH(INDEX(Utility_Rates!$K$6:$K$17,MONTH(C4472))&amp;IF(WEEKDAY(C4472,Inputs!$C$76)&lt;=Inputs!$C$74," weekday"," weekend"),Utility_Rates!$C$28:$F$28,Inputs!$C$68)),"")</f>
      </c>
      <c r="H4472" s="34"/>
      <c r="I4472" s="42">
        <f>IF(AND(ISNUMBER(D4472),ISNUMBER(H4472)),D4472*H4472*Inputs!$C$69,"")</f>
      </c>
      <c r="J4472" s="42">
        <f>IF(AND(ISNUMBER(F4472),ISNUMBER(H4472),F4472&gt;=Inputs!$C$68),F4472*H4472*Inputs!$C$69,"")</f>
      </c>
    </row>
    <row r="4473" spans="2:10" ht="15" customHeight="1" x14ac:dyDescent="0.2">
      <c r="B4473" s="39">
        <f t="shared" si="34"/>
      </c>
      <c r="C4473" s="40">
        <f>IF(Inputs!$C$60,Inputs!$C$11+(B4473-Inputs!$C$69)/Inputs!$C$70,"")</f>
      </c>
      <c r="D4473" s="15"/>
      <c r="E4473" s="15"/>
      <c r="F4473" s="11">
        <f t="shared" si="35"/>
      </c>
      <c r="G4473" s="22" cm="1">
        <f t="array" ref="G4473">IF(AND(Inputs!$C$60,Inputs!$C$61),INDEX(Utility_Rates!$C$29:$F$52,HOUR(C4473)+Inputs!$C$69,MATCH(INDEX(Utility_Rates!$K$6:$K$17,MONTH(C4473))&amp;IF(WEEKDAY(C4473,Inputs!$C$76)&lt;=Inputs!$C$74," weekday"," weekend"),Utility_Rates!$C$28:$F$28,Inputs!$C$68)),"")</f>
      </c>
      <c r="H4473" s="34"/>
      <c r="I4473" s="42">
        <f>IF(AND(ISNUMBER(D4473),ISNUMBER(H4473)),D4473*H4473*Inputs!$C$69,"")</f>
      </c>
      <c r="J4473" s="42">
        <f>IF(AND(ISNUMBER(F4473),ISNUMBER(H4473),F4473&gt;=Inputs!$C$68),F4473*H4473*Inputs!$C$69,"")</f>
      </c>
    </row>
    <row r="4474" spans="2:10" ht="15" customHeight="1" x14ac:dyDescent="0.2">
      <c r="B4474" s="39">
        <f t="shared" si="34"/>
      </c>
      <c r="C4474" s="40">
        <f>IF(Inputs!$C$60,Inputs!$C$11+(B4474-Inputs!$C$69)/Inputs!$C$70,"")</f>
      </c>
      <c r="D4474" s="15"/>
      <c r="E4474" s="15"/>
      <c r="F4474" s="11">
        <f t="shared" si="35"/>
      </c>
      <c r="G4474" s="22" cm="1">
        <f t="array" ref="G4474">IF(AND(Inputs!$C$60,Inputs!$C$61),INDEX(Utility_Rates!$C$29:$F$52,HOUR(C4474)+Inputs!$C$69,MATCH(INDEX(Utility_Rates!$K$6:$K$17,MONTH(C4474))&amp;IF(WEEKDAY(C4474,Inputs!$C$76)&lt;=Inputs!$C$74," weekday"," weekend"),Utility_Rates!$C$28:$F$28,Inputs!$C$68)),"")</f>
      </c>
      <c r="H4474" s="34"/>
      <c r="I4474" s="42">
        <f>IF(AND(ISNUMBER(D4474),ISNUMBER(H4474)),D4474*H4474*Inputs!$C$69,"")</f>
      </c>
      <c r="J4474" s="42">
        <f>IF(AND(ISNUMBER(F4474),ISNUMBER(H4474),F4474&gt;=Inputs!$C$68),F4474*H4474*Inputs!$C$69,"")</f>
      </c>
    </row>
    <row r="4475" spans="2:10" ht="15" customHeight="1" x14ac:dyDescent="0.2">
      <c r="B4475" s="39">
        <f t="shared" si="34"/>
      </c>
      <c r="C4475" s="40">
        <f>IF(Inputs!$C$60,Inputs!$C$11+(B4475-Inputs!$C$69)/Inputs!$C$70,"")</f>
      </c>
      <c r="D4475" s="15"/>
      <c r="E4475" s="15"/>
      <c r="F4475" s="11">
        <f t="shared" si="35"/>
      </c>
      <c r="G4475" s="22" cm="1">
        <f t="array" ref="G4475">IF(AND(Inputs!$C$60,Inputs!$C$61),INDEX(Utility_Rates!$C$29:$F$52,HOUR(C4475)+Inputs!$C$69,MATCH(INDEX(Utility_Rates!$K$6:$K$17,MONTH(C4475))&amp;IF(WEEKDAY(C4475,Inputs!$C$76)&lt;=Inputs!$C$74," weekday"," weekend"),Utility_Rates!$C$28:$F$28,Inputs!$C$68)),"")</f>
      </c>
      <c r="H4475" s="34"/>
      <c r="I4475" s="42">
        <f>IF(AND(ISNUMBER(D4475),ISNUMBER(H4475)),D4475*H4475*Inputs!$C$69,"")</f>
      </c>
      <c r="J4475" s="42">
        <f>IF(AND(ISNUMBER(F4475),ISNUMBER(H4475),F4475&gt;=Inputs!$C$68),F4475*H4475*Inputs!$C$69,"")</f>
      </c>
    </row>
    <row r="4476" spans="2:10" ht="15" customHeight="1" x14ac:dyDescent="0.2">
      <c r="B4476" s="39">
        <f t="shared" si="34"/>
      </c>
      <c r="C4476" s="40">
        <f>IF(Inputs!$C$60,Inputs!$C$11+(B4476-Inputs!$C$69)/Inputs!$C$70,"")</f>
      </c>
      <c r="D4476" s="15"/>
      <c r="E4476" s="15"/>
      <c r="F4476" s="11">
        <f t="shared" si="35"/>
      </c>
      <c r="G4476" s="22" cm="1">
        <f t="array" ref="G4476">IF(AND(Inputs!$C$60,Inputs!$C$61),INDEX(Utility_Rates!$C$29:$F$52,HOUR(C4476)+Inputs!$C$69,MATCH(INDEX(Utility_Rates!$K$6:$K$17,MONTH(C4476))&amp;IF(WEEKDAY(C4476,Inputs!$C$76)&lt;=Inputs!$C$74," weekday"," weekend"),Utility_Rates!$C$28:$F$28,Inputs!$C$68)),"")</f>
      </c>
      <c r="H4476" s="34"/>
      <c r="I4476" s="42">
        <f>IF(AND(ISNUMBER(D4476),ISNUMBER(H4476)),D4476*H4476*Inputs!$C$69,"")</f>
      </c>
      <c r="J4476" s="42">
        <f>IF(AND(ISNUMBER(F4476),ISNUMBER(H4476),F4476&gt;=Inputs!$C$68),F4476*H4476*Inputs!$C$69,"")</f>
      </c>
    </row>
    <row r="4477" spans="2:10" ht="15" customHeight="1" x14ac:dyDescent="0.2">
      <c r="B4477" s="39">
        <f t="shared" si="34"/>
      </c>
      <c r="C4477" s="40">
        <f>IF(Inputs!$C$60,Inputs!$C$11+(B4477-Inputs!$C$69)/Inputs!$C$70,"")</f>
      </c>
      <c r="D4477" s="15"/>
      <c r="E4477" s="15"/>
      <c r="F4477" s="11">
        <f t="shared" si="35"/>
      </c>
      <c r="G4477" s="22" cm="1">
        <f t="array" ref="G4477">IF(AND(Inputs!$C$60,Inputs!$C$61),INDEX(Utility_Rates!$C$29:$F$52,HOUR(C4477)+Inputs!$C$69,MATCH(INDEX(Utility_Rates!$K$6:$K$17,MONTH(C4477))&amp;IF(WEEKDAY(C4477,Inputs!$C$76)&lt;=Inputs!$C$74," weekday"," weekend"),Utility_Rates!$C$28:$F$28,Inputs!$C$68)),"")</f>
      </c>
      <c r="H4477" s="34"/>
      <c r="I4477" s="42">
        <f>IF(AND(ISNUMBER(D4477),ISNUMBER(H4477)),D4477*H4477*Inputs!$C$69,"")</f>
      </c>
      <c r="J4477" s="42">
        <f>IF(AND(ISNUMBER(F4477),ISNUMBER(H4477),F4477&gt;=Inputs!$C$68),F4477*H4477*Inputs!$C$69,"")</f>
      </c>
    </row>
    <row r="4478" spans="2:10" ht="15" customHeight="1" x14ac:dyDescent="0.2">
      <c r="B4478" s="39">
        <f t="shared" si="34"/>
      </c>
      <c r="C4478" s="40">
        <f>IF(Inputs!$C$60,Inputs!$C$11+(B4478-Inputs!$C$69)/Inputs!$C$70,"")</f>
      </c>
      <c r="D4478" s="15"/>
      <c r="E4478" s="15"/>
      <c r="F4478" s="11">
        <f t="shared" si="35"/>
      </c>
      <c r="G4478" s="22" cm="1">
        <f t="array" ref="G4478">IF(AND(Inputs!$C$60,Inputs!$C$61),INDEX(Utility_Rates!$C$29:$F$52,HOUR(C4478)+Inputs!$C$69,MATCH(INDEX(Utility_Rates!$K$6:$K$17,MONTH(C4478))&amp;IF(WEEKDAY(C4478,Inputs!$C$76)&lt;=Inputs!$C$74," weekday"," weekend"),Utility_Rates!$C$28:$F$28,Inputs!$C$68)),"")</f>
      </c>
      <c r="H4478" s="34"/>
      <c r="I4478" s="42">
        <f>IF(AND(ISNUMBER(D4478),ISNUMBER(H4478)),D4478*H4478*Inputs!$C$69,"")</f>
      </c>
      <c r="J4478" s="42">
        <f>IF(AND(ISNUMBER(F4478),ISNUMBER(H4478),F4478&gt;=Inputs!$C$68),F4478*H4478*Inputs!$C$69,"")</f>
      </c>
    </row>
    <row r="4479" spans="2:10" ht="15" customHeight="1" x14ac:dyDescent="0.2">
      <c r="B4479" s="39">
        <f t="shared" si="34"/>
      </c>
      <c r="C4479" s="40">
        <f>IF(Inputs!$C$60,Inputs!$C$11+(B4479-Inputs!$C$69)/Inputs!$C$70,"")</f>
      </c>
      <c r="D4479" s="15"/>
      <c r="E4479" s="15"/>
      <c r="F4479" s="11">
        <f t="shared" si="35"/>
      </c>
      <c r="G4479" s="22" cm="1">
        <f t="array" ref="G4479">IF(AND(Inputs!$C$60,Inputs!$C$61),INDEX(Utility_Rates!$C$29:$F$52,HOUR(C4479)+Inputs!$C$69,MATCH(INDEX(Utility_Rates!$K$6:$K$17,MONTH(C4479))&amp;IF(WEEKDAY(C4479,Inputs!$C$76)&lt;=Inputs!$C$74," weekday"," weekend"),Utility_Rates!$C$28:$F$28,Inputs!$C$68)),"")</f>
      </c>
      <c r="H4479" s="34"/>
      <c r="I4479" s="42">
        <f>IF(AND(ISNUMBER(D4479),ISNUMBER(H4479)),D4479*H4479*Inputs!$C$69,"")</f>
      </c>
      <c r="J4479" s="42">
        <f>IF(AND(ISNUMBER(F4479),ISNUMBER(H4479),F4479&gt;=Inputs!$C$68),F4479*H4479*Inputs!$C$69,"")</f>
      </c>
    </row>
    <row r="4480" spans="2:10" ht="15" customHeight="1" x14ac:dyDescent="0.2">
      <c r="B4480" s="39">
        <f t="shared" si="34"/>
      </c>
      <c r="C4480" s="40">
        <f>IF(Inputs!$C$60,Inputs!$C$11+(B4480-Inputs!$C$69)/Inputs!$C$70,"")</f>
      </c>
      <c r="D4480" s="15"/>
      <c r="E4480" s="15"/>
      <c r="F4480" s="11">
        <f t="shared" si="35"/>
      </c>
      <c r="G4480" s="22" cm="1">
        <f t="array" ref="G4480">IF(AND(Inputs!$C$60,Inputs!$C$61),INDEX(Utility_Rates!$C$29:$F$52,HOUR(C4480)+Inputs!$C$69,MATCH(INDEX(Utility_Rates!$K$6:$K$17,MONTH(C4480))&amp;IF(WEEKDAY(C4480,Inputs!$C$76)&lt;=Inputs!$C$74," weekday"," weekend"),Utility_Rates!$C$28:$F$28,Inputs!$C$68)),"")</f>
      </c>
      <c r="H4480" s="34"/>
      <c r="I4480" s="42">
        <f>IF(AND(ISNUMBER(D4480),ISNUMBER(H4480)),D4480*H4480*Inputs!$C$69,"")</f>
      </c>
      <c r="J4480" s="42">
        <f>IF(AND(ISNUMBER(F4480),ISNUMBER(H4480),F4480&gt;=Inputs!$C$68),F4480*H4480*Inputs!$C$69,"")</f>
      </c>
    </row>
    <row r="4481" spans="2:10" ht="15" customHeight="1" x14ac:dyDescent="0.2">
      <c r="B4481" s="39">
        <f t="shared" si="34"/>
      </c>
      <c r="C4481" s="40">
        <f>IF(Inputs!$C$60,Inputs!$C$11+(B4481-Inputs!$C$69)/Inputs!$C$70,"")</f>
      </c>
      <c r="D4481" s="15"/>
      <c r="E4481" s="15"/>
      <c r="F4481" s="11">
        <f t="shared" si="35"/>
      </c>
      <c r="G4481" s="22" cm="1">
        <f t="array" ref="G4481">IF(AND(Inputs!$C$60,Inputs!$C$61),INDEX(Utility_Rates!$C$29:$F$52,HOUR(C4481)+Inputs!$C$69,MATCH(INDEX(Utility_Rates!$K$6:$K$17,MONTH(C4481))&amp;IF(WEEKDAY(C4481,Inputs!$C$76)&lt;=Inputs!$C$74," weekday"," weekend"),Utility_Rates!$C$28:$F$28,Inputs!$C$68)),"")</f>
      </c>
      <c r="H4481" s="34"/>
      <c r="I4481" s="42">
        <f>IF(AND(ISNUMBER(D4481),ISNUMBER(H4481)),D4481*H4481*Inputs!$C$69,"")</f>
      </c>
      <c r="J4481" s="42">
        <f>IF(AND(ISNUMBER(F4481),ISNUMBER(H4481),F4481&gt;=Inputs!$C$68),F4481*H4481*Inputs!$C$69,"")</f>
      </c>
    </row>
    <row r="4482" spans="2:10" ht="15" customHeight="1" x14ac:dyDescent="0.2">
      <c r="B4482" s="39">
        <f t="shared" si="34"/>
      </c>
      <c r="C4482" s="40">
        <f>IF(Inputs!$C$60,Inputs!$C$11+(B4482-Inputs!$C$69)/Inputs!$C$70,"")</f>
      </c>
      <c r="D4482" s="15"/>
      <c r="E4482" s="15"/>
      <c r="F4482" s="11">
        <f t="shared" si="35"/>
      </c>
      <c r="G4482" s="22" cm="1">
        <f t="array" ref="G4482">IF(AND(Inputs!$C$60,Inputs!$C$61),INDEX(Utility_Rates!$C$29:$F$52,HOUR(C4482)+Inputs!$C$69,MATCH(INDEX(Utility_Rates!$K$6:$K$17,MONTH(C4482))&amp;IF(WEEKDAY(C4482,Inputs!$C$76)&lt;=Inputs!$C$74," weekday"," weekend"),Utility_Rates!$C$28:$F$28,Inputs!$C$68)),"")</f>
      </c>
      <c r="H4482" s="34"/>
      <c r="I4482" s="42">
        <f>IF(AND(ISNUMBER(D4482),ISNUMBER(H4482)),D4482*H4482*Inputs!$C$69,"")</f>
      </c>
      <c r="J4482" s="42">
        <f>IF(AND(ISNUMBER(F4482),ISNUMBER(H4482),F4482&gt;=Inputs!$C$68),F4482*H4482*Inputs!$C$69,"")</f>
      </c>
    </row>
    <row r="4483" spans="2:10" ht="15" customHeight="1" x14ac:dyDescent="0.2">
      <c r="B4483" s="39">
        <f t="shared" si="34"/>
      </c>
      <c r="C4483" s="40">
        <f>IF(Inputs!$C$60,Inputs!$C$11+(B4483-Inputs!$C$69)/Inputs!$C$70,"")</f>
      </c>
      <c r="D4483" s="15"/>
      <c r="E4483" s="15"/>
      <c r="F4483" s="11">
        <f t="shared" si="35"/>
      </c>
      <c r="G4483" s="22" cm="1">
        <f t="array" ref="G4483">IF(AND(Inputs!$C$60,Inputs!$C$61),INDEX(Utility_Rates!$C$29:$F$52,HOUR(C4483)+Inputs!$C$69,MATCH(INDEX(Utility_Rates!$K$6:$K$17,MONTH(C4483))&amp;IF(WEEKDAY(C4483,Inputs!$C$76)&lt;=Inputs!$C$74," weekday"," weekend"),Utility_Rates!$C$28:$F$28,Inputs!$C$68)),"")</f>
      </c>
      <c r="H4483" s="34"/>
      <c r="I4483" s="42">
        <f>IF(AND(ISNUMBER(D4483),ISNUMBER(H4483)),D4483*H4483*Inputs!$C$69,"")</f>
      </c>
      <c r="J4483" s="42">
        <f>IF(AND(ISNUMBER(F4483),ISNUMBER(H4483),F4483&gt;=Inputs!$C$68),F4483*H4483*Inputs!$C$69,"")</f>
      </c>
    </row>
    <row r="4484" spans="2:10" ht="15" customHeight="1" x14ac:dyDescent="0.2">
      <c r="B4484" s="39">
        <f t="shared" si="34"/>
      </c>
      <c r="C4484" s="40">
        <f>IF(Inputs!$C$60,Inputs!$C$11+(B4484-Inputs!$C$69)/Inputs!$C$70,"")</f>
      </c>
      <c r="D4484" s="15"/>
      <c r="E4484" s="15"/>
      <c r="F4484" s="11">
        <f t="shared" si="35"/>
      </c>
      <c r="G4484" s="22" cm="1">
        <f t="array" ref="G4484">IF(AND(Inputs!$C$60,Inputs!$C$61),INDEX(Utility_Rates!$C$29:$F$52,HOUR(C4484)+Inputs!$C$69,MATCH(INDEX(Utility_Rates!$K$6:$K$17,MONTH(C4484))&amp;IF(WEEKDAY(C4484,Inputs!$C$76)&lt;=Inputs!$C$74," weekday"," weekend"),Utility_Rates!$C$28:$F$28,Inputs!$C$68)),"")</f>
      </c>
      <c r="H4484" s="34"/>
      <c r="I4484" s="42">
        <f>IF(AND(ISNUMBER(D4484),ISNUMBER(H4484)),D4484*H4484*Inputs!$C$69,"")</f>
      </c>
      <c r="J4484" s="42">
        <f>IF(AND(ISNUMBER(F4484),ISNUMBER(H4484),F4484&gt;=Inputs!$C$68),F4484*H4484*Inputs!$C$69,"")</f>
      </c>
    </row>
    <row r="4485" spans="2:10" ht="15" customHeight="1" x14ac:dyDescent="0.2">
      <c r="B4485" s="39">
        <f t="shared" si="34"/>
      </c>
      <c r="C4485" s="40">
        <f>IF(Inputs!$C$60,Inputs!$C$11+(B4485-Inputs!$C$69)/Inputs!$C$70,"")</f>
      </c>
      <c r="D4485" s="15"/>
      <c r="E4485" s="15"/>
      <c r="F4485" s="11">
        <f t="shared" si="35"/>
      </c>
      <c r="G4485" s="22" cm="1">
        <f t="array" ref="G4485">IF(AND(Inputs!$C$60,Inputs!$C$61),INDEX(Utility_Rates!$C$29:$F$52,HOUR(C4485)+Inputs!$C$69,MATCH(INDEX(Utility_Rates!$K$6:$K$17,MONTH(C4485))&amp;IF(WEEKDAY(C4485,Inputs!$C$76)&lt;=Inputs!$C$74," weekday"," weekend"),Utility_Rates!$C$28:$F$28,Inputs!$C$68)),"")</f>
      </c>
      <c r="H4485" s="34"/>
      <c r="I4485" s="42">
        <f>IF(AND(ISNUMBER(D4485),ISNUMBER(H4485)),D4485*H4485*Inputs!$C$69,"")</f>
      </c>
      <c r="J4485" s="42">
        <f>IF(AND(ISNUMBER(F4485),ISNUMBER(H4485),F4485&gt;=Inputs!$C$68),F4485*H4485*Inputs!$C$69,"")</f>
      </c>
    </row>
    <row r="4486" spans="2:10" ht="15" customHeight="1" x14ac:dyDescent="0.2">
      <c r="B4486" s="39">
        <f t="shared" si="34"/>
      </c>
      <c r="C4486" s="40">
        <f>IF(Inputs!$C$60,Inputs!$C$11+(B4486-Inputs!$C$69)/Inputs!$C$70,"")</f>
      </c>
      <c r="D4486" s="15"/>
      <c r="E4486" s="15"/>
      <c r="F4486" s="11">
        <f t="shared" si="35"/>
      </c>
      <c r="G4486" s="22" cm="1">
        <f t="array" ref="G4486">IF(AND(Inputs!$C$60,Inputs!$C$61),INDEX(Utility_Rates!$C$29:$F$52,HOUR(C4486)+Inputs!$C$69,MATCH(INDEX(Utility_Rates!$K$6:$K$17,MONTH(C4486))&amp;IF(WEEKDAY(C4486,Inputs!$C$76)&lt;=Inputs!$C$74," weekday"," weekend"),Utility_Rates!$C$28:$F$28,Inputs!$C$68)),"")</f>
      </c>
      <c r="H4486" s="34"/>
      <c r="I4486" s="42">
        <f>IF(AND(ISNUMBER(D4486),ISNUMBER(H4486)),D4486*H4486*Inputs!$C$69,"")</f>
      </c>
      <c r="J4486" s="42">
        <f>IF(AND(ISNUMBER(F4486),ISNUMBER(H4486),F4486&gt;=Inputs!$C$68),F4486*H4486*Inputs!$C$69,"")</f>
      </c>
    </row>
    <row r="4487" spans="2:10" ht="15" customHeight="1" x14ac:dyDescent="0.2">
      <c r="B4487" s="39">
        <f t="shared" si="34"/>
      </c>
      <c r="C4487" s="40">
        <f>IF(Inputs!$C$60,Inputs!$C$11+(B4487-Inputs!$C$69)/Inputs!$C$70,"")</f>
      </c>
      <c r="D4487" s="15"/>
      <c r="E4487" s="15"/>
      <c r="F4487" s="11">
        <f t="shared" si="35"/>
      </c>
      <c r="G4487" s="22" cm="1">
        <f t="array" ref="G4487">IF(AND(Inputs!$C$60,Inputs!$C$61),INDEX(Utility_Rates!$C$29:$F$52,HOUR(C4487)+Inputs!$C$69,MATCH(INDEX(Utility_Rates!$K$6:$K$17,MONTH(C4487))&amp;IF(WEEKDAY(C4487,Inputs!$C$76)&lt;=Inputs!$C$74," weekday"," weekend"),Utility_Rates!$C$28:$F$28,Inputs!$C$68)),"")</f>
      </c>
      <c r="H4487" s="34"/>
      <c r="I4487" s="42">
        <f>IF(AND(ISNUMBER(D4487),ISNUMBER(H4487)),D4487*H4487*Inputs!$C$69,"")</f>
      </c>
      <c r="J4487" s="42">
        <f>IF(AND(ISNUMBER(F4487),ISNUMBER(H4487),F4487&gt;=Inputs!$C$68),F4487*H4487*Inputs!$C$69,"")</f>
      </c>
    </row>
    <row r="4488" spans="2:10" ht="15" customHeight="1" x14ac:dyDescent="0.2">
      <c r="B4488" s="39">
        <f t="shared" si="34"/>
      </c>
      <c r="C4488" s="40">
        <f>IF(Inputs!$C$60,Inputs!$C$11+(B4488-Inputs!$C$69)/Inputs!$C$70,"")</f>
      </c>
      <c r="D4488" s="15"/>
      <c r="E4488" s="15"/>
      <c r="F4488" s="11">
        <f t="shared" si="35"/>
      </c>
      <c r="G4488" s="22" cm="1">
        <f t="array" ref="G4488">IF(AND(Inputs!$C$60,Inputs!$C$61),INDEX(Utility_Rates!$C$29:$F$52,HOUR(C4488)+Inputs!$C$69,MATCH(INDEX(Utility_Rates!$K$6:$K$17,MONTH(C4488))&amp;IF(WEEKDAY(C4488,Inputs!$C$76)&lt;=Inputs!$C$74," weekday"," weekend"),Utility_Rates!$C$28:$F$28,Inputs!$C$68)),"")</f>
      </c>
      <c r="H4488" s="34"/>
      <c r="I4488" s="42">
        <f>IF(AND(ISNUMBER(D4488),ISNUMBER(H4488)),D4488*H4488*Inputs!$C$69,"")</f>
      </c>
      <c r="J4488" s="42">
        <f>IF(AND(ISNUMBER(F4488),ISNUMBER(H4488),F4488&gt;=Inputs!$C$68),F4488*H4488*Inputs!$C$69,"")</f>
      </c>
    </row>
    <row r="4489" spans="2:10" ht="15" customHeight="1" x14ac:dyDescent="0.2">
      <c r="B4489" s="39">
        <f t="shared" si="34"/>
      </c>
      <c r="C4489" s="40">
        <f>IF(Inputs!$C$60,Inputs!$C$11+(B4489-Inputs!$C$69)/Inputs!$C$70,"")</f>
      </c>
      <c r="D4489" s="15"/>
      <c r="E4489" s="15"/>
      <c r="F4489" s="11">
        <f t="shared" si="35"/>
      </c>
      <c r="G4489" s="22" cm="1">
        <f t="array" ref="G4489">IF(AND(Inputs!$C$60,Inputs!$C$61),INDEX(Utility_Rates!$C$29:$F$52,HOUR(C4489)+Inputs!$C$69,MATCH(INDEX(Utility_Rates!$K$6:$K$17,MONTH(C4489))&amp;IF(WEEKDAY(C4489,Inputs!$C$76)&lt;=Inputs!$C$74," weekday"," weekend"),Utility_Rates!$C$28:$F$28,Inputs!$C$68)),"")</f>
      </c>
      <c r="H4489" s="34"/>
      <c r="I4489" s="42">
        <f>IF(AND(ISNUMBER(D4489),ISNUMBER(H4489)),D4489*H4489*Inputs!$C$69,"")</f>
      </c>
      <c r="J4489" s="42">
        <f>IF(AND(ISNUMBER(F4489),ISNUMBER(H4489),F4489&gt;=Inputs!$C$68),F4489*H4489*Inputs!$C$69,"")</f>
      </c>
    </row>
    <row r="4490" spans="2:10" ht="15" customHeight="1" x14ac:dyDescent="0.2">
      <c r="B4490" s="39">
        <f t="shared" si="34"/>
      </c>
      <c r="C4490" s="40">
        <f>IF(Inputs!$C$60,Inputs!$C$11+(B4490-Inputs!$C$69)/Inputs!$C$70,"")</f>
      </c>
      <c r="D4490" s="15"/>
      <c r="E4490" s="15"/>
      <c r="F4490" s="11">
        <f t="shared" si="35"/>
      </c>
      <c r="G4490" s="22" cm="1">
        <f t="array" ref="G4490">IF(AND(Inputs!$C$60,Inputs!$C$61),INDEX(Utility_Rates!$C$29:$F$52,HOUR(C4490)+Inputs!$C$69,MATCH(INDEX(Utility_Rates!$K$6:$K$17,MONTH(C4490))&amp;IF(WEEKDAY(C4490,Inputs!$C$76)&lt;=Inputs!$C$74," weekday"," weekend"),Utility_Rates!$C$28:$F$28,Inputs!$C$68)),"")</f>
      </c>
      <c r="H4490" s="34"/>
      <c r="I4490" s="42">
        <f>IF(AND(ISNUMBER(D4490),ISNUMBER(H4490)),D4490*H4490*Inputs!$C$69,"")</f>
      </c>
      <c r="J4490" s="42">
        <f>IF(AND(ISNUMBER(F4490),ISNUMBER(H4490),F4490&gt;=Inputs!$C$68),F4490*H4490*Inputs!$C$69,"")</f>
      </c>
    </row>
    <row r="4491" spans="2:10" ht="15" customHeight="1" x14ac:dyDescent="0.2">
      <c r="B4491" s="39">
        <f t="shared" si="34"/>
      </c>
      <c r="C4491" s="40">
        <f>IF(Inputs!$C$60,Inputs!$C$11+(B4491-Inputs!$C$69)/Inputs!$C$70,"")</f>
      </c>
      <c r="D4491" s="15"/>
      <c r="E4491" s="15"/>
      <c r="F4491" s="11">
        <f t="shared" si="35"/>
      </c>
      <c r="G4491" s="22" cm="1">
        <f t="array" ref="G4491">IF(AND(Inputs!$C$60,Inputs!$C$61),INDEX(Utility_Rates!$C$29:$F$52,HOUR(C4491)+Inputs!$C$69,MATCH(INDEX(Utility_Rates!$K$6:$K$17,MONTH(C4491))&amp;IF(WEEKDAY(C4491,Inputs!$C$76)&lt;=Inputs!$C$74," weekday"," weekend"),Utility_Rates!$C$28:$F$28,Inputs!$C$68)),"")</f>
      </c>
      <c r="H4491" s="34"/>
      <c r="I4491" s="42">
        <f>IF(AND(ISNUMBER(D4491),ISNUMBER(H4491)),D4491*H4491*Inputs!$C$69,"")</f>
      </c>
      <c r="J4491" s="42">
        <f>IF(AND(ISNUMBER(F4491),ISNUMBER(H4491),F4491&gt;=Inputs!$C$68),F4491*H4491*Inputs!$C$69,"")</f>
      </c>
    </row>
    <row r="4492" spans="2:10" ht="15" customHeight="1" x14ac:dyDescent="0.2">
      <c r="B4492" s="39">
        <f t="shared" si="34"/>
      </c>
      <c r="C4492" s="40">
        <f>IF(Inputs!$C$60,Inputs!$C$11+(B4492-Inputs!$C$69)/Inputs!$C$70,"")</f>
      </c>
      <c r="D4492" s="15"/>
      <c r="E4492" s="15"/>
      <c r="F4492" s="11">
        <f t="shared" si="35"/>
      </c>
      <c r="G4492" s="22" cm="1">
        <f t="array" ref="G4492">IF(AND(Inputs!$C$60,Inputs!$C$61),INDEX(Utility_Rates!$C$29:$F$52,HOUR(C4492)+Inputs!$C$69,MATCH(INDEX(Utility_Rates!$K$6:$K$17,MONTH(C4492))&amp;IF(WEEKDAY(C4492,Inputs!$C$76)&lt;=Inputs!$C$74," weekday"," weekend"),Utility_Rates!$C$28:$F$28,Inputs!$C$68)),"")</f>
      </c>
      <c r="H4492" s="34"/>
      <c r="I4492" s="42">
        <f>IF(AND(ISNUMBER(D4492),ISNUMBER(H4492)),D4492*H4492*Inputs!$C$69,"")</f>
      </c>
      <c r="J4492" s="42">
        <f>IF(AND(ISNUMBER(F4492),ISNUMBER(H4492),F4492&gt;=Inputs!$C$68),F4492*H4492*Inputs!$C$69,"")</f>
      </c>
    </row>
    <row r="4493" spans="2:10" ht="15" customHeight="1" x14ac:dyDescent="0.2">
      <c r="B4493" s="39">
        <f t="shared" si="34"/>
      </c>
      <c r="C4493" s="40">
        <f>IF(Inputs!$C$60,Inputs!$C$11+(B4493-Inputs!$C$69)/Inputs!$C$70,"")</f>
      </c>
      <c r="D4493" s="15"/>
      <c r="E4493" s="15"/>
      <c r="F4493" s="11">
        <f t="shared" si="35"/>
      </c>
      <c r="G4493" s="22" cm="1">
        <f t="array" ref="G4493">IF(AND(Inputs!$C$60,Inputs!$C$61),INDEX(Utility_Rates!$C$29:$F$52,HOUR(C4493)+Inputs!$C$69,MATCH(INDEX(Utility_Rates!$K$6:$K$17,MONTH(C4493))&amp;IF(WEEKDAY(C4493,Inputs!$C$76)&lt;=Inputs!$C$74," weekday"," weekend"),Utility_Rates!$C$28:$F$28,Inputs!$C$68)),"")</f>
      </c>
      <c r="H4493" s="34"/>
      <c r="I4493" s="42">
        <f>IF(AND(ISNUMBER(D4493),ISNUMBER(H4493)),D4493*H4493*Inputs!$C$69,"")</f>
      </c>
      <c r="J4493" s="42">
        <f>IF(AND(ISNUMBER(F4493),ISNUMBER(H4493),F4493&gt;=Inputs!$C$68),F4493*H4493*Inputs!$C$69,"")</f>
      </c>
    </row>
    <row r="4494" spans="2:10" ht="15" customHeight="1" x14ac:dyDescent="0.2">
      <c r="B4494" s="39">
        <f t="shared" si="34"/>
      </c>
      <c r="C4494" s="40">
        <f>IF(Inputs!$C$60,Inputs!$C$11+(B4494-Inputs!$C$69)/Inputs!$C$70,"")</f>
      </c>
      <c r="D4494" s="15"/>
      <c r="E4494" s="15"/>
      <c r="F4494" s="11">
        <f t="shared" si="35"/>
      </c>
      <c r="G4494" s="22" cm="1">
        <f t="array" ref="G4494">IF(AND(Inputs!$C$60,Inputs!$C$61),INDEX(Utility_Rates!$C$29:$F$52,HOUR(C4494)+Inputs!$C$69,MATCH(INDEX(Utility_Rates!$K$6:$K$17,MONTH(C4494))&amp;IF(WEEKDAY(C4494,Inputs!$C$76)&lt;=Inputs!$C$74," weekday"," weekend"),Utility_Rates!$C$28:$F$28,Inputs!$C$68)),"")</f>
      </c>
      <c r="H4494" s="34"/>
      <c r="I4494" s="42">
        <f>IF(AND(ISNUMBER(D4494),ISNUMBER(H4494)),D4494*H4494*Inputs!$C$69,"")</f>
      </c>
      <c r="J4494" s="42">
        <f>IF(AND(ISNUMBER(F4494),ISNUMBER(H4494),F4494&gt;=Inputs!$C$68),F4494*H4494*Inputs!$C$69,"")</f>
      </c>
    </row>
    <row r="4495" spans="2:10" ht="15" customHeight="1" x14ac:dyDescent="0.2">
      <c r="B4495" s="39">
        <f t="shared" si="34"/>
      </c>
      <c r="C4495" s="40">
        <f>IF(Inputs!$C$60,Inputs!$C$11+(B4495-Inputs!$C$69)/Inputs!$C$70,"")</f>
      </c>
      <c r="D4495" s="15"/>
      <c r="E4495" s="15"/>
      <c r="F4495" s="11">
        <f t="shared" si="35"/>
      </c>
      <c r="G4495" s="22" cm="1">
        <f t="array" ref="G4495">IF(AND(Inputs!$C$60,Inputs!$C$61),INDEX(Utility_Rates!$C$29:$F$52,HOUR(C4495)+Inputs!$C$69,MATCH(INDEX(Utility_Rates!$K$6:$K$17,MONTH(C4495))&amp;IF(WEEKDAY(C4495,Inputs!$C$76)&lt;=Inputs!$C$74," weekday"," weekend"),Utility_Rates!$C$28:$F$28,Inputs!$C$68)),"")</f>
      </c>
      <c r="H4495" s="34"/>
      <c r="I4495" s="42">
        <f>IF(AND(ISNUMBER(D4495),ISNUMBER(H4495)),D4495*H4495*Inputs!$C$69,"")</f>
      </c>
      <c r="J4495" s="42">
        <f>IF(AND(ISNUMBER(F4495),ISNUMBER(H4495),F4495&gt;=Inputs!$C$68),F4495*H4495*Inputs!$C$69,"")</f>
      </c>
    </row>
    <row r="4496" spans="2:10" ht="15" customHeight="1" x14ac:dyDescent="0.2">
      <c r="B4496" s="39">
        <f t="shared" si="34"/>
      </c>
      <c r="C4496" s="40">
        <f>IF(Inputs!$C$60,Inputs!$C$11+(B4496-Inputs!$C$69)/Inputs!$C$70,"")</f>
      </c>
      <c r="D4496" s="15"/>
      <c r="E4496" s="15"/>
      <c r="F4496" s="11">
        <f t="shared" si="35"/>
      </c>
      <c r="G4496" s="22" cm="1">
        <f t="array" ref="G4496">IF(AND(Inputs!$C$60,Inputs!$C$61),INDEX(Utility_Rates!$C$29:$F$52,HOUR(C4496)+Inputs!$C$69,MATCH(INDEX(Utility_Rates!$K$6:$K$17,MONTH(C4496))&amp;IF(WEEKDAY(C4496,Inputs!$C$76)&lt;=Inputs!$C$74," weekday"," weekend"),Utility_Rates!$C$28:$F$28,Inputs!$C$68)),"")</f>
      </c>
      <c r="H4496" s="34"/>
      <c r="I4496" s="42">
        <f>IF(AND(ISNUMBER(D4496),ISNUMBER(H4496)),D4496*H4496*Inputs!$C$69,"")</f>
      </c>
      <c r="J4496" s="42">
        <f>IF(AND(ISNUMBER(F4496),ISNUMBER(H4496),F4496&gt;=Inputs!$C$68),F4496*H4496*Inputs!$C$69,"")</f>
      </c>
    </row>
    <row r="4497" spans="2:10" ht="15" customHeight="1" x14ac:dyDescent="0.2">
      <c r="B4497" s="39">
        <f t="shared" si="34"/>
      </c>
      <c r="C4497" s="40">
        <f>IF(Inputs!$C$60,Inputs!$C$11+(B4497-Inputs!$C$69)/Inputs!$C$70,"")</f>
      </c>
      <c r="D4497" s="15"/>
      <c r="E4497" s="15"/>
      <c r="F4497" s="11">
        <f t="shared" si="35"/>
      </c>
      <c r="G4497" s="22" cm="1">
        <f t="array" ref="G4497">IF(AND(Inputs!$C$60,Inputs!$C$61),INDEX(Utility_Rates!$C$29:$F$52,HOUR(C4497)+Inputs!$C$69,MATCH(INDEX(Utility_Rates!$K$6:$K$17,MONTH(C4497))&amp;IF(WEEKDAY(C4497,Inputs!$C$76)&lt;=Inputs!$C$74," weekday"," weekend"),Utility_Rates!$C$28:$F$28,Inputs!$C$68)),"")</f>
      </c>
      <c r="H4497" s="34"/>
      <c r="I4497" s="42">
        <f>IF(AND(ISNUMBER(D4497),ISNUMBER(H4497)),D4497*H4497*Inputs!$C$69,"")</f>
      </c>
      <c r="J4497" s="42">
        <f>IF(AND(ISNUMBER(F4497),ISNUMBER(H4497),F4497&gt;=Inputs!$C$68),F4497*H4497*Inputs!$C$69,"")</f>
      </c>
    </row>
    <row r="4498" spans="2:10" ht="15" customHeight="1" x14ac:dyDescent="0.2">
      <c r="B4498" s="39">
        <f t="shared" si="34"/>
      </c>
      <c r="C4498" s="40">
        <f>IF(Inputs!$C$60,Inputs!$C$11+(B4498-Inputs!$C$69)/Inputs!$C$70,"")</f>
      </c>
      <c r="D4498" s="15"/>
      <c r="E4498" s="15"/>
      <c r="F4498" s="11">
        <f t="shared" si="35"/>
      </c>
      <c r="G4498" s="22" cm="1">
        <f t="array" ref="G4498">IF(AND(Inputs!$C$60,Inputs!$C$61),INDEX(Utility_Rates!$C$29:$F$52,HOUR(C4498)+Inputs!$C$69,MATCH(INDEX(Utility_Rates!$K$6:$K$17,MONTH(C4498))&amp;IF(WEEKDAY(C4498,Inputs!$C$76)&lt;=Inputs!$C$74," weekday"," weekend"),Utility_Rates!$C$28:$F$28,Inputs!$C$68)),"")</f>
      </c>
      <c r="H4498" s="34"/>
      <c r="I4498" s="42">
        <f>IF(AND(ISNUMBER(D4498),ISNUMBER(H4498)),D4498*H4498*Inputs!$C$69,"")</f>
      </c>
      <c r="J4498" s="42">
        <f>IF(AND(ISNUMBER(F4498),ISNUMBER(H4498),F4498&gt;=Inputs!$C$68),F4498*H4498*Inputs!$C$69,"")</f>
      </c>
    </row>
    <row r="4499" spans="2:10" ht="15" customHeight="1" x14ac:dyDescent="0.2">
      <c r="B4499" s="39">
        <f t="shared" si="34"/>
      </c>
      <c r="C4499" s="40">
        <f>IF(Inputs!$C$60,Inputs!$C$11+(B4499-Inputs!$C$69)/Inputs!$C$70,"")</f>
      </c>
      <c r="D4499" s="15"/>
      <c r="E4499" s="15"/>
      <c r="F4499" s="11">
        <f t="shared" si="35"/>
      </c>
      <c r="G4499" s="22" cm="1">
        <f t="array" ref="G4499">IF(AND(Inputs!$C$60,Inputs!$C$61),INDEX(Utility_Rates!$C$29:$F$52,HOUR(C4499)+Inputs!$C$69,MATCH(INDEX(Utility_Rates!$K$6:$K$17,MONTH(C4499))&amp;IF(WEEKDAY(C4499,Inputs!$C$76)&lt;=Inputs!$C$74," weekday"," weekend"),Utility_Rates!$C$28:$F$28,Inputs!$C$68)),"")</f>
      </c>
      <c r="H4499" s="34"/>
      <c r="I4499" s="42">
        <f>IF(AND(ISNUMBER(D4499),ISNUMBER(H4499)),D4499*H4499*Inputs!$C$69,"")</f>
      </c>
      <c r="J4499" s="42">
        <f>IF(AND(ISNUMBER(F4499),ISNUMBER(H4499),F4499&gt;=Inputs!$C$68),F4499*H4499*Inputs!$C$69,"")</f>
      </c>
    </row>
    <row r="4500" spans="2:10" ht="15" customHeight="1" x14ac:dyDescent="0.2">
      <c r="B4500" s="39">
        <f t="shared" si="34"/>
      </c>
      <c r="C4500" s="40">
        <f>IF(Inputs!$C$60,Inputs!$C$11+(B4500-Inputs!$C$69)/Inputs!$C$70,"")</f>
      </c>
      <c r="D4500" s="15"/>
      <c r="E4500" s="15"/>
      <c r="F4500" s="11">
        <f t="shared" si="35"/>
      </c>
      <c r="G4500" s="22" cm="1">
        <f t="array" ref="G4500">IF(AND(Inputs!$C$60,Inputs!$C$61),INDEX(Utility_Rates!$C$29:$F$52,HOUR(C4500)+Inputs!$C$69,MATCH(INDEX(Utility_Rates!$K$6:$K$17,MONTH(C4500))&amp;IF(WEEKDAY(C4500,Inputs!$C$76)&lt;=Inputs!$C$74," weekday"," weekend"),Utility_Rates!$C$28:$F$28,Inputs!$C$68)),"")</f>
      </c>
      <c r="H4500" s="34"/>
      <c r="I4500" s="42">
        <f>IF(AND(ISNUMBER(D4500),ISNUMBER(H4500)),D4500*H4500*Inputs!$C$69,"")</f>
      </c>
      <c r="J4500" s="42">
        <f>IF(AND(ISNUMBER(F4500),ISNUMBER(H4500),F4500&gt;=Inputs!$C$68),F4500*H4500*Inputs!$C$69,"")</f>
      </c>
    </row>
    <row r="4501" spans="2:10" ht="15" customHeight="1" x14ac:dyDescent="0.2">
      <c r="B4501" s="39">
        <f t="shared" si="34"/>
      </c>
      <c r="C4501" s="40">
        <f>IF(Inputs!$C$60,Inputs!$C$11+(B4501-Inputs!$C$69)/Inputs!$C$70,"")</f>
      </c>
      <c r="D4501" s="15"/>
      <c r="E4501" s="15"/>
      <c r="F4501" s="11">
        <f t="shared" si="35"/>
      </c>
      <c r="G4501" s="22" cm="1">
        <f t="array" ref="G4501">IF(AND(Inputs!$C$60,Inputs!$C$61),INDEX(Utility_Rates!$C$29:$F$52,HOUR(C4501)+Inputs!$C$69,MATCH(INDEX(Utility_Rates!$K$6:$K$17,MONTH(C4501))&amp;IF(WEEKDAY(C4501,Inputs!$C$76)&lt;=Inputs!$C$74," weekday"," weekend"),Utility_Rates!$C$28:$F$28,Inputs!$C$68)),"")</f>
      </c>
      <c r="H4501" s="34"/>
      <c r="I4501" s="42">
        <f>IF(AND(ISNUMBER(D4501),ISNUMBER(H4501)),D4501*H4501*Inputs!$C$69,"")</f>
      </c>
      <c r="J4501" s="42">
        <f>IF(AND(ISNUMBER(F4501),ISNUMBER(H4501),F4501&gt;=Inputs!$C$68),F4501*H4501*Inputs!$C$69,"")</f>
      </c>
    </row>
    <row r="4502" spans="2:10" ht="15" customHeight="1" x14ac:dyDescent="0.2">
      <c r="B4502" s="39">
        <f t="shared" si="34"/>
      </c>
      <c r="C4502" s="40">
        <f>IF(Inputs!$C$60,Inputs!$C$11+(B4502-Inputs!$C$69)/Inputs!$C$70,"")</f>
      </c>
      <c r="D4502" s="15"/>
      <c r="E4502" s="15"/>
      <c r="F4502" s="11">
        <f t="shared" si="35"/>
      </c>
      <c r="G4502" s="22" cm="1">
        <f t="array" ref="G4502">IF(AND(Inputs!$C$60,Inputs!$C$61),INDEX(Utility_Rates!$C$29:$F$52,HOUR(C4502)+Inputs!$C$69,MATCH(INDEX(Utility_Rates!$K$6:$K$17,MONTH(C4502))&amp;IF(WEEKDAY(C4502,Inputs!$C$76)&lt;=Inputs!$C$74," weekday"," weekend"),Utility_Rates!$C$28:$F$28,Inputs!$C$68)),"")</f>
      </c>
      <c r="H4502" s="34"/>
      <c r="I4502" s="42">
        <f>IF(AND(ISNUMBER(D4502),ISNUMBER(H4502)),D4502*H4502*Inputs!$C$69,"")</f>
      </c>
      <c r="J4502" s="42">
        <f>IF(AND(ISNUMBER(F4502),ISNUMBER(H4502),F4502&gt;=Inputs!$C$68),F4502*H4502*Inputs!$C$69,"")</f>
      </c>
    </row>
    <row r="4503" spans="2:10" ht="15" customHeight="1" x14ac:dyDescent="0.2">
      <c r="B4503" s="39">
        <f t="shared" si="34"/>
      </c>
      <c r="C4503" s="40">
        <f>IF(Inputs!$C$60,Inputs!$C$11+(B4503-Inputs!$C$69)/Inputs!$C$70,"")</f>
      </c>
      <c r="D4503" s="15"/>
      <c r="E4503" s="15"/>
      <c r="F4503" s="11">
        <f t="shared" si="35"/>
      </c>
      <c r="G4503" s="22" cm="1">
        <f t="array" ref="G4503">IF(AND(Inputs!$C$60,Inputs!$C$61),INDEX(Utility_Rates!$C$29:$F$52,HOUR(C4503)+Inputs!$C$69,MATCH(INDEX(Utility_Rates!$K$6:$K$17,MONTH(C4503))&amp;IF(WEEKDAY(C4503,Inputs!$C$76)&lt;=Inputs!$C$74," weekday"," weekend"),Utility_Rates!$C$28:$F$28,Inputs!$C$68)),"")</f>
      </c>
      <c r="H4503" s="34"/>
      <c r="I4503" s="42">
        <f>IF(AND(ISNUMBER(D4503),ISNUMBER(H4503)),D4503*H4503*Inputs!$C$69,"")</f>
      </c>
      <c r="J4503" s="42">
        <f>IF(AND(ISNUMBER(F4503),ISNUMBER(H4503),F4503&gt;=Inputs!$C$68),F4503*H4503*Inputs!$C$69,"")</f>
      </c>
    </row>
    <row r="4504" spans="2:10" ht="15" customHeight="1" x14ac:dyDescent="0.2">
      <c r="B4504" s="39">
        <f t="shared" si="34"/>
      </c>
      <c r="C4504" s="40">
        <f>IF(Inputs!$C$60,Inputs!$C$11+(B4504-Inputs!$C$69)/Inputs!$C$70,"")</f>
      </c>
      <c r="D4504" s="15"/>
      <c r="E4504" s="15"/>
      <c r="F4504" s="11">
        <f t="shared" si="35"/>
      </c>
      <c r="G4504" s="22" cm="1">
        <f t="array" ref="G4504">IF(AND(Inputs!$C$60,Inputs!$C$61),INDEX(Utility_Rates!$C$29:$F$52,HOUR(C4504)+Inputs!$C$69,MATCH(INDEX(Utility_Rates!$K$6:$K$17,MONTH(C4504))&amp;IF(WEEKDAY(C4504,Inputs!$C$76)&lt;=Inputs!$C$74," weekday"," weekend"),Utility_Rates!$C$28:$F$28,Inputs!$C$68)),"")</f>
      </c>
      <c r="H4504" s="34"/>
      <c r="I4504" s="42">
        <f>IF(AND(ISNUMBER(D4504),ISNUMBER(H4504)),D4504*H4504*Inputs!$C$69,"")</f>
      </c>
      <c r="J4504" s="42">
        <f>IF(AND(ISNUMBER(F4504),ISNUMBER(H4504),F4504&gt;=Inputs!$C$68),F4504*H4504*Inputs!$C$69,"")</f>
      </c>
    </row>
    <row r="4505" spans="2:10" ht="15" customHeight="1" x14ac:dyDescent="0.2">
      <c r="B4505" s="39">
        <f t="shared" si="34"/>
      </c>
      <c r="C4505" s="40">
        <f>IF(Inputs!$C$60,Inputs!$C$11+(B4505-Inputs!$C$69)/Inputs!$C$70,"")</f>
      </c>
      <c r="D4505" s="15"/>
      <c r="E4505" s="15"/>
      <c r="F4505" s="11">
        <f t="shared" si="35"/>
      </c>
      <c r="G4505" s="22" cm="1">
        <f t="array" ref="G4505">IF(AND(Inputs!$C$60,Inputs!$C$61),INDEX(Utility_Rates!$C$29:$F$52,HOUR(C4505)+Inputs!$C$69,MATCH(INDEX(Utility_Rates!$K$6:$K$17,MONTH(C4505))&amp;IF(WEEKDAY(C4505,Inputs!$C$76)&lt;=Inputs!$C$74," weekday"," weekend"),Utility_Rates!$C$28:$F$28,Inputs!$C$68)),"")</f>
      </c>
      <c r="H4505" s="34"/>
      <c r="I4505" s="42">
        <f>IF(AND(ISNUMBER(D4505),ISNUMBER(H4505)),D4505*H4505*Inputs!$C$69,"")</f>
      </c>
      <c r="J4505" s="42">
        <f>IF(AND(ISNUMBER(F4505),ISNUMBER(H4505),F4505&gt;=Inputs!$C$68),F4505*H4505*Inputs!$C$69,"")</f>
      </c>
    </row>
    <row r="4506" spans="2:10" ht="15" customHeight="1" x14ac:dyDescent="0.2">
      <c r="B4506" s="39">
        <f t="shared" si="34"/>
      </c>
      <c r="C4506" s="40">
        <f>IF(Inputs!$C$60,Inputs!$C$11+(B4506-Inputs!$C$69)/Inputs!$C$70,"")</f>
      </c>
      <c r="D4506" s="15"/>
      <c r="E4506" s="15"/>
      <c r="F4506" s="11">
        <f t="shared" si="35"/>
      </c>
      <c r="G4506" s="22" cm="1">
        <f t="array" ref="G4506">IF(AND(Inputs!$C$60,Inputs!$C$61),INDEX(Utility_Rates!$C$29:$F$52,HOUR(C4506)+Inputs!$C$69,MATCH(INDEX(Utility_Rates!$K$6:$K$17,MONTH(C4506))&amp;IF(WEEKDAY(C4506,Inputs!$C$76)&lt;=Inputs!$C$74," weekday"," weekend"),Utility_Rates!$C$28:$F$28,Inputs!$C$68)),"")</f>
      </c>
      <c r="H4506" s="34"/>
      <c r="I4506" s="42">
        <f>IF(AND(ISNUMBER(D4506),ISNUMBER(H4506)),D4506*H4506*Inputs!$C$69,"")</f>
      </c>
      <c r="J4506" s="42">
        <f>IF(AND(ISNUMBER(F4506),ISNUMBER(H4506),F4506&gt;=Inputs!$C$68),F4506*H4506*Inputs!$C$69,"")</f>
      </c>
    </row>
    <row r="4507" spans="2:10" ht="15" customHeight="1" x14ac:dyDescent="0.2">
      <c r="B4507" s="39">
        <f t="shared" si="34"/>
      </c>
      <c r="C4507" s="40">
        <f>IF(Inputs!$C$60,Inputs!$C$11+(B4507-Inputs!$C$69)/Inputs!$C$70,"")</f>
      </c>
      <c r="D4507" s="15"/>
      <c r="E4507" s="15"/>
      <c r="F4507" s="11">
        <f t="shared" si="35"/>
      </c>
      <c r="G4507" s="22" cm="1">
        <f t="array" ref="G4507">IF(AND(Inputs!$C$60,Inputs!$C$61),INDEX(Utility_Rates!$C$29:$F$52,HOUR(C4507)+Inputs!$C$69,MATCH(INDEX(Utility_Rates!$K$6:$K$17,MONTH(C4507))&amp;IF(WEEKDAY(C4507,Inputs!$C$76)&lt;=Inputs!$C$74," weekday"," weekend"),Utility_Rates!$C$28:$F$28,Inputs!$C$68)),"")</f>
      </c>
      <c r="H4507" s="34"/>
      <c r="I4507" s="42">
        <f>IF(AND(ISNUMBER(D4507),ISNUMBER(H4507)),D4507*H4507*Inputs!$C$69,"")</f>
      </c>
      <c r="J4507" s="42">
        <f>IF(AND(ISNUMBER(F4507),ISNUMBER(H4507),F4507&gt;=Inputs!$C$68),F4507*H4507*Inputs!$C$69,"")</f>
      </c>
    </row>
    <row r="4508" spans="2:10" ht="15" customHeight="1" x14ac:dyDescent="0.2">
      <c r="B4508" s="39">
        <f t="shared" si="34"/>
      </c>
      <c r="C4508" s="40">
        <f>IF(Inputs!$C$60,Inputs!$C$11+(B4508-Inputs!$C$69)/Inputs!$C$70,"")</f>
      </c>
      <c r="D4508" s="15"/>
      <c r="E4508" s="15"/>
      <c r="F4508" s="11">
        <f t="shared" si="35"/>
      </c>
      <c r="G4508" s="22" cm="1">
        <f t="array" ref="G4508">IF(AND(Inputs!$C$60,Inputs!$C$61),INDEX(Utility_Rates!$C$29:$F$52,HOUR(C4508)+Inputs!$C$69,MATCH(INDEX(Utility_Rates!$K$6:$K$17,MONTH(C4508))&amp;IF(WEEKDAY(C4508,Inputs!$C$76)&lt;=Inputs!$C$74," weekday"," weekend"),Utility_Rates!$C$28:$F$28,Inputs!$C$68)),"")</f>
      </c>
      <c r="H4508" s="34"/>
      <c r="I4508" s="42">
        <f>IF(AND(ISNUMBER(D4508),ISNUMBER(H4508)),D4508*H4508*Inputs!$C$69,"")</f>
      </c>
      <c r="J4508" s="42">
        <f>IF(AND(ISNUMBER(F4508),ISNUMBER(H4508),F4508&gt;=Inputs!$C$68),F4508*H4508*Inputs!$C$69,"")</f>
      </c>
    </row>
    <row r="4509" spans="2:10" ht="15" customHeight="1" x14ac:dyDescent="0.2">
      <c r="B4509" s="39">
        <f t="shared" si="34"/>
      </c>
      <c r="C4509" s="40">
        <f>IF(Inputs!$C$60,Inputs!$C$11+(B4509-Inputs!$C$69)/Inputs!$C$70,"")</f>
      </c>
      <c r="D4509" s="15"/>
      <c r="E4509" s="15"/>
      <c r="F4509" s="11">
        <f t="shared" si="35"/>
      </c>
      <c r="G4509" s="22" cm="1">
        <f t="array" ref="G4509">IF(AND(Inputs!$C$60,Inputs!$C$61),INDEX(Utility_Rates!$C$29:$F$52,HOUR(C4509)+Inputs!$C$69,MATCH(INDEX(Utility_Rates!$K$6:$K$17,MONTH(C4509))&amp;IF(WEEKDAY(C4509,Inputs!$C$76)&lt;=Inputs!$C$74," weekday"," weekend"),Utility_Rates!$C$28:$F$28,Inputs!$C$68)),"")</f>
      </c>
      <c r="H4509" s="34"/>
      <c r="I4509" s="42">
        <f>IF(AND(ISNUMBER(D4509),ISNUMBER(H4509)),D4509*H4509*Inputs!$C$69,"")</f>
      </c>
      <c r="J4509" s="42">
        <f>IF(AND(ISNUMBER(F4509),ISNUMBER(H4509),F4509&gt;=Inputs!$C$68),F4509*H4509*Inputs!$C$69,"")</f>
      </c>
    </row>
    <row r="4510" spans="2:10" ht="15" customHeight="1" x14ac:dyDescent="0.2">
      <c r="B4510" s="39">
        <f t="shared" si="34"/>
      </c>
      <c r="C4510" s="40">
        <f>IF(Inputs!$C$60,Inputs!$C$11+(B4510-Inputs!$C$69)/Inputs!$C$70,"")</f>
      </c>
      <c r="D4510" s="15"/>
      <c r="E4510" s="15"/>
      <c r="F4510" s="11">
        <f t="shared" si="35"/>
      </c>
      <c r="G4510" s="22" cm="1">
        <f t="array" ref="G4510">IF(AND(Inputs!$C$60,Inputs!$C$61),INDEX(Utility_Rates!$C$29:$F$52,HOUR(C4510)+Inputs!$C$69,MATCH(INDEX(Utility_Rates!$K$6:$K$17,MONTH(C4510))&amp;IF(WEEKDAY(C4510,Inputs!$C$76)&lt;=Inputs!$C$74," weekday"," weekend"),Utility_Rates!$C$28:$F$28,Inputs!$C$68)),"")</f>
      </c>
      <c r="H4510" s="34"/>
      <c r="I4510" s="42">
        <f>IF(AND(ISNUMBER(D4510),ISNUMBER(H4510)),D4510*H4510*Inputs!$C$69,"")</f>
      </c>
      <c r="J4510" s="42">
        <f>IF(AND(ISNUMBER(F4510),ISNUMBER(H4510),F4510&gt;=Inputs!$C$68),F4510*H4510*Inputs!$C$69,"")</f>
      </c>
    </row>
    <row r="4511" spans="2:10" ht="15" customHeight="1" x14ac:dyDescent="0.2">
      <c r="B4511" s="39">
        <f t="shared" si="34"/>
      </c>
      <c r="C4511" s="40">
        <f>IF(Inputs!$C$60,Inputs!$C$11+(B4511-Inputs!$C$69)/Inputs!$C$70,"")</f>
      </c>
      <c r="D4511" s="15"/>
      <c r="E4511" s="15"/>
      <c r="F4511" s="11">
        <f t="shared" si="35"/>
      </c>
      <c r="G4511" s="22" cm="1">
        <f t="array" ref="G4511">IF(AND(Inputs!$C$60,Inputs!$C$61),INDEX(Utility_Rates!$C$29:$F$52,HOUR(C4511)+Inputs!$C$69,MATCH(INDEX(Utility_Rates!$K$6:$K$17,MONTH(C4511))&amp;IF(WEEKDAY(C4511,Inputs!$C$76)&lt;=Inputs!$C$74," weekday"," weekend"),Utility_Rates!$C$28:$F$28,Inputs!$C$68)),"")</f>
      </c>
      <c r="H4511" s="34"/>
      <c r="I4511" s="42">
        <f>IF(AND(ISNUMBER(D4511),ISNUMBER(H4511)),D4511*H4511*Inputs!$C$69,"")</f>
      </c>
      <c r="J4511" s="42">
        <f>IF(AND(ISNUMBER(F4511),ISNUMBER(H4511),F4511&gt;=Inputs!$C$68),F4511*H4511*Inputs!$C$69,"")</f>
      </c>
    </row>
    <row r="4512" spans="2:10" ht="15" customHeight="1" x14ac:dyDescent="0.2">
      <c r="B4512" s="39">
        <f t="shared" si="34"/>
      </c>
      <c r="C4512" s="40">
        <f>IF(Inputs!$C$60,Inputs!$C$11+(B4512-Inputs!$C$69)/Inputs!$C$70,"")</f>
      </c>
      <c r="D4512" s="15"/>
      <c r="E4512" s="15"/>
      <c r="F4512" s="11">
        <f t="shared" si="35"/>
      </c>
      <c r="G4512" s="22" cm="1">
        <f t="array" ref="G4512">IF(AND(Inputs!$C$60,Inputs!$C$61),INDEX(Utility_Rates!$C$29:$F$52,HOUR(C4512)+Inputs!$C$69,MATCH(INDEX(Utility_Rates!$K$6:$K$17,MONTH(C4512))&amp;IF(WEEKDAY(C4512,Inputs!$C$76)&lt;=Inputs!$C$74," weekday"," weekend"),Utility_Rates!$C$28:$F$28,Inputs!$C$68)),"")</f>
      </c>
      <c r="H4512" s="34"/>
      <c r="I4512" s="42">
        <f>IF(AND(ISNUMBER(D4512),ISNUMBER(H4512)),D4512*H4512*Inputs!$C$69,"")</f>
      </c>
      <c r="J4512" s="42">
        <f>IF(AND(ISNUMBER(F4512),ISNUMBER(H4512),F4512&gt;=Inputs!$C$68),F4512*H4512*Inputs!$C$69,"")</f>
      </c>
    </row>
    <row r="4513" spans="2:10" ht="15" customHeight="1" x14ac:dyDescent="0.2">
      <c r="B4513" s="39">
        <f t="shared" si="34"/>
      </c>
      <c r="C4513" s="40">
        <f>IF(Inputs!$C$60,Inputs!$C$11+(B4513-Inputs!$C$69)/Inputs!$C$70,"")</f>
      </c>
      <c r="D4513" s="15"/>
      <c r="E4513" s="15"/>
      <c r="F4513" s="11">
        <f t="shared" si="35"/>
      </c>
      <c r="G4513" s="22" cm="1">
        <f t="array" ref="G4513">IF(AND(Inputs!$C$60,Inputs!$C$61),INDEX(Utility_Rates!$C$29:$F$52,HOUR(C4513)+Inputs!$C$69,MATCH(INDEX(Utility_Rates!$K$6:$K$17,MONTH(C4513))&amp;IF(WEEKDAY(C4513,Inputs!$C$76)&lt;=Inputs!$C$74," weekday"," weekend"),Utility_Rates!$C$28:$F$28,Inputs!$C$68)),"")</f>
      </c>
      <c r="H4513" s="34"/>
      <c r="I4513" s="42">
        <f>IF(AND(ISNUMBER(D4513),ISNUMBER(H4513)),D4513*H4513*Inputs!$C$69,"")</f>
      </c>
      <c r="J4513" s="42">
        <f>IF(AND(ISNUMBER(F4513),ISNUMBER(H4513),F4513&gt;=Inputs!$C$68),F4513*H4513*Inputs!$C$69,"")</f>
      </c>
    </row>
    <row r="4514" spans="2:10" ht="15" customHeight="1" x14ac:dyDescent="0.2">
      <c r="B4514" s="39">
        <f t="shared" si="34"/>
      </c>
      <c r="C4514" s="40">
        <f>IF(Inputs!$C$60,Inputs!$C$11+(B4514-Inputs!$C$69)/Inputs!$C$70,"")</f>
      </c>
      <c r="D4514" s="15"/>
      <c r="E4514" s="15"/>
      <c r="F4514" s="11">
        <f t="shared" si="35"/>
      </c>
      <c r="G4514" s="22" cm="1">
        <f t="array" ref="G4514">IF(AND(Inputs!$C$60,Inputs!$C$61),INDEX(Utility_Rates!$C$29:$F$52,HOUR(C4514)+Inputs!$C$69,MATCH(INDEX(Utility_Rates!$K$6:$K$17,MONTH(C4514))&amp;IF(WEEKDAY(C4514,Inputs!$C$76)&lt;=Inputs!$C$74," weekday"," weekend"),Utility_Rates!$C$28:$F$28,Inputs!$C$68)),"")</f>
      </c>
      <c r="H4514" s="34"/>
      <c r="I4514" s="42">
        <f>IF(AND(ISNUMBER(D4514),ISNUMBER(H4514)),D4514*H4514*Inputs!$C$69,"")</f>
      </c>
      <c r="J4514" s="42">
        <f>IF(AND(ISNUMBER(F4514),ISNUMBER(H4514),F4514&gt;=Inputs!$C$68),F4514*H4514*Inputs!$C$69,"")</f>
      </c>
    </row>
    <row r="4515" spans="2:10" ht="15" customHeight="1" x14ac:dyDescent="0.2">
      <c r="B4515" s="39">
        <f t="shared" si="34"/>
      </c>
      <c r="C4515" s="40">
        <f>IF(Inputs!$C$60,Inputs!$C$11+(B4515-Inputs!$C$69)/Inputs!$C$70,"")</f>
      </c>
      <c r="D4515" s="15"/>
      <c r="E4515" s="15"/>
      <c r="F4515" s="11">
        <f t="shared" si="35"/>
      </c>
      <c r="G4515" s="22" cm="1">
        <f t="array" ref="G4515">IF(AND(Inputs!$C$60,Inputs!$C$61),INDEX(Utility_Rates!$C$29:$F$52,HOUR(C4515)+Inputs!$C$69,MATCH(INDEX(Utility_Rates!$K$6:$K$17,MONTH(C4515))&amp;IF(WEEKDAY(C4515,Inputs!$C$76)&lt;=Inputs!$C$74," weekday"," weekend"),Utility_Rates!$C$28:$F$28,Inputs!$C$68)),"")</f>
      </c>
      <c r="H4515" s="34"/>
      <c r="I4515" s="42">
        <f>IF(AND(ISNUMBER(D4515),ISNUMBER(H4515)),D4515*H4515*Inputs!$C$69,"")</f>
      </c>
      <c r="J4515" s="42">
        <f>IF(AND(ISNUMBER(F4515),ISNUMBER(H4515),F4515&gt;=Inputs!$C$68),F4515*H4515*Inputs!$C$69,"")</f>
      </c>
    </row>
    <row r="4516" spans="2:10" ht="15" customHeight="1" x14ac:dyDescent="0.2">
      <c r="B4516" s="39">
        <f t="shared" si="34"/>
      </c>
      <c r="C4516" s="40">
        <f>IF(Inputs!$C$60,Inputs!$C$11+(B4516-Inputs!$C$69)/Inputs!$C$70,"")</f>
      </c>
      <c r="D4516" s="15"/>
      <c r="E4516" s="15"/>
      <c r="F4516" s="11">
        <f t="shared" si="35"/>
      </c>
      <c r="G4516" s="22" cm="1">
        <f t="array" ref="G4516">IF(AND(Inputs!$C$60,Inputs!$C$61),INDEX(Utility_Rates!$C$29:$F$52,HOUR(C4516)+Inputs!$C$69,MATCH(INDEX(Utility_Rates!$K$6:$K$17,MONTH(C4516))&amp;IF(WEEKDAY(C4516,Inputs!$C$76)&lt;=Inputs!$C$74," weekday"," weekend"),Utility_Rates!$C$28:$F$28,Inputs!$C$68)),"")</f>
      </c>
      <c r="H4516" s="34"/>
      <c r="I4516" s="42">
        <f>IF(AND(ISNUMBER(D4516),ISNUMBER(H4516)),D4516*H4516*Inputs!$C$69,"")</f>
      </c>
      <c r="J4516" s="42">
        <f>IF(AND(ISNUMBER(F4516),ISNUMBER(H4516),F4516&gt;=Inputs!$C$68),F4516*H4516*Inputs!$C$69,"")</f>
      </c>
    </row>
    <row r="4517" spans="2:10" ht="15" customHeight="1" x14ac:dyDescent="0.2">
      <c r="B4517" s="39">
        <f t="shared" si="34"/>
      </c>
      <c r="C4517" s="40">
        <f>IF(Inputs!$C$60,Inputs!$C$11+(B4517-Inputs!$C$69)/Inputs!$C$70,"")</f>
      </c>
      <c r="D4517" s="15"/>
      <c r="E4517" s="15"/>
      <c r="F4517" s="11">
        <f t="shared" si="35"/>
      </c>
      <c r="G4517" s="22" cm="1">
        <f t="array" ref="G4517">IF(AND(Inputs!$C$60,Inputs!$C$61),INDEX(Utility_Rates!$C$29:$F$52,HOUR(C4517)+Inputs!$C$69,MATCH(INDEX(Utility_Rates!$K$6:$K$17,MONTH(C4517))&amp;IF(WEEKDAY(C4517,Inputs!$C$76)&lt;=Inputs!$C$74," weekday"," weekend"),Utility_Rates!$C$28:$F$28,Inputs!$C$68)),"")</f>
      </c>
      <c r="H4517" s="34"/>
      <c r="I4517" s="42">
        <f>IF(AND(ISNUMBER(D4517),ISNUMBER(H4517)),D4517*H4517*Inputs!$C$69,"")</f>
      </c>
      <c r="J4517" s="42">
        <f>IF(AND(ISNUMBER(F4517),ISNUMBER(H4517),F4517&gt;=Inputs!$C$68),F4517*H4517*Inputs!$C$69,"")</f>
      </c>
    </row>
    <row r="4518" spans="2:10" ht="15" customHeight="1" x14ac:dyDescent="0.2">
      <c r="B4518" s="39">
        <f t="shared" si="34"/>
      </c>
      <c r="C4518" s="40">
        <f>IF(Inputs!$C$60,Inputs!$C$11+(B4518-Inputs!$C$69)/Inputs!$C$70,"")</f>
      </c>
      <c r="D4518" s="15"/>
      <c r="E4518" s="15"/>
      <c r="F4518" s="11">
        <f t="shared" si="35"/>
      </c>
      <c r="G4518" s="22" cm="1">
        <f t="array" ref="G4518">IF(AND(Inputs!$C$60,Inputs!$C$61),INDEX(Utility_Rates!$C$29:$F$52,HOUR(C4518)+Inputs!$C$69,MATCH(INDEX(Utility_Rates!$K$6:$K$17,MONTH(C4518))&amp;IF(WEEKDAY(C4518,Inputs!$C$76)&lt;=Inputs!$C$74," weekday"," weekend"),Utility_Rates!$C$28:$F$28,Inputs!$C$68)),"")</f>
      </c>
      <c r="H4518" s="34"/>
      <c r="I4518" s="42">
        <f>IF(AND(ISNUMBER(D4518),ISNUMBER(H4518)),D4518*H4518*Inputs!$C$69,"")</f>
      </c>
      <c r="J4518" s="42">
        <f>IF(AND(ISNUMBER(F4518),ISNUMBER(H4518),F4518&gt;=Inputs!$C$68),F4518*H4518*Inputs!$C$69,"")</f>
      </c>
    </row>
    <row r="4519" spans="2:10" ht="15" customHeight="1" x14ac:dyDescent="0.2">
      <c r="B4519" s="39">
        <f t="shared" si="34"/>
      </c>
      <c r="C4519" s="40">
        <f>IF(Inputs!$C$60,Inputs!$C$11+(B4519-Inputs!$C$69)/Inputs!$C$70,"")</f>
      </c>
      <c r="D4519" s="15"/>
      <c r="E4519" s="15"/>
      <c r="F4519" s="11">
        <f t="shared" si="35"/>
      </c>
      <c r="G4519" s="22" cm="1">
        <f t="array" ref="G4519">IF(AND(Inputs!$C$60,Inputs!$C$61),INDEX(Utility_Rates!$C$29:$F$52,HOUR(C4519)+Inputs!$C$69,MATCH(INDEX(Utility_Rates!$K$6:$K$17,MONTH(C4519))&amp;IF(WEEKDAY(C4519,Inputs!$C$76)&lt;=Inputs!$C$74," weekday"," weekend"),Utility_Rates!$C$28:$F$28,Inputs!$C$68)),"")</f>
      </c>
      <c r="H4519" s="34"/>
      <c r="I4519" s="42">
        <f>IF(AND(ISNUMBER(D4519),ISNUMBER(H4519)),D4519*H4519*Inputs!$C$69,"")</f>
      </c>
      <c r="J4519" s="42">
        <f>IF(AND(ISNUMBER(F4519),ISNUMBER(H4519),F4519&gt;=Inputs!$C$68),F4519*H4519*Inputs!$C$69,"")</f>
      </c>
    </row>
    <row r="4520" spans="2:10" ht="15" customHeight="1" x14ac:dyDescent="0.2">
      <c r="B4520" s="39">
        <f t="shared" si="34"/>
      </c>
      <c r="C4520" s="40">
        <f>IF(Inputs!$C$60,Inputs!$C$11+(B4520-Inputs!$C$69)/Inputs!$C$70,"")</f>
      </c>
      <c r="D4520" s="15"/>
      <c r="E4520" s="15"/>
      <c r="F4520" s="11">
        <f t="shared" si="35"/>
      </c>
      <c r="G4520" s="22" cm="1">
        <f t="array" ref="G4520">IF(AND(Inputs!$C$60,Inputs!$C$61),INDEX(Utility_Rates!$C$29:$F$52,HOUR(C4520)+Inputs!$C$69,MATCH(INDEX(Utility_Rates!$K$6:$K$17,MONTH(C4520))&amp;IF(WEEKDAY(C4520,Inputs!$C$76)&lt;=Inputs!$C$74," weekday"," weekend"),Utility_Rates!$C$28:$F$28,Inputs!$C$68)),"")</f>
      </c>
      <c r="H4520" s="34"/>
      <c r="I4520" s="42">
        <f>IF(AND(ISNUMBER(D4520),ISNUMBER(H4520)),D4520*H4520*Inputs!$C$69,"")</f>
      </c>
      <c r="J4520" s="42">
        <f>IF(AND(ISNUMBER(F4520),ISNUMBER(H4520),F4520&gt;=Inputs!$C$68),F4520*H4520*Inputs!$C$69,"")</f>
      </c>
    </row>
    <row r="4521" spans="2:10" ht="15" customHeight="1" x14ac:dyDescent="0.2">
      <c r="B4521" s="39">
        <f t="shared" si="34"/>
      </c>
      <c r="C4521" s="40">
        <f>IF(Inputs!$C$60,Inputs!$C$11+(B4521-Inputs!$C$69)/Inputs!$C$70,"")</f>
      </c>
      <c r="D4521" s="15"/>
      <c r="E4521" s="15"/>
      <c r="F4521" s="11">
        <f t="shared" si="35"/>
      </c>
      <c r="G4521" s="22" cm="1">
        <f t="array" ref="G4521">IF(AND(Inputs!$C$60,Inputs!$C$61),INDEX(Utility_Rates!$C$29:$F$52,HOUR(C4521)+Inputs!$C$69,MATCH(INDEX(Utility_Rates!$K$6:$K$17,MONTH(C4521))&amp;IF(WEEKDAY(C4521,Inputs!$C$76)&lt;=Inputs!$C$74," weekday"," weekend"),Utility_Rates!$C$28:$F$28,Inputs!$C$68)),"")</f>
      </c>
      <c r="H4521" s="34"/>
      <c r="I4521" s="42">
        <f>IF(AND(ISNUMBER(D4521),ISNUMBER(H4521)),D4521*H4521*Inputs!$C$69,"")</f>
      </c>
      <c r="J4521" s="42">
        <f>IF(AND(ISNUMBER(F4521),ISNUMBER(H4521),F4521&gt;=Inputs!$C$68),F4521*H4521*Inputs!$C$69,"")</f>
      </c>
    </row>
    <row r="4522" spans="2:10" ht="15" customHeight="1" x14ac:dyDescent="0.2">
      <c r="B4522" s="39">
        <f t="shared" si="34"/>
      </c>
      <c r="C4522" s="40">
        <f>IF(Inputs!$C$60,Inputs!$C$11+(B4522-Inputs!$C$69)/Inputs!$C$70,"")</f>
      </c>
      <c r="D4522" s="15"/>
      <c r="E4522" s="15"/>
      <c r="F4522" s="11">
        <f t="shared" si="35"/>
      </c>
      <c r="G4522" s="22" cm="1">
        <f t="array" ref="G4522">IF(AND(Inputs!$C$60,Inputs!$C$61),INDEX(Utility_Rates!$C$29:$F$52,HOUR(C4522)+Inputs!$C$69,MATCH(INDEX(Utility_Rates!$K$6:$K$17,MONTH(C4522))&amp;IF(WEEKDAY(C4522,Inputs!$C$76)&lt;=Inputs!$C$74," weekday"," weekend"),Utility_Rates!$C$28:$F$28,Inputs!$C$68)),"")</f>
      </c>
      <c r="H4522" s="34"/>
      <c r="I4522" s="42">
        <f>IF(AND(ISNUMBER(D4522),ISNUMBER(H4522)),D4522*H4522*Inputs!$C$69,"")</f>
      </c>
      <c r="J4522" s="42">
        <f>IF(AND(ISNUMBER(F4522),ISNUMBER(H4522),F4522&gt;=Inputs!$C$68),F4522*H4522*Inputs!$C$69,"")</f>
      </c>
    </row>
    <row r="4523" spans="2:10" ht="15" customHeight="1" x14ac:dyDescent="0.2">
      <c r="B4523" s="39">
        <f t="shared" si="34"/>
      </c>
      <c r="C4523" s="40">
        <f>IF(Inputs!$C$60,Inputs!$C$11+(B4523-Inputs!$C$69)/Inputs!$C$70,"")</f>
      </c>
      <c r="D4523" s="15"/>
      <c r="E4523" s="15"/>
      <c r="F4523" s="11">
        <f t="shared" si="35"/>
      </c>
      <c r="G4523" s="22" cm="1">
        <f t="array" ref="G4523">IF(AND(Inputs!$C$60,Inputs!$C$61),INDEX(Utility_Rates!$C$29:$F$52,HOUR(C4523)+Inputs!$C$69,MATCH(INDEX(Utility_Rates!$K$6:$K$17,MONTH(C4523))&amp;IF(WEEKDAY(C4523,Inputs!$C$76)&lt;=Inputs!$C$74," weekday"," weekend"),Utility_Rates!$C$28:$F$28,Inputs!$C$68)),"")</f>
      </c>
      <c r="H4523" s="34"/>
      <c r="I4523" s="42">
        <f>IF(AND(ISNUMBER(D4523),ISNUMBER(H4523)),D4523*H4523*Inputs!$C$69,"")</f>
      </c>
      <c r="J4523" s="42">
        <f>IF(AND(ISNUMBER(F4523),ISNUMBER(H4523),F4523&gt;=Inputs!$C$68),F4523*H4523*Inputs!$C$69,"")</f>
      </c>
    </row>
    <row r="4524" spans="2:10" ht="15" customHeight="1" x14ac:dyDescent="0.2">
      <c r="B4524" s="39">
        <f t="shared" si="34"/>
      </c>
      <c r="C4524" s="40">
        <f>IF(Inputs!$C$60,Inputs!$C$11+(B4524-Inputs!$C$69)/Inputs!$C$70,"")</f>
      </c>
      <c r="D4524" s="15"/>
      <c r="E4524" s="15"/>
      <c r="F4524" s="11">
        <f t="shared" si="35"/>
      </c>
      <c r="G4524" s="22" cm="1">
        <f t="array" ref="G4524">IF(AND(Inputs!$C$60,Inputs!$C$61),INDEX(Utility_Rates!$C$29:$F$52,HOUR(C4524)+Inputs!$C$69,MATCH(INDEX(Utility_Rates!$K$6:$K$17,MONTH(C4524))&amp;IF(WEEKDAY(C4524,Inputs!$C$76)&lt;=Inputs!$C$74," weekday"," weekend"),Utility_Rates!$C$28:$F$28,Inputs!$C$68)),"")</f>
      </c>
      <c r="H4524" s="34"/>
      <c r="I4524" s="42">
        <f>IF(AND(ISNUMBER(D4524),ISNUMBER(H4524)),D4524*H4524*Inputs!$C$69,"")</f>
      </c>
      <c r="J4524" s="42">
        <f>IF(AND(ISNUMBER(F4524),ISNUMBER(H4524),F4524&gt;=Inputs!$C$68),F4524*H4524*Inputs!$C$69,"")</f>
      </c>
    </row>
    <row r="4525" spans="2:10" ht="15" customHeight="1" x14ac:dyDescent="0.2">
      <c r="B4525" s="39">
        <f t="shared" si="34"/>
      </c>
      <c r="C4525" s="40">
        <f>IF(Inputs!$C$60,Inputs!$C$11+(B4525-Inputs!$C$69)/Inputs!$C$70,"")</f>
      </c>
      <c r="D4525" s="15"/>
      <c r="E4525" s="15"/>
      <c r="F4525" s="11">
        <f t="shared" si="35"/>
      </c>
      <c r="G4525" s="22" cm="1">
        <f t="array" ref="G4525">IF(AND(Inputs!$C$60,Inputs!$C$61),INDEX(Utility_Rates!$C$29:$F$52,HOUR(C4525)+Inputs!$C$69,MATCH(INDEX(Utility_Rates!$K$6:$K$17,MONTH(C4525))&amp;IF(WEEKDAY(C4525,Inputs!$C$76)&lt;=Inputs!$C$74," weekday"," weekend"),Utility_Rates!$C$28:$F$28,Inputs!$C$68)),"")</f>
      </c>
      <c r="H4525" s="34"/>
      <c r="I4525" s="42">
        <f>IF(AND(ISNUMBER(D4525),ISNUMBER(H4525)),D4525*H4525*Inputs!$C$69,"")</f>
      </c>
      <c r="J4525" s="42">
        <f>IF(AND(ISNUMBER(F4525),ISNUMBER(H4525),F4525&gt;=Inputs!$C$68),F4525*H4525*Inputs!$C$69,"")</f>
      </c>
    </row>
    <row r="4526" spans="2:10" ht="15" customHeight="1" x14ac:dyDescent="0.2">
      <c r="B4526" s="39">
        <f t="shared" si="34"/>
      </c>
      <c r="C4526" s="40">
        <f>IF(Inputs!$C$60,Inputs!$C$11+(B4526-Inputs!$C$69)/Inputs!$C$70,"")</f>
      </c>
      <c r="D4526" s="15"/>
      <c r="E4526" s="15"/>
      <c r="F4526" s="11">
        <f t="shared" si="35"/>
      </c>
      <c r="G4526" s="22" cm="1">
        <f t="array" ref="G4526">IF(AND(Inputs!$C$60,Inputs!$C$61),INDEX(Utility_Rates!$C$29:$F$52,HOUR(C4526)+Inputs!$C$69,MATCH(INDEX(Utility_Rates!$K$6:$K$17,MONTH(C4526))&amp;IF(WEEKDAY(C4526,Inputs!$C$76)&lt;=Inputs!$C$74," weekday"," weekend"),Utility_Rates!$C$28:$F$28,Inputs!$C$68)),"")</f>
      </c>
      <c r="H4526" s="34"/>
      <c r="I4526" s="42">
        <f>IF(AND(ISNUMBER(D4526),ISNUMBER(H4526)),D4526*H4526*Inputs!$C$69,"")</f>
      </c>
      <c r="J4526" s="42">
        <f>IF(AND(ISNUMBER(F4526),ISNUMBER(H4526),F4526&gt;=Inputs!$C$68),F4526*H4526*Inputs!$C$69,"")</f>
      </c>
    </row>
    <row r="4527" spans="2:10" ht="15" customHeight="1" x14ac:dyDescent="0.2">
      <c r="B4527" s="39">
        <f t="shared" si="34"/>
      </c>
      <c r="C4527" s="40">
        <f>IF(Inputs!$C$60,Inputs!$C$11+(B4527-Inputs!$C$69)/Inputs!$C$70,"")</f>
      </c>
      <c r="D4527" s="15"/>
      <c r="E4527" s="15"/>
      <c r="F4527" s="11">
        <f t="shared" si="35"/>
      </c>
      <c r="G4527" s="22" cm="1">
        <f t="array" ref="G4527">IF(AND(Inputs!$C$60,Inputs!$C$61),INDEX(Utility_Rates!$C$29:$F$52,HOUR(C4527)+Inputs!$C$69,MATCH(INDEX(Utility_Rates!$K$6:$K$17,MONTH(C4527))&amp;IF(WEEKDAY(C4527,Inputs!$C$76)&lt;=Inputs!$C$74," weekday"," weekend"),Utility_Rates!$C$28:$F$28,Inputs!$C$68)),"")</f>
      </c>
      <c r="H4527" s="34"/>
      <c r="I4527" s="42">
        <f>IF(AND(ISNUMBER(D4527),ISNUMBER(H4527)),D4527*H4527*Inputs!$C$69,"")</f>
      </c>
      <c r="J4527" s="42">
        <f>IF(AND(ISNUMBER(F4527),ISNUMBER(H4527),F4527&gt;=Inputs!$C$68),F4527*H4527*Inputs!$C$69,"")</f>
      </c>
    </row>
    <row r="4528" spans="2:10" ht="15" customHeight="1" x14ac:dyDescent="0.2">
      <c r="B4528" s="39">
        <f t="shared" si="34"/>
      </c>
      <c r="C4528" s="40">
        <f>IF(Inputs!$C$60,Inputs!$C$11+(B4528-Inputs!$C$69)/Inputs!$C$70,"")</f>
      </c>
      <c r="D4528" s="15"/>
      <c r="E4528" s="15"/>
      <c r="F4528" s="11">
        <f t="shared" si="35"/>
      </c>
      <c r="G4528" s="22" cm="1">
        <f t="array" ref="G4528">IF(AND(Inputs!$C$60,Inputs!$C$61),INDEX(Utility_Rates!$C$29:$F$52,HOUR(C4528)+Inputs!$C$69,MATCH(INDEX(Utility_Rates!$K$6:$K$17,MONTH(C4528))&amp;IF(WEEKDAY(C4528,Inputs!$C$76)&lt;=Inputs!$C$74," weekday"," weekend"),Utility_Rates!$C$28:$F$28,Inputs!$C$68)),"")</f>
      </c>
      <c r="H4528" s="34"/>
      <c r="I4528" s="42">
        <f>IF(AND(ISNUMBER(D4528),ISNUMBER(H4528)),D4528*H4528*Inputs!$C$69,"")</f>
      </c>
      <c r="J4528" s="42">
        <f>IF(AND(ISNUMBER(F4528),ISNUMBER(H4528),F4528&gt;=Inputs!$C$68),F4528*H4528*Inputs!$C$69,"")</f>
      </c>
    </row>
    <row r="4529" spans="2:10" ht="15" customHeight="1" x14ac:dyDescent="0.2">
      <c r="B4529" s="39">
        <f t="shared" si="34"/>
      </c>
      <c r="C4529" s="40">
        <f>IF(Inputs!$C$60,Inputs!$C$11+(B4529-Inputs!$C$69)/Inputs!$C$70,"")</f>
      </c>
      <c r="D4529" s="15"/>
      <c r="E4529" s="15"/>
      <c r="F4529" s="11">
        <f t="shared" si="35"/>
      </c>
      <c r="G4529" s="22" cm="1">
        <f t="array" ref="G4529">IF(AND(Inputs!$C$60,Inputs!$C$61),INDEX(Utility_Rates!$C$29:$F$52,HOUR(C4529)+Inputs!$C$69,MATCH(INDEX(Utility_Rates!$K$6:$K$17,MONTH(C4529))&amp;IF(WEEKDAY(C4529,Inputs!$C$76)&lt;=Inputs!$C$74," weekday"," weekend"),Utility_Rates!$C$28:$F$28,Inputs!$C$68)),"")</f>
      </c>
      <c r="H4529" s="34"/>
      <c r="I4529" s="42">
        <f>IF(AND(ISNUMBER(D4529),ISNUMBER(H4529)),D4529*H4529*Inputs!$C$69,"")</f>
      </c>
      <c r="J4529" s="42">
        <f>IF(AND(ISNUMBER(F4529),ISNUMBER(H4529),F4529&gt;=Inputs!$C$68),F4529*H4529*Inputs!$C$69,"")</f>
      </c>
    </row>
    <row r="4530" spans="2:10" ht="15" customHeight="1" x14ac:dyDescent="0.2">
      <c r="B4530" s="39">
        <f t="shared" si="34"/>
      </c>
      <c r="C4530" s="40">
        <f>IF(Inputs!$C$60,Inputs!$C$11+(B4530-Inputs!$C$69)/Inputs!$C$70,"")</f>
      </c>
      <c r="D4530" s="15"/>
      <c r="E4530" s="15"/>
      <c r="F4530" s="11">
        <f t="shared" si="35"/>
      </c>
      <c r="G4530" s="22" cm="1">
        <f t="array" ref="G4530">IF(AND(Inputs!$C$60,Inputs!$C$61),INDEX(Utility_Rates!$C$29:$F$52,HOUR(C4530)+Inputs!$C$69,MATCH(INDEX(Utility_Rates!$K$6:$K$17,MONTH(C4530))&amp;IF(WEEKDAY(C4530,Inputs!$C$76)&lt;=Inputs!$C$74," weekday"," weekend"),Utility_Rates!$C$28:$F$28,Inputs!$C$68)),"")</f>
      </c>
      <c r="H4530" s="34"/>
      <c r="I4530" s="42">
        <f>IF(AND(ISNUMBER(D4530),ISNUMBER(H4530)),D4530*H4530*Inputs!$C$69,"")</f>
      </c>
      <c r="J4530" s="42">
        <f>IF(AND(ISNUMBER(F4530),ISNUMBER(H4530),F4530&gt;=Inputs!$C$68),F4530*H4530*Inputs!$C$69,"")</f>
      </c>
    </row>
    <row r="4531" spans="2:10" ht="15" customHeight="1" x14ac:dyDescent="0.2">
      <c r="B4531" s="39">
        <f t="shared" si="34"/>
      </c>
      <c r="C4531" s="40">
        <f>IF(Inputs!$C$60,Inputs!$C$11+(B4531-Inputs!$C$69)/Inputs!$C$70,"")</f>
      </c>
      <c r="D4531" s="15"/>
      <c r="E4531" s="15"/>
      <c r="F4531" s="11">
        <f t="shared" si="35"/>
      </c>
      <c r="G4531" s="22" cm="1">
        <f t="array" ref="G4531">IF(AND(Inputs!$C$60,Inputs!$C$61),INDEX(Utility_Rates!$C$29:$F$52,HOUR(C4531)+Inputs!$C$69,MATCH(INDEX(Utility_Rates!$K$6:$K$17,MONTH(C4531))&amp;IF(WEEKDAY(C4531,Inputs!$C$76)&lt;=Inputs!$C$74," weekday"," weekend"),Utility_Rates!$C$28:$F$28,Inputs!$C$68)),"")</f>
      </c>
      <c r="H4531" s="34"/>
      <c r="I4531" s="42">
        <f>IF(AND(ISNUMBER(D4531),ISNUMBER(H4531)),D4531*H4531*Inputs!$C$69,"")</f>
      </c>
      <c r="J4531" s="42">
        <f>IF(AND(ISNUMBER(F4531),ISNUMBER(H4531),F4531&gt;=Inputs!$C$68),F4531*H4531*Inputs!$C$69,"")</f>
      </c>
    </row>
    <row r="4532" spans="2:10" ht="15" customHeight="1" x14ac:dyDescent="0.2">
      <c r="B4532" s="39">
        <f t="shared" si="34"/>
      </c>
      <c r="C4532" s="40">
        <f>IF(Inputs!$C$60,Inputs!$C$11+(B4532-Inputs!$C$69)/Inputs!$C$70,"")</f>
      </c>
      <c r="D4532" s="15"/>
      <c r="E4532" s="15"/>
      <c r="F4532" s="11">
        <f t="shared" si="35"/>
      </c>
      <c r="G4532" s="22" cm="1">
        <f t="array" ref="G4532">IF(AND(Inputs!$C$60,Inputs!$C$61),INDEX(Utility_Rates!$C$29:$F$52,HOUR(C4532)+Inputs!$C$69,MATCH(INDEX(Utility_Rates!$K$6:$K$17,MONTH(C4532))&amp;IF(WEEKDAY(C4532,Inputs!$C$76)&lt;=Inputs!$C$74," weekday"," weekend"),Utility_Rates!$C$28:$F$28,Inputs!$C$68)),"")</f>
      </c>
      <c r="H4532" s="34"/>
      <c r="I4532" s="42">
        <f>IF(AND(ISNUMBER(D4532),ISNUMBER(H4532)),D4532*H4532*Inputs!$C$69,"")</f>
      </c>
      <c r="J4532" s="42">
        <f>IF(AND(ISNUMBER(F4532),ISNUMBER(H4532),F4532&gt;=Inputs!$C$68),F4532*H4532*Inputs!$C$69,"")</f>
      </c>
    </row>
    <row r="4533" spans="2:10" ht="15" customHeight="1" x14ac:dyDescent="0.2">
      <c r="B4533" s="39">
        <f t="shared" si="34"/>
      </c>
      <c r="C4533" s="40">
        <f>IF(Inputs!$C$60,Inputs!$C$11+(B4533-Inputs!$C$69)/Inputs!$C$70,"")</f>
      </c>
      <c r="D4533" s="15"/>
      <c r="E4533" s="15"/>
      <c r="F4533" s="11">
        <f t="shared" si="35"/>
      </c>
      <c r="G4533" s="22" cm="1">
        <f t="array" ref="G4533">IF(AND(Inputs!$C$60,Inputs!$C$61),INDEX(Utility_Rates!$C$29:$F$52,HOUR(C4533)+Inputs!$C$69,MATCH(INDEX(Utility_Rates!$K$6:$K$17,MONTH(C4533))&amp;IF(WEEKDAY(C4533,Inputs!$C$76)&lt;=Inputs!$C$74," weekday"," weekend"),Utility_Rates!$C$28:$F$28,Inputs!$C$68)),"")</f>
      </c>
      <c r="H4533" s="34"/>
      <c r="I4533" s="42">
        <f>IF(AND(ISNUMBER(D4533),ISNUMBER(H4533)),D4533*H4533*Inputs!$C$69,"")</f>
      </c>
      <c r="J4533" s="42">
        <f>IF(AND(ISNUMBER(F4533),ISNUMBER(H4533),F4533&gt;=Inputs!$C$68),F4533*H4533*Inputs!$C$69,"")</f>
      </c>
    </row>
    <row r="4534" spans="2:10" ht="15" customHeight="1" x14ac:dyDescent="0.2">
      <c r="B4534" s="39">
        <f t="shared" si="34"/>
      </c>
      <c r="C4534" s="40">
        <f>IF(Inputs!$C$60,Inputs!$C$11+(B4534-Inputs!$C$69)/Inputs!$C$70,"")</f>
      </c>
      <c r="D4534" s="15"/>
      <c r="E4534" s="15"/>
      <c r="F4534" s="11">
        <f t="shared" si="35"/>
      </c>
      <c r="G4534" s="22" cm="1">
        <f t="array" ref="G4534">IF(AND(Inputs!$C$60,Inputs!$C$61),INDEX(Utility_Rates!$C$29:$F$52,HOUR(C4534)+Inputs!$C$69,MATCH(INDEX(Utility_Rates!$K$6:$K$17,MONTH(C4534))&amp;IF(WEEKDAY(C4534,Inputs!$C$76)&lt;=Inputs!$C$74," weekday"," weekend"),Utility_Rates!$C$28:$F$28,Inputs!$C$68)),"")</f>
      </c>
      <c r="H4534" s="34"/>
      <c r="I4534" s="42">
        <f>IF(AND(ISNUMBER(D4534),ISNUMBER(H4534)),D4534*H4534*Inputs!$C$69,"")</f>
      </c>
      <c r="J4534" s="42">
        <f>IF(AND(ISNUMBER(F4534),ISNUMBER(H4534),F4534&gt;=Inputs!$C$68),F4534*H4534*Inputs!$C$69,"")</f>
      </c>
    </row>
    <row r="4535" spans="2:10" ht="15" customHeight="1" x14ac:dyDescent="0.2">
      <c r="B4535" s="39">
        <f t="shared" si="34"/>
      </c>
      <c r="C4535" s="40">
        <f>IF(Inputs!$C$60,Inputs!$C$11+(B4535-Inputs!$C$69)/Inputs!$C$70,"")</f>
      </c>
      <c r="D4535" s="15"/>
      <c r="E4535" s="15"/>
      <c r="F4535" s="11">
        <f t="shared" si="35"/>
      </c>
      <c r="G4535" s="22" cm="1">
        <f t="array" ref="G4535">IF(AND(Inputs!$C$60,Inputs!$C$61),INDEX(Utility_Rates!$C$29:$F$52,HOUR(C4535)+Inputs!$C$69,MATCH(INDEX(Utility_Rates!$K$6:$K$17,MONTH(C4535))&amp;IF(WEEKDAY(C4535,Inputs!$C$76)&lt;=Inputs!$C$74," weekday"," weekend"),Utility_Rates!$C$28:$F$28,Inputs!$C$68)),"")</f>
      </c>
      <c r="H4535" s="34"/>
      <c r="I4535" s="42">
        <f>IF(AND(ISNUMBER(D4535),ISNUMBER(H4535)),D4535*H4535*Inputs!$C$69,"")</f>
      </c>
      <c r="J4535" s="42">
        <f>IF(AND(ISNUMBER(F4535),ISNUMBER(H4535),F4535&gt;=Inputs!$C$68),F4535*H4535*Inputs!$C$69,"")</f>
      </c>
    </row>
    <row r="4536" spans="2:10" ht="15" customHeight="1" x14ac:dyDescent="0.2">
      <c r="B4536" s="39">
        <f t="shared" si="34"/>
      </c>
      <c r="C4536" s="40">
        <f>IF(Inputs!$C$60,Inputs!$C$11+(B4536-Inputs!$C$69)/Inputs!$C$70,"")</f>
      </c>
      <c r="D4536" s="15"/>
      <c r="E4536" s="15"/>
      <c r="F4536" s="11">
        <f t="shared" si="35"/>
      </c>
      <c r="G4536" s="22" cm="1">
        <f t="array" ref="G4536">IF(AND(Inputs!$C$60,Inputs!$C$61),INDEX(Utility_Rates!$C$29:$F$52,HOUR(C4536)+Inputs!$C$69,MATCH(INDEX(Utility_Rates!$K$6:$K$17,MONTH(C4536))&amp;IF(WEEKDAY(C4536,Inputs!$C$76)&lt;=Inputs!$C$74," weekday"," weekend"),Utility_Rates!$C$28:$F$28,Inputs!$C$68)),"")</f>
      </c>
      <c r="H4536" s="34"/>
      <c r="I4536" s="42">
        <f>IF(AND(ISNUMBER(D4536),ISNUMBER(H4536)),D4536*H4536*Inputs!$C$69,"")</f>
      </c>
      <c r="J4536" s="42">
        <f>IF(AND(ISNUMBER(F4536),ISNUMBER(H4536),F4536&gt;=Inputs!$C$68),F4536*H4536*Inputs!$C$69,"")</f>
      </c>
    </row>
    <row r="4537" spans="2:10" ht="15" customHeight="1" x14ac:dyDescent="0.2">
      <c r="B4537" s="39">
        <f t="shared" si="34"/>
      </c>
      <c r="C4537" s="40">
        <f>IF(Inputs!$C$60,Inputs!$C$11+(B4537-Inputs!$C$69)/Inputs!$C$70,"")</f>
      </c>
      <c r="D4537" s="15"/>
      <c r="E4537" s="15"/>
      <c r="F4537" s="11">
        <f t="shared" si="35"/>
      </c>
      <c r="G4537" s="22" cm="1">
        <f t="array" ref="G4537">IF(AND(Inputs!$C$60,Inputs!$C$61),INDEX(Utility_Rates!$C$29:$F$52,HOUR(C4537)+Inputs!$C$69,MATCH(INDEX(Utility_Rates!$K$6:$K$17,MONTH(C4537))&amp;IF(WEEKDAY(C4537,Inputs!$C$76)&lt;=Inputs!$C$74," weekday"," weekend"),Utility_Rates!$C$28:$F$28,Inputs!$C$68)),"")</f>
      </c>
      <c r="H4537" s="34"/>
      <c r="I4537" s="42">
        <f>IF(AND(ISNUMBER(D4537),ISNUMBER(H4537)),D4537*H4537*Inputs!$C$69,"")</f>
      </c>
      <c r="J4537" s="42">
        <f>IF(AND(ISNUMBER(F4537),ISNUMBER(H4537),F4537&gt;=Inputs!$C$68),F4537*H4537*Inputs!$C$69,"")</f>
      </c>
    </row>
    <row r="4538" spans="2:10" ht="15" customHeight="1" x14ac:dyDescent="0.2">
      <c r="B4538" s="39">
        <f t="shared" si="34"/>
      </c>
      <c r="C4538" s="40">
        <f>IF(Inputs!$C$60,Inputs!$C$11+(B4538-Inputs!$C$69)/Inputs!$C$70,"")</f>
      </c>
      <c r="D4538" s="15"/>
      <c r="E4538" s="15"/>
      <c r="F4538" s="11">
        <f t="shared" si="35"/>
      </c>
      <c r="G4538" s="22" cm="1">
        <f t="array" ref="G4538">IF(AND(Inputs!$C$60,Inputs!$C$61),INDEX(Utility_Rates!$C$29:$F$52,HOUR(C4538)+Inputs!$C$69,MATCH(INDEX(Utility_Rates!$K$6:$K$17,MONTH(C4538))&amp;IF(WEEKDAY(C4538,Inputs!$C$76)&lt;=Inputs!$C$74," weekday"," weekend"),Utility_Rates!$C$28:$F$28,Inputs!$C$68)),"")</f>
      </c>
      <c r="H4538" s="34"/>
      <c r="I4538" s="42">
        <f>IF(AND(ISNUMBER(D4538),ISNUMBER(H4538)),D4538*H4538*Inputs!$C$69,"")</f>
      </c>
      <c r="J4538" s="42">
        <f>IF(AND(ISNUMBER(F4538),ISNUMBER(H4538),F4538&gt;=Inputs!$C$68),F4538*H4538*Inputs!$C$69,"")</f>
      </c>
    </row>
    <row r="4539" spans="2:10" ht="15" customHeight="1" x14ac:dyDescent="0.2">
      <c r="B4539" s="39">
        <f t="shared" si="34"/>
      </c>
      <c r="C4539" s="40">
        <f>IF(Inputs!$C$60,Inputs!$C$11+(B4539-Inputs!$C$69)/Inputs!$C$70,"")</f>
      </c>
      <c r="D4539" s="15"/>
      <c r="E4539" s="15"/>
      <c r="F4539" s="11">
        <f t="shared" si="35"/>
      </c>
      <c r="G4539" s="22" cm="1">
        <f t="array" ref="G4539">IF(AND(Inputs!$C$60,Inputs!$C$61),INDEX(Utility_Rates!$C$29:$F$52,HOUR(C4539)+Inputs!$C$69,MATCH(INDEX(Utility_Rates!$K$6:$K$17,MONTH(C4539))&amp;IF(WEEKDAY(C4539,Inputs!$C$76)&lt;=Inputs!$C$74," weekday"," weekend"),Utility_Rates!$C$28:$F$28,Inputs!$C$68)),"")</f>
      </c>
      <c r="H4539" s="34"/>
      <c r="I4539" s="42">
        <f>IF(AND(ISNUMBER(D4539),ISNUMBER(H4539)),D4539*H4539*Inputs!$C$69,"")</f>
      </c>
      <c r="J4539" s="42">
        <f>IF(AND(ISNUMBER(F4539),ISNUMBER(H4539),F4539&gt;=Inputs!$C$68),F4539*H4539*Inputs!$C$69,"")</f>
      </c>
    </row>
    <row r="4540" spans="2:10" ht="15" customHeight="1" x14ac:dyDescent="0.2">
      <c r="B4540" s="39">
        <f t="shared" si="34"/>
      </c>
      <c r="C4540" s="40">
        <f>IF(Inputs!$C$60,Inputs!$C$11+(B4540-Inputs!$C$69)/Inputs!$C$70,"")</f>
      </c>
      <c r="D4540" s="15"/>
      <c r="E4540" s="15"/>
      <c r="F4540" s="11">
        <f t="shared" si="35"/>
      </c>
      <c r="G4540" s="22" cm="1">
        <f t="array" ref="G4540">IF(AND(Inputs!$C$60,Inputs!$C$61),INDEX(Utility_Rates!$C$29:$F$52,HOUR(C4540)+Inputs!$C$69,MATCH(INDEX(Utility_Rates!$K$6:$K$17,MONTH(C4540))&amp;IF(WEEKDAY(C4540,Inputs!$C$76)&lt;=Inputs!$C$74," weekday"," weekend"),Utility_Rates!$C$28:$F$28,Inputs!$C$68)),"")</f>
      </c>
      <c r="H4540" s="34"/>
      <c r="I4540" s="42">
        <f>IF(AND(ISNUMBER(D4540),ISNUMBER(H4540)),D4540*H4540*Inputs!$C$69,"")</f>
      </c>
      <c r="J4540" s="42">
        <f>IF(AND(ISNUMBER(F4540),ISNUMBER(H4540),F4540&gt;=Inputs!$C$68),F4540*H4540*Inputs!$C$69,"")</f>
      </c>
    </row>
    <row r="4541" spans="2:10" ht="15" customHeight="1" x14ac:dyDescent="0.2">
      <c r="B4541" s="39">
        <f t="shared" si="34"/>
      </c>
      <c r="C4541" s="40">
        <f>IF(Inputs!$C$60,Inputs!$C$11+(B4541-Inputs!$C$69)/Inputs!$C$70,"")</f>
      </c>
      <c r="D4541" s="15"/>
      <c r="E4541" s="15"/>
      <c r="F4541" s="11">
        <f t="shared" si="35"/>
      </c>
      <c r="G4541" s="22" cm="1">
        <f t="array" ref="G4541">IF(AND(Inputs!$C$60,Inputs!$C$61),INDEX(Utility_Rates!$C$29:$F$52,HOUR(C4541)+Inputs!$C$69,MATCH(INDEX(Utility_Rates!$K$6:$K$17,MONTH(C4541))&amp;IF(WEEKDAY(C4541,Inputs!$C$76)&lt;=Inputs!$C$74," weekday"," weekend"),Utility_Rates!$C$28:$F$28,Inputs!$C$68)),"")</f>
      </c>
      <c r="H4541" s="34"/>
      <c r="I4541" s="42">
        <f>IF(AND(ISNUMBER(D4541),ISNUMBER(H4541)),D4541*H4541*Inputs!$C$69,"")</f>
      </c>
      <c r="J4541" s="42">
        <f>IF(AND(ISNUMBER(F4541),ISNUMBER(H4541),F4541&gt;=Inputs!$C$68),F4541*H4541*Inputs!$C$69,"")</f>
      </c>
    </row>
    <row r="4542" spans="2:10" ht="15" customHeight="1" x14ac:dyDescent="0.2">
      <c r="B4542" s="39">
        <f t="shared" si="34"/>
      </c>
      <c r="C4542" s="40">
        <f>IF(Inputs!$C$60,Inputs!$C$11+(B4542-Inputs!$C$69)/Inputs!$C$70,"")</f>
      </c>
      <c r="D4542" s="15"/>
      <c r="E4542" s="15"/>
      <c r="F4542" s="11">
        <f t="shared" si="35"/>
      </c>
      <c r="G4542" s="22" cm="1">
        <f t="array" ref="G4542">IF(AND(Inputs!$C$60,Inputs!$C$61),INDEX(Utility_Rates!$C$29:$F$52,HOUR(C4542)+Inputs!$C$69,MATCH(INDEX(Utility_Rates!$K$6:$K$17,MONTH(C4542))&amp;IF(WEEKDAY(C4542,Inputs!$C$76)&lt;=Inputs!$C$74," weekday"," weekend"),Utility_Rates!$C$28:$F$28,Inputs!$C$68)),"")</f>
      </c>
      <c r="H4542" s="34"/>
      <c r="I4542" s="42">
        <f>IF(AND(ISNUMBER(D4542),ISNUMBER(H4542)),D4542*H4542*Inputs!$C$69,"")</f>
      </c>
      <c r="J4542" s="42">
        <f>IF(AND(ISNUMBER(F4542),ISNUMBER(H4542),F4542&gt;=Inputs!$C$68),F4542*H4542*Inputs!$C$69,"")</f>
      </c>
    </row>
    <row r="4543" spans="2:10" ht="15" customHeight="1" x14ac:dyDescent="0.2">
      <c r="B4543" s="39">
        <f t="shared" si="34"/>
      </c>
      <c r="C4543" s="40">
        <f>IF(Inputs!$C$60,Inputs!$C$11+(B4543-Inputs!$C$69)/Inputs!$C$70,"")</f>
      </c>
      <c r="D4543" s="15"/>
      <c r="E4543" s="15"/>
      <c r="F4543" s="11">
        <f t="shared" si="35"/>
      </c>
      <c r="G4543" s="22" cm="1">
        <f t="array" ref="G4543">IF(AND(Inputs!$C$60,Inputs!$C$61),INDEX(Utility_Rates!$C$29:$F$52,HOUR(C4543)+Inputs!$C$69,MATCH(INDEX(Utility_Rates!$K$6:$K$17,MONTH(C4543))&amp;IF(WEEKDAY(C4543,Inputs!$C$76)&lt;=Inputs!$C$74," weekday"," weekend"),Utility_Rates!$C$28:$F$28,Inputs!$C$68)),"")</f>
      </c>
      <c r="H4543" s="34"/>
      <c r="I4543" s="42">
        <f>IF(AND(ISNUMBER(D4543),ISNUMBER(H4543)),D4543*H4543*Inputs!$C$69,"")</f>
      </c>
      <c r="J4543" s="42">
        <f>IF(AND(ISNUMBER(F4543),ISNUMBER(H4543),F4543&gt;=Inputs!$C$68),F4543*H4543*Inputs!$C$69,"")</f>
      </c>
    </row>
    <row r="4544" spans="2:10" ht="15" customHeight="1" x14ac:dyDescent="0.2">
      <c r="B4544" s="39">
        <f t="shared" si="34"/>
      </c>
      <c r="C4544" s="40">
        <f>IF(Inputs!$C$60,Inputs!$C$11+(B4544-Inputs!$C$69)/Inputs!$C$70,"")</f>
      </c>
      <c r="D4544" s="15"/>
      <c r="E4544" s="15"/>
      <c r="F4544" s="11">
        <f t="shared" si="35"/>
      </c>
      <c r="G4544" s="22" cm="1">
        <f t="array" ref="G4544">IF(AND(Inputs!$C$60,Inputs!$C$61),INDEX(Utility_Rates!$C$29:$F$52,HOUR(C4544)+Inputs!$C$69,MATCH(INDEX(Utility_Rates!$K$6:$K$17,MONTH(C4544))&amp;IF(WEEKDAY(C4544,Inputs!$C$76)&lt;=Inputs!$C$74," weekday"," weekend"),Utility_Rates!$C$28:$F$28,Inputs!$C$68)),"")</f>
      </c>
      <c r="H4544" s="34"/>
      <c r="I4544" s="42">
        <f>IF(AND(ISNUMBER(D4544),ISNUMBER(H4544)),D4544*H4544*Inputs!$C$69,"")</f>
      </c>
      <c r="J4544" s="42">
        <f>IF(AND(ISNUMBER(F4544),ISNUMBER(H4544),F4544&gt;=Inputs!$C$68),F4544*H4544*Inputs!$C$69,"")</f>
      </c>
    </row>
    <row r="4545" spans="2:10" ht="15" customHeight="1" x14ac:dyDescent="0.2">
      <c r="B4545" s="39">
        <f t="shared" si="34"/>
      </c>
      <c r="C4545" s="40">
        <f>IF(Inputs!$C$60,Inputs!$C$11+(B4545-Inputs!$C$69)/Inputs!$C$70,"")</f>
      </c>
      <c r="D4545" s="15"/>
      <c r="E4545" s="15"/>
      <c r="F4545" s="11">
        <f t="shared" si="35"/>
      </c>
      <c r="G4545" s="22" cm="1">
        <f t="array" ref="G4545">IF(AND(Inputs!$C$60,Inputs!$C$61),INDEX(Utility_Rates!$C$29:$F$52,HOUR(C4545)+Inputs!$C$69,MATCH(INDEX(Utility_Rates!$K$6:$K$17,MONTH(C4545))&amp;IF(WEEKDAY(C4545,Inputs!$C$76)&lt;=Inputs!$C$74," weekday"," weekend"),Utility_Rates!$C$28:$F$28,Inputs!$C$68)),"")</f>
      </c>
      <c r="H4545" s="34"/>
      <c r="I4545" s="42">
        <f>IF(AND(ISNUMBER(D4545),ISNUMBER(H4545)),D4545*H4545*Inputs!$C$69,"")</f>
      </c>
      <c r="J4545" s="42">
        <f>IF(AND(ISNUMBER(F4545),ISNUMBER(H4545),F4545&gt;=Inputs!$C$68),F4545*H4545*Inputs!$C$69,"")</f>
      </c>
    </row>
    <row r="4546" spans="2:10" ht="15" customHeight="1" x14ac:dyDescent="0.2">
      <c r="B4546" s="39">
        <f t="shared" si="34"/>
      </c>
      <c r="C4546" s="40">
        <f>IF(Inputs!$C$60,Inputs!$C$11+(B4546-Inputs!$C$69)/Inputs!$C$70,"")</f>
      </c>
      <c r="D4546" s="15"/>
      <c r="E4546" s="15"/>
      <c r="F4546" s="11">
        <f t="shared" si="35"/>
      </c>
      <c r="G4546" s="22" cm="1">
        <f t="array" ref="G4546">IF(AND(Inputs!$C$60,Inputs!$C$61),INDEX(Utility_Rates!$C$29:$F$52,HOUR(C4546)+Inputs!$C$69,MATCH(INDEX(Utility_Rates!$K$6:$K$17,MONTH(C4546))&amp;IF(WEEKDAY(C4546,Inputs!$C$76)&lt;=Inputs!$C$74," weekday"," weekend"),Utility_Rates!$C$28:$F$28,Inputs!$C$68)),"")</f>
      </c>
      <c r="H4546" s="34"/>
      <c r="I4546" s="42">
        <f>IF(AND(ISNUMBER(D4546),ISNUMBER(H4546)),D4546*H4546*Inputs!$C$69,"")</f>
      </c>
      <c r="J4546" s="42">
        <f>IF(AND(ISNUMBER(F4546),ISNUMBER(H4546),F4546&gt;=Inputs!$C$68),F4546*H4546*Inputs!$C$69,"")</f>
      </c>
    </row>
    <row r="4547" spans="2:10" ht="15" customHeight="1" x14ac:dyDescent="0.2">
      <c r="B4547" s="39">
        <f t="shared" si="34"/>
      </c>
      <c r="C4547" s="40">
        <f>IF(Inputs!$C$60,Inputs!$C$11+(B4547-Inputs!$C$69)/Inputs!$C$70,"")</f>
      </c>
      <c r="D4547" s="15"/>
      <c r="E4547" s="15"/>
      <c r="F4547" s="11">
        <f t="shared" si="35"/>
      </c>
      <c r="G4547" s="22" cm="1">
        <f t="array" ref="G4547">IF(AND(Inputs!$C$60,Inputs!$C$61),INDEX(Utility_Rates!$C$29:$F$52,HOUR(C4547)+Inputs!$C$69,MATCH(INDEX(Utility_Rates!$K$6:$K$17,MONTH(C4547))&amp;IF(WEEKDAY(C4547,Inputs!$C$76)&lt;=Inputs!$C$74," weekday"," weekend"),Utility_Rates!$C$28:$F$28,Inputs!$C$68)),"")</f>
      </c>
      <c r="H4547" s="34"/>
      <c r="I4547" s="42">
        <f>IF(AND(ISNUMBER(D4547),ISNUMBER(H4547)),D4547*H4547*Inputs!$C$69,"")</f>
      </c>
      <c r="J4547" s="42">
        <f>IF(AND(ISNUMBER(F4547),ISNUMBER(H4547),F4547&gt;=Inputs!$C$68),F4547*H4547*Inputs!$C$69,"")</f>
      </c>
    </row>
    <row r="4548" spans="2:10" ht="15" customHeight="1" x14ac:dyDescent="0.2">
      <c r="B4548" s="39">
        <f t="shared" si="34"/>
      </c>
      <c r="C4548" s="40">
        <f>IF(Inputs!$C$60,Inputs!$C$11+(B4548-Inputs!$C$69)/Inputs!$C$70,"")</f>
      </c>
      <c r="D4548" s="15"/>
      <c r="E4548" s="15"/>
      <c r="F4548" s="11">
        <f t="shared" si="35"/>
      </c>
      <c r="G4548" s="22" cm="1">
        <f t="array" ref="G4548">IF(AND(Inputs!$C$60,Inputs!$C$61),INDEX(Utility_Rates!$C$29:$F$52,HOUR(C4548)+Inputs!$C$69,MATCH(INDEX(Utility_Rates!$K$6:$K$17,MONTH(C4548))&amp;IF(WEEKDAY(C4548,Inputs!$C$76)&lt;=Inputs!$C$74," weekday"," weekend"),Utility_Rates!$C$28:$F$28,Inputs!$C$68)),"")</f>
      </c>
      <c r="H4548" s="34"/>
      <c r="I4548" s="42">
        <f>IF(AND(ISNUMBER(D4548),ISNUMBER(H4548)),D4548*H4548*Inputs!$C$69,"")</f>
      </c>
      <c r="J4548" s="42">
        <f>IF(AND(ISNUMBER(F4548),ISNUMBER(H4548),F4548&gt;=Inputs!$C$68),F4548*H4548*Inputs!$C$69,"")</f>
      </c>
    </row>
    <row r="4549" spans="2:10" ht="15" customHeight="1" x14ac:dyDescent="0.2">
      <c r="B4549" s="39">
        <f t="shared" si="34"/>
      </c>
      <c r="C4549" s="40">
        <f>IF(Inputs!$C$60,Inputs!$C$11+(B4549-Inputs!$C$69)/Inputs!$C$70,"")</f>
      </c>
      <c r="D4549" s="15"/>
      <c r="E4549" s="15"/>
      <c r="F4549" s="11">
        <f t="shared" si="35"/>
      </c>
      <c r="G4549" s="22" cm="1">
        <f t="array" ref="G4549">IF(AND(Inputs!$C$60,Inputs!$C$61),INDEX(Utility_Rates!$C$29:$F$52,HOUR(C4549)+Inputs!$C$69,MATCH(INDEX(Utility_Rates!$K$6:$K$17,MONTH(C4549))&amp;IF(WEEKDAY(C4549,Inputs!$C$76)&lt;=Inputs!$C$74," weekday"," weekend"),Utility_Rates!$C$28:$F$28,Inputs!$C$68)),"")</f>
      </c>
      <c r="H4549" s="34"/>
      <c r="I4549" s="42">
        <f>IF(AND(ISNUMBER(D4549),ISNUMBER(H4549)),D4549*H4549*Inputs!$C$69,"")</f>
      </c>
      <c r="J4549" s="42">
        <f>IF(AND(ISNUMBER(F4549),ISNUMBER(H4549),F4549&gt;=Inputs!$C$68),F4549*H4549*Inputs!$C$69,"")</f>
      </c>
    </row>
    <row r="4550" spans="2:10" ht="15" customHeight="1" x14ac:dyDescent="0.2">
      <c r="B4550" s="39">
        <f t="shared" si="34"/>
      </c>
      <c r="C4550" s="40">
        <f>IF(Inputs!$C$60,Inputs!$C$11+(B4550-Inputs!$C$69)/Inputs!$C$70,"")</f>
      </c>
      <c r="D4550" s="15"/>
      <c r="E4550" s="15"/>
      <c r="F4550" s="11">
        <f t="shared" si="35"/>
      </c>
      <c r="G4550" s="22" cm="1">
        <f t="array" ref="G4550">IF(AND(Inputs!$C$60,Inputs!$C$61),INDEX(Utility_Rates!$C$29:$F$52,HOUR(C4550)+Inputs!$C$69,MATCH(INDEX(Utility_Rates!$K$6:$K$17,MONTH(C4550))&amp;IF(WEEKDAY(C4550,Inputs!$C$76)&lt;=Inputs!$C$74," weekday"," weekend"),Utility_Rates!$C$28:$F$28,Inputs!$C$68)),"")</f>
      </c>
      <c r="H4550" s="34"/>
      <c r="I4550" s="42">
        <f>IF(AND(ISNUMBER(D4550),ISNUMBER(H4550)),D4550*H4550*Inputs!$C$69,"")</f>
      </c>
      <c r="J4550" s="42">
        <f>IF(AND(ISNUMBER(F4550),ISNUMBER(H4550),F4550&gt;=Inputs!$C$68),F4550*H4550*Inputs!$C$69,"")</f>
      </c>
    </row>
    <row r="4551" spans="2:10" ht="15" customHeight="1" x14ac:dyDescent="0.2">
      <c r="B4551" s="39">
        <f t="shared" si="34"/>
      </c>
      <c r="C4551" s="40">
        <f>IF(Inputs!$C$60,Inputs!$C$11+(B4551-Inputs!$C$69)/Inputs!$C$70,"")</f>
      </c>
      <c r="D4551" s="15"/>
      <c r="E4551" s="15"/>
      <c r="F4551" s="11">
        <f t="shared" si="35"/>
      </c>
      <c r="G4551" s="22" cm="1">
        <f t="array" ref="G4551">IF(AND(Inputs!$C$60,Inputs!$C$61),INDEX(Utility_Rates!$C$29:$F$52,HOUR(C4551)+Inputs!$C$69,MATCH(INDEX(Utility_Rates!$K$6:$K$17,MONTH(C4551))&amp;IF(WEEKDAY(C4551,Inputs!$C$76)&lt;=Inputs!$C$74," weekday"," weekend"),Utility_Rates!$C$28:$F$28,Inputs!$C$68)),"")</f>
      </c>
      <c r="H4551" s="34"/>
      <c r="I4551" s="42">
        <f>IF(AND(ISNUMBER(D4551),ISNUMBER(H4551)),D4551*H4551*Inputs!$C$69,"")</f>
      </c>
      <c r="J4551" s="42">
        <f>IF(AND(ISNUMBER(F4551),ISNUMBER(H4551),F4551&gt;=Inputs!$C$68),F4551*H4551*Inputs!$C$69,"")</f>
      </c>
    </row>
    <row r="4552" spans="2:10" ht="15" customHeight="1" x14ac:dyDescent="0.2">
      <c r="B4552" s="39">
        <f t="shared" si="34"/>
      </c>
      <c r="C4552" s="40">
        <f>IF(Inputs!$C$60,Inputs!$C$11+(B4552-Inputs!$C$69)/Inputs!$C$70,"")</f>
      </c>
      <c r="D4552" s="15"/>
      <c r="E4552" s="15"/>
      <c r="F4552" s="11">
        <f t="shared" si="35"/>
      </c>
      <c r="G4552" s="22" cm="1">
        <f t="array" ref="G4552">IF(AND(Inputs!$C$60,Inputs!$C$61),INDEX(Utility_Rates!$C$29:$F$52,HOUR(C4552)+Inputs!$C$69,MATCH(INDEX(Utility_Rates!$K$6:$K$17,MONTH(C4552))&amp;IF(WEEKDAY(C4552,Inputs!$C$76)&lt;=Inputs!$C$74," weekday"," weekend"),Utility_Rates!$C$28:$F$28,Inputs!$C$68)),"")</f>
      </c>
      <c r="H4552" s="34"/>
      <c r="I4552" s="42">
        <f>IF(AND(ISNUMBER(D4552),ISNUMBER(H4552)),D4552*H4552*Inputs!$C$69,"")</f>
      </c>
      <c r="J4552" s="42">
        <f>IF(AND(ISNUMBER(F4552),ISNUMBER(H4552),F4552&gt;=Inputs!$C$68),F4552*H4552*Inputs!$C$69,"")</f>
      </c>
    </row>
    <row r="4553" spans="2:10" ht="15" customHeight="1" x14ac:dyDescent="0.2">
      <c r="B4553" s="39">
        <f t="shared" si="34"/>
      </c>
      <c r="C4553" s="40">
        <f>IF(Inputs!$C$60,Inputs!$C$11+(B4553-Inputs!$C$69)/Inputs!$C$70,"")</f>
      </c>
      <c r="D4553" s="15"/>
      <c r="E4553" s="15"/>
      <c r="F4553" s="11">
        <f t="shared" si="35"/>
      </c>
      <c r="G4553" s="22" cm="1">
        <f t="array" ref="G4553">IF(AND(Inputs!$C$60,Inputs!$C$61),INDEX(Utility_Rates!$C$29:$F$52,HOUR(C4553)+Inputs!$C$69,MATCH(INDEX(Utility_Rates!$K$6:$K$17,MONTH(C4553))&amp;IF(WEEKDAY(C4553,Inputs!$C$76)&lt;=Inputs!$C$74," weekday"," weekend"),Utility_Rates!$C$28:$F$28,Inputs!$C$68)),"")</f>
      </c>
      <c r="H4553" s="34"/>
      <c r="I4553" s="42">
        <f>IF(AND(ISNUMBER(D4553),ISNUMBER(H4553)),D4553*H4553*Inputs!$C$69,"")</f>
      </c>
      <c r="J4553" s="42">
        <f>IF(AND(ISNUMBER(F4553),ISNUMBER(H4553),F4553&gt;=Inputs!$C$68),F4553*H4553*Inputs!$C$69,"")</f>
      </c>
    </row>
    <row r="4554" spans="2:10" ht="15" customHeight="1" x14ac:dyDescent="0.2">
      <c r="B4554" s="39">
        <f t="shared" si="34"/>
      </c>
      <c r="C4554" s="40">
        <f>IF(Inputs!$C$60,Inputs!$C$11+(B4554-Inputs!$C$69)/Inputs!$C$70,"")</f>
      </c>
      <c r="D4554" s="15"/>
      <c r="E4554" s="15"/>
      <c r="F4554" s="11">
        <f t="shared" si="35"/>
      </c>
      <c r="G4554" s="22" cm="1">
        <f t="array" ref="G4554">IF(AND(Inputs!$C$60,Inputs!$C$61),INDEX(Utility_Rates!$C$29:$F$52,HOUR(C4554)+Inputs!$C$69,MATCH(INDEX(Utility_Rates!$K$6:$K$17,MONTH(C4554))&amp;IF(WEEKDAY(C4554,Inputs!$C$76)&lt;=Inputs!$C$74," weekday"," weekend"),Utility_Rates!$C$28:$F$28,Inputs!$C$68)),"")</f>
      </c>
      <c r="H4554" s="34"/>
      <c r="I4554" s="42">
        <f>IF(AND(ISNUMBER(D4554),ISNUMBER(H4554)),D4554*H4554*Inputs!$C$69,"")</f>
      </c>
      <c r="J4554" s="42">
        <f>IF(AND(ISNUMBER(F4554),ISNUMBER(H4554),F4554&gt;=Inputs!$C$68),F4554*H4554*Inputs!$C$69,"")</f>
      </c>
    </row>
    <row r="4555" spans="2:10" ht="15" customHeight="1" x14ac:dyDescent="0.2">
      <c r="B4555" s="39">
        <f t="shared" si="34"/>
      </c>
      <c r="C4555" s="40">
        <f>IF(Inputs!$C$60,Inputs!$C$11+(B4555-Inputs!$C$69)/Inputs!$C$70,"")</f>
      </c>
      <c r="D4555" s="15"/>
      <c r="E4555" s="15"/>
      <c r="F4555" s="11">
        <f t="shared" si="35"/>
      </c>
      <c r="G4555" s="22" cm="1">
        <f t="array" ref="G4555">IF(AND(Inputs!$C$60,Inputs!$C$61),INDEX(Utility_Rates!$C$29:$F$52,HOUR(C4555)+Inputs!$C$69,MATCH(INDEX(Utility_Rates!$K$6:$K$17,MONTH(C4555))&amp;IF(WEEKDAY(C4555,Inputs!$C$76)&lt;=Inputs!$C$74," weekday"," weekend"),Utility_Rates!$C$28:$F$28,Inputs!$C$68)),"")</f>
      </c>
      <c r="H4555" s="34"/>
      <c r="I4555" s="42">
        <f>IF(AND(ISNUMBER(D4555),ISNUMBER(H4555)),D4555*H4555*Inputs!$C$69,"")</f>
      </c>
      <c r="J4555" s="42">
        <f>IF(AND(ISNUMBER(F4555),ISNUMBER(H4555),F4555&gt;=Inputs!$C$68),F4555*H4555*Inputs!$C$69,"")</f>
      </c>
    </row>
    <row r="4556" spans="2:10" ht="15" customHeight="1" x14ac:dyDescent="0.2">
      <c r="B4556" s="39">
        <f t="shared" si="34"/>
      </c>
      <c r="C4556" s="40">
        <f>IF(Inputs!$C$60,Inputs!$C$11+(B4556-Inputs!$C$69)/Inputs!$C$70,"")</f>
      </c>
      <c r="D4556" s="15"/>
      <c r="E4556" s="15"/>
      <c r="F4556" s="11">
        <f t="shared" si="35"/>
      </c>
      <c r="G4556" s="22" cm="1">
        <f t="array" ref="G4556">IF(AND(Inputs!$C$60,Inputs!$C$61),INDEX(Utility_Rates!$C$29:$F$52,HOUR(C4556)+Inputs!$C$69,MATCH(INDEX(Utility_Rates!$K$6:$K$17,MONTH(C4556))&amp;IF(WEEKDAY(C4556,Inputs!$C$76)&lt;=Inputs!$C$74," weekday"," weekend"),Utility_Rates!$C$28:$F$28,Inputs!$C$68)),"")</f>
      </c>
      <c r="H4556" s="34"/>
      <c r="I4556" s="42">
        <f>IF(AND(ISNUMBER(D4556),ISNUMBER(H4556)),D4556*H4556*Inputs!$C$69,"")</f>
      </c>
      <c r="J4556" s="42">
        <f>IF(AND(ISNUMBER(F4556),ISNUMBER(H4556),F4556&gt;=Inputs!$C$68),F4556*H4556*Inputs!$C$69,"")</f>
      </c>
    </row>
    <row r="4557" spans="2:10" ht="15" customHeight="1" x14ac:dyDescent="0.2">
      <c r="B4557" s="39">
        <f t="shared" si="34"/>
      </c>
      <c r="C4557" s="40">
        <f>IF(Inputs!$C$60,Inputs!$C$11+(B4557-Inputs!$C$69)/Inputs!$C$70,"")</f>
      </c>
      <c r="D4557" s="15"/>
      <c r="E4557" s="15"/>
      <c r="F4557" s="11">
        <f t="shared" si="35"/>
      </c>
      <c r="G4557" s="22" cm="1">
        <f t="array" ref="G4557">IF(AND(Inputs!$C$60,Inputs!$C$61),INDEX(Utility_Rates!$C$29:$F$52,HOUR(C4557)+Inputs!$C$69,MATCH(INDEX(Utility_Rates!$K$6:$K$17,MONTH(C4557))&amp;IF(WEEKDAY(C4557,Inputs!$C$76)&lt;=Inputs!$C$74," weekday"," weekend"),Utility_Rates!$C$28:$F$28,Inputs!$C$68)),"")</f>
      </c>
      <c r="H4557" s="34"/>
      <c r="I4557" s="42">
        <f>IF(AND(ISNUMBER(D4557),ISNUMBER(H4557)),D4557*H4557*Inputs!$C$69,"")</f>
      </c>
      <c r="J4557" s="42">
        <f>IF(AND(ISNUMBER(F4557),ISNUMBER(H4557),F4557&gt;=Inputs!$C$68),F4557*H4557*Inputs!$C$69,"")</f>
      </c>
    </row>
    <row r="4558" spans="2:10" ht="15" customHeight="1" x14ac:dyDescent="0.2">
      <c r="B4558" s="39">
        <f t="shared" si="34"/>
      </c>
      <c r="C4558" s="40">
        <f>IF(Inputs!$C$60,Inputs!$C$11+(B4558-Inputs!$C$69)/Inputs!$C$70,"")</f>
      </c>
      <c r="D4558" s="15"/>
      <c r="E4558" s="15"/>
      <c r="F4558" s="11">
        <f t="shared" si="35"/>
      </c>
      <c r="G4558" s="22" cm="1">
        <f t="array" ref="G4558">IF(AND(Inputs!$C$60,Inputs!$C$61),INDEX(Utility_Rates!$C$29:$F$52,HOUR(C4558)+Inputs!$C$69,MATCH(INDEX(Utility_Rates!$K$6:$K$17,MONTH(C4558))&amp;IF(WEEKDAY(C4558,Inputs!$C$76)&lt;=Inputs!$C$74," weekday"," weekend"),Utility_Rates!$C$28:$F$28,Inputs!$C$68)),"")</f>
      </c>
      <c r="H4558" s="34"/>
      <c r="I4558" s="42">
        <f>IF(AND(ISNUMBER(D4558),ISNUMBER(H4558)),D4558*H4558*Inputs!$C$69,"")</f>
      </c>
      <c r="J4558" s="42">
        <f>IF(AND(ISNUMBER(F4558),ISNUMBER(H4558),F4558&gt;=Inputs!$C$68),F4558*H4558*Inputs!$C$69,"")</f>
      </c>
    </row>
    <row r="4559" spans="2:10" ht="15" customHeight="1" x14ac:dyDescent="0.2">
      <c r="B4559" s="39">
        <f t="shared" si="34"/>
      </c>
      <c r="C4559" s="40">
        <f>IF(Inputs!$C$60,Inputs!$C$11+(B4559-Inputs!$C$69)/Inputs!$C$70,"")</f>
      </c>
      <c r="D4559" s="15"/>
      <c r="E4559" s="15"/>
      <c r="F4559" s="11">
        <f t="shared" si="35"/>
      </c>
      <c r="G4559" s="22" cm="1">
        <f t="array" ref="G4559">IF(AND(Inputs!$C$60,Inputs!$C$61),INDEX(Utility_Rates!$C$29:$F$52,HOUR(C4559)+Inputs!$C$69,MATCH(INDEX(Utility_Rates!$K$6:$K$17,MONTH(C4559))&amp;IF(WEEKDAY(C4559,Inputs!$C$76)&lt;=Inputs!$C$74," weekday"," weekend"),Utility_Rates!$C$28:$F$28,Inputs!$C$68)),"")</f>
      </c>
      <c r="H4559" s="34"/>
      <c r="I4559" s="42">
        <f>IF(AND(ISNUMBER(D4559),ISNUMBER(H4559)),D4559*H4559*Inputs!$C$69,"")</f>
      </c>
      <c r="J4559" s="42">
        <f>IF(AND(ISNUMBER(F4559),ISNUMBER(H4559),F4559&gt;=Inputs!$C$68),F4559*H4559*Inputs!$C$69,"")</f>
      </c>
    </row>
    <row r="4560" spans="2:10" ht="15" customHeight="1" x14ac:dyDescent="0.2">
      <c r="B4560" s="39">
        <f t="shared" si="34"/>
      </c>
      <c r="C4560" s="40">
        <f>IF(Inputs!$C$60,Inputs!$C$11+(B4560-Inputs!$C$69)/Inputs!$C$70,"")</f>
      </c>
      <c r="D4560" s="15"/>
      <c r="E4560" s="15"/>
      <c r="F4560" s="11">
        <f t="shared" si="35"/>
      </c>
      <c r="G4560" s="22" cm="1">
        <f t="array" ref="G4560">IF(AND(Inputs!$C$60,Inputs!$C$61),INDEX(Utility_Rates!$C$29:$F$52,HOUR(C4560)+Inputs!$C$69,MATCH(INDEX(Utility_Rates!$K$6:$K$17,MONTH(C4560))&amp;IF(WEEKDAY(C4560,Inputs!$C$76)&lt;=Inputs!$C$74," weekday"," weekend"),Utility_Rates!$C$28:$F$28,Inputs!$C$68)),"")</f>
      </c>
      <c r="H4560" s="34"/>
      <c r="I4560" s="42">
        <f>IF(AND(ISNUMBER(D4560),ISNUMBER(H4560)),D4560*H4560*Inputs!$C$69,"")</f>
      </c>
      <c r="J4560" s="42">
        <f>IF(AND(ISNUMBER(F4560),ISNUMBER(H4560),F4560&gt;=Inputs!$C$68),F4560*H4560*Inputs!$C$69,"")</f>
      </c>
    </row>
    <row r="4561" spans="2:10" ht="15" customHeight="1" x14ac:dyDescent="0.2">
      <c r="B4561" s="39">
        <f t="shared" si="34"/>
      </c>
      <c r="C4561" s="40">
        <f>IF(Inputs!$C$60,Inputs!$C$11+(B4561-Inputs!$C$69)/Inputs!$C$70,"")</f>
      </c>
      <c r="D4561" s="15"/>
      <c r="E4561" s="15"/>
      <c r="F4561" s="11">
        <f t="shared" si="35"/>
      </c>
      <c r="G4561" s="22" cm="1">
        <f t="array" ref="G4561">IF(AND(Inputs!$C$60,Inputs!$C$61),INDEX(Utility_Rates!$C$29:$F$52,HOUR(C4561)+Inputs!$C$69,MATCH(INDEX(Utility_Rates!$K$6:$K$17,MONTH(C4561))&amp;IF(WEEKDAY(C4561,Inputs!$C$76)&lt;=Inputs!$C$74," weekday"," weekend"),Utility_Rates!$C$28:$F$28,Inputs!$C$68)),"")</f>
      </c>
      <c r="H4561" s="34"/>
      <c r="I4561" s="42">
        <f>IF(AND(ISNUMBER(D4561),ISNUMBER(H4561)),D4561*H4561*Inputs!$C$69,"")</f>
      </c>
      <c r="J4561" s="42">
        <f>IF(AND(ISNUMBER(F4561),ISNUMBER(H4561),F4561&gt;=Inputs!$C$68),F4561*H4561*Inputs!$C$69,"")</f>
      </c>
    </row>
    <row r="4562" spans="2:10" ht="15" customHeight="1" x14ac:dyDescent="0.2">
      <c r="B4562" s="39">
        <f t="shared" si="34"/>
      </c>
      <c r="C4562" s="40">
        <f>IF(Inputs!$C$60,Inputs!$C$11+(B4562-Inputs!$C$69)/Inputs!$C$70,"")</f>
      </c>
      <c r="D4562" s="15"/>
      <c r="E4562" s="15"/>
      <c r="F4562" s="11">
        <f t="shared" si="35"/>
      </c>
      <c r="G4562" s="22" cm="1">
        <f t="array" ref="G4562">IF(AND(Inputs!$C$60,Inputs!$C$61),INDEX(Utility_Rates!$C$29:$F$52,HOUR(C4562)+Inputs!$C$69,MATCH(INDEX(Utility_Rates!$K$6:$K$17,MONTH(C4562))&amp;IF(WEEKDAY(C4562,Inputs!$C$76)&lt;=Inputs!$C$74," weekday"," weekend"),Utility_Rates!$C$28:$F$28,Inputs!$C$68)),"")</f>
      </c>
      <c r="H4562" s="34"/>
      <c r="I4562" s="42">
        <f>IF(AND(ISNUMBER(D4562),ISNUMBER(H4562)),D4562*H4562*Inputs!$C$69,"")</f>
      </c>
      <c r="J4562" s="42">
        <f>IF(AND(ISNUMBER(F4562),ISNUMBER(H4562),F4562&gt;=Inputs!$C$68),F4562*H4562*Inputs!$C$69,"")</f>
      </c>
    </row>
    <row r="4563" spans="2:10" ht="15" customHeight="1" x14ac:dyDescent="0.2">
      <c r="B4563" s="39">
        <f t="shared" si="34"/>
      </c>
      <c r="C4563" s="40">
        <f>IF(Inputs!$C$60,Inputs!$C$11+(B4563-Inputs!$C$69)/Inputs!$C$70,"")</f>
      </c>
      <c r="D4563" s="15"/>
      <c r="E4563" s="15"/>
      <c r="F4563" s="11">
        <f t="shared" si="35"/>
      </c>
      <c r="G4563" s="22" cm="1">
        <f t="array" ref="G4563">IF(AND(Inputs!$C$60,Inputs!$C$61),INDEX(Utility_Rates!$C$29:$F$52,HOUR(C4563)+Inputs!$C$69,MATCH(INDEX(Utility_Rates!$K$6:$K$17,MONTH(C4563))&amp;IF(WEEKDAY(C4563,Inputs!$C$76)&lt;=Inputs!$C$74," weekday"," weekend"),Utility_Rates!$C$28:$F$28,Inputs!$C$68)),"")</f>
      </c>
      <c r="H4563" s="34"/>
      <c r="I4563" s="42">
        <f>IF(AND(ISNUMBER(D4563),ISNUMBER(H4563)),D4563*H4563*Inputs!$C$69,"")</f>
      </c>
      <c r="J4563" s="42">
        <f>IF(AND(ISNUMBER(F4563),ISNUMBER(H4563),F4563&gt;=Inputs!$C$68),F4563*H4563*Inputs!$C$69,"")</f>
      </c>
    </row>
    <row r="4564" spans="2:10" ht="15" customHeight="1" x14ac:dyDescent="0.2">
      <c r="B4564" s="39">
        <f t="shared" si="34"/>
      </c>
      <c r="C4564" s="40">
        <f>IF(Inputs!$C$60,Inputs!$C$11+(B4564-Inputs!$C$69)/Inputs!$C$70,"")</f>
      </c>
      <c r="D4564" s="15"/>
      <c r="E4564" s="15"/>
      <c r="F4564" s="11">
        <f t="shared" si="35"/>
      </c>
      <c r="G4564" s="22" cm="1">
        <f t="array" ref="G4564">IF(AND(Inputs!$C$60,Inputs!$C$61),INDEX(Utility_Rates!$C$29:$F$52,HOUR(C4564)+Inputs!$C$69,MATCH(INDEX(Utility_Rates!$K$6:$K$17,MONTH(C4564))&amp;IF(WEEKDAY(C4564,Inputs!$C$76)&lt;=Inputs!$C$74," weekday"," weekend"),Utility_Rates!$C$28:$F$28,Inputs!$C$68)),"")</f>
      </c>
      <c r="H4564" s="34"/>
      <c r="I4564" s="42">
        <f>IF(AND(ISNUMBER(D4564),ISNUMBER(H4564)),D4564*H4564*Inputs!$C$69,"")</f>
      </c>
      <c r="J4564" s="42">
        <f>IF(AND(ISNUMBER(F4564),ISNUMBER(H4564),F4564&gt;=Inputs!$C$68),F4564*H4564*Inputs!$C$69,"")</f>
      </c>
    </row>
    <row r="4565" spans="2:10" ht="15" customHeight="1" x14ac:dyDescent="0.2">
      <c r="B4565" s="39">
        <f t="shared" si="34"/>
      </c>
      <c r="C4565" s="40">
        <f>IF(Inputs!$C$60,Inputs!$C$11+(B4565-Inputs!$C$69)/Inputs!$C$70,"")</f>
      </c>
      <c r="D4565" s="15"/>
      <c r="E4565" s="15"/>
      <c r="F4565" s="11">
        <f t="shared" si="35"/>
      </c>
      <c r="G4565" s="22" cm="1">
        <f t="array" ref="G4565">IF(AND(Inputs!$C$60,Inputs!$C$61),INDEX(Utility_Rates!$C$29:$F$52,HOUR(C4565)+Inputs!$C$69,MATCH(INDEX(Utility_Rates!$K$6:$K$17,MONTH(C4565))&amp;IF(WEEKDAY(C4565,Inputs!$C$76)&lt;=Inputs!$C$74," weekday"," weekend"),Utility_Rates!$C$28:$F$28,Inputs!$C$68)),"")</f>
      </c>
      <c r="H4565" s="34"/>
      <c r="I4565" s="42">
        <f>IF(AND(ISNUMBER(D4565),ISNUMBER(H4565)),D4565*H4565*Inputs!$C$69,"")</f>
      </c>
      <c r="J4565" s="42">
        <f>IF(AND(ISNUMBER(F4565),ISNUMBER(H4565),F4565&gt;=Inputs!$C$68),F4565*H4565*Inputs!$C$69,"")</f>
      </c>
    </row>
    <row r="4566" spans="2:10" ht="15" customHeight="1" x14ac:dyDescent="0.2">
      <c r="B4566" s="39">
        <f t="shared" si="34"/>
      </c>
      <c r="C4566" s="40">
        <f>IF(Inputs!$C$60,Inputs!$C$11+(B4566-Inputs!$C$69)/Inputs!$C$70,"")</f>
      </c>
      <c r="D4566" s="15"/>
      <c r="E4566" s="15"/>
      <c r="F4566" s="11">
        <f t="shared" si="35"/>
      </c>
      <c r="G4566" s="22" cm="1">
        <f t="array" ref="G4566">IF(AND(Inputs!$C$60,Inputs!$C$61),INDEX(Utility_Rates!$C$29:$F$52,HOUR(C4566)+Inputs!$C$69,MATCH(INDEX(Utility_Rates!$K$6:$K$17,MONTH(C4566))&amp;IF(WEEKDAY(C4566,Inputs!$C$76)&lt;=Inputs!$C$74," weekday"," weekend"),Utility_Rates!$C$28:$F$28,Inputs!$C$68)),"")</f>
      </c>
      <c r="H4566" s="34"/>
      <c r="I4566" s="42">
        <f>IF(AND(ISNUMBER(D4566),ISNUMBER(H4566)),D4566*H4566*Inputs!$C$69,"")</f>
      </c>
      <c r="J4566" s="42">
        <f>IF(AND(ISNUMBER(F4566),ISNUMBER(H4566),F4566&gt;=Inputs!$C$68),F4566*H4566*Inputs!$C$69,"")</f>
      </c>
    </row>
    <row r="4567" spans="2:10" ht="15" customHeight="1" x14ac:dyDescent="0.2">
      <c r="B4567" s="39">
        <f t="shared" si="34"/>
      </c>
      <c r="C4567" s="40">
        <f>IF(Inputs!$C$60,Inputs!$C$11+(B4567-Inputs!$C$69)/Inputs!$C$70,"")</f>
      </c>
      <c r="D4567" s="15"/>
      <c r="E4567" s="15"/>
      <c r="F4567" s="11">
        <f t="shared" si="35"/>
      </c>
      <c r="G4567" s="22" cm="1">
        <f t="array" ref="G4567">IF(AND(Inputs!$C$60,Inputs!$C$61),INDEX(Utility_Rates!$C$29:$F$52,HOUR(C4567)+Inputs!$C$69,MATCH(INDEX(Utility_Rates!$K$6:$K$17,MONTH(C4567))&amp;IF(WEEKDAY(C4567,Inputs!$C$76)&lt;=Inputs!$C$74," weekday"," weekend"),Utility_Rates!$C$28:$F$28,Inputs!$C$68)),"")</f>
      </c>
      <c r="H4567" s="34"/>
      <c r="I4567" s="42">
        <f>IF(AND(ISNUMBER(D4567),ISNUMBER(H4567)),D4567*H4567*Inputs!$C$69,"")</f>
      </c>
      <c r="J4567" s="42">
        <f>IF(AND(ISNUMBER(F4567),ISNUMBER(H4567),F4567&gt;=Inputs!$C$68),F4567*H4567*Inputs!$C$69,"")</f>
      </c>
    </row>
    <row r="4568" spans="2:10" ht="15" customHeight="1" x14ac:dyDescent="0.2">
      <c r="B4568" s="39">
        <f t="shared" si="34"/>
      </c>
      <c r="C4568" s="40">
        <f>IF(Inputs!$C$60,Inputs!$C$11+(B4568-Inputs!$C$69)/Inputs!$C$70,"")</f>
      </c>
      <c r="D4568" s="15"/>
      <c r="E4568" s="15"/>
      <c r="F4568" s="11">
        <f t="shared" si="35"/>
      </c>
      <c r="G4568" s="22" cm="1">
        <f t="array" ref="G4568">IF(AND(Inputs!$C$60,Inputs!$C$61),INDEX(Utility_Rates!$C$29:$F$52,HOUR(C4568)+Inputs!$C$69,MATCH(INDEX(Utility_Rates!$K$6:$K$17,MONTH(C4568))&amp;IF(WEEKDAY(C4568,Inputs!$C$76)&lt;=Inputs!$C$74," weekday"," weekend"),Utility_Rates!$C$28:$F$28,Inputs!$C$68)),"")</f>
      </c>
      <c r="H4568" s="34"/>
      <c r="I4568" s="42">
        <f>IF(AND(ISNUMBER(D4568),ISNUMBER(H4568)),D4568*H4568*Inputs!$C$69,"")</f>
      </c>
      <c r="J4568" s="42">
        <f>IF(AND(ISNUMBER(F4568),ISNUMBER(H4568),F4568&gt;=Inputs!$C$68),F4568*H4568*Inputs!$C$69,"")</f>
      </c>
    </row>
    <row r="4569" spans="2:10" ht="15" customHeight="1" x14ac:dyDescent="0.2">
      <c r="B4569" s="39">
        <f t="shared" si="34"/>
      </c>
      <c r="C4569" s="40">
        <f>IF(Inputs!$C$60,Inputs!$C$11+(B4569-Inputs!$C$69)/Inputs!$C$70,"")</f>
      </c>
      <c r="D4569" s="15"/>
      <c r="E4569" s="15"/>
      <c r="F4569" s="11">
        <f t="shared" si="35"/>
      </c>
      <c r="G4569" s="22" cm="1">
        <f t="array" ref="G4569">IF(AND(Inputs!$C$60,Inputs!$C$61),INDEX(Utility_Rates!$C$29:$F$52,HOUR(C4569)+Inputs!$C$69,MATCH(INDEX(Utility_Rates!$K$6:$K$17,MONTH(C4569))&amp;IF(WEEKDAY(C4569,Inputs!$C$76)&lt;=Inputs!$C$74," weekday"," weekend"),Utility_Rates!$C$28:$F$28,Inputs!$C$68)),"")</f>
      </c>
      <c r="H4569" s="34"/>
      <c r="I4569" s="42">
        <f>IF(AND(ISNUMBER(D4569),ISNUMBER(H4569)),D4569*H4569*Inputs!$C$69,"")</f>
      </c>
      <c r="J4569" s="42">
        <f>IF(AND(ISNUMBER(F4569),ISNUMBER(H4569),F4569&gt;=Inputs!$C$68),F4569*H4569*Inputs!$C$69,"")</f>
      </c>
    </row>
    <row r="4570" spans="2:10" ht="15" customHeight="1" x14ac:dyDescent="0.2">
      <c r="B4570" s="39">
        <f t="shared" si="34"/>
      </c>
      <c r="C4570" s="40">
        <f>IF(Inputs!$C$60,Inputs!$C$11+(B4570-Inputs!$C$69)/Inputs!$C$70,"")</f>
      </c>
      <c r="D4570" s="15"/>
      <c r="E4570" s="15"/>
      <c r="F4570" s="11">
        <f t="shared" si="35"/>
      </c>
      <c r="G4570" s="22" cm="1">
        <f t="array" ref="G4570">IF(AND(Inputs!$C$60,Inputs!$C$61),INDEX(Utility_Rates!$C$29:$F$52,HOUR(C4570)+Inputs!$C$69,MATCH(INDEX(Utility_Rates!$K$6:$K$17,MONTH(C4570))&amp;IF(WEEKDAY(C4570,Inputs!$C$76)&lt;=Inputs!$C$74," weekday"," weekend"),Utility_Rates!$C$28:$F$28,Inputs!$C$68)),"")</f>
      </c>
      <c r="H4570" s="34"/>
      <c r="I4570" s="42">
        <f>IF(AND(ISNUMBER(D4570),ISNUMBER(H4570)),D4570*H4570*Inputs!$C$69,"")</f>
      </c>
      <c r="J4570" s="42">
        <f>IF(AND(ISNUMBER(F4570),ISNUMBER(H4570),F4570&gt;=Inputs!$C$68),F4570*H4570*Inputs!$C$69,"")</f>
      </c>
    </row>
    <row r="4571" spans="2:10" ht="15" customHeight="1" x14ac:dyDescent="0.2">
      <c r="B4571" s="39">
        <f t="shared" si="34"/>
      </c>
      <c r="C4571" s="40">
        <f>IF(Inputs!$C$60,Inputs!$C$11+(B4571-Inputs!$C$69)/Inputs!$C$70,"")</f>
      </c>
      <c r="D4571" s="15"/>
      <c r="E4571" s="15"/>
      <c r="F4571" s="11">
        <f t="shared" si="35"/>
      </c>
      <c r="G4571" s="22" cm="1">
        <f t="array" ref="G4571">IF(AND(Inputs!$C$60,Inputs!$C$61),INDEX(Utility_Rates!$C$29:$F$52,HOUR(C4571)+Inputs!$C$69,MATCH(INDEX(Utility_Rates!$K$6:$K$17,MONTH(C4571))&amp;IF(WEEKDAY(C4571,Inputs!$C$76)&lt;=Inputs!$C$74," weekday"," weekend"),Utility_Rates!$C$28:$F$28,Inputs!$C$68)),"")</f>
      </c>
      <c r="H4571" s="34"/>
      <c r="I4571" s="42">
        <f>IF(AND(ISNUMBER(D4571),ISNUMBER(H4571)),D4571*H4571*Inputs!$C$69,"")</f>
      </c>
      <c r="J4571" s="42">
        <f>IF(AND(ISNUMBER(F4571),ISNUMBER(H4571),F4571&gt;=Inputs!$C$68),F4571*H4571*Inputs!$C$69,"")</f>
      </c>
    </row>
    <row r="4572" spans="2:10" ht="15" customHeight="1" x14ac:dyDescent="0.2">
      <c r="B4572" s="39">
        <f t="shared" si="34"/>
      </c>
      <c r="C4572" s="40">
        <f>IF(Inputs!$C$60,Inputs!$C$11+(B4572-Inputs!$C$69)/Inputs!$C$70,"")</f>
      </c>
      <c r="D4572" s="15"/>
      <c r="E4572" s="15"/>
      <c r="F4572" s="11">
        <f t="shared" si="35"/>
      </c>
      <c r="G4572" s="22" cm="1">
        <f t="array" ref="G4572">IF(AND(Inputs!$C$60,Inputs!$C$61),INDEX(Utility_Rates!$C$29:$F$52,HOUR(C4572)+Inputs!$C$69,MATCH(INDEX(Utility_Rates!$K$6:$K$17,MONTH(C4572))&amp;IF(WEEKDAY(C4572,Inputs!$C$76)&lt;=Inputs!$C$74," weekday"," weekend"),Utility_Rates!$C$28:$F$28,Inputs!$C$68)),"")</f>
      </c>
      <c r="H4572" s="34"/>
      <c r="I4572" s="42">
        <f>IF(AND(ISNUMBER(D4572),ISNUMBER(H4572)),D4572*H4572*Inputs!$C$69,"")</f>
      </c>
      <c r="J4572" s="42">
        <f>IF(AND(ISNUMBER(F4572),ISNUMBER(H4572),F4572&gt;=Inputs!$C$68),F4572*H4572*Inputs!$C$69,"")</f>
      </c>
    </row>
    <row r="4573" spans="2:10" ht="15" customHeight="1" x14ac:dyDescent="0.2">
      <c r="B4573" s="39">
        <f t="shared" si="34"/>
      </c>
      <c r="C4573" s="40">
        <f>IF(Inputs!$C$60,Inputs!$C$11+(B4573-Inputs!$C$69)/Inputs!$C$70,"")</f>
      </c>
      <c r="D4573" s="15"/>
      <c r="E4573" s="15"/>
      <c r="F4573" s="11">
        <f t="shared" si="35"/>
      </c>
      <c r="G4573" s="22" cm="1">
        <f t="array" ref="G4573">IF(AND(Inputs!$C$60,Inputs!$C$61),INDEX(Utility_Rates!$C$29:$F$52,HOUR(C4573)+Inputs!$C$69,MATCH(INDEX(Utility_Rates!$K$6:$K$17,MONTH(C4573))&amp;IF(WEEKDAY(C4573,Inputs!$C$76)&lt;=Inputs!$C$74," weekday"," weekend"),Utility_Rates!$C$28:$F$28,Inputs!$C$68)),"")</f>
      </c>
      <c r="H4573" s="34"/>
      <c r="I4573" s="42">
        <f>IF(AND(ISNUMBER(D4573),ISNUMBER(H4573)),D4573*H4573*Inputs!$C$69,"")</f>
      </c>
      <c r="J4573" s="42">
        <f>IF(AND(ISNUMBER(F4573),ISNUMBER(H4573),F4573&gt;=Inputs!$C$68),F4573*H4573*Inputs!$C$69,"")</f>
      </c>
    </row>
    <row r="4574" spans="2:10" ht="15" customHeight="1" x14ac:dyDescent="0.2">
      <c r="B4574" s="39">
        <f t="shared" si="34"/>
      </c>
      <c r="C4574" s="40">
        <f>IF(Inputs!$C$60,Inputs!$C$11+(B4574-Inputs!$C$69)/Inputs!$C$70,"")</f>
      </c>
      <c r="D4574" s="15"/>
      <c r="E4574" s="15"/>
      <c r="F4574" s="11">
        <f t="shared" si="35"/>
      </c>
      <c r="G4574" s="22" cm="1">
        <f t="array" ref="G4574">IF(AND(Inputs!$C$60,Inputs!$C$61),INDEX(Utility_Rates!$C$29:$F$52,HOUR(C4574)+Inputs!$C$69,MATCH(INDEX(Utility_Rates!$K$6:$K$17,MONTH(C4574))&amp;IF(WEEKDAY(C4574,Inputs!$C$76)&lt;=Inputs!$C$74," weekday"," weekend"),Utility_Rates!$C$28:$F$28,Inputs!$C$68)),"")</f>
      </c>
      <c r="H4574" s="34"/>
      <c r="I4574" s="42">
        <f>IF(AND(ISNUMBER(D4574),ISNUMBER(H4574)),D4574*H4574*Inputs!$C$69,"")</f>
      </c>
      <c r="J4574" s="42">
        <f>IF(AND(ISNUMBER(F4574),ISNUMBER(H4574),F4574&gt;=Inputs!$C$68),F4574*H4574*Inputs!$C$69,"")</f>
      </c>
    </row>
    <row r="4575" spans="2:10" ht="15" customHeight="1" x14ac:dyDescent="0.2">
      <c r="B4575" s="39">
        <f t="shared" si="34"/>
      </c>
      <c r="C4575" s="40">
        <f>IF(Inputs!$C$60,Inputs!$C$11+(B4575-Inputs!$C$69)/Inputs!$C$70,"")</f>
      </c>
      <c r="D4575" s="15"/>
      <c r="E4575" s="15"/>
      <c r="F4575" s="11">
        <f t="shared" si="35"/>
      </c>
      <c r="G4575" s="22" cm="1">
        <f t="array" ref="G4575">IF(AND(Inputs!$C$60,Inputs!$C$61),INDEX(Utility_Rates!$C$29:$F$52,HOUR(C4575)+Inputs!$C$69,MATCH(INDEX(Utility_Rates!$K$6:$K$17,MONTH(C4575))&amp;IF(WEEKDAY(C4575,Inputs!$C$76)&lt;=Inputs!$C$74," weekday"," weekend"),Utility_Rates!$C$28:$F$28,Inputs!$C$68)),"")</f>
      </c>
      <c r="H4575" s="34"/>
      <c r="I4575" s="42">
        <f>IF(AND(ISNUMBER(D4575),ISNUMBER(H4575)),D4575*H4575*Inputs!$C$69,"")</f>
      </c>
      <c r="J4575" s="42">
        <f>IF(AND(ISNUMBER(F4575),ISNUMBER(H4575),F4575&gt;=Inputs!$C$68),F4575*H4575*Inputs!$C$69,"")</f>
      </c>
    </row>
    <row r="4576" spans="2:10" ht="15" customHeight="1" x14ac:dyDescent="0.2">
      <c r="B4576" s="39">
        <f t="shared" si="34"/>
      </c>
      <c r="C4576" s="40">
        <f>IF(Inputs!$C$60,Inputs!$C$11+(B4576-Inputs!$C$69)/Inputs!$C$70,"")</f>
      </c>
      <c r="D4576" s="15"/>
      <c r="E4576" s="15"/>
      <c r="F4576" s="11">
        <f t="shared" si="35"/>
      </c>
      <c r="G4576" s="22" cm="1">
        <f t="array" ref="G4576">IF(AND(Inputs!$C$60,Inputs!$C$61),INDEX(Utility_Rates!$C$29:$F$52,HOUR(C4576)+Inputs!$C$69,MATCH(INDEX(Utility_Rates!$K$6:$K$17,MONTH(C4576))&amp;IF(WEEKDAY(C4576,Inputs!$C$76)&lt;=Inputs!$C$74," weekday"," weekend"),Utility_Rates!$C$28:$F$28,Inputs!$C$68)),"")</f>
      </c>
      <c r="H4576" s="34"/>
      <c r="I4576" s="42">
        <f>IF(AND(ISNUMBER(D4576),ISNUMBER(H4576)),D4576*H4576*Inputs!$C$69,"")</f>
      </c>
      <c r="J4576" s="42">
        <f>IF(AND(ISNUMBER(F4576),ISNUMBER(H4576),F4576&gt;=Inputs!$C$68),F4576*H4576*Inputs!$C$69,"")</f>
      </c>
    </row>
    <row r="4577" spans="2:10" ht="15" customHeight="1" x14ac:dyDescent="0.2">
      <c r="B4577" s="39">
        <f t="shared" si="34"/>
      </c>
      <c r="C4577" s="40">
        <f>IF(Inputs!$C$60,Inputs!$C$11+(B4577-Inputs!$C$69)/Inputs!$C$70,"")</f>
      </c>
      <c r="D4577" s="15"/>
      <c r="E4577" s="15"/>
      <c r="F4577" s="11">
        <f t="shared" si="35"/>
      </c>
      <c r="G4577" s="22" cm="1">
        <f t="array" ref="G4577">IF(AND(Inputs!$C$60,Inputs!$C$61),INDEX(Utility_Rates!$C$29:$F$52,HOUR(C4577)+Inputs!$C$69,MATCH(INDEX(Utility_Rates!$K$6:$K$17,MONTH(C4577))&amp;IF(WEEKDAY(C4577,Inputs!$C$76)&lt;=Inputs!$C$74," weekday"," weekend"),Utility_Rates!$C$28:$F$28,Inputs!$C$68)),"")</f>
      </c>
      <c r="H4577" s="34"/>
      <c r="I4577" s="42">
        <f>IF(AND(ISNUMBER(D4577),ISNUMBER(H4577)),D4577*H4577*Inputs!$C$69,"")</f>
      </c>
      <c r="J4577" s="42">
        <f>IF(AND(ISNUMBER(F4577),ISNUMBER(H4577),F4577&gt;=Inputs!$C$68),F4577*H4577*Inputs!$C$69,"")</f>
      </c>
    </row>
    <row r="4578" spans="2:10" ht="15" customHeight="1" x14ac:dyDescent="0.2">
      <c r="B4578" s="39">
        <f t="shared" si="34"/>
      </c>
      <c r="C4578" s="40">
        <f>IF(Inputs!$C$60,Inputs!$C$11+(B4578-Inputs!$C$69)/Inputs!$C$70,"")</f>
      </c>
      <c r="D4578" s="15"/>
      <c r="E4578" s="15"/>
      <c r="F4578" s="11">
        <f t="shared" si="35"/>
      </c>
      <c r="G4578" s="22" cm="1">
        <f t="array" ref="G4578">IF(AND(Inputs!$C$60,Inputs!$C$61),INDEX(Utility_Rates!$C$29:$F$52,HOUR(C4578)+Inputs!$C$69,MATCH(INDEX(Utility_Rates!$K$6:$K$17,MONTH(C4578))&amp;IF(WEEKDAY(C4578,Inputs!$C$76)&lt;=Inputs!$C$74," weekday"," weekend"),Utility_Rates!$C$28:$F$28,Inputs!$C$68)),"")</f>
      </c>
      <c r="H4578" s="34"/>
      <c r="I4578" s="42">
        <f>IF(AND(ISNUMBER(D4578),ISNUMBER(H4578)),D4578*H4578*Inputs!$C$69,"")</f>
      </c>
      <c r="J4578" s="42">
        <f>IF(AND(ISNUMBER(F4578),ISNUMBER(H4578),F4578&gt;=Inputs!$C$68),F4578*H4578*Inputs!$C$69,"")</f>
      </c>
    </row>
    <row r="4579" spans="2:10" ht="15" customHeight="1" x14ac:dyDescent="0.2">
      <c r="B4579" s="39">
        <f t="shared" si="34"/>
      </c>
      <c r="C4579" s="40">
        <f>IF(Inputs!$C$60,Inputs!$C$11+(B4579-Inputs!$C$69)/Inputs!$C$70,"")</f>
      </c>
      <c r="D4579" s="15"/>
      <c r="E4579" s="15"/>
      <c r="F4579" s="11">
        <f t="shared" si="35"/>
      </c>
      <c r="G4579" s="22" cm="1">
        <f t="array" ref="G4579">IF(AND(Inputs!$C$60,Inputs!$C$61),INDEX(Utility_Rates!$C$29:$F$52,HOUR(C4579)+Inputs!$C$69,MATCH(INDEX(Utility_Rates!$K$6:$K$17,MONTH(C4579))&amp;IF(WEEKDAY(C4579,Inputs!$C$76)&lt;=Inputs!$C$74," weekday"," weekend"),Utility_Rates!$C$28:$F$28,Inputs!$C$68)),"")</f>
      </c>
      <c r="H4579" s="34"/>
      <c r="I4579" s="42">
        <f>IF(AND(ISNUMBER(D4579),ISNUMBER(H4579)),D4579*H4579*Inputs!$C$69,"")</f>
      </c>
      <c r="J4579" s="42">
        <f>IF(AND(ISNUMBER(F4579),ISNUMBER(H4579),F4579&gt;=Inputs!$C$68),F4579*H4579*Inputs!$C$69,"")</f>
      </c>
    </row>
    <row r="4580" spans="2:10" ht="15" customHeight="1" x14ac:dyDescent="0.2">
      <c r="B4580" s="39">
        <f t="shared" si="34"/>
      </c>
      <c r="C4580" s="40">
        <f>IF(Inputs!$C$60,Inputs!$C$11+(B4580-Inputs!$C$69)/Inputs!$C$70,"")</f>
      </c>
      <c r="D4580" s="15"/>
      <c r="E4580" s="15"/>
      <c r="F4580" s="11">
        <f t="shared" si="35"/>
      </c>
      <c r="G4580" s="22" cm="1">
        <f t="array" ref="G4580">IF(AND(Inputs!$C$60,Inputs!$C$61),INDEX(Utility_Rates!$C$29:$F$52,HOUR(C4580)+Inputs!$C$69,MATCH(INDEX(Utility_Rates!$K$6:$K$17,MONTH(C4580))&amp;IF(WEEKDAY(C4580,Inputs!$C$76)&lt;=Inputs!$C$74," weekday"," weekend"),Utility_Rates!$C$28:$F$28,Inputs!$C$68)),"")</f>
      </c>
      <c r="H4580" s="34"/>
      <c r="I4580" s="42">
        <f>IF(AND(ISNUMBER(D4580),ISNUMBER(H4580)),D4580*H4580*Inputs!$C$69,"")</f>
      </c>
      <c r="J4580" s="42">
        <f>IF(AND(ISNUMBER(F4580),ISNUMBER(H4580),F4580&gt;=Inputs!$C$68),F4580*H4580*Inputs!$C$69,"")</f>
      </c>
    </row>
    <row r="4581" spans="2:10" ht="15" customHeight="1" x14ac:dyDescent="0.2">
      <c r="B4581" s="39">
        <f t="shared" si="34"/>
      </c>
      <c r="C4581" s="40">
        <f>IF(Inputs!$C$60,Inputs!$C$11+(B4581-Inputs!$C$69)/Inputs!$C$70,"")</f>
      </c>
      <c r="D4581" s="15"/>
      <c r="E4581" s="15"/>
      <c r="F4581" s="11">
        <f t="shared" si="35"/>
      </c>
      <c r="G4581" s="22" cm="1">
        <f t="array" ref="G4581">IF(AND(Inputs!$C$60,Inputs!$C$61),INDEX(Utility_Rates!$C$29:$F$52,HOUR(C4581)+Inputs!$C$69,MATCH(INDEX(Utility_Rates!$K$6:$K$17,MONTH(C4581))&amp;IF(WEEKDAY(C4581,Inputs!$C$76)&lt;=Inputs!$C$74," weekday"," weekend"),Utility_Rates!$C$28:$F$28,Inputs!$C$68)),"")</f>
      </c>
      <c r="H4581" s="34"/>
      <c r="I4581" s="42">
        <f>IF(AND(ISNUMBER(D4581),ISNUMBER(H4581)),D4581*H4581*Inputs!$C$69,"")</f>
      </c>
      <c r="J4581" s="42">
        <f>IF(AND(ISNUMBER(F4581),ISNUMBER(H4581),F4581&gt;=Inputs!$C$68),F4581*H4581*Inputs!$C$69,"")</f>
      </c>
    </row>
    <row r="4582" spans="2:10" ht="15" customHeight="1" x14ac:dyDescent="0.2">
      <c r="B4582" s="39">
        <f t="shared" si="34"/>
      </c>
      <c r="C4582" s="40">
        <f>IF(Inputs!$C$60,Inputs!$C$11+(B4582-Inputs!$C$69)/Inputs!$C$70,"")</f>
      </c>
      <c r="D4582" s="15"/>
      <c r="E4582" s="15"/>
      <c r="F4582" s="11">
        <f t="shared" si="35"/>
      </c>
      <c r="G4582" s="22" cm="1">
        <f t="array" ref="G4582">IF(AND(Inputs!$C$60,Inputs!$C$61),INDEX(Utility_Rates!$C$29:$F$52,HOUR(C4582)+Inputs!$C$69,MATCH(INDEX(Utility_Rates!$K$6:$K$17,MONTH(C4582))&amp;IF(WEEKDAY(C4582,Inputs!$C$76)&lt;=Inputs!$C$74," weekday"," weekend"),Utility_Rates!$C$28:$F$28,Inputs!$C$68)),"")</f>
      </c>
      <c r="H4582" s="34"/>
      <c r="I4582" s="42">
        <f>IF(AND(ISNUMBER(D4582),ISNUMBER(H4582)),D4582*H4582*Inputs!$C$69,"")</f>
      </c>
      <c r="J4582" s="42">
        <f>IF(AND(ISNUMBER(F4582),ISNUMBER(H4582),F4582&gt;=Inputs!$C$68),F4582*H4582*Inputs!$C$69,"")</f>
      </c>
    </row>
    <row r="4583" spans="2:10" ht="15" customHeight="1" x14ac:dyDescent="0.2">
      <c r="B4583" s="39">
        <f t="shared" si="34"/>
      </c>
      <c r="C4583" s="40">
        <f>IF(Inputs!$C$60,Inputs!$C$11+(B4583-Inputs!$C$69)/Inputs!$C$70,"")</f>
      </c>
      <c r="D4583" s="15"/>
      <c r="E4583" s="15"/>
      <c r="F4583" s="11">
        <f t="shared" si="35"/>
      </c>
      <c r="G4583" s="22" cm="1">
        <f t="array" ref="G4583">IF(AND(Inputs!$C$60,Inputs!$C$61),INDEX(Utility_Rates!$C$29:$F$52,HOUR(C4583)+Inputs!$C$69,MATCH(INDEX(Utility_Rates!$K$6:$K$17,MONTH(C4583))&amp;IF(WEEKDAY(C4583,Inputs!$C$76)&lt;=Inputs!$C$74," weekday"," weekend"),Utility_Rates!$C$28:$F$28,Inputs!$C$68)),"")</f>
      </c>
      <c r="H4583" s="34"/>
      <c r="I4583" s="42">
        <f>IF(AND(ISNUMBER(D4583),ISNUMBER(H4583)),D4583*H4583*Inputs!$C$69,"")</f>
      </c>
      <c r="J4583" s="42">
        <f>IF(AND(ISNUMBER(F4583),ISNUMBER(H4583),F4583&gt;=Inputs!$C$68),F4583*H4583*Inputs!$C$69,"")</f>
      </c>
    </row>
    <row r="4584" spans="2:10" ht="15" customHeight="1" x14ac:dyDescent="0.2">
      <c r="B4584" s="39">
        <f t="shared" si="34"/>
      </c>
      <c r="C4584" s="40">
        <f>IF(Inputs!$C$60,Inputs!$C$11+(B4584-Inputs!$C$69)/Inputs!$C$70,"")</f>
      </c>
      <c r="D4584" s="15"/>
      <c r="E4584" s="15"/>
      <c r="F4584" s="11">
        <f t="shared" si="35"/>
      </c>
      <c r="G4584" s="22" cm="1">
        <f t="array" ref="G4584">IF(AND(Inputs!$C$60,Inputs!$C$61),INDEX(Utility_Rates!$C$29:$F$52,HOUR(C4584)+Inputs!$C$69,MATCH(INDEX(Utility_Rates!$K$6:$K$17,MONTH(C4584))&amp;IF(WEEKDAY(C4584,Inputs!$C$76)&lt;=Inputs!$C$74," weekday"," weekend"),Utility_Rates!$C$28:$F$28,Inputs!$C$68)),"")</f>
      </c>
      <c r="H4584" s="34"/>
      <c r="I4584" s="42">
        <f>IF(AND(ISNUMBER(D4584),ISNUMBER(H4584)),D4584*H4584*Inputs!$C$69,"")</f>
      </c>
      <c r="J4584" s="42">
        <f>IF(AND(ISNUMBER(F4584),ISNUMBER(H4584),F4584&gt;=Inputs!$C$68),F4584*H4584*Inputs!$C$69,"")</f>
      </c>
    </row>
    <row r="4585" spans="2:10" ht="15" customHeight="1" x14ac:dyDescent="0.2">
      <c r="B4585" s="39">
        <f t="shared" si="34"/>
      </c>
      <c r="C4585" s="40">
        <f>IF(Inputs!$C$60,Inputs!$C$11+(B4585-Inputs!$C$69)/Inputs!$C$70,"")</f>
      </c>
      <c r="D4585" s="15"/>
      <c r="E4585" s="15"/>
      <c r="F4585" s="11">
        <f t="shared" si="35"/>
      </c>
      <c r="G4585" s="22" cm="1">
        <f t="array" ref="G4585">IF(AND(Inputs!$C$60,Inputs!$C$61),INDEX(Utility_Rates!$C$29:$F$52,HOUR(C4585)+Inputs!$C$69,MATCH(INDEX(Utility_Rates!$K$6:$K$17,MONTH(C4585))&amp;IF(WEEKDAY(C4585,Inputs!$C$76)&lt;=Inputs!$C$74," weekday"," weekend"),Utility_Rates!$C$28:$F$28,Inputs!$C$68)),"")</f>
      </c>
      <c r="H4585" s="34"/>
      <c r="I4585" s="42">
        <f>IF(AND(ISNUMBER(D4585),ISNUMBER(H4585)),D4585*H4585*Inputs!$C$69,"")</f>
      </c>
      <c r="J4585" s="42">
        <f>IF(AND(ISNUMBER(F4585),ISNUMBER(H4585),F4585&gt;=Inputs!$C$68),F4585*H4585*Inputs!$C$69,"")</f>
      </c>
    </row>
    <row r="4586" spans="2:10" ht="15" customHeight="1" x14ac:dyDescent="0.2">
      <c r="B4586" s="39">
        <f t="shared" si="34"/>
      </c>
      <c r="C4586" s="40">
        <f>IF(Inputs!$C$60,Inputs!$C$11+(B4586-Inputs!$C$69)/Inputs!$C$70,"")</f>
      </c>
      <c r="D4586" s="15"/>
      <c r="E4586" s="15"/>
      <c r="F4586" s="11">
        <f t="shared" si="35"/>
      </c>
      <c r="G4586" s="22" cm="1">
        <f t="array" ref="G4586">IF(AND(Inputs!$C$60,Inputs!$C$61),INDEX(Utility_Rates!$C$29:$F$52,HOUR(C4586)+Inputs!$C$69,MATCH(INDEX(Utility_Rates!$K$6:$K$17,MONTH(C4586))&amp;IF(WEEKDAY(C4586,Inputs!$C$76)&lt;=Inputs!$C$74," weekday"," weekend"),Utility_Rates!$C$28:$F$28,Inputs!$C$68)),"")</f>
      </c>
      <c r="H4586" s="34"/>
      <c r="I4586" s="42">
        <f>IF(AND(ISNUMBER(D4586),ISNUMBER(H4586)),D4586*H4586*Inputs!$C$69,"")</f>
      </c>
      <c r="J4586" s="42">
        <f>IF(AND(ISNUMBER(F4586),ISNUMBER(H4586),F4586&gt;=Inputs!$C$68),F4586*H4586*Inputs!$C$69,"")</f>
      </c>
    </row>
    <row r="4587" spans="2:10" ht="15" customHeight="1" x14ac:dyDescent="0.2">
      <c r="B4587" s="39">
        <f t="shared" si="34"/>
      </c>
      <c r="C4587" s="40">
        <f>IF(Inputs!$C$60,Inputs!$C$11+(B4587-Inputs!$C$69)/Inputs!$C$70,"")</f>
      </c>
      <c r="D4587" s="15"/>
      <c r="E4587" s="15"/>
      <c r="F4587" s="11">
        <f t="shared" si="35"/>
      </c>
      <c r="G4587" s="22" cm="1">
        <f t="array" ref="G4587">IF(AND(Inputs!$C$60,Inputs!$C$61),INDEX(Utility_Rates!$C$29:$F$52,HOUR(C4587)+Inputs!$C$69,MATCH(INDEX(Utility_Rates!$K$6:$K$17,MONTH(C4587))&amp;IF(WEEKDAY(C4587,Inputs!$C$76)&lt;=Inputs!$C$74," weekday"," weekend"),Utility_Rates!$C$28:$F$28,Inputs!$C$68)),"")</f>
      </c>
      <c r="H4587" s="34"/>
      <c r="I4587" s="42">
        <f>IF(AND(ISNUMBER(D4587),ISNUMBER(H4587)),D4587*H4587*Inputs!$C$69,"")</f>
      </c>
      <c r="J4587" s="42">
        <f>IF(AND(ISNUMBER(F4587),ISNUMBER(H4587),F4587&gt;=Inputs!$C$68),F4587*H4587*Inputs!$C$69,"")</f>
      </c>
    </row>
    <row r="4588" spans="2:10" ht="15" customHeight="1" x14ac:dyDescent="0.2">
      <c r="B4588" s="39">
        <f t="shared" si="34"/>
      </c>
      <c r="C4588" s="40">
        <f>IF(Inputs!$C$60,Inputs!$C$11+(B4588-Inputs!$C$69)/Inputs!$C$70,"")</f>
      </c>
      <c r="D4588" s="15"/>
      <c r="E4588" s="15"/>
      <c r="F4588" s="11">
        <f t="shared" si="35"/>
      </c>
      <c r="G4588" s="22" cm="1">
        <f t="array" ref="G4588">IF(AND(Inputs!$C$60,Inputs!$C$61),INDEX(Utility_Rates!$C$29:$F$52,HOUR(C4588)+Inputs!$C$69,MATCH(INDEX(Utility_Rates!$K$6:$K$17,MONTH(C4588))&amp;IF(WEEKDAY(C4588,Inputs!$C$76)&lt;=Inputs!$C$74," weekday"," weekend"),Utility_Rates!$C$28:$F$28,Inputs!$C$68)),"")</f>
      </c>
      <c r="H4588" s="34"/>
      <c r="I4588" s="42">
        <f>IF(AND(ISNUMBER(D4588),ISNUMBER(H4588)),D4588*H4588*Inputs!$C$69,"")</f>
      </c>
      <c r="J4588" s="42">
        <f>IF(AND(ISNUMBER(F4588),ISNUMBER(H4588),F4588&gt;=Inputs!$C$68),F4588*H4588*Inputs!$C$69,"")</f>
      </c>
    </row>
    <row r="4589" spans="2:10" ht="15" customHeight="1" x14ac:dyDescent="0.2">
      <c r="B4589" s="39">
        <f t="shared" si="34"/>
      </c>
      <c r="C4589" s="40">
        <f>IF(Inputs!$C$60,Inputs!$C$11+(B4589-Inputs!$C$69)/Inputs!$C$70,"")</f>
      </c>
      <c r="D4589" s="15"/>
      <c r="E4589" s="15"/>
      <c r="F4589" s="11">
        <f t="shared" si="35"/>
      </c>
      <c r="G4589" s="22" cm="1">
        <f t="array" ref="G4589">IF(AND(Inputs!$C$60,Inputs!$C$61),INDEX(Utility_Rates!$C$29:$F$52,HOUR(C4589)+Inputs!$C$69,MATCH(INDEX(Utility_Rates!$K$6:$K$17,MONTH(C4589))&amp;IF(WEEKDAY(C4589,Inputs!$C$76)&lt;=Inputs!$C$74," weekday"," weekend"),Utility_Rates!$C$28:$F$28,Inputs!$C$68)),"")</f>
      </c>
      <c r="H4589" s="34"/>
      <c r="I4589" s="42">
        <f>IF(AND(ISNUMBER(D4589),ISNUMBER(H4589)),D4589*H4589*Inputs!$C$69,"")</f>
      </c>
      <c r="J4589" s="42">
        <f>IF(AND(ISNUMBER(F4589),ISNUMBER(H4589),F4589&gt;=Inputs!$C$68),F4589*H4589*Inputs!$C$69,"")</f>
      </c>
    </row>
    <row r="4590" spans="2:10" ht="15" customHeight="1" x14ac:dyDescent="0.2">
      <c r="B4590" s="39">
        <f t="shared" si="34"/>
      </c>
      <c r="C4590" s="40">
        <f>IF(Inputs!$C$60,Inputs!$C$11+(B4590-Inputs!$C$69)/Inputs!$C$70,"")</f>
      </c>
      <c r="D4590" s="15"/>
      <c r="E4590" s="15"/>
      <c r="F4590" s="11">
        <f t="shared" si="35"/>
      </c>
      <c r="G4590" s="22" cm="1">
        <f t="array" ref="G4590">IF(AND(Inputs!$C$60,Inputs!$C$61),INDEX(Utility_Rates!$C$29:$F$52,HOUR(C4590)+Inputs!$C$69,MATCH(INDEX(Utility_Rates!$K$6:$K$17,MONTH(C4590))&amp;IF(WEEKDAY(C4590,Inputs!$C$76)&lt;=Inputs!$C$74," weekday"," weekend"),Utility_Rates!$C$28:$F$28,Inputs!$C$68)),"")</f>
      </c>
      <c r="H4590" s="34"/>
      <c r="I4590" s="42">
        <f>IF(AND(ISNUMBER(D4590),ISNUMBER(H4590)),D4590*H4590*Inputs!$C$69,"")</f>
      </c>
      <c r="J4590" s="42">
        <f>IF(AND(ISNUMBER(F4590),ISNUMBER(H4590),F4590&gt;=Inputs!$C$68),F4590*H4590*Inputs!$C$69,"")</f>
      </c>
    </row>
    <row r="4591" spans="2:10" ht="15" customHeight="1" x14ac:dyDescent="0.2">
      <c r="B4591" s="39">
        <f t="shared" si="34"/>
      </c>
      <c r="C4591" s="40">
        <f>IF(Inputs!$C$60,Inputs!$C$11+(B4591-Inputs!$C$69)/Inputs!$C$70,"")</f>
      </c>
      <c r="D4591" s="15"/>
      <c r="E4591" s="15"/>
      <c r="F4591" s="11">
        <f t="shared" si="35"/>
      </c>
      <c r="G4591" s="22" cm="1">
        <f t="array" ref="G4591">IF(AND(Inputs!$C$60,Inputs!$C$61),INDEX(Utility_Rates!$C$29:$F$52,HOUR(C4591)+Inputs!$C$69,MATCH(INDEX(Utility_Rates!$K$6:$K$17,MONTH(C4591))&amp;IF(WEEKDAY(C4591,Inputs!$C$76)&lt;=Inputs!$C$74," weekday"," weekend"),Utility_Rates!$C$28:$F$28,Inputs!$C$68)),"")</f>
      </c>
      <c r="H4591" s="34"/>
      <c r="I4591" s="42">
        <f>IF(AND(ISNUMBER(D4591),ISNUMBER(H4591)),D4591*H4591*Inputs!$C$69,"")</f>
      </c>
      <c r="J4591" s="42">
        <f>IF(AND(ISNUMBER(F4591),ISNUMBER(H4591),F4591&gt;=Inputs!$C$68),F4591*H4591*Inputs!$C$69,"")</f>
      </c>
    </row>
    <row r="4592" spans="2:10" ht="15" customHeight="1" x14ac:dyDescent="0.2">
      <c r="B4592" s="39">
        <f t="shared" si="34"/>
      </c>
      <c r="C4592" s="40">
        <f>IF(Inputs!$C$60,Inputs!$C$11+(B4592-Inputs!$C$69)/Inputs!$C$70,"")</f>
      </c>
      <c r="D4592" s="15"/>
      <c r="E4592" s="15"/>
      <c r="F4592" s="11">
        <f t="shared" si="35"/>
      </c>
      <c r="G4592" s="22" cm="1">
        <f t="array" ref="G4592">IF(AND(Inputs!$C$60,Inputs!$C$61),INDEX(Utility_Rates!$C$29:$F$52,HOUR(C4592)+Inputs!$C$69,MATCH(INDEX(Utility_Rates!$K$6:$K$17,MONTH(C4592))&amp;IF(WEEKDAY(C4592,Inputs!$C$76)&lt;=Inputs!$C$74," weekday"," weekend"),Utility_Rates!$C$28:$F$28,Inputs!$C$68)),"")</f>
      </c>
      <c r="H4592" s="34"/>
      <c r="I4592" s="42">
        <f>IF(AND(ISNUMBER(D4592),ISNUMBER(H4592)),D4592*H4592*Inputs!$C$69,"")</f>
      </c>
      <c r="J4592" s="42">
        <f>IF(AND(ISNUMBER(F4592),ISNUMBER(H4592),F4592&gt;=Inputs!$C$68),F4592*H4592*Inputs!$C$69,"")</f>
      </c>
    </row>
    <row r="4593" spans="2:10" ht="15" customHeight="1" x14ac:dyDescent="0.2">
      <c r="B4593" s="39">
        <f t="shared" si="34"/>
      </c>
      <c r="C4593" s="40">
        <f>IF(Inputs!$C$60,Inputs!$C$11+(B4593-Inputs!$C$69)/Inputs!$C$70,"")</f>
      </c>
      <c r="D4593" s="15"/>
      <c r="E4593" s="15"/>
      <c r="F4593" s="11">
        <f t="shared" si="35"/>
      </c>
      <c r="G4593" s="22" cm="1">
        <f t="array" ref="G4593">IF(AND(Inputs!$C$60,Inputs!$C$61),INDEX(Utility_Rates!$C$29:$F$52,HOUR(C4593)+Inputs!$C$69,MATCH(INDEX(Utility_Rates!$K$6:$K$17,MONTH(C4593))&amp;IF(WEEKDAY(C4593,Inputs!$C$76)&lt;=Inputs!$C$74," weekday"," weekend"),Utility_Rates!$C$28:$F$28,Inputs!$C$68)),"")</f>
      </c>
      <c r="H4593" s="34"/>
      <c r="I4593" s="42">
        <f>IF(AND(ISNUMBER(D4593),ISNUMBER(H4593)),D4593*H4593*Inputs!$C$69,"")</f>
      </c>
      <c r="J4593" s="42">
        <f>IF(AND(ISNUMBER(F4593),ISNUMBER(H4593),F4593&gt;=Inputs!$C$68),F4593*H4593*Inputs!$C$69,"")</f>
      </c>
    </row>
    <row r="4594" spans="2:10" ht="15" customHeight="1" x14ac:dyDescent="0.2">
      <c r="B4594" s="39">
        <f t="shared" si="34"/>
      </c>
      <c r="C4594" s="40">
        <f>IF(Inputs!$C$60,Inputs!$C$11+(B4594-Inputs!$C$69)/Inputs!$C$70,"")</f>
      </c>
      <c r="D4594" s="15"/>
      <c r="E4594" s="15"/>
      <c r="F4594" s="11">
        <f t="shared" si="35"/>
      </c>
      <c r="G4594" s="22" cm="1">
        <f t="array" ref="G4594">IF(AND(Inputs!$C$60,Inputs!$C$61),INDEX(Utility_Rates!$C$29:$F$52,HOUR(C4594)+Inputs!$C$69,MATCH(INDEX(Utility_Rates!$K$6:$K$17,MONTH(C4594))&amp;IF(WEEKDAY(C4594,Inputs!$C$76)&lt;=Inputs!$C$74," weekday"," weekend"),Utility_Rates!$C$28:$F$28,Inputs!$C$68)),"")</f>
      </c>
      <c r="H4594" s="34"/>
      <c r="I4594" s="42">
        <f>IF(AND(ISNUMBER(D4594),ISNUMBER(H4594)),D4594*H4594*Inputs!$C$69,"")</f>
      </c>
      <c r="J4594" s="42">
        <f>IF(AND(ISNUMBER(F4594),ISNUMBER(H4594),F4594&gt;=Inputs!$C$68),F4594*H4594*Inputs!$C$69,"")</f>
      </c>
    </row>
    <row r="4595" spans="2:10" ht="15" customHeight="1" x14ac:dyDescent="0.2">
      <c r="B4595" s="39">
        <f t="shared" si="34"/>
      </c>
      <c r="C4595" s="40">
        <f>IF(Inputs!$C$60,Inputs!$C$11+(B4595-Inputs!$C$69)/Inputs!$C$70,"")</f>
      </c>
      <c r="D4595" s="15"/>
      <c r="E4595" s="15"/>
      <c r="F4595" s="11">
        <f t="shared" si="35"/>
      </c>
      <c r="G4595" s="22" cm="1">
        <f t="array" ref="G4595">IF(AND(Inputs!$C$60,Inputs!$C$61),INDEX(Utility_Rates!$C$29:$F$52,HOUR(C4595)+Inputs!$C$69,MATCH(INDEX(Utility_Rates!$K$6:$K$17,MONTH(C4595))&amp;IF(WEEKDAY(C4595,Inputs!$C$76)&lt;=Inputs!$C$74," weekday"," weekend"),Utility_Rates!$C$28:$F$28,Inputs!$C$68)),"")</f>
      </c>
      <c r="H4595" s="34"/>
      <c r="I4595" s="42">
        <f>IF(AND(ISNUMBER(D4595),ISNUMBER(H4595)),D4595*H4595*Inputs!$C$69,"")</f>
      </c>
      <c r="J4595" s="42">
        <f>IF(AND(ISNUMBER(F4595),ISNUMBER(H4595),F4595&gt;=Inputs!$C$68),F4595*H4595*Inputs!$C$69,"")</f>
      </c>
    </row>
    <row r="4596" spans="2:10" ht="15" customHeight="1" x14ac:dyDescent="0.2">
      <c r="B4596" s="39">
        <f t="shared" ref="B4596:B4850" si="36">ROW()-ROW($B$5)</f>
      </c>
      <c r="C4596" s="40">
        <f>IF(Inputs!$C$60,Inputs!$C$11+(B4596-Inputs!$C$69)/Inputs!$C$70,"")</f>
      </c>
      <c r="D4596" s="15"/>
      <c r="E4596" s="15"/>
      <c r="F4596" s="11">
        <f t="shared" ref="F4596:F4850" si="37">IF(COUNT(D4596:E4596)=COLUMNS(D4596:E4596),D4596-E4596,"")</f>
      </c>
      <c r="G4596" s="22" cm="1">
        <f t="array" ref="G4596">IF(AND(Inputs!$C$60,Inputs!$C$61),INDEX(Utility_Rates!$C$29:$F$52,HOUR(C4596)+Inputs!$C$69,MATCH(INDEX(Utility_Rates!$K$6:$K$17,MONTH(C4596))&amp;IF(WEEKDAY(C4596,Inputs!$C$76)&lt;=Inputs!$C$74," weekday"," weekend"),Utility_Rates!$C$28:$F$28,Inputs!$C$68)),"")</f>
      </c>
      <c r="H4596" s="34"/>
      <c r="I4596" s="42">
        <f>IF(AND(ISNUMBER(D4596),ISNUMBER(H4596)),D4596*H4596*Inputs!$C$69,"")</f>
      </c>
      <c r="J4596" s="42">
        <f>IF(AND(ISNUMBER(F4596),ISNUMBER(H4596),F4596&gt;=Inputs!$C$68),F4596*H4596*Inputs!$C$69,"")</f>
      </c>
    </row>
    <row r="4597" spans="2:10" ht="15" customHeight="1" x14ac:dyDescent="0.2">
      <c r="B4597" s="39">
        <f t="shared" si="36"/>
      </c>
      <c r="C4597" s="40">
        <f>IF(Inputs!$C$60,Inputs!$C$11+(B4597-Inputs!$C$69)/Inputs!$C$70,"")</f>
      </c>
      <c r="D4597" s="15"/>
      <c r="E4597" s="15"/>
      <c r="F4597" s="11">
        <f t="shared" si="37"/>
      </c>
      <c r="G4597" s="22" cm="1">
        <f t="array" ref="G4597">IF(AND(Inputs!$C$60,Inputs!$C$61),INDEX(Utility_Rates!$C$29:$F$52,HOUR(C4597)+Inputs!$C$69,MATCH(INDEX(Utility_Rates!$K$6:$K$17,MONTH(C4597))&amp;IF(WEEKDAY(C4597,Inputs!$C$76)&lt;=Inputs!$C$74," weekday"," weekend"),Utility_Rates!$C$28:$F$28,Inputs!$C$68)),"")</f>
      </c>
      <c r="H4597" s="34"/>
      <c r="I4597" s="42">
        <f>IF(AND(ISNUMBER(D4597),ISNUMBER(H4597)),D4597*H4597*Inputs!$C$69,"")</f>
      </c>
      <c r="J4597" s="42">
        <f>IF(AND(ISNUMBER(F4597),ISNUMBER(H4597),F4597&gt;=Inputs!$C$68),F4597*H4597*Inputs!$C$69,"")</f>
      </c>
    </row>
    <row r="4598" spans="2:10" ht="15" customHeight="1" x14ac:dyDescent="0.2">
      <c r="B4598" s="39">
        <f t="shared" si="36"/>
      </c>
      <c r="C4598" s="40">
        <f>IF(Inputs!$C$60,Inputs!$C$11+(B4598-Inputs!$C$69)/Inputs!$C$70,"")</f>
      </c>
      <c r="D4598" s="15"/>
      <c r="E4598" s="15"/>
      <c r="F4598" s="11">
        <f t="shared" si="37"/>
      </c>
      <c r="G4598" s="22" cm="1">
        <f t="array" ref="G4598">IF(AND(Inputs!$C$60,Inputs!$C$61),INDEX(Utility_Rates!$C$29:$F$52,HOUR(C4598)+Inputs!$C$69,MATCH(INDEX(Utility_Rates!$K$6:$K$17,MONTH(C4598))&amp;IF(WEEKDAY(C4598,Inputs!$C$76)&lt;=Inputs!$C$74," weekday"," weekend"),Utility_Rates!$C$28:$F$28,Inputs!$C$68)),"")</f>
      </c>
      <c r="H4598" s="34"/>
      <c r="I4598" s="42">
        <f>IF(AND(ISNUMBER(D4598),ISNUMBER(H4598)),D4598*H4598*Inputs!$C$69,"")</f>
      </c>
      <c r="J4598" s="42">
        <f>IF(AND(ISNUMBER(F4598),ISNUMBER(H4598),F4598&gt;=Inputs!$C$68),F4598*H4598*Inputs!$C$69,"")</f>
      </c>
    </row>
    <row r="4599" spans="2:10" ht="15" customHeight="1" x14ac:dyDescent="0.2">
      <c r="B4599" s="39">
        <f t="shared" si="36"/>
      </c>
      <c r="C4599" s="40">
        <f>IF(Inputs!$C$60,Inputs!$C$11+(B4599-Inputs!$C$69)/Inputs!$C$70,"")</f>
      </c>
      <c r="D4599" s="15"/>
      <c r="E4599" s="15"/>
      <c r="F4599" s="11">
        <f t="shared" si="37"/>
      </c>
      <c r="G4599" s="22" cm="1">
        <f t="array" ref="G4599">IF(AND(Inputs!$C$60,Inputs!$C$61),INDEX(Utility_Rates!$C$29:$F$52,HOUR(C4599)+Inputs!$C$69,MATCH(INDEX(Utility_Rates!$K$6:$K$17,MONTH(C4599))&amp;IF(WEEKDAY(C4599,Inputs!$C$76)&lt;=Inputs!$C$74," weekday"," weekend"),Utility_Rates!$C$28:$F$28,Inputs!$C$68)),"")</f>
      </c>
      <c r="H4599" s="34"/>
      <c r="I4599" s="42">
        <f>IF(AND(ISNUMBER(D4599),ISNUMBER(H4599)),D4599*H4599*Inputs!$C$69,"")</f>
      </c>
      <c r="J4599" s="42">
        <f>IF(AND(ISNUMBER(F4599),ISNUMBER(H4599),F4599&gt;=Inputs!$C$68),F4599*H4599*Inputs!$C$69,"")</f>
      </c>
    </row>
    <row r="4600" spans="2:10" ht="15" customHeight="1" x14ac:dyDescent="0.2">
      <c r="B4600" s="39">
        <f t="shared" si="36"/>
      </c>
      <c r="C4600" s="40">
        <f>IF(Inputs!$C$60,Inputs!$C$11+(B4600-Inputs!$C$69)/Inputs!$C$70,"")</f>
      </c>
      <c r="D4600" s="15"/>
      <c r="E4600" s="15"/>
      <c r="F4600" s="11">
        <f t="shared" si="37"/>
      </c>
      <c r="G4600" s="22" cm="1">
        <f t="array" ref="G4600">IF(AND(Inputs!$C$60,Inputs!$C$61),INDEX(Utility_Rates!$C$29:$F$52,HOUR(C4600)+Inputs!$C$69,MATCH(INDEX(Utility_Rates!$K$6:$K$17,MONTH(C4600))&amp;IF(WEEKDAY(C4600,Inputs!$C$76)&lt;=Inputs!$C$74," weekday"," weekend"),Utility_Rates!$C$28:$F$28,Inputs!$C$68)),"")</f>
      </c>
      <c r="H4600" s="34"/>
      <c r="I4600" s="42">
        <f>IF(AND(ISNUMBER(D4600),ISNUMBER(H4600)),D4600*H4600*Inputs!$C$69,"")</f>
      </c>
      <c r="J4600" s="42">
        <f>IF(AND(ISNUMBER(F4600),ISNUMBER(H4600),F4600&gt;=Inputs!$C$68),F4600*H4600*Inputs!$C$69,"")</f>
      </c>
    </row>
    <row r="4601" spans="2:10" ht="15" customHeight="1" x14ac:dyDescent="0.2">
      <c r="B4601" s="39">
        <f t="shared" si="36"/>
      </c>
      <c r="C4601" s="40">
        <f>IF(Inputs!$C$60,Inputs!$C$11+(B4601-Inputs!$C$69)/Inputs!$C$70,"")</f>
      </c>
      <c r="D4601" s="15"/>
      <c r="E4601" s="15"/>
      <c r="F4601" s="11">
        <f t="shared" si="37"/>
      </c>
      <c r="G4601" s="22" cm="1">
        <f t="array" ref="G4601">IF(AND(Inputs!$C$60,Inputs!$C$61),INDEX(Utility_Rates!$C$29:$F$52,HOUR(C4601)+Inputs!$C$69,MATCH(INDEX(Utility_Rates!$K$6:$K$17,MONTH(C4601))&amp;IF(WEEKDAY(C4601,Inputs!$C$76)&lt;=Inputs!$C$74," weekday"," weekend"),Utility_Rates!$C$28:$F$28,Inputs!$C$68)),"")</f>
      </c>
      <c r="H4601" s="34"/>
      <c r="I4601" s="42">
        <f>IF(AND(ISNUMBER(D4601),ISNUMBER(H4601)),D4601*H4601*Inputs!$C$69,"")</f>
      </c>
      <c r="J4601" s="42">
        <f>IF(AND(ISNUMBER(F4601),ISNUMBER(H4601),F4601&gt;=Inputs!$C$68),F4601*H4601*Inputs!$C$69,"")</f>
      </c>
    </row>
    <row r="4602" spans="2:10" ht="15" customHeight="1" x14ac:dyDescent="0.2">
      <c r="B4602" s="39">
        <f t="shared" si="36"/>
      </c>
      <c r="C4602" s="40">
        <f>IF(Inputs!$C$60,Inputs!$C$11+(B4602-Inputs!$C$69)/Inputs!$C$70,"")</f>
      </c>
      <c r="D4602" s="15"/>
      <c r="E4602" s="15"/>
      <c r="F4602" s="11">
        <f t="shared" si="37"/>
      </c>
      <c r="G4602" s="22" cm="1">
        <f t="array" ref="G4602">IF(AND(Inputs!$C$60,Inputs!$C$61),INDEX(Utility_Rates!$C$29:$F$52,HOUR(C4602)+Inputs!$C$69,MATCH(INDEX(Utility_Rates!$K$6:$K$17,MONTH(C4602))&amp;IF(WEEKDAY(C4602,Inputs!$C$76)&lt;=Inputs!$C$74," weekday"," weekend"),Utility_Rates!$C$28:$F$28,Inputs!$C$68)),"")</f>
      </c>
      <c r="H4602" s="34"/>
      <c r="I4602" s="42">
        <f>IF(AND(ISNUMBER(D4602),ISNUMBER(H4602)),D4602*H4602*Inputs!$C$69,"")</f>
      </c>
      <c r="J4602" s="42">
        <f>IF(AND(ISNUMBER(F4602),ISNUMBER(H4602),F4602&gt;=Inputs!$C$68),F4602*H4602*Inputs!$C$69,"")</f>
      </c>
    </row>
    <row r="4603" spans="2:10" ht="15" customHeight="1" x14ac:dyDescent="0.2">
      <c r="B4603" s="39">
        <f t="shared" si="36"/>
      </c>
      <c r="C4603" s="40">
        <f>IF(Inputs!$C$60,Inputs!$C$11+(B4603-Inputs!$C$69)/Inputs!$C$70,"")</f>
      </c>
      <c r="D4603" s="15"/>
      <c r="E4603" s="15"/>
      <c r="F4603" s="11">
        <f t="shared" si="37"/>
      </c>
      <c r="G4603" s="22" cm="1">
        <f t="array" ref="G4603">IF(AND(Inputs!$C$60,Inputs!$C$61),INDEX(Utility_Rates!$C$29:$F$52,HOUR(C4603)+Inputs!$C$69,MATCH(INDEX(Utility_Rates!$K$6:$K$17,MONTH(C4603))&amp;IF(WEEKDAY(C4603,Inputs!$C$76)&lt;=Inputs!$C$74," weekday"," weekend"),Utility_Rates!$C$28:$F$28,Inputs!$C$68)),"")</f>
      </c>
      <c r="H4603" s="34"/>
      <c r="I4603" s="42">
        <f>IF(AND(ISNUMBER(D4603),ISNUMBER(H4603)),D4603*H4603*Inputs!$C$69,"")</f>
      </c>
      <c r="J4603" s="42">
        <f>IF(AND(ISNUMBER(F4603),ISNUMBER(H4603),F4603&gt;=Inputs!$C$68),F4603*H4603*Inputs!$C$69,"")</f>
      </c>
    </row>
    <row r="4604" spans="2:10" ht="15" customHeight="1" x14ac:dyDescent="0.2">
      <c r="B4604" s="39">
        <f t="shared" si="36"/>
      </c>
      <c r="C4604" s="40">
        <f>IF(Inputs!$C$60,Inputs!$C$11+(B4604-Inputs!$C$69)/Inputs!$C$70,"")</f>
      </c>
      <c r="D4604" s="15"/>
      <c r="E4604" s="15"/>
      <c r="F4604" s="11">
        <f t="shared" si="37"/>
      </c>
      <c r="G4604" s="22" cm="1">
        <f t="array" ref="G4604">IF(AND(Inputs!$C$60,Inputs!$C$61),INDEX(Utility_Rates!$C$29:$F$52,HOUR(C4604)+Inputs!$C$69,MATCH(INDEX(Utility_Rates!$K$6:$K$17,MONTH(C4604))&amp;IF(WEEKDAY(C4604,Inputs!$C$76)&lt;=Inputs!$C$74," weekday"," weekend"),Utility_Rates!$C$28:$F$28,Inputs!$C$68)),"")</f>
      </c>
      <c r="H4604" s="34"/>
      <c r="I4604" s="42">
        <f>IF(AND(ISNUMBER(D4604),ISNUMBER(H4604)),D4604*H4604*Inputs!$C$69,"")</f>
      </c>
      <c r="J4604" s="42">
        <f>IF(AND(ISNUMBER(F4604),ISNUMBER(H4604),F4604&gt;=Inputs!$C$68),F4604*H4604*Inputs!$C$69,"")</f>
      </c>
    </row>
    <row r="4605" spans="2:10" ht="15" customHeight="1" x14ac:dyDescent="0.2">
      <c r="B4605" s="39">
        <f t="shared" si="36"/>
      </c>
      <c r="C4605" s="40">
        <f>IF(Inputs!$C$60,Inputs!$C$11+(B4605-Inputs!$C$69)/Inputs!$C$70,"")</f>
      </c>
      <c r="D4605" s="15"/>
      <c r="E4605" s="15"/>
      <c r="F4605" s="11">
        <f t="shared" si="37"/>
      </c>
      <c r="G4605" s="22" cm="1">
        <f t="array" ref="G4605">IF(AND(Inputs!$C$60,Inputs!$C$61),INDEX(Utility_Rates!$C$29:$F$52,HOUR(C4605)+Inputs!$C$69,MATCH(INDEX(Utility_Rates!$K$6:$K$17,MONTH(C4605))&amp;IF(WEEKDAY(C4605,Inputs!$C$76)&lt;=Inputs!$C$74," weekday"," weekend"),Utility_Rates!$C$28:$F$28,Inputs!$C$68)),"")</f>
      </c>
      <c r="H4605" s="34"/>
      <c r="I4605" s="42">
        <f>IF(AND(ISNUMBER(D4605),ISNUMBER(H4605)),D4605*H4605*Inputs!$C$69,"")</f>
      </c>
      <c r="J4605" s="42">
        <f>IF(AND(ISNUMBER(F4605),ISNUMBER(H4605),F4605&gt;=Inputs!$C$68),F4605*H4605*Inputs!$C$69,"")</f>
      </c>
    </row>
    <row r="4606" spans="2:10" ht="15" customHeight="1" x14ac:dyDescent="0.2">
      <c r="B4606" s="39">
        <f t="shared" si="36"/>
      </c>
      <c r="C4606" s="40">
        <f>IF(Inputs!$C$60,Inputs!$C$11+(B4606-Inputs!$C$69)/Inputs!$C$70,"")</f>
      </c>
      <c r="D4606" s="15"/>
      <c r="E4606" s="15"/>
      <c r="F4606" s="11">
        <f t="shared" si="37"/>
      </c>
      <c r="G4606" s="22" cm="1">
        <f t="array" ref="G4606">IF(AND(Inputs!$C$60,Inputs!$C$61),INDEX(Utility_Rates!$C$29:$F$52,HOUR(C4606)+Inputs!$C$69,MATCH(INDEX(Utility_Rates!$K$6:$K$17,MONTH(C4606))&amp;IF(WEEKDAY(C4606,Inputs!$C$76)&lt;=Inputs!$C$74," weekday"," weekend"),Utility_Rates!$C$28:$F$28,Inputs!$C$68)),"")</f>
      </c>
      <c r="H4606" s="34"/>
      <c r="I4606" s="42">
        <f>IF(AND(ISNUMBER(D4606),ISNUMBER(H4606)),D4606*H4606*Inputs!$C$69,"")</f>
      </c>
      <c r="J4606" s="42">
        <f>IF(AND(ISNUMBER(F4606),ISNUMBER(H4606),F4606&gt;=Inputs!$C$68),F4606*H4606*Inputs!$C$69,"")</f>
      </c>
    </row>
    <row r="4607" spans="2:10" ht="15" customHeight="1" x14ac:dyDescent="0.2">
      <c r="B4607" s="39">
        <f t="shared" si="36"/>
      </c>
      <c r="C4607" s="40">
        <f>IF(Inputs!$C$60,Inputs!$C$11+(B4607-Inputs!$C$69)/Inputs!$C$70,"")</f>
      </c>
      <c r="D4607" s="15"/>
      <c r="E4607" s="15"/>
      <c r="F4607" s="11">
        <f t="shared" si="37"/>
      </c>
      <c r="G4607" s="22" cm="1">
        <f t="array" ref="G4607">IF(AND(Inputs!$C$60,Inputs!$C$61),INDEX(Utility_Rates!$C$29:$F$52,HOUR(C4607)+Inputs!$C$69,MATCH(INDEX(Utility_Rates!$K$6:$K$17,MONTH(C4607))&amp;IF(WEEKDAY(C4607,Inputs!$C$76)&lt;=Inputs!$C$74," weekday"," weekend"),Utility_Rates!$C$28:$F$28,Inputs!$C$68)),"")</f>
      </c>
      <c r="H4607" s="34"/>
      <c r="I4607" s="42">
        <f>IF(AND(ISNUMBER(D4607),ISNUMBER(H4607)),D4607*H4607*Inputs!$C$69,"")</f>
      </c>
      <c r="J4607" s="42">
        <f>IF(AND(ISNUMBER(F4607),ISNUMBER(H4607),F4607&gt;=Inputs!$C$68),F4607*H4607*Inputs!$C$69,"")</f>
      </c>
    </row>
    <row r="4608" spans="2:10" ht="15" customHeight="1" x14ac:dyDescent="0.2">
      <c r="B4608" s="39">
        <f t="shared" si="36"/>
      </c>
      <c r="C4608" s="40">
        <f>IF(Inputs!$C$60,Inputs!$C$11+(B4608-Inputs!$C$69)/Inputs!$C$70,"")</f>
      </c>
      <c r="D4608" s="15"/>
      <c r="E4608" s="15"/>
      <c r="F4608" s="11">
        <f t="shared" si="37"/>
      </c>
      <c r="G4608" s="22" cm="1">
        <f t="array" ref="G4608">IF(AND(Inputs!$C$60,Inputs!$C$61),INDEX(Utility_Rates!$C$29:$F$52,HOUR(C4608)+Inputs!$C$69,MATCH(INDEX(Utility_Rates!$K$6:$K$17,MONTH(C4608))&amp;IF(WEEKDAY(C4608,Inputs!$C$76)&lt;=Inputs!$C$74," weekday"," weekend"),Utility_Rates!$C$28:$F$28,Inputs!$C$68)),"")</f>
      </c>
      <c r="H4608" s="34"/>
      <c r="I4608" s="42">
        <f>IF(AND(ISNUMBER(D4608),ISNUMBER(H4608)),D4608*H4608*Inputs!$C$69,"")</f>
      </c>
      <c r="J4608" s="42">
        <f>IF(AND(ISNUMBER(F4608),ISNUMBER(H4608),F4608&gt;=Inputs!$C$68),F4608*H4608*Inputs!$C$69,"")</f>
      </c>
    </row>
    <row r="4609" spans="2:10" ht="15" customHeight="1" x14ac:dyDescent="0.2">
      <c r="B4609" s="39">
        <f t="shared" si="36"/>
      </c>
      <c r="C4609" s="40">
        <f>IF(Inputs!$C$60,Inputs!$C$11+(B4609-Inputs!$C$69)/Inputs!$C$70,"")</f>
      </c>
      <c r="D4609" s="15"/>
      <c r="E4609" s="15"/>
      <c r="F4609" s="11">
        <f t="shared" si="37"/>
      </c>
      <c r="G4609" s="22" cm="1">
        <f t="array" ref="G4609">IF(AND(Inputs!$C$60,Inputs!$C$61),INDEX(Utility_Rates!$C$29:$F$52,HOUR(C4609)+Inputs!$C$69,MATCH(INDEX(Utility_Rates!$K$6:$K$17,MONTH(C4609))&amp;IF(WEEKDAY(C4609,Inputs!$C$76)&lt;=Inputs!$C$74," weekday"," weekend"),Utility_Rates!$C$28:$F$28,Inputs!$C$68)),"")</f>
      </c>
      <c r="H4609" s="34"/>
      <c r="I4609" s="42">
        <f>IF(AND(ISNUMBER(D4609),ISNUMBER(H4609)),D4609*H4609*Inputs!$C$69,"")</f>
      </c>
      <c r="J4609" s="42">
        <f>IF(AND(ISNUMBER(F4609),ISNUMBER(H4609),F4609&gt;=Inputs!$C$68),F4609*H4609*Inputs!$C$69,"")</f>
      </c>
    </row>
    <row r="4610" spans="2:10" ht="15" customHeight="1" x14ac:dyDescent="0.2">
      <c r="B4610" s="39">
        <f t="shared" si="36"/>
      </c>
      <c r="C4610" s="40">
        <f>IF(Inputs!$C$60,Inputs!$C$11+(B4610-Inputs!$C$69)/Inputs!$C$70,"")</f>
      </c>
      <c r="D4610" s="15"/>
      <c r="E4610" s="15"/>
      <c r="F4610" s="11">
        <f t="shared" si="37"/>
      </c>
      <c r="G4610" s="22" cm="1">
        <f t="array" ref="G4610">IF(AND(Inputs!$C$60,Inputs!$C$61),INDEX(Utility_Rates!$C$29:$F$52,HOUR(C4610)+Inputs!$C$69,MATCH(INDEX(Utility_Rates!$K$6:$K$17,MONTH(C4610))&amp;IF(WEEKDAY(C4610,Inputs!$C$76)&lt;=Inputs!$C$74," weekday"," weekend"),Utility_Rates!$C$28:$F$28,Inputs!$C$68)),"")</f>
      </c>
      <c r="H4610" s="34"/>
      <c r="I4610" s="42">
        <f>IF(AND(ISNUMBER(D4610),ISNUMBER(H4610)),D4610*H4610*Inputs!$C$69,"")</f>
      </c>
      <c r="J4610" s="42">
        <f>IF(AND(ISNUMBER(F4610),ISNUMBER(H4610),F4610&gt;=Inputs!$C$68),F4610*H4610*Inputs!$C$69,"")</f>
      </c>
    </row>
    <row r="4611" spans="2:10" ht="15" customHeight="1" x14ac:dyDescent="0.2">
      <c r="B4611" s="39">
        <f t="shared" si="36"/>
      </c>
      <c r="C4611" s="40">
        <f>IF(Inputs!$C$60,Inputs!$C$11+(B4611-Inputs!$C$69)/Inputs!$C$70,"")</f>
      </c>
      <c r="D4611" s="15"/>
      <c r="E4611" s="15"/>
      <c r="F4611" s="11">
        <f t="shared" si="37"/>
      </c>
      <c r="G4611" s="22" cm="1">
        <f t="array" ref="G4611">IF(AND(Inputs!$C$60,Inputs!$C$61),INDEX(Utility_Rates!$C$29:$F$52,HOUR(C4611)+Inputs!$C$69,MATCH(INDEX(Utility_Rates!$K$6:$K$17,MONTH(C4611))&amp;IF(WEEKDAY(C4611,Inputs!$C$76)&lt;=Inputs!$C$74," weekday"," weekend"),Utility_Rates!$C$28:$F$28,Inputs!$C$68)),"")</f>
      </c>
      <c r="H4611" s="34"/>
      <c r="I4611" s="42">
        <f>IF(AND(ISNUMBER(D4611),ISNUMBER(H4611)),D4611*H4611*Inputs!$C$69,"")</f>
      </c>
      <c r="J4611" s="42">
        <f>IF(AND(ISNUMBER(F4611),ISNUMBER(H4611),F4611&gt;=Inputs!$C$68),F4611*H4611*Inputs!$C$69,"")</f>
      </c>
    </row>
    <row r="4612" spans="2:10" ht="15" customHeight="1" x14ac:dyDescent="0.2">
      <c r="B4612" s="39">
        <f t="shared" si="36"/>
      </c>
      <c r="C4612" s="40">
        <f>IF(Inputs!$C$60,Inputs!$C$11+(B4612-Inputs!$C$69)/Inputs!$C$70,"")</f>
      </c>
      <c r="D4612" s="15"/>
      <c r="E4612" s="15"/>
      <c r="F4612" s="11">
        <f t="shared" si="37"/>
      </c>
      <c r="G4612" s="22" cm="1">
        <f t="array" ref="G4612">IF(AND(Inputs!$C$60,Inputs!$C$61),INDEX(Utility_Rates!$C$29:$F$52,HOUR(C4612)+Inputs!$C$69,MATCH(INDEX(Utility_Rates!$K$6:$K$17,MONTH(C4612))&amp;IF(WEEKDAY(C4612,Inputs!$C$76)&lt;=Inputs!$C$74," weekday"," weekend"),Utility_Rates!$C$28:$F$28,Inputs!$C$68)),"")</f>
      </c>
      <c r="H4612" s="34"/>
      <c r="I4612" s="42">
        <f>IF(AND(ISNUMBER(D4612),ISNUMBER(H4612)),D4612*H4612*Inputs!$C$69,"")</f>
      </c>
      <c r="J4612" s="42">
        <f>IF(AND(ISNUMBER(F4612),ISNUMBER(H4612),F4612&gt;=Inputs!$C$68),F4612*H4612*Inputs!$C$69,"")</f>
      </c>
    </row>
    <row r="4613" spans="2:10" ht="15" customHeight="1" x14ac:dyDescent="0.2">
      <c r="B4613" s="39">
        <f t="shared" si="36"/>
      </c>
      <c r="C4613" s="40">
        <f>IF(Inputs!$C$60,Inputs!$C$11+(B4613-Inputs!$C$69)/Inputs!$C$70,"")</f>
      </c>
      <c r="D4613" s="15"/>
      <c r="E4613" s="15"/>
      <c r="F4613" s="11">
        <f t="shared" si="37"/>
      </c>
      <c r="G4613" s="22" cm="1">
        <f t="array" ref="G4613">IF(AND(Inputs!$C$60,Inputs!$C$61),INDEX(Utility_Rates!$C$29:$F$52,HOUR(C4613)+Inputs!$C$69,MATCH(INDEX(Utility_Rates!$K$6:$K$17,MONTH(C4613))&amp;IF(WEEKDAY(C4613,Inputs!$C$76)&lt;=Inputs!$C$74," weekday"," weekend"),Utility_Rates!$C$28:$F$28,Inputs!$C$68)),"")</f>
      </c>
      <c r="H4613" s="34"/>
      <c r="I4613" s="42">
        <f>IF(AND(ISNUMBER(D4613),ISNUMBER(H4613)),D4613*H4613*Inputs!$C$69,"")</f>
      </c>
      <c r="J4613" s="42">
        <f>IF(AND(ISNUMBER(F4613),ISNUMBER(H4613),F4613&gt;=Inputs!$C$68),F4613*H4613*Inputs!$C$69,"")</f>
      </c>
    </row>
    <row r="4614" spans="2:10" ht="15" customHeight="1" x14ac:dyDescent="0.2">
      <c r="B4614" s="39">
        <f t="shared" si="36"/>
      </c>
      <c r="C4614" s="40">
        <f>IF(Inputs!$C$60,Inputs!$C$11+(B4614-Inputs!$C$69)/Inputs!$C$70,"")</f>
      </c>
      <c r="D4614" s="15"/>
      <c r="E4614" s="15"/>
      <c r="F4614" s="11">
        <f t="shared" si="37"/>
      </c>
      <c r="G4614" s="22" cm="1">
        <f t="array" ref="G4614">IF(AND(Inputs!$C$60,Inputs!$C$61),INDEX(Utility_Rates!$C$29:$F$52,HOUR(C4614)+Inputs!$C$69,MATCH(INDEX(Utility_Rates!$K$6:$K$17,MONTH(C4614))&amp;IF(WEEKDAY(C4614,Inputs!$C$76)&lt;=Inputs!$C$74," weekday"," weekend"),Utility_Rates!$C$28:$F$28,Inputs!$C$68)),"")</f>
      </c>
      <c r="H4614" s="34"/>
      <c r="I4614" s="42">
        <f>IF(AND(ISNUMBER(D4614),ISNUMBER(H4614)),D4614*H4614*Inputs!$C$69,"")</f>
      </c>
      <c r="J4614" s="42">
        <f>IF(AND(ISNUMBER(F4614),ISNUMBER(H4614),F4614&gt;=Inputs!$C$68),F4614*H4614*Inputs!$C$69,"")</f>
      </c>
    </row>
    <row r="4615" spans="2:10" ht="15" customHeight="1" x14ac:dyDescent="0.2">
      <c r="B4615" s="39">
        <f t="shared" si="36"/>
      </c>
      <c r="C4615" s="40">
        <f>IF(Inputs!$C$60,Inputs!$C$11+(B4615-Inputs!$C$69)/Inputs!$C$70,"")</f>
      </c>
      <c r="D4615" s="15"/>
      <c r="E4615" s="15"/>
      <c r="F4615" s="11">
        <f t="shared" si="37"/>
      </c>
      <c r="G4615" s="22" cm="1">
        <f t="array" ref="G4615">IF(AND(Inputs!$C$60,Inputs!$C$61),INDEX(Utility_Rates!$C$29:$F$52,HOUR(C4615)+Inputs!$C$69,MATCH(INDEX(Utility_Rates!$K$6:$K$17,MONTH(C4615))&amp;IF(WEEKDAY(C4615,Inputs!$C$76)&lt;=Inputs!$C$74," weekday"," weekend"),Utility_Rates!$C$28:$F$28,Inputs!$C$68)),"")</f>
      </c>
      <c r="H4615" s="34"/>
      <c r="I4615" s="42">
        <f>IF(AND(ISNUMBER(D4615),ISNUMBER(H4615)),D4615*H4615*Inputs!$C$69,"")</f>
      </c>
      <c r="J4615" s="42">
        <f>IF(AND(ISNUMBER(F4615),ISNUMBER(H4615),F4615&gt;=Inputs!$C$68),F4615*H4615*Inputs!$C$69,"")</f>
      </c>
    </row>
    <row r="4616" spans="2:10" ht="15" customHeight="1" x14ac:dyDescent="0.2">
      <c r="B4616" s="39">
        <f t="shared" si="36"/>
      </c>
      <c r="C4616" s="40">
        <f>IF(Inputs!$C$60,Inputs!$C$11+(B4616-Inputs!$C$69)/Inputs!$C$70,"")</f>
      </c>
      <c r="D4616" s="15"/>
      <c r="E4616" s="15"/>
      <c r="F4616" s="11">
        <f t="shared" si="37"/>
      </c>
      <c r="G4616" s="22" cm="1">
        <f t="array" ref="G4616">IF(AND(Inputs!$C$60,Inputs!$C$61),INDEX(Utility_Rates!$C$29:$F$52,HOUR(C4616)+Inputs!$C$69,MATCH(INDEX(Utility_Rates!$K$6:$K$17,MONTH(C4616))&amp;IF(WEEKDAY(C4616,Inputs!$C$76)&lt;=Inputs!$C$74," weekday"," weekend"),Utility_Rates!$C$28:$F$28,Inputs!$C$68)),"")</f>
      </c>
      <c r="H4616" s="34"/>
      <c r="I4616" s="42">
        <f>IF(AND(ISNUMBER(D4616),ISNUMBER(H4616)),D4616*H4616*Inputs!$C$69,"")</f>
      </c>
      <c r="J4616" s="42">
        <f>IF(AND(ISNUMBER(F4616),ISNUMBER(H4616),F4616&gt;=Inputs!$C$68),F4616*H4616*Inputs!$C$69,"")</f>
      </c>
    </row>
    <row r="4617" spans="2:10" ht="15" customHeight="1" x14ac:dyDescent="0.2">
      <c r="B4617" s="39">
        <f t="shared" si="36"/>
      </c>
      <c r="C4617" s="40">
        <f>IF(Inputs!$C$60,Inputs!$C$11+(B4617-Inputs!$C$69)/Inputs!$C$70,"")</f>
      </c>
      <c r="D4617" s="15"/>
      <c r="E4617" s="15"/>
      <c r="F4617" s="11">
        <f t="shared" si="37"/>
      </c>
      <c r="G4617" s="22" cm="1">
        <f t="array" ref="G4617">IF(AND(Inputs!$C$60,Inputs!$C$61),INDEX(Utility_Rates!$C$29:$F$52,HOUR(C4617)+Inputs!$C$69,MATCH(INDEX(Utility_Rates!$K$6:$K$17,MONTH(C4617))&amp;IF(WEEKDAY(C4617,Inputs!$C$76)&lt;=Inputs!$C$74," weekday"," weekend"),Utility_Rates!$C$28:$F$28,Inputs!$C$68)),"")</f>
      </c>
      <c r="H4617" s="34"/>
      <c r="I4617" s="42">
        <f>IF(AND(ISNUMBER(D4617),ISNUMBER(H4617)),D4617*H4617*Inputs!$C$69,"")</f>
      </c>
      <c r="J4617" s="42">
        <f>IF(AND(ISNUMBER(F4617),ISNUMBER(H4617),F4617&gt;=Inputs!$C$68),F4617*H4617*Inputs!$C$69,"")</f>
      </c>
    </row>
    <row r="4618" spans="2:10" ht="15" customHeight="1" x14ac:dyDescent="0.2">
      <c r="B4618" s="39">
        <f t="shared" si="36"/>
      </c>
      <c r="C4618" s="40">
        <f>IF(Inputs!$C$60,Inputs!$C$11+(B4618-Inputs!$C$69)/Inputs!$C$70,"")</f>
      </c>
      <c r="D4618" s="15"/>
      <c r="E4618" s="15"/>
      <c r="F4618" s="11">
        <f t="shared" si="37"/>
      </c>
      <c r="G4618" s="22" cm="1">
        <f t="array" ref="G4618">IF(AND(Inputs!$C$60,Inputs!$C$61),INDEX(Utility_Rates!$C$29:$F$52,HOUR(C4618)+Inputs!$C$69,MATCH(INDEX(Utility_Rates!$K$6:$K$17,MONTH(C4618))&amp;IF(WEEKDAY(C4618,Inputs!$C$76)&lt;=Inputs!$C$74," weekday"," weekend"),Utility_Rates!$C$28:$F$28,Inputs!$C$68)),"")</f>
      </c>
      <c r="H4618" s="34"/>
      <c r="I4618" s="42">
        <f>IF(AND(ISNUMBER(D4618),ISNUMBER(H4618)),D4618*H4618*Inputs!$C$69,"")</f>
      </c>
      <c r="J4618" s="42">
        <f>IF(AND(ISNUMBER(F4618),ISNUMBER(H4618),F4618&gt;=Inputs!$C$68),F4618*H4618*Inputs!$C$69,"")</f>
      </c>
    </row>
    <row r="4619" spans="2:10" ht="15" customHeight="1" x14ac:dyDescent="0.2">
      <c r="B4619" s="39">
        <f t="shared" si="36"/>
      </c>
      <c r="C4619" s="40">
        <f>IF(Inputs!$C$60,Inputs!$C$11+(B4619-Inputs!$C$69)/Inputs!$C$70,"")</f>
      </c>
      <c r="D4619" s="15"/>
      <c r="E4619" s="15"/>
      <c r="F4619" s="11">
        <f t="shared" si="37"/>
      </c>
      <c r="G4619" s="22" cm="1">
        <f t="array" ref="G4619">IF(AND(Inputs!$C$60,Inputs!$C$61),INDEX(Utility_Rates!$C$29:$F$52,HOUR(C4619)+Inputs!$C$69,MATCH(INDEX(Utility_Rates!$K$6:$K$17,MONTH(C4619))&amp;IF(WEEKDAY(C4619,Inputs!$C$76)&lt;=Inputs!$C$74," weekday"," weekend"),Utility_Rates!$C$28:$F$28,Inputs!$C$68)),"")</f>
      </c>
      <c r="H4619" s="34"/>
      <c r="I4619" s="42">
        <f>IF(AND(ISNUMBER(D4619),ISNUMBER(H4619)),D4619*H4619*Inputs!$C$69,"")</f>
      </c>
      <c r="J4619" s="42">
        <f>IF(AND(ISNUMBER(F4619),ISNUMBER(H4619),F4619&gt;=Inputs!$C$68),F4619*H4619*Inputs!$C$69,"")</f>
      </c>
    </row>
    <row r="4620" spans="2:10" ht="15" customHeight="1" x14ac:dyDescent="0.2">
      <c r="B4620" s="39">
        <f t="shared" si="36"/>
      </c>
      <c r="C4620" s="40">
        <f>IF(Inputs!$C$60,Inputs!$C$11+(B4620-Inputs!$C$69)/Inputs!$C$70,"")</f>
      </c>
      <c r="D4620" s="15"/>
      <c r="E4620" s="15"/>
      <c r="F4620" s="11">
        <f t="shared" si="37"/>
      </c>
      <c r="G4620" s="22" cm="1">
        <f t="array" ref="G4620">IF(AND(Inputs!$C$60,Inputs!$C$61),INDEX(Utility_Rates!$C$29:$F$52,HOUR(C4620)+Inputs!$C$69,MATCH(INDEX(Utility_Rates!$K$6:$K$17,MONTH(C4620))&amp;IF(WEEKDAY(C4620,Inputs!$C$76)&lt;=Inputs!$C$74," weekday"," weekend"),Utility_Rates!$C$28:$F$28,Inputs!$C$68)),"")</f>
      </c>
      <c r="H4620" s="34"/>
      <c r="I4620" s="42">
        <f>IF(AND(ISNUMBER(D4620),ISNUMBER(H4620)),D4620*H4620*Inputs!$C$69,"")</f>
      </c>
      <c r="J4620" s="42">
        <f>IF(AND(ISNUMBER(F4620),ISNUMBER(H4620),F4620&gt;=Inputs!$C$68),F4620*H4620*Inputs!$C$69,"")</f>
      </c>
    </row>
    <row r="4621" spans="2:10" ht="15" customHeight="1" x14ac:dyDescent="0.2">
      <c r="B4621" s="39">
        <f t="shared" si="36"/>
      </c>
      <c r="C4621" s="40">
        <f>IF(Inputs!$C$60,Inputs!$C$11+(B4621-Inputs!$C$69)/Inputs!$C$70,"")</f>
      </c>
      <c r="D4621" s="15"/>
      <c r="E4621" s="15"/>
      <c r="F4621" s="11">
        <f t="shared" si="37"/>
      </c>
      <c r="G4621" s="22" cm="1">
        <f t="array" ref="G4621">IF(AND(Inputs!$C$60,Inputs!$C$61),INDEX(Utility_Rates!$C$29:$F$52,HOUR(C4621)+Inputs!$C$69,MATCH(INDEX(Utility_Rates!$K$6:$K$17,MONTH(C4621))&amp;IF(WEEKDAY(C4621,Inputs!$C$76)&lt;=Inputs!$C$74," weekday"," weekend"),Utility_Rates!$C$28:$F$28,Inputs!$C$68)),"")</f>
      </c>
      <c r="H4621" s="34"/>
      <c r="I4621" s="42">
        <f>IF(AND(ISNUMBER(D4621),ISNUMBER(H4621)),D4621*H4621*Inputs!$C$69,"")</f>
      </c>
      <c r="J4621" s="42">
        <f>IF(AND(ISNUMBER(F4621),ISNUMBER(H4621),F4621&gt;=Inputs!$C$68),F4621*H4621*Inputs!$C$69,"")</f>
      </c>
    </row>
    <row r="4622" spans="2:10" ht="15" customHeight="1" x14ac:dyDescent="0.2">
      <c r="B4622" s="39">
        <f t="shared" si="36"/>
      </c>
      <c r="C4622" s="40">
        <f>IF(Inputs!$C$60,Inputs!$C$11+(B4622-Inputs!$C$69)/Inputs!$C$70,"")</f>
      </c>
      <c r="D4622" s="15"/>
      <c r="E4622" s="15"/>
      <c r="F4622" s="11">
        <f t="shared" si="37"/>
      </c>
      <c r="G4622" s="22" cm="1">
        <f t="array" ref="G4622">IF(AND(Inputs!$C$60,Inputs!$C$61),INDEX(Utility_Rates!$C$29:$F$52,HOUR(C4622)+Inputs!$C$69,MATCH(INDEX(Utility_Rates!$K$6:$K$17,MONTH(C4622))&amp;IF(WEEKDAY(C4622,Inputs!$C$76)&lt;=Inputs!$C$74," weekday"," weekend"),Utility_Rates!$C$28:$F$28,Inputs!$C$68)),"")</f>
      </c>
      <c r="H4622" s="34"/>
      <c r="I4622" s="42">
        <f>IF(AND(ISNUMBER(D4622),ISNUMBER(H4622)),D4622*H4622*Inputs!$C$69,"")</f>
      </c>
      <c r="J4622" s="42">
        <f>IF(AND(ISNUMBER(F4622),ISNUMBER(H4622),F4622&gt;=Inputs!$C$68),F4622*H4622*Inputs!$C$69,"")</f>
      </c>
    </row>
    <row r="4623" spans="2:10" ht="15" customHeight="1" x14ac:dyDescent="0.2">
      <c r="B4623" s="39">
        <f t="shared" si="36"/>
      </c>
      <c r="C4623" s="40">
        <f>IF(Inputs!$C$60,Inputs!$C$11+(B4623-Inputs!$C$69)/Inputs!$C$70,"")</f>
      </c>
      <c r="D4623" s="15"/>
      <c r="E4623" s="15"/>
      <c r="F4623" s="11">
        <f t="shared" si="37"/>
      </c>
      <c r="G4623" s="22" cm="1">
        <f t="array" ref="G4623">IF(AND(Inputs!$C$60,Inputs!$C$61),INDEX(Utility_Rates!$C$29:$F$52,HOUR(C4623)+Inputs!$C$69,MATCH(INDEX(Utility_Rates!$K$6:$K$17,MONTH(C4623))&amp;IF(WEEKDAY(C4623,Inputs!$C$76)&lt;=Inputs!$C$74," weekday"," weekend"),Utility_Rates!$C$28:$F$28,Inputs!$C$68)),"")</f>
      </c>
      <c r="H4623" s="34"/>
      <c r="I4623" s="42">
        <f>IF(AND(ISNUMBER(D4623),ISNUMBER(H4623)),D4623*H4623*Inputs!$C$69,"")</f>
      </c>
      <c r="J4623" s="42">
        <f>IF(AND(ISNUMBER(F4623),ISNUMBER(H4623),F4623&gt;=Inputs!$C$68),F4623*H4623*Inputs!$C$69,"")</f>
      </c>
    </row>
    <row r="4624" spans="2:10" ht="15" customHeight="1" x14ac:dyDescent="0.2">
      <c r="B4624" s="39">
        <f t="shared" si="36"/>
      </c>
      <c r="C4624" s="40">
        <f>IF(Inputs!$C$60,Inputs!$C$11+(B4624-Inputs!$C$69)/Inputs!$C$70,"")</f>
      </c>
      <c r="D4624" s="15"/>
      <c r="E4624" s="15"/>
      <c r="F4624" s="11">
        <f t="shared" si="37"/>
      </c>
      <c r="G4624" s="22" cm="1">
        <f t="array" ref="G4624">IF(AND(Inputs!$C$60,Inputs!$C$61),INDEX(Utility_Rates!$C$29:$F$52,HOUR(C4624)+Inputs!$C$69,MATCH(INDEX(Utility_Rates!$K$6:$K$17,MONTH(C4624))&amp;IF(WEEKDAY(C4624,Inputs!$C$76)&lt;=Inputs!$C$74," weekday"," weekend"),Utility_Rates!$C$28:$F$28,Inputs!$C$68)),"")</f>
      </c>
      <c r="H4624" s="34"/>
      <c r="I4624" s="42">
        <f>IF(AND(ISNUMBER(D4624),ISNUMBER(H4624)),D4624*H4624*Inputs!$C$69,"")</f>
      </c>
      <c r="J4624" s="42">
        <f>IF(AND(ISNUMBER(F4624),ISNUMBER(H4624),F4624&gt;=Inputs!$C$68),F4624*H4624*Inputs!$C$69,"")</f>
      </c>
    </row>
    <row r="4625" spans="2:10" ht="15" customHeight="1" x14ac:dyDescent="0.2">
      <c r="B4625" s="39">
        <f t="shared" si="36"/>
      </c>
      <c r="C4625" s="40">
        <f>IF(Inputs!$C$60,Inputs!$C$11+(B4625-Inputs!$C$69)/Inputs!$C$70,"")</f>
      </c>
      <c r="D4625" s="15"/>
      <c r="E4625" s="15"/>
      <c r="F4625" s="11">
        <f t="shared" si="37"/>
      </c>
      <c r="G4625" s="22" cm="1">
        <f t="array" ref="G4625">IF(AND(Inputs!$C$60,Inputs!$C$61),INDEX(Utility_Rates!$C$29:$F$52,HOUR(C4625)+Inputs!$C$69,MATCH(INDEX(Utility_Rates!$K$6:$K$17,MONTH(C4625))&amp;IF(WEEKDAY(C4625,Inputs!$C$76)&lt;=Inputs!$C$74," weekday"," weekend"),Utility_Rates!$C$28:$F$28,Inputs!$C$68)),"")</f>
      </c>
      <c r="H4625" s="34"/>
      <c r="I4625" s="42">
        <f>IF(AND(ISNUMBER(D4625),ISNUMBER(H4625)),D4625*H4625*Inputs!$C$69,"")</f>
      </c>
      <c r="J4625" s="42">
        <f>IF(AND(ISNUMBER(F4625),ISNUMBER(H4625),F4625&gt;=Inputs!$C$68),F4625*H4625*Inputs!$C$69,"")</f>
      </c>
    </row>
    <row r="4626" spans="2:10" ht="15" customHeight="1" x14ac:dyDescent="0.2">
      <c r="B4626" s="39">
        <f t="shared" si="36"/>
      </c>
      <c r="C4626" s="40">
        <f>IF(Inputs!$C$60,Inputs!$C$11+(B4626-Inputs!$C$69)/Inputs!$C$70,"")</f>
      </c>
      <c r="D4626" s="15"/>
      <c r="E4626" s="15"/>
      <c r="F4626" s="11">
        <f t="shared" si="37"/>
      </c>
      <c r="G4626" s="22" cm="1">
        <f t="array" ref="G4626">IF(AND(Inputs!$C$60,Inputs!$C$61),INDEX(Utility_Rates!$C$29:$F$52,HOUR(C4626)+Inputs!$C$69,MATCH(INDEX(Utility_Rates!$K$6:$K$17,MONTH(C4626))&amp;IF(WEEKDAY(C4626,Inputs!$C$76)&lt;=Inputs!$C$74," weekday"," weekend"),Utility_Rates!$C$28:$F$28,Inputs!$C$68)),"")</f>
      </c>
      <c r="H4626" s="34"/>
      <c r="I4626" s="42">
        <f>IF(AND(ISNUMBER(D4626),ISNUMBER(H4626)),D4626*H4626*Inputs!$C$69,"")</f>
      </c>
      <c r="J4626" s="42">
        <f>IF(AND(ISNUMBER(F4626),ISNUMBER(H4626),F4626&gt;=Inputs!$C$68),F4626*H4626*Inputs!$C$69,"")</f>
      </c>
    </row>
    <row r="4627" spans="2:10" ht="15" customHeight="1" x14ac:dyDescent="0.2">
      <c r="B4627" s="39">
        <f t="shared" si="36"/>
      </c>
      <c r="C4627" s="40">
        <f>IF(Inputs!$C$60,Inputs!$C$11+(B4627-Inputs!$C$69)/Inputs!$C$70,"")</f>
      </c>
      <c r="D4627" s="15"/>
      <c r="E4627" s="15"/>
      <c r="F4627" s="11">
        <f t="shared" si="37"/>
      </c>
      <c r="G4627" s="22" cm="1">
        <f t="array" ref="G4627">IF(AND(Inputs!$C$60,Inputs!$C$61),INDEX(Utility_Rates!$C$29:$F$52,HOUR(C4627)+Inputs!$C$69,MATCH(INDEX(Utility_Rates!$K$6:$K$17,MONTH(C4627))&amp;IF(WEEKDAY(C4627,Inputs!$C$76)&lt;=Inputs!$C$74," weekday"," weekend"),Utility_Rates!$C$28:$F$28,Inputs!$C$68)),"")</f>
      </c>
      <c r="H4627" s="34"/>
      <c r="I4627" s="42">
        <f>IF(AND(ISNUMBER(D4627),ISNUMBER(H4627)),D4627*H4627*Inputs!$C$69,"")</f>
      </c>
      <c r="J4627" s="42">
        <f>IF(AND(ISNUMBER(F4627),ISNUMBER(H4627),F4627&gt;=Inputs!$C$68),F4627*H4627*Inputs!$C$69,"")</f>
      </c>
    </row>
    <row r="4628" spans="2:10" ht="15" customHeight="1" x14ac:dyDescent="0.2">
      <c r="B4628" s="39">
        <f t="shared" si="36"/>
      </c>
      <c r="C4628" s="40">
        <f>IF(Inputs!$C$60,Inputs!$C$11+(B4628-Inputs!$C$69)/Inputs!$C$70,"")</f>
      </c>
      <c r="D4628" s="15"/>
      <c r="E4628" s="15"/>
      <c r="F4628" s="11">
        <f t="shared" si="37"/>
      </c>
      <c r="G4628" s="22" cm="1">
        <f t="array" ref="G4628">IF(AND(Inputs!$C$60,Inputs!$C$61),INDEX(Utility_Rates!$C$29:$F$52,HOUR(C4628)+Inputs!$C$69,MATCH(INDEX(Utility_Rates!$K$6:$K$17,MONTH(C4628))&amp;IF(WEEKDAY(C4628,Inputs!$C$76)&lt;=Inputs!$C$74," weekday"," weekend"),Utility_Rates!$C$28:$F$28,Inputs!$C$68)),"")</f>
      </c>
      <c r="H4628" s="34"/>
      <c r="I4628" s="42">
        <f>IF(AND(ISNUMBER(D4628),ISNUMBER(H4628)),D4628*H4628*Inputs!$C$69,"")</f>
      </c>
      <c r="J4628" s="42">
        <f>IF(AND(ISNUMBER(F4628),ISNUMBER(H4628),F4628&gt;=Inputs!$C$68),F4628*H4628*Inputs!$C$69,"")</f>
      </c>
    </row>
    <row r="4629" spans="2:10" ht="15" customHeight="1" x14ac:dyDescent="0.2">
      <c r="B4629" s="39">
        <f t="shared" si="36"/>
      </c>
      <c r="C4629" s="40">
        <f>IF(Inputs!$C$60,Inputs!$C$11+(B4629-Inputs!$C$69)/Inputs!$C$70,"")</f>
      </c>
      <c r="D4629" s="15"/>
      <c r="E4629" s="15"/>
      <c r="F4629" s="11">
        <f t="shared" si="37"/>
      </c>
      <c r="G4629" s="22" cm="1">
        <f t="array" ref="G4629">IF(AND(Inputs!$C$60,Inputs!$C$61),INDEX(Utility_Rates!$C$29:$F$52,HOUR(C4629)+Inputs!$C$69,MATCH(INDEX(Utility_Rates!$K$6:$K$17,MONTH(C4629))&amp;IF(WEEKDAY(C4629,Inputs!$C$76)&lt;=Inputs!$C$74," weekday"," weekend"),Utility_Rates!$C$28:$F$28,Inputs!$C$68)),"")</f>
      </c>
      <c r="H4629" s="34"/>
      <c r="I4629" s="42">
        <f>IF(AND(ISNUMBER(D4629),ISNUMBER(H4629)),D4629*H4629*Inputs!$C$69,"")</f>
      </c>
      <c r="J4629" s="42">
        <f>IF(AND(ISNUMBER(F4629),ISNUMBER(H4629),F4629&gt;=Inputs!$C$68),F4629*H4629*Inputs!$C$69,"")</f>
      </c>
    </row>
    <row r="4630" spans="2:10" ht="15" customHeight="1" x14ac:dyDescent="0.2">
      <c r="B4630" s="39">
        <f t="shared" si="36"/>
      </c>
      <c r="C4630" s="40">
        <f>IF(Inputs!$C$60,Inputs!$C$11+(B4630-Inputs!$C$69)/Inputs!$C$70,"")</f>
      </c>
      <c r="D4630" s="15"/>
      <c r="E4630" s="15"/>
      <c r="F4630" s="11">
        <f t="shared" si="37"/>
      </c>
      <c r="G4630" s="22" cm="1">
        <f t="array" ref="G4630">IF(AND(Inputs!$C$60,Inputs!$C$61),INDEX(Utility_Rates!$C$29:$F$52,HOUR(C4630)+Inputs!$C$69,MATCH(INDEX(Utility_Rates!$K$6:$K$17,MONTH(C4630))&amp;IF(WEEKDAY(C4630,Inputs!$C$76)&lt;=Inputs!$C$74," weekday"," weekend"),Utility_Rates!$C$28:$F$28,Inputs!$C$68)),"")</f>
      </c>
      <c r="H4630" s="34"/>
      <c r="I4630" s="42">
        <f>IF(AND(ISNUMBER(D4630),ISNUMBER(H4630)),D4630*H4630*Inputs!$C$69,"")</f>
      </c>
      <c r="J4630" s="42">
        <f>IF(AND(ISNUMBER(F4630),ISNUMBER(H4630),F4630&gt;=Inputs!$C$68),F4630*H4630*Inputs!$C$69,"")</f>
      </c>
    </row>
    <row r="4631" spans="2:10" ht="15" customHeight="1" x14ac:dyDescent="0.2">
      <c r="B4631" s="39">
        <f t="shared" si="36"/>
      </c>
      <c r="C4631" s="40">
        <f>IF(Inputs!$C$60,Inputs!$C$11+(B4631-Inputs!$C$69)/Inputs!$C$70,"")</f>
      </c>
      <c r="D4631" s="15"/>
      <c r="E4631" s="15"/>
      <c r="F4631" s="11">
        <f t="shared" si="37"/>
      </c>
      <c r="G4631" s="22" cm="1">
        <f t="array" ref="G4631">IF(AND(Inputs!$C$60,Inputs!$C$61),INDEX(Utility_Rates!$C$29:$F$52,HOUR(C4631)+Inputs!$C$69,MATCH(INDEX(Utility_Rates!$K$6:$K$17,MONTH(C4631))&amp;IF(WEEKDAY(C4631,Inputs!$C$76)&lt;=Inputs!$C$74," weekday"," weekend"),Utility_Rates!$C$28:$F$28,Inputs!$C$68)),"")</f>
      </c>
      <c r="H4631" s="34"/>
      <c r="I4631" s="42">
        <f>IF(AND(ISNUMBER(D4631),ISNUMBER(H4631)),D4631*H4631*Inputs!$C$69,"")</f>
      </c>
      <c r="J4631" s="42">
        <f>IF(AND(ISNUMBER(F4631),ISNUMBER(H4631),F4631&gt;=Inputs!$C$68),F4631*H4631*Inputs!$C$69,"")</f>
      </c>
    </row>
    <row r="4632" spans="2:10" ht="15" customHeight="1" x14ac:dyDescent="0.2">
      <c r="B4632" s="39">
        <f t="shared" si="36"/>
      </c>
      <c r="C4632" s="40">
        <f>IF(Inputs!$C$60,Inputs!$C$11+(B4632-Inputs!$C$69)/Inputs!$C$70,"")</f>
      </c>
      <c r="D4632" s="15"/>
      <c r="E4632" s="15"/>
      <c r="F4632" s="11">
        <f t="shared" si="37"/>
      </c>
      <c r="G4632" s="22" cm="1">
        <f t="array" ref="G4632">IF(AND(Inputs!$C$60,Inputs!$C$61),INDEX(Utility_Rates!$C$29:$F$52,HOUR(C4632)+Inputs!$C$69,MATCH(INDEX(Utility_Rates!$K$6:$K$17,MONTH(C4632))&amp;IF(WEEKDAY(C4632,Inputs!$C$76)&lt;=Inputs!$C$74," weekday"," weekend"),Utility_Rates!$C$28:$F$28,Inputs!$C$68)),"")</f>
      </c>
      <c r="H4632" s="34"/>
      <c r="I4632" s="42">
        <f>IF(AND(ISNUMBER(D4632),ISNUMBER(H4632)),D4632*H4632*Inputs!$C$69,"")</f>
      </c>
      <c r="J4632" s="42">
        <f>IF(AND(ISNUMBER(F4632),ISNUMBER(H4632),F4632&gt;=Inputs!$C$68),F4632*H4632*Inputs!$C$69,"")</f>
      </c>
    </row>
    <row r="4633" spans="2:10" ht="15" customHeight="1" x14ac:dyDescent="0.2">
      <c r="B4633" s="39">
        <f t="shared" si="36"/>
      </c>
      <c r="C4633" s="40">
        <f>IF(Inputs!$C$60,Inputs!$C$11+(B4633-Inputs!$C$69)/Inputs!$C$70,"")</f>
      </c>
      <c r="D4633" s="15"/>
      <c r="E4633" s="15"/>
      <c r="F4633" s="11">
        <f t="shared" si="37"/>
      </c>
      <c r="G4633" s="22" cm="1">
        <f t="array" ref="G4633">IF(AND(Inputs!$C$60,Inputs!$C$61),INDEX(Utility_Rates!$C$29:$F$52,HOUR(C4633)+Inputs!$C$69,MATCH(INDEX(Utility_Rates!$K$6:$K$17,MONTH(C4633))&amp;IF(WEEKDAY(C4633,Inputs!$C$76)&lt;=Inputs!$C$74," weekday"," weekend"),Utility_Rates!$C$28:$F$28,Inputs!$C$68)),"")</f>
      </c>
      <c r="H4633" s="34"/>
      <c r="I4633" s="42">
        <f>IF(AND(ISNUMBER(D4633),ISNUMBER(H4633)),D4633*H4633*Inputs!$C$69,"")</f>
      </c>
      <c r="J4633" s="42">
        <f>IF(AND(ISNUMBER(F4633),ISNUMBER(H4633),F4633&gt;=Inputs!$C$68),F4633*H4633*Inputs!$C$69,"")</f>
      </c>
    </row>
    <row r="4634" spans="2:10" ht="15" customHeight="1" x14ac:dyDescent="0.2">
      <c r="B4634" s="39">
        <f t="shared" si="36"/>
      </c>
      <c r="C4634" s="40">
        <f>IF(Inputs!$C$60,Inputs!$C$11+(B4634-Inputs!$C$69)/Inputs!$C$70,"")</f>
      </c>
      <c r="D4634" s="15"/>
      <c r="E4634" s="15"/>
      <c r="F4634" s="11">
        <f t="shared" si="37"/>
      </c>
      <c r="G4634" s="22" cm="1">
        <f t="array" ref="G4634">IF(AND(Inputs!$C$60,Inputs!$C$61),INDEX(Utility_Rates!$C$29:$F$52,HOUR(C4634)+Inputs!$C$69,MATCH(INDEX(Utility_Rates!$K$6:$K$17,MONTH(C4634))&amp;IF(WEEKDAY(C4634,Inputs!$C$76)&lt;=Inputs!$C$74," weekday"," weekend"),Utility_Rates!$C$28:$F$28,Inputs!$C$68)),"")</f>
      </c>
      <c r="H4634" s="34"/>
      <c r="I4634" s="42">
        <f>IF(AND(ISNUMBER(D4634),ISNUMBER(H4634)),D4634*H4634*Inputs!$C$69,"")</f>
      </c>
      <c r="J4634" s="42">
        <f>IF(AND(ISNUMBER(F4634),ISNUMBER(H4634),F4634&gt;=Inputs!$C$68),F4634*H4634*Inputs!$C$69,"")</f>
      </c>
    </row>
    <row r="4635" spans="2:10" ht="15" customHeight="1" x14ac:dyDescent="0.2">
      <c r="B4635" s="39">
        <f t="shared" si="36"/>
      </c>
      <c r="C4635" s="40">
        <f>IF(Inputs!$C$60,Inputs!$C$11+(B4635-Inputs!$C$69)/Inputs!$C$70,"")</f>
      </c>
      <c r="D4635" s="15"/>
      <c r="E4635" s="15"/>
      <c r="F4635" s="11">
        <f t="shared" si="37"/>
      </c>
      <c r="G4635" s="22" cm="1">
        <f t="array" ref="G4635">IF(AND(Inputs!$C$60,Inputs!$C$61),INDEX(Utility_Rates!$C$29:$F$52,HOUR(C4635)+Inputs!$C$69,MATCH(INDEX(Utility_Rates!$K$6:$K$17,MONTH(C4635))&amp;IF(WEEKDAY(C4635,Inputs!$C$76)&lt;=Inputs!$C$74," weekday"," weekend"),Utility_Rates!$C$28:$F$28,Inputs!$C$68)),"")</f>
      </c>
      <c r="H4635" s="34"/>
      <c r="I4635" s="42">
        <f>IF(AND(ISNUMBER(D4635),ISNUMBER(H4635)),D4635*H4635*Inputs!$C$69,"")</f>
      </c>
      <c r="J4635" s="42">
        <f>IF(AND(ISNUMBER(F4635),ISNUMBER(H4635),F4635&gt;=Inputs!$C$68),F4635*H4635*Inputs!$C$69,"")</f>
      </c>
    </row>
    <row r="4636" spans="2:10" ht="15" customHeight="1" x14ac:dyDescent="0.2">
      <c r="B4636" s="39">
        <f t="shared" si="36"/>
      </c>
      <c r="C4636" s="40">
        <f>IF(Inputs!$C$60,Inputs!$C$11+(B4636-Inputs!$C$69)/Inputs!$C$70,"")</f>
      </c>
      <c r="D4636" s="15"/>
      <c r="E4636" s="15"/>
      <c r="F4636" s="11">
        <f t="shared" si="37"/>
      </c>
      <c r="G4636" s="22" cm="1">
        <f t="array" ref="G4636">IF(AND(Inputs!$C$60,Inputs!$C$61),INDEX(Utility_Rates!$C$29:$F$52,HOUR(C4636)+Inputs!$C$69,MATCH(INDEX(Utility_Rates!$K$6:$K$17,MONTH(C4636))&amp;IF(WEEKDAY(C4636,Inputs!$C$76)&lt;=Inputs!$C$74," weekday"," weekend"),Utility_Rates!$C$28:$F$28,Inputs!$C$68)),"")</f>
      </c>
      <c r="H4636" s="34"/>
      <c r="I4636" s="42">
        <f>IF(AND(ISNUMBER(D4636),ISNUMBER(H4636)),D4636*H4636*Inputs!$C$69,"")</f>
      </c>
      <c r="J4636" s="42">
        <f>IF(AND(ISNUMBER(F4636),ISNUMBER(H4636),F4636&gt;=Inputs!$C$68),F4636*H4636*Inputs!$C$69,"")</f>
      </c>
    </row>
    <row r="4637" spans="2:10" ht="15" customHeight="1" x14ac:dyDescent="0.2">
      <c r="B4637" s="39">
        <f t="shared" si="36"/>
      </c>
      <c r="C4637" s="40">
        <f>IF(Inputs!$C$60,Inputs!$C$11+(B4637-Inputs!$C$69)/Inputs!$C$70,"")</f>
      </c>
      <c r="D4637" s="15"/>
      <c r="E4637" s="15"/>
      <c r="F4637" s="11">
        <f t="shared" si="37"/>
      </c>
      <c r="G4637" s="22" cm="1">
        <f t="array" ref="G4637">IF(AND(Inputs!$C$60,Inputs!$C$61),INDEX(Utility_Rates!$C$29:$F$52,HOUR(C4637)+Inputs!$C$69,MATCH(INDEX(Utility_Rates!$K$6:$K$17,MONTH(C4637))&amp;IF(WEEKDAY(C4637,Inputs!$C$76)&lt;=Inputs!$C$74," weekday"," weekend"),Utility_Rates!$C$28:$F$28,Inputs!$C$68)),"")</f>
      </c>
      <c r="H4637" s="34"/>
      <c r="I4637" s="42">
        <f>IF(AND(ISNUMBER(D4637),ISNUMBER(H4637)),D4637*H4637*Inputs!$C$69,"")</f>
      </c>
      <c r="J4637" s="42">
        <f>IF(AND(ISNUMBER(F4637),ISNUMBER(H4637),F4637&gt;=Inputs!$C$68),F4637*H4637*Inputs!$C$69,"")</f>
      </c>
    </row>
    <row r="4638" spans="2:10" ht="15" customHeight="1" x14ac:dyDescent="0.2">
      <c r="B4638" s="39">
        <f t="shared" si="36"/>
      </c>
      <c r="C4638" s="40">
        <f>IF(Inputs!$C$60,Inputs!$C$11+(B4638-Inputs!$C$69)/Inputs!$C$70,"")</f>
      </c>
      <c r="D4638" s="15"/>
      <c r="E4638" s="15"/>
      <c r="F4638" s="11">
        <f t="shared" si="37"/>
      </c>
      <c r="G4638" s="22" cm="1">
        <f t="array" ref="G4638">IF(AND(Inputs!$C$60,Inputs!$C$61),INDEX(Utility_Rates!$C$29:$F$52,HOUR(C4638)+Inputs!$C$69,MATCH(INDEX(Utility_Rates!$K$6:$K$17,MONTH(C4638))&amp;IF(WEEKDAY(C4638,Inputs!$C$76)&lt;=Inputs!$C$74," weekday"," weekend"),Utility_Rates!$C$28:$F$28,Inputs!$C$68)),"")</f>
      </c>
      <c r="H4638" s="34"/>
      <c r="I4638" s="42">
        <f>IF(AND(ISNUMBER(D4638),ISNUMBER(H4638)),D4638*H4638*Inputs!$C$69,"")</f>
      </c>
      <c r="J4638" s="42">
        <f>IF(AND(ISNUMBER(F4638),ISNUMBER(H4638),F4638&gt;=Inputs!$C$68),F4638*H4638*Inputs!$C$69,"")</f>
      </c>
    </row>
    <row r="4639" spans="2:10" ht="15" customHeight="1" x14ac:dyDescent="0.2">
      <c r="B4639" s="39">
        <f t="shared" si="36"/>
      </c>
      <c r="C4639" s="40">
        <f>IF(Inputs!$C$60,Inputs!$C$11+(B4639-Inputs!$C$69)/Inputs!$C$70,"")</f>
      </c>
      <c r="D4639" s="15"/>
      <c r="E4639" s="15"/>
      <c r="F4639" s="11">
        <f t="shared" si="37"/>
      </c>
      <c r="G4639" s="22" cm="1">
        <f t="array" ref="G4639">IF(AND(Inputs!$C$60,Inputs!$C$61),INDEX(Utility_Rates!$C$29:$F$52,HOUR(C4639)+Inputs!$C$69,MATCH(INDEX(Utility_Rates!$K$6:$K$17,MONTH(C4639))&amp;IF(WEEKDAY(C4639,Inputs!$C$76)&lt;=Inputs!$C$74," weekday"," weekend"),Utility_Rates!$C$28:$F$28,Inputs!$C$68)),"")</f>
      </c>
      <c r="H4639" s="34"/>
      <c r="I4639" s="42">
        <f>IF(AND(ISNUMBER(D4639),ISNUMBER(H4639)),D4639*H4639*Inputs!$C$69,"")</f>
      </c>
      <c r="J4639" s="42">
        <f>IF(AND(ISNUMBER(F4639),ISNUMBER(H4639),F4639&gt;=Inputs!$C$68),F4639*H4639*Inputs!$C$69,"")</f>
      </c>
    </row>
    <row r="4640" spans="2:10" ht="15" customHeight="1" x14ac:dyDescent="0.2">
      <c r="B4640" s="39">
        <f t="shared" si="36"/>
      </c>
      <c r="C4640" s="40">
        <f>IF(Inputs!$C$60,Inputs!$C$11+(B4640-Inputs!$C$69)/Inputs!$C$70,"")</f>
      </c>
      <c r="D4640" s="15"/>
      <c r="E4640" s="15"/>
      <c r="F4640" s="11">
        <f t="shared" si="37"/>
      </c>
      <c r="G4640" s="22" cm="1">
        <f t="array" ref="G4640">IF(AND(Inputs!$C$60,Inputs!$C$61),INDEX(Utility_Rates!$C$29:$F$52,HOUR(C4640)+Inputs!$C$69,MATCH(INDEX(Utility_Rates!$K$6:$K$17,MONTH(C4640))&amp;IF(WEEKDAY(C4640,Inputs!$C$76)&lt;=Inputs!$C$74," weekday"," weekend"),Utility_Rates!$C$28:$F$28,Inputs!$C$68)),"")</f>
      </c>
      <c r="H4640" s="34"/>
      <c r="I4640" s="42">
        <f>IF(AND(ISNUMBER(D4640),ISNUMBER(H4640)),D4640*H4640*Inputs!$C$69,"")</f>
      </c>
      <c r="J4640" s="42">
        <f>IF(AND(ISNUMBER(F4640),ISNUMBER(H4640),F4640&gt;=Inputs!$C$68),F4640*H4640*Inputs!$C$69,"")</f>
      </c>
    </row>
    <row r="4641" spans="2:10" ht="15" customHeight="1" x14ac:dyDescent="0.2">
      <c r="B4641" s="39">
        <f t="shared" si="36"/>
      </c>
      <c r="C4641" s="40">
        <f>IF(Inputs!$C$60,Inputs!$C$11+(B4641-Inputs!$C$69)/Inputs!$C$70,"")</f>
      </c>
      <c r="D4641" s="15"/>
      <c r="E4641" s="15"/>
      <c r="F4641" s="11">
        <f t="shared" si="37"/>
      </c>
      <c r="G4641" s="22" cm="1">
        <f t="array" ref="G4641">IF(AND(Inputs!$C$60,Inputs!$C$61),INDEX(Utility_Rates!$C$29:$F$52,HOUR(C4641)+Inputs!$C$69,MATCH(INDEX(Utility_Rates!$K$6:$K$17,MONTH(C4641))&amp;IF(WEEKDAY(C4641,Inputs!$C$76)&lt;=Inputs!$C$74," weekday"," weekend"),Utility_Rates!$C$28:$F$28,Inputs!$C$68)),"")</f>
      </c>
      <c r="H4641" s="34"/>
      <c r="I4641" s="42">
        <f>IF(AND(ISNUMBER(D4641),ISNUMBER(H4641)),D4641*H4641*Inputs!$C$69,"")</f>
      </c>
      <c r="J4641" s="42">
        <f>IF(AND(ISNUMBER(F4641),ISNUMBER(H4641),F4641&gt;=Inputs!$C$68),F4641*H4641*Inputs!$C$69,"")</f>
      </c>
    </row>
    <row r="4642" spans="2:10" ht="15" customHeight="1" x14ac:dyDescent="0.2">
      <c r="B4642" s="39">
        <f t="shared" si="36"/>
      </c>
      <c r="C4642" s="40">
        <f>IF(Inputs!$C$60,Inputs!$C$11+(B4642-Inputs!$C$69)/Inputs!$C$70,"")</f>
      </c>
      <c r="D4642" s="15"/>
      <c r="E4642" s="15"/>
      <c r="F4642" s="11">
        <f t="shared" si="37"/>
      </c>
      <c r="G4642" s="22" cm="1">
        <f t="array" ref="G4642">IF(AND(Inputs!$C$60,Inputs!$C$61),INDEX(Utility_Rates!$C$29:$F$52,HOUR(C4642)+Inputs!$C$69,MATCH(INDEX(Utility_Rates!$K$6:$K$17,MONTH(C4642))&amp;IF(WEEKDAY(C4642,Inputs!$C$76)&lt;=Inputs!$C$74," weekday"," weekend"),Utility_Rates!$C$28:$F$28,Inputs!$C$68)),"")</f>
      </c>
      <c r="H4642" s="34"/>
      <c r="I4642" s="42">
        <f>IF(AND(ISNUMBER(D4642),ISNUMBER(H4642)),D4642*H4642*Inputs!$C$69,"")</f>
      </c>
      <c r="J4642" s="42">
        <f>IF(AND(ISNUMBER(F4642),ISNUMBER(H4642),F4642&gt;=Inputs!$C$68),F4642*H4642*Inputs!$C$69,"")</f>
      </c>
    </row>
    <row r="4643" spans="2:10" ht="15" customHeight="1" x14ac:dyDescent="0.2">
      <c r="B4643" s="39">
        <f t="shared" si="36"/>
      </c>
      <c r="C4643" s="40">
        <f>IF(Inputs!$C$60,Inputs!$C$11+(B4643-Inputs!$C$69)/Inputs!$C$70,"")</f>
      </c>
      <c r="D4643" s="15"/>
      <c r="E4643" s="15"/>
      <c r="F4643" s="11">
        <f t="shared" si="37"/>
      </c>
      <c r="G4643" s="22" cm="1">
        <f t="array" ref="G4643">IF(AND(Inputs!$C$60,Inputs!$C$61),INDEX(Utility_Rates!$C$29:$F$52,HOUR(C4643)+Inputs!$C$69,MATCH(INDEX(Utility_Rates!$K$6:$K$17,MONTH(C4643))&amp;IF(WEEKDAY(C4643,Inputs!$C$76)&lt;=Inputs!$C$74," weekday"," weekend"),Utility_Rates!$C$28:$F$28,Inputs!$C$68)),"")</f>
      </c>
      <c r="H4643" s="34"/>
      <c r="I4643" s="42">
        <f>IF(AND(ISNUMBER(D4643),ISNUMBER(H4643)),D4643*H4643*Inputs!$C$69,"")</f>
      </c>
      <c r="J4643" s="42">
        <f>IF(AND(ISNUMBER(F4643),ISNUMBER(H4643),F4643&gt;=Inputs!$C$68),F4643*H4643*Inputs!$C$69,"")</f>
      </c>
    </row>
    <row r="4644" spans="2:10" ht="15" customHeight="1" x14ac:dyDescent="0.2">
      <c r="B4644" s="39">
        <f t="shared" si="36"/>
      </c>
      <c r="C4644" s="40">
        <f>IF(Inputs!$C$60,Inputs!$C$11+(B4644-Inputs!$C$69)/Inputs!$C$70,"")</f>
      </c>
      <c r="D4644" s="15"/>
      <c r="E4644" s="15"/>
      <c r="F4644" s="11">
        <f t="shared" si="37"/>
      </c>
      <c r="G4644" s="22" cm="1">
        <f t="array" ref="G4644">IF(AND(Inputs!$C$60,Inputs!$C$61),INDEX(Utility_Rates!$C$29:$F$52,HOUR(C4644)+Inputs!$C$69,MATCH(INDEX(Utility_Rates!$K$6:$K$17,MONTH(C4644))&amp;IF(WEEKDAY(C4644,Inputs!$C$76)&lt;=Inputs!$C$74," weekday"," weekend"),Utility_Rates!$C$28:$F$28,Inputs!$C$68)),"")</f>
      </c>
      <c r="H4644" s="34"/>
      <c r="I4644" s="42">
        <f>IF(AND(ISNUMBER(D4644),ISNUMBER(H4644)),D4644*H4644*Inputs!$C$69,"")</f>
      </c>
      <c r="J4644" s="42">
        <f>IF(AND(ISNUMBER(F4644),ISNUMBER(H4644),F4644&gt;=Inputs!$C$68),F4644*H4644*Inputs!$C$69,"")</f>
      </c>
    </row>
    <row r="4645" spans="2:10" ht="15" customHeight="1" x14ac:dyDescent="0.2">
      <c r="B4645" s="39">
        <f t="shared" si="36"/>
      </c>
      <c r="C4645" s="40">
        <f>IF(Inputs!$C$60,Inputs!$C$11+(B4645-Inputs!$C$69)/Inputs!$C$70,"")</f>
      </c>
      <c r="D4645" s="15"/>
      <c r="E4645" s="15"/>
      <c r="F4645" s="11">
        <f t="shared" si="37"/>
      </c>
      <c r="G4645" s="22" cm="1">
        <f t="array" ref="G4645">IF(AND(Inputs!$C$60,Inputs!$C$61),INDEX(Utility_Rates!$C$29:$F$52,HOUR(C4645)+Inputs!$C$69,MATCH(INDEX(Utility_Rates!$K$6:$K$17,MONTH(C4645))&amp;IF(WEEKDAY(C4645,Inputs!$C$76)&lt;=Inputs!$C$74," weekday"," weekend"),Utility_Rates!$C$28:$F$28,Inputs!$C$68)),"")</f>
      </c>
      <c r="H4645" s="34"/>
      <c r="I4645" s="42">
        <f>IF(AND(ISNUMBER(D4645),ISNUMBER(H4645)),D4645*H4645*Inputs!$C$69,"")</f>
      </c>
      <c r="J4645" s="42">
        <f>IF(AND(ISNUMBER(F4645),ISNUMBER(H4645),F4645&gt;=Inputs!$C$68),F4645*H4645*Inputs!$C$69,"")</f>
      </c>
    </row>
    <row r="4646" spans="2:10" ht="15" customHeight="1" x14ac:dyDescent="0.2">
      <c r="B4646" s="39">
        <f t="shared" si="36"/>
      </c>
      <c r="C4646" s="40">
        <f>IF(Inputs!$C$60,Inputs!$C$11+(B4646-Inputs!$C$69)/Inputs!$C$70,"")</f>
      </c>
      <c r="D4646" s="15"/>
      <c r="E4646" s="15"/>
      <c r="F4646" s="11">
        <f t="shared" si="37"/>
      </c>
      <c r="G4646" s="22" cm="1">
        <f t="array" ref="G4646">IF(AND(Inputs!$C$60,Inputs!$C$61),INDEX(Utility_Rates!$C$29:$F$52,HOUR(C4646)+Inputs!$C$69,MATCH(INDEX(Utility_Rates!$K$6:$K$17,MONTH(C4646))&amp;IF(WEEKDAY(C4646,Inputs!$C$76)&lt;=Inputs!$C$74," weekday"," weekend"),Utility_Rates!$C$28:$F$28,Inputs!$C$68)),"")</f>
      </c>
      <c r="H4646" s="34"/>
      <c r="I4646" s="42">
        <f>IF(AND(ISNUMBER(D4646),ISNUMBER(H4646)),D4646*H4646*Inputs!$C$69,"")</f>
      </c>
      <c r="J4646" s="42">
        <f>IF(AND(ISNUMBER(F4646),ISNUMBER(H4646),F4646&gt;=Inputs!$C$68),F4646*H4646*Inputs!$C$69,"")</f>
      </c>
    </row>
    <row r="4647" spans="2:10" ht="15" customHeight="1" x14ac:dyDescent="0.2">
      <c r="B4647" s="39">
        <f t="shared" si="36"/>
      </c>
      <c r="C4647" s="40">
        <f>IF(Inputs!$C$60,Inputs!$C$11+(B4647-Inputs!$C$69)/Inputs!$C$70,"")</f>
      </c>
      <c r="D4647" s="15"/>
      <c r="E4647" s="15"/>
      <c r="F4647" s="11">
        <f t="shared" si="37"/>
      </c>
      <c r="G4647" s="22" cm="1">
        <f t="array" ref="G4647">IF(AND(Inputs!$C$60,Inputs!$C$61),INDEX(Utility_Rates!$C$29:$F$52,HOUR(C4647)+Inputs!$C$69,MATCH(INDEX(Utility_Rates!$K$6:$K$17,MONTH(C4647))&amp;IF(WEEKDAY(C4647,Inputs!$C$76)&lt;=Inputs!$C$74," weekday"," weekend"),Utility_Rates!$C$28:$F$28,Inputs!$C$68)),"")</f>
      </c>
      <c r="H4647" s="34"/>
      <c r="I4647" s="42">
        <f>IF(AND(ISNUMBER(D4647),ISNUMBER(H4647)),D4647*H4647*Inputs!$C$69,"")</f>
      </c>
      <c r="J4647" s="42">
        <f>IF(AND(ISNUMBER(F4647),ISNUMBER(H4647),F4647&gt;=Inputs!$C$68),F4647*H4647*Inputs!$C$69,"")</f>
      </c>
    </row>
    <row r="4648" spans="2:10" ht="15" customHeight="1" x14ac:dyDescent="0.2">
      <c r="B4648" s="39">
        <f t="shared" si="36"/>
      </c>
      <c r="C4648" s="40">
        <f>IF(Inputs!$C$60,Inputs!$C$11+(B4648-Inputs!$C$69)/Inputs!$C$70,"")</f>
      </c>
      <c r="D4648" s="15"/>
      <c r="E4648" s="15"/>
      <c r="F4648" s="11">
        <f t="shared" si="37"/>
      </c>
      <c r="G4648" s="22" cm="1">
        <f t="array" ref="G4648">IF(AND(Inputs!$C$60,Inputs!$C$61),INDEX(Utility_Rates!$C$29:$F$52,HOUR(C4648)+Inputs!$C$69,MATCH(INDEX(Utility_Rates!$K$6:$K$17,MONTH(C4648))&amp;IF(WEEKDAY(C4648,Inputs!$C$76)&lt;=Inputs!$C$74," weekday"," weekend"),Utility_Rates!$C$28:$F$28,Inputs!$C$68)),"")</f>
      </c>
      <c r="H4648" s="34"/>
      <c r="I4648" s="42">
        <f>IF(AND(ISNUMBER(D4648),ISNUMBER(H4648)),D4648*H4648*Inputs!$C$69,"")</f>
      </c>
      <c r="J4648" s="42">
        <f>IF(AND(ISNUMBER(F4648),ISNUMBER(H4648),F4648&gt;=Inputs!$C$68),F4648*H4648*Inputs!$C$69,"")</f>
      </c>
    </row>
    <row r="4649" spans="2:10" ht="15" customHeight="1" x14ac:dyDescent="0.2">
      <c r="B4649" s="39">
        <f t="shared" si="36"/>
      </c>
      <c r="C4649" s="40">
        <f>IF(Inputs!$C$60,Inputs!$C$11+(B4649-Inputs!$C$69)/Inputs!$C$70,"")</f>
      </c>
      <c r="D4649" s="15"/>
      <c r="E4649" s="15"/>
      <c r="F4649" s="11">
        <f t="shared" si="37"/>
      </c>
      <c r="G4649" s="22" cm="1">
        <f t="array" ref="G4649">IF(AND(Inputs!$C$60,Inputs!$C$61),INDEX(Utility_Rates!$C$29:$F$52,HOUR(C4649)+Inputs!$C$69,MATCH(INDEX(Utility_Rates!$K$6:$K$17,MONTH(C4649))&amp;IF(WEEKDAY(C4649,Inputs!$C$76)&lt;=Inputs!$C$74," weekday"," weekend"),Utility_Rates!$C$28:$F$28,Inputs!$C$68)),"")</f>
      </c>
      <c r="H4649" s="34"/>
      <c r="I4649" s="42">
        <f>IF(AND(ISNUMBER(D4649),ISNUMBER(H4649)),D4649*H4649*Inputs!$C$69,"")</f>
      </c>
      <c r="J4649" s="42">
        <f>IF(AND(ISNUMBER(F4649),ISNUMBER(H4649),F4649&gt;=Inputs!$C$68),F4649*H4649*Inputs!$C$69,"")</f>
      </c>
    </row>
    <row r="4650" spans="2:10" ht="15" customHeight="1" x14ac:dyDescent="0.2">
      <c r="B4650" s="39">
        <f t="shared" si="36"/>
      </c>
      <c r="C4650" s="40">
        <f>IF(Inputs!$C$60,Inputs!$C$11+(B4650-Inputs!$C$69)/Inputs!$C$70,"")</f>
      </c>
      <c r="D4650" s="15"/>
      <c r="E4650" s="15"/>
      <c r="F4650" s="11">
        <f t="shared" si="37"/>
      </c>
      <c r="G4650" s="22" cm="1">
        <f t="array" ref="G4650">IF(AND(Inputs!$C$60,Inputs!$C$61),INDEX(Utility_Rates!$C$29:$F$52,HOUR(C4650)+Inputs!$C$69,MATCH(INDEX(Utility_Rates!$K$6:$K$17,MONTH(C4650))&amp;IF(WEEKDAY(C4650,Inputs!$C$76)&lt;=Inputs!$C$74," weekday"," weekend"),Utility_Rates!$C$28:$F$28,Inputs!$C$68)),"")</f>
      </c>
      <c r="H4650" s="34"/>
      <c r="I4650" s="42">
        <f>IF(AND(ISNUMBER(D4650),ISNUMBER(H4650)),D4650*H4650*Inputs!$C$69,"")</f>
      </c>
      <c r="J4650" s="42">
        <f>IF(AND(ISNUMBER(F4650),ISNUMBER(H4650),F4650&gt;=Inputs!$C$68),F4650*H4650*Inputs!$C$69,"")</f>
      </c>
    </row>
    <row r="4651" spans="2:10" ht="15" customHeight="1" x14ac:dyDescent="0.2">
      <c r="B4651" s="39">
        <f t="shared" si="36"/>
      </c>
      <c r="C4651" s="40">
        <f>IF(Inputs!$C$60,Inputs!$C$11+(B4651-Inputs!$C$69)/Inputs!$C$70,"")</f>
      </c>
      <c r="D4651" s="15"/>
      <c r="E4651" s="15"/>
      <c r="F4651" s="11">
        <f t="shared" si="37"/>
      </c>
      <c r="G4651" s="22" cm="1">
        <f t="array" ref="G4651">IF(AND(Inputs!$C$60,Inputs!$C$61),INDEX(Utility_Rates!$C$29:$F$52,HOUR(C4651)+Inputs!$C$69,MATCH(INDEX(Utility_Rates!$K$6:$K$17,MONTH(C4651))&amp;IF(WEEKDAY(C4651,Inputs!$C$76)&lt;=Inputs!$C$74," weekday"," weekend"),Utility_Rates!$C$28:$F$28,Inputs!$C$68)),"")</f>
      </c>
      <c r="H4651" s="34"/>
      <c r="I4651" s="42">
        <f>IF(AND(ISNUMBER(D4651),ISNUMBER(H4651)),D4651*H4651*Inputs!$C$69,"")</f>
      </c>
      <c r="J4651" s="42">
        <f>IF(AND(ISNUMBER(F4651),ISNUMBER(H4651),F4651&gt;=Inputs!$C$68),F4651*H4651*Inputs!$C$69,"")</f>
      </c>
    </row>
    <row r="4652" spans="2:10" ht="15" customHeight="1" x14ac:dyDescent="0.2">
      <c r="B4652" s="39">
        <f t="shared" si="36"/>
      </c>
      <c r="C4652" s="40">
        <f>IF(Inputs!$C$60,Inputs!$C$11+(B4652-Inputs!$C$69)/Inputs!$C$70,"")</f>
      </c>
      <c r="D4652" s="15"/>
      <c r="E4652" s="15"/>
      <c r="F4652" s="11">
        <f t="shared" si="37"/>
      </c>
      <c r="G4652" s="22" cm="1">
        <f t="array" ref="G4652">IF(AND(Inputs!$C$60,Inputs!$C$61),INDEX(Utility_Rates!$C$29:$F$52,HOUR(C4652)+Inputs!$C$69,MATCH(INDEX(Utility_Rates!$K$6:$K$17,MONTH(C4652))&amp;IF(WEEKDAY(C4652,Inputs!$C$76)&lt;=Inputs!$C$74," weekday"," weekend"),Utility_Rates!$C$28:$F$28,Inputs!$C$68)),"")</f>
      </c>
      <c r="H4652" s="34"/>
      <c r="I4652" s="42">
        <f>IF(AND(ISNUMBER(D4652),ISNUMBER(H4652)),D4652*H4652*Inputs!$C$69,"")</f>
      </c>
      <c r="J4652" s="42">
        <f>IF(AND(ISNUMBER(F4652),ISNUMBER(H4652),F4652&gt;=Inputs!$C$68),F4652*H4652*Inputs!$C$69,"")</f>
      </c>
    </row>
    <row r="4653" spans="2:10" ht="15" customHeight="1" x14ac:dyDescent="0.2">
      <c r="B4653" s="39">
        <f t="shared" si="36"/>
      </c>
      <c r="C4653" s="40">
        <f>IF(Inputs!$C$60,Inputs!$C$11+(B4653-Inputs!$C$69)/Inputs!$C$70,"")</f>
      </c>
      <c r="D4653" s="15"/>
      <c r="E4653" s="15"/>
      <c r="F4653" s="11">
        <f t="shared" si="37"/>
      </c>
      <c r="G4653" s="22" cm="1">
        <f t="array" ref="G4653">IF(AND(Inputs!$C$60,Inputs!$C$61),INDEX(Utility_Rates!$C$29:$F$52,HOUR(C4653)+Inputs!$C$69,MATCH(INDEX(Utility_Rates!$K$6:$K$17,MONTH(C4653))&amp;IF(WEEKDAY(C4653,Inputs!$C$76)&lt;=Inputs!$C$74," weekday"," weekend"),Utility_Rates!$C$28:$F$28,Inputs!$C$68)),"")</f>
      </c>
      <c r="H4653" s="34"/>
      <c r="I4653" s="42">
        <f>IF(AND(ISNUMBER(D4653),ISNUMBER(H4653)),D4653*H4653*Inputs!$C$69,"")</f>
      </c>
      <c r="J4653" s="42">
        <f>IF(AND(ISNUMBER(F4653),ISNUMBER(H4653),F4653&gt;=Inputs!$C$68),F4653*H4653*Inputs!$C$69,"")</f>
      </c>
    </row>
    <row r="4654" spans="2:10" ht="15" customHeight="1" x14ac:dyDescent="0.2">
      <c r="B4654" s="39">
        <f t="shared" si="36"/>
      </c>
      <c r="C4654" s="40">
        <f>IF(Inputs!$C$60,Inputs!$C$11+(B4654-Inputs!$C$69)/Inputs!$C$70,"")</f>
      </c>
      <c r="D4654" s="15"/>
      <c r="E4654" s="15"/>
      <c r="F4654" s="11">
        <f t="shared" si="37"/>
      </c>
      <c r="G4654" s="22" cm="1">
        <f t="array" ref="G4654">IF(AND(Inputs!$C$60,Inputs!$C$61),INDEX(Utility_Rates!$C$29:$F$52,HOUR(C4654)+Inputs!$C$69,MATCH(INDEX(Utility_Rates!$K$6:$K$17,MONTH(C4654))&amp;IF(WEEKDAY(C4654,Inputs!$C$76)&lt;=Inputs!$C$74," weekday"," weekend"),Utility_Rates!$C$28:$F$28,Inputs!$C$68)),"")</f>
      </c>
      <c r="H4654" s="34"/>
      <c r="I4654" s="42">
        <f>IF(AND(ISNUMBER(D4654),ISNUMBER(H4654)),D4654*H4654*Inputs!$C$69,"")</f>
      </c>
      <c r="J4654" s="42">
        <f>IF(AND(ISNUMBER(F4654),ISNUMBER(H4654),F4654&gt;=Inputs!$C$68),F4654*H4654*Inputs!$C$69,"")</f>
      </c>
    </row>
    <row r="4655" spans="2:10" ht="15" customHeight="1" x14ac:dyDescent="0.2">
      <c r="B4655" s="39">
        <f t="shared" si="36"/>
      </c>
      <c r="C4655" s="40">
        <f>IF(Inputs!$C$60,Inputs!$C$11+(B4655-Inputs!$C$69)/Inputs!$C$70,"")</f>
      </c>
      <c r="D4655" s="15"/>
      <c r="E4655" s="15"/>
      <c r="F4655" s="11">
        <f t="shared" si="37"/>
      </c>
      <c r="G4655" s="22" cm="1">
        <f t="array" ref="G4655">IF(AND(Inputs!$C$60,Inputs!$C$61),INDEX(Utility_Rates!$C$29:$F$52,HOUR(C4655)+Inputs!$C$69,MATCH(INDEX(Utility_Rates!$K$6:$K$17,MONTH(C4655))&amp;IF(WEEKDAY(C4655,Inputs!$C$76)&lt;=Inputs!$C$74," weekday"," weekend"),Utility_Rates!$C$28:$F$28,Inputs!$C$68)),"")</f>
      </c>
      <c r="H4655" s="34"/>
      <c r="I4655" s="42">
        <f>IF(AND(ISNUMBER(D4655),ISNUMBER(H4655)),D4655*H4655*Inputs!$C$69,"")</f>
      </c>
      <c r="J4655" s="42">
        <f>IF(AND(ISNUMBER(F4655),ISNUMBER(H4655),F4655&gt;=Inputs!$C$68),F4655*H4655*Inputs!$C$69,"")</f>
      </c>
    </row>
    <row r="4656" spans="2:10" ht="15" customHeight="1" x14ac:dyDescent="0.2">
      <c r="B4656" s="39">
        <f t="shared" si="36"/>
      </c>
      <c r="C4656" s="40">
        <f>IF(Inputs!$C$60,Inputs!$C$11+(B4656-Inputs!$C$69)/Inputs!$C$70,"")</f>
      </c>
      <c r="D4656" s="15"/>
      <c r="E4656" s="15"/>
      <c r="F4656" s="11">
        <f t="shared" si="37"/>
      </c>
      <c r="G4656" s="22" cm="1">
        <f t="array" ref="G4656">IF(AND(Inputs!$C$60,Inputs!$C$61),INDEX(Utility_Rates!$C$29:$F$52,HOUR(C4656)+Inputs!$C$69,MATCH(INDEX(Utility_Rates!$K$6:$K$17,MONTH(C4656))&amp;IF(WEEKDAY(C4656,Inputs!$C$76)&lt;=Inputs!$C$74," weekday"," weekend"),Utility_Rates!$C$28:$F$28,Inputs!$C$68)),"")</f>
      </c>
      <c r="H4656" s="34"/>
      <c r="I4656" s="42">
        <f>IF(AND(ISNUMBER(D4656),ISNUMBER(H4656)),D4656*H4656*Inputs!$C$69,"")</f>
      </c>
      <c r="J4656" s="42">
        <f>IF(AND(ISNUMBER(F4656),ISNUMBER(H4656),F4656&gt;=Inputs!$C$68),F4656*H4656*Inputs!$C$69,"")</f>
      </c>
    </row>
    <row r="4657" spans="2:10" ht="15" customHeight="1" x14ac:dyDescent="0.2">
      <c r="B4657" s="39">
        <f t="shared" si="36"/>
      </c>
      <c r="C4657" s="40">
        <f>IF(Inputs!$C$60,Inputs!$C$11+(B4657-Inputs!$C$69)/Inputs!$C$70,"")</f>
      </c>
      <c r="D4657" s="15"/>
      <c r="E4657" s="15"/>
      <c r="F4657" s="11">
        <f t="shared" si="37"/>
      </c>
      <c r="G4657" s="22" cm="1">
        <f t="array" ref="G4657">IF(AND(Inputs!$C$60,Inputs!$C$61),INDEX(Utility_Rates!$C$29:$F$52,HOUR(C4657)+Inputs!$C$69,MATCH(INDEX(Utility_Rates!$K$6:$K$17,MONTH(C4657))&amp;IF(WEEKDAY(C4657,Inputs!$C$76)&lt;=Inputs!$C$74," weekday"," weekend"),Utility_Rates!$C$28:$F$28,Inputs!$C$68)),"")</f>
      </c>
      <c r="H4657" s="34"/>
      <c r="I4657" s="42">
        <f>IF(AND(ISNUMBER(D4657),ISNUMBER(H4657)),D4657*H4657*Inputs!$C$69,"")</f>
      </c>
      <c r="J4657" s="42">
        <f>IF(AND(ISNUMBER(F4657),ISNUMBER(H4657),F4657&gt;=Inputs!$C$68),F4657*H4657*Inputs!$C$69,"")</f>
      </c>
    </row>
    <row r="4658" spans="2:10" ht="15" customHeight="1" x14ac:dyDescent="0.2">
      <c r="B4658" s="39">
        <f t="shared" si="36"/>
      </c>
      <c r="C4658" s="40">
        <f>IF(Inputs!$C$60,Inputs!$C$11+(B4658-Inputs!$C$69)/Inputs!$C$70,"")</f>
      </c>
      <c r="D4658" s="15"/>
      <c r="E4658" s="15"/>
      <c r="F4658" s="11">
        <f t="shared" si="37"/>
      </c>
      <c r="G4658" s="22" cm="1">
        <f t="array" ref="G4658">IF(AND(Inputs!$C$60,Inputs!$C$61),INDEX(Utility_Rates!$C$29:$F$52,HOUR(C4658)+Inputs!$C$69,MATCH(INDEX(Utility_Rates!$K$6:$K$17,MONTH(C4658))&amp;IF(WEEKDAY(C4658,Inputs!$C$76)&lt;=Inputs!$C$74," weekday"," weekend"),Utility_Rates!$C$28:$F$28,Inputs!$C$68)),"")</f>
      </c>
      <c r="H4658" s="34"/>
      <c r="I4658" s="42">
        <f>IF(AND(ISNUMBER(D4658),ISNUMBER(H4658)),D4658*H4658*Inputs!$C$69,"")</f>
      </c>
      <c r="J4658" s="42">
        <f>IF(AND(ISNUMBER(F4658),ISNUMBER(H4658),F4658&gt;=Inputs!$C$68),F4658*H4658*Inputs!$C$69,"")</f>
      </c>
    </row>
    <row r="4659" spans="2:10" ht="15" customHeight="1" x14ac:dyDescent="0.2">
      <c r="B4659" s="39">
        <f t="shared" si="36"/>
      </c>
      <c r="C4659" s="40">
        <f>IF(Inputs!$C$60,Inputs!$C$11+(B4659-Inputs!$C$69)/Inputs!$C$70,"")</f>
      </c>
      <c r="D4659" s="15"/>
      <c r="E4659" s="15"/>
      <c r="F4659" s="11">
        <f t="shared" si="37"/>
      </c>
      <c r="G4659" s="22" cm="1">
        <f t="array" ref="G4659">IF(AND(Inputs!$C$60,Inputs!$C$61),INDEX(Utility_Rates!$C$29:$F$52,HOUR(C4659)+Inputs!$C$69,MATCH(INDEX(Utility_Rates!$K$6:$K$17,MONTH(C4659))&amp;IF(WEEKDAY(C4659,Inputs!$C$76)&lt;=Inputs!$C$74," weekday"," weekend"),Utility_Rates!$C$28:$F$28,Inputs!$C$68)),"")</f>
      </c>
      <c r="H4659" s="34"/>
      <c r="I4659" s="42">
        <f>IF(AND(ISNUMBER(D4659),ISNUMBER(H4659)),D4659*H4659*Inputs!$C$69,"")</f>
      </c>
      <c r="J4659" s="42">
        <f>IF(AND(ISNUMBER(F4659),ISNUMBER(H4659),F4659&gt;=Inputs!$C$68),F4659*H4659*Inputs!$C$69,"")</f>
      </c>
    </row>
    <row r="4660" spans="2:10" ht="15" customHeight="1" x14ac:dyDescent="0.2">
      <c r="B4660" s="39">
        <f t="shared" si="36"/>
      </c>
      <c r="C4660" s="40">
        <f>IF(Inputs!$C$60,Inputs!$C$11+(B4660-Inputs!$C$69)/Inputs!$C$70,"")</f>
      </c>
      <c r="D4660" s="15"/>
      <c r="E4660" s="15"/>
      <c r="F4660" s="11">
        <f t="shared" si="37"/>
      </c>
      <c r="G4660" s="22" cm="1">
        <f t="array" ref="G4660">IF(AND(Inputs!$C$60,Inputs!$C$61),INDEX(Utility_Rates!$C$29:$F$52,HOUR(C4660)+Inputs!$C$69,MATCH(INDEX(Utility_Rates!$K$6:$K$17,MONTH(C4660))&amp;IF(WEEKDAY(C4660,Inputs!$C$76)&lt;=Inputs!$C$74," weekday"," weekend"),Utility_Rates!$C$28:$F$28,Inputs!$C$68)),"")</f>
      </c>
      <c r="H4660" s="34"/>
      <c r="I4660" s="42">
        <f>IF(AND(ISNUMBER(D4660),ISNUMBER(H4660)),D4660*H4660*Inputs!$C$69,"")</f>
      </c>
      <c r="J4660" s="42">
        <f>IF(AND(ISNUMBER(F4660),ISNUMBER(H4660),F4660&gt;=Inputs!$C$68),F4660*H4660*Inputs!$C$69,"")</f>
      </c>
    </row>
    <row r="4661" spans="2:10" ht="15" customHeight="1" x14ac:dyDescent="0.2">
      <c r="B4661" s="39">
        <f t="shared" si="36"/>
      </c>
      <c r="C4661" s="40">
        <f>IF(Inputs!$C$60,Inputs!$C$11+(B4661-Inputs!$C$69)/Inputs!$C$70,"")</f>
      </c>
      <c r="D4661" s="15"/>
      <c r="E4661" s="15"/>
      <c r="F4661" s="11">
        <f t="shared" si="37"/>
      </c>
      <c r="G4661" s="22" cm="1">
        <f t="array" ref="G4661">IF(AND(Inputs!$C$60,Inputs!$C$61),INDEX(Utility_Rates!$C$29:$F$52,HOUR(C4661)+Inputs!$C$69,MATCH(INDEX(Utility_Rates!$K$6:$K$17,MONTH(C4661))&amp;IF(WEEKDAY(C4661,Inputs!$C$76)&lt;=Inputs!$C$74," weekday"," weekend"),Utility_Rates!$C$28:$F$28,Inputs!$C$68)),"")</f>
      </c>
      <c r="H4661" s="34"/>
      <c r="I4661" s="42">
        <f>IF(AND(ISNUMBER(D4661),ISNUMBER(H4661)),D4661*H4661*Inputs!$C$69,"")</f>
      </c>
      <c r="J4661" s="42">
        <f>IF(AND(ISNUMBER(F4661),ISNUMBER(H4661),F4661&gt;=Inputs!$C$68),F4661*H4661*Inputs!$C$69,"")</f>
      </c>
    </row>
    <row r="4662" spans="2:10" ht="15" customHeight="1" x14ac:dyDescent="0.2">
      <c r="B4662" s="39">
        <f t="shared" si="36"/>
      </c>
      <c r="C4662" s="40">
        <f>IF(Inputs!$C$60,Inputs!$C$11+(B4662-Inputs!$C$69)/Inputs!$C$70,"")</f>
      </c>
      <c r="D4662" s="15"/>
      <c r="E4662" s="15"/>
      <c r="F4662" s="11">
        <f t="shared" si="37"/>
      </c>
      <c r="G4662" s="22" cm="1">
        <f t="array" ref="G4662">IF(AND(Inputs!$C$60,Inputs!$C$61),INDEX(Utility_Rates!$C$29:$F$52,HOUR(C4662)+Inputs!$C$69,MATCH(INDEX(Utility_Rates!$K$6:$K$17,MONTH(C4662))&amp;IF(WEEKDAY(C4662,Inputs!$C$76)&lt;=Inputs!$C$74," weekday"," weekend"),Utility_Rates!$C$28:$F$28,Inputs!$C$68)),"")</f>
      </c>
      <c r="H4662" s="34"/>
      <c r="I4662" s="42">
        <f>IF(AND(ISNUMBER(D4662),ISNUMBER(H4662)),D4662*H4662*Inputs!$C$69,"")</f>
      </c>
      <c r="J4662" s="42">
        <f>IF(AND(ISNUMBER(F4662),ISNUMBER(H4662),F4662&gt;=Inputs!$C$68),F4662*H4662*Inputs!$C$69,"")</f>
      </c>
    </row>
    <row r="4663" spans="2:10" ht="15" customHeight="1" x14ac:dyDescent="0.2">
      <c r="B4663" s="39">
        <f t="shared" si="36"/>
      </c>
      <c r="C4663" s="40">
        <f>IF(Inputs!$C$60,Inputs!$C$11+(B4663-Inputs!$C$69)/Inputs!$C$70,"")</f>
      </c>
      <c r="D4663" s="15"/>
      <c r="E4663" s="15"/>
      <c r="F4663" s="11">
        <f t="shared" si="37"/>
      </c>
      <c r="G4663" s="22" cm="1">
        <f t="array" ref="G4663">IF(AND(Inputs!$C$60,Inputs!$C$61),INDEX(Utility_Rates!$C$29:$F$52,HOUR(C4663)+Inputs!$C$69,MATCH(INDEX(Utility_Rates!$K$6:$K$17,MONTH(C4663))&amp;IF(WEEKDAY(C4663,Inputs!$C$76)&lt;=Inputs!$C$74," weekday"," weekend"),Utility_Rates!$C$28:$F$28,Inputs!$C$68)),"")</f>
      </c>
      <c r="H4663" s="34"/>
      <c r="I4663" s="42">
        <f>IF(AND(ISNUMBER(D4663),ISNUMBER(H4663)),D4663*H4663*Inputs!$C$69,"")</f>
      </c>
      <c r="J4663" s="42">
        <f>IF(AND(ISNUMBER(F4663),ISNUMBER(H4663),F4663&gt;=Inputs!$C$68),F4663*H4663*Inputs!$C$69,"")</f>
      </c>
    </row>
    <row r="4664" spans="2:10" ht="15" customHeight="1" x14ac:dyDescent="0.2">
      <c r="B4664" s="39">
        <f t="shared" si="36"/>
      </c>
      <c r="C4664" s="40">
        <f>IF(Inputs!$C$60,Inputs!$C$11+(B4664-Inputs!$C$69)/Inputs!$C$70,"")</f>
      </c>
      <c r="D4664" s="15"/>
      <c r="E4664" s="15"/>
      <c r="F4664" s="11">
        <f t="shared" si="37"/>
      </c>
      <c r="G4664" s="22" cm="1">
        <f t="array" ref="G4664">IF(AND(Inputs!$C$60,Inputs!$C$61),INDEX(Utility_Rates!$C$29:$F$52,HOUR(C4664)+Inputs!$C$69,MATCH(INDEX(Utility_Rates!$K$6:$K$17,MONTH(C4664))&amp;IF(WEEKDAY(C4664,Inputs!$C$76)&lt;=Inputs!$C$74," weekday"," weekend"),Utility_Rates!$C$28:$F$28,Inputs!$C$68)),"")</f>
      </c>
      <c r="H4664" s="34"/>
      <c r="I4664" s="42">
        <f>IF(AND(ISNUMBER(D4664),ISNUMBER(H4664)),D4664*H4664*Inputs!$C$69,"")</f>
      </c>
      <c r="J4664" s="42">
        <f>IF(AND(ISNUMBER(F4664),ISNUMBER(H4664),F4664&gt;=Inputs!$C$68),F4664*H4664*Inputs!$C$69,"")</f>
      </c>
    </row>
    <row r="4665" spans="2:10" ht="15" customHeight="1" x14ac:dyDescent="0.2">
      <c r="B4665" s="39">
        <f t="shared" si="36"/>
      </c>
      <c r="C4665" s="40">
        <f>IF(Inputs!$C$60,Inputs!$C$11+(B4665-Inputs!$C$69)/Inputs!$C$70,"")</f>
      </c>
      <c r="D4665" s="15"/>
      <c r="E4665" s="15"/>
      <c r="F4665" s="11">
        <f t="shared" si="37"/>
      </c>
      <c r="G4665" s="22" cm="1">
        <f t="array" ref="G4665">IF(AND(Inputs!$C$60,Inputs!$C$61),INDEX(Utility_Rates!$C$29:$F$52,HOUR(C4665)+Inputs!$C$69,MATCH(INDEX(Utility_Rates!$K$6:$K$17,MONTH(C4665))&amp;IF(WEEKDAY(C4665,Inputs!$C$76)&lt;=Inputs!$C$74," weekday"," weekend"),Utility_Rates!$C$28:$F$28,Inputs!$C$68)),"")</f>
      </c>
      <c r="H4665" s="34"/>
      <c r="I4665" s="42">
        <f>IF(AND(ISNUMBER(D4665),ISNUMBER(H4665)),D4665*H4665*Inputs!$C$69,"")</f>
      </c>
      <c r="J4665" s="42">
        <f>IF(AND(ISNUMBER(F4665),ISNUMBER(H4665),F4665&gt;=Inputs!$C$68),F4665*H4665*Inputs!$C$69,"")</f>
      </c>
    </row>
    <row r="4666" spans="2:10" ht="15" customHeight="1" x14ac:dyDescent="0.2">
      <c r="B4666" s="39">
        <f t="shared" si="36"/>
      </c>
      <c r="C4666" s="40">
        <f>IF(Inputs!$C$60,Inputs!$C$11+(B4666-Inputs!$C$69)/Inputs!$C$70,"")</f>
      </c>
      <c r="D4666" s="15"/>
      <c r="E4666" s="15"/>
      <c r="F4666" s="11">
        <f t="shared" si="37"/>
      </c>
      <c r="G4666" s="22" cm="1">
        <f t="array" ref="G4666">IF(AND(Inputs!$C$60,Inputs!$C$61),INDEX(Utility_Rates!$C$29:$F$52,HOUR(C4666)+Inputs!$C$69,MATCH(INDEX(Utility_Rates!$K$6:$K$17,MONTH(C4666))&amp;IF(WEEKDAY(C4666,Inputs!$C$76)&lt;=Inputs!$C$74," weekday"," weekend"),Utility_Rates!$C$28:$F$28,Inputs!$C$68)),"")</f>
      </c>
      <c r="H4666" s="34"/>
      <c r="I4666" s="42">
        <f>IF(AND(ISNUMBER(D4666),ISNUMBER(H4666)),D4666*H4666*Inputs!$C$69,"")</f>
      </c>
      <c r="J4666" s="42">
        <f>IF(AND(ISNUMBER(F4666),ISNUMBER(H4666),F4666&gt;=Inputs!$C$68),F4666*H4666*Inputs!$C$69,"")</f>
      </c>
    </row>
    <row r="4667" spans="2:10" ht="15" customHeight="1" x14ac:dyDescent="0.2">
      <c r="B4667" s="39">
        <f t="shared" si="36"/>
      </c>
      <c r="C4667" s="40">
        <f>IF(Inputs!$C$60,Inputs!$C$11+(B4667-Inputs!$C$69)/Inputs!$C$70,"")</f>
      </c>
      <c r="D4667" s="15"/>
      <c r="E4667" s="15"/>
      <c r="F4667" s="11">
        <f t="shared" si="37"/>
      </c>
      <c r="G4667" s="22" cm="1">
        <f t="array" ref="G4667">IF(AND(Inputs!$C$60,Inputs!$C$61),INDEX(Utility_Rates!$C$29:$F$52,HOUR(C4667)+Inputs!$C$69,MATCH(INDEX(Utility_Rates!$K$6:$K$17,MONTH(C4667))&amp;IF(WEEKDAY(C4667,Inputs!$C$76)&lt;=Inputs!$C$74," weekday"," weekend"),Utility_Rates!$C$28:$F$28,Inputs!$C$68)),"")</f>
      </c>
      <c r="H4667" s="34"/>
      <c r="I4667" s="42">
        <f>IF(AND(ISNUMBER(D4667),ISNUMBER(H4667)),D4667*H4667*Inputs!$C$69,"")</f>
      </c>
      <c r="J4667" s="42">
        <f>IF(AND(ISNUMBER(F4667),ISNUMBER(H4667),F4667&gt;=Inputs!$C$68),F4667*H4667*Inputs!$C$69,"")</f>
      </c>
    </row>
    <row r="4668" spans="2:10" ht="15" customHeight="1" x14ac:dyDescent="0.2">
      <c r="B4668" s="39">
        <f t="shared" si="36"/>
      </c>
      <c r="C4668" s="40">
        <f>IF(Inputs!$C$60,Inputs!$C$11+(B4668-Inputs!$C$69)/Inputs!$C$70,"")</f>
      </c>
      <c r="D4668" s="15"/>
      <c r="E4668" s="15"/>
      <c r="F4668" s="11">
        <f t="shared" si="37"/>
      </c>
      <c r="G4668" s="22" cm="1">
        <f t="array" ref="G4668">IF(AND(Inputs!$C$60,Inputs!$C$61),INDEX(Utility_Rates!$C$29:$F$52,HOUR(C4668)+Inputs!$C$69,MATCH(INDEX(Utility_Rates!$K$6:$K$17,MONTH(C4668))&amp;IF(WEEKDAY(C4668,Inputs!$C$76)&lt;=Inputs!$C$74," weekday"," weekend"),Utility_Rates!$C$28:$F$28,Inputs!$C$68)),"")</f>
      </c>
      <c r="H4668" s="34"/>
      <c r="I4668" s="42">
        <f>IF(AND(ISNUMBER(D4668),ISNUMBER(H4668)),D4668*H4668*Inputs!$C$69,"")</f>
      </c>
      <c r="J4668" s="42">
        <f>IF(AND(ISNUMBER(F4668),ISNUMBER(H4668),F4668&gt;=Inputs!$C$68),F4668*H4668*Inputs!$C$69,"")</f>
      </c>
    </row>
    <row r="4669" spans="2:10" ht="15" customHeight="1" x14ac:dyDescent="0.2">
      <c r="B4669" s="39">
        <f t="shared" si="36"/>
      </c>
      <c r="C4669" s="40">
        <f>IF(Inputs!$C$60,Inputs!$C$11+(B4669-Inputs!$C$69)/Inputs!$C$70,"")</f>
      </c>
      <c r="D4669" s="15"/>
      <c r="E4669" s="15"/>
      <c r="F4669" s="11">
        <f t="shared" si="37"/>
      </c>
      <c r="G4669" s="22" cm="1">
        <f t="array" ref="G4669">IF(AND(Inputs!$C$60,Inputs!$C$61),INDEX(Utility_Rates!$C$29:$F$52,HOUR(C4669)+Inputs!$C$69,MATCH(INDEX(Utility_Rates!$K$6:$K$17,MONTH(C4669))&amp;IF(WEEKDAY(C4669,Inputs!$C$76)&lt;=Inputs!$C$74," weekday"," weekend"),Utility_Rates!$C$28:$F$28,Inputs!$C$68)),"")</f>
      </c>
      <c r="H4669" s="34"/>
      <c r="I4669" s="42">
        <f>IF(AND(ISNUMBER(D4669),ISNUMBER(H4669)),D4669*H4669*Inputs!$C$69,"")</f>
      </c>
      <c r="J4669" s="42">
        <f>IF(AND(ISNUMBER(F4669),ISNUMBER(H4669),F4669&gt;=Inputs!$C$68),F4669*H4669*Inputs!$C$69,"")</f>
      </c>
    </row>
    <row r="4670" spans="2:10" ht="15" customHeight="1" x14ac:dyDescent="0.2">
      <c r="B4670" s="39">
        <f t="shared" si="36"/>
      </c>
      <c r="C4670" s="40">
        <f>IF(Inputs!$C$60,Inputs!$C$11+(B4670-Inputs!$C$69)/Inputs!$C$70,"")</f>
      </c>
      <c r="D4670" s="15"/>
      <c r="E4670" s="15"/>
      <c r="F4670" s="11">
        <f t="shared" si="37"/>
      </c>
      <c r="G4670" s="22" cm="1">
        <f t="array" ref="G4670">IF(AND(Inputs!$C$60,Inputs!$C$61),INDEX(Utility_Rates!$C$29:$F$52,HOUR(C4670)+Inputs!$C$69,MATCH(INDEX(Utility_Rates!$K$6:$K$17,MONTH(C4670))&amp;IF(WEEKDAY(C4670,Inputs!$C$76)&lt;=Inputs!$C$74," weekday"," weekend"),Utility_Rates!$C$28:$F$28,Inputs!$C$68)),"")</f>
      </c>
      <c r="H4670" s="34"/>
      <c r="I4670" s="42">
        <f>IF(AND(ISNUMBER(D4670),ISNUMBER(H4670)),D4670*H4670*Inputs!$C$69,"")</f>
      </c>
      <c r="J4670" s="42">
        <f>IF(AND(ISNUMBER(F4670),ISNUMBER(H4670),F4670&gt;=Inputs!$C$68),F4670*H4670*Inputs!$C$69,"")</f>
      </c>
    </row>
    <row r="4671" spans="2:10" ht="15" customHeight="1" x14ac:dyDescent="0.2">
      <c r="B4671" s="39">
        <f t="shared" si="36"/>
      </c>
      <c r="C4671" s="40">
        <f>IF(Inputs!$C$60,Inputs!$C$11+(B4671-Inputs!$C$69)/Inputs!$C$70,"")</f>
      </c>
      <c r="D4671" s="15"/>
      <c r="E4671" s="15"/>
      <c r="F4671" s="11">
        <f t="shared" si="37"/>
      </c>
      <c r="G4671" s="22" cm="1">
        <f t="array" ref="G4671">IF(AND(Inputs!$C$60,Inputs!$C$61),INDEX(Utility_Rates!$C$29:$F$52,HOUR(C4671)+Inputs!$C$69,MATCH(INDEX(Utility_Rates!$K$6:$K$17,MONTH(C4671))&amp;IF(WEEKDAY(C4671,Inputs!$C$76)&lt;=Inputs!$C$74," weekday"," weekend"),Utility_Rates!$C$28:$F$28,Inputs!$C$68)),"")</f>
      </c>
      <c r="H4671" s="34"/>
      <c r="I4671" s="42">
        <f>IF(AND(ISNUMBER(D4671),ISNUMBER(H4671)),D4671*H4671*Inputs!$C$69,"")</f>
      </c>
      <c r="J4671" s="42">
        <f>IF(AND(ISNUMBER(F4671),ISNUMBER(H4671),F4671&gt;=Inputs!$C$68),F4671*H4671*Inputs!$C$69,"")</f>
      </c>
    </row>
    <row r="4672" spans="2:10" ht="15" customHeight="1" x14ac:dyDescent="0.2">
      <c r="B4672" s="39">
        <f t="shared" si="36"/>
      </c>
      <c r="C4672" s="40">
        <f>IF(Inputs!$C$60,Inputs!$C$11+(B4672-Inputs!$C$69)/Inputs!$C$70,"")</f>
      </c>
      <c r="D4672" s="15"/>
      <c r="E4672" s="15"/>
      <c r="F4672" s="11">
        <f t="shared" si="37"/>
      </c>
      <c r="G4672" s="22" cm="1">
        <f t="array" ref="G4672">IF(AND(Inputs!$C$60,Inputs!$C$61),INDEX(Utility_Rates!$C$29:$F$52,HOUR(C4672)+Inputs!$C$69,MATCH(INDEX(Utility_Rates!$K$6:$K$17,MONTH(C4672))&amp;IF(WEEKDAY(C4672,Inputs!$C$76)&lt;=Inputs!$C$74," weekday"," weekend"),Utility_Rates!$C$28:$F$28,Inputs!$C$68)),"")</f>
      </c>
      <c r="H4672" s="34"/>
      <c r="I4672" s="42">
        <f>IF(AND(ISNUMBER(D4672),ISNUMBER(H4672)),D4672*H4672*Inputs!$C$69,"")</f>
      </c>
      <c r="J4672" s="42">
        <f>IF(AND(ISNUMBER(F4672),ISNUMBER(H4672),F4672&gt;=Inputs!$C$68),F4672*H4672*Inputs!$C$69,"")</f>
      </c>
    </row>
    <row r="4673" spans="2:10" ht="15" customHeight="1" x14ac:dyDescent="0.2">
      <c r="B4673" s="39">
        <f t="shared" si="36"/>
      </c>
      <c r="C4673" s="40">
        <f>IF(Inputs!$C$60,Inputs!$C$11+(B4673-Inputs!$C$69)/Inputs!$C$70,"")</f>
      </c>
      <c r="D4673" s="15"/>
      <c r="E4673" s="15"/>
      <c r="F4673" s="11">
        <f t="shared" si="37"/>
      </c>
      <c r="G4673" s="22" cm="1">
        <f t="array" ref="G4673">IF(AND(Inputs!$C$60,Inputs!$C$61),INDEX(Utility_Rates!$C$29:$F$52,HOUR(C4673)+Inputs!$C$69,MATCH(INDEX(Utility_Rates!$K$6:$K$17,MONTH(C4673))&amp;IF(WEEKDAY(C4673,Inputs!$C$76)&lt;=Inputs!$C$74," weekday"," weekend"),Utility_Rates!$C$28:$F$28,Inputs!$C$68)),"")</f>
      </c>
      <c r="H4673" s="34"/>
      <c r="I4673" s="42">
        <f>IF(AND(ISNUMBER(D4673),ISNUMBER(H4673)),D4673*H4673*Inputs!$C$69,"")</f>
      </c>
      <c r="J4673" s="42">
        <f>IF(AND(ISNUMBER(F4673),ISNUMBER(H4673),F4673&gt;=Inputs!$C$68),F4673*H4673*Inputs!$C$69,"")</f>
      </c>
    </row>
    <row r="4674" spans="2:10" ht="15" customHeight="1" x14ac:dyDescent="0.2">
      <c r="B4674" s="39">
        <f t="shared" si="36"/>
      </c>
      <c r="C4674" s="40">
        <f>IF(Inputs!$C$60,Inputs!$C$11+(B4674-Inputs!$C$69)/Inputs!$C$70,"")</f>
      </c>
      <c r="D4674" s="15"/>
      <c r="E4674" s="15"/>
      <c r="F4674" s="11">
        <f t="shared" si="37"/>
      </c>
      <c r="G4674" s="22" cm="1">
        <f t="array" ref="G4674">IF(AND(Inputs!$C$60,Inputs!$C$61),INDEX(Utility_Rates!$C$29:$F$52,HOUR(C4674)+Inputs!$C$69,MATCH(INDEX(Utility_Rates!$K$6:$K$17,MONTH(C4674))&amp;IF(WEEKDAY(C4674,Inputs!$C$76)&lt;=Inputs!$C$74," weekday"," weekend"),Utility_Rates!$C$28:$F$28,Inputs!$C$68)),"")</f>
      </c>
      <c r="H4674" s="34"/>
      <c r="I4674" s="42">
        <f>IF(AND(ISNUMBER(D4674),ISNUMBER(H4674)),D4674*H4674*Inputs!$C$69,"")</f>
      </c>
      <c r="J4674" s="42">
        <f>IF(AND(ISNUMBER(F4674),ISNUMBER(H4674),F4674&gt;=Inputs!$C$68),F4674*H4674*Inputs!$C$69,"")</f>
      </c>
    </row>
    <row r="4675" spans="2:10" ht="15" customHeight="1" x14ac:dyDescent="0.2">
      <c r="B4675" s="39">
        <f t="shared" si="36"/>
      </c>
      <c r="C4675" s="40">
        <f>IF(Inputs!$C$60,Inputs!$C$11+(B4675-Inputs!$C$69)/Inputs!$C$70,"")</f>
      </c>
      <c r="D4675" s="15"/>
      <c r="E4675" s="15"/>
      <c r="F4675" s="11">
        <f t="shared" si="37"/>
      </c>
      <c r="G4675" s="22" cm="1">
        <f t="array" ref="G4675">IF(AND(Inputs!$C$60,Inputs!$C$61),INDEX(Utility_Rates!$C$29:$F$52,HOUR(C4675)+Inputs!$C$69,MATCH(INDEX(Utility_Rates!$K$6:$K$17,MONTH(C4675))&amp;IF(WEEKDAY(C4675,Inputs!$C$76)&lt;=Inputs!$C$74," weekday"," weekend"),Utility_Rates!$C$28:$F$28,Inputs!$C$68)),"")</f>
      </c>
      <c r="H4675" s="34"/>
      <c r="I4675" s="42">
        <f>IF(AND(ISNUMBER(D4675),ISNUMBER(H4675)),D4675*H4675*Inputs!$C$69,"")</f>
      </c>
      <c r="J4675" s="42">
        <f>IF(AND(ISNUMBER(F4675),ISNUMBER(H4675),F4675&gt;=Inputs!$C$68),F4675*H4675*Inputs!$C$69,"")</f>
      </c>
    </row>
    <row r="4676" spans="2:10" ht="15" customHeight="1" x14ac:dyDescent="0.2">
      <c r="B4676" s="39">
        <f t="shared" si="36"/>
      </c>
      <c r="C4676" s="40">
        <f>IF(Inputs!$C$60,Inputs!$C$11+(B4676-Inputs!$C$69)/Inputs!$C$70,"")</f>
      </c>
      <c r="D4676" s="15"/>
      <c r="E4676" s="15"/>
      <c r="F4676" s="11">
        <f t="shared" si="37"/>
      </c>
      <c r="G4676" s="22" cm="1">
        <f t="array" ref="G4676">IF(AND(Inputs!$C$60,Inputs!$C$61),INDEX(Utility_Rates!$C$29:$F$52,HOUR(C4676)+Inputs!$C$69,MATCH(INDEX(Utility_Rates!$K$6:$K$17,MONTH(C4676))&amp;IF(WEEKDAY(C4676,Inputs!$C$76)&lt;=Inputs!$C$74," weekday"," weekend"),Utility_Rates!$C$28:$F$28,Inputs!$C$68)),"")</f>
      </c>
      <c r="H4676" s="34"/>
      <c r="I4676" s="42">
        <f>IF(AND(ISNUMBER(D4676),ISNUMBER(H4676)),D4676*H4676*Inputs!$C$69,"")</f>
      </c>
      <c r="J4676" s="42">
        <f>IF(AND(ISNUMBER(F4676),ISNUMBER(H4676),F4676&gt;=Inputs!$C$68),F4676*H4676*Inputs!$C$69,"")</f>
      </c>
    </row>
    <row r="4677" spans="2:10" ht="15" customHeight="1" x14ac:dyDescent="0.2">
      <c r="B4677" s="39">
        <f t="shared" si="36"/>
      </c>
      <c r="C4677" s="40">
        <f>IF(Inputs!$C$60,Inputs!$C$11+(B4677-Inputs!$C$69)/Inputs!$C$70,"")</f>
      </c>
      <c r="D4677" s="15"/>
      <c r="E4677" s="15"/>
      <c r="F4677" s="11">
        <f t="shared" si="37"/>
      </c>
      <c r="G4677" s="22" cm="1">
        <f t="array" ref="G4677">IF(AND(Inputs!$C$60,Inputs!$C$61),INDEX(Utility_Rates!$C$29:$F$52,HOUR(C4677)+Inputs!$C$69,MATCH(INDEX(Utility_Rates!$K$6:$K$17,MONTH(C4677))&amp;IF(WEEKDAY(C4677,Inputs!$C$76)&lt;=Inputs!$C$74," weekday"," weekend"),Utility_Rates!$C$28:$F$28,Inputs!$C$68)),"")</f>
      </c>
      <c r="H4677" s="34"/>
      <c r="I4677" s="42">
        <f>IF(AND(ISNUMBER(D4677),ISNUMBER(H4677)),D4677*H4677*Inputs!$C$69,"")</f>
      </c>
      <c r="J4677" s="42">
        <f>IF(AND(ISNUMBER(F4677),ISNUMBER(H4677),F4677&gt;=Inputs!$C$68),F4677*H4677*Inputs!$C$69,"")</f>
      </c>
    </row>
    <row r="4678" spans="2:10" ht="15" customHeight="1" x14ac:dyDescent="0.2">
      <c r="B4678" s="39">
        <f t="shared" si="36"/>
      </c>
      <c r="C4678" s="40">
        <f>IF(Inputs!$C$60,Inputs!$C$11+(B4678-Inputs!$C$69)/Inputs!$C$70,"")</f>
      </c>
      <c r="D4678" s="15"/>
      <c r="E4678" s="15"/>
      <c r="F4678" s="11">
        <f t="shared" si="37"/>
      </c>
      <c r="G4678" s="22" cm="1">
        <f t="array" ref="G4678">IF(AND(Inputs!$C$60,Inputs!$C$61),INDEX(Utility_Rates!$C$29:$F$52,HOUR(C4678)+Inputs!$C$69,MATCH(INDEX(Utility_Rates!$K$6:$K$17,MONTH(C4678))&amp;IF(WEEKDAY(C4678,Inputs!$C$76)&lt;=Inputs!$C$74," weekday"," weekend"),Utility_Rates!$C$28:$F$28,Inputs!$C$68)),"")</f>
      </c>
      <c r="H4678" s="34"/>
      <c r="I4678" s="42">
        <f>IF(AND(ISNUMBER(D4678),ISNUMBER(H4678)),D4678*H4678*Inputs!$C$69,"")</f>
      </c>
      <c r="J4678" s="42">
        <f>IF(AND(ISNUMBER(F4678),ISNUMBER(H4678),F4678&gt;=Inputs!$C$68),F4678*H4678*Inputs!$C$69,"")</f>
      </c>
    </row>
    <row r="4679" spans="2:10" ht="15" customHeight="1" x14ac:dyDescent="0.2">
      <c r="B4679" s="39">
        <f t="shared" si="36"/>
      </c>
      <c r="C4679" s="40">
        <f>IF(Inputs!$C$60,Inputs!$C$11+(B4679-Inputs!$C$69)/Inputs!$C$70,"")</f>
      </c>
      <c r="D4679" s="15"/>
      <c r="E4679" s="15"/>
      <c r="F4679" s="11">
        <f t="shared" si="37"/>
      </c>
      <c r="G4679" s="22" cm="1">
        <f t="array" ref="G4679">IF(AND(Inputs!$C$60,Inputs!$C$61),INDEX(Utility_Rates!$C$29:$F$52,HOUR(C4679)+Inputs!$C$69,MATCH(INDEX(Utility_Rates!$K$6:$K$17,MONTH(C4679))&amp;IF(WEEKDAY(C4679,Inputs!$C$76)&lt;=Inputs!$C$74," weekday"," weekend"),Utility_Rates!$C$28:$F$28,Inputs!$C$68)),"")</f>
      </c>
      <c r="H4679" s="34"/>
      <c r="I4679" s="42">
        <f>IF(AND(ISNUMBER(D4679),ISNUMBER(H4679)),D4679*H4679*Inputs!$C$69,"")</f>
      </c>
      <c r="J4679" s="42">
        <f>IF(AND(ISNUMBER(F4679),ISNUMBER(H4679),F4679&gt;=Inputs!$C$68),F4679*H4679*Inputs!$C$69,"")</f>
      </c>
    </row>
    <row r="4680" spans="2:10" ht="15" customHeight="1" x14ac:dyDescent="0.2">
      <c r="B4680" s="39">
        <f t="shared" si="36"/>
      </c>
      <c r="C4680" s="40">
        <f>IF(Inputs!$C$60,Inputs!$C$11+(B4680-Inputs!$C$69)/Inputs!$C$70,"")</f>
      </c>
      <c r="D4680" s="15"/>
      <c r="E4680" s="15"/>
      <c r="F4680" s="11">
        <f t="shared" si="37"/>
      </c>
      <c r="G4680" s="22" cm="1">
        <f t="array" ref="G4680">IF(AND(Inputs!$C$60,Inputs!$C$61),INDEX(Utility_Rates!$C$29:$F$52,HOUR(C4680)+Inputs!$C$69,MATCH(INDEX(Utility_Rates!$K$6:$K$17,MONTH(C4680))&amp;IF(WEEKDAY(C4680,Inputs!$C$76)&lt;=Inputs!$C$74," weekday"," weekend"),Utility_Rates!$C$28:$F$28,Inputs!$C$68)),"")</f>
      </c>
      <c r="H4680" s="34"/>
      <c r="I4680" s="42">
        <f>IF(AND(ISNUMBER(D4680),ISNUMBER(H4680)),D4680*H4680*Inputs!$C$69,"")</f>
      </c>
      <c r="J4680" s="42">
        <f>IF(AND(ISNUMBER(F4680),ISNUMBER(H4680),F4680&gt;=Inputs!$C$68),F4680*H4680*Inputs!$C$69,"")</f>
      </c>
    </row>
    <row r="4681" spans="2:10" ht="15" customHeight="1" x14ac:dyDescent="0.2">
      <c r="B4681" s="39">
        <f t="shared" si="36"/>
      </c>
      <c r="C4681" s="40">
        <f>IF(Inputs!$C$60,Inputs!$C$11+(B4681-Inputs!$C$69)/Inputs!$C$70,"")</f>
      </c>
      <c r="D4681" s="15"/>
      <c r="E4681" s="15"/>
      <c r="F4681" s="11">
        <f t="shared" si="37"/>
      </c>
      <c r="G4681" s="22" cm="1">
        <f t="array" ref="G4681">IF(AND(Inputs!$C$60,Inputs!$C$61),INDEX(Utility_Rates!$C$29:$F$52,HOUR(C4681)+Inputs!$C$69,MATCH(INDEX(Utility_Rates!$K$6:$K$17,MONTH(C4681))&amp;IF(WEEKDAY(C4681,Inputs!$C$76)&lt;=Inputs!$C$74," weekday"," weekend"),Utility_Rates!$C$28:$F$28,Inputs!$C$68)),"")</f>
      </c>
      <c r="H4681" s="34"/>
      <c r="I4681" s="42">
        <f>IF(AND(ISNUMBER(D4681),ISNUMBER(H4681)),D4681*H4681*Inputs!$C$69,"")</f>
      </c>
      <c r="J4681" s="42">
        <f>IF(AND(ISNUMBER(F4681),ISNUMBER(H4681),F4681&gt;=Inputs!$C$68),F4681*H4681*Inputs!$C$69,"")</f>
      </c>
    </row>
    <row r="4682" spans="2:10" ht="15" customHeight="1" x14ac:dyDescent="0.2">
      <c r="B4682" s="39">
        <f t="shared" si="36"/>
      </c>
      <c r="C4682" s="40">
        <f>IF(Inputs!$C$60,Inputs!$C$11+(B4682-Inputs!$C$69)/Inputs!$C$70,"")</f>
      </c>
      <c r="D4682" s="15"/>
      <c r="E4682" s="15"/>
      <c r="F4682" s="11">
        <f t="shared" si="37"/>
      </c>
      <c r="G4682" s="22" cm="1">
        <f t="array" ref="G4682">IF(AND(Inputs!$C$60,Inputs!$C$61),INDEX(Utility_Rates!$C$29:$F$52,HOUR(C4682)+Inputs!$C$69,MATCH(INDEX(Utility_Rates!$K$6:$K$17,MONTH(C4682))&amp;IF(WEEKDAY(C4682,Inputs!$C$76)&lt;=Inputs!$C$74," weekday"," weekend"),Utility_Rates!$C$28:$F$28,Inputs!$C$68)),"")</f>
      </c>
      <c r="H4682" s="34"/>
      <c r="I4682" s="42">
        <f>IF(AND(ISNUMBER(D4682),ISNUMBER(H4682)),D4682*H4682*Inputs!$C$69,"")</f>
      </c>
      <c r="J4682" s="42">
        <f>IF(AND(ISNUMBER(F4682),ISNUMBER(H4682),F4682&gt;=Inputs!$C$68),F4682*H4682*Inputs!$C$69,"")</f>
      </c>
    </row>
    <row r="4683" spans="2:10" ht="15" customHeight="1" x14ac:dyDescent="0.2">
      <c r="B4683" s="39">
        <f t="shared" si="36"/>
      </c>
      <c r="C4683" s="40">
        <f>IF(Inputs!$C$60,Inputs!$C$11+(B4683-Inputs!$C$69)/Inputs!$C$70,"")</f>
      </c>
      <c r="D4683" s="15"/>
      <c r="E4683" s="15"/>
      <c r="F4683" s="11">
        <f t="shared" si="37"/>
      </c>
      <c r="G4683" s="22" cm="1">
        <f t="array" ref="G4683">IF(AND(Inputs!$C$60,Inputs!$C$61),INDEX(Utility_Rates!$C$29:$F$52,HOUR(C4683)+Inputs!$C$69,MATCH(INDEX(Utility_Rates!$K$6:$K$17,MONTH(C4683))&amp;IF(WEEKDAY(C4683,Inputs!$C$76)&lt;=Inputs!$C$74," weekday"," weekend"),Utility_Rates!$C$28:$F$28,Inputs!$C$68)),"")</f>
      </c>
      <c r="H4683" s="34"/>
      <c r="I4683" s="42">
        <f>IF(AND(ISNUMBER(D4683),ISNUMBER(H4683)),D4683*H4683*Inputs!$C$69,"")</f>
      </c>
      <c r="J4683" s="42">
        <f>IF(AND(ISNUMBER(F4683),ISNUMBER(H4683),F4683&gt;=Inputs!$C$68),F4683*H4683*Inputs!$C$69,"")</f>
      </c>
    </row>
    <row r="4684" spans="2:10" ht="15" customHeight="1" x14ac:dyDescent="0.2">
      <c r="B4684" s="39">
        <f t="shared" si="36"/>
      </c>
      <c r="C4684" s="40">
        <f>IF(Inputs!$C$60,Inputs!$C$11+(B4684-Inputs!$C$69)/Inputs!$C$70,"")</f>
      </c>
      <c r="D4684" s="15"/>
      <c r="E4684" s="15"/>
      <c r="F4684" s="11">
        <f t="shared" si="37"/>
      </c>
      <c r="G4684" s="22" cm="1">
        <f t="array" ref="G4684">IF(AND(Inputs!$C$60,Inputs!$C$61),INDEX(Utility_Rates!$C$29:$F$52,HOUR(C4684)+Inputs!$C$69,MATCH(INDEX(Utility_Rates!$K$6:$K$17,MONTH(C4684))&amp;IF(WEEKDAY(C4684,Inputs!$C$76)&lt;=Inputs!$C$74," weekday"," weekend"),Utility_Rates!$C$28:$F$28,Inputs!$C$68)),"")</f>
      </c>
      <c r="H4684" s="34"/>
      <c r="I4684" s="42">
        <f>IF(AND(ISNUMBER(D4684),ISNUMBER(H4684)),D4684*H4684*Inputs!$C$69,"")</f>
      </c>
      <c r="J4684" s="42">
        <f>IF(AND(ISNUMBER(F4684),ISNUMBER(H4684),F4684&gt;=Inputs!$C$68),F4684*H4684*Inputs!$C$69,"")</f>
      </c>
    </row>
    <row r="4685" spans="2:10" ht="15" customHeight="1" x14ac:dyDescent="0.2">
      <c r="B4685" s="39">
        <f t="shared" si="36"/>
      </c>
      <c r="C4685" s="40">
        <f>IF(Inputs!$C$60,Inputs!$C$11+(B4685-Inputs!$C$69)/Inputs!$C$70,"")</f>
      </c>
      <c r="D4685" s="15"/>
      <c r="E4685" s="15"/>
      <c r="F4685" s="11">
        <f t="shared" si="37"/>
      </c>
      <c r="G4685" s="22" cm="1">
        <f t="array" ref="G4685">IF(AND(Inputs!$C$60,Inputs!$C$61),INDEX(Utility_Rates!$C$29:$F$52,HOUR(C4685)+Inputs!$C$69,MATCH(INDEX(Utility_Rates!$K$6:$K$17,MONTH(C4685))&amp;IF(WEEKDAY(C4685,Inputs!$C$76)&lt;=Inputs!$C$74," weekday"," weekend"),Utility_Rates!$C$28:$F$28,Inputs!$C$68)),"")</f>
      </c>
      <c r="H4685" s="34"/>
      <c r="I4685" s="42">
        <f>IF(AND(ISNUMBER(D4685),ISNUMBER(H4685)),D4685*H4685*Inputs!$C$69,"")</f>
      </c>
      <c r="J4685" s="42">
        <f>IF(AND(ISNUMBER(F4685),ISNUMBER(H4685),F4685&gt;=Inputs!$C$68),F4685*H4685*Inputs!$C$69,"")</f>
      </c>
    </row>
    <row r="4686" spans="2:10" ht="15" customHeight="1" x14ac:dyDescent="0.2">
      <c r="B4686" s="39">
        <f t="shared" si="36"/>
      </c>
      <c r="C4686" s="40">
        <f>IF(Inputs!$C$60,Inputs!$C$11+(B4686-Inputs!$C$69)/Inputs!$C$70,"")</f>
      </c>
      <c r="D4686" s="15"/>
      <c r="E4686" s="15"/>
      <c r="F4686" s="11">
        <f t="shared" si="37"/>
      </c>
      <c r="G4686" s="22" cm="1">
        <f t="array" ref="G4686">IF(AND(Inputs!$C$60,Inputs!$C$61),INDEX(Utility_Rates!$C$29:$F$52,HOUR(C4686)+Inputs!$C$69,MATCH(INDEX(Utility_Rates!$K$6:$K$17,MONTH(C4686))&amp;IF(WEEKDAY(C4686,Inputs!$C$76)&lt;=Inputs!$C$74," weekday"," weekend"),Utility_Rates!$C$28:$F$28,Inputs!$C$68)),"")</f>
      </c>
      <c r="H4686" s="34"/>
      <c r="I4686" s="42">
        <f>IF(AND(ISNUMBER(D4686),ISNUMBER(H4686)),D4686*H4686*Inputs!$C$69,"")</f>
      </c>
      <c r="J4686" s="42">
        <f>IF(AND(ISNUMBER(F4686),ISNUMBER(H4686),F4686&gt;=Inputs!$C$68),F4686*H4686*Inputs!$C$69,"")</f>
      </c>
    </row>
    <row r="4687" spans="2:10" ht="15" customHeight="1" x14ac:dyDescent="0.2">
      <c r="B4687" s="39">
        <f t="shared" si="36"/>
      </c>
      <c r="C4687" s="40">
        <f>IF(Inputs!$C$60,Inputs!$C$11+(B4687-Inputs!$C$69)/Inputs!$C$70,"")</f>
      </c>
      <c r="D4687" s="15"/>
      <c r="E4687" s="15"/>
      <c r="F4687" s="11">
        <f t="shared" si="37"/>
      </c>
      <c r="G4687" s="22" cm="1">
        <f t="array" ref="G4687">IF(AND(Inputs!$C$60,Inputs!$C$61),INDEX(Utility_Rates!$C$29:$F$52,HOUR(C4687)+Inputs!$C$69,MATCH(INDEX(Utility_Rates!$K$6:$K$17,MONTH(C4687))&amp;IF(WEEKDAY(C4687,Inputs!$C$76)&lt;=Inputs!$C$74," weekday"," weekend"),Utility_Rates!$C$28:$F$28,Inputs!$C$68)),"")</f>
      </c>
      <c r="H4687" s="34"/>
      <c r="I4687" s="42">
        <f>IF(AND(ISNUMBER(D4687),ISNUMBER(H4687)),D4687*H4687*Inputs!$C$69,"")</f>
      </c>
      <c r="J4687" s="42">
        <f>IF(AND(ISNUMBER(F4687),ISNUMBER(H4687),F4687&gt;=Inputs!$C$68),F4687*H4687*Inputs!$C$69,"")</f>
      </c>
    </row>
    <row r="4688" spans="2:10" ht="15" customHeight="1" x14ac:dyDescent="0.2">
      <c r="B4688" s="39">
        <f t="shared" si="36"/>
      </c>
      <c r="C4688" s="40">
        <f>IF(Inputs!$C$60,Inputs!$C$11+(B4688-Inputs!$C$69)/Inputs!$C$70,"")</f>
      </c>
      <c r="D4688" s="15"/>
      <c r="E4688" s="15"/>
      <c r="F4688" s="11">
        <f t="shared" si="37"/>
      </c>
      <c r="G4688" s="22" cm="1">
        <f t="array" ref="G4688">IF(AND(Inputs!$C$60,Inputs!$C$61),INDEX(Utility_Rates!$C$29:$F$52,HOUR(C4688)+Inputs!$C$69,MATCH(INDEX(Utility_Rates!$K$6:$K$17,MONTH(C4688))&amp;IF(WEEKDAY(C4688,Inputs!$C$76)&lt;=Inputs!$C$74," weekday"," weekend"),Utility_Rates!$C$28:$F$28,Inputs!$C$68)),"")</f>
      </c>
      <c r="H4688" s="34"/>
      <c r="I4688" s="42">
        <f>IF(AND(ISNUMBER(D4688),ISNUMBER(H4688)),D4688*H4688*Inputs!$C$69,"")</f>
      </c>
      <c r="J4688" s="42">
        <f>IF(AND(ISNUMBER(F4688),ISNUMBER(H4688),F4688&gt;=Inputs!$C$68),F4688*H4688*Inputs!$C$69,"")</f>
      </c>
    </row>
    <row r="4689" spans="2:10" ht="15" customHeight="1" x14ac:dyDescent="0.2">
      <c r="B4689" s="39">
        <f t="shared" si="36"/>
      </c>
      <c r="C4689" s="40">
        <f>IF(Inputs!$C$60,Inputs!$C$11+(B4689-Inputs!$C$69)/Inputs!$C$70,"")</f>
      </c>
      <c r="D4689" s="15"/>
      <c r="E4689" s="15"/>
      <c r="F4689" s="11">
        <f t="shared" si="37"/>
      </c>
      <c r="G4689" s="22" cm="1">
        <f t="array" ref="G4689">IF(AND(Inputs!$C$60,Inputs!$C$61),INDEX(Utility_Rates!$C$29:$F$52,HOUR(C4689)+Inputs!$C$69,MATCH(INDEX(Utility_Rates!$K$6:$K$17,MONTH(C4689))&amp;IF(WEEKDAY(C4689,Inputs!$C$76)&lt;=Inputs!$C$74," weekday"," weekend"),Utility_Rates!$C$28:$F$28,Inputs!$C$68)),"")</f>
      </c>
      <c r="H4689" s="34"/>
      <c r="I4689" s="42">
        <f>IF(AND(ISNUMBER(D4689),ISNUMBER(H4689)),D4689*H4689*Inputs!$C$69,"")</f>
      </c>
      <c r="J4689" s="42">
        <f>IF(AND(ISNUMBER(F4689),ISNUMBER(H4689),F4689&gt;=Inputs!$C$68),F4689*H4689*Inputs!$C$69,"")</f>
      </c>
    </row>
    <row r="4690" spans="2:10" ht="15" customHeight="1" x14ac:dyDescent="0.2">
      <c r="B4690" s="39">
        <f t="shared" si="36"/>
      </c>
      <c r="C4690" s="40">
        <f>IF(Inputs!$C$60,Inputs!$C$11+(B4690-Inputs!$C$69)/Inputs!$C$70,"")</f>
      </c>
      <c r="D4690" s="15"/>
      <c r="E4690" s="15"/>
      <c r="F4690" s="11">
        <f t="shared" si="37"/>
      </c>
      <c r="G4690" s="22" cm="1">
        <f t="array" ref="G4690">IF(AND(Inputs!$C$60,Inputs!$C$61),INDEX(Utility_Rates!$C$29:$F$52,HOUR(C4690)+Inputs!$C$69,MATCH(INDEX(Utility_Rates!$K$6:$K$17,MONTH(C4690))&amp;IF(WEEKDAY(C4690,Inputs!$C$76)&lt;=Inputs!$C$74," weekday"," weekend"),Utility_Rates!$C$28:$F$28,Inputs!$C$68)),"")</f>
      </c>
      <c r="H4690" s="34"/>
      <c r="I4690" s="42">
        <f>IF(AND(ISNUMBER(D4690),ISNUMBER(H4690)),D4690*H4690*Inputs!$C$69,"")</f>
      </c>
      <c r="J4690" s="42">
        <f>IF(AND(ISNUMBER(F4690),ISNUMBER(H4690),F4690&gt;=Inputs!$C$68),F4690*H4690*Inputs!$C$69,"")</f>
      </c>
    </row>
    <row r="4691" spans="2:10" ht="15" customHeight="1" x14ac:dyDescent="0.2">
      <c r="B4691" s="39">
        <f t="shared" si="36"/>
      </c>
      <c r="C4691" s="40">
        <f>IF(Inputs!$C$60,Inputs!$C$11+(B4691-Inputs!$C$69)/Inputs!$C$70,"")</f>
      </c>
      <c r="D4691" s="15"/>
      <c r="E4691" s="15"/>
      <c r="F4691" s="11">
        <f t="shared" si="37"/>
      </c>
      <c r="G4691" s="22" cm="1">
        <f t="array" ref="G4691">IF(AND(Inputs!$C$60,Inputs!$C$61),INDEX(Utility_Rates!$C$29:$F$52,HOUR(C4691)+Inputs!$C$69,MATCH(INDEX(Utility_Rates!$K$6:$K$17,MONTH(C4691))&amp;IF(WEEKDAY(C4691,Inputs!$C$76)&lt;=Inputs!$C$74," weekday"," weekend"),Utility_Rates!$C$28:$F$28,Inputs!$C$68)),"")</f>
      </c>
      <c r="H4691" s="34"/>
      <c r="I4691" s="42">
        <f>IF(AND(ISNUMBER(D4691),ISNUMBER(H4691)),D4691*H4691*Inputs!$C$69,"")</f>
      </c>
      <c r="J4691" s="42">
        <f>IF(AND(ISNUMBER(F4691),ISNUMBER(H4691),F4691&gt;=Inputs!$C$68),F4691*H4691*Inputs!$C$69,"")</f>
      </c>
    </row>
    <row r="4692" spans="2:10" ht="15" customHeight="1" x14ac:dyDescent="0.2">
      <c r="B4692" s="39">
        <f t="shared" si="36"/>
      </c>
      <c r="C4692" s="40">
        <f>IF(Inputs!$C$60,Inputs!$C$11+(B4692-Inputs!$C$69)/Inputs!$C$70,"")</f>
      </c>
      <c r="D4692" s="15"/>
      <c r="E4692" s="15"/>
      <c r="F4692" s="11">
        <f t="shared" si="37"/>
      </c>
      <c r="G4692" s="22" cm="1">
        <f t="array" ref="G4692">IF(AND(Inputs!$C$60,Inputs!$C$61),INDEX(Utility_Rates!$C$29:$F$52,HOUR(C4692)+Inputs!$C$69,MATCH(INDEX(Utility_Rates!$K$6:$K$17,MONTH(C4692))&amp;IF(WEEKDAY(C4692,Inputs!$C$76)&lt;=Inputs!$C$74," weekday"," weekend"),Utility_Rates!$C$28:$F$28,Inputs!$C$68)),"")</f>
      </c>
      <c r="H4692" s="34"/>
      <c r="I4692" s="42">
        <f>IF(AND(ISNUMBER(D4692),ISNUMBER(H4692)),D4692*H4692*Inputs!$C$69,"")</f>
      </c>
      <c r="J4692" s="42">
        <f>IF(AND(ISNUMBER(F4692),ISNUMBER(H4692),F4692&gt;=Inputs!$C$68),F4692*H4692*Inputs!$C$69,"")</f>
      </c>
    </row>
    <row r="4693" spans="2:10" ht="15" customHeight="1" x14ac:dyDescent="0.2">
      <c r="B4693" s="39">
        <f t="shared" si="36"/>
      </c>
      <c r="C4693" s="40">
        <f>IF(Inputs!$C$60,Inputs!$C$11+(B4693-Inputs!$C$69)/Inputs!$C$70,"")</f>
      </c>
      <c r="D4693" s="15"/>
      <c r="E4693" s="15"/>
      <c r="F4693" s="11">
        <f t="shared" si="37"/>
      </c>
      <c r="G4693" s="22" cm="1">
        <f t="array" ref="G4693">IF(AND(Inputs!$C$60,Inputs!$C$61),INDEX(Utility_Rates!$C$29:$F$52,HOUR(C4693)+Inputs!$C$69,MATCH(INDEX(Utility_Rates!$K$6:$K$17,MONTH(C4693))&amp;IF(WEEKDAY(C4693,Inputs!$C$76)&lt;=Inputs!$C$74," weekday"," weekend"),Utility_Rates!$C$28:$F$28,Inputs!$C$68)),"")</f>
      </c>
      <c r="H4693" s="34"/>
      <c r="I4693" s="42">
        <f>IF(AND(ISNUMBER(D4693),ISNUMBER(H4693)),D4693*H4693*Inputs!$C$69,"")</f>
      </c>
      <c r="J4693" s="42">
        <f>IF(AND(ISNUMBER(F4693),ISNUMBER(H4693),F4693&gt;=Inputs!$C$68),F4693*H4693*Inputs!$C$69,"")</f>
      </c>
    </row>
    <row r="4694" spans="2:10" ht="15" customHeight="1" x14ac:dyDescent="0.2">
      <c r="B4694" s="39">
        <f t="shared" si="36"/>
      </c>
      <c r="C4694" s="40">
        <f>IF(Inputs!$C$60,Inputs!$C$11+(B4694-Inputs!$C$69)/Inputs!$C$70,"")</f>
      </c>
      <c r="D4694" s="15"/>
      <c r="E4694" s="15"/>
      <c r="F4694" s="11">
        <f t="shared" si="37"/>
      </c>
      <c r="G4694" s="22" cm="1">
        <f t="array" ref="G4694">IF(AND(Inputs!$C$60,Inputs!$C$61),INDEX(Utility_Rates!$C$29:$F$52,HOUR(C4694)+Inputs!$C$69,MATCH(INDEX(Utility_Rates!$K$6:$K$17,MONTH(C4694))&amp;IF(WEEKDAY(C4694,Inputs!$C$76)&lt;=Inputs!$C$74," weekday"," weekend"),Utility_Rates!$C$28:$F$28,Inputs!$C$68)),"")</f>
      </c>
      <c r="H4694" s="34"/>
      <c r="I4694" s="42">
        <f>IF(AND(ISNUMBER(D4694),ISNUMBER(H4694)),D4694*H4694*Inputs!$C$69,"")</f>
      </c>
      <c r="J4694" s="42">
        <f>IF(AND(ISNUMBER(F4694),ISNUMBER(H4694),F4694&gt;=Inputs!$C$68),F4694*H4694*Inputs!$C$69,"")</f>
      </c>
    </row>
    <row r="4695" spans="2:10" ht="15" customHeight="1" x14ac:dyDescent="0.2">
      <c r="B4695" s="39">
        <f t="shared" si="36"/>
      </c>
      <c r="C4695" s="40">
        <f>IF(Inputs!$C$60,Inputs!$C$11+(B4695-Inputs!$C$69)/Inputs!$C$70,"")</f>
      </c>
      <c r="D4695" s="15"/>
      <c r="E4695" s="15"/>
      <c r="F4695" s="11">
        <f t="shared" si="37"/>
      </c>
      <c r="G4695" s="22" cm="1">
        <f t="array" ref="G4695">IF(AND(Inputs!$C$60,Inputs!$C$61),INDEX(Utility_Rates!$C$29:$F$52,HOUR(C4695)+Inputs!$C$69,MATCH(INDEX(Utility_Rates!$K$6:$K$17,MONTH(C4695))&amp;IF(WEEKDAY(C4695,Inputs!$C$76)&lt;=Inputs!$C$74," weekday"," weekend"),Utility_Rates!$C$28:$F$28,Inputs!$C$68)),"")</f>
      </c>
      <c r="H4695" s="34"/>
      <c r="I4695" s="42">
        <f>IF(AND(ISNUMBER(D4695),ISNUMBER(H4695)),D4695*H4695*Inputs!$C$69,"")</f>
      </c>
      <c r="J4695" s="42">
        <f>IF(AND(ISNUMBER(F4695),ISNUMBER(H4695),F4695&gt;=Inputs!$C$68),F4695*H4695*Inputs!$C$69,"")</f>
      </c>
    </row>
    <row r="4696" spans="2:10" ht="15" customHeight="1" x14ac:dyDescent="0.2">
      <c r="B4696" s="39">
        <f t="shared" si="36"/>
      </c>
      <c r="C4696" s="40">
        <f>IF(Inputs!$C$60,Inputs!$C$11+(B4696-Inputs!$C$69)/Inputs!$C$70,"")</f>
      </c>
      <c r="D4696" s="15"/>
      <c r="E4696" s="15"/>
      <c r="F4696" s="11">
        <f t="shared" si="37"/>
      </c>
      <c r="G4696" s="22" cm="1">
        <f t="array" ref="G4696">IF(AND(Inputs!$C$60,Inputs!$C$61),INDEX(Utility_Rates!$C$29:$F$52,HOUR(C4696)+Inputs!$C$69,MATCH(INDEX(Utility_Rates!$K$6:$K$17,MONTH(C4696))&amp;IF(WEEKDAY(C4696,Inputs!$C$76)&lt;=Inputs!$C$74," weekday"," weekend"),Utility_Rates!$C$28:$F$28,Inputs!$C$68)),"")</f>
      </c>
      <c r="H4696" s="34"/>
      <c r="I4696" s="42">
        <f>IF(AND(ISNUMBER(D4696),ISNUMBER(H4696)),D4696*H4696*Inputs!$C$69,"")</f>
      </c>
      <c r="J4696" s="42">
        <f>IF(AND(ISNUMBER(F4696),ISNUMBER(H4696),F4696&gt;=Inputs!$C$68),F4696*H4696*Inputs!$C$69,"")</f>
      </c>
    </row>
    <row r="4697" spans="2:10" ht="15" customHeight="1" x14ac:dyDescent="0.2">
      <c r="B4697" s="39">
        <f t="shared" si="36"/>
      </c>
      <c r="C4697" s="40">
        <f>IF(Inputs!$C$60,Inputs!$C$11+(B4697-Inputs!$C$69)/Inputs!$C$70,"")</f>
      </c>
      <c r="D4697" s="15"/>
      <c r="E4697" s="15"/>
      <c r="F4697" s="11">
        <f t="shared" si="37"/>
      </c>
      <c r="G4697" s="22" cm="1">
        <f t="array" ref="G4697">IF(AND(Inputs!$C$60,Inputs!$C$61),INDEX(Utility_Rates!$C$29:$F$52,HOUR(C4697)+Inputs!$C$69,MATCH(INDEX(Utility_Rates!$K$6:$K$17,MONTH(C4697))&amp;IF(WEEKDAY(C4697,Inputs!$C$76)&lt;=Inputs!$C$74," weekday"," weekend"),Utility_Rates!$C$28:$F$28,Inputs!$C$68)),"")</f>
      </c>
      <c r="H4697" s="34"/>
      <c r="I4697" s="42">
        <f>IF(AND(ISNUMBER(D4697),ISNUMBER(H4697)),D4697*H4697*Inputs!$C$69,"")</f>
      </c>
      <c r="J4697" s="42">
        <f>IF(AND(ISNUMBER(F4697),ISNUMBER(H4697),F4697&gt;=Inputs!$C$68),F4697*H4697*Inputs!$C$69,"")</f>
      </c>
    </row>
    <row r="4698" spans="2:10" ht="15" customHeight="1" x14ac:dyDescent="0.2">
      <c r="B4698" s="39">
        <f t="shared" si="36"/>
      </c>
      <c r="C4698" s="40">
        <f>IF(Inputs!$C$60,Inputs!$C$11+(B4698-Inputs!$C$69)/Inputs!$C$70,"")</f>
      </c>
      <c r="D4698" s="15"/>
      <c r="E4698" s="15"/>
      <c r="F4698" s="11">
        <f t="shared" si="37"/>
      </c>
      <c r="G4698" s="22" cm="1">
        <f t="array" ref="G4698">IF(AND(Inputs!$C$60,Inputs!$C$61),INDEX(Utility_Rates!$C$29:$F$52,HOUR(C4698)+Inputs!$C$69,MATCH(INDEX(Utility_Rates!$K$6:$K$17,MONTH(C4698))&amp;IF(WEEKDAY(C4698,Inputs!$C$76)&lt;=Inputs!$C$74," weekday"," weekend"),Utility_Rates!$C$28:$F$28,Inputs!$C$68)),"")</f>
      </c>
      <c r="H4698" s="34"/>
      <c r="I4698" s="42">
        <f>IF(AND(ISNUMBER(D4698),ISNUMBER(H4698)),D4698*H4698*Inputs!$C$69,"")</f>
      </c>
      <c r="J4698" s="42">
        <f>IF(AND(ISNUMBER(F4698),ISNUMBER(H4698),F4698&gt;=Inputs!$C$68),F4698*H4698*Inputs!$C$69,"")</f>
      </c>
    </row>
    <row r="4699" spans="2:10" ht="15" customHeight="1" x14ac:dyDescent="0.2">
      <c r="B4699" s="39">
        <f t="shared" si="36"/>
      </c>
      <c r="C4699" s="40">
        <f>IF(Inputs!$C$60,Inputs!$C$11+(B4699-Inputs!$C$69)/Inputs!$C$70,"")</f>
      </c>
      <c r="D4699" s="15"/>
      <c r="E4699" s="15"/>
      <c r="F4699" s="11">
        <f t="shared" si="37"/>
      </c>
      <c r="G4699" s="22" cm="1">
        <f t="array" ref="G4699">IF(AND(Inputs!$C$60,Inputs!$C$61),INDEX(Utility_Rates!$C$29:$F$52,HOUR(C4699)+Inputs!$C$69,MATCH(INDEX(Utility_Rates!$K$6:$K$17,MONTH(C4699))&amp;IF(WEEKDAY(C4699,Inputs!$C$76)&lt;=Inputs!$C$74," weekday"," weekend"),Utility_Rates!$C$28:$F$28,Inputs!$C$68)),"")</f>
      </c>
      <c r="H4699" s="34"/>
      <c r="I4699" s="42">
        <f>IF(AND(ISNUMBER(D4699),ISNUMBER(H4699)),D4699*H4699*Inputs!$C$69,"")</f>
      </c>
      <c r="J4699" s="42">
        <f>IF(AND(ISNUMBER(F4699),ISNUMBER(H4699),F4699&gt;=Inputs!$C$68),F4699*H4699*Inputs!$C$69,"")</f>
      </c>
    </row>
    <row r="4700" spans="2:10" ht="15" customHeight="1" x14ac:dyDescent="0.2">
      <c r="B4700" s="39">
        <f t="shared" si="36"/>
      </c>
      <c r="C4700" s="40">
        <f>IF(Inputs!$C$60,Inputs!$C$11+(B4700-Inputs!$C$69)/Inputs!$C$70,"")</f>
      </c>
      <c r="D4700" s="15"/>
      <c r="E4700" s="15"/>
      <c r="F4700" s="11">
        <f t="shared" si="37"/>
      </c>
      <c r="G4700" s="22" cm="1">
        <f t="array" ref="G4700">IF(AND(Inputs!$C$60,Inputs!$C$61),INDEX(Utility_Rates!$C$29:$F$52,HOUR(C4700)+Inputs!$C$69,MATCH(INDEX(Utility_Rates!$K$6:$K$17,MONTH(C4700))&amp;IF(WEEKDAY(C4700,Inputs!$C$76)&lt;=Inputs!$C$74," weekday"," weekend"),Utility_Rates!$C$28:$F$28,Inputs!$C$68)),"")</f>
      </c>
      <c r="H4700" s="34"/>
      <c r="I4700" s="42">
        <f>IF(AND(ISNUMBER(D4700),ISNUMBER(H4700)),D4700*H4700*Inputs!$C$69,"")</f>
      </c>
      <c r="J4700" s="42">
        <f>IF(AND(ISNUMBER(F4700),ISNUMBER(H4700),F4700&gt;=Inputs!$C$68),F4700*H4700*Inputs!$C$69,"")</f>
      </c>
    </row>
    <row r="4701" spans="2:10" ht="15" customHeight="1" x14ac:dyDescent="0.2">
      <c r="B4701" s="39">
        <f t="shared" si="36"/>
      </c>
      <c r="C4701" s="40">
        <f>IF(Inputs!$C$60,Inputs!$C$11+(B4701-Inputs!$C$69)/Inputs!$C$70,"")</f>
      </c>
      <c r="D4701" s="15"/>
      <c r="E4701" s="15"/>
      <c r="F4701" s="11">
        <f t="shared" si="37"/>
      </c>
      <c r="G4701" s="22" cm="1">
        <f t="array" ref="G4701">IF(AND(Inputs!$C$60,Inputs!$C$61),INDEX(Utility_Rates!$C$29:$F$52,HOUR(C4701)+Inputs!$C$69,MATCH(INDEX(Utility_Rates!$K$6:$K$17,MONTH(C4701))&amp;IF(WEEKDAY(C4701,Inputs!$C$76)&lt;=Inputs!$C$74," weekday"," weekend"),Utility_Rates!$C$28:$F$28,Inputs!$C$68)),"")</f>
      </c>
      <c r="H4701" s="34"/>
      <c r="I4701" s="42">
        <f>IF(AND(ISNUMBER(D4701),ISNUMBER(H4701)),D4701*H4701*Inputs!$C$69,"")</f>
      </c>
      <c r="J4701" s="42">
        <f>IF(AND(ISNUMBER(F4701),ISNUMBER(H4701),F4701&gt;=Inputs!$C$68),F4701*H4701*Inputs!$C$69,"")</f>
      </c>
    </row>
    <row r="4702" spans="2:10" ht="15" customHeight="1" x14ac:dyDescent="0.2">
      <c r="B4702" s="39">
        <f t="shared" si="36"/>
      </c>
      <c r="C4702" s="40">
        <f>IF(Inputs!$C$60,Inputs!$C$11+(B4702-Inputs!$C$69)/Inputs!$C$70,"")</f>
      </c>
      <c r="D4702" s="15"/>
      <c r="E4702" s="15"/>
      <c r="F4702" s="11">
        <f t="shared" si="37"/>
      </c>
      <c r="G4702" s="22" cm="1">
        <f t="array" ref="G4702">IF(AND(Inputs!$C$60,Inputs!$C$61),INDEX(Utility_Rates!$C$29:$F$52,HOUR(C4702)+Inputs!$C$69,MATCH(INDEX(Utility_Rates!$K$6:$K$17,MONTH(C4702))&amp;IF(WEEKDAY(C4702,Inputs!$C$76)&lt;=Inputs!$C$74," weekday"," weekend"),Utility_Rates!$C$28:$F$28,Inputs!$C$68)),"")</f>
      </c>
      <c r="H4702" s="34"/>
      <c r="I4702" s="42">
        <f>IF(AND(ISNUMBER(D4702),ISNUMBER(H4702)),D4702*H4702*Inputs!$C$69,"")</f>
      </c>
      <c r="J4702" s="42">
        <f>IF(AND(ISNUMBER(F4702),ISNUMBER(H4702),F4702&gt;=Inputs!$C$68),F4702*H4702*Inputs!$C$69,"")</f>
      </c>
    </row>
    <row r="4703" spans="2:10" ht="15" customHeight="1" x14ac:dyDescent="0.2">
      <c r="B4703" s="39">
        <f t="shared" si="36"/>
      </c>
      <c r="C4703" s="40">
        <f>IF(Inputs!$C$60,Inputs!$C$11+(B4703-Inputs!$C$69)/Inputs!$C$70,"")</f>
      </c>
      <c r="D4703" s="15"/>
      <c r="E4703" s="15"/>
      <c r="F4703" s="11">
        <f t="shared" si="37"/>
      </c>
      <c r="G4703" s="22" cm="1">
        <f t="array" ref="G4703">IF(AND(Inputs!$C$60,Inputs!$C$61),INDEX(Utility_Rates!$C$29:$F$52,HOUR(C4703)+Inputs!$C$69,MATCH(INDEX(Utility_Rates!$K$6:$K$17,MONTH(C4703))&amp;IF(WEEKDAY(C4703,Inputs!$C$76)&lt;=Inputs!$C$74," weekday"," weekend"),Utility_Rates!$C$28:$F$28,Inputs!$C$68)),"")</f>
      </c>
      <c r="H4703" s="34"/>
      <c r="I4703" s="42">
        <f>IF(AND(ISNUMBER(D4703),ISNUMBER(H4703)),D4703*H4703*Inputs!$C$69,"")</f>
      </c>
      <c r="J4703" s="42">
        <f>IF(AND(ISNUMBER(F4703),ISNUMBER(H4703),F4703&gt;=Inputs!$C$68),F4703*H4703*Inputs!$C$69,"")</f>
      </c>
    </row>
    <row r="4704" spans="2:10" ht="15" customHeight="1" x14ac:dyDescent="0.2">
      <c r="B4704" s="39">
        <f t="shared" si="36"/>
      </c>
      <c r="C4704" s="40">
        <f>IF(Inputs!$C$60,Inputs!$C$11+(B4704-Inputs!$C$69)/Inputs!$C$70,"")</f>
      </c>
      <c r="D4704" s="15"/>
      <c r="E4704" s="15"/>
      <c r="F4704" s="11">
        <f t="shared" si="37"/>
      </c>
      <c r="G4704" s="22" cm="1">
        <f t="array" ref="G4704">IF(AND(Inputs!$C$60,Inputs!$C$61),INDEX(Utility_Rates!$C$29:$F$52,HOUR(C4704)+Inputs!$C$69,MATCH(INDEX(Utility_Rates!$K$6:$K$17,MONTH(C4704))&amp;IF(WEEKDAY(C4704,Inputs!$C$76)&lt;=Inputs!$C$74," weekday"," weekend"),Utility_Rates!$C$28:$F$28,Inputs!$C$68)),"")</f>
      </c>
      <c r="H4704" s="34"/>
      <c r="I4704" s="42">
        <f>IF(AND(ISNUMBER(D4704),ISNUMBER(H4704)),D4704*H4704*Inputs!$C$69,"")</f>
      </c>
      <c r="J4704" s="42">
        <f>IF(AND(ISNUMBER(F4704),ISNUMBER(H4704),F4704&gt;=Inputs!$C$68),F4704*H4704*Inputs!$C$69,"")</f>
      </c>
    </row>
    <row r="4705" spans="2:10" ht="15" customHeight="1" x14ac:dyDescent="0.2">
      <c r="B4705" s="39">
        <f t="shared" si="36"/>
      </c>
      <c r="C4705" s="40">
        <f>IF(Inputs!$C$60,Inputs!$C$11+(B4705-Inputs!$C$69)/Inputs!$C$70,"")</f>
      </c>
      <c r="D4705" s="15"/>
      <c r="E4705" s="15"/>
      <c r="F4705" s="11">
        <f t="shared" si="37"/>
      </c>
      <c r="G4705" s="22" cm="1">
        <f t="array" ref="G4705">IF(AND(Inputs!$C$60,Inputs!$C$61),INDEX(Utility_Rates!$C$29:$F$52,HOUR(C4705)+Inputs!$C$69,MATCH(INDEX(Utility_Rates!$K$6:$K$17,MONTH(C4705))&amp;IF(WEEKDAY(C4705,Inputs!$C$76)&lt;=Inputs!$C$74," weekday"," weekend"),Utility_Rates!$C$28:$F$28,Inputs!$C$68)),"")</f>
      </c>
      <c r="H4705" s="34"/>
      <c r="I4705" s="42">
        <f>IF(AND(ISNUMBER(D4705),ISNUMBER(H4705)),D4705*H4705*Inputs!$C$69,"")</f>
      </c>
      <c r="J4705" s="42">
        <f>IF(AND(ISNUMBER(F4705),ISNUMBER(H4705),F4705&gt;=Inputs!$C$68),F4705*H4705*Inputs!$C$69,"")</f>
      </c>
    </row>
    <row r="4706" spans="2:10" ht="15" customHeight="1" x14ac:dyDescent="0.2">
      <c r="B4706" s="39">
        <f t="shared" si="36"/>
      </c>
      <c r="C4706" s="40">
        <f>IF(Inputs!$C$60,Inputs!$C$11+(B4706-Inputs!$C$69)/Inputs!$C$70,"")</f>
      </c>
      <c r="D4706" s="15"/>
      <c r="E4706" s="15"/>
      <c r="F4706" s="11">
        <f t="shared" si="37"/>
      </c>
      <c r="G4706" s="22" cm="1">
        <f t="array" ref="G4706">IF(AND(Inputs!$C$60,Inputs!$C$61),INDEX(Utility_Rates!$C$29:$F$52,HOUR(C4706)+Inputs!$C$69,MATCH(INDEX(Utility_Rates!$K$6:$K$17,MONTH(C4706))&amp;IF(WEEKDAY(C4706,Inputs!$C$76)&lt;=Inputs!$C$74," weekday"," weekend"),Utility_Rates!$C$28:$F$28,Inputs!$C$68)),"")</f>
      </c>
      <c r="H4706" s="34"/>
      <c r="I4706" s="42">
        <f>IF(AND(ISNUMBER(D4706),ISNUMBER(H4706)),D4706*H4706*Inputs!$C$69,"")</f>
      </c>
      <c r="J4706" s="42">
        <f>IF(AND(ISNUMBER(F4706),ISNUMBER(H4706),F4706&gt;=Inputs!$C$68),F4706*H4706*Inputs!$C$69,"")</f>
      </c>
    </row>
    <row r="4707" spans="2:10" ht="15" customHeight="1" x14ac:dyDescent="0.2">
      <c r="B4707" s="39">
        <f t="shared" si="36"/>
      </c>
      <c r="C4707" s="40">
        <f>IF(Inputs!$C$60,Inputs!$C$11+(B4707-Inputs!$C$69)/Inputs!$C$70,"")</f>
      </c>
      <c r="D4707" s="15"/>
      <c r="E4707" s="15"/>
      <c r="F4707" s="11">
        <f t="shared" si="37"/>
      </c>
      <c r="G4707" s="22" cm="1">
        <f t="array" ref="G4707">IF(AND(Inputs!$C$60,Inputs!$C$61),INDEX(Utility_Rates!$C$29:$F$52,HOUR(C4707)+Inputs!$C$69,MATCH(INDEX(Utility_Rates!$K$6:$K$17,MONTH(C4707))&amp;IF(WEEKDAY(C4707,Inputs!$C$76)&lt;=Inputs!$C$74," weekday"," weekend"),Utility_Rates!$C$28:$F$28,Inputs!$C$68)),"")</f>
      </c>
      <c r="H4707" s="34"/>
      <c r="I4707" s="42">
        <f>IF(AND(ISNUMBER(D4707),ISNUMBER(H4707)),D4707*H4707*Inputs!$C$69,"")</f>
      </c>
      <c r="J4707" s="42">
        <f>IF(AND(ISNUMBER(F4707),ISNUMBER(H4707),F4707&gt;=Inputs!$C$68),F4707*H4707*Inputs!$C$69,"")</f>
      </c>
    </row>
    <row r="4708" spans="2:10" ht="15" customHeight="1" x14ac:dyDescent="0.2">
      <c r="B4708" s="39">
        <f t="shared" si="36"/>
      </c>
      <c r="C4708" s="40">
        <f>IF(Inputs!$C$60,Inputs!$C$11+(B4708-Inputs!$C$69)/Inputs!$C$70,"")</f>
      </c>
      <c r="D4708" s="15"/>
      <c r="E4708" s="15"/>
      <c r="F4708" s="11">
        <f t="shared" si="37"/>
      </c>
      <c r="G4708" s="22" cm="1">
        <f t="array" ref="G4708">IF(AND(Inputs!$C$60,Inputs!$C$61),INDEX(Utility_Rates!$C$29:$F$52,HOUR(C4708)+Inputs!$C$69,MATCH(INDEX(Utility_Rates!$K$6:$K$17,MONTH(C4708))&amp;IF(WEEKDAY(C4708,Inputs!$C$76)&lt;=Inputs!$C$74," weekday"," weekend"),Utility_Rates!$C$28:$F$28,Inputs!$C$68)),"")</f>
      </c>
      <c r="H4708" s="34"/>
      <c r="I4708" s="42">
        <f>IF(AND(ISNUMBER(D4708),ISNUMBER(H4708)),D4708*H4708*Inputs!$C$69,"")</f>
      </c>
      <c r="J4708" s="42">
        <f>IF(AND(ISNUMBER(F4708),ISNUMBER(H4708),F4708&gt;=Inputs!$C$68),F4708*H4708*Inputs!$C$69,"")</f>
      </c>
    </row>
    <row r="4709" spans="2:10" ht="15" customHeight="1" x14ac:dyDescent="0.2">
      <c r="B4709" s="39">
        <f t="shared" si="36"/>
      </c>
      <c r="C4709" s="40">
        <f>IF(Inputs!$C$60,Inputs!$C$11+(B4709-Inputs!$C$69)/Inputs!$C$70,"")</f>
      </c>
      <c r="D4709" s="15"/>
      <c r="E4709" s="15"/>
      <c r="F4709" s="11">
        <f t="shared" si="37"/>
      </c>
      <c r="G4709" s="22" cm="1">
        <f t="array" ref="G4709">IF(AND(Inputs!$C$60,Inputs!$C$61),INDEX(Utility_Rates!$C$29:$F$52,HOUR(C4709)+Inputs!$C$69,MATCH(INDEX(Utility_Rates!$K$6:$K$17,MONTH(C4709))&amp;IF(WEEKDAY(C4709,Inputs!$C$76)&lt;=Inputs!$C$74," weekday"," weekend"),Utility_Rates!$C$28:$F$28,Inputs!$C$68)),"")</f>
      </c>
      <c r="H4709" s="34"/>
      <c r="I4709" s="42">
        <f>IF(AND(ISNUMBER(D4709),ISNUMBER(H4709)),D4709*H4709*Inputs!$C$69,"")</f>
      </c>
      <c r="J4709" s="42">
        <f>IF(AND(ISNUMBER(F4709),ISNUMBER(H4709),F4709&gt;=Inputs!$C$68),F4709*H4709*Inputs!$C$69,"")</f>
      </c>
    </row>
    <row r="4710" spans="2:10" ht="15" customHeight="1" x14ac:dyDescent="0.2">
      <c r="B4710" s="39">
        <f t="shared" si="36"/>
      </c>
      <c r="C4710" s="40">
        <f>IF(Inputs!$C$60,Inputs!$C$11+(B4710-Inputs!$C$69)/Inputs!$C$70,"")</f>
      </c>
      <c r="D4710" s="15"/>
      <c r="E4710" s="15"/>
      <c r="F4710" s="11">
        <f t="shared" si="37"/>
      </c>
      <c r="G4710" s="22" cm="1">
        <f t="array" ref="G4710">IF(AND(Inputs!$C$60,Inputs!$C$61),INDEX(Utility_Rates!$C$29:$F$52,HOUR(C4710)+Inputs!$C$69,MATCH(INDEX(Utility_Rates!$K$6:$K$17,MONTH(C4710))&amp;IF(WEEKDAY(C4710,Inputs!$C$76)&lt;=Inputs!$C$74," weekday"," weekend"),Utility_Rates!$C$28:$F$28,Inputs!$C$68)),"")</f>
      </c>
      <c r="H4710" s="34"/>
      <c r="I4710" s="42">
        <f>IF(AND(ISNUMBER(D4710),ISNUMBER(H4710)),D4710*H4710*Inputs!$C$69,"")</f>
      </c>
      <c r="J4710" s="42">
        <f>IF(AND(ISNUMBER(F4710),ISNUMBER(H4710),F4710&gt;=Inputs!$C$68),F4710*H4710*Inputs!$C$69,"")</f>
      </c>
    </row>
    <row r="4711" spans="2:10" ht="15" customHeight="1" x14ac:dyDescent="0.2">
      <c r="B4711" s="39">
        <f t="shared" si="36"/>
      </c>
      <c r="C4711" s="40">
        <f>IF(Inputs!$C$60,Inputs!$C$11+(B4711-Inputs!$C$69)/Inputs!$C$70,"")</f>
      </c>
      <c r="D4711" s="15"/>
      <c r="E4711" s="15"/>
      <c r="F4711" s="11">
        <f t="shared" si="37"/>
      </c>
      <c r="G4711" s="22" cm="1">
        <f t="array" ref="G4711">IF(AND(Inputs!$C$60,Inputs!$C$61),INDEX(Utility_Rates!$C$29:$F$52,HOUR(C4711)+Inputs!$C$69,MATCH(INDEX(Utility_Rates!$K$6:$K$17,MONTH(C4711))&amp;IF(WEEKDAY(C4711,Inputs!$C$76)&lt;=Inputs!$C$74," weekday"," weekend"),Utility_Rates!$C$28:$F$28,Inputs!$C$68)),"")</f>
      </c>
      <c r="H4711" s="34"/>
      <c r="I4711" s="42">
        <f>IF(AND(ISNUMBER(D4711),ISNUMBER(H4711)),D4711*H4711*Inputs!$C$69,"")</f>
      </c>
      <c r="J4711" s="42">
        <f>IF(AND(ISNUMBER(F4711),ISNUMBER(H4711),F4711&gt;=Inputs!$C$68),F4711*H4711*Inputs!$C$69,"")</f>
      </c>
    </row>
    <row r="4712" spans="2:10" ht="15" customHeight="1" x14ac:dyDescent="0.2">
      <c r="B4712" s="39">
        <f t="shared" si="36"/>
      </c>
      <c r="C4712" s="40">
        <f>IF(Inputs!$C$60,Inputs!$C$11+(B4712-Inputs!$C$69)/Inputs!$C$70,"")</f>
      </c>
      <c r="D4712" s="15"/>
      <c r="E4712" s="15"/>
      <c r="F4712" s="11">
        <f t="shared" si="37"/>
      </c>
      <c r="G4712" s="22" cm="1">
        <f t="array" ref="G4712">IF(AND(Inputs!$C$60,Inputs!$C$61),INDEX(Utility_Rates!$C$29:$F$52,HOUR(C4712)+Inputs!$C$69,MATCH(INDEX(Utility_Rates!$K$6:$K$17,MONTH(C4712))&amp;IF(WEEKDAY(C4712,Inputs!$C$76)&lt;=Inputs!$C$74," weekday"," weekend"),Utility_Rates!$C$28:$F$28,Inputs!$C$68)),"")</f>
      </c>
      <c r="H4712" s="34"/>
      <c r="I4712" s="42">
        <f>IF(AND(ISNUMBER(D4712),ISNUMBER(H4712)),D4712*H4712*Inputs!$C$69,"")</f>
      </c>
      <c r="J4712" s="42">
        <f>IF(AND(ISNUMBER(F4712),ISNUMBER(H4712),F4712&gt;=Inputs!$C$68),F4712*H4712*Inputs!$C$69,"")</f>
      </c>
    </row>
    <row r="4713" spans="2:10" ht="15" customHeight="1" x14ac:dyDescent="0.2">
      <c r="B4713" s="39">
        <f t="shared" si="36"/>
      </c>
      <c r="C4713" s="40">
        <f>IF(Inputs!$C$60,Inputs!$C$11+(B4713-Inputs!$C$69)/Inputs!$C$70,"")</f>
      </c>
      <c r="D4713" s="15"/>
      <c r="E4713" s="15"/>
      <c r="F4713" s="11">
        <f t="shared" si="37"/>
      </c>
      <c r="G4713" s="22" cm="1">
        <f t="array" ref="G4713">IF(AND(Inputs!$C$60,Inputs!$C$61),INDEX(Utility_Rates!$C$29:$F$52,HOUR(C4713)+Inputs!$C$69,MATCH(INDEX(Utility_Rates!$K$6:$K$17,MONTH(C4713))&amp;IF(WEEKDAY(C4713,Inputs!$C$76)&lt;=Inputs!$C$74," weekday"," weekend"),Utility_Rates!$C$28:$F$28,Inputs!$C$68)),"")</f>
      </c>
      <c r="H4713" s="34"/>
      <c r="I4713" s="42">
        <f>IF(AND(ISNUMBER(D4713),ISNUMBER(H4713)),D4713*H4713*Inputs!$C$69,"")</f>
      </c>
      <c r="J4713" s="42">
        <f>IF(AND(ISNUMBER(F4713),ISNUMBER(H4713),F4713&gt;=Inputs!$C$68),F4713*H4713*Inputs!$C$69,"")</f>
      </c>
    </row>
    <row r="4714" spans="2:10" ht="15" customHeight="1" x14ac:dyDescent="0.2">
      <c r="B4714" s="39">
        <f t="shared" si="36"/>
      </c>
      <c r="C4714" s="40">
        <f>IF(Inputs!$C$60,Inputs!$C$11+(B4714-Inputs!$C$69)/Inputs!$C$70,"")</f>
      </c>
      <c r="D4714" s="15"/>
      <c r="E4714" s="15"/>
      <c r="F4714" s="11">
        <f t="shared" si="37"/>
      </c>
      <c r="G4714" s="22" cm="1">
        <f t="array" ref="G4714">IF(AND(Inputs!$C$60,Inputs!$C$61),INDEX(Utility_Rates!$C$29:$F$52,HOUR(C4714)+Inputs!$C$69,MATCH(INDEX(Utility_Rates!$K$6:$K$17,MONTH(C4714))&amp;IF(WEEKDAY(C4714,Inputs!$C$76)&lt;=Inputs!$C$74," weekday"," weekend"),Utility_Rates!$C$28:$F$28,Inputs!$C$68)),"")</f>
      </c>
      <c r="H4714" s="34"/>
      <c r="I4714" s="42">
        <f>IF(AND(ISNUMBER(D4714),ISNUMBER(H4714)),D4714*H4714*Inputs!$C$69,"")</f>
      </c>
      <c r="J4714" s="42">
        <f>IF(AND(ISNUMBER(F4714),ISNUMBER(H4714),F4714&gt;=Inputs!$C$68),F4714*H4714*Inputs!$C$69,"")</f>
      </c>
    </row>
    <row r="4715" spans="2:10" ht="15" customHeight="1" x14ac:dyDescent="0.2">
      <c r="B4715" s="39">
        <f t="shared" si="36"/>
      </c>
      <c r="C4715" s="40">
        <f>IF(Inputs!$C$60,Inputs!$C$11+(B4715-Inputs!$C$69)/Inputs!$C$70,"")</f>
      </c>
      <c r="D4715" s="15"/>
      <c r="E4715" s="15"/>
      <c r="F4715" s="11">
        <f t="shared" si="37"/>
      </c>
      <c r="G4715" s="22" cm="1">
        <f t="array" ref="G4715">IF(AND(Inputs!$C$60,Inputs!$C$61),INDEX(Utility_Rates!$C$29:$F$52,HOUR(C4715)+Inputs!$C$69,MATCH(INDEX(Utility_Rates!$K$6:$K$17,MONTH(C4715))&amp;IF(WEEKDAY(C4715,Inputs!$C$76)&lt;=Inputs!$C$74," weekday"," weekend"),Utility_Rates!$C$28:$F$28,Inputs!$C$68)),"")</f>
      </c>
      <c r="H4715" s="34"/>
      <c r="I4715" s="42">
        <f>IF(AND(ISNUMBER(D4715),ISNUMBER(H4715)),D4715*H4715*Inputs!$C$69,"")</f>
      </c>
      <c r="J4715" s="42">
        <f>IF(AND(ISNUMBER(F4715),ISNUMBER(H4715),F4715&gt;=Inputs!$C$68),F4715*H4715*Inputs!$C$69,"")</f>
      </c>
    </row>
    <row r="4716" spans="2:10" ht="15" customHeight="1" x14ac:dyDescent="0.2">
      <c r="B4716" s="39">
        <f t="shared" si="36"/>
      </c>
      <c r="C4716" s="40">
        <f>IF(Inputs!$C$60,Inputs!$C$11+(B4716-Inputs!$C$69)/Inputs!$C$70,"")</f>
      </c>
      <c r="D4716" s="15"/>
      <c r="E4716" s="15"/>
      <c r="F4716" s="11">
        <f t="shared" si="37"/>
      </c>
      <c r="G4716" s="22" cm="1">
        <f t="array" ref="G4716">IF(AND(Inputs!$C$60,Inputs!$C$61),INDEX(Utility_Rates!$C$29:$F$52,HOUR(C4716)+Inputs!$C$69,MATCH(INDEX(Utility_Rates!$K$6:$K$17,MONTH(C4716))&amp;IF(WEEKDAY(C4716,Inputs!$C$76)&lt;=Inputs!$C$74," weekday"," weekend"),Utility_Rates!$C$28:$F$28,Inputs!$C$68)),"")</f>
      </c>
      <c r="H4716" s="34"/>
      <c r="I4716" s="42">
        <f>IF(AND(ISNUMBER(D4716),ISNUMBER(H4716)),D4716*H4716*Inputs!$C$69,"")</f>
      </c>
      <c r="J4716" s="42">
        <f>IF(AND(ISNUMBER(F4716),ISNUMBER(H4716),F4716&gt;=Inputs!$C$68),F4716*H4716*Inputs!$C$69,"")</f>
      </c>
    </row>
    <row r="4717" spans="2:10" ht="15" customHeight="1" x14ac:dyDescent="0.2">
      <c r="B4717" s="39">
        <f t="shared" si="36"/>
      </c>
      <c r="C4717" s="40">
        <f>IF(Inputs!$C$60,Inputs!$C$11+(B4717-Inputs!$C$69)/Inputs!$C$70,"")</f>
      </c>
      <c r="D4717" s="15"/>
      <c r="E4717" s="15"/>
      <c r="F4717" s="11">
        <f t="shared" si="37"/>
      </c>
      <c r="G4717" s="22" cm="1">
        <f t="array" ref="G4717">IF(AND(Inputs!$C$60,Inputs!$C$61),INDEX(Utility_Rates!$C$29:$F$52,HOUR(C4717)+Inputs!$C$69,MATCH(INDEX(Utility_Rates!$K$6:$K$17,MONTH(C4717))&amp;IF(WEEKDAY(C4717,Inputs!$C$76)&lt;=Inputs!$C$74," weekday"," weekend"),Utility_Rates!$C$28:$F$28,Inputs!$C$68)),"")</f>
      </c>
      <c r="H4717" s="34"/>
      <c r="I4717" s="42">
        <f>IF(AND(ISNUMBER(D4717),ISNUMBER(H4717)),D4717*H4717*Inputs!$C$69,"")</f>
      </c>
      <c r="J4717" s="42">
        <f>IF(AND(ISNUMBER(F4717),ISNUMBER(H4717),F4717&gt;=Inputs!$C$68),F4717*H4717*Inputs!$C$69,"")</f>
      </c>
    </row>
    <row r="4718" spans="2:10" ht="15" customHeight="1" x14ac:dyDescent="0.2">
      <c r="B4718" s="39">
        <f t="shared" si="36"/>
      </c>
      <c r="C4718" s="40">
        <f>IF(Inputs!$C$60,Inputs!$C$11+(B4718-Inputs!$C$69)/Inputs!$C$70,"")</f>
      </c>
      <c r="D4718" s="15"/>
      <c r="E4718" s="15"/>
      <c r="F4718" s="11">
        <f t="shared" si="37"/>
      </c>
      <c r="G4718" s="22" cm="1">
        <f t="array" ref="G4718">IF(AND(Inputs!$C$60,Inputs!$C$61),INDEX(Utility_Rates!$C$29:$F$52,HOUR(C4718)+Inputs!$C$69,MATCH(INDEX(Utility_Rates!$K$6:$K$17,MONTH(C4718))&amp;IF(WEEKDAY(C4718,Inputs!$C$76)&lt;=Inputs!$C$74," weekday"," weekend"),Utility_Rates!$C$28:$F$28,Inputs!$C$68)),"")</f>
      </c>
      <c r="H4718" s="34"/>
      <c r="I4718" s="42">
        <f>IF(AND(ISNUMBER(D4718),ISNUMBER(H4718)),D4718*H4718*Inputs!$C$69,"")</f>
      </c>
      <c r="J4718" s="42">
        <f>IF(AND(ISNUMBER(F4718),ISNUMBER(H4718),F4718&gt;=Inputs!$C$68),F4718*H4718*Inputs!$C$69,"")</f>
      </c>
    </row>
    <row r="4719" spans="2:10" ht="15" customHeight="1" x14ac:dyDescent="0.2">
      <c r="B4719" s="39">
        <f t="shared" si="36"/>
      </c>
      <c r="C4719" s="40">
        <f>IF(Inputs!$C$60,Inputs!$C$11+(B4719-Inputs!$C$69)/Inputs!$C$70,"")</f>
      </c>
      <c r="D4719" s="15"/>
      <c r="E4719" s="15"/>
      <c r="F4719" s="11">
        <f t="shared" si="37"/>
      </c>
      <c r="G4719" s="22" cm="1">
        <f t="array" ref="G4719">IF(AND(Inputs!$C$60,Inputs!$C$61),INDEX(Utility_Rates!$C$29:$F$52,HOUR(C4719)+Inputs!$C$69,MATCH(INDEX(Utility_Rates!$K$6:$K$17,MONTH(C4719))&amp;IF(WEEKDAY(C4719,Inputs!$C$76)&lt;=Inputs!$C$74," weekday"," weekend"),Utility_Rates!$C$28:$F$28,Inputs!$C$68)),"")</f>
      </c>
      <c r="H4719" s="34"/>
      <c r="I4719" s="42">
        <f>IF(AND(ISNUMBER(D4719),ISNUMBER(H4719)),D4719*H4719*Inputs!$C$69,"")</f>
      </c>
      <c r="J4719" s="42">
        <f>IF(AND(ISNUMBER(F4719),ISNUMBER(H4719),F4719&gt;=Inputs!$C$68),F4719*H4719*Inputs!$C$69,"")</f>
      </c>
    </row>
    <row r="4720" spans="2:10" ht="15" customHeight="1" x14ac:dyDescent="0.2">
      <c r="B4720" s="39">
        <f t="shared" si="36"/>
      </c>
      <c r="C4720" s="40">
        <f>IF(Inputs!$C$60,Inputs!$C$11+(B4720-Inputs!$C$69)/Inputs!$C$70,"")</f>
      </c>
      <c r="D4720" s="15"/>
      <c r="E4720" s="15"/>
      <c r="F4720" s="11">
        <f t="shared" si="37"/>
      </c>
      <c r="G4720" s="22" cm="1">
        <f t="array" ref="G4720">IF(AND(Inputs!$C$60,Inputs!$C$61),INDEX(Utility_Rates!$C$29:$F$52,HOUR(C4720)+Inputs!$C$69,MATCH(INDEX(Utility_Rates!$K$6:$K$17,MONTH(C4720))&amp;IF(WEEKDAY(C4720,Inputs!$C$76)&lt;=Inputs!$C$74," weekday"," weekend"),Utility_Rates!$C$28:$F$28,Inputs!$C$68)),"")</f>
      </c>
      <c r="H4720" s="34"/>
      <c r="I4720" s="42">
        <f>IF(AND(ISNUMBER(D4720),ISNUMBER(H4720)),D4720*H4720*Inputs!$C$69,"")</f>
      </c>
      <c r="J4720" s="42">
        <f>IF(AND(ISNUMBER(F4720),ISNUMBER(H4720),F4720&gt;=Inputs!$C$68),F4720*H4720*Inputs!$C$69,"")</f>
      </c>
    </row>
    <row r="4721" spans="2:10" ht="15" customHeight="1" x14ac:dyDescent="0.2">
      <c r="B4721" s="39">
        <f t="shared" si="36"/>
      </c>
      <c r="C4721" s="40">
        <f>IF(Inputs!$C$60,Inputs!$C$11+(B4721-Inputs!$C$69)/Inputs!$C$70,"")</f>
      </c>
      <c r="D4721" s="15"/>
      <c r="E4721" s="15"/>
      <c r="F4721" s="11">
        <f t="shared" si="37"/>
      </c>
      <c r="G4721" s="22" cm="1">
        <f t="array" ref="G4721">IF(AND(Inputs!$C$60,Inputs!$C$61),INDEX(Utility_Rates!$C$29:$F$52,HOUR(C4721)+Inputs!$C$69,MATCH(INDEX(Utility_Rates!$K$6:$K$17,MONTH(C4721))&amp;IF(WEEKDAY(C4721,Inputs!$C$76)&lt;=Inputs!$C$74," weekday"," weekend"),Utility_Rates!$C$28:$F$28,Inputs!$C$68)),"")</f>
      </c>
      <c r="H4721" s="34"/>
      <c r="I4721" s="42">
        <f>IF(AND(ISNUMBER(D4721),ISNUMBER(H4721)),D4721*H4721*Inputs!$C$69,"")</f>
      </c>
      <c r="J4721" s="42">
        <f>IF(AND(ISNUMBER(F4721),ISNUMBER(H4721),F4721&gt;=Inputs!$C$68),F4721*H4721*Inputs!$C$69,"")</f>
      </c>
    </row>
    <row r="4722" spans="2:10" ht="15" customHeight="1" x14ac:dyDescent="0.2">
      <c r="B4722" s="39">
        <f t="shared" si="36"/>
      </c>
      <c r="C4722" s="40">
        <f>IF(Inputs!$C$60,Inputs!$C$11+(B4722-Inputs!$C$69)/Inputs!$C$70,"")</f>
      </c>
      <c r="D4722" s="15"/>
      <c r="E4722" s="15"/>
      <c r="F4722" s="11">
        <f t="shared" si="37"/>
      </c>
      <c r="G4722" s="22" cm="1">
        <f t="array" ref="G4722">IF(AND(Inputs!$C$60,Inputs!$C$61),INDEX(Utility_Rates!$C$29:$F$52,HOUR(C4722)+Inputs!$C$69,MATCH(INDEX(Utility_Rates!$K$6:$K$17,MONTH(C4722))&amp;IF(WEEKDAY(C4722,Inputs!$C$76)&lt;=Inputs!$C$74," weekday"," weekend"),Utility_Rates!$C$28:$F$28,Inputs!$C$68)),"")</f>
      </c>
      <c r="H4722" s="34"/>
      <c r="I4722" s="42">
        <f>IF(AND(ISNUMBER(D4722),ISNUMBER(H4722)),D4722*H4722*Inputs!$C$69,"")</f>
      </c>
      <c r="J4722" s="42">
        <f>IF(AND(ISNUMBER(F4722),ISNUMBER(H4722),F4722&gt;=Inputs!$C$68),F4722*H4722*Inputs!$C$69,"")</f>
      </c>
    </row>
    <row r="4723" spans="2:10" ht="15" customHeight="1" x14ac:dyDescent="0.2">
      <c r="B4723" s="39">
        <f t="shared" si="36"/>
      </c>
      <c r="C4723" s="40">
        <f>IF(Inputs!$C$60,Inputs!$C$11+(B4723-Inputs!$C$69)/Inputs!$C$70,"")</f>
      </c>
      <c r="D4723" s="15"/>
      <c r="E4723" s="15"/>
      <c r="F4723" s="11">
        <f t="shared" si="37"/>
      </c>
      <c r="G4723" s="22" cm="1">
        <f t="array" ref="G4723">IF(AND(Inputs!$C$60,Inputs!$C$61),INDEX(Utility_Rates!$C$29:$F$52,HOUR(C4723)+Inputs!$C$69,MATCH(INDEX(Utility_Rates!$K$6:$K$17,MONTH(C4723))&amp;IF(WEEKDAY(C4723,Inputs!$C$76)&lt;=Inputs!$C$74," weekday"," weekend"),Utility_Rates!$C$28:$F$28,Inputs!$C$68)),"")</f>
      </c>
      <c r="H4723" s="34"/>
      <c r="I4723" s="42">
        <f>IF(AND(ISNUMBER(D4723),ISNUMBER(H4723)),D4723*H4723*Inputs!$C$69,"")</f>
      </c>
      <c r="J4723" s="42">
        <f>IF(AND(ISNUMBER(F4723),ISNUMBER(H4723),F4723&gt;=Inputs!$C$68),F4723*H4723*Inputs!$C$69,"")</f>
      </c>
    </row>
    <row r="4724" spans="2:10" ht="15" customHeight="1" x14ac:dyDescent="0.2">
      <c r="B4724" s="39">
        <f t="shared" si="36"/>
      </c>
      <c r="C4724" s="40">
        <f>IF(Inputs!$C$60,Inputs!$C$11+(B4724-Inputs!$C$69)/Inputs!$C$70,"")</f>
      </c>
      <c r="D4724" s="15"/>
      <c r="E4724" s="15"/>
      <c r="F4724" s="11">
        <f t="shared" si="37"/>
      </c>
      <c r="G4724" s="22" cm="1">
        <f t="array" ref="G4724">IF(AND(Inputs!$C$60,Inputs!$C$61),INDEX(Utility_Rates!$C$29:$F$52,HOUR(C4724)+Inputs!$C$69,MATCH(INDEX(Utility_Rates!$K$6:$K$17,MONTH(C4724))&amp;IF(WEEKDAY(C4724,Inputs!$C$76)&lt;=Inputs!$C$74," weekday"," weekend"),Utility_Rates!$C$28:$F$28,Inputs!$C$68)),"")</f>
      </c>
      <c r="H4724" s="34"/>
      <c r="I4724" s="42">
        <f>IF(AND(ISNUMBER(D4724),ISNUMBER(H4724)),D4724*H4724*Inputs!$C$69,"")</f>
      </c>
      <c r="J4724" s="42">
        <f>IF(AND(ISNUMBER(F4724),ISNUMBER(H4724),F4724&gt;=Inputs!$C$68),F4724*H4724*Inputs!$C$69,"")</f>
      </c>
    </row>
    <row r="4725" spans="2:10" ht="15" customHeight="1" x14ac:dyDescent="0.2">
      <c r="B4725" s="39">
        <f t="shared" si="36"/>
      </c>
      <c r="C4725" s="40">
        <f>IF(Inputs!$C$60,Inputs!$C$11+(B4725-Inputs!$C$69)/Inputs!$C$70,"")</f>
      </c>
      <c r="D4725" s="15"/>
      <c r="E4725" s="15"/>
      <c r="F4725" s="11">
        <f t="shared" si="37"/>
      </c>
      <c r="G4725" s="22" cm="1">
        <f t="array" ref="G4725">IF(AND(Inputs!$C$60,Inputs!$C$61),INDEX(Utility_Rates!$C$29:$F$52,HOUR(C4725)+Inputs!$C$69,MATCH(INDEX(Utility_Rates!$K$6:$K$17,MONTH(C4725))&amp;IF(WEEKDAY(C4725,Inputs!$C$76)&lt;=Inputs!$C$74," weekday"," weekend"),Utility_Rates!$C$28:$F$28,Inputs!$C$68)),"")</f>
      </c>
      <c r="H4725" s="34"/>
      <c r="I4725" s="42">
        <f>IF(AND(ISNUMBER(D4725),ISNUMBER(H4725)),D4725*H4725*Inputs!$C$69,"")</f>
      </c>
      <c r="J4725" s="42">
        <f>IF(AND(ISNUMBER(F4725),ISNUMBER(H4725),F4725&gt;=Inputs!$C$68),F4725*H4725*Inputs!$C$69,"")</f>
      </c>
    </row>
    <row r="4726" spans="2:10" ht="15" customHeight="1" x14ac:dyDescent="0.2">
      <c r="B4726" s="39">
        <f t="shared" si="36"/>
      </c>
      <c r="C4726" s="40">
        <f>IF(Inputs!$C$60,Inputs!$C$11+(B4726-Inputs!$C$69)/Inputs!$C$70,"")</f>
      </c>
      <c r="D4726" s="15"/>
      <c r="E4726" s="15"/>
      <c r="F4726" s="11">
        <f t="shared" si="37"/>
      </c>
      <c r="G4726" s="22" cm="1">
        <f t="array" ref="G4726">IF(AND(Inputs!$C$60,Inputs!$C$61),INDEX(Utility_Rates!$C$29:$F$52,HOUR(C4726)+Inputs!$C$69,MATCH(INDEX(Utility_Rates!$K$6:$K$17,MONTH(C4726))&amp;IF(WEEKDAY(C4726,Inputs!$C$76)&lt;=Inputs!$C$74," weekday"," weekend"),Utility_Rates!$C$28:$F$28,Inputs!$C$68)),"")</f>
      </c>
      <c r="H4726" s="34"/>
      <c r="I4726" s="42">
        <f>IF(AND(ISNUMBER(D4726),ISNUMBER(H4726)),D4726*H4726*Inputs!$C$69,"")</f>
      </c>
      <c r="J4726" s="42">
        <f>IF(AND(ISNUMBER(F4726),ISNUMBER(H4726),F4726&gt;=Inputs!$C$68),F4726*H4726*Inputs!$C$69,"")</f>
      </c>
    </row>
    <row r="4727" spans="2:10" ht="15" customHeight="1" x14ac:dyDescent="0.2">
      <c r="B4727" s="39">
        <f t="shared" si="36"/>
      </c>
      <c r="C4727" s="40">
        <f>IF(Inputs!$C$60,Inputs!$C$11+(B4727-Inputs!$C$69)/Inputs!$C$70,"")</f>
      </c>
      <c r="D4727" s="15"/>
      <c r="E4727" s="15"/>
      <c r="F4727" s="11">
        <f t="shared" si="37"/>
      </c>
      <c r="G4727" s="22" cm="1">
        <f t="array" ref="G4727">IF(AND(Inputs!$C$60,Inputs!$C$61),INDEX(Utility_Rates!$C$29:$F$52,HOUR(C4727)+Inputs!$C$69,MATCH(INDEX(Utility_Rates!$K$6:$K$17,MONTH(C4727))&amp;IF(WEEKDAY(C4727,Inputs!$C$76)&lt;=Inputs!$C$74," weekday"," weekend"),Utility_Rates!$C$28:$F$28,Inputs!$C$68)),"")</f>
      </c>
      <c r="H4727" s="34"/>
      <c r="I4727" s="42">
        <f>IF(AND(ISNUMBER(D4727),ISNUMBER(H4727)),D4727*H4727*Inputs!$C$69,"")</f>
      </c>
      <c r="J4727" s="42">
        <f>IF(AND(ISNUMBER(F4727),ISNUMBER(H4727),F4727&gt;=Inputs!$C$68),F4727*H4727*Inputs!$C$69,"")</f>
      </c>
    </row>
    <row r="4728" spans="2:10" ht="15" customHeight="1" x14ac:dyDescent="0.2">
      <c r="B4728" s="39">
        <f t="shared" si="36"/>
      </c>
      <c r="C4728" s="40">
        <f>IF(Inputs!$C$60,Inputs!$C$11+(B4728-Inputs!$C$69)/Inputs!$C$70,"")</f>
      </c>
      <c r="D4728" s="15"/>
      <c r="E4728" s="15"/>
      <c r="F4728" s="11">
        <f t="shared" si="37"/>
      </c>
      <c r="G4728" s="22" cm="1">
        <f t="array" ref="G4728">IF(AND(Inputs!$C$60,Inputs!$C$61),INDEX(Utility_Rates!$C$29:$F$52,HOUR(C4728)+Inputs!$C$69,MATCH(INDEX(Utility_Rates!$K$6:$K$17,MONTH(C4728))&amp;IF(WEEKDAY(C4728,Inputs!$C$76)&lt;=Inputs!$C$74," weekday"," weekend"),Utility_Rates!$C$28:$F$28,Inputs!$C$68)),"")</f>
      </c>
      <c r="H4728" s="34"/>
      <c r="I4728" s="42">
        <f>IF(AND(ISNUMBER(D4728),ISNUMBER(H4728)),D4728*H4728*Inputs!$C$69,"")</f>
      </c>
      <c r="J4728" s="42">
        <f>IF(AND(ISNUMBER(F4728),ISNUMBER(H4728),F4728&gt;=Inputs!$C$68),F4728*H4728*Inputs!$C$69,"")</f>
      </c>
    </row>
    <row r="4729" spans="2:10" ht="15" customHeight="1" x14ac:dyDescent="0.2">
      <c r="B4729" s="39">
        <f t="shared" si="36"/>
      </c>
      <c r="C4729" s="40">
        <f>IF(Inputs!$C$60,Inputs!$C$11+(B4729-Inputs!$C$69)/Inputs!$C$70,"")</f>
      </c>
      <c r="D4729" s="15"/>
      <c r="E4729" s="15"/>
      <c r="F4729" s="11">
        <f t="shared" si="37"/>
      </c>
      <c r="G4729" s="22" cm="1">
        <f t="array" ref="G4729">IF(AND(Inputs!$C$60,Inputs!$C$61),INDEX(Utility_Rates!$C$29:$F$52,HOUR(C4729)+Inputs!$C$69,MATCH(INDEX(Utility_Rates!$K$6:$K$17,MONTH(C4729))&amp;IF(WEEKDAY(C4729,Inputs!$C$76)&lt;=Inputs!$C$74," weekday"," weekend"),Utility_Rates!$C$28:$F$28,Inputs!$C$68)),"")</f>
      </c>
      <c r="H4729" s="34"/>
      <c r="I4729" s="42">
        <f>IF(AND(ISNUMBER(D4729),ISNUMBER(H4729)),D4729*H4729*Inputs!$C$69,"")</f>
      </c>
      <c r="J4729" s="42">
        <f>IF(AND(ISNUMBER(F4729),ISNUMBER(H4729),F4729&gt;=Inputs!$C$68),F4729*H4729*Inputs!$C$69,"")</f>
      </c>
    </row>
    <row r="4730" spans="2:10" ht="15" customHeight="1" x14ac:dyDescent="0.2">
      <c r="B4730" s="39">
        <f t="shared" si="36"/>
      </c>
      <c r="C4730" s="40">
        <f>IF(Inputs!$C$60,Inputs!$C$11+(B4730-Inputs!$C$69)/Inputs!$C$70,"")</f>
      </c>
      <c r="D4730" s="15"/>
      <c r="E4730" s="15"/>
      <c r="F4730" s="11">
        <f t="shared" si="37"/>
      </c>
      <c r="G4730" s="22" cm="1">
        <f t="array" ref="G4730">IF(AND(Inputs!$C$60,Inputs!$C$61),INDEX(Utility_Rates!$C$29:$F$52,HOUR(C4730)+Inputs!$C$69,MATCH(INDEX(Utility_Rates!$K$6:$K$17,MONTH(C4730))&amp;IF(WEEKDAY(C4730,Inputs!$C$76)&lt;=Inputs!$C$74," weekday"," weekend"),Utility_Rates!$C$28:$F$28,Inputs!$C$68)),"")</f>
      </c>
      <c r="H4730" s="34"/>
      <c r="I4730" s="42">
        <f>IF(AND(ISNUMBER(D4730),ISNUMBER(H4730)),D4730*H4730*Inputs!$C$69,"")</f>
      </c>
      <c r="J4730" s="42">
        <f>IF(AND(ISNUMBER(F4730),ISNUMBER(H4730),F4730&gt;=Inputs!$C$68),F4730*H4730*Inputs!$C$69,"")</f>
      </c>
    </row>
    <row r="4731" spans="2:10" ht="15" customHeight="1" x14ac:dyDescent="0.2">
      <c r="B4731" s="39">
        <f t="shared" si="36"/>
      </c>
      <c r="C4731" s="40">
        <f>IF(Inputs!$C$60,Inputs!$C$11+(B4731-Inputs!$C$69)/Inputs!$C$70,"")</f>
      </c>
      <c r="D4731" s="15"/>
      <c r="E4731" s="15"/>
      <c r="F4731" s="11">
        <f t="shared" si="37"/>
      </c>
      <c r="G4731" s="22" cm="1">
        <f t="array" ref="G4731">IF(AND(Inputs!$C$60,Inputs!$C$61),INDEX(Utility_Rates!$C$29:$F$52,HOUR(C4731)+Inputs!$C$69,MATCH(INDEX(Utility_Rates!$K$6:$K$17,MONTH(C4731))&amp;IF(WEEKDAY(C4731,Inputs!$C$76)&lt;=Inputs!$C$74," weekday"," weekend"),Utility_Rates!$C$28:$F$28,Inputs!$C$68)),"")</f>
      </c>
      <c r="H4731" s="34"/>
      <c r="I4731" s="42">
        <f>IF(AND(ISNUMBER(D4731),ISNUMBER(H4731)),D4731*H4731*Inputs!$C$69,"")</f>
      </c>
      <c r="J4731" s="42">
        <f>IF(AND(ISNUMBER(F4731),ISNUMBER(H4731),F4731&gt;=Inputs!$C$68),F4731*H4731*Inputs!$C$69,"")</f>
      </c>
    </row>
    <row r="4732" spans="2:10" ht="15" customHeight="1" x14ac:dyDescent="0.2">
      <c r="B4732" s="39">
        <f t="shared" si="36"/>
      </c>
      <c r="C4732" s="40">
        <f>IF(Inputs!$C$60,Inputs!$C$11+(B4732-Inputs!$C$69)/Inputs!$C$70,"")</f>
      </c>
      <c r="D4732" s="15"/>
      <c r="E4732" s="15"/>
      <c r="F4732" s="11">
        <f t="shared" si="37"/>
      </c>
      <c r="G4732" s="22" cm="1">
        <f t="array" ref="G4732">IF(AND(Inputs!$C$60,Inputs!$C$61),INDEX(Utility_Rates!$C$29:$F$52,HOUR(C4732)+Inputs!$C$69,MATCH(INDEX(Utility_Rates!$K$6:$K$17,MONTH(C4732))&amp;IF(WEEKDAY(C4732,Inputs!$C$76)&lt;=Inputs!$C$74," weekday"," weekend"),Utility_Rates!$C$28:$F$28,Inputs!$C$68)),"")</f>
      </c>
      <c r="H4732" s="34"/>
      <c r="I4732" s="42">
        <f>IF(AND(ISNUMBER(D4732),ISNUMBER(H4732)),D4732*H4732*Inputs!$C$69,"")</f>
      </c>
      <c r="J4732" s="42">
        <f>IF(AND(ISNUMBER(F4732),ISNUMBER(H4732),F4732&gt;=Inputs!$C$68),F4732*H4732*Inputs!$C$69,"")</f>
      </c>
    </row>
    <row r="4733" spans="2:10" ht="15" customHeight="1" x14ac:dyDescent="0.2">
      <c r="B4733" s="39">
        <f t="shared" si="36"/>
      </c>
      <c r="C4733" s="40">
        <f>IF(Inputs!$C$60,Inputs!$C$11+(B4733-Inputs!$C$69)/Inputs!$C$70,"")</f>
      </c>
      <c r="D4733" s="15"/>
      <c r="E4733" s="15"/>
      <c r="F4733" s="11">
        <f t="shared" si="37"/>
      </c>
      <c r="G4733" s="22" cm="1">
        <f t="array" ref="G4733">IF(AND(Inputs!$C$60,Inputs!$C$61),INDEX(Utility_Rates!$C$29:$F$52,HOUR(C4733)+Inputs!$C$69,MATCH(INDEX(Utility_Rates!$K$6:$K$17,MONTH(C4733))&amp;IF(WEEKDAY(C4733,Inputs!$C$76)&lt;=Inputs!$C$74," weekday"," weekend"),Utility_Rates!$C$28:$F$28,Inputs!$C$68)),"")</f>
      </c>
      <c r="H4733" s="34"/>
      <c r="I4733" s="42">
        <f>IF(AND(ISNUMBER(D4733),ISNUMBER(H4733)),D4733*H4733*Inputs!$C$69,"")</f>
      </c>
      <c r="J4733" s="42">
        <f>IF(AND(ISNUMBER(F4733),ISNUMBER(H4733),F4733&gt;=Inputs!$C$68),F4733*H4733*Inputs!$C$69,"")</f>
      </c>
    </row>
    <row r="4734" spans="2:10" ht="15" customHeight="1" x14ac:dyDescent="0.2">
      <c r="B4734" s="39">
        <f t="shared" si="36"/>
      </c>
      <c r="C4734" s="40">
        <f>IF(Inputs!$C$60,Inputs!$C$11+(B4734-Inputs!$C$69)/Inputs!$C$70,"")</f>
      </c>
      <c r="D4734" s="15"/>
      <c r="E4734" s="15"/>
      <c r="F4734" s="11">
        <f t="shared" si="37"/>
      </c>
      <c r="G4734" s="22" cm="1">
        <f t="array" ref="G4734">IF(AND(Inputs!$C$60,Inputs!$C$61),INDEX(Utility_Rates!$C$29:$F$52,HOUR(C4734)+Inputs!$C$69,MATCH(INDEX(Utility_Rates!$K$6:$K$17,MONTH(C4734))&amp;IF(WEEKDAY(C4734,Inputs!$C$76)&lt;=Inputs!$C$74," weekday"," weekend"),Utility_Rates!$C$28:$F$28,Inputs!$C$68)),"")</f>
      </c>
      <c r="H4734" s="34"/>
      <c r="I4734" s="42">
        <f>IF(AND(ISNUMBER(D4734),ISNUMBER(H4734)),D4734*H4734*Inputs!$C$69,"")</f>
      </c>
      <c r="J4734" s="42">
        <f>IF(AND(ISNUMBER(F4734),ISNUMBER(H4734),F4734&gt;=Inputs!$C$68),F4734*H4734*Inputs!$C$69,"")</f>
      </c>
    </row>
    <row r="4735" spans="2:10" ht="15" customHeight="1" x14ac:dyDescent="0.2">
      <c r="B4735" s="39">
        <f t="shared" si="36"/>
      </c>
      <c r="C4735" s="40">
        <f>IF(Inputs!$C$60,Inputs!$C$11+(B4735-Inputs!$C$69)/Inputs!$C$70,"")</f>
      </c>
      <c r="D4735" s="15"/>
      <c r="E4735" s="15"/>
      <c r="F4735" s="11">
        <f t="shared" si="37"/>
      </c>
      <c r="G4735" s="22" cm="1">
        <f t="array" ref="G4735">IF(AND(Inputs!$C$60,Inputs!$C$61),INDEX(Utility_Rates!$C$29:$F$52,HOUR(C4735)+Inputs!$C$69,MATCH(INDEX(Utility_Rates!$K$6:$K$17,MONTH(C4735))&amp;IF(WEEKDAY(C4735,Inputs!$C$76)&lt;=Inputs!$C$74," weekday"," weekend"),Utility_Rates!$C$28:$F$28,Inputs!$C$68)),"")</f>
      </c>
      <c r="H4735" s="34"/>
      <c r="I4735" s="42">
        <f>IF(AND(ISNUMBER(D4735),ISNUMBER(H4735)),D4735*H4735*Inputs!$C$69,"")</f>
      </c>
      <c r="J4735" s="42">
        <f>IF(AND(ISNUMBER(F4735),ISNUMBER(H4735),F4735&gt;=Inputs!$C$68),F4735*H4735*Inputs!$C$69,"")</f>
      </c>
    </row>
    <row r="4736" spans="2:10" ht="15" customHeight="1" x14ac:dyDescent="0.2">
      <c r="B4736" s="39">
        <f t="shared" si="36"/>
      </c>
      <c r="C4736" s="40">
        <f>IF(Inputs!$C$60,Inputs!$C$11+(B4736-Inputs!$C$69)/Inputs!$C$70,"")</f>
      </c>
      <c r="D4736" s="15"/>
      <c r="E4736" s="15"/>
      <c r="F4736" s="11">
        <f t="shared" si="37"/>
      </c>
      <c r="G4736" s="22" cm="1">
        <f t="array" ref="G4736">IF(AND(Inputs!$C$60,Inputs!$C$61),INDEX(Utility_Rates!$C$29:$F$52,HOUR(C4736)+Inputs!$C$69,MATCH(INDEX(Utility_Rates!$K$6:$K$17,MONTH(C4736))&amp;IF(WEEKDAY(C4736,Inputs!$C$76)&lt;=Inputs!$C$74," weekday"," weekend"),Utility_Rates!$C$28:$F$28,Inputs!$C$68)),"")</f>
      </c>
      <c r="H4736" s="34"/>
      <c r="I4736" s="42">
        <f>IF(AND(ISNUMBER(D4736),ISNUMBER(H4736)),D4736*H4736*Inputs!$C$69,"")</f>
      </c>
      <c r="J4736" s="42">
        <f>IF(AND(ISNUMBER(F4736),ISNUMBER(H4736),F4736&gt;=Inputs!$C$68),F4736*H4736*Inputs!$C$69,"")</f>
      </c>
    </row>
    <row r="4737" spans="2:10" ht="15" customHeight="1" x14ac:dyDescent="0.2">
      <c r="B4737" s="39">
        <f t="shared" si="36"/>
      </c>
      <c r="C4737" s="40">
        <f>IF(Inputs!$C$60,Inputs!$C$11+(B4737-Inputs!$C$69)/Inputs!$C$70,"")</f>
      </c>
      <c r="D4737" s="15"/>
      <c r="E4737" s="15"/>
      <c r="F4737" s="11">
        <f t="shared" si="37"/>
      </c>
      <c r="G4737" s="22" cm="1">
        <f t="array" ref="G4737">IF(AND(Inputs!$C$60,Inputs!$C$61),INDEX(Utility_Rates!$C$29:$F$52,HOUR(C4737)+Inputs!$C$69,MATCH(INDEX(Utility_Rates!$K$6:$K$17,MONTH(C4737))&amp;IF(WEEKDAY(C4737,Inputs!$C$76)&lt;=Inputs!$C$74," weekday"," weekend"),Utility_Rates!$C$28:$F$28,Inputs!$C$68)),"")</f>
      </c>
      <c r="H4737" s="34"/>
      <c r="I4737" s="42">
        <f>IF(AND(ISNUMBER(D4737),ISNUMBER(H4737)),D4737*H4737*Inputs!$C$69,"")</f>
      </c>
      <c r="J4737" s="42">
        <f>IF(AND(ISNUMBER(F4737),ISNUMBER(H4737),F4737&gt;=Inputs!$C$68),F4737*H4737*Inputs!$C$69,"")</f>
      </c>
    </row>
    <row r="4738" spans="2:10" ht="15" customHeight="1" x14ac:dyDescent="0.2">
      <c r="B4738" s="39">
        <f t="shared" si="36"/>
      </c>
      <c r="C4738" s="40">
        <f>IF(Inputs!$C$60,Inputs!$C$11+(B4738-Inputs!$C$69)/Inputs!$C$70,"")</f>
      </c>
      <c r="D4738" s="15"/>
      <c r="E4738" s="15"/>
      <c r="F4738" s="11">
        <f t="shared" si="37"/>
      </c>
      <c r="G4738" s="22" cm="1">
        <f t="array" ref="G4738">IF(AND(Inputs!$C$60,Inputs!$C$61),INDEX(Utility_Rates!$C$29:$F$52,HOUR(C4738)+Inputs!$C$69,MATCH(INDEX(Utility_Rates!$K$6:$K$17,MONTH(C4738))&amp;IF(WEEKDAY(C4738,Inputs!$C$76)&lt;=Inputs!$C$74," weekday"," weekend"),Utility_Rates!$C$28:$F$28,Inputs!$C$68)),"")</f>
      </c>
      <c r="H4738" s="34"/>
      <c r="I4738" s="42">
        <f>IF(AND(ISNUMBER(D4738),ISNUMBER(H4738)),D4738*H4738*Inputs!$C$69,"")</f>
      </c>
      <c r="J4738" s="42">
        <f>IF(AND(ISNUMBER(F4738),ISNUMBER(H4738),F4738&gt;=Inputs!$C$68),F4738*H4738*Inputs!$C$69,"")</f>
      </c>
    </row>
    <row r="4739" spans="2:10" ht="15" customHeight="1" x14ac:dyDescent="0.2">
      <c r="B4739" s="39">
        <f t="shared" si="36"/>
      </c>
      <c r="C4739" s="40">
        <f>IF(Inputs!$C$60,Inputs!$C$11+(B4739-Inputs!$C$69)/Inputs!$C$70,"")</f>
      </c>
      <c r="D4739" s="15"/>
      <c r="E4739" s="15"/>
      <c r="F4739" s="11">
        <f t="shared" si="37"/>
      </c>
      <c r="G4739" s="22" cm="1">
        <f t="array" ref="G4739">IF(AND(Inputs!$C$60,Inputs!$C$61),INDEX(Utility_Rates!$C$29:$F$52,HOUR(C4739)+Inputs!$C$69,MATCH(INDEX(Utility_Rates!$K$6:$K$17,MONTH(C4739))&amp;IF(WEEKDAY(C4739,Inputs!$C$76)&lt;=Inputs!$C$74," weekday"," weekend"),Utility_Rates!$C$28:$F$28,Inputs!$C$68)),"")</f>
      </c>
      <c r="H4739" s="34"/>
      <c r="I4739" s="42">
        <f>IF(AND(ISNUMBER(D4739),ISNUMBER(H4739)),D4739*H4739*Inputs!$C$69,"")</f>
      </c>
      <c r="J4739" s="42">
        <f>IF(AND(ISNUMBER(F4739),ISNUMBER(H4739),F4739&gt;=Inputs!$C$68),F4739*H4739*Inputs!$C$69,"")</f>
      </c>
    </row>
    <row r="4740" spans="2:10" ht="15" customHeight="1" x14ac:dyDescent="0.2">
      <c r="B4740" s="39">
        <f t="shared" si="36"/>
      </c>
      <c r="C4740" s="40">
        <f>IF(Inputs!$C$60,Inputs!$C$11+(B4740-Inputs!$C$69)/Inputs!$C$70,"")</f>
      </c>
      <c r="D4740" s="15"/>
      <c r="E4740" s="15"/>
      <c r="F4740" s="11">
        <f t="shared" si="37"/>
      </c>
      <c r="G4740" s="22" cm="1">
        <f t="array" ref="G4740">IF(AND(Inputs!$C$60,Inputs!$C$61),INDEX(Utility_Rates!$C$29:$F$52,HOUR(C4740)+Inputs!$C$69,MATCH(INDEX(Utility_Rates!$K$6:$K$17,MONTH(C4740))&amp;IF(WEEKDAY(C4740,Inputs!$C$76)&lt;=Inputs!$C$74," weekday"," weekend"),Utility_Rates!$C$28:$F$28,Inputs!$C$68)),"")</f>
      </c>
      <c r="H4740" s="34"/>
      <c r="I4740" s="42">
        <f>IF(AND(ISNUMBER(D4740),ISNUMBER(H4740)),D4740*H4740*Inputs!$C$69,"")</f>
      </c>
      <c r="J4740" s="42">
        <f>IF(AND(ISNUMBER(F4740),ISNUMBER(H4740),F4740&gt;=Inputs!$C$68),F4740*H4740*Inputs!$C$69,"")</f>
      </c>
    </row>
    <row r="4741" spans="2:10" ht="15" customHeight="1" x14ac:dyDescent="0.2">
      <c r="B4741" s="39">
        <f t="shared" si="36"/>
      </c>
      <c r="C4741" s="40">
        <f>IF(Inputs!$C$60,Inputs!$C$11+(B4741-Inputs!$C$69)/Inputs!$C$70,"")</f>
      </c>
      <c r="D4741" s="15"/>
      <c r="E4741" s="15"/>
      <c r="F4741" s="11">
        <f t="shared" si="37"/>
      </c>
      <c r="G4741" s="22" cm="1">
        <f t="array" ref="G4741">IF(AND(Inputs!$C$60,Inputs!$C$61),INDEX(Utility_Rates!$C$29:$F$52,HOUR(C4741)+Inputs!$C$69,MATCH(INDEX(Utility_Rates!$K$6:$K$17,MONTH(C4741))&amp;IF(WEEKDAY(C4741,Inputs!$C$76)&lt;=Inputs!$C$74," weekday"," weekend"),Utility_Rates!$C$28:$F$28,Inputs!$C$68)),"")</f>
      </c>
      <c r="H4741" s="34"/>
      <c r="I4741" s="42">
        <f>IF(AND(ISNUMBER(D4741),ISNUMBER(H4741)),D4741*H4741*Inputs!$C$69,"")</f>
      </c>
      <c r="J4741" s="42">
        <f>IF(AND(ISNUMBER(F4741),ISNUMBER(H4741),F4741&gt;=Inputs!$C$68),F4741*H4741*Inputs!$C$69,"")</f>
      </c>
    </row>
    <row r="4742" spans="2:10" ht="15" customHeight="1" x14ac:dyDescent="0.2">
      <c r="B4742" s="39">
        <f t="shared" si="36"/>
      </c>
      <c r="C4742" s="40">
        <f>IF(Inputs!$C$60,Inputs!$C$11+(B4742-Inputs!$C$69)/Inputs!$C$70,"")</f>
      </c>
      <c r="D4742" s="15"/>
      <c r="E4742" s="15"/>
      <c r="F4742" s="11">
        <f t="shared" si="37"/>
      </c>
      <c r="G4742" s="22" cm="1">
        <f t="array" ref="G4742">IF(AND(Inputs!$C$60,Inputs!$C$61),INDEX(Utility_Rates!$C$29:$F$52,HOUR(C4742)+Inputs!$C$69,MATCH(INDEX(Utility_Rates!$K$6:$K$17,MONTH(C4742))&amp;IF(WEEKDAY(C4742,Inputs!$C$76)&lt;=Inputs!$C$74," weekday"," weekend"),Utility_Rates!$C$28:$F$28,Inputs!$C$68)),"")</f>
      </c>
      <c r="H4742" s="34"/>
      <c r="I4742" s="42">
        <f>IF(AND(ISNUMBER(D4742),ISNUMBER(H4742)),D4742*H4742*Inputs!$C$69,"")</f>
      </c>
      <c r="J4742" s="42">
        <f>IF(AND(ISNUMBER(F4742),ISNUMBER(H4742),F4742&gt;=Inputs!$C$68),F4742*H4742*Inputs!$C$69,"")</f>
      </c>
    </row>
    <row r="4743" spans="2:10" ht="15" customHeight="1" x14ac:dyDescent="0.2">
      <c r="B4743" s="39">
        <f t="shared" si="36"/>
      </c>
      <c r="C4743" s="40">
        <f>IF(Inputs!$C$60,Inputs!$C$11+(B4743-Inputs!$C$69)/Inputs!$C$70,"")</f>
      </c>
      <c r="D4743" s="15"/>
      <c r="E4743" s="15"/>
      <c r="F4743" s="11">
        <f t="shared" si="37"/>
      </c>
      <c r="G4743" s="22" cm="1">
        <f t="array" ref="G4743">IF(AND(Inputs!$C$60,Inputs!$C$61),INDEX(Utility_Rates!$C$29:$F$52,HOUR(C4743)+Inputs!$C$69,MATCH(INDEX(Utility_Rates!$K$6:$K$17,MONTH(C4743))&amp;IF(WEEKDAY(C4743,Inputs!$C$76)&lt;=Inputs!$C$74," weekday"," weekend"),Utility_Rates!$C$28:$F$28,Inputs!$C$68)),"")</f>
      </c>
      <c r="H4743" s="34"/>
      <c r="I4743" s="42">
        <f>IF(AND(ISNUMBER(D4743),ISNUMBER(H4743)),D4743*H4743*Inputs!$C$69,"")</f>
      </c>
      <c r="J4743" s="42">
        <f>IF(AND(ISNUMBER(F4743),ISNUMBER(H4743),F4743&gt;=Inputs!$C$68),F4743*H4743*Inputs!$C$69,"")</f>
      </c>
    </row>
    <row r="4744" spans="2:10" ht="15" customHeight="1" x14ac:dyDescent="0.2">
      <c r="B4744" s="39">
        <f t="shared" si="36"/>
      </c>
      <c r="C4744" s="40">
        <f>IF(Inputs!$C$60,Inputs!$C$11+(B4744-Inputs!$C$69)/Inputs!$C$70,"")</f>
      </c>
      <c r="D4744" s="15"/>
      <c r="E4744" s="15"/>
      <c r="F4744" s="11">
        <f t="shared" si="37"/>
      </c>
      <c r="G4744" s="22" cm="1">
        <f t="array" ref="G4744">IF(AND(Inputs!$C$60,Inputs!$C$61),INDEX(Utility_Rates!$C$29:$F$52,HOUR(C4744)+Inputs!$C$69,MATCH(INDEX(Utility_Rates!$K$6:$K$17,MONTH(C4744))&amp;IF(WEEKDAY(C4744,Inputs!$C$76)&lt;=Inputs!$C$74," weekday"," weekend"),Utility_Rates!$C$28:$F$28,Inputs!$C$68)),"")</f>
      </c>
      <c r="H4744" s="34"/>
      <c r="I4744" s="42">
        <f>IF(AND(ISNUMBER(D4744),ISNUMBER(H4744)),D4744*H4744*Inputs!$C$69,"")</f>
      </c>
      <c r="J4744" s="42">
        <f>IF(AND(ISNUMBER(F4744),ISNUMBER(H4744),F4744&gt;=Inputs!$C$68),F4744*H4744*Inputs!$C$69,"")</f>
      </c>
    </row>
    <row r="4745" spans="2:10" ht="15" customHeight="1" x14ac:dyDescent="0.2">
      <c r="B4745" s="39">
        <f t="shared" si="36"/>
      </c>
      <c r="C4745" s="40">
        <f>IF(Inputs!$C$60,Inputs!$C$11+(B4745-Inputs!$C$69)/Inputs!$C$70,"")</f>
      </c>
      <c r="D4745" s="15"/>
      <c r="E4745" s="15"/>
      <c r="F4745" s="11">
        <f t="shared" si="37"/>
      </c>
      <c r="G4745" s="22" cm="1">
        <f t="array" ref="G4745">IF(AND(Inputs!$C$60,Inputs!$C$61),INDEX(Utility_Rates!$C$29:$F$52,HOUR(C4745)+Inputs!$C$69,MATCH(INDEX(Utility_Rates!$K$6:$K$17,MONTH(C4745))&amp;IF(WEEKDAY(C4745,Inputs!$C$76)&lt;=Inputs!$C$74," weekday"," weekend"),Utility_Rates!$C$28:$F$28,Inputs!$C$68)),"")</f>
      </c>
      <c r="H4745" s="34"/>
      <c r="I4745" s="42">
        <f>IF(AND(ISNUMBER(D4745),ISNUMBER(H4745)),D4745*H4745*Inputs!$C$69,"")</f>
      </c>
      <c r="J4745" s="42">
        <f>IF(AND(ISNUMBER(F4745),ISNUMBER(H4745),F4745&gt;=Inputs!$C$68),F4745*H4745*Inputs!$C$69,"")</f>
      </c>
    </row>
    <row r="4746" spans="2:10" ht="15" customHeight="1" x14ac:dyDescent="0.2">
      <c r="B4746" s="39">
        <f t="shared" si="36"/>
      </c>
      <c r="C4746" s="40">
        <f>IF(Inputs!$C$60,Inputs!$C$11+(B4746-Inputs!$C$69)/Inputs!$C$70,"")</f>
      </c>
      <c r="D4746" s="15"/>
      <c r="E4746" s="15"/>
      <c r="F4746" s="11">
        <f t="shared" si="37"/>
      </c>
      <c r="G4746" s="22" cm="1">
        <f t="array" ref="G4746">IF(AND(Inputs!$C$60,Inputs!$C$61),INDEX(Utility_Rates!$C$29:$F$52,HOUR(C4746)+Inputs!$C$69,MATCH(INDEX(Utility_Rates!$K$6:$K$17,MONTH(C4746))&amp;IF(WEEKDAY(C4746,Inputs!$C$76)&lt;=Inputs!$C$74," weekday"," weekend"),Utility_Rates!$C$28:$F$28,Inputs!$C$68)),"")</f>
      </c>
      <c r="H4746" s="34"/>
      <c r="I4746" s="42">
        <f>IF(AND(ISNUMBER(D4746),ISNUMBER(H4746)),D4746*H4746*Inputs!$C$69,"")</f>
      </c>
      <c r="J4746" s="42">
        <f>IF(AND(ISNUMBER(F4746),ISNUMBER(H4746),F4746&gt;=Inputs!$C$68),F4746*H4746*Inputs!$C$69,"")</f>
      </c>
    </row>
    <row r="4747" spans="2:10" ht="15" customHeight="1" x14ac:dyDescent="0.2">
      <c r="B4747" s="39">
        <f t="shared" si="36"/>
      </c>
      <c r="C4747" s="40">
        <f>IF(Inputs!$C$60,Inputs!$C$11+(B4747-Inputs!$C$69)/Inputs!$C$70,"")</f>
      </c>
      <c r="D4747" s="15"/>
      <c r="E4747" s="15"/>
      <c r="F4747" s="11">
        <f t="shared" si="37"/>
      </c>
      <c r="G4747" s="22" cm="1">
        <f t="array" ref="G4747">IF(AND(Inputs!$C$60,Inputs!$C$61),INDEX(Utility_Rates!$C$29:$F$52,HOUR(C4747)+Inputs!$C$69,MATCH(INDEX(Utility_Rates!$K$6:$K$17,MONTH(C4747))&amp;IF(WEEKDAY(C4747,Inputs!$C$76)&lt;=Inputs!$C$74," weekday"," weekend"),Utility_Rates!$C$28:$F$28,Inputs!$C$68)),"")</f>
      </c>
      <c r="H4747" s="34"/>
      <c r="I4747" s="42">
        <f>IF(AND(ISNUMBER(D4747),ISNUMBER(H4747)),D4747*H4747*Inputs!$C$69,"")</f>
      </c>
      <c r="J4747" s="42">
        <f>IF(AND(ISNUMBER(F4747),ISNUMBER(H4747),F4747&gt;=Inputs!$C$68),F4747*H4747*Inputs!$C$69,"")</f>
      </c>
    </row>
    <row r="4748" spans="2:10" ht="15" customHeight="1" x14ac:dyDescent="0.2">
      <c r="B4748" s="39">
        <f t="shared" si="36"/>
      </c>
      <c r="C4748" s="40">
        <f>IF(Inputs!$C$60,Inputs!$C$11+(B4748-Inputs!$C$69)/Inputs!$C$70,"")</f>
      </c>
      <c r="D4748" s="15"/>
      <c r="E4748" s="15"/>
      <c r="F4748" s="11">
        <f t="shared" si="37"/>
      </c>
      <c r="G4748" s="22" cm="1">
        <f t="array" ref="G4748">IF(AND(Inputs!$C$60,Inputs!$C$61),INDEX(Utility_Rates!$C$29:$F$52,HOUR(C4748)+Inputs!$C$69,MATCH(INDEX(Utility_Rates!$K$6:$K$17,MONTH(C4748))&amp;IF(WEEKDAY(C4748,Inputs!$C$76)&lt;=Inputs!$C$74," weekday"," weekend"),Utility_Rates!$C$28:$F$28,Inputs!$C$68)),"")</f>
      </c>
      <c r="H4748" s="34"/>
      <c r="I4748" s="42">
        <f>IF(AND(ISNUMBER(D4748),ISNUMBER(H4748)),D4748*H4748*Inputs!$C$69,"")</f>
      </c>
      <c r="J4748" s="42">
        <f>IF(AND(ISNUMBER(F4748),ISNUMBER(H4748),F4748&gt;=Inputs!$C$68),F4748*H4748*Inputs!$C$69,"")</f>
      </c>
    </row>
    <row r="4749" spans="2:10" ht="15" customHeight="1" x14ac:dyDescent="0.2">
      <c r="B4749" s="39">
        <f t="shared" si="36"/>
      </c>
      <c r="C4749" s="40">
        <f>IF(Inputs!$C$60,Inputs!$C$11+(B4749-Inputs!$C$69)/Inputs!$C$70,"")</f>
      </c>
      <c r="D4749" s="15"/>
      <c r="E4749" s="15"/>
      <c r="F4749" s="11">
        <f t="shared" si="37"/>
      </c>
      <c r="G4749" s="22" cm="1">
        <f t="array" ref="G4749">IF(AND(Inputs!$C$60,Inputs!$C$61),INDEX(Utility_Rates!$C$29:$F$52,HOUR(C4749)+Inputs!$C$69,MATCH(INDEX(Utility_Rates!$K$6:$K$17,MONTH(C4749))&amp;IF(WEEKDAY(C4749,Inputs!$C$76)&lt;=Inputs!$C$74," weekday"," weekend"),Utility_Rates!$C$28:$F$28,Inputs!$C$68)),"")</f>
      </c>
      <c r="H4749" s="34"/>
      <c r="I4749" s="42">
        <f>IF(AND(ISNUMBER(D4749),ISNUMBER(H4749)),D4749*H4749*Inputs!$C$69,"")</f>
      </c>
      <c r="J4749" s="42">
        <f>IF(AND(ISNUMBER(F4749),ISNUMBER(H4749),F4749&gt;=Inputs!$C$68),F4749*H4749*Inputs!$C$69,"")</f>
      </c>
    </row>
    <row r="4750" spans="2:10" ht="15" customHeight="1" x14ac:dyDescent="0.2">
      <c r="B4750" s="39">
        <f t="shared" si="36"/>
      </c>
      <c r="C4750" s="40">
        <f>IF(Inputs!$C$60,Inputs!$C$11+(B4750-Inputs!$C$69)/Inputs!$C$70,"")</f>
      </c>
      <c r="D4750" s="15"/>
      <c r="E4750" s="15"/>
      <c r="F4750" s="11">
        <f t="shared" si="37"/>
      </c>
      <c r="G4750" s="22" cm="1">
        <f t="array" ref="G4750">IF(AND(Inputs!$C$60,Inputs!$C$61),INDEX(Utility_Rates!$C$29:$F$52,HOUR(C4750)+Inputs!$C$69,MATCH(INDEX(Utility_Rates!$K$6:$K$17,MONTH(C4750))&amp;IF(WEEKDAY(C4750,Inputs!$C$76)&lt;=Inputs!$C$74," weekday"," weekend"),Utility_Rates!$C$28:$F$28,Inputs!$C$68)),"")</f>
      </c>
      <c r="H4750" s="34"/>
      <c r="I4750" s="42">
        <f>IF(AND(ISNUMBER(D4750),ISNUMBER(H4750)),D4750*H4750*Inputs!$C$69,"")</f>
      </c>
      <c r="J4750" s="42">
        <f>IF(AND(ISNUMBER(F4750),ISNUMBER(H4750),F4750&gt;=Inputs!$C$68),F4750*H4750*Inputs!$C$69,"")</f>
      </c>
    </row>
    <row r="4751" spans="2:10" ht="15" customHeight="1" x14ac:dyDescent="0.2">
      <c r="B4751" s="39">
        <f t="shared" si="36"/>
      </c>
      <c r="C4751" s="40">
        <f>IF(Inputs!$C$60,Inputs!$C$11+(B4751-Inputs!$C$69)/Inputs!$C$70,"")</f>
      </c>
      <c r="D4751" s="15"/>
      <c r="E4751" s="15"/>
      <c r="F4751" s="11">
        <f t="shared" si="37"/>
      </c>
      <c r="G4751" s="22" cm="1">
        <f t="array" ref="G4751">IF(AND(Inputs!$C$60,Inputs!$C$61),INDEX(Utility_Rates!$C$29:$F$52,HOUR(C4751)+Inputs!$C$69,MATCH(INDEX(Utility_Rates!$K$6:$K$17,MONTH(C4751))&amp;IF(WEEKDAY(C4751,Inputs!$C$76)&lt;=Inputs!$C$74," weekday"," weekend"),Utility_Rates!$C$28:$F$28,Inputs!$C$68)),"")</f>
      </c>
      <c r="H4751" s="34"/>
      <c r="I4751" s="42">
        <f>IF(AND(ISNUMBER(D4751),ISNUMBER(H4751)),D4751*H4751*Inputs!$C$69,"")</f>
      </c>
      <c r="J4751" s="42">
        <f>IF(AND(ISNUMBER(F4751),ISNUMBER(H4751),F4751&gt;=Inputs!$C$68),F4751*H4751*Inputs!$C$69,"")</f>
      </c>
    </row>
    <row r="4752" spans="2:10" ht="15" customHeight="1" x14ac:dyDescent="0.2">
      <c r="B4752" s="39">
        <f t="shared" si="36"/>
      </c>
      <c r="C4752" s="40">
        <f>IF(Inputs!$C$60,Inputs!$C$11+(B4752-Inputs!$C$69)/Inputs!$C$70,"")</f>
      </c>
      <c r="D4752" s="15"/>
      <c r="E4752" s="15"/>
      <c r="F4752" s="11">
        <f t="shared" si="37"/>
      </c>
      <c r="G4752" s="22" cm="1">
        <f t="array" ref="G4752">IF(AND(Inputs!$C$60,Inputs!$C$61),INDEX(Utility_Rates!$C$29:$F$52,HOUR(C4752)+Inputs!$C$69,MATCH(INDEX(Utility_Rates!$K$6:$K$17,MONTH(C4752))&amp;IF(WEEKDAY(C4752,Inputs!$C$76)&lt;=Inputs!$C$74," weekday"," weekend"),Utility_Rates!$C$28:$F$28,Inputs!$C$68)),"")</f>
      </c>
      <c r="H4752" s="34"/>
      <c r="I4752" s="42">
        <f>IF(AND(ISNUMBER(D4752),ISNUMBER(H4752)),D4752*H4752*Inputs!$C$69,"")</f>
      </c>
      <c r="J4752" s="42">
        <f>IF(AND(ISNUMBER(F4752),ISNUMBER(H4752),F4752&gt;=Inputs!$C$68),F4752*H4752*Inputs!$C$69,"")</f>
      </c>
    </row>
    <row r="4753" spans="2:10" ht="15" customHeight="1" x14ac:dyDescent="0.2">
      <c r="B4753" s="39">
        <f t="shared" si="36"/>
      </c>
      <c r="C4753" s="40">
        <f>IF(Inputs!$C$60,Inputs!$C$11+(B4753-Inputs!$C$69)/Inputs!$C$70,"")</f>
      </c>
      <c r="D4753" s="15"/>
      <c r="E4753" s="15"/>
      <c r="F4753" s="11">
        <f t="shared" si="37"/>
      </c>
      <c r="G4753" s="22" cm="1">
        <f t="array" ref="G4753">IF(AND(Inputs!$C$60,Inputs!$C$61),INDEX(Utility_Rates!$C$29:$F$52,HOUR(C4753)+Inputs!$C$69,MATCH(INDEX(Utility_Rates!$K$6:$K$17,MONTH(C4753))&amp;IF(WEEKDAY(C4753,Inputs!$C$76)&lt;=Inputs!$C$74," weekday"," weekend"),Utility_Rates!$C$28:$F$28,Inputs!$C$68)),"")</f>
      </c>
      <c r="H4753" s="34"/>
      <c r="I4753" s="42">
        <f>IF(AND(ISNUMBER(D4753),ISNUMBER(H4753)),D4753*H4753*Inputs!$C$69,"")</f>
      </c>
      <c r="J4753" s="42">
        <f>IF(AND(ISNUMBER(F4753),ISNUMBER(H4753),F4753&gt;=Inputs!$C$68),F4753*H4753*Inputs!$C$69,"")</f>
      </c>
    </row>
    <row r="4754" spans="2:10" ht="15" customHeight="1" x14ac:dyDescent="0.2">
      <c r="B4754" s="39">
        <f t="shared" si="36"/>
      </c>
      <c r="C4754" s="40">
        <f>IF(Inputs!$C$60,Inputs!$C$11+(B4754-Inputs!$C$69)/Inputs!$C$70,"")</f>
      </c>
      <c r="D4754" s="15"/>
      <c r="E4754" s="15"/>
      <c r="F4754" s="11">
        <f t="shared" si="37"/>
      </c>
      <c r="G4754" s="22" cm="1">
        <f t="array" ref="G4754">IF(AND(Inputs!$C$60,Inputs!$C$61),INDEX(Utility_Rates!$C$29:$F$52,HOUR(C4754)+Inputs!$C$69,MATCH(INDEX(Utility_Rates!$K$6:$K$17,MONTH(C4754))&amp;IF(WEEKDAY(C4754,Inputs!$C$76)&lt;=Inputs!$C$74," weekday"," weekend"),Utility_Rates!$C$28:$F$28,Inputs!$C$68)),"")</f>
      </c>
      <c r="H4754" s="34"/>
      <c r="I4754" s="42">
        <f>IF(AND(ISNUMBER(D4754),ISNUMBER(H4754)),D4754*H4754*Inputs!$C$69,"")</f>
      </c>
      <c r="J4754" s="42">
        <f>IF(AND(ISNUMBER(F4754),ISNUMBER(H4754),F4754&gt;=Inputs!$C$68),F4754*H4754*Inputs!$C$69,"")</f>
      </c>
    </row>
    <row r="4755" spans="2:10" ht="15" customHeight="1" x14ac:dyDescent="0.2">
      <c r="B4755" s="39">
        <f t="shared" si="36"/>
      </c>
      <c r="C4755" s="40">
        <f>IF(Inputs!$C$60,Inputs!$C$11+(B4755-Inputs!$C$69)/Inputs!$C$70,"")</f>
      </c>
      <c r="D4755" s="15"/>
      <c r="E4755" s="15"/>
      <c r="F4755" s="11">
        <f t="shared" si="37"/>
      </c>
      <c r="G4755" s="22" cm="1">
        <f t="array" ref="G4755">IF(AND(Inputs!$C$60,Inputs!$C$61),INDEX(Utility_Rates!$C$29:$F$52,HOUR(C4755)+Inputs!$C$69,MATCH(INDEX(Utility_Rates!$K$6:$K$17,MONTH(C4755))&amp;IF(WEEKDAY(C4755,Inputs!$C$76)&lt;=Inputs!$C$74," weekday"," weekend"),Utility_Rates!$C$28:$F$28,Inputs!$C$68)),"")</f>
      </c>
      <c r="H4755" s="34"/>
      <c r="I4755" s="42">
        <f>IF(AND(ISNUMBER(D4755),ISNUMBER(H4755)),D4755*H4755*Inputs!$C$69,"")</f>
      </c>
      <c r="J4755" s="42">
        <f>IF(AND(ISNUMBER(F4755),ISNUMBER(H4755),F4755&gt;=Inputs!$C$68),F4755*H4755*Inputs!$C$69,"")</f>
      </c>
    </row>
    <row r="4756" spans="2:10" ht="15" customHeight="1" x14ac:dyDescent="0.2">
      <c r="B4756" s="39">
        <f t="shared" si="36"/>
      </c>
      <c r="C4756" s="40">
        <f>IF(Inputs!$C$60,Inputs!$C$11+(B4756-Inputs!$C$69)/Inputs!$C$70,"")</f>
      </c>
      <c r="D4756" s="15"/>
      <c r="E4756" s="15"/>
      <c r="F4756" s="11">
        <f t="shared" si="37"/>
      </c>
      <c r="G4756" s="22" cm="1">
        <f t="array" ref="G4756">IF(AND(Inputs!$C$60,Inputs!$C$61),INDEX(Utility_Rates!$C$29:$F$52,HOUR(C4756)+Inputs!$C$69,MATCH(INDEX(Utility_Rates!$K$6:$K$17,MONTH(C4756))&amp;IF(WEEKDAY(C4756,Inputs!$C$76)&lt;=Inputs!$C$74," weekday"," weekend"),Utility_Rates!$C$28:$F$28,Inputs!$C$68)),"")</f>
      </c>
      <c r="H4756" s="34"/>
      <c r="I4756" s="42">
        <f>IF(AND(ISNUMBER(D4756),ISNUMBER(H4756)),D4756*H4756*Inputs!$C$69,"")</f>
      </c>
      <c r="J4756" s="42">
        <f>IF(AND(ISNUMBER(F4756),ISNUMBER(H4756),F4756&gt;=Inputs!$C$68),F4756*H4756*Inputs!$C$69,"")</f>
      </c>
    </row>
    <row r="4757" spans="2:10" ht="15" customHeight="1" x14ac:dyDescent="0.2">
      <c r="B4757" s="39">
        <f t="shared" si="36"/>
      </c>
      <c r="C4757" s="40">
        <f>IF(Inputs!$C$60,Inputs!$C$11+(B4757-Inputs!$C$69)/Inputs!$C$70,"")</f>
      </c>
      <c r="D4757" s="15"/>
      <c r="E4757" s="15"/>
      <c r="F4757" s="11">
        <f t="shared" si="37"/>
      </c>
      <c r="G4757" s="22" cm="1">
        <f t="array" ref="G4757">IF(AND(Inputs!$C$60,Inputs!$C$61),INDEX(Utility_Rates!$C$29:$F$52,HOUR(C4757)+Inputs!$C$69,MATCH(INDEX(Utility_Rates!$K$6:$K$17,MONTH(C4757))&amp;IF(WEEKDAY(C4757,Inputs!$C$76)&lt;=Inputs!$C$74," weekday"," weekend"),Utility_Rates!$C$28:$F$28,Inputs!$C$68)),"")</f>
      </c>
      <c r="H4757" s="34"/>
      <c r="I4757" s="42">
        <f>IF(AND(ISNUMBER(D4757),ISNUMBER(H4757)),D4757*H4757*Inputs!$C$69,"")</f>
      </c>
      <c r="J4757" s="42">
        <f>IF(AND(ISNUMBER(F4757),ISNUMBER(H4757),F4757&gt;=Inputs!$C$68),F4757*H4757*Inputs!$C$69,"")</f>
      </c>
    </row>
    <row r="4758" spans="2:10" ht="15" customHeight="1" x14ac:dyDescent="0.2">
      <c r="B4758" s="39">
        <f t="shared" si="36"/>
      </c>
      <c r="C4758" s="40">
        <f>IF(Inputs!$C$60,Inputs!$C$11+(B4758-Inputs!$C$69)/Inputs!$C$70,"")</f>
      </c>
      <c r="D4758" s="15"/>
      <c r="E4758" s="15"/>
      <c r="F4758" s="11">
        <f t="shared" si="37"/>
      </c>
      <c r="G4758" s="22" cm="1">
        <f t="array" ref="G4758">IF(AND(Inputs!$C$60,Inputs!$C$61),INDEX(Utility_Rates!$C$29:$F$52,HOUR(C4758)+Inputs!$C$69,MATCH(INDEX(Utility_Rates!$K$6:$K$17,MONTH(C4758))&amp;IF(WEEKDAY(C4758,Inputs!$C$76)&lt;=Inputs!$C$74," weekday"," weekend"),Utility_Rates!$C$28:$F$28,Inputs!$C$68)),"")</f>
      </c>
      <c r="H4758" s="34"/>
      <c r="I4758" s="42">
        <f>IF(AND(ISNUMBER(D4758),ISNUMBER(H4758)),D4758*H4758*Inputs!$C$69,"")</f>
      </c>
      <c r="J4758" s="42">
        <f>IF(AND(ISNUMBER(F4758),ISNUMBER(H4758),F4758&gt;=Inputs!$C$68),F4758*H4758*Inputs!$C$69,"")</f>
      </c>
    </row>
    <row r="4759" spans="2:10" ht="15" customHeight="1" x14ac:dyDescent="0.2">
      <c r="B4759" s="39">
        <f t="shared" si="36"/>
      </c>
      <c r="C4759" s="40">
        <f>IF(Inputs!$C$60,Inputs!$C$11+(B4759-Inputs!$C$69)/Inputs!$C$70,"")</f>
      </c>
      <c r="D4759" s="15"/>
      <c r="E4759" s="15"/>
      <c r="F4759" s="11">
        <f t="shared" si="37"/>
      </c>
      <c r="G4759" s="22" cm="1">
        <f t="array" ref="G4759">IF(AND(Inputs!$C$60,Inputs!$C$61),INDEX(Utility_Rates!$C$29:$F$52,HOUR(C4759)+Inputs!$C$69,MATCH(INDEX(Utility_Rates!$K$6:$K$17,MONTH(C4759))&amp;IF(WEEKDAY(C4759,Inputs!$C$76)&lt;=Inputs!$C$74," weekday"," weekend"),Utility_Rates!$C$28:$F$28,Inputs!$C$68)),"")</f>
      </c>
      <c r="H4759" s="34"/>
      <c r="I4759" s="42">
        <f>IF(AND(ISNUMBER(D4759),ISNUMBER(H4759)),D4759*H4759*Inputs!$C$69,"")</f>
      </c>
      <c r="J4759" s="42">
        <f>IF(AND(ISNUMBER(F4759),ISNUMBER(H4759),F4759&gt;=Inputs!$C$68),F4759*H4759*Inputs!$C$69,"")</f>
      </c>
    </row>
    <row r="4760" spans="2:10" ht="15" customHeight="1" x14ac:dyDescent="0.2">
      <c r="B4760" s="39">
        <f t="shared" si="36"/>
      </c>
      <c r="C4760" s="40">
        <f>IF(Inputs!$C$60,Inputs!$C$11+(B4760-Inputs!$C$69)/Inputs!$C$70,"")</f>
      </c>
      <c r="D4760" s="15"/>
      <c r="E4760" s="15"/>
      <c r="F4760" s="11">
        <f t="shared" si="37"/>
      </c>
      <c r="G4760" s="22" cm="1">
        <f t="array" ref="G4760">IF(AND(Inputs!$C$60,Inputs!$C$61),INDEX(Utility_Rates!$C$29:$F$52,HOUR(C4760)+Inputs!$C$69,MATCH(INDEX(Utility_Rates!$K$6:$K$17,MONTH(C4760))&amp;IF(WEEKDAY(C4760,Inputs!$C$76)&lt;=Inputs!$C$74," weekday"," weekend"),Utility_Rates!$C$28:$F$28,Inputs!$C$68)),"")</f>
      </c>
      <c r="H4760" s="34"/>
      <c r="I4760" s="42">
        <f>IF(AND(ISNUMBER(D4760),ISNUMBER(H4760)),D4760*H4760*Inputs!$C$69,"")</f>
      </c>
      <c r="J4760" s="42">
        <f>IF(AND(ISNUMBER(F4760),ISNUMBER(H4760),F4760&gt;=Inputs!$C$68),F4760*H4760*Inputs!$C$69,"")</f>
      </c>
    </row>
    <row r="4761" spans="2:10" ht="15" customHeight="1" x14ac:dyDescent="0.2">
      <c r="B4761" s="39">
        <f t="shared" si="36"/>
      </c>
      <c r="C4761" s="40">
        <f>IF(Inputs!$C$60,Inputs!$C$11+(B4761-Inputs!$C$69)/Inputs!$C$70,"")</f>
      </c>
      <c r="D4761" s="15"/>
      <c r="E4761" s="15"/>
      <c r="F4761" s="11">
        <f t="shared" si="37"/>
      </c>
      <c r="G4761" s="22" cm="1">
        <f t="array" ref="G4761">IF(AND(Inputs!$C$60,Inputs!$C$61),INDEX(Utility_Rates!$C$29:$F$52,HOUR(C4761)+Inputs!$C$69,MATCH(INDEX(Utility_Rates!$K$6:$K$17,MONTH(C4761))&amp;IF(WEEKDAY(C4761,Inputs!$C$76)&lt;=Inputs!$C$74," weekday"," weekend"),Utility_Rates!$C$28:$F$28,Inputs!$C$68)),"")</f>
      </c>
      <c r="H4761" s="34"/>
      <c r="I4761" s="42">
        <f>IF(AND(ISNUMBER(D4761),ISNUMBER(H4761)),D4761*H4761*Inputs!$C$69,"")</f>
      </c>
      <c r="J4761" s="42">
        <f>IF(AND(ISNUMBER(F4761),ISNUMBER(H4761),F4761&gt;=Inputs!$C$68),F4761*H4761*Inputs!$C$69,"")</f>
      </c>
    </row>
    <row r="4762" spans="2:10" ht="15" customHeight="1" x14ac:dyDescent="0.2">
      <c r="B4762" s="39">
        <f t="shared" si="36"/>
      </c>
      <c r="C4762" s="40">
        <f>IF(Inputs!$C$60,Inputs!$C$11+(B4762-Inputs!$C$69)/Inputs!$C$70,"")</f>
      </c>
      <c r="D4762" s="15"/>
      <c r="E4762" s="15"/>
      <c r="F4762" s="11">
        <f t="shared" si="37"/>
      </c>
      <c r="G4762" s="22" cm="1">
        <f t="array" ref="G4762">IF(AND(Inputs!$C$60,Inputs!$C$61),INDEX(Utility_Rates!$C$29:$F$52,HOUR(C4762)+Inputs!$C$69,MATCH(INDEX(Utility_Rates!$K$6:$K$17,MONTH(C4762))&amp;IF(WEEKDAY(C4762,Inputs!$C$76)&lt;=Inputs!$C$74," weekday"," weekend"),Utility_Rates!$C$28:$F$28,Inputs!$C$68)),"")</f>
      </c>
      <c r="H4762" s="34"/>
      <c r="I4762" s="42">
        <f>IF(AND(ISNUMBER(D4762),ISNUMBER(H4762)),D4762*H4762*Inputs!$C$69,"")</f>
      </c>
      <c r="J4762" s="42">
        <f>IF(AND(ISNUMBER(F4762),ISNUMBER(H4762),F4762&gt;=Inputs!$C$68),F4762*H4762*Inputs!$C$69,"")</f>
      </c>
    </row>
    <row r="4763" spans="2:10" ht="15" customHeight="1" x14ac:dyDescent="0.2">
      <c r="B4763" s="39">
        <f t="shared" si="36"/>
      </c>
      <c r="C4763" s="40">
        <f>IF(Inputs!$C$60,Inputs!$C$11+(B4763-Inputs!$C$69)/Inputs!$C$70,"")</f>
      </c>
      <c r="D4763" s="15"/>
      <c r="E4763" s="15"/>
      <c r="F4763" s="11">
        <f t="shared" si="37"/>
      </c>
      <c r="G4763" s="22" cm="1">
        <f t="array" ref="G4763">IF(AND(Inputs!$C$60,Inputs!$C$61),INDEX(Utility_Rates!$C$29:$F$52,HOUR(C4763)+Inputs!$C$69,MATCH(INDEX(Utility_Rates!$K$6:$K$17,MONTH(C4763))&amp;IF(WEEKDAY(C4763,Inputs!$C$76)&lt;=Inputs!$C$74," weekday"," weekend"),Utility_Rates!$C$28:$F$28,Inputs!$C$68)),"")</f>
      </c>
      <c r="H4763" s="34"/>
      <c r="I4763" s="42">
        <f>IF(AND(ISNUMBER(D4763),ISNUMBER(H4763)),D4763*H4763*Inputs!$C$69,"")</f>
      </c>
      <c r="J4763" s="42">
        <f>IF(AND(ISNUMBER(F4763),ISNUMBER(H4763),F4763&gt;=Inputs!$C$68),F4763*H4763*Inputs!$C$69,"")</f>
      </c>
    </row>
    <row r="4764" spans="2:10" ht="15" customHeight="1" x14ac:dyDescent="0.2">
      <c r="B4764" s="39">
        <f t="shared" si="36"/>
      </c>
      <c r="C4764" s="40">
        <f>IF(Inputs!$C$60,Inputs!$C$11+(B4764-Inputs!$C$69)/Inputs!$C$70,"")</f>
      </c>
      <c r="D4764" s="15"/>
      <c r="E4764" s="15"/>
      <c r="F4764" s="11">
        <f t="shared" si="37"/>
      </c>
      <c r="G4764" s="22" cm="1">
        <f t="array" ref="G4764">IF(AND(Inputs!$C$60,Inputs!$C$61),INDEX(Utility_Rates!$C$29:$F$52,HOUR(C4764)+Inputs!$C$69,MATCH(INDEX(Utility_Rates!$K$6:$K$17,MONTH(C4764))&amp;IF(WEEKDAY(C4764,Inputs!$C$76)&lt;=Inputs!$C$74," weekday"," weekend"),Utility_Rates!$C$28:$F$28,Inputs!$C$68)),"")</f>
      </c>
      <c r="H4764" s="34"/>
      <c r="I4764" s="42">
        <f>IF(AND(ISNUMBER(D4764),ISNUMBER(H4764)),D4764*H4764*Inputs!$C$69,"")</f>
      </c>
      <c r="J4764" s="42">
        <f>IF(AND(ISNUMBER(F4764),ISNUMBER(H4764),F4764&gt;=Inputs!$C$68),F4764*H4764*Inputs!$C$69,"")</f>
      </c>
    </row>
    <row r="4765" spans="2:10" ht="15" customHeight="1" x14ac:dyDescent="0.2">
      <c r="B4765" s="39">
        <f t="shared" si="36"/>
      </c>
      <c r="C4765" s="40">
        <f>IF(Inputs!$C$60,Inputs!$C$11+(B4765-Inputs!$C$69)/Inputs!$C$70,"")</f>
      </c>
      <c r="D4765" s="15"/>
      <c r="E4765" s="15"/>
      <c r="F4765" s="11">
        <f t="shared" si="37"/>
      </c>
      <c r="G4765" s="22" cm="1">
        <f t="array" ref="G4765">IF(AND(Inputs!$C$60,Inputs!$C$61),INDEX(Utility_Rates!$C$29:$F$52,HOUR(C4765)+Inputs!$C$69,MATCH(INDEX(Utility_Rates!$K$6:$K$17,MONTH(C4765))&amp;IF(WEEKDAY(C4765,Inputs!$C$76)&lt;=Inputs!$C$74," weekday"," weekend"),Utility_Rates!$C$28:$F$28,Inputs!$C$68)),"")</f>
      </c>
      <c r="H4765" s="34"/>
      <c r="I4765" s="42">
        <f>IF(AND(ISNUMBER(D4765),ISNUMBER(H4765)),D4765*H4765*Inputs!$C$69,"")</f>
      </c>
      <c r="J4765" s="42">
        <f>IF(AND(ISNUMBER(F4765),ISNUMBER(H4765),F4765&gt;=Inputs!$C$68),F4765*H4765*Inputs!$C$69,"")</f>
      </c>
    </row>
    <row r="4766" spans="2:10" ht="15" customHeight="1" x14ac:dyDescent="0.2">
      <c r="B4766" s="39">
        <f t="shared" si="36"/>
      </c>
      <c r="C4766" s="40">
        <f>IF(Inputs!$C$60,Inputs!$C$11+(B4766-Inputs!$C$69)/Inputs!$C$70,"")</f>
      </c>
      <c r="D4766" s="15"/>
      <c r="E4766" s="15"/>
      <c r="F4766" s="11">
        <f t="shared" si="37"/>
      </c>
      <c r="G4766" s="22" cm="1">
        <f t="array" ref="G4766">IF(AND(Inputs!$C$60,Inputs!$C$61),INDEX(Utility_Rates!$C$29:$F$52,HOUR(C4766)+Inputs!$C$69,MATCH(INDEX(Utility_Rates!$K$6:$K$17,MONTH(C4766))&amp;IF(WEEKDAY(C4766,Inputs!$C$76)&lt;=Inputs!$C$74," weekday"," weekend"),Utility_Rates!$C$28:$F$28,Inputs!$C$68)),"")</f>
      </c>
      <c r="H4766" s="34"/>
      <c r="I4766" s="42">
        <f>IF(AND(ISNUMBER(D4766),ISNUMBER(H4766)),D4766*H4766*Inputs!$C$69,"")</f>
      </c>
      <c r="J4766" s="42">
        <f>IF(AND(ISNUMBER(F4766),ISNUMBER(H4766),F4766&gt;=Inputs!$C$68),F4766*H4766*Inputs!$C$69,"")</f>
      </c>
    </row>
    <row r="4767" spans="2:10" ht="15" customHeight="1" x14ac:dyDescent="0.2">
      <c r="B4767" s="39">
        <f t="shared" si="36"/>
      </c>
      <c r="C4767" s="40">
        <f>IF(Inputs!$C$60,Inputs!$C$11+(B4767-Inputs!$C$69)/Inputs!$C$70,"")</f>
      </c>
      <c r="D4767" s="15"/>
      <c r="E4767" s="15"/>
      <c r="F4767" s="11">
        <f t="shared" si="37"/>
      </c>
      <c r="G4767" s="22" cm="1">
        <f t="array" ref="G4767">IF(AND(Inputs!$C$60,Inputs!$C$61),INDEX(Utility_Rates!$C$29:$F$52,HOUR(C4767)+Inputs!$C$69,MATCH(INDEX(Utility_Rates!$K$6:$K$17,MONTH(C4767))&amp;IF(WEEKDAY(C4767,Inputs!$C$76)&lt;=Inputs!$C$74," weekday"," weekend"),Utility_Rates!$C$28:$F$28,Inputs!$C$68)),"")</f>
      </c>
      <c r="H4767" s="34"/>
      <c r="I4767" s="42">
        <f>IF(AND(ISNUMBER(D4767),ISNUMBER(H4767)),D4767*H4767*Inputs!$C$69,"")</f>
      </c>
      <c r="J4767" s="42">
        <f>IF(AND(ISNUMBER(F4767),ISNUMBER(H4767),F4767&gt;=Inputs!$C$68),F4767*H4767*Inputs!$C$69,"")</f>
      </c>
    </row>
    <row r="4768" spans="2:10" ht="15" customHeight="1" x14ac:dyDescent="0.2">
      <c r="B4768" s="39">
        <f t="shared" si="36"/>
      </c>
      <c r="C4768" s="40">
        <f>IF(Inputs!$C$60,Inputs!$C$11+(B4768-Inputs!$C$69)/Inputs!$C$70,"")</f>
      </c>
      <c r="D4768" s="15"/>
      <c r="E4768" s="15"/>
      <c r="F4768" s="11">
        <f t="shared" si="37"/>
      </c>
      <c r="G4768" s="22" cm="1">
        <f t="array" ref="G4768">IF(AND(Inputs!$C$60,Inputs!$C$61),INDEX(Utility_Rates!$C$29:$F$52,HOUR(C4768)+Inputs!$C$69,MATCH(INDEX(Utility_Rates!$K$6:$K$17,MONTH(C4768))&amp;IF(WEEKDAY(C4768,Inputs!$C$76)&lt;=Inputs!$C$74," weekday"," weekend"),Utility_Rates!$C$28:$F$28,Inputs!$C$68)),"")</f>
      </c>
      <c r="H4768" s="34"/>
      <c r="I4768" s="42">
        <f>IF(AND(ISNUMBER(D4768),ISNUMBER(H4768)),D4768*H4768*Inputs!$C$69,"")</f>
      </c>
      <c r="J4768" s="42">
        <f>IF(AND(ISNUMBER(F4768),ISNUMBER(H4768),F4768&gt;=Inputs!$C$68),F4768*H4768*Inputs!$C$69,"")</f>
      </c>
    </row>
    <row r="4769" spans="2:10" ht="15" customHeight="1" x14ac:dyDescent="0.2">
      <c r="B4769" s="39">
        <f t="shared" si="36"/>
      </c>
      <c r="C4769" s="40">
        <f>IF(Inputs!$C$60,Inputs!$C$11+(B4769-Inputs!$C$69)/Inputs!$C$70,"")</f>
      </c>
      <c r="D4769" s="15"/>
      <c r="E4769" s="15"/>
      <c r="F4769" s="11">
        <f t="shared" si="37"/>
      </c>
      <c r="G4769" s="22" cm="1">
        <f t="array" ref="G4769">IF(AND(Inputs!$C$60,Inputs!$C$61),INDEX(Utility_Rates!$C$29:$F$52,HOUR(C4769)+Inputs!$C$69,MATCH(INDEX(Utility_Rates!$K$6:$K$17,MONTH(C4769))&amp;IF(WEEKDAY(C4769,Inputs!$C$76)&lt;=Inputs!$C$74," weekday"," weekend"),Utility_Rates!$C$28:$F$28,Inputs!$C$68)),"")</f>
      </c>
      <c r="H4769" s="34"/>
      <c r="I4769" s="42">
        <f>IF(AND(ISNUMBER(D4769),ISNUMBER(H4769)),D4769*H4769*Inputs!$C$69,"")</f>
      </c>
      <c r="J4769" s="42">
        <f>IF(AND(ISNUMBER(F4769),ISNUMBER(H4769),F4769&gt;=Inputs!$C$68),F4769*H4769*Inputs!$C$69,"")</f>
      </c>
    </row>
    <row r="4770" spans="2:10" ht="15" customHeight="1" x14ac:dyDescent="0.2">
      <c r="B4770" s="39">
        <f t="shared" si="36"/>
      </c>
      <c r="C4770" s="40">
        <f>IF(Inputs!$C$60,Inputs!$C$11+(B4770-Inputs!$C$69)/Inputs!$C$70,"")</f>
      </c>
      <c r="D4770" s="15"/>
      <c r="E4770" s="15"/>
      <c r="F4770" s="11">
        <f t="shared" si="37"/>
      </c>
      <c r="G4770" s="22" cm="1">
        <f t="array" ref="G4770">IF(AND(Inputs!$C$60,Inputs!$C$61),INDEX(Utility_Rates!$C$29:$F$52,HOUR(C4770)+Inputs!$C$69,MATCH(INDEX(Utility_Rates!$K$6:$K$17,MONTH(C4770))&amp;IF(WEEKDAY(C4770,Inputs!$C$76)&lt;=Inputs!$C$74," weekday"," weekend"),Utility_Rates!$C$28:$F$28,Inputs!$C$68)),"")</f>
      </c>
      <c r="H4770" s="34"/>
      <c r="I4770" s="42">
        <f>IF(AND(ISNUMBER(D4770),ISNUMBER(H4770)),D4770*H4770*Inputs!$C$69,"")</f>
      </c>
      <c r="J4770" s="42">
        <f>IF(AND(ISNUMBER(F4770),ISNUMBER(H4770),F4770&gt;=Inputs!$C$68),F4770*H4770*Inputs!$C$69,"")</f>
      </c>
    </row>
    <row r="4771" spans="2:10" ht="15" customHeight="1" x14ac:dyDescent="0.2">
      <c r="B4771" s="39">
        <f t="shared" si="36"/>
      </c>
      <c r="C4771" s="40">
        <f>IF(Inputs!$C$60,Inputs!$C$11+(B4771-Inputs!$C$69)/Inputs!$C$70,"")</f>
      </c>
      <c r="D4771" s="15"/>
      <c r="E4771" s="15"/>
      <c r="F4771" s="11">
        <f t="shared" si="37"/>
      </c>
      <c r="G4771" s="22" cm="1">
        <f t="array" ref="G4771">IF(AND(Inputs!$C$60,Inputs!$C$61),INDEX(Utility_Rates!$C$29:$F$52,HOUR(C4771)+Inputs!$C$69,MATCH(INDEX(Utility_Rates!$K$6:$K$17,MONTH(C4771))&amp;IF(WEEKDAY(C4771,Inputs!$C$76)&lt;=Inputs!$C$74," weekday"," weekend"),Utility_Rates!$C$28:$F$28,Inputs!$C$68)),"")</f>
      </c>
      <c r="H4771" s="34"/>
      <c r="I4771" s="42">
        <f>IF(AND(ISNUMBER(D4771),ISNUMBER(H4771)),D4771*H4771*Inputs!$C$69,"")</f>
      </c>
      <c r="J4771" s="42">
        <f>IF(AND(ISNUMBER(F4771),ISNUMBER(H4771),F4771&gt;=Inputs!$C$68),F4771*H4771*Inputs!$C$69,"")</f>
      </c>
    </row>
    <row r="4772" spans="2:10" ht="15" customHeight="1" x14ac:dyDescent="0.2">
      <c r="B4772" s="39">
        <f t="shared" si="36"/>
      </c>
      <c r="C4772" s="40">
        <f>IF(Inputs!$C$60,Inputs!$C$11+(B4772-Inputs!$C$69)/Inputs!$C$70,"")</f>
      </c>
      <c r="D4772" s="15"/>
      <c r="E4772" s="15"/>
      <c r="F4772" s="11">
        <f t="shared" si="37"/>
      </c>
      <c r="G4772" s="22" cm="1">
        <f t="array" ref="G4772">IF(AND(Inputs!$C$60,Inputs!$C$61),INDEX(Utility_Rates!$C$29:$F$52,HOUR(C4772)+Inputs!$C$69,MATCH(INDEX(Utility_Rates!$K$6:$K$17,MONTH(C4772))&amp;IF(WEEKDAY(C4772,Inputs!$C$76)&lt;=Inputs!$C$74," weekday"," weekend"),Utility_Rates!$C$28:$F$28,Inputs!$C$68)),"")</f>
      </c>
      <c r="H4772" s="34"/>
      <c r="I4772" s="42">
        <f>IF(AND(ISNUMBER(D4772),ISNUMBER(H4772)),D4772*H4772*Inputs!$C$69,"")</f>
      </c>
      <c r="J4772" s="42">
        <f>IF(AND(ISNUMBER(F4772),ISNUMBER(H4772),F4772&gt;=Inputs!$C$68),F4772*H4772*Inputs!$C$69,"")</f>
      </c>
    </row>
    <row r="4773" spans="2:10" ht="15" customHeight="1" x14ac:dyDescent="0.2">
      <c r="B4773" s="39">
        <f t="shared" si="36"/>
      </c>
      <c r="C4773" s="40">
        <f>IF(Inputs!$C$60,Inputs!$C$11+(B4773-Inputs!$C$69)/Inputs!$C$70,"")</f>
      </c>
      <c r="D4773" s="15"/>
      <c r="E4773" s="15"/>
      <c r="F4773" s="11">
        <f t="shared" si="37"/>
      </c>
      <c r="G4773" s="22" cm="1">
        <f t="array" ref="G4773">IF(AND(Inputs!$C$60,Inputs!$C$61),INDEX(Utility_Rates!$C$29:$F$52,HOUR(C4773)+Inputs!$C$69,MATCH(INDEX(Utility_Rates!$K$6:$K$17,MONTH(C4773))&amp;IF(WEEKDAY(C4773,Inputs!$C$76)&lt;=Inputs!$C$74," weekday"," weekend"),Utility_Rates!$C$28:$F$28,Inputs!$C$68)),"")</f>
      </c>
      <c r="H4773" s="34"/>
      <c r="I4773" s="42">
        <f>IF(AND(ISNUMBER(D4773),ISNUMBER(H4773)),D4773*H4773*Inputs!$C$69,"")</f>
      </c>
      <c r="J4773" s="42">
        <f>IF(AND(ISNUMBER(F4773),ISNUMBER(H4773),F4773&gt;=Inputs!$C$68),F4773*H4773*Inputs!$C$69,"")</f>
      </c>
    </row>
    <row r="4774" spans="2:10" ht="15" customHeight="1" x14ac:dyDescent="0.2">
      <c r="B4774" s="39">
        <f t="shared" si="36"/>
      </c>
      <c r="C4774" s="40">
        <f>IF(Inputs!$C$60,Inputs!$C$11+(B4774-Inputs!$C$69)/Inputs!$C$70,"")</f>
      </c>
      <c r="D4774" s="15"/>
      <c r="E4774" s="15"/>
      <c r="F4774" s="11">
        <f t="shared" si="37"/>
      </c>
      <c r="G4774" s="22" cm="1">
        <f t="array" ref="G4774">IF(AND(Inputs!$C$60,Inputs!$C$61),INDEX(Utility_Rates!$C$29:$F$52,HOUR(C4774)+Inputs!$C$69,MATCH(INDEX(Utility_Rates!$K$6:$K$17,MONTH(C4774))&amp;IF(WEEKDAY(C4774,Inputs!$C$76)&lt;=Inputs!$C$74," weekday"," weekend"),Utility_Rates!$C$28:$F$28,Inputs!$C$68)),"")</f>
      </c>
      <c r="H4774" s="34"/>
      <c r="I4774" s="42">
        <f>IF(AND(ISNUMBER(D4774),ISNUMBER(H4774)),D4774*H4774*Inputs!$C$69,"")</f>
      </c>
      <c r="J4774" s="42">
        <f>IF(AND(ISNUMBER(F4774),ISNUMBER(H4774),F4774&gt;=Inputs!$C$68),F4774*H4774*Inputs!$C$69,"")</f>
      </c>
    </row>
    <row r="4775" spans="2:10" ht="15" customHeight="1" x14ac:dyDescent="0.2">
      <c r="B4775" s="39">
        <f t="shared" si="36"/>
      </c>
      <c r="C4775" s="40">
        <f>IF(Inputs!$C$60,Inputs!$C$11+(B4775-Inputs!$C$69)/Inputs!$C$70,"")</f>
      </c>
      <c r="D4775" s="15"/>
      <c r="E4775" s="15"/>
      <c r="F4775" s="11">
        <f t="shared" si="37"/>
      </c>
      <c r="G4775" s="22" cm="1">
        <f t="array" ref="G4775">IF(AND(Inputs!$C$60,Inputs!$C$61),INDEX(Utility_Rates!$C$29:$F$52,HOUR(C4775)+Inputs!$C$69,MATCH(INDEX(Utility_Rates!$K$6:$K$17,MONTH(C4775))&amp;IF(WEEKDAY(C4775,Inputs!$C$76)&lt;=Inputs!$C$74," weekday"," weekend"),Utility_Rates!$C$28:$F$28,Inputs!$C$68)),"")</f>
      </c>
      <c r="H4775" s="34"/>
      <c r="I4775" s="42">
        <f>IF(AND(ISNUMBER(D4775),ISNUMBER(H4775)),D4775*H4775*Inputs!$C$69,"")</f>
      </c>
      <c r="J4775" s="42">
        <f>IF(AND(ISNUMBER(F4775),ISNUMBER(H4775),F4775&gt;=Inputs!$C$68),F4775*H4775*Inputs!$C$69,"")</f>
      </c>
    </row>
    <row r="4776" spans="2:10" ht="15" customHeight="1" x14ac:dyDescent="0.2">
      <c r="B4776" s="39">
        <f t="shared" si="36"/>
      </c>
      <c r="C4776" s="40">
        <f>IF(Inputs!$C$60,Inputs!$C$11+(B4776-Inputs!$C$69)/Inputs!$C$70,"")</f>
      </c>
      <c r="D4776" s="15"/>
      <c r="E4776" s="15"/>
      <c r="F4776" s="11">
        <f t="shared" si="37"/>
      </c>
      <c r="G4776" s="22" cm="1">
        <f t="array" ref="G4776">IF(AND(Inputs!$C$60,Inputs!$C$61),INDEX(Utility_Rates!$C$29:$F$52,HOUR(C4776)+Inputs!$C$69,MATCH(INDEX(Utility_Rates!$K$6:$K$17,MONTH(C4776))&amp;IF(WEEKDAY(C4776,Inputs!$C$76)&lt;=Inputs!$C$74," weekday"," weekend"),Utility_Rates!$C$28:$F$28,Inputs!$C$68)),"")</f>
      </c>
      <c r="H4776" s="34"/>
      <c r="I4776" s="42">
        <f>IF(AND(ISNUMBER(D4776),ISNUMBER(H4776)),D4776*H4776*Inputs!$C$69,"")</f>
      </c>
      <c r="J4776" s="42">
        <f>IF(AND(ISNUMBER(F4776),ISNUMBER(H4776),F4776&gt;=Inputs!$C$68),F4776*H4776*Inputs!$C$69,"")</f>
      </c>
    </row>
    <row r="4777" spans="2:10" ht="15" customHeight="1" x14ac:dyDescent="0.2">
      <c r="B4777" s="39">
        <f t="shared" si="36"/>
      </c>
      <c r="C4777" s="40">
        <f>IF(Inputs!$C$60,Inputs!$C$11+(B4777-Inputs!$C$69)/Inputs!$C$70,"")</f>
      </c>
      <c r="D4777" s="15"/>
      <c r="E4777" s="15"/>
      <c r="F4777" s="11">
        <f t="shared" si="37"/>
      </c>
      <c r="G4777" s="22" cm="1">
        <f t="array" ref="G4777">IF(AND(Inputs!$C$60,Inputs!$C$61),INDEX(Utility_Rates!$C$29:$F$52,HOUR(C4777)+Inputs!$C$69,MATCH(INDEX(Utility_Rates!$K$6:$K$17,MONTH(C4777))&amp;IF(WEEKDAY(C4777,Inputs!$C$76)&lt;=Inputs!$C$74," weekday"," weekend"),Utility_Rates!$C$28:$F$28,Inputs!$C$68)),"")</f>
      </c>
      <c r="H4777" s="34"/>
      <c r="I4777" s="42">
        <f>IF(AND(ISNUMBER(D4777),ISNUMBER(H4777)),D4777*H4777*Inputs!$C$69,"")</f>
      </c>
      <c r="J4777" s="42">
        <f>IF(AND(ISNUMBER(F4777),ISNUMBER(H4777),F4777&gt;=Inputs!$C$68),F4777*H4777*Inputs!$C$69,"")</f>
      </c>
    </row>
    <row r="4778" spans="2:10" ht="15" customHeight="1" x14ac:dyDescent="0.2">
      <c r="B4778" s="39">
        <f t="shared" si="36"/>
      </c>
      <c r="C4778" s="40">
        <f>IF(Inputs!$C$60,Inputs!$C$11+(B4778-Inputs!$C$69)/Inputs!$C$70,"")</f>
      </c>
      <c r="D4778" s="15"/>
      <c r="E4778" s="15"/>
      <c r="F4778" s="11">
        <f t="shared" si="37"/>
      </c>
      <c r="G4778" s="22" cm="1">
        <f t="array" ref="G4778">IF(AND(Inputs!$C$60,Inputs!$C$61),INDEX(Utility_Rates!$C$29:$F$52,HOUR(C4778)+Inputs!$C$69,MATCH(INDEX(Utility_Rates!$K$6:$K$17,MONTH(C4778))&amp;IF(WEEKDAY(C4778,Inputs!$C$76)&lt;=Inputs!$C$74," weekday"," weekend"),Utility_Rates!$C$28:$F$28,Inputs!$C$68)),"")</f>
      </c>
      <c r="H4778" s="34"/>
      <c r="I4778" s="42">
        <f>IF(AND(ISNUMBER(D4778),ISNUMBER(H4778)),D4778*H4778*Inputs!$C$69,"")</f>
      </c>
      <c r="J4778" s="42">
        <f>IF(AND(ISNUMBER(F4778),ISNUMBER(H4778),F4778&gt;=Inputs!$C$68),F4778*H4778*Inputs!$C$69,"")</f>
      </c>
    </row>
    <row r="4779" spans="2:10" ht="15" customHeight="1" x14ac:dyDescent="0.2">
      <c r="B4779" s="39">
        <f t="shared" si="36"/>
      </c>
      <c r="C4779" s="40">
        <f>IF(Inputs!$C$60,Inputs!$C$11+(B4779-Inputs!$C$69)/Inputs!$C$70,"")</f>
      </c>
      <c r="D4779" s="15"/>
      <c r="E4779" s="15"/>
      <c r="F4779" s="11">
        <f t="shared" si="37"/>
      </c>
      <c r="G4779" s="22" cm="1">
        <f t="array" ref="G4779">IF(AND(Inputs!$C$60,Inputs!$C$61),INDEX(Utility_Rates!$C$29:$F$52,HOUR(C4779)+Inputs!$C$69,MATCH(INDEX(Utility_Rates!$K$6:$K$17,MONTH(C4779))&amp;IF(WEEKDAY(C4779,Inputs!$C$76)&lt;=Inputs!$C$74," weekday"," weekend"),Utility_Rates!$C$28:$F$28,Inputs!$C$68)),"")</f>
      </c>
      <c r="H4779" s="34"/>
      <c r="I4779" s="42">
        <f>IF(AND(ISNUMBER(D4779),ISNUMBER(H4779)),D4779*H4779*Inputs!$C$69,"")</f>
      </c>
      <c r="J4779" s="42">
        <f>IF(AND(ISNUMBER(F4779),ISNUMBER(H4779),F4779&gt;=Inputs!$C$68),F4779*H4779*Inputs!$C$69,"")</f>
      </c>
    </row>
    <row r="4780" spans="2:10" ht="15" customHeight="1" x14ac:dyDescent="0.2">
      <c r="B4780" s="39">
        <f t="shared" si="36"/>
      </c>
      <c r="C4780" s="40">
        <f>IF(Inputs!$C$60,Inputs!$C$11+(B4780-Inputs!$C$69)/Inputs!$C$70,"")</f>
      </c>
      <c r="D4780" s="15"/>
      <c r="E4780" s="15"/>
      <c r="F4780" s="11">
        <f t="shared" si="37"/>
      </c>
      <c r="G4780" s="22" cm="1">
        <f t="array" ref="G4780">IF(AND(Inputs!$C$60,Inputs!$C$61),INDEX(Utility_Rates!$C$29:$F$52,HOUR(C4780)+Inputs!$C$69,MATCH(INDEX(Utility_Rates!$K$6:$K$17,MONTH(C4780))&amp;IF(WEEKDAY(C4780,Inputs!$C$76)&lt;=Inputs!$C$74," weekday"," weekend"),Utility_Rates!$C$28:$F$28,Inputs!$C$68)),"")</f>
      </c>
      <c r="H4780" s="34"/>
      <c r="I4780" s="42">
        <f>IF(AND(ISNUMBER(D4780),ISNUMBER(H4780)),D4780*H4780*Inputs!$C$69,"")</f>
      </c>
      <c r="J4780" s="42">
        <f>IF(AND(ISNUMBER(F4780),ISNUMBER(H4780),F4780&gt;=Inputs!$C$68),F4780*H4780*Inputs!$C$69,"")</f>
      </c>
    </row>
    <row r="4781" spans="2:10" ht="15" customHeight="1" x14ac:dyDescent="0.2">
      <c r="B4781" s="39">
        <f t="shared" si="36"/>
      </c>
      <c r="C4781" s="40">
        <f>IF(Inputs!$C$60,Inputs!$C$11+(B4781-Inputs!$C$69)/Inputs!$C$70,"")</f>
      </c>
      <c r="D4781" s="15"/>
      <c r="E4781" s="15"/>
      <c r="F4781" s="11">
        <f t="shared" si="37"/>
      </c>
      <c r="G4781" s="22" cm="1">
        <f t="array" ref="G4781">IF(AND(Inputs!$C$60,Inputs!$C$61),INDEX(Utility_Rates!$C$29:$F$52,HOUR(C4781)+Inputs!$C$69,MATCH(INDEX(Utility_Rates!$K$6:$K$17,MONTH(C4781))&amp;IF(WEEKDAY(C4781,Inputs!$C$76)&lt;=Inputs!$C$74," weekday"," weekend"),Utility_Rates!$C$28:$F$28,Inputs!$C$68)),"")</f>
      </c>
      <c r="H4781" s="34"/>
      <c r="I4781" s="42">
        <f>IF(AND(ISNUMBER(D4781),ISNUMBER(H4781)),D4781*H4781*Inputs!$C$69,"")</f>
      </c>
      <c r="J4781" s="42">
        <f>IF(AND(ISNUMBER(F4781),ISNUMBER(H4781),F4781&gt;=Inputs!$C$68),F4781*H4781*Inputs!$C$69,"")</f>
      </c>
    </row>
    <row r="4782" spans="2:10" ht="15" customHeight="1" x14ac:dyDescent="0.2">
      <c r="B4782" s="39">
        <f t="shared" si="36"/>
      </c>
      <c r="C4782" s="40">
        <f>IF(Inputs!$C$60,Inputs!$C$11+(B4782-Inputs!$C$69)/Inputs!$C$70,"")</f>
      </c>
      <c r="D4782" s="15"/>
      <c r="E4782" s="15"/>
      <c r="F4782" s="11">
        <f t="shared" si="37"/>
      </c>
      <c r="G4782" s="22" cm="1">
        <f t="array" ref="G4782">IF(AND(Inputs!$C$60,Inputs!$C$61),INDEX(Utility_Rates!$C$29:$F$52,HOUR(C4782)+Inputs!$C$69,MATCH(INDEX(Utility_Rates!$K$6:$K$17,MONTH(C4782))&amp;IF(WEEKDAY(C4782,Inputs!$C$76)&lt;=Inputs!$C$74," weekday"," weekend"),Utility_Rates!$C$28:$F$28,Inputs!$C$68)),"")</f>
      </c>
      <c r="H4782" s="34"/>
      <c r="I4782" s="42">
        <f>IF(AND(ISNUMBER(D4782),ISNUMBER(H4782)),D4782*H4782*Inputs!$C$69,"")</f>
      </c>
      <c r="J4782" s="42">
        <f>IF(AND(ISNUMBER(F4782),ISNUMBER(H4782),F4782&gt;=Inputs!$C$68),F4782*H4782*Inputs!$C$69,"")</f>
      </c>
    </row>
    <row r="4783" spans="2:10" ht="15" customHeight="1" x14ac:dyDescent="0.2">
      <c r="B4783" s="39">
        <f t="shared" si="36"/>
      </c>
      <c r="C4783" s="40">
        <f>IF(Inputs!$C$60,Inputs!$C$11+(B4783-Inputs!$C$69)/Inputs!$C$70,"")</f>
      </c>
      <c r="D4783" s="15"/>
      <c r="E4783" s="15"/>
      <c r="F4783" s="11">
        <f t="shared" si="37"/>
      </c>
      <c r="G4783" s="22" cm="1">
        <f t="array" ref="G4783">IF(AND(Inputs!$C$60,Inputs!$C$61),INDEX(Utility_Rates!$C$29:$F$52,HOUR(C4783)+Inputs!$C$69,MATCH(INDEX(Utility_Rates!$K$6:$K$17,MONTH(C4783))&amp;IF(WEEKDAY(C4783,Inputs!$C$76)&lt;=Inputs!$C$74," weekday"," weekend"),Utility_Rates!$C$28:$F$28,Inputs!$C$68)),"")</f>
      </c>
      <c r="H4783" s="34"/>
      <c r="I4783" s="42">
        <f>IF(AND(ISNUMBER(D4783),ISNUMBER(H4783)),D4783*H4783*Inputs!$C$69,"")</f>
      </c>
      <c r="J4783" s="42">
        <f>IF(AND(ISNUMBER(F4783),ISNUMBER(H4783),F4783&gt;=Inputs!$C$68),F4783*H4783*Inputs!$C$69,"")</f>
      </c>
    </row>
    <row r="4784" spans="2:10" ht="15" customHeight="1" x14ac:dyDescent="0.2">
      <c r="B4784" s="39">
        <f t="shared" si="36"/>
      </c>
      <c r="C4784" s="40">
        <f>IF(Inputs!$C$60,Inputs!$C$11+(B4784-Inputs!$C$69)/Inputs!$C$70,"")</f>
      </c>
      <c r="D4784" s="15"/>
      <c r="E4784" s="15"/>
      <c r="F4784" s="11">
        <f t="shared" si="37"/>
      </c>
      <c r="G4784" s="22" cm="1">
        <f t="array" ref="G4784">IF(AND(Inputs!$C$60,Inputs!$C$61),INDEX(Utility_Rates!$C$29:$F$52,HOUR(C4784)+Inputs!$C$69,MATCH(INDEX(Utility_Rates!$K$6:$K$17,MONTH(C4784))&amp;IF(WEEKDAY(C4784,Inputs!$C$76)&lt;=Inputs!$C$74," weekday"," weekend"),Utility_Rates!$C$28:$F$28,Inputs!$C$68)),"")</f>
      </c>
      <c r="H4784" s="34"/>
      <c r="I4784" s="42">
        <f>IF(AND(ISNUMBER(D4784),ISNUMBER(H4784)),D4784*H4784*Inputs!$C$69,"")</f>
      </c>
      <c r="J4784" s="42">
        <f>IF(AND(ISNUMBER(F4784),ISNUMBER(H4784),F4784&gt;=Inputs!$C$68),F4784*H4784*Inputs!$C$69,"")</f>
      </c>
    </row>
    <row r="4785" spans="2:10" ht="15" customHeight="1" x14ac:dyDescent="0.2">
      <c r="B4785" s="39">
        <f t="shared" si="36"/>
      </c>
      <c r="C4785" s="40">
        <f>IF(Inputs!$C$60,Inputs!$C$11+(B4785-Inputs!$C$69)/Inputs!$C$70,"")</f>
      </c>
      <c r="D4785" s="15"/>
      <c r="E4785" s="15"/>
      <c r="F4785" s="11">
        <f t="shared" si="37"/>
      </c>
      <c r="G4785" s="22" cm="1">
        <f t="array" ref="G4785">IF(AND(Inputs!$C$60,Inputs!$C$61),INDEX(Utility_Rates!$C$29:$F$52,HOUR(C4785)+Inputs!$C$69,MATCH(INDEX(Utility_Rates!$K$6:$K$17,MONTH(C4785))&amp;IF(WEEKDAY(C4785,Inputs!$C$76)&lt;=Inputs!$C$74," weekday"," weekend"),Utility_Rates!$C$28:$F$28,Inputs!$C$68)),"")</f>
      </c>
      <c r="H4785" s="34"/>
      <c r="I4785" s="42">
        <f>IF(AND(ISNUMBER(D4785),ISNUMBER(H4785)),D4785*H4785*Inputs!$C$69,"")</f>
      </c>
      <c r="J4785" s="42">
        <f>IF(AND(ISNUMBER(F4785),ISNUMBER(H4785),F4785&gt;=Inputs!$C$68),F4785*H4785*Inputs!$C$69,"")</f>
      </c>
    </row>
    <row r="4786" spans="2:10" ht="15" customHeight="1" x14ac:dyDescent="0.2">
      <c r="B4786" s="39">
        <f t="shared" si="36"/>
      </c>
      <c r="C4786" s="40">
        <f>IF(Inputs!$C$60,Inputs!$C$11+(B4786-Inputs!$C$69)/Inputs!$C$70,"")</f>
      </c>
      <c r="D4786" s="15"/>
      <c r="E4786" s="15"/>
      <c r="F4786" s="11">
        <f t="shared" si="37"/>
      </c>
      <c r="G4786" s="22" cm="1">
        <f t="array" ref="G4786">IF(AND(Inputs!$C$60,Inputs!$C$61),INDEX(Utility_Rates!$C$29:$F$52,HOUR(C4786)+Inputs!$C$69,MATCH(INDEX(Utility_Rates!$K$6:$K$17,MONTH(C4786))&amp;IF(WEEKDAY(C4786,Inputs!$C$76)&lt;=Inputs!$C$74," weekday"," weekend"),Utility_Rates!$C$28:$F$28,Inputs!$C$68)),"")</f>
      </c>
      <c r="H4786" s="34"/>
      <c r="I4786" s="42">
        <f>IF(AND(ISNUMBER(D4786),ISNUMBER(H4786)),D4786*H4786*Inputs!$C$69,"")</f>
      </c>
      <c r="J4786" s="42">
        <f>IF(AND(ISNUMBER(F4786),ISNUMBER(H4786),F4786&gt;=Inputs!$C$68),F4786*H4786*Inputs!$C$69,"")</f>
      </c>
    </row>
    <row r="4787" spans="2:10" ht="15" customHeight="1" x14ac:dyDescent="0.2">
      <c r="B4787" s="39">
        <f t="shared" si="36"/>
      </c>
      <c r="C4787" s="40">
        <f>IF(Inputs!$C$60,Inputs!$C$11+(B4787-Inputs!$C$69)/Inputs!$C$70,"")</f>
      </c>
      <c r="D4787" s="15"/>
      <c r="E4787" s="15"/>
      <c r="F4787" s="11">
        <f t="shared" si="37"/>
      </c>
      <c r="G4787" s="22" cm="1">
        <f t="array" ref="G4787">IF(AND(Inputs!$C$60,Inputs!$C$61),INDEX(Utility_Rates!$C$29:$F$52,HOUR(C4787)+Inputs!$C$69,MATCH(INDEX(Utility_Rates!$K$6:$K$17,MONTH(C4787))&amp;IF(WEEKDAY(C4787,Inputs!$C$76)&lt;=Inputs!$C$74," weekday"," weekend"),Utility_Rates!$C$28:$F$28,Inputs!$C$68)),"")</f>
      </c>
      <c r="H4787" s="34"/>
      <c r="I4787" s="42">
        <f>IF(AND(ISNUMBER(D4787),ISNUMBER(H4787)),D4787*H4787*Inputs!$C$69,"")</f>
      </c>
      <c r="J4787" s="42">
        <f>IF(AND(ISNUMBER(F4787),ISNUMBER(H4787),F4787&gt;=Inputs!$C$68),F4787*H4787*Inputs!$C$69,"")</f>
      </c>
    </row>
    <row r="4788" spans="2:10" ht="15" customHeight="1" x14ac:dyDescent="0.2">
      <c r="B4788" s="39">
        <f t="shared" si="36"/>
      </c>
      <c r="C4788" s="40">
        <f>IF(Inputs!$C$60,Inputs!$C$11+(B4788-Inputs!$C$69)/Inputs!$C$70,"")</f>
      </c>
      <c r="D4788" s="15"/>
      <c r="E4788" s="15"/>
      <c r="F4788" s="11">
        <f t="shared" si="37"/>
      </c>
      <c r="G4788" s="22" cm="1">
        <f t="array" ref="G4788">IF(AND(Inputs!$C$60,Inputs!$C$61),INDEX(Utility_Rates!$C$29:$F$52,HOUR(C4788)+Inputs!$C$69,MATCH(INDEX(Utility_Rates!$K$6:$K$17,MONTH(C4788))&amp;IF(WEEKDAY(C4788,Inputs!$C$76)&lt;=Inputs!$C$74," weekday"," weekend"),Utility_Rates!$C$28:$F$28,Inputs!$C$68)),"")</f>
      </c>
      <c r="H4788" s="34"/>
      <c r="I4788" s="42">
        <f>IF(AND(ISNUMBER(D4788),ISNUMBER(H4788)),D4788*H4788*Inputs!$C$69,"")</f>
      </c>
      <c r="J4788" s="42">
        <f>IF(AND(ISNUMBER(F4788),ISNUMBER(H4788),F4788&gt;=Inputs!$C$68),F4788*H4788*Inputs!$C$69,"")</f>
      </c>
    </row>
    <row r="4789" spans="2:10" ht="15" customHeight="1" x14ac:dyDescent="0.2">
      <c r="B4789" s="39">
        <f t="shared" si="36"/>
      </c>
      <c r="C4789" s="40">
        <f>IF(Inputs!$C$60,Inputs!$C$11+(B4789-Inputs!$C$69)/Inputs!$C$70,"")</f>
      </c>
      <c r="D4789" s="15"/>
      <c r="E4789" s="15"/>
      <c r="F4789" s="11">
        <f t="shared" si="37"/>
      </c>
      <c r="G4789" s="22" cm="1">
        <f t="array" ref="G4789">IF(AND(Inputs!$C$60,Inputs!$C$61),INDEX(Utility_Rates!$C$29:$F$52,HOUR(C4789)+Inputs!$C$69,MATCH(INDEX(Utility_Rates!$K$6:$K$17,MONTH(C4789))&amp;IF(WEEKDAY(C4789,Inputs!$C$76)&lt;=Inputs!$C$74," weekday"," weekend"),Utility_Rates!$C$28:$F$28,Inputs!$C$68)),"")</f>
      </c>
      <c r="H4789" s="34"/>
      <c r="I4789" s="42">
        <f>IF(AND(ISNUMBER(D4789),ISNUMBER(H4789)),D4789*H4789*Inputs!$C$69,"")</f>
      </c>
      <c r="J4789" s="42">
        <f>IF(AND(ISNUMBER(F4789),ISNUMBER(H4789),F4789&gt;=Inputs!$C$68),F4789*H4789*Inputs!$C$69,"")</f>
      </c>
    </row>
    <row r="4790" spans="2:10" ht="15" customHeight="1" x14ac:dyDescent="0.2">
      <c r="B4790" s="39">
        <f t="shared" si="36"/>
      </c>
      <c r="C4790" s="40">
        <f>IF(Inputs!$C$60,Inputs!$C$11+(B4790-Inputs!$C$69)/Inputs!$C$70,"")</f>
      </c>
      <c r="D4790" s="15"/>
      <c r="E4790" s="15"/>
      <c r="F4790" s="11">
        <f t="shared" si="37"/>
      </c>
      <c r="G4790" s="22" cm="1">
        <f t="array" ref="G4790">IF(AND(Inputs!$C$60,Inputs!$C$61),INDEX(Utility_Rates!$C$29:$F$52,HOUR(C4790)+Inputs!$C$69,MATCH(INDEX(Utility_Rates!$K$6:$K$17,MONTH(C4790))&amp;IF(WEEKDAY(C4790,Inputs!$C$76)&lt;=Inputs!$C$74," weekday"," weekend"),Utility_Rates!$C$28:$F$28,Inputs!$C$68)),"")</f>
      </c>
      <c r="H4790" s="34"/>
      <c r="I4790" s="42">
        <f>IF(AND(ISNUMBER(D4790),ISNUMBER(H4790)),D4790*H4790*Inputs!$C$69,"")</f>
      </c>
      <c r="J4790" s="42">
        <f>IF(AND(ISNUMBER(F4790),ISNUMBER(H4790),F4790&gt;=Inputs!$C$68),F4790*H4790*Inputs!$C$69,"")</f>
      </c>
    </row>
    <row r="4791" spans="2:10" ht="15" customHeight="1" x14ac:dyDescent="0.2">
      <c r="B4791" s="39">
        <f t="shared" si="36"/>
      </c>
      <c r="C4791" s="40">
        <f>IF(Inputs!$C$60,Inputs!$C$11+(B4791-Inputs!$C$69)/Inputs!$C$70,"")</f>
      </c>
      <c r="D4791" s="15"/>
      <c r="E4791" s="15"/>
      <c r="F4791" s="11">
        <f t="shared" si="37"/>
      </c>
      <c r="G4791" s="22" cm="1">
        <f t="array" ref="G4791">IF(AND(Inputs!$C$60,Inputs!$C$61),INDEX(Utility_Rates!$C$29:$F$52,HOUR(C4791)+Inputs!$C$69,MATCH(INDEX(Utility_Rates!$K$6:$K$17,MONTH(C4791))&amp;IF(WEEKDAY(C4791,Inputs!$C$76)&lt;=Inputs!$C$74," weekday"," weekend"),Utility_Rates!$C$28:$F$28,Inputs!$C$68)),"")</f>
      </c>
      <c r="H4791" s="34"/>
      <c r="I4791" s="42">
        <f>IF(AND(ISNUMBER(D4791),ISNUMBER(H4791)),D4791*H4791*Inputs!$C$69,"")</f>
      </c>
      <c r="J4791" s="42">
        <f>IF(AND(ISNUMBER(F4791),ISNUMBER(H4791),F4791&gt;=Inputs!$C$68),F4791*H4791*Inputs!$C$69,"")</f>
      </c>
    </row>
    <row r="4792" spans="2:10" ht="15" customHeight="1" x14ac:dyDescent="0.2">
      <c r="B4792" s="39">
        <f t="shared" si="36"/>
      </c>
      <c r="C4792" s="40">
        <f>IF(Inputs!$C$60,Inputs!$C$11+(B4792-Inputs!$C$69)/Inputs!$C$70,"")</f>
      </c>
      <c r="D4792" s="15"/>
      <c r="E4792" s="15"/>
      <c r="F4792" s="11">
        <f t="shared" si="37"/>
      </c>
      <c r="G4792" s="22" cm="1">
        <f t="array" ref="G4792">IF(AND(Inputs!$C$60,Inputs!$C$61),INDEX(Utility_Rates!$C$29:$F$52,HOUR(C4792)+Inputs!$C$69,MATCH(INDEX(Utility_Rates!$K$6:$K$17,MONTH(C4792))&amp;IF(WEEKDAY(C4792,Inputs!$C$76)&lt;=Inputs!$C$74," weekday"," weekend"),Utility_Rates!$C$28:$F$28,Inputs!$C$68)),"")</f>
      </c>
      <c r="H4792" s="34"/>
      <c r="I4792" s="42">
        <f>IF(AND(ISNUMBER(D4792),ISNUMBER(H4792)),D4792*H4792*Inputs!$C$69,"")</f>
      </c>
      <c r="J4792" s="42">
        <f>IF(AND(ISNUMBER(F4792),ISNUMBER(H4792),F4792&gt;=Inputs!$C$68),F4792*H4792*Inputs!$C$69,"")</f>
      </c>
    </row>
    <row r="4793" spans="2:10" ht="15" customHeight="1" x14ac:dyDescent="0.2">
      <c r="B4793" s="39">
        <f t="shared" si="36"/>
      </c>
      <c r="C4793" s="40">
        <f>IF(Inputs!$C$60,Inputs!$C$11+(B4793-Inputs!$C$69)/Inputs!$C$70,"")</f>
      </c>
      <c r="D4793" s="15"/>
      <c r="E4793" s="15"/>
      <c r="F4793" s="11">
        <f t="shared" si="37"/>
      </c>
      <c r="G4793" s="22" cm="1">
        <f t="array" ref="G4793">IF(AND(Inputs!$C$60,Inputs!$C$61),INDEX(Utility_Rates!$C$29:$F$52,HOUR(C4793)+Inputs!$C$69,MATCH(INDEX(Utility_Rates!$K$6:$K$17,MONTH(C4793))&amp;IF(WEEKDAY(C4793,Inputs!$C$76)&lt;=Inputs!$C$74," weekday"," weekend"),Utility_Rates!$C$28:$F$28,Inputs!$C$68)),"")</f>
      </c>
      <c r="H4793" s="34"/>
      <c r="I4793" s="42">
        <f>IF(AND(ISNUMBER(D4793),ISNUMBER(H4793)),D4793*H4793*Inputs!$C$69,"")</f>
      </c>
      <c r="J4793" s="42">
        <f>IF(AND(ISNUMBER(F4793),ISNUMBER(H4793),F4793&gt;=Inputs!$C$68),F4793*H4793*Inputs!$C$69,"")</f>
      </c>
    </row>
    <row r="4794" spans="2:10" ht="15" customHeight="1" x14ac:dyDescent="0.2">
      <c r="B4794" s="39">
        <f t="shared" si="36"/>
      </c>
      <c r="C4794" s="40">
        <f>IF(Inputs!$C$60,Inputs!$C$11+(B4794-Inputs!$C$69)/Inputs!$C$70,"")</f>
      </c>
      <c r="D4794" s="15"/>
      <c r="E4794" s="15"/>
      <c r="F4794" s="11">
        <f t="shared" si="37"/>
      </c>
      <c r="G4794" s="22" cm="1">
        <f t="array" ref="G4794">IF(AND(Inputs!$C$60,Inputs!$C$61),INDEX(Utility_Rates!$C$29:$F$52,HOUR(C4794)+Inputs!$C$69,MATCH(INDEX(Utility_Rates!$K$6:$K$17,MONTH(C4794))&amp;IF(WEEKDAY(C4794,Inputs!$C$76)&lt;=Inputs!$C$74," weekday"," weekend"),Utility_Rates!$C$28:$F$28,Inputs!$C$68)),"")</f>
      </c>
      <c r="H4794" s="34"/>
      <c r="I4794" s="42">
        <f>IF(AND(ISNUMBER(D4794),ISNUMBER(H4794)),D4794*H4794*Inputs!$C$69,"")</f>
      </c>
      <c r="J4794" s="42">
        <f>IF(AND(ISNUMBER(F4794),ISNUMBER(H4794),F4794&gt;=Inputs!$C$68),F4794*H4794*Inputs!$C$69,"")</f>
      </c>
    </row>
    <row r="4795" spans="2:10" ht="15" customHeight="1" x14ac:dyDescent="0.2">
      <c r="B4795" s="39">
        <f t="shared" si="36"/>
      </c>
      <c r="C4795" s="40">
        <f>IF(Inputs!$C$60,Inputs!$C$11+(B4795-Inputs!$C$69)/Inputs!$C$70,"")</f>
      </c>
      <c r="D4795" s="15"/>
      <c r="E4795" s="15"/>
      <c r="F4795" s="11">
        <f t="shared" si="37"/>
      </c>
      <c r="G4795" s="22" cm="1">
        <f t="array" ref="G4795">IF(AND(Inputs!$C$60,Inputs!$C$61),INDEX(Utility_Rates!$C$29:$F$52,HOUR(C4795)+Inputs!$C$69,MATCH(INDEX(Utility_Rates!$K$6:$K$17,MONTH(C4795))&amp;IF(WEEKDAY(C4795,Inputs!$C$76)&lt;=Inputs!$C$74," weekday"," weekend"),Utility_Rates!$C$28:$F$28,Inputs!$C$68)),"")</f>
      </c>
      <c r="H4795" s="34"/>
      <c r="I4795" s="42">
        <f>IF(AND(ISNUMBER(D4795),ISNUMBER(H4795)),D4795*H4795*Inputs!$C$69,"")</f>
      </c>
      <c r="J4795" s="42">
        <f>IF(AND(ISNUMBER(F4795),ISNUMBER(H4795),F4795&gt;=Inputs!$C$68),F4795*H4795*Inputs!$C$69,"")</f>
      </c>
    </row>
    <row r="4796" spans="2:10" ht="15" customHeight="1" x14ac:dyDescent="0.2">
      <c r="B4796" s="39">
        <f t="shared" si="36"/>
      </c>
      <c r="C4796" s="40">
        <f>IF(Inputs!$C$60,Inputs!$C$11+(B4796-Inputs!$C$69)/Inputs!$C$70,"")</f>
      </c>
      <c r="D4796" s="15"/>
      <c r="E4796" s="15"/>
      <c r="F4796" s="11">
        <f t="shared" si="37"/>
      </c>
      <c r="G4796" s="22" cm="1">
        <f t="array" ref="G4796">IF(AND(Inputs!$C$60,Inputs!$C$61),INDEX(Utility_Rates!$C$29:$F$52,HOUR(C4796)+Inputs!$C$69,MATCH(INDEX(Utility_Rates!$K$6:$K$17,MONTH(C4796))&amp;IF(WEEKDAY(C4796,Inputs!$C$76)&lt;=Inputs!$C$74," weekday"," weekend"),Utility_Rates!$C$28:$F$28,Inputs!$C$68)),"")</f>
      </c>
      <c r="H4796" s="34"/>
      <c r="I4796" s="42">
        <f>IF(AND(ISNUMBER(D4796),ISNUMBER(H4796)),D4796*H4796*Inputs!$C$69,"")</f>
      </c>
      <c r="J4796" s="42">
        <f>IF(AND(ISNUMBER(F4796),ISNUMBER(H4796),F4796&gt;=Inputs!$C$68),F4796*H4796*Inputs!$C$69,"")</f>
      </c>
    </row>
    <row r="4797" spans="2:10" ht="15" customHeight="1" x14ac:dyDescent="0.2">
      <c r="B4797" s="39">
        <f t="shared" si="36"/>
      </c>
      <c r="C4797" s="40">
        <f>IF(Inputs!$C$60,Inputs!$C$11+(B4797-Inputs!$C$69)/Inputs!$C$70,"")</f>
      </c>
      <c r="D4797" s="15"/>
      <c r="E4797" s="15"/>
      <c r="F4797" s="11">
        <f t="shared" si="37"/>
      </c>
      <c r="G4797" s="22" cm="1">
        <f t="array" ref="G4797">IF(AND(Inputs!$C$60,Inputs!$C$61),INDEX(Utility_Rates!$C$29:$F$52,HOUR(C4797)+Inputs!$C$69,MATCH(INDEX(Utility_Rates!$K$6:$K$17,MONTH(C4797))&amp;IF(WEEKDAY(C4797,Inputs!$C$76)&lt;=Inputs!$C$74," weekday"," weekend"),Utility_Rates!$C$28:$F$28,Inputs!$C$68)),"")</f>
      </c>
      <c r="H4797" s="34"/>
      <c r="I4797" s="42">
        <f>IF(AND(ISNUMBER(D4797),ISNUMBER(H4797)),D4797*H4797*Inputs!$C$69,"")</f>
      </c>
      <c r="J4797" s="42">
        <f>IF(AND(ISNUMBER(F4797),ISNUMBER(H4797),F4797&gt;=Inputs!$C$68),F4797*H4797*Inputs!$C$69,"")</f>
      </c>
    </row>
    <row r="4798" spans="2:10" ht="15" customHeight="1" x14ac:dyDescent="0.2">
      <c r="B4798" s="39">
        <f t="shared" si="36"/>
      </c>
      <c r="C4798" s="40">
        <f>IF(Inputs!$C$60,Inputs!$C$11+(B4798-Inputs!$C$69)/Inputs!$C$70,"")</f>
      </c>
      <c r="D4798" s="15"/>
      <c r="E4798" s="15"/>
      <c r="F4798" s="11">
        <f t="shared" si="37"/>
      </c>
      <c r="G4798" s="22" cm="1">
        <f t="array" ref="G4798">IF(AND(Inputs!$C$60,Inputs!$C$61),INDEX(Utility_Rates!$C$29:$F$52,HOUR(C4798)+Inputs!$C$69,MATCH(INDEX(Utility_Rates!$K$6:$K$17,MONTH(C4798))&amp;IF(WEEKDAY(C4798,Inputs!$C$76)&lt;=Inputs!$C$74," weekday"," weekend"),Utility_Rates!$C$28:$F$28,Inputs!$C$68)),"")</f>
      </c>
      <c r="H4798" s="34"/>
      <c r="I4798" s="42">
        <f>IF(AND(ISNUMBER(D4798),ISNUMBER(H4798)),D4798*H4798*Inputs!$C$69,"")</f>
      </c>
      <c r="J4798" s="42">
        <f>IF(AND(ISNUMBER(F4798),ISNUMBER(H4798),F4798&gt;=Inputs!$C$68),F4798*H4798*Inputs!$C$69,"")</f>
      </c>
    </row>
    <row r="4799" spans="2:10" ht="15" customHeight="1" x14ac:dyDescent="0.2">
      <c r="B4799" s="39">
        <f t="shared" si="36"/>
      </c>
      <c r="C4799" s="40">
        <f>IF(Inputs!$C$60,Inputs!$C$11+(B4799-Inputs!$C$69)/Inputs!$C$70,"")</f>
      </c>
      <c r="D4799" s="15"/>
      <c r="E4799" s="15"/>
      <c r="F4799" s="11">
        <f t="shared" si="37"/>
      </c>
      <c r="G4799" s="22" cm="1">
        <f t="array" ref="G4799">IF(AND(Inputs!$C$60,Inputs!$C$61),INDEX(Utility_Rates!$C$29:$F$52,HOUR(C4799)+Inputs!$C$69,MATCH(INDEX(Utility_Rates!$K$6:$K$17,MONTH(C4799))&amp;IF(WEEKDAY(C4799,Inputs!$C$76)&lt;=Inputs!$C$74," weekday"," weekend"),Utility_Rates!$C$28:$F$28,Inputs!$C$68)),"")</f>
      </c>
      <c r="H4799" s="34"/>
      <c r="I4799" s="42">
        <f>IF(AND(ISNUMBER(D4799),ISNUMBER(H4799)),D4799*H4799*Inputs!$C$69,"")</f>
      </c>
      <c r="J4799" s="42">
        <f>IF(AND(ISNUMBER(F4799),ISNUMBER(H4799),F4799&gt;=Inputs!$C$68),F4799*H4799*Inputs!$C$69,"")</f>
      </c>
    </row>
    <row r="4800" spans="2:10" ht="15" customHeight="1" x14ac:dyDescent="0.2">
      <c r="B4800" s="39">
        <f t="shared" si="36"/>
      </c>
      <c r="C4800" s="40">
        <f>IF(Inputs!$C$60,Inputs!$C$11+(B4800-Inputs!$C$69)/Inputs!$C$70,"")</f>
      </c>
      <c r="D4800" s="15"/>
      <c r="E4800" s="15"/>
      <c r="F4800" s="11">
        <f t="shared" si="37"/>
      </c>
      <c r="G4800" s="22" cm="1">
        <f t="array" ref="G4800">IF(AND(Inputs!$C$60,Inputs!$C$61),INDEX(Utility_Rates!$C$29:$F$52,HOUR(C4800)+Inputs!$C$69,MATCH(INDEX(Utility_Rates!$K$6:$K$17,MONTH(C4800))&amp;IF(WEEKDAY(C4800,Inputs!$C$76)&lt;=Inputs!$C$74," weekday"," weekend"),Utility_Rates!$C$28:$F$28,Inputs!$C$68)),"")</f>
      </c>
      <c r="H4800" s="34"/>
      <c r="I4800" s="42">
        <f>IF(AND(ISNUMBER(D4800),ISNUMBER(H4800)),D4800*H4800*Inputs!$C$69,"")</f>
      </c>
      <c r="J4800" s="42">
        <f>IF(AND(ISNUMBER(F4800),ISNUMBER(H4800),F4800&gt;=Inputs!$C$68),F4800*H4800*Inputs!$C$69,"")</f>
      </c>
    </row>
    <row r="4801" spans="2:10" ht="15" customHeight="1" x14ac:dyDescent="0.2">
      <c r="B4801" s="39">
        <f t="shared" si="36"/>
      </c>
      <c r="C4801" s="40">
        <f>IF(Inputs!$C$60,Inputs!$C$11+(B4801-Inputs!$C$69)/Inputs!$C$70,"")</f>
      </c>
      <c r="D4801" s="15"/>
      <c r="E4801" s="15"/>
      <c r="F4801" s="11">
        <f t="shared" si="37"/>
      </c>
      <c r="G4801" s="22" cm="1">
        <f t="array" ref="G4801">IF(AND(Inputs!$C$60,Inputs!$C$61),INDEX(Utility_Rates!$C$29:$F$52,HOUR(C4801)+Inputs!$C$69,MATCH(INDEX(Utility_Rates!$K$6:$K$17,MONTH(C4801))&amp;IF(WEEKDAY(C4801,Inputs!$C$76)&lt;=Inputs!$C$74," weekday"," weekend"),Utility_Rates!$C$28:$F$28,Inputs!$C$68)),"")</f>
      </c>
      <c r="H4801" s="34"/>
      <c r="I4801" s="42">
        <f>IF(AND(ISNUMBER(D4801),ISNUMBER(H4801)),D4801*H4801*Inputs!$C$69,"")</f>
      </c>
      <c r="J4801" s="42">
        <f>IF(AND(ISNUMBER(F4801),ISNUMBER(H4801),F4801&gt;=Inputs!$C$68),F4801*H4801*Inputs!$C$69,"")</f>
      </c>
    </row>
    <row r="4802" spans="2:10" ht="15" customHeight="1" x14ac:dyDescent="0.2">
      <c r="B4802" s="39">
        <f t="shared" si="36"/>
      </c>
      <c r="C4802" s="40">
        <f>IF(Inputs!$C$60,Inputs!$C$11+(B4802-Inputs!$C$69)/Inputs!$C$70,"")</f>
      </c>
      <c r="D4802" s="15"/>
      <c r="E4802" s="15"/>
      <c r="F4802" s="11">
        <f t="shared" si="37"/>
      </c>
      <c r="G4802" s="22" cm="1">
        <f t="array" ref="G4802">IF(AND(Inputs!$C$60,Inputs!$C$61),INDEX(Utility_Rates!$C$29:$F$52,HOUR(C4802)+Inputs!$C$69,MATCH(INDEX(Utility_Rates!$K$6:$K$17,MONTH(C4802))&amp;IF(WEEKDAY(C4802,Inputs!$C$76)&lt;=Inputs!$C$74," weekday"," weekend"),Utility_Rates!$C$28:$F$28,Inputs!$C$68)),"")</f>
      </c>
      <c r="H4802" s="34"/>
      <c r="I4802" s="42">
        <f>IF(AND(ISNUMBER(D4802),ISNUMBER(H4802)),D4802*H4802*Inputs!$C$69,"")</f>
      </c>
      <c r="J4802" s="42">
        <f>IF(AND(ISNUMBER(F4802),ISNUMBER(H4802),F4802&gt;=Inputs!$C$68),F4802*H4802*Inputs!$C$69,"")</f>
      </c>
    </row>
    <row r="4803" spans="2:10" ht="15" customHeight="1" x14ac:dyDescent="0.2">
      <c r="B4803" s="39">
        <f t="shared" si="36"/>
      </c>
      <c r="C4803" s="40">
        <f>IF(Inputs!$C$60,Inputs!$C$11+(B4803-Inputs!$C$69)/Inputs!$C$70,"")</f>
      </c>
      <c r="D4803" s="15"/>
      <c r="E4803" s="15"/>
      <c r="F4803" s="11">
        <f t="shared" si="37"/>
      </c>
      <c r="G4803" s="22" cm="1">
        <f t="array" ref="G4803">IF(AND(Inputs!$C$60,Inputs!$C$61),INDEX(Utility_Rates!$C$29:$F$52,HOUR(C4803)+Inputs!$C$69,MATCH(INDEX(Utility_Rates!$K$6:$K$17,MONTH(C4803))&amp;IF(WEEKDAY(C4803,Inputs!$C$76)&lt;=Inputs!$C$74," weekday"," weekend"),Utility_Rates!$C$28:$F$28,Inputs!$C$68)),"")</f>
      </c>
      <c r="H4803" s="34"/>
      <c r="I4803" s="42">
        <f>IF(AND(ISNUMBER(D4803),ISNUMBER(H4803)),D4803*H4803*Inputs!$C$69,"")</f>
      </c>
      <c r="J4803" s="42">
        <f>IF(AND(ISNUMBER(F4803),ISNUMBER(H4803),F4803&gt;=Inputs!$C$68),F4803*H4803*Inputs!$C$69,"")</f>
      </c>
    </row>
    <row r="4804" spans="2:10" ht="15" customHeight="1" x14ac:dyDescent="0.2">
      <c r="B4804" s="39">
        <f t="shared" si="36"/>
      </c>
      <c r="C4804" s="40">
        <f>IF(Inputs!$C$60,Inputs!$C$11+(B4804-Inputs!$C$69)/Inputs!$C$70,"")</f>
      </c>
      <c r="D4804" s="15"/>
      <c r="E4804" s="15"/>
      <c r="F4804" s="11">
        <f t="shared" si="37"/>
      </c>
      <c r="G4804" s="22" cm="1">
        <f t="array" ref="G4804">IF(AND(Inputs!$C$60,Inputs!$C$61),INDEX(Utility_Rates!$C$29:$F$52,HOUR(C4804)+Inputs!$C$69,MATCH(INDEX(Utility_Rates!$K$6:$K$17,MONTH(C4804))&amp;IF(WEEKDAY(C4804,Inputs!$C$76)&lt;=Inputs!$C$74," weekday"," weekend"),Utility_Rates!$C$28:$F$28,Inputs!$C$68)),"")</f>
      </c>
      <c r="H4804" s="34"/>
      <c r="I4804" s="42">
        <f>IF(AND(ISNUMBER(D4804),ISNUMBER(H4804)),D4804*H4804*Inputs!$C$69,"")</f>
      </c>
      <c r="J4804" s="42">
        <f>IF(AND(ISNUMBER(F4804),ISNUMBER(H4804),F4804&gt;=Inputs!$C$68),F4804*H4804*Inputs!$C$69,"")</f>
      </c>
    </row>
    <row r="4805" spans="2:10" ht="15" customHeight="1" x14ac:dyDescent="0.2">
      <c r="B4805" s="39">
        <f t="shared" si="36"/>
      </c>
      <c r="C4805" s="40">
        <f>IF(Inputs!$C$60,Inputs!$C$11+(B4805-Inputs!$C$69)/Inputs!$C$70,"")</f>
      </c>
      <c r="D4805" s="15"/>
      <c r="E4805" s="15"/>
      <c r="F4805" s="11">
        <f t="shared" si="37"/>
      </c>
      <c r="G4805" s="22" cm="1">
        <f t="array" ref="G4805">IF(AND(Inputs!$C$60,Inputs!$C$61),INDEX(Utility_Rates!$C$29:$F$52,HOUR(C4805)+Inputs!$C$69,MATCH(INDEX(Utility_Rates!$K$6:$K$17,MONTH(C4805))&amp;IF(WEEKDAY(C4805,Inputs!$C$76)&lt;=Inputs!$C$74," weekday"," weekend"),Utility_Rates!$C$28:$F$28,Inputs!$C$68)),"")</f>
      </c>
      <c r="H4805" s="34"/>
      <c r="I4805" s="42">
        <f>IF(AND(ISNUMBER(D4805),ISNUMBER(H4805)),D4805*H4805*Inputs!$C$69,"")</f>
      </c>
      <c r="J4805" s="42">
        <f>IF(AND(ISNUMBER(F4805),ISNUMBER(H4805),F4805&gt;=Inputs!$C$68),F4805*H4805*Inputs!$C$69,"")</f>
      </c>
    </row>
    <row r="4806" spans="2:10" ht="15" customHeight="1" x14ac:dyDescent="0.2">
      <c r="B4806" s="39">
        <f t="shared" si="36"/>
      </c>
      <c r="C4806" s="40">
        <f>IF(Inputs!$C$60,Inputs!$C$11+(B4806-Inputs!$C$69)/Inputs!$C$70,"")</f>
      </c>
      <c r="D4806" s="15"/>
      <c r="E4806" s="15"/>
      <c r="F4806" s="11">
        <f t="shared" si="37"/>
      </c>
      <c r="G4806" s="22" cm="1">
        <f t="array" ref="G4806">IF(AND(Inputs!$C$60,Inputs!$C$61),INDEX(Utility_Rates!$C$29:$F$52,HOUR(C4806)+Inputs!$C$69,MATCH(INDEX(Utility_Rates!$K$6:$K$17,MONTH(C4806))&amp;IF(WEEKDAY(C4806,Inputs!$C$76)&lt;=Inputs!$C$74," weekday"," weekend"),Utility_Rates!$C$28:$F$28,Inputs!$C$68)),"")</f>
      </c>
      <c r="H4806" s="34"/>
      <c r="I4806" s="42">
        <f>IF(AND(ISNUMBER(D4806),ISNUMBER(H4806)),D4806*H4806*Inputs!$C$69,"")</f>
      </c>
      <c r="J4806" s="42">
        <f>IF(AND(ISNUMBER(F4806),ISNUMBER(H4806),F4806&gt;=Inputs!$C$68),F4806*H4806*Inputs!$C$69,"")</f>
      </c>
    </row>
    <row r="4807" spans="2:10" ht="15" customHeight="1" x14ac:dyDescent="0.2">
      <c r="B4807" s="39">
        <f t="shared" si="36"/>
      </c>
      <c r="C4807" s="40">
        <f>IF(Inputs!$C$60,Inputs!$C$11+(B4807-Inputs!$C$69)/Inputs!$C$70,"")</f>
      </c>
      <c r="D4807" s="15"/>
      <c r="E4807" s="15"/>
      <c r="F4807" s="11">
        <f t="shared" si="37"/>
      </c>
      <c r="G4807" s="22" cm="1">
        <f t="array" ref="G4807">IF(AND(Inputs!$C$60,Inputs!$C$61),INDEX(Utility_Rates!$C$29:$F$52,HOUR(C4807)+Inputs!$C$69,MATCH(INDEX(Utility_Rates!$K$6:$K$17,MONTH(C4807))&amp;IF(WEEKDAY(C4807,Inputs!$C$76)&lt;=Inputs!$C$74," weekday"," weekend"),Utility_Rates!$C$28:$F$28,Inputs!$C$68)),"")</f>
      </c>
      <c r="H4807" s="34"/>
      <c r="I4807" s="42">
        <f>IF(AND(ISNUMBER(D4807),ISNUMBER(H4807)),D4807*H4807*Inputs!$C$69,"")</f>
      </c>
      <c r="J4807" s="42">
        <f>IF(AND(ISNUMBER(F4807),ISNUMBER(H4807),F4807&gt;=Inputs!$C$68),F4807*H4807*Inputs!$C$69,"")</f>
      </c>
    </row>
    <row r="4808" spans="2:10" ht="15" customHeight="1" x14ac:dyDescent="0.2">
      <c r="B4808" s="39">
        <f t="shared" si="36"/>
      </c>
      <c r="C4808" s="40">
        <f>IF(Inputs!$C$60,Inputs!$C$11+(B4808-Inputs!$C$69)/Inputs!$C$70,"")</f>
      </c>
      <c r="D4808" s="15"/>
      <c r="E4808" s="15"/>
      <c r="F4808" s="11">
        <f t="shared" si="37"/>
      </c>
      <c r="G4808" s="22" cm="1">
        <f t="array" ref="G4808">IF(AND(Inputs!$C$60,Inputs!$C$61),INDEX(Utility_Rates!$C$29:$F$52,HOUR(C4808)+Inputs!$C$69,MATCH(INDEX(Utility_Rates!$K$6:$K$17,MONTH(C4808))&amp;IF(WEEKDAY(C4808,Inputs!$C$76)&lt;=Inputs!$C$74," weekday"," weekend"),Utility_Rates!$C$28:$F$28,Inputs!$C$68)),"")</f>
      </c>
      <c r="H4808" s="34"/>
      <c r="I4808" s="42">
        <f>IF(AND(ISNUMBER(D4808),ISNUMBER(H4808)),D4808*H4808*Inputs!$C$69,"")</f>
      </c>
      <c r="J4808" s="42">
        <f>IF(AND(ISNUMBER(F4808),ISNUMBER(H4808),F4808&gt;=Inputs!$C$68),F4808*H4808*Inputs!$C$69,"")</f>
      </c>
    </row>
    <row r="4809" spans="2:10" ht="15" customHeight="1" x14ac:dyDescent="0.2">
      <c r="B4809" s="39">
        <f t="shared" si="36"/>
      </c>
      <c r="C4809" s="40">
        <f>IF(Inputs!$C$60,Inputs!$C$11+(B4809-Inputs!$C$69)/Inputs!$C$70,"")</f>
      </c>
      <c r="D4809" s="15"/>
      <c r="E4809" s="15"/>
      <c r="F4809" s="11">
        <f t="shared" si="37"/>
      </c>
      <c r="G4809" s="22" cm="1">
        <f t="array" ref="G4809">IF(AND(Inputs!$C$60,Inputs!$C$61),INDEX(Utility_Rates!$C$29:$F$52,HOUR(C4809)+Inputs!$C$69,MATCH(INDEX(Utility_Rates!$K$6:$K$17,MONTH(C4809))&amp;IF(WEEKDAY(C4809,Inputs!$C$76)&lt;=Inputs!$C$74," weekday"," weekend"),Utility_Rates!$C$28:$F$28,Inputs!$C$68)),"")</f>
      </c>
      <c r="H4809" s="34"/>
      <c r="I4809" s="42">
        <f>IF(AND(ISNUMBER(D4809),ISNUMBER(H4809)),D4809*H4809*Inputs!$C$69,"")</f>
      </c>
      <c r="J4809" s="42">
        <f>IF(AND(ISNUMBER(F4809),ISNUMBER(H4809),F4809&gt;=Inputs!$C$68),F4809*H4809*Inputs!$C$69,"")</f>
      </c>
    </row>
    <row r="4810" spans="2:10" ht="15" customHeight="1" x14ac:dyDescent="0.2">
      <c r="B4810" s="39">
        <f t="shared" si="36"/>
      </c>
      <c r="C4810" s="40">
        <f>IF(Inputs!$C$60,Inputs!$C$11+(B4810-Inputs!$C$69)/Inputs!$C$70,"")</f>
      </c>
      <c r="D4810" s="15"/>
      <c r="E4810" s="15"/>
      <c r="F4810" s="11">
        <f t="shared" si="37"/>
      </c>
      <c r="G4810" s="22" cm="1">
        <f t="array" ref="G4810">IF(AND(Inputs!$C$60,Inputs!$C$61),INDEX(Utility_Rates!$C$29:$F$52,HOUR(C4810)+Inputs!$C$69,MATCH(INDEX(Utility_Rates!$K$6:$K$17,MONTH(C4810))&amp;IF(WEEKDAY(C4810,Inputs!$C$76)&lt;=Inputs!$C$74," weekday"," weekend"),Utility_Rates!$C$28:$F$28,Inputs!$C$68)),"")</f>
      </c>
      <c r="H4810" s="34"/>
      <c r="I4810" s="42">
        <f>IF(AND(ISNUMBER(D4810),ISNUMBER(H4810)),D4810*H4810*Inputs!$C$69,"")</f>
      </c>
      <c r="J4810" s="42">
        <f>IF(AND(ISNUMBER(F4810),ISNUMBER(H4810),F4810&gt;=Inputs!$C$68),F4810*H4810*Inputs!$C$69,"")</f>
      </c>
    </row>
    <row r="4811" spans="2:10" ht="15" customHeight="1" x14ac:dyDescent="0.2">
      <c r="B4811" s="39">
        <f t="shared" si="36"/>
      </c>
      <c r="C4811" s="40">
        <f>IF(Inputs!$C$60,Inputs!$C$11+(B4811-Inputs!$C$69)/Inputs!$C$70,"")</f>
      </c>
      <c r="D4811" s="15"/>
      <c r="E4811" s="15"/>
      <c r="F4811" s="11">
        <f t="shared" si="37"/>
      </c>
      <c r="G4811" s="22" cm="1">
        <f t="array" ref="G4811">IF(AND(Inputs!$C$60,Inputs!$C$61),INDEX(Utility_Rates!$C$29:$F$52,HOUR(C4811)+Inputs!$C$69,MATCH(INDEX(Utility_Rates!$K$6:$K$17,MONTH(C4811))&amp;IF(WEEKDAY(C4811,Inputs!$C$76)&lt;=Inputs!$C$74," weekday"," weekend"),Utility_Rates!$C$28:$F$28,Inputs!$C$68)),"")</f>
      </c>
      <c r="H4811" s="34"/>
      <c r="I4811" s="42">
        <f>IF(AND(ISNUMBER(D4811),ISNUMBER(H4811)),D4811*H4811*Inputs!$C$69,"")</f>
      </c>
      <c r="J4811" s="42">
        <f>IF(AND(ISNUMBER(F4811),ISNUMBER(H4811),F4811&gt;=Inputs!$C$68),F4811*H4811*Inputs!$C$69,"")</f>
      </c>
    </row>
    <row r="4812" spans="2:10" ht="15" customHeight="1" x14ac:dyDescent="0.2">
      <c r="B4812" s="39">
        <f t="shared" si="36"/>
      </c>
      <c r="C4812" s="40">
        <f>IF(Inputs!$C$60,Inputs!$C$11+(B4812-Inputs!$C$69)/Inputs!$C$70,"")</f>
      </c>
      <c r="D4812" s="15"/>
      <c r="E4812" s="15"/>
      <c r="F4812" s="11">
        <f t="shared" si="37"/>
      </c>
      <c r="G4812" s="22" cm="1">
        <f t="array" ref="G4812">IF(AND(Inputs!$C$60,Inputs!$C$61),INDEX(Utility_Rates!$C$29:$F$52,HOUR(C4812)+Inputs!$C$69,MATCH(INDEX(Utility_Rates!$K$6:$K$17,MONTH(C4812))&amp;IF(WEEKDAY(C4812,Inputs!$C$76)&lt;=Inputs!$C$74," weekday"," weekend"),Utility_Rates!$C$28:$F$28,Inputs!$C$68)),"")</f>
      </c>
      <c r="H4812" s="34"/>
      <c r="I4812" s="42">
        <f>IF(AND(ISNUMBER(D4812),ISNUMBER(H4812)),D4812*H4812*Inputs!$C$69,"")</f>
      </c>
      <c r="J4812" s="42">
        <f>IF(AND(ISNUMBER(F4812),ISNUMBER(H4812),F4812&gt;=Inputs!$C$68),F4812*H4812*Inputs!$C$69,"")</f>
      </c>
    </row>
    <row r="4813" spans="2:10" ht="15" customHeight="1" x14ac:dyDescent="0.2">
      <c r="B4813" s="39">
        <f t="shared" si="36"/>
      </c>
      <c r="C4813" s="40">
        <f>IF(Inputs!$C$60,Inputs!$C$11+(B4813-Inputs!$C$69)/Inputs!$C$70,"")</f>
      </c>
      <c r="D4813" s="15"/>
      <c r="E4813" s="15"/>
      <c r="F4813" s="11">
        <f t="shared" si="37"/>
      </c>
      <c r="G4813" s="22" cm="1">
        <f t="array" ref="G4813">IF(AND(Inputs!$C$60,Inputs!$C$61),INDEX(Utility_Rates!$C$29:$F$52,HOUR(C4813)+Inputs!$C$69,MATCH(INDEX(Utility_Rates!$K$6:$K$17,MONTH(C4813))&amp;IF(WEEKDAY(C4813,Inputs!$C$76)&lt;=Inputs!$C$74," weekday"," weekend"),Utility_Rates!$C$28:$F$28,Inputs!$C$68)),"")</f>
      </c>
      <c r="H4813" s="34"/>
      <c r="I4813" s="42">
        <f>IF(AND(ISNUMBER(D4813),ISNUMBER(H4813)),D4813*H4813*Inputs!$C$69,"")</f>
      </c>
      <c r="J4813" s="42">
        <f>IF(AND(ISNUMBER(F4813),ISNUMBER(H4813),F4813&gt;=Inputs!$C$68),F4813*H4813*Inputs!$C$69,"")</f>
      </c>
    </row>
    <row r="4814" spans="2:10" ht="15" customHeight="1" x14ac:dyDescent="0.2">
      <c r="B4814" s="39">
        <f t="shared" si="36"/>
      </c>
      <c r="C4814" s="40">
        <f>IF(Inputs!$C$60,Inputs!$C$11+(B4814-Inputs!$C$69)/Inputs!$C$70,"")</f>
      </c>
      <c r="D4814" s="15"/>
      <c r="E4814" s="15"/>
      <c r="F4814" s="11">
        <f t="shared" si="37"/>
      </c>
      <c r="G4814" s="22" cm="1">
        <f t="array" ref="G4814">IF(AND(Inputs!$C$60,Inputs!$C$61),INDEX(Utility_Rates!$C$29:$F$52,HOUR(C4814)+Inputs!$C$69,MATCH(INDEX(Utility_Rates!$K$6:$K$17,MONTH(C4814))&amp;IF(WEEKDAY(C4814,Inputs!$C$76)&lt;=Inputs!$C$74," weekday"," weekend"),Utility_Rates!$C$28:$F$28,Inputs!$C$68)),"")</f>
      </c>
      <c r="H4814" s="34"/>
      <c r="I4814" s="42">
        <f>IF(AND(ISNUMBER(D4814),ISNUMBER(H4814)),D4814*H4814*Inputs!$C$69,"")</f>
      </c>
      <c r="J4814" s="42">
        <f>IF(AND(ISNUMBER(F4814),ISNUMBER(H4814),F4814&gt;=Inputs!$C$68),F4814*H4814*Inputs!$C$69,"")</f>
      </c>
    </row>
    <row r="4815" spans="2:10" ht="15" customHeight="1" x14ac:dyDescent="0.2">
      <c r="B4815" s="39">
        <f t="shared" si="36"/>
      </c>
      <c r="C4815" s="40">
        <f>IF(Inputs!$C$60,Inputs!$C$11+(B4815-Inputs!$C$69)/Inputs!$C$70,"")</f>
      </c>
      <c r="D4815" s="15"/>
      <c r="E4815" s="15"/>
      <c r="F4815" s="11">
        <f t="shared" si="37"/>
      </c>
      <c r="G4815" s="22" cm="1">
        <f t="array" ref="G4815">IF(AND(Inputs!$C$60,Inputs!$C$61),INDEX(Utility_Rates!$C$29:$F$52,HOUR(C4815)+Inputs!$C$69,MATCH(INDEX(Utility_Rates!$K$6:$K$17,MONTH(C4815))&amp;IF(WEEKDAY(C4815,Inputs!$C$76)&lt;=Inputs!$C$74," weekday"," weekend"),Utility_Rates!$C$28:$F$28,Inputs!$C$68)),"")</f>
      </c>
      <c r="H4815" s="34"/>
      <c r="I4815" s="42">
        <f>IF(AND(ISNUMBER(D4815),ISNUMBER(H4815)),D4815*H4815*Inputs!$C$69,"")</f>
      </c>
      <c r="J4815" s="42">
        <f>IF(AND(ISNUMBER(F4815),ISNUMBER(H4815),F4815&gt;=Inputs!$C$68),F4815*H4815*Inputs!$C$69,"")</f>
      </c>
    </row>
    <row r="4816" spans="2:10" ht="15" customHeight="1" x14ac:dyDescent="0.2">
      <c r="B4816" s="39">
        <f t="shared" si="36"/>
      </c>
      <c r="C4816" s="40">
        <f>IF(Inputs!$C$60,Inputs!$C$11+(B4816-Inputs!$C$69)/Inputs!$C$70,"")</f>
      </c>
      <c r="D4816" s="15"/>
      <c r="E4816" s="15"/>
      <c r="F4816" s="11">
        <f t="shared" si="37"/>
      </c>
      <c r="G4816" s="22" cm="1">
        <f t="array" ref="G4816">IF(AND(Inputs!$C$60,Inputs!$C$61),INDEX(Utility_Rates!$C$29:$F$52,HOUR(C4816)+Inputs!$C$69,MATCH(INDEX(Utility_Rates!$K$6:$K$17,MONTH(C4816))&amp;IF(WEEKDAY(C4816,Inputs!$C$76)&lt;=Inputs!$C$74," weekday"," weekend"),Utility_Rates!$C$28:$F$28,Inputs!$C$68)),"")</f>
      </c>
      <c r="H4816" s="34"/>
      <c r="I4816" s="42">
        <f>IF(AND(ISNUMBER(D4816),ISNUMBER(H4816)),D4816*H4816*Inputs!$C$69,"")</f>
      </c>
      <c r="J4816" s="42">
        <f>IF(AND(ISNUMBER(F4816),ISNUMBER(H4816),F4816&gt;=Inputs!$C$68),F4816*H4816*Inputs!$C$69,"")</f>
      </c>
    </row>
    <row r="4817" spans="2:10" ht="15" customHeight="1" x14ac:dyDescent="0.2">
      <c r="B4817" s="39">
        <f t="shared" si="36"/>
      </c>
      <c r="C4817" s="40">
        <f>IF(Inputs!$C$60,Inputs!$C$11+(B4817-Inputs!$C$69)/Inputs!$C$70,"")</f>
      </c>
      <c r="D4817" s="15"/>
      <c r="E4817" s="15"/>
      <c r="F4817" s="11">
        <f t="shared" si="37"/>
      </c>
      <c r="G4817" s="22" cm="1">
        <f t="array" ref="G4817">IF(AND(Inputs!$C$60,Inputs!$C$61),INDEX(Utility_Rates!$C$29:$F$52,HOUR(C4817)+Inputs!$C$69,MATCH(INDEX(Utility_Rates!$K$6:$K$17,MONTH(C4817))&amp;IF(WEEKDAY(C4817,Inputs!$C$76)&lt;=Inputs!$C$74," weekday"," weekend"),Utility_Rates!$C$28:$F$28,Inputs!$C$68)),"")</f>
      </c>
      <c r="H4817" s="34"/>
      <c r="I4817" s="42">
        <f>IF(AND(ISNUMBER(D4817),ISNUMBER(H4817)),D4817*H4817*Inputs!$C$69,"")</f>
      </c>
      <c r="J4817" s="42">
        <f>IF(AND(ISNUMBER(F4817),ISNUMBER(H4817),F4817&gt;=Inputs!$C$68),F4817*H4817*Inputs!$C$69,"")</f>
      </c>
    </row>
    <row r="4818" spans="2:10" ht="15" customHeight="1" x14ac:dyDescent="0.2">
      <c r="B4818" s="39">
        <f t="shared" si="36"/>
      </c>
      <c r="C4818" s="40">
        <f>IF(Inputs!$C$60,Inputs!$C$11+(B4818-Inputs!$C$69)/Inputs!$C$70,"")</f>
      </c>
      <c r="D4818" s="15"/>
      <c r="E4818" s="15"/>
      <c r="F4818" s="11">
        <f t="shared" si="37"/>
      </c>
      <c r="G4818" s="22" cm="1">
        <f t="array" ref="G4818">IF(AND(Inputs!$C$60,Inputs!$C$61),INDEX(Utility_Rates!$C$29:$F$52,HOUR(C4818)+Inputs!$C$69,MATCH(INDEX(Utility_Rates!$K$6:$K$17,MONTH(C4818))&amp;IF(WEEKDAY(C4818,Inputs!$C$76)&lt;=Inputs!$C$74," weekday"," weekend"),Utility_Rates!$C$28:$F$28,Inputs!$C$68)),"")</f>
      </c>
      <c r="H4818" s="34"/>
      <c r="I4818" s="42">
        <f>IF(AND(ISNUMBER(D4818),ISNUMBER(H4818)),D4818*H4818*Inputs!$C$69,"")</f>
      </c>
      <c r="J4818" s="42">
        <f>IF(AND(ISNUMBER(F4818),ISNUMBER(H4818),F4818&gt;=Inputs!$C$68),F4818*H4818*Inputs!$C$69,"")</f>
      </c>
    </row>
    <row r="4819" spans="2:10" ht="15" customHeight="1" x14ac:dyDescent="0.2">
      <c r="B4819" s="39">
        <f t="shared" si="36"/>
      </c>
      <c r="C4819" s="40">
        <f>IF(Inputs!$C$60,Inputs!$C$11+(B4819-Inputs!$C$69)/Inputs!$C$70,"")</f>
      </c>
      <c r="D4819" s="15"/>
      <c r="E4819" s="15"/>
      <c r="F4819" s="11">
        <f t="shared" si="37"/>
      </c>
      <c r="G4819" s="22" cm="1">
        <f t="array" ref="G4819">IF(AND(Inputs!$C$60,Inputs!$C$61),INDEX(Utility_Rates!$C$29:$F$52,HOUR(C4819)+Inputs!$C$69,MATCH(INDEX(Utility_Rates!$K$6:$K$17,MONTH(C4819))&amp;IF(WEEKDAY(C4819,Inputs!$C$76)&lt;=Inputs!$C$74," weekday"," weekend"),Utility_Rates!$C$28:$F$28,Inputs!$C$68)),"")</f>
      </c>
      <c r="H4819" s="34"/>
      <c r="I4819" s="42">
        <f>IF(AND(ISNUMBER(D4819),ISNUMBER(H4819)),D4819*H4819*Inputs!$C$69,"")</f>
      </c>
      <c r="J4819" s="42">
        <f>IF(AND(ISNUMBER(F4819),ISNUMBER(H4819),F4819&gt;=Inputs!$C$68),F4819*H4819*Inputs!$C$69,"")</f>
      </c>
    </row>
    <row r="4820" spans="2:10" ht="15" customHeight="1" x14ac:dyDescent="0.2">
      <c r="B4820" s="39">
        <f t="shared" si="36"/>
      </c>
      <c r="C4820" s="40">
        <f>IF(Inputs!$C$60,Inputs!$C$11+(B4820-Inputs!$C$69)/Inputs!$C$70,"")</f>
      </c>
      <c r="D4820" s="15"/>
      <c r="E4820" s="15"/>
      <c r="F4820" s="11">
        <f t="shared" si="37"/>
      </c>
      <c r="G4820" s="22" cm="1">
        <f t="array" ref="G4820">IF(AND(Inputs!$C$60,Inputs!$C$61),INDEX(Utility_Rates!$C$29:$F$52,HOUR(C4820)+Inputs!$C$69,MATCH(INDEX(Utility_Rates!$K$6:$K$17,MONTH(C4820))&amp;IF(WEEKDAY(C4820,Inputs!$C$76)&lt;=Inputs!$C$74," weekday"," weekend"),Utility_Rates!$C$28:$F$28,Inputs!$C$68)),"")</f>
      </c>
      <c r="H4820" s="34"/>
      <c r="I4820" s="42">
        <f>IF(AND(ISNUMBER(D4820),ISNUMBER(H4820)),D4820*H4820*Inputs!$C$69,"")</f>
      </c>
      <c r="J4820" s="42">
        <f>IF(AND(ISNUMBER(F4820),ISNUMBER(H4820),F4820&gt;=Inputs!$C$68),F4820*H4820*Inputs!$C$69,"")</f>
      </c>
    </row>
    <row r="4821" spans="2:10" ht="15" customHeight="1" x14ac:dyDescent="0.2">
      <c r="B4821" s="39">
        <f t="shared" si="36"/>
      </c>
      <c r="C4821" s="40">
        <f>IF(Inputs!$C$60,Inputs!$C$11+(B4821-Inputs!$C$69)/Inputs!$C$70,"")</f>
      </c>
      <c r="D4821" s="15"/>
      <c r="E4821" s="15"/>
      <c r="F4821" s="11">
        <f t="shared" si="37"/>
      </c>
      <c r="G4821" s="22" cm="1">
        <f t="array" ref="G4821">IF(AND(Inputs!$C$60,Inputs!$C$61),INDEX(Utility_Rates!$C$29:$F$52,HOUR(C4821)+Inputs!$C$69,MATCH(INDEX(Utility_Rates!$K$6:$K$17,MONTH(C4821))&amp;IF(WEEKDAY(C4821,Inputs!$C$76)&lt;=Inputs!$C$74," weekday"," weekend"),Utility_Rates!$C$28:$F$28,Inputs!$C$68)),"")</f>
      </c>
      <c r="H4821" s="34"/>
      <c r="I4821" s="42">
        <f>IF(AND(ISNUMBER(D4821),ISNUMBER(H4821)),D4821*H4821*Inputs!$C$69,"")</f>
      </c>
      <c r="J4821" s="42">
        <f>IF(AND(ISNUMBER(F4821),ISNUMBER(H4821),F4821&gt;=Inputs!$C$68),F4821*H4821*Inputs!$C$69,"")</f>
      </c>
    </row>
    <row r="4822" spans="2:10" ht="15" customHeight="1" x14ac:dyDescent="0.2">
      <c r="B4822" s="39">
        <f t="shared" si="36"/>
      </c>
      <c r="C4822" s="40">
        <f>IF(Inputs!$C$60,Inputs!$C$11+(B4822-Inputs!$C$69)/Inputs!$C$70,"")</f>
      </c>
      <c r="D4822" s="15"/>
      <c r="E4822" s="15"/>
      <c r="F4822" s="11">
        <f t="shared" si="37"/>
      </c>
      <c r="G4822" s="22" cm="1">
        <f t="array" ref="G4822">IF(AND(Inputs!$C$60,Inputs!$C$61),INDEX(Utility_Rates!$C$29:$F$52,HOUR(C4822)+Inputs!$C$69,MATCH(INDEX(Utility_Rates!$K$6:$K$17,MONTH(C4822))&amp;IF(WEEKDAY(C4822,Inputs!$C$76)&lt;=Inputs!$C$74," weekday"," weekend"),Utility_Rates!$C$28:$F$28,Inputs!$C$68)),"")</f>
      </c>
      <c r="H4822" s="34"/>
      <c r="I4822" s="42">
        <f>IF(AND(ISNUMBER(D4822),ISNUMBER(H4822)),D4822*H4822*Inputs!$C$69,"")</f>
      </c>
      <c r="J4822" s="42">
        <f>IF(AND(ISNUMBER(F4822),ISNUMBER(H4822),F4822&gt;=Inputs!$C$68),F4822*H4822*Inputs!$C$69,"")</f>
      </c>
    </row>
    <row r="4823" spans="2:10" ht="15" customHeight="1" x14ac:dyDescent="0.2">
      <c r="B4823" s="39">
        <f t="shared" si="36"/>
      </c>
      <c r="C4823" s="40">
        <f>IF(Inputs!$C$60,Inputs!$C$11+(B4823-Inputs!$C$69)/Inputs!$C$70,"")</f>
      </c>
      <c r="D4823" s="15"/>
      <c r="E4823" s="15"/>
      <c r="F4823" s="11">
        <f t="shared" si="37"/>
      </c>
      <c r="G4823" s="22" cm="1">
        <f t="array" ref="G4823">IF(AND(Inputs!$C$60,Inputs!$C$61),INDEX(Utility_Rates!$C$29:$F$52,HOUR(C4823)+Inputs!$C$69,MATCH(INDEX(Utility_Rates!$K$6:$K$17,MONTH(C4823))&amp;IF(WEEKDAY(C4823,Inputs!$C$76)&lt;=Inputs!$C$74," weekday"," weekend"),Utility_Rates!$C$28:$F$28,Inputs!$C$68)),"")</f>
      </c>
      <c r="H4823" s="34"/>
      <c r="I4823" s="42">
        <f>IF(AND(ISNUMBER(D4823),ISNUMBER(H4823)),D4823*H4823*Inputs!$C$69,"")</f>
      </c>
      <c r="J4823" s="42">
        <f>IF(AND(ISNUMBER(F4823),ISNUMBER(H4823),F4823&gt;=Inputs!$C$68),F4823*H4823*Inputs!$C$69,"")</f>
      </c>
    </row>
    <row r="4824" spans="2:10" ht="15" customHeight="1" x14ac:dyDescent="0.2">
      <c r="B4824" s="39">
        <f t="shared" si="36"/>
      </c>
      <c r="C4824" s="40">
        <f>IF(Inputs!$C$60,Inputs!$C$11+(B4824-Inputs!$C$69)/Inputs!$C$70,"")</f>
      </c>
      <c r="D4824" s="15"/>
      <c r="E4824" s="15"/>
      <c r="F4824" s="11">
        <f t="shared" si="37"/>
      </c>
      <c r="G4824" s="22" cm="1">
        <f t="array" ref="G4824">IF(AND(Inputs!$C$60,Inputs!$C$61),INDEX(Utility_Rates!$C$29:$F$52,HOUR(C4824)+Inputs!$C$69,MATCH(INDEX(Utility_Rates!$K$6:$K$17,MONTH(C4824))&amp;IF(WEEKDAY(C4824,Inputs!$C$76)&lt;=Inputs!$C$74," weekday"," weekend"),Utility_Rates!$C$28:$F$28,Inputs!$C$68)),"")</f>
      </c>
      <c r="H4824" s="34"/>
      <c r="I4824" s="42">
        <f>IF(AND(ISNUMBER(D4824),ISNUMBER(H4824)),D4824*H4824*Inputs!$C$69,"")</f>
      </c>
      <c r="J4824" s="42">
        <f>IF(AND(ISNUMBER(F4824),ISNUMBER(H4824),F4824&gt;=Inputs!$C$68),F4824*H4824*Inputs!$C$69,"")</f>
      </c>
    </row>
    <row r="4825" spans="2:10" ht="15" customHeight="1" x14ac:dyDescent="0.2">
      <c r="B4825" s="39">
        <f t="shared" si="36"/>
      </c>
      <c r="C4825" s="40">
        <f>IF(Inputs!$C$60,Inputs!$C$11+(B4825-Inputs!$C$69)/Inputs!$C$70,"")</f>
      </c>
      <c r="D4825" s="15"/>
      <c r="E4825" s="15"/>
      <c r="F4825" s="11">
        <f t="shared" si="37"/>
      </c>
      <c r="G4825" s="22" cm="1">
        <f t="array" ref="G4825">IF(AND(Inputs!$C$60,Inputs!$C$61),INDEX(Utility_Rates!$C$29:$F$52,HOUR(C4825)+Inputs!$C$69,MATCH(INDEX(Utility_Rates!$K$6:$K$17,MONTH(C4825))&amp;IF(WEEKDAY(C4825,Inputs!$C$76)&lt;=Inputs!$C$74," weekday"," weekend"),Utility_Rates!$C$28:$F$28,Inputs!$C$68)),"")</f>
      </c>
      <c r="H4825" s="34"/>
      <c r="I4825" s="42">
        <f>IF(AND(ISNUMBER(D4825),ISNUMBER(H4825)),D4825*H4825*Inputs!$C$69,"")</f>
      </c>
      <c r="J4825" s="42">
        <f>IF(AND(ISNUMBER(F4825),ISNUMBER(H4825),F4825&gt;=Inputs!$C$68),F4825*H4825*Inputs!$C$69,"")</f>
      </c>
    </row>
    <row r="4826" spans="2:10" ht="15" customHeight="1" x14ac:dyDescent="0.2">
      <c r="B4826" s="39">
        <f t="shared" si="36"/>
      </c>
      <c r="C4826" s="40">
        <f>IF(Inputs!$C$60,Inputs!$C$11+(B4826-Inputs!$C$69)/Inputs!$C$70,"")</f>
      </c>
      <c r="D4826" s="15"/>
      <c r="E4826" s="15"/>
      <c r="F4826" s="11">
        <f t="shared" si="37"/>
      </c>
      <c r="G4826" s="22" cm="1">
        <f t="array" ref="G4826">IF(AND(Inputs!$C$60,Inputs!$C$61),INDEX(Utility_Rates!$C$29:$F$52,HOUR(C4826)+Inputs!$C$69,MATCH(INDEX(Utility_Rates!$K$6:$K$17,MONTH(C4826))&amp;IF(WEEKDAY(C4826,Inputs!$C$76)&lt;=Inputs!$C$74," weekday"," weekend"),Utility_Rates!$C$28:$F$28,Inputs!$C$68)),"")</f>
      </c>
      <c r="H4826" s="34"/>
      <c r="I4826" s="42">
        <f>IF(AND(ISNUMBER(D4826),ISNUMBER(H4826)),D4826*H4826*Inputs!$C$69,"")</f>
      </c>
      <c r="J4826" s="42">
        <f>IF(AND(ISNUMBER(F4826),ISNUMBER(H4826),F4826&gt;=Inputs!$C$68),F4826*H4826*Inputs!$C$69,"")</f>
      </c>
    </row>
    <row r="4827" spans="2:10" ht="15" customHeight="1" x14ac:dyDescent="0.2">
      <c r="B4827" s="39">
        <f t="shared" si="36"/>
      </c>
      <c r="C4827" s="40">
        <f>IF(Inputs!$C$60,Inputs!$C$11+(B4827-Inputs!$C$69)/Inputs!$C$70,"")</f>
      </c>
      <c r="D4827" s="15"/>
      <c r="E4827" s="15"/>
      <c r="F4827" s="11">
        <f t="shared" si="37"/>
      </c>
      <c r="G4827" s="22" cm="1">
        <f t="array" ref="G4827">IF(AND(Inputs!$C$60,Inputs!$C$61),INDEX(Utility_Rates!$C$29:$F$52,HOUR(C4827)+Inputs!$C$69,MATCH(INDEX(Utility_Rates!$K$6:$K$17,MONTH(C4827))&amp;IF(WEEKDAY(C4827,Inputs!$C$76)&lt;=Inputs!$C$74," weekday"," weekend"),Utility_Rates!$C$28:$F$28,Inputs!$C$68)),"")</f>
      </c>
      <c r="H4827" s="34"/>
      <c r="I4827" s="42">
        <f>IF(AND(ISNUMBER(D4827),ISNUMBER(H4827)),D4827*H4827*Inputs!$C$69,"")</f>
      </c>
      <c r="J4827" s="42">
        <f>IF(AND(ISNUMBER(F4827),ISNUMBER(H4827),F4827&gt;=Inputs!$C$68),F4827*H4827*Inputs!$C$69,"")</f>
      </c>
    </row>
    <row r="4828" spans="2:10" ht="15" customHeight="1" x14ac:dyDescent="0.2">
      <c r="B4828" s="39">
        <f t="shared" si="36"/>
      </c>
      <c r="C4828" s="40">
        <f>IF(Inputs!$C$60,Inputs!$C$11+(B4828-Inputs!$C$69)/Inputs!$C$70,"")</f>
      </c>
      <c r="D4828" s="15"/>
      <c r="E4828" s="15"/>
      <c r="F4828" s="11">
        <f t="shared" si="37"/>
      </c>
      <c r="G4828" s="22" cm="1">
        <f t="array" ref="G4828">IF(AND(Inputs!$C$60,Inputs!$C$61),INDEX(Utility_Rates!$C$29:$F$52,HOUR(C4828)+Inputs!$C$69,MATCH(INDEX(Utility_Rates!$K$6:$K$17,MONTH(C4828))&amp;IF(WEEKDAY(C4828,Inputs!$C$76)&lt;=Inputs!$C$74," weekday"," weekend"),Utility_Rates!$C$28:$F$28,Inputs!$C$68)),"")</f>
      </c>
      <c r="H4828" s="34"/>
      <c r="I4828" s="42">
        <f>IF(AND(ISNUMBER(D4828),ISNUMBER(H4828)),D4828*H4828*Inputs!$C$69,"")</f>
      </c>
      <c r="J4828" s="42">
        <f>IF(AND(ISNUMBER(F4828),ISNUMBER(H4828),F4828&gt;=Inputs!$C$68),F4828*H4828*Inputs!$C$69,"")</f>
      </c>
    </row>
    <row r="4829" spans="2:10" ht="15" customHeight="1" x14ac:dyDescent="0.2">
      <c r="B4829" s="39">
        <f t="shared" si="36"/>
      </c>
      <c r="C4829" s="40">
        <f>IF(Inputs!$C$60,Inputs!$C$11+(B4829-Inputs!$C$69)/Inputs!$C$70,"")</f>
      </c>
      <c r="D4829" s="15"/>
      <c r="E4829" s="15"/>
      <c r="F4829" s="11">
        <f t="shared" si="37"/>
      </c>
      <c r="G4829" s="22" cm="1">
        <f t="array" ref="G4829">IF(AND(Inputs!$C$60,Inputs!$C$61),INDEX(Utility_Rates!$C$29:$F$52,HOUR(C4829)+Inputs!$C$69,MATCH(INDEX(Utility_Rates!$K$6:$K$17,MONTH(C4829))&amp;IF(WEEKDAY(C4829,Inputs!$C$76)&lt;=Inputs!$C$74," weekday"," weekend"),Utility_Rates!$C$28:$F$28,Inputs!$C$68)),"")</f>
      </c>
      <c r="H4829" s="34"/>
      <c r="I4829" s="42">
        <f>IF(AND(ISNUMBER(D4829),ISNUMBER(H4829)),D4829*H4829*Inputs!$C$69,"")</f>
      </c>
      <c r="J4829" s="42">
        <f>IF(AND(ISNUMBER(F4829),ISNUMBER(H4829),F4829&gt;=Inputs!$C$68),F4829*H4829*Inputs!$C$69,"")</f>
      </c>
    </row>
    <row r="4830" spans="2:10" ht="15" customHeight="1" x14ac:dyDescent="0.2">
      <c r="B4830" s="39">
        <f t="shared" si="36"/>
      </c>
      <c r="C4830" s="40">
        <f>IF(Inputs!$C$60,Inputs!$C$11+(B4830-Inputs!$C$69)/Inputs!$C$70,"")</f>
      </c>
      <c r="D4830" s="15"/>
      <c r="E4830" s="15"/>
      <c r="F4830" s="11">
        <f t="shared" si="37"/>
      </c>
      <c r="G4830" s="22" cm="1">
        <f t="array" ref="G4830">IF(AND(Inputs!$C$60,Inputs!$C$61),INDEX(Utility_Rates!$C$29:$F$52,HOUR(C4830)+Inputs!$C$69,MATCH(INDEX(Utility_Rates!$K$6:$K$17,MONTH(C4830))&amp;IF(WEEKDAY(C4830,Inputs!$C$76)&lt;=Inputs!$C$74," weekday"," weekend"),Utility_Rates!$C$28:$F$28,Inputs!$C$68)),"")</f>
      </c>
      <c r="H4830" s="34"/>
      <c r="I4830" s="42">
        <f>IF(AND(ISNUMBER(D4830),ISNUMBER(H4830)),D4830*H4830*Inputs!$C$69,"")</f>
      </c>
      <c r="J4830" s="42">
        <f>IF(AND(ISNUMBER(F4830),ISNUMBER(H4830),F4830&gt;=Inputs!$C$68),F4830*H4830*Inputs!$C$69,"")</f>
      </c>
    </row>
    <row r="4831" spans="2:10" ht="15" customHeight="1" x14ac:dyDescent="0.2">
      <c r="B4831" s="39">
        <f t="shared" si="36"/>
      </c>
      <c r="C4831" s="40">
        <f>IF(Inputs!$C$60,Inputs!$C$11+(B4831-Inputs!$C$69)/Inputs!$C$70,"")</f>
      </c>
      <c r="D4831" s="15"/>
      <c r="E4831" s="15"/>
      <c r="F4831" s="11">
        <f t="shared" si="37"/>
      </c>
      <c r="G4831" s="22" cm="1">
        <f t="array" ref="G4831">IF(AND(Inputs!$C$60,Inputs!$C$61),INDEX(Utility_Rates!$C$29:$F$52,HOUR(C4831)+Inputs!$C$69,MATCH(INDEX(Utility_Rates!$K$6:$K$17,MONTH(C4831))&amp;IF(WEEKDAY(C4831,Inputs!$C$76)&lt;=Inputs!$C$74," weekday"," weekend"),Utility_Rates!$C$28:$F$28,Inputs!$C$68)),"")</f>
      </c>
      <c r="H4831" s="34"/>
      <c r="I4831" s="42">
        <f>IF(AND(ISNUMBER(D4831),ISNUMBER(H4831)),D4831*H4831*Inputs!$C$69,"")</f>
      </c>
      <c r="J4831" s="42">
        <f>IF(AND(ISNUMBER(F4831),ISNUMBER(H4831),F4831&gt;=Inputs!$C$68),F4831*H4831*Inputs!$C$69,"")</f>
      </c>
    </row>
    <row r="4832" spans="2:10" ht="15" customHeight="1" x14ac:dyDescent="0.2">
      <c r="B4832" s="39">
        <f t="shared" si="36"/>
      </c>
      <c r="C4832" s="40">
        <f>IF(Inputs!$C$60,Inputs!$C$11+(B4832-Inputs!$C$69)/Inputs!$C$70,"")</f>
      </c>
      <c r="D4832" s="15"/>
      <c r="E4832" s="15"/>
      <c r="F4832" s="11">
        <f t="shared" si="37"/>
      </c>
      <c r="G4832" s="22" cm="1">
        <f t="array" ref="G4832">IF(AND(Inputs!$C$60,Inputs!$C$61),INDEX(Utility_Rates!$C$29:$F$52,HOUR(C4832)+Inputs!$C$69,MATCH(INDEX(Utility_Rates!$K$6:$K$17,MONTH(C4832))&amp;IF(WEEKDAY(C4832,Inputs!$C$76)&lt;=Inputs!$C$74," weekday"," weekend"),Utility_Rates!$C$28:$F$28,Inputs!$C$68)),"")</f>
      </c>
      <c r="H4832" s="34"/>
      <c r="I4832" s="42">
        <f>IF(AND(ISNUMBER(D4832),ISNUMBER(H4832)),D4832*H4832*Inputs!$C$69,"")</f>
      </c>
      <c r="J4832" s="42">
        <f>IF(AND(ISNUMBER(F4832),ISNUMBER(H4832),F4832&gt;=Inputs!$C$68),F4832*H4832*Inputs!$C$69,"")</f>
      </c>
    </row>
    <row r="4833" spans="2:10" ht="15" customHeight="1" x14ac:dyDescent="0.2">
      <c r="B4833" s="39">
        <f t="shared" si="36"/>
      </c>
      <c r="C4833" s="40">
        <f>IF(Inputs!$C$60,Inputs!$C$11+(B4833-Inputs!$C$69)/Inputs!$C$70,"")</f>
      </c>
      <c r="D4833" s="15"/>
      <c r="E4833" s="15"/>
      <c r="F4833" s="11">
        <f t="shared" si="37"/>
      </c>
      <c r="G4833" s="22" cm="1">
        <f t="array" ref="G4833">IF(AND(Inputs!$C$60,Inputs!$C$61),INDEX(Utility_Rates!$C$29:$F$52,HOUR(C4833)+Inputs!$C$69,MATCH(INDEX(Utility_Rates!$K$6:$K$17,MONTH(C4833))&amp;IF(WEEKDAY(C4833,Inputs!$C$76)&lt;=Inputs!$C$74," weekday"," weekend"),Utility_Rates!$C$28:$F$28,Inputs!$C$68)),"")</f>
      </c>
      <c r="H4833" s="34"/>
      <c r="I4833" s="42">
        <f>IF(AND(ISNUMBER(D4833),ISNUMBER(H4833)),D4833*H4833*Inputs!$C$69,"")</f>
      </c>
      <c r="J4833" s="42">
        <f>IF(AND(ISNUMBER(F4833),ISNUMBER(H4833),F4833&gt;=Inputs!$C$68),F4833*H4833*Inputs!$C$69,"")</f>
      </c>
    </row>
    <row r="4834" spans="2:10" ht="15" customHeight="1" x14ac:dyDescent="0.2">
      <c r="B4834" s="39">
        <f t="shared" si="36"/>
      </c>
      <c r="C4834" s="40">
        <f>IF(Inputs!$C$60,Inputs!$C$11+(B4834-Inputs!$C$69)/Inputs!$C$70,"")</f>
      </c>
      <c r="D4834" s="15"/>
      <c r="E4834" s="15"/>
      <c r="F4834" s="11">
        <f t="shared" si="37"/>
      </c>
      <c r="G4834" s="22" cm="1">
        <f t="array" ref="G4834">IF(AND(Inputs!$C$60,Inputs!$C$61),INDEX(Utility_Rates!$C$29:$F$52,HOUR(C4834)+Inputs!$C$69,MATCH(INDEX(Utility_Rates!$K$6:$K$17,MONTH(C4834))&amp;IF(WEEKDAY(C4834,Inputs!$C$76)&lt;=Inputs!$C$74," weekday"," weekend"),Utility_Rates!$C$28:$F$28,Inputs!$C$68)),"")</f>
      </c>
      <c r="H4834" s="34"/>
      <c r="I4834" s="42">
        <f>IF(AND(ISNUMBER(D4834),ISNUMBER(H4834)),D4834*H4834*Inputs!$C$69,"")</f>
      </c>
      <c r="J4834" s="42">
        <f>IF(AND(ISNUMBER(F4834),ISNUMBER(H4834),F4834&gt;=Inputs!$C$68),F4834*H4834*Inputs!$C$69,"")</f>
      </c>
    </row>
    <row r="4835" spans="2:10" ht="15" customHeight="1" x14ac:dyDescent="0.2">
      <c r="B4835" s="39">
        <f t="shared" si="36"/>
      </c>
      <c r="C4835" s="40">
        <f>IF(Inputs!$C$60,Inputs!$C$11+(B4835-Inputs!$C$69)/Inputs!$C$70,"")</f>
      </c>
      <c r="D4835" s="15"/>
      <c r="E4835" s="15"/>
      <c r="F4835" s="11">
        <f t="shared" si="37"/>
      </c>
      <c r="G4835" s="22" cm="1">
        <f t="array" ref="G4835">IF(AND(Inputs!$C$60,Inputs!$C$61),INDEX(Utility_Rates!$C$29:$F$52,HOUR(C4835)+Inputs!$C$69,MATCH(INDEX(Utility_Rates!$K$6:$K$17,MONTH(C4835))&amp;IF(WEEKDAY(C4835,Inputs!$C$76)&lt;=Inputs!$C$74," weekday"," weekend"),Utility_Rates!$C$28:$F$28,Inputs!$C$68)),"")</f>
      </c>
      <c r="H4835" s="34"/>
      <c r="I4835" s="42">
        <f>IF(AND(ISNUMBER(D4835),ISNUMBER(H4835)),D4835*H4835*Inputs!$C$69,"")</f>
      </c>
      <c r="J4835" s="42">
        <f>IF(AND(ISNUMBER(F4835),ISNUMBER(H4835),F4835&gt;=Inputs!$C$68),F4835*H4835*Inputs!$C$69,"")</f>
      </c>
    </row>
    <row r="4836" spans="2:10" ht="15" customHeight="1" x14ac:dyDescent="0.2">
      <c r="B4836" s="39">
        <f t="shared" si="36"/>
      </c>
      <c r="C4836" s="40">
        <f>IF(Inputs!$C$60,Inputs!$C$11+(B4836-Inputs!$C$69)/Inputs!$C$70,"")</f>
      </c>
      <c r="D4836" s="15"/>
      <c r="E4836" s="15"/>
      <c r="F4836" s="11">
        <f t="shared" si="37"/>
      </c>
      <c r="G4836" s="22" cm="1">
        <f t="array" ref="G4836">IF(AND(Inputs!$C$60,Inputs!$C$61),INDEX(Utility_Rates!$C$29:$F$52,HOUR(C4836)+Inputs!$C$69,MATCH(INDEX(Utility_Rates!$K$6:$K$17,MONTH(C4836))&amp;IF(WEEKDAY(C4836,Inputs!$C$76)&lt;=Inputs!$C$74," weekday"," weekend"),Utility_Rates!$C$28:$F$28,Inputs!$C$68)),"")</f>
      </c>
      <c r="H4836" s="34"/>
      <c r="I4836" s="42">
        <f>IF(AND(ISNUMBER(D4836),ISNUMBER(H4836)),D4836*H4836*Inputs!$C$69,"")</f>
      </c>
      <c r="J4836" s="42">
        <f>IF(AND(ISNUMBER(F4836),ISNUMBER(H4836),F4836&gt;=Inputs!$C$68),F4836*H4836*Inputs!$C$69,"")</f>
      </c>
    </row>
    <row r="4837" spans="2:10" ht="15" customHeight="1" x14ac:dyDescent="0.2">
      <c r="B4837" s="39">
        <f t="shared" si="36"/>
      </c>
      <c r="C4837" s="40">
        <f>IF(Inputs!$C$60,Inputs!$C$11+(B4837-Inputs!$C$69)/Inputs!$C$70,"")</f>
      </c>
      <c r="D4837" s="15"/>
      <c r="E4837" s="15"/>
      <c r="F4837" s="11">
        <f t="shared" si="37"/>
      </c>
      <c r="G4837" s="22" cm="1">
        <f t="array" ref="G4837">IF(AND(Inputs!$C$60,Inputs!$C$61),INDEX(Utility_Rates!$C$29:$F$52,HOUR(C4837)+Inputs!$C$69,MATCH(INDEX(Utility_Rates!$K$6:$K$17,MONTH(C4837))&amp;IF(WEEKDAY(C4837,Inputs!$C$76)&lt;=Inputs!$C$74," weekday"," weekend"),Utility_Rates!$C$28:$F$28,Inputs!$C$68)),"")</f>
      </c>
      <c r="H4837" s="34"/>
      <c r="I4837" s="42">
        <f>IF(AND(ISNUMBER(D4837),ISNUMBER(H4837)),D4837*H4837*Inputs!$C$69,"")</f>
      </c>
      <c r="J4837" s="42">
        <f>IF(AND(ISNUMBER(F4837),ISNUMBER(H4837),F4837&gt;=Inputs!$C$68),F4837*H4837*Inputs!$C$69,"")</f>
      </c>
    </row>
    <row r="4838" spans="2:10" ht="15" customHeight="1" x14ac:dyDescent="0.2">
      <c r="B4838" s="39">
        <f t="shared" si="36"/>
      </c>
      <c r="C4838" s="40">
        <f>IF(Inputs!$C$60,Inputs!$C$11+(B4838-Inputs!$C$69)/Inputs!$C$70,"")</f>
      </c>
      <c r="D4838" s="15"/>
      <c r="E4838" s="15"/>
      <c r="F4838" s="11">
        <f t="shared" si="37"/>
      </c>
      <c r="G4838" s="22" cm="1">
        <f t="array" ref="G4838">IF(AND(Inputs!$C$60,Inputs!$C$61),INDEX(Utility_Rates!$C$29:$F$52,HOUR(C4838)+Inputs!$C$69,MATCH(INDEX(Utility_Rates!$K$6:$K$17,MONTH(C4838))&amp;IF(WEEKDAY(C4838,Inputs!$C$76)&lt;=Inputs!$C$74," weekday"," weekend"),Utility_Rates!$C$28:$F$28,Inputs!$C$68)),"")</f>
      </c>
      <c r="H4838" s="34"/>
      <c r="I4838" s="42">
        <f>IF(AND(ISNUMBER(D4838),ISNUMBER(H4838)),D4838*H4838*Inputs!$C$69,"")</f>
      </c>
      <c r="J4838" s="42">
        <f>IF(AND(ISNUMBER(F4838),ISNUMBER(H4838),F4838&gt;=Inputs!$C$68),F4838*H4838*Inputs!$C$69,"")</f>
      </c>
    </row>
    <row r="4839" spans="2:10" ht="15" customHeight="1" x14ac:dyDescent="0.2">
      <c r="B4839" s="39">
        <f t="shared" si="36"/>
      </c>
      <c r="C4839" s="40">
        <f>IF(Inputs!$C$60,Inputs!$C$11+(B4839-Inputs!$C$69)/Inputs!$C$70,"")</f>
      </c>
      <c r="D4839" s="15"/>
      <c r="E4839" s="15"/>
      <c r="F4839" s="11">
        <f t="shared" si="37"/>
      </c>
      <c r="G4839" s="22" cm="1">
        <f t="array" ref="G4839">IF(AND(Inputs!$C$60,Inputs!$C$61),INDEX(Utility_Rates!$C$29:$F$52,HOUR(C4839)+Inputs!$C$69,MATCH(INDEX(Utility_Rates!$K$6:$K$17,MONTH(C4839))&amp;IF(WEEKDAY(C4839,Inputs!$C$76)&lt;=Inputs!$C$74," weekday"," weekend"),Utility_Rates!$C$28:$F$28,Inputs!$C$68)),"")</f>
      </c>
      <c r="H4839" s="34"/>
      <c r="I4839" s="42">
        <f>IF(AND(ISNUMBER(D4839),ISNUMBER(H4839)),D4839*H4839*Inputs!$C$69,"")</f>
      </c>
      <c r="J4839" s="42">
        <f>IF(AND(ISNUMBER(F4839),ISNUMBER(H4839),F4839&gt;=Inputs!$C$68),F4839*H4839*Inputs!$C$69,"")</f>
      </c>
    </row>
    <row r="4840" spans="2:10" ht="15" customHeight="1" x14ac:dyDescent="0.2">
      <c r="B4840" s="39">
        <f t="shared" si="36"/>
      </c>
      <c r="C4840" s="40">
        <f>IF(Inputs!$C$60,Inputs!$C$11+(B4840-Inputs!$C$69)/Inputs!$C$70,"")</f>
      </c>
      <c r="D4840" s="15"/>
      <c r="E4840" s="15"/>
      <c r="F4840" s="11">
        <f t="shared" si="37"/>
      </c>
      <c r="G4840" s="22" cm="1">
        <f t="array" ref="G4840">IF(AND(Inputs!$C$60,Inputs!$C$61),INDEX(Utility_Rates!$C$29:$F$52,HOUR(C4840)+Inputs!$C$69,MATCH(INDEX(Utility_Rates!$K$6:$K$17,MONTH(C4840))&amp;IF(WEEKDAY(C4840,Inputs!$C$76)&lt;=Inputs!$C$74," weekday"," weekend"),Utility_Rates!$C$28:$F$28,Inputs!$C$68)),"")</f>
      </c>
      <c r="H4840" s="34"/>
      <c r="I4840" s="42">
        <f>IF(AND(ISNUMBER(D4840),ISNUMBER(H4840)),D4840*H4840*Inputs!$C$69,"")</f>
      </c>
      <c r="J4840" s="42">
        <f>IF(AND(ISNUMBER(F4840),ISNUMBER(H4840),F4840&gt;=Inputs!$C$68),F4840*H4840*Inputs!$C$69,"")</f>
      </c>
    </row>
    <row r="4841" spans="2:10" ht="15" customHeight="1" x14ac:dyDescent="0.2">
      <c r="B4841" s="39">
        <f t="shared" si="36"/>
      </c>
      <c r="C4841" s="40">
        <f>IF(Inputs!$C$60,Inputs!$C$11+(B4841-Inputs!$C$69)/Inputs!$C$70,"")</f>
      </c>
      <c r="D4841" s="15"/>
      <c r="E4841" s="15"/>
      <c r="F4841" s="11">
        <f t="shared" si="37"/>
      </c>
      <c r="G4841" s="22" cm="1">
        <f t="array" ref="G4841">IF(AND(Inputs!$C$60,Inputs!$C$61),INDEX(Utility_Rates!$C$29:$F$52,HOUR(C4841)+Inputs!$C$69,MATCH(INDEX(Utility_Rates!$K$6:$K$17,MONTH(C4841))&amp;IF(WEEKDAY(C4841,Inputs!$C$76)&lt;=Inputs!$C$74," weekday"," weekend"),Utility_Rates!$C$28:$F$28,Inputs!$C$68)),"")</f>
      </c>
      <c r="H4841" s="34"/>
      <c r="I4841" s="42">
        <f>IF(AND(ISNUMBER(D4841),ISNUMBER(H4841)),D4841*H4841*Inputs!$C$69,"")</f>
      </c>
      <c r="J4841" s="42">
        <f>IF(AND(ISNUMBER(F4841),ISNUMBER(H4841),F4841&gt;=Inputs!$C$68),F4841*H4841*Inputs!$C$69,"")</f>
      </c>
    </row>
    <row r="4842" spans="2:10" ht="15" customHeight="1" x14ac:dyDescent="0.2">
      <c r="B4842" s="39">
        <f t="shared" si="36"/>
      </c>
      <c r="C4842" s="40">
        <f>IF(Inputs!$C$60,Inputs!$C$11+(B4842-Inputs!$C$69)/Inputs!$C$70,"")</f>
      </c>
      <c r="D4842" s="15"/>
      <c r="E4842" s="15"/>
      <c r="F4842" s="11">
        <f t="shared" si="37"/>
      </c>
      <c r="G4842" s="22" cm="1">
        <f t="array" ref="G4842">IF(AND(Inputs!$C$60,Inputs!$C$61),INDEX(Utility_Rates!$C$29:$F$52,HOUR(C4842)+Inputs!$C$69,MATCH(INDEX(Utility_Rates!$K$6:$K$17,MONTH(C4842))&amp;IF(WEEKDAY(C4842,Inputs!$C$76)&lt;=Inputs!$C$74," weekday"," weekend"),Utility_Rates!$C$28:$F$28,Inputs!$C$68)),"")</f>
      </c>
      <c r="H4842" s="34"/>
      <c r="I4842" s="42">
        <f>IF(AND(ISNUMBER(D4842),ISNUMBER(H4842)),D4842*H4842*Inputs!$C$69,"")</f>
      </c>
      <c r="J4842" s="42">
        <f>IF(AND(ISNUMBER(F4842),ISNUMBER(H4842),F4842&gt;=Inputs!$C$68),F4842*H4842*Inputs!$C$69,"")</f>
      </c>
    </row>
    <row r="4843" spans="2:10" ht="15" customHeight="1" x14ac:dyDescent="0.2">
      <c r="B4843" s="39">
        <f t="shared" si="36"/>
      </c>
      <c r="C4843" s="40">
        <f>IF(Inputs!$C$60,Inputs!$C$11+(B4843-Inputs!$C$69)/Inputs!$C$70,"")</f>
      </c>
      <c r="D4843" s="15"/>
      <c r="E4843" s="15"/>
      <c r="F4843" s="11">
        <f t="shared" si="37"/>
      </c>
      <c r="G4843" s="22" cm="1">
        <f t="array" ref="G4843">IF(AND(Inputs!$C$60,Inputs!$C$61),INDEX(Utility_Rates!$C$29:$F$52,HOUR(C4843)+Inputs!$C$69,MATCH(INDEX(Utility_Rates!$K$6:$K$17,MONTH(C4843))&amp;IF(WEEKDAY(C4843,Inputs!$C$76)&lt;=Inputs!$C$74," weekday"," weekend"),Utility_Rates!$C$28:$F$28,Inputs!$C$68)),"")</f>
      </c>
      <c r="H4843" s="34"/>
      <c r="I4843" s="42">
        <f>IF(AND(ISNUMBER(D4843),ISNUMBER(H4843)),D4843*H4843*Inputs!$C$69,"")</f>
      </c>
      <c r="J4843" s="42">
        <f>IF(AND(ISNUMBER(F4843),ISNUMBER(H4843),F4843&gt;=Inputs!$C$68),F4843*H4843*Inputs!$C$69,"")</f>
      </c>
    </row>
    <row r="4844" spans="2:10" ht="15" customHeight="1" x14ac:dyDescent="0.2">
      <c r="B4844" s="39">
        <f t="shared" si="36"/>
      </c>
      <c r="C4844" s="40">
        <f>IF(Inputs!$C$60,Inputs!$C$11+(B4844-Inputs!$C$69)/Inputs!$C$70,"")</f>
      </c>
      <c r="D4844" s="15"/>
      <c r="E4844" s="15"/>
      <c r="F4844" s="11">
        <f t="shared" si="37"/>
      </c>
      <c r="G4844" s="22" cm="1">
        <f t="array" ref="G4844">IF(AND(Inputs!$C$60,Inputs!$C$61),INDEX(Utility_Rates!$C$29:$F$52,HOUR(C4844)+Inputs!$C$69,MATCH(INDEX(Utility_Rates!$K$6:$K$17,MONTH(C4844))&amp;IF(WEEKDAY(C4844,Inputs!$C$76)&lt;=Inputs!$C$74," weekday"," weekend"),Utility_Rates!$C$28:$F$28,Inputs!$C$68)),"")</f>
      </c>
      <c r="H4844" s="34"/>
      <c r="I4844" s="42">
        <f>IF(AND(ISNUMBER(D4844),ISNUMBER(H4844)),D4844*H4844*Inputs!$C$69,"")</f>
      </c>
      <c r="J4844" s="42">
        <f>IF(AND(ISNUMBER(F4844),ISNUMBER(H4844),F4844&gt;=Inputs!$C$68),F4844*H4844*Inputs!$C$69,"")</f>
      </c>
    </row>
    <row r="4845" spans="2:10" ht="15" customHeight="1" x14ac:dyDescent="0.2">
      <c r="B4845" s="39">
        <f t="shared" si="36"/>
      </c>
      <c r="C4845" s="40">
        <f>IF(Inputs!$C$60,Inputs!$C$11+(B4845-Inputs!$C$69)/Inputs!$C$70,"")</f>
      </c>
      <c r="D4845" s="15"/>
      <c r="E4845" s="15"/>
      <c r="F4845" s="11">
        <f t="shared" si="37"/>
      </c>
      <c r="G4845" s="22" cm="1">
        <f t="array" ref="G4845">IF(AND(Inputs!$C$60,Inputs!$C$61),INDEX(Utility_Rates!$C$29:$F$52,HOUR(C4845)+Inputs!$C$69,MATCH(INDEX(Utility_Rates!$K$6:$K$17,MONTH(C4845))&amp;IF(WEEKDAY(C4845,Inputs!$C$76)&lt;=Inputs!$C$74," weekday"," weekend"),Utility_Rates!$C$28:$F$28,Inputs!$C$68)),"")</f>
      </c>
      <c r="H4845" s="34"/>
      <c r="I4845" s="42">
        <f>IF(AND(ISNUMBER(D4845),ISNUMBER(H4845)),D4845*H4845*Inputs!$C$69,"")</f>
      </c>
      <c r="J4845" s="42">
        <f>IF(AND(ISNUMBER(F4845),ISNUMBER(H4845),F4845&gt;=Inputs!$C$68),F4845*H4845*Inputs!$C$69,"")</f>
      </c>
    </row>
    <row r="4846" spans="2:10" ht="15" customHeight="1" x14ac:dyDescent="0.2">
      <c r="B4846" s="39">
        <f t="shared" si="36"/>
      </c>
      <c r="C4846" s="40">
        <f>IF(Inputs!$C$60,Inputs!$C$11+(B4846-Inputs!$C$69)/Inputs!$C$70,"")</f>
      </c>
      <c r="D4846" s="15"/>
      <c r="E4846" s="15"/>
      <c r="F4846" s="11">
        <f t="shared" si="37"/>
      </c>
      <c r="G4846" s="22" cm="1">
        <f t="array" ref="G4846">IF(AND(Inputs!$C$60,Inputs!$C$61),INDEX(Utility_Rates!$C$29:$F$52,HOUR(C4846)+Inputs!$C$69,MATCH(INDEX(Utility_Rates!$K$6:$K$17,MONTH(C4846))&amp;IF(WEEKDAY(C4846,Inputs!$C$76)&lt;=Inputs!$C$74," weekday"," weekend"),Utility_Rates!$C$28:$F$28,Inputs!$C$68)),"")</f>
      </c>
      <c r="H4846" s="34"/>
      <c r="I4846" s="42">
        <f>IF(AND(ISNUMBER(D4846),ISNUMBER(H4846)),D4846*H4846*Inputs!$C$69,"")</f>
      </c>
      <c r="J4846" s="42">
        <f>IF(AND(ISNUMBER(F4846),ISNUMBER(H4846),F4846&gt;=Inputs!$C$68),F4846*H4846*Inputs!$C$69,"")</f>
      </c>
    </row>
    <row r="4847" spans="2:10" ht="15" customHeight="1" x14ac:dyDescent="0.2">
      <c r="B4847" s="39">
        <f t="shared" si="36"/>
      </c>
      <c r="C4847" s="40">
        <f>IF(Inputs!$C$60,Inputs!$C$11+(B4847-Inputs!$C$69)/Inputs!$C$70,"")</f>
      </c>
      <c r="D4847" s="15"/>
      <c r="E4847" s="15"/>
      <c r="F4847" s="11">
        <f t="shared" si="37"/>
      </c>
      <c r="G4847" s="22" cm="1">
        <f t="array" ref="G4847">IF(AND(Inputs!$C$60,Inputs!$C$61),INDEX(Utility_Rates!$C$29:$F$52,HOUR(C4847)+Inputs!$C$69,MATCH(INDEX(Utility_Rates!$K$6:$K$17,MONTH(C4847))&amp;IF(WEEKDAY(C4847,Inputs!$C$76)&lt;=Inputs!$C$74," weekday"," weekend"),Utility_Rates!$C$28:$F$28,Inputs!$C$68)),"")</f>
      </c>
      <c r="H4847" s="34"/>
      <c r="I4847" s="42">
        <f>IF(AND(ISNUMBER(D4847),ISNUMBER(H4847)),D4847*H4847*Inputs!$C$69,"")</f>
      </c>
      <c r="J4847" s="42">
        <f>IF(AND(ISNUMBER(F4847),ISNUMBER(H4847),F4847&gt;=Inputs!$C$68),F4847*H4847*Inputs!$C$69,"")</f>
      </c>
    </row>
    <row r="4848" spans="2:10" ht="15" customHeight="1" x14ac:dyDescent="0.2">
      <c r="B4848" s="39">
        <f t="shared" si="36"/>
      </c>
      <c r="C4848" s="40">
        <f>IF(Inputs!$C$60,Inputs!$C$11+(B4848-Inputs!$C$69)/Inputs!$C$70,"")</f>
      </c>
      <c r="D4848" s="15"/>
      <c r="E4848" s="15"/>
      <c r="F4848" s="11">
        <f t="shared" si="37"/>
      </c>
      <c r="G4848" s="22" cm="1">
        <f t="array" ref="G4848">IF(AND(Inputs!$C$60,Inputs!$C$61),INDEX(Utility_Rates!$C$29:$F$52,HOUR(C4848)+Inputs!$C$69,MATCH(INDEX(Utility_Rates!$K$6:$K$17,MONTH(C4848))&amp;IF(WEEKDAY(C4848,Inputs!$C$76)&lt;=Inputs!$C$74," weekday"," weekend"),Utility_Rates!$C$28:$F$28,Inputs!$C$68)),"")</f>
      </c>
      <c r="H4848" s="34"/>
      <c r="I4848" s="42">
        <f>IF(AND(ISNUMBER(D4848),ISNUMBER(H4848)),D4848*H4848*Inputs!$C$69,"")</f>
      </c>
      <c r="J4848" s="42">
        <f>IF(AND(ISNUMBER(F4848),ISNUMBER(H4848),F4848&gt;=Inputs!$C$68),F4848*H4848*Inputs!$C$69,"")</f>
      </c>
    </row>
    <row r="4849" spans="2:10" ht="15" customHeight="1" x14ac:dyDescent="0.2">
      <c r="B4849" s="39">
        <f t="shared" si="36"/>
      </c>
      <c r="C4849" s="40">
        <f>IF(Inputs!$C$60,Inputs!$C$11+(B4849-Inputs!$C$69)/Inputs!$C$70,"")</f>
      </c>
      <c r="D4849" s="15"/>
      <c r="E4849" s="15"/>
      <c r="F4849" s="11">
        <f t="shared" si="37"/>
      </c>
      <c r="G4849" s="22" cm="1">
        <f t="array" ref="G4849">IF(AND(Inputs!$C$60,Inputs!$C$61),INDEX(Utility_Rates!$C$29:$F$52,HOUR(C4849)+Inputs!$C$69,MATCH(INDEX(Utility_Rates!$K$6:$K$17,MONTH(C4849))&amp;IF(WEEKDAY(C4849,Inputs!$C$76)&lt;=Inputs!$C$74," weekday"," weekend"),Utility_Rates!$C$28:$F$28,Inputs!$C$68)),"")</f>
      </c>
      <c r="H4849" s="34"/>
      <c r="I4849" s="42">
        <f>IF(AND(ISNUMBER(D4849),ISNUMBER(H4849)),D4849*H4849*Inputs!$C$69,"")</f>
      </c>
      <c r="J4849" s="42">
        <f>IF(AND(ISNUMBER(F4849),ISNUMBER(H4849),F4849&gt;=Inputs!$C$68),F4849*H4849*Inputs!$C$69,"")</f>
      </c>
    </row>
    <row r="4850" spans="2:10" ht="15" customHeight="1" x14ac:dyDescent="0.2">
      <c r="B4850" s="39">
        <f t="shared" si="36"/>
      </c>
      <c r="C4850" s="40">
        <f>IF(Inputs!$C$60,Inputs!$C$11+(B4850-Inputs!$C$69)/Inputs!$C$70,"")</f>
      </c>
      <c r="D4850" s="15"/>
      <c r="E4850" s="15"/>
      <c r="F4850" s="11">
        <f t="shared" si="37"/>
      </c>
      <c r="G4850" s="22" cm="1">
        <f t="array" ref="G4850">IF(AND(Inputs!$C$60,Inputs!$C$61),INDEX(Utility_Rates!$C$29:$F$52,HOUR(C4850)+Inputs!$C$69,MATCH(INDEX(Utility_Rates!$K$6:$K$17,MONTH(C4850))&amp;IF(WEEKDAY(C4850,Inputs!$C$76)&lt;=Inputs!$C$74," weekday"," weekend"),Utility_Rates!$C$28:$F$28,Inputs!$C$68)),"")</f>
      </c>
      <c r="H4850" s="34"/>
      <c r="I4850" s="42">
        <f>IF(AND(ISNUMBER(D4850),ISNUMBER(H4850)),D4850*H4850*Inputs!$C$69,"")</f>
      </c>
      <c r="J4850" s="42">
        <f>IF(AND(ISNUMBER(F4850),ISNUMBER(H4850),F4850&gt;=Inputs!$C$68),F4850*H4850*Inputs!$C$69,"")</f>
      </c>
    </row>
    <row r="4851" spans="2:10" ht="15" customHeight="1" x14ac:dyDescent="0.2">
      <c r="B4851" s="39">
        <f t="shared" ref="B4851:B5105" si="38">ROW()-ROW($B$5)</f>
      </c>
      <c r="C4851" s="40">
        <f>IF(Inputs!$C$60,Inputs!$C$11+(B4851-Inputs!$C$69)/Inputs!$C$70,"")</f>
      </c>
      <c r="D4851" s="15"/>
      <c r="E4851" s="15"/>
      <c r="F4851" s="11">
        <f t="shared" ref="F4851:F5105" si="39">IF(COUNT(D4851:E4851)=COLUMNS(D4851:E4851),D4851-E4851,"")</f>
      </c>
      <c r="G4851" s="22" cm="1">
        <f t="array" ref="G4851">IF(AND(Inputs!$C$60,Inputs!$C$61),INDEX(Utility_Rates!$C$29:$F$52,HOUR(C4851)+Inputs!$C$69,MATCH(INDEX(Utility_Rates!$K$6:$K$17,MONTH(C4851))&amp;IF(WEEKDAY(C4851,Inputs!$C$76)&lt;=Inputs!$C$74," weekday"," weekend"),Utility_Rates!$C$28:$F$28,Inputs!$C$68)),"")</f>
      </c>
      <c r="H4851" s="34"/>
      <c r="I4851" s="42">
        <f>IF(AND(ISNUMBER(D4851),ISNUMBER(H4851)),D4851*H4851*Inputs!$C$69,"")</f>
      </c>
      <c r="J4851" s="42">
        <f>IF(AND(ISNUMBER(F4851),ISNUMBER(H4851),F4851&gt;=Inputs!$C$68),F4851*H4851*Inputs!$C$69,"")</f>
      </c>
    </row>
    <row r="4852" spans="2:10" ht="15" customHeight="1" x14ac:dyDescent="0.2">
      <c r="B4852" s="39">
        <f t="shared" si="38"/>
      </c>
      <c r="C4852" s="40">
        <f>IF(Inputs!$C$60,Inputs!$C$11+(B4852-Inputs!$C$69)/Inputs!$C$70,"")</f>
      </c>
      <c r="D4852" s="15"/>
      <c r="E4852" s="15"/>
      <c r="F4852" s="11">
        <f t="shared" si="39"/>
      </c>
      <c r="G4852" s="22" cm="1">
        <f t="array" ref="G4852">IF(AND(Inputs!$C$60,Inputs!$C$61),INDEX(Utility_Rates!$C$29:$F$52,HOUR(C4852)+Inputs!$C$69,MATCH(INDEX(Utility_Rates!$K$6:$K$17,MONTH(C4852))&amp;IF(WEEKDAY(C4852,Inputs!$C$76)&lt;=Inputs!$C$74," weekday"," weekend"),Utility_Rates!$C$28:$F$28,Inputs!$C$68)),"")</f>
      </c>
      <c r="H4852" s="34"/>
      <c r="I4852" s="42">
        <f>IF(AND(ISNUMBER(D4852),ISNUMBER(H4852)),D4852*H4852*Inputs!$C$69,"")</f>
      </c>
      <c r="J4852" s="42">
        <f>IF(AND(ISNUMBER(F4852),ISNUMBER(H4852),F4852&gt;=Inputs!$C$68),F4852*H4852*Inputs!$C$69,"")</f>
      </c>
    </row>
    <row r="4853" spans="2:10" ht="15" customHeight="1" x14ac:dyDescent="0.2">
      <c r="B4853" s="39">
        <f t="shared" si="38"/>
      </c>
      <c r="C4853" s="40">
        <f>IF(Inputs!$C$60,Inputs!$C$11+(B4853-Inputs!$C$69)/Inputs!$C$70,"")</f>
      </c>
      <c r="D4853" s="15"/>
      <c r="E4853" s="15"/>
      <c r="F4853" s="11">
        <f t="shared" si="39"/>
      </c>
      <c r="G4853" s="22" cm="1">
        <f t="array" ref="G4853">IF(AND(Inputs!$C$60,Inputs!$C$61),INDEX(Utility_Rates!$C$29:$F$52,HOUR(C4853)+Inputs!$C$69,MATCH(INDEX(Utility_Rates!$K$6:$K$17,MONTH(C4853))&amp;IF(WEEKDAY(C4853,Inputs!$C$76)&lt;=Inputs!$C$74," weekday"," weekend"),Utility_Rates!$C$28:$F$28,Inputs!$C$68)),"")</f>
      </c>
      <c r="H4853" s="34"/>
      <c r="I4853" s="42">
        <f>IF(AND(ISNUMBER(D4853),ISNUMBER(H4853)),D4853*H4853*Inputs!$C$69,"")</f>
      </c>
      <c r="J4853" s="42">
        <f>IF(AND(ISNUMBER(F4853),ISNUMBER(H4853),F4853&gt;=Inputs!$C$68),F4853*H4853*Inputs!$C$69,"")</f>
      </c>
    </row>
    <row r="4854" spans="2:10" ht="15" customHeight="1" x14ac:dyDescent="0.2">
      <c r="B4854" s="39">
        <f t="shared" si="38"/>
      </c>
      <c r="C4854" s="40">
        <f>IF(Inputs!$C$60,Inputs!$C$11+(B4854-Inputs!$C$69)/Inputs!$C$70,"")</f>
      </c>
      <c r="D4854" s="15"/>
      <c r="E4854" s="15"/>
      <c r="F4854" s="11">
        <f t="shared" si="39"/>
      </c>
      <c r="G4854" s="22" cm="1">
        <f t="array" ref="G4854">IF(AND(Inputs!$C$60,Inputs!$C$61),INDEX(Utility_Rates!$C$29:$F$52,HOUR(C4854)+Inputs!$C$69,MATCH(INDEX(Utility_Rates!$K$6:$K$17,MONTH(C4854))&amp;IF(WEEKDAY(C4854,Inputs!$C$76)&lt;=Inputs!$C$74," weekday"," weekend"),Utility_Rates!$C$28:$F$28,Inputs!$C$68)),"")</f>
      </c>
      <c r="H4854" s="34"/>
      <c r="I4854" s="42">
        <f>IF(AND(ISNUMBER(D4854),ISNUMBER(H4854)),D4854*H4854*Inputs!$C$69,"")</f>
      </c>
      <c r="J4854" s="42">
        <f>IF(AND(ISNUMBER(F4854),ISNUMBER(H4854),F4854&gt;=Inputs!$C$68),F4854*H4854*Inputs!$C$69,"")</f>
      </c>
    </row>
    <row r="4855" spans="2:10" ht="15" customHeight="1" x14ac:dyDescent="0.2">
      <c r="B4855" s="39">
        <f t="shared" si="38"/>
      </c>
      <c r="C4855" s="40">
        <f>IF(Inputs!$C$60,Inputs!$C$11+(B4855-Inputs!$C$69)/Inputs!$C$70,"")</f>
      </c>
      <c r="D4855" s="15"/>
      <c r="E4855" s="15"/>
      <c r="F4855" s="11">
        <f t="shared" si="39"/>
      </c>
      <c r="G4855" s="22" cm="1">
        <f t="array" ref="G4855">IF(AND(Inputs!$C$60,Inputs!$C$61),INDEX(Utility_Rates!$C$29:$F$52,HOUR(C4855)+Inputs!$C$69,MATCH(INDEX(Utility_Rates!$K$6:$K$17,MONTH(C4855))&amp;IF(WEEKDAY(C4855,Inputs!$C$76)&lt;=Inputs!$C$74," weekday"," weekend"),Utility_Rates!$C$28:$F$28,Inputs!$C$68)),"")</f>
      </c>
      <c r="H4855" s="34"/>
      <c r="I4855" s="42">
        <f>IF(AND(ISNUMBER(D4855),ISNUMBER(H4855)),D4855*H4855*Inputs!$C$69,"")</f>
      </c>
      <c r="J4855" s="42">
        <f>IF(AND(ISNUMBER(F4855),ISNUMBER(H4855),F4855&gt;=Inputs!$C$68),F4855*H4855*Inputs!$C$69,"")</f>
      </c>
    </row>
    <row r="4856" spans="2:10" ht="15" customHeight="1" x14ac:dyDescent="0.2">
      <c r="B4856" s="39">
        <f t="shared" si="38"/>
      </c>
      <c r="C4856" s="40">
        <f>IF(Inputs!$C$60,Inputs!$C$11+(B4856-Inputs!$C$69)/Inputs!$C$70,"")</f>
      </c>
      <c r="D4856" s="15"/>
      <c r="E4856" s="15"/>
      <c r="F4856" s="11">
        <f t="shared" si="39"/>
      </c>
      <c r="G4856" s="22" cm="1">
        <f t="array" ref="G4856">IF(AND(Inputs!$C$60,Inputs!$C$61),INDEX(Utility_Rates!$C$29:$F$52,HOUR(C4856)+Inputs!$C$69,MATCH(INDEX(Utility_Rates!$K$6:$K$17,MONTH(C4856))&amp;IF(WEEKDAY(C4856,Inputs!$C$76)&lt;=Inputs!$C$74," weekday"," weekend"),Utility_Rates!$C$28:$F$28,Inputs!$C$68)),"")</f>
      </c>
      <c r="H4856" s="34"/>
      <c r="I4856" s="42">
        <f>IF(AND(ISNUMBER(D4856),ISNUMBER(H4856)),D4856*H4856*Inputs!$C$69,"")</f>
      </c>
      <c r="J4856" s="42">
        <f>IF(AND(ISNUMBER(F4856),ISNUMBER(H4856),F4856&gt;=Inputs!$C$68),F4856*H4856*Inputs!$C$69,"")</f>
      </c>
    </row>
    <row r="4857" spans="2:10" ht="15" customHeight="1" x14ac:dyDescent="0.2">
      <c r="B4857" s="39">
        <f t="shared" si="38"/>
      </c>
      <c r="C4857" s="40">
        <f>IF(Inputs!$C$60,Inputs!$C$11+(B4857-Inputs!$C$69)/Inputs!$C$70,"")</f>
      </c>
      <c r="D4857" s="15"/>
      <c r="E4857" s="15"/>
      <c r="F4857" s="11">
        <f t="shared" si="39"/>
      </c>
      <c r="G4857" s="22" cm="1">
        <f t="array" ref="G4857">IF(AND(Inputs!$C$60,Inputs!$C$61),INDEX(Utility_Rates!$C$29:$F$52,HOUR(C4857)+Inputs!$C$69,MATCH(INDEX(Utility_Rates!$K$6:$K$17,MONTH(C4857))&amp;IF(WEEKDAY(C4857,Inputs!$C$76)&lt;=Inputs!$C$74," weekday"," weekend"),Utility_Rates!$C$28:$F$28,Inputs!$C$68)),"")</f>
      </c>
      <c r="H4857" s="34"/>
      <c r="I4857" s="42">
        <f>IF(AND(ISNUMBER(D4857),ISNUMBER(H4857)),D4857*H4857*Inputs!$C$69,"")</f>
      </c>
      <c r="J4857" s="42">
        <f>IF(AND(ISNUMBER(F4857),ISNUMBER(H4857),F4857&gt;=Inputs!$C$68),F4857*H4857*Inputs!$C$69,"")</f>
      </c>
    </row>
    <row r="4858" spans="2:10" ht="15" customHeight="1" x14ac:dyDescent="0.2">
      <c r="B4858" s="39">
        <f t="shared" si="38"/>
      </c>
      <c r="C4858" s="40">
        <f>IF(Inputs!$C$60,Inputs!$C$11+(B4858-Inputs!$C$69)/Inputs!$C$70,"")</f>
      </c>
      <c r="D4858" s="15"/>
      <c r="E4858" s="15"/>
      <c r="F4858" s="11">
        <f t="shared" si="39"/>
      </c>
      <c r="G4858" s="22" cm="1">
        <f t="array" ref="G4858">IF(AND(Inputs!$C$60,Inputs!$C$61),INDEX(Utility_Rates!$C$29:$F$52,HOUR(C4858)+Inputs!$C$69,MATCH(INDEX(Utility_Rates!$K$6:$K$17,MONTH(C4858))&amp;IF(WEEKDAY(C4858,Inputs!$C$76)&lt;=Inputs!$C$74," weekday"," weekend"),Utility_Rates!$C$28:$F$28,Inputs!$C$68)),"")</f>
      </c>
      <c r="H4858" s="34"/>
      <c r="I4858" s="42">
        <f>IF(AND(ISNUMBER(D4858),ISNUMBER(H4858)),D4858*H4858*Inputs!$C$69,"")</f>
      </c>
      <c r="J4858" s="42">
        <f>IF(AND(ISNUMBER(F4858),ISNUMBER(H4858),F4858&gt;=Inputs!$C$68),F4858*H4858*Inputs!$C$69,"")</f>
      </c>
    </row>
    <row r="4859" spans="2:10" ht="15" customHeight="1" x14ac:dyDescent="0.2">
      <c r="B4859" s="39">
        <f t="shared" si="38"/>
      </c>
      <c r="C4859" s="40">
        <f>IF(Inputs!$C$60,Inputs!$C$11+(B4859-Inputs!$C$69)/Inputs!$C$70,"")</f>
      </c>
      <c r="D4859" s="15"/>
      <c r="E4859" s="15"/>
      <c r="F4859" s="11">
        <f t="shared" si="39"/>
      </c>
      <c r="G4859" s="22" cm="1">
        <f t="array" ref="G4859">IF(AND(Inputs!$C$60,Inputs!$C$61),INDEX(Utility_Rates!$C$29:$F$52,HOUR(C4859)+Inputs!$C$69,MATCH(INDEX(Utility_Rates!$K$6:$K$17,MONTH(C4859))&amp;IF(WEEKDAY(C4859,Inputs!$C$76)&lt;=Inputs!$C$74," weekday"," weekend"),Utility_Rates!$C$28:$F$28,Inputs!$C$68)),"")</f>
      </c>
      <c r="H4859" s="34"/>
      <c r="I4859" s="42">
        <f>IF(AND(ISNUMBER(D4859),ISNUMBER(H4859)),D4859*H4859*Inputs!$C$69,"")</f>
      </c>
      <c r="J4859" s="42">
        <f>IF(AND(ISNUMBER(F4859),ISNUMBER(H4859),F4859&gt;=Inputs!$C$68),F4859*H4859*Inputs!$C$69,"")</f>
      </c>
    </row>
    <row r="4860" spans="2:10" ht="15" customHeight="1" x14ac:dyDescent="0.2">
      <c r="B4860" s="39">
        <f t="shared" si="38"/>
      </c>
      <c r="C4860" s="40">
        <f>IF(Inputs!$C$60,Inputs!$C$11+(B4860-Inputs!$C$69)/Inputs!$C$70,"")</f>
      </c>
      <c r="D4860" s="15"/>
      <c r="E4860" s="15"/>
      <c r="F4860" s="11">
        <f t="shared" si="39"/>
      </c>
      <c r="G4860" s="22" cm="1">
        <f t="array" ref="G4860">IF(AND(Inputs!$C$60,Inputs!$C$61),INDEX(Utility_Rates!$C$29:$F$52,HOUR(C4860)+Inputs!$C$69,MATCH(INDEX(Utility_Rates!$K$6:$K$17,MONTH(C4860))&amp;IF(WEEKDAY(C4860,Inputs!$C$76)&lt;=Inputs!$C$74," weekday"," weekend"),Utility_Rates!$C$28:$F$28,Inputs!$C$68)),"")</f>
      </c>
      <c r="H4860" s="34"/>
      <c r="I4860" s="42">
        <f>IF(AND(ISNUMBER(D4860),ISNUMBER(H4860)),D4860*H4860*Inputs!$C$69,"")</f>
      </c>
      <c r="J4860" s="42">
        <f>IF(AND(ISNUMBER(F4860),ISNUMBER(H4860),F4860&gt;=Inputs!$C$68),F4860*H4860*Inputs!$C$69,"")</f>
      </c>
    </row>
    <row r="4861" spans="2:10" ht="15" customHeight="1" x14ac:dyDescent="0.2">
      <c r="B4861" s="39">
        <f t="shared" si="38"/>
      </c>
      <c r="C4861" s="40">
        <f>IF(Inputs!$C$60,Inputs!$C$11+(B4861-Inputs!$C$69)/Inputs!$C$70,"")</f>
      </c>
      <c r="D4861" s="15"/>
      <c r="E4861" s="15"/>
      <c r="F4861" s="11">
        <f t="shared" si="39"/>
      </c>
      <c r="G4861" s="22" cm="1">
        <f t="array" ref="G4861">IF(AND(Inputs!$C$60,Inputs!$C$61),INDEX(Utility_Rates!$C$29:$F$52,HOUR(C4861)+Inputs!$C$69,MATCH(INDEX(Utility_Rates!$K$6:$K$17,MONTH(C4861))&amp;IF(WEEKDAY(C4861,Inputs!$C$76)&lt;=Inputs!$C$74," weekday"," weekend"),Utility_Rates!$C$28:$F$28,Inputs!$C$68)),"")</f>
      </c>
      <c r="H4861" s="34"/>
      <c r="I4861" s="42">
        <f>IF(AND(ISNUMBER(D4861),ISNUMBER(H4861)),D4861*H4861*Inputs!$C$69,"")</f>
      </c>
      <c r="J4861" s="42">
        <f>IF(AND(ISNUMBER(F4861),ISNUMBER(H4861),F4861&gt;=Inputs!$C$68),F4861*H4861*Inputs!$C$69,"")</f>
      </c>
    </row>
    <row r="4862" spans="2:10" ht="15" customHeight="1" x14ac:dyDescent="0.2">
      <c r="B4862" s="39">
        <f t="shared" si="38"/>
      </c>
      <c r="C4862" s="40">
        <f>IF(Inputs!$C$60,Inputs!$C$11+(B4862-Inputs!$C$69)/Inputs!$C$70,"")</f>
      </c>
      <c r="D4862" s="15"/>
      <c r="E4862" s="15"/>
      <c r="F4862" s="11">
        <f t="shared" si="39"/>
      </c>
      <c r="G4862" s="22" cm="1">
        <f t="array" ref="G4862">IF(AND(Inputs!$C$60,Inputs!$C$61),INDEX(Utility_Rates!$C$29:$F$52,HOUR(C4862)+Inputs!$C$69,MATCH(INDEX(Utility_Rates!$K$6:$K$17,MONTH(C4862))&amp;IF(WEEKDAY(C4862,Inputs!$C$76)&lt;=Inputs!$C$74," weekday"," weekend"),Utility_Rates!$C$28:$F$28,Inputs!$C$68)),"")</f>
      </c>
      <c r="H4862" s="34"/>
      <c r="I4862" s="42">
        <f>IF(AND(ISNUMBER(D4862),ISNUMBER(H4862)),D4862*H4862*Inputs!$C$69,"")</f>
      </c>
      <c r="J4862" s="42">
        <f>IF(AND(ISNUMBER(F4862),ISNUMBER(H4862),F4862&gt;=Inputs!$C$68),F4862*H4862*Inputs!$C$69,"")</f>
      </c>
    </row>
    <row r="4863" spans="2:10" ht="15" customHeight="1" x14ac:dyDescent="0.2">
      <c r="B4863" s="39">
        <f t="shared" si="38"/>
      </c>
      <c r="C4863" s="40">
        <f>IF(Inputs!$C$60,Inputs!$C$11+(B4863-Inputs!$C$69)/Inputs!$C$70,"")</f>
      </c>
      <c r="D4863" s="15"/>
      <c r="E4863" s="15"/>
      <c r="F4863" s="11">
        <f t="shared" si="39"/>
      </c>
      <c r="G4863" s="22" cm="1">
        <f t="array" ref="G4863">IF(AND(Inputs!$C$60,Inputs!$C$61),INDEX(Utility_Rates!$C$29:$F$52,HOUR(C4863)+Inputs!$C$69,MATCH(INDEX(Utility_Rates!$K$6:$K$17,MONTH(C4863))&amp;IF(WEEKDAY(C4863,Inputs!$C$76)&lt;=Inputs!$C$74," weekday"," weekend"),Utility_Rates!$C$28:$F$28,Inputs!$C$68)),"")</f>
      </c>
      <c r="H4863" s="34"/>
      <c r="I4863" s="42">
        <f>IF(AND(ISNUMBER(D4863),ISNUMBER(H4863)),D4863*H4863*Inputs!$C$69,"")</f>
      </c>
      <c r="J4863" s="42">
        <f>IF(AND(ISNUMBER(F4863),ISNUMBER(H4863),F4863&gt;=Inputs!$C$68),F4863*H4863*Inputs!$C$69,"")</f>
      </c>
    </row>
    <row r="4864" spans="2:10" ht="15" customHeight="1" x14ac:dyDescent="0.2">
      <c r="B4864" s="39">
        <f t="shared" si="38"/>
      </c>
      <c r="C4864" s="40">
        <f>IF(Inputs!$C$60,Inputs!$C$11+(B4864-Inputs!$C$69)/Inputs!$C$70,"")</f>
      </c>
      <c r="D4864" s="15"/>
      <c r="E4864" s="15"/>
      <c r="F4864" s="11">
        <f t="shared" si="39"/>
      </c>
      <c r="G4864" s="22" cm="1">
        <f t="array" ref="G4864">IF(AND(Inputs!$C$60,Inputs!$C$61),INDEX(Utility_Rates!$C$29:$F$52,HOUR(C4864)+Inputs!$C$69,MATCH(INDEX(Utility_Rates!$K$6:$K$17,MONTH(C4864))&amp;IF(WEEKDAY(C4864,Inputs!$C$76)&lt;=Inputs!$C$74," weekday"," weekend"),Utility_Rates!$C$28:$F$28,Inputs!$C$68)),"")</f>
      </c>
      <c r="H4864" s="34"/>
      <c r="I4864" s="42">
        <f>IF(AND(ISNUMBER(D4864),ISNUMBER(H4864)),D4864*H4864*Inputs!$C$69,"")</f>
      </c>
      <c r="J4864" s="42">
        <f>IF(AND(ISNUMBER(F4864),ISNUMBER(H4864),F4864&gt;=Inputs!$C$68),F4864*H4864*Inputs!$C$69,"")</f>
      </c>
    </row>
    <row r="4865" spans="2:10" ht="15" customHeight="1" x14ac:dyDescent="0.2">
      <c r="B4865" s="39">
        <f t="shared" si="38"/>
      </c>
      <c r="C4865" s="40">
        <f>IF(Inputs!$C$60,Inputs!$C$11+(B4865-Inputs!$C$69)/Inputs!$C$70,"")</f>
      </c>
      <c r="D4865" s="15"/>
      <c r="E4865" s="15"/>
      <c r="F4865" s="11">
        <f t="shared" si="39"/>
      </c>
      <c r="G4865" s="22" cm="1">
        <f t="array" ref="G4865">IF(AND(Inputs!$C$60,Inputs!$C$61),INDEX(Utility_Rates!$C$29:$F$52,HOUR(C4865)+Inputs!$C$69,MATCH(INDEX(Utility_Rates!$K$6:$K$17,MONTH(C4865))&amp;IF(WEEKDAY(C4865,Inputs!$C$76)&lt;=Inputs!$C$74," weekday"," weekend"),Utility_Rates!$C$28:$F$28,Inputs!$C$68)),"")</f>
      </c>
      <c r="H4865" s="34"/>
      <c r="I4865" s="42">
        <f>IF(AND(ISNUMBER(D4865),ISNUMBER(H4865)),D4865*H4865*Inputs!$C$69,"")</f>
      </c>
      <c r="J4865" s="42">
        <f>IF(AND(ISNUMBER(F4865),ISNUMBER(H4865),F4865&gt;=Inputs!$C$68),F4865*H4865*Inputs!$C$69,"")</f>
      </c>
    </row>
    <row r="4866" spans="2:10" ht="15" customHeight="1" x14ac:dyDescent="0.2">
      <c r="B4866" s="39">
        <f t="shared" si="38"/>
      </c>
      <c r="C4866" s="40">
        <f>IF(Inputs!$C$60,Inputs!$C$11+(B4866-Inputs!$C$69)/Inputs!$C$70,"")</f>
      </c>
      <c r="D4866" s="15"/>
      <c r="E4866" s="15"/>
      <c r="F4866" s="11">
        <f t="shared" si="39"/>
      </c>
      <c r="G4866" s="22" cm="1">
        <f t="array" ref="G4866">IF(AND(Inputs!$C$60,Inputs!$C$61),INDEX(Utility_Rates!$C$29:$F$52,HOUR(C4866)+Inputs!$C$69,MATCH(INDEX(Utility_Rates!$K$6:$K$17,MONTH(C4866))&amp;IF(WEEKDAY(C4866,Inputs!$C$76)&lt;=Inputs!$C$74," weekday"," weekend"),Utility_Rates!$C$28:$F$28,Inputs!$C$68)),"")</f>
      </c>
      <c r="H4866" s="34"/>
      <c r="I4866" s="42">
        <f>IF(AND(ISNUMBER(D4866),ISNUMBER(H4866)),D4866*H4866*Inputs!$C$69,"")</f>
      </c>
      <c r="J4866" s="42">
        <f>IF(AND(ISNUMBER(F4866),ISNUMBER(H4866),F4866&gt;=Inputs!$C$68),F4866*H4866*Inputs!$C$69,"")</f>
      </c>
    </row>
    <row r="4867" spans="2:10" ht="15" customHeight="1" x14ac:dyDescent="0.2">
      <c r="B4867" s="39">
        <f t="shared" si="38"/>
      </c>
      <c r="C4867" s="40">
        <f>IF(Inputs!$C$60,Inputs!$C$11+(B4867-Inputs!$C$69)/Inputs!$C$70,"")</f>
      </c>
      <c r="D4867" s="15"/>
      <c r="E4867" s="15"/>
      <c r="F4867" s="11">
        <f t="shared" si="39"/>
      </c>
      <c r="G4867" s="22" cm="1">
        <f t="array" ref="G4867">IF(AND(Inputs!$C$60,Inputs!$C$61),INDEX(Utility_Rates!$C$29:$F$52,HOUR(C4867)+Inputs!$C$69,MATCH(INDEX(Utility_Rates!$K$6:$K$17,MONTH(C4867))&amp;IF(WEEKDAY(C4867,Inputs!$C$76)&lt;=Inputs!$C$74," weekday"," weekend"),Utility_Rates!$C$28:$F$28,Inputs!$C$68)),"")</f>
      </c>
      <c r="H4867" s="34"/>
      <c r="I4867" s="42">
        <f>IF(AND(ISNUMBER(D4867),ISNUMBER(H4867)),D4867*H4867*Inputs!$C$69,"")</f>
      </c>
      <c r="J4867" s="42">
        <f>IF(AND(ISNUMBER(F4867),ISNUMBER(H4867),F4867&gt;=Inputs!$C$68),F4867*H4867*Inputs!$C$69,"")</f>
      </c>
    </row>
    <row r="4868" spans="2:10" ht="15" customHeight="1" x14ac:dyDescent="0.2">
      <c r="B4868" s="39">
        <f t="shared" si="38"/>
      </c>
      <c r="C4868" s="40">
        <f>IF(Inputs!$C$60,Inputs!$C$11+(B4868-Inputs!$C$69)/Inputs!$C$70,"")</f>
      </c>
      <c r="D4868" s="15"/>
      <c r="E4868" s="15"/>
      <c r="F4868" s="11">
        <f t="shared" si="39"/>
      </c>
      <c r="G4868" s="22" cm="1">
        <f t="array" ref="G4868">IF(AND(Inputs!$C$60,Inputs!$C$61),INDEX(Utility_Rates!$C$29:$F$52,HOUR(C4868)+Inputs!$C$69,MATCH(INDEX(Utility_Rates!$K$6:$K$17,MONTH(C4868))&amp;IF(WEEKDAY(C4868,Inputs!$C$76)&lt;=Inputs!$C$74," weekday"," weekend"),Utility_Rates!$C$28:$F$28,Inputs!$C$68)),"")</f>
      </c>
      <c r="H4868" s="34"/>
      <c r="I4868" s="42">
        <f>IF(AND(ISNUMBER(D4868),ISNUMBER(H4868)),D4868*H4868*Inputs!$C$69,"")</f>
      </c>
      <c r="J4868" s="42">
        <f>IF(AND(ISNUMBER(F4868),ISNUMBER(H4868),F4868&gt;=Inputs!$C$68),F4868*H4868*Inputs!$C$69,"")</f>
      </c>
    </row>
    <row r="4869" spans="2:10" ht="15" customHeight="1" x14ac:dyDescent="0.2">
      <c r="B4869" s="39">
        <f t="shared" si="38"/>
      </c>
      <c r="C4869" s="40">
        <f>IF(Inputs!$C$60,Inputs!$C$11+(B4869-Inputs!$C$69)/Inputs!$C$70,"")</f>
      </c>
      <c r="D4869" s="15"/>
      <c r="E4869" s="15"/>
      <c r="F4869" s="11">
        <f t="shared" si="39"/>
      </c>
      <c r="G4869" s="22" cm="1">
        <f t="array" ref="G4869">IF(AND(Inputs!$C$60,Inputs!$C$61),INDEX(Utility_Rates!$C$29:$F$52,HOUR(C4869)+Inputs!$C$69,MATCH(INDEX(Utility_Rates!$K$6:$K$17,MONTH(C4869))&amp;IF(WEEKDAY(C4869,Inputs!$C$76)&lt;=Inputs!$C$74," weekday"," weekend"),Utility_Rates!$C$28:$F$28,Inputs!$C$68)),"")</f>
      </c>
      <c r="H4869" s="34"/>
      <c r="I4869" s="42">
        <f>IF(AND(ISNUMBER(D4869),ISNUMBER(H4869)),D4869*H4869*Inputs!$C$69,"")</f>
      </c>
      <c r="J4869" s="42">
        <f>IF(AND(ISNUMBER(F4869),ISNUMBER(H4869),F4869&gt;=Inputs!$C$68),F4869*H4869*Inputs!$C$69,"")</f>
      </c>
    </row>
    <row r="4870" spans="2:10" ht="15" customHeight="1" x14ac:dyDescent="0.2">
      <c r="B4870" s="39">
        <f t="shared" si="38"/>
      </c>
      <c r="C4870" s="40">
        <f>IF(Inputs!$C$60,Inputs!$C$11+(B4870-Inputs!$C$69)/Inputs!$C$70,"")</f>
      </c>
      <c r="D4870" s="15"/>
      <c r="E4870" s="15"/>
      <c r="F4870" s="11">
        <f t="shared" si="39"/>
      </c>
      <c r="G4870" s="22" cm="1">
        <f t="array" ref="G4870">IF(AND(Inputs!$C$60,Inputs!$C$61),INDEX(Utility_Rates!$C$29:$F$52,HOUR(C4870)+Inputs!$C$69,MATCH(INDEX(Utility_Rates!$K$6:$K$17,MONTH(C4870))&amp;IF(WEEKDAY(C4870,Inputs!$C$76)&lt;=Inputs!$C$74," weekday"," weekend"),Utility_Rates!$C$28:$F$28,Inputs!$C$68)),"")</f>
      </c>
      <c r="H4870" s="34"/>
      <c r="I4870" s="42">
        <f>IF(AND(ISNUMBER(D4870),ISNUMBER(H4870)),D4870*H4870*Inputs!$C$69,"")</f>
      </c>
      <c r="J4870" s="42">
        <f>IF(AND(ISNUMBER(F4870),ISNUMBER(H4870),F4870&gt;=Inputs!$C$68),F4870*H4870*Inputs!$C$69,"")</f>
      </c>
    </row>
    <row r="4871" spans="2:10" ht="15" customHeight="1" x14ac:dyDescent="0.2">
      <c r="B4871" s="39">
        <f t="shared" si="38"/>
      </c>
      <c r="C4871" s="40">
        <f>IF(Inputs!$C$60,Inputs!$C$11+(B4871-Inputs!$C$69)/Inputs!$C$70,"")</f>
      </c>
      <c r="D4871" s="15"/>
      <c r="E4871" s="15"/>
      <c r="F4871" s="11">
        <f t="shared" si="39"/>
      </c>
      <c r="G4871" s="22" cm="1">
        <f t="array" ref="G4871">IF(AND(Inputs!$C$60,Inputs!$C$61),INDEX(Utility_Rates!$C$29:$F$52,HOUR(C4871)+Inputs!$C$69,MATCH(INDEX(Utility_Rates!$K$6:$K$17,MONTH(C4871))&amp;IF(WEEKDAY(C4871,Inputs!$C$76)&lt;=Inputs!$C$74," weekday"," weekend"),Utility_Rates!$C$28:$F$28,Inputs!$C$68)),"")</f>
      </c>
      <c r="H4871" s="34"/>
      <c r="I4871" s="42">
        <f>IF(AND(ISNUMBER(D4871),ISNUMBER(H4871)),D4871*H4871*Inputs!$C$69,"")</f>
      </c>
      <c r="J4871" s="42">
        <f>IF(AND(ISNUMBER(F4871),ISNUMBER(H4871),F4871&gt;=Inputs!$C$68),F4871*H4871*Inputs!$C$69,"")</f>
      </c>
    </row>
    <row r="4872" spans="2:10" ht="15" customHeight="1" x14ac:dyDescent="0.2">
      <c r="B4872" s="39">
        <f t="shared" si="38"/>
      </c>
      <c r="C4872" s="40">
        <f>IF(Inputs!$C$60,Inputs!$C$11+(B4872-Inputs!$C$69)/Inputs!$C$70,"")</f>
      </c>
      <c r="D4872" s="15"/>
      <c r="E4872" s="15"/>
      <c r="F4872" s="11">
        <f t="shared" si="39"/>
      </c>
      <c r="G4872" s="22" cm="1">
        <f t="array" ref="G4872">IF(AND(Inputs!$C$60,Inputs!$C$61),INDEX(Utility_Rates!$C$29:$F$52,HOUR(C4872)+Inputs!$C$69,MATCH(INDEX(Utility_Rates!$K$6:$K$17,MONTH(C4872))&amp;IF(WEEKDAY(C4872,Inputs!$C$76)&lt;=Inputs!$C$74," weekday"," weekend"),Utility_Rates!$C$28:$F$28,Inputs!$C$68)),"")</f>
      </c>
      <c r="H4872" s="34"/>
      <c r="I4872" s="42">
        <f>IF(AND(ISNUMBER(D4872),ISNUMBER(H4872)),D4872*H4872*Inputs!$C$69,"")</f>
      </c>
      <c r="J4872" s="42">
        <f>IF(AND(ISNUMBER(F4872),ISNUMBER(H4872),F4872&gt;=Inputs!$C$68),F4872*H4872*Inputs!$C$69,"")</f>
      </c>
    </row>
    <row r="4873" spans="2:10" ht="15" customHeight="1" x14ac:dyDescent="0.2">
      <c r="B4873" s="39">
        <f t="shared" si="38"/>
      </c>
      <c r="C4873" s="40">
        <f>IF(Inputs!$C$60,Inputs!$C$11+(B4873-Inputs!$C$69)/Inputs!$C$70,"")</f>
      </c>
      <c r="D4873" s="15"/>
      <c r="E4873" s="15"/>
      <c r="F4873" s="11">
        <f t="shared" si="39"/>
      </c>
      <c r="G4873" s="22" cm="1">
        <f t="array" ref="G4873">IF(AND(Inputs!$C$60,Inputs!$C$61),INDEX(Utility_Rates!$C$29:$F$52,HOUR(C4873)+Inputs!$C$69,MATCH(INDEX(Utility_Rates!$K$6:$K$17,MONTH(C4873))&amp;IF(WEEKDAY(C4873,Inputs!$C$76)&lt;=Inputs!$C$74," weekday"," weekend"),Utility_Rates!$C$28:$F$28,Inputs!$C$68)),"")</f>
      </c>
      <c r="H4873" s="34"/>
      <c r="I4873" s="42">
        <f>IF(AND(ISNUMBER(D4873),ISNUMBER(H4873)),D4873*H4873*Inputs!$C$69,"")</f>
      </c>
      <c r="J4873" s="42">
        <f>IF(AND(ISNUMBER(F4873),ISNUMBER(H4873),F4873&gt;=Inputs!$C$68),F4873*H4873*Inputs!$C$69,"")</f>
      </c>
    </row>
    <row r="4874" spans="2:10" ht="15" customHeight="1" x14ac:dyDescent="0.2">
      <c r="B4874" s="39">
        <f t="shared" si="38"/>
      </c>
      <c r="C4874" s="40">
        <f>IF(Inputs!$C$60,Inputs!$C$11+(B4874-Inputs!$C$69)/Inputs!$C$70,"")</f>
      </c>
      <c r="D4874" s="15"/>
      <c r="E4874" s="15"/>
      <c r="F4874" s="11">
        <f t="shared" si="39"/>
      </c>
      <c r="G4874" s="22" cm="1">
        <f t="array" ref="G4874">IF(AND(Inputs!$C$60,Inputs!$C$61),INDEX(Utility_Rates!$C$29:$F$52,HOUR(C4874)+Inputs!$C$69,MATCH(INDEX(Utility_Rates!$K$6:$K$17,MONTH(C4874))&amp;IF(WEEKDAY(C4874,Inputs!$C$76)&lt;=Inputs!$C$74," weekday"," weekend"),Utility_Rates!$C$28:$F$28,Inputs!$C$68)),"")</f>
      </c>
      <c r="H4874" s="34"/>
      <c r="I4874" s="42">
        <f>IF(AND(ISNUMBER(D4874),ISNUMBER(H4874)),D4874*H4874*Inputs!$C$69,"")</f>
      </c>
      <c r="J4874" s="42">
        <f>IF(AND(ISNUMBER(F4874),ISNUMBER(H4874),F4874&gt;=Inputs!$C$68),F4874*H4874*Inputs!$C$69,"")</f>
      </c>
    </row>
    <row r="4875" spans="2:10" ht="15" customHeight="1" x14ac:dyDescent="0.2">
      <c r="B4875" s="39">
        <f t="shared" si="38"/>
      </c>
      <c r="C4875" s="40">
        <f>IF(Inputs!$C$60,Inputs!$C$11+(B4875-Inputs!$C$69)/Inputs!$C$70,"")</f>
      </c>
      <c r="D4875" s="15"/>
      <c r="E4875" s="15"/>
      <c r="F4875" s="11">
        <f t="shared" si="39"/>
      </c>
      <c r="G4875" s="22" cm="1">
        <f t="array" ref="G4875">IF(AND(Inputs!$C$60,Inputs!$C$61),INDEX(Utility_Rates!$C$29:$F$52,HOUR(C4875)+Inputs!$C$69,MATCH(INDEX(Utility_Rates!$K$6:$K$17,MONTH(C4875))&amp;IF(WEEKDAY(C4875,Inputs!$C$76)&lt;=Inputs!$C$74," weekday"," weekend"),Utility_Rates!$C$28:$F$28,Inputs!$C$68)),"")</f>
      </c>
      <c r="H4875" s="34"/>
      <c r="I4875" s="42">
        <f>IF(AND(ISNUMBER(D4875),ISNUMBER(H4875)),D4875*H4875*Inputs!$C$69,"")</f>
      </c>
      <c r="J4875" s="42">
        <f>IF(AND(ISNUMBER(F4875),ISNUMBER(H4875),F4875&gt;=Inputs!$C$68),F4875*H4875*Inputs!$C$69,"")</f>
      </c>
    </row>
    <row r="4876" spans="2:10" ht="15" customHeight="1" x14ac:dyDescent="0.2">
      <c r="B4876" s="39">
        <f t="shared" si="38"/>
      </c>
      <c r="C4876" s="40">
        <f>IF(Inputs!$C$60,Inputs!$C$11+(B4876-Inputs!$C$69)/Inputs!$C$70,"")</f>
      </c>
      <c r="D4876" s="15"/>
      <c r="E4876" s="15"/>
      <c r="F4876" s="11">
        <f t="shared" si="39"/>
      </c>
      <c r="G4876" s="22" cm="1">
        <f t="array" ref="G4876">IF(AND(Inputs!$C$60,Inputs!$C$61),INDEX(Utility_Rates!$C$29:$F$52,HOUR(C4876)+Inputs!$C$69,MATCH(INDEX(Utility_Rates!$K$6:$K$17,MONTH(C4876))&amp;IF(WEEKDAY(C4876,Inputs!$C$76)&lt;=Inputs!$C$74," weekday"," weekend"),Utility_Rates!$C$28:$F$28,Inputs!$C$68)),"")</f>
      </c>
      <c r="H4876" s="34"/>
      <c r="I4876" s="42">
        <f>IF(AND(ISNUMBER(D4876),ISNUMBER(H4876)),D4876*H4876*Inputs!$C$69,"")</f>
      </c>
      <c r="J4876" s="42">
        <f>IF(AND(ISNUMBER(F4876),ISNUMBER(H4876),F4876&gt;=Inputs!$C$68),F4876*H4876*Inputs!$C$69,"")</f>
      </c>
    </row>
    <row r="4877" spans="2:10" ht="15" customHeight="1" x14ac:dyDescent="0.2">
      <c r="B4877" s="39">
        <f t="shared" si="38"/>
      </c>
      <c r="C4877" s="40">
        <f>IF(Inputs!$C$60,Inputs!$C$11+(B4877-Inputs!$C$69)/Inputs!$C$70,"")</f>
      </c>
      <c r="D4877" s="15"/>
      <c r="E4877" s="15"/>
      <c r="F4877" s="11">
        <f t="shared" si="39"/>
      </c>
      <c r="G4877" s="22" cm="1">
        <f t="array" ref="G4877">IF(AND(Inputs!$C$60,Inputs!$C$61),INDEX(Utility_Rates!$C$29:$F$52,HOUR(C4877)+Inputs!$C$69,MATCH(INDEX(Utility_Rates!$K$6:$K$17,MONTH(C4877))&amp;IF(WEEKDAY(C4877,Inputs!$C$76)&lt;=Inputs!$C$74," weekday"," weekend"),Utility_Rates!$C$28:$F$28,Inputs!$C$68)),"")</f>
      </c>
      <c r="H4877" s="34"/>
      <c r="I4877" s="42">
        <f>IF(AND(ISNUMBER(D4877),ISNUMBER(H4877)),D4877*H4877*Inputs!$C$69,"")</f>
      </c>
      <c r="J4877" s="42">
        <f>IF(AND(ISNUMBER(F4877),ISNUMBER(H4877),F4877&gt;=Inputs!$C$68),F4877*H4877*Inputs!$C$69,"")</f>
      </c>
    </row>
    <row r="4878" spans="2:10" ht="15" customHeight="1" x14ac:dyDescent="0.2">
      <c r="B4878" s="39">
        <f t="shared" si="38"/>
      </c>
      <c r="C4878" s="40">
        <f>IF(Inputs!$C$60,Inputs!$C$11+(B4878-Inputs!$C$69)/Inputs!$C$70,"")</f>
      </c>
      <c r="D4878" s="15"/>
      <c r="E4878" s="15"/>
      <c r="F4878" s="11">
        <f t="shared" si="39"/>
      </c>
      <c r="G4878" s="22" cm="1">
        <f t="array" ref="G4878">IF(AND(Inputs!$C$60,Inputs!$C$61),INDEX(Utility_Rates!$C$29:$F$52,HOUR(C4878)+Inputs!$C$69,MATCH(INDEX(Utility_Rates!$K$6:$K$17,MONTH(C4878))&amp;IF(WEEKDAY(C4878,Inputs!$C$76)&lt;=Inputs!$C$74," weekday"," weekend"),Utility_Rates!$C$28:$F$28,Inputs!$C$68)),"")</f>
      </c>
      <c r="H4878" s="34"/>
      <c r="I4878" s="42">
        <f>IF(AND(ISNUMBER(D4878),ISNUMBER(H4878)),D4878*H4878*Inputs!$C$69,"")</f>
      </c>
      <c r="J4878" s="42">
        <f>IF(AND(ISNUMBER(F4878),ISNUMBER(H4878),F4878&gt;=Inputs!$C$68),F4878*H4878*Inputs!$C$69,"")</f>
      </c>
    </row>
    <row r="4879" spans="2:10" ht="15" customHeight="1" x14ac:dyDescent="0.2">
      <c r="B4879" s="39">
        <f t="shared" si="38"/>
      </c>
      <c r="C4879" s="40">
        <f>IF(Inputs!$C$60,Inputs!$C$11+(B4879-Inputs!$C$69)/Inputs!$C$70,"")</f>
      </c>
      <c r="D4879" s="15"/>
      <c r="E4879" s="15"/>
      <c r="F4879" s="11">
        <f t="shared" si="39"/>
      </c>
      <c r="G4879" s="22" cm="1">
        <f t="array" ref="G4879">IF(AND(Inputs!$C$60,Inputs!$C$61),INDEX(Utility_Rates!$C$29:$F$52,HOUR(C4879)+Inputs!$C$69,MATCH(INDEX(Utility_Rates!$K$6:$K$17,MONTH(C4879))&amp;IF(WEEKDAY(C4879,Inputs!$C$76)&lt;=Inputs!$C$74," weekday"," weekend"),Utility_Rates!$C$28:$F$28,Inputs!$C$68)),"")</f>
      </c>
      <c r="H4879" s="34"/>
      <c r="I4879" s="42">
        <f>IF(AND(ISNUMBER(D4879),ISNUMBER(H4879)),D4879*H4879*Inputs!$C$69,"")</f>
      </c>
      <c r="J4879" s="42">
        <f>IF(AND(ISNUMBER(F4879),ISNUMBER(H4879),F4879&gt;=Inputs!$C$68),F4879*H4879*Inputs!$C$69,"")</f>
      </c>
    </row>
    <row r="4880" spans="2:10" ht="15" customHeight="1" x14ac:dyDescent="0.2">
      <c r="B4880" s="39">
        <f t="shared" si="38"/>
      </c>
      <c r="C4880" s="40">
        <f>IF(Inputs!$C$60,Inputs!$C$11+(B4880-Inputs!$C$69)/Inputs!$C$70,"")</f>
      </c>
      <c r="D4880" s="15"/>
      <c r="E4880" s="15"/>
      <c r="F4880" s="11">
        <f t="shared" si="39"/>
      </c>
      <c r="G4880" s="22" cm="1">
        <f t="array" ref="G4880">IF(AND(Inputs!$C$60,Inputs!$C$61),INDEX(Utility_Rates!$C$29:$F$52,HOUR(C4880)+Inputs!$C$69,MATCH(INDEX(Utility_Rates!$K$6:$K$17,MONTH(C4880))&amp;IF(WEEKDAY(C4880,Inputs!$C$76)&lt;=Inputs!$C$74," weekday"," weekend"),Utility_Rates!$C$28:$F$28,Inputs!$C$68)),"")</f>
      </c>
      <c r="H4880" s="34"/>
      <c r="I4880" s="42">
        <f>IF(AND(ISNUMBER(D4880),ISNUMBER(H4880)),D4880*H4880*Inputs!$C$69,"")</f>
      </c>
      <c r="J4880" s="42">
        <f>IF(AND(ISNUMBER(F4880),ISNUMBER(H4880),F4880&gt;=Inputs!$C$68),F4880*H4880*Inputs!$C$69,"")</f>
      </c>
    </row>
    <row r="4881" spans="2:10" ht="15" customHeight="1" x14ac:dyDescent="0.2">
      <c r="B4881" s="39">
        <f t="shared" si="38"/>
      </c>
      <c r="C4881" s="40">
        <f>IF(Inputs!$C$60,Inputs!$C$11+(B4881-Inputs!$C$69)/Inputs!$C$70,"")</f>
      </c>
      <c r="D4881" s="15"/>
      <c r="E4881" s="15"/>
      <c r="F4881" s="11">
        <f t="shared" si="39"/>
      </c>
      <c r="G4881" s="22" cm="1">
        <f t="array" ref="G4881">IF(AND(Inputs!$C$60,Inputs!$C$61),INDEX(Utility_Rates!$C$29:$F$52,HOUR(C4881)+Inputs!$C$69,MATCH(INDEX(Utility_Rates!$K$6:$K$17,MONTH(C4881))&amp;IF(WEEKDAY(C4881,Inputs!$C$76)&lt;=Inputs!$C$74," weekday"," weekend"),Utility_Rates!$C$28:$F$28,Inputs!$C$68)),"")</f>
      </c>
      <c r="H4881" s="34"/>
      <c r="I4881" s="42">
        <f>IF(AND(ISNUMBER(D4881),ISNUMBER(H4881)),D4881*H4881*Inputs!$C$69,"")</f>
      </c>
      <c r="J4881" s="42">
        <f>IF(AND(ISNUMBER(F4881),ISNUMBER(H4881),F4881&gt;=Inputs!$C$68),F4881*H4881*Inputs!$C$69,"")</f>
      </c>
    </row>
    <row r="4882" spans="2:10" ht="15" customHeight="1" x14ac:dyDescent="0.2">
      <c r="B4882" s="39">
        <f t="shared" si="38"/>
      </c>
      <c r="C4882" s="40">
        <f>IF(Inputs!$C$60,Inputs!$C$11+(B4882-Inputs!$C$69)/Inputs!$C$70,"")</f>
      </c>
      <c r="D4882" s="15"/>
      <c r="E4882" s="15"/>
      <c r="F4882" s="11">
        <f t="shared" si="39"/>
      </c>
      <c r="G4882" s="22" cm="1">
        <f t="array" ref="G4882">IF(AND(Inputs!$C$60,Inputs!$C$61),INDEX(Utility_Rates!$C$29:$F$52,HOUR(C4882)+Inputs!$C$69,MATCH(INDEX(Utility_Rates!$K$6:$K$17,MONTH(C4882))&amp;IF(WEEKDAY(C4882,Inputs!$C$76)&lt;=Inputs!$C$74," weekday"," weekend"),Utility_Rates!$C$28:$F$28,Inputs!$C$68)),"")</f>
      </c>
      <c r="H4882" s="34"/>
      <c r="I4882" s="42">
        <f>IF(AND(ISNUMBER(D4882),ISNUMBER(H4882)),D4882*H4882*Inputs!$C$69,"")</f>
      </c>
      <c r="J4882" s="42">
        <f>IF(AND(ISNUMBER(F4882),ISNUMBER(H4882),F4882&gt;=Inputs!$C$68),F4882*H4882*Inputs!$C$69,"")</f>
      </c>
    </row>
    <row r="4883" spans="2:10" ht="15" customHeight="1" x14ac:dyDescent="0.2">
      <c r="B4883" s="39">
        <f t="shared" si="38"/>
      </c>
      <c r="C4883" s="40">
        <f>IF(Inputs!$C$60,Inputs!$C$11+(B4883-Inputs!$C$69)/Inputs!$C$70,"")</f>
      </c>
      <c r="D4883" s="15"/>
      <c r="E4883" s="15"/>
      <c r="F4883" s="11">
        <f t="shared" si="39"/>
      </c>
      <c r="G4883" s="22" cm="1">
        <f t="array" ref="G4883">IF(AND(Inputs!$C$60,Inputs!$C$61),INDEX(Utility_Rates!$C$29:$F$52,HOUR(C4883)+Inputs!$C$69,MATCH(INDEX(Utility_Rates!$K$6:$K$17,MONTH(C4883))&amp;IF(WEEKDAY(C4883,Inputs!$C$76)&lt;=Inputs!$C$74," weekday"," weekend"),Utility_Rates!$C$28:$F$28,Inputs!$C$68)),"")</f>
      </c>
      <c r="H4883" s="34"/>
      <c r="I4883" s="42">
        <f>IF(AND(ISNUMBER(D4883),ISNUMBER(H4883)),D4883*H4883*Inputs!$C$69,"")</f>
      </c>
      <c r="J4883" s="42">
        <f>IF(AND(ISNUMBER(F4883),ISNUMBER(H4883),F4883&gt;=Inputs!$C$68),F4883*H4883*Inputs!$C$69,"")</f>
      </c>
    </row>
    <row r="4884" spans="2:10" ht="15" customHeight="1" x14ac:dyDescent="0.2">
      <c r="B4884" s="39">
        <f t="shared" si="38"/>
      </c>
      <c r="C4884" s="40">
        <f>IF(Inputs!$C$60,Inputs!$C$11+(B4884-Inputs!$C$69)/Inputs!$C$70,"")</f>
      </c>
      <c r="D4884" s="15"/>
      <c r="E4884" s="15"/>
      <c r="F4884" s="11">
        <f t="shared" si="39"/>
      </c>
      <c r="G4884" s="22" cm="1">
        <f t="array" ref="G4884">IF(AND(Inputs!$C$60,Inputs!$C$61),INDEX(Utility_Rates!$C$29:$F$52,HOUR(C4884)+Inputs!$C$69,MATCH(INDEX(Utility_Rates!$K$6:$K$17,MONTH(C4884))&amp;IF(WEEKDAY(C4884,Inputs!$C$76)&lt;=Inputs!$C$74," weekday"," weekend"),Utility_Rates!$C$28:$F$28,Inputs!$C$68)),"")</f>
      </c>
      <c r="H4884" s="34"/>
      <c r="I4884" s="42">
        <f>IF(AND(ISNUMBER(D4884),ISNUMBER(H4884)),D4884*H4884*Inputs!$C$69,"")</f>
      </c>
      <c r="J4884" s="42">
        <f>IF(AND(ISNUMBER(F4884),ISNUMBER(H4884),F4884&gt;=Inputs!$C$68),F4884*H4884*Inputs!$C$69,"")</f>
      </c>
    </row>
    <row r="4885" spans="2:10" ht="15" customHeight="1" x14ac:dyDescent="0.2">
      <c r="B4885" s="39">
        <f t="shared" si="38"/>
      </c>
      <c r="C4885" s="40">
        <f>IF(Inputs!$C$60,Inputs!$C$11+(B4885-Inputs!$C$69)/Inputs!$C$70,"")</f>
      </c>
      <c r="D4885" s="15"/>
      <c r="E4885" s="15"/>
      <c r="F4885" s="11">
        <f t="shared" si="39"/>
      </c>
      <c r="G4885" s="22" cm="1">
        <f t="array" ref="G4885">IF(AND(Inputs!$C$60,Inputs!$C$61),INDEX(Utility_Rates!$C$29:$F$52,HOUR(C4885)+Inputs!$C$69,MATCH(INDEX(Utility_Rates!$K$6:$K$17,MONTH(C4885))&amp;IF(WEEKDAY(C4885,Inputs!$C$76)&lt;=Inputs!$C$74," weekday"," weekend"),Utility_Rates!$C$28:$F$28,Inputs!$C$68)),"")</f>
      </c>
      <c r="H4885" s="34"/>
      <c r="I4885" s="42">
        <f>IF(AND(ISNUMBER(D4885),ISNUMBER(H4885)),D4885*H4885*Inputs!$C$69,"")</f>
      </c>
      <c r="J4885" s="42">
        <f>IF(AND(ISNUMBER(F4885),ISNUMBER(H4885),F4885&gt;=Inputs!$C$68),F4885*H4885*Inputs!$C$69,"")</f>
      </c>
    </row>
    <row r="4886" spans="2:10" ht="15" customHeight="1" x14ac:dyDescent="0.2">
      <c r="B4886" s="39">
        <f t="shared" si="38"/>
      </c>
      <c r="C4886" s="40">
        <f>IF(Inputs!$C$60,Inputs!$C$11+(B4886-Inputs!$C$69)/Inputs!$C$70,"")</f>
      </c>
      <c r="D4886" s="15"/>
      <c r="E4886" s="15"/>
      <c r="F4886" s="11">
        <f t="shared" si="39"/>
      </c>
      <c r="G4886" s="22" cm="1">
        <f t="array" ref="G4886">IF(AND(Inputs!$C$60,Inputs!$C$61),INDEX(Utility_Rates!$C$29:$F$52,HOUR(C4886)+Inputs!$C$69,MATCH(INDEX(Utility_Rates!$K$6:$K$17,MONTH(C4886))&amp;IF(WEEKDAY(C4886,Inputs!$C$76)&lt;=Inputs!$C$74," weekday"," weekend"),Utility_Rates!$C$28:$F$28,Inputs!$C$68)),"")</f>
      </c>
      <c r="H4886" s="34"/>
      <c r="I4886" s="42">
        <f>IF(AND(ISNUMBER(D4886),ISNUMBER(H4886)),D4886*H4886*Inputs!$C$69,"")</f>
      </c>
      <c r="J4886" s="42">
        <f>IF(AND(ISNUMBER(F4886),ISNUMBER(H4886),F4886&gt;=Inputs!$C$68),F4886*H4886*Inputs!$C$69,"")</f>
      </c>
    </row>
    <row r="4887" spans="2:10" ht="15" customHeight="1" x14ac:dyDescent="0.2">
      <c r="B4887" s="39">
        <f t="shared" si="38"/>
      </c>
      <c r="C4887" s="40">
        <f>IF(Inputs!$C$60,Inputs!$C$11+(B4887-Inputs!$C$69)/Inputs!$C$70,"")</f>
      </c>
      <c r="D4887" s="15"/>
      <c r="E4887" s="15"/>
      <c r="F4887" s="11">
        <f t="shared" si="39"/>
      </c>
      <c r="G4887" s="22" cm="1">
        <f t="array" ref="G4887">IF(AND(Inputs!$C$60,Inputs!$C$61),INDEX(Utility_Rates!$C$29:$F$52,HOUR(C4887)+Inputs!$C$69,MATCH(INDEX(Utility_Rates!$K$6:$K$17,MONTH(C4887))&amp;IF(WEEKDAY(C4887,Inputs!$C$76)&lt;=Inputs!$C$74," weekday"," weekend"),Utility_Rates!$C$28:$F$28,Inputs!$C$68)),"")</f>
      </c>
      <c r="H4887" s="34"/>
      <c r="I4887" s="42">
        <f>IF(AND(ISNUMBER(D4887),ISNUMBER(H4887)),D4887*H4887*Inputs!$C$69,"")</f>
      </c>
      <c r="J4887" s="42">
        <f>IF(AND(ISNUMBER(F4887),ISNUMBER(H4887),F4887&gt;=Inputs!$C$68),F4887*H4887*Inputs!$C$69,"")</f>
      </c>
    </row>
    <row r="4888" spans="2:10" ht="15" customHeight="1" x14ac:dyDescent="0.2">
      <c r="B4888" s="39">
        <f t="shared" si="38"/>
      </c>
      <c r="C4888" s="40">
        <f>IF(Inputs!$C$60,Inputs!$C$11+(B4888-Inputs!$C$69)/Inputs!$C$70,"")</f>
      </c>
      <c r="D4888" s="15"/>
      <c r="E4888" s="15"/>
      <c r="F4888" s="11">
        <f t="shared" si="39"/>
      </c>
      <c r="G4888" s="22" cm="1">
        <f t="array" ref="G4888">IF(AND(Inputs!$C$60,Inputs!$C$61),INDEX(Utility_Rates!$C$29:$F$52,HOUR(C4888)+Inputs!$C$69,MATCH(INDEX(Utility_Rates!$K$6:$K$17,MONTH(C4888))&amp;IF(WEEKDAY(C4888,Inputs!$C$76)&lt;=Inputs!$C$74," weekday"," weekend"),Utility_Rates!$C$28:$F$28,Inputs!$C$68)),"")</f>
      </c>
      <c r="H4888" s="34"/>
      <c r="I4888" s="42">
        <f>IF(AND(ISNUMBER(D4888),ISNUMBER(H4888)),D4888*H4888*Inputs!$C$69,"")</f>
      </c>
      <c r="J4888" s="42">
        <f>IF(AND(ISNUMBER(F4888),ISNUMBER(H4888),F4888&gt;=Inputs!$C$68),F4888*H4888*Inputs!$C$69,"")</f>
      </c>
    </row>
    <row r="4889" spans="2:10" ht="15" customHeight="1" x14ac:dyDescent="0.2">
      <c r="B4889" s="39">
        <f t="shared" si="38"/>
      </c>
      <c r="C4889" s="40">
        <f>IF(Inputs!$C$60,Inputs!$C$11+(B4889-Inputs!$C$69)/Inputs!$C$70,"")</f>
      </c>
      <c r="D4889" s="15"/>
      <c r="E4889" s="15"/>
      <c r="F4889" s="11">
        <f t="shared" si="39"/>
      </c>
      <c r="G4889" s="22" cm="1">
        <f t="array" ref="G4889">IF(AND(Inputs!$C$60,Inputs!$C$61),INDEX(Utility_Rates!$C$29:$F$52,HOUR(C4889)+Inputs!$C$69,MATCH(INDEX(Utility_Rates!$K$6:$K$17,MONTH(C4889))&amp;IF(WEEKDAY(C4889,Inputs!$C$76)&lt;=Inputs!$C$74," weekday"," weekend"),Utility_Rates!$C$28:$F$28,Inputs!$C$68)),"")</f>
      </c>
      <c r="H4889" s="34"/>
      <c r="I4889" s="42">
        <f>IF(AND(ISNUMBER(D4889),ISNUMBER(H4889)),D4889*H4889*Inputs!$C$69,"")</f>
      </c>
      <c r="J4889" s="42">
        <f>IF(AND(ISNUMBER(F4889),ISNUMBER(H4889),F4889&gt;=Inputs!$C$68),F4889*H4889*Inputs!$C$69,"")</f>
      </c>
    </row>
    <row r="4890" spans="2:10" ht="15" customHeight="1" x14ac:dyDescent="0.2">
      <c r="B4890" s="39">
        <f t="shared" si="38"/>
      </c>
      <c r="C4890" s="40">
        <f>IF(Inputs!$C$60,Inputs!$C$11+(B4890-Inputs!$C$69)/Inputs!$C$70,"")</f>
      </c>
      <c r="D4890" s="15"/>
      <c r="E4890" s="15"/>
      <c r="F4890" s="11">
        <f t="shared" si="39"/>
      </c>
      <c r="G4890" s="22" cm="1">
        <f t="array" ref="G4890">IF(AND(Inputs!$C$60,Inputs!$C$61),INDEX(Utility_Rates!$C$29:$F$52,HOUR(C4890)+Inputs!$C$69,MATCH(INDEX(Utility_Rates!$K$6:$K$17,MONTH(C4890))&amp;IF(WEEKDAY(C4890,Inputs!$C$76)&lt;=Inputs!$C$74," weekday"," weekend"),Utility_Rates!$C$28:$F$28,Inputs!$C$68)),"")</f>
      </c>
      <c r="H4890" s="34"/>
      <c r="I4890" s="42">
        <f>IF(AND(ISNUMBER(D4890),ISNUMBER(H4890)),D4890*H4890*Inputs!$C$69,"")</f>
      </c>
      <c r="J4890" s="42">
        <f>IF(AND(ISNUMBER(F4890),ISNUMBER(H4890),F4890&gt;=Inputs!$C$68),F4890*H4890*Inputs!$C$69,"")</f>
      </c>
    </row>
    <row r="4891" spans="2:10" ht="15" customHeight="1" x14ac:dyDescent="0.2">
      <c r="B4891" s="39">
        <f t="shared" si="38"/>
      </c>
      <c r="C4891" s="40">
        <f>IF(Inputs!$C$60,Inputs!$C$11+(B4891-Inputs!$C$69)/Inputs!$C$70,"")</f>
      </c>
      <c r="D4891" s="15"/>
      <c r="E4891" s="15"/>
      <c r="F4891" s="11">
        <f t="shared" si="39"/>
      </c>
      <c r="G4891" s="22" cm="1">
        <f t="array" ref="G4891">IF(AND(Inputs!$C$60,Inputs!$C$61),INDEX(Utility_Rates!$C$29:$F$52,HOUR(C4891)+Inputs!$C$69,MATCH(INDEX(Utility_Rates!$K$6:$K$17,MONTH(C4891))&amp;IF(WEEKDAY(C4891,Inputs!$C$76)&lt;=Inputs!$C$74," weekday"," weekend"),Utility_Rates!$C$28:$F$28,Inputs!$C$68)),"")</f>
      </c>
      <c r="H4891" s="34"/>
      <c r="I4891" s="42">
        <f>IF(AND(ISNUMBER(D4891),ISNUMBER(H4891)),D4891*H4891*Inputs!$C$69,"")</f>
      </c>
      <c r="J4891" s="42">
        <f>IF(AND(ISNUMBER(F4891),ISNUMBER(H4891),F4891&gt;=Inputs!$C$68),F4891*H4891*Inputs!$C$69,"")</f>
      </c>
    </row>
    <row r="4892" spans="2:10" ht="15" customHeight="1" x14ac:dyDescent="0.2">
      <c r="B4892" s="39">
        <f t="shared" si="38"/>
      </c>
      <c r="C4892" s="40">
        <f>IF(Inputs!$C$60,Inputs!$C$11+(B4892-Inputs!$C$69)/Inputs!$C$70,"")</f>
      </c>
      <c r="D4892" s="15"/>
      <c r="E4892" s="15"/>
      <c r="F4892" s="11">
        <f t="shared" si="39"/>
      </c>
      <c r="G4892" s="22" cm="1">
        <f t="array" ref="G4892">IF(AND(Inputs!$C$60,Inputs!$C$61),INDEX(Utility_Rates!$C$29:$F$52,HOUR(C4892)+Inputs!$C$69,MATCH(INDEX(Utility_Rates!$K$6:$K$17,MONTH(C4892))&amp;IF(WEEKDAY(C4892,Inputs!$C$76)&lt;=Inputs!$C$74," weekday"," weekend"),Utility_Rates!$C$28:$F$28,Inputs!$C$68)),"")</f>
      </c>
      <c r="H4892" s="34"/>
      <c r="I4892" s="42">
        <f>IF(AND(ISNUMBER(D4892),ISNUMBER(H4892)),D4892*H4892*Inputs!$C$69,"")</f>
      </c>
      <c r="J4892" s="42">
        <f>IF(AND(ISNUMBER(F4892),ISNUMBER(H4892),F4892&gt;=Inputs!$C$68),F4892*H4892*Inputs!$C$69,"")</f>
      </c>
    </row>
    <row r="4893" spans="2:10" ht="15" customHeight="1" x14ac:dyDescent="0.2">
      <c r="B4893" s="39">
        <f t="shared" si="38"/>
      </c>
      <c r="C4893" s="40">
        <f>IF(Inputs!$C$60,Inputs!$C$11+(B4893-Inputs!$C$69)/Inputs!$C$70,"")</f>
      </c>
      <c r="D4893" s="15"/>
      <c r="E4893" s="15"/>
      <c r="F4893" s="11">
        <f t="shared" si="39"/>
      </c>
      <c r="G4893" s="22" cm="1">
        <f t="array" ref="G4893">IF(AND(Inputs!$C$60,Inputs!$C$61),INDEX(Utility_Rates!$C$29:$F$52,HOUR(C4893)+Inputs!$C$69,MATCH(INDEX(Utility_Rates!$K$6:$K$17,MONTH(C4893))&amp;IF(WEEKDAY(C4893,Inputs!$C$76)&lt;=Inputs!$C$74," weekday"," weekend"),Utility_Rates!$C$28:$F$28,Inputs!$C$68)),"")</f>
      </c>
      <c r="H4893" s="34"/>
      <c r="I4893" s="42">
        <f>IF(AND(ISNUMBER(D4893),ISNUMBER(H4893)),D4893*H4893*Inputs!$C$69,"")</f>
      </c>
      <c r="J4893" s="42">
        <f>IF(AND(ISNUMBER(F4893),ISNUMBER(H4893),F4893&gt;=Inputs!$C$68),F4893*H4893*Inputs!$C$69,"")</f>
      </c>
    </row>
    <row r="4894" spans="2:10" ht="15" customHeight="1" x14ac:dyDescent="0.2">
      <c r="B4894" s="39">
        <f t="shared" si="38"/>
      </c>
      <c r="C4894" s="40">
        <f>IF(Inputs!$C$60,Inputs!$C$11+(B4894-Inputs!$C$69)/Inputs!$C$70,"")</f>
      </c>
      <c r="D4894" s="15"/>
      <c r="E4894" s="15"/>
      <c r="F4894" s="11">
        <f t="shared" si="39"/>
      </c>
      <c r="G4894" s="22" cm="1">
        <f t="array" ref="G4894">IF(AND(Inputs!$C$60,Inputs!$C$61),INDEX(Utility_Rates!$C$29:$F$52,HOUR(C4894)+Inputs!$C$69,MATCH(INDEX(Utility_Rates!$K$6:$K$17,MONTH(C4894))&amp;IF(WEEKDAY(C4894,Inputs!$C$76)&lt;=Inputs!$C$74," weekday"," weekend"),Utility_Rates!$C$28:$F$28,Inputs!$C$68)),"")</f>
      </c>
      <c r="H4894" s="34"/>
      <c r="I4894" s="42">
        <f>IF(AND(ISNUMBER(D4894),ISNUMBER(H4894)),D4894*H4894*Inputs!$C$69,"")</f>
      </c>
      <c r="J4894" s="42">
        <f>IF(AND(ISNUMBER(F4894),ISNUMBER(H4894),F4894&gt;=Inputs!$C$68),F4894*H4894*Inputs!$C$69,"")</f>
      </c>
    </row>
    <row r="4895" spans="2:10" ht="15" customHeight="1" x14ac:dyDescent="0.2">
      <c r="B4895" s="39">
        <f t="shared" si="38"/>
      </c>
      <c r="C4895" s="40">
        <f>IF(Inputs!$C$60,Inputs!$C$11+(B4895-Inputs!$C$69)/Inputs!$C$70,"")</f>
      </c>
      <c r="D4895" s="15"/>
      <c r="E4895" s="15"/>
      <c r="F4895" s="11">
        <f t="shared" si="39"/>
      </c>
      <c r="G4895" s="22" cm="1">
        <f t="array" ref="G4895">IF(AND(Inputs!$C$60,Inputs!$C$61),INDEX(Utility_Rates!$C$29:$F$52,HOUR(C4895)+Inputs!$C$69,MATCH(INDEX(Utility_Rates!$K$6:$K$17,MONTH(C4895))&amp;IF(WEEKDAY(C4895,Inputs!$C$76)&lt;=Inputs!$C$74," weekday"," weekend"),Utility_Rates!$C$28:$F$28,Inputs!$C$68)),"")</f>
      </c>
      <c r="H4895" s="34"/>
      <c r="I4895" s="42">
        <f>IF(AND(ISNUMBER(D4895),ISNUMBER(H4895)),D4895*H4895*Inputs!$C$69,"")</f>
      </c>
      <c r="J4895" s="42">
        <f>IF(AND(ISNUMBER(F4895),ISNUMBER(H4895),F4895&gt;=Inputs!$C$68),F4895*H4895*Inputs!$C$69,"")</f>
      </c>
    </row>
    <row r="4896" spans="2:10" ht="15" customHeight="1" x14ac:dyDescent="0.2">
      <c r="B4896" s="39">
        <f t="shared" si="38"/>
      </c>
      <c r="C4896" s="40">
        <f>IF(Inputs!$C$60,Inputs!$C$11+(B4896-Inputs!$C$69)/Inputs!$C$70,"")</f>
      </c>
      <c r="D4896" s="15"/>
      <c r="E4896" s="15"/>
      <c r="F4896" s="11">
        <f t="shared" si="39"/>
      </c>
      <c r="G4896" s="22" cm="1">
        <f t="array" ref="G4896">IF(AND(Inputs!$C$60,Inputs!$C$61),INDEX(Utility_Rates!$C$29:$F$52,HOUR(C4896)+Inputs!$C$69,MATCH(INDEX(Utility_Rates!$K$6:$K$17,MONTH(C4896))&amp;IF(WEEKDAY(C4896,Inputs!$C$76)&lt;=Inputs!$C$74," weekday"," weekend"),Utility_Rates!$C$28:$F$28,Inputs!$C$68)),"")</f>
      </c>
      <c r="H4896" s="34"/>
      <c r="I4896" s="42">
        <f>IF(AND(ISNUMBER(D4896),ISNUMBER(H4896)),D4896*H4896*Inputs!$C$69,"")</f>
      </c>
      <c r="J4896" s="42">
        <f>IF(AND(ISNUMBER(F4896),ISNUMBER(H4896),F4896&gt;=Inputs!$C$68),F4896*H4896*Inputs!$C$69,"")</f>
      </c>
    </row>
    <row r="4897" spans="2:10" ht="15" customHeight="1" x14ac:dyDescent="0.2">
      <c r="B4897" s="39">
        <f t="shared" si="38"/>
      </c>
      <c r="C4897" s="40">
        <f>IF(Inputs!$C$60,Inputs!$C$11+(B4897-Inputs!$C$69)/Inputs!$C$70,"")</f>
      </c>
      <c r="D4897" s="15"/>
      <c r="E4897" s="15"/>
      <c r="F4897" s="11">
        <f t="shared" si="39"/>
      </c>
      <c r="G4897" s="22" cm="1">
        <f t="array" ref="G4897">IF(AND(Inputs!$C$60,Inputs!$C$61),INDEX(Utility_Rates!$C$29:$F$52,HOUR(C4897)+Inputs!$C$69,MATCH(INDEX(Utility_Rates!$K$6:$K$17,MONTH(C4897))&amp;IF(WEEKDAY(C4897,Inputs!$C$76)&lt;=Inputs!$C$74," weekday"," weekend"),Utility_Rates!$C$28:$F$28,Inputs!$C$68)),"")</f>
      </c>
      <c r="H4897" s="34"/>
      <c r="I4897" s="42">
        <f>IF(AND(ISNUMBER(D4897),ISNUMBER(H4897)),D4897*H4897*Inputs!$C$69,"")</f>
      </c>
      <c r="J4897" s="42">
        <f>IF(AND(ISNUMBER(F4897),ISNUMBER(H4897),F4897&gt;=Inputs!$C$68),F4897*H4897*Inputs!$C$69,"")</f>
      </c>
    </row>
    <row r="4898" spans="2:10" ht="15" customHeight="1" x14ac:dyDescent="0.2">
      <c r="B4898" s="39">
        <f t="shared" si="38"/>
      </c>
      <c r="C4898" s="40">
        <f>IF(Inputs!$C$60,Inputs!$C$11+(B4898-Inputs!$C$69)/Inputs!$C$70,"")</f>
      </c>
      <c r="D4898" s="15"/>
      <c r="E4898" s="15"/>
      <c r="F4898" s="11">
        <f t="shared" si="39"/>
      </c>
      <c r="G4898" s="22" cm="1">
        <f t="array" ref="G4898">IF(AND(Inputs!$C$60,Inputs!$C$61),INDEX(Utility_Rates!$C$29:$F$52,HOUR(C4898)+Inputs!$C$69,MATCH(INDEX(Utility_Rates!$K$6:$K$17,MONTH(C4898))&amp;IF(WEEKDAY(C4898,Inputs!$C$76)&lt;=Inputs!$C$74," weekday"," weekend"),Utility_Rates!$C$28:$F$28,Inputs!$C$68)),"")</f>
      </c>
      <c r="H4898" s="34"/>
      <c r="I4898" s="42">
        <f>IF(AND(ISNUMBER(D4898),ISNUMBER(H4898)),D4898*H4898*Inputs!$C$69,"")</f>
      </c>
      <c r="J4898" s="42">
        <f>IF(AND(ISNUMBER(F4898),ISNUMBER(H4898),F4898&gt;=Inputs!$C$68),F4898*H4898*Inputs!$C$69,"")</f>
      </c>
    </row>
    <row r="4899" spans="2:10" ht="15" customHeight="1" x14ac:dyDescent="0.2">
      <c r="B4899" s="39">
        <f t="shared" si="38"/>
      </c>
      <c r="C4899" s="40">
        <f>IF(Inputs!$C$60,Inputs!$C$11+(B4899-Inputs!$C$69)/Inputs!$C$70,"")</f>
      </c>
      <c r="D4899" s="15"/>
      <c r="E4899" s="15"/>
      <c r="F4899" s="11">
        <f t="shared" si="39"/>
      </c>
      <c r="G4899" s="22" cm="1">
        <f t="array" ref="G4899">IF(AND(Inputs!$C$60,Inputs!$C$61),INDEX(Utility_Rates!$C$29:$F$52,HOUR(C4899)+Inputs!$C$69,MATCH(INDEX(Utility_Rates!$K$6:$K$17,MONTH(C4899))&amp;IF(WEEKDAY(C4899,Inputs!$C$76)&lt;=Inputs!$C$74," weekday"," weekend"),Utility_Rates!$C$28:$F$28,Inputs!$C$68)),"")</f>
      </c>
      <c r="H4899" s="34"/>
      <c r="I4899" s="42">
        <f>IF(AND(ISNUMBER(D4899),ISNUMBER(H4899)),D4899*H4899*Inputs!$C$69,"")</f>
      </c>
      <c r="J4899" s="42">
        <f>IF(AND(ISNUMBER(F4899),ISNUMBER(H4899),F4899&gt;=Inputs!$C$68),F4899*H4899*Inputs!$C$69,"")</f>
      </c>
    </row>
    <row r="4900" spans="2:10" ht="15" customHeight="1" x14ac:dyDescent="0.2">
      <c r="B4900" s="39">
        <f t="shared" si="38"/>
      </c>
      <c r="C4900" s="40">
        <f>IF(Inputs!$C$60,Inputs!$C$11+(B4900-Inputs!$C$69)/Inputs!$C$70,"")</f>
      </c>
      <c r="D4900" s="15"/>
      <c r="E4900" s="15"/>
      <c r="F4900" s="11">
        <f t="shared" si="39"/>
      </c>
      <c r="G4900" s="22" cm="1">
        <f t="array" ref="G4900">IF(AND(Inputs!$C$60,Inputs!$C$61),INDEX(Utility_Rates!$C$29:$F$52,HOUR(C4900)+Inputs!$C$69,MATCH(INDEX(Utility_Rates!$K$6:$K$17,MONTH(C4900))&amp;IF(WEEKDAY(C4900,Inputs!$C$76)&lt;=Inputs!$C$74," weekday"," weekend"),Utility_Rates!$C$28:$F$28,Inputs!$C$68)),"")</f>
      </c>
      <c r="H4900" s="34"/>
      <c r="I4900" s="42">
        <f>IF(AND(ISNUMBER(D4900),ISNUMBER(H4900)),D4900*H4900*Inputs!$C$69,"")</f>
      </c>
      <c r="J4900" s="42">
        <f>IF(AND(ISNUMBER(F4900),ISNUMBER(H4900),F4900&gt;=Inputs!$C$68),F4900*H4900*Inputs!$C$69,"")</f>
      </c>
    </row>
    <row r="4901" spans="2:10" ht="15" customHeight="1" x14ac:dyDescent="0.2">
      <c r="B4901" s="39">
        <f t="shared" si="38"/>
      </c>
      <c r="C4901" s="40">
        <f>IF(Inputs!$C$60,Inputs!$C$11+(B4901-Inputs!$C$69)/Inputs!$C$70,"")</f>
      </c>
      <c r="D4901" s="15"/>
      <c r="E4901" s="15"/>
      <c r="F4901" s="11">
        <f t="shared" si="39"/>
      </c>
      <c r="G4901" s="22" cm="1">
        <f t="array" ref="G4901">IF(AND(Inputs!$C$60,Inputs!$C$61),INDEX(Utility_Rates!$C$29:$F$52,HOUR(C4901)+Inputs!$C$69,MATCH(INDEX(Utility_Rates!$K$6:$K$17,MONTH(C4901))&amp;IF(WEEKDAY(C4901,Inputs!$C$76)&lt;=Inputs!$C$74," weekday"," weekend"),Utility_Rates!$C$28:$F$28,Inputs!$C$68)),"")</f>
      </c>
      <c r="H4901" s="34"/>
      <c r="I4901" s="42">
        <f>IF(AND(ISNUMBER(D4901),ISNUMBER(H4901)),D4901*H4901*Inputs!$C$69,"")</f>
      </c>
      <c r="J4901" s="42">
        <f>IF(AND(ISNUMBER(F4901),ISNUMBER(H4901),F4901&gt;=Inputs!$C$68),F4901*H4901*Inputs!$C$69,"")</f>
      </c>
    </row>
    <row r="4902" spans="2:10" ht="15" customHeight="1" x14ac:dyDescent="0.2">
      <c r="B4902" s="39">
        <f t="shared" si="38"/>
      </c>
      <c r="C4902" s="40">
        <f>IF(Inputs!$C$60,Inputs!$C$11+(B4902-Inputs!$C$69)/Inputs!$C$70,"")</f>
      </c>
      <c r="D4902" s="15"/>
      <c r="E4902" s="15"/>
      <c r="F4902" s="11">
        <f t="shared" si="39"/>
      </c>
      <c r="G4902" s="22" cm="1">
        <f t="array" ref="G4902">IF(AND(Inputs!$C$60,Inputs!$C$61),INDEX(Utility_Rates!$C$29:$F$52,HOUR(C4902)+Inputs!$C$69,MATCH(INDEX(Utility_Rates!$K$6:$K$17,MONTH(C4902))&amp;IF(WEEKDAY(C4902,Inputs!$C$76)&lt;=Inputs!$C$74," weekday"," weekend"),Utility_Rates!$C$28:$F$28,Inputs!$C$68)),"")</f>
      </c>
      <c r="H4902" s="34"/>
      <c r="I4902" s="42">
        <f>IF(AND(ISNUMBER(D4902),ISNUMBER(H4902)),D4902*H4902*Inputs!$C$69,"")</f>
      </c>
      <c r="J4902" s="42">
        <f>IF(AND(ISNUMBER(F4902),ISNUMBER(H4902),F4902&gt;=Inputs!$C$68),F4902*H4902*Inputs!$C$69,"")</f>
      </c>
    </row>
    <row r="4903" spans="2:10" ht="15" customHeight="1" x14ac:dyDescent="0.2">
      <c r="B4903" s="39">
        <f t="shared" si="38"/>
      </c>
      <c r="C4903" s="40">
        <f>IF(Inputs!$C$60,Inputs!$C$11+(B4903-Inputs!$C$69)/Inputs!$C$70,"")</f>
      </c>
      <c r="D4903" s="15"/>
      <c r="E4903" s="15"/>
      <c r="F4903" s="11">
        <f t="shared" si="39"/>
      </c>
      <c r="G4903" s="22" cm="1">
        <f t="array" ref="G4903">IF(AND(Inputs!$C$60,Inputs!$C$61),INDEX(Utility_Rates!$C$29:$F$52,HOUR(C4903)+Inputs!$C$69,MATCH(INDEX(Utility_Rates!$K$6:$K$17,MONTH(C4903))&amp;IF(WEEKDAY(C4903,Inputs!$C$76)&lt;=Inputs!$C$74," weekday"," weekend"),Utility_Rates!$C$28:$F$28,Inputs!$C$68)),"")</f>
      </c>
      <c r="H4903" s="34"/>
      <c r="I4903" s="42">
        <f>IF(AND(ISNUMBER(D4903),ISNUMBER(H4903)),D4903*H4903*Inputs!$C$69,"")</f>
      </c>
      <c r="J4903" s="42">
        <f>IF(AND(ISNUMBER(F4903),ISNUMBER(H4903),F4903&gt;=Inputs!$C$68),F4903*H4903*Inputs!$C$69,"")</f>
      </c>
    </row>
    <row r="4904" spans="2:10" ht="15" customHeight="1" x14ac:dyDescent="0.2">
      <c r="B4904" s="39">
        <f t="shared" si="38"/>
      </c>
      <c r="C4904" s="40">
        <f>IF(Inputs!$C$60,Inputs!$C$11+(B4904-Inputs!$C$69)/Inputs!$C$70,"")</f>
      </c>
      <c r="D4904" s="15"/>
      <c r="E4904" s="15"/>
      <c r="F4904" s="11">
        <f t="shared" si="39"/>
      </c>
      <c r="G4904" s="22" cm="1">
        <f t="array" ref="G4904">IF(AND(Inputs!$C$60,Inputs!$C$61),INDEX(Utility_Rates!$C$29:$F$52,HOUR(C4904)+Inputs!$C$69,MATCH(INDEX(Utility_Rates!$K$6:$K$17,MONTH(C4904))&amp;IF(WEEKDAY(C4904,Inputs!$C$76)&lt;=Inputs!$C$74," weekday"," weekend"),Utility_Rates!$C$28:$F$28,Inputs!$C$68)),"")</f>
      </c>
      <c r="H4904" s="34"/>
      <c r="I4904" s="42">
        <f>IF(AND(ISNUMBER(D4904),ISNUMBER(H4904)),D4904*H4904*Inputs!$C$69,"")</f>
      </c>
      <c r="J4904" s="42">
        <f>IF(AND(ISNUMBER(F4904),ISNUMBER(H4904),F4904&gt;=Inputs!$C$68),F4904*H4904*Inputs!$C$69,"")</f>
      </c>
    </row>
    <row r="4905" spans="2:10" ht="15" customHeight="1" x14ac:dyDescent="0.2">
      <c r="B4905" s="39">
        <f t="shared" si="38"/>
      </c>
      <c r="C4905" s="40">
        <f>IF(Inputs!$C$60,Inputs!$C$11+(B4905-Inputs!$C$69)/Inputs!$C$70,"")</f>
      </c>
      <c r="D4905" s="15"/>
      <c r="E4905" s="15"/>
      <c r="F4905" s="11">
        <f t="shared" si="39"/>
      </c>
      <c r="G4905" s="22" cm="1">
        <f t="array" ref="G4905">IF(AND(Inputs!$C$60,Inputs!$C$61),INDEX(Utility_Rates!$C$29:$F$52,HOUR(C4905)+Inputs!$C$69,MATCH(INDEX(Utility_Rates!$K$6:$K$17,MONTH(C4905))&amp;IF(WEEKDAY(C4905,Inputs!$C$76)&lt;=Inputs!$C$74," weekday"," weekend"),Utility_Rates!$C$28:$F$28,Inputs!$C$68)),"")</f>
      </c>
      <c r="H4905" s="34"/>
      <c r="I4905" s="42">
        <f>IF(AND(ISNUMBER(D4905),ISNUMBER(H4905)),D4905*H4905*Inputs!$C$69,"")</f>
      </c>
      <c r="J4905" s="42">
        <f>IF(AND(ISNUMBER(F4905),ISNUMBER(H4905),F4905&gt;=Inputs!$C$68),F4905*H4905*Inputs!$C$69,"")</f>
      </c>
    </row>
    <row r="4906" spans="2:10" ht="15" customHeight="1" x14ac:dyDescent="0.2">
      <c r="B4906" s="39">
        <f t="shared" si="38"/>
      </c>
      <c r="C4906" s="40">
        <f>IF(Inputs!$C$60,Inputs!$C$11+(B4906-Inputs!$C$69)/Inputs!$C$70,"")</f>
      </c>
      <c r="D4906" s="15"/>
      <c r="E4906" s="15"/>
      <c r="F4906" s="11">
        <f t="shared" si="39"/>
      </c>
      <c r="G4906" s="22" cm="1">
        <f t="array" ref="G4906">IF(AND(Inputs!$C$60,Inputs!$C$61),INDEX(Utility_Rates!$C$29:$F$52,HOUR(C4906)+Inputs!$C$69,MATCH(INDEX(Utility_Rates!$K$6:$K$17,MONTH(C4906))&amp;IF(WEEKDAY(C4906,Inputs!$C$76)&lt;=Inputs!$C$74," weekday"," weekend"),Utility_Rates!$C$28:$F$28,Inputs!$C$68)),"")</f>
      </c>
      <c r="H4906" s="34"/>
      <c r="I4906" s="42">
        <f>IF(AND(ISNUMBER(D4906),ISNUMBER(H4906)),D4906*H4906*Inputs!$C$69,"")</f>
      </c>
      <c r="J4906" s="42">
        <f>IF(AND(ISNUMBER(F4906),ISNUMBER(H4906),F4906&gt;=Inputs!$C$68),F4906*H4906*Inputs!$C$69,"")</f>
      </c>
    </row>
    <row r="4907" spans="2:10" ht="15" customHeight="1" x14ac:dyDescent="0.2">
      <c r="B4907" s="39">
        <f t="shared" si="38"/>
      </c>
      <c r="C4907" s="40">
        <f>IF(Inputs!$C$60,Inputs!$C$11+(B4907-Inputs!$C$69)/Inputs!$C$70,"")</f>
      </c>
      <c r="D4907" s="15"/>
      <c r="E4907" s="15"/>
      <c r="F4907" s="11">
        <f t="shared" si="39"/>
      </c>
      <c r="G4907" s="22" cm="1">
        <f t="array" ref="G4907">IF(AND(Inputs!$C$60,Inputs!$C$61),INDEX(Utility_Rates!$C$29:$F$52,HOUR(C4907)+Inputs!$C$69,MATCH(INDEX(Utility_Rates!$K$6:$K$17,MONTH(C4907))&amp;IF(WEEKDAY(C4907,Inputs!$C$76)&lt;=Inputs!$C$74," weekday"," weekend"),Utility_Rates!$C$28:$F$28,Inputs!$C$68)),"")</f>
      </c>
      <c r="H4907" s="34"/>
      <c r="I4907" s="42">
        <f>IF(AND(ISNUMBER(D4907),ISNUMBER(H4907)),D4907*H4907*Inputs!$C$69,"")</f>
      </c>
      <c r="J4907" s="42">
        <f>IF(AND(ISNUMBER(F4907),ISNUMBER(H4907),F4907&gt;=Inputs!$C$68),F4907*H4907*Inputs!$C$69,"")</f>
      </c>
    </row>
    <row r="4908" spans="2:10" ht="15" customHeight="1" x14ac:dyDescent="0.2">
      <c r="B4908" s="39">
        <f t="shared" si="38"/>
      </c>
      <c r="C4908" s="40">
        <f>IF(Inputs!$C$60,Inputs!$C$11+(B4908-Inputs!$C$69)/Inputs!$C$70,"")</f>
      </c>
      <c r="D4908" s="15"/>
      <c r="E4908" s="15"/>
      <c r="F4908" s="11">
        <f t="shared" si="39"/>
      </c>
      <c r="G4908" s="22" cm="1">
        <f t="array" ref="G4908">IF(AND(Inputs!$C$60,Inputs!$C$61),INDEX(Utility_Rates!$C$29:$F$52,HOUR(C4908)+Inputs!$C$69,MATCH(INDEX(Utility_Rates!$K$6:$K$17,MONTH(C4908))&amp;IF(WEEKDAY(C4908,Inputs!$C$76)&lt;=Inputs!$C$74," weekday"," weekend"),Utility_Rates!$C$28:$F$28,Inputs!$C$68)),"")</f>
      </c>
      <c r="H4908" s="34"/>
      <c r="I4908" s="42">
        <f>IF(AND(ISNUMBER(D4908),ISNUMBER(H4908)),D4908*H4908*Inputs!$C$69,"")</f>
      </c>
      <c r="J4908" s="42">
        <f>IF(AND(ISNUMBER(F4908),ISNUMBER(H4908),F4908&gt;=Inputs!$C$68),F4908*H4908*Inputs!$C$69,"")</f>
      </c>
    </row>
    <row r="4909" spans="2:10" ht="15" customHeight="1" x14ac:dyDescent="0.2">
      <c r="B4909" s="39">
        <f t="shared" si="38"/>
      </c>
      <c r="C4909" s="40">
        <f>IF(Inputs!$C$60,Inputs!$C$11+(B4909-Inputs!$C$69)/Inputs!$C$70,"")</f>
      </c>
      <c r="D4909" s="15"/>
      <c r="E4909" s="15"/>
      <c r="F4909" s="11">
        <f t="shared" si="39"/>
      </c>
      <c r="G4909" s="22" cm="1">
        <f t="array" ref="G4909">IF(AND(Inputs!$C$60,Inputs!$C$61),INDEX(Utility_Rates!$C$29:$F$52,HOUR(C4909)+Inputs!$C$69,MATCH(INDEX(Utility_Rates!$K$6:$K$17,MONTH(C4909))&amp;IF(WEEKDAY(C4909,Inputs!$C$76)&lt;=Inputs!$C$74," weekday"," weekend"),Utility_Rates!$C$28:$F$28,Inputs!$C$68)),"")</f>
      </c>
      <c r="H4909" s="34"/>
      <c r="I4909" s="42">
        <f>IF(AND(ISNUMBER(D4909),ISNUMBER(H4909)),D4909*H4909*Inputs!$C$69,"")</f>
      </c>
      <c r="J4909" s="42">
        <f>IF(AND(ISNUMBER(F4909),ISNUMBER(H4909),F4909&gt;=Inputs!$C$68),F4909*H4909*Inputs!$C$69,"")</f>
      </c>
    </row>
    <row r="4910" spans="2:10" ht="15" customHeight="1" x14ac:dyDescent="0.2">
      <c r="B4910" s="39">
        <f t="shared" si="38"/>
      </c>
      <c r="C4910" s="40">
        <f>IF(Inputs!$C$60,Inputs!$C$11+(B4910-Inputs!$C$69)/Inputs!$C$70,"")</f>
      </c>
      <c r="D4910" s="15"/>
      <c r="E4910" s="15"/>
      <c r="F4910" s="11">
        <f t="shared" si="39"/>
      </c>
      <c r="G4910" s="22" cm="1">
        <f t="array" ref="G4910">IF(AND(Inputs!$C$60,Inputs!$C$61),INDEX(Utility_Rates!$C$29:$F$52,HOUR(C4910)+Inputs!$C$69,MATCH(INDEX(Utility_Rates!$K$6:$K$17,MONTH(C4910))&amp;IF(WEEKDAY(C4910,Inputs!$C$76)&lt;=Inputs!$C$74," weekday"," weekend"),Utility_Rates!$C$28:$F$28,Inputs!$C$68)),"")</f>
      </c>
      <c r="H4910" s="34"/>
      <c r="I4910" s="42">
        <f>IF(AND(ISNUMBER(D4910),ISNUMBER(H4910)),D4910*H4910*Inputs!$C$69,"")</f>
      </c>
      <c r="J4910" s="42">
        <f>IF(AND(ISNUMBER(F4910),ISNUMBER(H4910),F4910&gt;=Inputs!$C$68),F4910*H4910*Inputs!$C$69,"")</f>
      </c>
    </row>
    <row r="4911" spans="2:10" ht="15" customHeight="1" x14ac:dyDescent="0.2">
      <c r="B4911" s="39">
        <f t="shared" si="38"/>
      </c>
      <c r="C4911" s="40">
        <f>IF(Inputs!$C$60,Inputs!$C$11+(B4911-Inputs!$C$69)/Inputs!$C$70,"")</f>
      </c>
      <c r="D4911" s="15"/>
      <c r="E4911" s="15"/>
      <c r="F4911" s="11">
        <f t="shared" si="39"/>
      </c>
      <c r="G4911" s="22" cm="1">
        <f t="array" ref="G4911">IF(AND(Inputs!$C$60,Inputs!$C$61),INDEX(Utility_Rates!$C$29:$F$52,HOUR(C4911)+Inputs!$C$69,MATCH(INDEX(Utility_Rates!$K$6:$K$17,MONTH(C4911))&amp;IF(WEEKDAY(C4911,Inputs!$C$76)&lt;=Inputs!$C$74," weekday"," weekend"),Utility_Rates!$C$28:$F$28,Inputs!$C$68)),"")</f>
      </c>
      <c r="H4911" s="34"/>
      <c r="I4911" s="42">
        <f>IF(AND(ISNUMBER(D4911),ISNUMBER(H4911)),D4911*H4911*Inputs!$C$69,"")</f>
      </c>
      <c r="J4911" s="42">
        <f>IF(AND(ISNUMBER(F4911),ISNUMBER(H4911),F4911&gt;=Inputs!$C$68),F4911*H4911*Inputs!$C$69,"")</f>
      </c>
    </row>
    <row r="4912" spans="2:10" ht="15" customHeight="1" x14ac:dyDescent="0.2">
      <c r="B4912" s="39">
        <f t="shared" si="38"/>
      </c>
      <c r="C4912" s="40">
        <f>IF(Inputs!$C$60,Inputs!$C$11+(B4912-Inputs!$C$69)/Inputs!$C$70,"")</f>
      </c>
      <c r="D4912" s="15"/>
      <c r="E4912" s="15"/>
      <c r="F4912" s="11">
        <f t="shared" si="39"/>
      </c>
      <c r="G4912" s="22" cm="1">
        <f t="array" ref="G4912">IF(AND(Inputs!$C$60,Inputs!$C$61),INDEX(Utility_Rates!$C$29:$F$52,HOUR(C4912)+Inputs!$C$69,MATCH(INDEX(Utility_Rates!$K$6:$K$17,MONTH(C4912))&amp;IF(WEEKDAY(C4912,Inputs!$C$76)&lt;=Inputs!$C$74," weekday"," weekend"),Utility_Rates!$C$28:$F$28,Inputs!$C$68)),"")</f>
      </c>
      <c r="H4912" s="34"/>
      <c r="I4912" s="42">
        <f>IF(AND(ISNUMBER(D4912),ISNUMBER(H4912)),D4912*H4912*Inputs!$C$69,"")</f>
      </c>
      <c r="J4912" s="42">
        <f>IF(AND(ISNUMBER(F4912),ISNUMBER(H4912),F4912&gt;=Inputs!$C$68),F4912*H4912*Inputs!$C$69,"")</f>
      </c>
    </row>
    <row r="4913" spans="2:10" ht="15" customHeight="1" x14ac:dyDescent="0.2">
      <c r="B4913" s="39">
        <f t="shared" si="38"/>
      </c>
      <c r="C4913" s="40">
        <f>IF(Inputs!$C$60,Inputs!$C$11+(B4913-Inputs!$C$69)/Inputs!$C$70,"")</f>
      </c>
      <c r="D4913" s="15"/>
      <c r="E4913" s="15"/>
      <c r="F4913" s="11">
        <f t="shared" si="39"/>
      </c>
      <c r="G4913" s="22" cm="1">
        <f t="array" ref="G4913">IF(AND(Inputs!$C$60,Inputs!$C$61),INDEX(Utility_Rates!$C$29:$F$52,HOUR(C4913)+Inputs!$C$69,MATCH(INDEX(Utility_Rates!$K$6:$K$17,MONTH(C4913))&amp;IF(WEEKDAY(C4913,Inputs!$C$76)&lt;=Inputs!$C$74," weekday"," weekend"),Utility_Rates!$C$28:$F$28,Inputs!$C$68)),"")</f>
      </c>
      <c r="H4913" s="34"/>
      <c r="I4913" s="42">
        <f>IF(AND(ISNUMBER(D4913),ISNUMBER(H4913)),D4913*H4913*Inputs!$C$69,"")</f>
      </c>
      <c r="J4913" s="42">
        <f>IF(AND(ISNUMBER(F4913),ISNUMBER(H4913),F4913&gt;=Inputs!$C$68),F4913*H4913*Inputs!$C$69,"")</f>
      </c>
    </row>
    <row r="4914" spans="2:10" ht="15" customHeight="1" x14ac:dyDescent="0.2">
      <c r="B4914" s="39">
        <f t="shared" si="38"/>
      </c>
      <c r="C4914" s="40">
        <f>IF(Inputs!$C$60,Inputs!$C$11+(B4914-Inputs!$C$69)/Inputs!$C$70,"")</f>
      </c>
      <c r="D4914" s="15"/>
      <c r="E4914" s="15"/>
      <c r="F4914" s="11">
        <f t="shared" si="39"/>
      </c>
      <c r="G4914" s="22" cm="1">
        <f t="array" ref="G4914">IF(AND(Inputs!$C$60,Inputs!$C$61),INDEX(Utility_Rates!$C$29:$F$52,HOUR(C4914)+Inputs!$C$69,MATCH(INDEX(Utility_Rates!$K$6:$K$17,MONTH(C4914))&amp;IF(WEEKDAY(C4914,Inputs!$C$76)&lt;=Inputs!$C$74," weekday"," weekend"),Utility_Rates!$C$28:$F$28,Inputs!$C$68)),"")</f>
      </c>
      <c r="H4914" s="34"/>
      <c r="I4914" s="42">
        <f>IF(AND(ISNUMBER(D4914),ISNUMBER(H4914)),D4914*H4914*Inputs!$C$69,"")</f>
      </c>
      <c r="J4914" s="42">
        <f>IF(AND(ISNUMBER(F4914),ISNUMBER(H4914),F4914&gt;=Inputs!$C$68),F4914*H4914*Inputs!$C$69,"")</f>
      </c>
    </row>
    <row r="4915" spans="2:10" ht="15" customHeight="1" x14ac:dyDescent="0.2">
      <c r="B4915" s="39">
        <f t="shared" si="38"/>
      </c>
      <c r="C4915" s="40">
        <f>IF(Inputs!$C$60,Inputs!$C$11+(B4915-Inputs!$C$69)/Inputs!$C$70,"")</f>
      </c>
      <c r="D4915" s="15"/>
      <c r="E4915" s="15"/>
      <c r="F4915" s="11">
        <f t="shared" si="39"/>
      </c>
      <c r="G4915" s="22" cm="1">
        <f t="array" ref="G4915">IF(AND(Inputs!$C$60,Inputs!$C$61),INDEX(Utility_Rates!$C$29:$F$52,HOUR(C4915)+Inputs!$C$69,MATCH(INDEX(Utility_Rates!$K$6:$K$17,MONTH(C4915))&amp;IF(WEEKDAY(C4915,Inputs!$C$76)&lt;=Inputs!$C$74," weekday"," weekend"),Utility_Rates!$C$28:$F$28,Inputs!$C$68)),"")</f>
      </c>
      <c r="H4915" s="34"/>
      <c r="I4915" s="42">
        <f>IF(AND(ISNUMBER(D4915),ISNUMBER(H4915)),D4915*H4915*Inputs!$C$69,"")</f>
      </c>
      <c r="J4915" s="42">
        <f>IF(AND(ISNUMBER(F4915),ISNUMBER(H4915),F4915&gt;=Inputs!$C$68),F4915*H4915*Inputs!$C$69,"")</f>
      </c>
    </row>
    <row r="4916" spans="2:10" ht="15" customHeight="1" x14ac:dyDescent="0.2">
      <c r="B4916" s="39">
        <f t="shared" si="38"/>
      </c>
      <c r="C4916" s="40">
        <f>IF(Inputs!$C$60,Inputs!$C$11+(B4916-Inputs!$C$69)/Inputs!$C$70,"")</f>
      </c>
      <c r="D4916" s="15"/>
      <c r="E4916" s="15"/>
      <c r="F4916" s="11">
        <f t="shared" si="39"/>
      </c>
      <c r="G4916" s="22" cm="1">
        <f t="array" ref="G4916">IF(AND(Inputs!$C$60,Inputs!$C$61),INDEX(Utility_Rates!$C$29:$F$52,HOUR(C4916)+Inputs!$C$69,MATCH(INDEX(Utility_Rates!$K$6:$K$17,MONTH(C4916))&amp;IF(WEEKDAY(C4916,Inputs!$C$76)&lt;=Inputs!$C$74," weekday"," weekend"),Utility_Rates!$C$28:$F$28,Inputs!$C$68)),"")</f>
      </c>
      <c r="H4916" s="34"/>
      <c r="I4916" s="42">
        <f>IF(AND(ISNUMBER(D4916),ISNUMBER(H4916)),D4916*H4916*Inputs!$C$69,"")</f>
      </c>
      <c r="J4916" s="42">
        <f>IF(AND(ISNUMBER(F4916),ISNUMBER(H4916),F4916&gt;=Inputs!$C$68),F4916*H4916*Inputs!$C$69,"")</f>
      </c>
    </row>
    <row r="4917" spans="2:10" ht="15" customHeight="1" x14ac:dyDescent="0.2">
      <c r="B4917" s="39">
        <f t="shared" si="38"/>
      </c>
      <c r="C4917" s="40">
        <f>IF(Inputs!$C$60,Inputs!$C$11+(B4917-Inputs!$C$69)/Inputs!$C$70,"")</f>
      </c>
      <c r="D4917" s="15"/>
      <c r="E4917" s="15"/>
      <c r="F4917" s="11">
        <f t="shared" si="39"/>
      </c>
      <c r="G4917" s="22" cm="1">
        <f t="array" ref="G4917">IF(AND(Inputs!$C$60,Inputs!$C$61),INDEX(Utility_Rates!$C$29:$F$52,HOUR(C4917)+Inputs!$C$69,MATCH(INDEX(Utility_Rates!$K$6:$K$17,MONTH(C4917))&amp;IF(WEEKDAY(C4917,Inputs!$C$76)&lt;=Inputs!$C$74," weekday"," weekend"),Utility_Rates!$C$28:$F$28,Inputs!$C$68)),"")</f>
      </c>
      <c r="H4917" s="34"/>
      <c r="I4917" s="42">
        <f>IF(AND(ISNUMBER(D4917),ISNUMBER(H4917)),D4917*H4917*Inputs!$C$69,"")</f>
      </c>
      <c r="J4917" s="42">
        <f>IF(AND(ISNUMBER(F4917),ISNUMBER(H4917),F4917&gt;=Inputs!$C$68),F4917*H4917*Inputs!$C$69,"")</f>
      </c>
    </row>
    <row r="4918" spans="2:10" ht="15" customHeight="1" x14ac:dyDescent="0.2">
      <c r="B4918" s="39">
        <f t="shared" si="38"/>
      </c>
      <c r="C4918" s="40">
        <f>IF(Inputs!$C$60,Inputs!$C$11+(B4918-Inputs!$C$69)/Inputs!$C$70,"")</f>
      </c>
      <c r="D4918" s="15"/>
      <c r="E4918" s="15"/>
      <c r="F4918" s="11">
        <f t="shared" si="39"/>
      </c>
      <c r="G4918" s="22" cm="1">
        <f t="array" ref="G4918">IF(AND(Inputs!$C$60,Inputs!$C$61),INDEX(Utility_Rates!$C$29:$F$52,HOUR(C4918)+Inputs!$C$69,MATCH(INDEX(Utility_Rates!$K$6:$K$17,MONTH(C4918))&amp;IF(WEEKDAY(C4918,Inputs!$C$76)&lt;=Inputs!$C$74," weekday"," weekend"),Utility_Rates!$C$28:$F$28,Inputs!$C$68)),"")</f>
      </c>
      <c r="H4918" s="34"/>
      <c r="I4918" s="42">
        <f>IF(AND(ISNUMBER(D4918),ISNUMBER(H4918)),D4918*H4918*Inputs!$C$69,"")</f>
      </c>
      <c r="J4918" s="42">
        <f>IF(AND(ISNUMBER(F4918),ISNUMBER(H4918),F4918&gt;=Inputs!$C$68),F4918*H4918*Inputs!$C$69,"")</f>
      </c>
    </row>
    <row r="4919" spans="2:10" ht="15" customHeight="1" x14ac:dyDescent="0.2">
      <c r="B4919" s="39">
        <f t="shared" si="38"/>
      </c>
      <c r="C4919" s="40">
        <f>IF(Inputs!$C$60,Inputs!$C$11+(B4919-Inputs!$C$69)/Inputs!$C$70,"")</f>
      </c>
      <c r="D4919" s="15"/>
      <c r="E4919" s="15"/>
      <c r="F4919" s="11">
        <f t="shared" si="39"/>
      </c>
      <c r="G4919" s="22" cm="1">
        <f t="array" ref="G4919">IF(AND(Inputs!$C$60,Inputs!$C$61),INDEX(Utility_Rates!$C$29:$F$52,HOUR(C4919)+Inputs!$C$69,MATCH(INDEX(Utility_Rates!$K$6:$K$17,MONTH(C4919))&amp;IF(WEEKDAY(C4919,Inputs!$C$76)&lt;=Inputs!$C$74," weekday"," weekend"),Utility_Rates!$C$28:$F$28,Inputs!$C$68)),"")</f>
      </c>
      <c r="H4919" s="34"/>
      <c r="I4919" s="42">
        <f>IF(AND(ISNUMBER(D4919),ISNUMBER(H4919)),D4919*H4919*Inputs!$C$69,"")</f>
      </c>
      <c r="J4919" s="42">
        <f>IF(AND(ISNUMBER(F4919),ISNUMBER(H4919),F4919&gt;=Inputs!$C$68),F4919*H4919*Inputs!$C$69,"")</f>
      </c>
    </row>
    <row r="4920" spans="2:10" ht="15" customHeight="1" x14ac:dyDescent="0.2">
      <c r="B4920" s="39">
        <f t="shared" si="38"/>
      </c>
      <c r="C4920" s="40">
        <f>IF(Inputs!$C$60,Inputs!$C$11+(B4920-Inputs!$C$69)/Inputs!$C$70,"")</f>
      </c>
      <c r="D4920" s="15"/>
      <c r="E4920" s="15"/>
      <c r="F4920" s="11">
        <f t="shared" si="39"/>
      </c>
      <c r="G4920" s="22" cm="1">
        <f t="array" ref="G4920">IF(AND(Inputs!$C$60,Inputs!$C$61),INDEX(Utility_Rates!$C$29:$F$52,HOUR(C4920)+Inputs!$C$69,MATCH(INDEX(Utility_Rates!$K$6:$K$17,MONTH(C4920))&amp;IF(WEEKDAY(C4920,Inputs!$C$76)&lt;=Inputs!$C$74," weekday"," weekend"),Utility_Rates!$C$28:$F$28,Inputs!$C$68)),"")</f>
      </c>
      <c r="H4920" s="34"/>
      <c r="I4920" s="42">
        <f>IF(AND(ISNUMBER(D4920),ISNUMBER(H4920)),D4920*H4920*Inputs!$C$69,"")</f>
      </c>
      <c r="J4920" s="42">
        <f>IF(AND(ISNUMBER(F4920),ISNUMBER(H4920),F4920&gt;=Inputs!$C$68),F4920*H4920*Inputs!$C$69,"")</f>
      </c>
    </row>
    <row r="4921" spans="2:10" ht="15" customHeight="1" x14ac:dyDescent="0.2">
      <c r="B4921" s="39">
        <f t="shared" si="38"/>
      </c>
      <c r="C4921" s="40">
        <f>IF(Inputs!$C$60,Inputs!$C$11+(B4921-Inputs!$C$69)/Inputs!$C$70,"")</f>
      </c>
      <c r="D4921" s="15"/>
      <c r="E4921" s="15"/>
      <c r="F4921" s="11">
        <f t="shared" si="39"/>
      </c>
      <c r="G4921" s="22" cm="1">
        <f t="array" ref="G4921">IF(AND(Inputs!$C$60,Inputs!$C$61),INDEX(Utility_Rates!$C$29:$F$52,HOUR(C4921)+Inputs!$C$69,MATCH(INDEX(Utility_Rates!$K$6:$K$17,MONTH(C4921))&amp;IF(WEEKDAY(C4921,Inputs!$C$76)&lt;=Inputs!$C$74," weekday"," weekend"),Utility_Rates!$C$28:$F$28,Inputs!$C$68)),"")</f>
      </c>
      <c r="H4921" s="34"/>
      <c r="I4921" s="42">
        <f>IF(AND(ISNUMBER(D4921),ISNUMBER(H4921)),D4921*H4921*Inputs!$C$69,"")</f>
      </c>
      <c r="J4921" s="42">
        <f>IF(AND(ISNUMBER(F4921),ISNUMBER(H4921),F4921&gt;=Inputs!$C$68),F4921*H4921*Inputs!$C$69,"")</f>
      </c>
    </row>
    <row r="4922" spans="2:10" ht="15" customHeight="1" x14ac:dyDescent="0.2">
      <c r="B4922" s="39">
        <f t="shared" si="38"/>
      </c>
      <c r="C4922" s="40">
        <f>IF(Inputs!$C$60,Inputs!$C$11+(B4922-Inputs!$C$69)/Inputs!$C$70,"")</f>
      </c>
      <c r="D4922" s="15"/>
      <c r="E4922" s="15"/>
      <c r="F4922" s="11">
        <f t="shared" si="39"/>
      </c>
      <c r="G4922" s="22" cm="1">
        <f t="array" ref="G4922">IF(AND(Inputs!$C$60,Inputs!$C$61),INDEX(Utility_Rates!$C$29:$F$52,HOUR(C4922)+Inputs!$C$69,MATCH(INDEX(Utility_Rates!$K$6:$K$17,MONTH(C4922))&amp;IF(WEEKDAY(C4922,Inputs!$C$76)&lt;=Inputs!$C$74," weekday"," weekend"),Utility_Rates!$C$28:$F$28,Inputs!$C$68)),"")</f>
      </c>
      <c r="H4922" s="34"/>
      <c r="I4922" s="42">
        <f>IF(AND(ISNUMBER(D4922),ISNUMBER(H4922)),D4922*H4922*Inputs!$C$69,"")</f>
      </c>
      <c r="J4922" s="42">
        <f>IF(AND(ISNUMBER(F4922),ISNUMBER(H4922),F4922&gt;=Inputs!$C$68),F4922*H4922*Inputs!$C$69,"")</f>
      </c>
    </row>
    <row r="4923" spans="2:10" ht="15" customHeight="1" x14ac:dyDescent="0.2">
      <c r="B4923" s="39">
        <f t="shared" si="38"/>
      </c>
      <c r="C4923" s="40">
        <f>IF(Inputs!$C$60,Inputs!$C$11+(B4923-Inputs!$C$69)/Inputs!$C$70,"")</f>
      </c>
      <c r="D4923" s="15"/>
      <c r="E4923" s="15"/>
      <c r="F4923" s="11">
        <f t="shared" si="39"/>
      </c>
      <c r="G4923" s="22" cm="1">
        <f t="array" ref="G4923">IF(AND(Inputs!$C$60,Inputs!$C$61),INDEX(Utility_Rates!$C$29:$F$52,HOUR(C4923)+Inputs!$C$69,MATCH(INDEX(Utility_Rates!$K$6:$K$17,MONTH(C4923))&amp;IF(WEEKDAY(C4923,Inputs!$C$76)&lt;=Inputs!$C$74," weekday"," weekend"),Utility_Rates!$C$28:$F$28,Inputs!$C$68)),"")</f>
      </c>
      <c r="H4923" s="34"/>
      <c r="I4923" s="42">
        <f>IF(AND(ISNUMBER(D4923),ISNUMBER(H4923)),D4923*H4923*Inputs!$C$69,"")</f>
      </c>
      <c r="J4923" s="42">
        <f>IF(AND(ISNUMBER(F4923),ISNUMBER(H4923),F4923&gt;=Inputs!$C$68),F4923*H4923*Inputs!$C$69,"")</f>
      </c>
    </row>
    <row r="4924" spans="2:10" ht="15" customHeight="1" x14ac:dyDescent="0.2">
      <c r="B4924" s="39">
        <f t="shared" si="38"/>
      </c>
      <c r="C4924" s="40">
        <f>IF(Inputs!$C$60,Inputs!$C$11+(B4924-Inputs!$C$69)/Inputs!$C$70,"")</f>
      </c>
      <c r="D4924" s="15"/>
      <c r="E4924" s="15"/>
      <c r="F4924" s="11">
        <f t="shared" si="39"/>
      </c>
      <c r="G4924" s="22" cm="1">
        <f t="array" ref="G4924">IF(AND(Inputs!$C$60,Inputs!$C$61),INDEX(Utility_Rates!$C$29:$F$52,HOUR(C4924)+Inputs!$C$69,MATCH(INDEX(Utility_Rates!$K$6:$K$17,MONTH(C4924))&amp;IF(WEEKDAY(C4924,Inputs!$C$76)&lt;=Inputs!$C$74," weekday"," weekend"),Utility_Rates!$C$28:$F$28,Inputs!$C$68)),"")</f>
      </c>
      <c r="H4924" s="34"/>
      <c r="I4924" s="42">
        <f>IF(AND(ISNUMBER(D4924),ISNUMBER(H4924)),D4924*H4924*Inputs!$C$69,"")</f>
      </c>
      <c r="J4924" s="42">
        <f>IF(AND(ISNUMBER(F4924),ISNUMBER(H4924),F4924&gt;=Inputs!$C$68),F4924*H4924*Inputs!$C$69,"")</f>
      </c>
    </row>
    <row r="4925" spans="2:10" ht="15" customHeight="1" x14ac:dyDescent="0.2">
      <c r="B4925" s="39">
        <f t="shared" si="38"/>
      </c>
      <c r="C4925" s="40">
        <f>IF(Inputs!$C$60,Inputs!$C$11+(B4925-Inputs!$C$69)/Inputs!$C$70,"")</f>
      </c>
      <c r="D4925" s="15"/>
      <c r="E4925" s="15"/>
      <c r="F4925" s="11">
        <f t="shared" si="39"/>
      </c>
      <c r="G4925" s="22" cm="1">
        <f t="array" ref="G4925">IF(AND(Inputs!$C$60,Inputs!$C$61),INDEX(Utility_Rates!$C$29:$F$52,HOUR(C4925)+Inputs!$C$69,MATCH(INDEX(Utility_Rates!$K$6:$K$17,MONTH(C4925))&amp;IF(WEEKDAY(C4925,Inputs!$C$76)&lt;=Inputs!$C$74," weekday"," weekend"),Utility_Rates!$C$28:$F$28,Inputs!$C$68)),"")</f>
      </c>
      <c r="H4925" s="34"/>
      <c r="I4925" s="42">
        <f>IF(AND(ISNUMBER(D4925),ISNUMBER(H4925)),D4925*H4925*Inputs!$C$69,"")</f>
      </c>
      <c r="J4925" s="42">
        <f>IF(AND(ISNUMBER(F4925),ISNUMBER(H4925),F4925&gt;=Inputs!$C$68),F4925*H4925*Inputs!$C$69,"")</f>
      </c>
    </row>
    <row r="4926" spans="2:10" ht="15" customHeight="1" x14ac:dyDescent="0.2">
      <c r="B4926" s="39">
        <f t="shared" si="38"/>
      </c>
      <c r="C4926" s="40">
        <f>IF(Inputs!$C$60,Inputs!$C$11+(B4926-Inputs!$C$69)/Inputs!$C$70,"")</f>
      </c>
      <c r="D4926" s="15"/>
      <c r="E4926" s="15"/>
      <c r="F4926" s="11">
        <f t="shared" si="39"/>
      </c>
      <c r="G4926" s="22" cm="1">
        <f t="array" ref="G4926">IF(AND(Inputs!$C$60,Inputs!$C$61),INDEX(Utility_Rates!$C$29:$F$52,HOUR(C4926)+Inputs!$C$69,MATCH(INDEX(Utility_Rates!$K$6:$K$17,MONTH(C4926))&amp;IF(WEEKDAY(C4926,Inputs!$C$76)&lt;=Inputs!$C$74," weekday"," weekend"),Utility_Rates!$C$28:$F$28,Inputs!$C$68)),"")</f>
      </c>
      <c r="H4926" s="34"/>
      <c r="I4926" s="42">
        <f>IF(AND(ISNUMBER(D4926),ISNUMBER(H4926)),D4926*H4926*Inputs!$C$69,"")</f>
      </c>
      <c r="J4926" s="42">
        <f>IF(AND(ISNUMBER(F4926),ISNUMBER(H4926),F4926&gt;=Inputs!$C$68),F4926*H4926*Inputs!$C$69,"")</f>
      </c>
    </row>
    <row r="4927" spans="2:10" ht="15" customHeight="1" x14ac:dyDescent="0.2">
      <c r="B4927" s="39">
        <f t="shared" si="38"/>
      </c>
      <c r="C4927" s="40">
        <f>IF(Inputs!$C$60,Inputs!$C$11+(B4927-Inputs!$C$69)/Inputs!$C$70,"")</f>
      </c>
      <c r="D4927" s="15"/>
      <c r="E4927" s="15"/>
      <c r="F4927" s="11">
        <f t="shared" si="39"/>
      </c>
      <c r="G4927" s="22" cm="1">
        <f t="array" ref="G4927">IF(AND(Inputs!$C$60,Inputs!$C$61),INDEX(Utility_Rates!$C$29:$F$52,HOUR(C4927)+Inputs!$C$69,MATCH(INDEX(Utility_Rates!$K$6:$K$17,MONTH(C4927))&amp;IF(WEEKDAY(C4927,Inputs!$C$76)&lt;=Inputs!$C$74," weekday"," weekend"),Utility_Rates!$C$28:$F$28,Inputs!$C$68)),"")</f>
      </c>
      <c r="H4927" s="34"/>
      <c r="I4927" s="42">
        <f>IF(AND(ISNUMBER(D4927),ISNUMBER(H4927)),D4927*H4927*Inputs!$C$69,"")</f>
      </c>
      <c r="J4927" s="42">
        <f>IF(AND(ISNUMBER(F4927),ISNUMBER(H4927),F4927&gt;=Inputs!$C$68),F4927*H4927*Inputs!$C$69,"")</f>
      </c>
    </row>
    <row r="4928" spans="2:10" ht="15" customHeight="1" x14ac:dyDescent="0.2">
      <c r="B4928" s="39">
        <f t="shared" si="38"/>
      </c>
      <c r="C4928" s="40">
        <f>IF(Inputs!$C$60,Inputs!$C$11+(B4928-Inputs!$C$69)/Inputs!$C$70,"")</f>
      </c>
      <c r="D4928" s="15"/>
      <c r="E4928" s="15"/>
      <c r="F4928" s="11">
        <f t="shared" si="39"/>
      </c>
      <c r="G4928" s="22" cm="1">
        <f t="array" ref="G4928">IF(AND(Inputs!$C$60,Inputs!$C$61),INDEX(Utility_Rates!$C$29:$F$52,HOUR(C4928)+Inputs!$C$69,MATCH(INDEX(Utility_Rates!$K$6:$K$17,MONTH(C4928))&amp;IF(WEEKDAY(C4928,Inputs!$C$76)&lt;=Inputs!$C$74," weekday"," weekend"),Utility_Rates!$C$28:$F$28,Inputs!$C$68)),"")</f>
      </c>
      <c r="H4928" s="34"/>
      <c r="I4928" s="42">
        <f>IF(AND(ISNUMBER(D4928),ISNUMBER(H4928)),D4928*H4928*Inputs!$C$69,"")</f>
      </c>
      <c r="J4928" s="42">
        <f>IF(AND(ISNUMBER(F4928),ISNUMBER(H4928),F4928&gt;=Inputs!$C$68),F4928*H4928*Inputs!$C$69,"")</f>
      </c>
    </row>
    <row r="4929" spans="2:10" ht="15" customHeight="1" x14ac:dyDescent="0.2">
      <c r="B4929" s="39">
        <f t="shared" si="38"/>
      </c>
      <c r="C4929" s="40">
        <f>IF(Inputs!$C$60,Inputs!$C$11+(B4929-Inputs!$C$69)/Inputs!$C$70,"")</f>
      </c>
      <c r="D4929" s="15"/>
      <c r="E4929" s="15"/>
      <c r="F4929" s="11">
        <f t="shared" si="39"/>
      </c>
      <c r="G4929" s="22" cm="1">
        <f t="array" ref="G4929">IF(AND(Inputs!$C$60,Inputs!$C$61),INDEX(Utility_Rates!$C$29:$F$52,HOUR(C4929)+Inputs!$C$69,MATCH(INDEX(Utility_Rates!$K$6:$K$17,MONTH(C4929))&amp;IF(WEEKDAY(C4929,Inputs!$C$76)&lt;=Inputs!$C$74," weekday"," weekend"),Utility_Rates!$C$28:$F$28,Inputs!$C$68)),"")</f>
      </c>
      <c r="H4929" s="34"/>
      <c r="I4929" s="42">
        <f>IF(AND(ISNUMBER(D4929),ISNUMBER(H4929)),D4929*H4929*Inputs!$C$69,"")</f>
      </c>
      <c r="J4929" s="42">
        <f>IF(AND(ISNUMBER(F4929),ISNUMBER(H4929),F4929&gt;=Inputs!$C$68),F4929*H4929*Inputs!$C$69,"")</f>
      </c>
    </row>
    <row r="4930" spans="2:10" ht="15" customHeight="1" x14ac:dyDescent="0.2">
      <c r="B4930" s="39">
        <f t="shared" si="38"/>
      </c>
      <c r="C4930" s="40">
        <f>IF(Inputs!$C$60,Inputs!$C$11+(B4930-Inputs!$C$69)/Inputs!$C$70,"")</f>
      </c>
      <c r="D4930" s="15"/>
      <c r="E4930" s="15"/>
      <c r="F4930" s="11">
        <f t="shared" si="39"/>
      </c>
      <c r="G4930" s="22" cm="1">
        <f t="array" ref="G4930">IF(AND(Inputs!$C$60,Inputs!$C$61),INDEX(Utility_Rates!$C$29:$F$52,HOUR(C4930)+Inputs!$C$69,MATCH(INDEX(Utility_Rates!$K$6:$K$17,MONTH(C4930))&amp;IF(WEEKDAY(C4930,Inputs!$C$76)&lt;=Inputs!$C$74," weekday"," weekend"),Utility_Rates!$C$28:$F$28,Inputs!$C$68)),"")</f>
      </c>
      <c r="H4930" s="34"/>
      <c r="I4930" s="42">
        <f>IF(AND(ISNUMBER(D4930),ISNUMBER(H4930)),D4930*H4930*Inputs!$C$69,"")</f>
      </c>
      <c r="J4930" s="42">
        <f>IF(AND(ISNUMBER(F4930),ISNUMBER(H4930),F4930&gt;=Inputs!$C$68),F4930*H4930*Inputs!$C$69,"")</f>
      </c>
    </row>
    <row r="4931" spans="2:10" ht="15" customHeight="1" x14ac:dyDescent="0.2">
      <c r="B4931" s="39">
        <f t="shared" si="38"/>
      </c>
      <c r="C4931" s="40">
        <f>IF(Inputs!$C$60,Inputs!$C$11+(B4931-Inputs!$C$69)/Inputs!$C$70,"")</f>
      </c>
      <c r="D4931" s="15"/>
      <c r="E4931" s="15"/>
      <c r="F4931" s="11">
        <f t="shared" si="39"/>
      </c>
      <c r="G4931" s="22" cm="1">
        <f t="array" ref="G4931">IF(AND(Inputs!$C$60,Inputs!$C$61),INDEX(Utility_Rates!$C$29:$F$52,HOUR(C4931)+Inputs!$C$69,MATCH(INDEX(Utility_Rates!$K$6:$K$17,MONTH(C4931))&amp;IF(WEEKDAY(C4931,Inputs!$C$76)&lt;=Inputs!$C$74," weekday"," weekend"),Utility_Rates!$C$28:$F$28,Inputs!$C$68)),"")</f>
      </c>
      <c r="H4931" s="34"/>
      <c r="I4931" s="42">
        <f>IF(AND(ISNUMBER(D4931),ISNUMBER(H4931)),D4931*H4931*Inputs!$C$69,"")</f>
      </c>
      <c r="J4931" s="42">
        <f>IF(AND(ISNUMBER(F4931),ISNUMBER(H4931),F4931&gt;=Inputs!$C$68),F4931*H4931*Inputs!$C$69,"")</f>
      </c>
    </row>
    <row r="4932" spans="2:10" ht="15" customHeight="1" x14ac:dyDescent="0.2">
      <c r="B4932" s="39">
        <f t="shared" si="38"/>
      </c>
      <c r="C4932" s="40">
        <f>IF(Inputs!$C$60,Inputs!$C$11+(B4932-Inputs!$C$69)/Inputs!$C$70,"")</f>
      </c>
      <c r="D4932" s="15"/>
      <c r="E4932" s="15"/>
      <c r="F4932" s="11">
        <f t="shared" si="39"/>
      </c>
      <c r="G4932" s="22" cm="1">
        <f t="array" ref="G4932">IF(AND(Inputs!$C$60,Inputs!$C$61),INDEX(Utility_Rates!$C$29:$F$52,HOUR(C4932)+Inputs!$C$69,MATCH(INDEX(Utility_Rates!$K$6:$K$17,MONTH(C4932))&amp;IF(WEEKDAY(C4932,Inputs!$C$76)&lt;=Inputs!$C$74," weekday"," weekend"),Utility_Rates!$C$28:$F$28,Inputs!$C$68)),"")</f>
      </c>
      <c r="H4932" s="34"/>
      <c r="I4932" s="42">
        <f>IF(AND(ISNUMBER(D4932),ISNUMBER(H4932)),D4932*H4932*Inputs!$C$69,"")</f>
      </c>
      <c r="J4932" s="42">
        <f>IF(AND(ISNUMBER(F4932),ISNUMBER(H4932),F4932&gt;=Inputs!$C$68),F4932*H4932*Inputs!$C$69,"")</f>
      </c>
    </row>
    <row r="4933" spans="2:10" ht="15" customHeight="1" x14ac:dyDescent="0.2">
      <c r="B4933" s="39">
        <f t="shared" si="38"/>
      </c>
      <c r="C4933" s="40">
        <f>IF(Inputs!$C$60,Inputs!$C$11+(B4933-Inputs!$C$69)/Inputs!$C$70,"")</f>
      </c>
      <c r="D4933" s="15"/>
      <c r="E4933" s="15"/>
      <c r="F4933" s="11">
        <f t="shared" si="39"/>
      </c>
      <c r="G4933" s="22" cm="1">
        <f t="array" ref="G4933">IF(AND(Inputs!$C$60,Inputs!$C$61),INDEX(Utility_Rates!$C$29:$F$52,HOUR(C4933)+Inputs!$C$69,MATCH(INDEX(Utility_Rates!$K$6:$K$17,MONTH(C4933))&amp;IF(WEEKDAY(C4933,Inputs!$C$76)&lt;=Inputs!$C$74," weekday"," weekend"),Utility_Rates!$C$28:$F$28,Inputs!$C$68)),"")</f>
      </c>
      <c r="H4933" s="34"/>
      <c r="I4933" s="42">
        <f>IF(AND(ISNUMBER(D4933),ISNUMBER(H4933)),D4933*H4933*Inputs!$C$69,"")</f>
      </c>
      <c r="J4933" s="42">
        <f>IF(AND(ISNUMBER(F4933),ISNUMBER(H4933),F4933&gt;=Inputs!$C$68),F4933*H4933*Inputs!$C$69,"")</f>
      </c>
    </row>
    <row r="4934" spans="2:10" ht="15" customHeight="1" x14ac:dyDescent="0.2">
      <c r="B4934" s="39">
        <f t="shared" si="38"/>
      </c>
      <c r="C4934" s="40">
        <f>IF(Inputs!$C$60,Inputs!$C$11+(B4934-Inputs!$C$69)/Inputs!$C$70,"")</f>
      </c>
      <c r="D4934" s="15"/>
      <c r="E4934" s="15"/>
      <c r="F4934" s="11">
        <f t="shared" si="39"/>
      </c>
      <c r="G4934" s="22" cm="1">
        <f t="array" ref="G4934">IF(AND(Inputs!$C$60,Inputs!$C$61),INDEX(Utility_Rates!$C$29:$F$52,HOUR(C4934)+Inputs!$C$69,MATCH(INDEX(Utility_Rates!$K$6:$K$17,MONTH(C4934))&amp;IF(WEEKDAY(C4934,Inputs!$C$76)&lt;=Inputs!$C$74," weekday"," weekend"),Utility_Rates!$C$28:$F$28,Inputs!$C$68)),"")</f>
      </c>
      <c r="H4934" s="34"/>
      <c r="I4934" s="42">
        <f>IF(AND(ISNUMBER(D4934),ISNUMBER(H4934)),D4934*H4934*Inputs!$C$69,"")</f>
      </c>
      <c r="J4934" s="42">
        <f>IF(AND(ISNUMBER(F4934),ISNUMBER(H4934),F4934&gt;=Inputs!$C$68),F4934*H4934*Inputs!$C$69,"")</f>
      </c>
    </row>
    <row r="4935" spans="2:10" ht="15" customHeight="1" x14ac:dyDescent="0.2">
      <c r="B4935" s="39">
        <f t="shared" si="38"/>
      </c>
      <c r="C4935" s="40">
        <f>IF(Inputs!$C$60,Inputs!$C$11+(B4935-Inputs!$C$69)/Inputs!$C$70,"")</f>
      </c>
      <c r="D4935" s="15"/>
      <c r="E4935" s="15"/>
      <c r="F4935" s="11">
        <f t="shared" si="39"/>
      </c>
      <c r="G4935" s="22" cm="1">
        <f t="array" ref="G4935">IF(AND(Inputs!$C$60,Inputs!$C$61),INDEX(Utility_Rates!$C$29:$F$52,HOUR(C4935)+Inputs!$C$69,MATCH(INDEX(Utility_Rates!$K$6:$K$17,MONTH(C4935))&amp;IF(WEEKDAY(C4935,Inputs!$C$76)&lt;=Inputs!$C$74," weekday"," weekend"),Utility_Rates!$C$28:$F$28,Inputs!$C$68)),"")</f>
      </c>
      <c r="H4935" s="34"/>
      <c r="I4935" s="42">
        <f>IF(AND(ISNUMBER(D4935),ISNUMBER(H4935)),D4935*H4935*Inputs!$C$69,"")</f>
      </c>
      <c r="J4935" s="42">
        <f>IF(AND(ISNUMBER(F4935),ISNUMBER(H4935),F4935&gt;=Inputs!$C$68),F4935*H4935*Inputs!$C$69,"")</f>
      </c>
    </row>
    <row r="4936" spans="2:10" ht="15" customHeight="1" x14ac:dyDescent="0.2">
      <c r="B4936" s="39">
        <f t="shared" si="38"/>
      </c>
      <c r="C4936" s="40">
        <f>IF(Inputs!$C$60,Inputs!$C$11+(B4936-Inputs!$C$69)/Inputs!$C$70,"")</f>
      </c>
      <c r="D4936" s="15"/>
      <c r="E4936" s="15"/>
      <c r="F4936" s="11">
        <f t="shared" si="39"/>
      </c>
      <c r="G4936" s="22" cm="1">
        <f t="array" ref="G4936">IF(AND(Inputs!$C$60,Inputs!$C$61),INDEX(Utility_Rates!$C$29:$F$52,HOUR(C4936)+Inputs!$C$69,MATCH(INDEX(Utility_Rates!$K$6:$K$17,MONTH(C4936))&amp;IF(WEEKDAY(C4936,Inputs!$C$76)&lt;=Inputs!$C$74," weekday"," weekend"),Utility_Rates!$C$28:$F$28,Inputs!$C$68)),"")</f>
      </c>
      <c r="H4936" s="34"/>
      <c r="I4936" s="42">
        <f>IF(AND(ISNUMBER(D4936),ISNUMBER(H4936)),D4936*H4936*Inputs!$C$69,"")</f>
      </c>
      <c r="J4936" s="42">
        <f>IF(AND(ISNUMBER(F4936),ISNUMBER(H4936),F4936&gt;=Inputs!$C$68),F4936*H4936*Inputs!$C$69,"")</f>
      </c>
    </row>
    <row r="4937" spans="2:10" ht="15" customHeight="1" x14ac:dyDescent="0.2">
      <c r="B4937" s="39">
        <f t="shared" si="38"/>
      </c>
      <c r="C4937" s="40">
        <f>IF(Inputs!$C$60,Inputs!$C$11+(B4937-Inputs!$C$69)/Inputs!$C$70,"")</f>
      </c>
      <c r="D4937" s="15"/>
      <c r="E4937" s="15"/>
      <c r="F4937" s="11">
        <f t="shared" si="39"/>
      </c>
      <c r="G4937" s="22" cm="1">
        <f t="array" ref="G4937">IF(AND(Inputs!$C$60,Inputs!$C$61),INDEX(Utility_Rates!$C$29:$F$52,HOUR(C4937)+Inputs!$C$69,MATCH(INDEX(Utility_Rates!$K$6:$K$17,MONTH(C4937))&amp;IF(WEEKDAY(C4937,Inputs!$C$76)&lt;=Inputs!$C$74," weekday"," weekend"),Utility_Rates!$C$28:$F$28,Inputs!$C$68)),"")</f>
      </c>
      <c r="H4937" s="34"/>
      <c r="I4937" s="42">
        <f>IF(AND(ISNUMBER(D4937),ISNUMBER(H4937)),D4937*H4937*Inputs!$C$69,"")</f>
      </c>
      <c r="J4937" s="42">
        <f>IF(AND(ISNUMBER(F4937),ISNUMBER(H4937),F4937&gt;=Inputs!$C$68),F4937*H4937*Inputs!$C$69,"")</f>
      </c>
    </row>
    <row r="4938" spans="2:10" ht="15" customHeight="1" x14ac:dyDescent="0.2">
      <c r="B4938" s="39">
        <f t="shared" si="38"/>
      </c>
      <c r="C4938" s="40">
        <f>IF(Inputs!$C$60,Inputs!$C$11+(B4938-Inputs!$C$69)/Inputs!$C$70,"")</f>
      </c>
      <c r="D4938" s="15"/>
      <c r="E4938" s="15"/>
      <c r="F4938" s="11">
        <f t="shared" si="39"/>
      </c>
      <c r="G4938" s="22" cm="1">
        <f t="array" ref="G4938">IF(AND(Inputs!$C$60,Inputs!$C$61),INDEX(Utility_Rates!$C$29:$F$52,HOUR(C4938)+Inputs!$C$69,MATCH(INDEX(Utility_Rates!$K$6:$K$17,MONTH(C4938))&amp;IF(WEEKDAY(C4938,Inputs!$C$76)&lt;=Inputs!$C$74," weekday"," weekend"),Utility_Rates!$C$28:$F$28,Inputs!$C$68)),"")</f>
      </c>
      <c r="H4938" s="34"/>
      <c r="I4938" s="42">
        <f>IF(AND(ISNUMBER(D4938),ISNUMBER(H4938)),D4938*H4938*Inputs!$C$69,"")</f>
      </c>
      <c r="J4938" s="42">
        <f>IF(AND(ISNUMBER(F4938),ISNUMBER(H4938),F4938&gt;=Inputs!$C$68),F4938*H4938*Inputs!$C$69,"")</f>
      </c>
    </row>
    <row r="4939" spans="2:10" ht="15" customHeight="1" x14ac:dyDescent="0.2">
      <c r="B4939" s="39">
        <f t="shared" si="38"/>
      </c>
      <c r="C4939" s="40">
        <f>IF(Inputs!$C$60,Inputs!$C$11+(B4939-Inputs!$C$69)/Inputs!$C$70,"")</f>
      </c>
      <c r="D4939" s="15"/>
      <c r="E4939" s="15"/>
      <c r="F4939" s="11">
        <f t="shared" si="39"/>
      </c>
      <c r="G4939" s="22" cm="1">
        <f t="array" ref="G4939">IF(AND(Inputs!$C$60,Inputs!$C$61),INDEX(Utility_Rates!$C$29:$F$52,HOUR(C4939)+Inputs!$C$69,MATCH(INDEX(Utility_Rates!$K$6:$K$17,MONTH(C4939))&amp;IF(WEEKDAY(C4939,Inputs!$C$76)&lt;=Inputs!$C$74," weekday"," weekend"),Utility_Rates!$C$28:$F$28,Inputs!$C$68)),"")</f>
      </c>
      <c r="H4939" s="34"/>
      <c r="I4939" s="42">
        <f>IF(AND(ISNUMBER(D4939),ISNUMBER(H4939)),D4939*H4939*Inputs!$C$69,"")</f>
      </c>
      <c r="J4939" s="42">
        <f>IF(AND(ISNUMBER(F4939),ISNUMBER(H4939),F4939&gt;=Inputs!$C$68),F4939*H4939*Inputs!$C$69,"")</f>
      </c>
    </row>
    <row r="4940" spans="2:10" ht="15" customHeight="1" x14ac:dyDescent="0.2">
      <c r="B4940" s="39">
        <f t="shared" si="38"/>
      </c>
      <c r="C4940" s="40">
        <f>IF(Inputs!$C$60,Inputs!$C$11+(B4940-Inputs!$C$69)/Inputs!$C$70,"")</f>
      </c>
      <c r="D4940" s="15"/>
      <c r="E4940" s="15"/>
      <c r="F4940" s="11">
        <f t="shared" si="39"/>
      </c>
      <c r="G4940" s="22" cm="1">
        <f t="array" ref="G4940">IF(AND(Inputs!$C$60,Inputs!$C$61),INDEX(Utility_Rates!$C$29:$F$52,HOUR(C4940)+Inputs!$C$69,MATCH(INDEX(Utility_Rates!$K$6:$K$17,MONTH(C4940))&amp;IF(WEEKDAY(C4940,Inputs!$C$76)&lt;=Inputs!$C$74," weekday"," weekend"),Utility_Rates!$C$28:$F$28,Inputs!$C$68)),"")</f>
      </c>
      <c r="H4940" s="34"/>
      <c r="I4940" s="42">
        <f>IF(AND(ISNUMBER(D4940),ISNUMBER(H4940)),D4940*H4940*Inputs!$C$69,"")</f>
      </c>
      <c r="J4940" s="42">
        <f>IF(AND(ISNUMBER(F4940),ISNUMBER(H4940),F4940&gt;=Inputs!$C$68),F4940*H4940*Inputs!$C$69,"")</f>
      </c>
    </row>
    <row r="4941" spans="2:10" ht="15" customHeight="1" x14ac:dyDescent="0.2">
      <c r="B4941" s="39">
        <f t="shared" si="38"/>
      </c>
      <c r="C4941" s="40">
        <f>IF(Inputs!$C$60,Inputs!$C$11+(B4941-Inputs!$C$69)/Inputs!$C$70,"")</f>
      </c>
      <c r="D4941" s="15"/>
      <c r="E4941" s="15"/>
      <c r="F4941" s="11">
        <f t="shared" si="39"/>
      </c>
      <c r="G4941" s="22" cm="1">
        <f t="array" ref="G4941">IF(AND(Inputs!$C$60,Inputs!$C$61),INDEX(Utility_Rates!$C$29:$F$52,HOUR(C4941)+Inputs!$C$69,MATCH(INDEX(Utility_Rates!$K$6:$K$17,MONTH(C4941))&amp;IF(WEEKDAY(C4941,Inputs!$C$76)&lt;=Inputs!$C$74," weekday"," weekend"),Utility_Rates!$C$28:$F$28,Inputs!$C$68)),"")</f>
      </c>
      <c r="H4941" s="34"/>
      <c r="I4941" s="42">
        <f>IF(AND(ISNUMBER(D4941),ISNUMBER(H4941)),D4941*H4941*Inputs!$C$69,"")</f>
      </c>
      <c r="J4941" s="42">
        <f>IF(AND(ISNUMBER(F4941),ISNUMBER(H4941),F4941&gt;=Inputs!$C$68),F4941*H4941*Inputs!$C$69,"")</f>
      </c>
    </row>
    <row r="4942" spans="2:10" ht="15" customHeight="1" x14ac:dyDescent="0.2">
      <c r="B4942" s="39">
        <f t="shared" si="38"/>
      </c>
      <c r="C4942" s="40">
        <f>IF(Inputs!$C$60,Inputs!$C$11+(B4942-Inputs!$C$69)/Inputs!$C$70,"")</f>
      </c>
      <c r="D4942" s="15"/>
      <c r="E4942" s="15"/>
      <c r="F4942" s="11">
        <f t="shared" si="39"/>
      </c>
      <c r="G4942" s="22" cm="1">
        <f t="array" ref="G4942">IF(AND(Inputs!$C$60,Inputs!$C$61),INDEX(Utility_Rates!$C$29:$F$52,HOUR(C4942)+Inputs!$C$69,MATCH(INDEX(Utility_Rates!$K$6:$K$17,MONTH(C4942))&amp;IF(WEEKDAY(C4942,Inputs!$C$76)&lt;=Inputs!$C$74," weekday"," weekend"),Utility_Rates!$C$28:$F$28,Inputs!$C$68)),"")</f>
      </c>
      <c r="H4942" s="34"/>
      <c r="I4942" s="42">
        <f>IF(AND(ISNUMBER(D4942),ISNUMBER(H4942)),D4942*H4942*Inputs!$C$69,"")</f>
      </c>
      <c r="J4942" s="42">
        <f>IF(AND(ISNUMBER(F4942),ISNUMBER(H4942),F4942&gt;=Inputs!$C$68),F4942*H4942*Inputs!$C$69,"")</f>
      </c>
    </row>
    <row r="4943" spans="2:10" ht="15" customHeight="1" x14ac:dyDescent="0.2">
      <c r="B4943" s="39">
        <f t="shared" si="38"/>
      </c>
      <c r="C4943" s="40">
        <f>IF(Inputs!$C$60,Inputs!$C$11+(B4943-Inputs!$C$69)/Inputs!$C$70,"")</f>
      </c>
      <c r="D4943" s="15"/>
      <c r="E4943" s="15"/>
      <c r="F4943" s="11">
        <f t="shared" si="39"/>
      </c>
      <c r="G4943" s="22" cm="1">
        <f t="array" ref="G4943">IF(AND(Inputs!$C$60,Inputs!$C$61),INDEX(Utility_Rates!$C$29:$F$52,HOUR(C4943)+Inputs!$C$69,MATCH(INDEX(Utility_Rates!$K$6:$K$17,MONTH(C4943))&amp;IF(WEEKDAY(C4943,Inputs!$C$76)&lt;=Inputs!$C$74," weekday"," weekend"),Utility_Rates!$C$28:$F$28,Inputs!$C$68)),"")</f>
      </c>
      <c r="H4943" s="34"/>
      <c r="I4943" s="42">
        <f>IF(AND(ISNUMBER(D4943),ISNUMBER(H4943)),D4943*H4943*Inputs!$C$69,"")</f>
      </c>
      <c r="J4943" s="42">
        <f>IF(AND(ISNUMBER(F4943),ISNUMBER(H4943),F4943&gt;=Inputs!$C$68),F4943*H4943*Inputs!$C$69,"")</f>
      </c>
    </row>
    <row r="4944" spans="2:10" ht="15" customHeight="1" x14ac:dyDescent="0.2">
      <c r="B4944" s="39">
        <f t="shared" si="38"/>
      </c>
      <c r="C4944" s="40">
        <f>IF(Inputs!$C$60,Inputs!$C$11+(B4944-Inputs!$C$69)/Inputs!$C$70,"")</f>
      </c>
      <c r="D4944" s="15"/>
      <c r="E4944" s="15"/>
      <c r="F4944" s="11">
        <f t="shared" si="39"/>
      </c>
      <c r="G4944" s="22" cm="1">
        <f t="array" ref="G4944">IF(AND(Inputs!$C$60,Inputs!$C$61),INDEX(Utility_Rates!$C$29:$F$52,HOUR(C4944)+Inputs!$C$69,MATCH(INDEX(Utility_Rates!$K$6:$K$17,MONTH(C4944))&amp;IF(WEEKDAY(C4944,Inputs!$C$76)&lt;=Inputs!$C$74," weekday"," weekend"),Utility_Rates!$C$28:$F$28,Inputs!$C$68)),"")</f>
      </c>
      <c r="H4944" s="34"/>
      <c r="I4944" s="42">
        <f>IF(AND(ISNUMBER(D4944),ISNUMBER(H4944)),D4944*H4944*Inputs!$C$69,"")</f>
      </c>
      <c r="J4944" s="42">
        <f>IF(AND(ISNUMBER(F4944),ISNUMBER(H4944),F4944&gt;=Inputs!$C$68),F4944*H4944*Inputs!$C$69,"")</f>
      </c>
    </row>
    <row r="4945" spans="2:10" ht="15" customHeight="1" x14ac:dyDescent="0.2">
      <c r="B4945" s="39">
        <f t="shared" si="38"/>
      </c>
      <c r="C4945" s="40">
        <f>IF(Inputs!$C$60,Inputs!$C$11+(B4945-Inputs!$C$69)/Inputs!$C$70,"")</f>
      </c>
      <c r="D4945" s="15"/>
      <c r="E4945" s="15"/>
      <c r="F4945" s="11">
        <f t="shared" si="39"/>
      </c>
      <c r="G4945" s="22" cm="1">
        <f t="array" ref="G4945">IF(AND(Inputs!$C$60,Inputs!$C$61),INDEX(Utility_Rates!$C$29:$F$52,HOUR(C4945)+Inputs!$C$69,MATCH(INDEX(Utility_Rates!$K$6:$K$17,MONTH(C4945))&amp;IF(WEEKDAY(C4945,Inputs!$C$76)&lt;=Inputs!$C$74," weekday"," weekend"),Utility_Rates!$C$28:$F$28,Inputs!$C$68)),"")</f>
      </c>
      <c r="H4945" s="34"/>
      <c r="I4945" s="42">
        <f>IF(AND(ISNUMBER(D4945),ISNUMBER(H4945)),D4945*H4945*Inputs!$C$69,"")</f>
      </c>
      <c r="J4945" s="42">
        <f>IF(AND(ISNUMBER(F4945),ISNUMBER(H4945),F4945&gt;=Inputs!$C$68),F4945*H4945*Inputs!$C$69,"")</f>
      </c>
    </row>
    <row r="4946" spans="2:10" ht="15" customHeight="1" x14ac:dyDescent="0.2">
      <c r="B4946" s="39">
        <f t="shared" si="38"/>
      </c>
      <c r="C4946" s="40">
        <f>IF(Inputs!$C$60,Inputs!$C$11+(B4946-Inputs!$C$69)/Inputs!$C$70,"")</f>
      </c>
      <c r="D4946" s="15"/>
      <c r="E4946" s="15"/>
      <c r="F4946" s="11">
        <f t="shared" si="39"/>
      </c>
      <c r="G4946" s="22" cm="1">
        <f t="array" ref="G4946">IF(AND(Inputs!$C$60,Inputs!$C$61),INDEX(Utility_Rates!$C$29:$F$52,HOUR(C4946)+Inputs!$C$69,MATCH(INDEX(Utility_Rates!$K$6:$K$17,MONTH(C4946))&amp;IF(WEEKDAY(C4946,Inputs!$C$76)&lt;=Inputs!$C$74," weekday"," weekend"),Utility_Rates!$C$28:$F$28,Inputs!$C$68)),"")</f>
      </c>
      <c r="H4946" s="34"/>
      <c r="I4946" s="42">
        <f>IF(AND(ISNUMBER(D4946),ISNUMBER(H4946)),D4946*H4946*Inputs!$C$69,"")</f>
      </c>
      <c r="J4946" s="42">
        <f>IF(AND(ISNUMBER(F4946),ISNUMBER(H4946),F4946&gt;=Inputs!$C$68),F4946*H4946*Inputs!$C$69,"")</f>
      </c>
    </row>
    <row r="4947" spans="2:10" ht="15" customHeight="1" x14ac:dyDescent="0.2">
      <c r="B4947" s="39">
        <f t="shared" si="38"/>
      </c>
      <c r="C4947" s="40">
        <f>IF(Inputs!$C$60,Inputs!$C$11+(B4947-Inputs!$C$69)/Inputs!$C$70,"")</f>
      </c>
      <c r="D4947" s="15"/>
      <c r="E4947" s="15"/>
      <c r="F4947" s="11">
        <f t="shared" si="39"/>
      </c>
      <c r="G4947" s="22" cm="1">
        <f t="array" ref="G4947">IF(AND(Inputs!$C$60,Inputs!$C$61),INDEX(Utility_Rates!$C$29:$F$52,HOUR(C4947)+Inputs!$C$69,MATCH(INDEX(Utility_Rates!$K$6:$K$17,MONTH(C4947))&amp;IF(WEEKDAY(C4947,Inputs!$C$76)&lt;=Inputs!$C$74," weekday"," weekend"),Utility_Rates!$C$28:$F$28,Inputs!$C$68)),"")</f>
      </c>
      <c r="H4947" s="34"/>
      <c r="I4947" s="42">
        <f>IF(AND(ISNUMBER(D4947),ISNUMBER(H4947)),D4947*H4947*Inputs!$C$69,"")</f>
      </c>
      <c r="J4947" s="42">
        <f>IF(AND(ISNUMBER(F4947),ISNUMBER(H4947),F4947&gt;=Inputs!$C$68),F4947*H4947*Inputs!$C$69,"")</f>
      </c>
    </row>
    <row r="4948" spans="2:10" ht="15" customHeight="1" x14ac:dyDescent="0.2">
      <c r="B4948" s="39">
        <f t="shared" si="38"/>
      </c>
      <c r="C4948" s="40">
        <f>IF(Inputs!$C$60,Inputs!$C$11+(B4948-Inputs!$C$69)/Inputs!$C$70,"")</f>
      </c>
      <c r="D4948" s="15"/>
      <c r="E4948" s="15"/>
      <c r="F4948" s="11">
        <f t="shared" si="39"/>
      </c>
      <c r="G4948" s="22" cm="1">
        <f t="array" ref="G4948">IF(AND(Inputs!$C$60,Inputs!$C$61),INDEX(Utility_Rates!$C$29:$F$52,HOUR(C4948)+Inputs!$C$69,MATCH(INDEX(Utility_Rates!$K$6:$K$17,MONTH(C4948))&amp;IF(WEEKDAY(C4948,Inputs!$C$76)&lt;=Inputs!$C$74," weekday"," weekend"),Utility_Rates!$C$28:$F$28,Inputs!$C$68)),"")</f>
      </c>
      <c r="H4948" s="34"/>
      <c r="I4948" s="42">
        <f>IF(AND(ISNUMBER(D4948),ISNUMBER(H4948)),D4948*H4948*Inputs!$C$69,"")</f>
      </c>
      <c r="J4948" s="42">
        <f>IF(AND(ISNUMBER(F4948),ISNUMBER(H4948),F4948&gt;=Inputs!$C$68),F4948*H4948*Inputs!$C$69,"")</f>
      </c>
    </row>
    <row r="4949" spans="2:10" ht="15" customHeight="1" x14ac:dyDescent="0.2">
      <c r="B4949" s="39">
        <f t="shared" si="38"/>
      </c>
      <c r="C4949" s="40">
        <f>IF(Inputs!$C$60,Inputs!$C$11+(B4949-Inputs!$C$69)/Inputs!$C$70,"")</f>
      </c>
      <c r="D4949" s="15"/>
      <c r="E4949" s="15"/>
      <c r="F4949" s="11">
        <f t="shared" si="39"/>
      </c>
      <c r="G4949" s="22" cm="1">
        <f t="array" ref="G4949">IF(AND(Inputs!$C$60,Inputs!$C$61),INDEX(Utility_Rates!$C$29:$F$52,HOUR(C4949)+Inputs!$C$69,MATCH(INDEX(Utility_Rates!$K$6:$K$17,MONTH(C4949))&amp;IF(WEEKDAY(C4949,Inputs!$C$76)&lt;=Inputs!$C$74," weekday"," weekend"),Utility_Rates!$C$28:$F$28,Inputs!$C$68)),"")</f>
      </c>
      <c r="H4949" s="34"/>
      <c r="I4949" s="42">
        <f>IF(AND(ISNUMBER(D4949),ISNUMBER(H4949)),D4949*H4949*Inputs!$C$69,"")</f>
      </c>
      <c r="J4949" s="42">
        <f>IF(AND(ISNUMBER(F4949),ISNUMBER(H4949),F4949&gt;=Inputs!$C$68),F4949*H4949*Inputs!$C$69,"")</f>
      </c>
    </row>
    <row r="4950" spans="2:10" ht="15" customHeight="1" x14ac:dyDescent="0.2">
      <c r="B4950" s="39">
        <f t="shared" si="38"/>
      </c>
      <c r="C4950" s="40">
        <f>IF(Inputs!$C$60,Inputs!$C$11+(B4950-Inputs!$C$69)/Inputs!$C$70,"")</f>
      </c>
      <c r="D4950" s="15"/>
      <c r="E4950" s="15"/>
      <c r="F4950" s="11">
        <f t="shared" si="39"/>
      </c>
      <c r="G4950" s="22" cm="1">
        <f t="array" ref="G4950">IF(AND(Inputs!$C$60,Inputs!$C$61),INDEX(Utility_Rates!$C$29:$F$52,HOUR(C4950)+Inputs!$C$69,MATCH(INDEX(Utility_Rates!$K$6:$K$17,MONTH(C4950))&amp;IF(WEEKDAY(C4950,Inputs!$C$76)&lt;=Inputs!$C$74," weekday"," weekend"),Utility_Rates!$C$28:$F$28,Inputs!$C$68)),"")</f>
      </c>
      <c r="H4950" s="34"/>
      <c r="I4950" s="42">
        <f>IF(AND(ISNUMBER(D4950),ISNUMBER(H4950)),D4950*H4950*Inputs!$C$69,"")</f>
      </c>
      <c r="J4950" s="42">
        <f>IF(AND(ISNUMBER(F4950),ISNUMBER(H4950),F4950&gt;=Inputs!$C$68),F4950*H4950*Inputs!$C$69,"")</f>
      </c>
    </row>
    <row r="4951" spans="2:10" ht="15" customHeight="1" x14ac:dyDescent="0.2">
      <c r="B4951" s="39">
        <f t="shared" si="38"/>
      </c>
      <c r="C4951" s="40">
        <f>IF(Inputs!$C$60,Inputs!$C$11+(B4951-Inputs!$C$69)/Inputs!$C$70,"")</f>
      </c>
      <c r="D4951" s="15"/>
      <c r="E4951" s="15"/>
      <c r="F4951" s="11">
        <f t="shared" si="39"/>
      </c>
      <c r="G4951" s="22" cm="1">
        <f t="array" ref="G4951">IF(AND(Inputs!$C$60,Inputs!$C$61),INDEX(Utility_Rates!$C$29:$F$52,HOUR(C4951)+Inputs!$C$69,MATCH(INDEX(Utility_Rates!$K$6:$K$17,MONTH(C4951))&amp;IF(WEEKDAY(C4951,Inputs!$C$76)&lt;=Inputs!$C$74," weekday"," weekend"),Utility_Rates!$C$28:$F$28,Inputs!$C$68)),"")</f>
      </c>
      <c r="H4951" s="34"/>
      <c r="I4951" s="42">
        <f>IF(AND(ISNUMBER(D4951),ISNUMBER(H4951)),D4951*H4951*Inputs!$C$69,"")</f>
      </c>
      <c r="J4951" s="42">
        <f>IF(AND(ISNUMBER(F4951),ISNUMBER(H4951),F4951&gt;=Inputs!$C$68),F4951*H4951*Inputs!$C$69,"")</f>
      </c>
    </row>
    <row r="4952" spans="2:10" ht="15" customHeight="1" x14ac:dyDescent="0.2">
      <c r="B4952" s="39">
        <f t="shared" si="38"/>
      </c>
      <c r="C4952" s="40">
        <f>IF(Inputs!$C$60,Inputs!$C$11+(B4952-Inputs!$C$69)/Inputs!$C$70,"")</f>
      </c>
      <c r="D4952" s="15"/>
      <c r="E4952" s="15"/>
      <c r="F4952" s="11">
        <f t="shared" si="39"/>
      </c>
      <c r="G4952" s="22" cm="1">
        <f t="array" ref="G4952">IF(AND(Inputs!$C$60,Inputs!$C$61),INDEX(Utility_Rates!$C$29:$F$52,HOUR(C4952)+Inputs!$C$69,MATCH(INDEX(Utility_Rates!$K$6:$K$17,MONTH(C4952))&amp;IF(WEEKDAY(C4952,Inputs!$C$76)&lt;=Inputs!$C$74," weekday"," weekend"),Utility_Rates!$C$28:$F$28,Inputs!$C$68)),"")</f>
      </c>
      <c r="H4952" s="34"/>
      <c r="I4952" s="42">
        <f>IF(AND(ISNUMBER(D4952),ISNUMBER(H4952)),D4952*H4952*Inputs!$C$69,"")</f>
      </c>
      <c r="J4952" s="42">
        <f>IF(AND(ISNUMBER(F4952),ISNUMBER(H4952),F4952&gt;=Inputs!$C$68),F4952*H4952*Inputs!$C$69,"")</f>
      </c>
    </row>
    <row r="4953" spans="2:10" ht="15" customHeight="1" x14ac:dyDescent="0.2">
      <c r="B4953" s="39">
        <f t="shared" si="38"/>
      </c>
      <c r="C4953" s="40">
        <f>IF(Inputs!$C$60,Inputs!$C$11+(B4953-Inputs!$C$69)/Inputs!$C$70,"")</f>
      </c>
      <c r="D4953" s="15"/>
      <c r="E4953" s="15"/>
      <c r="F4953" s="11">
        <f t="shared" si="39"/>
      </c>
      <c r="G4953" s="22" cm="1">
        <f t="array" ref="G4953">IF(AND(Inputs!$C$60,Inputs!$C$61),INDEX(Utility_Rates!$C$29:$F$52,HOUR(C4953)+Inputs!$C$69,MATCH(INDEX(Utility_Rates!$K$6:$K$17,MONTH(C4953))&amp;IF(WEEKDAY(C4953,Inputs!$C$76)&lt;=Inputs!$C$74," weekday"," weekend"),Utility_Rates!$C$28:$F$28,Inputs!$C$68)),"")</f>
      </c>
      <c r="H4953" s="34"/>
      <c r="I4953" s="42">
        <f>IF(AND(ISNUMBER(D4953),ISNUMBER(H4953)),D4953*H4953*Inputs!$C$69,"")</f>
      </c>
      <c r="J4953" s="42">
        <f>IF(AND(ISNUMBER(F4953),ISNUMBER(H4953),F4953&gt;=Inputs!$C$68),F4953*H4953*Inputs!$C$69,"")</f>
      </c>
    </row>
    <row r="4954" spans="2:10" ht="15" customHeight="1" x14ac:dyDescent="0.2">
      <c r="B4954" s="39">
        <f t="shared" si="38"/>
      </c>
      <c r="C4954" s="40">
        <f>IF(Inputs!$C$60,Inputs!$C$11+(B4954-Inputs!$C$69)/Inputs!$C$70,"")</f>
      </c>
      <c r="D4954" s="15"/>
      <c r="E4954" s="15"/>
      <c r="F4954" s="11">
        <f t="shared" si="39"/>
      </c>
      <c r="G4954" s="22" cm="1">
        <f t="array" ref="G4954">IF(AND(Inputs!$C$60,Inputs!$C$61),INDEX(Utility_Rates!$C$29:$F$52,HOUR(C4954)+Inputs!$C$69,MATCH(INDEX(Utility_Rates!$K$6:$K$17,MONTH(C4954))&amp;IF(WEEKDAY(C4954,Inputs!$C$76)&lt;=Inputs!$C$74," weekday"," weekend"),Utility_Rates!$C$28:$F$28,Inputs!$C$68)),"")</f>
      </c>
      <c r="H4954" s="34"/>
      <c r="I4954" s="42">
        <f>IF(AND(ISNUMBER(D4954),ISNUMBER(H4954)),D4954*H4954*Inputs!$C$69,"")</f>
      </c>
      <c r="J4954" s="42">
        <f>IF(AND(ISNUMBER(F4954),ISNUMBER(H4954),F4954&gt;=Inputs!$C$68),F4954*H4954*Inputs!$C$69,"")</f>
      </c>
    </row>
    <row r="4955" spans="2:10" ht="15" customHeight="1" x14ac:dyDescent="0.2">
      <c r="B4955" s="39">
        <f t="shared" si="38"/>
      </c>
      <c r="C4955" s="40">
        <f>IF(Inputs!$C$60,Inputs!$C$11+(B4955-Inputs!$C$69)/Inputs!$C$70,"")</f>
      </c>
      <c r="D4955" s="15"/>
      <c r="E4955" s="15"/>
      <c r="F4955" s="11">
        <f t="shared" si="39"/>
      </c>
      <c r="G4955" s="22" cm="1">
        <f t="array" ref="G4955">IF(AND(Inputs!$C$60,Inputs!$C$61),INDEX(Utility_Rates!$C$29:$F$52,HOUR(C4955)+Inputs!$C$69,MATCH(INDEX(Utility_Rates!$K$6:$K$17,MONTH(C4955))&amp;IF(WEEKDAY(C4955,Inputs!$C$76)&lt;=Inputs!$C$74," weekday"," weekend"),Utility_Rates!$C$28:$F$28,Inputs!$C$68)),"")</f>
      </c>
      <c r="H4955" s="34"/>
      <c r="I4955" s="42">
        <f>IF(AND(ISNUMBER(D4955),ISNUMBER(H4955)),D4955*H4955*Inputs!$C$69,"")</f>
      </c>
      <c r="J4955" s="42">
        <f>IF(AND(ISNUMBER(F4955),ISNUMBER(H4955),F4955&gt;=Inputs!$C$68),F4955*H4955*Inputs!$C$69,"")</f>
      </c>
    </row>
    <row r="4956" spans="2:10" ht="15" customHeight="1" x14ac:dyDescent="0.2">
      <c r="B4956" s="39">
        <f t="shared" si="38"/>
      </c>
      <c r="C4956" s="40">
        <f>IF(Inputs!$C$60,Inputs!$C$11+(B4956-Inputs!$C$69)/Inputs!$C$70,"")</f>
      </c>
      <c r="D4956" s="15"/>
      <c r="E4956" s="15"/>
      <c r="F4956" s="11">
        <f t="shared" si="39"/>
      </c>
      <c r="G4956" s="22" cm="1">
        <f t="array" ref="G4956">IF(AND(Inputs!$C$60,Inputs!$C$61),INDEX(Utility_Rates!$C$29:$F$52,HOUR(C4956)+Inputs!$C$69,MATCH(INDEX(Utility_Rates!$K$6:$K$17,MONTH(C4956))&amp;IF(WEEKDAY(C4956,Inputs!$C$76)&lt;=Inputs!$C$74," weekday"," weekend"),Utility_Rates!$C$28:$F$28,Inputs!$C$68)),"")</f>
      </c>
      <c r="H4956" s="34"/>
      <c r="I4956" s="42">
        <f>IF(AND(ISNUMBER(D4956),ISNUMBER(H4956)),D4956*H4956*Inputs!$C$69,"")</f>
      </c>
      <c r="J4956" s="42">
        <f>IF(AND(ISNUMBER(F4956),ISNUMBER(H4956),F4956&gt;=Inputs!$C$68),F4956*H4956*Inputs!$C$69,"")</f>
      </c>
    </row>
    <row r="4957" spans="2:10" ht="15" customHeight="1" x14ac:dyDescent="0.2">
      <c r="B4957" s="39">
        <f t="shared" si="38"/>
      </c>
      <c r="C4957" s="40">
        <f>IF(Inputs!$C$60,Inputs!$C$11+(B4957-Inputs!$C$69)/Inputs!$C$70,"")</f>
      </c>
      <c r="D4957" s="15"/>
      <c r="E4957" s="15"/>
      <c r="F4957" s="11">
        <f t="shared" si="39"/>
      </c>
      <c r="G4957" s="22" cm="1">
        <f t="array" ref="G4957">IF(AND(Inputs!$C$60,Inputs!$C$61),INDEX(Utility_Rates!$C$29:$F$52,HOUR(C4957)+Inputs!$C$69,MATCH(INDEX(Utility_Rates!$K$6:$K$17,MONTH(C4957))&amp;IF(WEEKDAY(C4957,Inputs!$C$76)&lt;=Inputs!$C$74," weekday"," weekend"),Utility_Rates!$C$28:$F$28,Inputs!$C$68)),"")</f>
      </c>
      <c r="H4957" s="34"/>
      <c r="I4957" s="42">
        <f>IF(AND(ISNUMBER(D4957),ISNUMBER(H4957)),D4957*H4957*Inputs!$C$69,"")</f>
      </c>
      <c r="J4957" s="42">
        <f>IF(AND(ISNUMBER(F4957),ISNUMBER(H4957),F4957&gt;=Inputs!$C$68),F4957*H4957*Inputs!$C$69,"")</f>
      </c>
    </row>
    <row r="4958" spans="2:10" ht="15" customHeight="1" x14ac:dyDescent="0.2">
      <c r="B4958" s="39">
        <f t="shared" si="38"/>
      </c>
      <c r="C4958" s="40">
        <f>IF(Inputs!$C$60,Inputs!$C$11+(B4958-Inputs!$C$69)/Inputs!$C$70,"")</f>
      </c>
      <c r="D4958" s="15"/>
      <c r="E4958" s="15"/>
      <c r="F4958" s="11">
        <f t="shared" si="39"/>
      </c>
      <c r="G4958" s="22" cm="1">
        <f t="array" ref="G4958">IF(AND(Inputs!$C$60,Inputs!$C$61),INDEX(Utility_Rates!$C$29:$F$52,HOUR(C4958)+Inputs!$C$69,MATCH(INDEX(Utility_Rates!$K$6:$K$17,MONTH(C4958))&amp;IF(WEEKDAY(C4958,Inputs!$C$76)&lt;=Inputs!$C$74," weekday"," weekend"),Utility_Rates!$C$28:$F$28,Inputs!$C$68)),"")</f>
      </c>
      <c r="H4958" s="34"/>
      <c r="I4958" s="42">
        <f>IF(AND(ISNUMBER(D4958),ISNUMBER(H4958)),D4958*H4958*Inputs!$C$69,"")</f>
      </c>
      <c r="J4958" s="42">
        <f>IF(AND(ISNUMBER(F4958),ISNUMBER(H4958),F4958&gt;=Inputs!$C$68),F4958*H4958*Inputs!$C$69,"")</f>
      </c>
    </row>
    <row r="4959" spans="2:10" ht="15" customHeight="1" x14ac:dyDescent="0.2">
      <c r="B4959" s="39">
        <f t="shared" si="38"/>
      </c>
      <c r="C4959" s="40">
        <f>IF(Inputs!$C$60,Inputs!$C$11+(B4959-Inputs!$C$69)/Inputs!$C$70,"")</f>
      </c>
      <c r="D4959" s="15"/>
      <c r="E4959" s="15"/>
      <c r="F4959" s="11">
        <f t="shared" si="39"/>
      </c>
      <c r="G4959" s="22" cm="1">
        <f t="array" ref="G4959">IF(AND(Inputs!$C$60,Inputs!$C$61),INDEX(Utility_Rates!$C$29:$F$52,HOUR(C4959)+Inputs!$C$69,MATCH(INDEX(Utility_Rates!$K$6:$K$17,MONTH(C4959))&amp;IF(WEEKDAY(C4959,Inputs!$C$76)&lt;=Inputs!$C$74," weekday"," weekend"),Utility_Rates!$C$28:$F$28,Inputs!$C$68)),"")</f>
      </c>
      <c r="H4959" s="34"/>
      <c r="I4959" s="42">
        <f>IF(AND(ISNUMBER(D4959),ISNUMBER(H4959)),D4959*H4959*Inputs!$C$69,"")</f>
      </c>
      <c r="J4959" s="42">
        <f>IF(AND(ISNUMBER(F4959),ISNUMBER(H4959),F4959&gt;=Inputs!$C$68),F4959*H4959*Inputs!$C$69,"")</f>
      </c>
    </row>
    <row r="4960" spans="2:10" ht="15" customHeight="1" x14ac:dyDescent="0.2">
      <c r="B4960" s="39">
        <f t="shared" si="38"/>
      </c>
      <c r="C4960" s="40">
        <f>IF(Inputs!$C$60,Inputs!$C$11+(B4960-Inputs!$C$69)/Inputs!$C$70,"")</f>
      </c>
      <c r="D4960" s="15"/>
      <c r="E4960" s="15"/>
      <c r="F4960" s="11">
        <f t="shared" si="39"/>
      </c>
      <c r="G4960" s="22" cm="1">
        <f t="array" ref="G4960">IF(AND(Inputs!$C$60,Inputs!$C$61),INDEX(Utility_Rates!$C$29:$F$52,HOUR(C4960)+Inputs!$C$69,MATCH(INDEX(Utility_Rates!$K$6:$K$17,MONTH(C4960))&amp;IF(WEEKDAY(C4960,Inputs!$C$76)&lt;=Inputs!$C$74," weekday"," weekend"),Utility_Rates!$C$28:$F$28,Inputs!$C$68)),"")</f>
      </c>
      <c r="H4960" s="34"/>
      <c r="I4960" s="42">
        <f>IF(AND(ISNUMBER(D4960),ISNUMBER(H4960)),D4960*H4960*Inputs!$C$69,"")</f>
      </c>
      <c r="J4960" s="42">
        <f>IF(AND(ISNUMBER(F4960),ISNUMBER(H4960),F4960&gt;=Inputs!$C$68),F4960*H4960*Inputs!$C$69,"")</f>
      </c>
    </row>
    <row r="4961" spans="2:10" ht="15" customHeight="1" x14ac:dyDescent="0.2">
      <c r="B4961" s="39">
        <f t="shared" si="38"/>
      </c>
      <c r="C4961" s="40">
        <f>IF(Inputs!$C$60,Inputs!$C$11+(B4961-Inputs!$C$69)/Inputs!$C$70,"")</f>
      </c>
      <c r="D4961" s="15"/>
      <c r="E4961" s="15"/>
      <c r="F4961" s="11">
        <f t="shared" si="39"/>
      </c>
      <c r="G4961" s="22" cm="1">
        <f t="array" ref="G4961">IF(AND(Inputs!$C$60,Inputs!$C$61),INDEX(Utility_Rates!$C$29:$F$52,HOUR(C4961)+Inputs!$C$69,MATCH(INDEX(Utility_Rates!$K$6:$K$17,MONTH(C4961))&amp;IF(WEEKDAY(C4961,Inputs!$C$76)&lt;=Inputs!$C$74," weekday"," weekend"),Utility_Rates!$C$28:$F$28,Inputs!$C$68)),"")</f>
      </c>
      <c r="H4961" s="34"/>
      <c r="I4961" s="42">
        <f>IF(AND(ISNUMBER(D4961),ISNUMBER(H4961)),D4961*H4961*Inputs!$C$69,"")</f>
      </c>
      <c r="J4961" s="42">
        <f>IF(AND(ISNUMBER(F4961),ISNUMBER(H4961),F4961&gt;=Inputs!$C$68),F4961*H4961*Inputs!$C$69,"")</f>
      </c>
    </row>
    <row r="4962" spans="2:10" ht="15" customHeight="1" x14ac:dyDescent="0.2">
      <c r="B4962" s="39">
        <f t="shared" si="38"/>
      </c>
      <c r="C4962" s="40">
        <f>IF(Inputs!$C$60,Inputs!$C$11+(B4962-Inputs!$C$69)/Inputs!$C$70,"")</f>
      </c>
      <c r="D4962" s="15"/>
      <c r="E4962" s="15"/>
      <c r="F4962" s="11">
        <f t="shared" si="39"/>
      </c>
      <c r="G4962" s="22" cm="1">
        <f t="array" ref="G4962">IF(AND(Inputs!$C$60,Inputs!$C$61),INDEX(Utility_Rates!$C$29:$F$52,HOUR(C4962)+Inputs!$C$69,MATCH(INDEX(Utility_Rates!$K$6:$K$17,MONTH(C4962))&amp;IF(WEEKDAY(C4962,Inputs!$C$76)&lt;=Inputs!$C$74," weekday"," weekend"),Utility_Rates!$C$28:$F$28,Inputs!$C$68)),"")</f>
      </c>
      <c r="H4962" s="34"/>
      <c r="I4962" s="42">
        <f>IF(AND(ISNUMBER(D4962),ISNUMBER(H4962)),D4962*H4962*Inputs!$C$69,"")</f>
      </c>
      <c r="J4962" s="42">
        <f>IF(AND(ISNUMBER(F4962),ISNUMBER(H4962),F4962&gt;=Inputs!$C$68),F4962*H4962*Inputs!$C$69,"")</f>
      </c>
    </row>
    <row r="4963" spans="2:10" ht="15" customHeight="1" x14ac:dyDescent="0.2">
      <c r="B4963" s="39">
        <f t="shared" si="38"/>
      </c>
      <c r="C4963" s="40">
        <f>IF(Inputs!$C$60,Inputs!$C$11+(B4963-Inputs!$C$69)/Inputs!$C$70,"")</f>
      </c>
      <c r="D4963" s="15"/>
      <c r="E4963" s="15"/>
      <c r="F4963" s="11">
        <f t="shared" si="39"/>
      </c>
      <c r="G4963" s="22" cm="1">
        <f t="array" ref="G4963">IF(AND(Inputs!$C$60,Inputs!$C$61),INDEX(Utility_Rates!$C$29:$F$52,HOUR(C4963)+Inputs!$C$69,MATCH(INDEX(Utility_Rates!$K$6:$K$17,MONTH(C4963))&amp;IF(WEEKDAY(C4963,Inputs!$C$76)&lt;=Inputs!$C$74," weekday"," weekend"),Utility_Rates!$C$28:$F$28,Inputs!$C$68)),"")</f>
      </c>
      <c r="H4963" s="34"/>
      <c r="I4963" s="42">
        <f>IF(AND(ISNUMBER(D4963),ISNUMBER(H4963)),D4963*H4963*Inputs!$C$69,"")</f>
      </c>
      <c r="J4963" s="42">
        <f>IF(AND(ISNUMBER(F4963),ISNUMBER(H4963),F4963&gt;=Inputs!$C$68),F4963*H4963*Inputs!$C$69,"")</f>
      </c>
    </row>
    <row r="4964" spans="2:10" ht="15" customHeight="1" x14ac:dyDescent="0.2">
      <c r="B4964" s="39">
        <f t="shared" si="38"/>
      </c>
      <c r="C4964" s="40">
        <f>IF(Inputs!$C$60,Inputs!$C$11+(B4964-Inputs!$C$69)/Inputs!$C$70,"")</f>
      </c>
      <c r="D4964" s="15"/>
      <c r="E4964" s="15"/>
      <c r="F4964" s="11">
        <f t="shared" si="39"/>
      </c>
      <c r="G4964" s="22" cm="1">
        <f t="array" ref="G4964">IF(AND(Inputs!$C$60,Inputs!$C$61),INDEX(Utility_Rates!$C$29:$F$52,HOUR(C4964)+Inputs!$C$69,MATCH(INDEX(Utility_Rates!$K$6:$K$17,MONTH(C4964))&amp;IF(WEEKDAY(C4964,Inputs!$C$76)&lt;=Inputs!$C$74," weekday"," weekend"),Utility_Rates!$C$28:$F$28,Inputs!$C$68)),"")</f>
      </c>
      <c r="H4964" s="34"/>
      <c r="I4964" s="42">
        <f>IF(AND(ISNUMBER(D4964),ISNUMBER(H4964)),D4964*H4964*Inputs!$C$69,"")</f>
      </c>
      <c r="J4964" s="42">
        <f>IF(AND(ISNUMBER(F4964),ISNUMBER(H4964),F4964&gt;=Inputs!$C$68),F4964*H4964*Inputs!$C$69,"")</f>
      </c>
    </row>
    <row r="4965" spans="2:10" ht="15" customHeight="1" x14ac:dyDescent="0.2">
      <c r="B4965" s="39">
        <f t="shared" si="38"/>
      </c>
      <c r="C4965" s="40">
        <f>IF(Inputs!$C$60,Inputs!$C$11+(B4965-Inputs!$C$69)/Inputs!$C$70,"")</f>
      </c>
      <c r="D4965" s="15"/>
      <c r="E4965" s="15"/>
      <c r="F4965" s="11">
        <f t="shared" si="39"/>
      </c>
      <c r="G4965" s="22" cm="1">
        <f t="array" ref="G4965">IF(AND(Inputs!$C$60,Inputs!$C$61),INDEX(Utility_Rates!$C$29:$F$52,HOUR(C4965)+Inputs!$C$69,MATCH(INDEX(Utility_Rates!$K$6:$K$17,MONTH(C4965))&amp;IF(WEEKDAY(C4965,Inputs!$C$76)&lt;=Inputs!$C$74," weekday"," weekend"),Utility_Rates!$C$28:$F$28,Inputs!$C$68)),"")</f>
      </c>
      <c r="H4965" s="34"/>
      <c r="I4965" s="42">
        <f>IF(AND(ISNUMBER(D4965),ISNUMBER(H4965)),D4965*H4965*Inputs!$C$69,"")</f>
      </c>
      <c r="J4965" s="42">
        <f>IF(AND(ISNUMBER(F4965),ISNUMBER(H4965),F4965&gt;=Inputs!$C$68),F4965*H4965*Inputs!$C$69,"")</f>
      </c>
    </row>
    <row r="4966" spans="2:10" ht="15" customHeight="1" x14ac:dyDescent="0.2">
      <c r="B4966" s="39">
        <f t="shared" si="38"/>
      </c>
      <c r="C4966" s="40">
        <f>IF(Inputs!$C$60,Inputs!$C$11+(B4966-Inputs!$C$69)/Inputs!$C$70,"")</f>
      </c>
      <c r="D4966" s="15"/>
      <c r="E4966" s="15"/>
      <c r="F4966" s="11">
        <f t="shared" si="39"/>
      </c>
      <c r="G4966" s="22" cm="1">
        <f t="array" ref="G4966">IF(AND(Inputs!$C$60,Inputs!$C$61),INDEX(Utility_Rates!$C$29:$F$52,HOUR(C4966)+Inputs!$C$69,MATCH(INDEX(Utility_Rates!$K$6:$K$17,MONTH(C4966))&amp;IF(WEEKDAY(C4966,Inputs!$C$76)&lt;=Inputs!$C$74," weekday"," weekend"),Utility_Rates!$C$28:$F$28,Inputs!$C$68)),"")</f>
      </c>
      <c r="H4966" s="34"/>
      <c r="I4966" s="42">
        <f>IF(AND(ISNUMBER(D4966),ISNUMBER(H4966)),D4966*H4966*Inputs!$C$69,"")</f>
      </c>
      <c r="J4966" s="42">
        <f>IF(AND(ISNUMBER(F4966),ISNUMBER(H4966),F4966&gt;=Inputs!$C$68),F4966*H4966*Inputs!$C$69,"")</f>
      </c>
    </row>
    <row r="4967" spans="2:10" ht="15" customHeight="1" x14ac:dyDescent="0.2">
      <c r="B4967" s="39">
        <f t="shared" si="38"/>
      </c>
      <c r="C4967" s="40">
        <f>IF(Inputs!$C$60,Inputs!$C$11+(B4967-Inputs!$C$69)/Inputs!$C$70,"")</f>
      </c>
      <c r="D4967" s="15"/>
      <c r="E4967" s="15"/>
      <c r="F4967" s="11">
        <f t="shared" si="39"/>
      </c>
      <c r="G4967" s="22" cm="1">
        <f t="array" ref="G4967">IF(AND(Inputs!$C$60,Inputs!$C$61),INDEX(Utility_Rates!$C$29:$F$52,HOUR(C4967)+Inputs!$C$69,MATCH(INDEX(Utility_Rates!$K$6:$K$17,MONTH(C4967))&amp;IF(WEEKDAY(C4967,Inputs!$C$76)&lt;=Inputs!$C$74," weekday"," weekend"),Utility_Rates!$C$28:$F$28,Inputs!$C$68)),"")</f>
      </c>
      <c r="H4967" s="34"/>
      <c r="I4967" s="42">
        <f>IF(AND(ISNUMBER(D4967),ISNUMBER(H4967)),D4967*H4967*Inputs!$C$69,"")</f>
      </c>
      <c r="J4967" s="42">
        <f>IF(AND(ISNUMBER(F4967),ISNUMBER(H4967),F4967&gt;=Inputs!$C$68),F4967*H4967*Inputs!$C$69,"")</f>
      </c>
    </row>
    <row r="4968" spans="2:10" ht="15" customHeight="1" x14ac:dyDescent="0.2">
      <c r="B4968" s="39">
        <f t="shared" si="38"/>
      </c>
      <c r="C4968" s="40">
        <f>IF(Inputs!$C$60,Inputs!$C$11+(B4968-Inputs!$C$69)/Inputs!$C$70,"")</f>
      </c>
      <c r="D4968" s="15"/>
      <c r="E4968" s="15"/>
      <c r="F4968" s="11">
        <f t="shared" si="39"/>
      </c>
      <c r="G4968" s="22" cm="1">
        <f t="array" ref="G4968">IF(AND(Inputs!$C$60,Inputs!$C$61),INDEX(Utility_Rates!$C$29:$F$52,HOUR(C4968)+Inputs!$C$69,MATCH(INDEX(Utility_Rates!$K$6:$K$17,MONTH(C4968))&amp;IF(WEEKDAY(C4968,Inputs!$C$76)&lt;=Inputs!$C$74," weekday"," weekend"),Utility_Rates!$C$28:$F$28,Inputs!$C$68)),"")</f>
      </c>
      <c r="H4968" s="34"/>
      <c r="I4968" s="42">
        <f>IF(AND(ISNUMBER(D4968),ISNUMBER(H4968)),D4968*H4968*Inputs!$C$69,"")</f>
      </c>
      <c r="J4968" s="42">
        <f>IF(AND(ISNUMBER(F4968),ISNUMBER(H4968),F4968&gt;=Inputs!$C$68),F4968*H4968*Inputs!$C$69,"")</f>
      </c>
    </row>
    <row r="4969" spans="2:10" ht="15" customHeight="1" x14ac:dyDescent="0.2">
      <c r="B4969" s="39">
        <f t="shared" si="38"/>
      </c>
      <c r="C4969" s="40">
        <f>IF(Inputs!$C$60,Inputs!$C$11+(B4969-Inputs!$C$69)/Inputs!$C$70,"")</f>
      </c>
      <c r="D4969" s="15"/>
      <c r="E4969" s="15"/>
      <c r="F4969" s="11">
        <f t="shared" si="39"/>
      </c>
      <c r="G4969" s="22" cm="1">
        <f t="array" ref="G4969">IF(AND(Inputs!$C$60,Inputs!$C$61),INDEX(Utility_Rates!$C$29:$F$52,HOUR(C4969)+Inputs!$C$69,MATCH(INDEX(Utility_Rates!$K$6:$K$17,MONTH(C4969))&amp;IF(WEEKDAY(C4969,Inputs!$C$76)&lt;=Inputs!$C$74," weekday"," weekend"),Utility_Rates!$C$28:$F$28,Inputs!$C$68)),"")</f>
      </c>
      <c r="H4969" s="34"/>
      <c r="I4969" s="42">
        <f>IF(AND(ISNUMBER(D4969),ISNUMBER(H4969)),D4969*H4969*Inputs!$C$69,"")</f>
      </c>
      <c r="J4969" s="42">
        <f>IF(AND(ISNUMBER(F4969),ISNUMBER(H4969),F4969&gt;=Inputs!$C$68),F4969*H4969*Inputs!$C$69,"")</f>
      </c>
    </row>
    <row r="4970" spans="2:10" ht="15" customHeight="1" x14ac:dyDescent="0.2">
      <c r="B4970" s="39">
        <f t="shared" si="38"/>
      </c>
      <c r="C4970" s="40">
        <f>IF(Inputs!$C$60,Inputs!$C$11+(B4970-Inputs!$C$69)/Inputs!$C$70,"")</f>
      </c>
      <c r="D4970" s="15"/>
      <c r="E4970" s="15"/>
      <c r="F4970" s="11">
        <f t="shared" si="39"/>
      </c>
      <c r="G4970" s="22" cm="1">
        <f t="array" ref="G4970">IF(AND(Inputs!$C$60,Inputs!$C$61),INDEX(Utility_Rates!$C$29:$F$52,HOUR(C4970)+Inputs!$C$69,MATCH(INDEX(Utility_Rates!$K$6:$K$17,MONTH(C4970))&amp;IF(WEEKDAY(C4970,Inputs!$C$76)&lt;=Inputs!$C$74," weekday"," weekend"),Utility_Rates!$C$28:$F$28,Inputs!$C$68)),"")</f>
      </c>
      <c r="H4970" s="34"/>
      <c r="I4970" s="42">
        <f>IF(AND(ISNUMBER(D4970),ISNUMBER(H4970)),D4970*H4970*Inputs!$C$69,"")</f>
      </c>
      <c r="J4970" s="42">
        <f>IF(AND(ISNUMBER(F4970),ISNUMBER(H4970),F4970&gt;=Inputs!$C$68),F4970*H4970*Inputs!$C$69,"")</f>
      </c>
    </row>
    <row r="4971" spans="2:10" ht="15" customHeight="1" x14ac:dyDescent="0.2">
      <c r="B4971" s="39">
        <f t="shared" si="38"/>
      </c>
      <c r="C4971" s="40">
        <f>IF(Inputs!$C$60,Inputs!$C$11+(B4971-Inputs!$C$69)/Inputs!$C$70,"")</f>
      </c>
      <c r="D4971" s="15"/>
      <c r="E4971" s="15"/>
      <c r="F4971" s="11">
        <f t="shared" si="39"/>
      </c>
      <c r="G4971" s="22" cm="1">
        <f t="array" ref="G4971">IF(AND(Inputs!$C$60,Inputs!$C$61),INDEX(Utility_Rates!$C$29:$F$52,HOUR(C4971)+Inputs!$C$69,MATCH(INDEX(Utility_Rates!$K$6:$K$17,MONTH(C4971))&amp;IF(WEEKDAY(C4971,Inputs!$C$76)&lt;=Inputs!$C$74," weekday"," weekend"),Utility_Rates!$C$28:$F$28,Inputs!$C$68)),"")</f>
      </c>
      <c r="H4971" s="34"/>
      <c r="I4971" s="42">
        <f>IF(AND(ISNUMBER(D4971),ISNUMBER(H4971)),D4971*H4971*Inputs!$C$69,"")</f>
      </c>
      <c r="J4971" s="42">
        <f>IF(AND(ISNUMBER(F4971),ISNUMBER(H4971),F4971&gt;=Inputs!$C$68),F4971*H4971*Inputs!$C$69,"")</f>
      </c>
    </row>
    <row r="4972" spans="2:10" ht="15" customHeight="1" x14ac:dyDescent="0.2">
      <c r="B4972" s="39">
        <f t="shared" si="38"/>
      </c>
      <c r="C4972" s="40">
        <f>IF(Inputs!$C$60,Inputs!$C$11+(B4972-Inputs!$C$69)/Inputs!$C$70,"")</f>
      </c>
      <c r="D4972" s="15"/>
      <c r="E4972" s="15"/>
      <c r="F4972" s="11">
        <f t="shared" si="39"/>
      </c>
      <c r="G4972" s="22" cm="1">
        <f t="array" ref="G4972">IF(AND(Inputs!$C$60,Inputs!$C$61),INDEX(Utility_Rates!$C$29:$F$52,HOUR(C4972)+Inputs!$C$69,MATCH(INDEX(Utility_Rates!$K$6:$K$17,MONTH(C4972))&amp;IF(WEEKDAY(C4972,Inputs!$C$76)&lt;=Inputs!$C$74," weekday"," weekend"),Utility_Rates!$C$28:$F$28,Inputs!$C$68)),"")</f>
      </c>
      <c r="H4972" s="34"/>
      <c r="I4972" s="42">
        <f>IF(AND(ISNUMBER(D4972),ISNUMBER(H4972)),D4972*H4972*Inputs!$C$69,"")</f>
      </c>
      <c r="J4972" s="42">
        <f>IF(AND(ISNUMBER(F4972),ISNUMBER(H4972),F4972&gt;=Inputs!$C$68),F4972*H4972*Inputs!$C$69,"")</f>
      </c>
    </row>
    <row r="4973" spans="2:10" ht="15" customHeight="1" x14ac:dyDescent="0.2">
      <c r="B4973" s="39">
        <f t="shared" si="38"/>
      </c>
      <c r="C4973" s="40">
        <f>IF(Inputs!$C$60,Inputs!$C$11+(B4973-Inputs!$C$69)/Inputs!$C$70,"")</f>
      </c>
      <c r="D4973" s="15"/>
      <c r="E4973" s="15"/>
      <c r="F4973" s="11">
        <f t="shared" si="39"/>
      </c>
      <c r="G4973" s="22" cm="1">
        <f t="array" ref="G4973">IF(AND(Inputs!$C$60,Inputs!$C$61),INDEX(Utility_Rates!$C$29:$F$52,HOUR(C4973)+Inputs!$C$69,MATCH(INDEX(Utility_Rates!$K$6:$K$17,MONTH(C4973))&amp;IF(WEEKDAY(C4973,Inputs!$C$76)&lt;=Inputs!$C$74," weekday"," weekend"),Utility_Rates!$C$28:$F$28,Inputs!$C$68)),"")</f>
      </c>
      <c r="H4973" s="34"/>
      <c r="I4973" s="42">
        <f>IF(AND(ISNUMBER(D4973),ISNUMBER(H4973)),D4973*H4973*Inputs!$C$69,"")</f>
      </c>
      <c r="J4973" s="42">
        <f>IF(AND(ISNUMBER(F4973),ISNUMBER(H4973),F4973&gt;=Inputs!$C$68),F4973*H4973*Inputs!$C$69,"")</f>
      </c>
    </row>
    <row r="4974" spans="2:10" ht="15" customHeight="1" x14ac:dyDescent="0.2">
      <c r="B4974" s="39">
        <f t="shared" si="38"/>
      </c>
      <c r="C4974" s="40">
        <f>IF(Inputs!$C$60,Inputs!$C$11+(B4974-Inputs!$C$69)/Inputs!$C$70,"")</f>
      </c>
      <c r="D4974" s="15"/>
      <c r="E4974" s="15"/>
      <c r="F4974" s="11">
        <f t="shared" si="39"/>
      </c>
      <c r="G4974" s="22" cm="1">
        <f t="array" ref="G4974">IF(AND(Inputs!$C$60,Inputs!$C$61),INDEX(Utility_Rates!$C$29:$F$52,HOUR(C4974)+Inputs!$C$69,MATCH(INDEX(Utility_Rates!$K$6:$K$17,MONTH(C4974))&amp;IF(WEEKDAY(C4974,Inputs!$C$76)&lt;=Inputs!$C$74," weekday"," weekend"),Utility_Rates!$C$28:$F$28,Inputs!$C$68)),"")</f>
      </c>
      <c r="H4974" s="34"/>
      <c r="I4974" s="42">
        <f>IF(AND(ISNUMBER(D4974),ISNUMBER(H4974)),D4974*H4974*Inputs!$C$69,"")</f>
      </c>
      <c r="J4974" s="42">
        <f>IF(AND(ISNUMBER(F4974),ISNUMBER(H4974),F4974&gt;=Inputs!$C$68),F4974*H4974*Inputs!$C$69,"")</f>
      </c>
    </row>
    <row r="4975" spans="2:10" ht="15" customHeight="1" x14ac:dyDescent="0.2">
      <c r="B4975" s="39">
        <f t="shared" si="38"/>
      </c>
      <c r="C4975" s="40">
        <f>IF(Inputs!$C$60,Inputs!$C$11+(B4975-Inputs!$C$69)/Inputs!$C$70,"")</f>
      </c>
      <c r="D4975" s="15"/>
      <c r="E4975" s="15"/>
      <c r="F4975" s="11">
        <f t="shared" si="39"/>
      </c>
      <c r="G4975" s="22" cm="1">
        <f t="array" ref="G4975">IF(AND(Inputs!$C$60,Inputs!$C$61),INDEX(Utility_Rates!$C$29:$F$52,HOUR(C4975)+Inputs!$C$69,MATCH(INDEX(Utility_Rates!$K$6:$K$17,MONTH(C4975))&amp;IF(WEEKDAY(C4975,Inputs!$C$76)&lt;=Inputs!$C$74," weekday"," weekend"),Utility_Rates!$C$28:$F$28,Inputs!$C$68)),"")</f>
      </c>
      <c r="H4975" s="34"/>
      <c r="I4975" s="42">
        <f>IF(AND(ISNUMBER(D4975),ISNUMBER(H4975)),D4975*H4975*Inputs!$C$69,"")</f>
      </c>
      <c r="J4975" s="42">
        <f>IF(AND(ISNUMBER(F4975),ISNUMBER(H4975),F4975&gt;=Inputs!$C$68),F4975*H4975*Inputs!$C$69,"")</f>
      </c>
    </row>
    <row r="4976" spans="2:10" ht="15" customHeight="1" x14ac:dyDescent="0.2">
      <c r="B4976" s="39">
        <f t="shared" si="38"/>
      </c>
      <c r="C4976" s="40">
        <f>IF(Inputs!$C$60,Inputs!$C$11+(B4976-Inputs!$C$69)/Inputs!$C$70,"")</f>
      </c>
      <c r="D4976" s="15"/>
      <c r="E4976" s="15"/>
      <c r="F4976" s="11">
        <f t="shared" si="39"/>
      </c>
      <c r="G4976" s="22" cm="1">
        <f t="array" ref="G4976">IF(AND(Inputs!$C$60,Inputs!$C$61),INDEX(Utility_Rates!$C$29:$F$52,HOUR(C4976)+Inputs!$C$69,MATCH(INDEX(Utility_Rates!$K$6:$K$17,MONTH(C4976))&amp;IF(WEEKDAY(C4976,Inputs!$C$76)&lt;=Inputs!$C$74," weekday"," weekend"),Utility_Rates!$C$28:$F$28,Inputs!$C$68)),"")</f>
      </c>
      <c r="H4976" s="34"/>
      <c r="I4976" s="42">
        <f>IF(AND(ISNUMBER(D4976),ISNUMBER(H4976)),D4976*H4976*Inputs!$C$69,"")</f>
      </c>
      <c r="J4976" s="42">
        <f>IF(AND(ISNUMBER(F4976),ISNUMBER(H4976),F4976&gt;=Inputs!$C$68),F4976*H4976*Inputs!$C$69,"")</f>
      </c>
    </row>
    <row r="4977" spans="2:10" ht="15" customHeight="1" x14ac:dyDescent="0.2">
      <c r="B4977" s="39">
        <f t="shared" si="38"/>
      </c>
      <c r="C4977" s="40">
        <f>IF(Inputs!$C$60,Inputs!$C$11+(B4977-Inputs!$C$69)/Inputs!$C$70,"")</f>
      </c>
      <c r="D4977" s="15"/>
      <c r="E4977" s="15"/>
      <c r="F4977" s="11">
        <f t="shared" si="39"/>
      </c>
      <c r="G4977" s="22" cm="1">
        <f t="array" ref="G4977">IF(AND(Inputs!$C$60,Inputs!$C$61),INDEX(Utility_Rates!$C$29:$F$52,HOUR(C4977)+Inputs!$C$69,MATCH(INDEX(Utility_Rates!$K$6:$K$17,MONTH(C4977))&amp;IF(WEEKDAY(C4977,Inputs!$C$76)&lt;=Inputs!$C$74," weekday"," weekend"),Utility_Rates!$C$28:$F$28,Inputs!$C$68)),"")</f>
      </c>
      <c r="H4977" s="34"/>
      <c r="I4977" s="42">
        <f>IF(AND(ISNUMBER(D4977),ISNUMBER(H4977)),D4977*H4977*Inputs!$C$69,"")</f>
      </c>
      <c r="J4977" s="42">
        <f>IF(AND(ISNUMBER(F4977),ISNUMBER(H4977),F4977&gt;=Inputs!$C$68),F4977*H4977*Inputs!$C$69,"")</f>
      </c>
    </row>
    <row r="4978" spans="2:10" ht="15" customHeight="1" x14ac:dyDescent="0.2">
      <c r="B4978" s="39">
        <f t="shared" si="38"/>
      </c>
      <c r="C4978" s="40">
        <f>IF(Inputs!$C$60,Inputs!$C$11+(B4978-Inputs!$C$69)/Inputs!$C$70,"")</f>
      </c>
      <c r="D4978" s="15"/>
      <c r="E4978" s="15"/>
      <c r="F4978" s="11">
        <f t="shared" si="39"/>
      </c>
      <c r="G4978" s="22" cm="1">
        <f t="array" ref="G4978">IF(AND(Inputs!$C$60,Inputs!$C$61),INDEX(Utility_Rates!$C$29:$F$52,HOUR(C4978)+Inputs!$C$69,MATCH(INDEX(Utility_Rates!$K$6:$K$17,MONTH(C4978))&amp;IF(WEEKDAY(C4978,Inputs!$C$76)&lt;=Inputs!$C$74," weekday"," weekend"),Utility_Rates!$C$28:$F$28,Inputs!$C$68)),"")</f>
      </c>
      <c r="H4978" s="34"/>
      <c r="I4978" s="42">
        <f>IF(AND(ISNUMBER(D4978),ISNUMBER(H4978)),D4978*H4978*Inputs!$C$69,"")</f>
      </c>
      <c r="J4978" s="42">
        <f>IF(AND(ISNUMBER(F4978),ISNUMBER(H4978),F4978&gt;=Inputs!$C$68),F4978*H4978*Inputs!$C$69,"")</f>
      </c>
    </row>
    <row r="4979" spans="2:10" ht="15" customHeight="1" x14ac:dyDescent="0.2">
      <c r="B4979" s="39">
        <f t="shared" si="38"/>
      </c>
      <c r="C4979" s="40">
        <f>IF(Inputs!$C$60,Inputs!$C$11+(B4979-Inputs!$C$69)/Inputs!$C$70,"")</f>
      </c>
      <c r="D4979" s="15"/>
      <c r="E4979" s="15"/>
      <c r="F4979" s="11">
        <f t="shared" si="39"/>
      </c>
      <c r="G4979" s="22" cm="1">
        <f t="array" ref="G4979">IF(AND(Inputs!$C$60,Inputs!$C$61),INDEX(Utility_Rates!$C$29:$F$52,HOUR(C4979)+Inputs!$C$69,MATCH(INDEX(Utility_Rates!$K$6:$K$17,MONTH(C4979))&amp;IF(WEEKDAY(C4979,Inputs!$C$76)&lt;=Inputs!$C$74," weekday"," weekend"),Utility_Rates!$C$28:$F$28,Inputs!$C$68)),"")</f>
      </c>
      <c r="H4979" s="34"/>
      <c r="I4979" s="42">
        <f>IF(AND(ISNUMBER(D4979),ISNUMBER(H4979)),D4979*H4979*Inputs!$C$69,"")</f>
      </c>
      <c r="J4979" s="42">
        <f>IF(AND(ISNUMBER(F4979),ISNUMBER(H4979),F4979&gt;=Inputs!$C$68),F4979*H4979*Inputs!$C$69,"")</f>
      </c>
    </row>
    <row r="4980" spans="2:10" ht="15" customHeight="1" x14ac:dyDescent="0.2">
      <c r="B4980" s="39">
        <f t="shared" si="38"/>
      </c>
      <c r="C4980" s="40">
        <f>IF(Inputs!$C$60,Inputs!$C$11+(B4980-Inputs!$C$69)/Inputs!$C$70,"")</f>
      </c>
      <c r="D4980" s="15"/>
      <c r="E4980" s="15"/>
      <c r="F4980" s="11">
        <f t="shared" si="39"/>
      </c>
      <c r="G4980" s="22" cm="1">
        <f t="array" ref="G4980">IF(AND(Inputs!$C$60,Inputs!$C$61),INDEX(Utility_Rates!$C$29:$F$52,HOUR(C4980)+Inputs!$C$69,MATCH(INDEX(Utility_Rates!$K$6:$K$17,MONTH(C4980))&amp;IF(WEEKDAY(C4980,Inputs!$C$76)&lt;=Inputs!$C$74," weekday"," weekend"),Utility_Rates!$C$28:$F$28,Inputs!$C$68)),"")</f>
      </c>
      <c r="H4980" s="34"/>
      <c r="I4980" s="42">
        <f>IF(AND(ISNUMBER(D4980),ISNUMBER(H4980)),D4980*H4980*Inputs!$C$69,"")</f>
      </c>
      <c r="J4980" s="42">
        <f>IF(AND(ISNUMBER(F4980),ISNUMBER(H4980),F4980&gt;=Inputs!$C$68),F4980*H4980*Inputs!$C$69,"")</f>
      </c>
    </row>
    <row r="4981" spans="2:10" ht="15" customHeight="1" x14ac:dyDescent="0.2">
      <c r="B4981" s="39">
        <f t="shared" si="38"/>
      </c>
      <c r="C4981" s="40">
        <f>IF(Inputs!$C$60,Inputs!$C$11+(B4981-Inputs!$C$69)/Inputs!$C$70,"")</f>
      </c>
      <c r="D4981" s="15"/>
      <c r="E4981" s="15"/>
      <c r="F4981" s="11">
        <f t="shared" si="39"/>
      </c>
      <c r="G4981" s="22" cm="1">
        <f t="array" ref="G4981">IF(AND(Inputs!$C$60,Inputs!$C$61),INDEX(Utility_Rates!$C$29:$F$52,HOUR(C4981)+Inputs!$C$69,MATCH(INDEX(Utility_Rates!$K$6:$K$17,MONTH(C4981))&amp;IF(WEEKDAY(C4981,Inputs!$C$76)&lt;=Inputs!$C$74," weekday"," weekend"),Utility_Rates!$C$28:$F$28,Inputs!$C$68)),"")</f>
      </c>
      <c r="H4981" s="34"/>
      <c r="I4981" s="42">
        <f>IF(AND(ISNUMBER(D4981),ISNUMBER(H4981)),D4981*H4981*Inputs!$C$69,"")</f>
      </c>
      <c r="J4981" s="42">
        <f>IF(AND(ISNUMBER(F4981),ISNUMBER(H4981),F4981&gt;=Inputs!$C$68),F4981*H4981*Inputs!$C$69,"")</f>
      </c>
    </row>
    <row r="4982" spans="2:10" ht="15" customHeight="1" x14ac:dyDescent="0.2">
      <c r="B4982" s="39">
        <f t="shared" si="38"/>
      </c>
      <c r="C4982" s="40">
        <f>IF(Inputs!$C$60,Inputs!$C$11+(B4982-Inputs!$C$69)/Inputs!$C$70,"")</f>
      </c>
      <c r="D4982" s="15"/>
      <c r="E4982" s="15"/>
      <c r="F4982" s="11">
        <f t="shared" si="39"/>
      </c>
      <c r="G4982" s="22" cm="1">
        <f t="array" ref="G4982">IF(AND(Inputs!$C$60,Inputs!$C$61),INDEX(Utility_Rates!$C$29:$F$52,HOUR(C4982)+Inputs!$C$69,MATCH(INDEX(Utility_Rates!$K$6:$K$17,MONTH(C4982))&amp;IF(WEEKDAY(C4982,Inputs!$C$76)&lt;=Inputs!$C$74," weekday"," weekend"),Utility_Rates!$C$28:$F$28,Inputs!$C$68)),"")</f>
      </c>
      <c r="H4982" s="34"/>
      <c r="I4982" s="42">
        <f>IF(AND(ISNUMBER(D4982),ISNUMBER(H4982)),D4982*H4982*Inputs!$C$69,"")</f>
      </c>
      <c r="J4982" s="42">
        <f>IF(AND(ISNUMBER(F4982),ISNUMBER(H4982),F4982&gt;=Inputs!$C$68),F4982*H4982*Inputs!$C$69,"")</f>
      </c>
    </row>
    <row r="4983" spans="2:10" ht="15" customHeight="1" x14ac:dyDescent="0.2">
      <c r="B4983" s="39">
        <f t="shared" si="38"/>
      </c>
      <c r="C4983" s="40">
        <f>IF(Inputs!$C$60,Inputs!$C$11+(B4983-Inputs!$C$69)/Inputs!$C$70,"")</f>
      </c>
      <c r="D4983" s="15"/>
      <c r="E4983" s="15"/>
      <c r="F4983" s="11">
        <f t="shared" si="39"/>
      </c>
      <c r="G4983" s="22" cm="1">
        <f t="array" ref="G4983">IF(AND(Inputs!$C$60,Inputs!$C$61),INDEX(Utility_Rates!$C$29:$F$52,HOUR(C4983)+Inputs!$C$69,MATCH(INDEX(Utility_Rates!$K$6:$K$17,MONTH(C4983))&amp;IF(WEEKDAY(C4983,Inputs!$C$76)&lt;=Inputs!$C$74," weekday"," weekend"),Utility_Rates!$C$28:$F$28,Inputs!$C$68)),"")</f>
      </c>
      <c r="H4983" s="34"/>
      <c r="I4983" s="42">
        <f>IF(AND(ISNUMBER(D4983),ISNUMBER(H4983)),D4983*H4983*Inputs!$C$69,"")</f>
      </c>
      <c r="J4983" s="42">
        <f>IF(AND(ISNUMBER(F4983),ISNUMBER(H4983),F4983&gt;=Inputs!$C$68),F4983*H4983*Inputs!$C$69,"")</f>
      </c>
    </row>
    <row r="4984" spans="2:10" ht="15" customHeight="1" x14ac:dyDescent="0.2">
      <c r="B4984" s="39">
        <f t="shared" si="38"/>
      </c>
      <c r="C4984" s="40">
        <f>IF(Inputs!$C$60,Inputs!$C$11+(B4984-Inputs!$C$69)/Inputs!$C$70,"")</f>
      </c>
      <c r="D4984" s="15"/>
      <c r="E4984" s="15"/>
      <c r="F4984" s="11">
        <f t="shared" si="39"/>
      </c>
      <c r="G4984" s="22" cm="1">
        <f t="array" ref="G4984">IF(AND(Inputs!$C$60,Inputs!$C$61),INDEX(Utility_Rates!$C$29:$F$52,HOUR(C4984)+Inputs!$C$69,MATCH(INDEX(Utility_Rates!$K$6:$K$17,MONTH(C4984))&amp;IF(WEEKDAY(C4984,Inputs!$C$76)&lt;=Inputs!$C$74," weekday"," weekend"),Utility_Rates!$C$28:$F$28,Inputs!$C$68)),"")</f>
      </c>
      <c r="H4984" s="34"/>
      <c r="I4984" s="42">
        <f>IF(AND(ISNUMBER(D4984),ISNUMBER(H4984)),D4984*H4984*Inputs!$C$69,"")</f>
      </c>
      <c r="J4984" s="42">
        <f>IF(AND(ISNUMBER(F4984),ISNUMBER(H4984),F4984&gt;=Inputs!$C$68),F4984*H4984*Inputs!$C$69,"")</f>
      </c>
    </row>
    <row r="4985" spans="2:10" ht="15" customHeight="1" x14ac:dyDescent="0.2">
      <c r="B4985" s="39">
        <f t="shared" si="38"/>
      </c>
      <c r="C4985" s="40">
        <f>IF(Inputs!$C$60,Inputs!$C$11+(B4985-Inputs!$C$69)/Inputs!$C$70,"")</f>
      </c>
      <c r="D4985" s="15"/>
      <c r="E4985" s="15"/>
      <c r="F4985" s="11">
        <f t="shared" si="39"/>
      </c>
      <c r="G4985" s="22" cm="1">
        <f t="array" ref="G4985">IF(AND(Inputs!$C$60,Inputs!$C$61),INDEX(Utility_Rates!$C$29:$F$52,HOUR(C4985)+Inputs!$C$69,MATCH(INDEX(Utility_Rates!$K$6:$K$17,MONTH(C4985))&amp;IF(WEEKDAY(C4985,Inputs!$C$76)&lt;=Inputs!$C$74," weekday"," weekend"),Utility_Rates!$C$28:$F$28,Inputs!$C$68)),"")</f>
      </c>
      <c r="H4985" s="34"/>
      <c r="I4985" s="42">
        <f>IF(AND(ISNUMBER(D4985),ISNUMBER(H4985)),D4985*H4985*Inputs!$C$69,"")</f>
      </c>
      <c r="J4985" s="42">
        <f>IF(AND(ISNUMBER(F4985),ISNUMBER(H4985),F4985&gt;=Inputs!$C$68),F4985*H4985*Inputs!$C$69,"")</f>
      </c>
    </row>
    <row r="4986" spans="2:10" ht="15" customHeight="1" x14ac:dyDescent="0.2">
      <c r="B4986" s="39">
        <f t="shared" si="38"/>
      </c>
      <c r="C4986" s="40">
        <f>IF(Inputs!$C$60,Inputs!$C$11+(B4986-Inputs!$C$69)/Inputs!$C$70,"")</f>
      </c>
      <c r="D4986" s="15"/>
      <c r="E4986" s="15"/>
      <c r="F4986" s="11">
        <f t="shared" si="39"/>
      </c>
      <c r="G4986" s="22" cm="1">
        <f t="array" ref="G4986">IF(AND(Inputs!$C$60,Inputs!$C$61),INDEX(Utility_Rates!$C$29:$F$52,HOUR(C4986)+Inputs!$C$69,MATCH(INDEX(Utility_Rates!$K$6:$K$17,MONTH(C4986))&amp;IF(WEEKDAY(C4986,Inputs!$C$76)&lt;=Inputs!$C$74," weekday"," weekend"),Utility_Rates!$C$28:$F$28,Inputs!$C$68)),"")</f>
      </c>
      <c r="H4986" s="34"/>
      <c r="I4986" s="42">
        <f>IF(AND(ISNUMBER(D4986),ISNUMBER(H4986)),D4986*H4986*Inputs!$C$69,"")</f>
      </c>
      <c r="J4986" s="42">
        <f>IF(AND(ISNUMBER(F4986),ISNUMBER(H4986),F4986&gt;=Inputs!$C$68),F4986*H4986*Inputs!$C$69,"")</f>
      </c>
    </row>
    <row r="4987" spans="2:10" ht="15" customHeight="1" x14ac:dyDescent="0.2">
      <c r="B4987" s="39">
        <f t="shared" si="38"/>
      </c>
      <c r="C4987" s="40">
        <f>IF(Inputs!$C$60,Inputs!$C$11+(B4987-Inputs!$C$69)/Inputs!$C$70,"")</f>
      </c>
      <c r="D4987" s="15"/>
      <c r="E4987" s="15"/>
      <c r="F4987" s="11">
        <f t="shared" si="39"/>
      </c>
      <c r="G4987" s="22" cm="1">
        <f t="array" ref="G4987">IF(AND(Inputs!$C$60,Inputs!$C$61),INDEX(Utility_Rates!$C$29:$F$52,HOUR(C4987)+Inputs!$C$69,MATCH(INDEX(Utility_Rates!$K$6:$K$17,MONTH(C4987))&amp;IF(WEEKDAY(C4987,Inputs!$C$76)&lt;=Inputs!$C$74," weekday"," weekend"),Utility_Rates!$C$28:$F$28,Inputs!$C$68)),"")</f>
      </c>
      <c r="H4987" s="34"/>
      <c r="I4987" s="42">
        <f>IF(AND(ISNUMBER(D4987),ISNUMBER(H4987)),D4987*H4987*Inputs!$C$69,"")</f>
      </c>
      <c r="J4987" s="42">
        <f>IF(AND(ISNUMBER(F4987),ISNUMBER(H4987),F4987&gt;=Inputs!$C$68),F4987*H4987*Inputs!$C$69,"")</f>
      </c>
    </row>
    <row r="4988" spans="2:10" ht="15" customHeight="1" x14ac:dyDescent="0.2">
      <c r="B4988" s="39">
        <f t="shared" si="38"/>
      </c>
      <c r="C4988" s="40">
        <f>IF(Inputs!$C$60,Inputs!$C$11+(B4988-Inputs!$C$69)/Inputs!$C$70,"")</f>
      </c>
      <c r="D4988" s="15"/>
      <c r="E4988" s="15"/>
      <c r="F4988" s="11">
        <f t="shared" si="39"/>
      </c>
      <c r="G4988" s="22" cm="1">
        <f t="array" ref="G4988">IF(AND(Inputs!$C$60,Inputs!$C$61),INDEX(Utility_Rates!$C$29:$F$52,HOUR(C4988)+Inputs!$C$69,MATCH(INDEX(Utility_Rates!$K$6:$K$17,MONTH(C4988))&amp;IF(WEEKDAY(C4988,Inputs!$C$76)&lt;=Inputs!$C$74," weekday"," weekend"),Utility_Rates!$C$28:$F$28,Inputs!$C$68)),"")</f>
      </c>
      <c r="H4988" s="34"/>
      <c r="I4988" s="42">
        <f>IF(AND(ISNUMBER(D4988),ISNUMBER(H4988)),D4988*H4988*Inputs!$C$69,"")</f>
      </c>
      <c r="J4988" s="42">
        <f>IF(AND(ISNUMBER(F4988),ISNUMBER(H4988),F4988&gt;=Inputs!$C$68),F4988*H4988*Inputs!$C$69,"")</f>
      </c>
    </row>
    <row r="4989" spans="2:10" ht="15" customHeight="1" x14ac:dyDescent="0.2">
      <c r="B4989" s="39">
        <f t="shared" si="38"/>
      </c>
      <c r="C4989" s="40">
        <f>IF(Inputs!$C$60,Inputs!$C$11+(B4989-Inputs!$C$69)/Inputs!$C$70,"")</f>
      </c>
      <c r="D4989" s="15"/>
      <c r="E4989" s="15"/>
      <c r="F4989" s="11">
        <f t="shared" si="39"/>
      </c>
      <c r="G4989" s="22" cm="1">
        <f t="array" ref="G4989">IF(AND(Inputs!$C$60,Inputs!$C$61),INDEX(Utility_Rates!$C$29:$F$52,HOUR(C4989)+Inputs!$C$69,MATCH(INDEX(Utility_Rates!$K$6:$K$17,MONTH(C4989))&amp;IF(WEEKDAY(C4989,Inputs!$C$76)&lt;=Inputs!$C$74," weekday"," weekend"),Utility_Rates!$C$28:$F$28,Inputs!$C$68)),"")</f>
      </c>
      <c r="H4989" s="34"/>
      <c r="I4989" s="42">
        <f>IF(AND(ISNUMBER(D4989),ISNUMBER(H4989)),D4989*H4989*Inputs!$C$69,"")</f>
      </c>
      <c r="J4989" s="42">
        <f>IF(AND(ISNUMBER(F4989),ISNUMBER(H4989),F4989&gt;=Inputs!$C$68),F4989*H4989*Inputs!$C$69,"")</f>
      </c>
    </row>
    <row r="4990" spans="2:10" ht="15" customHeight="1" x14ac:dyDescent="0.2">
      <c r="B4990" s="39">
        <f t="shared" si="38"/>
      </c>
      <c r="C4990" s="40">
        <f>IF(Inputs!$C$60,Inputs!$C$11+(B4990-Inputs!$C$69)/Inputs!$C$70,"")</f>
      </c>
      <c r="D4990" s="15"/>
      <c r="E4990" s="15"/>
      <c r="F4990" s="11">
        <f t="shared" si="39"/>
      </c>
      <c r="G4990" s="22" cm="1">
        <f t="array" ref="G4990">IF(AND(Inputs!$C$60,Inputs!$C$61),INDEX(Utility_Rates!$C$29:$F$52,HOUR(C4990)+Inputs!$C$69,MATCH(INDEX(Utility_Rates!$K$6:$K$17,MONTH(C4990))&amp;IF(WEEKDAY(C4990,Inputs!$C$76)&lt;=Inputs!$C$74," weekday"," weekend"),Utility_Rates!$C$28:$F$28,Inputs!$C$68)),"")</f>
      </c>
      <c r="H4990" s="34"/>
      <c r="I4990" s="42">
        <f>IF(AND(ISNUMBER(D4990),ISNUMBER(H4990)),D4990*H4990*Inputs!$C$69,"")</f>
      </c>
      <c r="J4990" s="42">
        <f>IF(AND(ISNUMBER(F4990),ISNUMBER(H4990),F4990&gt;=Inputs!$C$68),F4990*H4990*Inputs!$C$69,"")</f>
      </c>
    </row>
    <row r="4991" spans="2:10" ht="15" customHeight="1" x14ac:dyDescent="0.2">
      <c r="B4991" s="39">
        <f t="shared" si="38"/>
      </c>
      <c r="C4991" s="40">
        <f>IF(Inputs!$C$60,Inputs!$C$11+(B4991-Inputs!$C$69)/Inputs!$C$70,"")</f>
      </c>
      <c r="D4991" s="15"/>
      <c r="E4991" s="15"/>
      <c r="F4991" s="11">
        <f t="shared" si="39"/>
      </c>
      <c r="G4991" s="22" cm="1">
        <f t="array" ref="G4991">IF(AND(Inputs!$C$60,Inputs!$C$61),INDEX(Utility_Rates!$C$29:$F$52,HOUR(C4991)+Inputs!$C$69,MATCH(INDEX(Utility_Rates!$K$6:$K$17,MONTH(C4991))&amp;IF(WEEKDAY(C4991,Inputs!$C$76)&lt;=Inputs!$C$74," weekday"," weekend"),Utility_Rates!$C$28:$F$28,Inputs!$C$68)),"")</f>
      </c>
      <c r="H4991" s="34"/>
      <c r="I4991" s="42">
        <f>IF(AND(ISNUMBER(D4991),ISNUMBER(H4991)),D4991*H4991*Inputs!$C$69,"")</f>
      </c>
      <c r="J4991" s="42">
        <f>IF(AND(ISNUMBER(F4991),ISNUMBER(H4991),F4991&gt;=Inputs!$C$68),F4991*H4991*Inputs!$C$69,"")</f>
      </c>
    </row>
    <row r="4992" spans="2:10" ht="15" customHeight="1" x14ac:dyDescent="0.2">
      <c r="B4992" s="39">
        <f t="shared" si="38"/>
      </c>
      <c r="C4992" s="40">
        <f>IF(Inputs!$C$60,Inputs!$C$11+(B4992-Inputs!$C$69)/Inputs!$C$70,"")</f>
      </c>
      <c r="D4992" s="15"/>
      <c r="E4992" s="15"/>
      <c r="F4992" s="11">
        <f t="shared" si="39"/>
      </c>
      <c r="G4992" s="22" cm="1">
        <f t="array" ref="G4992">IF(AND(Inputs!$C$60,Inputs!$C$61),INDEX(Utility_Rates!$C$29:$F$52,HOUR(C4992)+Inputs!$C$69,MATCH(INDEX(Utility_Rates!$K$6:$K$17,MONTH(C4992))&amp;IF(WEEKDAY(C4992,Inputs!$C$76)&lt;=Inputs!$C$74," weekday"," weekend"),Utility_Rates!$C$28:$F$28,Inputs!$C$68)),"")</f>
      </c>
      <c r="H4992" s="34"/>
      <c r="I4992" s="42">
        <f>IF(AND(ISNUMBER(D4992),ISNUMBER(H4992)),D4992*H4992*Inputs!$C$69,"")</f>
      </c>
      <c r="J4992" s="42">
        <f>IF(AND(ISNUMBER(F4992),ISNUMBER(H4992),F4992&gt;=Inputs!$C$68),F4992*H4992*Inputs!$C$69,"")</f>
      </c>
    </row>
    <row r="4993" spans="2:10" ht="15" customHeight="1" x14ac:dyDescent="0.2">
      <c r="B4993" s="39">
        <f t="shared" si="38"/>
      </c>
      <c r="C4993" s="40">
        <f>IF(Inputs!$C$60,Inputs!$C$11+(B4993-Inputs!$C$69)/Inputs!$C$70,"")</f>
      </c>
      <c r="D4993" s="15"/>
      <c r="E4993" s="15"/>
      <c r="F4993" s="11">
        <f t="shared" si="39"/>
      </c>
      <c r="G4993" s="22" cm="1">
        <f t="array" ref="G4993">IF(AND(Inputs!$C$60,Inputs!$C$61),INDEX(Utility_Rates!$C$29:$F$52,HOUR(C4993)+Inputs!$C$69,MATCH(INDEX(Utility_Rates!$K$6:$K$17,MONTH(C4993))&amp;IF(WEEKDAY(C4993,Inputs!$C$76)&lt;=Inputs!$C$74," weekday"," weekend"),Utility_Rates!$C$28:$F$28,Inputs!$C$68)),"")</f>
      </c>
      <c r="H4993" s="34"/>
      <c r="I4993" s="42">
        <f>IF(AND(ISNUMBER(D4993),ISNUMBER(H4993)),D4993*H4993*Inputs!$C$69,"")</f>
      </c>
      <c r="J4993" s="42">
        <f>IF(AND(ISNUMBER(F4993),ISNUMBER(H4993),F4993&gt;=Inputs!$C$68),F4993*H4993*Inputs!$C$69,"")</f>
      </c>
    </row>
    <row r="4994" spans="2:10" ht="15" customHeight="1" x14ac:dyDescent="0.2">
      <c r="B4994" s="39">
        <f t="shared" si="38"/>
      </c>
      <c r="C4994" s="40">
        <f>IF(Inputs!$C$60,Inputs!$C$11+(B4994-Inputs!$C$69)/Inputs!$C$70,"")</f>
      </c>
      <c r="D4994" s="15"/>
      <c r="E4994" s="15"/>
      <c r="F4994" s="11">
        <f t="shared" si="39"/>
      </c>
      <c r="G4994" s="22" cm="1">
        <f t="array" ref="G4994">IF(AND(Inputs!$C$60,Inputs!$C$61),INDEX(Utility_Rates!$C$29:$F$52,HOUR(C4994)+Inputs!$C$69,MATCH(INDEX(Utility_Rates!$K$6:$K$17,MONTH(C4994))&amp;IF(WEEKDAY(C4994,Inputs!$C$76)&lt;=Inputs!$C$74," weekday"," weekend"),Utility_Rates!$C$28:$F$28,Inputs!$C$68)),"")</f>
      </c>
      <c r="H4994" s="34"/>
      <c r="I4994" s="42">
        <f>IF(AND(ISNUMBER(D4994),ISNUMBER(H4994)),D4994*H4994*Inputs!$C$69,"")</f>
      </c>
      <c r="J4994" s="42">
        <f>IF(AND(ISNUMBER(F4994),ISNUMBER(H4994),F4994&gt;=Inputs!$C$68),F4994*H4994*Inputs!$C$69,"")</f>
      </c>
    </row>
    <row r="4995" spans="2:10" ht="15" customHeight="1" x14ac:dyDescent="0.2">
      <c r="B4995" s="39">
        <f t="shared" si="38"/>
      </c>
      <c r="C4995" s="40">
        <f>IF(Inputs!$C$60,Inputs!$C$11+(B4995-Inputs!$C$69)/Inputs!$C$70,"")</f>
      </c>
      <c r="D4995" s="15"/>
      <c r="E4995" s="15"/>
      <c r="F4995" s="11">
        <f t="shared" si="39"/>
      </c>
      <c r="G4995" s="22" cm="1">
        <f t="array" ref="G4995">IF(AND(Inputs!$C$60,Inputs!$C$61),INDEX(Utility_Rates!$C$29:$F$52,HOUR(C4995)+Inputs!$C$69,MATCH(INDEX(Utility_Rates!$K$6:$K$17,MONTH(C4995))&amp;IF(WEEKDAY(C4995,Inputs!$C$76)&lt;=Inputs!$C$74," weekday"," weekend"),Utility_Rates!$C$28:$F$28,Inputs!$C$68)),"")</f>
      </c>
      <c r="H4995" s="34"/>
      <c r="I4995" s="42">
        <f>IF(AND(ISNUMBER(D4995),ISNUMBER(H4995)),D4995*H4995*Inputs!$C$69,"")</f>
      </c>
      <c r="J4995" s="42">
        <f>IF(AND(ISNUMBER(F4995),ISNUMBER(H4995),F4995&gt;=Inputs!$C$68),F4995*H4995*Inputs!$C$69,"")</f>
      </c>
    </row>
    <row r="4996" spans="2:10" ht="15" customHeight="1" x14ac:dyDescent="0.2">
      <c r="B4996" s="39">
        <f t="shared" si="38"/>
      </c>
      <c r="C4996" s="40">
        <f>IF(Inputs!$C$60,Inputs!$C$11+(B4996-Inputs!$C$69)/Inputs!$C$70,"")</f>
      </c>
      <c r="D4996" s="15"/>
      <c r="E4996" s="15"/>
      <c r="F4996" s="11">
        <f t="shared" si="39"/>
      </c>
      <c r="G4996" s="22" cm="1">
        <f t="array" ref="G4996">IF(AND(Inputs!$C$60,Inputs!$C$61),INDEX(Utility_Rates!$C$29:$F$52,HOUR(C4996)+Inputs!$C$69,MATCH(INDEX(Utility_Rates!$K$6:$K$17,MONTH(C4996))&amp;IF(WEEKDAY(C4996,Inputs!$C$76)&lt;=Inputs!$C$74," weekday"," weekend"),Utility_Rates!$C$28:$F$28,Inputs!$C$68)),"")</f>
      </c>
      <c r="H4996" s="34"/>
      <c r="I4996" s="42">
        <f>IF(AND(ISNUMBER(D4996),ISNUMBER(H4996)),D4996*H4996*Inputs!$C$69,"")</f>
      </c>
      <c r="J4996" s="42">
        <f>IF(AND(ISNUMBER(F4996),ISNUMBER(H4996),F4996&gt;=Inputs!$C$68),F4996*H4996*Inputs!$C$69,"")</f>
      </c>
    </row>
    <row r="4997" spans="2:10" ht="15" customHeight="1" x14ac:dyDescent="0.2">
      <c r="B4997" s="39">
        <f t="shared" si="38"/>
      </c>
      <c r="C4997" s="40">
        <f>IF(Inputs!$C$60,Inputs!$C$11+(B4997-Inputs!$C$69)/Inputs!$C$70,"")</f>
      </c>
      <c r="D4997" s="15"/>
      <c r="E4997" s="15"/>
      <c r="F4997" s="11">
        <f t="shared" si="39"/>
      </c>
      <c r="G4997" s="22" cm="1">
        <f t="array" ref="G4997">IF(AND(Inputs!$C$60,Inputs!$C$61),INDEX(Utility_Rates!$C$29:$F$52,HOUR(C4997)+Inputs!$C$69,MATCH(INDEX(Utility_Rates!$K$6:$K$17,MONTH(C4997))&amp;IF(WEEKDAY(C4997,Inputs!$C$76)&lt;=Inputs!$C$74," weekday"," weekend"),Utility_Rates!$C$28:$F$28,Inputs!$C$68)),"")</f>
      </c>
      <c r="H4997" s="34"/>
      <c r="I4997" s="42">
        <f>IF(AND(ISNUMBER(D4997),ISNUMBER(H4997)),D4997*H4997*Inputs!$C$69,"")</f>
      </c>
      <c r="J4997" s="42">
        <f>IF(AND(ISNUMBER(F4997),ISNUMBER(H4997),F4997&gt;=Inputs!$C$68),F4997*H4997*Inputs!$C$69,"")</f>
      </c>
    </row>
    <row r="4998" spans="2:10" ht="15" customHeight="1" x14ac:dyDescent="0.2">
      <c r="B4998" s="39">
        <f t="shared" si="38"/>
      </c>
      <c r="C4998" s="40">
        <f>IF(Inputs!$C$60,Inputs!$C$11+(B4998-Inputs!$C$69)/Inputs!$C$70,"")</f>
      </c>
      <c r="D4998" s="15"/>
      <c r="E4998" s="15"/>
      <c r="F4998" s="11">
        <f t="shared" si="39"/>
      </c>
      <c r="G4998" s="22" cm="1">
        <f t="array" ref="G4998">IF(AND(Inputs!$C$60,Inputs!$C$61),INDEX(Utility_Rates!$C$29:$F$52,HOUR(C4998)+Inputs!$C$69,MATCH(INDEX(Utility_Rates!$K$6:$K$17,MONTH(C4998))&amp;IF(WEEKDAY(C4998,Inputs!$C$76)&lt;=Inputs!$C$74," weekday"," weekend"),Utility_Rates!$C$28:$F$28,Inputs!$C$68)),"")</f>
      </c>
      <c r="H4998" s="34"/>
      <c r="I4998" s="42">
        <f>IF(AND(ISNUMBER(D4998),ISNUMBER(H4998)),D4998*H4998*Inputs!$C$69,"")</f>
      </c>
      <c r="J4998" s="42">
        <f>IF(AND(ISNUMBER(F4998),ISNUMBER(H4998),F4998&gt;=Inputs!$C$68),F4998*H4998*Inputs!$C$69,"")</f>
      </c>
    </row>
    <row r="4999" spans="2:10" ht="15" customHeight="1" x14ac:dyDescent="0.2">
      <c r="B4999" s="39">
        <f t="shared" si="38"/>
      </c>
      <c r="C4999" s="40">
        <f>IF(Inputs!$C$60,Inputs!$C$11+(B4999-Inputs!$C$69)/Inputs!$C$70,"")</f>
      </c>
      <c r="D4999" s="15"/>
      <c r="E4999" s="15"/>
      <c r="F4999" s="11">
        <f t="shared" si="39"/>
      </c>
      <c r="G4999" s="22" cm="1">
        <f t="array" ref="G4999">IF(AND(Inputs!$C$60,Inputs!$C$61),INDEX(Utility_Rates!$C$29:$F$52,HOUR(C4999)+Inputs!$C$69,MATCH(INDEX(Utility_Rates!$K$6:$K$17,MONTH(C4999))&amp;IF(WEEKDAY(C4999,Inputs!$C$76)&lt;=Inputs!$C$74," weekday"," weekend"),Utility_Rates!$C$28:$F$28,Inputs!$C$68)),"")</f>
      </c>
      <c r="H4999" s="34"/>
      <c r="I4999" s="42">
        <f>IF(AND(ISNUMBER(D4999),ISNUMBER(H4999)),D4999*H4999*Inputs!$C$69,"")</f>
      </c>
      <c r="J4999" s="42">
        <f>IF(AND(ISNUMBER(F4999),ISNUMBER(H4999),F4999&gt;=Inputs!$C$68),F4999*H4999*Inputs!$C$69,"")</f>
      </c>
    </row>
    <row r="5000" spans="2:10" ht="15" customHeight="1" x14ac:dyDescent="0.2">
      <c r="B5000" s="39">
        <f t="shared" si="38"/>
      </c>
      <c r="C5000" s="40">
        <f>IF(Inputs!$C$60,Inputs!$C$11+(B5000-Inputs!$C$69)/Inputs!$C$70,"")</f>
      </c>
      <c r="D5000" s="15"/>
      <c r="E5000" s="15"/>
      <c r="F5000" s="11">
        <f t="shared" si="39"/>
      </c>
      <c r="G5000" s="22" cm="1">
        <f t="array" ref="G5000">IF(AND(Inputs!$C$60,Inputs!$C$61),INDEX(Utility_Rates!$C$29:$F$52,HOUR(C5000)+Inputs!$C$69,MATCH(INDEX(Utility_Rates!$K$6:$K$17,MONTH(C5000))&amp;IF(WEEKDAY(C5000,Inputs!$C$76)&lt;=Inputs!$C$74," weekday"," weekend"),Utility_Rates!$C$28:$F$28,Inputs!$C$68)),"")</f>
      </c>
      <c r="H5000" s="34"/>
      <c r="I5000" s="42">
        <f>IF(AND(ISNUMBER(D5000),ISNUMBER(H5000)),D5000*H5000*Inputs!$C$69,"")</f>
      </c>
      <c r="J5000" s="42">
        <f>IF(AND(ISNUMBER(F5000),ISNUMBER(H5000),F5000&gt;=Inputs!$C$68),F5000*H5000*Inputs!$C$69,"")</f>
      </c>
    </row>
    <row r="5001" spans="2:10" ht="15" customHeight="1" x14ac:dyDescent="0.2">
      <c r="B5001" s="39">
        <f t="shared" si="38"/>
      </c>
      <c r="C5001" s="40">
        <f>IF(Inputs!$C$60,Inputs!$C$11+(B5001-Inputs!$C$69)/Inputs!$C$70,"")</f>
      </c>
      <c r="D5001" s="15"/>
      <c r="E5001" s="15"/>
      <c r="F5001" s="11">
        <f t="shared" si="39"/>
      </c>
      <c r="G5001" s="22" cm="1">
        <f t="array" ref="G5001">IF(AND(Inputs!$C$60,Inputs!$C$61),INDEX(Utility_Rates!$C$29:$F$52,HOUR(C5001)+Inputs!$C$69,MATCH(INDEX(Utility_Rates!$K$6:$K$17,MONTH(C5001))&amp;IF(WEEKDAY(C5001,Inputs!$C$76)&lt;=Inputs!$C$74," weekday"," weekend"),Utility_Rates!$C$28:$F$28,Inputs!$C$68)),"")</f>
      </c>
      <c r="H5001" s="34"/>
      <c r="I5001" s="42">
        <f>IF(AND(ISNUMBER(D5001),ISNUMBER(H5001)),D5001*H5001*Inputs!$C$69,"")</f>
      </c>
      <c r="J5001" s="42">
        <f>IF(AND(ISNUMBER(F5001),ISNUMBER(H5001),F5001&gt;=Inputs!$C$68),F5001*H5001*Inputs!$C$69,"")</f>
      </c>
    </row>
    <row r="5002" spans="2:10" ht="15" customHeight="1" x14ac:dyDescent="0.2">
      <c r="B5002" s="39">
        <f t="shared" si="38"/>
      </c>
      <c r="C5002" s="40">
        <f>IF(Inputs!$C$60,Inputs!$C$11+(B5002-Inputs!$C$69)/Inputs!$C$70,"")</f>
      </c>
      <c r="D5002" s="15"/>
      <c r="E5002" s="15"/>
      <c r="F5002" s="11">
        <f t="shared" si="39"/>
      </c>
      <c r="G5002" s="22" cm="1">
        <f t="array" ref="G5002">IF(AND(Inputs!$C$60,Inputs!$C$61),INDEX(Utility_Rates!$C$29:$F$52,HOUR(C5002)+Inputs!$C$69,MATCH(INDEX(Utility_Rates!$K$6:$K$17,MONTH(C5002))&amp;IF(WEEKDAY(C5002,Inputs!$C$76)&lt;=Inputs!$C$74," weekday"," weekend"),Utility_Rates!$C$28:$F$28,Inputs!$C$68)),"")</f>
      </c>
      <c r="H5002" s="34"/>
      <c r="I5002" s="42">
        <f>IF(AND(ISNUMBER(D5002),ISNUMBER(H5002)),D5002*H5002*Inputs!$C$69,"")</f>
      </c>
      <c r="J5002" s="42">
        <f>IF(AND(ISNUMBER(F5002),ISNUMBER(H5002),F5002&gt;=Inputs!$C$68),F5002*H5002*Inputs!$C$69,"")</f>
      </c>
    </row>
    <row r="5003" spans="2:10" ht="15" customHeight="1" x14ac:dyDescent="0.2">
      <c r="B5003" s="39">
        <f t="shared" si="38"/>
      </c>
      <c r="C5003" s="40">
        <f>IF(Inputs!$C$60,Inputs!$C$11+(B5003-Inputs!$C$69)/Inputs!$C$70,"")</f>
      </c>
      <c r="D5003" s="15"/>
      <c r="E5003" s="15"/>
      <c r="F5003" s="11">
        <f t="shared" si="39"/>
      </c>
      <c r="G5003" s="22" cm="1">
        <f t="array" ref="G5003">IF(AND(Inputs!$C$60,Inputs!$C$61),INDEX(Utility_Rates!$C$29:$F$52,HOUR(C5003)+Inputs!$C$69,MATCH(INDEX(Utility_Rates!$K$6:$K$17,MONTH(C5003))&amp;IF(WEEKDAY(C5003,Inputs!$C$76)&lt;=Inputs!$C$74," weekday"," weekend"),Utility_Rates!$C$28:$F$28,Inputs!$C$68)),"")</f>
      </c>
      <c r="H5003" s="34"/>
      <c r="I5003" s="42">
        <f>IF(AND(ISNUMBER(D5003),ISNUMBER(H5003)),D5003*H5003*Inputs!$C$69,"")</f>
      </c>
      <c r="J5003" s="42">
        <f>IF(AND(ISNUMBER(F5003),ISNUMBER(H5003),F5003&gt;=Inputs!$C$68),F5003*H5003*Inputs!$C$69,"")</f>
      </c>
    </row>
    <row r="5004" spans="2:10" ht="15" customHeight="1" x14ac:dyDescent="0.2">
      <c r="B5004" s="39">
        <f t="shared" si="38"/>
      </c>
      <c r="C5004" s="40">
        <f>IF(Inputs!$C$60,Inputs!$C$11+(B5004-Inputs!$C$69)/Inputs!$C$70,"")</f>
      </c>
      <c r="D5004" s="15"/>
      <c r="E5004" s="15"/>
      <c r="F5004" s="11">
        <f t="shared" si="39"/>
      </c>
      <c r="G5004" s="22" cm="1">
        <f t="array" ref="G5004">IF(AND(Inputs!$C$60,Inputs!$C$61),INDEX(Utility_Rates!$C$29:$F$52,HOUR(C5004)+Inputs!$C$69,MATCH(INDEX(Utility_Rates!$K$6:$K$17,MONTH(C5004))&amp;IF(WEEKDAY(C5004,Inputs!$C$76)&lt;=Inputs!$C$74," weekday"," weekend"),Utility_Rates!$C$28:$F$28,Inputs!$C$68)),"")</f>
      </c>
      <c r="H5004" s="34"/>
      <c r="I5004" s="42">
        <f>IF(AND(ISNUMBER(D5004),ISNUMBER(H5004)),D5004*H5004*Inputs!$C$69,"")</f>
      </c>
      <c r="J5004" s="42">
        <f>IF(AND(ISNUMBER(F5004),ISNUMBER(H5004),F5004&gt;=Inputs!$C$68),F5004*H5004*Inputs!$C$69,"")</f>
      </c>
    </row>
    <row r="5005" spans="2:10" ht="15" customHeight="1" x14ac:dyDescent="0.2">
      <c r="B5005" s="39">
        <f t="shared" si="38"/>
      </c>
      <c r="C5005" s="40">
        <f>IF(Inputs!$C$60,Inputs!$C$11+(B5005-Inputs!$C$69)/Inputs!$C$70,"")</f>
      </c>
      <c r="D5005" s="15"/>
      <c r="E5005" s="15"/>
      <c r="F5005" s="11">
        <f t="shared" si="39"/>
      </c>
      <c r="G5005" s="22" cm="1">
        <f t="array" ref="G5005">IF(AND(Inputs!$C$60,Inputs!$C$61),INDEX(Utility_Rates!$C$29:$F$52,HOUR(C5005)+Inputs!$C$69,MATCH(INDEX(Utility_Rates!$K$6:$K$17,MONTH(C5005))&amp;IF(WEEKDAY(C5005,Inputs!$C$76)&lt;=Inputs!$C$74," weekday"," weekend"),Utility_Rates!$C$28:$F$28,Inputs!$C$68)),"")</f>
      </c>
      <c r="H5005" s="34"/>
      <c r="I5005" s="42">
        <f>IF(AND(ISNUMBER(D5005),ISNUMBER(H5005)),D5005*H5005*Inputs!$C$69,"")</f>
      </c>
      <c r="J5005" s="42">
        <f>IF(AND(ISNUMBER(F5005),ISNUMBER(H5005),F5005&gt;=Inputs!$C$68),F5005*H5005*Inputs!$C$69,"")</f>
      </c>
    </row>
    <row r="5006" spans="2:10" ht="15" customHeight="1" x14ac:dyDescent="0.2">
      <c r="B5006" s="39">
        <f t="shared" si="38"/>
      </c>
      <c r="C5006" s="40">
        <f>IF(Inputs!$C$60,Inputs!$C$11+(B5006-Inputs!$C$69)/Inputs!$C$70,"")</f>
      </c>
      <c r="D5006" s="15"/>
      <c r="E5006" s="15"/>
      <c r="F5006" s="11">
        <f t="shared" si="39"/>
      </c>
      <c r="G5006" s="22" cm="1">
        <f t="array" ref="G5006">IF(AND(Inputs!$C$60,Inputs!$C$61),INDEX(Utility_Rates!$C$29:$F$52,HOUR(C5006)+Inputs!$C$69,MATCH(INDEX(Utility_Rates!$K$6:$K$17,MONTH(C5006))&amp;IF(WEEKDAY(C5006,Inputs!$C$76)&lt;=Inputs!$C$74," weekday"," weekend"),Utility_Rates!$C$28:$F$28,Inputs!$C$68)),"")</f>
      </c>
      <c r="H5006" s="34"/>
      <c r="I5006" s="42">
        <f>IF(AND(ISNUMBER(D5006),ISNUMBER(H5006)),D5006*H5006*Inputs!$C$69,"")</f>
      </c>
      <c r="J5006" s="42">
        <f>IF(AND(ISNUMBER(F5006),ISNUMBER(H5006),F5006&gt;=Inputs!$C$68),F5006*H5006*Inputs!$C$69,"")</f>
      </c>
    </row>
    <row r="5007" spans="2:10" ht="15" customHeight="1" x14ac:dyDescent="0.2">
      <c r="B5007" s="39">
        <f t="shared" si="38"/>
      </c>
      <c r="C5007" s="40">
        <f>IF(Inputs!$C$60,Inputs!$C$11+(B5007-Inputs!$C$69)/Inputs!$C$70,"")</f>
      </c>
      <c r="D5007" s="15"/>
      <c r="E5007" s="15"/>
      <c r="F5007" s="11">
        <f t="shared" si="39"/>
      </c>
      <c r="G5007" s="22" cm="1">
        <f t="array" ref="G5007">IF(AND(Inputs!$C$60,Inputs!$C$61),INDEX(Utility_Rates!$C$29:$F$52,HOUR(C5007)+Inputs!$C$69,MATCH(INDEX(Utility_Rates!$K$6:$K$17,MONTH(C5007))&amp;IF(WEEKDAY(C5007,Inputs!$C$76)&lt;=Inputs!$C$74," weekday"," weekend"),Utility_Rates!$C$28:$F$28,Inputs!$C$68)),"")</f>
      </c>
      <c r="H5007" s="34"/>
      <c r="I5007" s="42">
        <f>IF(AND(ISNUMBER(D5007),ISNUMBER(H5007)),D5007*H5007*Inputs!$C$69,"")</f>
      </c>
      <c r="J5007" s="42">
        <f>IF(AND(ISNUMBER(F5007),ISNUMBER(H5007),F5007&gt;=Inputs!$C$68),F5007*H5007*Inputs!$C$69,"")</f>
      </c>
    </row>
    <row r="5008" spans="2:10" ht="15" customHeight="1" x14ac:dyDescent="0.2">
      <c r="B5008" s="39">
        <f t="shared" si="38"/>
      </c>
      <c r="C5008" s="40">
        <f>IF(Inputs!$C$60,Inputs!$C$11+(B5008-Inputs!$C$69)/Inputs!$C$70,"")</f>
      </c>
      <c r="D5008" s="15"/>
      <c r="E5008" s="15"/>
      <c r="F5008" s="11">
        <f t="shared" si="39"/>
      </c>
      <c r="G5008" s="22" cm="1">
        <f t="array" ref="G5008">IF(AND(Inputs!$C$60,Inputs!$C$61),INDEX(Utility_Rates!$C$29:$F$52,HOUR(C5008)+Inputs!$C$69,MATCH(INDEX(Utility_Rates!$K$6:$K$17,MONTH(C5008))&amp;IF(WEEKDAY(C5008,Inputs!$C$76)&lt;=Inputs!$C$74," weekday"," weekend"),Utility_Rates!$C$28:$F$28,Inputs!$C$68)),"")</f>
      </c>
      <c r="H5008" s="34"/>
      <c r="I5008" s="42">
        <f>IF(AND(ISNUMBER(D5008),ISNUMBER(H5008)),D5008*H5008*Inputs!$C$69,"")</f>
      </c>
      <c r="J5008" s="42">
        <f>IF(AND(ISNUMBER(F5008),ISNUMBER(H5008),F5008&gt;=Inputs!$C$68),F5008*H5008*Inputs!$C$69,"")</f>
      </c>
    </row>
    <row r="5009" spans="2:10" ht="15" customHeight="1" x14ac:dyDescent="0.2">
      <c r="B5009" s="39">
        <f t="shared" si="38"/>
      </c>
      <c r="C5009" s="40">
        <f>IF(Inputs!$C$60,Inputs!$C$11+(B5009-Inputs!$C$69)/Inputs!$C$70,"")</f>
      </c>
      <c r="D5009" s="15"/>
      <c r="E5009" s="15"/>
      <c r="F5009" s="11">
        <f t="shared" si="39"/>
      </c>
      <c r="G5009" s="22" cm="1">
        <f t="array" ref="G5009">IF(AND(Inputs!$C$60,Inputs!$C$61),INDEX(Utility_Rates!$C$29:$F$52,HOUR(C5009)+Inputs!$C$69,MATCH(INDEX(Utility_Rates!$K$6:$K$17,MONTH(C5009))&amp;IF(WEEKDAY(C5009,Inputs!$C$76)&lt;=Inputs!$C$74," weekday"," weekend"),Utility_Rates!$C$28:$F$28,Inputs!$C$68)),"")</f>
      </c>
      <c r="H5009" s="34"/>
      <c r="I5009" s="42">
        <f>IF(AND(ISNUMBER(D5009),ISNUMBER(H5009)),D5009*H5009*Inputs!$C$69,"")</f>
      </c>
      <c r="J5009" s="42">
        <f>IF(AND(ISNUMBER(F5009),ISNUMBER(H5009),F5009&gt;=Inputs!$C$68),F5009*H5009*Inputs!$C$69,"")</f>
      </c>
    </row>
    <row r="5010" spans="2:10" ht="15" customHeight="1" x14ac:dyDescent="0.2">
      <c r="B5010" s="39">
        <f t="shared" si="38"/>
      </c>
      <c r="C5010" s="40">
        <f>IF(Inputs!$C$60,Inputs!$C$11+(B5010-Inputs!$C$69)/Inputs!$C$70,"")</f>
      </c>
      <c r="D5010" s="15"/>
      <c r="E5010" s="15"/>
      <c r="F5010" s="11">
        <f t="shared" si="39"/>
      </c>
      <c r="G5010" s="22" cm="1">
        <f t="array" ref="G5010">IF(AND(Inputs!$C$60,Inputs!$C$61),INDEX(Utility_Rates!$C$29:$F$52,HOUR(C5010)+Inputs!$C$69,MATCH(INDEX(Utility_Rates!$K$6:$K$17,MONTH(C5010))&amp;IF(WEEKDAY(C5010,Inputs!$C$76)&lt;=Inputs!$C$74," weekday"," weekend"),Utility_Rates!$C$28:$F$28,Inputs!$C$68)),"")</f>
      </c>
      <c r="H5010" s="34"/>
      <c r="I5010" s="42">
        <f>IF(AND(ISNUMBER(D5010),ISNUMBER(H5010)),D5010*H5010*Inputs!$C$69,"")</f>
      </c>
      <c r="J5010" s="42">
        <f>IF(AND(ISNUMBER(F5010),ISNUMBER(H5010),F5010&gt;=Inputs!$C$68),F5010*H5010*Inputs!$C$69,"")</f>
      </c>
    </row>
    <row r="5011" spans="2:10" ht="15" customHeight="1" x14ac:dyDescent="0.2">
      <c r="B5011" s="39">
        <f t="shared" si="38"/>
      </c>
      <c r="C5011" s="40">
        <f>IF(Inputs!$C$60,Inputs!$C$11+(B5011-Inputs!$C$69)/Inputs!$C$70,"")</f>
      </c>
      <c r="D5011" s="15"/>
      <c r="E5011" s="15"/>
      <c r="F5011" s="11">
        <f t="shared" si="39"/>
      </c>
      <c r="G5011" s="22" cm="1">
        <f t="array" ref="G5011">IF(AND(Inputs!$C$60,Inputs!$C$61),INDEX(Utility_Rates!$C$29:$F$52,HOUR(C5011)+Inputs!$C$69,MATCH(INDEX(Utility_Rates!$K$6:$K$17,MONTH(C5011))&amp;IF(WEEKDAY(C5011,Inputs!$C$76)&lt;=Inputs!$C$74," weekday"," weekend"),Utility_Rates!$C$28:$F$28,Inputs!$C$68)),"")</f>
      </c>
      <c r="H5011" s="34"/>
      <c r="I5011" s="42">
        <f>IF(AND(ISNUMBER(D5011),ISNUMBER(H5011)),D5011*H5011*Inputs!$C$69,"")</f>
      </c>
      <c r="J5011" s="42">
        <f>IF(AND(ISNUMBER(F5011),ISNUMBER(H5011),F5011&gt;=Inputs!$C$68),F5011*H5011*Inputs!$C$69,"")</f>
      </c>
    </row>
    <row r="5012" spans="2:10" ht="15" customHeight="1" x14ac:dyDescent="0.2">
      <c r="B5012" s="39">
        <f t="shared" si="38"/>
      </c>
      <c r="C5012" s="40">
        <f>IF(Inputs!$C$60,Inputs!$C$11+(B5012-Inputs!$C$69)/Inputs!$C$70,"")</f>
      </c>
      <c r="D5012" s="15"/>
      <c r="E5012" s="15"/>
      <c r="F5012" s="11">
        <f t="shared" si="39"/>
      </c>
      <c r="G5012" s="22" cm="1">
        <f t="array" ref="G5012">IF(AND(Inputs!$C$60,Inputs!$C$61),INDEX(Utility_Rates!$C$29:$F$52,HOUR(C5012)+Inputs!$C$69,MATCH(INDEX(Utility_Rates!$K$6:$K$17,MONTH(C5012))&amp;IF(WEEKDAY(C5012,Inputs!$C$76)&lt;=Inputs!$C$74," weekday"," weekend"),Utility_Rates!$C$28:$F$28,Inputs!$C$68)),"")</f>
      </c>
      <c r="H5012" s="34"/>
      <c r="I5012" s="42">
        <f>IF(AND(ISNUMBER(D5012),ISNUMBER(H5012)),D5012*H5012*Inputs!$C$69,"")</f>
      </c>
      <c r="J5012" s="42">
        <f>IF(AND(ISNUMBER(F5012),ISNUMBER(H5012),F5012&gt;=Inputs!$C$68),F5012*H5012*Inputs!$C$69,"")</f>
      </c>
    </row>
    <row r="5013" spans="2:10" ht="15" customHeight="1" x14ac:dyDescent="0.2">
      <c r="B5013" s="39">
        <f t="shared" si="38"/>
      </c>
      <c r="C5013" s="40">
        <f>IF(Inputs!$C$60,Inputs!$C$11+(B5013-Inputs!$C$69)/Inputs!$C$70,"")</f>
      </c>
      <c r="D5013" s="15"/>
      <c r="E5013" s="15"/>
      <c r="F5013" s="11">
        <f t="shared" si="39"/>
      </c>
      <c r="G5013" s="22" cm="1">
        <f t="array" ref="G5013">IF(AND(Inputs!$C$60,Inputs!$C$61),INDEX(Utility_Rates!$C$29:$F$52,HOUR(C5013)+Inputs!$C$69,MATCH(INDEX(Utility_Rates!$K$6:$K$17,MONTH(C5013))&amp;IF(WEEKDAY(C5013,Inputs!$C$76)&lt;=Inputs!$C$74," weekday"," weekend"),Utility_Rates!$C$28:$F$28,Inputs!$C$68)),"")</f>
      </c>
      <c r="H5013" s="34"/>
      <c r="I5013" s="42">
        <f>IF(AND(ISNUMBER(D5013),ISNUMBER(H5013)),D5013*H5013*Inputs!$C$69,"")</f>
      </c>
      <c r="J5013" s="42">
        <f>IF(AND(ISNUMBER(F5013),ISNUMBER(H5013),F5013&gt;=Inputs!$C$68),F5013*H5013*Inputs!$C$69,"")</f>
      </c>
    </row>
    <row r="5014" spans="2:10" ht="15" customHeight="1" x14ac:dyDescent="0.2">
      <c r="B5014" s="39">
        <f t="shared" si="38"/>
      </c>
      <c r="C5014" s="40">
        <f>IF(Inputs!$C$60,Inputs!$C$11+(B5014-Inputs!$C$69)/Inputs!$C$70,"")</f>
      </c>
      <c r="D5014" s="15"/>
      <c r="E5014" s="15"/>
      <c r="F5014" s="11">
        <f t="shared" si="39"/>
      </c>
      <c r="G5014" s="22" cm="1">
        <f t="array" ref="G5014">IF(AND(Inputs!$C$60,Inputs!$C$61),INDEX(Utility_Rates!$C$29:$F$52,HOUR(C5014)+Inputs!$C$69,MATCH(INDEX(Utility_Rates!$K$6:$K$17,MONTH(C5014))&amp;IF(WEEKDAY(C5014,Inputs!$C$76)&lt;=Inputs!$C$74," weekday"," weekend"),Utility_Rates!$C$28:$F$28,Inputs!$C$68)),"")</f>
      </c>
      <c r="H5014" s="34"/>
      <c r="I5014" s="42">
        <f>IF(AND(ISNUMBER(D5014),ISNUMBER(H5014)),D5014*H5014*Inputs!$C$69,"")</f>
      </c>
      <c r="J5014" s="42">
        <f>IF(AND(ISNUMBER(F5014),ISNUMBER(H5014),F5014&gt;=Inputs!$C$68),F5014*H5014*Inputs!$C$69,"")</f>
      </c>
    </row>
    <row r="5015" spans="2:10" ht="15" customHeight="1" x14ac:dyDescent="0.2">
      <c r="B5015" s="39">
        <f t="shared" si="38"/>
      </c>
      <c r="C5015" s="40">
        <f>IF(Inputs!$C$60,Inputs!$C$11+(B5015-Inputs!$C$69)/Inputs!$C$70,"")</f>
      </c>
      <c r="D5015" s="15"/>
      <c r="E5015" s="15"/>
      <c r="F5015" s="11">
        <f t="shared" si="39"/>
      </c>
      <c r="G5015" s="22" cm="1">
        <f t="array" ref="G5015">IF(AND(Inputs!$C$60,Inputs!$C$61),INDEX(Utility_Rates!$C$29:$F$52,HOUR(C5015)+Inputs!$C$69,MATCH(INDEX(Utility_Rates!$K$6:$K$17,MONTH(C5015))&amp;IF(WEEKDAY(C5015,Inputs!$C$76)&lt;=Inputs!$C$74," weekday"," weekend"),Utility_Rates!$C$28:$F$28,Inputs!$C$68)),"")</f>
      </c>
      <c r="H5015" s="34"/>
      <c r="I5015" s="42">
        <f>IF(AND(ISNUMBER(D5015),ISNUMBER(H5015)),D5015*H5015*Inputs!$C$69,"")</f>
      </c>
      <c r="J5015" s="42">
        <f>IF(AND(ISNUMBER(F5015),ISNUMBER(H5015),F5015&gt;=Inputs!$C$68),F5015*H5015*Inputs!$C$69,"")</f>
      </c>
    </row>
    <row r="5016" spans="2:10" ht="15" customHeight="1" x14ac:dyDescent="0.2">
      <c r="B5016" s="39">
        <f t="shared" si="38"/>
      </c>
      <c r="C5016" s="40">
        <f>IF(Inputs!$C$60,Inputs!$C$11+(B5016-Inputs!$C$69)/Inputs!$C$70,"")</f>
      </c>
      <c r="D5016" s="15"/>
      <c r="E5016" s="15"/>
      <c r="F5016" s="11">
        <f t="shared" si="39"/>
      </c>
      <c r="G5016" s="22" cm="1">
        <f t="array" ref="G5016">IF(AND(Inputs!$C$60,Inputs!$C$61),INDEX(Utility_Rates!$C$29:$F$52,HOUR(C5016)+Inputs!$C$69,MATCH(INDEX(Utility_Rates!$K$6:$K$17,MONTH(C5016))&amp;IF(WEEKDAY(C5016,Inputs!$C$76)&lt;=Inputs!$C$74," weekday"," weekend"),Utility_Rates!$C$28:$F$28,Inputs!$C$68)),"")</f>
      </c>
      <c r="H5016" s="34"/>
      <c r="I5016" s="42">
        <f>IF(AND(ISNUMBER(D5016),ISNUMBER(H5016)),D5016*H5016*Inputs!$C$69,"")</f>
      </c>
      <c r="J5016" s="42">
        <f>IF(AND(ISNUMBER(F5016),ISNUMBER(H5016),F5016&gt;=Inputs!$C$68),F5016*H5016*Inputs!$C$69,"")</f>
      </c>
    </row>
    <row r="5017" spans="2:10" ht="15" customHeight="1" x14ac:dyDescent="0.2">
      <c r="B5017" s="39">
        <f t="shared" si="38"/>
      </c>
      <c r="C5017" s="40">
        <f>IF(Inputs!$C$60,Inputs!$C$11+(B5017-Inputs!$C$69)/Inputs!$C$70,"")</f>
      </c>
      <c r="D5017" s="15"/>
      <c r="E5017" s="15"/>
      <c r="F5017" s="11">
        <f t="shared" si="39"/>
      </c>
      <c r="G5017" s="22" cm="1">
        <f t="array" ref="G5017">IF(AND(Inputs!$C$60,Inputs!$C$61),INDEX(Utility_Rates!$C$29:$F$52,HOUR(C5017)+Inputs!$C$69,MATCH(INDEX(Utility_Rates!$K$6:$K$17,MONTH(C5017))&amp;IF(WEEKDAY(C5017,Inputs!$C$76)&lt;=Inputs!$C$74," weekday"," weekend"),Utility_Rates!$C$28:$F$28,Inputs!$C$68)),"")</f>
      </c>
      <c r="H5017" s="34"/>
      <c r="I5017" s="42">
        <f>IF(AND(ISNUMBER(D5017),ISNUMBER(H5017)),D5017*H5017*Inputs!$C$69,"")</f>
      </c>
      <c r="J5017" s="42">
        <f>IF(AND(ISNUMBER(F5017),ISNUMBER(H5017),F5017&gt;=Inputs!$C$68),F5017*H5017*Inputs!$C$69,"")</f>
      </c>
    </row>
    <row r="5018" spans="2:10" ht="15" customHeight="1" x14ac:dyDescent="0.2">
      <c r="B5018" s="39">
        <f t="shared" si="38"/>
      </c>
      <c r="C5018" s="40">
        <f>IF(Inputs!$C$60,Inputs!$C$11+(B5018-Inputs!$C$69)/Inputs!$C$70,"")</f>
      </c>
      <c r="D5018" s="15"/>
      <c r="E5018" s="15"/>
      <c r="F5018" s="11">
        <f t="shared" si="39"/>
      </c>
      <c r="G5018" s="22" cm="1">
        <f t="array" ref="G5018">IF(AND(Inputs!$C$60,Inputs!$C$61),INDEX(Utility_Rates!$C$29:$F$52,HOUR(C5018)+Inputs!$C$69,MATCH(INDEX(Utility_Rates!$K$6:$K$17,MONTH(C5018))&amp;IF(WEEKDAY(C5018,Inputs!$C$76)&lt;=Inputs!$C$74," weekday"," weekend"),Utility_Rates!$C$28:$F$28,Inputs!$C$68)),"")</f>
      </c>
      <c r="H5018" s="34"/>
      <c r="I5018" s="42">
        <f>IF(AND(ISNUMBER(D5018),ISNUMBER(H5018)),D5018*H5018*Inputs!$C$69,"")</f>
      </c>
      <c r="J5018" s="42">
        <f>IF(AND(ISNUMBER(F5018),ISNUMBER(H5018),F5018&gt;=Inputs!$C$68),F5018*H5018*Inputs!$C$69,"")</f>
      </c>
    </row>
    <row r="5019" spans="2:10" ht="15" customHeight="1" x14ac:dyDescent="0.2">
      <c r="B5019" s="39">
        <f t="shared" si="38"/>
      </c>
      <c r="C5019" s="40">
        <f>IF(Inputs!$C$60,Inputs!$C$11+(B5019-Inputs!$C$69)/Inputs!$C$70,"")</f>
      </c>
      <c r="D5019" s="15"/>
      <c r="E5019" s="15"/>
      <c r="F5019" s="11">
        <f t="shared" si="39"/>
      </c>
      <c r="G5019" s="22" cm="1">
        <f t="array" ref="G5019">IF(AND(Inputs!$C$60,Inputs!$C$61),INDEX(Utility_Rates!$C$29:$F$52,HOUR(C5019)+Inputs!$C$69,MATCH(INDEX(Utility_Rates!$K$6:$K$17,MONTH(C5019))&amp;IF(WEEKDAY(C5019,Inputs!$C$76)&lt;=Inputs!$C$74," weekday"," weekend"),Utility_Rates!$C$28:$F$28,Inputs!$C$68)),"")</f>
      </c>
      <c r="H5019" s="34"/>
      <c r="I5019" s="42">
        <f>IF(AND(ISNUMBER(D5019),ISNUMBER(H5019)),D5019*H5019*Inputs!$C$69,"")</f>
      </c>
      <c r="J5019" s="42">
        <f>IF(AND(ISNUMBER(F5019),ISNUMBER(H5019),F5019&gt;=Inputs!$C$68),F5019*H5019*Inputs!$C$69,"")</f>
      </c>
    </row>
    <row r="5020" spans="2:10" ht="15" customHeight="1" x14ac:dyDescent="0.2">
      <c r="B5020" s="39">
        <f t="shared" si="38"/>
      </c>
      <c r="C5020" s="40">
        <f>IF(Inputs!$C$60,Inputs!$C$11+(B5020-Inputs!$C$69)/Inputs!$C$70,"")</f>
      </c>
      <c r="D5020" s="15"/>
      <c r="E5020" s="15"/>
      <c r="F5020" s="11">
        <f t="shared" si="39"/>
      </c>
      <c r="G5020" s="22" cm="1">
        <f t="array" ref="G5020">IF(AND(Inputs!$C$60,Inputs!$C$61),INDEX(Utility_Rates!$C$29:$F$52,HOUR(C5020)+Inputs!$C$69,MATCH(INDEX(Utility_Rates!$K$6:$K$17,MONTH(C5020))&amp;IF(WEEKDAY(C5020,Inputs!$C$76)&lt;=Inputs!$C$74," weekday"," weekend"),Utility_Rates!$C$28:$F$28,Inputs!$C$68)),"")</f>
      </c>
      <c r="H5020" s="34"/>
      <c r="I5020" s="42">
        <f>IF(AND(ISNUMBER(D5020),ISNUMBER(H5020)),D5020*H5020*Inputs!$C$69,"")</f>
      </c>
      <c r="J5020" s="42">
        <f>IF(AND(ISNUMBER(F5020),ISNUMBER(H5020),F5020&gt;=Inputs!$C$68),F5020*H5020*Inputs!$C$69,"")</f>
      </c>
    </row>
    <row r="5021" spans="2:10" ht="15" customHeight="1" x14ac:dyDescent="0.2">
      <c r="B5021" s="39">
        <f t="shared" si="38"/>
      </c>
      <c r="C5021" s="40">
        <f>IF(Inputs!$C$60,Inputs!$C$11+(B5021-Inputs!$C$69)/Inputs!$C$70,"")</f>
      </c>
      <c r="D5021" s="15"/>
      <c r="E5021" s="15"/>
      <c r="F5021" s="11">
        <f t="shared" si="39"/>
      </c>
      <c r="G5021" s="22" cm="1">
        <f t="array" ref="G5021">IF(AND(Inputs!$C$60,Inputs!$C$61),INDEX(Utility_Rates!$C$29:$F$52,HOUR(C5021)+Inputs!$C$69,MATCH(INDEX(Utility_Rates!$K$6:$K$17,MONTH(C5021))&amp;IF(WEEKDAY(C5021,Inputs!$C$76)&lt;=Inputs!$C$74," weekday"," weekend"),Utility_Rates!$C$28:$F$28,Inputs!$C$68)),"")</f>
      </c>
      <c r="H5021" s="34"/>
      <c r="I5021" s="42">
        <f>IF(AND(ISNUMBER(D5021),ISNUMBER(H5021)),D5021*H5021*Inputs!$C$69,"")</f>
      </c>
      <c r="J5021" s="42">
        <f>IF(AND(ISNUMBER(F5021),ISNUMBER(H5021),F5021&gt;=Inputs!$C$68),F5021*H5021*Inputs!$C$69,"")</f>
      </c>
    </row>
    <row r="5022" spans="2:10" ht="15" customHeight="1" x14ac:dyDescent="0.2">
      <c r="B5022" s="39">
        <f t="shared" si="38"/>
      </c>
      <c r="C5022" s="40">
        <f>IF(Inputs!$C$60,Inputs!$C$11+(B5022-Inputs!$C$69)/Inputs!$C$70,"")</f>
      </c>
      <c r="D5022" s="15"/>
      <c r="E5022" s="15"/>
      <c r="F5022" s="11">
        <f t="shared" si="39"/>
      </c>
      <c r="G5022" s="22" cm="1">
        <f t="array" ref="G5022">IF(AND(Inputs!$C$60,Inputs!$C$61),INDEX(Utility_Rates!$C$29:$F$52,HOUR(C5022)+Inputs!$C$69,MATCH(INDEX(Utility_Rates!$K$6:$K$17,MONTH(C5022))&amp;IF(WEEKDAY(C5022,Inputs!$C$76)&lt;=Inputs!$C$74," weekday"," weekend"),Utility_Rates!$C$28:$F$28,Inputs!$C$68)),"")</f>
      </c>
      <c r="H5022" s="34"/>
      <c r="I5022" s="42">
        <f>IF(AND(ISNUMBER(D5022),ISNUMBER(H5022)),D5022*H5022*Inputs!$C$69,"")</f>
      </c>
      <c r="J5022" s="42">
        <f>IF(AND(ISNUMBER(F5022),ISNUMBER(H5022),F5022&gt;=Inputs!$C$68),F5022*H5022*Inputs!$C$69,"")</f>
      </c>
    </row>
    <row r="5023" spans="2:10" ht="15" customHeight="1" x14ac:dyDescent="0.2">
      <c r="B5023" s="39">
        <f t="shared" si="38"/>
      </c>
      <c r="C5023" s="40">
        <f>IF(Inputs!$C$60,Inputs!$C$11+(B5023-Inputs!$C$69)/Inputs!$C$70,"")</f>
      </c>
      <c r="D5023" s="15"/>
      <c r="E5023" s="15"/>
      <c r="F5023" s="11">
        <f t="shared" si="39"/>
      </c>
      <c r="G5023" s="22" cm="1">
        <f t="array" ref="G5023">IF(AND(Inputs!$C$60,Inputs!$C$61),INDEX(Utility_Rates!$C$29:$F$52,HOUR(C5023)+Inputs!$C$69,MATCH(INDEX(Utility_Rates!$K$6:$K$17,MONTH(C5023))&amp;IF(WEEKDAY(C5023,Inputs!$C$76)&lt;=Inputs!$C$74," weekday"," weekend"),Utility_Rates!$C$28:$F$28,Inputs!$C$68)),"")</f>
      </c>
      <c r="H5023" s="34"/>
      <c r="I5023" s="42">
        <f>IF(AND(ISNUMBER(D5023),ISNUMBER(H5023)),D5023*H5023*Inputs!$C$69,"")</f>
      </c>
      <c r="J5023" s="42">
        <f>IF(AND(ISNUMBER(F5023),ISNUMBER(H5023),F5023&gt;=Inputs!$C$68),F5023*H5023*Inputs!$C$69,"")</f>
      </c>
    </row>
    <row r="5024" spans="2:10" ht="15" customHeight="1" x14ac:dyDescent="0.2">
      <c r="B5024" s="39">
        <f t="shared" si="38"/>
      </c>
      <c r="C5024" s="40">
        <f>IF(Inputs!$C$60,Inputs!$C$11+(B5024-Inputs!$C$69)/Inputs!$C$70,"")</f>
      </c>
      <c r="D5024" s="15"/>
      <c r="E5024" s="15"/>
      <c r="F5024" s="11">
        <f t="shared" si="39"/>
      </c>
      <c r="G5024" s="22" cm="1">
        <f t="array" ref="G5024">IF(AND(Inputs!$C$60,Inputs!$C$61),INDEX(Utility_Rates!$C$29:$F$52,HOUR(C5024)+Inputs!$C$69,MATCH(INDEX(Utility_Rates!$K$6:$K$17,MONTH(C5024))&amp;IF(WEEKDAY(C5024,Inputs!$C$76)&lt;=Inputs!$C$74," weekday"," weekend"),Utility_Rates!$C$28:$F$28,Inputs!$C$68)),"")</f>
      </c>
      <c r="H5024" s="34"/>
      <c r="I5024" s="42">
        <f>IF(AND(ISNUMBER(D5024),ISNUMBER(H5024)),D5024*H5024*Inputs!$C$69,"")</f>
      </c>
      <c r="J5024" s="42">
        <f>IF(AND(ISNUMBER(F5024),ISNUMBER(H5024),F5024&gt;=Inputs!$C$68),F5024*H5024*Inputs!$C$69,"")</f>
      </c>
    </row>
    <row r="5025" spans="2:10" ht="15" customHeight="1" x14ac:dyDescent="0.2">
      <c r="B5025" s="39">
        <f t="shared" si="38"/>
      </c>
      <c r="C5025" s="40">
        <f>IF(Inputs!$C$60,Inputs!$C$11+(B5025-Inputs!$C$69)/Inputs!$C$70,"")</f>
      </c>
      <c r="D5025" s="15"/>
      <c r="E5025" s="15"/>
      <c r="F5025" s="11">
        <f t="shared" si="39"/>
      </c>
      <c r="G5025" s="22" cm="1">
        <f t="array" ref="G5025">IF(AND(Inputs!$C$60,Inputs!$C$61),INDEX(Utility_Rates!$C$29:$F$52,HOUR(C5025)+Inputs!$C$69,MATCH(INDEX(Utility_Rates!$K$6:$K$17,MONTH(C5025))&amp;IF(WEEKDAY(C5025,Inputs!$C$76)&lt;=Inputs!$C$74," weekday"," weekend"),Utility_Rates!$C$28:$F$28,Inputs!$C$68)),"")</f>
      </c>
      <c r="H5025" s="34"/>
      <c r="I5025" s="42">
        <f>IF(AND(ISNUMBER(D5025),ISNUMBER(H5025)),D5025*H5025*Inputs!$C$69,"")</f>
      </c>
      <c r="J5025" s="42">
        <f>IF(AND(ISNUMBER(F5025),ISNUMBER(H5025),F5025&gt;=Inputs!$C$68),F5025*H5025*Inputs!$C$69,"")</f>
      </c>
    </row>
    <row r="5026" spans="2:10" ht="15" customHeight="1" x14ac:dyDescent="0.2">
      <c r="B5026" s="39">
        <f t="shared" si="38"/>
      </c>
      <c r="C5026" s="40">
        <f>IF(Inputs!$C$60,Inputs!$C$11+(B5026-Inputs!$C$69)/Inputs!$C$70,"")</f>
      </c>
      <c r="D5026" s="15"/>
      <c r="E5026" s="15"/>
      <c r="F5026" s="11">
        <f t="shared" si="39"/>
      </c>
      <c r="G5026" s="22" cm="1">
        <f t="array" ref="G5026">IF(AND(Inputs!$C$60,Inputs!$C$61),INDEX(Utility_Rates!$C$29:$F$52,HOUR(C5026)+Inputs!$C$69,MATCH(INDEX(Utility_Rates!$K$6:$K$17,MONTH(C5026))&amp;IF(WEEKDAY(C5026,Inputs!$C$76)&lt;=Inputs!$C$74," weekday"," weekend"),Utility_Rates!$C$28:$F$28,Inputs!$C$68)),"")</f>
      </c>
      <c r="H5026" s="34"/>
      <c r="I5026" s="42">
        <f>IF(AND(ISNUMBER(D5026),ISNUMBER(H5026)),D5026*H5026*Inputs!$C$69,"")</f>
      </c>
      <c r="J5026" s="42">
        <f>IF(AND(ISNUMBER(F5026),ISNUMBER(H5026),F5026&gt;=Inputs!$C$68),F5026*H5026*Inputs!$C$69,"")</f>
      </c>
    </row>
    <row r="5027" spans="2:10" ht="15" customHeight="1" x14ac:dyDescent="0.2">
      <c r="B5027" s="39">
        <f t="shared" si="38"/>
      </c>
      <c r="C5027" s="40">
        <f>IF(Inputs!$C$60,Inputs!$C$11+(B5027-Inputs!$C$69)/Inputs!$C$70,"")</f>
      </c>
      <c r="D5027" s="15"/>
      <c r="E5027" s="15"/>
      <c r="F5027" s="11">
        <f t="shared" si="39"/>
      </c>
      <c r="G5027" s="22" cm="1">
        <f t="array" ref="G5027">IF(AND(Inputs!$C$60,Inputs!$C$61),INDEX(Utility_Rates!$C$29:$F$52,HOUR(C5027)+Inputs!$C$69,MATCH(INDEX(Utility_Rates!$K$6:$K$17,MONTH(C5027))&amp;IF(WEEKDAY(C5027,Inputs!$C$76)&lt;=Inputs!$C$74," weekday"," weekend"),Utility_Rates!$C$28:$F$28,Inputs!$C$68)),"")</f>
      </c>
      <c r="H5027" s="34"/>
      <c r="I5027" s="42">
        <f>IF(AND(ISNUMBER(D5027),ISNUMBER(H5027)),D5027*H5027*Inputs!$C$69,"")</f>
      </c>
      <c r="J5027" s="42">
        <f>IF(AND(ISNUMBER(F5027),ISNUMBER(H5027),F5027&gt;=Inputs!$C$68),F5027*H5027*Inputs!$C$69,"")</f>
      </c>
    </row>
    <row r="5028" spans="2:10" ht="15" customHeight="1" x14ac:dyDescent="0.2">
      <c r="B5028" s="39">
        <f t="shared" si="38"/>
      </c>
      <c r="C5028" s="40">
        <f>IF(Inputs!$C$60,Inputs!$C$11+(B5028-Inputs!$C$69)/Inputs!$C$70,"")</f>
      </c>
      <c r="D5028" s="15"/>
      <c r="E5028" s="15"/>
      <c r="F5028" s="11">
        <f t="shared" si="39"/>
      </c>
      <c r="G5028" s="22" cm="1">
        <f t="array" ref="G5028">IF(AND(Inputs!$C$60,Inputs!$C$61),INDEX(Utility_Rates!$C$29:$F$52,HOUR(C5028)+Inputs!$C$69,MATCH(INDEX(Utility_Rates!$K$6:$K$17,MONTH(C5028))&amp;IF(WEEKDAY(C5028,Inputs!$C$76)&lt;=Inputs!$C$74," weekday"," weekend"),Utility_Rates!$C$28:$F$28,Inputs!$C$68)),"")</f>
      </c>
      <c r="H5028" s="34"/>
      <c r="I5028" s="42">
        <f>IF(AND(ISNUMBER(D5028),ISNUMBER(H5028)),D5028*H5028*Inputs!$C$69,"")</f>
      </c>
      <c r="J5028" s="42">
        <f>IF(AND(ISNUMBER(F5028),ISNUMBER(H5028),F5028&gt;=Inputs!$C$68),F5028*H5028*Inputs!$C$69,"")</f>
      </c>
    </row>
    <row r="5029" spans="2:10" ht="15" customHeight="1" x14ac:dyDescent="0.2">
      <c r="B5029" s="39">
        <f t="shared" si="38"/>
      </c>
      <c r="C5029" s="40">
        <f>IF(Inputs!$C$60,Inputs!$C$11+(B5029-Inputs!$C$69)/Inputs!$C$70,"")</f>
      </c>
      <c r="D5029" s="15"/>
      <c r="E5029" s="15"/>
      <c r="F5029" s="11">
        <f t="shared" si="39"/>
      </c>
      <c r="G5029" s="22" cm="1">
        <f t="array" ref="G5029">IF(AND(Inputs!$C$60,Inputs!$C$61),INDEX(Utility_Rates!$C$29:$F$52,HOUR(C5029)+Inputs!$C$69,MATCH(INDEX(Utility_Rates!$K$6:$K$17,MONTH(C5029))&amp;IF(WEEKDAY(C5029,Inputs!$C$76)&lt;=Inputs!$C$74," weekday"," weekend"),Utility_Rates!$C$28:$F$28,Inputs!$C$68)),"")</f>
      </c>
      <c r="H5029" s="34"/>
      <c r="I5029" s="42">
        <f>IF(AND(ISNUMBER(D5029),ISNUMBER(H5029)),D5029*H5029*Inputs!$C$69,"")</f>
      </c>
      <c r="J5029" s="42">
        <f>IF(AND(ISNUMBER(F5029),ISNUMBER(H5029),F5029&gt;=Inputs!$C$68),F5029*H5029*Inputs!$C$69,"")</f>
      </c>
    </row>
    <row r="5030" spans="2:10" ht="15" customHeight="1" x14ac:dyDescent="0.2">
      <c r="B5030" s="39">
        <f t="shared" si="38"/>
      </c>
      <c r="C5030" s="40">
        <f>IF(Inputs!$C$60,Inputs!$C$11+(B5030-Inputs!$C$69)/Inputs!$C$70,"")</f>
      </c>
      <c r="D5030" s="15"/>
      <c r="E5030" s="15"/>
      <c r="F5030" s="11">
        <f t="shared" si="39"/>
      </c>
      <c r="G5030" s="22" cm="1">
        <f t="array" ref="G5030">IF(AND(Inputs!$C$60,Inputs!$C$61),INDEX(Utility_Rates!$C$29:$F$52,HOUR(C5030)+Inputs!$C$69,MATCH(INDEX(Utility_Rates!$K$6:$K$17,MONTH(C5030))&amp;IF(WEEKDAY(C5030,Inputs!$C$76)&lt;=Inputs!$C$74," weekday"," weekend"),Utility_Rates!$C$28:$F$28,Inputs!$C$68)),"")</f>
      </c>
      <c r="H5030" s="34"/>
      <c r="I5030" s="42">
        <f>IF(AND(ISNUMBER(D5030),ISNUMBER(H5030)),D5030*H5030*Inputs!$C$69,"")</f>
      </c>
      <c r="J5030" s="42">
        <f>IF(AND(ISNUMBER(F5030),ISNUMBER(H5030),F5030&gt;=Inputs!$C$68),F5030*H5030*Inputs!$C$69,"")</f>
      </c>
    </row>
    <row r="5031" spans="2:10" ht="15" customHeight="1" x14ac:dyDescent="0.2">
      <c r="B5031" s="39">
        <f t="shared" si="38"/>
      </c>
      <c r="C5031" s="40">
        <f>IF(Inputs!$C$60,Inputs!$C$11+(B5031-Inputs!$C$69)/Inputs!$C$70,"")</f>
      </c>
      <c r="D5031" s="15"/>
      <c r="E5031" s="15"/>
      <c r="F5031" s="11">
        <f t="shared" si="39"/>
      </c>
      <c r="G5031" s="22" cm="1">
        <f t="array" ref="G5031">IF(AND(Inputs!$C$60,Inputs!$C$61),INDEX(Utility_Rates!$C$29:$F$52,HOUR(C5031)+Inputs!$C$69,MATCH(INDEX(Utility_Rates!$K$6:$K$17,MONTH(C5031))&amp;IF(WEEKDAY(C5031,Inputs!$C$76)&lt;=Inputs!$C$74," weekday"," weekend"),Utility_Rates!$C$28:$F$28,Inputs!$C$68)),"")</f>
      </c>
      <c r="H5031" s="34"/>
      <c r="I5031" s="42">
        <f>IF(AND(ISNUMBER(D5031),ISNUMBER(H5031)),D5031*H5031*Inputs!$C$69,"")</f>
      </c>
      <c r="J5031" s="42">
        <f>IF(AND(ISNUMBER(F5031),ISNUMBER(H5031),F5031&gt;=Inputs!$C$68),F5031*H5031*Inputs!$C$69,"")</f>
      </c>
    </row>
    <row r="5032" spans="2:10" ht="15" customHeight="1" x14ac:dyDescent="0.2">
      <c r="B5032" s="39">
        <f t="shared" si="38"/>
      </c>
      <c r="C5032" s="40">
        <f>IF(Inputs!$C$60,Inputs!$C$11+(B5032-Inputs!$C$69)/Inputs!$C$70,"")</f>
      </c>
      <c r="D5032" s="15"/>
      <c r="E5032" s="15"/>
      <c r="F5032" s="11">
        <f t="shared" si="39"/>
      </c>
      <c r="G5032" s="22" cm="1">
        <f t="array" ref="G5032">IF(AND(Inputs!$C$60,Inputs!$C$61),INDEX(Utility_Rates!$C$29:$F$52,HOUR(C5032)+Inputs!$C$69,MATCH(INDEX(Utility_Rates!$K$6:$K$17,MONTH(C5032))&amp;IF(WEEKDAY(C5032,Inputs!$C$76)&lt;=Inputs!$C$74," weekday"," weekend"),Utility_Rates!$C$28:$F$28,Inputs!$C$68)),"")</f>
      </c>
      <c r="H5032" s="34"/>
      <c r="I5032" s="42">
        <f>IF(AND(ISNUMBER(D5032),ISNUMBER(H5032)),D5032*H5032*Inputs!$C$69,"")</f>
      </c>
      <c r="J5032" s="42">
        <f>IF(AND(ISNUMBER(F5032),ISNUMBER(H5032),F5032&gt;=Inputs!$C$68),F5032*H5032*Inputs!$C$69,"")</f>
      </c>
    </row>
    <row r="5033" spans="2:10" ht="15" customHeight="1" x14ac:dyDescent="0.2">
      <c r="B5033" s="39">
        <f t="shared" si="38"/>
      </c>
      <c r="C5033" s="40">
        <f>IF(Inputs!$C$60,Inputs!$C$11+(B5033-Inputs!$C$69)/Inputs!$C$70,"")</f>
      </c>
      <c r="D5033" s="15"/>
      <c r="E5033" s="15"/>
      <c r="F5033" s="11">
        <f t="shared" si="39"/>
      </c>
      <c r="G5033" s="22" cm="1">
        <f t="array" ref="G5033">IF(AND(Inputs!$C$60,Inputs!$C$61),INDEX(Utility_Rates!$C$29:$F$52,HOUR(C5033)+Inputs!$C$69,MATCH(INDEX(Utility_Rates!$K$6:$K$17,MONTH(C5033))&amp;IF(WEEKDAY(C5033,Inputs!$C$76)&lt;=Inputs!$C$74," weekday"," weekend"),Utility_Rates!$C$28:$F$28,Inputs!$C$68)),"")</f>
      </c>
      <c r="H5033" s="34"/>
      <c r="I5033" s="42">
        <f>IF(AND(ISNUMBER(D5033),ISNUMBER(H5033)),D5033*H5033*Inputs!$C$69,"")</f>
      </c>
      <c r="J5033" s="42">
        <f>IF(AND(ISNUMBER(F5033),ISNUMBER(H5033),F5033&gt;=Inputs!$C$68),F5033*H5033*Inputs!$C$69,"")</f>
      </c>
    </row>
    <row r="5034" spans="2:10" ht="15" customHeight="1" x14ac:dyDescent="0.2">
      <c r="B5034" s="39">
        <f t="shared" si="38"/>
      </c>
      <c r="C5034" s="40">
        <f>IF(Inputs!$C$60,Inputs!$C$11+(B5034-Inputs!$C$69)/Inputs!$C$70,"")</f>
      </c>
      <c r="D5034" s="15"/>
      <c r="E5034" s="15"/>
      <c r="F5034" s="11">
        <f t="shared" si="39"/>
      </c>
      <c r="G5034" s="22" cm="1">
        <f t="array" ref="G5034">IF(AND(Inputs!$C$60,Inputs!$C$61),INDEX(Utility_Rates!$C$29:$F$52,HOUR(C5034)+Inputs!$C$69,MATCH(INDEX(Utility_Rates!$K$6:$K$17,MONTH(C5034))&amp;IF(WEEKDAY(C5034,Inputs!$C$76)&lt;=Inputs!$C$74," weekday"," weekend"),Utility_Rates!$C$28:$F$28,Inputs!$C$68)),"")</f>
      </c>
      <c r="H5034" s="34"/>
      <c r="I5034" s="42">
        <f>IF(AND(ISNUMBER(D5034),ISNUMBER(H5034)),D5034*H5034*Inputs!$C$69,"")</f>
      </c>
      <c r="J5034" s="42">
        <f>IF(AND(ISNUMBER(F5034),ISNUMBER(H5034),F5034&gt;=Inputs!$C$68),F5034*H5034*Inputs!$C$69,"")</f>
      </c>
    </row>
    <row r="5035" spans="2:10" ht="15" customHeight="1" x14ac:dyDescent="0.2">
      <c r="B5035" s="39">
        <f t="shared" si="38"/>
      </c>
      <c r="C5035" s="40">
        <f>IF(Inputs!$C$60,Inputs!$C$11+(B5035-Inputs!$C$69)/Inputs!$C$70,"")</f>
      </c>
      <c r="D5035" s="15"/>
      <c r="E5035" s="15"/>
      <c r="F5035" s="11">
        <f t="shared" si="39"/>
      </c>
      <c r="G5035" s="22" cm="1">
        <f t="array" ref="G5035">IF(AND(Inputs!$C$60,Inputs!$C$61),INDEX(Utility_Rates!$C$29:$F$52,HOUR(C5035)+Inputs!$C$69,MATCH(INDEX(Utility_Rates!$K$6:$K$17,MONTH(C5035))&amp;IF(WEEKDAY(C5035,Inputs!$C$76)&lt;=Inputs!$C$74," weekday"," weekend"),Utility_Rates!$C$28:$F$28,Inputs!$C$68)),"")</f>
      </c>
      <c r="H5035" s="34"/>
      <c r="I5035" s="42">
        <f>IF(AND(ISNUMBER(D5035),ISNUMBER(H5035)),D5035*H5035*Inputs!$C$69,"")</f>
      </c>
      <c r="J5035" s="42">
        <f>IF(AND(ISNUMBER(F5035),ISNUMBER(H5035),F5035&gt;=Inputs!$C$68),F5035*H5035*Inputs!$C$69,"")</f>
      </c>
    </row>
    <row r="5036" spans="2:10" ht="15" customHeight="1" x14ac:dyDescent="0.2">
      <c r="B5036" s="39">
        <f t="shared" si="38"/>
      </c>
      <c r="C5036" s="40">
        <f>IF(Inputs!$C$60,Inputs!$C$11+(B5036-Inputs!$C$69)/Inputs!$C$70,"")</f>
      </c>
      <c r="D5036" s="15"/>
      <c r="E5036" s="15"/>
      <c r="F5036" s="11">
        <f t="shared" si="39"/>
      </c>
      <c r="G5036" s="22" cm="1">
        <f t="array" ref="G5036">IF(AND(Inputs!$C$60,Inputs!$C$61),INDEX(Utility_Rates!$C$29:$F$52,HOUR(C5036)+Inputs!$C$69,MATCH(INDEX(Utility_Rates!$K$6:$K$17,MONTH(C5036))&amp;IF(WEEKDAY(C5036,Inputs!$C$76)&lt;=Inputs!$C$74," weekday"," weekend"),Utility_Rates!$C$28:$F$28,Inputs!$C$68)),"")</f>
      </c>
      <c r="H5036" s="34"/>
      <c r="I5036" s="42">
        <f>IF(AND(ISNUMBER(D5036),ISNUMBER(H5036)),D5036*H5036*Inputs!$C$69,"")</f>
      </c>
      <c r="J5036" s="42">
        <f>IF(AND(ISNUMBER(F5036),ISNUMBER(H5036),F5036&gt;=Inputs!$C$68),F5036*H5036*Inputs!$C$69,"")</f>
      </c>
    </row>
    <row r="5037" spans="2:10" ht="15" customHeight="1" x14ac:dyDescent="0.2">
      <c r="B5037" s="39">
        <f t="shared" si="38"/>
      </c>
      <c r="C5037" s="40">
        <f>IF(Inputs!$C$60,Inputs!$C$11+(B5037-Inputs!$C$69)/Inputs!$C$70,"")</f>
      </c>
      <c r="D5037" s="15"/>
      <c r="E5037" s="15"/>
      <c r="F5037" s="11">
        <f t="shared" si="39"/>
      </c>
      <c r="G5037" s="22" cm="1">
        <f t="array" ref="G5037">IF(AND(Inputs!$C$60,Inputs!$C$61),INDEX(Utility_Rates!$C$29:$F$52,HOUR(C5037)+Inputs!$C$69,MATCH(INDEX(Utility_Rates!$K$6:$K$17,MONTH(C5037))&amp;IF(WEEKDAY(C5037,Inputs!$C$76)&lt;=Inputs!$C$74," weekday"," weekend"),Utility_Rates!$C$28:$F$28,Inputs!$C$68)),"")</f>
      </c>
      <c r="H5037" s="34"/>
      <c r="I5037" s="42">
        <f>IF(AND(ISNUMBER(D5037),ISNUMBER(H5037)),D5037*H5037*Inputs!$C$69,"")</f>
      </c>
      <c r="J5037" s="42">
        <f>IF(AND(ISNUMBER(F5037),ISNUMBER(H5037),F5037&gt;=Inputs!$C$68),F5037*H5037*Inputs!$C$69,"")</f>
      </c>
    </row>
    <row r="5038" spans="2:10" ht="15" customHeight="1" x14ac:dyDescent="0.2">
      <c r="B5038" s="39">
        <f t="shared" si="38"/>
      </c>
      <c r="C5038" s="40">
        <f>IF(Inputs!$C$60,Inputs!$C$11+(B5038-Inputs!$C$69)/Inputs!$C$70,"")</f>
      </c>
      <c r="D5038" s="15"/>
      <c r="E5038" s="15"/>
      <c r="F5038" s="11">
        <f t="shared" si="39"/>
      </c>
      <c r="G5038" s="22" cm="1">
        <f t="array" ref="G5038">IF(AND(Inputs!$C$60,Inputs!$C$61),INDEX(Utility_Rates!$C$29:$F$52,HOUR(C5038)+Inputs!$C$69,MATCH(INDEX(Utility_Rates!$K$6:$K$17,MONTH(C5038))&amp;IF(WEEKDAY(C5038,Inputs!$C$76)&lt;=Inputs!$C$74," weekday"," weekend"),Utility_Rates!$C$28:$F$28,Inputs!$C$68)),"")</f>
      </c>
      <c r="H5038" s="34"/>
      <c r="I5038" s="42">
        <f>IF(AND(ISNUMBER(D5038),ISNUMBER(H5038)),D5038*H5038*Inputs!$C$69,"")</f>
      </c>
      <c r="J5038" s="42">
        <f>IF(AND(ISNUMBER(F5038),ISNUMBER(H5038),F5038&gt;=Inputs!$C$68),F5038*H5038*Inputs!$C$69,"")</f>
      </c>
    </row>
    <row r="5039" spans="2:10" ht="15" customHeight="1" x14ac:dyDescent="0.2">
      <c r="B5039" s="39">
        <f t="shared" si="38"/>
      </c>
      <c r="C5039" s="40">
        <f>IF(Inputs!$C$60,Inputs!$C$11+(B5039-Inputs!$C$69)/Inputs!$C$70,"")</f>
      </c>
      <c r="D5039" s="15"/>
      <c r="E5039" s="15"/>
      <c r="F5039" s="11">
        <f t="shared" si="39"/>
      </c>
      <c r="G5039" s="22" cm="1">
        <f t="array" ref="G5039">IF(AND(Inputs!$C$60,Inputs!$C$61),INDEX(Utility_Rates!$C$29:$F$52,HOUR(C5039)+Inputs!$C$69,MATCH(INDEX(Utility_Rates!$K$6:$K$17,MONTH(C5039))&amp;IF(WEEKDAY(C5039,Inputs!$C$76)&lt;=Inputs!$C$74," weekday"," weekend"),Utility_Rates!$C$28:$F$28,Inputs!$C$68)),"")</f>
      </c>
      <c r="H5039" s="34"/>
      <c r="I5039" s="42">
        <f>IF(AND(ISNUMBER(D5039),ISNUMBER(H5039)),D5039*H5039*Inputs!$C$69,"")</f>
      </c>
      <c r="J5039" s="42">
        <f>IF(AND(ISNUMBER(F5039),ISNUMBER(H5039),F5039&gt;=Inputs!$C$68),F5039*H5039*Inputs!$C$69,"")</f>
      </c>
    </row>
    <row r="5040" spans="2:10" ht="15" customHeight="1" x14ac:dyDescent="0.2">
      <c r="B5040" s="39">
        <f t="shared" si="38"/>
      </c>
      <c r="C5040" s="40">
        <f>IF(Inputs!$C$60,Inputs!$C$11+(B5040-Inputs!$C$69)/Inputs!$C$70,"")</f>
      </c>
      <c r="D5040" s="15"/>
      <c r="E5040" s="15"/>
      <c r="F5040" s="11">
        <f t="shared" si="39"/>
      </c>
      <c r="G5040" s="22" cm="1">
        <f t="array" ref="G5040">IF(AND(Inputs!$C$60,Inputs!$C$61),INDEX(Utility_Rates!$C$29:$F$52,HOUR(C5040)+Inputs!$C$69,MATCH(INDEX(Utility_Rates!$K$6:$K$17,MONTH(C5040))&amp;IF(WEEKDAY(C5040,Inputs!$C$76)&lt;=Inputs!$C$74," weekday"," weekend"),Utility_Rates!$C$28:$F$28,Inputs!$C$68)),"")</f>
      </c>
      <c r="H5040" s="34"/>
      <c r="I5040" s="42">
        <f>IF(AND(ISNUMBER(D5040),ISNUMBER(H5040)),D5040*H5040*Inputs!$C$69,"")</f>
      </c>
      <c r="J5040" s="42">
        <f>IF(AND(ISNUMBER(F5040),ISNUMBER(H5040),F5040&gt;=Inputs!$C$68),F5040*H5040*Inputs!$C$69,"")</f>
      </c>
    </row>
    <row r="5041" spans="2:10" ht="15" customHeight="1" x14ac:dyDescent="0.2">
      <c r="B5041" s="39">
        <f t="shared" si="38"/>
      </c>
      <c r="C5041" s="40">
        <f>IF(Inputs!$C$60,Inputs!$C$11+(B5041-Inputs!$C$69)/Inputs!$C$70,"")</f>
      </c>
      <c r="D5041" s="15"/>
      <c r="E5041" s="15"/>
      <c r="F5041" s="11">
        <f t="shared" si="39"/>
      </c>
      <c r="G5041" s="22" cm="1">
        <f t="array" ref="G5041">IF(AND(Inputs!$C$60,Inputs!$C$61),INDEX(Utility_Rates!$C$29:$F$52,HOUR(C5041)+Inputs!$C$69,MATCH(INDEX(Utility_Rates!$K$6:$K$17,MONTH(C5041))&amp;IF(WEEKDAY(C5041,Inputs!$C$76)&lt;=Inputs!$C$74," weekday"," weekend"),Utility_Rates!$C$28:$F$28,Inputs!$C$68)),"")</f>
      </c>
      <c r="H5041" s="34"/>
      <c r="I5041" s="42">
        <f>IF(AND(ISNUMBER(D5041),ISNUMBER(H5041)),D5041*H5041*Inputs!$C$69,"")</f>
      </c>
      <c r="J5041" s="42">
        <f>IF(AND(ISNUMBER(F5041),ISNUMBER(H5041),F5041&gt;=Inputs!$C$68),F5041*H5041*Inputs!$C$69,"")</f>
      </c>
    </row>
    <row r="5042" spans="2:10" ht="15" customHeight="1" x14ac:dyDescent="0.2">
      <c r="B5042" s="39">
        <f t="shared" si="38"/>
      </c>
      <c r="C5042" s="40">
        <f>IF(Inputs!$C$60,Inputs!$C$11+(B5042-Inputs!$C$69)/Inputs!$C$70,"")</f>
      </c>
      <c r="D5042" s="15"/>
      <c r="E5042" s="15"/>
      <c r="F5042" s="11">
        <f t="shared" si="39"/>
      </c>
      <c r="G5042" s="22" cm="1">
        <f t="array" ref="G5042">IF(AND(Inputs!$C$60,Inputs!$C$61),INDEX(Utility_Rates!$C$29:$F$52,HOUR(C5042)+Inputs!$C$69,MATCH(INDEX(Utility_Rates!$K$6:$K$17,MONTH(C5042))&amp;IF(WEEKDAY(C5042,Inputs!$C$76)&lt;=Inputs!$C$74," weekday"," weekend"),Utility_Rates!$C$28:$F$28,Inputs!$C$68)),"")</f>
      </c>
      <c r="H5042" s="34"/>
      <c r="I5042" s="42">
        <f>IF(AND(ISNUMBER(D5042),ISNUMBER(H5042)),D5042*H5042*Inputs!$C$69,"")</f>
      </c>
      <c r="J5042" s="42">
        <f>IF(AND(ISNUMBER(F5042),ISNUMBER(H5042),F5042&gt;=Inputs!$C$68),F5042*H5042*Inputs!$C$69,"")</f>
      </c>
    </row>
    <row r="5043" spans="2:10" ht="15" customHeight="1" x14ac:dyDescent="0.2">
      <c r="B5043" s="39">
        <f t="shared" si="38"/>
      </c>
      <c r="C5043" s="40">
        <f>IF(Inputs!$C$60,Inputs!$C$11+(B5043-Inputs!$C$69)/Inputs!$C$70,"")</f>
      </c>
      <c r="D5043" s="15"/>
      <c r="E5043" s="15"/>
      <c r="F5043" s="11">
        <f t="shared" si="39"/>
      </c>
      <c r="G5043" s="22" cm="1">
        <f t="array" ref="G5043">IF(AND(Inputs!$C$60,Inputs!$C$61),INDEX(Utility_Rates!$C$29:$F$52,HOUR(C5043)+Inputs!$C$69,MATCH(INDEX(Utility_Rates!$K$6:$K$17,MONTH(C5043))&amp;IF(WEEKDAY(C5043,Inputs!$C$76)&lt;=Inputs!$C$74," weekday"," weekend"),Utility_Rates!$C$28:$F$28,Inputs!$C$68)),"")</f>
      </c>
      <c r="H5043" s="34"/>
      <c r="I5043" s="42">
        <f>IF(AND(ISNUMBER(D5043),ISNUMBER(H5043)),D5043*H5043*Inputs!$C$69,"")</f>
      </c>
      <c r="J5043" s="42">
        <f>IF(AND(ISNUMBER(F5043),ISNUMBER(H5043),F5043&gt;=Inputs!$C$68),F5043*H5043*Inputs!$C$69,"")</f>
      </c>
    </row>
    <row r="5044" spans="2:10" ht="15" customHeight="1" x14ac:dyDescent="0.2">
      <c r="B5044" s="39">
        <f t="shared" si="38"/>
      </c>
      <c r="C5044" s="40">
        <f>IF(Inputs!$C$60,Inputs!$C$11+(B5044-Inputs!$C$69)/Inputs!$C$70,"")</f>
      </c>
      <c r="D5044" s="15"/>
      <c r="E5044" s="15"/>
      <c r="F5044" s="11">
        <f t="shared" si="39"/>
      </c>
      <c r="G5044" s="22" cm="1">
        <f t="array" ref="G5044">IF(AND(Inputs!$C$60,Inputs!$C$61),INDEX(Utility_Rates!$C$29:$F$52,HOUR(C5044)+Inputs!$C$69,MATCH(INDEX(Utility_Rates!$K$6:$K$17,MONTH(C5044))&amp;IF(WEEKDAY(C5044,Inputs!$C$76)&lt;=Inputs!$C$74," weekday"," weekend"),Utility_Rates!$C$28:$F$28,Inputs!$C$68)),"")</f>
      </c>
      <c r="H5044" s="34"/>
      <c r="I5044" s="42">
        <f>IF(AND(ISNUMBER(D5044),ISNUMBER(H5044)),D5044*H5044*Inputs!$C$69,"")</f>
      </c>
      <c r="J5044" s="42">
        <f>IF(AND(ISNUMBER(F5044),ISNUMBER(H5044),F5044&gt;=Inputs!$C$68),F5044*H5044*Inputs!$C$69,"")</f>
      </c>
    </row>
    <row r="5045" spans="2:10" ht="15" customHeight="1" x14ac:dyDescent="0.2">
      <c r="B5045" s="39">
        <f t="shared" si="38"/>
      </c>
      <c r="C5045" s="40">
        <f>IF(Inputs!$C$60,Inputs!$C$11+(B5045-Inputs!$C$69)/Inputs!$C$70,"")</f>
      </c>
      <c r="D5045" s="15"/>
      <c r="E5045" s="15"/>
      <c r="F5045" s="11">
        <f t="shared" si="39"/>
      </c>
      <c r="G5045" s="22" cm="1">
        <f t="array" ref="G5045">IF(AND(Inputs!$C$60,Inputs!$C$61),INDEX(Utility_Rates!$C$29:$F$52,HOUR(C5045)+Inputs!$C$69,MATCH(INDEX(Utility_Rates!$K$6:$K$17,MONTH(C5045))&amp;IF(WEEKDAY(C5045,Inputs!$C$76)&lt;=Inputs!$C$74," weekday"," weekend"),Utility_Rates!$C$28:$F$28,Inputs!$C$68)),"")</f>
      </c>
      <c r="H5045" s="34"/>
      <c r="I5045" s="42">
        <f>IF(AND(ISNUMBER(D5045),ISNUMBER(H5045)),D5045*H5045*Inputs!$C$69,"")</f>
      </c>
      <c r="J5045" s="42">
        <f>IF(AND(ISNUMBER(F5045),ISNUMBER(H5045),F5045&gt;=Inputs!$C$68),F5045*H5045*Inputs!$C$69,"")</f>
      </c>
    </row>
    <row r="5046" spans="2:10" ht="15" customHeight="1" x14ac:dyDescent="0.2">
      <c r="B5046" s="39">
        <f t="shared" si="38"/>
      </c>
      <c r="C5046" s="40">
        <f>IF(Inputs!$C$60,Inputs!$C$11+(B5046-Inputs!$C$69)/Inputs!$C$70,"")</f>
      </c>
      <c r="D5046" s="15"/>
      <c r="E5046" s="15"/>
      <c r="F5046" s="11">
        <f t="shared" si="39"/>
      </c>
      <c r="G5046" s="22" cm="1">
        <f t="array" ref="G5046">IF(AND(Inputs!$C$60,Inputs!$C$61),INDEX(Utility_Rates!$C$29:$F$52,HOUR(C5046)+Inputs!$C$69,MATCH(INDEX(Utility_Rates!$K$6:$K$17,MONTH(C5046))&amp;IF(WEEKDAY(C5046,Inputs!$C$76)&lt;=Inputs!$C$74," weekday"," weekend"),Utility_Rates!$C$28:$F$28,Inputs!$C$68)),"")</f>
      </c>
      <c r="H5046" s="34"/>
      <c r="I5046" s="42">
        <f>IF(AND(ISNUMBER(D5046),ISNUMBER(H5046)),D5046*H5046*Inputs!$C$69,"")</f>
      </c>
      <c r="J5046" s="42">
        <f>IF(AND(ISNUMBER(F5046),ISNUMBER(H5046),F5046&gt;=Inputs!$C$68),F5046*H5046*Inputs!$C$69,"")</f>
      </c>
    </row>
    <row r="5047" spans="2:10" ht="15" customHeight="1" x14ac:dyDescent="0.2">
      <c r="B5047" s="39">
        <f t="shared" si="38"/>
      </c>
      <c r="C5047" s="40">
        <f>IF(Inputs!$C$60,Inputs!$C$11+(B5047-Inputs!$C$69)/Inputs!$C$70,"")</f>
      </c>
      <c r="D5047" s="15"/>
      <c r="E5047" s="15"/>
      <c r="F5047" s="11">
        <f t="shared" si="39"/>
      </c>
      <c r="G5047" s="22" cm="1">
        <f t="array" ref="G5047">IF(AND(Inputs!$C$60,Inputs!$C$61),INDEX(Utility_Rates!$C$29:$F$52,HOUR(C5047)+Inputs!$C$69,MATCH(INDEX(Utility_Rates!$K$6:$K$17,MONTH(C5047))&amp;IF(WEEKDAY(C5047,Inputs!$C$76)&lt;=Inputs!$C$74," weekday"," weekend"),Utility_Rates!$C$28:$F$28,Inputs!$C$68)),"")</f>
      </c>
      <c r="H5047" s="34"/>
      <c r="I5047" s="42">
        <f>IF(AND(ISNUMBER(D5047),ISNUMBER(H5047)),D5047*H5047*Inputs!$C$69,"")</f>
      </c>
      <c r="J5047" s="42">
        <f>IF(AND(ISNUMBER(F5047),ISNUMBER(H5047),F5047&gt;=Inputs!$C$68),F5047*H5047*Inputs!$C$69,"")</f>
      </c>
    </row>
    <row r="5048" spans="2:10" ht="15" customHeight="1" x14ac:dyDescent="0.2">
      <c r="B5048" s="39">
        <f t="shared" si="38"/>
      </c>
      <c r="C5048" s="40">
        <f>IF(Inputs!$C$60,Inputs!$C$11+(B5048-Inputs!$C$69)/Inputs!$C$70,"")</f>
      </c>
      <c r="D5048" s="15"/>
      <c r="E5048" s="15"/>
      <c r="F5048" s="11">
        <f t="shared" si="39"/>
      </c>
      <c r="G5048" s="22" cm="1">
        <f t="array" ref="G5048">IF(AND(Inputs!$C$60,Inputs!$C$61),INDEX(Utility_Rates!$C$29:$F$52,HOUR(C5048)+Inputs!$C$69,MATCH(INDEX(Utility_Rates!$K$6:$K$17,MONTH(C5048))&amp;IF(WEEKDAY(C5048,Inputs!$C$76)&lt;=Inputs!$C$74," weekday"," weekend"),Utility_Rates!$C$28:$F$28,Inputs!$C$68)),"")</f>
      </c>
      <c r="H5048" s="34"/>
      <c r="I5048" s="42">
        <f>IF(AND(ISNUMBER(D5048),ISNUMBER(H5048)),D5048*H5048*Inputs!$C$69,"")</f>
      </c>
      <c r="J5048" s="42">
        <f>IF(AND(ISNUMBER(F5048),ISNUMBER(H5048),F5048&gt;=Inputs!$C$68),F5048*H5048*Inputs!$C$69,"")</f>
      </c>
    </row>
    <row r="5049" spans="2:10" ht="15" customHeight="1" x14ac:dyDescent="0.2">
      <c r="B5049" s="39">
        <f t="shared" si="38"/>
      </c>
      <c r="C5049" s="40">
        <f>IF(Inputs!$C$60,Inputs!$C$11+(B5049-Inputs!$C$69)/Inputs!$C$70,"")</f>
      </c>
      <c r="D5049" s="15"/>
      <c r="E5049" s="15"/>
      <c r="F5049" s="11">
        <f t="shared" si="39"/>
      </c>
      <c r="G5049" s="22" cm="1">
        <f t="array" ref="G5049">IF(AND(Inputs!$C$60,Inputs!$C$61),INDEX(Utility_Rates!$C$29:$F$52,HOUR(C5049)+Inputs!$C$69,MATCH(INDEX(Utility_Rates!$K$6:$K$17,MONTH(C5049))&amp;IF(WEEKDAY(C5049,Inputs!$C$76)&lt;=Inputs!$C$74," weekday"," weekend"),Utility_Rates!$C$28:$F$28,Inputs!$C$68)),"")</f>
      </c>
      <c r="H5049" s="34"/>
      <c r="I5049" s="42">
        <f>IF(AND(ISNUMBER(D5049),ISNUMBER(H5049)),D5049*H5049*Inputs!$C$69,"")</f>
      </c>
      <c r="J5049" s="42">
        <f>IF(AND(ISNUMBER(F5049),ISNUMBER(H5049),F5049&gt;=Inputs!$C$68),F5049*H5049*Inputs!$C$69,"")</f>
      </c>
    </row>
    <row r="5050" spans="2:10" ht="15" customHeight="1" x14ac:dyDescent="0.2">
      <c r="B5050" s="39">
        <f t="shared" si="38"/>
      </c>
      <c r="C5050" s="40">
        <f>IF(Inputs!$C$60,Inputs!$C$11+(B5050-Inputs!$C$69)/Inputs!$C$70,"")</f>
      </c>
      <c r="D5050" s="15"/>
      <c r="E5050" s="15"/>
      <c r="F5050" s="11">
        <f t="shared" si="39"/>
      </c>
      <c r="G5050" s="22" cm="1">
        <f t="array" ref="G5050">IF(AND(Inputs!$C$60,Inputs!$C$61),INDEX(Utility_Rates!$C$29:$F$52,HOUR(C5050)+Inputs!$C$69,MATCH(INDEX(Utility_Rates!$K$6:$K$17,MONTH(C5050))&amp;IF(WEEKDAY(C5050,Inputs!$C$76)&lt;=Inputs!$C$74," weekday"," weekend"),Utility_Rates!$C$28:$F$28,Inputs!$C$68)),"")</f>
      </c>
      <c r="H5050" s="34"/>
      <c r="I5050" s="42">
        <f>IF(AND(ISNUMBER(D5050),ISNUMBER(H5050)),D5050*H5050*Inputs!$C$69,"")</f>
      </c>
      <c r="J5050" s="42">
        <f>IF(AND(ISNUMBER(F5050),ISNUMBER(H5050),F5050&gt;=Inputs!$C$68),F5050*H5050*Inputs!$C$69,"")</f>
      </c>
    </row>
    <row r="5051" spans="2:10" ht="15" customHeight="1" x14ac:dyDescent="0.2">
      <c r="B5051" s="39">
        <f t="shared" si="38"/>
      </c>
      <c r="C5051" s="40">
        <f>IF(Inputs!$C$60,Inputs!$C$11+(B5051-Inputs!$C$69)/Inputs!$C$70,"")</f>
      </c>
      <c r="D5051" s="15"/>
      <c r="E5051" s="15"/>
      <c r="F5051" s="11">
        <f t="shared" si="39"/>
      </c>
      <c r="G5051" s="22" cm="1">
        <f t="array" ref="G5051">IF(AND(Inputs!$C$60,Inputs!$C$61),INDEX(Utility_Rates!$C$29:$F$52,HOUR(C5051)+Inputs!$C$69,MATCH(INDEX(Utility_Rates!$K$6:$K$17,MONTH(C5051))&amp;IF(WEEKDAY(C5051,Inputs!$C$76)&lt;=Inputs!$C$74," weekday"," weekend"),Utility_Rates!$C$28:$F$28,Inputs!$C$68)),"")</f>
      </c>
      <c r="H5051" s="34"/>
      <c r="I5051" s="42">
        <f>IF(AND(ISNUMBER(D5051),ISNUMBER(H5051)),D5051*H5051*Inputs!$C$69,"")</f>
      </c>
      <c r="J5051" s="42">
        <f>IF(AND(ISNUMBER(F5051),ISNUMBER(H5051),F5051&gt;=Inputs!$C$68),F5051*H5051*Inputs!$C$69,"")</f>
      </c>
    </row>
    <row r="5052" spans="2:10" ht="15" customHeight="1" x14ac:dyDescent="0.2">
      <c r="B5052" s="39">
        <f t="shared" si="38"/>
      </c>
      <c r="C5052" s="40">
        <f>IF(Inputs!$C$60,Inputs!$C$11+(B5052-Inputs!$C$69)/Inputs!$C$70,"")</f>
      </c>
      <c r="D5052" s="15"/>
      <c r="E5052" s="15"/>
      <c r="F5052" s="11">
        <f t="shared" si="39"/>
      </c>
      <c r="G5052" s="22" cm="1">
        <f t="array" ref="G5052">IF(AND(Inputs!$C$60,Inputs!$C$61),INDEX(Utility_Rates!$C$29:$F$52,HOUR(C5052)+Inputs!$C$69,MATCH(INDEX(Utility_Rates!$K$6:$K$17,MONTH(C5052))&amp;IF(WEEKDAY(C5052,Inputs!$C$76)&lt;=Inputs!$C$74," weekday"," weekend"),Utility_Rates!$C$28:$F$28,Inputs!$C$68)),"")</f>
      </c>
      <c r="H5052" s="34"/>
      <c r="I5052" s="42">
        <f>IF(AND(ISNUMBER(D5052),ISNUMBER(H5052)),D5052*H5052*Inputs!$C$69,"")</f>
      </c>
      <c r="J5052" s="42">
        <f>IF(AND(ISNUMBER(F5052),ISNUMBER(H5052),F5052&gt;=Inputs!$C$68),F5052*H5052*Inputs!$C$69,"")</f>
      </c>
    </row>
    <row r="5053" spans="2:10" ht="15" customHeight="1" x14ac:dyDescent="0.2">
      <c r="B5053" s="39">
        <f t="shared" si="38"/>
      </c>
      <c r="C5053" s="40">
        <f>IF(Inputs!$C$60,Inputs!$C$11+(B5053-Inputs!$C$69)/Inputs!$C$70,"")</f>
      </c>
      <c r="D5053" s="15"/>
      <c r="E5053" s="15"/>
      <c r="F5053" s="11">
        <f t="shared" si="39"/>
      </c>
      <c r="G5053" s="22" cm="1">
        <f t="array" ref="G5053">IF(AND(Inputs!$C$60,Inputs!$C$61),INDEX(Utility_Rates!$C$29:$F$52,HOUR(C5053)+Inputs!$C$69,MATCH(INDEX(Utility_Rates!$K$6:$K$17,MONTH(C5053))&amp;IF(WEEKDAY(C5053,Inputs!$C$76)&lt;=Inputs!$C$74," weekday"," weekend"),Utility_Rates!$C$28:$F$28,Inputs!$C$68)),"")</f>
      </c>
      <c r="H5053" s="34"/>
      <c r="I5053" s="42">
        <f>IF(AND(ISNUMBER(D5053),ISNUMBER(H5053)),D5053*H5053*Inputs!$C$69,"")</f>
      </c>
      <c r="J5053" s="42">
        <f>IF(AND(ISNUMBER(F5053),ISNUMBER(H5053),F5053&gt;=Inputs!$C$68),F5053*H5053*Inputs!$C$69,"")</f>
      </c>
    </row>
    <row r="5054" spans="2:10" ht="15" customHeight="1" x14ac:dyDescent="0.2">
      <c r="B5054" s="39">
        <f t="shared" si="38"/>
      </c>
      <c r="C5054" s="40">
        <f>IF(Inputs!$C$60,Inputs!$C$11+(B5054-Inputs!$C$69)/Inputs!$C$70,"")</f>
      </c>
      <c r="D5054" s="15"/>
      <c r="E5054" s="15"/>
      <c r="F5054" s="11">
        <f t="shared" si="39"/>
      </c>
      <c r="G5054" s="22" cm="1">
        <f t="array" ref="G5054">IF(AND(Inputs!$C$60,Inputs!$C$61),INDEX(Utility_Rates!$C$29:$F$52,HOUR(C5054)+Inputs!$C$69,MATCH(INDEX(Utility_Rates!$K$6:$K$17,MONTH(C5054))&amp;IF(WEEKDAY(C5054,Inputs!$C$76)&lt;=Inputs!$C$74," weekday"," weekend"),Utility_Rates!$C$28:$F$28,Inputs!$C$68)),"")</f>
      </c>
      <c r="H5054" s="34"/>
      <c r="I5054" s="42">
        <f>IF(AND(ISNUMBER(D5054),ISNUMBER(H5054)),D5054*H5054*Inputs!$C$69,"")</f>
      </c>
      <c r="J5054" s="42">
        <f>IF(AND(ISNUMBER(F5054),ISNUMBER(H5054),F5054&gt;=Inputs!$C$68),F5054*H5054*Inputs!$C$69,"")</f>
      </c>
    </row>
    <row r="5055" spans="2:10" ht="15" customHeight="1" x14ac:dyDescent="0.2">
      <c r="B5055" s="39">
        <f t="shared" si="38"/>
      </c>
      <c r="C5055" s="40">
        <f>IF(Inputs!$C$60,Inputs!$C$11+(B5055-Inputs!$C$69)/Inputs!$C$70,"")</f>
      </c>
      <c r="D5055" s="15"/>
      <c r="E5055" s="15"/>
      <c r="F5055" s="11">
        <f t="shared" si="39"/>
      </c>
      <c r="G5055" s="22" cm="1">
        <f t="array" ref="G5055">IF(AND(Inputs!$C$60,Inputs!$C$61),INDEX(Utility_Rates!$C$29:$F$52,HOUR(C5055)+Inputs!$C$69,MATCH(INDEX(Utility_Rates!$K$6:$K$17,MONTH(C5055))&amp;IF(WEEKDAY(C5055,Inputs!$C$76)&lt;=Inputs!$C$74," weekday"," weekend"),Utility_Rates!$C$28:$F$28,Inputs!$C$68)),"")</f>
      </c>
      <c r="H5055" s="34"/>
      <c r="I5055" s="42">
        <f>IF(AND(ISNUMBER(D5055),ISNUMBER(H5055)),D5055*H5055*Inputs!$C$69,"")</f>
      </c>
      <c r="J5055" s="42">
        <f>IF(AND(ISNUMBER(F5055),ISNUMBER(H5055),F5055&gt;=Inputs!$C$68),F5055*H5055*Inputs!$C$69,"")</f>
      </c>
    </row>
    <row r="5056" spans="2:10" ht="15" customHeight="1" x14ac:dyDescent="0.2">
      <c r="B5056" s="39">
        <f t="shared" si="38"/>
      </c>
      <c r="C5056" s="40">
        <f>IF(Inputs!$C$60,Inputs!$C$11+(B5056-Inputs!$C$69)/Inputs!$C$70,"")</f>
      </c>
      <c r="D5056" s="15"/>
      <c r="E5056" s="15"/>
      <c r="F5056" s="11">
        <f t="shared" si="39"/>
      </c>
      <c r="G5056" s="22" cm="1">
        <f t="array" ref="G5056">IF(AND(Inputs!$C$60,Inputs!$C$61),INDEX(Utility_Rates!$C$29:$F$52,HOUR(C5056)+Inputs!$C$69,MATCH(INDEX(Utility_Rates!$K$6:$K$17,MONTH(C5056))&amp;IF(WEEKDAY(C5056,Inputs!$C$76)&lt;=Inputs!$C$74," weekday"," weekend"),Utility_Rates!$C$28:$F$28,Inputs!$C$68)),"")</f>
      </c>
      <c r="H5056" s="34"/>
      <c r="I5056" s="42">
        <f>IF(AND(ISNUMBER(D5056),ISNUMBER(H5056)),D5056*H5056*Inputs!$C$69,"")</f>
      </c>
      <c r="J5056" s="42">
        <f>IF(AND(ISNUMBER(F5056),ISNUMBER(H5056),F5056&gt;=Inputs!$C$68),F5056*H5056*Inputs!$C$69,"")</f>
      </c>
    </row>
    <row r="5057" spans="2:10" ht="15" customHeight="1" x14ac:dyDescent="0.2">
      <c r="B5057" s="39">
        <f t="shared" si="38"/>
      </c>
      <c r="C5057" s="40">
        <f>IF(Inputs!$C$60,Inputs!$C$11+(B5057-Inputs!$C$69)/Inputs!$C$70,"")</f>
      </c>
      <c r="D5057" s="15"/>
      <c r="E5057" s="15"/>
      <c r="F5057" s="11">
        <f t="shared" si="39"/>
      </c>
      <c r="G5057" s="22" cm="1">
        <f t="array" ref="G5057">IF(AND(Inputs!$C$60,Inputs!$C$61),INDEX(Utility_Rates!$C$29:$F$52,HOUR(C5057)+Inputs!$C$69,MATCH(INDEX(Utility_Rates!$K$6:$K$17,MONTH(C5057))&amp;IF(WEEKDAY(C5057,Inputs!$C$76)&lt;=Inputs!$C$74," weekday"," weekend"),Utility_Rates!$C$28:$F$28,Inputs!$C$68)),"")</f>
      </c>
      <c r="H5057" s="34"/>
      <c r="I5057" s="42">
        <f>IF(AND(ISNUMBER(D5057),ISNUMBER(H5057)),D5057*H5057*Inputs!$C$69,"")</f>
      </c>
      <c r="J5057" s="42">
        <f>IF(AND(ISNUMBER(F5057),ISNUMBER(H5057),F5057&gt;=Inputs!$C$68),F5057*H5057*Inputs!$C$69,"")</f>
      </c>
    </row>
    <row r="5058" spans="2:10" ht="15" customHeight="1" x14ac:dyDescent="0.2">
      <c r="B5058" s="39">
        <f t="shared" si="38"/>
      </c>
      <c r="C5058" s="40">
        <f>IF(Inputs!$C$60,Inputs!$C$11+(B5058-Inputs!$C$69)/Inputs!$C$70,"")</f>
      </c>
      <c r="D5058" s="15"/>
      <c r="E5058" s="15"/>
      <c r="F5058" s="11">
        <f t="shared" si="39"/>
      </c>
      <c r="G5058" s="22" cm="1">
        <f t="array" ref="G5058">IF(AND(Inputs!$C$60,Inputs!$C$61),INDEX(Utility_Rates!$C$29:$F$52,HOUR(C5058)+Inputs!$C$69,MATCH(INDEX(Utility_Rates!$K$6:$K$17,MONTH(C5058))&amp;IF(WEEKDAY(C5058,Inputs!$C$76)&lt;=Inputs!$C$74," weekday"," weekend"),Utility_Rates!$C$28:$F$28,Inputs!$C$68)),"")</f>
      </c>
      <c r="H5058" s="34"/>
      <c r="I5058" s="42">
        <f>IF(AND(ISNUMBER(D5058),ISNUMBER(H5058)),D5058*H5058*Inputs!$C$69,"")</f>
      </c>
      <c r="J5058" s="42">
        <f>IF(AND(ISNUMBER(F5058),ISNUMBER(H5058),F5058&gt;=Inputs!$C$68),F5058*H5058*Inputs!$C$69,"")</f>
      </c>
    </row>
    <row r="5059" spans="2:10" ht="15" customHeight="1" x14ac:dyDescent="0.2">
      <c r="B5059" s="39">
        <f t="shared" si="38"/>
      </c>
      <c r="C5059" s="40">
        <f>IF(Inputs!$C$60,Inputs!$C$11+(B5059-Inputs!$C$69)/Inputs!$C$70,"")</f>
      </c>
      <c r="D5059" s="15"/>
      <c r="E5059" s="15"/>
      <c r="F5059" s="11">
        <f t="shared" si="39"/>
      </c>
      <c r="G5059" s="22" cm="1">
        <f t="array" ref="G5059">IF(AND(Inputs!$C$60,Inputs!$C$61),INDEX(Utility_Rates!$C$29:$F$52,HOUR(C5059)+Inputs!$C$69,MATCH(INDEX(Utility_Rates!$K$6:$K$17,MONTH(C5059))&amp;IF(WEEKDAY(C5059,Inputs!$C$76)&lt;=Inputs!$C$74," weekday"," weekend"),Utility_Rates!$C$28:$F$28,Inputs!$C$68)),"")</f>
      </c>
      <c r="H5059" s="34"/>
      <c r="I5059" s="42">
        <f>IF(AND(ISNUMBER(D5059),ISNUMBER(H5059)),D5059*H5059*Inputs!$C$69,"")</f>
      </c>
      <c r="J5059" s="42">
        <f>IF(AND(ISNUMBER(F5059),ISNUMBER(H5059),F5059&gt;=Inputs!$C$68),F5059*H5059*Inputs!$C$69,"")</f>
      </c>
    </row>
    <row r="5060" spans="2:10" ht="15" customHeight="1" x14ac:dyDescent="0.2">
      <c r="B5060" s="39">
        <f t="shared" si="38"/>
      </c>
      <c r="C5060" s="40">
        <f>IF(Inputs!$C$60,Inputs!$C$11+(B5060-Inputs!$C$69)/Inputs!$C$70,"")</f>
      </c>
      <c r="D5060" s="15"/>
      <c r="E5060" s="15"/>
      <c r="F5060" s="11">
        <f t="shared" si="39"/>
      </c>
      <c r="G5060" s="22" cm="1">
        <f t="array" ref="G5060">IF(AND(Inputs!$C$60,Inputs!$C$61),INDEX(Utility_Rates!$C$29:$F$52,HOUR(C5060)+Inputs!$C$69,MATCH(INDEX(Utility_Rates!$K$6:$K$17,MONTH(C5060))&amp;IF(WEEKDAY(C5060,Inputs!$C$76)&lt;=Inputs!$C$74," weekday"," weekend"),Utility_Rates!$C$28:$F$28,Inputs!$C$68)),"")</f>
      </c>
      <c r="H5060" s="34"/>
      <c r="I5060" s="42">
        <f>IF(AND(ISNUMBER(D5060),ISNUMBER(H5060)),D5060*H5060*Inputs!$C$69,"")</f>
      </c>
      <c r="J5060" s="42">
        <f>IF(AND(ISNUMBER(F5060),ISNUMBER(H5060),F5060&gt;=Inputs!$C$68),F5060*H5060*Inputs!$C$69,"")</f>
      </c>
    </row>
    <row r="5061" spans="2:10" ht="15" customHeight="1" x14ac:dyDescent="0.2">
      <c r="B5061" s="39">
        <f t="shared" si="38"/>
      </c>
      <c r="C5061" s="40">
        <f>IF(Inputs!$C$60,Inputs!$C$11+(B5061-Inputs!$C$69)/Inputs!$C$70,"")</f>
      </c>
      <c r="D5061" s="15"/>
      <c r="E5061" s="15"/>
      <c r="F5061" s="11">
        <f t="shared" si="39"/>
      </c>
      <c r="G5061" s="22" cm="1">
        <f t="array" ref="G5061">IF(AND(Inputs!$C$60,Inputs!$C$61),INDEX(Utility_Rates!$C$29:$F$52,HOUR(C5061)+Inputs!$C$69,MATCH(INDEX(Utility_Rates!$K$6:$K$17,MONTH(C5061))&amp;IF(WEEKDAY(C5061,Inputs!$C$76)&lt;=Inputs!$C$74," weekday"," weekend"),Utility_Rates!$C$28:$F$28,Inputs!$C$68)),"")</f>
      </c>
      <c r="H5061" s="34"/>
      <c r="I5061" s="42">
        <f>IF(AND(ISNUMBER(D5061),ISNUMBER(H5061)),D5061*H5061*Inputs!$C$69,"")</f>
      </c>
      <c r="J5061" s="42">
        <f>IF(AND(ISNUMBER(F5061),ISNUMBER(H5061),F5061&gt;=Inputs!$C$68),F5061*H5061*Inputs!$C$69,"")</f>
      </c>
    </row>
    <row r="5062" spans="2:10" ht="15" customHeight="1" x14ac:dyDescent="0.2">
      <c r="B5062" s="39">
        <f t="shared" si="38"/>
      </c>
      <c r="C5062" s="40">
        <f>IF(Inputs!$C$60,Inputs!$C$11+(B5062-Inputs!$C$69)/Inputs!$C$70,"")</f>
      </c>
      <c r="D5062" s="15"/>
      <c r="E5062" s="15"/>
      <c r="F5062" s="11">
        <f t="shared" si="39"/>
      </c>
      <c r="G5062" s="22" cm="1">
        <f t="array" ref="G5062">IF(AND(Inputs!$C$60,Inputs!$C$61),INDEX(Utility_Rates!$C$29:$F$52,HOUR(C5062)+Inputs!$C$69,MATCH(INDEX(Utility_Rates!$K$6:$K$17,MONTH(C5062))&amp;IF(WEEKDAY(C5062,Inputs!$C$76)&lt;=Inputs!$C$74," weekday"," weekend"),Utility_Rates!$C$28:$F$28,Inputs!$C$68)),"")</f>
      </c>
      <c r="H5062" s="34"/>
      <c r="I5062" s="42">
        <f>IF(AND(ISNUMBER(D5062),ISNUMBER(H5062)),D5062*H5062*Inputs!$C$69,"")</f>
      </c>
      <c r="J5062" s="42">
        <f>IF(AND(ISNUMBER(F5062),ISNUMBER(H5062),F5062&gt;=Inputs!$C$68),F5062*H5062*Inputs!$C$69,"")</f>
      </c>
    </row>
    <row r="5063" spans="2:10" ht="15" customHeight="1" x14ac:dyDescent="0.2">
      <c r="B5063" s="39">
        <f t="shared" si="38"/>
      </c>
      <c r="C5063" s="40">
        <f>IF(Inputs!$C$60,Inputs!$C$11+(B5063-Inputs!$C$69)/Inputs!$C$70,"")</f>
      </c>
      <c r="D5063" s="15"/>
      <c r="E5063" s="15"/>
      <c r="F5063" s="11">
        <f t="shared" si="39"/>
      </c>
      <c r="G5063" s="22" cm="1">
        <f t="array" ref="G5063">IF(AND(Inputs!$C$60,Inputs!$C$61),INDEX(Utility_Rates!$C$29:$F$52,HOUR(C5063)+Inputs!$C$69,MATCH(INDEX(Utility_Rates!$K$6:$K$17,MONTH(C5063))&amp;IF(WEEKDAY(C5063,Inputs!$C$76)&lt;=Inputs!$C$74," weekday"," weekend"),Utility_Rates!$C$28:$F$28,Inputs!$C$68)),"")</f>
      </c>
      <c r="H5063" s="34"/>
      <c r="I5063" s="42">
        <f>IF(AND(ISNUMBER(D5063),ISNUMBER(H5063)),D5063*H5063*Inputs!$C$69,"")</f>
      </c>
      <c r="J5063" s="42">
        <f>IF(AND(ISNUMBER(F5063),ISNUMBER(H5063),F5063&gt;=Inputs!$C$68),F5063*H5063*Inputs!$C$69,"")</f>
      </c>
    </row>
    <row r="5064" spans="2:10" ht="15" customHeight="1" x14ac:dyDescent="0.2">
      <c r="B5064" s="39">
        <f t="shared" si="38"/>
      </c>
      <c r="C5064" s="40">
        <f>IF(Inputs!$C$60,Inputs!$C$11+(B5064-Inputs!$C$69)/Inputs!$C$70,"")</f>
      </c>
      <c r="D5064" s="15"/>
      <c r="E5064" s="15"/>
      <c r="F5064" s="11">
        <f t="shared" si="39"/>
      </c>
      <c r="G5064" s="22" cm="1">
        <f t="array" ref="G5064">IF(AND(Inputs!$C$60,Inputs!$C$61),INDEX(Utility_Rates!$C$29:$F$52,HOUR(C5064)+Inputs!$C$69,MATCH(INDEX(Utility_Rates!$K$6:$K$17,MONTH(C5064))&amp;IF(WEEKDAY(C5064,Inputs!$C$76)&lt;=Inputs!$C$74," weekday"," weekend"),Utility_Rates!$C$28:$F$28,Inputs!$C$68)),"")</f>
      </c>
      <c r="H5064" s="34"/>
      <c r="I5064" s="42">
        <f>IF(AND(ISNUMBER(D5064),ISNUMBER(H5064)),D5064*H5064*Inputs!$C$69,"")</f>
      </c>
      <c r="J5064" s="42">
        <f>IF(AND(ISNUMBER(F5064),ISNUMBER(H5064),F5064&gt;=Inputs!$C$68),F5064*H5064*Inputs!$C$69,"")</f>
      </c>
    </row>
    <row r="5065" spans="2:10" ht="15" customHeight="1" x14ac:dyDescent="0.2">
      <c r="B5065" s="39">
        <f t="shared" si="38"/>
      </c>
      <c r="C5065" s="40">
        <f>IF(Inputs!$C$60,Inputs!$C$11+(B5065-Inputs!$C$69)/Inputs!$C$70,"")</f>
      </c>
      <c r="D5065" s="15"/>
      <c r="E5065" s="15"/>
      <c r="F5065" s="11">
        <f t="shared" si="39"/>
      </c>
      <c r="G5065" s="22" cm="1">
        <f t="array" ref="G5065">IF(AND(Inputs!$C$60,Inputs!$C$61),INDEX(Utility_Rates!$C$29:$F$52,HOUR(C5065)+Inputs!$C$69,MATCH(INDEX(Utility_Rates!$K$6:$K$17,MONTH(C5065))&amp;IF(WEEKDAY(C5065,Inputs!$C$76)&lt;=Inputs!$C$74," weekday"," weekend"),Utility_Rates!$C$28:$F$28,Inputs!$C$68)),"")</f>
      </c>
      <c r="H5065" s="34"/>
      <c r="I5065" s="42">
        <f>IF(AND(ISNUMBER(D5065),ISNUMBER(H5065)),D5065*H5065*Inputs!$C$69,"")</f>
      </c>
      <c r="J5065" s="42">
        <f>IF(AND(ISNUMBER(F5065),ISNUMBER(H5065),F5065&gt;=Inputs!$C$68),F5065*H5065*Inputs!$C$69,"")</f>
      </c>
    </row>
    <row r="5066" spans="2:10" ht="15" customHeight="1" x14ac:dyDescent="0.2">
      <c r="B5066" s="39">
        <f t="shared" si="38"/>
      </c>
      <c r="C5066" s="40">
        <f>IF(Inputs!$C$60,Inputs!$C$11+(B5066-Inputs!$C$69)/Inputs!$C$70,"")</f>
      </c>
      <c r="D5066" s="15"/>
      <c r="E5066" s="15"/>
      <c r="F5066" s="11">
        <f t="shared" si="39"/>
      </c>
      <c r="G5066" s="22" cm="1">
        <f t="array" ref="G5066">IF(AND(Inputs!$C$60,Inputs!$C$61),INDEX(Utility_Rates!$C$29:$F$52,HOUR(C5066)+Inputs!$C$69,MATCH(INDEX(Utility_Rates!$K$6:$K$17,MONTH(C5066))&amp;IF(WEEKDAY(C5066,Inputs!$C$76)&lt;=Inputs!$C$74," weekday"," weekend"),Utility_Rates!$C$28:$F$28,Inputs!$C$68)),"")</f>
      </c>
      <c r="H5066" s="34"/>
      <c r="I5066" s="42">
        <f>IF(AND(ISNUMBER(D5066),ISNUMBER(H5066)),D5066*H5066*Inputs!$C$69,"")</f>
      </c>
      <c r="J5066" s="42">
        <f>IF(AND(ISNUMBER(F5066),ISNUMBER(H5066),F5066&gt;=Inputs!$C$68),F5066*H5066*Inputs!$C$69,"")</f>
      </c>
    </row>
    <row r="5067" spans="2:10" ht="15" customHeight="1" x14ac:dyDescent="0.2">
      <c r="B5067" s="39">
        <f t="shared" si="38"/>
      </c>
      <c r="C5067" s="40">
        <f>IF(Inputs!$C$60,Inputs!$C$11+(B5067-Inputs!$C$69)/Inputs!$C$70,"")</f>
      </c>
      <c r="D5067" s="15"/>
      <c r="E5067" s="15"/>
      <c r="F5067" s="11">
        <f t="shared" si="39"/>
      </c>
      <c r="G5067" s="22" cm="1">
        <f t="array" ref="G5067">IF(AND(Inputs!$C$60,Inputs!$C$61),INDEX(Utility_Rates!$C$29:$F$52,HOUR(C5067)+Inputs!$C$69,MATCH(INDEX(Utility_Rates!$K$6:$K$17,MONTH(C5067))&amp;IF(WEEKDAY(C5067,Inputs!$C$76)&lt;=Inputs!$C$74," weekday"," weekend"),Utility_Rates!$C$28:$F$28,Inputs!$C$68)),"")</f>
      </c>
      <c r="H5067" s="34"/>
      <c r="I5067" s="42">
        <f>IF(AND(ISNUMBER(D5067),ISNUMBER(H5067)),D5067*H5067*Inputs!$C$69,"")</f>
      </c>
      <c r="J5067" s="42">
        <f>IF(AND(ISNUMBER(F5067),ISNUMBER(H5067),F5067&gt;=Inputs!$C$68),F5067*H5067*Inputs!$C$69,"")</f>
      </c>
    </row>
    <row r="5068" spans="2:10" ht="15" customHeight="1" x14ac:dyDescent="0.2">
      <c r="B5068" s="39">
        <f t="shared" si="38"/>
      </c>
      <c r="C5068" s="40">
        <f>IF(Inputs!$C$60,Inputs!$C$11+(B5068-Inputs!$C$69)/Inputs!$C$70,"")</f>
      </c>
      <c r="D5068" s="15"/>
      <c r="E5068" s="15"/>
      <c r="F5068" s="11">
        <f t="shared" si="39"/>
      </c>
      <c r="G5068" s="22" cm="1">
        <f t="array" ref="G5068">IF(AND(Inputs!$C$60,Inputs!$C$61),INDEX(Utility_Rates!$C$29:$F$52,HOUR(C5068)+Inputs!$C$69,MATCH(INDEX(Utility_Rates!$K$6:$K$17,MONTH(C5068))&amp;IF(WEEKDAY(C5068,Inputs!$C$76)&lt;=Inputs!$C$74," weekday"," weekend"),Utility_Rates!$C$28:$F$28,Inputs!$C$68)),"")</f>
      </c>
      <c r="H5068" s="34"/>
      <c r="I5068" s="42">
        <f>IF(AND(ISNUMBER(D5068),ISNUMBER(H5068)),D5068*H5068*Inputs!$C$69,"")</f>
      </c>
      <c r="J5068" s="42">
        <f>IF(AND(ISNUMBER(F5068),ISNUMBER(H5068),F5068&gt;=Inputs!$C$68),F5068*H5068*Inputs!$C$69,"")</f>
      </c>
    </row>
    <row r="5069" spans="2:10" ht="15" customHeight="1" x14ac:dyDescent="0.2">
      <c r="B5069" s="39">
        <f t="shared" si="38"/>
      </c>
      <c r="C5069" s="40">
        <f>IF(Inputs!$C$60,Inputs!$C$11+(B5069-Inputs!$C$69)/Inputs!$C$70,"")</f>
      </c>
      <c r="D5069" s="15"/>
      <c r="E5069" s="15"/>
      <c r="F5069" s="11">
        <f t="shared" si="39"/>
      </c>
      <c r="G5069" s="22" cm="1">
        <f t="array" ref="G5069">IF(AND(Inputs!$C$60,Inputs!$C$61),INDEX(Utility_Rates!$C$29:$F$52,HOUR(C5069)+Inputs!$C$69,MATCH(INDEX(Utility_Rates!$K$6:$K$17,MONTH(C5069))&amp;IF(WEEKDAY(C5069,Inputs!$C$76)&lt;=Inputs!$C$74," weekday"," weekend"),Utility_Rates!$C$28:$F$28,Inputs!$C$68)),"")</f>
      </c>
      <c r="H5069" s="34"/>
      <c r="I5069" s="42">
        <f>IF(AND(ISNUMBER(D5069),ISNUMBER(H5069)),D5069*H5069*Inputs!$C$69,"")</f>
      </c>
      <c r="J5069" s="42">
        <f>IF(AND(ISNUMBER(F5069),ISNUMBER(H5069),F5069&gt;=Inputs!$C$68),F5069*H5069*Inputs!$C$69,"")</f>
      </c>
    </row>
    <row r="5070" spans="2:10" ht="15" customHeight="1" x14ac:dyDescent="0.2">
      <c r="B5070" s="39">
        <f t="shared" si="38"/>
      </c>
      <c r="C5070" s="40">
        <f>IF(Inputs!$C$60,Inputs!$C$11+(B5070-Inputs!$C$69)/Inputs!$C$70,"")</f>
      </c>
      <c r="D5070" s="15"/>
      <c r="E5070" s="15"/>
      <c r="F5070" s="11">
        <f t="shared" si="39"/>
      </c>
      <c r="G5070" s="22" cm="1">
        <f t="array" ref="G5070">IF(AND(Inputs!$C$60,Inputs!$C$61),INDEX(Utility_Rates!$C$29:$F$52,HOUR(C5070)+Inputs!$C$69,MATCH(INDEX(Utility_Rates!$K$6:$K$17,MONTH(C5070))&amp;IF(WEEKDAY(C5070,Inputs!$C$76)&lt;=Inputs!$C$74," weekday"," weekend"),Utility_Rates!$C$28:$F$28,Inputs!$C$68)),"")</f>
      </c>
      <c r="H5070" s="34"/>
      <c r="I5070" s="42">
        <f>IF(AND(ISNUMBER(D5070),ISNUMBER(H5070)),D5070*H5070*Inputs!$C$69,"")</f>
      </c>
      <c r="J5070" s="42">
        <f>IF(AND(ISNUMBER(F5070),ISNUMBER(H5070),F5070&gt;=Inputs!$C$68),F5070*H5070*Inputs!$C$69,"")</f>
      </c>
    </row>
    <row r="5071" spans="2:10" ht="15" customHeight="1" x14ac:dyDescent="0.2">
      <c r="B5071" s="39">
        <f t="shared" si="38"/>
      </c>
      <c r="C5071" s="40">
        <f>IF(Inputs!$C$60,Inputs!$C$11+(B5071-Inputs!$C$69)/Inputs!$C$70,"")</f>
      </c>
      <c r="D5071" s="15"/>
      <c r="E5071" s="15"/>
      <c r="F5071" s="11">
        <f t="shared" si="39"/>
      </c>
      <c r="G5071" s="22" cm="1">
        <f t="array" ref="G5071">IF(AND(Inputs!$C$60,Inputs!$C$61),INDEX(Utility_Rates!$C$29:$F$52,HOUR(C5071)+Inputs!$C$69,MATCH(INDEX(Utility_Rates!$K$6:$K$17,MONTH(C5071))&amp;IF(WEEKDAY(C5071,Inputs!$C$76)&lt;=Inputs!$C$74," weekday"," weekend"),Utility_Rates!$C$28:$F$28,Inputs!$C$68)),"")</f>
      </c>
      <c r="H5071" s="34"/>
      <c r="I5071" s="42">
        <f>IF(AND(ISNUMBER(D5071),ISNUMBER(H5071)),D5071*H5071*Inputs!$C$69,"")</f>
      </c>
      <c r="J5071" s="42">
        <f>IF(AND(ISNUMBER(F5071),ISNUMBER(H5071),F5071&gt;=Inputs!$C$68),F5071*H5071*Inputs!$C$69,"")</f>
      </c>
    </row>
    <row r="5072" spans="2:10" ht="15" customHeight="1" x14ac:dyDescent="0.2">
      <c r="B5072" s="39">
        <f t="shared" si="38"/>
      </c>
      <c r="C5072" s="40">
        <f>IF(Inputs!$C$60,Inputs!$C$11+(B5072-Inputs!$C$69)/Inputs!$C$70,"")</f>
      </c>
      <c r="D5072" s="15"/>
      <c r="E5072" s="15"/>
      <c r="F5072" s="11">
        <f t="shared" si="39"/>
      </c>
      <c r="G5072" s="22" cm="1">
        <f t="array" ref="G5072">IF(AND(Inputs!$C$60,Inputs!$C$61),INDEX(Utility_Rates!$C$29:$F$52,HOUR(C5072)+Inputs!$C$69,MATCH(INDEX(Utility_Rates!$K$6:$K$17,MONTH(C5072))&amp;IF(WEEKDAY(C5072,Inputs!$C$76)&lt;=Inputs!$C$74," weekday"," weekend"),Utility_Rates!$C$28:$F$28,Inputs!$C$68)),"")</f>
      </c>
      <c r="H5072" s="34"/>
      <c r="I5072" s="42">
        <f>IF(AND(ISNUMBER(D5072),ISNUMBER(H5072)),D5072*H5072*Inputs!$C$69,"")</f>
      </c>
      <c r="J5072" s="42">
        <f>IF(AND(ISNUMBER(F5072),ISNUMBER(H5072),F5072&gt;=Inputs!$C$68),F5072*H5072*Inputs!$C$69,"")</f>
      </c>
    </row>
    <row r="5073" spans="2:10" ht="15" customHeight="1" x14ac:dyDescent="0.2">
      <c r="B5073" s="39">
        <f t="shared" si="38"/>
      </c>
      <c r="C5073" s="40">
        <f>IF(Inputs!$C$60,Inputs!$C$11+(B5073-Inputs!$C$69)/Inputs!$C$70,"")</f>
      </c>
      <c r="D5073" s="15"/>
      <c r="E5073" s="15"/>
      <c r="F5073" s="11">
        <f t="shared" si="39"/>
      </c>
      <c r="G5073" s="22" cm="1">
        <f t="array" ref="G5073">IF(AND(Inputs!$C$60,Inputs!$C$61),INDEX(Utility_Rates!$C$29:$F$52,HOUR(C5073)+Inputs!$C$69,MATCH(INDEX(Utility_Rates!$K$6:$K$17,MONTH(C5073))&amp;IF(WEEKDAY(C5073,Inputs!$C$76)&lt;=Inputs!$C$74," weekday"," weekend"),Utility_Rates!$C$28:$F$28,Inputs!$C$68)),"")</f>
      </c>
      <c r="H5073" s="34"/>
      <c r="I5073" s="42">
        <f>IF(AND(ISNUMBER(D5073),ISNUMBER(H5073)),D5073*H5073*Inputs!$C$69,"")</f>
      </c>
      <c r="J5073" s="42">
        <f>IF(AND(ISNUMBER(F5073),ISNUMBER(H5073),F5073&gt;=Inputs!$C$68),F5073*H5073*Inputs!$C$69,"")</f>
      </c>
    </row>
    <row r="5074" spans="2:10" ht="15" customHeight="1" x14ac:dyDescent="0.2">
      <c r="B5074" s="39">
        <f t="shared" si="38"/>
      </c>
      <c r="C5074" s="40">
        <f>IF(Inputs!$C$60,Inputs!$C$11+(B5074-Inputs!$C$69)/Inputs!$C$70,"")</f>
      </c>
      <c r="D5074" s="15"/>
      <c r="E5074" s="15"/>
      <c r="F5074" s="11">
        <f t="shared" si="39"/>
      </c>
      <c r="G5074" s="22" cm="1">
        <f t="array" ref="G5074">IF(AND(Inputs!$C$60,Inputs!$C$61),INDEX(Utility_Rates!$C$29:$F$52,HOUR(C5074)+Inputs!$C$69,MATCH(INDEX(Utility_Rates!$K$6:$K$17,MONTH(C5074))&amp;IF(WEEKDAY(C5074,Inputs!$C$76)&lt;=Inputs!$C$74," weekday"," weekend"),Utility_Rates!$C$28:$F$28,Inputs!$C$68)),"")</f>
      </c>
      <c r="H5074" s="34"/>
      <c r="I5074" s="42">
        <f>IF(AND(ISNUMBER(D5074),ISNUMBER(H5074)),D5074*H5074*Inputs!$C$69,"")</f>
      </c>
      <c r="J5074" s="42">
        <f>IF(AND(ISNUMBER(F5074),ISNUMBER(H5074),F5074&gt;=Inputs!$C$68),F5074*H5074*Inputs!$C$69,"")</f>
      </c>
    </row>
    <row r="5075" spans="2:10" ht="15" customHeight="1" x14ac:dyDescent="0.2">
      <c r="B5075" s="39">
        <f t="shared" si="38"/>
      </c>
      <c r="C5075" s="40">
        <f>IF(Inputs!$C$60,Inputs!$C$11+(B5075-Inputs!$C$69)/Inputs!$C$70,"")</f>
      </c>
      <c r="D5075" s="15"/>
      <c r="E5075" s="15"/>
      <c r="F5075" s="11">
        <f t="shared" si="39"/>
      </c>
      <c r="G5075" s="22" cm="1">
        <f t="array" ref="G5075">IF(AND(Inputs!$C$60,Inputs!$C$61),INDEX(Utility_Rates!$C$29:$F$52,HOUR(C5075)+Inputs!$C$69,MATCH(INDEX(Utility_Rates!$K$6:$K$17,MONTH(C5075))&amp;IF(WEEKDAY(C5075,Inputs!$C$76)&lt;=Inputs!$C$74," weekday"," weekend"),Utility_Rates!$C$28:$F$28,Inputs!$C$68)),"")</f>
      </c>
      <c r="H5075" s="34"/>
      <c r="I5075" s="42">
        <f>IF(AND(ISNUMBER(D5075),ISNUMBER(H5075)),D5075*H5075*Inputs!$C$69,"")</f>
      </c>
      <c r="J5075" s="42">
        <f>IF(AND(ISNUMBER(F5075),ISNUMBER(H5075),F5075&gt;=Inputs!$C$68),F5075*H5075*Inputs!$C$69,"")</f>
      </c>
    </row>
    <row r="5076" spans="2:10" ht="15" customHeight="1" x14ac:dyDescent="0.2">
      <c r="B5076" s="39">
        <f t="shared" si="38"/>
      </c>
      <c r="C5076" s="40">
        <f>IF(Inputs!$C$60,Inputs!$C$11+(B5076-Inputs!$C$69)/Inputs!$C$70,"")</f>
      </c>
      <c r="D5076" s="15"/>
      <c r="E5076" s="15"/>
      <c r="F5076" s="11">
        <f t="shared" si="39"/>
      </c>
      <c r="G5076" s="22" cm="1">
        <f t="array" ref="G5076">IF(AND(Inputs!$C$60,Inputs!$C$61),INDEX(Utility_Rates!$C$29:$F$52,HOUR(C5076)+Inputs!$C$69,MATCH(INDEX(Utility_Rates!$K$6:$K$17,MONTH(C5076))&amp;IF(WEEKDAY(C5076,Inputs!$C$76)&lt;=Inputs!$C$74," weekday"," weekend"),Utility_Rates!$C$28:$F$28,Inputs!$C$68)),"")</f>
      </c>
      <c r="H5076" s="34"/>
      <c r="I5076" s="42">
        <f>IF(AND(ISNUMBER(D5076),ISNUMBER(H5076)),D5076*H5076*Inputs!$C$69,"")</f>
      </c>
      <c r="J5076" s="42">
        <f>IF(AND(ISNUMBER(F5076),ISNUMBER(H5076),F5076&gt;=Inputs!$C$68),F5076*H5076*Inputs!$C$69,"")</f>
      </c>
    </row>
    <row r="5077" spans="2:10" ht="15" customHeight="1" x14ac:dyDescent="0.2">
      <c r="B5077" s="39">
        <f t="shared" si="38"/>
      </c>
      <c r="C5077" s="40">
        <f>IF(Inputs!$C$60,Inputs!$C$11+(B5077-Inputs!$C$69)/Inputs!$C$70,"")</f>
      </c>
      <c r="D5077" s="15"/>
      <c r="E5077" s="15"/>
      <c r="F5077" s="11">
        <f t="shared" si="39"/>
      </c>
      <c r="G5077" s="22" cm="1">
        <f t="array" ref="G5077">IF(AND(Inputs!$C$60,Inputs!$C$61),INDEX(Utility_Rates!$C$29:$F$52,HOUR(C5077)+Inputs!$C$69,MATCH(INDEX(Utility_Rates!$K$6:$K$17,MONTH(C5077))&amp;IF(WEEKDAY(C5077,Inputs!$C$76)&lt;=Inputs!$C$74," weekday"," weekend"),Utility_Rates!$C$28:$F$28,Inputs!$C$68)),"")</f>
      </c>
      <c r="H5077" s="34"/>
      <c r="I5077" s="42">
        <f>IF(AND(ISNUMBER(D5077),ISNUMBER(H5077)),D5077*H5077*Inputs!$C$69,"")</f>
      </c>
      <c r="J5077" s="42">
        <f>IF(AND(ISNUMBER(F5077),ISNUMBER(H5077),F5077&gt;=Inputs!$C$68),F5077*H5077*Inputs!$C$69,"")</f>
      </c>
    </row>
    <row r="5078" spans="2:10" ht="15" customHeight="1" x14ac:dyDescent="0.2">
      <c r="B5078" s="39">
        <f t="shared" si="38"/>
      </c>
      <c r="C5078" s="40">
        <f>IF(Inputs!$C$60,Inputs!$C$11+(B5078-Inputs!$C$69)/Inputs!$C$70,"")</f>
      </c>
      <c r="D5078" s="15"/>
      <c r="E5078" s="15"/>
      <c r="F5078" s="11">
        <f t="shared" si="39"/>
      </c>
      <c r="G5078" s="22" cm="1">
        <f t="array" ref="G5078">IF(AND(Inputs!$C$60,Inputs!$C$61),INDEX(Utility_Rates!$C$29:$F$52,HOUR(C5078)+Inputs!$C$69,MATCH(INDEX(Utility_Rates!$K$6:$K$17,MONTH(C5078))&amp;IF(WEEKDAY(C5078,Inputs!$C$76)&lt;=Inputs!$C$74," weekday"," weekend"),Utility_Rates!$C$28:$F$28,Inputs!$C$68)),"")</f>
      </c>
      <c r="H5078" s="34"/>
      <c r="I5078" s="42">
        <f>IF(AND(ISNUMBER(D5078),ISNUMBER(H5078)),D5078*H5078*Inputs!$C$69,"")</f>
      </c>
      <c r="J5078" s="42">
        <f>IF(AND(ISNUMBER(F5078),ISNUMBER(H5078),F5078&gt;=Inputs!$C$68),F5078*H5078*Inputs!$C$69,"")</f>
      </c>
    </row>
    <row r="5079" spans="2:10" ht="15" customHeight="1" x14ac:dyDescent="0.2">
      <c r="B5079" s="39">
        <f t="shared" si="38"/>
      </c>
      <c r="C5079" s="40">
        <f>IF(Inputs!$C$60,Inputs!$C$11+(B5079-Inputs!$C$69)/Inputs!$C$70,"")</f>
      </c>
      <c r="D5079" s="15"/>
      <c r="E5079" s="15"/>
      <c r="F5079" s="11">
        <f t="shared" si="39"/>
      </c>
      <c r="G5079" s="22" cm="1">
        <f t="array" ref="G5079">IF(AND(Inputs!$C$60,Inputs!$C$61),INDEX(Utility_Rates!$C$29:$F$52,HOUR(C5079)+Inputs!$C$69,MATCH(INDEX(Utility_Rates!$K$6:$K$17,MONTH(C5079))&amp;IF(WEEKDAY(C5079,Inputs!$C$76)&lt;=Inputs!$C$74," weekday"," weekend"),Utility_Rates!$C$28:$F$28,Inputs!$C$68)),"")</f>
      </c>
      <c r="H5079" s="34"/>
      <c r="I5079" s="42">
        <f>IF(AND(ISNUMBER(D5079),ISNUMBER(H5079)),D5079*H5079*Inputs!$C$69,"")</f>
      </c>
      <c r="J5079" s="42">
        <f>IF(AND(ISNUMBER(F5079),ISNUMBER(H5079),F5079&gt;=Inputs!$C$68),F5079*H5079*Inputs!$C$69,"")</f>
      </c>
    </row>
    <row r="5080" spans="2:10" ht="15" customHeight="1" x14ac:dyDescent="0.2">
      <c r="B5080" s="39">
        <f t="shared" si="38"/>
      </c>
      <c r="C5080" s="40">
        <f>IF(Inputs!$C$60,Inputs!$C$11+(B5080-Inputs!$C$69)/Inputs!$C$70,"")</f>
      </c>
      <c r="D5080" s="15"/>
      <c r="E5080" s="15"/>
      <c r="F5080" s="11">
        <f t="shared" si="39"/>
      </c>
      <c r="G5080" s="22" cm="1">
        <f t="array" ref="G5080">IF(AND(Inputs!$C$60,Inputs!$C$61),INDEX(Utility_Rates!$C$29:$F$52,HOUR(C5080)+Inputs!$C$69,MATCH(INDEX(Utility_Rates!$K$6:$K$17,MONTH(C5080))&amp;IF(WEEKDAY(C5080,Inputs!$C$76)&lt;=Inputs!$C$74," weekday"," weekend"),Utility_Rates!$C$28:$F$28,Inputs!$C$68)),"")</f>
      </c>
      <c r="H5080" s="34"/>
      <c r="I5080" s="42">
        <f>IF(AND(ISNUMBER(D5080),ISNUMBER(H5080)),D5080*H5080*Inputs!$C$69,"")</f>
      </c>
      <c r="J5080" s="42">
        <f>IF(AND(ISNUMBER(F5080),ISNUMBER(H5080),F5080&gt;=Inputs!$C$68),F5080*H5080*Inputs!$C$69,"")</f>
      </c>
    </row>
    <row r="5081" spans="2:10" ht="15" customHeight="1" x14ac:dyDescent="0.2">
      <c r="B5081" s="39">
        <f t="shared" si="38"/>
      </c>
      <c r="C5081" s="40">
        <f>IF(Inputs!$C$60,Inputs!$C$11+(B5081-Inputs!$C$69)/Inputs!$C$70,"")</f>
      </c>
      <c r="D5081" s="15"/>
      <c r="E5081" s="15"/>
      <c r="F5081" s="11">
        <f t="shared" si="39"/>
      </c>
      <c r="G5081" s="22" cm="1">
        <f t="array" ref="G5081">IF(AND(Inputs!$C$60,Inputs!$C$61),INDEX(Utility_Rates!$C$29:$F$52,HOUR(C5081)+Inputs!$C$69,MATCH(INDEX(Utility_Rates!$K$6:$K$17,MONTH(C5081))&amp;IF(WEEKDAY(C5081,Inputs!$C$76)&lt;=Inputs!$C$74," weekday"," weekend"),Utility_Rates!$C$28:$F$28,Inputs!$C$68)),"")</f>
      </c>
      <c r="H5081" s="34"/>
      <c r="I5081" s="42">
        <f>IF(AND(ISNUMBER(D5081),ISNUMBER(H5081)),D5081*H5081*Inputs!$C$69,"")</f>
      </c>
      <c r="J5081" s="42">
        <f>IF(AND(ISNUMBER(F5081),ISNUMBER(H5081),F5081&gt;=Inputs!$C$68),F5081*H5081*Inputs!$C$69,"")</f>
      </c>
    </row>
    <row r="5082" spans="2:10" ht="15" customHeight="1" x14ac:dyDescent="0.2">
      <c r="B5082" s="39">
        <f t="shared" si="38"/>
      </c>
      <c r="C5082" s="40">
        <f>IF(Inputs!$C$60,Inputs!$C$11+(B5082-Inputs!$C$69)/Inputs!$C$70,"")</f>
      </c>
      <c r="D5082" s="15"/>
      <c r="E5082" s="15"/>
      <c r="F5082" s="11">
        <f t="shared" si="39"/>
      </c>
      <c r="G5082" s="22" cm="1">
        <f t="array" ref="G5082">IF(AND(Inputs!$C$60,Inputs!$C$61),INDEX(Utility_Rates!$C$29:$F$52,HOUR(C5082)+Inputs!$C$69,MATCH(INDEX(Utility_Rates!$K$6:$K$17,MONTH(C5082))&amp;IF(WEEKDAY(C5082,Inputs!$C$76)&lt;=Inputs!$C$74," weekday"," weekend"),Utility_Rates!$C$28:$F$28,Inputs!$C$68)),"")</f>
      </c>
      <c r="H5082" s="34"/>
      <c r="I5082" s="42">
        <f>IF(AND(ISNUMBER(D5082),ISNUMBER(H5082)),D5082*H5082*Inputs!$C$69,"")</f>
      </c>
      <c r="J5082" s="42">
        <f>IF(AND(ISNUMBER(F5082),ISNUMBER(H5082),F5082&gt;=Inputs!$C$68),F5082*H5082*Inputs!$C$69,"")</f>
      </c>
    </row>
    <row r="5083" spans="2:10" ht="15" customHeight="1" x14ac:dyDescent="0.2">
      <c r="B5083" s="39">
        <f t="shared" si="38"/>
      </c>
      <c r="C5083" s="40">
        <f>IF(Inputs!$C$60,Inputs!$C$11+(B5083-Inputs!$C$69)/Inputs!$C$70,"")</f>
      </c>
      <c r="D5083" s="15"/>
      <c r="E5083" s="15"/>
      <c r="F5083" s="11">
        <f t="shared" si="39"/>
      </c>
      <c r="G5083" s="22" cm="1">
        <f t="array" ref="G5083">IF(AND(Inputs!$C$60,Inputs!$C$61),INDEX(Utility_Rates!$C$29:$F$52,HOUR(C5083)+Inputs!$C$69,MATCH(INDEX(Utility_Rates!$K$6:$K$17,MONTH(C5083))&amp;IF(WEEKDAY(C5083,Inputs!$C$76)&lt;=Inputs!$C$74," weekday"," weekend"),Utility_Rates!$C$28:$F$28,Inputs!$C$68)),"")</f>
      </c>
      <c r="H5083" s="34"/>
      <c r="I5083" s="42">
        <f>IF(AND(ISNUMBER(D5083),ISNUMBER(H5083)),D5083*H5083*Inputs!$C$69,"")</f>
      </c>
      <c r="J5083" s="42">
        <f>IF(AND(ISNUMBER(F5083),ISNUMBER(H5083),F5083&gt;=Inputs!$C$68),F5083*H5083*Inputs!$C$69,"")</f>
      </c>
    </row>
    <row r="5084" spans="2:10" ht="15" customHeight="1" x14ac:dyDescent="0.2">
      <c r="B5084" s="39">
        <f t="shared" si="38"/>
      </c>
      <c r="C5084" s="40">
        <f>IF(Inputs!$C$60,Inputs!$C$11+(B5084-Inputs!$C$69)/Inputs!$C$70,"")</f>
      </c>
      <c r="D5084" s="15"/>
      <c r="E5084" s="15"/>
      <c r="F5084" s="11">
        <f t="shared" si="39"/>
      </c>
      <c r="G5084" s="22" cm="1">
        <f t="array" ref="G5084">IF(AND(Inputs!$C$60,Inputs!$C$61),INDEX(Utility_Rates!$C$29:$F$52,HOUR(C5084)+Inputs!$C$69,MATCH(INDEX(Utility_Rates!$K$6:$K$17,MONTH(C5084))&amp;IF(WEEKDAY(C5084,Inputs!$C$76)&lt;=Inputs!$C$74," weekday"," weekend"),Utility_Rates!$C$28:$F$28,Inputs!$C$68)),"")</f>
      </c>
      <c r="H5084" s="34"/>
      <c r="I5084" s="42">
        <f>IF(AND(ISNUMBER(D5084),ISNUMBER(H5084)),D5084*H5084*Inputs!$C$69,"")</f>
      </c>
      <c r="J5084" s="42">
        <f>IF(AND(ISNUMBER(F5084),ISNUMBER(H5084),F5084&gt;=Inputs!$C$68),F5084*H5084*Inputs!$C$69,"")</f>
      </c>
    </row>
    <row r="5085" spans="2:10" ht="15" customHeight="1" x14ac:dyDescent="0.2">
      <c r="B5085" s="39">
        <f t="shared" si="38"/>
      </c>
      <c r="C5085" s="40">
        <f>IF(Inputs!$C$60,Inputs!$C$11+(B5085-Inputs!$C$69)/Inputs!$C$70,"")</f>
      </c>
      <c r="D5085" s="15"/>
      <c r="E5085" s="15"/>
      <c r="F5085" s="11">
        <f t="shared" si="39"/>
      </c>
      <c r="G5085" s="22" cm="1">
        <f t="array" ref="G5085">IF(AND(Inputs!$C$60,Inputs!$C$61),INDEX(Utility_Rates!$C$29:$F$52,HOUR(C5085)+Inputs!$C$69,MATCH(INDEX(Utility_Rates!$K$6:$K$17,MONTH(C5085))&amp;IF(WEEKDAY(C5085,Inputs!$C$76)&lt;=Inputs!$C$74," weekday"," weekend"),Utility_Rates!$C$28:$F$28,Inputs!$C$68)),"")</f>
      </c>
      <c r="H5085" s="34"/>
      <c r="I5085" s="42">
        <f>IF(AND(ISNUMBER(D5085),ISNUMBER(H5085)),D5085*H5085*Inputs!$C$69,"")</f>
      </c>
      <c r="J5085" s="42">
        <f>IF(AND(ISNUMBER(F5085),ISNUMBER(H5085),F5085&gt;=Inputs!$C$68),F5085*H5085*Inputs!$C$69,"")</f>
      </c>
    </row>
    <row r="5086" spans="2:10" ht="15" customHeight="1" x14ac:dyDescent="0.2">
      <c r="B5086" s="39">
        <f t="shared" si="38"/>
      </c>
      <c r="C5086" s="40">
        <f>IF(Inputs!$C$60,Inputs!$C$11+(B5086-Inputs!$C$69)/Inputs!$C$70,"")</f>
      </c>
      <c r="D5086" s="15"/>
      <c r="E5086" s="15"/>
      <c r="F5086" s="11">
        <f t="shared" si="39"/>
      </c>
      <c r="G5086" s="22" cm="1">
        <f t="array" ref="G5086">IF(AND(Inputs!$C$60,Inputs!$C$61),INDEX(Utility_Rates!$C$29:$F$52,HOUR(C5086)+Inputs!$C$69,MATCH(INDEX(Utility_Rates!$K$6:$K$17,MONTH(C5086))&amp;IF(WEEKDAY(C5086,Inputs!$C$76)&lt;=Inputs!$C$74," weekday"," weekend"),Utility_Rates!$C$28:$F$28,Inputs!$C$68)),"")</f>
      </c>
      <c r="H5086" s="34"/>
      <c r="I5086" s="42">
        <f>IF(AND(ISNUMBER(D5086),ISNUMBER(H5086)),D5086*H5086*Inputs!$C$69,"")</f>
      </c>
      <c r="J5086" s="42">
        <f>IF(AND(ISNUMBER(F5086),ISNUMBER(H5086),F5086&gt;=Inputs!$C$68),F5086*H5086*Inputs!$C$69,"")</f>
      </c>
    </row>
    <row r="5087" spans="2:10" ht="15" customHeight="1" x14ac:dyDescent="0.2">
      <c r="B5087" s="39">
        <f t="shared" si="38"/>
      </c>
      <c r="C5087" s="40">
        <f>IF(Inputs!$C$60,Inputs!$C$11+(B5087-Inputs!$C$69)/Inputs!$C$70,"")</f>
      </c>
      <c r="D5087" s="15"/>
      <c r="E5087" s="15"/>
      <c r="F5087" s="11">
        <f t="shared" si="39"/>
      </c>
      <c r="G5087" s="22" cm="1">
        <f t="array" ref="G5087">IF(AND(Inputs!$C$60,Inputs!$C$61),INDEX(Utility_Rates!$C$29:$F$52,HOUR(C5087)+Inputs!$C$69,MATCH(INDEX(Utility_Rates!$K$6:$K$17,MONTH(C5087))&amp;IF(WEEKDAY(C5087,Inputs!$C$76)&lt;=Inputs!$C$74," weekday"," weekend"),Utility_Rates!$C$28:$F$28,Inputs!$C$68)),"")</f>
      </c>
      <c r="H5087" s="34"/>
      <c r="I5087" s="42">
        <f>IF(AND(ISNUMBER(D5087),ISNUMBER(H5087)),D5087*H5087*Inputs!$C$69,"")</f>
      </c>
      <c r="J5087" s="42">
        <f>IF(AND(ISNUMBER(F5087),ISNUMBER(H5087),F5087&gt;=Inputs!$C$68),F5087*H5087*Inputs!$C$69,"")</f>
      </c>
    </row>
    <row r="5088" spans="2:10" ht="15" customHeight="1" x14ac:dyDescent="0.2">
      <c r="B5088" s="39">
        <f t="shared" si="38"/>
      </c>
      <c r="C5088" s="40">
        <f>IF(Inputs!$C$60,Inputs!$C$11+(B5088-Inputs!$C$69)/Inputs!$C$70,"")</f>
      </c>
      <c r="D5088" s="15"/>
      <c r="E5088" s="15"/>
      <c r="F5088" s="11">
        <f t="shared" si="39"/>
      </c>
      <c r="G5088" s="22" cm="1">
        <f t="array" ref="G5088">IF(AND(Inputs!$C$60,Inputs!$C$61),INDEX(Utility_Rates!$C$29:$F$52,HOUR(C5088)+Inputs!$C$69,MATCH(INDEX(Utility_Rates!$K$6:$K$17,MONTH(C5088))&amp;IF(WEEKDAY(C5088,Inputs!$C$76)&lt;=Inputs!$C$74," weekday"," weekend"),Utility_Rates!$C$28:$F$28,Inputs!$C$68)),"")</f>
      </c>
      <c r="H5088" s="34"/>
      <c r="I5088" s="42">
        <f>IF(AND(ISNUMBER(D5088),ISNUMBER(H5088)),D5088*H5088*Inputs!$C$69,"")</f>
      </c>
      <c r="J5088" s="42">
        <f>IF(AND(ISNUMBER(F5088),ISNUMBER(H5088),F5088&gt;=Inputs!$C$68),F5088*H5088*Inputs!$C$69,"")</f>
      </c>
    </row>
    <row r="5089" spans="2:10" ht="15" customHeight="1" x14ac:dyDescent="0.2">
      <c r="B5089" s="39">
        <f t="shared" si="38"/>
      </c>
      <c r="C5089" s="40">
        <f>IF(Inputs!$C$60,Inputs!$C$11+(B5089-Inputs!$C$69)/Inputs!$C$70,"")</f>
      </c>
      <c r="D5089" s="15"/>
      <c r="E5089" s="15"/>
      <c r="F5089" s="11">
        <f t="shared" si="39"/>
      </c>
      <c r="G5089" s="22" cm="1">
        <f t="array" ref="G5089">IF(AND(Inputs!$C$60,Inputs!$C$61),INDEX(Utility_Rates!$C$29:$F$52,HOUR(C5089)+Inputs!$C$69,MATCH(INDEX(Utility_Rates!$K$6:$K$17,MONTH(C5089))&amp;IF(WEEKDAY(C5089,Inputs!$C$76)&lt;=Inputs!$C$74," weekday"," weekend"),Utility_Rates!$C$28:$F$28,Inputs!$C$68)),"")</f>
      </c>
      <c r="H5089" s="34"/>
      <c r="I5089" s="42">
        <f>IF(AND(ISNUMBER(D5089),ISNUMBER(H5089)),D5089*H5089*Inputs!$C$69,"")</f>
      </c>
      <c r="J5089" s="42">
        <f>IF(AND(ISNUMBER(F5089),ISNUMBER(H5089),F5089&gt;=Inputs!$C$68),F5089*H5089*Inputs!$C$69,"")</f>
      </c>
    </row>
    <row r="5090" spans="2:10" ht="15" customHeight="1" x14ac:dyDescent="0.2">
      <c r="B5090" s="39">
        <f t="shared" si="38"/>
      </c>
      <c r="C5090" s="40">
        <f>IF(Inputs!$C$60,Inputs!$C$11+(B5090-Inputs!$C$69)/Inputs!$C$70,"")</f>
      </c>
      <c r="D5090" s="15"/>
      <c r="E5090" s="15"/>
      <c r="F5090" s="11">
        <f t="shared" si="39"/>
      </c>
      <c r="G5090" s="22" cm="1">
        <f t="array" ref="G5090">IF(AND(Inputs!$C$60,Inputs!$C$61),INDEX(Utility_Rates!$C$29:$F$52,HOUR(C5090)+Inputs!$C$69,MATCH(INDEX(Utility_Rates!$K$6:$K$17,MONTH(C5090))&amp;IF(WEEKDAY(C5090,Inputs!$C$76)&lt;=Inputs!$C$74," weekday"," weekend"),Utility_Rates!$C$28:$F$28,Inputs!$C$68)),"")</f>
      </c>
      <c r="H5090" s="34"/>
      <c r="I5090" s="42">
        <f>IF(AND(ISNUMBER(D5090),ISNUMBER(H5090)),D5090*H5090*Inputs!$C$69,"")</f>
      </c>
      <c r="J5090" s="42">
        <f>IF(AND(ISNUMBER(F5090),ISNUMBER(H5090),F5090&gt;=Inputs!$C$68),F5090*H5090*Inputs!$C$69,"")</f>
      </c>
    </row>
    <row r="5091" spans="2:10" ht="15" customHeight="1" x14ac:dyDescent="0.2">
      <c r="B5091" s="39">
        <f t="shared" si="38"/>
      </c>
      <c r="C5091" s="40">
        <f>IF(Inputs!$C$60,Inputs!$C$11+(B5091-Inputs!$C$69)/Inputs!$C$70,"")</f>
      </c>
      <c r="D5091" s="15"/>
      <c r="E5091" s="15"/>
      <c r="F5091" s="11">
        <f t="shared" si="39"/>
      </c>
      <c r="G5091" s="22" cm="1">
        <f t="array" ref="G5091">IF(AND(Inputs!$C$60,Inputs!$C$61),INDEX(Utility_Rates!$C$29:$F$52,HOUR(C5091)+Inputs!$C$69,MATCH(INDEX(Utility_Rates!$K$6:$K$17,MONTH(C5091))&amp;IF(WEEKDAY(C5091,Inputs!$C$76)&lt;=Inputs!$C$74," weekday"," weekend"),Utility_Rates!$C$28:$F$28,Inputs!$C$68)),"")</f>
      </c>
      <c r="H5091" s="34"/>
      <c r="I5091" s="42">
        <f>IF(AND(ISNUMBER(D5091),ISNUMBER(H5091)),D5091*H5091*Inputs!$C$69,"")</f>
      </c>
      <c r="J5091" s="42">
        <f>IF(AND(ISNUMBER(F5091),ISNUMBER(H5091),F5091&gt;=Inputs!$C$68),F5091*H5091*Inputs!$C$69,"")</f>
      </c>
    </row>
    <row r="5092" spans="2:10" ht="15" customHeight="1" x14ac:dyDescent="0.2">
      <c r="B5092" s="39">
        <f t="shared" si="38"/>
      </c>
      <c r="C5092" s="40">
        <f>IF(Inputs!$C$60,Inputs!$C$11+(B5092-Inputs!$C$69)/Inputs!$C$70,"")</f>
      </c>
      <c r="D5092" s="15"/>
      <c r="E5092" s="15"/>
      <c r="F5092" s="11">
        <f t="shared" si="39"/>
      </c>
      <c r="G5092" s="22" cm="1">
        <f t="array" ref="G5092">IF(AND(Inputs!$C$60,Inputs!$C$61),INDEX(Utility_Rates!$C$29:$F$52,HOUR(C5092)+Inputs!$C$69,MATCH(INDEX(Utility_Rates!$K$6:$K$17,MONTH(C5092))&amp;IF(WEEKDAY(C5092,Inputs!$C$76)&lt;=Inputs!$C$74," weekday"," weekend"),Utility_Rates!$C$28:$F$28,Inputs!$C$68)),"")</f>
      </c>
      <c r="H5092" s="34"/>
      <c r="I5092" s="42">
        <f>IF(AND(ISNUMBER(D5092),ISNUMBER(H5092)),D5092*H5092*Inputs!$C$69,"")</f>
      </c>
      <c r="J5092" s="42">
        <f>IF(AND(ISNUMBER(F5092),ISNUMBER(H5092),F5092&gt;=Inputs!$C$68),F5092*H5092*Inputs!$C$69,"")</f>
      </c>
    </row>
    <row r="5093" spans="2:10" ht="15" customHeight="1" x14ac:dyDescent="0.2">
      <c r="B5093" s="39">
        <f t="shared" si="38"/>
      </c>
      <c r="C5093" s="40">
        <f>IF(Inputs!$C$60,Inputs!$C$11+(B5093-Inputs!$C$69)/Inputs!$C$70,"")</f>
      </c>
      <c r="D5093" s="15"/>
      <c r="E5093" s="15"/>
      <c r="F5093" s="11">
        <f t="shared" si="39"/>
      </c>
      <c r="G5093" s="22" cm="1">
        <f t="array" ref="G5093">IF(AND(Inputs!$C$60,Inputs!$C$61),INDEX(Utility_Rates!$C$29:$F$52,HOUR(C5093)+Inputs!$C$69,MATCH(INDEX(Utility_Rates!$K$6:$K$17,MONTH(C5093))&amp;IF(WEEKDAY(C5093,Inputs!$C$76)&lt;=Inputs!$C$74," weekday"," weekend"),Utility_Rates!$C$28:$F$28,Inputs!$C$68)),"")</f>
      </c>
      <c r="H5093" s="34"/>
      <c r="I5093" s="42">
        <f>IF(AND(ISNUMBER(D5093),ISNUMBER(H5093)),D5093*H5093*Inputs!$C$69,"")</f>
      </c>
      <c r="J5093" s="42">
        <f>IF(AND(ISNUMBER(F5093),ISNUMBER(H5093),F5093&gt;=Inputs!$C$68),F5093*H5093*Inputs!$C$69,"")</f>
      </c>
    </row>
    <row r="5094" spans="2:10" ht="15" customHeight="1" x14ac:dyDescent="0.2">
      <c r="B5094" s="39">
        <f t="shared" si="38"/>
      </c>
      <c r="C5094" s="40">
        <f>IF(Inputs!$C$60,Inputs!$C$11+(B5094-Inputs!$C$69)/Inputs!$C$70,"")</f>
      </c>
      <c r="D5094" s="15"/>
      <c r="E5094" s="15"/>
      <c r="F5094" s="11">
        <f t="shared" si="39"/>
      </c>
      <c r="G5094" s="22" cm="1">
        <f t="array" ref="G5094">IF(AND(Inputs!$C$60,Inputs!$C$61),INDEX(Utility_Rates!$C$29:$F$52,HOUR(C5094)+Inputs!$C$69,MATCH(INDEX(Utility_Rates!$K$6:$K$17,MONTH(C5094))&amp;IF(WEEKDAY(C5094,Inputs!$C$76)&lt;=Inputs!$C$74," weekday"," weekend"),Utility_Rates!$C$28:$F$28,Inputs!$C$68)),"")</f>
      </c>
      <c r="H5094" s="34"/>
      <c r="I5094" s="42">
        <f>IF(AND(ISNUMBER(D5094),ISNUMBER(H5094)),D5094*H5094*Inputs!$C$69,"")</f>
      </c>
      <c r="J5094" s="42">
        <f>IF(AND(ISNUMBER(F5094),ISNUMBER(H5094),F5094&gt;=Inputs!$C$68),F5094*H5094*Inputs!$C$69,"")</f>
      </c>
    </row>
    <row r="5095" spans="2:10" ht="15" customHeight="1" x14ac:dyDescent="0.2">
      <c r="B5095" s="39">
        <f t="shared" si="38"/>
      </c>
      <c r="C5095" s="40">
        <f>IF(Inputs!$C$60,Inputs!$C$11+(B5095-Inputs!$C$69)/Inputs!$C$70,"")</f>
      </c>
      <c r="D5095" s="15"/>
      <c r="E5095" s="15"/>
      <c r="F5095" s="11">
        <f t="shared" si="39"/>
      </c>
      <c r="G5095" s="22" cm="1">
        <f t="array" ref="G5095">IF(AND(Inputs!$C$60,Inputs!$C$61),INDEX(Utility_Rates!$C$29:$F$52,HOUR(C5095)+Inputs!$C$69,MATCH(INDEX(Utility_Rates!$K$6:$K$17,MONTH(C5095))&amp;IF(WEEKDAY(C5095,Inputs!$C$76)&lt;=Inputs!$C$74," weekday"," weekend"),Utility_Rates!$C$28:$F$28,Inputs!$C$68)),"")</f>
      </c>
      <c r="H5095" s="34"/>
      <c r="I5095" s="42">
        <f>IF(AND(ISNUMBER(D5095),ISNUMBER(H5095)),D5095*H5095*Inputs!$C$69,"")</f>
      </c>
      <c r="J5095" s="42">
        <f>IF(AND(ISNUMBER(F5095),ISNUMBER(H5095),F5095&gt;=Inputs!$C$68),F5095*H5095*Inputs!$C$69,"")</f>
      </c>
    </row>
    <row r="5096" spans="2:10" ht="15" customHeight="1" x14ac:dyDescent="0.2">
      <c r="B5096" s="39">
        <f t="shared" si="38"/>
      </c>
      <c r="C5096" s="40">
        <f>IF(Inputs!$C$60,Inputs!$C$11+(B5096-Inputs!$C$69)/Inputs!$C$70,"")</f>
      </c>
      <c r="D5096" s="15"/>
      <c r="E5096" s="15"/>
      <c r="F5096" s="11">
        <f t="shared" si="39"/>
      </c>
      <c r="G5096" s="22" cm="1">
        <f t="array" ref="G5096">IF(AND(Inputs!$C$60,Inputs!$C$61),INDEX(Utility_Rates!$C$29:$F$52,HOUR(C5096)+Inputs!$C$69,MATCH(INDEX(Utility_Rates!$K$6:$K$17,MONTH(C5096))&amp;IF(WEEKDAY(C5096,Inputs!$C$76)&lt;=Inputs!$C$74," weekday"," weekend"),Utility_Rates!$C$28:$F$28,Inputs!$C$68)),"")</f>
      </c>
      <c r="H5096" s="34"/>
      <c r="I5096" s="42">
        <f>IF(AND(ISNUMBER(D5096),ISNUMBER(H5096)),D5096*H5096*Inputs!$C$69,"")</f>
      </c>
      <c r="J5096" s="42">
        <f>IF(AND(ISNUMBER(F5096),ISNUMBER(H5096),F5096&gt;=Inputs!$C$68),F5096*H5096*Inputs!$C$69,"")</f>
      </c>
    </row>
    <row r="5097" spans="2:10" ht="15" customHeight="1" x14ac:dyDescent="0.2">
      <c r="B5097" s="39">
        <f t="shared" si="38"/>
      </c>
      <c r="C5097" s="40">
        <f>IF(Inputs!$C$60,Inputs!$C$11+(B5097-Inputs!$C$69)/Inputs!$C$70,"")</f>
      </c>
      <c r="D5097" s="15"/>
      <c r="E5097" s="15"/>
      <c r="F5097" s="11">
        <f t="shared" si="39"/>
      </c>
      <c r="G5097" s="22" cm="1">
        <f t="array" ref="G5097">IF(AND(Inputs!$C$60,Inputs!$C$61),INDEX(Utility_Rates!$C$29:$F$52,HOUR(C5097)+Inputs!$C$69,MATCH(INDEX(Utility_Rates!$K$6:$K$17,MONTH(C5097))&amp;IF(WEEKDAY(C5097,Inputs!$C$76)&lt;=Inputs!$C$74," weekday"," weekend"),Utility_Rates!$C$28:$F$28,Inputs!$C$68)),"")</f>
      </c>
      <c r="H5097" s="34"/>
      <c r="I5097" s="42">
        <f>IF(AND(ISNUMBER(D5097),ISNUMBER(H5097)),D5097*H5097*Inputs!$C$69,"")</f>
      </c>
      <c r="J5097" s="42">
        <f>IF(AND(ISNUMBER(F5097),ISNUMBER(H5097),F5097&gt;=Inputs!$C$68),F5097*H5097*Inputs!$C$69,"")</f>
      </c>
    </row>
    <row r="5098" spans="2:10" ht="15" customHeight="1" x14ac:dyDescent="0.2">
      <c r="B5098" s="39">
        <f t="shared" si="38"/>
      </c>
      <c r="C5098" s="40">
        <f>IF(Inputs!$C$60,Inputs!$C$11+(B5098-Inputs!$C$69)/Inputs!$C$70,"")</f>
      </c>
      <c r="D5098" s="15"/>
      <c r="E5098" s="15"/>
      <c r="F5098" s="11">
        <f t="shared" si="39"/>
      </c>
      <c r="G5098" s="22" cm="1">
        <f t="array" ref="G5098">IF(AND(Inputs!$C$60,Inputs!$C$61),INDEX(Utility_Rates!$C$29:$F$52,HOUR(C5098)+Inputs!$C$69,MATCH(INDEX(Utility_Rates!$K$6:$K$17,MONTH(C5098))&amp;IF(WEEKDAY(C5098,Inputs!$C$76)&lt;=Inputs!$C$74," weekday"," weekend"),Utility_Rates!$C$28:$F$28,Inputs!$C$68)),"")</f>
      </c>
      <c r="H5098" s="34"/>
      <c r="I5098" s="42">
        <f>IF(AND(ISNUMBER(D5098),ISNUMBER(H5098)),D5098*H5098*Inputs!$C$69,"")</f>
      </c>
      <c r="J5098" s="42">
        <f>IF(AND(ISNUMBER(F5098),ISNUMBER(H5098),F5098&gt;=Inputs!$C$68),F5098*H5098*Inputs!$C$69,"")</f>
      </c>
    </row>
    <row r="5099" spans="2:10" ht="15" customHeight="1" x14ac:dyDescent="0.2">
      <c r="B5099" s="39">
        <f t="shared" si="38"/>
      </c>
      <c r="C5099" s="40">
        <f>IF(Inputs!$C$60,Inputs!$C$11+(B5099-Inputs!$C$69)/Inputs!$C$70,"")</f>
      </c>
      <c r="D5099" s="15"/>
      <c r="E5099" s="15"/>
      <c r="F5099" s="11">
        <f t="shared" si="39"/>
      </c>
      <c r="G5099" s="22" cm="1">
        <f t="array" ref="G5099">IF(AND(Inputs!$C$60,Inputs!$C$61),INDEX(Utility_Rates!$C$29:$F$52,HOUR(C5099)+Inputs!$C$69,MATCH(INDEX(Utility_Rates!$K$6:$K$17,MONTH(C5099))&amp;IF(WEEKDAY(C5099,Inputs!$C$76)&lt;=Inputs!$C$74," weekday"," weekend"),Utility_Rates!$C$28:$F$28,Inputs!$C$68)),"")</f>
      </c>
      <c r="H5099" s="34"/>
      <c r="I5099" s="42">
        <f>IF(AND(ISNUMBER(D5099),ISNUMBER(H5099)),D5099*H5099*Inputs!$C$69,"")</f>
      </c>
      <c r="J5099" s="42">
        <f>IF(AND(ISNUMBER(F5099),ISNUMBER(H5099),F5099&gt;=Inputs!$C$68),F5099*H5099*Inputs!$C$69,"")</f>
      </c>
    </row>
    <row r="5100" spans="2:10" ht="15" customHeight="1" x14ac:dyDescent="0.2">
      <c r="B5100" s="39">
        <f t="shared" si="38"/>
      </c>
      <c r="C5100" s="40">
        <f>IF(Inputs!$C$60,Inputs!$C$11+(B5100-Inputs!$C$69)/Inputs!$C$70,"")</f>
      </c>
      <c r="D5100" s="15"/>
      <c r="E5100" s="15"/>
      <c r="F5100" s="11">
        <f t="shared" si="39"/>
      </c>
      <c r="G5100" s="22" cm="1">
        <f t="array" ref="G5100">IF(AND(Inputs!$C$60,Inputs!$C$61),INDEX(Utility_Rates!$C$29:$F$52,HOUR(C5100)+Inputs!$C$69,MATCH(INDEX(Utility_Rates!$K$6:$K$17,MONTH(C5100))&amp;IF(WEEKDAY(C5100,Inputs!$C$76)&lt;=Inputs!$C$74," weekday"," weekend"),Utility_Rates!$C$28:$F$28,Inputs!$C$68)),"")</f>
      </c>
      <c r="H5100" s="34"/>
      <c r="I5100" s="42">
        <f>IF(AND(ISNUMBER(D5100),ISNUMBER(H5100)),D5100*H5100*Inputs!$C$69,"")</f>
      </c>
      <c r="J5100" s="42">
        <f>IF(AND(ISNUMBER(F5100),ISNUMBER(H5100),F5100&gt;=Inputs!$C$68),F5100*H5100*Inputs!$C$69,"")</f>
      </c>
    </row>
    <row r="5101" spans="2:10" ht="15" customHeight="1" x14ac:dyDescent="0.2">
      <c r="B5101" s="39">
        <f t="shared" si="38"/>
      </c>
      <c r="C5101" s="40">
        <f>IF(Inputs!$C$60,Inputs!$C$11+(B5101-Inputs!$C$69)/Inputs!$C$70,"")</f>
      </c>
      <c r="D5101" s="15"/>
      <c r="E5101" s="15"/>
      <c r="F5101" s="11">
        <f t="shared" si="39"/>
      </c>
      <c r="G5101" s="22" cm="1">
        <f t="array" ref="G5101">IF(AND(Inputs!$C$60,Inputs!$C$61),INDEX(Utility_Rates!$C$29:$F$52,HOUR(C5101)+Inputs!$C$69,MATCH(INDEX(Utility_Rates!$K$6:$K$17,MONTH(C5101))&amp;IF(WEEKDAY(C5101,Inputs!$C$76)&lt;=Inputs!$C$74," weekday"," weekend"),Utility_Rates!$C$28:$F$28,Inputs!$C$68)),"")</f>
      </c>
      <c r="H5101" s="34"/>
      <c r="I5101" s="42">
        <f>IF(AND(ISNUMBER(D5101),ISNUMBER(H5101)),D5101*H5101*Inputs!$C$69,"")</f>
      </c>
      <c r="J5101" s="42">
        <f>IF(AND(ISNUMBER(F5101),ISNUMBER(H5101),F5101&gt;=Inputs!$C$68),F5101*H5101*Inputs!$C$69,"")</f>
      </c>
    </row>
    <row r="5102" spans="2:10" ht="15" customHeight="1" x14ac:dyDescent="0.2">
      <c r="B5102" s="39">
        <f t="shared" si="38"/>
      </c>
      <c r="C5102" s="40">
        <f>IF(Inputs!$C$60,Inputs!$C$11+(B5102-Inputs!$C$69)/Inputs!$C$70,"")</f>
      </c>
      <c r="D5102" s="15"/>
      <c r="E5102" s="15"/>
      <c r="F5102" s="11">
        <f t="shared" si="39"/>
      </c>
      <c r="G5102" s="22" cm="1">
        <f t="array" ref="G5102">IF(AND(Inputs!$C$60,Inputs!$C$61),INDEX(Utility_Rates!$C$29:$F$52,HOUR(C5102)+Inputs!$C$69,MATCH(INDEX(Utility_Rates!$K$6:$K$17,MONTH(C5102))&amp;IF(WEEKDAY(C5102,Inputs!$C$76)&lt;=Inputs!$C$74," weekday"," weekend"),Utility_Rates!$C$28:$F$28,Inputs!$C$68)),"")</f>
      </c>
      <c r="H5102" s="34"/>
      <c r="I5102" s="42">
        <f>IF(AND(ISNUMBER(D5102),ISNUMBER(H5102)),D5102*H5102*Inputs!$C$69,"")</f>
      </c>
      <c r="J5102" s="42">
        <f>IF(AND(ISNUMBER(F5102),ISNUMBER(H5102),F5102&gt;=Inputs!$C$68),F5102*H5102*Inputs!$C$69,"")</f>
      </c>
    </row>
    <row r="5103" spans="2:10" ht="15" customHeight="1" x14ac:dyDescent="0.2">
      <c r="B5103" s="39">
        <f t="shared" si="38"/>
      </c>
      <c r="C5103" s="40">
        <f>IF(Inputs!$C$60,Inputs!$C$11+(B5103-Inputs!$C$69)/Inputs!$C$70,"")</f>
      </c>
      <c r="D5103" s="15"/>
      <c r="E5103" s="15"/>
      <c r="F5103" s="11">
        <f t="shared" si="39"/>
      </c>
      <c r="G5103" s="22" cm="1">
        <f t="array" ref="G5103">IF(AND(Inputs!$C$60,Inputs!$C$61),INDEX(Utility_Rates!$C$29:$F$52,HOUR(C5103)+Inputs!$C$69,MATCH(INDEX(Utility_Rates!$K$6:$K$17,MONTH(C5103))&amp;IF(WEEKDAY(C5103,Inputs!$C$76)&lt;=Inputs!$C$74," weekday"," weekend"),Utility_Rates!$C$28:$F$28,Inputs!$C$68)),"")</f>
      </c>
      <c r="H5103" s="34"/>
      <c r="I5103" s="42">
        <f>IF(AND(ISNUMBER(D5103),ISNUMBER(H5103)),D5103*H5103*Inputs!$C$69,"")</f>
      </c>
      <c r="J5103" s="42">
        <f>IF(AND(ISNUMBER(F5103),ISNUMBER(H5103),F5103&gt;=Inputs!$C$68),F5103*H5103*Inputs!$C$69,"")</f>
      </c>
    </row>
    <row r="5104" spans="2:10" ht="15" customHeight="1" x14ac:dyDescent="0.2">
      <c r="B5104" s="39">
        <f t="shared" si="38"/>
      </c>
      <c r="C5104" s="40">
        <f>IF(Inputs!$C$60,Inputs!$C$11+(B5104-Inputs!$C$69)/Inputs!$C$70,"")</f>
      </c>
      <c r="D5104" s="15"/>
      <c r="E5104" s="15"/>
      <c r="F5104" s="11">
        <f t="shared" si="39"/>
      </c>
      <c r="G5104" s="22" cm="1">
        <f t="array" ref="G5104">IF(AND(Inputs!$C$60,Inputs!$C$61),INDEX(Utility_Rates!$C$29:$F$52,HOUR(C5104)+Inputs!$C$69,MATCH(INDEX(Utility_Rates!$K$6:$K$17,MONTH(C5104))&amp;IF(WEEKDAY(C5104,Inputs!$C$76)&lt;=Inputs!$C$74," weekday"," weekend"),Utility_Rates!$C$28:$F$28,Inputs!$C$68)),"")</f>
      </c>
      <c r="H5104" s="34"/>
      <c r="I5104" s="42">
        <f>IF(AND(ISNUMBER(D5104),ISNUMBER(H5104)),D5104*H5104*Inputs!$C$69,"")</f>
      </c>
      <c r="J5104" s="42">
        <f>IF(AND(ISNUMBER(F5104),ISNUMBER(H5104),F5104&gt;=Inputs!$C$68),F5104*H5104*Inputs!$C$69,"")</f>
      </c>
    </row>
    <row r="5105" spans="2:10" ht="15" customHeight="1" x14ac:dyDescent="0.2">
      <c r="B5105" s="39">
        <f t="shared" si="38"/>
      </c>
      <c r="C5105" s="40">
        <f>IF(Inputs!$C$60,Inputs!$C$11+(B5105-Inputs!$C$69)/Inputs!$C$70,"")</f>
      </c>
      <c r="D5105" s="15"/>
      <c r="E5105" s="15"/>
      <c r="F5105" s="11">
        <f t="shared" si="39"/>
      </c>
      <c r="G5105" s="22" cm="1">
        <f t="array" ref="G5105">IF(AND(Inputs!$C$60,Inputs!$C$61),INDEX(Utility_Rates!$C$29:$F$52,HOUR(C5105)+Inputs!$C$69,MATCH(INDEX(Utility_Rates!$K$6:$K$17,MONTH(C5105))&amp;IF(WEEKDAY(C5105,Inputs!$C$76)&lt;=Inputs!$C$74," weekday"," weekend"),Utility_Rates!$C$28:$F$28,Inputs!$C$68)),"")</f>
      </c>
      <c r="H5105" s="34"/>
      <c r="I5105" s="42">
        <f>IF(AND(ISNUMBER(D5105),ISNUMBER(H5105)),D5105*H5105*Inputs!$C$69,"")</f>
      </c>
      <c r="J5105" s="42">
        <f>IF(AND(ISNUMBER(F5105),ISNUMBER(H5105),F5105&gt;=Inputs!$C$68),F5105*H5105*Inputs!$C$69,"")</f>
      </c>
    </row>
    <row r="5106" spans="2:10" ht="15" customHeight="1" x14ac:dyDescent="0.2">
      <c r="B5106" s="39">
        <f t="shared" ref="B5106:B5360" si="40">ROW()-ROW($B$5)</f>
      </c>
      <c r="C5106" s="40">
        <f>IF(Inputs!$C$60,Inputs!$C$11+(B5106-Inputs!$C$69)/Inputs!$C$70,"")</f>
      </c>
      <c r="D5106" s="15"/>
      <c r="E5106" s="15"/>
      <c r="F5106" s="11">
        <f t="shared" ref="F5106:F5360" si="41">IF(COUNT(D5106:E5106)=COLUMNS(D5106:E5106),D5106-E5106,"")</f>
      </c>
      <c r="G5106" s="22" cm="1">
        <f t="array" ref="G5106">IF(AND(Inputs!$C$60,Inputs!$C$61),INDEX(Utility_Rates!$C$29:$F$52,HOUR(C5106)+Inputs!$C$69,MATCH(INDEX(Utility_Rates!$K$6:$K$17,MONTH(C5106))&amp;IF(WEEKDAY(C5106,Inputs!$C$76)&lt;=Inputs!$C$74," weekday"," weekend"),Utility_Rates!$C$28:$F$28,Inputs!$C$68)),"")</f>
      </c>
      <c r="H5106" s="34"/>
      <c r="I5106" s="42">
        <f>IF(AND(ISNUMBER(D5106),ISNUMBER(H5106)),D5106*H5106*Inputs!$C$69,"")</f>
      </c>
      <c r="J5106" s="42">
        <f>IF(AND(ISNUMBER(F5106),ISNUMBER(H5106),F5106&gt;=Inputs!$C$68),F5106*H5106*Inputs!$C$69,"")</f>
      </c>
    </row>
    <row r="5107" spans="2:10" ht="15" customHeight="1" x14ac:dyDescent="0.2">
      <c r="B5107" s="39">
        <f t="shared" si="40"/>
      </c>
      <c r="C5107" s="40">
        <f>IF(Inputs!$C$60,Inputs!$C$11+(B5107-Inputs!$C$69)/Inputs!$C$70,"")</f>
      </c>
      <c r="D5107" s="15"/>
      <c r="E5107" s="15"/>
      <c r="F5107" s="11">
        <f t="shared" si="41"/>
      </c>
      <c r="G5107" s="22" cm="1">
        <f t="array" ref="G5107">IF(AND(Inputs!$C$60,Inputs!$C$61),INDEX(Utility_Rates!$C$29:$F$52,HOUR(C5107)+Inputs!$C$69,MATCH(INDEX(Utility_Rates!$K$6:$K$17,MONTH(C5107))&amp;IF(WEEKDAY(C5107,Inputs!$C$76)&lt;=Inputs!$C$74," weekday"," weekend"),Utility_Rates!$C$28:$F$28,Inputs!$C$68)),"")</f>
      </c>
      <c r="H5107" s="34"/>
      <c r="I5107" s="42">
        <f>IF(AND(ISNUMBER(D5107),ISNUMBER(H5107)),D5107*H5107*Inputs!$C$69,"")</f>
      </c>
      <c r="J5107" s="42">
        <f>IF(AND(ISNUMBER(F5107),ISNUMBER(H5107),F5107&gt;=Inputs!$C$68),F5107*H5107*Inputs!$C$69,"")</f>
      </c>
    </row>
    <row r="5108" spans="2:10" ht="15" customHeight="1" x14ac:dyDescent="0.2">
      <c r="B5108" s="39">
        <f t="shared" si="40"/>
      </c>
      <c r="C5108" s="40">
        <f>IF(Inputs!$C$60,Inputs!$C$11+(B5108-Inputs!$C$69)/Inputs!$C$70,"")</f>
      </c>
      <c r="D5108" s="15"/>
      <c r="E5108" s="15"/>
      <c r="F5108" s="11">
        <f t="shared" si="41"/>
      </c>
      <c r="G5108" s="22" cm="1">
        <f t="array" ref="G5108">IF(AND(Inputs!$C$60,Inputs!$C$61),INDEX(Utility_Rates!$C$29:$F$52,HOUR(C5108)+Inputs!$C$69,MATCH(INDEX(Utility_Rates!$K$6:$K$17,MONTH(C5108))&amp;IF(WEEKDAY(C5108,Inputs!$C$76)&lt;=Inputs!$C$74," weekday"," weekend"),Utility_Rates!$C$28:$F$28,Inputs!$C$68)),"")</f>
      </c>
      <c r="H5108" s="34"/>
      <c r="I5108" s="42">
        <f>IF(AND(ISNUMBER(D5108),ISNUMBER(H5108)),D5108*H5108*Inputs!$C$69,"")</f>
      </c>
      <c r="J5108" s="42">
        <f>IF(AND(ISNUMBER(F5108),ISNUMBER(H5108),F5108&gt;=Inputs!$C$68),F5108*H5108*Inputs!$C$69,"")</f>
      </c>
    </row>
    <row r="5109" spans="2:10" ht="15" customHeight="1" x14ac:dyDescent="0.2">
      <c r="B5109" s="39">
        <f t="shared" si="40"/>
      </c>
      <c r="C5109" s="40">
        <f>IF(Inputs!$C$60,Inputs!$C$11+(B5109-Inputs!$C$69)/Inputs!$C$70,"")</f>
      </c>
      <c r="D5109" s="15"/>
      <c r="E5109" s="15"/>
      <c r="F5109" s="11">
        <f t="shared" si="41"/>
      </c>
      <c r="G5109" s="22" cm="1">
        <f t="array" ref="G5109">IF(AND(Inputs!$C$60,Inputs!$C$61),INDEX(Utility_Rates!$C$29:$F$52,HOUR(C5109)+Inputs!$C$69,MATCH(INDEX(Utility_Rates!$K$6:$K$17,MONTH(C5109))&amp;IF(WEEKDAY(C5109,Inputs!$C$76)&lt;=Inputs!$C$74," weekday"," weekend"),Utility_Rates!$C$28:$F$28,Inputs!$C$68)),"")</f>
      </c>
      <c r="H5109" s="34"/>
      <c r="I5109" s="42">
        <f>IF(AND(ISNUMBER(D5109),ISNUMBER(H5109)),D5109*H5109*Inputs!$C$69,"")</f>
      </c>
      <c r="J5109" s="42">
        <f>IF(AND(ISNUMBER(F5109),ISNUMBER(H5109),F5109&gt;=Inputs!$C$68),F5109*H5109*Inputs!$C$69,"")</f>
      </c>
    </row>
    <row r="5110" spans="2:10" ht="15" customHeight="1" x14ac:dyDescent="0.2">
      <c r="B5110" s="39">
        <f t="shared" si="40"/>
      </c>
      <c r="C5110" s="40">
        <f>IF(Inputs!$C$60,Inputs!$C$11+(B5110-Inputs!$C$69)/Inputs!$C$70,"")</f>
      </c>
      <c r="D5110" s="15"/>
      <c r="E5110" s="15"/>
      <c r="F5110" s="11">
        <f t="shared" si="41"/>
      </c>
      <c r="G5110" s="22" cm="1">
        <f t="array" ref="G5110">IF(AND(Inputs!$C$60,Inputs!$C$61),INDEX(Utility_Rates!$C$29:$F$52,HOUR(C5110)+Inputs!$C$69,MATCH(INDEX(Utility_Rates!$K$6:$K$17,MONTH(C5110))&amp;IF(WEEKDAY(C5110,Inputs!$C$76)&lt;=Inputs!$C$74," weekday"," weekend"),Utility_Rates!$C$28:$F$28,Inputs!$C$68)),"")</f>
      </c>
      <c r="H5110" s="34"/>
      <c r="I5110" s="42">
        <f>IF(AND(ISNUMBER(D5110),ISNUMBER(H5110)),D5110*H5110*Inputs!$C$69,"")</f>
      </c>
      <c r="J5110" s="42">
        <f>IF(AND(ISNUMBER(F5110),ISNUMBER(H5110),F5110&gt;=Inputs!$C$68),F5110*H5110*Inputs!$C$69,"")</f>
      </c>
    </row>
    <row r="5111" spans="2:10" ht="15" customHeight="1" x14ac:dyDescent="0.2">
      <c r="B5111" s="39">
        <f t="shared" si="40"/>
      </c>
      <c r="C5111" s="40">
        <f>IF(Inputs!$C$60,Inputs!$C$11+(B5111-Inputs!$C$69)/Inputs!$C$70,"")</f>
      </c>
      <c r="D5111" s="15"/>
      <c r="E5111" s="15"/>
      <c r="F5111" s="11">
        <f t="shared" si="41"/>
      </c>
      <c r="G5111" s="22" cm="1">
        <f t="array" ref="G5111">IF(AND(Inputs!$C$60,Inputs!$C$61),INDEX(Utility_Rates!$C$29:$F$52,HOUR(C5111)+Inputs!$C$69,MATCH(INDEX(Utility_Rates!$K$6:$K$17,MONTH(C5111))&amp;IF(WEEKDAY(C5111,Inputs!$C$76)&lt;=Inputs!$C$74," weekday"," weekend"),Utility_Rates!$C$28:$F$28,Inputs!$C$68)),"")</f>
      </c>
      <c r="H5111" s="34"/>
      <c r="I5111" s="42">
        <f>IF(AND(ISNUMBER(D5111),ISNUMBER(H5111)),D5111*H5111*Inputs!$C$69,"")</f>
      </c>
      <c r="J5111" s="42">
        <f>IF(AND(ISNUMBER(F5111),ISNUMBER(H5111),F5111&gt;=Inputs!$C$68),F5111*H5111*Inputs!$C$69,"")</f>
      </c>
    </row>
    <row r="5112" spans="2:10" ht="15" customHeight="1" x14ac:dyDescent="0.2">
      <c r="B5112" s="39">
        <f t="shared" si="40"/>
      </c>
      <c r="C5112" s="40">
        <f>IF(Inputs!$C$60,Inputs!$C$11+(B5112-Inputs!$C$69)/Inputs!$C$70,"")</f>
      </c>
      <c r="D5112" s="15"/>
      <c r="E5112" s="15"/>
      <c r="F5112" s="11">
        <f t="shared" si="41"/>
      </c>
      <c r="G5112" s="22" cm="1">
        <f t="array" ref="G5112">IF(AND(Inputs!$C$60,Inputs!$C$61),INDEX(Utility_Rates!$C$29:$F$52,HOUR(C5112)+Inputs!$C$69,MATCH(INDEX(Utility_Rates!$K$6:$K$17,MONTH(C5112))&amp;IF(WEEKDAY(C5112,Inputs!$C$76)&lt;=Inputs!$C$74," weekday"," weekend"),Utility_Rates!$C$28:$F$28,Inputs!$C$68)),"")</f>
      </c>
      <c r="H5112" s="34"/>
      <c r="I5112" s="42">
        <f>IF(AND(ISNUMBER(D5112),ISNUMBER(H5112)),D5112*H5112*Inputs!$C$69,"")</f>
      </c>
      <c r="J5112" s="42">
        <f>IF(AND(ISNUMBER(F5112),ISNUMBER(H5112),F5112&gt;=Inputs!$C$68),F5112*H5112*Inputs!$C$69,"")</f>
      </c>
    </row>
    <row r="5113" spans="2:10" ht="15" customHeight="1" x14ac:dyDescent="0.2">
      <c r="B5113" s="39">
        <f t="shared" si="40"/>
      </c>
      <c r="C5113" s="40">
        <f>IF(Inputs!$C$60,Inputs!$C$11+(B5113-Inputs!$C$69)/Inputs!$C$70,"")</f>
      </c>
      <c r="D5113" s="15"/>
      <c r="E5113" s="15"/>
      <c r="F5113" s="11">
        <f t="shared" si="41"/>
      </c>
      <c r="G5113" s="22" cm="1">
        <f t="array" ref="G5113">IF(AND(Inputs!$C$60,Inputs!$C$61),INDEX(Utility_Rates!$C$29:$F$52,HOUR(C5113)+Inputs!$C$69,MATCH(INDEX(Utility_Rates!$K$6:$K$17,MONTH(C5113))&amp;IF(WEEKDAY(C5113,Inputs!$C$76)&lt;=Inputs!$C$74," weekday"," weekend"),Utility_Rates!$C$28:$F$28,Inputs!$C$68)),"")</f>
      </c>
      <c r="H5113" s="34"/>
      <c r="I5113" s="42">
        <f>IF(AND(ISNUMBER(D5113),ISNUMBER(H5113)),D5113*H5113*Inputs!$C$69,"")</f>
      </c>
      <c r="J5113" s="42">
        <f>IF(AND(ISNUMBER(F5113),ISNUMBER(H5113),F5113&gt;=Inputs!$C$68),F5113*H5113*Inputs!$C$69,"")</f>
      </c>
    </row>
    <row r="5114" spans="2:10" ht="15" customHeight="1" x14ac:dyDescent="0.2">
      <c r="B5114" s="39">
        <f t="shared" si="40"/>
      </c>
      <c r="C5114" s="40">
        <f>IF(Inputs!$C$60,Inputs!$C$11+(B5114-Inputs!$C$69)/Inputs!$C$70,"")</f>
      </c>
      <c r="D5114" s="15"/>
      <c r="E5114" s="15"/>
      <c r="F5114" s="11">
        <f t="shared" si="41"/>
      </c>
      <c r="G5114" s="22" cm="1">
        <f t="array" ref="G5114">IF(AND(Inputs!$C$60,Inputs!$C$61),INDEX(Utility_Rates!$C$29:$F$52,HOUR(C5114)+Inputs!$C$69,MATCH(INDEX(Utility_Rates!$K$6:$K$17,MONTH(C5114))&amp;IF(WEEKDAY(C5114,Inputs!$C$76)&lt;=Inputs!$C$74," weekday"," weekend"),Utility_Rates!$C$28:$F$28,Inputs!$C$68)),"")</f>
      </c>
      <c r="H5114" s="34"/>
      <c r="I5114" s="42">
        <f>IF(AND(ISNUMBER(D5114),ISNUMBER(H5114)),D5114*H5114*Inputs!$C$69,"")</f>
      </c>
      <c r="J5114" s="42">
        <f>IF(AND(ISNUMBER(F5114),ISNUMBER(H5114),F5114&gt;=Inputs!$C$68),F5114*H5114*Inputs!$C$69,"")</f>
      </c>
    </row>
    <row r="5115" spans="2:10" ht="15" customHeight="1" x14ac:dyDescent="0.2">
      <c r="B5115" s="39">
        <f t="shared" si="40"/>
      </c>
      <c r="C5115" s="40">
        <f>IF(Inputs!$C$60,Inputs!$C$11+(B5115-Inputs!$C$69)/Inputs!$C$70,"")</f>
      </c>
      <c r="D5115" s="15"/>
      <c r="E5115" s="15"/>
      <c r="F5115" s="11">
        <f t="shared" si="41"/>
      </c>
      <c r="G5115" s="22" cm="1">
        <f t="array" ref="G5115">IF(AND(Inputs!$C$60,Inputs!$C$61),INDEX(Utility_Rates!$C$29:$F$52,HOUR(C5115)+Inputs!$C$69,MATCH(INDEX(Utility_Rates!$K$6:$K$17,MONTH(C5115))&amp;IF(WEEKDAY(C5115,Inputs!$C$76)&lt;=Inputs!$C$74," weekday"," weekend"),Utility_Rates!$C$28:$F$28,Inputs!$C$68)),"")</f>
      </c>
      <c r="H5115" s="34"/>
      <c r="I5115" s="42">
        <f>IF(AND(ISNUMBER(D5115),ISNUMBER(H5115)),D5115*H5115*Inputs!$C$69,"")</f>
      </c>
      <c r="J5115" s="42">
        <f>IF(AND(ISNUMBER(F5115),ISNUMBER(H5115),F5115&gt;=Inputs!$C$68),F5115*H5115*Inputs!$C$69,"")</f>
      </c>
    </row>
    <row r="5116" spans="2:10" ht="15" customHeight="1" x14ac:dyDescent="0.2">
      <c r="B5116" s="39">
        <f t="shared" si="40"/>
      </c>
      <c r="C5116" s="40">
        <f>IF(Inputs!$C$60,Inputs!$C$11+(B5116-Inputs!$C$69)/Inputs!$C$70,"")</f>
      </c>
      <c r="D5116" s="15"/>
      <c r="E5116" s="15"/>
      <c r="F5116" s="11">
        <f t="shared" si="41"/>
      </c>
      <c r="G5116" s="22" cm="1">
        <f t="array" ref="G5116">IF(AND(Inputs!$C$60,Inputs!$C$61),INDEX(Utility_Rates!$C$29:$F$52,HOUR(C5116)+Inputs!$C$69,MATCH(INDEX(Utility_Rates!$K$6:$K$17,MONTH(C5116))&amp;IF(WEEKDAY(C5116,Inputs!$C$76)&lt;=Inputs!$C$74," weekday"," weekend"),Utility_Rates!$C$28:$F$28,Inputs!$C$68)),"")</f>
      </c>
      <c r="H5116" s="34"/>
      <c r="I5116" s="42">
        <f>IF(AND(ISNUMBER(D5116),ISNUMBER(H5116)),D5116*H5116*Inputs!$C$69,"")</f>
      </c>
      <c r="J5116" s="42">
        <f>IF(AND(ISNUMBER(F5116),ISNUMBER(H5116),F5116&gt;=Inputs!$C$68),F5116*H5116*Inputs!$C$69,"")</f>
      </c>
    </row>
    <row r="5117" spans="2:10" ht="15" customHeight="1" x14ac:dyDescent="0.2">
      <c r="B5117" s="39">
        <f t="shared" si="40"/>
      </c>
      <c r="C5117" s="40">
        <f>IF(Inputs!$C$60,Inputs!$C$11+(B5117-Inputs!$C$69)/Inputs!$C$70,"")</f>
      </c>
      <c r="D5117" s="15"/>
      <c r="E5117" s="15"/>
      <c r="F5117" s="11">
        <f t="shared" si="41"/>
      </c>
      <c r="G5117" s="22" cm="1">
        <f t="array" ref="G5117">IF(AND(Inputs!$C$60,Inputs!$C$61),INDEX(Utility_Rates!$C$29:$F$52,HOUR(C5117)+Inputs!$C$69,MATCH(INDEX(Utility_Rates!$K$6:$K$17,MONTH(C5117))&amp;IF(WEEKDAY(C5117,Inputs!$C$76)&lt;=Inputs!$C$74," weekday"," weekend"),Utility_Rates!$C$28:$F$28,Inputs!$C$68)),"")</f>
      </c>
      <c r="H5117" s="34"/>
      <c r="I5117" s="42">
        <f>IF(AND(ISNUMBER(D5117),ISNUMBER(H5117)),D5117*H5117*Inputs!$C$69,"")</f>
      </c>
      <c r="J5117" s="42">
        <f>IF(AND(ISNUMBER(F5117),ISNUMBER(H5117),F5117&gt;=Inputs!$C$68),F5117*H5117*Inputs!$C$69,"")</f>
      </c>
    </row>
    <row r="5118" spans="2:10" ht="15" customHeight="1" x14ac:dyDescent="0.2">
      <c r="B5118" s="39">
        <f t="shared" si="40"/>
      </c>
      <c r="C5118" s="40">
        <f>IF(Inputs!$C$60,Inputs!$C$11+(B5118-Inputs!$C$69)/Inputs!$C$70,"")</f>
      </c>
      <c r="D5118" s="15"/>
      <c r="E5118" s="15"/>
      <c r="F5118" s="11">
        <f t="shared" si="41"/>
      </c>
      <c r="G5118" s="22" cm="1">
        <f t="array" ref="G5118">IF(AND(Inputs!$C$60,Inputs!$C$61),INDEX(Utility_Rates!$C$29:$F$52,HOUR(C5118)+Inputs!$C$69,MATCH(INDEX(Utility_Rates!$K$6:$K$17,MONTH(C5118))&amp;IF(WEEKDAY(C5118,Inputs!$C$76)&lt;=Inputs!$C$74," weekday"," weekend"),Utility_Rates!$C$28:$F$28,Inputs!$C$68)),"")</f>
      </c>
      <c r="H5118" s="34"/>
      <c r="I5118" s="42">
        <f>IF(AND(ISNUMBER(D5118),ISNUMBER(H5118)),D5118*H5118*Inputs!$C$69,"")</f>
      </c>
      <c r="J5118" s="42">
        <f>IF(AND(ISNUMBER(F5118),ISNUMBER(H5118),F5118&gt;=Inputs!$C$68),F5118*H5118*Inputs!$C$69,"")</f>
      </c>
    </row>
    <row r="5119" spans="2:10" ht="15" customHeight="1" x14ac:dyDescent="0.2">
      <c r="B5119" s="39">
        <f t="shared" si="40"/>
      </c>
      <c r="C5119" s="40">
        <f>IF(Inputs!$C$60,Inputs!$C$11+(B5119-Inputs!$C$69)/Inputs!$C$70,"")</f>
      </c>
      <c r="D5119" s="15"/>
      <c r="E5119" s="15"/>
      <c r="F5119" s="11">
        <f t="shared" si="41"/>
      </c>
      <c r="G5119" s="22" cm="1">
        <f t="array" ref="G5119">IF(AND(Inputs!$C$60,Inputs!$C$61),INDEX(Utility_Rates!$C$29:$F$52,HOUR(C5119)+Inputs!$C$69,MATCH(INDEX(Utility_Rates!$K$6:$K$17,MONTH(C5119))&amp;IF(WEEKDAY(C5119,Inputs!$C$76)&lt;=Inputs!$C$74," weekday"," weekend"),Utility_Rates!$C$28:$F$28,Inputs!$C$68)),"")</f>
      </c>
      <c r="H5119" s="34"/>
      <c r="I5119" s="42">
        <f>IF(AND(ISNUMBER(D5119),ISNUMBER(H5119)),D5119*H5119*Inputs!$C$69,"")</f>
      </c>
      <c r="J5119" s="42">
        <f>IF(AND(ISNUMBER(F5119),ISNUMBER(H5119),F5119&gt;=Inputs!$C$68),F5119*H5119*Inputs!$C$69,"")</f>
      </c>
    </row>
    <row r="5120" spans="2:10" ht="15" customHeight="1" x14ac:dyDescent="0.2">
      <c r="B5120" s="39">
        <f t="shared" si="40"/>
      </c>
      <c r="C5120" s="40">
        <f>IF(Inputs!$C$60,Inputs!$C$11+(B5120-Inputs!$C$69)/Inputs!$C$70,"")</f>
      </c>
      <c r="D5120" s="15"/>
      <c r="E5120" s="15"/>
      <c r="F5120" s="11">
        <f t="shared" si="41"/>
      </c>
      <c r="G5120" s="22" cm="1">
        <f t="array" ref="G5120">IF(AND(Inputs!$C$60,Inputs!$C$61),INDEX(Utility_Rates!$C$29:$F$52,HOUR(C5120)+Inputs!$C$69,MATCH(INDEX(Utility_Rates!$K$6:$K$17,MONTH(C5120))&amp;IF(WEEKDAY(C5120,Inputs!$C$76)&lt;=Inputs!$C$74," weekday"," weekend"),Utility_Rates!$C$28:$F$28,Inputs!$C$68)),"")</f>
      </c>
      <c r="H5120" s="34"/>
      <c r="I5120" s="42">
        <f>IF(AND(ISNUMBER(D5120),ISNUMBER(H5120)),D5120*H5120*Inputs!$C$69,"")</f>
      </c>
      <c r="J5120" s="42">
        <f>IF(AND(ISNUMBER(F5120),ISNUMBER(H5120),F5120&gt;=Inputs!$C$68),F5120*H5120*Inputs!$C$69,"")</f>
      </c>
    </row>
    <row r="5121" spans="2:10" ht="15" customHeight="1" x14ac:dyDescent="0.2">
      <c r="B5121" s="39">
        <f t="shared" si="40"/>
      </c>
      <c r="C5121" s="40">
        <f>IF(Inputs!$C$60,Inputs!$C$11+(B5121-Inputs!$C$69)/Inputs!$C$70,"")</f>
      </c>
      <c r="D5121" s="15"/>
      <c r="E5121" s="15"/>
      <c r="F5121" s="11">
        <f t="shared" si="41"/>
      </c>
      <c r="G5121" s="22" cm="1">
        <f t="array" ref="G5121">IF(AND(Inputs!$C$60,Inputs!$C$61),INDEX(Utility_Rates!$C$29:$F$52,HOUR(C5121)+Inputs!$C$69,MATCH(INDEX(Utility_Rates!$K$6:$K$17,MONTH(C5121))&amp;IF(WEEKDAY(C5121,Inputs!$C$76)&lt;=Inputs!$C$74," weekday"," weekend"),Utility_Rates!$C$28:$F$28,Inputs!$C$68)),"")</f>
      </c>
      <c r="H5121" s="34"/>
      <c r="I5121" s="42">
        <f>IF(AND(ISNUMBER(D5121),ISNUMBER(H5121)),D5121*H5121*Inputs!$C$69,"")</f>
      </c>
      <c r="J5121" s="42">
        <f>IF(AND(ISNUMBER(F5121),ISNUMBER(H5121),F5121&gt;=Inputs!$C$68),F5121*H5121*Inputs!$C$69,"")</f>
      </c>
    </row>
    <row r="5122" spans="2:10" ht="15" customHeight="1" x14ac:dyDescent="0.2">
      <c r="B5122" s="39">
        <f t="shared" si="40"/>
      </c>
      <c r="C5122" s="40">
        <f>IF(Inputs!$C$60,Inputs!$C$11+(B5122-Inputs!$C$69)/Inputs!$C$70,"")</f>
      </c>
      <c r="D5122" s="15"/>
      <c r="E5122" s="15"/>
      <c r="F5122" s="11">
        <f t="shared" si="41"/>
      </c>
      <c r="G5122" s="22" cm="1">
        <f t="array" ref="G5122">IF(AND(Inputs!$C$60,Inputs!$C$61),INDEX(Utility_Rates!$C$29:$F$52,HOUR(C5122)+Inputs!$C$69,MATCH(INDEX(Utility_Rates!$K$6:$K$17,MONTH(C5122))&amp;IF(WEEKDAY(C5122,Inputs!$C$76)&lt;=Inputs!$C$74," weekday"," weekend"),Utility_Rates!$C$28:$F$28,Inputs!$C$68)),"")</f>
      </c>
      <c r="H5122" s="34"/>
      <c r="I5122" s="42">
        <f>IF(AND(ISNUMBER(D5122),ISNUMBER(H5122)),D5122*H5122*Inputs!$C$69,"")</f>
      </c>
      <c r="J5122" s="42">
        <f>IF(AND(ISNUMBER(F5122),ISNUMBER(H5122),F5122&gt;=Inputs!$C$68),F5122*H5122*Inputs!$C$69,"")</f>
      </c>
    </row>
    <row r="5123" spans="2:10" ht="15" customHeight="1" x14ac:dyDescent="0.2">
      <c r="B5123" s="39">
        <f t="shared" si="40"/>
      </c>
      <c r="C5123" s="40">
        <f>IF(Inputs!$C$60,Inputs!$C$11+(B5123-Inputs!$C$69)/Inputs!$C$70,"")</f>
      </c>
      <c r="D5123" s="15"/>
      <c r="E5123" s="15"/>
      <c r="F5123" s="11">
        <f t="shared" si="41"/>
      </c>
      <c r="G5123" s="22" cm="1">
        <f t="array" ref="G5123">IF(AND(Inputs!$C$60,Inputs!$C$61),INDEX(Utility_Rates!$C$29:$F$52,HOUR(C5123)+Inputs!$C$69,MATCH(INDEX(Utility_Rates!$K$6:$K$17,MONTH(C5123))&amp;IF(WEEKDAY(C5123,Inputs!$C$76)&lt;=Inputs!$C$74," weekday"," weekend"),Utility_Rates!$C$28:$F$28,Inputs!$C$68)),"")</f>
      </c>
      <c r="H5123" s="34"/>
      <c r="I5123" s="42">
        <f>IF(AND(ISNUMBER(D5123),ISNUMBER(H5123)),D5123*H5123*Inputs!$C$69,"")</f>
      </c>
      <c r="J5123" s="42">
        <f>IF(AND(ISNUMBER(F5123),ISNUMBER(H5123),F5123&gt;=Inputs!$C$68),F5123*H5123*Inputs!$C$69,"")</f>
      </c>
    </row>
    <row r="5124" spans="2:10" ht="15" customHeight="1" x14ac:dyDescent="0.2">
      <c r="B5124" s="39">
        <f t="shared" si="40"/>
      </c>
      <c r="C5124" s="40">
        <f>IF(Inputs!$C$60,Inputs!$C$11+(B5124-Inputs!$C$69)/Inputs!$C$70,"")</f>
      </c>
      <c r="D5124" s="15"/>
      <c r="E5124" s="15"/>
      <c r="F5124" s="11">
        <f t="shared" si="41"/>
      </c>
      <c r="G5124" s="22" cm="1">
        <f t="array" ref="G5124">IF(AND(Inputs!$C$60,Inputs!$C$61),INDEX(Utility_Rates!$C$29:$F$52,HOUR(C5124)+Inputs!$C$69,MATCH(INDEX(Utility_Rates!$K$6:$K$17,MONTH(C5124))&amp;IF(WEEKDAY(C5124,Inputs!$C$76)&lt;=Inputs!$C$74," weekday"," weekend"),Utility_Rates!$C$28:$F$28,Inputs!$C$68)),"")</f>
      </c>
      <c r="H5124" s="34"/>
      <c r="I5124" s="42">
        <f>IF(AND(ISNUMBER(D5124),ISNUMBER(H5124)),D5124*H5124*Inputs!$C$69,"")</f>
      </c>
      <c r="J5124" s="42">
        <f>IF(AND(ISNUMBER(F5124),ISNUMBER(H5124),F5124&gt;=Inputs!$C$68),F5124*H5124*Inputs!$C$69,"")</f>
      </c>
    </row>
    <row r="5125" spans="2:10" ht="15" customHeight="1" x14ac:dyDescent="0.2">
      <c r="B5125" s="39">
        <f t="shared" si="40"/>
      </c>
      <c r="C5125" s="40">
        <f>IF(Inputs!$C$60,Inputs!$C$11+(B5125-Inputs!$C$69)/Inputs!$C$70,"")</f>
      </c>
      <c r="D5125" s="15"/>
      <c r="E5125" s="15"/>
      <c r="F5125" s="11">
        <f t="shared" si="41"/>
      </c>
      <c r="G5125" s="22" cm="1">
        <f t="array" ref="G5125">IF(AND(Inputs!$C$60,Inputs!$C$61),INDEX(Utility_Rates!$C$29:$F$52,HOUR(C5125)+Inputs!$C$69,MATCH(INDEX(Utility_Rates!$K$6:$K$17,MONTH(C5125))&amp;IF(WEEKDAY(C5125,Inputs!$C$76)&lt;=Inputs!$C$74," weekday"," weekend"),Utility_Rates!$C$28:$F$28,Inputs!$C$68)),"")</f>
      </c>
      <c r="H5125" s="34"/>
      <c r="I5125" s="42">
        <f>IF(AND(ISNUMBER(D5125),ISNUMBER(H5125)),D5125*H5125*Inputs!$C$69,"")</f>
      </c>
      <c r="J5125" s="42">
        <f>IF(AND(ISNUMBER(F5125),ISNUMBER(H5125),F5125&gt;=Inputs!$C$68),F5125*H5125*Inputs!$C$69,"")</f>
      </c>
    </row>
    <row r="5126" spans="2:10" ht="15" customHeight="1" x14ac:dyDescent="0.2">
      <c r="B5126" s="39">
        <f t="shared" si="40"/>
      </c>
      <c r="C5126" s="40">
        <f>IF(Inputs!$C$60,Inputs!$C$11+(B5126-Inputs!$C$69)/Inputs!$C$70,"")</f>
      </c>
      <c r="D5126" s="15"/>
      <c r="E5126" s="15"/>
      <c r="F5126" s="11">
        <f t="shared" si="41"/>
      </c>
      <c r="G5126" s="22" cm="1">
        <f t="array" ref="G5126">IF(AND(Inputs!$C$60,Inputs!$C$61),INDEX(Utility_Rates!$C$29:$F$52,HOUR(C5126)+Inputs!$C$69,MATCH(INDEX(Utility_Rates!$K$6:$K$17,MONTH(C5126))&amp;IF(WEEKDAY(C5126,Inputs!$C$76)&lt;=Inputs!$C$74," weekday"," weekend"),Utility_Rates!$C$28:$F$28,Inputs!$C$68)),"")</f>
      </c>
      <c r="H5126" s="34"/>
      <c r="I5126" s="42">
        <f>IF(AND(ISNUMBER(D5126),ISNUMBER(H5126)),D5126*H5126*Inputs!$C$69,"")</f>
      </c>
      <c r="J5126" s="42">
        <f>IF(AND(ISNUMBER(F5126),ISNUMBER(H5126),F5126&gt;=Inputs!$C$68),F5126*H5126*Inputs!$C$69,"")</f>
      </c>
    </row>
    <row r="5127" spans="2:10" ht="15" customHeight="1" x14ac:dyDescent="0.2">
      <c r="B5127" s="39">
        <f t="shared" si="40"/>
      </c>
      <c r="C5127" s="40">
        <f>IF(Inputs!$C$60,Inputs!$C$11+(B5127-Inputs!$C$69)/Inputs!$C$70,"")</f>
      </c>
      <c r="D5127" s="15"/>
      <c r="E5127" s="15"/>
      <c r="F5127" s="11">
        <f t="shared" si="41"/>
      </c>
      <c r="G5127" s="22" cm="1">
        <f t="array" ref="G5127">IF(AND(Inputs!$C$60,Inputs!$C$61),INDEX(Utility_Rates!$C$29:$F$52,HOUR(C5127)+Inputs!$C$69,MATCH(INDEX(Utility_Rates!$K$6:$K$17,MONTH(C5127))&amp;IF(WEEKDAY(C5127,Inputs!$C$76)&lt;=Inputs!$C$74," weekday"," weekend"),Utility_Rates!$C$28:$F$28,Inputs!$C$68)),"")</f>
      </c>
      <c r="H5127" s="34"/>
      <c r="I5127" s="42">
        <f>IF(AND(ISNUMBER(D5127),ISNUMBER(H5127)),D5127*H5127*Inputs!$C$69,"")</f>
      </c>
      <c r="J5127" s="42">
        <f>IF(AND(ISNUMBER(F5127),ISNUMBER(H5127),F5127&gt;=Inputs!$C$68),F5127*H5127*Inputs!$C$69,"")</f>
      </c>
    </row>
    <row r="5128" spans="2:10" ht="15" customHeight="1" x14ac:dyDescent="0.2">
      <c r="B5128" s="39">
        <f t="shared" si="40"/>
      </c>
      <c r="C5128" s="40">
        <f>IF(Inputs!$C$60,Inputs!$C$11+(B5128-Inputs!$C$69)/Inputs!$C$70,"")</f>
      </c>
      <c r="D5128" s="15"/>
      <c r="E5128" s="15"/>
      <c r="F5128" s="11">
        <f t="shared" si="41"/>
      </c>
      <c r="G5128" s="22" cm="1">
        <f t="array" ref="G5128">IF(AND(Inputs!$C$60,Inputs!$C$61),INDEX(Utility_Rates!$C$29:$F$52,HOUR(C5128)+Inputs!$C$69,MATCH(INDEX(Utility_Rates!$K$6:$K$17,MONTH(C5128))&amp;IF(WEEKDAY(C5128,Inputs!$C$76)&lt;=Inputs!$C$74," weekday"," weekend"),Utility_Rates!$C$28:$F$28,Inputs!$C$68)),"")</f>
      </c>
      <c r="H5128" s="34"/>
      <c r="I5128" s="42">
        <f>IF(AND(ISNUMBER(D5128),ISNUMBER(H5128)),D5128*H5128*Inputs!$C$69,"")</f>
      </c>
      <c r="J5128" s="42">
        <f>IF(AND(ISNUMBER(F5128),ISNUMBER(H5128),F5128&gt;=Inputs!$C$68),F5128*H5128*Inputs!$C$69,"")</f>
      </c>
    </row>
    <row r="5129" spans="2:10" ht="15" customHeight="1" x14ac:dyDescent="0.2">
      <c r="B5129" s="39">
        <f t="shared" si="40"/>
      </c>
      <c r="C5129" s="40">
        <f>IF(Inputs!$C$60,Inputs!$C$11+(B5129-Inputs!$C$69)/Inputs!$C$70,"")</f>
      </c>
      <c r="D5129" s="15"/>
      <c r="E5129" s="15"/>
      <c r="F5129" s="11">
        <f t="shared" si="41"/>
      </c>
      <c r="G5129" s="22" cm="1">
        <f t="array" ref="G5129">IF(AND(Inputs!$C$60,Inputs!$C$61),INDEX(Utility_Rates!$C$29:$F$52,HOUR(C5129)+Inputs!$C$69,MATCH(INDEX(Utility_Rates!$K$6:$K$17,MONTH(C5129))&amp;IF(WEEKDAY(C5129,Inputs!$C$76)&lt;=Inputs!$C$74," weekday"," weekend"),Utility_Rates!$C$28:$F$28,Inputs!$C$68)),"")</f>
      </c>
      <c r="H5129" s="34"/>
      <c r="I5129" s="42">
        <f>IF(AND(ISNUMBER(D5129),ISNUMBER(H5129)),D5129*H5129*Inputs!$C$69,"")</f>
      </c>
      <c r="J5129" s="42">
        <f>IF(AND(ISNUMBER(F5129),ISNUMBER(H5129),F5129&gt;=Inputs!$C$68),F5129*H5129*Inputs!$C$69,"")</f>
      </c>
    </row>
    <row r="5130" spans="2:10" ht="15" customHeight="1" x14ac:dyDescent="0.2">
      <c r="B5130" s="39">
        <f t="shared" si="40"/>
      </c>
      <c r="C5130" s="40">
        <f>IF(Inputs!$C$60,Inputs!$C$11+(B5130-Inputs!$C$69)/Inputs!$C$70,"")</f>
      </c>
      <c r="D5130" s="15"/>
      <c r="E5130" s="15"/>
      <c r="F5130" s="11">
        <f t="shared" si="41"/>
      </c>
      <c r="G5130" s="22" cm="1">
        <f t="array" ref="G5130">IF(AND(Inputs!$C$60,Inputs!$C$61),INDEX(Utility_Rates!$C$29:$F$52,HOUR(C5130)+Inputs!$C$69,MATCH(INDEX(Utility_Rates!$K$6:$K$17,MONTH(C5130))&amp;IF(WEEKDAY(C5130,Inputs!$C$76)&lt;=Inputs!$C$74," weekday"," weekend"),Utility_Rates!$C$28:$F$28,Inputs!$C$68)),"")</f>
      </c>
      <c r="H5130" s="34"/>
      <c r="I5130" s="42">
        <f>IF(AND(ISNUMBER(D5130),ISNUMBER(H5130)),D5130*H5130*Inputs!$C$69,"")</f>
      </c>
      <c r="J5130" s="42">
        <f>IF(AND(ISNUMBER(F5130),ISNUMBER(H5130),F5130&gt;=Inputs!$C$68),F5130*H5130*Inputs!$C$69,"")</f>
      </c>
    </row>
    <row r="5131" spans="2:10" ht="15" customHeight="1" x14ac:dyDescent="0.2">
      <c r="B5131" s="39">
        <f t="shared" si="40"/>
      </c>
      <c r="C5131" s="40">
        <f>IF(Inputs!$C$60,Inputs!$C$11+(B5131-Inputs!$C$69)/Inputs!$C$70,"")</f>
      </c>
      <c r="D5131" s="15"/>
      <c r="E5131" s="15"/>
      <c r="F5131" s="11">
        <f t="shared" si="41"/>
      </c>
      <c r="G5131" s="22" cm="1">
        <f t="array" ref="G5131">IF(AND(Inputs!$C$60,Inputs!$C$61),INDEX(Utility_Rates!$C$29:$F$52,HOUR(C5131)+Inputs!$C$69,MATCH(INDEX(Utility_Rates!$K$6:$K$17,MONTH(C5131))&amp;IF(WEEKDAY(C5131,Inputs!$C$76)&lt;=Inputs!$C$74," weekday"," weekend"),Utility_Rates!$C$28:$F$28,Inputs!$C$68)),"")</f>
      </c>
      <c r="H5131" s="34"/>
      <c r="I5131" s="42">
        <f>IF(AND(ISNUMBER(D5131),ISNUMBER(H5131)),D5131*H5131*Inputs!$C$69,"")</f>
      </c>
      <c r="J5131" s="42">
        <f>IF(AND(ISNUMBER(F5131),ISNUMBER(H5131),F5131&gt;=Inputs!$C$68),F5131*H5131*Inputs!$C$69,"")</f>
      </c>
    </row>
    <row r="5132" spans="2:10" ht="15" customHeight="1" x14ac:dyDescent="0.2">
      <c r="B5132" s="39">
        <f t="shared" si="40"/>
      </c>
      <c r="C5132" s="40">
        <f>IF(Inputs!$C$60,Inputs!$C$11+(B5132-Inputs!$C$69)/Inputs!$C$70,"")</f>
      </c>
      <c r="D5132" s="15"/>
      <c r="E5132" s="15"/>
      <c r="F5132" s="11">
        <f t="shared" si="41"/>
      </c>
      <c r="G5132" s="22" cm="1">
        <f t="array" ref="G5132">IF(AND(Inputs!$C$60,Inputs!$C$61),INDEX(Utility_Rates!$C$29:$F$52,HOUR(C5132)+Inputs!$C$69,MATCH(INDEX(Utility_Rates!$K$6:$K$17,MONTH(C5132))&amp;IF(WEEKDAY(C5132,Inputs!$C$76)&lt;=Inputs!$C$74," weekday"," weekend"),Utility_Rates!$C$28:$F$28,Inputs!$C$68)),"")</f>
      </c>
      <c r="H5132" s="34"/>
      <c r="I5132" s="42">
        <f>IF(AND(ISNUMBER(D5132),ISNUMBER(H5132)),D5132*H5132*Inputs!$C$69,"")</f>
      </c>
      <c r="J5132" s="42">
        <f>IF(AND(ISNUMBER(F5132),ISNUMBER(H5132),F5132&gt;=Inputs!$C$68),F5132*H5132*Inputs!$C$69,"")</f>
      </c>
    </row>
    <row r="5133" spans="2:10" ht="15" customHeight="1" x14ac:dyDescent="0.2">
      <c r="B5133" s="39">
        <f t="shared" si="40"/>
      </c>
      <c r="C5133" s="40">
        <f>IF(Inputs!$C$60,Inputs!$C$11+(B5133-Inputs!$C$69)/Inputs!$C$70,"")</f>
      </c>
      <c r="D5133" s="15"/>
      <c r="E5133" s="15"/>
      <c r="F5133" s="11">
        <f t="shared" si="41"/>
      </c>
      <c r="G5133" s="22" cm="1">
        <f t="array" ref="G5133">IF(AND(Inputs!$C$60,Inputs!$C$61),INDEX(Utility_Rates!$C$29:$F$52,HOUR(C5133)+Inputs!$C$69,MATCH(INDEX(Utility_Rates!$K$6:$K$17,MONTH(C5133))&amp;IF(WEEKDAY(C5133,Inputs!$C$76)&lt;=Inputs!$C$74," weekday"," weekend"),Utility_Rates!$C$28:$F$28,Inputs!$C$68)),"")</f>
      </c>
      <c r="H5133" s="34"/>
      <c r="I5133" s="42">
        <f>IF(AND(ISNUMBER(D5133),ISNUMBER(H5133)),D5133*H5133*Inputs!$C$69,"")</f>
      </c>
      <c r="J5133" s="42">
        <f>IF(AND(ISNUMBER(F5133),ISNUMBER(H5133),F5133&gt;=Inputs!$C$68),F5133*H5133*Inputs!$C$69,"")</f>
      </c>
    </row>
    <row r="5134" spans="2:10" ht="15" customHeight="1" x14ac:dyDescent="0.2">
      <c r="B5134" s="39">
        <f t="shared" si="40"/>
      </c>
      <c r="C5134" s="40">
        <f>IF(Inputs!$C$60,Inputs!$C$11+(B5134-Inputs!$C$69)/Inputs!$C$70,"")</f>
      </c>
      <c r="D5134" s="15"/>
      <c r="E5134" s="15"/>
      <c r="F5134" s="11">
        <f t="shared" si="41"/>
      </c>
      <c r="G5134" s="22" cm="1">
        <f t="array" ref="G5134">IF(AND(Inputs!$C$60,Inputs!$C$61),INDEX(Utility_Rates!$C$29:$F$52,HOUR(C5134)+Inputs!$C$69,MATCH(INDEX(Utility_Rates!$K$6:$K$17,MONTH(C5134))&amp;IF(WEEKDAY(C5134,Inputs!$C$76)&lt;=Inputs!$C$74," weekday"," weekend"),Utility_Rates!$C$28:$F$28,Inputs!$C$68)),"")</f>
      </c>
      <c r="H5134" s="34"/>
      <c r="I5134" s="42">
        <f>IF(AND(ISNUMBER(D5134),ISNUMBER(H5134)),D5134*H5134*Inputs!$C$69,"")</f>
      </c>
      <c r="J5134" s="42">
        <f>IF(AND(ISNUMBER(F5134),ISNUMBER(H5134),F5134&gt;=Inputs!$C$68),F5134*H5134*Inputs!$C$69,"")</f>
      </c>
    </row>
    <row r="5135" spans="2:10" ht="15" customHeight="1" x14ac:dyDescent="0.2">
      <c r="B5135" s="39">
        <f t="shared" si="40"/>
      </c>
      <c r="C5135" s="40">
        <f>IF(Inputs!$C$60,Inputs!$C$11+(B5135-Inputs!$C$69)/Inputs!$C$70,"")</f>
      </c>
      <c r="D5135" s="15"/>
      <c r="E5135" s="15"/>
      <c r="F5135" s="11">
        <f t="shared" si="41"/>
      </c>
      <c r="G5135" s="22" cm="1">
        <f t="array" ref="G5135">IF(AND(Inputs!$C$60,Inputs!$C$61),INDEX(Utility_Rates!$C$29:$F$52,HOUR(C5135)+Inputs!$C$69,MATCH(INDEX(Utility_Rates!$K$6:$K$17,MONTH(C5135))&amp;IF(WEEKDAY(C5135,Inputs!$C$76)&lt;=Inputs!$C$74," weekday"," weekend"),Utility_Rates!$C$28:$F$28,Inputs!$C$68)),"")</f>
      </c>
      <c r="H5135" s="34"/>
      <c r="I5135" s="42">
        <f>IF(AND(ISNUMBER(D5135),ISNUMBER(H5135)),D5135*H5135*Inputs!$C$69,"")</f>
      </c>
      <c r="J5135" s="42">
        <f>IF(AND(ISNUMBER(F5135),ISNUMBER(H5135),F5135&gt;=Inputs!$C$68),F5135*H5135*Inputs!$C$69,"")</f>
      </c>
    </row>
    <row r="5136" spans="2:10" ht="15" customHeight="1" x14ac:dyDescent="0.2">
      <c r="B5136" s="39">
        <f t="shared" si="40"/>
      </c>
      <c r="C5136" s="40">
        <f>IF(Inputs!$C$60,Inputs!$C$11+(B5136-Inputs!$C$69)/Inputs!$C$70,"")</f>
      </c>
      <c r="D5136" s="15"/>
      <c r="E5136" s="15"/>
      <c r="F5136" s="11">
        <f t="shared" si="41"/>
      </c>
      <c r="G5136" s="22" cm="1">
        <f t="array" ref="G5136">IF(AND(Inputs!$C$60,Inputs!$C$61),INDEX(Utility_Rates!$C$29:$F$52,HOUR(C5136)+Inputs!$C$69,MATCH(INDEX(Utility_Rates!$K$6:$K$17,MONTH(C5136))&amp;IF(WEEKDAY(C5136,Inputs!$C$76)&lt;=Inputs!$C$74," weekday"," weekend"),Utility_Rates!$C$28:$F$28,Inputs!$C$68)),"")</f>
      </c>
      <c r="H5136" s="34"/>
      <c r="I5136" s="42">
        <f>IF(AND(ISNUMBER(D5136),ISNUMBER(H5136)),D5136*H5136*Inputs!$C$69,"")</f>
      </c>
      <c r="J5136" s="42">
        <f>IF(AND(ISNUMBER(F5136),ISNUMBER(H5136),F5136&gt;=Inputs!$C$68),F5136*H5136*Inputs!$C$69,"")</f>
      </c>
    </row>
    <row r="5137" spans="2:10" ht="15" customHeight="1" x14ac:dyDescent="0.2">
      <c r="B5137" s="39">
        <f t="shared" si="40"/>
      </c>
      <c r="C5137" s="40">
        <f>IF(Inputs!$C$60,Inputs!$C$11+(B5137-Inputs!$C$69)/Inputs!$C$70,"")</f>
      </c>
      <c r="D5137" s="15"/>
      <c r="E5137" s="15"/>
      <c r="F5137" s="11">
        <f t="shared" si="41"/>
      </c>
      <c r="G5137" s="22" cm="1">
        <f t="array" ref="G5137">IF(AND(Inputs!$C$60,Inputs!$C$61),INDEX(Utility_Rates!$C$29:$F$52,HOUR(C5137)+Inputs!$C$69,MATCH(INDEX(Utility_Rates!$K$6:$K$17,MONTH(C5137))&amp;IF(WEEKDAY(C5137,Inputs!$C$76)&lt;=Inputs!$C$74," weekday"," weekend"),Utility_Rates!$C$28:$F$28,Inputs!$C$68)),"")</f>
      </c>
      <c r="H5137" s="34"/>
      <c r="I5137" s="42">
        <f>IF(AND(ISNUMBER(D5137),ISNUMBER(H5137)),D5137*H5137*Inputs!$C$69,"")</f>
      </c>
      <c r="J5137" s="42">
        <f>IF(AND(ISNUMBER(F5137),ISNUMBER(H5137),F5137&gt;=Inputs!$C$68),F5137*H5137*Inputs!$C$69,"")</f>
      </c>
    </row>
    <row r="5138" spans="2:10" ht="15" customHeight="1" x14ac:dyDescent="0.2">
      <c r="B5138" s="39">
        <f t="shared" si="40"/>
      </c>
      <c r="C5138" s="40">
        <f>IF(Inputs!$C$60,Inputs!$C$11+(B5138-Inputs!$C$69)/Inputs!$C$70,"")</f>
      </c>
      <c r="D5138" s="15"/>
      <c r="E5138" s="15"/>
      <c r="F5138" s="11">
        <f t="shared" si="41"/>
      </c>
      <c r="G5138" s="22" cm="1">
        <f t="array" ref="G5138">IF(AND(Inputs!$C$60,Inputs!$C$61),INDEX(Utility_Rates!$C$29:$F$52,HOUR(C5138)+Inputs!$C$69,MATCH(INDEX(Utility_Rates!$K$6:$K$17,MONTH(C5138))&amp;IF(WEEKDAY(C5138,Inputs!$C$76)&lt;=Inputs!$C$74," weekday"," weekend"),Utility_Rates!$C$28:$F$28,Inputs!$C$68)),"")</f>
      </c>
      <c r="H5138" s="34"/>
      <c r="I5138" s="42">
        <f>IF(AND(ISNUMBER(D5138),ISNUMBER(H5138)),D5138*H5138*Inputs!$C$69,"")</f>
      </c>
      <c r="J5138" s="42">
        <f>IF(AND(ISNUMBER(F5138),ISNUMBER(H5138),F5138&gt;=Inputs!$C$68),F5138*H5138*Inputs!$C$69,"")</f>
      </c>
    </row>
    <row r="5139" spans="2:10" ht="15" customHeight="1" x14ac:dyDescent="0.2">
      <c r="B5139" s="39">
        <f t="shared" si="40"/>
      </c>
      <c r="C5139" s="40">
        <f>IF(Inputs!$C$60,Inputs!$C$11+(B5139-Inputs!$C$69)/Inputs!$C$70,"")</f>
      </c>
      <c r="D5139" s="15"/>
      <c r="E5139" s="15"/>
      <c r="F5139" s="11">
        <f t="shared" si="41"/>
      </c>
      <c r="G5139" s="22" cm="1">
        <f t="array" ref="G5139">IF(AND(Inputs!$C$60,Inputs!$C$61),INDEX(Utility_Rates!$C$29:$F$52,HOUR(C5139)+Inputs!$C$69,MATCH(INDEX(Utility_Rates!$K$6:$K$17,MONTH(C5139))&amp;IF(WEEKDAY(C5139,Inputs!$C$76)&lt;=Inputs!$C$74," weekday"," weekend"),Utility_Rates!$C$28:$F$28,Inputs!$C$68)),"")</f>
      </c>
      <c r="H5139" s="34"/>
      <c r="I5139" s="42">
        <f>IF(AND(ISNUMBER(D5139),ISNUMBER(H5139)),D5139*H5139*Inputs!$C$69,"")</f>
      </c>
      <c r="J5139" s="42">
        <f>IF(AND(ISNUMBER(F5139),ISNUMBER(H5139),F5139&gt;=Inputs!$C$68),F5139*H5139*Inputs!$C$69,"")</f>
      </c>
    </row>
    <row r="5140" spans="2:10" ht="15" customHeight="1" x14ac:dyDescent="0.2">
      <c r="B5140" s="39">
        <f t="shared" si="40"/>
      </c>
      <c r="C5140" s="40">
        <f>IF(Inputs!$C$60,Inputs!$C$11+(B5140-Inputs!$C$69)/Inputs!$C$70,"")</f>
      </c>
      <c r="D5140" s="15"/>
      <c r="E5140" s="15"/>
      <c r="F5140" s="11">
        <f t="shared" si="41"/>
      </c>
      <c r="G5140" s="22" cm="1">
        <f t="array" ref="G5140">IF(AND(Inputs!$C$60,Inputs!$C$61),INDEX(Utility_Rates!$C$29:$F$52,HOUR(C5140)+Inputs!$C$69,MATCH(INDEX(Utility_Rates!$K$6:$K$17,MONTH(C5140))&amp;IF(WEEKDAY(C5140,Inputs!$C$76)&lt;=Inputs!$C$74," weekday"," weekend"),Utility_Rates!$C$28:$F$28,Inputs!$C$68)),"")</f>
      </c>
      <c r="H5140" s="34"/>
      <c r="I5140" s="42">
        <f>IF(AND(ISNUMBER(D5140),ISNUMBER(H5140)),D5140*H5140*Inputs!$C$69,"")</f>
      </c>
      <c r="J5140" s="42">
        <f>IF(AND(ISNUMBER(F5140),ISNUMBER(H5140),F5140&gt;=Inputs!$C$68),F5140*H5140*Inputs!$C$69,"")</f>
      </c>
    </row>
    <row r="5141" spans="2:10" ht="15" customHeight="1" x14ac:dyDescent="0.2">
      <c r="B5141" s="39">
        <f t="shared" si="40"/>
      </c>
      <c r="C5141" s="40">
        <f>IF(Inputs!$C$60,Inputs!$C$11+(B5141-Inputs!$C$69)/Inputs!$C$70,"")</f>
      </c>
      <c r="D5141" s="15"/>
      <c r="E5141" s="15"/>
      <c r="F5141" s="11">
        <f t="shared" si="41"/>
      </c>
      <c r="G5141" s="22" cm="1">
        <f t="array" ref="G5141">IF(AND(Inputs!$C$60,Inputs!$C$61),INDEX(Utility_Rates!$C$29:$F$52,HOUR(C5141)+Inputs!$C$69,MATCH(INDEX(Utility_Rates!$K$6:$K$17,MONTH(C5141))&amp;IF(WEEKDAY(C5141,Inputs!$C$76)&lt;=Inputs!$C$74," weekday"," weekend"),Utility_Rates!$C$28:$F$28,Inputs!$C$68)),"")</f>
      </c>
      <c r="H5141" s="34"/>
      <c r="I5141" s="42">
        <f>IF(AND(ISNUMBER(D5141),ISNUMBER(H5141)),D5141*H5141*Inputs!$C$69,"")</f>
      </c>
      <c r="J5141" s="42">
        <f>IF(AND(ISNUMBER(F5141),ISNUMBER(H5141),F5141&gt;=Inputs!$C$68),F5141*H5141*Inputs!$C$69,"")</f>
      </c>
    </row>
    <row r="5142" spans="2:10" ht="15" customHeight="1" x14ac:dyDescent="0.2">
      <c r="B5142" s="39">
        <f t="shared" si="40"/>
      </c>
      <c r="C5142" s="40">
        <f>IF(Inputs!$C$60,Inputs!$C$11+(B5142-Inputs!$C$69)/Inputs!$C$70,"")</f>
      </c>
      <c r="D5142" s="15"/>
      <c r="E5142" s="15"/>
      <c r="F5142" s="11">
        <f t="shared" si="41"/>
      </c>
      <c r="G5142" s="22" cm="1">
        <f t="array" ref="G5142">IF(AND(Inputs!$C$60,Inputs!$C$61),INDEX(Utility_Rates!$C$29:$F$52,HOUR(C5142)+Inputs!$C$69,MATCH(INDEX(Utility_Rates!$K$6:$K$17,MONTH(C5142))&amp;IF(WEEKDAY(C5142,Inputs!$C$76)&lt;=Inputs!$C$74," weekday"," weekend"),Utility_Rates!$C$28:$F$28,Inputs!$C$68)),"")</f>
      </c>
      <c r="H5142" s="34"/>
      <c r="I5142" s="42">
        <f>IF(AND(ISNUMBER(D5142),ISNUMBER(H5142)),D5142*H5142*Inputs!$C$69,"")</f>
      </c>
      <c r="J5142" s="42">
        <f>IF(AND(ISNUMBER(F5142),ISNUMBER(H5142),F5142&gt;=Inputs!$C$68),F5142*H5142*Inputs!$C$69,"")</f>
      </c>
    </row>
    <row r="5143" spans="2:10" ht="15" customHeight="1" x14ac:dyDescent="0.2">
      <c r="B5143" s="39">
        <f t="shared" si="40"/>
      </c>
      <c r="C5143" s="40">
        <f>IF(Inputs!$C$60,Inputs!$C$11+(B5143-Inputs!$C$69)/Inputs!$C$70,"")</f>
      </c>
      <c r="D5143" s="15"/>
      <c r="E5143" s="15"/>
      <c r="F5143" s="11">
        <f t="shared" si="41"/>
      </c>
      <c r="G5143" s="22" cm="1">
        <f t="array" ref="G5143">IF(AND(Inputs!$C$60,Inputs!$C$61),INDEX(Utility_Rates!$C$29:$F$52,HOUR(C5143)+Inputs!$C$69,MATCH(INDEX(Utility_Rates!$K$6:$K$17,MONTH(C5143))&amp;IF(WEEKDAY(C5143,Inputs!$C$76)&lt;=Inputs!$C$74," weekday"," weekend"),Utility_Rates!$C$28:$F$28,Inputs!$C$68)),"")</f>
      </c>
      <c r="H5143" s="34"/>
      <c r="I5143" s="42">
        <f>IF(AND(ISNUMBER(D5143),ISNUMBER(H5143)),D5143*H5143*Inputs!$C$69,"")</f>
      </c>
      <c r="J5143" s="42">
        <f>IF(AND(ISNUMBER(F5143),ISNUMBER(H5143),F5143&gt;=Inputs!$C$68),F5143*H5143*Inputs!$C$69,"")</f>
      </c>
    </row>
    <row r="5144" spans="2:10" ht="15" customHeight="1" x14ac:dyDescent="0.2">
      <c r="B5144" s="39">
        <f t="shared" si="40"/>
      </c>
      <c r="C5144" s="40">
        <f>IF(Inputs!$C$60,Inputs!$C$11+(B5144-Inputs!$C$69)/Inputs!$C$70,"")</f>
      </c>
      <c r="D5144" s="15"/>
      <c r="E5144" s="15"/>
      <c r="F5144" s="11">
        <f t="shared" si="41"/>
      </c>
      <c r="G5144" s="22" cm="1">
        <f t="array" ref="G5144">IF(AND(Inputs!$C$60,Inputs!$C$61),INDEX(Utility_Rates!$C$29:$F$52,HOUR(C5144)+Inputs!$C$69,MATCH(INDEX(Utility_Rates!$K$6:$K$17,MONTH(C5144))&amp;IF(WEEKDAY(C5144,Inputs!$C$76)&lt;=Inputs!$C$74," weekday"," weekend"),Utility_Rates!$C$28:$F$28,Inputs!$C$68)),"")</f>
      </c>
      <c r="H5144" s="34"/>
      <c r="I5144" s="42">
        <f>IF(AND(ISNUMBER(D5144),ISNUMBER(H5144)),D5144*H5144*Inputs!$C$69,"")</f>
      </c>
      <c r="J5144" s="42">
        <f>IF(AND(ISNUMBER(F5144),ISNUMBER(H5144),F5144&gt;=Inputs!$C$68),F5144*H5144*Inputs!$C$69,"")</f>
      </c>
    </row>
    <row r="5145" spans="2:10" ht="15" customHeight="1" x14ac:dyDescent="0.2">
      <c r="B5145" s="39">
        <f t="shared" si="40"/>
      </c>
      <c r="C5145" s="40">
        <f>IF(Inputs!$C$60,Inputs!$C$11+(B5145-Inputs!$C$69)/Inputs!$C$70,"")</f>
      </c>
      <c r="D5145" s="15"/>
      <c r="E5145" s="15"/>
      <c r="F5145" s="11">
        <f t="shared" si="41"/>
      </c>
      <c r="G5145" s="22" cm="1">
        <f t="array" ref="G5145">IF(AND(Inputs!$C$60,Inputs!$C$61),INDEX(Utility_Rates!$C$29:$F$52,HOUR(C5145)+Inputs!$C$69,MATCH(INDEX(Utility_Rates!$K$6:$K$17,MONTH(C5145))&amp;IF(WEEKDAY(C5145,Inputs!$C$76)&lt;=Inputs!$C$74," weekday"," weekend"),Utility_Rates!$C$28:$F$28,Inputs!$C$68)),"")</f>
      </c>
      <c r="H5145" s="34"/>
      <c r="I5145" s="42">
        <f>IF(AND(ISNUMBER(D5145),ISNUMBER(H5145)),D5145*H5145*Inputs!$C$69,"")</f>
      </c>
      <c r="J5145" s="42">
        <f>IF(AND(ISNUMBER(F5145),ISNUMBER(H5145),F5145&gt;=Inputs!$C$68),F5145*H5145*Inputs!$C$69,"")</f>
      </c>
    </row>
    <row r="5146" spans="2:10" ht="15" customHeight="1" x14ac:dyDescent="0.2">
      <c r="B5146" s="39">
        <f t="shared" si="40"/>
      </c>
      <c r="C5146" s="40">
        <f>IF(Inputs!$C$60,Inputs!$C$11+(B5146-Inputs!$C$69)/Inputs!$C$70,"")</f>
      </c>
      <c r="D5146" s="15"/>
      <c r="E5146" s="15"/>
      <c r="F5146" s="11">
        <f t="shared" si="41"/>
      </c>
      <c r="G5146" s="22" cm="1">
        <f t="array" ref="G5146">IF(AND(Inputs!$C$60,Inputs!$C$61),INDEX(Utility_Rates!$C$29:$F$52,HOUR(C5146)+Inputs!$C$69,MATCH(INDEX(Utility_Rates!$K$6:$K$17,MONTH(C5146))&amp;IF(WEEKDAY(C5146,Inputs!$C$76)&lt;=Inputs!$C$74," weekday"," weekend"),Utility_Rates!$C$28:$F$28,Inputs!$C$68)),"")</f>
      </c>
      <c r="H5146" s="34"/>
      <c r="I5146" s="42">
        <f>IF(AND(ISNUMBER(D5146),ISNUMBER(H5146)),D5146*H5146*Inputs!$C$69,"")</f>
      </c>
      <c r="J5146" s="42">
        <f>IF(AND(ISNUMBER(F5146),ISNUMBER(H5146),F5146&gt;=Inputs!$C$68),F5146*H5146*Inputs!$C$69,"")</f>
      </c>
    </row>
    <row r="5147" spans="2:10" ht="15" customHeight="1" x14ac:dyDescent="0.2">
      <c r="B5147" s="39">
        <f t="shared" si="40"/>
      </c>
      <c r="C5147" s="40">
        <f>IF(Inputs!$C$60,Inputs!$C$11+(B5147-Inputs!$C$69)/Inputs!$C$70,"")</f>
      </c>
      <c r="D5147" s="15"/>
      <c r="E5147" s="15"/>
      <c r="F5147" s="11">
        <f t="shared" si="41"/>
      </c>
      <c r="G5147" s="22" cm="1">
        <f t="array" ref="G5147">IF(AND(Inputs!$C$60,Inputs!$C$61),INDEX(Utility_Rates!$C$29:$F$52,HOUR(C5147)+Inputs!$C$69,MATCH(INDEX(Utility_Rates!$K$6:$K$17,MONTH(C5147))&amp;IF(WEEKDAY(C5147,Inputs!$C$76)&lt;=Inputs!$C$74," weekday"," weekend"),Utility_Rates!$C$28:$F$28,Inputs!$C$68)),"")</f>
      </c>
      <c r="H5147" s="34"/>
      <c r="I5147" s="42">
        <f>IF(AND(ISNUMBER(D5147),ISNUMBER(H5147)),D5147*H5147*Inputs!$C$69,"")</f>
      </c>
      <c r="J5147" s="42">
        <f>IF(AND(ISNUMBER(F5147),ISNUMBER(H5147),F5147&gt;=Inputs!$C$68),F5147*H5147*Inputs!$C$69,"")</f>
      </c>
    </row>
    <row r="5148" spans="2:10" ht="15" customHeight="1" x14ac:dyDescent="0.2">
      <c r="B5148" s="39">
        <f t="shared" si="40"/>
      </c>
      <c r="C5148" s="40">
        <f>IF(Inputs!$C$60,Inputs!$C$11+(B5148-Inputs!$C$69)/Inputs!$C$70,"")</f>
      </c>
      <c r="D5148" s="15"/>
      <c r="E5148" s="15"/>
      <c r="F5148" s="11">
        <f t="shared" si="41"/>
      </c>
      <c r="G5148" s="22" cm="1">
        <f t="array" ref="G5148">IF(AND(Inputs!$C$60,Inputs!$C$61),INDEX(Utility_Rates!$C$29:$F$52,HOUR(C5148)+Inputs!$C$69,MATCH(INDEX(Utility_Rates!$K$6:$K$17,MONTH(C5148))&amp;IF(WEEKDAY(C5148,Inputs!$C$76)&lt;=Inputs!$C$74," weekday"," weekend"),Utility_Rates!$C$28:$F$28,Inputs!$C$68)),"")</f>
      </c>
      <c r="H5148" s="34"/>
      <c r="I5148" s="42">
        <f>IF(AND(ISNUMBER(D5148),ISNUMBER(H5148)),D5148*H5148*Inputs!$C$69,"")</f>
      </c>
      <c r="J5148" s="42">
        <f>IF(AND(ISNUMBER(F5148),ISNUMBER(H5148),F5148&gt;=Inputs!$C$68),F5148*H5148*Inputs!$C$69,"")</f>
      </c>
    </row>
    <row r="5149" spans="2:10" ht="15" customHeight="1" x14ac:dyDescent="0.2">
      <c r="B5149" s="39">
        <f t="shared" si="40"/>
      </c>
      <c r="C5149" s="40">
        <f>IF(Inputs!$C$60,Inputs!$C$11+(B5149-Inputs!$C$69)/Inputs!$C$70,"")</f>
      </c>
      <c r="D5149" s="15"/>
      <c r="E5149" s="15"/>
      <c r="F5149" s="11">
        <f t="shared" si="41"/>
      </c>
      <c r="G5149" s="22" cm="1">
        <f t="array" ref="G5149">IF(AND(Inputs!$C$60,Inputs!$C$61),INDEX(Utility_Rates!$C$29:$F$52,HOUR(C5149)+Inputs!$C$69,MATCH(INDEX(Utility_Rates!$K$6:$K$17,MONTH(C5149))&amp;IF(WEEKDAY(C5149,Inputs!$C$76)&lt;=Inputs!$C$74," weekday"," weekend"),Utility_Rates!$C$28:$F$28,Inputs!$C$68)),"")</f>
      </c>
      <c r="H5149" s="34"/>
      <c r="I5149" s="42">
        <f>IF(AND(ISNUMBER(D5149),ISNUMBER(H5149)),D5149*H5149*Inputs!$C$69,"")</f>
      </c>
      <c r="J5149" s="42">
        <f>IF(AND(ISNUMBER(F5149),ISNUMBER(H5149),F5149&gt;=Inputs!$C$68),F5149*H5149*Inputs!$C$69,"")</f>
      </c>
    </row>
    <row r="5150" spans="2:10" ht="15" customHeight="1" x14ac:dyDescent="0.2">
      <c r="B5150" s="39">
        <f t="shared" si="40"/>
      </c>
      <c r="C5150" s="40">
        <f>IF(Inputs!$C$60,Inputs!$C$11+(B5150-Inputs!$C$69)/Inputs!$C$70,"")</f>
      </c>
      <c r="D5150" s="15"/>
      <c r="E5150" s="15"/>
      <c r="F5150" s="11">
        <f t="shared" si="41"/>
      </c>
      <c r="G5150" s="22" cm="1">
        <f t="array" ref="G5150">IF(AND(Inputs!$C$60,Inputs!$C$61),INDEX(Utility_Rates!$C$29:$F$52,HOUR(C5150)+Inputs!$C$69,MATCH(INDEX(Utility_Rates!$K$6:$K$17,MONTH(C5150))&amp;IF(WEEKDAY(C5150,Inputs!$C$76)&lt;=Inputs!$C$74," weekday"," weekend"),Utility_Rates!$C$28:$F$28,Inputs!$C$68)),"")</f>
      </c>
      <c r="H5150" s="34"/>
      <c r="I5150" s="42">
        <f>IF(AND(ISNUMBER(D5150),ISNUMBER(H5150)),D5150*H5150*Inputs!$C$69,"")</f>
      </c>
      <c r="J5150" s="42">
        <f>IF(AND(ISNUMBER(F5150),ISNUMBER(H5150),F5150&gt;=Inputs!$C$68),F5150*H5150*Inputs!$C$69,"")</f>
      </c>
    </row>
    <row r="5151" spans="2:10" ht="15" customHeight="1" x14ac:dyDescent="0.2">
      <c r="B5151" s="39">
        <f t="shared" si="40"/>
      </c>
      <c r="C5151" s="40">
        <f>IF(Inputs!$C$60,Inputs!$C$11+(B5151-Inputs!$C$69)/Inputs!$C$70,"")</f>
      </c>
      <c r="D5151" s="15"/>
      <c r="E5151" s="15"/>
      <c r="F5151" s="11">
        <f t="shared" si="41"/>
      </c>
      <c r="G5151" s="22" cm="1">
        <f t="array" ref="G5151">IF(AND(Inputs!$C$60,Inputs!$C$61),INDEX(Utility_Rates!$C$29:$F$52,HOUR(C5151)+Inputs!$C$69,MATCH(INDEX(Utility_Rates!$K$6:$K$17,MONTH(C5151))&amp;IF(WEEKDAY(C5151,Inputs!$C$76)&lt;=Inputs!$C$74," weekday"," weekend"),Utility_Rates!$C$28:$F$28,Inputs!$C$68)),"")</f>
      </c>
      <c r="H5151" s="34"/>
      <c r="I5151" s="42">
        <f>IF(AND(ISNUMBER(D5151),ISNUMBER(H5151)),D5151*H5151*Inputs!$C$69,"")</f>
      </c>
      <c r="J5151" s="42">
        <f>IF(AND(ISNUMBER(F5151),ISNUMBER(H5151),F5151&gt;=Inputs!$C$68),F5151*H5151*Inputs!$C$69,"")</f>
      </c>
    </row>
    <row r="5152" spans="2:10" ht="15" customHeight="1" x14ac:dyDescent="0.2">
      <c r="B5152" s="39">
        <f t="shared" si="40"/>
      </c>
      <c r="C5152" s="40">
        <f>IF(Inputs!$C$60,Inputs!$C$11+(B5152-Inputs!$C$69)/Inputs!$C$70,"")</f>
      </c>
      <c r="D5152" s="15"/>
      <c r="E5152" s="15"/>
      <c r="F5152" s="11">
        <f t="shared" si="41"/>
      </c>
      <c r="G5152" s="22" cm="1">
        <f t="array" ref="G5152">IF(AND(Inputs!$C$60,Inputs!$C$61),INDEX(Utility_Rates!$C$29:$F$52,HOUR(C5152)+Inputs!$C$69,MATCH(INDEX(Utility_Rates!$K$6:$K$17,MONTH(C5152))&amp;IF(WEEKDAY(C5152,Inputs!$C$76)&lt;=Inputs!$C$74," weekday"," weekend"),Utility_Rates!$C$28:$F$28,Inputs!$C$68)),"")</f>
      </c>
      <c r="H5152" s="34"/>
      <c r="I5152" s="42">
        <f>IF(AND(ISNUMBER(D5152),ISNUMBER(H5152)),D5152*H5152*Inputs!$C$69,"")</f>
      </c>
      <c r="J5152" s="42">
        <f>IF(AND(ISNUMBER(F5152),ISNUMBER(H5152),F5152&gt;=Inputs!$C$68),F5152*H5152*Inputs!$C$69,"")</f>
      </c>
    </row>
    <row r="5153" spans="2:10" ht="15" customHeight="1" x14ac:dyDescent="0.2">
      <c r="B5153" s="39">
        <f t="shared" si="40"/>
      </c>
      <c r="C5153" s="40">
        <f>IF(Inputs!$C$60,Inputs!$C$11+(B5153-Inputs!$C$69)/Inputs!$C$70,"")</f>
      </c>
      <c r="D5153" s="15"/>
      <c r="E5153" s="15"/>
      <c r="F5153" s="11">
        <f t="shared" si="41"/>
      </c>
      <c r="G5153" s="22" cm="1">
        <f t="array" ref="G5153">IF(AND(Inputs!$C$60,Inputs!$C$61),INDEX(Utility_Rates!$C$29:$F$52,HOUR(C5153)+Inputs!$C$69,MATCH(INDEX(Utility_Rates!$K$6:$K$17,MONTH(C5153))&amp;IF(WEEKDAY(C5153,Inputs!$C$76)&lt;=Inputs!$C$74," weekday"," weekend"),Utility_Rates!$C$28:$F$28,Inputs!$C$68)),"")</f>
      </c>
      <c r="H5153" s="34"/>
      <c r="I5153" s="42">
        <f>IF(AND(ISNUMBER(D5153),ISNUMBER(H5153)),D5153*H5153*Inputs!$C$69,"")</f>
      </c>
      <c r="J5153" s="42">
        <f>IF(AND(ISNUMBER(F5153),ISNUMBER(H5153),F5153&gt;=Inputs!$C$68),F5153*H5153*Inputs!$C$69,"")</f>
      </c>
    </row>
    <row r="5154" spans="2:10" ht="15" customHeight="1" x14ac:dyDescent="0.2">
      <c r="B5154" s="39">
        <f t="shared" si="40"/>
      </c>
      <c r="C5154" s="40">
        <f>IF(Inputs!$C$60,Inputs!$C$11+(B5154-Inputs!$C$69)/Inputs!$C$70,"")</f>
      </c>
      <c r="D5154" s="15"/>
      <c r="E5154" s="15"/>
      <c r="F5154" s="11">
        <f t="shared" si="41"/>
      </c>
      <c r="G5154" s="22" cm="1">
        <f t="array" ref="G5154">IF(AND(Inputs!$C$60,Inputs!$C$61),INDEX(Utility_Rates!$C$29:$F$52,HOUR(C5154)+Inputs!$C$69,MATCH(INDEX(Utility_Rates!$K$6:$K$17,MONTH(C5154))&amp;IF(WEEKDAY(C5154,Inputs!$C$76)&lt;=Inputs!$C$74," weekday"," weekend"),Utility_Rates!$C$28:$F$28,Inputs!$C$68)),"")</f>
      </c>
      <c r="H5154" s="34"/>
      <c r="I5154" s="42">
        <f>IF(AND(ISNUMBER(D5154),ISNUMBER(H5154)),D5154*H5154*Inputs!$C$69,"")</f>
      </c>
      <c r="J5154" s="42">
        <f>IF(AND(ISNUMBER(F5154),ISNUMBER(H5154),F5154&gt;=Inputs!$C$68),F5154*H5154*Inputs!$C$69,"")</f>
      </c>
    </row>
    <row r="5155" spans="2:10" ht="15" customHeight="1" x14ac:dyDescent="0.2">
      <c r="B5155" s="39">
        <f t="shared" si="40"/>
      </c>
      <c r="C5155" s="40">
        <f>IF(Inputs!$C$60,Inputs!$C$11+(B5155-Inputs!$C$69)/Inputs!$C$70,"")</f>
      </c>
      <c r="D5155" s="15"/>
      <c r="E5155" s="15"/>
      <c r="F5155" s="11">
        <f t="shared" si="41"/>
      </c>
      <c r="G5155" s="22" cm="1">
        <f t="array" ref="G5155">IF(AND(Inputs!$C$60,Inputs!$C$61),INDEX(Utility_Rates!$C$29:$F$52,HOUR(C5155)+Inputs!$C$69,MATCH(INDEX(Utility_Rates!$K$6:$K$17,MONTH(C5155))&amp;IF(WEEKDAY(C5155,Inputs!$C$76)&lt;=Inputs!$C$74," weekday"," weekend"),Utility_Rates!$C$28:$F$28,Inputs!$C$68)),"")</f>
      </c>
      <c r="H5155" s="34"/>
      <c r="I5155" s="42">
        <f>IF(AND(ISNUMBER(D5155),ISNUMBER(H5155)),D5155*H5155*Inputs!$C$69,"")</f>
      </c>
      <c r="J5155" s="42">
        <f>IF(AND(ISNUMBER(F5155),ISNUMBER(H5155),F5155&gt;=Inputs!$C$68),F5155*H5155*Inputs!$C$69,"")</f>
      </c>
    </row>
    <row r="5156" spans="2:10" ht="15" customHeight="1" x14ac:dyDescent="0.2">
      <c r="B5156" s="39">
        <f t="shared" si="40"/>
      </c>
      <c r="C5156" s="40">
        <f>IF(Inputs!$C$60,Inputs!$C$11+(B5156-Inputs!$C$69)/Inputs!$C$70,"")</f>
      </c>
      <c r="D5156" s="15"/>
      <c r="E5156" s="15"/>
      <c r="F5156" s="11">
        <f t="shared" si="41"/>
      </c>
      <c r="G5156" s="22" cm="1">
        <f t="array" ref="G5156">IF(AND(Inputs!$C$60,Inputs!$C$61),INDEX(Utility_Rates!$C$29:$F$52,HOUR(C5156)+Inputs!$C$69,MATCH(INDEX(Utility_Rates!$K$6:$K$17,MONTH(C5156))&amp;IF(WEEKDAY(C5156,Inputs!$C$76)&lt;=Inputs!$C$74," weekday"," weekend"),Utility_Rates!$C$28:$F$28,Inputs!$C$68)),"")</f>
      </c>
      <c r="H5156" s="34"/>
      <c r="I5156" s="42">
        <f>IF(AND(ISNUMBER(D5156),ISNUMBER(H5156)),D5156*H5156*Inputs!$C$69,"")</f>
      </c>
      <c r="J5156" s="42">
        <f>IF(AND(ISNUMBER(F5156),ISNUMBER(H5156),F5156&gt;=Inputs!$C$68),F5156*H5156*Inputs!$C$69,"")</f>
      </c>
    </row>
    <row r="5157" spans="2:10" ht="15" customHeight="1" x14ac:dyDescent="0.2">
      <c r="B5157" s="39">
        <f t="shared" si="40"/>
      </c>
      <c r="C5157" s="40">
        <f>IF(Inputs!$C$60,Inputs!$C$11+(B5157-Inputs!$C$69)/Inputs!$C$70,"")</f>
      </c>
      <c r="D5157" s="15"/>
      <c r="E5157" s="15"/>
      <c r="F5157" s="11">
        <f t="shared" si="41"/>
      </c>
      <c r="G5157" s="22" cm="1">
        <f t="array" ref="G5157">IF(AND(Inputs!$C$60,Inputs!$C$61),INDEX(Utility_Rates!$C$29:$F$52,HOUR(C5157)+Inputs!$C$69,MATCH(INDEX(Utility_Rates!$K$6:$K$17,MONTH(C5157))&amp;IF(WEEKDAY(C5157,Inputs!$C$76)&lt;=Inputs!$C$74," weekday"," weekend"),Utility_Rates!$C$28:$F$28,Inputs!$C$68)),"")</f>
      </c>
      <c r="H5157" s="34"/>
      <c r="I5157" s="42">
        <f>IF(AND(ISNUMBER(D5157),ISNUMBER(H5157)),D5157*H5157*Inputs!$C$69,"")</f>
      </c>
      <c r="J5157" s="42">
        <f>IF(AND(ISNUMBER(F5157),ISNUMBER(H5157),F5157&gt;=Inputs!$C$68),F5157*H5157*Inputs!$C$69,"")</f>
      </c>
    </row>
    <row r="5158" spans="2:10" ht="15" customHeight="1" x14ac:dyDescent="0.2">
      <c r="B5158" s="39">
        <f t="shared" si="40"/>
      </c>
      <c r="C5158" s="40">
        <f>IF(Inputs!$C$60,Inputs!$C$11+(B5158-Inputs!$C$69)/Inputs!$C$70,"")</f>
      </c>
      <c r="D5158" s="15"/>
      <c r="E5158" s="15"/>
      <c r="F5158" s="11">
        <f t="shared" si="41"/>
      </c>
      <c r="G5158" s="22" cm="1">
        <f t="array" ref="G5158">IF(AND(Inputs!$C$60,Inputs!$C$61),INDEX(Utility_Rates!$C$29:$F$52,HOUR(C5158)+Inputs!$C$69,MATCH(INDEX(Utility_Rates!$K$6:$K$17,MONTH(C5158))&amp;IF(WEEKDAY(C5158,Inputs!$C$76)&lt;=Inputs!$C$74," weekday"," weekend"),Utility_Rates!$C$28:$F$28,Inputs!$C$68)),"")</f>
      </c>
      <c r="H5158" s="34"/>
      <c r="I5158" s="42">
        <f>IF(AND(ISNUMBER(D5158),ISNUMBER(H5158)),D5158*H5158*Inputs!$C$69,"")</f>
      </c>
      <c r="J5158" s="42">
        <f>IF(AND(ISNUMBER(F5158),ISNUMBER(H5158),F5158&gt;=Inputs!$C$68),F5158*H5158*Inputs!$C$69,"")</f>
      </c>
    </row>
    <row r="5159" spans="2:10" ht="15" customHeight="1" x14ac:dyDescent="0.2">
      <c r="B5159" s="39">
        <f t="shared" si="40"/>
      </c>
      <c r="C5159" s="40">
        <f>IF(Inputs!$C$60,Inputs!$C$11+(B5159-Inputs!$C$69)/Inputs!$C$70,"")</f>
      </c>
      <c r="D5159" s="15"/>
      <c r="E5159" s="15"/>
      <c r="F5159" s="11">
        <f t="shared" si="41"/>
      </c>
      <c r="G5159" s="22" cm="1">
        <f t="array" ref="G5159">IF(AND(Inputs!$C$60,Inputs!$C$61),INDEX(Utility_Rates!$C$29:$F$52,HOUR(C5159)+Inputs!$C$69,MATCH(INDEX(Utility_Rates!$K$6:$K$17,MONTH(C5159))&amp;IF(WEEKDAY(C5159,Inputs!$C$76)&lt;=Inputs!$C$74," weekday"," weekend"),Utility_Rates!$C$28:$F$28,Inputs!$C$68)),"")</f>
      </c>
      <c r="H5159" s="34"/>
      <c r="I5159" s="42">
        <f>IF(AND(ISNUMBER(D5159),ISNUMBER(H5159)),D5159*H5159*Inputs!$C$69,"")</f>
      </c>
      <c r="J5159" s="42">
        <f>IF(AND(ISNUMBER(F5159),ISNUMBER(H5159),F5159&gt;=Inputs!$C$68),F5159*H5159*Inputs!$C$69,"")</f>
      </c>
    </row>
    <row r="5160" spans="2:10" ht="15" customHeight="1" x14ac:dyDescent="0.2">
      <c r="B5160" s="39">
        <f t="shared" si="40"/>
      </c>
      <c r="C5160" s="40">
        <f>IF(Inputs!$C$60,Inputs!$C$11+(B5160-Inputs!$C$69)/Inputs!$C$70,"")</f>
      </c>
      <c r="D5160" s="15"/>
      <c r="E5160" s="15"/>
      <c r="F5160" s="11">
        <f t="shared" si="41"/>
      </c>
      <c r="G5160" s="22" cm="1">
        <f t="array" ref="G5160">IF(AND(Inputs!$C$60,Inputs!$C$61),INDEX(Utility_Rates!$C$29:$F$52,HOUR(C5160)+Inputs!$C$69,MATCH(INDEX(Utility_Rates!$K$6:$K$17,MONTH(C5160))&amp;IF(WEEKDAY(C5160,Inputs!$C$76)&lt;=Inputs!$C$74," weekday"," weekend"),Utility_Rates!$C$28:$F$28,Inputs!$C$68)),"")</f>
      </c>
      <c r="H5160" s="34"/>
      <c r="I5160" s="42">
        <f>IF(AND(ISNUMBER(D5160),ISNUMBER(H5160)),D5160*H5160*Inputs!$C$69,"")</f>
      </c>
      <c r="J5160" s="42">
        <f>IF(AND(ISNUMBER(F5160),ISNUMBER(H5160),F5160&gt;=Inputs!$C$68),F5160*H5160*Inputs!$C$69,"")</f>
      </c>
    </row>
    <row r="5161" spans="2:10" ht="15" customHeight="1" x14ac:dyDescent="0.2">
      <c r="B5161" s="39">
        <f t="shared" si="40"/>
      </c>
      <c r="C5161" s="40">
        <f>IF(Inputs!$C$60,Inputs!$C$11+(B5161-Inputs!$C$69)/Inputs!$C$70,"")</f>
      </c>
      <c r="D5161" s="15"/>
      <c r="E5161" s="15"/>
      <c r="F5161" s="11">
        <f t="shared" si="41"/>
      </c>
      <c r="G5161" s="22" cm="1">
        <f t="array" ref="G5161">IF(AND(Inputs!$C$60,Inputs!$C$61),INDEX(Utility_Rates!$C$29:$F$52,HOUR(C5161)+Inputs!$C$69,MATCH(INDEX(Utility_Rates!$K$6:$K$17,MONTH(C5161))&amp;IF(WEEKDAY(C5161,Inputs!$C$76)&lt;=Inputs!$C$74," weekday"," weekend"),Utility_Rates!$C$28:$F$28,Inputs!$C$68)),"")</f>
      </c>
      <c r="H5161" s="34"/>
      <c r="I5161" s="42">
        <f>IF(AND(ISNUMBER(D5161),ISNUMBER(H5161)),D5161*H5161*Inputs!$C$69,"")</f>
      </c>
      <c r="J5161" s="42">
        <f>IF(AND(ISNUMBER(F5161),ISNUMBER(H5161),F5161&gt;=Inputs!$C$68),F5161*H5161*Inputs!$C$69,"")</f>
      </c>
    </row>
    <row r="5162" spans="2:10" ht="15" customHeight="1" x14ac:dyDescent="0.2">
      <c r="B5162" s="39">
        <f t="shared" si="40"/>
      </c>
      <c r="C5162" s="40">
        <f>IF(Inputs!$C$60,Inputs!$C$11+(B5162-Inputs!$C$69)/Inputs!$C$70,"")</f>
      </c>
      <c r="D5162" s="15"/>
      <c r="E5162" s="15"/>
      <c r="F5162" s="11">
        <f t="shared" si="41"/>
      </c>
      <c r="G5162" s="22" cm="1">
        <f t="array" ref="G5162">IF(AND(Inputs!$C$60,Inputs!$C$61),INDEX(Utility_Rates!$C$29:$F$52,HOUR(C5162)+Inputs!$C$69,MATCH(INDEX(Utility_Rates!$K$6:$K$17,MONTH(C5162))&amp;IF(WEEKDAY(C5162,Inputs!$C$76)&lt;=Inputs!$C$74," weekday"," weekend"),Utility_Rates!$C$28:$F$28,Inputs!$C$68)),"")</f>
      </c>
      <c r="H5162" s="34"/>
      <c r="I5162" s="42">
        <f>IF(AND(ISNUMBER(D5162),ISNUMBER(H5162)),D5162*H5162*Inputs!$C$69,"")</f>
      </c>
      <c r="J5162" s="42">
        <f>IF(AND(ISNUMBER(F5162),ISNUMBER(H5162),F5162&gt;=Inputs!$C$68),F5162*H5162*Inputs!$C$69,"")</f>
      </c>
    </row>
    <row r="5163" spans="2:10" ht="15" customHeight="1" x14ac:dyDescent="0.2">
      <c r="B5163" s="39">
        <f t="shared" si="40"/>
      </c>
      <c r="C5163" s="40">
        <f>IF(Inputs!$C$60,Inputs!$C$11+(B5163-Inputs!$C$69)/Inputs!$C$70,"")</f>
      </c>
      <c r="D5163" s="15"/>
      <c r="E5163" s="15"/>
      <c r="F5163" s="11">
        <f t="shared" si="41"/>
      </c>
      <c r="G5163" s="22" cm="1">
        <f t="array" ref="G5163">IF(AND(Inputs!$C$60,Inputs!$C$61),INDEX(Utility_Rates!$C$29:$F$52,HOUR(C5163)+Inputs!$C$69,MATCH(INDEX(Utility_Rates!$K$6:$K$17,MONTH(C5163))&amp;IF(WEEKDAY(C5163,Inputs!$C$76)&lt;=Inputs!$C$74," weekday"," weekend"),Utility_Rates!$C$28:$F$28,Inputs!$C$68)),"")</f>
      </c>
      <c r="H5163" s="34"/>
      <c r="I5163" s="42">
        <f>IF(AND(ISNUMBER(D5163),ISNUMBER(H5163)),D5163*H5163*Inputs!$C$69,"")</f>
      </c>
      <c r="J5163" s="42">
        <f>IF(AND(ISNUMBER(F5163),ISNUMBER(H5163),F5163&gt;=Inputs!$C$68),F5163*H5163*Inputs!$C$69,"")</f>
      </c>
    </row>
    <row r="5164" spans="2:10" ht="15" customHeight="1" x14ac:dyDescent="0.2">
      <c r="B5164" s="39">
        <f t="shared" si="40"/>
      </c>
      <c r="C5164" s="40">
        <f>IF(Inputs!$C$60,Inputs!$C$11+(B5164-Inputs!$C$69)/Inputs!$C$70,"")</f>
      </c>
      <c r="D5164" s="15"/>
      <c r="E5164" s="15"/>
      <c r="F5164" s="11">
        <f t="shared" si="41"/>
      </c>
      <c r="G5164" s="22" cm="1">
        <f t="array" ref="G5164">IF(AND(Inputs!$C$60,Inputs!$C$61),INDEX(Utility_Rates!$C$29:$F$52,HOUR(C5164)+Inputs!$C$69,MATCH(INDEX(Utility_Rates!$K$6:$K$17,MONTH(C5164))&amp;IF(WEEKDAY(C5164,Inputs!$C$76)&lt;=Inputs!$C$74," weekday"," weekend"),Utility_Rates!$C$28:$F$28,Inputs!$C$68)),"")</f>
      </c>
      <c r="H5164" s="34"/>
      <c r="I5164" s="42">
        <f>IF(AND(ISNUMBER(D5164),ISNUMBER(H5164)),D5164*H5164*Inputs!$C$69,"")</f>
      </c>
      <c r="J5164" s="42">
        <f>IF(AND(ISNUMBER(F5164),ISNUMBER(H5164),F5164&gt;=Inputs!$C$68),F5164*H5164*Inputs!$C$69,"")</f>
      </c>
    </row>
    <row r="5165" spans="2:10" ht="15" customHeight="1" x14ac:dyDescent="0.2">
      <c r="B5165" s="39">
        <f t="shared" si="40"/>
      </c>
      <c r="C5165" s="40">
        <f>IF(Inputs!$C$60,Inputs!$C$11+(B5165-Inputs!$C$69)/Inputs!$C$70,"")</f>
      </c>
      <c r="D5165" s="15"/>
      <c r="E5165" s="15"/>
      <c r="F5165" s="11">
        <f t="shared" si="41"/>
      </c>
      <c r="G5165" s="22" cm="1">
        <f t="array" ref="G5165">IF(AND(Inputs!$C$60,Inputs!$C$61),INDEX(Utility_Rates!$C$29:$F$52,HOUR(C5165)+Inputs!$C$69,MATCH(INDEX(Utility_Rates!$K$6:$K$17,MONTH(C5165))&amp;IF(WEEKDAY(C5165,Inputs!$C$76)&lt;=Inputs!$C$74," weekday"," weekend"),Utility_Rates!$C$28:$F$28,Inputs!$C$68)),"")</f>
      </c>
      <c r="H5165" s="34"/>
      <c r="I5165" s="42">
        <f>IF(AND(ISNUMBER(D5165),ISNUMBER(H5165)),D5165*H5165*Inputs!$C$69,"")</f>
      </c>
      <c r="J5165" s="42">
        <f>IF(AND(ISNUMBER(F5165),ISNUMBER(H5165),F5165&gt;=Inputs!$C$68),F5165*H5165*Inputs!$C$69,"")</f>
      </c>
    </row>
    <row r="5166" spans="2:10" ht="15" customHeight="1" x14ac:dyDescent="0.2">
      <c r="B5166" s="39">
        <f t="shared" si="40"/>
      </c>
      <c r="C5166" s="40">
        <f>IF(Inputs!$C$60,Inputs!$C$11+(B5166-Inputs!$C$69)/Inputs!$C$70,"")</f>
      </c>
      <c r="D5166" s="15"/>
      <c r="E5166" s="15"/>
      <c r="F5166" s="11">
        <f t="shared" si="41"/>
      </c>
      <c r="G5166" s="22" cm="1">
        <f t="array" ref="G5166">IF(AND(Inputs!$C$60,Inputs!$C$61),INDEX(Utility_Rates!$C$29:$F$52,HOUR(C5166)+Inputs!$C$69,MATCH(INDEX(Utility_Rates!$K$6:$K$17,MONTH(C5166))&amp;IF(WEEKDAY(C5166,Inputs!$C$76)&lt;=Inputs!$C$74," weekday"," weekend"),Utility_Rates!$C$28:$F$28,Inputs!$C$68)),"")</f>
      </c>
      <c r="H5166" s="34"/>
      <c r="I5166" s="42">
        <f>IF(AND(ISNUMBER(D5166),ISNUMBER(H5166)),D5166*H5166*Inputs!$C$69,"")</f>
      </c>
      <c r="J5166" s="42">
        <f>IF(AND(ISNUMBER(F5166),ISNUMBER(H5166),F5166&gt;=Inputs!$C$68),F5166*H5166*Inputs!$C$69,"")</f>
      </c>
    </row>
    <row r="5167" spans="2:10" ht="15" customHeight="1" x14ac:dyDescent="0.2">
      <c r="B5167" s="39">
        <f t="shared" si="40"/>
      </c>
      <c r="C5167" s="40">
        <f>IF(Inputs!$C$60,Inputs!$C$11+(B5167-Inputs!$C$69)/Inputs!$C$70,"")</f>
      </c>
      <c r="D5167" s="15"/>
      <c r="E5167" s="15"/>
      <c r="F5167" s="11">
        <f t="shared" si="41"/>
      </c>
      <c r="G5167" s="22" cm="1">
        <f t="array" ref="G5167">IF(AND(Inputs!$C$60,Inputs!$C$61),INDEX(Utility_Rates!$C$29:$F$52,HOUR(C5167)+Inputs!$C$69,MATCH(INDEX(Utility_Rates!$K$6:$K$17,MONTH(C5167))&amp;IF(WEEKDAY(C5167,Inputs!$C$76)&lt;=Inputs!$C$74," weekday"," weekend"),Utility_Rates!$C$28:$F$28,Inputs!$C$68)),"")</f>
      </c>
      <c r="H5167" s="34"/>
      <c r="I5167" s="42">
        <f>IF(AND(ISNUMBER(D5167),ISNUMBER(H5167)),D5167*H5167*Inputs!$C$69,"")</f>
      </c>
      <c r="J5167" s="42">
        <f>IF(AND(ISNUMBER(F5167),ISNUMBER(H5167),F5167&gt;=Inputs!$C$68),F5167*H5167*Inputs!$C$69,"")</f>
      </c>
    </row>
    <row r="5168" spans="2:10" ht="15" customHeight="1" x14ac:dyDescent="0.2">
      <c r="B5168" s="39">
        <f t="shared" si="40"/>
      </c>
      <c r="C5168" s="40">
        <f>IF(Inputs!$C$60,Inputs!$C$11+(B5168-Inputs!$C$69)/Inputs!$C$70,"")</f>
      </c>
      <c r="D5168" s="15"/>
      <c r="E5168" s="15"/>
      <c r="F5168" s="11">
        <f t="shared" si="41"/>
      </c>
      <c r="G5168" s="22" cm="1">
        <f t="array" ref="G5168">IF(AND(Inputs!$C$60,Inputs!$C$61),INDEX(Utility_Rates!$C$29:$F$52,HOUR(C5168)+Inputs!$C$69,MATCH(INDEX(Utility_Rates!$K$6:$K$17,MONTH(C5168))&amp;IF(WEEKDAY(C5168,Inputs!$C$76)&lt;=Inputs!$C$74," weekday"," weekend"),Utility_Rates!$C$28:$F$28,Inputs!$C$68)),"")</f>
      </c>
      <c r="H5168" s="34"/>
      <c r="I5168" s="42">
        <f>IF(AND(ISNUMBER(D5168),ISNUMBER(H5168)),D5168*H5168*Inputs!$C$69,"")</f>
      </c>
      <c r="J5168" s="42">
        <f>IF(AND(ISNUMBER(F5168),ISNUMBER(H5168),F5168&gt;=Inputs!$C$68),F5168*H5168*Inputs!$C$69,"")</f>
      </c>
    </row>
    <row r="5169" spans="2:10" ht="15" customHeight="1" x14ac:dyDescent="0.2">
      <c r="B5169" s="39">
        <f t="shared" si="40"/>
      </c>
      <c r="C5169" s="40">
        <f>IF(Inputs!$C$60,Inputs!$C$11+(B5169-Inputs!$C$69)/Inputs!$C$70,"")</f>
      </c>
      <c r="D5169" s="15"/>
      <c r="E5169" s="15"/>
      <c r="F5169" s="11">
        <f t="shared" si="41"/>
      </c>
      <c r="G5169" s="22" cm="1">
        <f t="array" ref="G5169">IF(AND(Inputs!$C$60,Inputs!$C$61),INDEX(Utility_Rates!$C$29:$F$52,HOUR(C5169)+Inputs!$C$69,MATCH(INDEX(Utility_Rates!$K$6:$K$17,MONTH(C5169))&amp;IF(WEEKDAY(C5169,Inputs!$C$76)&lt;=Inputs!$C$74," weekday"," weekend"),Utility_Rates!$C$28:$F$28,Inputs!$C$68)),"")</f>
      </c>
      <c r="H5169" s="34"/>
      <c r="I5169" s="42">
        <f>IF(AND(ISNUMBER(D5169),ISNUMBER(H5169)),D5169*H5169*Inputs!$C$69,"")</f>
      </c>
      <c r="J5169" s="42">
        <f>IF(AND(ISNUMBER(F5169),ISNUMBER(H5169),F5169&gt;=Inputs!$C$68),F5169*H5169*Inputs!$C$69,"")</f>
      </c>
    </row>
    <row r="5170" spans="2:10" ht="15" customHeight="1" x14ac:dyDescent="0.2">
      <c r="B5170" s="39">
        <f t="shared" si="40"/>
      </c>
      <c r="C5170" s="40">
        <f>IF(Inputs!$C$60,Inputs!$C$11+(B5170-Inputs!$C$69)/Inputs!$C$70,"")</f>
      </c>
      <c r="D5170" s="15"/>
      <c r="E5170" s="15"/>
      <c r="F5170" s="11">
        <f t="shared" si="41"/>
      </c>
      <c r="G5170" s="22" cm="1">
        <f t="array" ref="G5170">IF(AND(Inputs!$C$60,Inputs!$C$61),INDEX(Utility_Rates!$C$29:$F$52,HOUR(C5170)+Inputs!$C$69,MATCH(INDEX(Utility_Rates!$K$6:$K$17,MONTH(C5170))&amp;IF(WEEKDAY(C5170,Inputs!$C$76)&lt;=Inputs!$C$74," weekday"," weekend"),Utility_Rates!$C$28:$F$28,Inputs!$C$68)),"")</f>
      </c>
      <c r="H5170" s="34"/>
      <c r="I5170" s="42">
        <f>IF(AND(ISNUMBER(D5170),ISNUMBER(H5170)),D5170*H5170*Inputs!$C$69,"")</f>
      </c>
      <c r="J5170" s="42">
        <f>IF(AND(ISNUMBER(F5170),ISNUMBER(H5170),F5170&gt;=Inputs!$C$68),F5170*H5170*Inputs!$C$69,"")</f>
      </c>
    </row>
    <row r="5171" spans="2:10" ht="15" customHeight="1" x14ac:dyDescent="0.2">
      <c r="B5171" s="39">
        <f t="shared" si="40"/>
      </c>
      <c r="C5171" s="40">
        <f>IF(Inputs!$C$60,Inputs!$C$11+(B5171-Inputs!$C$69)/Inputs!$C$70,"")</f>
      </c>
      <c r="D5171" s="15"/>
      <c r="E5171" s="15"/>
      <c r="F5171" s="11">
        <f t="shared" si="41"/>
      </c>
      <c r="G5171" s="22" cm="1">
        <f t="array" ref="G5171">IF(AND(Inputs!$C$60,Inputs!$C$61),INDEX(Utility_Rates!$C$29:$F$52,HOUR(C5171)+Inputs!$C$69,MATCH(INDEX(Utility_Rates!$K$6:$K$17,MONTH(C5171))&amp;IF(WEEKDAY(C5171,Inputs!$C$76)&lt;=Inputs!$C$74," weekday"," weekend"),Utility_Rates!$C$28:$F$28,Inputs!$C$68)),"")</f>
      </c>
      <c r="H5171" s="34"/>
      <c r="I5171" s="42">
        <f>IF(AND(ISNUMBER(D5171),ISNUMBER(H5171)),D5171*H5171*Inputs!$C$69,"")</f>
      </c>
      <c r="J5171" s="42">
        <f>IF(AND(ISNUMBER(F5171),ISNUMBER(H5171),F5171&gt;=Inputs!$C$68),F5171*H5171*Inputs!$C$69,"")</f>
      </c>
    </row>
    <row r="5172" spans="2:10" ht="15" customHeight="1" x14ac:dyDescent="0.2">
      <c r="B5172" s="39">
        <f t="shared" si="40"/>
      </c>
      <c r="C5172" s="40">
        <f>IF(Inputs!$C$60,Inputs!$C$11+(B5172-Inputs!$C$69)/Inputs!$C$70,"")</f>
      </c>
      <c r="D5172" s="15"/>
      <c r="E5172" s="15"/>
      <c r="F5172" s="11">
        <f t="shared" si="41"/>
      </c>
      <c r="G5172" s="22" cm="1">
        <f t="array" ref="G5172">IF(AND(Inputs!$C$60,Inputs!$C$61),INDEX(Utility_Rates!$C$29:$F$52,HOUR(C5172)+Inputs!$C$69,MATCH(INDEX(Utility_Rates!$K$6:$K$17,MONTH(C5172))&amp;IF(WEEKDAY(C5172,Inputs!$C$76)&lt;=Inputs!$C$74," weekday"," weekend"),Utility_Rates!$C$28:$F$28,Inputs!$C$68)),"")</f>
      </c>
      <c r="H5172" s="34"/>
      <c r="I5172" s="42">
        <f>IF(AND(ISNUMBER(D5172),ISNUMBER(H5172)),D5172*H5172*Inputs!$C$69,"")</f>
      </c>
      <c r="J5172" s="42">
        <f>IF(AND(ISNUMBER(F5172),ISNUMBER(H5172),F5172&gt;=Inputs!$C$68),F5172*H5172*Inputs!$C$69,"")</f>
      </c>
    </row>
    <row r="5173" spans="2:10" ht="15" customHeight="1" x14ac:dyDescent="0.2">
      <c r="B5173" s="39">
        <f t="shared" si="40"/>
      </c>
      <c r="C5173" s="40">
        <f>IF(Inputs!$C$60,Inputs!$C$11+(B5173-Inputs!$C$69)/Inputs!$C$70,"")</f>
      </c>
      <c r="D5173" s="15"/>
      <c r="E5173" s="15"/>
      <c r="F5173" s="11">
        <f t="shared" si="41"/>
      </c>
      <c r="G5173" s="22" cm="1">
        <f t="array" ref="G5173">IF(AND(Inputs!$C$60,Inputs!$C$61),INDEX(Utility_Rates!$C$29:$F$52,HOUR(C5173)+Inputs!$C$69,MATCH(INDEX(Utility_Rates!$K$6:$K$17,MONTH(C5173))&amp;IF(WEEKDAY(C5173,Inputs!$C$76)&lt;=Inputs!$C$74," weekday"," weekend"),Utility_Rates!$C$28:$F$28,Inputs!$C$68)),"")</f>
      </c>
      <c r="H5173" s="34"/>
      <c r="I5173" s="42">
        <f>IF(AND(ISNUMBER(D5173),ISNUMBER(H5173)),D5173*H5173*Inputs!$C$69,"")</f>
      </c>
      <c r="J5173" s="42">
        <f>IF(AND(ISNUMBER(F5173),ISNUMBER(H5173),F5173&gt;=Inputs!$C$68),F5173*H5173*Inputs!$C$69,"")</f>
      </c>
    </row>
    <row r="5174" spans="2:10" ht="15" customHeight="1" x14ac:dyDescent="0.2">
      <c r="B5174" s="39">
        <f t="shared" si="40"/>
      </c>
      <c r="C5174" s="40">
        <f>IF(Inputs!$C$60,Inputs!$C$11+(B5174-Inputs!$C$69)/Inputs!$C$70,"")</f>
      </c>
      <c r="D5174" s="15"/>
      <c r="E5174" s="15"/>
      <c r="F5174" s="11">
        <f t="shared" si="41"/>
      </c>
      <c r="G5174" s="22" cm="1">
        <f t="array" ref="G5174">IF(AND(Inputs!$C$60,Inputs!$C$61),INDEX(Utility_Rates!$C$29:$F$52,HOUR(C5174)+Inputs!$C$69,MATCH(INDEX(Utility_Rates!$K$6:$K$17,MONTH(C5174))&amp;IF(WEEKDAY(C5174,Inputs!$C$76)&lt;=Inputs!$C$74," weekday"," weekend"),Utility_Rates!$C$28:$F$28,Inputs!$C$68)),"")</f>
      </c>
      <c r="H5174" s="34"/>
      <c r="I5174" s="42">
        <f>IF(AND(ISNUMBER(D5174),ISNUMBER(H5174)),D5174*H5174*Inputs!$C$69,"")</f>
      </c>
      <c r="J5174" s="42">
        <f>IF(AND(ISNUMBER(F5174),ISNUMBER(H5174),F5174&gt;=Inputs!$C$68),F5174*H5174*Inputs!$C$69,"")</f>
      </c>
    </row>
    <row r="5175" spans="2:10" ht="15" customHeight="1" x14ac:dyDescent="0.2">
      <c r="B5175" s="39">
        <f t="shared" si="40"/>
      </c>
      <c r="C5175" s="40">
        <f>IF(Inputs!$C$60,Inputs!$C$11+(B5175-Inputs!$C$69)/Inputs!$C$70,"")</f>
      </c>
      <c r="D5175" s="15"/>
      <c r="E5175" s="15"/>
      <c r="F5175" s="11">
        <f t="shared" si="41"/>
      </c>
      <c r="G5175" s="22" cm="1">
        <f t="array" ref="G5175">IF(AND(Inputs!$C$60,Inputs!$C$61),INDEX(Utility_Rates!$C$29:$F$52,HOUR(C5175)+Inputs!$C$69,MATCH(INDEX(Utility_Rates!$K$6:$K$17,MONTH(C5175))&amp;IF(WEEKDAY(C5175,Inputs!$C$76)&lt;=Inputs!$C$74," weekday"," weekend"),Utility_Rates!$C$28:$F$28,Inputs!$C$68)),"")</f>
      </c>
      <c r="H5175" s="34"/>
      <c r="I5175" s="42">
        <f>IF(AND(ISNUMBER(D5175),ISNUMBER(H5175)),D5175*H5175*Inputs!$C$69,"")</f>
      </c>
      <c r="J5175" s="42">
        <f>IF(AND(ISNUMBER(F5175),ISNUMBER(H5175),F5175&gt;=Inputs!$C$68),F5175*H5175*Inputs!$C$69,"")</f>
      </c>
    </row>
    <row r="5176" spans="2:10" ht="15" customHeight="1" x14ac:dyDescent="0.2">
      <c r="B5176" s="39">
        <f t="shared" si="40"/>
      </c>
      <c r="C5176" s="40">
        <f>IF(Inputs!$C$60,Inputs!$C$11+(B5176-Inputs!$C$69)/Inputs!$C$70,"")</f>
      </c>
      <c r="D5176" s="15"/>
      <c r="E5176" s="15"/>
      <c r="F5176" s="11">
        <f t="shared" si="41"/>
      </c>
      <c r="G5176" s="22" cm="1">
        <f t="array" ref="G5176">IF(AND(Inputs!$C$60,Inputs!$C$61),INDEX(Utility_Rates!$C$29:$F$52,HOUR(C5176)+Inputs!$C$69,MATCH(INDEX(Utility_Rates!$K$6:$K$17,MONTH(C5176))&amp;IF(WEEKDAY(C5176,Inputs!$C$76)&lt;=Inputs!$C$74," weekday"," weekend"),Utility_Rates!$C$28:$F$28,Inputs!$C$68)),"")</f>
      </c>
      <c r="H5176" s="34"/>
      <c r="I5176" s="42">
        <f>IF(AND(ISNUMBER(D5176),ISNUMBER(H5176)),D5176*H5176*Inputs!$C$69,"")</f>
      </c>
      <c r="J5176" s="42">
        <f>IF(AND(ISNUMBER(F5176),ISNUMBER(H5176),F5176&gt;=Inputs!$C$68),F5176*H5176*Inputs!$C$69,"")</f>
      </c>
    </row>
    <row r="5177" spans="2:10" ht="15" customHeight="1" x14ac:dyDescent="0.2">
      <c r="B5177" s="39">
        <f t="shared" si="40"/>
      </c>
      <c r="C5177" s="40">
        <f>IF(Inputs!$C$60,Inputs!$C$11+(B5177-Inputs!$C$69)/Inputs!$C$70,"")</f>
      </c>
      <c r="D5177" s="15"/>
      <c r="E5177" s="15"/>
      <c r="F5177" s="11">
        <f t="shared" si="41"/>
      </c>
      <c r="G5177" s="22" cm="1">
        <f t="array" ref="G5177">IF(AND(Inputs!$C$60,Inputs!$C$61),INDEX(Utility_Rates!$C$29:$F$52,HOUR(C5177)+Inputs!$C$69,MATCH(INDEX(Utility_Rates!$K$6:$K$17,MONTH(C5177))&amp;IF(WEEKDAY(C5177,Inputs!$C$76)&lt;=Inputs!$C$74," weekday"," weekend"),Utility_Rates!$C$28:$F$28,Inputs!$C$68)),"")</f>
      </c>
      <c r="H5177" s="34"/>
      <c r="I5177" s="42">
        <f>IF(AND(ISNUMBER(D5177),ISNUMBER(H5177)),D5177*H5177*Inputs!$C$69,"")</f>
      </c>
      <c r="J5177" s="42">
        <f>IF(AND(ISNUMBER(F5177),ISNUMBER(H5177),F5177&gt;=Inputs!$C$68),F5177*H5177*Inputs!$C$69,"")</f>
      </c>
    </row>
    <row r="5178" spans="2:10" ht="15" customHeight="1" x14ac:dyDescent="0.2">
      <c r="B5178" s="39">
        <f t="shared" si="40"/>
      </c>
      <c r="C5178" s="40">
        <f>IF(Inputs!$C$60,Inputs!$C$11+(B5178-Inputs!$C$69)/Inputs!$C$70,"")</f>
      </c>
      <c r="D5178" s="15"/>
      <c r="E5178" s="15"/>
      <c r="F5178" s="11">
        <f t="shared" si="41"/>
      </c>
      <c r="G5178" s="22" cm="1">
        <f t="array" ref="G5178">IF(AND(Inputs!$C$60,Inputs!$C$61),INDEX(Utility_Rates!$C$29:$F$52,HOUR(C5178)+Inputs!$C$69,MATCH(INDEX(Utility_Rates!$K$6:$K$17,MONTH(C5178))&amp;IF(WEEKDAY(C5178,Inputs!$C$76)&lt;=Inputs!$C$74," weekday"," weekend"),Utility_Rates!$C$28:$F$28,Inputs!$C$68)),"")</f>
      </c>
      <c r="H5178" s="34"/>
      <c r="I5178" s="42">
        <f>IF(AND(ISNUMBER(D5178),ISNUMBER(H5178)),D5178*H5178*Inputs!$C$69,"")</f>
      </c>
      <c r="J5178" s="42">
        <f>IF(AND(ISNUMBER(F5178),ISNUMBER(H5178),F5178&gt;=Inputs!$C$68),F5178*H5178*Inputs!$C$69,"")</f>
      </c>
    </row>
    <row r="5179" spans="2:10" ht="15" customHeight="1" x14ac:dyDescent="0.2">
      <c r="B5179" s="39">
        <f t="shared" si="40"/>
      </c>
      <c r="C5179" s="40">
        <f>IF(Inputs!$C$60,Inputs!$C$11+(B5179-Inputs!$C$69)/Inputs!$C$70,"")</f>
      </c>
      <c r="D5179" s="15"/>
      <c r="E5179" s="15"/>
      <c r="F5179" s="11">
        <f t="shared" si="41"/>
      </c>
      <c r="G5179" s="22" cm="1">
        <f t="array" ref="G5179">IF(AND(Inputs!$C$60,Inputs!$C$61),INDEX(Utility_Rates!$C$29:$F$52,HOUR(C5179)+Inputs!$C$69,MATCH(INDEX(Utility_Rates!$K$6:$K$17,MONTH(C5179))&amp;IF(WEEKDAY(C5179,Inputs!$C$76)&lt;=Inputs!$C$74," weekday"," weekend"),Utility_Rates!$C$28:$F$28,Inputs!$C$68)),"")</f>
      </c>
      <c r="H5179" s="34"/>
      <c r="I5179" s="42">
        <f>IF(AND(ISNUMBER(D5179),ISNUMBER(H5179)),D5179*H5179*Inputs!$C$69,"")</f>
      </c>
      <c r="J5179" s="42">
        <f>IF(AND(ISNUMBER(F5179),ISNUMBER(H5179),F5179&gt;=Inputs!$C$68),F5179*H5179*Inputs!$C$69,"")</f>
      </c>
    </row>
    <row r="5180" spans="2:10" ht="15" customHeight="1" x14ac:dyDescent="0.2">
      <c r="B5180" s="39">
        <f t="shared" si="40"/>
      </c>
      <c r="C5180" s="40">
        <f>IF(Inputs!$C$60,Inputs!$C$11+(B5180-Inputs!$C$69)/Inputs!$C$70,"")</f>
      </c>
      <c r="D5180" s="15"/>
      <c r="E5180" s="15"/>
      <c r="F5180" s="11">
        <f t="shared" si="41"/>
      </c>
      <c r="G5180" s="22" cm="1">
        <f t="array" ref="G5180">IF(AND(Inputs!$C$60,Inputs!$C$61),INDEX(Utility_Rates!$C$29:$F$52,HOUR(C5180)+Inputs!$C$69,MATCH(INDEX(Utility_Rates!$K$6:$K$17,MONTH(C5180))&amp;IF(WEEKDAY(C5180,Inputs!$C$76)&lt;=Inputs!$C$74," weekday"," weekend"),Utility_Rates!$C$28:$F$28,Inputs!$C$68)),"")</f>
      </c>
      <c r="H5180" s="34"/>
      <c r="I5180" s="42">
        <f>IF(AND(ISNUMBER(D5180),ISNUMBER(H5180)),D5180*H5180*Inputs!$C$69,"")</f>
      </c>
      <c r="J5180" s="42">
        <f>IF(AND(ISNUMBER(F5180),ISNUMBER(H5180),F5180&gt;=Inputs!$C$68),F5180*H5180*Inputs!$C$69,"")</f>
      </c>
    </row>
    <row r="5181" spans="2:10" ht="15" customHeight="1" x14ac:dyDescent="0.2">
      <c r="B5181" s="39">
        <f t="shared" si="40"/>
      </c>
      <c r="C5181" s="40">
        <f>IF(Inputs!$C$60,Inputs!$C$11+(B5181-Inputs!$C$69)/Inputs!$C$70,"")</f>
      </c>
      <c r="D5181" s="15"/>
      <c r="E5181" s="15"/>
      <c r="F5181" s="11">
        <f t="shared" si="41"/>
      </c>
      <c r="G5181" s="22" cm="1">
        <f t="array" ref="G5181">IF(AND(Inputs!$C$60,Inputs!$C$61),INDEX(Utility_Rates!$C$29:$F$52,HOUR(C5181)+Inputs!$C$69,MATCH(INDEX(Utility_Rates!$K$6:$K$17,MONTH(C5181))&amp;IF(WEEKDAY(C5181,Inputs!$C$76)&lt;=Inputs!$C$74," weekday"," weekend"),Utility_Rates!$C$28:$F$28,Inputs!$C$68)),"")</f>
      </c>
      <c r="H5181" s="34"/>
      <c r="I5181" s="42">
        <f>IF(AND(ISNUMBER(D5181),ISNUMBER(H5181)),D5181*H5181*Inputs!$C$69,"")</f>
      </c>
      <c r="J5181" s="42">
        <f>IF(AND(ISNUMBER(F5181),ISNUMBER(H5181),F5181&gt;=Inputs!$C$68),F5181*H5181*Inputs!$C$69,"")</f>
      </c>
    </row>
    <row r="5182" spans="2:10" ht="15" customHeight="1" x14ac:dyDescent="0.2">
      <c r="B5182" s="39">
        <f t="shared" si="40"/>
      </c>
      <c r="C5182" s="40">
        <f>IF(Inputs!$C$60,Inputs!$C$11+(B5182-Inputs!$C$69)/Inputs!$C$70,"")</f>
      </c>
      <c r="D5182" s="15"/>
      <c r="E5182" s="15"/>
      <c r="F5182" s="11">
        <f t="shared" si="41"/>
      </c>
      <c r="G5182" s="22" cm="1">
        <f t="array" ref="G5182">IF(AND(Inputs!$C$60,Inputs!$C$61),INDEX(Utility_Rates!$C$29:$F$52,HOUR(C5182)+Inputs!$C$69,MATCH(INDEX(Utility_Rates!$K$6:$K$17,MONTH(C5182))&amp;IF(WEEKDAY(C5182,Inputs!$C$76)&lt;=Inputs!$C$74," weekday"," weekend"),Utility_Rates!$C$28:$F$28,Inputs!$C$68)),"")</f>
      </c>
      <c r="H5182" s="34"/>
      <c r="I5182" s="42">
        <f>IF(AND(ISNUMBER(D5182),ISNUMBER(H5182)),D5182*H5182*Inputs!$C$69,"")</f>
      </c>
      <c r="J5182" s="42">
        <f>IF(AND(ISNUMBER(F5182),ISNUMBER(H5182),F5182&gt;=Inputs!$C$68),F5182*H5182*Inputs!$C$69,"")</f>
      </c>
    </row>
    <row r="5183" spans="2:10" ht="15" customHeight="1" x14ac:dyDescent="0.2">
      <c r="B5183" s="39">
        <f t="shared" si="40"/>
      </c>
      <c r="C5183" s="40">
        <f>IF(Inputs!$C$60,Inputs!$C$11+(B5183-Inputs!$C$69)/Inputs!$C$70,"")</f>
      </c>
      <c r="D5183" s="15"/>
      <c r="E5183" s="15"/>
      <c r="F5183" s="11">
        <f t="shared" si="41"/>
      </c>
      <c r="G5183" s="22" cm="1">
        <f t="array" ref="G5183">IF(AND(Inputs!$C$60,Inputs!$C$61),INDEX(Utility_Rates!$C$29:$F$52,HOUR(C5183)+Inputs!$C$69,MATCH(INDEX(Utility_Rates!$K$6:$K$17,MONTH(C5183))&amp;IF(WEEKDAY(C5183,Inputs!$C$76)&lt;=Inputs!$C$74," weekday"," weekend"),Utility_Rates!$C$28:$F$28,Inputs!$C$68)),"")</f>
      </c>
      <c r="H5183" s="34"/>
      <c r="I5183" s="42">
        <f>IF(AND(ISNUMBER(D5183),ISNUMBER(H5183)),D5183*H5183*Inputs!$C$69,"")</f>
      </c>
      <c r="J5183" s="42">
        <f>IF(AND(ISNUMBER(F5183),ISNUMBER(H5183),F5183&gt;=Inputs!$C$68),F5183*H5183*Inputs!$C$69,"")</f>
      </c>
    </row>
    <row r="5184" spans="2:10" ht="15" customHeight="1" x14ac:dyDescent="0.2">
      <c r="B5184" s="39">
        <f t="shared" si="40"/>
      </c>
      <c r="C5184" s="40">
        <f>IF(Inputs!$C$60,Inputs!$C$11+(B5184-Inputs!$C$69)/Inputs!$C$70,"")</f>
      </c>
      <c r="D5184" s="15"/>
      <c r="E5184" s="15"/>
      <c r="F5184" s="11">
        <f t="shared" si="41"/>
      </c>
      <c r="G5184" s="22" cm="1">
        <f t="array" ref="G5184">IF(AND(Inputs!$C$60,Inputs!$C$61),INDEX(Utility_Rates!$C$29:$F$52,HOUR(C5184)+Inputs!$C$69,MATCH(INDEX(Utility_Rates!$K$6:$K$17,MONTH(C5184))&amp;IF(WEEKDAY(C5184,Inputs!$C$76)&lt;=Inputs!$C$74," weekday"," weekend"),Utility_Rates!$C$28:$F$28,Inputs!$C$68)),"")</f>
      </c>
      <c r="H5184" s="34"/>
      <c r="I5184" s="42">
        <f>IF(AND(ISNUMBER(D5184),ISNUMBER(H5184)),D5184*H5184*Inputs!$C$69,"")</f>
      </c>
      <c r="J5184" s="42">
        <f>IF(AND(ISNUMBER(F5184),ISNUMBER(H5184),F5184&gt;=Inputs!$C$68),F5184*H5184*Inputs!$C$69,"")</f>
      </c>
    </row>
    <row r="5185" spans="2:10" ht="15" customHeight="1" x14ac:dyDescent="0.2">
      <c r="B5185" s="39">
        <f t="shared" si="40"/>
      </c>
      <c r="C5185" s="40">
        <f>IF(Inputs!$C$60,Inputs!$C$11+(B5185-Inputs!$C$69)/Inputs!$C$70,"")</f>
      </c>
      <c r="D5185" s="15"/>
      <c r="E5185" s="15"/>
      <c r="F5185" s="11">
        <f t="shared" si="41"/>
      </c>
      <c r="G5185" s="22" cm="1">
        <f t="array" ref="G5185">IF(AND(Inputs!$C$60,Inputs!$C$61),INDEX(Utility_Rates!$C$29:$F$52,HOUR(C5185)+Inputs!$C$69,MATCH(INDEX(Utility_Rates!$K$6:$K$17,MONTH(C5185))&amp;IF(WEEKDAY(C5185,Inputs!$C$76)&lt;=Inputs!$C$74," weekday"," weekend"),Utility_Rates!$C$28:$F$28,Inputs!$C$68)),"")</f>
      </c>
      <c r="H5185" s="34"/>
      <c r="I5185" s="42">
        <f>IF(AND(ISNUMBER(D5185),ISNUMBER(H5185)),D5185*H5185*Inputs!$C$69,"")</f>
      </c>
      <c r="J5185" s="42">
        <f>IF(AND(ISNUMBER(F5185),ISNUMBER(H5185),F5185&gt;=Inputs!$C$68),F5185*H5185*Inputs!$C$69,"")</f>
      </c>
    </row>
    <row r="5186" spans="2:10" ht="15" customHeight="1" x14ac:dyDescent="0.2">
      <c r="B5186" s="39">
        <f t="shared" si="40"/>
      </c>
      <c r="C5186" s="40">
        <f>IF(Inputs!$C$60,Inputs!$C$11+(B5186-Inputs!$C$69)/Inputs!$C$70,"")</f>
      </c>
      <c r="D5186" s="15"/>
      <c r="E5186" s="15"/>
      <c r="F5186" s="11">
        <f t="shared" si="41"/>
      </c>
      <c r="G5186" s="22" cm="1">
        <f t="array" ref="G5186">IF(AND(Inputs!$C$60,Inputs!$C$61),INDEX(Utility_Rates!$C$29:$F$52,HOUR(C5186)+Inputs!$C$69,MATCH(INDEX(Utility_Rates!$K$6:$K$17,MONTH(C5186))&amp;IF(WEEKDAY(C5186,Inputs!$C$76)&lt;=Inputs!$C$74," weekday"," weekend"),Utility_Rates!$C$28:$F$28,Inputs!$C$68)),"")</f>
      </c>
      <c r="H5186" s="34"/>
      <c r="I5186" s="42">
        <f>IF(AND(ISNUMBER(D5186),ISNUMBER(H5186)),D5186*H5186*Inputs!$C$69,"")</f>
      </c>
      <c r="J5186" s="42">
        <f>IF(AND(ISNUMBER(F5186),ISNUMBER(H5186),F5186&gt;=Inputs!$C$68),F5186*H5186*Inputs!$C$69,"")</f>
      </c>
    </row>
    <row r="5187" spans="2:10" ht="15" customHeight="1" x14ac:dyDescent="0.2">
      <c r="B5187" s="39">
        <f t="shared" si="40"/>
      </c>
      <c r="C5187" s="40">
        <f>IF(Inputs!$C$60,Inputs!$C$11+(B5187-Inputs!$C$69)/Inputs!$C$70,"")</f>
      </c>
      <c r="D5187" s="15"/>
      <c r="E5187" s="15"/>
      <c r="F5187" s="11">
        <f t="shared" si="41"/>
      </c>
      <c r="G5187" s="22" cm="1">
        <f t="array" ref="G5187">IF(AND(Inputs!$C$60,Inputs!$C$61),INDEX(Utility_Rates!$C$29:$F$52,HOUR(C5187)+Inputs!$C$69,MATCH(INDEX(Utility_Rates!$K$6:$K$17,MONTH(C5187))&amp;IF(WEEKDAY(C5187,Inputs!$C$76)&lt;=Inputs!$C$74," weekday"," weekend"),Utility_Rates!$C$28:$F$28,Inputs!$C$68)),"")</f>
      </c>
      <c r="H5187" s="34"/>
      <c r="I5187" s="42">
        <f>IF(AND(ISNUMBER(D5187),ISNUMBER(H5187)),D5187*H5187*Inputs!$C$69,"")</f>
      </c>
      <c r="J5187" s="42">
        <f>IF(AND(ISNUMBER(F5187),ISNUMBER(H5187),F5187&gt;=Inputs!$C$68),F5187*H5187*Inputs!$C$69,"")</f>
      </c>
    </row>
    <row r="5188" spans="2:10" ht="15" customHeight="1" x14ac:dyDescent="0.2">
      <c r="B5188" s="39">
        <f t="shared" si="40"/>
      </c>
      <c r="C5188" s="40">
        <f>IF(Inputs!$C$60,Inputs!$C$11+(B5188-Inputs!$C$69)/Inputs!$C$70,"")</f>
      </c>
      <c r="D5188" s="15"/>
      <c r="E5188" s="15"/>
      <c r="F5188" s="11">
        <f t="shared" si="41"/>
      </c>
      <c r="G5188" s="22" cm="1">
        <f t="array" ref="G5188">IF(AND(Inputs!$C$60,Inputs!$C$61),INDEX(Utility_Rates!$C$29:$F$52,HOUR(C5188)+Inputs!$C$69,MATCH(INDEX(Utility_Rates!$K$6:$K$17,MONTH(C5188))&amp;IF(WEEKDAY(C5188,Inputs!$C$76)&lt;=Inputs!$C$74," weekday"," weekend"),Utility_Rates!$C$28:$F$28,Inputs!$C$68)),"")</f>
      </c>
      <c r="H5188" s="34"/>
      <c r="I5188" s="42">
        <f>IF(AND(ISNUMBER(D5188),ISNUMBER(H5188)),D5188*H5188*Inputs!$C$69,"")</f>
      </c>
      <c r="J5188" s="42">
        <f>IF(AND(ISNUMBER(F5188),ISNUMBER(H5188),F5188&gt;=Inputs!$C$68),F5188*H5188*Inputs!$C$69,"")</f>
      </c>
    </row>
    <row r="5189" spans="2:10" ht="15" customHeight="1" x14ac:dyDescent="0.2">
      <c r="B5189" s="39">
        <f t="shared" si="40"/>
      </c>
      <c r="C5189" s="40">
        <f>IF(Inputs!$C$60,Inputs!$C$11+(B5189-Inputs!$C$69)/Inputs!$C$70,"")</f>
      </c>
      <c r="D5189" s="15"/>
      <c r="E5189" s="15"/>
      <c r="F5189" s="11">
        <f t="shared" si="41"/>
      </c>
      <c r="G5189" s="22" cm="1">
        <f t="array" ref="G5189">IF(AND(Inputs!$C$60,Inputs!$C$61),INDEX(Utility_Rates!$C$29:$F$52,HOUR(C5189)+Inputs!$C$69,MATCH(INDEX(Utility_Rates!$K$6:$K$17,MONTH(C5189))&amp;IF(WEEKDAY(C5189,Inputs!$C$76)&lt;=Inputs!$C$74," weekday"," weekend"),Utility_Rates!$C$28:$F$28,Inputs!$C$68)),"")</f>
      </c>
      <c r="H5189" s="34"/>
      <c r="I5189" s="42">
        <f>IF(AND(ISNUMBER(D5189),ISNUMBER(H5189)),D5189*H5189*Inputs!$C$69,"")</f>
      </c>
      <c r="J5189" s="42">
        <f>IF(AND(ISNUMBER(F5189),ISNUMBER(H5189),F5189&gt;=Inputs!$C$68),F5189*H5189*Inputs!$C$69,"")</f>
      </c>
    </row>
    <row r="5190" spans="2:10" ht="15" customHeight="1" x14ac:dyDescent="0.2">
      <c r="B5190" s="39">
        <f t="shared" si="40"/>
      </c>
      <c r="C5190" s="40">
        <f>IF(Inputs!$C$60,Inputs!$C$11+(B5190-Inputs!$C$69)/Inputs!$C$70,"")</f>
      </c>
      <c r="D5190" s="15"/>
      <c r="E5190" s="15"/>
      <c r="F5190" s="11">
        <f t="shared" si="41"/>
      </c>
      <c r="G5190" s="22" cm="1">
        <f t="array" ref="G5190">IF(AND(Inputs!$C$60,Inputs!$C$61),INDEX(Utility_Rates!$C$29:$F$52,HOUR(C5190)+Inputs!$C$69,MATCH(INDEX(Utility_Rates!$K$6:$K$17,MONTH(C5190))&amp;IF(WEEKDAY(C5190,Inputs!$C$76)&lt;=Inputs!$C$74," weekday"," weekend"),Utility_Rates!$C$28:$F$28,Inputs!$C$68)),"")</f>
      </c>
      <c r="H5190" s="34"/>
      <c r="I5190" s="42">
        <f>IF(AND(ISNUMBER(D5190),ISNUMBER(H5190)),D5190*H5190*Inputs!$C$69,"")</f>
      </c>
      <c r="J5190" s="42">
        <f>IF(AND(ISNUMBER(F5190),ISNUMBER(H5190),F5190&gt;=Inputs!$C$68),F5190*H5190*Inputs!$C$69,"")</f>
      </c>
    </row>
    <row r="5191" spans="2:10" ht="15" customHeight="1" x14ac:dyDescent="0.2">
      <c r="B5191" s="39">
        <f t="shared" si="40"/>
      </c>
      <c r="C5191" s="40">
        <f>IF(Inputs!$C$60,Inputs!$C$11+(B5191-Inputs!$C$69)/Inputs!$C$70,"")</f>
      </c>
      <c r="D5191" s="15"/>
      <c r="E5191" s="15"/>
      <c r="F5191" s="11">
        <f t="shared" si="41"/>
      </c>
      <c r="G5191" s="22" cm="1">
        <f t="array" ref="G5191">IF(AND(Inputs!$C$60,Inputs!$C$61),INDEX(Utility_Rates!$C$29:$F$52,HOUR(C5191)+Inputs!$C$69,MATCH(INDEX(Utility_Rates!$K$6:$K$17,MONTH(C5191))&amp;IF(WEEKDAY(C5191,Inputs!$C$76)&lt;=Inputs!$C$74," weekday"," weekend"),Utility_Rates!$C$28:$F$28,Inputs!$C$68)),"")</f>
      </c>
      <c r="H5191" s="34"/>
      <c r="I5191" s="42">
        <f>IF(AND(ISNUMBER(D5191),ISNUMBER(H5191)),D5191*H5191*Inputs!$C$69,"")</f>
      </c>
      <c r="J5191" s="42">
        <f>IF(AND(ISNUMBER(F5191),ISNUMBER(H5191),F5191&gt;=Inputs!$C$68),F5191*H5191*Inputs!$C$69,"")</f>
      </c>
    </row>
    <row r="5192" spans="2:10" ht="15" customHeight="1" x14ac:dyDescent="0.2">
      <c r="B5192" s="39">
        <f t="shared" si="40"/>
      </c>
      <c r="C5192" s="40">
        <f>IF(Inputs!$C$60,Inputs!$C$11+(B5192-Inputs!$C$69)/Inputs!$C$70,"")</f>
      </c>
      <c r="D5192" s="15"/>
      <c r="E5192" s="15"/>
      <c r="F5192" s="11">
        <f t="shared" si="41"/>
      </c>
      <c r="G5192" s="22" cm="1">
        <f t="array" ref="G5192">IF(AND(Inputs!$C$60,Inputs!$C$61),INDEX(Utility_Rates!$C$29:$F$52,HOUR(C5192)+Inputs!$C$69,MATCH(INDEX(Utility_Rates!$K$6:$K$17,MONTH(C5192))&amp;IF(WEEKDAY(C5192,Inputs!$C$76)&lt;=Inputs!$C$74," weekday"," weekend"),Utility_Rates!$C$28:$F$28,Inputs!$C$68)),"")</f>
      </c>
      <c r="H5192" s="34"/>
      <c r="I5192" s="42">
        <f>IF(AND(ISNUMBER(D5192),ISNUMBER(H5192)),D5192*H5192*Inputs!$C$69,"")</f>
      </c>
      <c r="J5192" s="42">
        <f>IF(AND(ISNUMBER(F5192),ISNUMBER(H5192),F5192&gt;=Inputs!$C$68),F5192*H5192*Inputs!$C$69,"")</f>
      </c>
    </row>
    <row r="5193" spans="2:10" ht="15" customHeight="1" x14ac:dyDescent="0.2">
      <c r="B5193" s="39">
        <f t="shared" si="40"/>
      </c>
      <c r="C5193" s="40">
        <f>IF(Inputs!$C$60,Inputs!$C$11+(B5193-Inputs!$C$69)/Inputs!$C$70,"")</f>
      </c>
      <c r="D5193" s="15"/>
      <c r="E5193" s="15"/>
      <c r="F5193" s="11">
        <f t="shared" si="41"/>
      </c>
      <c r="G5193" s="22" cm="1">
        <f t="array" ref="G5193">IF(AND(Inputs!$C$60,Inputs!$C$61),INDEX(Utility_Rates!$C$29:$F$52,HOUR(C5193)+Inputs!$C$69,MATCH(INDEX(Utility_Rates!$K$6:$K$17,MONTH(C5193))&amp;IF(WEEKDAY(C5193,Inputs!$C$76)&lt;=Inputs!$C$74," weekday"," weekend"),Utility_Rates!$C$28:$F$28,Inputs!$C$68)),"")</f>
      </c>
      <c r="H5193" s="34"/>
      <c r="I5193" s="42">
        <f>IF(AND(ISNUMBER(D5193),ISNUMBER(H5193)),D5193*H5193*Inputs!$C$69,"")</f>
      </c>
      <c r="J5193" s="42">
        <f>IF(AND(ISNUMBER(F5193),ISNUMBER(H5193),F5193&gt;=Inputs!$C$68),F5193*H5193*Inputs!$C$69,"")</f>
      </c>
    </row>
    <row r="5194" spans="2:10" ht="15" customHeight="1" x14ac:dyDescent="0.2">
      <c r="B5194" s="39">
        <f t="shared" si="40"/>
      </c>
      <c r="C5194" s="40">
        <f>IF(Inputs!$C$60,Inputs!$C$11+(B5194-Inputs!$C$69)/Inputs!$C$70,"")</f>
      </c>
      <c r="D5194" s="15"/>
      <c r="E5194" s="15"/>
      <c r="F5194" s="11">
        <f t="shared" si="41"/>
      </c>
      <c r="G5194" s="22" cm="1">
        <f t="array" ref="G5194">IF(AND(Inputs!$C$60,Inputs!$C$61),INDEX(Utility_Rates!$C$29:$F$52,HOUR(C5194)+Inputs!$C$69,MATCH(INDEX(Utility_Rates!$K$6:$K$17,MONTH(C5194))&amp;IF(WEEKDAY(C5194,Inputs!$C$76)&lt;=Inputs!$C$74," weekday"," weekend"),Utility_Rates!$C$28:$F$28,Inputs!$C$68)),"")</f>
      </c>
      <c r="H5194" s="34"/>
      <c r="I5194" s="42">
        <f>IF(AND(ISNUMBER(D5194),ISNUMBER(H5194)),D5194*H5194*Inputs!$C$69,"")</f>
      </c>
      <c r="J5194" s="42">
        <f>IF(AND(ISNUMBER(F5194),ISNUMBER(H5194),F5194&gt;=Inputs!$C$68),F5194*H5194*Inputs!$C$69,"")</f>
      </c>
    </row>
    <row r="5195" spans="2:10" ht="15" customHeight="1" x14ac:dyDescent="0.2">
      <c r="B5195" s="39">
        <f t="shared" si="40"/>
      </c>
      <c r="C5195" s="40">
        <f>IF(Inputs!$C$60,Inputs!$C$11+(B5195-Inputs!$C$69)/Inputs!$C$70,"")</f>
      </c>
      <c r="D5195" s="15"/>
      <c r="E5195" s="15"/>
      <c r="F5195" s="11">
        <f t="shared" si="41"/>
      </c>
      <c r="G5195" s="22" cm="1">
        <f t="array" ref="G5195">IF(AND(Inputs!$C$60,Inputs!$C$61),INDEX(Utility_Rates!$C$29:$F$52,HOUR(C5195)+Inputs!$C$69,MATCH(INDEX(Utility_Rates!$K$6:$K$17,MONTH(C5195))&amp;IF(WEEKDAY(C5195,Inputs!$C$76)&lt;=Inputs!$C$74," weekday"," weekend"),Utility_Rates!$C$28:$F$28,Inputs!$C$68)),"")</f>
      </c>
      <c r="H5195" s="34"/>
      <c r="I5195" s="42">
        <f>IF(AND(ISNUMBER(D5195),ISNUMBER(H5195)),D5195*H5195*Inputs!$C$69,"")</f>
      </c>
      <c r="J5195" s="42">
        <f>IF(AND(ISNUMBER(F5195),ISNUMBER(H5195),F5195&gt;=Inputs!$C$68),F5195*H5195*Inputs!$C$69,"")</f>
      </c>
    </row>
    <row r="5196" spans="2:10" ht="15" customHeight="1" x14ac:dyDescent="0.2">
      <c r="B5196" s="39">
        <f t="shared" si="40"/>
      </c>
      <c r="C5196" s="40">
        <f>IF(Inputs!$C$60,Inputs!$C$11+(B5196-Inputs!$C$69)/Inputs!$C$70,"")</f>
      </c>
      <c r="D5196" s="15"/>
      <c r="E5196" s="15"/>
      <c r="F5196" s="11">
        <f t="shared" si="41"/>
      </c>
      <c r="G5196" s="22" cm="1">
        <f t="array" ref="G5196">IF(AND(Inputs!$C$60,Inputs!$C$61),INDEX(Utility_Rates!$C$29:$F$52,HOUR(C5196)+Inputs!$C$69,MATCH(INDEX(Utility_Rates!$K$6:$K$17,MONTH(C5196))&amp;IF(WEEKDAY(C5196,Inputs!$C$76)&lt;=Inputs!$C$74," weekday"," weekend"),Utility_Rates!$C$28:$F$28,Inputs!$C$68)),"")</f>
      </c>
      <c r="H5196" s="34"/>
      <c r="I5196" s="42">
        <f>IF(AND(ISNUMBER(D5196),ISNUMBER(H5196)),D5196*H5196*Inputs!$C$69,"")</f>
      </c>
      <c r="J5196" s="42">
        <f>IF(AND(ISNUMBER(F5196),ISNUMBER(H5196),F5196&gt;=Inputs!$C$68),F5196*H5196*Inputs!$C$69,"")</f>
      </c>
    </row>
    <row r="5197" spans="2:10" ht="15" customHeight="1" x14ac:dyDescent="0.2">
      <c r="B5197" s="39">
        <f t="shared" si="40"/>
      </c>
      <c r="C5197" s="40">
        <f>IF(Inputs!$C$60,Inputs!$C$11+(B5197-Inputs!$C$69)/Inputs!$C$70,"")</f>
      </c>
      <c r="D5197" s="15"/>
      <c r="E5197" s="15"/>
      <c r="F5197" s="11">
        <f t="shared" si="41"/>
      </c>
      <c r="G5197" s="22" cm="1">
        <f t="array" ref="G5197">IF(AND(Inputs!$C$60,Inputs!$C$61),INDEX(Utility_Rates!$C$29:$F$52,HOUR(C5197)+Inputs!$C$69,MATCH(INDEX(Utility_Rates!$K$6:$K$17,MONTH(C5197))&amp;IF(WEEKDAY(C5197,Inputs!$C$76)&lt;=Inputs!$C$74," weekday"," weekend"),Utility_Rates!$C$28:$F$28,Inputs!$C$68)),"")</f>
      </c>
      <c r="H5197" s="34"/>
      <c r="I5197" s="42">
        <f>IF(AND(ISNUMBER(D5197),ISNUMBER(H5197)),D5197*H5197*Inputs!$C$69,"")</f>
      </c>
      <c r="J5197" s="42">
        <f>IF(AND(ISNUMBER(F5197),ISNUMBER(H5197),F5197&gt;=Inputs!$C$68),F5197*H5197*Inputs!$C$69,"")</f>
      </c>
    </row>
    <row r="5198" spans="2:10" ht="15" customHeight="1" x14ac:dyDescent="0.2">
      <c r="B5198" s="39">
        <f t="shared" si="40"/>
      </c>
      <c r="C5198" s="40">
        <f>IF(Inputs!$C$60,Inputs!$C$11+(B5198-Inputs!$C$69)/Inputs!$C$70,"")</f>
      </c>
      <c r="D5198" s="15"/>
      <c r="E5198" s="15"/>
      <c r="F5198" s="11">
        <f t="shared" si="41"/>
      </c>
      <c r="G5198" s="22" cm="1">
        <f t="array" ref="G5198">IF(AND(Inputs!$C$60,Inputs!$C$61),INDEX(Utility_Rates!$C$29:$F$52,HOUR(C5198)+Inputs!$C$69,MATCH(INDEX(Utility_Rates!$K$6:$K$17,MONTH(C5198))&amp;IF(WEEKDAY(C5198,Inputs!$C$76)&lt;=Inputs!$C$74," weekday"," weekend"),Utility_Rates!$C$28:$F$28,Inputs!$C$68)),"")</f>
      </c>
      <c r="H5198" s="34"/>
      <c r="I5198" s="42">
        <f>IF(AND(ISNUMBER(D5198),ISNUMBER(H5198)),D5198*H5198*Inputs!$C$69,"")</f>
      </c>
      <c r="J5198" s="42">
        <f>IF(AND(ISNUMBER(F5198),ISNUMBER(H5198),F5198&gt;=Inputs!$C$68),F5198*H5198*Inputs!$C$69,"")</f>
      </c>
    </row>
    <row r="5199" spans="2:10" ht="15" customHeight="1" x14ac:dyDescent="0.2">
      <c r="B5199" s="39">
        <f t="shared" si="40"/>
      </c>
      <c r="C5199" s="40">
        <f>IF(Inputs!$C$60,Inputs!$C$11+(B5199-Inputs!$C$69)/Inputs!$C$70,"")</f>
      </c>
      <c r="D5199" s="15"/>
      <c r="E5199" s="15"/>
      <c r="F5199" s="11">
        <f t="shared" si="41"/>
      </c>
      <c r="G5199" s="22" cm="1">
        <f t="array" ref="G5199">IF(AND(Inputs!$C$60,Inputs!$C$61),INDEX(Utility_Rates!$C$29:$F$52,HOUR(C5199)+Inputs!$C$69,MATCH(INDEX(Utility_Rates!$K$6:$K$17,MONTH(C5199))&amp;IF(WEEKDAY(C5199,Inputs!$C$76)&lt;=Inputs!$C$74," weekday"," weekend"),Utility_Rates!$C$28:$F$28,Inputs!$C$68)),"")</f>
      </c>
      <c r="H5199" s="34"/>
      <c r="I5199" s="42">
        <f>IF(AND(ISNUMBER(D5199),ISNUMBER(H5199)),D5199*H5199*Inputs!$C$69,"")</f>
      </c>
      <c r="J5199" s="42">
        <f>IF(AND(ISNUMBER(F5199),ISNUMBER(H5199),F5199&gt;=Inputs!$C$68),F5199*H5199*Inputs!$C$69,"")</f>
      </c>
    </row>
    <row r="5200" spans="2:10" ht="15" customHeight="1" x14ac:dyDescent="0.2">
      <c r="B5200" s="39">
        <f t="shared" si="40"/>
      </c>
      <c r="C5200" s="40">
        <f>IF(Inputs!$C$60,Inputs!$C$11+(B5200-Inputs!$C$69)/Inputs!$C$70,"")</f>
      </c>
      <c r="D5200" s="15"/>
      <c r="E5200" s="15"/>
      <c r="F5200" s="11">
        <f t="shared" si="41"/>
      </c>
      <c r="G5200" s="22" cm="1">
        <f t="array" ref="G5200">IF(AND(Inputs!$C$60,Inputs!$C$61),INDEX(Utility_Rates!$C$29:$F$52,HOUR(C5200)+Inputs!$C$69,MATCH(INDEX(Utility_Rates!$K$6:$K$17,MONTH(C5200))&amp;IF(WEEKDAY(C5200,Inputs!$C$76)&lt;=Inputs!$C$74," weekday"," weekend"),Utility_Rates!$C$28:$F$28,Inputs!$C$68)),"")</f>
      </c>
      <c r="H5200" s="34"/>
      <c r="I5200" s="42">
        <f>IF(AND(ISNUMBER(D5200),ISNUMBER(H5200)),D5200*H5200*Inputs!$C$69,"")</f>
      </c>
      <c r="J5200" s="42">
        <f>IF(AND(ISNUMBER(F5200),ISNUMBER(H5200),F5200&gt;=Inputs!$C$68),F5200*H5200*Inputs!$C$69,"")</f>
      </c>
    </row>
    <row r="5201" spans="2:10" ht="15" customHeight="1" x14ac:dyDescent="0.2">
      <c r="B5201" s="39">
        <f t="shared" si="40"/>
      </c>
      <c r="C5201" s="40">
        <f>IF(Inputs!$C$60,Inputs!$C$11+(B5201-Inputs!$C$69)/Inputs!$C$70,"")</f>
      </c>
      <c r="D5201" s="15"/>
      <c r="E5201" s="15"/>
      <c r="F5201" s="11">
        <f t="shared" si="41"/>
      </c>
      <c r="G5201" s="22" cm="1">
        <f t="array" ref="G5201">IF(AND(Inputs!$C$60,Inputs!$C$61),INDEX(Utility_Rates!$C$29:$F$52,HOUR(C5201)+Inputs!$C$69,MATCH(INDEX(Utility_Rates!$K$6:$K$17,MONTH(C5201))&amp;IF(WEEKDAY(C5201,Inputs!$C$76)&lt;=Inputs!$C$74," weekday"," weekend"),Utility_Rates!$C$28:$F$28,Inputs!$C$68)),"")</f>
      </c>
      <c r="H5201" s="34"/>
      <c r="I5201" s="42">
        <f>IF(AND(ISNUMBER(D5201),ISNUMBER(H5201)),D5201*H5201*Inputs!$C$69,"")</f>
      </c>
      <c r="J5201" s="42">
        <f>IF(AND(ISNUMBER(F5201),ISNUMBER(H5201),F5201&gt;=Inputs!$C$68),F5201*H5201*Inputs!$C$69,"")</f>
      </c>
    </row>
    <row r="5202" spans="2:10" ht="15" customHeight="1" x14ac:dyDescent="0.2">
      <c r="B5202" s="39">
        <f t="shared" si="40"/>
      </c>
      <c r="C5202" s="40">
        <f>IF(Inputs!$C$60,Inputs!$C$11+(B5202-Inputs!$C$69)/Inputs!$C$70,"")</f>
      </c>
      <c r="D5202" s="15"/>
      <c r="E5202" s="15"/>
      <c r="F5202" s="11">
        <f t="shared" si="41"/>
      </c>
      <c r="G5202" s="22" cm="1">
        <f t="array" ref="G5202">IF(AND(Inputs!$C$60,Inputs!$C$61),INDEX(Utility_Rates!$C$29:$F$52,HOUR(C5202)+Inputs!$C$69,MATCH(INDEX(Utility_Rates!$K$6:$K$17,MONTH(C5202))&amp;IF(WEEKDAY(C5202,Inputs!$C$76)&lt;=Inputs!$C$74," weekday"," weekend"),Utility_Rates!$C$28:$F$28,Inputs!$C$68)),"")</f>
      </c>
      <c r="H5202" s="34"/>
      <c r="I5202" s="42">
        <f>IF(AND(ISNUMBER(D5202),ISNUMBER(H5202)),D5202*H5202*Inputs!$C$69,"")</f>
      </c>
      <c r="J5202" s="42">
        <f>IF(AND(ISNUMBER(F5202),ISNUMBER(H5202),F5202&gt;=Inputs!$C$68),F5202*H5202*Inputs!$C$69,"")</f>
      </c>
    </row>
    <row r="5203" spans="2:10" ht="15" customHeight="1" x14ac:dyDescent="0.2">
      <c r="B5203" s="39">
        <f t="shared" si="40"/>
      </c>
      <c r="C5203" s="40">
        <f>IF(Inputs!$C$60,Inputs!$C$11+(B5203-Inputs!$C$69)/Inputs!$C$70,"")</f>
      </c>
      <c r="D5203" s="15"/>
      <c r="E5203" s="15"/>
      <c r="F5203" s="11">
        <f t="shared" si="41"/>
      </c>
      <c r="G5203" s="22" cm="1">
        <f t="array" ref="G5203">IF(AND(Inputs!$C$60,Inputs!$C$61),INDEX(Utility_Rates!$C$29:$F$52,HOUR(C5203)+Inputs!$C$69,MATCH(INDEX(Utility_Rates!$K$6:$K$17,MONTH(C5203))&amp;IF(WEEKDAY(C5203,Inputs!$C$76)&lt;=Inputs!$C$74," weekday"," weekend"),Utility_Rates!$C$28:$F$28,Inputs!$C$68)),"")</f>
      </c>
      <c r="H5203" s="34"/>
      <c r="I5203" s="42">
        <f>IF(AND(ISNUMBER(D5203),ISNUMBER(H5203)),D5203*H5203*Inputs!$C$69,"")</f>
      </c>
      <c r="J5203" s="42">
        <f>IF(AND(ISNUMBER(F5203),ISNUMBER(H5203),F5203&gt;=Inputs!$C$68),F5203*H5203*Inputs!$C$69,"")</f>
      </c>
    </row>
    <row r="5204" spans="2:10" ht="15" customHeight="1" x14ac:dyDescent="0.2">
      <c r="B5204" s="39">
        <f t="shared" si="40"/>
      </c>
      <c r="C5204" s="40">
        <f>IF(Inputs!$C$60,Inputs!$C$11+(B5204-Inputs!$C$69)/Inputs!$C$70,"")</f>
      </c>
      <c r="D5204" s="15"/>
      <c r="E5204" s="15"/>
      <c r="F5204" s="11">
        <f t="shared" si="41"/>
      </c>
      <c r="G5204" s="22" cm="1">
        <f t="array" ref="G5204">IF(AND(Inputs!$C$60,Inputs!$C$61),INDEX(Utility_Rates!$C$29:$F$52,HOUR(C5204)+Inputs!$C$69,MATCH(INDEX(Utility_Rates!$K$6:$K$17,MONTH(C5204))&amp;IF(WEEKDAY(C5204,Inputs!$C$76)&lt;=Inputs!$C$74," weekday"," weekend"),Utility_Rates!$C$28:$F$28,Inputs!$C$68)),"")</f>
      </c>
      <c r="H5204" s="34"/>
      <c r="I5204" s="42">
        <f>IF(AND(ISNUMBER(D5204),ISNUMBER(H5204)),D5204*H5204*Inputs!$C$69,"")</f>
      </c>
      <c r="J5204" s="42">
        <f>IF(AND(ISNUMBER(F5204),ISNUMBER(H5204),F5204&gt;=Inputs!$C$68),F5204*H5204*Inputs!$C$69,"")</f>
      </c>
    </row>
    <row r="5205" spans="2:10" ht="15" customHeight="1" x14ac:dyDescent="0.2">
      <c r="B5205" s="39">
        <f t="shared" si="40"/>
      </c>
      <c r="C5205" s="40">
        <f>IF(Inputs!$C$60,Inputs!$C$11+(B5205-Inputs!$C$69)/Inputs!$C$70,"")</f>
      </c>
      <c r="D5205" s="15"/>
      <c r="E5205" s="15"/>
      <c r="F5205" s="11">
        <f t="shared" si="41"/>
      </c>
      <c r="G5205" s="22" cm="1">
        <f t="array" ref="G5205">IF(AND(Inputs!$C$60,Inputs!$C$61),INDEX(Utility_Rates!$C$29:$F$52,HOUR(C5205)+Inputs!$C$69,MATCH(INDEX(Utility_Rates!$K$6:$K$17,MONTH(C5205))&amp;IF(WEEKDAY(C5205,Inputs!$C$76)&lt;=Inputs!$C$74," weekday"," weekend"),Utility_Rates!$C$28:$F$28,Inputs!$C$68)),"")</f>
      </c>
      <c r="H5205" s="34"/>
      <c r="I5205" s="42">
        <f>IF(AND(ISNUMBER(D5205),ISNUMBER(H5205)),D5205*H5205*Inputs!$C$69,"")</f>
      </c>
      <c r="J5205" s="42">
        <f>IF(AND(ISNUMBER(F5205),ISNUMBER(H5205),F5205&gt;=Inputs!$C$68),F5205*H5205*Inputs!$C$69,"")</f>
      </c>
    </row>
    <row r="5206" spans="2:10" ht="15" customHeight="1" x14ac:dyDescent="0.2">
      <c r="B5206" s="39">
        <f t="shared" si="40"/>
      </c>
      <c r="C5206" s="40">
        <f>IF(Inputs!$C$60,Inputs!$C$11+(B5206-Inputs!$C$69)/Inputs!$C$70,"")</f>
      </c>
      <c r="D5206" s="15"/>
      <c r="E5206" s="15"/>
      <c r="F5206" s="11">
        <f t="shared" si="41"/>
      </c>
      <c r="G5206" s="22" cm="1">
        <f t="array" ref="G5206">IF(AND(Inputs!$C$60,Inputs!$C$61),INDEX(Utility_Rates!$C$29:$F$52,HOUR(C5206)+Inputs!$C$69,MATCH(INDEX(Utility_Rates!$K$6:$K$17,MONTH(C5206))&amp;IF(WEEKDAY(C5206,Inputs!$C$76)&lt;=Inputs!$C$74," weekday"," weekend"),Utility_Rates!$C$28:$F$28,Inputs!$C$68)),"")</f>
      </c>
      <c r="H5206" s="34"/>
      <c r="I5206" s="42">
        <f>IF(AND(ISNUMBER(D5206),ISNUMBER(H5206)),D5206*H5206*Inputs!$C$69,"")</f>
      </c>
      <c r="J5206" s="42">
        <f>IF(AND(ISNUMBER(F5206),ISNUMBER(H5206),F5206&gt;=Inputs!$C$68),F5206*H5206*Inputs!$C$69,"")</f>
      </c>
    </row>
    <row r="5207" spans="2:10" ht="15" customHeight="1" x14ac:dyDescent="0.2">
      <c r="B5207" s="39">
        <f t="shared" si="40"/>
      </c>
      <c r="C5207" s="40">
        <f>IF(Inputs!$C$60,Inputs!$C$11+(B5207-Inputs!$C$69)/Inputs!$C$70,"")</f>
      </c>
      <c r="D5207" s="15"/>
      <c r="E5207" s="15"/>
      <c r="F5207" s="11">
        <f t="shared" si="41"/>
      </c>
      <c r="G5207" s="22" cm="1">
        <f t="array" ref="G5207">IF(AND(Inputs!$C$60,Inputs!$C$61),INDEX(Utility_Rates!$C$29:$F$52,HOUR(C5207)+Inputs!$C$69,MATCH(INDEX(Utility_Rates!$K$6:$K$17,MONTH(C5207))&amp;IF(WEEKDAY(C5207,Inputs!$C$76)&lt;=Inputs!$C$74," weekday"," weekend"),Utility_Rates!$C$28:$F$28,Inputs!$C$68)),"")</f>
      </c>
      <c r="H5207" s="34"/>
      <c r="I5207" s="42">
        <f>IF(AND(ISNUMBER(D5207),ISNUMBER(H5207)),D5207*H5207*Inputs!$C$69,"")</f>
      </c>
      <c r="J5207" s="42">
        <f>IF(AND(ISNUMBER(F5207),ISNUMBER(H5207),F5207&gt;=Inputs!$C$68),F5207*H5207*Inputs!$C$69,"")</f>
      </c>
    </row>
    <row r="5208" spans="2:10" ht="15" customHeight="1" x14ac:dyDescent="0.2">
      <c r="B5208" s="39">
        <f t="shared" si="40"/>
      </c>
      <c r="C5208" s="40">
        <f>IF(Inputs!$C$60,Inputs!$C$11+(B5208-Inputs!$C$69)/Inputs!$C$70,"")</f>
      </c>
      <c r="D5208" s="15"/>
      <c r="E5208" s="15"/>
      <c r="F5208" s="11">
        <f t="shared" si="41"/>
      </c>
      <c r="G5208" s="22" cm="1">
        <f t="array" ref="G5208">IF(AND(Inputs!$C$60,Inputs!$C$61),INDEX(Utility_Rates!$C$29:$F$52,HOUR(C5208)+Inputs!$C$69,MATCH(INDEX(Utility_Rates!$K$6:$K$17,MONTH(C5208))&amp;IF(WEEKDAY(C5208,Inputs!$C$76)&lt;=Inputs!$C$74," weekday"," weekend"),Utility_Rates!$C$28:$F$28,Inputs!$C$68)),"")</f>
      </c>
      <c r="H5208" s="34"/>
      <c r="I5208" s="42">
        <f>IF(AND(ISNUMBER(D5208),ISNUMBER(H5208)),D5208*H5208*Inputs!$C$69,"")</f>
      </c>
      <c r="J5208" s="42">
        <f>IF(AND(ISNUMBER(F5208),ISNUMBER(H5208),F5208&gt;=Inputs!$C$68),F5208*H5208*Inputs!$C$69,"")</f>
      </c>
    </row>
    <row r="5209" spans="2:10" ht="15" customHeight="1" x14ac:dyDescent="0.2">
      <c r="B5209" s="39">
        <f t="shared" si="40"/>
      </c>
      <c r="C5209" s="40">
        <f>IF(Inputs!$C$60,Inputs!$C$11+(B5209-Inputs!$C$69)/Inputs!$C$70,"")</f>
      </c>
      <c r="D5209" s="15"/>
      <c r="E5209" s="15"/>
      <c r="F5209" s="11">
        <f t="shared" si="41"/>
      </c>
      <c r="G5209" s="22" cm="1">
        <f t="array" ref="G5209">IF(AND(Inputs!$C$60,Inputs!$C$61),INDEX(Utility_Rates!$C$29:$F$52,HOUR(C5209)+Inputs!$C$69,MATCH(INDEX(Utility_Rates!$K$6:$K$17,MONTH(C5209))&amp;IF(WEEKDAY(C5209,Inputs!$C$76)&lt;=Inputs!$C$74," weekday"," weekend"),Utility_Rates!$C$28:$F$28,Inputs!$C$68)),"")</f>
      </c>
      <c r="H5209" s="34"/>
      <c r="I5209" s="42">
        <f>IF(AND(ISNUMBER(D5209),ISNUMBER(H5209)),D5209*H5209*Inputs!$C$69,"")</f>
      </c>
      <c r="J5209" s="42">
        <f>IF(AND(ISNUMBER(F5209),ISNUMBER(H5209),F5209&gt;=Inputs!$C$68),F5209*H5209*Inputs!$C$69,"")</f>
      </c>
    </row>
    <row r="5210" spans="2:10" ht="15" customHeight="1" x14ac:dyDescent="0.2">
      <c r="B5210" s="39">
        <f t="shared" si="40"/>
      </c>
      <c r="C5210" s="40">
        <f>IF(Inputs!$C$60,Inputs!$C$11+(B5210-Inputs!$C$69)/Inputs!$C$70,"")</f>
      </c>
      <c r="D5210" s="15"/>
      <c r="E5210" s="15"/>
      <c r="F5210" s="11">
        <f t="shared" si="41"/>
      </c>
      <c r="G5210" s="22" cm="1">
        <f t="array" ref="G5210">IF(AND(Inputs!$C$60,Inputs!$C$61),INDEX(Utility_Rates!$C$29:$F$52,HOUR(C5210)+Inputs!$C$69,MATCH(INDEX(Utility_Rates!$K$6:$K$17,MONTH(C5210))&amp;IF(WEEKDAY(C5210,Inputs!$C$76)&lt;=Inputs!$C$74," weekday"," weekend"),Utility_Rates!$C$28:$F$28,Inputs!$C$68)),"")</f>
      </c>
      <c r="H5210" s="34"/>
      <c r="I5210" s="42">
        <f>IF(AND(ISNUMBER(D5210),ISNUMBER(H5210)),D5210*H5210*Inputs!$C$69,"")</f>
      </c>
      <c r="J5210" s="42">
        <f>IF(AND(ISNUMBER(F5210),ISNUMBER(H5210),F5210&gt;=Inputs!$C$68),F5210*H5210*Inputs!$C$69,"")</f>
      </c>
    </row>
    <row r="5211" spans="2:10" ht="15" customHeight="1" x14ac:dyDescent="0.2">
      <c r="B5211" s="39">
        <f t="shared" si="40"/>
      </c>
      <c r="C5211" s="40">
        <f>IF(Inputs!$C$60,Inputs!$C$11+(B5211-Inputs!$C$69)/Inputs!$C$70,"")</f>
      </c>
      <c r="D5211" s="15"/>
      <c r="E5211" s="15"/>
      <c r="F5211" s="11">
        <f t="shared" si="41"/>
      </c>
      <c r="G5211" s="22" cm="1">
        <f t="array" ref="G5211">IF(AND(Inputs!$C$60,Inputs!$C$61),INDEX(Utility_Rates!$C$29:$F$52,HOUR(C5211)+Inputs!$C$69,MATCH(INDEX(Utility_Rates!$K$6:$K$17,MONTH(C5211))&amp;IF(WEEKDAY(C5211,Inputs!$C$76)&lt;=Inputs!$C$74," weekday"," weekend"),Utility_Rates!$C$28:$F$28,Inputs!$C$68)),"")</f>
      </c>
      <c r="H5211" s="34"/>
      <c r="I5211" s="42">
        <f>IF(AND(ISNUMBER(D5211),ISNUMBER(H5211)),D5211*H5211*Inputs!$C$69,"")</f>
      </c>
      <c r="J5211" s="42">
        <f>IF(AND(ISNUMBER(F5211),ISNUMBER(H5211),F5211&gt;=Inputs!$C$68),F5211*H5211*Inputs!$C$69,"")</f>
      </c>
    </row>
    <row r="5212" spans="2:10" ht="15" customHeight="1" x14ac:dyDescent="0.2">
      <c r="B5212" s="39">
        <f t="shared" si="40"/>
      </c>
      <c r="C5212" s="40">
        <f>IF(Inputs!$C$60,Inputs!$C$11+(B5212-Inputs!$C$69)/Inputs!$C$70,"")</f>
      </c>
      <c r="D5212" s="15"/>
      <c r="E5212" s="15"/>
      <c r="F5212" s="11">
        <f t="shared" si="41"/>
      </c>
      <c r="G5212" s="22" cm="1">
        <f t="array" ref="G5212">IF(AND(Inputs!$C$60,Inputs!$C$61),INDEX(Utility_Rates!$C$29:$F$52,HOUR(C5212)+Inputs!$C$69,MATCH(INDEX(Utility_Rates!$K$6:$K$17,MONTH(C5212))&amp;IF(WEEKDAY(C5212,Inputs!$C$76)&lt;=Inputs!$C$74," weekday"," weekend"),Utility_Rates!$C$28:$F$28,Inputs!$C$68)),"")</f>
      </c>
      <c r="H5212" s="34"/>
      <c r="I5212" s="42">
        <f>IF(AND(ISNUMBER(D5212),ISNUMBER(H5212)),D5212*H5212*Inputs!$C$69,"")</f>
      </c>
      <c r="J5212" s="42">
        <f>IF(AND(ISNUMBER(F5212),ISNUMBER(H5212),F5212&gt;=Inputs!$C$68),F5212*H5212*Inputs!$C$69,"")</f>
      </c>
    </row>
    <row r="5213" spans="2:10" ht="15" customHeight="1" x14ac:dyDescent="0.2">
      <c r="B5213" s="39">
        <f t="shared" si="40"/>
      </c>
      <c r="C5213" s="40">
        <f>IF(Inputs!$C$60,Inputs!$C$11+(B5213-Inputs!$C$69)/Inputs!$C$70,"")</f>
      </c>
      <c r="D5213" s="15"/>
      <c r="E5213" s="15"/>
      <c r="F5213" s="11">
        <f t="shared" si="41"/>
      </c>
      <c r="G5213" s="22" cm="1">
        <f t="array" ref="G5213">IF(AND(Inputs!$C$60,Inputs!$C$61),INDEX(Utility_Rates!$C$29:$F$52,HOUR(C5213)+Inputs!$C$69,MATCH(INDEX(Utility_Rates!$K$6:$K$17,MONTH(C5213))&amp;IF(WEEKDAY(C5213,Inputs!$C$76)&lt;=Inputs!$C$74," weekday"," weekend"),Utility_Rates!$C$28:$F$28,Inputs!$C$68)),"")</f>
      </c>
      <c r="H5213" s="34"/>
      <c r="I5213" s="42">
        <f>IF(AND(ISNUMBER(D5213),ISNUMBER(H5213)),D5213*H5213*Inputs!$C$69,"")</f>
      </c>
      <c r="J5213" s="42">
        <f>IF(AND(ISNUMBER(F5213),ISNUMBER(H5213),F5213&gt;=Inputs!$C$68),F5213*H5213*Inputs!$C$69,"")</f>
      </c>
    </row>
    <row r="5214" spans="2:10" ht="15" customHeight="1" x14ac:dyDescent="0.2">
      <c r="B5214" s="39">
        <f t="shared" si="40"/>
      </c>
      <c r="C5214" s="40">
        <f>IF(Inputs!$C$60,Inputs!$C$11+(B5214-Inputs!$C$69)/Inputs!$C$70,"")</f>
      </c>
      <c r="D5214" s="15"/>
      <c r="E5214" s="15"/>
      <c r="F5214" s="11">
        <f t="shared" si="41"/>
      </c>
      <c r="G5214" s="22" cm="1">
        <f t="array" ref="G5214">IF(AND(Inputs!$C$60,Inputs!$C$61),INDEX(Utility_Rates!$C$29:$F$52,HOUR(C5214)+Inputs!$C$69,MATCH(INDEX(Utility_Rates!$K$6:$K$17,MONTH(C5214))&amp;IF(WEEKDAY(C5214,Inputs!$C$76)&lt;=Inputs!$C$74," weekday"," weekend"),Utility_Rates!$C$28:$F$28,Inputs!$C$68)),"")</f>
      </c>
      <c r="H5214" s="34"/>
      <c r="I5214" s="42">
        <f>IF(AND(ISNUMBER(D5214),ISNUMBER(H5214)),D5214*H5214*Inputs!$C$69,"")</f>
      </c>
      <c r="J5214" s="42">
        <f>IF(AND(ISNUMBER(F5214),ISNUMBER(H5214),F5214&gt;=Inputs!$C$68),F5214*H5214*Inputs!$C$69,"")</f>
      </c>
    </row>
    <row r="5215" spans="2:10" ht="15" customHeight="1" x14ac:dyDescent="0.2">
      <c r="B5215" s="39">
        <f t="shared" si="40"/>
      </c>
      <c r="C5215" s="40">
        <f>IF(Inputs!$C$60,Inputs!$C$11+(B5215-Inputs!$C$69)/Inputs!$C$70,"")</f>
      </c>
      <c r="D5215" s="15"/>
      <c r="E5215" s="15"/>
      <c r="F5215" s="11">
        <f t="shared" si="41"/>
      </c>
      <c r="G5215" s="22" cm="1">
        <f t="array" ref="G5215">IF(AND(Inputs!$C$60,Inputs!$C$61),INDEX(Utility_Rates!$C$29:$F$52,HOUR(C5215)+Inputs!$C$69,MATCH(INDEX(Utility_Rates!$K$6:$K$17,MONTH(C5215))&amp;IF(WEEKDAY(C5215,Inputs!$C$76)&lt;=Inputs!$C$74," weekday"," weekend"),Utility_Rates!$C$28:$F$28,Inputs!$C$68)),"")</f>
      </c>
      <c r="H5215" s="34"/>
      <c r="I5215" s="42">
        <f>IF(AND(ISNUMBER(D5215),ISNUMBER(H5215)),D5215*H5215*Inputs!$C$69,"")</f>
      </c>
      <c r="J5215" s="42">
        <f>IF(AND(ISNUMBER(F5215),ISNUMBER(H5215),F5215&gt;=Inputs!$C$68),F5215*H5215*Inputs!$C$69,"")</f>
      </c>
    </row>
    <row r="5216" spans="2:10" ht="15" customHeight="1" x14ac:dyDescent="0.2">
      <c r="B5216" s="39">
        <f t="shared" si="40"/>
      </c>
      <c r="C5216" s="40">
        <f>IF(Inputs!$C$60,Inputs!$C$11+(B5216-Inputs!$C$69)/Inputs!$C$70,"")</f>
      </c>
      <c r="D5216" s="15"/>
      <c r="E5216" s="15"/>
      <c r="F5216" s="11">
        <f t="shared" si="41"/>
      </c>
      <c r="G5216" s="22" cm="1">
        <f t="array" ref="G5216">IF(AND(Inputs!$C$60,Inputs!$C$61),INDEX(Utility_Rates!$C$29:$F$52,HOUR(C5216)+Inputs!$C$69,MATCH(INDEX(Utility_Rates!$K$6:$K$17,MONTH(C5216))&amp;IF(WEEKDAY(C5216,Inputs!$C$76)&lt;=Inputs!$C$74," weekday"," weekend"),Utility_Rates!$C$28:$F$28,Inputs!$C$68)),"")</f>
      </c>
      <c r="H5216" s="34"/>
      <c r="I5216" s="42">
        <f>IF(AND(ISNUMBER(D5216),ISNUMBER(H5216)),D5216*H5216*Inputs!$C$69,"")</f>
      </c>
      <c r="J5216" s="42">
        <f>IF(AND(ISNUMBER(F5216),ISNUMBER(H5216),F5216&gt;=Inputs!$C$68),F5216*H5216*Inputs!$C$69,"")</f>
      </c>
    </row>
    <row r="5217" spans="2:10" ht="15" customHeight="1" x14ac:dyDescent="0.2">
      <c r="B5217" s="39">
        <f t="shared" si="40"/>
      </c>
      <c r="C5217" s="40">
        <f>IF(Inputs!$C$60,Inputs!$C$11+(B5217-Inputs!$C$69)/Inputs!$C$70,"")</f>
      </c>
      <c r="D5217" s="15"/>
      <c r="E5217" s="15"/>
      <c r="F5217" s="11">
        <f t="shared" si="41"/>
      </c>
      <c r="G5217" s="22" cm="1">
        <f t="array" ref="G5217">IF(AND(Inputs!$C$60,Inputs!$C$61),INDEX(Utility_Rates!$C$29:$F$52,HOUR(C5217)+Inputs!$C$69,MATCH(INDEX(Utility_Rates!$K$6:$K$17,MONTH(C5217))&amp;IF(WEEKDAY(C5217,Inputs!$C$76)&lt;=Inputs!$C$74," weekday"," weekend"),Utility_Rates!$C$28:$F$28,Inputs!$C$68)),"")</f>
      </c>
      <c r="H5217" s="34"/>
      <c r="I5217" s="42">
        <f>IF(AND(ISNUMBER(D5217),ISNUMBER(H5217)),D5217*H5217*Inputs!$C$69,"")</f>
      </c>
      <c r="J5217" s="42">
        <f>IF(AND(ISNUMBER(F5217),ISNUMBER(H5217),F5217&gt;=Inputs!$C$68),F5217*H5217*Inputs!$C$69,"")</f>
      </c>
    </row>
    <row r="5218" spans="2:10" ht="15" customHeight="1" x14ac:dyDescent="0.2">
      <c r="B5218" s="39">
        <f t="shared" si="40"/>
      </c>
      <c r="C5218" s="40">
        <f>IF(Inputs!$C$60,Inputs!$C$11+(B5218-Inputs!$C$69)/Inputs!$C$70,"")</f>
      </c>
      <c r="D5218" s="15"/>
      <c r="E5218" s="15"/>
      <c r="F5218" s="11">
        <f t="shared" si="41"/>
      </c>
      <c r="G5218" s="22" cm="1">
        <f t="array" ref="G5218">IF(AND(Inputs!$C$60,Inputs!$C$61),INDEX(Utility_Rates!$C$29:$F$52,HOUR(C5218)+Inputs!$C$69,MATCH(INDEX(Utility_Rates!$K$6:$K$17,MONTH(C5218))&amp;IF(WEEKDAY(C5218,Inputs!$C$76)&lt;=Inputs!$C$74," weekday"," weekend"),Utility_Rates!$C$28:$F$28,Inputs!$C$68)),"")</f>
      </c>
      <c r="H5218" s="34"/>
      <c r="I5218" s="42">
        <f>IF(AND(ISNUMBER(D5218),ISNUMBER(H5218)),D5218*H5218*Inputs!$C$69,"")</f>
      </c>
      <c r="J5218" s="42">
        <f>IF(AND(ISNUMBER(F5218),ISNUMBER(H5218),F5218&gt;=Inputs!$C$68),F5218*H5218*Inputs!$C$69,"")</f>
      </c>
    </row>
    <row r="5219" spans="2:10" ht="15" customHeight="1" x14ac:dyDescent="0.2">
      <c r="B5219" s="39">
        <f t="shared" si="40"/>
      </c>
      <c r="C5219" s="40">
        <f>IF(Inputs!$C$60,Inputs!$C$11+(B5219-Inputs!$C$69)/Inputs!$C$70,"")</f>
      </c>
      <c r="D5219" s="15"/>
      <c r="E5219" s="15"/>
      <c r="F5219" s="11">
        <f t="shared" si="41"/>
      </c>
      <c r="G5219" s="22" cm="1">
        <f t="array" ref="G5219">IF(AND(Inputs!$C$60,Inputs!$C$61),INDEX(Utility_Rates!$C$29:$F$52,HOUR(C5219)+Inputs!$C$69,MATCH(INDEX(Utility_Rates!$K$6:$K$17,MONTH(C5219))&amp;IF(WEEKDAY(C5219,Inputs!$C$76)&lt;=Inputs!$C$74," weekday"," weekend"),Utility_Rates!$C$28:$F$28,Inputs!$C$68)),"")</f>
      </c>
      <c r="H5219" s="34"/>
      <c r="I5219" s="42">
        <f>IF(AND(ISNUMBER(D5219),ISNUMBER(H5219)),D5219*H5219*Inputs!$C$69,"")</f>
      </c>
      <c r="J5219" s="42">
        <f>IF(AND(ISNUMBER(F5219),ISNUMBER(H5219),F5219&gt;=Inputs!$C$68),F5219*H5219*Inputs!$C$69,"")</f>
      </c>
    </row>
    <row r="5220" spans="2:10" ht="15" customHeight="1" x14ac:dyDescent="0.2">
      <c r="B5220" s="39">
        <f t="shared" si="40"/>
      </c>
      <c r="C5220" s="40">
        <f>IF(Inputs!$C$60,Inputs!$C$11+(B5220-Inputs!$C$69)/Inputs!$C$70,"")</f>
      </c>
      <c r="D5220" s="15"/>
      <c r="E5220" s="15"/>
      <c r="F5220" s="11">
        <f t="shared" si="41"/>
      </c>
      <c r="G5220" s="22" cm="1">
        <f t="array" ref="G5220">IF(AND(Inputs!$C$60,Inputs!$C$61),INDEX(Utility_Rates!$C$29:$F$52,HOUR(C5220)+Inputs!$C$69,MATCH(INDEX(Utility_Rates!$K$6:$K$17,MONTH(C5220))&amp;IF(WEEKDAY(C5220,Inputs!$C$76)&lt;=Inputs!$C$74," weekday"," weekend"),Utility_Rates!$C$28:$F$28,Inputs!$C$68)),"")</f>
      </c>
      <c r="H5220" s="34"/>
      <c r="I5220" s="42">
        <f>IF(AND(ISNUMBER(D5220),ISNUMBER(H5220)),D5220*H5220*Inputs!$C$69,"")</f>
      </c>
      <c r="J5220" s="42">
        <f>IF(AND(ISNUMBER(F5220),ISNUMBER(H5220),F5220&gt;=Inputs!$C$68),F5220*H5220*Inputs!$C$69,"")</f>
      </c>
    </row>
    <row r="5221" spans="2:10" ht="15" customHeight="1" x14ac:dyDescent="0.2">
      <c r="B5221" s="39">
        <f t="shared" si="40"/>
      </c>
      <c r="C5221" s="40">
        <f>IF(Inputs!$C$60,Inputs!$C$11+(B5221-Inputs!$C$69)/Inputs!$C$70,"")</f>
      </c>
      <c r="D5221" s="15"/>
      <c r="E5221" s="15"/>
      <c r="F5221" s="11">
        <f t="shared" si="41"/>
      </c>
      <c r="G5221" s="22" cm="1">
        <f t="array" ref="G5221">IF(AND(Inputs!$C$60,Inputs!$C$61),INDEX(Utility_Rates!$C$29:$F$52,HOUR(C5221)+Inputs!$C$69,MATCH(INDEX(Utility_Rates!$K$6:$K$17,MONTH(C5221))&amp;IF(WEEKDAY(C5221,Inputs!$C$76)&lt;=Inputs!$C$74," weekday"," weekend"),Utility_Rates!$C$28:$F$28,Inputs!$C$68)),"")</f>
      </c>
      <c r="H5221" s="34"/>
      <c r="I5221" s="42">
        <f>IF(AND(ISNUMBER(D5221),ISNUMBER(H5221)),D5221*H5221*Inputs!$C$69,"")</f>
      </c>
      <c r="J5221" s="42">
        <f>IF(AND(ISNUMBER(F5221),ISNUMBER(H5221),F5221&gt;=Inputs!$C$68),F5221*H5221*Inputs!$C$69,"")</f>
      </c>
    </row>
    <row r="5222" spans="2:10" ht="15" customHeight="1" x14ac:dyDescent="0.2">
      <c r="B5222" s="39">
        <f t="shared" si="40"/>
      </c>
      <c r="C5222" s="40">
        <f>IF(Inputs!$C$60,Inputs!$C$11+(B5222-Inputs!$C$69)/Inputs!$C$70,"")</f>
      </c>
      <c r="D5222" s="15"/>
      <c r="E5222" s="15"/>
      <c r="F5222" s="11">
        <f t="shared" si="41"/>
      </c>
      <c r="G5222" s="22" cm="1">
        <f t="array" ref="G5222">IF(AND(Inputs!$C$60,Inputs!$C$61),INDEX(Utility_Rates!$C$29:$F$52,HOUR(C5222)+Inputs!$C$69,MATCH(INDEX(Utility_Rates!$K$6:$K$17,MONTH(C5222))&amp;IF(WEEKDAY(C5222,Inputs!$C$76)&lt;=Inputs!$C$74," weekday"," weekend"),Utility_Rates!$C$28:$F$28,Inputs!$C$68)),"")</f>
      </c>
      <c r="H5222" s="34"/>
      <c r="I5222" s="42">
        <f>IF(AND(ISNUMBER(D5222),ISNUMBER(H5222)),D5222*H5222*Inputs!$C$69,"")</f>
      </c>
      <c r="J5222" s="42">
        <f>IF(AND(ISNUMBER(F5222),ISNUMBER(H5222),F5222&gt;=Inputs!$C$68),F5222*H5222*Inputs!$C$69,"")</f>
      </c>
    </row>
    <row r="5223" spans="2:10" ht="15" customHeight="1" x14ac:dyDescent="0.2">
      <c r="B5223" s="39">
        <f t="shared" si="40"/>
      </c>
      <c r="C5223" s="40">
        <f>IF(Inputs!$C$60,Inputs!$C$11+(B5223-Inputs!$C$69)/Inputs!$C$70,"")</f>
      </c>
      <c r="D5223" s="15"/>
      <c r="E5223" s="15"/>
      <c r="F5223" s="11">
        <f t="shared" si="41"/>
      </c>
      <c r="G5223" s="22" cm="1">
        <f t="array" ref="G5223">IF(AND(Inputs!$C$60,Inputs!$C$61),INDEX(Utility_Rates!$C$29:$F$52,HOUR(C5223)+Inputs!$C$69,MATCH(INDEX(Utility_Rates!$K$6:$K$17,MONTH(C5223))&amp;IF(WEEKDAY(C5223,Inputs!$C$76)&lt;=Inputs!$C$74," weekday"," weekend"),Utility_Rates!$C$28:$F$28,Inputs!$C$68)),"")</f>
      </c>
      <c r="H5223" s="34"/>
      <c r="I5223" s="42">
        <f>IF(AND(ISNUMBER(D5223),ISNUMBER(H5223)),D5223*H5223*Inputs!$C$69,"")</f>
      </c>
      <c r="J5223" s="42">
        <f>IF(AND(ISNUMBER(F5223),ISNUMBER(H5223),F5223&gt;=Inputs!$C$68),F5223*H5223*Inputs!$C$69,"")</f>
      </c>
    </row>
    <row r="5224" spans="2:10" ht="15" customHeight="1" x14ac:dyDescent="0.2">
      <c r="B5224" s="39">
        <f t="shared" si="40"/>
      </c>
      <c r="C5224" s="40">
        <f>IF(Inputs!$C$60,Inputs!$C$11+(B5224-Inputs!$C$69)/Inputs!$C$70,"")</f>
      </c>
      <c r="D5224" s="15"/>
      <c r="E5224" s="15"/>
      <c r="F5224" s="11">
        <f t="shared" si="41"/>
      </c>
      <c r="G5224" s="22" cm="1">
        <f t="array" ref="G5224">IF(AND(Inputs!$C$60,Inputs!$C$61),INDEX(Utility_Rates!$C$29:$F$52,HOUR(C5224)+Inputs!$C$69,MATCH(INDEX(Utility_Rates!$K$6:$K$17,MONTH(C5224))&amp;IF(WEEKDAY(C5224,Inputs!$C$76)&lt;=Inputs!$C$74," weekday"," weekend"),Utility_Rates!$C$28:$F$28,Inputs!$C$68)),"")</f>
      </c>
      <c r="H5224" s="34"/>
      <c r="I5224" s="42">
        <f>IF(AND(ISNUMBER(D5224),ISNUMBER(H5224)),D5224*H5224*Inputs!$C$69,"")</f>
      </c>
      <c r="J5224" s="42">
        <f>IF(AND(ISNUMBER(F5224),ISNUMBER(H5224),F5224&gt;=Inputs!$C$68),F5224*H5224*Inputs!$C$69,"")</f>
      </c>
    </row>
    <row r="5225" spans="2:10" ht="15" customHeight="1" x14ac:dyDescent="0.2">
      <c r="B5225" s="39">
        <f t="shared" si="40"/>
      </c>
      <c r="C5225" s="40">
        <f>IF(Inputs!$C$60,Inputs!$C$11+(B5225-Inputs!$C$69)/Inputs!$C$70,"")</f>
      </c>
      <c r="D5225" s="15"/>
      <c r="E5225" s="15"/>
      <c r="F5225" s="11">
        <f t="shared" si="41"/>
      </c>
      <c r="G5225" s="22" cm="1">
        <f t="array" ref="G5225">IF(AND(Inputs!$C$60,Inputs!$C$61),INDEX(Utility_Rates!$C$29:$F$52,HOUR(C5225)+Inputs!$C$69,MATCH(INDEX(Utility_Rates!$K$6:$K$17,MONTH(C5225))&amp;IF(WEEKDAY(C5225,Inputs!$C$76)&lt;=Inputs!$C$74," weekday"," weekend"),Utility_Rates!$C$28:$F$28,Inputs!$C$68)),"")</f>
      </c>
      <c r="H5225" s="34"/>
      <c r="I5225" s="42">
        <f>IF(AND(ISNUMBER(D5225),ISNUMBER(H5225)),D5225*H5225*Inputs!$C$69,"")</f>
      </c>
      <c r="J5225" s="42">
        <f>IF(AND(ISNUMBER(F5225),ISNUMBER(H5225),F5225&gt;=Inputs!$C$68),F5225*H5225*Inputs!$C$69,"")</f>
      </c>
    </row>
    <row r="5226" spans="2:10" ht="15" customHeight="1" x14ac:dyDescent="0.2">
      <c r="B5226" s="39">
        <f t="shared" si="40"/>
      </c>
      <c r="C5226" s="40">
        <f>IF(Inputs!$C$60,Inputs!$C$11+(B5226-Inputs!$C$69)/Inputs!$C$70,"")</f>
      </c>
      <c r="D5226" s="15"/>
      <c r="E5226" s="15"/>
      <c r="F5226" s="11">
        <f t="shared" si="41"/>
      </c>
      <c r="G5226" s="22" cm="1">
        <f t="array" ref="G5226">IF(AND(Inputs!$C$60,Inputs!$C$61),INDEX(Utility_Rates!$C$29:$F$52,HOUR(C5226)+Inputs!$C$69,MATCH(INDEX(Utility_Rates!$K$6:$K$17,MONTH(C5226))&amp;IF(WEEKDAY(C5226,Inputs!$C$76)&lt;=Inputs!$C$74," weekday"," weekend"),Utility_Rates!$C$28:$F$28,Inputs!$C$68)),"")</f>
      </c>
      <c r="H5226" s="34"/>
      <c r="I5226" s="42">
        <f>IF(AND(ISNUMBER(D5226),ISNUMBER(H5226)),D5226*H5226*Inputs!$C$69,"")</f>
      </c>
      <c r="J5226" s="42">
        <f>IF(AND(ISNUMBER(F5226),ISNUMBER(H5226),F5226&gt;=Inputs!$C$68),F5226*H5226*Inputs!$C$69,"")</f>
      </c>
    </row>
    <row r="5227" spans="2:10" ht="15" customHeight="1" x14ac:dyDescent="0.2">
      <c r="B5227" s="39">
        <f t="shared" si="40"/>
      </c>
      <c r="C5227" s="40">
        <f>IF(Inputs!$C$60,Inputs!$C$11+(B5227-Inputs!$C$69)/Inputs!$C$70,"")</f>
      </c>
      <c r="D5227" s="15"/>
      <c r="E5227" s="15"/>
      <c r="F5227" s="11">
        <f t="shared" si="41"/>
      </c>
      <c r="G5227" s="22" cm="1">
        <f t="array" ref="G5227">IF(AND(Inputs!$C$60,Inputs!$C$61),INDEX(Utility_Rates!$C$29:$F$52,HOUR(C5227)+Inputs!$C$69,MATCH(INDEX(Utility_Rates!$K$6:$K$17,MONTH(C5227))&amp;IF(WEEKDAY(C5227,Inputs!$C$76)&lt;=Inputs!$C$74," weekday"," weekend"),Utility_Rates!$C$28:$F$28,Inputs!$C$68)),"")</f>
      </c>
      <c r="H5227" s="34"/>
      <c r="I5227" s="42">
        <f>IF(AND(ISNUMBER(D5227),ISNUMBER(H5227)),D5227*H5227*Inputs!$C$69,"")</f>
      </c>
      <c r="J5227" s="42">
        <f>IF(AND(ISNUMBER(F5227),ISNUMBER(H5227),F5227&gt;=Inputs!$C$68),F5227*H5227*Inputs!$C$69,"")</f>
      </c>
    </row>
    <row r="5228" spans="2:10" ht="15" customHeight="1" x14ac:dyDescent="0.2">
      <c r="B5228" s="39">
        <f t="shared" si="40"/>
      </c>
      <c r="C5228" s="40">
        <f>IF(Inputs!$C$60,Inputs!$C$11+(B5228-Inputs!$C$69)/Inputs!$C$70,"")</f>
      </c>
      <c r="D5228" s="15"/>
      <c r="E5228" s="15"/>
      <c r="F5228" s="11">
        <f t="shared" si="41"/>
      </c>
      <c r="G5228" s="22" cm="1">
        <f t="array" ref="G5228">IF(AND(Inputs!$C$60,Inputs!$C$61),INDEX(Utility_Rates!$C$29:$F$52,HOUR(C5228)+Inputs!$C$69,MATCH(INDEX(Utility_Rates!$K$6:$K$17,MONTH(C5228))&amp;IF(WEEKDAY(C5228,Inputs!$C$76)&lt;=Inputs!$C$74," weekday"," weekend"),Utility_Rates!$C$28:$F$28,Inputs!$C$68)),"")</f>
      </c>
      <c r="H5228" s="34"/>
      <c r="I5228" s="42">
        <f>IF(AND(ISNUMBER(D5228),ISNUMBER(H5228)),D5228*H5228*Inputs!$C$69,"")</f>
      </c>
      <c r="J5228" s="42">
        <f>IF(AND(ISNUMBER(F5228),ISNUMBER(H5228),F5228&gt;=Inputs!$C$68),F5228*H5228*Inputs!$C$69,"")</f>
      </c>
    </row>
    <row r="5229" spans="2:10" ht="15" customHeight="1" x14ac:dyDescent="0.2">
      <c r="B5229" s="39">
        <f t="shared" si="40"/>
      </c>
      <c r="C5229" s="40">
        <f>IF(Inputs!$C$60,Inputs!$C$11+(B5229-Inputs!$C$69)/Inputs!$C$70,"")</f>
      </c>
      <c r="D5229" s="15"/>
      <c r="E5229" s="15"/>
      <c r="F5229" s="11">
        <f t="shared" si="41"/>
      </c>
      <c r="G5229" s="22" cm="1">
        <f t="array" ref="G5229">IF(AND(Inputs!$C$60,Inputs!$C$61),INDEX(Utility_Rates!$C$29:$F$52,HOUR(C5229)+Inputs!$C$69,MATCH(INDEX(Utility_Rates!$K$6:$K$17,MONTH(C5229))&amp;IF(WEEKDAY(C5229,Inputs!$C$76)&lt;=Inputs!$C$74," weekday"," weekend"),Utility_Rates!$C$28:$F$28,Inputs!$C$68)),"")</f>
      </c>
      <c r="H5229" s="34"/>
      <c r="I5229" s="42">
        <f>IF(AND(ISNUMBER(D5229),ISNUMBER(H5229)),D5229*H5229*Inputs!$C$69,"")</f>
      </c>
      <c r="J5229" s="42">
        <f>IF(AND(ISNUMBER(F5229),ISNUMBER(H5229),F5229&gt;=Inputs!$C$68),F5229*H5229*Inputs!$C$69,"")</f>
      </c>
    </row>
    <row r="5230" spans="2:10" ht="15" customHeight="1" x14ac:dyDescent="0.2">
      <c r="B5230" s="39">
        <f t="shared" si="40"/>
      </c>
      <c r="C5230" s="40">
        <f>IF(Inputs!$C$60,Inputs!$C$11+(B5230-Inputs!$C$69)/Inputs!$C$70,"")</f>
      </c>
      <c r="D5230" s="15"/>
      <c r="E5230" s="15"/>
      <c r="F5230" s="11">
        <f t="shared" si="41"/>
      </c>
      <c r="G5230" s="22" cm="1">
        <f t="array" ref="G5230">IF(AND(Inputs!$C$60,Inputs!$C$61),INDEX(Utility_Rates!$C$29:$F$52,HOUR(C5230)+Inputs!$C$69,MATCH(INDEX(Utility_Rates!$K$6:$K$17,MONTH(C5230))&amp;IF(WEEKDAY(C5230,Inputs!$C$76)&lt;=Inputs!$C$74," weekday"," weekend"),Utility_Rates!$C$28:$F$28,Inputs!$C$68)),"")</f>
      </c>
      <c r="H5230" s="34"/>
      <c r="I5230" s="42">
        <f>IF(AND(ISNUMBER(D5230),ISNUMBER(H5230)),D5230*H5230*Inputs!$C$69,"")</f>
      </c>
      <c r="J5230" s="42">
        <f>IF(AND(ISNUMBER(F5230),ISNUMBER(H5230),F5230&gt;=Inputs!$C$68),F5230*H5230*Inputs!$C$69,"")</f>
      </c>
    </row>
    <row r="5231" spans="2:10" ht="15" customHeight="1" x14ac:dyDescent="0.2">
      <c r="B5231" s="39">
        <f t="shared" si="40"/>
      </c>
      <c r="C5231" s="40">
        <f>IF(Inputs!$C$60,Inputs!$C$11+(B5231-Inputs!$C$69)/Inputs!$C$70,"")</f>
      </c>
      <c r="D5231" s="15"/>
      <c r="E5231" s="15"/>
      <c r="F5231" s="11">
        <f t="shared" si="41"/>
      </c>
      <c r="G5231" s="22" cm="1">
        <f t="array" ref="G5231">IF(AND(Inputs!$C$60,Inputs!$C$61),INDEX(Utility_Rates!$C$29:$F$52,HOUR(C5231)+Inputs!$C$69,MATCH(INDEX(Utility_Rates!$K$6:$K$17,MONTH(C5231))&amp;IF(WEEKDAY(C5231,Inputs!$C$76)&lt;=Inputs!$C$74," weekday"," weekend"),Utility_Rates!$C$28:$F$28,Inputs!$C$68)),"")</f>
      </c>
      <c r="H5231" s="34"/>
      <c r="I5231" s="42">
        <f>IF(AND(ISNUMBER(D5231),ISNUMBER(H5231)),D5231*H5231*Inputs!$C$69,"")</f>
      </c>
      <c r="J5231" s="42">
        <f>IF(AND(ISNUMBER(F5231),ISNUMBER(H5231),F5231&gt;=Inputs!$C$68),F5231*H5231*Inputs!$C$69,"")</f>
      </c>
    </row>
    <row r="5232" spans="2:10" ht="15" customHeight="1" x14ac:dyDescent="0.2">
      <c r="B5232" s="39">
        <f t="shared" si="40"/>
      </c>
      <c r="C5232" s="40">
        <f>IF(Inputs!$C$60,Inputs!$C$11+(B5232-Inputs!$C$69)/Inputs!$C$70,"")</f>
      </c>
      <c r="D5232" s="15"/>
      <c r="E5232" s="15"/>
      <c r="F5232" s="11">
        <f t="shared" si="41"/>
      </c>
      <c r="G5232" s="22" cm="1">
        <f t="array" ref="G5232">IF(AND(Inputs!$C$60,Inputs!$C$61),INDEX(Utility_Rates!$C$29:$F$52,HOUR(C5232)+Inputs!$C$69,MATCH(INDEX(Utility_Rates!$K$6:$K$17,MONTH(C5232))&amp;IF(WEEKDAY(C5232,Inputs!$C$76)&lt;=Inputs!$C$74," weekday"," weekend"),Utility_Rates!$C$28:$F$28,Inputs!$C$68)),"")</f>
      </c>
      <c r="H5232" s="34"/>
      <c r="I5232" s="42">
        <f>IF(AND(ISNUMBER(D5232),ISNUMBER(H5232)),D5232*H5232*Inputs!$C$69,"")</f>
      </c>
      <c r="J5232" s="42">
        <f>IF(AND(ISNUMBER(F5232),ISNUMBER(H5232),F5232&gt;=Inputs!$C$68),F5232*H5232*Inputs!$C$69,"")</f>
      </c>
    </row>
    <row r="5233" spans="2:10" ht="15" customHeight="1" x14ac:dyDescent="0.2">
      <c r="B5233" s="39">
        <f t="shared" si="40"/>
      </c>
      <c r="C5233" s="40">
        <f>IF(Inputs!$C$60,Inputs!$C$11+(B5233-Inputs!$C$69)/Inputs!$C$70,"")</f>
      </c>
      <c r="D5233" s="15"/>
      <c r="E5233" s="15"/>
      <c r="F5233" s="11">
        <f t="shared" si="41"/>
      </c>
      <c r="G5233" s="22" cm="1">
        <f t="array" ref="G5233">IF(AND(Inputs!$C$60,Inputs!$C$61),INDEX(Utility_Rates!$C$29:$F$52,HOUR(C5233)+Inputs!$C$69,MATCH(INDEX(Utility_Rates!$K$6:$K$17,MONTH(C5233))&amp;IF(WEEKDAY(C5233,Inputs!$C$76)&lt;=Inputs!$C$74," weekday"," weekend"),Utility_Rates!$C$28:$F$28,Inputs!$C$68)),"")</f>
      </c>
      <c r="H5233" s="34"/>
      <c r="I5233" s="42">
        <f>IF(AND(ISNUMBER(D5233),ISNUMBER(H5233)),D5233*H5233*Inputs!$C$69,"")</f>
      </c>
      <c r="J5233" s="42">
        <f>IF(AND(ISNUMBER(F5233),ISNUMBER(H5233),F5233&gt;=Inputs!$C$68),F5233*H5233*Inputs!$C$69,"")</f>
      </c>
    </row>
    <row r="5234" spans="2:10" ht="15" customHeight="1" x14ac:dyDescent="0.2">
      <c r="B5234" s="39">
        <f t="shared" si="40"/>
      </c>
      <c r="C5234" s="40">
        <f>IF(Inputs!$C$60,Inputs!$C$11+(B5234-Inputs!$C$69)/Inputs!$C$70,"")</f>
      </c>
      <c r="D5234" s="15"/>
      <c r="E5234" s="15"/>
      <c r="F5234" s="11">
        <f t="shared" si="41"/>
      </c>
      <c r="G5234" s="22" cm="1">
        <f t="array" ref="G5234">IF(AND(Inputs!$C$60,Inputs!$C$61),INDEX(Utility_Rates!$C$29:$F$52,HOUR(C5234)+Inputs!$C$69,MATCH(INDEX(Utility_Rates!$K$6:$K$17,MONTH(C5234))&amp;IF(WEEKDAY(C5234,Inputs!$C$76)&lt;=Inputs!$C$74," weekday"," weekend"),Utility_Rates!$C$28:$F$28,Inputs!$C$68)),"")</f>
      </c>
      <c r="H5234" s="34"/>
      <c r="I5234" s="42">
        <f>IF(AND(ISNUMBER(D5234),ISNUMBER(H5234)),D5234*H5234*Inputs!$C$69,"")</f>
      </c>
      <c r="J5234" s="42">
        <f>IF(AND(ISNUMBER(F5234),ISNUMBER(H5234),F5234&gt;=Inputs!$C$68),F5234*H5234*Inputs!$C$69,"")</f>
      </c>
    </row>
    <row r="5235" spans="2:10" ht="15" customHeight="1" x14ac:dyDescent="0.2">
      <c r="B5235" s="39">
        <f t="shared" si="40"/>
      </c>
      <c r="C5235" s="40">
        <f>IF(Inputs!$C$60,Inputs!$C$11+(B5235-Inputs!$C$69)/Inputs!$C$70,"")</f>
      </c>
      <c r="D5235" s="15"/>
      <c r="E5235" s="15"/>
      <c r="F5235" s="11">
        <f t="shared" si="41"/>
      </c>
      <c r="G5235" s="22" cm="1">
        <f t="array" ref="G5235">IF(AND(Inputs!$C$60,Inputs!$C$61),INDEX(Utility_Rates!$C$29:$F$52,HOUR(C5235)+Inputs!$C$69,MATCH(INDEX(Utility_Rates!$K$6:$K$17,MONTH(C5235))&amp;IF(WEEKDAY(C5235,Inputs!$C$76)&lt;=Inputs!$C$74," weekday"," weekend"),Utility_Rates!$C$28:$F$28,Inputs!$C$68)),"")</f>
      </c>
      <c r="H5235" s="34"/>
      <c r="I5235" s="42">
        <f>IF(AND(ISNUMBER(D5235),ISNUMBER(H5235)),D5235*H5235*Inputs!$C$69,"")</f>
      </c>
      <c r="J5235" s="42">
        <f>IF(AND(ISNUMBER(F5235),ISNUMBER(H5235),F5235&gt;=Inputs!$C$68),F5235*H5235*Inputs!$C$69,"")</f>
      </c>
    </row>
    <row r="5236" spans="2:10" ht="15" customHeight="1" x14ac:dyDescent="0.2">
      <c r="B5236" s="39">
        <f t="shared" si="40"/>
      </c>
      <c r="C5236" s="40">
        <f>IF(Inputs!$C$60,Inputs!$C$11+(B5236-Inputs!$C$69)/Inputs!$C$70,"")</f>
      </c>
      <c r="D5236" s="15"/>
      <c r="E5236" s="15"/>
      <c r="F5236" s="11">
        <f t="shared" si="41"/>
      </c>
      <c r="G5236" s="22" cm="1">
        <f t="array" ref="G5236">IF(AND(Inputs!$C$60,Inputs!$C$61),INDEX(Utility_Rates!$C$29:$F$52,HOUR(C5236)+Inputs!$C$69,MATCH(INDEX(Utility_Rates!$K$6:$K$17,MONTH(C5236))&amp;IF(WEEKDAY(C5236,Inputs!$C$76)&lt;=Inputs!$C$74," weekday"," weekend"),Utility_Rates!$C$28:$F$28,Inputs!$C$68)),"")</f>
      </c>
      <c r="H5236" s="34"/>
      <c r="I5236" s="42">
        <f>IF(AND(ISNUMBER(D5236),ISNUMBER(H5236)),D5236*H5236*Inputs!$C$69,"")</f>
      </c>
      <c r="J5236" s="42">
        <f>IF(AND(ISNUMBER(F5236),ISNUMBER(H5236),F5236&gt;=Inputs!$C$68),F5236*H5236*Inputs!$C$69,"")</f>
      </c>
    </row>
    <row r="5237" spans="2:10" ht="15" customHeight="1" x14ac:dyDescent="0.2">
      <c r="B5237" s="39">
        <f t="shared" si="40"/>
      </c>
      <c r="C5237" s="40">
        <f>IF(Inputs!$C$60,Inputs!$C$11+(B5237-Inputs!$C$69)/Inputs!$C$70,"")</f>
      </c>
      <c r="D5237" s="15"/>
      <c r="E5237" s="15"/>
      <c r="F5237" s="11">
        <f t="shared" si="41"/>
      </c>
      <c r="G5237" s="22" cm="1">
        <f t="array" ref="G5237">IF(AND(Inputs!$C$60,Inputs!$C$61),INDEX(Utility_Rates!$C$29:$F$52,HOUR(C5237)+Inputs!$C$69,MATCH(INDEX(Utility_Rates!$K$6:$K$17,MONTH(C5237))&amp;IF(WEEKDAY(C5237,Inputs!$C$76)&lt;=Inputs!$C$74," weekday"," weekend"),Utility_Rates!$C$28:$F$28,Inputs!$C$68)),"")</f>
      </c>
      <c r="H5237" s="34"/>
      <c r="I5237" s="42">
        <f>IF(AND(ISNUMBER(D5237),ISNUMBER(H5237)),D5237*H5237*Inputs!$C$69,"")</f>
      </c>
      <c r="J5237" s="42">
        <f>IF(AND(ISNUMBER(F5237),ISNUMBER(H5237),F5237&gt;=Inputs!$C$68),F5237*H5237*Inputs!$C$69,"")</f>
      </c>
    </row>
    <row r="5238" spans="2:10" ht="15" customHeight="1" x14ac:dyDescent="0.2">
      <c r="B5238" s="39">
        <f t="shared" si="40"/>
      </c>
      <c r="C5238" s="40">
        <f>IF(Inputs!$C$60,Inputs!$C$11+(B5238-Inputs!$C$69)/Inputs!$C$70,"")</f>
      </c>
      <c r="D5238" s="15"/>
      <c r="E5238" s="15"/>
      <c r="F5238" s="11">
        <f t="shared" si="41"/>
      </c>
      <c r="G5238" s="22" cm="1">
        <f t="array" ref="G5238">IF(AND(Inputs!$C$60,Inputs!$C$61),INDEX(Utility_Rates!$C$29:$F$52,HOUR(C5238)+Inputs!$C$69,MATCH(INDEX(Utility_Rates!$K$6:$K$17,MONTH(C5238))&amp;IF(WEEKDAY(C5238,Inputs!$C$76)&lt;=Inputs!$C$74," weekday"," weekend"),Utility_Rates!$C$28:$F$28,Inputs!$C$68)),"")</f>
      </c>
      <c r="H5238" s="34"/>
      <c r="I5238" s="42">
        <f>IF(AND(ISNUMBER(D5238),ISNUMBER(H5238)),D5238*H5238*Inputs!$C$69,"")</f>
      </c>
      <c r="J5238" s="42">
        <f>IF(AND(ISNUMBER(F5238),ISNUMBER(H5238),F5238&gt;=Inputs!$C$68),F5238*H5238*Inputs!$C$69,"")</f>
      </c>
    </row>
    <row r="5239" spans="2:10" ht="15" customHeight="1" x14ac:dyDescent="0.2">
      <c r="B5239" s="39">
        <f t="shared" si="40"/>
      </c>
      <c r="C5239" s="40">
        <f>IF(Inputs!$C$60,Inputs!$C$11+(B5239-Inputs!$C$69)/Inputs!$C$70,"")</f>
      </c>
      <c r="D5239" s="15"/>
      <c r="E5239" s="15"/>
      <c r="F5239" s="11">
        <f t="shared" si="41"/>
      </c>
      <c r="G5239" s="22" cm="1">
        <f t="array" ref="G5239">IF(AND(Inputs!$C$60,Inputs!$C$61),INDEX(Utility_Rates!$C$29:$F$52,HOUR(C5239)+Inputs!$C$69,MATCH(INDEX(Utility_Rates!$K$6:$K$17,MONTH(C5239))&amp;IF(WEEKDAY(C5239,Inputs!$C$76)&lt;=Inputs!$C$74," weekday"," weekend"),Utility_Rates!$C$28:$F$28,Inputs!$C$68)),"")</f>
      </c>
      <c r="H5239" s="34"/>
      <c r="I5239" s="42">
        <f>IF(AND(ISNUMBER(D5239),ISNUMBER(H5239)),D5239*H5239*Inputs!$C$69,"")</f>
      </c>
      <c r="J5239" s="42">
        <f>IF(AND(ISNUMBER(F5239),ISNUMBER(H5239),F5239&gt;=Inputs!$C$68),F5239*H5239*Inputs!$C$69,"")</f>
      </c>
    </row>
    <row r="5240" spans="2:10" ht="15" customHeight="1" x14ac:dyDescent="0.2">
      <c r="B5240" s="39">
        <f t="shared" si="40"/>
      </c>
      <c r="C5240" s="40">
        <f>IF(Inputs!$C$60,Inputs!$C$11+(B5240-Inputs!$C$69)/Inputs!$C$70,"")</f>
      </c>
      <c r="D5240" s="15"/>
      <c r="E5240" s="15"/>
      <c r="F5240" s="11">
        <f t="shared" si="41"/>
      </c>
      <c r="G5240" s="22" cm="1">
        <f t="array" ref="G5240">IF(AND(Inputs!$C$60,Inputs!$C$61),INDEX(Utility_Rates!$C$29:$F$52,HOUR(C5240)+Inputs!$C$69,MATCH(INDEX(Utility_Rates!$K$6:$K$17,MONTH(C5240))&amp;IF(WEEKDAY(C5240,Inputs!$C$76)&lt;=Inputs!$C$74," weekday"," weekend"),Utility_Rates!$C$28:$F$28,Inputs!$C$68)),"")</f>
      </c>
      <c r="H5240" s="34"/>
      <c r="I5240" s="42">
        <f>IF(AND(ISNUMBER(D5240),ISNUMBER(H5240)),D5240*H5240*Inputs!$C$69,"")</f>
      </c>
      <c r="J5240" s="42">
        <f>IF(AND(ISNUMBER(F5240),ISNUMBER(H5240),F5240&gt;=Inputs!$C$68),F5240*H5240*Inputs!$C$69,"")</f>
      </c>
    </row>
    <row r="5241" spans="2:10" ht="15" customHeight="1" x14ac:dyDescent="0.2">
      <c r="B5241" s="39">
        <f t="shared" si="40"/>
      </c>
      <c r="C5241" s="40">
        <f>IF(Inputs!$C$60,Inputs!$C$11+(B5241-Inputs!$C$69)/Inputs!$C$70,"")</f>
      </c>
      <c r="D5241" s="15"/>
      <c r="E5241" s="15"/>
      <c r="F5241" s="11">
        <f t="shared" si="41"/>
      </c>
      <c r="G5241" s="22" cm="1">
        <f t="array" ref="G5241">IF(AND(Inputs!$C$60,Inputs!$C$61),INDEX(Utility_Rates!$C$29:$F$52,HOUR(C5241)+Inputs!$C$69,MATCH(INDEX(Utility_Rates!$K$6:$K$17,MONTH(C5241))&amp;IF(WEEKDAY(C5241,Inputs!$C$76)&lt;=Inputs!$C$74," weekday"," weekend"),Utility_Rates!$C$28:$F$28,Inputs!$C$68)),"")</f>
      </c>
      <c r="H5241" s="34"/>
      <c r="I5241" s="42">
        <f>IF(AND(ISNUMBER(D5241),ISNUMBER(H5241)),D5241*H5241*Inputs!$C$69,"")</f>
      </c>
      <c r="J5241" s="42">
        <f>IF(AND(ISNUMBER(F5241),ISNUMBER(H5241),F5241&gt;=Inputs!$C$68),F5241*H5241*Inputs!$C$69,"")</f>
      </c>
    </row>
    <row r="5242" spans="2:10" ht="15" customHeight="1" x14ac:dyDescent="0.2">
      <c r="B5242" s="39">
        <f t="shared" si="40"/>
      </c>
      <c r="C5242" s="40">
        <f>IF(Inputs!$C$60,Inputs!$C$11+(B5242-Inputs!$C$69)/Inputs!$C$70,"")</f>
      </c>
      <c r="D5242" s="15"/>
      <c r="E5242" s="15"/>
      <c r="F5242" s="11">
        <f t="shared" si="41"/>
      </c>
      <c r="G5242" s="22" cm="1">
        <f t="array" ref="G5242">IF(AND(Inputs!$C$60,Inputs!$C$61),INDEX(Utility_Rates!$C$29:$F$52,HOUR(C5242)+Inputs!$C$69,MATCH(INDEX(Utility_Rates!$K$6:$K$17,MONTH(C5242))&amp;IF(WEEKDAY(C5242,Inputs!$C$76)&lt;=Inputs!$C$74," weekday"," weekend"),Utility_Rates!$C$28:$F$28,Inputs!$C$68)),"")</f>
      </c>
      <c r="H5242" s="34"/>
      <c r="I5242" s="42">
        <f>IF(AND(ISNUMBER(D5242),ISNUMBER(H5242)),D5242*H5242*Inputs!$C$69,"")</f>
      </c>
      <c r="J5242" s="42">
        <f>IF(AND(ISNUMBER(F5242),ISNUMBER(H5242),F5242&gt;=Inputs!$C$68),F5242*H5242*Inputs!$C$69,"")</f>
      </c>
    </row>
    <row r="5243" spans="2:10" ht="15" customHeight="1" x14ac:dyDescent="0.2">
      <c r="B5243" s="39">
        <f t="shared" si="40"/>
      </c>
      <c r="C5243" s="40">
        <f>IF(Inputs!$C$60,Inputs!$C$11+(B5243-Inputs!$C$69)/Inputs!$C$70,"")</f>
      </c>
      <c r="D5243" s="15"/>
      <c r="E5243" s="15"/>
      <c r="F5243" s="11">
        <f t="shared" si="41"/>
      </c>
      <c r="G5243" s="22" cm="1">
        <f t="array" ref="G5243">IF(AND(Inputs!$C$60,Inputs!$C$61),INDEX(Utility_Rates!$C$29:$F$52,HOUR(C5243)+Inputs!$C$69,MATCH(INDEX(Utility_Rates!$K$6:$K$17,MONTH(C5243))&amp;IF(WEEKDAY(C5243,Inputs!$C$76)&lt;=Inputs!$C$74," weekday"," weekend"),Utility_Rates!$C$28:$F$28,Inputs!$C$68)),"")</f>
      </c>
      <c r="H5243" s="34"/>
      <c r="I5243" s="42">
        <f>IF(AND(ISNUMBER(D5243),ISNUMBER(H5243)),D5243*H5243*Inputs!$C$69,"")</f>
      </c>
      <c r="J5243" s="42">
        <f>IF(AND(ISNUMBER(F5243),ISNUMBER(H5243),F5243&gt;=Inputs!$C$68),F5243*H5243*Inputs!$C$69,"")</f>
      </c>
    </row>
    <row r="5244" spans="2:10" ht="15" customHeight="1" x14ac:dyDescent="0.2">
      <c r="B5244" s="39">
        <f t="shared" si="40"/>
      </c>
      <c r="C5244" s="40">
        <f>IF(Inputs!$C$60,Inputs!$C$11+(B5244-Inputs!$C$69)/Inputs!$C$70,"")</f>
      </c>
      <c r="D5244" s="15"/>
      <c r="E5244" s="15"/>
      <c r="F5244" s="11">
        <f t="shared" si="41"/>
      </c>
      <c r="G5244" s="22" cm="1">
        <f t="array" ref="G5244">IF(AND(Inputs!$C$60,Inputs!$C$61),INDEX(Utility_Rates!$C$29:$F$52,HOUR(C5244)+Inputs!$C$69,MATCH(INDEX(Utility_Rates!$K$6:$K$17,MONTH(C5244))&amp;IF(WEEKDAY(C5244,Inputs!$C$76)&lt;=Inputs!$C$74," weekday"," weekend"),Utility_Rates!$C$28:$F$28,Inputs!$C$68)),"")</f>
      </c>
      <c r="H5244" s="34"/>
      <c r="I5244" s="42">
        <f>IF(AND(ISNUMBER(D5244),ISNUMBER(H5244)),D5244*H5244*Inputs!$C$69,"")</f>
      </c>
      <c r="J5244" s="42">
        <f>IF(AND(ISNUMBER(F5244),ISNUMBER(H5244),F5244&gt;=Inputs!$C$68),F5244*H5244*Inputs!$C$69,"")</f>
      </c>
    </row>
    <row r="5245" spans="2:10" ht="15" customHeight="1" x14ac:dyDescent="0.2">
      <c r="B5245" s="39">
        <f t="shared" si="40"/>
      </c>
      <c r="C5245" s="40">
        <f>IF(Inputs!$C$60,Inputs!$C$11+(B5245-Inputs!$C$69)/Inputs!$C$70,"")</f>
      </c>
      <c r="D5245" s="15"/>
      <c r="E5245" s="15"/>
      <c r="F5245" s="11">
        <f t="shared" si="41"/>
      </c>
      <c r="G5245" s="22" cm="1">
        <f t="array" ref="G5245">IF(AND(Inputs!$C$60,Inputs!$C$61),INDEX(Utility_Rates!$C$29:$F$52,HOUR(C5245)+Inputs!$C$69,MATCH(INDEX(Utility_Rates!$K$6:$K$17,MONTH(C5245))&amp;IF(WEEKDAY(C5245,Inputs!$C$76)&lt;=Inputs!$C$74," weekday"," weekend"),Utility_Rates!$C$28:$F$28,Inputs!$C$68)),"")</f>
      </c>
      <c r="H5245" s="34"/>
      <c r="I5245" s="42">
        <f>IF(AND(ISNUMBER(D5245),ISNUMBER(H5245)),D5245*H5245*Inputs!$C$69,"")</f>
      </c>
      <c r="J5245" s="42">
        <f>IF(AND(ISNUMBER(F5245),ISNUMBER(H5245),F5245&gt;=Inputs!$C$68),F5245*H5245*Inputs!$C$69,"")</f>
      </c>
    </row>
    <row r="5246" spans="2:10" ht="15" customHeight="1" x14ac:dyDescent="0.2">
      <c r="B5246" s="39">
        <f t="shared" si="40"/>
      </c>
      <c r="C5246" s="40">
        <f>IF(Inputs!$C$60,Inputs!$C$11+(B5246-Inputs!$C$69)/Inputs!$C$70,"")</f>
      </c>
      <c r="D5246" s="15"/>
      <c r="E5246" s="15"/>
      <c r="F5246" s="11">
        <f t="shared" si="41"/>
      </c>
      <c r="G5246" s="22" cm="1">
        <f t="array" ref="G5246">IF(AND(Inputs!$C$60,Inputs!$C$61),INDEX(Utility_Rates!$C$29:$F$52,HOUR(C5246)+Inputs!$C$69,MATCH(INDEX(Utility_Rates!$K$6:$K$17,MONTH(C5246))&amp;IF(WEEKDAY(C5246,Inputs!$C$76)&lt;=Inputs!$C$74," weekday"," weekend"),Utility_Rates!$C$28:$F$28,Inputs!$C$68)),"")</f>
      </c>
      <c r="H5246" s="34"/>
      <c r="I5246" s="42">
        <f>IF(AND(ISNUMBER(D5246),ISNUMBER(H5246)),D5246*H5246*Inputs!$C$69,"")</f>
      </c>
      <c r="J5246" s="42">
        <f>IF(AND(ISNUMBER(F5246),ISNUMBER(H5246),F5246&gt;=Inputs!$C$68),F5246*H5246*Inputs!$C$69,"")</f>
      </c>
    </row>
    <row r="5247" spans="2:10" ht="15" customHeight="1" x14ac:dyDescent="0.2">
      <c r="B5247" s="39">
        <f t="shared" si="40"/>
      </c>
      <c r="C5247" s="40">
        <f>IF(Inputs!$C$60,Inputs!$C$11+(B5247-Inputs!$C$69)/Inputs!$C$70,"")</f>
      </c>
      <c r="D5247" s="15"/>
      <c r="E5247" s="15"/>
      <c r="F5247" s="11">
        <f t="shared" si="41"/>
      </c>
      <c r="G5247" s="22" cm="1">
        <f t="array" ref="G5247">IF(AND(Inputs!$C$60,Inputs!$C$61),INDEX(Utility_Rates!$C$29:$F$52,HOUR(C5247)+Inputs!$C$69,MATCH(INDEX(Utility_Rates!$K$6:$K$17,MONTH(C5247))&amp;IF(WEEKDAY(C5247,Inputs!$C$76)&lt;=Inputs!$C$74," weekday"," weekend"),Utility_Rates!$C$28:$F$28,Inputs!$C$68)),"")</f>
      </c>
      <c r="H5247" s="34"/>
      <c r="I5247" s="42">
        <f>IF(AND(ISNUMBER(D5247),ISNUMBER(H5247)),D5247*H5247*Inputs!$C$69,"")</f>
      </c>
      <c r="J5247" s="42">
        <f>IF(AND(ISNUMBER(F5247),ISNUMBER(H5247),F5247&gt;=Inputs!$C$68),F5247*H5247*Inputs!$C$69,"")</f>
      </c>
    </row>
    <row r="5248" spans="2:10" ht="15" customHeight="1" x14ac:dyDescent="0.2">
      <c r="B5248" s="39">
        <f t="shared" si="40"/>
      </c>
      <c r="C5248" s="40">
        <f>IF(Inputs!$C$60,Inputs!$C$11+(B5248-Inputs!$C$69)/Inputs!$C$70,"")</f>
      </c>
      <c r="D5248" s="15"/>
      <c r="E5248" s="15"/>
      <c r="F5248" s="11">
        <f t="shared" si="41"/>
      </c>
      <c r="G5248" s="22" cm="1">
        <f t="array" ref="G5248">IF(AND(Inputs!$C$60,Inputs!$C$61),INDEX(Utility_Rates!$C$29:$F$52,HOUR(C5248)+Inputs!$C$69,MATCH(INDEX(Utility_Rates!$K$6:$K$17,MONTH(C5248))&amp;IF(WEEKDAY(C5248,Inputs!$C$76)&lt;=Inputs!$C$74," weekday"," weekend"),Utility_Rates!$C$28:$F$28,Inputs!$C$68)),"")</f>
      </c>
      <c r="H5248" s="34"/>
      <c r="I5248" s="42">
        <f>IF(AND(ISNUMBER(D5248),ISNUMBER(H5248)),D5248*H5248*Inputs!$C$69,"")</f>
      </c>
      <c r="J5248" s="42">
        <f>IF(AND(ISNUMBER(F5248),ISNUMBER(H5248),F5248&gt;=Inputs!$C$68),F5248*H5248*Inputs!$C$69,"")</f>
      </c>
    </row>
    <row r="5249" spans="2:10" ht="15" customHeight="1" x14ac:dyDescent="0.2">
      <c r="B5249" s="39">
        <f t="shared" si="40"/>
      </c>
      <c r="C5249" s="40">
        <f>IF(Inputs!$C$60,Inputs!$C$11+(B5249-Inputs!$C$69)/Inputs!$C$70,"")</f>
      </c>
      <c r="D5249" s="15"/>
      <c r="E5249" s="15"/>
      <c r="F5249" s="11">
        <f t="shared" si="41"/>
      </c>
      <c r="G5249" s="22" cm="1">
        <f t="array" ref="G5249">IF(AND(Inputs!$C$60,Inputs!$C$61),INDEX(Utility_Rates!$C$29:$F$52,HOUR(C5249)+Inputs!$C$69,MATCH(INDEX(Utility_Rates!$K$6:$K$17,MONTH(C5249))&amp;IF(WEEKDAY(C5249,Inputs!$C$76)&lt;=Inputs!$C$74," weekday"," weekend"),Utility_Rates!$C$28:$F$28,Inputs!$C$68)),"")</f>
      </c>
      <c r="H5249" s="34"/>
      <c r="I5249" s="42">
        <f>IF(AND(ISNUMBER(D5249),ISNUMBER(H5249)),D5249*H5249*Inputs!$C$69,"")</f>
      </c>
      <c r="J5249" s="42">
        <f>IF(AND(ISNUMBER(F5249),ISNUMBER(H5249),F5249&gt;=Inputs!$C$68),F5249*H5249*Inputs!$C$69,"")</f>
      </c>
    </row>
    <row r="5250" spans="2:10" ht="15" customHeight="1" x14ac:dyDescent="0.2">
      <c r="B5250" s="39">
        <f t="shared" si="40"/>
      </c>
      <c r="C5250" s="40">
        <f>IF(Inputs!$C$60,Inputs!$C$11+(B5250-Inputs!$C$69)/Inputs!$C$70,"")</f>
      </c>
      <c r="D5250" s="15"/>
      <c r="E5250" s="15"/>
      <c r="F5250" s="11">
        <f t="shared" si="41"/>
      </c>
      <c r="G5250" s="22" cm="1">
        <f t="array" ref="G5250">IF(AND(Inputs!$C$60,Inputs!$C$61),INDEX(Utility_Rates!$C$29:$F$52,HOUR(C5250)+Inputs!$C$69,MATCH(INDEX(Utility_Rates!$K$6:$K$17,MONTH(C5250))&amp;IF(WEEKDAY(C5250,Inputs!$C$76)&lt;=Inputs!$C$74," weekday"," weekend"),Utility_Rates!$C$28:$F$28,Inputs!$C$68)),"")</f>
      </c>
      <c r="H5250" s="34"/>
      <c r="I5250" s="42">
        <f>IF(AND(ISNUMBER(D5250),ISNUMBER(H5250)),D5250*H5250*Inputs!$C$69,"")</f>
      </c>
      <c r="J5250" s="42">
        <f>IF(AND(ISNUMBER(F5250),ISNUMBER(H5250),F5250&gt;=Inputs!$C$68),F5250*H5250*Inputs!$C$69,"")</f>
      </c>
    </row>
    <row r="5251" spans="2:10" ht="15" customHeight="1" x14ac:dyDescent="0.2">
      <c r="B5251" s="39">
        <f t="shared" si="40"/>
      </c>
      <c r="C5251" s="40">
        <f>IF(Inputs!$C$60,Inputs!$C$11+(B5251-Inputs!$C$69)/Inputs!$C$70,"")</f>
      </c>
      <c r="D5251" s="15"/>
      <c r="E5251" s="15"/>
      <c r="F5251" s="11">
        <f t="shared" si="41"/>
      </c>
      <c r="G5251" s="22" cm="1">
        <f t="array" ref="G5251">IF(AND(Inputs!$C$60,Inputs!$C$61),INDEX(Utility_Rates!$C$29:$F$52,HOUR(C5251)+Inputs!$C$69,MATCH(INDEX(Utility_Rates!$K$6:$K$17,MONTH(C5251))&amp;IF(WEEKDAY(C5251,Inputs!$C$76)&lt;=Inputs!$C$74," weekday"," weekend"),Utility_Rates!$C$28:$F$28,Inputs!$C$68)),"")</f>
      </c>
      <c r="H5251" s="34"/>
      <c r="I5251" s="42">
        <f>IF(AND(ISNUMBER(D5251),ISNUMBER(H5251)),D5251*H5251*Inputs!$C$69,"")</f>
      </c>
      <c r="J5251" s="42">
        <f>IF(AND(ISNUMBER(F5251),ISNUMBER(H5251),F5251&gt;=Inputs!$C$68),F5251*H5251*Inputs!$C$69,"")</f>
      </c>
    </row>
    <row r="5252" spans="2:10" ht="15" customHeight="1" x14ac:dyDescent="0.2">
      <c r="B5252" s="39">
        <f t="shared" si="40"/>
      </c>
      <c r="C5252" s="40">
        <f>IF(Inputs!$C$60,Inputs!$C$11+(B5252-Inputs!$C$69)/Inputs!$C$70,"")</f>
      </c>
      <c r="D5252" s="15"/>
      <c r="E5252" s="15"/>
      <c r="F5252" s="11">
        <f t="shared" si="41"/>
      </c>
      <c r="G5252" s="22" cm="1">
        <f t="array" ref="G5252">IF(AND(Inputs!$C$60,Inputs!$C$61),INDEX(Utility_Rates!$C$29:$F$52,HOUR(C5252)+Inputs!$C$69,MATCH(INDEX(Utility_Rates!$K$6:$K$17,MONTH(C5252))&amp;IF(WEEKDAY(C5252,Inputs!$C$76)&lt;=Inputs!$C$74," weekday"," weekend"),Utility_Rates!$C$28:$F$28,Inputs!$C$68)),"")</f>
      </c>
      <c r="H5252" s="34"/>
      <c r="I5252" s="42">
        <f>IF(AND(ISNUMBER(D5252),ISNUMBER(H5252)),D5252*H5252*Inputs!$C$69,"")</f>
      </c>
      <c r="J5252" s="42">
        <f>IF(AND(ISNUMBER(F5252),ISNUMBER(H5252),F5252&gt;=Inputs!$C$68),F5252*H5252*Inputs!$C$69,"")</f>
      </c>
    </row>
    <row r="5253" spans="2:10" ht="15" customHeight="1" x14ac:dyDescent="0.2">
      <c r="B5253" s="39">
        <f t="shared" si="40"/>
      </c>
      <c r="C5253" s="40">
        <f>IF(Inputs!$C$60,Inputs!$C$11+(B5253-Inputs!$C$69)/Inputs!$C$70,"")</f>
      </c>
      <c r="D5253" s="15"/>
      <c r="E5253" s="15"/>
      <c r="F5253" s="11">
        <f t="shared" si="41"/>
      </c>
      <c r="G5253" s="22" cm="1">
        <f t="array" ref="G5253">IF(AND(Inputs!$C$60,Inputs!$C$61),INDEX(Utility_Rates!$C$29:$F$52,HOUR(C5253)+Inputs!$C$69,MATCH(INDEX(Utility_Rates!$K$6:$K$17,MONTH(C5253))&amp;IF(WEEKDAY(C5253,Inputs!$C$76)&lt;=Inputs!$C$74," weekday"," weekend"),Utility_Rates!$C$28:$F$28,Inputs!$C$68)),"")</f>
      </c>
      <c r="H5253" s="34"/>
      <c r="I5253" s="42">
        <f>IF(AND(ISNUMBER(D5253),ISNUMBER(H5253)),D5253*H5253*Inputs!$C$69,"")</f>
      </c>
      <c r="J5253" s="42">
        <f>IF(AND(ISNUMBER(F5253),ISNUMBER(H5253),F5253&gt;=Inputs!$C$68),F5253*H5253*Inputs!$C$69,"")</f>
      </c>
    </row>
    <row r="5254" spans="2:10" ht="15" customHeight="1" x14ac:dyDescent="0.2">
      <c r="B5254" s="39">
        <f t="shared" si="40"/>
      </c>
      <c r="C5254" s="40">
        <f>IF(Inputs!$C$60,Inputs!$C$11+(B5254-Inputs!$C$69)/Inputs!$C$70,"")</f>
      </c>
      <c r="D5254" s="15"/>
      <c r="E5254" s="15"/>
      <c r="F5254" s="11">
        <f t="shared" si="41"/>
      </c>
      <c r="G5254" s="22" cm="1">
        <f t="array" ref="G5254">IF(AND(Inputs!$C$60,Inputs!$C$61),INDEX(Utility_Rates!$C$29:$F$52,HOUR(C5254)+Inputs!$C$69,MATCH(INDEX(Utility_Rates!$K$6:$K$17,MONTH(C5254))&amp;IF(WEEKDAY(C5254,Inputs!$C$76)&lt;=Inputs!$C$74," weekday"," weekend"),Utility_Rates!$C$28:$F$28,Inputs!$C$68)),"")</f>
      </c>
      <c r="H5254" s="34"/>
      <c r="I5254" s="42">
        <f>IF(AND(ISNUMBER(D5254),ISNUMBER(H5254)),D5254*H5254*Inputs!$C$69,"")</f>
      </c>
      <c r="J5254" s="42">
        <f>IF(AND(ISNUMBER(F5254),ISNUMBER(H5254),F5254&gt;=Inputs!$C$68),F5254*H5254*Inputs!$C$69,"")</f>
      </c>
    </row>
    <row r="5255" spans="2:10" ht="15" customHeight="1" x14ac:dyDescent="0.2">
      <c r="B5255" s="39">
        <f t="shared" si="40"/>
      </c>
      <c r="C5255" s="40">
        <f>IF(Inputs!$C$60,Inputs!$C$11+(B5255-Inputs!$C$69)/Inputs!$C$70,"")</f>
      </c>
      <c r="D5255" s="15"/>
      <c r="E5255" s="15"/>
      <c r="F5255" s="11">
        <f t="shared" si="41"/>
      </c>
      <c r="G5255" s="22" cm="1">
        <f t="array" ref="G5255">IF(AND(Inputs!$C$60,Inputs!$C$61),INDEX(Utility_Rates!$C$29:$F$52,HOUR(C5255)+Inputs!$C$69,MATCH(INDEX(Utility_Rates!$K$6:$K$17,MONTH(C5255))&amp;IF(WEEKDAY(C5255,Inputs!$C$76)&lt;=Inputs!$C$74," weekday"," weekend"),Utility_Rates!$C$28:$F$28,Inputs!$C$68)),"")</f>
      </c>
      <c r="H5255" s="34"/>
      <c r="I5255" s="42">
        <f>IF(AND(ISNUMBER(D5255),ISNUMBER(H5255)),D5255*H5255*Inputs!$C$69,"")</f>
      </c>
      <c r="J5255" s="42">
        <f>IF(AND(ISNUMBER(F5255),ISNUMBER(H5255),F5255&gt;=Inputs!$C$68),F5255*H5255*Inputs!$C$69,"")</f>
      </c>
    </row>
    <row r="5256" spans="2:10" ht="15" customHeight="1" x14ac:dyDescent="0.2">
      <c r="B5256" s="39">
        <f t="shared" si="40"/>
      </c>
      <c r="C5256" s="40">
        <f>IF(Inputs!$C$60,Inputs!$C$11+(B5256-Inputs!$C$69)/Inputs!$C$70,"")</f>
      </c>
      <c r="D5256" s="15"/>
      <c r="E5256" s="15"/>
      <c r="F5256" s="11">
        <f t="shared" si="41"/>
      </c>
      <c r="G5256" s="22" cm="1">
        <f t="array" ref="G5256">IF(AND(Inputs!$C$60,Inputs!$C$61),INDEX(Utility_Rates!$C$29:$F$52,HOUR(C5256)+Inputs!$C$69,MATCH(INDEX(Utility_Rates!$K$6:$K$17,MONTH(C5256))&amp;IF(WEEKDAY(C5256,Inputs!$C$76)&lt;=Inputs!$C$74," weekday"," weekend"),Utility_Rates!$C$28:$F$28,Inputs!$C$68)),"")</f>
      </c>
      <c r="H5256" s="34"/>
      <c r="I5256" s="42">
        <f>IF(AND(ISNUMBER(D5256),ISNUMBER(H5256)),D5256*H5256*Inputs!$C$69,"")</f>
      </c>
      <c r="J5256" s="42">
        <f>IF(AND(ISNUMBER(F5256),ISNUMBER(H5256),F5256&gt;=Inputs!$C$68),F5256*H5256*Inputs!$C$69,"")</f>
      </c>
    </row>
    <row r="5257" spans="2:10" ht="15" customHeight="1" x14ac:dyDescent="0.2">
      <c r="B5257" s="39">
        <f t="shared" si="40"/>
      </c>
      <c r="C5257" s="40">
        <f>IF(Inputs!$C$60,Inputs!$C$11+(B5257-Inputs!$C$69)/Inputs!$C$70,"")</f>
      </c>
      <c r="D5257" s="15"/>
      <c r="E5257" s="15"/>
      <c r="F5257" s="11">
        <f t="shared" si="41"/>
      </c>
      <c r="G5257" s="22" cm="1">
        <f t="array" ref="G5257">IF(AND(Inputs!$C$60,Inputs!$C$61),INDEX(Utility_Rates!$C$29:$F$52,HOUR(C5257)+Inputs!$C$69,MATCH(INDEX(Utility_Rates!$K$6:$K$17,MONTH(C5257))&amp;IF(WEEKDAY(C5257,Inputs!$C$76)&lt;=Inputs!$C$74," weekday"," weekend"),Utility_Rates!$C$28:$F$28,Inputs!$C$68)),"")</f>
      </c>
      <c r="H5257" s="34"/>
      <c r="I5257" s="42">
        <f>IF(AND(ISNUMBER(D5257),ISNUMBER(H5257)),D5257*H5257*Inputs!$C$69,"")</f>
      </c>
      <c r="J5257" s="42">
        <f>IF(AND(ISNUMBER(F5257),ISNUMBER(H5257),F5257&gt;=Inputs!$C$68),F5257*H5257*Inputs!$C$69,"")</f>
      </c>
    </row>
    <row r="5258" spans="2:10" ht="15" customHeight="1" x14ac:dyDescent="0.2">
      <c r="B5258" s="39">
        <f t="shared" si="40"/>
      </c>
      <c r="C5258" s="40">
        <f>IF(Inputs!$C$60,Inputs!$C$11+(B5258-Inputs!$C$69)/Inputs!$C$70,"")</f>
      </c>
      <c r="D5258" s="15"/>
      <c r="E5258" s="15"/>
      <c r="F5258" s="11">
        <f t="shared" si="41"/>
      </c>
      <c r="G5258" s="22" cm="1">
        <f t="array" ref="G5258">IF(AND(Inputs!$C$60,Inputs!$C$61),INDEX(Utility_Rates!$C$29:$F$52,HOUR(C5258)+Inputs!$C$69,MATCH(INDEX(Utility_Rates!$K$6:$K$17,MONTH(C5258))&amp;IF(WEEKDAY(C5258,Inputs!$C$76)&lt;=Inputs!$C$74," weekday"," weekend"),Utility_Rates!$C$28:$F$28,Inputs!$C$68)),"")</f>
      </c>
      <c r="H5258" s="34"/>
      <c r="I5258" s="42">
        <f>IF(AND(ISNUMBER(D5258),ISNUMBER(H5258)),D5258*H5258*Inputs!$C$69,"")</f>
      </c>
      <c r="J5258" s="42">
        <f>IF(AND(ISNUMBER(F5258),ISNUMBER(H5258),F5258&gt;=Inputs!$C$68),F5258*H5258*Inputs!$C$69,"")</f>
      </c>
    </row>
    <row r="5259" spans="2:10" ht="15" customHeight="1" x14ac:dyDescent="0.2">
      <c r="B5259" s="39">
        <f t="shared" si="40"/>
      </c>
      <c r="C5259" s="40">
        <f>IF(Inputs!$C$60,Inputs!$C$11+(B5259-Inputs!$C$69)/Inputs!$C$70,"")</f>
      </c>
      <c r="D5259" s="15"/>
      <c r="E5259" s="15"/>
      <c r="F5259" s="11">
        <f t="shared" si="41"/>
      </c>
      <c r="G5259" s="22" cm="1">
        <f t="array" ref="G5259">IF(AND(Inputs!$C$60,Inputs!$C$61),INDEX(Utility_Rates!$C$29:$F$52,HOUR(C5259)+Inputs!$C$69,MATCH(INDEX(Utility_Rates!$K$6:$K$17,MONTH(C5259))&amp;IF(WEEKDAY(C5259,Inputs!$C$76)&lt;=Inputs!$C$74," weekday"," weekend"),Utility_Rates!$C$28:$F$28,Inputs!$C$68)),"")</f>
      </c>
      <c r="H5259" s="34"/>
      <c r="I5259" s="42">
        <f>IF(AND(ISNUMBER(D5259),ISNUMBER(H5259)),D5259*H5259*Inputs!$C$69,"")</f>
      </c>
      <c r="J5259" s="42">
        <f>IF(AND(ISNUMBER(F5259),ISNUMBER(H5259),F5259&gt;=Inputs!$C$68),F5259*H5259*Inputs!$C$69,"")</f>
      </c>
    </row>
    <row r="5260" spans="2:10" ht="15" customHeight="1" x14ac:dyDescent="0.2">
      <c r="B5260" s="39">
        <f t="shared" si="40"/>
      </c>
      <c r="C5260" s="40">
        <f>IF(Inputs!$C$60,Inputs!$C$11+(B5260-Inputs!$C$69)/Inputs!$C$70,"")</f>
      </c>
      <c r="D5260" s="15"/>
      <c r="E5260" s="15"/>
      <c r="F5260" s="11">
        <f t="shared" si="41"/>
      </c>
      <c r="G5260" s="22" cm="1">
        <f t="array" ref="G5260">IF(AND(Inputs!$C$60,Inputs!$C$61),INDEX(Utility_Rates!$C$29:$F$52,HOUR(C5260)+Inputs!$C$69,MATCH(INDEX(Utility_Rates!$K$6:$K$17,MONTH(C5260))&amp;IF(WEEKDAY(C5260,Inputs!$C$76)&lt;=Inputs!$C$74," weekday"," weekend"),Utility_Rates!$C$28:$F$28,Inputs!$C$68)),"")</f>
      </c>
      <c r="H5260" s="34"/>
      <c r="I5260" s="42">
        <f>IF(AND(ISNUMBER(D5260),ISNUMBER(H5260)),D5260*H5260*Inputs!$C$69,"")</f>
      </c>
      <c r="J5260" s="42">
        <f>IF(AND(ISNUMBER(F5260),ISNUMBER(H5260),F5260&gt;=Inputs!$C$68),F5260*H5260*Inputs!$C$69,"")</f>
      </c>
    </row>
    <row r="5261" spans="2:10" ht="15" customHeight="1" x14ac:dyDescent="0.2">
      <c r="B5261" s="39">
        <f t="shared" si="40"/>
      </c>
      <c r="C5261" s="40">
        <f>IF(Inputs!$C$60,Inputs!$C$11+(B5261-Inputs!$C$69)/Inputs!$C$70,"")</f>
      </c>
      <c r="D5261" s="15"/>
      <c r="E5261" s="15"/>
      <c r="F5261" s="11">
        <f t="shared" si="41"/>
      </c>
      <c r="G5261" s="22" cm="1">
        <f t="array" ref="G5261">IF(AND(Inputs!$C$60,Inputs!$C$61),INDEX(Utility_Rates!$C$29:$F$52,HOUR(C5261)+Inputs!$C$69,MATCH(INDEX(Utility_Rates!$K$6:$K$17,MONTH(C5261))&amp;IF(WEEKDAY(C5261,Inputs!$C$76)&lt;=Inputs!$C$74," weekday"," weekend"),Utility_Rates!$C$28:$F$28,Inputs!$C$68)),"")</f>
      </c>
      <c r="H5261" s="34"/>
      <c r="I5261" s="42">
        <f>IF(AND(ISNUMBER(D5261),ISNUMBER(H5261)),D5261*H5261*Inputs!$C$69,"")</f>
      </c>
      <c r="J5261" s="42">
        <f>IF(AND(ISNUMBER(F5261),ISNUMBER(H5261),F5261&gt;=Inputs!$C$68),F5261*H5261*Inputs!$C$69,"")</f>
      </c>
    </row>
    <row r="5262" spans="2:10" ht="15" customHeight="1" x14ac:dyDescent="0.2">
      <c r="B5262" s="39">
        <f t="shared" si="40"/>
      </c>
      <c r="C5262" s="40">
        <f>IF(Inputs!$C$60,Inputs!$C$11+(B5262-Inputs!$C$69)/Inputs!$C$70,"")</f>
      </c>
      <c r="D5262" s="15"/>
      <c r="E5262" s="15"/>
      <c r="F5262" s="11">
        <f t="shared" si="41"/>
      </c>
      <c r="G5262" s="22" cm="1">
        <f t="array" ref="G5262">IF(AND(Inputs!$C$60,Inputs!$C$61),INDEX(Utility_Rates!$C$29:$F$52,HOUR(C5262)+Inputs!$C$69,MATCH(INDEX(Utility_Rates!$K$6:$K$17,MONTH(C5262))&amp;IF(WEEKDAY(C5262,Inputs!$C$76)&lt;=Inputs!$C$74," weekday"," weekend"),Utility_Rates!$C$28:$F$28,Inputs!$C$68)),"")</f>
      </c>
      <c r="H5262" s="34"/>
      <c r="I5262" s="42">
        <f>IF(AND(ISNUMBER(D5262),ISNUMBER(H5262)),D5262*H5262*Inputs!$C$69,"")</f>
      </c>
      <c r="J5262" s="42">
        <f>IF(AND(ISNUMBER(F5262),ISNUMBER(H5262),F5262&gt;=Inputs!$C$68),F5262*H5262*Inputs!$C$69,"")</f>
      </c>
    </row>
    <row r="5263" spans="2:10" ht="15" customHeight="1" x14ac:dyDescent="0.2">
      <c r="B5263" s="39">
        <f t="shared" si="40"/>
      </c>
      <c r="C5263" s="40">
        <f>IF(Inputs!$C$60,Inputs!$C$11+(B5263-Inputs!$C$69)/Inputs!$C$70,"")</f>
      </c>
      <c r="D5263" s="15"/>
      <c r="E5263" s="15"/>
      <c r="F5263" s="11">
        <f t="shared" si="41"/>
      </c>
      <c r="G5263" s="22" cm="1">
        <f t="array" ref="G5263">IF(AND(Inputs!$C$60,Inputs!$C$61),INDEX(Utility_Rates!$C$29:$F$52,HOUR(C5263)+Inputs!$C$69,MATCH(INDEX(Utility_Rates!$K$6:$K$17,MONTH(C5263))&amp;IF(WEEKDAY(C5263,Inputs!$C$76)&lt;=Inputs!$C$74," weekday"," weekend"),Utility_Rates!$C$28:$F$28,Inputs!$C$68)),"")</f>
      </c>
      <c r="H5263" s="34"/>
      <c r="I5263" s="42">
        <f>IF(AND(ISNUMBER(D5263),ISNUMBER(H5263)),D5263*H5263*Inputs!$C$69,"")</f>
      </c>
      <c r="J5263" s="42">
        <f>IF(AND(ISNUMBER(F5263),ISNUMBER(H5263),F5263&gt;=Inputs!$C$68),F5263*H5263*Inputs!$C$69,"")</f>
      </c>
    </row>
    <row r="5264" spans="2:10" ht="15" customHeight="1" x14ac:dyDescent="0.2">
      <c r="B5264" s="39">
        <f t="shared" si="40"/>
      </c>
      <c r="C5264" s="40">
        <f>IF(Inputs!$C$60,Inputs!$C$11+(B5264-Inputs!$C$69)/Inputs!$C$70,"")</f>
      </c>
      <c r="D5264" s="15"/>
      <c r="E5264" s="15"/>
      <c r="F5264" s="11">
        <f t="shared" si="41"/>
      </c>
      <c r="G5264" s="22" cm="1">
        <f t="array" ref="G5264">IF(AND(Inputs!$C$60,Inputs!$C$61),INDEX(Utility_Rates!$C$29:$F$52,HOUR(C5264)+Inputs!$C$69,MATCH(INDEX(Utility_Rates!$K$6:$K$17,MONTH(C5264))&amp;IF(WEEKDAY(C5264,Inputs!$C$76)&lt;=Inputs!$C$74," weekday"," weekend"),Utility_Rates!$C$28:$F$28,Inputs!$C$68)),"")</f>
      </c>
      <c r="H5264" s="34"/>
      <c r="I5264" s="42">
        <f>IF(AND(ISNUMBER(D5264),ISNUMBER(H5264)),D5264*H5264*Inputs!$C$69,"")</f>
      </c>
      <c r="J5264" s="42">
        <f>IF(AND(ISNUMBER(F5264),ISNUMBER(H5264),F5264&gt;=Inputs!$C$68),F5264*H5264*Inputs!$C$69,"")</f>
      </c>
    </row>
    <row r="5265" spans="2:10" ht="15" customHeight="1" x14ac:dyDescent="0.2">
      <c r="B5265" s="39">
        <f t="shared" si="40"/>
      </c>
      <c r="C5265" s="40">
        <f>IF(Inputs!$C$60,Inputs!$C$11+(B5265-Inputs!$C$69)/Inputs!$C$70,"")</f>
      </c>
      <c r="D5265" s="15"/>
      <c r="E5265" s="15"/>
      <c r="F5265" s="11">
        <f t="shared" si="41"/>
      </c>
      <c r="G5265" s="22" cm="1">
        <f t="array" ref="G5265">IF(AND(Inputs!$C$60,Inputs!$C$61),INDEX(Utility_Rates!$C$29:$F$52,HOUR(C5265)+Inputs!$C$69,MATCH(INDEX(Utility_Rates!$K$6:$K$17,MONTH(C5265))&amp;IF(WEEKDAY(C5265,Inputs!$C$76)&lt;=Inputs!$C$74," weekday"," weekend"),Utility_Rates!$C$28:$F$28,Inputs!$C$68)),"")</f>
      </c>
      <c r="H5265" s="34"/>
      <c r="I5265" s="42">
        <f>IF(AND(ISNUMBER(D5265),ISNUMBER(H5265)),D5265*H5265*Inputs!$C$69,"")</f>
      </c>
      <c r="J5265" s="42">
        <f>IF(AND(ISNUMBER(F5265),ISNUMBER(H5265),F5265&gt;=Inputs!$C$68),F5265*H5265*Inputs!$C$69,"")</f>
      </c>
    </row>
    <row r="5266" spans="2:10" ht="15" customHeight="1" x14ac:dyDescent="0.2">
      <c r="B5266" s="39">
        <f t="shared" si="40"/>
      </c>
      <c r="C5266" s="40">
        <f>IF(Inputs!$C$60,Inputs!$C$11+(B5266-Inputs!$C$69)/Inputs!$C$70,"")</f>
      </c>
      <c r="D5266" s="15"/>
      <c r="E5266" s="15"/>
      <c r="F5266" s="11">
        <f t="shared" si="41"/>
      </c>
      <c r="G5266" s="22" cm="1">
        <f t="array" ref="G5266">IF(AND(Inputs!$C$60,Inputs!$C$61),INDEX(Utility_Rates!$C$29:$F$52,HOUR(C5266)+Inputs!$C$69,MATCH(INDEX(Utility_Rates!$K$6:$K$17,MONTH(C5266))&amp;IF(WEEKDAY(C5266,Inputs!$C$76)&lt;=Inputs!$C$74," weekday"," weekend"),Utility_Rates!$C$28:$F$28,Inputs!$C$68)),"")</f>
      </c>
      <c r="H5266" s="34"/>
      <c r="I5266" s="42">
        <f>IF(AND(ISNUMBER(D5266),ISNUMBER(H5266)),D5266*H5266*Inputs!$C$69,"")</f>
      </c>
      <c r="J5266" s="42">
        <f>IF(AND(ISNUMBER(F5266),ISNUMBER(H5266),F5266&gt;=Inputs!$C$68),F5266*H5266*Inputs!$C$69,"")</f>
      </c>
    </row>
    <row r="5267" spans="2:10" ht="15" customHeight="1" x14ac:dyDescent="0.2">
      <c r="B5267" s="39">
        <f t="shared" si="40"/>
      </c>
      <c r="C5267" s="40">
        <f>IF(Inputs!$C$60,Inputs!$C$11+(B5267-Inputs!$C$69)/Inputs!$C$70,"")</f>
      </c>
      <c r="D5267" s="15"/>
      <c r="E5267" s="15"/>
      <c r="F5267" s="11">
        <f t="shared" si="41"/>
      </c>
      <c r="G5267" s="22" cm="1">
        <f t="array" ref="G5267">IF(AND(Inputs!$C$60,Inputs!$C$61),INDEX(Utility_Rates!$C$29:$F$52,HOUR(C5267)+Inputs!$C$69,MATCH(INDEX(Utility_Rates!$K$6:$K$17,MONTH(C5267))&amp;IF(WEEKDAY(C5267,Inputs!$C$76)&lt;=Inputs!$C$74," weekday"," weekend"),Utility_Rates!$C$28:$F$28,Inputs!$C$68)),"")</f>
      </c>
      <c r="H5267" s="34"/>
      <c r="I5267" s="42">
        <f>IF(AND(ISNUMBER(D5267),ISNUMBER(H5267)),D5267*H5267*Inputs!$C$69,"")</f>
      </c>
      <c r="J5267" s="42">
        <f>IF(AND(ISNUMBER(F5267),ISNUMBER(H5267),F5267&gt;=Inputs!$C$68),F5267*H5267*Inputs!$C$69,"")</f>
      </c>
    </row>
    <row r="5268" spans="2:10" ht="15" customHeight="1" x14ac:dyDescent="0.2">
      <c r="B5268" s="39">
        <f t="shared" si="40"/>
      </c>
      <c r="C5268" s="40">
        <f>IF(Inputs!$C$60,Inputs!$C$11+(B5268-Inputs!$C$69)/Inputs!$C$70,"")</f>
      </c>
      <c r="D5268" s="15"/>
      <c r="E5268" s="15"/>
      <c r="F5268" s="11">
        <f t="shared" si="41"/>
      </c>
      <c r="G5268" s="22" cm="1">
        <f t="array" ref="G5268">IF(AND(Inputs!$C$60,Inputs!$C$61),INDEX(Utility_Rates!$C$29:$F$52,HOUR(C5268)+Inputs!$C$69,MATCH(INDEX(Utility_Rates!$K$6:$K$17,MONTH(C5268))&amp;IF(WEEKDAY(C5268,Inputs!$C$76)&lt;=Inputs!$C$74," weekday"," weekend"),Utility_Rates!$C$28:$F$28,Inputs!$C$68)),"")</f>
      </c>
      <c r="H5268" s="34"/>
      <c r="I5268" s="42">
        <f>IF(AND(ISNUMBER(D5268),ISNUMBER(H5268)),D5268*H5268*Inputs!$C$69,"")</f>
      </c>
      <c r="J5268" s="42">
        <f>IF(AND(ISNUMBER(F5268),ISNUMBER(H5268),F5268&gt;=Inputs!$C$68),F5268*H5268*Inputs!$C$69,"")</f>
      </c>
    </row>
    <row r="5269" spans="2:10" ht="15" customHeight="1" x14ac:dyDescent="0.2">
      <c r="B5269" s="39">
        <f t="shared" si="40"/>
      </c>
      <c r="C5269" s="40">
        <f>IF(Inputs!$C$60,Inputs!$C$11+(B5269-Inputs!$C$69)/Inputs!$C$70,"")</f>
      </c>
      <c r="D5269" s="15"/>
      <c r="E5269" s="15"/>
      <c r="F5269" s="11">
        <f t="shared" si="41"/>
      </c>
      <c r="G5269" s="22" cm="1">
        <f t="array" ref="G5269">IF(AND(Inputs!$C$60,Inputs!$C$61),INDEX(Utility_Rates!$C$29:$F$52,HOUR(C5269)+Inputs!$C$69,MATCH(INDEX(Utility_Rates!$K$6:$K$17,MONTH(C5269))&amp;IF(WEEKDAY(C5269,Inputs!$C$76)&lt;=Inputs!$C$74," weekday"," weekend"),Utility_Rates!$C$28:$F$28,Inputs!$C$68)),"")</f>
      </c>
      <c r="H5269" s="34"/>
      <c r="I5269" s="42">
        <f>IF(AND(ISNUMBER(D5269),ISNUMBER(H5269)),D5269*H5269*Inputs!$C$69,"")</f>
      </c>
      <c r="J5269" s="42">
        <f>IF(AND(ISNUMBER(F5269),ISNUMBER(H5269),F5269&gt;=Inputs!$C$68),F5269*H5269*Inputs!$C$69,"")</f>
      </c>
    </row>
    <row r="5270" spans="2:10" ht="15" customHeight="1" x14ac:dyDescent="0.2">
      <c r="B5270" s="39">
        <f t="shared" si="40"/>
      </c>
      <c r="C5270" s="40">
        <f>IF(Inputs!$C$60,Inputs!$C$11+(B5270-Inputs!$C$69)/Inputs!$C$70,"")</f>
      </c>
      <c r="D5270" s="15"/>
      <c r="E5270" s="15"/>
      <c r="F5270" s="11">
        <f t="shared" si="41"/>
      </c>
      <c r="G5270" s="22" cm="1">
        <f t="array" ref="G5270">IF(AND(Inputs!$C$60,Inputs!$C$61),INDEX(Utility_Rates!$C$29:$F$52,HOUR(C5270)+Inputs!$C$69,MATCH(INDEX(Utility_Rates!$K$6:$K$17,MONTH(C5270))&amp;IF(WEEKDAY(C5270,Inputs!$C$76)&lt;=Inputs!$C$74," weekday"," weekend"),Utility_Rates!$C$28:$F$28,Inputs!$C$68)),"")</f>
      </c>
      <c r="H5270" s="34"/>
      <c r="I5270" s="42">
        <f>IF(AND(ISNUMBER(D5270),ISNUMBER(H5270)),D5270*H5270*Inputs!$C$69,"")</f>
      </c>
      <c r="J5270" s="42">
        <f>IF(AND(ISNUMBER(F5270),ISNUMBER(H5270),F5270&gt;=Inputs!$C$68),F5270*H5270*Inputs!$C$69,"")</f>
      </c>
    </row>
    <row r="5271" spans="2:10" ht="15" customHeight="1" x14ac:dyDescent="0.2">
      <c r="B5271" s="39">
        <f t="shared" si="40"/>
      </c>
      <c r="C5271" s="40">
        <f>IF(Inputs!$C$60,Inputs!$C$11+(B5271-Inputs!$C$69)/Inputs!$C$70,"")</f>
      </c>
      <c r="D5271" s="15"/>
      <c r="E5271" s="15"/>
      <c r="F5271" s="11">
        <f t="shared" si="41"/>
      </c>
      <c r="G5271" s="22" cm="1">
        <f t="array" ref="G5271">IF(AND(Inputs!$C$60,Inputs!$C$61),INDEX(Utility_Rates!$C$29:$F$52,HOUR(C5271)+Inputs!$C$69,MATCH(INDEX(Utility_Rates!$K$6:$K$17,MONTH(C5271))&amp;IF(WEEKDAY(C5271,Inputs!$C$76)&lt;=Inputs!$C$74," weekday"," weekend"),Utility_Rates!$C$28:$F$28,Inputs!$C$68)),"")</f>
      </c>
      <c r="H5271" s="34"/>
      <c r="I5271" s="42">
        <f>IF(AND(ISNUMBER(D5271),ISNUMBER(H5271)),D5271*H5271*Inputs!$C$69,"")</f>
      </c>
      <c r="J5271" s="42">
        <f>IF(AND(ISNUMBER(F5271),ISNUMBER(H5271),F5271&gt;=Inputs!$C$68),F5271*H5271*Inputs!$C$69,"")</f>
      </c>
    </row>
    <row r="5272" spans="2:10" ht="15" customHeight="1" x14ac:dyDescent="0.2">
      <c r="B5272" s="39">
        <f t="shared" si="40"/>
      </c>
      <c r="C5272" s="40">
        <f>IF(Inputs!$C$60,Inputs!$C$11+(B5272-Inputs!$C$69)/Inputs!$C$70,"")</f>
      </c>
      <c r="D5272" s="15"/>
      <c r="E5272" s="15"/>
      <c r="F5272" s="11">
        <f t="shared" si="41"/>
      </c>
      <c r="G5272" s="22" cm="1">
        <f t="array" ref="G5272">IF(AND(Inputs!$C$60,Inputs!$C$61),INDEX(Utility_Rates!$C$29:$F$52,HOUR(C5272)+Inputs!$C$69,MATCH(INDEX(Utility_Rates!$K$6:$K$17,MONTH(C5272))&amp;IF(WEEKDAY(C5272,Inputs!$C$76)&lt;=Inputs!$C$74," weekday"," weekend"),Utility_Rates!$C$28:$F$28,Inputs!$C$68)),"")</f>
      </c>
      <c r="H5272" s="34"/>
      <c r="I5272" s="42">
        <f>IF(AND(ISNUMBER(D5272),ISNUMBER(H5272)),D5272*H5272*Inputs!$C$69,"")</f>
      </c>
      <c r="J5272" s="42">
        <f>IF(AND(ISNUMBER(F5272),ISNUMBER(H5272),F5272&gt;=Inputs!$C$68),F5272*H5272*Inputs!$C$69,"")</f>
      </c>
    </row>
    <row r="5273" spans="2:10" ht="15" customHeight="1" x14ac:dyDescent="0.2">
      <c r="B5273" s="39">
        <f t="shared" si="40"/>
      </c>
      <c r="C5273" s="40">
        <f>IF(Inputs!$C$60,Inputs!$C$11+(B5273-Inputs!$C$69)/Inputs!$C$70,"")</f>
      </c>
      <c r="D5273" s="15"/>
      <c r="E5273" s="15"/>
      <c r="F5273" s="11">
        <f t="shared" si="41"/>
      </c>
      <c r="G5273" s="22" cm="1">
        <f t="array" ref="G5273">IF(AND(Inputs!$C$60,Inputs!$C$61),INDEX(Utility_Rates!$C$29:$F$52,HOUR(C5273)+Inputs!$C$69,MATCH(INDEX(Utility_Rates!$K$6:$K$17,MONTH(C5273))&amp;IF(WEEKDAY(C5273,Inputs!$C$76)&lt;=Inputs!$C$74," weekday"," weekend"),Utility_Rates!$C$28:$F$28,Inputs!$C$68)),"")</f>
      </c>
      <c r="H5273" s="34"/>
      <c r="I5273" s="42">
        <f>IF(AND(ISNUMBER(D5273),ISNUMBER(H5273)),D5273*H5273*Inputs!$C$69,"")</f>
      </c>
      <c r="J5273" s="42">
        <f>IF(AND(ISNUMBER(F5273),ISNUMBER(H5273),F5273&gt;=Inputs!$C$68),F5273*H5273*Inputs!$C$69,"")</f>
      </c>
    </row>
    <row r="5274" spans="2:10" ht="15" customHeight="1" x14ac:dyDescent="0.2">
      <c r="B5274" s="39">
        <f t="shared" si="40"/>
      </c>
      <c r="C5274" s="40">
        <f>IF(Inputs!$C$60,Inputs!$C$11+(B5274-Inputs!$C$69)/Inputs!$C$70,"")</f>
      </c>
      <c r="D5274" s="15"/>
      <c r="E5274" s="15"/>
      <c r="F5274" s="11">
        <f t="shared" si="41"/>
      </c>
      <c r="G5274" s="22" cm="1">
        <f t="array" ref="G5274">IF(AND(Inputs!$C$60,Inputs!$C$61),INDEX(Utility_Rates!$C$29:$F$52,HOUR(C5274)+Inputs!$C$69,MATCH(INDEX(Utility_Rates!$K$6:$K$17,MONTH(C5274))&amp;IF(WEEKDAY(C5274,Inputs!$C$76)&lt;=Inputs!$C$74," weekday"," weekend"),Utility_Rates!$C$28:$F$28,Inputs!$C$68)),"")</f>
      </c>
      <c r="H5274" s="34"/>
      <c r="I5274" s="42">
        <f>IF(AND(ISNUMBER(D5274),ISNUMBER(H5274)),D5274*H5274*Inputs!$C$69,"")</f>
      </c>
      <c r="J5274" s="42">
        <f>IF(AND(ISNUMBER(F5274),ISNUMBER(H5274),F5274&gt;=Inputs!$C$68),F5274*H5274*Inputs!$C$69,"")</f>
      </c>
    </row>
    <row r="5275" spans="2:10" ht="15" customHeight="1" x14ac:dyDescent="0.2">
      <c r="B5275" s="39">
        <f t="shared" si="40"/>
      </c>
      <c r="C5275" s="40">
        <f>IF(Inputs!$C$60,Inputs!$C$11+(B5275-Inputs!$C$69)/Inputs!$C$70,"")</f>
      </c>
      <c r="D5275" s="15"/>
      <c r="E5275" s="15"/>
      <c r="F5275" s="11">
        <f t="shared" si="41"/>
      </c>
      <c r="G5275" s="22" cm="1">
        <f t="array" ref="G5275">IF(AND(Inputs!$C$60,Inputs!$C$61),INDEX(Utility_Rates!$C$29:$F$52,HOUR(C5275)+Inputs!$C$69,MATCH(INDEX(Utility_Rates!$K$6:$K$17,MONTH(C5275))&amp;IF(WEEKDAY(C5275,Inputs!$C$76)&lt;=Inputs!$C$74," weekday"," weekend"),Utility_Rates!$C$28:$F$28,Inputs!$C$68)),"")</f>
      </c>
      <c r="H5275" s="34"/>
      <c r="I5275" s="42">
        <f>IF(AND(ISNUMBER(D5275),ISNUMBER(H5275)),D5275*H5275*Inputs!$C$69,"")</f>
      </c>
      <c r="J5275" s="42">
        <f>IF(AND(ISNUMBER(F5275),ISNUMBER(H5275),F5275&gt;=Inputs!$C$68),F5275*H5275*Inputs!$C$69,"")</f>
      </c>
    </row>
    <row r="5276" spans="2:10" ht="15" customHeight="1" x14ac:dyDescent="0.2">
      <c r="B5276" s="39">
        <f t="shared" si="40"/>
      </c>
      <c r="C5276" s="40">
        <f>IF(Inputs!$C$60,Inputs!$C$11+(B5276-Inputs!$C$69)/Inputs!$C$70,"")</f>
      </c>
      <c r="D5276" s="15"/>
      <c r="E5276" s="15"/>
      <c r="F5276" s="11">
        <f t="shared" si="41"/>
      </c>
      <c r="G5276" s="22" cm="1">
        <f t="array" ref="G5276">IF(AND(Inputs!$C$60,Inputs!$C$61),INDEX(Utility_Rates!$C$29:$F$52,HOUR(C5276)+Inputs!$C$69,MATCH(INDEX(Utility_Rates!$K$6:$K$17,MONTH(C5276))&amp;IF(WEEKDAY(C5276,Inputs!$C$76)&lt;=Inputs!$C$74," weekday"," weekend"),Utility_Rates!$C$28:$F$28,Inputs!$C$68)),"")</f>
      </c>
      <c r="H5276" s="34"/>
      <c r="I5276" s="42">
        <f>IF(AND(ISNUMBER(D5276),ISNUMBER(H5276)),D5276*H5276*Inputs!$C$69,"")</f>
      </c>
      <c r="J5276" s="42">
        <f>IF(AND(ISNUMBER(F5276),ISNUMBER(H5276),F5276&gt;=Inputs!$C$68),F5276*H5276*Inputs!$C$69,"")</f>
      </c>
    </row>
    <row r="5277" spans="2:10" ht="15" customHeight="1" x14ac:dyDescent="0.2">
      <c r="B5277" s="39">
        <f t="shared" si="40"/>
      </c>
      <c r="C5277" s="40">
        <f>IF(Inputs!$C$60,Inputs!$C$11+(B5277-Inputs!$C$69)/Inputs!$C$70,"")</f>
      </c>
      <c r="D5277" s="15"/>
      <c r="E5277" s="15"/>
      <c r="F5277" s="11">
        <f t="shared" si="41"/>
      </c>
      <c r="G5277" s="22" cm="1">
        <f t="array" ref="G5277">IF(AND(Inputs!$C$60,Inputs!$C$61),INDEX(Utility_Rates!$C$29:$F$52,HOUR(C5277)+Inputs!$C$69,MATCH(INDEX(Utility_Rates!$K$6:$K$17,MONTH(C5277))&amp;IF(WEEKDAY(C5277,Inputs!$C$76)&lt;=Inputs!$C$74," weekday"," weekend"),Utility_Rates!$C$28:$F$28,Inputs!$C$68)),"")</f>
      </c>
      <c r="H5277" s="34"/>
      <c r="I5277" s="42">
        <f>IF(AND(ISNUMBER(D5277),ISNUMBER(H5277)),D5277*H5277*Inputs!$C$69,"")</f>
      </c>
      <c r="J5277" s="42">
        <f>IF(AND(ISNUMBER(F5277),ISNUMBER(H5277),F5277&gt;=Inputs!$C$68),F5277*H5277*Inputs!$C$69,"")</f>
      </c>
    </row>
    <row r="5278" spans="2:10" ht="15" customHeight="1" x14ac:dyDescent="0.2">
      <c r="B5278" s="39">
        <f t="shared" si="40"/>
      </c>
      <c r="C5278" s="40">
        <f>IF(Inputs!$C$60,Inputs!$C$11+(B5278-Inputs!$C$69)/Inputs!$C$70,"")</f>
      </c>
      <c r="D5278" s="15"/>
      <c r="E5278" s="15"/>
      <c r="F5278" s="11">
        <f t="shared" si="41"/>
      </c>
      <c r="G5278" s="22" cm="1">
        <f t="array" ref="G5278">IF(AND(Inputs!$C$60,Inputs!$C$61),INDEX(Utility_Rates!$C$29:$F$52,HOUR(C5278)+Inputs!$C$69,MATCH(INDEX(Utility_Rates!$K$6:$K$17,MONTH(C5278))&amp;IF(WEEKDAY(C5278,Inputs!$C$76)&lt;=Inputs!$C$74," weekday"," weekend"),Utility_Rates!$C$28:$F$28,Inputs!$C$68)),"")</f>
      </c>
      <c r="H5278" s="34"/>
      <c r="I5278" s="42">
        <f>IF(AND(ISNUMBER(D5278),ISNUMBER(H5278)),D5278*H5278*Inputs!$C$69,"")</f>
      </c>
      <c r="J5278" s="42">
        <f>IF(AND(ISNUMBER(F5278),ISNUMBER(H5278),F5278&gt;=Inputs!$C$68),F5278*H5278*Inputs!$C$69,"")</f>
      </c>
    </row>
    <row r="5279" spans="2:10" ht="15" customHeight="1" x14ac:dyDescent="0.2">
      <c r="B5279" s="39">
        <f t="shared" si="40"/>
      </c>
      <c r="C5279" s="40">
        <f>IF(Inputs!$C$60,Inputs!$C$11+(B5279-Inputs!$C$69)/Inputs!$C$70,"")</f>
      </c>
      <c r="D5279" s="15"/>
      <c r="E5279" s="15"/>
      <c r="F5279" s="11">
        <f t="shared" si="41"/>
      </c>
      <c r="G5279" s="22" cm="1">
        <f t="array" ref="G5279">IF(AND(Inputs!$C$60,Inputs!$C$61),INDEX(Utility_Rates!$C$29:$F$52,HOUR(C5279)+Inputs!$C$69,MATCH(INDEX(Utility_Rates!$K$6:$K$17,MONTH(C5279))&amp;IF(WEEKDAY(C5279,Inputs!$C$76)&lt;=Inputs!$C$74," weekday"," weekend"),Utility_Rates!$C$28:$F$28,Inputs!$C$68)),"")</f>
      </c>
      <c r="H5279" s="34"/>
      <c r="I5279" s="42">
        <f>IF(AND(ISNUMBER(D5279),ISNUMBER(H5279)),D5279*H5279*Inputs!$C$69,"")</f>
      </c>
      <c r="J5279" s="42">
        <f>IF(AND(ISNUMBER(F5279),ISNUMBER(H5279),F5279&gt;=Inputs!$C$68),F5279*H5279*Inputs!$C$69,"")</f>
      </c>
    </row>
    <row r="5280" spans="2:10" ht="15" customHeight="1" x14ac:dyDescent="0.2">
      <c r="B5280" s="39">
        <f t="shared" si="40"/>
      </c>
      <c r="C5280" s="40">
        <f>IF(Inputs!$C$60,Inputs!$C$11+(B5280-Inputs!$C$69)/Inputs!$C$70,"")</f>
      </c>
      <c r="D5280" s="15"/>
      <c r="E5280" s="15"/>
      <c r="F5280" s="11">
        <f t="shared" si="41"/>
      </c>
      <c r="G5280" s="22" cm="1">
        <f t="array" ref="G5280">IF(AND(Inputs!$C$60,Inputs!$C$61),INDEX(Utility_Rates!$C$29:$F$52,HOUR(C5280)+Inputs!$C$69,MATCH(INDEX(Utility_Rates!$K$6:$K$17,MONTH(C5280))&amp;IF(WEEKDAY(C5280,Inputs!$C$76)&lt;=Inputs!$C$74," weekday"," weekend"),Utility_Rates!$C$28:$F$28,Inputs!$C$68)),"")</f>
      </c>
      <c r="H5280" s="34"/>
      <c r="I5280" s="42">
        <f>IF(AND(ISNUMBER(D5280),ISNUMBER(H5280)),D5280*H5280*Inputs!$C$69,"")</f>
      </c>
      <c r="J5280" s="42">
        <f>IF(AND(ISNUMBER(F5280),ISNUMBER(H5280),F5280&gt;=Inputs!$C$68),F5280*H5280*Inputs!$C$69,"")</f>
      </c>
    </row>
    <row r="5281" spans="2:10" ht="15" customHeight="1" x14ac:dyDescent="0.2">
      <c r="B5281" s="39">
        <f t="shared" si="40"/>
      </c>
      <c r="C5281" s="40">
        <f>IF(Inputs!$C$60,Inputs!$C$11+(B5281-Inputs!$C$69)/Inputs!$C$70,"")</f>
      </c>
      <c r="D5281" s="15"/>
      <c r="E5281" s="15"/>
      <c r="F5281" s="11">
        <f t="shared" si="41"/>
      </c>
      <c r="G5281" s="22" cm="1">
        <f t="array" ref="G5281">IF(AND(Inputs!$C$60,Inputs!$C$61),INDEX(Utility_Rates!$C$29:$F$52,HOUR(C5281)+Inputs!$C$69,MATCH(INDEX(Utility_Rates!$K$6:$K$17,MONTH(C5281))&amp;IF(WEEKDAY(C5281,Inputs!$C$76)&lt;=Inputs!$C$74," weekday"," weekend"),Utility_Rates!$C$28:$F$28,Inputs!$C$68)),"")</f>
      </c>
      <c r="H5281" s="34"/>
      <c r="I5281" s="42">
        <f>IF(AND(ISNUMBER(D5281),ISNUMBER(H5281)),D5281*H5281*Inputs!$C$69,"")</f>
      </c>
      <c r="J5281" s="42">
        <f>IF(AND(ISNUMBER(F5281),ISNUMBER(H5281),F5281&gt;=Inputs!$C$68),F5281*H5281*Inputs!$C$69,"")</f>
      </c>
    </row>
    <row r="5282" spans="2:10" ht="15" customHeight="1" x14ac:dyDescent="0.2">
      <c r="B5282" s="39">
        <f t="shared" si="40"/>
      </c>
      <c r="C5282" s="40">
        <f>IF(Inputs!$C$60,Inputs!$C$11+(B5282-Inputs!$C$69)/Inputs!$C$70,"")</f>
      </c>
      <c r="D5282" s="15"/>
      <c r="E5282" s="15"/>
      <c r="F5282" s="11">
        <f t="shared" si="41"/>
      </c>
      <c r="G5282" s="22" cm="1">
        <f t="array" ref="G5282">IF(AND(Inputs!$C$60,Inputs!$C$61),INDEX(Utility_Rates!$C$29:$F$52,HOUR(C5282)+Inputs!$C$69,MATCH(INDEX(Utility_Rates!$K$6:$K$17,MONTH(C5282))&amp;IF(WEEKDAY(C5282,Inputs!$C$76)&lt;=Inputs!$C$74," weekday"," weekend"),Utility_Rates!$C$28:$F$28,Inputs!$C$68)),"")</f>
      </c>
      <c r="H5282" s="34"/>
      <c r="I5282" s="42">
        <f>IF(AND(ISNUMBER(D5282),ISNUMBER(H5282)),D5282*H5282*Inputs!$C$69,"")</f>
      </c>
      <c r="J5282" s="42">
        <f>IF(AND(ISNUMBER(F5282),ISNUMBER(H5282),F5282&gt;=Inputs!$C$68),F5282*H5282*Inputs!$C$69,"")</f>
      </c>
    </row>
    <row r="5283" spans="2:10" ht="15" customHeight="1" x14ac:dyDescent="0.2">
      <c r="B5283" s="39">
        <f t="shared" si="40"/>
      </c>
      <c r="C5283" s="40">
        <f>IF(Inputs!$C$60,Inputs!$C$11+(B5283-Inputs!$C$69)/Inputs!$C$70,"")</f>
      </c>
      <c r="D5283" s="15"/>
      <c r="E5283" s="15"/>
      <c r="F5283" s="11">
        <f t="shared" si="41"/>
      </c>
      <c r="G5283" s="22" cm="1">
        <f t="array" ref="G5283">IF(AND(Inputs!$C$60,Inputs!$C$61),INDEX(Utility_Rates!$C$29:$F$52,HOUR(C5283)+Inputs!$C$69,MATCH(INDEX(Utility_Rates!$K$6:$K$17,MONTH(C5283))&amp;IF(WEEKDAY(C5283,Inputs!$C$76)&lt;=Inputs!$C$74," weekday"," weekend"),Utility_Rates!$C$28:$F$28,Inputs!$C$68)),"")</f>
      </c>
      <c r="H5283" s="34"/>
      <c r="I5283" s="42">
        <f>IF(AND(ISNUMBER(D5283),ISNUMBER(H5283)),D5283*H5283*Inputs!$C$69,"")</f>
      </c>
      <c r="J5283" s="42">
        <f>IF(AND(ISNUMBER(F5283),ISNUMBER(H5283),F5283&gt;=Inputs!$C$68),F5283*H5283*Inputs!$C$69,"")</f>
      </c>
    </row>
    <row r="5284" spans="2:10" ht="15" customHeight="1" x14ac:dyDescent="0.2">
      <c r="B5284" s="39">
        <f t="shared" si="40"/>
      </c>
      <c r="C5284" s="40">
        <f>IF(Inputs!$C$60,Inputs!$C$11+(B5284-Inputs!$C$69)/Inputs!$C$70,"")</f>
      </c>
      <c r="D5284" s="15"/>
      <c r="E5284" s="15"/>
      <c r="F5284" s="11">
        <f t="shared" si="41"/>
      </c>
      <c r="G5284" s="22" cm="1">
        <f t="array" ref="G5284">IF(AND(Inputs!$C$60,Inputs!$C$61),INDEX(Utility_Rates!$C$29:$F$52,HOUR(C5284)+Inputs!$C$69,MATCH(INDEX(Utility_Rates!$K$6:$K$17,MONTH(C5284))&amp;IF(WEEKDAY(C5284,Inputs!$C$76)&lt;=Inputs!$C$74," weekday"," weekend"),Utility_Rates!$C$28:$F$28,Inputs!$C$68)),"")</f>
      </c>
      <c r="H5284" s="34"/>
      <c r="I5284" s="42">
        <f>IF(AND(ISNUMBER(D5284),ISNUMBER(H5284)),D5284*H5284*Inputs!$C$69,"")</f>
      </c>
      <c r="J5284" s="42">
        <f>IF(AND(ISNUMBER(F5284),ISNUMBER(H5284),F5284&gt;=Inputs!$C$68),F5284*H5284*Inputs!$C$69,"")</f>
      </c>
    </row>
    <row r="5285" spans="2:10" ht="15" customHeight="1" x14ac:dyDescent="0.2">
      <c r="B5285" s="39">
        <f t="shared" si="40"/>
      </c>
      <c r="C5285" s="40">
        <f>IF(Inputs!$C$60,Inputs!$C$11+(B5285-Inputs!$C$69)/Inputs!$C$70,"")</f>
      </c>
      <c r="D5285" s="15"/>
      <c r="E5285" s="15"/>
      <c r="F5285" s="11">
        <f t="shared" si="41"/>
      </c>
      <c r="G5285" s="22" cm="1">
        <f t="array" ref="G5285">IF(AND(Inputs!$C$60,Inputs!$C$61),INDEX(Utility_Rates!$C$29:$F$52,HOUR(C5285)+Inputs!$C$69,MATCH(INDEX(Utility_Rates!$K$6:$K$17,MONTH(C5285))&amp;IF(WEEKDAY(C5285,Inputs!$C$76)&lt;=Inputs!$C$74," weekday"," weekend"),Utility_Rates!$C$28:$F$28,Inputs!$C$68)),"")</f>
      </c>
      <c r="H5285" s="34"/>
      <c r="I5285" s="42">
        <f>IF(AND(ISNUMBER(D5285),ISNUMBER(H5285)),D5285*H5285*Inputs!$C$69,"")</f>
      </c>
      <c r="J5285" s="42">
        <f>IF(AND(ISNUMBER(F5285),ISNUMBER(H5285),F5285&gt;=Inputs!$C$68),F5285*H5285*Inputs!$C$69,"")</f>
      </c>
    </row>
    <row r="5286" spans="2:10" ht="15" customHeight="1" x14ac:dyDescent="0.2">
      <c r="B5286" s="39">
        <f t="shared" si="40"/>
      </c>
      <c r="C5286" s="40">
        <f>IF(Inputs!$C$60,Inputs!$C$11+(B5286-Inputs!$C$69)/Inputs!$C$70,"")</f>
      </c>
      <c r="D5286" s="15"/>
      <c r="E5286" s="15"/>
      <c r="F5286" s="11">
        <f t="shared" si="41"/>
      </c>
      <c r="G5286" s="22" cm="1">
        <f t="array" ref="G5286">IF(AND(Inputs!$C$60,Inputs!$C$61),INDEX(Utility_Rates!$C$29:$F$52,HOUR(C5286)+Inputs!$C$69,MATCH(INDEX(Utility_Rates!$K$6:$K$17,MONTH(C5286))&amp;IF(WEEKDAY(C5286,Inputs!$C$76)&lt;=Inputs!$C$74," weekday"," weekend"),Utility_Rates!$C$28:$F$28,Inputs!$C$68)),"")</f>
      </c>
      <c r="H5286" s="34"/>
      <c r="I5286" s="42">
        <f>IF(AND(ISNUMBER(D5286),ISNUMBER(H5286)),D5286*H5286*Inputs!$C$69,"")</f>
      </c>
      <c r="J5286" s="42">
        <f>IF(AND(ISNUMBER(F5286),ISNUMBER(H5286),F5286&gt;=Inputs!$C$68),F5286*H5286*Inputs!$C$69,"")</f>
      </c>
    </row>
    <row r="5287" spans="2:10" ht="15" customHeight="1" x14ac:dyDescent="0.2">
      <c r="B5287" s="39">
        <f t="shared" si="40"/>
      </c>
      <c r="C5287" s="40">
        <f>IF(Inputs!$C$60,Inputs!$C$11+(B5287-Inputs!$C$69)/Inputs!$C$70,"")</f>
      </c>
      <c r="D5287" s="15"/>
      <c r="E5287" s="15"/>
      <c r="F5287" s="11">
        <f t="shared" si="41"/>
      </c>
      <c r="G5287" s="22" cm="1">
        <f t="array" ref="G5287">IF(AND(Inputs!$C$60,Inputs!$C$61),INDEX(Utility_Rates!$C$29:$F$52,HOUR(C5287)+Inputs!$C$69,MATCH(INDEX(Utility_Rates!$K$6:$K$17,MONTH(C5287))&amp;IF(WEEKDAY(C5287,Inputs!$C$76)&lt;=Inputs!$C$74," weekday"," weekend"),Utility_Rates!$C$28:$F$28,Inputs!$C$68)),"")</f>
      </c>
      <c r="H5287" s="34"/>
      <c r="I5287" s="42">
        <f>IF(AND(ISNUMBER(D5287),ISNUMBER(H5287)),D5287*H5287*Inputs!$C$69,"")</f>
      </c>
      <c r="J5287" s="42">
        <f>IF(AND(ISNUMBER(F5287),ISNUMBER(H5287),F5287&gt;=Inputs!$C$68),F5287*H5287*Inputs!$C$69,"")</f>
      </c>
    </row>
    <row r="5288" spans="2:10" ht="15" customHeight="1" x14ac:dyDescent="0.2">
      <c r="B5288" s="39">
        <f t="shared" si="40"/>
      </c>
      <c r="C5288" s="40">
        <f>IF(Inputs!$C$60,Inputs!$C$11+(B5288-Inputs!$C$69)/Inputs!$C$70,"")</f>
      </c>
      <c r="D5288" s="15"/>
      <c r="E5288" s="15"/>
      <c r="F5288" s="11">
        <f t="shared" si="41"/>
      </c>
      <c r="G5288" s="22" cm="1">
        <f t="array" ref="G5288">IF(AND(Inputs!$C$60,Inputs!$C$61),INDEX(Utility_Rates!$C$29:$F$52,HOUR(C5288)+Inputs!$C$69,MATCH(INDEX(Utility_Rates!$K$6:$K$17,MONTH(C5288))&amp;IF(WEEKDAY(C5288,Inputs!$C$76)&lt;=Inputs!$C$74," weekday"," weekend"),Utility_Rates!$C$28:$F$28,Inputs!$C$68)),"")</f>
      </c>
      <c r="H5288" s="34"/>
      <c r="I5288" s="42">
        <f>IF(AND(ISNUMBER(D5288),ISNUMBER(H5288)),D5288*H5288*Inputs!$C$69,"")</f>
      </c>
      <c r="J5288" s="42">
        <f>IF(AND(ISNUMBER(F5288),ISNUMBER(H5288),F5288&gt;=Inputs!$C$68),F5288*H5288*Inputs!$C$69,"")</f>
      </c>
    </row>
    <row r="5289" spans="2:10" ht="15" customHeight="1" x14ac:dyDescent="0.2">
      <c r="B5289" s="39">
        <f t="shared" si="40"/>
      </c>
      <c r="C5289" s="40">
        <f>IF(Inputs!$C$60,Inputs!$C$11+(B5289-Inputs!$C$69)/Inputs!$C$70,"")</f>
      </c>
      <c r="D5289" s="15"/>
      <c r="E5289" s="15"/>
      <c r="F5289" s="11">
        <f t="shared" si="41"/>
      </c>
      <c r="G5289" s="22" cm="1">
        <f t="array" ref="G5289">IF(AND(Inputs!$C$60,Inputs!$C$61),INDEX(Utility_Rates!$C$29:$F$52,HOUR(C5289)+Inputs!$C$69,MATCH(INDEX(Utility_Rates!$K$6:$K$17,MONTH(C5289))&amp;IF(WEEKDAY(C5289,Inputs!$C$76)&lt;=Inputs!$C$74," weekday"," weekend"),Utility_Rates!$C$28:$F$28,Inputs!$C$68)),"")</f>
      </c>
      <c r="H5289" s="34"/>
      <c r="I5289" s="42">
        <f>IF(AND(ISNUMBER(D5289),ISNUMBER(H5289)),D5289*H5289*Inputs!$C$69,"")</f>
      </c>
      <c r="J5289" s="42">
        <f>IF(AND(ISNUMBER(F5289),ISNUMBER(H5289),F5289&gt;=Inputs!$C$68),F5289*H5289*Inputs!$C$69,"")</f>
      </c>
    </row>
    <row r="5290" spans="2:10" ht="15" customHeight="1" x14ac:dyDescent="0.2">
      <c r="B5290" s="39">
        <f t="shared" si="40"/>
      </c>
      <c r="C5290" s="40">
        <f>IF(Inputs!$C$60,Inputs!$C$11+(B5290-Inputs!$C$69)/Inputs!$C$70,"")</f>
      </c>
      <c r="D5290" s="15"/>
      <c r="E5290" s="15"/>
      <c r="F5290" s="11">
        <f t="shared" si="41"/>
      </c>
      <c r="G5290" s="22" cm="1">
        <f t="array" ref="G5290">IF(AND(Inputs!$C$60,Inputs!$C$61),INDEX(Utility_Rates!$C$29:$F$52,HOUR(C5290)+Inputs!$C$69,MATCH(INDEX(Utility_Rates!$K$6:$K$17,MONTH(C5290))&amp;IF(WEEKDAY(C5290,Inputs!$C$76)&lt;=Inputs!$C$74," weekday"," weekend"),Utility_Rates!$C$28:$F$28,Inputs!$C$68)),"")</f>
      </c>
      <c r="H5290" s="34"/>
      <c r="I5290" s="42">
        <f>IF(AND(ISNUMBER(D5290),ISNUMBER(H5290)),D5290*H5290*Inputs!$C$69,"")</f>
      </c>
      <c r="J5290" s="42">
        <f>IF(AND(ISNUMBER(F5290),ISNUMBER(H5290),F5290&gt;=Inputs!$C$68),F5290*H5290*Inputs!$C$69,"")</f>
      </c>
    </row>
    <row r="5291" spans="2:10" ht="15" customHeight="1" x14ac:dyDescent="0.2">
      <c r="B5291" s="39">
        <f t="shared" si="40"/>
      </c>
      <c r="C5291" s="40">
        <f>IF(Inputs!$C$60,Inputs!$C$11+(B5291-Inputs!$C$69)/Inputs!$C$70,"")</f>
      </c>
      <c r="D5291" s="15"/>
      <c r="E5291" s="15"/>
      <c r="F5291" s="11">
        <f t="shared" si="41"/>
      </c>
      <c r="G5291" s="22" cm="1">
        <f t="array" ref="G5291">IF(AND(Inputs!$C$60,Inputs!$C$61),INDEX(Utility_Rates!$C$29:$F$52,HOUR(C5291)+Inputs!$C$69,MATCH(INDEX(Utility_Rates!$K$6:$K$17,MONTH(C5291))&amp;IF(WEEKDAY(C5291,Inputs!$C$76)&lt;=Inputs!$C$74," weekday"," weekend"),Utility_Rates!$C$28:$F$28,Inputs!$C$68)),"")</f>
      </c>
      <c r="H5291" s="34"/>
      <c r="I5291" s="42">
        <f>IF(AND(ISNUMBER(D5291),ISNUMBER(H5291)),D5291*H5291*Inputs!$C$69,"")</f>
      </c>
      <c r="J5291" s="42">
        <f>IF(AND(ISNUMBER(F5291),ISNUMBER(H5291),F5291&gt;=Inputs!$C$68),F5291*H5291*Inputs!$C$69,"")</f>
      </c>
    </row>
    <row r="5292" spans="2:10" ht="15" customHeight="1" x14ac:dyDescent="0.2">
      <c r="B5292" s="39">
        <f t="shared" si="40"/>
      </c>
      <c r="C5292" s="40">
        <f>IF(Inputs!$C$60,Inputs!$C$11+(B5292-Inputs!$C$69)/Inputs!$C$70,"")</f>
      </c>
      <c r="D5292" s="15"/>
      <c r="E5292" s="15"/>
      <c r="F5292" s="11">
        <f t="shared" si="41"/>
      </c>
      <c r="G5292" s="22" cm="1">
        <f t="array" ref="G5292">IF(AND(Inputs!$C$60,Inputs!$C$61),INDEX(Utility_Rates!$C$29:$F$52,HOUR(C5292)+Inputs!$C$69,MATCH(INDEX(Utility_Rates!$K$6:$K$17,MONTH(C5292))&amp;IF(WEEKDAY(C5292,Inputs!$C$76)&lt;=Inputs!$C$74," weekday"," weekend"),Utility_Rates!$C$28:$F$28,Inputs!$C$68)),"")</f>
      </c>
      <c r="H5292" s="34"/>
      <c r="I5292" s="42">
        <f>IF(AND(ISNUMBER(D5292),ISNUMBER(H5292)),D5292*H5292*Inputs!$C$69,"")</f>
      </c>
      <c r="J5292" s="42">
        <f>IF(AND(ISNUMBER(F5292),ISNUMBER(H5292),F5292&gt;=Inputs!$C$68),F5292*H5292*Inputs!$C$69,"")</f>
      </c>
    </row>
    <row r="5293" spans="2:10" ht="15" customHeight="1" x14ac:dyDescent="0.2">
      <c r="B5293" s="39">
        <f t="shared" si="40"/>
      </c>
      <c r="C5293" s="40">
        <f>IF(Inputs!$C$60,Inputs!$C$11+(B5293-Inputs!$C$69)/Inputs!$C$70,"")</f>
      </c>
      <c r="D5293" s="15"/>
      <c r="E5293" s="15"/>
      <c r="F5293" s="11">
        <f t="shared" si="41"/>
      </c>
      <c r="G5293" s="22" cm="1">
        <f t="array" ref="G5293">IF(AND(Inputs!$C$60,Inputs!$C$61),INDEX(Utility_Rates!$C$29:$F$52,HOUR(C5293)+Inputs!$C$69,MATCH(INDEX(Utility_Rates!$K$6:$K$17,MONTH(C5293))&amp;IF(WEEKDAY(C5293,Inputs!$C$76)&lt;=Inputs!$C$74," weekday"," weekend"),Utility_Rates!$C$28:$F$28,Inputs!$C$68)),"")</f>
      </c>
      <c r="H5293" s="34"/>
      <c r="I5293" s="42">
        <f>IF(AND(ISNUMBER(D5293),ISNUMBER(H5293)),D5293*H5293*Inputs!$C$69,"")</f>
      </c>
      <c r="J5293" s="42">
        <f>IF(AND(ISNUMBER(F5293),ISNUMBER(H5293),F5293&gt;=Inputs!$C$68),F5293*H5293*Inputs!$C$69,"")</f>
      </c>
    </row>
    <row r="5294" spans="2:10" ht="15" customHeight="1" x14ac:dyDescent="0.2">
      <c r="B5294" s="39">
        <f t="shared" si="40"/>
      </c>
      <c r="C5294" s="40">
        <f>IF(Inputs!$C$60,Inputs!$C$11+(B5294-Inputs!$C$69)/Inputs!$C$70,"")</f>
      </c>
      <c r="D5294" s="15"/>
      <c r="E5294" s="15"/>
      <c r="F5294" s="11">
        <f t="shared" si="41"/>
      </c>
      <c r="G5294" s="22" cm="1">
        <f t="array" ref="G5294">IF(AND(Inputs!$C$60,Inputs!$C$61),INDEX(Utility_Rates!$C$29:$F$52,HOUR(C5294)+Inputs!$C$69,MATCH(INDEX(Utility_Rates!$K$6:$K$17,MONTH(C5294))&amp;IF(WEEKDAY(C5294,Inputs!$C$76)&lt;=Inputs!$C$74," weekday"," weekend"),Utility_Rates!$C$28:$F$28,Inputs!$C$68)),"")</f>
      </c>
      <c r="H5294" s="34"/>
      <c r="I5294" s="42">
        <f>IF(AND(ISNUMBER(D5294),ISNUMBER(H5294)),D5294*H5294*Inputs!$C$69,"")</f>
      </c>
      <c r="J5294" s="42">
        <f>IF(AND(ISNUMBER(F5294),ISNUMBER(H5294),F5294&gt;=Inputs!$C$68),F5294*H5294*Inputs!$C$69,"")</f>
      </c>
    </row>
    <row r="5295" spans="2:10" ht="15" customHeight="1" x14ac:dyDescent="0.2">
      <c r="B5295" s="39">
        <f t="shared" si="40"/>
      </c>
      <c r="C5295" s="40">
        <f>IF(Inputs!$C$60,Inputs!$C$11+(B5295-Inputs!$C$69)/Inputs!$C$70,"")</f>
      </c>
      <c r="D5295" s="15"/>
      <c r="E5295" s="15"/>
      <c r="F5295" s="11">
        <f t="shared" si="41"/>
      </c>
      <c r="G5295" s="22" cm="1">
        <f t="array" ref="G5295">IF(AND(Inputs!$C$60,Inputs!$C$61),INDEX(Utility_Rates!$C$29:$F$52,HOUR(C5295)+Inputs!$C$69,MATCH(INDEX(Utility_Rates!$K$6:$K$17,MONTH(C5295))&amp;IF(WEEKDAY(C5295,Inputs!$C$76)&lt;=Inputs!$C$74," weekday"," weekend"),Utility_Rates!$C$28:$F$28,Inputs!$C$68)),"")</f>
      </c>
      <c r="H5295" s="34"/>
      <c r="I5295" s="42">
        <f>IF(AND(ISNUMBER(D5295),ISNUMBER(H5295)),D5295*H5295*Inputs!$C$69,"")</f>
      </c>
      <c r="J5295" s="42">
        <f>IF(AND(ISNUMBER(F5295),ISNUMBER(H5295),F5295&gt;=Inputs!$C$68),F5295*H5295*Inputs!$C$69,"")</f>
      </c>
    </row>
    <row r="5296" spans="2:10" ht="15" customHeight="1" x14ac:dyDescent="0.2">
      <c r="B5296" s="39">
        <f t="shared" si="40"/>
      </c>
      <c r="C5296" s="40">
        <f>IF(Inputs!$C$60,Inputs!$C$11+(B5296-Inputs!$C$69)/Inputs!$C$70,"")</f>
      </c>
      <c r="D5296" s="15"/>
      <c r="E5296" s="15"/>
      <c r="F5296" s="11">
        <f t="shared" si="41"/>
      </c>
      <c r="G5296" s="22" cm="1">
        <f t="array" ref="G5296">IF(AND(Inputs!$C$60,Inputs!$C$61),INDEX(Utility_Rates!$C$29:$F$52,HOUR(C5296)+Inputs!$C$69,MATCH(INDEX(Utility_Rates!$K$6:$K$17,MONTH(C5296))&amp;IF(WEEKDAY(C5296,Inputs!$C$76)&lt;=Inputs!$C$74," weekday"," weekend"),Utility_Rates!$C$28:$F$28,Inputs!$C$68)),"")</f>
      </c>
      <c r="H5296" s="34"/>
      <c r="I5296" s="42">
        <f>IF(AND(ISNUMBER(D5296),ISNUMBER(H5296)),D5296*H5296*Inputs!$C$69,"")</f>
      </c>
      <c r="J5296" s="42">
        <f>IF(AND(ISNUMBER(F5296),ISNUMBER(H5296),F5296&gt;=Inputs!$C$68),F5296*H5296*Inputs!$C$69,"")</f>
      </c>
    </row>
    <row r="5297" spans="2:10" ht="15" customHeight="1" x14ac:dyDescent="0.2">
      <c r="B5297" s="39">
        <f t="shared" si="40"/>
      </c>
      <c r="C5297" s="40">
        <f>IF(Inputs!$C$60,Inputs!$C$11+(B5297-Inputs!$C$69)/Inputs!$C$70,"")</f>
      </c>
      <c r="D5297" s="15"/>
      <c r="E5297" s="15"/>
      <c r="F5297" s="11">
        <f t="shared" si="41"/>
      </c>
      <c r="G5297" s="22" cm="1">
        <f t="array" ref="G5297">IF(AND(Inputs!$C$60,Inputs!$C$61),INDEX(Utility_Rates!$C$29:$F$52,HOUR(C5297)+Inputs!$C$69,MATCH(INDEX(Utility_Rates!$K$6:$K$17,MONTH(C5297))&amp;IF(WEEKDAY(C5297,Inputs!$C$76)&lt;=Inputs!$C$74," weekday"," weekend"),Utility_Rates!$C$28:$F$28,Inputs!$C$68)),"")</f>
      </c>
      <c r="H5297" s="34"/>
      <c r="I5297" s="42">
        <f>IF(AND(ISNUMBER(D5297),ISNUMBER(H5297)),D5297*H5297*Inputs!$C$69,"")</f>
      </c>
      <c r="J5297" s="42">
        <f>IF(AND(ISNUMBER(F5297),ISNUMBER(H5297),F5297&gt;=Inputs!$C$68),F5297*H5297*Inputs!$C$69,"")</f>
      </c>
    </row>
    <row r="5298" spans="2:10" ht="15" customHeight="1" x14ac:dyDescent="0.2">
      <c r="B5298" s="39">
        <f t="shared" si="40"/>
      </c>
      <c r="C5298" s="40">
        <f>IF(Inputs!$C$60,Inputs!$C$11+(B5298-Inputs!$C$69)/Inputs!$C$70,"")</f>
      </c>
      <c r="D5298" s="15"/>
      <c r="E5298" s="15"/>
      <c r="F5298" s="11">
        <f t="shared" si="41"/>
      </c>
      <c r="G5298" s="22" cm="1">
        <f t="array" ref="G5298">IF(AND(Inputs!$C$60,Inputs!$C$61),INDEX(Utility_Rates!$C$29:$F$52,HOUR(C5298)+Inputs!$C$69,MATCH(INDEX(Utility_Rates!$K$6:$K$17,MONTH(C5298))&amp;IF(WEEKDAY(C5298,Inputs!$C$76)&lt;=Inputs!$C$74," weekday"," weekend"),Utility_Rates!$C$28:$F$28,Inputs!$C$68)),"")</f>
      </c>
      <c r="H5298" s="34"/>
      <c r="I5298" s="42">
        <f>IF(AND(ISNUMBER(D5298),ISNUMBER(H5298)),D5298*H5298*Inputs!$C$69,"")</f>
      </c>
      <c r="J5298" s="42">
        <f>IF(AND(ISNUMBER(F5298),ISNUMBER(H5298),F5298&gt;=Inputs!$C$68),F5298*H5298*Inputs!$C$69,"")</f>
      </c>
    </row>
    <row r="5299" spans="2:10" ht="15" customHeight="1" x14ac:dyDescent="0.2">
      <c r="B5299" s="39">
        <f t="shared" si="40"/>
      </c>
      <c r="C5299" s="40">
        <f>IF(Inputs!$C$60,Inputs!$C$11+(B5299-Inputs!$C$69)/Inputs!$C$70,"")</f>
      </c>
      <c r="D5299" s="15"/>
      <c r="E5299" s="15"/>
      <c r="F5299" s="11">
        <f t="shared" si="41"/>
      </c>
      <c r="G5299" s="22" cm="1">
        <f t="array" ref="G5299">IF(AND(Inputs!$C$60,Inputs!$C$61),INDEX(Utility_Rates!$C$29:$F$52,HOUR(C5299)+Inputs!$C$69,MATCH(INDEX(Utility_Rates!$K$6:$K$17,MONTH(C5299))&amp;IF(WEEKDAY(C5299,Inputs!$C$76)&lt;=Inputs!$C$74," weekday"," weekend"),Utility_Rates!$C$28:$F$28,Inputs!$C$68)),"")</f>
      </c>
      <c r="H5299" s="34"/>
      <c r="I5299" s="42">
        <f>IF(AND(ISNUMBER(D5299),ISNUMBER(H5299)),D5299*H5299*Inputs!$C$69,"")</f>
      </c>
      <c r="J5299" s="42">
        <f>IF(AND(ISNUMBER(F5299),ISNUMBER(H5299),F5299&gt;=Inputs!$C$68),F5299*H5299*Inputs!$C$69,"")</f>
      </c>
    </row>
    <row r="5300" spans="2:10" ht="15" customHeight="1" x14ac:dyDescent="0.2">
      <c r="B5300" s="39">
        <f t="shared" si="40"/>
      </c>
      <c r="C5300" s="40">
        <f>IF(Inputs!$C$60,Inputs!$C$11+(B5300-Inputs!$C$69)/Inputs!$C$70,"")</f>
      </c>
      <c r="D5300" s="15"/>
      <c r="E5300" s="15"/>
      <c r="F5300" s="11">
        <f t="shared" si="41"/>
      </c>
      <c r="G5300" s="22" cm="1">
        <f t="array" ref="G5300">IF(AND(Inputs!$C$60,Inputs!$C$61),INDEX(Utility_Rates!$C$29:$F$52,HOUR(C5300)+Inputs!$C$69,MATCH(INDEX(Utility_Rates!$K$6:$K$17,MONTH(C5300))&amp;IF(WEEKDAY(C5300,Inputs!$C$76)&lt;=Inputs!$C$74," weekday"," weekend"),Utility_Rates!$C$28:$F$28,Inputs!$C$68)),"")</f>
      </c>
      <c r="H5300" s="34"/>
      <c r="I5300" s="42">
        <f>IF(AND(ISNUMBER(D5300),ISNUMBER(H5300)),D5300*H5300*Inputs!$C$69,"")</f>
      </c>
      <c r="J5300" s="42">
        <f>IF(AND(ISNUMBER(F5300),ISNUMBER(H5300),F5300&gt;=Inputs!$C$68),F5300*H5300*Inputs!$C$69,"")</f>
      </c>
    </row>
    <row r="5301" spans="2:10" ht="15" customHeight="1" x14ac:dyDescent="0.2">
      <c r="B5301" s="39">
        <f t="shared" si="40"/>
      </c>
      <c r="C5301" s="40">
        <f>IF(Inputs!$C$60,Inputs!$C$11+(B5301-Inputs!$C$69)/Inputs!$C$70,"")</f>
      </c>
      <c r="D5301" s="15"/>
      <c r="E5301" s="15"/>
      <c r="F5301" s="11">
        <f t="shared" si="41"/>
      </c>
      <c r="G5301" s="22" cm="1">
        <f t="array" ref="G5301">IF(AND(Inputs!$C$60,Inputs!$C$61),INDEX(Utility_Rates!$C$29:$F$52,HOUR(C5301)+Inputs!$C$69,MATCH(INDEX(Utility_Rates!$K$6:$K$17,MONTH(C5301))&amp;IF(WEEKDAY(C5301,Inputs!$C$76)&lt;=Inputs!$C$74," weekday"," weekend"),Utility_Rates!$C$28:$F$28,Inputs!$C$68)),"")</f>
      </c>
      <c r="H5301" s="34"/>
      <c r="I5301" s="42">
        <f>IF(AND(ISNUMBER(D5301),ISNUMBER(H5301)),D5301*H5301*Inputs!$C$69,"")</f>
      </c>
      <c r="J5301" s="42">
        <f>IF(AND(ISNUMBER(F5301),ISNUMBER(H5301),F5301&gt;=Inputs!$C$68),F5301*H5301*Inputs!$C$69,"")</f>
      </c>
    </row>
    <row r="5302" spans="2:10" ht="15" customHeight="1" x14ac:dyDescent="0.2">
      <c r="B5302" s="39">
        <f t="shared" si="40"/>
      </c>
      <c r="C5302" s="40">
        <f>IF(Inputs!$C$60,Inputs!$C$11+(B5302-Inputs!$C$69)/Inputs!$C$70,"")</f>
      </c>
      <c r="D5302" s="15"/>
      <c r="E5302" s="15"/>
      <c r="F5302" s="11">
        <f t="shared" si="41"/>
      </c>
      <c r="G5302" s="22" cm="1">
        <f t="array" ref="G5302">IF(AND(Inputs!$C$60,Inputs!$C$61),INDEX(Utility_Rates!$C$29:$F$52,HOUR(C5302)+Inputs!$C$69,MATCH(INDEX(Utility_Rates!$K$6:$K$17,MONTH(C5302))&amp;IF(WEEKDAY(C5302,Inputs!$C$76)&lt;=Inputs!$C$74," weekday"," weekend"),Utility_Rates!$C$28:$F$28,Inputs!$C$68)),"")</f>
      </c>
      <c r="H5302" s="34"/>
      <c r="I5302" s="42">
        <f>IF(AND(ISNUMBER(D5302),ISNUMBER(H5302)),D5302*H5302*Inputs!$C$69,"")</f>
      </c>
      <c r="J5302" s="42">
        <f>IF(AND(ISNUMBER(F5302),ISNUMBER(H5302),F5302&gt;=Inputs!$C$68),F5302*H5302*Inputs!$C$69,"")</f>
      </c>
    </row>
    <row r="5303" spans="2:10" ht="15" customHeight="1" x14ac:dyDescent="0.2">
      <c r="B5303" s="39">
        <f t="shared" si="40"/>
      </c>
      <c r="C5303" s="40">
        <f>IF(Inputs!$C$60,Inputs!$C$11+(B5303-Inputs!$C$69)/Inputs!$C$70,"")</f>
      </c>
      <c r="D5303" s="15"/>
      <c r="E5303" s="15"/>
      <c r="F5303" s="11">
        <f t="shared" si="41"/>
      </c>
      <c r="G5303" s="22" cm="1">
        <f t="array" ref="G5303">IF(AND(Inputs!$C$60,Inputs!$C$61),INDEX(Utility_Rates!$C$29:$F$52,HOUR(C5303)+Inputs!$C$69,MATCH(INDEX(Utility_Rates!$K$6:$K$17,MONTH(C5303))&amp;IF(WEEKDAY(C5303,Inputs!$C$76)&lt;=Inputs!$C$74," weekday"," weekend"),Utility_Rates!$C$28:$F$28,Inputs!$C$68)),"")</f>
      </c>
      <c r="H5303" s="34"/>
      <c r="I5303" s="42">
        <f>IF(AND(ISNUMBER(D5303),ISNUMBER(H5303)),D5303*H5303*Inputs!$C$69,"")</f>
      </c>
      <c r="J5303" s="42">
        <f>IF(AND(ISNUMBER(F5303),ISNUMBER(H5303),F5303&gt;=Inputs!$C$68),F5303*H5303*Inputs!$C$69,"")</f>
      </c>
    </row>
    <row r="5304" spans="2:10" ht="15" customHeight="1" x14ac:dyDescent="0.2">
      <c r="B5304" s="39">
        <f t="shared" si="40"/>
      </c>
      <c r="C5304" s="40">
        <f>IF(Inputs!$C$60,Inputs!$C$11+(B5304-Inputs!$C$69)/Inputs!$C$70,"")</f>
      </c>
      <c r="D5304" s="15"/>
      <c r="E5304" s="15"/>
      <c r="F5304" s="11">
        <f t="shared" si="41"/>
      </c>
      <c r="G5304" s="22" cm="1">
        <f t="array" ref="G5304">IF(AND(Inputs!$C$60,Inputs!$C$61),INDEX(Utility_Rates!$C$29:$F$52,HOUR(C5304)+Inputs!$C$69,MATCH(INDEX(Utility_Rates!$K$6:$K$17,MONTH(C5304))&amp;IF(WEEKDAY(C5304,Inputs!$C$76)&lt;=Inputs!$C$74," weekday"," weekend"),Utility_Rates!$C$28:$F$28,Inputs!$C$68)),"")</f>
      </c>
      <c r="H5304" s="34"/>
      <c r="I5304" s="42">
        <f>IF(AND(ISNUMBER(D5304),ISNUMBER(H5304)),D5304*H5304*Inputs!$C$69,"")</f>
      </c>
      <c r="J5304" s="42">
        <f>IF(AND(ISNUMBER(F5304),ISNUMBER(H5304),F5304&gt;=Inputs!$C$68),F5304*H5304*Inputs!$C$69,"")</f>
      </c>
    </row>
    <row r="5305" spans="2:10" ht="15" customHeight="1" x14ac:dyDescent="0.2">
      <c r="B5305" s="39">
        <f t="shared" si="40"/>
      </c>
      <c r="C5305" s="40">
        <f>IF(Inputs!$C$60,Inputs!$C$11+(B5305-Inputs!$C$69)/Inputs!$C$70,"")</f>
      </c>
      <c r="D5305" s="15"/>
      <c r="E5305" s="15"/>
      <c r="F5305" s="11">
        <f t="shared" si="41"/>
      </c>
      <c r="G5305" s="22" cm="1">
        <f t="array" ref="G5305">IF(AND(Inputs!$C$60,Inputs!$C$61),INDEX(Utility_Rates!$C$29:$F$52,HOUR(C5305)+Inputs!$C$69,MATCH(INDEX(Utility_Rates!$K$6:$K$17,MONTH(C5305))&amp;IF(WEEKDAY(C5305,Inputs!$C$76)&lt;=Inputs!$C$74," weekday"," weekend"),Utility_Rates!$C$28:$F$28,Inputs!$C$68)),"")</f>
      </c>
      <c r="H5305" s="34"/>
      <c r="I5305" s="42">
        <f>IF(AND(ISNUMBER(D5305),ISNUMBER(H5305)),D5305*H5305*Inputs!$C$69,"")</f>
      </c>
      <c r="J5305" s="42">
        <f>IF(AND(ISNUMBER(F5305),ISNUMBER(H5305),F5305&gt;=Inputs!$C$68),F5305*H5305*Inputs!$C$69,"")</f>
      </c>
    </row>
    <row r="5306" spans="2:10" ht="15" customHeight="1" x14ac:dyDescent="0.2">
      <c r="B5306" s="39">
        <f t="shared" si="40"/>
      </c>
      <c r="C5306" s="40">
        <f>IF(Inputs!$C$60,Inputs!$C$11+(B5306-Inputs!$C$69)/Inputs!$C$70,"")</f>
      </c>
      <c r="D5306" s="15"/>
      <c r="E5306" s="15"/>
      <c r="F5306" s="11">
        <f t="shared" si="41"/>
      </c>
      <c r="G5306" s="22" cm="1">
        <f t="array" ref="G5306">IF(AND(Inputs!$C$60,Inputs!$C$61),INDEX(Utility_Rates!$C$29:$F$52,HOUR(C5306)+Inputs!$C$69,MATCH(INDEX(Utility_Rates!$K$6:$K$17,MONTH(C5306))&amp;IF(WEEKDAY(C5306,Inputs!$C$76)&lt;=Inputs!$C$74," weekday"," weekend"),Utility_Rates!$C$28:$F$28,Inputs!$C$68)),"")</f>
      </c>
      <c r="H5306" s="34"/>
      <c r="I5306" s="42">
        <f>IF(AND(ISNUMBER(D5306),ISNUMBER(H5306)),D5306*H5306*Inputs!$C$69,"")</f>
      </c>
      <c r="J5306" s="42">
        <f>IF(AND(ISNUMBER(F5306),ISNUMBER(H5306),F5306&gt;=Inputs!$C$68),F5306*H5306*Inputs!$C$69,"")</f>
      </c>
    </row>
    <row r="5307" spans="2:10" ht="15" customHeight="1" x14ac:dyDescent="0.2">
      <c r="B5307" s="39">
        <f t="shared" si="40"/>
      </c>
      <c r="C5307" s="40">
        <f>IF(Inputs!$C$60,Inputs!$C$11+(B5307-Inputs!$C$69)/Inputs!$C$70,"")</f>
      </c>
      <c r="D5307" s="15"/>
      <c r="E5307" s="15"/>
      <c r="F5307" s="11">
        <f t="shared" si="41"/>
      </c>
      <c r="G5307" s="22" cm="1">
        <f t="array" ref="G5307">IF(AND(Inputs!$C$60,Inputs!$C$61),INDEX(Utility_Rates!$C$29:$F$52,HOUR(C5307)+Inputs!$C$69,MATCH(INDEX(Utility_Rates!$K$6:$K$17,MONTH(C5307))&amp;IF(WEEKDAY(C5307,Inputs!$C$76)&lt;=Inputs!$C$74," weekday"," weekend"),Utility_Rates!$C$28:$F$28,Inputs!$C$68)),"")</f>
      </c>
      <c r="H5307" s="34"/>
      <c r="I5307" s="42">
        <f>IF(AND(ISNUMBER(D5307),ISNUMBER(H5307)),D5307*H5307*Inputs!$C$69,"")</f>
      </c>
      <c r="J5307" s="42">
        <f>IF(AND(ISNUMBER(F5307),ISNUMBER(H5307),F5307&gt;=Inputs!$C$68),F5307*H5307*Inputs!$C$69,"")</f>
      </c>
    </row>
    <row r="5308" spans="2:10" ht="15" customHeight="1" x14ac:dyDescent="0.2">
      <c r="B5308" s="39">
        <f t="shared" si="40"/>
      </c>
      <c r="C5308" s="40">
        <f>IF(Inputs!$C$60,Inputs!$C$11+(B5308-Inputs!$C$69)/Inputs!$C$70,"")</f>
      </c>
      <c r="D5308" s="15"/>
      <c r="E5308" s="15"/>
      <c r="F5308" s="11">
        <f t="shared" si="41"/>
      </c>
      <c r="G5308" s="22" cm="1">
        <f t="array" ref="G5308">IF(AND(Inputs!$C$60,Inputs!$C$61),INDEX(Utility_Rates!$C$29:$F$52,HOUR(C5308)+Inputs!$C$69,MATCH(INDEX(Utility_Rates!$K$6:$K$17,MONTH(C5308))&amp;IF(WEEKDAY(C5308,Inputs!$C$76)&lt;=Inputs!$C$74," weekday"," weekend"),Utility_Rates!$C$28:$F$28,Inputs!$C$68)),"")</f>
      </c>
      <c r="H5308" s="34"/>
      <c r="I5308" s="42">
        <f>IF(AND(ISNUMBER(D5308),ISNUMBER(H5308)),D5308*H5308*Inputs!$C$69,"")</f>
      </c>
      <c r="J5308" s="42">
        <f>IF(AND(ISNUMBER(F5308),ISNUMBER(H5308),F5308&gt;=Inputs!$C$68),F5308*H5308*Inputs!$C$69,"")</f>
      </c>
    </row>
    <row r="5309" spans="2:10" ht="15" customHeight="1" x14ac:dyDescent="0.2">
      <c r="B5309" s="39">
        <f t="shared" si="40"/>
      </c>
      <c r="C5309" s="40">
        <f>IF(Inputs!$C$60,Inputs!$C$11+(B5309-Inputs!$C$69)/Inputs!$C$70,"")</f>
      </c>
      <c r="D5309" s="15"/>
      <c r="E5309" s="15"/>
      <c r="F5309" s="11">
        <f t="shared" si="41"/>
      </c>
      <c r="G5309" s="22" cm="1">
        <f t="array" ref="G5309">IF(AND(Inputs!$C$60,Inputs!$C$61),INDEX(Utility_Rates!$C$29:$F$52,HOUR(C5309)+Inputs!$C$69,MATCH(INDEX(Utility_Rates!$K$6:$K$17,MONTH(C5309))&amp;IF(WEEKDAY(C5309,Inputs!$C$76)&lt;=Inputs!$C$74," weekday"," weekend"),Utility_Rates!$C$28:$F$28,Inputs!$C$68)),"")</f>
      </c>
      <c r="H5309" s="34"/>
      <c r="I5309" s="42">
        <f>IF(AND(ISNUMBER(D5309),ISNUMBER(H5309)),D5309*H5309*Inputs!$C$69,"")</f>
      </c>
      <c r="J5309" s="42">
        <f>IF(AND(ISNUMBER(F5309),ISNUMBER(H5309),F5309&gt;=Inputs!$C$68),F5309*H5309*Inputs!$C$69,"")</f>
      </c>
    </row>
    <row r="5310" spans="2:10" ht="15" customHeight="1" x14ac:dyDescent="0.2">
      <c r="B5310" s="39">
        <f t="shared" si="40"/>
      </c>
      <c r="C5310" s="40">
        <f>IF(Inputs!$C$60,Inputs!$C$11+(B5310-Inputs!$C$69)/Inputs!$C$70,"")</f>
      </c>
      <c r="D5310" s="15"/>
      <c r="E5310" s="15"/>
      <c r="F5310" s="11">
        <f t="shared" si="41"/>
      </c>
      <c r="G5310" s="22" cm="1">
        <f t="array" ref="G5310">IF(AND(Inputs!$C$60,Inputs!$C$61),INDEX(Utility_Rates!$C$29:$F$52,HOUR(C5310)+Inputs!$C$69,MATCH(INDEX(Utility_Rates!$K$6:$K$17,MONTH(C5310))&amp;IF(WEEKDAY(C5310,Inputs!$C$76)&lt;=Inputs!$C$74," weekday"," weekend"),Utility_Rates!$C$28:$F$28,Inputs!$C$68)),"")</f>
      </c>
      <c r="H5310" s="34"/>
      <c r="I5310" s="42">
        <f>IF(AND(ISNUMBER(D5310),ISNUMBER(H5310)),D5310*H5310*Inputs!$C$69,"")</f>
      </c>
      <c r="J5310" s="42">
        <f>IF(AND(ISNUMBER(F5310),ISNUMBER(H5310),F5310&gt;=Inputs!$C$68),F5310*H5310*Inputs!$C$69,"")</f>
      </c>
    </row>
    <row r="5311" spans="2:10" ht="15" customHeight="1" x14ac:dyDescent="0.2">
      <c r="B5311" s="39">
        <f t="shared" si="40"/>
      </c>
      <c r="C5311" s="40">
        <f>IF(Inputs!$C$60,Inputs!$C$11+(B5311-Inputs!$C$69)/Inputs!$C$70,"")</f>
      </c>
      <c r="D5311" s="15"/>
      <c r="E5311" s="15"/>
      <c r="F5311" s="11">
        <f t="shared" si="41"/>
      </c>
      <c r="G5311" s="22" cm="1">
        <f t="array" ref="G5311">IF(AND(Inputs!$C$60,Inputs!$C$61),INDEX(Utility_Rates!$C$29:$F$52,HOUR(C5311)+Inputs!$C$69,MATCH(INDEX(Utility_Rates!$K$6:$K$17,MONTH(C5311))&amp;IF(WEEKDAY(C5311,Inputs!$C$76)&lt;=Inputs!$C$74," weekday"," weekend"),Utility_Rates!$C$28:$F$28,Inputs!$C$68)),"")</f>
      </c>
      <c r="H5311" s="34"/>
      <c r="I5311" s="42">
        <f>IF(AND(ISNUMBER(D5311),ISNUMBER(H5311)),D5311*H5311*Inputs!$C$69,"")</f>
      </c>
      <c r="J5311" s="42">
        <f>IF(AND(ISNUMBER(F5311),ISNUMBER(H5311),F5311&gt;=Inputs!$C$68),F5311*H5311*Inputs!$C$69,"")</f>
      </c>
    </row>
    <row r="5312" spans="2:10" ht="15" customHeight="1" x14ac:dyDescent="0.2">
      <c r="B5312" s="39">
        <f t="shared" si="40"/>
      </c>
      <c r="C5312" s="40">
        <f>IF(Inputs!$C$60,Inputs!$C$11+(B5312-Inputs!$C$69)/Inputs!$C$70,"")</f>
      </c>
      <c r="D5312" s="15"/>
      <c r="E5312" s="15"/>
      <c r="F5312" s="11">
        <f t="shared" si="41"/>
      </c>
      <c r="G5312" s="22" cm="1">
        <f t="array" ref="G5312">IF(AND(Inputs!$C$60,Inputs!$C$61),INDEX(Utility_Rates!$C$29:$F$52,HOUR(C5312)+Inputs!$C$69,MATCH(INDEX(Utility_Rates!$K$6:$K$17,MONTH(C5312))&amp;IF(WEEKDAY(C5312,Inputs!$C$76)&lt;=Inputs!$C$74," weekday"," weekend"),Utility_Rates!$C$28:$F$28,Inputs!$C$68)),"")</f>
      </c>
      <c r="H5312" s="34"/>
      <c r="I5312" s="42">
        <f>IF(AND(ISNUMBER(D5312),ISNUMBER(H5312)),D5312*H5312*Inputs!$C$69,"")</f>
      </c>
      <c r="J5312" s="42">
        <f>IF(AND(ISNUMBER(F5312),ISNUMBER(H5312),F5312&gt;=Inputs!$C$68),F5312*H5312*Inputs!$C$69,"")</f>
      </c>
    </row>
    <row r="5313" spans="2:10" ht="15" customHeight="1" x14ac:dyDescent="0.2">
      <c r="B5313" s="39">
        <f t="shared" si="40"/>
      </c>
      <c r="C5313" s="40">
        <f>IF(Inputs!$C$60,Inputs!$C$11+(B5313-Inputs!$C$69)/Inputs!$C$70,"")</f>
      </c>
      <c r="D5313" s="15"/>
      <c r="E5313" s="15"/>
      <c r="F5313" s="11">
        <f t="shared" si="41"/>
      </c>
      <c r="G5313" s="22" cm="1">
        <f t="array" ref="G5313">IF(AND(Inputs!$C$60,Inputs!$C$61),INDEX(Utility_Rates!$C$29:$F$52,HOUR(C5313)+Inputs!$C$69,MATCH(INDEX(Utility_Rates!$K$6:$K$17,MONTH(C5313))&amp;IF(WEEKDAY(C5313,Inputs!$C$76)&lt;=Inputs!$C$74," weekday"," weekend"),Utility_Rates!$C$28:$F$28,Inputs!$C$68)),"")</f>
      </c>
      <c r="H5313" s="34"/>
      <c r="I5313" s="42">
        <f>IF(AND(ISNUMBER(D5313),ISNUMBER(H5313)),D5313*H5313*Inputs!$C$69,"")</f>
      </c>
      <c r="J5313" s="42">
        <f>IF(AND(ISNUMBER(F5313),ISNUMBER(H5313),F5313&gt;=Inputs!$C$68),F5313*H5313*Inputs!$C$69,"")</f>
      </c>
    </row>
    <row r="5314" spans="2:10" ht="15" customHeight="1" x14ac:dyDescent="0.2">
      <c r="B5314" s="39">
        <f t="shared" si="40"/>
      </c>
      <c r="C5314" s="40">
        <f>IF(Inputs!$C$60,Inputs!$C$11+(B5314-Inputs!$C$69)/Inputs!$C$70,"")</f>
      </c>
      <c r="D5314" s="15"/>
      <c r="E5314" s="15"/>
      <c r="F5314" s="11">
        <f t="shared" si="41"/>
      </c>
      <c r="G5314" s="22" cm="1">
        <f t="array" ref="G5314">IF(AND(Inputs!$C$60,Inputs!$C$61),INDEX(Utility_Rates!$C$29:$F$52,HOUR(C5314)+Inputs!$C$69,MATCH(INDEX(Utility_Rates!$K$6:$K$17,MONTH(C5314))&amp;IF(WEEKDAY(C5314,Inputs!$C$76)&lt;=Inputs!$C$74," weekday"," weekend"),Utility_Rates!$C$28:$F$28,Inputs!$C$68)),"")</f>
      </c>
      <c r="H5314" s="34"/>
      <c r="I5314" s="42">
        <f>IF(AND(ISNUMBER(D5314),ISNUMBER(H5314)),D5314*H5314*Inputs!$C$69,"")</f>
      </c>
      <c r="J5314" s="42">
        <f>IF(AND(ISNUMBER(F5314),ISNUMBER(H5314),F5314&gt;=Inputs!$C$68),F5314*H5314*Inputs!$C$69,"")</f>
      </c>
    </row>
    <row r="5315" spans="2:10" ht="15" customHeight="1" x14ac:dyDescent="0.2">
      <c r="B5315" s="39">
        <f t="shared" si="40"/>
      </c>
      <c r="C5315" s="40">
        <f>IF(Inputs!$C$60,Inputs!$C$11+(B5315-Inputs!$C$69)/Inputs!$C$70,"")</f>
      </c>
      <c r="D5315" s="15"/>
      <c r="E5315" s="15"/>
      <c r="F5315" s="11">
        <f t="shared" si="41"/>
      </c>
      <c r="G5315" s="22" cm="1">
        <f t="array" ref="G5315">IF(AND(Inputs!$C$60,Inputs!$C$61),INDEX(Utility_Rates!$C$29:$F$52,HOUR(C5315)+Inputs!$C$69,MATCH(INDEX(Utility_Rates!$K$6:$K$17,MONTH(C5315))&amp;IF(WEEKDAY(C5315,Inputs!$C$76)&lt;=Inputs!$C$74," weekday"," weekend"),Utility_Rates!$C$28:$F$28,Inputs!$C$68)),"")</f>
      </c>
      <c r="H5315" s="34"/>
      <c r="I5315" s="42">
        <f>IF(AND(ISNUMBER(D5315),ISNUMBER(H5315)),D5315*H5315*Inputs!$C$69,"")</f>
      </c>
      <c r="J5315" s="42">
        <f>IF(AND(ISNUMBER(F5315),ISNUMBER(H5315),F5315&gt;=Inputs!$C$68),F5315*H5315*Inputs!$C$69,"")</f>
      </c>
    </row>
    <row r="5316" spans="2:10" ht="15" customHeight="1" x14ac:dyDescent="0.2">
      <c r="B5316" s="39">
        <f t="shared" si="40"/>
      </c>
      <c r="C5316" s="40">
        <f>IF(Inputs!$C$60,Inputs!$C$11+(B5316-Inputs!$C$69)/Inputs!$C$70,"")</f>
      </c>
      <c r="D5316" s="15"/>
      <c r="E5316" s="15"/>
      <c r="F5316" s="11">
        <f t="shared" si="41"/>
      </c>
      <c r="G5316" s="22" cm="1">
        <f t="array" ref="G5316">IF(AND(Inputs!$C$60,Inputs!$C$61),INDEX(Utility_Rates!$C$29:$F$52,HOUR(C5316)+Inputs!$C$69,MATCH(INDEX(Utility_Rates!$K$6:$K$17,MONTH(C5316))&amp;IF(WEEKDAY(C5316,Inputs!$C$76)&lt;=Inputs!$C$74," weekday"," weekend"),Utility_Rates!$C$28:$F$28,Inputs!$C$68)),"")</f>
      </c>
      <c r="H5316" s="34"/>
      <c r="I5316" s="42">
        <f>IF(AND(ISNUMBER(D5316),ISNUMBER(H5316)),D5316*H5316*Inputs!$C$69,"")</f>
      </c>
      <c r="J5316" s="42">
        <f>IF(AND(ISNUMBER(F5316),ISNUMBER(H5316),F5316&gt;=Inputs!$C$68),F5316*H5316*Inputs!$C$69,"")</f>
      </c>
    </row>
    <row r="5317" spans="2:10" ht="15" customHeight="1" x14ac:dyDescent="0.2">
      <c r="B5317" s="39">
        <f t="shared" si="40"/>
      </c>
      <c r="C5317" s="40">
        <f>IF(Inputs!$C$60,Inputs!$C$11+(B5317-Inputs!$C$69)/Inputs!$C$70,"")</f>
      </c>
      <c r="D5317" s="15"/>
      <c r="E5317" s="15"/>
      <c r="F5317" s="11">
        <f t="shared" si="41"/>
      </c>
      <c r="G5317" s="22" cm="1">
        <f t="array" ref="G5317">IF(AND(Inputs!$C$60,Inputs!$C$61),INDEX(Utility_Rates!$C$29:$F$52,HOUR(C5317)+Inputs!$C$69,MATCH(INDEX(Utility_Rates!$K$6:$K$17,MONTH(C5317))&amp;IF(WEEKDAY(C5317,Inputs!$C$76)&lt;=Inputs!$C$74," weekday"," weekend"),Utility_Rates!$C$28:$F$28,Inputs!$C$68)),"")</f>
      </c>
      <c r="H5317" s="34"/>
      <c r="I5317" s="42">
        <f>IF(AND(ISNUMBER(D5317),ISNUMBER(H5317)),D5317*H5317*Inputs!$C$69,"")</f>
      </c>
      <c r="J5317" s="42">
        <f>IF(AND(ISNUMBER(F5317),ISNUMBER(H5317),F5317&gt;=Inputs!$C$68),F5317*H5317*Inputs!$C$69,"")</f>
      </c>
    </row>
    <row r="5318" spans="2:10" ht="15" customHeight="1" x14ac:dyDescent="0.2">
      <c r="B5318" s="39">
        <f t="shared" si="40"/>
      </c>
      <c r="C5318" s="40">
        <f>IF(Inputs!$C$60,Inputs!$C$11+(B5318-Inputs!$C$69)/Inputs!$C$70,"")</f>
      </c>
      <c r="D5318" s="15"/>
      <c r="E5318" s="15"/>
      <c r="F5318" s="11">
        <f t="shared" si="41"/>
      </c>
      <c r="G5318" s="22" cm="1">
        <f t="array" ref="G5318">IF(AND(Inputs!$C$60,Inputs!$C$61),INDEX(Utility_Rates!$C$29:$F$52,HOUR(C5318)+Inputs!$C$69,MATCH(INDEX(Utility_Rates!$K$6:$K$17,MONTH(C5318))&amp;IF(WEEKDAY(C5318,Inputs!$C$76)&lt;=Inputs!$C$74," weekday"," weekend"),Utility_Rates!$C$28:$F$28,Inputs!$C$68)),"")</f>
      </c>
      <c r="H5318" s="34"/>
      <c r="I5318" s="42">
        <f>IF(AND(ISNUMBER(D5318),ISNUMBER(H5318)),D5318*H5318*Inputs!$C$69,"")</f>
      </c>
      <c r="J5318" s="42">
        <f>IF(AND(ISNUMBER(F5318),ISNUMBER(H5318),F5318&gt;=Inputs!$C$68),F5318*H5318*Inputs!$C$69,"")</f>
      </c>
    </row>
    <row r="5319" spans="2:10" ht="15" customHeight="1" x14ac:dyDescent="0.2">
      <c r="B5319" s="39">
        <f t="shared" si="40"/>
      </c>
      <c r="C5319" s="40">
        <f>IF(Inputs!$C$60,Inputs!$C$11+(B5319-Inputs!$C$69)/Inputs!$C$70,"")</f>
      </c>
      <c r="D5319" s="15"/>
      <c r="E5319" s="15"/>
      <c r="F5319" s="11">
        <f t="shared" si="41"/>
      </c>
      <c r="G5319" s="22" cm="1">
        <f t="array" ref="G5319">IF(AND(Inputs!$C$60,Inputs!$C$61),INDEX(Utility_Rates!$C$29:$F$52,HOUR(C5319)+Inputs!$C$69,MATCH(INDEX(Utility_Rates!$K$6:$K$17,MONTH(C5319))&amp;IF(WEEKDAY(C5319,Inputs!$C$76)&lt;=Inputs!$C$74," weekday"," weekend"),Utility_Rates!$C$28:$F$28,Inputs!$C$68)),"")</f>
      </c>
      <c r="H5319" s="34"/>
      <c r="I5319" s="42">
        <f>IF(AND(ISNUMBER(D5319),ISNUMBER(H5319)),D5319*H5319*Inputs!$C$69,"")</f>
      </c>
      <c r="J5319" s="42">
        <f>IF(AND(ISNUMBER(F5319),ISNUMBER(H5319),F5319&gt;=Inputs!$C$68),F5319*H5319*Inputs!$C$69,"")</f>
      </c>
    </row>
    <row r="5320" spans="2:10" ht="15" customHeight="1" x14ac:dyDescent="0.2">
      <c r="B5320" s="39">
        <f t="shared" si="40"/>
      </c>
      <c r="C5320" s="40">
        <f>IF(Inputs!$C$60,Inputs!$C$11+(B5320-Inputs!$C$69)/Inputs!$C$70,"")</f>
      </c>
      <c r="D5320" s="15"/>
      <c r="E5320" s="15"/>
      <c r="F5320" s="11">
        <f t="shared" si="41"/>
      </c>
      <c r="G5320" s="22" cm="1">
        <f t="array" ref="G5320">IF(AND(Inputs!$C$60,Inputs!$C$61),INDEX(Utility_Rates!$C$29:$F$52,HOUR(C5320)+Inputs!$C$69,MATCH(INDEX(Utility_Rates!$K$6:$K$17,MONTH(C5320))&amp;IF(WEEKDAY(C5320,Inputs!$C$76)&lt;=Inputs!$C$74," weekday"," weekend"),Utility_Rates!$C$28:$F$28,Inputs!$C$68)),"")</f>
      </c>
      <c r="H5320" s="34"/>
      <c r="I5320" s="42">
        <f>IF(AND(ISNUMBER(D5320),ISNUMBER(H5320)),D5320*H5320*Inputs!$C$69,"")</f>
      </c>
      <c r="J5320" s="42">
        <f>IF(AND(ISNUMBER(F5320),ISNUMBER(H5320),F5320&gt;=Inputs!$C$68),F5320*H5320*Inputs!$C$69,"")</f>
      </c>
    </row>
    <row r="5321" spans="2:10" ht="15" customHeight="1" x14ac:dyDescent="0.2">
      <c r="B5321" s="39">
        <f t="shared" si="40"/>
      </c>
      <c r="C5321" s="40">
        <f>IF(Inputs!$C$60,Inputs!$C$11+(B5321-Inputs!$C$69)/Inputs!$C$70,"")</f>
      </c>
      <c r="D5321" s="15"/>
      <c r="E5321" s="15"/>
      <c r="F5321" s="11">
        <f t="shared" si="41"/>
      </c>
      <c r="G5321" s="22" cm="1">
        <f t="array" ref="G5321">IF(AND(Inputs!$C$60,Inputs!$C$61),INDEX(Utility_Rates!$C$29:$F$52,HOUR(C5321)+Inputs!$C$69,MATCH(INDEX(Utility_Rates!$K$6:$K$17,MONTH(C5321))&amp;IF(WEEKDAY(C5321,Inputs!$C$76)&lt;=Inputs!$C$74," weekday"," weekend"),Utility_Rates!$C$28:$F$28,Inputs!$C$68)),"")</f>
      </c>
      <c r="H5321" s="34"/>
      <c r="I5321" s="42">
        <f>IF(AND(ISNUMBER(D5321),ISNUMBER(H5321)),D5321*H5321*Inputs!$C$69,"")</f>
      </c>
      <c r="J5321" s="42">
        <f>IF(AND(ISNUMBER(F5321),ISNUMBER(H5321),F5321&gt;=Inputs!$C$68),F5321*H5321*Inputs!$C$69,"")</f>
      </c>
    </row>
    <row r="5322" spans="2:10" ht="15" customHeight="1" x14ac:dyDescent="0.2">
      <c r="B5322" s="39">
        <f t="shared" si="40"/>
      </c>
      <c r="C5322" s="40">
        <f>IF(Inputs!$C$60,Inputs!$C$11+(B5322-Inputs!$C$69)/Inputs!$C$70,"")</f>
      </c>
      <c r="D5322" s="15"/>
      <c r="E5322" s="15"/>
      <c r="F5322" s="11">
        <f t="shared" si="41"/>
      </c>
      <c r="G5322" s="22" cm="1">
        <f t="array" ref="G5322">IF(AND(Inputs!$C$60,Inputs!$C$61),INDEX(Utility_Rates!$C$29:$F$52,HOUR(C5322)+Inputs!$C$69,MATCH(INDEX(Utility_Rates!$K$6:$K$17,MONTH(C5322))&amp;IF(WEEKDAY(C5322,Inputs!$C$76)&lt;=Inputs!$C$74," weekday"," weekend"),Utility_Rates!$C$28:$F$28,Inputs!$C$68)),"")</f>
      </c>
      <c r="H5322" s="34"/>
      <c r="I5322" s="42">
        <f>IF(AND(ISNUMBER(D5322),ISNUMBER(H5322)),D5322*H5322*Inputs!$C$69,"")</f>
      </c>
      <c r="J5322" s="42">
        <f>IF(AND(ISNUMBER(F5322),ISNUMBER(H5322),F5322&gt;=Inputs!$C$68),F5322*H5322*Inputs!$C$69,"")</f>
      </c>
    </row>
    <row r="5323" spans="2:10" ht="15" customHeight="1" x14ac:dyDescent="0.2">
      <c r="B5323" s="39">
        <f t="shared" si="40"/>
      </c>
      <c r="C5323" s="40">
        <f>IF(Inputs!$C$60,Inputs!$C$11+(B5323-Inputs!$C$69)/Inputs!$C$70,"")</f>
      </c>
      <c r="D5323" s="15"/>
      <c r="E5323" s="15"/>
      <c r="F5323" s="11">
        <f t="shared" si="41"/>
      </c>
      <c r="G5323" s="22" cm="1">
        <f t="array" ref="G5323">IF(AND(Inputs!$C$60,Inputs!$C$61),INDEX(Utility_Rates!$C$29:$F$52,HOUR(C5323)+Inputs!$C$69,MATCH(INDEX(Utility_Rates!$K$6:$K$17,MONTH(C5323))&amp;IF(WEEKDAY(C5323,Inputs!$C$76)&lt;=Inputs!$C$74," weekday"," weekend"),Utility_Rates!$C$28:$F$28,Inputs!$C$68)),"")</f>
      </c>
      <c r="H5323" s="34"/>
      <c r="I5323" s="42">
        <f>IF(AND(ISNUMBER(D5323),ISNUMBER(H5323)),D5323*H5323*Inputs!$C$69,"")</f>
      </c>
      <c r="J5323" s="42">
        <f>IF(AND(ISNUMBER(F5323),ISNUMBER(H5323),F5323&gt;=Inputs!$C$68),F5323*H5323*Inputs!$C$69,"")</f>
      </c>
    </row>
    <row r="5324" spans="2:10" ht="15" customHeight="1" x14ac:dyDescent="0.2">
      <c r="B5324" s="39">
        <f t="shared" si="40"/>
      </c>
      <c r="C5324" s="40">
        <f>IF(Inputs!$C$60,Inputs!$C$11+(B5324-Inputs!$C$69)/Inputs!$C$70,"")</f>
      </c>
      <c r="D5324" s="15"/>
      <c r="E5324" s="15"/>
      <c r="F5324" s="11">
        <f t="shared" si="41"/>
      </c>
      <c r="G5324" s="22" cm="1">
        <f t="array" ref="G5324">IF(AND(Inputs!$C$60,Inputs!$C$61),INDEX(Utility_Rates!$C$29:$F$52,HOUR(C5324)+Inputs!$C$69,MATCH(INDEX(Utility_Rates!$K$6:$K$17,MONTH(C5324))&amp;IF(WEEKDAY(C5324,Inputs!$C$76)&lt;=Inputs!$C$74," weekday"," weekend"),Utility_Rates!$C$28:$F$28,Inputs!$C$68)),"")</f>
      </c>
      <c r="H5324" s="34"/>
      <c r="I5324" s="42">
        <f>IF(AND(ISNUMBER(D5324),ISNUMBER(H5324)),D5324*H5324*Inputs!$C$69,"")</f>
      </c>
      <c r="J5324" s="42">
        <f>IF(AND(ISNUMBER(F5324),ISNUMBER(H5324),F5324&gt;=Inputs!$C$68),F5324*H5324*Inputs!$C$69,"")</f>
      </c>
    </row>
    <row r="5325" spans="2:10" ht="15" customHeight="1" x14ac:dyDescent="0.2">
      <c r="B5325" s="39">
        <f t="shared" si="40"/>
      </c>
      <c r="C5325" s="40">
        <f>IF(Inputs!$C$60,Inputs!$C$11+(B5325-Inputs!$C$69)/Inputs!$C$70,"")</f>
      </c>
      <c r="D5325" s="15"/>
      <c r="E5325" s="15"/>
      <c r="F5325" s="11">
        <f t="shared" si="41"/>
      </c>
      <c r="G5325" s="22" cm="1">
        <f t="array" ref="G5325">IF(AND(Inputs!$C$60,Inputs!$C$61),INDEX(Utility_Rates!$C$29:$F$52,HOUR(C5325)+Inputs!$C$69,MATCH(INDEX(Utility_Rates!$K$6:$K$17,MONTH(C5325))&amp;IF(WEEKDAY(C5325,Inputs!$C$76)&lt;=Inputs!$C$74," weekday"," weekend"),Utility_Rates!$C$28:$F$28,Inputs!$C$68)),"")</f>
      </c>
      <c r="H5325" s="34"/>
      <c r="I5325" s="42">
        <f>IF(AND(ISNUMBER(D5325),ISNUMBER(H5325)),D5325*H5325*Inputs!$C$69,"")</f>
      </c>
      <c r="J5325" s="42">
        <f>IF(AND(ISNUMBER(F5325),ISNUMBER(H5325),F5325&gt;=Inputs!$C$68),F5325*H5325*Inputs!$C$69,"")</f>
      </c>
    </row>
    <row r="5326" spans="2:10" ht="15" customHeight="1" x14ac:dyDescent="0.2">
      <c r="B5326" s="39">
        <f t="shared" si="40"/>
      </c>
      <c r="C5326" s="40">
        <f>IF(Inputs!$C$60,Inputs!$C$11+(B5326-Inputs!$C$69)/Inputs!$C$70,"")</f>
      </c>
      <c r="D5326" s="15"/>
      <c r="E5326" s="15"/>
      <c r="F5326" s="11">
        <f t="shared" si="41"/>
      </c>
      <c r="G5326" s="22" cm="1">
        <f t="array" ref="G5326">IF(AND(Inputs!$C$60,Inputs!$C$61),INDEX(Utility_Rates!$C$29:$F$52,HOUR(C5326)+Inputs!$C$69,MATCH(INDEX(Utility_Rates!$K$6:$K$17,MONTH(C5326))&amp;IF(WEEKDAY(C5326,Inputs!$C$76)&lt;=Inputs!$C$74," weekday"," weekend"),Utility_Rates!$C$28:$F$28,Inputs!$C$68)),"")</f>
      </c>
      <c r="H5326" s="34"/>
      <c r="I5326" s="42">
        <f>IF(AND(ISNUMBER(D5326),ISNUMBER(H5326)),D5326*H5326*Inputs!$C$69,"")</f>
      </c>
      <c r="J5326" s="42">
        <f>IF(AND(ISNUMBER(F5326),ISNUMBER(H5326),F5326&gt;=Inputs!$C$68),F5326*H5326*Inputs!$C$69,"")</f>
      </c>
    </row>
    <row r="5327" spans="2:10" ht="15" customHeight="1" x14ac:dyDescent="0.2">
      <c r="B5327" s="39">
        <f t="shared" si="40"/>
      </c>
      <c r="C5327" s="40">
        <f>IF(Inputs!$C$60,Inputs!$C$11+(B5327-Inputs!$C$69)/Inputs!$C$70,"")</f>
      </c>
      <c r="D5327" s="15"/>
      <c r="E5327" s="15"/>
      <c r="F5327" s="11">
        <f t="shared" si="41"/>
      </c>
      <c r="G5327" s="22" cm="1">
        <f t="array" ref="G5327">IF(AND(Inputs!$C$60,Inputs!$C$61),INDEX(Utility_Rates!$C$29:$F$52,HOUR(C5327)+Inputs!$C$69,MATCH(INDEX(Utility_Rates!$K$6:$K$17,MONTH(C5327))&amp;IF(WEEKDAY(C5327,Inputs!$C$76)&lt;=Inputs!$C$74," weekday"," weekend"),Utility_Rates!$C$28:$F$28,Inputs!$C$68)),"")</f>
      </c>
      <c r="H5327" s="34"/>
      <c r="I5327" s="42">
        <f>IF(AND(ISNUMBER(D5327),ISNUMBER(H5327)),D5327*H5327*Inputs!$C$69,"")</f>
      </c>
      <c r="J5327" s="42">
        <f>IF(AND(ISNUMBER(F5327),ISNUMBER(H5327),F5327&gt;=Inputs!$C$68),F5327*H5327*Inputs!$C$69,"")</f>
      </c>
    </row>
    <row r="5328" spans="2:10" ht="15" customHeight="1" x14ac:dyDescent="0.2">
      <c r="B5328" s="39">
        <f t="shared" si="40"/>
      </c>
      <c r="C5328" s="40">
        <f>IF(Inputs!$C$60,Inputs!$C$11+(B5328-Inputs!$C$69)/Inputs!$C$70,"")</f>
      </c>
      <c r="D5328" s="15"/>
      <c r="E5328" s="15"/>
      <c r="F5328" s="11">
        <f t="shared" si="41"/>
      </c>
      <c r="G5328" s="22" cm="1">
        <f t="array" ref="G5328">IF(AND(Inputs!$C$60,Inputs!$C$61),INDEX(Utility_Rates!$C$29:$F$52,HOUR(C5328)+Inputs!$C$69,MATCH(INDEX(Utility_Rates!$K$6:$K$17,MONTH(C5328))&amp;IF(WEEKDAY(C5328,Inputs!$C$76)&lt;=Inputs!$C$74," weekday"," weekend"),Utility_Rates!$C$28:$F$28,Inputs!$C$68)),"")</f>
      </c>
      <c r="H5328" s="34"/>
      <c r="I5328" s="42">
        <f>IF(AND(ISNUMBER(D5328),ISNUMBER(H5328)),D5328*H5328*Inputs!$C$69,"")</f>
      </c>
      <c r="J5328" s="42">
        <f>IF(AND(ISNUMBER(F5328),ISNUMBER(H5328),F5328&gt;=Inputs!$C$68),F5328*H5328*Inputs!$C$69,"")</f>
      </c>
    </row>
    <row r="5329" spans="2:10" ht="15" customHeight="1" x14ac:dyDescent="0.2">
      <c r="B5329" s="39">
        <f t="shared" si="40"/>
      </c>
      <c r="C5329" s="40">
        <f>IF(Inputs!$C$60,Inputs!$C$11+(B5329-Inputs!$C$69)/Inputs!$C$70,"")</f>
      </c>
      <c r="D5329" s="15"/>
      <c r="E5329" s="15"/>
      <c r="F5329" s="11">
        <f t="shared" si="41"/>
      </c>
      <c r="G5329" s="22" cm="1">
        <f t="array" ref="G5329">IF(AND(Inputs!$C$60,Inputs!$C$61),INDEX(Utility_Rates!$C$29:$F$52,HOUR(C5329)+Inputs!$C$69,MATCH(INDEX(Utility_Rates!$K$6:$K$17,MONTH(C5329))&amp;IF(WEEKDAY(C5329,Inputs!$C$76)&lt;=Inputs!$C$74," weekday"," weekend"),Utility_Rates!$C$28:$F$28,Inputs!$C$68)),"")</f>
      </c>
      <c r="H5329" s="34"/>
      <c r="I5329" s="42">
        <f>IF(AND(ISNUMBER(D5329),ISNUMBER(H5329)),D5329*H5329*Inputs!$C$69,"")</f>
      </c>
      <c r="J5329" s="42">
        <f>IF(AND(ISNUMBER(F5329),ISNUMBER(H5329),F5329&gt;=Inputs!$C$68),F5329*H5329*Inputs!$C$69,"")</f>
      </c>
    </row>
    <row r="5330" spans="2:10" ht="15" customHeight="1" x14ac:dyDescent="0.2">
      <c r="B5330" s="39">
        <f t="shared" si="40"/>
      </c>
      <c r="C5330" s="40">
        <f>IF(Inputs!$C$60,Inputs!$C$11+(B5330-Inputs!$C$69)/Inputs!$C$70,"")</f>
      </c>
      <c r="D5330" s="15"/>
      <c r="E5330" s="15"/>
      <c r="F5330" s="11">
        <f t="shared" si="41"/>
      </c>
      <c r="G5330" s="22" cm="1">
        <f t="array" ref="G5330">IF(AND(Inputs!$C$60,Inputs!$C$61),INDEX(Utility_Rates!$C$29:$F$52,HOUR(C5330)+Inputs!$C$69,MATCH(INDEX(Utility_Rates!$K$6:$K$17,MONTH(C5330))&amp;IF(WEEKDAY(C5330,Inputs!$C$76)&lt;=Inputs!$C$74," weekday"," weekend"),Utility_Rates!$C$28:$F$28,Inputs!$C$68)),"")</f>
      </c>
      <c r="H5330" s="34"/>
      <c r="I5330" s="42">
        <f>IF(AND(ISNUMBER(D5330),ISNUMBER(H5330)),D5330*H5330*Inputs!$C$69,"")</f>
      </c>
      <c r="J5330" s="42">
        <f>IF(AND(ISNUMBER(F5330),ISNUMBER(H5330),F5330&gt;=Inputs!$C$68),F5330*H5330*Inputs!$C$69,"")</f>
      </c>
    </row>
    <row r="5331" spans="2:10" ht="15" customHeight="1" x14ac:dyDescent="0.2">
      <c r="B5331" s="39">
        <f t="shared" si="40"/>
      </c>
      <c r="C5331" s="40">
        <f>IF(Inputs!$C$60,Inputs!$C$11+(B5331-Inputs!$C$69)/Inputs!$C$70,"")</f>
      </c>
      <c r="D5331" s="15"/>
      <c r="E5331" s="15"/>
      <c r="F5331" s="11">
        <f t="shared" si="41"/>
      </c>
      <c r="G5331" s="22" cm="1">
        <f t="array" ref="G5331">IF(AND(Inputs!$C$60,Inputs!$C$61),INDEX(Utility_Rates!$C$29:$F$52,HOUR(C5331)+Inputs!$C$69,MATCH(INDEX(Utility_Rates!$K$6:$K$17,MONTH(C5331))&amp;IF(WEEKDAY(C5331,Inputs!$C$76)&lt;=Inputs!$C$74," weekday"," weekend"),Utility_Rates!$C$28:$F$28,Inputs!$C$68)),"")</f>
      </c>
      <c r="H5331" s="34"/>
      <c r="I5331" s="42">
        <f>IF(AND(ISNUMBER(D5331),ISNUMBER(H5331)),D5331*H5331*Inputs!$C$69,"")</f>
      </c>
      <c r="J5331" s="42">
        <f>IF(AND(ISNUMBER(F5331),ISNUMBER(H5331),F5331&gt;=Inputs!$C$68),F5331*H5331*Inputs!$C$69,"")</f>
      </c>
    </row>
    <row r="5332" spans="2:10" ht="15" customHeight="1" x14ac:dyDescent="0.2">
      <c r="B5332" s="39">
        <f t="shared" si="40"/>
      </c>
      <c r="C5332" s="40">
        <f>IF(Inputs!$C$60,Inputs!$C$11+(B5332-Inputs!$C$69)/Inputs!$C$70,"")</f>
      </c>
      <c r="D5332" s="15"/>
      <c r="E5332" s="15"/>
      <c r="F5332" s="11">
        <f t="shared" si="41"/>
      </c>
      <c r="G5332" s="22" cm="1">
        <f t="array" ref="G5332">IF(AND(Inputs!$C$60,Inputs!$C$61),INDEX(Utility_Rates!$C$29:$F$52,HOUR(C5332)+Inputs!$C$69,MATCH(INDEX(Utility_Rates!$K$6:$K$17,MONTH(C5332))&amp;IF(WEEKDAY(C5332,Inputs!$C$76)&lt;=Inputs!$C$74," weekday"," weekend"),Utility_Rates!$C$28:$F$28,Inputs!$C$68)),"")</f>
      </c>
      <c r="H5332" s="34"/>
      <c r="I5332" s="42">
        <f>IF(AND(ISNUMBER(D5332),ISNUMBER(H5332)),D5332*H5332*Inputs!$C$69,"")</f>
      </c>
      <c r="J5332" s="42">
        <f>IF(AND(ISNUMBER(F5332),ISNUMBER(H5332),F5332&gt;=Inputs!$C$68),F5332*H5332*Inputs!$C$69,"")</f>
      </c>
    </row>
    <row r="5333" spans="2:10" ht="15" customHeight="1" x14ac:dyDescent="0.2">
      <c r="B5333" s="39">
        <f t="shared" si="40"/>
      </c>
      <c r="C5333" s="40">
        <f>IF(Inputs!$C$60,Inputs!$C$11+(B5333-Inputs!$C$69)/Inputs!$C$70,"")</f>
      </c>
      <c r="D5333" s="15"/>
      <c r="E5333" s="15"/>
      <c r="F5333" s="11">
        <f t="shared" si="41"/>
      </c>
      <c r="G5333" s="22" cm="1">
        <f t="array" ref="G5333">IF(AND(Inputs!$C$60,Inputs!$C$61),INDEX(Utility_Rates!$C$29:$F$52,HOUR(C5333)+Inputs!$C$69,MATCH(INDEX(Utility_Rates!$K$6:$K$17,MONTH(C5333))&amp;IF(WEEKDAY(C5333,Inputs!$C$76)&lt;=Inputs!$C$74," weekday"," weekend"),Utility_Rates!$C$28:$F$28,Inputs!$C$68)),"")</f>
      </c>
      <c r="H5333" s="34"/>
      <c r="I5333" s="42">
        <f>IF(AND(ISNUMBER(D5333),ISNUMBER(H5333)),D5333*H5333*Inputs!$C$69,"")</f>
      </c>
      <c r="J5333" s="42">
        <f>IF(AND(ISNUMBER(F5333),ISNUMBER(H5333),F5333&gt;=Inputs!$C$68),F5333*H5333*Inputs!$C$69,"")</f>
      </c>
    </row>
    <row r="5334" spans="2:10" ht="15" customHeight="1" x14ac:dyDescent="0.2">
      <c r="B5334" s="39">
        <f t="shared" si="40"/>
      </c>
      <c r="C5334" s="40">
        <f>IF(Inputs!$C$60,Inputs!$C$11+(B5334-Inputs!$C$69)/Inputs!$C$70,"")</f>
      </c>
      <c r="D5334" s="15"/>
      <c r="E5334" s="15"/>
      <c r="F5334" s="11">
        <f t="shared" si="41"/>
      </c>
      <c r="G5334" s="22" cm="1">
        <f t="array" ref="G5334">IF(AND(Inputs!$C$60,Inputs!$C$61),INDEX(Utility_Rates!$C$29:$F$52,HOUR(C5334)+Inputs!$C$69,MATCH(INDEX(Utility_Rates!$K$6:$K$17,MONTH(C5334))&amp;IF(WEEKDAY(C5334,Inputs!$C$76)&lt;=Inputs!$C$74," weekday"," weekend"),Utility_Rates!$C$28:$F$28,Inputs!$C$68)),"")</f>
      </c>
      <c r="H5334" s="34"/>
      <c r="I5334" s="42">
        <f>IF(AND(ISNUMBER(D5334),ISNUMBER(H5334)),D5334*H5334*Inputs!$C$69,"")</f>
      </c>
      <c r="J5334" s="42">
        <f>IF(AND(ISNUMBER(F5334),ISNUMBER(H5334),F5334&gt;=Inputs!$C$68),F5334*H5334*Inputs!$C$69,"")</f>
      </c>
    </row>
    <row r="5335" spans="2:10" ht="15" customHeight="1" x14ac:dyDescent="0.2">
      <c r="B5335" s="39">
        <f t="shared" si="40"/>
      </c>
      <c r="C5335" s="40">
        <f>IF(Inputs!$C$60,Inputs!$C$11+(B5335-Inputs!$C$69)/Inputs!$C$70,"")</f>
      </c>
      <c r="D5335" s="15"/>
      <c r="E5335" s="15"/>
      <c r="F5335" s="11">
        <f t="shared" si="41"/>
      </c>
      <c r="G5335" s="22" cm="1">
        <f t="array" ref="G5335">IF(AND(Inputs!$C$60,Inputs!$C$61),INDEX(Utility_Rates!$C$29:$F$52,HOUR(C5335)+Inputs!$C$69,MATCH(INDEX(Utility_Rates!$K$6:$K$17,MONTH(C5335))&amp;IF(WEEKDAY(C5335,Inputs!$C$76)&lt;=Inputs!$C$74," weekday"," weekend"),Utility_Rates!$C$28:$F$28,Inputs!$C$68)),"")</f>
      </c>
      <c r="H5335" s="34"/>
      <c r="I5335" s="42">
        <f>IF(AND(ISNUMBER(D5335),ISNUMBER(H5335)),D5335*H5335*Inputs!$C$69,"")</f>
      </c>
      <c r="J5335" s="42">
        <f>IF(AND(ISNUMBER(F5335),ISNUMBER(H5335),F5335&gt;=Inputs!$C$68),F5335*H5335*Inputs!$C$69,"")</f>
      </c>
    </row>
    <row r="5336" spans="2:10" ht="15" customHeight="1" x14ac:dyDescent="0.2">
      <c r="B5336" s="39">
        <f t="shared" si="40"/>
      </c>
      <c r="C5336" s="40">
        <f>IF(Inputs!$C$60,Inputs!$C$11+(B5336-Inputs!$C$69)/Inputs!$C$70,"")</f>
      </c>
      <c r="D5336" s="15"/>
      <c r="E5336" s="15"/>
      <c r="F5336" s="11">
        <f t="shared" si="41"/>
      </c>
      <c r="G5336" s="22" cm="1">
        <f t="array" ref="G5336">IF(AND(Inputs!$C$60,Inputs!$C$61),INDEX(Utility_Rates!$C$29:$F$52,HOUR(C5336)+Inputs!$C$69,MATCH(INDEX(Utility_Rates!$K$6:$K$17,MONTH(C5336))&amp;IF(WEEKDAY(C5336,Inputs!$C$76)&lt;=Inputs!$C$74," weekday"," weekend"),Utility_Rates!$C$28:$F$28,Inputs!$C$68)),"")</f>
      </c>
      <c r="H5336" s="34"/>
      <c r="I5336" s="42">
        <f>IF(AND(ISNUMBER(D5336),ISNUMBER(H5336)),D5336*H5336*Inputs!$C$69,"")</f>
      </c>
      <c r="J5336" s="42">
        <f>IF(AND(ISNUMBER(F5336),ISNUMBER(H5336),F5336&gt;=Inputs!$C$68),F5336*H5336*Inputs!$C$69,"")</f>
      </c>
    </row>
    <row r="5337" spans="2:10" ht="15" customHeight="1" x14ac:dyDescent="0.2">
      <c r="B5337" s="39">
        <f t="shared" si="40"/>
      </c>
      <c r="C5337" s="40">
        <f>IF(Inputs!$C$60,Inputs!$C$11+(B5337-Inputs!$C$69)/Inputs!$C$70,"")</f>
      </c>
      <c r="D5337" s="15"/>
      <c r="E5337" s="15"/>
      <c r="F5337" s="11">
        <f t="shared" si="41"/>
      </c>
      <c r="G5337" s="22" cm="1">
        <f t="array" ref="G5337">IF(AND(Inputs!$C$60,Inputs!$C$61),INDEX(Utility_Rates!$C$29:$F$52,HOUR(C5337)+Inputs!$C$69,MATCH(INDEX(Utility_Rates!$K$6:$K$17,MONTH(C5337))&amp;IF(WEEKDAY(C5337,Inputs!$C$76)&lt;=Inputs!$C$74," weekday"," weekend"),Utility_Rates!$C$28:$F$28,Inputs!$C$68)),"")</f>
      </c>
      <c r="H5337" s="34"/>
      <c r="I5337" s="42">
        <f>IF(AND(ISNUMBER(D5337),ISNUMBER(H5337)),D5337*H5337*Inputs!$C$69,"")</f>
      </c>
      <c r="J5337" s="42">
        <f>IF(AND(ISNUMBER(F5337),ISNUMBER(H5337),F5337&gt;=Inputs!$C$68),F5337*H5337*Inputs!$C$69,"")</f>
      </c>
    </row>
    <row r="5338" spans="2:10" ht="15" customHeight="1" x14ac:dyDescent="0.2">
      <c r="B5338" s="39">
        <f t="shared" si="40"/>
      </c>
      <c r="C5338" s="40">
        <f>IF(Inputs!$C$60,Inputs!$C$11+(B5338-Inputs!$C$69)/Inputs!$C$70,"")</f>
      </c>
      <c r="D5338" s="15"/>
      <c r="E5338" s="15"/>
      <c r="F5338" s="11">
        <f t="shared" si="41"/>
      </c>
      <c r="G5338" s="22" cm="1">
        <f t="array" ref="G5338">IF(AND(Inputs!$C$60,Inputs!$C$61),INDEX(Utility_Rates!$C$29:$F$52,HOUR(C5338)+Inputs!$C$69,MATCH(INDEX(Utility_Rates!$K$6:$K$17,MONTH(C5338))&amp;IF(WEEKDAY(C5338,Inputs!$C$76)&lt;=Inputs!$C$74," weekday"," weekend"),Utility_Rates!$C$28:$F$28,Inputs!$C$68)),"")</f>
      </c>
      <c r="H5338" s="34"/>
      <c r="I5338" s="42">
        <f>IF(AND(ISNUMBER(D5338),ISNUMBER(H5338)),D5338*H5338*Inputs!$C$69,"")</f>
      </c>
      <c r="J5338" s="42">
        <f>IF(AND(ISNUMBER(F5338),ISNUMBER(H5338),F5338&gt;=Inputs!$C$68),F5338*H5338*Inputs!$C$69,"")</f>
      </c>
    </row>
    <row r="5339" spans="2:10" ht="15" customHeight="1" x14ac:dyDescent="0.2">
      <c r="B5339" s="39">
        <f t="shared" si="40"/>
      </c>
      <c r="C5339" s="40">
        <f>IF(Inputs!$C$60,Inputs!$C$11+(B5339-Inputs!$C$69)/Inputs!$C$70,"")</f>
      </c>
      <c r="D5339" s="15"/>
      <c r="E5339" s="15"/>
      <c r="F5339" s="11">
        <f t="shared" si="41"/>
      </c>
      <c r="G5339" s="22" cm="1">
        <f t="array" ref="G5339">IF(AND(Inputs!$C$60,Inputs!$C$61),INDEX(Utility_Rates!$C$29:$F$52,HOUR(C5339)+Inputs!$C$69,MATCH(INDEX(Utility_Rates!$K$6:$K$17,MONTH(C5339))&amp;IF(WEEKDAY(C5339,Inputs!$C$76)&lt;=Inputs!$C$74," weekday"," weekend"),Utility_Rates!$C$28:$F$28,Inputs!$C$68)),"")</f>
      </c>
      <c r="H5339" s="34"/>
      <c r="I5339" s="42">
        <f>IF(AND(ISNUMBER(D5339),ISNUMBER(H5339)),D5339*H5339*Inputs!$C$69,"")</f>
      </c>
      <c r="J5339" s="42">
        <f>IF(AND(ISNUMBER(F5339),ISNUMBER(H5339),F5339&gt;=Inputs!$C$68),F5339*H5339*Inputs!$C$69,"")</f>
      </c>
    </row>
    <row r="5340" spans="2:10" ht="15" customHeight="1" x14ac:dyDescent="0.2">
      <c r="B5340" s="39">
        <f t="shared" si="40"/>
      </c>
      <c r="C5340" s="40">
        <f>IF(Inputs!$C$60,Inputs!$C$11+(B5340-Inputs!$C$69)/Inputs!$C$70,"")</f>
      </c>
      <c r="D5340" s="15"/>
      <c r="E5340" s="15"/>
      <c r="F5340" s="11">
        <f t="shared" si="41"/>
      </c>
      <c r="G5340" s="22" cm="1">
        <f t="array" ref="G5340">IF(AND(Inputs!$C$60,Inputs!$C$61),INDEX(Utility_Rates!$C$29:$F$52,HOUR(C5340)+Inputs!$C$69,MATCH(INDEX(Utility_Rates!$K$6:$K$17,MONTH(C5340))&amp;IF(WEEKDAY(C5340,Inputs!$C$76)&lt;=Inputs!$C$74," weekday"," weekend"),Utility_Rates!$C$28:$F$28,Inputs!$C$68)),"")</f>
      </c>
      <c r="H5340" s="34"/>
      <c r="I5340" s="42">
        <f>IF(AND(ISNUMBER(D5340),ISNUMBER(H5340)),D5340*H5340*Inputs!$C$69,"")</f>
      </c>
      <c r="J5340" s="42">
        <f>IF(AND(ISNUMBER(F5340),ISNUMBER(H5340),F5340&gt;=Inputs!$C$68),F5340*H5340*Inputs!$C$69,"")</f>
      </c>
    </row>
    <row r="5341" spans="2:10" ht="15" customHeight="1" x14ac:dyDescent="0.2">
      <c r="B5341" s="39">
        <f t="shared" si="40"/>
      </c>
      <c r="C5341" s="40">
        <f>IF(Inputs!$C$60,Inputs!$C$11+(B5341-Inputs!$C$69)/Inputs!$C$70,"")</f>
      </c>
      <c r="D5341" s="15"/>
      <c r="E5341" s="15"/>
      <c r="F5341" s="11">
        <f t="shared" si="41"/>
      </c>
      <c r="G5341" s="22" cm="1">
        <f t="array" ref="G5341">IF(AND(Inputs!$C$60,Inputs!$C$61),INDEX(Utility_Rates!$C$29:$F$52,HOUR(C5341)+Inputs!$C$69,MATCH(INDEX(Utility_Rates!$K$6:$K$17,MONTH(C5341))&amp;IF(WEEKDAY(C5341,Inputs!$C$76)&lt;=Inputs!$C$74," weekday"," weekend"),Utility_Rates!$C$28:$F$28,Inputs!$C$68)),"")</f>
      </c>
      <c r="H5341" s="34"/>
      <c r="I5341" s="42">
        <f>IF(AND(ISNUMBER(D5341),ISNUMBER(H5341)),D5341*H5341*Inputs!$C$69,"")</f>
      </c>
      <c r="J5341" s="42">
        <f>IF(AND(ISNUMBER(F5341),ISNUMBER(H5341),F5341&gt;=Inputs!$C$68),F5341*H5341*Inputs!$C$69,"")</f>
      </c>
    </row>
    <row r="5342" spans="2:10" ht="15" customHeight="1" x14ac:dyDescent="0.2">
      <c r="B5342" s="39">
        <f t="shared" si="40"/>
      </c>
      <c r="C5342" s="40">
        <f>IF(Inputs!$C$60,Inputs!$C$11+(B5342-Inputs!$C$69)/Inputs!$C$70,"")</f>
      </c>
      <c r="D5342" s="15"/>
      <c r="E5342" s="15"/>
      <c r="F5342" s="11">
        <f t="shared" si="41"/>
      </c>
      <c r="G5342" s="22" cm="1">
        <f t="array" ref="G5342">IF(AND(Inputs!$C$60,Inputs!$C$61),INDEX(Utility_Rates!$C$29:$F$52,HOUR(C5342)+Inputs!$C$69,MATCH(INDEX(Utility_Rates!$K$6:$K$17,MONTH(C5342))&amp;IF(WEEKDAY(C5342,Inputs!$C$76)&lt;=Inputs!$C$74," weekday"," weekend"),Utility_Rates!$C$28:$F$28,Inputs!$C$68)),"")</f>
      </c>
      <c r="H5342" s="34"/>
      <c r="I5342" s="42">
        <f>IF(AND(ISNUMBER(D5342),ISNUMBER(H5342)),D5342*H5342*Inputs!$C$69,"")</f>
      </c>
      <c r="J5342" s="42">
        <f>IF(AND(ISNUMBER(F5342),ISNUMBER(H5342),F5342&gt;=Inputs!$C$68),F5342*H5342*Inputs!$C$69,"")</f>
      </c>
    </row>
    <row r="5343" spans="2:10" ht="15" customHeight="1" x14ac:dyDescent="0.2">
      <c r="B5343" s="39">
        <f t="shared" si="40"/>
      </c>
      <c r="C5343" s="40">
        <f>IF(Inputs!$C$60,Inputs!$C$11+(B5343-Inputs!$C$69)/Inputs!$C$70,"")</f>
      </c>
      <c r="D5343" s="15"/>
      <c r="E5343" s="15"/>
      <c r="F5343" s="11">
        <f t="shared" si="41"/>
      </c>
      <c r="G5343" s="22" cm="1">
        <f t="array" ref="G5343">IF(AND(Inputs!$C$60,Inputs!$C$61),INDEX(Utility_Rates!$C$29:$F$52,HOUR(C5343)+Inputs!$C$69,MATCH(INDEX(Utility_Rates!$K$6:$K$17,MONTH(C5343))&amp;IF(WEEKDAY(C5343,Inputs!$C$76)&lt;=Inputs!$C$74," weekday"," weekend"),Utility_Rates!$C$28:$F$28,Inputs!$C$68)),"")</f>
      </c>
      <c r="H5343" s="34"/>
      <c r="I5343" s="42">
        <f>IF(AND(ISNUMBER(D5343),ISNUMBER(H5343)),D5343*H5343*Inputs!$C$69,"")</f>
      </c>
      <c r="J5343" s="42">
        <f>IF(AND(ISNUMBER(F5343),ISNUMBER(H5343),F5343&gt;=Inputs!$C$68),F5343*H5343*Inputs!$C$69,"")</f>
      </c>
    </row>
    <row r="5344" spans="2:10" ht="15" customHeight="1" x14ac:dyDescent="0.2">
      <c r="B5344" s="39">
        <f t="shared" si="40"/>
      </c>
      <c r="C5344" s="40">
        <f>IF(Inputs!$C$60,Inputs!$C$11+(B5344-Inputs!$C$69)/Inputs!$C$70,"")</f>
      </c>
      <c r="D5344" s="15"/>
      <c r="E5344" s="15"/>
      <c r="F5344" s="11">
        <f t="shared" si="41"/>
      </c>
      <c r="G5344" s="22" cm="1">
        <f t="array" ref="G5344">IF(AND(Inputs!$C$60,Inputs!$C$61),INDEX(Utility_Rates!$C$29:$F$52,HOUR(C5344)+Inputs!$C$69,MATCH(INDEX(Utility_Rates!$K$6:$K$17,MONTH(C5344))&amp;IF(WEEKDAY(C5344,Inputs!$C$76)&lt;=Inputs!$C$74," weekday"," weekend"),Utility_Rates!$C$28:$F$28,Inputs!$C$68)),"")</f>
      </c>
      <c r="H5344" s="34"/>
      <c r="I5344" s="42">
        <f>IF(AND(ISNUMBER(D5344),ISNUMBER(H5344)),D5344*H5344*Inputs!$C$69,"")</f>
      </c>
      <c r="J5344" s="42">
        <f>IF(AND(ISNUMBER(F5344),ISNUMBER(H5344),F5344&gt;=Inputs!$C$68),F5344*H5344*Inputs!$C$69,"")</f>
      </c>
    </row>
    <row r="5345" spans="2:10" ht="15" customHeight="1" x14ac:dyDescent="0.2">
      <c r="B5345" s="39">
        <f t="shared" si="40"/>
      </c>
      <c r="C5345" s="40">
        <f>IF(Inputs!$C$60,Inputs!$C$11+(B5345-Inputs!$C$69)/Inputs!$C$70,"")</f>
      </c>
      <c r="D5345" s="15"/>
      <c r="E5345" s="15"/>
      <c r="F5345" s="11">
        <f t="shared" si="41"/>
      </c>
      <c r="G5345" s="22" cm="1">
        <f t="array" ref="G5345">IF(AND(Inputs!$C$60,Inputs!$C$61),INDEX(Utility_Rates!$C$29:$F$52,HOUR(C5345)+Inputs!$C$69,MATCH(INDEX(Utility_Rates!$K$6:$K$17,MONTH(C5345))&amp;IF(WEEKDAY(C5345,Inputs!$C$76)&lt;=Inputs!$C$74," weekday"," weekend"),Utility_Rates!$C$28:$F$28,Inputs!$C$68)),"")</f>
      </c>
      <c r="H5345" s="34"/>
      <c r="I5345" s="42">
        <f>IF(AND(ISNUMBER(D5345),ISNUMBER(H5345)),D5345*H5345*Inputs!$C$69,"")</f>
      </c>
      <c r="J5345" s="42">
        <f>IF(AND(ISNUMBER(F5345),ISNUMBER(H5345),F5345&gt;=Inputs!$C$68),F5345*H5345*Inputs!$C$69,"")</f>
      </c>
    </row>
    <row r="5346" spans="2:10" ht="15" customHeight="1" x14ac:dyDescent="0.2">
      <c r="B5346" s="39">
        <f t="shared" si="40"/>
      </c>
      <c r="C5346" s="40">
        <f>IF(Inputs!$C$60,Inputs!$C$11+(B5346-Inputs!$C$69)/Inputs!$C$70,"")</f>
      </c>
      <c r="D5346" s="15"/>
      <c r="E5346" s="15"/>
      <c r="F5346" s="11">
        <f t="shared" si="41"/>
      </c>
      <c r="G5346" s="22" cm="1">
        <f t="array" ref="G5346">IF(AND(Inputs!$C$60,Inputs!$C$61),INDEX(Utility_Rates!$C$29:$F$52,HOUR(C5346)+Inputs!$C$69,MATCH(INDEX(Utility_Rates!$K$6:$K$17,MONTH(C5346))&amp;IF(WEEKDAY(C5346,Inputs!$C$76)&lt;=Inputs!$C$74," weekday"," weekend"),Utility_Rates!$C$28:$F$28,Inputs!$C$68)),"")</f>
      </c>
      <c r="H5346" s="34"/>
      <c r="I5346" s="42">
        <f>IF(AND(ISNUMBER(D5346),ISNUMBER(H5346)),D5346*H5346*Inputs!$C$69,"")</f>
      </c>
      <c r="J5346" s="42">
        <f>IF(AND(ISNUMBER(F5346),ISNUMBER(H5346),F5346&gt;=Inputs!$C$68),F5346*H5346*Inputs!$C$69,"")</f>
      </c>
    </row>
    <row r="5347" spans="2:10" ht="15" customHeight="1" x14ac:dyDescent="0.2">
      <c r="B5347" s="39">
        <f t="shared" si="40"/>
      </c>
      <c r="C5347" s="40">
        <f>IF(Inputs!$C$60,Inputs!$C$11+(B5347-Inputs!$C$69)/Inputs!$C$70,"")</f>
      </c>
      <c r="D5347" s="15"/>
      <c r="E5347" s="15"/>
      <c r="F5347" s="11">
        <f t="shared" si="41"/>
      </c>
      <c r="G5347" s="22" cm="1">
        <f t="array" ref="G5347">IF(AND(Inputs!$C$60,Inputs!$C$61),INDEX(Utility_Rates!$C$29:$F$52,HOUR(C5347)+Inputs!$C$69,MATCH(INDEX(Utility_Rates!$K$6:$K$17,MONTH(C5347))&amp;IF(WEEKDAY(C5347,Inputs!$C$76)&lt;=Inputs!$C$74," weekday"," weekend"),Utility_Rates!$C$28:$F$28,Inputs!$C$68)),"")</f>
      </c>
      <c r="H5347" s="34"/>
      <c r="I5347" s="42">
        <f>IF(AND(ISNUMBER(D5347),ISNUMBER(H5347)),D5347*H5347*Inputs!$C$69,"")</f>
      </c>
      <c r="J5347" s="42">
        <f>IF(AND(ISNUMBER(F5347),ISNUMBER(H5347),F5347&gt;=Inputs!$C$68),F5347*H5347*Inputs!$C$69,"")</f>
      </c>
    </row>
    <row r="5348" spans="2:10" ht="15" customHeight="1" x14ac:dyDescent="0.2">
      <c r="B5348" s="39">
        <f t="shared" si="40"/>
      </c>
      <c r="C5348" s="40">
        <f>IF(Inputs!$C$60,Inputs!$C$11+(B5348-Inputs!$C$69)/Inputs!$C$70,"")</f>
      </c>
      <c r="D5348" s="15"/>
      <c r="E5348" s="15"/>
      <c r="F5348" s="11">
        <f t="shared" si="41"/>
      </c>
      <c r="G5348" s="22" cm="1">
        <f t="array" ref="G5348">IF(AND(Inputs!$C$60,Inputs!$C$61),INDEX(Utility_Rates!$C$29:$F$52,HOUR(C5348)+Inputs!$C$69,MATCH(INDEX(Utility_Rates!$K$6:$K$17,MONTH(C5348))&amp;IF(WEEKDAY(C5348,Inputs!$C$76)&lt;=Inputs!$C$74," weekday"," weekend"),Utility_Rates!$C$28:$F$28,Inputs!$C$68)),"")</f>
      </c>
      <c r="H5348" s="34"/>
      <c r="I5348" s="42">
        <f>IF(AND(ISNUMBER(D5348),ISNUMBER(H5348)),D5348*H5348*Inputs!$C$69,"")</f>
      </c>
      <c r="J5348" s="42">
        <f>IF(AND(ISNUMBER(F5348),ISNUMBER(H5348),F5348&gt;=Inputs!$C$68),F5348*H5348*Inputs!$C$69,"")</f>
      </c>
    </row>
    <row r="5349" spans="2:10" ht="15" customHeight="1" x14ac:dyDescent="0.2">
      <c r="B5349" s="39">
        <f t="shared" si="40"/>
      </c>
      <c r="C5349" s="40">
        <f>IF(Inputs!$C$60,Inputs!$C$11+(B5349-Inputs!$C$69)/Inputs!$C$70,"")</f>
      </c>
      <c r="D5349" s="15"/>
      <c r="E5349" s="15"/>
      <c r="F5349" s="11">
        <f t="shared" si="41"/>
      </c>
      <c r="G5349" s="22" cm="1">
        <f t="array" ref="G5349">IF(AND(Inputs!$C$60,Inputs!$C$61),INDEX(Utility_Rates!$C$29:$F$52,HOUR(C5349)+Inputs!$C$69,MATCH(INDEX(Utility_Rates!$K$6:$K$17,MONTH(C5349))&amp;IF(WEEKDAY(C5349,Inputs!$C$76)&lt;=Inputs!$C$74," weekday"," weekend"),Utility_Rates!$C$28:$F$28,Inputs!$C$68)),"")</f>
      </c>
      <c r="H5349" s="34"/>
      <c r="I5349" s="42">
        <f>IF(AND(ISNUMBER(D5349),ISNUMBER(H5349)),D5349*H5349*Inputs!$C$69,"")</f>
      </c>
      <c r="J5349" s="42">
        <f>IF(AND(ISNUMBER(F5349),ISNUMBER(H5349),F5349&gt;=Inputs!$C$68),F5349*H5349*Inputs!$C$69,"")</f>
      </c>
    </row>
    <row r="5350" spans="2:10" ht="15" customHeight="1" x14ac:dyDescent="0.2">
      <c r="B5350" s="39">
        <f t="shared" si="40"/>
      </c>
      <c r="C5350" s="40">
        <f>IF(Inputs!$C$60,Inputs!$C$11+(B5350-Inputs!$C$69)/Inputs!$C$70,"")</f>
      </c>
      <c r="D5350" s="15"/>
      <c r="E5350" s="15"/>
      <c r="F5350" s="11">
        <f t="shared" si="41"/>
      </c>
      <c r="G5350" s="22" cm="1">
        <f t="array" ref="G5350">IF(AND(Inputs!$C$60,Inputs!$C$61),INDEX(Utility_Rates!$C$29:$F$52,HOUR(C5350)+Inputs!$C$69,MATCH(INDEX(Utility_Rates!$K$6:$K$17,MONTH(C5350))&amp;IF(WEEKDAY(C5350,Inputs!$C$76)&lt;=Inputs!$C$74," weekday"," weekend"),Utility_Rates!$C$28:$F$28,Inputs!$C$68)),"")</f>
      </c>
      <c r="H5350" s="34"/>
      <c r="I5350" s="42">
        <f>IF(AND(ISNUMBER(D5350),ISNUMBER(H5350)),D5350*H5350*Inputs!$C$69,"")</f>
      </c>
      <c r="J5350" s="42">
        <f>IF(AND(ISNUMBER(F5350),ISNUMBER(H5350),F5350&gt;=Inputs!$C$68),F5350*H5350*Inputs!$C$69,"")</f>
      </c>
    </row>
    <row r="5351" spans="2:10" ht="15" customHeight="1" x14ac:dyDescent="0.2">
      <c r="B5351" s="39">
        <f t="shared" si="40"/>
      </c>
      <c r="C5351" s="40">
        <f>IF(Inputs!$C$60,Inputs!$C$11+(B5351-Inputs!$C$69)/Inputs!$C$70,"")</f>
      </c>
      <c r="D5351" s="15"/>
      <c r="E5351" s="15"/>
      <c r="F5351" s="11">
        <f t="shared" si="41"/>
      </c>
      <c r="G5351" s="22" cm="1">
        <f t="array" ref="G5351">IF(AND(Inputs!$C$60,Inputs!$C$61),INDEX(Utility_Rates!$C$29:$F$52,HOUR(C5351)+Inputs!$C$69,MATCH(INDEX(Utility_Rates!$K$6:$K$17,MONTH(C5351))&amp;IF(WEEKDAY(C5351,Inputs!$C$76)&lt;=Inputs!$C$74," weekday"," weekend"),Utility_Rates!$C$28:$F$28,Inputs!$C$68)),"")</f>
      </c>
      <c r="H5351" s="34"/>
      <c r="I5351" s="42">
        <f>IF(AND(ISNUMBER(D5351),ISNUMBER(H5351)),D5351*H5351*Inputs!$C$69,"")</f>
      </c>
      <c r="J5351" s="42">
        <f>IF(AND(ISNUMBER(F5351),ISNUMBER(H5351),F5351&gt;=Inputs!$C$68),F5351*H5351*Inputs!$C$69,"")</f>
      </c>
    </row>
    <row r="5352" spans="2:10" ht="15" customHeight="1" x14ac:dyDescent="0.2">
      <c r="B5352" s="39">
        <f t="shared" si="40"/>
      </c>
      <c r="C5352" s="40">
        <f>IF(Inputs!$C$60,Inputs!$C$11+(B5352-Inputs!$C$69)/Inputs!$C$70,"")</f>
      </c>
      <c r="D5352" s="15"/>
      <c r="E5352" s="15"/>
      <c r="F5352" s="11">
        <f t="shared" si="41"/>
      </c>
      <c r="G5352" s="22" cm="1">
        <f t="array" ref="G5352">IF(AND(Inputs!$C$60,Inputs!$C$61),INDEX(Utility_Rates!$C$29:$F$52,HOUR(C5352)+Inputs!$C$69,MATCH(INDEX(Utility_Rates!$K$6:$K$17,MONTH(C5352))&amp;IF(WEEKDAY(C5352,Inputs!$C$76)&lt;=Inputs!$C$74," weekday"," weekend"),Utility_Rates!$C$28:$F$28,Inputs!$C$68)),"")</f>
      </c>
      <c r="H5352" s="34"/>
      <c r="I5352" s="42">
        <f>IF(AND(ISNUMBER(D5352),ISNUMBER(H5352)),D5352*H5352*Inputs!$C$69,"")</f>
      </c>
      <c r="J5352" s="42">
        <f>IF(AND(ISNUMBER(F5352),ISNUMBER(H5352),F5352&gt;=Inputs!$C$68),F5352*H5352*Inputs!$C$69,"")</f>
      </c>
    </row>
    <row r="5353" spans="2:10" ht="15" customHeight="1" x14ac:dyDescent="0.2">
      <c r="B5353" s="39">
        <f t="shared" si="40"/>
      </c>
      <c r="C5353" s="40">
        <f>IF(Inputs!$C$60,Inputs!$C$11+(B5353-Inputs!$C$69)/Inputs!$C$70,"")</f>
      </c>
      <c r="D5353" s="15"/>
      <c r="E5353" s="15"/>
      <c r="F5353" s="11">
        <f t="shared" si="41"/>
      </c>
      <c r="G5353" s="22" cm="1">
        <f t="array" ref="G5353">IF(AND(Inputs!$C$60,Inputs!$C$61),INDEX(Utility_Rates!$C$29:$F$52,HOUR(C5353)+Inputs!$C$69,MATCH(INDEX(Utility_Rates!$K$6:$K$17,MONTH(C5353))&amp;IF(WEEKDAY(C5353,Inputs!$C$76)&lt;=Inputs!$C$74," weekday"," weekend"),Utility_Rates!$C$28:$F$28,Inputs!$C$68)),"")</f>
      </c>
      <c r="H5353" s="34"/>
      <c r="I5353" s="42">
        <f>IF(AND(ISNUMBER(D5353),ISNUMBER(H5353)),D5353*H5353*Inputs!$C$69,"")</f>
      </c>
      <c r="J5353" s="42">
        <f>IF(AND(ISNUMBER(F5353),ISNUMBER(H5353),F5353&gt;=Inputs!$C$68),F5353*H5353*Inputs!$C$69,"")</f>
      </c>
    </row>
    <row r="5354" spans="2:10" ht="15" customHeight="1" x14ac:dyDescent="0.2">
      <c r="B5354" s="39">
        <f t="shared" si="40"/>
      </c>
      <c r="C5354" s="40">
        <f>IF(Inputs!$C$60,Inputs!$C$11+(B5354-Inputs!$C$69)/Inputs!$C$70,"")</f>
      </c>
      <c r="D5354" s="15"/>
      <c r="E5354" s="15"/>
      <c r="F5354" s="11">
        <f t="shared" si="41"/>
      </c>
      <c r="G5354" s="22" cm="1">
        <f t="array" ref="G5354">IF(AND(Inputs!$C$60,Inputs!$C$61),INDEX(Utility_Rates!$C$29:$F$52,HOUR(C5354)+Inputs!$C$69,MATCH(INDEX(Utility_Rates!$K$6:$K$17,MONTH(C5354))&amp;IF(WEEKDAY(C5354,Inputs!$C$76)&lt;=Inputs!$C$74," weekday"," weekend"),Utility_Rates!$C$28:$F$28,Inputs!$C$68)),"")</f>
      </c>
      <c r="H5354" s="34"/>
      <c r="I5354" s="42">
        <f>IF(AND(ISNUMBER(D5354),ISNUMBER(H5354)),D5354*H5354*Inputs!$C$69,"")</f>
      </c>
      <c r="J5354" s="42">
        <f>IF(AND(ISNUMBER(F5354),ISNUMBER(H5354),F5354&gt;=Inputs!$C$68),F5354*H5354*Inputs!$C$69,"")</f>
      </c>
    </row>
    <row r="5355" spans="2:10" ht="15" customHeight="1" x14ac:dyDescent="0.2">
      <c r="B5355" s="39">
        <f t="shared" si="40"/>
      </c>
      <c r="C5355" s="40">
        <f>IF(Inputs!$C$60,Inputs!$C$11+(B5355-Inputs!$C$69)/Inputs!$C$70,"")</f>
      </c>
      <c r="D5355" s="15"/>
      <c r="E5355" s="15"/>
      <c r="F5355" s="11">
        <f t="shared" si="41"/>
      </c>
      <c r="G5355" s="22" cm="1">
        <f t="array" ref="G5355">IF(AND(Inputs!$C$60,Inputs!$C$61),INDEX(Utility_Rates!$C$29:$F$52,HOUR(C5355)+Inputs!$C$69,MATCH(INDEX(Utility_Rates!$K$6:$K$17,MONTH(C5355))&amp;IF(WEEKDAY(C5355,Inputs!$C$76)&lt;=Inputs!$C$74," weekday"," weekend"),Utility_Rates!$C$28:$F$28,Inputs!$C$68)),"")</f>
      </c>
      <c r="H5355" s="34"/>
      <c r="I5355" s="42">
        <f>IF(AND(ISNUMBER(D5355),ISNUMBER(H5355)),D5355*H5355*Inputs!$C$69,"")</f>
      </c>
      <c r="J5355" s="42">
        <f>IF(AND(ISNUMBER(F5355),ISNUMBER(H5355),F5355&gt;=Inputs!$C$68),F5355*H5355*Inputs!$C$69,"")</f>
      </c>
    </row>
    <row r="5356" spans="2:10" ht="15" customHeight="1" x14ac:dyDescent="0.2">
      <c r="B5356" s="39">
        <f t="shared" si="40"/>
      </c>
      <c r="C5356" s="40">
        <f>IF(Inputs!$C$60,Inputs!$C$11+(B5356-Inputs!$C$69)/Inputs!$C$70,"")</f>
      </c>
      <c r="D5356" s="15"/>
      <c r="E5356" s="15"/>
      <c r="F5356" s="11">
        <f t="shared" si="41"/>
      </c>
      <c r="G5356" s="22" cm="1">
        <f t="array" ref="G5356">IF(AND(Inputs!$C$60,Inputs!$C$61),INDEX(Utility_Rates!$C$29:$F$52,HOUR(C5356)+Inputs!$C$69,MATCH(INDEX(Utility_Rates!$K$6:$K$17,MONTH(C5356))&amp;IF(WEEKDAY(C5356,Inputs!$C$76)&lt;=Inputs!$C$74," weekday"," weekend"),Utility_Rates!$C$28:$F$28,Inputs!$C$68)),"")</f>
      </c>
      <c r="H5356" s="34"/>
      <c r="I5356" s="42">
        <f>IF(AND(ISNUMBER(D5356),ISNUMBER(H5356)),D5356*H5356*Inputs!$C$69,"")</f>
      </c>
      <c r="J5356" s="42">
        <f>IF(AND(ISNUMBER(F5356),ISNUMBER(H5356),F5356&gt;=Inputs!$C$68),F5356*H5356*Inputs!$C$69,"")</f>
      </c>
    </row>
    <row r="5357" spans="2:10" ht="15" customHeight="1" x14ac:dyDescent="0.2">
      <c r="B5357" s="39">
        <f t="shared" si="40"/>
      </c>
      <c r="C5357" s="40">
        <f>IF(Inputs!$C$60,Inputs!$C$11+(B5357-Inputs!$C$69)/Inputs!$C$70,"")</f>
      </c>
      <c r="D5357" s="15"/>
      <c r="E5357" s="15"/>
      <c r="F5357" s="11">
        <f t="shared" si="41"/>
      </c>
      <c r="G5357" s="22" cm="1">
        <f t="array" ref="G5357">IF(AND(Inputs!$C$60,Inputs!$C$61),INDEX(Utility_Rates!$C$29:$F$52,HOUR(C5357)+Inputs!$C$69,MATCH(INDEX(Utility_Rates!$K$6:$K$17,MONTH(C5357))&amp;IF(WEEKDAY(C5357,Inputs!$C$76)&lt;=Inputs!$C$74," weekday"," weekend"),Utility_Rates!$C$28:$F$28,Inputs!$C$68)),"")</f>
      </c>
      <c r="H5357" s="34"/>
      <c r="I5357" s="42">
        <f>IF(AND(ISNUMBER(D5357),ISNUMBER(H5357)),D5357*H5357*Inputs!$C$69,"")</f>
      </c>
      <c r="J5357" s="42">
        <f>IF(AND(ISNUMBER(F5357),ISNUMBER(H5357),F5357&gt;=Inputs!$C$68),F5357*H5357*Inputs!$C$69,"")</f>
      </c>
    </row>
    <row r="5358" spans="2:10" ht="15" customHeight="1" x14ac:dyDescent="0.2">
      <c r="B5358" s="39">
        <f t="shared" si="40"/>
      </c>
      <c r="C5358" s="40">
        <f>IF(Inputs!$C$60,Inputs!$C$11+(B5358-Inputs!$C$69)/Inputs!$C$70,"")</f>
      </c>
      <c r="D5358" s="15"/>
      <c r="E5358" s="15"/>
      <c r="F5358" s="11">
        <f t="shared" si="41"/>
      </c>
      <c r="G5358" s="22" cm="1">
        <f t="array" ref="G5358">IF(AND(Inputs!$C$60,Inputs!$C$61),INDEX(Utility_Rates!$C$29:$F$52,HOUR(C5358)+Inputs!$C$69,MATCH(INDEX(Utility_Rates!$K$6:$K$17,MONTH(C5358))&amp;IF(WEEKDAY(C5358,Inputs!$C$76)&lt;=Inputs!$C$74," weekday"," weekend"),Utility_Rates!$C$28:$F$28,Inputs!$C$68)),"")</f>
      </c>
      <c r="H5358" s="34"/>
      <c r="I5358" s="42">
        <f>IF(AND(ISNUMBER(D5358),ISNUMBER(H5358)),D5358*H5358*Inputs!$C$69,"")</f>
      </c>
      <c r="J5358" s="42">
        <f>IF(AND(ISNUMBER(F5358),ISNUMBER(H5358),F5358&gt;=Inputs!$C$68),F5358*H5358*Inputs!$C$69,"")</f>
      </c>
    </row>
    <row r="5359" spans="2:10" ht="15" customHeight="1" x14ac:dyDescent="0.2">
      <c r="B5359" s="39">
        <f t="shared" si="40"/>
      </c>
      <c r="C5359" s="40">
        <f>IF(Inputs!$C$60,Inputs!$C$11+(B5359-Inputs!$C$69)/Inputs!$C$70,"")</f>
      </c>
      <c r="D5359" s="15"/>
      <c r="E5359" s="15"/>
      <c r="F5359" s="11">
        <f t="shared" si="41"/>
      </c>
      <c r="G5359" s="22" cm="1">
        <f t="array" ref="G5359">IF(AND(Inputs!$C$60,Inputs!$C$61),INDEX(Utility_Rates!$C$29:$F$52,HOUR(C5359)+Inputs!$C$69,MATCH(INDEX(Utility_Rates!$K$6:$K$17,MONTH(C5359))&amp;IF(WEEKDAY(C5359,Inputs!$C$76)&lt;=Inputs!$C$74," weekday"," weekend"),Utility_Rates!$C$28:$F$28,Inputs!$C$68)),"")</f>
      </c>
      <c r="H5359" s="34"/>
      <c r="I5359" s="42">
        <f>IF(AND(ISNUMBER(D5359),ISNUMBER(H5359)),D5359*H5359*Inputs!$C$69,"")</f>
      </c>
      <c r="J5359" s="42">
        <f>IF(AND(ISNUMBER(F5359),ISNUMBER(H5359),F5359&gt;=Inputs!$C$68),F5359*H5359*Inputs!$C$69,"")</f>
      </c>
    </row>
    <row r="5360" spans="2:10" ht="15" customHeight="1" x14ac:dyDescent="0.2">
      <c r="B5360" s="39">
        <f t="shared" si="40"/>
      </c>
      <c r="C5360" s="40">
        <f>IF(Inputs!$C$60,Inputs!$C$11+(B5360-Inputs!$C$69)/Inputs!$C$70,"")</f>
      </c>
      <c r="D5360" s="15"/>
      <c r="E5360" s="15"/>
      <c r="F5360" s="11">
        <f t="shared" si="41"/>
      </c>
      <c r="G5360" s="22" cm="1">
        <f t="array" ref="G5360">IF(AND(Inputs!$C$60,Inputs!$C$61),INDEX(Utility_Rates!$C$29:$F$52,HOUR(C5360)+Inputs!$C$69,MATCH(INDEX(Utility_Rates!$K$6:$K$17,MONTH(C5360))&amp;IF(WEEKDAY(C5360,Inputs!$C$76)&lt;=Inputs!$C$74," weekday"," weekend"),Utility_Rates!$C$28:$F$28,Inputs!$C$68)),"")</f>
      </c>
      <c r="H5360" s="34"/>
      <c r="I5360" s="42">
        <f>IF(AND(ISNUMBER(D5360),ISNUMBER(H5360)),D5360*H5360*Inputs!$C$69,"")</f>
      </c>
      <c r="J5360" s="42">
        <f>IF(AND(ISNUMBER(F5360),ISNUMBER(H5360),F5360&gt;=Inputs!$C$68),F5360*H5360*Inputs!$C$69,"")</f>
      </c>
    </row>
    <row r="5361" spans="2:10" ht="15" customHeight="1" x14ac:dyDescent="0.2">
      <c r="B5361" s="39">
        <f t="shared" ref="B5361:B5615" si="42">ROW()-ROW($B$5)</f>
      </c>
      <c r="C5361" s="40">
        <f>IF(Inputs!$C$60,Inputs!$C$11+(B5361-Inputs!$C$69)/Inputs!$C$70,"")</f>
      </c>
      <c r="D5361" s="15"/>
      <c r="E5361" s="15"/>
      <c r="F5361" s="11">
        <f t="shared" ref="F5361:F5615" si="43">IF(COUNT(D5361:E5361)=COLUMNS(D5361:E5361),D5361-E5361,"")</f>
      </c>
      <c r="G5361" s="22" cm="1">
        <f t="array" ref="G5361">IF(AND(Inputs!$C$60,Inputs!$C$61),INDEX(Utility_Rates!$C$29:$F$52,HOUR(C5361)+Inputs!$C$69,MATCH(INDEX(Utility_Rates!$K$6:$K$17,MONTH(C5361))&amp;IF(WEEKDAY(C5361,Inputs!$C$76)&lt;=Inputs!$C$74," weekday"," weekend"),Utility_Rates!$C$28:$F$28,Inputs!$C$68)),"")</f>
      </c>
      <c r="H5361" s="34"/>
      <c r="I5361" s="42">
        <f>IF(AND(ISNUMBER(D5361),ISNUMBER(H5361)),D5361*H5361*Inputs!$C$69,"")</f>
      </c>
      <c r="J5361" s="42">
        <f>IF(AND(ISNUMBER(F5361),ISNUMBER(H5361),F5361&gt;=Inputs!$C$68),F5361*H5361*Inputs!$C$69,"")</f>
      </c>
    </row>
    <row r="5362" spans="2:10" ht="15" customHeight="1" x14ac:dyDescent="0.2">
      <c r="B5362" s="39">
        <f t="shared" si="42"/>
      </c>
      <c r="C5362" s="40">
        <f>IF(Inputs!$C$60,Inputs!$C$11+(B5362-Inputs!$C$69)/Inputs!$C$70,"")</f>
      </c>
      <c r="D5362" s="15"/>
      <c r="E5362" s="15"/>
      <c r="F5362" s="11">
        <f t="shared" si="43"/>
      </c>
      <c r="G5362" s="22" cm="1">
        <f t="array" ref="G5362">IF(AND(Inputs!$C$60,Inputs!$C$61),INDEX(Utility_Rates!$C$29:$F$52,HOUR(C5362)+Inputs!$C$69,MATCH(INDEX(Utility_Rates!$K$6:$K$17,MONTH(C5362))&amp;IF(WEEKDAY(C5362,Inputs!$C$76)&lt;=Inputs!$C$74," weekday"," weekend"),Utility_Rates!$C$28:$F$28,Inputs!$C$68)),"")</f>
      </c>
      <c r="H5362" s="34"/>
      <c r="I5362" s="42">
        <f>IF(AND(ISNUMBER(D5362),ISNUMBER(H5362)),D5362*H5362*Inputs!$C$69,"")</f>
      </c>
      <c r="J5362" s="42">
        <f>IF(AND(ISNUMBER(F5362),ISNUMBER(H5362),F5362&gt;=Inputs!$C$68),F5362*H5362*Inputs!$C$69,"")</f>
      </c>
    </row>
    <row r="5363" spans="2:10" ht="15" customHeight="1" x14ac:dyDescent="0.2">
      <c r="B5363" s="39">
        <f t="shared" si="42"/>
      </c>
      <c r="C5363" s="40">
        <f>IF(Inputs!$C$60,Inputs!$C$11+(B5363-Inputs!$C$69)/Inputs!$C$70,"")</f>
      </c>
      <c r="D5363" s="15"/>
      <c r="E5363" s="15"/>
      <c r="F5363" s="11">
        <f t="shared" si="43"/>
      </c>
      <c r="G5363" s="22" cm="1">
        <f t="array" ref="G5363">IF(AND(Inputs!$C$60,Inputs!$C$61),INDEX(Utility_Rates!$C$29:$F$52,HOUR(C5363)+Inputs!$C$69,MATCH(INDEX(Utility_Rates!$K$6:$K$17,MONTH(C5363))&amp;IF(WEEKDAY(C5363,Inputs!$C$76)&lt;=Inputs!$C$74," weekday"," weekend"),Utility_Rates!$C$28:$F$28,Inputs!$C$68)),"")</f>
      </c>
      <c r="H5363" s="34"/>
      <c r="I5363" s="42">
        <f>IF(AND(ISNUMBER(D5363),ISNUMBER(H5363)),D5363*H5363*Inputs!$C$69,"")</f>
      </c>
      <c r="J5363" s="42">
        <f>IF(AND(ISNUMBER(F5363),ISNUMBER(H5363),F5363&gt;=Inputs!$C$68),F5363*H5363*Inputs!$C$69,"")</f>
      </c>
    </row>
    <row r="5364" spans="2:10" ht="15" customHeight="1" x14ac:dyDescent="0.2">
      <c r="B5364" s="39">
        <f t="shared" si="42"/>
      </c>
      <c r="C5364" s="40">
        <f>IF(Inputs!$C$60,Inputs!$C$11+(B5364-Inputs!$C$69)/Inputs!$C$70,"")</f>
      </c>
      <c r="D5364" s="15"/>
      <c r="E5364" s="15"/>
      <c r="F5364" s="11">
        <f t="shared" si="43"/>
      </c>
      <c r="G5364" s="22" cm="1">
        <f t="array" ref="G5364">IF(AND(Inputs!$C$60,Inputs!$C$61),INDEX(Utility_Rates!$C$29:$F$52,HOUR(C5364)+Inputs!$C$69,MATCH(INDEX(Utility_Rates!$K$6:$K$17,MONTH(C5364))&amp;IF(WEEKDAY(C5364,Inputs!$C$76)&lt;=Inputs!$C$74," weekday"," weekend"),Utility_Rates!$C$28:$F$28,Inputs!$C$68)),"")</f>
      </c>
      <c r="H5364" s="34"/>
      <c r="I5364" s="42">
        <f>IF(AND(ISNUMBER(D5364),ISNUMBER(H5364)),D5364*H5364*Inputs!$C$69,"")</f>
      </c>
      <c r="J5364" s="42">
        <f>IF(AND(ISNUMBER(F5364),ISNUMBER(H5364),F5364&gt;=Inputs!$C$68),F5364*H5364*Inputs!$C$69,"")</f>
      </c>
    </row>
    <row r="5365" spans="2:10" ht="15" customHeight="1" x14ac:dyDescent="0.2">
      <c r="B5365" s="39">
        <f t="shared" si="42"/>
      </c>
      <c r="C5365" s="40">
        <f>IF(Inputs!$C$60,Inputs!$C$11+(B5365-Inputs!$C$69)/Inputs!$C$70,"")</f>
      </c>
      <c r="D5365" s="15"/>
      <c r="E5365" s="15"/>
      <c r="F5365" s="11">
        <f t="shared" si="43"/>
      </c>
      <c r="G5365" s="22" cm="1">
        <f t="array" ref="G5365">IF(AND(Inputs!$C$60,Inputs!$C$61),INDEX(Utility_Rates!$C$29:$F$52,HOUR(C5365)+Inputs!$C$69,MATCH(INDEX(Utility_Rates!$K$6:$K$17,MONTH(C5365))&amp;IF(WEEKDAY(C5365,Inputs!$C$76)&lt;=Inputs!$C$74," weekday"," weekend"),Utility_Rates!$C$28:$F$28,Inputs!$C$68)),"")</f>
      </c>
      <c r="H5365" s="34"/>
      <c r="I5365" s="42">
        <f>IF(AND(ISNUMBER(D5365),ISNUMBER(H5365)),D5365*H5365*Inputs!$C$69,"")</f>
      </c>
      <c r="J5365" s="42">
        <f>IF(AND(ISNUMBER(F5365),ISNUMBER(H5365),F5365&gt;=Inputs!$C$68),F5365*H5365*Inputs!$C$69,"")</f>
      </c>
    </row>
    <row r="5366" spans="2:10" ht="15" customHeight="1" x14ac:dyDescent="0.2">
      <c r="B5366" s="39">
        <f t="shared" si="42"/>
      </c>
      <c r="C5366" s="40">
        <f>IF(Inputs!$C$60,Inputs!$C$11+(B5366-Inputs!$C$69)/Inputs!$C$70,"")</f>
      </c>
      <c r="D5366" s="15"/>
      <c r="E5366" s="15"/>
      <c r="F5366" s="11">
        <f t="shared" si="43"/>
      </c>
      <c r="G5366" s="22" cm="1">
        <f t="array" ref="G5366">IF(AND(Inputs!$C$60,Inputs!$C$61),INDEX(Utility_Rates!$C$29:$F$52,HOUR(C5366)+Inputs!$C$69,MATCH(INDEX(Utility_Rates!$K$6:$K$17,MONTH(C5366))&amp;IF(WEEKDAY(C5366,Inputs!$C$76)&lt;=Inputs!$C$74," weekday"," weekend"),Utility_Rates!$C$28:$F$28,Inputs!$C$68)),"")</f>
      </c>
      <c r="H5366" s="34"/>
      <c r="I5366" s="42">
        <f>IF(AND(ISNUMBER(D5366),ISNUMBER(H5366)),D5366*H5366*Inputs!$C$69,"")</f>
      </c>
      <c r="J5366" s="42">
        <f>IF(AND(ISNUMBER(F5366),ISNUMBER(H5366),F5366&gt;=Inputs!$C$68),F5366*H5366*Inputs!$C$69,"")</f>
      </c>
    </row>
    <row r="5367" spans="2:10" ht="15" customHeight="1" x14ac:dyDescent="0.2">
      <c r="B5367" s="39">
        <f t="shared" si="42"/>
      </c>
      <c r="C5367" s="40">
        <f>IF(Inputs!$C$60,Inputs!$C$11+(B5367-Inputs!$C$69)/Inputs!$C$70,"")</f>
      </c>
      <c r="D5367" s="15"/>
      <c r="E5367" s="15"/>
      <c r="F5367" s="11">
        <f t="shared" si="43"/>
      </c>
      <c r="G5367" s="22" cm="1">
        <f t="array" ref="G5367">IF(AND(Inputs!$C$60,Inputs!$C$61),INDEX(Utility_Rates!$C$29:$F$52,HOUR(C5367)+Inputs!$C$69,MATCH(INDEX(Utility_Rates!$K$6:$K$17,MONTH(C5367))&amp;IF(WEEKDAY(C5367,Inputs!$C$76)&lt;=Inputs!$C$74," weekday"," weekend"),Utility_Rates!$C$28:$F$28,Inputs!$C$68)),"")</f>
      </c>
      <c r="H5367" s="34"/>
      <c r="I5367" s="42">
        <f>IF(AND(ISNUMBER(D5367),ISNUMBER(H5367)),D5367*H5367*Inputs!$C$69,"")</f>
      </c>
      <c r="J5367" s="42">
        <f>IF(AND(ISNUMBER(F5367),ISNUMBER(H5367),F5367&gt;=Inputs!$C$68),F5367*H5367*Inputs!$C$69,"")</f>
      </c>
    </row>
    <row r="5368" spans="2:10" ht="15" customHeight="1" x14ac:dyDescent="0.2">
      <c r="B5368" s="39">
        <f t="shared" si="42"/>
      </c>
      <c r="C5368" s="40">
        <f>IF(Inputs!$C$60,Inputs!$C$11+(B5368-Inputs!$C$69)/Inputs!$C$70,"")</f>
      </c>
      <c r="D5368" s="15"/>
      <c r="E5368" s="15"/>
      <c r="F5368" s="11">
        <f t="shared" si="43"/>
      </c>
      <c r="G5368" s="22" cm="1">
        <f t="array" ref="G5368">IF(AND(Inputs!$C$60,Inputs!$C$61),INDEX(Utility_Rates!$C$29:$F$52,HOUR(C5368)+Inputs!$C$69,MATCH(INDEX(Utility_Rates!$K$6:$K$17,MONTH(C5368))&amp;IF(WEEKDAY(C5368,Inputs!$C$76)&lt;=Inputs!$C$74," weekday"," weekend"),Utility_Rates!$C$28:$F$28,Inputs!$C$68)),"")</f>
      </c>
      <c r="H5368" s="34"/>
      <c r="I5368" s="42">
        <f>IF(AND(ISNUMBER(D5368),ISNUMBER(H5368)),D5368*H5368*Inputs!$C$69,"")</f>
      </c>
      <c r="J5368" s="42">
        <f>IF(AND(ISNUMBER(F5368),ISNUMBER(H5368),F5368&gt;=Inputs!$C$68),F5368*H5368*Inputs!$C$69,"")</f>
      </c>
    </row>
    <row r="5369" spans="2:10" ht="15" customHeight="1" x14ac:dyDescent="0.2">
      <c r="B5369" s="39">
        <f t="shared" si="42"/>
      </c>
      <c r="C5369" s="40">
        <f>IF(Inputs!$C$60,Inputs!$C$11+(B5369-Inputs!$C$69)/Inputs!$C$70,"")</f>
      </c>
      <c r="D5369" s="15"/>
      <c r="E5369" s="15"/>
      <c r="F5369" s="11">
        <f t="shared" si="43"/>
      </c>
      <c r="G5369" s="22" cm="1">
        <f t="array" ref="G5369">IF(AND(Inputs!$C$60,Inputs!$C$61),INDEX(Utility_Rates!$C$29:$F$52,HOUR(C5369)+Inputs!$C$69,MATCH(INDEX(Utility_Rates!$K$6:$K$17,MONTH(C5369))&amp;IF(WEEKDAY(C5369,Inputs!$C$76)&lt;=Inputs!$C$74," weekday"," weekend"),Utility_Rates!$C$28:$F$28,Inputs!$C$68)),"")</f>
      </c>
      <c r="H5369" s="34"/>
      <c r="I5369" s="42">
        <f>IF(AND(ISNUMBER(D5369),ISNUMBER(H5369)),D5369*H5369*Inputs!$C$69,"")</f>
      </c>
      <c r="J5369" s="42">
        <f>IF(AND(ISNUMBER(F5369),ISNUMBER(H5369),F5369&gt;=Inputs!$C$68),F5369*H5369*Inputs!$C$69,"")</f>
      </c>
    </row>
    <row r="5370" spans="2:10" ht="15" customHeight="1" x14ac:dyDescent="0.2">
      <c r="B5370" s="39">
        <f t="shared" si="42"/>
      </c>
      <c r="C5370" s="40">
        <f>IF(Inputs!$C$60,Inputs!$C$11+(B5370-Inputs!$C$69)/Inputs!$C$70,"")</f>
      </c>
      <c r="D5370" s="15"/>
      <c r="E5370" s="15"/>
      <c r="F5370" s="11">
        <f t="shared" si="43"/>
      </c>
      <c r="G5370" s="22" cm="1">
        <f t="array" ref="G5370">IF(AND(Inputs!$C$60,Inputs!$C$61),INDEX(Utility_Rates!$C$29:$F$52,HOUR(C5370)+Inputs!$C$69,MATCH(INDEX(Utility_Rates!$K$6:$K$17,MONTH(C5370))&amp;IF(WEEKDAY(C5370,Inputs!$C$76)&lt;=Inputs!$C$74," weekday"," weekend"),Utility_Rates!$C$28:$F$28,Inputs!$C$68)),"")</f>
      </c>
      <c r="H5370" s="34"/>
      <c r="I5370" s="42">
        <f>IF(AND(ISNUMBER(D5370),ISNUMBER(H5370)),D5370*H5370*Inputs!$C$69,"")</f>
      </c>
      <c r="J5370" s="42">
        <f>IF(AND(ISNUMBER(F5370),ISNUMBER(H5370),F5370&gt;=Inputs!$C$68),F5370*H5370*Inputs!$C$69,"")</f>
      </c>
    </row>
    <row r="5371" spans="2:10" ht="15" customHeight="1" x14ac:dyDescent="0.2">
      <c r="B5371" s="39">
        <f t="shared" si="42"/>
      </c>
      <c r="C5371" s="40">
        <f>IF(Inputs!$C$60,Inputs!$C$11+(B5371-Inputs!$C$69)/Inputs!$C$70,"")</f>
      </c>
      <c r="D5371" s="15"/>
      <c r="E5371" s="15"/>
      <c r="F5371" s="11">
        <f t="shared" si="43"/>
      </c>
      <c r="G5371" s="22" cm="1">
        <f t="array" ref="G5371">IF(AND(Inputs!$C$60,Inputs!$C$61),INDEX(Utility_Rates!$C$29:$F$52,HOUR(C5371)+Inputs!$C$69,MATCH(INDEX(Utility_Rates!$K$6:$K$17,MONTH(C5371))&amp;IF(WEEKDAY(C5371,Inputs!$C$76)&lt;=Inputs!$C$74," weekday"," weekend"),Utility_Rates!$C$28:$F$28,Inputs!$C$68)),"")</f>
      </c>
      <c r="H5371" s="34"/>
      <c r="I5371" s="42">
        <f>IF(AND(ISNUMBER(D5371),ISNUMBER(H5371)),D5371*H5371*Inputs!$C$69,"")</f>
      </c>
      <c r="J5371" s="42">
        <f>IF(AND(ISNUMBER(F5371),ISNUMBER(H5371),F5371&gt;=Inputs!$C$68),F5371*H5371*Inputs!$C$69,"")</f>
      </c>
    </row>
    <row r="5372" spans="2:10" ht="15" customHeight="1" x14ac:dyDescent="0.2">
      <c r="B5372" s="39">
        <f t="shared" si="42"/>
      </c>
      <c r="C5372" s="40">
        <f>IF(Inputs!$C$60,Inputs!$C$11+(B5372-Inputs!$C$69)/Inputs!$C$70,"")</f>
      </c>
      <c r="D5372" s="15"/>
      <c r="E5372" s="15"/>
      <c r="F5372" s="11">
        <f t="shared" si="43"/>
      </c>
      <c r="G5372" s="22" cm="1">
        <f t="array" ref="G5372">IF(AND(Inputs!$C$60,Inputs!$C$61),INDEX(Utility_Rates!$C$29:$F$52,HOUR(C5372)+Inputs!$C$69,MATCH(INDEX(Utility_Rates!$K$6:$K$17,MONTH(C5372))&amp;IF(WEEKDAY(C5372,Inputs!$C$76)&lt;=Inputs!$C$74," weekday"," weekend"),Utility_Rates!$C$28:$F$28,Inputs!$C$68)),"")</f>
      </c>
      <c r="H5372" s="34"/>
      <c r="I5372" s="42">
        <f>IF(AND(ISNUMBER(D5372),ISNUMBER(H5372)),D5372*H5372*Inputs!$C$69,"")</f>
      </c>
      <c r="J5372" s="42">
        <f>IF(AND(ISNUMBER(F5372),ISNUMBER(H5372),F5372&gt;=Inputs!$C$68),F5372*H5372*Inputs!$C$69,"")</f>
      </c>
    </row>
    <row r="5373" spans="2:10" ht="15" customHeight="1" x14ac:dyDescent="0.2">
      <c r="B5373" s="39">
        <f t="shared" si="42"/>
      </c>
      <c r="C5373" s="40">
        <f>IF(Inputs!$C$60,Inputs!$C$11+(B5373-Inputs!$C$69)/Inputs!$C$70,"")</f>
      </c>
      <c r="D5373" s="15"/>
      <c r="E5373" s="15"/>
      <c r="F5373" s="11">
        <f t="shared" si="43"/>
      </c>
      <c r="G5373" s="22" cm="1">
        <f t="array" ref="G5373">IF(AND(Inputs!$C$60,Inputs!$C$61),INDEX(Utility_Rates!$C$29:$F$52,HOUR(C5373)+Inputs!$C$69,MATCH(INDEX(Utility_Rates!$K$6:$K$17,MONTH(C5373))&amp;IF(WEEKDAY(C5373,Inputs!$C$76)&lt;=Inputs!$C$74," weekday"," weekend"),Utility_Rates!$C$28:$F$28,Inputs!$C$68)),"")</f>
      </c>
      <c r="H5373" s="34"/>
      <c r="I5373" s="42">
        <f>IF(AND(ISNUMBER(D5373),ISNUMBER(H5373)),D5373*H5373*Inputs!$C$69,"")</f>
      </c>
      <c r="J5373" s="42">
        <f>IF(AND(ISNUMBER(F5373),ISNUMBER(H5373),F5373&gt;=Inputs!$C$68),F5373*H5373*Inputs!$C$69,"")</f>
      </c>
    </row>
    <row r="5374" spans="2:10" ht="15" customHeight="1" x14ac:dyDescent="0.2">
      <c r="B5374" s="39">
        <f t="shared" si="42"/>
      </c>
      <c r="C5374" s="40">
        <f>IF(Inputs!$C$60,Inputs!$C$11+(B5374-Inputs!$C$69)/Inputs!$C$70,"")</f>
      </c>
      <c r="D5374" s="15"/>
      <c r="E5374" s="15"/>
      <c r="F5374" s="11">
        <f t="shared" si="43"/>
      </c>
      <c r="G5374" s="22" cm="1">
        <f t="array" ref="G5374">IF(AND(Inputs!$C$60,Inputs!$C$61),INDEX(Utility_Rates!$C$29:$F$52,HOUR(C5374)+Inputs!$C$69,MATCH(INDEX(Utility_Rates!$K$6:$K$17,MONTH(C5374))&amp;IF(WEEKDAY(C5374,Inputs!$C$76)&lt;=Inputs!$C$74," weekday"," weekend"),Utility_Rates!$C$28:$F$28,Inputs!$C$68)),"")</f>
      </c>
      <c r="H5374" s="34"/>
      <c r="I5374" s="42">
        <f>IF(AND(ISNUMBER(D5374),ISNUMBER(H5374)),D5374*H5374*Inputs!$C$69,"")</f>
      </c>
      <c r="J5374" s="42">
        <f>IF(AND(ISNUMBER(F5374),ISNUMBER(H5374),F5374&gt;=Inputs!$C$68),F5374*H5374*Inputs!$C$69,"")</f>
      </c>
    </row>
    <row r="5375" spans="2:10" ht="15" customHeight="1" x14ac:dyDescent="0.2">
      <c r="B5375" s="39">
        <f t="shared" si="42"/>
      </c>
      <c r="C5375" s="40">
        <f>IF(Inputs!$C$60,Inputs!$C$11+(B5375-Inputs!$C$69)/Inputs!$C$70,"")</f>
      </c>
      <c r="D5375" s="15"/>
      <c r="E5375" s="15"/>
      <c r="F5375" s="11">
        <f t="shared" si="43"/>
      </c>
      <c r="G5375" s="22" cm="1">
        <f t="array" ref="G5375">IF(AND(Inputs!$C$60,Inputs!$C$61),INDEX(Utility_Rates!$C$29:$F$52,HOUR(C5375)+Inputs!$C$69,MATCH(INDEX(Utility_Rates!$K$6:$K$17,MONTH(C5375))&amp;IF(WEEKDAY(C5375,Inputs!$C$76)&lt;=Inputs!$C$74," weekday"," weekend"),Utility_Rates!$C$28:$F$28,Inputs!$C$68)),"")</f>
      </c>
      <c r="H5375" s="34"/>
      <c r="I5375" s="42">
        <f>IF(AND(ISNUMBER(D5375),ISNUMBER(H5375)),D5375*H5375*Inputs!$C$69,"")</f>
      </c>
      <c r="J5375" s="42">
        <f>IF(AND(ISNUMBER(F5375),ISNUMBER(H5375),F5375&gt;=Inputs!$C$68),F5375*H5375*Inputs!$C$69,"")</f>
      </c>
    </row>
    <row r="5376" spans="2:10" ht="15" customHeight="1" x14ac:dyDescent="0.2">
      <c r="B5376" s="39">
        <f t="shared" si="42"/>
      </c>
      <c r="C5376" s="40">
        <f>IF(Inputs!$C$60,Inputs!$C$11+(B5376-Inputs!$C$69)/Inputs!$C$70,"")</f>
      </c>
      <c r="D5376" s="15"/>
      <c r="E5376" s="15"/>
      <c r="F5376" s="11">
        <f t="shared" si="43"/>
      </c>
      <c r="G5376" s="22" cm="1">
        <f t="array" ref="G5376">IF(AND(Inputs!$C$60,Inputs!$C$61),INDEX(Utility_Rates!$C$29:$F$52,HOUR(C5376)+Inputs!$C$69,MATCH(INDEX(Utility_Rates!$K$6:$K$17,MONTH(C5376))&amp;IF(WEEKDAY(C5376,Inputs!$C$76)&lt;=Inputs!$C$74," weekday"," weekend"),Utility_Rates!$C$28:$F$28,Inputs!$C$68)),"")</f>
      </c>
      <c r="H5376" s="34"/>
      <c r="I5376" s="42">
        <f>IF(AND(ISNUMBER(D5376),ISNUMBER(H5376)),D5376*H5376*Inputs!$C$69,"")</f>
      </c>
      <c r="J5376" s="42">
        <f>IF(AND(ISNUMBER(F5376),ISNUMBER(H5376),F5376&gt;=Inputs!$C$68),F5376*H5376*Inputs!$C$69,"")</f>
      </c>
    </row>
    <row r="5377" spans="2:10" ht="15" customHeight="1" x14ac:dyDescent="0.2">
      <c r="B5377" s="39">
        <f t="shared" si="42"/>
      </c>
      <c r="C5377" s="40">
        <f>IF(Inputs!$C$60,Inputs!$C$11+(B5377-Inputs!$C$69)/Inputs!$C$70,"")</f>
      </c>
      <c r="D5377" s="15"/>
      <c r="E5377" s="15"/>
      <c r="F5377" s="11">
        <f t="shared" si="43"/>
      </c>
      <c r="G5377" s="22" cm="1">
        <f t="array" ref="G5377">IF(AND(Inputs!$C$60,Inputs!$C$61),INDEX(Utility_Rates!$C$29:$F$52,HOUR(C5377)+Inputs!$C$69,MATCH(INDEX(Utility_Rates!$K$6:$K$17,MONTH(C5377))&amp;IF(WEEKDAY(C5377,Inputs!$C$76)&lt;=Inputs!$C$74," weekday"," weekend"),Utility_Rates!$C$28:$F$28,Inputs!$C$68)),"")</f>
      </c>
      <c r="H5377" s="34"/>
      <c r="I5377" s="42">
        <f>IF(AND(ISNUMBER(D5377),ISNUMBER(H5377)),D5377*H5377*Inputs!$C$69,"")</f>
      </c>
      <c r="J5377" s="42">
        <f>IF(AND(ISNUMBER(F5377),ISNUMBER(H5377),F5377&gt;=Inputs!$C$68),F5377*H5377*Inputs!$C$69,"")</f>
      </c>
    </row>
    <row r="5378" spans="2:10" ht="15" customHeight="1" x14ac:dyDescent="0.2">
      <c r="B5378" s="39">
        <f t="shared" si="42"/>
      </c>
      <c r="C5378" s="40">
        <f>IF(Inputs!$C$60,Inputs!$C$11+(B5378-Inputs!$C$69)/Inputs!$C$70,"")</f>
      </c>
      <c r="D5378" s="15"/>
      <c r="E5378" s="15"/>
      <c r="F5378" s="11">
        <f t="shared" si="43"/>
      </c>
      <c r="G5378" s="22" cm="1">
        <f t="array" ref="G5378">IF(AND(Inputs!$C$60,Inputs!$C$61),INDEX(Utility_Rates!$C$29:$F$52,HOUR(C5378)+Inputs!$C$69,MATCH(INDEX(Utility_Rates!$K$6:$K$17,MONTH(C5378))&amp;IF(WEEKDAY(C5378,Inputs!$C$76)&lt;=Inputs!$C$74," weekday"," weekend"),Utility_Rates!$C$28:$F$28,Inputs!$C$68)),"")</f>
      </c>
      <c r="H5378" s="34"/>
      <c r="I5378" s="42">
        <f>IF(AND(ISNUMBER(D5378),ISNUMBER(H5378)),D5378*H5378*Inputs!$C$69,"")</f>
      </c>
      <c r="J5378" s="42">
        <f>IF(AND(ISNUMBER(F5378),ISNUMBER(H5378),F5378&gt;=Inputs!$C$68),F5378*H5378*Inputs!$C$69,"")</f>
      </c>
    </row>
    <row r="5379" spans="2:10" ht="15" customHeight="1" x14ac:dyDescent="0.2">
      <c r="B5379" s="39">
        <f t="shared" si="42"/>
      </c>
      <c r="C5379" s="40">
        <f>IF(Inputs!$C$60,Inputs!$C$11+(B5379-Inputs!$C$69)/Inputs!$C$70,"")</f>
      </c>
      <c r="D5379" s="15"/>
      <c r="E5379" s="15"/>
      <c r="F5379" s="11">
        <f t="shared" si="43"/>
      </c>
      <c r="G5379" s="22" cm="1">
        <f t="array" ref="G5379">IF(AND(Inputs!$C$60,Inputs!$C$61),INDEX(Utility_Rates!$C$29:$F$52,HOUR(C5379)+Inputs!$C$69,MATCH(INDEX(Utility_Rates!$K$6:$K$17,MONTH(C5379))&amp;IF(WEEKDAY(C5379,Inputs!$C$76)&lt;=Inputs!$C$74," weekday"," weekend"),Utility_Rates!$C$28:$F$28,Inputs!$C$68)),"")</f>
      </c>
      <c r="H5379" s="34"/>
      <c r="I5379" s="42">
        <f>IF(AND(ISNUMBER(D5379),ISNUMBER(H5379)),D5379*H5379*Inputs!$C$69,"")</f>
      </c>
      <c r="J5379" s="42">
        <f>IF(AND(ISNUMBER(F5379),ISNUMBER(H5379),F5379&gt;=Inputs!$C$68),F5379*H5379*Inputs!$C$69,"")</f>
      </c>
    </row>
    <row r="5380" spans="2:10" ht="15" customHeight="1" x14ac:dyDescent="0.2">
      <c r="B5380" s="39">
        <f t="shared" si="42"/>
      </c>
      <c r="C5380" s="40">
        <f>IF(Inputs!$C$60,Inputs!$C$11+(B5380-Inputs!$C$69)/Inputs!$C$70,"")</f>
      </c>
      <c r="D5380" s="15"/>
      <c r="E5380" s="15"/>
      <c r="F5380" s="11">
        <f t="shared" si="43"/>
      </c>
      <c r="G5380" s="22" cm="1">
        <f t="array" ref="G5380">IF(AND(Inputs!$C$60,Inputs!$C$61),INDEX(Utility_Rates!$C$29:$F$52,HOUR(C5380)+Inputs!$C$69,MATCH(INDEX(Utility_Rates!$K$6:$K$17,MONTH(C5380))&amp;IF(WEEKDAY(C5380,Inputs!$C$76)&lt;=Inputs!$C$74," weekday"," weekend"),Utility_Rates!$C$28:$F$28,Inputs!$C$68)),"")</f>
      </c>
      <c r="H5380" s="34"/>
      <c r="I5380" s="42">
        <f>IF(AND(ISNUMBER(D5380),ISNUMBER(H5380)),D5380*H5380*Inputs!$C$69,"")</f>
      </c>
      <c r="J5380" s="42">
        <f>IF(AND(ISNUMBER(F5380),ISNUMBER(H5380),F5380&gt;=Inputs!$C$68),F5380*H5380*Inputs!$C$69,"")</f>
      </c>
    </row>
    <row r="5381" spans="2:10" ht="15" customHeight="1" x14ac:dyDescent="0.2">
      <c r="B5381" s="39">
        <f t="shared" si="42"/>
      </c>
      <c r="C5381" s="40">
        <f>IF(Inputs!$C$60,Inputs!$C$11+(B5381-Inputs!$C$69)/Inputs!$C$70,"")</f>
      </c>
      <c r="D5381" s="15"/>
      <c r="E5381" s="15"/>
      <c r="F5381" s="11">
        <f t="shared" si="43"/>
      </c>
      <c r="G5381" s="22" cm="1">
        <f t="array" ref="G5381">IF(AND(Inputs!$C$60,Inputs!$C$61),INDEX(Utility_Rates!$C$29:$F$52,HOUR(C5381)+Inputs!$C$69,MATCH(INDEX(Utility_Rates!$K$6:$K$17,MONTH(C5381))&amp;IF(WEEKDAY(C5381,Inputs!$C$76)&lt;=Inputs!$C$74," weekday"," weekend"),Utility_Rates!$C$28:$F$28,Inputs!$C$68)),"")</f>
      </c>
      <c r="H5381" s="34"/>
      <c r="I5381" s="42">
        <f>IF(AND(ISNUMBER(D5381),ISNUMBER(H5381)),D5381*H5381*Inputs!$C$69,"")</f>
      </c>
      <c r="J5381" s="42">
        <f>IF(AND(ISNUMBER(F5381),ISNUMBER(H5381),F5381&gt;=Inputs!$C$68),F5381*H5381*Inputs!$C$69,"")</f>
      </c>
    </row>
    <row r="5382" spans="2:10" ht="15" customHeight="1" x14ac:dyDescent="0.2">
      <c r="B5382" s="39">
        <f t="shared" si="42"/>
      </c>
      <c r="C5382" s="40">
        <f>IF(Inputs!$C$60,Inputs!$C$11+(B5382-Inputs!$C$69)/Inputs!$C$70,"")</f>
      </c>
      <c r="D5382" s="15"/>
      <c r="E5382" s="15"/>
      <c r="F5382" s="11">
        <f t="shared" si="43"/>
      </c>
      <c r="G5382" s="22" cm="1">
        <f t="array" ref="G5382">IF(AND(Inputs!$C$60,Inputs!$C$61),INDEX(Utility_Rates!$C$29:$F$52,HOUR(C5382)+Inputs!$C$69,MATCH(INDEX(Utility_Rates!$K$6:$K$17,MONTH(C5382))&amp;IF(WEEKDAY(C5382,Inputs!$C$76)&lt;=Inputs!$C$74," weekday"," weekend"),Utility_Rates!$C$28:$F$28,Inputs!$C$68)),"")</f>
      </c>
      <c r="H5382" s="34"/>
      <c r="I5382" s="42">
        <f>IF(AND(ISNUMBER(D5382),ISNUMBER(H5382)),D5382*H5382*Inputs!$C$69,"")</f>
      </c>
      <c r="J5382" s="42">
        <f>IF(AND(ISNUMBER(F5382),ISNUMBER(H5382),F5382&gt;=Inputs!$C$68),F5382*H5382*Inputs!$C$69,"")</f>
      </c>
    </row>
    <row r="5383" spans="2:10" ht="15" customHeight="1" x14ac:dyDescent="0.2">
      <c r="B5383" s="39">
        <f t="shared" si="42"/>
      </c>
      <c r="C5383" s="40">
        <f>IF(Inputs!$C$60,Inputs!$C$11+(B5383-Inputs!$C$69)/Inputs!$C$70,"")</f>
      </c>
      <c r="D5383" s="15"/>
      <c r="E5383" s="15"/>
      <c r="F5383" s="11">
        <f t="shared" si="43"/>
      </c>
      <c r="G5383" s="22" cm="1">
        <f t="array" ref="G5383">IF(AND(Inputs!$C$60,Inputs!$C$61),INDEX(Utility_Rates!$C$29:$F$52,HOUR(C5383)+Inputs!$C$69,MATCH(INDEX(Utility_Rates!$K$6:$K$17,MONTH(C5383))&amp;IF(WEEKDAY(C5383,Inputs!$C$76)&lt;=Inputs!$C$74," weekday"," weekend"),Utility_Rates!$C$28:$F$28,Inputs!$C$68)),"")</f>
      </c>
      <c r="H5383" s="34"/>
      <c r="I5383" s="42">
        <f>IF(AND(ISNUMBER(D5383),ISNUMBER(H5383)),D5383*H5383*Inputs!$C$69,"")</f>
      </c>
      <c r="J5383" s="42">
        <f>IF(AND(ISNUMBER(F5383),ISNUMBER(H5383),F5383&gt;=Inputs!$C$68),F5383*H5383*Inputs!$C$69,"")</f>
      </c>
    </row>
    <row r="5384" spans="2:10" ht="15" customHeight="1" x14ac:dyDescent="0.2">
      <c r="B5384" s="39">
        <f t="shared" si="42"/>
      </c>
      <c r="C5384" s="40">
        <f>IF(Inputs!$C$60,Inputs!$C$11+(B5384-Inputs!$C$69)/Inputs!$C$70,"")</f>
      </c>
      <c r="D5384" s="15"/>
      <c r="E5384" s="15"/>
      <c r="F5384" s="11">
        <f t="shared" si="43"/>
      </c>
      <c r="G5384" s="22" cm="1">
        <f t="array" ref="G5384">IF(AND(Inputs!$C$60,Inputs!$C$61),INDEX(Utility_Rates!$C$29:$F$52,HOUR(C5384)+Inputs!$C$69,MATCH(INDEX(Utility_Rates!$K$6:$K$17,MONTH(C5384))&amp;IF(WEEKDAY(C5384,Inputs!$C$76)&lt;=Inputs!$C$74," weekday"," weekend"),Utility_Rates!$C$28:$F$28,Inputs!$C$68)),"")</f>
      </c>
      <c r="H5384" s="34"/>
      <c r="I5384" s="42">
        <f>IF(AND(ISNUMBER(D5384),ISNUMBER(H5384)),D5384*H5384*Inputs!$C$69,"")</f>
      </c>
      <c r="J5384" s="42">
        <f>IF(AND(ISNUMBER(F5384),ISNUMBER(H5384),F5384&gt;=Inputs!$C$68),F5384*H5384*Inputs!$C$69,"")</f>
      </c>
    </row>
    <row r="5385" spans="2:10" ht="15" customHeight="1" x14ac:dyDescent="0.2">
      <c r="B5385" s="39">
        <f t="shared" si="42"/>
      </c>
      <c r="C5385" s="40">
        <f>IF(Inputs!$C$60,Inputs!$C$11+(B5385-Inputs!$C$69)/Inputs!$C$70,"")</f>
      </c>
      <c r="D5385" s="15"/>
      <c r="E5385" s="15"/>
      <c r="F5385" s="11">
        <f t="shared" si="43"/>
      </c>
      <c r="G5385" s="22" cm="1">
        <f t="array" ref="G5385">IF(AND(Inputs!$C$60,Inputs!$C$61),INDEX(Utility_Rates!$C$29:$F$52,HOUR(C5385)+Inputs!$C$69,MATCH(INDEX(Utility_Rates!$K$6:$K$17,MONTH(C5385))&amp;IF(WEEKDAY(C5385,Inputs!$C$76)&lt;=Inputs!$C$74," weekday"," weekend"),Utility_Rates!$C$28:$F$28,Inputs!$C$68)),"")</f>
      </c>
      <c r="H5385" s="34"/>
      <c r="I5385" s="42">
        <f>IF(AND(ISNUMBER(D5385),ISNUMBER(H5385)),D5385*H5385*Inputs!$C$69,"")</f>
      </c>
      <c r="J5385" s="42">
        <f>IF(AND(ISNUMBER(F5385),ISNUMBER(H5385),F5385&gt;=Inputs!$C$68),F5385*H5385*Inputs!$C$69,"")</f>
      </c>
    </row>
    <row r="5386" spans="2:10" ht="15" customHeight="1" x14ac:dyDescent="0.2">
      <c r="B5386" s="39">
        <f t="shared" si="42"/>
      </c>
      <c r="C5386" s="40">
        <f>IF(Inputs!$C$60,Inputs!$C$11+(B5386-Inputs!$C$69)/Inputs!$C$70,"")</f>
      </c>
      <c r="D5386" s="15"/>
      <c r="E5386" s="15"/>
      <c r="F5386" s="11">
        <f t="shared" si="43"/>
      </c>
      <c r="G5386" s="22" cm="1">
        <f t="array" ref="G5386">IF(AND(Inputs!$C$60,Inputs!$C$61),INDEX(Utility_Rates!$C$29:$F$52,HOUR(C5386)+Inputs!$C$69,MATCH(INDEX(Utility_Rates!$K$6:$K$17,MONTH(C5386))&amp;IF(WEEKDAY(C5386,Inputs!$C$76)&lt;=Inputs!$C$74," weekday"," weekend"),Utility_Rates!$C$28:$F$28,Inputs!$C$68)),"")</f>
      </c>
      <c r="H5386" s="34"/>
      <c r="I5386" s="42">
        <f>IF(AND(ISNUMBER(D5386),ISNUMBER(H5386)),D5386*H5386*Inputs!$C$69,"")</f>
      </c>
      <c r="J5386" s="42">
        <f>IF(AND(ISNUMBER(F5386),ISNUMBER(H5386),F5386&gt;=Inputs!$C$68),F5386*H5386*Inputs!$C$69,"")</f>
      </c>
    </row>
    <row r="5387" spans="2:10" ht="15" customHeight="1" x14ac:dyDescent="0.2">
      <c r="B5387" s="39">
        <f t="shared" si="42"/>
      </c>
      <c r="C5387" s="40">
        <f>IF(Inputs!$C$60,Inputs!$C$11+(B5387-Inputs!$C$69)/Inputs!$C$70,"")</f>
      </c>
      <c r="D5387" s="15"/>
      <c r="E5387" s="15"/>
      <c r="F5387" s="11">
        <f t="shared" si="43"/>
      </c>
      <c r="G5387" s="22" cm="1">
        <f t="array" ref="G5387">IF(AND(Inputs!$C$60,Inputs!$C$61),INDEX(Utility_Rates!$C$29:$F$52,HOUR(C5387)+Inputs!$C$69,MATCH(INDEX(Utility_Rates!$K$6:$K$17,MONTH(C5387))&amp;IF(WEEKDAY(C5387,Inputs!$C$76)&lt;=Inputs!$C$74," weekday"," weekend"),Utility_Rates!$C$28:$F$28,Inputs!$C$68)),"")</f>
      </c>
      <c r="H5387" s="34"/>
      <c r="I5387" s="42">
        <f>IF(AND(ISNUMBER(D5387),ISNUMBER(H5387)),D5387*H5387*Inputs!$C$69,"")</f>
      </c>
      <c r="J5387" s="42">
        <f>IF(AND(ISNUMBER(F5387),ISNUMBER(H5387),F5387&gt;=Inputs!$C$68),F5387*H5387*Inputs!$C$69,"")</f>
      </c>
    </row>
    <row r="5388" spans="2:10" ht="15" customHeight="1" x14ac:dyDescent="0.2">
      <c r="B5388" s="39">
        <f t="shared" si="42"/>
      </c>
      <c r="C5388" s="40">
        <f>IF(Inputs!$C$60,Inputs!$C$11+(B5388-Inputs!$C$69)/Inputs!$C$70,"")</f>
      </c>
      <c r="D5388" s="15"/>
      <c r="E5388" s="15"/>
      <c r="F5388" s="11">
        <f t="shared" si="43"/>
      </c>
      <c r="G5388" s="22" cm="1">
        <f t="array" ref="G5388">IF(AND(Inputs!$C$60,Inputs!$C$61),INDEX(Utility_Rates!$C$29:$F$52,HOUR(C5388)+Inputs!$C$69,MATCH(INDEX(Utility_Rates!$K$6:$K$17,MONTH(C5388))&amp;IF(WEEKDAY(C5388,Inputs!$C$76)&lt;=Inputs!$C$74," weekday"," weekend"),Utility_Rates!$C$28:$F$28,Inputs!$C$68)),"")</f>
      </c>
      <c r="H5388" s="34"/>
      <c r="I5388" s="42">
        <f>IF(AND(ISNUMBER(D5388),ISNUMBER(H5388)),D5388*H5388*Inputs!$C$69,"")</f>
      </c>
      <c r="J5388" s="42">
        <f>IF(AND(ISNUMBER(F5388),ISNUMBER(H5388),F5388&gt;=Inputs!$C$68),F5388*H5388*Inputs!$C$69,"")</f>
      </c>
    </row>
    <row r="5389" spans="2:10" ht="15" customHeight="1" x14ac:dyDescent="0.2">
      <c r="B5389" s="39">
        <f t="shared" si="42"/>
      </c>
      <c r="C5389" s="40">
        <f>IF(Inputs!$C$60,Inputs!$C$11+(B5389-Inputs!$C$69)/Inputs!$C$70,"")</f>
      </c>
      <c r="D5389" s="15"/>
      <c r="E5389" s="15"/>
      <c r="F5389" s="11">
        <f t="shared" si="43"/>
      </c>
      <c r="G5389" s="22" cm="1">
        <f t="array" ref="G5389">IF(AND(Inputs!$C$60,Inputs!$C$61),INDEX(Utility_Rates!$C$29:$F$52,HOUR(C5389)+Inputs!$C$69,MATCH(INDEX(Utility_Rates!$K$6:$K$17,MONTH(C5389))&amp;IF(WEEKDAY(C5389,Inputs!$C$76)&lt;=Inputs!$C$74," weekday"," weekend"),Utility_Rates!$C$28:$F$28,Inputs!$C$68)),"")</f>
      </c>
      <c r="H5389" s="34"/>
      <c r="I5389" s="42">
        <f>IF(AND(ISNUMBER(D5389),ISNUMBER(H5389)),D5389*H5389*Inputs!$C$69,"")</f>
      </c>
      <c r="J5389" s="42">
        <f>IF(AND(ISNUMBER(F5389),ISNUMBER(H5389),F5389&gt;=Inputs!$C$68),F5389*H5389*Inputs!$C$69,"")</f>
      </c>
    </row>
    <row r="5390" spans="2:10" ht="15" customHeight="1" x14ac:dyDescent="0.2">
      <c r="B5390" s="39">
        <f t="shared" si="42"/>
      </c>
      <c r="C5390" s="40">
        <f>IF(Inputs!$C$60,Inputs!$C$11+(B5390-Inputs!$C$69)/Inputs!$C$70,"")</f>
      </c>
      <c r="D5390" s="15"/>
      <c r="E5390" s="15"/>
      <c r="F5390" s="11">
        <f t="shared" si="43"/>
      </c>
      <c r="G5390" s="22" cm="1">
        <f t="array" ref="G5390">IF(AND(Inputs!$C$60,Inputs!$C$61),INDEX(Utility_Rates!$C$29:$F$52,HOUR(C5390)+Inputs!$C$69,MATCH(INDEX(Utility_Rates!$K$6:$K$17,MONTH(C5390))&amp;IF(WEEKDAY(C5390,Inputs!$C$76)&lt;=Inputs!$C$74," weekday"," weekend"),Utility_Rates!$C$28:$F$28,Inputs!$C$68)),"")</f>
      </c>
      <c r="H5390" s="34"/>
      <c r="I5390" s="42">
        <f>IF(AND(ISNUMBER(D5390),ISNUMBER(H5390)),D5390*H5390*Inputs!$C$69,"")</f>
      </c>
      <c r="J5390" s="42">
        <f>IF(AND(ISNUMBER(F5390),ISNUMBER(H5390),F5390&gt;=Inputs!$C$68),F5390*H5390*Inputs!$C$69,"")</f>
      </c>
    </row>
    <row r="5391" spans="2:10" ht="15" customHeight="1" x14ac:dyDescent="0.2">
      <c r="B5391" s="39">
        <f t="shared" si="42"/>
      </c>
      <c r="C5391" s="40">
        <f>IF(Inputs!$C$60,Inputs!$C$11+(B5391-Inputs!$C$69)/Inputs!$C$70,"")</f>
      </c>
      <c r="D5391" s="15"/>
      <c r="E5391" s="15"/>
      <c r="F5391" s="11">
        <f t="shared" si="43"/>
      </c>
      <c r="G5391" s="22" cm="1">
        <f t="array" ref="G5391">IF(AND(Inputs!$C$60,Inputs!$C$61),INDEX(Utility_Rates!$C$29:$F$52,HOUR(C5391)+Inputs!$C$69,MATCH(INDEX(Utility_Rates!$K$6:$K$17,MONTH(C5391))&amp;IF(WEEKDAY(C5391,Inputs!$C$76)&lt;=Inputs!$C$74," weekday"," weekend"),Utility_Rates!$C$28:$F$28,Inputs!$C$68)),"")</f>
      </c>
      <c r="H5391" s="34"/>
      <c r="I5391" s="42">
        <f>IF(AND(ISNUMBER(D5391),ISNUMBER(H5391)),D5391*H5391*Inputs!$C$69,"")</f>
      </c>
      <c r="J5391" s="42">
        <f>IF(AND(ISNUMBER(F5391),ISNUMBER(H5391),F5391&gt;=Inputs!$C$68),F5391*H5391*Inputs!$C$69,"")</f>
      </c>
    </row>
    <row r="5392" spans="2:10" ht="15" customHeight="1" x14ac:dyDescent="0.2">
      <c r="B5392" s="39">
        <f t="shared" si="42"/>
      </c>
      <c r="C5392" s="40">
        <f>IF(Inputs!$C$60,Inputs!$C$11+(B5392-Inputs!$C$69)/Inputs!$C$70,"")</f>
      </c>
      <c r="D5392" s="15"/>
      <c r="E5392" s="15"/>
      <c r="F5392" s="11">
        <f t="shared" si="43"/>
      </c>
      <c r="G5392" s="22" cm="1">
        <f t="array" ref="G5392">IF(AND(Inputs!$C$60,Inputs!$C$61),INDEX(Utility_Rates!$C$29:$F$52,HOUR(C5392)+Inputs!$C$69,MATCH(INDEX(Utility_Rates!$K$6:$K$17,MONTH(C5392))&amp;IF(WEEKDAY(C5392,Inputs!$C$76)&lt;=Inputs!$C$74," weekday"," weekend"),Utility_Rates!$C$28:$F$28,Inputs!$C$68)),"")</f>
      </c>
      <c r="H5392" s="34"/>
      <c r="I5392" s="42">
        <f>IF(AND(ISNUMBER(D5392),ISNUMBER(H5392)),D5392*H5392*Inputs!$C$69,"")</f>
      </c>
      <c r="J5392" s="42">
        <f>IF(AND(ISNUMBER(F5392),ISNUMBER(H5392),F5392&gt;=Inputs!$C$68),F5392*H5392*Inputs!$C$69,"")</f>
      </c>
    </row>
    <row r="5393" spans="2:10" ht="15" customHeight="1" x14ac:dyDescent="0.2">
      <c r="B5393" s="39">
        <f t="shared" si="42"/>
      </c>
      <c r="C5393" s="40">
        <f>IF(Inputs!$C$60,Inputs!$C$11+(B5393-Inputs!$C$69)/Inputs!$C$70,"")</f>
      </c>
      <c r="D5393" s="15"/>
      <c r="E5393" s="15"/>
      <c r="F5393" s="11">
        <f t="shared" si="43"/>
      </c>
      <c r="G5393" s="22" cm="1">
        <f t="array" ref="G5393">IF(AND(Inputs!$C$60,Inputs!$C$61),INDEX(Utility_Rates!$C$29:$F$52,HOUR(C5393)+Inputs!$C$69,MATCH(INDEX(Utility_Rates!$K$6:$K$17,MONTH(C5393))&amp;IF(WEEKDAY(C5393,Inputs!$C$76)&lt;=Inputs!$C$74," weekday"," weekend"),Utility_Rates!$C$28:$F$28,Inputs!$C$68)),"")</f>
      </c>
      <c r="H5393" s="34"/>
      <c r="I5393" s="42">
        <f>IF(AND(ISNUMBER(D5393),ISNUMBER(H5393)),D5393*H5393*Inputs!$C$69,"")</f>
      </c>
      <c r="J5393" s="42">
        <f>IF(AND(ISNUMBER(F5393),ISNUMBER(H5393),F5393&gt;=Inputs!$C$68),F5393*H5393*Inputs!$C$69,"")</f>
      </c>
    </row>
    <row r="5394" spans="2:10" ht="15" customHeight="1" x14ac:dyDescent="0.2">
      <c r="B5394" s="39">
        <f t="shared" si="42"/>
      </c>
      <c r="C5394" s="40">
        <f>IF(Inputs!$C$60,Inputs!$C$11+(B5394-Inputs!$C$69)/Inputs!$C$70,"")</f>
      </c>
      <c r="D5394" s="15"/>
      <c r="E5394" s="15"/>
      <c r="F5394" s="11">
        <f t="shared" si="43"/>
      </c>
      <c r="G5394" s="22" cm="1">
        <f t="array" ref="G5394">IF(AND(Inputs!$C$60,Inputs!$C$61),INDEX(Utility_Rates!$C$29:$F$52,HOUR(C5394)+Inputs!$C$69,MATCH(INDEX(Utility_Rates!$K$6:$K$17,MONTH(C5394))&amp;IF(WEEKDAY(C5394,Inputs!$C$76)&lt;=Inputs!$C$74," weekday"," weekend"),Utility_Rates!$C$28:$F$28,Inputs!$C$68)),"")</f>
      </c>
      <c r="H5394" s="34"/>
      <c r="I5394" s="42">
        <f>IF(AND(ISNUMBER(D5394),ISNUMBER(H5394)),D5394*H5394*Inputs!$C$69,"")</f>
      </c>
      <c r="J5394" s="42">
        <f>IF(AND(ISNUMBER(F5394),ISNUMBER(H5394),F5394&gt;=Inputs!$C$68),F5394*H5394*Inputs!$C$69,"")</f>
      </c>
    </row>
    <row r="5395" spans="2:10" ht="15" customHeight="1" x14ac:dyDescent="0.2">
      <c r="B5395" s="39">
        <f t="shared" si="42"/>
      </c>
      <c r="C5395" s="40">
        <f>IF(Inputs!$C$60,Inputs!$C$11+(B5395-Inputs!$C$69)/Inputs!$C$70,"")</f>
      </c>
      <c r="D5395" s="15"/>
      <c r="E5395" s="15"/>
      <c r="F5395" s="11">
        <f t="shared" si="43"/>
      </c>
      <c r="G5395" s="22" cm="1">
        <f t="array" ref="G5395">IF(AND(Inputs!$C$60,Inputs!$C$61),INDEX(Utility_Rates!$C$29:$F$52,HOUR(C5395)+Inputs!$C$69,MATCH(INDEX(Utility_Rates!$K$6:$K$17,MONTH(C5395))&amp;IF(WEEKDAY(C5395,Inputs!$C$76)&lt;=Inputs!$C$74," weekday"," weekend"),Utility_Rates!$C$28:$F$28,Inputs!$C$68)),"")</f>
      </c>
      <c r="H5395" s="34"/>
      <c r="I5395" s="42">
        <f>IF(AND(ISNUMBER(D5395),ISNUMBER(H5395)),D5395*H5395*Inputs!$C$69,"")</f>
      </c>
      <c r="J5395" s="42">
        <f>IF(AND(ISNUMBER(F5395),ISNUMBER(H5395),F5395&gt;=Inputs!$C$68),F5395*H5395*Inputs!$C$69,"")</f>
      </c>
    </row>
    <row r="5396" spans="2:10" ht="15" customHeight="1" x14ac:dyDescent="0.2">
      <c r="B5396" s="39">
        <f t="shared" si="42"/>
      </c>
      <c r="C5396" s="40">
        <f>IF(Inputs!$C$60,Inputs!$C$11+(B5396-Inputs!$C$69)/Inputs!$C$70,"")</f>
      </c>
      <c r="D5396" s="15"/>
      <c r="E5396" s="15"/>
      <c r="F5396" s="11">
        <f t="shared" si="43"/>
      </c>
      <c r="G5396" s="22" cm="1">
        <f t="array" ref="G5396">IF(AND(Inputs!$C$60,Inputs!$C$61),INDEX(Utility_Rates!$C$29:$F$52,HOUR(C5396)+Inputs!$C$69,MATCH(INDEX(Utility_Rates!$K$6:$K$17,MONTH(C5396))&amp;IF(WEEKDAY(C5396,Inputs!$C$76)&lt;=Inputs!$C$74," weekday"," weekend"),Utility_Rates!$C$28:$F$28,Inputs!$C$68)),"")</f>
      </c>
      <c r="H5396" s="34"/>
      <c r="I5396" s="42">
        <f>IF(AND(ISNUMBER(D5396),ISNUMBER(H5396)),D5396*H5396*Inputs!$C$69,"")</f>
      </c>
      <c r="J5396" s="42">
        <f>IF(AND(ISNUMBER(F5396),ISNUMBER(H5396),F5396&gt;=Inputs!$C$68),F5396*H5396*Inputs!$C$69,"")</f>
      </c>
    </row>
    <row r="5397" spans="2:10" ht="15" customHeight="1" x14ac:dyDescent="0.2">
      <c r="B5397" s="39">
        <f t="shared" si="42"/>
      </c>
      <c r="C5397" s="40">
        <f>IF(Inputs!$C$60,Inputs!$C$11+(B5397-Inputs!$C$69)/Inputs!$C$70,"")</f>
      </c>
      <c r="D5397" s="15"/>
      <c r="E5397" s="15"/>
      <c r="F5397" s="11">
        <f t="shared" si="43"/>
      </c>
      <c r="G5397" s="22" cm="1">
        <f t="array" ref="G5397">IF(AND(Inputs!$C$60,Inputs!$C$61),INDEX(Utility_Rates!$C$29:$F$52,HOUR(C5397)+Inputs!$C$69,MATCH(INDEX(Utility_Rates!$K$6:$K$17,MONTH(C5397))&amp;IF(WEEKDAY(C5397,Inputs!$C$76)&lt;=Inputs!$C$74," weekday"," weekend"),Utility_Rates!$C$28:$F$28,Inputs!$C$68)),"")</f>
      </c>
      <c r="H5397" s="34"/>
      <c r="I5397" s="42">
        <f>IF(AND(ISNUMBER(D5397),ISNUMBER(H5397)),D5397*H5397*Inputs!$C$69,"")</f>
      </c>
      <c r="J5397" s="42">
        <f>IF(AND(ISNUMBER(F5397),ISNUMBER(H5397),F5397&gt;=Inputs!$C$68),F5397*H5397*Inputs!$C$69,"")</f>
      </c>
    </row>
    <row r="5398" spans="2:10" ht="15" customHeight="1" x14ac:dyDescent="0.2">
      <c r="B5398" s="39">
        <f t="shared" si="42"/>
      </c>
      <c r="C5398" s="40">
        <f>IF(Inputs!$C$60,Inputs!$C$11+(B5398-Inputs!$C$69)/Inputs!$C$70,"")</f>
      </c>
      <c r="D5398" s="15"/>
      <c r="E5398" s="15"/>
      <c r="F5398" s="11">
        <f t="shared" si="43"/>
      </c>
      <c r="G5398" s="22" cm="1">
        <f t="array" ref="G5398">IF(AND(Inputs!$C$60,Inputs!$C$61),INDEX(Utility_Rates!$C$29:$F$52,HOUR(C5398)+Inputs!$C$69,MATCH(INDEX(Utility_Rates!$K$6:$K$17,MONTH(C5398))&amp;IF(WEEKDAY(C5398,Inputs!$C$76)&lt;=Inputs!$C$74," weekday"," weekend"),Utility_Rates!$C$28:$F$28,Inputs!$C$68)),"")</f>
      </c>
      <c r="H5398" s="34"/>
      <c r="I5398" s="42">
        <f>IF(AND(ISNUMBER(D5398),ISNUMBER(H5398)),D5398*H5398*Inputs!$C$69,"")</f>
      </c>
      <c r="J5398" s="42">
        <f>IF(AND(ISNUMBER(F5398),ISNUMBER(H5398),F5398&gt;=Inputs!$C$68),F5398*H5398*Inputs!$C$69,"")</f>
      </c>
    </row>
    <row r="5399" spans="2:10" ht="15" customHeight="1" x14ac:dyDescent="0.2">
      <c r="B5399" s="39">
        <f t="shared" si="42"/>
      </c>
      <c r="C5399" s="40">
        <f>IF(Inputs!$C$60,Inputs!$C$11+(B5399-Inputs!$C$69)/Inputs!$C$70,"")</f>
      </c>
      <c r="D5399" s="15"/>
      <c r="E5399" s="15"/>
      <c r="F5399" s="11">
        <f t="shared" si="43"/>
      </c>
      <c r="G5399" s="22" cm="1">
        <f t="array" ref="G5399">IF(AND(Inputs!$C$60,Inputs!$C$61),INDEX(Utility_Rates!$C$29:$F$52,HOUR(C5399)+Inputs!$C$69,MATCH(INDEX(Utility_Rates!$K$6:$K$17,MONTH(C5399))&amp;IF(WEEKDAY(C5399,Inputs!$C$76)&lt;=Inputs!$C$74," weekday"," weekend"),Utility_Rates!$C$28:$F$28,Inputs!$C$68)),"")</f>
      </c>
      <c r="H5399" s="34"/>
      <c r="I5399" s="42">
        <f>IF(AND(ISNUMBER(D5399),ISNUMBER(H5399)),D5399*H5399*Inputs!$C$69,"")</f>
      </c>
      <c r="J5399" s="42">
        <f>IF(AND(ISNUMBER(F5399),ISNUMBER(H5399),F5399&gt;=Inputs!$C$68),F5399*H5399*Inputs!$C$69,"")</f>
      </c>
    </row>
    <row r="5400" spans="2:10" ht="15" customHeight="1" x14ac:dyDescent="0.2">
      <c r="B5400" s="39">
        <f t="shared" si="42"/>
      </c>
      <c r="C5400" s="40">
        <f>IF(Inputs!$C$60,Inputs!$C$11+(B5400-Inputs!$C$69)/Inputs!$C$70,"")</f>
      </c>
      <c r="D5400" s="15"/>
      <c r="E5400" s="15"/>
      <c r="F5400" s="11">
        <f t="shared" si="43"/>
      </c>
      <c r="G5400" s="22" cm="1">
        <f t="array" ref="G5400">IF(AND(Inputs!$C$60,Inputs!$C$61),INDEX(Utility_Rates!$C$29:$F$52,HOUR(C5400)+Inputs!$C$69,MATCH(INDEX(Utility_Rates!$K$6:$K$17,MONTH(C5400))&amp;IF(WEEKDAY(C5400,Inputs!$C$76)&lt;=Inputs!$C$74," weekday"," weekend"),Utility_Rates!$C$28:$F$28,Inputs!$C$68)),"")</f>
      </c>
      <c r="H5400" s="34"/>
      <c r="I5400" s="42">
        <f>IF(AND(ISNUMBER(D5400),ISNUMBER(H5400)),D5400*H5400*Inputs!$C$69,"")</f>
      </c>
      <c r="J5400" s="42">
        <f>IF(AND(ISNUMBER(F5400),ISNUMBER(H5400),F5400&gt;=Inputs!$C$68),F5400*H5400*Inputs!$C$69,"")</f>
      </c>
    </row>
    <row r="5401" spans="2:10" ht="15" customHeight="1" x14ac:dyDescent="0.2">
      <c r="B5401" s="39">
        <f t="shared" si="42"/>
      </c>
      <c r="C5401" s="40">
        <f>IF(Inputs!$C$60,Inputs!$C$11+(B5401-Inputs!$C$69)/Inputs!$C$70,"")</f>
      </c>
      <c r="D5401" s="15"/>
      <c r="E5401" s="15"/>
      <c r="F5401" s="11">
        <f t="shared" si="43"/>
      </c>
      <c r="G5401" s="22" cm="1">
        <f t="array" ref="G5401">IF(AND(Inputs!$C$60,Inputs!$C$61),INDEX(Utility_Rates!$C$29:$F$52,HOUR(C5401)+Inputs!$C$69,MATCH(INDEX(Utility_Rates!$K$6:$K$17,MONTH(C5401))&amp;IF(WEEKDAY(C5401,Inputs!$C$76)&lt;=Inputs!$C$74," weekday"," weekend"),Utility_Rates!$C$28:$F$28,Inputs!$C$68)),"")</f>
      </c>
      <c r="H5401" s="34"/>
      <c r="I5401" s="42">
        <f>IF(AND(ISNUMBER(D5401),ISNUMBER(H5401)),D5401*H5401*Inputs!$C$69,"")</f>
      </c>
      <c r="J5401" s="42">
        <f>IF(AND(ISNUMBER(F5401),ISNUMBER(H5401),F5401&gt;=Inputs!$C$68),F5401*H5401*Inputs!$C$69,"")</f>
      </c>
    </row>
    <row r="5402" spans="2:10" ht="15" customHeight="1" x14ac:dyDescent="0.2">
      <c r="B5402" s="39">
        <f t="shared" si="42"/>
      </c>
      <c r="C5402" s="40">
        <f>IF(Inputs!$C$60,Inputs!$C$11+(B5402-Inputs!$C$69)/Inputs!$C$70,"")</f>
      </c>
      <c r="D5402" s="15"/>
      <c r="E5402" s="15"/>
      <c r="F5402" s="11">
        <f t="shared" si="43"/>
      </c>
      <c r="G5402" s="22" cm="1">
        <f t="array" ref="G5402">IF(AND(Inputs!$C$60,Inputs!$C$61),INDEX(Utility_Rates!$C$29:$F$52,HOUR(C5402)+Inputs!$C$69,MATCH(INDEX(Utility_Rates!$K$6:$K$17,MONTH(C5402))&amp;IF(WEEKDAY(C5402,Inputs!$C$76)&lt;=Inputs!$C$74," weekday"," weekend"),Utility_Rates!$C$28:$F$28,Inputs!$C$68)),"")</f>
      </c>
      <c r="H5402" s="34"/>
      <c r="I5402" s="42">
        <f>IF(AND(ISNUMBER(D5402),ISNUMBER(H5402)),D5402*H5402*Inputs!$C$69,"")</f>
      </c>
      <c r="J5402" s="42">
        <f>IF(AND(ISNUMBER(F5402),ISNUMBER(H5402),F5402&gt;=Inputs!$C$68),F5402*H5402*Inputs!$C$69,"")</f>
      </c>
    </row>
    <row r="5403" spans="2:10" ht="15" customHeight="1" x14ac:dyDescent="0.2">
      <c r="B5403" s="39">
        <f t="shared" si="42"/>
      </c>
      <c r="C5403" s="40">
        <f>IF(Inputs!$C$60,Inputs!$C$11+(B5403-Inputs!$C$69)/Inputs!$C$70,"")</f>
      </c>
      <c r="D5403" s="15"/>
      <c r="E5403" s="15"/>
      <c r="F5403" s="11">
        <f t="shared" si="43"/>
      </c>
      <c r="G5403" s="22" cm="1">
        <f t="array" ref="G5403">IF(AND(Inputs!$C$60,Inputs!$C$61),INDEX(Utility_Rates!$C$29:$F$52,HOUR(C5403)+Inputs!$C$69,MATCH(INDEX(Utility_Rates!$K$6:$K$17,MONTH(C5403))&amp;IF(WEEKDAY(C5403,Inputs!$C$76)&lt;=Inputs!$C$74," weekday"," weekend"),Utility_Rates!$C$28:$F$28,Inputs!$C$68)),"")</f>
      </c>
      <c r="H5403" s="34"/>
      <c r="I5403" s="42">
        <f>IF(AND(ISNUMBER(D5403),ISNUMBER(H5403)),D5403*H5403*Inputs!$C$69,"")</f>
      </c>
      <c r="J5403" s="42">
        <f>IF(AND(ISNUMBER(F5403),ISNUMBER(H5403),F5403&gt;=Inputs!$C$68),F5403*H5403*Inputs!$C$69,"")</f>
      </c>
    </row>
    <row r="5404" spans="2:10" ht="15" customHeight="1" x14ac:dyDescent="0.2">
      <c r="B5404" s="39">
        <f t="shared" si="42"/>
      </c>
      <c r="C5404" s="40">
        <f>IF(Inputs!$C$60,Inputs!$C$11+(B5404-Inputs!$C$69)/Inputs!$C$70,"")</f>
      </c>
      <c r="D5404" s="15"/>
      <c r="E5404" s="15"/>
      <c r="F5404" s="11">
        <f t="shared" si="43"/>
      </c>
      <c r="G5404" s="22" cm="1">
        <f t="array" ref="G5404">IF(AND(Inputs!$C$60,Inputs!$C$61),INDEX(Utility_Rates!$C$29:$F$52,HOUR(C5404)+Inputs!$C$69,MATCH(INDEX(Utility_Rates!$K$6:$K$17,MONTH(C5404))&amp;IF(WEEKDAY(C5404,Inputs!$C$76)&lt;=Inputs!$C$74," weekday"," weekend"),Utility_Rates!$C$28:$F$28,Inputs!$C$68)),"")</f>
      </c>
      <c r="H5404" s="34"/>
      <c r="I5404" s="42">
        <f>IF(AND(ISNUMBER(D5404),ISNUMBER(H5404)),D5404*H5404*Inputs!$C$69,"")</f>
      </c>
      <c r="J5404" s="42">
        <f>IF(AND(ISNUMBER(F5404),ISNUMBER(H5404),F5404&gt;=Inputs!$C$68),F5404*H5404*Inputs!$C$69,"")</f>
      </c>
    </row>
    <row r="5405" spans="2:10" ht="15" customHeight="1" x14ac:dyDescent="0.2">
      <c r="B5405" s="39">
        <f t="shared" si="42"/>
      </c>
      <c r="C5405" s="40">
        <f>IF(Inputs!$C$60,Inputs!$C$11+(B5405-Inputs!$C$69)/Inputs!$C$70,"")</f>
      </c>
      <c r="D5405" s="15"/>
      <c r="E5405" s="15"/>
      <c r="F5405" s="11">
        <f t="shared" si="43"/>
      </c>
      <c r="G5405" s="22" cm="1">
        <f t="array" ref="G5405">IF(AND(Inputs!$C$60,Inputs!$C$61),INDEX(Utility_Rates!$C$29:$F$52,HOUR(C5405)+Inputs!$C$69,MATCH(INDEX(Utility_Rates!$K$6:$K$17,MONTH(C5405))&amp;IF(WEEKDAY(C5405,Inputs!$C$76)&lt;=Inputs!$C$74," weekday"," weekend"),Utility_Rates!$C$28:$F$28,Inputs!$C$68)),"")</f>
      </c>
      <c r="H5405" s="34"/>
      <c r="I5405" s="42">
        <f>IF(AND(ISNUMBER(D5405),ISNUMBER(H5405)),D5405*H5405*Inputs!$C$69,"")</f>
      </c>
      <c r="J5405" s="42">
        <f>IF(AND(ISNUMBER(F5405),ISNUMBER(H5405),F5405&gt;=Inputs!$C$68),F5405*H5405*Inputs!$C$69,"")</f>
      </c>
    </row>
    <row r="5406" spans="2:10" ht="15" customHeight="1" x14ac:dyDescent="0.2">
      <c r="B5406" s="39">
        <f t="shared" si="42"/>
      </c>
      <c r="C5406" s="40">
        <f>IF(Inputs!$C$60,Inputs!$C$11+(B5406-Inputs!$C$69)/Inputs!$C$70,"")</f>
      </c>
      <c r="D5406" s="15"/>
      <c r="E5406" s="15"/>
      <c r="F5406" s="11">
        <f t="shared" si="43"/>
      </c>
      <c r="G5406" s="22" cm="1">
        <f t="array" ref="G5406">IF(AND(Inputs!$C$60,Inputs!$C$61),INDEX(Utility_Rates!$C$29:$F$52,HOUR(C5406)+Inputs!$C$69,MATCH(INDEX(Utility_Rates!$K$6:$K$17,MONTH(C5406))&amp;IF(WEEKDAY(C5406,Inputs!$C$76)&lt;=Inputs!$C$74," weekday"," weekend"),Utility_Rates!$C$28:$F$28,Inputs!$C$68)),"")</f>
      </c>
      <c r="H5406" s="34"/>
      <c r="I5406" s="42">
        <f>IF(AND(ISNUMBER(D5406),ISNUMBER(H5406)),D5406*H5406*Inputs!$C$69,"")</f>
      </c>
      <c r="J5406" s="42">
        <f>IF(AND(ISNUMBER(F5406),ISNUMBER(H5406),F5406&gt;=Inputs!$C$68),F5406*H5406*Inputs!$C$69,"")</f>
      </c>
    </row>
    <row r="5407" spans="2:10" ht="15" customHeight="1" x14ac:dyDescent="0.2">
      <c r="B5407" s="39">
        <f t="shared" si="42"/>
      </c>
      <c r="C5407" s="40">
        <f>IF(Inputs!$C$60,Inputs!$C$11+(B5407-Inputs!$C$69)/Inputs!$C$70,"")</f>
      </c>
      <c r="D5407" s="15"/>
      <c r="E5407" s="15"/>
      <c r="F5407" s="11">
        <f t="shared" si="43"/>
      </c>
      <c r="G5407" s="22" cm="1">
        <f t="array" ref="G5407">IF(AND(Inputs!$C$60,Inputs!$C$61),INDEX(Utility_Rates!$C$29:$F$52,HOUR(C5407)+Inputs!$C$69,MATCH(INDEX(Utility_Rates!$K$6:$K$17,MONTH(C5407))&amp;IF(WEEKDAY(C5407,Inputs!$C$76)&lt;=Inputs!$C$74," weekday"," weekend"),Utility_Rates!$C$28:$F$28,Inputs!$C$68)),"")</f>
      </c>
      <c r="H5407" s="34"/>
      <c r="I5407" s="42">
        <f>IF(AND(ISNUMBER(D5407),ISNUMBER(H5407)),D5407*H5407*Inputs!$C$69,"")</f>
      </c>
      <c r="J5407" s="42">
        <f>IF(AND(ISNUMBER(F5407),ISNUMBER(H5407),F5407&gt;=Inputs!$C$68),F5407*H5407*Inputs!$C$69,"")</f>
      </c>
    </row>
    <row r="5408" spans="2:10" ht="15" customHeight="1" x14ac:dyDescent="0.2">
      <c r="B5408" s="39">
        <f t="shared" si="42"/>
      </c>
      <c r="C5408" s="40">
        <f>IF(Inputs!$C$60,Inputs!$C$11+(B5408-Inputs!$C$69)/Inputs!$C$70,"")</f>
      </c>
      <c r="D5408" s="15"/>
      <c r="E5408" s="15"/>
      <c r="F5408" s="11">
        <f t="shared" si="43"/>
      </c>
      <c r="G5408" s="22" cm="1">
        <f t="array" ref="G5408">IF(AND(Inputs!$C$60,Inputs!$C$61),INDEX(Utility_Rates!$C$29:$F$52,HOUR(C5408)+Inputs!$C$69,MATCH(INDEX(Utility_Rates!$K$6:$K$17,MONTH(C5408))&amp;IF(WEEKDAY(C5408,Inputs!$C$76)&lt;=Inputs!$C$74," weekday"," weekend"),Utility_Rates!$C$28:$F$28,Inputs!$C$68)),"")</f>
      </c>
      <c r="H5408" s="34"/>
      <c r="I5408" s="42">
        <f>IF(AND(ISNUMBER(D5408),ISNUMBER(H5408)),D5408*H5408*Inputs!$C$69,"")</f>
      </c>
      <c r="J5408" s="42">
        <f>IF(AND(ISNUMBER(F5408),ISNUMBER(H5408),F5408&gt;=Inputs!$C$68),F5408*H5408*Inputs!$C$69,"")</f>
      </c>
    </row>
    <row r="5409" spans="2:10" ht="15" customHeight="1" x14ac:dyDescent="0.2">
      <c r="B5409" s="39">
        <f t="shared" si="42"/>
      </c>
      <c r="C5409" s="40">
        <f>IF(Inputs!$C$60,Inputs!$C$11+(B5409-Inputs!$C$69)/Inputs!$C$70,"")</f>
      </c>
      <c r="D5409" s="15"/>
      <c r="E5409" s="15"/>
      <c r="F5409" s="11">
        <f t="shared" si="43"/>
      </c>
      <c r="G5409" s="22" cm="1">
        <f t="array" ref="G5409">IF(AND(Inputs!$C$60,Inputs!$C$61),INDEX(Utility_Rates!$C$29:$F$52,HOUR(C5409)+Inputs!$C$69,MATCH(INDEX(Utility_Rates!$K$6:$K$17,MONTH(C5409))&amp;IF(WEEKDAY(C5409,Inputs!$C$76)&lt;=Inputs!$C$74," weekday"," weekend"),Utility_Rates!$C$28:$F$28,Inputs!$C$68)),"")</f>
      </c>
      <c r="H5409" s="34"/>
      <c r="I5409" s="42">
        <f>IF(AND(ISNUMBER(D5409),ISNUMBER(H5409)),D5409*H5409*Inputs!$C$69,"")</f>
      </c>
      <c r="J5409" s="42">
        <f>IF(AND(ISNUMBER(F5409),ISNUMBER(H5409),F5409&gt;=Inputs!$C$68),F5409*H5409*Inputs!$C$69,"")</f>
      </c>
    </row>
    <row r="5410" spans="2:10" ht="15" customHeight="1" x14ac:dyDescent="0.2">
      <c r="B5410" s="39">
        <f t="shared" si="42"/>
      </c>
      <c r="C5410" s="40">
        <f>IF(Inputs!$C$60,Inputs!$C$11+(B5410-Inputs!$C$69)/Inputs!$C$70,"")</f>
      </c>
      <c r="D5410" s="15"/>
      <c r="E5410" s="15"/>
      <c r="F5410" s="11">
        <f t="shared" si="43"/>
      </c>
      <c r="G5410" s="22" cm="1">
        <f t="array" ref="G5410">IF(AND(Inputs!$C$60,Inputs!$C$61),INDEX(Utility_Rates!$C$29:$F$52,HOUR(C5410)+Inputs!$C$69,MATCH(INDEX(Utility_Rates!$K$6:$K$17,MONTH(C5410))&amp;IF(WEEKDAY(C5410,Inputs!$C$76)&lt;=Inputs!$C$74," weekday"," weekend"),Utility_Rates!$C$28:$F$28,Inputs!$C$68)),"")</f>
      </c>
      <c r="H5410" s="34"/>
      <c r="I5410" s="42">
        <f>IF(AND(ISNUMBER(D5410),ISNUMBER(H5410)),D5410*H5410*Inputs!$C$69,"")</f>
      </c>
      <c r="J5410" s="42">
        <f>IF(AND(ISNUMBER(F5410),ISNUMBER(H5410),F5410&gt;=Inputs!$C$68),F5410*H5410*Inputs!$C$69,"")</f>
      </c>
    </row>
    <row r="5411" spans="2:10" ht="15" customHeight="1" x14ac:dyDescent="0.2">
      <c r="B5411" s="39">
        <f t="shared" si="42"/>
      </c>
      <c r="C5411" s="40">
        <f>IF(Inputs!$C$60,Inputs!$C$11+(B5411-Inputs!$C$69)/Inputs!$C$70,"")</f>
      </c>
      <c r="D5411" s="15"/>
      <c r="E5411" s="15"/>
      <c r="F5411" s="11">
        <f t="shared" si="43"/>
      </c>
      <c r="G5411" s="22" cm="1">
        <f t="array" ref="G5411">IF(AND(Inputs!$C$60,Inputs!$C$61),INDEX(Utility_Rates!$C$29:$F$52,HOUR(C5411)+Inputs!$C$69,MATCH(INDEX(Utility_Rates!$K$6:$K$17,MONTH(C5411))&amp;IF(WEEKDAY(C5411,Inputs!$C$76)&lt;=Inputs!$C$74," weekday"," weekend"),Utility_Rates!$C$28:$F$28,Inputs!$C$68)),"")</f>
      </c>
      <c r="H5411" s="34"/>
      <c r="I5411" s="42">
        <f>IF(AND(ISNUMBER(D5411),ISNUMBER(H5411)),D5411*H5411*Inputs!$C$69,"")</f>
      </c>
      <c r="J5411" s="42">
        <f>IF(AND(ISNUMBER(F5411),ISNUMBER(H5411),F5411&gt;=Inputs!$C$68),F5411*H5411*Inputs!$C$69,"")</f>
      </c>
    </row>
    <row r="5412" spans="2:10" ht="15" customHeight="1" x14ac:dyDescent="0.2">
      <c r="B5412" s="39">
        <f t="shared" si="42"/>
      </c>
      <c r="C5412" s="40">
        <f>IF(Inputs!$C$60,Inputs!$C$11+(B5412-Inputs!$C$69)/Inputs!$C$70,"")</f>
      </c>
      <c r="D5412" s="15"/>
      <c r="E5412" s="15"/>
      <c r="F5412" s="11">
        <f t="shared" si="43"/>
      </c>
      <c r="G5412" s="22" cm="1">
        <f t="array" ref="G5412">IF(AND(Inputs!$C$60,Inputs!$C$61),INDEX(Utility_Rates!$C$29:$F$52,HOUR(C5412)+Inputs!$C$69,MATCH(INDEX(Utility_Rates!$K$6:$K$17,MONTH(C5412))&amp;IF(WEEKDAY(C5412,Inputs!$C$76)&lt;=Inputs!$C$74," weekday"," weekend"),Utility_Rates!$C$28:$F$28,Inputs!$C$68)),"")</f>
      </c>
      <c r="H5412" s="34"/>
      <c r="I5412" s="42">
        <f>IF(AND(ISNUMBER(D5412),ISNUMBER(H5412)),D5412*H5412*Inputs!$C$69,"")</f>
      </c>
      <c r="J5412" s="42">
        <f>IF(AND(ISNUMBER(F5412),ISNUMBER(H5412),F5412&gt;=Inputs!$C$68),F5412*H5412*Inputs!$C$69,"")</f>
      </c>
    </row>
    <row r="5413" spans="2:10" ht="15" customHeight="1" x14ac:dyDescent="0.2">
      <c r="B5413" s="39">
        <f t="shared" si="42"/>
      </c>
      <c r="C5413" s="40">
        <f>IF(Inputs!$C$60,Inputs!$C$11+(B5413-Inputs!$C$69)/Inputs!$C$70,"")</f>
      </c>
      <c r="D5413" s="15"/>
      <c r="E5413" s="15"/>
      <c r="F5413" s="11">
        <f t="shared" si="43"/>
      </c>
      <c r="G5413" s="22" cm="1">
        <f t="array" ref="G5413">IF(AND(Inputs!$C$60,Inputs!$C$61),INDEX(Utility_Rates!$C$29:$F$52,HOUR(C5413)+Inputs!$C$69,MATCH(INDEX(Utility_Rates!$K$6:$K$17,MONTH(C5413))&amp;IF(WEEKDAY(C5413,Inputs!$C$76)&lt;=Inputs!$C$74," weekday"," weekend"),Utility_Rates!$C$28:$F$28,Inputs!$C$68)),"")</f>
      </c>
      <c r="H5413" s="34"/>
      <c r="I5413" s="42">
        <f>IF(AND(ISNUMBER(D5413),ISNUMBER(H5413)),D5413*H5413*Inputs!$C$69,"")</f>
      </c>
      <c r="J5413" s="42">
        <f>IF(AND(ISNUMBER(F5413),ISNUMBER(H5413),F5413&gt;=Inputs!$C$68),F5413*H5413*Inputs!$C$69,"")</f>
      </c>
    </row>
    <row r="5414" spans="2:10" ht="15" customHeight="1" x14ac:dyDescent="0.2">
      <c r="B5414" s="39">
        <f t="shared" si="42"/>
      </c>
      <c r="C5414" s="40">
        <f>IF(Inputs!$C$60,Inputs!$C$11+(B5414-Inputs!$C$69)/Inputs!$C$70,"")</f>
      </c>
      <c r="D5414" s="15"/>
      <c r="E5414" s="15"/>
      <c r="F5414" s="11">
        <f t="shared" si="43"/>
      </c>
      <c r="G5414" s="22" cm="1">
        <f t="array" ref="G5414">IF(AND(Inputs!$C$60,Inputs!$C$61),INDEX(Utility_Rates!$C$29:$F$52,HOUR(C5414)+Inputs!$C$69,MATCH(INDEX(Utility_Rates!$K$6:$K$17,MONTH(C5414))&amp;IF(WEEKDAY(C5414,Inputs!$C$76)&lt;=Inputs!$C$74," weekday"," weekend"),Utility_Rates!$C$28:$F$28,Inputs!$C$68)),"")</f>
      </c>
      <c r="H5414" s="34"/>
      <c r="I5414" s="42">
        <f>IF(AND(ISNUMBER(D5414),ISNUMBER(H5414)),D5414*H5414*Inputs!$C$69,"")</f>
      </c>
      <c r="J5414" s="42">
        <f>IF(AND(ISNUMBER(F5414),ISNUMBER(H5414),F5414&gt;=Inputs!$C$68),F5414*H5414*Inputs!$C$69,"")</f>
      </c>
    </row>
    <row r="5415" spans="2:10" ht="15" customHeight="1" x14ac:dyDescent="0.2">
      <c r="B5415" s="39">
        <f t="shared" si="42"/>
      </c>
      <c r="C5415" s="40">
        <f>IF(Inputs!$C$60,Inputs!$C$11+(B5415-Inputs!$C$69)/Inputs!$C$70,"")</f>
      </c>
      <c r="D5415" s="15"/>
      <c r="E5415" s="15"/>
      <c r="F5415" s="11">
        <f t="shared" si="43"/>
      </c>
      <c r="G5415" s="22" cm="1">
        <f t="array" ref="G5415">IF(AND(Inputs!$C$60,Inputs!$C$61),INDEX(Utility_Rates!$C$29:$F$52,HOUR(C5415)+Inputs!$C$69,MATCH(INDEX(Utility_Rates!$K$6:$K$17,MONTH(C5415))&amp;IF(WEEKDAY(C5415,Inputs!$C$76)&lt;=Inputs!$C$74," weekday"," weekend"),Utility_Rates!$C$28:$F$28,Inputs!$C$68)),"")</f>
      </c>
      <c r="H5415" s="34"/>
      <c r="I5415" s="42">
        <f>IF(AND(ISNUMBER(D5415),ISNUMBER(H5415)),D5415*H5415*Inputs!$C$69,"")</f>
      </c>
      <c r="J5415" s="42">
        <f>IF(AND(ISNUMBER(F5415),ISNUMBER(H5415),F5415&gt;=Inputs!$C$68),F5415*H5415*Inputs!$C$69,"")</f>
      </c>
    </row>
    <row r="5416" spans="2:10" ht="15" customHeight="1" x14ac:dyDescent="0.2">
      <c r="B5416" s="39">
        <f t="shared" si="42"/>
      </c>
      <c r="C5416" s="40">
        <f>IF(Inputs!$C$60,Inputs!$C$11+(B5416-Inputs!$C$69)/Inputs!$C$70,"")</f>
      </c>
      <c r="D5416" s="15"/>
      <c r="E5416" s="15"/>
      <c r="F5416" s="11">
        <f t="shared" si="43"/>
      </c>
      <c r="G5416" s="22" cm="1">
        <f t="array" ref="G5416">IF(AND(Inputs!$C$60,Inputs!$C$61),INDEX(Utility_Rates!$C$29:$F$52,HOUR(C5416)+Inputs!$C$69,MATCH(INDEX(Utility_Rates!$K$6:$K$17,MONTH(C5416))&amp;IF(WEEKDAY(C5416,Inputs!$C$76)&lt;=Inputs!$C$74," weekday"," weekend"),Utility_Rates!$C$28:$F$28,Inputs!$C$68)),"")</f>
      </c>
      <c r="H5416" s="34"/>
      <c r="I5416" s="42">
        <f>IF(AND(ISNUMBER(D5416),ISNUMBER(H5416)),D5416*H5416*Inputs!$C$69,"")</f>
      </c>
      <c r="J5416" s="42">
        <f>IF(AND(ISNUMBER(F5416),ISNUMBER(H5416),F5416&gt;=Inputs!$C$68),F5416*H5416*Inputs!$C$69,"")</f>
      </c>
    </row>
    <row r="5417" spans="2:10" ht="15" customHeight="1" x14ac:dyDescent="0.2">
      <c r="B5417" s="39">
        <f t="shared" si="42"/>
      </c>
      <c r="C5417" s="40">
        <f>IF(Inputs!$C$60,Inputs!$C$11+(B5417-Inputs!$C$69)/Inputs!$C$70,"")</f>
      </c>
      <c r="D5417" s="15"/>
      <c r="E5417" s="15"/>
      <c r="F5417" s="11">
        <f t="shared" si="43"/>
      </c>
      <c r="G5417" s="22" cm="1">
        <f t="array" ref="G5417">IF(AND(Inputs!$C$60,Inputs!$C$61),INDEX(Utility_Rates!$C$29:$F$52,HOUR(C5417)+Inputs!$C$69,MATCH(INDEX(Utility_Rates!$K$6:$K$17,MONTH(C5417))&amp;IF(WEEKDAY(C5417,Inputs!$C$76)&lt;=Inputs!$C$74," weekday"," weekend"),Utility_Rates!$C$28:$F$28,Inputs!$C$68)),"")</f>
      </c>
      <c r="H5417" s="34"/>
      <c r="I5417" s="42">
        <f>IF(AND(ISNUMBER(D5417),ISNUMBER(H5417)),D5417*H5417*Inputs!$C$69,"")</f>
      </c>
      <c r="J5417" s="42">
        <f>IF(AND(ISNUMBER(F5417),ISNUMBER(H5417),F5417&gt;=Inputs!$C$68),F5417*H5417*Inputs!$C$69,"")</f>
      </c>
    </row>
    <row r="5418" spans="2:10" ht="15" customHeight="1" x14ac:dyDescent="0.2">
      <c r="B5418" s="39">
        <f t="shared" si="42"/>
      </c>
      <c r="C5418" s="40">
        <f>IF(Inputs!$C$60,Inputs!$C$11+(B5418-Inputs!$C$69)/Inputs!$C$70,"")</f>
      </c>
      <c r="D5418" s="15"/>
      <c r="E5418" s="15"/>
      <c r="F5418" s="11">
        <f t="shared" si="43"/>
      </c>
      <c r="G5418" s="22" cm="1">
        <f t="array" ref="G5418">IF(AND(Inputs!$C$60,Inputs!$C$61),INDEX(Utility_Rates!$C$29:$F$52,HOUR(C5418)+Inputs!$C$69,MATCH(INDEX(Utility_Rates!$K$6:$K$17,MONTH(C5418))&amp;IF(WEEKDAY(C5418,Inputs!$C$76)&lt;=Inputs!$C$74," weekday"," weekend"),Utility_Rates!$C$28:$F$28,Inputs!$C$68)),"")</f>
      </c>
      <c r="H5418" s="34"/>
      <c r="I5418" s="42">
        <f>IF(AND(ISNUMBER(D5418),ISNUMBER(H5418)),D5418*H5418*Inputs!$C$69,"")</f>
      </c>
      <c r="J5418" s="42">
        <f>IF(AND(ISNUMBER(F5418),ISNUMBER(H5418),F5418&gt;=Inputs!$C$68),F5418*H5418*Inputs!$C$69,"")</f>
      </c>
    </row>
    <row r="5419" spans="2:10" ht="15" customHeight="1" x14ac:dyDescent="0.2">
      <c r="B5419" s="39">
        <f t="shared" si="42"/>
      </c>
      <c r="C5419" s="40">
        <f>IF(Inputs!$C$60,Inputs!$C$11+(B5419-Inputs!$C$69)/Inputs!$C$70,"")</f>
      </c>
      <c r="D5419" s="15"/>
      <c r="E5419" s="15"/>
      <c r="F5419" s="11">
        <f t="shared" si="43"/>
      </c>
      <c r="G5419" s="22" cm="1">
        <f t="array" ref="G5419">IF(AND(Inputs!$C$60,Inputs!$C$61),INDEX(Utility_Rates!$C$29:$F$52,HOUR(C5419)+Inputs!$C$69,MATCH(INDEX(Utility_Rates!$K$6:$K$17,MONTH(C5419))&amp;IF(WEEKDAY(C5419,Inputs!$C$76)&lt;=Inputs!$C$74," weekday"," weekend"),Utility_Rates!$C$28:$F$28,Inputs!$C$68)),"")</f>
      </c>
      <c r="H5419" s="34"/>
      <c r="I5419" s="42">
        <f>IF(AND(ISNUMBER(D5419),ISNUMBER(H5419)),D5419*H5419*Inputs!$C$69,"")</f>
      </c>
      <c r="J5419" s="42">
        <f>IF(AND(ISNUMBER(F5419),ISNUMBER(H5419),F5419&gt;=Inputs!$C$68),F5419*H5419*Inputs!$C$69,"")</f>
      </c>
    </row>
    <row r="5420" spans="2:10" ht="15" customHeight="1" x14ac:dyDescent="0.2">
      <c r="B5420" s="39">
        <f t="shared" si="42"/>
      </c>
      <c r="C5420" s="40">
        <f>IF(Inputs!$C$60,Inputs!$C$11+(B5420-Inputs!$C$69)/Inputs!$C$70,"")</f>
      </c>
      <c r="D5420" s="15"/>
      <c r="E5420" s="15"/>
      <c r="F5420" s="11">
        <f t="shared" si="43"/>
      </c>
      <c r="G5420" s="22" cm="1">
        <f t="array" ref="G5420">IF(AND(Inputs!$C$60,Inputs!$C$61),INDEX(Utility_Rates!$C$29:$F$52,HOUR(C5420)+Inputs!$C$69,MATCH(INDEX(Utility_Rates!$K$6:$K$17,MONTH(C5420))&amp;IF(WEEKDAY(C5420,Inputs!$C$76)&lt;=Inputs!$C$74," weekday"," weekend"),Utility_Rates!$C$28:$F$28,Inputs!$C$68)),"")</f>
      </c>
      <c r="H5420" s="34"/>
      <c r="I5420" s="42">
        <f>IF(AND(ISNUMBER(D5420),ISNUMBER(H5420)),D5420*H5420*Inputs!$C$69,"")</f>
      </c>
      <c r="J5420" s="42">
        <f>IF(AND(ISNUMBER(F5420),ISNUMBER(H5420),F5420&gt;=Inputs!$C$68),F5420*H5420*Inputs!$C$69,"")</f>
      </c>
    </row>
    <row r="5421" spans="2:10" ht="15" customHeight="1" x14ac:dyDescent="0.2">
      <c r="B5421" s="39">
        <f t="shared" si="42"/>
      </c>
      <c r="C5421" s="40">
        <f>IF(Inputs!$C$60,Inputs!$C$11+(B5421-Inputs!$C$69)/Inputs!$C$70,"")</f>
      </c>
      <c r="D5421" s="15"/>
      <c r="E5421" s="15"/>
      <c r="F5421" s="11">
        <f t="shared" si="43"/>
      </c>
      <c r="G5421" s="22" cm="1">
        <f t="array" ref="G5421">IF(AND(Inputs!$C$60,Inputs!$C$61),INDEX(Utility_Rates!$C$29:$F$52,HOUR(C5421)+Inputs!$C$69,MATCH(INDEX(Utility_Rates!$K$6:$K$17,MONTH(C5421))&amp;IF(WEEKDAY(C5421,Inputs!$C$76)&lt;=Inputs!$C$74," weekday"," weekend"),Utility_Rates!$C$28:$F$28,Inputs!$C$68)),"")</f>
      </c>
      <c r="H5421" s="34"/>
      <c r="I5421" s="42">
        <f>IF(AND(ISNUMBER(D5421),ISNUMBER(H5421)),D5421*H5421*Inputs!$C$69,"")</f>
      </c>
      <c r="J5421" s="42">
        <f>IF(AND(ISNUMBER(F5421),ISNUMBER(H5421),F5421&gt;=Inputs!$C$68),F5421*H5421*Inputs!$C$69,"")</f>
      </c>
    </row>
    <row r="5422" spans="2:10" ht="15" customHeight="1" x14ac:dyDescent="0.2">
      <c r="B5422" s="39">
        <f t="shared" si="42"/>
      </c>
      <c r="C5422" s="40">
        <f>IF(Inputs!$C$60,Inputs!$C$11+(B5422-Inputs!$C$69)/Inputs!$C$70,"")</f>
      </c>
      <c r="D5422" s="15"/>
      <c r="E5422" s="15"/>
      <c r="F5422" s="11">
        <f t="shared" si="43"/>
      </c>
      <c r="G5422" s="22" cm="1">
        <f t="array" ref="G5422">IF(AND(Inputs!$C$60,Inputs!$C$61),INDEX(Utility_Rates!$C$29:$F$52,HOUR(C5422)+Inputs!$C$69,MATCH(INDEX(Utility_Rates!$K$6:$K$17,MONTH(C5422))&amp;IF(WEEKDAY(C5422,Inputs!$C$76)&lt;=Inputs!$C$74," weekday"," weekend"),Utility_Rates!$C$28:$F$28,Inputs!$C$68)),"")</f>
      </c>
      <c r="H5422" s="34"/>
      <c r="I5422" s="42">
        <f>IF(AND(ISNUMBER(D5422),ISNUMBER(H5422)),D5422*H5422*Inputs!$C$69,"")</f>
      </c>
      <c r="J5422" s="42">
        <f>IF(AND(ISNUMBER(F5422),ISNUMBER(H5422),F5422&gt;=Inputs!$C$68),F5422*H5422*Inputs!$C$69,"")</f>
      </c>
    </row>
    <row r="5423" spans="2:10" ht="15" customHeight="1" x14ac:dyDescent="0.2">
      <c r="B5423" s="39">
        <f t="shared" si="42"/>
      </c>
      <c r="C5423" s="40">
        <f>IF(Inputs!$C$60,Inputs!$C$11+(B5423-Inputs!$C$69)/Inputs!$C$70,"")</f>
      </c>
      <c r="D5423" s="15"/>
      <c r="E5423" s="15"/>
      <c r="F5423" s="11">
        <f t="shared" si="43"/>
      </c>
      <c r="G5423" s="22" cm="1">
        <f t="array" ref="G5423">IF(AND(Inputs!$C$60,Inputs!$C$61),INDEX(Utility_Rates!$C$29:$F$52,HOUR(C5423)+Inputs!$C$69,MATCH(INDEX(Utility_Rates!$K$6:$K$17,MONTH(C5423))&amp;IF(WEEKDAY(C5423,Inputs!$C$76)&lt;=Inputs!$C$74," weekday"," weekend"),Utility_Rates!$C$28:$F$28,Inputs!$C$68)),"")</f>
      </c>
      <c r="H5423" s="34"/>
      <c r="I5423" s="42">
        <f>IF(AND(ISNUMBER(D5423),ISNUMBER(H5423)),D5423*H5423*Inputs!$C$69,"")</f>
      </c>
      <c r="J5423" s="42">
        <f>IF(AND(ISNUMBER(F5423),ISNUMBER(H5423),F5423&gt;=Inputs!$C$68),F5423*H5423*Inputs!$C$69,"")</f>
      </c>
    </row>
    <row r="5424" spans="2:10" ht="15" customHeight="1" x14ac:dyDescent="0.2">
      <c r="B5424" s="39">
        <f t="shared" si="42"/>
      </c>
      <c r="C5424" s="40">
        <f>IF(Inputs!$C$60,Inputs!$C$11+(B5424-Inputs!$C$69)/Inputs!$C$70,"")</f>
      </c>
      <c r="D5424" s="15"/>
      <c r="E5424" s="15"/>
      <c r="F5424" s="11">
        <f t="shared" si="43"/>
      </c>
      <c r="G5424" s="22" cm="1">
        <f t="array" ref="G5424">IF(AND(Inputs!$C$60,Inputs!$C$61),INDEX(Utility_Rates!$C$29:$F$52,HOUR(C5424)+Inputs!$C$69,MATCH(INDEX(Utility_Rates!$K$6:$K$17,MONTH(C5424))&amp;IF(WEEKDAY(C5424,Inputs!$C$76)&lt;=Inputs!$C$74," weekday"," weekend"),Utility_Rates!$C$28:$F$28,Inputs!$C$68)),"")</f>
      </c>
      <c r="H5424" s="34"/>
      <c r="I5424" s="42">
        <f>IF(AND(ISNUMBER(D5424),ISNUMBER(H5424)),D5424*H5424*Inputs!$C$69,"")</f>
      </c>
      <c r="J5424" s="42">
        <f>IF(AND(ISNUMBER(F5424),ISNUMBER(H5424),F5424&gt;=Inputs!$C$68),F5424*H5424*Inputs!$C$69,"")</f>
      </c>
    </row>
    <row r="5425" spans="2:10" ht="15" customHeight="1" x14ac:dyDescent="0.2">
      <c r="B5425" s="39">
        <f t="shared" si="42"/>
      </c>
      <c r="C5425" s="40">
        <f>IF(Inputs!$C$60,Inputs!$C$11+(B5425-Inputs!$C$69)/Inputs!$C$70,"")</f>
      </c>
      <c r="D5425" s="15"/>
      <c r="E5425" s="15"/>
      <c r="F5425" s="11">
        <f t="shared" si="43"/>
      </c>
      <c r="G5425" s="22" cm="1">
        <f t="array" ref="G5425">IF(AND(Inputs!$C$60,Inputs!$C$61),INDEX(Utility_Rates!$C$29:$F$52,HOUR(C5425)+Inputs!$C$69,MATCH(INDEX(Utility_Rates!$K$6:$K$17,MONTH(C5425))&amp;IF(WEEKDAY(C5425,Inputs!$C$76)&lt;=Inputs!$C$74," weekday"," weekend"),Utility_Rates!$C$28:$F$28,Inputs!$C$68)),"")</f>
      </c>
      <c r="H5425" s="34"/>
      <c r="I5425" s="42">
        <f>IF(AND(ISNUMBER(D5425),ISNUMBER(H5425)),D5425*H5425*Inputs!$C$69,"")</f>
      </c>
      <c r="J5425" s="42">
        <f>IF(AND(ISNUMBER(F5425),ISNUMBER(H5425),F5425&gt;=Inputs!$C$68),F5425*H5425*Inputs!$C$69,"")</f>
      </c>
    </row>
    <row r="5426" spans="2:10" ht="15" customHeight="1" x14ac:dyDescent="0.2">
      <c r="B5426" s="39">
        <f t="shared" si="42"/>
      </c>
      <c r="C5426" s="40">
        <f>IF(Inputs!$C$60,Inputs!$C$11+(B5426-Inputs!$C$69)/Inputs!$C$70,"")</f>
      </c>
      <c r="D5426" s="15"/>
      <c r="E5426" s="15"/>
      <c r="F5426" s="11">
        <f t="shared" si="43"/>
      </c>
      <c r="G5426" s="22" cm="1">
        <f t="array" ref="G5426">IF(AND(Inputs!$C$60,Inputs!$C$61),INDEX(Utility_Rates!$C$29:$F$52,HOUR(C5426)+Inputs!$C$69,MATCH(INDEX(Utility_Rates!$K$6:$K$17,MONTH(C5426))&amp;IF(WEEKDAY(C5426,Inputs!$C$76)&lt;=Inputs!$C$74," weekday"," weekend"),Utility_Rates!$C$28:$F$28,Inputs!$C$68)),"")</f>
      </c>
      <c r="H5426" s="34"/>
      <c r="I5426" s="42">
        <f>IF(AND(ISNUMBER(D5426),ISNUMBER(H5426)),D5426*H5426*Inputs!$C$69,"")</f>
      </c>
      <c r="J5426" s="42">
        <f>IF(AND(ISNUMBER(F5426),ISNUMBER(H5426),F5426&gt;=Inputs!$C$68),F5426*H5426*Inputs!$C$69,"")</f>
      </c>
    </row>
    <row r="5427" spans="2:10" ht="15" customHeight="1" x14ac:dyDescent="0.2">
      <c r="B5427" s="39">
        <f t="shared" si="42"/>
      </c>
      <c r="C5427" s="40">
        <f>IF(Inputs!$C$60,Inputs!$C$11+(B5427-Inputs!$C$69)/Inputs!$C$70,"")</f>
      </c>
      <c r="D5427" s="15"/>
      <c r="E5427" s="15"/>
      <c r="F5427" s="11">
        <f t="shared" si="43"/>
      </c>
      <c r="G5427" s="22" cm="1">
        <f t="array" ref="G5427">IF(AND(Inputs!$C$60,Inputs!$C$61),INDEX(Utility_Rates!$C$29:$F$52,HOUR(C5427)+Inputs!$C$69,MATCH(INDEX(Utility_Rates!$K$6:$K$17,MONTH(C5427))&amp;IF(WEEKDAY(C5427,Inputs!$C$76)&lt;=Inputs!$C$74," weekday"," weekend"),Utility_Rates!$C$28:$F$28,Inputs!$C$68)),"")</f>
      </c>
      <c r="H5427" s="34"/>
      <c r="I5427" s="42">
        <f>IF(AND(ISNUMBER(D5427),ISNUMBER(H5427)),D5427*H5427*Inputs!$C$69,"")</f>
      </c>
      <c r="J5427" s="42">
        <f>IF(AND(ISNUMBER(F5427),ISNUMBER(H5427),F5427&gt;=Inputs!$C$68),F5427*H5427*Inputs!$C$69,"")</f>
      </c>
    </row>
    <row r="5428" spans="2:10" ht="15" customHeight="1" x14ac:dyDescent="0.2">
      <c r="B5428" s="39">
        <f t="shared" si="42"/>
      </c>
      <c r="C5428" s="40">
        <f>IF(Inputs!$C$60,Inputs!$C$11+(B5428-Inputs!$C$69)/Inputs!$C$70,"")</f>
      </c>
      <c r="D5428" s="15"/>
      <c r="E5428" s="15"/>
      <c r="F5428" s="11">
        <f t="shared" si="43"/>
      </c>
      <c r="G5428" s="22" cm="1">
        <f t="array" ref="G5428">IF(AND(Inputs!$C$60,Inputs!$C$61),INDEX(Utility_Rates!$C$29:$F$52,HOUR(C5428)+Inputs!$C$69,MATCH(INDEX(Utility_Rates!$K$6:$K$17,MONTH(C5428))&amp;IF(WEEKDAY(C5428,Inputs!$C$76)&lt;=Inputs!$C$74," weekday"," weekend"),Utility_Rates!$C$28:$F$28,Inputs!$C$68)),"")</f>
      </c>
      <c r="H5428" s="34"/>
      <c r="I5428" s="42">
        <f>IF(AND(ISNUMBER(D5428),ISNUMBER(H5428)),D5428*H5428*Inputs!$C$69,"")</f>
      </c>
      <c r="J5428" s="42">
        <f>IF(AND(ISNUMBER(F5428),ISNUMBER(H5428),F5428&gt;=Inputs!$C$68),F5428*H5428*Inputs!$C$69,"")</f>
      </c>
    </row>
    <row r="5429" spans="2:10" ht="15" customHeight="1" x14ac:dyDescent="0.2">
      <c r="B5429" s="39">
        <f t="shared" si="42"/>
      </c>
      <c r="C5429" s="40">
        <f>IF(Inputs!$C$60,Inputs!$C$11+(B5429-Inputs!$C$69)/Inputs!$C$70,"")</f>
      </c>
      <c r="D5429" s="15"/>
      <c r="E5429" s="15"/>
      <c r="F5429" s="11">
        <f t="shared" si="43"/>
      </c>
      <c r="G5429" s="22" cm="1">
        <f t="array" ref="G5429">IF(AND(Inputs!$C$60,Inputs!$C$61),INDEX(Utility_Rates!$C$29:$F$52,HOUR(C5429)+Inputs!$C$69,MATCH(INDEX(Utility_Rates!$K$6:$K$17,MONTH(C5429))&amp;IF(WEEKDAY(C5429,Inputs!$C$76)&lt;=Inputs!$C$74," weekday"," weekend"),Utility_Rates!$C$28:$F$28,Inputs!$C$68)),"")</f>
      </c>
      <c r="H5429" s="34"/>
      <c r="I5429" s="42">
        <f>IF(AND(ISNUMBER(D5429),ISNUMBER(H5429)),D5429*H5429*Inputs!$C$69,"")</f>
      </c>
      <c r="J5429" s="42">
        <f>IF(AND(ISNUMBER(F5429),ISNUMBER(H5429),F5429&gt;=Inputs!$C$68),F5429*H5429*Inputs!$C$69,"")</f>
      </c>
    </row>
    <row r="5430" spans="2:10" ht="15" customHeight="1" x14ac:dyDescent="0.2">
      <c r="B5430" s="39">
        <f t="shared" si="42"/>
      </c>
      <c r="C5430" s="40">
        <f>IF(Inputs!$C$60,Inputs!$C$11+(B5430-Inputs!$C$69)/Inputs!$C$70,"")</f>
      </c>
      <c r="D5430" s="15"/>
      <c r="E5430" s="15"/>
      <c r="F5430" s="11">
        <f t="shared" si="43"/>
      </c>
      <c r="G5430" s="22" cm="1">
        <f t="array" ref="G5430">IF(AND(Inputs!$C$60,Inputs!$C$61),INDEX(Utility_Rates!$C$29:$F$52,HOUR(C5430)+Inputs!$C$69,MATCH(INDEX(Utility_Rates!$K$6:$K$17,MONTH(C5430))&amp;IF(WEEKDAY(C5430,Inputs!$C$76)&lt;=Inputs!$C$74," weekday"," weekend"),Utility_Rates!$C$28:$F$28,Inputs!$C$68)),"")</f>
      </c>
      <c r="H5430" s="34"/>
      <c r="I5430" s="42">
        <f>IF(AND(ISNUMBER(D5430),ISNUMBER(H5430)),D5430*H5430*Inputs!$C$69,"")</f>
      </c>
      <c r="J5430" s="42">
        <f>IF(AND(ISNUMBER(F5430),ISNUMBER(H5430),F5430&gt;=Inputs!$C$68),F5430*H5430*Inputs!$C$69,"")</f>
      </c>
    </row>
    <row r="5431" spans="2:10" ht="15" customHeight="1" x14ac:dyDescent="0.2">
      <c r="B5431" s="39">
        <f t="shared" si="42"/>
      </c>
      <c r="C5431" s="40">
        <f>IF(Inputs!$C$60,Inputs!$C$11+(B5431-Inputs!$C$69)/Inputs!$C$70,"")</f>
      </c>
      <c r="D5431" s="15"/>
      <c r="E5431" s="15"/>
      <c r="F5431" s="11">
        <f t="shared" si="43"/>
      </c>
      <c r="G5431" s="22" cm="1">
        <f t="array" ref="G5431">IF(AND(Inputs!$C$60,Inputs!$C$61),INDEX(Utility_Rates!$C$29:$F$52,HOUR(C5431)+Inputs!$C$69,MATCH(INDEX(Utility_Rates!$K$6:$K$17,MONTH(C5431))&amp;IF(WEEKDAY(C5431,Inputs!$C$76)&lt;=Inputs!$C$74," weekday"," weekend"),Utility_Rates!$C$28:$F$28,Inputs!$C$68)),"")</f>
      </c>
      <c r="H5431" s="34"/>
      <c r="I5431" s="42">
        <f>IF(AND(ISNUMBER(D5431),ISNUMBER(H5431)),D5431*H5431*Inputs!$C$69,"")</f>
      </c>
      <c r="J5431" s="42">
        <f>IF(AND(ISNUMBER(F5431),ISNUMBER(H5431),F5431&gt;=Inputs!$C$68),F5431*H5431*Inputs!$C$69,"")</f>
      </c>
    </row>
    <row r="5432" spans="2:10" ht="15" customHeight="1" x14ac:dyDescent="0.2">
      <c r="B5432" s="39">
        <f t="shared" si="42"/>
      </c>
      <c r="C5432" s="40">
        <f>IF(Inputs!$C$60,Inputs!$C$11+(B5432-Inputs!$C$69)/Inputs!$C$70,"")</f>
      </c>
      <c r="D5432" s="15"/>
      <c r="E5432" s="15"/>
      <c r="F5432" s="11">
        <f t="shared" si="43"/>
      </c>
      <c r="G5432" s="22" cm="1">
        <f t="array" ref="G5432">IF(AND(Inputs!$C$60,Inputs!$C$61),INDEX(Utility_Rates!$C$29:$F$52,HOUR(C5432)+Inputs!$C$69,MATCH(INDEX(Utility_Rates!$K$6:$K$17,MONTH(C5432))&amp;IF(WEEKDAY(C5432,Inputs!$C$76)&lt;=Inputs!$C$74," weekday"," weekend"),Utility_Rates!$C$28:$F$28,Inputs!$C$68)),"")</f>
      </c>
      <c r="H5432" s="34"/>
      <c r="I5432" s="42">
        <f>IF(AND(ISNUMBER(D5432),ISNUMBER(H5432)),D5432*H5432*Inputs!$C$69,"")</f>
      </c>
      <c r="J5432" s="42">
        <f>IF(AND(ISNUMBER(F5432),ISNUMBER(H5432),F5432&gt;=Inputs!$C$68),F5432*H5432*Inputs!$C$69,"")</f>
      </c>
    </row>
    <row r="5433" spans="2:10" ht="15" customHeight="1" x14ac:dyDescent="0.2">
      <c r="B5433" s="39">
        <f t="shared" si="42"/>
      </c>
      <c r="C5433" s="40">
        <f>IF(Inputs!$C$60,Inputs!$C$11+(B5433-Inputs!$C$69)/Inputs!$C$70,"")</f>
      </c>
      <c r="D5433" s="15"/>
      <c r="E5433" s="15"/>
      <c r="F5433" s="11">
        <f t="shared" si="43"/>
      </c>
      <c r="G5433" s="22" cm="1">
        <f t="array" ref="G5433">IF(AND(Inputs!$C$60,Inputs!$C$61),INDEX(Utility_Rates!$C$29:$F$52,HOUR(C5433)+Inputs!$C$69,MATCH(INDEX(Utility_Rates!$K$6:$K$17,MONTH(C5433))&amp;IF(WEEKDAY(C5433,Inputs!$C$76)&lt;=Inputs!$C$74," weekday"," weekend"),Utility_Rates!$C$28:$F$28,Inputs!$C$68)),"")</f>
      </c>
      <c r="H5433" s="34"/>
      <c r="I5433" s="42">
        <f>IF(AND(ISNUMBER(D5433),ISNUMBER(H5433)),D5433*H5433*Inputs!$C$69,"")</f>
      </c>
      <c r="J5433" s="42">
        <f>IF(AND(ISNUMBER(F5433),ISNUMBER(H5433),F5433&gt;=Inputs!$C$68),F5433*H5433*Inputs!$C$69,"")</f>
      </c>
    </row>
    <row r="5434" spans="2:10" ht="15" customHeight="1" x14ac:dyDescent="0.2">
      <c r="B5434" s="39">
        <f t="shared" si="42"/>
      </c>
      <c r="C5434" s="40">
        <f>IF(Inputs!$C$60,Inputs!$C$11+(B5434-Inputs!$C$69)/Inputs!$C$70,"")</f>
      </c>
      <c r="D5434" s="15"/>
      <c r="E5434" s="15"/>
      <c r="F5434" s="11">
        <f t="shared" si="43"/>
      </c>
      <c r="G5434" s="22" cm="1">
        <f t="array" ref="G5434">IF(AND(Inputs!$C$60,Inputs!$C$61),INDEX(Utility_Rates!$C$29:$F$52,HOUR(C5434)+Inputs!$C$69,MATCH(INDEX(Utility_Rates!$K$6:$K$17,MONTH(C5434))&amp;IF(WEEKDAY(C5434,Inputs!$C$76)&lt;=Inputs!$C$74," weekday"," weekend"),Utility_Rates!$C$28:$F$28,Inputs!$C$68)),"")</f>
      </c>
      <c r="H5434" s="34"/>
      <c r="I5434" s="42">
        <f>IF(AND(ISNUMBER(D5434),ISNUMBER(H5434)),D5434*H5434*Inputs!$C$69,"")</f>
      </c>
      <c r="J5434" s="42">
        <f>IF(AND(ISNUMBER(F5434),ISNUMBER(H5434),F5434&gt;=Inputs!$C$68),F5434*H5434*Inputs!$C$69,"")</f>
      </c>
    </row>
    <row r="5435" spans="2:10" ht="15" customHeight="1" x14ac:dyDescent="0.2">
      <c r="B5435" s="39">
        <f t="shared" si="42"/>
      </c>
      <c r="C5435" s="40">
        <f>IF(Inputs!$C$60,Inputs!$C$11+(B5435-Inputs!$C$69)/Inputs!$C$70,"")</f>
      </c>
      <c r="D5435" s="15"/>
      <c r="E5435" s="15"/>
      <c r="F5435" s="11">
        <f t="shared" si="43"/>
      </c>
      <c r="G5435" s="22" cm="1">
        <f t="array" ref="G5435">IF(AND(Inputs!$C$60,Inputs!$C$61),INDEX(Utility_Rates!$C$29:$F$52,HOUR(C5435)+Inputs!$C$69,MATCH(INDEX(Utility_Rates!$K$6:$K$17,MONTH(C5435))&amp;IF(WEEKDAY(C5435,Inputs!$C$76)&lt;=Inputs!$C$74," weekday"," weekend"),Utility_Rates!$C$28:$F$28,Inputs!$C$68)),"")</f>
      </c>
      <c r="H5435" s="34"/>
      <c r="I5435" s="42">
        <f>IF(AND(ISNUMBER(D5435),ISNUMBER(H5435)),D5435*H5435*Inputs!$C$69,"")</f>
      </c>
      <c r="J5435" s="42">
        <f>IF(AND(ISNUMBER(F5435),ISNUMBER(H5435),F5435&gt;=Inputs!$C$68),F5435*H5435*Inputs!$C$69,"")</f>
      </c>
    </row>
    <row r="5436" spans="2:10" ht="15" customHeight="1" x14ac:dyDescent="0.2">
      <c r="B5436" s="39">
        <f t="shared" si="42"/>
      </c>
      <c r="C5436" s="40">
        <f>IF(Inputs!$C$60,Inputs!$C$11+(B5436-Inputs!$C$69)/Inputs!$C$70,"")</f>
      </c>
      <c r="D5436" s="15"/>
      <c r="E5436" s="15"/>
      <c r="F5436" s="11">
        <f t="shared" si="43"/>
      </c>
      <c r="G5436" s="22" cm="1">
        <f t="array" ref="G5436">IF(AND(Inputs!$C$60,Inputs!$C$61),INDEX(Utility_Rates!$C$29:$F$52,HOUR(C5436)+Inputs!$C$69,MATCH(INDEX(Utility_Rates!$K$6:$K$17,MONTH(C5436))&amp;IF(WEEKDAY(C5436,Inputs!$C$76)&lt;=Inputs!$C$74," weekday"," weekend"),Utility_Rates!$C$28:$F$28,Inputs!$C$68)),"")</f>
      </c>
      <c r="H5436" s="34"/>
      <c r="I5436" s="42">
        <f>IF(AND(ISNUMBER(D5436),ISNUMBER(H5436)),D5436*H5436*Inputs!$C$69,"")</f>
      </c>
      <c r="J5436" s="42">
        <f>IF(AND(ISNUMBER(F5436),ISNUMBER(H5436),F5436&gt;=Inputs!$C$68),F5436*H5436*Inputs!$C$69,"")</f>
      </c>
    </row>
    <row r="5437" spans="2:10" ht="15" customHeight="1" x14ac:dyDescent="0.2">
      <c r="B5437" s="39">
        <f t="shared" si="42"/>
      </c>
      <c r="C5437" s="40">
        <f>IF(Inputs!$C$60,Inputs!$C$11+(B5437-Inputs!$C$69)/Inputs!$C$70,"")</f>
      </c>
      <c r="D5437" s="15"/>
      <c r="E5437" s="15"/>
      <c r="F5437" s="11">
        <f t="shared" si="43"/>
      </c>
      <c r="G5437" s="22" cm="1">
        <f t="array" ref="G5437">IF(AND(Inputs!$C$60,Inputs!$C$61),INDEX(Utility_Rates!$C$29:$F$52,HOUR(C5437)+Inputs!$C$69,MATCH(INDEX(Utility_Rates!$K$6:$K$17,MONTH(C5437))&amp;IF(WEEKDAY(C5437,Inputs!$C$76)&lt;=Inputs!$C$74," weekday"," weekend"),Utility_Rates!$C$28:$F$28,Inputs!$C$68)),"")</f>
      </c>
      <c r="H5437" s="34"/>
      <c r="I5437" s="42">
        <f>IF(AND(ISNUMBER(D5437),ISNUMBER(H5437)),D5437*H5437*Inputs!$C$69,"")</f>
      </c>
      <c r="J5437" s="42">
        <f>IF(AND(ISNUMBER(F5437),ISNUMBER(H5437),F5437&gt;=Inputs!$C$68),F5437*H5437*Inputs!$C$69,"")</f>
      </c>
    </row>
    <row r="5438" spans="2:10" ht="15" customHeight="1" x14ac:dyDescent="0.2">
      <c r="B5438" s="39">
        <f t="shared" si="42"/>
      </c>
      <c r="C5438" s="40">
        <f>IF(Inputs!$C$60,Inputs!$C$11+(B5438-Inputs!$C$69)/Inputs!$C$70,"")</f>
      </c>
      <c r="D5438" s="15"/>
      <c r="E5438" s="15"/>
      <c r="F5438" s="11">
        <f t="shared" si="43"/>
      </c>
      <c r="G5438" s="22" cm="1">
        <f t="array" ref="G5438">IF(AND(Inputs!$C$60,Inputs!$C$61),INDEX(Utility_Rates!$C$29:$F$52,HOUR(C5438)+Inputs!$C$69,MATCH(INDEX(Utility_Rates!$K$6:$K$17,MONTH(C5438))&amp;IF(WEEKDAY(C5438,Inputs!$C$76)&lt;=Inputs!$C$74," weekday"," weekend"),Utility_Rates!$C$28:$F$28,Inputs!$C$68)),"")</f>
      </c>
      <c r="H5438" s="34"/>
      <c r="I5438" s="42">
        <f>IF(AND(ISNUMBER(D5438),ISNUMBER(H5438)),D5438*H5438*Inputs!$C$69,"")</f>
      </c>
      <c r="J5438" s="42">
        <f>IF(AND(ISNUMBER(F5438),ISNUMBER(H5438),F5438&gt;=Inputs!$C$68),F5438*H5438*Inputs!$C$69,"")</f>
      </c>
    </row>
    <row r="5439" spans="2:10" ht="15" customHeight="1" x14ac:dyDescent="0.2">
      <c r="B5439" s="39">
        <f t="shared" si="42"/>
      </c>
      <c r="C5439" s="40">
        <f>IF(Inputs!$C$60,Inputs!$C$11+(B5439-Inputs!$C$69)/Inputs!$C$70,"")</f>
      </c>
      <c r="D5439" s="15"/>
      <c r="E5439" s="15"/>
      <c r="F5439" s="11">
        <f t="shared" si="43"/>
      </c>
      <c r="G5439" s="22" cm="1">
        <f t="array" ref="G5439">IF(AND(Inputs!$C$60,Inputs!$C$61),INDEX(Utility_Rates!$C$29:$F$52,HOUR(C5439)+Inputs!$C$69,MATCH(INDEX(Utility_Rates!$K$6:$K$17,MONTH(C5439))&amp;IF(WEEKDAY(C5439,Inputs!$C$76)&lt;=Inputs!$C$74," weekday"," weekend"),Utility_Rates!$C$28:$F$28,Inputs!$C$68)),"")</f>
      </c>
      <c r="H5439" s="34"/>
      <c r="I5439" s="42">
        <f>IF(AND(ISNUMBER(D5439),ISNUMBER(H5439)),D5439*H5439*Inputs!$C$69,"")</f>
      </c>
      <c r="J5439" s="42">
        <f>IF(AND(ISNUMBER(F5439),ISNUMBER(H5439),F5439&gt;=Inputs!$C$68),F5439*H5439*Inputs!$C$69,"")</f>
      </c>
    </row>
    <row r="5440" spans="2:10" ht="15" customHeight="1" x14ac:dyDescent="0.2">
      <c r="B5440" s="39">
        <f t="shared" si="42"/>
      </c>
      <c r="C5440" s="40">
        <f>IF(Inputs!$C$60,Inputs!$C$11+(B5440-Inputs!$C$69)/Inputs!$C$70,"")</f>
      </c>
      <c r="D5440" s="15"/>
      <c r="E5440" s="15"/>
      <c r="F5440" s="11">
        <f t="shared" si="43"/>
      </c>
      <c r="G5440" s="22" cm="1">
        <f t="array" ref="G5440">IF(AND(Inputs!$C$60,Inputs!$C$61),INDEX(Utility_Rates!$C$29:$F$52,HOUR(C5440)+Inputs!$C$69,MATCH(INDEX(Utility_Rates!$K$6:$K$17,MONTH(C5440))&amp;IF(WEEKDAY(C5440,Inputs!$C$76)&lt;=Inputs!$C$74," weekday"," weekend"),Utility_Rates!$C$28:$F$28,Inputs!$C$68)),"")</f>
      </c>
      <c r="H5440" s="34"/>
      <c r="I5440" s="42">
        <f>IF(AND(ISNUMBER(D5440),ISNUMBER(H5440)),D5440*H5440*Inputs!$C$69,"")</f>
      </c>
      <c r="J5440" s="42">
        <f>IF(AND(ISNUMBER(F5440),ISNUMBER(H5440),F5440&gt;=Inputs!$C$68),F5440*H5440*Inputs!$C$69,"")</f>
      </c>
    </row>
    <row r="5441" spans="2:10" ht="15" customHeight="1" x14ac:dyDescent="0.2">
      <c r="B5441" s="39">
        <f t="shared" si="42"/>
      </c>
      <c r="C5441" s="40">
        <f>IF(Inputs!$C$60,Inputs!$C$11+(B5441-Inputs!$C$69)/Inputs!$C$70,"")</f>
      </c>
      <c r="D5441" s="15"/>
      <c r="E5441" s="15"/>
      <c r="F5441" s="11">
        <f t="shared" si="43"/>
      </c>
      <c r="G5441" s="22" cm="1">
        <f t="array" ref="G5441">IF(AND(Inputs!$C$60,Inputs!$C$61),INDEX(Utility_Rates!$C$29:$F$52,HOUR(C5441)+Inputs!$C$69,MATCH(INDEX(Utility_Rates!$K$6:$K$17,MONTH(C5441))&amp;IF(WEEKDAY(C5441,Inputs!$C$76)&lt;=Inputs!$C$74," weekday"," weekend"),Utility_Rates!$C$28:$F$28,Inputs!$C$68)),"")</f>
      </c>
      <c r="H5441" s="34"/>
      <c r="I5441" s="42">
        <f>IF(AND(ISNUMBER(D5441),ISNUMBER(H5441)),D5441*H5441*Inputs!$C$69,"")</f>
      </c>
      <c r="J5441" s="42">
        <f>IF(AND(ISNUMBER(F5441),ISNUMBER(H5441),F5441&gt;=Inputs!$C$68),F5441*H5441*Inputs!$C$69,"")</f>
      </c>
    </row>
    <row r="5442" spans="2:10" ht="15" customHeight="1" x14ac:dyDescent="0.2">
      <c r="B5442" s="39">
        <f t="shared" si="42"/>
      </c>
      <c r="C5442" s="40">
        <f>IF(Inputs!$C$60,Inputs!$C$11+(B5442-Inputs!$C$69)/Inputs!$C$70,"")</f>
      </c>
      <c r="D5442" s="15"/>
      <c r="E5442" s="15"/>
      <c r="F5442" s="11">
        <f t="shared" si="43"/>
      </c>
      <c r="G5442" s="22" cm="1">
        <f t="array" ref="G5442">IF(AND(Inputs!$C$60,Inputs!$C$61),INDEX(Utility_Rates!$C$29:$F$52,HOUR(C5442)+Inputs!$C$69,MATCH(INDEX(Utility_Rates!$K$6:$K$17,MONTH(C5442))&amp;IF(WEEKDAY(C5442,Inputs!$C$76)&lt;=Inputs!$C$74," weekday"," weekend"),Utility_Rates!$C$28:$F$28,Inputs!$C$68)),"")</f>
      </c>
      <c r="H5442" s="34"/>
      <c r="I5442" s="42">
        <f>IF(AND(ISNUMBER(D5442),ISNUMBER(H5442)),D5442*H5442*Inputs!$C$69,"")</f>
      </c>
      <c r="J5442" s="42">
        <f>IF(AND(ISNUMBER(F5442),ISNUMBER(H5442),F5442&gt;=Inputs!$C$68),F5442*H5442*Inputs!$C$69,"")</f>
      </c>
    </row>
    <row r="5443" spans="2:10" ht="15" customHeight="1" x14ac:dyDescent="0.2">
      <c r="B5443" s="39">
        <f t="shared" si="42"/>
      </c>
      <c r="C5443" s="40">
        <f>IF(Inputs!$C$60,Inputs!$C$11+(B5443-Inputs!$C$69)/Inputs!$C$70,"")</f>
      </c>
      <c r="D5443" s="15"/>
      <c r="E5443" s="15"/>
      <c r="F5443" s="11">
        <f t="shared" si="43"/>
      </c>
      <c r="G5443" s="22" cm="1">
        <f t="array" ref="G5443">IF(AND(Inputs!$C$60,Inputs!$C$61),INDEX(Utility_Rates!$C$29:$F$52,HOUR(C5443)+Inputs!$C$69,MATCH(INDEX(Utility_Rates!$K$6:$K$17,MONTH(C5443))&amp;IF(WEEKDAY(C5443,Inputs!$C$76)&lt;=Inputs!$C$74," weekday"," weekend"),Utility_Rates!$C$28:$F$28,Inputs!$C$68)),"")</f>
      </c>
      <c r="H5443" s="34"/>
      <c r="I5443" s="42">
        <f>IF(AND(ISNUMBER(D5443),ISNUMBER(H5443)),D5443*H5443*Inputs!$C$69,"")</f>
      </c>
      <c r="J5443" s="42">
        <f>IF(AND(ISNUMBER(F5443),ISNUMBER(H5443),F5443&gt;=Inputs!$C$68),F5443*H5443*Inputs!$C$69,"")</f>
      </c>
    </row>
    <row r="5444" spans="2:10" ht="15" customHeight="1" x14ac:dyDescent="0.2">
      <c r="B5444" s="39">
        <f t="shared" si="42"/>
      </c>
      <c r="C5444" s="40">
        <f>IF(Inputs!$C$60,Inputs!$C$11+(B5444-Inputs!$C$69)/Inputs!$C$70,"")</f>
      </c>
      <c r="D5444" s="15"/>
      <c r="E5444" s="15"/>
      <c r="F5444" s="11">
        <f t="shared" si="43"/>
      </c>
      <c r="G5444" s="22" cm="1">
        <f t="array" ref="G5444">IF(AND(Inputs!$C$60,Inputs!$C$61),INDEX(Utility_Rates!$C$29:$F$52,HOUR(C5444)+Inputs!$C$69,MATCH(INDEX(Utility_Rates!$K$6:$K$17,MONTH(C5444))&amp;IF(WEEKDAY(C5444,Inputs!$C$76)&lt;=Inputs!$C$74," weekday"," weekend"),Utility_Rates!$C$28:$F$28,Inputs!$C$68)),"")</f>
      </c>
      <c r="H5444" s="34"/>
      <c r="I5444" s="42">
        <f>IF(AND(ISNUMBER(D5444),ISNUMBER(H5444)),D5444*H5444*Inputs!$C$69,"")</f>
      </c>
      <c r="J5444" s="42">
        <f>IF(AND(ISNUMBER(F5444),ISNUMBER(H5444),F5444&gt;=Inputs!$C$68),F5444*H5444*Inputs!$C$69,"")</f>
      </c>
    </row>
    <row r="5445" spans="2:10" ht="15" customHeight="1" x14ac:dyDescent="0.2">
      <c r="B5445" s="39">
        <f t="shared" si="42"/>
      </c>
      <c r="C5445" s="40">
        <f>IF(Inputs!$C$60,Inputs!$C$11+(B5445-Inputs!$C$69)/Inputs!$C$70,"")</f>
      </c>
      <c r="D5445" s="15"/>
      <c r="E5445" s="15"/>
      <c r="F5445" s="11">
        <f t="shared" si="43"/>
      </c>
      <c r="G5445" s="22" cm="1">
        <f t="array" ref="G5445">IF(AND(Inputs!$C$60,Inputs!$C$61),INDEX(Utility_Rates!$C$29:$F$52,HOUR(C5445)+Inputs!$C$69,MATCH(INDEX(Utility_Rates!$K$6:$K$17,MONTH(C5445))&amp;IF(WEEKDAY(C5445,Inputs!$C$76)&lt;=Inputs!$C$74," weekday"," weekend"),Utility_Rates!$C$28:$F$28,Inputs!$C$68)),"")</f>
      </c>
      <c r="H5445" s="34"/>
      <c r="I5445" s="42">
        <f>IF(AND(ISNUMBER(D5445),ISNUMBER(H5445)),D5445*H5445*Inputs!$C$69,"")</f>
      </c>
      <c r="J5445" s="42">
        <f>IF(AND(ISNUMBER(F5445),ISNUMBER(H5445),F5445&gt;=Inputs!$C$68),F5445*H5445*Inputs!$C$69,"")</f>
      </c>
    </row>
    <row r="5446" spans="2:10" ht="15" customHeight="1" x14ac:dyDescent="0.2">
      <c r="B5446" s="39">
        <f t="shared" si="42"/>
      </c>
      <c r="C5446" s="40">
        <f>IF(Inputs!$C$60,Inputs!$C$11+(B5446-Inputs!$C$69)/Inputs!$C$70,"")</f>
      </c>
      <c r="D5446" s="15"/>
      <c r="E5446" s="15"/>
      <c r="F5446" s="11">
        <f t="shared" si="43"/>
      </c>
      <c r="G5446" s="22" cm="1">
        <f t="array" ref="G5446">IF(AND(Inputs!$C$60,Inputs!$C$61),INDEX(Utility_Rates!$C$29:$F$52,HOUR(C5446)+Inputs!$C$69,MATCH(INDEX(Utility_Rates!$K$6:$K$17,MONTH(C5446))&amp;IF(WEEKDAY(C5446,Inputs!$C$76)&lt;=Inputs!$C$74," weekday"," weekend"),Utility_Rates!$C$28:$F$28,Inputs!$C$68)),"")</f>
      </c>
      <c r="H5446" s="34"/>
      <c r="I5446" s="42">
        <f>IF(AND(ISNUMBER(D5446),ISNUMBER(H5446)),D5446*H5446*Inputs!$C$69,"")</f>
      </c>
      <c r="J5446" s="42">
        <f>IF(AND(ISNUMBER(F5446),ISNUMBER(H5446),F5446&gt;=Inputs!$C$68),F5446*H5446*Inputs!$C$69,"")</f>
      </c>
    </row>
    <row r="5447" spans="2:10" ht="15" customHeight="1" x14ac:dyDescent="0.2">
      <c r="B5447" s="39">
        <f t="shared" si="42"/>
      </c>
      <c r="C5447" s="40">
        <f>IF(Inputs!$C$60,Inputs!$C$11+(B5447-Inputs!$C$69)/Inputs!$C$70,"")</f>
      </c>
      <c r="D5447" s="15"/>
      <c r="E5447" s="15"/>
      <c r="F5447" s="11">
        <f t="shared" si="43"/>
      </c>
      <c r="G5447" s="22" cm="1">
        <f t="array" ref="G5447">IF(AND(Inputs!$C$60,Inputs!$C$61),INDEX(Utility_Rates!$C$29:$F$52,HOUR(C5447)+Inputs!$C$69,MATCH(INDEX(Utility_Rates!$K$6:$K$17,MONTH(C5447))&amp;IF(WEEKDAY(C5447,Inputs!$C$76)&lt;=Inputs!$C$74," weekday"," weekend"),Utility_Rates!$C$28:$F$28,Inputs!$C$68)),"")</f>
      </c>
      <c r="H5447" s="34"/>
      <c r="I5447" s="42">
        <f>IF(AND(ISNUMBER(D5447),ISNUMBER(H5447)),D5447*H5447*Inputs!$C$69,"")</f>
      </c>
      <c r="J5447" s="42">
        <f>IF(AND(ISNUMBER(F5447),ISNUMBER(H5447),F5447&gt;=Inputs!$C$68),F5447*H5447*Inputs!$C$69,"")</f>
      </c>
    </row>
    <row r="5448" spans="2:10" ht="15" customHeight="1" x14ac:dyDescent="0.2">
      <c r="B5448" s="39">
        <f t="shared" si="42"/>
      </c>
      <c r="C5448" s="40">
        <f>IF(Inputs!$C$60,Inputs!$C$11+(B5448-Inputs!$C$69)/Inputs!$C$70,"")</f>
      </c>
      <c r="D5448" s="15"/>
      <c r="E5448" s="15"/>
      <c r="F5448" s="11">
        <f t="shared" si="43"/>
      </c>
      <c r="G5448" s="22" cm="1">
        <f t="array" ref="G5448">IF(AND(Inputs!$C$60,Inputs!$C$61),INDEX(Utility_Rates!$C$29:$F$52,HOUR(C5448)+Inputs!$C$69,MATCH(INDEX(Utility_Rates!$K$6:$K$17,MONTH(C5448))&amp;IF(WEEKDAY(C5448,Inputs!$C$76)&lt;=Inputs!$C$74," weekday"," weekend"),Utility_Rates!$C$28:$F$28,Inputs!$C$68)),"")</f>
      </c>
      <c r="H5448" s="34"/>
      <c r="I5448" s="42">
        <f>IF(AND(ISNUMBER(D5448),ISNUMBER(H5448)),D5448*H5448*Inputs!$C$69,"")</f>
      </c>
      <c r="J5448" s="42">
        <f>IF(AND(ISNUMBER(F5448),ISNUMBER(H5448),F5448&gt;=Inputs!$C$68),F5448*H5448*Inputs!$C$69,"")</f>
      </c>
    </row>
    <row r="5449" spans="2:10" ht="15" customHeight="1" x14ac:dyDescent="0.2">
      <c r="B5449" s="39">
        <f t="shared" si="42"/>
      </c>
      <c r="C5449" s="40">
        <f>IF(Inputs!$C$60,Inputs!$C$11+(B5449-Inputs!$C$69)/Inputs!$C$70,"")</f>
      </c>
      <c r="D5449" s="15"/>
      <c r="E5449" s="15"/>
      <c r="F5449" s="11">
        <f t="shared" si="43"/>
      </c>
      <c r="G5449" s="22" cm="1">
        <f t="array" ref="G5449">IF(AND(Inputs!$C$60,Inputs!$C$61),INDEX(Utility_Rates!$C$29:$F$52,HOUR(C5449)+Inputs!$C$69,MATCH(INDEX(Utility_Rates!$K$6:$K$17,MONTH(C5449))&amp;IF(WEEKDAY(C5449,Inputs!$C$76)&lt;=Inputs!$C$74," weekday"," weekend"),Utility_Rates!$C$28:$F$28,Inputs!$C$68)),"")</f>
      </c>
      <c r="H5449" s="34"/>
      <c r="I5449" s="42">
        <f>IF(AND(ISNUMBER(D5449),ISNUMBER(H5449)),D5449*H5449*Inputs!$C$69,"")</f>
      </c>
      <c r="J5449" s="42">
        <f>IF(AND(ISNUMBER(F5449),ISNUMBER(H5449),F5449&gt;=Inputs!$C$68),F5449*H5449*Inputs!$C$69,"")</f>
      </c>
    </row>
    <row r="5450" spans="2:10" ht="15" customHeight="1" x14ac:dyDescent="0.2">
      <c r="B5450" s="39">
        <f t="shared" si="42"/>
      </c>
      <c r="C5450" s="40">
        <f>IF(Inputs!$C$60,Inputs!$C$11+(B5450-Inputs!$C$69)/Inputs!$C$70,"")</f>
      </c>
      <c r="D5450" s="15"/>
      <c r="E5450" s="15"/>
      <c r="F5450" s="11">
        <f t="shared" si="43"/>
      </c>
      <c r="G5450" s="22" cm="1">
        <f t="array" ref="G5450">IF(AND(Inputs!$C$60,Inputs!$C$61),INDEX(Utility_Rates!$C$29:$F$52,HOUR(C5450)+Inputs!$C$69,MATCH(INDEX(Utility_Rates!$K$6:$K$17,MONTH(C5450))&amp;IF(WEEKDAY(C5450,Inputs!$C$76)&lt;=Inputs!$C$74," weekday"," weekend"),Utility_Rates!$C$28:$F$28,Inputs!$C$68)),"")</f>
      </c>
      <c r="H5450" s="34"/>
      <c r="I5450" s="42">
        <f>IF(AND(ISNUMBER(D5450),ISNUMBER(H5450)),D5450*H5450*Inputs!$C$69,"")</f>
      </c>
      <c r="J5450" s="42">
        <f>IF(AND(ISNUMBER(F5450),ISNUMBER(H5450),F5450&gt;=Inputs!$C$68),F5450*H5450*Inputs!$C$69,"")</f>
      </c>
    </row>
    <row r="5451" spans="2:10" ht="15" customHeight="1" x14ac:dyDescent="0.2">
      <c r="B5451" s="39">
        <f t="shared" si="42"/>
      </c>
      <c r="C5451" s="40">
        <f>IF(Inputs!$C$60,Inputs!$C$11+(B5451-Inputs!$C$69)/Inputs!$C$70,"")</f>
      </c>
      <c r="D5451" s="15"/>
      <c r="E5451" s="15"/>
      <c r="F5451" s="11">
        <f t="shared" si="43"/>
      </c>
      <c r="G5451" s="22" cm="1">
        <f t="array" ref="G5451">IF(AND(Inputs!$C$60,Inputs!$C$61),INDEX(Utility_Rates!$C$29:$F$52,HOUR(C5451)+Inputs!$C$69,MATCH(INDEX(Utility_Rates!$K$6:$K$17,MONTH(C5451))&amp;IF(WEEKDAY(C5451,Inputs!$C$76)&lt;=Inputs!$C$74," weekday"," weekend"),Utility_Rates!$C$28:$F$28,Inputs!$C$68)),"")</f>
      </c>
      <c r="H5451" s="34"/>
      <c r="I5451" s="42">
        <f>IF(AND(ISNUMBER(D5451),ISNUMBER(H5451)),D5451*H5451*Inputs!$C$69,"")</f>
      </c>
      <c r="J5451" s="42">
        <f>IF(AND(ISNUMBER(F5451),ISNUMBER(H5451),F5451&gt;=Inputs!$C$68),F5451*H5451*Inputs!$C$69,"")</f>
      </c>
    </row>
    <row r="5452" spans="2:10" ht="15" customHeight="1" x14ac:dyDescent="0.2">
      <c r="B5452" s="39">
        <f t="shared" si="42"/>
      </c>
      <c r="C5452" s="40">
        <f>IF(Inputs!$C$60,Inputs!$C$11+(B5452-Inputs!$C$69)/Inputs!$C$70,"")</f>
      </c>
      <c r="D5452" s="15"/>
      <c r="E5452" s="15"/>
      <c r="F5452" s="11">
        <f t="shared" si="43"/>
      </c>
      <c r="G5452" s="22" cm="1">
        <f t="array" ref="G5452">IF(AND(Inputs!$C$60,Inputs!$C$61),INDEX(Utility_Rates!$C$29:$F$52,HOUR(C5452)+Inputs!$C$69,MATCH(INDEX(Utility_Rates!$K$6:$K$17,MONTH(C5452))&amp;IF(WEEKDAY(C5452,Inputs!$C$76)&lt;=Inputs!$C$74," weekday"," weekend"),Utility_Rates!$C$28:$F$28,Inputs!$C$68)),"")</f>
      </c>
      <c r="H5452" s="34"/>
      <c r="I5452" s="42">
        <f>IF(AND(ISNUMBER(D5452),ISNUMBER(H5452)),D5452*H5452*Inputs!$C$69,"")</f>
      </c>
      <c r="J5452" s="42">
        <f>IF(AND(ISNUMBER(F5452),ISNUMBER(H5452),F5452&gt;=Inputs!$C$68),F5452*H5452*Inputs!$C$69,"")</f>
      </c>
    </row>
    <row r="5453" spans="2:10" ht="15" customHeight="1" x14ac:dyDescent="0.2">
      <c r="B5453" s="39">
        <f t="shared" si="42"/>
      </c>
      <c r="C5453" s="40">
        <f>IF(Inputs!$C$60,Inputs!$C$11+(B5453-Inputs!$C$69)/Inputs!$C$70,"")</f>
      </c>
      <c r="D5453" s="15"/>
      <c r="E5453" s="15"/>
      <c r="F5453" s="11">
        <f t="shared" si="43"/>
      </c>
      <c r="G5453" s="22" cm="1">
        <f t="array" ref="G5453">IF(AND(Inputs!$C$60,Inputs!$C$61),INDEX(Utility_Rates!$C$29:$F$52,HOUR(C5453)+Inputs!$C$69,MATCH(INDEX(Utility_Rates!$K$6:$K$17,MONTH(C5453))&amp;IF(WEEKDAY(C5453,Inputs!$C$76)&lt;=Inputs!$C$74," weekday"," weekend"),Utility_Rates!$C$28:$F$28,Inputs!$C$68)),"")</f>
      </c>
      <c r="H5453" s="34"/>
      <c r="I5453" s="42">
        <f>IF(AND(ISNUMBER(D5453),ISNUMBER(H5453)),D5453*H5453*Inputs!$C$69,"")</f>
      </c>
      <c r="J5453" s="42">
        <f>IF(AND(ISNUMBER(F5453),ISNUMBER(H5453),F5453&gt;=Inputs!$C$68),F5453*H5453*Inputs!$C$69,"")</f>
      </c>
    </row>
    <row r="5454" spans="2:10" ht="15" customHeight="1" x14ac:dyDescent="0.2">
      <c r="B5454" s="39">
        <f t="shared" si="42"/>
      </c>
      <c r="C5454" s="40">
        <f>IF(Inputs!$C$60,Inputs!$C$11+(B5454-Inputs!$C$69)/Inputs!$C$70,"")</f>
      </c>
      <c r="D5454" s="15"/>
      <c r="E5454" s="15"/>
      <c r="F5454" s="11">
        <f t="shared" si="43"/>
      </c>
      <c r="G5454" s="22" cm="1">
        <f t="array" ref="G5454">IF(AND(Inputs!$C$60,Inputs!$C$61),INDEX(Utility_Rates!$C$29:$F$52,HOUR(C5454)+Inputs!$C$69,MATCH(INDEX(Utility_Rates!$K$6:$K$17,MONTH(C5454))&amp;IF(WEEKDAY(C5454,Inputs!$C$76)&lt;=Inputs!$C$74," weekday"," weekend"),Utility_Rates!$C$28:$F$28,Inputs!$C$68)),"")</f>
      </c>
      <c r="H5454" s="34"/>
      <c r="I5454" s="42">
        <f>IF(AND(ISNUMBER(D5454),ISNUMBER(H5454)),D5454*H5454*Inputs!$C$69,"")</f>
      </c>
      <c r="J5454" s="42">
        <f>IF(AND(ISNUMBER(F5454),ISNUMBER(H5454),F5454&gt;=Inputs!$C$68),F5454*H5454*Inputs!$C$69,"")</f>
      </c>
    </row>
    <row r="5455" spans="2:10" ht="15" customHeight="1" x14ac:dyDescent="0.2">
      <c r="B5455" s="39">
        <f t="shared" si="42"/>
      </c>
      <c r="C5455" s="40">
        <f>IF(Inputs!$C$60,Inputs!$C$11+(B5455-Inputs!$C$69)/Inputs!$C$70,"")</f>
      </c>
      <c r="D5455" s="15"/>
      <c r="E5455" s="15"/>
      <c r="F5455" s="11">
        <f t="shared" si="43"/>
      </c>
      <c r="G5455" s="22" cm="1">
        <f t="array" ref="G5455">IF(AND(Inputs!$C$60,Inputs!$C$61),INDEX(Utility_Rates!$C$29:$F$52,HOUR(C5455)+Inputs!$C$69,MATCH(INDEX(Utility_Rates!$K$6:$K$17,MONTH(C5455))&amp;IF(WEEKDAY(C5455,Inputs!$C$76)&lt;=Inputs!$C$74," weekday"," weekend"),Utility_Rates!$C$28:$F$28,Inputs!$C$68)),"")</f>
      </c>
      <c r="H5455" s="34"/>
      <c r="I5455" s="42">
        <f>IF(AND(ISNUMBER(D5455),ISNUMBER(H5455)),D5455*H5455*Inputs!$C$69,"")</f>
      </c>
      <c r="J5455" s="42">
        <f>IF(AND(ISNUMBER(F5455),ISNUMBER(H5455),F5455&gt;=Inputs!$C$68),F5455*H5455*Inputs!$C$69,"")</f>
      </c>
    </row>
    <row r="5456" spans="2:10" ht="15" customHeight="1" x14ac:dyDescent="0.2">
      <c r="B5456" s="39">
        <f t="shared" si="42"/>
      </c>
      <c r="C5456" s="40">
        <f>IF(Inputs!$C$60,Inputs!$C$11+(B5456-Inputs!$C$69)/Inputs!$C$70,"")</f>
      </c>
      <c r="D5456" s="15"/>
      <c r="E5456" s="15"/>
      <c r="F5456" s="11">
        <f t="shared" si="43"/>
      </c>
      <c r="G5456" s="22" cm="1">
        <f t="array" ref="G5456">IF(AND(Inputs!$C$60,Inputs!$C$61),INDEX(Utility_Rates!$C$29:$F$52,HOUR(C5456)+Inputs!$C$69,MATCH(INDEX(Utility_Rates!$K$6:$K$17,MONTH(C5456))&amp;IF(WEEKDAY(C5456,Inputs!$C$76)&lt;=Inputs!$C$74," weekday"," weekend"),Utility_Rates!$C$28:$F$28,Inputs!$C$68)),"")</f>
      </c>
      <c r="H5456" s="34"/>
      <c r="I5456" s="42">
        <f>IF(AND(ISNUMBER(D5456),ISNUMBER(H5456)),D5456*H5456*Inputs!$C$69,"")</f>
      </c>
      <c r="J5456" s="42">
        <f>IF(AND(ISNUMBER(F5456),ISNUMBER(H5456),F5456&gt;=Inputs!$C$68),F5456*H5456*Inputs!$C$69,"")</f>
      </c>
    </row>
    <row r="5457" spans="2:10" ht="15" customHeight="1" x14ac:dyDescent="0.2">
      <c r="B5457" s="39">
        <f t="shared" si="42"/>
      </c>
      <c r="C5457" s="40">
        <f>IF(Inputs!$C$60,Inputs!$C$11+(B5457-Inputs!$C$69)/Inputs!$C$70,"")</f>
      </c>
      <c r="D5457" s="15"/>
      <c r="E5457" s="15"/>
      <c r="F5457" s="11">
        <f t="shared" si="43"/>
      </c>
      <c r="G5457" s="22" cm="1">
        <f t="array" ref="G5457">IF(AND(Inputs!$C$60,Inputs!$C$61),INDEX(Utility_Rates!$C$29:$F$52,HOUR(C5457)+Inputs!$C$69,MATCH(INDEX(Utility_Rates!$K$6:$K$17,MONTH(C5457))&amp;IF(WEEKDAY(C5457,Inputs!$C$76)&lt;=Inputs!$C$74," weekday"," weekend"),Utility_Rates!$C$28:$F$28,Inputs!$C$68)),"")</f>
      </c>
      <c r="H5457" s="34"/>
      <c r="I5457" s="42">
        <f>IF(AND(ISNUMBER(D5457),ISNUMBER(H5457)),D5457*H5457*Inputs!$C$69,"")</f>
      </c>
      <c r="J5457" s="42">
        <f>IF(AND(ISNUMBER(F5457),ISNUMBER(H5457),F5457&gt;=Inputs!$C$68),F5457*H5457*Inputs!$C$69,"")</f>
      </c>
    </row>
    <row r="5458" spans="2:10" ht="15" customHeight="1" x14ac:dyDescent="0.2">
      <c r="B5458" s="39">
        <f t="shared" si="42"/>
      </c>
      <c r="C5458" s="40">
        <f>IF(Inputs!$C$60,Inputs!$C$11+(B5458-Inputs!$C$69)/Inputs!$C$70,"")</f>
      </c>
      <c r="D5458" s="15"/>
      <c r="E5458" s="15"/>
      <c r="F5458" s="11">
        <f t="shared" si="43"/>
      </c>
      <c r="G5458" s="22" cm="1">
        <f t="array" ref="G5458">IF(AND(Inputs!$C$60,Inputs!$C$61),INDEX(Utility_Rates!$C$29:$F$52,HOUR(C5458)+Inputs!$C$69,MATCH(INDEX(Utility_Rates!$K$6:$K$17,MONTH(C5458))&amp;IF(WEEKDAY(C5458,Inputs!$C$76)&lt;=Inputs!$C$74," weekday"," weekend"),Utility_Rates!$C$28:$F$28,Inputs!$C$68)),"")</f>
      </c>
      <c r="H5458" s="34"/>
      <c r="I5458" s="42">
        <f>IF(AND(ISNUMBER(D5458),ISNUMBER(H5458)),D5458*H5458*Inputs!$C$69,"")</f>
      </c>
      <c r="J5458" s="42">
        <f>IF(AND(ISNUMBER(F5458),ISNUMBER(H5458),F5458&gt;=Inputs!$C$68),F5458*H5458*Inputs!$C$69,"")</f>
      </c>
    </row>
    <row r="5459" spans="2:10" ht="15" customHeight="1" x14ac:dyDescent="0.2">
      <c r="B5459" s="39">
        <f t="shared" si="42"/>
      </c>
      <c r="C5459" s="40">
        <f>IF(Inputs!$C$60,Inputs!$C$11+(B5459-Inputs!$C$69)/Inputs!$C$70,"")</f>
      </c>
      <c r="D5459" s="15"/>
      <c r="E5459" s="15"/>
      <c r="F5459" s="11">
        <f t="shared" si="43"/>
      </c>
      <c r="G5459" s="22" cm="1">
        <f t="array" ref="G5459">IF(AND(Inputs!$C$60,Inputs!$C$61),INDEX(Utility_Rates!$C$29:$F$52,HOUR(C5459)+Inputs!$C$69,MATCH(INDEX(Utility_Rates!$K$6:$K$17,MONTH(C5459))&amp;IF(WEEKDAY(C5459,Inputs!$C$76)&lt;=Inputs!$C$74," weekday"," weekend"),Utility_Rates!$C$28:$F$28,Inputs!$C$68)),"")</f>
      </c>
      <c r="H5459" s="34"/>
      <c r="I5459" s="42">
        <f>IF(AND(ISNUMBER(D5459),ISNUMBER(H5459)),D5459*H5459*Inputs!$C$69,"")</f>
      </c>
      <c r="J5459" s="42">
        <f>IF(AND(ISNUMBER(F5459),ISNUMBER(H5459),F5459&gt;=Inputs!$C$68),F5459*H5459*Inputs!$C$69,"")</f>
      </c>
    </row>
    <row r="5460" spans="2:10" ht="15" customHeight="1" x14ac:dyDescent="0.2">
      <c r="B5460" s="39">
        <f t="shared" si="42"/>
      </c>
      <c r="C5460" s="40">
        <f>IF(Inputs!$C$60,Inputs!$C$11+(B5460-Inputs!$C$69)/Inputs!$C$70,"")</f>
      </c>
      <c r="D5460" s="15"/>
      <c r="E5460" s="15"/>
      <c r="F5460" s="11">
        <f t="shared" si="43"/>
      </c>
      <c r="G5460" s="22" cm="1">
        <f t="array" ref="G5460">IF(AND(Inputs!$C$60,Inputs!$C$61),INDEX(Utility_Rates!$C$29:$F$52,HOUR(C5460)+Inputs!$C$69,MATCH(INDEX(Utility_Rates!$K$6:$K$17,MONTH(C5460))&amp;IF(WEEKDAY(C5460,Inputs!$C$76)&lt;=Inputs!$C$74," weekday"," weekend"),Utility_Rates!$C$28:$F$28,Inputs!$C$68)),"")</f>
      </c>
      <c r="H5460" s="34"/>
      <c r="I5460" s="42">
        <f>IF(AND(ISNUMBER(D5460),ISNUMBER(H5460)),D5460*H5460*Inputs!$C$69,"")</f>
      </c>
      <c r="J5460" s="42">
        <f>IF(AND(ISNUMBER(F5460),ISNUMBER(H5460),F5460&gt;=Inputs!$C$68),F5460*H5460*Inputs!$C$69,"")</f>
      </c>
    </row>
    <row r="5461" spans="2:10" ht="15" customHeight="1" x14ac:dyDescent="0.2">
      <c r="B5461" s="39">
        <f t="shared" si="42"/>
      </c>
      <c r="C5461" s="40">
        <f>IF(Inputs!$C$60,Inputs!$C$11+(B5461-Inputs!$C$69)/Inputs!$C$70,"")</f>
      </c>
      <c r="D5461" s="15"/>
      <c r="E5461" s="15"/>
      <c r="F5461" s="11">
        <f t="shared" si="43"/>
      </c>
      <c r="G5461" s="22" cm="1">
        <f t="array" ref="G5461">IF(AND(Inputs!$C$60,Inputs!$C$61),INDEX(Utility_Rates!$C$29:$F$52,HOUR(C5461)+Inputs!$C$69,MATCH(INDEX(Utility_Rates!$K$6:$K$17,MONTH(C5461))&amp;IF(WEEKDAY(C5461,Inputs!$C$76)&lt;=Inputs!$C$74," weekday"," weekend"),Utility_Rates!$C$28:$F$28,Inputs!$C$68)),"")</f>
      </c>
      <c r="H5461" s="34"/>
      <c r="I5461" s="42">
        <f>IF(AND(ISNUMBER(D5461),ISNUMBER(H5461)),D5461*H5461*Inputs!$C$69,"")</f>
      </c>
      <c r="J5461" s="42">
        <f>IF(AND(ISNUMBER(F5461),ISNUMBER(H5461),F5461&gt;=Inputs!$C$68),F5461*H5461*Inputs!$C$69,"")</f>
      </c>
    </row>
    <row r="5462" spans="2:10" ht="15" customHeight="1" x14ac:dyDescent="0.2">
      <c r="B5462" s="39">
        <f t="shared" si="42"/>
      </c>
      <c r="C5462" s="40">
        <f>IF(Inputs!$C$60,Inputs!$C$11+(B5462-Inputs!$C$69)/Inputs!$C$70,"")</f>
      </c>
      <c r="D5462" s="15"/>
      <c r="E5462" s="15"/>
      <c r="F5462" s="11">
        <f t="shared" si="43"/>
      </c>
      <c r="G5462" s="22" cm="1">
        <f t="array" ref="G5462">IF(AND(Inputs!$C$60,Inputs!$C$61),INDEX(Utility_Rates!$C$29:$F$52,HOUR(C5462)+Inputs!$C$69,MATCH(INDEX(Utility_Rates!$K$6:$K$17,MONTH(C5462))&amp;IF(WEEKDAY(C5462,Inputs!$C$76)&lt;=Inputs!$C$74," weekday"," weekend"),Utility_Rates!$C$28:$F$28,Inputs!$C$68)),"")</f>
      </c>
      <c r="H5462" s="34"/>
      <c r="I5462" s="42">
        <f>IF(AND(ISNUMBER(D5462),ISNUMBER(H5462)),D5462*H5462*Inputs!$C$69,"")</f>
      </c>
      <c r="J5462" s="42">
        <f>IF(AND(ISNUMBER(F5462),ISNUMBER(H5462),F5462&gt;=Inputs!$C$68),F5462*H5462*Inputs!$C$69,"")</f>
      </c>
    </row>
    <row r="5463" spans="2:10" ht="15" customHeight="1" x14ac:dyDescent="0.2">
      <c r="B5463" s="39">
        <f t="shared" si="42"/>
      </c>
      <c r="C5463" s="40">
        <f>IF(Inputs!$C$60,Inputs!$C$11+(B5463-Inputs!$C$69)/Inputs!$C$70,"")</f>
      </c>
      <c r="D5463" s="15"/>
      <c r="E5463" s="15"/>
      <c r="F5463" s="11">
        <f t="shared" si="43"/>
      </c>
      <c r="G5463" s="22" cm="1">
        <f t="array" ref="G5463">IF(AND(Inputs!$C$60,Inputs!$C$61),INDEX(Utility_Rates!$C$29:$F$52,HOUR(C5463)+Inputs!$C$69,MATCH(INDEX(Utility_Rates!$K$6:$K$17,MONTH(C5463))&amp;IF(WEEKDAY(C5463,Inputs!$C$76)&lt;=Inputs!$C$74," weekday"," weekend"),Utility_Rates!$C$28:$F$28,Inputs!$C$68)),"")</f>
      </c>
      <c r="H5463" s="34"/>
      <c r="I5463" s="42">
        <f>IF(AND(ISNUMBER(D5463),ISNUMBER(H5463)),D5463*H5463*Inputs!$C$69,"")</f>
      </c>
      <c r="J5463" s="42">
        <f>IF(AND(ISNUMBER(F5463),ISNUMBER(H5463),F5463&gt;=Inputs!$C$68),F5463*H5463*Inputs!$C$69,"")</f>
      </c>
    </row>
    <row r="5464" spans="2:10" ht="15" customHeight="1" x14ac:dyDescent="0.2">
      <c r="B5464" s="39">
        <f t="shared" si="42"/>
      </c>
      <c r="C5464" s="40">
        <f>IF(Inputs!$C$60,Inputs!$C$11+(B5464-Inputs!$C$69)/Inputs!$C$70,"")</f>
      </c>
      <c r="D5464" s="15"/>
      <c r="E5464" s="15"/>
      <c r="F5464" s="11">
        <f t="shared" si="43"/>
      </c>
      <c r="G5464" s="22" cm="1">
        <f t="array" ref="G5464">IF(AND(Inputs!$C$60,Inputs!$C$61),INDEX(Utility_Rates!$C$29:$F$52,HOUR(C5464)+Inputs!$C$69,MATCH(INDEX(Utility_Rates!$K$6:$K$17,MONTH(C5464))&amp;IF(WEEKDAY(C5464,Inputs!$C$76)&lt;=Inputs!$C$74," weekday"," weekend"),Utility_Rates!$C$28:$F$28,Inputs!$C$68)),"")</f>
      </c>
      <c r="H5464" s="34"/>
      <c r="I5464" s="42">
        <f>IF(AND(ISNUMBER(D5464),ISNUMBER(H5464)),D5464*H5464*Inputs!$C$69,"")</f>
      </c>
      <c r="J5464" s="42">
        <f>IF(AND(ISNUMBER(F5464),ISNUMBER(H5464),F5464&gt;=Inputs!$C$68),F5464*H5464*Inputs!$C$69,"")</f>
      </c>
    </row>
    <row r="5465" spans="2:10" ht="15" customHeight="1" x14ac:dyDescent="0.2">
      <c r="B5465" s="39">
        <f t="shared" si="42"/>
      </c>
      <c r="C5465" s="40">
        <f>IF(Inputs!$C$60,Inputs!$C$11+(B5465-Inputs!$C$69)/Inputs!$C$70,"")</f>
      </c>
      <c r="D5465" s="15"/>
      <c r="E5465" s="15"/>
      <c r="F5465" s="11">
        <f t="shared" si="43"/>
      </c>
      <c r="G5465" s="22" cm="1">
        <f t="array" ref="G5465">IF(AND(Inputs!$C$60,Inputs!$C$61),INDEX(Utility_Rates!$C$29:$F$52,HOUR(C5465)+Inputs!$C$69,MATCH(INDEX(Utility_Rates!$K$6:$K$17,MONTH(C5465))&amp;IF(WEEKDAY(C5465,Inputs!$C$76)&lt;=Inputs!$C$74," weekday"," weekend"),Utility_Rates!$C$28:$F$28,Inputs!$C$68)),"")</f>
      </c>
      <c r="H5465" s="34"/>
      <c r="I5465" s="42">
        <f>IF(AND(ISNUMBER(D5465),ISNUMBER(H5465)),D5465*H5465*Inputs!$C$69,"")</f>
      </c>
      <c r="J5465" s="42">
        <f>IF(AND(ISNUMBER(F5465),ISNUMBER(H5465),F5465&gt;=Inputs!$C$68),F5465*H5465*Inputs!$C$69,"")</f>
      </c>
    </row>
    <row r="5466" spans="2:10" ht="15" customHeight="1" x14ac:dyDescent="0.2">
      <c r="B5466" s="39">
        <f t="shared" si="42"/>
      </c>
      <c r="C5466" s="40">
        <f>IF(Inputs!$C$60,Inputs!$C$11+(B5466-Inputs!$C$69)/Inputs!$C$70,"")</f>
      </c>
      <c r="D5466" s="15"/>
      <c r="E5466" s="15"/>
      <c r="F5466" s="11">
        <f t="shared" si="43"/>
      </c>
      <c r="G5466" s="22" cm="1">
        <f t="array" ref="G5466">IF(AND(Inputs!$C$60,Inputs!$C$61),INDEX(Utility_Rates!$C$29:$F$52,HOUR(C5466)+Inputs!$C$69,MATCH(INDEX(Utility_Rates!$K$6:$K$17,MONTH(C5466))&amp;IF(WEEKDAY(C5466,Inputs!$C$76)&lt;=Inputs!$C$74," weekday"," weekend"),Utility_Rates!$C$28:$F$28,Inputs!$C$68)),"")</f>
      </c>
      <c r="H5466" s="34"/>
      <c r="I5466" s="42">
        <f>IF(AND(ISNUMBER(D5466),ISNUMBER(H5466)),D5466*H5466*Inputs!$C$69,"")</f>
      </c>
      <c r="J5466" s="42">
        <f>IF(AND(ISNUMBER(F5466),ISNUMBER(H5466),F5466&gt;=Inputs!$C$68),F5466*H5466*Inputs!$C$69,"")</f>
      </c>
    </row>
    <row r="5467" spans="2:10" ht="15" customHeight="1" x14ac:dyDescent="0.2">
      <c r="B5467" s="39">
        <f t="shared" si="42"/>
      </c>
      <c r="C5467" s="40">
        <f>IF(Inputs!$C$60,Inputs!$C$11+(B5467-Inputs!$C$69)/Inputs!$C$70,"")</f>
      </c>
      <c r="D5467" s="15"/>
      <c r="E5467" s="15"/>
      <c r="F5467" s="11">
        <f t="shared" si="43"/>
      </c>
      <c r="G5467" s="22" cm="1">
        <f t="array" ref="G5467">IF(AND(Inputs!$C$60,Inputs!$C$61),INDEX(Utility_Rates!$C$29:$F$52,HOUR(C5467)+Inputs!$C$69,MATCH(INDEX(Utility_Rates!$K$6:$K$17,MONTH(C5467))&amp;IF(WEEKDAY(C5467,Inputs!$C$76)&lt;=Inputs!$C$74," weekday"," weekend"),Utility_Rates!$C$28:$F$28,Inputs!$C$68)),"")</f>
      </c>
      <c r="H5467" s="34"/>
      <c r="I5467" s="42">
        <f>IF(AND(ISNUMBER(D5467),ISNUMBER(H5467)),D5467*H5467*Inputs!$C$69,"")</f>
      </c>
      <c r="J5467" s="42">
        <f>IF(AND(ISNUMBER(F5467),ISNUMBER(H5467),F5467&gt;=Inputs!$C$68),F5467*H5467*Inputs!$C$69,"")</f>
      </c>
    </row>
    <row r="5468" spans="2:10" ht="15" customHeight="1" x14ac:dyDescent="0.2">
      <c r="B5468" s="39">
        <f t="shared" si="42"/>
      </c>
      <c r="C5468" s="40">
        <f>IF(Inputs!$C$60,Inputs!$C$11+(B5468-Inputs!$C$69)/Inputs!$C$70,"")</f>
      </c>
      <c r="D5468" s="15"/>
      <c r="E5468" s="15"/>
      <c r="F5468" s="11">
        <f t="shared" si="43"/>
      </c>
      <c r="G5468" s="22" cm="1">
        <f t="array" ref="G5468">IF(AND(Inputs!$C$60,Inputs!$C$61),INDEX(Utility_Rates!$C$29:$F$52,HOUR(C5468)+Inputs!$C$69,MATCH(INDEX(Utility_Rates!$K$6:$K$17,MONTH(C5468))&amp;IF(WEEKDAY(C5468,Inputs!$C$76)&lt;=Inputs!$C$74," weekday"," weekend"),Utility_Rates!$C$28:$F$28,Inputs!$C$68)),"")</f>
      </c>
      <c r="H5468" s="34"/>
      <c r="I5468" s="42">
        <f>IF(AND(ISNUMBER(D5468),ISNUMBER(H5468)),D5468*H5468*Inputs!$C$69,"")</f>
      </c>
      <c r="J5468" s="42">
        <f>IF(AND(ISNUMBER(F5468),ISNUMBER(H5468),F5468&gt;=Inputs!$C$68),F5468*H5468*Inputs!$C$69,"")</f>
      </c>
    </row>
    <row r="5469" spans="2:10" ht="15" customHeight="1" x14ac:dyDescent="0.2">
      <c r="B5469" s="39">
        <f t="shared" si="42"/>
      </c>
      <c r="C5469" s="40">
        <f>IF(Inputs!$C$60,Inputs!$C$11+(B5469-Inputs!$C$69)/Inputs!$C$70,"")</f>
      </c>
      <c r="D5469" s="15"/>
      <c r="E5469" s="15"/>
      <c r="F5469" s="11">
        <f t="shared" si="43"/>
      </c>
      <c r="G5469" s="22" cm="1">
        <f t="array" ref="G5469">IF(AND(Inputs!$C$60,Inputs!$C$61),INDEX(Utility_Rates!$C$29:$F$52,HOUR(C5469)+Inputs!$C$69,MATCH(INDEX(Utility_Rates!$K$6:$K$17,MONTH(C5469))&amp;IF(WEEKDAY(C5469,Inputs!$C$76)&lt;=Inputs!$C$74," weekday"," weekend"),Utility_Rates!$C$28:$F$28,Inputs!$C$68)),"")</f>
      </c>
      <c r="H5469" s="34"/>
      <c r="I5469" s="42">
        <f>IF(AND(ISNUMBER(D5469),ISNUMBER(H5469)),D5469*H5469*Inputs!$C$69,"")</f>
      </c>
      <c r="J5469" s="42">
        <f>IF(AND(ISNUMBER(F5469),ISNUMBER(H5469),F5469&gt;=Inputs!$C$68),F5469*H5469*Inputs!$C$69,"")</f>
      </c>
    </row>
    <row r="5470" spans="2:10" ht="15" customHeight="1" x14ac:dyDescent="0.2">
      <c r="B5470" s="39">
        <f t="shared" si="42"/>
      </c>
      <c r="C5470" s="40">
        <f>IF(Inputs!$C$60,Inputs!$C$11+(B5470-Inputs!$C$69)/Inputs!$C$70,"")</f>
      </c>
      <c r="D5470" s="15"/>
      <c r="E5470" s="15"/>
      <c r="F5470" s="11">
        <f t="shared" si="43"/>
      </c>
      <c r="G5470" s="22" cm="1">
        <f t="array" ref="G5470">IF(AND(Inputs!$C$60,Inputs!$C$61),INDEX(Utility_Rates!$C$29:$F$52,HOUR(C5470)+Inputs!$C$69,MATCH(INDEX(Utility_Rates!$K$6:$K$17,MONTH(C5470))&amp;IF(WEEKDAY(C5470,Inputs!$C$76)&lt;=Inputs!$C$74," weekday"," weekend"),Utility_Rates!$C$28:$F$28,Inputs!$C$68)),"")</f>
      </c>
      <c r="H5470" s="34"/>
      <c r="I5470" s="42">
        <f>IF(AND(ISNUMBER(D5470),ISNUMBER(H5470)),D5470*H5470*Inputs!$C$69,"")</f>
      </c>
      <c r="J5470" s="42">
        <f>IF(AND(ISNUMBER(F5470),ISNUMBER(H5470),F5470&gt;=Inputs!$C$68),F5470*H5470*Inputs!$C$69,"")</f>
      </c>
    </row>
    <row r="5471" spans="2:10" ht="15" customHeight="1" x14ac:dyDescent="0.2">
      <c r="B5471" s="39">
        <f t="shared" si="42"/>
      </c>
      <c r="C5471" s="40">
        <f>IF(Inputs!$C$60,Inputs!$C$11+(B5471-Inputs!$C$69)/Inputs!$C$70,"")</f>
      </c>
      <c r="D5471" s="15"/>
      <c r="E5471" s="15"/>
      <c r="F5471" s="11">
        <f t="shared" si="43"/>
      </c>
      <c r="G5471" s="22" cm="1">
        <f t="array" ref="G5471">IF(AND(Inputs!$C$60,Inputs!$C$61),INDEX(Utility_Rates!$C$29:$F$52,HOUR(C5471)+Inputs!$C$69,MATCH(INDEX(Utility_Rates!$K$6:$K$17,MONTH(C5471))&amp;IF(WEEKDAY(C5471,Inputs!$C$76)&lt;=Inputs!$C$74," weekday"," weekend"),Utility_Rates!$C$28:$F$28,Inputs!$C$68)),"")</f>
      </c>
      <c r="H5471" s="34"/>
      <c r="I5471" s="42">
        <f>IF(AND(ISNUMBER(D5471),ISNUMBER(H5471)),D5471*H5471*Inputs!$C$69,"")</f>
      </c>
      <c r="J5471" s="42">
        <f>IF(AND(ISNUMBER(F5471),ISNUMBER(H5471),F5471&gt;=Inputs!$C$68),F5471*H5471*Inputs!$C$69,"")</f>
      </c>
    </row>
    <row r="5472" spans="2:10" ht="15" customHeight="1" x14ac:dyDescent="0.2">
      <c r="B5472" s="39">
        <f t="shared" si="42"/>
      </c>
      <c r="C5472" s="40">
        <f>IF(Inputs!$C$60,Inputs!$C$11+(B5472-Inputs!$C$69)/Inputs!$C$70,"")</f>
      </c>
      <c r="D5472" s="15"/>
      <c r="E5472" s="15"/>
      <c r="F5472" s="11">
        <f t="shared" si="43"/>
      </c>
      <c r="G5472" s="22" cm="1">
        <f t="array" ref="G5472">IF(AND(Inputs!$C$60,Inputs!$C$61),INDEX(Utility_Rates!$C$29:$F$52,HOUR(C5472)+Inputs!$C$69,MATCH(INDEX(Utility_Rates!$K$6:$K$17,MONTH(C5472))&amp;IF(WEEKDAY(C5472,Inputs!$C$76)&lt;=Inputs!$C$74," weekday"," weekend"),Utility_Rates!$C$28:$F$28,Inputs!$C$68)),"")</f>
      </c>
      <c r="H5472" s="34"/>
      <c r="I5472" s="42">
        <f>IF(AND(ISNUMBER(D5472),ISNUMBER(H5472)),D5472*H5472*Inputs!$C$69,"")</f>
      </c>
      <c r="J5472" s="42">
        <f>IF(AND(ISNUMBER(F5472),ISNUMBER(H5472),F5472&gt;=Inputs!$C$68),F5472*H5472*Inputs!$C$69,"")</f>
      </c>
    </row>
    <row r="5473" spans="2:10" ht="15" customHeight="1" x14ac:dyDescent="0.2">
      <c r="B5473" s="39">
        <f t="shared" si="42"/>
      </c>
      <c r="C5473" s="40">
        <f>IF(Inputs!$C$60,Inputs!$C$11+(B5473-Inputs!$C$69)/Inputs!$C$70,"")</f>
      </c>
      <c r="D5473" s="15"/>
      <c r="E5473" s="15"/>
      <c r="F5473" s="11">
        <f t="shared" si="43"/>
      </c>
      <c r="G5473" s="22" cm="1">
        <f t="array" ref="G5473">IF(AND(Inputs!$C$60,Inputs!$C$61),INDEX(Utility_Rates!$C$29:$F$52,HOUR(C5473)+Inputs!$C$69,MATCH(INDEX(Utility_Rates!$K$6:$K$17,MONTH(C5473))&amp;IF(WEEKDAY(C5473,Inputs!$C$76)&lt;=Inputs!$C$74," weekday"," weekend"),Utility_Rates!$C$28:$F$28,Inputs!$C$68)),"")</f>
      </c>
      <c r="H5473" s="34"/>
      <c r="I5473" s="42">
        <f>IF(AND(ISNUMBER(D5473),ISNUMBER(H5473)),D5473*H5473*Inputs!$C$69,"")</f>
      </c>
      <c r="J5473" s="42">
        <f>IF(AND(ISNUMBER(F5473),ISNUMBER(H5473),F5473&gt;=Inputs!$C$68),F5473*H5473*Inputs!$C$69,"")</f>
      </c>
    </row>
    <row r="5474" spans="2:10" ht="15" customHeight="1" x14ac:dyDescent="0.2">
      <c r="B5474" s="39">
        <f t="shared" si="42"/>
      </c>
      <c r="C5474" s="40">
        <f>IF(Inputs!$C$60,Inputs!$C$11+(B5474-Inputs!$C$69)/Inputs!$C$70,"")</f>
      </c>
      <c r="D5474" s="15"/>
      <c r="E5474" s="15"/>
      <c r="F5474" s="11">
        <f t="shared" si="43"/>
      </c>
      <c r="G5474" s="22" cm="1">
        <f t="array" ref="G5474">IF(AND(Inputs!$C$60,Inputs!$C$61),INDEX(Utility_Rates!$C$29:$F$52,HOUR(C5474)+Inputs!$C$69,MATCH(INDEX(Utility_Rates!$K$6:$K$17,MONTH(C5474))&amp;IF(WEEKDAY(C5474,Inputs!$C$76)&lt;=Inputs!$C$74," weekday"," weekend"),Utility_Rates!$C$28:$F$28,Inputs!$C$68)),"")</f>
      </c>
      <c r="H5474" s="34"/>
      <c r="I5474" s="42">
        <f>IF(AND(ISNUMBER(D5474),ISNUMBER(H5474)),D5474*H5474*Inputs!$C$69,"")</f>
      </c>
      <c r="J5474" s="42">
        <f>IF(AND(ISNUMBER(F5474),ISNUMBER(H5474),F5474&gt;=Inputs!$C$68),F5474*H5474*Inputs!$C$69,"")</f>
      </c>
    </row>
    <row r="5475" spans="2:10" ht="15" customHeight="1" x14ac:dyDescent="0.2">
      <c r="B5475" s="39">
        <f t="shared" si="42"/>
      </c>
      <c r="C5475" s="40">
        <f>IF(Inputs!$C$60,Inputs!$C$11+(B5475-Inputs!$C$69)/Inputs!$C$70,"")</f>
      </c>
      <c r="D5475" s="15"/>
      <c r="E5475" s="15"/>
      <c r="F5475" s="11">
        <f t="shared" si="43"/>
      </c>
      <c r="G5475" s="22" cm="1">
        <f t="array" ref="G5475">IF(AND(Inputs!$C$60,Inputs!$C$61),INDEX(Utility_Rates!$C$29:$F$52,HOUR(C5475)+Inputs!$C$69,MATCH(INDEX(Utility_Rates!$K$6:$K$17,MONTH(C5475))&amp;IF(WEEKDAY(C5475,Inputs!$C$76)&lt;=Inputs!$C$74," weekday"," weekend"),Utility_Rates!$C$28:$F$28,Inputs!$C$68)),"")</f>
      </c>
      <c r="H5475" s="34"/>
      <c r="I5475" s="42">
        <f>IF(AND(ISNUMBER(D5475),ISNUMBER(H5475)),D5475*H5475*Inputs!$C$69,"")</f>
      </c>
      <c r="J5475" s="42">
        <f>IF(AND(ISNUMBER(F5475),ISNUMBER(H5475),F5475&gt;=Inputs!$C$68),F5475*H5475*Inputs!$C$69,"")</f>
      </c>
    </row>
    <row r="5476" spans="2:10" ht="15" customHeight="1" x14ac:dyDescent="0.2">
      <c r="B5476" s="39">
        <f t="shared" si="42"/>
      </c>
      <c r="C5476" s="40">
        <f>IF(Inputs!$C$60,Inputs!$C$11+(B5476-Inputs!$C$69)/Inputs!$C$70,"")</f>
      </c>
      <c r="D5476" s="15"/>
      <c r="E5476" s="15"/>
      <c r="F5476" s="11">
        <f t="shared" si="43"/>
      </c>
      <c r="G5476" s="22" cm="1">
        <f t="array" ref="G5476">IF(AND(Inputs!$C$60,Inputs!$C$61),INDEX(Utility_Rates!$C$29:$F$52,HOUR(C5476)+Inputs!$C$69,MATCH(INDEX(Utility_Rates!$K$6:$K$17,MONTH(C5476))&amp;IF(WEEKDAY(C5476,Inputs!$C$76)&lt;=Inputs!$C$74," weekday"," weekend"),Utility_Rates!$C$28:$F$28,Inputs!$C$68)),"")</f>
      </c>
      <c r="H5476" s="34"/>
      <c r="I5476" s="42">
        <f>IF(AND(ISNUMBER(D5476),ISNUMBER(H5476)),D5476*H5476*Inputs!$C$69,"")</f>
      </c>
      <c r="J5476" s="42">
        <f>IF(AND(ISNUMBER(F5476),ISNUMBER(H5476),F5476&gt;=Inputs!$C$68),F5476*H5476*Inputs!$C$69,"")</f>
      </c>
    </row>
    <row r="5477" spans="2:10" ht="15" customHeight="1" x14ac:dyDescent="0.2">
      <c r="B5477" s="39">
        <f t="shared" si="42"/>
      </c>
      <c r="C5477" s="40">
        <f>IF(Inputs!$C$60,Inputs!$C$11+(B5477-Inputs!$C$69)/Inputs!$C$70,"")</f>
      </c>
      <c r="D5477" s="15"/>
      <c r="E5477" s="15"/>
      <c r="F5477" s="11">
        <f t="shared" si="43"/>
      </c>
      <c r="G5477" s="22" cm="1">
        <f t="array" ref="G5477">IF(AND(Inputs!$C$60,Inputs!$C$61),INDEX(Utility_Rates!$C$29:$F$52,HOUR(C5477)+Inputs!$C$69,MATCH(INDEX(Utility_Rates!$K$6:$K$17,MONTH(C5477))&amp;IF(WEEKDAY(C5477,Inputs!$C$76)&lt;=Inputs!$C$74," weekday"," weekend"),Utility_Rates!$C$28:$F$28,Inputs!$C$68)),"")</f>
      </c>
      <c r="H5477" s="34"/>
      <c r="I5477" s="42">
        <f>IF(AND(ISNUMBER(D5477),ISNUMBER(H5477)),D5477*H5477*Inputs!$C$69,"")</f>
      </c>
      <c r="J5477" s="42">
        <f>IF(AND(ISNUMBER(F5477),ISNUMBER(H5477),F5477&gt;=Inputs!$C$68),F5477*H5477*Inputs!$C$69,"")</f>
      </c>
    </row>
    <row r="5478" spans="2:10" ht="15" customHeight="1" x14ac:dyDescent="0.2">
      <c r="B5478" s="39">
        <f t="shared" si="42"/>
      </c>
      <c r="C5478" s="40">
        <f>IF(Inputs!$C$60,Inputs!$C$11+(B5478-Inputs!$C$69)/Inputs!$C$70,"")</f>
      </c>
      <c r="D5478" s="15"/>
      <c r="E5478" s="15"/>
      <c r="F5478" s="11">
        <f t="shared" si="43"/>
      </c>
      <c r="G5478" s="22" cm="1">
        <f t="array" ref="G5478">IF(AND(Inputs!$C$60,Inputs!$C$61),INDEX(Utility_Rates!$C$29:$F$52,HOUR(C5478)+Inputs!$C$69,MATCH(INDEX(Utility_Rates!$K$6:$K$17,MONTH(C5478))&amp;IF(WEEKDAY(C5478,Inputs!$C$76)&lt;=Inputs!$C$74," weekday"," weekend"),Utility_Rates!$C$28:$F$28,Inputs!$C$68)),"")</f>
      </c>
      <c r="H5478" s="34"/>
      <c r="I5478" s="42">
        <f>IF(AND(ISNUMBER(D5478),ISNUMBER(H5478)),D5478*H5478*Inputs!$C$69,"")</f>
      </c>
      <c r="J5478" s="42">
        <f>IF(AND(ISNUMBER(F5478),ISNUMBER(H5478),F5478&gt;=Inputs!$C$68),F5478*H5478*Inputs!$C$69,"")</f>
      </c>
    </row>
    <row r="5479" spans="2:10" ht="15" customHeight="1" x14ac:dyDescent="0.2">
      <c r="B5479" s="39">
        <f t="shared" si="42"/>
      </c>
      <c r="C5479" s="40">
        <f>IF(Inputs!$C$60,Inputs!$C$11+(B5479-Inputs!$C$69)/Inputs!$C$70,"")</f>
      </c>
      <c r="D5479" s="15"/>
      <c r="E5479" s="15"/>
      <c r="F5479" s="11">
        <f t="shared" si="43"/>
      </c>
      <c r="G5479" s="22" cm="1">
        <f t="array" ref="G5479">IF(AND(Inputs!$C$60,Inputs!$C$61),INDEX(Utility_Rates!$C$29:$F$52,HOUR(C5479)+Inputs!$C$69,MATCH(INDEX(Utility_Rates!$K$6:$K$17,MONTH(C5479))&amp;IF(WEEKDAY(C5479,Inputs!$C$76)&lt;=Inputs!$C$74," weekday"," weekend"),Utility_Rates!$C$28:$F$28,Inputs!$C$68)),"")</f>
      </c>
      <c r="H5479" s="34"/>
      <c r="I5479" s="42">
        <f>IF(AND(ISNUMBER(D5479),ISNUMBER(H5479)),D5479*H5479*Inputs!$C$69,"")</f>
      </c>
      <c r="J5479" s="42">
        <f>IF(AND(ISNUMBER(F5479),ISNUMBER(H5479),F5479&gt;=Inputs!$C$68),F5479*H5479*Inputs!$C$69,"")</f>
      </c>
    </row>
    <row r="5480" spans="2:10" ht="15" customHeight="1" x14ac:dyDescent="0.2">
      <c r="B5480" s="39">
        <f t="shared" si="42"/>
      </c>
      <c r="C5480" s="40">
        <f>IF(Inputs!$C$60,Inputs!$C$11+(B5480-Inputs!$C$69)/Inputs!$C$70,"")</f>
      </c>
      <c r="D5480" s="15"/>
      <c r="E5480" s="15"/>
      <c r="F5480" s="11">
        <f t="shared" si="43"/>
      </c>
      <c r="G5480" s="22" cm="1">
        <f t="array" ref="G5480">IF(AND(Inputs!$C$60,Inputs!$C$61),INDEX(Utility_Rates!$C$29:$F$52,HOUR(C5480)+Inputs!$C$69,MATCH(INDEX(Utility_Rates!$K$6:$K$17,MONTH(C5480))&amp;IF(WEEKDAY(C5480,Inputs!$C$76)&lt;=Inputs!$C$74," weekday"," weekend"),Utility_Rates!$C$28:$F$28,Inputs!$C$68)),"")</f>
      </c>
      <c r="H5480" s="34"/>
      <c r="I5480" s="42">
        <f>IF(AND(ISNUMBER(D5480),ISNUMBER(H5480)),D5480*H5480*Inputs!$C$69,"")</f>
      </c>
      <c r="J5480" s="42">
        <f>IF(AND(ISNUMBER(F5480),ISNUMBER(H5480),F5480&gt;=Inputs!$C$68),F5480*H5480*Inputs!$C$69,"")</f>
      </c>
    </row>
    <row r="5481" spans="2:10" ht="15" customHeight="1" x14ac:dyDescent="0.2">
      <c r="B5481" s="39">
        <f t="shared" si="42"/>
      </c>
      <c r="C5481" s="40">
        <f>IF(Inputs!$C$60,Inputs!$C$11+(B5481-Inputs!$C$69)/Inputs!$C$70,"")</f>
      </c>
      <c r="D5481" s="15"/>
      <c r="E5481" s="15"/>
      <c r="F5481" s="11">
        <f t="shared" si="43"/>
      </c>
      <c r="G5481" s="22" cm="1">
        <f t="array" ref="G5481">IF(AND(Inputs!$C$60,Inputs!$C$61),INDEX(Utility_Rates!$C$29:$F$52,HOUR(C5481)+Inputs!$C$69,MATCH(INDEX(Utility_Rates!$K$6:$K$17,MONTH(C5481))&amp;IF(WEEKDAY(C5481,Inputs!$C$76)&lt;=Inputs!$C$74," weekday"," weekend"),Utility_Rates!$C$28:$F$28,Inputs!$C$68)),"")</f>
      </c>
      <c r="H5481" s="34"/>
      <c r="I5481" s="42">
        <f>IF(AND(ISNUMBER(D5481),ISNUMBER(H5481)),D5481*H5481*Inputs!$C$69,"")</f>
      </c>
      <c r="J5481" s="42">
        <f>IF(AND(ISNUMBER(F5481),ISNUMBER(H5481),F5481&gt;=Inputs!$C$68),F5481*H5481*Inputs!$C$69,"")</f>
      </c>
    </row>
    <row r="5482" spans="2:10" ht="15" customHeight="1" x14ac:dyDescent="0.2">
      <c r="B5482" s="39">
        <f t="shared" si="42"/>
      </c>
      <c r="C5482" s="40">
        <f>IF(Inputs!$C$60,Inputs!$C$11+(B5482-Inputs!$C$69)/Inputs!$C$70,"")</f>
      </c>
      <c r="D5482" s="15"/>
      <c r="E5482" s="15"/>
      <c r="F5482" s="11">
        <f t="shared" si="43"/>
      </c>
      <c r="G5482" s="22" cm="1">
        <f t="array" ref="G5482">IF(AND(Inputs!$C$60,Inputs!$C$61),INDEX(Utility_Rates!$C$29:$F$52,HOUR(C5482)+Inputs!$C$69,MATCH(INDEX(Utility_Rates!$K$6:$K$17,MONTH(C5482))&amp;IF(WEEKDAY(C5482,Inputs!$C$76)&lt;=Inputs!$C$74," weekday"," weekend"),Utility_Rates!$C$28:$F$28,Inputs!$C$68)),"")</f>
      </c>
      <c r="H5482" s="34"/>
      <c r="I5482" s="42">
        <f>IF(AND(ISNUMBER(D5482),ISNUMBER(H5482)),D5482*H5482*Inputs!$C$69,"")</f>
      </c>
      <c r="J5482" s="42">
        <f>IF(AND(ISNUMBER(F5482),ISNUMBER(H5482),F5482&gt;=Inputs!$C$68),F5482*H5482*Inputs!$C$69,"")</f>
      </c>
    </row>
    <row r="5483" spans="2:10" ht="15" customHeight="1" x14ac:dyDescent="0.2">
      <c r="B5483" s="39">
        <f t="shared" si="42"/>
      </c>
      <c r="C5483" s="40">
        <f>IF(Inputs!$C$60,Inputs!$C$11+(B5483-Inputs!$C$69)/Inputs!$C$70,"")</f>
      </c>
      <c r="D5483" s="15"/>
      <c r="E5483" s="15"/>
      <c r="F5483" s="11">
        <f t="shared" si="43"/>
      </c>
      <c r="G5483" s="22" cm="1">
        <f t="array" ref="G5483">IF(AND(Inputs!$C$60,Inputs!$C$61),INDEX(Utility_Rates!$C$29:$F$52,HOUR(C5483)+Inputs!$C$69,MATCH(INDEX(Utility_Rates!$K$6:$K$17,MONTH(C5483))&amp;IF(WEEKDAY(C5483,Inputs!$C$76)&lt;=Inputs!$C$74," weekday"," weekend"),Utility_Rates!$C$28:$F$28,Inputs!$C$68)),"")</f>
      </c>
      <c r="H5483" s="34"/>
      <c r="I5483" s="42">
        <f>IF(AND(ISNUMBER(D5483),ISNUMBER(H5483)),D5483*H5483*Inputs!$C$69,"")</f>
      </c>
      <c r="J5483" s="42">
        <f>IF(AND(ISNUMBER(F5483),ISNUMBER(H5483),F5483&gt;=Inputs!$C$68),F5483*H5483*Inputs!$C$69,"")</f>
      </c>
    </row>
    <row r="5484" spans="2:10" ht="15" customHeight="1" x14ac:dyDescent="0.2">
      <c r="B5484" s="39">
        <f t="shared" si="42"/>
      </c>
      <c r="C5484" s="40">
        <f>IF(Inputs!$C$60,Inputs!$C$11+(B5484-Inputs!$C$69)/Inputs!$C$70,"")</f>
      </c>
      <c r="D5484" s="15"/>
      <c r="E5484" s="15"/>
      <c r="F5484" s="11">
        <f t="shared" si="43"/>
      </c>
      <c r="G5484" s="22" cm="1">
        <f t="array" ref="G5484">IF(AND(Inputs!$C$60,Inputs!$C$61),INDEX(Utility_Rates!$C$29:$F$52,HOUR(C5484)+Inputs!$C$69,MATCH(INDEX(Utility_Rates!$K$6:$K$17,MONTH(C5484))&amp;IF(WEEKDAY(C5484,Inputs!$C$76)&lt;=Inputs!$C$74," weekday"," weekend"),Utility_Rates!$C$28:$F$28,Inputs!$C$68)),"")</f>
      </c>
      <c r="H5484" s="34"/>
      <c r="I5484" s="42">
        <f>IF(AND(ISNUMBER(D5484),ISNUMBER(H5484)),D5484*H5484*Inputs!$C$69,"")</f>
      </c>
      <c r="J5484" s="42">
        <f>IF(AND(ISNUMBER(F5484),ISNUMBER(H5484),F5484&gt;=Inputs!$C$68),F5484*H5484*Inputs!$C$69,"")</f>
      </c>
    </row>
    <row r="5485" spans="2:10" ht="15" customHeight="1" x14ac:dyDescent="0.2">
      <c r="B5485" s="39">
        <f t="shared" si="42"/>
      </c>
      <c r="C5485" s="40">
        <f>IF(Inputs!$C$60,Inputs!$C$11+(B5485-Inputs!$C$69)/Inputs!$C$70,"")</f>
      </c>
      <c r="D5485" s="15"/>
      <c r="E5485" s="15"/>
      <c r="F5485" s="11">
        <f t="shared" si="43"/>
      </c>
      <c r="G5485" s="22" cm="1">
        <f t="array" ref="G5485">IF(AND(Inputs!$C$60,Inputs!$C$61),INDEX(Utility_Rates!$C$29:$F$52,HOUR(C5485)+Inputs!$C$69,MATCH(INDEX(Utility_Rates!$K$6:$K$17,MONTH(C5485))&amp;IF(WEEKDAY(C5485,Inputs!$C$76)&lt;=Inputs!$C$74," weekday"," weekend"),Utility_Rates!$C$28:$F$28,Inputs!$C$68)),"")</f>
      </c>
      <c r="H5485" s="34"/>
      <c r="I5485" s="42">
        <f>IF(AND(ISNUMBER(D5485),ISNUMBER(H5485)),D5485*H5485*Inputs!$C$69,"")</f>
      </c>
      <c r="J5485" s="42">
        <f>IF(AND(ISNUMBER(F5485),ISNUMBER(H5485),F5485&gt;=Inputs!$C$68),F5485*H5485*Inputs!$C$69,"")</f>
      </c>
    </row>
    <row r="5486" spans="2:10" ht="15" customHeight="1" x14ac:dyDescent="0.2">
      <c r="B5486" s="39">
        <f t="shared" si="42"/>
      </c>
      <c r="C5486" s="40">
        <f>IF(Inputs!$C$60,Inputs!$C$11+(B5486-Inputs!$C$69)/Inputs!$C$70,"")</f>
      </c>
      <c r="D5486" s="15"/>
      <c r="E5486" s="15"/>
      <c r="F5486" s="11">
        <f t="shared" si="43"/>
      </c>
      <c r="G5486" s="22" cm="1">
        <f t="array" ref="G5486">IF(AND(Inputs!$C$60,Inputs!$C$61),INDEX(Utility_Rates!$C$29:$F$52,HOUR(C5486)+Inputs!$C$69,MATCH(INDEX(Utility_Rates!$K$6:$K$17,MONTH(C5486))&amp;IF(WEEKDAY(C5486,Inputs!$C$76)&lt;=Inputs!$C$74," weekday"," weekend"),Utility_Rates!$C$28:$F$28,Inputs!$C$68)),"")</f>
      </c>
      <c r="H5486" s="34"/>
      <c r="I5486" s="42">
        <f>IF(AND(ISNUMBER(D5486),ISNUMBER(H5486)),D5486*H5486*Inputs!$C$69,"")</f>
      </c>
      <c r="J5486" s="42">
        <f>IF(AND(ISNUMBER(F5486),ISNUMBER(H5486),F5486&gt;=Inputs!$C$68),F5486*H5486*Inputs!$C$69,"")</f>
      </c>
    </row>
    <row r="5487" spans="2:10" ht="15" customHeight="1" x14ac:dyDescent="0.2">
      <c r="B5487" s="39">
        <f t="shared" si="42"/>
      </c>
      <c r="C5487" s="40">
        <f>IF(Inputs!$C$60,Inputs!$C$11+(B5487-Inputs!$C$69)/Inputs!$C$70,"")</f>
      </c>
      <c r="D5487" s="15"/>
      <c r="E5487" s="15"/>
      <c r="F5487" s="11">
        <f t="shared" si="43"/>
      </c>
      <c r="G5487" s="22" cm="1">
        <f t="array" ref="G5487">IF(AND(Inputs!$C$60,Inputs!$C$61),INDEX(Utility_Rates!$C$29:$F$52,HOUR(C5487)+Inputs!$C$69,MATCH(INDEX(Utility_Rates!$K$6:$K$17,MONTH(C5487))&amp;IF(WEEKDAY(C5487,Inputs!$C$76)&lt;=Inputs!$C$74," weekday"," weekend"),Utility_Rates!$C$28:$F$28,Inputs!$C$68)),"")</f>
      </c>
      <c r="H5487" s="34"/>
      <c r="I5487" s="42">
        <f>IF(AND(ISNUMBER(D5487),ISNUMBER(H5487)),D5487*H5487*Inputs!$C$69,"")</f>
      </c>
      <c r="J5487" s="42">
        <f>IF(AND(ISNUMBER(F5487),ISNUMBER(H5487),F5487&gt;=Inputs!$C$68),F5487*H5487*Inputs!$C$69,"")</f>
      </c>
    </row>
    <row r="5488" spans="2:10" ht="15" customHeight="1" x14ac:dyDescent="0.2">
      <c r="B5488" s="39">
        <f t="shared" si="42"/>
      </c>
      <c r="C5488" s="40">
        <f>IF(Inputs!$C$60,Inputs!$C$11+(B5488-Inputs!$C$69)/Inputs!$C$70,"")</f>
      </c>
      <c r="D5488" s="15"/>
      <c r="E5488" s="15"/>
      <c r="F5488" s="11">
        <f t="shared" si="43"/>
      </c>
      <c r="G5488" s="22" cm="1">
        <f t="array" ref="G5488">IF(AND(Inputs!$C$60,Inputs!$C$61),INDEX(Utility_Rates!$C$29:$F$52,HOUR(C5488)+Inputs!$C$69,MATCH(INDEX(Utility_Rates!$K$6:$K$17,MONTH(C5488))&amp;IF(WEEKDAY(C5488,Inputs!$C$76)&lt;=Inputs!$C$74," weekday"," weekend"),Utility_Rates!$C$28:$F$28,Inputs!$C$68)),"")</f>
      </c>
      <c r="H5488" s="34"/>
      <c r="I5488" s="42">
        <f>IF(AND(ISNUMBER(D5488),ISNUMBER(H5488)),D5488*H5488*Inputs!$C$69,"")</f>
      </c>
      <c r="J5488" s="42">
        <f>IF(AND(ISNUMBER(F5488),ISNUMBER(H5488),F5488&gt;=Inputs!$C$68),F5488*H5488*Inputs!$C$69,"")</f>
      </c>
    </row>
    <row r="5489" spans="2:10" ht="15" customHeight="1" x14ac:dyDescent="0.2">
      <c r="B5489" s="39">
        <f t="shared" si="42"/>
      </c>
      <c r="C5489" s="40">
        <f>IF(Inputs!$C$60,Inputs!$C$11+(B5489-Inputs!$C$69)/Inputs!$C$70,"")</f>
      </c>
      <c r="D5489" s="15"/>
      <c r="E5489" s="15"/>
      <c r="F5489" s="11">
        <f t="shared" si="43"/>
      </c>
      <c r="G5489" s="22" cm="1">
        <f t="array" ref="G5489">IF(AND(Inputs!$C$60,Inputs!$C$61),INDEX(Utility_Rates!$C$29:$F$52,HOUR(C5489)+Inputs!$C$69,MATCH(INDEX(Utility_Rates!$K$6:$K$17,MONTH(C5489))&amp;IF(WEEKDAY(C5489,Inputs!$C$76)&lt;=Inputs!$C$74," weekday"," weekend"),Utility_Rates!$C$28:$F$28,Inputs!$C$68)),"")</f>
      </c>
      <c r="H5489" s="34"/>
      <c r="I5489" s="42">
        <f>IF(AND(ISNUMBER(D5489),ISNUMBER(H5489)),D5489*H5489*Inputs!$C$69,"")</f>
      </c>
      <c r="J5489" s="42">
        <f>IF(AND(ISNUMBER(F5489),ISNUMBER(H5489),F5489&gt;=Inputs!$C$68),F5489*H5489*Inputs!$C$69,"")</f>
      </c>
    </row>
    <row r="5490" spans="2:10" ht="15" customHeight="1" x14ac:dyDescent="0.2">
      <c r="B5490" s="39">
        <f t="shared" si="42"/>
      </c>
      <c r="C5490" s="40">
        <f>IF(Inputs!$C$60,Inputs!$C$11+(B5490-Inputs!$C$69)/Inputs!$C$70,"")</f>
      </c>
      <c r="D5490" s="15"/>
      <c r="E5490" s="15"/>
      <c r="F5490" s="11">
        <f t="shared" si="43"/>
      </c>
      <c r="G5490" s="22" cm="1">
        <f t="array" ref="G5490">IF(AND(Inputs!$C$60,Inputs!$C$61),INDEX(Utility_Rates!$C$29:$F$52,HOUR(C5490)+Inputs!$C$69,MATCH(INDEX(Utility_Rates!$K$6:$K$17,MONTH(C5490))&amp;IF(WEEKDAY(C5490,Inputs!$C$76)&lt;=Inputs!$C$74," weekday"," weekend"),Utility_Rates!$C$28:$F$28,Inputs!$C$68)),"")</f>
      </c>
      <c r="H5490" s="34"/>
      <c r="I5490" s="42">
        <f>IF(AND(ISNUMBER(D5490),ISNUMBER(H5490)),D5490*H5490*Inputs!$C$69,"")</f>
      </c>
      <c r="J5490" s="42">
        <f>IF(AND(ISNUMBER(F5490),ISNUMBER(H5490),F5490&gt;=Inputs!$C$68),F5490*H5490*Inputs!$C$69,"")</f>
      </c>
    </row>
    <row r="5491" spans="2:10" ht="15" customHeight="1" x14ac:dyDescent="0.2">
      <c r="B5491" s="39">
        <f t="shared" si="42"/>
      </c>
      <c r="C5491" s="40">
        <f>IF(Inputs!$C$60,Inputs!$C$11+(B5491-Inputs!$C$69)/Inputs!$C$70,"")</f>
      </c>
      <c r="D5491" s="15"/>
      <c r="E5491" s="15"/>
      <c r="F5491" s="11">
        <f t="shared" si="43"/>
      </c>
      <c r="G5491" s="22" cm="1">
        <f t="array" ref="G5491">IF(AND(Inputs!$C$60,Inputs!$C$61),INDEX(Utility_Rates!$C$29:$F$52,HOUR(C5491)+Inputs!$C$69,MATCH(INDEX(Utility_Rates!$K$6:$K$17,MONTH(C5491))&amp;IF(WEEKDAY(C5491,Inputs!$C$76)&lt;=Inputs!$C$74," weekday"," weekend"),Utility_Rates!$C$28:$F$28,Inputs!$C$68)),"")</f>
      </c>
      <c r="H5491" s="34"/>
      <c r="I5491" s="42">
        <f>IF(AND(ISNUMBER(D5491),ISNUMBER(H5491)),D5491*H5491*Inputs!$C$69,"")</f>
      </c>
      <c r="J5491" s="42">
        <f>IF(AND(ISNUMBER(F5491),ISNUMBER(H5491),F5491&gt;=Inputs!$C$68),F5491*H5491*Inputs!$C$69,"")</f>
      </c>
    </row>
    <row r="5492" spans="2:10" ht="15" customHeight="1" x14ac:dyDescent="0.2">
      <c r="B5492" s="39">
        <f t="shared" si="42"/>
      </c>
      <c r="C5492" s="40">
        <f>IF(Inputs!$C$60,Inputs!$C$11+(B5492-Inputs!$C$69)/Inputs!$C$70,"")</f>
      </c>
      <c r="D5492" s="15"/>
      <c r="E5492" s="15"/>
      <c r="F5492" s="11">
        <f t="shared" si="43"/>
      </c>
      <c r="G5492" s="22" cm="1">
        <f t="array" ref="G5492">IF(AND(Inputs!$C$60,Inputs!$C$61),INDEX(Utility_Rates!$C$29:$F$52,HOUR(C5492)+Inputs!$C$69,MATCH(INDEX(Utility_Rates!$K$6:$K$17,MONTH(C5492))&amp;IF(WEEKDAY(C5492,Inputs!$C$76)&lt;=Inputs!$C$74," weekday"," weekend"),Utility_Rates!$C$28:$F$28,Inputs!$C$68)),"")</f>
      </c>
      <c r="H5492" s="34"/>
      <c r="I5492" s="42">
        <f>IF(AND(ISNUMBER(D5492),ISNUMBER(H5492)),D5492*H5492*Inputs!$C$69,"")</f>
      </c>
      <c r="J5492" s="42">
        <f>IF(AND(ISNUMBER(F5492),ISNUMBER(H5492),F5492&gt;=Inputs!$C$68),F5492*H5492*Inputs!$C$69,"")</f>
      </c>
    </row>
    <row r="5493" spans="2:10" ht="15" customHeight="1" x14ac:dyDescent="0.2">
      <c r="B5493" s="39">
        <f t="shared" si="42"/>
      </c>
      <c r="C5493" s="40">
        <f>IF(Inputs!$C$60,Inputs!$C$11+(B5493-Inputs!$C$69)/Inputs!$C$70,"")</f>
      </c>
      <c r="D5493" s="15"/>
      <c r="E5493" s="15"/>
      <c r="F5493" s="11">
        <f t="shared" si="43"/>
      </c>
      <c r="G5493" s="22" cm="1">
        <f t="array" ref="G5493">IF(AND(Inputs!$C$60,Inputs!$C$61),INDEX(Utility_Rates!$C$29:$F$52,HOUR(C5493)+Inputs!$C$69,MATCH(INDEX(Utility_Rates!$K$6:$K$17,MONTH(C5493))&amp;IF(WEEKDAY(C5493,Inputs!$C$76)&lt;=Inputs!$C$74," weekday"," weekend"),Utility_Rates!$C$28:$F$28,Inputs!$C$68)),"")</f>
      </c>
      <c r="H5493" s="34"/>
      <c r="I5493" s="42">
        <f>IF(AND(ISNUMBER(D5493),ISNUMBER(H5493)),D5493*H5493*Inputs!$C$69,"")</f>
      </c>
      <c r="J5493" s="42">
        <f>IF(AND(ISNUMBER(F5493),ISNUMBER(H5493),F5493&gt;=Inputs!$C$68),F5493*H5493*Inputs!$C$69,"")</f>
      </c>
    </row>
    <row r="5494" spans="2:10" ht="15" customHeight="1" x14ac:dyDescent="0.2">
      <c r="B5494" s="39">
        <f t="shared" si="42"/>
      </c>
      <c r="C5494" s="40">
        <f>IF(Inputs!$C$60,Inputs!$C$11+(B5494-Inputs!$C$69)/Inputs!$C$70,"")</f>
      </c>
      <c r="D5494" s="15"/>
      <c r="E5494" s="15"/>
      <c r="F5494" s="11">
        <f t="shared" si="43"/>
      </c>
      <c r="G5494" s="22" cm="1">
        <f t="array" ref="G5494">IF(AND(Inputs!$C$60,Inputs!$C$61),INDEX(Utility_Rates!$C$29:$F$52,HOUR(C5494)+Inputs!$C$69,MATCH(INDEX(Utility_Rates!$K$6:$K$17,MONTH(C5494))&amp;IF(WEEKDAY(C5494,Inputs!$C$76)&lt;=Inputs!$C$74," weekday"," weekend"),Utility_Rates!$C$28:$F$28,Inputs!$C$68)),"")</f>
      </c>
      <c r="H5494" s="34"/>
      <c r="I5494" s="42">
        <f>IF(AND(ISNUMBER(D5494),ISNUMBER(H5494)),D5494*H5494*Inputs!$C$69,"")</f>
      </c>
      <c r="J5494" s="42">
        <f>IF(AND(ISNUMBER(F5494),ISNUMBER(H5494),F5494&gt;=Inputs!$C$68),F5494*H5494*Inputs!$C$69,"")</f>
      </c>
    </row>
    <row r="5495" spans="2:10" ht="15" customHeight="1" x14ac:dyDescent="0.2">
      <c r="B5495" s="39">
        <f t="shared" si="42"/>
      </c>
      <c r="C5495" s="40">
        <f>IF(Inputs!$C$60,Inputs!$C$11+(B5495-Inputs!$C$69)/Inputs!$C$70,"")</f>
      </c>
      <c r="D5495" s="15"/>
      <c r="E5495" s="15"/>
      <c r="F5495" s="11">
        <f t="shared" si="43"/>
      </c>
      <c r="G5495" s="22" cm="1">
        <f t="array" ref="G5495">IF(AND(Inputs!$C$60,Inputs!$C$61),INDEX(Utility_Rates!$C$29:$F$52,HOUR(C5495)+Inputs!$C$69,MATCH(INDEX(Utility_Rates!$K$6:$K$17,MONTH(C5495))&amp;IF(WEEKDAY(C5495,Inputs!$C$76)&lt;=Inputs!$C$74," weekday"," weekend"),Utility_Rates!$C$28:$F$28,Inputs!$C$68)),"")</f>
      </c>
      <c r="H5495" s="34"/>
      <c r="I5495" s="42">
        <f>IF(AND(ISNUMBER(D5495),ISNUMBER(H5495)),D5495*H5495*Inputs!$C$69,"")</f>
      </c>
      <c r="J5495" s="42">
        <f>IF(AND(ISNUMBER(F5495),ISNUMBER(H5495),F5495&gt;=Inputs!$C$68),F5495*H5495*Inputs!$C$69,"")</f>
      </c>
    </row>
    <row r="5496" spans="2:10" ht="15" customHeight="1" x14ac:dyDescent="0.2">
      <c r="B5496" s="39">
        <f t="shared" si="42"/>
      </c>
      <c r="C5496" s="40">
        <f>IF(Inputs!$C$60,Inputs!$C$11+(B5496-Inputs!$C$69)/Inputs!$C$70,"")</f>
      </c>
      <c r="D5496" s="15"/>
      <c r="E5496" s="15"/>
      <c r="F5496" s="11">
        <f t="shared" si="43"/>
      </c>
      <c r="G5496" s="22" cm="1">
        <f t="array" ref="G5496">IF(AND(Inputs!$C$60,Inputs!$C$61),INDEX(Utility_Rates!$C$29:$F$52,HOUR(C5496)+Inputs!$C$69,MATCH(INDEX(Utility_Rates!$K$6:$K$17,MONTH(C5496))&amp;IF(WEEKDAY(C5496,Inputs!$C$76)&lt;=Inputs!$C$74," weekday"," weekend"),Utility_Rates!$C$28:$F$28,Inputs!$C$68)),"")</f>
      </c>
      <c r="H5496" s="34"/>
      <c r="I5496" s="42">
        <f>IF(AND(ISNUMBER(D5496),ISNUMBER(H5496)),D5496*H5496*Inputs!$C$69,"")</f>
      </c>
      <c r="J5496" s="42">
        <f>IF(AND(ISNUMBER(F5496),ISNUMBER(H5496),F5496&gt;=Inputs!$C$68),F5496*H5496*Inputs!$C$69,"")</f>
      </c>
    </row>
    <row r="5497" spans="2:10" ht="15" customHeight="1" x14ac:dyDescent="0.2">
      <c r="B5497" s="39">
        <f t="shared" si="42"/>
      </c>
      <c r="C5497" s="40">
        <f>IF(Inputs!$C$60,Inputs!$C$11+(B5497-Inputs!$C$69)/Inputs!$C$70,"")</f>
      </c>
      <c r="D5497" s="15"/>
      <c r="E5497" s="15"/>
      <c r="F5497" s="11">
        <f t="shared" si="43"/>
      </c>
      <c r="G5497" s="22" cm="1">
        <f t="array" ref="G5497">IF(AND(Inputs!$C$60,Inputs!$C$61),INDEX(Utility_Rates!$C$29:$F$52,HOUR(C5497)+Inputs!$C$69,MATCH(INDEX(Utility_Rates!$K$6:$K$17,MONTH(C5497))&amp;IF(WEEKDAY(C5497,Inputs!$C$76)&lt;=Inputs!$C$74," weekday"," weekend"),Utility_Rates!$C$28:$F$28,Inputs!$C$68)),"")</f>
      </c>
      <c r="H5497" s="34"/>
      <c r="I5497" s="42">
        <f>IF(AND(ISNUMBER(D5497),ISNUMBER(H5497)),D5497*H5497*Inputs!$C$69,"")</f>
      </c>
      <c r="J5497" s="42">
        <f>IF(AND(ISNUMBER(F5497),ISNUMBER(H5497),F5497&gt;=Inputs!$C$68),F5497*H5497*Inputs!$C$69,"")</f>
      </c>
    </row>
    <row r="5498" spans="2:10" ht="15" customHeight="1" x14ac:dyDescent="0.2">
      <c r="B5498" s="39">
        <f t="shared" si="42"/>
      </c>
      <c r="C5498" s="40">
        <f>IF(Inputs!$C$60,Inputs!$C$11+(B5498-Inputs!$C$69)/Inputs!$C$70,"")</f>
      </c>
      <c r="D5498" s="15"/>
      <c r="E5498" s="15"/>
      <c r="F5498" s="11">
        <f t="shared" si="43"/>
      </c>
      <c r="G5498" s="22" cm="1">
        <f t="array" ref="G5498">IF(AND(Inputs!$C$60,Inputs!$C$61),INDEX(Utility_Rates!$C$29:$F$52,HOUR(C5498)+Inputs!$C$69,MATCH(INDEX(Utility_Rates!$K$6:$K$17,MONTH(C5498))&amp;IF(WEEKDAY(C5498,Inputs!$C$76)&lt;=Inputs!$C$74," weekday"," weekend"),Utility_Rates!$C$28:$F$28,Inputs!$C$68)),"")</f>
      </c>
      <c r="H5498" s="34"/>
      <c r="I5498" s="42">
        <f>IF(AND(ISNUMBER(D5498),ISNUMBER(H5498)),D5498*H5498*Inputs!$C$69,"")</f>
      </c>
      <c r="J5498" s="42">
        <f>IF(AND(ISNUMBER(F5498),ISNUMBER(H5498),F5498&gt;=Inputs!$C$68),F5498*H5498*Inputs!$C$69,"")</f>
      </c>
    </row>
    <row r="5499" spans="2:10" ht="15" customHeight="1" x14ac:dyDescent="0.2">
      <c r="B5499" s="39">
        <f t="shared" si="42"/>
      </c>
      <c r="C5499" s="40">
        <f>IF(Inputs!$C$60,Inputs!$C$11+(B5499-Inputs!$C$69)/Inputs!$C$70,"")</f>
      </c>
      <c r="D5499" s="15"/>
      <c r="E5499" s="15"/>
      <c r="F5499" s="11">
        <f t="shared" si="43"/>
      </c>
      <c r="G5499" s="22" cm="1">
        <f t="array" ref="G5499">IF(AND(Inputs!$C$60,Inputs!$C$61),INDEX(Utility_Rates!$C$29:$F$52,HOUR(C5499)+Inputs!$C$69,MATCH(INDEX(Utility_Rates!$K$6:$K$17,MONTH(C5499))&amp;IF(WEEKDAY(C5499,Inputs!$C$76)&lt;=Inputs!$C$74," weekday"," weekend"),Utility_Rates!$C$28:$F$28,Inputs!$C$68)),"")</f>
      </c>
      <c r="H5499" s="34"/>
      <c r="I5499" s="42">
        <f>IF(AND(ISNUMBER(D5499),ISNUMBER(H5499)),D5499*H5499*Inputs!$C$69,"")</f>
      </c>
      <c r="J5499" s="42">
        <f>IF(AND(ISNUMBER(F5499),ISNUMBER(H5499),F5499&gt;=Inputs!$C$68),F5499*H5499*Inputs!$C$69,"")</f>
      </c>
    </row>
    <row r="5500" spans="2:10" ht="15" customHeight="1" x14ac:dyDescent="0.2">
      <c r="B5500" s="39">
        <f t="shared" si="42"/>
      </c>
      <c r="C5500" s="40">
        <f>IF(Inputs!$C$60,Inputs!$C$11+(B5500-Inputs!$C$69)/Inputs!$C$70,"")</f>
      </c>
      <c r="D5500" s="15"/>
      <c r="E5500" s="15"/>
      <c r="F5500" s="11">
        <f t="shared" si="43"/>
      </c>
      <c r="G5500" s="22" cm="1">
        <f t="array" ref="G5500">IF(AND(Inputs!$C$60,Inputs!$C$61),INDEX(Utility_Rates!$C$29:$F$52,HOUR(C5500)+Inputs!$C$69,MATCH(INDEX(Utility_Rates!$K$6:$K$17,MONTH(C5500))&amp;IF(WEEKDAY(C5500,Inputs!$C$76)&lt;=Inputs!$C$74," weekday"," weekend"),Utility_Rates!$C$28:$F$28,Inputs!$C$68)),"")</f>
      </c>
      <c r="H5500" s="34"/>
      <c r="I5500" s="42">
        <f>IF(AND(ISNUMBER(D5500),ISNUMBER(H5500)),D5500*H5500*Inputs!$C$69,"")</f>
      </c>
      <c r="J5500" s="42">
        <f>IF(AND(ISNUMBER(F5500),ISNUMBER(H5500),F5500&gt;=Inputs!$C$68),F5500*H5500*Inputs!$C$69,"")</f>
      </c>
    </row>
    <row r="5501" spans="2:10" ht="15" customHeight="1" x14ac:dyDescent="0.2">
      <c r="B5501" s="39">
        <f t="shared" si="42"/>
      </c>
      <c r="C5501" s="40">
        <f>IF(Inputs!$C$60,Inputs!$C$11+(B5501-Inputs!$C$69)/Inputs!$C$70,"")</f>
      </c>
      <c r="D5501" s="15"/>
      <c r="E5501" s="15"/>
      <c r="F5501" s="11">
        <f t="shared" si="43"/>
      </c>
      <c r="G5501" s="22" cm="1">
        <f t="array" ref="G5501">IF(AND(Inputs!$C$60,Inputs!$C$61),INDEX(Utility_Rates!$C$29:$F$52,HOUR(C5501)+Inputs!$C$69,MATCH(INDEX(Utility_Rates!$K$6:$K$17,MONTH(C5501))&amp;IF(WEEKDAY(C5501,Inputs!$C$76)&lt;=Inputs!$C$74," weekday"," weekend"),Utility_Rates!$C$28:$F$28,Inputs!$C$68)),"")</f>
      </c>
      <c r="H5501" s="34"/>
      <c r="I5501" s="42">
        <f>IF(AND(ISNUMBER(D5501),ISNUMBER(H5501)),D5501*H5501*Inputs!$C$69,"")</f>
      </c>
      <c r="J5501" s="42">
        <f>IF(AND(ISNUMBER(F5501),ISNUMBER(H5501),F5501&gt;=Inputs!$C$68),F5501*H5501*Inputs!$C$69,"")</f>
      </c>
    </row>
    <row r="5502" spans="2:10" ht="15" customHeight="1" x14ac:dyDescent="0.2">
      <c r="B5502" s="39">
        <f t="shared" si="42"/>
      </c>
      <c r="C5502" s="40">
        <f>IF(Inputs!$C$60,Inputs!$C$11+(B5502-Inputs!$C$69)/Inputs!$C$70,"")</f>
      </c>
      <c r="D5502" s="15"/>
      <c r="E5502" s="15"/>
      <c r="F5502" s="11">
        <f t="shared" si="43"/>
      </c>
      <c r="G5502" s="22" cm="1">
        <f t="array" ref="G5502">IF(AND(Inputs!$C$60,Inputs!$C$61),INDEX(Utility_Rates!$C$29:$F$52,HOUR(C5502)+Inputs!$C$69,MATCH(INDEX(Utility_Rates!$K$6:$K$17,MONTH(C5502))&amp;IF(WEEKDAY(C5502,Inputs!$C$76)&lt;=Inputs!$C$74," weekday"," weekend"),Utility_Rates!$C$28:$F$28,Inputs!$C$68)),"")</f>
      </c>
      <c r="H5502" s="34"/>
      <c r="I5502" s="42">
        <f>IF(AND(ISNUMBER(D5502),ISNUMBER(H5502)),D5502*H5502*Inputs!$C$69,"")</f>
      </c>
      <c r="J5502" s="42">
        <f>IF(AND(ISNUMBER(F5502),ISNUMBER(H5502),F5502&gt;=Inputs!$C$68),F5502*H5502*Inputs!$C$69,"")</f>
      </c>
    </row>
    <row r="5503" spans="2:10" ht="15" customHeight="1" x14ac:dyDescent="0.2">
      <c r="B5503" s="39">
        <f t="shared" si="42"/>
      </c>
      <c r="C5503" s="40">
        <f>IF(Inputs!$C$60,Inputs!$C$11+(B5503-Inputs!$C$69)/Inputs!$C$70,"")</f>
      </c>
      <c r="D5503" s="15"/>
      <c r="E5503" s="15"/>
      <c r="F5503" s="11">
        <f t="shared" si="43"/>
      </c>
      <c r="G5503" s="22" cm="1">
        <f t="array" ref="G5503">IF(AND(Inputs!$C$60,Inputs!$C$61),INDEX(Utility_Rates!$C$29:$F$52,HOUR(C5503)+Inputs!$C$69,MATCH(INDEX(Utility_Rates!$K$6:$K$17,MONTH(C5503))&amp;IF(WEEKDAY(C5503,Inputs!$C$76)&lt;=Inputs!$C$74," weekday"," weekend"),Utility_Rates!$C$28:$F$28,Inputs!$C$68)),"")</f>
      </c>
      <c r="H5503" s="34"/>
      <c r="I5503" s="42">
        <f>IF(AND(ISNUMBER(D5503),ISNUMBER(H5503)),D5503*H5503*Inputs!$C$69,"")</f>
      </c>
      <c r="J5503" s="42">
        <f>IF(AND(ISNUMBER(F5503),ISNUMBER(H5503),F5503&gt;=Inputs!$C$68),F5503*H5503*Inputs!$C$69,"")</f>
      </c>
    </row>
    <row r="5504" spans="2:10" ht="15" customHeight="1" x14ac:dyDescent="0.2">
      <c r="B5504" s="39">
        <f t="shared" si="42"/>
      </c>
      <c r="C5504" s="40">
        <f>IF(Inputs!$C$60,Inputs!$C$11+(B5504-Inputs!$C$69)/Inputs!$C$70,"")</f>
      </c>
      <c r="D5504" s="15"/>
      <c r="E5504" s="15"/>
      <c r="F5504" s="11">
        <f t="shared" si="43"/>
      </c>
      <c r="G5504" s="22" cm="1">
        <f t="array" ref="G5504">IF(AND(Inputs!$C$60,Inputs!$C$61),INDEX(Utility_Rates!$C$29:$F$52,HOUR(C5504)+Inputs!$C$69,MATCH(INDEX(Utility_Rates!$K$6:$K$17,MONTH(C5504))&amp;IF(WEEKDAY(C5504,Inputs!$C$76)&lt;=Inputs!$C$74," weekday"," weekend"),Utility_Rates!$C$28:$F$28,Inputs!$C$68)),"")</f>
      </c>
      <c r="H5504" s="34"/>
      <c r="I5504" s="42">
        <f>IF(AND(ISNUMBER(D5504),ISNUMBER(H5504)),D5504*H5504*Inputs!$C$69,"")</f>
      </c>
      <c r="J5504" s="42">
        <f>IF(AND(ISNUMBER(F5504),ISNUMBER(H5504),F5504&gt;=Inputs!$C$68),F5504*H5504*Inputs!$C$69,"")</f>
      </c>
    </row>
    <row r="5505" spans="2:10" ht="15" customHeight="1" x14ac:dyDescent="0.2">
      <c r="B5505" s="39">
        <f t="shared" si="42"/>
      </c>
      <c r="C5505" s="40">
        <f>IF(Inputs!$C$60,Inputs!$C$11+(B5505-Inputs!$C$69)/Inputs!$C$70,"")</f>
      </c>
      <c r="D5505" s="15"/>
      <c r="E5505" s="15"/>
      <c r="F5505" s="11">
        <f t="shared" si="43"/>
      </c>
      <c r="G5505" s="22" cm="1">
        <f t="array" ref="G5505">IF(AND(Inputs!$C$60,Inputs!$C$61),INDEX(Utility_Rates!$C$29:$F$52,HOUR(C5505)+Inputs!$C$69,MATCH(INDEX(Utility_Rates!$K$6:$K$17,MONTH(C5505))&amp;IF(WEEKDAY(C5505,Inputs!$C$76)&lt;=Inputs!$C$74," weekday"," weekend"),Utility_Rates!$C$28:$F$28,Inputs!$C$68)),"")</f>
      </c>
      <c r="H5505" s="34"/>
      <c r="I5505" s="42">
        <f>IF(AND(ISNUMBER(D5505),ISNUMBER(H5505)),D5505*H5505*Inputs!$C$69,"")</f>
      </c>
      <c r="J5505" s="42">
        <f>IF(AND(ISNUMBER(F5505),ISNUMBER(H5505),F5505&gt;=Inputs!$C$68),F5505*H5505*Inputs!$C$69,"")</f>
      </c>
    </row>
    <row r="5506" spans="2:10" ht="15" customHeight="1" x14ac:dyDescent="0.2">
      <c r="B5506" s="39">
        <f t="shared" si="42"/>
      </c>
      <c r="C5506" s="40">
        <f>IF(Inputs!$C$60,Inputs!$C$11+(B5506-Inputs!$C$69)/Inputs!$C$70,"")</f>
      </c>
      <c r="D5506" s="15"/>
      <c r="E5506" s="15"/>
      <c r="F5506" s="11">
        <f t="shared" si="43"/>
      </c>
      <c r="G5506" s="22" cm="1">
        <f t="array" ref="G5506">IF(AND(Inputs!$C$60,Inputs!$C$61),INDEX(Utility_Rates!$C$29:$F$52,HOUR(C5506)+Inputs!$C$69,MATCH(INDEX(Utility_Rates!$K$6:$K$17,MONTH(C5506))&amp;IF(WEEKDAY(C5506,Inputs!$C$76)&lt;=Inputs!$C$74," weekday"," weekend"),Utility_Rates!$C$28:$F$28,Inputs!$C$68)),"")</f>
      </c>
      <c r="H5506" s="34"/>
      <c r="I5506" s="42">
        <f>IF(AND(ISNUMBER(D5506),ISNUMBER(H5506)),D5506*H5506*Inputs!$C$69,"")</f>
      </c>
      <c r="J5506" s="42">
        <f>IF(AND(ISNUMBER(F5506),ISNUMBER(H5506),F5506&gt;=Inputs!$C$68),F5506*H5506*Inputs!$C$69,"")</f>
      </c>
    </row>
    <row r="5507" spans="2:10" ht="15" customHeight="1" x14ac:dyDescent="0.2">
      <c r="B5507" s="39">
        <f t="shared" si="42"/>
      </c>
      <c r="C5507" s="40">
        <f>IF(Inputs!$C$60,Inputs!$C$11+(B5507-Inputs!$C$69)/Inputs!$C$70,"")</f>
      </c>
      <c r="D5507" s="15"/>
      <c r="E5507" s="15"/>
      <c r="F5507" s="11">
        <f t="shared" si="43"/>
      </c>
      <c r="G5507" s="22" cm="1">
        <f t="array" ref="G5507">IF(AND(Inputs!$C$60,Inputs!$C$61),INDEX(Utility_Rates!$C$29:$F$52,HOUR(C5507)+Inputs!$C$69,MATCH(INDEX(Utility_Rates!$K$6:$K$17,MONTH(C5507))&amp;IF(WEEKDAY(C5507,Inputs!$C$76)&lt;=Inputs!$C$74," weekday"," weekend"),Utility_Rates!$C$28:$F$28,Inputs!$C$68)),"")</f>
      </c>
      <c r="H5507" s="34"/>
      <c r="I5507" s="42">
        <f>IF(AND(ISNUMBER(D5507),ISNUMBER(H5507)),D5507*H5507*Inputs!$C$69,"")</f>
      </c>
      <c r="J5507" s="42">
        <f>IF(AND(ISNUMBER(F5507),ISNUMBER(H5507),F5507&gt;=Inputs!$C$68),F5507*H5507*Inputs!$C$69,"")</f>
      </c>
    </row>
    <row r="5508" spans="2:10" ht="15" customHeight="1" x14ac:dyDescent="0.2">
      <c r="B5508" s="39">
        <f t="shared" si="42"/>
      </c>
      <c r="C5508" s="40">
        <f>IF(Inputs!$C$60,Inputs!$C$11+(B5508-Inputs!$C$69)/Inputs!$C$70,"")</f>
      </c>
      <c r="D5508" s="15"/>
      <c r="E5508" s="15"/>
      <c r="F5508" s="11">
        <f t="shared" si="43"/>
      </c>
      <c r="G5508" s="22" cm="1">
        <f t="array" ref="G5508">IF(AND(Inputs!$C$60,Inputs!$C$61),INDEX(Utility_Rates!$C$29:$F$52,HOUR(C5508)+Inputs!$C$69,MATCH(INDEX(Utility_Rates!$K$6:$K$17,MONTH(C5508))&amp;IF(WEEKDAY(C5508,Inputs!$C$76)&lt;=Inputs!$C$74," weekday"," weekend"),Utility_Rates!$C$28:$F$28,Inputs!$C$68)),"")</f>
      </c>
      <c r="H5508" s="34"/>
      <c r="I5508" s="42">
        <f>IF(AND(ISNUMBER(D5508),ISNUMBER(H5508)),D5508*H5508*Inputs!$C$69,"")</f>
      </c>
      <c r="J5508" s="42">
        <f>IF(AND(ISNUMBER(F5508),ISNUMBER(H5508),F5508&gt;=Inputs!$C$68),F5508*H5508*Inputs!$C$69,"")</f>
      </c>
    </row>
    <row r="5509" spans="2:10" ht="15" customHeight="1" x14ac:dyDescent="0.2">
      <c r="B5509" s="39">
        <f t="shared" si="42"/>
      </c>
      <c r="C5509" s="40">
        <f>IF(Inputs!$C$60,Inputs!$C$11+(B5509-Inputs!$C$69)/Inputs!$C$70,"")</f>
      </c>
      <c r="D5509" s="15"/>
      <c r="E5509" s="15"/>
      <c r="F5509" s="11">
        <f t="shared" si="43"/>
      </c>
      <c r="G5509" s="22" cm="1">
        <f t="array" ref="G5509">IF(AND(Inputs!$C$60,Inputs!$C$61),INDEX(Utility_Rates!$C$29:$F$52,HOUR(C5509)+Inputs!$C$69,MATCH(INDEX(Utility_Rates!$K$6:$K$17,MONTH(C5509))&amp;IF(WEEKDAY(C5509,Inputs!$C$76)&lt;=Inputs!$C$74," weekday"," weekend"),Utility_Rates!$C$28:$F$28,Inputs!$C$68)),"")</f>
      </c>
      <c r="H5509" s="34"/>
      <c r="I5509" s="42">
        <f>IF(AND(ISNUMBER(D5509),ISNUMBER(H5509)),D5509*H5509*Inputs!$C$69,"")</f>
      </c>
      <c r="J5509" s="42">
        <f>IF(AND(ISNUMBER(F5509),ISNUMBER(H5509),F5509&gt;=Inputs!$C$68),F5509*H5509*Inputs!$C$69,"")</f>
      </c>
    </row>
    <row r="5510" spans="2:10" ht="15" customHeight="1" x14ac:dyDescent="0.2">
      <c r="B5510" s="39">
        <f t="shared" si="42"/>
      </c>
      <c r="C5510" s="40">
        <f>IF(Inputs!$C$60,Inputs!$C$11+(B5510-Inputs!$C$69)/Inputs!$C$70,"")</f>
      </c>
      <c r="D5510" s="15"/>
      <c r="E5510" s="15"/>
      <c r="F5510" s="11">
        <f t="shared" si="43"/>
      </c>
      <c r="G5510" s="22" cm="1">
        <f t="array" ref="G5510">IF(AND(Inputs!$C$60,Inputs!$C$61),INDEX(Utility_Rates!$C$29:$F$52,HOUR(C5510)+Inputs!$C$69,MATCH(INDEX(Utility_Rates!$K$6:$K$17,MONTH(C5510))&amp;IF(WEEKDAY(C5510,Inputs!$C$76)&lt;=Inputs!$C$74," weekday"," weekend"),Utility_Rates!$C$28:$F$28,Inputs!$C$68)),"")</f>
      </c>
      <c r="H5510" s="34"/>
      <c r="I5510" s="42">
        <f>IF(AND(ISNUMBER(D5510),ISNUMBER(H5510)),D5510*H5510*Inputs!$C$69,"")</f>
      </c>
      <c r="J5510" s="42">
        <f>IF(AND(ISNUMBER(F5510),ISNUMBER(H5510),F5510&gt;=Inputs!$C$68),F5510*H5510*Inputs!$C$69,"")</f>
      </c>
    </row>
    <row r="5511" spans="2:10" ht="15" customHeight="1" x14ac:dyDescent="0.2">
      <c r="B5511" s="39">
        <f t="shared" si="42"/>
      </c>
      <c r="C5511" s="40">
        <f>IF(Inputs!$C$60,Inputs!$C$11+(B5511-Inputs!$C$69)/Inputs!$C$70,"")</f>
      </c>
      <c r="D5511" s="15"/>
      <c r="E5511" s="15"/>
      <c r="F5511" s="11">
        <f t="shared" si="43"/>
      </c>
      <c r="G5511" s="22" cm="1">
        <f t="array" ref="G5511">IF(AND(Inputs!$C$60,Inputs!$C$61),INDEX(Utility_Rates!$C$29:$F$52,HOUR(C5511)+Inputs!$C$69,MATCH(INDEX(Utility_Rates!$K$6:$K$17,MONTH(C5511))&amp;IF(WEEKDAY(C5511,Inputs!$C$76)&lt;=Inputs!$C$74," weekday"," weekend"),Utility_Rates!$C$28:$F$28,Inputs!$C$68)),"")</f>
      </c>
      <c r="H5511" s="34"/>
      <c r="I5511" s="42">
        <f>IF(AND(ISNUMBER(D5511),ISNUMBER(H5511)),D5511*H5511*Inputs!$C$69,"")</f>
      </c>
      <c r="J5511" s="42">
        <f>IF(AND(ISNUMBER(F5511),ISNUMBER(H5511),F5511&gt;=Inputs!$C$68),F5511*H5511*Inputs!$C$69,"")</f>
      </c>
    </row>
    <row r="5512" spans="2:10" ht="15" customHeight="1" x14ac:dyDescent="0.2">
      <c r="B5512" s="39">
        <f t="shared" si="42"/>
      </c>
      <c r="C5512" s="40">
        <f>IF(Inputs!$C$60,Inputs!$C$11+(B5512-Inputs!$C$69)/Inputs!$C$70,"")</f>
      </c>
      <c r="D5512" s="15"/>
      <c r="E5512" s="15"/>
      <c r="F5512" s="11">
        <f t="shared" si="43"/>
      </c>
      <c r="G5512" s="22" cm="1">
        <f t="array" ref="G5512">IF(AND(Inputs!$C$60,Inputs!$C$61),INDEX(Utility_Rates!$C$29:$F$52,HOUR(C5512)+Inputs!$C$69,MATCH(INDEX(Utility_Rates!$K$6:$K$17,MONTH(C5512))&amp;IF(WEEKDAY(C5512,Inputs!$C$76)&lt;=Inputs!$C$74," weekday"," weekend"),Utility_Rates!$C$28:$F$28,Inputs!$C$68)),"")</f>
      </c>
      <c r="H5512" s="34"/>
      <c r="I5512" s="42">
        <f>IF(AND(ISNUMBER(D5512),ISNUMBER(H5512)),D5512*H5512*Inputs!$C$69,"")</f>
      </c>
      <c r="J5512" s="42">
        <f>IF(AND(ISNUMBER(F5512),ISNUMBER(H5512),F5512&gt;=Inputs!$C$68),F5512*H5512*Inputs!$C$69,"")</f>
      </c>
    </row>
    <row r="5513" spans="2:10" ht="15" customHeight="1" x14ac:dyDescent="0.2">
      <c r="B5513" s="39">
        <f t="shared" si="42"/>
      </c>
      <c r="C5513" s="40">
        <f>IF(Inputs!$C$60,Inputs!$C$11+(B5513-Inputs!$C$69)/Inputs!$C$70,"")</f>
      </c>
      <c r="D5513" s="15"/>
      <c r="E5513" s="15"/>
      <c r="F5513" s="11">
        <f t="shared" si="43"/>
      </c>
      <c r="G5513" s="22" cm="1">
        <f t="array" ref="G5513">IF(AND(Inputs!$C$60,Inputs!$C$61),INDEX(Utility_Rates!$C$29:$F$52,HOUR(C5513)+Inputs!$C$69,MATCH(INDEX(Utility_Rates!$K$6:$K$17,MONTH(C5513))&amp;IF(WEEKDAY(C5513,Inputs!$C$76)&lt;=Inputs!$C$74," weekday"," weekend"),Utility_Rates!$C$28:$F$28,Inputs!$C$68)),"")</f>
      </c>
      <c r="H5513" s="34"/>
      <c r="I5513" s="42">
        <f>IF(AND(ISNUMBER(D5513),ISNUMBER(H5513)),D5513*H5513*Inputs!$C$69,"")</f>
      </c>
      <c r="J5513" s="42">
        <f>IF(AND(ISNUMBER(F5513),ISNUMBER(H5513),F5513&gt;=Inputs!$C$68),F5513*H5513*Inputs!$C$69,"")</f>
      </c>
    </row>
    <row r="5514" spans="2:10" ht="15" customHeight="1" x14ac:dyDescent="0.2">
      <c r="B5514" s="39">
        <f t="shared" si="42"/>
      </c>
      <c r="C5514" s="40">
        <f>IF(Inputs!$C$60,Inputs!$C$11+(B5514-Inputs!$C$69)/Inputs!$C$70,"")</f>
      </c>
      <c r="D5514" s="15"/>
      <c r="E5514" s="15"/>
      <c r="F5514" s="11">
        <f t="shared" si="43"/>
      </c>
      <c r="G5514" s="22" cm="1">
        <f t="array" ref="G5514">IF(AND(Inputs!$C$60,Inputs!$C$61),INDEX(Utility_Rates!$C$29:$F$52,HOUR(C5514)+Inputs!$C$69,MATCH(INDEX(Utility_Rates!$K$6:$K$17,MONTH(C5514))&amp;IF(WEEKDAY(C5514,Inputs!$C$76)&lt;=Inputs!$C$74," weekday"," weekend"),Utility_Rates!$C$28:$F$28,Inputs!$C$68)),"")</f>
      </c>
      <c r="H5514" s="34"/>
      <c r="I5514" s="42">
        <f>IF(AND(ISNUMBER(D5514),ISNUMBER(H5514)),D5514*H5514*Inputs!$C$69,"")</f>
      </c>
      <c r="J5514" s="42">
        <f>IF(AND(ISNUMBER(F5514),ISNUMBER(H5514),F5514&gt;=Inputs!$C$68),F5514*H5514*Inputs!$C$69,"")</f>
      </c>
    </row>
    <row r="5515" spans="2:10" ht="15" customHeight="1" x14ac:dyDescent="0.2">
      <c r="B5515" s="39">
        <f t="shared" si="42"/>
      </c>
      <c r="C5515" s="40">
        <f>IF(Inputs!$C$60,Inputs!$C$11+(B5515-Inputs!$C$69)/Inputs!$C$70,"")</f>
      </c>
      <c r="D5515" s="15"/>
      <c r="E5515" s="15"/>
      <c r="F5515" s="11">
        <f t="shared" si="43"/>
      </c>
      <c r="G5515" s="22" cm="1">
        <f t="array" ref="G5515">IF(AND(Inputs!$C$60,Inputs!$C$61),INDEX(Utility_Rates!$C$29:$F$52,HOUR(C5515)+Inputs!$C$69,MATCH(INDEX(Utility_Rates!$K$6:$K$17,MONTH(C5515))&amp;IF(WEEKDAY(C5515,Inputs!$C$76)&lt;=Inputs!$C$74," weekday"," weekend"),Utility_Rates!$C$28:$F$28,Inputs!$C$68)),"")</f>
      </c>
      <c r="H5515" s="34"/>
      <c r="I5515" s="42">
        <f>IF(AND(ISNUMBER(D5515),ISNUMBER(H5515)),D5515*H5515*Inputs!$C$69,"")</f>
      </c>
      <c r="J5515" s="42">
        <f>IF(AND(ISNUMBER(F5515),ISNUMBER(H5515),F5515&gt;=Inputs!$C$68),F5515*H5515*Inputs!$C$69,"")</f>
      </c>
    </row>
    <row r="5516" spans="2:10" ht="15" customHeight="1" x14ac:dyDescent="0.2">
      <c r="B5516" s="39">
        <f t="shared" si="42"/>
      </c>
      <c r="C5516" s="40">
        <f>IF(Inputs!$C$60,Inputs!$C$11+(B5516-Inputs!$C$69)/Inputs!$C$70,"")</f>
      </c>
      <c r="D5516" s="15"/>
      <c r="E5516" s="15"/>
      <c r="F5516" s="11">
        <f t="shared" si="43"/>
      </c>
      <c r="G5516" s="22" cm="1">
        <f t="array" ref="G5516">IF(AND(Inputs!$C$60,Inputs!$C$61),INDEX(Utility_Rates!$C$29:$F$52,HOUR(C5516)+Inputs!$C$69,MATCH(INDEX(Utility_Rates!$K$6:$K$17,MONTH(C5516))&amp;IF(WEEKDAY(C5516,Inputs!$C$76)&lt;=Inputs!$C$74," weekday"," weekend"),Utility_Rates!$C$28:$F$28,Inputs!$C$68)),"")</f>
      </c>
      <c r="H5516" s="34"/>
      <c r="I5516" s="42">
        <f>IF(AND(ISNUMBER(D5516),ISNUMBER(H5516)),D5516*H5516*Inputs!$C$69,"")</f>
      </c>
      <c r="J5516" s="42">
        <f>IF(AND(ISNUMBER(F5516),ISNUMBER(H5516),F5516&gt;=Inputs!$C$68),F5516*H5516*Inputs!$C$69,"")</f>
      </c>
    </row>
    <row r="5517" spans="2:10" ht="15" customHeight="1" x14ac:dyDescent="0.2">
      <c r="B5517" s="39">
        <f t="shared" si="42"/>
      </c>
      <c r="C5517" s="40">
        <f>IF(Inputs!$C$60,Inputs!$C$11+(B5517-Inputs!$C$69)/Inputs!$C$70,"")</f>
      </c>
      <c r="D5517" s="15"/>
      <c r="E5517" s="15"/>
      <c r="F5517" s="11">
        <f t="shared" si="43"/>
      </c>
      <c r="G5517" s="22" cm="1">
        <f t="array" ref="G5517">IF(AND(Inputs!$C$60,Inputs!$C$61),INDEX(Utility_Rates!$C$29:$F$52,HOUR(C5517)+Inputs!$C$69,MATCH(INDEX(Utility_Rates!$K$6:$K$17,MONTH(C5517))&amp;IF(WEEKDAY(C5517,Inputs!$C$76)&lt;=Inputs!$C$74," weekday"," weekend"),Utility_Rates!$C$28:$F$28,Inputs!$C$68)),"")</f>
      </c>
      <c r="H5517" s="34"/>
      <c r="I5517" s="42">
        <f>IF(AND(ISNUMBER(D5517),ISNUMBER(H5517)),D5517*H5517*Inputs!$C$69,"")</f>
      </c>
      <c r="J5517" s="42">
        <f>IF(AND(ISNUMBER(F5517),ISNUMBER(H5517),F5517&gt;=Inputs!$C$68),F5517*H5517*Inputs!$C$69,"")</f>
      </c>
    </row>
    <row r="5518" spans="2:10" ht="15" customHeight="1" x14ac:dyDescent="0.2">
      <c r="B5518" s="39">
        <f t="shared" si="42"/>
      </c>
      <c r="C5518" s="40">
        <f>IF(Inputs!$C$60,Inputs!$C$11+(B5518-Inputs!$C$69)/Inputs!$C$70,"")</f>
      </c>
      <c r="D5518" s="15"/>
      <c r="E5518" s="15"/>
      <c r="F5518" s="11">
        <f t="shared" si="43"/>
      </c>
      <c r="G5518" s="22" cm="1">
        <f t="array" ref="G5518">IF(AND(Inputs!$C$60,Inputs!$C$61),INDEX(Utility_Rates!$C$29:$F$52,HOUR(C5518)+Inputs!$C$69,MATCH(INDEX(Utility_Rates!$K$6:$K$17,MONTH(C5518))&amp;IF(WEEKDAY(C5518,Inputs!$C$76)&lt;=Inputs!$C$74," weekday"," weekend"),Utility_Rates!$C$28:$F$28,Inputs!$C$68)),"")</f>
      </c>
      <c r="H5518" s="34"/>
      <c r="I5518" s="42">
        <f>IF(AND(ISNUMBER(D5518),ISNUMBER(H5518)),D5518*H5518*Inputs!$C$69,"")</f>
      </c>
      <c r="J5518" s="42">
        <f>IF(AND(ISNUMBER(F5518),ISNUMBER(H5518),F5518&gt;=Inputs!$C$68),F5518*H5518*Inputs!$C$69,"")</f>
      </c>
    </row>
    <row r="5519" spans="2:10" ht="15" customHeight="1" x14ac:dyDescent="0.2">
      <c r="B5519" s="39">
        <f t="shared" si="42"/>
      </c>
      <c r="C5519" s="40">
        <f>IF(Inputs!$C$60,Inputs!$C$11+(B5519-Inputs!$C$69)/Inputs!$C$70,"")</f>
      </c>
      <c r="D5519" s="15"/>
      <c r="E5519" s="15"/>
      <c r="F5519" s="11">
        <f t="shared" si="43"/>
      </c>
      <c r="G5519" s="22" cm="1">
        <f t="array" ref="G5519">IF(AND(Inputs!$C$60,Inputs!$C$61),INDEX(Utility_Rates!$C$29:$F$52,HOUR(C5519)+Inputs!$C$69,MATCH(INDEX(Utility_Rates!$K$6:$K$17,MONTH(C5519))&amp;IF(WEEKDAY(C5519,Inputs!$C$76)&lt;=Inputs!$C$74," weekday"," weekend"),Utility_Rates!$C$28:$F$28,Inputs!$C$68)),"")</f>
      </c>
      <c r="H5519" s="34"/>
      <c r="I5519" s="42">
        <f>IF(AND(ISNUMBER(D5519),ISNUMBER(H5519)),D5519*H5519*Inputs!$C$69,"")</f>
      </c>
      <c r="J5519" s="42">
        <f>IF(AND(ISNUMBER(F5519),ISNUMBER(H5519),F5519&gt;=Inputs!$C$68),F5519*H5519*Inputs!$C$69,"")</f>
      </c>
    </row>
    <row r="5520" spans="2:10" ht="15" customHeight="1" x14ac:dyDescent="0.2">
      <c r="B5520" s="39">
        <f t="shared" si="42"/>
      </c>
      <c r="C5520" s="40">
        <f>IF(Inputs!$C$60,Inputs!$C$11+(B5520-Inputs!$C$69)/Inputs!$C$70,"")</f>
      </c>
      <c r="D5520" s="15"/>
      <c r="E5520" s="15"/>
      <c r="F5520" s="11">
        <f t="shared" si="43"/>
      </c>
      <c r="G5520" s="22" cm="1">
        <f t="array" ref="G5520">IF(AND(Inputs!$C$60,Inputs!$C$61),INDEX(Utility_Rates!$C$29:$F$52,HOUR(C5520)+Inputs!$C$69,MATCH(INDEX(Utility_Rates!$K$6:$K$17,MONTH(C5520))&amp;IF(WEEKDAY(C5520,Inputs!$C$76)&lt;=Inputs!$C$74," weekday"," weekend"),Utility_Rates!$C$28:$F$28,Inputs!$C$68)),"")</f>
      </c>
      <c r="H5520" s="34"/>
      <c r="I5520" s="42">
        <f>IF(AND(ISNUMBER(D5520),ISNUMBER(H5520)),D5520*H5520*Inputs!$C$69,"")</f>
      </c>
      <c r="J5520" s="42">
        <f>IF(AND(ISNUMBER(F5520),ISNUMBER(H5520),F5520&gt;=Inputs!$C$68),F5520*H5520*Inputs!$C$69,"")</f>
      </c>
    </row>
    <row r="5521" spans="2:10" ht="15" customHeight="1" x14ac:dyDescent="0.2">
      <c r="B5521" s="39">
        <f t="shared" si="42"/>
      </c>
      <c r="C5521" s="40">
        <f>IF(Inputs!$C$60,Inputs!$C$11+(B5521-Inputs!$C$69)/Inputs!$C$70,"")</f>
      </c>
      <c r="D5521" s="15"/>
      <c r="E5521" s="15"/>
      <c r="F5521" s="11">
        <f t="shared" si="43"/>
      </c>
      <c r="G5521" s="22" cm="1">
        <f t="array" ref="G5521">IF(AND(Inputs!$C$60,Inputs!$C$61),INDEX(Utility_Rates!$C$29:$F$52,HOUR(C5521)+Inputs!$C$69,MATCH(INDEX(Utility_Rates!$K$6:$K$17,MONTH(C5521))&amp;IF(WEEKDAY(C5521,Inputs!$C$76)&lt;=Inputs!$C$74," weekday"," weekend"),Utility_Rates!$C$28:$F$28,Inputs!$C$68)),"")</f>
      </c>
      <c r="H5521" s="34"/>
      <c r="I5521" s="42">
        <f>IF(AND(ISNUMBER(D5521),ISNUMBER(H5521)),D5521*H5521*Inputs!$C$69,"")</f>
      </c>
      <c r="J5521" s="42">
        <f>IF(AND(ISNUMBER(F5521),ISNUMBER(H5521),F5521&gt;=Inputs!$C$68),F5521*H5521*Inputs!$C$69,"")</f>
      </c>
    </row>
    <row r="5522" spans="2:10" ht="15" customHeight="1" x14ac:dyDescent="0.2">
      <c r="B5522" s="39">
        <f t="shared" si="42"/>
      </c>
      <c r="C5522" s="40">
        <f>IF(Inputs!$C$60,Inputs!$C$11+(B5522-Inputs!$C$69)/Inputs!$C$70,"")</f>
      </c>
      <c r="D5522" s="15"/>
      <c r="E5522" s="15"/>
      <c r="F5522" s="11">
        <f t="shared" si="43"/>
      </c>
      <c r="G5522" s="22" cm="1">
        <f t="array" ref="G5522">IF(AND(Inputs!$C$60,Inputs!$C$61),INDEX(Utility_Rates!$C$29:$F$52,HOUR(C5522)+Inputs!$C$69,MATCH(INDEX(Utility_Rates!$K$6:$K$17,MONTH(C5522))&amp;IF(WEEKDAY(C5522,Inputs!$C$76)&lt;=Inputs!$C$74," weekday"," weekend"),Utility_Rates!$C$28:$F$28,Inputs!$C$68)),"")</f>
      </c>
      <c r="H5522" s="34"/>
      <c r="I5522" s="42">
        <f>IF(AND(ISNUMBER(D5522),ISNUMBER(H5522)),D5522*H5522*Inputs!$C$69,"")</f>
      </c>
      <c r="J5522" s="42">
        <f>IF(AND(ISNUMBER(F5522),ISNUMBER(H5522),F5522&gt;=Inputs!$C$68),F5522*H5522*Inputs!$C$69,"")</f>
      </c>
    </row>
    <row r="5523" spans="2:10" ht="15" customHeight="1" x14ac:dyDescent="0.2">
      <c r="B5523" s="39">
        <f t="shared" si="42"/>
      </c>
      <c r="C5523" s="40">
        <f>IF(Inputs!$C$60,Inputs!$C$11+(B5523-Inputs!$C$69)/Inputs!$C$70,"")</f>
      </c>
      <c r="D5523" s="15"/>
      <c r="E5523" s="15"/>
      <c r="F5523" s="11">
        <f t="shared" si="43"/>
      </c>
      <c r="G5523" s="22" cm="1">
        <f t="array" ref="G5523">IF(AND(Inputs!$C$60,Inputs!$C$61),INDEX(Utility_Rates!$C$29:$F$52,HOUR(C5523)+Inputs!$C$69,MATCH(INDEX(Utility_Rates!$K$6:$K$17,MONTH(C5523))&amp;IF(WEEKDAY(C5523,Inputs!$C$76)&lt;=Inputs!$C$74," weekday"," weekend"),Utility_Rates!$C$28:$F$28,Inputs!$C$68)),"")</f>
      </c>
      <c r="H5523" s="34"/>
      <c r="I5523" s="42">
        <f>IF(AND(ISNUMBER(D5523),ISNUMBER(H5523)),D5523*H5523*Inputs!$C$69,"")</f>
      </c>
      <c r="J5523" s="42">
        <f>IF(AND(ISNUMBER(F5523),ISNUMBER(H5523),F5523&gt;=Inputs!$C$68),F5523*H5523*Inputs!$C$69,"")</f>
      </c>
    </row>
    <row r="5524" spans="2:10" ht="15" customHeight="1" x14ac:dyDescent="0.2">
      <c r="B5524" s="39">
        <f t="shared" si="42"/>
      </c>
      <c r="C5524" s="40">
        <f>IF(Inputs!$C$60,Inputs!$C$11+(B5524-Inputs!$C$69)/Inputs!$C$70,"")</f>
      </c>
      <c r="D5524" s="15"/>
      <c r="E5524" s="15"/>
      <c r="F5524" s="11">
        <f t="shared" si="43"/>
      </c>
      <c r="G5524" s="22" cm="1">
        <f t="array" ref="G5524">IF(AND(Inputs!$C$60,Inputs!$C$61),INDEX(Utility_Rates!$C$29:$F$52,HOUR(C5524)+Inputs!$C$69,MATCH(INDEX(Utility_Rates!$K$6:$K$17,MONTH(C5524))&amp;IF(WEEKDAY(C5524,Inputs!$C$76)&lt;=Inputs!$C$74," weekday"," weekend"),Utility_Rates!$C$28:$F$28,Inputs!$C$68)),"")</f>
      </c>
      <c r="H5524" s="34"/>
      <c r="I5524" s="42">
        <f>IF(AND(ISNUMBER(D5524),ISNUMBER(H5524)),D5524*H5524*Inputs!$C$69,"")</f>
      </c>
      <c r="J5524" s="42">
        <f>IF(AND(ISNUMBER(F5524),ISNUMBER(H5524),F5524&gt;=Inputs!$C$68),F5524*H5524*Inputs!$C$69,"")</f>
      </c>
    </row>
    <row r="5525" spans="2:10" ht="15" customHeight="1" x14ac:dyDescent="0.2">
      <c r="B5525" s="39">
        <f t="shared" si="42"/>
      </c>
      <c r="C5525" s="40">
        <f>IF(Inputs!$C$60,Inputs!$C$11+(B5525-Inputs!$C$69)/Inputs!$C$70,"")</f>
      </c>
      <c r="D5525" s="15"/>
      <c r="E5525" s="15"/>
      <c r="F5525" s="11">
        <f t="shared" si="43"/>
      </c>
      <c r="G5525" s="22" cm="1">
        <f t="array" ref="G5525">IF(AND(Inputs!$C$60,Inputs!$C$61),INDEX(Utility_Rates!$C$29:$F$52,HOUR(C5525)+Inputs!$C$69,MATCH(INDEX(Utility_Rates!$K$6:$K$17,MONTH(C5525))&amp;IF(WEEKDAY(C5525,Inputs!$C$76)&lt;=Inputs!$C$74," weekday"," weekend"),Utility_Rates!$C$28:$F$28,Inputs!$C$68)),"")</f>
      </c>
      <c r="H5525" s="34"/>
      <c r="I5525" s="42">
        <f>IF(AND(ISNUMBER(D5525),ISNUMBER(H5525)),D5525*H5525*Inputs!$C$69,"")</f>
      </c>
      <c r="J5525" s="42">
        <f>IF(AND(ISNUMBER(F5525),ISNUMBER(H5525),F5525&gt;=Inputs!$C$68),F5525*H5525*Inputs!$C$69,"")</f>
      </c>
    </row>
    <row r="5526" spans="2:10" ht="15" customHeight="1" x14ac:dyDescent="0.2">
      <c r="B5526" s="39">
        <f t="shared" si="42"/>
      </c>
      <c r="C5526" s="40">
        <f>IF(Inputs!$C$60,Inputs!$C$11+(B5526-Inputs!$C$69)/Inputs!$C$70,"")</f>
      </c>
      <c r="D5526" s="15"/>
      <c r="E5526" s="15"/>
      <c r="F5526" s="11">
        <f t="shared" si="43"/>
      </c>
      <c r="G5526" s="22" cm="1">
        <f t="array" ref="G5526">IF(AND(Inputs!$C$60,Inputs!$C$61),INDEX(Utility_Rates!$C$29:$F$52,HOUR(C5526)+Inputs!$C$69,MATCH(INDEX(Utility_Rates!$K$6:$K$17,MONTH(C5526))&amp;IF(WEEKDAY(C5526,Inputs!$C$76)&lt;=Inputs!$C$74," weekday"," weekend"),Utility_Rates!$C$28:$F$28,Inputs!$C$68)),"")</f>
      </c>
      <c r="H5526" s="34"/>
      <c r="I5526" s="42">
        <f>IF(AND(ISNUMBER(D5526),ISNUMBER(H5526)),D5526*H5526*Inputs!$C$69,"")</f>
      </c>
      <c r="J5526" s="42">
        <f>IF(AND(ISNUMBER(F5526),ISNUMBER(H5526),F5526&gt;=Inputs!$C$68),F5526*H5526*Inputs!$C$69,"")</f>
      </c>
    </row>
    <row r="5527" spans="2:10" ht="15" customHeight="1" x14ac:dyDescent="0.2">
      <c r="B5527" s="39">
        <f t="shared" si="42"/>
      </c>
      <c r="C5527" s="40">
        <f>IF(Inputs!$C$60,Inputs!$C$11+(B5527-Inputs!$C$69)/Inputs!$C$70,"")</f>
      </c>
      <c r="D5527" s="15"/>
      <c r="E5527" s="15"/>
      <c r="F5527" s="11">
        <f t="shared" si="43"/>
      </c>
      <c r="G5527" s="22" cm="1">
        <f t="array" ref="G5527">IF(AND(Inputs!$C$60,Inputs!$C$61),INDEX(Utility_Rates!$C$29:$F$52,HOUR(C5527)+Inputs!$C$69,MATCH(INDEX(Utility_Rates!$K$6:$K$17,MONTH(C5527))&amp;IF(WEEKDAY(C5527,Inputs!$C$76)&lt;=Inputs!$C$74," weekday"," weekend"),Utility_Rates!$C$28:$F$28,Inputs!$C$68)),"")</f>
      </c>
      <c r="H5527" s="34"/>
      <c r="I5527" s="42">
        <f>IF(AND(ISNUMBER(D5527),ISNUMBER(H5527)),D5527*H5527*Inputs!$C$69,"")</f>
      </c>
      <c r="J5527" s="42">
        <f>IF(AND(ISNUMBER(F5527),ISNUMBER(H5527),F5527&gt;=Inputs!$C$68),F5527*H5527*Inputs!$C$69,"")</f>
      </c>
    </row>
    <row r="5528" spans="2:10" ht="15" customHeight="1" x14ac:dyDescent="0.2">
      <c r="B5528" s="39">
        <f t="shared" si="42"/>
      </c>
      <c r="C5528" s="40">
        <f>IF(Inputs!$C$60,Inputs!$C$11+(B5528-Inputs!$C$69)/Inputs!$C$70,"")</f>
      </c>
      <c r="D5528" s="15"/>
      <c r="E5528" s="15"/>
      <c r="F5528" s="11">
        <f t="shared" si="43"/>
      </c>
      <c r="G5528" s="22" cm="1">
        <f t="array" ref="G5528">IF(AND(Inputs!$C$60,Inputs!$C$61),INDEX(Utility_Rates!$C$29:$F$52,HOUR(C5528)+Inputs!$C$69,MATCH(INDEX(Utility_Rates!$K$6:$K$17,MONTH(C5528))&amp;IF(WEEKDAY(C5528,Inputs!$C$76)&lt;=Inputs!$C$74," weekday"," weekend"),Utility_Rates!$C$28:$F$28,Inputs!$C$68)),"")</f>
      </c>
      <c r="H5528" s="34"/>
      <c r="I5528" s="42">
        <f>IF(AND(ISNUMBER(D5528),ISNUMBER(H5528)),D5528*H5528*Inputs!$C$69,"")</f>
      </c>
      <c r="J5528" s="42">
        <f>IF(AND(ISNUMBER(F5528),ISNUMBER(H5528),F5528&gt;=Inputs!$C$68),F5528*H5528*Inputs!$C$69,"")</f>
      </c>
    </row>
    <row r="5529" spans="2:10" ht="15" customHeight="1" x14ac:dyDescent="0.2">
      <c r="B5529" s="39">
        <f t="shared" si="42"/>
      </c>
      <c r="C5529" s="40">
        <f>IF(Inputs!$C$60,Inputs!$C$11+(B5529-Inputs!$C$69)/Inputs!$C$70,"")</f>
      </c>
      <c r="D5529" s="15"/>
      <c r="E5529" s="15"/>
      <c r="F5529" s="11">
        <f t="shared" si="43"/>
      </c>
      <c r="G5529" s="22" cm="1">
        <f t="array" ref="G5529">IF(AND(Inputs!$C$60,Inputs!$C$61),INDEX(Utility_Rates!$C$29:$F$52,HOUR(C5529)+Inputs!$C$69,MATCH(INDEX(Utility_Rates!$K$6:$K$17,MONTH(C5529))&amp;IF(WEEKDAY(C5529,Inputs!$C$76)&lt;=Inputs!$C$74," weekday"," weekend"),Utility_Rates!$C$28:$F$28,Inputs!$C$68)),"")</f>
      </c>
      <c r="H5529" s="34"/>
      <c r="I5529" s="42">
        <f>IF(AND(ISNUMBER(D5529),ISNUMBER(H5529)),D5529*H5529*Inputs!$C$69,"")</f>
      </c>
      <c r="J5529" s="42">
        <f>IF(AND(ISNUMBER(F5529),ISNUMBER(H5529),F5529&gt;=Inputs!$C$68),F5529*H5529*Inputs!$C$69,"")</f>
      </c>
    </row>
    <row r="5530" spans="2:10" ht="15" customHeight="1" x14ac:dyDescent="0.2">
      <c r="B5530" s="39">
        <f t="shared" si="42"/>
      </c>
      <c r="C5530" s="40">
        <f>IF(Inputs!$C$60,Inputs!$C$11+(B5530-Inputs!$C$69)/Inputs!$C$70,"")</f>
      </c>
      <c r="D5530" s="15"/>
      <c r="E5530" s="15"/>
      <c r="F5530" s="11">
        <f t="shared" si="43"/>
      </c>
      <c r="G5530" s="22" cm="1">
        <f t="array" ref="G5530">IF(AND(Inputs!$C$60,Inputs!$C$61),INDEX(Utility_Rates!$C$29:$F$52,HOUR(C5530)+Inputs!$C$69,MATCH(INDEX(Utility_Rates!$K$6:$K$17,MONTH(C5530))&amp;IF(WEEKDAY(C5530,Inputs!$C$76)&lt;=Inputs!$C$74," weekday"," weekend"),Utility_Rates!$C$28:$F$28,Inputs!$C$68)),"")</f>
      </c>
      <c r="H5530" s="34"/>
      <c r="I5530" s="42">
        <f>IF(AND(ISNUMBER(D5530),ISNUMBER(H5530)),D5530*H5530*Inputs!$C$69,"")</f>
      </c>
      <c r="J5530" s="42">
        <f>IF(AND(ISNUMBER(F5530),ISNUMBER(H5530),F5530&gt;=Inputs!$C$68),F5530*H5530*Inputs!$C$69,"")</f>
      </c>
    </row>
    <row r="5531" spans="2:10" ht="15" customHeight="1" x14ac:dyDescent="0.2">
      <c r="B5531" s="39">
        <f t="shared" si="42"/>
      </c>
      <c r="C5531" s="40">
        <f>IF(Inputs!$C$60,Inputs!$C$11+(B5531-Inputs!$C$69)/Inputs!$C$70,"")</f>
      </c>
      <c r="D5531" s="15"/>
      <c r="E5531" s="15"/>
      <c r="F5531" s="11">
        <f t="shared" si="43"/>
      </c>
      <c r="G5531" s="22" cm="1">
        <f t="array" ref="G5531">IF(AND(Inputs!$C$60,Inputs!$C$61),INDEX(Utility_Rates!$C$29:$F$52,HOUR(C5531)+Inputs!$C$69,MATCH(INDEX(Utility_Rates!$K$6:$K$17,MONTH(C5531))&amp;IF(WEEKDAY(C5531,Inputs!$C$76)&lt;=Inputs!$C$74," weekday"," weekend"),Utility_Rates!$C$28:$F$28,Inputs!$C$68)),"")</f>
      </c>
      <c r="H5531" s="34"/>
      <c r="I5531" s="42">
        <f>IF(AND(ISNUMBER(D5531),ISNUMBER(H5531)),D5531*H5531*Inputs!$C$69,"")</f>
      </c>
      <c r="J5531" s="42">
        <f>IF(AND(ISNUMBER(F5531),ISNUMBER(H5531),F5531&gt;=Inputs!$C$68),F5531*H5531*Inputs!$C$69,"")</f>
      </c>
    </row>
    <row r="5532" spans="2:10" ht="15" customHeight="1" x14ac:dyDescent="0.2">
      <c r="B5532" s="39">
        <f t="shared" si="42"/>
      </c>
      <c r="C5532" s="40">
        <f>IF(Inputs!$C$60,Inputs!$C$11+(B5532-Inputs!$C$69)/Inputs!$C$70,"")</f>
      </c>
      <c r="D5532" s="15"/>
      <c r="E5532" s="15"/>
      <c r="F5532" s="11">
        <f t="shared" si="43"/>
      </c>
      <c r="G5532" s="22" cm="1">
        <f t="array" ref="G5532">IF(AND(Inputs!$C$60,Inputs!$C$61),INDEX(Utility_Rates!$C$29:$F$52,HOUR(C5532)+Inputs!$C$69,MATCH(INDEX(Utility_Rates!$K$6:$K$17,MONTH(C5532))&amp;IF(WEEKDAY(C5532,Inputs!$C$76)&lt;=Inputs!$C$74," weekday"," weekend"),Utility_Rates!$C$28:$F$28,Inputs!$C$68)),"")</f>
      </c>
      <c r="H5532" s="34"/>
      <c r="I5532" s="42">
        <f>IF(AND(ISNUMBER(D5532),ISNUMBER(H5532)),D5532*H5532*Inputs!$C$69,"")</f>
      </c>
      <c r="J5532" s="42">
        <f>IF(AND(ISNUMBER(F5532),ISNUMBER(H5532),F5532&gt;=Inputs!$C$68),F5532*H5532*Inputs!$C$69,"")</f>
      </c>
    </row>
    <row r="5533" spans="2:10" ht="15" customHeight="1" x14ac:dyDescent="0.2">
      <c r="B5533" s="39">
        <f t="shared" si="42"/>
      </c>
      <c r="C5533" s="40">
        <f>IF(Inputs!$C$60,Inputs!$C$11+(B5533-Inputs!$C$69)/Inputs!$C$70,"")</f>
      </c>
      <c r="D5533" s="15"/>
      <c r="E5533" s="15"/>
      <c r="F5533" s="11">
        <f t="shared" si="43"/>
      </c>
      <c r="G5533" s="22" cm="1">
        <f t="array" ref="G5533">IF(AND(Inputs!$C$60,Inputs!$C$61),INDEX(Utility_Rates!$C$29:$F$52,HOUR(C5533)+Inputs!$C$69,MATCH(INDEX(Utility_Rates!$K$6:$K$17,MONTH(C5533))&amp;IF(WEEKDAY(C5533,Inputs!$C$76)&lt;=Inputs!$C$74," weekday"," weekend"),Utility_Rates!$C$28:$F$28,Inputs!$C$68)),"")</f>
      </c>
      <c r="H5533" s="34"/>
      <c r="I5533" s="42">
        <f>IF(AND(ISNUMBER(D5533),ISNUMBER(H5533)),D5533*H5533*Inputs!$C$69,"")</f>
      </c>
      <c r="J5533" s="42">
        <f>IF(AND(ISNUMBER(F5533),ISNUMBER(H5533),F5533&gt;=Inputs!$C$68),F5533*H5533*Inputs!$C$69,"")</f>
      </c>
    </row>
    <row r="5534" spans="2:10" ht="15" customHeight="1" x14ac:dyDescent="0.2">
      <c r="B5534" s="39">
        <f t="shared" si="42"/>
      </c>
      <c r="C5534" s="40">
        <f>IF(Inputs!$C$60,Inputs!$C$11+(B5534-Inputs!$C$69)/Inputs!$C$70,"")</f>
      </c>
      <c r="D5534" s="15"/>
      <c r="E5534" s="15"/>
      <c r="F5534" s="11">
        <f t="shared" si="43"/>
      </c>
      <c r="G5534" s="22" cm="1">
        <f t="array" ref="G5534">IF(AND(Inputs!$C$60,Inputs!$C$61),INDEX(Utility_Rates!$C$29:$F$52,HOUR(C5534)+Inputs!$C$69,MATCH(INDEX(Utility_Rates!$K$6:$K$17,MONTH(C5534))&amp;IF(WEEKDAY(C5534,Inputs!$C$76)&lt;=Inputs!$C$74," weekday"," weekend"),Utility_Rates!$C$28:$F$28,Inputs!$C$68)),"")</f>
      </c>
      <c r="H5534" s="34"/>
      <c r="I5534" s="42">
        <f>IF(AND(ISNUMBER(D5534),ISNUMBER(H5534)),D5534*H5534*Inputs!$C$69,"")</f>
      </c>
      <c r="J5534" s="42">
        <f>IF(AND(ISNUMBER(F5534),ISNUMBER(H5534),F5534&gt;=Inputs!$C$68),F5534*H5534*Inputs!$C$69,"")</f>
      </c>
    </row>
    <row r="5535" spans="2:10" ht="15" customHeight="1" x14ac:dyDescent="0.2">
      <c r="B5535" s="39">
        <f t="shared" si="42"/>
      </c>
      <c r="C5535" s="40">
        <f>IF(Inputs!$C$60,Inputs!$C$11+(B5535-Inputs!$C$69)/Inputs!$C$70,"")</f>
      </c>
      <c r="D5535" s="15"/>
      <c r="E5535" s="15"/>
      <c r="F5535" s="11">
        <f t="shared" si="43"/>
      </c>
      <c r="G5535" s="22" cm="1">
        <f t="array" ref="G5535">IF(AND(Inputs!$C$60,Inputs!$C$61),INDEX(Utility_Rates!$C$29:$F$52,HOUR(C5535)+Inputs!$C$69,MATCH(INDEX(Utility_Rates!$K$6:$K$17,MONTH(C5535))&amp;IF(WEEKDAY(C5535,Inputs!$C$76)&lt;=Inputs!$C$74," weekday"," weekend"),Utility_Rates!$C$28:$F$28,Inputs!$C$68)),"")</f>
      </c>
      <c r="H5535" s="34"/>
      <c r="I5535" s="42">
        <f>IF(AND(ISNUMBER(D5535),ISNUMBER(H5535)),D5535*H5535*Inputs!$C$69,"")</f>
      </c>
      <c r="J5535" s="42">
        <f>IF(AND(ISNUMBER(F5535),ISNUMBER(H5535),F5535&gt;=Inputs!$C$68),F5535*H5535*Inputs!$C$69,"")</f>
      </c>
    </row>
    <row r="5536" spans="2:10" ht="15" customHeight="1" x14ac:dyDescent="0.2">
      <c r="B5536" s="39">
        <f t="shared" si="42"/>
      </c>
      <c r="C5536" s="40">
        <f>IF(Inputs!$C$60,Inputs!$C$11+(B5536-Inputs!$C$69)/Inputs!$C$70,"")</f>
      </c>
      <c r="D5536" s="15"/>
      <c r="E5536" s="15"/>
      <c r="F5536" s="11">
        <f t="shared" si="43"/>
      </c>
      <c r="G5536" s="22" cm="1">
        <f t="array" ref="G5536">IF(AND(Inputs!$C$60,Inputs!$C$61),INDEX(Utility_Rates!$C$29:$F$52,HOUR(C5536)+Inputs!$C$69,MATCH(INDEX(Utility_Rates!$K$6:$K$17,MONTH(C5536))&amp;IF(WEEKDAY(C5536,Inputs!$C$76)&lt;=Inputs!$C$74," weekday"," weekend"),Utility_Rates!$C$28:$F$28,Inputs!$C$68)),"")</f>
      </c>
      <c r="H5536" s="34"/>
      <c r="I5536" s="42">
        <f>IF(AND(ISNUMBER(D5536),ISNUMBER(H5536)),D5536*H5536*Inputs!$C$69,"")</f>
      </c>
      <c r="J5536" s="42">
        <f>IF(AND(ISNUMBER(F5536),ISNUMBER(H5536),F5536&gt;=Inputs!$C$68),F5536*H5536*Inputs!$C$69,"")</f>
      </c>
    </row>
    <row r="5537" spans="2:10" ht="15" customHeight="1" x14ac:dyDescent="0.2">
      <c r="B5537" s="39">
        <f t="shared" si="42"/>
      </c>
      <c r="C5537" s="40">
        <f>IF(Inputs!$C$60,Inputs!$C$11+(B5537-Inputs!$C$69)/Inputs!$C$70,"")</f>
      </c>
      <c r="D5537" s="15"/>
      <c r="E5537" s="15"/>
      <c r="F5537" s="11">
        <f t="shared" si="43"/>
      </c>
      <c r="G5537" s="22" cm="1">
        <f t="array" ref="G5537">IF(AND(Inputs!$C$60,Inputs!$C$61),INDEX(Utility_Rates!$C$29:$F$52,HOUR(C5537)+Inputs!$C$69,MATCH(INDEX(Utility_Rates!$K$6:$K$17,MONTH(C5537))&amp;IF(WEEKDAY(C5537,Inputs!$C$76)&lt;=Inputs!$C$74," weekday"," weekend"),Utility_Rates!$C$28:$F$28,Inputs!$C$68)),"")</f>
      </c>
      <c r="H5537" s="34"/>
      <c r="I5537" s="42">
        <f>IF(AND(ISNUMBER(D5537),ISNUMBER(H5537)),D5537*H5537*Inputs!$C$69,"")</f>
      </c>
      <c r="J5537" s="42">
        <f>IF(AND(ISNUMBER(F5537),ISNUMBER(H5537),F5537&gt;=Inputs!$C$68),F5537*H5537*Inputs!$C$69,"")</f>
      </c>
    </row>
    <row r="5538" spans="2:10" ht="15" customHeight="1" x14ac:dyDescent="0.2">
      <c r="B5538" s="39">
        <f t="shared" si="42"/>
      </c>
      <c r="C5538" s="40">
        <f>IF(Inputs!$C$60,Inputs!$C$11+(B5538-Inputs!$C$69)/Inputs!$C$70,"")</f>
      </c>
      <c r="D5538" s="15"/>
      <c r="E5538" s="15"/>
      <c r="F5538" s="11">
        <f t="shared" si="43"/>
      </c>
      <c r="G5538" s="22" cm="1">
        <f t="array" ref="G5538">IF(AND(Inputs!$C$60,Inputs!$C$61),INDEX(Utility_Rates!$C$29:$F$52,HOUR(C5538)+Inputs!$C$69,MATCH(INDEX(Utility_Rates!$K$6:$K$17,MONTH(C5538))&amp;IF(WEEKDAY(C5538,Inputs!$C$76)&lt;=Inputs!$C$74," weekday"," weekend"),Utility_Rates!$C$28:$F$28,Inputs!$C$68)),"")</f>
      </c>
      <c r="H5538" s="34"/>
      <c r="I5538" s="42">
        <f>IF(AND(ISNUMBER(D5538),ISNUMBER(H5538)),D5538*H5538*Inputs!$C$69,"")</f>
      </c>
      <c r="J5538" s="42">
        <f>IF(AND(ISNUMBER(F5538),ISNUMBER(H5538),F5538&gt;=Inputs!$C$68),F5538*H5538*Inputs!$C$69,"")</f>
      </c>
    </row>
    <row r="5539" spans="2:10" ht="15" customHeight="1" x14ac:dyDescent="0.2">
      <c r="B5539" s="39">
        <f t="shared" si="42"/>
      </c>
      <c r="C5539" s="40">
        <f>IF(Inputs!$C$60,Inputs!$C$11+(B5539-Inputs!$C$69)/Inputs!$C$70,"")</f>
      </c>
      <c r="D5539" s="15"/>
      <c r="E5539" s="15"/>
      <c r="F5539" s="11">
        <f t="shared" si="43"/>
      </c>
      <c r="G5539" s="22" cm="1">
        <f t="array" ref="G5539">IF(AND(Inputs!$C$60,Inputs!$C$61),INDEX(Utility_Rates!$C$29:$F$52,HOUR(C5539)+Inputs!$C$69,MATCH(INDEX(Utility_Rates!$K$6:$K$17,MONTH(C5539))&amp;IF(WEEKDAY(C5539,Inputs!$C$76)&lt;=Inputs!$C$74," weekday"," weekend"),Utility_Rates!$C$28:$F$28,Inputs!$C$68)),"")</f>
      </c>
      <c r="H5539" s="34"/>
      <c r="I5539" s="42">
        <f>IF(AND(ISNUMBER(D5539),ISNUMBER(H5539)),D5539*H5539*Inputs!$C$69,"")</f>
      </c>
      <c r="J5539" s="42">
        <f>IF(AND(ISNUMBER(F5539),ISNUMBER(H5539),F5539&gt;=Inputs!$C$68),F5539*H5539*Inputs!$C$69,"")</f>
      </c>
    </row>
    <row r="5540" spans="2:10" ht="15" customHeight="1" x14ac:dyDescent="0.2">
      <c r="B5540" s="39">
        <f t="shared" si="42"/>
      </c>
      <c r="C5540" s="40">
        <f>IF(Inputs!$C$60,Inputs!$C$11+(B5540-Inputs!$C$69)/Inputs!$C$70,"")</f>
      </c>
      <c r="D5540" s="15"/>
      <c r="E5540" s="15"/>
      <c r="F5540" s="11">
        <f t="shared" si="43"/>
      </c>
      <c r="G5540" s="22" cm="1">
        <f t="array" ref="G5540">IF(AND(Inputs!$C$60,Inputs!$C$61),INDEX(Utility_Rates!$C$29:$F$52,HOUR(C5540)+Inputs!$C$69,MATCH(INDEX(Utility_Rates!$K$6:$K$17,MONTH(C5540))&amp;IF(WEEKDAY(C5540,Inputs!$C$76)&lt;=Inputs!$C$74," weekday"," weekend"),Utility_Rates!$C$28:$F$28,Inputs!$C$68)),"")</f>
      </c>
      <c r="H5540" s="34"/>
      <c r="I5540" s="42">
        <f>IF(AND(ISNUMBER(D5540),ISNUMBER(H5540)),D5540*H5540*Inputs!$C$69,"")</f>
      </c>
      <c r="J5540" s="42">
        <f>IF(AND(ISNUMBER(F5540),ISNUMBER(H5540),F5540&gt;=Inputs!$C$68),F5540*H5540*Inputs!$C$69,"")</f>
      </c>
    </row>
    <row r="5541" spans="2:10" ht="15" customHeight="1" x14ac:dyDescent="0.2">
      <c r="B5541" s="39">
        <f t="shared" si="42"/>
      </c>
      <c r="C5541" s="40">
        <f>IF(Inputs!$C$60,Inputs!$C$11+(B5541-Inputs!$C$69)/Inputs!$C$70,"")</f>
      </c>
      <c r="D5541" s="15"/>
      <c r="E5541" s="15"/>
      <c r="F5541" s="11">
        <f t="shared" si="43"/>
      </c>
      <c r="G5541" s="22" cm="1">
        <f t="array" ref="G5541">IF(AND(Inputs!$C$60,Inputs!$C$61),INDEX(Utility_Rates!$C$29:$F$52,HOUR(C5541)+Inputs!$C$69,MATCH(INDEX(Utility_Rates!$K$6:$K$17,MONTH(C5541))&amp;IF(WEEKDAY(C5541,Inputs!$C$76)&lt;=Inputs!$C$74," weekday"," weekend"),Utility_Rates!$C$28:$F$28,Inputs!$C$68)),"")</f>
      </c>
      <c r="H5541" s="34"/>
      <c r="I5541" s="42">
        <f>IF(AND(ISNUMBER(D5541),ISNUMBER(H5541)),D5541*H5541*Inputs!$C$69,"")</f>
      </c>
      <c r="J5541" s="42">
        <f>IF(AND(ISNUMBER(F5541),ISNUMBER(H5541),F5541&gt;=Inputs!$C$68),F5541*H5541*Inputs!$C$69,"")</f>
      </c>
    </row>
    <row r="5542" spans="2:10" ht="15" customHeight="1" x14ac:dyDescent="0.2">
      <c r="B5542" s="39">
        <f t="shared" si="42"/>
      </c>
      <c r="C5542" s="40">
        <f>IF(Inputs!$C$60,Inputs!$C$11+(B5542-Inputs!$C$69)/Inputs!$C$70,"")</f>
      </c>
      <c r="D5542" s="15"/>
      <c r="E5542" s="15"/>
      <c r="F5542" s="11">
        <f t="shared" si="43"/>
      </c>
      <c r="G5542" s="22" cm="1">
        <f t="array" ref="G5542">IF(AND(Inputs!$C$60,Inputs!$C$61),INDEX(Utility_Rates!$C$29:$F$52,HOUR(C5542)+Inputs!$C$69,MATCH(INDEX(Utility_Rates!$K$6:$K$17,MONTH(C5542))&amp;IF(WEEKDAY(C5542,Inputs!$C$76)&lt;=Inputs!$C$74," weekday"," weekend"),Utility_Rates!$C$28:$F$28,Inputs!$C$68)),"")</f>
      </c>
      <c r="H5542" s="34"/>
      <c r="I5542" s="42">
        <f>IF(AND(ISNUMBER(D5542),ISNUMBER(H5542)),D5542*H5542*Inputs!$C$69,"")</f>
      </c>
      <c r="J5542" s="42">
        <f>IF(AND(ISNUMBER(F5542),ISNUMBER(H5542),F5542&gt;=Inputs!$C$68),F5542*H5542*Inputs!$C$69,"")</f>
      </c>
    </row>
    <row r="5543" spans="2:10" ht="15" customHeight="1" x14ac:dyDescent="0.2">
      <c r="B5543" s="39">
        <f t="shared" si="42"/>
      </c>
      <c r="C5543" s="40">
        <f>IF(Inputs!$C$60,Inputs!$C$11+(B5543-Inputs!$C$69)/Inputs!$C$70,"")</f>
      </c>
      <c r="D5543" s="15"/>
      <c r="E5543" s="15"/>
      <c r="F5543" s="11">
        <f t="shared" si="43"/>
      </c>
      <c r="G5543" s="22" cm="1">
        <f t="array" ref="G5543">IF(AND(Inputs!$C$60,Inputs!$C$61),INDEX(Utility_Rates!$C$29:$F$52,HOUR(C5543)+Inputs!$C$69,MATCH(INDEX(Utility_Rates!$K$6:$K$17,MONTH(C5543))&amp;IF(WEEKDAY(C5543,Inputs!$C$76)&lt;=Inputs!$C$74," weekday"," weekend"),Utility_Rates!$C$28:$F$28,Inputs!$C$68)),"")</f>
      </c>
      <c r="H5543" s="34"/>
      <c r="I5543" s="42">
        <f>IF(AND(ISNUMBER(D5543),ISNUMBER(H5543)),D5543*H5543*Inputs!$C$69,"")</f>
      </c>
      <c r="J5543" s="42">
        <f>IF(AND(ISNUMBER(F5543),ISNUMBER(H5543),F5543&gt;=Inputs!$C$68),F5543*H5543*Inputs!$C$69,"")</f>
      </c>
    </row>
    <row r="5544" spans="2:10" ht="15" customHeight="1" x14ac:dyDescent="0.2">
      <c r="B5544" s="39">
        <f t="shared" si="42"/>
      </c>
      <c r="C5544" s="40">
        <f>IF(Inputs!$C$60,Inputs!$C$11+(B5544-Inputs!$C$69)/Inputs!$C$70,"")</f>
      </c>
      <c r="D5544" s="15"/>
      <c r="E5544" s="15"/>
      <c r="F5544" s="11">
        <f t="shared" si="43"/>
      </c>
      <c r="G5544" s="22" cm="1">
        <f t="array" ref="G5544">IF(AND(Inputs!$C$60,Inputs!$C$61),INDEX(Utility_Rates!$C$29:$F$52,HOUR(C5544)+Inputs!$C$69,MATCH(INDEX(Utility_Rates!$K$6:$K$17,MONTH(C5544))&amp;IF(WEEKDAY(C5544,Inputs!$C$76)&lt;=Inputs!$C$74," weekday"," weekend"),Utility_Rates!$C$28:$F$28,Inputs!$C$68)),"")</f>
      </c>
      <c r="H5544" s="34"/>
      <c r="I5544" s="42">
        <f>IF(AND(ISNUMBER(D5544),ISNUMBER(H5544)),D5544*H5544*Inputs!$C$69,"")</f>
      </c>
      <c r="J5544" s="42">
        <f>IF(AND(ISNUMBER(F5544),ISNUMBER(H5544),F5544&gt;=Inputs!$C$68),F5544*H5544*Inputs!$C$69,"")</f>
      </c>
    </row>
    <row r="5545" spans="2:10" ht="15" customHeight="1" x14ac:dyDescent="0.2">
      <c r="B5545" s="39">
        <f t="shared" si="42"/>
      </c>
      <c r="C5545" s="40">
        <f>IF(Inputs!$C$60,Inputs!$C$11+(B5545-Inputs!$C$69)/Inputs!$C$70,"")</f>
      </c>
      <c r="D5545" s="15"/>
      <c r="E5545" s="15"/>
      <c r="F5545" s="11">
        <f t="shared" si="43"/>
      </c>
      <c r="G5545" s="22" cm="1">
        <f t="array" ref="G5545">IF(AND(Inputs!$C$60,Inputs!$C$61),INDEX(Utility_Rates!$C$29:$F$52,HOUR(C5545)+Inputs!$C$69,MATCH(INDEX(Utility_Rates!$K$6:$K$17,MONTH(C5545))&amp;IF(WEEKDAY(C5545,Inputs!$C$76)&lt;=Inputs!$C$74," weekday"," weekend"),Utility_Rates!$C$28:$F$28,Inputs!$C$68)),"")</f>
      </c>
      <c r="H5545" s="34"/>
      <c r="I5545" s="42">
        <f>IF(AND(ISNUMBER(D5545),ISNUMBER(H5545)),D5545*H5545*Inputs!$C$69,"")</f>
      </c>
      <c r="J5545" s="42">
        <f>IF(AND(ISNUMBER(F5545),ISNUMBER(H5545),F5545&gt;=Inputs!$C$68),F5545*H5545*Inputs!$C$69,"")</f>
      </c>
    </row>
    <row r="5546" spans="2:10" ht="15" customHeight="1" x14ac:dyDescent="0.2">
      <c r="B5546" s="39">
        <f t="shared" si="42"/>
      </c>
      <c r="C5546" s="40">
        <f>IF(Inputs!$C$60,Inputs!$C$11+(B5546-Inputs!$C$69)/Inputs!$C$70,"")</f>
      </c>
      <c r="D5546" s="15"/>
      <c r="E5546" s="15"/>
      <c r="F5546" s="11">
        <f t="shared" si="43"/>
      </c>
      <c r="G5546" s="22" cm="1">
        <f t="array" ref="G5546">IF(AND(Inputs!$C$60,Inputs!$C$61),INDEX(Utility_Rates!$C$29:$F$52,HOUR(C5546)+Inputs!$C$69,MATCH(INDEX(Utility_Rates!$K$6:$K$17,MONTH(C5546))&amp;IF(WEEKDAY(C5546,Inputs!$C$76)&lt;=Inputs!$C$74," weekday"," weekend"),Utility_Rates!$C$28:$F$28,Inputs!$C$68)),"")</f>
      </c>
      <c r="H5546" s="34"/>
      <c r="I5546" s="42">
        <f>IF(AND(ISNUMBER(D5546),ISNUMBER(H5546)),D5546*H5546*Inputs!$C$69,"")</f>
      </c>
      <c r="J5546" s="42">
        <f>IF(AND(ISNUMBER(F5546),ISNUMBER(H5546),F5546&gt;=Inputs!$C$68),F5546*H5546*Inputs!$C$69,"")</f>
      </c>
    </row>
    <row r="5547" spans="2:10" ht="15" customHeight="1" x14ac:dyDescent="0.2">
      <c r="B5547" s="39">
        <f t="shared" si="42"/>
      </c>
      <c r="C5547" s="40">
        <f>IF(Inputs!$C$60,Inputs!$C$11+(B5547-Inputs!$C$69)/Inputs!$C$70,"")</f>
      </c>
      <c r="D5547" s="15"/>
      <c r="E5547" s="15"/>
      <c r="F5547" s="11">
        <f t="shared" si="43"/>
      </c>
      <c r="G5547" s="22" cm="1">
        <f t="array" ref="G5547">IF(AND(Inputs!$C$60,Inputs!$C$61),INDEX(Utility_Rates!$C$29:$F$52,HOUR(C5547)+Inputs!$C$69,MATCH(INDEX(Utility_Rates!$K$6:$K$17,MONTH(C5547))&amp;IF(WEEKDAY(C5547,Inputs!$C$76)&lt;=Inputs!$C$74," weekday"," weekend"),Utility_Rates!$C$28:$F$28,Inputs!$C$68)),"")</f>
      </c>
      <c r="H5547" s="34"/>
      <c r="I5547" s="42">
        <f>IF(AND(ISNUMBER(D5547),ISNUMBER(H5547)),D5547*H5547*Inputs!$C$69,"")</f>
      </c>
      <c r="J5547" s="42">
        <f>IF(AND(ISNUMBER(F5547),ISNUMBER(H5547),F5547&gt;=Inputs!$C$68),F5547*H5547*Inputs!$C$69,"")</f>
      </c>
    </row>
    <row r="5548" spans="2:10" ht="15" customHeight="1" x14ac:dyDescent="0.2">
      <c r="B5548" s="39">
        <f t="shared" si="42"/>
      </c>
      <c r="C5548" s="40">
        <f>IF(Inputs!$C$60,Inputs!$C$11+(B5548-Inputs!$C$69)/Inputs!$C$70,"")</f>
      </c>
      <c r="D5548" s="15"/>
      <c r="E5548" s="15"/>
      <c r="F5548" s="11">
        <f t="shared" si="43"/>
      </c>
      <c r="G5548" s="22" cm="1">
        <f t="array" ref="G5548">IF(AND(Inputs!$C$60,Inputs!$C$61),INDEX(Utility_Rates!$C$29:$F$52,HOUR(C5548)+Inputs!$C$69,MATCH(INDEX(Utility_Rates!$K$6:$K$17,MONTH(C5548))&amp;IF(WEEKDAY(C5548,Inputs!$C$76)&lt;=Inputs!$C$74," weekday"," weekend"),Utility_Rates!$C$28:$F$28,Inputs!$C$68)),"")</f>
      </c>
      <c r="H5548" s="34"/>
      <c r="I5548" s="42">
        <f>IF(AND(ISNUMBER(D5548),ISNUMBER(H5548)),D5548*H5548*Inputs!$C$69,"")</f>
      </c>
      <c r="J5548" s="42">
        <f>IF(AND(ISNUMBER(F5548),ISNUMBER(H5548),F5548&gt;=Inputs!$C$68),F5548*H5548*Inputs!$C$69,"")</f>
      </c>
    </row>
    <row r="5549" spans="2:10" ht="15" customHeight="1" x14ac:dyDescent="0.2">
      <c r="B5549" s="39">
        <f t="shared" si="42"/>
      </c>
      <c r="C5549" s="40">
        <f>IF(Inputs!$C$60,Inputs!$C$11+(B5549-Inputs!$C$69)/Inputs!$C$70,"")</f>
      </c>
      <c r="D5549" s="15"/>
      <c r="E5549" s="15"/>
      <c r="F5549" s="11">
        <f t="shared" si="43"/>
      </c>
      <c r="G5549" s="22" cm="1">
        <f t="array" ref="G5549">IF(AND(Inputs!$C$60,Inputs!$C$61),INDEX(Utility_Rates!$C$29:$F$52,HOUR(C5549)+Inputs!$C$69,MATCH(INDEX(Utility_Rates!$K$6:$K$17,MONTH(C5549))&amp;IF(WEEKDAY(C5549,Inputs!$C$76)&lt;=Inputs!$C$74," weekday"," weekend"),Utility_Rates!$C$28:$F$28,Inputs!$C$68)),"")</f>
      </c>
      <c r="H5549" s="34"/>
      <c r="I5549" s="42">
        <f>IF(AND(ISNUMBER(D5549),ISNUMBER(H5549)),D5549*H5549*Inputs!$C$69,"")</f>
      </c>
      <c r="J5549" s="42">
        <f>IF(AND(ISNUMBER(F5549),ISNUMBER(H5549),F5549&gt;=Inputs!$C$68),F5549*H5549*Inputs!$C$69,"")</f>
      </c>
    </row>
    <row r="5550" spans="2:10" ht="15" customHeight="1" x14ac:dyDescent="0.2">
      <c r="B5550" s="39">
        <f t="shared" si="42"/>
      </c>
      <c r="C5550" s="40">
        <f>IF(Inputs!$C$60,Inputs!$C$11+(B5550-Inputs!$C$69)/Inputs!$C$70,"")</f>
      </c>
      <c r="D5550" s="15"/>
      <c r="E5550" s="15"/>
      <c r="F5550" s="11">
        <f t="shared" si="43"/>
      </c>
      <c r="G5550" s="22" cm="1">
        <f t="array" ref="G5550">IF(AND(Inputs!$C$60,Inputs!$C$61),INDEX(Utility_Rates!$C$29:$F$52,HOUR(C5550)+Inputs!$C$69,MATCH(INDEX(Utility_Rates!$K$6:$K$17,MONTH(C5550))&amp;IF(WEEKDAY(C5550,Inputs!$C$76)&lt;=Inputs!$C$74," weekday"," weekend"),Utility_Rates!$C$28:$F$28,Inputs!$C$68)),"")</f>
      </c>
      <c r="H5550" s="34"/>
      <c r="I5550" s="42">
        <f>IF(AND(ISNUMBER(D5550),ISNUMBER(H5550)),D5550*H5550*Inputs!$C$69,"")</f>
      </c>
      <c r="J5550" s="42">
        <f>IF(AND(ISNUMBER(F5550),ISNUMBER(H5550),F5550&gt;=Inputs!$C$68),F5550*H5550*Inputs!$C$69,"")</f>
      </c>
    </row>
    <row r="5551" spans="2:10" ht="15" customHeight="1" x14ac:dyDescent="0.2">
      <c r="B5551" s="39">
        <f t="shared" si="42"/>
      </c>
      <c r="C5551" s="40">
        <f>IF(Inputs!$C$60,Inputs!$C$11+(B5551-Inputs!$C$69)/Inputs!$C$70,"")</f>
      </c>
      <c r="D5551" s="15"/>
      <c r="E5551" s="15"/>
      <c r="F5551" s="11">
        <f t="shared" si="43"/>
      </c>
      <c r="G5551" s="22" cm="1">
        <f t="array" ref="G5551">IF(AND(Inputs!$C$60,Inputs!$C$61),INDEX(Utility_Rates!$C$29:$F$52,HOUR(C5551)+Inputs!$C$69,MATCH(INDEX(Utility_Rates!$K$6:$K$17,MONTH(C5551))&amp;IF(WEEKDAY(C5551,Inputs!$C$76)&lt;=Inputs!$C$74," weekday"," weekend"),Utility_Rates!$C$28:$F$28,Inputs!$C$68)),"")</f>
      </c>
      <c r="H5551" s="34"/>
      <c r="I5551" s="42">
        <f>IF(AND(ISNUMBER(D5551),ISNUMBER(H5551)),D5551*H5551*Inputs!$C$69,"")</f>
      </c>
      <c r="J5551" s="42">
        <f>IF(AND(ISNUMBER(F5551),ISNUMBER(H5551),F5551&gt;=Inputs!$C$68),F5551*H5551*Inputs!$C$69,"")</f>
      </c>
    </row>
    <row r="5552" spans="2:10" ht="15" customHeight="1" x14ac:dyDescent="0.2">
      <c r="B5552" s="39">
        <f t="shared" si="42"/>
      </c>
      <c r="C5552" s="40">
        <f>IF(Inputs!$C$60,Inputs!$C$11+(B5552-Inputs!$C$69)/Inputs!$C$70,"")</f>
      </c>
      <c r="D5552" s="15"/>
      <c r="E5552" s="15"/>
      <c r="F5552" s="11">
        <f t="shared" si="43"/>
      </c>
      <c r="G5552" s="22" cm="1">
        <f t="array" ref="G5552">IF(AND(Inputs!$C$60,Inputs!$C$61),INDEX(Utility_Rates!$C$29:$F$52,HOUR(C5552)+Inputs!$C$69,MATCH(INDEX(Utility_Rates!$K$6:$K$17,MONTH(C5552))&amp;IF(WEEKDAY(C5552,Inputs!$C$76)&lt;=Inputs!$C$74," weekday"," weekend"),Utility_Rates!$C$28:$F$28,Inputs!$C$68)),"")</f>
      </c>
      <c r="H5552" s="34"/>
      <c r="I5552" s="42">
        <f>IF(AND(ISNUMBER(D5552),ISNUMBER(H5552)),D5552*H5552*Inputs!$C$69,"")</f>
      </c>
      <c r="J5552" s="42">
        <f>IF(AND(ISNUMBER(F5552),ISNUMBER(H5552),F5552&gt;=Inputs!$C$68),F5552*H5552*Inputs!$C$69,"")</f>
      </c>
    </row>
    <row r="5553" spans="2:10" ht="15" customHeight="1" x14ac:dyDescent="0.2">
      <c r="B5553" s="39">
        <f t="shared" si="42"/>
      </c>
      <c r="C5553" s="40">
        <f>IF(Inputs!$C$60,Inputs!$C$11+(B5553-Inputs!$C$69)/Inputs!$C$70,"")</f>
      </c>
      <c r="D5553" s="15"/>
      <c r="E5553" s="15"/>
      <c r="F5553" s="11">
        <f t="shared" si="43"/>
      </c>
      <c r="G5553" s="22" cm="1">
        <f t="array" ref="G5553">IF(AND(Inputs!$C$60,Inputs!$C$61),INDEX(Utility_Rates!$C$29:$F$52,HOUR(C5553)+Inputs!$C$69,MATCH(INDEX(Utility_Rates!$K$6:$K$17,MONTH(C5553))&amp;IF(WEEKDAY(C5553,Inputs!$C$76)&lt;=Inputs!$C$74," weekday"," weekend"),Utility_Rates!$C$28:$F$28,Inputs!$C$68)),"")</f>
      </c>
      <c r="H5553" s="34"/>
      <c r="I5553" s="42">
        <f>IF(AND(ISNUMBER(D5553),ISNUMBER(H5553)),D5553*H5553*Inputs!$C$69,"")</f>
      </c>
      <c r="J5553" s="42">
        <f>IF(AND(ISNUMBER(F5553),ISNUMBER(H5553),F5553&gt;=Inputs!$C$68),F5553*H5553*Inputs!$C$69,"")</f>
      </c>
    </row>
    <row r="5554" spans="2:10" ht="15" customHeight="1" x14ac:dyDescent="0.2">
      <c r="B5554" s="39">
        <f t="shared" si="42"/>
      </c>
      <c r="C5554" s="40">
        <f>IF(Inputs!$C$60,Inputs!$C$11+(B5554-Inputs!$C$69)/Inputs!$C$70,"")</f>
      </c>
      <c r="D5554" s="15"/>
      <c r="E5554" s="15"/>
      <c r="F5554" s="11">
        <f t="shared" si="43"/>
      </c>
      <c r="G5554" s="22" cm="1">
        <f t="array" ref="G5554">IF(AND(Inputs!$C$60,Inputs!$C$61),INDEX(Utility_Rates!$C$29:$F$52,HOUR(C5554)+Inputs!$C$69,MATCH(INDEX(Utility_Rates!$K$6:$K$17,MONTH(C5554))&amp;IF(WEEKDAY(C5554,Inputs!$C$76)&lt;=Inputs!$C$74," weekday"," weekend"),Utility_Rates!$C$28:$F$28,Inputs!$C$68)),"")</f>
      </c>
      <c r="H5554" s="34"/>
      <c r="I5554" s="42">
        <f>IF(AND(ISNUMBER(D5554),ISNUMBER(H5554)),D5554*H5554*Inputs!$C$69,"")</f>
      </c>
      <c r="J5554" s="42">
        <f>IF(AND(ISNUMBER(F5554),ISNUMBER(H5554),F5554&gt;=Inputs!$C$68),F5554*H5554*Inputs!$C$69,"")</f>
      </c>
    </row>
    <row r="5555" spans="2:10" ht="15" customHeight="1" x14ac:dyDescent="0.2">
      <c r="B5555" s="39">
        <f t="shared" si="42"/>
      </c>
      <c r="C5555" s="40">
        <f>IF(Inputs!$C$60,Inputs!$C$11+(B5555-Inputs!$C$69)/Inputs!$C$70,"")</f>
      </c>
      <c r="D5555" s="15"/>
      <c r="E5555" s="15"/>
      <c r="F5555" s="11">
        <f t="shared" si="43"/>
      </c>
      <c r="G5555" s="22" cm="1">
        <f t="array" ref="G5555">IF(AND(Inputs!$C$60,Inputs!$C$61),INDEX(Utility_Rates!$C$29:$F$52,HOUR(C5555)+Inputs!$C$69,MATCH(INDEX(Utility_Rates!$K$6:$K$17,MONTH(C5555))&amp;IF(WEEKDAY(C5555,Inputs!$C$76)&lt;=Inputs!$C$74," weekday"," weekend"),Utility_Rates!$C$28:$F$28,Inputs!$C$68)),"")</f>
      </c>
      <c r="H5555" s="34"/>
      <c r="I5555" s="42">
        <f>IF(AND(ISNUMBER(D5555),ISNUMBER(H5555)),D5555*H5555*Inputs!$C$69,"")</f>
      </c>
      <c r="J5555" s="42">
        <f>IF(AND(ISNUMBER(F5555),ISNUMBER(H5555),F5555&gt;=Inputs!$C$68),F5555*H5555*Inputs!$C$69,"")</f>
      </c>
    </row>
    <row r="5556" spans="2:10" ht="15" customHeight="1" x14ac:dyDescent="0.2">
      <c r="B5556" s="39">
        <f t="shared" si="42"/>
      </c>
      <c r="C5556" s="40">
        <f>IF(Inputs!$C$60,Inputs!$C$11+(B5556-Inputs!$C$69)/Inputs!$C$70,"")</f>
      </c>
      <c r="D5556" s="15"/>
      <c r="E5556" s="15"/>
      <c r="F5556" s="11">
        <f t="shared" si="43"/>
      </c>
      <c r="G5556" s="22" cm="1">
        <f t="array" ref="G5556">IF(AND(Inputs!$C$60,Inputs!$C$61),INDEX(Utility_Rates!$C$29:$F$52,HOUR(C5556)+Inputs!$C$69,MATCH(INDEX(Utility_Rates!$K$6:$K$17,MONTH(C5556))&amp;IF(WEEKDAY(C5556,Inputs!$C$76)&lt;=Inputs!$C$74," weekday"," weekend"),Utility_Rates!$C$28:$F$28,Inputs!$C$68)),"")</f>
      </c>
      <c r="H5556" s="34"/>
      <c r="I5556" s="42">
        <f>IF(AND(ISNUMBER(D5556),ISNUMBER(H5556)),D5556*H5556*Inputs!$C$69,"")</f>
      </c>
      <c r="J5556" s="42">
        <f>IF(AND(ISNUMBER(F5556),ISNUMBER(H5556),F5556&gt;=Inputs!$C$68),F5556*H5556*Inputs!$C$69,"")</f>
      </c>
    </row>
    <row r="5557" spans="2:10" ht="15" customHeight="1" x14ac:dyDescent="0.2">
      <c r="B5557" s="39">
        <f t="shared" si="42"/>
      </c>
      <c r="C5557" s="40">
        <f>IF(Inputs!$C$60,Inputs!$C$11+(B5557-Inputs!$C$69)/Inputs!$C$70,"")</f>
      </c>
      <c r="D5557" s="15"/>
      <c r="E5557" s="15"/>
      <c r="F5557" s="11">
        <f t="shared" si="43"/>
      </c>
      <c r="G5557" s="22" cm="1">
        <f t="array" ref="G5557">IF(AND(Inputs!$C$60,Inputs!$C$61),INDEX(Utility_Rates!$C$29:$F$52,HOUR(C5557)+Inputs!$C$69,MATCH(INDEX(Utility_Rates!$K$6:$K$17,MONTH(C5557))&amp;IF(WEEKDAY(C5557,Inputs!$C$76)&lt;=Inputs!$C$74," weekday"," weekend"),Utility_Rates!$C$28:$F$28,Inputs!$C$68)),"")</f>
      </c>
      <c r="H5557" s="34"/>
      <c r="I5557" s="42">
        <f>IF(AND(ISNUMBER(D5557),ISNUMBER(H5557)),D5557*H5557*Inputs!$C$69,"")</f>
      </c>
      <c r="J5557" s="42">
        <f>IF(AND(ISNUMBER(F5557),ISNUMBER(H5557),F5557&gt;=Inputs!$C$68),F5557*H5557*Inputs!$C$69,"")</f>
      </c>
    </row>
    <row r="5558" spans="2:10" ht="15" customHeight="1" x14ac:dyDescent="0.2">
      <c r="B5558" s="39">
        <f t="shared" si="42"/>
      </c>
      <c r="C5558" s="40">
        <f>IF(Inputs!$C$60,Inputs!$C$11+(B5558-Inputs!$C$69)/Inputs!$C$70,"")</f>
      </c>
      <c r="D5558" s="15"/>
      <c r="E5558" s="15"/>
      <c r="F5558" s="11">
        <f t="shared" si="43"/>
      </c>
      <c r="G5558" s="22" cm="1">
        <f t="array" ref="G5558">IF(AND(Inputs!$C$60,Inputs!$C$61),INDEX(Utility_Rates!$C$29:$F$52,HOUR(C5558)+Inputs!$C$69,MATCH(INDEX(Utility_Rates!$K$6:$K$17,MONTH(C5558))&amp;IF(WEEKDAY(C5558,Inputs!$C$76)&lt;=Inputs!$C$74," weekday"," weekend"),Utility_Rates!$C$28:$F$28,Inputs!$C$68)),"")</f>
      </c>
      <c r="H5558" s="34"/>
      <c r="I5558" s="42">
        <f>IF(AND(ISNUMBER(D5558),ISNUMBER(H5558)),D5558*H5558*Inputs!$C$69,"")</f>
      </c>
      <c r="J5558" s="42">
        <f>IF(AND(ISNUMBER(F5558),ISNUMBER(H5558),F5558&gt;=Inputs!$C$68),F5558*H5558*Inputs!$C$69,"")</f>
      </c>
    </row>
    <row r="5559" spans="2:10" ht="15" customHeight="1" x14ac:dyDescent="0.2">
      <c r="B5559" s="39">
        <f t="shared" si="42"/>
      </c>
      <c r="C5559" s="40">
        <f>IF(Inputs!$C$60,Inputs!$C$11+(B5559-Inputs!$C$69)/Inputs!$C$70,"")</f>
      </c>
      <c r="D5559" s="15"/>
      <c r="E5559" s="15"/>
      <c r="F5559" s="11">
        <f t="shared" si="43"/>
      </c>
      <c r="G5559" s="22" cm="1">
        <f t="array" ref="G5559">IF(AND(Inputs!$C$60,Inputs!$C$61),INDEX(Utility_Rates!$C$29:$F$52,HOUR(C5559)+Inputs!$C$69,MATCH(INDEX(Utility_Rates!$K$6:$K$17,MONTH(C5559))&amp;IF(WEEKDAY(C5559,Inputs!$C$76)&lt;=Inputs!$C$74," weekday"," weekend"),Utility_Rates!$C$28:$F$28,Inputs!$C$68)),"")</f>
      </c>
      <c r="H5559" s="34"/>
      <c r="I5559" s="42">
        <f>IF(AND(ISNUMBER(D5559),ISNUMBER(H5559)),D5559*H5559*Inputs!$C$69,"")</f>
      </c>
      <c r="J5559" s="42">
        <f>IF(AND(ISNUMBER(F5559),ISNUMBER(H5559),F5559&gt;=Inputs!$C$68),F5559*H5559*Inputs!$C$69,"")</f>
      </c>
    </row>
    <row r="5560" spans="2:10" ht="15" customHeight="1" x14ac:dyDescent="0.2">
      <c r="B5560" s="39">
        <f t="shared" si="42"/>
      </c>
      <c r="C5560" s="40">
        <f>IF(Inputs!$C$60,Inputs!$C$11+(B5560-Inputs!$C$69)/Inputs!$C$70,"")</f>
      </c>
      <c r="D5560" s="15"/>
      <c r="E5560" s="15"/>
      <c r="F5560" s="11">
        <f t="shared" si="43"/>
      </c>
      <c r="G5560" s="22" cm="1">
        <f t="array" ref="G5560">IF(AND(Inputs!$C$60,Inputs!$C$61),INDEX(Utility_Rates!$C$29:$F$52,HOUR(C5560)+Inputs!$C$69,MATCH(INDEX(Utility_Rates!$K$6:$K$17,MONTH(C5560))&amp;IF(WEEKDAY(C5560,Inputs!$C$76)&lt;=Inputs!$C$74," weekday"," weekend"),Utility_Rates!$C$28:$F$28,Inputs!$C$68)),"")</f>
      </c>
      <c r="H5560" s="34"/>
      <c r="I5560" s="42">
        <f>IF(AND(ISNUMBER(D5560),ISNUMBER(H5560)),D5560*H5560*Inputs!$C$69,"")</f>
      </c>
      <c r="J5560" s="42">
        <f>IF(AND(ISNUMBER(F5560),ISNUMBER(H5560),F5560&gt;=Inputs!$C$68),F5560*H5560*Inputs!$C$69,"")</f>
      </c>
    </row>
    <row r="5561" spans="2:10" ht="15" customHeight="1" x14ac:dyDescent="0.2">
      <c r="B5561" s="39">
        <f t="shared" si="42"/>
      </c>
      <c r="C5561" s="40">
        <f>IF(Inputs!$C$60,Inputs!$C$11+(B5561-Inputs!$C$69)/Inputs!$C$70,"")</f>
      </c>
      <c r="D5561" s="15"/>
      <c r="E5561" s="15"/>
      <c r="F5561" s="11">
        <f t="shared" si="43"/>
      </c>
      <c r="G5561" s="22" cm="1">
        <f t="array" ref="G5561">IF(AND(Inputs!$C$60,Inputs!$C$61),INDEX(Utility_Rates!$C$29:$F$52,HOUR(C5561)+Inputs!$C$69,MATCH(INDEX(Utility_Rates!$K$6:$K$17,MONTH(C5561))&amp;IF(WEEKDAY(C5561,Inputs!$C$76)&lt;=Inputs!$C$74," weekday"," weekend"),Utility_Rates!$C$28:$F$28,Inputs!$C$68)),"")</f>
      </c>
      <c r="H5561" s="34"/>
      <c r="I5561" s="42">
        <f>IF(AND(ISNUMBER(D5561),ISNUMBER(H5561)),D5561*H5561*Inputs!$C$69,"")</f>
      </c>
      <c r="J5561" s="42">
        <f>IF(AND(ISNUMBER(F5561),ISNUMBER(H5561),F5561&gt;=Inputs!$C$68),F5561*H5561*Inputs!$C$69,"")</f>
      </c>
    </row>
    <row r="5562" spans="2:10" ht="15" customHeight="1" x14ac:dyDescent="0.2">
      <c r="B5562" s="39">
        <f t="shared" si="42"/>
      </c>
      <c r="C5562" s="40">
        <f>IF(Inputs!$C$60,Inputs!$C$11+(B5562-Inputs!$C$69)/Inputs!$C$70,"")</f>
      </c>
      <c r="D5562" s="15"/>
      <c r="E5562" s="15"/>
      <c r="F5562" s="11">
        <f t="shared" si="43"/>
      </c>
      <c r="G5562" s="22" cm="1">
        <f t="array" ref="G5562">IF(AND(Inputs!$C$60,Inputs!$C$61),INDEX(Utility_Rates!$C$29:$F$52,HOUR(C5562)+Inputs!$C$69,MATCH(INDEX(Utility_Rates!$K$6:$K$17,MONTH(C5562))&amp;IF(WEEKDAY(C5562,Inputs!$C$76)&lt;=Inputs!$C$74," weekday"," weekend"),Utility_Rates!$C$28:$F$28,Inputs!$C$68)),"")</f>
      </c>
      <c r="H5562" s="34"/>
      <c r="I5562" s="42">
        <f>IF(AND(ISNUMBER(D5562),ISNUMBER(H5562)),D5562*H5562*Inputs!$C$69,"")</f>
      </c>
      <c r="J5562" s="42">
        <f>IF(AND(ISNUMBER(F5562),ISNUMBER(H5562),F5562&gt;=Inputs!$C$68),F5562*H5562*Inputs!$C$69,"")</f>
      </c>
    </row>
    <row r="5563" spans="2:10" ht="15" customHeight="1" x14ac:dyDescent="0.2">
      <c r="B5563" s="39">
        <f t="shared" si="42"/>
      </c>
      <c r="C5563" s="40">
        <f>IF(Inputs!$C$60,Inputs!$C$11+(B5563-Inputs!$C$69)/Inputs!$C$70,"")</f>
      </c>
      <c r="D5563" s="15"/>
      <c r="E5563" s="15"/>
      <c r="F5563" s="11">
        <f t="shared" si="43"/>
      </c>
      <c r="G5563" s="22" cm="1">
        <f t="array" ref="G5563">IF(AND(Inputs!$C$60,Inputs!$C$61),INDEX(Utility_Rates!$C$29:$F$52,HOUR(C5563)+Inputs!$C$69,MATCH(INDEX(Utility_Rates!$K$6:$K$17,MONTH(C5563))&amp;IF(WEEKDAY(C5563,Inputs!$C$76)&lt;=Inputs!$C$74," weekday"," weekend"),Utility_Rates!$C$28:$F$28,Inputs!$C$68)),"")</f>
      </c>
      <c r="H5563" s="34"/>
      <c r="I5563" s="42">
        <f>IF(AND(ISNUMBER(D5563),ISNUMBER(H5563)),D5563*H5563*Inputs!$C$69,"")</f>
      </c>
      <c r="J5563" s="42">
        <f>IF(AND(ISNUMBER(F5563),ISNUMBER(H5563),F5563&gt;=Inputs!$C$68),F5563*H5563*Inputs!$C$69,"")</f>
      </c>
    </row>
    <row r="5564" spans="2:10" ht="15" customHeight="1" x14ac:dyDescent="0.2">
      <c r="B5564" s="39">
        <f t="shared" si="42"/>
      </c>
      <c r="C5564" s="40">
        <f>IF(Inputs!$C$60,Inputs!$C$11+(B5564-Inputs!$C$69)/Inputs!$C$70,"")</f>
      </c>
      <c r="D5564" s="15"/>
      <c r="E5564" s="15"/>
      <c r="F5564" s="11">
        <f t="shared" si="43"/>
      </c>
      <c r="G5564" s="22" cm="1">
        <f t="array" ref="G5564">IF(AND(Inputs!$C$60,Inputs!$C$61),INDEX(Utility_Rates!$C$29:$F$52,HOUR(C5564)+Inputs!$C$69,MATCH(INDEX(Utility_Rates!$K$6:$K$17,MONTH(C5564))&amp;IF(WEEKDAY(C5564,Inputs!$C$76)&lt;=Inputs!$C$74," weekday"," weekend"),Utility_Rates!$C$28:$F$28,Inputs!$C$68)),"")</f>
      </c>
      <c r="H5564" s="34"/>
      <c r="I5564" s="42">
        <f>IF(AND(ISNUMBER(D5564),ISNUMBER(H5564)),D5564*H5564*Inputs!$C$69,"")</f>
      </c>
      <c r="J5564" s="42">
        <f>IF(AND(ISNUMBER(F5564),ISNUMBER(H5564),F5564&gt;=Inputs!$C$68),F5564*H5564*Inputs!$C$69,"")</f>
      </c>
    </row>
    <row r="5565" spans="2:10" ht="15" customHeight="1" x14ac:dyDescent="0.2">
      <c r="B5565" s="39">
        <f t="shared" si="42"/>
      </c>
      <c r="C5565" s="40">
        <f>IF(Inputs!$C$60,Inputs!$C$11+(B5565-Inputs!$C$69)/Inputs!$C$70,"")</f>
      </c>
      <c r="D5565" s="15"/>
      <c r="E5565" s="15"/>
      <c r="F5565" s="11">
        <f t="shared" si="43"/>
      </c>
      <c r="G5565" s="22" cm="1">
        <f t="array" ref="G5565">IF(AND(Inputs!$C$60,Inputs!$C$61),INDEX(Utility_Rates!$C$29:$F$52,HOUR(C5565)+Inputs!$C$69,MATCH(INDEX(Utility_Rates!$K$6:$K$17,MONTH(C5565))&amp;IF(WEEKDAY(C5565,Inputs!$C$76)&lt;=Inputs!$C$74," weekday"," weekend"),Utility_Rates!$C$28:$F$28,Inputs!$C$68)),"")</f>
      </c>
      <c r="H5565" s="34"/>
      <c r="I5565" s="42">
        <f>IF(AND(ISNUMBER(D5565),ISNUMBER(H5565)),D5565*H5565*Inputs!$C$69,"")</f>
      </c>
      <c r="J5565" s="42">
        <f>IF(AND(ISNUMBER(F5565),ISNUMBER(H5565),F5565&gt;=Inputs!$C$68),F5565*H5565*Inputs!$C$69,"")</f>
      </c>
    </row>
    <row r="5566" spans="2:10" ht="15" customHeight="1" x14ac:dyDescent="0.2">
      <c r="B5566" s="39">
        <f t="shared" si="42"/>
      </c>
      <c r="C5566" s="40">
        <f>IF(Inputs!$C$60,Inputs!$C$11+(B5566-Inputs!$C$69)/Inputs!$C$70,"")</f>
      </c>
      <c r="D5566" s="15"/>
      <c r="E5566" s="15"/>
      <c r="F5566" s="11">
        <f t="shared" si="43"/>
      </c>
      <c r="G5566" s="22" cm="1">
        <f t="array" ref="G5566">IF(AND(Inputs!$C$60,Inputs!$C$61),INDEX(Utility_Rates!$C$29:$F$52,HOUR(C5566)+Inputs!$C$69,MATCH(INDEX(Utility_Rates!$K$6:$K$17,MONTH(C5566))&amp;IF(WEEKDAY(C5566,Inputs!$C$76)&lt;=Inputs!$C$74," weekday"," weekend"),Utility_Rates!$C$28:$F$28,Inputs!$C$68)),"")</f>
      </c>
      <c r="H5566" s="34"/>
      <c r="I5566" s="42">
        <f>IF(AND(ISNUMBER(D5566),ISNUMBER(H5566)),D5566*H5566*Inputs!$C$69,"")</f>
      </c>
      <c r="J5566" s="42">
        <f>IF(AND(ISNUMBER(F5566),ISNUMBER(H5566),F5566&gt;=Inputs!$C$68),F5566*H5566*Inputs!$C$69,"")</f>
      </c>
    </row>
    <row r="5567" spans="2:10" ht="15" customHeight="1" x14ac:dyDescent="0.2">
      <c r="B5567" s="39">
        <f t="shared" si="42"/>
      </c>
      <c r="C5567" s="40">
        <f>IF(Inputs!$C$60,Inputs!$C$11+(B5567-Inputs!$C$69)/Inputs!$C$70,"")</f>
      </c>
      <c r="D5567" s="15"/>
      <c r="E5567" s="15"/>
      <c r="F5567" s="11">
        <f t="shared" si="43"/>
      </c>
      <c r="G5567" s="22" cm="1">
        <f t="array" ref="G5567">IF(AND(Inputs!$C$60,Inputs!$C$61),INDEX(Utility_Rates!$C$29:$F$52,HOUR(C5567)+Inputs!$C$69,MATCH(INDEX(Utility_Rates!$K$6:$K$17,MONTH(C5567))&amp;IF(WEEKDAY(C5567,Inputs!$C$76)&lt;=Inputs!$C$74," weekday"," weekend"),Utility_Rates!$C$28:$F$28,Inputs!$C$68)),"")</f>
      </c>
      <c r="H5567" s="34"/>
      <c r="I5567" s="42">
        <f>IF(AND(ISNUMBER(D5567),ISNUMBER(H5567)),D5567*H5567*Inputs!$C$69,"")</f>
      </c>
      <c r="J5567" s="42">
        <f>IF(AND(ISNUMBER(F5567),ISNUMBER(H5567),F5567&gt;=Inputs!$C$68),F5567*H5567*Inputs!$C$69,"")</f>
      </c>
    </row>
    <row r="5568" spans="2:10" ht="15" customHeight="1" x14ac:dyDescent="0.2">
      <c r="B5568" s="39">
        <f t="shared" si="42"/>
      </c>
      <c r="C5568" s="40">
        <f>IF(Inputs!$C$60,Inputs!$C$11+(B5568-Inputs!$C$69)/Inputs!$C$70,"")</f>
      </c>
      <c r="D5568" s="15"/>
      <c r="E5568" s="15"/>
      <c r="F5568" s="11">
        <f t="shared" si="43"/>
      </c>
      <c r="G5568" s="22" cm="1">
        <f t="array" ref="G5568">IF(AND(Inputs!$C$60,Inputs!$C$61),INDEX(Utility_Rates!$C$29:$F$52,HOUR(C5568)+Inputs!$C$69,MATCH(INDEX(Utility_Rates!$K$6:$K$17,MONTH(C5568))&amp;IF(WEEKDAY(C5568,Inputs!$C$76)&lt;=Inputs!$C$74," weekday"," weekend"),Utility_Rates!$C$28:$F$28,Inputs!$C$68)),"")</f>
      </c>
      <c r="H5568" s="34"/>
      <c r="I5568" s="42">
        <f>IF(AND(ISNUMBER(D5568),ISNUMBER(H5568)),D5568*H5568*Inputs!$C$69,"")</f>
      </c>
      <c r="J5568" s="42">
        <f>IF(AND(ISNUMBER(F5568),ISNUMBER(H5568),F5568&gt;=Inputs!$C$68),F5568*H5568*Inputs!$C$69,"")</f>
      </c>
    </row>
    <row r="5569" spans="2:10" ht="15" customHeight="1" x14ac:dyDescent="0.2">
      <c r="B5569" s="39">
        <f t="shared" si="42"/>
      </c>
      <c r="C5569" s="40">
        <f>IF(Inputs!$C$60,Inputs!$C$11+(B5569-Inputs!$C$69)/Inputs!$C$70,"")</f>
      </c>
      <c r="D5569" s="15"/>
      <c r="E5569" s="15"/>
      <c r="F5569" s="11">
        <f t="shared" si="43"/>
      </c>
      <c r="G5569" s="22" cm="1">
        <f t="array" ref="G5569">IF(AND(Inputs!$C$60,Inputs!$C$61),INDEX(Utility_Rates!$C$29:$F$52,HOUR(C5569)+Inputs!$C$69,MATCH(INDEX(Utility_Rates!$K$6:$K$17,MONTH(C5569))&amp;IF(WEEKDAY(C5569,Inputs!$C$76)&lt;=Inputs!$C$74," weekday"," weekend"),Utility_Rates!$C$28:$F$28,Inputs!$C$68)),"")</f>
      </c>
      <c r="H5569" s="34"/>
      <c r="I5569" s="42">
        <f>IF(AND(ISNUMBER(D5569),ISNUMBER(H5569)),D5569*H5569*Inputs!$C$69,"")</f>
      </c>
      <c r="J5569" s="42">
        <f>IF(AND(ISNUMBER(F5569),ISNUMBER(H5569),F5569&gt;=Inputs!$C$68),F5569*H5569*Inputs!$C$69,"")</f>
      </c>
    </row>
    <row r="5570" spans="2:10" ht="15" customHeight="1" x14ac:dyDescent="0.2">
      <c r="B5570" s="39">
        <f t="shared" si="42"/>
      </c>
      <c r="C5570" s="40">
        <f>IF(Inputs!$C$60,Inputs!$C$11+(B5570-Inputs!$C$69)/Inputs!$C$70,"")</f>
      </c>
      <c r="D5570" s="15"/>
      <c r="E5570" s="15"/>
      <c r="F5570" s="11">
        <f t="shared" si="43"/>
      </c>
      <c r="G5570" s="22" cm="1">
        <f t="array" ref="G5570">IF(AND(Inputs!$C$60,Inputs!$C$61),INDEX(Utility_Rates!$C$29:$F$52,HOUR(C5570)+Inputs!$C$69,MATCH(INDEX(Utility_Rates!$K$6:$K$17,MONTH(C5570))&amp;IF(WEEKDAY(C5570,Inputs!$C$76)&lt;=Inputs!$C$74," weekday"," weekend"),Utility_Rates!$C$28:$F$28,Inputs!$C$68)),"")</f>
      </c>
      <c r="H5570" s="34"/>
      <c r="I5570" s="42">
        <f>IF(AND(ISNUMBER(D5570),ISNUMBER(H5570)),D5570*H5570*Inputs!$C$69,"")</f>
      </c>
      <c r="J5570" s="42">
        <f>IF(AND(ISNUMBER(F5570),ISNUMBER(H5570),F5570&gt;=Inputs!$C$68),F5570*H5570*Inputs!$C$69,"")</f>
      </c>
    </row>
    <row r="5571" spans="2:10" ht="15" customHeight="1" x14ac:dyDescent="0.2">
      <c r="B5571" s="39">
        <f t="shared" si="42"/>
      </c>
      <c r="C5571" s="40">
        <f>IF(Inputs!$C$60,Inputs!$C$11+(B5571-Inputs!$C$69)/Inputs!$C$70,"")</f>
      </c>
      <c r="D5571" s="15"/>
      <c r="E5571" s="15"/>
      <c r="F5571" s="11">
        <f t="shared" si="43"/>
      </c>
      <c r="G5571" s="22" cm="1">
        <f t="array" ref="G5571">IF(AND(Inputs!$C$60,Inputs!$C$61),INDEX(Utility_Rates!$C$29:$F$52,HOUR(C5571)+Inputs!$C$69,MATCH(INDEX(Utility_Rates!$K$6:$K$17,MONTH(C5571))&amp;IF(WEEKDAY(C5571,Inputs!$C$76)&lt;=Inputs!$C$74," weekday"," weekend"),Utility_Rates!$C$28:$F$28,Inputs!$C$68)),"")</f>
      </c>
      <c r="H5571" s="34"/>
      <c r="I5571" s="42">
        <f>IF(AND(ISNUMBER(D5571),ISNUMBER(H5571)),D5571*H5571*Inputs!$C$69,"")</f>
      </c>
      <c r="J5571" s="42">
        <f>IF(AND(ISNUMBER(F5571),ISNUMBER(H5571),F5571&gt;=Inputs!$C$68),F5571*H5571*Inputs!$C$69,"")</f>
      </c>
    </row>
    <row r="5572" spans="2:10" ht="15" customHeight="1" x14ac:dyDescent="0.2">
      <c r="B5572" s="39">
        <f t="shared" si="42"/>
      </c>
      <c r="C5572" s="40">
        <f>IF(Inputs!$C$60,Inputs!$C$11+(B5572-Inputs!$C$69)/Inputs!$C$70,"")</f>
      </c>
      <c r="D5572" s="15"/>
      <c r="E5572" s="15"/>
      <c r="F5572" s="11">
        <f t="shared" si="43"/>
      </c>
      <c r="G5572" s="22" cm="1">
        <f t="array" ref="G5572">IF(AND(Inputs!$C$60,Inputs!$C$61),INDEX(Utility_Rates!$C$29:$F$52,HOUR(C5572)+Inputs!$C$69,MATCH(INDEX(Utility_Rates!$K$6:$K$17,MONTH(C5572))&amp;IF(WEEKDAY(C5572,Inputs!$C$76)&lt;=Inputs!$C$74," weekday"," weekend"),Utility_Rates!$C$28:$F$28,Inputs!$C$68)),"")</f>
      </c>
      <c r="H5572" s="34"/>
      <c r="I5572" s="42">
        <f>IF(AND(ISNUMBER(D5572),ISNUMBER(H5572)),D5572*H5572*Inputs!$C$69,"")</f>
      </c>
      <c r="J5572" s="42">
        <f>IF(AND(ISNUMBER(F5572),ISNUMBER(H5572),F5572&gt;=Inputs!$C$68),F5572*H5572*Inputs!$C$69,"")</f>
      </c>
    </row>
    <row r="5573" spans="2:10" ht="15" customHeight="1" x14ac:dyDescent="0.2">
      <c r="B5573" s="39">
        <f t="shared" si="42"/>
      </c>
      <c r="C5573" s="40">
        <f>IF(Inputs!$C$60,Inputs!$C$11+(B5573-Inputs!$C$69)/Inputs!$C$70,"")</f>
      </c>
      <c r="D5573" s="15"/>
      <c r="E5573" s="15"/>
      <c r="F5573" s="11">
        <f t="shared" si="43"/>
      </c>
      <c r="G5573" s="22" cm="1">
        <f t="array" ref="G5573">IF(AND(Inputs!$C$60,Inputs!$C$61),INDEX(Utility_Rates!$C$29:$F$52,HOUR(C5573)+Inputs!$C$69,MATCH(INDEX(Utility_Rates!$K$6:$K$17,MONTH(C5573))&amp;IF(WEEKDAY(C5573,Inputs!$C$76)&lt;=Inputs!$C$74," weekday"," weekend"),Utility_Rates!$C$28:$F$28,Inputs!$C$68)),"")</f>
      </c>
      <c r="H5573" s="34"/>
      <c r="I5573" s="42">
        <f>IF(AND(ISNUMBER(D5573),ISNUMBER(H5573)),D5573*H5573*Inputs!$C$69,"")</f>
      </c>
      <c r="J5573" s="42">
        <f>IF(AND(ISNUMBER(F5573),ISNUMBER(H5573),F5573&gt;=Inputs!$C$68),F5573*H5573*Inputs!$C$69,"")</f>
      </c>
    </row>
    <row r="5574" spans="2:10" ht="15" customHeight="1" x14ac:dyDescent="0.2">
      <c r="B5574" s="39">
        <f t="shared" si="42"/>
      </c>
      <c r="C5574" s="40">
        <f>IF(Inputs!$C$60,Inputs!$C$11+(B5574-Inputs!$C$69)/Inputs!$C$70,"")</f>
      </c>
      <c r="D5574" s="15"/>
      <c r="E5574" s="15"/>
      <c r="F5574" s="11">
        <f t="shared" si="43"/>
      </c>
      <c r="G5574" s="22" cm="1">
        <f t="array" ref="G5574">IF(AND(Inputs!$C$60,Inputs!$C$61),INDEX(Utility_Rates!$C$29:$F$52,HOUR(C5574)+Inputs!$C$69,MATCH(INDEX(Utility_Rates!$K$6:$K$17,MONTH(C5574))&amp;IF(WEEKDAY(C5574,Inputs!$C$76)&lt;=Inputs!$C$74," weekday"," weekend"),Utility_Rates!$C$28:$F$28,Inputs!$C$68)),"")</f>
      </c>
      <c r="H5574" s="34"/>
      <c r="I5574" s="42">
        <f>IF(AND(ISNUMBER(D5574),ISNUMBER(H5574)),D5574*H5574*Inputs!$C$69,"")</f>
      </c>
      <c r="J5574" s="42">
        <f>IF(AND(ISNUMBER(F5574),ISNUMBER(H5574),F5574&gt;=Inputs!$C$68),F5574*H5574*Inputs!$C$69,"")</f>
      </c>
    </row>
    <row r="5575" spans="2:10" ht="15" customHeight="1" x14ac:dyDescent="0.2">
      <c r="B5575" s="39">
        <f t="shared" si="42"/>
      </c>
      <c r="C5575" s="40">
        <f>IF(Inputs!$C$60,Inputs!$C$11+(B5575-Inputs!$C$69)/Inputs!$C$70,"")</f>
      </c>
      <c r="D5575" s="15"/>
      <c r="E5575" s="15"/>
      <c r="F5575" s="11">
        <f t="shared" si="43"/>
      </c>
      <c r="G5575" s="22" cm="1">
        <f t="array" ref="G5575">IF(AND(Inputs!$C$60,Inputs!$C$61),INDEX(Utility_Rates!$C$29:$F$52,HOUR(C5575)+Inputs!$C$69,MATCH(INDEX(Utility_Rates!$K$6:$K$17,MONTH(C5575))&amp;IF(WEEKDAY(C5575,Inputs!$C$76)&lt;=Inputs!$C$74," weekday"," weekend"),Utility_Rates!$C$28:$F$28,Inputs!$C$68)),"")</f>
      </c>
      <c r="H5575" s="34"/>
      <c r="I5575" s="42">
        <f>IF(AND(ISNUMBER(D5575),ISNUMBER(H5575)),D5575*H5575*Inputs!$C$69,"")</f>
      </c>
      <c r="J5575" s="42">
        <f>IF(AND(ISNUMBER(F5575),ISNUMBER(H5575),F5575&gt;=Inputs!$C$68),F5575*H5575*Inputs!$C$69,"")</f>
      </c>
    </row>
    <row r="5576" spans="2:10" ht="15" customHeight="1" x14ac:dyDescent="0.2">
      <c r="B5576" s="39">
        <f t="shared" si="42"/>
      </c>
      <c r="C5576" s="40">
        <f>IF(Inputs!$C$60,Inputs!$C$11+(B5576-Inputs!$C$69)/Inputs!$C$70,"")</f>
      </c>
      <c r="D5576" s="15"/>
      <c r="E5576" s="15"/>
      <c r="F5576" s="11">
        <f t="shared" si="43"/>
      </c>
      <c r="G5576" s="22" cm="1">
        <f t="array" ref="G5576">IF(AND(Inputs!$C$60,Inputs!$C$61),INDEX(Utility_Rates!$C$29:$F$52,HOUR(C5576)+Inputs!$C$69,MATCH(INDEX(Utility_Rates!$K$6:$K$17,MONTH(C5576))&amp;IF(WEEKDAY(C5576,Inputs!$C$76)&lt;=Inputs!$C$74," weekday"," weekend"),Utility_Rates!$C$28:$F$28,Inputs!$C$68)),"")</f>
      </c>
      <c r="H5576" s="34"/>
      <c r="I5576" s="42">
        <f>IF(AND(ISNUMBER(D5576),ISNUMBER(H5576)),D5576*H5576*Inputs!$C$69,"")</f>
      </c>
      <c r="J5576" s="42">
        <f>IF(AND(ISNUMBER(F5576),ISNUMBER(H5576),F5576&gt;=Inputs!$C$68),F5576*H5576*Inputs!$C$69,"")</f>
      </c>
    </row>
    <row r="5577" spans="2:10" ht="15" customHeight="1" x14ac:dyDescent="0.2">
      <c r="B5577" s="39">
        <f t="shared" si="42"/>
      </c>
      <c r="C5577" s="40">
        <f>IF(Inputs!$C$60,Inputs!$C$11+(B5577-Inputs!$C$69)/Inputs!$C$70,"")</f>
      </c>
      <c r="D5577" s="15"/>
      <c r="E5577" s="15"/>
      <c r="F5577" s="11">
        <f t="shared" si="43"/>
      </c>
      <c r="G5577" s="22" cm="1">
        <f t="array" ref="G5577">IF(AND(Inputs!$C$60,Inputs!$C$61),INDEX(Utility_Rates!$C$29:$F$52,HOUR(C5577)+Inputs!$C$69,MATCH(INDEX(Utility_Rates!$K$6:$K$17,MONTH(C5577))&amp;IF(WEEKDAY(C5577,Inputs!$C$76)&lt;=Inputs!$C$74," weekday"," weekend"),Utility_Rates!$C$28:$F$28,Inputs!$C$68)),"")</f>
      </c>
      <c r="H5577" s="34"/>
      <c r="I5577" s="42">
        <f>IF(AND(ISNUMBER(D5577),ISNUMBER(H5577)),D5577*H5577*Inputs!$C$69,"")</f>
      </c>
      <c r="J5577" s="42">
        <f>IF(AND(ISNUMBER(F5577),ISNUMBER(H5577),F5577&gt;=Inputs!$C$68),F5577*H5577*Inputs!$C$69,"")</f>
      </c>
    </row>
    <row r="5578" spans="2:10" ht="15" customHeight="1" x14ac:dyDescent="0.2">
      <c r="B5578" s="39">
        <f t="shared" si="42"/>
      </c>
      <c r="C5578" s="40">
        <f>IF(Inputs!$C$60,Inputs!$C$11+(B5578-Inputs!$C$69)/Inputs!$C$70,"")</f>
      </c>
      <c r="D5578" s="15"/>
      <c r="E5578" s="15"/>
      <c r="F5578" s="11">
        <f t="shared" si="43"/>
      </c>
      <c r="G5578" s="22" cm="1">
        <f t="array" ref="G5578">IF(AND(Inputs!$C$60,Inputs!$C$61),INDEX(Utility_Rates!$C$29:$F$52,HOUR(C5578)+Inputs!$C$69,MATCH(INDEX(Utility_Rates!$K$6:$K$17,MONTH(C5578))&amp;IF(WEEKDAY(C5578,Inputs!$C$76)&lt;=Inputs!$C$74," weekday"," weekend"),Utility_Rates!$C$28:$F$28,Inputs!$C$68)),"")</f>
      </c>
      <c r="H5578" s="34"/>
      <c r="I5578" s="42">
        <f>IF(AND(ISNUMBER(D5578),ISNUMBER(H5578)),D5578*H5578*Inputs!$C$69,"")</f>
      </c>
      <c r="J5578" s="42">
        <f>IF(AND(ISNUMBER(F5578),ISNUMBER(H5578),F5578&gt;=Inputs!$C$68),F5578*H5578*Inputs!$C$69,"")</f>
      </c>
    </row>
    <row r="5579" spans="2:10" ht="15" customHeight="1" x14ac:dyDescent="0.2">
      <c r="B5579" s="39">
        <f t="shared" si="42"/>
      </c>
      <c r="C5579" s="40">
        <f>IF(Inputs!$C$60,Inputs!$C$11+(B5579-Inputs!$C$69)/Inputs!$C$70,"")</f>
      </c>
      <c r="D5579" s="15"/>
      <c r="E5579" s="15"/>
      <c r="F5579" s="11">
        <f t="shared" si="43"/>
      </c>
      <c r="G5579" s="22" cm="1">
        <f t="array" ref="G5579">IF(AND(Inputs!$C$60,Inputs!$C$61),INDEX(Utility_Rates!$C$29:$F$52,HOUR(C5579)+Inputs!$C$69,MATCH(INDEX(Utility_Rates!$K$6:$K$17,MONTH(C5579))&amp;IF(WEEKDAY(C5579,Inputs!$C$76)&lt;=Inputs!$C$74," weekday"," weekend"),Utility_Rates!$C$28:$F$28,Inputs!$C$68)),"")</f>
      </c>
      <c r="H5579" s="34"/>
      <c r="I5579" s="42">
        <f>IF(AND(ISNUMBER(D5579),ISNUMBER(H5579)),D5579*H5579*Inputs!$C$69,"")</f>
      </c>
      <c r="J5579" s="42">
        <f>IF(AND(ISNUMBER(F5579),ISNUMBER(H5579),F5579&gt;=Inputs!$C$68),F5579*H5579*Inputs!$C$69,"")</f>
      </c>
    </row>
    <row r="5580" spans="2:10" ht="15" customHeight="1" x14ac:dyDescent="0.2">
      <c r="B5580" s="39">
        <f t="shared" si="42"/>
      </c>
      <c r="C5580" s="40">
        <f>IF(Inputs!$C$60,Inputs!$C$11+(B5580-Inputs!$C$69)/Inputs!$C$70,"")</f>
      </c>
      <c r="D5580" s="15"/>
      <c r="E5580" s="15"/>
      <c r="F5580" s="11">
        <f t="shared" si="43"/>
      </c>
      <c r="G5580" s="22" cm="1">
        <f t="array" ref="G5580">IF(AND(Inputs!$C$60,Inputs!$C$61),INDEX(Utility_Rates!$C$29:$F$52,HOUR(C5580)+Inputs!$C$69,MATCH(INDEX(Utility_Rates!$K$6:$K$17,MONTH(C5580))&amp;IF(WEEKDAY(C5580,Inputs!$C$76)&lt;=Inputs!$C$74," weekday"," weekend"),Utility_Rates!$C$28:$F$28,Inputs!$C$68)),"")</f>
      </c>
      <c r="H5580" s="34"/>
      <c r="I5580" s="42">
        <f>IF(AND(ISNUMBER(D5580),ISNUMBER(H5580)),D5580*H5580*Inputs!$C$69,"")</f>
      </c>
      <c r="J5580" s="42">
        <f>IF(AND(ISNUMBER(F5580),ISNUMBER(H5580),F5580&gt;=Inputs!$C$68),F5580*H5580*Inputs!$C$69,"")</f>
      </c>
    </row>
    <row r="5581" spans="2:10" ht="15" customHeight="1" x14ac:dyDescent="0.2">
      <c r="B5581" s="39">
        <f t="shared" si="42"/>
      </c>
      <c r="C5581" s="40">
        <f>IF(Inputs!$C$60,Inputs!$C$11+(B5581-Inputs!$C$69)/Inputs!$C$70,"")</f>
      </c>
      <c r="D5581" s="15"/>
      <c r="E5581" s="15"/>
      <c r="F5581" s="11">
        <f t="shared" si="43"/>
      </c>
      <c r="G5581" s="22" cm="1">
        <f t="array" ref="G5581">IF(AND(Inputs!$C$60,Inputs!$C$61),INDEX(Utility_Rates!$C$29:$F$52,HOUR(C5581)+Inputs!$C$69,MATCH(INDEX(Utility_Rates!$K$6:$K$17,MONTH(C5581))&amp;IF(WEEKDAY(C5581,Inputs!$C$76)&lt;=Inputs!$C$74," weekday"," weekend"),Utility_Rates!$C$28:$F$28,Inputs!$C$68)),"")</f>
      </c>
      <c r="H5581" s="34"/>
      <c r="I5581" s="42">
        <f>IF(AND(ISNUMBER(D5581),ISNUMBER(H5581)),D5581*H5581*Inputs!$C$69,"")</f>
      </c>
      <c r="J5581" s="42">
        <f>IF(AND(ISNUMBER(F5581),ISNUMBER(H5581),F5581&gt;=Inputs!$C$68),F5581*H5581*Inputs!$C$69,"")</f>
      </c>
    </row>
    <row r="5582" spans="2:10" ht="15" customHeight="1" x14ac:dyDescent="0.2">
      <c r="B5582" s="39">
        <f t="shared" si="42"/>
      </c>
      <c r="C5582" s="40">
        <f>IF(Inputs!$C$60,Inputs!$C$11+(B5582-Inputs!$C$69)/Inputs!$C$70,"")</f>
      </c>
      <c r="D5582" s="15"/>
      <c r="E5582" s="15"/>
      <c r="F5582" s="11">
        <f t="shared" si="43"/>
      </c>
      <c r="G5582" s="22" cm="1">
        <f t="array" ref="G5582">IF(AND(Inputs!$C$60,Inputs!$C$61),INDEX(Utility_Rates!$C$29:$F$52,HOUR(C5582)+Inputs!$C$69,MATCH(INDEX(Utility_Rates!$K$6:$K$17,MONTH(C5582))&amp;IF(WEEKDAY(C5582,Inputs!$C$76)&lt;=Inputs!$C$74," weekday"," weekend"),Utility_Rates!$C$28:$F$28,Inputs!$C$68)),"")</f>
      </c>
      <c r="H5582" s="34"/>
      <c r="I5582" s="42">
        <f>IF(AND(ISNUMBER(D5582),ISNUMBER(H5582)),D5582*H5582*Inputs!$C$69,"")</f>
      </c>
      <c r="J5582" s="42">
        <f>IF(AND(ISNUMBER(F5582),ISNUMBER(H5582),F5582&gt;=Inputs!$C$68),F5582*H5582*Inputs!$C$69,"")</f>
      </c>
    </row>
    <row r="5583" spans="2:10" ht="15" customHeight="1" x14ac:dyDescent="0.2">
      <c r="B5583" s="39">
        <f t="shared" si="42"/>
      </c>
      <c r="C5583" s="40">
        <f>IF(Inputs!$C$60,Inputs!$C$11+(B5583-Inputs!$C$69)/Inputs!$C$70,"")</f>
      </c>
      <c r="D5583" s="15"/>
      <c r="E5583" s="15"/>
      <c r="F5583" s="11">
        <f t="shared" si="43"/>
      </c>
      <c r="G5583" s="22" cm="1">
        <f t="array" ref="G5583">IF(AND(Inputs!$C$60,Inputs!$C$61),INDEX(Utility_Rates!$C$29:$F$52,HOUR(C5583)+Inputs!$C$69,MATCH(INDEX(Utility_Rates!$K$6:$K$17,MONTH(C5583))&amp;IF(WEEKDAY(C5583,Inputs!$C$76)&lt;=Inputs!$C$74," weekday"," weekend"),Utility_Rates!$C$28:$F$28,Inputs!$C$68)),"")</f>
      </c>
      <c r="H5583" s="34"/>
      <c r="I5583" s="42">
        <f>IF(AND(ISNUMBER(D5583),ISNUMBER(H5583)),D5583*H5583*Inputs!$C$69,"")</f>
      </c>
      <c r="J5583" s="42">
        <f>IF(AND(ISNUMBER(F5583),ISNUMBER(H5583),F5583&gt;=Inputs!$C$68),F5583*H5583*Inputs!$C$69,"")</f>
      </c>
    </row>
    <row r="5584" spans="2:10" ht="15" customHeight="1" x14ac:dyDescent="0.2">
      <c r="B5584" s="39">
        <f t="shared" si="42"/>
      </c>
      <c r="C5584" s="40">
        <f>IF(Inputs!$C$60,Inputs!$C$11+(B5584-Inputs!$C$69)/Inputs!$C$70,"")</f>
      </c>
      <c r="D5584" s="15"/>
      <c r="E5584" s="15"/>
      <c r="F5584" s="11">
        <f t="shared" si="43"/>
      </c>
      <c r="G5584" s="22" cm="1">
        <f t="array" ref="G5584">IF(AND(Inputs!$C$60,Inputs!$C$61),INDEX(Utility_Rates!$C$29:$F$52,HOUR(C5584)+Inputs!$C$69,MATCH(INDEX(Utility_Rates!$K$6:$K$17,MONTH(C5584))&amp;IF(WEEKDAY(C5584,Inputs!$C$76)&lt;=Inputs!$C$74," weekday"," weekend"),Utility_Rates!$C$28:$F$28,Inputs!$C$68)),"")</f>
      </c>
      <c r="H5584" s="34"/>
      <c r="I5584" s="42">
        <f>IF(AND(ISNUMBER(D5584),ISNUMBER(H5584)),D5584*H5584*Inputs!$C$69,"")</f>
      </c>
      <c r="J5584" s="42">
        <f>IF(AND(ISNUMBER(F5584),ISNUMBER(H5584),F5584&gt;=Inputs!$C$68),F5584*H5584*Inputs!$C$69,"")</f>
      </c>
    </row>
    <row r="5585" spans="2:10" ht="15" customHeight="1" x14ac:dyDescent="0.2">
      <c r="B5585" s="39">
        <f t="shared" si="42"/>
      </c>
      <c r="C5585" s="40">
        <f>IF(Inputs!$C$60,Inputs!$C$11+(B5585-Inputs!$C$69)/Inputs!$C$70,"")</f>
      </c>
      <c r="D5585" s="15"/>
      <c r="E5585" s="15"/>
      <c r="F5585" s="11">
        <f t="shared" si="43"/>
      </c>
      <c r="G5585" s="22" cm="1">
        <f t="array" ref="G5585">IF(AND(Inputs!$C$60,Inputs!$C$61),INDEX(Utility_Rates!$C$29:$F$52,HOUR(C5585)+Inputs!$C$69,MATCH(INDEX(Utility_Rates!$K$6:$K$17,MONTH(C5585))&amp;IF(WEEKDAY(C5585,Inputs!$C$76)&lt;=Inputs!$C$74," weekday"," weekend"),Utility_Rates!$C$28:$F$28,Inputs!$C$68)),"")</f>
      </c>
      <c r="H5585" s="34"/>
      <c r="I5585" s="42">
        <f>IF(AND(ISNUMBER(D5585),ISNUMBER(H5585)),D5585*H5585*Inputs!$C$69,"")</f>
      </c>
      <c r="J5585" s="42">
        <f>IF(AND(ISNUMBER(F5585),ISNUMBER(H5585),F5585&gt;=Inputs!$C$68),F5585*H5585*Inputs!$C$69,"")</f>
      </c>
    </row>
    <row r="5586" spans="2:10" ht="15" customHeight="1" x14ac:dyDescent="0.2">
      <c r="B5586" s="39">
        <f t="shared" si="42"/>
      </c>
      <c r="C5586" s="40">
        <f>IF(Inputs!$C$60,Inputs!$C$11+(B5586-Inputs!$C$69)/Inputs!$C$70,"")</f>
      </c>
      <c r="D5586" s="15"/>
      <c r="E5586" s="15"/>
      <c r="F5586" s="11">
        <f t="shared" si="43"/>
      </c>
      <c r="G5586" s="22" cm="1">
        <f t="array" ref="G5586">IF(AND(Inputs!$C$60,Inputs!$C$61),INDEX(Utility_Rates!$C$29:$F$52,HOUR(C5586)+Inputs!$C$69,MATCH(INDEX(Utility_Rates!$K$6:$K$17,MONTH(C5586))&amp;IF(WEEKDAY(C5586,Inputs!$C$76)&lt;=Inputs!$C$74," weekday"," weekend"),Utility_Rates!$C$28:$F$28,Inputs!$C$68)),"")</f>
      </c>
      <c r="H5586" s="34"/>
      <c r="I5586" s="42">
        <f>IF(AND(ISNUMBER(D5586),ISNUMBER(H5586)),D5586*H5586*Inputs!$C$69,"")</f>
      </c>
      <c r="J5586" s="42">
        <f>IF(AND(ISNUMBER(F5586),ISNUMBER(H5586),F5586&gt;=Inputs!$C$68),F5586*H5586*Inputs!$C$69,"")</f>
      </c>
    </row>
    <row r="5587" spans="2:10" ht="15" customHeight="1" x14ac:dyDescent="0.2">
      <c r="B5587" s="39">
        <f t="shared" si="42"/>
      </c>
      <c r="C5587" s="40">
        <f>IF(Inputs!$C$60,Inputs!$C$11+(B5587-Inputs!$C$69)/Inputs!$C$70,"")</f>
      </c>
      <c r="D5587" s="15"/>
      <c r="E5587" s="15"/>
      <c r="F5587" s="11">
        <f t="shared" si="43"/>
      </c>
      <c r="G5587" s="22" cm="1">
        <f t="array" ref="G5587">IF(AND(Inputs!$C$60,Inputs!$C$61),INDEX(Utility_Rates!$C$29:$F$52,HOUR(C5587)+Inputs!$C$69,MATCH(INDEX(Utility_Rates!$K$6:$K$17,MONTH(C5587))&amp;IF(WEEKDAY(C5587,Inputs!$C$76)&lt;=Inputs!$C$74," weekday"," weekend"),Utility_Rates!$C$28:$F$28,Inputs!$C$68)),"")</f>
      </c>
      <c r="H5587" s="34"/>
      <c r="I5587" s="42">
        <f>IF(AND(ISNUMBER(D5587),ISNUMBER(H5587)),D5587*H5587*Inputs!$C$69,"")</f>
      </c>
      <c r="J5587" s="42">
        <f>IF(AND(ISNUMBER(F5587),ISNUMBER(H5587),F5587&gt;=Inputs!$C$68),F5587*H5587*Inputs!$C$69,"")</f>
      </c>
    </row>
    <row r="5588" spans="2:10" ht="15" customHeight="1" x14ac:dyDescent="0.2">
      <c r="B5588" s="39">
        <f t="shared" si="42"/>
      </c>
      <c r="C5588" s="40">
        <f>IF(Inputs!$C$60,Inputs!$C$11+(B5588-Inputs!$C$69)/Inputs!$C$70,"")</f>
      </c>
      <c r="D5588" s="15"/>
      <c r="E5588" s="15"/>
      <c r="F5588" s="11">
        <f t="shared" si="43"/>
      </c>
      <c r="G5588" s="22" cm="1">
        <f t="array" ref="G5588">IF(AND(Inputs!$C$60,Inputs!$C$61),INDEX(Utility_Rates!$C$29:$F$52,HOUR(C5588)+Inputs!$C$69,MATCH(INDEX(Utility_Rates!$K$6:$K$17,MONTH(C5588))&amp;IF(WEEKDAY(C5588,Inputs!$C$76)&lt;=Inputs!$C$74," weekday"," weekend"),Utility_Rates!$C$28:$F$28,Inputs!$C$68)),"")</f>
      </c>
      <c r="H5588" s="34"/>
      <c r="I5588" s="42">
        <f>IF(AND(ISNUMBER(D5588),ISNUMBER(H5588)),D5588*H5588*Inputs!$C$69,"")</f>
      </c>
      <c r="J5588" s="42">
        <f>IF(AND(ISNUMBER(F5588),ISNUMBER(H5588),F5588&gt;=Inputs!$C$68),F5588*H5588*Inputs!$C$69,"")</f>
      </c>
    </row>
    <row r="5589" spans="2:10" ht="15" customHeight="1" x14ac:dyDescent="0.2">
      <c r="B5589" s="39">
        <f t="shared" si="42"/>
      </c>
      <c r="C5589" s="40">
        <f>IF(Inputs!$C$60,Inputs!$C$11+(B5589-Inputs!$C$69)/Inputs!$C$70,"")</f>
      </c>
      <c r="D5589" s="15"/>
      <c r="E5589" s="15"/>
      <c r="F5589" s="11">
        <f t="shared" si="43"/>
      </c>
      <c r="G5589" s="22" cm="1">
        <f t="array" ref="G5589">IF(AND(Inputs!$C$60,Inputs!$C$61),INDEX(Utility_Rates!$C$29:$F$52,HOUR(C5589)+Inputs!$C$69,MATCH(INDEX(Utility_Rates!$K$6:$K$17,MONTH(C5589))&amp;IF(WEEKDAY(C5589,Inputs!$C$76)&lt;=Inputs!$C$74," weekday"," weekend"),Utility_Rates!$C$28:$F$28,Inputs!$C$68)),"")</f>
      </c>
      <c r="H5589" s="34"/>
      <c r="I5589" s="42">
        <f>IF(AND(ISNUMBER(D5589),ISNUMBER(H5589)),D5589*H5589*Inputs!$C$69,"")</f>
      </c>
      <c r="J5589" s="42">
        <f>IF(AND(ISNUMBER(F5589),ISNUMBER(H5589),F5589&gt;=Inputs!$C$68),F5589*H5589*Inputs!$C$69,"")</f>
      </c>
    </row>
    <row r="5590" spans="2:10" ht="15" customHeight="1" x14ac:dyDescent="0.2">
      <c r="B5590" s="39">
        <f t="shared" si="42"/>
      </c>
      <c r="C5590" s="40">
        <f>IF(Inputs!$C$60,Inputs!$C$11+(B5590-Inputs!$C$69)/Inputs!$C$70,"")</f>
      </c>
      <c r="D5590" s="15"/>
      <c r="E5590" s="15"/>
      <c r="F5590" s="11">
        <f t="shared" si="43"/>
      </c>
      <c r="G5590" s="22" cm="1">
        <f t="array" ref="G5590">IF(AND(Inputs!$C$60,Inputs!$C$61),INDEX(Utility_Rates!$C$29:$F$52,HOUR(C5590)+Inputs!$C$69,MATCH(INDEX(Utility_Rates!$K$6:$K$17,MONTH(C5590))&amp;IF(WEEKDAY(C5590,Inputs!$C$76)&lt;=Inputs!$C$74," weekday"," weekend"),Utility_Rates!$C$28:$F$28,Inputs!$C$68)),"")</f>
      </c>
      <c r="H5590" s="34"/>
      <c r="I5590" s="42">
        <f>IF(AND(ISNUMBER(D5590),ISNUMBER(H5590)),D5590*H5590*Inputs!$C$69,"")</f>
      </c>
      <c r="J5590" s="42">
        <f>IF(AND(ISNUMBER(F5590),ISNUMBER(H5590),F5590&gt;=Inputs!$C$68),F5590*H5590*Inputs!$C$69,"")</f>
      </c>
    </row>
    <row r="5591" spans="2:10" ht="15" customHeight="1" x14ac:dyDescent="0.2">
      <c r="B5591" s="39">
        <f t="shared" si="42"/>
      </c>
      <c r="C5591" s="40">
        <f>IF(Inputs!$C$60,Inputs!$C$11+(B5591-Inputs!$C$69)/Inputs!$C$70,"")</f>
      </c>
      <c r="D5591" s="15"/>
      <c r="E5591" s="15"/>
      <c r="F5591" s="11">
        <f t="shared" si="43"/>
      </c>
      <c r="G5591" s="22" cm="1">
        <f t="array" ref="G5591">IF(AND(Inputs!$C$60,Inputs!$C$61),INDEX(Utility_Rates!$C$29:$F$52,HOUR(C5591)+Inputs!$C$69,MATCH(INDEX(Utility_Rates!$K$6:$K$17,MONTH(C5591))&amp;IF(WEEKDAY(C5591,Inputs!$C$76)&lt;=Inputs!$C$74," weekday"," weekend"),Utility_Rates!$C$28:$F$28,Inputs!$C$68)),"")</f>
      </c>
      <c r="H5591" s="34"/>
      <c r="I5591" s="42">
        <f>IF(AND(ISNUMBER(D5591),ISNUMBER(H5591)),D5591*H5591*Inputs!$C$69,"")</f>
      </c>
      <c r="J5591" s="42">
        <f>IF(AND(ISNUMBER(F5591),ISNUMBER(H5591),F5591&gt;=Inputs!$C$68),F5591*H5591*Inputs!$C$69,"")</f>
      </c>
    </row>
    <row r="5592" spans="2:10" ht="15" customHeight="1" x14ac:dyDescent="0.2">
      <c r="B5592" s="39">
        <f t="shared" si="42"/>
      </c>
      <c r="C5592" s="40">
        <f>IF(Inputs!$C$60,Inputs!$C$11+(B5592-Inputs!$C$69)/Inputs!$C$70,"")</f>
      </c>
      <c r="D5592" s="15"/>
      <c r="E5592" s="15"/>
      <c r="F5592" s="11">
        <f t="shared" si="43"/>
      </c>
      <c r="G5592" s="22" cm="1">
        <f t="array" ref="G5592">IF(AND(Inputs!$C$60,Inputs!$C$61),INDEX(Utility_Rates!$C$29:$F$52,HOUR(C5592)+Inputs!$C$69,MATCH(INDEX(Utility_Rates!$K$6:$K$17,MONTH(C5592))&amp;IF(WEEKDAY(C5592,Inputs!$C$76)&lt;=Inputs!$C$74," weekday"," weekend"),Utility_Rates!$C$28:$F$28,Inputs!$C$68)),"")</f>
      </c>
      <c r="H5592" s="34"/>
      <c r="I5592" s="42">
        <f>IF(AND(ISNUMBER(D5592),ISNUMBER(H5592)),D5592*H5592*Inputs!$C$69,"")</f>
      </c>
      <c r="J5592" s="42">
        <f>IF(AND(ISNUMBER(F5592),ISNUMBER(H5592),F5592&gt;=Inputs!$C$68),F5592*H5592*Inputs!$C$69,"")</f>
      </c>
    </row>
    <row r="5593" spans="2:10" ht="15" customHeight="1" x14ac:dyDescent="0.2">
      <c r="B5593" s="39">
        <f t="shared" si="42"/>
      </c>
      <c r="C5593" s="40">
        <f>IF(Inputs!$C$60,Inputs!$C$11+(B5593-Inputs!$C$69)/Inputs!$C$70,"")</f>
      </c>
      <c r="D5593" s="15"/>
      <c r="E5593" s="15"/>
      <c r="F5593" s="11">
        <f t="shared" si="43"/>
      </c>
      <c r="G5593" s="22" cm="1">
        <f t="array" ref="G5593">IF(AND(Inputs!$C$60,Inputs!$C$61),INDEX(Utility_Rates!$C$29:$F$52,HOUR(C5593)+Inputs!$C$69,MATCH(INDEX(Utility_Rates!$K$6:$K$17,MONTH(C5593))&amp;IF(WEEKDAY(C5593,Inputs!$C$76)&lt;=Inputs!$C$74," weekday"," weekend"),Utility_Rates!$C$28:$F$28,Inputs!$C$68)),"")</f>
      </c>
      <c r="H5593" s="34"/>
      <c r="I5593" s="42">
        <f>IF(AND(ISNUMBER(D5593),ISNUMBER(H5593)),D5593*H5593*Inputs!$C$69,"")</f>
      </c>
      <c r="J5593" s="42">
        <f>IF(AND(ISNUMBER(F5593),ISNUMBER(H5593),F5593&gt;=Inputs!$C$68),F5593*H5593*Inputs!$C$69,"")</f>
      </c>
    </row>
    <row r="5594" spans="2:10" ht="15" customHeight="1" x14ac:dyDescent="0.2">
      <c r="B5594" s="39">
        <f t="shared" si="42"/>
      </c>
      <c r="C5594" s="40">
        <f>IF(Inputs!$C$60,Inputs!$C$11+(B5594-Inputs!$C$69)/Inputs!$C$70,"")</f>
      </c>
      <c r="D5594" s="15"/>
      <c r="E5594" s="15"/>
      <c r="F5594" s="11">
        <f t="shared" si="43"/>
      </c>
      <c r="G5594" s="22" cm="1">
        <f t="array" ref="G5594">IF(AND(Inputs!$C$60,Inputs!$C$61),INDEX(Utility_Rates!$C$29:$F$52,HOUR(C5594)+Inputs!$C$69,MATCH(INDEX(Utility_Rates!$K$6:$K$17,MONTH(C5594))&amp;IF(WEEKDAY(C5594,Inputs!$C$76)&lt;=Inputs!$C$74," weekday"," weekend"),Utility_Rates!$C$28:$F$28,Inputs!$C$68)),"")</f>
      </c>
      <c r="H5594" s="34"/>
      <c r="I5594" s="42">
        <f>IF(AND(ISNUMBER(D5594),ISNUMBER(H5594)),D5594*H5594*Inputs!$C$69,"")</f>
      </c>
      <c r="J5594" s="42">
        <f>IF(AND(ISNUMBER(F5594),ISNUMBER(H5594),F5594&gt;=Inputs!$C$68),F5594*H5594*Inputs!$C$69,"")</f>
      </c>
    </row>
    <row r="5595" spans="2:10" ht="15" customHeight="1" x14ac:dyDescent="0.2">
      <c r="B5595" s="39">
        <f t="shared" si="42"/>
      </c>
      <c r="C5595" s="40">
        <f>IF(Inputs!$C$60,Inputs!$C$11+(B5595-Inputs!$C$69)/Inputs!$C$70,"")</f>
      </c>
      <c r="D5595" s="15"/>
      <c r="E5595" s="15"/>
      <c r="F5595" s="11">
        <f t="shared" si="43"/>
      </c>
      <c r="G5595" s="22" cm="1">
        <f t="array" ref="G5595">IF(AND(Inputs!$C$60,Inputs!$C$61),INDEX(Utility_Rates!$C$29:$F$52,HOUR(C5595)+Inputs!$C$69,MATCH(INDEX(Utility_Rates!$K$6:$K$17,MONTH(C5595))&amp;IF(WEEKDAY(C5595,Inputs!$C$76)&lt;=Inputs!$C$74," weekday"," weekend"),Utility_Rates!$C$28:$F$28,Inputs!$C$68)),"")</f>
      </c>
      <c r="H5595" s="34"/>
      <c r="I5595" s="42">
        <f>IF(AND(ISNUMBER(D5595),ISNUMBER(H5595)),D5595*H5595*Inputs!$C$69,"")</f>
      </c>
      <c r="J5595" s="42">
        <f>IF(AND(ISNUMBER(F5595),ISNUMBER(H5595),F5595&gt;=Inputs!$C$68),F5595*H5595*Inputs!$C$69,"")</f>
      </c>
    </row>
    <row r="5596" spans="2:10" ht="15" customHeight="1" x14ac:dyDescent="0.2">
      <c r="B5596" s="39">
        <f t="shared" si="42"/>
      </c>
      <c r="C5596" s="40">
        <f>IF(Inputs!$C$60,Inputs!$C$11+(B5596-Inputs!$C$69)/Inputs!$C$70,"")</f>
      </c>
      <c r="D5596" s="15"/>
      <c r="E5596" s="15"/>
      <c r="F5596" s="11">
        <f t="shared" si="43"/>
      </c>
      <c r="G5596" s="22" cm="1">
        <f t="array" ref="G5596">IF(AND(Inputs!$C$60,Inputs!$C$61),INDEX(Utility_Rates!$C$29:$F$52,HOUR(C5596)+Inputs!$C$69,MATCH(INDEX(Utility_Rates!$K$6:$K$17,MONTH(C5596))&amp;IF(WEEKDAY(C5596,Inputs!$C$76)&lt;=Inputs!$C$74," weekday"," weekend"),Utility_Rates!$C$28:$F$28,Inputs!$C$68)),"")</f>
      </c>
      <c r="H5596" s="34"/>
      <c r="I5596" s="42">
        <f>IF(AND(ISNUMBER(D5596),ISNUMBER(H5596)),D5596*H5596*Inputs!$C$69,"")</f>
      </c>
      <c r="J5596" s="42">
        <f>IF(AND(ISNUMBER(F5596),ISNUMBER(H5596),F5596&gt;=Inputs!$C$68),F5596*H5596*Inputs!$C$69,"")</f>
      </c>
    </row>
    <row r="5597" spans="2:10" ht="15" customHeight="1" x14ac:dyDescent="0.2">
      <c r="B5597" s="39">
        <f t="shared" si="42"/>
      </c>
      <c r="C5597" s="40">
        <f>IF(Inputs!$C$60,Inputs!$C$11+(B5597-Inputs!$C$69)/Inputs!$C$70,"")</f>
      </c>
      <c r="D5597" s="15"/>
      <c r="E5597" s="15"/>
      <c r="F5597" s="11">
        <f t="shared" si="43"/>
      </c>
      <c r="G5597" s="22" cm="1">
        <f t="array" ref="G5597">IF(AND(Inputs!$C$60,Inputs!$C$61),INDEX(Utility_Rates!$C$29:$F$52,HOUR(C5597)+Inputs!$C$69,MATCH(INDEX(Utility_Rates!$K$6:$K$17,MONTH(C5597))&amp;IF(WEEKDAY(C5597,Inputs!$C$76)&lt;=Inputs!$C$74," weekday"," weekend"),Utility_Rates!$C$28:$F$28,Inputs!$C$68)),"")</f>
      </c>
      <c r="H5597" s="34"/>
      <c r="I5597" s="42">
        <f>IF(AND(ISNUMBER(D5597),ISNUMBER(H5597)),D5597*H5597*Inputs!$C$69,"")</f>
      </c>
      <c r="J5597" s="42">
        <f>IF(AND(ISNUMBER(F5597),ISNUMBER(H5597),F5597&gt;=Inputs!$C$68),F5597*H5597*Inputs!$C$69,"")</f>
      </c>
    </row>
    <row r="5598" spans="2:10" ht="15" customHeight="1" x14ac:dyDescent="0.2">
      <c r="B5598" s="39">
        <f t="shared" si="42"/>
      </c>
      <c r="C5598" s="40">
        <f>IF(Inputs!$C$60,Inputs!$C$11+(B5598-Inputs!$C$69)/Inputs!$C$70,"")</f>
      </c>
      <c r="D5598" s="15"/>
      <c r="E5598" s="15"/>
      <c r="F5598" s="11">
        <f t="shared" si="43"/>
      </c>
      <c r="G5598" s="22" cm="1">
        <f t="array" ref="G5598">IF(AND(Inputs!$C$60,Inputs!$C$61),INDEX(Utility_Rates!$C$29:$F$52,HOUR(C5598)+Inputs!$C$69,MATCH(INDEX(Utility_Rates!$K$6:$K$17,MONTH(C5598))&amp;IF(WEEKDAY(C5598,Inputs!$C$76)&lt;=Inputs!$C$74," weekday"," weekend"),Utility_Rates!$C$28:$F$28,Inputs!$C$68)),"")</f>
      </c>
      <c r="H5598" s="34"/>
      <c r="I5598" s="42">
        <f>IF(AND(ISNUMBER(D5598),ISNUMBER(H5598)),D5598*H5598*Inputs!$C$69,"")</f>
      </c>
      <c r="J5598" s="42">
        <f>IF(AND(ISNUMBER(F5598),ISNUMBER(H5598),F5598&gt;=Inputs!$C$68),F5598*H5598*Inputs!$C$69,"")</f>
      </c>
    </row>
    <row r="5599" spans="2:10" ht="15" customHeight="1" x14ac:dyDescent="0.2">
      <c r="B5599" s="39">
        <f t="shared" si="42"/>
      </c>
      <c r="C5599" s="40">
        <f>IF(Inputs!$C$60,Inputs!$C$11+(B5599-Inputs!$C$69)/Inputs!$C$70,"")</f>
      </c>
      <c r="D5599" s="15"/>
      <c r="E5599" s="15"/>
      <c r="F5599" s="11">
        <f t="shared" si="43"/>
      </c>
      <c r="G5599" s="22" cm="1">
        <f t="array" ref="G5599">IF(AND(Inputs!$C$60,Inputs!$C$61),INDEX(Utility_Rates!$C$29:$F$52,HOUR(C5599)+Inputs!$C$69,MATCH(INDEX(Utility_Rates!$K$6:$K$17,MONTH(C5599))&amp;IF(WEEKDAY(C5599,Inputs!$C$76)&lt;=Inputs!$C$74," weekday"," weekend"),Utility_Rates!$C$28:$F$28,Inputs!$C$68)),"")</f>
      </c>
      <c r="H5599" s="34"/>
      <c r="I5599" s="42">
        <f>IF(AND(ISNUMBER(D5599),ISNUMBER(H5599)),D5599*H5599*Inputs!$C$69,"")</f>
      </c>
      <c r="J5599" s="42">
        <f>IF(AND(ISNUMBER(F5599),ISNUMBER(H5599),F5599&gt;=Inputs!$C$68),F5599*H5599*Inputs!$C$69,"")</f>
      </c>
    </row>
    <row r="5600" spans="2:10" ht="15" customHeight="1" x14ac:dyDescent="0.2">
      <c r="B5600" s="39">
        <f t="shared" si="42"/>
      </c>
      <c r="C5600" s="40">
        <f>IF(Inputs!$C$60,Inputs!$C$11+(B5600-Inputs!$C$69)/Inputs!$C$70,"")</f>
      </c>
      <c r="D5600" s="15"/>
      <c r="E5600" s="15"/>
      <c r="F5600" s="11">
        <f t="shared" si="43"/>
      </c>
      <c r="G5600" s="22" cm="1">
        <f t="array" ref="G5600">IF(AND(Inputs!$C$60,Inputs!$C$61),INDEX(Utility_Rates!$C$29:$F$52,HOUR(C5600)+Inputs!$C$69,MATCH(INDEX(Utility_Rates!$K$6:$K$17,MONTH(C5600))&amp;IF(WEEKDAY(C5600,Inputs!$C$76)&lt;=Inputs!$C$74," weekday"," weekend"),Utility_Rates!$C$28:$F$28,Inputs!$C$68)),"")</f>
      </c>
      <c r="H5600" s="34"/>
      <c r="I5600" s="42">
        <f>IF(AND(ISNUMBER(D5600),ISNUMBER(H5600)),D5600*H5600*Inputs!$C$69,"")</f>
      </c>
      <c r="J5600" s="42">
        <f>IF(AND(ISNUMBER(F5600),ISNUMBER(H5600),F5600&gt;=Inputs!$C$68),F5600*H5600*Inputs!$C$69,"")</f>
      </c>
    </row>
    <row r="5601" spans="2:10" ht="15" customHeight="1" x14ac:dyDescent="0.2">
      <c r="B5601" s="39">
        <f t="shared" si="42"/>
      </c>
      <c r="C5601" s="40">
        <f>IF(Inputs!$C$60,Inputs!$C$11+(B5601-Inputs!$C$69)/Inputs!$C$70,"")</f>
      </c>
      <c r="D5601" s="15"/>
      <c r="E5601" s="15"/>
      <c r="F5601" s="11">
        <f t="shared" si="43"/>
      </c>
      <c r="G5601" s="22" cm="1">
        <f t="array" ref="G5601">IF(AND(Inputs!$C$60,Inputs!$C$61),INDEX(Utility_Rates!$C$29:$F$52,HOUR(C5601)+Inputs!$C$69,MATCH(INDEX(Utility_Rates!$K$6:$K$17,MONTH(C5601))&amp;IF(WEEKDAY(C5601,Inputs!$C$76)&lt;=Inputs!$C$74," weekday"," weekend"),Utility_Rates!$C$28:$F$28,Inputs!$C$68)),"")</f>
      </c>
      <c r="H5601" s="34"/>
      <c r="I5601" s="42">
        <f>IF(AND(ISNUMBER(D5601),ISNUMBER(H5601)),D5601*H5601*Inputs!$C$69,"")</f>
      </c>
      <c r="J5601" s="42">
        <f>IF(AND(ISNUMBER(F5601),ISNUMBER(H5601),F5601&gt;=Inputs!$C$68),F5601*H5601*Inputs!$C$69,"")</f>
      </c>
    </row>
    <row r="5602" spans="2:10" ht="15" customHeight="1" x14ac:dyDescent="0.2">
      <c r="B5602" s="39">
        <f t="shared" si="42"/>
      </c>
      <c r="C5602" s="40">
        <f>IF(Inputs!$C$60,Inputs!$C$11+(B5602-Inputs!$C$69)/Inputs!$C$70,"")</f>
      </c>
      <c r="D5602" s="15"/>
      <c r="E5602" s="15"/>
      <c r="F5602" s="11">
        <f t="shared" si="43"/>
      </c>
      <c r="G5602" s="22" cm="1">
        <f t="array" ref="G5602">IF(AND(Inputs!$C$60,Inputs!$C$61),INDEX(Utility_Rates!$C$29:$F$52,HOUR(C5602)+Inputs!$C$69,MATCH(INDEX(Utility_Rates!$K$6:$K$17,MONTH(C5602))&amp;IF(WEEKDAY(C5602,Inputs!$C$76)&lt;=Inputs!$C$74," weekday"," weekend"),Utility_Rates!$C$28:$F$28,Inputs!$C$68)),"")</f>
      </c>
      <c r="H5602" s="34"/>
      <c r="I5602" s="42">
        <f>IF(AND(ISNUMBER(D5602),ISNUMBER(H5602)),D5602*H5602*Inputs!$C$69,"")</f>
      </c>
      <c r="J5602" s="42">
        <f>IF(AND(ISNUMBER(F5602),ISNUMBER(H5602),F5602&gt;=Inputs!$C$68),F5602*H5602*Inputs!$C$69,"")</f>
      </c>
    </row>
    <row r="5603" spans="2:10" ht="15" customHeight="1" x14ac:dyDescent="0.2">
      <c r="B5603" s="39">
        <f t="shared" si="42"/>
      </c>
      <c r="C5603" s="40">
        <f>IF(Inputs!$C$60,Inputs!$C$11+(B5603-Inputs!$C$69)/Inputs!$C$70,"")</f>
      </c>
      <c r="D5603" s="15"/>
      <c r="E5603" s="15"/>
      <c r="F5603" s="11">
        <f t="shared" si="43"/>
      </c>
      <c r="G5603" s="22" cm="1">
        <f t="array" ref="G5603">IF(AND(Inputs!$C$60,Inputs!$C$61),INDEX(Utility_Rates!$C$29:$F$52,HOUR(C5603)+Inputs!$C$69,MATCH(INDEX(Utility_Rates!$K$6:$K$17,MONTH(C5603))&amp;IF(WEEKDAY(C5603,Inputs!$C$76)&lt;=Inputs!$C$74," weekday"," weekend"),Utility_Rates!$C$28:$F$28,Inputs!$C$68)),"")</f>
      </c>
      <c r="H5603" s="34"/>
      <c r="I5603" s="42">
        <f>IF(AND(ISNUMBER(D5603),ISNUMBER(H5603)),D5603*H5603*Inputs!$C$69,"")</f>
      </c>
      <c r="J5603" s="42">
        <f>IF(AND(ISNUMBER(F5603),ISNUMBER(H5603),F5603&gt;=Inputs!$C$68),F5603*H5603*Inputs!$C$69,"")</f>
      </c>
    </row>
    <row r="5604" spans="2:10" ht="15" customHeight="1" x14ac:dyDescent="0.2">
      <c r="B5604" s="39">
        <f t="shared" si="42"/>
      </c>
      <c r="C5604" s="40">
        <f>IF(Inputs!$C$60,Inputs!$C$11+(B5604-Inputs!$C$69)/Inputs!$C$70,"")</f>
      </c>
      <c r="D5604" s="15"/>
      <c r="E5604" s="15"/>
      <c r="F5604" s="11">
        <f t="shared" si="43"/>
      </c>
      <c r="G5604" s="22" cm="1">
        <f t="array" ref="G5604">IF(AND(Inputs!$C$60,Inputs!$C$61),INDEX(Utility_Rates!$C$29:$F$52,HOUR(C5604)+Inputs!$C$69,MATCH(INDEX(Utility_Rates!$K$6:$K$17,MONTH(C5604))&amp;IF(WEEKDAY(C5604,Inputs!$C$76)&lt;=Inputs!$C$74," weekday"," weekend"),Utility_Rates!$C$28:$F$28,Inputs!$C$68)),"")</f>
      </c>
      <c r="H5604" s="34"/>
      <c r="I5604" s="42">
        <f>IF(AND(ISNUMBER(D5604),ISNUMBER(H5604)),D5604*H5604*Inputs!$C$69,"")</f>
      </c>
      <c r="J5604" s="42">
        <f>IF(AND(ISNUMBER(F5604),ISNUMBER(H5604),F5604&gt;=Inputs!$C$68),F5604*H5604*Inputs!$C$69,"")</f>
      </c>
    </row>
    <row r="5605" spans="2:10" ht="15" customHeight="1" x14ac:dyDescent="0.2">
      <c r="B5605" s="39">
        <f t="shared" si="42"/>
      </c>
      <c r="C5605" s="40">
        <f>IF(Inputs!$C$60,Inputs!$C$11+(B5605-Inputs!$C$69)/Inputs!$C$70,"")</f>
      </c>
      <c r="D5605" s="15"/>
      <c r="E5605" s="15"/>
      <c r="F5605" s="11">
        <f t="shared" si="43"/>
      </c>
      <c r="G5605" s="22" cm="1">
        <f t="array" ref="G5605">IF(AND(Inputs!$C$60,Inputs!$C$61),INDEX(Utility_Rates!$C$29:$F$52,HOUR(C5605)+Inputs!$C$69,MATCH(INDEX(Utility_Rates!$K$6:$K$17,MONTH(C5605))&amp;IF(WEEKDAY(C5605,Inputs!$C$76)&lt;=Inputs!$C$74," weekday"," weekend"),Utility_Rates!$C$28:$F$28,Inputs!$C$68)),"")</f>
      </c>
      <c r="H5605" s="34"/>
      <c r="I5605" s="42">
        <f>IF(AND(ISNUMBER(D5605),ISNUMBER(H5605)),D5605*H5605*Inputs!$C$69,"")</f>
      </c>
      <c r="J5605" s="42">
        <f>IF(AND(ISNUMBER(F5605),ISNUMBER(H5605),F5605&gt;=Inputs!$C$68),F5605*H5605*Inputs!$C$69,"")</f>
      </c>
    </row>
    <row r="5606" spans="2:10" ht="15" customHeight="1" x14ac:dyDescent="0.2">
      <c r="B5606" s="39">
        <f t="shared" si="42"/>
      </c>
      <c r="C5606" s="40">
        <f>IF(Inputs!$C$60,Inputs!$C$11+(B5606-Inputs!$C$69)/Inputs!$C$70,"")</f>
      </c>
      <c r="D5606" s="15"/>
      <c r="E5606" s="15"/>
      <c r="F5606" s="11">
        <f t="shared" si="43"/>
      </c>
      <c r="G5606" s="22" cm="1">
        <f t="array" ref="G5606">IF(AND(Inputs!$C$60,Inputs!$C$61),INDEX(Utility_Rates!$C$29:$F$52,HOUR(C5606)+Inputs!$C$69,MATCH(INDEX(Utility_Rates!$K$6:$K$17,MONTH(C5606))&amp;IF(WEEKDAY(C5606,Inputs!$C$76)&lt;=Inputs!$C$74," weekday"," weekend"),Utility_Rates!$C$28:$F$28,Inputs!$C$68)),"")</f>
      </c>
      <c r="H5606" s="34"/>
      <c r="I5606" s="42">
        <f>IF(AND(ISNUMBER(D5606),ISNUMBER(H5606)),D5606*H5606*Inputs!$C$69,"")</f>
      </c>
      <c r="J5606" s="42">
        <f>IF(AND(ISNUMBER(F5606),ISNUMBER(H5606),F5606&gt;=Inputs!$C$68),F5606*H5606*Inputs!$C$69,"")</f>
      </c>
    </row>
    <row r="5607" spans="2:10" ht="15" customHeight="1" x14ac:dyDescent="0.2">
      <c r="B5607" s="39">
        <f t="shared" si="42"/>
      </c>
      <c r="C5607" s="40">
        <f>IF(Inputs!$C$60,Inputs!$C$11+(B5607-Inputs!$C$69)/Inputs!$C$70,"")</f>
      </c>
      <c r="D5607" s="15"/>
      <c r="E5607" s="15"/>
      <c r="F5607" s="11">
        <f t="shared" si="43"/>
      </c>
      <c r="G5607" s="22" cm="1">
        <f t="array" ref="G5607">IF(AND(Inputs!$C$60,Inputs!$C$61),INDEX(Utility_Rates!$C$29:$F$52,HOUR(C5607)+Inputs!$C$69,MATCH(INDEX(Utility_Rates!$K$6:$K$17,MONTH(C5607))&amp;IF(WEEKDAY(C5607,Inputs!$C$76)&lt;=Inputs!$C$74," weekday"," weekend"),Utility_Rates!$C$28:$F$28,Inputs!$C$68)),"")</f>
      </c>
      <c r="H5607" s="34"/>
      <c r="I5607" s="42">
        <f>IF(AND(ISNUMBER(D5607),ISNUMBER(H5607)),D5607*H5607*Inputs!$C$69,"")</f>
      </c>
      <c r="J5607" s="42">
        <f>IF(AND(ISNUMBER(F5607),ISNUMBER(H5607),F5607&gt;=Inputs!$C$68),F5607*H5607*Inputs!$C$69,"")</f>
      </c>
    </row>
    <row r="5608" spans="2:10" ht="15" customHeight="1" x14ac:dyDescent="0.2">
      <c r="B5608" s="39">
        <f t="shared" si="42"/>
      </c>
      <c r="C5608" s="40">
        <f>IF(Inputs!$C$60,Inputs!$C$11+(B5608-Inputs!$C$69)/Inputs!$C$70,"")</f>
      </c>
      <c r="D5608" s="15"/>
      <c r="E5608" s="15"/>
      <c r="F5608" s="11">
        <f t="shared" si="43"/>
      </c>
      <c r="G5608" s="22" cm="1">
        <f t="array" ref="G5608">IF(AND(Inputs!$C$60,Inputs!$C$61),INDEX(Utility_Rates!$C$29:$F$52,HOUR(C5608)+Inputs!$C$69,MATCH(INDEX(Utility_Rates!$K$6:$K$17,MONTH(C5608))&amp;IF(WEEKDAY(C5608,Inputs!$C$76)&lt;=Inputs!$C$74," weekday"," weekend"),Utility_Rates!$C$28:$F$28,Inputs!$C$68)),"")</f>
      </c>
      <c r="H5608" s="34"/>
      <c r="I5608" s="42">
        <f>IF(AND(ISNUMBER(D5608),ISNUMBER(H5608)),D5608*H5608*Inputs!$C$69,"")</f>
      </c>
      <c r="J5608" s="42">
        <f>IF(AND(ISNUMBER(F5608),ISNUMBER(H5608),F5608&gt;=Inputs!$C$68),F5608*H5608*Inputs!$C$69,"")</f>
      </c>
    </row>
    <row r="5609" spans="2:10" ht="15" customHeight="1" x14ac:dyDescent="0.2">
      <c r="B5609" s="39">
        <f t="shared" si="42"/>
      </c>
      <c r="C5609" s="40">
        <f>IF(Inputs!$C$60,Inputs!$C$11+(B5609-Inputs!$C$69)/Inputs!$C$70,"")</f>
      </c>
      <c r="D5609" s="15"/>
      <c r="E5609" s="15"/>
      <c r="F5609" s="11">
        <f t="shared" si="43"/>
      </c>
      <c r="G5609" s="22" cm="1">
        <f t="array" ref="G5609">IF(AND(Inputs!$C$60,Inputs!$C$61),INDEX(Utility_Rates!$C$29:$F$52,HOUR(C5609)+Inputs!$C$69,MATCH(INDEX(Utility_Rates!$K$6:$K$17,MONTH(C5609))&amp;IF(WEEKDAY(C5609,Inputs!$C$76)&lt;=Inputs!$C$74," weekday"," weekend"),Utility_Rates!$C$28:$F$28,Inputs!$C$68)),"")</f>
      </c>
      <c r="H5609" s="34"/>
      <c r="I5609" s="42">
        <f>IF(AND(ISNUMBER(D5609),ISNUMBER(H5609)),D5609*H5609*Inputs!$C$69,"")</f>
      </c>
      <c r="J5609" s="42">
        <f>IF(AND(ISNUMBER(F5609),ISNUMBER(H5609),F5609&gt;=Inputs!$C$68),F5609*H5609*Inputs!$C$69,"")</f>
      </c>
    </row>
    <row r="5610" spans="2:10" ht="15" customHeight="1" x14ac:dyDescent="0.2">
      <c r="B5610" s="39">
        <f t="shared" si="42"/>
      </c>
      <c r="C5610" s="40">
        <f>IF(Inputs!$C$60,Inputs!$C$11+(B5610-Inputs!$C$69)/Inputs!$C$70,"")</f>
      </c>
      <c r="D5610" s="15"/>
      <c r="E5610" s="15"/>
      <c r="F5610" s="11">
        <f t="shared" si="43"/>
      </c>
      <c r="G5610" s="22" cm="1">
        <f t="array" ref="G5610">IF(AND(Inputs!$C$60,Inputs!$C$61),INDEX(Utility_Rates!$C$29:$F$52,HOUR(C5610)+Inputs!$C$69,MATCH(INDEX(Utility_Rates!$K$6:$K$17,MONTH(C5610))&amp;IF(WEEKDAY(C5610,Inputs!$C$76)&lt;=Inputs!$C$74," weekday"," weekend"),Utility_Rates!$C$28:$F$28,Inputs!$C$68)),"")</f>
      </c>
      <c r="H5610" s="34"/>
      <c r="I5610" s="42">
        <f>IF(AND(ISNUMBER(D5610),ISNUMBER(H5610)),D5610*H5610*Inputs!$C$69,"")</f>
      </c>
      <c r="J5610" s="42">
        <f>IF(AND(ISNUMBER(F5610),ISNUMBER(H5610),F5610&gt;=Inputs!$C$68),F5610*H5610*Inputs!$C$69,"")</f>
      </c>
    </row>
    <row r="5611" spans="2:10" ht="15" customHeight="1" x14ac:dyDescent="0.2">
      <c r="B5611" s="39">
        <f t="shared" si="42"/>
      </c>
      <c r="C5611" s="40">
        <f>IF(Inputs!$C$60,Inputs!$C$11+(B5611-Inputs!$C$69)/Inputs!$C$70,"")</f>
      </c>
      <c r="D5611" s="15"/>
      <c r="E5611" s="15"/>
      <c r="F5611" s="11">
        <f t="shared" si="43"/>
      </c>
      <c r="G5611" s="22" cm="1">
        <f t="array" ref="G5611">IF(AND(Inputs!$C$60,Inputs!$C$61),INDEX(Utility_Rates!$C$29:$F$52,HOUR(C5611)+Inputs!$C$69,MATCH(INDEX(Utility_Rates!$K$6:$K$17,MONTH(C5611))&amp;IF(WEEKDAY(C5611,Inputs!$C$76)&lt;=Inputs!$C$74," weekday"," weekend"),Utility_Rates!$C$28:$F$28,Inputs!$C$68)),"")</f>
      </c>
      <c r="H5611" s="34"/>
      <c r="I5611" s="42">
        <f>IF(AND(ISNUMBER(D5611),ISNUMBER(H5611)),D5611*H5611*Inputs!$C$69,"")</f>
      </c>
      <c r="J5611" s="42">
        <f>IF(AND(ISNUMBER(F5611),ISNUMBER(H5611),F5611&gt;=Inputs!$C$68),F5611*H5611*Inputs!$C$69,"")</f>
      </c>
    </row>
    <row r="5612" spans="2:10" ht="15" customHeight="1" x14ac:dyDescent="0.2">
      <c r="B5612" s="39">
        <f t="shared" si="42"/>
      </c>
      <c r="C5612" s="40">
        <f>IF(Inputs!$C$60,Inputs!$C$11+(B5612-Inputs!$C$69)/Inputs!$C$70,"")</f>
      </c>
      <c r="D5612" s="15"/>
      <c r="E5612" s="15"/>
      <c r="F5612" s="11">
        <f t="shared" si="43"/>
      </c>
      <c r="G5612" s="22" cm="1">
        <f t="array" ref="G5612">IF(AND(Inputs!$C$60,Inputs!$C$61),INDEX(Utility_Rates!$C$29:$F$52,HOUR(C5612)+Inputs!$C$69,MATCH(INDEX(Utility_Rates!$K$6:$K$17,MONTH(C5612))&amp;IF(WEEKDAY(C5612,Inputs!$C$76)&lt;=Inputs!$C$74," weekday"," weekend"),Utility_Rates!$C$28:$F$28,Inputs!$C$68)),"")</f>
      </c>
      <c r="H5612" s="34"/>
      <c r="I5612" s="42">
        <f>IF(AND(ISNUMBER(D5612),ISNUMBER(H5612)),D5612*H5612*Inputs!$C$69,"")</f>
      </c>
      <c r="J5612" s="42">
        <f>IF(AND(ISNUMBER(F5612),ISNUMBER(H5612),F5612&gt;=Inputs!$C$68),F5612*H5612*Inputs!$C$69,"")</f>
      </c>
    </row>
    <row r="5613" spans="2:10" ht="15" customHeight="1" x14ac:dyDescent="0.2">
      <c r="B5613" s="39">
        <f t="shared" si="42"/>
      </c>
      <c r="C5613" s="40">
        <f>IF(Inputs!$C$60,Inputs!$C$11+(B5613-Inputs!$C$69)/Inputs!$C$70,"")</f>
      </c>
      <c r="D5613" s="15"/>
      <c r="E5613" s="15"/>
      <c r="F5613" s="11">
        <f t="shared" si="43"/>
      </c>
      <c r="G5613" s="22" cm="1">
        <f t="array" ref="G5613">IF(AND(Inputs!$C$60,Inputs!$C$61),INDEX(Utility_Rates!$C$29:$F$52,HOUR(C5613)+Inputs!$C$69,MATCH(INDEX(Utility_Rates!$K$6:$K$17,MONTH(C5613))&amp;IF(WEEKDAY(C5613,Inputs!$C$76)&lt;=Inputs!$C$74," weekday"," weekend"),Utility_Rates!$C$28:$F$28,Inputs!$C$68)),"")</f>
      </c>
      <c r="H5613" s="34"/>
      <c r="I5613" s="42">
        <f>IF(AND(ISNUMBER(D5613),ISNUMBER(H5613)),D5613*H5613*Inputs!$C$69,"")</f>
      </c>
      <c r="J5613" s="42">
        <f>IF(AND(ISNUMBER(F5613),ISNUMBER(H5613),F5613&gt;=Inputs!$C$68),F5613*H5613*Inputs!$C$69,"")</f>
      </c>
    </row>
    <row r="5614" spans="2:10" ht="15" customHeight="1" x14ac:dyDescent="0.2">
      <c r="B5614" s="39">
        <f t="shared" si="42"/>
      </c>
      <c r="C5614" s="40">
        <f>IF(Inputs!$C$60,Inputs!$C$11+(B5614-Inputs!$C$69)/Inputs!$C$70,"")</f>
      </c>
      <c r="D5614" s="15"/>
      <c r="E5614" s="15"/>
      <c r="F5614" s="11">
        <f t="shared" si="43"/>
      </c>
      <c r="G5614" s="22" cm="1">
        <f t="array" ref="G5614">IF(AND(Inputs!$C$60,Inputs!$C$61),INDEX(Utility_Rates!$C$29:$F$52,HOUR(C5614)+Inputs!$C$69,MATCH(INDEX(Utility_Rates!$K$6:$K$17,MONTH(C5614))&amp;IF(WEEKDAY(C5614,Inputs!$C$76)&lt;=Inputs!$C$74," weekday"," weekend"),Utility_Rates!$C$28:$F$28,Inputs!$C$68)),"")</f>
      </c>
      <c r="H5614" s="34"/>
      <c r="I5614" s="42">
        <f>IF(AND(ISNUMBER(D5614),ISNUMBER(H5614)),D5614*H5614*Inputs!$C$69,"")</f>
      </c>
      <c r="J5614" s="42">
        <f>IF(AND(ISNUMBER(F5614),ISNUMBER(H5614),F5614&gt;=Inputs!$C$68),F5614*H5614*Inputs!$C$69,"")</f>
      </c>
    </row>
    <row r="5615" spans="2:10" ht="15" customHeight="1" x14ac:dyDescent="0.2">
      <c r="B5615" s="39">
        <f t="shared" si="42"/>
      </c>
      <c r="C5615" s="40">
        <f>IF(Inputs!$C$60,Inputs!$C$11+(B5615-Inputs!$C$69)/Inputs!$C$70,"")</f>
      </c>
      <c r="D5615" s="15"/>
      <c r="E5615" s="15"/>
      <c r="F5615" s="11">
        <f t="shared" si="43"/>
      </c>
      <c r="G5615" s="22" cm="1">
        <f t="array" ref="G5615">IF(AND(Inputs!$C$60,Inputs!$C$61),INDEX(Utility_Rates!$C$29:$F$52,HOUR(C5615)+Inputs!$C$69,MATCH(INDEX(Utility_Rates!$K$6:$K$17,MONTH(C5615))&amp;IF(WEEKDAY(C5615,Inputs!$C$76)&lt;=Inputs!$C$74," weekday"," weekend"),Utility_Rates!$C$28:$F$28,Inputs!$C$68)),"")</f>
      </c>
      <c r="H5615" s="34"/>
      <c r="I5615" s="42">
        <f>IF(AND(ISNUMBER(D5615),ISNUMBER(H5615)),D5615*H5615*Inputs!$C$69,"")</f>
      </c>
      <c r="J5615" s="42">
        <f>IF(AND(ISNUMBER(F5615),ISNUMBER(H5615),F5615&gt;=Inputs!$C$68),F5615*H5615*Inputs!$C$69,"")</f>
      </c>
    </row>
    <row r="5616" spans="2:10" ht="15" customHeight="1" x14ac:dyDescent="0.2">
      <c r="B5616" s="39">
        <f t="shared" ref="B5616:B5870" si="44">ROW()-ROW($B$5)</f>
      </c>
      <c r="C5616" s="40">
        <f>IF(Inputs!$C$60,Inputs!$C$11+(B5616-Inputs!$C$69)/Inputs!$C$70,"")</f>
      </c>
      <c r="D5616" s="15"/>
      <c r="E5616" s="15"/>
      <c r="F5616" s="11">
        <f t="shared" ref="F5616:F5870" si="45">IF(COUNT(D5616:E5616)=COLUMNS(D5616:E5616),D5616-E5616,"")</f>
      </c>
      <c r="G5616" s="22" cm="1">
        <f t="array" ref="G5616">IF(AND(Inputs!$C$60,Inputs!$C$61),INDEX(Utility_Rates!$C$29:$F$52,HOUR(C5616)+Inputs!$C$69,MATCH(INDEX(Utility_Rates!$K$6:$K$17,MONTH(C5616))&amp;IF(WEEKDAY(C5616,Inputs!$C$76)&lt;=Inputs!$C$74," weekday"," weekend"),Utility_Rates!$C$28:$F$28,Inputs!$C$68)),"")</f>
      </c>
      <c r="H5616" s="34"/>
      <c r="I5616" s="42">
        <f>IF(AND(ISNUMBER(D5616),ISNUMBER(H5616)),D5616*H5616*Inputs!$C$69,"")</f>
      </c>
      <c r="J5616" s="42">
        <f>IF(AND(ISNUMBER(F5616),ISNUMBER(H5616),F5616&gt;=Inputs!$C$68),F5616*H5616*Inputs!$C$69,"")</f>
      </c>
    </row>
    <row r="5617" spans="2:10" ht="15" customHeight="1" x14ac:dyDescent="0.2">
      <c r="B5617" s="39">
        <f t="shared" si="44"/>
      </c>
      <c r="C5617" s="40">
        <f>IF(Inputs!$C$60,Inputs!$C$11+(B5617-Inputs!$C$69)/Inputs!$C$70,"")</f>
      </c>
      <c r="D5617" s="15"/>
      <c r="E5617" s="15"/>
      <c r="F5617" s="11">
        <f t="shared" si="45"/>
      </c>
      <c r="G5617" s="22" cm="1">
        <f t="array" ref="G5617">IF(AND(Inputs!$C$60,Inputs!$C$61),INDEX(Utility_Rates!$C$29:$F$52,HOUR(C5617)+Inputs!$C$69,MATCH(INDEX(Utility_Rates!$K$6:$K$17,MONTH(C5617))&amp;IF(WEEKDAY(C5617,Inputs!$C$76)&lt;=Inputs!$C$74," weekday"," weekend"),Utility_Rates!$C$28:$F$28,Inputs!$C$68)),"")</f>
      </c>
      <c r="H5617" s="34"/>
      <c r="I5617" s="42">
        <f>IF(AND(ISNUMBER(D5617),ISNUMBER(H5617)),D5617*H5617*Inputs!$C$69,"")</f>
      </c>
      <c r="J5617" s="42">
        <f>IF(AND(ISNUMBER(F5617),ISNUMBER(H5617),F5617&gt;=Inputs!$C$68),F5617*H5617*Inputs!$C$69,"")</f>
      </c>
    </row>
    <row r="5618" spans="2:10" ht="15" customHeight="1" x14ac:dyDescent="0.2">
      <c r="B5618" s="39">
        <f t="shared" si="44"/>
      </c>
      <c r="C5618" s="40">
        <f>IF(Inputs!$C$60,Inputs!$C$11+(B5618-Inputs!$C$69)/Inputs!$C$70,"")</f>
      </c>
      <c r="D5618" s="15"/>
      <c r="E5618" s="15"/>
      <c r="F5618" s="11">
        <f t="shared" si="45"/>
      </c>
      <c r="G5618" s="22" cm="1">
        <f t="array" ref="G5618">IF(AND(Inputs!$C$60,Inputs!$C$61),INDEX(Utility_Rates!$C$29:$F$52,HOUR(C5618)+Inputs!$C$69,MATCH(INDEX(Utility_Rates!$K$6:$K$17,MONTH(C5618))&amp;IF(WEEKDAY(C5618,Inputs!$C$76)&lt;=Inputs!$C$74," weekday"," weekend"),Utility_Rates!$C$28:$F$28,Inputs!$C$68)),"")</f>
      </c>
      <c r="H5618" s="34"/>
      <c r="I5618" s="42">
        <f>IF(AND(ISNUMBER(D5618),ISNUMBER(H5618)),D5618*H5618*Inputs!$C$69,"")</f>
      </c>
      <c r="J5618" s="42">
        <f>IF(AND(ISNUMBER(F5618),ISNUMBER(H5618),F5618&gt;=Inputs!$C$68),F5618*H5618*Inputs!$C$69,"")</f>
      </c>
    </row>
    <row r="5619" spans="2:10" ht="15" customHeight="1" x14ac:dyDescent="0.2">
      <c r="B5619" s="39">
        <f t="shared" si="44"/>
      </c>
      <c r="C5619" s="40">
        <f>IF(Inputs!$C$60,Inputs!$C$11+(B5619-Inputs!$C$69)/Inputs!$C$70,"")</f>
      </c>
      <c r="D5619" s="15"/>
      <c r="E5619" s="15"/>
      <c r="F5619" s="11">
        <f t="shared" si="45"/>
      </c>
      <c r="G5619" s="22" cm="1">
        <f t="array" ref="G5619">IF(AND(Inputs!$C$60,Inputs!$C$61),INDEX(Utility_Rates!$C$29:$F$52,HOUR(C5619)+Inputs!$C$69,MATCH(INDEX(Utility_Rates!$K$6:$K$17,MONTH(C5619))&amp;IF(WEEKDAY(C5619,Inputs!$C$76)&lt;=Inputs!$C$74," weekday"," weekend"),Utility_Rates!$C$28:$F$28,Inputs!$C$68)),"")</f>
      </c>
      <c r="H5619" s="34"/>
      <c r="I5619" s="42">
        <f>IF(AND(ISNUMBER(D5619),ISNUMBER(H5619)),D5619*H5619*Inputs!$C$69,"")</f>
      </c>
      <c r="J5619" s="42">
        <f>IF(AND(ISNUMBER(F5619),ISNUMBER(H5619),F5619&gt;=Inputs!$C$68),F5619*H5619*Inputs!$C$69,"")</f>
      </c>
    </row>
    <row r="5620" spans="2:10" ht="15" customHeight="1" x14ac:dyDescent="0.2">
      <c r="B5620" s="39">
        <f t="shared" si="44"/>
      </c>
      <c r="C5620" s="40">
        <f>IF(Inputs!$C$60,Inputs!$C$11+(B5620-Inputs!$C$69)/Inputs!$C$70,"")</f>
      </c>
      <c r="D5620" s="15"/>
      <c r="E5620" s="15"/>
      <c r="F5620" s="11">
        <f t="shared" si="45"/>
      </c>
      <c r="G5620" s="22" cm="1">
        <f t="array" ref="G5620">IF(AND(Inputs!$C$60,Inputs!$C$61),INDEX(Utility_Rates!$C$29:$F$52,HOUR(C5620)+Inputs!$C$69,MATCH(INDEX(Utility_Rates!$K$6:$K$17,MONTH(C5620))&amp;IF(WEEKDAY(C5620,Inputs!$C$76)&lt;=Inputs!$C$74," weekday"," weekend"),Utility_Rates!$C$28:$F$28,Inputs!$C$68)),"")</f>
      </c>
      <c r="H5620" s="34"/>
      <c r="I5620" s="42">
        <f>IF(AND(ISNUMBER(D5620),ISNUMBER(H5620)),D5620*H5620*Inputs!$C$69,"")</f>
      </c>
      <c r="J5620" s="42">
        <f>IF(AND(ISNUMBER(F5620),ISNUMBER(H5620),F5620&gt;=Inputs!$C$68),F5620*H5620*Inputs!$C$69,"")</f>
      </c>
    </row>
    <row r="5621" spans="2:10" ht="15" customHeight="1" x14ac:dyDescent="0.2">
      <c r="B5621" s="39">
        <f t="shared" si="44"/>
      </c>
      <c r="C5621" s="40">
        <f>IF(Inputs!$C$60,Inputs!$C$11+(B5621-Inputs!$C$69)/Inputs!$C$70,"")</f>
      </c>
      <c r="D5621" s="15"/>
      <c r="E5621" s="15"/>
      <c r="F5621" s="11">
        <f t="shared" si="45"/>
      </c>
      <c r="G5621" s="22" cm="1">
        <f t="array" ref="G5621">IF(AND(Inputs!$C$60,Inputs!$C$61),INDEX(Utility_Rates!$C$29:$F$52,HOUR(C5621)+Inputs!$C$69,MATCH(INDEX(Utility_Rates!$K$6:$K$17,MONTH(C5621))&amp;IF(WEEKDAY(C5621,Inputs!$C$76)&lt;=Inputs!$C$74," weekday"," weekend"),Utility_Rates!$C$28:$F$28,Inputs!$C$68)),"")</f>
      </c>
      <c r="H5621" s="34"/>
      <c r="I5621" s="42">
        <f>IF(AND(ISNUMBER(D5621),ISNUMBER(H5621)),D5621*H5621*Inputs!$C$69,"")</f>
      </c>
      <c r="J5621" s="42">
        <f>IF(AND(ISNUMBER(F5621),ISNUMBER(H5621),F5621&gt;=Inputs!$C$68),F5621*H5621*Inputs!$C$69,"")</f>
      </c>
    </row>
    <row r="5622" spans="2:10" ht="15" customHeight="1" x14ac:dyDescent="0.2">
      <c r="B5622" s="39">
        <f t="shared" si="44"/>
      </c>
      <c r="C5622" s="40">
        <f>IF(Inputs!$C$60,Inputs!$C$11+(B5622-Inputs!$C$69)/Inputs!$C$70,"")</f>
      </c>
      <c r="D5622" s="15"/>
      <c r="E5622" s="15"/>
      <c r="F5622" s="11">
        <f t="shared" si="45"/>
      </c>
      <c r="G5622" s="22" cm="1">
        <f t="array" ref="G5622">IF(AND(Inputs!$C$60,Inputs!$C$61),INDEX(Utility_Rates!$C$29:$F$52,HOUR(C5622)+Inputs!$C$69,MATCH(INDEX(Utility_Rates!$K$6:$K$17,MONTH(C5622))&amp;IF(WEEKDAY(C5622,Inputs!$C$76)&lt;=Inputs!$C$74," weekday"," weekend"),Utility_Rates!$C$28:$F$28,Inputs!$C$68)),"")</f>
      </c>
      <c r="H5622" s="34"/>
      <c r="I5622" s="42">
        <f>IF(AND(ISNUMBER(D5622),ISNUMBER(H5622)),D5622*H5622*Inputs!$C$69,"")</f>
      </c>
      <c r="J5622" s="42">
        <f>IF(AND(ISNUMBER(F5622),ISNUMBER(H5622),F5622&gt;=Inputs!$C$68),F5622*H5622*Inputs!$C$69,"")</f>
      </c>
    </row>
    <row r="5623" spans="2:10" ht="15" customHeight="1" x14ac:dyDescent="0.2">
      <c r="B5623" s="39">
        <f t="shared" si="44"/>
      </c>
      <c r="C5623" s="40">
        <f>IF(Inputs!$C$60,Inputs!$C$11+(B5623-Inputs!$C$69)/Inputs!$C$70,"")</f>
      </c>
      <c r="D5623" s="15"/>
      <c r="E5623" s="15"/>
      <c r="F5623" s="11">
        <f t="shared" si="45"/>
      </c>
      <c r="G5623" s="22" cm="1">
        <f t="array" ref="G5623">IF(AND(Inputs!$C$60,Inputs!$C$61),INDEX(Utility_Rates!$C$29:$F$52,HOUR(C5623)+Inputs!$C$69,MATCH(INDEX(Utility_Rates!$K$6:$K$17,MONTH(C5623))&amp;IF(WEEKDAY(C5623,Inputs!$C$76)&lt;=Inputs!$C$74," weekday"," weekend"),Utility_Rates!$C$28:$F$28,Inputs!$C$68)),"")</f>
      </c>
      <c r="H5623" s="34"/>
      <c r="I5623" s="42">
        <f>IF(AND(ISNUMBER(D5623),ISNUMBER(H5623)),D5623*H5623*Inputs!$C$69,"")</f>
      </c>
      <c r="J5623" s="42">
        <f>IF(AND(ISNUMBER(F5623),ISNUMBER(H5623),F5623&gt;=Inputs!$C$68),F5623*H5623*Inputs!$C$69,"")</f>
      </c>
    </row>
    <row r="5624" spans="2:10" ht="15" customHeight="1" x14ac:dyDescent="0.2">
      <c r="B5624" s="39">
        <f t="shared" si="44"/>
      </c>
      <c r="C5624" s="40">
        <f>IF(Inputs!$C$60,Inputs!$C$11+(B5624-Inputs!$C$69)/Inputs!$C$70,"")</f>
      </c>
      <c r="D5624" s="15"/>
      <c r="E5624" s="15"/>
      <c r="F5624" s="11">
        <f t="shared" si="45"/>
      </c>
      <c r="G5624" s="22" cm="1">
        <f t="array" ref="G5624">IF(AND(Inputs!$C$60,Inputs!$C$61),INDEX(Utility_Rates!$C$29:$F$52,HOUR(C5624)+Inputs!$C$69,MATCH(INDEX(Utility_Rates!$K$6:$K$17,MONTH(C5624))&amp;IF(WEEKDAY(C5624,Inputs!$C$76)&lt;=Inputs!$C$74," weekday"," weekend"),Utility_Rates!$C$28:$F$28,Inputs!$C$68)),"")</f>
      </c>
      <c r="H5624" s="34"/>
      <c r="I5624" s="42">
        <f>IF(AND(ISNUMBER(D5624),ISNUMBER(H5624)),D5624*H5624*Inputs!$C$69,"")</f>
      </c>
      <c r="J5624" s="42">
        <f>IF(AND(ISNUMBER(F5624),ISNUMBER(H5624),F5624&gt;=Inputs!$C$68),F5624*H5624*Inputs!$C$69,"")</f>
      </c>
    </row>
    <row r="5625" spans="2:10" ht="15" customHeight="1" x14ac:dyDescent="0.2">
      <c r="B5625" s="39">
        <f t="shared" si="44"/>
      </c>
      <c r="C5625" s="40">
        <f>IF(Inputs!$C$60,Inputs!$C$11+(B5625-Inputs!$C$69)/Inputs!$C$70,"")</f>
      </c>
      <c r="D5625" s="15"/>
      <c r="E5625" s="15"/>
      <c r="F5625" s="11">
        <f t="shared" si="45"/>
      </c>
      <c r="G5625" s="22" cm="1">
        <f t="array" ref="G5625">IF(AND(Inputs!$C$60,Inputs!$C$61),INDEX(Utility_Rates!$C$29:$F$52,HOUR(C5625)+Inputs!$C$69,MATCH(INDEX(Utility_Rates!$K$6:$K$17,MONTH(C5625))&amp;IF(WEEKDAY(C5625,Inputs!$C$76)&lt;=Inputs!$C$74," weekday"," weekend"),Utility_Rates!$C$28:$F$28,Inputs!$C$68)),"")</f>
      </c>
      <c r="H5625" s="34"/>
      <c r="I5625" s="42">
        <f>IF(AND(ISNUMBER(D5625),ISNUMBER(H5625)),D5625*H5625*Inputs!$C$69,"")</f>
      </c>
      <c r="J5625" s="42">
        <f>IF(AND(ISNUMBER(F5625),ISNUMBER(H5625),F5625&gt;=Inputs!$C$68),F5625*H5625*Inputs!$C$69,"")</f>
      </c>
    </row>
    <row r="5626" spans="2:10" ht="15" customHeight="1" x14ac:dyDescent="0.2">
      <c r="B5626" s="39">
        <f t="shared" si="44"/>
      </c>
      <c r="C5626" s="40">
        <f>IF(Inputs!$C$60,Inputs!$C$11+(B5626-Inputs!$C$69)/Inputs!$C$70,"")</f>
      </c>
      <c r="D5626" s="15"/>
      <c r="E5626" s="15"/>
      <c r="F5626" s="11">
        <f t="shared" si="45"/>
      </c>
      <c r="G5626" s="22" cm="1">
        <f t="array" ref="G5626">IF(AND(Inputs!$C$60,Inputs!$C$61),INDEX(Utility_Rates!$C$29:$F$52,HOUR(C5626)+Inputs!$C$69,MATCH(INDEX(Utility_Rates!$K$6:$K$17,MONTH(C5626))&amp;IF(WEEKDAY(C5626,Inputs!$C$76)&lt;=Inputs!$C$74," weekday"," weekend"),Utility_Rates!$C$28:$F$28,Inputs!$C$68)),"")</f>
      </c>
      <c r="H5626" s="34"/>
      <c r="I5626" s="42">
        <f>IF(AND(ISNUMBER(D5626),ISNUMBER(H5626)),D5626*H5626*Inputs!$C$69,"")</f>
      </c>
      <c r="J5626" s="42">
        <f>IF(AND(ISNUMBER(F5626),ISNUMBER(H5626),F5626&gt;=Inputs!$C$68),F5626*H5626*Inputs!$C$69,"")</f>
      </c>
    </row>
    <row r="5627" spans="2:10" ht="15" customHeight="1" x14ac:dyDescent="0.2">
      <c r="B5627" s="39">
        <f t="shared" si="44"/>
      </c>
      <c r="C5627" s="40">
        <f>IF(Inputs!$C$60,Inputs!$C$11+(B5627-Inputs!$C$69)/Inputs!$C$70,"")</f>
      </c>
      <c r="D5627" s="15"/>
      <c r="E5627" s="15"/>
      <c r="F5627" s="11">
        <f t="shared" si="45"/>
      </c>
      <c r="G5627" s="22" cm="1">
        <f t="array" ref="G5627">IF(AND(Inputs!$C$60,Inputs!$C$61),INDEX(Utility_Rates!$C$29:$F$52,HOUR(C5627)+Inputs!$C$69,MATCH(INDEX(Utility_Rates!$K$6:$K$17,MONTH(C5627))&amp;IF(WEEKDAY(C5627,Inputs!$C$76)&lt;=Inputs!$C$74," weekday"," weekend"),Utility_Rates!$C$28:$F$28,Inputs!$C$68)),"")</f>
      </c>
      <c r="H5627" s="34"/>
      <c r="I5627" s="42">
        <f>IF(AND(ISNUMBER(D5627),ISNUMBER(H5627)),D5627*H5627*Inputs!$C$69,"")</f>
      </c>
      <c r="J5627" s="42">
        <f>IF(AND(ISNUMBER(F5627),ISNUMBER(H5627),F5627&gt;=Inputs!$C$68),F5627*H5627*Inputs!$C$69,"")</f>
      </c>
    </row>
    <row r="5628" spans="2:10" ht="15" customHeight="1" x14ac:dyDescent="0.2">
      <c r="B5628" s="39">
        <f t="shared" si="44"/>
      </c>
      <c r="C5628" s="40">
        <f>IF(Inputs!$C$60,Inputs!$C$11+(B5628-Inputs!$C$69)/Inputs!$C$70,"")</f>
      </c>
      <c r="D5628" s="15"/>
      <c r="E5628" s="15"/>
      <c r="F5628" s="11">
        <f t="shared" si="45"/>
      </c>
      <c r="G5628" s="22" cm="1">
        <f t="array" ref="G5628">IF(AND(Inputs!$C$60,Inputs!$C$61),INDEX(Utility_Rates!$C$29:$F$52,HOUR(C5628)+Inputs!$C$69,MATCH(INDEX(Utility_Rates!$K$6:$K$17,MONTH(C5628))&amp;IF(WEEKDAY(C5628,Inputs!$C$76)&lt;=Inputs!$C$74," weekday"," weekend"),Utility_Rates!$C$28:$F$28,Inputs!$C$68)),"")</f>
      </c>
      <c r="H5628" s="34"/>
      <c r="I5628" s="42">
        <f>IF(AND(ISNUMBER(D5628),ISNUMBER(H5628)),D5628*H5628*Inputs!$C$69,"")</f>
      </c>
      <c r="J5628" s="42">
        <f>IF(AND(ISNUMBER(F5628),ISNUMBER(H5628),F5628&gt;=Inputs!$C$68),F5628*H5628*Inputs!$C$69,"")</f>
      </c>
    </row>
    <row r="5629" spans="2:10" ht="15" customHeight="1" x14ac:dyDescent="0.2">
      <c r="B5629" s="39">
        <f t="shared" si="44"/>
      </c>
      <c r="C5629" s="40">
        <f>IF(Inputs!$C$60,Inputs!$C$11+(B5629-Inputs!$C$69)/Inputs!$C$70,"")</f>
      </c>
      <c r="D5629" s="15"/>
      <c r="E5629" s="15"/>
      <c r="F5629" s="11">
        <f t="shared" si="45"/>
      </c>
      <c r="G5629" s="22" cm="1">
        <f t="array" ref="G5629">IF(AND(Inputs!$C$60,Inputs!$C$61),INDEX(Utility_Rates!$C$29:$F$52,HOUR(C5629)+Inputs!$C$69,MATCH(INDEX(Utility_Rates!$K$6:$K$17,MONTH(C5629))&amp;IF(WEEKDAY(C5629,Inputs!$C$76)&lt;=Inputs!$C$74," weekday"," weekend"),Utility_Rates!$C$28:$F$28,Inputs!$C$68)),"")</f>
      </c>
      <c r="H5629" s="34"/>
      <c r="I5629" s="42">
        <f>IF(AND(ISNUMBER(D5629),ISNUMBER(H5629)),D5629*H5629*Inputs!$C$69,"")</f>
      </c>
      <c r="J5629" s="42">
        <f>IF(AND(ISNUMBER(F5629),ISNUMBER(H5629),F5629&gt;=Inputs!$C$68),F5629*H5629*Inputs!$C$69,"")</f>
      </c>
    </row>
    <row r="5630" spans="2:10" ht="15" customHeight="1" x14ac:dyDescent="0.2">
      <c r="B5630" s="39">
        <f t="shared" si="44"/>
      </c>
      <c r="C5630" s="40">
        <f>IF(Inputs!$C$60,Inputs!$C$11+(B5630-Inputs!$C$69)/Inputs!$C$70,"")</f>
      </c>
      <c r="D5630" s="15"/>
      <c r="E5630" s="15"/>
      <c r="F5630" s="11">
        <f t="shared" si="45"/>
      </c>
      <c r="G5630" s="22" cm="1">
        <f t="array" ref="G5630">IF(AND(Inputs!$C$60,Inputs!$C$61),INDEX(Utility_Rates!$C$29:$F$52,HOUR(C5630)+Inputs!$C$69,MATCH(INDEX(Utility_Rates!$K$6:$K$17,MONTH(C5630))&amp;IF(WEEKDAY(C5630,Inputs!$C$76)&lt;=Inputs!$C$74," weekday"," weekend"),Utility_Rates!$C$28:$F$28,Inputs!$C$68)),"")</f>
      </c>
      <c r="H5630" s="34"/>
      <c r="I5630" s="42">
        <f>IF(AND(ISNUMBER(D5630),ISNUMBER(H5630)),D5630*H5630*Inputs!$C$69,"")</f>
      </c>
      <c r="J5630" s="42">
        <f>IF(AND(ISNUMBER(F5630),ISNUMBER(H5630),F5630&gt;=Inputs!$C$68),F5630*H5630*Inputs!$C$69,"")</f>
      </c>
    </row>
    <row r="5631" spans="2:10" ht="15" customHeight="1" x14ac:dyDescent="0.2">
      <c r="B5631" s="39">
        <f t="shared" si="44"/>
      </c>
      <c r="C5631" s="40">
        <f>IF(Inputs!$C$60,Inputs!$C$11+(B5631-Inputs!$C$69)/Inputs!$C$70,"")</f>
      </c>
      <c r="D5631" s="15"/>
      <c r="E5631" s="15"/>
      <c r="F5631" s="11">
        <f t="shared" si="45"/>
      </c>
      <c r="G5631" s="22" cm="1">
        <f t="array" ref="G5631">IF(AND(Inputs!$C$60,Inputs!$C$61),INDEX(Utility_Rates!$C$29:$F$52,HOUR(C5631)+Inputs!$C$69,MATCH(INDEX(Utility_Rates!$K$6:$K$17,MONTH(C5631))&amp;IF(WEEKDAY(C5631,Inputs!$C$76)&lt;=Inputs!$C$74," weekday"," weekend"),Utility_Rates!$C$28:$F$28,Inputs!$C$68)),"")</f>
      </c>
      <c r="H5631" s="34"/>
      <c r="I5631" s="42">
        <f>IF(AND(ISNUMBER(D5631),ISNUMBER(H5631)),D5631*H5631*Inputs!$C$69,"")</f>
      </c>
      <c r="J5631" s="42">
        <f>IF(AND(ISNUMBER(F5631),ISNUMBER(H5631),F5631&gt;=Inputs!$C$68),F5631*H5631*Inputs!$C$69,"")</f>
      </c>
    </row>
    <row r="5632" spans="2:10" ht="15" customHeight="1" x14ac:dyDescent="0.2">
      <c r="B5632" s="39">
        <f t="shared" si="44"/>
      </c>
      <c r="C5632" s="40">
        <f>IF(Inputs!$C$60,Inputs!$C$11+(B5632-Inputs!$C$69)/Inputs!$C$70,"")</f>
      </c>
      <c r="D5632" s="15"/>
      <c r="E5632" s="15"/>
      <c r="F5632" s="11">
        <f t="shared" si="45"/>
      </c>
      <c r="G5632" s="22" cm="1">
        <f t="array" ref="G5632">IF(AND(Inputs!$C$60,Inputs!$C$61),INDEX(Utility_Rates!$C$29:$F$52,HOUR(C5632)+Inputs!$C$69,MATCH(INDEX(Utility_Rates!$K$6:$K$17,MONTH(C5632))&amp;IF(WEEKDAY(C5632,Inputs!$C$76)&lt;=Inputs!$C$74," weekday"," weekend"),Utility_Rates!$C$28:$F$28,Inputs!$C$68)),"")</f>
      </c>
      <c r="H5632" s="34"/>
      <c r="I5632" s="42">
        <f>IF(AND(ISNUMBER(D5632),ISNUMBER(H5632)),D5632*H5632*Inputs!$C$69,"")</f>
      </c>
      <c r="J5632" s="42">
        <f>IF(AND(ISNUMBER(F5632),ISNUMBER(H5632),F5632&gt;=Inputs!$C$68),F5632*H5632*Inputs!$C$69,"")</f>
      </c>
    </row>
    <row r="5633" spans="2:10" ht="15" customHeight="1" x14ac:dyDescent="0.2">
      <c r="B5633" s="39">
        <f t="shared" si="44"/>
      </c>
      <c r="C5633" s="40">
        <f>IF(Inputs!$C$60,Inputs!$C$11+(B5633-Inputs!$C$69)/Inputs!$C$70,"")</f>
      </c>
      <c r="D5633" s="15"/>
      <c r="E5633" s="15"/>
      <c r="F5633" s="11">
        <f t="shared" si="45"/>
      </c>
      <c r="G5633" s="22" cm="1">
        <f t="array" ref="G5633">IF(AND(Inputs!$C$60,Inputs!$C$61),INDEX(Utility_Rates!$C$29:$F$52,HOUR(C5633)+Inputs!$C$69,MATCH(INDEX(Utility_Rates!$K$6:$K$17,MONTH(C5633))&amp;IF(WEEKDAY(C5633,Inputs!$C$76)&lt;=Inputs!$C$74," weekday"," weekend"),Utility_Rates!$C$28:$F$28,Inputs!$C$68)),"")</f>
      </c>
      <c r="H5633" s="34"/>
      <c r="I5633" s="42">
        <f>IF(AND(ISNUMBER(D5633),ISNUMBER(H5633)),D5633*H5633*Inputs!$C$69,"")</f>
      </c>
      <c r="J5633" s="42">
        <f>IF(AND(ISNUMBER(F5633),ISNUMBER(H5633),F5633&gt;=Inputs!$C$68),F5633*H5633*Inputs!$C$69,"")</f>
      </c>
    </row>
    <row r="5634" spans="2:10" ht="15" customHeight="1" x14ac:dyDescent="0.2">
      <c r="B5634" s="39">
        <f t="shared" si="44"/>
      </c>
      <c r="C5634" s="40">
        <f>IF(Inputs!$C$60,Inputs!$C$11+(B5634-Inputs!$C$69)/Inputs!$C$70,"")</f>
      </c>
      <c r="D5634" s="15"/>
      <c r="E5634" s="15"/>
      <c r="F5634" s="11">
        <f t="shared" si="45"/>
      </c>
      <c r="G5634" s="22" cm="1">
        <f t="array" ref="G5634">IF(AND(Inputs!$C$60,Inputs!$C$61),INDEX(Utility_Rates!$C$29:$F$52,HOUR(C5634)+Inputs!$C$69,MATCH(INDEX(Utility_Rates!$K$6:$K$17,MONTH(C5634))&amp;IF(WEEKDAY(C5634,Inputs!$C$76)&lt;=Inputs!$C$74," weekday"," weekend"),Utility_Rates!$C$28:$F$28,Inputs!$C$68)),"")</f>
      </c>
      <c r="H5634" s="34"/>
      <c r="I5634" s="42">
        <f>IF(AND(ISNUMBER(D5634),ISNUMBER(H5634)),D5634*H5634*Inputs!$C$69,"")</f>
      </c>
      <c r="J5634" s="42">
        <f>IF(AND(ISNUMBER(F5634),ISNUMBER(H5634),F5634&gt;=Inputs!$C$68),F5634*H5634*Inputs!$C$69,"")</f>
      </c>
    </row>
    <row r="5635" spans="2:10" ht="15" customHeight="1" x14ac:dyDescent="0.2">
      <c r="B5635" s="39">
        <f t="shared" si="44"/>
      </c>
      <c r="C5635" s="40">
        <f>IF(Inputs!$C$60,Inputs!$C$11+(B5635-Inputs!$C$69)/Inputs!$C$70,"")</f>
      </c>
      <c r="D5635" s="15"/>
      <c r="E5635" s="15"/>
      <c r="F5635" s="11">
        <f t="shared" si="45"/>
      </c>
      <c r="G5635" s="22" cm="1">
        <f t="array" ref="G5635">IF(AND(Inputs!$C$60,Inputs!$C$61),INDEX(Utility_Rates!$C$29:$F$52,HOUR(C5635)+Inputs!$C$69,MATCH(INDEX(Utility_Rates!$K$6:$K$17,MONTH(C5635))&amp;IF(WEEKDAY(C5635,Inputs!$C$76)&lt;=Inputs!$C$74," weekday"," weekend"),Utility_Rates!$C$28:$F$28,Inputs!$C$68)),"")</f>
      </c>
      <c r="H5635" s="34"/>
      <c r="I5635" s="42">
        <f>IF(AND(ISNUMBER(D5635),ISNUMBER(H5635)),D5635*H5635*Inputs!$C$69,"")</f>
      </c>
      <c r="J5635" s="42">
        <f>IF(AND(ISNUMBER(F5635),ISNUMBER(H5635),F5635&gt;=Inputs!$C$68),F5635*H5635*Inputs!$C$69,"")</f>
      </c>
    </row>
    <row r="5636" spans="2:10" ht="15" customHeight="1" x14ac:dyDescent="0.2">
      <c r="B5636" s="39">
        <f t="shared" si="44"/>
      </c>
      <c r="C5636" s="40">
        <f>IF(Inputs!$C$60,Inputs!$C$11+(B5636-Inputs!$C$69)/Inputs!$C$70,"")</f>
      </c>
      <c r="D5636" s="15"/>
      <c r="E5636" s="15"/>
      <c r="F5636" s="11">
        <f t="shared" si="45"/>
      </c>
      <c r="G5636" s="22" cm="1">
        <f t="array" ref="G5636">IF(AND(Inputs!$C$60,Inputs!$C$61),INDEX(Utility_Rates!$C$29:$F$52,HOUR(C5636)+Inputs!$C$69,MATCH(INDEX(Utility_Rates!$K$6:$K$17,MONTH(C5636))&amp;IF(WEEKDAY(C5636,Inputs!$C$76)&lt;=Inputs!$C$74," weekday"," weekend"),Utility_Rates!$C$28:$F$28,Inputs!$C$68)),"")</f>
      </c>
      <c r="H5636" s="34"/>
      <c r="I5636" s="42">
        <f>IF(AND(ISNUMBER(D5636),ISNUMBER(H5636)),D5636*H5636*Inputs!$C$69,"")</f>
      </c>
      <c r="J5636" s="42">
        <f>IF(AND(ISNUMBER(F5636),ISNUMBER(H5636),F5636&gt;=Inputs!$C$68),F5636*H5636*Inputs!$C$69,"")</f>
      </c>
    </row>
    <row r="5637" spans="2:10" ht="15" customHeight="1" x14ac:dyDescent="0.2">
      <c r="B5637" s="39">
        <f t="shared" si="44"/>
      </c>
      <c r="C5637" s="40">
        <f>IF(Inputs!$C$60,Inputs!$C$11+(B5637-Inputs!$C$69)/Inputs!$C$70,"")</f>
      </c>
      <c r="D5637" s="15"/>
      <c r="E5637" s="15"/>
      <c r="F5637" s="11">
        <f t="shared" si="45"/>
      </c>
      <c r="G5637" s="22" cm="1">
        <f t="array" ref="G5637">IF(AND(Inputs!$C$60,Inputs!$C$61),INDEX(Utility_Rates!$C$29:$F$52,HOUR(C5637)+Inputs!$C$69,MATCH(INDEX(Utility_Rates!$K$6:$K$17,MONTH(C5637))&amp;IF(WEEKDAY(C5637,Inputs!$C$76)&lt;=Inputs!$C$74," weekday"," weekend"),Utility_Rates!$C$28:$F$28,Inputs!$C$68)),"")</f>
      </c>
      <c r="H5637" s="34"/>
      <c r="I5637" s="42">
        <f>IF(AND(ISNUMBER(D5637),ISNUMBER(H5637)),D5637*H5637*Inputs!$C$69,"")</f>
      </c>
      <c r="J5637" s="42">
        <f>IF(AND(ISNUMBER(F5637),ISNUMBER(H5637),F5637&gt;=Inputs!$C$68),F5637*H5637*Inputs!$C$69,"")</f>
      </c>
    </row>
    <row r="5638" spans="2:10" ht="15" customHeight="1" x14ac:dyDescent="0.2">
      <c r="B5638" s="39">
        <f t="shared" si="44"/>
      </c>
      <c r="C5638" s="40">
        <f>IF(Inputs!$C$60,Inputs!$C$11+(B5638-Inputs!$C$69)/Inputs!$C$70,"")</f>
      </c>
      <c r="D5638" s="15"/>
      <c r="E5638" s="15"/>
      <c r="F5638" s="11">
        <f t="shared" si="45"/>
      </c>
      <c r="G5638" s="22" cm="1">
        <f t="array" ref="G5638">IF(AND(Inputs!$C$60,Inputs!$C$61),INDEX(Utility_Rates!$C$29:$F$52,HOUR(C5638)+Inputs!$C$69,MATCH(INDEX(Utility_Rates!$K$6:$K$17,MONTH(C5638))&amp;IF(WEEKDAY(C5638,Inputs!$C$76)&lt;=Inputs!$C$74," weekday"," weekend"),Utility_Rates!$C$28:$F$28,Inputs!$C$68)),"")</f>
      </c>
      <c r="H5638" s="34"/>
      <c r="I5638" s="42">
        <f>IF(AND(ISNUMBER(D5638),ISNUMBER(H5638)),D5638*H5638*Inputs!$C$69,"")</f>
      </c>
      <c r="J5638" s="42">
        <f>IF(AND(ISNUMBER(F5638),ISNUMBER(H5638),F5638&gt;=Inputs!$C$68),F5638*H5638*Inputs!$C$69,"")</f>
      </c>
    </row>
    <row r="5639" spans="2:10" ht="15" customHeight="1" x14ac:dyDescent="0.2">
      <c r="B5639" s="39">
        <f t="shared" si="44"/>
      </c>
      <c r="C5639" s="40">
        <f>IF(Inputs!$C$60,Inputs!$C$11+(B5639-Inputs!$C$69)/Inputs!$C$70,"")</f>
      </c>
      <c r="D5639" s="15"/>
      <c r="E5639" s="15"/>
      <c r="F5639" s="11">
        <f t="shared" si="45"/>
      </c>
      <c r="G5639" s="22" cm="1">
        <f t="array" ref="G5639">IF(AND(Inputs!$C$60,Inputs!$C$61),INDEX(Utility_Rates!$C$29:$F$52,HOUR(C5639)+Inputs!$C$69,MATCH(INDEX(Utility_Rates!$K$6:$K$17,MONTH(C5639))&amp;IF(WEEKDAY(C5639,Inputs!$C$76)&lt;=Inputs!$C$74," weekday"," weekend"),Utility_Rates!$C$28:$F$28,Inputs!$C$68)),"")</f>
      </c>
      <c r="H5639" s="34"/>
      <c r="I5639" s="42">
        <f>IF(AND(ISNUMBER(D5639),ISNUMBER(H5639)),D5639*H5639*Inputs!$C$69,"")</f>
      </c>
      <c r="J5639" s="42">
        <f>IF(AND(ISNUMBER(F5639),ISNUMBER(H5639),F5639&gt;=Inputs!$C$68),F5639*H5639*Inputs!$C$69,"")</f>
      </c>
    </row>
    <row r="5640" spans="2:10" ht="15" customHeight="1" x14ac:dyDescent="0.2">
      <c r="B5640" s="39">
        <f t="shared" si="44"/>
      </c>
      <c r="C5640" s="40">
        <f>IF(Inputs!$C$60,Inputs!$C$11+(B5640-Inputs!$C$69)/Inputs!$C$70,"")</f>
      </c>
      <c r="D5640" s="15"/>
      <c r="E5640" s="15"/>
      <c r="F5640" s="11">
        <f t="shared" si="45"/>
      </c>
      <c r="G5640" s="22" cm="1">
        <f t="array" ref="G5640">IF(AND(Inputs!$C$60,Inputs!$C$61),INDEX(Utility_Rates!$C$29:$F$52,HOUR(C5640)+Inputs!$C$69,MATCH(INDEX(Utility_Rates!$K$6:$K$17,MONTH(C5640))&amp;IF(WEEKDAY(C5640,Inputs!$C$76)&lt;=Inputs!$C$74," weekday"," weekend"),Utility_Rates!$C$28:$F$28,Inputs!$C$68)),"")</f>
      </c>
      <c r="H5640" s="34"/>
      <c r="I5640" s="42">
        <f>IF(AND(ISNUMBER(D5640),ISNUMBER(H5640)),D5640*H5640*Inputs!$C$69,"")</f>
      </c>
      <c r="J5640" s="42">
        <f>IF(AND(ISNUMBER(F5640),ISNUMBER(H5640),F5640&gt;=Inputs!$C$68),F5640*H5640*Inputs!$C$69,"")</f>
      </c>
    </row>
    <row r="5641" spans="2:10" ht="15" customHeight="1" x14ac:dyDescent="0.2">
      <c r="B5641" s="39">
        <f t="shared" si="44"/>
      </c>
      <c r="C5641" s="40">
        <f>IF(Inputs!$C$60,Inputs!$C$11+(B5641-Inputs!$C$69)/Inputs!$C$70,"")</f>
      </c>
      <c r="D5641" s="15"/>
      <c r="E5641" s="15"/>
      <c r="F5641" s="11">
        <f t="shared" si="45"/>
      </c>
      <c r="G5641" s="22" cm="1">
        <f t="array" ref="G5641">IF(AND(Inputs!$C$60,Inputs!$C$61),INDEX(Utility_Rates!$C$29:$F$52,HOUR(C5641)+Inputs!$C$69,MATCH(INDEX(Utility_Rates!$K$6:$K$17,MONTH(C5641))&amp;IF(WEEKDAY(C5641,Inputs!$C$76)&lt;=Inputs!$C$74," weekday"," weekend"),Utility_Rates!$C$28:$F$28,Inputs!$C$68)),"")</f>
      </c>
      <c r="H5641" s="34"/>
      <c r="I5641" s="42">
        <f>IF(AND(ISNUMBER(D5641),ISNUMBER(H5641)),D5641*H5641*Inputs!$C$69,"")</f>
      </c>
      <c r="J5641" s="42">
        <f>IF(AND(ISNUMBER(F5641),ISNUMBER(H5641),F5641&gt;=Inputs!$C$68),F5641*H5641*Inputs!$C$69,"")</f>
      </c>
    </row>
    <row r="5642" spans="2:10" ht="15" customHeight="1" x14ac:dyDescent="0.2">
      <c r="B5642" s="39">
        <f t="shared" si="44"/>
      </c>
      <c r="C5642" s="40">
        <f>IF(Inputs!$C$60,Inputs!$C$11+(B5642-Inputs!$C$69)/Inputs!$C$70,"")</f>
      </c>
      <c r="D5642" s="15"/>
      <c r="E5642" s="15"/>
      <c r="F5642" s="11">
        <f t="shared" si="45"/>
      </c>
      <c r="G5642" s="22" cm="1">
        <f t="array" ref="G5642">IF(AND(Inputs!$C$60,Inputs!$C$61),INDEX(Utility_Rates!$C$29:$F$52,HOUR(C5642)+Inputs!$C$69,MATCH(INDEX(Utility_Rates!$K$6:$K$17,MONTH(C5642))&amp;IF(WEEKDAY(C5642,Inputs!$C$76)&lt;=Inputs!$C$74," weekday"," weekend"),Utility_Rates!$C$28:$F$28,Inputs!$C$68)),"")</f>
      </c>
      <c r="H5642" s="34"/>
      <c r="I5642" s="42">
        <f>IF(AND(ISNUMBER(D5642),ISNUMBER(H5642)),D5642*H5642*Inputs!$C$69,"")</f>
      </c>
      <c r="J5642" s="42">
        <f>IF(AND(ISNUMBER(F5642),ISNUMBER(H5642),F5642&gt;=Inputs!$C$68),F5642*H5642*Inputs!$C$69,"")</f>
      </c>
    </row>
    <row r="5643" spans="2:10" ht="15" customHeight="1" x14ac:dyDescent="0.2">
      <c r="B5643" s="39">
        <f t="shared" si="44"/>
      </c>
      <c r="C5643" s="40">
        <f>IF(Inputs!$C$60,Inputs!$C$11+(B5643-Inputs!$C$69)/Inputs!$C$70,"")</f>
      </c>
      <c r="D5643" s="15"/>
      <c r="E5643" s="15"/>
      <c r="F5643" s="11">
        <f t="shared" si="45"/>
      </c>
      <c r="G5643" s="22" cm="1">
        <f t="array" ref="G5643">IF(AND(Inputs!$C$60,Inputs!$C$61),INDEX(Utility_Rates!$C$29:$F$52,HOUR(C5643)+Inputs!$C$69,MATCH(INDEX(Utility_Rates!$K$6:$K$17,MONTH(C5643))&amp;IF(WEEKDAY(C5643,Inputs!$C$76)&lt;=Inputs!$C$74," weekday"," weekend"),Utility_Rates!$C$28:$F$28,Inputs!$C$68)),"")</f>
      </c>
      <c r="H5643" s="34"/>
      <c r="I5643" s="42">
        <f>IF(AND(ISNUMBER(D5643),ISNUMBER(H5643)),D5643*H5643*Inputs!$C$69,"")</f>
      </c>
      <c r="J5643" s="42">
        <f>IF(AND(ISNUMBER(F5643),ISNUMBER(H5643),F5643&gt;=Inputs!$C$68),F5643*H5643*Inputs!$C$69,"")</f>
      </c>
    </row>
    <row r="5644" spans="2:10" ht="15" customHeight="1" x14ac:dyDescent="0.2">
      <c r="B5644" s="39">
        <f t="shared" si="44"/>
      </c>
      <c r="C5644" s="40">
        <f>IF(Inputs!$C$60,Inputs!$C$11+(B5644-Inputs!$C$69)/Inputs!$C$70,"")</f>
      </c>
      <c r="D5644" s="15"/>
      <c r="E5644" s="15"/>
      <c r="F5644" s="11">
        <f t="shared" si="45"/>
      </c>
      <c r="G5644" s="22" cm="1">
        <f t="array" ref="G5644">IF(AND(Inputs!$C$60,Inputs!$C$61),INDEX(Utility_Rates!$C$29:$F$52,HOUR(C5644)+Inputs!$C$69,MATCH(INDEX(Utility_Rates!$K$6:$K$17,MONTH(C5644))&amp;IF(WEEKDAY(C5644,Inputs!$C$76)&lt;=Inputs!$C$74," weekday"," weekend"),Utility_Rates!$C$28:$F$28,Inputs!$C$68)),"")</f>
      </c>
      <c r="H5644" s="34"/>
      <c r="I5644" s="42">
        <f>IF(AND(ISNUMBER(D5644),ISNUMBER(H5644)),D5644*H5644*Inputs!$C$69,"")</f>
      </c>
      <c r="J5644" s="42">
        <f>IF(AND(ISNUMBER(F5644),ISNUMBER(H5644),F5644&gt;=Inputs!$C$68),F5644*H5644*Inputs!$C$69,"")</f>
      </c>
    </row>
    <row r="5645" spans="2:10" ht="15" customHeight="1" x14ac:dyDescent="0.2">
      <c r="B5645" s="39">
        <f t="shared" si="44"/>
      </c>
      <c r="C5645" s="40">
        <f>IF(Inputs!$C$60,Inputs!$C$11+(B5645-Inputs!$C$69)/Inputs!$C$70,"")</f>
      </c>
      <c r="D5645" s="15"/>
      <c r="E5645" s="15"/>
      <c r="F5645" s="11">
        <f t="shared" si="45"/>
      </c>
      <c r="G5645" s="22" cm="1">
        <f t="array" ref="G5645">IF(AND(Inputs!$C$60,Inputs!$C$61),INDEX(Utility_Rates!$C$29:$F$52,HOUR(C5645)+Inputs!$C$69,MATCH(INDEX(Utility_Rates!$K$6:$K$17,MONTH(C5645))&amp;IF(WEEKDAY(C5645,Inputs!$C$76)&lt;=Inputs!$C$74," weekday"," weekend"),Utility_Rates!$C$28:$F$28,Inputs!$C$68)),"")</f>
      </c>
      <c r="H5645" s="34"/>
      <c r="I5645" s="42">
        <f>IF(AND(ISNUMBER(D5645),ISNUMBER(H5645)),D5645*H5645*Inputs!$C$69,"")</f>
      </c>
      <c r="J5645" s="42">
        <f>IF(AND(ISNUMBER(F5645),ISNUMBER(H5645),F5645&gt;=Inputs!$C$68),F5645*H5645*Inputs!$C$69,"")</f>
      </c>
    </row>
    <row r="5646" spans="2:10" ht="15" customHeight="1" x14ac:dyDescent="0.2">
      <c r="B5646" s="39">
        <f t="shared" si="44"/>
      </c>
      <c r="C5646" s="40">
        <f>IF(Inputs!$C$60,Inputs!$C$11+(B5646-Inputs!$C$69)/Inputs!$C$70,"")</f>
      </c>
      <c r="D5646" s="15"/>
      <c r="E5646" s="15"/>
      <c r="F5646" s="11">
        <f t="shared" si="45"/>
      </c>
      <c r="G5646" s="22" cm="1">
        <f t="array" ref="G5646">IF(AND(Inputs!$C$60,Inputs!$C$61),INDEX(Utility_Rates!$C$29:$F$52,HOUR(C5646)+Inputs!$C$69,MATCH(INDEX(Utility_Rates!$K$6:$K$17,MONTH(C5646))&amp;IF(WEEKDAY(C5646,Inputs!$C$76)&lt;=Inputs!$C$74," weekday"," weekend"),Utility_Rates!$C$28:$F$28,Inputs!$C$68)),"")</f>
      </c>
      <c r="H5646" s="34"/>
      <c r="I5646" s="42">
        <f>IF(AND(ISNUMBER(D5646),ISNUMBER(H5646)),D5646*H5646*Inputs!$C$69,"")</f>
      </c>
      <c r="J5646" s="42">
        <f>IF(AND(ISNUMBER(F5646),ISNUMBER(H5646),F5646&gt;=Inputs!$C$68),F5646*H5646*Inputs!$C$69,"")</f>
      </c>
    </row>
    <row r="5647" spans="2:10" ht="15" customHeight="1" x14ac:dyDescent="0.2">
      <c r="B5647" s="39">
        <f t="shared" si="44"/>
      </c>
      <c r="C5647" s="40">
        <f>IF(Inputs!$C$60,Inputs!$C$11+(B5647-Inputs!$C$69)/Inputs!$C$70,"")</f>
      </c>
      <c r="D5647" s="15"/>
      <c r="E5647" s="15"/>
      <c r="F5647" s="11">
        <f t="shared" si="45"/>
      </c>
      <c r="G5647" s="22" cm="1">
        <f t="array" ref="G5647">IF(AND(Inputs!$C$60,Inputs!$C$61),INDEX(Utility_Rates!$C$29:$F$52,HOUR(C5647)+Inputs!$C$69,MATCH(INDEX(Utility_Rates!$K$6:$K$17,MONTH(C5647))&amp;IF(WEEKDAY(C5647,Inputs!$C$76)&lt;=Inputs!$C$74," weekday"," weekend"),Utility_Rates!$C$28:$F$28,Inputs!$C$68)),"")</f>
      </c>
      <c r="H5647" s="34"/>
      <c r="I5647" s="42">
        <f>IF(AND(ISNUMBER(D5647),ISNUMBER(H5647)),D5647*H5647*Inputs!$C$69,"")</f>
      </c>
      <c r="J5647" s="42">
        <f>IF(AND(ISNUMBER(F5647),ISNUMBER(H5647),F5647&gt;=Inputs!$C$68),F5647*H5647*Inputs!$C$69,"")</f>
      </c>
    </row>
    <row r="5648" spans="2:10" ht="15" customHeight="1" x14ac:dyDescent="0.2">
      <c r="B5648" s="39">
        <f t="shared" si="44"/>
      </c>
      <c r="C5648" s="40">
        <f>IF(Inputs!$C$60,Inputs!$C$11+(B5648-Inputs!$C$69)/Inputs!$C$70,"")</f>
      </c>
      <c r="D5648" s="15"/>
      <c r="E5648" s="15"/>
      <c r="F5648" s="11">
        <f t="shared" si="45"/>
      </c>
      <c r="G5648" s="22" cm="1">
        <f t="array" ref="G5648">IF(AND(Inputs!$C$60,Inputs!$C$61),INDEX(Utility_Rates!$C$29:$F$52,HOUR(C5648)+Inputs!$C$69,MATCH(INDEX(Utility_Rates!$K$6:$K$17,MONTH(C5648))&amp;IF(WEEKDAY(C5648,Inputs!$C$76)&lt;=Inputs!$C$74," weekday"," weekend"),Utility_Rates!$C$28:$F$28,Inputs!$C$68)),"")</f>
      </c>
      <c r="H5648" s="34"/>
      <c r="I5648" s="42">
        <f>IF(AND(ISNUMBER(D5648),ISNUMBER(H5648)),D5648*H5648*Inputs!$C$69,"")</f>
      </c>
      <c r="J5648" s="42">
        <f>IF(AND(ISNUMBER(F5648),ISNUMBER(H5648),F5648&gt;=Inputs!$C$68),F5648*H5648*Inputs!$C$69,"")</f>
      </c>
    </row>
    <row r="5649" spans="2:10" ht="15" customHeight="1" x14ac:dyDescent="0.2">
      <c r="B5649" s="39">
        <f t="shared" si="44"/>
      </c>
      <c r="C5649" s="40">
        <f>IF(Inputs!$C$60,Inputs!$C$11+(B5649-Inputs!$C$69)/Inputs!$C$70,"")</f>
      </c>
      <c r="D5649" s="15"/>
      <c r="E5649" s="15"/>
      <c r="F5649" s="11">
        <f t="shared" si="45"/>
      </c>
      <c r="G5649" s="22" cm="1">
        <f t="array" ref="G5649">IF(AND(Inputs!$C$60,Inputs!$C$61),INDEX(Utility_Rates!$C$29:$F$52,HOUR(C5649)+Inputs!$C$69,MATCH(INDEX(Utility_Rates!$K$6:$K$17,MONTH(C5649))&amp;IF(WEEKDAY(C5649,Inputs!$C$76)&lt;=Inputs!$C$74," weekday"," weekend"),Utility_Rates!$C$28:$F$28,Inputs!$C$68)),"")</f>
      </c>
      <c r="H5649" s="34"/>
      <c r="I5649" s="42">
        <f>IF(AND(ISNUMBER(D5649),ISNUMBER(H5649)),D5649*H5649*Inputs!$C$69,"")</f>
      </c>
      <c r="J5649" s="42">
        <f>IF(AND(ISNUMBER(F5649),ISNUMBER(H5649),F5649&gt;=Inputs!$C$68),F5649*H5649*Inputs!$C$69,"")</f>
      </c>
    </row>
    <row r="5650" spans="2:10" ht="15" customHeight="1" x14ac:dyDescent="0.2">
      <c r="B5650" s="39">
        <f t="shared" si="44"/>
      </c>
      <c r="C5650" s="40">
        <f>IF(Inputs!$C$60,Inputs!$C$11+(B5650-Inputs!$C$69)/Inputs!$C$70,"")</f>
      </c>
      <c r="D5650" s="15"/>
      <c r="E5650" s="15"/>
      <c r="F5650" s="11">
        <f t="shared" si="45"/>
      </c>
      <c r="G5650" s="22" cm="1">
        <f t="array" ref="G5650">IF(AND(Inputs!$C$60,Inputs!$C$61),INDEX(Utility_Rates!$C$29:$F$52,HOUR(C5650)+Inputs!$C$69,MATCH(INDEX(Utility_Rates!$K$6:$K$17,MONTH(C5650))&amp;IF(WEEKDAY(C5650,Inputs!$C$76)&lt;=Inputs!$C$74," weekday"," weekend"),Utility_Rates!$C$28:$F$28,Inputs!$C$68)),"")</f>
      </c>
      <c r="H5650" s="34"/>
      <c r="I5650" s="42">
        <f>IF(AND(ISNUMBER(D5650),ISNUMBER(H5650)),D5650*H5650*Inputs!$C$69,"")</f>
      </c>
      <c r="J5650" s="42">
        <f>IF(AND(ISNUMBER(F5650),ISNUMBER(H5650),F5650&gt;=Inputs!$C$68),F5650*H5650*Inputs!$C$69,"")</f>
      </c>
    </row>
    <row r="5651" spans="2:10" ht="15" customHeight="1" x14ac:dyDescent="0.2">
      <c r="B5651" s="39">
        <f t="shared" si="44"/>
      </c>
      <c r="C5651" s="40">
        <f>IF(Inputs!$C$60,Inputs!$C$11+(B5651-Inputs!$C$69)/Inputs!$C$70,"")</f>
      </c>
      <c r="D5651" s="15"/>
      <c r="E5651" s="15"/>
      <c r="F5651" s="11">
        <f t="shared" si="45"/>
      </c>
      <c r="G5651" s="22" cm="1">
        <f t="array" ref="G5651">IF(AND(Inputs!$C$60,Inputs!$C$61),INDEX(Utility_Rates!$C$29:$F$52,HOUR(C5651)+Inputs!$C$69,MATCH(INDEX(Utility_Rates!$K$6:$K$17,MONTH(C5651))&amp;IF(WEEKDAY(C5651,Inputs!$C$76)&lt;=Inputs!$C$74," weekday"," weekend"),Utility_Rates!$C$28:$F$28,Inputs!$C$68)),"")</f>
      </c>
      <c r="H5651" s="34"/>
      <c r="I5651" s="42">
        <f>IF(AND(ISNUMBER(D5651),ISNUMBER(H5651)),D5651*H5651*Inputs!$C$69,"")</f>
      </c>
      <c r="J5651" s="42">
        <f>IF(AND(ISNUMBER(F5651),ISNUMBER(H5651),F5651&gt;=Inputs!$C$68),F5651*H5651*Inputs!$C$69,"")</f>
      </c>
    </row>
    <row r="5652" spans="2:10" ht="15" customHeight="1" x14ac:dyDescent="0.2">
      <c r="B5652" s="39">
        <f t="shared" si="44"/>
      </c>
      <c r="C5652" s="40">
        <f>IF(Inputs!$C$60,Inputs!$C$11+(B5652-Inputs!$C$69)/Inputs!$C$70,"")</f>
      </c>
      <c r="D5652" s="15"/>
      <c r="E5652" s="15"/>
      <c r="F5652" s="11">
        <f t="shared" si="45"/>
      </c>
      <c r="G5652" s="22" cm="1">
        <f t="array" ref="G5652">IF(AND(Inputs!$C$60,Inputs!$C$61),INDEX(Utility_Rates!$C$29:$F$52,HOUR(C5652)+Inputs!$C$69,MATCH(INDEX(Utility_Rates!$K$6:$K$17,MONTH(C5652))&amp;IF(WEEKDAY(C5652,Inputs!$C$76)&lt;=Inputs!$C$74," weekday"," weekend"),Utility_Rates!$C$28:$F$28,Inputs!$C$68)),"")</f>
      </c>
      <c r="H5652" s="34"/>
      <c r="I5652" s="42">
        <f>IF(AND(ISNUMBER(D5652),ISNUMBER(H5652)),D5652*H5652*Inputs!$C$69,"")</f>
      </c>
      <c r="J5652" s="42">
        <f>IF(AND(ISNUMBER(F5652),ISNUMBER(H5652),F5652&gt;=Inputs!$C$68),F5652*H5652*Inputs!$C$69,"")</f>
      </c>
    </row>
    <row r="5653" spans="2:10" ht="15" customHeight="1" x14ac:dyDescent="0.2">
      <c r="B5653" s="39">
        <f t="shared" si="44"/>
      </c>
      <c r="C5653" s="40">
        <f>IF(Inputs!$C$60,Inputs!$C$11+(B5653-Inputs!$C$69)/Inputs!$C$70,"")</f>
      </c>
      <c r="D5653" s="15"/>
      <c r="E5653" s="15"/>
      <c r="F5653" s="11">
        <f t="shared" si="45"/>
      </c>
      <c r="G5653" s="22" cm="1">
        <f t="array" ref="G5653">IF(AND(Inputs!$C$60,Inputs!$C$61),INDEX(Utility_Rates!$C$29:$F$52,HOUR(C5653)+Inputs!$C$69,MATCH(INDEX(Utility_Rates!$K$6:$K$17,MONTH(C5653))&amp;IF(WEEKDAY(C5653,Inputs!$C$76)&lt;=Inputs!$C$74," weekday"," weekend"),Utility_Rates!$C$28:$F$28,Inputs!$C$68)),"")</f>
      </c>
      <c r="H5653" s="34"/>
      <c r="I5653" s="42">
        <f>IF(AND(ISNUMBER(D5653),ISNUMBER(H5653)),D5653*H5653*Inputs!$C$69,"")</f>
      </c>
      <c r="J5653" s="42">
        <f>IF(AND(ISNUMBER(F5653),ISNUMBER(H5653),F5653&gt;=Inputs!$C$68),F5653*H5653*Inputs!$C$69,"")</f>
      </c>
    </row>
    <row r="5654" spans="2:10" ht="15" customHeight="1" x14ac:dyDescent="0.2">
      <c r="B5654" s="39">
        <f t="shared" si="44"/>
      </c>
      <c r="C5654" s="40">
        <f>IF(Inputs!$C$60,Inputs!$C$11+(B5654-Inputs!$C$69)/Inputs!$C$70,"")</f>
      </c>
      <c r="D5654" s="15"/>
      <c r="E5654" s="15"/>
      <c r="F5654" s="11">
        <f t="shared" si="45"/>
      </c>
      <c r="G5654" s="22" cm="1">
        <f t="array" ref="G5654">IF(AND(Inputs!$C$60,Inputs!$C$61),INDEX(Utility_Rates!$C$29:$F$52,HOUR(C5654)+Inputs!$C$69,MATCH(INDEX(Utility_Rates!$K$6:$K$17,MONTH(C5654))&amp;IF(WEEKDAY(C5654,Inputs!$C$76)&lt;=Inputs!$C$74," weekday"," weekend"),Utility_Rates!$C$28:$F$28,Inputs!$C$68)),"")</f>
      </c>
      <c r="H5654" s="34"/>
      <c r="I5654" s="42">
        <f>IF(AND(ISNUMBER(D5654),ISNUMBER(H5654)),D5654*H5654*Inputs!$C$69,"")</f>
      </c>
      <c r="J5654" s="42">
        <f>IF(AND(ISNUMBER(F5654),ISNUMBER(H5654),F5654&gt;=Inputs!$C$68),F5654*H5654*Inputs!$C$69,"")</f>
      </c>
    </row>
    <row r="5655" spans="2:10" ht="15" customHeight="1" x14ac:dyDescent="0.2">
      <c r="B5655" s="39">
        <f t="shared" si="44"/>
      </c>
      <c r="C5655" s="40">
        <f>IF(Inputs!$C$60,Inputs!$C$11+(B5655-Inputs!$C$69)/Inputs!$C$70,"")</f>
      </c>
      <c r="D5655" s="15"/>
      <c r="E5655" s="15"/>
      <c r="F5655" s="11">
        <f t="shared" si="45"/>
      </c>
      <c r="G5655" s="22" cm="1">
        <f t="array" ref="G5655">IF(AND(Inputs!$C$60,Inputs!$C$61),INDEX(Utility_Rates!$C$29:$F$52,HOUR(C5655)+Inputs!$C$69,MATCH(INDEX(Utility_Rates!$K$6:$K$17,MONTH(C5655))&amp;IF(WEEKDAY(C5655,Inputs!$C$76)&lt;=Inputs!$C$74," weekday"," weekend"),Utility_Rates!$C$28:$F$28,Inputs!$C$68)),"")</f>
      </c>
      <c r="H5655" s="34"/>
      <c r="I5655" s="42">
        <f>IF(AND(ISNUMBER(D5655),ISNUMBER(H5655)),D5655*H5655*Inputs!$C$69,"")</f>
      </c>
      <c r="J5655" s="42">
        <f>IF(AND(ISNUMBER(F5655),ISNUMBER(H5655),F5655&gt;=Inputs!$C$68),F5655*H5655*Inputs!$C$69,"")</f>
      </c>
    </row>
    <row r="5656" spans="2:10" ht="15" customHeight="1" x14ac:dyDescent="0.2">
      <c r="B5656" s="39">
        <f t="shared" si="44"/>
      </c>
      <c r="C5656" s="40">
        <f>IF(Inputs!$C$60,Inputs!$C$11+(B5656-Inputs!$C$69)/Inputs!$C$70,"")</f>
      </c>
      <c r="D5656" s="15"/>
      <c r="E5656" s="15"/>
      <c r="F5656" s="11">
        <f t="shared" si="45"/>
      </c>
      <c r="G5656" s="22" cm="1">
        <f t="array" ref="G5656">IF(AND(Inputs!$C$60,Inputs!$C$61),INDEX(Utility_Rates!$C$29:$F$52,HOUR(C5656)+Inputs!$C$69,MATCH(INDEX(Utility_Rates!$K$6:$K$17,MONTH(C5656))&amp;IF(WEEKDAY(C5656,Inputs!$C$76)&lt;=Inputs!$C$74," weekday"," weekend"),Utility_Rates!$C$28:$F$28,Inputs!$C$68)),"")</f>
      </c>
      <c r="H5656" s="34"/>
      <c r="I5656" s="42">
        <f>IF(AND(ISNUMBER(D5656),ISNUMBER(H5656)),D5656*H5656*Inputs!$C$69,"")</f>
      </c>
      <c r="J5656" s="42">
        <f>IF(AND(ISNUMBER(F5656),ISNUMBER(H5656),F5656&gt;=Inputs!$C$68),F5656*H5656*Inputs!$C$69,"")</f>
      </c>
    </row>
    <row r="5657" spans="2:10" ht="15" customHeight="1" x14ac:dyDescent="0.2">
      <c r="B5657" s="39">
        <f t="shared" si="44"/>
      </c>
      <c r="C5657" s="40">
        <f>IF(Inputs!$C$60,Inputs!$C$11+(B5657-Inputs!$C$69)/Inputs!$C$70,"")</f>
      </c>
      <c r="D5657" s="15"/>
      <c r="E5657" s="15"/>
      <c r="F5657" s="11">
        <f t="shared" si="45"/>
      </c>
      <c r="G5657" s="22" cm="1">
        <f t="array" ref="G5657">IF(AND(Inputs!$C$60,Inputs!$C$61),INDEX(Utility_Rates!$C$29:$F$52,HOUR(C5657)+Inputs!$C$69,MATCH(INDEX(Utility_Rates!$K$6:$K$17,MONTH(C5657))&amp;IF(WEEKDAY(C5657,Inputs!$C$76)&lt;=Inputs!$C$74," weekday"," weekend"),Utility_Rates!$C$28:$F$28,Inputs!$C$68)),"")</f>
      </c>
      <c r="H5657" s="34"/>
      <c r="I5657" s="42">
        <f>IF(AND(ISNUMBER(D5657),ISNUMBER(H5657)),D5657*H5657*Inputs!$C$69,"")</f>
      </c>
      <c r="J5657" s="42">
        <f>IF(AND(ISNUMBER(F5657),ISNUMBER(H5657),F5657&gt;=Inputs!$C$68),F5657*H5657*Inputs!$C$69,"")</f>
      </c>
    </row>
    <row r="5658" spans="2:10" ht="15" customHeight="1" x14ac:dyDescent="0.2">
      <c r="B5658" s="39">
        <f t="shared" si="44"/>
      </c>
      <c r="C5658" s="40">
        <f>IF(Inputs!$C$60,Inputs!$C$11+(B5658-Inputs!$C$69)/Inputs!$C$70,"")</f>
      </c>
      <c r="D5658" s="15"/>
      <c r="E5658" s="15"/>
      <c r="F5658" s="11">
        <f t="shared" si="45"/>
      </c>
      <c r="G5658" s="22" cm="1">
        <f t="array" ref="G5658">IF(AND(Inputs!$C$60,Inputs!$C$61),INDEX(Utility_Rates!$C$29:$F$52,HOUR(C5658)+Inputs!$C$69,MATCH(INDEX(Utility_Rates!$K$6:$K$17,MONTH(C5658))&amp;IF(WEEKDAY(C5658,Inputs!$C$76)&lt;=Inputs!$C$74," weekday"," weekend"),Utility_Rates!$C$28:$F$28,Inputs!$C$68)),"")</f>
      </c>
      <c r="H5658" s="34"/>
      <c r="I5658" s="42">
        <f>IF(AND(ISNUMBER(D5658),ISNUMBER(H5658)),D5658*H5658*Inputs!$C$69,"")</f>
      </c>
      <c r="J5658" s="42">
        <f>IF(AND(ISNUMBER(F5658),ISNUMBER(H5658),F5658&gt;=Inputs!$C$68),F5658*H5658*Inputs!$C$69,"")</f>
      </c>
    </row>
    <row r="5659" spans="2:10" ht="15" customHeight="1" x14ac:dyDescent="0.2">
      <c r="B5659" s="39">
        <f t="shared" si="44"/>
      </c>
      <c r="C5659" s="40">
        <f>IF(Inputs!$C$60,Inputs!$C$11+(B5659-Inputs!$C$69)/Inputs!$C$70,"")</f>
      </c>
      <c r="D5659" s="15"/>
      <c r="E5659" s="15"/>
      <c r="F5659" s="11">
        <f t="shared" si="45"/>
      </c>
      <c r="G5659" s="22" cm="1">
        <f t="array" ref="G5659">IF(AND(Inputs!$C$60,Inputs!$C$61),INDEX(Utility_Rates!$C$29:$F$52,HOUR(C5659)+Inputs!$C$69,MATCH(INDEX(Utility_Rates!$K$6:$K$17,MONTH(C5659))&amp;IF(WEEKDAY(C5659,Inputs!$C$76)&lt;=Inputs!$C$74," weekday"," weekend"),Utility_Rates!$C$28:$F$28,Inputs!$C$68)),"")</f>
      </c>
      <c r="H5659" s="34"/>
      <c r="I5659" s="42">
        <f>IF(AND(ISNUMBER(D5659),ISNUMBER(H5659)),D5659*H5659*Inputs!$C$69,"")</f>
      </c>
      <c r="J5659" s="42">
        <f>IF(AND(ISNUMBER(F5659),ISNUMBER(H5659),F5659&gt;=Inputs!$C$68),F5659*H5659*Inputs!$C$69,"")</f>
      </c>
    </row>
    <row r="5660" spans="2:10" ht="15" customHeight="1" x14ac:dyDescent="0.2">
      <c r="B5660" s="39">
        <f t="shared" si="44"/>
      </c>
      <c r="C5660" s="40">
        <f>IF(Inputs!$C$60,Inputs!$C$11+(B5660-Inputs!$C$69)/Inputs!$C$70,"")</f>
      </c>
      <c r="D5660" s="15"/>
      <c r="E5660" s="15"/>
      <c r="F5660" s="11">
        <f t="shared" si="45"/>
      </c>
      <c r="G5660" s="22" cm="1">
        <f t="array" ref="G5660">IF(AND(Inputs!$C$60,Inputs!$C$61),INDEX(Utility_Rates!$C$29:$F$52,HOUR(C5660)+Inputs!$C$69,MATCH(INDEX(Utility_Rates!$K$6:$K$17,MONTH(C5660))&amp;IF(WEEKDAY(C5660,Inputs!$C$76)&lt;=Inputs!$C$74," weekday"," weekend"),Utility_Rates!$C$28:$F$28,Inputs!$C$68)),"")</f>
      </c>
      <c r="H5660" s="34"/>
      <c r="I5660" s="42">
        <f>IF(AND(ISNUMBER(D5660),ISNUMBER(H5660)),D5660*H5660*Inputs!$C$69,"")</f>
      </c>
      <c r="J5660" s="42">
        <f>IF(AND(ISNUMBER(F5660),ISNUMBER(H5660),F5660&gt;=Inputs!$C$68),F5660*H5660*Inputs!$C$69,"")</f>
      </c>
    </row>
    <row r="5661" spans="2:10" ht="15" customHeight="1" x14ac:dyDescent="0.2">
      <c r="B5661" s="39">
        <f t="shared" si="44"/>
      </c>
      <c r="C5661" s="40">
        <f>IF(Inputs!$C$60,Inputs!$C$11+(B5661-Inputs!$C$69)/Inputs!$C$70,"")</f>
      </c>
      <c r="D5661" s="15"/>
      <c r="E5661" s="15"/>
      <c r="F5661" s="11">
        <f t="shared" si="45"/>
      </c>
      <c r="G5661" s="22" cm="1">
        <f t="array" ref="G5661">IF(AND(Inputs!$C$60,Inputs!$C$61),INDEX(Utility_Rates!$C$29:$F$52,HOUR(C5661)+Inputs!$C$69,MATCH(INDEX(Utility_Rates!$K$6:$K$17,MONTH(C5661))&amp;IF(WEEKDAY(C5661,Inputs!$C$76)&lt;=Inputs!$C$74," weekday"," weekend"),Utility_Rates!$C$28:$F$28,Inputs!$C$68)),"")</f>
      </c>
      <c r="H5661" s="34"/>
      <c r="I5661" s="42">
        <f>IF(AND(ISNUMBER(D5661),ISNUMBER(H5661)),D5661*H5661*Inputs!$C$69,"")</f>
      </c>
      <c r="J5661" s="42">
        <f>IF(AND(ISNUMBER(F5661),ISNUMBER(H5661),F5661&gt;=Inputs!$C$68),F5661*H5661*Inputs!$C$69,"")</f>
      </c>
    </row>
    <row r="5662" spans="2:10" ht="15" customHeight="1" x14ac:dyDescent="0.2">
      <c r="B5662" s="39">
        <f t="shared" si="44"/>
      </c>
      <c r="C5662" s="40">
        <f>IF(Inputs!$C$60,Inputs!$C$11+(B5662-Inputs!$C$69)/Inputs!$C$70,"")</f>
      </c>
      <c r="D5662" s="15"/>
      <c r="E5662" s="15"/>
      <c r="F5662" s="11">
        <f t="shared" si="45"/>
      </c>
      <c r="G5662" s="22" cm="1">
        <f t="array" ref="G5662">IF(AND(Inputs!$C$60,Inputs!$C$61),INDEX(Utility_Rates!$C$29:$F$52,HOUR(C5662)+Inputs!$C$69,MATCH(INDEX(Utility_Rates!$K$6:$K$17,MONTH(C5662))&amp;IF(WEEKDAY(C5662,Inputs!$C$76)&lt;=Inputs!$C$74," weekday"," weekend"),Utility_Rates!$C$28:$F$28,Inputs!$C$68)),"")</f>
      </c>
      <c r="H5662" s="34"/>
      <c r="I5662" s="42">
        <f>IF(AND(ISNUMBER(D5662),ISNUMBER(H5662)),D5662*H5662*Inputs!$C$69,"")</f>
      </c>
      <c r="J5662" s="42">
        <f>IF(AND(ISNUMBER(F5662),ISNUMBER(H5662),F5662&gt;=Inputs!$C$68),F5662*H5662*Inputs!$C$69,"")</f>
      </c>
    </row>
    <row r="5663" spans="2:10" ht="15" customHeight="1" x14ac:dyDescent="0.2">
      <c r="B5663" s="39">
        <f t="shared" si="44"/>
      </c>
      <c r="C5663" s="40">
        <f>IF(Inputs!$C$60,Inputs!$C$11+(B5663-Inputs!$C$69)/Inputs!$C$70,"")</f>
      </c>
      <c r="D5663" s="15"/>
      <c r="E5663" s="15"/>
      <c r="F5663" s="11">
        <f t="shared" si="45"/>
      </c>
      <c r="G5663" s="22" cm="1">
        <f t="array" ref="G5663">IF(AND(Inputs!$C$60,Inputs!$C$61),INDEX(Utility_Rates!$C$29:$F$52,HOUR(C5663)+Inputs!$C$69,MATCH(INDEX(Utility_Rates!$K$6:$K$17,MONTH(C5663))&amp;IF(WEEKDAY(C5663,Inputs!$C$76)&lt;=Inputs!$C$74," weekday"," weekend"),Utility_Rates!$C$28:$F$28,Inputs!$C$68)),"")</f>
      </c>
      <c r="H5663" s="34"/>
      <c r="I5663" s="42">
        <f>IF(AND(ISNUMBER(D5663),ISNUMBER(H5663)),D5663*H5663*Inputs!$C$69,"")</f>
      </c>
      <c r="J5663" s="42">
        <f>IF(AND(ISNUMBER(F5663),ISNUMBER(H5663),F5663&gt;=Inputs!$C$68),F5663*H5663*Inputs!$C$69,"")</f>
      </c>
    </row>
    <row r="5664" spans="2:10" ht="15" customHeight="1" x14ac:dyDescent="0.2">
      <c r="B5664" s="39">
        <f t="shared" si="44"/>
      </c>
      <c r="C5664" s="40">
        <f>IF(Inputs!$C$60,Inputs!$C$11+(B5664-Inputs!$C$69)/Inputs!$C$70,"")</f>
      </c>
      <c r="D5664" s="15"/>
      <c r="E5664" s="15"/>
      <c r="F5664" s="11">
        <f t="shared" si="45"/>
      </c>
      <c r="G5664" s="22" cm="1">
        <f t="array" ref="G5664">IF(AND(Inputs!$C$60,Inputs!$C$61),INDEX(Utility_Rates!$C$29:$F$52,HOUR(C5664)+Inputs!$C$69,MATCH(INDEX(Utility_Rates!$K$6:$K$17,MONTH(C5664))&amp;IF(WEEKDAY(C5664,Inputs!$C$76)&lt;=Inputs!$C$74," weekday"," weekend"),Utility_Rates!$C$28:$F$28,Inputs!$C$68)),"")</f>
      </c>
      <c r="H5664" s="34"/>
      <c r="I5664" s="42">
        <f>IF(AND(ISNUMBER(D5664),ISNUMBER(H5664)),D5664*H5664*Inputs!$C$69,"")</f>
      </c>
      <c r="J5664" s="42">
        <f>IF(AND(ISNUMBER(F5664),ISNUMBER(H5664),F5664&gt;=Inputs!$C$68),F5664*H5664*Inputs!$C$69,"")</f>
      </c>
    </row>
    <row r="5665" spans="2:10" ht="15" customHeight="1" x14ac:dyDescent="0.2">
      <c r="B5665" s="39">
        <f t="shared" si="44"/>
      </c>
      <c r="C5665" s="40">
        <f>IF(Inputs!$C$60,Inputs!$C$11+(B5665-Inputs!$C$69)/Inputs!$C$70,"")</f>
      </c>
      <c r="D5665" s="15"/>
      <c r="E5665" s="15"/>
      <c r="F5665" s="11">
        <f t="shared" si="45"/>
      </c>
      <c r="G5665" s="22" cm="1">
        <f t="array" ref="G5665">IF(AND(Inputs!$C$60,Inputs!$C$61),INDEX(Utility_Rates!$C$29:$F$52,HOUR(C5665)+Inputs!$C$69,MATCH(INDEX(Utility_Rates!$K$6:$K$17,MONTH(C5665))&amp;IF(WEEKDAY(C5665,Inputs!$C$76)&lt;=Inputs!$C$74," weekday"," weekend"),Utility_Rates!$C$28:$F$28,Inputs!$C$68)),"")</f>
      </c>
      <c r="H5665" s="34"/>
      <c r="I5665" s="42">
        <f>IF(AND(ISNUMBER(D5665),ISNUMBER(H5665)),D5665*H5665*Inputs!$C$69,"")</f>
      </c>
      <c r="J5665" s="42">
        <f>IF(AND(ISNUMBER(F5665),ISNUMBER(H5665),F5665&gt;=Inputs!$C$68),F5665*H5665*Inputs!$C$69,"")</f>
      </c>
    </row>
    <row r="5666" spans="2:10" ht="15" customHeight="1" x14ac:dyDescent="0.2">
      <c r="B5666" s="39">
        <f t="shared" si="44"/>
      </c>
      <c r="C5666" s="40">
        <f>IF(Inputs!$C$60,Inputs!$C$11+(B5666-Inputs!$C$69)/Inputs!$C$70,"")</f>
      </c>
      <c r="D5666" s="15"/>
      <c r="E5666" s="15"/>
      <c r="F5666" s="11">
        <f t="shared" si="45"/>
      </c>
      <c r="G5666" s="22" cm="1">
        <f t="array" ref="G5666">IF(AND(Inputs!$C$60,Inputs!$C$61),INDEX(Utility_Rates!$C$29:$F$52,HOUR(C5666)+Inputs!$C$69,MATCH(INDEX(Utility_Rates!$K$6:$K$17,MONTH(C5666))&amp;IF(WEEKDAY(C5666,Inputs!$C$76)&lt;=Inputs!$C$74," weekday"," weekend"),Utility_Rates!$C$28:$F$28,Inputs!$C$68)),"")</f>
      </c>
      <c r="H5666" s="34"/>
      <c r="I5666" s="42">
        <f>IF(AND(ISNUMBER(D5666),ISNUMBER(H5666)),D5666*H5666*Inputs!$C$69,"")</f>
      </c>
      <c r="J5666" s="42">
        <f>IF(AND(ISNUMBER(F5666),ISNUMBER(H5666),F5666&gt;=Inputs!$C$68),F5666*H5666*Inputs!$C$69,"")</f>
      </c>
    </row>
    <row r="5667" spans="2:10" ht="15" customHeight="1" x14ac:dyDescent="0.2">
      <c r="B5667" s="39">
        <f t="shared" si="44"/>
      </c>
      <c r="C5667" s="40">
        <f>IF(Inputs!$C$60,Inputs!$C$11+(B5667-Inputs!$C$69)/Inputs!$C$70,"")</f>
      </c>
      <c r="D5667" s="15"/>
      <c r="E5667" s="15"/>
      <c r="F5667" s="11">
        <f t="shared" si="45"/>
      </c>
      <c r="G5667" s="22" cm="1">
        <f t="array" ref="G5667">IF(AND(Inputs!$C$60,Inputs!$C$61),INDEX(Utility_Rates!$C$29:$F$52,HOUR(C5667)+Inputs!$C$69,MATCH(INDEX(Utility_Rates!$K$6:$K$17,MONTH(C5667))&amp;IF(WEEKDAY(C5667,Inputs!$C$76)&lt;=Inputs!$C$74," weekday"," weekend"),Utility_Rates!$C$28:$F$28,Inputs!$C$68)),"")</f>
      </c>
      <c r="H5667" s="34"/>
      <c r="I5667" s="42">
        <f>IF(AND(ISNUMBER(D5667),ISNUMBER(H5667)),D5667*H5667*Inputs!$C$69,"")</f>
      </c>
      <c r="J5667" s="42">
        <f>IF(AND(ISNUMBER(F5667),ISNUMBER(H5667),F5667&gt;=Inputs!$C$68),F5667*H5667*Inputs!$C$69,"")</f>
      </c>
    </row>
    <row r="5668" spans="2:10" ht="15" customHeight="1" x14ac:dyDescent="0.2">
      <c r="B5668" s="39">
        <f t="shared" si="44"/>
      </c>
      <c r="C5668" s="40">
        <f>IF(Inputs!$C$60,Inputs!$C$11+(B5668-Inputs!$C$69)/Inputs!$C$70,"")</f>
      </c>
      <c r="D5668" s="15"/>
      <c r="E5668" s="15"/>
      <c r="F5668" s="11">
        <f t="shared" si="45"/>
      </c>
      <c r="G5668" s="22" cm="1">
        <f t="array" ref="G5668">IF(AND(Inputs!$C$60,Inputs!$C$61),INDEX(Utility_Rates!$C$29:$F$52,HOUR(C5668)+Inputs!$C$69,MATCH(INDEX(Utility_Rates!$K$6:$K$17,MONTH(C5668))&amp;IF(WEEKDAY(C5668,Inputs!$C$76)&lt;=Inputs!$C$74," weekday"," weekend"),Utility_Rates!$C$28:$F$28,Inputs!$C$68)),"")</f>
      </c>
      <c r="H5668" s="34"/>
      <c r="I5668" s="42">
        <f>IF(AND(ISNUMBER(D5668),ISNUMBER(H5668)),D5668*H5668*Inputs!$C$69,"")</f>
      </c>
      <c r="J5668" s="42">
        <f>IF(AND(ISNUMBER(F5668),ISNUMBER(H5668),F5668&gt;=Inputs!$C$68),F5668*H5668*Inputs!$C$69,"")</f>
      </c>
    </row>
    <row r="5669" spans="2:10" ht="15" customHeight="1" x14ac:dyDescent="0.2">
      <c r="B5669" s="39">
        <f t="shared" si="44"/>
      </c>
      <c r="C5669" s="40">
        <f>IF(Inputs!$C$60,Inputs!$C$11+(B5669-Inputs!$C$69)/Inputs!$C$70,"")</f>
      </c>
      <c r="D5669" s="15"/>
      <c r="E5669" s="15"/>
      <c r="F5669" s="11">
        <f t="shared" si="45"/>
      </c>
      <c r="G5669" s="22" cm="1">
        <f t="array" ref="G5669">IF(AND(Inputs!$C$60,Inputs!$C$61),INDEX(Utility_Rates!$C$29:$F$52,HOUR(C5669)+Inputs!$C$69,MATCH(INDEX(Utility_Rates!$K$6:$K$17,MONTH(C5669))&amp;IF(WEEKDAY(C5669,Inputs!$C$76)&lt;=Inputs!$C$74," weekday"," weekend"),Utility_Rates!$C$28:$F$28,Inputs!$C$68)),"")</f>
      </c>
      <c r="H5669" s="34"/>
      <c r="I5669" s="42">
        <f>IF(AND(ISNUMBER(D5669),ISNUMBER(H5669)),D5669*H5669*Inputs!$C$69,"")</f>
      </c>
      <c r="J5669" s="42">
        <f>IF(AND(ISNUMBER(F5669),ISNUMBER(H5669),F5669&gt;=Inputs!$C$68),F5669*H5669*Inputs!$C$69,"")</f>
      </c>
    </row>
    <row r="5670" spans="2:10" ht="15" customHeight="1" x14ac:dyDescent="0.2">
      <c r="B5670" s="39">
        <f t="shared" si="44"/>
      </c>
      <c r="C5670" s="40">
        <f>IF(Inputs!$C$60,Inputs!$C$11+(B5670-Inputs!$C$69)/Inputs!$C$70,"")</f>
      </c>
      <c r="D5670" s="15"/>
      <c r="E5670" s="15"/>
      <c r="F5670" s="11">
        <f t="shared" si="45"/>
      </c>
      <c r="G5670" s="22" cm="1">
        <f t="array" ref="G5670">IF(AND(Inputs!$C$60,Inputs!$C$61),INDEX(Utility_Rates!$C$29:$F$52,HOUR(C5670)+Inputs!$C$69,MATCH(INDEX(Utility_Rates!$K$6:$K$17,MONTH(C5670))&amp;IF(WEEKDAY(C5670,Inputs!$C$76)&lt;=Inputs!$C$74," weekday"," weekend"),Utility_Rates!$C$28:$F$28,Inputs!$C$68)),"")</f>
      </c>
      <c r="H5670" s="34"/>
      <c r="I5670" s="42">
        <f>IF(AND(ISNUMBER(D5670),ISNUMBER(H5670)),D5670*H5670*Inputs!$C$69,"")</f>
      </c>
      <c r="J5670" s="42">
        <f>IF(AND(ISNUMBER(F5670),ISNUMBER(H5670),F5670&gt;=Inputs!$C$68),F5670*H5670*Inputs!$C$69,"")</f>
      </c>
    </row>
    <row r="5671" spans="2:10" ht="15" customHeight="1" x14ac:dyDescent="0.2">
      <c r="B5671" s="39">
        <f t="shared" si="44"/>
      </c>
      <c r="C5671" s="40">
        <f>IF(Inputs!$C$60,Inputs!$C$11+(B5671-Inputs!$C$69)/Inputs!$C$70,"")</f>
      </c>
      <c r="D5671" s="15"/>
      <c r="E5671" s="15"/>
      <c r="F5671" s="11">
        <f t="shared" si="45"/>
      </c>
      <c r="G5671" s="22" cm="1">
        <f t="array" ref="G5671">IF(AND(Inputs!$C$60,Inputs!$C$61),INDEX(Utility_Rates!$C$29:$F$52,HOUR(C5671)+Inputs!$C$69,MATCH(INDEX(Utility_Rates!$K$6:$K$17,MONTH(C5671))&amp;IF(WEEKDAY(C5671,Inputs!$C$76)&lt;=Inputs!$C$74," weekday"," weekend"),Utility_Rates!$C$28:$F$28,Inputs!$C$68)),"")</f>
      </c>
      <c r="H5671" s="34"/>
      <c r="I5671" s="42">
        <f>IF(AND(ISNUMBER(D5671),ISNUMBER(H5671)),D5671*H5671*Inputs!$C$69,"")</f>
      </c>
      <c r="J5671" s="42">
        <f>IF(AND(ISNUMBER(F5671),ISNUMBER(H5671),F5671&gt;=Inputs!$C$68),F5671*H5671*Inputs!$C$69,"")</f>
      </c>
    </row>
    <row r="5672" spans="2:10" ht="15" customHeight="1" x14ac:dyDescent="0.2">
      <c r="B5672" s="39">
        <f t="shared" si="44"/>
      </c>
      <c r="C5672" s="40">
        <f>IF(Inputs!$C$60,Inputs!$C$11+(B5672-Inputs!$C$69)/Inputs!$C$70,"")</f>
      </c>
      <c r="D5672" s="15"/>
      <c r="E5672" s="15"/>
      <c r="F5672" s="11">
        <f t="shared" si="45"/>
      </c>
      <c r="G5672" s="22" cm="1">
        <f t="array" ref="G5672">IF(AND(Inputs!$C$60,Inputs!$C$61),INDEX(Utility_Rates!$C$29:$F$52,HOUR(C5672)+Inputs!$C$69,MATCH(INDEX(Utility_Rates!$K$6:$K$17,MONTH(C5672))&amp;IF(WEEKDAY(C5672,Inputs!$C$76)&lt;=Inputs!$C$74," weekday"," weekend"),Utility_Rates!$C$28:$F$28,Inputs!$C$68)),"")</f>
      </c>
      <c r="H5672" s="34"/>
      <c r="I5672" s="42">
        <f>IF(AND(ISNUMBER(D5672),ISNUMBER(H5672)),D5672*H5672*Inputs!$C$69,"")</f>
      </c>
      <c r="J5672" s="42">
        <f>IF(AND(ISNUMBER(F5672),ISNUMBER(H5672),F5672&gt;=Inputs!$C$68),F5672*H5672*Inputs!$C$69,"")</f>
      </c>
    </row>
    <row r="5673" spans="2:10" ht="15" customHeight="1" x14ac:dyDescent="0.2">
      <c r="B5673" s="39">
        <f t="shared" si="44"/>
      </c>
      <c r="C5673" s="40">
        <f>IF(Inputs!$C$60,Inputs!$C$11+(B5673-Inputs!$C$69)/Inputs!$C$70,"")</f>
      </c>
      <c r="D5673" s="15"/>
      <c r="E5673" s="15"/>
      <c r="F5673" s="11">
        <f t="shared" si="45"/>
      </c>
      <c r="G5673" s="22" cm="1">
        <f t="array" ref="G5673">IF(AND(Inputs!$C$60,Inputs!$C$61),INDEX(Utility_Rates!$C$29:$F$52,HOUR(C5673)+Inputs!$C$69,MATCH(INDEX(Utility_Rates!$K$6:$K$17,MONTH(C5673))&amp;IF(WEEKDAY(C5673,Inputs!$C$76)&lt;=Inputs!$C$74," weekday"," weekend"),Utility_Rates!$C$28:$F$28,Inputs!$C$68)),"")</f>
      </c>
      <c r="H5673" s="34"/>
      <c r="I5673" s="42">
        <f>IF(AND(ISNUMBER(D5673),ISNUMBER(H5673)),D5673*H5673*Inputs!$C$69,"")</f>
      </c>
      <c r="J5673" s="42">
        <f>IF(AND(ISNUMBER(F5673),ISNUMBER(H5673),F5673&gt;=Inputs!$C$68),F5673*H5673*Inputs!$C$69,"")</f>
      </c>
    </row>
    <row r="5674" spans="2:10" ht="15" customHeight="1" x14ac:dyDescent="0.2">
      <c r="B5674" s="39">
        <f t="shared" si="44"/>
      </c>
      <c r="C5674" s="40">
        <f>IF(Inputs!$C$60,Inputs!$C$11+(B5674-Inputs!$C$69)/Inputs!$C$70,"")</f>
      </c>
      <c r="D5674" s="15"/>
      <c r="E5674" s="15"/>
      <c r="F5674" s="11">
        <f t="shared" si="45"/>
      </c>
      <c r="G5674" s="22" cm="1">
        <f t="array" ref="G5674">IF(AND(Inputs!$C$60,Inputs!$C$61),INDEX(Utility_Rates!$C$29:$F$52,HOUR(C5674)+Inputs!$C$69,MATCH(INDEX(Utility_Rates!$K$6:$K$17,MONTH(C5674))&amp;IF(WEEKDAY(C5674,Inputs!$C$76)&lt;=Inputs!$C$74," weekday"," weekend"),Utility_Rates!$C$28:$F$28,Inputs!$C$68)),"")</f>
      </c>
      <c r="H5674" s="34"/>
      <c r="I5674" s="42">
        <f>IF(AND(ISNUMBER(D5674),ISNUMBER(H5674)),D5674*H5674*Inputs!$C$69,"")</f>
      </c>
      <c r="J5674" s="42">
        <f>IF(AND(ISNUMBER(F5674),ISNUMBER(H5674),F5674&gt;=Inputs!$C$68),F5674*H5674*Inputs!$C$69,"")</f>
      </c>
    </row>
    <row r="5675" spans="2:10" ht="15" customHeight="1" x14ac:dyDescent="0.2">
      <c r="B5675" s="39">
        <f t="shared" si="44"/>
      </c>
      <c r="C5675" s="40">
        <f>IF(Inputs!$C$60,Inputs!$C$11+(B5675-Inputs!$C$69)/Inputs!$C$70,"")</f>
      </c>
      <c r="D5675" s="15"/>
      <c r="E5675" s="15"/>
      <c r="F5675" s="11">
        <f t="shared" si="45"/>
      </c>
      <c r="G5675" s="22" cm="1">
        <f t="array" ref="G5675">IF(AND(Inputs!$C$60,Inputs!$C$61),INDEX(Utility_Rates!$C$29:$F$52,HOUR(C5675)+Inputs!$C$69,MATCH(INDEX(Utility_Rates!$K$6:$K$17,MONTH(C5675))&amp;IF(WEEKDAY(C5675,Inputs!$C$76)&lt;=Inputs!$C$74," weekday"," weekend"),Utility_Rates!$C$28:$F$28,Inputs!$C$68)),"")</f>
      </c>
      <c r="H5675" s="34"/>
      <c r="I5675" s="42">
        <f>IF(AND(ISNUMBER(D5675),ISNUMBER(H5675)),D5675*H5675*Inputs!$C$69,"")</f>
      </c>
      <c r="J5675" s="42">
        <f>IF(AND(ISNUMBER(F5675),ISNUMBER(H5675),F5675&gt;=Inputs!$C$68),F5675*H5675*Inputs!$C$69,"")</f>
      </c>
    </row>
    <row r="5676" spans="2:10" ht="15" customHeight="1" x14ac:dyDescent="0.2">
      <c r="B5676" s="39">
        <f t="shared" si="44"/>
      </c>
      <c r="C5676" s="40">
        <f>IF(Inputs!$C$60,Inputs!$C$11+(B5676-Inputs!$C$69)/Inputs!$C$70,"")</f>
      </c>
      <c r="D5676" s="15"/>
      <c r="E5676" s="15"/>
      <c r="F5676" s="11">
        <f t="shared" si="45"/>
      </c>
      <c r="G5676" s="22" cm="1">
        <f t="array" ref="G5676">IF(AND(Inputs!$C$60,Inputs!$C$61),INDEX(Utility_Rates!$C$29:$F$52,HOUR(C5676)+Inputs!$C$69,MATCH(INDEX(Utility_Rates!$K$6:$K$17,MONTH(C5676))&amp;IF(WEEKDAY(C5676,Inputs!$C$76)&lt;=Inputs!$C$74," weekday"," weekend"),Utility_Rates!$C$28:$F$28,Inputs!$C$68)),"")</f>
      </c>
      <c r="H5676" s="34"/>
      <c r="I5676" s="42">
        <f>IF(AND(ISNUMBER(D5676),ISNUMBER(H5676)),D5676*H5676*Inputs!$C$69,"")</f>
      </c>
      <c r="J5676" s="42">
        <f>IF(AND(ISNUMBER(F5676),ISNUMBER(H5676),F5676&gt;=Inputs!$C$68),F5676*H5676*Inputs!$C$69,"")</f>
      </c>
    </row>
    <row r="5677" spans="2:10" ht="15" customHeight="1" x14ac:dyDescent="0.2">
      <c r="B5677" s="39">
        <f t="shared" si="44"/>
      </c>
      <c r="C5677" s="40">
        <f>IF(Inputs!$C$60,Inputs!$C$11+(B5677-Inputs!$C$69)/Inputs!$C$70,"")</f>
      </c>
      <c r="D5677" s="15"/>
      <c r="E5677" s="15"/>
      <c r="F5677" s="11">
        <f t="shared" si="45"/>
      </c>
      <c r="G5677" s="22" cm="1">
        <f t="array" ref="G5677">IF(AND(Inputs!$C$60,Inputs!$C$61),INDEX(Utility_Rates!$C$29:$F$52,HOUR(C5677)+Inputs!$C$69,MATCH(INDEX(Utility_Rates!$K$6:$K$17,MONTH(C5677))&amp;IF(WEEKDAY(C5677,Inputs!$C$76)&lt;=Inputs!$C$74," weekday"," weekend"),Utility_Rates!$C$28:$F$28,Inputs!$C$68)),"")</f>
      </c>
      <c r="H5677" s="34"/>
      <c r="I5677" s="42">
        <f>IF(AND(ISNUMBER(D5677),ISNUMBER(H5677)),D5677*H5677*Inputs!$C$69,"")</f>
      </c>
      <c r="J5677" s="42">
        <f>IF(AND(ISNUMBER(F5677),ISNUMBER(H5677),F5677&gt;=Inputs!$C$68),F5677*H5677*Inputs!$C$69,"")</f>
      </c>
    </row>
    <row r="5678" spans="2:10" ht="15" customHeight="1" x14ac:dyDescent="0.2">
      <c r="B5678" s="39">
        <f t="shared" si="44"/>
      </c>
      <c r="C5678" s="40">
        <f>IF(Inputs!$C$60,Inputs!$C$11+(B5678-Inputs!$C$69)/Inputs!$C$70,"")</f>
      </c>
      <c r="D5678" s="15"/>
      <c r="E5678" s="15"/>
      <c r="F5678" s="11">
        <f t="shared" si="45"/>
      </c>
      <c r="G5678" s="22" cm="1">
        <f t="array" ref="G5678">IF(AND(Inputs!$C$60,Inputs!$C$61),INDEX(Utility_Rates!$C$29:$F$52,HOUR(C5678)+Inputs!$C$69,MATCH(INDEX(Utility_Rates!$K$6:$K$17,MONTH(C5678))&amp;IF(WEEKDAY(C5678,Inputs!$C$76)&lt;=Inputs!$C$74," weekday"," weekend"),Utility_Rates!$C$28:$F$28,Inputs!$C$68)),"")</f>
      </c>
      <c r="H5678" s="34"/>
      <c r="I5678" s="42">
        <f>IF(AND(ISNUMBER(D5678),ISNUMBER(H5678)),D5678*H5678*Inputs!$C$69,"")</f>
      </c>
      <c r="J5678" s="42">
        <f>IF(AND(ISNUMBER(F5678),ISNUMBER(H5678),F5678&gt;=Inputs!$C$68),F5678*H5678*Inputs!$C$69,"")</f>
      </c>
    </row>
    <row r="5679" spans="2:10" ht="15" customHeight="1" x14ac:dyDescent="0.2">
      <c r="B5679" s="39">
        <f t="shared" si="44"/>
      </c>
      <c r="C5679" s="40">
        <f>IF(Inputs!$C$60,Inputs!$C$11+(B5679-Inputs!$C$69)/Inputs!$C$70,"")</f>
      </c>
      <c r="D5679" s="15"/>
      <c r="E5679" s="15"/>
      <c r="F5679" s="11">
        <f t="shared" si="45"/>
      </c>
      <c r="G5679" s="22" cm="1">
        <f t="array" ref="G5679">IF(AND(Inputs!$C$60,Inputs!$C$61),INDEX(Utility_Rates!$C$29:$F$52,HOUR(C5679)+Inputs!$C$69,MATCH(INDEX(Utility_Rates!$K$6:$K$17,MONTH(C5679))&amp;IF(WEEKDAY(C5679,Inputs!$C$76)&lt;=Inputs!$C$74," weekday"," weekend"),Utility_Rates!$C$28:$F$28,Inputs!$C$68)),"")</f>
      </c>
      <c r="H5679" s="34"/>
      <c r="I5679" s="42">
        <f>IF(AND(ISNUMBER(D5679),ISNUMBER(H5679)),D5679*H5679*Inputs!$C$69,"")</f>
      </c>
      <c r="J5679" s="42">
        <f>IF(AND(ISNUMBER(F5679),ISNUMBER(H5679),F5679&gt;=Inputs!$C$68),F5679*H5679*Inputs!$C$69,"")</f>
      </c>
    </row>
    <row r="5680" spans="2:10" ht="15" customHeight="1" x14ac:dyDescent="0.2">
      <c r="B5680" s="39">
        <f t="shared" si="44"/>
      </c>
      <c r="C5680" s="40">
        <f>IF(Inputs!$C$60,Inputs!$C$11+(B5680-Inputs!$C$69)/Inputs!$C$70,"")</f>
      </c>
      <c r="D5680" s="15"/>
      <c r="E5680" s="15"/>
      <c r="F5680" s="11">
        <f t="shared" si="45"/>
      </c>
      <c r="G5680" s="22" cm="1">
        <f t="array" ref="G5680">IF(AND(Inputs!$C$60,Inputs!$C$61),INDEX(Utility_Rates!$C$29:$F$52,HOUR(C5680)+Inputs!$C$69,MATCH(INDEX(Utility_Rates!$K$6:$K$17,MONTH(C5680))&amp;IF(WEEKDAY(C5680,Inputs!$C$76)&lt;=Inputs!$C$74," weekday"," weekend"),Utility_Rates!$C$28:$F$28,Inputs!$C$68)),"")</f>
      </c>
      <c r="H5680" s="34"/>
      <c r="I5680" s="42">
        <f>IF(AND(ISNUMBER(D5680),ISNUMBER(H5680)),D5680*H5680*Inputs!$C$69,"")</f>
      </c>
      <c r="J5680" s="42">
        <f>IF(AND(ISNUMBER(F5680),ISNUMBER(H5680),F5680&gt;=Inputs!$C$68),F5680*H5680*Inputs!$C$69,"")</f>
      </c>
    </row>
    <row r="5681" spans="2:10" ht="15" customHeight="1" x14ac:dyDescent="0.2">
      <c r="B5681" s="39">
        <f t="shared" si="44"/>
      </c>
      <c r="C5681" s="40">
        <f>IF(Inputs!$C$60,Inputs!$C$11+(B5681-Inputs!$C$69)/Inputs!$C$70,"")</f>
      </c>
      <c r="D5681" s="15"/>
      <c r="E5681" s="15"/>
      <c r="F5681" s="11">
        <f t="shared" si="45"/>
      </c>
      <c r="G5681" s="22" cm="1">
        <f t="array" ref="G5681">IF(AND(Inputs!$C$60,Inputs!$C$61),INDEX(Utility_Rates!$C$29:$F$52,HOUR(C5681)+Inputs!$C$69,MATCH(INDEX(Utility_Rates!$K$6:$K$17,MONTH(C5681))&amp;IF(WEEKDAY(C5681,Inputs!$C$76)&lt;=Inputs!$C$74," weekday"," weekend"),Utility_Rates!$C$28:$F$28,Inputs!$C$68)),"")</f>
      </c>
      <c r="H5681" s="34"/>
      <c r="I5681" s="42">
        <f>IF(AND(ISNUMBER(D5681),ISNUMBER(H5681)),D5681*H5681*Inputs!$C$69,"")</f>
      </c>
      <c r="J5681" s="42">
        <f>IF(AND(ISNUMBER(F5681),ISNUMBER(H5681),F5681&gt;=Inputs!$C$68),F5681*H5681*Inputs!$C$69,"")</f>
      </c>
    </row>
    <row r="5682" spans="2:10" ht="15" customHeight="1" x14ac:dyDescent="0.2">
      <c r="B5682" s="39">
        <f t="shared" si="44"/>
      </c>
      <c r="C5682" s="40">
        <f>IF(Inputs!$C$60,Inputs!$C$11+(B5682-Inputs!$C$69)/Inputs!$C$70,"")</f>
      </c>
      <c r="D5682" s="15"/>
      <c r="E5682" s="15"/>
      <c r="F5682" s="11">
        <f t="shared" si="45"/>
      </c>
      <c r="G5682" s="22" cm="1">
        <f t="array" ref="G5682">IF(AND(Inputs!$C$60,Inputs!$C$61),INDEX(Utility_Rates!$C$29:$F$52,HOUR(C5682)+Inputs!$C$69,MATCH(INDEX(Utility_Rates!$K$6:$K$17,MONTH(C5682))&amp;IF(WEEKDAY(C5682,Inputs!$C$76)&lt;=Inputs!$C$74," weekday"," weekend"),Utility_Rates!$C$28:$F$28,Inputs!$C$68)),"")</f>
      </c>
      <c r="H5682" s="34"/>
      <c r="I5682" s="42">
        <f>IF(AND(ISNUMBER(D5682),ISNUMBER(H5682)),D5682*H5682*Inputs!$C$69,"")</f>
      </c>
      <c r="J5682" s="42">
        <f>IF(AND(ISNUMBER(F5682),ISNUMBER(H5682),F5682&gt;=Inputs!$C$68),F5682*H5682*Inputs!$C$69,"")</f>
      </c>
    </row>
    <row r="5683" spans="2:10" ht="15" customHeight="1" x14ac:dyDescent="0.2">
      <c r="B5683" s="39">
        <f t="shared" si="44"/>
      </c>
      <c r="C5683" s="40">
        <f>IF(Inputs!$C$60,Inputs!$C$11+(B5683-Inputs!$C$69)/Inputs!$C$70,"")</f>
      </c>
      <c r="D5683" s="15"/>
      <c r="E5683" s="15"/>
      <c r="F5683" s="11">
        <f t="shared" si="45"/>
      </c>
      <c r="G5683" s="22" cm="1">
        <f t="array" ref="G5683">IF(AND(Inputs!$C$60,Inputs!$C$61),INDEX(Utility_Rates!$C$29:$F$52,HOUR(C5683)+Inputs!$C$69,MATCH(INDEX(Utility_Rates!$K$6:$K$17,MONTH(C5683))&amp;IF(WEEKDAY(C5683,Inputs!$C$76)&lt;=Inputs!$C$74," weekday"," weekend"),Utility_Rates!$C$28:$F$28,Inputs!$C$68)),"")</f>
      </c>
      <c r="H5683" s="34"/>
      <c r="I5683" s="42">
        <f>IF(AND(ISNUMBER(D5683),ISNUMBER(H5683)),D5683*H5683*Inputs!$C$69,"")</f>
      </c>
      <c r="J5683" s="42">
        <f>IF(AND(ISNUMBER(F5683),ISNUMBER(H5683),F5683&gt;=Inputs!$C$68),F5683*H5683*Inputs!$C$69,"")</f>
      </c>
    </row>
    <row r="5684" spans="2:10" ht="15" customHeight="1" x14ac:dyDescent="0.2">
      <c r="B5684" s="39">
        <f t="shared" si="44"/>
      </c>
      <c r="C5684" s="40">
        <f>IF(Inputs!$C$60,Inputs!$C$11+(B5684-Inputs!$C$69)/Inputs!$C$70,"")</f>
      </c>
      <c r="D5684" s="15"/>
      <c r="E5684" s="15"/>
      <c r="F5684" s="11">
        <f t="shared" si="45"/>
      </c>
      <c r="G5684" s="22" cm="1">
        <f t="array" ref="G5684">IF(AND(Inputs!$C$60,Inputs!$C$61),INDEX(Utility_Rates!$C$29:$F$52,HOUR(C5684)+Inputs!$C$69,MATCH(INDEX(Utility_Rates!$K$6:$K$17,MONTH(C5684))&amp;IF(WEEKDAY(C5684,Inputs!$C$76)&lt;=Inputs!$C$74," weekday"," weekend"),Utility_Rates!$C$28:$F$28,Inputs!$C$68)),"")</f>
      </c>
      <c r="H5684" s="34"/>
      <c r="I5684" s="42">
        <f>IF(AND(ISNUMBER(D5684),ISNUMBER(H5684)),D5684*H5684*Inputs!$C$69,"")</f>
      </c>
      <c r="J5684" s="42">
        <f>IF(AND(ISNUMBER(F5684),ISNUMBER(H5684),F5684&gt;=Inputs!$C$68),F5684*H5684*Inputs!$C$69,"")</f>
      </c>
    </row>
    <row r="5685" spans="2:10" ht="15" customHeight="1" x14ac:dyDescent="0.2">
      <c r="B5685" s="39">
        <f t="shared" si="44"/>
      </c>
      <c r="C5685" s="40">
        <f>IF(Inputs!$C$60,Inputs!$C$11+(B5685-Inputs!$C$69)/Inputs!$C$70,"")</f>
      </c>
      <c r="D5685" s="15"/>
      <c r="E5685" s="15"/>
      <c r="F5685" s="11">
        <f t="shared" si="45"/>
      </c>
      <c r="G5685" s="22" cm="1">
        <f t="array" ref="G5685">IF(AND(Inputs!$C$60,Inputs!$C$61),INDEX(Utility_Rates!$C$29:$F$52,HOUR(C5685)+Inputs!$C$69,MATCH(INDEX(Utility_Rates!$K$6:$K$17,MONTH(C5685))&amp;IF(WEEKDAY(C5685,Inputs!$C$76)&lt;=Inputs!$C$74," weekday"," weekend"),Utility_Rates!$C$28:$F$28,Inputs!$C$68)),"")</f>
      </c>
      <c r="H5685" s="34"/>
      <c r="I5685" s="42">
        <f>IF(AND(ISNUMBER(D5685),ISNUMBER(H5685)),D5685*H5685*Inputs!$C$69,"")</f>
      </c>
      <c r="J5685" s="42">
        <f>IF(AND(ISNUMBER(F5685),ISNUMBER(H5685),F5685&gt;=Inputs!$C$68),F5685*H5685*Inputs!$C$69,"")</f>
      </c>
    </row>
    <row r="5686" spans="2:10" ht="15" customHeight="1" x14ac:dyDescent="0.2">
      <c r="B5686" s="39">
        <f t="shared" si="44"/>
      </c>
      <c r="C5686" s="40">
        <f>IF(Inputs!$C$60,Inputs!$C$11+(B5686-Inputs!$C$69)/Inputs!$C$70,"")</f>
      </c>
      <c r="D5686" s="15"/>
      <c r="E5686" s="15"/>
      <c r="F5686" s="11">
        <f t="shared" si="45"/>
      </c>
      <c r="G5686" s="22" cm="1">
        <f t="array" ref="G5686">IF(AND(Inputs!$C$60,Inputs!$C$61),INDEX(Utility_Rates!$C$29:$F$52,HOUR(C5686)+Inputs!$C$69,MATCH(INDEX(Utility_Rates!$K$6:$K$17,MONTH(C5686))&amp;IF(WEEKDAY(C5686,Inputs!$C$76)&lt;=Inputs!$C$74," weekday"," weekend"),Utility_Rates!$C$28:$F$28,Inputs!$C$68)),"")</f>
      </c>
      <c r="H5686" s="34"/>
      <c r="I5686" s="42">
        <f>IF(AND(ISNUMBER(D5686),ISNUMBER(H5686)),D5686*H5686*Inputs!$C$69,"")</f>
      </c>
      <c r="J5686" s="42">
        <f>IF(AND(ISNUMBER(F5686),ISNUMBER(H5686),F5686&gt;=Inputs!$C$68),F5686*H5686*Inputs!$C$69,"")</f>
      </c>
    </row>
    <row r="5687" spans="2:10" ht="15" customHeight="1" x14ac:dyDescent="0.2">
      <c r="B5687" s="39">
        <f t="shared" si="44"/>
      </c>
      <c r="C5687" s="40">
        <f>IF(Inputs!$C$60,Inputs!$C$11+(B5687-Inputs!$C$69)/Inputs!$C$70,"")</f>
      </c>
      <c r="D5687" s="15"/>
      <c r="E5687" s="15"/>
      <c r="F5687" s="11">
        <f t="shared" si="45"/>
      </c>
      <c r="G5687" s="22" cm="1">
        <f t="array" ref="G5687">IF(AND(Inputs!$C$60,Inputs!$C$61),INDEX(Utility_Rates!$C$29:$F$52,HOUR(C5687)+Inputs!$C$69,MATCH(INDEX(Utility_Rates!$K$6:$K$17,MONTH(C5687))&amp;IF(WEEKDAY(C5687,Inputs!$C$76)&lt;=Inputs!$C$74," weekday"," weekend"),Utility_Rates!$C$28:$F$28,Inputs!$C$68)),"")</f>
      </c>
      <c r="H5687" s="34"/>
      <c r="I5687" s="42">
        <f>IF(AND(ISNUMBER(D5687),ISNUMBER(H5687)),D5687*H5687*Inputs!$C$69,"")</f>
      </c>
      <c r="J5687" s="42">
        <f>IF(AND(ISNUMBER(F5687),ISNUMBER(H5687),F5687&gt;=Inputs!$C$68),F5687*H5687*Inputs!$C$69,"")</f>
      </c>
    </row>
    <row r="5688" spans="2:10" ht="15" customHeight="1" x14ac:dyDescent="0.2">
      <c r="B5688" s="39">
        <f t="shared" si="44"/>
      </c>
      <c r="C5688" s="40">
        <f>IF(Inputs!$C$60,Inputs!$C$11+(B5688-Inputs!$C$69)/Inputs!$C$70,"")</f>
      </c>
      <c r="D5688" s="15"/>
      <c r="E5688" s="15"/>
      <c r="F5688" s="11">
        <f t="shared" si="45"/>
      </c>
      <c r="G5688" s="22" cm="1">
        <f t="array" ref="G5688">IF(AND(Inputs!$C$60,Inputs!$C$61),INDEX(Utility_Rates!$C$29:$F$52,HOUR(C5688)+Inputs!$C$69,MATCH(INDEX(Utility_Rates!$K$6:$K$17,MONTH(C5688))&amp;IF(WEEKDAY(C5688,Inputs!$C$76)&lt;=Inputs!$C$74," weekday"," weekend"),Utility_Rates!$C$28:$F$28,Inputs!$C$68)),"")</f>
      </c>
      <c r="H5688" s="34"/>
      <c r="I5688" s="42">
        <f>IF(AND(ISNUMBER(D5688),ISNUMBER(H5688)),D5688*H5688*Inputs!$C$69,"")</f>
      </c>
      <c r="J5688" s="42">
        <f>IF(AND(ISNUMBER(F5688),ISNUMBER(H5688),F5688&gt;=Inputs!$C$68),F5688*H5688*Inputs!$C$69,"")</f>
      </c>
    </row>
    <row r="5689" spans="2:10" ht="15" customHeight="1" x14ac:dyDescent="0.2">
      <c r="B5689" s="39">
        <f t="shared" si="44"/>
      </c>
      <c r="C5689" s="40">
        <f>IF(Inputs!$C$60,Inputs!$C$11+(B5689-Inputs!$C$69)/Inputs!$C$70,"")</f>
      </c>
      <c r="D5689" s="15"/>
      <c r="E5689" s="15"/>
      <c r="F5689" s="11">
        <f t="shared" si="45"/>
      </c>
      <c r="G5689" s="22" cm="1">
        <f t="array" ref="G5689">IF(AND(Inputs!$C$60,Inputs!$C$61),INDEX(Utility_Rates!$C$29:$F$52,HOUR(C5689)+Inputs!$C$69,MATCH(INDEX(Utility_Rates!$K$6:$K$17,MONTH(C5689))&amp;IF(WEEKDAY(C5689,Inputs!$C$76)&lt;=Inputs!$C$74," weekday"," weekend"),Utility_Rates!$C$28:$F$28,Inputs!$C$68)),"")</f>
      </c>
      <c r="H5689" s="34"/>
      <c r="I5689" s="42">
        <f>IF(AND(ISNUMBER(D5689),ISNUMBER(H5689)),D5689*H5689*Inputs!$C$69,"")</f>
      </c>
      <c r="J5689" s="42">
        <f>IF(AND(ISNUMBER(F5689),ISNUMBER(H5689),F5689&gt;=Inputs!$C$68),F5689*H5689*Inputs!$C$69,"")</f>
      </c>
    </row>
    <row r="5690" spans="2:10" ht="15" customHeight="1" x14ac:dyDescent="0.2">
      <c r="B5690" s="39">
        <f t="shared" si="44"/>
      </c>
      <c r="C5690" s="40">
        <f>IF(Inputs!$C$60,Inputs!$C$11+(B5690-Inputs!$C$69)/Inputs!$C$70,"")</f>
      </c>
      <c r="D5690" s="15"/>
      <c r="E5690" s="15"/>
      <c r="F5690" s="11">
        <f t="shared" si="45"/>
      </c>
      <c r="G5690" s="22" cm="1">
        <f t="array" ref="G5690">IF(AND(Inputs!$C$60,Inputs!$C$61),INDEX(Utility_Rates!$C$29:$F$52,HOUR(C5690)+Inputs!$C$69,MATCH(INDEX(Utility_Rates!$K$6:$K$17,MONTH(C5690))&amp;IF(WEEKDAY(C5690,Inputs!$C$76)&lt;=Inputs!$C$74," weekday"," weekend"),Utility_Rates!$C$28:$F$28,Inputs!$C$68)),"")</f>
      </c>
      <c r="H5690" s="34"/>
      <c r="I5690" s="42">
        <f>IF(AND(ISNUMBER(D5690),ISNUMBER(H5690)),D5690*H5690*Inputs!$C$69,"")</f>
      </c>
      <c r="J5690" s="42">
        <f>IF(AND(ISNUMBER(F5690),ISNUMBER(H5690),F5690&gt;=Inputs!$C$68),F5690*H5690*Inputs!$C$69,"")</f>
      </c>
    </row>
    <row r="5691" spans="2:10" ht="15" customHeight="1" x14ac:dyDescent="0.2">
      <c r="B5691" s="39">
        <f t="shared" si="44"/>
      </c>
      <c r="C5691" s="40">
        <f>IF(Inputs!$C$60,Inputs!$C$11+(B5691-Inputs!$C$69)/Inputs!$C$70,"")</f>
      </c>
      <c r="D5691" s="15"/>
      <c r="E5691" s="15"/>
      <c r="F5691" s="11">
        <f t="shared" si="45"/>
      </c>
      <c r="G5691" s="22" cm="1">
        <f t="array" ref="G5691">IF(AND(Inputs!$C$60,Inputs!$C$61),INDEX(Utility_Rates!$C$29:$F$52,HOUR(C5691)+Inputs!$C$69,MATCH(INDEX(Utility_Rates!$K$6:$K$17,MONTH(C5691))&amp;IF(WEEKDAY(C5691,Inputs!$C$76)&lt;=Inputs!$C$74," weekday"," weekend"),Utility_Rates!$C$28:$F$28,Inputs!$C$68)),"")</f>
      </c>
      <c r="H5691" s="34"/>
      <c r="I5691" s="42">
        <f>IF(AND(ISNUMBER(D5691),ISNUMBER(H5691)),D5691*H5691*Inputs!$C$69,"")</f>
      </c>
      <c r="J5691" s="42">
        <f>IF(AND(ISNUMBER(F5691),ISNUMBER(H5691),F5691&gt;=Inputs!$C$68),F5691*H5691*Inputs!$C$69,"")</f>
      </c>
    </row>
    <row r="5692" spans="2:10" ht="15" customHeight="1" x14ac:dyDescent="0.2">
      <c r="B5692" s="39">
        <f t="shared" si="44"/>
      </c>
      <c r="C5692" s="40">
        <f>IF(Inputs!$C$60,Inputs!$C$11+(B5692-Inputs!$C$69)/Inputs!$C$70,"")</f>
      </c>
      <c r="D5692" s="15"/>
      <c r="E5692" s="15"/>
      <c r="F5692" s="11">
        <f t="shared" si="45"/>
      </c>
      <c r="G5692" s="22" cm="1">
        <f t="array" ref="G5692">IF(AND(Inputs!$C$60,Inputs!$C$61),INDEX(Utility_Rates!$C$29:$F$52,HOUR(C5692)+Inputs!$C$69,MATCH(INDEX(Utility_Rates!$K$6:$K$17,MONTH(C5692))&amp;IF(WEEKDAY(C5692,Inputs!$C$76)&lt;=Inputs!$C$74," weekday"," weekend"),Utility_Rates!$C$28:$F$28,Inputs!$C$68)),"")</f>
      </c>
      <c r="H5692" s="34"/>
      <c r="I5692" s="42">
        <f>IF(AND(ISNUMBER(D5692),ISNUMBER(H5692)),D5692*H5692*Inputs!$C$69,"")</f>
      </c>
      <c r="J5692" s="42">
        <f>IF(AND(ISNUMBER(F5692),ISNUMBER(H5692),F5692&gt;=Inputs!$C$68),F5692*H5692*Inputs!$C$69,"")</f>
      </c>
    </row>
    <row r="5693" spans="2:10" ht="15" customHeight="1" x14ac:dyDescent="0.2">
      <c r="B5693" s="39">
        <f t="shared" si="44"/>
      </c>
      <c r="C5693" s="40">
        <f>IF(Inputs!$C$60,Inputs!$C$11+(B5693-Inputs!$C$69)/Inputs!$C$70,"")</f>
      </c>
      <c r="D5693" s="15"/>
      <c r="E5693" s="15"/>
      <c r="F5693" s="11">
        <f t="shared" si="45"/>
      </c>
      <c r="G5693" s="22" cm="1">
        <f t="array" ref="G5693">IF(AND(Inputs!$C$60,Inputs!$C$61),INDEX(Utility_Rates!$C$29:$F$52,HOUR(C5693)+Inputs!$C$69,MATCH(INDEX(Utility_Rates!$K$6:$K$17,MONTH(C5693))&amp;IF(WEEKDAY(C5693,Inputs!$C$76)&lt;=Inputs!$C$74," weekday"," weekend"),Utility_Rates!$C$28:$F$28,Inputs!$C$68)),"")</f>
      </c>
      <c r="H5693" s="34"/>
      <c r="I5693" s="42">
        <f>IF(AND(ISNUMBER(D5693),ISNUMBER(H5693)),D5693*H5693*Inputs!$C$69,"")</f>
      </c>
      <c r="J5693" s="42">
        <f>IF(AND(ISNUMBER(F5693),ISNUMBER(H5693),F5693&gt;=Inputs!$C$68),F5693*H5693*Inputs!$C$69,"")</f>
      </c>
    </row>
    <row r="5694" spans="2:10" ht="15" customHeight="1" x14ac:dyDescent="0.2">
      <c r="B5694" s="39">
        <f t="shared" si="44"/>
      </c>
      <c r="C5694" s="40">
        <f>IF(Inputs!$C$60,Inputs!$C$11+(B5694-Inputs!$C$69)/Inputs!$C$70,"")</f>
      </c>
      <c r="D5694" s="15"/>
      <c r="E5694" s="15"/>
      <c r="F5694" s="11">
        <f t="shared" si="45"/>
      </c>
      <c r="G5694" s="22" cm="1">
        <f t="array" ref="G5694">IF(AND(Inputs!$C$60,Inputs!$C$61),INDEX(Utility_Rates!$C$29:$F$52,HOUR(C5694)+Inputs!$C$69,MATCH(INDEX(Utility_Rates!$K$6:$K$17,MONTH(C5694))&amp;IF(WEEKDAY(C5694,Inputs!$C$76)&lt;=Inputs!$C$74," weekday"," weekend"),Utility_Rates!$C$28:$F$28,Inputs!$C$68)),"")</f>
      </c>
      <c r="H5694" s="34"/>
      <c r="I5694" s="42">
        <f>IF(AND(ISNUMBER(D5694),ISNUMBER(H5694)),D5694*H5694*Inputs!$C$69,"")</f>
      </c>
      <c r="J5694" s="42">
        <f>IF(AND(ISNUMBER(F5694),ISNUMBER(H5694),F5694&gt;=Inputs!$C$68),F5694*H5694*Inputs!$C$69,"")</f>
      </c>
    </row>
    <row r="5695" spans="2:10" ht="15" customHeight="1" x14ac:dyDescent="0.2">
      <c r="B5695" s="39">
        <f t="shared" si="44"/>
      </c>
      <c r="C5695" s="40">
        <f>IF(Inputs!$C$60,Inputs!$C$11+(B5695-Inputs!$C$69)/Inputs!$C$70,"")</f>
      </c>
      <c r="D5695" s="15"/>
      <c r="E5695" s="15"/>
      <c r="F5695" s="11">
        <f t="shared" si="45"/>
      </c>
      <c r="G5695" s="22" cm="1">
        <f t="array" ref="G5695">IF(AND(Inputs!$C$60,Inputs!$C$61),INDEX(Utility_Rates!$C$29:$F$52,HOUR(C5695)+Inputs!$C$69,MATCH(INDEX(Utility_Rates!$K$6:$K$17,MONTH(C5695))&amp;IF(WEEKDAY(C5695,Inputs!$C$76)&lt;=Inputs!$C$74," weekday"," weekend"),Utility_Rates!$C$28:$F$28,Inputs!$C$68)),"")</f>
      </c>
      <c r="H5695" s="34"/>
      <c r="I5695" s="42">
        <f>IF(AND(ISNUMBER(D5695),ISNUMBER(H5695)),D5695*H5695*Inputs!$C$69,"")</f>
      </c>
      <c r="J5695" s="42">
        <f>IF(AND(ISNUMBER(F5695),ISNUMBER(H5695),F5695&gt;=Inputs!$C$68),F5695*H5695*Inputs!$C$69,"")</f>
      </c>
    </row>
    <row r="5696" spans="2:10" ht="15" customHeight="1" x14ac:dyDescent="0.2">
      <c r="B5696" s="39">
        <f t="shared" si="44"/>
      </c>
      <c r="C5696" s="40">
        <f>IF(Inputs!$C$60,Inputs!$C$11+(B5696-Inputs!$C$69)/Inputs!$C$70,"")</f>
      </c>
      <c r="D5696" s="15"/>
      <c r="E5696" s="15"/>
      <c r="F5696" s="11">
        <f t="shared" si="45"/>
      </c>
      <c r="G5696" s="22" cm="1">
        <f t="array" ref="G5696">IF(AND(Inputs!$C$60,Inputs!$C$61),INDEX(Utility_Rates!$C$29:$F$52,HOUR(C5696)+Inputs!$C$69,MATCH(INDEX(Utility_Rates!$K$6:$K$17,MONTH(C5696))&amp;IF(WEEKDAY(C5696,Inputs!$C$76)&lt;=Inputs!$C$74," weekday"," weekend"),Utility_Rates!$C$28:$F$28,Inputs!$C$68)),"")</f>
      </c>
      <c r="H5696" s="34"/>
      <c r="I5696" s="42">
        <f>IF(AND(ISNUMBER(D5696),ISNUMBER(H5696)),D5696*H5696*Inputs!$C$69,"")</f>
      </c>
      <c r="J5696" s="42">
        <f>IF(AND(ISNUMBER(F5696),ISNUMBER(H5696),F5696&gt;=Inputs!$C$68),F5696*H5696*Inputs!$C$69,"")</f>
      </c>
    </row>
    <row r="5697" spans="2:10" ht="15" customHeight="1" x14ac:dyDescent="0.2">
      <c r="B5697" s="39">
        <f t="shared" si="44"/>
      </c>
      <c r="C5697" s="40">
        <f>IF(Inputs!$C$60,Inputs!$C$11+(B5697-Inputs!$C$69)/Inputs!$C$70,"")</f>
      </c>
      <c r="D5697" s="15"/>
      <c r="E5697" s="15"/>
      <c r="F5697" s="11">
        <f t="shared" si="45"/>
      </c>
      <c r="G5697" s="22" cm="1">
        <f t="array" ref="G5697">IF(AND(Inputs!$C$60,Inputs!$C$61),INDEX(Utility_Rates!$C$29:$F$52,HOUR(C5697)+Inputs!$C$69,MATCH(INDEX(Utility_Rates!$K$6:$K$17,MONTH(C5697))&amp;IF(WEEKDAY(C5697,Inputs!$C$76)&lt;=Inputs!$C$74," weekday"," weekend"),Utility_Rates!$C$28:$F$28,Inputs!$C$68)),"")</f>
      </c>
      <c r="H5697" s="34"/>
      <c r="I5697" s="42">
        <f>IF(AND(ISNUMBER(D5697),ISNUMBER(H5697)),D5697*H5697*Inputs!$C$69,"")</f>
      </c>
      <c r="J5697" s="42">
        <f>IF(AND(ISNUMBER(F5697),ISNUMBER(H5697),F5697&gt;=Inputs!$C$68),F5697*H5697*Inputs!$C$69,"")</f>
      </c>
    </row>
    <row r="5698" spans="2:10" ht="15" customHeight="1" x14ac:dyDescent="0.2">
      <c r="B5698" s="39">
        <f t="shared" si="44"/>
      </c>
      <c r="C5698" s="40">
        <f>IF(Inputs!$C$60,Inputs!$C$11+(B5698-Inputs!$C$69)/Inputs!$C$70,"")</f>
      </c>
      <c r="D5698" s="15"/>
      <c r="E5698" s="15"/>
      <c r="F5698" s="11">
        <f t="shared" si="45"/>
      </c>
      <c r="G5698" s="22" cm="1">
        <f t="array" ref="G5698">IF(AND(Inputs!$C$60,Inputs!$C$61),INDEX(Utility_Rates!$C$29:$F$52,HOUR(C5698)+Inputs!$C$69,MATCH(INDEX(Utility_Rates!$K$6:$K$17,MONTH(C5698))&amp;IF(WEEKDAY(C5698,Inputs!$C$76)&lt;=Inputs!$C$74," weekday"," weekend"),Utility_Rates!$C$28:$F$28,Inputs!$C$68)),"")</f>
      </c>
      <c r="H5698" s="34"/>
      <c r="I5698" s="42">
        <f>IF(AND(ISNUMBER(D5698),ISNUMBER(H5698)),D5698*H5698*Inputs!$C$69,"")</f>
      </c>
      <c r="J5698" s="42">
        <f>IF(AND(ISNUMBER(F5698),ISNUMBER(H5698),F5698&gt;=Inputs!$C$68),F5698*H5698*Inputs!$C$69,"")</f>
      </c>
    </row>
    <row r="5699" spans="2:10" ht="15" customHeight="1" x14ac:dyDescent="0.2">
      <c r="B5699" s="39">
        <f t="shared" si="44"/>
      </c>
      <c r="C5699" s="40">
        <f>IF(Inputs!$C$60,Inputs!$C$11+(B5699-Inputs!$C$69)/Inputs!$C$70,"")</f>
      </c>
      <c r="D5699" s="15"/>
      <c r="E5699" s="15"/>
      <c r="F5699" s="11">
        <f t="shared" si="45"/>
      </c>
      <c r="G5699" s="22" cm="1">
        <f t="array" ref="G5699">IF(AND(Inputs!$C$60,Inputs!$C$61),INDEX(Utility_Rates!$C$29:$F$52,HOUR(C5699)+Inputs!$C$69,MATCH(INDEX(Utility_Rates!$K$6:$K$17,MONTH(C5699))&amp;IF(WEEKDAY(C5699,Inputs!$C$76)&lt;=Inputs!$C$74," weekday"," weekend"),Utility_Rates!$C$28:$F$28,Inputs!$C$68)),"")</f>
      </c>
      <c r="H5699" s="34"/>
      <c r="I5699" s="42">
        <f>IF(AND(ISNUMBER(D5699),ISNUMBER(H5699)),D5699*H5699*Inputs!$C$69,"")</f>
      </c>
      <c r="J5699" s="42">
        <f>IF(AND(ISNUMBER(F5699),ISNUMBER(H5699),F5699&gt;=Inputs!$C$68),F5699*H5699*Inputs!$C$69,"")</f>
      </c>
    </row>
    <row r="5700" spans="2:10" ht="15" customHeight="1" x14ac:dyDescent="0.2">
      <c r="B5700" s="39">
        <f t="shared" si="44"/>
      </c>
      <c r="C5700" s="40">
        <f>IF(Inputs!$C$60,Inputs!$C$11+(B5700-Inputs!$C$69)/Inputs!$C$70,"")</f>
      </c>
      <c r="D5700" s="15"/>
      <c r="E5700" s="15"/>
      <c r="F5700" s="11">
        <f t="shared" si="45"/>
      </c>
      <c r="G5700" s="22" cm="1">
        <f t="array" ref="G5700">IF(AND(Inputs!$C$60,Inputs!$C$61),INDEX(Utility_Rates!$C$29:$F$52,HOUR(C5700)+Inputs!$C$69,MATCH(INDEX(Utility_Rates!$K$6:$K$17,MONTH(C5700))&amp;IF(WEEKDAY(C5700,Inputs!$C$76)&lt;=Inputs!$C$74," weekday"," weekend"),Utility_Rates!$C$28:$F$28,Inputs!$C$68)),"")</f>
      </c>
      <c r="H5700" s="34"/>
      <c r="I5700" s="42">
        <f>IF(AND(ISNUMBER(D5700),ISNUMBER(H5700)),D5700*H5700*Inputs!$C$69,"")</f>
      </c>
      <c r="J5700" s="42">
        <f>IF(AND(ISNUMBER(F5700),ISNUMBER(H5700),F5700&gt;=Inputs!$C$68),F5700*H5700*Inputs!$C$69,"")</f>
      </c>
    </row>
    <row r="5701" spans="2:10" ht="15" customHeight="1" x14ac:dyDescent="0.2">
      <c r="B5701" s="39">
        <f t="shared" si="44"/>
      </c>
      <c r="C5701" s="40">
        <f>IF(Inputs!$C$60,Inputs!$C$11+(B5701-Inputs!$C$69)/Inputs!$C$70,"")</f>
      </c>
      <c r="D5701" s="15"/>
      <c r="E5701" s="15"/>
      <c r="F5701" s="11">
        <f t="shared" si="45"/>
      </c>
      <c r="G5701" s="22" cm="1">
        <f t="array" ref="G5701">IF(AND(Inputs!$C$60,Inputs!$C$61),INDEX(Utility_Rates!$C$29:$F$52,HOUR(C5701)+Inputs!$C$69,MATCH(INDEX(Utility_Rates!$K$6:$K$17,MONTH(C5701))&amp;IF(WEEKDAY(C5701,Inputs!$C$76)&lt;=Inputs!$C$74," weekday"," weekend"),Utility_Rates!$C$28:$F$28,Inputs!$C$68)),"")</f>
      </c>
      <c r="H5701" s="34"/>
      <c r="I5701" s="42">
        <f>IF(AND(ISNUMBER(D5701),ISNUMBER(H5701)),D5701*H5701*Inputs!$C$69,"")</f>
      </c>
      <c r="J5701" s="42">
        <f>IF(AND(ISNUMBER(F5701),ISNUMBER(H5701),F5701&gt;=Inputs!$C$68),F5701*H5701*Inputs!$C$69,"")</f>
      </c>
    </row>
    <row r="5702" spans="2:10" ht="15" customHeight="1" x14ac:dyDescent="0.2">
      <c r="B5702" s="39">
        <f t="shared" si="44"/>
      </c>
      <c r="C5702" s="40">
        <f>IF(Inputs!$C$60,Inputs!$C$11+(B5702-Inputs!$C$69)/Inputs!$C$70,"")</f>
      </c>
      <c r="D5702" s="15"/>
      <c r="E5702" s="15"/>
      <c r="F5702" s="11">
        <f t="shared" si="45"/>
      </c>
      <c r="G5702" s="22" cm="1">
        <f t="array" ref="G5702">IF(AND(Inputs!$C$60,Inputs!$C$61),INDEX(Utility_Rates!$C$29:$F$52,HOUR(C5702)+Inputs!$C$69,MATCH(INDEX(Utility_Rates!$K$6:$K$17,MONTH(C5702))&amp;IF(WEEKDAY(C5702,Inputs!$C$76)&lt;=Inputs!$C$74," weekday"," weekend"),Utility_Rates!$C$28:$F$28,Inputs!$C$68)),"")</f>
      </c>
      <c r="H5702" s="34"/>
      <c r="I5702" s="42">
        <f>IF(AND(ISNUMBER(D5702),ISNUMBER(H5702)),D5702*H5702*Inputs!$C$69,"")</f>
      </c>
      <c r="J5702" s="42">
        <f>IF(AND(ISNUMBER(F5702),ISNUMBER(H5702),F5702&gt;=Inputs!$C$68),F5702*H5702*Inputs!$C$69,"")</f>
      </c>
    </row>
    <row r="5703" spans="2:10" ht="15" customHeight="1" x14ac:dyDescent="0.2">
      <c r="B5703" s="39">
        <f t="shared" si="44"/>
      </c>
      <c r="C5703" s="40">
        <f>IF(Inputs!$C$60,Inputs!$C$11+(B5703-Inputs!$C$69)/Inputs!$C$70,"")</f>
      </c>
      <c r="D5703" s="15"/>
      <c r="E5703" s="15"/>
      <c r="F5703" s="11">
        <f t="shared" si="45"/>
      </c>
      <c r="G5703" s="22" cm="1">
        <f t="array" ref="G5703">IF(AND(Inputs!$C$60,Inputs!$C$61),INDEX(Utility_Rates!$C$29:$F$52,HOUR(C5703)+Inputs!$C$69,MATCH(INDEX(Utility_Rates!$K$6:$K$17,MONTH(C5703))&amp;IF(WEEKDAY(C5703,Inputs!$C$76)&lt;=Inputs!$C$74," weekday"," weekend"),Utility_Rates!$C$28:$F$28,Inputs!$C$68)),"")</f>
      </c>
      <c r="H5703" s="34"/>
      <c r="I5703" s="42">
        <f>IF(AND(ISNUMBER(D5703),ISNUMBER(H5703)),D5703*H5703*Inputs!$C$69,"")</f>
      </c>
      <c r="J5703" s="42">
        <f>IF(AND(ISNUMBER(F5703),ISNUMBER(H5703),F5703&gt;=Inputs!$C$68),F5703*H5703*Inputs!$C$69,"")</f>
      </c>
    </row>
    <row r="5704" spans="2:10" ht="15" customHeight="1" x14ac:dyDescent="0.2">
      <c r="B5704" s="39">
        <f t="shared" si="44"/>
      </c>
      <c r="C5704" s="40">
        <f>IF(Inputs!$C$60,Inputs!$C$11+(B5704-Inputs!$C$69)/Inputs!$C$70,"")</f>
      </c>
      <c r="D5704" s="15"/>
      <c r="E5704" s="15"/>
      <c r="F5704" s="11">
        <f t="shared" si="45"/>
      </c>
      <c r="G5704" s="22" cm="1">
        <f t="array" ref="G5704">IF(AND(Inputs!$C$60,Inputs!$C$61),INDEX(Utility_Rates!$C$29:$F$52,HOUR(C5704)+Inputs!$C$69,MATCH(INDEX(Utility_Rates!$K$6:$K$17,MONTH(C5704))&amp;IF(WEEKDAY(C5704,Inputs!$C$76)&lt;=Inputs!$C$74," weekday"," weekend"),Utility_Rates!$C$28:$F$28,Inputs!$C$68)),"")</f>
      </c>
      <c r="H5704" s="34"/>
      <c r="I5704" s="42">
        <f>IF(AND(ISNUMBER(D5704),ISNUMBER(H5704)),D5704*H5704*Inputs!$C$69,"")</f>
      </c>
      <c r="J5704" s="42">
        <f>IF(AND(ISNUMBER(F5704),ISNUMBER(H5704),F5704&gt;=Inputs!$C$68),F5704*H5704*Inputs!$C$69,"")</f>
      </c>
    </row>
    <row r="5705" spans="2:10" ht="15" customHeight="1" x14ac:dyDescent="0.2">
      <c r="B5705" s="39">
        <f t="shared" si="44"/>
      </c>
      <c r="C5705" s="40">
        <f>IF(Inputs!$C$60,Inputs!$C$11+(B5705-Inputs!$C$69)/Inputs!$C$70,"")</f>
      </c>
      <c r="D5705" s="15"/>
      <c r="E5705" s="15"/>
      <c r="F5705" s="11">
        <f t="shared" si="45"/>
      </c>
      <c r="G5705" s="22" cm="1">
        <f t="array" ref="G5705">IF(AND(Inputs!$C$60,Inputs!$C$61),INDEX(Utility_Rates!$C$29:$F$52,HOUR(C5705)+Inputs!$C$69,MATCH(INDEX(Utility_Rates!$K$6:$K$17,MONTH(C5705))&amp;IF(WEEKDAY(C5705,Inputs!$C$76)&lt;=Inputs!$C$74," weekday"," weekend"),Utility_Rates!$C$28:$F$28,Inputs!$C$68)),"")</f>
      </c>
      <c r="H5705" s="34"/>
      <c r="I5705" s="42">
        <f>IF(AND(ISNUMBER(D5705),ISNUMBER(H5705)),D5705*H5705*Inputs!$C$69,"")</f>
      </c>
      <c r="J5705" s="42">
        <f>IF(AND(ISNUMBER(F5705),ISNUMBER(H5705),F5705&gt;=Inputs!$C$68),F5705*H5705*Inputs!$C$69,"")</f>
      </c>
    </row>
    <row r="5706" spans="2:10" ht="15" customHeight="1" x14ac:dyDescent="0.2">
      <c r="B5706" s="39">
        <f t="shared" si="44"/>
      </c>
      <c r="C5706" s="40">
        <f>IF(Inputs!$C$60,Inputs!$C$11+(B5706-Inputs!$C$69)/Inputs!$C$70,"")</f>
      </c>
      <c r="D5706" s="15"/>
      <c r="E5706" s="15"/>
      <c r="F5706" s="11">
        <f t="shared" si="45"/>
      </c>
      <c r="G5706" s="22" cm="1">
        <f t="array" ref="G5706">IF(AND(Inputs!$C$60,Inputs!$C$61),INDEX(Utility_Rates!$C$29:$F$52,HOUR(C5706)+Inputs!$C$69,MATCH(INDEX(Utility_Rates!$K$6:$K$17,MONTH(C5706))&amp;IF(WEEKDAY(C5706,Inputs!$C$76)&lt;=Inputs!$C$74," weekday"," weekend"),Utility_Rates!$C$28:$F$28,Inputs!$C$68)),"")</f>
      </c>
      <c r="H5706" s="34"/>
      <c r="I5706" s="42">
        <f>IF(AND(ISNUMBER(D5706),ISNUMBER(H5706)),D5706*H5706*Inputs!$C$69,"")</f>
      </c>
      <c r="J5706" s="42">
        <f>IF(AND(ISNUMBER(F5706),ISNUMBER(H5706),F5706&gt;=Inputs!$C$68),F5706*H5706*Inputs!$C$69,"")</f>
      </c>
    </row>
    <row r="5707" spans="2:10" ht="15" customHeight="1" x14ac:dyDescent="0.2">
      <c r="B5707" s="39">
        <f t="shared" si="44"/>
      </c>
      <c r="C5707" s="40">
        <f>IF(Inputs!$C$60,Inputs!$C$11+(B5707-Inputs!$C$69)/Inputs!$C$70,"")</f>
      </c>
      <c r="D5707" s="15"/>
      <c r="E5707" s="15"/>
      <c r="F5707" s="11">
        <f t="shared" si="45"/>
      </c>
      <c r="G5707" s="22" cm="1">
        <f t="array" ref="G5707">IF(AND(Inputs!$C$60,Inputs!$C$61),INDEX(Utility_Rates!$C$29:$F$52,HOUR(C5707)+Inputs!$C$69,MATCH(INDEX(Utility_Rates!$K$6:$K$17,MONTH(C5707))&amp;IF(WEEKDAY(C5707,Inputs!$C$76)&lt;=Inputs!$C$74," weekday"," weekend"),Utility_Rates!$C$28:$F$28,Inputs!$C$68)),"")</f>
      </c>
      <c r="H5707" s="34"/>
      <c r="I5707" s="42">
        <f>IF(AND(ISNUMBER(D5707),ISNUMBER(H5707)),D5707*H5707*Inputs!$C$69,"")</f>
      </c>
      <c r="J5707" s="42">
        <f>IF(AND(ISNUMBER(F5707),ISNUMBER(H5707),F5707&gt;=Inputs!$C$68),F5707*H5707*Inputs!$C$69,"")</f>
      </c>
    </row>
    <row r="5708" spans="2:10" ht="15" customHeight="1" x14ac:dyDescent="0.2">
      <c r="B5708" s="39">
        <f t="shared" si="44"/>
      </c>
      <c r="C5708" s="40">
        <f>IF(Inputs!$C$60,Inputs!$C$11+(B5708-Inputs!$C$69)/Inputs!$C$70,"")</f>
      </c>
      <c r="D5708" s="15"/>
      <c r="E5708" s="15"/>
      <c r="F5708" s="11">
        <f t="shared" si="45"/>
      </c>
      <c r="G5708" s="22" cm="1">
        <f t="array" ref="G5708">IF(AND(Inputs!$C$60,Inputs!$C$61),INDEX(Utility_Rates!$C$29:$F$52,HOUR(C5708)+Inputs!$C$69,MATCH(INDEX(Utility_Rates!$K$6:$K$17,MONTH(C5708))&amp;IF(WEEKDAY(C5708,Inputs!$C$76)&lt;=Inputs!$C$74," weekday"," weekend"),Utility_Rates!$C$28:$F$28,Inputs!$C$68)),"")</f>
      </c>
      <c r="H5708" s="34"/>
      <c r="I5708" s="42">
        <f>IF(AND(ISNUMBER(D5708),ISNUMBER(H5708)),D5708*H5708*Inputs!$C$69,"")</f>
      </c>
      <c r="J5708" s="42">
        <f>IF(AND(ISNUMBER(F5708),ISNUMBER(H5708),F5708&gt;=Inputs!$C$68),F5708*H5708*Inputs!$C$69,"")</f>
      </c>
    </row>
    <row r="5709" spans="2:10" ht="15" customHeight="1" x14ac:dyDescent="0.2">
      <c r="B5709" s="39">
        <f t="shared" si="44"/>
      </c>
      <c r="C5709" s="40">
        <f>IF(Inputs!$C$60,Inputs!$C$11+(B5709-Inputs!$C$69)/Inputs!$C$70,"")</f>
      </c>
      <c r="D5709" s="15"/>
      <c r="E5709" s="15"/>
      <c r="F5709" s="11">
        <f t="shared" si="45"/>
      </c>
      <c r="G5709" s="22" cm="1">
        <f t="array" ref="G5709">IF(AND(Inputs!$C$60,Inputs!$C$61),INDEX(Utility_Rates!$C$29:$F$52,HOUR(C5709)+Inputs!$C$69,MATCH(INDEX(Utility_Rates!$K$6:$K$17,MONTH(C5709))&amp;IF(WEEKDAY(C5709,Inputs!$C$76)&lt;=Inputs!$C$74," weekday"," weekend"),Utility_Rates!$C$28:$F$28,Inputs!$C$68)),"")</f>
      </c>
      <c r="H5709" s="34"/>
      <c r="I5709" s="42">
        <f>IF(AND(ISNUMBER(D5709),ISNUMBER(H5709)),D5709*H5709*Inputs!$C$69,"")</f>
      </c>
      <c r="J5709" s="42">
        <f>IF(AND(ISNUMBER(F5709),ISNUMBER(H5709),F5709&gt;=Inputs!$C$68),F5709*H5709*Inputs!$C$69,"")</f>
      </c>
    </row>
    <row r="5710" spans="2:10" ht="15" customHeight="1" x14ac:dyDescent="0.2">
      <c r="B5710" s="39">
        <f t="shared" si="44"/>
      </c>
      <c r="C5710" s="40">
        <f>IF(Inputs!$C$60,Inputs!$C$11+(B5710-Inputs!$C$69)/Inputs!$C$70,"")</f>
      </c>
      <c r="D5710" s="15"/>
      <c r="E5710" s="15"/>
      <c r="F5710" s="11">
        <f t="shared" si="45"/>
      </c>
      <c r="G5710" s="22" cm="1">
        <f t="array" ref="G5710">IF(AND(Inputs!$C$60,Inputs!$C$61),INDEX(Utility_Rates!$C$29:$F$52,HOUR(C5710)+Inputs!$C$69,MATCH(INDEX(Utility_Rates!$K$6:$K$17,MONTH(C5710))&amp;IF(WEEKDAY(C5710,Inputs!$C$76)&lt;=Inputs!$C$74," weekday"," weekend"),Utility_Rates!$C$28:$F$28,Inputs!$C$68)),"")</f>
      </c>
      <c r="H5710" s="34"/>
      <c r="I5710" s="42">
        <f>IF(AND(ISNUMBER(D5710),ISNUMBER(H5710)),D5710*H5710*Inputs!$C$69,"")</f>
      </c>
      <c r="J5710" s="42">
        <f>IF(AND(ISNUMBER(F5710),ISNUMBER(H5710),F5710&gt;=Inputs!$C$68),F5710*H5710*Inputs!$C$69,"")</f>
      </c>
    </row>
    <row r="5711" spans="2:10" ht="15" customHeight="1" x14ac:dyDescent="0.2">
      <c r="B5711" s="39">
        <f t="shared" si="44"/>
      </c>
      <c r="C5711" s="40">
        <f>IF(Inputs!$C$60,Inputs!$C$11+(B5711-Inputs!$C$69)/Inputs!$C$70,"")</f>
      </c>
      <c r="D5711" s="15"/>
      <c r="E5711" s="15"/>
      <c r="F5711" s="11">
        <f t="shared" si="45"/>
      </c>
      <c r="G5711" s="22" cm="1">
        <f t="array" ref="G5711">IF(AND(Inputs!$C$60,Inputs!$C$61),INDEX(Utility_Rates!$C$29:$F$52,HOUR(C5711)+Inputs!$C$69,MATCH(INDEX(Utility_Rates!$K$6:$K$17,MONTH(C5711))&amp;IF(WEEKDAY(C5711,Inputs!$C$76)&lt;=Inputs!$C$74," weekday"," weekend"),Utility_Rates!$C$28:$F$28,Inputs!$C$68)),"")</f>
      </c>
      <c r="H5711" s="34"/>
      <c r="I5711" s="42">
        <f>IF(AND(ISNUMBER(D5711),ISNUMBER(H5711)),D5711*H5711*Inputs!$C$69,"")</f>
      </c>
      <c r="J5711" s="42">
        <f>IF(AND(ISNUMBER(F5711),ISNUMBER(H5711),F5711&gt;=Inputs!$C$68),F5711*H5711*Inputs!$C$69,"")</f>
      </c>
    </row>
    <row r="5712" spans="2:10" ht="15" customHeight="1" x14ac:dyDescent="0.2">
      <c r="B5712" s="39">
        <f t="shared" si="44"/>
      </c>
      <c r="C5712" s="40">
        <f>IF(Inputs!$C$60,Inputs!$C$11+(B5712-Inputs!$C$69)/Inputs!$C$70,"")</f>
      </c>
      <c r="D5712" s="15"/>
      <c r="E5712" s="15"/>
      <c r="F5712" s="11">
        <f t="shared" si="45"/>
      </c>
      <c r="G5712" s="22" cm="1">
        <f t="array" ref="G5712">IF(AND(Inputs!$C$60,Inputs!$C$61),INDEX(Utility_Rates!$C$29:$F$52,HOUR(C5712)+Inputs!$C$69,MATCH(INDEX(Utility_Rates!$K$6:$K$17,MONTH(C5712))&amp;IF(WEEKDAY(C5712,Inputs!$C$76)&lt;=Inputs!$C$74," weekday"," weekend"),Utility_Rates!$C$28:$F$28,Inputs!$C$68)),"")</f>
      </c>
      <c r="H5712" s="34"/>
      <c r="I5712" s="42">
        <f>IF(AND(ISNUMBER(D5712),ISNUMBER(H5712)),D5712*H5712*Inputs!$C$69,"")</f>
      </c>
      <c r="J5712" s="42">
        <f>IF(AND(ISNUMBER(F5712),ISNUMBER(H5712),F5712&gt;=Inputs!$C$68),F5712*H5712*Inputs!$C$69,"")</f>
      </c>
    </row>
    <row r="5713" spans="2:10" ht="15" customHeight="1" x14ac:dyDescent="0.2">
      <c r="B5713" s="39">
        <f t="shared" si="44"/>
      </c>
      <c r="C5713" s="40">
        <f>IF(Inputs!$C$60,Inputs!$C$11+(B5713-Inputs!$C$69)/Inputs!$C$70,"")</f>
      </c>
      <c r="D5713" s="15"/>
      <c r="E5713" s="15"/>
      <c r="F5713" s="11">
        <f t="shared" si="45"/>
      </c>
      <c r="G5713" s="22" cm="1">
        <f t="array" ref="G5713">IF(AND(Inputs!$C$60,Inputs!$C$61),INDEX(Utility_Rates!$C$29:$F$52,HOUR(C5713)+Inputs!$C$69,MATCH(INDEX(Utility_Rates!$K$6:$K$17,MONTH(C5713))&amp;IF(WEEKDAY(C5713,Inputs!$C$76)&lt;=Inputs!$C$74," weekday"," weekend"),Utility_Rates!$C$28:$F$28,Inputs!$C$68)),"")</f>
      </c>
      <c r="H5713" s="34"/>
      <c r="I5713" s="42">
        <f>IF(AND(ISNUMBER(D5713),ISNUMBER(H5713)),D5713*H5713*Inputs!$C$69,"")</f>
      </c>
      <c r="J5713" s="42">
        <f>IF(AND(ISNUMBER(F5713),ISNUMBER(H5713),F5713&gt;=Inputs!$C$68),F5713*H5713*Inputs!$C$69,"")</f>
      </c>
    </row>
    <row r="5714" spans="2:10" ht="15" customHeight="1" x14ac:dyDescent="0.2">
      <c r="B5714" s="39">
        <f t="shared" si="44"/>
      </c>
      <c r="C5714" s="40">
        <f>IF(Inputs!$C$60,Inputs!$C$11+(B5714-Inputs!$C$69)/Inputs!$C$70,"")</f>
      </c>
      <c r="D5714" s="15"/>
      <c r="E5714" s="15"/>
      <c r="F5714" s="11">
        <f t="shared" si="45"/>
      </c>
      <c r="G5714" s="22" cm="1">
        <f t="array" ref="G5714">IF(AND(Inputs!$C$60,Inputs!$C$61),INDEX(Utility_Rates!$C$29:$F$52,HOUR(C5714)+Inputs!$C$69,MATCH(INDEX(Utility_Rates!$K$6:$K$17,MONTH(C5714))&amp;IF(WEEKDAY(C5714,Inputs!$C$76)&lt;=Inputs!$C$74," weekday"," weekend"),Utility_Rates!$C$28:$F$28,Inputs!$C$68)),"")</f>
      </c>
      <c r="H5714" s="34"/>
      <c r="I5714" s="42">
        <f>IF(AND(ISNUMBER(D5714),ISNUMBER(H5714)),D5714*H5714*Inputs!$C$69,"")</f>
      </c>
      <c r="J5714" s="42">
        <f>IF(AND(ISNUMBER(F5714),ISNUMBER(H5714),F5714&gt;=Inputs!$C$68),F5714*H5714*Inputs!$C$69,"")</f>
      </c>
    </row>
    <row r="5715" spans="2:10" ht="15" customHeight="1" x14ac:dyDescent="0.2">
      <c r="B5715" s="39">
        <f t="shared" si="44"/>
      </c>
      <c r="C5715" s="40">
        <f>IF(Inputs!$C$60,Inputs!$C$11+(B5715-Inputs!$C$69)/Inputs!$C$70,"")</f>
      </c>
      <c r="D5715" s="15"/>
      <c r="E5715" s="15"/>
      <c r="F5715" s="11">
        <f t="shared" si="45"/>
      </c>
      <c r="G5715" s="22" cm="1">
        <f t="array" ref="G5715">IF(AND(Inputs!$C$60,Inputs!$C$61),INDEX(Utility_Rates!$C$29:$F$52,HOUR(C5715)+Inputs!$C$69,MATCH(INDEX(Utility_Rates!$K$6:$K$17,MONTH(C5715))&amp;IF(WEEKDAY(C5715,Inputs!$C$76)&lt;=Inputs!$C$74," weekday"," weekend"),Utility_Rates!$C$28:$F$28,Inputs!$C$68)),"")</f>
      </c>
      <c r="H5715" s="34"/>
      <c r="I5715" s="42">
        <f>IF(AND(ISNUMBER(D5715),ISNUMBER(H5715)),D5715*H5715*Inputs!$C$69,"")</f>
      </c>
      <c r="J5715" s="42">
        <f>IF(AND(ISNUMBER(F5715),ISNUMBER(H5715),F5715&gt;=Inputs!$C$68),F5715*H5715*Inputs!$C$69,"")</f>
      </c>
    </row>
    <row r="5716" spans="2:10" ht="15" customHeight="1" x14ac:dyDescent="0.2">
      <c r="B5716" s="39">
        <f t="shared" si="44"/>
      </c>
      <c r="C5716" s="40">
        <f>IF(Inputs!$C$60,Inputs!$C$11+(B5716-Inputs!$C$69)/Inputs!$C$70,"")</f>
      </c>
      <c r="D5716" s="15"/>
      <c r="E5716" s="15"/>
      <c r="F5716" s="11">
        <f t="shared" si="45"/>
      </c>
      <c r="G5716" s="22" cm="1">
        <f t="array" ref="G5716">IF(AND(Inputs!$C$60,Inputs!$C$61),INDEX(Utility_Rates!$C$29:$F$52,HOUR(C5716)+Inputs!$C$69,MATCH(INDEX(Utility_Rates!$K$6:$K$17,MONTH(C5716))&amp;IF(WEEKDAY(C5716,Inputs!$C$76)&lt;=Inputs!$C$74," weekday"," weekend"),Utility_Rates!$C$28:$F$28,Inputs!$C$68)),"")</f>
      </c>
      <c r="H5716" s="34"/>
      <c r="I5716" s="42">
        <f>IF(AND(ISNUMBER(D5716),ISNUMBER(H5716)),D5716*H5716*Inputs!$C$69,"")</f>
      </c>
      <c r="J5716" s="42">
        <f>IF(AND(ISNUMBER(F5716),ISNUMBER(H5716),F5716&gt;=Inputs!$C$68),F5716*H5716*Inputs!$C$69,"")</f>
      </c>
    </row>
    <row r="5717" spans="2:10" ht="15" customHeight="1" x14ac:dyDescent="0.2">
      <c r="B5717" s="39">
        <f t="shared" si="44"/>
      </c>
      <c r="C5717" s="40">
        <f>IF(Inputs!$C$60,Inputs!$C$11+(B5717-Inputs!$C$69)/Inputs!$C$70,"")</f>
      </c>
      <c r="D5717" s="15"/>
      <c r="E5717" s="15"/>
      <c r="F5717" s="11">
        <f t="shared" si="45"/>
      </c>
      <c r="G5717" s="22" cm="1">
        <f t="array" ref="G5717">IF(AND(Inputs!$C$60,Inputs!$C$61),INDEX(Utility_Rates!$C$29:$F$52,HOUR(C5717)+Inputs!$C$69,MATCH(INDEX(Utility_Rates!$K$6:$K$17,MONTH(C5717))&amp;IF(WEEKDAY(C5717,Inputs!$C$76)&lt;=Inputs!$C$74," weekday"," weekend"),Utility_Rates!$C$28:$F$28,Inputs!$C$68)),"")</f>
      </c>
      <c r="H5717" s="34"/>
      <c r="I5717" s="42">
        <f>IF(AND(ISNUMBER(D5717),ISNUMBER(H5717)),D5717*H5717*Inputs!$C$69,"")</f>
      </c>
      <c r="J5717" s="42">
        <f>IF(AND(ISNUMBER(F5717),ISNUMBER(H5717),F5717&gt;=Inputs!$C$68),F5717*H5717*Inputs!$C$69,"")</f>
      </c>
    </row>
    <row r="5718" spans="2:10" ht="15" customHeight="1" x14ac:dyDescent="0.2">
      <c r="B5718" s="39">
        <f t="shared" si="44"/>
      </c>
      <c r="C5718" s="40">
        <f>IF(Inputs!$C$60,Inputs!$C$11+(B5718-Inputs!$C$69)/Inputs!$C$70,"")</f>
      </c>
      <c r="D5718" s="15"/>
      <c r="E5718" s="15"/>
      <c r="F5718" s="11">
        <f t="shared" si="45"/>
      </c>
      <c r="G5718" s="22" cm="1">
        <f t="array" ref="G5718">IF(AND(Inputs!$C$60,Inputs!$C$61),INDEX(Utility_Rates!$C$29:$F$52,HOUR(C5718)+Inputs!$C$69,MATCH(INDEX(Utility_Rates!$K$6:$K$17,MONTH(C5718))&amp;IF(WEEKDAY(C5718,Inputs!$C$76)&lt;=Inputs!$C$74," weekday"," weekend"),Utility_Rates!$C$28:$F$28,Inputs!$C$68)),"")</f>
      </c>
      <c r="H5718" s="34"/>
      <c r="I5718" s="42">
        <f>IF(AND(ISNUMBER(D5718),ISNUMBER(H5718)),D5718*H5718*Inputs!$C$69,"")</f>
      </c>
      <c r="J5718" s="42">
        <f>IF(AND(ISNUMBER(F5718),ISNUMBER(H5718),F5718&gt;=Inputs!$C$68),F5718*H5718*Inputs!$C$69,"")</f>
      </c>
    </row>
    <row r="5719" spans="2:10" ht="15" customHeight="1" x14ac:dyDescent="0.2">
      <c r="B5719" s="39">
        <f t="shared" si="44"/>
      </c>
      <c r="C5719" s="40">
        <f>IF(Inputs!$C$60,Inputs!$C$11+(B5719-Inputs!$C$69)/Inputs!$C$70,"")</f>
      </c>
      <c r="D5719" s="15"/>
      <c r="E5719" s="15"/>
      <c r="F5719" s="11">
        <f t="shared" si="45"/>
      </c>
      <c r="G5719" s="22" cm="1">
        <f t="array" ref="G5719">IF(AND(Inputs!$C$60,Inputs!$C$61),INDEX(Utility_Rates!$C$29:$F$52,HOUR(C5719)+Inputs!$C$69,MATCH(INDEX(Utility_Rates!$K$6:$K$17,MONTH(C5719))&amp;IF(WEEKDAY(C5719,Inputs!$C$76)&lt;=Inputs!$C$74," weekday"," weekend"),Utility_Rates!$C$28:$F$28,Inputs!$C$68)),"")</f>
      </c>
      <c r="H5719" s="34"/>
      <c r="I5719" s="42">
        <f>IF(AND(ISNUMBER(D5719),ISNUMBER(H5719)),D5719*H5719*Inputs!$C$69,"")</f>
      </c>
      <c r="J5719" s="42">
        <f>IF(AND(ISNUMBER(F5719),ISNUMBER(H5719),F5719&gt;=Inputs!$C$68),F5719*H5719*Inputs!$C$69,"")</f>
      </c>
    </row>
    <row r="5720" spans="2:10" ht="15" customHeight="1" x14ac:dyDescent="0.2">
      <c r="B5720" s="39">
        <f t="shared" si="44"/>
      </c>
      <c r="C5720" s="40">
        <f>IF(Inputs!$C$60,Inputs!$C$11+(B5720-Inputs!$C$69)/Inputs!$C$70,"")</f>
      </c>
      <c r="D5720" s="15"/>
      <c r="E5720" s="15"/>
      <c r="F5720" s="11">
        <f t="shared" si="45"/>
      </c>
      <c r="G5720" s="22" cm="1">
        <f t="array" ref="G5720">IF(AND(Inputs!$C$60,Inputs!$C$61),INDEX(Utility_Rates!$C$29:$F$52,HOUR(C5720)+Inputs!$C$69,MATCH(INDEX(Utility_Rates!$K$6:$K$17,MONTH(C5720))&amp;IF(WEEKDAY(C5720,Inputs!$C$76)&lt;=Inputs!$C$74," weekday"," weekend"),Utility_Rates!$C$28:$F$28,Inputs!$C$68)),"")</f>
      </c>
      <c r="H5720" s="34"/>
      <c r="I5720" s="42">
        <f>IF(AND(ISNUMBER(D5720),ISNUMBER(H5720)),D5720*H5720*Inputs!$C$69,"")</f>
      </c>
      <c r="J5720" s="42">
        <f>IF(AND(ISNUMBER(F5720),ISNUMBER(H5720),F5720&gt;=Inputs!$C$68),F5720*H5720*Inputs!$C$69,"")</f>
      </c>
    </row>
    <row r="5721" spans="2:10" ht="15" customHeight="1" x14ac:dyDescent="0.2">
      <c r="B5721" s="39">
        <f t="shared" si="44"/>
      </c>
      <c r="C5721" s="40">
        <f>IF(Inputs!$C$60,Inputs!$C$11+(B5721-Inputs!$C$69)/Inputs!$C$70,"")</f>
      </c>
      <c r="D5721" s="15"/>
      <c r="E5721" s="15"/>
      <c r="F5721" s="11">
        <f t="shared" si="45"/>
      </c>
      <c r="G5721" s="22" cm="1">
        <f t="array" ref="G5721">IF(AND(Inputs!$C$60,Inputs!$C$61),INDEX(Utility_Rates!$C$29:$F$52,HOUR(C5721)+Inputs!$C$69,MATCH(INDEX(Utility_Rates!$K$6:$K$17,MONTH(C5721))&amp;IF(WEEKDAY(C5721,Inputs!$C$76)&lt;=Inputs!$C$74," weekday"," weekend"),Utility_Rates!$C$28:$F$28,Inputs!$C$68)),"")</f>
      </c>
      <c r="H5721" s="34"/>
      <c r="I5721" s="42">
        <f>IF(AND(ISNUMBER(D5721),ISNUMBER(H5721)),D5721*H5721*Inputs!$C$69,"")</f>
      </c>
      <c r="J5721" s="42">
        <f>IF(AND(ISNUMBER(F5721),ISNUMBER(H5721),F5721&gt;=Inputs!$C$68),F5721*H5721*Inputs!$C$69,"")</f>
      </c>
    </row>
    <row r="5722" spans="2:10" ht="15" customHeight="1" x14ac:dyDescent="0.2">
      <c r="B5722" s="39">
        <f t="shared" si="44"/>
      </c>
      <c r="C5722" s="40">
        <f>IF(Inputs!$C$60,Inputs!$C$11+(B5722-Inputs!$C$69)/Inputs!$C$70,"")</f>
      </c>
      <c r="D5722" s="15"/>
      <c r="E5722" s="15"/>
      <c r="F5722" s="11">
        <f t="shared" si="45"/>
      </c>
      <c r="G5722" s="22" cm="1">
        <f t="array" ref="G5722">IF(AND(Inputs!$C$60,Inputs!$C$61),INDEX(Utility_Rates!$C$29:$F$52,HOUR(C5722)+Inputs!$C$69,MATCH(INDEX(Utility_Rates!$K$6:$K$17,MONTH(C5722))&amp;IF(WEEKDAY(C5722,Inputs!$C$76)&lt;=Inputs!$C$74," weekday"," weekend"),Utility_Rates!$C$28:$F$28,Inputs!$C$68)),"")</f>
      </c>
      <c r="H5722" s="34"/>
      <c r="I5722" s="42">
        <f>IF(AND(ISNUMBER(D5722),ISNUMBER(H5722)),D5722*H5722*Inputs!$C$69,"")</f>
      </c>
      <c r="J5722" s="42">
        <f>IF(AND(ISNUMBER(F5722),ISNUMBER(H5722),F5722&gt;=Inputs!$C$68),F5722*H5722*Inputs!$C$69,"")</f>
      </c>
    </row>
    <row r="5723" spans="2:10" ht="15" customHeight="1" x14ac:dyDescent="0.2">
      <c r="B5723" s="39">
        <f t="shared" si="44"/>
      </c>
      <c r="C5723" s="40">
        <f>IF(Inputs!$C$60,Inputs!$C$11+(B5723-Inputs!$C$69)/Inputs!$C$70,"")</f>
      </c>
      <c r="D5723" s="15"/>
      <c r="E5723" s="15"/>
      <c r="F5723" s="11">
        <f t="shared" si="45"/>
      </c>
      <c r="G5723" s="22" cm="1">
        <f t="array" ref="G5723">IF(AND(Inputs!$C$60,Inputs!$C$61),INDEX(Utility_Rates!$C$29:$F$52,HOUR(C5723)+Inputs!$C$69,MATCH(INDEX(Utility_Rates!$K$6:$K$17,MONTH(C5723))&amp;IF(WEEKDAY(C5723,Inputs!$C$76)&lt;=Inputs!$C$74," weekday"," weekend"),Utility_Rates!$C$28:$F$28,Inputs!$C$68)),"")</f>
      </c>
      <c r="H5723" s="34"/>
      <c r="I5723" s="42">
        <f>IF(AND(ISNUMBER(D5723),ISNUMBER(H5723)),D5723*H5723*Inputs!$C$69,"")</f>
      </c>
      <c r="J5723" s="42">
        <f>IF(AND(ISNUMBER(F5723),ISNUMBER(H5723),F5723&gt;=Inputs!$C$68),F5723*H5723*Inputs!$C$69,"")</f>
      </c>
    </row>
    <row r="5724" spans="2:10" ht="15" customHeight="1" x14ac:dyDescent="0.2">
      <c r="B5724" s="39">
        <f t="shared" si="44"/>
      </c>
      <c r="C5724" s="40">
        <f>IF(Inputs!$C$60,Inputs!$C$11+(B5724-Inputs!$C$69)/Inputs!$C$70,"")</f>
      </c>
      <c r="D5724" s="15"/>
      <c r="E5724" s="15"/>
      <c r="F5724" s="11">
        <f t="shared" si="45"/>
      </c>
      <c r="G5724" s="22" cm="1">
        <f t="array" ref="G5724">IF(AND(Inputs!$C$60,Inputs!$C$61),INDEX(Utility_Rates!$C$29:$F$52,HOUR(C5724)+Inputs!$C$69,MATCH(INDEX(Utility_Rates!$K$6:$K$17,MONTH(C5724))&amp;IF(WEEKDAY(C5724,Inputs!$C$76)&lt;=Inputs!$C$74," weekday"," weekend"),Utility_Rates!$C$28:$F$28,Inputs!$C$68)),"")</f>
      </c>
      <c r="H5724" s="34"/>
      <c r="I5724" s="42">
        <f>IF(AND(ISNUMBER(D5724),ISNUMBER(H5724)),D5724*H5724*Inputs!$C$69,"")</f>
      </c>
      <c r="J5724" s="42">
        <f>IF(AND(ISNUMBER(F5724),ISNUMBER(H5724),F5724&gt;=Inputs!$C$68),F5724*H5724*Inputs!$C$69,"")</f>
      </c>
    </row>
    <row r="5725" spans="2:10" ht="15" customHeight="1" x14ac:dyDescent="0.2">
      <c r="B5725" s="39">
        <f t="shared" si="44"/>
      </c>
      <c r="C5725" s="40">
        <f>IF(Inputs!$C$60,Inputs!$C$11+(B5725-Inputs!$C$69)/Inputs!$C$70,"")</f>
      </c>
      <c r="D5725" s="15"/>
      <c r="E5725" s="15"/>
      <c r="F5725" s="11">
        <f t="shared" si="45"/>
      </c>
      <c r="G5725" s="22" cm="1">
        <f t="array" ref="G5725">IF(AND(Inputs!$C$60,Inputs!$C$61),INDEX(Utility_Rates!$C$29:$F$52,HOUR(C5725)+Inputs!$C$69,MATCH(INDEX(Utility_Rates!$K$6:$K$17,MONTH(C5725))&amp;IF(WEEKDAY(C5725,Inputs!$C$76)&lt;=Inputs!$C$74," weekday"," weekend"),Utility_Rates!$C$28:$F$28,Inputs!$C$68)),"")</f>
      </c>
      <c r="H5725" s="34"/>
      <c r="I5725" s="42">
        <f>IF(AND(ISNUMBER(D5725),ISNUMBER(H5725)),D5725*H5725*Inputs!$C$69,"")</f>
      </c>
      <c r="J5725" s="42">
        <f>IF(AND(ISNUMBER(F5725),ISNUMBER(H5725),F5725&gt;=Inputs!$C$68),F5725*H5725*Inputs!$C$69,"")</f>
      </c>
    </row>
    <row r="5726" spans="2:10" ht="15" customHeight="1" x14ac:dyDescent="0.2">
      <c r="B5726" s="39">
        <f t="shared" si="44"/>
      </c>
      <c r="C5726" s="40">
        <f>IF(Inputs!$C$60,Inputs!$C$11+(B5726-Inputs!$C$69)/Inputs!$C$70,"")</f>
      </c>
      <c r="D5726" s="15"/>
      <c r="E5726" s="15"/>
      <c r="F5726" s="11">
        <f t="shared" si="45"/>
      </c>
      <c r="G5726" s="22" cm="1">
        <f t="array" ref="G5726">IF(AND(Inputs!$C$60,Inputs!$C$61),INDEX(Utility_Rates!$C$29:$F$52,HOUR(C5726)+Inputs!$C$69,MATCH(INDEX(Utility_Rates!$K$6:$K$17,MONTH(C5726))&amp;IF(WEEKDAY(C5726,Inputs!$C$76)&lt;=Inputs!$C$74," weekday"," weekend"),Utility_Rates!$C$28:$F$28,Inputs!$C$68)),"")</f>
      </c>
      <c r="H5726" s="34"/>
      <c r="I5726" s="42">
        <f>IF(AND(ISNUMBER(D5726),ISNUMBER(H5726)),D5726*H5726*Inputs!$C$69,"")</f>
      </c>
      <c r="J5726" s="42">
        <f>IF(AND(ISNUMBER(F5726),ISNUMBER(H5726),F5726&gt;=Inputs!$C$68),F5726*H5726*Inputs!$C$69,"")</f>
      </c>
    </row>
    <row r="5727" spans="2:10" ht="15" customHeight="1" x14ac:dyDescent="0.2">
      <c r="B5727" s="39">
        <f t="shared" si="44"/>
      </c>
      <c r="C5727" s="40">
        <f>IF(Inputs!$C$60,Inputs!$C$11+(B5727-Inputs!$C$69)/Inputs!$C$70,"")</f>
      </c>
      <c r="D5727" s="15"/>
      <c r="E5727" s="15"/>
      <c r="F5727" s="11">
        <f t="shared" si="45"/>
      </c>
      <c r="G5727" s="22" cm="1">
        <f t="array" ref="G5727">IF(AND(Inputs!$C$60,Inputs!$C$61),INDEX(Utility_Rates!$C$29:$F$52,HOUR(C5727)+Inputs!$C$69,MATCH(INDEX(Utility_Rates!$K$6:$K$17,MONTH(C5727))&amp;IF(WEEKDAY(C5727,Inputs!$C$76)&lt;=Inputs!$C$74," weekday"," weekend"),Utility_Rates!$C$28:$F$28,Inputs!$C$68)),"")</f>
      </c>
      <c r="H5727" s="34"/>
      <c r="I5727" s="42">
        <f>IF(AND(ISNUMBER(D5727),ISNUMBER(H5727)),D5727*H5727*Inputs!$C$69,"")</f>
      </c>
      <c r="J5727" s="42">
        <f>IF(AND(ISNUMBER(F5727),ISNUMBER(H5727),F5727&gt;=Inputs!$C$68),F5727*H5727*Inputs!$C$69,"")</f>
      </c>
    </row>
    <row r="5728" spans="2:10" ht="15" customHeight="1" x14ac:dyDescent="0.2">
      <c r="B5728" s="39">
        <f t="shared" si="44"/>
      </c>
      <c r="C5728" s="40">
        <f>IF(Inputs!$C$60,Inputs!$C$11+(B5728-Inputs!$C$69)/Inputs!$C$70,"")</f>
      </c>
      <c r="D5728" s="15"/>
      <c r="E5728" s="15"/>
      <c r="F5728" s="11">
        <f t="shared" si="45"/>
      </c>
      <c r="G5728" s="22" cm="1">
        <f t="array" ref="G5728">IF(AND(Inputs!$C$60,Inputs!$C$61),INDEX(Utility_Rates!$C$29:$F$52,HOUR(C5728)+Inputs!$C$69,MATCH(INDEX(Utility_Rates!$K$6:$K$17,MONTH(C5728))&amp;IF(WEEKDAY(C5728,Inputs!$C$76)&lt;=Inputs!$C$74," weekday"," weekend"),Utility_Rates!$C$28:$F$28,Inputs!$C$68)),"")</f>
      </c>
      <c r="H5728" s="34"/>
      <c r="I5728" s="42">
        <f>IF(AND(ISNUMBER(D5728),ISNUMBER(H5728)),D5728*H5728*Inputs!$C$69,"")</f>
      </c>
      <c r="J5728" s="42">
        <f>IF(AND(ISNUMBER(F5728),ISNUMBER(H5728),F5728&gt;=Inputs!$C$68),F5728*H5728*Inputs!$C$69,"")</f>
      </c>
    </row>
    <row r="5729" spans="2:10" ht="15" customHeight="1" x14ac:dyDescent="0.2">
      <c r="B5729" s="39">
        <f t="shared" si="44"/>
      </c>
      <c r="C5729" s="40">
        <f>IF(Inputs!$C$60,Inputs!$C$11+(B5729-Inputs!$C$69)/Inputs!$C$70,"")</f>
      </c>
      <c r="D5729" s="15"/>
      <c r="E5729" s="15"/>
      <c r="F5729" s="11">
        <f t="shared" si="45"/>
      </c>
      <c r="G5729" s="22" cm="1">
        <f t="array" ref="G5729">IF(AND(Inputs!$C$60,Inputs!$C$61),INDEX(Utility_Rates!$C$29:$F$52,HOUR(C5729)+Inputs!$C$69,MATCH(INDEX(Utility_Rates!$K$6:$K$17,MONTH(C5729))&amp;IF(WEEKDAY(C5729,Inputs!$C$76)&lt;=Inputs!$C$74," weekday"," weekend"),Utility_Rates!$C$28:$F$28,Inputs!$C$68)),"")</f>
      </c>
      <c r="H5729" s="34"/>
      <c r="I5729" s="42">
        <f>IF(AND(ISNUMBER(D5729),ISNUMBER(H5729)),D5729*H5729*Inputs!$C$69,"")</f>
      </c>
      <c r="J5729" s="42">
        <f>IF(AND(ISNUMBER(F5729),ISNUMBER(H5729),F5729&gt;=Inputs!$C$68),F5729*H5729*Inputs!$C$69,"")</f>
      </c>
    </row>
    <row r="5730" spans="2:10" ht="15" customHeight="1" x14ac:dyDescent="0.2">
      <c r="B5730" s="39">
        <f t="shared" si="44"/>
      </c>
      <c r="C5730" s="40">
        <f>IF(Inputs!$C$60,Inputs!$C$11+(B5730-Inputs!$C$69)/Inputs!$C$70,"")</f>
      </c>
      <c r="D5730" s="15"/>
      <c r="E5730" s="15"/>
      <c r="F5730" s="11">
        <f t="shared" si="45"/>
      </c>
      <c r="G5730" s="22" cm="1">
        <f t="array" ref="G5730">IF(AND(Inputs!$C$60,Inputs!$C$61),INDEX(Utility_Rates!$C$29:$F$52,HOUR(C5730)+Inputs!$C$69,MATCH(INDEX(Utility_Rates!$K$6:$K$17,MONTH(C5730))&amp;IF(WEEKDAY(C5730,Inputs!$C$76)&lt;=Inputs!$C$74," weekday"," weekend"),Utility_Rates!$C$28:$F$28,Inputs!$C$68)),"")</f>
      </c>
      <c r="H5730" s="34"/>
      <c r="I5730" s="42">
        <f>IF(AND(ISNUMBER(D5730),ISNUMBER(H5730)),D5730*H5730*Inputs!$C$69,"")</f>
      </c>
      <c r="J5730" s="42">
        <f>IF(AND(ISNUMBER(F5730),ISNUMBER(H5730),F5730&gt;=Inputs!$C$68),F5730*H5730*Inputs!$C$69,"")</f>
      </c>
    </row>
    <row r="5731" spans="2:10" ht="15" customHeight="1" x14ac:dyDescent="0.2">
      <c r="B5731" s="39">
        <f t="shared" si="44"/>
      </c>
      <c r="C5731" s="40">
        <f>IF(Inputs!$C$60,Inputs!$C$11+(B5731-Inputs!$C$69)/Inputs!$C$70,"")</f>
      </c>
      <c r="D5731" s="15"/>
      <c r="E5731" s="15"/>
      <c r="F5731" s="11">
        <f t="shared" si="45"/>
      </c>
      <c r="G5731" s="22" cm="1">
        <f t="array" ref="G5731">IF(AND(Inputs!$C$60,Inputs!$C$61),INDEX(Utility_Rates!$C$29:$F$52,HOUR(C5731)+Inputs!$C$69,MATCH(INDEX(Utility_Rates!$K$6:$K$17,MONTH(C5731))&amp;IF(WEEKDAY(C5731,Inputs!$C$76)&lt;=Inputs!$C$74," weekday"," weekend"),Utility_Rates!$C$28:$F$28,Inputs!$C$68)),"")</f>
      </c>
      <c r="H5731" s="34"/>
      <c r="I5731" s="42">
        <f>IF(AND(ISNUMBER(D5731),ISNUMBER(H5731)),D5731*H5731*Inputs!$C$69,"")</f>
      </c>
      <c r="J5731" s="42">
        <f>IF(AND(ISNUMBER(F5731),ISNUMBER(H5731),F5731&gt;=Inputs!$C$68),F5731*H5731*Inputs!$C$69,"")</f>
      </c>
    </row>
    <row r="5732" spans="2:10" ht="15" customHeight="1" x14ac:dyDescent="0.2">
      <c r="B5732" s="39">
        <f t="shared" si="44"/>
      </c>
      <c r="C5732" s="40">
        <f>IF(Inputs!$C$60,Inputs!$C$11+(B5732-Inputs!$C$69)/Inputs!$C$70,"")</f>
      </c>
      <c r="D5732" s="15"/>
      <c r="E5732" s="15"/>
      <c r="F5732" s="11">
        <f t="shared" si="45"/>
      </c>
      <c r="G5732" s="22" cm="1">
        <f t="array" ref="G5732">IF(AND(Inputs!$C$60,Inputs!$C$61),INDEX(Utility_Rates!$C$29:$F$52,HOUR(C5732)+Inputs!$C$69,MATCH(INDEX(Utility_Rates!$K$6:$K$17,MONTH(C5732))&amp;IF(WEEKDAY(C5732,Inputs!$C$76)&lt;=Inputs!$C$74," weekday"," weekend"),Utility_Rates!$C$28:$F$28,Inputs!$C$68)),"")</f>
      </c>
      <c r="H5732" s="34"/>
      <c r="I5732" s="42">
        <f>IF(AND(ISNUMBER(D5732),ISNUMBER(H5732)),D5732*H5732*Inputs!$C$69,"")</f>
      </c>
      <c r="J5732" s="42">
        <f>IF(AND(ISNUMBER(F5732),ISNUMBER(H5732),F5732&gt;=Inputs!$C$68),F5732*H5732*Inputs!$C$69,"")</f>
      </c>
    </row>
    <row r="5733" spans="2:10" ht="15" customHeight="1" x14ac:dyDescent="0.2">
      <c r="B5733" s="39">
        <f t="shared" si="44"/>
      </c>
      <c r="C5733" s="40">
        <f>IF(Inputs!$C$60,Inputs!$C$11+(B5733-Inputs!$C$69)/Inputs!$C$70,"")</f>
      </c>
      <c r="D5733" s="15"/>
      <c r="E5733" s="15"/>
      <c r="F5733" s="11">
        <f t="shared" si="45"/>
      </c>
      <c r="G5733" s="22" cm="1">
        <f t="array" ref="G5733">IF(AND(Inputs!$C$60,Inputs!$C$61),INDEX(Utility_Rates!$C$29:$F$52,HOUR(C5733)+Inputs!$C$69,MATCH(INDEX(Utility_Rates!$K$6:$K$17,MONTH(C5733))&amp;IF(WEEKDAY(C5733,Inputs!$C$76)&lt;=Inputs!$C$74," weekday"," weekend"),Utility_Rates!$C$28:$F$28,Inputs!$C$68)),"")</f>
      </c>
      <c r="H5733" s="34"/>
      <c r="I5733" s="42">
        <f>IF(AND(ISNUMBER(D5733),ISNUMBER(H5733)),D5733*H5733*Inputs!$C$69,"")</f>
      </c>
      <c r="J5733" s="42">
        <f>IF(AND(ISNUMBER(F5733),ISNUMBER(H5733),F5733&gt;=Inputs!$C$68),F5733*H5733*Inputs!$C$69,"")</f>
      </c>
    </row>
    <row r="5734" spans="2:10" ht="15" customHeight="1" x14ac:dyDescent="0.2">
      <c r="B5734" s="39">
        <f t="shared" si="44"/>
      </c>
      <c r="C5734" s="40">
        <f>IF(Inputs!$C$60,Inputs!$C$11+(B5734-Inputs!$C$69)/Inputs!$C$70,"")</f>
      </c>
      <c r="D5734" s="15"/>
      <c r="E5734" s="15"/>
      <c r="F5734" s="11">
        <f t="shared" si="45"/>
      </c>
      <c r="G5734" s="22" cm="1">
        <f t="array" ref="G5734">IF(AND(Inputs!$C$60,Inputs!$C$61),INDEX(Utility_Rates!$C$29:$F$52,HOUR(C5734)+Inputs!$C$69,MATCH(INDEX(Utility_Rates!$K$6:$K$17,MONTH(C5734))&amp;IF(WEEKDAY(C5734,Inputs!$C$76)&lt;=Inputs!$C$74," weekday"," weekend"),Utility_Rates!$C$28:$F$28,Inputs!$C$68)),"")</f>
      </c>
      <c r="H5734" s="34"/>
      <c r="I5734" s="42">
        <f>IF(AND(ISNUMBER(D5734),ISNUMBER(H5734)),D5734*H5734*Inputs!$C$69,"")</f>
      </c>
      <c r="J5734" s="42">
        <f>IF(AND(ISNUMBER(F5734),ISNUMBER(H5734),F5734&gt;=Inputs!$C$68),F5734*H5734*Inputs!$C$69,"")</f>
      </c>
    </row>
    <row r="5735" spans="2:10" ht="15" customHeight="1" x14ac:dyDescent="0.2">
      <c r="B5735" s="39">
        <f t="shared" si="44"/>
      </c>
      <c r="C5735" s="40">
        <f>IF(Inputs!$C$60,Inputs!$C$11+(B5735-Inputs!$C$69)/Inputs!$C$70,"")</f>
      </c>
      <c r="D5735" s="15"/>
      <c r="E5735" s="15"/>
      <c r="F5735" s="11">
        <f t="shared" si="45"/>
      </c>
      <c r="G5735" s="22" cm="1">
        <f t="array" ref="G5735">IF(AND(Inputs!$C$60,Inputs!$C$61),INDEX(Utility_Rates!$C$29:$F$52,HOUR(C5735)+Inputs!$C$69,MATCH(INDEX(Utility_Rates!$K$6:$K$17,MONTH(C5735))&amp;IF(WEEKDAY(C5735,Inputs!$C$76)&lt;=Inputs!$C$74," weekday"," weekend"),Utility_Rates!$C$28:$F$28,Inputs!$C$68)),"")</f>
      </c>
      <c r="H5735" s="34"/>
      <c r="I5735" s="42">
        <f>IF(AND(ISNUMBER(D5735),ISNUMBER(H5735)),D5735*H5735*Inputs!$C$69,"")</f>
      </c>
      <c r="J5735" s="42">
        <f>IF(AND(ISNUMBER(F5735),ISNUMBER(H5735),F5735&gt;=Inputs!$C$68),F5735*H5735*Inputs!$C$69,"")</f>
      </c>
    </row>
    <row r="5736" spans="2:10" ht="15" customHeight="1" x14ac:dyDescent="0.2">
      <c r="B5736" s="39">
        <f t="shared" si="44"/>
      </c>
      <c r="C5736" s="40">
        <f>IF(Inputs!$C$60,Inputs!$C$11+(B5736-Inputs!$C$69)/Inputs!$C$70,"")</f>
      </c>
      <c r="D5736" s="15"/>
      <c r="E5736" s="15"/>
      <c r="F5736" s="11">
        <f t="shared" si="45"/>
      </c>
      <c r="G5736" s="22" cm="1">
        <f t="array" ref="G5736">IF(AND(Inputs!$C$60,Inputs!$C$61),INDEX(Utility_Rates!$C$29:$F$52,HOUR(C5736)+Inputs!$C$69,MATCH(INDEX(Utility_Rates!$K$6:$K$17,MONTH(C5736))&amp;IF(WEEKDAY(C5736,Inputs!$C$76)&lt;=Inputs!$C$74," weekday"," weekend"),Utility_Rates!$C$28:$F$28,Inputs!$C$68)),"")</f>
      </c>
      <c r="H5736" s="34"/>
      <c r="I5736" s="42">
        <f>IF(AND(ISNUMBER(D5736),ISNUMBER(H5736)),D5736*H5736*Inputs!$C$69,"")</f>
      </c>
      <c r="J5736" s="42">
        <f>IF(AND(ISNUMBER(F5736),ISNUMBER(H5736),F5736&gt;=Inputs!$C$68),F5736*H5736*Inputs!$C$69,"")</f>
      </c>
    </row>
    <row r="5737" spans="2:10" ht="15" customHeight="1" x14ac:dyDescent="0.2">
      <c r="B5737" s="39">
        <f t="shared" si="44"/>
      </c>
      <c r="C5737" s="40">
        <f>IF(Inputs!$C$60,Inputs!$C$11+(B5737-Inputs!$C$69)/Inputs!$C$70,"")</f>
      </c>
      <c r="D5737" s="15"/>
      <c r="E5737" s="15"/>
      <c r="F5737" s="11">
        <f t="shared" si="45"/>
      </c>
      <c r="G5737" s="22" cm="1">
        <f t="array" ref="G5737">IF(AND(Inputs!$C$60,Inputs!$C$61),INDEX(Utility_Rates!$C$29:$F$52,HOUR(C5737)+Inputs!$C$69,MATCH(INDEX(Utility_Rates!$K$6:$K$17,MONTH(C5737))&amp;IF(WEEKDAY(C5737,Inputs!$C$76)&lt;=Inputs!$C$74," weekday"," weekend"),Utility_Rates!$C$28:$F$28,Inputs!$C$68)),"")</f>
      </c>
      <c r="H5737" s="34"/>
      <c r="I5737" s="42">
        <f>IF(AND(ISNUMBER(D5737),ISNUMBER(H5737)),D5737*H5737*Inputs!$C$69,"")</f>
      </c>
      <c r="J5737" s="42">
        <f>IF(AND(ISNUMBER(F5737),ISNUMBER(H5737),F5737&gt;=Inputs!$C$68),F5737*H5737*Inputs!$C$69,"")</f>
      </c>
    </row>
    <row r="5738" spans="2:10" ht="15" customHeight="1" x14ac:dyDescent="0.2">
      <c r="B5738" s="39">
        <f t="shared" si="44"/>
      </c>
      <c r="C5738" s="40">
        <f>IF(Inputs!$C$60,Inputs!$C$11+(B5738-Inputs!$C$69)/Inputs!$C$70,"")</f>
      </c>
      <c r="D5738" s="15"/>
      <c r="E5738" s="15"/>
      <c r="F5738" s="11">
        <f t="shared" si="45"/>
      </c>
      <c r="G5738" s="22" cm="1">
        <f t="array" ref="G5738">IF(AND(Inputs!$C$60,Inputs!$C$61),INDEX(Utility_Rates!$C$29:$F$52,HOUR(C5738)+Inputs!$C$69,MATCH(INDEX(Utility_Rates!$K$6:$K$17,MONTH(C5738))&amp;IF(WEEKDAY(C5738,Inputs!$C$76)&lt;=Inputs!$C$74," weekday"," weekend"),Utility_Rates!$C$28:$F$28,Inputs!$C$68)),"")</f>
      </c>
      <c r="H5738" s="34"/>
      <c r="I5738" s="42">
        <f>IF(AND(ISNUMBER(D5738),ISNUMBER(H5738)),D5738*H5738*Inputs!$C$69,"")</f>
      </c>
      <c r="J5738" s="42">
        <f>IF(AND(ISNUMBER(F5738),ISNUMBER(H5738),F5738&gt;=Inputs!$C$68),F5738*H5738*Inputs!$C$69,"")</f>
      </c>
    </row>
    <row r="5739" spans="2:10" ht="15" customHeight="1" x14ac:dyDescent="0.2">
      <c r="B5739" s="39">
        <f t="shared" si="44"/>
      </c>
      <c r="C5739" s="40">
        <f>IF(Inputs!$C$60,Inputs!$C$11+(B5739-Inputs!$C$69)/Inputs!$C$70,"")</f>
      </c>
      <c r="D5739" s="15"/>
      <c r="E5739" s="15"/>
      <c r="F5739" s="11">
        <f t="shared" si="45"/>
      </c>
      <c r="G5739" s="22" cm="1">
        <f t="array" ref="G5739">IF(AND(Inputs!$C$60,Inputs!$C$61),INDEX(Utility_Rates!$C$29:$F$52,HOUR(C5739)+Inputs!$C$69,MATCH(INDEX(Utility_Rates!$K$6:$K$17,MONTH(C5739))&amp;IF(WEEKDAY(C5739,Inputs!$C$76)&lt;=Inputs!$C$74," weekday"," weekend"),Utility_Rates!$C$28:$F$28,Inputs!$C$68)),"")</f>
      </c>
      <c r="H5739" s="34"/>
      <c r="I5739" s="42">
        <f>IF(AND(ISNUMBER(D5739),ISNUMBER(H5739)),D5739*H5739*Inputs!$C$69,"")</f>
      </c>
      <c r="J5739" s="42">
        <f>IF(AND(ISNUMBER(F5739),ISNUMBER(H5739),F5739&gt;=Inputs!$C$68),F5739*H5739*Inputs!$C$69,"")</f>
      </c>
    </row>
    <row r="5740" spans="2:10" ht="15" customHeight="1" x14ac:dyDescent="0.2">
      <c r="B5740" s="39">
        <f t="shared" si="44"/>
      </c>
      <c r="C5740" s="40">
        <f>IF(Inputs!$C$60,Inputs!$C$11+(B5740-Inputs!$C$69)/Inputs!$C$70,"")</f>
      </c>
      <c r="D5740" s="15"/>
      <c r="E5740" s="15"/>
      <c r="F5740" s="11">
        <f t="shared" si="45"/>
      </c>
      <c r="G5740" s="22" cm="1">
        <f t="array" ref="G5740">IF(AND(Inputs!$C$60,Inputs!$C$61),INDEX(Utility_Rates!$C$29:$F$52,HOUR(C5740)+Inputs!$C$69,MATCH(INDEX(Utility_Rates!$K$6:$K$17,MONTH(C5740))&amp;IF(WEEKDAY(C5740,Inputs!$C$76)&lt;=Inputs!$C$74," weekday"," weekend"),Utility_Rates!$C$28:$F$28,Inputs!$C$68)),"")</f>
      </c>
      <c r="H5740" s="34"/>
      <c r="I5740" s="42">
        <f>IF(AND(ISNUMBER(D5740),ISNUMBER(H5740)),D5740*H5740*Inputs!$C$69,"")</f>
      </c>
      <c r="J5740" s="42">
        <f>IF(AND(ISNUMBER(F5740),ISNUMBER(H5740),F5740&gt;=Inputs!$C$68),F5740*H5740*Inputs!$C$69,"")</f>
      </c>
    </row>
    <row r="5741" spans="2:10" ht="15" customHeight="1" x14ac:dyDescent="0.2">
      <c r="B5741" s="39">
        <f t="shared" si="44"/>
      </c>
      <c r="C5741" s="40">
        <f>IF(Inputs!$C$60,Inputs!$C$11+(B5741-Inputs!$C$69)/Inputs!$C$70,"")</f>
      </c>
      <c r="D5741" s="15"/>
      <c r="E5741" s="15"/>
      <c r="F5741" s="11">
        <f t="shared" si="45"/>
      </c>
      <c r="G5741" s="22" cm="1">
        <f t="array" ref="G5741">IF(AND(Inputs!$C$60,Inputs!$C$61),INDEX(Utility_Rates!$C$29:$F$52,HOUR(C5741)+Inputs!$C$69,MATCH(INDEX(Utility_Rates!$K$6:$K$17,MONTH(C5741))&amp;IF(WEEKDAY(C5741,Inputs!$C$76)&lt;=Inputs!$C$74," weekday"," weekend"),Utility_Rates!$C$28:$F$28,Inputs!$C$68)),"")</f>
      </c>
      <c r="H5741" s="34"/>
      <c r="I5741" s="42">
        <f>IF(AND(ISNUMBER(D5741),ISNUMBER(H5741)),D5741*H5741*Inputs!$C$69,"")</f>
      </c>
      <c r="J5741" s="42">
        <f>IF(AND(ISNUMBER(F5741),ISNUMBER(H5741),F5741&gt;=Inputs!$C$68),F5741*H5741*Inputs!$C$69,"")</f>
      </c>
    </row>
    <row r="5742" spans="2:10" ht="15" customHeight="1" x14ac:dyDescent="0.2">
      <c r="B5742" s="39">
        <f t="shared" si="44"/>
      </c>
      <c r="C5742" s="40">
        <f>IF(Inputs!$C$60,Inputs!$C$11+(B5742-Inputs!$C$69)/Inputs!$C$70,"")</f>
      </c>
      <c r="D5742" s="15"/>
      <c r="E5742" s="15"/>
      <c r="F5742" s="11">
        <f t="shared" si="45"/>
      </c>
      <c r="G5742" s="22" cm="1">
        <f t="array" ref="G5742">IF(AND(Inputs!$C$60,Inputs!$C$61),INDEX(Utility_Rates!$C$29:$F$52,HOUR(C5742)+Inputs!$C$69,MATCH(INDEX(Utility_Rates!$K$6:$K$17,MONTH(C5742))&amp;IF(WEEKDAY(C5742,Inputs!$C$76)&lt;=Inputs!$C$74," weekday"," weekend"),Utility_Rates!$C$28:$F$28,Inputs!$C$68)),"")</f>
      </c>
      <c r="H5742" s="34"/>
      <c r="I5742" s="42">
        <f>IF(AND(ISNUMBER(D5742),ISNUMBER(H5742)),D5742*H5742*Inputs!$C$69,"")</f>
      </c>
      <c r="J5742" s="42">
        <f>IF(AND(ISNUMBER(F5742),ISNUMBER(H5742),F5742&gt;=Inputs!$C$68),F5742*H5742*Inputs!$C$69,"")</f>
      </c>
    </row>
    <row r="5743" spans="2:10" ht="15" customHeight="1" x14ac:dyDescent="0.2">
      <c r="B5743" s="39">
        <f t="shared" si="44"/>
      </c>
      <c r="C5743" s="40">
        <f>IF(Inputs!$C$60,Inputs!$C$11+(B5743-Inputs!$C$69)/Inputs!$C$70,"")</f>
      </c>
      <c r="D5743" s="15"/>
      <c r="E5743" s="15"/>
      <c r="F5743" s="11">
        <f t="shared" si="45"/>
      </c>
      <c r="G5743" s="22" cm="1">
        <f t="array" ref="G5743">IF(AND(Inputs!$C$60,Inputs!$C$61),INDEX(Utility_Rates!$C$29:$F$52,HOUR(C5743)+Inputs!$C$69,MATCH(INDEX(Utility_Rates!$K$6:$K$17,MONTH(C5743))&amp;IF(WEEKDAY(C5743,Inputs!$C$76)&lt;=Inputs!$C$74," weekday"," weekend"),Utility_Rates!$C$28:$F$28,Inputs!$C$68)),"")</f>
      </c>
      <c r="H5743" s="34"/>
      <c r="I5743" s="42">
        <f>IF(AND(ISNUMBER(D5743),ISNUMBER(H5743)),D5743*H5743*Inputs!$C$69,"")</f>
      </c>
      <c r="J5743" s="42">
        <f>IF(AND(ISNUMBER(F5743),ISNUMBER(H5743),F5743&gt;=Inputs!$C$68),F5743*H5743*Inputs!$C$69,"")</f>
      </c>
    </row>
    <row r="5744" spans="2:10" ht="15" customHeight="1" x14ac:dyDescent="0.2">
      <c r="B5744" s="39">
        <f t="shared" si="44"/>
      </c>
      <c r="C5744" s="40">
        <f>IF(Inputs!$C$60,Inputs!$C$11+(B5744-Inputs!$C$69)/Inputs!$C$70,"")</f>
      </c>
      <c r="D5744" s="15"/>
      <c r="E5744" s="15"/>
      <c r="F5744" s="11">
        <f t="shared" si="45"/>
      </c>
      <c r="G5744" s="22" cm="1">
        <f t="array" ref="G5744">IF(AND(Inputs!$C$60,Inputs!$C$61),INDEX(Utility_Rates!$C$29:$F$52,HOUR(C5744)+Inputs!$C$69,MATCH(INDEX(Utility_Rates!$K$6:$K$17,MONTH(C5744))&amp;IF(WEEKDAY(C5744,Inputs!$C$76)&lt;=Inputs!$C$74," weekday"," weekend"),Utility_Rates!$C$28:$F$28,Inputs!$C$68)),"")</f>
      </c>
      <c r="H5744" s="34"/>
      <c r="I5744" s="42">
        <f>IF(AND(ISNUMBER(D5744),ISNUMBER(H5744)),D5744*H5744*Inputs!$C$69,"")</f>
      </c>
      <c r="J5744" s="42">
        <f>IF(AND(ISNUMBER(F5744),ISNUMBER(H5744),F5744&gt;=Inputs!$C$68),F5744*H5744*Inputs!$C$69,"")</f>
      </c>
    </row>
    <row r="5745" spans="2:10" ht="15" customHeight="1" x14ac:dyDescent="0.2">
      <c r="B5745" s="39">
        <f t="shared" si="44"/>
      </c>
      <c r="C5745" s="40">
        <f>IF(Inputs!$C$60,Inputs!$C$11+(B5745-Inputs!$C$69)/Inputs!$C$70,"")</f>
      </c>
      <c r="D5745" s="15"/>
      <c r="E5745" s="15"/>
      <c r="F5745" s="11">
        <f t="shared" si="45"/>
      </c>
      <c r="G5745" s="22" cm="1">
        <f t="array" ref="G5745">IF(AND(Inputs!$C$60,Inputs!$C$61),INDEX(Utility_Rates!$C$29:$F$52,HOUR(C5745)+Inputs!$C$69,MATCH(INDEX(Utility_Rates!$K$6:$K$17,MONTH(C5745))&amp;IF(WEEKDAY(C5745,Inputs!$C$76)&lt;=Inputs!$C$74," weekday"," weekend"),Utility_Rates!$C$28:$F$28,Inputs!$C$68)),"")</f>
      </c>
      <c r="H5745" s="34"/>
      <c r="I5745" s="42">
        <f>IF(AND(ISNUMBER(D5745),ISNUMBER(H5745)),D5745*H5745*Inputs!$C$69,"")</f>
      </c>
      <c r="J5745" s="42">
        <f>IF(AND(ISNUMBER(F5745),ISNUMBER(H5745),F5745&gt;=Inputs!$C$68),F5745*H5745*Inputs!$C$69,"")</f>
      </c>
    </row>
    <row r="5746" spans="2:10" ht="15" customHeight="1" x14ac:dyDescent="0.2">
      <c r="B5746" s="39">
        <f t="shared" si="44"/>
      </c>
      <c r="C5746" s="40">
        <f>IF(Inputs!$C$60,Inputs!$C$11+(B5746-Inputs!$C$69)/Inputs!$C$70,"")</f>
      </c>
      <c r="D5746" s="15"/>
      <c r="E5746" s="15"/>
      <c r="F5746" s="11">
        <f t="shared" si="45"/>
      </c>
      <c r="G5746" s="22" cm="1">
        <f t="array" ref="G5746">IF(AND(Inputs!$C$60,Inputs!$C$61),INDEX(Utility_Rates!$C$29:$F$52,HOUR(C5746)+Inputs!$C$69,MATCH(INDEX(Utility_Rates!$K$6:$K$17,MONTH(C5746))&amp;IF(WEEKDAY(C5746,Inputs!$C$76)&lt;=Inputs!$C$74," weekday"," weekend"),Utility_Rates!$C$28:$F$28,Inputs!$C$68)),"")</f>
      </c>
      <c r="H5746" s="34"/>
      <c r="I5746" s="42">
        <f>IF(AND(ISNUMBER(D5746),ISNUMBER(H5746)),D5746*H5746*Inputs!$C$69,"")</f>
      </c>
      <c r="J5746" s="42">
        <f>IF(AND(ISNUMBER(F5746),ISNUMBER(H5746),F5746&gt;=Inputs!$C$68),F5746*H5746*Inputs!$C$69,"")</f>
      </c>
    </row>
    <row r="5747" spans="2:10" ht="15" customHeight="1" x14ac:dyDescent="0.2">
      <c r="B5747" s="39">
        <f t="shared" si="44"/>
      </c>
      <c r="C5747" s="40">
        <f>IF(Inputs!$C$60,Inputs!$C$11+(B5747-Inputs!$C$69)/Inputs!$C$70,"")</f>
      </c>
      <c r="D5747" s="15"/>
      <c r="E5747" s="15"/>
      <c r="F5747" s="11">
        <f t="shared" si="45"/>
      </c>
      <c r="G5747" s="22" cm="1">
        <f t="array" ref="G5747">IF(AND(Inputs!$C$60,Inputs!$C$61),INDEX(Utility_Rates!$C$29:$F$52,HOUR(C5747)+Inputs!$C$69,MATCH(INDEX(Utility_Rates!$K$6:$K$17,MONTH(C5747))&amp;IF(WEEKDAY(C5747,Inputs!$C$76)&lt;=Inputs!$C$74," weekday"," weekend"),Utility_Rates!$C$28:$F$28,Inputs!$C$68)),"")</f>
      </c>
      <c r="H5747" s="34"/>
      <c r="I5747" s="42">
        <f>IF(AND(ISNUMBER(D5747),ISNUMBER(H5747)),D5747*H5747*Inputs!$C$69,"")</f>
      </c>
      <c r="J5747" s="42">
        <f>IF(AND(ISNUMBER(F5747),ISNUMBER(H5747),F5747&gt;=Inputs!$C$68),F5747*H5747*Inputs!$C$69,"")</f>
      </c>
    </row>
    <row r="5748" spans="2:10" ht="15" customHeight="1" x14ac:dyDescent="0.2">
      <c r="B5748" s="39">
        <f t="shared" si="44"/>
      </c>
      <c r="C5748" s="40">
        <f>IF(Inputs!$C$60,Inputs!$C$11+(B5748-Inputs!$C$69)/Inputs!$C$70,"")</f>
      </c>
      <c r="D5748" s="15"/>
      <c r="E5748" s="15"/>
      <c r="F5748" s="11">
        <f t="shared" si="45"/>
      </c>
      <c r="G5748" s="22" cm="1">
        <f t="array" ref="G5748">IF(AND(Inputs!$C$60,Inputs!$C$61),INDEX(Utility_Rates!$C$29:$F$52,HOUR(C5748)+Inputs!$C$69,MATCH(INDEX(Utility_Rates!$K$6:$K$17,MONTH(C5748))&amp;IF(WEEKDAY(C5748,Inputs!$C$76)&lt;=Inputs!$C$74," weekday"," weekend"),Utility_Rates!$C$28:$F$28,Inputs!$C$68)),"")</f>
      </c>
      <c r="H5748" s="34"/>
      <c r="I5748" s="42">
        <f>IF(AND(ISNUMBER(D5748),ISNUMBER(H5748)),D5748*H5748*Inputs!$C$69,"")</f>
      </c>
      <c r="J5748" s="42">
        <f>IF(AND(ISNUMBER(F5748),ISNUMBER(H5748),F5748&gt;=Inputs!$C$68),F5748*H5748*Inputs!$C$69,"")</f>
      </c>
    </row>
    <row r="5749" spans="2:10" ht="15" customHeight="1" x14ac:dyDescent="0.2">
      <c r="B5749" s="39">
        <f t="shared" si="44"/>
      </c>
      <c r="C5749" s="40">
        <f>IF(Inputs!$C$60,Inputs!$C$11+(B5749-Inputs!$C$69)/Inputs!$C$70,"")</f>
      </c>
      <c r="D5749" s="15"/>
      <c r="E5749" s="15"/>
      <c r="F5749" s="11">
        <f t="shared" si="45"/>
      </c>
      <c r="G5749" s="22" cm="1">
        <f t="array" ref="G5749">IF(AND(Inputs!$C$60,Inputs!$C$61),INDEX(Utility_Rates!$C$29:$F$52,HOUR(C5749)+Inputs!$C$69,MATCH(INDEX(Utility_Rates!$K$6:$K$17,MONTH(C5749))&amp;IF(WEEKDAY(C5749,Inputs!$C$76)&lt;=Inputs!$C$74," weekday"," weekend"),Utility_Rates!$C$28:$F$28,Inputs!$C$68)),"")</f>
      </c>
      <c r="H5749" s="34"/>
      <c r="I5749" s="42">
        <f>IF(AND(ISNUMBER(D5749),ISNUMBER(H5749)),D5749*H5749*Inputs!$C$69,"")</f>
      </c>
      <c r="J5749" s="42">
        <f>IF(AND(ISNUMBER(F5749),ISNUMBER(H5749),F5749&gt;=Inputs!$C$68),F5749*H5749*Inputs!$C$69,"")</f>
      </c>
    </row>
    <row r="5750" spans="2:10" ht="15" customHeight="1" x14ac:dyDescent="0.2">
      <c r="B5750" s="39">
        <f t="shared" si="44"/>
      </c>
      <c r="C5750" s="40">
        <f>IF(Inputs!$C$60,Inputs!$C$11+(B5750-Inputs!$C$69)/Inputs!$C$70,"")</f>
      </c>
      <c r="D5750" s="15"/>
      <c r="E5750" s="15"/>
      <c r="F5750" s="11">
        <f t="shared" si="45"/>
      </c>
      <c r="G5750" s="22" cm="1">
        <f t="array" ref="G5750">IF(AND(Inputs!$C$60,Inputs!$C$61),INDEX(Utility_Rates!$C$29:$F$52,HOUR(C5750)+Inputs!$C$69,MATCH(INDEX(Utility_Rates!$K$6:$K$17,MONTH(C5750))&amp;IF(WEEKDAY(C5750,Inputs!$C$76)&lt;=Inputs!$C$74," weekday"," weekend"),Utility_Rates!$C$28:$F$28,Inputs!$C$68)),"")</f>
      </c>
      <c r="H5750" s="34"/>
      <c r="I5750" s="42">
        <f>IF(AND(ISNUMBER(D5750),ISNUMBER(H5750)),D5750*H5750*Inputs!$C$69,"")</f>
      </c>
      <c r="J5750" s="42">
        <f>IF(AND(ISNUMBER(F5750),ISNUMBER(H5750),F5750&gt;=Inputs!$C$68),F5750*H5750*Inputs!$C$69,"")</f>
      </c>
    </row>
    <row r="5751" spans="2:10" ht="15" customHeight="1" x14ac:dyDescent="0.2">
      <c r="B5751" s="39">
        <f t="shared" si="44"/>
      </c>
      <c r="C5751" s="40">
        <f>IF(Inputs!$C$60,Inputs!$C$11+(B5751-Inputs!$C$69)/Inputs!$C$70,"")</f>
      </c>
      <c r="D5751" s="15"/>
      <c r="E5751" s="15"/>
      <c r="F5751" s="11">
        <f t="shared" si="45"/>
      </c>
      <c r="G5751" s="22" cm="1">
        <f t="array" ref="G5751">IF(AND(Inputs!$C$60,Inputs!$C$61),INDEX(Utility_Rates!$C$29:$F$52,HOUR(C5751)+Inputs!$C$69,MATCH(INDEX(Utility_Rates!$K$6:$K$17,MONTH(C5751))&amp;IF(WEEKDAY(C5751,Inputs!$C$76)&lt;=Inputs!$C$74," weekday"," weekend"),Utility_Rates!$C$28:$F$28,Inputs!$C$68)),"")</f>
      </c>
      <c r="H5751" s="34"/>
      <c r="I5751" s="42">
        <f>IF(AND(ISNUMBER(D5751),ISNUMBER(H5751)),D5751*H5751*Inputs!$C$69,"")</f>
      </c>
      <c r="J5751" s="42">
        <f>IF(AND(ISNUMBER(F5751),ISNUMBER(H5751),F5751&gt;=Inputs!$C$68),F5751*H5751*Inputs!$C$69,"")</f>
      </c>
    </row>
    <row r="5752" spans="2:10" ht="15" customHeight="1" x14ac:dyDescent="0.2">
      <c r="B5752" s="39">
        <f t="shared" si="44"/>
      </c>
      <c r="C5752" s="40">
        <f>IF(Inputs!$C$60,Inputs!$C$11+(B5752-Inputs!$C$69)/Inputs!$C$70,"")</f>
      </c>
      <c r="D5752" s="15"/>
      <c r="E5752" s="15"/>
      <c r="F5752" s="11">
        <f t="shared" si="45"/>
      </c>
      <c r="G5752" s="22" cm="1">
        <f t="array" ref="G5752">IF(AND(Inputs!$C$60,Inputs!$C$61),INDEX(Utility_Rates!$C$29:$F$52,HOUR(C5752)+Inputs!$C$69,MATCH(INDEX(Utility_Rates!$K$6:$K$17,MONTH(C5752))&amp;IF(WEEKDAY(C5752,Inputs!$C$76)&lt;=Inputs!$C$74," weekday"," weekend"),Utility_Rates!$C$28:$F$28,Inputs!$C$68)),"")</f>
      </c>
      <c r="H5752" s="34"/>
      <c r="I5752" s="42">
        <f>IF(AND(ISNUMBER(D5752),ISNUMBER(H5752)),D5752*H5752*Inputs!$C$69,"")</f>
      </c>
      <c r="J5752" s="42">
        <f>IF(AND(ISNUMBER(F5752),ISNUMBER(H5752),F5752&gt;=Inputs!$C$68),F5752*H5752*Inputs!$C$69,"")</f>
      </c>
    </row>
    <row r="5753" spans="2:10" ht="15" customHeight="1" x14ac:dyDescent="0.2">
      <c r="B5753" s="39">
        <f t="shared" si="44"/>
      </c>
      <c r="C5753" s="40">
        <f>IF(Inputs!$C$60,Inputs!$C$11+(B5753-Inputs!$C$69)/Inputs!$C$70,"")</f>
      </c>
      <c r="D5753" s="15"/>
      <c r="E5753" s="15"/>
      <c r="F5753" s="11">
        <f t="shared" si="45"/>
      </c>
      <c r="G5753" s="22" cm="1">
        <f t="array" ref="G5753">IF(AND(Inputs!$C$60,Inputs!$C$61),INDEX(Utility_Rates!$C$29:$F$52,HOUR(C5753)+Inputs!$C$69,MATCH(INDEX(Utility_Rates!$K$6:$K$17,MONTH(C5753))&amp;IF(WEEKDAY(C5753,Inputs!$C$76)&lt;=Inputs!$C$74," weekday"," weekend"),Utility_Rates!$C$28:$F$28,Inputs!$C$68)),"")</f>
      </c>
      <c r="H5753" s="34"/>
      <c r="I5753" s="42">
        <f>IF(AND(ISNUMBER(D5753),ISNUMBER(H5753)),D5753*H5753*Inputs!$C$69,"")</f>
      </c>
      <c r="J5753" s="42">
        <f>IF(AND(ISNUMBER(F5753),ISNUMBER(H5753),F5753&gt;=Inputs!$C$68),F5753*H5753*Inputs!$C$69,"")</f>
      </c>
    </row>
    <row r="5754" spans="2:10" ht="15" customHeight="1" x14ac:dyDescent="0.2">
      <c r="B5754" s="39">
        <f t="shared" si="44"/>
      </c>
      <c r="C5754" s="40">
        <f>IF(Inputs!$C$60,Inputs!$C$11+(B5754-Inputs!$C$69)/Inputs!$C$70,"")</f>
      </c>
      <c r="D5754" s="15"/>
      <c r="E5754" s="15"/>
      <c r="F5754" s="11">
        <f t="shared" si="45"/>
      </c>
      <c r="G5754" s="22" cm="1">
        <f t="array" ref="G5754">IF(AND(Inputs!$C$60,Inputs!$C$61),INDEX(Utility_Rates!$C$29:$F$52,HOUR(C5754)+Inputs!$C$69,MATCH(INDEX(Utility_Rates!$K$6:$K$17,MONTH(C5754))&amp;IF(WEEKDAY(C5754,Inputs!$C$76)&lt;=Inputs!$C$74," weekday"," weekend"),Utility_Rates!$C$28:$F$28,Inputs!$C$68)),"")</f>
      </c>
      <c r="H5754" s="34"/>
      <c r="I5754" s="42">
        <f>IF(AND(ISNUMBER(D5754),ISNUMBER(H5754)),D5754*H5754*Inputs!$C$69,"")</f>
      </c>
      <c r="J5754" s="42">
        <f>IF(AND(ISNUMBER(F5754),ISNUMBER(H5754),F5754&gt;=Inputs!$C$68),F5754*H5754*Inputs!$C$69,"")</f>
      </c>
    </row>
    <row r="5755" spans="2:10" ht="15" customHeight="1" x14ac:dyDescent="0.2">
      <c r="B5755" s="39">
        <f t="shared" si="44"/>
      </c>
      <c r="C5755" s="40">
        <f>IF(Inputs!$C$60,Inputs!$C$11+(B5755-Inputs!$C$69)/Inputs!$C$70,"")</f>
      </c>
      <c r="D5755" s="15"/>
      <c r="E5755" s="15"/>
      <c r="F5755" s="11">
        <f t="shared" si="45"/>
      </c>
      <c r="G5755" s="22" cm="1">
        <f t="array" ref="G5755">IF(AND(Inputs!$C$60,Inputs!$C$61),INDEX(Utility_Rates!$C$29:$F$52,HOUR(C5755)+Inputs!$C$69,MATCH(INDEX(Utility_Rates!$K$6:$K$17,MONTH(C5755))&amp;IF(WEEKDAY(C5755,Inputs!$C$76)&lt;=Inputs!$C$74," weekday"," weekend"),Utility_Rates!$C$28:$F$28,Inputs!$C$68)),"")</f>
      </c>
      <c r="H5755" s="34"/>
      <c r="I5755" s="42">
        <f>IF(AND(ISNUMBER(D5755),ISNUMBER(H5755)),D5755*H5755*Inputs!$C$69,"")</f>
      </c>
      <c r="J5755" s="42">
        <f>IF(AND(ISNUMBER(F5755),ISNUMBER(H5755),F5755&gt;=Inputs!$C$68),F5755*H5755*Inputs!$C$69,"")</f>
      </c>
    </row>
    <row r="5756" spans="2:10" ht="15" customHeight="1" x14ac:dyDescent="0.2">
      <c r="B5756" s="39">
        <f t="shared" si="44"/>
      </c>
      <c r="C5756" s="40">
        <f>IF(Inputs!$C$60,Inputs!$C$11+(B5756-Inputs!$C$69)/Inputs!$C$70,"")</f>
      </c>
      <c r="D5756" s="15"/>
      <c r="E5756" s="15"/>
      <c r="F5756" s="11">
        <f t="shared" si="45"/>
      </c>
      <c r="G5756" s="22" cm="1">
        <f t="array" ref="G5756">IF(AND(Inputs!$C$60,Inputs!$C$61),INDEX(Utility_Rates!$C$29:$F$52,HOUR(C5756)+Inputs!$C$69,MATCH(INDEX(Utility_Rates!$K$6:$K$17,MONTH(C5756))&amp;IF(WEEKDAY(C5756,Inputs!$C$76)&lt;=Inputs!$C$74," weekday"," weekend"),Utility_Rates!$C$28:$F$28,Inputs!$C$68)),"")</f>
      </c>
      <c r="H5756" s="34"/>
      <c r="I5756" s="42">
        <f>IF(AND(ISNUMBER(D5756),ISNUMBER(H5756)),D5756*H5756*Inputs!$C$69,"")</f>
      </c>
      <c r="J5756" s="42">
        <f>IF(AND(ISNUMBER(F5756),ISNUMBER(H5756),F5756&gt;=Inputs!$C$68),F5756*H5756*Inputs!$C$69,"")</f>
      </c>
    </row>
    <row r="5757" spans="2:10" ht="15" customHeight="1" x14ac:dyDescent="0.2">
      <c r="B5757" s="39">
        <f t="shared" si="44"/>
      </c>
      <c r="C5757" s="40">
        <f>IF(Inputs!$C$60,Inputs!$C$11+(B5757-Inputs!$C$69)/Inputs!$C$70,"")</f>
      </c>
      <c r="D5757" s="15"/>
      <c r="E5757" s="15"/>
      <c r="F5757" s="11">
        <f t="shared" si="45"/>
      </c>
      <c r="G5757" s="22" cm="1">
        <f t="array" ref="G5757">IF(AND(Inputs!$C$60,Inputs!$C$61),INDEX(Utility_Rates!$C$29:$F$52,HOUR(C5757)+Inputs!$C$69,MATCH(INDEX(Utility_Rates!$K$6:$K$17,MONTH(C5757))&amp;IF(WEEKDAY(C5757,Inputs!$C$76)&lt;=Inputs!$C$74," weekday"," weekend"),Utility_Rates!$C$28:$F$28,Inputs!$C$68)),"")</f>
      </c>
      <c r="H5757" s="34"/>
      <c r="I5757" s="42">
        <f>IF(AND(ISNUMBER(D5757),ISNUMBER(H5757)),D5757*H5757*Inputs!$C$69,"")</f>
      </c>
      <c r="J5757" s="42">
        <f>IF(AND(ISNUMBER(F5757),ISNUMBER(H5757),F5757&gt;=Inputs!$C$68),F5757*H5757*Inputs!$C$69,"")</f>
      </c>
    </row>
    <row r="5758" spans="2:10" ht="15" customHeight="1" x14ac:dyDescent="0.2">
      <c r="B5758" s="39">
        <f t="shared" si="44"/>
      </c>
      <c r="C5758" s="40">
        <f>IF(Inputs!$C$60,Inputs!$C$11+(B5758-Inputs!$C$69)/Inputs!$C$70,"")</f>
      </c>
      <c r="D5758" s="15"/>
      <c r="E5758" s="15"/>
      <c r="F5758" s="11">
        <f t="shared" si="45"/>
      </c>
      <c r="G5758" s="22" cm="1">
        <f t="array" ref="G5758">IF(AND(Inputs!$C$60,Inputs!$C$61),INDEX(Utility_Rates!$C$29:$F$52,HOUR(C5758)+Inputs!$C$69,MATCH(INDEX(Utility_Rates!$K$6:$K$17,MONTH(C5758))&amp;IF(WEEKDAY(C5758,Inputs!$C$76)&lt;=Inputs!$C$74," weekday"," weekend"),Utility_Rates!$C$28:$F$28,Inputs!$C$68)),"")</f>
      </c>
      <c r="H5758" s="34"/>
      <c r="I5758" s="42">
        <f>IF(AND(ISNUMBER(D5758),ISNUMBER(H5758)),D5758*H5758*Inputs!$C$69,"")</f>
      </c>
      <c r="J5758" s="42">
        <f>IF(AND(ISNUMBER(F5758),ISNUMBER(H5758),F5758&gt;=Inputs!$C$68),F5758*H5758*Inputs!$C$69,"")</f>
      </c>
    </row>
    <row r="5759" spans="2:10" ht="15" customHeight="1" x14ac:dyDescent="0.2">
      <c r="B5759" s="39">
        <f t="shared" si="44"/>
      </c>
      <c r="C5759" s="40">
        <f>IF(Inputs!$C$60,Inputs!$C$11+(B5759-Inputs!$C$69)/Inputs!$C$70,"")</f>
      </c>
      <c r="D5759" s="15"/>
      <c r="E5759" s="15"/>
      <c r="F5759" s="11">
        <f t="shared" si="45"/>
      </c>
      <c r="G5759" s="22" cm="1">
        <f t="array" ref="G5759">IF(AND(Inputs!$C$60,Inputs!$C$61),INDEX(Utility_Rates!$C$29:$F$52,HOUR(C5759)+Inputs!$C$69,MATCH(INDEX(Utility_Rates!$K$6:$K$17,MONTH(C5759))&amp;IF(WEEKDAY(C5759,Inputs!$C$76)&lt;=Inputs!$C$74," weekday"," weekend"),Utility_Rates!$C$28:$F$28,Inputs!$C$68)),"")</f>
      </c>
      <c r="H5759" s="34"/>
      <c r="I5759" s="42">
        <f>IF(AND(ISNUMBER(D5759),ISNUMBER(H5759)),D5759*H5759*Inputs!$C$69,"")</f>
      </c>
      <c r="J5759" s="42">
        <f>IF(AND(ISNUMBER(F5759),ISNUMBER(H5759),F5759&gt;=Inputs!$C$68),F5759*H5759*Inputs!$C$69,"")</f>
      </c>
    </row>
    <row r="5760" spans="2:10" ht="15" customHeight="1" x14ac:dyDescent="0.2">
      <c r="B5760" s="39">
        <f t="shared" si="44"/>
      </c>
      <c r="C5760" s="40">
        <f>IF(Inputs!$C$60,Inputs!$C$11+(B5760-Inputs!$C$69)/Inputs!$C$70,"")</f>
      </c>
      <c r="D5760" s="15"/>
      <c r="E5760" s="15"/>
      <c r="F5760" s="11">
        <f t="shared" si="45"/>
      </c>
      <c r="G5760" s="22" cm="1">
        <f t="array" ref="G5760">IF(AND(Inputs!$C$60,Inputs!$C$61),INDEX(Utility_Rates!$C$29:$F$52,HOUR(C5760)+Inputs!$C$69,MATCH(INDEX(Utility_Rates!$K$6:$K$17,MONTH(C5760))&amp;IF(WEEKDAY(C5760,Inputs!$C$76)&lt;=Inputs!$C$74," weekday"," weekend"),Utility_Rates!$C$28:$F$28,Inputs!$C$68)),"")</f>
      </c>
      <c r="H5760" s="34"/>
      <c r="I5760" s="42">
        <f>IF(AND(ISNUMBER(D5760),ISNUMBER(H5760)),D5760*H5760*Inputs!$C$69,"")</f>
      </c>
      <c r="J5760" s="42">
        <f>IF(AND(ISNUMBER(F5760),ISNUMBER(H5760),F5760&gt;=Inputs!$C$68),F5760*H5760*Inputs!$C$69,"")</f>
      </c>
    </row>
    <row r="5761" spans="2:10" ht="15" customHeight="1" x14ac:dyDescent="0.2">
      <c r="B5761" s="39">
        <f t="shared" si="44"/>
      </c>
      <c r="C5761" s="40">
        <f>IF(Inputs!$C$60,Inputs!$C$11+(B5761-Inputs!$C$69)/Inputs!$C$70,"")</f>
      </c>
      <c r="D5761" s="15"/>
      <c r="E5761" s="15"/>
      <c r="F5761" s="11">
        <f t="shared" si="45"/>
      </c>
      <c r="G5761" s="22" cm="1">
        <f t="array" ref="G5761">IF(AND(Inputs!$C$60,Inputs!$C$61),INDEX(Utility_Rates!$C$29:$F$52,HOUR(C5761)+Inputs!$C$69,MATCH(INDEX(Utility_Rates!$K$6:$K$17,MONTH(C5761))&amp;IF(WEEKDAY(C5761,Inputs!$C$76)&lt;=Inputs!$C$74," weekday"," weekend"),Utility_Rates!$C$28:$F$28,Inputs!$C$68)),"")</f>
      </c>
      <c r="H5761" s="34"/>
      <c r="I5761" s="42">
        <f>IF(AND(ISNUMBER(D5761),ISNUMBER(H5761)),D5761*H5761*Inputs!$C$69,"")</f>
      </c>
      <c r="J5761" s="42">
        <f>IF(AND(ISNUMBER(F5761),ISNUMBER(H5761),F5761&gt;=Inputs!$C$68),F5761*H5761*Inputs!$C$69,"")</f>
      </c>
    </row>
    <row r="5762" spans="2:10" ht="15" customHeight="1" x14ac:dyDescent="0.2">
      <c r="B5762" s="39">
        <f t="shared" si="44"/>
      </c>
      <c r="C5762" s="40">
        <f>IF(Inputs!$C$60,Inputs!$C$11+(B5762-Inputs!$C$69)/Inputs!$C$70,"")</f>
      </c>
      <c r="D5762" s="15"/>
      <c r="E5762" s="15"/>
      <c r="F5762" s="11">
        <f t="shared" si="45"/>
      </c>
      <c r="G5762" s="22" cm="1">
        <f t="array" ref="G5762">IF(AND(Inputs!$C$60,Inputs!$C$61),INDEX(Utility_Rates!$C$29:$F$52,HOUR(C5762)+Inputs!$C$69,MATCH(INDEX(Utility_Rates!$K$6:$K$17,MONTH(C5762))&amp;IF(WEEKDAY(C5762,Inputs!$C$76)&lt;=Inputs!$C$74," weekday"," weekend"),Utility_Rates!$C$28:$F$28,Inputs!$C$68)),"")</f>
      </c>
      <c r="H5762" s="34"/>
      <c r="I5762" s="42">
        <f>IF(AND(ISNUMBER(D5762),ISNUMBER(H5762)),D5762*H5762*Inputs!$C$69,"")</f>
      </c>
      <c r="J5762" s="42">
        <f>IF(AND(ISNUMBER(F5762),ISNUMBER(H5762),F5762&gt;=Inputs!$C$68),F5762*H5762*Inputs!$C$69,"")</f>
      </c>
    </row>
    <row r="5763" spans="2:10" ht="15" customHeight="1" x14ac:dyDescent="0.2">
      <c r="B5763" s="39">
        <f t="shared" si="44"/>
      </c>
      <c r="C5763" s="40">
        <f>IF(Inputs!$C$60,Inputs!$C$11+(B5763-Inputs!$C$69)/Inputs!$C$70,"")</f>
      </c>
      <c r="D5763" s="15"/>
      <c r="E5763" s="15"/>
      <c r="F5763" s="11">
        <f t="shared" si="45"/>
      </c>
      <c r="G5763" s="22" cm="1">
        <f t="array" ref="G5763">IF(AND(Inputs!$C$60,Inputs!$C$61),INDEX(Utility_Rates!$C$29:$F$52,HOUR(C5763)+Inputs!$C$69,MATCH(INDEX(Utility_Rates!$K$6:$K$17,MONTH(C5763))&amp;IF(WEEKDAY(C5763,Inputs!$C$76)&lt;=Inputs!$C$74," weekday"," weekend"),Utility_Rates!$C$28:$F$28,Inputs!$C$68)),"")</f>
      </c>
      <c r="H5763" s="34"/>
      <c r="I5763" s="42">
        <f>IF(AND(ISNUMBER(D5763),ISNUMBER(H5763)),D5763*H5763*Inputs!$C$69,"")</f>
      </c>
      <c r="J5763" s="42">
        <f>IF(AND(ISNUMBER(F5763),ISNUMBER(H5763),F5763&gt;=Inputs!$C$68),F5763*H5763*Inputs!$C$69,"")</f>
      </c>
    </row>
    <row r="5764" spans="2:10" ht="15" customHeight="1" x14ac:dyDescent="0.2">
      <c r="B5764" s="39">
        <f t="shared" si="44"/>
      </c>
      <c r="C5764" s="40">
        <f>IF(Inputs!$C$60,Inputs!$C$11+(B5764-Inputs!$C$69)/Inputs!$C$70,"")</f>
      </c>
      <c r="D5764" s="15"/>
      <c r="E5764" s="15"/>
      <c r="F5764" s="11">
        <f t="shared" si="45"/>
      </c>
      <c r="G5764" s="22" cm="1">
        <f t="array" ref="G5764">IF(AND(Inputs!$C$60,Inputs!$C$61),INDEX(Utility_Rates!$C$29:$F$52,HOUR(C5764)+Inputs!$C$69,MATCH(INDEX(Utility_Rates!$K$6:$K$17,MONTH(C5764))&amp;IF(WEEKDAY(C5764,Inputs!$C$76)&lt;=Inputs!$C$74," weekday"," weekend"),Utility_Rates!$C$28:$F$28,Inputs!$C$68)),"")</f>
      </c>
      <c r="H5764" s="34"/>
      <c r="I5764" s="42">
        <f>IF(AND(ISNUMBER(D5764),ISNUMBER(H5764)),D5764*H5764*Inputs!$C$69,"")</f>
      </c>
      <c r="J5764" s="42">
        <f>IF(AND(ISNUMBER(F5764),ISNUMBER(H5764),F5764&gt;=Inputs!$C$68),F5764*H5764*Inputs!$C$69,"")</f>
      </c>
    </row>
    <row r="5765" spans="2:10" ht="15" customHeight="1" x14ac:dyDescent="0.2">
      <c r="B5765" s="39">
        <f t="shared" si="44"/>
      </c>
      <c r="C5765" s="40">
        <f>IF(Inputs!$C$60,Inputs!$C$11+(B5765-Inputs!$C$69)/Inputs!$C$70,"")</f>
      </c>
      <c r="D5765" s="15"/>
      <c r="E5765" s="15"/>
      <c r="F5765" s="11">
        <f t="shared" si="45"/>
      </c>
      <c r="G5765" s="22" cm="1">
        <f t="array" ref="G5765">IF(AND(Inputs!$C$60,Inputs!$C$61),INDEX(Utility_Rates!$C$29:$F$52,HOUR(C5765)+Inputs!$C$69,MATCH(INDEX(Utility_Rates!$K$6:$K$17,MONTH(C5765))&amp;IF(WEEKDAY(C5765,Inputs!$C$76)&lt;=Inputs!$C$74," weekday"," weekend"),Utility_Rates!$C$28:$F$28,Inputs!$C$68)),"")</f>
      </c>
      <c r="H5765" s="34"/>
      <c r="I5765" s="42">
        <f>IF(AND(ISNUMBER(D5765),ISNUMBER(H5765)),D5765*H5765*Inputs!$C$69,"")</f>
      </c>
      <c r="J5765" s="42">
        <f>IF(AND(ISNUMBER(F5765),ISNUMBER(H5765),F5765&gt;=Inputs!$C$68),F5765*H5765*Inputs!$C$69,"")</f>
      </c>
    </row>
    <row r="5766" spans="2:10" ht="15" customHeight="1" x14ac:dyDescent="0.2">
      <c r="B5766" s="39">
        <f t="shared" si="44"/>
      </c>
      <c r="C5766" s="40">
        <f>IF(Inputs!$C$60,Inputs!$C$11+(B5766-Inputs!$C$69)/Inputs!$C$70,"")</f>
      </c>
      <c r="D5766" s="15"/>
      <c r="E5766" s="15"/>
      <c r="F5766" s="11">
        <f t="shared" si="45"/>
      </c>
      <c r="G5766" s="22" cm="1">
        <f t="array" ref="G5766">IF(AND(Inputs!$C$60,Inputs!$C$61),INDEX(Utility_Rates!$C$29:$F$52,HOUR(C5766)+Inputs!$C$69,MATCH(INDEX(Utility_Rates!$K$6:$K$17,MONTH(C5766))&amp;IF(WEEKDAY(C5766,Inputs!$C$76)&lt;=Inputs!$C$74," weekday"," weekend"),Utility_Rates!$C$28:$F$28,Inputs!$C$68)),"")</f>
      </c>
      <c r="H5766" s="34"/>
      <c r="I5766" s="42">
        <f>IF(AND(ISNUMBER(D5766),ISNUMBER(H5766)),D5766*H5766*Inputs!$C$69,"")</f>
      </c>
      <c r="J5766" s="42">
        <f>IF(AND(ISNUMBER(F5766),ISNUMBER(H5766),F5766&gt;=Inputs!$C$68),F5766*H5766*Inputs!$C$69,"")</f>
      </c>
    </row>
    <row r="5767" spans="2:10" ht="15" customHeight="1" x14ac:dyDescent="0.2">
      <c r="B5767" s="39">
        <f t="shared" si="44"/>
      </c>
      <c r="C5767" s="40">
        <f>IF(Inputs!$C$60,Inputs!$C$11+(B5767-Inputs!$C$69)/Inputs!$C$70,"")</f>
      </c>
      <c r="D5767" s="15"/>
      <c r="E5767" s="15"/>
      <c r="F5767" s="11">
        <f t="shared" si="45"/>
      </c>
      <c r="G5767" s="22" cm="1">
        <f t="array" ref="G5767">IF(AND(Inputs!$C$60,Inputs!$C$61),INDEX(Utility_Rates!$C$29:$F$52,HOUR(C5767)+Inputs!$C$69,MATCH(INDEX(Utility_Rates!$K$6:$K$17,MONTH(C5767))&amp;IF(WEEKDAY(C5767,Inputs!$C$76)&lt;=Inputs!$C$74," weekday"," weekend"),Utility_Rates!$C$28:$F$28,Inputs!$C$68)),"")</f>
      </c>
      <c r="H5767" s="34"/>
      <c r="I5767" s="42">
        <f>IF(AND(ISNUMBER(D5767),ISNUMBER(H5767)),D5767*H5767*Inputs!$C$69,"")</f>
      </c>
      <c r="J5767" s="42">
        <f>IF(AND(ISNUMBER(F5767),ISNUMBER(H5767),F5767&gt;=Inputs!$C$68),F5767*H5767*Inputs!$C$69,"")</f>
      </c>
    </row>
    <row r="5768" spans="2:10" ht="15" customHeight="1" x14ac:dyDescent="0.2">
      <c r="B5768" s="39">
        <f t="shared" si="44"/>
      </c>
      <c r="C5768" s="40">
        <f>IF(Inputs!$C$60,Inputs!$C$11+(B5768-Inputs!$C$69)/Inputs!$C$70,"")</f>
      </c>
      <c r="D5768" s="15"/>
      <c r="E5768" s="15"/>
      <c r="F5768" s="11">
        <f t="shared" si="45"/>
      </c>
      <c r="G5768" s="22" cm="1">
        <f t="array" ref="G5768">IF(AND(Inputs!$C$60,Inputs!$C$61),INDEX(Utility_Rates!$C$29:$F$52,HOUR(C5768)+Inputs!$C$69,MATCH(INDEX(Utility_Rates!$K$6:$K$17,MONTH(C5768))&amp;IF(WEEKDAY(C5768,Inputs!$C$76)&lt;=Inputs!$C$74," weekday"," weekend"),Utility_Rates!$C$28:$F$28,Inputs!$C$68)),"")</f>
      </c>
      <c r="H5768" s="34"/>
      <c r="I5768" s="42">
        <f>IF(AND(ISNUMBER(D5768),ISNUMBER(H5768)),D5768*H5768*Inputs!$C$69,"")</f>
      </c>
      <c r="J5768" s="42">
        <f>IF(AND(ISNUMBER(F5768),ISNUMBER(H5768),F5768&gt;=Inputs!$C$68),F5768*H5768*Inputs!$C$69,"")</f>
      </c>
    </row>
    <row r="5769" spans="2:10" ht="15" customHeight="1" x14ac:dyDescent="0.2">
      <c r="B5769" s="39">
        <f t="shared" si="44"/>
      </c>
      <c r="C5769" s="40">
        <f>IF(Inputs!$C$60,Inputs!$C$11+(B5769-Inputs!$C$69)/Inputs!$C$70,"")</f>
      </c>
      <c r="D5769" s="15"/>
      <c r="E5769" s="15"/>
      <c r="F5769" s="11">
        <f t="shared" si="45"/>
      </c>
      <c r="G5769" s="22" cm="1">
        <f t="array" ref="G5769">IF(AND(Inputs!$C$60,Inputs!$C$61),INDEX(Utility_Rates!$C$29:$F$52,HOUR(C5769)+Inputs!$C$69,MATCH(INDEX(Utility_Rates!$K$6:$K$17,MONTH(C5769))&amp;IF(WEEKDAY(C5769,Inputs!$C$76)&lt;=Inputs!$C$74," weekday"," weekend"),Utility_Rates!$C$28:$F$28,Inputs!$C$68)),"")</f>
      </c>
      <c r="H5769" s="34"/>
      <c r="I5769" s="42">
        <f>IF(AND(ISNUMBER(D5769),ISNUMBER(H5769)),D5769*H5769*Inputs!$C$69,"")</f>
      </c>
      <c r="J5769" s="42">
        <f>IF(AND(ISNUMBER(F5769),ISNUMBER(H5769),F5769&gt;=Inputs!$C$68),F5769*H5769*Inputs!$C$69,"")</f>
      </c>
    </row>
    <row r="5770" spans="2:10" ht="15" customHeight="1" x14ac:dyDescent="0.2">
      <c r="B5770" s="39">
        <f t="shared" si="44"/>
      </c>
      <c r="C5770" s="40">
        <f>IF(Inputs!$C$60,Inputs!$C$11+(B5770-Inputs!$C$69)/Inputs!$C$70,"")</f>
      </c>
      <c r="D5770" s="15"/>
      <c r="E5770" s="15"/>
      <c r="F5770" s="11">
        <f t="shared" si="45"/>
      </c>
      <c r="G5770" s="22" cm="1">
        <f t="array" ref="G5770">IF(AND(Inputs!$C$60,Inputs!$C$61),INDEX(Utility_Rates!$C$29:$F$52,HOUR(C5770)+Inputs!$C$69,MATCH(INDEX(Utility_Rates!$K$6:$K$17,MONTH(C5770))&amp;IF(WEEKDAY(C5770,Inputs!$C$76)&lt;=Inputs!$C$74," weekday"," weekend"),Utility_Rates!$C$28:$F$28,Inputs!$C$68)),"")</f>
      </c>
      <c r="H5770" s="34"/>
      <c r="I5770" s="42">
        <f>IF(AND(ISNUMBER(D5770),ISNUMBER(H5770)),D5770*H5770*Inputs!$C$69,"")</f>
      </c>
      <c r="J5770" s="42">
        <f>IF(AND(ISNUMBER(F5770),ISNUMBER(H5770),F5770&gt;=Inputs!$C$68),F5770*H5770*Inputs!$C$69,"")</f>
      </c>
    </row>
    <row r="5771" spans="2:10" ht="15" customHeight="1" x14ac:dyDescent="0.2">
      <c r="B5771" s="39">
        <f t="shared" si="44"/>
      </c>
      <c r="C5771" s="40">
        <f>IF(Inputs!$C$60,Inputs!$C$11+(B5771-Inputs!$C$69)/Inputs!$C$70,"")</f>
      </c>
      <c r="D5771" s="15"/>
      <c r="E5771" s="15"/>
      <c r="F5771" s="11">
        <f t="shared" si="45"/>
      </c>
      <c r="G5771" s="22" cm="1">
        <f t="array" ref="G5771">IF(AND(Inputs!$C$60,Inputs!$C$61),INDEX(Utility_Rates!$C$29:$F$52,HOUR(C5771)+Inputs!$C$69,MATCH(INDEX(Utility_Rates!$K$6:$K$17,MONTH(C5771))&amp;IF(WEEKDAY(C5771,Inputs!$C$76)&lt;=Inputs!$C$74," weekday"," weekend"),Utility_Rates!$C$28:$F$28,Inputs!$C$68)),"")</f>
      </c>
      <c r="H5771" s="34"/>
      <c r="I5771" s="42">
        <f>IF(AND(ISNUMBER(D5771),ISNUMBER(H5771)),D5771*H5771*Inputs!$C$69,"")</f>
      </c>
      <c r="J5771" s="42">
        <f>IF(AND(ISNUMBER(F5771),ISNUMBER(H5771),F5771&gt;=Inputs!$C$68),F5771*H5771*Inputs!$C$69,"")</f>
      </c>
    </row>
    <row r="5772" spans="2:10" ht="15" customHeight="1" x14ac:dyDescent="0.2">
      <c r="B5772" s="39">
        <f t="shared" si="44"/>
      </c>
      <c r="C5772" s="40">
        <f>IF(Inputs!$C$60,Inputs!$C$11+(B5772-Inputs!$C$69)/Inputs!$C$70,"")</f>
      </c>
      <c r="D5772" s="15"/>
      <c r="E5772" s="15"/>
      <c r="F5772" s="11">
        <f t="shared" si="45"/>
      </c>
      <c r="G5772" s="22" cm="1">
        <f t="array" ref="G5772">IF(AND(Inputs!$C$60,Inputs!$C$61),INDEX(Utility_Rates!$C$29:$F$52,HOUR(C5772)+Inputs!$C$69,MATCH(INDEX(Utility_Rates!$K$6:$K$17,MONTH(C5772))&amp;IF(WEEKDAY(C5772,Inputs!$C$76)&lt;=Inputs!$C$74," weekday"," weekend"),Utility_Rates!$C$28:$F$28,Inputs!$C$68)),"")</f>
      </c>
      <c r="H5772" s="34"/>
      <c r="I5772" s="42">
        <f>IF(AND(ISNUMBER(D5772),ISNUMBER(H5772)),D5772*H5772*Inputs!$C$69,"")</f>
      </c>
      <c r="J5772" s="42">
        <f>IF(AND(ISNUMBER(F5772),ISNUMBER(H5772),F5772&gt;=Inputs!$C$68),F5772*H5772*Inputs!$C$69,"")</f>
      </c>
    </row>
    <row r="5773" spans="2:10" ht="15" customHeight="1" x14ac:dyDescent="0.2">
      <c r="B5773" s="39">
        <f t="shared" si="44"/>
      </c>
      <c r="C5773" s="40">
        <f>IF(Inputs!$C$60,Inputs!$C$11+(B5773-Inputs!$C$69)/Inputs!$C$70,"")</f>
      </c>
      <c r="D5773" s="15"/>
      <c r="E5773" s="15"/>
      <c r="F5773" s="11">
        <f t="shared" si="45"/>
      </c>
      <c r="G5773" s="22" cm="1">
        <f t="array" ref="G5773">IF(AND(Inputs!$C$60,Inputs!$C$61),INDEX(Utility_Rates!$C$29:$F$52,HOUR(C5773)+Inputs!$C$69,MATCH(INDEX(Utility_Rates!$K$6:$K$17,MONTH(C5773))&amp;IF(WEEKDAY(C5773,Inputs!$C$76)&lt;=Inputs!$C$74," weekday"," weekend"),Utility_Rates!$C$28:$F$28,Inputs!$C$68)),"")</f>
      </c>
      <c r="H5773" s="34"/>
      <c r="I5773" s="42">
        <f>IF(AND(ISNUMBER(D5773),ISNUMBER(H5773)),D5773*H5773*Inputs!$C$69,"")</f>
      </c>
      <c r="J5773" s="42">
        <f>IF(AND(ISNUMBER(F5773),ISNUMBER(H5773),F5773&gt;=Inputs!$C$68),F5773*H5773*Inputs!$C$69,"")</f>
      </c>
    </row>
    <row r="5774" spans="2:10" ht="15" customHeight="1" x14ac:dyDescent="0.2">
      <c r="B5774" s="39">
        <f t="shared" si="44"/>
      </c>
      <c r="C5774" s="40">
        <f>IF(Inputs!$C$60,Inputs!$C$11+(B5774-Inputs!$C$69)/Inputs!$C$70,"")</f>
      </c>
      <c r="D5774" s="15"/>
      <c r="E5774" s="15"/>
      <c r="F5774" s="11">
        <f t="shared" si="45"/>
      </c>
      <c r="G5774" s="22" cm="1">
        <f t="array" ref="G5774">IF(AND(Inputs!$C$60,Inputs!$C$61),INDEX(Utility_Rates!$C$29:$F$52,HOUR(C5774)+Inputs!$C$69,MATCH(INDEX(Utility_Rates!$K$6:$K$17,MONTH(C5774))&amp;IF(WEEKDAY(C5774,Inputs!$C$76)&lt;=Inputs!$C$74," weekday"," weekend"),Utility_Rates!$C$28:$F$28,Inputs!$C$68)),"")</f>
      </c>
      <c r="H5774" s="34"/>
      <c r="I5774" s="42">
        <f>IF(AND(ISNUMBER(D5774),ISNUMBER(H5774)),D5774*H5774*Inputs!$C$69,"")</f>
      </c>
      <c r="J5774" s="42">
        <f>IF(AND(ISNUMBER(F5774),ISNUMBER(H5774),F5774&gt;=Inputs!$C$68),F5774*H5774*Inputs!$C$69,"")</f>
      </c>
    </row>
    <row r="5775" spans="2:10" ht="15" customHeight="1" x14ac:dyDescent="0.2">
      <c r="B5775" s="39">
        <f t="shared" si="44"/>
      </c>
      <c r="C5775" s="40">
        <f>IF(Inputs!$C$60,Inputs!$C$11+(B5775-Inputs!$C$69)/Inputs!$C$70,"")</f>
      </c>
      <c r="D5775" s="15"/>
      <c r="E5775" s="15"/>
      <c r="F5775" s="11">
        <f t="shared" si="45"/>
      </c>
      <c r="G5775" s="22" cm="1">
        <f t="array" ref="G5775">IF(AND(Inputs!$C$60,Inputs!$C$61),INDEX(Utility_Rates!$C$29:$F$52,HOUR(C5775)+Inputs!$C$69,MATCH(INDEX(Utility_Rates!$K$6:$K$17,MONTH(C5775))&amp;IF(WEEKDAY(C5775,Inputs!$C$76)&lt;=Inputs!$C$74," weekday"," weekend"),Utility_Rates!$C$28:$F$28,Inputs!$C$68)),"")</f>
      </c>
      <c r="H5775" s="34"/>
      <c r="I5775" s="42">
        <f>IF(AND(ISNUMBER(D5775),ISNUMBER(H5775)),D5775*H5775*Inputs!$C$69,"")</f>
      </c>
      <c r="J5775" s="42">
        <f>IF(AND(ISNUMBER(F5775),ISNUMBER(H5775),F5775&gt;=Inputs!$C$68),F5775*H5775*Inputs!$C$69,"")</f>
      </c>
    </row>
    <row r="5776" spans="2:10" ht="15" customHeight="1" x14ac:dyDescent="0.2">
      <c r="B5776" s="39">
        <f t="shared" si="44"/>
      </c>
      <c r="C5776" s="40">
        <f>IF(Inputs!$C$60,Inputs!$C$11+(B5776-Inputs!$C$69)/Inputs!$C$70,"")</f>
      </c>
      <c r="D5776" s="15"/>
      <c r="E5776" s="15"/>
      <c r="F5776" s="11">
        <f t="shared" si="45"/>
      </c>
      <c r="G5776" s="22" cm="1">
        <f t="array" ref="G5776">IF(AND(Inputs!$C$60,Inputs!$C$61),INDEX(Utility_Rates!$C$29:$F$52,HOUR(C5776)+Inputs!$C$69,MATCH(INDEX(Utility_Rates!$K$6:$K$17,MONTH(C5776))&amp;IF(WEEKDAY(C5776,Inputs!$C$76)&lt;=Inputs!$C$74," weekday"," weekend"),Utility_Rates!$C$28:$F$28,Inputs!$C$68)),"")</f>
      </c>
      <c r="H5776" s="34"/>
      <c r="I5776" s="42">
        <f>IF(AND(ISNUMBER(D5776),ISNUMBER(H5776)),D5776*H5776*Inputs!$C$69,"")</f>
      </c>
      <c r="J5776" s="42">
        <f>IF(AND(ISNUMBER(F5776),ISNUMBER(H5776),F5776&gt;=Inputs!$C$68),F5776*H5776*Inputs!$C$69,"")</f>
      </c>
    </row>
    <row r="5777" spans="2:10" ht="15" customHeight="1" x14ac:dyDescent="0.2">
      <c r="B5777" s="39">
        <f t="shared" si="44"/>
      </c>
      <c r="C5777" s="40">
        <f>IF(Inputs!$C$60,Inputs!$C$11+(B5777-Inputs!$C$69)/Inputs!$C$70,"")</f>
      </c>
      <c r="D5777" s="15"/>
      <c r="E5777" s="15"/>
      <c r="F5777" s="11">
        <f t="shared" si="45"/>
      </c>
      <c r="G5777" s="22" cm="1">
        <f t="array" ref="G5777">IF(AND(Inputs!$C$60,Inputs!$C$61),INDEX(Utility_Rates!$C$29:$F$52,HOUR(C5777)+Inputs!$C$69,MATCH(INDEX(Utility_Rates!$K$6:$K$17,MONTH(C5777))&amp;IF(WEEKDAY(C5777,Inputs!$C$76)&lt;=Inputs!$C$74," weekday"," weekend"),Utility_Rates!$C$28:$F$28,Inputs!$C$68)),"")</f>
      </c>
      <c r="H5777" s="34"/>
      <c r="I5777" s="42">
        <f>IF(AND(ISNUMBER(D5777),ISNUMBER(H5777)),D5777*H5777*Inputs!$C$69,"")</f>
      </c>
      <c r="J5777" s="42">
        <f>IF(AND(ISNUMBER(F5777),ISNUMBER(H5777),F5777&gt;=Inputs!$C$68),F5777*H5777*Inputs!$C$69,"")</f>
      </c>
    </row>
    <row r="5778" spans="2:10" ht="15" customHeight="1" x14ac:dyDescent="0.2">
      <c r="B5778" s="39">
        <f t="shared" si="44"/>
      </c>
      <c r="C5778" s="40">
        <f>IF(Inputs!$C$60,Inputs!$C$11+(B5778-Inputs!$C$69)/Inputs!$C$70,"")</f>
      </c>
      <c r="D5778" s="15"/>
      <c r="E5778" s="15"/>
      <c r="F5778" s="11">
        <f t="shared" si="45"/>
      </c>
      <c r="G5778" s="22" cm="1">
        <f t="array" ref="G5778">IF(AND(Inputs!$C$60,Inputs!$C$61),INDEX(Utility_Rates!$C$29:$F$52,HOUR(C5778)+Inputs!$C$69,MATCH(INDEX(Utility_Rates!$K$6:$K$17,MONTH(C5778))&amp;IF(WEEKDAY(C5778,Inputs!$C$76)&lt;=Inputs!$C$74," weekday"," weekend"),Utility_Rates!$C$28:$F$28,Inputs!$C$68)),"")</f>
      </c>
      <c r="H5778" s="34"/>
      <c r="I5778" s="42">
        <f>IF(AND(ISNUMBER(D5778),ISNUMBER(H5778)),D5778*H5778*Inputs!$C$69,"")</f>
      </c>
      <c r="J5778" s="42">
        <f>IF(AND(ISNUMBER(F5778),ISNUMBER(H5778),F5778&gt;=Inputs!$C$68),F5778*H5778*Inputs!$C$69,"")</f>
      </c>
    </row>
    <row r="5779" spans="2:10" ht="15" customHeight="1" x14ac:dyDescent="0.2">
      <c r="B5779" s="39">
        <f t="shared" si="44"/>
      </c>
      <c r="C5779" s="40">
        <f>IF(Inputs!$C$60,Inputs!$C$11+(B5779-Inputs!$C$69)/Inputs!$C$70,"")</f>
      </c>
      <c r="D5779" s="15"/>
      <c r="E5779" s="15"/>
      <c r="F5779" s="11">
        <f t="shared" si="45"/>
      </c>
      <c r="G5779" s="22" cm="1">
        <f t="array" ref="G5779">IF(AND(Inputs!$C$60,Inputs!$C$61),INDEX(Utility_Rates!$C$29:$F$52,HOUR(C5779)+Inputs!$C$69,MATCH(INDEX(Utility_Rates!$K$6:$K$17,MONTH(C5779))&amp;IF(WEEKDAY(C5779,Inputs!$C$76)&lt;=Inputs!$C$74," weekday"," weekend"),Utility_Rates!$C$28:$F$28,Inputs!$C$68)),"")</f>
      </c>
      <c r="H5779" s="34"/>
      <c r="I5779" s="42">
        <f>IF(AND(ISNUMBER(D5779),ISNUMBER(H5779)),D5779*H5779*Inputs!$C$69,"")</f>
      </c>
      <c r="J5779" s="42">
        <f>IF(AND(ISNUMBER(F5779),ISNUMBER(H5779),F5779&gt;=Inputs!$C$68),F5779*H5779*Inputs!$C$69,"")</f>
      </c>
    </row>
    <row r="5780" spans="2:10" ht="15" customHeight="1" x14ac:dyDescent="0.2">
      <c r="B5780" s="39">
        <f t="shared" si="44"/>
      </c>
      <c r="C5780" s="40">
        <f>IF(Inputs!$C$60,Inputs!$C$11+(B5780-Inputs!$C$69)/Inputs!$C$70,"")</f>
      </c>
      <c r="D5780" s="15"/>
      <c r="E5780" s="15"/>
      <c r="F5780" s="11">
        <f t="shared" si="45"/>
      </c>
      <c r="G5780" s="22" cm="1">
        <f t="array" ref="G5780">IF(AND(Inputs!$C$60,Inputs!$C$61),INDEX(Utility_Rates!$C$29:$F$52,HOUR(C5780)+Inputs!$C$69,MATCH(INDEX(Utility_Rates!$K$6:$K$17,MONTH(C5780))&amp;IF(WEEKDAY(C5780,Inputs!$C$76)&lt;=Inputs!$C$74," weekday"," weekend"),Utility_Rates!$C$28:$F$28,Inputs!$C$68)),"")</f>
      </c>
      <c r="H5780" s="34"/>
      <c r="I5780" s="42">
        <f>IF(AND(ISNUMBER(D5780),ISNUMBER(H5780)),D5780*H5780*Inputs!$C$69,"")</f>
      </c>
      <c r="J5780" s="42">
        <f>IF(AND(ISNUMBER(F5780),ISNUMBER(H5780),F5780&gt;=Inputs!$C$68),F5780*H5780*Inputs!$C$69,"")</f>
      </c>
    </row>
    <row r="5781" spans="2:10" ht="15" customHeight="1" x14ac:dyDescent="0.2">
      <c r="B5781" s="39">
        <f t="shared" si="44"/>
      </c>
      <c r="C5781" s="40">
        <f>IF(Inputs!$C$60,Inputs!$C$11+(B5781-Inputs!$C$69)/Inputs!$C$70,"")</f>
      </c>
      <c r="D5781" s="15"/>
      <c r="E5781" s="15"/>
      <c r="F5781" s="11">
        <f t="shared" si="45"/>
      </c>
      <c r="G5781" s="22" cm="1">
        <f t="array" ref="G5781">IF(AND(Inputs!$C$60,Inputs!$C$61),INDEX(Utility_Rates!$C$29:$F$52,HOUR(C5781)+Inputs!$C$69,MATCH(INDEX(Utility_Rates!$K$6:$K$17,MONTH(C5781))&amp;IF(WEEKDAY(C5781,Inputs!$C$76)&lt;=Inputs!$C$74," weekday"," weekend"),Utility_Rates!$C$28:$F$28,Inputs!$C$68)),"")</f>
      </c>
      <c r="H5781" s="34"/>
      <c r="I5781" s="42">
        <f>IF(AND(ISNUMBER(D5781),ISNUMBER(H5781)),D5781*H5781*Inputs!$C$69,"")</f>
      </c>
      <c r="J5781" s="42">
        <f>IF(AND(ISNUMBER(F5781),ISNUMBER(H5781),F5781&gt;=Inputs!$C$68),F5781*H5781*Inputs!$C$69,"")</f>
      </c>
    </row>
    <row r="5782" spans="2:10" ht="15" customHeight="1" x14ac:dyDescent="0.2">
      <c r="B5782" s="39">
        <f t="shared" si="44"/>
      </c>
      <c r="C5782" s="40">
        <f>IF(Inputs!$C$60,Inputs!$C$11+(B5782-Inputs!$C$69)/Inputs!$C$70,"")</f>
      </c>
      <c r="D5782" s="15"/>
      <c r="E5782" s="15"/>
      <c r="F5782" s="11">
        <f t="shared" si="45"/>
      </c>
      <c r="G5782" s="22" cm="1">
        <f t="array" ref="G5782">IF(AND(Inputs!$C$60,Inputs!$C$61),INDEX(Utility_Rates!$C$29:$F$52,HOUR(C5782)+Inputs!$C$69,MATCH(INDEX(Utility_Rates!$K$6:$K$17,MONTH(C5782))&amp;IF(WEEKDAY(C5782,Inputs!$C$76)&lt;=Inputs!$C$74," weekday"," weekend"),Utility_Rates!$C$28:$F$28,Inputs!$C$68)),"")</f>
      </c>
      <c r="H5782" s="34"/>
      <c r="I5782" s="42">
        <f>IF(AND(ISNUMBER(D5782),ISNUMBER(H5782)),D5782*H5782*Inputs!$C$69,"")</f>
      </c>
      <c r="J5782" s="42">
        <f>IF(AND(ISNUMBER(F5782),ISNUMBER(H5782),F5782&gt;=Inputs!$C$68),F5782*H5782*Inputs!$C$69,"")</f>
      </c>
    </row>
    <row r="5783" spans="2:10" ht="15" customHeight="1" x14ac:dyDescent="0.2">
      <c r="B5783" s="39">
        <f t="shared" si="44"/>
      </c>
      <c r="C5783" s="40">
        <f>IF(Inputs!$C$60,Inputs!$C$11+(B5783-Inputs!$C$69)/Inputs!$C$70,"")</f>
      </c>
      <c r="D5783" s="15"/>
      <c r="E5783" s="15"/>
      <c r="F5783" s="11">
        <f t="shared" si="45"/>
      </c>
      <c r="G5783" s="22" cm="1">
        <f t="array" ref="G5783">IF(AND(Inputs!$C$60,Inputs!$C$61),INDEX(Utility_Rates!$C$29:$F$52,HOUR(C5783)+Inputs!$C$69,MATCH(INDEX(Utility_Rates!$K$6:$K$17,MONTH(C5783))&amp;IF(WEEKDAY(C5783,Inputs!$C$76)&lt;=Inputs!$C$74," weekday"," weekend"),Utility_Rates!$C$28:$F$28,Inputs!$C$68)),"")</f>
      </c>
      <c r="H5783" s="34"/>
      <c r="I5783" s="42">
        <f>IF(AND(ISNUMBER(D5783),ISNUMBER(H5783)),D5783*H5783*Inputs!$C$69,"")</f>
      </c>
      <c r="J5783" s="42">
        <f>IF(AND(ISNUMBER(F5783),ISNUMBER(H5783),F5783&gt;=Inputs!$C$68),F5783*H5783*Inputs!$C$69,"")</f>
      </c>
    </row>
    <row r="5784" spans="2:10" ht="15" customHeight="1" x14ac:dyDescent="0.2">
      <c r="B5784" s="39">
        <f t="shared" si="44"/>
      </c>
      <c r="C5784" s="40">
        <f>IF(Inputs!$C$60,Inputs!$C$11+(B5784-Inputs!$C$69)/Inputs!$C$70,"")</f>
      </c>
      <c r="D5784" s="15"/>
      <c r="E5784" s="15"/>
      <c r="F5784" s="11">
        <f t="shared" si="45"/>
      </c>
      <c r="G5784" s="22" cm="1">
        <f t="array" ref="G5784">IF(AND(Inputs!$C$60,Inputs!$C$61),INDEX(Utility_Rates!$C$29:$F$52,HOUR(C5784)+Inputs!$C$69,MATCH(INDEX(Utility_Rates!$K$6:$K$17,MONTH(C5784))&amp;IF(WEEKDAY(C5784,Inputs!$C$76)&lt;=Inputs!$C$74," weekday"," weekend"),Utility_Rates!$C$28:$F$28,Inputs!$C$68)),"")</f>
      </c>
      <c r="H5784" s="34"/>
      <c r="I5784" s="42">
        <f>IF(AND(ISNUMBER(D5784),ISNUMBER(H5784)),D5784*H5784*Inputs!$C$69,"")</f>
      </c>
      <c r="J5784" s="42">
        <f>IF(AND(ISNUMBER(F5784),ISNUMBER(H5784),F5784&gt;=Inputs!$C$68),F5784*H5784*Inputs!$C$69,"")</f>
      </c>
    </row>
    <row r="5785" spans="2:10" ht="15" customHeight="1" x14ac:dyDescent="0.2">
      <c r="B5785" s="39">
        <f t="shared" si="44"/>
      </c>
      <c r="C5785" s="40">
        <f>IF(Inputs!$C$60,Inputs!$C$11+(B5785-Inputs!$C$69)/Inputs!$C$70,"")</f>
      </c>
      <c r="D5785" s="15"/>
      <c r="E5785" s="15"/>
      <c r="F5785" s="11">
        <f t="shared" si="45"/>
      </c>
      <c r="G5785" s="22" cm="1">
        <f t="array" ref="G5785">IF(AND(Inputs!$C$60,Inputs!$C$61),INDEX(Utility_Rates!$C$29:$F$52,HOUR(C5785)+Inputs!$C$69,MATCH(INDEX(Utility_Rates!$K$6:$K$17,MONTH(C5785))&amp;IF(WEEKDAY(C5785,Inputs!$C$76)&lt;=Inputs!$C$74," weekday"," weekend"),Utility_Rates!$C$28:$F$28,Inputs!$C$68)),"")</f>
      </c>
      <c r="H5785" s="34"/>
      <c r="I5785" s="42">
        <f>IF(AND(ISNUMBER(D5785),ISNUMBER(H5785)),D5785*H5785*Inputs!$C$69,"")</f>
      </c>
      <c r="J5785" s="42">
        <f>IF(AND(ISNUMBER(F5785),ISNUMBER(H5785),F5785&gt;=Inputs!$C$68),F5785*H5785*Inputs!$C$69,"")</f>
      </c>
    </row>
    <row r="5786" spans="2:10" ht="15" customHeight="1" x14ac:dyDescent="0.2">
      <c r="B5786" s="39">
        <f t="shared" si="44"/>
      </c>
      <c r="C5786" s="40">
        <f>IF(Inputs!$C$60,Inputs!$C$11+(B5786-Inputs!$C$69)/Inputs!$C$70,"")</f>
      </c>
      <c r="D5786" s="15"/>
      <c r="E5786" s="15"/>
      <c r="F5786" s="11">
        <f t="shared" si="45"/>
      </c>
      <c r="G5786" s="22" cm="1">
        <f t="array" ref="G5786">IF(AND(Inputs!$C$60,Inputs!$C$61),INDEX(Utility_Rates!$C$29:$F$52,HOUR(C5786)+Inputs!$C$69,MATCH(INDEX(Utility_Rates!$K$6:$K$17,MONTH(C5786))&amp;IF(WEEKDAY(C5786,Inputs!$C$76)&lt;=Inputs!$C$74," weekday"," weekend"),Utility_Rates!$C$28:$F$28,Inputs!$C$68)),"")</f>
      </c>
      <c r="H5786" s="34"/>
      <c r="I5786" s="42">
        <f>IF(AND(ISNUMBER(D5786),ISNUMBER(H5786)),D5786*H5786*Inputs!$C$69,"")</f>
      </c>
      <c r="J5786" s="42">
        <f>IF(AND(ISNUMBER(F5786),ISNUMBER(H5786),F5786&gt;=Inputs!$C$68),F5786*H5786*Inputs!$C$69,"")</f>
      </c>
    </row>
    <row r="5787" spans="2:10" ht="15" customHeight="1" x14ac:dyDescent="0.2">
      <c r="B5787" s="39">
        <f t="shared" si="44"/>
      </c>
      <c r="C5787" s="40">
        <f>IF(Inputs!$C$60,Inputs!$C$11+(B5787-Inputs!$C$69)/Inputs!$C$70,"")</f>
      </c>
      <c r="D5787" s="15"/>
      <c r="E5787" s="15"/>
      <c r="F5787" s="11">
        <f t="shared" si="45"/>
      </c>
      <c r="G5787" s="22" cm="1">
        <f t="array" ref="G5787">IF(AND(Inputs!$C$60,Inputs!$C$61),INDEX(Utility_Rates!$C$29:$F$52,HOUR(C5787)+Inputs!$C$69,MATCH(INDEX(Utility_Rates!$K$6:$K$17,MONTH(C5787))&amp;IF(WEEKDAY(C5787,Inputs!$C$76)&lt;=Inputs!$C$74," weekday"," weekend"),Utility_Rates!$C$28:$F$28,Inputs!$C$68)),"")</f>
      </c>
      <c r="H5787" s="34"/>
      <c r="I5787" s="42">
        <f>IF(AND(ISNUMBER(D5787),ISNUMBER(H5787)),D5787*H5787*Inputs!$C$69,"")</f>
      </c>
      <c r="J5787" s="42">
        <f>IF(AND(ISNUMBER(F5787),ISNUMBER(H5787),F5787&gt;=Inputs!$C$68),F5787*H5787*Inputs!$C$69,"")</f>
      </c>
    </row>
    <row r="5788" spans="2:10" ht="15" customHeight="1" x14ac:dyDescent="0.2">
      <c r="B5788" s="39">
        <f t="shared" si="44"/>
      </c>
      <c r="C5788" s="40">
        <f>IF(Inputs!$C$60,Inputs!$C$11+(B5788-Inputs!$C$69)/Inputs!$C$70,"")</f>
      </c>
      <c r="D5788" s="15"/>
      <c r="E5788" s="15"/>
      <c r="F5788" s="11">
        <f t="shared" si="45"/>
      </c>
      <c r="G5788" s="22" cm="1">
        <f t="array" ref="G5788">IF(AND(Inputs!$C$60,Inputs!$C$61),INDEX(Utility_Rates!$C$29:$F$52,HOUR(C5788)+Inputs!$C$69,MATCH(INDEX(Utility_Rates!$K$6:$K$17,MONTH(C5788))&amp;IF(WEEKDAY(C5788,Inputs!$C$76)&lt;=Inputs!$C$74," weekday"," weekend"),Utility_Rates!$C$28:$F$28,Inputs!$C$68)),"")</f>
      </c>
      <c r="H5788" s="34"/>
      <c r="I5788" s="42">
        <f>IF(AND(ISNUMBER(D5788),ISNUMBER(H5788)),D5788*H5788*Inputs!$C$69,"")</f>
      </c>
      <c r="J5788" s="42">
        <f>IF(AND(ISNUMBER(F5788),ISNUMBER(H5788),F5788&gt;=Inputs!$C$68),F5788*H5788*Inputs!$C$69,"")</f>
      </c>
    </row>
    <row r="5789" spans="2:10" ht="15" customHeight="1" x14ac:dyDescent="0.2">
      <c r="B5789" s="39">
        <f t="shared" si="44"/>
      </c>
      <c r="C5789" s="40">
        <f>IF(Inputs!$C$60,Inputs!$C$11+(B5789-Inputs!$C$69)/Inputs!$C$70,"")</f>
      </c>
      <c r="D5789" s="15"/>
      <c r="E5789" s="15"/>
      <c r="F5789" s="11">
        <f t="shared" si="45"/>
      </c>
      <c r="G5789" s="22" cm="1">
        <f t="array" ref="G5789">IF(AND(Inputs!$C$60,Inputs!$C$61),INDEX(Utility_Rates!$C$29:$F$52,HOUR(C5789)+Inputs!$C$69,MATCH(INDEX(Utility_Rates!$K$6:$K$17,MONTH(C5789))&amp;IF(WEEKDAY(C5789,Inputs!$C$76)&lt;=Inputs!$C$74," weekday"," weekend"),Utility_Rates!$C$28:$F$28,Inputs!$C$68)),"")</f>
      </c>
      <c r="H5789" s="34"/>
      <c r="I5789" s="42">
        <f>IF(AND(ISNUMBER(D5789),ISNUMBER(H5789)),D5789*H5789*Inputs!$C$69,"")</f>
      </c>
      <c r="J5789" s="42">
        <f>IF(AND(ISNUMBER(F5789),ISNUMBER(H5789),F5789&gt;=Inputs!$C$68),F5789*H5789*Inputs!$C$69,"")</f>
      </c>
    </row>
    <row r="5790" spans="2:10" ht="15" customHeight="1" x14ac:dyDescent="0.2">
      <c r="B5790" s="39">
        <f t="shared" si="44"/>
      </c>
      <c r="C5790" s="40">
        <f>IF(Inputs!$C$60,Inputs!$C$11+(B5790-Inputs!$C$69)/Inputs!$C$70,"")</f>
      </c>
      <c r="D5790" s="15"/>
      <c r="E5790" s="15"/>
      <c r="F5790" s="11">
        <f t="shared" si="45"/>
      </c>
      <c r="G5790" s="22" cm="1">
        <f t="array" ref="G5790">IF(AND(Inputs!$C$60,Inputs!$C$61),INDEX(Utility_Rates!$C$29:$F$52,HOUR(C5790)+Inputs!$C$69,MATCH(INDEX(Utility_Rates!$K$6:$K$17,MONTH(C5790))&amp;IF(WEEKDAY(C5790,Inputs!$C$76)&lt;=Inputs!$C$74," weekday"," weekend"),Utility_Rates!$C$28:$F$28,Inputs!$C$68)),"")</f>
      </c>
      <c r="H5790" s="34"/>
      <c r="I5790" s="42">
        <f>IF(AND(ISNUMBER(D5790),ISNUMBER(H5790)),D5790*H5790*Inputs!$C$69,"")</f>
      </c>
      <c r="J5790" s="42">
        <f>IF(AND(ISNUMBER(F5790),ISNUMBER(H5790),F5790&gt;=Inputs!$C$68),F5790*H5790*Inputs!$C$69,"")</f>
      </c>
    </row>
    <row r="5791" spans="2:10" ht="15" customHeight="1" x14ac:dyDescent="0.2">
      <c r="B5791" s="39">
        <f t="shared" si="44"/>
      </c>
      <c r="C5791" s="40">
        <f>IF(Inputs!$C$60,Inputs!$C$11+(B5791-Inputs!$C$69)/Inputs!$C$70,"")</f>
      </c>
      <c r="D5791" s="15"/>
      <c r="E5791" s="15"/>
      <c r="F5791" s="11">
        <f t="shared" si="45"/>
      </c>
      <c r="G5791" s="22" cm="1">
        <f t="array" ref="G5791">IF(AND(Inputs!$C$60,Inputs!$C$61),INDEX(Utility_Rates!$C$29:$F$52,HOUR(C5791)+Inputs!$C$69,MATCH(INDEX(Utility_Rates!$K$6:$K$17,MONTH(C5791))&amp;IF(WEEKDAY(C5791,Inputs!$C$76)&lt;=Inputs!$C$74," weekday"," weekend"),Utility_Rates!$C$28:$F$28,Inputs!$C$68)),"")</f>
      </c>
      <c r="H5791" s="34"/>
      <c r="I5791" s="42">
        <f>IF(AND(ISNUMBER(D5791),ISNUMBER(H5791)),D5791*H5791*Inputs!$C$69,"")</f>
      </c>
      <c r="J5791" s="42">
        <f>IF(AND(ISNUMBER(F5791),ISNUMBER(H5791),F5791&gt;=Inputs!$C$68),F5791*H5791*Inputs!$C$69,"")</f>
      </c>
    </row>
    <row r="5792" spans="2:10" ht="15" customHeight="1" x14ac:dyDescent="0.2">
      <c r="B5792" s="39">
        <f t="shared" si="44"/>
      </c>
      <c r="C5792" s="40">
        <f>IF(Inputs!$C$60,Inputs!$C$11+(B5792-Inputs!$C$69)/Inputs!$C$70,"")</f>
      </c>
      <c r="D5792" s="15"/>
      <c r="E5792" s="15"/>
      <c r="F5792" s="11">
        <f t="shared" si="45"/>
      </c>
      <c r="G5792" s="22" cm="1">
        <f t="array" ref="G5792">IF(AND(Inputs!$C$60,Inputs!$C$61),INDEX(Utility_Rates!$C$29:$F$52,HOUR(C5792)+Inputs!$C$69,MATCH(INDEX(Utility_Rates!$K$6:$K$17,MONTH(C5792))&amp;IF(WEEKDAY(C5792,Inputs!$C$76)&lt;=Inputs!$C$74," weekday"," weekend"),Utility_Rates!$C$28:$F$28,Inputs!$C$68)),"")</f>
      </c>
      <c r="H5792" s="34"/>
      <c r="I5792" s="42">
        <f>IF(AND(ISNUMBER(D5792),ISNUMBER(H5792)),D5792*H5792*Inputs!$C$69,"")</f>
      </c>
      <c r="J5792" s="42">
        <f>IF(AND(ISNUMBER(F5792),ISNUMBER(H5792),F5792&gt;=Inputs!$C$68),F5792*H5792*Inputs!$C$69,"")</f>
      </c>
    </row>
    <row r="5793" spans="2:10" ht="15" customHeight="1" x14ac:dyDescent="0.2">
      <c r="B5793" s="39">
        <f t="shared" si="44"/>
      </c>
      <c r="C5793" s="40">
        <f>IF(Inputs!$C$60,Inputs!$C$11+(B5793-Inputs!$C$69)/Inputs!$C$70,"")</f>
      </c>
      <c r="D5793" s="15"/>
      <c r="E5793" s="15"/>
      <c r="F5793" s="11">
        <f t="shared" si="45"/>
      </c>
      <c r="G5793" s="22" cm="1">
        <f t="array" ref="G5793">IF(AND(Inputs!$C$60,Inputs!$C$61),INDEX(Utility_Rates!$C$29:$F$52,HOUR(C5793)+Inputs!$C$69,MATCH(INDEX(Utility_Rates!$K$6:$K$17,MONTH(C5793))&amp;IF(WEEKDAY(C5793,Inputs!$C$76)&lt;=Inputs!$C$74," weekday"," weekend"),Utility_Rates!$C$28:$F$28,Inputs!$C$68)),"")</f>
      </c>
      <c r="H5793" s="34"/>
      <c r="I5793" s="42">
        <f>IF(AND(ISNUMBER(D5793),ISNUMBER(H5793)),D5793*H5793*Inputs!$C$69,"")</f>
      </c>
      <c r="J5793" s="42">
        <f>IF(AND(ISNUMBER(F5793),ISNUMBER(H5793),F5793&gt;=Inputs!$C$68),F5793*H5793*Inputs!$C$69,"")</f>
      </c>
    </row>
    <row r="5794" spans="2:10" ht="15" customHeight="1" x14ac:dyDescent="0.2">
      <c r="B5794" s="39">
        <f t="shared" si="44"/>
      </c>
      <c r="C5794" s="40">
        <f>IF(Inputs!$C$60,Inputs!$C$11+(B5794-Inputs!$C$69)/Inputs!$C$70,"")</f>
      </c>
      <c r="D5794" s="15"/>
      <c r="E5794" s="15"/>
      <c r="F5794" s="11">
        <f t="shared" si="45"/>
      </c>
      <c r="G5794" s="22" cm="1">
        <f t="array" ref="G5794">IF(AND(Inputs!$C$60,Inputs!$C$61),INDEX(Utility_Rates!$C$29:$F$52,HOUR(C5794)+Inputs!$C$69,MATCH(INDEX(Utility_Rates!$K$6:$K$17,MONTH(C5794))&amp;IF(WEEKDAY(C5794,Inputs!$C$76)&lt;=Inputs!$C$74," weekday"," weekend"),Utility_Rates!$C$28:$F$28,Inputs!$C$68)),"")</f>
      </c>
      <c r="H5794" s="34"/>
      <c r="I5794" s="42">
        <f>IF(AND(ISNUMBER(D5794),ISNUMBER(H5794)),D5794*H5794*Inputs!$C$69,"")</f>
      </c>
      <c r="J5794" s="42">
        <f>IF(AND(ISNUMBER(F5794),ISNUMBER(H5794),F5794&gt;=Inputs!$C$68),F5794*H5794*Inputs!$C$69,"")</f>
      </c>
    </row>
    <row r="5795" spans="2:10" ht="15" customHeight="1" x14ac:dyDescent="0.2">
      <c r="B5795" s="39">
        <f t="shared" si="44"/>
      </c>
      <c r="C5795" s="40">
        <f>IF(Inputs!$C$60,Inputs!$C$11+(B5795-Inputs!$C$69)/Inputs!$C$70,"")</f>
      </c>
      <c r="D5795" s="15"/>
      <c r="E5795" s="15"/>
      <c r="F5795" s="11">
        <f t="shared" si="45"/>
      </c>
      <c r="G5795" s="22" cm="1">
        <f t="array" ref="G5795">IF(AND(Inputs!$C$60,Inputs!$C$61),INDEX(Utility_Rates!$C$29:$F$52,HOUR(C5795)+Inputs!$C$69,MATCH(INDEX(Utility_Rates!$K$6:$K$17,MONTH(C5795))&amp;IF(WEEKDAY(C5795,Inputs!$C$76)&lt;=Inputs!$C$74," weekday"," weekend"),Utility_Rates!$C$28:$F$28,Inputs!$C$68)),"")</f>
      </c>
      <c r="H5795" s="34"/>
      <c r="I5795" s="42">
        <f>IF(AND(ISNUMBER(D5795),ISNUMBER(H5795)),D5795*H5795*Inputs!$C$69,"")</f>
      </c>
      <c r="J5795" s="42">
        <f>IF(AND(ISNUMBER(F5795),ISNUMBER(H5795),F5795&gt;=Inputs!$C$68),F5795*H5795*Inputs!$C$69,"")</f>
      </c>
    </row>
    <row r="5796" spans="2:10" ht="15" customHeight="1" x14ac:dyDescent="0.2">
      <c r="B5796" s="39">
        <f t="shared" si="44"/>
      </c>
      <c r="C5796" s="40">
        <f>IF(Inputs!$C$60,Inputs!$C$11+(B5796-Inputs!$C$69)/Inputs!$C$70,"")</f>
      </c>
      <c r="D5796" s="15"/>
      <c r="E5796" s="15"/>
      <c r="F5796" s="11">
        <f t="shared" si="45"/>
      </c>
      <c r="G5796" s="22" cm="1">
        <f t="array" ref="G5796">IF(AND(Inputs!$C$60,Inputs!$C$61),INDEX(Utility_Rates!$C$29:$F$52,HOUR(C5796)+Inputs!$C$69,MATCH(INDEX(Utility_Rates!$K$6:$K$17,MONTH(C5796))&amp;IF(WEEKDAY(C5796,Inputs!$C$76)&lt;=Inputs!$C$74," weekday"," weekend"),Utility_Rates!$C$28:$F$28,Inputs!$C$68)),"")</f>
      </c>
      <c r="H5796" s="34"/>
      <c r="I5796" s="42">
        <f>IF(AND(ISNUMBER(D5796),ISNUMBER(H5796)),D5796*H5796*Inputs!$C$69,"")</f>
      </c>
      <c r="J5796" s="42">
        <f>IF(AND(ISNUMBER(F5796),ISNUMBER(H5796),F5796&gt;=Inputs!$C$68),F5796*H5796*Inputs!$C$69,"")</f>
      </c>
    </row>
    <row r="5797" spans="2:10" ht="15" customHeight="1" x14ac:dyDescent="0.2">
      <c r="B5797" s="39">
        <f t="shared" si="44"/>
      </c>
      <c r="C5797" s="40">
        <f>IF(Inputs!$C$60,Inputs!$C$11+(B5797-Inputs!$C$69)/Inputs!$C$70,"")</f>
      </c>
      <c r="D5797" s="15"/>
      <c r="E5797" s="15"/>
      <c r="F5797" s="11">
        <f t="shared" si="45"/>
      </c>
      <c r="G5797" s="22" cm="1">
        <f t="array" ref="G5797">IF(AND(Inputs!$C$60,Inputs!$C$61),INDEX(Utility_Rates!$C$29:$F$52,HOUR(C5797)+Inputs!$C$69,MATCH(INDEX(Utility_Rates!$K$6:$K$17,MONTH(C5797))&amp;IF(WEEKDAY(C5797,Inputs!$C$76)&lt;=Inputs!$C$74," weekday"," weekend"),Utility_Rates!$C$28:$F$28,Inputs!$C$68)),"")</f>
      </c>
      <c r="H5797" s="34"/>
      <c r="I5797" s="42">
        <f>IF(AND(ISNUMBER(D5797),ISNUMBER(H5797)),D5797*H5797*Inputs!$C$69,"")</f>
      </c>
      <c r="J5797" s="42">
        <f>IF(AND(ISNUMBER(F5797),ISNUMBER(H5797),F5797&gt;=Inputs!$C$68),F5797*H5797*Inputs!$C$69,"")</f>
      </c>
    </row>
    <row r="5798" spans="2:10" ht="15" customHeight="1" x14ac:dyDescent="0.2">
      <c r="B5798" s="39">
        <f t="shared" si="44"/>
      </c>
      <c r="C5798" s="40">
        <f>IF(Inputs!$C$60,Inputs!$C$11+(B5798-Inputs!$C$69)/Inputs!$C$70,"")</f>
      </c>
      <c r="D5798" s="15"/>
      <c r="E5798" s="15"/>
      <c r="F5798" s="11">
        <f t="shared" si="45"/>
      </c>
      <c r="G5798" s="22" cm="1">
        <f t="array" ref="G5798">IF(AND(Inputs!$C$60,Inputs!$C$61),INDEX(Utility_Rates!$C$29:$F$52,HOUR(C5798)+Inputs!$C$69,MATCH(INDEX(Utility_Rates!$K$6:$K$17,MONTH(C5798))&amp;IF(WEEKDAY(C5798,Inputs!$C$76)&lt;=Inputs!$C$74," weekday"," weekend"),Utility_Rates!$C$28:$F$28,Inputs!$C$68)),"")</f>
      </c>
      <c r="H5798" s="34"/>
      <c r="I5798" s="42">
        <f>IF(AND(ISNUMBER(D5798),ISNUMBER(H5798)),D5798*H5798*Inputs!$C$69,"")</f>
      </c>
      <c r="J5798" s="42">
        <f>IF(AND(ISNUMBER(F5798),ISNUMBER(H5798),F5798&gt;=Inputs!$C$68),F5798*H5798*Inputs!$C$69,"")</f>
      </c>
    </row>
    <row r="5799" spans="2:10" ht="15" customHeight="1" x14ac:dyDescent="0.2">
      <c r="B5799" s="39">
        <f t="shared" si="44"/>
      </c>
      <c r="C5799" s="40">
        <f>IF(Inputs!$C$60,Inputs!$C$11+(B5799-Inputs!$C$69)/Inputs!$C$70,"")</f>
      </c>
      <c r="D5799" s="15"/>
      <c r="E5799" s="15"/>
      <c r="F5799" s="11">
        <f t="shared" si="45"/>
      </c>
      <c r="G5799" s="22" cm="1">
        <f t="array" ref="G5799">IF(AND(Inputs!$C$60,Inputs!$C$61),INDEX(Utility_Rates!$C$29:$F$52,HOUR(C5799)+Inputs!$C$69,MATCH(INDEX(Utility_Rates!$K$6:$K$17,MONTH(C5799))&amp;IF(WEEKDAY(C5799,Inputs!$C$76)&lt;=Inputs!$C$74," weekday"," weekend"),Utility_Rates!$C$28:$F$28,Inputs!$C$68)),"")</f>
      </c>
      <c r="H5799" s="34"/>
      <c r="I5799" s="42">
        <f>IF(AND(ISNUMBER(D5799),ISNUMBER(H5799)),D5799*H5799*Inputs!$C$69,"")</f>
      </c>
      <c r="J5799" s="42">
        <f>IF(AND(ISNUMBER(F5799),ISNUMBER(H5799),F5799&gt;=Inputs!$C$68),F5799*H5799*Inputs!$C$69,"")</f>
      </c>
    </row>
    <row r="5800" spans="2:10" ht="15" customHeight="1" x14ac:dyDescent="0.2">
      <c r="B5800" s="39">
        <f t="shared" si="44"/>
      </c>
      <c r="C5800" s="40">
        <f>IF(Inputs!$C$60,Inputs!$C$11+(B5800-Inputs!$C$69)/Inputs!$C$70,"")</f>
      </c>
      <c r="D5800" s="15"/>
      <c r="E5800" s="15"/>
      <c r="F5800" s="11">
        <f t="shared" si="45"/>
      </c>
      <c r="G5800" s="22" cm="1">
        <f t="array" ref="G5800">IF(AND(Inputs!$C$60,Inputs!$C$61),INDEX(Utility_Rates!$C$29:$F$52,HOUR(C5800)+Inputs!$C$69,MATCH(INDEX(Utility_Rates!$K$6:$K$17,MONTH(C5800))&amp;IF(WEEKDAY(C5800,Inputs!$C$76)&lt;=Inputs!$C$74," weekday"," weekend"),Utility_Rates!$C$28:$F$28,Inputs!$C$68)),"")</f>
      </c>
      <c r="H5800" s="34"/>
      <c r="I5800" s="42">
        <f>IF(AND(ISNUMBER(D5800),ISNUMBER(H5800)),D5800*H5800*Inputs!$C$69,"")</f>
      </c>
      <c r="J5800" s="42">
        <f>IF(AND(ISNUMBER(F5800),ISNUMBER(H5800),F5800&gt;=Inputs!$C$68),F5800*H5800*Inputs!$C$69,"")</f>
      </c>
    </row>
    <row r="5801" spans="2:10" ht="15" customHeight="1" x14ac:dyDescent="0.2">
      <c r="B5801" s="39">
        <f t="shared" si="44"/>
      </c>
      <c r="C5801" s="40">
        <f>IF(Inputs!$C$60,Inputs!$C$11+(B5801-Inputs!$C$69)/Inputs!$C$70,"")</f>
      </c>
      <c r="D5801" s="15"/>
      <c r="E5801" s="15"/>
      <c r="F5801" s="11">
        <f t="shared" si="45"/>
      </c>
      <c r="G5801" s="22" cm="1">
        <f t="array" ref="G5801">IF(AND(Inputs!$C$60,Inputs!$C$61),INDEX(Utility_Rates!$C$29:$F$52,HOUR(C5801)+Inputs!$C$69,MATCH(INDEX(Utility_Rates!$K$6:$K$17,MONTH(C5801))&amp;IF(WEEKDAY(C5801,Inputs!$C$76)&lt;=Inputs!$C$74," weekday"," weekend"),Utility_Rates!$C$28:$F$28,Inputs!$C$68)),"")</f>
      </c>
      <c r="H5801" s="34"/>
      <c r="I5801" s="42">
        <f>IF(AND(ISNUMBER(D5801),ISNUMBER(H5801)),D5801*H5801*Inputs!$C$69,"")</f>
      </c>
      <c r="J5801" s="42">
        <f>IF(AND(ISNUMBER(F5801),ISNUMBER(H5801),F5801&gt;=Inputs!$C$68),F5801*H5801*Inputs!$C$69,"")</f>
      </c>
    </row>
    <row r="5802" spans="2:10" ht="15" customHeight="1" x14ac:dyDescent="0.2">
      <c r="B5802" s="39">
        <f t="shared" si="44"/>
      </c>
      <c r="C5802" s="40">
        <f>IF(Inputs!$C$60,Inputs!$C$11+(B5802-Inputs!$C$69)/Inputs!$C$70,"")</f>
      </c>
      <c r="D5802" s="15"/>
      <c r="E5802" s="15"/>
      <c r="F5802" s="11">
        <f t="shared" si="45"/>
      </c>
      <c r="G5802" s="22" cm="1">
        <f t="array" ref="G5802">IF(AND(Inputs!$C$60,Inputs!$C$61),INDEX(Utility_Rates!$C$29:$F$52,HOUR(C5802)+Inputs!$C$69,MATCH(INDEX(Utility_Rates!$K$6:$K$17,MONTH(C5802))&amp;IF(WEEKDAY(C5802,Inputs!$C$76)&lt;=Inputs!$C$74," weekday"," weekend"),Utility_Rates!$C$28:$F$28,Inputs!$C$68)),"")</f>
      </c>
      <c r="H5802" s="34"/>
      <c r="I5802" s="42">
        <f>IF(AND(ISNUMBER(D5802),ISNUMBER(H5802)),D5802*H5802*Inputs!$C$69,"")</f>
      </c>
      <c r="J5802" s="42">
        <f>IF(AND(ISNUMBER(F5802),ISNUMBER(H5802),F5802&gt;=Inputs!$C$68),F5802*H5802*Inputs!$C$69,"")</f>
      </c>
    </row>
    <row r="5803" spans="2:10" ht="15" customHeight="1" x14ac:dyDescent="0.2">
      <c r="B5803" s="39">
        <f t="shared" si="44"/>
      </c>
      <c r="C5803" s="40">
        <f>IF(Inputs!$C$60,Inputs!$C$11+(B5803-Inputs!$C$69)/Inputs!$C$70,"")</f>
      </c>
      <c r="D5803" s="15"/>
      <c r="E5803" s="15"/>
      <c r="F5803" s="11">
        <f t="shared" si="45"/>
      </c>
      <c r="G5803" s="22" cm="1">
        <f t="array" ref="G5803">IF(AND(Inputs!$C$60,Inputs!$C$61),INDEX(Utility_Rates!$C$29:$F$52,HOUR(C5803)+Inputs!$C$69,MATCH(INDEX(Utility_Rates!$K$6:$K$17,MONTH(C5803))&amp;IF(WEEKDAY(C5803,Inputs!$C$76)&lt;=Inputs!$C$74," weekday"," weekend"),Utility_Rates!$C$28:$F$28,Inputs!$C$68)),"")</f>
      </c>
      <c r="H5803" s="34"/>
      <c r="I5803" s="42">
        <f>IF(AND(ISNUMBER(D5803),ISNUMBER(H5803)),D5803*H5803*Inputs!$C$69,"")</f>
      </c>
      <c r="J5803" s="42">
        <f>IF(AND(ISNUMBER(F5803),ISNUMBER(H5803),F5803&gt;=Inputs!$C$68),F5803*H5803*Inputs!$C$69,"")</f>
      </c>
    </row>
    <row r="5804" spans="2:10" ht="15" customHeight="1" x14ac:dyDescent="0.2">
      <c r="B5804" s="39">
        <f t="shared" si="44"/>
      </c>
      <c r="C5804" s="40">
        <f>IF(Inputs!$C$60,Inputs!$C$11+(B5804-Inputs!$C$69)/Inputs!$C$70,"")</f>
      </c>
      <c r="D5804" s="15"/>
      <c r="E5804" s="15"/>
      <c r="F5804" s="11">
        <f t="shared" si="45"/>
      </c>
      <c r="G5804" s="22" cm="1">
        <f t="array" ref="G5804">IF(AND(Inputs!$C$60,Inputs!$C$61),INDEX(Utility_Rates!$C$29:$F$52,HOUR(C5804)+Inputs!$C$69,MATCH(INDEX(Utility_Rates!$K$6:$K$17,MONTH(C5804))&amp;IF(WEEKDAY(C5804,Inputs!$C$76)&lt;=Inputs!$C$74," weekday"," weekend"),Utility_Rates!$C$28:$F$28,Inputs!$C$68)),"")</f>
      </c>
      <c r="H5804" s="34"/>
      <c r="I5804" s="42">
        <f>IF(AND(ISNUMBER(D5804),ISNUMBER(H5804)),D5804*H5804*Inputs!$C$69,"")</f>
      </c>
      <c r="J5804" s="42">
        <f>IF(AND(ISNUMBER(F5804),ISNUMBER(H5804),F5804&gt;=Inputs!$C$68),F5804*H5804*Inputs!$C$69,"")</f>
      </c>
    </row>
    <row r="5805" spans="2:10" ht="15" customHeight="1" x14ac:dyDescent="0.2">
      <c r="B5805" s="39">
        <f t="shared" si="44"/>
      </c>
      <c r="C5805" s="40">
        <f>IF(Inputs!$C$60,Inputs!$C$11+(B5805-Inputs!$C$69)/Inputs!$C$70,"")</f>
      </c>
      <c r="D5805" s="15"/>
      <c r="E5805" s="15"/>
      <c r="F5805" s="11">
        <f t="shared" si="45"/>
      </c>
      <c r="G5805" s="22" cm="1">
        <f t="array" ref="G5805">IF(AND(Inputs!$C$60,Inputs!$C$61),INDEX(Utility_Rates!$C$29:$F$52,HOUR(C5805)+Inputs!$C$69,MATCH(INDEX(Utility_Rates!$K$6:$K$17,MONTH(C5805))&amp;IF(WEEKDAY(C5805,Inputs!$C$76)&lt;=Inputs!$C$74," weekday"," weekend"),Utility_Rates!$C$28:$F$28,Inputs!$C$68)),"")</f>
      </c>
      <c r="H5805" s="34"/>
      <c r="I5805" s="42">
        <f>IF(AND(ISNUMBER(D5805),ISNUMBER(H5805)),D5805*H5805*Inputs!$C$69,"")</f>
      </c>
      <c r="J5805" s="42">
        <f>IF(AND(ISNUMBER(F5805),ISNUMBER(H5805),F5805&gt;=Inputs!$C$68),F5805*H5805*Inputs!$C$69,"")</f>
      </c>
    </row>
    <row r="5806" spans="2:10" ht="15" customHeight="1" x14ac:dyDescent="0.2">
      <c r="B5806" s="39">
        <f t="shared" si="44"/>
      </c>
      <c r="C5806" s="40">
        <f>IF(Inputs!$C$60,Inputs!$C$11+(B5806-Inputs!$C$69)/Inputs!$C$70,"")</f>
      </c>
      <c r="D5806" s="15"/>
      <c r="E5806" s="15"/>
      <c r="F5806" s="11">
        <f t="shared" si="45"/>
      </c>
      <c r="G5806" s="22" cm="1">
        <f t="array" ref="G5806">IF(AND(Inputs!$C$60,Inputs!$C$61),INDEX(Utility_Rates!$C$29:$F$52,HOUR(C5806)+Inputs!$C$69,MATCH(INDEX(Utility_Rates!$K$6:$K$17,MONTH(C5806))&amp;IF(WEEKDAY(C5806,Inputs!$C$76)&lt;=Inputs!$C$74," weekday"," weekend"),Utility_Rates!$C$28:$F$28,Inputs!$C$68)),"")</f>
      </c>
      <c r="H5806" s="34"/>
      <c r="I5806" s="42">
        <f>IF(AND(ISNUMBER(D5806),ISNUMBER(H5806)),D5806*H5806*Inputs!$C$69,"")</f>
      </c>
      <c r="J5806" s="42">
        <f>IF(AND(ISNUMBER(F5806),ISNUMBER(H5806),F5806&gt;=Inputs!$C$68),F5806*H5806*Inputs!$C$69,"")</f>
      </c>
    </row>
    <row r="5807" spans="2:10" ht="15" customHeight="1" x14ac:dyDescent="0.2">
      <c r="B5807" s="39">
        <f t="shared" si="44"/>
      </c>
      <c r="C5807" s="40">
        <f>IF(Inputs!$C$60,Inputs!$C$11+(B5807-Inputs!$C$69)/Inputs!$C$70,"")</f>
      </c>
      <c r="D5807" s="15"/>
      <c r="E5807" s="15"/>
      <c r="F5807" s="11">
        <f t="shared" si="45"/>
      </c>
      <c r="G5807" s="22" cm="1">
        <f t="array" ref="G5807">IF(AND(Inputs!$C$60,Inputs!$C$61),INDEX(Utility_Rates!$C$29:$F$52,HOUR(C5807)+Inputs!$C$69,MATCH(INDEX(Utility_Rates!$K$6:$K$17,MONTH(C5807))&amp;IF(WEEKDAY(C5807,Inputs!$C$76)&lt;=Inputs!$C$74," weekday"," weekend"),Utility_Rates!$C$28:$F$28,Inputs!$C$68)),"")</f>
      </c>
      <c r="H5807" s="34"/>
      <c r="I5807" s="42">
        <f>IF(AND(ISNUMBER(D5807),ISNUMBER(H5807)),D5807*H5807*Inputs!$C$69,"")</f>
      </c>
      <c r="J5807" s="42">
        <f>IF(AND(ISNUMBER(F5807),ISNUMBER(H5807),F5807&gt;=Inputs!$C$68),F5807*H5807*Inputs!$C$69,"")</f>
      </c>
    </row>
    <row r="5808" spans="2:10" ht="15" customHeight="1" x14ac:dyDescent="0.2">
      <c r="B5808" s="39">
        <f t="shared" si="44"/>
      </c>
      <c r="C5808" s="40">
        <f>IF(Inputs!$C$60,Inputs!$C$11+(B5808-Inputs!$C$69)/Inputs!$C$70,"")</f>
      </c>
      <c r="D5808" s="15"/>
      <c r="E5808" s="15"/>
      <c r="F5808" s="11">
        <f t="shared" si="45"/>
      </c>
      <c r="G5808" s="22" cm="1">
        <f t="array" ref="G5808">IF(AND(Inputs!$C$60,Inputs!$C$61),INDEX(Utility_Rates!$C$29:$F$52,HOUR(C5808)+Inputs!$C$69,MATCH(INDEX(Utility_Rates!$K$6:$K$17,MONTH(C5808))&amp;IF(WEEKDAY(C5808,Inputs!$C$76)&lt;=Inputs!$C$74," weekday"," weekend"),Utility_Rates!$C$28:$F$28,Inputs!$C$68)),"")</f>
      </c>
      <c r="H5808" s="34"/>
      <c r="I5808" s="42">
        <f>IF(AND(ISNUMBER(D5808),ISNUMBER(H5808)),D5808*H5808*Inputs!$C$69,"")</f>
      </c>
      <c r="J5808" s="42">
        <f>IF(AND(ISNUMBER(F5808),ISNUMBER(H5808),F5808&gt;=Inputs!$C$68),F5808*H5808*Inputs!$C$69,"")</f>
      </c>
    </row>
    <row r="5809" spans="2:10" ht="15" customHeight="1" x14ac:dyDescent="0.2">
      <c r="B5809" s="39">
        <f t="shared" si="44"/>
      </c>
      <c r="C5809" s="40">
        <f>IF(Inputs!$C$60,Inputs!$C$11+(B5809-Inputs!$C$69)/Inputs!$C$70,"")</f>
      </c>
      <c r="D5809" s="15"/>
      <c r="E5809" s="15"/>
      <c r="F5809" s="11">
        <f t="shared" si="45"/>
      </c>
      <c r="G5809" s="22" cm="1">
        <f t="array" ref="G5809">IF(AND(Inputs!$C$60,Inputs!$C$61),INDEX(Utility_Rates!$C$29:$F$52,HOUR(C5809)+Inputs!$C$69,MATCH(INDEX(Utility_Rates!$K$6:$K$17,MONTH(C5809))&amp;IF(WEEKDAY(C5809,Inputs!$C$76)&lt;=Inputs!$C$74," weekday"," weekend"),Utility_Rates!$C$28:$F$28,Inputs!$C$68)),"")</f>
      </c>
      <c r="H5809" s="34"/>
      <c r="I5809" s="42">
        <f>IF(AND(ISNUMBER(D5809),ISNUMBER(H5809)),D5809*H5809*Inputs!$C$69,"")</f>
      </c>
      <c r="J5809" s="42">
        <f>IF(AND(ISNUMBER(F5809),ISNUMBER(H5809),F5809&gt;=Inputs!$C$68),F5809*H5809*Inputs!$C$69,"")</f>
      </c>
    </row>
    <row r="5810" spans="2:10" ht="15" customHeight="1" x14ac:dyDescent="0.2">
      <c r="B5810" s="39">
        <f t="shared" si="44"/>
      </c>
      <c r="C5810" s="40">
        <f>IF(Inputs!$C$60,Inputs!$C$11+(B5810-Inputs!$C$69)/Inputs!$C$70,"")</f>
      </c>
      <c r="D5810" s="15"/>
      <c r="E5810" s="15"/>
      <c r="F5810" s="11">
        <f t="shared" si="45"/>
      </c>
      <c r="G5810" s="22" cm="1">
        <f t="array" ref="G5810">IF(AND(Inputs!$C$60,Inputs!$C$61),INDEX(Utility_Rates!$C$29:$F$52,HOUR(C5810)+Inputs!$C$69,MATCH(INDEX(Utility_Rates!$K$6:$K$17,MONTH(C5810))&amp;IF(WEEKDAY(C5810,Inputs!$C$76)&lt;=Inputs!$C$74," weekday"," weekend"),Utility_Rates!$C$28:$F$28,Inputs!$C$68)),"")</f>
      </c>
      <c r="H5810" s="34"/>
      <c r="I5810" s="42">
        <f>IF(AND(ISNUMBER(D5810),ISNUMBER(H5810)),D5810*H5810*Inputs!$C$69,"")</f>
      </c>
      <c r="J5810" s="42">
        <f>IF(AND(ISNUMBER(F5810),ISNUMBER(H5810),F5810&gt;=Inputs!$C$68),F5810*H5810*Inputs!$C$69,"")</f>
      </c>
    </row>
    <row r="5811" spans="2:10" ht="15" customHeight="1" x14ac:dyDescent="0.2">
      <c r="B5811" s="39">
        <f t="shared" si="44"/>
      </c>
      <c r="C5811" s="40">
        <f>IF(Inputs!$C$60,Inputs!$C$11+(B5811-Inputs!$C$69)/Inputs!$C$70,"")</f>
      </c>
      <c r="D5811" s="15"/>
      <c r="E5811" s="15"/>
      <c r="F5811" s="11">
        <f t="shared" si="45"/>
      </c>
      <c r="G5811" s="22" cm="1">
        <f t="array" ref="G5811">IF(AND(Inputs!$C$60,Inputs!$C$61),INDEX(Utility_Rates!$C$29:$F$52,HOUR(C5811)+Inputs!$C$69,MATCH(INDEX(Utility_Rates!$K$6:$K$17,MONTH(C5811))&amp;IF(WEEKDAY(C5811,Inputs!$C$76)&lt;=Inputs!$C$74," weekday"," weekend"),Utility_Rates!$C$28:$F$28,Inputs!$C$68)),"")</f>
      </c>
      <c r="H5811" s="34"/>
      <c r="I5811" s="42">
        <f>IF(AND(ISNUMBER(D5811),ISNUMBER(H5811)),D5811*H5811*Inputs!$C$69,"")</f>
      </c>
      <c r="J5811" s="42">
        <f>IF(AND(ISNUMBER(F5811),ISNUMBER(H5811),F5811&gt;=Inputs!$C$68),F5811*H5811*Inputs!$C$69,"")</f>
      </c>
    </row>
    <row r="5812" spans="2:10" ht="15" customHeight="1" x14ac:dyDescent="0.2">
      <c r="B5812" s="39">
        <f t="shared" si="44"/>
      </c>
      <c r="C5812" s="40">
        <f>IF(Inputs!$C$60,Inputs!$C$11+(B5812-Inputs!$C$69)/Inputs!$C$70,"")</f>
      </c>
      <c r="D5812" s="15"/>
      <c r="E5812" s="15"/>
      <c r="F5812" s="11">
        <f t="shared" si="45"/>
      </c>
      <c r="G5812" s="22" cm="1">
        <f t="array" ref="G5812">IF(AND(Inputs!$C$60,Inputs!$C$61),INDEX(Utility_Rates!$C$29:$F$52,HOUR(C5812)+Inputs!$C$69,MATCH(INDEX(Utility_Rates!$K$6:$K$17,MONTH(C5812))&amp;IF(WEEKDAY(C5812,Inputs!$C$76)&lt;=Inputs!$C$74," weekday"," weekend"),Utility_Rates!$C$28:$F$28,Inputs!$C$68)),"")</f>
      </c>
      <c r="H5812" s="34"/>
      <c r="I5812" s="42">
        <f>IF(AND(ISNUMBER(D5812),ISNUMBER(H5812)),D5812*H5812*Inputs!$C$69,"")</f>
      </c>
      <c r="J5812" s="42">
        <f>IF(AND(ISNUMBER(F5812),ISNUMBER(H5812),F5812&gt;=Inputs!$C$68),F5812*H5812*Inputs!$C$69,"")</f>
      </c>
    </row>
    <row r="5813" spans="2:10" ht="15" customHeight="1" x14ac:dyDescent="0.2">
      <c r="B5813" s="39">
        <f t="shared" si="44"/>
      </c>
      <c r="C5813" s="40">
        <f>IF(Inputs!$C$60,Inputs!$C$11+(B5813-Inputs!$C$69)/Inputs!$C$70,"")</f>
      </c>
      <c r="D5813" s="15"/>
      <c r="E5813" s="15"/>
      <c r="F5813" s="11">
        <f t="shared" si="45"/>
      </c>
      <c r="G5813" s="22" cm="1">
        <f t="array" ref="G5813">IF(AND(Inputs!$C$60,Inputs!$C$61),INDEX(Utility_Rates!$C$29:$F$52,HOUR(C5813)+Inputs!$C$69,MATCH(INDEX(Utility_Rates!$K$6:$K$17,MONTH(C5813))&amp;IF(WEEKDAY(C5813,Inputs!$C$76)&lt;=Inputs!$C$74," weekday"," weekend"),Utility_Rates!$C$28:$F$28,Inputs!$C$68)),"")</f>
      </c>
      <c r="H5813" s="34"/>
      <c r="I5813" s="42">
        <f>IF(AND(ISNUMBER(D5813),ISNUMBER(H5813)),D5813*H5813*Inputs!$C$69,"")</f>
      </c>
      <c r="J5813" s="42">
        <f>IF(AND(ISNUMBER(F5813),ISNUMBER(H5813),F5813&gt;=Inputs!$C$68),F5813*H5813*Inputs!$C$69,"")</f>
      </c>
    </row>
    <row r="5814" spans="2:10" ht="15" customHeight="1" x14ac:dyDescent="0.2">
      <c r="B5814" s="39">
        <f t="shared" si="44"/>
      </c>
      <c r="C5814" s="40">
        <f>IF(Inputs!$C$60,Inputs!$C$11+(B5814-Inputs!$C$69)/Inputs!$C$70,"")</f>
      </c>
      <c r="D5814" s="15"/>
      <c r="E5814" s="15"/>
      <c r="F5814" s="11">
        <f t="shared" si="45"/>
      </c>
      <c r="G5814" s="22" cm="1">
        <f t="array" ref="G5814">IF(AND(Inputs!$C$60,Inputs!$C$61),INDEX(Utility_Rates!$C$29:$F$52,HOUR(C5814)+Inputs!$C$69,MATCH(INDEX(Utility_Rates!$K$6:$K$17,MONTH(C5814))&amp;IF(WEEKDAY(C5814,Inputs!$C$76)&lt;=Inputs!$C$74," weekday"," weekend"),Utility_Rates!$C$28:$F$28,Inputs!$C$68)),"")</f>
      </c>
      <c r="H5814" s="34"/>
      <c r="I5814" s="42">
        <f>IF(AND(ISNUMBER(D5814),ISNUMBER(H5814)),D5814*H5814*Inputs!$C$69,"")</f>
      </c>
      <c r="J5814" s="42">
        <f>IF(AND(ISNUMBER(F5814),ISNUMBER(H5814),F5814&gt;=Inputs!$C$68),F5814*H5814*Inputs!$C$69,"")</f>
      </c>
    </row>
    <row r="5815" spans="2:10" ht="15" customHeight="1" x14ac:dyDescent="0.2">
      <c r="B5815" s="39">
        <f t="shared" si="44"/>
      </c>
      <c r="C5815" s="40">
        <f>IF(Inputs!$C$60,Inputs!$C$11+(B5815-Inputs!$C$69)/Inputs!$C$70,"")</f>
      </c>
      <c r="D5815" s="15"/>
      <c r="E5815" s="15"/>
      <c r="F5815" s="11">
        <f t="shared" si="45"/>
      </c>
      <c r="G5815" s="22" cm="1">
        <f t="array" ref="G5815">IF(AND(Inputs!$C$60,Inputs!$C$61),INDEX(Utility_Rates!$C$29:$F$52,HOUR(C5815)+Inputs!$C$69,MATCH(INDEX(Utility_Rates!$K$6:$K$17,MONTH(C5815))&amp;IF(WEEKDAY(C5815,Inputs!$C$76)&lt;=Inputs!$C$74," weekday"," weekend"),Utility_Rates!$C$28:$F$28,Inputs!$C$68)),"")</f>
      </c>
      <c r="H5815" s="34"/>
      <c r="I5815" s="42">
        <f>IF(AND(ISNUMBER(D5815),ISNUMBER(H5815)),D5815*H5815*Inputs!$C$69,"")</f>
      </c>
      <c r="J5815" s="42">
        <f>IF(AND(ISNUMBER(F5815),ISNUMBER(H5815),F5815&gt;=Inputs!$C$68),F5815*H5815*Inputs!$C$69,"")</f>
      </c>
    </row>
    <row r="5816" spans="2:10" ht="15" customHeight="1" x14ac:dyDescent="0.2">
      <c r="B5816" s="39">
        <f t="shared" si="44"/>
      </c>
      <c r="C5816" s="40">
        <f>IF(Inputs!$C$60,Inputs!$C$11+(B5816-Inputs!$C$69)/Inputs!$C$70,"")</f>
      </c>
      <c r="D5816" s="15"/>
      <c r="E5816" s="15"/>
      <c r="F5816" s="11">
        <f t="shared" si="45"/>
      </c>
      <c r="G5816" s="22" cm="1">
        <f t="array" ref="G5816">IF(AND(Inputs!$C$60,Inputs!$C$61),INDEX(Utility_Rates!$C$29:$F$52,HOUR(C5816)+Inputs!$C$69,MATCH(INDEX(Utility_Rates!$K$6:$K$17,MONTH(C5816))&amp;IF(WEEKDAY(C5816,Inputs!$C$76)&lt;=Inputs!$C$74," weekday"," weekend"),Utility_Rates!$C$28:$F$28,Inputs!$C$68)),"")</f>
      </c>
      <c r="H5816" s="34"/>
      <c r="I5816" s="42">
        <f>IF(AND(ISNUMBER(D5816),ISNUMBER(H5816)),D5816*H5816*Inputs!$C$69,"")</f>
      </c>
      <c r="J5816" s="42">
        <f>IF(AND(ISNUMBER(F5816),ISNUMBER(H5816),F5816&gt;=Inputs!$C$68),F5816*H5816*Inputs!$C$69,"")</f>
      </c>
    </row>
    <row r="5817" spans="2:10" ht="15" customHeight="1" x14ac:dyDescent="0.2">
      <c r="B5817" s="39">
        <f t="shared" si="44"/>
      </c>
      <c r="C5817" s="40">
        <f>IF(Inputs!$C$60,Inputs!$C$11+(B5817-Inputs!$C$69)/Inputs!$C$70,"")</f>
      </c>
      <c r="D5817" s="15"/>
      <c r="E5817" s="15"/>
      <c r="F5817" s="11">
        <f t="shared" si="45"/>
      </c>
      <c r="G5817" s="22" cm="1">
        <f t="array" ref="G5817">IF(AND(Inputs!$C$60,Inputs!$C$61),INDEX(Utility_Rates!$C$29:$F$52,HOUR(C5817)+Inputs!$C$69,MATCH(INDEX(Utility_Rates!$K$6:$K$17,MONTH(C5817))&amp;IF(WEEKDAY(C5817,Inputs!$C$76)&lt;=Inputs!$C$74," weekday"," weekend"),Utility_Rates!$C$28:$F$28,Inputs!$C$68)),"")</f>
      </c>
      <c r="H5817" s="34"/>
      <c r="I5817" s="42">
        <f>IF(AND(ISNUMBER(D5817),ISNUMBER(H5817)),D5817*H5817*Inputs!$C$69,"")</f>
      </c>
      <c r="J5817" s="42">
        <f>IF(AND(ISNUMBER(F5817),ISNUMBER(H5817),F5817&gt;=Inputs!$C$68),F5817*H5817*Inputs!$C$69,"")</f>
      </c>
    </row>
    <row r="5818" spans="2:10" ht="15" customHeight="1" x14ac:dyDescent="0.2">
      <c r="B5818" s="39">
        <f t="shared" si="44"/>
      </c>
      <c r="C5818" s="40">
        <f>IF(Inputs!$C$60,Inputs!$C$11+(B5818-Inputs!$C$69)/Inputs!$C$70,"")</f>
      </c>
      <c r="D5818" s="15"/>
      <c r="E5818" s="15"/>
      <c r="F5818" s="11">
        <f t="shared" si="45"/>
      </c>
      <c r="G5818" s="22" cm="1">
        <f t="array" ref="G5818">IF(AND(Inputs!$C$60,Inputs!$C$61),INDEX(Utility_Rates!$C$29:$F$52,HOUR(C5818)+Inputs!$C$69,MATCH(INDEX(Utility_Rates!$K$6:$K$17,MONTH(C5818))&amp;IF(WEEKDAY(C5818,Inputs!$C$76)&lt;=Inputs!$C$74," weekday"," weekend"),Utility_Rates!$C$28:$F$28,Inputs!$C$68)),"")</f>
      </c>
      <c r="H5818" s="34"/>
      <c r="I5818" s="42">
        <f>IF(AND(ISNUMBER(D5818),ISNUMBER(H5818)),D5818*H5818*Inputs!$C$69,"")</f>
      </c>
      <c r="J5818" s="42">
        <f>IF(AND(ISNUMBER(F5818),ISNUMBER(H5818),F5818&gt;=Inputs!$C$68),F5818*H5818*Inputs!$C$69,"")</f>
      </c>
    </row>
    <row r="5819" spans="2:10" ht="15" customHeight="1" x14ac:dyDescent="0.2">
      <c r="B5819" s="39">
        <f t="shared" si="44"/>
      </c>
      <c r="C5819" s="40">
        <f>IF(Inputs!$C$60,Inputs!$C$11+(B5819-Inputs!$C$69)/Inputs!$C$70,"")</f>
      </c>
      <c r="D5819" s="15"/>
      <c r="E5819" s="15"/>
      <c r="F5819" s="11">
        <f t="shared" si="45"/>
      </c>
      <c r="G5819" s="22" cm="1">
        <f t="array" ref="G5819">IF(AND(Inputs!$C$60,Inputs!$C$61),INDEX(Utility_Rates!$C$29:$F$52,HOUR(C5819)+Inputs!$C$69,MATCH(INDEX(Utility_Rates!$K$6:$K$17,MONTH(C5819))&amp;IF(WEEKDAY(C5819,Inputs!$C$76)&lt;=Inputs!$C$74," weekday"," weekend"),Utility_Rates!$C$28:$F$28,Inputs!$C$68)),"")</f>
      </c>
      <c r="H5819" s="34"/>
      <c r="I5819" s="42">
        <f>IF(AND(ISNUMBER(D5819),ISNUMBER(H5819)),D5819*H5819*Inputs!$C$69,"")</f>
      </c>
      <c r="J5819" s="42">
        <f>IF(AND(ISNUMBER(F5819),ISNUMBER(H5819),F5819&gt;=Inputs!$C$68),F5819*H5819*Inputs!$C$69,"")</f>
      </c>
    </row>
    <row r="5820" spans="2:10" ht="15" customHeight="1" x14ac:dyDescent="0.2">
      <c r="B5820" s="39">
        <f t="shared" si="44"/>
      </c>
      <c r="C5820" s="40">
        <f>IF(Inputs!$C$60,Inputs!$C$11+(B5820-Inputs!$C$69)/Inputs!$C$70,"")</f>
      </c>
      <c r="D5820" s="15"/>
      <c r="E5820" s="15"/>
      <c r="F5820" s="11">
        <f t="shared" si="45"/>
      </c>
      <c r="G5820" s="22" cm="1">
        <f t="array" ref="G5820">IF(AND(Inputs!$C$60,Inputs!$C$61),INDEX(Utility_Rates!$C$29:$F$52,HOUR(C5820)+Inputs!$C$69,MATCH(INDEX(Utility_Rates!$K$6:$K$17,MONTH(C5820))&amp;IF(WEEKDAY(C5820,Inputs!$C$76)&lt;=Inputs!$C$74," weekday"," weekend"),Utility_Rates!$C$28:$F$28,Inputs!$C$68)),"")</f>
      </c>
      <c r="H5820" s="34"/>
      <c r="I5820" s="42">
        <f>IF(AND(ISNUMBER(D5820),ISNUMBER(H5820)),D5820*H5820*Inputs!$C$69,"")</f>
      </c>
      <c r="J5820" s="42">
        <f>IF(AND(ISNUMBER(F5820),ISNUMBER(H5820),F5820&gt;=Inputs!$C$68),F5820*H5820*Inputs!$C$69,"")</f>
      </c>
    </row>
    <row r="5821" spans="2:10" ht="15" customHeight="1" x14ac:dyDescent="0.2">
      <c r="B5821" s="39">
        <f t="shared" si="44"/>
      </c>
      <c r="C5821" s="40">
        <f>IF(Inputs!$C$60,Inputs!$C$11+(B5821-Inputs!$C$69)/Inputs!$C$70,"")</f>
      </c>
      <c r="D5821" s="15"/>
      <c r="E5821" s="15"/>
      <c r="F5821" s="11">
        <f t="shared" si="45"/>
      </c>
      <c r="G5821" s="22" cm="1">
        <f t="array" ref="G5821">IF(AND(Inputs!$C$60,Inputs!$C$61),INDEX(Utility_Rates!$C$29:$F$52,HOUR(C5821)+Inputs!$C$69,MATCH(INDEX(Utility_Rates!$K$6:$K$17,MONTH(C5821))&amp;IF(WEEKDAY(C5821,Inputs!$C$76)&lt;=Inputs!$C$74," weekday"," weekend"),Utility_Rates!$C$28:$F$28,Inputs!$C$68)),"")</f>
      </c>
      <c r="H5821" s="34"/>
      <c r="I5821" s="42">
        <f>IF(AND(ISNUMBER(D5821),ISNUMBER(H5821)),D5821*H5821*Inputs!$C$69,"")</f>
      </c>
      <c r="J5821" s="42">
        <f>IF(AND(ISNUMBER(F5821),ISNUMBER(H5821),F5821&gt;=Inputs!$C$68),F5821*H5821*Inputs!$C$69,"")</f>
      </c>
    </row>
    <row r="5822" spans="2:10" ht="15" customHeight="1" x14ac:dyDescent="0.2">
      <c r="B5822" s="39">
        <f t="shared" si="44"/>
      </c>
      <c r="C5822" s="40">
        <f>IF(Inputs!$C$60,Inputs!$C$11+(B5822-Inputs!$C$69)/Inputs!$C$70,"")</f>
      </c>
      <c r="D5822" s="15"/>
      <c r="E5822" s="15"/>
      <c r="F5822" s="11">
        <f t="shared" si="45"/>
      </c>
      <c r="G5822" s="22" cm="1">
        <f t="array" ref="G5822">IF(AND(Inputs!$C$60,Inputs!$C$61),INDEX(Utility_Rates!$C$29:$F$52,HOUR(C5822)+Inputs!$C$69,MATCH(INDEX(Utility_Rates!$K$6:$K$17,MONTH(C5822))&amp;IF(WEEKDAY(C5822,Inputs!$C$76)&lt;=Inputs!$C$74," weekday"," weekend"),Utility_Rates!$C$28:$F$28,Inputs!$C$68)),"")</f>
      </c>
      <c r="H5822" s="34"/>
      <c r="I5822" s="42">
        <f>IF(AND(ISNUMBER(D5822),ISNUMBER(H5822)),D5822*H5822*Inputs!$C$69,"")</f>
      </c>
      <c r="J5822" s="42">
        <f>IF(AND(ISNUMBER(F5822),ISNUMBER(H5822),F5822&gt;=Inputs!$C$68),F5822*H5822*Inputs!$C$69,"")</f>
      </c>
    </row>
    <row r="5823" spans="2:10" ht="15" customHeight="1" x14ac:dyDescent="0.2">
      <c r="B5823" s="39">
        <f t="shared" si="44"/>
      </c>
      <c r="C5823" s="40">
        <f>IF(Inputs!$C$60,Inputs!$C$11+(B5823-Inputs!$C$69)/Inputs!$C$70,"")</f>
      </c>
      <c r="D5823" s="15"/>
      <c r="E5823" s="15"/>
      <c r="F5823" s="11">
        <f t="shared" si="45"/>
      </c>
      <c r="G5823" s="22" cm="1">
        <f t="array" ref="G5823">IF(AND(Inputs!$C$60,Inputs!$C$61),INDEX(Utility_Rates!$C$29:$F$52,HOUR(C5823)+Inputs!$C$69,MATCH(INDEX(Utility_Rates!$K$6:$K$17,MONTH(C5823))&amp;IF(WEEKDAY(C5823,Inputs!$C$76)&lt;=Inputs!$C$74," weekday"," weekend"),Utility_Rates!$C$28:$F$28,Inputs!$C$68)),"")</f>
      </c>
      <c r="H5823" s="34"/>
      <c r="I5823" s="42">
        <f>IF(AND(ISNUMBER(D5823),ISNUMBER(H5823)),D5823*H5823*Inputs!$C$69,"")</f>
      </c>
      <c r="J5823" s="42">
        <f>IF(AND(ISNUMBER(F5823),ISNUMBER(H5823),F5823&gt;=Inputs!$C$68),F5823*H5823*Inputs!$C$69,"")</f>
      </c>
    </row>
    <row r="5824" spans="2:10" ht="15" customHeight="1" x14ac:dyDescent="0.2">
      <c r="B5824" s="39">
        <f t="shared" si="44"/>
      </c>
      <c r="C5824" s="40">
        <f>IF(Inputs!$C$60,Inputs!$C$11+(B5824-Inputs!$C$69)/Inputs!$C$70,"")</f>
      </c>
      <c r="D5824" s="15"/>
      <c r="E5824" s="15"/>
      <c r="F5824" s="11">
        <f t="shared" si="45"/>
      </c>
      <c r="G5824" s="22" cm="1">
        <f t="array" ref="G5824">IF(AND(Inputs!$C$60,Inputs!$C$61),INDEX(Utility_Rates!$C$29:$F$52,HOUR(C5824)+Inputs!$C$69,MATCH(INDEX(Utility_Rates!$K$6:$K$17,MONTH(C5824))&amp;IF(WEEKDAY(C5824,Inputs!$C$76)&lt;=Inputs!$C$74," weekday"," weekend"),Utility_Rates!$C$28:$F$28,Inputs!$C$68)),"")</f>
      </c>
      <c r="H5824" s="34"/>
      <c r="I5824" s="42">
        <f>IF(AND(ISNUMBER(D5824),ISNUMBER(H5824)),D5824*H5824*Inputs!$C$69,"")</f>
      </c>
      <c r="J5824" s="42">
        <f>IF(AND(ISNUMBER(F5824),ISNUMBER(H5824),F5824&gt;=Inputs!$C$68),F5824*H5824*Inputs!$C$69,"")</f>
      </c>
    </row>
    <row r="5825" spans="2:10" ht="15" customHeight="1" x14ac:dyDescent="0.2">
      <c r="B5825" s="39">
        <f t="shared" si="44"/>
      </c>
      <c r="C5825" s="40">
        <f>IF(Inputs!$C$60,Inputs!$C$11+(B5825-Inputs!$C$69)/Inputs!$C$70,"")</f>
      </c>
      <c r="D5825" s="15"/>
      <c r="E5825" s="15"/>
      <c r="F5825" s="11">
        <f t="shared" si="45"/>
      </c>
      <c r="G5825" s="22" cm="1">
        <f t="array" ref="G5825">IF(AND(Inputs!$C$60,Inputs!$C$61),INDEX(Utility_Rates!$C$29:$F$52,HOUR(C5825)+Inputs!$C$69,MATCH(INDEX(Utility_Rates!$K$6:$K$17,MONTH(C5825))&amp;IF(WEEKDAY(C5825,Inputs!$C$76)&lt;=Inputs!$C$74," weekday"," weekend"),Utility_Rates!$C$28:$F$28,Inputs!$C$68)),"")</f>
      </c>
      <c r="H5825" s="34"/>
      <c r="I5825" s="42">
        <f>IF(AND(ISNUMBER(D5825),ISNUMBER(H5825)),D5825*H5825*Inputs!$C$69,"")</f>
      </c>
      <c r="J5825" s="42">
        <f>IF(AND(ISNUMBER(F5825),ISNUMBER(H5825),F5825&gt;=Inputs!$C$68),F5825*H5825*Inputs!$C$69,"")</f>
      </c>
    </row>
    <row r="5826" spans="2:10" ht="15" customHeight="1" x14ac:dyDescent="0.2">
      <c r="B5826" s="39">
        <f t="shared" si="44"/>
      </c>
      <c r="C5826" s="40">
        <f>IF(Inputs!$C$60,Inputs!$C$11+(B5826-Inputs!$C$69)/Inputs!$C$70,"")</f>
      </c>
      <c r="D5826" s="15"/>
      <c r="E5826" s="15"/>
      <c r="F5826" s="11">
        <f t="shared" si="45"/>
      </c>
      <c r="G5826" s="22" cm="1">
        <f t="array" ref="G5826">IF(AND(Inputs!$C$60,Inputs!$C$61),INDEX(Utility_Rates!$C$29:$F$52,HOUR(C5826)+Inputs!$C$69,MATCH(INDEX(Utility_Rates!$K$6:$K$17,MONTH(C5826))&amp;IF(WEEKDAY(C5826,Inputs!$C$76)&lt;=Inputs!$C$74," weekday"," weekend"),Utility_Rates!$C$28:$F$28,Inputs!$C$68)),"")</f>
      </c>
      <c r="H5826" s="34"/>
      <c r="I5826" s="42">
        <f>IF(AND(ISNUMBER(D5826),ISNUMBER(H5826)),D5826*H5826*Inputs!$C$69,"")</f>
      </c>
      <c r="J5826" s="42">
        <f>IF(AND(ISNUMBER(F5826),ISNUMBER(H5826),F5826&gt;=Inputs!$C$68),F5826*H5826*Inputs!$C$69,"")</f>
      </c>
    </row>
    <row r="5827" spans="2:10" ht="15" customHeight="1" x14ac:dyDescent="0.2">
      <c r="B5827" s="39">
        <f t="shared" si="44"/>
      </c>
      <c r="C5827" s="40">
        <f>IF(Inputs!$C$60,Inputs!$C$11+(B5827-Inputs!$C$69)/Inputs!$C$70,"")</f>
      </c>
      <c r="D5827" s="15"/>
      <c r="E5827" s="15"/>
      <c r="F5827" s="11">
        <f t="shared" si="45"/>
      </c>
      <c r="G5827" s="22" cm="1">
        <f t="array" ref="G5827">IF(AND(Inputs!$C$60,Inputs!$C$61),INDEX(Utility_Rates!$C$29:$F$52,HOUR(C5827)+Inputs!$C$69,MATCH(INDEX(Utility_Rates!$K$6:$K$17,MONTH(C5827))&amp;IF(WEEKDAY(C5827,Inputs!$C$76)&lt;=Inputs!$C$74," weekday"," weekend"),Utility_Rates!$C$28:$F$28,Inputs!$C$68)),"")</f>
      </c>
      <c r="H5827" s="34"/>
      <c r="I5827" s="42">
        <f>IF(AND(ISNUMBER(D5827),ISNUMBER(H5827)),D5827*H5827*Inputs!$C$69,"")</f>
      </c>
      <c r="J5827" s="42">
        <f>IF(AND(ISNUMBER(F5827),ISNUMBER(H5827),F5827&gt;=Inputs!$C$68),F5827*H5827*Inputs!$C$69,"")</f>
      </c>
    </row>
    <row r="5828" spans="2:10" ht="15" customHeight="1" x14ac:dyDescent="0.2">
      <c r="B5828" s="39">
        <f t="shared" si="44"/>
      </c>
      <c r="C5828" s="40">
        <f>IF(Inputs!$C$60,Inputs!$C$11+(B5828-Inputs!$C$69)/Inputs!$C$70,"")</f>
      </c>
      <c r="D5828" s="15"/>
      <c r="E5828" s="15"/>
      <c r="F5828" s="11">
        <f t="shared" si="45"/>
      </c>
      <c r="G5828" s="22" cm="1">
        <f t="array" ref="G5828">IF(AND(Inputs!$C$60,Inputs!$C$61),INDEX(Utility_Rates!$C$29:$F$52,HOUR(C5828)+Inputs!$C$69,MATCH(INDEX(Utility_Rates!$K$6:$K$17,MONTH(C5828))&amp;IF(WEEKDAY(C5828,Inputs!$C$76)&lt;=Inputs!$C$74," weekday"," weekend"),Utility_Rates!$C$28:$F$28,Inputs!$C$68)),"")</f>
      </c>
      <c r="H5828" s="34"/>
      <c r="I5828" s="42">
        <f>IF(AND(ISNUMBER(D5828),ISNUMBER(H5828)),D5828*H5828*Inputs!$C$69,"")</f>
      </c>
      <c r="J5828" s="42">
        <f>IF(AND(ISNUMBER(F5828),ISNUMBER(H5828),F5828&gt;=Inputs!$C$68),F5828*H5828*Inputs!$C$69,"")</f>
      </c>
    </row>
    <row r="5829" spans="2:10" ht="15" customHeight="1" x14ac:dyDescent="0.2">
      <c r="B5829" s="39">
        <f t="shared" si="44"/>
      </c>
      <c r="C5829" s="40">
        <f>IF(Inputs!$C$60,Inputs!$C$11+(B5829-Inputs!$C$69)/Inputs!$C$70,"")</f>
      </c>
      <c r="D5829" s="15"/>
      <c r="E5829" s="15"/>
      <c r="F5829" s="11">
        <f t="shared" si="45"/>
      </c>
      <c r="G5829" s="22" cm="1">
        <f t="array" ref="G5829">IF(AND(Inputs!$C$60,Inputs!$C$61),INDEX(Utility_Rates!$C$29:$F$52,HOUR(C5829)+Inputs!$C$69,MATCH(INDEX(Utility_Rates!$K$6:$K$17,MONTH(C5829))&amp;IF(WEEKDAY(C5829,Inputs!$C$76)&lt;=Inputs!$C$74," weekday"," weekend"),Utility_Rates!$C$28:$F$28,Inputs!$C$68)),"")</f>
      </c>
      <c r="H5829" s="34"/>
      <c r="I5829" s="42">
        <f>IF(AND(ISNUMBER(D5829),ISNUMBER(H5829)),D5829*H5829*Inputs!$C$69,"")</f>
      </c>
      <c r="J5829" s="42">
        <f>IF(AND(ISNUMBER(F5829),ISNUMBER(H5829),F5829&gt;=Inputs!$C$68),F5829*H5829*Inputs!$C$69,"")</f>
      </c>
    </row>
    <row r="5830" spans="2:10" ht="15" customHeight="1" x14ac:dyDescent="0.2">
      <c r="B5830" s="39">
        <f t="shared" si="44"/>
      </c>
      <c r="C5830" s="40">
        <f>IF(Inputs!$C$60,Inputs!$C$11+(B5830-Inputs!$C$69)/Inputs!$C$70,"")</f>
      </c>
      <c r="D5830" s="15"/>
      <c r="E5830" s="15"/>
      <c r="F5830" s="11">
        <f t="shared" si="45"/>
      </c>
      <c r="G5830" s="22" cm="1">
        <f t="array" ref="G5830">IF(AND(Inputs!$C$60,Inputs!$C$61),INDEX(Utility_Rates!$C$29:$F$52,HOUR(C5830)+Inputs!$C$69,MATCH(INDEX(Utility_Rates!$K$6:$K$17,MONTH(C5830))&amp;IF(WEEKDAY(C5830,Inputs!$C$76)&lt;=Inputs!$C$74," weekday"," weekend"),Utility_Rates!$C$28:$F$28,Inputs!$C$68)),"")</f>
      </c>
      <c r="H5830" s="34"/>
      <c r="I5830" s="42">
        <f>IF(AND(ISNUMBER(D5830),ISNUMBER(H5830)),D5830*H5830*Inputs!$C$69,"")</f>
      </c>
      <c r="J5830" s="42">
        <f>IF(AND(ISNUMBER(F5830),ISNUMBER(H5830),F5830&gt;=Inputs!$C$68),F5830*H5830*Inputs!$C$69,"")</f>
      </c>
    </row>
    <row r="5831" spans="2:10" ht="15" customHeight="1" x14ac:dyDescent="0.2">
      <c r="B5831" s="39">
        <f t="shared" si="44"/>
      </c>
      <c r="C5831" s="40">
        <f>IF(Inputs!$C$60,Inputs!$C$11+(B5831-Inputs!$C$69)/Inputs!$C$70,"")</f>
      </c>
      <c r="D5831" s="15"/>
      <c r="E5831" s="15"/>
      <c r="F5831" s="11">
        <f t="shared" si="45"/>
      </c>
      <c r="G5831" s="22" cm="1">
        <f t="array" ref="G5831">IF(AND(Inputs!$C$60,Inputs!$C$61),INDEX(Utility_Rates!$C$29:$F$52,HOUR(C5831)+Inputs!$C$69,MATCH(INDEX(Utility_Rates!$K$6:$K$17,MONTH(C5831))&amp;IF(WEEKDAY(C5831,Inputs!$C$76)&lt;=Inputs!$C$74," weekday"," weekend"),Utility_Rates!$C$28:$F$28,Inputs!$C$68)),"")</f>
      </c>
      <c r="H5831" s="34"/>
      <c r="I5831" s="42">
        <f>IF(AND(ISNUMBER(D5831),ISNUMBER(H5831)),D5831*H5831*Inputs!$C$69,"")</f>
      </c>
      <c r="J5831" s="42">
        <f>IF(AND(ISNUMBER(F5831),ISNUMBER(H5831),F5831&gt;=Inputs!$C$68),F5831*H5831*Inputs!$C$69,"")</f>
      </c>
    </row>
    <row r="5832" spans="2:10" ht="15" customHeight="1" x14ac:dyDescent="0.2">
      <c r="B5832" s="39">
        <f t="shared" si="44"/>
      </c>
      <c r="C5832" s="40">
        <f>IF(Inputs!$C$60,Inputs!$C$11+(B5832-Inputs!$C$69)/Inputs!$C$70,"")</f>
      </c>
      <c r="D5832" s="15"/>
      <c r="E5832" s="15"/>
      <c r="F5832" s="11">
        <f t="shared" si="45"/>
      </c>
      <c r="G5832" s="22" cm="1">
        <f t="array" ref="G5832">IF(AND(Inputs!$C$60,Inputs!$C$61),INDEX(Utility_Rates!$C$29:$F$52,HOUR(C5832)+Inputs!$C$69,MATCH(INDEX(Utility_Rates!$K$6:$K$17,MONTH(C5832))&amp;IF(WEEKDAY(C5832,Inputs!$C$76)&lt;=Inputs!$C$74," weekday"," weekend"),Utility_Rates!$C$28:$F$28,Inputs!$C$68)),"")</f>
      </c>
      <c r="H5832" s="34"/>
      <c r="I5832" s="42">
        <f>IF(AND(ISNUMBER(D5832),ISNUMBER(H5832)),D5832*H5832*Inputs!$C$69,"")</f>
      </c>
      <c r="J5832" s="42">
        <f>IF(AND(ISNUMBER(F5832),ISNUMBER(H5832),F5832&gt;=Inputs!$C$68),F5832*H5832*Inputs!$C$69,"")</f>
      </c>
    </row>
    <row r="5833" spans="2:10" ht="15" customHeight="1" x14ac:dyDescent="0.2">
      <c r="B5833" s="39">
        <f t="shared" si="44"/>
      </c>
      <c r="C5833" s="40">
        <f>IF(Inputs!$C$60,Inputs!$C$11+(B5833-Inputs!$C$69)/Inputs!$C$70,"")</f>
      </c>
      <c r="D5833" s="15"/>
      <c r="E5833" s="15"/>
      <c r="F5833" s="11">
        <f t="shared" si="45"/>
      </c>
      <c r="G5833" s="22" cm="1">
        <f t="array" ref="G5833">IF(AND(Inputs!$C$60,Inputs!$C$61),INDEX(Utility_Rates!$C$29:$F$52,HOUR(C5833)+Inputs!$C$69,MATCH(INDEX(Utility_Rates!$K$6:$K$17,MONTH(C5833))&amp;IF(WEEKDAY(C5833,Inputs!$C$76)&lt;=Inputs!$C$74," weekday"," weekend"),Utility_Rates!$C$28:$F$28,Inputs!$C$68)),"")</f>
      </c>
      <c r="H5833" s="34"/>
      <c r="I5833" s="42">
        <f>IF(AND(ISNUMBER(D5833),ISNUMBER(H5833)),D5833*H5833*Inputs!$C$69,"")</f>
      </c>
      <c r="J5833" s="42">
        <f>IF(AND(ISNUMBER(F5833),ISNUMBER(H5833),F5833&gt;=Inputs!$C$68),F5833*H5833*Inputs!$C$69,"")</f>
      </c>
    </row>
    <row r="5834" spans="2:10" ht="15" customHeight="1" x14ac:dyDescent="0.2">
      <c r="B5834" s="39">
        <f t="shared" si="44"/>
      </c>
      <c r="C5834" s="40">
        <f>IF(Inputs!$C$60,Inputs!$C$11+(B5834-Inputs!$C$69)/Inputs!$C$70,"")</f>
      </c>
      <c r="D5834" s="15"/>
      <c r="E5834" s="15"/>
      <c r="F5834" s="11">
        <f t="shared" si="45"/>
      </c>
      <c r="G5834" s="22" cm="1">
        <f t="array" ref="G5834">IF(AND(Inputs!$C$60,Inputs!$C$61),INDEX(Utility_Rates!$C$29:$F$52,HOUR(C5834)+Inputs!$C$69,MATCH(INDEX(Utility_Rates!$K$6:$K$17,MONTH(C5834))&amp;IF(WEEKDAY(C5834,Inputs!$C$76)&lt;=Inputs!$C$74," weekday"," weekend"),Utility_Rates!$C$28:$F$28,Inputs!$C$68)),"")</f>
      </c>
      <c r="H5834" s="34"/>
      <c r="I5834" s="42">
        <f>IF(AND(ISNUMBER(D5834),ISNUMBER(H5834)),D5834*H5834*Inputs!$C$69,"")</f>
      </c>
      <c r="J5834" s="42">
        <f>IF(AND(ISNUMBER(F5834),ISNUMBER(H5834),F5834&gt;=Inputs!$C$68),F5834*H5834*Inputs!$C$69,"")</f>
      </c>
    </row>
    <row r="5835" spans="2:10" ht="15" customHeight="1" x14ac:dyDescent="0.2">
      <c r="B5835" s="39">
        <f t="shared" si="44"/>
      </c>
      <c r="C5835" s="40">
        <f>IF(Inputs!$C$60,Inputs!$C$11+(B5835-Inputs!$C$69)/Inputs!$C$70,"")</f>
      </c>
      <c r="D5835" s="15"/>
      <c r="E5835" s="15"/>
      <c r="F5835" s="11">
        <f t="shared" si="45"/>
      </c>
      <c r="G5835" s="22" cm="1">
        <f t="array" ref="G5835">IF(AND(Inputs!$C$60,Inputs!$C$61),INDEX(Utility_Rates!$C$29:$F$52,HOUR(C5835)+Inputs!$C$69,MATCH(INDEX(Utility_Rates!$K$6:$K$17,MONTH(C5835))&amp;IF(WEEKDAY(C5835,Inputs!$C$76)&lt;=Inputs!$C$74," weekday"," weekend"),Utility_Rates!$C$28:$F$28,Inputs!$C$68)),"")</f>
      </c>
      <c r="H5835" s="34"/>
      <c r="I5835" s="42">
        <f>IF(AND(ISNUMBER(D5835),ISNUMBER(H5835)),D5835*H5835*Inputs!$C$69,"")</f>
      </c>
      <c r="J5835" s="42">
        <f>IF(AND(ISNUMBER(F5835),ISNUMBER(H5835),F5835&gt;=Inputs!$C$68),F5835*H5835*Inputs!$C$69,"")</f>
      </c>
    </row>
    <row r="5836" spans="2:10" ht="15" customHeight="1" x14ac:dyDescent="0.2">
      <c r="B5836" s="39">
        <f t="shared" si="44"/>
      </c>
      <c r="C5836" s="40">
        <f>IF(Inputs!$C$60,Inputs!$C$11+(B5836-Inputs!$C$69)/Inputs!$C$70,"")</f>
      </c>
      <c r="D5836" s="15"/>
      <c r="E5836" s="15"/>
      <c r="F5836" s="11">
        <f t="shared" si="45"/>
      </c>
      <c r="G5836" s="22" cm="1">
        <f t="array" ref="G5836">IF(AND(Inputs!$C$60,Inputs!$C$61),INDEX(Utility_Rates!$C$29:$F$52,HOUR(C5836)+Inputs!$C$69,MATCH(INDEX(Utility_Rates!$K$6:$K$17,MONTH(C5836))&amp;IF(WEEKDAY(C5836,Inputs!$C$76)&lt;=Inputs!$C$74," weekday"," weekend"),Utility_Rates!$C$28:$F$28,Inputs!$C$68)),"")</f>
      </c>
      <c r="H5836" s="34"/>
      <c r="I5836" s="42">
        <f>IF(AND(ISNUMBER(D5836),ISNUMBER(H5836)),D5836*H5836*Inputs!$C$69,"")</f>
      </c>
      <c r="J5836" s="42">
        <f>IF(AND(ISNUMBER(F5836),ISNUMBER(H5836),F5836&gt;=Inputs!$C$68),F5836*H5836*Inputs!$C$69,"")</f>
      </c>
    </row>
    <row r="5837" spans="2:10" ht="15" customHeight="1" x14ac:dyDescent="0.2">
      <c r="B5837" s="39">
        <f t="shared" si="44"/>
      </c>
      <c r="C5837" s="40">
        <f>IF(Inputs!$C$60,Inputs!$C$11+(B5837-Inputs!$C$69)/Inputs!$C$70,"")</f>
      </c>
      <c r="D5837" s="15"/>
      <c r="E5837" s="15"/>
      <c r="F5837" s="11">
        <f t="shared" si="45"/>
      </c>
      <c r="G5837" s="22" cm="1">
        <f t="array" ref="G5837">IF(AND(Inputs!$C$60,Inputs!$C$61),INDEX(Utility_Rates!$C$29:$F$52,HOUR(C5837)+Inputs!$C$69,MATCH(INDEX(Utility_Rates!$K$6:$K$17,MONTH(C5837))&amp;IF(WEEKDAY(C5837,Inputs!$C$76)&lt;=Inputs!$C$74," weekday"," weekend"),Utility_Rates!$C$28:$F$28,Inputs!$C$68)),"")</f>
      </c>
      <c r="H5837" s="34"/>
      <c r="I5837" s="42">
        <f>IF(AND(ISNUMBER(D5837),ISNUMBER(H5837)),D5837*H5837*Inputs!$C$69,"")</f>
      </c>
      <c r="J5837" s="42">
        <f>IF(AND(ISNUMBER(F5837),ISNUMBER(H5837),F5837&gt;=Inputs!$C$68),F5837*H5837*Inputs!$C$69,"")</f>
      </c>
    </row>
    <row r="5838" spans="2:10" ht="15" customHeight="1" x14ac:dyDescent="0.2">
      <c r="B5838" s="39">
        <f t="shared" si="44"/>
      </c>
      <c r="C5838" s="40">
        <f>IF(Inputs!$C$60,Inputs!$C$11+(B5838-Inputs!$C$69)/Inputs!$C$70,"")</f>
      </c>
      <c r="D5838" s="15"/>
      <c r="E5838" s="15"/>
      <c r="F5838" s="11">
        <f t="shared" si="45"/>
      </c>
      <c r="G5838" s="22" cm="1">
        <f t="array" ref="G5838">IF(AND(Inputs!$C$60,Inputs!$C$61),INDEX(Utility_Rates!$C$29:$F$52,HOUR(C5838)+Inputs!$C$69,MATCH(INDEX(Utility_Rates!$K$6:$K$17,MONTH(C5838))&amp;IF(WEEKDAY(C5838,Inputs!$C$76)&lt;=Inputs!$C$74," weekday"," weekend"),Utility_Rates!$C$28:$F$28,Inputs!$C$68)),"")</f>
      </c>
      <c r="H5838" s="34"/>
      <c r="I5838" s="42">
        <f>IF(AND(ISNUMBER(D5838),ISNUMBER(H5838)),D5838*H5838*Inputs!$C$69,"")</f>
      </c>
      <c r="J5838" s="42">
        <f>IF(AND(ISNUMBER(F5838),ISNUMBER(H5838),F5838&gt;=Inputs!$C$68),F5838*H5838*Inputs!$C$69,"")</f>
      </c>
    </row>
    <row r="5839" spans="2:10" ht="15" customHeight="1" x14ac:dyDescent="0.2">
      <c r="B5839" s="39">
        <f t="shared" si="44"/>
      </c>
      <c r="C5839" s="40">
        <f>IF(Inputs!$C$60,Inputs!$C$11+(B5839-Inputs!$C$69)/Inputs!$C$70,"")</f>
      </c>
      <c r="D5839" s="15"/>
      <c r="E5839" s="15"/>
      <c r="F5839" s="11">
        <f t="shared" si="45"/>
      </c>
      <c r="G5839" s="22" cm="1">
        <f t="array" ref="G5839">IF(AND(Inputs!$C$60,Inputs!$C$61),INDEX(Utility_Rates!$C$29:$F$52,HOUR(C5839)+Inputs!$C$69,MATCH(INDEX(Utility_Rates!$K$6:$K$17,MONTH(C5839))&amp;IF(WEEKDAY(C5839,Inputs!$C$76)&lt;=Inputs!$C$74," weekday"," weekend"),Utility_Rates!$C$28:$F$28,Inputs!$C$68)),"")</f>
      </c>
      <c r="H5839" s="34"/>
      <c r="I5839" s="42">
        <f>IF(AND(ISNUMBER(D5839),ISNUMBER(H5839)),D5839*H5839*Inputs!$C$69,"")</f>
      </c>
      <c r="J5839" s="42">
        <f>IF(AND(ISNUMBER(F5839),ISNUMBER(H5839),F5839&gt;=Inputs!$C$68),F5839*H5839*Inputs!$C$69,"")</f>
      </c>
    </row>
    <row r="5840" spans="2:10" ht="15" customHeight="1" x14ac:dyDescent="0.2">
      <c r="B5840" s="39">
        <f t="shared" si="44"/>
      </c>
      <c r="C5840" s="40">
        <f>IF(Inputs!$C$60,Inputs!$C$11+(B5840-Inputs!$C$69)/Inputs!$C$70,"")</f>
      </c>
      <c r="D5840" s="15"/>
      <c r="E5840" s="15"/>
      <c r="F5840" s="11">
        <f t="shared" si="45"/>
      </c>
      <c r="G5840" s="22" cm="1">
        <f t="array" ref="G5840">IF(AND(Inputs!$C$60,Inputs!$C$61),INDEX(Utility_Rates!$C$29:$F$52,HOUR(C5840)+Inputs!$C$69,MATCH(INDEX(Utility_Rates!$K$6:$K$17,MONTH(C5840))&amp;IF(WEEKDAY(C5840,Inputs!$C$76)&lt;=Inputs!$C$74," weekday"," weekend"),Utility_Rates!$C$28:$F$28,Inputs!$C$68)),"")</f>
      </c>
      <c r="H5840" s="34"/>
      <c r="I5840" s="42">
        <f>IF(AND(ISNUMBER(D5840),ISNUMBER(H5840)),D5840*H5840*Inputs!$C$69,"")</f>
      </c>
      <c r="J5840" s="42">
        <f>IF(AND(ISNUMBER(F5840),ISNUMBER(H5840),F5840&gt;=Inputs!$C$68),F5840*H5840*Inputs!$C$69,"")</f>
      </c>
    </row>
    <row r="5841" spans="2:10" ht="15" customHeight="1" x14ac:dyDescent="0.2">
      <c r="B5841" s="39">
        <f t="shared" si="44"/>
      </c>
      <c r="C5841" s="40">
        <f>IF(Inputs!$C$60,Inputs!$C$11+(B5841-Inputs!$C$69)/Inputs!$C$70,"")</f>
      </c>
      <c r="D5841" s="15"/>
      <c r="E5841" s="15"/>
      <c r="F5841" s="11">
        <f t="shared" si="45"/>
      </c>
      <c r="G5841" s="22" cm="1">
        <f t="array" ref="G5841">IF(AND(Inputs!$C$60,Inputs!$C$61),INDEX(Utility_Rates!$C$29:$F$52,HOUR(C5841)+Inputs!$C$69,MATCH(INDEX(Utility_Rates!$K$6:$K$17,MONTH(C5841))&amp;IF(WEEKDAY(C5841,Inputs!$C$76)&lt;=Inputs!$C$74," weekday"," weekend"),Utility_Rates!$C$28:$F$28,Inputs!$C$68)),"")</f>
      </c>
      <c r="H5841" s="34"/>
      <c r="I5841" s="42">
        <f>IF(AND(ISNUMBER(D5841),ISNUMBER(H5841)),D5841*H5841*Inputs!$C$69,"")</f>
      </c>
      <c r="J5841" s="42">
        <f>IF(AND(ISNUMBER(F5841),ISNUMBER(H5841),F5841&gt;=Inputs!$C$68),F5841*H5841*Inputs!$C$69,"")</f>
      </c>
    </row>
    <row r="5842" spans="2:10" ht="15" customHeight="1" x14ac:dyDescent="0.2">
      <c r="B5842" s="39">
        <f t="shared" si="44"/>
      </c>
      <c r="C5842" s="40">
        <f>IF(Inputs!$C$60,Inputs!$C$11+(B5842-Inputs!$C$69)/Inputs!$C$70,"")</f>
      </c>
      <c r="D5842" s="15"/>
      <c r="E5842" s="15"/>
      <c r="F5842" s="11">
        <f t="shared" si="45"/>
      </c>
      <c r="G5842" s="22" cm="1">
        <f t="array" ref="G5842">IF(AND(Inputs!$C$60,Inputs!$C$61),INDEX(Utility_Rates!$C$29:$F$52,HOUR(C5842)+Inputs!$C$69,MATCH(INDEX(Utility_Rates!$K$6:$K$17,MONTH(C5842))&amp;IF(WEEKDAY(C5842,Inputs!$C$76)&lt;=Inputs!$C$74," weekday"," weekend"),Utility_Rates!$C$28:$F$28,Inputs!$C$68)),"")</f>
      </c>
      <c r="H5842" s="34"/>
      <c r="I5842" s="42">
        <f>IF(AND(ISNUMBER(D5842),ISNUMBER(H5842)),D5842*H5842*Inputs!$C$69,"")</f>
      </c>
      <c r="J5842" s="42">
        <f>IF(AND(ISNUMBER(F5842),ISNUMBER(H5842),F5842&gt;=Inputs!$C$68),F5842*H5842*Inputs!$C$69,"")</f>
      </c>
    </row>
    <row r="5843" spans="2:10" ht="15" customHeight="1" x14ac:dyDescent="0.2">
      <c r="B5843" s="39">
        <f t="shared" si="44"/>
      </c>
      <c r="C5843" s="40">
        <f>IF(Inputs!$C$60,Inputs!$C$11+(B5843-Inputs!$C$69)/Inputs!$C$70,"")</f>
      </c>
      <c r="D5843" s="15"/>
      <c r="E5843" s="15"/>
      <c r="F5843" s="11">
        <f t="shared" si="45"/>
      </c>
      <c r="G5843" s="22" cm="1">
        <f t="array" ref="G5843">IF(AND(Inputs!$C$60,Inputs!$C$61),INDEX(Utility_Rates!$C$29:$F$52,HOUR(C5843)+Inputs!$C$69,MATCH(INDEX(Utility_Rates!$K$6:$K$17,MONTH(C5843))&amp;IF(WEEKDAY(C5843,Inputs!$C$76)&lt;=Inputs!$C$74," weekday"," weekend"),Utility_Rates!$C$28:$F$28,Inputs!$C$68)),"")</f>
      </c>
      <c r="H5843" s="34"/>
      <c r="I5843" s="42">
        <f>IF(AND(ISNUMBER(D5843),ISNUMBER(H5843)),D5843*H5843*Inputs!$C$69,"")</f>
      </c>
      <c r="J5843" s="42">
        <f>IF(AND(ISNUMBER(F5843),ISNUMBER(H5843),F5843&gt;=Inputs!$C$68),F5843*H5843*Inputs!$C$69,"")</f>
      </c>
    </row>
    <row r="5844" spans="2:10" ht="15" customHeight="1" x14ac:dyDescent="0.2">
      <c r="B5844" s="39">
        <f t="shared" si="44"/>
      </c>
      <c r="C5844" s="40">
        <f>IF(Inputs!$C$60,Inputs!$C$11+(B5844-Inputs!$C$69)/Inputs!$C$70,"")</f>
      </c>
      <c r="D5844" s="15"/>
      <c r="E5844" s="15"/>
      <c r="F5844" s="11">
        <f t="shared" si="45"/>
      </c>
      <c r="G5844" s="22" cm="1">
        <f t="array" ref="G5844">IF(AND(Inputs!$C$60,Inputs!$C$61),INDEX(Utility_Rates!$C$29:$F$52,HOUR(C5844)+Inputs!$C$69,MATCH(INDEX(Utility_Rates!$K$6:$K$17,MONTH(C5844))&amp;IF(WEEKDAY(C5844,Inputs!$C$76)&lt;=Inputs!$C$74," weekday"," weekend"),Utility_Rates!$C$28:$F$28,Inputs!$C$68)),"")</f>
      </c>
      <c r="H5844" s="34"/>
      <c r="I5844" s="42">
        <f>IF(AND(ISNUMBER(D5844),ISNUMBER(H5844)),D5844*H5844*Inputs!$C$69,"")</f>
      </c>
      <c r="J5844" s="42">
        <f>IF(AND(ISNUMBER(F5844),ISNUMBER(H5844),F5844&gt;=Inputs!$C$68),F5844*H5844*Inputs!$C$69,"")</f>
      </c>
    </row>
    <row r="5845" spans="2:10" ht="15" customHeight="1" x14ac:dyDescent="0.2">
      <c r="B5845" s="39">
        <f t="shared" si="44"/>
      </c>
      <c r="C5845" s="40">
        <f>IF(Inputs!$C$60,Inputs!$C$11+(B5845-Inputs!$C$69)/Inputs!$C$70,"")</f>
      </c>
      <c r="D5845" s="15"/>
      <c r="E5845" s="15"/>
      <c r="F5845" s="11">
        <f t="shared" si="45"/>
      </c>
      <c r="G5845" s="22" cm="1">
        <f t="array" ref="G5845">IF(AND(Inputs!$C$60,Inputs!$C$61),INDEX(Utility_Rates!$C$29:$F$52,HOUR(C5845)+Inputs!$C$69,MATCH(INDEX(Utility_Rates!$K$6:$K$17,MONTH(C5845))&amp;IF(WEEKDAY(C5845,Inputs!$C$76)&lt;=Inputs!$C$74," weekday"," weekend"),Utility_Rates!$C$28:$F$28,Inputs!$C$68)),"")</f>
      </c>
      <c r="H5845" s="34"/>
      <c r="I5845" s="42">
        <f>IF(AND(ISNUMBER(D5845),ISNUMBER(H5845)),D5845*H5845*Inputs!$C$69,"")</f>
      </c>
      <c r="J5845" s="42">
        <f>IF(AND(ISNUMBER(F5845),ISNUMBER(H5845),F5845&gt;=Inputs!$C$68),F5845*H5845*Inputs!$C$69,"")</f>
      </c>
    </row>
    <row r="5846" spans="2:10" ht="15" customHeight="1" x14ac:dyDescent="0.2">
      <c r="B5846" s="39">
        <f t="shared" si="44"/>
      </c>
      <c r="C5846" s="40">
        <f>IF(Inputs!$C$60,Inputs!$C$11+(B5846-Inputs!$C$69)/Inputs!$C$70,"")</f>
      </c>
      <c r="D5846" s="15"/>
      <c r="E5846" s="15"/>
      <c r="F5846" s="11">
        <f t="shared" si="45"/>
      </c>
      <c r="G5846" s="22" cm="1">
        <f t="array" ref="G5846">IF(AND(Inputs!$C$60,Inputs!$C$61),INDEX(Utility_Rates!$C$29:$F$52,HOUR(C5846)+Inputs!$C$69,MATCH(INDEX(Utility_Rates!$K$6:$K$17,MONTH(C5846))&amp;IF(WEEKDAY(C5846,Inputs!$C$76)&lt;=Inputs!$C$74," weekday"," weekend"),Utility_Rates!$C$28:$F$28,Inputs!$C$68)),"")</f>
      </c>
      <c r="H5846" s="34"/>
      <c r="I5846" s="42">
        <f>IF(AND(ISNUMBER(D5846),ISNUMBER(H5846)),D5846*H5846*Inputs!$C$69,"")</f>
      </c>
      <c r="J5846" s="42">
        <f>IF(AND(ISNUMBER(F5846),ISNUMBER(H5846),F5846&gt;=Inputs!$C$68),F5846*H5846*Inputs!$C$69,"")</f>
      </c>
    </row>
    <row r="5847" spans="2:10" ht="15" customHeight="1" x14ac:dyDescent="0.2">
      <c r="B5847" s="39">
        <f t="shared" si="44"/>
      </c>
      <c r="C5847" s="40">
        <f>IF(Inputs!$C$60,Inputs!$C$11+(B5847-Inputs!$C$69)/Inputs!$C$70,"")</f>
      </c>
      <c r="D5847" s="15"/>
      <c r="E5847" s="15"/>
      <c r="F5847" s="11">
        <f t="shared" si="45"/>
      </c>
      <c r="G5847" s="22" cm="1">
        <f t="array" ref="G5847">IF(AND(Inputs!$C$60,Inputs!$C$61),INDEX(Utility_Rates!$C$29:$F$52,HOUR(C5847)+Inputs!$C$69,MATCH(INDEX(Utility_Rates!$K$6:$K$17,MONTH(C5847))&amp;IF(WEEKDAY(C5847,Inputs!$C$76)&lt;=Inputs!$C$74," weekday"," weekend"),Utility_Rates!$C$28:$F$28,Inputs!$C$68)),"")</f>
      </c>
      <c r="H5847" s="34"/>
      <c r="I5847" s="42">
        <f>IF(AND(ISNUMBER(D5847),ISNUMBER(H5847)),D5847*H5847*Inputs!$C$69,"")</f>
      </c>
      <c r="J5847" s="42">
        <f>IF(AND(ISNUMBER(F5847),ISNUMBER(H5847),F5847&gt;=Inputs!$C$68),F5847*H5847*Inputs!$C$69,"")</f>
      </c>
    </row>
    <row r="5848" spans="2:10" ht="15" customHeight="1" x14ac:dyDescent="0.2">
      <c r="B5848" s="39">
        <f t="shared" si="44"/>
      </c>
      <c r="C5848" s="40">
        <f>IF(Inputs!$C$60,Inputs!$C$11+(B5848-Inputs!$C$69)/Inputs!$C$70,"")</f>
      </c>
      <c r="D5848" s="15"/>
      <c r="E5848" s="15"/>
      <c r="F5848" s="11">
        <f t="shared" si="45"/>
      </c>
      <c r="G5848" s="22" cm="1">
        <f t="array" ref="G5848">IF(AND(Inputs!$C$60,Inputs!$C$61),INDEX(Utility_Rates!$C$29:$F$52,HOUR(C5848)+Inputs!$C$69,MATCH(INDEX(Utility_Rates!$K$6:$K$17,MONTH(C5848))&amp;IF(WEEKDAY(C5848,Inputs!$C$76)&lt;=Inputs!$C$74," weekday"," weekend"),Utility_Rates!$C$28:$F$28,Inputs!$C$68)),"")</f>
      </c>
      <c r="H5848" s="34"/>
      <c r="I5848" s="42">
        <f>IF(AND(ISNUMBER(D5848),ISNUMBER(H5848)),D5848*H5848*Inputs!$C$69,"")</f>
      </c>
      <c r="J5848" s="42">
        <f>IF(AND(ISNUMBER(F5848),ISNUMBER(H5848),F5848&gt;=Inputs!$C$68),F5848*H5848*Inputs!$C$69,"")</f>
      </c>
    </row>
    <row r="5849" spans="2:10" ht="15" customHeight="1" x14ac:dyDescent="0.2">
      <c r="B5849" s="39">
        <f t="shared" si="44"/>
      </c>
      <c r="C5849" s="40">
        <f>IF(Inputs!$C$60,Inputs!$C$11+(B5849-Inputs!$C$69)/Inputs!$C$70,"")</f>
      </c>
      <c r="D5849" s="15"/>
      <c r="E5849" s="15"/>
      <c r="F5849" s="11">
        <f t="shared" si="45"/>
      </c>
      <c r="G5849" s="22" cm="1">
        <f t="array" ref="G5849">IF(AND(Inputs!$C$60,Inputs!$C$61),INDEX(Utility_Rates!$C$29:$F$52,HOUR(C5849)+Inputs!$C$69,MATCH(INDEX(Utility_Rates!$K$6:$K$17,MONTH(C5849))&amp;IF(WEEKDAY(C5849,Inputs!$C$76)&lt;=Inputs!$C$74," weekday"," weekend"),Utility_Rates!$C$28:$F$28,Inputs!$C$68)),"")</f>
      </c>
      <c r="H5849" s="34"/>
      <c r="I5849" s="42">
        <f>IF(AND(ISNUMBER(D5849),ISNUMBER(H5849)),D5849*H5849*Inputs!$C$69,"")</f>
      </c>
      <c r="J5849" s="42">
        <f>IF(AND(ISNUMBER(F5849),ISNUMBER(H5849),F5849&gt;=Inputs!$C$68),F5849*H5849*Inputs!$C$69,"")</f>
      </c>
    </row>
    <row r="5850" spans="2:10" ht="15" customHeight="1" x14ac:dyDescent="0.2">
      <c r="B5850" s="39">
        <f t="shared" si="44"/>
      </c>
      <c r="C5850" s="40">
        <f>IF(Inputs!$C$60,Inputs!$C$11+(B5850-Inputs!$C$69)/Inputs!$C$70,"")</f>
      </c>
      <c r="D5850" s="15"/>
      <c r="E5850" s="15"/>
      <c r="F5850" s="11">
        <f t="shared" si="45"/>
      </c>
      <c r="G5850" s="22" cm="1">
        <f t="array" ref="G5850">IF(AND(Inputs!$C$60,Inputs!$C$61),INDEX(Utility_Rates!$C$29:$F$52,HOUR(C5850)+Inputs!$C$69,MATCH(INDEX(Utility_Rates!$K$6:$K$17,MONTH(C5850))&amp;IF(WEEKDAY(C5850,Inputs!$C$76)&lt;=Inputs!$C$74," weekday"," weekend"),Utility_Rates!$C$28:$F$28,Inputs!$C$68)),"")</f>
      </c>
      <c r="H5850" s="34"/>
      <c r="I5850" s="42">
        <f>IF(AND(ISNUMBER(D5850),ISNUMBER(H5850)),D5850*H5850*Inputs!$C$69,"")</f>
      </c>
      <c r="J5850" s="42">
        <f>IF(AND(ISNUMBER(F5850),ISNUMBER(H5850),F5850&gt;=Inputs!$C$68),F5850*H5850*Inputs!$C$69,"")</f>
      </c>
    </row>
    <row r="5851" spans="2:10" ht="15" customHeight="1" x14ac:dyDescent="0.2">
      <c r="B5851" s="39">
        <f t="shared" si="44"/>
      </c>
      <c r="C5851" s="40">
        <f>IF(Inputs!$C$60,Inputs!$C$11+(B5851-Inputs!$C$69)/Inputs!$C$70,"")</f>
      </c>
      <c r="D5851" s="15"/>
      <c r="E5851" s="15"/>
      <c r="F5851" s="11">
        <f t="shared" si="45"/>
      </c>
      <c r="G5851" s="22" cm="1">
        <f t="array" ref="G5851">IF(AND(Inputs!$C$60,Inputs!$C$61),INDEX(Utility_Rates!$C$29:$F$52,HOUR(C5851)+Inputs!$C$69,MATCH(INDEX(Utility_Rates!$K$6:$K$17,MONTH(C5851))&amp;IF(WEEKDAY(C5851,Inputs!$C$76)&lt;=Inputs!$C$74," weekday"," weekend"),Utility_Rates!$C$28:$F$28,Inputs!$C$68)),"")</f>
      </c>
      <c r="H5851" s="34"/>
      <c r="I5851" s="42">
        <f>IF(AND(ISNUMBER(D5851),ISNUMBER(H5851)),D5851*H5851*Inputs!$C$69,"")</f>
      </c>
      <c r="J5851" s="42">
        <f>IF(AND(ISNUMBER(F5851),ISNUMBER(H5851),F5851&gt;=Inputs!$C$68),F5851*H5851*Inputs!$C$69,"")</f>
      </c>
    </row>
    <row r="5852" spans="2:10" ht="15" customHeight="1" x14ac:dyDescent="0.2">
      <c r="B5852" s="39">
        <f t="shared" si="44"/>
      </c>
      <c r="C5852" s="40">
        <f>IF(Inputs!$C$60,Inputs!$C$11+(B5852-Inputs!$C$69)/Inputs!$C$70,"")</f>
      </c>
      <c r="D5852" s="15"/>
      <c r="E5852" s="15"/>
      <c r="F5852" s="11">
        <f t="shared" si="45"/>
      </c>
      <c r="G5852" s="22" cm="1">
        <f t="array" ref="G5852">IF(AND(Inputs!$C$60,Inputs!$C$61),INDEX(Utility_Rates!$C$29:$F$52,HOUR(C5852)+Inputs!$C$69,MATCH(INDEX(Utility_Rates!$K$6:$K$17,MONTH(C5852))&amp;IF(WEEKDAY(C5852,Inputs!$C$76)&lt;=Inputs!$C$74," weekday"," weekend"),Utility_Rates!$C$28:$F$28,Inputs!$C$68)),"")</f>
      </c>
      <c r="H5852" s="34"/>
      <c r="I5852" s="42">
        <f>IF(AND(ISNUMBER(D5852),ISNUMBER(H5852)),D5852*H5852*Inputs!$C$69,"")</f>
      </c>
      <c r="J5852" s="42">
        <f>IF(AND(ISNUMBER(F5852),ISNUMBER(H5852),F5852&gt;=Inputs!$C$68),F5852*H5852*Inputs!$C$69,"")</f>
      </c>
    </row>
    <row r="5853" spans="2:10" ht="15" customHeight="1" x14ac:dyDescent="0.2">
      <c r="B5853" s="39">
        <f t="shared" si="44"/>
      </c>
      <c r="C5853" s="40">
        <f>IF(Inputs!$C$60,Inputs!$C$11+(B5853-Inputs!$C$69)/Inputs!$C$70,"")</f>
      </c>
      <c r="D5853" s="15"/>
      <c r="E5853" s="15"/>
      <c r="F5853" s="11">
        <f t="shared" si="45"/>
      </c>
      <c r="G5853" s="22" cm="1">
        <f t="array" ref="G5853">IF(AND(Inputs!$C$60,Inputs!$C$61),INDEX(Utility_Rates!$C$29:$F$52,HOUR(C5853)+Inputs!$C$69,MATCH(INDEX(Utility_Rates!$K$6:$K$17,MONTH(C5853))&amp;IF(WEEKDAY(C5853,Inputs!$C$76)&lt;=Inputs!$C$74," weekday"," weekend"),Utility_Rates!$C$28:$F$28,Inputs!$C$68)),"")</f>
      </c>
      <c r="H5853" s="34"/>
      <c r="I5853" s="42">
        <f>IF(AND(ISNUMBER(D5853),ISNUMBER(H5853)),D5853*H5853*Inputs!$C$69,"")</f>
      </c>
      <c r="J5853" s="42">
        <f>IF(AND(ISNUMBER(F5853),ISNUMBER(H5853),F5853&gt;=Inputs!$C$68),F5853*H5853*Inputs!$C$69,"")</f>
      </c>
    </row>
    <row r="5854" spans="2:10" ht="15" customHeight="1" x14ac:dyDescent="0.2">
      <c r="B5854" s="39">
        <f t="shared" si="44"/>
      </c>
      <c r="C5854" s="40">
        <f>IF(Inputs!$C$60,Inputs!$C$11+(B5854-Inputs!$C$69)/Inputs!$C$70,"")</f>
      </c>
      <c r="D5854" s="15"/>
      <c r="E5854" s="15"/>
      <c r="F5854" s="11">
        <f t="shared" si="45"/>
      </c>
      <c r="G5854" s="22" cm="1">
        <f t="array" ref="G5854">IF(AND(Inputs!$C$60,Inputs!$C$61),INDEX(Utility_Rates!$C$29:$F$52,HOUR(C5854)+Inputs!$C$69,MATCH(INDEX(Utility_Rates!$K$6:$K$17,MONTH(C5854))&amp;IF(WEEKDAY(C5854,Inputs!$C$76)&lt;=Inputs!$C$74," weekday"," weekend"),Utility_Rates!$C$28:$F$28,Inputs!$C$68)),"")</f>
      </c>
      <c r="H5854" s="34"/>
      <c r="I5854" s="42">
        <f>IF(AND(ISNUMBER(D5854),ISNUMBER(H5854)),D5854*H5854*Inputs!$C$69,"")</f>
      </c>
      <c r="J5854" s="42">
        <f>IF(AND(ISNUMBER(F5854),ISNUMBER(H5854),F5854&gt;=Inputs!$C$68),F5854*H5854*Inputs!$C$69,"")</f>
      </c>
    </row>
    <row r="5855" spans="2:10" ht="15" customHeight="1" x14ac:dyDescent="0.2">
      <c r="B5855" s="39">
        <f t="shared" si="44"/>
      </c>
      <c r="C5855" s="40">
        <f>IF(Inputs!$C$60,Inputs!$C$11+(B5855-Inputs!$C$69)/Inputs!$C$70,"")</f>
      </c>
      <c r="D5855" s="15"/>
      <c r="E5855" s="15"/>
      <c r="F5855" s="11">
        <f t="shared" si="45"/>
      </c>
      <c r="G5855" s="22" cm="1">
        <f t="array" ref="G5855">IF(AND(Inputs!$C$60,Inputs!$C$61),INDEX(Utility_Rates!$C$29:$F$52,HOUR(C5855)+Inputs!$C$69,MATCH(INDEX(Utility_Rates!$K$6:$K$17,MONTH(C5855))&amp;IF(WEEKDAY(C5855,Inputs!$C$76)&lt;=Inputs!$C$74," weekday"," weekend"),Utility_Rates!$C$28:$F$28,Inputs!$C$68)),"")</f>
      </c>
      <c r="H5855" s="34"/>
      <c r="I5855" s="42">
        <f>IF(AND(ISNUMBER(D5855),ISNUMBER(H5855)),D5855*H5855*Inputs!$C$69,"")</f>
      </c>
      <c r="J5855" s="42">
        <f>IF(AND(ISNUMBER(F5855),ISNUMBER(H5855),F5855&gt;=Inputs!$C$68),F5855*H5855*Inputs!$C$69,"")</f>
      </c>
    </row>
    <row r="5856" spans="2:10" ht="15" customHeight="1" x14ac:dyDescent="0.2">
      <c r="B5856" s="39">
        <f t="shared" si="44"/>
      </c>
      <c r="C5856" s="40">
        <f>IF(Inputs!$C$60,Inputs!$C$11+(B5856-Inputs!$C$69)/Inputs!$C$70,"")</f>
      </c>
      <c r="D5856" s="15"/>
      <c r="E5856" s="15"/>
      <c r="F5856" s="11">
        <f t="shared" si="45"/>
      </c>
      <c r="G5856" s="22" cm="1">
        <f t="array" ref="G5856">IF(AND(Inputs!$C$60,Inputs!$C$61),INDEX(Utility_Rates!$C$29:$F$52,HOUR(C5856)+Inputs!$C$69,MATCH(INDEX(Utility_Rates!$K$6:$K$17,MONTH(C5856))&amp;IF(WEEKDAY(C5856,Inputs!$C$76)&lt;=Inputs!$C$74," weekday"," weekend"),Utility_Rates!$C$28:$F$28,Inputs!$C$68)),"")</f>
      </c>
      <c r="H5856" s="34"/>
      <c r="I5856" s="42">
        <f>IF(AND(ISNUMBER(D5856),ISNUMBER(H5856)),D5856*H5856*Inputs!$C$69,"")</f>
      </c>
      <c r="J5856" s="42">
        <f>IF(AND(ISNUMBER(F5856),ISNUMBER(H5856),F5856&gt;=Inputs!$C$68),F5856*H5856*Inputs!$C$69,"")</f>
      </c>
    </row>
    <row r="5857" spans="2:10" ht="15" customHeight="1" x14ac:dyDescent="0.2">
      <c r="B5857" s="39">
        <f t="shared" si="44"/>
      </c>
      <c r="C5857" s="40">
        <f>IF(Inputs!$C$60,Inputs!$C$11+(B5857-Inputs!$C$69)/Inputs!$C$70,"")</f>
      </c>
      <c r="D5857" s="15"/>
      <c r="E5857" s="15"/>
      <c r="F5857" s="11">
        <f t="shared" si="45"/>
      </c>
      <c r="G5857" s="22" cm="1">
        <f t="array" ref="G5857">IF(AND(Inputs!$C$60,Inputs!$C$61),INDEX(Utility_Rates!$C$29:$F$52,HOUR(C5857)+Inputs!$C$69,MATCH(INDEX(Utility_Rates!$K$6:$K$17,MONTH(C5857))&amp;IF(WEEKDAY(C5857,Inputs!$C$76)&lt;=Inputs!$C$74," weekday"," weekend"),Utility_Rates!$C$28:$F$28,Inputs!$C$68)),"")</f>
      </c>
      <c r="H5857" s="34"/>
      <c r="I5857" s="42">
        <f>IF(AND(ISNUMBER(D5857),ISNUMBER(H5857)),D5857*H5857*Inputs!$C$69,"")</f>
      </c>
      <c r="J5857" s="42">
        <f>IF(AND(ISNUMBER(F5857),ISNUMBER(H5857),F5857&gt;=Inputs!$C$68),F5857*H5857*Inputs!$C$69,"")</f>
      </c>
    </row>
    <row r="5858" spans="2:10" ht="15" customHeight="1" x14ac:dyDescent="0.2">
      <c r="B5858" s="39">
        <f t="shared" si="44"/>
      </c>
      <c r="C5858" s="40">
        <f>IF(Inputs!$C$60,Inputs!$C$11+(B5858-Inputs!$C$69)/Inputs!$C$70,"")</f>
      </c>
      <c r="D5858" s="15"/>
      <c r="E5858" s="15"/>
      <c r="F5858" s="11">
        <f t="shared" si="45"/>
      </c>
      <c r="G5858" s="22" cm="1">
        <f t="array" ref="G5858">IF(AND(Inputs!$C$60,Inputs!$C$61),INDEX(Utility_Rates!$C$29:$F$52,HOUR(C5858)+Inputs!$C$69,MATCH(INDEX(Utility_Rates!$K$6:$K$17,MONTH(C5858))&amp;IF(WEEKDAY(C5858,Inputs!$C$76)&lt;=Inputs!$C$74," weekday"," weekend"),Utility_Rates!$C$28:$F$28,Inputs!$C$68)),"")</f>
      </c>
      <c r="H5858" s="34"/>
      <c r="I5858" s="42">
        <f>IF(AND(ISNUMBER(D5858),ISNUMBER(H5858)),D5858*H5858*Inputs!$C$69,"")</f>
      </c>
      <c r="J5858" s="42">
        <f>IF(AND(ISNUMBER(F5858),ISNUMBER(H5858),F5858&gt;=Inputs!$C$68),F5858*H5858*Inputs!$C$69,"")</f>
      </c>
    </row>
    <row r="5859" spans="2:10" ht="15" customHeight="1" x14ac:dyDescent="0.2">
      <c r="B5859" s="39">
        <f t="shared" si="44"/>
      </c>
      <c r="C5859" s="40">
        <f>IF(Inputs!$C$60,Inputs!$C$11+(B5859-Inputs!$C$69)/Inputs!$C$70,"")</f>
      </c>
      <c r="D5859" s="15"/>
      <c r="E5859" s="15"/>
      <c r="F5859" s="11">
        <f t="shared" si="45"/>
      </c>
      <c r="G5859" s="22" cm="1">
        <f t="array" ref="G5859">IF(AND(Inputs!$C$60,Inputs!$C$61),INDEX(Utility_Rates!$C$29:$F$52,HOUR(C5859)+Inputs!$C$69,MATCH(INDEX(Utility_Rates!$K$6:$K$17,MONTH(C5859))&amp;IF(WEEKDAY(C5859,Inputs!$C$76)&lt;=Inputs!$C$74," weekday"," weekend"),Utility_Rates!$C$28:$F$28,Inputs!$C$68)),"")</f>
      </c>
      <c r="H5859" s="34"/>
      <c r="I5859" s="42">
        <f>IF(AND(ISNUMBER(D5859),ISNUMBER(H5859)),D5859*H5859*Inputs!$C$69,"")</f>
      </c>
      <c r="J5859" s="42">
        <f>IF(AND(ISNUMBER(F5859),ISNUMBER(H5859),F5859&gt;=Inputs!$C$68),F5859*H5859*Inputs!$C$69,"")</f>
      </c>
    </row>
    <row r="5860" spans="2:10" ht="15" customHeight="1" x14ac:dyDescent="0.2">
      <c r="B5860" s="39">
        <f t="shared" si="44"/>
      </c>
      <c r="C5860" s="40">
        <f>IF(Inputs!$C$60,Inputs!$C$11+(B5860-Inputs!$C$69)/Inputs!$C$70,"")</f>
      </c>
      <c r="D5860" s="15"/>
      <c r="E5860" s="15"/>
      <c r="F5860" s="11">
        <f t="shared" si="45"/>
      </c>
      <c r="G5860" s="22" cm="1">
        <f t="array" ref="G5860">IF(AND(Inputs!$C$60,Inputs!$C$61),INDEX(Utility_Rates!$C$29:$F$52,HOUR(C5860)+Inputs!$C$69,MATCH(INDEX(Utility_Rates!$K$6:$K$17,MONTH(C5860))&amp;IF(WEEKDAY(C5860,Inputs!$C$76)&lt;=Inputs!$C$74," weekday"," weekend"),Utility_Rates!$C$28:$F$28,Inputs!$C$68)),"")</f>
      </c>
      <c r="H5860" s="34"/>
      <c r="I5860" s="42">
        <f>IF(AND(ISNUMBER(D5860),ISNUMBER(H5860)),D5860*H5860*Inputs!$C$69,"")</f>
      </c>
      <c r="J5860" s="42">
        <f>IF(AND(ISNUMBER(F5860),ISNUMBER(H5860),F5860&gt;=Inputs!$C$68),F5860*H5860*Inputs!$C$69,"")</f>
      </c>
    </row>
    <row r="5861" spans="2:10" ht="15" customHeight="1" x14ac:dyDescent="0.2">
      <c r="B5861" s="39">
        <f t="shared" si="44"/>
      </c>
      <c r="C5861" s="40">
        <f>IF(Inputs!$C$60,Inputs!$C$11+(B5861-Inputs!$C$69)/Inputs!$C$70,"")</f>
      </c>
      <c r="D5861" s="15"/>
      <c r="E5861" s="15"/>
      <c r="F5861" s="11">
        <f t="shared" si="45"/>
      </c>
      <c r="G5861" s="22" cm="1">
        <f t="array" ref="G5861">IF(AND(Inputs!$C$60,Inputs!$C$61),INDEX(Utility_Rates!$C$29:$F$52,HOUR(C5861)+Inputs!$C$69,MATCH(INDEX(Utility_Rates!$K$6:$K$17,MONTH(C5861))&amp;IF(WEEKDAY(C5861,Inputs!$C$76)&lt;=Inputs!$C$74," weekday"," weekend"),Utility_Rates!$C$28:$F$28,Inputs!$C$68)),"")</f>
      </c>
      <c r="H5861" s="34"/>
      <c r="I5861" s="42">
        <f>IF(AND(ISNUMBER(D5861),ISNUMBER(H5861)),D5861*H5861*Inputs!$C$69,"")</f>
      </c>
      <c r="J5861" s="42">
        <f>IF(AND(ISNUMBER(F5861),ISNUMBER(H5861),F5861&gt;=Inputs!$C$68),F5861*H5861*Inputs!$C$69,"")</f>
      </c>
    </row>
    <row r="5862" spans="2:10" ht="15" customHeight="1" x14ac:dyDescent="0.2">
      <c r="B5862" s="39">
        <f t="shared" si="44"/>
      </c>
      <c r="C5862" s="40">
        <f>IF(Inputs!$C$60,Inputs!$C$11+(B5862-Inputs!$C$69)/Inputs!$C$70,"")</f>
      </c>
      <c r="D5862" s="15"/>
      <c r="E5862" s="15"/>
      <c r="F5862" s="11">
        <f t="shared" si="45"/>
      </c>
      <c r="G5862" s="22" cm="1">
        <f t="array" ref="G5862">IF(AND(Inputs!$C$60,Inputs!$C$61),INDEX(Utility_Rates!$C$29:$F$52,HOUR(C5862)+Inputs!$C$69,MATCH(INDEX(Utility_Rates!$K$6:$K$17,MONTH(C5862))&amp;IF(WEEKDAY(C5862,Inputs!$C$76)&lt;=Inputs!$C$74," weekday"," weekend"),Utility_Rates!$C$28:$F$28,Inputs!$C$68)),"")</f>
      </c>
      <c r="H5862" s="34"/>
      <c r="I5862" s="42">
        <f>IF(AND(ISNUMBER(D5862),ISNUMBER(H5862)),D5862*H5862*Inputs!$C$69,"")</f>
      </c>
      <c r="J5862" s="42">
        <f>IF(AND(ISNUMBER(F5862),ISNUMBER(H5862),F5862&gt;=Inputs!$C$68),F5862*H5862*Inputs!$C$69,"")</f>
      </c>
    </row>
    <row r="5863" spans="2:10" ht="15" customHeight="1" x14ac:dyDescent="0.2">
      <c r="B5863" s="39">
        <f t="shared" si="44"/>
      </c>
      <c r="C5863" s="40">
        <f>IF(Inputs!$C$60,Inputs!$C$11+(B5863-Inputs!$C$69)/Inputs!$C$70,"")</f>
      </c>
      <c r="D5863" s="15"/>
      <c r="E5863" s="15"/>
      <c r="F5863" s="11">
        <f t="shared" si="45"/>
      </c>
      <c r="G5863" s="22" cm="1">
        <f t="array" ref="G5863">IF(AND(Inputs!$C$60,Inputs!$C$61),INDEX(Utility_Rates!$C$29:$F$52,HOUR(C5863)+Inputs!$C$69,MATCH(INDEX(Utility_Rates!$K$6:$K$17,MONTH(C5863))&amp;IF(WEEKDAY(C5863,Inputs!$C$76)&lt;=Inputs!$C$74," weekday"," weekend"),Utility_Rates!$C$28:$F$28,Inputs!$C$68)),"")</f>
      </c>
      <c r="H5863" s="34"/>
      <c r="I5863" s="42">
        <f>IF(AND(ISNUMBER(D5863),ISNUMBER(H5863)),D5863*H5863*Inputs!$C$69,"")</f>
      </c>
      <c r="J5863" s="42">
        <f>IF(AND(ISNUMBER(F5863),ISNUMBER(H5863),F5863&gt;=Inputs!$C$68),F5863*H5863*Inputs!$C$69,"")</f>
      </c>
    </row>
    <row r="5864" spans="2:10" ht="15" customHeight="1" x14ac:dyDescent="0.2">
      <c r="B5864" s="39">
        <f t="shared" si="44"/>
      </c>
      <c r="C5864" s="40">
        <f>IF(Inputs!$C$60,Inputs!$C$11+(B5864-Inputs!$C$69)/Inputs!$C$70,"")</f>
      </c>
      <c r="D5864" s="15"/>
      <c r="E5864" s="15"/>
      <c r="F5864" s="11">
        <f t="shared" si="45"/>
      </c>
      <c r="G5864" s="22" cm="1">
        <f t="array" ref="G5864">IF(AND(Inputs!$C$60,Inputs!$C$61),INDEX(Utility_Rates!$C$29:$F$52,HOUR(C5864)+Inputs!$C$69,MATCH(INDEX(Utility_Rates!$K$6:$K$17,MONTH(C5864))&amp;IF(WEEKDAY(C5864,Inputs!$C$76)&lt;=Inputs!$C$74," weekday"," weekend"),Utility_Rates!$C$28:$F$28,Inputs!$C$68)),"")</f>
      </c>
      <c r="H5864" s="34"/>
      <c r="I5864" s="42">
        <f>IF(AND(ISNUMBER(D5864),ISNUMBER(H5864)),D5864*H5864*Inputs!$C$69,"")</f>
      </c>
      <c r="J5864" s="42">
        <f>IF(AND(ISNUMBER(F5864),ISNUMBER(H5864),F5864&gt;=Inputs!$C$68),F5864*H5864*Inputs!$C$69,"")</f>
      </c>
    </row>
    <row r="5865" spans="2:10" ht="15" customHeight="1" x14ac:dyDescent="0.2">
      <c r="B5865" s="39">
        <f t="shared" si="44"/>
      </c>
      <c r="C5865" s="40">
        <f>IF(Inputs!$C$60,Inputs!$C$11+(B5865-Inputs!$C$69)/Inputs!$C$70,"")</f>
      </c>
      <c r="D5865" s="15"/>
      <c r="E5865" s="15"/>
      <c r="F5865" s="11">
        <f t="shared" si="45"/>
      </c>
      <c r="G5865" s="22" cm="1">
        <f t="array" ref="G5865">IF(AND(Inputs!$C$60,Inputs!$C$61),INDEX(Utility_Rates!$C$29:$F$52,HOUR(C5865)+Inputs!$C$69,MATCH(INDEX(Utility_Rates!$K$6:$K$17,MONTH(C5865))&amp;IF(WEEKDAY(C5865,Inputs!$C$76)&lt;=Inputs!$C$74," weekday"," weekend"),Utility_Rates!$C$28:$F$28,Inputs!$C$68)),"")</f>
      </c>
      <c r="H5865" s="34"/>
      <c r="I5865" s="42">
        <f>IF(AND(ISNUMBER(D5865),ISNUMBER(H5865)),D5865*H5865*Inputs!$C$69,"")</f>
      </c>
      <c r="J5865" s="42">
        <f>IF(AND(ISNUMBER(F5865),ISNUMBER(H5865),F5865&gt;=Inputs!$C$68),F5865*H5865*Inputs!$C$69,"")</f>
      </c>
    </row>
    <row r="5866" spans="2:10" ht="15" customHeight="1" x14ac:dyDescent="0.2">
      <c r="B5866" s="39">
        <f t="shared" si="44"/>
      </c>
      <c r="C5866" s="40">
        <f>IF(Inputs!$C$60,Inputs!$C$11+(B5866-Inputs!$C$69)/Inputs!$C$70,"")</f>
      </c>
      <c r="D5866" s="15"/>
      <c r="E5866" s="15"/>
      <c r="F5866" s="11">
        <f t="shared" si="45"/>
      </c>
      <c r="G5866" s="22" cm="1">
        <f t="array" ref="G5866">IF(AND(Inputs!$C$60,Inputs!$C$61),INDEX(Utility_Rates!$C$29:$F$52,HOUR(C5866)+Inputs!$C$69,MATCH(INDEX(Utility_Rates!$K$6:$K$17,MONTH(C5866))&amp;IF(WEEKDAY(C5866,Inputs!$C$76)&lt;=Inputs!$C$74," weekday"," weekend"),Utility_Rates!$C$28:$F$28,Inputs!$C$68)),"")</f>
      </c>
      <c r="H5866" s="34"/>
      <c r="I5866" s="42">
        <f>IF(AND(ISNUMBER(D5866),ISNUMBER(H5866)),D5866*H5866*Inputs!$C$69,"")</f>
      </c>
      <c r="J5866" s="42">
        <f>IF(AND(ISNUMBER(F5866),ISNUMBER(H5866),F5866&gt;=Inputs!$C$68),F5866*H5866*Inputs!$C$69,"")</f>
      </c>
    </row>
    <row r="5867" spans="2:10" ht="15" customHeight="1" x14ac:dyDescent="0.2">
      <c r="B5867" s="39">
        <f t="shared" si="44"/>
      </c>
      <c r="C5867" s="40">
        <f>IF(Inputs!$C$60,Inputs!$C$11+(B5867-Inputs!$C$69)/Inputs!$C$70,"")</f>
      </c>
      <c r="D5867" s="15"/>
      <c r="E5867" s="15"/>
      <c r="F5867" s="11">
        <f t="shared" si="45"/>
      </c>
      <c r="G5867" s="22" cm="1">
        <f t="array" ref="G5867">IF(AND(Inputs!$C$60,Inputs!$C$61),INDEX(Utility_Rates!$C$29:$F$52,HOUR(C5867)+Inputs!$C$69,MATCH(INDEX(Utility_Rates!$K$6:$K$17,MONTH(C5867))&amp;IF(WEEKDAY(C5867,Inputs!$C$76)&lt;=Inputs!$C$74," weekday"," weekend"),Utility_Rates!$C$28:$F$28,Inputs!$C$68)),"")</f>
      </c>
      <c r="H5867" s="34"/>
      <c r="I5867" s="42">
        <f>IF(AND(ISNUMBER(D5867),ISNUMBER(H5867)),D5867*H5867*Inputs!$C$69,"")</f>
      </c>
      <c r="J5867" s="42">
        <f>IF(AND(ISNUMBER(F5867),ISNUMBER(H5867),F5867&gt;=Inputs!$C$68),F5867*H5867*Inputs!$C$69,"")</f>
      </c>
    </row>
    <row r="5868" spans="2:10" ht="15" customHeight="1" x14ac:dyDescent="0.2">
      <c r="B5868" s="39">
        <f t="shared" si="44"/>
      </c>
      <c r="C5868" s="40">
        <f>IF(Inputs!$C$60,Inputs!$C$11+(B5868-Inputs!$C$69)/Inputs!$C$70,"")</f>
      </c>
      <c r="D5868" s="15"/>
      <c r="E5868" s="15"/>
      <c r="F5868" s="11">
        <f t="shared" si="45"/>
      </c>
      <c r="G5868" s="22" cm="1">
        <f t="array" ref="G5868">IF(AND(Inputs!$C$60,Inputs!$C$61),INDEX(Utility_Rates!$C$29:$F$52,HOUR(C5868)+Inputs!$C$69,MATCH(INDEX(Utility_Rates!$K$6:$K$17,MONTH(C5868))&amp;IF(WEEKDAY(C5868,Inputs!$C$76)&lt;=Inputs!$C$74," weekday"," weekend"),Utility_Rates!$C$28:$F$28,Inputs!$C$68)),"")</f>
      </c>
      <c r="H5868" s="34"/>
      <c r="I5868" s="42">
        <f>IF(AND(ISNUMBER(D5868),ISNUMBER(H5868)),D5868*H5868*Inputs!$C$69,"")</f>
      </c>
      <c r="J5868" s="42">
        <f>IF(AND(ISNUMBER(F5868),ISNUMBER(H5868),F5868&gt;=Inputs!$C$68),F5868*H5868*Inputs!$C$69,"")</f>
      </c>
    </row>
    <row r="5869" spans="2:10" ht="15" customHeight="1" x14ac:dyDescent="0.2">
      <c r="B5869" s="39">
        <f t="shared" si="44"/>
      </c>
      <c r="C5869" s="40">
        <f>IF(Inputs!$C$60,Inputs!$C$11+(B5869-Inputs!$C$69)/Inputs!$C$70,"")</f>
      </c>
      <c r="D5869" s="15"/>
      <c r="E5869" s="15"/>
      <c r="F5869" s="11">
        <f t="shared" si="45"/>
      </c>
      <c r="G5869" s="22" cm="1">
        <f t="array" ref="G5869">IF(AND(Inputs!$C$60,Inputs!$C$61),INDEX(Utility_Rates!$C$29:$F$52,HOUR(C5869)+Inputs!$C$69,MATCH(INDEX(Utility_Rates!$K$6:$K$17,MONTH(C5869))&amp;IF(WEEKDAY(C5869,Inputs!$C$76)&lt;=Inputs!$C$74," weekday"," weekend"),Utility_Rates!$C$28:$F$28,Inputs!$C$68)),"")</f>
      </c>
      <c r="H5869" s="34"/>
      <c r="I5869" s="42">
        <f>IF(AND(ISNUMBER(D5869),ISNUMBER(H5869)),D5869*H5869*Inputs!$C$69,"")</f>
      </c>
      <c r="J5869" s="42">
        <f>IF(AND(ISNUMBER(F5869),ISNUMBER(H5869),F5869&gt;=Inputs!$C$68),F5869*H5869*Inputs!$C$69,"")</f>
      </c>
    </row>
    <row r="5870" spans="2:10" ht="15" customHeight="1" x14ac:dyDescent="0.2">
      <c r="B5870" s="39">
        <f t="shared" si="44"/>
      </c>
      <c r="C5870" s="40">
        <f>IF(Inputs!$C$60,Inputs!$C$11+(B5870-Inputs!$C$69)/Inputs!$C$70,"")</f>
      </c>
      <c r="D5870" s="15"/>
      <c r="E5870" s="15"/>
      <c r="F5870" s="11">
        <f t="shared" si="45"/>
      </c>
      <c r="G5870" s="22" cm="1">
        <f t="array" ref="G5870">IF(AND(Inputs!$C$60,Inputs!$C$61),INDEX(Utility_Rates!$C$29:$F$52,HOUR(C5870)+Inputs!$C$69,MATCH(INDEX(Utility_Rates!$K$6:$K$17,MONTH(C5870))&amp;IF(WEEKDAY(C5870,Inputs!$C$76)&lt;=Inputs!$C$74," weekday"," weekend"),Utility_Rates!$C$28:$F$28,Inputs!$C$68)),"")</f>
      </c>
      <c r="H5870" s="34"/>
      <c r="I5870" s="42">
        <f>IF(AND(ISNUMBER(D5870),ISNUMBER(H5870)),D5870*H5870*Inputs!$C$69,"")</f>
      </c>
      <c r="J5870" s="42">
        <f>IF(AND(ISNUMBER(F5870),ISNUMBER(H5870),F5870&gt;=Inputs!$C$68),F5870*H5870*Inputs!$C$69,"")</f>
      </c>
    </row>
    <row r="5871" spans="2:10" ht="15" customHeight="1" x14ac:dyDescent="0.2">
      <c r="B5871" s="39">
        <f t="shared" ref="B5871:B6125" si="46">ROW()-ROW($B$5)</f>
      </c>
      <c r="C5871" s="40">
        <f>IF(Inputs!$C$60,Inputs!$C$11+(B5871-Inputs!$C$69)/Inputs!$C$70,"")</f>
      </c>
      <c r="D5871" s="15"/>
      <c r="E5871" s="15"/>
      <c r="F5871" s="11">
        <f t="shared" ref="F5871:F6125" si="47">IF(COUNT(D5871:E5871)=COLUMNS(D5871:E5871),D5871-E5871,"")</f>
      </c>
      <c r="G5871" s="22" cm="1">
        <f t="array" ref="G5871">IF(AND(Inputs!$C$60,Inputs!$C$61),INDEX(Utility_Rates!$C$29:$F$52,HOUR(C5871)+Inputs!$C$69,MATCH(INDEX(Utility_Rates!$K$6:$K$17,MONTH(C5871))&amp;IF(WEEKDAY(C5871,Inputs!$C$76)&lt;=Inputs!$C$74," weekday"," weekend"),Utility_Rates!$C$28:$F$28,Inputs!$C$68)),"")</f>
      </c>
      <c r="H5871" s="34"/>
      <c r="I5871" s="42">
        <f>IF(AND(ISNUMBER(D5871),ISNUMBER(H5871)),D5871*H5871*Inputs!$C$69,"")</f>
      </c>
      <c r="J5871" s="42">
        <f>IF(AND(ISNUMBER(F5871),ISNUMBER(H5871),F5871&gt;=Inputs!$C$68),F5871*H5871*Inputs!$C$69,"")</f>
      </c>
    </row>
    <row r="5872" spans="2:10" ht="15" customHeight="1" x14ac:dyDescent="0.2">
      <c r="B5872" s="39">
        <f t="shared" si="46"/>
      </c>
      <c r="C5872" s="40">
        <f>IF(Inputs!$C$60,Inputs!$C$11+(B5872-Inputs!$C$69)/Inputs!$C$70,"")</f>
      </c>
      <c r="D5872" s="15"/>
      <c r="E5872" s="15"/>
      <c r="F5872" s="11">
        <f t="shared" si="47"/>
      </c>
      <c r="G5872" s="22" cm="1">
        <f t="array" ref="G5872">IF(AND(Inputs!$C$60,Inputs!$C$61),INDEX(Utility_Rates!$C$29:$F$52,HOUR(C5872)+Inputs!$C$69,MATCH(INDEX(Utility_Rates!$K$6:$K$17,MONTH(C5872))&amp;IF(WEEKDAY(C5872,Inputs!$C$76)&lt;=Inputs!$C$74," weekday"," weekend"),Utility_Rates!$C$28:$F$28,Inputs!$C$68)),"")</f>
      </c>
      <c r="H5872" s="34"/>
      <c r="I5872" s="42">
        <f>IF(AND(ISNUMBER(D5872),ISNUMBER(H5872)),D5872*H5872*Inputs!$C$69,"")</f>
      </c>
      <c r="J5872" s="42">
        <f>IF(AND(ISNUMBER(F5872),ISNUMBER(H5872),F5872&gt;=Inputs!$C$68),F5872*H5872*Inputs!$C$69,"")</f>
      </c>
    </row>
    <row r="5873" spans="2:10" ht="15" customHeight="1" x14ac:dyDescent="0.2">
      <c r="B5873" s="39">
        <f t="shared" si="46"/>
      </c>
      <c r="C5873" s="40">
        <f>IF(Inputs!$C$60,Inputs!$C$11+(B5873-Inputs!$C$69)/Inputs!$C$70,"")</f>
      </c>
      <c r="D5873" s="15"/>
      <c r="E5873" s="15"/>
      <c r="F5873" s="11">
        <f t="shared" si="47"/>
      </c>
      <c r="G5873" s="22" cm="1">
        <f t="array" ref="G5873">IF(AND(Inputs!$C$60,Inputs!$C$61),INDEX(Utility_Rates!$C$29:$F$52,HOUR(C5873)+Inputs!$C$69,MATCH(INDEX(Utility_Rates!$K$6:$K$17,MONTH(C5873))&amp;IF(WEEKDAY(C5873,Inputs!$C$76)&lt;=Inputs!$C$74," weekday"," weekend"),Utility_Rates!$C$28:$F$28,Inputs!$C$68)),"")</f>
      </c>
      <c r="H5873" s="34"/>
      <c r="I5873" s="42">
        <f>IF(AND(ISNUMBER(D5873),ISNUMBER(H5873)),D5873*H5873*Inputs!$C$69,"")</f>
      </c>
      <c r="J5873" s="42">
        <f>IF(AND(ISNUMBER(F5873),ISNUMBER(H5873),F5873&gt;=Inputs!$C$68),F5873*H5873*Inputs!$C$69,"")</f>
      </c>
    </row>
    <row r="5874" spans="2:10" ht="15" customHeight="1" x14ac:dyDescent="0.2">
      <c r="B5874" s="39">
        <f t="shared" si="46"/>
      </c>
      <c r="C5874" s="40">
        <f>IF(Inputs!$C$60,Inputs!$C$11+(B5874-Inputs!$C$69)/Inputs!$C$70,"")</f>
      </c>
      <c r="D5874" s="15"/>
      <c r="E5874" s="15"/>
      <c r="F5874" s="11">
        <f t="shared" si="47"/>
      </c>
      <c r="G5874" s="22" cm="1">
        <f t="array" ref="G5874">IF(AND(Inputs!$C$60,Inputs!$C$61),INDEX(Utility_Rates!$C$29:$F$52,HOUR(C5874)+Inputs!$C$69,MATCH(INDEX(Utility_Rates!$K$6:$K$17,MONTH(C5874))&amp;IF(WEEKDAY(C5874,Inputs!$C$76)&lt;=Inputs!$C$74," weekday"," weekend"),Utility_Rates!$C$28:$F$28,Inputs!$C$68)),"")</f>
      </c>
      <c r="H5874" s="34"/>
      <c r="I5874" s="42">
        <f>IF(AND(ISNUMBER(D5874),ISNUMBER(H5874)),D5874*H5874*Inputs!$C$69,"")</f>
      </c>
      <c r="J5874" s="42">
        <f>IF(AND(ISNUMBER(F5874),ISNUMBER(H5874),F5874&gt;=Inputs!$C$68),F5874*H5874*Inputs!$C$69,"")</f>
      </c>
    </row>
    <row r="5875" spans="2:10" ht="15" customHeight="1" x14ac:dyDescent="0.2">
      <c r="B5875" s="39">
        <f t="shared" si="46"/>
      </c>
      <c r="C5875" s="40">
        <f>IF(Inputs!$C$60,Inputs!$C$11+(B5875-Inputs!$C$69)/Inputs!$C$70,"")</f>
      </c>
      <c r="D5875" s="15"/>
      <c r="E5875" s="15"/>
      <c r="F5875" s="11">
        <f t="shared" si="47"/>
      </c>
      <c r="G5875" s="22" cm="1">
        <f t="array" ref="G5875">IF(AND(Inputs!$C$60,Inputs!$C$61),INDEX(Utility_Rates!$C$29:$F$52,HOUR(C5875)+Inputs!$C$69,MATCH(INDEX(Utility_Rates!$K$6:$K$17,MONTH(C5875))&amp;IF(WEEKDAY(C5875,Inputs!$C$76)&lt;=Inputs!$C$74," weekday"," weekend"),Utility_Rates!$C$28:$F$28,Inputs!$C$68)),"")</f>
      </c>
      <c r="H5875" s="34"/>
      <c r="I5875" s="42">
        <f>IF(AND(ISNUMBER(D5875),ISNUMBER(H5875)),D5875*H5875*Inputs!$C$69,"")</f>
      </c>
      <c r="J5875" s="42">
        <f>IF(AND(ISNUMBER(F5875),ISNUMBER(H5875),F5875&gt;=Inputs!$C$68),F5875*H5875*Inputs!$C$69,"")</f>
      </c>
    </row>
    <row r="5876" spans="2:10" ht="15" customHeight="1" x14ac:dyDescent="0.2">
      <c r="B5876" s="39">
        <f t="shared" si="46"/>
      </c>
      <c r="C5876" s="40">
        <f>IF(Inputs!$C$60,Inputs!$C$11+(B5876-Inputs!$C$69)/Inputs!$C$70,"")</f>
      </c>
      <c r="D5876" s="15"/>
      <c r="E5876" s="15"/>
      <c r="F5876" s="11">
        <f t="shared" si="47"/>
      </c>
      <c r="G5876" s="22" cm="1">
        <f t="array" ref="G5876">IF(AND(Inputs!$C$60,Inputs!$C$61),INDEX(Utility_Rates!$C$29:$F$52,HOUR(C5876)+Inputs!$C$69,MATCH(INDEX(Utility_Rates!$K$6:$K$17,MONTH(C5876))&amp;IF(WEEKDAY(C5876,Inputs!$C$76)&lt;=Inputs!$C$74," weekday"," weekend"),Utility_Rates!$C$28:$F$28,Inputs!$C$68)),"")</f>
      </c>
      <c r="H5876" s="34"/>
      <c r="I5876" s="42">
        <f>IF(AND(ISNUMBER(D5876),ISNUMBER(H5876)),D5876*H5876*Inputs!$C$69,"")</f>
      </c>
      <c r="J5876" s="42">
        <f>IF(AND(ISNUMBER(F5876),ISNUMBER(H5876),F5876&gt;=Inputs!$C$68),F5876*H5876*Inputs!$C$69,"")</f>
      </c>
    </row>
    <row r="5877" spans="2:10" ht="15" customHeight="1" x14ac:dyDescent="0.2">
      <c r="B5877" s="39">
        <f t="shared" si="46"/>
      </c>
      <c r="C5877" s="40">
        <f>IF(Inputs!$C$60,Inputs!$C$11+(B5877-Inputs!$C$69)/Inputs!$C$70,"")</f>
      </c>
      <c r="D5877" s="15"/>
      <c r="E5877" s="15"/>
      <c r="F5877" s="11">
        <f t="shared" si="47"/>
      </c>
      <c r="G5877" s="22" cm="1">
        <f t="array" ref="G5877">IF(AND(Inputs!$C$60,Inputs!$C$61),INDEX(Utility_Rates!$C$29:$F$52,HOUR(C5877)+Inputs!$C$69,MATCH(INDEX(Utility_Rates!$K$6:$K$17,MONTH(C5877))&amp;IF(WEEKDAY(C5877,Inputs!$C$76)&lt;=Inputs!$C$74," weekday"," weekend"),Utility_Rates!$C$28:$F$28,Inputs!$C$68)),"")</f>
      </c>
      <c r="H5877" s="34"/>
      <c r="I5877" s="42">
        <f>IF(AND(ISNUMBER(D5877),ISNUMBER(H5877)),D5877*H5877*Inputs!$C$69,"")</f>
      </c>
      <c r="J5877" s="42">
        <f>IF(AND(ISNUMBER(F5877),ISNUMBER(H5877),F5877&gt;=Inputs!$C$68),F5877*H5877*Inputs!$C$69,"")</f>
      </c>
    </row>
    <row r="5878" spans="2:10" ht="15" customHeight="1" x14ac:dyDescent="0.2">
      <c r="B5878" s="39">
        <f t="shared" si="46"/>
      </c>
      <c r="C5878" s="40">
        <f>IF(Inputs!$C$60,Inputs!$C$11+(B5878-Inputs!$C$69)/Inputs!$C$70,"")</f>
      </c>
      <c r="D5878" s="15"/>
      <c r="E5878" s="15"/>
      <c r="F5878" s="11">
        <f t="shared" si="47"/>
      </c>
      <c r="G5878" s="22" cm="1">
        <f t="array" ref="G5878">IF(AND(Inputs!$C$60,Inputs!$C$61),INDEX(Utility_Rates!$C$29:$F$52,HOUR(C5878)+Inputs!$C$69,MATCH(INDEX(Utility_Rates!$K$6:$K$17,MONTH(C5878))&amp;IF(WEEKDAY(C5878,Inputs!$C$76)&lt;=Inputs!$C$74," weekday"," weekend"),Utility_Rates!$C$28:$F$28,Inputs!$C$68)),"")</f>
      </c>
      <c r="H5878" s="34"/>
      <c r="I5878" s="42">
        <f>IF(AND(ISNUMBER(D5878),ISNUMBER(H5878)),D5878*H5878*Inputs!$C$69,"")</f>
      </c>
      <c r="J5878" s="42">
        <f>IF(AND(ISNUMBER(F5878),ISNUMBER(H5878),F5878&gt;=Inputs!$C$68),F5878*H5878*Inputs!$C$69,"")</f>
      </c>
    </row>
    <row r="5879" spans="2:10" ht="15" customHeight="1" x14ac:dyDescent="0.2">
      <c r="B5879" s="39">
        <f t="shared" si="46"/>
      </c>
      <c r="C5879" s="40">
        <f>IF(Inputs!$C$60,Inputs!$C$11+(B5879-Inputs!$C$69)/Inputs!$C$70,"")</f>
      </c>
      <c r="D5879" s="15"/>
      <c r="E5879" s="15"/>
      <c r="F5879" s="11">
        <f t="shared" si="47"/>
      </c>
      <c r="G5879" s="22" cm="1">
        <f t="array" ref="G5879">IF(AND(Inputs!$C$60,Inputs!$C$61),INDEX(Utility_Rates!$C$29:$F$52,HOUR(C5879)+Inputs!$C$69,MATCH(INDEX(Utility_Rates!$K$6:$K$17,MONTH(C5879))&amp;IF(WEEKDAY(C5879,Inputs!$C$76)&lt;=Inputs!$C$74," weekday"," weekend"),Utility_Rates!$C$28:$F$28,Inputs!$C$68)),"")</f>
      </c>
      <c r="H5879" s="34"/>
      <c r="I5879" s="42">
        <f>IF(AND(ISNUMBER(D5879),ISNUMBER(H5879)),D5879*H5879*Inputs!$C$69,"")</f>
      </c>
      <c r="J5879" s="42">
        <f>IF(AND(ISNUMBER(F5879),ISNUMBER(H5879),F5879&gt;=Inputs!$C$68),F5879*H5879*Inputs!$C$69,"")</f>
      </c>
    </row>
    <row r="5880" spans="2:10" ht="15" customHeight="1" x14ac:dyDescent="0.2">
      <c r="B5880" s="39">
        <f t="shared" si="46"/>
      </c>
      <c r="C5880" s="40">
        <f>IF(Inputs!$C$60,Inputs!$C$11+(B5880-Inputs!$C$69)/Inputs!$C$70,"")</f>
      </c>
      <c r="D5880" s="15"/>
      <c r="E5880" s="15"/>
      <c r="F5880" s="11">
        <f t="shared" si="47"/>
      </c>
      <c r="G5880" s="22" cm="1">
        <f t="array" ref="G5880">IF(AND(Inputs!$C$60,Inputs!$C$61),INDEX(Utility_Rates!$C$29:$F$52,HOUR(C5880)+Inputs!$C$69,MATCH(INDEX(Utility_Rates!$K$6:$K$17,MONTH(C5880))&amp;IF(WEEKDAY(C5880,Inputs!$C$76)&lt;=Inputs!$C$74," weekday"," weekend"),Utility_Rates!$C$28:$F$28,Inputs!$C$68)),"")</f>
      </c>
      <c r="H5880" s="34"/>
      <c r="I5880" s="42">
        <f>IF(AND(ISNUMBER(D5880),ISNUMBER(H5880)),D5880*H5880*Inputs!$C$69,"")</f>
      </c>
      <c r="J5880" s="42">
        <f>IF(AND(ISNUMBER(F5880),ISNUMBER(H5880),F5880&gt;=Inputs!$C$68),F5880*H5880*Inputs!$C$69,"")</f>
      </c>
    </row>
    <row r="5881" spans="2:10" ht="15" customHeight="1" x14ac:dyDescent="0.2">
      <c r="B5881" s="39">
        <f t="shared" si="46"/>
      </c>
      <c r="C5881" s="40">
        <f>IF(Inputs!$C$60,Inputs!$C$11+(B5881-Inputs!$C$69)/Inputs!$C$70,"")</f>
      </c>
      <c r="D5881" s="15"/>
      <c r="E5881" s="15"/>
      <c r="F5881" s="11">
        <f t="shared" si="47"/>
      </c>
      <c r="G5881" s="22" cm="1">
        <f t="array" ref="G5881">IF(AND(Inputs!$C$60,Inputs!$C$61),INDEX(Utility_Rates!$C$29:$F$52,HOUR(C5881)+Inputs!$C$69,MATCH(INDEX(Utility_Rates!$K$6:$K$17,MONTH(C5881))&amp;IF(WEEKDAY(C5881,Inputs!$C$76)&lt;=Inputs!$C$74," weekday"," weekend"),Utility_Rates!$C$28:$F$28,Inputs!$C$68)),"")</f>
      </c>
      <c r="H5881" s="34"/>
      <c r="I5881" s="42">
        <f>IF(AND(ISNUMBER(D5881),ISNUMBER(H5881)),D5881*H5881*Inputs!$C$69,"")</f>
      </c>
      <c r="J5881" s="42">
        <f>IF(AND(ISNUMBER(F5881),ISNUMBER(H5881),F5881&gt;=Inputs!$C$68),F5881*H5881*Inputs!$C$69,"")</f>
      </c>
    </row>
    <row r="5882" spans="2:10" ht="15" customHeight="1" x14ac:dyDescent="0.2">
      <c r="B5882" s="39">
        <f t="shared" si="46"/>
      </c>
      <c r="C5882" s="40">
        <f>IF(Inputs!$C$60,Inputs!$C$11+(B5882-Inputs!$C$69)/Inputs!$C$70,"")</f>
      </c>
      <c r="D5882" s="15"/>
      <c r="E5882" s="15"/>
      <c r="F5882" s="11">
        <f t="shared" si="47"/>
      </c>
      <c r="G5882" s="22" cm="1">
        <f t="array" ref="G5882">IF(AND(Inputs!$C$60,Inputs!$C$61),INDEX(Utility_Rates!$C$29:$F$52,HOUR(C5882)+Inputs!$C$69,MATCH(INDEX(Utility_Rates!$K$6:$K$17,MONTH(C5882))&amp;IF(WEEKDAY(C5882,Inputs!$C$76)&lt;=Inputs!$C$74," weekday"," weekend"),Utility_Rates!$C$28:$F$28,Inputs!$C$68)),"")</f>
      </c>
      <c r="H5882" s="34"/>
      <c r="I5882" s="42">
        <f>IF(AND(ISNUMBER(D5882),ISNUMBER(H5882)),D5882*H5882*Inputs!$C$69,"")</f>
      </c>
      <c r="J5882" s="42">
        <f>IF(AND(ISNUMBER(F5882),ISNUMBER(H5882),F5882&gt;=Inputs!$C$68),F5882*H5882*Inputs!$C$69,"")</f>
      </c>
    </row>
    <row r="5883" spans="2:10" ht="15" customHeight="1" x14ac:dyDescent="0.2">
      <c r="B5883" s="39">
        <f t="shared" si="46"/>
      </c>
      <c r="C5883" s="40">
        <f>IF(Inputs!$C$60,Inputs!$C$11+(B5883-Inputs!$C$69)/Inputs!$C$70,"")</f>
      </c>
      <c r="D5883" s="15"/>
      <c r="E5883" s="15"/>
      <c r="F5883" s="11">
        <f t="shared" si="47"/>
      </c>
      <c r="G5883" s="22" cm="1">
        <f t="array" ref="G5883">IF(AND(Inputs!$C$60,Inputs!$C$61),INDEX(Utility_Rates!$C$29:$F$52,HOUR(C5883)+Inputs!$C$69,MATCH(INDEX(Utility_Rates!$K$6:$K$17,MONTH(C5883))&amp;IF(WEEKDAY(C5883,Inputs!$C$76)&lt;=Inputs!$C$74," weekday"," weekend"),Utility_Rates!$C$28:$F$28,Inputs!$C$68)),"")</f>
      </c>
      <c r="H5883" s="34"/>
      <c r="I5883" s="42">
        <f>IF(AND(ISNUMBER(D5883),ISNUMBER(H5883)),D5883*H5883*Inputs!$C$69,"")</f>
      </c>
      <c r="J5883" s="42">
        <f>IF(AND(ISNUMBER(F5883),ISNUMBER(H5883),F5883&gt;=Inputs!$C$68),F5883*H5883*Inputs!$C$69,"")</f>
      </c>
    </row>
    <row r="5884" spans="2:10" ht="15" customHeight="1" x14ac:dyDescent="0.2">
      <c r="B5884" s="39">
        <f t="shared" si="46"/>
      </c>
      <c r="C5884" s="40">
        <f>IF(Inputs!$C$60,Inputs!$C$11+(B5884-Inputs!$C$69)/Inputs!$C$70,"")</f>
      </c>
      <c r="D5884" s="15"/>
      <c r="E5884" s="15"/>
      <c r="F5884" s="11">
        <f t="shared" si="47"/>
      </c>
      <c r="G5884" s="22" cm="1">
        <f t="array" ref="G5884">IF(AND(Inputs!$C$60,Inputs!$C$61),INDEX(Utility_Rates!$C$29:$F$52,HOUR(C5884)+Inputs!$C$69,MATCH(INDEX(Utility_Rates!$K$6:$K$17,MONTH(C5884))&amp;IF(WEEKDAY(C5884,Inputs!$C$76)&lt;=Inputs!$C$74," weekday"," weekend"),Utility_Rates!$C$28:$F$28,Inputs!$C$68)),"")</f>
      </c>
      <c r="H5884" s="34"/>
      <c r="I5884" s="42">
        <f>IF(AND(ISNUMBER(D5884),ISNUMBER(H5884)),D5884*H5884*Inputs!$C$69,"")</f>
      </c>
      <c r="J5884" s="42">
        <f>IF(AND(ISNUMBER(F5884),ISNUMBER(H5884),F5884&gt;=Inputs!$C$68),F5884*H5884*Inputs!$C$69,"")</f>
      </c>
    </row>
    <row r="5885" spans="2:10" ht="15" customHeight="1" x14ac:dyDescent="0.2">
      <c r="B5885" s="39">
        <f t="shared" si="46"/>
      </c>
      <c r="C5885" s="40">
        <f>IF(Inputs!$C$60,Inputs!$C$11+(B5885-Inputs!$C$69)/Inputs!$C$70,"")</f>
      </c>
      <c r="D5885" s="15"/>
      <c r="E5885" s="15"/>
      <c r="F5885" s="11">
        <f t="shared" si="47"/>
      </c>
      <c r="G5885" s="22" cm="1">
        <f t="array" ref="G5885">IF(AND(Inputs!$C$60,Inputs!$C$61),INDEX(Utility_Rates!$C$29:$F$52,HOUR(C5885)+Inputs!$C$69,MATCH(INDEX(Utility_Rates!$K$6:$K$17,MONTH(C5885))&amp;IF(WEEKDAY(C5885,Inputs!$C$76)&lt;=Inputs!$C$74," weekday"," weekend"),Utility_Rates!$C$28:$F$28,Inputs!$C$68)),"")</f>
      </c>
      <c r="H5885" s="34"/>
      <c r="I5885" s="42">
        <f>IF(AND(ISNUMBER(D5885),ISNUMBER(H5885)),D5885*H5885*Inputs!$C$69,"")</f>
      </c>
      <c r="J5885" s="42">
        <f>IF(AND(ISNUMBER(F5885),ISNUMBER(H5885),F5885&gt;=Inputs!$C$68),F5885*H5885*Inputs!$C$69,"")</f>
      </c>
    </row>
    <row r="5886" spans="2:10" ht="15" customHeight="1" x14ac:dyDescent="0.2">
      <c r="B5886" s="39">
        <f t="shared" si="46"/>
      </c>
      <c r="C5886" s="40">
        <f>IF(Inputs!$C$60,Inputs!$C$11+(B5886-Inputs!$C$69)/Inputs!$C$70,"")</f>
      </c>
      <c r="D5886" s="15"/>
      <c r="E5886" s="15"/>
      <c r="F5886" s="11">
        <f t="shared" si="47"/>
      </c>
      <c r="G5886" s="22" cm="1">
        <f t="array" ref="G5886">IF(AND(Inputs!$C$60,Inputs!$C$61),INDEX(Utility_Rates!$C$29:$F$52,HOUR(C5886)+Inputs!$C$69,MATCH(INDEX(Utility_Rates!$K$6:$K$17,MONTH(C5886))&amp;IF(WEEKDAY(C5886,Inputs!$C$76)&lt;=Inputs!$C$74," weekday"," weekend"),Utility_Rates!$C$28:$F$28,Inputs!$C$68)),"")</f>
      </c>
      <c r="H5886" s="34"/>
      <c r="I5886" s="42">
        <f>IF(AND(ISNUMBER(D5886),ISNUMBER(H5886)),D5886*H5886*Inputs!$C$69,"")</f>
      </c>
      <c r="J5886" s="42">
        <f>IF(AND(ISNUMBER(F5886),ISNUMBER(H5886),F5886&gt;=Inputs!$C$68),F5886*H5886*Inputs!$C$69,"")</f>
      </c>
    </row>
    <row r="5887" spans="2:10" ht="15" customHeight="1" x14ac:dyDescent="0.2">
      <c r="B5887" s="39">
        <f t="shared" si="46"/>
      </c>
      <c r="C5887" s="40">
        <f>IF(Inputs!$C$60,Inputs!$C$11+(B5887-Inputs!$C$69)/Inputs!$C$70,"")</f>
      </c>
      <c r="D5887" s="15"/>
      <c r="E5887" s="15"/>
      <c r="F5887" s="11">
        <f t="shared" si="47"/>
      </c>
      <c r="G5887" s="22" cm="1">
        <f t="array" ref="G5887">IF(AND(Inputs!$C$60,Inputs!$C$61),INDEX(Utility_Rates!$C$29:$F$52,HOUR(C5887)+Inputs!$C$69,MATCH(INDEX(Utility_Rates!$K$6:$K$17,MONTH(C5887))&amp;IF(WEEKDAY(C5887,Inputs!$C$76)&lt;=Inputs!$C$74," weekday"," weekend"),Utility_Rates!$C$28:$F$28,Inputs!$C$68)),"")</f>
      </c>
      <c r="H5887" s="34"/>
      <c r="I5887" s="42">
        <f>IF(AND(ISNUMBER(D5887),ISNUMBER(H5887)),D5887*H5887*Inputs!$C$69,"")</f>
      </c>
      <c r="J5887" s="42">
        <f>IF(AND(ISNUMBER(F5887),ISNUMBER(H5887),F5887&gt;=Inputs!$C$68),F5887*H5887*Inputs!$C$69,"")</f>
      </c>
    </row>
    <row r="5888" spans="2:10" ht="15" customHeight="1" x14ac:dyDescent="0.2">
      <c r="B5888" s="39">
        <f t="shared" si="46"/>
      </c>
      <c r="C5888" s="40">
        <f>IF(Inputs!$C$60,Inputs!$C$11+(B5888-Inputs!$C$69)/Inputs!$C$70,"")</f>
      </c>
      <c r="D5888" s="15"/>
      <c r="E5888" s="15"/>
      <c r="F5888" s="11">
        <f t="shared" si="47"/>
      </c>
      <c r="G5888" s="22" cm="1">
        <f t="array" ref="G5888">IF(AND(Inputs!$C$60,Inputs!$C$61),INDEX(Utility_Rates!$C$29:$F$52,HOUR(C5888)+Inputs!$C$69,MATCH(INDEX(Utility_Rates!$K$6:$K$17,MONTH(C5888))&amp;IF(WEEKDAY(C5888,Inputs!$C$76)&lt;=Inputs!$C$74," weekday"," weekend"),Utility_Rates!$C$28:$F$28,Inputs!$C$68)),"")</f>
      </c>
      <c r="H5888" s="34"/>
      <c r="I5888" s="42">
        <f>IF(AND(ISNUMBER(D5888),ISNUMBER(H5888)),D5888*H5888*Inputs!$C$69,"")</f>
      </c>
      <c r="J5888" s="42">
        <f>IF(AND(ISNUMBER(F5888),ISNUMBER(H5888),F5888&gt;=Inputs!$C$68),F5888*H5888*Inputs!$C$69,"")</f>
      </c>
    </row>
    <row r="5889" spans="2:10" ht="15" customHeight="1" x14ac:dyDescent="0.2">
      <c r="B5889" s="39">
        <f t="shared" si="46"/>
      </c>
      <c r="C5889" s="40">
        <f>IF(Inputs!$C$60,Inputs!$C$11+(B5889-Inputs!$C$69)/Inputs!$C$70,"")</f>
      </c>
      <c r="D5889" s="15"/>
      <c r="E5889" s="15"/>
      <c r="F5889" s="11">
        <f t="shared" si="47"/>
      </c>
      <c r="G5889" s="22" cm="1">
        <f t="array" ref="G5889">IF(AND(Inputs!$C$60,Inputs!$C$61),INDEX(Utility_Rates!$C$29:$F$52,HOUR(C5889)+Inputs!$C$69,MATCH(INDEX(Utility_Rates!$K$6:$K$17,MONTH(C5889))&amp;IF(WEEKDAY(C5889,Inputs!$C$76)&lt;=Inputs!$C$74," weekday"," weekend"),Utility_Rates!$C$28:$F$28,Inputs!$C$68)),"")</f>
      </c>
      <c r="H5889" s="34"/>
      <c r="I5889" s="42">
        <f>IF(AND(ISNUMBER(D5889),ISNUMBER(H5889)),D5889*H5889*Inputs!$C$69,"")</f>
      </c>
      <c r="J5889" s="42">
        <f>IF(AND(ISNUMBER(F5889),ISNUMBER(H5889),F5889&gt;=Inputs!$C$68),F5889*H5889*Inputs!$C$69,"")</f>
      </c>
    </row>
    <row r="5890" spans="2:10" ht="15" customHeight="1" x14ac:dyDescent="0.2">
      <c r="B5890" s="39">
        <f t="shared" si="46"/>
      </c>
      <c r="C5890" s="40">
        <f>IF(Inputs!$C$60,Inputs!$C$11+(B5890-Inputs!$C$69)/Inputs!$C$70,"")</f>
      </c>
      <c r="D5890" s="15"/>
      <c r="E5890" s="15"/>
      <c r="F5890" s="11">
        <f t="shared" si="47"/>
      </c>
      <c r="G5890" s="22" cm="1">
        <f t="array" ref="G5890">IF(AND(Inputs!$C$60,Inputs!$C$61),INDEX(Utility_Rates!$C$29:$F$52,HOUR(C5890)+Inputs!$C$69,MATCH(INDEX(Utility_Rates!$K$6:$K$17,MONTH(C5890))&amp;IF(WEEKDAY(C5890,Inputs!$C$76)&lt;=Inputs!$C$74," weekday"," weekend"),Utility_Rates!$C$28:$F$28,Inputs!$C$68)),"")</f>
      </c>
      <c r="H5890" s="34"/>
      <c r="I5890" s="42">
        <f>IF(AND(ISNUMBER(D5890),ISNUMBER(H5890)),D5890*H5890*Inputs!$C$69,"")</f>
      </c>
      <c r="J5890" s="42">
        <f>IF(AND(ISNUMBER(F5890),ISNUMBER(H5890),F5890&gt;=Inputs!$C$68),F5890*H5890*Inputs!$C$69,"")</f>
      </c>
    </row>
    <row r="5891" spans="2:10" ht="15" customHeight="1" x14ac:dyDescent="0.2">
      <c r="B5891" s="39">
        <f t="shared" si="46"/>
      </c>
      <c r="C5891" s="40">
        <f>IF(Inputs!$C$60,Inputs!$C$11+(B5891-Inputs!$C$69)/Inputs!$C$70,"")</f>
      </c>
      <c r="D5891" s="15"/>
      <c r="E5891" s="15"/>
      <c r="F5891" s="11">
        <f t="shared" si="47"/>
      </c>
      <c r="G5891" s="22" cm="1">
        <f t="array" ref="G5891">IF(AND(Inputs!$C$60,Inputs!$C$61),INDEX(Utility_Rates!$C$29:$F$52,HOUR(C5891)+Inputs!$C$69,MATCH(INDEX(Utility_Rates!$K$6:$K$17,MONTH(C5891))&amp;IF(WEEKDAY(C5891,Inputs!$C$76)&lt;=Inputs!$C$74," weekday"," weekend"),Utility_Rates!$C$28:$F$28,Inputs!$C$68)),"")</f>
      </c>
      <c r="H5891" s="34"/>
      <c r="I5891" s="42">
        <f>IF(AND(ISNUMBER(D5891),ISNUMBER(H5891)),D5891*H5891*Inputs!$C$69,"")</f>
      </c>
      <c r="J5891" s="42">
        <f>IF(AND(ISNUMBER(F5891),ISNUMBER(H5891),F5891&gt;=Inputs!$C$68),F5891*H5891*Inputs!$C$69,"")</f>
      </c>
    </row>
    <row r="5892" spans="2:10" ht="15" customHeight="1" x14ac:dyDescent="0.2">
      <c r="B5892" s="39">
        <f t="shared" si="46"/>
      </c>
      <c r="C5892" s="40">
        <f>IF(Inputs!$C$60,Inputs!$C$11+(B5892-Inputs!$C$69)/Inputs!$C$70,"")</f>
      </c>
      <c r="D5892" s="15"/>
      <c r="E5892" s="15"/>
      <c r="F5892" s="11">
        <f t="shared" si="47"/>
      </c>
      <c r="G5892" s="22" cm="1">
        <f t="array" ref="G5892">IF(AND(Inputs!$C$60,Inputs!$C$61),INDEX(Utility_Rates!$C$29:$F$52,HOUR(C5892)+Inputs!$C$69,MATCH(INDEX(Utility_Rates!$K$6:$K$17,MONTH(C5892))&amp;IF(WEEKDAY(C5892,Inputs!$C$76)&lt;=Inputs!$C$74," weekday"," weekend"),Utility_Rates!$C$28:$F$28,Inputs!$C$68)),"")</f>
      </c>
      <c r="H5892" s="34"/>
      <c r="I5892" s="42">
        <f>IF(AND(ISNUMBER(D5892),ISNUMBER(H5892)),D5892*H5892*Inputs!$C$69,"")</f>
      </c>
      <c r="J5892" s="42">
        <f>IF(AND(ISNUMBER(F5892),ISNUMBER(H5892),F5892&gt;=Inputs!$C$68),F5892*H5892*Inputs!$C$69,"")</f>
      </c>
    </row>
    <row r="5893" spans="2:10" ht="15" customHeight="1" x14ac:dyDescent="0.2">
      <c r="B5893" s="39">
        <f t="shared" si="46"/>
      </c>
      <c r="C5893" s="40">
        <f>IF(Inputs!$C$60,Inputs!$C$11+(B5893-Inputs!$C$69)/Inputs!$C$70,"")</f>
      </c>
      <c r="D5893" s="15"/>
      <c r="E5893" s="15"/>
      <c r="F5893" s="11">
        <f t="shared" si="47"/>
      </c>
      <c r="G5893" s="22" cm="1">
        <f t="array" ref="G5893">IF(AND(Inputs!$C$60,Inputs!$C$61),INDEX(Utility_Rates!$C$29:$F$52,HOUR(C5893)+Inputs!$C$69,MATCH(INDEX(Utility_Rates!$K$6:$K$17,MONTH(C5893))&amp;IF(WEEKDAY(C5893,Inputs!$C$76)&lt;=Inputs!$C$74," weekday"," weekend"),Utility_Rates!$C$28:$F$28,Inputs!$C$68)),"")</f>
      </c>
      <c r="H5893" s="34"/>
      <c r="I5893" s="42">
        <f>IF(AND(ISNUMBER(D5893),ISNUMBER(H5893)),D5893*H5893*Inputs!$C$69,"")</f>
      </c>
      <c r="J5893" s="42">
        <f>IF(AND(ISNUMBER(F5893),ISNUMBER(H5893),F5893&gt;=Inputs!$C$68),F5893*H5893*Inputs!$C$69,"")</f>
      </c>
    </row>
    <row r="5894" spans="2:10" ht="15" customHeight="1" x14ac:dyDescent="0.2">
      <c r="B5894" s="39">
        <f t="shared" si="46"/>
      </c>
      <c r="C5894" s="40">
        <f>IF(Inputs!$C$60,Inputs!$C$11+(B5894-Inputs!$C$69)/Inputs!$C$70,"")</f>
      </c>
      <c r="D5894" s="15"/>
      <c r="E5894" s="15"/>
      <c r="F5894" s="11">
        <f t="shared" si="47"/>
      </c>
      <c r="G5894" s="22" cm="1">
        <f t="array" ref="G5894">IF(AND(Inputs!$C$60,Inputs!$C$61),INDEX(Utility_Rates!$C$29:$F$52,HOUR(C5894)+Inputs!$C$69,MATCH(INDEX(Utility_Rates!$K$6:$K$17,MONTH(C5894))&amp;IF(WEEKDAY(C5894,Inputs!$C$76)&lt;=Inputs!$C$74," weekday"," weekend"),Utility_Rates!$C$28:$F$28,Inputs!$C$68)),"")</f>
      </c>
      <c r="H5894" s="34"/>
      <c r="I5894" s="42">
        <f>IF(AND(ISNUMBER(D5894),ISNUMBER(H5894)),D5894*H5894*Inputs!$C$69,"")</f>
      </c>
      <c r="J5894" s="42">
        <f>IF(AND(ISNUMBER(F5894),ISNUMBER(H5894),F5894&gt;=Inputs!$C$68),F5894*H5894*Inputs!$C$69,"")</f>
      </c>
    </row>
    <row r="5895" spans="2:10" ht="15" customHeight="1" x14ac:dyDescent="0.2">
      <c r="B5895" s="39">
        <f t="shared" si="46"/>
      </c>
      <c r="C5895" s="40">
        <f>IF(Inputs!$C$60,Inputs!$C$11+(B5895-Inputs!$C$69)/Inputs!$C$70,"")</f>
      </c>
      <c r="D5895" s="15"/>
      <c r="E5895" s="15"/>
      <c r="F5895" s="11">
        <f t="shared" si="47"/>
      </c>
      <c r="G5895" s="22" cm="1">
        <f t="array" ref="G5895">IF(AND(Inputs!$C$60,Inputs!$C$61),INDEX(Utility_Rates!$C$29:$F$52,HOUR(C5895)+Inputs!$C$69,MATCH(INDEX(Utility_Rates!$K$6:$K$17,MONTH(C5895))&amp;IF(WEEKDAY(C5895,Inputs!$C$76)&lt;=Inputs!$C$74," weekday"," weekend"),Utility_Rates!$C$28:$F$28,Inputs!$C$68)),"")</f>
      </c>
      <c r="H5895" s="34"/>
      <c r="I5895" s="42">
        <f>IF(AND(ISNUMBER(D5895),ISNUMBER(H5895)),D5895*H5895*Inputs!$C$69,"")</f>
      </c>
      <c r="J5895" s="42">
        <f>IF(AND(ISNUMBER(F5895),ISNUMBER(H5895),F5895&gt;=Inputs!$C$68),F5895*H5895*Inputs!$C$69,"")</f>
      </c>
    </row>
    <row r="5896" spans="2:10" ht="15" customHeight="1" x14ac:dyDescent="0.2">
      <c r="B5896" s="39">
        <f t="shared" si="46"/>
      </c>
      <c r="C5896" s="40">
        <f>IF(Inputs!$C$60,Inputs!$C$11+(B5896-Inputs!$C$69)/Inputs!$C$70,"")</f>
      </c>
      <c r="D5896" s="15"/>
      <c r="E5896" s="15"/>
      <c r="F5896" s="11">
        <f t="shared" si="47"/>
      </c>
      <c r="G5896" s="22" cm="1">
        <f t="array" ref="G5896">IF(AND(Inputs!$C$60,Inputs!$C$61),INDEX(Utility_Rates!$C$29:$F$52,HOUR(C5896)+Inputs!$C$69,MATCH(INDEX(Utility_Rates!$K$6:$K$17,MONTH(C5896))&amp;IF(WEEKDAY(C5896,Inputs!$C$76)&lt;=Inputs!$C$74," weekday"," weekend"),Utility_Rates!$C$28:$F$28,Inputs!$C$68)),"")</f>
      </c>
      <c r="H5896" s="34"/>
      <c r="I5896" s="42">
        <f>IF(AND(ISNUMBER(D5896),ISNUMBER(H5896)),D5896*H5896*Inputs!$C$69,"")</f>
      </c>
      <c r="J5896" s="42">
        <f>IF(AND(ISNUMBER(F5896),ISNUMBER(H5896),F5896&gt;=Inputs!$C$68),F5896*H5896*Inputs!$C$69,"")</f>
      </c>
    </row>
    <row r="5897" spans="2:10" ht="15" customHeight="1" x14ac:dyDescent="0.2">
      <c r="B5897" s="39">
        <f t="shared" si="46"/>
      </c>
      <c r="C5897" s="40">
        <f>IF(Inputs!$C$60,Inputs!$C$11+(B5897-Inputs!$C$69)/Inputs!$C$70,"")</f>
      </c>
      <c r="D5897" s="15"/>
      <c r="E5897" s="15"/>
      <c r="F5897" s="11">
        <f t="shared" si="47"/>
      </c>
      <c r="G5897" s="22" cm="1">
        <f t="array" ref="G5897">IF(AND(Inputs!$C$60,Inputs!$C$61),INDEX(Utility_Rates!$C$29:$F$52,HOUR(C5897)+Inputs!$C$69,MATCH(INDEX(Utility_Rates!$K$6:$K$17,MONTH(C5897))&amp;IF(WEEKDAY(C5897,Inputs!$C$76)&lt;=Inputs!$C$74," weekday"," weekend"),Utility_Rates!$C$28:$F$28,Inputs!$C$68)),"")</f>
      </c>
      <c r="H5897" s="34"/>
      <c r="I5897" s="42">
        <f>IF(AND(ISNUMBER(D5897),ISNUMBER(H5897)),D5897*H5897*Inputs!$C$69,"")</f>
      </c>
      <c r="J5897" s="42">
        <f>IF(AND(ISNUMBER(F5897),ISNUMBER(H5897),F5897&gt;=Inputs!$C$68),F5897*H5897*Inputs!$C$69,"")</f>
      </c>
    </row>
    <row r="5898" spans="2:10" ht="15" customHeight="1" x14ac:dyDescent="0.2">
      <c r="B5898" s="39">
        <f t="shared" si="46"/>
      </c>
      <c r="C5898" s="40">
        <f>IF(Inputs!$C$60,Inputs!$C$11+(B5898-Inputs!$C$69)/Inputs!$C$70,"")</f>
      </c>
      <c r="D5898" s="15"/>
      <c r="E5898" s="15"/>
      <c r="F5898" s="11">
        <f t="shared" si="47"/>
      </c>
      <c r="G5898" s="22" cm="1">
        <f t="array" ref="G5898">IF(AND(Inputs!$C$60,Inputs!$C$61),INDEX(Utility_Rates!$C$29:$F$52,HOUR(C5898)+Inputs!$C$69,MATCH(INDEX(Utility_Rates!$K$6:$K$17,MONTH(C5898))&amp;IF(WEEKDAY(C5898,Inputs!$C$76)&lt;=Inputs!$C$74," weekday"," weekend"),Utility_Rates!$C$28:$F$28,Inputs!$C$68)),"")</f>
      </c>
      <c r="H5898" s="34"/>
      <c r="I5898" s="42">
        <f>IF(AND(ISNUMBER(D5898),ISNUMBER(H5898)),D5898*H5898*Inputs!$C$69,"")</f>
      </c>
      <c r="J5898" s="42">
        <f>IF(AND(ISNUMBER(F5898),ISNUMBER(H5898),F5898&gt;=Inputs!$C$68),F5898*H5898*Inputs!$C$69,"")</f>
      </c>
    </row>
    <row r="5899" spans="2:10" ht="15" customHeight="1" x14ac:dyDescent="0.2">
      <c r="B5899" s="39">
        <f t="shared" si="46"/>
      </c>
      <c r="C5899" s="40">
        <f>IF(Inputs!$C$60,Inputs!$C$11+(B5899-Inputs!$C$69)/Inputs!$C$70,"")</f>
      </c>
      <c r="D5899" s="15"/>
      <c r="E5899" s="15"/>
      <c r="F5899" s="11">
        <f t="shared" si="47"/>
      </c>
      <c r="G5899" s="22" cm="1">
        <f t="array" ref="G5899">IF(AND(Inputs!$C$60,Inputs!$C$61),INDEX(Utility_Rates!$C$29:$F$52,HOUR(C5899)+Inputs!$C$69,MATCH(INDEX(Utility_Rates!$K$6:$K$17,MONTH(C5899))&amp;IF(WEEKDAY(C5899,Inputs!$C$76)&lt;=Inputs!$C$74," weekday"," weekend"),Utility_Rates!$C$28:$F$28,Inputs!$C$68)),"")</f>
      </c>
      <c r="H5899" s="34"/>
      <c r="I5899" s="42">
        <f>IF(AND(ISNUMBER(D5899),ISNUMBER(H5899)),D5899*H5899*Inputs!$C$69,"")</f>
      </c>
      <c r="J5899" s="42">
        <f>IF(AND(ISNUMBER(F5899),ISNUMBER(H5899),F5899&gt;=Inputs!$C$68),F5899*H5899*Inputs!$C$69,"")</f>
      </c>
    </row>
    <row r="5900" spans="2:10" ht="15" customHeight="1" x14ac:dyDescent="0.2">
      <c r="B5900" s="39">
        <f t="shared" si="46"/>
      </c>
      <c r="C5900" s="40">
        <f>IF(Inputs!$C$60,Inputs!$C$11+(B5900-Inputs!$C$69)/Inputs!$C$70,"")</f>
      </c>
      <c r="D5900" s="15"/>
      <c r="E5900" s="15"/>
      <c r="F5900" s="11">
        <f t="shared" si="47"/>
      </c>
      <c r="G5900" s="22" cm="1">
        <f t="array" ref="G5900">IF(AND(Inputs!$C$60,Inputs!$C$61),INDEX(Utility_Rates!$C$29:$F$52,HOUR(C5900)+Inputs!$C$69,MATCH(INDEX(Utility_Rates!$K$6:$K$17,MONTH(C5900))&amp;IF(WEEKDAY(C5900,Inputs!$C$76)&lt;=Inputs!$C$74," weekday"," weekend"),Utility_Rates!$C$28:$F$28,Inputs!$C$68)),"")</f>
      </c>
      <c r="H5900" s="34"/>
      <c r="I5900" s="42">
        <f>IF(AND(ISNUMBER(D5900),ISNUMBER(H5900)),D5900*H5900*Inputs!$C$69,"")</f>
      </c>
      <c r="J5900" s="42">
        <f>IF(AND(ISNUMBER(F5900),ISNUMBER(H5900),F5900&gt;=Inputs!$C$68),F5900*H5900*Inputs!$C$69,"")</f>
      </c>
    </row>
    <row r="5901" spans="2:10" ht="15" customHeight="1" x14ac:dyDescent="0.2">
      <c r="B5901" s="39">
        <f t="shared" si="46"/>
      </c>
      <c r="C5901" s="40">
        <f>IF(Inputs!$C$60,Inputs!$C$11+(B5901-Inputs!$C$69)/Inputs!$C$70,"")</f>
      </c>
      <c r="D5901" s="15"/>
      <c r="E5901" s="15"/>
      <c r="F5901" s="11">
        <f t="shared" si="47"/>
      </c>
      <c r="G5901" s="22" cm="1">
        <f t="array" ref="G5901">IF(AND(Inputs!$C$60,Inputs!$C$61),INDEX(Utility_Rates!$C$29:$F$52,HOUR(C5901)+Inputs!$C$69,MATCH(INDEX(Utility_Rates!$K$6:$K$17,MONTH(C5901))&amp;IF(WEEKDAY(C5901,Inputs!$C$76)&lt;=Inputs!$C$74," weekday"," weekend"),Utility_Rates!$C$28:$F$28,Inputs!$C$68)),"")</f>
      </c>
      <c r="H5901" s="34"/>
      <c r="I5901" s="42">
        <f>IF(AND(ISNUMBER(D5901),ISNUMBER(H5901)),D5901*H5901*Inputs!$C$69,"")</f>
      </c>
      <c r="J5901" s="42">
        <f>IF(AND(ISNUMBER(F5901),ISNUMBER(H5901),F5901&gt;=Inputs!$C$68),F5901*H5901*Inputs!$C$69,"")</f>
      </c>
    </row>
    <row r="5902" spans="2:10" ht="15" customHeight="1" x14ac:dyDescent="0.2">
      <c r="B5902" s="39">
        <f t="shared" si="46"/>
      </c>
      <c r="C5902" s="40">
        <f>IF(Inputs!$C$60,Inputs!$C$11+(B5902-Inputs!$C$69)/Inputs!$C$70,"")</f>
      </c>
      <c r="D5902" s="15"/>
      <c r="E5902" s="15"/>
      <c r="F5902" s="11">
        <f t="shared" si="47"/>
      </c>
      <c r="G5902" s="22" cm="1">
        <f t="array" ref="G5902">IF(AND(Inputs!$C$60,Inputs!$C$61),INDEX(Utility_Rates!$C$29:$F$52,HOUR(C5902)+Inputs!$C$69,MATCH(INDEX(Utility_Rates!$K$6:$K$17,MONTH(C5902))&amp;IF(WEEKDAY(C5902,Inputs!$C$76)&lt;=Inputs!$C$74," weekday"," weekend"),Utility_Rates!$C$28:$F$28,Inputs!$C$68)),"")</f>
      </c>
      <c r="H5902" s="34"/>
      <c r="I5902" s="42">
        <f>IF(AND(ISNUMBER(D5902),ISNUMBER(H5902)),D5902*H5902*Inputs!$C$69,"")</f>
      </c>
      <c r="J5902" s="42">
        <f>IF(AND(ISNUMBER(F5902),ISNUMBER(H5902),F5902&gt;=Inputs!$C$68),F5902*H5902*Inputs!$C$69,"")</f>
      </c>
    </row>
    <row r="5903" spans="2:10" ht="15" customHeight="1" x14ac:dyDescent="0.2">
      <c r="B5903" s="39">
        <f t="shared" si="46"/>
      </c>
      <c r="C5903" s="40">
        <f>IF(Inputs!$C$60,Inputs!$C$11+(B5903-Inputs!$C$69)/Inputs!$C$70,"")</f>
      </c>
      <c r="D5903" s="15"/>
      <c r="E5903" s="15"/>
      <c r="F5903" s="11">
        <f t="shared" si="47"/>
      </c>
      <c r="G5903" s="22" cm="1">
        <f t="array" ref="G5903">IF(AND(Inputs!$C$60,Inputs!$C$61),INDEX(Utility_Rates!$C$29:$F$52,HOUR(C5903)+Inputs!$C$69,MATCH(INDEX(Utility_Rates!$K$6:$K$17,MONTH(C5903))&amp;IF(WEEKDAY(C5903,Inputs!$C$76)&lt;=Inputs!$C$74," weekday"," weekend"),Utility_Rates!$C$28:$F$28,Inputs!$C$68)),"")</f>
      </c>
      <c r="H5903" s="34"/>
      <c r="I5903" s="42">
        <f>IF(AND(ISNUMBER(D5903),ISNUMBER(H5903)),D5903*H5903*Inputs!$C$69,"")</f>
      </c>
      <c r="J5903" s="42">
        <f>IF(AND(ISNUMBER(F5903),ISNUMBER(H5903),F5903&gt;=Inputs!$C$68),F5903*H5903*Inputs!$C$69,"")</f>
      </c>
    </row>
    <row r="5904" spans="2:10" ht="15" customHeight="1" x14ac:dyDescent="0.2">
      <c r="B5904" s="39">
        <f t="shared" si="46"/>
      </c>
      <c r="C5904" s="40">
        <f>IF(Inputs!$C$60,Inputs!$C$11+(B5904-Inputs!$C$69)/Inputs!$C$70,"")</f>
      </c>
      <c r="D5904" s="15"/>
      <c r="E5904" s="15"/>
      <c r="F5904" s="11">
        <f t="shared" si="47"/>
      </c>
      <c r="G5904" s="22" cm="1">
        <f t="array" ref="G5904">IF(AND(Inputs!$C$60,Inputs!$C$61),INDEX(Utility_Rates!$C$29:$F$52,HOUR(C5904)+Inputs!$C$69,MATCH(INDEX(Utility_Rates!$K$6:$K$17,MONTH(C5904))&amp;IF(WEEKDAY(C5904,Inputs!$C$76)&lt;=Inputs!$C$74," weekday"," weekend"),Utility_Rates!$C$28:$F$28,Inputs!$C$68)),"")</f>
      </c>
      <c r="H5904" s="34"/>
      <c r="I5904" s="42">
        <f>IF(AND(ISNUMBER(D5904),ISNUMBER(H5904)),D5904*H5904*Inputs!$C$69,"")</f>
      </c>
      <c r="J5904" s="42">
        <f>IF(AND(ISNUMBER(F5904),ISNUMBER(H5904),F5904&gt;=Inputs!$C$68),F5904*H5904*Inputs!$C$69,"")</f>
      </c>
    </row>
    <row r="5905" spans="2:10" ht="15" customHeight="1" x14ac:dyDescent="0.2">
      <c r="B5905" s="39">
        <f t="shared" si="46"/>
      </c>
      <c r="C5905" s="40">
        <f>IF(Inputs!$C$60,Inputs!$C$11+(B5905-Inputs!$C$69)/Inputs!$C$70,"")</f>
      </c>
      <c r="D5905" s="15"/>
      <c r="E5905" s="15"/>
      <c r="F5905" s="11">
        <f t="shared" si="47"/>
      </c>
      <c r="G5905" s="22" cm="1">
        <f t="array" ref="G5905">IF(AND(Inputs!$C$60,Inputs!$C$61),INDEX(Utility_Rates!$C$29:$F$52,HOUR(C5905)+Inputs!$C$69,MATCH(INDEX(Utility_Rates!$K$6:$K$17,MONTH(C5905))&amp;IF(WEEKDAY(C5905,Inputs!$C$76)&lt;=Inputs!$C$74," weekday"," weekend"),Utility_Rates!$C$28:$F$28,Inputs!$C$68)),"")</f>
      </c>
      <c r="H5905" s="34"/>
      <c r="I5905" s="42">
        <f>IF(AND(ISNUMBER(D5905),ISNUMBER(H5905)),D5905*H5905*Inputs!$C$69,"")</f>
      </c>
      <c r="J5905" s="42">
        <f>IF(AND(ISNUMBER(F5905),ISNUMBER(H5905),F5905&gt;=Inputs!$C$68),F5905*H5905*Inputs!$C$69,"")</f>
      </c>
    </row>
    <row r="5906" spans="2:10" ht="15" customHeight="1" x14ac:dyDescent="0.2">
      <c r="B5906" s="39">
        <f t="shared" si="46"/>
      </c>
      <c r="C5906" s="40">
        <f>IF(Inputs!$C$60,Inputs!$C$11+(B5906-Inputs!$C$69)/Inputs!$C$70,"")</f>
      </c>
      <c r="D5906" s="15"/>
      <c r="E5906" s="15"/>
      <c r="F5906" s="11">
        <f t="shared" si="47"/>
      </c>
      <c r="G5906" s="22" cm="1">
        <f t="array" ref="G5906">IF(AND(Inputs!$C$60,Inputs!$C$61),INDEX(Utility_Rates!$C$29:$F$52,HOUR(C5906)+Inputs!$C$69,MATCH(INDEX(Utility_Rates!$K$6:$K$17,MONTH(C5906))&amp;IF(WEEKDAY(C5906,Inputs!$C$76)&lt;=Inputs!$C$74," weekday"," weekend"),Utility_Rates!$C$28:$F$28,Inputs!$C$68)),"")</f>
      </c>
      <c r="H5906" s="34"/>
      <c r="I5906" s="42">
        <f>IF(AND(ISNUMBER(D5906),ISNUMBER(H5906)),D5906*H5906*Inputs!$C$69,"")</f>
      </c>
      <c r="J5906" s="42">
        <f>IF(AND(ISNUMBER(F5906),ISNUMBER(H5906),F5906&gt;=Inputs!$C$68),F5906*H5906*Inputs!$C$69,"")</f>
      </c>
    </row>
    <row r="5907" spans="2:10" ht="15" customHeight="1" x14ac:dyDescent="0.2">
      <c r="B5907" s="39">
        <f t="shared" si="46"/>
      </c>
      <c r="C5907" s="40">
        <f>IF(Inputs!$C$60,Inputs!$C$11+(B5907-Inputs!$C$69)/Inputs!$C$70,"")</f>
      </c>
      <c r="D5907" s="15"/>
      <c r="E5907" s="15"/>
      <c r="F5907" s="11">
        <f t="shared" si="47"/>
      </c>
      <c r="G5907" s="22" cm="1">
        <f t="array" ref="G5907">IF(AND(Inputs!$C$60,Inputs!$C$61),INDEX(Utility_Rates!$C$29:$F$52,HOUR(C5907)+Inputs!$C$69,MATCH(INDEX(Utility_Rates!$K$6:$K$17,MONTH(C5907))&amp;IF(WEEKDAY(C5907,Inputs!$C$76)&lt;=Inputs!$C$74," weekday"," weekend"),Utility_Rates!$C$28:$F$28,Inputs!$C$68)),"")</f>
      </c>
      <c r="H5907" s="34"/>
      <c r="I5907" s="42">
        <f>IF(AND(ISNUMBER(D5907),ISNUMBER(H5907)),D5907*H5907*Inputs!$C$69,"")</f>
      </c>
      <c r="J5907" s="42">
        <f>IF(AND(ISNUMBER(F5907),ISNUMBER(H5907),F5907&gt;=Inputs!$C$68),F5907*H5907*Inputs!$C$69,"")</f>
      </c>
    </row>
    <row r="5908" spans="2:10" ht="15" customHeight="1" x14ac:dyDescent="0.2">
      <c r="B5908" s="39">
        <f t="shared" si="46"/>
      </c>
      <c r="C5908" s="40">
        <f>IF(Inputs!$C$60,Inputs!$C$11+(B5908-Inputs!$C$69)/Inputs!$C$70,"")</f>
      </c>
      <c r="D5908" s="15"/>
      <c r="E5908" s="15"/>
      <c r="F5908" s="11">
        <f t="shared" si="47"/>
      </c>
      <c r="G5908" s="22" cm="1">
        <f t="array" ref="G5908">IF(AND(Inputs!$C$60,Inputs!$C$61),INDEX(Utility_Rates!$C$29:$F$52,HOUR(C5908)+Inputs!$C$69,MATCH(INDEX(Utility_Rates!$K$6:$K$17,MONTH(C5908))&amp;IF(WEEKDAY(C5908,Inputs!$C$76)&lt;=Inputs!$C$74," weekday"," weekend"),Utility_Rates!$C$28:$F$28,Inputs!$C$68)),"")</f>
      </c>
      <c r="H5908" s="34"/>
      <c r="I5908" s="42">
        <f>IF(AND(ISNUMBER(D5908),ISNUMBER(H5908)),D5908*H5908*Inputs!$C$69,"")</f>
      </c>
      <c r="J5908" s="42">
        <f>IF(AND(ISNUMBER(F5908),ISNUMBER(H5908),F5908&gt;=Inputs!$C$68),F5908*H5908*Inputs!$C$69,"")</f>
      </c>
    </row>
    <row r="5909" spans="2:10" ht="15" customHeight="1" x14ac:dyDescent="0.2">
      <c r="B5909" s="39">
        <f t="shared" si="46"/>
      </c>
      <c r="C5909" s="40">
        <f>IF(Inputs!$C$60,Inputs!$C$11+(B5909-Inputs!$C$69)/Inputs!$C$70,"")</f>
      </c>
      <c r="D5909" s="15"/>
      <c r="E5909" s="15"/>
      <c r="F5909" s="11">
        <f t="shared" si="47"/>
      </c>
      <c r="G5909" s="22" cm="1">
        <f t="array" ref="G5909">IF(AND(Inputs!$C$60,Inputs!$C$61),INDEX(Utility_Rates!$C$29:$F$52,HOUR(C5909)+Inputs!$C$69,MATCH(INDEX(Utility_Rates!$K$6:$K$17,MONTH(C5909))&amp;IF(WEEKDAY(C5909,Inputs!$C$76)&lt;=Inputs!$C$74," weekday"," weekend"),Utility_Rates!$C$28:$F$28,Inputs!$C$68)),"")</f>
      </c>
      <c r="H5909" s="34"/>
      <c r="I5909" s="42">
        <f>IF(AND(ISNUMBER(D5909),ISNUMBER(H5909)),D5909*H5909*Inputs!$C$69,"")</f>
      </c>
      <c r="J5909" s="42">
        <f>IF(AND(ISNUMBER(F5909),ISNUMBER(H5909),F5909&gt;=Inputs!$C$68),F5909*H5909*Inputs!$C$69,"")</f>
      </c>
    </row>
    <row r="5910" spans="2:10" ht="15" customHeight="1" x14ac:dyDescent="0.2">
      <c r="B5910" s="39">
        <f t="shared" si="46"/>
      </c>
      <c r="C5910" s="40">
        <f>IF(Inputs!$C$60,Inputs!$C$11+(B5910-Inputs!$C$69)/Inputs!$C$70,"")</f>
      </c>
      <c r="D5910" s="15"/>
      <c r="E5910" s="15"/>
      <c r="F5910" s="11">
        <f t="shared" si="47"/>
      </c>
      <c r="G5910" s="22" cm="1">
        <f t="array" ref="G5910">IF(AND(Inputs!$C$60,Inputs!$C$61),INDEX(Utility_Rates!$C$29:$F$52,HOUR(C5910)+Inputs!$C$69,MATCH(INDEX(Utility_Rates!$K$6:$K$17,MONTH(C5910))&amp;IF(WEEKDAY(C5910,Inputs!$C$76)&lt;=Inputs!$C$74," weekday"," weekend"),Utility_Rates!$C$28:$F$28,Inputs!$C$68)),"")</f>
      </c>
      <c r="H5910" s="34"/>
      <c r="I5910" s="42">
        <f>IF(AND(ISNUMBER(D5910),ISNUMBER(H5910)),D5910*H5910*Inputs!$C$69,"")</f>
      </c>
      <c r="J5910" s="42">
        <f>IF(AND(ISNUMBER(F5910),ISNUMBER(H5910),F5910&gt;=Inputs!$C$68),F5910*H5910*Inputs!$C$69,"")</f>
      </c>
    </row>
    <row r="5911" spans="2:10" ht="15" customHeight="1" x14ac:dyDescent="0.2">
      <c r="B5911" s="39">
        <f t="shared" si="46"/>
      </c>
      <c r="C5911" s="40">
        <f>IF(Inputs!$C$60,Inputs!$C$11+(B5911-Inputs!$C$69)/Inputs!$C$70,"")</f>
      </c>
      <c r="D5911" s="15"/>
      <c r="E5911" s="15"/>
      <c r="F5911" s="11">
        <f t="shared" si="47"/>
      </c>
      <c r="G5911" s="22" cm="1">
        <f t="array" ref="G5911">IF(AND(Inputs!$C$60,Inputs!$C$61),INDEX(Utility_Rates!$C$29:$F$52,HOUR(C5911)+Inputs!$C$69,MATCH(INDEX(Utility_Rates!$K$6:$K$17,MONTH(C5911))&amp;IF(WEEKDAY(C5911,Inputs!$C$76)&lt;=Inputs!$C$74," weekday"," weekend"),Utility_Rates!$C$28:$F$28,Inputs!$C$68)),"")</f>
      </c>
      <c r="H5911" s="34"/>
      <c r="I5911" s="42">
        <f>IF(AND(ISNUMBER(D5911),ISNUMBER(H5911)),D5911*H5911*Inputs!$C$69,"")</f>
      </c>
      <c r="J5911" s="42">
        <f>IF(AND(ISNUMBER(F5911),ISNUMBER(H5911),F5911&gt;=Inputs!$C$68),F5911*H5911*Inputs!$C$69,"")</f>
      </c>
    </row>
    <row r="5912" spans="2:10" ht="15" customHeight="1" x14ac:dyDescent="0.2">
      <c r="B5912" s="39">
        <f t="shared" si="46"/>
      </c>
      <c r="C5912" s="40">
        <f>IF(Inputs!$C$60,Inputs!$C$11+(B5912-Inputs!$C$69)/Inputs!$C$70,"")</f>
      </c>
      <c r="D5912" s="15"/>
      <c r="E5912" s="15"/>
      <c r="F5912" s="11">
        <f t="shared" si="47"/>
      </c>
      <c r="G5912" s="22" cm="1">
        <f t="array" ref="G5912">IF(AND(Inputs!$C$60,Inputs!$C$61),INDEX(Utility_Rates!$C$29:$F$52,HOUR(C5912)+Inputs!$C$69,MATCH(INDEX(Utility_Rates!$K$6:$K$17,MONTH(C5912))&amp;IF(WEEKDAY(C5912,Inputs!$C$76)&lt;=Inputs!$C$74," weekday"," weekend"),Utility_Rates!$C$28:$F$28,Inputs!$C$68)),"")</f>
      </c>
      <c r="H5912" s="34"/>
      <c r="I5912" s="42">
        <f>IF(AND(ISNUMBER(D5912),ISNUMBER(H5912)),D5912*H5912*Inputs!$C$69,"")</f>
      </c>
      <c r="J5912" s="42">
        <f>IF(AND(ISNUMBER(F5912),ISNUMBER(H5912),F5912&gt;=Inputs!$C$68),F5912*H5912*Inputs!$C$69,"")</f>
      </c>
    </row>
    <row r="5913" spans="2:10" ht="15" customHeight="1" x14ac:dyDescent="0.2">
      <c r="B5913" s="39">
        <f t="shared" si="46"/>
      </c>
      <c r="C5913" s="40">
        <f>IF(Inputs!$C$60,Inputs!$C$11+(B5913-Inputs!$C$69)/Inputs!$C$70,"")</f>
      </c>
      <c r="D5913" s="15"/>
      <c r="E5913" s="15"/>
      <c r="F5913" s="11">
        <f t="shared" si="47"/>
      </c>
      <c r="G5913" s="22" cm="1">
        <f t="array" ref="G5913">IF(AND(Inputs!$C$60,Inputs!$C$61),INDEX(Utility_Rates!$C$29:$F$52,HOUR(C5913)+Inputs!$C$69,MATCH(INDEX(Utility_Rates!$K$6:$K$17,MONTH(C5913))&amp;IF(WEEKDAY(C5913,Inputs!$C$76)&lt;=Inputs!$C$74," weekday"," weekend"),Utility_Rates!$C$28:$F$28,Inputs!$C$68)),"")</f>
      </c>
      <c r="H5913" s="34"/>
      <c r="I5913" s="42">
        <f>IF(AND(ISNUMBER(D5913),ISNUMBER(H5913)),D5913*H5913*Inputs!$C$69,"")</f>
      </c>
      <c r="J5913" s="42">
        <f>IF(AND(ISNUMBER(F5913),ISNUMBER(H5913),F5913&gt;=Inputs!$C$68),F5913*H5913*Inputs!$C$69,"")</f>
      </c>
    </row>
    <row r="5914" spans="2:10" ht="15" customHeight="1" x14ac:dyDescent="0.2">
      <c r="B5914" s="39">
        <f t="shared" si="46"/>
      </c>
      <c r="C5914" s="40">
        <f>IF(Inputs!$C$60,Inputs!$C$11+(B5914-Inputs!$C$69)/Inputs!$C$70,"")</f>
      </c>
      <c r="D5914" s="15"/>
      <c r="E5914" s="15"/>
      <c r="F5914" s="11">
        <f t="shared" si="47"/>
      </c>
      <c r="G5914" s="22" cm="1">
        <f t="array" ref="G5914">IF(AND(Inputs!$C$60,Inputs!$C$61),INDEX(Utility_Rates!$C$29:$F$52,HOUR(C5914)+Inputs!$C$69,MATCH(INDEX(Utility_Rates!$K$6:$K$17,MONTH(C5914))&amp;IF(WEEKDAY(C5914,Inputs!$C$76)&lt;=Inputs!$C$74," weekday"," weekend"),Utility_Rates!$C$28:$F$28,Inputs!$C$68)),"")</f>
      </c>
      <c r="H5914" s="34"/>
      <c r="I5914" s="42">
        <f>IF(AND(ISNUMBER(D5914),ISNUMBER(H5914)),D5914*H5914*Inputs!$C$69,"")</f>
      </c>
      <c r="J5914" s="42">
        <f>IF(AND(ISNUMBER(F5914),ISNUMBER(H5914),F5914&gt;=Inputs!$C$68),F5914*H5914*Inputs!$C$69,"")</f>
      </c>
    </row>
    <row r="5915" spans="2:10" ht="15" customHeight="1" x14ac:dyDescent="0.2">
      <c r="B5915" s="39">
        <f t="shared" si="46"/>
      </c>
      <c r="C5915" s="40">
        <f>IF(Inputs!$C$60,Inputs!$C$11+(B5915-Inputs!$C$69)/Inputs!$C$70,"")</f>
      </c>
      <c r="D5915" s="15"/>
      <c r="E5915" s="15"/>
      <c r="F5915" s="11">
        <f t="shared" si="47"/>
      </c>
      <c r="G5915" s="22" cm="1">
        <f t="array" ref="G5915">IF(AND(Inputs!$C$60,Inputs!$C$61),INDEX(Utility_Rates!$C$29:$F$52,HOUR(C5915)+Inputs!$C$69,MATCH(INDEX(Utility_Rates!$K$6:$K$17,MONTH(C5915))&amp;IF(WEEKDAY(C5915,Inputs!$C$76)&lt;=Inputs!$C$74," weekday"," weekend"),Utility_Rates!$C$28:$F$28,Inputs!$C$68)),"")</f>
      </c>
      <c r="H5915" s="34"/>
      <c r="I5915" s="42">
        <f>IF(AND(ISNUMBER(D5915),ISNUMBER(H5915)),D5915*H5915*Inputs!$C$69,"")</f>
      </c>
      <c r="J5915" s="42">
        <f>IF(AND(ISNUMBER(F5915),ISNUMBER(H5915),F5915&gt;=Inputs!$C$68),F5915*H5915*Inputs!$C$69,"")</f>
      </c>
    </row>
    <row r="5916" spans="2:10" ht="15" customHeight="1" x14ac:dyDescent="0.2">
      <c r="B5916" s="39">
        <f t="shared" si="46"/>
      </c>
      <c r="C5916" s="40">
        <f>IF(Inputs!$C$60,Inputs!$C$11+(B5916-Inputs!$C$69)/Inputs!$C$70,"")</f>
      </c>
      <c r="D5916" s="15"/>
      <c r="E5916" s="15"/>
      <c r="F5916" s="11">
        <f t="shared" si="47"/>
      </c>
      <c r="G5916" s="22" cm="1">
        <f t="array" ref="G5916">IF(AND(Inputs!$C$60,Inputs!$C$61),INDEX(Utility_Rates!$C$29:$F$52,HOUR(C5916)+Inputs!$C$69,MATCH(INDEX(Utility_Rates!$K$6:$K$17,MONTH(C5916))&amp;IF(WEEKDAY(C5916,Inputs!$C$76)&lt;=Inputs!$C$74," weekday"," weekend"),Utility_Rates!$C$28:$F$28,Inputs!$C$68)),"")</f>
      </c>
      <c r="H5916" s="34"/>
      <c r="I5916" s="42">
        <f>IF(AND(ISNUMBER(D5916),ISNUMBER(H5916)),D5916*H5916*Inputs!$C$69,"")</f>
      </c>
      <c r="J5916" s="42">
        <f>IF(AND(ISNUMBER(F5916),ISNUMBER(H5916),F5916&gt;=Inputs!$C$68),F5916*H5916*Inputs!$C$69,"")</f>
      </c>
    </row>
    <row r="5917" spans="2:10" ht="15" customHeight="1" x14ac:dyDescent="0.2">
      <c r="B5917" s="39">
        <f t="shared" si="46"/>
      </c>
      <c r="C5917" s="40">
        <f>IF(Inputs!$C$60,Inputs!$C$11+(B5917-Inputs!$C$69)/Inputs!$C$70,"")</f>
      </c>
      <c r="D5917" s="15"/>
      <c r="E5917" s="15"/>
      <c r="F5917" s="11">
        <f t="shared" si="47"/>
      </c>
      <c r="G5917" s="22" cm="1">
        <f t="array" ref="G5917">IF(AND(Inputs!$C$60,Inputs!$C$61),INDEX(Utility_Rates!$C$29:$F$52,HOUR(C5917)+Inputs!$C$69,MATCH(INDEX(Utility_Rates!$K$6:$K$17,MONTH(C5917))&amp;IF(WEEKDAY(C5917,Inputs!$C$76)&lt;=Inputs!$C$74," weekday"," weekend"),Utility_Rates!$C$28:$F$28,Inputs!$C$68)),"")</f>
      </c>
      <c r="H5917" s="34"/>
      <c r="I5917" s="42">
        <f>IF(AND(ISNUMBER(D5917),ISNUMBER(H5917)),D5917*H5917*Inputs!$C$69,"")</f>
      </c>
      <c r="J5917" s="42">
        <f>IF(AND(ISNUMBER(F5917),ISNUMBER(H5917),F5917&gt;=Inputs!$C$68),F5917*H5917*Inputs!$C$69,"")</f>
      </c>
    </row>
    <row r="5918" spans="2:10" ht="15" customHeight="1" x14ac:dyDescent="0.2">
      <c r="B5918" s="39">
        <f t="shared" si="46"/>
      </c>
      <c r="C5918" s="40">
        <f>IF(Inputs!$C$60,Inputs!$C$11+(B5918-Inputs!$C$69)/Inputs!$C$70,"")</f>
      </c>
      <c r="D5918" s="15"/>
      <c r="E5918" s="15"/>
      <c r="F5918" s="11">
        <f t="shared" si="47"/>
      </c>
      <c r="G5918" s="22" cm="1">
        <f t="array" ref="G5918">IF(AND(Inputs!$C$60,Inputs!$C$61),INDEX(Utility_Rates!$C$29:$F$52,HOUR(C5918)+Inputs!$C$69,MATCH(INDEX(Utility_Rates!$K$6:$K$17,MONTH(C5918))&amp;IF(WEEKDAY(C5918,Inputs!$C$76)&lt;=Inputs!$C$74," weekday"," weekend"),Utility_Rates!$C$28:$F$28,Inputs!$C$68)),"")</f>
      </c>
      <c r="H5918" s="34"/>
      <c r="I5918" s="42">
        <f>IF(AND(ISNUMBER(D5918),ISNUMBER(H5918)),D5918*H5918*Inputs!$C$69,"")</f>
      </c>
      <c r="J5918" s="42">
        <f>IF(AND(ISNUMBER(F5918),ISNUMBER(H5918),F5918&gt;=Inputs!$C$68),F5918*H5918*Inputs!$C$69,"")</f>
      </c>
    </row>
    <row r="5919" spans="2:10" ht="15" customHeight="1" x14ac:dyDescent="0.2">
      <c r="B5919" s="39">
        <f t="shared" si="46"/>
      </c>
      <c r="C5919" s="40">
        <f>IF(Inputs!$C$60,Inputs!$C$11+(B5919-Inputs!$C$69)/Inputs!$C$70,"")</f>
      </c>
      <c r="D5919" s="15"/>
      <c r="E5919" s="15"/>
      <c r="F5919" s="11">
        <f t="shared" si="47"/>
      </c>
      <c r="G5919" s="22" cm="1">
        <f t="array" ref="G5919">IF(AND(Inputs!$C$60,Inputs!$C$61),INDEX(Utility_Rates!$C$29:$F$52,HOUR(C5919)+Inputs!$C$69,MATCH(INDEX(Utility_Rates!$K$6:$K$17,MONTH(C5919))&amp;IF(WEEKDAY(C5919,Inputs!$C$76)&lt;=Inputs!$C$74," weekday"," weekend"),Utility_Rates!$C$28:$F$28,Inputs!$C$68)),"")</f>
      </c>
      <c r="H5919" s="34"/>
      <c r="I5919" s="42">
        <f>IF(AND(ISNUMBER(D5919),ISNUMBER(H5919)),D5919*H5919*Inputs!$C$69,"")</f>
      </c>
      <c r="J5919" s="42">
        <f>IF(AND(ISNUMBER(F5919),ISNUMBER(H5919),F5919&gt;=Inputs!$C$68),F5919*H5919*Inputs!$C$69,"")</f>
      </c>
    </row>
    <row r="5920" spans="2:10" ht="15" customHeight="1" x14ac:dyDescent="0.2">
      <c r="B5920" s="39">
        <f t="shared" si="46"/>
      </c>
      <c r="C5920" s="40">
        <f>IF(Inputs!$C$60,Inputs!$C$11+(B5920-Inputs!$C$69)/Inputs!$C$70,"")</f>
      </c>
      <c r="D5920" s="15"/>
      <c r="E5920" s="15"/>
      <c r="F5920" s="11">
        <f t="shared" si="47"/>
      </c>
      <c r="G5920" s="22" cm="1">
        <f t="array" ref="G5920">IF(AND(Inputs!$C$60,Inputs!$C$61),INDEX(Utility_Rates!$C$29:$F$52,HOUR(C5920)+Inputs!$C$69,MATCH(INDEX(Utility_Rates!$K$6:$K$17,MONTH(C5920))&amp;IF(WEEKDAY(C5920,Inputs!$C$76)&lt;=Inputs!$C$74," weekday"," weekend"),Utility_Rates!$C$28:$F$28,Inputs!$C$68)),"")</f>
      </c>
      <c r="H5920" s="34"/>
      <c r="I5920" s="42">
        <f>IF(AND(ISNUMBER(D5920),ISNUMBER(H5920)),D5920*H5920*Inputs!$C$69,"")</f>
      </c>
      <c r="J5920" s="42">
        <f>IF(AND(ISNUMBER(F5920),ISNUMBER(H5920),F5920&gt;=Inputs!$C$68),F5920*H5920*Inputs!$C$69,"")</f>
      </c>
    </row>
    <row r="5921" spans="2:10" ht="15" customHeight="1" x14ac:dyDescent="0.2">
      <c r="B5921" s="39">
        <f t="shared" si="46"/>
      </c>
      <c r="C5921" s="40">
        <f>IF(Inputs!$C$60,Inputs!$C$11+(B5921-Inputs!$C$69)/Inputs!$C$70,"")</f>
      </c>
      <c r="D5921" s="15"/>
      <c r="E5921" s="15"/>
      <c r="F5921" s="11">
        <f t="shared" si="47"/>
      </c>
      <c r="G5921" s="22" cm="1">
        <f t="array" ref="G5921">IF(AND(Inputs!$C$60,Inputs!$C$61),INDEX(Utility_Rates!$C$29:$F$52,HOUR(C5921)+Inputs!$C$69,MATCH(INDEX(Utility_Rates!$K$6:$K$17,MONTH(C5921))&amp;IF(WEEKDAY(C5921,Inputs!$C$76)&lt;=Inputs!$C$74," weekday"," weekend"),Utility_Rates!$C$28:$F$28,Inputs!$C$68)),"")</f>
      </c>
      <c r="H5921" s="34"/>
      <c r="I5921" s="42">
        <f>IF(AND(ISNUMBER(D5921),ISNUMBER(H5921)),D5921*H5921*Inputs!$C$69,"")</f>
      </c>
      <c r="J5921" s="42">
        <f>IF(AND(ISNUMBER(F5921),ISNUMBER(H5921),F5921&gt;=Inputs!$C$68),F5921*H5921*Inputs!$C$69,"")</f>
      </c>
    </row>
    <row r="5922" spans="2:10" ht="15" customHeight="1" x14ac:dyDescent="0.2">
      <c r="B5922" s="39">
        <f t="shared" si="46"/>
      </c>
      <c r="C5922" s="40">
        <f>IF(Inputs!$C$60,Inputs!$C$11+(B5922-Inputs!$C$69)/Inputs!$C$70,"")</f>
      </c>
      <c r="D5922" s="15"/>
      <c r="E5922" s="15"/>
      <c r="F5922" s="11">
        <f t="shared" si="47"/>
      </c>
      <c r="G5922" s="22" cm="1">
        <f t="array" ref="G5922">IF(AND(Inputs!$C$60,Inputs!$C$61),INDEX(Utility_Rates!$C$29:$F$52,HOUR(C5922)+Inputs!$C$69,MATCH(INDEX(Utility_Rates!$K$6:$K$17,MONTH(C5922))&amp;IF(WEEKDAY(C5922,Inputs!$C$76)&lt;=Inputs!$C$74," weekday"," weekend"),Utility_Rates!$C$28:$F$28,Inputs!$C$68)),"")</f>
      </c>
      <c r="H5922" s="34"/>
      <c r="I5922" s="42">
        <f>IF(AND(ISNUMBER(D5922),ISNUMBER(H5922)),D5922*H5922*Inputs!$C$69,"")</f>
      </c>
      <c r="J5922" s="42">
        <f>IF(AND(ISNUMBER(F5922),ISNUMBER(H5922),F5922&gt;=Inputs!$C$68),F5922*H5922*Inputs!$C$69,"")</f>
      </c>
    </row>
    <row r="5923" spans="2:10" ht="15" customHeight="1" x14ac:dyDescent="0.2">
      <c r="B5923" s="39">
        <f t="shared" si="46"/>
      </c>
      <c r="C5923" s="40">
        <f>IF(Inputs!$C$60,Inputs!$C$11+(B5923-Inputs!$C$69)/Inputs!$C$70,"")</f>
      </c>
      <c r="D5923" s="15"/>
      <c r="E5923" s="15"/>
      <c r="F5923" s="11">
        <f t="shared" si="47"/>
      </c>
      <c r="G5923" s="22" cm="1">
        <f t="array" ref="G5923">IF(AND(Inputs!$C$60,Inputs!$C$61),INDEX(Utility_Rates!$C$29:$F$52,HOUR(C5923)+Inputs!$C$69,MATCH(INDEX(Utility_Rates!$K$6:$K$17,MONTH(C5923))&amp;IF(WEEKDAY(C5923,Inputs!$C$76)&lt;=Inputs!$C$74," weekday"," weekend"),Utility_Rates!$C$28:$F$28,Inputs!$C$68)),"")</f>
      </c>
      <c r="H5923" s="34"/>
      <c r="I5923" s="42">
        <f>IF(AND(ISNUMBER(D5923),ISNUMBER(H5923)),D5923*H5923*Inputs!$C$69,"")</f>
      </c>
      <c r="J5923" s="42">
        <f>IF(AND(ISNUMBER(F5923),ISNUMBER(H5923),F5923&gt;=Inputs!$C$68),F5923*H5923*Inputs!$C$69,"")</f>
      </c>
    </row>
    <row r="5924" spans="2:10" ht="15" customHeight="1" x14ac:dyDescent="0.2">
      <c r="B5924" s="39">
        <f t="shared" si="46"/>
      </c>
      <c r="C5924" s="40">
        <f>IF(Inputs!$C$60,Inputs!$C$11+(B5924-Inputs!$C$69)/Inputs!$C$70,"")</f>
      </c>
      <c r="D5924" s="15"/>
      <c r="E5924" s="15"/>
      <c r="F5924" s="11">
        <f t="shared" si="47"/>
      </c>
      <c r="G5924" s="22" cm="1">
        <f t="array" ref="G5924">IF(AND(Inputs!$C$60,Inputs!$C$61),INDEX(Utility_Rates!$C$29:$F$52,HOUR(C5924)+Inputs!$C$69,MATCH(INDEX(Utility_Rates!$K$6:$K$17,MONTH(C5924))&amp;IF(WEEKDAY(C5924,Inputs!$C$76)&lt;=Inputs!$C$74," weekday"," weekend"),Utility_Rates!$C$28:$F$28,Inputs!$C$68)),"")</f>
      </c>
      <c r="H5924" s="34"/>
      <c r="I5924" s="42">
        <f>IF(AND(ISNUMBER(D5924),ISNUMBER(H5924)),D5924*H5924*Inputs!$C$69,"")</f>
      </c>
      <c r="J5924" s="42">
        <f>IF(AND(ISNUMBER(F5924),ISNUMBER(H5924),F5924&gt;=Inputs!$C$68),F5924*H5924*Inputs!$C$69,"")</f>
      </c>
    </row>
    <row r="5925" spans="2:10" ht="15" customHeight="1" x14ac:dyDescent="0.2">
      <c r="B5925" s="39">
        <f t="shared" si="46"/>
      </c>
      <c r="C5925" s="40">
        <f>IF(Inputs!$C$60,Inputs!$C$11+(B5925-Inputs!$C$69)/Inputs!$C$70,"")</f>
      </c>
      <c r="D5925" s="15"/>
      <c r="E5925" s="15"/>
      <c r="F5925" s="11">
        <f t="shared" si="47"/>
      </c>
      <c r="G5925" s="22" cm="1">
        <f t="array" ref="G5925">IF(AND(Inputs!$C$60,Inputs!$C$61),INDEX(Utility_Rates!$C$29:$F$52,HOUR(C5925)+Inputs!$C$69,MATCH(INDEX(Utility_Rates!$K$6:$K$17,MONTH(C5925))&amp;IF(WEEKDAY(C5925,Inputs!$C$76)&lt;=Inputs!$C$74," weekday"," weekend"),Utility_Rates!$C$28:$F$28,Inputs!$C$68)),"")</f>
      </c>
      <c r="H5925" s="34"/>
      <c r="I5925" s="42">
        <f>IF(AND(ISNUMBER(D5925),ISNUMBER(H5925)),D5925*H5925*Inputs!$C$69,"")</f>
      </c>
      <c r="J5925" s="42">
        <f>IF(AND(ISNUMBER(F5925),ISNUMBER(H5925),F5925&gt;=Inputs!$C$68),F5925*H5925*Inputs!$C$69,"")</f>
      </c>
    </row>
    <row r="5926" spans="2:10" ht="15" customHeight="1" x14ac:dyDescent="0.2">
      <c r="B5926" s="39">
        <f t="shared" si="46"/>
      </c>
      <c r="C5926" s="40">
        <f>IF(Inputs!$C$60,Inputs!$C$11+(B5926-Inputs!$C$69)/Inputs!$C$70,"")</f>
      </c>
      <c r="D5926" s="15"/>
      <c r="E5926" s="15"/>
      <c r="F5926" s="11">
        <f t="shared" si="47"/>
      </c>
      <c r="G5926" s="22" cm="1">
        <f t="array" ref="G5926">IF(AND(Inputs!$C$60,Inputs!$C$61),INDEX(Utility_Rates!$C$29:$F$52,HOUR(C5926)+Inputs!$C$69,MATCH(INDEX(Utility_Rates!$K$6:$K$17,MONTH(C5926))&amp;IF(WEEKDAY(C5926,Inputs!$C$76)&lt;=Inputs!$C$74," weekday"," weekend"),Utility_Rates!$C$28:$F$28,Inputs!$C$68)),"")</f>
      </c>
      <c r="H5926" s="34"/>
      <c r="I5926" s="42">
        <f>IF(AND(ISNUMBER(D5926),ISNUMBER(H5926)),D5926*H5926*Inputs!$C$69,"")</f>
      </c>
      <c r="J5926" s="42">
        <f>IF(AND(ISNUMBER(F5926),ISNUMBER(H5926),F5926&gt;=Inputs!$C$68),F5926*H5926*Inputs!$C$69,"")</f>
      </c>
    </row>
    <row r="5927" spans="2:10" ht="15" customHeight="1" x14ac:dyDescent="0.2">
      <c r="B5927" s="39">
        <f t="shared" si="46"/>
      </c>
      <c r="C5927" s="40">
        <f>IF(Inputs!$C$60,Inputs!$C$11+(B5927-Inputs!$C$69)/Inputs!$C$70,"")</f>
      </c>
      <c r="D5927" s="15"/>
      <c r="E5927" s="15"/>
      <c r="F5927" s="11">
        <f t="shared" si="47"/>
      </c>
      <c r="G5927" s="22" cm="1">
        <f t="array" ref="G5927">IF(AND(Inputs!$C$60,Inputs!$C$61),INDEX(Utility_Rates!$C$29:$F$52,HOUR(C5927)+Inputs!$C$69,MATCH(INDEX(Utility_Rates!$K$6:$K$17,MONTH(C5927))&amp;IF(WEEKDAY(C5927,Inputs!$C$76)&lt;=Inputs!$C$74," weekday"," weekend"),Utility_Rates!$C$28:$F$28,Inputs!$C$68)),"")</f>
      </c>
      <c r="H5927" s="34"/>
      <c r="I5927" s="42">
        <f>IF(AND(ISNUMBER(D5927),ISNUMBER(H5927)),D5927*H5927*Inputs!$C$69,"")</f>
      </c>
      <c r="J5927" s="42">
        <f>IF(AND(ISNUMBER(F5927),ISNUMBER(H5927),F5927&gt;=Inputs!$C$68),F5927*H5927*Inputs!$C$69,"")</f>
      </c>
    </row>
    <row r="5928" spans="2:10" ht="15" customHeight="1" x14ac:dyDescent="0.2">
      <c r="B5928" s="39">
        <f t="shared" si="46"/>
      </c>
      <c r="C5928" s="40">
        <f>IF(Inputs!$C$60,Inputs!$C$11+(B5928-Inputs!$C$69)/Inputs!$C$70,"")</f>
      </c>
      <c r="D5928" s="15"/>
      <c r="E5928" s="15"/>
      <c r="F5928" s="11">
        <f t="shared" si="47"/>
      </c>
      <c r="G5928" s="22" cm="1">
        <f t="array" ref="G5928">IF(AND(Inputs!$C$60,Inputs!$C$61),INDEX(Utility_Rates!$C$29:$F$52,HOUR(C5928)+Inputs!$C$69,MATCH(INDEX(Utility_Rates!$K$6:$K$17,MONTH(C5928))&amp;IF(WEEKDAY(C5928,Inputs!$C$76)&lt;=Inputs!$C$74," weekday"," weekend"),Utility_Rates!$C$28:$F$28,Inputs!$C$68)),"")</f>
      </c>
      <c r="H5928" s="34"/>
      <c r="I5928" s="42">
        <f>IF(AND(ISNUMBER(D5928),ISNUMBER(H5928)),D5928*H5928*Inputs!$C$69,"")</f>
      </c>
      <c r="J5928" s="42">
        <f>IF(AND(ISNUMBER(F5928),ISNUMBER(H5928),F5928&gt;=Inputs!$C$68),F5928*H5928*Inputs!$C$69,"")</f>
      </c>
    </row>
    <row r="5929" spans="2:10" ht="15" customHeight="1" x14ac:dyDescent="0.2">
      <c r="B5929" s="39">
        <f t="shared" si="46"/>
      </c>
      <c r="C5929" s="40">
        <f>IF(Inputs!$C$60,Inputs!$C$11+(B5929-Inputs!$C$69)/Inputs!$C$70,"")</f>
      </c>
      <c r="D5929" s="15"/>
      <c r="E5929" s="15"/>
      <c r="F5929" s="11">
        <f t="shared" si="47"/>
      </c>
      <c r="G5929" s="22" cm="1">
        <f t="array" ref="G5929">IF(AND(Inputs!$C$60,Inputs!$C$61),INDEX(Utility_Rates!$C$29:$F$52,HOUR(C5929)+Inputs!$C$69,MATCH(INDEX(Utility_Rates!$K$6:$K$17,MONTH(C5929))&amp;IF(WEEKDAY(C5929,Inputs!$C$76)&lt;=Inputs!$C$74," weekday"," weekend"),Utility_Rates!$C$28:$F$28,Inputs!$C$68)),"")</f>
      </c>
      <c r="H5929" s="34"/>
      <c r="I5929" s="42">
        <f>IF(AND(ISNUMBER(D5929),ISNUMBER(H5929)),D5929*H5929*Inputs!$C$69,"")</f>
      </c>
      <c r="J5929" s="42">
        <f>IF(AND(ISNUMBER(F5929),ISNUMBER(H5929),F5929&gt;=Inputs!$C$68),F5929*H5929*Inputs!$C$69,"")</f>
      </c>
    </row>
    <row r="5930" spans="2:10" ht="15" customHeight="1" x14ac:dyDescent="0.2">
      <c r="B5930" s="39">
        <f t="shared" si="46"/>
      </c>
      <c r="C5930" s="40">
        <f>IF(Inputs!$C$60,Inputs!$C$11+(B5930-Inputs!$C$69)/Inputs!$C$70,"")</f>
      </c>
      <c r="D5930" s="15"/>
      <c r="E5930" s="15"/>
      <c r="F5930" s="11">
        <f t="shared" si="47"/>
      </c>
      <c r="G5930" s="22" cm="1">
        <f t="array" ref="G5930">IF(AND(Inputs!$C$60,Inputs!$C$61),INDEX(Utility_Rates!$C$29:$F$52,HOUR(C5930)+Inputs!$C$69,MATCH(INDEX(Utility_Rates!$K$6:$K$17,MONTH(C5930))&amp;IF(WEEKDAY(C5930,Inputs!$C$76)&lt;=Inputs!$C$74," weekday"," weekend"),Utility_Rates!$C$28:$F$28,Inputs!$C$68)),"")</f>
      </c>
      <c r="H5930" s="34"/>
      <c r="I5930" s="42">
        <f>IF(AND(ISNUMBER(D5930),ISNUMBER(H5930)),D5930*H5930*Inputs!$C$69,"")</f>
      </c>
      <c r="J5930" s="42">
        <f>IF(AND(ISNUMBER(F5930),ISNUMBER(H5930),F5930&gt;=Inputs!$C$68),F5930*H5930*Inputs!$C$69,"")</f>
      </c>
    </row>
    <row r="5931" spans="2:10" ht="15" customHeight="1" x14ac:dyDescent="0.2">
      <c r="B5931" s="39">
        <f t="shared" si="46"/>
      </c>
      <c r="C5931" s="40">
        <f>IF(Inputs!$C$60,Inputs!$C$11+(B5931-Inputs!$C$69)/Inputs!$C$70,"")</f>
      </c>
      <c r="D5931" s="15"/>
      <c r="E5931" s="15"/>
      <c r="F5931" s="11">
        <f t="shared" si="47"/>
      </c>
      <c r="G5931" s="22" cm="1">
        <f t="array" ref="G5931">IF(AND(Inputs!$C$60,Inputs!$C$61),INDEX(Utility_Rates!$C$29:$F$52,HOUR(C5931)+Inputs!$C$69,MATCH(INDEX(Utility_Rates!$K$6:$K$17,MONTH(C5931))&amp;IF(WEEKDAY(C5931,Inputs!$C$76)&lt;=Inputs!$C$74," weekday"," weekend"),Utility_Rates!$C$28:$F$28,Inputs!$C$68)),"")</f>
      </c>
      <c r="H5931" s="34"/>
      <c r="I5931" s="42">
        <f>IF(AND(ISNUMBER(D5931),ISNUMBER(H5931)),D5931*H5931*Inputs!$C$69,"")</f>
      </c>
      <c r="J5931" s="42">
        <f>IF(AND(ISNUMBER(F5931),ISNUMBER(H5931),F5931&gt;=Inputs!$C$68),F5931*H5931*Inputs!$C$69,"")</f>
      </c>
    </row>
    <row r="5932" spans="2:10" ht="15" customHeight="1" x14ac:dyDescent="0.2">
      <c r="B5932" s="39">
        <f t="shared" si="46"/>
      </c>
      <c r="C5932" s="40">
        <f>IF(Inputs!$C$60,Inputs!$C$11+(B5932-Inputs!$C$69)/Inputs!$C$70,"")</f>
      </c>
      <c r="D5932" s="15"/>
      <c r="E5932" s="15"/>
      <c r="F5932" s="11">
        <f t="shared" si="47"/>
      </c>
      <c r="G5932" s="22" cm="1">
        <f t="array" ref="G5932">IF(AND(Inputs!$C$60,Inputs!$C$61),INDEX(Utility_Rates!$C$29:$F$52,HOUR(C5932)+Inputs!$C$69,MATCH(INDEX(Utility_Rates!$K$6:$K$17,MONTH(C5932))&amp;IF(WEEKDAY(C5932,Inputs!$C$76)&lt;=Inputs!$C$74," weekday"," weekend"),Utility_Rates!$C$28:$F$28,Inputs!$C$68)),"")</f>
      </c>
      <c r="H5932" s="34"/>
      <c r="I5932" s="42">
        <f>IF(AND(ISNUMBER(D5932),ISNUMBER(H5932)),D5932*H5932*Inputs!$C$69,"")</f>
      </c>
      <c r="J5932" s="42">
        <f>IF(AND(ISNUMBER(F5932),ISNUMBER(H5932),F5932&gt;=Inputs!$C$68),F5932*H5932*Inputs!$C$69,"")</f>
      </c>
    </row>
    <row r="5933" spans="2:10" ht="15" customHeight="1" x14ac:dyDescent="0.2">
      <c r="B5933" s="39">
        <f t="shared" si="46"/>
      </c>
      <c r="C5933" s="40">
        <f>IF(Inputs!$C$60,Inputs!$C$11+(B5933-Inputs!$C$69)/Inputs!$C$70,"")</f>
      </c>
      <c r="D5933" s="15"/>
      <c r="E5933" s="15"/>
      <c r="F5933" s="11">
        <f t="shared" si="47"/>
      </c>
      <c r="G5933" s="22" cm="1">
        <f t="array" ref="G5933">IF(AND(Inputs!$C$60,Inputs!$C$61),INDEX(Utility_Rates!$C$29:$F$52,HOUR(C5933)+Inputs!$C$69,MATCH(INDEX(Utility_Rates!$K$6:$K$17,MONTH(C5933))&amp;IF(WEEKDAY(C5933,Inputs!$C$76)&lt;=Inputs!$C$74," weekday"," weekend"),Utility_Rates!$C$28:$F$28,Inputs!$C$68)),"")</f>
      </c>
      <c r="H5933" s="34"/>
      <c r="I5933" s="42">
        <f>IF(AND(ISNUMBER(D5933),ISNUMBER(H5933)),D5933*H5933*Inputs!$C$69,"")</f>
      </c>
      <c r="J5933" s="42">
        <f>IF(AND(ISNUMBER(F5933),ISNUMBER(H5933),F5933&gt;=Inputs!$C$68),F5933*H5933*Inputs!$C$69,"")</f>
      </c>
    </row>
    <row r="5934" spans="2:10" ht="15" customHeight="1" x14ac:dyDescent="0.2">
      <c r="B5934" s="39">
        <f t="shared" si="46"/>
      </c>
      <c r="C5934" s="40">
        <f>IF(Inputs!$C$60,Inputs!$C$11+(B5934-Inputs!$C$69)/Inputs!$C$70,"")</f>
      </c>
      <c r="D5934" s="15"/>
      <c r="E5934" s="15"/>
      <c r="F5934" s="11">
        <f t="shared" si="47"/>
      </c>
      <c r="G5934" s="22" cm="1">
        <f t="array" ref="G5934">IF(AND(Inputs!$C$60,Inputs!$C$61),INDEX(Utility_Rates!$C$29:$F$52,HOUR(C5934)+Inputs!$C$69,MATCH(INDEX(Utility_Rates!$K$6:$K$17,MONTH(C5934))&amp;IF(WEEKDAY(C5934,Inputs!$C$76)&lt;=Inputs!$C$74," weekday"," weekend"),Utility_Rates!$C$28:$F$28,Inputs!$C$68)),"")</f>
      </c>
      <c r="H5934" s="34"/>
      <c r="I5934" s="42">
        <f>IF(AND(ISNUMBER(D5934),ISNUMBER(H5934)),D5934*H5934*Inputs!$C$69,"")</f>
      </c>
      <c r="J5934" s="42">
        <f>IF(AND(ISNUMBER(F5934),ISNUMBER(H5934),F5934&gt;=Inputs!$C$68),F5934*H5934*Inputs!$C$69,"")</f>
      </c>
    </row>
    <row r="5935" spans="2:10" ht="15" customHeight="1" x14ac:dyDescent="0.2">
      <c r="B5935" s="39">
        <f t="shared" si="46"/>
      </c>
      <c r="C5935" s="40">
        <f>IF(Inputs!$C$60,Inputs!$C$11+(B5935-Inputs!$C$69)/Inputs!$C$70,"")</f>
      </c>
      <c r="D5935" s="15"/>
      <c r="E5935" s="15"/>
      <c r="F5935" s="11">
        <f t="shared" si="47"/>
      </c>
      <c r="G5935" s="22" cm="1">
        <f t="array" ref="G5935">IF(AND(Inputs!$C$60,Inputs!$C$61),INDEX(Utility_Rates!$C$29:$F$52,HOUR(C5935)+Inputs!$C$69,MATCH(INDEX(Utility_Rates!$K$6:$K$17,MONTH(C5935))&amp;IF(WEEKDAY(C5935,Inputs!$C$76)&lt;=Inputs!$C$74," weekday"," weekend"),Utility_Rates!$C$28:$F$28,Inputs!$C$68)),"")</f>
      </c>
      <c r="H5935" s="34"/>
      <c r="I5935" s="42">
        <f>IF(AND(ISNUMBER(D5935),ISNUMBER(H5935)),D5935*H5935*Inputs!$C$69,"")</f>
      </c>
      <c r="J5935" s="42">
        <f>IF(AND(ISNUMBER(F5935),ISNUMBER(H5935),F5935&gt;=Inputs!$C$68),F5935*H5935*Inputs!$C$69,"")</f>
      </c>
    </row>
    <row r="5936" spans="2:10" ht="15" customHeight="1" x14ac:dyDescent="0.2">
      <c r="B5936" s="39">
        <f t="shared" si="46"/>
      </c>
      <c r="C5936" s="40">
        <f>IF(Inputs!$C$60,Inputs!$C$11+(B5936-Inputs!$C$69)/Inputs!$C$70,"")</f>
      </c>
      <c r="D5936" s="15"/>
      <c r="E5936" s="15"/>
      <c r="F5936" s="11">
        <f t="shared" si="47"/>
      </c>
      <c r="G5936" s="22" cm="1">
        <f t="array" ref="G5936">IF(AND(Inputs!$C$60,Inputs!$C$61),INDEX(Utility_Rates!$C$29:$F$52,HOUR(C5936)+Inputs!$C$69,MATCH(INDEX(Utility_Rates!$K$6:$K$17,MONTH(C5936))&amp;IF(WEEKDAY(C5936,Inputs!$C$76)&lt;=Inputs!$C$74," weekday"," weekend"),Utility_Rates!$C$28:$F$28,Inputs!$C$68)),"")</f>
      </c>
      <c r="H5936" s="34"/>
      <c r="I5936" s="42">
        <f>IF(AND(ISNUMBER(D5936),ISNUMBER(H5936)),D5936*H5936*Inputs!$C$69,"")</f>
      </c>
      <c r="J5936" s="42">
        <f>IF(AND(ISNUMBER(F5936),ISNUMBER(H5936),F5936&gt;=Inputs!$C$68),F5936*H5936*Inputs!$C$69,"")</f>
      </c>
    </row>
    <row r="5937" spans="2:10" ht="15" customHeight="1" x14ac:dyDescent="0.2">
      <c r="B5937" s="39">
        <f t="shared" si="46"/>
      </c>
      <c r="C5937" s="40">
        <f>IF(Inputs!$C$60,Inputs!$C$11+(B5937-Inputs!$C$69)/Inputs!$C$70,"")</f>
      </c>
      <c r="D5937" s="15"/>
      <c r="E5937" s="15"/>
      <c r="F5937" s="11">
        <f t="shared" si="47"/>
      </c>
      <c r="G5937" s="22" cm="1">
        <f t="array" ref="G5937">IF(AND(Inputs!$C$60,Inputs!$C$61),INDEX(Utility_Rates!$C$29:$F$52,HOUR(C5937)+Inputs!$C$69,MATCH(INDEX(Utility_Rates!$K$6:$K$17,MONTH(C5937))&amp;IF(WEEKDAY(C5937,Inputs!$C$76)&lt;=Inputs!$C$74," weekday"," weekend"),Utility_Rates!$C$28:$F$28,Inputs!$C$68)),"")</f>
      </c>
      <c r="H5937" s="34"/>
      <c r="I5937" s="42">
        <f>IF(AND(ISNUMBER(D5937),ISNUMBER(H5937)),D5937*H5937*Inputs!$C$69,"")</f>
      </c>
      <c r="J5937" s="42">
        <f>IF(AND(ISNUMBER(F5937),ISNUMBER(H5937),F5937&gt;=Inputs!$C$68),F5937*H5937*Inputs!$C$69,"")</f>
      </c>
    </row>
    <row r="5938" spans="2:10" ht="15" customHeight="1" x14ac:dyDescent="0.2">
      <c r="B5938" s="39">
        <f t="shared" si="46"/>
      </c>
      <c r="C5938" s="40">
        <f>IF(Inputs!$C$60,Inputs!$C$11+(B5938-Inputs!$C$69)/Inputs!$C$70,"")</f>
      </c>
      <c r="D5938" s="15"/>
      <c r="E5938" s="15"/>
      <c r="F5938" s="11">
        <f t="shared" si="47"/>
      </c>
      <c r="G5938" s="22" cm="1">
        <f t="array" ref="G5938">IF(AND(Inputs!$C$60,Inputs!$C$61),INDEX(Utility_Rates!$C$29:$F$52,HOUR(C5938)+Inputs!$C$69,MATCH(INDEX(Utility_Rates!$K$6:$K$17,MONTH(C5938))&amp;IF(WEEKDAY(C5938,Inputs!$C$76)&lt;=Inputs!$C$74," weekday"," weekend"),Utility_Rates!$C$28:$F$28,Inputs!$C$68)),"")</f>
      </c>
      <c r="H5938" s="34"/>
      <c r="I5938" s="42">
        <f>IF(AND(ISNUMBER(D5938),ISNUMBER(H5938)),D5938*H5938*Inputs!$C$69,"")</f>
      </c>
      <c r="J5938" s="42">
        <f>IF(AND(ISNUMBER(F5938),ISNUMBER(H5938),F5938&gt;=Inputs!$C$68),F5938*H5938*Inputs!$C$69,"")</f>
      </c>
    </row>
    <row r="5939" spans="2:10" ht="15" customHeight="1" x14ac:dyDescent="0.2">
      <c r="B5939" s="39">
        <f t="shared" si="46"/>
      </c>
      <c r="C5939" s="40">
        <f>IF(Inputs!$C$60,Inputs!$C$11+(B5939-Inputs!$C$69)/Inputs!$C$70,"")</f>
      </c>
      <c r="D5939" s="15"/>
      <c r="E5939" s="15"/>
      <c r="F5939" s="11">
        <f t="shared" si="47"/>
      </c>
      <c r="G5939" s="22" cm="1">
        <f t="array" ref="G5939">IF(AND(Inputs!$C$60,Inputs!$C$61),INDEX(Utility_Rates!$C$29:$F$52,HOUR(C5939)+Inputs!$C$69,MATCH(INDEX(Utility_Rates!$K$6:$K$17,MONTH(C5939))&amp;IF(WEEKDAY(C5939,Inputs!$C$76)&lt;=Inputs!$C$74," weekday"," weekend"),Utility_Rates!$C$28:$F$28,Inputs!$C$68)),"")</f>
      </c>
      <c r="H5939" s="34"/>
      <c r="I5939" s="42">
        <f>IF(AND(ISNUMBER(D5939),ISNUMBER(H5939)),D5939*H5939*Inputs!$C$69,"")</f>
      </c>
      <c r="J5939" s="42">
        <f>IF(AND(ISNUMBER(F5939),ISNUMBER(H5939),F5939&gt;=Inputs!$C$68),F5939*H5939*Inputs!$C$69,"")</f>
      </c>
    </row>
    <row r="5940" spans="2:10" ht="15" customHeight="1" x14ac:dyDescent="0.2">
      <c r="B5940" s="39">
        <f t="shared" si="46"/>
      </c>
      <c r="C5940" s="40">
        <f>IF(Inputs!$C$60,Inputs!$C$11+(B5940-Inputs!$C$69)/Inputs!$C$70,"")</f>
      </c>
      <c r="D5940" s="15"/>
      <c r="E5940" s="15"/>
      <c r="F5940" s="11">
        <f t="shared" si="47"/>
      </c>
      <c r="G5940" s="22" cm="1">
        <f t="array" ref="G5940">IF(AND(Inputs!$C$60,Inputs!$C$61),INDEX(Utility_Rates!$C$29:$F$52,HOUR(C5940)+Inputs!$C$69,MATCH(INDEX(Utility_Rates!$K$6:$K$17,MONTH(C5940))&amp;IF(WEEKDAY(C5940,Inputs!$C$76)&lt;=Inputs!$C$74," weekday"," weekend"),Utility_Rates!$C$28:$F$28,Inputs!$C$68)),"")</f>
      </c>
      <c r="H5940" s="34"/>
      <c r="I5940" s="42">
        <f>IF(AND(ISNUMBER(D5940),ISNUMBER(H5940)),D5940*H5940*Inputs!$C$69,"")</f>
      </c>
      <c r="J5940" s="42">
        <f>IF(AND(ISNUMBER(F5940),ISNUMBER(H5940),F5940&gt;=Inputs!$C$68),F5940*H5940*Inputs!$C$69,"")</f>
      </c>
    </row>
    <row r="5941" spans="2:10" ht="15" customHeight="1" x14ac:dyDescent="0.2">
      <c r="B5941" s="39">
        <f t="shared" si="46"/>
      </c>
      <c r="C5941" s="40">
        <f>IF(Inputs!$C$60,Inputs!$C$11+(B5941-Inputs!$C$69)/Inputs!$C$70,"")</f>
      </c>
      <c r="D5941" s="15"/>
      <c r="E5941" s="15"/>
      <c r="F5941" s="11">
        <f t="shared" si="47"/>
      </c>
      <c r="G5941" s="22" cm="1">
        <f t="array" ref="G5941">IF(AND(Inputs!$C$60,Inputs!$C$61),INDEX(Utility_Rates!$C$29:$F$52,HOUR(C5941)+Inputs!$C$69,MATCH(INDEX(Utility_Rates!$K$6:$K$17,MONTH(C5941))&amp;IF(WEEKDAY(C5941,Inputs!$C$76)&lt;=Inputs!$C$74," weekday"," weekend"),Utility_Rates!$C$28:$F$28,Inputs!$C$68)),"")</f>
      </c>
      <c r="H5941" s="34"/>
      <c r="I5941" s="42">
        <f>IF(AND(ISNUMBER(D5941),ISNUMBER(H5941)),D5941*H5941*Inputs!$C$69,"")</f>
      </c>
      <c r="J5941" s="42">
        <f>IF(AND(ISNUMBER(F5941),ISNUMBER(H5941),F5941&gt;=Inputs!$C$68),F5941*H5941*Inputs!$C$69,"")</f>
      </c>
    </row>
    <row r="5942" spans="2:10" ht="15" customHeight="1" x14ac:dyDescent="0.2">
      <c r="B5942" s="39">
        <f t="shared" si="46"/>
      </c>
      <c r="C5942" s="40">
        <f>IF(Inputs!$C$60,Inputs!$C$11+(B5942-Inputs!$C$69)/Inputs!$C$70,"")</f>
      </c>
      <c r="D5942" s="15"/>
      <c r="E5942" s="15"/>
      <c r="F5942" s="11">
        <f t="shared" si="47"/>
      </c>
      <c r="G5942" s="22" cm="1">
        <f t="array" ref="G5942">IF(AND(Inputs!$C$60,Inputs!$C$61),INDEX(Utility_Rates!$C$29:$F$52,HOUR(C5942)+Inputs!$C$69,MATCH(INDEX(Utility_Rates!$K$6:$K$17,MONTH(C5942))&amp;IF(WEEKDAY(C5942,Inputs!$C$76)&lt;=Inputs!$C$74," weekday"," weekend"),Utility_Rates!$C$28:$F$28,Inputs!$C$68)),"")</f>
      </c>
      <c r="H5942" s="34"/>
      <c r="I5942" s="42">
        <f>IF(AND(ISNUMBER(D5942),ISNUMBER(H5942)),D5942*H5942*Inputs!$C$69,"")</f>
      </c>
      <c r="J5942" s="42">
        <f>IF(AND(ISNUMBER(F5942),ISNUMBER(H5942),F5942&gt;=Inputs!$C$68),F5942*H5942*Inputs!$C$69,"")</f>
      </c>
    </row>
    <row r="5943" spans="2:10" ht="15" customHeight="1" x14ac:dyDescent="0.2">
      <c r="B5943" s="39">
        <f t="shared" si="46"/>
      </c>
      <c r="C5943" s="40">
        <f>IF(Inputs!$C$60,Inputs!$C$11+(B5943-Inputs!$C$69)/Inputs!$C$70,"")</f>
      </c>
      <c r="D5943" s="15"/>
      <c r="E5943" s="15"/>
      <c r="F5943" s="11">
        <f t="shared" si="47"/>
      </c>
      <c r="G5943" s="22" cm="1">
        <f t="array" ref="G5943">IF(AND(Inputs!$C$60,Inputs!$C$61),INDEX(Utility_Rates!$C$29:$F$52,HOUR(C5943)+Inputs!$C$69,MATCH(INDEX(Utility_Rates!$K$6:$K$17,MONTH(C5943))&amp;IF(WEEKDAY(C5943,Inputs!$C$76)&lt;=Inputs!$C$74," weekday"," weekend"),Utility_Rates!$C$28:$F$28,Inputs!$C$68)),"")</f>
      </c>
      <c r="H5943" s="34"/>
      <c r="I5943" s="42">
        <f>IF(AND(ISNUMBER(D5943),ISNUMBER(H5943)),D5943*H5943*Inputs!$C$69,"")</f>
      </c>
      <c r="J5943" s="42">
        <f>IF(AND(ISNUMBER(F5943),ISNUMBER(H5943),F5943&gt;=Inputs!$C$68),F5943*H5943*Inputs!$C$69,"")</f>
      </c>
    </row>
    <row r="5944" spans="2:10" ht="15" customHeight="1" x14ac:dyDescent="0.2">
      <c r="B5944" s="39">
        <f t="shared" si="46"/>
      </c>
      <c r="C5944" s="40">
        <f>IF(Inputs!$C$60,Inputs!$C$11+(B5944-Inputs!$C$69)/Inputs!$C$70,"")</f>
      </c>
      <c r="D5944" s="15"/>
      <c r="E5944" s="15"/>
      <c r="F5944" s="11">
        <f t="shared" si="47"/>
      </c>
      <c r="G5944" s="22" cm="1">
        <f t="array" ref="G5944">IF(AND(Inputs!$C$60,Inputs!$C$61),INDEX(Utility_Rates!$C$29:$F$52,HOUR(C5944)+Inputs!$C$69,MATCH(INDEX(Utility_Rates!$K$6:$K$17,MONTH(C5944))&amp;IF(WEEKDAY(C5944,Inputs!$C$76)&lt;=Inputs!$C$74," weekday"," weekend"),Utility_Rates!$C$28:$F$28,Inputs!$C$68)),"")</f>
      </c>
      <c r="H5944" s="34"/>
      <c r="I5944" s="42">
        <f>IF(AND(ISNUMBER(D5944),ISNUMBER(H5944)),D5944*H5944*Inputs!$C$69,"")</f>
      </c>
      <c r="J5944" s="42">
        <f>IF(AND(ISNUMBER(F5944),ISNUMBER(H5944),F5944&gt;=Inputs!$C$68),F5944*H5944*Inputs!$C$69,"")</f>
      </c>
    </row>
    <row r="5945" spans="2:10" ht="15" customHeight="1" x14ac:dyDescent="0.2">
      <c r="B5945" s="39">
        <f t="shared" si="46"/>
      </c>
      <c r="C5945" s="40">
        <f>IF(Inputs!$C$60,Inputs!$C$11+(B5945-Inputs!$C$69)/Inputs!$C$70,"")</f>
      </c>
      <c r="D5945" s="15"/>
      <c r="E5945" s="15"/>
      <c r="F5945" s="11">
        <f t="shared" si="47"/>
      </c>
      <c r="G5945" s="22" cm="1">
        <f t="array" ref="G5945">IF(AND(Inputs!$C$60,Inputs!$C$61),INDEX(Utility_Rates!$C$29:$F$52,HOUR(C5945)+Inputs!$C$69,MATCH(INDEX(Utility_Rates!$K$6:$K$17,MONTH(C5945))&amp;IF(WEEKDAY(C5945,Inputs!$C$76)&lt;=Inputs!$C$74," weekday"," weekend"),Utility_Rates!$C$28:$F$28,Inputs!$C$68)),"")</f>
      </c>
      <c r="H5945" s="34"/>
      <c r="I5945" s="42">
        <f>IF(AND(ISNUMBER(D5945),ISNUMBER(H5945)),D5945*H5945*Inputs!$C$69,"")</f>
      </c>
      <c r="J5945" s="42">
        <f>IF(AND(ISNUMBER(F5945),ISNUMBER(H5945),F5945&gt;=Inputs!$C$68),F5945*H5945*Inputs!$C$69,"")</f>
      </c>
    </row>
    <row r="5946" spans="2:10" ht="15" customHeight="1" x14ac:dyDescent="0.2">
      <c r="B5946" s="39">
        <f t="shared" si="46"/>
      </c>
      <c r="C5946" s="40">
        <f>IF(Inputs!$C$60,Inputs!$C$11+(B5946-Inputs!$C$69)/Inputs!$C$70,"")</f>
      </c>
      <c r="D5946" s="15"/>
      <c r="E5946" s="15"/>
      <c r="F5946" s="11">
        <f t="shared" si="47"/>
      </c>
      <c r="G5946" s="22" cm="1">
        <f t="array" ref="G5946">IF(AND(Inputs!$C$60,Inputs!$C$61),INDEX(Utility_Rates!$C$29:$F$52,HOUR(C5946)+Inputs!$C$69,MATCH(INDEX(Utility_Rates!$K$6:$K$17,MONTH(C5946))&amp;IF(WEEKDAY(C5946,Inputs!$C$76)&lt;=Inputs!$C$74," weekday"," weekend"),Utility_Rates!$C$28:$F$28,Inputs!$C$68)),"")</f>
      </c>
      <c r="H5946" s="34"/>
      <c r="I5946" s="42">
        <f>IF(AND(ISNUMBER(D5946),ISNUMBER(H5946)),D5946*H5946*Inputs!$C$69,"")</f>
      </c>
      <c r="J5946" s="42">
        <f>IF(AND(ISNUMBER(F5946),ISNUMBER(H5946),F5946&gt;=Inputs!$C$68),F5946*H5946*Inputs!$C$69,"")</f>
      </c>
    </row>
    <row r="5947" spans="2:10" ht="15" customHeight="1" x14ac:dyDescent="0.2">
      <c r="B5947" s="39">
        <f t="shared" si="46"/>
      </c>
      <c r="C5947" s="40">
        <f>IF(Inputs!$C$60,Inputs!$C$11+(B5947-Inputs!$C$69)/Inputs!$C$70,"")</f>
      </c>
      <c r="D5947" s="15"/>
      <c r="E5947" s="15"/>
      <c r="F5947" s="11">
        <f t="shared" si="47"/>
      </c>
      <c r="G5947" s="22" cm="1">
        <f t="array" ref="G5947">IF(AND(Inputs!$C$60,Inputs!$C$61),INDEX(Utility_Rates!$C$29:$F$52,HOUR(C5947)+Inputs!$C$69,MATCH(INDEX(Utility_Rates!$K$6:$K$17,MONTH(C5947))&amp;IF(WEEKDAY(C5947,Inputs!$C$76)&lt;=Inputs!$C$74," weekday"," weekend"),Utility_Rates!$C$28:$F$28,Inputs!$C$68)),"")</f>
      </c>
      <c r="H5947" s="34"/>
      <c r="I5947" s="42">
        <f>IF(AND(ISNUMBER(D5947),ISNUMBER(H5947)),D5947*H5947*Inputs!$C$69,"")</f>
      </c>
      <c r="J5947" s="42">
        <f>IF(AND(ISNUMBER(F5947),ISNUMBER(H5947),F5947&gt;=Inputs!$C$68),F5947*H5947*Inputs!$C$69,"")</f>
      </c>
    </row>
    <row r="5948" spans="2:10" ht="15" customHeight="1" x14ac:dyDescent="0.2">
      <c r="B5948" s="39">
        <f t="shared" si="46"/>
      </c>
      <c r="C5948" s="40">
        <f>IF(Inputs!$C$60,Inputs!$C$11+(B5948-Inputs!$C$69)/Inputs!$C$70,"")</f>
      </c>
      <c r="D5948" s="15"/>
      <c r="E5948" s="15"/>
      <c r="F5948" s="11">
        <f t="shared" si="47"/>
      </c>
      <c r="G5948" s="22" cm="1">
        <f t="array" ref="G5948">IF(AND(Inputs!$C$60,Inputs!$C$61),INDEX(Utility_Rates!$C$29:$F$52,HOUR(C5948)+Inputs!$C$69,MATCH(INDEX(Utility_Rates!$K$6:$K$17,MONTH(C5948))&amp;IF(WEEKDAY(C5948,Inputs!$C$76)&lt;=Inputs!$C$74," weekday"," weekend"),Utility_Rates!$C$28:$F$28,Inputs!$C$68)),"")</f>
      </c>
      <c r="H5948" s="34"/>
      <c r="I5948" s="42">
        <f>IF(AND(ISNUMBER(D5948),ISNUMBER(H5948)),D5948*H5948*Inputs!$C$69,"")</f>
      </c>
      <c r="J5948" s="42">
        <f>IF(AND(ISNUMBER(F5948),ISNUMBER(H5948),F5948&gt;=Inputs!$C$68),F5948*H5948*Inputs!$C$69,"")</f>
      </c>
    </row>
    <row r="5949" spans="2:10" ht="15" customHeight="1" x14ac:dyDescent="0.2">
      <c r="B5949" s="39">
        <f t="shared" si="46"/>
      </c>
      <c r="C5949" s="40">
        <f>IF(Inputs!$C$60,Inputs!$C$11+(B5949-Inputs!$C$69)/Inputs!$C$70,"")</f>
      </c>
      <c r="D5949" s="15"/>
      <c r="E5949" s="15"/>
      <c r="F5949" s="11">
        <f t="shared" si="47"/>
      </c>
      <c r="G5949" s="22" cm="1">
        <f t="array" ref="G5949">IF(AND(Inputs!$C$60,Inputs!$C$61),INDEX(Utility_Rates!$C$29:$F$52,HOUR(C5949)+Inputs!$C$69,MATCH(INDEX(Utility_Rates!$K$6:$K$17,MONTH(C5949))&amp;IF(WEEKDAY(C5949,Inputs!$C$76)&lt;=Inputs!$C$74," weekday"," weekend"),Utility_Rates!$C$28:$F$28,Inputs!$C$68)),"")</f>
      </c>
      <c r="H5949" s="34"/>
      <c r="I5949" s="42">
        <f>IF(AND(ISNUMBER(D5949),ISNUMBER(H5949)),D5949*H5949*Inputs!$C$69,"")</f>
      </c>
      <c r="J5949" s="42">
        <f>IF(AND(ISNUMBER(F5949),ISNUMBER(H5949),F5949&gt;=Inputs!$C$68),F5949*H5949*Inputs!$C$69,"")</f>
      </c>
    </row>
    <row r="5950" spans="2:10" ht="15" customHeight="1" x14ac:dyDescent="0.2">
      <c r="B5950" s="39">
        <f t="shared" si="46"/>
      </c>
      <c r="C5950" s="40">
        <f>IF(Inputs!$C$60,Inputs!$C$11+(B5950-Inputs!$C$69)/Inputs!$C$70,"")</f>
      </c>
      <c r="D5950" s="15"/>
      <c r="E5950" s="15"/>
      <c r="F5950" s="11">
        <f t="shared" si="47"/>
      </c>
      <c r="G5950" s="22" cm="1">
        <f t="array" ref="G5950">IF(AND(Inputs!$C$60,Inputs!$C$61),INDEX(Utility_Rates!$C$29:$F$52,HOUR(C5950)+Inputs!$C$69,MATCH(INDEX(Utility_Rates!$K$6:$K$17,MONTH(C5950))&amp;IF(WEEKDAY(C5950,Inputs!$C$76)&lt;=Inputs!$C$74," weekday"," weekend"),Utility_Rates!$C$28:$F$28,Inputs!$C$68)),"")</f>
      </c>
      <c r="H5950" s="34"/>
      <c r="I5950" s="42">
        <f>IF(AND(ISNUMBER(D5950),ISNUMBER(H5950)),D5950*H5950*Inputs!$C$69,"")</f>
      </c>
      <c r="J5950" s="42">
        <f>IF(AND(ISNUMBER(F5950),ISNUMBER(H5950),F5950&gt;=Inputs!$C$68),F5950*H5950*Inputs!$C$69,"")</f>
      </c>
    </row>
    <row r="5951" spans="2:10" ht="15" customHeight="1" x14ac:dyDescent="0.2">
      <c r="B5951" s="39">
        <f t="shared" si="46"/>
      </c>
      <c r="C5951" s="40">
        <f>IF(Inputs!$C$60,Inputs!$C$11+(B5951-Inputs!$C$69)/Inputs!$C$70,"")</f>
      </c>
      <c r="D5951" s="15"/>
      <c r="E5951" s="15"/>
      <c r="F5951" s="11">
        <f t="shared" si="47"/>
      </c>
      <c r="G5951" s="22" cm="1">
        <f t="array" ref="G5951">IF(AND(Inputs!$C$60,Inputs!$C$61),INDEX(Utility_Rates!$C$29:$F$52,HOUR(C5951)+Inputs!$C$69,MATCH(INDEX(Utility_Rates!$K$6:$K$17,MONTH(C5951))&amp;IF(WEEKDAY(C5951,Inputs!$C$76)&lt;=Inputs!$C$74," weekday"," weekend"),Utility_Rates!$C$28:$F$28,Inputs!$C$68)),"")</f>
      </c>
      <c r="H5951" s="34"/>
      <c r="I5951" s="42">
        <f>IF(AND(ISNUMBER(D5951),ISNUMBER(H5951)),D5951*H5951*Inputs!$C$69,"")</f>
      </c>
      <c r="J5951" s="42">
        <f>IF(AND(ISNUMBER(F5951),ISNUMBER(H5951),F5951&gt;=Inputs!$C$68),F5951*H5951*Inputs!$C$69,"")</f>
      </c>
    </row>
    <row r="5952" spans="2:10" ht="15" customHeight="1" x14ac:dyDescent="0.2">
      <c r="B5952" s="39">
        <f t="shared" si="46"/>
      </c>
      <c r="C5952" s="40">
        <f>IF(Inputs!$C$60,Inputs!$C$11+(B5952-Inputs!$C$69)/Inputs!$C$70,"")</f>
      </c>
      <c r="D5952" s="15"/>
      <c r="E5952" s="15"/>
      <c r="F5952" s="11">
        <f t="shared" si="47"/>
      </c>
      <c r="G5952" s="22" cm="1">
        <f t="array" ref="G5952">IF(AND(Inputs!$C$60,Inputs!$C$61),INDEX(Utility_Rates!$C$29:$F$52,HOUR(C5952)+Inputs!$C$69,MATCH(INDEX(Utility_Rates!$K$6:$K$17,MONTH(C5952))&amp;IF(WEEKDAY(C5952,Inputs!$C$76)&lt;=Inputs!$C$74," weekday"," weekend"),Utility_Rates!$C$28:$F$28,Inputs!$C$68)),"")</f>
      </c>
      <c r="H5952" s="34"/>
      <c r="I5952" s="42">
        <f>IF(AND(ISNUMBER(D5952),ISNUMBER(H5952)),D5952*H5952*Inputs!$C$69,"")</f>
      </c>
      <c r="J5952" s="42">
        <f>IF(AND(ISNUMBER(F5952),ISNUMBER(H5952),F5952&gt;=Inputs!$C$68),F5952*H5952*Inputs!$C$69,"")</f>
      </c>
    </row>
    <row r="5953" spans="2:10" ht="15" customHeight="1" x14ac:dyDescent="0.2">
      <c r="B5953" s="39">
        <f t="shared" si="46"/>
      </c>
      <c r="C5953" s="40">
        <f>IF(Inputs!$C$60,Inputs!$C$11+(B5953-Inputs!$C$69)/Inputs!$C$70,"")</f>
      </c>
      <c r="D5953" s="15"/>
      <c r="E5953" s="15"/>
      <c r="F5953" s="11">
        <f t="shared" si="47"/>
      </c>
      <c r="G5953" s="22" cm="1">
        <f t="array" ref="G5953">IF(AND(Inputs!$C$60,Inputs!$C$61),INDEX(Utility_Rates!$C$29:$F$52,HOUR(C5953)+Inputs!$C$69,MATCH(INDEX(Utility_Rates!$K$6:$K$17,MONTH(C5953))&amp;IF(WEEKDAY(C5953,Inputs!$C$76)&lt;=Inputs!$C$74," weekday"," weekend"),Utility_Rates!$C$28:$F$28,Inputs!$C$68)),"")</f>
      </c>
      <c r="H5953" s="34"/>
      <c r="I5953" s="42">
        <f>IF(AND(ISNUMBER(D5953),ISNUMBER(H5953)),D5953*H5953*Inputs!$C$69,"")</f>
      </c>
      <c r="J5953" s="42">
        <f>IF(AND(ISNUMBER(F5953),ISNUMBER(H5953),F5953&gt;=Inputs!$C$68),F5953*H5953*Inputs!$C$69,"")</f>
      </c>
    </row>
    <row r="5954" spans="2:10" ht="15" customHeight="1" x14ac:dyDescent="0.2">
      <c r="B5954" s="39">
        <f t="shared" si="46"/>
      </c>
      <c r="C5954" s="40">
        <f>IF(Inputs!$C$60,Inputs!$C$11+(B5954-Inputs!$C$69)/Inputs!$C$70,"")</f>
      </c>
      <c r="D5954" s="15"/>
      <c r="E5954" s="15"/>
      <c r="F5954" s="11">
        <f t="shared" si="47"/>
      </c>
      <c r="G5954" s="22" cm="1">
        <f t="array" ref="G5954">IF(AND(Inputs!$C$60,Inputs!$C$61),INDEX(Utility_Rates!$C$29:$F$52,HOUR(C5954)+Inputs!$C$69,MATCH(INDEX(Utility_Rates!$K$6:$K$17,MONTH(C5954))&amp;IF(WEEKDAY(C5954,Inputs!$C$76)&lt;=Inputs!$C$74," weekday"," weekend"),Utility_Rates!$C$28:$F$28,Inputs!$C$68)),"")</f>
      </c>
      <c r="H5954" s="34"/>
      <c r="I5954" s="42">
        <f>IF(AND(ISNUMBER(D5954),ISNUMBER(H5954)),D5954*H5954*Inputs!$C$69,"")</f>
      </c>
      <c r="J5954" s="42">
        <f>IF(AND(ISNUMBER(F5954),ISNUMBER(H5954),F5954&gt;=Inputs!$C$68),F5954*H5954*Inputs!$C$69,"")</f>
      </c>
    </row>
    <row r="5955" spans="2:10" ht="15" customHeight="1" x14ac:dyDescent="0.2">
      <c r="B5955" s="39">
        <f t="shared" si="46"/>
      </c>
      <c r="C5955" s="40">
        <f>IF(Inputs!$C$60,Inputs!$C$11+(B5955-Inputs!$C$69)/Inputs!$C$70,"")</f>
      </c>
      <c r="D5955" s="15"/>
      <c r="E5955" s="15"/>
      <c r="F5955" s="11">
        <f t="shared" si="47"/>
      </c>
      <c r="G5955" s="22" cm="1">
        <f t="array" ref="G5955">IF(AND(Inputs!$C$60,Inputs!$C$61),INDEX(Utility_Rates!$C$29:$F$52,HOUR(C5955)+Inputs!$C$69,MATCH(INDEX(Utility_Rates!$K$6:$K$17,MONTH(C5955))&amp;IF(WEEKDAY(C5955,Inputs!$C$76)&lt;=Inputs!$C$74," weekday"," weekend"),Utility_Rates!$C$28:$F$28,Inputs!$C$68)),"")</f>
      </c>
      <c r="H5955" s="34"/>
      <c r="I5955" s="42">
        <f>IF(AND(ISNUMBER(D5955),ISNUMBER(H5955)),D5955*H5955*Inputs!$C$69,"")</f>
      </c>
      <c r="J5955" s="42">
        <f>IF(AND(ISNUMBER(F5955),ISNUMBER(H5955),F5955&gt;=Inputs!$C$68),F5955*H5955*Inputs!$C$69,"")</f>
      </c>
    </row>
    <row r="5956" spans="2:10" ht="15" customHeight="1" x14ac:dyDescent="0.2">
      <c r="B5956" s="39">
        <f t="shared" si="46"/>
      </c>
      <c r="C5956" s="40">
        <f>IF(Inputs!$C$60,Inputs!$C$11+(B5956-Inputs!$C$69)/Inputs!$C$70,"")</f>
      </c>
      <c r="D5956" s="15"/>
      <c r="E5956" s="15"/>
      <c r="F5956" s="11">
        <f t="shared" si="47"/>
      </c>
      <c r="G5956" s="22" cm="1">
        <f t="array" ref="G5956">IF(AND(Inputs!$C$60,Inputs!$C$61),INDEX(Utility_Rates!$C$29:$F$52,HOUR(C5956)+Inputs!$C$69,MATCH(INDEX(Utility_Rates!$K$6:$K$17,MONTH(C5956))&amp;IF(WEEKDAY(C5956,Inputs!$C$76)&lt;=Inputs!$C$74," weekday"," weekend"),Utility_Rates!$C$28:$F$28,Inputs!$C$68)),"")</f>
      </c>
      <c r="H5956" s="34"/>
      <c r="I5956" s="42">
        <f>IF(AND(ISNUMBER(D5956),ISNUMBER(H5956)),D5956*H5956*Inputs!$C$69,"")</f>
      </c>
      <c r="J5956" s="42">
        <f>IF(AND(ISNUMBER(F5956),ISNUMBER(H5956),F5956&gt;=Inputs!$C$68),F5956*H5956*Inputs!$C$69,"")</f>
      </c>
    </row>
    <row r="5957" spans="2:10" ht="15" customHeight="1" x14ac:dyDescent="0.2">
      <c r="B5957" s="39">
        <f t="shared" si="46"/>
      </c>
      <c r="C5957" s="40">
        <f>IF(Inputs!$C$60,Inputs!$C$11+(B5957-Inputs!$C$69)/Inputs!$C$70,"")</f>
      </c>
      <c r="D5957" s="15"/>
      <c r="E5957" s="15"/>
      <c r="F5957" s="11">
        <f t="shared" si="47"/>
      </c>
      <c r="G5957" s="22" cm="1">
        <f t="array" ref="G5957">IF(AND(Inputs!$C$60,Inputs!$C$61),INDEX(Utility_Rates!$C$29:$F$52,HOUR(C5957)+Inputs!$C$69,MATCH(INDEX(Utility_Rates!$K$6:$K$17,MONTH(C5957))&amp;IF(WEEKDAY(C5957,Inputs!$C$76)&lt;=Inputs!$C$74," weekday"," weekend"),Utility_Rates!$C$28:$F$28,Inputs!$C$68)),"")</f>
      </c>
      <c r="H5957" s="34"/>
      <c r="I5957" s="42">
        <f>IF(AND(ISNUMBER(D5957),ISNUMBER(H5957)),D5957*H5957*Inputs!$C$69,"")</f>
      </c>
      <c r="J5957" s="42">
        <f>IF(AND(ISNUMBER(F5957),ISNUMBER(H5957),F5957&gt;=Inputs!$C$68),F5957*H5957*Inputs!$C$69,"")</f>
      </c>
    </row>
    <row r="5958" spans="2:10" ht="15" customHeight="1" x14ac:dyDescent="0.2">
      <c r="B5958" s="39">
        <f t="shared" si="46"/>
      </c>
      <c r="C5958" s="40">
        <f>IF(Inputs!$C$60,Inputs!$C$11+(B5958-Inputs!$C$69)/Inputs!$C$70,"")</f>
      </c>
      <c r="D5958" s="15"/>
      <c r="E5958" s="15"/>
      <c r="F5958" s="11">
        <f t="shared" si="47"/>
      </c>
      <c r="G5958" s="22" cm="1">
        <f t="array" ref="G5958">IF(AND(Inputs!$C$60,Inputs!$C$61),INDEX(Utility_Rates!$C$29:$F$52,HOUR(C5958)+Inputs!$C$69,MATCH(INDEX(Utility_Rates!$K$6:$K$17,MONTH(C5958))&amp;IF(WEEKDAY(C5958,Inputs!$C$76)&lt;=Inputs!$C$74," weekday"," weekend"),Utility_Rates!$C$28:$F$28,Inputs!$C$68)),"")</f>
      </c>
      <c r="H5958" s="34"/>
      <c r="I5958" s="42">
        <f>IF(AND(ISNUMBER(D5958),ISNUMBER(H5958)),D5958*H5958*Inputs!$C$69,"")</f>
      </c>
      <c r="J5958" s="42">
        <f>IF(AND(ISNUMBER(F5958),ISNUMBER(H5958),F5958&gt;=Inputs!$C$68),F5958*H5958*Inputs!$C$69,"")</f>
      </c>
    </row>
    <row r="5959" spans="2:10" ht="15" customHeight="1" x14ac:dyDescent="0.2">
      <c r="B5959" s="39">
        <f t="shared" si="46"/>
      </c>
      <c r="C5959" s="40">
        <f>IF(Inputs!$C$60,Inputs!$C$11+(B5959-Inputs!$C$69)/Inputs!$C$70,"")</f>
      </c>
      <c r="D5959" s="15"/>
      <c r="E5959" s="15"/>
      <c r="F5959" s="11">
        <f t="shared" si="47"/>
      </c>
      <c r="G5959" s="22" cm="1">
        <f t="array" ref="G5959">IF(AND(Inputs!$C$60,Inputs!$C$61),INDEX(Utility_Rates!$C$29:$F$52,HOUR(C5959)+Inputs!$C$69,MATCH(INDEX(Utility_Rates!$K$6:$K$17,MONTH(C5959))&amp;IF(WEEKDAY(C5959,Inputs!$C$76)&lt;=Inputs!$C$74," weekday"," weekend"),Utility_Rates!$C$28:$F$28,Inputs!$C$68)),"")</f>
      </c>
      <c r="H5959" s="34"/>
      <c r="I5959" s="42">
        <f>IF(AND(ISNUMBER(D5959),ISNUMBER(H5959)),D5959*H5959*Inputs!$C$69,"")</f>
      </c>
      <c r="J5959" s="42">
        <f>IF(AND(ISNUMBER(F5959),ISNUMBER(H5959),F5959&gt;=Inputs!$C$68),F5959*H5959*Inputs!$C$69,"")</f>
      </c>
    </row>
    <row r="5960" spans="2:10" ht="15" customHeight="1" x14ac:dyDescent="0.2">
      <c r="B5960" s="39">
        <f t="shared" si="46"/>
      </c>
      <c r="C5960" s="40">
        <f>IF(Inputs!$C$60,Inputs!$C$11+(B5960-Inputs!$C$69)/Inputs!$C$70,"")</f>
      </c>
      <c r="D5960" s="15"/>
      <c r="E5960" s="15"/>
      <c r="F5960" s="11">
        <f t="shared" si="47"/>
      </c>
      <c r="G5960" s="22" cm="1">
        <f t="array" ref="G5960">IF(AND(Inputs!$C$60,Inputs!$C$61),INDEX(Utility_Rates!$C$29:$F$52,HOUR(C5960)+Inputs!$C$69,MATCH(INDEX(Utility_Rates!$K$6:$K$17,MONTH(C5960))&amp;IF(WEEKDAY(C5960,Inputs!$C$76)&lt;=Inputs!$C$74," weekday"," weekend"),Utility_Rates!$C$28:$F$28,Inputs!$C$68)),"")</f>
      </c>
      <c r="H5960" s="34"/>
      <c r="I5960" s="42">
        <f>IF(AND(ISNUMBER(D5960),ISNUMBER(H5960)),D5960*H5960*Inputs!$C$69,"")</f>
      </c>
      <c r="J5960" s="42">
        <f>IF(AND(ISNUMBER(F5960),ISNUMBER(H5960),F5960&gt;=Inputs!$C$68),F5960*H5960*Inputs!$C$69,"")</f>
      </c>
    </row>
    <row r="5961" spans="2:10" ht="15" customHeight="1" x14ac:dyDescent="0.2">
      <c r="B5961" s="39">
        <f t="shared" si="46"/>
      </c>
      <c r="C5961" s="40">
        <f>IF(Inputs!$C$60,Inputs!$C$11+(B5961-Inputs!$C$69)/Inputs!$C$70,"")</f>
      </c>
      <c r="D5961" s="15"/>
      <c r="E5961" s="15"/>
      <c r="F5961" s="11">
        <f t="shared" si="47"/>
      </c>
      <c r="G5961" s="22" cm="1">
        <f t="array" ref="G5961">IF(AND(Inputs!$C$60,Inputs!$C$61),INDEX(Utility_Rates!$C$29:$F$52,HOUR(C5961)+Inputs!$C$69,MATCH(INDEX(Utility_Rates!$K$6:$K$17,MONTH(C5961))&amp;IF(WEEKDAY(C5961,Inputs!$C$76)&lt;=Inputs!$C$74," weekday"," weekend"),Utility_Rates!$C$28:$F$28,Inputs!$C$68)),"")</f>
      </c>
      <c r="H5961" s="34"/>
      <c r="I5961" s="42">
        <f>IF(AND(ISNUMBER(D5961),ISNUMBER(H5961)),D5961*H5961*Inputs!$C$69,"")</f>
      </c>
      <c r="J5961" s="42">
        <f>IF(AND(ISNUMBER(F5961),ISNUMBER(H5961),F5961&gt;=Inputs!$C$68),F5961*H5961*Inputs!$C$69,"")</f>
      </c>
    </row>
    <row r="5962" spans="2:10" ht="15" customHeight="1" x14ac:dyDescent="0.2">
      <c r="B5962" s="39">
        <f t="shared" si="46"/>
      </c>
      <c r="C5962" s="40">
        <f>IF(Inputs!$C$60,Inputs!$C$11+(B5962-Inputs!$C$69)/Inputs!$C$70,"")</f>
      </c>
      <c r="D5962" s="15"/>
      <c r="E5962" s="15"/>
      <c r="F5962" s="11">
        <f t="shared" si="47"/>
      </c>
      <c r="G5962" s="22" cm="1">
        <f t="array" ref="G5962">IF(AND(Inputs!$C$60,Inputs!$C$61),INDEX(Utility_Rates!$C$29:$F$52,HOUR(C5962)+Inputs!$C$69,MATCH(INDEX(Utility_Rates!$K$6:$K$17,MONTH(C5962))&amp;IF(WEEKDAY(C5962,Inputs!$C$76)&lt;=Inputs!$C$74," weekday"," weekend"),Utility_Rates!$C$28:$F$28,Inputs!$C$68)),"")</f>
      </c>
      <c r="H5962" s="34"/>
      <c r="I5962" s="42">
        <f>IF(AND(ISNUMBER(D5962),ISNUMBER(H5962)),D5962*H5962*Inputs!$C$69,"")</f>
      </c>
      <c r="J5962" s="42">
        <f>IF(AND(ISNUMBER(F5962),ISNUMBER(H5962),F5962&gt;=Inputs!$C$68),F5962*H5962*Inputs!$C$69,"")</f>
      </c>
    </row>
    <row r="5963" spans="2:10" ht="15" customHeight="1" x14ac:dyDescent="0.2">
      <c r="B5963" s="39">
        <f t="shared" si="46"/>
      </c>
      <c r="C5963" s="40">
        <f>IF(Inputs!$C$60,Inputs!$C$11+(B5963-Inputs!$C$69)/Inputs!$C$70,"")</f>
      </c>
      <c r="D5963" s="15"/>
      <c r="E5963" s="15"/>
      <c r="F5963" s="11">
        <f t="shared" si="47"/>
      </c>
      <c r="G5963" s="22" cm="1">
        <f t="array" ref="G5963">IF(AND(Inputs!$C$60,Inputs!$C$61),INDEX(Utility_Rates!$C$29:$F$52,HOUR(C5963)+Inputs!$C$69,MATCH(INDEX(Utility_Rates!$K$6:$K$17,MONTH(C5963))&amp;IF(WEEKDAY(C5963,Inputs!$C$76)&lt;=Inputs!$C$74," weekday"," weekend"),Utility_Rates!$C$28:$F$28,Inputs!$C$68)),"")</f>
      </c>
      <c r="H5963" s="34"/>
      <c r="I5963" s="42">
        <f>IF(AND(ISNUMBER(D5963),ISNUMBER(H5963)),D5963*H5963*Inputs!$C$69,"")</f>
      </c>
      <c r="J5963" s="42">
        <f>IF(AND(ISNUMBER(F5963),ISNUMBER(H5963),F5963&gt;=Inputs!$C$68),F5963*H5963*Inputs!$C$69,"")</f>
      </c>
    </row>
    <row r="5964" spans="2:10" ht="15" customHeight="1" x14ac:dyDescent="0.2">
      <c r="B5964" s="39">
        <f t="shared" si="46"/>
      </c>
      <c r="C5964" s="40">
        <f>IF(Inputs!$C$60,Inputs!$C$11+(B5964-Inputs!$C$69)/Inputs!$C$70,"")</f>
      </c>
      <c r="D5964" s="15"/>
      <c r="E5964" s="15"/>
      <c r="F5964" s="11">
        <f t="shared" si="47"/>
      </c>
      <c r="G5964" s="22" cm="1">
        <f t="array" ref="G5964">IF(AND(Inputs!$C$60,Inputs!$C$61),INDEX(Utility_Rates!$C$29:$F$52,HOUR(C5964)+Inputs!$C$69,MATCH(INDEX(Utility_Rates!$K$6:$K$17,MONTH(C5964))&amp;IF(WEEKDAY(C5964,Inputs!$C$76)&lt;=Inputs!$C$74," weekday"," weekend"),Utility_Rates!$C$28:$F$28,Inputs!$C$68)),"")</f>
      </c>
      <c r="H5964" s="34"/>
      <c r="I5964" s="42">
        <f>IF(AND(ISNUMBER(D5964),ISNUMBER(H5964)),D5964*H5964*Inputs!$C$69,"")</f>
      </c>
      <c r="J5964" s="42">
        <f>IF(AND(ISNUMBER(F5964),ISNUMBER(H5964),F5964&gt;=Inputs!$C$68),F5964*H5964*Inputs!$C$69,"")</f>
      </c>
    </row>
    <row r="5965" spans="2:10" ht="15" customHeight="1" x14ac:dyDescent="0.2">
      <c r="B5965" s="39">
        <f t="shared" si="46"/>
      </c>
      <c r="C5965" s="40">
        <f>IF(Inputs!$C$60,Inputs!$C$11+(B5965-Inputs!$C$69)/Inputs!$C$70,"")</f>
      </c>
      <c r="D5965" s="15"/>
      <c r="E5965" s="15"/>
      <c r="F5965" s="11">
        <f t="shared" si="47"/>
      </c>
      <c r="G5965" s="22" cm="1">
        <f t="array" ref="G5965">IF(AND(Inputs!$C$60,Inputs!$C$61),INDEX(Utility_Rates!$C$29:$F$52,HOUR(C5965)+Inputs!$C$69,MATCH(INDEX(Utility_Rates!$K$6:$K$17,MONTH(C5965))&amp;IF(WEEKDAY(C5965,Inputs!$C$76)&lt;=Inputs!$C$74," weekday"," weekend"),Utility_Rates!$C$28:$F$28,Inputs!$C$68)),"")</f>
      </c>
      <c r="H5965" s="34"/>
      <c r="I5965" s="42">
        <f>IF(AND(ISNUMBER(D5965),ISNUMBER(H5965)),D5965*H5965*Inputs!$C$69,"")</f>
      </c>
      <c r="J5965" s="42">
        <f>IF(AND(ISNUMBER(F5965),ISNUMBER(H5965),F5965&gt;=Inputs!$C$68),F5965*H5965*Inputs!$C$69,"")</f>
      </c>
    </row>
    <row r="5966" spans="2:10" ht="15" customHeight="1" x14ac:dyDescent="0.2">
      <c r="B5966" s="39">
        <f t="shared" si="46"/>
      </c>
      <c r="C5966" s="40">
        <f>IF(Inputs!$C$60,Inputs!$C$11+(B5966-Inputs!$C$69)/Inputs!$C$70,"")</f>
      </c>
      <c r="D5966" s="15"/>
      <c r="E5966" s="15"/>
      <c r="F5966" s="11">
        <f t="shared" si="47"/>
      </c>
      <c r="G5966" s="22" cm="1">
        <f t="array" ref="G5966">IF(AND(Inputs!$C$60,Inputs!$C$61),INDEX(Utility_Rates!$C$29:$F$52,HOUR(C5966)+Inputs!$C$69,MATCH(INDEX(Utility_Rates!$K$6:$K$17,MONTH(C5966))&amp;IF(WEEKDAY(C5966,Inputs!$C$76)&lt;=Inputs!$C$74," weekday"," weekend"),Utility_Rates!$C$28:$F$28,Inputs!$C$68)),"")</f>
      </c>
      <c r="H5966" s="34"/>
      <c r="I5966" s="42">
        <f>IF(AND(ISNUMBER(D5966),ISNUMBER(H5966)),D5966*H5966*Inputs!$C$69,"")</f>
      </c>
      <c r="J5966" s="42">
        <f>IF(AND(ISNUMBER(F5966),ISNUMBER(H5966),F5966&gt;=Inputs!$C$68),F5966*H5966*Inputs!$C$69,"")</f>
      </c>
    </row>
    <row r="5967" spans="2:10" ht="15" customHeight="1" x14ac:dyDescent="0.2">
      <c r="B5967" s="39">
        <f t="shared" si="46"/>
      </c>
      <c r="C5967" s="40">
        <f>IF(Inputs!$C$60,Inputs!$C$11+(B5967-Inputs!$C$69)/Inputs!$C$70,"")</f>
      </c>
      <c r="D5967" s="15"/>
      <c r="E5967" s="15"/>
      <c r="F5967" s="11">
        <f t="shared" si="47"/>
      </c>
      <c r="G5967" s="22" cm="1">
        <f t="array" ref="G5967">IF(AND(Inputs!$C$60,Inputs!$C$61),INDEX(Utility_Rates!$C$29:$F$52,HOUR(C5967)+Inputs!$C$69,MATCH(INDEX(Utility_Rates!$K$6:$K$17,MONTH(C5967))&amp;IF(WEEKDAY(C5967,Inputs!$C$76)&lt;=Inputs!$C$74," weekday"," weekend"),Utility_Rates!$C$28:$F$28,Inputs!$C$68)),"")</f>
      </c>
      <c r="H5967" s="34"/>
      <c r="I5967" s="42">
        <f>IF(AND(ISNUMBER(D5967),ISNUMBER(H5967)),D5967*H5967*Inputs!$C$69,"")</f>
      </c>
      <c r="J5967" s="42">
        <f>IF(AND(ISNUMBER(F5967),ISNUMBER(H5967),F5967&gt;=Inputs!$C$68),F5967*H5967*Inputs!$C$69,"")</f>
      </c>
    </row>
    <row r="5968" spans="2:10" ht="15" customHeight="1" x14ac:dyDescent="0.2">
      <c r="B5968" s="39">
        <f t="shared" si="46"/>
      </c>
      <c r="C5968" s="40">
        <f>IF(Inputs!$C$60,Inputs!$C$11+(B5968-Inputs!$C$69)/Inputs!$C$70,"")</f>
      </c>
      <c r="D5968" s="15"/>
      <c r="E5968" s="15"/>
      <c r="F5968" s="11">
        <f t="shared" si="47"/>
      </c>
      <c r="G5968" s="22" cm="1">
        <f t="array" ref="G5968">IF(AND(Inputs!$C$60,Inputs!$C$61),INDEX(Utility_Rates!$C$29:$F$52,HOUR(C5968)+Inputs!$C$69,MATCH(INDEX(Utility_Rates!$K$6:$K$17,MONTH(C5968))&amp;IF(WEEKDAY(C5968,Inputs!$C$76)&lt;=Inputs!$C$74," weekday"," weekend"),Utility_Rates!$C$28:$F$28,Inputs!$C$68)),"")</f>
      </c>
      <c r="H5968" s="34"/>
      <c r="I5968" s="42">
        <f>IF(AND(ISNUMBER(D5968),ISNUMBER(H5968)),D5968*H5968*Inputs!$C$69,"")</f>
      </c>
      <c r="J5968" s="42">
        <f>IF(AND(ISNUMBER(F5968),ISNUMBER(H5968),F5968&gt;=Inputs!$C$68),F5968*H5968*Inputs!$C$69,"")</f>
      </c>
    </row>
    <row r="5969" spans="2:10" ht="15" customHeight="1" x14ac:dyDescent="0.2">
      <c r="B5969" s="39">
        <f t="shared" si="46"/>
      </c>
      <c r="C5969" s="40">
        <f>IF(Inputs!$C$60,Inputs!$C$11+(B5969-Inputs!$C$69)/Inputs!$C$70,"")</f>
      </c>
      <c r="D5969" s="15"/>
      <c r="E5969" s="15"/>
      <c r="F5969" s="11">
        <f t="shared" si="47"/>
      </c>
      <c r="G5969" s="22" cm="1">
        <f t="array" ref="G5969">IF(AND(Inputs!$C$60,Inputs!$C$61),INDEX(Utility_Rates!$C$29:$F$52,HOUR(C5969)+Inputs!$C$69,MATCH(INDEX(Utility_Rates!$K$6:$K$17,MONTH(C5969))&amp;IF(WEEKDAY(C5969,Inputs!$C$76)&lt;=Inputs!$C$74," weekday"," weekend"),Utility_Rates!$C$28:$F$28,Inputs!$C$68)),"")</f>
      </c>
      <c r="H5969" s="34"/>
      <c r="I5969" s="42">
        <f>IF(AND(ISNUMBER(D5969),ISNUMBER(H5969)),D5969*H5969*Inputs!$C$69,"")</f>
      </c>
      <c r="J5969" s="42">
        <f>IF(AND(ISNUMBER(F5969),ISNUMBER(H5969),F5969&gt;=Inputs!$C$68),F5969*H5969*Inputs!$C$69,"")</f>
      </c>
    </row>
    <row r="5970" spans="2:10" ht="15" customHeight="1" x14ac:dyDescent="0.2">
      <c r="B5970" s="39">
        <f t="shared" si="46"/>
      </c>
      <c r="C5970" s="40">
        <f>IF(Inputs!$C$60,Inputs!$C$11+(B5970-Inputs!$C$69)/Inputs!$C$70,"")</f>
      </c>
      <c r="D5970" s="15"/>
      <c r="E5970" s="15"/>
      <c r="F5970" s="11">
        <f t="shared" si="47"/>
      </c>
      <c r="G5970" s="22" cm="1">
        <f t="array" ref="G5970">IF(AND(Inputs!$C$60,Inputs!$C$61),INDEX(Utility_Rates!$C$29:$F$52,HOUR(C5970)+Inputs!$C$69,MATCH(INDEX(Utility_Rates!$K$6:$K$17,MONTH(C5970))&amp;IF(WEEKDAY(C5970,Inputs!$C$76)&lt;=Inputs!$C$74," weekday"," weekend"),Utility_Rates!$C$28:$F$28,Inputs!$C$68)),"")</f>
      </c>
      <c r="H5970" s="34"/>
      <c r="I5970" s="42">
        <f>IF(AND(ISNUMBER(D5970),ISNUMBER(H5970)),D5970*H5970*Inputs!$C$69,"")</f>
      </c>
      <c r="J5970" s="42">
        <f>IF(AND(ISNUMBER(F5970),ISNUMBER(H5970),F5970&gt;=Inputs!$C$68),F5970*H5970*Inputs!$C$69,"")</f>
      </c>
    </row>
    <row r="5971" spans="2:10" ht="15" customHeight="1" x14ac:dyDescent="0.2">
      <c r="B5971" s="39">
        <f t="shared" si="46"/>
      </c>
      <c r="C5971" s="40">
        <f>IF(Inputs!$C$60,Inputs!$C$11+(B5971-Inputs!$C$69)/Inputs!$C$70,"")</f>
      </c>
      <c r="D5971" s="15"/>
      <c r="E5971" s="15"/>
      <c r="F5971" s="11">
        <f t="shared" si="47"/>
      </c>
      <c r="G5971" s="22" cm="1">
        <f t="array" ref="G5971">IF(AND(Inputs!$C$60,Inputs!$C$61),INDEX(Utility_Rates!$C$29:$F$52,HOUR(C5971)+Inputs!$C$69,MATCH(INDEX(Utility_Rates!$K$6:$K$17,MONTH(C5971))&amp;IF(WEEKDAY(C5971,Inputs!$C$76)&lt;=Inputs!$C$74," weekday"," weekend"),Utility_Rates!$C$28:$F$28,Inputs!$C$68)),"")</f>
      </c>
      <c r="H5971" s="34"/>
      <c r="I5971" s="42">
        <f>IF(AND(ISNUMBER(D5971),ISNUMBER(H5971)),D5971*H5971*Inputs!$C$69,"")</f>
      </c>
      <c r="J5971" s="42">
        <f>IF(AND(ISNUMBER(F5971),ISNUMBER(H5971),F5971&gt;=Inputs!$C$68),F5971*H5971*Inputs!$C$69,"")</f>
      </c>
    </row>
    <row r="5972" spans="2:10" ht="15" customHeight="1" x14ac:dyDescent="0.2">
      <c r="B5972" s="39">
        <f t="shared" si="46"/>
      </c>
      <c r="C5972" s="40">
        <f>IF(Inputs!$C$60,Inputs!$C$11+(B5972-Inputs!$C$69)/Inputs!$C$70,"")</f>
      </c>
      <c r="D5972" s="15"/>
      <c r="E5972" s="15"/>
      <c r="F5972" s="11">
        <f t="shared" si="47"/>
      </c>
      <c r="G5972" s="22" cm="1">
        <f t="array" ref="G5972">IF(AND(Inputs!$C$60,Inputs!$C$61),INDEX(Utility_Rates!$C$29:$F$52,HOUR(C5972)+Inputs!$C$69,MATCH(INDEX(Utility_Rates!$K$6:$K$17,MONTH(C5972))&amp;IF(WEEKDAY(C5972,Inputs!$C$76)&lt;=Inputs!$C$74," weekday"," weekend"),Utility_Rates!$C$28:$F$28,Inputs!$C$68)),"")</f>
      </c>
      <c r="H5972" s="34"/>
      <c r="I5972" s="42">
        <f>IF(AND(ISNUMBER(D5972),ISNUMBER(H5972)),D5972*H5972*Inputs!$C$69,"")</f>
      </c>
      <c r="J5972" s="42">
        <f>IF(AND(ISNUMBER(F5972),ISNUMBER(H5972),F5972&gt;=Inputs!$C$68),F5972*H5972*Inputs!$C$69,"")</f>
      </c>
    </row>
    <row r="5973" spans="2:10" ht="15" customHeight="1" x14ac:dyDescent="0.2">
      <c r="B5973" s="39">
        <f t="shared" si="46"/>
      </c>
      <c r="C5973" s="40">
        <f>IF(Inputs!$C$60,Inputs!$C$11+(B5973-Inputs!$C$69)/Inputs!$C$70,"")</f>
      </c>
      <c r="D5973" s="15"/>
      <c r="E5973" s="15"/>
      <c r="F5973" s="11">
        <f t="shared" si="47"/>
      </c>
      <c r="G5973" s="22" cm="1">
        <f t="array" ref="G5973">IF(AND(Inputs!$C$60,Inputs!$C$61),INDEX(Utility_Rates!$C$29:$F$52,HOUR(C5973)+Inputs!$C$69,MATCH(INDEX(Utility_Rates!$K$6:$K$17,MONTH(C5973))&amp;IF(WEEKDAY(C5973,Inputs!$C$76)&lt;=Inputs!$C$74," weekday"," weekend"),Utility_Rates!$C$28:$F$28,Inputs!$C$68)),"")</f>
      </c>
      <c r="H5973" s="34"/>
      <c r="I5973" s="42">
        <f>IF(AND(ISNUMBER(D5973),ISNUMBER(H5973)),D5973*H5973*Inputs!$C$69,"")</f>
      </c>
      <c r="J5973" s="42">
        <f>IF(AND(ISNUMBER(F5973),ISNUMBER(H5973),F5973&gt;=Inputs!$C$68),F5973*H5973*Inputs!$C$69,"")</f>
      </c>
    </row>
    <row r="5974" spans="2:10" ht="15" customHeight="1" x14ac:dyDescent="0.2">
      <c r="B5974" s="39">
        <f t="shared" si="46"/>
      </c>
      <c r="C5974" s="40">
        <f>IF(Inputs!$C$60,Inputs!$C$11+(B5974-Inputs!$C$69)/Inputs!$C$70,"")</f>
      </c>
      <c r="D5974" s="15"/>
      <c r="E5974" s="15"/>
      <c r="F5974" s="11">
        <f t="shared" si="47"/>
      </c>
      <c r="G5974" s="22" cm="1">
        <f t="array" ref="G5974">IF(AND(Inputs!$C$60,Inputs!$C$61),INDEX(Utility_Rates!$C$29:$F$52,HOUR(C5974)+Inputs!$C$69,MATCH(INDEX(Utility_Rates!$K$6:$K$17,MONTH(C5974))&amp;IF(WEEKDAY(C5974,Inputs!$C$76)&lt;=Inputs!$C$74," weekday"," weekend"),Utility_Rates!$C$28:$F$28,Inputs!$C$68)),"")</f>
      </c>
      <c r="H5974" s="34"/>
      <c r="I5974" s="42">
        <f>IF(AND(ISNUMBER(D5974),ISNUMBER(H5974)),D5974*H5974*Inputs!$C$69,"")</f>
      </c>
      <c r="J5974" s="42">
        <f>IF(AND(ISNUMBER(F5974),ISNUMBER(H5974),F5974&gt;=Inputs!$C$68),F5974*H5974*Inputs!$C$69,"")</f>
      </c>
    </row>
    <row r="5975" spans="2:10" ht="15" customHeight="1" x14ac:dyDescent="0.2">
      <c r="B5975" s="39">
        <f t="shared" si="46"/>
      </c>
      <c r="C5975" s="40">
        <f>IF(Inputs!$C$60,Inputs!$C$11+(B5975-Inputs!$C$69)/Inputs!$C$70,"")</f>
      </c>
      <c r="D5975" s="15"/>
      <c r="E5975" s="15"/>
      <c r="F5975" s="11">
        <f t="shared" si="47"/>
      </c>
      <c r="G5975" s="22" cm="1">
        <f t="array" ref="G5975">IF(AND(Inputs!$C$60,Inputs!$C$61),INDEX(Utility_Rates!$C$29:$F$52,HOUR(C5975)+Inputs!$C$69,MATCH(INDEX(Utility_Rates!$K$6:$K$17,MONTH(C5975))&amp;IF(WEEKDAY(C5975,Inputs!$C$76)&lt;=Inputs!$C$74," weekday"," weekend"),Utility_Rates!$C$28:$F$28,Inputs!$C$68)),"")</f>
      </c>
      <c r="H5975" s="34"/>
      <c r="I5975" s="42">
        <f>IF(AND(ISNUMBER(D5975),ISNUMBER(H5975)),D5975*H5975*Inputs!$C$69,"")</f>
      </c>
      <c r="J5975" s="42">
        <f>IF(AND(ISNUMBER(F5975),ISNUMBER(H5975),F5975&gt;=Inputs!$C$68),F5975*H5975*Inputs!$C$69,"")</f>
      </c>
    </row>
    <row r="5976" spans="2:10" ht="15" customHeight="1" x14ac:dyDescent="0.2">
      <c r="B5976" s="39">
        <f t="shared" si="46"/>
      </c>
      <c r="C5976" s="40">
        <f>IF(Inputs!$C$60,Inputs!$C$11+(B5976-Inputs!$C$69)/Inputs!$C$70,"")</f>
      </c>
      <c r="D5976" s="15"/>
      <c r="E5976" s="15"/>
      <c r="F5976" s="11">
        <f t="shared" si="47"/>
      </c>
      <c r="G5976" s="22" cm="1">
        <f t="array" ref="G5976">IF(AND(Inputs!$C$60,Inputs!$C$61),INDEX(Utility_Rates!$C$29:$F$52,HOUR(C5976)+Inputs!$C$69,MATCH(INDEX(Utility_Rates!$K$6:$K$17,MONTH(C5976))&amp;IF(WEEKDAY(C5976,Inputs!$C$76)&lt;=Inputs!$C$74," weekday"," weekend"),Utility_Rates!$C$28:$F$28,Inputs!$C$68)),"")</f>
      </c>
      <c r="H5976" s="34"/>
      <c r="I5976" s="42">
        <f>IF(AND(ISNUMBER(D5976),ISNUMBER(H5976)),D5976*H5976*Inputs!$C$69,"")</f>
      </c>
      <c r="J5976" s="42">
        <f>IF(AND(ISNUMBER(F5976),ISNUMBER(H5976),F5976&gt;=Inputs!$C$68),F5976*H5976*Inputs!$C$69,"")</f>
      </c>
    </row>
    <row r="5977" spans="2:10" ht="15" customHeight="1" x14ac:dyDescent="0.2">
      <c r="B5977" s="39">
        <f t="shared" si="46"/>
      </c>
      <c r="C5977" s="40">
        <f>IF(Inputs!$C$60,Inputs!$C$11+(B5977-Inputs!$C$69)/Inputs!$C$70,"")</f>
      </c>
      <c r="D5977" s="15"/>
      <c r="E5977" s="15"/>
      <c r="F5977" s="11">
        <f t="shared" si="47"/>
      </c>
      <c r="G5977" s="22" cm="1">
        <f t="array" ref="G5977">IF(AND(Inputs!$C$60,Inputs!$C$61),INDEX(Utility_Rates!$C$29:$F$52,HOUR(C5977)+Inputs!$C$69,MATCH(INDEX(Utility_Rates!$K$6:$K$17,MONTH(C5977))&amp;IF(WEEKDAY(C5977,Inputs!$C$76)&lt;=Inputs!$C$74," weekday"," weekend"),Utility_Rates!$C$28:$F$28,Inputs!$C$68)),"")</f>
      </c>
      <c r="H5977" s="34"/>
      <c r="I5977" s="42">
        <f>IF(AND(ISNUMBER(D5977),ISNUMBER(H5977)),D5977*H5977*Inputs!$C$69,"")</f>
      </c>
      <c r="J5977" s="42">
        <f>IF(AND(ISNUMBER(F5977),ISNUMBER(H5977),F5977&gt;=Inputs!$C$68),F5977*H5977*Inputs!$C$69,"")</f>
      </c>
    </row>
    <row r="5978" spans="2:10" ht="15" customHeight="1" x14ac:dyDescent="0.2">
      <c r="B5978" s="39">
        <f t="shared" si="46"/>
      </c>
      <c r="C5978" s="40">
        <f>IF(Inputs!$C$60,Inputs!$C$11+(B5978-Inputs!$C$69)/Inputs!$C$70,"")</f>
      </c>
      <c r="D5978" s="15"/>
      <c r="E5978" s="15"/>
      <c r="F5978" s="11">
        <f t="shared" si="47"/>
      </c>
      <c r="G5978" s="22" cm="1">
        <f t="array" ref="G5978">IF(AND(Inputs!$C$60,Inputs!$C$61),INDEX(Utility_Rates!$C$29:$F$52,HOUR(C5978)+Inputs!$C$69,MATCH(INDEX(Utility_Rates!$K$6:$K$17,MONTH(C5978))&amp;IF(WEEKDAY(C5978,Inputs!$C$76)&lt;=Inputs!$C$74," weekday"," weekend"),Utility_Rates!$C$28:$F$28,Inputs!$C$68)),"")</f>
      </c>
      <c r="H5978" s="34"/>
      <c r="I5978" s="42">
        <f>IF(AND(ISNUMBER(D5978),ISNUMBER(H5978)),D5978*H5978*Inputs!$C$69,"")</f>
      </c>
      <c r="J5978" s="42">
        <f>IF(AND(ISNUMBER(F5978),ISNUMBER(H5978),F5978&gt;=Inputs!$C$68),F5978*H5978*Inputs!$C$69,"")</f>
      </c>
    </row>
    <row r="5979" spans="2:10" ht="15" customHeight="1" x14ac:dyDescent="0.2">
      <c r="B5979" s="39">
        <f t="shared" si="46"/>
      </c>
      <c r="C5979" s="40">
        <f>IF(Inputs!$C$60,Inputs!$C$11+(B5979-Inputs!$C$69)/Inputs!$C$70,"")</f>
      </c>
      <c r="D5979" s="15"/>
      <c r="E5979" s="15"/>
      <c r="F5979" s="11">
        <f t="shared" si="47"/>
      </c>
      <c r="G5979" s="22" cm="1">
        <f t="array" ref="G5979">IF(AND(Inputs!$C$60,Inputs!$C$61),INDEX(Utility_Rates!$C$29:$F$52,HOUR(C5979)+Inputs!$C$69,MATCH(INDEX(Utility_Rates!$K$6:$K$17,MONTH(C5979))&amp;IF(WEEKDAY(C5979,Inputs!$C$76)&lt;=Inputs!$C$74," weekday"," weekend"),Utility_Rates!$C$28:$F$28,Inputs!$C$68)),"")</f>
      </c>
      <c r="H5979" s="34"/>
      <c r="I5979" s="42">
        <f>IF(AND(ISNUMBER(D5979),ISNUMBER(H5979)),D5979*H5979*Inputs!$C$69,"")</f>
      </c>
      <c r="J5979" s="42">
        <f>IF(AND(ISNUMBER(F5979),ISNUMBER(H5979),F5979&gt;=Inputs!$C$68),F5979*H5979*Inputs!$C$69,"")</f>
      </c>
    </row>
    <row r="5980" spans="2:10" ht="15" customHeight="1" x14ac:dyDescent="0.2">
      <c r="B5980" s="39">
        <f t="shared" si="46"/>
      </c>
      <c r="C5980" s="40">
        <f>IF(Inputs!$C$60,Inputs!$C$11+(B5980-Inputs!$C$69)/Inputs!$C$70,"")</f>
      </c>
      <c r="D5980" s="15"/>
      <c r="E5980" s="15"/>
      <c r="F5980" s="11">
        <f t="shared" si="47"/>
      </c>
      <c r="G5980" s="22" cm="1">
        <f t="array" ref="G5980">IF(AND(Inputs!$C$60,Inputs!$C$61),INDEX(Utility_Rates!$C$29:$F$52,HOUR(C5980)+Inputs!$C$69,MATCH(INDEX(Utility_Rates!$K$6:$K$17,MONTH(C5980))&amp;IF(WEEKDAY(C5980,Inputs!$C$76)&lt;=Inputs!$C$74," weekday"," weekend"),Utility_Rates!$C$28:$F$28,Inputs!$C$68)),"")</f>
      </c>
      <c r="H5980" s="34"/>
      <c r="I5980" s="42">
        <f>IF(AND(ISNUMBER(D5980),ISNUMBER(H5980)),D5980*H5980*Inputs!$C$69,"")</f>
      </c>
      <c r="J5980" s="42">
        <f>IF(AND(ISNUMBER(F5980),ISNUMBER(H5980),F5980&gt;=Inputs!$C$68),F5980*H5980*Inputs!$C$69,"")</f>
      </c>
    </row>
    <row r="5981" spans="2:10" ht="15" customHeight="1" x14ac:dyDescent="0.2">
      <c r="B5981" s="39">
        <f t="shared" si="46"/>
      </c>
      <c r="C5981" s="40">
        <f>IF(Inputs!$C$60,Inputs!$C$11+(B5981-Inputs!$C$69)/Inputs!$C$70,"")</f>
      </c>
      <c r="D5981" s="15"/>
      <c r="E5981" s="15"/>
      <c r="F5981" s="11">
        <f t="shared" si="47"/>
      </c>
      <c r="G5981" s="22" cm="1">
        <f t="array" ref="G5981">IF(AND(Inputs!$C$60,Inputs!$C$61),INDEX(Utility_Rates!$C$29:$F$52,HOUR(C5981)+Inputs!$C$69,MATCH(INDEX(Utility_Rates!$K$6:$K$17,MONTH(C5981))&amp;IF(WEEKDAY(C5981,Inputs!$C$76)&lt;=Inputs!$C$74," weekday"," weekend"),Utility_Rates!$C$28:$F$28,Inputs!$C$68)),"")</f>
      </c>
      <c r="H5981" s="34"/>
      <c r="I5981" s="42">
        <f>IF(AND(ISNUMBER(D5981),ISNUMBER(H5981)),D5981*H5981*Inputs!$C$69,"")</f>
      </c>
      <c r="J5981" s="42">
        <f>IF(AND(ISNUMBER(F5981),ISNUMBER(H5981),F5981&gt;=Inputs!$C$68),F5981*H5981*Inputs!$C$69,"")</f>
      </c>
    </row>
    <row r="5982" spans="2:10" ht="15" customHeight="1" x14ac:dyDescent="0.2">
      <c r="B5982" s="39">
        <f t="shared" si="46"/>
      </c>
      <c r="C5982" s="40">
        <f>IF(Inputs!$C$60,Inputs!$C$11+(B5982-Inputs!$C$69)/Inputs!$C$70,"")</f>
      </c>
      <c r="D5982" s="15"/>
      <c r="E5982" s="15"/>
      <c r="F5982" s="11">
        <f t="shared" si="47"/>
      </c>
      <c r="G5982" s="22" cm="1">
        <f t="array" ref="G5982">IF(AND(Inputs!$C$60,Inputs!$C$61),INDEX(Utility_Rates!$C$29:$F$52,HOUR(C5982)+Inputs!$C$69,MATCH(INDEX(Utility_Rates!$K$6:$K$17,MONTH(C5982))&amp;IF(WEEKDAY(C5982,Inputs!$C$76)&lt;=Inputs!$C$74," weekday"," weekend"),Utility_Rates!$C$28:$F$28,Inputs!$C$68)),"")</f>
      </c>
      <c r="H5982" s="34"/>
      <c r="I5982" s="42">
        <f>IF(AND(ISNUMBER(D5982),ISNUMBER(H5982)),D5982*H5982*Inputs!$C$69,"")</f>
      </c>
      <c r="J5982" s="42">
        <f>IF(AND(ISNUMBER(F5982),ISNUMBER(H5982),F5982&gt;=Inputs!$C$68),F5982*H5982*Inputs!$C$69,"")</f>
      </c>
    </row>
    <row r="5983" spans="2:10" ht="15" customHeight="1" x14ac:dyDescent="0.2">
      <c r="B5983" s="39">
        <f t="shared" si="46"/>
      </c>
      <c r="C5983" s="40">
        <f>IF(Inputs!$C$60,Inputs!$C$11+(B5983-Inputs!$C$69)/Inputs!$C$70,"")</f>
      </c>
      <c r="D5983" s="15"/>
      <c r="E5983" s="15"/>
      <c r="F5983" s="11">
        <f t="shared" si="47"/>
      </c>
      <c r="G5983" s="22" cm="1">
        <f t="array" ref="G5983">IF(AND(Inputs!$C$60,Inputs!$C$61),INDEX(Utility_Rates!$C$29:$F$52,HOUR(C5983)+Inputs!$C$69,MATCH(INDEX(Utility_Rates!$K$6:$K$17,MONTH(C5983))&amp;IF(WEEKDAY(C5983,Inputs!$C$76)&lt;=Inputs!$C$74," weekday"," weekend"),Utility_Rates!$C$28:$F$28,Inputs!$C$68)),"")</f>
      </c>
      <c r="H5983" s="34"/>
      <c r="I5983" s="42">
        <f>IF(AND(ISNUMBER(D5983),ISNUMBER(H5983)),D5983*H5983*Inputs!$C$69,"")</f>
      </c>
      <c r="J5983" s="42">
        <f>IF(AND(ISNUMBER(F5983),ISNUMBER(H5983),F5983&gt;=Inputs!$C$68),F5983*H5983*Inputs!$C$69,"")</f>
      </c>
    </row>
    <row r="5984" spans="2:10" ht="15" customHeight="1" x14ac:dyDescent="0.2">
      <c r="B5984" s="39">
        <f t="shared" si="46"/>
      </c>
      <c r="C5984" s="40">
        <f>IF(Inputs!$C$60,Inputs!$C$11+(B5984-Inputs!$C$69)/Inputs!$C$70,"")</f>
      </c>
      <c r="D5984" s="15"/>
      <c r="E5984" s="15"/>
      <c r="F5984" s="11">
        <f t="shared" si="47"/>
      </c>
      <c r="G5984" s="22" cm="1">
        <f t="array" ref="G5984">IF(AND(Inputs!$C$60,Inputs!$C$61),INDEX(Utility_Rates!$C$29:$F$52,HOUR(C5984)+Inputs!$C$69,MATCH(INDEX(Utility_Rates!$K$6:$K$17,MONTH(C5984))&amp;IF(WEEKDAY(C5984,Inputs!$C$76)&lt;=Inputs!$C$74," weekday"," weekend"),Utility_Rates!$C$28:$F$28,Inputs!$C$68)),"")</f>
      </c>
      <c r="H5984" s="34"/>
      <c r="I5984" s="42">
        <f>IF(AND(ISNUMBER(D5984),ISNUMBER(H5984)),D5984*H5984*Inputs!$C$69,"")</f>
      </c>
      <c r="J5984" s="42">
        <f>IF(AND(ISNUMBER(F5984),ISNUMBER(H5984),F5984&gt;=Inputs!$C$68),F5984*H5984*Inputs!$C$69,"")</f>
      </c>
    </row>
    <row r="5985" spans="2:10" ht="15" customHeight="1" x14ac:dyDescent="0.2">
      <c r="B5985" s="39">
        <f t="shared" si="46"/>
      </c>
      <c r="C5985" s="40">
        <f>IF(Inputs!$C$60,Inputs!$C$11+(B5985-Inputs!$C$69)/Inputs!$C$70,"")</f>
      </c>
      <c r="D5985" s="15"/>
      <c r="E5985" s="15"/>
      <c r="F5985" s="11">
        <f t="shared" si="47"/>
      </c>
      <c r="G5985" s="22" cm="1">
        <f t="array" ref="G5985">IF(AND(Inputs!$C$60,Inputs!$C$61),INDEX(Utility_Rates!$C$29:$F$52,HOUR(C5985)+Inputs!$C$69,MATCH(INDEX(Utility_Rates!$K$6:$K$17,MONTH(C5985))&amp;IF(WEEKDAY(C5985,Inputs!$C$76)&lt;=Inputs!$C$74," weekday"," weekend"),Utility_Rates!$C$28:$F$28,Inputs!$C$68)),"")</f>
      </c>
      <c r="H5985" s="34"/>
      <c r="I5985" s="42">
        <f>IF(AND(ISNUMBER(D5985),ISNUMBER(H5985)),D5985*H5985*Inputs!$C$69,"")</f>
      </c>
      <c r="J5985" s="42">
        <f>IF(AND(ISNUMBER(F5985),ISNUMBER(H5985),F5985&gt;=Inputs!$C$68),F5985*H5985*Inputs!$C$69,"")</f>
      </c>
    </row>
    <row r="5986" spans="2:10" ht="15" customHeight="1" x14ac:dyDescent="0.2">
      <c r="B5986" s="39">
        <f t="shared" si="46"/>
      </c>
      <c r="C5986" s="40">
        <f>IF(Inputs!$C$60,Inputs!$C$11+(B5986-Inputs!$C$69)/Inputs!$C$70,"")</f>
      </c>
      <c r="D5986" s="15"/>
      <c r="E5986" s="15"/>
      <c r="F5986" s="11">
        <f t="shared" si="47"/>
      </c>
      <c r="G5986" s="22" cm="1">
        <f t="array" ref="G5986">IF(AND(Inputs!$C$60,Inputs!$C$61),INDEX(Utility_Rates!$C$29:$F$52,HOUR(C5986)+Inputs!$C$69,MATCH(INDEX(Utility_Rates!$K$6:$K$17,MONTH(C5986))&amp;IF(WEEKDAY(C5986,Inputs!$C$76)&lt;=Inputs!$C$74," weekday"," weekend"),Utility_Rates!$C$28:$F$28,Inputs!$C$68)),"")</f>
      </c>
      <c r="H5986" s="34"/>
      <c r="I5986" s="42">
        <f>IF(AND(ISNUMBER(D5986),ISNUMBER(H5986)),D5986*H5986*Inputs!$C$69,"")</f>
      </c>
      <c r="J5986" s="42">
        <f>IF(AND(ISNUMBER(F5986),ISNUMBER(H5986),F5986&gt;=Inputs!$C$68),F5986*H5986*Inputs!$C$69,"")</f>
      </c>
    </row>
    <row r="5987" spans="2:10" ht="15" customHeight="1" x14ac:dyDescent="0.2">
      <c r="B5987" s="39">
        <f t="shared" si="46"/>
      </c>
      <c r="C5987" s="40">
        <f>IF(Inputs!$C$60,Inputs!$C$11+(B5987-Inputs!$C$69)/Inputs!$C$70,"")</f>
      </c>
      <c r="D5987" s="15"/>
      <c r="E5987" s="15"/>
      <c r="F5987" s="11">
        <f t="shared" si="47"/>
      </c>
      <c r="G5987" s="22" cm="1">
        <f t="array" ref="G5987">IF(AND(Inputs!$C$60,Inputs!$C$61),INDEX(Utility_Rates!$C$29:$F$52,HOUR(C5987)+Inputs!$C$69,MATCH(INDEX(Utility_Rates!$K$6:$K$17,MONTH(C5987))&amp;IF(WEEKDAY(C5987,Inputs!$C$76)&lt;=Inputs!$C$74," weekday"," weekend"),Utility_Rates!$C$28:$F$28,Inputs!$C$68)),"")</f>
      </c>
      <c r="H5987" s="34"/>
      <c r="I5987" s="42">
        <f>IF(AND(ISNUMBER(D5987),ISNUMBER(H5987)),D5987*H5987*Inputs!$C$69,"")</f>
      </c>
      <c r="J5987" s="42">
        <f>IF(AND(ISNUMBER(F5987),ISNUMBER(H5987),F5987&gt;=Inputs!$C$68),F5987*H5987*Inputs!$C$69,"")</f>
      </c>
    </row>
    <row r="5988" spans="2:10" ht="15" customHeight="1" x14ac:dyDescent="0.2">
      <c r="B5988" s="39">
        <f t="shared" si="46"/>
      </c>
      <c r="C5988" s="40">
        <f>IF(Inputs!$C$60,Inputs!$C$11+(B5988-Inputs!$C$69)/Inputs!$C$70,"")</f>
      </c>
      <c r="D5988" s="15"/>
      <c r="E5988" s="15"/>
      <c r="F5988" s="11">
        <f t="shared" si="47"/>
      </c>
      <c r="G5988" s="22" cm="1">
        <f t="array" ref="G5988">IF(AND(Inputs!$C$60,Inputs!$C$61),INDEX(Utility_Rates!$C$29:$F$52,HOUR(C5988)+Inputs!$C$69,MATCH(INDEX(Utility_Rates!$K$6:$K$17,MONTH(C5988))&amp;IF(WEEKDAY(C5988,Inputs!$C$76)&lt;=Inputs!$C$74," weekday"," weekend"),Utility_Rates!$C$28:$F$28,Inputs!$C$68)),"")</f>
      </c>
      <c r="H5988" s="34"/>
      <c r="I5988" s="42">
        <f>IF(AND(ISNUMBER(D5988),ISNUMBER(H5988)),D5988*H5988*Inputs!$C$69,"")</f>
      </c>
      <c r="J5988" s="42">
        <f>IF(AND(ISNUMBER(F5988),ISNUMBER(H5988),F5988&gt;=Inputs!$C$68),F5988*H5988*Inputs!$C$69,"")</f>
      </c>
    </row>
    <row r="5989" spans="2:10" ht="15" customHeight="1" x14ac:dyDescent="0.2">
      <c r="B5989" s="39">
        <f t="shared" si="46"/>
      </c>
      <c r="C5989" s="40">
        <f>IF(Inputs!$C$60,Inputs!$C$11+(B5989-Inputs!$C$69)/Inputs!$C$70,"")</f>
      </c>
      <c r="D5989" s="15"/>
      <c r="E5989" s="15"/>
      <c r="F5989" s="11">
        <f t="shared" si="47"/>
      </c>
      <c r="G5989" s="22" cm="1">
        <f t="array" ref="G5989">IF(AND(Inputs!$C$60,Inputs!$C$61),INDEX(Utility_Rates!$C$29:$F$52,HOUR(C5989)+Inputs!$C$69,MATCH(INDEX(Utility_Rates!$K$6:$K$17,MONTH(C5989))&amp;IF(WEEKDAY(C5989,Inputs!$C$76)&lt;=Inputs!$C$74," weekday"," weekend"),Utility_Rates!$C$28:$F$28,Inputs!$C$68)),"")</f>
      </c>
      <c r="H5989" s="34"/>
      <c r="I5989" s="42">
        <f>IF(AND(ISNUMBER(D5989),ISNUMBER(H5989)),D5989*H5989*Inputs!$C$69,"")</f>
      </c>
      <c r="J5989" s="42">
        <f>IF(AND(ISNUMBER(F5989),ISNUMBER(H5989),F5989&gt;=Inputs!$C$68),F5989*H5989*Inputs!$C$69,"")</f>
      </c>
    </row>
    <row r="5990" spans="2:10" ht="15" customHeight="1" x14ac:dyDescent="0.2">
      <c r="B5990" s="39">
        <f t="shared" si="46"/>
      </c>
      <c r="C5990" s="40">
        <f>IF(Inputs!$C$60,Inputs!$C$11+(B5990-Inputs!$C$69)/Inputs!$C$70,"")</f>
      </c>
      <c r="D5990" s="15"/>
      <c r="E5990" s="15"/>
      <c r="F5990" s="11">
        <f t="shared" si="47"/>
      </c>
      <c r="G5990" s="22" cm="1">
        <f t="array" ref="G5990">IF(AND(Inputs!$C$60,Inputs!$C$61),INDEX(Utility_Rates!$C$29:$F$52,HOUR(C5990)+Inputs!$C$69,MATCH(INDEX(Utility_Rates!$K$6:$K$17,MONTH(C5990))&amp;IF(WEEKDAY(C5990,Inputs!$C$76)&lt;=Inputs!$C$74," weekday"," weekend"),Utility_Rates!$C$28:$F$28,Inputs!$C$68)),"")</f>
      </c>
      <c r="H5990" s="34"/>
      <c r="I5990" s="42">
        <f>IF(AND(ISNUMBER(D5990),ISNUMBER(H5990)),D5990*H5990*Inputs!$C$69,"")</f>
      </c>
      <c r="J5990" s="42">
        <f>IF(AND(ISNUMBER(F5990),ISNUMBER(H5990),F5990&gt;=Inputs!$C$68),F5990*H5990*Inputs!$C$69,"")</f>
      </c>
    </row>
    <row r="5991" spans="2:10" ht="15" customHeight="1" x14ac:dyDescent="0.2">
      <c r="B5991" s="39">
        <f t="shared" si="46"/>
      </c>
      <c r="C5991" s="40">
        <f>IF(Inputs!$C$60,Inputs!$C$11+(B5991-Inputs!$C$69)/Inputs!$C$70,"")</f>
      </c>
      <c r="D5991" s="15"/>
      <c r="E5991" s="15"/>
      <c r="F5991" s="11">
        <f t="shared" si="47"/>
      </c>
      <c r="G5991" s="22" cm="1">
        <f t="array" ref="G5991">IF(AND(Inputs!$C$60,Inputs!$C$61),INDEX(Utility_Rates!$C$29:$F$52,HOUR(C5991)+Inputs!$C$69,MATCH(INDEX(Utility_Rates!$K$6:$K$17,MONTH(C5991))&amp;IF(WEEKDAY(C5991,Inputs!$C$76)&lt;=Inputs!$C$74," weekday"," weekend"),Utility_Rates!$C$28:$F$28,Inputs!$C$68)),"")</f>
      </c>
      <c r="H5991" s="34"/>
      <c r="I5991" s="42">
        <f>IF(AND(ISNUMBER(D5991),ISNUMBER(H5991)),D5991*H5991*Inputs!$C$69,"")</f>
      </c>
      <c r="J5991" s="42">
        <f>IF(AND(ISNUMBER(F5991),ISNUMBER(H5991),F5991&gt;=Inputs!$C$68),F5991*H5991*Inputs!$C$69,"")</f>
      </c>
    </row>
    <row r="5992" spans="2:10" ht="15" customHeight="1" x14ac:dyDescent="0.2">
      <c r="B5992" s="39">
        <f t="shared" si="46"/>
      </c>
      <c r="C5992" s="40">
        <f>IF(Inputs!$C$60,Inputs!$C$11+(B5992-Inputs!$C$69)/Inputs!$C$70,"")</f>
      </c>
      <c r="D5992" s="15"/>
      <c r="E5992" s="15"/>
      <c r="F5992" s="11">
        <f t="shared" si="47"/>
      </c>
      <c r="G5992" s="22" cm="1">
        <f t="array" ref="G5992">IF(AND(Inputs!$C$60,Inputs!$C$61),INDEX(Utility_Rates!$C$29:$F$52,HOUR(C5992)+Inputs!$C$69,MATCH(INDEX(Utility_Rates!$K$6:$K$17,MONTH(C5992))&amp;IF(WEEKDAY(C5992,Inputs!$C$76)&lt;=Inputs!$C$74," weekday"," weekend"),Utility_Rates!$C$28:$F$28,Inputs!$C$68)),"")</f>
      </c>
      <c r="H5992" s="34"/>
      <c r="I5992" s="42">
        <f>IF(AND(ISNUMBER(D5992),ISNUMBER(H5992)),D5992*H5992*Inputs!$C$69,"")</f>
      </c>
      <c r="J5992" s="42">
        <f>IF(AND(ISNUMBER(F5992),ISNUMBER(H5992),F5992&gt;=Inputs!$C$68),F5992*H5992*Inputs!$C$69,"")</f>
      </c>
    </row>
    <row r="5993" spans="2:10" ht="15" customHeight="1" x14ac:dyDescent="0.2">
      <c r="B5993" s="39">
        <f t="shared" si="46"/>
      </c>
      <c r="C5993" s="40">
        <f>IF(Inputs!$C$60,Inputs!$C$11+(B5993-Inputs!$C$69)/Inputs!$C$70,"")</f>
      </c>
      <c r="D5993" s="15"/>
      <c r="E5993" s="15"/>
      <c r="F5993" s="11">
        <f t="shared" si="47"/>
      </c>
      <c r="G5993" s="22" cm="1">
        <f t="array" ref="G5993">IF(AND(Inputs!$C$60,Inputs!$C$61),INDEX(Utility_Rates!$C$29:$F$52,HOUR(C5993)+Inputs!$C$69,MATCH(INDEX(Utility_Rates!$K$6:$K$17,MONTH(C5993))&amp;IF(WEEKDAY(C5993,Inputs!$C$76)&lt;=Inputs!$C$74," weekday"," weekend"),Utility_Rates!$C$28:$F$28,Inputs!$C$68)),"")</f>
      </c>
      <c r="H5993" s="34"/>
      <c r="I5993" s="42">
        <f>IF(AND(ISNUMBER(D5993),ISNUMBER(H5993)),D5993*H5993*Inputs!$C$69,"")</f>
      </c>
      <c r="J5993" s="42">
        <f>IF(AND(ISNUMBER(F5993),ISNUMBER(H5993),F5993&gt;=Inputs!$C$68),F5993*H5993*Inputs!$C$69,"")</f>
      </c>
    </row>
    <row r="5994" spans="2:10" ht="15" customHeight="1" x14ac:dyDescent="0.2">
      <c r="B5994" s="39">
        <f t="shared" si="46"/>
      </c>
      <c r="C5994" s="40">
        <f>IF(Inputs!$C$60,Inputs!$C$11+(B5994-Inputs!$C$69)/Inputs!$C$70,"")</f>
      </c>
      <c r="D5994" s="15"/>
      <c r="E5994" s="15"/>
      <c r="F5994" s="11">
        <f t="shared" si="47"/>
      </c>
      <c r="G5994" s="22" cm="1">
        <f t="array" ref="G5994">IF(AND(Inputs!$C$60,Inputs!$C$61),INDEX(Utility_Rates!$C$29:$F$52,HOUR(C5994)+Inputs!$C$69,MATCH(INDEX(Utility_Rates!$K$6:$K$17,MONTH(C5994))&amp;IF(WEEKDAY(C5994,Inputs!$C$76)&lt;=Inputs!$C$74," weekday"," weekend"),Utility_Rates!$C$28:$F$28,Inputs!$C$68)),"")</f>
      </c>
      <c r="H5994" s="34"/>
      <c r="I5994" s="42">
        <f>IF(AND(ISNUMBER(D5994),ISNUMBER(H5994)),D5994*H5994*Inputs!$C$69,"")</f>
      </c>
      <c r="J5994" s="42">
        <f>IF(AND(ISNUMBER(F5994),ISNUMBER(H5994),F5994&gt;=Inputs!$C$68),F5994*H5994*Inputs!$C$69,"")</f>
      </c>
    </row>
    <row r="5995" spans="2:10" ht="15" customHeight="1" x14ac:dyDescent="0.2">
      <c r="B5995" s="39">
        <f t="shared" si="46"/>
      </c>
      <c r="C5995" s="40">
        <f>IF(Inputs!$C$60,Inputs!$C$11+(B5995-Inputs!$C$69)/Inputs!$C$70,"")</f>
      </c>
      <c r="D5995" s="15"/>
      <c r="E5995" s="15"/>
      <c r="F5995" s="11">
        <f t="shared" si="47"/>
      </c>
      <c r="G5995" s="22" cm="1">
        <f t="array" ref="G5995">IF(AND(Inputs!$C$60,Inputs!$C$61),INDEX(Utility_Rates!$C$29:$F$52,HOUR(C5995)+Inputs!$C$69,MATCH(INDEX(Utility_Rates!$K$6:$K$17,MONTH(C5995))&amp;IF(WEEKDAY(C5995,Inputs!$C$76)&lt;=Inputs!$C$74," weekday"," weekend"),Utility_Rates!$C$28:$F$28,Inputs!$C$68)),"")</f>
      </c>
      <c r="H5995" s="34"/>
      <c r="I5995" s="42">
        <f>IF(AND(ISNUMBER(D5995),ISNUMBER(H5995)),D5995*H5995*Inputs!$C$69,"")</f>
      </c>
      <c r="J5995" s="42">
        <f>IF(AND(ISNUMBER(F5995),ISNUMBER(H5995),F5995&gt;=Inputs!$C$68),F5995*H5995*Inputs!$C$69,"")</f>
      </c>
    </row>
    <row r="5996" spans="2:10" ht="15" customHeight="1" x14ac:dyDescent="0.2">
      <c r="B5996" s="39">
        <f t="shared" si="46"/>
      </c>
      <c r="C5996" s="40">
        <f>IF(Inputs!$C$60,Inputs!$C$11+(B5996-Inputs!$C$69)/Inputs!$C$70,"")</f>
      </c>
      <c r="D5996" s="15"/>
      <c r="E5996" s="15"/>
      <c r="F5996" s="11">
        <f t="shared" si="47"/>
      </c>
      <c r="G5996" s="22" cm="1">
        <f t="array" ref="G5996">IF(AND(Inputs!$C$60,Inputs!$C$61),INDEX(Utility_Rates!$C$29:$F$52,HOUR(C5996)+Inputs!$C$69,MATCH(INDEX(Utility_Rates!$K$6:$K$17,MONTH(C5996))&amp;IF(WEEKDAY(C5996,Inputs!$C$76)&lt;=Inputs!$C$74," weekday"," weekend"),Utility_Rates!$C$28:$F$28,Inputs!$C$68)),"")</f>
      </c>
      <c r="H5996" s="34"/>
      <c r="I5996" s="42">
        <f>IF(AND(ISNUMBER(D5996),ISNUMBER(H5996)),D5996*H5996*Inputs!$C$69,"")</f>
      </c>
      <c r="J5996" s="42">
        <f>IF(AND(ISNUMBER(F5996),ISNUMBER(H5996),F5996&gt;=Inputs!$C$68),F5996*H5996*Inputs!$C$69,"")</f>
      </c>
    </row>
    <row r="5997" spans="2:10" ht="15" customHeight="1" x14ac:dyDescent="0.2">
      <c r="B5997" s="39">
        <f t="shared" si="46"/>
      </c>
      <c r="C5997" s="40">
        <f>IF(Inputs!$C$60,Inputs!$C$11+(B5997-Inputs!$C$69)/Inputs!$C$70,"")</f>
      </c>
      <c r="D5997" s="15"/>
      <c r="E5997" s="15"/>
      <c r="F5997" s="11">
        <f t="shared" si="47"/>
      </c>
      <c r="G5997" s="22" cm="1">
        <f t="array" ref="G5997">IF(AND(Inputs!$C$60,Inputs!$C$61),INDEX(Utility_Rates!$C$29:$F$52,HOUR(C5997)+Inputs!$C$69,MATCH(INDEX(Utility_Rates!$K$6:$K$17,MONTH(C5997))&amp;IF(WEEKDAY(C5997,Inputs!$C$76)&lt;=Inputs!$C$74," weekday"," weekend"),Utility_Rates!$C$28:$F$28,Inputs!$C$68)),"")</f>
      </c>
      <c r="H5997" s="34"/>
      <c r="I5997" s="42">
        <f>IF(AND(ISNUMBER(D5997),ISNUMBER(H5997)),D5997*H5997*Inputs!$C$69,"")</f>
      </c>
      <c r="J5997" s="42">
        <f>IF(AND(ISNUMBER(F5997),ISNUMBER(H5997),F5997&gt;=Inputs!$C$68),F5997*H5997*Inputs!$C$69,"")</f>
      </c>
    </row>
    <row r="5998" spans="2:10" ht="15" customHeight="1" x14ac:dyDescent="0.2">
      <c r="B5998" s="39">
        <f t="shared" si="46"/>
      </c>
      <c r="C5998" s="40">
        <f>IF(Inputs!$C$60,Inputs!$C$11+(B5998-Inputs!$C$69)/Inputs!$C$70,"")</f>
      </c>
      <c r="D5998" s="15"/>
      <c r="E5998" s="15"/>
      <c r="F5998" s="11">
        <f t="shared" si="47"/>
      </c>
      <c r="G5998" s="22" cm="1">
        <f t="array" ref="G5998">IF(AND(Inputs!$C$60,Inputs!$C$61),INDEX(Utility_Rates!$C$29:$F$52,HOUR(C5998)+Inputs!$C$69,MATCH(INDEX(Utility_Rates!$K$6:$K$17,MONTH(C5998))&amp;IF(WEEKDAY(C5998,Inputs!$C$76)&lt;=Inputs!$C$74," weekday"," weekend"),Utility_Rates!$C$28:$F$28,Inputs!$C$68)),"")</f>
      </c>
      <c r="H5998" s="34"/>
      <c r="I5998" s="42">
        <f>IF(AND(ISNUMBER(D5998),ISNUMBER(H5998)),D5998*H5998*Inputs!$C$69,"")</f>
      </c>
      <c r="J5998" s="42">
        <f>IF(AND(ISNUMBER(F5998),ISNUMBER(H5998),F5998&gt;=Inputs!$C$68),F5998*H5998*Inputs!$C$69,"")</f>
      </c>
    </row>
    <row r="5999" spans="2:10" ht="15" customHeight="1" x14ac:dyDescent="0.2">
      <c r="B5999" s="39">
        <f t="shared" si="46"/>
      </c>
      <c r="C5999" s="40">
        <f>IF(Inputs!$C$60,Inputs!$C$11+(B5999-Inputs!$C$69)/Inputs!$C$70,"")</f>
      </c>
      <c r="D5999" s="15"/>
      <c r="E5999" s="15"/>
      <c r="F5999" s="11">
        <f t="shared" si="47"/>
      </c>
      <c r="G5999" s="22" cm="1">
        <f t="array" ref="G5999">IF(AND(Inputs!$C$60,Inputs!$C$61),INDEX(Utility_Rates!$C$29:$F$52,HOUR(C5999)+Inputs!$C$69,MATCH(INDEX(Utility_Rates!$K$6:$K$17,MONTH(C5999))&amp;IF(WEEKDAY(C5999,Inputs!$C$76)&lt;=Inputs!$C$74," weekday"," weekend"),Utility_Rates!$C$28:$F$28,Inputs!$C$68)),"")</f>
      </c>
      <c r="H5999" s="34"/>
      <c r="I5999" s="42">
        <f>IF(AND(ISNUMBER(D5999),ISNUMBER(H5999)),D5999*H5999*Inputs!$C$69,"")</f>
      </c>
      <c r="J5999" s="42">
        <f>IF(AND(ISNUMBER(F5999),ISNUMBER(H5999),F5999&gt;=Inputs!$C$68),F5999*H5999*Inputs!$C$69,"")</f>
      </c>
    </row>
    <row r="6000" spans="2:10" ht="15" customHeight="1" x14ac:dyDescent="0.2">
      <c r="B6000" s="39">
        <f t="shared" si="46"/>
      </c>
      <c r="C6000" s="40">
        <f>IF(Inputs!$C$60,Inputs!$C$11+(B6000-Inputs!$C$69)/Inputs!$C$70,"")</f>
      </c>
      <c r="D6000" s="15"/>
      <c r="E6000" s="15"/>
      <c r="F6000" s="11">
        <f t="shared" si="47"/>
      </c>
      <c r="G6000" s="22" cm="1">
        <f t="array" ref="G6000">IF(AND(Inputs!$C$60,Inputs!$C$61),INDEX(Utility_Rates!$C$29:$F$52,HOUR(C6000)+Inputs!$C$69,MATCH(INDEX(Utility_Rates!$K$6:$K$17,MONTH(C6000))&amp;IF(WEEKDAY(C6000,Inputs!$C$76)&lt;=Inputs!$C$74," weekday"," weekend"),Utility_Rates!$C$28:$F$28,Inputs!$C$68)),"")</f>
      </c>
      <c r="H6000" s="34"/>
      <c r="I6000" s="42">
        <f>IF(AND(ISNUMBER(D6000),ISNUMBER(H6000)),D6000*H6000*Inputs!$C$69,"")</f>
      </c>
      <c r="J6000" s="42">
        <f>IF(AND(ISNUMBER(F6000),ISNUMBER(H6000),F6000&gt;=Inputs!$C$68),F6000*H6000*Inputs!$C$69,"")</f>
      </c>
    </row>
    <row r="6001" spans="2:10" ht="15" customHeight="1" x14ac:dyDescent="0.2">
      <c r="B6001" s="39">
        <f t="shared" si="46"/>
      </c>
      <c r="C6001" s="40">
        <f>IF(Inputs!$C$60,Inputs!$C$11+(B6001-Inputs!$C$69)/Inputs!$C$70,"")</f>
      </c>
      <c r="D6001" s="15"/>
      <c r="E6001" s="15"/>
      <c r="F6001" s="11">
        <f t="shared" si="47"/>
      </c>
      <c r="G6001" s="22" cm="1">
        <f t="array" ref="G6001">IF(AND(Inputs!$C$60,Inputs!$C$61),INDEX(Utility_Rates!$C$29:$F$52,HOUR(C6001)+Inputs!$C$69,MATCH(INDEX(Utility_Rates!$K$6:$K$17,MONTH(C6001))&amp;IF(WEEKDAY(C6001,Inputs!$C$76)&lt;=Inputs!$C$74," weekday"," weekend"),Utility_Rates!$C$28:$F$28,Inputs!$C$68)),"")</f>
      </c>
      <c r="H6001" s="34"/>
      <c r="I6001" s="42">
        <f>IF(AND(ISNUMBER(D6001),ISNUMBER(H6001)),D6001*H6001*Inputs!$C$69,"")</f>
      </c>
      <c r="J6001" s="42">
        <f>IF(AND(ISNUMBER(F6001),ISNUMBER(H6001),F6001&gt;=Inputs!$C$68),F6001*H6001*Inputs!$C$69,"")</f>
      </c>
    </row>
    <row r="6002" spans="2:10" ht="15" customHeight="1" x14ac:dyDescent="0.2">
      <c r="B6002" s="39">
        <f t="shared" si="46"/>
      </c>
      <c r="C6002" s="40">
        <f>IF(Inputs!$C$60,Inputs!$C$11+(B6002-Inputs!$C$69)/Inputs!$C$70,"")</f>
      </c>
      <c r="D6002" s="15"/>
      <c r="E6002" s="15"/>
      <c r="F6002" s="11">
        <f t="shared" si="47"/>
      </c>
      <c r="G6002" s="22" cm="1">
        <f t="array" ref="G6002">IF(AND(Inputs!$C$60,Inputs!$C$61),INDEX(Utility_Rates!$C$29:$F$52,HOUR(C6002)+Inputs!$C$69,MATCH(INDEX(Utility_Rates!$K$6:$K$17,MONTH(C6002))&amp;IF(WEEKDAY(C6002,Inputs!$C$76)&lt;=Inputs!$C$74," weekday"," weekend"),Utility_Rates!$C$28:$F$28,Inputs!$C$68)),"")</f>
      </c>
      <c r="H6002" s="34"/>
      <c r="I6002" s="42">
        <f>IF(AND(ISNUMBER(D6002),ISNUMBER(H6002)),D6002*H6002*Inputs!$C$69,"")</f>
      </c>
      <c r="J6002" s="42">
        <f>IF(AND(ISNUMBER(F6002),ISNUMBER(H6002),F6002&gt;=Inputs!$C$68),F6002*H6002*Inputs!$C$69,"")</f>
      </c>
    </row>
    <row r="6003" spans="2:10" ht="15" customHeight="1" x14ac:dyDescent="0.2">
      <c r="B6003" s="39">
        <f t="shared" si="46"/>
      </c>
      <c r="C6003" s="40">
        <f>IF(Inputs!$C$60,Inputs!$C$11+(B6003-Inputs!$C$69)/Inputs!$C$70,"")</f>
      </c>
      <c r="D6003" s="15"/>
      <c r="E6003" s="15"/>
      <c r="F6003" s="11">
        <f t="shared" si="47"/>
      </c>
      <c r="G6003" s="22" cm="1">
        <f t="array" ref="G6003">IF(AND(Inputs!$C$60,Inputs!$C$61),INDEX(Utility_Rates!$C$29:$F$52,HOUR(C6003)+Inputs!$C$69,MATCH(INDEX(Utility_Rates!$K$6:$K$17,MONTH(C6003))&amp;IF(WEEKDAY(C6003,Inputs!$C$76)&lt;=Inputs!$C$74," weekday"," weekend"),Utility_Rates!$C$28:$F$28,Inputs!$C$68)),"")</f>
      </c>
      <c r="H6003" s="34"/>
      <c r="I6003" s="42">
        <f>IF(AND(ISNUMBER(D6003),ISNUMBER(H6003)),D6003*H6003*Inputs!$C$69,"")</f>
      </c>
      <c r="J6003" s="42">
        <f>IF(AND(ISNUMBER(F6003),ISNUMBER(H6003),F6003&gt;=Inputs!$C$68),F6003*H6003*Inputs!$C$69,"")</f>
      </c>
    </row>
    <row r="6004" spans="2:10" ht="15" customHeight="1" x14ac:dyDescent="0.2">
      <c r="B6004" s="39">
        <f t="shared" si="46"/>
      </c>
      <c r="C6004" s="40">
        <f>IF(Inputs!$C$60,Inputs!$C$11+(B6004-Inputs!$C$69)/Inputs!$C$70,"")</f>
      </c>
      <c r="D6004" s="15"/>
      <c r="E6004" s="15"/>
      <c r="F6004" s="11">
        <f t="shared" si="47"/>
      </c>
      <c r="G6004" s="22" cm="1">
        <f t="array" ref="G6004">IF(AND(Inputs!$C$60,Inputs!$C$61),INDEX(Utility_Rates!$C$29:$F$52,HOUR(C6004)+Inputs!$C$69,MATCH(INDEX(Utility_Rates!$K$6:$K$17,MONTH(C6004))&amp;IF(WEEKDAY(C6004,Inputs!$C$76)&lt;=Inputs!$C$74," weekday"," weekend"),Utility_Rates!$C$28:$F$28,Inputs!$C$68)),"")</f>
      </c>
      <c r="H6004" s="34"/>
      <c r="I6004" s="42">
        <f>IF(AND(ISNUMBER(D6004),ISNUMBER(H6004)),D6004*H6004*Inputs!$C$69,"")</f>
      </c>
      <c r="J6004" s="42">
        <f>IF(AND(ISNUMBER(F6004),ISNUMBER(H6004),F6004&gt;=Inputs!$C$68),F6004*H6004*Inputs!$C$69,"")</f>
      </c>
    </row>
    <row r="6005" spans="2:10" ht="15" customHeight="1" x14ac:dyDescent="0.2">
      <c r="B6005" s="39">
        <f t="shared" si="46"/>
      </c>
      <c r="C6005" s="40">
        <f>IF(Inputs!$C$60,Inputs!$C$11+(B6005-Inputs!$C$69)/Inputs!$C$70,"")</f>
      </c>
      <c r="D6005" s="15"/>
      <c r="E6005" s="15"/>
      <c r="F6005" s="11">
        <f t="shared" si="47"/>
      </c>
      <c r="G6005" s="22" cm="1">
        <f t="array" ref="G6005">IF(AND(Inputs!$C$60,Inputs!$C$61),INDEX(Utility_Rates!$C$29:$F$52,HOUR(C6005)+Inputs!$C$69,MATCH(INDEX(Utility_Rates!$K$6:$K$17,MONTH(C6005))&amp;IF(WEEKDAY(C6005,Inputs!$C$76)&lt;=Inputs!$C$74," weekday"," weekend"),Utility_Rates!$C$28:$F$28,Inputs!$C$68)),"")</f>
      </c>
      <c r="H6005" s="34"/>
      <c r="I6005" s="42">
        <f>IF(AND(ISNUMBER(D6005),ISNUMBER(H6005)),D6005*H6005*Inputs!$C$69,"")</f>
      </c>
      <c r="J6005" s="42">
        <f>IF(AND(ISNUMBER(F6005),ISNUMBER(H6005),F6005&gt;=Inputs!$C$68),F6005*H6005*Inputs!$C$69,"")</f>
      </c>
    </row>
    <row r="6006" spans="2:10" ht="15" customHeight="1" x14ac:dyDescent="0.2">
      <c r="B6006" s="39">
        <f t="shared" si="46"/>
      </c>
      <c r="C6006" s="40">
        <f>IF(Inputs!$C$60,Inputs!$C$11+(B6006-Inputs!$C$69)/Inputs!$C$70,"")</f>
      </c>
      <c r="D6006" s="15"/>
      <c r="E6006" s="15"/>
      <c r="F6006" s="11">
        <f t="shared" si="47"/>
      </c>
      <c r="G6006" s="22" cm="1">
        <f t="array" ref="G6006">IF(AND(Inputs!$C$60,Inputs!$C$61),INDEX(Utility_Rates!$C$29:$F$52,HOUR(C6006)+Inputs!$C$69,MATCH(INDEX(Utility_Rates!$K$6:$K$17,MONTH(C6006))&amp;IF(WEEKDAY(C6006,Inputs!$C$76)&lt;=Inputs!$C$74," weekday"," weekend"),Utility_Rates!$C$28:$F$28,Inputs!$C$68)),"")</f>
      </c>
      <c r="H6006" s="34"/>
      <c r="I6006" s="42">
        <f>IF(AND(ISNUMBER(D6006),ISNUMBER(H6006)),D6006*H6006*Inputs!$C$69,"")</f>
      </c>
      <c r="J6006" s="42">
        <f>IF(AND(ISNUMBER(F6006),ISNUMBER(H6006),F6006&gt;=Inputs!$C$68),F6006*H6006*Inputs!$C$69,"")</f>
      </c>
    </row>
    <row r="6007" spans="2:10" ht="15" customHeight="1" x14ac:dyDescent="0.2">
      <c r="B6007" s="39">
        <f t="shared" si="46"/>
      </c>
      <c r="C6007" s="40">
        <f>IF(Inputs!$C$60,Inputs!$C$11+(B6007-Inputs!$C$69)/Inputs!$C$70,"")</f>
      </c>
      <c r="D6007" s="15"/>
      <c r="E6007" s="15"/>
      <c r="F6007" s="11">
        <f t="shared" si="47"/>
      </c>
      <c r="G6007" s="22" cm="1">
        <f t="array" ref="G6007">IF(AND(Inputs!$C$60,Inputs!$C$61),INDEX(Utility_Rates!$C$29:$F$52,HOUR(C6007)+Inputs!$C$69,MATCH(INDEX(Utility_Rates!$K$6:$K$17,MONTH(C6007))&amp;IF(WEEKDAY(C6007,Inputs!$C$76)&lt;=Inputs!$C$74," weekday"," weekend"),Utility_Rates!$C$28:$F$28,Inputs!$C$68)),"")</f>
      </c>
      <c r="H6007" s="34"/>
      <c r="I6007" s="42">
        <f>IF(AND(ISNUMBER(D6007),ISNUMBER(H6007)),D6007*H6007*Inputs!$C$69,"")</f>
      </c>
      <c r="J6007" s="42">
        <f>IF(AND(ISNUMBER(F6007),ISNUMBER(H6007),F6007&gt;=Inputs!$C$68),F6007*H6007*Inputs!$C$69,"")</f>
      </c>
    </row>
    <row r="6008" spans="2:10" ht="15" customHeight="1" x14ac:dyDescent="0.2">
      <c r="B6008" s="39">
        <f t="shared" si="46"/>
      </c>
      <c r="C6008" s="40">
        <f>IF(Inputs!$C$60,Inputs!$C$11+(B6008-Inputs!$C$69)/Inputs!$C$70,"")</f>
      </c>
      <c r="D6008" s="15"/>
      <c r="E6008" s="15"/>
      <c r="F6008" s="11">
        <f t="shared" si="47"/>
      </c>
      <c r="G6008" s="22" cm="1">
        <f t="array" ref="G6008">IF(AND(Inputs!$C$60,Inputs!$C$61),INDEX(Utility_Rates!$C$29:$F$52,HOUR(C6008)+Inputs!$C$69,MATCH(INDEX(Utility_Rates!$K$6:$K$17,MONTH(C6008))&amp;IF(WEEKDAY(C6008,Inputs!$C$76)&lt;=Inputs!$C$74," weekday"," weekend"),Utility_Rates!$C$28:$F$28,Inputs!$C$68)),"")</f>
      </c>
      <c r="H6008" s="34"/>
      <c r="I6008" s="42">
        <f>IF(AND(ISNUMBER(D6008),ISNUMBER(H6008)),D6008*H6008*Inputs!$C$69,"")</f>
      </c>
      <c r="J6008" s="42">
        <f>IF(AND(ISNUMBER(F6008),ISNUMBER(H6008),F6008&gt;=Inputs!$C$68),F6008*H6008*Inputs!$C$69,"")</f>
      </c>
    </row>
    <row r="6009" spans="2:10" ht="15" customHeight="1" x14ac:dyDescent="0.2">
      <c r="B6009" s="39">
        <f t="shared" si="46"/>
      </c>
      <c r="C6009" s="40">
        <f>IF(Inputs!$C$60,Inputs!$C$11+(B6009-Inputs!$C$69)/Inputs!$C$70,"")</f>
      </c>
      <c r="D6009" s="15"/>
      <c r="E6009" s="15"/>
      <c r="F6009" s="11">
        <f t="shared" si="47"/>
      </c>
      <c r="G6009" s="22" cm="1">
        <f t="array" ref="G6009">IF(AND(Inputs!$C$60,Inputs!$C$61),INDEX(Utility_Rates!$C$29:$F$52,HOUR(C6009)+Inputs!$C$69,MATCH(INDEX(Utility_Rates!$K$6:$K$17,MONTH(C6009))&amp;IF(WEEKDAY(C6009,Inputs!$C$76)&lt;=Inputs!$C$74," weekday"," weekend"),Utility_Rates!$C$28:$F$28,Inputs!$C$68)),"")</f>
      </c>
      <c r="H6009" s="34"/>
      <c r="I6009" s="42">
        <f>IF(AND(ISNUMBER(D6009),ISNUMBER(H6009)),D6009*H6009*Inputs!$C$69,"")</f>
      </c>
      <c r="J6009" s="42">
        <f>IF(AND(ISNUMBER(F6009),ISNUMBER(H6009),F6009&gt;=Inputs!$C$68),F6009*H6009*Inputs!$C$69,"")</f>
      </c>
    </row>
    <row r="6010" spans="2:10" ht="15" customHeight="1" x14ac:dyDescent="0.2">
      <c r="B6010" s="39">
        <f t="shared" si="46"/>
      </c>
      <c r="C6010" s="40">
        <f>IF(Inputs!$C$60,Inputs!$C$11+(B6010-Inputs!$C$69)/Inputs!$C$70,"")</f>
      </c>
      <c r="D6010" s="15"/>
      <c r="E6010" s="15"/>
      <c r="F6010" s="11">
        <f t="shared" si="47"/>
      </c>
      <c r="G6010" s="22" cm="1">
        <f t="array" ref="G6010">IF(AND(Inputs!$C$60,Inputs!$C$61),INDEX(Utility_Rates!$C$29:$F$52,HOUR(C6010)+Inputs!$C$69,MATCH(INDEX(Utility_Rates!$K$6:$K$17,MONTH(C6010))&amp;IF(WEEKDAY(C6010,Inputs!$C$76)&lt;=Inputs!$C$74," weekday"," weekend"),Utility_Rates!$C$28:$F$28,Inputs!$C$68)),"")</f>
      </c>
      <c r="H6010" s="34"/>
      <c r="I6010" s="42">
        <f>IF(AND(ISNUMBER(D6010),ISNUMBER(H6010)),D6010*H6010*Inputs!$C$69,"")</f>
      </c>
      <c r="J6010" s="42">
        <f>IF(AND(ISNUMBER(F6010),ISNUMBER(H6010),F6010&gt;=Inputs!$C$68),F6010*H6010*Inputs!$C$69,"")</f>
      </c>
    </row>
    <row r="6011" spans="2:10" ht="15" customHeight="1" x14ac:dyDescent="0.2">
      <c r="B6011" s="39">
        <f t="shared" si="46"/>
      </c>
      <c r="C6011" s="40">
        <f>IF(Inputs!$C$60,Inputs!$C$11+(B6011-Inputs!$C$69)/Inputs!$C$70,"")</f>
      </c>
      <c r="D6011" s="15"/>
      <c r="E6011" s="15"/>
      <c r="F6011" s="11">
        <f t="shared" si="47"/>
      </c>
      <c r="G6011" s="22" cm="1">
        <f t="array" ref="G6011">IF(AND(Inputs!$C$60,Inputs!$C$61),INDEX(Utility_Rates!$C$29:$F$52,HOUR(C6011)+Inputs!$C$69,MATCH(INDEX(Utility_Rates!$K$6:$K$17,MONTH(C6011))&amp;IF(WEEKDAY(C6011,Inputs!$C$76)&lt;=Inputs!$C$74," weekday"," weekend"),Utility_Rates!$C$28:$F$28,Inputs!$C$68)),"")</f>
      </c>
      <c r="H6011" s="34"/>
      <c r="I6011" s="42">
        <f>IF(AND(ISNUMBER(D6011),ISNUMBER(H6011)),D6011*H6011*Inputs!$C$69,"")</f>
      </c>
      <c r="J6011" s="42">
        <f>IF(AND(ISNUMBER(F6011),ISNUMBER(H6011),F6011&gt;=Inputs!$C$68),F6011*H6011*Inputs!$C$69,"")</f>
      </c>
    </row>
    <row r="6012" spans="2:10" ht="15" customHeight="1" x14ac:dyDescent="0.2">
      <c r="B6012" s="39">
        <f t="shared" si="46"/>
      </c>
      <c r="C6012" s="40">
        <f>IF(Inputs!$C$60,Inputs!$C$11+(B6012-Inputs!$C$69)/Inputs!$C$70,"")</f>
      </c>
      <c r="D6012" s="15"/>
      <c r="E6012" s="15"/>
      <c r="F6012" s="11">
        <f t="shared" si="47"/>
      </c>
      <c r="G6012" s="22" cm="1">
        <f t="array" ref="G6012">IF(AND(Inputs!$C$60,Inputs!$C$61),INDEX(Utility_Rates!$C$29:$F$52,HOUR(C6012)+Inputs!$C$69,MATCH(INDEX(Utility_Rates!$K$6:$K$17,MONTH(C6012))&amp;IF(WEEKDAY(C6012,Inputs!$C$76)&lt;=Inputs!$C$74," weekday"," weekend"),Utility_Rates!$C$28:$F$28,Inputs!$C$68)),"")</f>
      </c>
      <c r="H6012" s="34"/>
      <c r="I6012" s="42">
        <f>IF(AND(ISNUMBER(D6012),ISNUMBER(H6012)),D6012*H6012*Inputs!$C$69,"")</f>
      </c>
      <c r="J6012" s="42">
        <f>IF(AND(ISNUMBER(F6012),ISNUMBER(H6012),F6012&gt;=Inputs!$C$68),F6012*H6012*Inputs!$C$69,"")</f>
      </c>
    </row>
    <row r="6013" spans="2:10" ht="15" customHeight="1" x14ac:dyDescent="0.2">
      <c r="B6013" s="39">
        <f t="shared" si="46"/>
      </c>
      <c r="C6013" s="40">
        <f>IF(Inputs!$C$60,Inputs!$C$11+(B6013-Inputs!$C$69)/Inputs!$C$70,"")</f>
      </c>
      <c r="D6013" s="15"/>
      <c r="E6013" s="15"/>
      <c r="F6013" s="11">
        <f t="shared" si="47"/>
      </c>
      <c r="G6013" s="22" cm="1">
        <f t="array" ref="G6013">IF(AND(Inputs!$C$60,Inputs!$C$61),INDEX(Utility_Rates!$C$29:$F$52,HOUR(C6013)+Inputs!$C$69,MATCH(INDEX(Utility_Rates!$K$6:$K$17,MONTH(C6013))&amp;IF(WEEKDAY(C6013,Inputs!$C$76)&lt;=Inputs!$C$74," weekday"," weekend"),Utility_Rates!$C$28:$F$28,Inputs!$C$68)),"")</f>
      </c>
      <c r="H6013" s="34"/>
      <c r="I6013" s="42">
        <f>IF(AND(ISNUMBER(D6013),ISNUMBER(H6013)),D6013*H6013*Inputs!$C$69,"")</f>
      </c>
      <c r="J6013" s="42">
        <f>IF(AND(ISNUMBER(F6013),ISNUMBER(H6013),F6013&gt;=Inputs!$C$68),F6013*H6013*Inputs!$C$69,"")</f>
      </c>
    </row>
    <row r="6014" spans="2:10" ht="15" customHeight="1" x14ac:dyDescent="0.2">
      <c r="B6014" s="39">
        <f t="shared" si="46"/>
      </c>
      <c r="C6014" s="40">
        <f>IF(Inputs!$C$60,Inputs!$C$11+(B6014-Inputs!$C$69)/Inputs!$C$70,"")</f>
      </c>
      <c r="D6014" s="15"/>
      <c r="E6014" s="15"/>
      <c r="F6014" s="11">
        <f t="shared" si="47"/>
      </c>
      <c r="G6014" s="22" cm="1">
        <f t="array" ref="G6014">IF(AND(Inputs!$C$60,Inputs!$C$61),INDEX(Utility_Rates!$C$29:$F$52,HOUR(C6014)+Inputs!$C$69,MATCH(INDEX(Utility_Rates!$K$6:$K$17,MONTH(C6014))&amp;IF(WEEKDAY(C6014,Inputs!$C$76)&lt;=Inputs!$C$74," weekday"," weekend"),Utility_Rates!$C$28:$F$28,Inputs!$C$68)),"")</f>
      </c>
      <c r="H6014" s="34"/>
      <c r="I6014" s="42">
        <f>IF(AND(ISNUMBER(D6014),ISNUMBER(H6014)),D6014*H6014*Inputs!$C$69,"")</f>
      </c>
      <c r="J6014" s="42">
        <f>IF(AND(ISNUMBER(F6014),ISNUMBER(H6014),F6014&gt;=Inputs!$C$68),F6014*H6014*Inputs!$C$69,"")</f>
      </c>
    </row>
    <row r="6015" spans="2:10" ht="15" customHeight="1" x14ac:dyDescent="0.2">
      <c r="B6015" s="39">
        <f t="shared" si="46"/>
      </c>
      <c r="C6015" s="40">
        <f>IF(Inputs!$C$60,Inputs!$C$11+(B6015-Inputs!$C$69)/Inputs!$C$70,"")</f>
      </c>
      <c r="D6015" s="15"/>
      <c r="E6015" s="15"/>
      <c r="F6015" s="11">
        <f t="shared" si="47"/>
      </c>
      <c r="G6015" s="22" cm="1">
        <f t="array" ref="G6015">IF(AND(Inputs!$C$60,Inputs!$C$61),INDEX(Utility_Rates!$C$29:$F$52,HOUR(C6015)+Inputs!$C$69,MATCH(INDEX(Utility_Rates!$K$6:$K$17,MONTH(C6015))&amp;IF(WEEKDAY(C6015,Inputs!$C$76)&lt;=Inputs!$C$74," weekday"," weekend"),Utility_Rates!$C$28:$F$28,Inputs!$C$68)),"")</f>
      </c>
      <c r="H6015" s="34"/>
      <c r="I6015" s="42">
        <f>IF(AND(ISNUMBER(D6015),ISNUMBER(H6015)),D6015*H6015*Inputs!$C$69,"")</f>
      </c>
      <c r="J6015" s="42">
        <f>IF(AND(ISNUMBER(F6015),ISNUMBER(H6015),F6015&gt;=Inputs!$C$68),F6015*H6015*Inputs!$C$69,"")</f>
      </c>
    </row>
    <row r="6016" spans="2:10" ht="15" customHeight="1" x14ac:dyDescent="0.2">
      <c r="B6016" s="39">
        <f t="shared" si="46"/>
      </c>
      <c r="C6016" s="40">
        <f>IF(Inputs!$C$60,Inputs!$C$11+(B6016-Inputs!$C$69)/Inputs!$C$70,"")</f>
      </c>
      <c r="D6016" s="15"/>
      <c r="E6016" s="15"/>
      <c r="F6016" s="11">
        <f t="shared" si="47"/>
      </c>
      <c r="G6016" s="22" cm="1">
        <f t="array" ref="G6016">IF(AND(Inputs!$C$60,Inputs!$C$61),INDEX(Utility_Rates!$C$29:$F$52,HOUR(C6016)+Inputs!$C$69,MATCH(INDEX(Utility_Rates!$K$6:$K$17,MONTH(C6016))&amp;IF(WEEKDAY(C6016,Inputs!$C$76)&lt;=Inputs!$C$74," weekday"," weekend"),Utility_Rates!$C$28:$F$28,Inputs!$C$68)),"")</f>
      </c>
      <c r="H6016" s="34"/>
      <c r="I6016" s="42">
        <f>IF(AND(ISNUMBER(D6016),ISNUMBER(H6016)),D6016*H6016*Inputs!$C$69,"")</f>
      </c>
      <c r="J6016" s="42">
        <f>IF(AND(ISNUMBER(F6016),ISNUMBER(H6016),F6016&gt;=Inputs!$C$68),F6016*H6016*Inputs!$C$69,"")</f>
      </c>
    </row>
    <row r="6017" spans="2:10" ht="15" customHeight="1" x14ac:dyDescent="0.2">
      <c r="B6017" s="39">
        <f t="shared" si="46"/>
      </c>
      <c r="C6017" s="40">
        <f>IF(Inputs!$C$60,Inputs!$C$11+(B6017-Inputs!$C$69)/Inputs!$C$70,"")</f>
      </c>
      <c r="D6017" s="15"/>
      <c r="E6017" s="15"/>
      <c r="F6017" s="11">
        <f t="shared" si="47"/>
      </c>
      <c r="G6017" s="22" cm="1">
        <f t="array" ref="G6017">IF(AND(Inputs!$C$60,Inputs!$C$61),INDEX(Utility_Rates!$C$29:$F$52,HOUR(C6017)+Inputs!$C$69,MATCH(INDEX(Utility_Rates!$K$6:$K$17,MONTH(C6017))&amp;IF(WEEKDAY(C6017,Inputs!$C$76)&lt;=Inputs!$C$74," weekday"," weekend"),Utility_Rates!$C$28:$F$28,Inputs!$C$68)),"")</f>
      </c>
      <c r="H6017" s="34"/>
      <c r="I6017" s="42">
        <f>IF(AND(ISNUMBER(D6017),ISNUMBER(H6017)),D6017*H6017*Inputs!$C$69,"")</f>
      </c>
      <c r="J6017" s="42">
        <f>IF(AND(ISNUMBER(F6017),ISNUMBER(H6017),F6017&gt;=Inputs!$C$68),F6017*H6017*Inputs!$C$69,"")</f>
      </c>
    </row>
    <row r="6018" spans="2:10" ht="15" customHeight="1" x14ac:dyDescent="0.2">
      <c r="B6018" s="39">
        <f t="shared" si="46"/>
      </c>
      <c r="C6018" s="40">
        <f>IF(Inputs!$C$60,Inputs!$C$11+(B6018-Inputs!$C$69)/Inputs!$C$70,"")</f>
      </c>
      <c r="D6018" s="15"/>
      <c r="E6018" s="15"/>
      <c r="F6018" s="11">
        <f t="shared" si="47"/>
      </c>
      <c r="G6018" s="22" cm="1">
        <f t="array" ref="G6018">IF(AND(Inputs!$C$60,Inputs!$C$61),INDEX(Utility_Rates!$C$29:$F$52,HOUR(C6018)+Inputs!$C$69,MATCH(INDEX(Utility_Rates!$K$6:$K$17,MONTH(C6018))&amp;IF(WEEKDAY(C6018,Inputs!$C$76)&lt;=Inputs!$C$74," weekday"," weekend"),Utility_Rates!$C$28:$F$28,Inputs!$C$68)),"")</f>
      </c>
      <c r="H6018" s="34"/>
      <c r="I6018" s="42">
        <f>IF(AND(ISNUMBER(D6018),ISNUMBER(H6018)),D6018*H6018*Inputs!$C$69,"")</f>
      </c>
      <c r="J6018" s="42">
        <f>IF(AND(ISNUMBER(F6018),ISNUMBER(H6018),F6018&gt;=Inputs!$C$68),F6018*H6018*Inputs!$C$69,"")</f>
      </c>
    </row>
    <row r="6019" spans="2:10" ht="15" customHeight="1" x14ac:dyDescent="0.2">
      <c r="B6019" s="39">
        <f t="shared" si="46"/>
      </c>
      <c r="C6019" s="40">
        <f>IF(Inputs!$C$60,Inputs!$C$11+(B6019-Inputs!$C$69)/Inputs!$C$70,"")</f>
      </c>
      <c r="D6019" s="15"/>
      <c r="E6019" s="15"/>
      <c r="F6019" s="11">
        <f t="shared" si="47"/>
      </c>
      <c r="G6019" s="22" cm="1">
        <f t="array" ref="G6019">IF(AND(Inputs!$C$60,Inputs!$C$61),INDEX(Utility_Rates!$C$29:$F$52,HOUR(C6019)+Inputs!$C$69,MATCH(INDEX(Utility_Rates!$K$6:$K$17,MONTH(C6019))&amp;IF(WEEKDAY(C6019,Inputs!$C$76)&lt;=Inputs!$C$74," weekday"," weekend"),Utility_Rates!$C$28:$F$28,Inputs!$C$68)),"")</f>
      </c>
      <c r="H6019" s="34"/>
      <c r="I6019" s="42">
        <f>IF(AND(ISNUMBER(D6019),ISNUMBER(H6019)),D6019*H6019*Inputs!$C$69,"")</f>
      </c>
      <c r="J6019" s="42">
        <f>IF(AND(ISNUMBER(F6019),ISNUMBER(H6019),F6019&gt;=Inputs!$C$68),F6019*H6019*Inputs!$C$69,"")</f>
      </c>
    </row>
    <row r="6020" spans="2:10" ht="15" customHeight="1" x14ac:dyDescent="0.2">
      <c r="B6020" s="39">
        <f t="shared" si="46"/>
      </c>
      <c r="C6020" s="40">
        <f>IF(Inputs!$C$60,Inputs!$C$11+(B6020-Inputs!$C$69)/Inputs!$C$70,"")</f>
      </c>
      <c r="D6020" s="15"/>
      <c r="E6020" s="15"/>
      <c r="F6020" s="11">
        <f t="shared" si="47"/>
      </c>
      <c r="G6020" s="22" cm="1">
        <f t="array" ref="G6020">IF(AND(Inputs!$C$60,Inputs!$C$61),INDEX(Utility_Rates!$C$29:$F$52,HOUR(C6020)+Inputs!$C$69,MATCH(INDEX(Utility_Rates!$K$6:$K$17,MONTH(C6020))&amp;IF(WEEKDAY(C6020,Inputs!$C$76)&lt;=Inputs!$C$74," weekday"," weekend"),Utility_Rates!$C$28:$F$28,Inputs!$C$68)),"")</f>
      </c>
      <c r="H6020" s="34"/>
      <c r="I6020" s="42">
        <f>IF(AND(ISNUMBER(D6020),ISNUMBER(H6020)),D6020*H6020*Inputs!$C$69,"")</f>
      </c>
      <c r="J6020" s="42">
        <f>IF(AND(ISNUMBER(F6020),ISNUMBER(H6020),F6020&gt;=Inputs!$C$68),F6020*H6020*Inputs!$C$69,"")</f>
      </c>
    </row>
    <row r="6021" spans="2:10" ht="15" customHeight="1" x14ac:dyDescent="0.2">
      <c r="B6021" s="39">
        <f t="shared" si="46"/>
      </c>
      <c r="C6021" s="40">
        <f>IF(Inputs!$C$60,Inputs!$C$11+(B6021-Inputs!$C$69)/Inputs!$C$70,"")</f>
      </c>
      <c r="D6021" s="15"/>
      <c r="E6021" s="15"/>
      <c r="F6021" s="11">
        <f t="shared" si="47"/>
      </c>
      <c r="G6021" s="22" cm="1">
        <f t="array" ref="G6021">IF(AND(Inputs!$C$60,Inputs!$C$61),INDEX(Utility_Rates!$C$29:$F$52,HOUR(C6021)+Inputs!$C$69,MATCH(INDEX(Utility_Rates!$K$6:$K$17,MONTH(C6021))&amp;IF(WEEKDAY(C6021,Inputs!$C$76)&lt;=Inputs!$C$74," weekday"," weekend"),Utility_Rates!$C$28:$F$28,Inputs!$C$68)),"")</f>
      </c>
      <c r="H6021" s="34"/>
      <c r="I6021" s="42">
        <f>IF(AND(ISNUMBER(D6021),ISNUMBER(H6021)),D6021*H6021*Inputs!$C$69,"")</f>
      </c>
      <c r="J6021" s="42">
        <f>IF(AND(ISNUMBER(F6021),ISNUMBER(H6021),F6021&gt;=Inputs!$C$68),F6021*H6021*Inputs!$C$69,"")</f>
      </c>
    </row>
    <row r="6022" spans="2:10" ht="15" customHeight="1" x14ac:dyDescent="0.2">
      <c r="B6022" s="39">
        <f t="shared" si="46"/>
      </c>
      <c r="C6022" s="40">
        <f>IF(Inputs!$C$60,Inputs!$C$11+(B6022-Inputs!$C$69)/Inputs!$C$70,"")</f>
      </c>
      <c r="D6022" s="15"/>
      <c r="E6022" s="15"/>
      <c r="F6022" s="11">
        <f t="shared" si="47"/>
      </c>
      <c r="G6022" s="22" cm="1">
        <f t="array" ref="G6022">IF(AND(Inputs!$C$60,Inputs!$C$61),INDEX(Utility_Rates!$C$29:$F$52,HOUR(C6022)+Inputs!$C$69,MATCH(INDEX(Utility_Rates!$K$6:$K$17,MONTH(C6022))&amp;IF(WEEKDAY(C6022,Inputs!$C$76)&lt;=Inputs!$C$74," weekday"," weekend"),Utility_Rates!$C$28:$F$28,Inputs!$C$68)),"")</f>
      </c>
      <c r="H6022" s="34"/>
      <c r="I6022" s="42">
        <f>IF(AND(ISNUMBER(D6022),ISNUMBER(H6022)),D6022*H6022*Inputs!$C$69,"")</f>
      </c>
      <c r="J6022" s="42">
        <f>IF(AND(ISNUMBER(F6022),ISNUMBER(H6022),F6022&gt;=Inputs!$C$68),F6022*H6022*Inputs!$C$69,"")</f>
      </c>
    </row>
    <row r="6023" spans="2:10" ht="15" customHeight="1" x14ac:dyDescent="0.2">
      <c r="B6023" s="39">
        <f t="shared" si="46"/>
      </c>
      <c r="C6023" s="40">
        <f>IF(Inputs!$C$60,Inputs!$C$11+(B6023-Inputs!$C$69)/Inputs!$C$70,"")</f>
      </c>
      <c r="D6023" s="15"/>
      <c r="E6023" s="15"/>
      <c r="F6023" s="11">
        <f t="shared" si="47"/>
      </c>
      <c r="G6023" s="22" cm="1">
        <f t="array" ref="G6023">IF(AND(Inputs!$C$60,Inputs!$C$61),INDEX(Utility_Rates!$C$29:$F$52,HOUR(C6023)+Inputs!$C$69,MATCH(INDEX(Utility_Rates!$K$6:$K$17,MONTH(C6023))&amp;IF(WEEKDAY(C6023,Inputs!$C$76)&lt;=Inputs!$C$74," weekday"," weekend"),Utility_Rates!$C$28:$F$28,Inputs!$C$68)),"")</f>
      </c>
      <c r="H6023" s="34"/>
      <c r="I6023" s="42">
        <f>IF(AND(ISNUMBER(D6023),ISNUMBER(H6023)),D6023*H6023*Inputs!$C$69,"")</f>
      </c>
      <c r="J6023" s="42">
        <f>IF(AND(ISNUMBER(F6023),ISNUMBER(H6023),F6023&gt;=Inputs!$C$68),F6023*H6023*Inputs!$C$69,"")</f>
      </c>
    </row>
    <row r="6024" spans="2:10" ht="15" customHeight="1" x14ac:dyDescent="0.2">
      <c r="B6024" s="39">
        <f t="shared" si="46"/>
      </c>
      <c r="C6024" s="40">
        <f>IF(Inputs!$C$60,Inputs!$C$11+(B6024-Inputs!$C$69)/Inputs!$C$70,"")</f>
      </c>
      <c r="D6024" s="15"/>
      <c r="E6024" s="15"/>
      <c r="F6024" s="11">
        <f t="shared" si="47"/>
      </c>
      <c r="G6024" s="22" cm="1">
        <f t="array" ref="G6024">IF(AND(Inputs!$C$60,Inputs!$C$61),INDEX(Utility_Rates!$C$29:$F$52,HOUR(C6024)+Inputs!$C$69,MATCH(INDEX(Utility_Rates!$K$6:$K$17,MONTH(C6024))&amp;IF(WEEKDAY(C6024,Inputs!$C$76)&lt;=Inputs!$C$74," weekday"," weekend"),Utility_Rates!$C$28:$F$28,Inputs!$C$68)),"")</f>
      </c>
      <c r="H6024" s="34"/>
      <c r="I6024" s="42">
        <f>IF(AND(ISNUMBER(D6024),ISNUMBER(H6024)),D6024*H6024*Inputs!$C$69,"")</f>
      </c>
      <c r="J6024" s="42">
        <f>IF(AND(ISNUMBER(F6024),ISNUMBER(H6024),F6024&gt;=Inputs!$C$68),F6024*H6024*Inputs!$C$69,"")</f>
      </c>
    </row>
    <row r="6025" spans="2:10" ht="15" customHeight="1" x14ac:dyDescent="0.2">
      <c r="B6025" s="39">
        <f t="shared" si="46"/>
      </c>
      <c r="C6025" s="40">
        <f>IF(Inputs!$C$60,Inputs!$C$11+(B6025-Inputs!$C$69)/Inputs!$C$70,"")</f>
      </c>
      <c r="D6025" s="15"/>
      <c r="E6025" s="15"/>
      <c r="F6025" s="11">
        <f t="shared" si="47"/>
      </c>
      <c r="G6025" s="22" cm="1">
        <f t="array" ref="G6025">IF(AND(Inputs!$C$60,Inputs!$C$61),INDEX(Utility_Rates!$C$29:$F$52,HOUR(C6025)+Inputs!$C$69,MATCH(INDEX(Utility_Rates!$K$6:$K$17,MONTH(C6025))&amp;IF(WEEKDAY(C6025,Inputs!$C$76)&lt;=Inputs!$C$74," weekday"," weekend"),Utility_Rates!$C$28:$F$28,Inputs!$C$68)),"")</f>
      </c>
      <c r="H6025" s="34"/>
      <c r="I6025" s="42">
        <f>IF(AND(ISNUMBER(D6025),ISNUMBER(H6025)),D6025*H6025*Inputs!$C$69,"")</f>
      </c>
      <c r="J6025" s="42">
        <f>IF(AND(ISNUMBER(F6025),ISNUMBER(H6025),F6025&gt;=Inputs!$C$68),F6025*H6025*Inputs!$C$69,"")</f>
      </c>
    </row>
    <row r="6026" spans="2:10" ht="15" customHeight="1" x14ac:dyDescent="0.2">
      <c r="B6026" s="39">
        <f t="shared" si="46"/>
      </c>
      <c r="C6026" s="40">
        <f>IF(Inputs!$C$60,Inputs!$C$11+(B6026-Inputs!$C$69)/Inputs!$C$70,"")</f>
      </c>
      <c r="D6026" s="15"/>
      <c r="E6026" s="15"/>
      <c r="F6026" s="11">
        <f t="shared" si="47"/>
      </c>
      <c r="G6026" s="22" cm="1">
        <f t="array" ref="G6026">IF(AND(Inputs!$C$60,Inputs!$C$61),INDEX(Utility_Rates!$C$29:$F$52,HOUR(C6026)+Inputs!$C$69,MATCH(INDEX(Utility_Rates!$K$6:$K$17,MONTH(C6026))&amp;IF(WEEKDAY(C6026,Inputs!$C$76)&lt;=Inputs!$C$74," weekday"," weekend"),Utility_Rates!$C$28:$F$28,Inputs!$C$68)),"")</f>
      </c>
      <c r="H6026" s="34"/>
      <c r="I6026" s="42">
        <f>IF(AND(ISNUMBER(D6026),ISNUMBER(H6026)),D6026*H6026*Inputs!$C$69,"")</f>
      </c>
      <c r="J6026" s="42">
        <f>IF(AND(ISNUMBER(F6026),ISNUMBER(H6026),F6026&gt;=Inputs!$C$68),F6026*H6026*Inputs!$C$69,"")</f>
      </c>
    </row>
    <row r="6027" spans="2:10" ht="15" customHeight="1" x14ac:dyDescent="0.2">
      <c r="B6027" s="39">
        <f t="shared" si="46"/>
      </c>
      <c r="C6027" s="40">
        <f>IF(Inputs!$C$60,Inputs!$C$11+(B6027-Inputs!$C$69)/Inputs!$C$70,"")</f>
      </c>
      <c r="D6027" s="15"/>
      <c r="E6027" s="15"/>
      <c r="F6027" s="11">
        <f t="shared" si="47"/>
      </c>
      <c r="G6027" s="22" cm="1">
        <f t="array" ref="G6027">IF(AND(Inputs!$C$60,Inputs!$C$61),INDEX(Utility_Rates!$C$29:$F$52,HOUR(C6027)+Inputs!$C$69,MATCH(INDEX(Utility_Rates!$K$6:$K$17,MONTH(C6027))&amp;IF(WEEKDAY(C6027,Inputs!$C$76)&lt;=Inputs!$C$74," weekday"," weekend"),Utility_Rates!$C$28:$F$28,Inputs!$C$68)),"")</f>
      </c>
      <c r="H6027" s="34"/>
      <c r="I6027" s="42">
        <f>IF(AND(ISNUMBER(D6027),ISNUMBER(H6027)),D6027*H6027*Inputs!$C$69,"")</f>
      </c>
      <c r="J6027" s="42">
        <f>IF(AND(ISNUMBER(F6027),ISNUMBER(H6027),F6027&gt;=Inputs!$C$68),F6027*H6027*Inputs!$C$69,"")</f>
      </c>
    </row>
    <row r="6028" spans="2:10" ht="15" customHeight="1" x14ac:dyDescent="0.2">
      <c r="B6028" s="39">
        <f t="shared" si="46"/>
      </c>
      <c r="C6028" s="40">
        <f>IF(Inputs!$C$60,Inputs!$C$11+(B6028-Inputs!$C$69)/Inputs!$C$70,"")</f>
      </c>
      <c r="D6028" s="15"/>
      <c r="E6028" s="15"/>
      <c r="F6028" s="11">
        <f t="shared" si="47"/>
      </c>
      <c r="G6028" s="22" cm="1">
        <f t="array" ref="G6028">IF(AND(Inputs!$C$60,Inputs!$C$61),INDEX(Utility_Rates!$C$29:$F$52,HOUR(C6028)+Inputs!$C$69,MATCH(INDEX(Utility_Rates!$K$6:$K$17,MONTH(C6028))&amp;IF(WEEKDAY(C6028,Inputs!$C$76)&lt;=Inputs!$C$74," weekday"," weekend"),Utility_Rates!$C$28:$F$28,Inputs!$C$68)),"")</f>
      </c>
      <c r="H6028" s="34"/>
      <c r="I6028" s="42">
        <f>IF(AND(ISNUMBER(D6028),ISNUMBER(H6028)),D6028*H6028*Inputs!$C$69,"")</f>
      </c>
      <c r="J6028" s="42">
        <f>IF(AND(ISNUMBER(F6028),ISNUMBER(H6028),F6028&gt;=Inputs!$C$68),F6028*H6028*Inputs!$C$69,"")</f>
      </c>
    </row>
    <row r="6029" spans="2:10" ht="15" customHeight="1" x14ac:dyDescent="0.2">
      <c r="B6029" s="39">
        <f t="shared" si="46"/>
      </c>
      <c r="C6029" s="40">
        <f>IF(Inputs!$C$60,Inputs!$C$11+(B6029-Inputs!$C$69)/Inputs!$C$70,"")</f>
      </c>
      <c r="D6029" s="15"/>
      <c r="E6029" s="15"/>
      <c r="F6029" s="11">
        <f t="shared" si="47"/>
      </c>
      <c r="G6029" s="22" cm="1">
        <f t="array" ref="G6029">IF(AND(Inputs!$C$60,Inputs!$C$61),INDEX(Utility_Rates!$C$29:$F$52,HOUR(C6029)+Inputs!$C$69,MATCH(INDEX(Utility_Rates!$K$6:$K$17,MONTH(C6029))&amp;IF(WEEKDAY(C6029,Inputs!$C$76)&lt;=Inputs!$C$74," weekday"," weekend"),Utility_Rates!$C$28:$F$28,Inputs!$C$68)),"")</f>
      </c>
      <c r="H6029" s="34"/>
      <c r="I6029" s="42">
        <f>IF(AND(ISNUMBER(D6029),ISNUMBER(H6029)),D6029*H6029*Inputs!$C$69,"")</f>
      </c>
      <c r="J6029" s="42">
        <f>IF(AND(ISNUMBER(F6029),ISNUMBER(H6029),F6029&gt;=Inputs!$C$68),F6029*H6029*Inputs!$C$69,"")</f>
      </c>
    </row>
    <row r="6030" spans="2:10" ht="15" customHeight="1" x14ac:dyDescent="0.2">
      <c r="B6030" s="39">
        <f t="shared" si="46"/>
      </c>
      <c r="C6030" s="40">
        <f>IF(Inputs!$C$60,Inputs!$C$11+(B6030-Inputs!$C$69)/Inputs!$C$70,"")</f>
      </c>
      <c r="D6030" s="15"/>
      <c r="E6030" s="15"/>
      <c r="F6030" s="11">
        <f t="shared" si="47"/>
      </c>
      <c r="G6030" s="22" cm="1">
        <f t="array" ref="G6030">IF(AND(Inputs!$C$60,Inputs!$C$61),INDEX(Utility_Rates!$C$29:$F$52,HOUR(C6030)+Inputs!$C$69,MATCH(INDEX(Utility_Rates!$K$6:$K$17,MONTH(C6030))&amp;IF(WEEKDAY(C6030,Inputs!$C$76)&lt;=Inputs!$C$74," weekday"," weekend"),Utility_Rates!$C$28:$F$28,Inputs!$C$68)),"")</f>
      </c>
      <c r="H6030" s="34"/>
      <c r="I6030" s="42">
        <f>IF(AND(ISNUMBER(D6030),ISNUMBER(H6030)),D6030*H6030*Inputs!$C$69,"")</f>
      </c>
      <c r="J6030" s="42">
        <f>IF(AND(ISNUMBER(F6030),ISNUMBER(H6030),F6030&gt;=Inputs!$C$68),F6030*H6030*Inputs!$C$69,"")</f>
      </c>
    </row>
    <row r="6031" spans="2:10" ht="15" customHeight="1" x14ac:dyDescent="0.2">
      <c r="B6031" s="39">
        <f t="shared" si="46"/>
      </c>
      <c r="C6031" s="40">
        <f>IF(Inputs!$C$60,Inputs!$C$11+(B6031-Inputs!$C$69)/Inputs!$C$70,"")</f>
      </c>
      <c r="D6031" s="15"/>
      <c r="E6031" s="15"/>
      <c r="F6031" s="11">
        <f t="shared" si="47"/>
      </c>
      <c r="G6031" s="22" cm="1">
        <f t="array" ref="G6031">IF(AND(Inputs!$C$60,Inputs!$C$61),INDEX(Utility_Rates!$C$29:$F$52,HOUR(C6031)+Inputs!$C$69,MATCH(INDEX(Utility_Rates!$K$6:$K$17,MONTH(C6031))&amp;IF(WEEKDAY(C6031,Inputs!$C$76)&lt;=Inputs!$C$74," weekday"," weekend"),Utility_Rates!$C$28:$F$28,Inputs!$C$68)),"")</f>
      </c>
      <c r="H6031" s="34"/>
      <c r="I6031" s="42">
        <f>IF(AND(ISNUMBER(D6031),ISNUMBER(H6031)),D6031*H6031*Inputs!$C$69,"")</f>
      </c>
      <c r="J6031" s="42">
        <f>IF(AND(ISNUMBER(F6031),ISNUMBER(H6031),F6031&gt;=Inputs!$C$68),F6031*H6031*Inputs!$C$69,"")</f>
      </c>
    </row>
    <row r="6032" spans="2:10" ht="15" customHeight="1" x14ac:dyDescent="0.2">
      <c r="B6032" s="39">
        <f t="shared" si="46"/>
      </c>
      <c r="C6032" s="40">
        <f>IF(Inputs!$C$60,Inputs!$C$11+(B6032-Inputs!$C$69)/Inputs!$C$70,"")</f>
      </c>
      <c r="D6032" s="15"/>
      <c r="E6032" s="15"/>
      <c r="F6032" s="11">
        <f t="shared" si="47"/>
      </c>
      <c r="G6032" s="22" cm="1">
        <f t="array" ref="G6032">IF(AND(Inputs!$C$60,Inputs!$C$61),INDEX(Utility_Rates!$C$29:$F$52,HOUR(C6032)+Inputs!$C$69,MATCH(INDEX(Utility_Rates!$K$6:$K$17,MONTH(C6032))&amp;IF(WEEKDAY(C6032,Inputs!$C$76)&lt;=Inputs!$C$74," weekday"," weekend"),Utility_Rates!$C$28:$F$28,Inputs!$C$68)),"")</f>
      </c>
      <c r="H6032" s="34"/>
      <c r="I6032" s="42">
        <f>IF(AND(ISNUMBER(D6032),ISNUMBER(H6032)),D6032*H6032*Inputs!$C$69,"")</f>
      </c>
      <c r="J6032" s="42">
        <f>IF(AND(ISNUMBER(F6032),ISNUMBER(H6032),F6032&gt;=Inputs!$C$68),F6032*H6032*Inputs!$C$69,"")</f>
      </c>
    </row>
    <row r="6033" spans="2:10" ht="15" customHeight="1" x14ac:dyDescent="0.2">
      <c r="B6033" s="39">
        <f t="shared" si="46"/>
      </c>
      <c r="C6033" s="40">
        <f>IF(Inputs!$C$60,Inputs!$C$11+(B6033-Inputs!$C$69)/Inputs!$C$70,"")</f>
      </c>
      <c r="D6033" s="15"/>
      <c r="E6033" s="15"/>
      <c r="F6033" s="11">
        <f t="shared" si="47"/>
      </c>
      <c r="G6033" s="22" cm="1">
        <f t="array" ref="G6033">IF(AND(Inputs!$C$60,Inputs!$C$61),INDEX(Utility_Rates!$C$29:$F$52,HOUR(C6033)+Inputs!$C$69,MATCH(INDEX(Utility_Rates!$K$6:$K$17,MONTH(C6033))&amp;IF(WEEKDAY(C6033,Inputs!$C$76)&lt;=Inputs!$C$74," weekday"," weekend"),Utility_Rates!$C$28:$F$28,Inputs!$C$68)),"")</f>
      </c>
      <c r="H6033" s="34"/>
      <c r="I6033" s="42">
        <f>IF(AND(ISNUMBER(D6033),ISNUMBER(H6033)),D6033*H6033*Inputs!$C$69,"")</f>
      </c>
      <c r="J6033" s="42">
        <f>IF(AND(ISNUMBER(F6033),ISNUMBER(H6033),F6033&gt;=Inputs!$C$68),F6033*H6033*Inputs!$C$69,"")</f>
      </c>
    </row>
    <row r="6034" spans="2:10" ht="15" customHeight="1" x14ac:dyDescent="0.2">
      <c r="B6034" s="39">
        <f t="shared" si="46"/>
      </c>
      <c r="C6034" s="40">
        <f>IF(Inputs!$C$60,Inputs!$C$11+(B6034-Inputs!$C$69)/Inputs!$C$70,"")</f>
      </c>
      <c r="D6034" s="15"/>
      <c r="E6034" s="15"/>
      <c r="F6034" s="11">
        <f t="shared" si="47"/>
      </c>
      <c r="G6034" s="22" cm="1">
        <f t="array" ref="G6034">IF(AND(Inputs!$C$60,Inputs!$C$61),INDEX(Utility_Rates!$C$29:$F$52,HOUR(C6034)+Inputs!$C$69,MATCH(INDEX(Utility_Rates!$K$6:$K$17,MONTH(C6034))&amp;IF(WEEKDAY(C6034,Inputs!$C$76)&lt;=Inputs!$C$74," weekday"," weekend"),Utility_Rates!$C$28:$F$28,Inputs!$C$68)),"")</f>
      </c>
      <c r="H6034" s="34"/>
      <c r="I6034" s="42">
        <f>IF(AND(ISNUMBER(D6034),ISNUMBER(H6034)),D6034*H6034*Inputs!$C$69,"")</f>
      </c>
      <c r="J6034" s="42">
        <f>IF(AND(ISNUMBER(F6034),ISNUMBER(H6034),F6034&gt;=Inputs!$C$68),F6034*H6034*Inputs!$C$69,"")</f>
      </c>
    </row>
    <row r="6035" spans="2:10" ht="15" customHeight="1" x14ac:dyDescent="0.2">
      <c r="B6035" s="39">
        <f t="shared" si="46"/>
      </c>
      <c r="C6035" s="40">
        <f>IF(Inputs!$C$60,Inputs!$C$11+(B6035-Inputs!$C$69)/Inputs!$C$70,"")</f>
      </c>
      <c r="D6035" s="15"/>
      <c r="E6035" s="15"/>
      <c r="F6035" s="11">
        <f t="shared" si="47"/>
      </c>
      <c r="G6035" s="22" cm="1">
        <f t="array" ref="G6035">IF(AND(Inputs!$C$60,Inputs!$C$61),INDEX(Utility_Rates!$C$29:$F$52,HOUR(C6035)+Inputs!$C$69,MATCH(INDEX(Utility_Rates!$K$6:$K$17,MONTH(C6035))&amp;IF(WEEKDAY(C6035,Inputs!$C$76)&lt;=Inputs!$C$74," weekday"," weekend"),Utility_Rates!$C$28:$F$28,Inputs!$C$68)),"")</f>
      </c>
      <c r="H6035" s="34"/>
      <c r="I6035" s="42">
        <f>IF(AND(ISNUMBER(D6035),ISNUMBER(H6035)),D6035*H6035*Inputs!$C$69,"")</f>
      </c>
      <c r="J6035" s="42">
        <f>IF(AND(ISNUMBER(F6035),ISNUMBER(H6035),F6035&gt;=Inputs!$C$68),F6035*H6035*Inputs!$C$69,"")</f>
      </c>
    </row>
    <row r="6036" spans="2:10" ht="15" customHeight="1" x14ac:dyDescent="0.2">
      <c r="B6036" s="39">
        <f t="shared" si="46"/>
      </c>
      <c r="C6036" s="40">
        <f>IF(Inputs!$C$60,Inputs!$C$11+(B6036-Inputs!$C$69)/Inputs!$C$70,"")</f>
      </c>
      <c r="D6036" s="15"/>
      <c r="E6036" s="15"/>
      <c r="F6036" s="11">
        <f t="shared" si="47"/>
      </c>
      <c r="G6036" s="22" cm="1">
        <f t="array" ref="G6036">IF(AND(Inputs!$C$60,Inputs!$C$61),INDEX(Utility_Rates!$C$29:$F$52,HOUR(C6036)+Inputs!$C$69,MATCH(INDEX(Utility_Rates!$K$6:$K$17,MONTH(C6036))&amp;IF(WEEKDAY(C6036,Inputs!$C$76)&lt;=Inputs!$C$74," weekday"," weekend"),Utility_Rates!$C$28:$F$28,Inputs!$C$68)),"")</f>
      </c>
      <c r="H6036" s="34"/>
      <c r="I6036" s="42">
        <f>IF(AND(ISNUMBER(D6036),ISNUMBER(H6036)),D6036*H6036*Inputs!$C$69,"")</f>
      </c>
      <c r="J6036" s="42">
        <f>IF(AND(ISNUMBER(F6036),ISNUMBER(H6036),F6036&gt;=Inputs!$C$68),F6036*H6036*Inputs!$C$69,"")</f>
      </c>
    </row>
    <row r="6037" spans="2:10" ht="15" customHeight="1" x14ac:dyDescent="0.2">
      <c r="B6037" s="39">
        <f t="shared" si="46"/>
      </c>
      <c r="C6037" s="40">
        <f>IF(Inputs!$C$60,Inputs!$C$11+(B6037-Inputs!$C$69)/Inputs!$C$70,"")</f>
      </c>
      <c r="D6037" s="15"/>
      <c r="E6037" s="15"/>
      <c r="F6037" s="11">
        <f t="shared" si="47"/>
      </c>
      <c r="G6037" s="22" cm="1">
        <f t="array" ref="G6037">IF(AND(Inputs!$C$60,Inputs!$C$61),INDEX(Utility_Rates!$C$29:$F$52,HOUR(C6037)+Inputs!$C$69,MATCH(INDEX(Utility_Rates!$K$6:$K$17,MONTH(C6037))&amp;IF(WEEKDAY(C6037,Inputs!$C$76)&lt;=Inputs!$C$74," weekday"," weekend"),Utility_Rates!$C$28:$F$28,Inputs!$C$68)),"")</f>
      </c>
      <c r="H6037" s="34"/>
      <c r="I6037" s="42">
        <f>IF(AND(ISNUMBER(D6037),ISNUMBER(H6037)),D6037*H6037*Inputs!$C$69,"")</f>
      </c>
      <c r="J6037" s="42">
        <f>IF(AND(ISNUMBER(F6037),ISNUMBER(H6037),F6037&gt;=Inputs!$C$68),F6037*H6037*Inputs!$C$69,"")</f>
      </c>
    </row>
    <row r="6038" spans="2:10" ht="15" customHeight="1" x14ac:dyDescent="0.2">
      <c r="B6038" s="39">
        <f t="shared" si="46"/>
      </c>
      <c r="C6038" s="40">
        <f>IF(Inputs!$C$60,Inputs!$C$11+(B6038-Inputs!$C$69)/Inputs!$C$70,"")</f>
      </c>
      <c r="D6038" s="15"/>
      <c r="E6038" s="15"/>
      <c r="F6038" s="11">
        <f t="shared" si="47"/>
      </c>
      <c r="G6038" s="22" cm="1">
        <f t="array" ref="G6038">IF(AND(Inputs!$C$60,Inputs!$C$61),INDEX(Utility_Rates!$C$29:$F$52,HOUR(C6038)+Inputs!$C$69,MATCH(INDEX(Utility_Rates!$K$6:$K$17,MONTH(C6038))&amp;IF(WEEKDAY(C6038,Inputs!$C$76)&lt;=Inputs!$C$74," weekday"," weekend"),Utility_Rates!$C$28:$F$28,Inputs!$C$68)),"")</f>
      </c>
      <c r="H6038" s="34"/>
      <c r="I6038" s="42">
        <f>IF(AND(ISNUMBER(D6038),ISNUMBER(H6038)),D6038*H6038*Inputs!$C$69,"")</f>
      </c>
      <c r="J6038" s="42">
        <f>IF(AND(ISNUMBER(F6038),ISNUMBER(H6038),F6038&gt;=Inputs!$C$68),F6038*H6038*Inputs!$C$69,"")</f>
      </c>
    </row>
    <row r="6039" spans="2:10" ht="15" customHeight="1" x14ac:dyDescent="0.2">
      <c r="B6039" s="39">
        <f t="shared" si="46"/>
      </c>
      <c r="C6039" s="40">
        <f>IF(Inputs!$C$60,Inputs!$C$11+(B6039-Inputs!$C$69)/Inputs!$C$70,"")</f>
      </c>
      <c r="D6039" s="15"/>
      <c r="E6039" s="15"/>
      <c r="F6039" s="11">
        <f t="shared" si="47"/>
      </c>
      <c r="G6039" s="22" cm="1">
        <f t="array" ref="G6039">IF(AND(Inputs!$C$60,Inputs!$C$61),INDEX(Utility_Rates!$C$29:$F$52,HOUR(C6039)+Inputs!$C$69,MATCH(INDEX(Utility_Rates!$K$6:$K$17,MONTH(C6039))&amp;IF(WEEKDAY(C6039,Inputs!$C$76)&lt;=Inputs!$C$74," weekday"," weekend"),Utility_Rates!$C$28:$F$28,Inputs!$C$68)),"")</f>
      </c>
      <c r="H6039" s="34"/>
      <c r="I6039" s="42">
        <f>IF(AND(ISNUMBER(D6039),ISNUMBER(H6039)),D6039*H6039*Inputs!$C$69,"")</f>
      </c>
      <c r="J6039" s="42">
        <f>IF(AND(ISNUMBER(F6039),ISNUMBER(H6039),F6039&gt;=Inputs!$C$68),F6039*H6039*Inputs!$C$69,"")</f>
      </c>
    </row>
    <row r="6040" spans="2:10" ht="15" customHeight="1" x14ac:dyDescent="0.2">
      <c r="B6040" s="39">
        <f t="shared" si="46"/>
      </c>
      <c r="C6040" s="40">
        <f>IF(Inputs!$C$60,Inputs!$C$11+(B6040-Inputs!$C$69)/Inputs!$C$70,"")</f>
      </c>
      <c r="D6040" s="15"/>
      <c r="E6040" s="15"/>
      <c r="F6040" s="11">
        <f t="shared" si="47"/>
      </c>
      <c r="G6040" s="22" cm="1">
        <f t="array" ref="G6040">IF(AND(Inputs!$C$60,Inputs!$C$61),INDEX(Utility_Rates!$C$29:$F$52,HOUR(C6040)+Inputs!$C$69,MATCH(INDEX(Utility_Rates!$K$6:$K$17,MONTH(C6040))&amp;IF(WEEKDAY(C6040,Inputs!$C$76)&lt;=Inputs!$C$74," weekday"," weekend"),Utility_Rates!$C$28:$F$28,Inputs!$C$68)),"")</f>
      </c>
      <c r="H6040" s="34"/>
      <c r="I6040" s="42">
        <f>IF(AND(ISNUMBER(D6040),ISNUMBER(H6040)),D6040*H6040*Inputs!$C$69,"")</f>
      </c>
      <c r="J6040" s="42">
        <f>IF(AND(ISNUMBER(F6040),ISNUMBER(H6040),F6040&gt;=Inputs!$C$68),F6040*H6040*Inputs!$C$69,"")</f>
      </c>
    </row>
    <row r="6041" spans="2:10" ht="15" customHeight="1" x14ac:dyDescent="0.2">
      <c r="B6041" s="39">
        <f t="shared" si="46"/>
      </c>
      <c r="C6041" s="40">
        <f>IF(Inputs!$C$60,Inputs!$C$11+(B6041-Inputs!$C$69)/Inputs!$C$70,"")</f>
      </c>
      <c r="D6041" s="15"/>
      <c r="E6041" s="15"/>
      <c r="F6041" s="11">
        <f t="shared" si="47"/>
      </c>
      <c r="G6041" s="22" cm="1">
        <f t="array" ref="G6041">IF(AND(Inputs!$C$60,Inputs!$C$61),INDEX(Utility_Rates!$C$29:$F$52,HOUR(C6041)+Inputs!$C$69,MATCH(INDEX(Utility_Rates!$K$6:$K$17,MONTH(C6041))&amp;IF(WEEKDAY(C6041,Inputs!$C$76)&lt;=Inputs!$C$74," weekday"," weekend"),Utility_Rates!$C$28:$F$28,Inputs!$C$68)),"")</f>
      </c>
      <c r="H6041" s="34"/>
      <c r="I6041" s="42">
        <f>IF(AND(ISNUMBER(D6041),ISNUMBER(H6041)),D6041*H6041*Inputs!$C$69,"")</f>
      </c>
      <c r="J6041" s="42">
        <f>IF(AND(ISNUMBER(F6041),ISNUMBER(H6041),F6041&gt;=Inputs!$C$68),F6041*H6041*Inputs!$C$69,"")</f>
      </c>
    </row>
    <row r="6042" spans="2:10" ht="15" customHeight="1" x14ac:dyDescent="0.2">
      <c r="B6042" s="39">
        <f t="shared" si="46"/>
      </c>
      <c r="C6042" s="40">
        <f>IF(Inputs!$C$60,Inputs!$C$11+(B6042-Inputs!$C$69)/Inputs!$C$70,"")</f>
      </c>
      <c r="D6042" s="15"/>
      <c r="E6042" s="15"/>
      <c r="F6042" s="11">
        <f t="shared" si="47"/>
      </c>
      <c r="G6042" s="22" cm="1">
        <f t="array" ref="G6042">IF(AND(Inputs!$C$60,Inputs!$C$61),INDEX(Utility_Rates!$C$29:$F$52,HOUR(C6042)+Inputs!$C$69,MATCH(INDEX(Utility_Rates!$K$6:$K$17,MONTH(C6042))&amp;IF(WEEKDAY(C6042,Inputs!$C$76)&lt;=Inputs!$C$74," weekday"," weekend"),Utility_Rates!$C$28:$F$28,Inputs!$C$68)),"")</f>
      </c>
      <c r="H6042" s="34"/>
      <c r="I6042" s="42">
        <f>IF(AND(ISNUMBER(D6042),ISNUMBER(H6042)),D6042*H6042*Inputs!$C$69,"")</f>
      </c>
      <c r="J6042" s="42">
        <f>IF(AND(ISNUMBER(F6042),ISNUMBER(H6042),F6042&gt;=Inputs!$C$68),F6042*H6042*Inputs!$C$69,"")</f>
      </c>
    </row>
    <row r="6043" spans="2:10" ht="15" customHeight="1" x14ac:dyDescent="0.2">
      <c r="B6043" s="39">
        <f t="shared" si="46"/>
      </c>
      <c r="C6043" s="40">
        <f>IF(Inputs!$C$60,Inputs!$C$11+(B6043-Inputs!$C$69)/Inputs!$C$70,"")</f>
      </c>
      <c r="D6043" s="15"/>
      <c r="E6043" s="15"/>
      <c r="F6043" s="11">
        <f t="shared" si="47"/>
      </c>
      <c r="G6043" s="22" cm="1">
        <f t="array" ref="G6043">IF(AND(Inputs!$C$60,Inputs!$C$61),INDEX(Utility_Rates!$C$29:$F$52,HOUR(C6043)+Inputs!$C$69,MATCH(INDEX(Utility_Rates!$K$6:$K$17,MONTH(C6043))&amp;IF(WEEKDAY(C6043,Inputs!$C$76)&lt;=Inputs!$C$74," weekday"," weekend"),Utility_Rates!$C$28:$F$28,Inputs!$C$68)),"")</f>
      </c>
      <c r="H6043" s="34"/>
      <c r="I6043" s="42">
        <f>IF(AND(ISNUMBER(D6043),ISNUMBER(H6043)),D6043*H6043*Inputs!$C$69,"")</f>
      </c>
      <c r="J6043" s="42">
        <f>IF(AND(ISNUMBER(F6043),ISNUMBER(H6043),F6043&gt;=Inputs!$C$68),F6043*H6043*Inputs!$C$69,"")</f>
      </c>
    </row>
    <row r="6044" spans="2:10" ht="15" customHeight="1" x14ac:dyDescent="0.2">
      <c r="B6044" s="39">
        <f t="shared" si="46"/>
      </c>
      <c r="C6044" s="40">
        <f>IF(Inputs!$C$60,Inputs!$C$11+(B6044-Inputs!$C$69)/Inputs!$C$70,"")</f>
      </c>
      <c r="D6044" s="15"/>
      <c r="E6044" s="15"/>
      <c r="F6044" s="11">
        <f t="shared" si="47"/>
      </c>
      <c r="G6044" s="22" cm="1">
        <f t="array" ref="G6044">IF(AND(Inputs!$C$60,Inputs!$C$61),INDEX(Utility_Rates!$C$29:$F$52,HOUR(C6044)+Inputs!$C$69,MATCH(INDEX(Utility_Rates!$K$6:$K$17,MONTH(C6044))&amp;IF(WEEKDAY(C6044,Inputs!$C$76)&lt;=Inputs!$C$74," weekday"," weekend"),Utility_Rates!$C$28:$F$28,Inputs!$C$68)),"")</f>
      </c>
      <c r="H6044" s="34"/>
      <c r="I6044" s="42">
        <f>IF(AND(ISNUMBER(D6044),ISNUMBER(H6044)),D6044*H6044*Inputs!$C$69,"")</f>
      </c>
      <c r="J6044" s="42">
        <f>IF(AND(ISNUMBER(F6044),ISNUMBER(H6044),F6044&gt;=Inputs!$C$68),F6044*H6044*Inputs!$C$69,"")</f>
      </c>
    </row>
    <row r="6045" spans="2:10" ht="15" customHeight="1" x14ac:dyDescent="0.2">
      <c r="B6045" s="39">
        <f t="shared" si="46"/>
      </c>
      <c r="C6045" s="40">
        <f>IF(Inputs!$C$60,Inputs!$C$11+(B6045-Inputs!$C$69)/Inputs!$C$70,"")</f>
      </c>
      <c r="D6045" s="15"/>
      <c r="E6045" s="15"/>
      <c r="F6045" s="11">
        <f t="shared" si="47"/>
      </c>
      <c r="G6045" s="22" cm="1">
        <f t="array" ref="G6045">IF(AND(Inputs!$C$60,Inputs!$C$61),INDEX(Utility_Rates!$C$29:$F$52,HOUR(C6045)+Inputs!$C$69,MATCH(INDEX(Utility_Rates!$K$6:$K$17,MONTH(C6045))&amp;IF(WEEKDAY(C6045,Inputs!$C$76)&lt;=Inputs!$C$74," weekday"," weekend"),Utility_Rates!$C$28:$F$28,Inputs!$C$68)),"")</f>
      </c>
      <c r="H6045" s="34"/>
      <c r="I6045" s="42">
        <f>IF(AND(ISNUMBER(D6045),ISNUMBER(H6045)),D6045*H6045*Inputs!$C$69,"")</f>
      </c>
      <c r="J6045" s="42">
        <f>IF(AND(ISNUMBER(F6045),ISNUMBER(H6045),F6045&gt;=Inputs!$C$68),F6045*H6045*Inputs!$C$69,"")</f>
      </c>
    </row>
    <row r="6046" spans="2:10" ht="15" customHeight="1" x14ac:dyDescent="0.2">
      <c r="B6046" s="39">
        <f t="shared" si="46"/>
      </c>
      <c r="C6046" s="40">
        <f>IF(Inputs!$C$60,Inputs!$C$11+(B6046-Inputs!$C$69)/Inputs!$C$70,"")</f>
      </c>
      <c r="D6046" s="15"/>
      <c r="E6046" s="15"/>
      <c r="F6046" s="11">
        <f t="shared" si="47"/>
      </c>
      <c r="G6046" s="22" cm="1">
        <f t="array" ref="G6046">IF(AND(Inputs!$C$60,Inputs!$C$61),INDEX(Utility_Rates!$C$29:$F$52,HOUR(C6046)+Inputs!$C$69,MATCH(INDEX(Utility_Rates!$K$6:$K$17,MONTH(C6046))&amp;IF(WEEKDAY(C6046,Inputs!$C$76)&lt;=Inputs!$C$74," weekday"," weekend"),Utility_Rates!$C$28:$F$28,Inputs!$C$68)),"")</f>
      </c>
      <c r="H6046" s="34"/>
      <c r="I6046" s="42">
        <f>IF(AND(ISNUMBER(D6046),ISNUMBER(H6046)),D6046*H6046*Inputs!$C$69,"")</f>
      </c>
      <c r="J6046" s="42">
        <f>IF(AND(ISNUMBER(F6046),ISNUMBER(H6046),F6046&gt;=Inputs!$C$68),F6046*H6046*Inputs!$C$69,"")</f>
      </c>
    </row>
    <row r="6047" spans="2:10" ht="15" customHeight="1" x14ac:dyDescent="0.2">
      <c r="B6047" s="39">
        <f t="shared" si="46"/>
      </c>
      <c r="C6047" s="40">
        <f>IF(Inputs!$C$60,Inputs!$C$11+(B6047-Inputs!$C$69)/Inputs!$C$70,"")</f>
      </c>
      <c r="D6047" s="15"/>
      <c r="E6047" s="15"/>
      <c r="F6047" s="11">
        <f t="shared" si="47"/>
      </c>
      <c r="G6047" s="22" cm="1">
        <f t="array" ref="G6047">IF(AND(Inputs!$C$60,Inputs!$C$61),INDEX(Utility_Rates!$C$29:$F$52,HOUR(C6047)+Inputs!$C$69,MATCH(INDEX(Utility_Rates!$K$6:$K$17,MONTH(C6047))&amp;IF(WEEKDAY(C6047,Inputs!$C$76)&lt;=Inputs!$C$74," weekday"," weekend"),Utility_Rates!$C$28:$F$28,Inputs!$C$68)),"")</f>
      </c>
      <c r="H6047" s="34"/>
      <c r="I6047" s="42">
        <f>IF(AND(ISNUMBER(D6047),ISNUMBER(H6047)),D6047*H6047*Inputs!$C$69,"")</f>
      </c>
      <c r="J6047" s="42">
        <f>IF(AND(ISNUMBER(F6047),ISNUMBER(H6047),F6047&gt;=Inputs!$C$68),F6047*H6047*Inputs!$C$69,"")</f>
      </c>
    </row>
    <row r="6048" spans="2:10" ht="15" customHeight="1" x14ac:dyDescent="0.2">
      <c r="B6048" s="39">
        <f t="shared" si="46"/>
      </c>
      <c r="C6048" s="40">
        <f>IF(Inputs!$C$60,Inputs!$C$11+(B6048-Inputs!$C$69)/Inputs!$C$70,"")</f>
      </c>
      <c r="D6048" s="15"/>
      <c r="E6048" s="15"/>
      <c r="F6048" s="11">
        <f t="shared" si="47"/>
      </c>
      <c r="G6048" s="22" cm="1">
        <f t="array" ref="G6048">IF(AND(Inputs!$C$60,Inputs!$C$61),INDEX(Utility_Rates!$C$29:$F$52,HOUR(C6048)+Inputs!$C$69,MATCH(INDEX(Utility_Rates!$K$6:$K$17,MONTH(C6048))&amp;IF(WEEKDAY(C6048,Inputs!$C$76)&lt;=Inputs!$C$74," weekday"," weekend"),Utility_Rates!$C$28:$F$28,Inputs!$C$68)),"")</f>
      </c>
      <c r="H6048" s="34"/>
      <c r="I6048" s="42">
        <f>IF(AND(ISNUMBER(D6048),ISNUMBER(H6048)),D6048*H6048*Inputs!$C$69,"")</f>
      </c>
      <c r="J6048" s="42">
        <f>IF(AND(ISNUMBER(F6048),ISNUMBER(H6048),F6048&gt;=Inputs!$C$68),F6048*H6048*Inputs!$C$69,"")</f>
      </c>
    </row>
    <row r="6049" spans="2:10" ht="15" customHeight="1" x14ac:dyDescent="0.2">
      <c r="B6049" s="39">
        <f t="shared" si="46"/>
      </c>
      <c r="C6049" s="40">
        <f>IF(Inputs!$C$60,Inputs!$C$11+(B6049-Inputs!$C$69)/Inputs!$C$70,"")</f>
      </c>
      <c r="D6049" s="15"/>
      <c r="E6049" s="15"/>
      <c r="F6049" s="11">
        <f t="shared" si="47"/>
      </c>
      <c r="G6049" s="22" cm="1">
        <f t="array" ref="G6049">IF(AND(Inputs!$C$60,Inputs!$C$61),INDEX(Utility_Rates!$C$29:$F$52,HOUR(C6049)+Inputs!$C$69,MATCH(INDEX(Utility_Rates!$K$6:$K$17,MONTH(C6049))&amp;IF(WEEKDAY(C6049,Inputs!$C$76)&lt;=Inputs!$C$74," weekday"," weekend"),Utility_Rates!$C$28:$F$28,Inputs!$C$68)),"")</f>
      </c>
      <c r="H6049" s="34"/>
      <c r="I6049" s="42">
        <f>IF(AND(ISNUMBER(D6049),ISNUMBER(H6049)),D6049*H6049*Inputs!$C$69,"")</f>
      </c>
      <c r="J6049" s="42">
        <f>IF(AND(ISNUMBER(F6049),ISNUMBER(H6049),F6049&gt;=Inputs!$C$68),F6049*H6049*Inputs!$C$69,"")</f>
      </c>
    </row>
    <row r="6050" spans="2:10" ht="15" customHeight="1" x14ac:dyDescent="0.2">
      <c r="B6050" s="39">
        <f t="shared" si="46"/>
      </c>
      <c r="C6050" s="40">
        <f>IF(Inputs!$C$60,Inputs!$C$11+(B6050-Inputs!$C$69)/Inputs!$C$70,"")</f>
      </c>
      <c r="D6050" s="15"/>
      <c r="E6050" s="15"/>
      <c r="F6050" s="11">
        <f t="shared" si="47"/>
      </c>
      <c r="G6050" s="22" cm="1">
        <f t="array" ref="G6050">IF(AND(Inputs!$C$60,Inputs!$C$61),INDEX(Utility_Rates!$C$29:$F$52,HOUR(C6050)+Inputs!$C$69,MATCH(INDEX(Utility_Rates!$K$6:$K$17,MONTH(C6050))&amp;IF(WEEKDAY(C6050,Inputs!$C$76)&lt;=Inputs!$C$74," weekday"," weekend"),Utility_Rates!$C$28:$F$28,Inputs!$C$68)),"")</f>
      </c>
      <c r="H6050" s="34"/>
      <c r="I6050" s="42">
        <f>IF(AND(ISNUMBER(D6050),ISNUMBER(H6050)),D6050*H6050*Inputs!$C$69,"")</f>
      </c>
      <c r="J6050" s="42">
        <f>IF(AND(ISNUMBER(F6050),ISNUMBER(H6050),F6050&gt;=Inputs!$C$68),F6050*H6050*Inputs!$C$69,"")</f>
      </c>
    </row>
    <row r="6051" spans="2:10" ht="15" customHeight="1" x14ac:dyDescent="0.2">
      <c r="B6051" s="39">
        <f t="shared" si="46"/>
      </c>
      <c r="C6051" s="40">
        <f>IF(Inputs!$C$60,Inputs!$C$11+(B6051-Inputs!$C$69)/Inputs!$C$70,"")</f>
      </c>
      <c r="D6051" s="15"/>
      <c r="E6051" s="15"/>
      <c r="F6051" s="11">
        <f t="shared" si="47"/>
      </c>
      <c r="G6051" s="22" cm="1">
        <f t="array" ref="G6051">IF(AND(Inputs!$C$60,Inputs!$C$61),INDEX(Utility_Rates!$C$29:$F$52,HOUR(C6051)+Inputs!$C$69,MATCH(INDEX(Utility_Rates!$K$6:$K$17,MONTH(C6051))&amp;IF(WEEKDAY(C6051,Inputs!$C$76)&lt;=Inputs!$C$74," weekday"," weekend"),Utility_Rates!$C$28:$F$28,Inputs!$C$68)),"")</f>
      </c>
      <c r="H6051" s="34"/>
      <c r="I6051" s="42">
        <f>IF(AND(ISNUMBER(D6051),ISNUMBER(H6051)),D6051*H6051*Inputs!$C$69,"")</f>
      </c>
      <c r="J6051" s="42">
        <f>IF(AND(ISNUMBER(F6051),ISNUMBER(H6051),F6051&gt;=Inputs!$C$68),F6051*H6051*Inputs!$C$69,"")</f>
      </c>
    </row>
    <row r="6052" spans="2:10" ht="15" customHeight="1" x14ac:dyDescent="0.2">
      <c r="B6052" s="39">
        <f t="shared" si="46"/>
      </c>
      <c r="C6052" s="40">
        <f>IF(Inputs!$C$60,Inputs!$C$11+(B6052-Inputs!$C$69)/Inputs!$C$70,"")</f>
      </c>
      <c r="D6052" s="15"/>
      <c r="E6052" s="15"/>
      <c r="F6052" s="11">
        <f t="shared" si="47"/>
      </c>
      <c r="G6052" s="22" cm="1">
        <f t="array" ref="G6052">IF(AND(Inputs!$C$60,Inputs!$C$61),INDEX(Utility_Rates!$C$29:$F$52,HOUR(C6052)+Inputs!$C$69,MATCH(INDEX(Utility_Rates!$K$6:$K$17,MONTH(C6052))&amp;IF(WEEKDAY(C6052,Inputs!$C$76)&lt;=Inputs!$C$74," weekday"," weekend"),Utility_Rates!$C$28:$F$28,Inputs!$C$68)),"")</f>
      </c>
      <c r="H6052" s="34"/>
      <c r="I6052" s="42">
        <f>IF(AND(ISNUMBER(D6052),ISNUMBER(H6052)),D6052*H6052*Inputs!$C$69,"")</f>
      </c>
      <c r="J6052" s="42">
        <f>IF(AND(ISNUMBER(F6052),ISNUMBER(H6052),F6052&gt;=Inputs!$C$68),F6052*H6052*Inputs!$C$69,"")</f>
      </c>
    </row>
    <row r="6053" spans="2:10" ht="15" customHeight="1" x14ac:dyDescent="0.2">
      <c r="B6053" s="39">
        <f t="shared" si="46"/>
      </c>
      <c r="C6053" s="40">
        <f>IF(Inputs!$C$60,Inputs!$C$11+(B6053-Inputs!$C$69)/Inputs!$C$70,"")</f>
      </c>
      <c r="D6053" s="15"/>
      <c r="E6053" s="15"/>
      <c r="F6053" s="11">
        <f t="shared" si="47"/>
      </c>
      <c r="G6053" s="22" cm="1">
        <f t="array" ref="G6053">IF(AND(Inputs!$C$60,Inputs!$C$61),INDEX(Utility_Rates!$C$29:$F$52,HOUR(C6053)+Inputs!$C$69,MATCH(INDEX(Utility_Rates!$K$6:$K$17,MONTH(C6053))&amp;IF(WEEKDAY(C6053,Inputs!$C$76)&lt;=Inputs!$C$74," weekday"," weekend"),Utility_Rates!$C$28:$F$28,Inputs!$C$68)),"")</f>
      </c>
      <c r="H6053" s="34"/>
      <c r="I6053" s="42">
        <f>IF(AND(ISNUMBER(D6053),ISNUMBER(H6053)),D6053*H6053*Inputs!$C$69,"")</f>
      </c>
      <c r="J6053" s="42">
        <f>IF(AND(ISNUMBER(F6053),ISNUMBER(H6053),F6053&gt;=Inputs!$C$68),F6053*H6053*Inputs!$C$69,"")</f>
      </c>
    </row>
    <row r="6054" spans="2:10" ht="15" customHeight="1" x14ac:dyDescent="0.2">
      <c r="B6054" s="39">
        <f t="shared" si="46"/>
      </c>
      <c r="C6054" s="40">
        <f>IF(Inputs!$C$60,Inputs!$C$11+(B6054-Inputs!$C$69)/Inputs!$C$70,"")</f>
      </c>
      <c r="D6054" s="15"/>
      <c r="E6054" s="15"/>
      <c r="F6054" s="11">
        <f t="shared" si="47"/>
      </c>
      <c r="G6054" s="22" cm="1">
        <f t="array" ref="G6054">IF(AND(Inputs!$C$60,Inputs!$C$61),INDEX(Utility_Rates!$C$29:$F$52,HOUR(C6054)+Inputs!$C$69,MATCH(INDEX(Utility_Rates!$K$6:$K$17,MONTH(C6054))&amp;IF(WEEKDAY(C6054,Inputs!$C$76)&lt;=Inputs!$C$74," weekday"," weekend"),Utility_Rates!$C$28:$F$28,Inputs!$C$68)),"")</f>
      </c>
      <c r="H6054" s="34"/>
      <c r="I6054" s="42">
        <f>IF(AND(ISNUMBER(D6054),ISNUMBER(H6054)),D6054*H6054*Inputs!$C$69,"")</f>
      </c>
      <c r="J6054" s="42">
        <f>IF(AND(ISNUMBER(F6054),ISNUMBER(H6054),F6054&gt;=Inputs!$C$68),F6054*H6054*Inputs!$C$69,"")</f>
      </c>
    </row>
    <row r="6055" spans="2:10" ht="15" customHeight="1" x14ac:dyDescent="0.2">
      <c r="B6055" s="39">
        <f t="shared" si="46"/>
      </c>
      <c r="C6055" s="40">
        <f>IF(Inputs!$C$60,Inputs!$C$11+(B6055-Inputs!$C$69)/Inputs!$C$70,"")</f>
      </c>
      <c r="D6055" s="15"/>
      <c r="E6055" s="15"/>
      <c r="F6055" s="11">
        <f t="shared" si="47"/>
      </c>
      <c r="G6055" s="22" cm="1">
        <f t="array" ref="G6055">IF(AND(Inputs!$C$60,Inputs!$C$61),INDEX(Utility_Rates!$C$29:$F$52,HOUR(C6055)+Inputs!$C$69,MATCH(INDEX(Utility_Rates!$K$6:$K$17,MONTH(C6055))&amp;IF(WEEKDAY(C6055,Inputs!$C$76)&lt;=Inputs!$C$74," weekday"," weekend"),Utility_Rates!$C$28:$F$28,Inputs!$C$68)),"")</f>
      </c>
      <c r="H6055" s="34"/>
      <c r="I6055" s="42">
        <f>IF(AND(ISNUMBER(D6055),ISNUMBER(H6055)),D6055*H6055*Inputs!$C$69,"")</f>
      </c>
      <c r="J6055" s="42">
        <f>IF(AND(ISNUMBER(F6055),ISNUMBER(H6055),F6055&gt;=Inputs!$C$68),F6055*H6055*Inputs!$C$69,"")</f>
      </c>
    </row>
    <row r="6056" spans="2:10" ht="15" customHeight="1" x14ac:dyDescent="0.2">
      <c r="B6056" s="39">
        <f t="shared" si="46"/>
      </c>
      <c r="C6056" s="40">
        <f>IF(Inputs!$C$60,Inputs!$C$11+(B6056-Inputs!$C$69)/Inputs!$C$70,"")</f>
      </c>
      <c r="D6056" s="15"/>
      <c r="E6056" s="15"/>
      <c r="F6056" s="11">
        <f t="shared" si="47"/>
      </c>
      <c r="G6056" s="22" cm="1">
        <f t="array" ref="G6056">IF(AND(Inputs!$C$60,Inputs!$C$61),INDEX(Utility_Rates!$C$29:$F$52,HOUR(C6056)+Inputs!$C$69,MATCH(INDEX(Utility_Rates!$K$6:$K$17,MONTH(C6056))&amp;IF(WEEKDAY(C6056,Inputs!$C$76)&lt;=Inputs!$C$74," weekday"," weekend"),Utility_Rates!$C$28:$F$28,Inputs!$C$68)),"")</f>
      </c>
      <c r="H6056" s="34"/>
      <c r="I6056" s="42">
        <f>IF(AND(ISNUMBER(D6056),ISNUMBER(H6056)),D6056*H6056*Inputs!$C$69,"")</f>
      </c>
      <c r="J6056" s="42">
        <f>IF(AND(ISNUMBER(F6056),ISNUMBER(H6056),F6056&gt;=Inputs!$C$68),F6056*H6056*Inputs!$C$69,"")</f>
      </c>
    </row>
    <row r="6057" spans="2:10" ht="15" customHeight="1" x14ac:dyDescent="0.2">
      <c r="B6057" s="39">
        <f t="shared" si="46"/>
      </c>
      <c r="C6057" s="40">
        <f>IF(Inputs!$C$60,Inputs!$C$11+(B6057-Inputs!$C$69)/Inputs!$C$70,"")</f>
      </c>
      <c r="D6057" s="15"/>
      <c r="E6057" s="15"/>
      <c r="F6057" s="11">
        <f t="shared" si="47"/>
      </c>
      <c r="G6057" s="22" cm="1">
        <f t="array" ref="G6057">IF(AND(Inputs!$C$60,Inputs!$C$61),INDEX(Utility_Rates!$C$29:$F$52,HOUR(C6057)+Inputs!$C$69,MATCH(INDEX(Utility_Rates!$K$6:$K$17,MONTH(C6057))&amp;IF(WEEKDAY(C6057,Inputs!$C$76)&lt;=Inputs!$C$74," weekday"," weekend"),Utility_Rates!$C$28:$F$28,Inputs!$C$68)),"")</f>
      </c>
      <c r="H6057" s="34"/>
      <c r="I6057" s="42">
        <f>IF(AND(ISNUMBER(D6057),ISNUMBER(H6057)),D6057*H6057*Inputs!$C$69,"")</f>
      </c>
      <c r="J6057" s="42">
        <f>IF(AND(ISNUMBER(F6057),ISNUMBER(H6057),F6057&gt;=Inputs!$C$68),F6057*H6057*Inputs!$C$69,"")</f>
      </c>
    </row>
    <row r="6058" spans="2:10" ht="15" customHeight="1" x14ac:dyDescent="0.2">
      <c r="B6058" s="39">
        <f t="shared" si="46"/>
      </c>
      <c r="C6058" s="40">
        <f>IF(Inputs!$C$60,Inputs!$C$11+(B6058-Inputs!$C$69)/Inputs!$C$70,"")</f>
      </c>
      <c r="D6058" s="15"/>
      <c r="E6058" s="15"/>
      <c r="F6058" s="11">
        <f t="shared" si="47"/>
      </c>
      <c r="G6058" s="22" cm="1">
        <f t="array" ref="G6058">IF(AND(Inputs!$C$60,Inputs!$C$61),INDEX(Utility_Rates!$C$29:$F$52,HOUR(C6058)+Inputs!$C$69,MATCH(INDEX(Utility_Rates!$K$6:$K$17,MONTH(C6058))&amp;IF(WEEKDAY(C6058,Inputs!$C$76)&lt;=Inputs!$C$74," weekday"," weekend"),Utility_Rates!$C$28:$F$28,Inputs!$C$68)),"")</f>
      </c>
      <c r="H6058" s="34"/>
      <c r="I6058" s="42">
        <f>IF(AND(ISNUMBER(D6058),ISNUMBER(H6058)),D6058*H6058*Inputs!$C$69,"")</f>
      </c>
      <c r="J6058" s="42">
        <f>IF(AND(ISNUMBER(F6058),ISNUMBER(H6058),F6058&gt;=Inputs!$C$68),F6058*H6058*Inputs!$C$69,"")</f>
      </c>
    </row>
    <row r="6059" spans="2:10" ht="15" customHeight="1" x14ac:dyDescent="0.2">
      <c r="B6059" s="39">
        <f t="shared" si="46"/>
      </c>
      <c r="C6059" s="40">
        <f>IF(Inputs!$C$60,Inputs!$C$11+(B6059-Inputs!$C$69)/Inputs!$C$70,"")</f>
      </c>
      <c r="D6059" s="15"/>
      <c r="E6059" s="15"/>
      <c r="F6059" s="11">
        <f t="shared" si="47"/>
      </c>
      <c r="G6059" s="22" cm="1">
        <f t="array" ref="G6059">IF(AND(Inputs!$C$60,Inputs!$C$61),INDEX(Utility_Rates!$C$29:$F$52,HOUR(C6059)+Inputs!$C$69,MATCH(INDEX(Utility_Rates!$K$6:$K$17,MONTH(C6059))&amp;IF(WEEKDAY(C6059,Inputs!$C$76)&lt;=Inputs!$C$74," weekday"," weekend"),Utility_Rates!$C$28:$F$28,Inputs!$C$68)),"")</f>
      </c>
      <c r="H6059" s="34"/>
      <c r="I6059" s="42">
        <f>IF(AND(ISNUMBER(D6059),ISNUMBER(H6059)),D6059*H6059*Inputs!$C$69,"")</f>
      </c>
      <c r="J6059" s="42">
        <f>IF(AND(ISNUMBER(F6059),ISNUMBER(H6059),F6059&gt;=Inputs!$C$68),F6059*H6059*Inputs!$C$69,"")</f>
      </c>
    </row>
    <row r="6060" spans="2:10" ht="15" customHeight="1" x14ac:dyDescent="0.2">
      <c r="B6060" s="39">
        <f t="shared" si="46"/>
      </c>
      <c r="C6060" s="40">
        <f>IF(Inputs!$C$60,Inputs!$C$11+(B6060-Inputs!$C$69)/Inputs!$C$70,"")</f>
      </c>
      <c r="D6060" s="15"/>
      <c r="E6060" s="15"/>
      <c r="F6060" s="11">
        <f t="shared" si="47"/>
      </c>
      <c r="G6060" s="22" cm="1">
        <f t="array" ref="G6060">IF(AND(Inputs!$C$60,Inputs!$C$61),INDEX(Utility_Rates!$C$29:$F$52,HOUR(C6060)+Inputs!$C$69,MATCH(INDEX(Utility_Rates!$K$6:$K$17,MONTH(C6060))&amp;IF(WEEKDAY(C6060,Inputs!$C$76)&lt;=Inputs!$C$74," weekday"," weekend"),Utility_Rates!$C$28:$F$28,Inputs!$C$68)),"")</f>
      </c>
      <c r="H6060" s="34"/>
      <c r="I6060" s="42">
        <f>IF(AND(ISNUMBER(D6060),ISNUMBER(H6060)),D6060*H6060*Inputs!$C$69,"")</f>
      </c>
      <c r="J6060" s="42">
        <f>IF(AND(ISNUMBER(F6060),ISNUMBER(H6060),F6060&gt;=Inputs!$C$68),F6060*H6060*Inputs!$C$69,"")</f>
      </c>
    </row>
    <row r="6061" spans="2:10" ht="15" customHeight="1" x14ac:dyDescent="0.2">
      <c r="B6061" s="39">
        <f t="shared" si="46"/>
      </c>
      <c r="C6061" s="40">
        <f>IF(Inputs!$C$60,Inputs!$C$11+(B6061-Inputs!$C$69)/Inputs!$C$70,"")</f>
      </c>
      <c r="D6061" s="15"/>
      <c r="E6061" s="15"/>
      <c r="F6061" s="11">
        <f t="shared" si="47"/>
      </c>
      <c r="G6061" s="22" cm="1">
        <f t="array" ref="G6061">IF(AND(Inputs!$C$60,Inputs!$C$61),INDEX(Utility_Rates!$C$29:$F$52,HOUR(C6061)+Inputs!$C$69,MATCH(INDEX(Utility_Rates!$K$6:$K$17,MONTH(C6061))&amp;IF(WEEKDAY(C6061,Inputs!$C$76)&lt;=Inputs!$C$74," weekday"," weekend"),Utility_Rates!$C$28:$F$28,Inputs!$C$68)),"")</f>
      </c>
      <c r="H6061" s="34"/>
      <c r="I6061" s="42">
        <f>IF(AND(ISNUMBER(D6061),ISNUMBER(H6061)),D6061*H6061*Inputs!$C$69,"")</f>
      </c>
      <c r="J6061" s="42">
        <f>IF(AND(ISNUMBER(F6061),ISNUMBER(H6061),F6061&gt;=Inputs!$C$68),F6061*H6061*Inputs!$C$69,"")</f>
      </c>
    </row>
    <row r="6062" spans="2:10" ht="15" customHeight="1" x14ac:dyDescent="0.2">
      <c r="B6062" s="39">
        <f t="shared" si="46"/>
      </c>
      <c r="C6062" s="40">
        <f>IF(Inputs!$C$60,Inputs!$C$11+(B6062-Inputs!$C$69)/Inputs!$C$70,"")</f>
      </c>
      <c r="D6062" s="15"/>
      <c r="E6062" s="15"/>
      <c r="F6062" s="11">
        <f t="shared" si="47"/>
      </c>
      <c r="G6062" s="22" cm="1">
        <f t="array" ref="G6062">IF(AND(Inputs!$C$60,Inputs!$C$61),INDEX(Utility_Rates!$C$29:$F$52,HOUR(C6062)+Inputs!$C$69,MATCH(INDEX(Utility_Rates!$K$6:$K$17,MONTH(C6062))&amp;IF(WEEKDAY(C6062,Inputs!$C$76)&lt;=Inputs!$C$74," weekday"," weekend"),Utility_Rates!$C$28:$F$28,Inputs!$C$68)),"")</f>
      </c>
      <c r="H6062" s="34"/>
      <c r="I6062" s="42">
        <f>IF(AND(ISNUMBER(D6062),ISNUMBER(H6062)),D6062*H6062*Inputs!$C$69,"")</f>
      </c>
      <c r="J6062" s="42">
        <f>IF(AND(ISNUMBER(F6062),ISNUMBER(H6062),F6062&gt;=Inputs!$C$68),F6062*H6062*Inputs!$C$69,"")</f>
      </c>
    </row>
    <row r="6063" spans="2:10" ht="15" customHeight="1" x14ac:dyDescent="0.2">
      <c r="B6063" s="39">
        <f t="shared" si="46"/>
      </c>
      <c r="C6063" s="40">
        <f>IF(Inputs!$C$60,Inputs!$C$11+(B6063-Inputs!$C$69)/Inputs!$C$70,"")</f>
      </c>
      <c r="D6063" s="15"/>
      <c r="E6063" s="15"/>
      <c r="F6063" s="11">
        <f t="shared" si="47"/>
      </c>
      <c r="G6063" s="22" cm="1">
        <f t="array" ref="G6063">IF(AND(Inputs!$C$60,Inputs!$C$61),INDEX(Utility_Rates!$C$29:$F$52,HOUR(C6063)+Inputs!$C$69,MATCH(INDEX(Utility_Rates!$K$6:$K$17,MONTH(C6063))&amp;IF(WEEKDAY(C6063,Inputs!$C$76)&lt;=Inputs!$C$74," weekday"," weekend"),Utility_Rates!$C$28:$F$28,Inputs!$C$68)),"")</f>
      </c>
      <c r="H6063" s="34"/>
      <c r="I6063" s="42">
        <f>IF(AND(ISNUMBER(D6063),ISNUMBER(H6063)),D6063*H6063*Inputs!$C$69,"")</f>
      </c>
      <c r="J6063" s="42">
        <f>IF(AND(ISNUMBER(F6063),ISNUMBER(H6063),F6063&gt;=Inputs!$C$68),F6063*H6063*Inputs!$C$69,"")</f>
      </c>
    </row>
    <row r="6064" spans="2:10" ht="15" customHeight="1" x14ac:dyDescent="0.2">
      <c r="B6064" s="39">
        <f t="shared" si="46"/>
      </c>
      <c r="C6064" s="40">
        <f>IF(Inputs!$C$60,Inputs!$C$11+(B6064-Inputs!$C$69)/Inputs!$C$70,"")</f>
      </c>
      <c r="D6064" s="15"/>
      <c r="E6064" s="15"/>
      <c r="F6064" s="11">
        <f t="shared" si="47"/>
      </c>
      <c r="G6064" s="22" cm="1">
        <f t="array" ref="G6064">IF(AND(Inputs!$C$60,Inputs!$C$61),INDEX(Utility_Rates!$C$29:$F$52,HOUR(C6064)+Inputs!$C$69,MATCH(INDEX(Utility_Rates!$K$6:$K$17,MONTH(C6064))&amp;IF(WEEKDAY(C6064,Inputs!$C$76)&lt;=Inputs!$C$74," weekday"," weekend"),Utility_Rates!$C$28:$F$28,Inputs!$C$68)),"")</f>
      </c>
      <c r="H6064" s="34"/>
      <c r="I6064" s="42">
        <f>IF(AND(ISNUMBER(D6064),ISNUMBER(H6064)),D6064*H6064*Inputs!$C$69,"")</f>
      </c>
      <c r="J6064" s="42">
        <f>IF(AND(ISNUMBER(F6064),ISNUMBER(H6064),F6064&gt;=Inputs!$C$68),F6064*H6064*Inputs!$C$69,"")</f>
      </c>
    </row>
    <row r="6065" spans="2:10" ht="15" customHeight="1" x14ac:dyDescent="0.2">
      <c r="B6065" s="39">
        <f t="shared" si="46"/>
      </c>
      <c r="C6065" s="40">
        <f>IF(Inputs!$C$60,Inputs!$C$11+(B6065-Inputs!$C$69)/Inputs!$C$70,"")</f>
      </c>
      <c r="D6065" s="15"/>
      <c r="E6065" s="15"/>
      <c r="F6065" s="11">
        <f t="shared" si="47"/>
      </c>
      <c r="G6065" s="22" cm="1">
        <f t="array" ref="G6065">IF(AND(Inputs!$C$60,Inputs!$C$61),INDEX(Utility_Rates!$C$29:$F$52,HOUR(C6065)+Inputs!$C$69,MATCH(INDEX(Utility_Rates!$K$6:$K$17,MONTH(C6065))&amp;IF(WEEKDAY(C6065,Inputs!$C$76)&lt;=Inputs!$C$74," weekday"," weekend"),Utility_Rates!$C$28:$F$28,Inputs!$C$68)),"")</f>
      </c>
      <c r="H6065" s="34"/>
      <c r="I6065" s="42">
        <f>IF(AND(ISNUMBER(D6065),ISNUMBER(H6065)),D6065*H6065*Inputs!$C$69,"")</f>
      </c>
      <c r="J6065" s="42">
        <f>IF(AND(ISNUMBER(F6065),ISNUMBER(H6065),F6065&gt;=Inputs!$C$68),F6065*H6065*Inputs!$C$69,"")</f>
      </c>
    </row>
    <row r="6066" spans="2:10" ht="15" customHeight="1" x14ac:dyDescent="0.2">
      <c r="B6066" s="39">
        <f t="shared" si="46"/>
      </c>
      <c r="C6066" s="40">
        <f>IF(Inputs!$C$60,Inputs!$C$11+(B6066-Inputs!$C$69)/Inputs!$C$70,"")</f>
      </c>
      <c r="D6066" s="15"/>
      <c r="E6066" s="15"/>
      <c r="F6066" s="11">
        <f t="shared" si="47"/>
      </c>
      <c r="G6066" s="22" cm="1">
        <f t="array" ref="G6066">IF(AND(Inputs!$C$60,Inputs!$C$61),INDEX(Utility_Rates!$C$29:$F$52,HOUR(C6066)+Inputs!$C$69,MATCH(INDEX(Utility_Rates!$K$6:$K$17,MONTH(C6066))&amp;IF(WEEKDAY(C6066,Inputs!$C$76)&lt;=Inputs!$C$74," weekday"," weekend"),Utility_Rates!$C$28:$F$28,Inputs!$C$68)),"")</f>
      </c>
      <c r="H6066" s="34"/>
      <c r="I6066" s="42">
        <f>IF(AND(ISNUMBER(D6066),ISNUMBER(H6066)),D6066*H6066*Inputs!$C$69,"")</f>
      </c>
      <c r="J6066" s="42">
        <f>IF(AND(ISNUMBER(F6066),ISNUMBER(H6066),F6066&gt;=Inputs!$C$68),F6066*H6066*Inputs!$C$69,"")</f>
      </c>
    </row>
    <row r="6067" spans="2:10" ht="15" customHeight="1" x14ac:dyDescent="0.2">
      <c r="B6067" s="39">
        <f t="shared" si="46"/>
      </c>
      <c r="C6067" s="40">
        <f>IF(Inputs!$C$60,Inputs!$C$11+(B6067-Inputs!$C$69)/Inputs!$C$70,"")</f>
      </c>
      <c r="D6067" s="15"/>
      <c r="E6067" s="15"/>
      <c r="F6067" s="11">
        <f t="shared" si="47"/>
      </c>
      <c r="G6067" s="22" cm="1">
        <f t="array" ref="G6067">IF(AND(Inputs!$C$60,Inputs!$C$61),INDEX(Utility_Rates!$C$29:$F$52,HOUR(C6067)+Inputs!$C$69,MATCH(INDEX(Utility_Rates!$K$6:$K$17,MONTH(C6067))&amp;IF(WEEKDAY(C6067,Inputs!$C$76)&lt;=Inputs!$C$74," weekday"," weekend"),Utility_Rates!$C$28:$F$28,Inputs!$C$68)),"")</f>
      </c>
      <c r="H6067" s="34"/>
      <c r="I6067" s="42">
        <f>IF(AND(ISNUMBER(D6067),ISNUMBER(H6067)),D6067*H6067*Inputs!$C$69,"")</f>
      </c>
      <c r="J6067" s="42">
        <f>IF(AND(ISNUMBER(F6067),ISNUMBER(H6067),F6067&gt;=Inputs!$C$68),F6067*H6067*Inputs!$C$69,"")</f>
      </c>
    </row>
    <row r="6068" spans="2:10" ht="15" customHeight="1" x14ac:dyDescent="0.2">
      <c r="B6068" s="39">
        <f t="shared" si="46"/>
      </c>
      <c r="C6068" s="40">
        <f>IF(Inputs!$C$60,Inputs!$C$11+(B6068-Inputs!$C$69)/Inputs!$C$70,"")</f>
      </c>
      <c r="D6068" s="15"/>
      <c r="E6068" s="15"/>
      <c r="F6068" s="11">
        <f t="shared" si="47"/>
      </c>
      <c r="G6068" s="22" cm="1">
        <f t="array" ref="G6068">IF(AND(Inputs!$C$60,Inputs!$C$61),INDEX(Utility_Rates!$C$29:$F$52,HOUR(C6068)+Inputs!$C$69,MATCH(INDEX(Utility_Rates!$K$6:$K$17,MONTH(C6068))&amp;IF(WEEKDAY(C6068,Inputs!$C$76)&lt;=Inputs!$C$74," weekday"," weekend"),Utility_Rates!$C$28:$F$28,Inputs!$C$68)),"")</f>
      </c>
      <c r="H6068" s="34"/>
      <c r="I6068" s="42">
        <f>IF(AND(ISNUMBER(D6068),ISNUMBER(H6068)),D6068*H6068*Inputs!$C$69,"")</f>
      </c>
      <c r="J6068" s="42">
        <f>IF(AND(ISNUMBER(F6068),ISNUMBER(H6068),F6068&gt;=Inputs!$C$68),F6068*H6068*Inputs!$C$69,"")</f>
      </c>
    </row>
    <row r="6069" spans="2:10" ht="15" customHeight="1" x14ac:dyDescent="0.2">
      <c r="B6069" s="39">
        <f t="shared" si="46"/>
      </c>
      <c r="C6069" s="40">
        <f>IF(Inputs!$C$60,Inputs!$C$11+(B6069-Inputs!$C$69)/Inputs!$C$70,"")</f>
      </c>
      <c r="D6069" s="15"/>
      <c r="E6069" s="15"/>
      <c r="F6069" s="11">
        <f t="shared" si="47"/>
      </c>
      <c r="G6069" s="22" cm="1">
        <f t="array" ref="G6069">IF(AND(Inputs!$C$60,Inputs!$C$61),INDEX(Utility_Rates!$C$29:$F$52,HOUR(C6069)+Inputs!$C$69,MATCH(INDEX(Utility_Rates!$K$6:$K$17,MONTH(C6069))&amp;IF(WEEKDAY(C6069,Inputs!$C$76)&lt;=Inputs!$C$74," weekday"," weekend"),Utility_Rates!$C$28:$F$28,Inputs!$C$68)),"")</f>
      </c>
      <c r="H6069" s="34"/>
      <c r="I6069" s="42">
        <f>IF(AND(ISNUMBER(D6069),ISNUMBER(H6069)),D6069*H6069*Inputs!$C$69,"")</f>
      </c>
      <c r="J6069" s="42">
        <f>IF(AND(ISNUMBER(F6069),ISNUMBER(H6069),F6069&gt;=Inputs!$C$68),F6069*H6069*Inputs!$C$69,"")</f>
      </c>
    </row>
    <row r="6070" spans="2:10" ht="15" customHeight="1" x14ac:dyDescent="0.2">
      <c r="B6070" s="39">
        <f t="shared" si="46"/>
      </c>
      <c r="C6070" s="40">
        <f>IF(Inputs!$C$60,Inputs!$C$11+(B6070-Inputs!$C$69)/Inputs!$C$70,"")</f>
      </c>
      <c r="D6070" s="15"/>
      <c r="E6070" s="15"/>
      <c r="F6070" s="11">
        <f t="shared" si="47"/>
      </c>
      <c r="G6070" s="22" cm="1">
        <f t="array" ref="G6070">IF(AND(Inputs!$C$60,Inputs!$C$61),INDEX(Utility_Rates!$C$29:$F$52,HOUR(C6070)+Inputs!$C$69,MATCH(INDEX(Utility_Rates!$K$6:$K$17,MONTH(C6070))&amp;IF(WEEKDAY(C6070,Inputs!$C$76)&lt;=Inputs!$C$74," weekday"," weekend"),Utility_Rates!$C$28:$F$28,Inputs!$C$68)),"")</f>
      </c>
      <c r="H6070" s="34"/>
      <c r="I6070" s="42">
        <f>IF(AND(ISNUMBER(D6070),ISNUMBER(H6070)),D6070*H6070*Inputs!$C$69,"")</f>
      </c>
      <c r="J6070" s="42">
        <f>IF(AND(ISNUMBER(F6070),ISNUMBER(H6070),F6070&gt;=Inputs!$C$68),F6070*H6070*Inputs!$C$69,"")</f>
      </c>
    </row>
    <row r="6071" spans="2:10" ht="15" customHeight="1" x14ac:dyDescent="0.2">
      <c r="B6071" s="39">
        <f t="shared" si="46"/>
      </c>
      <c r="C6071" s="40">
        <f>IF(Inputs!$C$60,Inputs!$C$11+(B6071-Inputs!$C$69)/Inputs!$C$70,"")</f>
      </c>
      <c r="D6071" s="15"/>
      <c r="E6071" s="15"/>
      <c r="F6071" s="11">
        <f t="shared" si="47"/>
      </c>
      <c r="G6071" s="22" cm="1">
        <f t="array" ref="G6071">IF(AND(Inputs!$C$60,Inputs!$C$61),INDEX(Utility_Rates!$C$29:$F$52,HOUR(C6071)+Inputs!$C$69,MATCH(INDEX(Utility_Rates!$K$6:$K$17,MONTH(C6071))&amp;IF(WEEKDAY(C6071,Inputs!$C$76)&lt;=Inputs!$C$74," weekday"," weekend"),Utility_Rates!$C$28:$F$28,Inputs!$C$68)),"")</f>
      </c>
      <c r="H6071" s="34"/>
      <c r="I6071" s="42">
        <f>IF(AND(ISNUMBER(D6071),ISNUMBER(H6071)),D6071*H6071*Inputs!$C$69,"")</f>
      </c>
      <c r="J6071" s="42">
        <f>IF(AND(ISNUMBER(F6071),ISNUMBER(H6071),F6071&gt;=Inputs!$C$68),F6071*H6071*Inputs!$C$69,"")</f>
      </c>
    </row>
    <row r="6072" spans="2:10" ht="15" customHeight="1" x14ac:dyDescent="0.2">
      <c r="B6072" s="39">
        <f t="shared" si="46"/>
      </c>
      <c r="C6072" s="40">
        <f>IF(Inputs!$C$60,Inputs!$C$11+(B6072-Inputs!$C$69)/Inputs!$C$70,"")</f>
      </c>
      <c r="D6072" s="15"/>
      <c r="E6072" s="15"/>
      <c r="F6072" s="11">
        <f t="shared" si="47"/>
      </c>
      <c r="G6072" s="22" cm="1">
        <f t="array" ref="G6072">IF(AND(Inputs!$C$60,Inputs!$C$61),INDEX(Utility_Rates!$C$29:$F$52,HOUR(C6072)+Inputs!$C$69,MATCH(INDEX(Utility_Rates!$K$6:$K$17,MONTH(C6072))&amp;IF(WEEKDAY(C6072,Inputs!$C$76)&lt;=Inputs!$C$74," weekday"," weekend"),Utility_Rates!$C$28:$F$28,Inputs!$C$68)),"")</f>
      </c>
      <c r="H6072" s="34"/>
      <c r="I6072" s="42">
        <f>IF(AND(ISNUMBER(D6072),ISNUMBER(H6072)),D6072*H6072*Inputs!$C$69,"")</f>
      </c>
      <c r="J6072" s="42">
        <f>IF(AND(ISNUMBER(F6072),ISNUMBER(H6072),F6072&gt;=Inputs!$C$68),F6072*H6072*Inputs!$C$69,"")</f>
      </c>
    </row>
    <row r="6073" spans="2:10" ht="15" customHeight="1" x14ac:dyDescent="0.2">
      <c r="B6073" s="39">
        <f t="shared" si="46"/>
      </c>
      <c r="C6073" s="40">
        <f>IF(Inputs!$C$60,Inputs!$C$11+(B6073-Inputs!$C$69)/Inputs!$C$70,"")</f>
      </c>
      <c r="D6073" s="15"/>
      <c r="E6073" s="15"/>
      <c r="F6073" s="11">
        <f t="shared" si="47"/>
      </c>
      <c r="G6073" s="22" cm="1">
        <f t="array" ref="G6073">IF(AND(Inputs!$C$60,Inputs!$C$61),INDEX(Utility_Rates!$C$29:$F$52,HOUR(C6073)+Inputs!$C$69,MATCH(INDEX(Utility_Rates!$K$6:$K$17,MONTH(C6073))&amp;IF(WEEKDAY(C6073,Inputs!$C$76)&lt;=Inputs!$C$74," weekday"," weekend"),Utility_Rates!$C$28:$F$28,Inputs!$C$68)),"")</f>
      </c>
      <c r="H6073" s="34"/>
      <c r="I6073" s="42">
        <f>IF(AND(ISNUMBER(D6073),ISNUMBER(H6073)),D6073*H6073*Inputs!$C$69,"")</f>
      </c>
      <c r="J6073" s="42">
        <f>IF(AND(ISNUMBER(F6073),ISNUMBER(H6073),F6073&gt;=Inputs!$C$68),F6073*H6073*Inputs!$C$69,"")</f>
      </c>
    </row>
    <row r="6074" spans="2:10" ht="15" customHeight="1" x14ac:dyDescent="0.2">
      <c r="B6074" s="39">
        <f t="shared" si="46"/>
      </c>
      <c r="C6074" s="40">
        <f>IF(Inputs!$C$60,Inputs!$C$11+(B6074-Inputs!$C$69)/Inputs!$C$70,"")</f>
      </c>
      <c r="D6074" s="15"/>
      <c r="E6074" s="15"/>
      <c r="F6074" s="11">
        <f t="shared" si="47"/>
      </c>
      <c r="G6074" s="22" cm="1">
        <f t="array" ref="G6074">IF(AND(Inputs!$C$60,Inputs!$C$61),INDEX(Utility_Rates!$C$29:$F$52,HOUR(C6074)+Inputs!$C$69,MATCH(INDEX(Utility_Rates!$K$6:$K$17,MONTH(C6074))&amp;IF(WEEKDAY(C6074,Inputs!$C$76)&lt;=Inputs!$C$74," weekday"," weekend"),Utility_Rates!$C$28:$F$28,Inputs!$C$68)),"")</f>
      </c>
      <c r="H6074" s="34"/>
      <c r="I6074" s="42">
        <f>IF(AND(ISNUMBER(D6074),ISNUMBER(H6074)),D6074*H6074*Inputs!$C$69,"")</f>
      </c>
      <c r="J6074" s="42">
        <f>IF(AND(ISNUMBER(F6074),ISNUMBER(H6074),F6074&gt;=Inputs!$C$68),F6074*H6074*Inputs!$C$69,"")</f>
      </c>
    </row>
    <row r="6075" spans="2:10" ht="15" customHeight="1" x14ac:dyDescent="0.2">
      <c r="B6075" s="39">
        <f t="shared" si="46"/>
      </c>
      <c r="C6075" s="40">
        <f>IF(Inputs!$C$60,Inputs!$C$11+(B6075-Inputs!$C$69)/Inputs!$C$70,"")</f>
      </c>
      <c r="D6075" s="15"/>
      <c r="E6075" s="15"/>
      <c r="F6075" s="11">
        <f t="shared" si="47"/>
      </c>
      <c r="G6075" s="22" cm="1">
        <f t="array" ref="G6075">IF(AND(Inputs!$C$60,Inputs!$C$61),INDEX(Utility_Rates!$C$29:$F$52,HOUR(C6075)+Inputs!$C$69,MATCH(INDEX(Utility_Rates!$K$6:$K$17,MONTH(C6075))&amp;IF(WEEKDAY(C6075,Inputs!$C$76)&lt;=Inputs!$C$74," weekday"," weekend"),Utility_Rates!$C$28:$F$28,Inputs!$C$68)),"")</f>
      </c>
      <c r="H6075" s="34"/>
      <c r="I6075" s="42">
        <f>IF(AND(ISNUMBER(D6075),ISNUMBER(H6075)),D6075*H6075*Inputs!$C$69,"")</f>
      </c>
      <c r="J6075" s="42">
        <f>IF(AND(ISNUMBER(F6075),ISNUMBER(H6075),F6075&gt;=Inputs!$C$68),F6075*H6075*Inputs!$C$69,"")</f>
      </c>
    </row>
    <row r="6076" spans="2:10" ht="15" customHeight="1" x14ac:dyDescent="0.2">
      <c r="B6076" s="39">
        <f t="shared" si="46"/>
      </c>
      <c r="C6076" s="40">
        <f>IF(Inputs!$C$60,Inputs!$C$11+(B6076-Inputs!$C$69)/Inputs!$C$70,"")</f>
      </c>
      <c r="D6076" s="15"/>
      <c r="E6076" s="15"/>
      <c r="F6076" s="11">
        <f t="shared" si="47"/>
      </c>
      <c r="G6076" s="22" cm="1">
        <f t="array" ref="G6076">IF(AND(Inputs!$C$60,Inputs!$C$61),INDEX(Utility_Rates!$C$29:$F$52,HOUR(C6076)+Inputs!$C$69,MATCH(INDEX(Utility_Rates!$K$6:$K$17,MONTH(C6076))&amp;IF(WEEKDAY(C6076,Inputs!$C$76)&lt;=Inputs!$C$74," weekday"," weekend"),Utility_Rates!$C$28:$F$28,Inputs!$C$68)),"")</f>
      </c>
      <c r="H6076" s="34"/>
      <c r="I6076" s="42">
        <f>IF(AND(ISNUMBER(D6076),ISNUMBER(H6076)),D6076*H6076*Inputs!$C$69,"")</f>
      </c>
      <c r="J6076" s="42">
        <f>IF(AND(ISNUMBER(F6076),ISNUMBER(H6076),F6076&gt;=Inputs!$C$68),F6076*H6076*Inputs!$C$69,"")</f>
      </c>
    </row>
    <row r="6077" spans="2:10" ht="15" customHeight="1" x14ac:dyDescent="0.2">
      <c r="B6077" s="39">
        <f t="shared" si="46"/>
      </c>
      <c r="C6077" s="40">
        <f>IF(Inputs!$C$60,Inputs!$C$11+(B6077-Inputs!$C$69)/Inputs!$C$70,"")</f>
      </c>
      <c r="D6077" s="15"/>
      <c r="E6077" s="15"/>
      <c r="F6077" s="11">
        <f t="shared" si="47"/>
      </c>
      <c r="G6077" s="22" cm="1">
        <f t="array" ref="G6077">IF(AND(Inputs!$C$60,Inputs!$C$61),INDEX(Utility_Rates!$C$29:$F$52,HOUR(C6077)+Inputs!$C$69,MATCH(INDEX(Utility_Rates!$K$6:$K$17,MONTH(C6077))&amp;IF(WEEKDAY(C6077,Inputs!$C$76)&lt;=Inputs!$C$74," weekday"," weekend"),Utility_Rates!$C$28:$F$28,Inputs!$C$68)),"")</f>
      </c>
      <c r="H6077" s="34"/>
      <c r="I6077" s="42">
        <f>IF(AND(ISNUMBER(D6077),ISNUMBER(H6077)),D6077*H6077*Inputs!$C$69,"")</f>
      </c>
      <c r="J6077" s="42">
        <f>IF(AND(ISNUMBER(F6077),ISNUMBER(H6077),F6077&gt;=Inputs!$C$68),F6077*H6077*Inputs!$C$69,"")</f>
      </c>
    </row>
    <row r="6078" spans="2:10" ht="15" customHeight="1" x14ac:dyDescent="0.2">
      <c r="B6078" s="39">
        <f t="shared" si="46"/>
      </c>
      <c r="C6078" s="40">
        <f>IF(Inputs!$C$60,Inputs!$C$11+(B6078-Inputs!$C$69)/Inputs!$C$70,"")</f>
      </c>
      <c r="D6078" s="15"/>
      <c r="E6078" s="15"/>
      <c r="F6078" s="11">
        <f t="shared" si="47"/>
      </c>
      <c r="G6078" s="22" cm="1">
        <f t="array" ref="G6078">IF(AND(Inputs!$C$60,Inputs!$C$61),INDEX(Utility_Rates!$C$29:$F$52,HOUR(C6078)+Inputs!$C$69,MATCH(INDEX(Utility_Rates!$K$6:$K$17,MONTH(C6078))&amp;IF(WEEKDAY(C6078,Inputs!$C$76)&lt;=Inputs!$C$74," weekday"," weekend"),Utility_Rates!$C$28:$F$28,Inputs!$C$68)),"")</f>
      </c>
      <c r="H6078" s="34"/>
      <c r="I6078" s="42">
        <f>IF(AND(ISNUMBER(D6078),ISNUMBER(H6078)),D6078*H6078*Inputs!$C$69,"")</f>
      </c>
      <c r="J6078" s="42">
        <f>IF(AND(ISNUMBER(F6078),ISNUMBER(H6078),F6078&gt;=Inputs!$C$68),F6078*H6078*Inputs!$C$69,"")</f>
      </c>
    </row>
    <row r="6079" spans="2:10" ht="15" customHeight="1" x14ac:dyDescent="0.2">
      <c r="B6079" s="39">
        <f t="shared" si="46"/>
      </c>
      <c r="C6079" s="40">
        <f>IF(Inputs!$C$60,Inputs!$C$11+(B6079-Inputs!$C$69)/Inputs!$C$70,"")</f>
      </c>
      <c r="D6079" s="15"/>
      <c r="E6079" s="15"/>
      <c r="F6079" s="11">
        <f t="shared" si="47"/>
      </c>
      <c r="G6079" s="22" cm="1">
        <f t="array" ref="G6079">IF(AND(Inputs!$C$60,Inputs!$C$61),INDEX(Utility_Rates!$C$29:$F$52,HOUR(C6079)+Inputs!$C$69,MATCH(INDEX(Utility_Rates!$K$6:$K$17,MONTH(C6079))&amp;IF(WEEKDAY(C6079,Inputs!$C$76)&lt;=Inputs!$C$74," weekday"," weekend"),Utility_Rates!$C$28:$F$28,Inputs!$C$68)),"")</f>
      </c>
      <c r="H6079" s="34"/>
      <c r="I6079" s="42">
        <f>IF(AND(ISNUMBER(D6079),ISNUMBER(H6079)),D6079*H6079*Inputs!$C$69,"")</f>
      </c>
      <c r="J6079" s="42">
        <f>IF(AND(ISNUMBER(F6079),ISNUMBER(H6079),F6079&gt;=Inputs!$C$68),F6079*H6079*Inputs!$C$69,"")</f>
      </c>
    </row>
    <row r="6080" spans="2:10" ht="15" customHeight="1" x14ac:dyDescent="0.2">
      <c r="B6080" s="39">
        <f t="shared" si="46"/>
      </c>
      <c r="C6080" s="40">
        <f>IF(Inputs!$C$60,Inputs!$C$11+(B6080-Inputs!$C$69)/Inputs!$C$70,"")</f>
      </c>
      <c r="D6080" s="15"/>
      <c r="E6080" s="15"/>
      <c r="F6080" s="11">
        <f t="shared" si="47"/>
      </c>
      <c r="G6080" s="22" cm="1">
        <f t="array" ref="G6080">IF(AND(Inputs!$C$60,Inputs!$C$61),INDEX(Utility_Rates!$C$29:$F$52,HOUR(C6080)+Inputs!$C$69,MATCH(INDEX(Utility_Rates!$K$6:$K$17,MONTH(C6080))&amp;IF(WEEKDAY(C6080,Inputs!$C$76)&lt;=Inputs!$C$74," weekday"," weekend"),Utility_Rates!$C$28:$F$28,Inputs!$C$68)),"")</f>
      </c>
      <c r="H6080" s="34"/>
      <c r="I6080" s="42">
        <f>IF(AND(ISNUMBER(D6080),ISNUMBER(H6080)),D6080*H6080*Inputs!$C$69,"")</f>
      </c>
      <c r="J6080" s="42">
        <f>IF(AND(ISNUMBER(F6080),ISNUMBER(H6080),F6080&gt;=Inputs!$C$68),F6080*H6080*Inputs!$C$69,"")</f>
      </c>
    </row>
    <row r="6081" spans="2:10" ht="15" customHeight="1" x14ac:dyDescent="0.2">
      <c r="B6081" s="39">
        <f t="shared" si="46"/>
      </c>
      <c r="C6081" s="40">
        <f>IF(Inputs!$C$60,Inputs!$C$11+(B6081-Inputs!$C$69)/Inputs!$C$70,"")</f>
      </c>
      <c r="D6081" s="15"/>
      <c r="E6081" s="15"/>
      <c r="F6081" s="11">
        <f t="shared" si="47"/>
      </c>
      <c r="G6081" s="22" cm="1">
        <f t="array" ref="G6081">IF(AND(Inputs!$C$60,Inputs!$C$61),INDEX(Utility_Rates!$C$29:$F$52,HOUR(C6081)+Inputs!$C$69,MATCH(INDEX(Utility_Rates!$K$6:$K$17,MONTH(C6081))&amp;IF(WEEKDAY(C6081,Inputs!$C$76)&lt;=Inputs!$C$74," weekday"," weekend"),Utility_Rates!$C$28:$F$28,Inputs!$C$68)),"")</f>
      </c>
      <c r="H6081" s="34"/>
      <c r="I6081" s="42">
        <f>IF(AND(ISNUMBER(D6081),ISNUMBER(H6081)),D6081*H6081*Inputs!$C$69,"")</f>
      </c>
      <c r="J6081" s="42">
        <f>IF(AND(ISNUMBER(F6081),ISNUMBER(H6081),F6081&gt;=Inputs!$C$68),F6081*H6081*Inputs!$C$69,"")</f>
      </c>
    </row>
    <row r="6082" spans="2:10" ht="15" customHeight="1" x14ac:dyDescent="0.2">
      <c r="B6082" s="39">
        <f t="shared" si="46"/>
      </c>
      <c r="C6082" s="40">
        <f>IF(Inputs!$C$60,Inputs!$C$11+(B6082-Inputs!$C$69)/Inputs!$C$70,"")</f>
      </c>
      <c r="D6082" s="15"/>
      <c r="E6082" s="15"/>
      <c r="F6082" s="11">
        <f t="shared" si="47"/>
      </c>
      <c r="G6082" s="22" cm="1">
        <f t="array" ref="G6082">IF(AND(Inputs!$C$60,Inputs!$C$61),INDEX(Utility_Rates!$C$29:$F$52,HOUR(C6082)+Inputs!$C$69,MATCH(INDEX(Utility_Rates!$K$6:$K$17,MONTH(C6082))&amp;IF(WEEKDAY(C6082,Inputs!$C$76)&lt;=Inputs!$C$74," weekday"," weekend"),Utility_Rates!$C$28:$F$28,Inputs!$C$68)),"")</f>
      </c>
      <c r="H6082" s="34"/>
      <c r="I6082" s="42">
        <f>IF(AND(ISNUMBER(D6082),ISNUMBER(H6082)),D6082*H6082*Inputs!$C$69,"")</f>
      </c>
      <c r="J6082" s="42">
        <f>IF(AND(ISNUMBER(F6082),ISNUMBER(H6082),F6082&gt;=Inputs!$C$68),F6082*H6082*Inputs!$C$69,"")</f>
      </c>
    </row>
    <row r="6083" spans="2:10" ht="15" customHeight="1" x14ac:dyDescent="0.2">
      <c r="B6083" s="39">
        <f t="shared" si="46"/>
      </c>
      <c r="C6083" s="40">
        <f>IF(Inputs!$C$60,Inputs!$C$11+(B6083-Inputs!$C$69)/Inputs!$C$70,"")</f>
      </c>
      <c r="D6083" s="15"/>
      <c r="E6083" s="15"/>
      <c r="F6083" s="11">
        <f t="shared" si="47"/>
      </c>
      <c r="G6083" s="22" cm="1">
        <f t="array" ref="G6083">IF(AND(Inputs!$C$60,Inputs!$C$61),INDEX(Utility_Rates!$C$29:$F$52,HOUR(C6083)+Inputs!$C$69,MATCH(INDEX(Utility_Rates!$K$6:$K$17,MONTH(C6083))&amp;IF(WEEKDAY(C6083,Inputs!$C$76)&lt;=Inputs!$C$74," weekday"," weekend"),Utility_Rates!$C$28:$F$28,Inputs!$C$68)),"")</f>
      </c>
      <c r="H6083" s="34"/>
      <c r="I6083" s="42">
        <f>IF(AND(ISNUMBER(D6083),ISNUMBER(H6083)),D6083*H6083*Inputs!$C$69,"")</f>
      </c>
      <c r="J6083" s="42">
        <f>IF(AND(ISNUMBER(F6083),ISNUMBER(H6083),F6083&gt;=Inputs!$C$68),F6083*H6083*Inputs!$C$69,"")</f>
      </c>
    </row>
    <row r="6084" spans="2:10" ht="15" customHeight="1" x14ac:dyDescent="0.2">
      <c r="B6084" s="39">
        <f t="shared" si="46"/>
      </c>
      <c r="C6084" s="40">
        <f>IF(Inputs!$C$60,Inputs!$C$11+(B6084-Inputs!$C$69)/Inputs!$C$70,"")</f>
      </c>
      <c r="D6084" s="15"/>
      <c r="E6084" s="15"/>
      <c r="F6084" s="11">
        <f t="shared" si="47"/>
      </c>
      <c r="G6084" s="22" cm="1">
        <f t="array" ref="G6084">IF(AND(Inputs!$C$60,Inputs!$C$61),INDEX(Utility_Rates!$C$29:$F$52,HOUR(C6084)+Inputs!$C$69,MATCH(INDEX(Utility_Rates!$K$6:$K$17,MONTH(C6084))&amp;IF(WEEKDAY(C6084,Inputs!$C$76)&lt;=Inputs!$C$74," weekday"," weekend"),Utility_Rates!$C$28:$F$28,Inputs!$C$68)),"")</f>
      </c>
      <c r="H6084" s="34"/>
      <c r="I6084" s="42">
        <f>IF(AND(ISNUMBER(D6084),ISNUMBER(H6084)),D6084*H6084*Inputs!$C$69,"")</f>
      </c>
      <c r="J6084" s="42">
        <f>IF(AND(ISNUMBER(F6084),ISNUMBER(H6084),F6084&gt;=Inputs!$C$68),F6084*H6084*Inputs!$C$69,"")</f>
      </c>
    </row>
    <row r="6085" spans="2:10" ht="15" customHeight="1" x14ac:dyDescent="0.2">
      <c r="B6085" s="39">
        <f t="shared" si="46"/>
      </c>
      <c r="C6085" s="40">
        <f>IF(Inputs!$C$60,Inputs!$C$11+(B6085-Inputs!$C$69)/Inputs!$C$70,"")</f>
      </c>
      <c r="D6085" s="15"/>
      <c r="E6085" s="15"/>
      <c r="F6085" s="11">
        <f t="shared" si="47"/>
      </c>
      <c r="G6085" s="22" cm="1">
        <f t="array" ref="G6085">IF(AND(Inputs!$C$60,Inputs!$C$61),INDEX(Utility_Rates!$C$29:$F$52,HOUR(C6085)+Inputs!$C$69,MATCH(INDEX(Utility_Rates!$K$6:$K$17,MONTH(C6085))&amp;IF(WEEKDAY(C6085,Inputs!$C$76)&lt;=Inputs!$C$74," weekday"," weekend"),Utility_Rates!$C$28:$F$28,Inputs!$C$68)),"")</f>
      </c>
      <c r="H6085" s="34"/>
      <c r="I6085" s="42">
        <f>IF(AND(ISNUMBER(D6085),ISNUMBER(H6085)),D6085*H6085*Inputs!$C$69,"")</f>
      </c>
      <c r="J6085" s="42">
        <f>IF(AND(ISNUMBER(F6085),ISNUMBER(H6085),F6085&gt;=Inputs!$C$68),F6085*H6085*Inputs!$C$69,"")</f>
      </c>
    </row>
    <row r="6086" spans="2:10" ht="15" customHeight="1" x14ac:dyDescent="0.2">
      <c r="B6086" s="39">
        <f t="shared" si="46"/>
      </c>
      <c r="C6086" s="40">
        <f>IF(Inputs!$C$60,Inputs!$C$11+(B6086-Inputs!$C$69)/Inputs!$C$70,"")</f>
      </c>
      <c r="D6086" s="15"/>
      <c r="E6086" s="15"/>
      <c r="F6086" s="11">
        <f t="shared" si="47"/>
      </c>
      <c r="G6086" s="22" cm="1">
        <f t="array" ref="G6086">IF(AND(Inputs!$C$60,Inputs!$C$61),INDEX(Utility_Rates!$C$29:$F$52,HOUR(C6086)+Inputs!$C$69,MATCH(INDEX(Utility_Rates!$K$6:$K$17,MONTH(C6086))&amp;IF(WEEKDAY(C6086,Inputs!$C$76)&lt;=Inputs!$C$74," weekday"," weekend"),Utility_Rates!$C$28:$F$28,Inputs!$C$68)),"")</f>
      </c>
      <c r="H6086" s="34"/>
      <c r="I6086" s="42">
        <f>IF(AND(ISNUMBER(D6086),ISNUMBER(H6086)),D6086*H6086*Inputs!$C$69,"")</f>
      </c>
      <c r="J6086" s="42">
        <f>IF(AND(ISNUMBER(F6086),ISNUMBER(H6086),F6086&gt;=Inputs!$C$68),F6086*H6086*Inputs!$C$69,"")</f>
      </c>
    </row>
    <row r="6087" spans="2:10" ht="15" customHeight="1" x14ac:dyDescent="0.2">
      <c r="B6087" s="39">
        <f t="shared" si="46"/>
      </c>
      <c r="C6087" s="40">
        <f>IF(Inputs!$C$60,Inputs!$C$11+(B6087-Inputs!$C$69)/Inputs!$C$70,"")</f>
      </c>
      <c r="D6087" s="15"/>
      <c r="E6087" s="15"/>
      <c r="F6087" s="11">
        <f t="shared" si="47"/>
      </c>
      <c r="G6087" s="22" cm="1">
        <f t="array" ref="G6087">IF(AND(Inputs!$C$60,Inputs!$C$61),INDEX(Utility_Rates!$C$29:$F$52,HOUR(C6087)+Inputs!$C$69,MATCH(INDEX(Utility_Rates!$K$6:$K$17,MONTH(C6087))&amp;IF(WEEKDAY(C6087,Inputs!$C$76)&lt;=Inputs!$C$74," weekday"," weekend"),Utility_Rates!$C$28:$F$28,Inputs!$C$68)),"")</f>
      </c>
      <c r="H6087" s="34"/>
      <c r="I6087" s="42">
        <f>IF(AND(ISNUMBER(D6087),ISNUMBER(H6087)),D6087*H6087*Inputs!$C$69,"")</f>
      </c>
      <c r="J6087" s="42">
        <f>IF(AND(ISNUMBER(F6087),ISNUMBER(H6087),F6087&gt;=Inputs!$C$68),F6087*H6087*Inputs!$C$69,"")</f>
      </c>
    </row>
    <row r="6088" spans="2:10" ht="15" customHeight="1" x14ac:dyDescent="0.2">
      <c r="B6088" s="39">
        <f t="shared" si="46"/>
      </c>
      <c r="C6088" s="40">
        <f>IF(Inputs!$C$60,Inputs!$C$11+(B6088-Inputs!$C$69)/Inputs!$C$70,"")</f>
      </c>
      <c r="D6088" s="15"/>
      <c r="E6088" s="15"/>
      <c r="F6088" s="11">
        <f t="shared" si="47"/>
      </c>
      <c r="G6088" s="22" cm="1">
        <f t="array" ref="G6088">IF(AND(Inputs!$C$60,Inputs!$C$61),INDEX(Utility_Rates!$C$29:$F$52,HOUR(C6088)+Inputs!$C$69,MATCH(INDEX(Utility_Rates!$K$6:$K$17,MONTH(C6088))&amp;IF(WEEKDAY(C6088,Inputs!$C$76)&lt;=Inputs!$C$74," weekday"," weekend"),Utility_Rates!$C$28:$F$28,Inputs!$C$68)),"")</f>
      </c>
      <c r="H6088" s="34"/>
      <c r="I6088" s="42">
        <f>IF(AND(ISNUMBER(D6088),ISNUMBER(H6088)),D6088*H6088*Inputs!$C$69,"")</f>
      </c>
      <c r="J6088" s="42">
        <f>IF(AND(ISNUMBER(F6088),ISNUMBER(H6088),F6088&gt;=Inputs!$C$68),F6088*H6088*Inputs!$C$69,"")</f>
      </c>
    </row>
    <row r="6089" spans="2:10" ht="15" customHeight="1" x14ac:dyDescent="0.2">
      <c r="B6089" s="39">
        <f t="shared" si="46"/>
      </c>
      <c r="C6089" s="40">
        <f>IF(Inputs!$C$60,Inputs!$C$11+(B6089-Inputs!$C$69)/Inputs!$C$70,"")</f>
      </c>
      <c r="D6089" s="15"/>
      <c r="E6089" s="15"/>
      <c r="F6089" s="11">
        <f t="shared" si="47"/>
      </c>
      <c r="G6089" s="22" cm="1">
        <f t="array" ref="G6089">IF(AND(Inputs!$C$60,Inputs!$C$61),INDEX(Utility_Rates!$C$29:$F$52,HOUR(C6089)+Inputs!$C$69,MATCH(INDEX(Utility_Rates!$K$6:$K$17,MONTH(C6089))&amp;IF(WEEKDAY(C6089,Inputs!$C$76)&lt;=Inputs!$C$74," weekday"," weekend"),Utility_Rates!$C$28:$F$28,Inputs!$C$68)),"")</f>
      </c>
      <c r="H6089" s="34"/>
      <c r="I6089" s="42">
        <f>IF(AND(ISNUMBER(D6089),ISNUMBER(H6089)),D6089*H6089*Inputs!$C$69,"")</f>
      </c>
      <c r="J6089" s="42">
        <f>IF(AND(ISNUMBER(F6089),ISNUMBER(H6089),F6089&gt;=Inputs!$C$68),F6089*H6089*Inputs!$C$69,"")</f>
      </c>
    </row>
    <row r="6090" spans="2:10" ht="15" customHeight="1" x14ac:dyDescent="0.2">
      <c r="B6090" s="39">
        <f t="shared" si="46"/>
      </c>
      <c r="C6090" s="40">
        <f>IF(Inputs!$C$60,Inputs!$C$11+(B6090-Inputs!$C$69)/Inputs!$C$70,"")</f>
      </c>
      <c r="D6090" s="15"/>
      <c r="E6090" s="15"/>
      <c r="F6090" s="11">
        <f t="shared" si="47"/>
      </c>
      <c r="G6090" s="22" cm="1">
        <f t="array" ref="G6090">IF(AND(Inputs!$C$60,Inputs!$C$61),INDEX(Utility_Rates!$C$29:$F$52,HOUR(C6090)+Inputs!$C$69,MATCH(INDEX(Utility_Rates!$K$6:$K$17,MONTH(C6090))&amp;IF(WEEKDAY(C6090,Inputs!$C$76)&lt;=Inputs!$C$74," weekday"," weekend"),Utility_Rates!$C$28:$F$28,Inputs!$C$68)),"")</f>
      </c>
      <c r="H6090" s="34"/>
      <c r="I6090" s="42">
        <f>IF(AND(ISNUMBER(D6090),ISNUMBER(H6090)),D6090*H6090*Inputs!$C$69,"")</f>
      </c>
      <c r="J6090" s="42">
        <f>IF(AND(ISNUMBER(F6090),ISNUMBER(H6090),F6090&gt;=Inputs!$C$68),F6090*H6090*Inputs!$C$69,"")</f>
      </c>
    </row>
    <row r="6091" spans="2:10" ht="15" customHeight="1" x14ac:dyDescent="0.2">
      <c r="B6091" s="39">
        <f t="shared" si="46"/>
      </c>
      <c r="C6091" s="40">
        <f>IF(Inputs!$C$60,Inputs!$C$11+(B6091-Inputs!$C$69)/Inputs!$C$70,"")</f>
      </c>
      <c r="D6091" s="15"/>
      <c r="E6091" s="15"/>
      <c r="F6091" s="11">
        <f t="shared" si="47"/>
      </c>
      <c r="G6091" s="22" cm="1">
        <f t="array" ref="G6091">IF(AND(Inputs!$C$60,Inputs!$C$61),INDEX(Utility_Rates!$C$29:$F$52,HOUR(C6091)+Inputs!$C$69,MATCH(INDEX(Utility_Rates!$K$6:$K$17,MONTH(C6091))&amp;IF(WEEKDAY(C6091,Inputs!$C$76)&lt;=Inputs!$C$74," weekday"," weekend"),Utility_Rates!$C$28:$F$28,Inputs!$C$68)),"")</f>
      </c>
      <c r="H6091" s="34"/>
      <c r="I6091" s="42">
        <f>IF(AND(ISNUMBER(D6091),ISNUMBER(H6091)),D6091*H6091*Inputs!$C$69,"")</f>
      </c>
      <c r="J6091" s="42">
        <f>IF(AND(ISNUMBER(F6091),ISNUMBER(H6091),F6091&gt;=Inputs!$C$68),F6091*H6091*Inputs!$C$69,"")</f>
      </c>
    </row>
    <row r="6092" spans="2:10" ht="15" customHeight="1" x14ac:dyDescent="0.2">
      <c r="B6092" s="39">
        <f t="shared" si="46"/>
      </c>
      <c r="C6092" s="40">
        <f>IF(Inputs!$C$60,Inputs!$C$11+(B6092-Inputs!$C$69)/Inputs!$C$70,"")</f>
      </c>
      <c r="D6092" s="15"/>
      <c r="E6092" s="15"/>
      <c r="F6092" s="11">
        <f t="shared" si="47"/>
      </c>
      <c r="G6092" s="22" cm="1">
        <f t="array" ref="G6092">IF(AND(Inputs!$C$60,Inputs!$C$61),INDEX(Utility_Rates!$C$29:$F$52,HOUR(C6092)+Inputs!$C$69,MATCH(INDEX(Utility_Rates!$K$6:$K$17,MONTH(C6092))&amp;IF(WEEKDAY(C6092,Inputs!$C$76)&lt;=Inputs!$C$74," weekday"," weekend"),Utility_Rates!$C$28:$F$28,Inputs!$C$68)),"")</f>
      </c>
      <c r="H6092" s="34"/>
      <c r="I6092" s="42">
        <f>IF(AND(ISNUMBER(D6092),ISNUMBER(H6092)),D6092*H6092*Inputs!$C$69,"")</f>
      </c>
      <c r="J6092" s="42">
        <f>IF(AND(ISNUMBER(F6092),ISNUMBER(H6092),F6092&gt;=Inputs!$C$68),F6092*H6092*Inputs!$C$69,"")</f>
      </c>
    </row>
    <row r="6093" spans="2:10" ht="15" customHeight="1" x14ac:dyDescent="0.2">
      <c r="B6093" s="39">
        <f t="shared" si="46"/>
      </c>
      <c r="C6093" s="40">
        <f>IF(Inputs!$C$60,Inputs!$C$11+(B6093-Inputs!$C$69)/Inputs!$C$70,"")</f>
      </c>
      <c r="D6093" s="15"/>
      <c r="E6093" s="15"/>
      <c r="F6093" s="11">
        <f t="shared" si="47"/>
      </c>
      <c r="G6093" s="22" cm="1">
        <f t="array" ref="G6093">IF(AND(Inputs!$C$60,Inputs!$C$61),INDEX(Utility_Rates!$C$29:$F$52,HOUR(C6093)+Inputs!$C$69,MATCH(INDEX(Utility_Rates!$K$6:$K$17,MONTH(C6093))&amp;IF(WEEKDAY(C6093,Inputs!$C$76)&lt;=Inputs!$C$74," weekday"," weekend"),Utility_Rates!$C$28:$F$28,Inputs!$C$68)),"")</f>
      </c>
      <c r="H6093" s="34"/>
      <c r="I6093" s="42">
        <f>IF(AND(ISNUMBER(D6093),ISNUMBER(H6093)),D6093*H6093*Inputs!$C$69,"")</f>
      </c>
      <c r="J6093" s="42">
        <f>IF(AND(ISNUMBER(F6093),ISNUMBER(H6093),F6093&gt;=Inputs!$C$68),F6093*H6093*Inputs!$C$69,"")</f>
      </c>
    </row>
    <row r="6094" spans="2:10" ht="15" customHeight="1" x14ac:dyDescent="0.2">
      <c r="B6094" s="39">
        <f t="shared" si="46"/>
      </c>
      <c r="C6094" s="40">
        <f>IF(Inputs!$C$60,Inputs!$C$11+(B6094-Inputs!$C$69)/Inputs!$C$70,"")</f>
      </c>
      <c r="D6094" s="15"/>
      <c r="E6094" s="15"/>
      <c r="F6094" s="11">
        <f t="shared" si="47"/>
      </c>
      <c r="G6094" s="22" cm="1">
        <f t="array" ref="G6094">IF(AND(Inputs!$C$60,Inputs!$C$61),INDEX(Utility_Rates!$C$29:$F$52,HOUR(C6094)+Inputs!$C$69,MATCH(INDEX(Utility_Rates!$K$6:$K$17,MONTH(C6094))&amp;IF(WEEKDAY(C6094,Inputs!$C$76)&lt;=Inputs!$C$74," weekday"," weekend"),Utility_Rates!$C$28:$F$28,Inputs!$C$68)),"")</f>
      </c>
      <c r="H6094" s="34"/>
      <c r="I6094" s="42">
        <f>IF(AND(ISNUMBER(D6094),ISNUMBER(H6094)),D6094*H6094*Inputs!$C$69,"")</f>
      </c>
      <c r="J6094" s="42">
        <f>IF(AND(ISNUMBER(F6094),ISNUMBER(H6094),F6094&gt;=Inputs!$C$68),F6094*H6094*Inputs!$C$69,"")</f>
      </c>
    </row>
    <row r="6095" spans="2:10" ht="15" customHeight="1" x14ac:dyDescent="0.2">
      <c r="B6095" s="39">
        <f t="shared" si="46"/>
      </c>
      <c r="C6095" s="40">
        <f>IF(Inputs!$C$60,Inputs!$C$11+(B6095-Inputs!$C$69)/Inputs!$C$70,"")</f>
      </c>
      <c r="D6095" s="15"/>
      <c r="E6095" s="15"/>
      <c r="F6095" s="11">
        <f t="shared" si="47"/>
      </c>
      <c r="G6095" s="22" cm="1">
        <f t="array" ref="G6095">IF(AND(Inputs!$C$60,Inputs!$C$61),INDEX(Utility_Rates!$C$29:$F$52,HOUR(C6095)+Inputs!$C$69,MATCH(INDEX(Utility_Rates!$K$6:$K$17,MONTH(C6095))&amp;IF(WEEKDAY(C6095,Inputs!$C$76)&lt;=Inputs!$C$74," weekday"," weekend"),Utility_Rates!$C$28:$F$28,Inputs!$C$68)),"")</f>
      </c>
      <c r="H6095" s="34"/>
      <c r="I6095" s="42">
        <f>IF(AND(ISNUMBER(D6095),ISNUMBER(H6095)),D6095*H6095*Inputs!$C$69,"")</f>
      </c>
      <c r="J6095" s="42">
        <f>IF(AND(ISNUMBER(F6095),ISNUMBER(H6095),F6095&gt;=Inputs!$C$68),F6095*H6095*Inputs!$C$69,"")</f>
      </c>
    </row>
    <row r="6096" spans="2:10" ht="15" customHeight="1" x14ac:dyDescent="0.2">
      <c r="B6096" s="39">
        <f t="shared" si="46"/>
      </c>
      <c r="C6096" s="40">
        <f>IF(Inputs!$C$60,Inputs!$C$11+(B6096-Inputs!$C$69)/Inputs!$C$70,"")</f>
      </c>
      <c r="D6096" s="15"/>
      <c r="E6096" s="15"/>
      <c r="F6096" s="11">
        <f t="shared" si="47"/>
      </c>
      <c r="G6096" s="22" cm="1">
        <f t="array" ref="G6096">IF(AND(Inputs!$C$60,Inputs!$C$61),INDEX(Utility_Rates!$C$29:$F$52,HOUR(C6096)+Inputs!$C$69,MATCH(INDEX(Utility_Rates!$K$6:$K$17,MONTH(C6096))&amp;IF(WEEKDAY(C6096,Inputs!$C$76)&lt;=Inputs!$C$74," weekday"," weekend"),Utility_Rates!$C$28:$F$28,Inputs!$C$68)),"")</f>
      </c>
      <c r="H6096" s="34"/>
      <c r="I6096" s="42">
        <f>IF(AND(ISNUMBER(D6096),ISNUMBER(H6096)),D6096*H6096*Inputs!$C$69,"")</f>
      </c>
      <c r="J6096" s="42">
        <f>IF(AND(ISNUMBER(F6096),ISNUMBER(H6096),F6096&gt;=Inputs!$C$68),F6096*H6096*Inputs!$C$69,"")</f>
      </c>
    </row>
    <row r="6097" spans="2:10" ht="15" customHeight="1" x14ac:dyDescent="0.2">
      <c r="B6097" s="39">
        <f t="shared" si="46"/>
      </c>
      <c r="C6097" s="40">
        <f>IF(Inputs!$C$60,Inputs!$C$11+(B6097-Inputs!$C$69)/Inputs!$C$70,"")</f>
      </c>
      <c r="D6097" s="15"/>
      <c r="E6097" s="15"/>
      <c r="F6097" s="11">
        <f t="shared" si="47"/>
      </c>
      <c r="G6097" s="22" cm="1">
        <f t="array" ref="G6097">IF(AND(Inputs!$C$60,Inputs!$C$61),INDEX(Utility_Rates!$C$29:$F$52,HOUR(C6097)+Inputs!$C$69,MATCH(INDEX(Utility_Rates!$K$6:$K$17,MONTH(C6097))&amp;IF(WEEKDAY(C6097,Inputs!$C$76)&lt;=Inputs!$C$74," weekday"," weekend"),Utility_Rates!$C$28:$F$28,Inputs!$C$68)),"")</f>
      </c>
      <c r="H6097" s="34"/>
      <c r="I6097" s="42">
        <f>IF(AND(ISNUMBER(D6097),ISNUMBER(H6097)),D6097*H6097*Inputs!$C$69,"")</f>
      </c>
      <c r="J6097" s="42">
        <f>IF(AND(ISNUMBER(F6097),ISNUMBER(H6097),F6097&gt;=Inputs!$C$68),F6097*H6097*Inputs!$C$69,"")</f>
      </c>
    </row>
    <row r="6098" spans="2:10" ht="15" customHeight="1" x14ac:dyDescent="0.2">
      <c r="B6098" s="39">
        <f t="shared" si="46"/>
      </c>
      <c r="C6098" s="40">
        <f>IF(Inputs!$C$60,Inputs!$C$11+(B6098-Inputs!$C$69)/Inputs!$C$70,"")</f>
      </c>
      <c r="D6098" s="15"/>
      <c r="E6098" s="15"/>
      <c r="F6098" s="11">
        <f t="shared" si="47"/>
      </c>
      <c r="G6098" s="22" cm="1">
        <f t="array" ref="G6098">IF(AND(Inputs!$C$60,Inputs!$C$61),INDEX(Utility_Rates!$C$29:$F$52,HOUR(C6098)+Inputs!$C$69,MATCH(INDEX(Utility_Rates!$K$6:$K$17,MONTH(C6098))&amp;IF(WEEKDAY(C6098,Inputs!$C$76)&lt;=Inputs!$C$74," weekday"," weekend"),Utility_Rates!$C$28:$F$28,Inputs!$C$68)),"")</f>
      </c>
      <c r="H6098" s="34"/>
      <c r="I6098" s="42">
        <f>IF(AND(ISNUMBER(D6098),ISNUMBER(H6098)),D6098*H6098*Inputs!$C$69,"")</f>
      </c>
      <c r="J6098" s="42">
        <f>IF(AND(ISNUMBER(F6098),ISNUMBER(H6098),F6098&gt;=Inputs!$C$68),F6098*H6098*Inputs!$C$69,"")</f>
      </c>
    </row>
    <row r="6099" spans="2:10" ht="15" customHeight="1" x14ac:dyDescent="0.2">
      <c r="B6099" s="39">
        <f t="shared" si="46"/>
      </c>
      <c r="C6099" s="40">
        <f>IF(Inputs!$C$60,Inputs!$C$11+(B6099-Inputs!$C$69)/Inputs!$C$70,"")</f>
      </c>
      <c r="D6099" s="15"/>
      <c r="E6099" s="15"/>
      <c r="F6099" s="11">
        <f t="shared" si="47"/>
      </c>
      <c r="G6099" s="22" cm="1">
        <f t="array" ref="G6099">IF(AND(Inputs!$C$60,Inputs!$C$61),INDEX(Utility_Rates!$C$29:$F$52,HOUR(C6099)+Inputs!$C$69,MATCH(INDEX(Utility_Rates!$K$6:$K$17,MONTH(C6099))&amp;IF(WEEKDAY(C6099,Inputs!$C$76)&lt;=Inputs!$C$74," weekday"," weekend"),Utility_Rates!$C$28:$F$28,Inputs!$C$68)),"")</f>
      </c>
      <c r="H6099" s="34"/>
      <c r="I6099" s="42">
        <f>IF(AND(ISNUMBER(D6099),ISNUMBER(H6099)),D6099*H6099*Inputs!$C$69,"")</f>
      </c>
      <c r="J6099" s="42">
        <f>IF(AND(ISNUMBER(F6099),ISNUMBER(H6099),F6099&gt;=Inputs!$C$68),F6099*H6099*Inputs!$C$69,"")</f>
      </c>
    </row>
    <row r="6100" spans="2:10" ht="15" customHeight="1" x14ac:dyDescent="0.2">
      <c r="B6100" s="39">
        <f t="shared" si="46"/>
      </c>
      <c r="C6100" s="40">
        <f>IF(Inputs!$C$60,Inputs!$C$11+(B6100-Inputs!$C$69)/Inputs!$C$70,"")</f>
      </c>
      <c r="D6100" s="15"/>
      <c r="E6100" s="15"/>
      <c r="F6100" s="11">
        <f t="shared" si="47"/>
      </c>
      <c r="G6100" s="22" cm="1">
        <f t="array" ref="G6100">IF(AND(Inputs!$C$60,Inputs!$C$61),INDEX(Utility_Rates!$C$29:$F$52,HOUR(C6100)+Inputs!$C$69,MATCH(INDEX(Utility_Rates!$K$6:$K$17,MONTH(C6100))&amp;IF(WEEKDAY(C6100,Inputs!$C$76)&lt;=Inputs!$C$74," weekday"," weekend"),Utility_Rates!$C$28:$F$28,Inputs!$C$68)),"")</f>
      </c>
      <c r="H6100" s="34"/>
      <c r="I6100" s="42">
        <f>IF(AND(ISNUMBER(D6100),ISNUMBER(H6100)),D6100*H6100*Inputs!$C$69,"")</f>
      </c>
      <c r="J6100" s="42">
        <f>IF(AND(ISNUMBER(F6100),ISNUMBER(H6100),F6100&gt;=Inputs!$C$68),F6100*H6100*Inputs!$C$69,"")</f>
      </c>
    </row>
    <row r="6101" spans="2:10" ht="15" customHeight="1" x14ac:dyDescent="0.2">
      <c r="B6101" s="39">
        <f t="shared" si="46"/>
      </c>
      <c r="C6101" s="40">
        <f>IF(Inputs!$C$60,Inputs!$C$11+(B6101-Inputs!$C$69)/Inputs!$C$70,"")</f>
      </c>
      <c r="D6101" s="15"/>
      <c r="E6101" s="15"/>
      <c r="F6101" s="11">
        <f t="shared" si="47"/>
      </c>
      <c r="G6101" s="22" cm="1">
        <f t="array" ref="G6101">IF(AND(Inputs!$C$60,Inputs!$C$61),INDEX(Utility_Rates!$C$29:$F$52,HOUR(C6101)+Inputs!$C$69,MATCH(INDEX(Utility_Rates!$K$6:$K$17,MONTH(C6101))&amp;IF(WEEKDAY(C6101,Inputs!$C$76)&lt;=Inputs!$C$74," weekday"," weekend"),Utility_Rates!$C$28:$F$28,Inputs!$C$68)),"")</f>
      </c>
      <c r="H6101" s="34"/>
      <c r="I6101" s="42">
        <f>IF(AND(ISNUMBER(D6101),ISNUMBER(H6101)),D6101*H6101*Inputs!$C$69,"")</f>
      </c>
      <c r="J6101" s="42">
        <f>IF(AND(ISNUMBER(F6101),ISNUMBER(H6101),F6101&gt;=Inputs!$C$68),F6101*H6101*Inputs!$C$69,"")</f>
      </c>
    </row>
    <row r="6102" spans="2:10" ht="15" customHeight="1" x14ac:dyDescent="0.2">
      <c r="B6102" s="39">
        <f t="shared" si="46"/>
      </c>
      <c r="C6102" s="40">
        <f>IF(Inputs!$C$60,Inputs!$C$11+(B6102-Inputs!$C$69)/Inputs!$C$70,"")</f>
      </c>
      <c r="D6102" s="15"/>
      <c r="E6102" s="15"/>
      <c r="F6102" s="11">
        <f t="shared" si="47"/>
      </c>
      <c r="G6102" s="22" cm="1">
        <f t="array" ref="G6102">IF(AND(Inputs!$C$60,Inputs!$C$61),INDEX(Utility_Rates!$C$29:$F$52,HOUR(C6102)+Inputs!$C$69,MATCH(INDEX(Utility_Rates!$K$6:$K$17,MONTH(C6102))&amp;IF(WEEKDAY(C6102,Inputs!$C$76)&lt;=Inputs!$C$74," weekday"," weekend"),Utility_Rates!$C$28:$F$28,Inputs!$C$68)),"")</f>
      </c>
      <c r="H6102" s="34"/>
      <c r="I6102" s="42">
        <f>IF(AND(ISNUMBER(D6102),ISNUMBER(H6102)),D6102*H6102*Inputs!$C$69,"")</f>
      </c>
      <c r="J6102" s="42">
        <f>IF(AND(ISNUMBER(F6102),ISNUMBER(H6102),F6102&gt;=Inputs!$C$68),F6102*H6102*Inputs!$C$69,"")</f>
      </c>
    </row>
    <row r="6103" spans="2:10" ht="15" customHeight="1" x14ac:dyDescent="0.2">
      <c r="B6103" s="39">
        <f t="shared" si="46"/>
      </c>
      <c r="C6103" s="40">
        <f>IF(Inputs!$C$60,Inputs!$C$11+(B6103-Inputs!$C$69)/Inputs!$C$70,"")</f>
      </c>
      <c r="D6103" s="15"/>
      <c r="E6103" s="15"/>
      <c r="F6103" s="11">
        <f t="shared" si="47"/>
      </c>
      <c r="G6103" s="22" cm="1">
        <f t="array" ref="G6103">IF(AND(Inputs!$C$60,Inputs!$C$61),INDEX(Utility_Rates!$C$29:$F$52,HOUR(C6103)+Inputs!$C$69,MATCH(INDEX(Utility_Rates!$K$6:$K$17,MONTH(C6103))&amp;IF(WEEKDAY(C6103,Inputs!$C$76)&lt;=Inputs!$C$74," weekday"," weekend"),Utility_Rates!$C$28:$F$28,Inputs!$C$68)),"")</f>
      </c>
      <c r="H6103" s="34"/>
      <c r="I6103" s="42">
        <f>IF(AND(ISNUMBER(D6103),ISNUMBER(H6103)),D6103*H6103*Inputs!$C$69,"")</f>
      </c>
      <c r="J6103" s="42">
        <f>IF(AND(ISNUMBER(F6103),ISNUMBER(H6103),F6103&gt;=Inputs!$C$68),F6103*H6103*Inputs!$C$69,"")</f>
      </c>
    </row>
    <row r="6104" spans="2:10" ht="15" customHeight="1" x14ac:dyDescent="0.2">
      <c r="B6104" s="39">
        <f t="shared" si="46"/>
      </c>
      <c r="C6104" s="40">
        <f>IF(Inputs!$C$60,Inputs!$C$11+(B6104-Inputs!$C$69)/Inputs!$C$70,"")</f>
      </c>
      <c r="D6104" s="15"/>
      <c r="E6104" s="15"/>
      <c r="F6104" s="11">
        <f t="shared" si="47"/>
      </c>
      <c r="G6104" s="22" cm="1">
        <f t="array" ref="G6104">IF(AND(Inputs!$C$60,Inputs!$C$61),INDEX(Utility_Rates!$C$29:$F$52,HOUR(C6104)+Inputs!$C$69,MATCH(INDEX(Utility_Rates!$K$6:$K$17,MONTH(C6104))&amp;IF(WEEKDAY(C6104,Inputs!$C$76)&lt;=Inputs!$C$74," weekday"," weekend"),Utility_Rates!$C$28:$F$28,Inputs!$C$68)),"")</f>
      </c>
      <c r="H6104" s="34"/>
      <c r="I6104" s="42">
        <f>IF(AND(ISNUMBER(D6104),ISNUMBER(H6104)),D6104*H6104*Inputs!$C$69,"")</f>
      </c>
      <c r="J6104" s="42">
        <f>IF(AND(ISNUMBER(F6104),ISNUMBER(H6104),F6104&gt;=Inputs!$C$68),F6104*H6104*Inputs!$C$69,"")</f>
      </c>
    </row>
    <row r="6105" spans="2:10" ht="15" customHeight="1" x14ac:dyDescent="0.2">
      <c r="B6105" s="39">
        <f t="shared" si="46"/>
      </c>
      <c r="C6105" s="40">
        <f>IF(Inputs!$C$60,Inputs!$C$11+(B6105-Inputs!$C$69)/Inputs!$C$70,"")</f>
      </c>
      <c r="D6105" s="15"/>
      <c r="E6105" s="15"/>
      <c r="F6105" s="11">
        <f t="shared" si="47"/>
      </c>
      <c r="G6105" s="22" cm="1">
        <f t="array" ref="G6105">IF(AND(Inputs!$C$60,Inputs!$C$61),INDEX(Utility_Rates!$C$29:$F$52,HOUR(C6105)+Inputs!$C$69,MATCH(INDEX(Utility_Rates!$K$6:$K$17,MONTH(C6105))&amp;IF(WEEKDAY(C6105,Inputs!$C$76)&lt;=Inputs!$C$74," weekday"," weekend"),Utility_Rates!$C$28:$F$28,Inputs!$C$68)),"")</f>
      </c>
      <c r="H6105" s="34"/>
      <c r="I6105" s="42">
        <f>IF(AND(ISNUMBER(D6105),ISNUMBER(H6105)),D6105*H6105*Inputs!$C$69,"")</f>
      </c>
      <c r="J6105" s="42">
        <f>IF(AND(ISNUMBER(F6105),ISNUMBER(H6105),F6105&gt;=Inputs!$C$68),F6105*H6105*Inputs!$C$69,"")</f>
      </c>
    </row>
    <row r="6106" spans="2:10" ht="15" customHeight="1" x14ac:dyDescent="0.2">
      <c r="B6106" s="39">
        <f t="shared" si="46"/>
      </c>
      <c r="C6106" s="40">
        <f>IF(Inputs!$C$60,Inputs!$C$11+(B6106-Inputs!$C$69)/Inputs!$C$70,"")</f>
      </c>
      <c r="D6106" s="15"/>
      <c r="E6106" s="15"/>
      <c r="F6106" s="11">
        <f t="shared" si="47"/>
      </c>
      <c r="G6106" s="22" cm="1">
        <f t="array" ref="G6106">IF(AND(Inputs!$C$60,Inputs!$C$61),INDEX(Utility_Rates!$C$29:$F$52,HOUR(C6106)+Inputs!$C$69,MATCH(INDEX(Utility_Rates!$K$6:$K$17,MONTH(C6106))&amp;IF(WEEKDAY(C6106,Inputs!$C$76)&lt;=Inputs!$C$74," weekday"," weekend"),Utility_Rates!$C$28:$F$28,Inputs!$C$68)),"")</f>
      </c>
      <c r="H6106" s="34"/>
      <c r="I6106" s="42">
        <f>IF(AND(ISNUMBER(D6106),ISNUMBER(H6106)),D6106*H6106*Inputs!$C$69,"")</f>
      </c>
      <c r="J6106" s="42">
        <f>IF(AND(ISNUMBER(F6106),ISNUMBER(H6106),F6106&gt;=Inputs!$C$68),F6106*H6106*Inputs!$C$69,"")</f>
      </c>
    </row>
    <row r="6107" spans="2:10" ht="15" customHeight="1" x14ac:dyDescent="0.2">
      <c r="B6107" s="39">
        <f t="shared" si="46"/>
      </c>
      <c r="C6107" s="40">
        <f>IF(Inputs!$C$60,Inputs!$C$11+(B6107-Inputs!$C$69)/Inputs!$C$70,"")</f>
      </c>
      <c r="D6107" s="15"/>
      <c r="E6107" s="15"/>
      <c r="F6107" s="11">
        <f t="shared" si="47"/>
      </c>
      <c r="G6107" s="22" cm="1">
        <f t="array" ref="G6107">IF(AND(Inputs!$C$60,Inputs!$C$61),INDEX(Utility_Rates!$C$29:$F$52,HOUR(C6107)+Inputs!$C$69,MATCH(INDEX(Utility_Rates!$K$6:$K$17,MONTH(C6107))&amp;IF(WEEKDAY(C6107,Inputs!$C$76)&lt;=Inputs!$C$74," weekday"," weekend"),Utility_Rates!$C$28:$F$28,Inputs!$C$68)),"")</f>
      </c>
      <c r="H6107" s="34"/>
      <c r="I6107" s="42">
        <f>IF(AND(ISNUMBER(D6107),ISNUMBER(H6107)),D6107*H6107*Inputs!$C$69,"")</f>
      </c>
      <c r="J6107" s="42">
        <f>IF(AND(ISNUMBER(F6107),ISNUMBER(H6107),F6107&gt;=Inputs!$C$68),F6107*H6107*Inputs!$C$69,"")</f>
      </c>
    </row>
    <row r="6108" spans="2:10" ht="15" customHeight="1" x14ac:dyDescent="0.2">
      <c r="B6108" s="39">
        <f t="shared" si="46"/>
      </c>
      <c r="C6108" s="40">
        <f>IF(Inputs!$C$60,Inputs!$C$11+(B6108-Inputs!$C$69)/Inputs!$C$70,"")</f>
      </c>
      <c r="D6108" s="15"/>
      <c r="E6108" s="15"/>
      <c r="F6108" s="11">
        <f t="shared" si="47"/>
      </c>
      <c r="G6108" s="22" cm="1">
        <f t="array" ref="G6108">IF(AND(Inputs!$C$60,Inputs!$C$61),INDEX(Utility_Rates!$C$29:$F$52,HOUR(C6108)+Inputs!$C$69,MATCH(INDEX(Utility_Rates!$K$6:$K$17,MONTH(C6108))&amp;IF(WEEKDAY(C6108,Inputs!$C$76)&lt;=Inputs!$C$74," weekday"," weekend"),Utility_Rates!$C$28:$F$28,Inputs!$C$68)),"")</f>
      </c>
      <c r="H6108" s="34"/>
      <c r="I6108" s="42">
        <f>IF(AND(ISNUMBER(D6108),ISNUMBER(H6108)),D6108*H6108*Inputs!$C$69,"")</f>
      </c>
      <c r="J6108" s="42">
        <f>IF(AND(ISNUMBER(F6108),ISNUMBER(H6108),F6108&gt;=Inputs!$C$68),F6108*H6108*Inputs!$C$69,"")</f>
      </c>
    </row>
    <row r="6109" spans="2:10" ht="15" customHeight="1" x14ac:dyDescent="0.2">
      <c r="B6109" s="39">
        <f t="shared" si="46"/>
      </c>
      <c r="C6109" s="40">
        <f>IF(Inputs!$C$60,Inputs!$C$11+(B6109-Inputs!$C$69)/Inputs!$C$70,"")</f>
      </c>
      <c r="D6109" s="15"/>
      <c r="E6109" s="15"/>
      <c r="F6109" s="11">
        <f t="shared" si="47"/>
      </c>
      <c r="G6109" s="22" cm="1">
        <f t="array" ref="G6109">IF(AND(Inputs!$C$60,Inputs!$C$61),INDEX(Utility_Rates!$C$29:$F$52,HOUR(C6109)+Inputs!$C$69,MATCH(INDEX(Utility_Rates!$K$6:$K$17,MONTH(C6109))&amp;IF(WEEKDAY(C6109,Inputs!$C$76)&lt;=Inputs!$C$74," weekday"," weekend"),Utility_Rates!$C$28:$F$28,Inputs!$C$68)),"")</f>
      </c>
      <c r="H6109" s="34"/>
      <c r="I6109" s="42">
        <f>IF(AND(ISNUMBER(D6109),ISNUMBER(H6109)),D6109*H6109*Inputs!$C$69,"")</f>
      </c>
      <c r="J6109" s="42">
        <f>IF(AND(ISNUMBER(F6109),ISNUMBER(H6109),F6109&gt;=Inputs!$C$68),F6109*H6109*Inputs!$C$69,"")</f>
      </c>
    </row>
    <row r="6110" spans="2:10" ht="15" customHeight="1" x14ac:dyDescent="0.2">
      <c r="B6110" s="39">
        <f t="shared" si="46"/>
      </c>
      <c r="C6110" s="40">
        <f>IF(Inputs!$C$60,Inputs!$C$11+(B6110-Inputs!$C$69)/Inputs!$C$70,"")</f>
      </c>
      <c r="D6110" s="15"/>
      <c r="E6110" s="15"/>
      <c r="F6110" s="11">
        <f t="shared" si="47"/>
      </c>
      <c r="G6110" s="22" cm="1">
        <f t="array" ref="G6110">IF(AND(Inputs!$C$60,Inputs!$C$61),INDEX(Utility_Rates!$C$29:$F$52,HOUR(C6110)+Inputs!$C$69,MATCH(INDEX(Utility_Rates!$K$6:$K$17,MONTH(C6110))&amp;IF(WEEKDAY(C6110,Inputs!$C$76)&lt;=Inputs!$C$74," weekday"," weekend"),Utility_Rates!$C$28:$F$28,Inputs!$C$68)),"")</f>
      </c>
      <c r="H6110" s="34"/>
      <c r="I6110" s="42">
        <f>IF(AND(ISNUMBER(D6110),ISNUMBER(H6110)),D6110*H6110*Inputs!$C$69,"")</f>
      </c>
      <c r="J6110" s="42">
        <f>IF(AND(ISNUMBER(F6110),ISNUMBER(H6110),F6110&gt;=Inputs!$C$68),F6110*H6110*Inputs!$C$69,"")</f>
      </c>
    </row>
    <row r="6111" spans="2:10" ht="15" customHeight="1" x14ac:dyDescent="0.2">
      <c r="B6111" s="39">
        <f t="shared" si="46"/>
      </c>
      <c r="C6111" s="40">
        <f>IF(Inputs!$C$60,Inputs!$C$11+(B6111-Inputs!$C$69)/Inputs!$C$70,"")</f>
      </c>
      <c r="D6111" s="15"/>
      <c r="E6111" s="15"/>
      <c r="F6111" s="11">
        <f t="shared" si="47"/>
      </c>
      <c r="G6111" s="22" cm="1">
        <f t="array" ref="G6111">IF(AND(Inputs!$C$60,Inputs!$C$61),INDEX(Utility_Rates!$C$29:$F$52,HOUR(C6111)+Inputs!$C$69,MATCH(INDEX(Utility_Rates!$K$6:$K$17,MONTH(C6111))&amp;IF(WEEKDAY(C6111,Inputs!$C$76)&lt;=Inputs!$C$74," weekday"," weekend"),Utility_Rates!$C$28:$F$28,Inputs!$C$68)),"")</f>
      </c>
      <c r="H6111" s="34"/>
      <c r="I6111" s="42">
        <f>IF(AND(ISNUMBER(D6111),ISNUMBER(H6111)),D6111*H6111*Inputs!$C$69,"")</f>
      </c>
      <c r="J6111" s="42">
        <f>IF(AND(ISNUMBER(F6111),ISNUMBER(H6111),F6111&gt;=Inputs!$C$68),F6111*H6111*Inputs!$C$69,"")</f>
      </c>
    </row>
    <row r="6112" spans="2:10" ht="15" customHeight="1" x14ac:dyDescent="0.2">
      <c r="B6112" s="39">
        <f t="shared" si="46"/>
      </c>
      <c r="C6112" s="40">
        <f>IF(Inputs!$C$60,Inputs!$C$11+(B6112-Inputs!$C$69)/Inputs!$C$70,"")</f>
      </c>
      <c r="D6112" s="15"/>
      <c r="E6112" s="15"/>
      <c r="F6112" s="11">
        <f t="shared" si="47"/>
      </c>
      <c r="G6112" s="22" cm="1">
        <f t="array" ref="G6112">IF(AND(Inputs!$C$60,Inputs!$C$61),INDEX(Utility_Rates!$C$29:$F$52,HOUR(C6112)+Inputs!$C$69,MATCH(INDEX(Utility_Rates!$K$6:$K$17,MONTH(C6112))&amp;IF(WEEKDAY(C6112,Inputs!$C$76)&lt;=Inputs!$C$74," weekday"," weekend"),Utility_Rates!$C$28:$F$28,Inputs!$C$68)),"")</f>
      </c>
      <c r="H6112" s="34"/>
      <c r="I6112" s="42">
        <f>IF(AND(ISNUMBER(D6112),ISNUMBER(H6112)),D6112*H6112*Inputs!$C$69,"")</f>
      </c>
      <c r="J6112" s="42">
        <f>IF(AND(ISNUMBER(F6112),ISNUMBER(H6112),F6112&gt;=Inputs!$C$68),F6112*H6112*Inputs!$C$69,"")</f>
      </c>
    </row>
    <row r="6113" spans="2:10" ht="15" customHeight="1" x14ac:dyDescent="0.2">
      <c r="B6113" s="39">
        <f t="shared" si="46"/>
      </c>
      <c r="C6113" s="40">
        <f>IF(Inputs!$C$60,Inputs!$C$11+(B6113-Inputs!$C$69)/Inputs!$C$70,"")</f>
      </c>
      <c r="D6113" s="15"/>
      <c r="E6113" s="15"/>
      <c r="F6113" s="11">
        <f t="shared" si="47"/>
      </c>
      <c r="G6113" s="22" cm="1">
        <f t="array" ref="G6113">IF(AND(Inputs!$C$60,Inputs!$C$61),INDEX(Utility_Rates!$C$29:$F$52,HOUR(C6113)+Inputs!$C$69,MATCH(INDEX(Utility_Rates!$K$6:$K$17,MONTH(C6113))&amp;IF(WEEKDAY(C6113,Inputs!$C$76)&lt;=Inputs!$C$74," weekday"," weekend"),Utility_Rates!$C$28:$F$28,Inputs!$C$68)),"")</f>
      </c>
      <c r="H6113" s="34"/>
      <c r="I6113" s="42">
        <f>IF(AND(ISNUMBER(D6113),ISNUMBER(H6113)),D6113*H6113*Inputs!$C$69,"")</f>
      </c>
      <c r="J6113" s="42">
        <f>IF(AND(ISNUMBER(F6113),ISNUMBER(H6113),F6113&gt;=Inputs!$C$68),F6113*H6113*Inputs!$C$69,"")</f>
      </c>
    </row>
    <row r="6114" spans="2:10" ht="15" customHeight="1" x14ac:dyDescent="0.2">
      <c r="B6114" s="39">
        <f t="shared" si="46"/>
      </c>
      <c r="C6114" s="40">
        <f>IF(Inputs!$C$60,Inputs!$C$11+(B6114-Inputs!$C$69)/Inputs!$C$70,"")</f>
      </c>
      <c r="D6114" s="15"/>
      <c r="E6114" s="15"/>
      <c r="F6114" s="11">
        <f t="shared" si="47"/>
      </c>
      <c r="G6114" s="22" cm="1">
        <f t="array" ref="G6114">IF(AND(Inputs!$C$60,Inputs!$C$61),INDEX(Utility_Rates!$C$29:$F$52,HOUR(C6114)+Inputs!$C$69,MATCH(INDEX(Utility_Rates!$K$6:$K$17,MONTH(C6114))&amp;IF(WEEKDAY(C6114,Inputs!$C$76)&lt;=Inputs!$C$74," weekday"," weekend"),Utility_Rates!$C$28:$F$28,Inputs!$C$68)),"")</f>
      </c>
      <c r="H6114" s="34"/>
      <c r="I6114" s="42">
        <f>IF(AND(ISNUMBER(D6114),ISNUMBER(H6114)),D6114*H6114*Inputs!$C$69,"")</f>
      </c>
      <c r="J6114" s="42">
        <f>IF(AND(ISNUMBER(F6114),ISNUMBER(H6114),F6114&gt;=Inputs!$C$68),F6114*H6114*Inputs!$C$69,"")</f>
      </c>
    </row>
    <row r="6115" spans="2:10" ht="15" customHeight="1" x14ac:dyDescent="0.2">
      <c r="B6115" s="39">
        <f t="shared" si="46"/>
      </c>
      <c r="C6115" s="40">
        <f>IF(Inputs!$C$60,Inputs!$C$11+(B6115-Inputs!$C$69)/Inputs!$C$70,"")</f>
      </c>
      <c r="D6115" s="15"/>
      <c r="E6115" s="15"/>
      <c r="F6115" s="11">
        <f t="shared" si="47"/>
      </c>
      <c r="G6115" s="22" cm="1">
        <f t="array" ref="G6115">IF(AND(Inputs!$C$60,Inputs!$C$61),INDEX(Utility_Rates!$C$29:$F$52,HOUR(C6115)+Inputs!$C$69,MATCH(INDEX(Utility_Rates!$K$6:$K$17,MONTH(C6115))&amp;IF(WEEKDAY(C6115,Inputs!$C$76)&lt;=Inputs!$C$74," weekday"," weekend"),Utility_Rates!$C$28:$F$28,Inputs!$C$68)),"")</f>
      </c>
      <c r="H6115" s="34"/>
      <c r="I6115" s="42">
        <f>IF(AND(ISNUMBER(D6115),ISNUMBER(H6115)),D6115*H6115*Inputs!$C$69,"")</f>
      </c>
      <c r="J6115" s="42">
        <f>IF(AND(ISNUMBER(F6115),ISNUMBER(H6115),F6115&gt;=Inputs!$C$68),F6115*H6115*Inputs!$C$69,"")</f>
      </c>
    </row>
    <row r="6116" spans="2:10" ht="15" customHeight="1" x14ac:dyDescent="0.2">
      <c r="B6116" s="39">
        <f t="shared" si="46"/>
      </c>
      <c r="C6116" s="40">
        <f>IF(Inputs!$C$60,Inputs!$C$11+(B6116-Inputs!$C$69)/Inputs!$C$70,"")</f>
      </c>
      <c r="D6116" s="15"/>
      <c r="E6116" s="15"/>
      <c r="F6116" s="11">
        <f t="shared" si="47"/>
      </c>
      <c r="G6116" s="22" cm="1">
        <f t="array" ref="G6116">IF(AND(Inputs!$C$60,Inputs!$C$61),INDEX(Utility_Rates!$C$29:$F$52,HOUR(C6116)+Inputs!$C$69,MATCH(INDEX(Utility_Rates!$K$6:$K$17,MONTH(C6116))&amp;IF(WEEKDAY(C6116,Inputs!$C$76)&lt;=Inputs!$C$74," weekday"," weekend"),Utility_Rates!$C$28:$F$28,Inputs!$C$68)),"")</f>
      </c>
      <c r="H6116" s="34"/>
      <c r="I6116" s="42">
        <f>IF(AND(ISNUMBER(D6116),ISNUMBER(H6116)),D6116*H6116*Inputs!$C$69,"")</f>
      </c>
      <c r="J6116" s="42">
        <f>IF(AND(ISNUMBER(F6116),ISNUMBER(H6116),F6116&gt;=Inputs!$C$68),F6116*H6116*Inputs!$C$69,"")</f>
      </c>
    </row>
    <row r="6117" spans="2:10" ht="15" customHeight="1" x14ac:dyDescent="0.2">
      <c r="B6117" s="39">
        <f t="shared" si="46"/>
      </c>
      <c r="C6117" s="40">
        <f>IF(Inputs!$C$60,Inputs!$C$11+(B6117-Inputs!$C$69)/Inputs!$C$70,"")</f>
      </c>
      <c r="D6117" s="15"/>
      <c r="E6117" s="15"/>
      <c r="F6117" s="11">
        <f t="shared" si="47"/>
      </c>
      <c r="G6117" s="22" cm="1">
        <f t="array" ref="G6117">IF(AND(Inputs!$C$60,Inputs!$C$61),INDEX(Utility_Rates!$C$29:$F$52,HOUR(C6117)+Inputs!$C$69,MATCH(INDEX(Utility_Rates!$K$6:$K$17,MONTH(C6117))&amp;IF(WEEKDAY(C6117,Inputs!$C$76)&lt;=Inputs!$C$74," weekday"," weekend"),Utility_Rates!$C$28:$F$28,Inputs!$C$68)),"")</f>
      </c>
      <c r="H6117" s="34"/>
      <c r="I6117" s="42">
        <f>IF(AND(ISNUMBER(D6117),ISNUMBER(H6117)),D6117*H6117*Inputs!$C$69,"")</f>
      </c>
      <c r="J6117" s="42">
        <f>IF(AND(ISNUMBER(F6117),ISNUMBER(H6117),F6117&gt;=Inputs!$C$68),F6117*H6117*Inputs!$C$69,"")</f>
      </c>
    </row>
    <row r="6118" spans="2:10" ht="15" customHeight="1" x14ac:dyDescent="0.2">
      <c r="B6118" s="39">
        <f t="shared" si="46"/>
      </c>
      <c r="C6118" s="40">
        <f>IF(Inputs!$C$60,Inputs!$C$11+(B6118-Inputs!$C$69)/Inputs!$C$70,"")</f>
      </c>
      <c r="D6118" s="15"/>
      <c r="E6118" s="15"/>
      <c r="F6118" s="11">
        <f t="shared" si="47"/>
      </c>
      <c r="G6118" s="22" cm="1">
        <f t="array" ref="G6118">IF(AND(Inputs!$C$60,Inputs!$C$61),INDEX(Utility_Rates!$C$29:$F$52,HOUR(C6118)+Inputs!$C$69,MATCH(INDEX(Utility_Rates!$K$6:$K$17,MONTH(C6118))&amp;IF(WEEKDAY(C6118,Inputs!$C$76)&lt;=Inputs!$C$74," weekday"," weekend"),Utility_Rates!$C$28:$F$28,Inputs!$C$68)),"")</f>
      </c>
      <c r="H6118" s="34"/>
      <c r="I6118" s="42">
        <f>IF(AND(ISNUMBER(D6118),ISNUMBER(H6118)),D6118*H6118*Inputs!$C$69,"")</f>
      </c>
      <c r="J6118" s="42">
        <f>IF(AND(ISNUMBER(F6118),ISNUMBER(H6118),F6118&gt;=Inputs!$C$68),F6118*H6118*Inputs!$C$69,"")</f>
      </c>
    </row>
    <row r="6119" spans="2:10" ht="15" customHeight="1" x14ac:dyDescent="0.2">
      <c r="B6119" s="39">
        <f t="shared" si="46"/>
      </c>
      <c r="C6119" s="40">
        <f>IF(Inputs!$C$60,Inputs!$C$11+(B6119-Inputs!$C$69)/Inputs!$C$70,"")</f>
      </c>
      <c r="D6119" s="15"/>
      <c r="E6119" s="15"/>
      <c r="F6119" s="11">
        <f t="shared" si="47"/>
      </c>
      <c r="G6119" s="22" cm="1">
        <f t="array" ref="G6119">IF(AND(Inputs!$C$60,Inputs!$C$61),INDEX(Utility_Rates!$C$29:$F$52,HOUR(C6119)+Inputs!$C$69,MATCH(INDEX(Utility_Rates!$K$6:$K$17,MONTH(C6119))&amp;IF(WEEKDAY(C6119,Inputs!$C$76)&lt;=Inputs!$C$74," weekday"," weekend"),Utility_Rates!$C$28:$F$28,Inputs!$C$68)),"")</f>
      </c>
      <c r="H6119" s="34"/>
      <c r="I6119" s="42">
        <f>IF(AND(ISNUMBER(D6119),ISNUMBER(H6119)),D6119*H6119*Inputs!$C$69,"")</f>
      </c>
      <c r="J6119" s="42">
        <f>IF(AND(ISNUMBER(F6119),ISNUMBER(H6119),F6119&gt;=Inputs!$C$68),F6119*H6119*Inputs!$C$69,"")</f>
      </c>
    </row>
    <row r="6120" spans="2:10" ht="15" customHeight="1" x14ac:dyDescent="0.2">
      <c r="B6120" s="39">
        <f t="shared" si="46"/>
      </c>
      <c r="C6120" s="40">
        <f>IF(Inputs!$C$60,Inputs!$C$11+(B6120-Inputs!$C$69)/Inputs!$C$70,"")</f>
      </c>
      <c r="D6120" s="15"/>
      <c r="E6120" s="15"/>
      <c r="F6120" s="11">
        <f t="shared" si="47"/>
      </c>
      <c r="G6120" s="22" cm="1">
        <f t="array" ref="G6120">IF(AND(Inputs!$C$60,Inputs!$C$61),INDEX(Utility_Rates!$C$29:$F$52,HOUR(C6120)+Inputs!$C$69,MATCH(INDEX(Utility_Rates!$K$6:$K$17,MONTH(C6120))&amp;IF(WEEKDAY(C6120,Inputs!$C$76)&lt;=Inputs!$C$74," weekday"," weekend"),Utility_Rates!$C$28:$F$28,Inputs!$C$68)),"")</f>
      </c>
      <c r="H6120" s="34"/>
      <c r="I6120" s="42">
        <f>IF(AND(ISNUMBER(D6120),ISNUMBER(H6120)),D6120*H6120*Inputs!$C$69,"")</f>
      </c>
      <c r="J6120" s="42">
        <f>IF(AND(ISNUMBER(F6120),ISNUMBER(H6120),F6120&gt;=Inputs!$C$68),F6120*H6120*Inputs!$C$69,"")</f>
      </c>
    </row>
    <row r="6121" spans="2:10" ht="15" customHeight="1" x14ac:dyDescent="0.2">
      <c r="B6121" s="39">
        <f t="shared" si="46"/>
      </c>
      <c r="C6121" s="40">
        <f>IF(Inputs!$C$60,Inputs!$C$11+(B6121-Inputs!$C$69)/Inputs!$C$70,"")</f>
      </c>
      <c r="D6121" s="15"/>
      <c r="E6121" s="15"/>
      <c r="F6121" s="11">
        <f t="shared" si="47"/>
      </c>
      <c r="G6121" s="22" cm="1">
        <f t="array" ref="G6121">IF(AND(Inputs!$C$60,Inputs!$C$61),INDEX(Utility_Rates!$C$29:$F$52,HOUR(C6121)+Inputs!$C$69,MATCH(INDEX(Utility_Rates!$K$6:$K$17,MONTH(C6121))&amp;IF(WEEKDAY(C6121,Inputs!$C$76)&lt;=Inputs!$C$74," weekday"," weekend"),Utility_Rates!$C$28:$F$28,Inputs!$C$68)),"")</f>
      </c>
      <c r="H6121" s="34"/>
      <c r="I6121" s="42">
        <f>IF(AND(ISNUMBER(D6121),ISNUMBER(H6121)),D6121*H6121*Inputs!$C$69,"")</f>
      </c>
      <c r="J6121" s="42">
        <f>IF(AND(ISNUMBER(F6121),ISNUMBER(H6121),F6121&gt;=Inputs!$C$68),F6121*H6121*Inputs!$C$69,"")</f>
      </c>
    </row>
    <row r="6122" spans="2:10" ht="15" customHeight="1" x14ac:dyDescent="0.2">
      <c r="B6122" s="39">
        <f t="shared" si="46"/>
      </c>
      <c r="C6122" s="40">
        <f>IF(Inputs!$C$60,Inputs!$C$11+(B6122-Inputs!$C$69)/Inputs!$C$70,"")</f>
      </c>
      <c r="D6122" s="15"/>
      <c r="E6122" s="15"/>
      <c r="F6122" s="11">
        <f t="shared" si="47"/>
      </c>
      <c r="G6122" s="22" cm="1">
        <f t="array" ref="G6122">IF(AND(Inputs!$C$60,Inputs!$C$61),INDEX(Utility_Rates!$C$29:$F$52,HOUR(C6122)+Inputs!$C$69,MATCH(INDEX(Utility_Rates!$K$6:$K$17,MONTH(C6122))&amp;IF(WEEKDAY(C6122,Inputs!$C$76)&lt;=Inputs!$C$74," weekday"," weekend"),Utility_Rates!$C$28:$F$28,Inputs!$C$68)),"")</f>
      </c>
      <c r="H6122" s="34"/>
      <c r="I6122" s="42">
        <f>IF(AND(ISNUMBER(D6122),ISNUMBER(H6122)),D6122*H6122*Inputs!$C$69,"")</f>
      </c>
      <c r="J6122" s="42">
        <f>IF(AND(ISNUMBER(F6122),ISNUMBER(H6122),F6122&gt;=Inputs!$C$68),F6122*H6122*Inputs!$C$69,"")</f>
      </c>
    </row>
    <row r="6123" spans="2:10" ht="15" customHeight="1" x14ac:dyDescent="0.2">
      <c r="B6123" s="39">
        <f t="shared" si="46"/>
      </c>
      <c r="C6123" s="40">
        <f>IF(Inputs!$C$60,Inputs!$C$11+(B6123-Inputs!$C$69)/Inputs!$C$70,"")</f>
      </c>
      <c r="D6123" s="15"/>
      <c r="E6123" s="15"/>
      <c r="F6123" s="11">
        <f t="shared" si="47"/>
      </c>
      <c r="G6123" s="22" cm="1">
        <f t="array" ref="G6123">IF(AND(Inputs!$C$60,Inputs!$C$61),INDEX(Utility_Rates!$C$29:$F$52,HOUR(C6123)+Inputs!$C$69,MATCH(INDEX(Utility_Rates!$K$6:$K$17,MONTH(C6123))&amp;IF(WEEKDAY(C6123,Inputs!$C$76)&lt;=Inputs!$C$74," weekday"," weekend"),Utility_Rates!$C$28:$F$28,Inputs!$C$68)),"")</f>
      </c>
      <c r="H6123" s="34"/>
      <c r="I6123" s="42">
        <f>IF(AND(ISNUMBER(D6123),ISNUMBER(H6123)),D6123*H6123*Inputs!$C$69,"")</f>
      </c>
      <c r="J6123" s="42">
        <f>IF(AND(ISNUMBER(F6123),ISNUMBER(H6123),F6123&gt;=Inputs!$C$68),F6123*H6123*Inputs!$C$69,"")</f>
      </c>
    </row>
    <row r="6124" spans="2:10" ht="15" customHeight="1" x14ac:dyDescent="0.2">
      <c r="B6124" s="39">
        <f t="shared" si="46"/>
      </c>
      <c r="C6124" s="40">
        <f>IF(Inputs!$C$60,Inputs!$C$11+(B6124-Inputs!$C$69)/Inputs!$C$70,"")</f>
      </c>
      <c r="D6124" s="15"/>
      <c r="E6124" s="15"/>
      <c r="F6124" s="11">
        <f t="shared" si="47"/>
      </c>
      <c r="G6124" s="22" cm="1">
        <f t="array" ref="G6124">IF(AND(Inputs!$C$60,Inputs!$C$61),INDEX(Utility_Rates!$C$29:$F$52,HOUR(C6124)+Inputs!$C$69,MATCH(INDEX(Utility_Rates!$K$6:$K$17,MONTH(C6124))&amp;IF(WEEKDAY(C6124,Inputs!$C$76)&lt;=Inputs!$C$74," weekday"," weekend"),Utility_Rates!$C$28:$F$28,Inputs!$C$68)),"")</f>
      </c>
      <c r="H6124" s="34"/>
      <c r="I6124" s="42">
        <f>IF(AND(ISNUMBER(D6124),ISNUMBER(H6124)),D6124*H6124*Inputs!$C$69,"")</f>
      </c>
      <c r="J6124" s="42">
        <f>IF(AND(ISNUMBER(F6124),ISNUMBER(H6124),F6124&gt;=Inputs!$C$68),F6124*H6124*Inputs!$C$69,"")</f>
      </c>
    </row>
    <row r="6125" spans="2:10" ht="15" customHeight="1" x14ac:dyDescent="0.2">
      <c r="B6125" s="39">
        <f t="shared" si="46"/>
      </c>
      <c r="C6125" s="40">
        <f>IF(Inputs!$C$60,Inputs!$C$11+(B6125-Inputs!$C$69)/Inputs!$C$70,"")</f>
      </c>
      <c r="D6125" s="15"/>
      <c r="E6125" s="15"/>
      <c r="F6125" s="11">
        <f t="shared" si="47"/>
      </c>
      <c r="G6125" s="22" cm="1">
        <f t="array" ref="G6125">IF(AND(Inputs!$C$60,Inputs!$C$61),INDEX(Utility_Rates!$C$29:$F$52,HOUR(C6125)+Inputs!$C$69,MATCH(INDEX(Utility_Rates!$K$6:$K$17,MONTH(C6125))&amp;IF(WEEKDAY(C6125,Inputs!$C$76)&lt;=Inputs!$C$74," weekday"," weekend"),Utility_Rates!$C$28:$F$28,Inputs!$C$68)),"")</f>
      </c>
      <c r="H6125" s="34"/>
      <c r="I6125" s="42">
        <f>IF(AND(ISNUMBER(D6125),ISNUMBER(H6125)),D6125*H6125*Inputs!$C$69,"")</f>
      </c>
      <c r="J6125" s="42">
        <f>IF(AND(ISNUMBER(F6125),ISNUMBER(H6125),F6125&gt;=Inputs!$C$68),F6125*H6125*Inputs!$C$69,"")</f>
      </c>
    </row>
    <row r="6126" spans="2:10" ht="15" customHeight="1" x14ac:dyDescent="0.2">
      <c r="B6126" s="39">
        <f t="shared" ref="B6126:B6380" si="48">ROW()-ROW($B$5)</f>
      </c>
      <c r="C6126" s="40">
        <f>IF(Inputs!$C$60,Inputs!$C$11+(B6126-Inputs!$C$69)/Inputs!$C$70,"")</f>
      </c>
      <c r="D6126" s="15"/>
      <c r="E6126" s="15"/>
      <c r="F6126" s="11">
        <f t="shared" ref="F6126:F6380" si="49">IF(COUNT(D6126:E6126)=COLUMNS(D6126:E6126),D6126-E6126,"")</f>
      </c>
      <c r="G6126" s="22" cm="1">
        <f t="array" ref="G6126">IF(AND(Inputs!$C$60,Inputs!$C$61),INDEX(Utility_Rates!$C$29:$F$52,HOUR(C6126)+Inputs!$C$69,MATCH(INDEX(Utility_Rates!$K$6:$K$17,MONTH(C6126))&amp;IF(WEEKDAY(C6126,Inputs!$C$76)&lt;=Inputs!$C$74," weekday"," weekend"),Utility_Rates!$C$28:$F$28,Inputs!$C$68)),"")</f>
      </c>
      <c r="H6126" s="34"/>
      <c r="I6126" s="42">
        <f>IF(AND(ISNUMBER(D6126),ISNUMBER(H6126)),D6126*H6126*Inputs!$C$69,"")</f>
      </c>
      <c r="J6126" s="42">
        <f>IF(AND(ISNUMBER(F6126),ISNUMBER(H6126),F6126&gt;=Inputs!$C$68),F6126*H6126*Inputs!$C$69,"")</f>
      </c>
    </row>
    <row r="6127" spans="2:10" ht="15" customHeight="1" x14ac:dyDescent="0.2">
      <c r="B6127" s="39">
        <f t="shared" si="48"/>
      </c>
      <c r="C6127" s="40">
        <f>IF(Inputs!$C$60,Inputs!$C$11+(B6127-Inputs!$C$69)/Inputs!$C$70,"")</f>
      </c>
      <c r="D6127" s="15"/>
      <c r="E6127" s="15"/>
      <c r="F6127" s="11">
        <f t="shared" si="49"/>
      </c>
      <c r="G6127" s="22" cm="1">
        <f t="array" ref="G6127">IF(AND(Inputs!$C$60,Inputs!$C$61),INDEX(Utility_Rates!$C$29:$F$52,HOUR(C6127)+Inputs!$C$69,MATCH(INDEX(Utility_Rates!$K$6:$K$17,MONTH(C6127))&amp;IF(WEEKDAY(C6127,Inputs!$C$76)&lt;=Inputs!$C$74," weekday"," weekend"),Utility_Rates!$C$28:$F$28,Inputs!$C$68)),"")</f>
      </c>
      <c r="H6127" s="34"/>
      <c r="I6127" s="42">
        <f>IF(AND(ISNUMBER(D6127),ISNUMBER(H6127)),D6127*H6127*Inputs!$C$69,"")</f>
      </c>
      <c r="J6127" s="42">
        <f>IF(AND(ISNUMBER(F6127),ISNUMBER(H6127),F6127&gt;=Inputs!$C$68),F6127*H6127*Inputs!$C$69,"")</f>
      </c>
    </row>
    <row r="6128" spans="2:10" ht="15" customHeight="1" x14ac:dyDescent="0.2">
      <c r="B6128" s="39">
        <f t="shared" si="48"/>
      </c>
      <c r="C6128" s="40">
        <f>IF(Inputs!$C$60,Inputs!$C$11+(B6128-Inputs!$C$69)/Inputs!$C$70,"")</f>
      </c>
      <c r="D6128" s="15"/>
      <c r="E6128" s="15"/>
      <c r="F6128" s="11">
        <f t="shared" si="49"/>
      </c>
      <c r="G6128" s="22" cm="1">
        <f t="array" ref="G6128">IF(AND(Inputs!$C$60,Inputs!$C$61),INDEX(Utility_Rates!$C$29:$F$52,HOUR(C6128)+Inputs!$C$69,MATCH(INDEX(Utility_Rates!$K$6:$K$17,MONTH(C6128))&amp;IF(WEEKDAY(C6128,Inputs!$C$76)&lt;=Inputs!$C$74," weekday"," weekend"),Utility_Rates!$C$28:$F$28,Inputs!$C$68)),"")</f>
      </c>
      <c r="H6128" s="34"/>
      <c r="I6128" s="42">
        <f>IF(AND(ISNUMBER(D6128),ISNUMBER(H6128)),D6128*H6128*Inputs!$C$69,"")</f>
      </c>
      <c r="J6128" s="42">
        <f>IF(AND(ISNUMBER(F6128),ISNUMBER(H6128),F6128&gt;=Inputs!$C$68),F6128*H6128*Inputs!$C$69,"")</f>
      </c>
    </row>
    <row r="6129" spans="2:10" ht="15" customHeight="1" x14ac:dyDescent="0.2">
      <c r="B6129" s="39">
        <f t="shared" si="48"/>
      </c>
      <c r="C6129" s="40">
        <f>IF(Inputs!$C$60,Inputs!$C$11+(B6129-Inputs!$C$69)/Inputs!$C$70,"")</f>
      </c>
      <c r="D6129" s="15"/>
      <c r="E6129" s="15"/>
      <c r="F6129" s="11">
        <f t="shared" si="49"/>
      </c>
      <c r="G6129" s="22" cm="1">
        <f t="array" ref="G6129">IF(AND(Inputs!$C$60,Inputs!$C$61),INDEX(Utility_Rates!$C$29:$F$52,HOUR(C6129)+Inputs!$C$69,MATCH(INDEX(Utility_Rates!$K$6:$K$17,MONTH(C6129))&amp;IF(WEEKDAY(C6129,Inputs!$C$76)&lt;=Inputs!$C$74," weekday"," weekend"),Utility_Rates!$C$28:$F$28,Inputs!$C$68)),"")</f>
      </c>
      <c r="H6129" s="34"/>
      <c r="I6129" s="42">
        <f>IF(AND(ISNUMBER(D6129),ISNUMBER(H6129)),D6129*H6129*Inputs!$C$69,"")</f>
      </c>
      <c r="J6129" s="42">
        <f>IF(AND(ISNUMBER(F6129),ISNUMBER(H6129),F6129&gt;=Inputs!$C$68),F6129*H6129*Inputs!$C$69,"")</f>
      </c>
    </row>
    <row r="6130" spans="2:10" ht="15" customHeight="1" x14ac:dyDescent="0.2">
      <c r="B6130" s="39">
        <f t="shared" si="48"/>
      </c>
      <c r="C6130" s="40">
        <f>IF(Inputs!$C$60,Inputs!$C$11+(B6130-Inputs!$C$69)/Inputs!$C$70,"")</f>
      </c>
      <c r="D6130" s="15"/>
      <c r="E6130" s="15"/>
      <c r="F6130" s="11">
        <f t="shared" si="49"/>
      </c>
      <c r="G6130" s="22" cm="1">
        <f t="array" ref="G6130">IF(AND(Inputs!$C$60,Inputs!$C$61),INDEX(Utility_Rates!$C$29:$F$52,HOUR(C6130)+Inputs!$C$69,MATCH(INDEX(Utility_Rates!$K$6:$K$17,MONTH(C6130))&amp;IF(WEEKDAY(C6130,Inputs!$C$76)&lt;=Inputs!$C$74," weekday"," weekend"),Utility_Rates!$C$28:$F$28,Inputs!$C$68)),"")</f>
      </c>
      <c r="H6130" s="34"/>
      <c r="I6130" s="42">
        <f>IF(AND(ISNUMBER(D6130),ISNUMBER(H6130)),D6130*H6130*Inputs!$C$69,"")</f>
      </c>
      <c r="J6130" s="42">
        <f>IF(AND(ISNUMBER(F6130),ISNUMBER(H6130),F6130&gt;=Inputs!$C$68),F6130*H6130*Inputs!$C$69,"")</f>
      </c>
    </row>
    <row r="6131" spans="2:10" ht="15" customHeight="1" x14ac:dyDescent="0.2">
      <c r="B6131" s="39">
        <f t="shared" si="48"/>
      </c>
      <c r="C6131" s="40">
        <f>IF(Inputs!$C$60,Inputs!$C$11+(B6131-Inputs!$C$69)/Inputs!$C$70,"")</f>
      </c>
      <c r="D6131" s="15"/>
      <c r="E6131" s="15"/>
      <c r="F6131" s="11">
        <f t="shared" si="49"/>
      </c>
      <c r="G6131" s="22" cm="1">
        <f t="array" ref="G6131">IF(AND(Inputs!$C$60,Inputs!$C$61),INDEX(Utility_Rates!$C$29:$F$52,HOUR(C6131)+Inputs!$C$69,MATCH(INDEX(Utility_Rates!$K$6:$K$17,MONTH(C6131))&amp;IF(WEEKDAY(C6131,Inputs!$C$76)&lt;=Inputs!$C$74," weekday"," weekend"),Utility_Rates!$C$28:$F$28,Inputs!$C$68)),"")</f>
      </c>
      <c r="H6131" s="34"/>
      <c r="I6131" s="42">
        <f>IF(AND(ISNUMBER(D6131),ISNUMBER(H6131)),D6131*H6131*Inputs!$C$69,"")</f>
      </c>
      <c r="J6131" s="42">
        <f>IF(AND(ISNUMBER(F6131),ISNUMBER(H6131),F6131&gt;=Inputs!$C$68),F6131*H6131*Inputs!$C$69,"")</f>
      </c>
    </row>
    <row r="6132" spans="2:10" ht="15" customHeight="1" x14ac:dyDescent="0.2">
      <c r="B6132" s="39">
        <f t="shared" si="48"/>
      </c>
      <c r="C6132" s="40">
        <f>IF(Inputs!$C$60,Inputs!$C$11+(B6132-Inputs!$C$69)/Inputs!$C$70,"")</f>
      </c>
      <c r="D6132" s="15"/>
      <c r="E6132" s="15"/>
      <c r="F6132" s="11">
        <f t="shared" si="49"/>
      </c>
      <c r="G6132" s="22" cm="1">
        <f t="array" ref="G6132">IF(AND(Inputs!$C$60,Inputs!$C$61),INDEX(Utility_Rates!$C$29:$F$52,HOUR(C6132)+Inputs!$C$69,MATCH(INDEX(Utility_Rates!$K$6:$K$17,MONTH(C6132))&amp;IF(WEEKDAY(C6132,Inputs!$C$76)&lt;=Inputs!$C$74," weekday"," weekend"),Utility_Rates!$C$28:$F$28,Inputs!$C$68)),"")</f>
      </c>
      <c r="H6132" s="34"/>
      <c r="I6132" s="42">
        <f>IF(AND(ISNUMBER(D6132),ISNUMBER(H6132)),D6132*H6132*Inputs!$C$69,"")</f>
      </c>
      <c r="J6132" s="42">
        <f>IF(AND(ISNUMBER(F6132),ISNUMBER(H6132),F6132&gt;=Inputs!$C$68),F6132*H6132*Inputs!$C$69,"")</f>
      </c>
    </row>
    <row r="6133" spans="2:10" ht="15" customHeight="1" x14ac:dyDescent="0.2">
      <c r="B6133" s="39">
        <f t="shared" si="48"/>
      </c>
      <c r="C6133" s="40">
        <f>IF(Inputs!$C$60,Inputs!$C$11+(B6133-Inputs!$C$69)/Inputs!$C$70,"")</f>
      </c>
      <c r="D6133" s="15"/>
      <c r="E6133" s="15"/>
      <c r="F6133" s="11">
        <f t="shared" si="49"/>
      </c>
      <c r="G6133" s="22" cm="1">
        <f t="array" ref="G6133">IF(AND(Inputs!$C$60,Inputs!$C$61),INDEX(Utility_Rates!$C$29:$F$52,HOUR(C6133)+Inputs!$C$69,MATCH(INDEX(Utility_Rates!$K$6:$K$17,MONTH(C6133))&amp;IF(WEEKDAY(C6133,Inputs!$C$76)&lt;=Inputs!$C$74," weekday"," weekend"),Utility_Rates!$C$28:$F$28,Inputs!$C$68)),"")</f>
      </c>
      <c r="H6133" s="34"/>
      <c r="I6133" s="42">
        <f>IF(AND(ISNUMBER(D6133),ISNUMBER(H6133)),D6133*H6133*Inputs!$C$69,"")</f>
      </c>
      <c r="J6133" s="42">
        <f>IF(AND(ISNUMBER(F6133),ISNUMBER(H6133),F6133&gt;=Inputs!$C$68),F6133*H6133*Inputs!$C$69,"")</f>
      </c>
    </row>
    <row r="6134" spans="2:10" ht="15" customHeight="1" x14ac:dyDescent="0.2">
      <c r="B6134" s="39">
        <f t="shared" si="48"/>
      </c>
      <c r="C6134" s="40">
        <f>IF(Inputs!$C$60,Inputs!$C$11+(B6134-Inputs!$C$69)/Inputs!$C$70,"")</f>
      </c>
      <c r="D6134" s="15"/>
      <c r="E6134" s="15"/>
      <c r="F6134" s="11">
        <f t="shared" si="49"/>
      </c>
      <c r="G6134" s="22" cm="1">
        <f t="array" ref="G6134">IF(AND(Inputs!$C$60,Inputs!$C$61),INDEX(Utility_Rates!$C$29:$F$52,HOUR(C6134)+Inputs!$C$69,MATCH(INDEX(Utility_Rates!$K$6:$K$17,MONTH(C6134))&amp;IF(WEEKDAY(C6134,Inputs!$C$76)&lt;=Inputs!$C$74," weekday"," weekend"),Utility_Rates!$C$28:$F$28,Inputs!$C$68)),"")</f>
      </c>
      <c r="H6134" s="34"/>
      <c r="I6134" s="42">
        <f>IF(AND(ISNUMBER(D6134),ISNUMBER(H6134)),D6134*H6134*Inputs!$C$69,"")</f>
      </c>
      <c r="J6134" s="42">
        <f>IF(AND(ISNUMBER(F6134),ISNUMBER(H6134),F6134&gt;=Inputs!$C$68),F6134*H6134*Inputs!$C$69,"")</f>
      </c>
    </row>
    <row r="6135" spans="2:10" ht="15" customHeight="1" x14ac:dyDescent="0.2">
      <c r="B6135" s="39">
        <f t="shared" si="48"/>
      </c>
      <c r="C6135" s="40">
        <f>IF(Inputs!$C$60,Inputs!$C$11+(B6135-Inputs!$C$69)/Inputs!$C$70,"")</f>
      </c>
      <c r="D6135" s="15"/>
      <c r="E6135" s="15"/>
      <c r="F6135" s="11">
        <f t="shared" si="49"/>
      </c>
      <c r="G6135" s="22" cm="1">
        <f t="array" ref="G6135">IF(AND(Inputs!$C$60,Inputs!$C$61),INDEX(Utility_Rates!$C$29:$F$52,HOUR(C6135)+Inputs!$C$69,MATCH(INDEX(Utility_Rates!$K$6:$K$17,MONTH(C6135))&amp;IF(WEEKDAY(C6135,Inputs!$C$76)&lt;=Inputs!$C$74," weekday"," weekend"),Utility_Rates!$C$28:$F$28,Inputs!$C$68)),"")</f>
      </c>
      <c r="H6135" s="34"/>
      <c r="I6135" s="42">
        <f>IF(AND(ISNUMBER(D6135),ISNUMBER(H6135)),D6135*H6135*Inputs!$C$69,"")</f>
      </c>
      <c r="J6135" s="42">
        <f>IF(AND(ISNUMBER(F6135),ISNUMBER(H6135),F6135&gt;=Inputs!$C$68),F6135*H6135*Inputs!$C$69,"")</f>
      </c>
    </row>
    <row r="6136" spans="2:10" ht="15" customHeight="1" x14ac:dyDescent="0.2">
      <c r="B6136" s="39">
        <f t="shared" si="48"/>
      </c>
      <c r="C6136" s="40">
        <f>IF(Inputs!$C$60,Inputs!$C$11+(B6136-Inputs!$C$69)/Inputs!$C$70,"")</f>
      </c>
      <c r="D6136" s="15"/>
      <c r="E6136" s="15"/>
      <c r="F6136" s="11">
        <f t="shared" si="49"/>
      </c>
      <c r="G6136" s="22" cm="1">
        <f t="array" ref="G6136">IF(AND(Inputs!$C$60,Inputs!$C$61),INDEX(Utility_Rates!$C$29:$F$52,HOUR(C6136)+Inputs!$C$69,MATCH(INDEX(Utility_Rates!$K$6:$K$17,MONTH(C6136))&amp;IF(WEEKDAY(C6136,Inputs!$C$76)&lt;=Inputs!$C$74," weekday"," weekend"),Utility_Rates!$C$28:$F$28,Inputs!$C$68)),"")</f>
      </c>
      <c r="H6136" s="34"/>
      <c r="I6136" s="42">
        <f>IF(AND(ISNUMBER(D6136),ISNUMBER(H6136)),D6136*H6136*Inputs!$C$69,"")</f>
      </c>
      <c r="J6136" s="42">
        <f>IF(AND(ISNUMBER(F6136),ISNUMBER(H6136),F6136&gt;=Inputs!$C$68),F6136*H6136*Inputs!$C$69,"")</f>
      </c>
    </row>
    <row r="6137" spans="2:10" ht="15" customHeight="1" x14ac:dyDescent="0.2">
      <c r="B6137" s="39">
        <f t="shared" si="48"/>
      </c>
      <c r="C6137" s="40">
        <f>IF(Inputs!$C$60,Inputs!$C$11+(B6137-Inputs!$C$69)/Inputs!$C$70,"")</f>
      </c>
      <c r="D6137" s="15"/>
      <c r="E6137" s="15"/>
      <c r="F6137" s="11">
        <f t="shared" si="49"/>
      </c>
      <c r="G6137" s="22" cm="1">
        <f t="array" ref="G6137">IF(AND(Inputs!$C$60,Inputs!$C$61),INDEX(Utility_Rates!$C$29:$F$52,HOUR(C6137)+Inputs!$C$69,MATCH(INDEX(Utility_Rates!$K$6:$K$17,MONTH(C6137))&amp;IF(WEEKDAY(C6137,Inputs!$C$76)&lt;=Inputs!$C$74," weekday"," weekend"),Utility_Rates!$C$28:$F$28,Inputs!$C$68)),"")</f>
      </c>
      <c r="H6137" s="34"/>
      <c r="I6137" s="42">
        <f>IF(AND(ISNUMBER(D6137),ISNUMBER(H6137)),D6137*H6137*Inputs!$C$69,"")</f>
      </c>
      <c r="J6137" s="42">
        <f>IF(AND(ISNUMBER(F6137),ISNUMBER(H6137),F6137&gt;=Inputs!$C$68),F6137*H6137*Inputs!$C$69,"")</f>
      </c>
    </row>
    <row r="6138" spans="2:10" ht="15" customHeight="1" x14ac:dyDescent="0.2">
      <c r="B6138" s="39">
        <f t="shared" si="48"/>
      </c>
      <c r="C6138" s="40">
        <f>IF(Inputs!$C$60,Inputs!$C$11+(B6138-Inputs!$C$69)/Inputs!$C$70,"")</f>
      </c>
      <c r="D6138" s="15"/>
      <c r="E6138" s="15"/>
      <c r="F6138" s="11">
        <f t="shared" si="49"/>
      </c>
      <c r="G6138" s="22" cm="1">
        <f t="array" ref="G6138">IF(AND(Inputs!$C$60,Inputs!$C$61),INDEX(Utility_Rates!$C$29:$F$52,HOUR(C6138)+Inputs!$C$69,MATCH(INDEX(Utility_Rates!$K$6:$K$17,MONTH(C6138))&amp;IF(WEEKDAY(C6138,Inputs!$C$76)&lt;=Inputs!$C$74," weekday"," weekend"),Utility_Rates!$C$28:$F$28,Inputs!$C$68)),"")</f>
      </c>
      <c r="H6138" s="34"/>
      <c r="I6138" s="42">
        <f>IF(AND(ISNUMBER(D6138),ISNUMBER(H6138)),D6138*H6138*Inputs!$C$69,"")</f>
      </c>
      <c r="J6138" s="42">
        <f>IF(AND(ISNUMBER(F6138),ISNUMBER(H6138),F6138&gt;=Inputs!$C$68),F6138*H6138*Inputs!$C$69,"")</f>
      </c>
    </row>
    <row r="6139" spans="2:10" ht="15" customHeight="1" x14ac:dyDescent="0.2">
      <c r="B6139" s="39">
        <f t="shared" si="48"/>
      </c>
      <c r="C6139" s="40">
        <f>IF(Inputs!$C$60,Inputs!$C$11+(B6139-Inputs!$C$69)/Inputs!$C$70,"")</f>
      </c>
      <c r="D6139" s="15"/>
      <c r="E6139" s="15"/>
      <c r="F6139" s="11">
        <f t="shared" si="49"/>
      </c>
      <c r="G6139" s="22" cm="1">
        <f t="array" ref="G6139">IF(AND(Inputs!$C$60,Inputs!$C$61),INDEX(Utility_Rates!$C$29:$F$52,HOUR(C6139)+Inputs!$C$69,MATCH(INDEX(Utility_Rates!$K$6:$K$17,MONTH(C6139))&amp;IF(WEEKDAY(C6139,Inputs!$C$76)&lt;=Inputs!$C$74," weekday"," weekend"),Utility_Rates!$C$28:$F$28,Inputs!$C$68)),"")</f>
      </c>
      <c r="H6139" s="34"/>
      <c r="I6139" s="42">
        <f>IF(AND(ISNUMBER(D6139),ISNUMBER(H6139)),D6139*H6139*Inputs!$C$69,"")</f>
      </c>
      <c r="J6139" s="42">
        <f>IF(AND(ISNUMBER(F6139),ISNUMBER(H6139),F6139&gt;=Inputs!$C$68),F6139*H6139*Inputs!$C$69,"")</f>
      </c>
    </row>
    <row r="6140" spans="2:10" ht="15" customHeight="1" x14ac:dyDescent="0.2">
      <c r="B6140" s="39">
        <f t="shared" si="48"/>
      </c>
      <c r="C6140" s="40">
        <f>IF(Inputs!$C$60,Inputs!$C$11+(B6140-Inputs!$C$69)/Inputs!$C$70,"")</f>
      </c>
      <c r="D6140" s="15"/>
      <c r="E6140" s="15"/>
      <c r="F6140" s="11">
        <f t="shared" si="49"/>
      </c>
      <c r="G6140" s="22" cm="1">
        <f t="array" ref="G6140">IF(AND(Inputs!$C$60,Inputs!$C$61),INDEX(Utility_Rates!$C$29:$F$52,HOUR(C6140)+Inputs!$C$69,MATCH(INDEX(Utility_Rates!$K$6:$K$17,MONTH(C6140))&amp;IF(WEEKDAY(C6140,Inputs!$C$76)&lt;=Inputs!$C$74," weekday"," weekend"),Utility_Rates!$C$28:$F$28,Inputs!$C$68)),"")</f>
      </c>
      <c r="H6140" s="34"/>
      <c r="I6140" s="42">
        <f>IF(AND(ISNUMBER(D6140),ISNUMBER(H6140)),D6140*H6140*Inputs!$C$69,"")</f>
      </c>
      <c r="J6140" s="42">
        <f>IF(AND(ISNUMBER(F6140),ISNUMBER(H6140),F6140&gt;=Inputs!$C$68),F6140*H6140*Inputs!$C$69,"")</f>
      </c>
    </row>
    <row r="6141" spans="2:10" ht="15" customHeight="1" x14ac:dyDescent="0.2">
      <c r="B6141" s="39">
        <f t="shared" si="48"/>
      </c>
      <c r="C6141" s="40">
        <f>IF(Inputs!$C$60,Inputs!$C$11+(B6141-Inputs!$C$69)/Inputs!$C$70,"")</f>
      </c>
      <c r="D6141" s="15"/>
      <c r="E6141" s="15"/>
      <c r="F6141" s="11">
        <f t="shared" si="49"/>
      </c>
      <c r="G6141" s="22" cm="1">
        <f t="array" ref="G6141">IF(AND(Inputs!$C$60,Inputs!$C$61),INDEX(Utility_Rates!$C$29:$F$52,HOUR(C6141)+Inputs!$C$69,MATCH(INDEX(Utility_Rates!$K$6:$K$17,MONTH(C6141))&amp;IF(WEEKDAY(C6141,Inputs!$C$76)&lt;=Inputs!$C$74," weekday"," weekend"),Utility_Rates!$C$28:$F$28,Inputs!$C$68)),"")</f>
      </c>
      <c r="H6141" s="34"/>
      <c r="I6141" s="42">
        <f>IF(AND(ISNUMBER(D6141),ISNUMBER(H6141)),D6141*H6141*Inputs!$C$69,"")</f>
      </c>
      <c r="J6141" s="42">
        <f>IF(AND(ISNUMBER(F6141),ISNUMBER(H6141),F6141&gt;=Inputs!$C$68),F6141*H6141*Inputs!$C$69,"")</f>
      </c>
    </row>
    <row r="6142" spans="2:10" ht="15" customHeight="1" x14ac:dyDescent="0.2">
      <c r="B6142" s="39">
        <f t="shared" si="48"/>
      </c>
      <c r="C6142" s="40">
        <f>IF(Inputs!$C$60,Inputs!$C$11+(B6142-Inputs!$C$69)/Inputs!$C$70,"")</f>
      </c>
      <c r="D6142" s="15"/>
      <c r="E6142" s="15"/>
      <c r="F6142" s="11">
        <f t="shared" si="49"/>
      </c>
      <c r="G6142" s="22" cm="1">
        <f t="array" ref="G6142">IF(AND(Inputs!$C$60,Inputs!$C$61),INDEX(Utility_Rates!$C$29:$F$52,HOUR(C6142)+Inputs!$C$69,MATCH(INDEX(Utility_Rates!$K$6:$K$17,MONTH(C6142))&amp;IF(WEEKDAY(C6142,Inputs!$C$76)&lt;=Inputs!$C$74," weekday"," weekend"),Utility_Rates!$C$28:$F$28,Inputs!$C$68)),"")</f>
      </c>
      <c r="H6142" s="34"/>
      <c r="I6142" s="42">
        <f>IF(AND(ISNUMBER(D6142),ISNUMBER(H6142)),D6142*H6142*Inputs!$C$69,"")</f>
      </c>
      <c r="J6142" s="42">
        <f>IF(AND(ISNUMBER(F6142),ISNUMBER(H6142),F6142&gt;=Inputs!$C$68),F6142*H6142*Inputs!$C$69,"")</f>
      </c>
    </row>
    <row r="6143" spans="2:10" ht="15" customHeight="1" x14ac:dyDescent="0.2">
      <c r="B6143" s="39">
        <f t="shared" si="48"/>
      </c>
      <c r="C6143" s="40">
        <f>IF(Inputs!$C$60,Inputs!$C$11+(B6143-Inputs!$C$69)/Inputs!$C$70,"")</f>
      </c>
      <c r="D6143" s="15"/>
      <c r="E6143" s="15"/>
      <c r="F6143" s="11">
        <f t="shared" si="49"/>
      </c>
      <c r="G6143" s="22" cm="1">
        <f t="array" ref="G6143">IF(AND(Inputs!$C$60,Inputs!$C$61),INDEX(Utility_Rates!$C$29:$F$52,HOUR(C6143)+Inputs!$C$69,MATCH(INDEX(Utility_Rates!$K$6:$K$17,MONTH(C6143))&amp;IF(WEEKDAY(C6143,Inputs!$C$76)&lt;=Inputs!$C$74," weekday"," weekend"),Utility_Rates!$C$28:$F$28,Inputs!$C$68)),"")</f>
      </c>
      <c r="H6143" s="34"/>
      <c r="I6143" s="42">
        <f>IF(AND(ISNUMBER(D6143),ISNUMBER(H6143)),D6143*H6143*Inputs!$C$69,"")</f>
      </c>
      <c r="J6143" s="42">
        <f>IF(AND(ISNUMBER(F6143),ISNUMBER(H6143),F6143&gt;=Inputs!$C$68),F6143*H6143*Inputs!$C$69,"")</f>
      </c>
    </row>
    <row r="6144" spans="2:10" ht="15" customHeight="1" x14ac:dyDescent="0.2">
      <c r="B6144" s="39">
        <f t="shared" si="48"/>
      </c>
      <c r="C6144" s="40">
        <f>IF(Inputs!$C$60,Inputs!$C$11+(B6144-Inputs!$C$69)/Inputs!$C$70,"")</f>
      </c>
      <c r="D6144" s="15"/>
      <c r="E6144" s="15"/>
      <c r="F6144" s="11">
        <f t="shared" si="49"/>
      </c>
      <c r="G6144" s="22" cm="1">
        <f t="array" ref="G6144">IF(AND(Inputs!$C$60,Inputs!$C$61),INDEX(Utility_Rates!$C$29:$F$52,HOUR(C6144)+Inputs!$C$69,MATCH(INDEX(Utility_Rates!$K$6:$K$17,MONTH(C6144))&amp;IF(WEEKDAY(C6144,Inputs!$C$76)&lt;=Inputs!$C$74," weekday"," weekend"),Utility_Rates!$C$28:$F$28,Inputs!$C$68)),"")</f>
      </c>
      <c r="H6144" s="34"/>
      <c r="I6144" s="42">
        <f>IF(AND(ISNUMBER(D6144),ISNUMBER(H6144)),D6144*H6144*Inputs!$C$69,"")</f>
      </c>
      <c r="J6144" s="42">
        <f>IF(AND(ISNUMBER(F6144),ISNUMBER(H6144),F6144&gt;=Inputs!$C$68),F6144*H6144*Inputs!$C$69,"")</f>
      </c>
    </row>
    <row r="6145" spans="2:10" ht="15" customHeight="1" x14ac:dyDescent="0.2">
      <c r="B6145" s="39">
        <f t="shared" si="48"/>
      </c>
      <c r="C6145" s="40">
        <f>IF(Inputs!$C$60,Inputs!$C$11+(B6145-Inputs!$C$69)/Inputs!$C$70,"")</f>
      </c>
      <c r="D6145" s="15"/>
      <c r="E6145" s="15"/>
      <c r="F6145" s="11">
        <f t="shared" si="49"/>
      </c>
      <c r="G6145" s="22" cm="1">
        <f t="array" ref="G6145">IF(AND(Inputs!$C$60,Inputs!$C$61),INDEX(Utility_Rates!$C$29:$F$52,HOUR(C6145)+Inputs!$C$69,MATCH(INDEX(Utility_Rates!$K$6:$K$17,MONTH(C6145))&amp;IF(WEEKDAY(C6145,Inputs!$C$76)&lt;=Inputs!$C$74," weekday"," weekend"),Utility_Rates!$C$28:$F$28,Inputs!$C$68)),"")</f>
      </c>
      <c r="H6145" s="34"/>
      <c r="I6145" s="42">
        <f>IF(AND(ISNUMBER(D6145),ISNUMBER(H6145)),D6145*H6145*Inputs!$C$69,"")</f>
      </c>
      <c r="J6145" s="42">
        <f>IF(AND(ISNUMBER(F6145),ISNUMBER(H6145),F6145&gt;=Inputs!$C$68),F6145*H6145*Inputs!$C$69,"")</f>
      </c>
    </row>
    <row r="6146" spans="2:10" ht="15" customHeight="1" x14ac:dyDescent="0.2">
      <c r="B6146" s="39">
        <f t="shared" si="48"/>
      </c>
      <c r="C6146" s="40">
        <f>IF(Inputs!$C$60,Inputs!$C$11+(B6146-Inputs!$C$69)/Inputs!$C$70,"")</f>
      </c>
      <c r="D6146" s="15"/>
      <c r="E6146" s="15"/>
      <c r="F6146" s="11">
        <f t="shared" si="49"/>
      </c>
      <c r="G6146" s="22" cm="1">
        <f t="array" ref="G6146">IF(AND(Inputs!$C$60,Inputs!$C$61),INDEX(Utility_Rates!$C$29:$F$52,HOUR(C6146)+Inputs!$C$69,MATCH(INDEX(Utility_Rates!$K$6:$K$17,MONTH(C6146))&amp;IF(WEEKDAY(C6146,Inputs!$C$76)&lt;=Inputs!$C$74," weekday"," weekend"),Utility_Rates!$C$28:$F$28,Inputs!$C$68)),"")</f>
      </c>
      <c r="H6146" s="34"/>
      <c r="I6146" s="42">
        <f>IF(AND(ISNUMBER(D6146),ISNUMBER(H6146)),D6146*H6146*Inputs!$C$69,"")</f>
      </c>
      <c r="J6146" s="42">
        <f>IF(AND(ISNUMBER(F6146),ISNUMBER(H6146),F6146&gt;=Inputs!$C$68),F6146*H6146*Inputs!$C$69,"")</f>
      </c>
    </row>
    <row r="6147" spans="2:10" ht="15" customHeight="1" x14ac:dyDescent="0.2">
      <c r="B6147" s="39">
        <f t="shared" si="48"/>
      </c>
      <c r="C6147" s="40">
        <f>IF(Inputs!$C$60,Inputs!$C$11+(B6147-Inputs!$C$69)/Inputs!$C$70,"")</f>
      </c>
      <c r="D6147" s="15"/>
      <c r="E6147" s="15"/>
      <c r="F6147" s="11">
        <f t="shared" si="49"/>
      </c>
      <c r="G6147" s="22" cm="1">
        <f t="array" ref="G6147">IF(AND(Inputs!$C$60,Inputs!$C$61),INDEX(Utility_Rates!$C$29:$F$52,HOUR(C6147)+Inputs!$C$69,MATCH(INDEX(Utility_Rates!$K$6:$K$17,MONTH(C6147))&amp;IF(WEEKDAY(C6147,Inputs!$C$76)&lt;=Inputs!$C$74," weekday"," weekend"),Utility_Rates!$C$28:$F$28,Inputs!$C$68)),"")</f>
      </c>
      <c r="H6147" s="34"/>
      <c r="I6147" s="42">
        <f>IF(AND(ISNUMBER(D6147),ISNUMBER(H6147)),D6147*H6147*Inputs!$C$69,"")</f>
      </c>
      <c r="J6147" s="42">
        <f>IF(AND(ISNUMBER(F6147),ISNUMBER(H6147),F6147&gt;=Inputs!$C$68),F6147*H6147*Inputs!$C$69,"")</f>
      </c>
    </row>
    <row r="6148" spans="2:10" ht="15" customHeight="1" x14ac:dyDescent="0.2">
      <c r="B6148" s="39">
        <f t="shared" si="48"/>
      </c>
      <c r="C6148" s="40">
        <f>IF(Inputs!$C$60,Inputs!$C$11+(B6148-Inputs!$C$69)/Inputs!$C$70,"")</f>
      </c>
      <c r="D6148" s="15"/>
      <c r="E6148" s="15"/>
      <c r="F6148" s="11">
        <f t="shared" si="49"/>
      </c>
      <c r="G6148" s="22" cm="1">
        <f t="array" ref="G6148">IF(AND(Inputs!$C$60,Inputs!$C$61),INDEX(Utility_Rates!$C$29:$F$52,HOUR(C6148)+Inputs!$C$69,MATCH(INDEX(Utility_Rates!$K$6:$K$17,MONTH(C6148))&amp;IF(WEEKDAY(C6148,Inputs!$C$76)&lt;=Inputs!$C$74," weekday"," weekend"),Utility_Rates!$C$28:$F$28,Inputs!$C$68)),"")</f>
      </c>
      <c r="H6148" s="34"/>
      <c r="I6148" s="42">
        <f>IF(AND(ISNUMBER(D6148),ISNUMBER(H6148)),D6148*H6148*Inputs!$C$69,"")</f>
      </c>
      <c r="J6148" s="42">
        <f>IF(AND(ISNUMBER(F6148),ISNUMBER(H6148),F6148&gt;=Inputs!$C$68),F6148*H6148*Inputs!$C$69,"")</f>
      </c>
    </row>
    <row r="6149" spans="2:10" ht="15" customHeight="1" x14ac:dyDescent="0.2">
      <c r="B6149" s="39">
        <f t="shared" si="48"/>
      </c>
      <c r="C6149" s="40">
        <f>IF(Inputs!$C$60,Inputs!$C$11+(B6149-Inputs!$C$69)/Inputs!$C$70,"")</f>
      </c>
      <c r="D6149" s="15"/>
      <c r="E6149" s="15"/>
      <c r="F6149" s="11">
        <f t="shared" si="49"/>
      </c>
      <c r="G6149" s="22" cm="1">
        <f t="array" ref="G6149">IF(AND(Inputs!$C$60,Inputs!$C$61),INDEX(Utility_Rates!$C$29:$F$52,HOUR(C6149)+Inputs!$C$69,MATCH(INDEX(Utility_Rates!$K$6:$K$17,MONTH(C6149))&amp;IF(WEEKDAY(C6149,Inputs!$C$76)&lt;=Inputs!$C$74," weekday"," weekend"),Utility_Rates!$C$28:$F$28,Inputs!$C$68)),"")</f>
      </c>
      <c r="H6149" s="34"/>
      <c r="I6149" s="42">
        <f>IF(AND(ISNUMBER(D6149),ISNUMBER(H6149)),D6149*H6149*Inputs!$C$69,"")</f>
      </c>
      <c r="J6149" s="42">
        <f>IF(AND(ISNUMBER(F6149),ISNUMBER(H6149),F6149&gt;=Inputs!$C$68),F6149*H6149*Inputs!$C$69,"")</f>
      </c>
    </row>
    <row r="6150" spans="2:10" ht="15" customHeight="1" x14ac:dyDescent="0.2">
      <c r="B6150" s="39">
        <f t="shared" si="48"/>
      </c>
      <c r="C6150" s="40">
        <f>IF(Inputs!$C$60,Inputs!$C$11+(B6150-Inputs!$C$69)/Inputs!$C$70,"")</f>
      </c>
      <c r="D6150" s="15"/>
      <c r="E6150" s="15"/>
      <c r="F6150" s="11">
        <f t="shared" si="49"/>
      </c>
      <c r="G6150" s="22" cm="1">
        <f t="array" ref="G6150">IF(AND(Inputs!$C$60,Inputs!$C$61),INDEX(Utility_Rates!$C$29:$F$52,HOUR(C6150)+Inputs!$C$69,MATCH(INDEX(Utility_Rates!$K$6:$K$17,MONTH(C6150))&amp;IF(WEEKDAY(C6150,Inputs!$C$76)&lt;=Inputs!$C$74," weekday"," weekend"),Utility_Rates!$C$28:$F$28,Inputs!$C$68)),"")</f>
      </c>
      <c r="H6150" s="34"/>
      <c r="I6150" s="42">
        <f>IF(AND(ISNUMBER(D6150),ISNUMBER(H6150)),D6150*H6150*Inputs!$C$69,"")</f>
      </c>
      <c r="J6150" s="42">
        <f>IF(AND(ISNUMBER(F6150),ISNUMBER(H6150),F6150&gt;=Inputs!$C$68),F6150*H6150*Inputs!$C$69,"")</f>
      </c>
    </row>
    <row r="6151" spans="2:10" ht="15" customHeight="1" x14ac:dyDescent="0.2">
      <c r="B6151" s="39">
        <f t="shared" si="48"/>
      </c>
      <c r="C6151" s="40">
        <f>IF(Inputs!$C$60,Inputs!$C$11+(B6151-Inputs!$C$69)/Inputs!$C$70,"")</f>
      </c>
      <c r="D6151" s="15"/>
      <c r="E6151" s="15"/>
      <c r="F6151" s="11">
        <f t="shared" si="49"/>
      </c>
      <c r="G6151" s="22" cm="1">
        <f t="array" ref="G6151">IF(AND(Inputs!$C$60,Inputs!$C$61),INDEX(Utility_Rates!$C$29:$F$52,HOUR(C6151)+Inputs!$C$69,MATCH(INDEX(Utility_Rates!$K$6:$K$17,MONTH(C6151))&amp;IF(WEEKDAY(C6151,Inputs!$C$76)&lt;=Inputs!$C$74," weekday"," weekend"),Utility_Rates!$C$28:$F$28,Inputs!$C$68)),"")</f>
      </c>
      <c r="H6151" s="34"/>
      <c r="I6151" s="42">
        <f>IF(AND(ISNUMBER(D6151),ISNUMBER(H6151)),D6151*H6151*Inputs!$C$69,"")</f>
      </c>
      <c r="J6151" s="42">
        <f>IF(AND(ISNUMBER(F6151),ISNUMBER(H6151),F6151&gt;=Inputs!$C$68),F6151*H6151*Inputs!$C$69,"")</f>
      </c>
    </row>
    <row r="6152" spans="2:10" ht="15" customHeight="1" x14ac:dyDescent="0.2">
      <c r="B6152" s="39">
        <f t="shared" si="48"/>
      </c>
      <c r="C6152" s="40">
        <f>IF(Inputs!$C$60,Inputs!$C$11+(B6152-Inputs!$C$69)/Inputs!$C$70,"")</f>
      </c>
      <c r="D6152" s="15"/>
      <c r="E6152" s="15"/>
      <c r="F6152" s="11">
        <f t="shared" si="49"/>
      </c>
      <c r="G6152" s="22" cm="1">
        <f t="array" ref="G6152">IF(AND(Inputs!$C$60,Inputs!$C$61),INDEX(Utility_Rates!$C$29:$F$52,HOUR(C6152)+Inputs!$C$69,MATCH(INDEX(Utility_Rates!$K$6:$K$17,MONTH(C6152))&amp;IF(WEEKDAY(C6152,Inputs!$C$76)&lt;=Inputs!$C$74," weekday"," weekend"),Utility_Rates!$C$28:$F$28,Inputs!$C$68)),"")</f>
      </c>
      <c r="H6152" s="34"/>
      <c r="I6152" s="42">
        <f>IF(AND(ISNUMBER(D6152),ISNUMBER(H6152)),D6152*H6152*Inputs!$C$69,"")</f>
      </c>
      <c r="J6152" s="42">
        <f>IF(AND(ISNUMBER(F6152),ISNUMBER(H6152),F6152&gt;=Inputs!$C$68),F6152*H6152*Inputs!$C$69,"")</f>
      </c>
    </row>
    <row r="6153" spans="2:10" ht="15" customHeight="1" x14ac:dyDescent="0.2">
      <c r="B6153" s="39">
        <f t="shared" si="48"/>
      </c>
      <c r="C6153" s="40">
        <f>IF(Inputs!$C$60,Inputs!$C$11+(B6153-Inputs!$C$69)/Inputs!$C$70,"")</f>
      </c>
      <c r="D6153" s="15"/>
      <c r="E6153" s="15"/>
      <c r="F6153" s="11">
        <f t="shared" si="49"/>
      </c>
      <c r="G6153" s="22" cm="1">
        <f t="array" ref="G6153">IF(AND(Inputs!$C$60,Inputs!$C$61),INDEX(Utility_Rates!$C$29:$F$52,HOUR(C6153)+Inputs!$C$69,MATCH(INDEX(Utility_Rates!$K$6:$K$17,MONTH(C6153))&amp;IF(WEEKDAY(C6153,Inputs!$C$76)&lt;=Inputs!$C$74," weekday"," weekend"),Utility_Rates!$C$28:$F$28,Inputs!$C$68)),"")</f>
      </c>
      <c r="H6153" s="34"/>
      <c r="I6153" s="42">
        <f>IF(AND(ISNUMBER(D6153),ISNUMBER(H6153)),D6153*H6153*Inputs!$C$69,"")</f>
      </c>
      <c r="J6153" s="42">
        <f>IF(AND(ISNUMBER(F6153),ISNUMBER(H6153),F6153&gt;=Inputs!$C$68),F6153*H6153*Inputs!$C$69,"")</f>
      </c>
    </row>
    <row r="6154" spans="2:10" ht="15" customHeight="1" x14ac:dyDescent="0.2">
      <c r="B6154" s="39">
        <f t="shared" si="48"/>
      </c>
      <c r="C6154" s="40">
        <f>IF(Inputs!$C$60,Inputs!$C$11+(B6154-Inputs!$C$69)/Inputs!$C$70,"")</f>
      </c>
      <c r="D6154" s="15"/>
      <c r="E6154" s="15"/>
      <c r="F6154" s="11">
        <f t="shared" si="49"/>
      </c>
      <c r="G6154" s="22" cm="1">
        <f t="array" ref="G6154">IF(AND(Inputs!$C$60,Inputs!$C$61),INDEX(Utility_Rates!$C$29:$F$52,HOUR(C6154)+Inputs!$C$69,MATCH(INDEX(Utility_Rates!$K$6:$K$17,MONTH(C6154))&amp;IF(WEEKDAY(C6154,Inputs!$C$76)&lt;=Inputs!$C$74," weekday"," weekend"),Utility_Rates!$C$28:$F$28,Inputs!$C$68)),"")</f>
      </c>
      <c r="H6154" s="34"/>
      <c r="I6154" s="42">
        <f>IF(AND(ISNUMBER(D6154),ISNUMBER(H6154)),D6154*H6154*Inputs!$C$69,"")</f>
      </c>
      <c r="J6154" s="42">
        <f>IF(AND(ISNUMBER(F6154),ISNUMBER(H6154),F6154&gt;=Inputs!$C$68),F6154*H6154*Inputs!$C$69,"")</f>
      </c>
    </row>
    <row r="6155" spans="2:10" ht="15" customHeight="1" x14ac:dyDescent="0.2">
      <c r="B6155" s="39">
        <f t="shared" si="48"/>
      </c>
      <c r="C6155" s="40">
        <f>IF(Inputs!$C$60,Inputs!$C$11+(B6155-Inputs!$C$69)/Inputs!$C$70,"")</f>
      </c>
      <c r="D6155" s="15"/>
      <c r="E6155" s="15"/>
      <c r="F6155" s="11">
        <f t="shared" si="49"/>
      </c>
      <c r="G6155" s="22" cm="1">
        <f t="array" ref="G6155">IF(AND(Inputs!$C$60,Inputs!$C$61),INDEX(Utility_Rates!$C$29:$F$52,HOUR(C6155)+Inputs!$C$69,MATCH(INDEX(Utility_Rates!$K$6:$K$17,MONTH(C6155))&amp;IF(WEEKDAY(C6155,Inputs!$C$76)&lt;=Inputs!$C$74," weekday"," weekend"),Utility_Rates!$C$28:$F$28,Inputs!$C$68)),"")</f>
      </c>
      <c r="H6155" s="34"/>
      <c r="I6155" s="42">
        <f>IF(AND(ISNUMBER(D6155),ISNUMBER(H6155)),D6155*H6155*Inputs!$C$69,"")</f>
      </c>
      <c r="J6155" s="42">
        <f>IF(AND(ISNUMBER(F6155),ISNUMBER(H6155),F6155&gt;=Inputs!$C$68),F6155*H6155*Inputs!$C$69,"")</f>
      </c>
    </row>
    <row r="6156" spans="2:10" ht="15" customHeight="1" x14ac:dyDescent="0.2">
      <c r="B6156" s="39">
        <f t="shared" si="48"/>
      </c>
      <c r="C6156" s="40">
        <f>IF(Inputs!$C$60,Inputs!$C$11+(B6156-Inputs!$C$69)/Inputs!$C$70,"")</f>
      </c>
      <c r="D6156" s="15"/>
      <c r="E6156" s="15"/>
      <c r="F6156" s="11">
        <f t="shared" si="49"/>
      </c>
      <c r="G6156" s="22" cm="1">
        <f t="array" ref="G6156">IF(AND(Inputs!$C$60,Inputs!$C$61),INDEX(Utility_Rates!$C$29:$F$52,HOUR(C6156)+Inputs!$C$69,MATCH(INDEX(Utility_Rates!$K$6:$K$17,MONTH(C6156))&amp;IF(WEEKDAY(C6156,Inputs!$C$76)&lt;=Inputs!$C$74," weekday"," weekend"),Utility_Rates!$C$28:$F$28,Inputs!$C$68)),"")</f>
      </c>
      <c r="H6156" s="34"/>
      <c r="I6156" s="42">
        <f>IF(AND(ISNUMBER(D6156),ISNUMBER(H6156)),D6156*H6156*Inputs!$C$69,"")</f>
      </c>
      <c r="J6156" s="42">
        <f>IF(AND(ISNUMBER(F6156),ISNUMBER(H6156),F6156&gt;=Inputs!$C$68),F6156*H6156*Inputs!$C$69,"")</f>
      </c>
    </row>
    <row r="6157" spans="2:10" ht="15" customHeight="1" x14ac:dyDescent="0.2">
      <c r="B6157" s="39">
        <f t="shared" si="48"/>
      </c>
      <c r="C6157" s="40">
        <f>IF(Inputs!$C$60,Inputs!$C$11+(B6157-Inputs!$C$69)/Inputs!$C$70,"")</f>
      </c>
      <c r="D6157" s="15"/>
      <c r="E6157" s="15"/>
      <c r="F6157" s="11">
        <f t="shared" si="49"/>
      </c>
      <c r="G6157" s="22" cm="1">
        <f t="array" ref="G6157">IF(AND(Inputs!$C$60,Inputs!$C$61),INDEX(Utility_Rates!$C$29:$F$52,HOUR(C6157)+Inputs!$C$69,MATCH(INDEX(Utility_Rates!$K$6:$K$17,MONTH(C6157))&amp;IF(WEEKDAY(C6157,Inputs!$C$76)&lt;=Inputs!$C$74," weekday"," weekend"),Utility_Rates!$C$28:$F$28,Inputs!$C$68)),"")</f>
      </c>
      <c r="H6157" s="34"/>
      <c r="I6157" s="42">
        <f>IF(AND(ISNUMBER(D6157),ISNUMBER(H6157)),D6157*H6157*Inputs!$C$69,"")</f>
      </c>
      <c r="J6157" s="42">
        <f>IF(AND(ISNUMBER(F6157),ISNUMBER(H6157),F6157&gt;=Inputs!$C$68),F6157*H6157*Inputs!$C$69,"")</f>
      </c>
    </row>
    <row r="6158" spans="2:10" ht="15" customHeight="1" x14ac:dyDescent="0.2">
      <c r="B6158" s="39">
        <f t="shared" si="48"/>
      </c>
      <c r="C6158" s="40">
        <f>IF(Inputs!$C$60,Inputs!$C$11+(B6158-Inputs!$C$69)/Inputs!$C$70,"")</f>
      </c>
      <c r="D6158" s="15"/>
      <c r="E6158" s="15"/>
      <c r="F6158" s="11">
        <f t="shared" si="49"/>
      </c>
      <c r="G6158" s="22" cm="1">
        <f t="array" ref="G6158">IF(AND(Inputs!$C$60,Inputs!$C$61),INDEX(Utility_Rates!$C$29:$F$52,HOUR(C6158)+Inputs!$C$69,MATCH(INDEX(Utility_Rates!$K$6:$K$17,MONTH(C6158))&amp;IF(WEEKDAY(C6158,Inputs!$C$76)&lt;=Inputs!$C$74," weekday"," weekend"),Utility_Rates!$C$28:$F$28,Inputs!$C$68)),"")</f>
      </c>
      <c r="H6158" s="34"/>
      <c r="I6158" s="42">
        <f>IF(AND(ISNUMBER(D6158),ISNUMBER(H6158)),D6158*H6158*Inputs!$C$69,"")</f>
      </c>
      <c r="J6158" s="42">
        <f>IF(AND(ISNUMBER(F6158),ISNUMBER(H6158),F6158&gt;=Inputs!$C$68),F6158*H6158*Inputs!$C$69,"")</f>
      </c>
    </row>
    <row r="6159" spans="2:10" ht="15" customHeight="1" x14ac:dyDescent="0.2">
      <c r="B6159" s="39">
        <f t="shared" si="48"/>
      </c>
      <c r="C6159" s="40">
        <f>IF(Inputs!$C$60,Inputs!$C$11+(B6159-Inputs!$C$69)/Inputs!$C$70,"")</f>
      </c>
      <c r="D6159" s="15"/>
      <c r="E6159" s="15"/>
      <c r="F6159" s="11">
        <f t="shared" si="49"/>
      </c>
      <c r="G6159" s="22" cm="1">
        <f t="array" ref="G6159">IF(AND(Inputs!$C$60,Inputs!$C$61),INDEX(Utility_Rates!$C$29:$F$52,HOUR(C6159)+Inputs!$C$69,MATCH(INDEX(Utility_Rates!$K$6:$K$17,MONTH(C6159))&amp;IF(WEEKDAY(C6159,Inputs!$C$76)&lt;=Inputs!$C$74," weekday"," weekend"),Utility_Rates!$C$28:$F$28,Inputs!$C$68)),"")</f>
      </c>
      <c r="H6159" s="34"/>
      <c r="I6159" s="42">
        <f>IF(AND(ISNUMBER(D6159),ISNUMBER(H6159)),D6159*H6159*Inputs!$C$69,"")</f>
      </c>
      <c r="J6159" s="42">
        <f>IF(AND(ISNUMBER(F6159),ISNUMBER(H6159),F6159&gt;=Inputs!$C$68),F6159*H6159*Inputs!$C$69,"")</f>
      </c>
    </row>
    <row r="6160" spans="2:10" ht="15" customHeight="1" x14ac:dyDescent="0.2">
      <c r="B6160" s="39">
        <f t="shared" si="48"/>
      </c>
      <c r="C6160" s="40">
        <f>IF(Inputs!$C$60,Inputs!$C$11+(B6160-Inputs!$C$69)/Inputs!$C$70,"")</f>
      </c>
      <c r="D6160" s="15"/>
      <c r="E6160" s="15"/>
      <c r="F6160" s="11">
        <f t="shared" si="49"/>
      </c>
      <c r="G6160" s="22" cm="1">
        <f t="array" ref="G6160">IF(AND(Inputs!$C$60,Inputs!$C$61),INDEX(Utility_Rates!$C$29:$F$52,HOUR(C6160)+Inputs!$C$69,MATCH(INDEX(Utility_Rates!$K$6:$K$17,MONTH(C6160))&amp;IF(WEEKDAY(C6160,Inputs!$C$76)&lt;=Inputs!$C$74," weekday"," weekend"),Utility_Rates!$C$28:$F$28,Inputs!$C$68)),"")</f>
      </c>
      <c r="H6160" s="34"/>
      <c r="I6160" s="42">
        <f>IF(AND(ISNUMBER(D6160),ISNUMBER(H6160)),D6160*H6160*Inputs!$C$69,"")</f>
      </c>
      <c r="J6160" s="42">
        <f>IF(AND(ISNUMBER(F6160),ISNUMBER(H6160),F6160&gt;=Inputs!$C$68),F6160*H6160*Inputs!$C$69,"")</f>
      </c>
    </row>
    <row r="6161" spans="2:10" ht="15" customHeight="1" x14ac:dyDescent="0.2">
      <c r="B6161" s="39">
        <f t="shared" si="48"/>
      </c>
      <c r="C6161" s="40">
        <f>IF(Inputs!$C$60,Inputs!$C$11+(B6161-Inputs!$C$69)/Inputs!$C$70,"")</f>
      </c>
      <c r="D6161" s="15"/>
      <c r="E6161" s="15"/>
      <c r="F6161" s="11">
        <f t="shared" si="49"/>
      </c>
      <c r="G6161" s="22" cm="1">
        <f t="array" ref="G6161">IF(AND(Inputs!$C$60,Inputs!$C$61),INDEX(Utility_Rates!$C$29:$F$52,HOUR(C6161)+Inputs!$C$69,MATCH(INDEX(Utility_Rates!$K$6:$K$17,MONTH(C6161))&amp;IF(WEEKDAY(C6161,Inputs!$C$76)&lt;=Inputs!$C$74," weekday"," weekend"),Utility_Rates!$C$28:$F$28,Inputs!$C$68)),"")</f>
      </c>
      <c r="H6161" s="34"/>
      <c r="I6161" s="42">
        <f>IF(AND(ISNUMBER(D6161),ISNUMBER(H6161)),D6161*H6161*Inputs!$C$69,"")</f>
      </c>
      <c r="J6161" s="42">
        <f>IF(AND(ISNUMBER(F6161),ISNUMBER(H6161),F6161&gt;=Inputs!$C$68),F6161*H6161*Inputs!$C$69,"")</f>
      </c>
    </row>
    <row r="6162" spans="2:10" ht="15" customHeight="1" x14ac:dyDescent="0.2">
      <c r="B6162" s="39">
        <f t="shared" si="48"/>
      </c>
      <c r="C6162" s="40">
        <f>IF(Inputs!$C$60,Inputs!$C$11+(B6162-Inputs!$C$69)/Inputs!$C$70,"")</f>
      </c>
      <c r="D6162" s="15"/>
      <c r="E6162" s="15"/>
      <c r="F6162" s="11">
        <f t="shared" si="49"/>
      </c>
      <c r="G6162" s="22" cm="1">
        <f t="array" ref="G6162">IF(AND(Inputs!$C$60,Inputs!$C$61),INDEX(Utility_Rates!$C$29:$F$52,HOUR(C6162)+Inputs!$C$69,MATCH(INDEX(Utility_Rates!$K$6:$K$17,MONTH(C6162))&amp;IF(WEEKDAY(C6162,Inputs!$C$76)&lt;=Inputs!$C$74," weekday"," weekend"),Utility_Rates!$C$28:$F$28,Inputs!$C$68)),"")</f>
      </c>
      <c r="H6162" s="34"/>
      <c r="I6162" s="42">
        <f>IF(AND(ISNUMBER(D6162),ISNUMBER(H6162)),D6162*H6162*Inputs!$C$69,"")</f>
      </c>
      <c r="J6162" s="42">
        <f>IF(AND(ISNUMBER(F6162),ISNUMBER(H6162),F6162&gt;=Inputs!$C$68),F6162*H6162*Inputs!$C$69,"")</f>
      </c>
    </row>
    <row r="6163" spans="2:10" ht="15" customHeight="1" x14ac:dyDescent="0.2">
      <c r="B6163" s="39">
        <f t="shared" si="48"/>
      </c>
      <c r="C6163" s="40">
        <f>IF(Inputs!$C$60,Inputs!$C$11+(B6163-Inputs!$C$69)/Inputs!$C$70,"")</f>
      </c>
      <c r="D6163" s="15"/>
      <c r="E6163" s="15"/>
      <c r="F6163" s="11">
        <f t="shared" si="49"/>
      </c>
      <c r="G6163" s="22" cm="1">
        <f t="array" ref="G6163">IF(AND(Inputs!$C$60,Inputs!$C$61),INDEX(Utility_Rates!$C$29:$F$52,HOUR(C6163)+Inputs!$C$69,MATCH(INDEX(Utility_Rates!$K$6:$K$17,MONTH(C6163))&amp;IF(WEEKDAY(C6163,Inputs!$C$76)&lt;=Inputs!$C$74," weekday"," weekend"),Utility_Rates!$C$28:$F$28,Inputs!$C$68)),"")</f>
      </c>
      <c r="H6163" s="34"/>
      <c r="I6163" s="42">
        <f>IF(AND(ISNUMBER(D6163),ISNUMBER(H6163)),D6163*H6163*Inputs!$C$69,"")</f>
      </c>
      <c r="J6163" s="42">
        <f>IF(AND(ISNUMBER(F6163),ISNUMBER(H6163),F6163&gt;=Inputs!$C$68),F6163*H6163*Inputs!$C$69,"")</f>
      </c>
    </row>
    <row r="6164" spans="2:10" ht="15" customHeight="1" x14ac:dyDescent="0.2">
      <c r="B6164" s="39">
        <f t="shared" si="48"/>
      </c>
      <c r="C6164" s="40">
        <f>IF(Inputs!$C$60,Inputs!$C$11+(B6164-Inputs!$C$69)/Inputs!$C$70,"")</f>
      </c>
      <c r="D6164" s="15"/>
      <c r="E6164" s="15"/>
      <c r="F6164" s="11">
        <f t="shared" si="49"/>
      </c>
      <c r="G6164" s="22" cm="1">
        <f t="array" ref="G6164">IF(AND(Inputs!$C$60,Inputs!$C$61),INDEX(Utility_Rates!$C$29:$F$52,HOUR(C6164)+Inputs!$C$69,MATCH(INDEX(Utility_Rates!$K$6:$K$17,MONTH(C6164))&amp;IF(WEEKDAY(C6164,Inputs!$C$76)&lt;=Inputs!$C$74," weekday"," weekend"),Utility_Rates!$C$28:$F$28,Inputs!$C$68)),"")</f>
      </c>
      <c r="H6164" s="34"/>
      <c r="I6164" s="42">
        <f>IF(AND(ISNUMBER(D6164),ISNUMBER(H6164)),D6164*H6164*Inputs!$C$69,"")</f>
      </c>
      <c r="J6164" s="42">
        <f>IF(AND(ISNUMBER(F6164),ISNUMBER(H6164),F6164&gt;=Inputs!$C$68),F6164*H6164*Inputs!$C$69,"")</f>
      </c>
    </row>
    <row r="6165" spans="2:10" ht="15" customHeight="1" x14ac:dyDescent="0.2">
      <c r="B6165" s="39">
        <f t="shared" si="48"/>
      </c>
      <c r="C6165" s="40">
        <f>IF(Inputs!$C$60,Inputs!$C$11+(B6165-Inputs!$C$69)/Inputs!$C$70,"")</f>
      </c>
      <c r="D6165" s="15"/>
      <c r="E6165" s="15"/>
      <c r="F6165" s="11">
        <f t="shared" si="49"/>
      </c>
      <c r="G6165" s="22" cm="1">
        <f t="array" ref="G6165">IF(AND(Inputs!$C$60,Inputs!$C$61),INDEX(Utility_Rates!$C$29:$F$52,HOUR(C6165)+Inputs!$C$69,MATCH(INDEX(Utility_Rates!$K$6:$K$17,MONTH(C6165))&amp;IF(WEEKDAY(C6165,Inputs!$C$76)&lt;=Inputs!$C$74," weekday"," weekend"),Utility_Rates!$C$28:$F$28,Inputs!$C$68)),"")</f>
      </c>
      <c r="H6165" s="34"/>
      <c r="I6165" s="42">
        <f>IF(AND(ISNUMBER(D6165),ISNUMBER(H6165)),D6165*H6165*Inputs!$C$69,"")</f>
      </c>
      <c r="J6165" s="42">
        <f>IF(AND(ISNUMBER(F6165),ISNUMBER(H6165),F6165&gt;=Inputs!$C$68),F6165*H6165*Inputs!$C$69,"")</f>
      </c>
    </row>
    <row r="6166" spans="2:10" ht="15" customHeight="1" x14ac:dyDescent="0.2">
      <c r="B6166" s="39">
        <f t="shared" si="48"/>
      </c>
      <c r="C6166" s="40">
        <f>IF(Inputs!$C$60,Inputs!$C$11+(B6166-Inputs!$C$69)/Inputs!$C$70,"")</f>
      </c>
      <c r="D6166" s="15"/>
      <c r="E6166" s="15"/>
      <c r="F6166" s="11">
        <f t="shared" si="49"/>
      </c>
      <c r="G6166" s="22" cm="1">
        <f t="array" ref="G6166">IF(AND(Inputs!$C$60,Inputs!$C$61),INDEX(Utility_Rates!$C$29:$F$52,HOUR(C6166)+Inputs!$C$69,MATCH(INDEX(Utility_Rates!$K$6:$K$17,MONTH(C6166))&amp;IF(WEEKDAY(C6166,Inputs!$C$76)&lt;=Inputs!$C$74," weekday"," weekend"),Utility_Rates!$C$28:$F$28,Inputs!$C$68)),"")</f>
      </c>
      <c r="H6166" s="34"/>
      <c r="I6166" s="42">
        <f>IF(AND(ISNUMBER(D6166),ISNUMBER(H6166)),D6166*H6166*Inputs!$C$69,"")</f>
      </c>
      <c r="J6166" s="42">
        <f>IF(AND(ISNUMBER(F6166),ISNUMBER(H6166),F6166&gt;=Inputs!$C$68),F6166*H6166*Inputs!$C$69,"")</f>
      </c>
    </row>
    <row r="6167" spans="2:10" ht="15" customHeight="1" x14ac:dyDescent="0.2">
      <c r="B6167" s="39">
        <f t="shared" si="48"/>
      </c>
      <c r="C6167" s="40">
        <f>IF(Inputs!$C$60,Inputs!$C$11+(B6167-Inputs!$C$69)/Inputs!$C$70,"")</f>
      </c>
      <c r="D6167" s="15"/>
      <c r="E6167" s="15"/>
      <c r="F6167" s="11">
        <f t="shared" si="49"/>
      </c>
      <c r="G6167" s="22" cm="1">
        <f t="array" ref="G6167">IF(AND(Inputs!$C$60,Inputs!$C$61),INDEX(Utility_Rates!$C$29:$F$52,HOUR(C6167)+Inputs!$C$69,MATCH(INDEX(Utility_Rates!$K$6:$K$17,MONTH(C6167))&amp;IF(WEEKDAY(C6167,Inputs!$C$76)&lt;=Inputs!$C$74," weekday"," weekend"),Utility_Rates!$C$28:$F$28,Inputs!$C$68)),"")</f>
      </c>
      <c r="H6167" s="34"/>
      <c r="I6167" s="42">
        <f>IF(AND(ISNUMBER(D6167),ISNUMBER(H6167)),D6167*H6167*Inputs!$C$69,"")</f>
      </c>
      <c r="J6167" s="42">
        <f>IF(AND(ISNUMBER(F6167),ISNUMBER(H6167),F6167&gt;=Inputs!$C$68),F6167*H6167*Inputs!$C$69,"")</f>
      </c>
    </row>
    <row r="6168" spans="2:10" ht="15" customHeight="1" x14ac:dyDescent="0.2">
      <c r="B6168" s="39">
        <f t="shared" si="48"/>
      </c>
      <c r="C6168" s="40">
        <f>IF(Inputs!$C$60,Inputs!$C$11+(B6168-Inputs!$C$69)/Inputs!$C$70,"")</f>
      </c>
      <c r="D6168" s="15"/>
      <c r="E6168" s="15"/>
      <c r="F6168" s="11">
        <f t="shared" si="49"/>
      </c>
      <c r="G6168" s="22" cm="1">
        <f t="array" ref="G6168">IF(AND(Inputs!$C$60,Inputs!$C$61),INDEX(Utility_Rates!$C$29:$F$52,HOUR(C6168)+Inputs!$C$69,MATCH(INDEX(Utility_Rates!$K$6:$K$17,MONTH(C6168))&amp;IF(WEEKDAY(C6168,Inputs!$C$76)&lt;=Inputs!$C$74," weekday"," weekend"),Utility_Rates!$C$28:$F$28,Inputs!$C$68)),"")</f>
      </c>
      <c r="H6168" s="34"/>
      <c r="I6168" s="42">
        <f>IF(AND(ISNUMBER(D6168),ISNUMBER(H6168)),D6168*H6168*Inputs!$C$69,"")</f>
      </c>
      <c r="J6168" s="42">
        <f>IF(AND(ISNUMBER(F6168),ISNUMBER(H6168),F6168&gt;=Inputs!$C$68),F6168*H6168*Inputs!$C$69,"")</f>
      </c>
    </row>
    <row r="6169" spans="2:10" ht="15" customHeight="1" x14ac:dyDescent="0.2">
      <c r="B6169" s="39">
        <f t="shared" si="48"/>
      </c>
      <c r="C6169" s="40">
        <f>IF(Inputs!$C$60,Inputs!$C$11+(B6169-Inputs!$C$69)/Inputs!$C$70,"")</f>
      </c>
      <c r="D6169" s="15"/>
      <c r="E6169" s="15"/>
      <c r="F6169" s="11">
        <f t="shared" si="49"/>
      </c>
      <c r="G6169" s="22" cm="1">
        <f t="array" ref="G6169">IF(AND(Inputs!$C$60,Inputs!$C$61),INDEX(Utility_Rates!$C$29:$F$52,HOUR(C6169)+Inputs!$C$69,MATCH(INDEX(Utility_Rates!$K$6:$K$17,MONTH(C6169))&amp;IF(WEEKDAY(C6169,Inputs!$C$76)&lt;=Inputs!$C$74," weekday"," weekend"),Utility_Rates!$C$28:$F$28,Inputs!$C$68)),"")</f>
      </c>
      <c r="H6169" s="34"/>
      <c r="I6169" s="42">
        <f>IF(AND(ISNUMBER(D6169),ISNUMBER(H6169)),D6169*H6169*Inputs!$C$69,"")</f>
      </c>
      <c r="J6169" s="42">
        <f>IF(AND(ISNUMBER(F6169),ISNUMBER(H6169),F6169&gt;=Inputs!$C$68),F6169*H6169*Inputs!$C$69,"")</f>
      </c>
    </row>
    <row r="6170" spans="2:10" ht="15" customHeight="1" x14ac:dyDescent="0.2">
      <c r="B6170" s="39">
        <f t="shared" si="48"/>
      </c>
      <c r="C6170" s="40">
        <f>IF(Inputs!$C$60,Inputs!$C$11+(B6170-Inputs!$C$69)/Inputs!$C$70,"")</f>
      </c>
      <c r="D6170" s="15"/>
      <c r="E6170" s="15"/>
      <c r="F6170" s="11">
        <f t="shared" si="49"/>
      </c>
      <c r="G6170" s="22" cm="1">
        <f t="array" ref="G6170">IF(AND(Inputs!$C$60,Inputs!$C$61),INDEX(Utility_Rates!$C$29:$F$52,HOUR(C6170)+Inputs!$C$69,MATCH(INDEX(Utility_Rates!$K$6:$K$17,MONTH(C6170))&amp;IF(WEEKDAY(C6170,Inputs!$C$76)&lt;=Inputs!$C$74," weekday"," weekend"),Utility_Rates!$C$28:$F$28,Inputs!$C$68)),"")</f>
      </c>
      <c r="H6170" s="34"/>
      <c r="I6170" s="42">
        <f>IF(AND(ISNUMBER(D6170),ISNUMBER(H6170)),D6170*H6170*Inputs!$C$69,"")</f>
      </c>
      <c r="J6170" s="42">
        <f>IF(AND(ISNUMBER(F6170),ISNUMBER(H6170),F6170&gt;=Inputs!$C$68),F6170*H6170*Inputs!$C$69,"")</f>
      </c>
    </row>
    <row r="6171" spans="2:10" ht="15" customHeight="1" x14ac:dyDescent="0.2">
      <c r="B6171" s="39">
        <f t="shared" si="48"/>
      </c>
      <c r="C6171" s="40">
        <f>IF(Inputs!$C$60,Inputs!$C$11+(B6171-Inputs!$C$69)/Inputs!$C$70,"")</f>
      </c>
      <c r="D6171" s="15"/>
      <c r="E6171" s="15"/>
      <c r="F6171" s="11">
        <f t="shared" si="49"/>
      </c>
      <c r="G6171" s="22" cm="1">
        <f t="array" ref="G6171">IF(AND(Inputs!$C$60,Inputs!$C$61),INDEX(Utility_Rates!$C$29:$F$52,HOUR(C6171)+Inputs!$C$69,MATCH(INDEX(Utility_Rates!$K$6:$K$17,MONTH(C6171))&amp;IF(WEEKDAY(C6171,Inputs!$C$76)&lt;=Inputs!$C$74," weekday"," weekend"),Utility_Rates!$C$28:$F$28,Inputs!$C$68)),"")</f>
      </c>
      <c r="H6171" s="34"/>
      <c r="I6171" s="42">
        <f>IF(AND(ISNUMBER(D6171),ISNUMBER(H6171)),D6171*H6171*Inputs!$C$69,"")</f>
      </c>
      <c r="J6171" s="42">
        <f>IF(AND(ISNUMBER(F6171),ISNUMBER(H6171),F6171&gt;=Inputs!$C$68),F6171*H6171*Inputs!$C$69,"")</f>
      </c>
    </row>
    <row r="6172" spans="2:10" ht="15" customHeight="1" x14ac:dyDescent="0.2">
      <c r="B6172" s="39">
        <f t="shared" si="48"/>
      </c>
      <c r="C6172" s="40">
        <f>IF(Inputs!$C$60,Inputs!$C$11+(B6172-Inputs!$C$69)/Inputs!$C$70,"")</f>
      </c>
      <c r="D6172" s="15"/>
      <c r="E6172" s="15"/>
      <c r="F6172" s="11">
        <f t="shared" si="49"/>
      </c>
      <c r="G6172" s="22" cm="1">
        <f t="array" ref="G6172">IF(AND(Inputs!$C$60,Inputs!$C$61),INDEX(Utility_Rates!$C$29:$F$52,HOUR(C6172)+Inputs!$C$69,MATCH(INDEX(Utility_Rates!$K$6:$K$17,MONTH(C6172))&amp;IF(WEEKDAY(C6172,Inputs!$C$76)&lt;=Inputs!$C$74," weekday"," weekend"),Utility_Rates!$C$28:$F$28,Inputs!$C$68)),"")</f>
      </c>
      <c r="H6172" s="34"/>
      <c r="I6172" s="42">
        <f>IF(AND(ISNUMBER(D6172),ISNUMBER(H6172)),D6172*H6172*Inputs!$C$69,"")</f>
      </c>
      <c r="J6172" s="42">
        <f>IF(AND(ISNUMBER(F6172),ISNUMBER(H6172),F6172&gt;=Inputs!$C$68),F6172*H6172*Inputs!$C$69,"")</f>
      </c>
    </row>
    <row r="6173" spans="2:10" ht="15" customHeight="1" x14ac:dyDescent="0.2">
      <c r="B6173" s="39">
        <f t="shared" si="48"/>
      </c>
      <c r="C6173" s="40">
        <f>IF(Inputs!$C$60,Inputs!$C$11+(B6173-Inputs!$C$69)/Inputs!$C$70,"")</f>
      </c>
      <c r="D6173" s="15"/>
      <c r="E6173" s="15"/>
      <c r="F6173" s="11">
        <f t="shared" si="49"/>
      </c>
      <c r="G6173" s="22" cm="1">
        <f t="array" ref="G6173">IF(AND(Inputs!$C$60,Inputs!$C$61),INDEX(Utility_Rates!$C$29:$F$52,HOUR(C6173)+Inputs!$C$69,MATCH(INDEX(Utility_Rates!$K$6:$K$17,MONTH(C6173))&amp;IF(WEEKDAY(C6173,Inputs!$C$76)&lt;=Inputs!$C$74," weekday"," weekend"),Utility_Rates!$C$28:$F$28,Inputs!$C$68)),"")</f>
      </c>
      <c r="H6173" s="34"/>
      <c r="I6173" s="42">
        <f>IF(AND(ISNUMBER(D6173),ISNUMBER(H6173)),D6173*H6173*Inputs!$C$69,"")</f>
      </c>
      <c r="J6173" s="42">
        <f>IF(AND(ISNUMBER(F6173),ISNUMBER(H6173),F6173&gt;=Inputs!$C$68),F6173*H6173*Inputs!$C$69,"")</f>
      </c>
    </row>
    <row r="6174" spans="2:10" ht="15" customHeight="1" x14ac:dyDescent="0.2">
      <c r="B6174" s="39">
        <f t="shared" si="48"/>
      </c>
      <c r="C6174" s="40">
        <f>IF(Inputs!$C$60,Inputs!$C$11+(B6174-Inputs!$C$69)/Inputs!$C$70,"")</f>
      </c>
      <c r="D6174" s="15"/>
      <c r="E6174" s="15"/>
      <c r="F6174" s="11">
        <f t="shared" si="49"/>
      </c>
      <c r="G6174" s="22" cm="1">
        <f t="array" ref="G6174">IF(AND(Inputs!$C$60,Inputs!$C$61),INDEX(Utility_Rates!$C$29:$F$52,HOUR(C6174)+Inputs!$C$69,MATCH(INDEX(Utility_Rates!$K$6:$K$17,MONTH(C6174))&amp;IF(WEEKDAY(C6174,Inputs!$C$76)&lt;=Inputs!$C$74," weekday"," weekend"),Utility_Rates!$C$28:$F$28,Inputs!$C$68)),"")</f>
      </c>
      <c r="H6174" s="34"/>
      <c r="I6174" s="42">
        <f>IF(AND(ISNUMBER(D6174),ISNUMBER(H6174)),D6174*H6174*Inputs!$C$69,"")</f>
      </c>
      <c r="J6174" s="42">
        <f>IF(AND(ISNUMBER(F6174),ISNUMBER(H6174),F6174&gt;=Inputs!$C$68),F6174*H6174*Inputs!$C$69,"")</f>
      </c>
    </row>
    <row r="6175" spans="2:10" ht="15" customHeight="1" x14ac:dyDescent="0.2">
      <c r="B6175" s="39">
        <f t="shared" si="48"/>
      </c>
      <c r="C6175" s="40">
        <f>IF(Inputs!$C$60,Inputs!$C$11+(B6175-Inputs!$C$69)/Inputs!$C$70,"")</f>
      </c>
      <c r="D6175" s="15"/>
      <c r="E6175" s="15"/>
      <c r="F6175" s="11">
        <f t="shared" si="49"/>
      </c>
      <c r="G6175" s="22" cm="1">
        <f t="array" ref="G6175">IF(AND(Inputs!$C$60,Inputs!$C$61),INDEX(Utility_Rates!$C$29:$F$52,HOUR(C6175)+Inputs!$C$69,MATCH(INDEX(Utility_Rates!$K$6:$K$17,MONTH(C6175))&amp;IF(WEEKDAY(C6175,Inputs!$C$76)&lt;=Inputs!$C$74," weekday"," weekend"),Utility_Rates!$C$28:$F$28,Inputs!$C$68)),"")</f>
      </c>
      <c r="H6175" s="34"/>
      <c r="I6175" s="42">
        <f>IF(AND(ISNUMBER(D6175),ISNUMBER(H6175)),D6175*H6175*Inputs!$C$69,"")</f>
      </c>
      <c r="J6175" s="42">
        <f>IF(AND(ISNUMBER(F6175),ISNUMBER(H6175),F6175&gt;=Inputs!$C$68),F6175*H6175*Inputs!$C$69,"")</f>
      </c>
    </row>
    <row r="6176" spans="2:10" ht="15" customHeight="1" x14ac:dyDescent="0.2">
      <c r="B6176" s="39">
        <f t="shared" si="48"/>
      </c>
      <c r="C6176" s="40">
        <f>IF(Inputs!$C$60,Inputs!$C$11+(B6176-Inputs!$C$69)/Inputs!$C$70,"")</f>
      </c>
      <c r="D6176" s="15"/>
      <c r="E6176" s="15"/>
      <c r="F6176" s="11">
        <f t="shared" si="49"/>
      </c>
      <c r="G6176" s="22" cm="1">
        <f t="array" ref="G6176">IF(AND(Inputs!$C$60,Inputs!$C$61),INDEX(Utility_Rates!$C$29:$F$52,HOUR(C6176)+Inputs!$C$69,MATCH(INDEX(Utility_Rates!$K$6:$K$17,MONTH(C6176))&amp;IF(WEEKDAY(C6176,Inputs!$C$76)&lt;=Inputs!$C$74," weekday"," weekend"),Utility_Rates!$C$28:$F$28,Inputs!$C$68)),"")</f>
      </c>
      <c r="H6176" s="34"/>
      <c r="I6176" s="42">
        <f>IF(AND(ISNUMBER(D6176),ISNUMBER(H6176)),D6176*H6176*Inputs!$C$69,"")</f>
      </c>
      <c r="J6176" s="42">
        <f>IF(AND(ISNUMBER(F6176),ISNUMBER(H6176),F6176&gt;=Inputs!$C$68),F6176*H6176*Inputs!$C$69,"")</f>
      </c>
    </row>
    <row r="6177" spans="2:10" ht="15" customHeight="1" x14ac:dyDescent="0.2">
      <c r="B6177" s="39">
        <f t="shared" si="48"/>
      </c>
      <c r="C6177" s="40">
        <f>IF(Inputs!$C$60,Inputs!$C$11+(B6177-Inputs!$C$69)/Inputs!$C$70,"")</f>
      </c>
      <c r="D6177" s="15"/>
      <c r="E6177" s="15"/>
      <c r="F6177" s="11">
        <f t="shared" si="49"/>
      </c>
      <c r="G6177" s="22" cm="1">
        <f t="array" ref="G6177">IF(AND(Inputs!$C$60,Inputs!$C$61),INDEX(Utility_Rates!$C$29:$F$52,HOUR(C6177)+Inputs!$C$69,MATCH(INDEX(Utility_Rates!$K$6:$K$17,MONTH(C6177))&amp;IF(WEEKDAY(C6177,Inputs!$C$76)&lt;=Inputs!$C$74," weekday"," weekend"),Utility_Rates!$C$28:$F$28,Inputs!$C$68)),"")</f>
      </c>
      <c r="H6177" s="34"/>
      <c r="I6177" s="42">
        <f>IF(AND(ISNUMBER(D6177),ISNUMBER(H6177)),D6177*H6177*Inputs!$C$69,"")</f>
      </c>
      <c r="J6177" s="42">
        <f>IF(AND(ISNUMBER(F6177),ISNUMBER(H6177),F6177&gt;=Inputs!$C$68),F6177*H6177*Inputs!$C$69,"")</f>
      </c>
    </row>
    <row r="6178" spans="2:10" ht="15" customHeight="1" x14ac:dyDescent="0.2">
      <c r="B6178" s="39">
        <f t="shared" si="48"/>
      </c>
      <c r="C6178" s="40">
        <f>IF(Inputs!$C$60,Inputs!$C$11+(B6178-Inputs!$C$69)/Inputs!$C$70,"")</f>
      </c>
      <c r="D6178" s="15"/>
      <c r="E6178" s="15"/>
      <c r="F6178" s="11">
        <f t="shared" si="49"/>
      </c>
      <c r="G6178" s="22" cm="1">
        <f t="array" ref="G6178">IF(AND(Inputs!$C$60,Inputs!$C$61),INDEX(Utility_Rates!$C$29:$F$52,HOUR(C6178)+Inputs!$C$69,MATCH(INDEX(Utility_Rates!$K$6:$K$17,MONTH(C6178))&amp;IF(WEEKDAY(C6178,Inputs!$C$76)&lt;=Inputs!$C$74," weekday"," weekend"),Utility_Rates!$C$28:$F$28,Inputs!$C$68)),"")</f>
      </c>
      <c r="H6178" s="34"/>
      <c r="I6178" s="42">
        <f>IF(AND(ISNUMBER(D6178),ISNUMBER(H6178)),D6178*H6178*Inputs!$C$69,"")</f>
      </c>
      <c r="J6178" s="42">
        <f>IF(AND(ISNUMBER(F6178),ISNUMBER(H6178),F6178&gt;=Inputs!$C$68),F6178*H6178*Inputs!$C$69,"")</f>
      </c>
    </row>
    <row r="6179" spans="2:10" ht="15" customHeight="1" x14ac:dyDescent="0.2">
      <c r="B6179" s="39">
        <f t="shared" si="48"/>
      </c>
      <c r="C6179" s="40">
        <f>IF(Inputs!$C$60,Inputs!$C$11+(B6179-Inputs!$C$69)/Inputs!$C$70,"")</f>
      </c>
      <c r="D6179" s="15"/>
      <c r="E6179" s="15"/>
      <c r="F6179" s="11">
        <f t="shared" si="49"/>
      </c>
      <c r="G6179" s="22" cm="1">
        <f t="array" ref="G6179">IF(AND(Inputs!$C$60,Inputs!$C$61),INDEX(Utility_Rates!$C$29:$F$52,HOUR(C6179)+Inputs!$C$69,MATCH(INDEX(Utility_Rates!$K$6:$K$17,MONTH(C6179))&amp;IF(WEEKDAY(C6179,Inputs!$C$76)&lt;=Inputs!$C$74," weekday"," weekend"),Utility_Rates!$C$28:$F$28,Inputs!$C$68)),"")</f>
      </c>
      <c r="H6179" s="34"/>
      <c r="I6179" s="42">
        <f>IF(AND(ISNUMBER(D6179),ISNUMBER(H6179)),D6179*H6179*Inputs!$C$69,"")</f>
      </c>
      <c r="J6179" s="42">
        <f>IF(AND(ISNUMBER(F6179),ISNUMBER(H6179),F6179&gt;=Inputs!$C$68),F6179*H6179*Inputs!$C$69,"")</f>
      </c>
    </row>
    <row r="6180" spans="2:10" ht="15" customHeight="1" x14ac:dyDescent="0.2">
      <c r="B6180" s="39">
        <f t="shared" si="48"/>
      </c>
      <c r="C6180" s="40">
        <f>IF(Inputs!$C$60,Inputs!$C$11+(B6180-Inputs!$C$69)/Inputs!$C$70,"")</f>
      </c>
      <c r="D6180" s="15"/>
      <c r="E6180" s="15"/>
      <c r="F6180" s="11">
        <f t="shared" si="49"/>
      </c>
      <c r="G6180" s="22" cm="1">
        <f t="array" ref="G6180">IF(AND(Inputs!$C$60,Inputs!$C$61),INDEX(Utility_Rates!$C$29:$F$52,HOUR(C6180)+Inputs!$C$69,MATCH(INDEX(Utility_Rates!$K$6:$K$17,MONTH(C6180))&amp;IF(WEEKDAY(C6180,Inputs!$C$76)&lt;=Inputs!$C$74," weekday"," weekend"),Utility_Rates!$C$28:$F$28,Inputs!$C$68)),"")</f>
      </c>
      <c r="H6180" s="34"/>
      <c r="I6180" s="42">
        <f>IF(AND(ISNUMBER(D6180),ISNUMBER(H6180)),D6180*H6180*Inputs!$C$69,"")</f>
      </c>
      <c r="J6180" s="42">
        <f>IF(AND(ISNUMBER(F6180),ISNUMBER(H6180),F6180&gt;=Inputs!$C$68),F6180*H6180*Inputs!$C$69,"")</f>
      </c>
    </row>
    <row r="6181" spans="2:10" ht="15" customHeight="1" x14ac:dyDescent="0.2">
      <c r="B6181" s="39">
        <f t="shared" si="48"/>
      </c>
      <c r="C6181" s="40">
        <f>IF(Inputs!$C$60,Inputs!$C$11+(B6181-Inputs!$C$69)/Inputs!$C$70,"")</f>
      </c>
      <c r="D6181" s="15"/>
      <c r="E6181" s="15"/>
      <c r="F6181" s="11">
        <f t="shared" si="49"/>
      </c>
      <c r="G6181" s="22" cm="1">
        <f t="array" ref="G6181">IF(AND(Inputs!$C$60,Inputs!$C$61),INDEX(Utility_Rates!$C$29:$F$52,HOUR(C6181)+Inputs!$C$69,MATCH(INDEX(Utility_Rates!$K$6:$K$17,MONTH(C6181))&amp;IF(WEEKDAY(C6181,Inputs!$C$76)&lt;=Inputs!$C$74," weekday"," weekend"),Utility_Rates!$C$28:$F$28,Inputs!$C$68)),"")</f>
      </c>
      <c r="H6181" s="34"/>
      <c r="I6181" s="42">
        <f>IF(AND(ISNUMBER(D6181),ISNUMBER(H6181)),D6181*H6181*Inputs!$C$69,"")</f>
      </c>
      <c r="J6181" s="42">
        <f>IF(AND(ISNUMBER(F6181),ISNUMBER(H6181),F6181&gt;=Inputs!$C$68),F6181*H6181*Inputs!$C$69,"")</f>
      </c>
    </row>
    <row r="6182" spans="2:10" ht="15" customHeight="1" x14ac:dyDescent="0.2">
      <c r="B6182" s="39">
        <f t="shared" si="48"/>
      </c>
      <c r="C6182" s="40">
        <f>IF(Inputs!$C$60,Inputs!$C$11+(B6182-Inputs!$C$69)/Inputs!$C$70,"")</f>
      </c>
      <c r="D6182" s="15"/>
      <c r="E6182" s="15"/>
      <c r="F6182" s="11">
        <f t="shared" si="49"/>
      </c>
      <c r="G6182" s="22" cm="1">
        <f t="array" ref="G6182">IF(AND(Inputs!$C$60,Inputs!$C$61),INDEX(Utility_Rates!$C$29:$F$52,HOUR(C6182)+Inputs!$C$69,MATCH(INDEX(Utility_Rates!$K$6:$K$17,MONTH(C6182))&amp;IF(WEEKDAY(C6182,Inputs!$C$76)&lt;=Inputs!$C$74," weekday"," weekend"),Utility_Rates!$C$28:$F$28,Inputs!$C$68)),"")</f>
      </c>
      <c r="H6182" s="34"/>
      <c r="I6182" s="42">
        <f>IF(AND(ISNUMBER(D6182),ISNUMBER(H6182)),D6182*H6182*Inputs!$C$69,"")</f>
      </c>
      <c r="J6182" s="42">
        <f>IF(AND(ISNUMBER(F6182),ISNUMBER(H6182),F6182&gt;=Inputs!$C$68),F6182*H6182*Inputs!$C$69,"")</f>
      </c>
    </row>
    <row r="6183" spans="2:10" ht="15" customHeight="1" x14ac:dyDescent="0.2">
      <c r="B6183" s="39">
        <f t="shared" si="48"/>
      </c>
      <c r="C6183" s="40">
        <f>IF(Inputs!$C$60,Inputs!$C$11+(B6183-Inputs!$C$69)/Inputs!$C$70,"")</f>
      </c>
      <c r="D6183" s="15"/>
      <c r="E6183" s="15"/>
      <c r="F6183" s="11">
        <f t="shared" si="49"/>
      </c>
      <c r="G6183" s="22" cm="1">
        <f t="array" ref="G6183">IF(AND(Inputs!$C$60,Inputs!$C$61),INDEX(Utility_Rates!$C$29:$F$52,HOUR(C6183)+Inputs!$C$69,MATCH(INDEX(Utility_Rates!$K$6:$K$17,MONTH(C6183))&amp;IF(WEEKDAY(C6183,Inputs!$C$76)&lt;=Inputs!$C$74," weekday"," weekend"),Utility_Rates!$C$28:$F$28,Inputs!$C$68)),"")</f>
      </c>
      <c r="H6183" s="34"/>
      <c r="I6183" s="42">
        <f>IF(AND(ISNUMBER(D6183),ISNUMBER(H6183)),D6183*H6183*Inputs!$C$69,"")</f>
      </c>
      <c r="J6183" s="42">
        <f>IF(AND(ISNUMBER(F6183),ISNUMBER(H6183),F6183&gt;=Inputs!$C$68),F6183*H6183*Inputs!$C$69,"")</f>
      </c>
    </row>
    <row r="6184" spans="2:10" ht="15" customHeight="1" x14ac:dyDescent="0.2">
      <c r="B6184" s="39">
        <f t="shared" si="48"/>
      </c>
      <c r="C6184" s="40">
        <f>IF(Inputs!$C$60,Inputs!$C$11+(B6184-Inputs!$C$69)/Inputs!$C$70,"")</f>
      </c>
      <c r="D6184" s="15"/>
      <c r="E6184" s="15"/>
      <c r="F6184" s="11">
        <f t="shared" si="49"/>
      </c>
      <c r="G6184" s="22" cm="1">
        <f t="array" ref="G6184">IF(AND(Inputs!$C$60,Inputs!$C$61),INDEX(Utility_Rates!$C$29:$F$52,HOUR(C6184)+Inputs!$C$69,MATCH(INDEX(Utility_Rates!$K$6:$K$17,MONTH(C6184))&amp;IF(WEEKDAY(C6184,Inputs!$C$76)&lt;=Inputs!$C$74," weekday"," weekend"),Utility_Rates!$C$28:$F$28,Inputs!$C$68)),"")</f>
      </c>
      <c r="H6184" s="34"/>
      <c r="I6184" s="42">
        <f>IF(AND(ISNUMBER(D6184),ISNUMBER(H6184)),D6184*H6184*Inputs!$C$69,"")</f>
      </c>
      <c r="J6184" s="42">
        <f>IF(AND(ISNUMBER(F6184),ISNUMBER(H6184),F6184&gt;=Inputs!$C$68),F6184*H6184*Inputs!$C$69,"")</f>
      </c>
    </row>
    <row r="6185" spans="2:10" ht="15" customHeight="1" x14ac:dyDescent="0.2">
      <c r="B6185" s="39">
        <f t="shared" si="48"/>
      </c>
      <c r="C6185" s="40">
        <f>IF(Inputs!$C$60,Inputs!$C$11+(B6185-Inputs!$C$69)/Inputs!$C$70,"")</f>
      </c>
      <c r="D6185" s="15"/>
      <c r="E6185" s="15"/>
      <c r="F6185" s="11">
        <f t="shared" si="49"/>
      </c>
      <c r="G6185" s="22" cm="1">
        <f t="array" ref="G6185">IF(AND(Inputs!$C$60,Inputs!$C$61),INDEX(Utility_Rates!$C$29:$F$52,HOUR(C6185)+Inputs!$C$69,MATCH(INDEX(Utility_Rates!$K$6:$K$17,MONTH(C6185))&amp;IF(WEEKDAY(C6185,Inputs!$C$76)&lt;=Inputs!$C$74," weekday"," weekend"),Utility_Rates!$C$28:$F$28,Inputs!$C$68)),"")</f>
      </c>
      <c r="H6185" s="34"/>
      <c r="I6185" s="42">
        <f>IF(AND(ISNUMBER(D6185),ISNUMBER(H6185)),D6185*H6185*Inputs!$C$69,"")</f>
      </c>
      <c r="J6185" s="42">
        <f>IF(AND(ISNUMBER(F6185),ISNUMBER(H6185),F6185&gt;=Inputs!$C$68),F6185*H6185*Inputs!$C$69,"")</f>
      </c>
    </row>
    <row r="6186" spans="2:10" ht="15" customHeight="1" x14ac:dyDescent="0.2">
      <c r="B6186" s="39">
        <f t="shared" si="48"/>
      </c>
      <c r="C6186" s="40">
        <f>IF(Inputs!$C$60,Inputs!$C$11+(B6186-Inputs!$C$69)/Inputs!$C$70,"")</f>
      </c>
      <c r="D6186" s="15"/>
      <c r="E6186" s="15"/>
      <c r="F6186" s="11">
        <f t="shared" si="49"/>
      </c>
      <c r="G6186" s="22" cm="1">
        <f t="array" ref="G6186">IF(AND(Inputs!$C$60,Inputs!$C$61),INDEX(Utility_Rates!$C$29:$F$52,HOUR(C6186)+Inputs!$C$69,MATCH(INDEX(Utility_Rates!$K$6:$K$17,MONTH(C6186))&amp;IF(WEEKDAY(C6186,Inputs!$C$76)&lt;=Inputs!$C$74," weekday"," weekend"),Utility_Rates!$C$28:$F$28,Inputs!$C$68)),"")</f>
      </c>
      <c r="H6186" s="34"/>
      <c r="I6186" s="42">
        <f>IF(AND(ISNUMBER(D6186),ISNUMBER(H6186)),D6186*H6186*Inputs!$C$69,"")</f>
      </c>
      <c r="J6186" s="42">
        <f>IF(AND(ISNUMBER(F6186),ISNUMBER(H6186),F6186&gt;=Inputs!$C$68),F6186*H6186*Inputs!$C$69,"")</f>
      </c>
    </row>
    <row r="6187" spans="2:10" ht="15" customHeight="1" x14ac:dyDescent="0.2">
      <c r="B6187" s="39">
        <f t="shared" si="48"/>
      </c>
      <c r="C6187" s="40">
        <f>IF(Inputs!$C$60,Inputs!$C$11+(B6187-Inputs!$C$69)/Inputs!$C$70,"")</f>
      </c>
      <c r="D6187" s="15"/>
      <c r="E6187" s="15"/>
      <c r="F6187" s="11">
        <f t="shared" si="49"/>
      </c>
      <c r="G6187" s="22" cm="1">
        <f t="array" ref="G6187">IF(AND(Inputs!$C$60,Inputs!$C$61),INDEX(Utility_Rates!$C$29:$F$52,HOUR(C6187)+Inputs!$C$69,MATCH(INDEX(Utility_Rates!$K$6:$K$17,MONTH(C6187))&amp;IF(WEEKDAY(C6187,Inputs!$C$76)&lt;=Inputs!$C$74," weekday"," weekend"),Utility_Rates!$C$28:$F$28,Inputs!$C$68)),"")</f>
      </c>
      <c r="H6187" s="34"/>
      <c r="I6187" s="42">
        <f>IF(AND(ISNUMBER(D6187),ISNUMBER(H6187)),D6187*H6187*Inputs!$C$69,"")</f>
      </c>
      <c r="J6187" s="42">
        <f>IF(AND(ISNUMBER(F6187),ISNUMBER(H6187),F6187&gt;=Inputs!$C$68),F6187*H6187*Inputs!$C$69,"")</f>
      </c>
    </row>
    <row r="6188" spans="2:10" ht="15" customHeight="1" x14ac:dyDescent="0.2">
      <c r="B6188" s="39">
        <f t="shared" si="48"/>
      </c>
      <c r="C6188" s="40">
        <f>IF(Inputs!$C$60,Inputs!$C$11+(B6188-Inputs!$C$69)/Inputs!$C$70,"")</f>
      </c>
      <c r="D6188" s="15"/>
      <c r="E6188" s="15"/>
      <c r="F6188" s="11">
        <f t="shared" si="49"/>
      </c>
      <c r="G6188" s="22" cm="1">
        <f t="array" ref="G6188">IF(AND(Inputs!$C$60,Inputs!$C$61),INDEX(Utility_Rates!$C$29:$F$52,HOUR(C6188)+Inputs!$C$69,MATCH(INDEX(Utility_Rates!$K$6:$K$17,MONTH(C6188))&amp;IF(WEEKDAY(C6188,Inputs!$C$76)&lt;=Inputs!$C$74," weekday"," weekend"),Utility_Rates!$C$28:$F$28,Inputs!$C$68)),"")</f>
      </c>
      <c r="H6188" s="34"/>
      <c r="I6188" s="42">
        <f>IF(AND(ISNUMBER(D6188),ISNUMBER(H6188)),D6188*H6188*Inputs!$C$69,"")</f>
      </c>
      <c r="J6188" s="42">
        <f>IF(AND(ISNUMBER(F6188),ISNUMBER(H6188),F6188&gt;=Inputs!$C$68),F6188*H6188*Inputs!$C$69,"")</f>
      </c>
    </row>
    <row r="6189" spans="2:10" ht="15" customHeight="1" x14ac:dyDescent="0.2">
      <c r="B6189" s="39">
        <f t="shared" si="48"/>
      </c>
      <c r="C6189" s="40">
        <f>IF(Inputs!$C$60,Inputs!$C$11+(B6189-Inputs!$C$69)/Inputs!$C$70,"")</f>
      </c>
      <c r="D6189" s="15"/>
      <c r="E6189" s="15"/>
      <c r="F6189" s="11">
        <f t="shared" si="49"/>
      </c>
      <c r="G6189" s="22" cm="1">
        <f t="array" ref="G6189">IF(AND(Inputs!$C$60,Inputs!$C$61),INDEX(Utility_Rates!$C$29:$F$52,HOUR(C6189)+Inputs!$C$69,MATCH(INDEX(Utility_Rates!$K$6:$K$17,MONTH(C6189))&amp;IF(WEEKDAY(C6189,Inputs!$C$76)&lt;=Inputs!$C$74," weekday"," weekend"),Utility_Rates!$C$28:$F$28,Inputs!$C$68)),"")</f>
      </c>
      <c r="H6189" s="34"/>
      <c r="I6189" s="42">
        <f>IF(AND(ISNUMBER(D6189),ISNUMBER(H6189)),D6189*H6189*Inputs!$C$69,"")</f>
      </c>
      <c r="J6189" s="42">
        <f>IF(AND(ISNUMBER(F6189),ISNUMBER(H6189),F6189&gt;=Inputs!$C$68),F6189*H6189*Inputs!$C$69,"")</f>
      </c>
    </row>
    <row r="6190" spans="2:10" ht="15" customHeight="1" x14ac:dyDescent="0.2">
      <c r="B6190" s="39">
        <f t="shared" si="48"/>
      </c>
      <c r="C6190" s="40">
        <f>IF(Inputs!$C$60,Inputs!$C$11+(B6190-Inputs!$C$69)/Inputs!$C$70,"")</f>
      </c>
      <c r="D6190" s="15"/>
      <c r="E6190" s="15"/>
      <c r="F6190" s="11">
        <f t="shared" si="49"/>
      </c>
      <c r="G6190" s="22" cm="1">
        <f t="array" ref="G6190">IF(AND(Inputs!$C$60,Inputs!$C$61),INDEX(Utility_Rates!$C$29:$F$52,HOUR(C6190)+Inputs!$C$69,MATCH(INDEX(Utility_Rates!$K$6:$K$17,MONTH(C6190))&amp;IF(WEEKDAY(C6190,Inputs!$C$76)&lt;=Inputs!$C$74," weekday"," weekend"),Utility_Rates!$C$28:$F$28,Inputs!$C$68)),"")</f>
      </c>
      <c r="H6190" s="34"/>
      <c r="I6190" s="42">
        <f>IF(AND(ISNUMBER(D6190),ISNUMBER(H6190)),D6190*H6190*Inputs!$C$69,"")</f>
      </c>
      <c r="J6190" s="42">
        <f>IF(AND(ISNUMBER(F6190),ISNUMBER(H6190),F6190&gt;=Inputs!$C$68),F6190*H6190*Inputs!$C$69,"")</f>
      </c>
    </row>
    <row r="6191" spans="2:10" ht="15" customHeight="1" x14ac:dyDescent="0.2">
      <c r="B6191" s="39">
        <f t="shared" si="48"/>
      </c>
      <c r="C6191" s="40">
        <f>IF(Inputs!$C$60,Inputs!$C$11+(B6191-Inputs!$C$69)/Inputs!$C$70,"")</f>
      </c>
      <c r="D6191" s="15"/>
      <c r="E6191" s="15"/>
      <c r="F6191" s="11">
        <f t="shared" si="49"/>
      </c>
      <c r="G6191" s="22" cm="1">
        <f t="array" ref="G6191">IF(AND(Inputs!$C$60,Inputs!$C$61),INDEX(Utility_Rates!$C$29:$F$52,HOUR(C6191)+Inputs!$C$69,MATCH(INDEX(Utility_Rates!$K$6:$K$17,MONTH(C6191))&amp;IF(WEEKDAY(C6191,Inputs!$C$76)&lt;=Inputs!$C$74," weekday"," weekend"),Utility_Rates!$C$28:$F$28,Inputs!$C$68)),"")</f>
      </c>
      <c r="H6191" s="34"/>
      <c r="I6191" s="42">
        <f>IF(AND(ISNUMBER(D6191),ISNUMBER(H6191)),D6191*H6191*Inputs!$C$69,"")</f>
      </c>
      <c r="J6191" s="42">
        <f>IF(AND(ISNUMBER(F6191),ISNUMBER(H6191),F6191&gt;=Inputs!$C$68),F6191*H6191*Inputs!$C$69,"")</f>
      </c>
    </row>
    <row r="6192" spans="2:10" ht="15" customHeight="1" x14ac:dyDescent="0.2">
      <c r="B6192" s="39">
        <f t="shared" si="48"/>
      </c>
      <c r="C6192" s="40">
        <f>IF(Inputs!$C$60,Inputs!$C$11+(B6192-Inputs!$C$69)/Inputs!$C$70,"")</f>
      </c>
      <c r="D6192" s="15"/>
      <c r="E6192" s="15"/>
      <c r="F6192" s="11">
        <f t="shared" si="49"/>
      </c>
      <c r="G6192" s="22" cm="1">
        <f t="array" ref="G6192">IF(AND(Inputs!$C$60,Inputs!$C$61),INDEX(Utility_Rates!$C$29:$F$52,HOUR(C6192)+Inputs!$C$69,MATCH(INDEX(Utility_Rates!$K$6:$K$17,MONTH(C6192))&amp;IF(WEEKDAY(C6192,Inputs!$C$76)&lt;=Inputs!$C$74," weekday"," weekend"),Utility_Rates!$C$28:$F$28,Inputs!$C$68)),"")</f>
      </c>
      <c r="H6192" s="34"/>
      <c r="I6192" s="42">
        <f>IF(AND(ISNUMBER(D6192),ISNUMBER(H6192)),D6192*H6192*Inputs!$C$69,"")</f>
      </c>
      <c r="J6192" s="42">
        <f>IF(AND(ISNUMBER(F6192),ISNUMBER(H6192),F6192&gt;=Inputs!$C$68),F6192*H6192*Inputs!$C$69,"")</f>
      </c>
    </row>
    <row r="6193" spans="2:10" ht="15" customHeight="1" x14ac:dyDescent="0.2">
      <c r="B6193" s="39">
        <f t="shared" si="48"/>
      </c>
      <c r="C6193" s="40">
        <f>IF(Inputs!$C$60,Inputs!$C$11+(B6193-Inputs!$C$69)/Inputs!$C$70,"")</f>
      </c>
      <c r="D6193" s="15"/>
      <c r="E6193" s="15"/>
      <c r="F6193" s="11">
        <f t="shared" si="49"/>
      </c>
      <c r="G6193" s="22" cm="1">
        <f t="array" ref="G6193">IF(AND(Inputs!$C$60,Inputs!$C$61),INDEX(Utility_Rates!$C$29:$F$52,HOUR(C6193)+Inputs!$C$69,MATCH(INDEX(Utility_Rates!$K$6:$K$17,MONTH(C6193))&amp;IF(WEEKDAY(C6193,Inputs!$C$76)&lt;=Inputs!$C$74," weekday"," weekend"),Utility_Rates!$C$28:$F$28,Inputs!$C$68)),"")</f>
      </c>
      <c r="H6193" s="34"/>
      <c r="I6193" s="42">
        <f>IF(AND(ISNUMBER(D6193),ISNUMBER(H6193)),D6193*H6193*Inputs!$C$69,"")</f>
      </c>
      <c r="J6193" s="42">
        <f>IF(AND(ISNUMBER(F6193),ISNUMBER(H6193),F6193&gt;=Inputs!$C$68),F6193*H6193*Inputs!$C$69,"")</f>
      </c>
    </row>
    <row r="6194" spans="2:10" ht="15" customHeight="1" x14ac:dyDescent="0.2">
      <c r="B6194" s="39">
        <f t="shared" si="48"/>
      </c>
      <c r="C6194" s="40">
        <f>IF(Inputs!$C$60,Inputs!$C$11+(B6194-Inputs!$C$69)/Inputs!$C$70,"")</f>
      </c>
      <c r="D6194" s="15"/>
      <c r="E6194" s="15"/>
      <c r="F6194" s="11">
        <f t="shared" si="49"/>
      </c>
      <c r="G6194" s="22" cm="1">
        <f t="array" ref="G6194">IF(AND(Inputs!$C$60,Inputs!$C$61),INDEX(Utility_Rates!$C$29:$F$52,HOUR(C6194)+Inputs!$C$69,MATCH(INDEX(Utility_Rates!$K$6:$K$17,MONTH(C6194))&amp;IF(WEEKDAY(C6194,Inputs!$C$76)&lt;=Inputs!$C$74," weekday"," weekend"),Utility_Rates!$C$28:$F$28,Inputs!$C$68)),"")</f>
      </c>
      <c r="H6194" s="34"/>
      <c r="I6194" s="42">
        <f>IF(AND(ISNUMBER(D6194),ISNUMBER(H6194)),D6194*H6194*Inputs!$C$69,"")</f>
      </c>
      <c r="J6194" s="42">
        <f>IF(AND(ISNUMBER(F6194),ISNUMBER(H6194),F6194&gt;=Inputs!$C$68),F6194*H6194*Inputs!$C$69,"")</f>
      </c>
    </row>
    <row r="6195" spans="2:10" ht="15" customHeight="1" x14ac:dyDescent="0.2">
      <c r="B6195" s="39">
        <f t="shared" si="48"/>
      </c>
      <c r="C6195" s="40">
        <f>IF(Inputs!$C$60,Inputs!$C$11+(B6195-Inputs!$C$69)/Inputs!$C$70,"")</f>
      </c>
      <c r="D6195" s="15"/>
      <c r="E6195" s="15"/>
      <c r="F6195" s="11">
        <f t="shared" si="49"/>
      </c>
      <c r="G6195" s="22" cm="1">
        <f t="array" ref="G6195">IF(AND(Inputs!$C$60,Inputs!$C$61),INDEX(Utility_Rates!$C$29:$F$52,HOUR(C6195)+Inputs!$C$69,MATCH(INDEX(Utility_Rates!$K$6:$K$17,MONTH(C6195))&amp;IF(WEEKDAY(C6195,Inputs!$C$76)&lt;=Inputs!$C$74," weekday"," weekend"),Utility_Rates!$C$28:$F$28,Inputs!$C$68)),"")</f>
      </c>
      <c r="H6195" s="34"/>
      <c r="I6195" s="42">
        <f>IF(AND(ISNUMBER(D6195),ISNUMBER(H6195)),D6195*H6195*Inputs!$C$69,"")</f>
      </c>
      <c r="J6195" s="42">
        <f>IF(AND(ISNUMBER(F6195),ISNUMBER(H6195),F6195&gt;=Inputs!$C$68),F6195*H6195*Inputs!$C$69,"")</f>
      </c>
    </row>
    <row r="6196" spans="2:10" ht="15" customHeight="1" x14ac:dyDescent="0.2">
      <c r="B6196" s="39">
        <f t="shared" si="48"/>
      </c>
      <c r="C6196" s="40">
        <f>IF(Inputs!$C$60,Inputs!$C$11+(B6196-Inputs!$C$69)/Inputs!$C$70,"")</f>
      </c>
      <c r="D6196" s="15"/>
      <c r="E6196" s="15"/>
      <c r="F6196" s="11">
        <f t="shared" si="49"/>
      </c>
      <c r="G6196" s="22" cm="1">
        <f t="array" ref="G6196">IF(AND(Inputs!$C$60,Inputs!$C$61),INDEX(Utility_Rates!$C$29:$F$52,HOUR(C6196)+Inputs!$C$69,MATCH(INDEX(Utility_Rates!$K$6:$K$17,MONTH(C6196))&amp;IF(WEEKDAY(C6196,Inputs!$C$76)&lt;=Inputs!$C$74," weekday"," weekend"),Utility_Rates!$C$28:$F$28,Inputs!$C$68)),"")</f>
      </c>
      <c r="H6196" s="34"/>
      <c r="I6196" s="42">
        <f>IF(AND(ISNUMBER(D6196),ISNUMBER(H6196)),D6196*H6196*Inputs!$C$69,"")</f>
      </c>
      <c r="J6196" s="42">
        <f>IF(AND(ISNUMBER(F6196),ISNUMBER(H6196),F6196&gt;=Inputs!$C$68),F6196*H6196*Inputs!$C$69,"")</f>
      </c>
    </row>
    <row r="6197" spans="2:10" ht="15" customHeight="1" x14ac:dyDescent="0.2">
      <c r="B6197" s="39">
        <f t="shared" si="48"/>
      </c>
      <c r="C6197" s="40">
        <f>IF(Inputs!$C$60,Inputs!$C$11+(B6197-Inputs!$C$69)/Inputs!$C$70,"")</f>
      </c>
      <c r="D6197" s="15"/>
      <c r="E6197" s="15"/>
      <c r="F6197" s="11">
        <f t="shared" si="49"/>
      </c>
      <c r="G6197" s="22" cm="1">
        <f t="array" ref="G6197">IF(AND(Inputs!$C$60,Inputs!$C$61),INDEX(Utility_Rates!$C$29:$F$52,HOUR(C6197)+Inputs!$C$69,MATCH(INDEX(Utility_Rates!$K$6:$K$17,MONTH(C6197))&amp;IF(WEEKDAY(C6197,Inputs!$C$76)&lt;=Inputs!$C$74," weekday"," weekend"),Utility_Rates!$C$28:$F$28,Inputs!$C$68)),"")</f>
      </c>
      <c r="H6197" s="34"/>
      <c r="I6197" s="42">
        <f>IF(AND(ISNUMBER(D6197),ISNUMBER(H6197)),D6197*H6197*Inputs!$C$69,"")</f>
      </c>
      <c r="J6197" s="42">
        <f>IF(AND(ISNUMBER(F6197),ISNUMBER(H6197),F6197&gt;=Inputs!$C$68),F6197*H6197*Inputs!$C$69,"")</f>
      </c>
    </row>
    <row r="6198" spans="2:10" ht="15" customHeight="1" x14ac:dyDescent="0.2">
      <c r="B6198" s="39">
        <f t="shared" si="48"/>
      </c>
      <c r="C6198" s="40">
        <f>IF(Inputs!$C$60,Inputs!$C$11+(B6198-Inputs!$C$69)/Inputs!$C$70,"")</f>
      </c>
      <c r="D6198" s="15"/>
      <c r="E6198" s="15"/>
      <c r="F6198" s="11">
        <f t="shared" si="49"/>
      </c>
      <c r="G6198" s="22" cm="1">
        <f t="array" ref="G6198">IF(AND(Inputs!$C$60,Inputs!$C$61),INDEX(Utility_Rates!$C$29:$F$52,HOUR(C6198)+Inputs!$C$69,MATCH(INDEX(Utility_Rates!$K$6:$K$17,MONTH(C6198))&amp;IF(WEEKDAY(C6198,Inputs!$C$76)&lt;=Inputs!$C$74," weekday"," weekend"),Utility_Rates!$C$28:$F$28,Inputs!$C$68)),"")</f>
      </c>
      <c r="H6198" s="34"/>
      <c r="I6198" s="42">
        <f>IF(AND(ISNUMBER(D6198),ISNUMBER(H6198)),D6198*H6198*Inputs!$C$69,"")</f>
      </c>
      <c r="J6198" s="42">
        <f>IF(AND(ISNUMBER(F6198),ISNUMBER(H6198),F6198&gt;=Inputs!$C$68),F6198*H6198*Inputs!$C$69,"")</f>
      </c>
    </row>
    <row r="6199" spans="2:10" ht="15" customHeight="1" x14ac:dyDescent="0.2">
      <c r="B6199" s="39">
        <f t="shared" si="48"/>
      </c>
      <c r="C6199" s="40">
        <f>IF(Inputs!$C$60,Inputs!$C$11+(B6199-Inputs!$C$69)/Inputs!$C$70,"")</f>
      </c>
      <c r="D6199" s="15"/>
      <c r="E6199" s="15"/>
      <c r="F6199" s="11">
        <f t="shared" si="49"/>
      </c>
      <c r="G6199" s="22" cm="1">
        <f t="array" ref="G6199">IF(AND(Inputs!$C$60,Inputs!$C$61),INDEX(Utility_Rates!$C$29:$F$52,HOUR(C6199)+Inputs!$C$69,MATCH(INDEX(Utility_Rates!$K$6:$K$17,MONTH(C6199))&amp;IF(WEEKDAY(C6199,Inputs!$C$76)&lt;=Inputs!$C$74," weekday"," weekend"),Utility_Rates!$C$28:$F$28,Inputs!$C$68)),"")</f>
      </c>
      <c r="H6199" s="34"/>
      <c r="I6199" s="42">
        <f>IF(AND(ISNUMBER(D6199),ISNUMBER(H6199)),D6199*H6199*Inputs!$C$69,"")</f>
      </c>
      <c r="J6199" s="42">
        <f>IF(AND(ISNUMBER(F6199),ISNUMBER(H6199),F6199&gt;=Inputs!$C$68),F6199*H6199*Inputs!$C$69,"")</f>
      </c>
    </row>
    <row r="6200" spans="2:10" ht="15" customHeight="1" x14ac:dyDescent="0.2">
      <c r="B6200" s="39">
        <f t="shared" si="48"/>
      </c>
      <c r="C6200" s="40">
        <f>IF(Inputs!$C$60,Inputs!$C$11+(B6200-Inputs!$C$69)/Inputs!$C$70,"")</f>
      </c>
      <c r="D6200" s="15"/>
      <c r="E6200" s="15"/>
      <c r="F6200" s="11">
        <f t="shared" si="49"/>
      </c>
      <c r="G6200" s="22" cm="1">
        <f t="array" ref="G6200">IF(AND(Inputs!$C$60,Inputs!$C$61),INDEX(Utility_Rates!$C$29:$F$52,HOUR(C6200)+Inputs!$C$69,MATCH(INDEX(Utility_Rates!$K$6:$K$17,MONTH(C6200))&amp;IF(WEEKDAY(C6200,Inputs!$C$76)&lt;=Inputs!$C$74," weekday"," weekend"),Utility_Rates!$C$28:$F$28,Inputs!$C$68)),"")</f>
      </c>
      <c r="H6200" s="34"/>
      <c r="I6200" s="42">
        <f>IF(AND(ISNUMBER(D6200),ISNUMBER(H6200)),D6200*H6200*Inputs!$C$69,"")</f>
      </c>
      <c r="J6200" s="42">
        <f>IF(AND(ISNUMBER(F6200),ISNUMBER(H6200),F6200&gt;=Inputs!$C$68),F6200*H6200*Inputs!$C$69,"")</f>
      </c>
    </row>
    <row r="6201" spans="2:10" ht="15" customHeight="1" x14ac:dyDescent="0.2">
      <c r="B6201" s="39">
        <f t="shared" si="48"/>
      </c>
      <c r="C6201" s="40">
        <f>IF(Inputs!$C$60,Inputs!$C$11+(B6201-Inputs!$C$69)/Inputs!$C$70,"")</f>
      </c>
      <c r="D6201" s="15"/>
      <c r="E6201" s="15"/>
      <c r="F6201" s="11">
        <f t="shared" si="49"/>
      </c>
      <c r="G6201" s="22" cm="1">
        <f t="array" ref="G6201">IF(AND(Inputs!$C$60,Inputs!$C$61),INDEX(Utility_Rates!$C$29:$F$52,HOUR(C6201)+Inputs!$C$69,MATCH(INDEX(Utility_Rates!$K$6:$K$17,MONTH(C6201))&amp;IF(WEEKDAY(C6201,Inputs!$C$76)&lt;=Inputs!$C$74," weekday"," weekend"),Utility_Rates!$C$28:$F$28,Inputs!$C$68)),"")</f>
      </c>
      <c r="H6201" s="34"/>
      <c r="I6201" s="42">
        <f>IF(AND(ISNUMBER(D6201),ISNUMBER(H6201)),D6201*H6201*Inputs!$C$69,"")</f>
      </c>
      <c r="J6201" s="42">
        <f>IF(AND(ISNUMBER(F6201),ISNUMBER(H6201),F6201&gt;=Inputs!$C$68),F6201*H6201*Inputs!$C$69,"")</f>
      </c>
    </row>
    <row r="6202" spans="2:10" ht="15" customHeight="1" x14ac:dyDescent="0.2">
      <c r="B6202" s="39">
        <f t="shared" si="48"/>
      </c>
      <c r="C6202" s="40">
        <f>IF(Inputs!$C$60,Inputs!$C$11+(B6202-Inputs!$C$69)/Inputs!$C$70,"")</f>
      </c>
      <c r="D6202" s="15"/>
      <c r="E6202" s="15"/>
      <c r="F6202" s="11">
        <f t="shared" si="49"/>
      </c>
      <c r="G6202" s="22" cm="1">
        <f t="array" ref="G6202">IF(AND(Inputs!$C$60,Inputs!$C$61),INDEX(Utility_Rates!$C$29:$F$52,HOUR(C6202)+Inputs!$C$69,MATCH(INDEX(Utility_Rates!$K$6:$K$17,MONTH(C6202))&amp;IF(WEEKDAY(C6202,Inputs!$C$76)&lt;=Inputs!$C$74," weekday"," weekend"),Utility_Rates!$C$28:$F$28,Inputs!$C$68)),"")</f>
      </c>
      <c r="H6202" s="34"/>
      <c r="I6202" s="42">
        <f>IF(AND(ISNUMBER(D6202),ISNUMBER(H6202)),D6202*H6202*Inputs!$C$69,"")</f>
      </c>
      <c r="J6202" s="42">
        <f>IF(AND(ISNUMBER(F6202),ISNUMBER(H6202),F6202&gt;=Inputs!$C$68),F6202*H6202*Inputs!$C$69,"")</f>
      </c>
    </row>
    <row r="6203" spans="2:10" ht="15" customHeight="1" x14ac:dyDescent="0.2">
      <c r="B6203" s="39">
        <f t="shared" si="48"/>
      </c>
      <c r="C6203" s="40">
        <f>IF(Inputs!$C$60,Inputs!$C$11+(B6203-Inputs!$C$69)/Inputs!$C$70,"")</f>
      </c>
      <c r="D6203" s="15"/>
      <c r="E6203" s="15"/>
      <c r="F6203" s="11">
        <f t="shared" si="49"/>
      </c>
      <c r="G6203" s="22" cm="1">
        <f t="array" ref="G6203">IF(AND(Inputs!$C$60,Inputs!$C$61),INDEX(Utility_Rates!$C$29:$F$52,HOUR(C6203)+Inputs!$C$69,MATCH(INDEX(Utility_Rates!$K$6:$K$17,MONTH(C6203))&amp;IF(WEEKDAY(C6203,Inputs!$C$76)&lt;=Inputs!$C$74," weekday"," weekend"),Utility_Rates!$C$28:$F$28,Inputs!$C$68)),"")</f>
      </c>
      <c r="H6203" s="34"/>
      <c r="I6203" s="42">
        <f>IF(AND(ISNUMBER(D6203),ISNUMBER(H6203)),D6203*H6203*Inputs!$C$69,"")</f>
      </c>
      <c r="J6203" s="42">
        <f>IF(AND(ISNUMBER(F6203),ISNUMBER(H6203),F6203&gt;=Inputs!$C$68),F6203*H6203*Inputs!$C$69,"")</f>
      </c>
    </row>
    <row r="6204" spans="2:10" ht="15" customHeight="1" x14ac:dyDescent="0.2">
      <c r="B6204" s="39">
        <f t="shared" si="48"/>
      </c>
      <c r="C6204" s="40">
        <f>IF(Inputs!$C$60,Inputs!$C$11+(B6204-Inputs!$C$69)/Inputs!$C$70,"")</f>
      </c>
      <c r="D6204" s="15"/>
      <c r="E6204" s="15"/>
      <c r="F6204" s="11">
        <f t="shared" si="49"/>
      </c>
      <c r="G6204" s="22" cm="1">
        <f t="array" ref="G6204">IF(AND(Inputs!$C$60,Inputs!$C$61),INDEX(Utility_Rates!$C$29:$F$52,HOUR(C6204)+Inputs!$C$69,MATCH(INDEX(Utility_Rates!$K$6:$K$17,MONTH(C6204))&amp;IF(WEEKDAY(C6204,Inputs!$C$76)&lt;=Inputs!$C$74," weekday"," weekend"),Utility_Rates!$C$28:$F$28,Inputs!$C$68)),"")</f>
      </c>
      <c r="H6204" s="34"/>
      <c r="I6204" s="42">
        <f>IF(AND(ISNUMBER(D6204),ISNUMBER(H6204)),D6204*H6204*Inputs!$C$69,"")</f>
      </c>
      <c r="J6204" s="42">
        <f>IF(AND(ISNUMBER(F6204),ISNUMBER(H6204),F6204&gt;=Inputs!$C$68),F6204*H6204*Inputs!$C$69,"")</f>
      </c>
    </row>
    <row r="6205" spans="2:10" ht="15" customHeight="1" x14ac:dyDescent="0.2">
      <c r="B6205" s="39">
        <f t="shared" si="48"/>
      </c>
      <c r="C6205" s="40">
        <f>IF(Inputs!$C$60,Inputs!$C$11+(B6205-Inputs!$C$69)/Inputs!$C$70,"")</f>
      </c>
      <c r="D6205" s="15"/>
      <c r="E6205" s="15"/>
      <c r="F6205" s="11">
        <f t="shared" si="49"/>
      </c>
      <c r="G6205" s="22" cm="1">
        <f t="array" ref="G6205">IF(AND(Inputs!$C$60,Inputs!$C$61),INDEX(Utility_Rates!$C$29:$F$52,HOUR(C6205)+Inputs!$C$69,MATCH(INDEX(Utility_Rates!$K$6:$K$17,MONTH(C6205))&amp;IF(WEEKDAY(C6205,Inputs!$C$76)&lt;=Inputs!$C$74," weekday"," weekend"),Utility_Rates!$C$28:$F$28,Inputs!$C$68)),"")</f>
      </c>
      <c r="H6205" s="34"/>
      <c r="I6205" s="42">
        <f>IF(AND(ISNUMBER(D6205),ISNUMBER(H6205)),D6205*H6205*Inputs!$C$69,"")</f>
      </c>
      <c r="J6205" s="42">
        <f>IF(AND(ISNUMBER(F6205),ISNUMBER(H6205),F6205&gt;=Inputs!$C$68),F6205*H6205*Inputs!$C$69,"")</f>
      </c>
    </row>
    <row r="6206" spans="2:10" ht="15" customHeight="1" x14ac:dyDescent="0.2">
      <c r="B6206" s="39">
        <f t="shared" si="48"/>
      </c>
      <c r="C6206" s="40">
        <f>IF(Inputs!$C$60,Inputs!$C$11+(B6206-Inputs!$C$69)/Inputs!$C$70,"")</f>
      </c>
      <c r="D6206" s="15"/>
      <c r="E6206" s="15"/>
      <c r="F6206" s="11">
        <f t="shared" si="49"/>
      </c>
      <c r="G6206" s="22" cm="1">
        <f t="array" ref="G6206">IF(AND(Inputs!$C$60,Inputs!$C$61),INDEX(Utility_Rates!$C$29:$F$52,HOUR(C6206)+Inputs!$C$69,MATCH(INDEX(Utility_Rates!$K$6:$K$17,MONTH(C6206))&amp;IF(WEEKDAY(C6206,Inputs!$C$76)&lt;=Inputs!$C$74," weekday"," weekend"),Utility_Rates!$C$28:$F$28,Inputs!$C$68)),"")</f>
      </c>
      <c r="H6206" s="34"/>
      <c r="I6206" s="42">
        <f>IF(AND(ISNUMBER(D6206),ISNUMBER(H6206)),D6206*H6206*Inputs!$C$69,"")</f>
      </c>
      <c r="J6206" s="42">
        <f>IF(AND(ISNUMBER(F6206),ISNUMBER(H6206),F6206&gt;=Inputs!$C$68),F6206*H6206*Inputs!$C$69,"")</f>
      </c>
    </row>
    <row r="6207" spans="2:10" ht="15" customHeight="1" x14ac:dyDescent="0.2">
      <c r="B6207" s="39">
        <f t="shared" si="48"/>
      </c>
      <c r="C6207" s="40">
        <f>IF(Inputs!$C$60,Inputs!$C$11+(B6207-Inputs!$C$69)/Inputs!$C$70,"")</f>
      </c>
      <c r="D6207" s="15"/>
      <c r="E6207" s="15"/>
      <c r="F6207" s="11">
        <f t="shared" si="49"/>
      </c>
      <c r="G6207" s="22" cm="1">
        <f t="array" ref="G6207">IF(AND(Inputs!$C$60,Inputs!$C$61),INDEX(Utility_Rates!$C$29:$F$52,HOUR(C6207)+Inputs!$C$69,MATCH(INDEX(Utility_Rates!$K$6:$K$17,MONTH(C6207))&amp;IF(WEEKDAY(C6207,Inputs!$C$76)&lt;=Inputs!$C$74," weekday"," weekend"),Utility_Rates!$C$28:$F$28,Inputs!$C$68)),"")</f>
      </c>
      <c r="H6207" s="34"/>
      <c r="I6207" s="42">
        <f>IF(AND(ISNUMBER(D6207),ISNUMBER(H6207)),D6207*H6207*Inputs!$C$69,"")</f>
      </c>
      <c r="J6207" s="42">
        <f>IF(AND(ISNUMBER(F6207),ISNUMBER(H6207),F6207&gt;=Inputs!$C$68),F6207*H6207*Inputs!$C$69,"")</f>
      </c>
    </row>
    <row r="6208" spans="2:10" ht="15" customHeight="1" x14ac:dyDescent="0.2">
      <c r="B6208" s="39">
        <f t="shared" si="48"/>
      </c>
      <c r="C6208" s="40">
        <f>IF(Inputs!$C$60,Inputs!$C$11+(B6208-Inputs!$C$69)/Inputs!$C$70,"")</f>
      </c>
      <c r="D6208" s="15"/>
      <c r="E6208" s="15"/>
      <c r="F6208" s="11">
        <f t="shared" si="49"/>
      </c>
      <c r="G6208" s="22" cm="1">
        <f t="array" ref="G6208">IF(AND(Inputs!$C$60,Inputs!$C$61),INDEX(Utility_Rates!$C$29:$F$52,HOUR(C6208)+Inputs!$C$69,MATCH(INDEX(Utility_Rates!$K$6:$K$17,MONTH(C6208))&amp;IF(WEEKDAY(C6208,Inputs!$C$76)&lt;=Inputs!$C$74," weekday"," weekend"),Utility_Rates!$C$28:$F$28,Inputs!$C$68)),"")</f>
      </c>
      <c r="H6208" s="34"/>
      <c r="I6208" s="42">
        <f>IF(AND(ISNUMBER(D6208),ISNUMBER(H6208)),D6208*H6208*Inputs!$C$69,"")</f>
      </c>
      <c r="J6208" s="42">
        <f>IF(AND(ISNUMBER(F6208),ISNUMBER(H6208),F6208&gt;=Inputs!$C$68),F6208*H6208*Inputs!$C$69,"")</f>
      </c>
    </row>
    <row r="6209" spans="2:10" ht="15" customHeight="1" x14ac:dyDescent="0.2">
      <c r="B6209" s="39">
        <f t="shared" si="48"/>
      </c>
      <c r="C6209" s="40">
        <f>IF(Inputs!$C$60,Inputs!$C$11+(B6209-Inputs!$C$69)/Inputs!$C$70,"")</f>
      </c>
      <c r="D6209" s="15"/>
      <c r="E6209" s="15"/>
      <c r="F6209" s="11">
        <f t="shared" si="49"/>
      </c>
      <c r="G6209" s="22" cm="1">
        <f t="array" ref="G6209">IF(AND(Inputs!$C$60,Inputs!$C$61),INDEX(Utility_Rates!$C$29:$F$52,HOUR(C6209)+Inputs!$C$69,MATCH(INDEX(Utility_Rates!$K$6:$K$17,MONTH(C6209))&amp;IF(WEEKDAY(C6209,Inputs!$C$76)&lt;=Inputs!$C$74," weekday"," weekend"),Utility_Rates!$C$28:$F$28,Inputs!$C$68)),"")</f>
      </c>
      <c r="H6209" s="34"/>
      <c r="I6209" s="42">
        <f>IF(AND(ISNUMBER(D6209),ISNUMBER(H6209)),D6209*H6209*Inputs!$C$69,"")</f>
      </c>
      <c r="J6209" s="42">
        <f>IF(AND(ISNUMBER(F6209),ISNUMBER(H6209),F6209&gt;=Inputs!$C$68),F6209*H6209*Inputs!$C$69,"")</f>
      </c>
    </row>
    <row r="6210" spans="2:10" ht="15" customHeight="1" x14ac:dyDescent="0.2">
      <c r="B6210" s="39">
        <f t="shared" si="48"/>
      </c>
      <c r="C6210" s="40">
        <f>IF(Inputs!$C$60,Inputs!$C$11+(B6210-Inputs!$C$69)/Inputs!$C$70,"")</f>
      </c>
      <c r="D6210" s="15"/>
      <c r="E6210" s="15"/>
      <c r="F6210" s="11">
        <f t="shared" si="49"/>
      </c>
      <c r="G6210" s="22" cm="1">
        <f t="array" ref="G6210">IF(AND(Inputs!$C$60,Inputs!$C$61),INDEX(Utility_Rates!$C$29:$F$52,HOUR(C6210)+Inputs!$C$69,MATCH(INDEX(Utility_Rates!$K$6:$K$17,MONTH(C6210))&amp;IF(WEEKDAY(C6210,Inputs!$C$76)&lt;=Inputs!$C$74," weekday"," weekend"),Utility_Rates!$C$28:$F$28,Inputs!$C$68)),"")</f>
      </c>
      <c r="H6210" s="34"/>
      <c r="I6210" s="42">
        <f>IF(AND(ISNUMBER(D6210),ISNUMBER(H6210)),D6210*H6210*Inputs!$C$69,"")</f>
      </c>
      <c r="J6210" s="42">
        <f>IF(AND(ISNUMBER(F6210),ISNUMBER(H6210),F6210&gt;=Inputs!$C$68),F6210*H6210*Inputs!$C$69,"")</f>
      </c>
    </row>
    <row r="6211" spans="2:10" ht="15" customHeight="1" x14ac:dyDescent="0.2">
      <c r="B6211" s="39">
        <f t="shared" si="48"/>
      </c>
      <c r="C6211" s="40">
        <f>IF(Inputs!$C$60,Inputs!$C$11+(B6211-Inputs!$C$69)/Inputs!$C$70,"")</f>
      </c>
      <c r="D6211" s="15"/>
      <c r="E6211" s="15"/>
      <c r="F6211" s="11">
        <f t="shared" si="49"/>
      </c>
      <c r="G6211" s="22" cm="1">
        <f t="array" ref="G6211">IF(AND(Inputs!$C$60,Inputs!$C$61),INDEX(Utility_Rates!$C$29:$F$52,HOUR(C6211)+Inputs!$C$69,MATCH(INDEX(Utility_Rates!$K$6:$K$17,MONTH(C6211))&amp;IF(WEEKDAY(C6211,Inputs!$C$76)&lt;=Inputs!$C$74," weekday"," weekend"),Utility_Rates!$C$28:$F$28,Inputs!$C$68)),"")</f>
      </c>
      <c r="H6211" s="34"/>
      <c r="I6211" s="42">
        <f>IF(AND(ISNUMBER(D6211),ISNUMBER(H6211)),D6211*H6211*Inputs!$C$69,"")</f>
      </c>
      <c r="J6211" s="42">
        <f>IF(AND(ISNUMBER(F6211),ISNUMBER(H6211),F6211&gt;=Inputs!$C$68),F6211*H6211*Inputs!$C$69,"")</f>
      </c>
    </row>
    <row r="6212" spans="2:10" ht="15" customHeight="1" x14ac:dyDescent="0.2">
      <c r="B6212" s="39">
        <f t="shared" si="48"/>
      </c>
      <c r="C6212" s="40">
        <f>IF(Inputs!$C$60,Inputs!$C$11+(B6212-Inputs!$C$69)/Inputs!$C$70,"")</f>
      </c>
      <c r="D6212" s="15"/>
      <c r="E6212" s="15"/>
      <c r="F6212" s="11">
        <f t="shared" si="49"/>
      </c>
      <c r="G6212" s="22" cm="1">
        <f t="array" ref="G6212">IF(AND(Inputs!$C$60,Inputs!$C$61),INDEX(Utility_Rates!$C$29:$F$52,HOUR(C6212)+Inputs!$C$69,MATCH(INDEX(Utility_Rates!$K$6:$K$17,MONTH(C6212))&amp;IF(WEEKDAY(C6212,Inputs!$C$76)&lt;=Inputs!$C$74," weekday"," weekend"),Utility_Rates!$C$28:$F$28,Inputs!$C$68)),"")</f>
      </c>
      <c r="H6212" s="34"/>
      <c r="I6212" s="42">
        <f>IF(AND(ISNUMBER(D6212),ISNUMBER(H6212)),D6212*H6212*Inputs!$C$69,"")</f>
      </c>
      <c r="J6212" s="42">
        <f>IF(AND(ISNUMBER(F6212),ISNUMBER(H6212),F6212&gt;=Inputs!$C$68),F6212*H6212*Inputs!$C$69,"")</f>
      </c>
    </row>
    <row r="6213" spans="2:10" ht="15" customHeight="1" x14ac:dyDescent="0.2">
      <c r="B6213" s="39">
        <f t="shared" si="48"/>
      </c>
      <c r="C6213" s="40">
        <f>IF(Inputs!$C$60,Inputs!$C$11+(B6213-Inputs!$C$69)/Inputs!$C$70,"")</f>
      </c>
      <c r="D6213" s="15"/>
      <c r="E6213" s="15"/>
      <c r="F6213" s="11">
        <f t="shared" si="49"/>
      </c>
      <c r="G6213" s="22" cm="1">
        <f t="array" ref="G6213">IF(AND(Inputs!$C$60,Inputs!$C$61),INDEX(Utility_Rates!$C$29:$F$52,HOUR(C6213)+Inputs!$C$69,MATCH(INDEX(Utility_Rates!$K$6:$K$17,MONTH(C6213))&amp;IF(WEEKDAY(C6213,Inputs!$C$76)&lt;=Inputs!$C$74," weekday"," weekend"),Utility_Rates!$C$28:$F$28,Inputs!$C$68)),"")</f>
      </c>
      <c r="H6213" s="34"/>
      <c r="I6213" s="42">
        <f>IF(AND(ISNUMBER(D6213),ISNUMBER(H6213)),D6213*H6213*Inputs!$C$69,"")</f>
      </c>
      <c r="J6213" s="42">
        <f>IF(AND(ISNUMBER(F6213),ISNUMBER(H6213),F6213&gt;=Inputs!$C$68),F6213*H6213*Inputs!$C$69,"")</f>
      </c>
    </row>
    <row r="6214" spans="2:10" ht="15" customHeight="1" x14ac:dyDescent="0.2">
      <c r="B6214" s="39">
        <f t="shared" si="48"/>
      </c>
      <c r="C6214" s="40">
        <f>IF(Inputs!$C$60,Inputs!$C$11+(B6214-Inputs!$C$69)/Inputs!$C$70,"")</f>
      </c>
      <c r="D6214" s="15"/>
      <c r="E6214" s="15"/>
      <c r="F6214" s="11">
        <f t="shared" si="49"/>
      </c>
      <c r="G6214" s="22" cm="1">
        <f t="array" ref="G6214">IF(AND(Inputs!$C$60,Inputs!$C$61),INDEX(Utility_Rates!$C$29:$F$52,HOUR(C6214)+Inputs!$C$69,MATCH(INDEX(Utility_Rates!$K$6:$K$17,MONTH(C6214))&amp;IF(WEEKDAY(C6214,Inputs!$C$76)&lt;=Inputs!$C$74," weekday"," weekend"),Utility_Rates!$C$28:$F$28,Inputs!$C$68)),"")</f>
      </c>
      <c r="H6214" s="34"/>
      <c r="I6214" s="42">
        <f>IF(AND(ISNUMBER(D6214),ISNUMBER(H6214)),D6214*H6214*Inputs!$C$69,"")</f>
      </c>
      <c r="J6214" s="42">
        <f>IF(AND(ISNUMBER(F6214),ISNUMBER(H6214),F6214&gt;=Inputs!$C$68),F6214*H6214*Inputs!$C$69,"")</f>
      </c>
    </row>
    <row r="6215" spans="2:10" ht="15" customHeight="1" x14ac:dyDescent="0.2">
      <c r="B6215" s="39">
        <f t="shared" si="48"/>
      </c>
      <c r="C6215" s="40">
        <f>IF(Inputs!$C$60,Inputs!$C$11+(B6215-Inputs!$C$69)/Inputs!$C$70,"")</f>
      </c>
      <c r="D6215" s="15"/>
      <c r="E6215" s="15"/>
      <c r="F6215" s="11">
        <f t="shared" si="49"/>
      </c>
      <c r="G6215" s="22" cm="1">
        <f t="array" ref="G6215">IF(AND(Inputs!$C$60,Inputs!$C$61),INDEX(Utility_Rates!$C$29:$F$52,HOUR(C6215)+Inputs!$C$69,MATCH(INDEX(Utility_Rates!$K$6:$K$17,MONTH(C6215))&amp;IF(WEEKDAY(C6215,Inputs!$C$76)&lt;=Inputs!$C$74," weekday"," weekend"),Utility_Rates!$C$28:$F$28,Inputs!$C$68)),"")</f>
      </c>
      <c r="H6215" s="34"/>
      <c r="I6215" s="42">
        <f>IF(AND(ISNUMBER(D6215),ISNUMBER(H6215)),D6215*H6215*Inputs!$C$69,"")</f>
      </c>
      <c r="J6215" s="42">
        <f>IF(AND(ISNUMBER(F6215),ISNUMBER(H6215),F6215&gt;=Inputs!$C$68),F6215*H6215*Inputs!$C$69,"")</f>
      </c>
    </row>
    <row r="6216" spans="2:10" ht="15" customHeight="1" x14ac:dyDescent="0.2">
      <c r="B6216" s="39">
        <f t="shared" si="48"/>
      </c>
      <c r="C6216" s="40">
        <f>IF(Inputs!$C$60,Inputs!$C$11+(B6216-Inputs!$C$69)/Inputs!$C$70,"")</f>
      </c>
      <c r="D6216" s="15"/>
      <c r="E6216" s="15"/>
      <c r="F6216" s="11">
        <f t="shared" si="49"/>
      </c>
      <c r="G6216" s="22" cm="1">
        <f t="array" ref="G6216">IF(AND(Inputs!$C$60,Inputs!$C$61),INDEX(Utility_Rates!$C$29:$F$52,HOUR(C6216)+Inputs!$C$69,MATCH(INDEX(Utility_Rates!$K$6:$K$17,MONTH(C6216))&amp;IF(WEEKDAY(C6216,Inputs!$C$76)&lt;=Inputs!$C$74," weekday"," weekend"),Utility_Rates!$C$28:$F$28,Inputs!$C$68)),"")</f>
      </c>
      <c r="H6216" s="34"/>
      <c r="I6216" s="42">
        <f>IF(AND(ISNUMBER(D6216),ISNUMBER(H6216)),D6216*H6216*Inputs!$C$69,"")</f>
      </c>
      <c r="J6216" s="42">
        <f>IF(AND(ISNUMBER(F6216),ISNUMBER(H6216),F6216&gt;=Inputs!$C$68),F6216*H6216*Inputs!$C$69,"")</f>
      </c>
    </row>
    <row r="6217" spans="2:10" ht="15" customHeight="1" x14ac:dyDescent="0.2">
      <c r="B6217" s="39">
        <f t="shared" si="48"/>
      </c>
      <c r="C6217" s="40">
        <f>IF(Inputs!$C$60,Inputs!$C$11+(B6217-Inputs!$C$69)/Inputs!$C$70,"")</f>
      </c>
      <c r="D6217" s="15"/>
      <c r="E6217" s="15"/>
      <c r="F6217" s="11">
        <f t="shared" si="49"/>
      </c>
      <c r="G6217" s="22" cm="1">
        <f t="array" ref="G6217">IF(AND(Inputs!$C$60,Inputs!$C$61),INDEX(Utility_Rates!$C$29:$F$52,HOUR(C6217)+Inputs!$C$69,MATCH(INDEX(Utility_Rates!$K$6:$K$17,MONTH(C6217))&amp;IF(WEEKDAY(C6217,Inputs!$C$76)&lt;=Inputs!$C$74," weekday"," weekend"),Utility_Rates!$C$28:$F$28,Inputs!$C$68)),"")</f>
      </c>
      <c r="H6217" s="34"/>
      <c r="I6217" s="42">
        <f>IF(AND(ISNUMBER(D6217),ISNUMBER(H6217)),D6217*H6217*Inputs!$C$69,"")</f>
      </c>
      <c r="J6217" s="42">
        <f>IF(AND(ISNUMBER(F6217),ISNUMBER(H6217),F6217&gt;=Inputs!$C$68),F6217*H6217*Inputs!$C$69,"")</f>
      </c>
    </row>
    <row r="6218" spans="2:10" ht="15" customHeight="1" x14ac:dyDescent="0.2">
      <c r="B6218" s="39">
        <f t="shared" si="48"/>
      </c>
      <c r="C6218" s="40">
        <f>IF(Inputs!$C$60,Inputs!$C$11+(B6218-Inputs!$C$69)/Inputs!$C$70,"")</f>
      </c>
      <c r="D6218" s="15"/>
      <c r="E6218" s="15"/>
      <c r="F6218" s="11">
        <f t="shared" si="49"/>
      </c>
      <c r="G6218" s="22" cm="1">
        <f t="array" ref="G6218">IF(AND(Inputs!$C$60,Inputs!$C$61),INDEX(Utility_Rates!$C$29:$F$52,HOUR(C6218)+Inputs!$C$69,MATCH(INDEX(Utility_Rates!$K$6:$K$17,MONTH(C6218))&amp;IF(WEEKDAY(C6218,Inputs!$C$76)&lt;=Inputs!$C$74," weekday"," weekend"),Utility_Rates!$C$28:$F$28,Inputs!$C$68)),"")</f>
      </c>
      <c r="H6218" s="34"/>
      <c r="I6218" s="42">
        <f>IF(AND(ISNUMBER(D6218),ISNUMBER(H6218)),D6218*H6218*Inputs!$C$69,"")</f>
      </c>
      <c r="J6218" s="42">
        <f>IF(AND(ISNUMBER(F6218),ISNUMBER(H6218),F6218&gt;=Inputs!$C$68),F6218*H6218*Inputs!$C$69,"")</f>
      </c>
    </row>
    <row r="6219" spans="2:10" ht="15" customHeight="1" x14ac:dyDescent="0.2">
      <c r="B6219" s="39">
        <f t="shared" si="48"/>
      </c>
      <c r="C6219" s="40">
        <f>IF(Inputs!$C$60,Inputs!$C$11+(B6219-Inputs!$C$69)/Inputs!$C$70,"")</f>
      </c>
      <c r="D6219" s="15"/>
      <c r="E6219" s="15"/>
      <c r="F6219" s="11">
        <f t="shared" si="49"/>
      </c>
      <c r="G6219" s="22" cm="1">
        <f t="array" ref="G6219">IF(AND(Inputs!$C$60,Inputs!$C$61),INDEX(Utility_Rates!$C$29:$F$52,HOUR(C6219)+Inputs!$C$69,MATCH(INDEX(Utility_Rates!$K$6:$K$17,MONTH(C6219))&amp;IF(WEEKDAY(C6219,Inputs!$C$76)&lt;=Inputs!$C$74," weekday"," weekend"),Utility_Rates!$C$28:$F$28,Inputs!$C$68)),"")</f>
      </c>
      <c r="H6219" s="34"/>
      <c r="I6219" s="42">
        <f>IF(AND(ISNUMBER(D6219),ISNUMBER(H6219)),D6219*H6219*Inputs!$C$69,"")</f>
      </c>
      <c r="J6219" s="42">
        <f>IF(AND(ISNUMBER(F6219),ISNUMBER(H6219),F6219&gt;=Inputs!$C$68),F6219*H6219*Inputs!$C$69,"")</f>
      </c>
    </row>
    <row r="6220" spans="2:10" ht="15" customHeight="1" x14ac:dyDescent="0.2">
      <c r="B6220" s="39">
        <f t="shared" si="48"/>
      </c>
      <c r="C6220" s="40">
        <f>IF(Inputs!$C$60,Inputs!$C$11+(B6220-Inputs!$C$69)/Inputs!$C$70,"")</f>
      </c>
      <c r="D6220" s="15"/>
      <c r="E6220" s="15"/>
      <c r="F6220" s="11">
        <f t="shared" si="49"/>
      </c>
      <c r="G6220" s="22" cm="1">
        <f t="array" ref="G6220">IF(AND(Inputs!$C$60,Inputs!$C$61),INDEX(Utility_Rates!$C$29:$F$52,HOUR(C6220)+Inputs!$C$69,MATCH(INDEX(Utility_Rates!$K$6:$K$17,MONTH(C6220))&amp;IF(WEEKDAY(C6220,Inputs!$C$76)&lt;=Inputs!$C$74," weekday"," weekend"),Utility_Rates!$C$28:$F$28,Inputs!$C$68)),"")</f>
      </c>
      <c r="H6220" s="34"/>
      <c r="I6220" s="42">
        <f>IF(AND(ISNUMBER(D6220),ISNUMBER(H6220)),D6220*H6220*Inputs!$C$69,"")</f>
      </c>
      <c r="J6220" s="42">
        <f>IF(AND(ISNUMBER(F6220),ISNUMBER(H6220),F6220&gt;=Inputs!$C$68),F6220*H6220*Inputs!$C$69,"")</f>
      </c>
    </row>
    <row r="6221" spans="2:10" ht="15" customHeight="1" x14ac:dyDescent="0.2">
      <c r="B6221" s="39">
        <f t="shared" si="48"/>
      </c>
      <c r="C6221" s="40">
        <f>IF(Inputs!$C$60,Inputs!$C$11+(B6221-Inputs!$C$69)/Inputs!$C$70,"")</f>
      </c>
      <c r="D6221" s="15"/>
      <c r="E6221" s="15"/>
      <c r="F6221" s="11">
        <f t="shared" si="49"/>
      </c>
      <c r="G6221" s="22" cm="1">
        <f t="array" ref="G6221">IF(AND(Inputs!$C$60,Inputs!$C$61),INDEX(Utility_Rates!$C$29:$F$52,HOUR(C6221)+Inputs!$C$69,MATCH(INDEX(Utility_Rates!$K$6:$K$17,MONTH(C6221))&amp;IF(WEEKDAY(C6221,Inputs!$C$76)&lt;=Inputs!$C$74," weekday"," weekend"),Utility_Rates!$C$28:$F$28,Inputs!$C$68)),"")</f>
      </c>
      <c r="H6221" s="34"/>
      <c r="I6221" s="42">
        <f>IF(AND(ISNUMBER(D6221),ISNUMBER(H6221)),D6221*H6221*Inputs!$C$69,"")</f>
      </c>
      <c r="J6221" s="42">
        <f>IF(AND(ISNUMBER(F6221),ISNUMBER(H6221),F6221&gt;=Inputs!$C$68),F6221*H6221*Inputs!$C$69,"")</f>
      </c>
    </row>
    <row r="6222" spans="2:10" ht="15" customHeight="1" x14ac:dyDescent="0.2">
      <c r="B6222" s="39">
        <f t="shared" si="48"/>
      </c>
      <c r="C6222" s="40">
        <f>IF(Inputs!$C$60,Inputs!$C$11+(B6222-Inputs!$C$69)/Inputs!$C$70,"")</f>
      </c>
      <c r="D6222" s="15"/>
      <c r="E6222" s="15"/>
      <c r="F6222" s="11">
        <f t="shared" si="49"/>
      </c>
      <c r="G6222" s="22" cm="1">
        <f t="array" ref="G6222">IF(AND(Inputs!$C$60,Inputs!$C$61),INDEX(Utility_Rates!$C$29:$F$52,HOUR(C6222)+Inputs!$C$69,MATCH(INDEX(Utility_Rates!$K$6:$K$17,MONTH(C6222))&amp;IF(WEEKDAY(C6222,Inputs!$C$76)&lt;=Inputs!$C$74," weekday"," weekend"),Utility_Rates!$C$28:$F$28,Inputs!$C$68)),"")</f>
      </c>
      <c r="H6222" s="34"/>
      <c r="I6222" s="42">
        <f>IF(AND(ISNUMBER(D6222),ISNUMBER(H6222)),D6222*H6222*Inputs!$C$69,"")</f>
      </c>
      <c r="J6222" s="42">
        <f>IF(AND(ISNUMBER(F6222),ISNUMBER(H6222),F6222&gt;=Inputs!$C$68),F6222*H6222*Inputs!$C$69,"")</f>
      </c>
    </row>
    <row r="6223" spans="2:10" ht="15" customHeight="1" x14ac:dyDescent="0.2">
      <c r="B6223" s="39">
        <f t="shared" si="48"/>
      </c>
      <c r="C6223" s="40">
        <f>IF(Inputs!$C$60,Inputs!$C$11+(B6223-Inputs!$C$69)/Inputs!$C$70,"")</f>
      </c>
      <c r="D6223" s="15"/>
      <c r="E6223" s="15"/>
      <c r="F6223" s="11">
        <f t="shared" si="49"/>
      </c>
      <c r="G6223" s="22" cm="1">
        <f t="array" ref="G6223">IF(AND(Inputs!$C$60,Inputs!$C$61),INDEX(Utility_Rates!$C$29:$F$52,HOUR(C6223)+Inputs!$C$69,MATCH(INDEX(Utility_Rates!$K$6:$K$17,MONTH(C6223))&amp;IF(WEEKDAY(C6223,Inputs!$C$76)&lt;=Inputs!$C$74," weekday"," weekend"),Utility_Rates!$C$28:$F$28,Inputs!$C$68)),"")</f>
      </c>
      <c r="H6223" s="34"/>
      <c r="I6223" s="42">
        <f>IF(AND(ISNUMBER(D6223),ISNUMBER(H6223)),D6223*H6223*Inputs!$C$69,"")</f>
      </c>
      <c r="J6223" s="42">
        <f>IF(AND(ISNUMBER(F6223),ISNUMBER(H6223),F6223&gt;=Inputs!$C$68),F6223*H6223*Inputs!$C$69,"")</f>
      </c>
    </row>
    <row r="6224" spans="2:10" ht="15" customHeight="1" x14ac:dyDescent="0.2">
      <c r="B6224" s="39">
        <f t="shared" si="48"/>
      </c>
      <c r="C6224" s="40">
        <f>IF(Inputs!$C$60,Inputs!$C$11+(B6224-Inputs!$C$69)/Inputs!$C$70,"")</f>
      </c>
      <c r="D6224" s="15"/>
      <c r="E6224" s="15"/>
      <c r="F6224" s="11">
        <f t="shared" si="49"/>
      </c>
      <c r="G6224" s="22" cm="1">
        <f t="array" ref="G6224">IF(AND(Inputs!$C$60,Inputs!$C$61),INDEX(Utility_Rates!$C$29:$F$52,HOUR(C6224)+Inputs!$C$69,MATCH(INDEX(Utility_Rates!$K$6:$K$17,MONTH(C6224))&amp;IF(WEEKDAY(C6224,Inputs!$C$76)&lt;=Inputs!$C$74," weekday"," weekend"),Utility_Rates!$C$28:$F$28,Inputs!$C$68)),"")</f>
      </c>
      <c r="H6224" s="34"/>
      <c r="I6224" s="42">
        <f>IF(AND(ISNUMBER(D6224),ISNUMBER(H6224)),D6224*H6224*Inputs!$C$69,"")</f>
      </c>
      <c r="J6224" s="42">
        <f>IF(AND(ISNUMBER(F6224),ISNUMBER(H6224),F6224&gt;=Inputs!$C$68),F6224*H6224*Inputs!$C$69,"")</f>
      </c>
    </row>
    <row r="6225" spans="2:10" ht="15" customHeight="1" x14ac:dyDescent="0.2">
      <c r="B6225" s="39">
        <f t="shared" si="48"/>
      </c>
      <c r="C6225" s="40">
        <f>IF(Inputs!$C$60,Inputs!$C$11+(B6225-Inputs!$C$69)/Inputs!$C$70,"")</f>
      </c>
      <c r="D6225" s="15"/>
      <c r="E6225" s="15"/>
      <c r="F6225" s="11">
        <f t="shared" si="49"/>
      </c>
      <c r="G6225" s="22" cm="1">
        <f t="array" ref="G6225">IF(AND(Inputs!$C$60,Inputs!$C$61),INDEX(Utility_Rates!$C$29:$F$52,HOUR(C6225)+Inputs!$C$69,MATCH(INDEX(Utility_Rates!$K$6:$K$17,MONTH(C6225))&amp;IF(WEEKDAY(C6225,Inputs!$C$76)&lt;=Inputs!$C$74," weekday"," weekend"),Utility_Rates!$C$28:$F$28,Inputs!$C$68)),"")</f>
      </c>
      <c r="H6225" s="34"/>
      <c r="I6225" s="42">
        <f>IF(AND(ISNUMBER(D6225),ISNUMBER(H6225)),D6225*H6225*Inputs!$C$69,"")</f>
      </c>
      <c r="J6225" s="42">
        <f>IF(AND(ISNUMBER(F6225),ISNUMBER(H6225),F6225&gt;=Inputs!$C$68),F6225*H6225*Inputs!$C$69,"")</f>
      </c>
    </row>
    <row r="6226" spans="2:10" ht="15" customHeight="1" x14ac:dyDescent="0.2">
      <c r="B6226" s="39">
        <f t="shared" si="48"/>
      </c>
      <c r="C6226" s="40">
        <f>IF(Inputs!$C$60,Inputs!$C$11+(B6226-Inputs!$C$69)/Inputs!$C$70,"")</f>
      </c>
      <c r="D6226" s="15"/>
      <c r="E6226" s="15"/>
      <c r="F6226" s="11">
        <f t="shared" si="49"/>
      </c>
      <c r="G6226" s="22" cm="1">
        <f t="array" ref="G6226">IF(AND(Inputs!$C$60,Inputs!$C$61),INDEX(Utility_Rates!$C$29:$F$52,HOUR(C6226)+Inputs!$C$69,MATCH(INDEX(Utility_Rates!$K$6:$K$17,MONTH(C6226))&amp;IF(WEEKDAY(C6226,Inputs!$C$76)&lt;=Inputs!$C$74," weekday"," weekend"),Utility_Rates!$C$28:$F$28,Inputs!$C$68)),"")</f>
      </c>
      <c r="H6226" s="34"/>
      <c r="I6226" s="42">
        <f>IF(AND(ISNUMBER(D6226),ISNUMBER(H6226)),D6226*H6226*Inputs!$C$69,"")</f>
      </c>
      <c r="J6226" s="42">
        <f>IF(AND(ISNUMBER(F6226),ISNUMBER(H6226),F6226&gt;=Inputs!$C$68),F6226*H6226*Inputs!$C$69,"")</f>
      </c>
    </row>
    <row r="6227" spans="2:10" ht="15" customHeight="1" x14ac:dyDescent="0.2">
      <c r="B6227" s="39">
        <f t="shared" si="48"/>
      </c>
      <c r="C6227" s="40">
        <f>IF(Inputs!$C$60,Inputs!$C$11+(B6227-Inputs!$C$69)/Inputs!$C$70,"")</f>
      </c>
      <c r="D6227" s="15"/>
      <c r="E6227" s="15"/>
      <c r="F6227" s="11">
        <f t="shared" si="49"/>
      </c>
      <c r="G6227" s="22" cm="1">
        <f t="array" ref="G6227">IF(AND(Inputs!$C$60,Inputs!$C$61),INDEX(Utility_Rates!$C$29:$F$52,HOUR(C6227)+Inputs!$C$69,MATCH(INDEX(Utility_Rates!$K$6:$K$17,MONTH(C6227))&amp;IF(WEEKDAY(C6227,Inputs!$C$76)&lt;=Inputs!$C$74," weekday"," weekend"),Utility_Rates!$C$28:$F$28,Inputs!$C$68)),"")</f>
      </c>
      <c r="H6227" s="34"/>
      <c r="I6227" s="42">
        <f>IF(AND(ISNUMBER(D6227),ISNUMBER(H6227)),D6227*H6227*Inputs!$C$69,"")</f>
      </c>
      <c r="J6227" s="42">
        <f>IF(AND(ISNUMBER(F6227),ISNUMBER(H6227),F6227&gt;=Inputs!$C$68),F6227*H6227*Inputs!$C$69,"")</f>
      </c>
    </row>
    <row r="6228" spans="2:10" ht="15" customHeight="1" x14ac:dyDescent="0.2">
      <c r="B6228" s="39">
        <f t="shared" si="48"/>
      </c>
      <c r="C6228" s="40">
        <f>IF(Inputs!$C$60,Inputs!$C$11+(B6228-Inputs!$C$69)/Inputs!$C$70,"")</f>
      </c>
      <c r="D6228" s="15"/>
      <c r="E6228" s="15"/>
      <c r="F6228" s="11">
        <f t="shared" si="49"/>
      </c>
      <c r="G6228" s="22" cm="1">
        <f t="array" ref="G6228">IF(AND(Inputs!$C$60,Inputs!$C$61),INDEX(Utility_Rates!$C$29:$F$52,HOUR(C6228)+Inputs!$C$69,MATCH(INDEX(Utility_Rates!$K$6:$K$17,MONTH(C6228))&amp;IF(WEEKDAY(C6228,Inputs!$C$76)&lt;=Inputs!$C$74," weekday"," weekend"),Utility_Rates!$C$28:$F$28,Inputs!$C$68)),"")</f>
      </c>
      <c r="H6228" s="34"/>
      <c r="I6228" s="42">
        <f>IF(AND(ISNUMBER(D6228),ISNUMBER(H6228)),D6228*H6228*Inputs!$C$69,"")</f>
      </c>
      <c r="J6228" s="42">
        <f>IF(AND(ISNUMBER(F6228),ISNUMBER(H6228),F6228&gt;=Inputs!$C$68),F6228*H6228*Inputs!$C$69,"")</f>
      </c>
    </row>
    <row r="6229" spans="2:10" ht="15" customHeight="1" x14ac:dyDescent="0.2">
      <c r="B6229" s="39">
        <f t="shared" si="48"/>
      </c>
      <c r="C6229" s="40">
        <f>IF(Inputs!$C$60,Inputs!$C$11+(B6229-Inputs!$C$69)/Inputs!$C$70,"")</f>
      </c>
      <c r="D6229" s="15"/>
      <c r="E6229" s="15"/>
      <c r="F6229" s="11">
        <f t="shared" si="49"/>
      </c>
      <c r="G6229" s="22" cm="1">
        <f t="array" ref="G6229">IF(AND(Inputs!$C$60,Inputs!$C$61),INDEX(Utility_Rates!$C$29:$F$52,HOUR(C6229)+Inputs!$C$69,MATCH(INDEX(Utility_Rates!$K$6:$K$17,MONTH(C6229))&amp;IF(WEEKDAY(C6229,Inputs!$C$76)&lt;=Inputs!$C$74," weekday"," weekend"),Utility_Rates!$C$28:$F$28,Inputs!$C$68)),"")</f>
      </c>
      <c r="H6229" s="34"/>
      <c r="I6229" s="42">
        <f>IF(AND(ISNUMBER(D6229),ISNUMBER(H6229)),D6229*H6229*Inputs!$C$69,"")</f>
      </c>
      <c r="J6229" s="42">
        <f>IF(AND(ISNUMBER(F6229),ISNUMBER(H6229),F6229&gt;=Inputs!$C$68),F6229*H6229*Inputs!$C$69,"")</f>
      </c>
    </row>
    <row r="6230" spans="2:10" ht="15" customHeight="1" x14ac:dyDescent="0.2">
      <c r="B6230" s="39">
        <f t="shared" si="48"/>
      </c>
      <c r="C6230" s="40">
        <f>IF(Inputs!$C$60,Inputs!$C$11+(B6230-Inputs!$C$69)/Inputs!$C$70,"")</f>
      </c>
      <c r="D6230" s="15"/>
      <c r="E6230" s="15"/>
      <c r="F6230" s="11">
        <f t="shared" si="49"/>
      </c>
      <c r="G6230" s="22" cm="1">
        <f t="array" ref="G6230">IF(AND(Inputs!$C$60,Inputs!$C$61),INDEX(Utility_Rates!$C$29:$F$52,HOUR(C6230)+Inputs!$C$69,MATCH(INDEX(Utility_Rates!$K$6:$K$17,MONTH(C6230))&amp;IF(WEEKDAY(C6230,Inputs!$C$76)&lt;=Inputs!$C$74," weekday"," weekend"),Utility_Rates!$C$28:$F$28,Inputs!$C$68)),"")</f>
      </c>
      <c r="H6230" s="34"/>
      <c r="I6230" s="42">
        <f>IF(AND(ISNUMBER(D6230),ISNUMBER(H6230)),D6230*H6230*Inputs!$C$69,"")</f>
      </c>
      <c r="J6230" s="42">
        <f>IF(AND(ISNUMBER(F6230),ISNUMBER(H6230),F6230&gt;=Inputs!$C$68),F6230*H6230*Inputs!$C$69,"")</f>
      </c>
    </row>
    <row r="6231" spans="2:10" ht="15" customHeight="1" x14ac:dyDescent="0.2">
      <c r="B6231" s="39">
        <f t="shared" si="48"/>
      </c>
      <c r="C6231" s="40">
        <f>IF(Inputs!$C$60,Inputs!$C$11+(B6231-Inputs!$C$69)/Inputs!$C$70,"")</f>
      </c>
      <c r="D6231" s="15"/>
      <c r="E6231" s="15"/>
      <c r="F6231" s="11">
        <f t="shared" si="49"/>
      </c>
      <c r="G6231" s="22" cm="1">
        <f t="array" ref="G6231">IF(AND(Inputs!$C$60,Inputs!$C$61),INDEX(Utility_Rates!$C$29:$F$52,HOUR(C6231)+Inputs!$C$69,MATCH(INDEX(Utility_Rates!$K$6:$K$17,MONTH(C6231))&amp;IF(WEEKDAY(C6231,Inputs!$C$76)&lt;=Inputs!$C$74," weekday"," weekend"),Utility_Rates!$C$28:$F$28,Inputs!$C$68)),"")</f>
      </c>
      <c r="H6231" s="34"/>
      <c r="I6231" s="42">
        <f>IF(AND(ISNUMBER(D6231),ISNUMBER(H6231)),D6231*H6231*Inputs!$C$69,"")</f>
      </c>
      <c r="J6231" s="42">
        <f>IF(AND(ISNUMBER(F6231),ISNUMBER(H6231),F6231&gt;=Inputs!$C$68),F6231*H6231*Inputs!$C$69,"")</f>
      </c>
    </row>
    <row r="6232" spans="2:10" ht="15" customHeight="1" x14ac:dyDescent="0.2">
      <c r="B6232" s="39">
        <f t="shared" si="48"/>
      </c>
      <c r="C6232" s="40">
        <f>IF(Inputs!$C$60,Inputs!$C$11+(B6232-Inputs!$C$69)/Inputs!$C$70,"")</f>
      </c>
      <c r="D6232" s="15"/>
      <c r="E6232" s="15"/>
      <c r="F6232" s="11">
        <f t="shared" si="49"/>
      </c>
      <c r="G6232" s="22" cm="1">
        <f t="array" ref="G6232">IF(AND(Inputs!$C$60,Inputs!$C$61),INDEX(Utility_Rates!$C$29:$F$52,HOUR(C6232)+Inputs!$C$69,MATCH(INDEX(Utility_Rates!$K$6:$K$17,MONTH(C6232))&amp;IF(WEEKDAY(C6232,Inputs!$C$76)&lt;=Inputs!$C$74," weekday"," weekend"),Utility_Rates!$C$28:$F$28,Inputs!$C$68)),"")</f>
      </c>
      <c r="H6232" s="34"/>
      <c r="I6232" s="42">
        <f>IF(AND(ISNUMBER(D6232),ISNUMBER(H6232)),D6232*H6232*Inputs!$C$69,"")</f>
      </c>
      <c r="J6232" s="42">
        <f>IF(AND(ISNUMBER(F6232),ISNUMBER(H6232),F6232&gt;=Inputs!$C$68),F6232*H6232*Inputs!$C$69,"")</f>
      </c>
    </row>
    <row r="6233" spans="2:10" ht="15" customHeight="1" x14ac:dyDescent="0.2">
      <c r="B6233" s="39">
        <f t="shared" si="48"/>
      </c>
      <c r="C6233" s="40">
        <f>IF(Inputs!$C$60,Inputs!$C$11+(B6233-Inputs!$C$69)/Inputs!$C$70,"")</f>
      </c>
      <c r="D6233" s="15"/>
      <c r="E6233" s="15"/>
      <c r="F6233" s="11">
        <f t="shared" si="49"/>
      </c>
      <c r="G6233" s="22" cm="1">
        <f t="array" ref="G6233">IF(AND(Inputs!$C$60,Inputs!$C$61),INDEX(Utility_Rates!$C$29:$F$52,HOUR(C6233)+Inputs!$C$69,MATCH(INDEX(Utility_Rates!$K$6:$K$17,MONTH(C6233))&amp;IF(WEEKDAY(C6233,Inputs!$C$76)&lt;=Inputs!$C$74," weekday"," weekend"),Utility_Rates!$C$28:$F$28,Inputs!$C$68)),"")</f>
      </c>
      <c r="H6233" s="34"/>
      <c r="I6233" s="42">
        <f>IF(AND(ISNUMBER(D6233),ISNUMBER(H6233)),D6233*H6233*Inputs!$C$69,"")</f>
      </c>
      <c r="J6233" s="42">
        <f>IF(AND(ISNUMBER(F6233),ISNUMBER(H6233),F6233&gt;=Inputs!$C$68),F6233*H6233*Inputs!$C$69,"")</f>
      </c>
    </row>
    <row r="6234" spans="2:10" ht="15" customHeight="1" x14ac:dyDescent="0.2">
      <c r="B6234" s="39">
        <f t="shared" si="48"/>
      </c>
      <c r="C6234" s="40">
        <f>IF(Inputs!$C$60,Inputs!$C$11+(B6234-Inputs!$C$69)/Inputs!$C$70,"")</f>
      </c>
      <c r="D6234" s="15"/>
      <c r="E6234" s="15"/>
      <c r="F6234" s="11">
        <f t="shared" si="49"/>
      </c>
      <c r="G6234" s="22" cm="1">
        <f t="array" ref="G6234">IF(AND(Inputs!$C$60,Inputs!$C$61),INDEX(Utility_Rates!$C$29:$F$52,HOUR(C6234)+Inputs!$C$69,MATCH(INDEX(Utility_Rates!$K$6:$K$17,MONTH(C6234))&amp;IF(WEEKDAY(C6234,Inputs!$C$76)&lt;=Inputs!$C$74," weekday"," weekend"),Utility_Rates!$C$28:$F$28,Inputs!$C$68)),"")</f>
      </c>
      <c r="H6234" s="34"/>
      <c r="I6234" s="42">
        <f>IF(AND(ISNUMBER(D6234),ISNUMBER(H6234)),D6234*H6234*Inputs!$C$69,"")</f>
      </c>
      <c r="J6234" s="42">
        <f>IF(AND(ISNUMBER(F6234),ISNUMBER(H6234),F6234&gt;=Inputs!$C$68),F6234*H6234*Inputs!$C$69,"")</f>
      </c>
    </row>
    <row r="6235" spans="2:10" ht="15" customHeight="1" x14ac:dyDescent="0.2">
      <c r="B6235" s="39">
        <f t="shared" si="48"/>
      </c>
      <c r="C6235" s="40">
        <f>IF(Inputs!$C$60,Inputs!$C$11+(B6235-Inputs!$C$69)/Inputs!$C$70,"")</f>
      </c>
      <c r="D6235" s="15"/>
      <c r="E6235" s="15"/>
      <c r="F6235" s="11">
        <f t="shared" si="49"/>
      </c>
      <c r="G6235" s="22" cm="1">
        <f t="array" ref="G6235">IF(AND(Inputs!$C$60,Inputs!$C$61),INDEX(Utility_Rates!$C$29:$F$52,HOUR(C6235)+Inputs!$C$69,MATCH(INDEX(Utility_Rates!$K$6:$K$17,MONTH(C6235))&amp;IF(WEEKDAY(C6235,Inputs!$C$76)&lt;=Inputs!$C$74," weekday"," weekend"),Utility_Rates!$C$28:$F$28,Inputs!$C$68)),"")</f>
      </c>
      <c r="H6235" s="34"/>
      <c r="I6235" s="42">
        <f>IF(AND(ISNUMBER(D6235),ISNUMBER(H6235)),D6235*H6235*Inputs!$C$69,"")</f>
      </c>
      <c r="J6235" s="42">
        <f>IF(AND(ISNUMBER(F6235),ISNUMBER(H6235),F6235&gt;=Inputs!$C$68),F6235*H6235*Inputs!$C$69,"")</f>
      </c>
    </row>
    <row r="6236" spans="2:10" ht="15" customHeight="1" x14ac:dyDescent="0.2">
      <c r="B6236" s="39">
        <f t="shared" si="48"/>
      </c>
      <c r="C6236" s="40">
        <f>IF(Inputs!$C$60,Inputs!$C$11+(B6236-Inputs!$C$69)/Inputs!$C$70,"")</f>
      </c>
      <c r="D6236" s="15"/>
      <c r="E6236" s="15"/>
      <c r="F6236" s="11">
        <f t="shared" si="49"/>
      </c>
      <c r="G6236" s="22" cm="1">
        <f t="array" ref="G6236">IF(AND(Inputs!$C$60,Inputs!$C$61),INDEX(Utility_Rates!$C$29:$F$52,HOUR(C6236)+Inputs!$C$69,MATCH(INDEX(Utility_Rates!$K$6:$K$17,MONTH(C6236))&amp;IF(WEEKDAY(C6236,Inputs!$C$76)&lt;=Inputs!$C$74," weekday"," weekend"),Utility_Rates!$C$28:$F$28,Inputs!$C$68)),"")</f>
      </c>
      <c r="H6236" s="34"/>
      <c r="I6236" s="42">
        <f>IF(AND(ISNUMBER(D6236),ISNUMBER(H6236)),D6236*H6236*Inputs!$C$69,"")</f>
      </c>
      <c r="J6236" s="42">
        <f>IF(AND(ISNUMBER(F6236),ISNUMBER(H6236),F6236&gt;=Inputs!$C$68),F6236*H6236*Inputs!$C$69,"")</f>
      </c>
    </row>
    <row r="6237" spans="2:10" ht="15" customHeight="1" x14ac:dyDescent="0.2">
      <c r="B6237" s="39">
        <f t="shared" si="48"/>
      </c>
      <c r="C6237" s="40">
        <f>IF(Inputs!$C$60,Inputs!$C$11+(B6237-Inputs!$C$69)/Inputs!$C$70,"")</f>
      </c>
      <c r="D6237" s="15"/>
      <c r="E6237" s="15"/>
      <c r="F6237" s="11">
        <f t="shared" si="49"/>
      </c>
      <c r="G6237" s="22" cm="1">
        <f t="array" ref="G6237">IF(AND(Inputs!$C$60,Inputs!$C$61),INDEX(Utility_Rates!$C$29:$F$52,HOUR(C6237)+Inputs!$C$69,MATCH(INDEX(Utility_Rates!$K$6:$K$17,MONTH(C6237))&amp;IF(WEEKDAY(C6237,Inputs!$C$76)&lt;=Inputs!$C$74," weekday"," weekend"),Utility_Rates!$C$28:$F$28,Inputs!$C$68)),"")</f>
      </c>
      <c r="H6237" s="34"/>
      <c r="I6237" s="42">
        <f>IF(AND(ISNUMBER(D6237),ISNUMBER(H6237)),D6237*H6237*Inputs!$C$69,"")</f>
      </c>
      <c r="J6237" s="42">
        <f>IF(AND(ISNUMBER(F6237),ISNUMBER(H6237),F6237&gt;=Inputs!$C$68),F6237*H6237*Inputs!$C$69,"")</f>
      </c>
    </row>
    <row r="6238" spans="2:10" ht="15" customHeight="1" x14ac:dyDescent="0.2">
      <c r="B6238" s="39">
        <f t="shared" si="48"/>
      </c>
      <c r="C6238" s="40">
        <f>IF(Inputs!$C$60,Inputs!$C$11+(B6238-Inputs!$C$69)/Inputs!$C$70,"")</f>
      </c>
      <c r="D6238" s="15"/>
      <c r="E6238" s="15"/>
      <c r="F6238" s="11">
        <f t="shared" si="49"/>
      </c>
      <c r="G6238" s="22" cm="1">
        <f t="array" ref="G6238">IF(AND(Inputs!$C$60,Inputs!$C$61),INDEX(Utility_Rates!$C$29:$F$52,HOUR(C6238)+Inputs!$C$69,MATCH(INDEX(Utility_Rates!$K$6:$K$17,MONTH(C6238))&amp;IF(WEEKDAY(C6238,Inputs!$C$76)&lt;=Inputs!$C$74," weekday"," weekend"),Utility_Rates!$C$28:$F$28,Inputs!$C$68)),"")</f>
      </c>
      <c r="H6238" s="34"/>
      <c r="I6238" s="42">
        <f>IF(AND(ISNUMBER(D6238),ISNUMBER(H6238)),D6238*H6238*Inputs!$C$69,"")</f>
      </c>
      <c r="J6238" s="42">
        <f>IF(AND(ISNUMBER(F6238),ISNUMBER(H6238),F6238&gt;=Inputs!$C$68),F6238*H6238*Inputs!$C$69,"")</f>
      </c>
    </row>
    <row r="6239" spans="2:10" ht="15" customHeight="1" x14ac:dyDescent="0.2">
      <c r="B6239" s="39">
        <f t="shared" si="48"/>
      </c>
      <c r="C6239" s="40">
        <f>IF(Inputs!$C$60,Inputs!$C$11+(B6239-Inputs!$C$69)/Inputs!$C$70,"")</f>
      </c>
      <c r="D6239" s="15"/>
      <c r="E6239" s="15"/>
      <c r="F6239" s="11">
        <f t="shared" si="49"/>
      </c>
      <c r="G6239" s="22" cm="1">
        <f t="array" ref="G6239">IF(AND(Inputs!$C$60,Inputs!$C$61),INDEX(Utility_Rates!$C$29:$F$52,HOUR(C6239)+Inputs!$C$69,MATCH(INDEX(Utility_Rates!$K$6:$K$17,MONTH(C6239))&amp;IF(WEEKDAY(C6239,Inputs!$C$76)&lt;=Inputs!$C$74," weekday"," weekend"),Utility_Rates!$C$28:$F$28,Inputs!$C$68)),"")</f>
      </c>
      <c r="H6239" s="34"/>
      <c r="I6239" s="42">
        <f>IF(AND(ISNUMBER(D6239),ISNUMBER(H6239)),D6239*H6239*Inputs!$C$69,"")</f>
      </c>
      <c r="J6239" s="42">
        <f>IF(AND(ISNUMBER(F6239),ISNUMBER(H6239),F6239&gt;=Inputs!$C$68),F6239*H6239*Inputs!$C$69,"")</f>
      </c>
    </row>
    <row r="6240" spans="2:10" ht="15" customHeight="1" x14ac:dyDescent="0.2">
      <c r="B6240" s="39">
        <f t="shared" si="48"/>
      </c>
      <c r="C6240" s="40">
        <f>IF(Inputs!$C$60,Inputs!$C$11+(B6240-Inputs!$C$69)/Inputs!$C$70,"")</f>
      </c>
      <c r="D6240" s="15"/>
      <c r="E6240" s="15"/>
      <c r="F6240" s="11">
        <f t="shared" si="49"/>
      </c>
      <c r="G6240" s="22" cm="1">
        <f t="array" ref="G6240">IF(AND(Inputs!$C$60,Inputs!$C$61),INDEX(Utility_Rates!$C$29:$F$52,HOUR(C6240)+Inputs!$C$69,MATCH(INDEX(Utility_Rates!$K$6:$K$17,MONTH(C6240))&amp;IF(WEEKDAY(C6240,Inputs!$C$76)&lt;=Inputs!$C$74," weekday"," weekend"),Utility_Rates!$C$28:$F$28,Inputs!$C$68)),"")</f>
      </c>
      <c r="H6240" s="34"/>
      <c r="I6240" s="42">
        <f>IF(AND(ISNUMBER(D6240),ISNUMBER(H6240)),D6240*H6240*Inputs!$C$69,"")</f>
      </c>
      <c r="J6240" s="42">
        <f>IF(AND(ISNUMBER(F6240),ISNUMBER(H6240),F6240&gt;=Inputs!$C$68),F6240*H6240*Inputs!$C$69,"")</f>
      </c>
    </row>
    <row r="6241" spans="2:10" ht="15" customHeight="1" x14ac:dyDescent="0.2">
      <c r="B6241" s="39">
        <f t="shared" si="48"/>
      </c>
      <c r="C6241" s="40">
        <f>IF(Inputs!$C$60,Inputs!$C$11+(B6241-Inputs!$C$69)/Inputs!$C$70,"")</f>
      </c>
      <c r="D6241" s="15"/>
      <c r="E6241" s="15"/>
      <c r="F6241" s="11">
        <f t="shared" si="49"/>
      </c>
      <c r="G6241" s="22" cm="1">
        <f t="array" ref="G6241">IF(AND(Inputs!$C$60,Inputs!$C$61),INDEX(Utility_Rates!$C$29:$F$52,HOUR(C6241)+Inputs!$C$69,MATCH(INDEX(Utility_Rates!$K$6:$K$17,MONTH(C6241))&amp;IF(WEEKDAY(C6241,Inputs!$C$76)&lt;=Inputs!$C$74," weekday"," weekend"),Utility_Rates!$C$28:$F$28,Inputs!$C$68)),"")</f>
      </c>
      <c r="H6241" s="34"/>
      <c r="I6241" s="42">
        <f>IF(AND(ISNUMBER(D6241),ISNUMBER(H6241)),D6241*H6241*Inputs!$C$69,"")</f>
      </c>
      <c r="J6241" s="42">
        <f>IF(AND(ISNUMBER(F6241),ISNUMBER(H6241),F6241&gt;=Inputs!$C$68),F6241*H6241*Inputs!$C$69,"")</f>
      </c>
    </row>
    <row r="6242" spans="2:10" ht="15" customHeight="1" x14ac:dyDescent="0.2">
      <c r="B6242" s="39">
        <f t="shared" si="48"/>
      </c>
      <c r="C6242" s="40">
        <f>IF(Inputs!$C$60,Inputs!$C$11+(B6242-Inputs!$C$69)/Inputs!$C$70,"")</f>
      </c>
      <c r="D6242" s="15"/>
      <c r="E6242" s="15"/>
      <c r="F6242" s="11">
        <f t="shared" si="49"/>
      </c>
      <c r="G6242" s="22" cm="1">
        <f t="array" ref="G6242">IF(AND(Inputs!$C$60,Inputs!$C$61),INDEX(Utility_Rates!$C$29:$F$52,HOUR(C6242)+Inputs!$C$69,MATCH(INDEX(Utility_Rates!$K$6:$K$17,MONTH(C6242))&amp;IF(WEEKDAY(C6242,Inputs!$C$76)&lt;=Inputs!$C$74," weekday"," weekend"),Utility_Rates!$C$28:$F$28,Inputs!$C$68)),"")</f>
      </c>
      <c r="H6242" s="34"/>
      <c r="I6242" s="42">
        <f>IF(AND(ISNUMBER(D6242),ISNUMBER(H6242)),D6242*H6242*Inputs!$C$69,"")</f>
      </c>
      <c r="J6242" s="42">
        <f>IF(AND(ISNUMBER(F6242),ISNUMBER(H6242),F6242&gt;=Inputs!$C$68),F6242*H6242*Inputs!$C$69,"")</f>
      </c>
    </row>
    <row r="6243" spans="2:10" ht="15" customHeight="1" x14ac:dyDescent="0.2">
      <c r="B6243" s="39">
        <f t="shared" si="48"/>
      </c>
      <c r="C6243" s="40">
        <f>IF(Inputs!$C$60,Inputs!$C$11+(B6243-Inputs!$C$69)/Inputs!$C$70,"")</f>
      </c>
      <c r="D6243" s="15"/>
      <c r="E6243" s="15"/>
      <c r="F6243" s="11">
        <f t="shared" si="49"/>
      </c>
      <c r="G6243" s="22" cm="1">
        <f t="array" ref="G6243">IF(AND(Inputs!$C$60,Inputs!$C$61),INDEX(Utility_Rates!$C$29:$F$52,HOUR(C6243)+Inputs!$C$69,MATCH(INDEX(Utility_Rates!$K$6:$K$17,MONTH(C6243))&amp;IF(WEEKDAY(C6243,Inputs!$C$76)&lt;=Inputs!$C$74," weekday"," weekend"),Utility_Rates!$C$28:$F$28,Inputs!$C$68)),"")</f>
      </c>
      <c r="H6243" s="34"/>
      <c r="I6243" s="42">
        <f>IF(AND(ISNUMBER(D6243),ISNUMBER(H6243)),D6243*H6243*Inputs!$C$69,"")</f>
      </c>
      <c r="J6243" s="42">
        <f>IF(AND(ISNUMBER(F6243),ISNUMBER(H6243),F6243&gt;=Inputs!$C$68),F6243*H6243*Inputs!$C$69,"")</f>
      </c>
    </row>
    <row r="6244" spans="2:10" ht="15" customHeight="1" x14ac:dyDescent="0.2">
      <c r="B6244" s="39">
        <f t="shared" si="48"/>
      </c>
      <c r="C6244" s="40">
        <f>IF(Inputs!$C$60,Inputs!$C$11+(B6244-Inputs!$C$69)/Inputs!$C$70,"")</f>
      </c>
      <c r="D6244" s="15"/>
      <c r="E6244" s="15"/>
      <c r="F6244" s="11">
        <f t="shared" si="49"/>
      </c>
      <c r="G6244" s="22" cm="1">
        <f t="array" ref="G6244">IF(AND(Inputs!$C$60,Inputs!$C$61),INDEX(Utility_Rates!$C$29:$F$52,HOUR(C6244)+Inputs!$C$69,MATCH(INDEX(Utility_Rates!$K$6:$K$17,MONTH(C6244))&amp;IF(WEEKDAY(C6244,Inputs!$C$76)&lt;=Inputs!$C$74," weekday"," weekend"),Utility_Rates!$C$28:$F$28,Inputs!$C$68)),"")</f>
      </c>
      <c r="H6244" s="34"/>
      <c r="I6244" s="42">
        <f>IF(AND(ISNUMBER(D6244),ISNUMBER(H6244)),D6244*H6244*Inputs!$C$69,"")</f>
      </c>
      <c r="J6244" s="42">
        <f>IF(AND(ISNUMBER(F6244),ISNUMBER(H6244),F6244&gt;=Inputs!$C$68),F6244*H6244*Inputs!$C$69,"")</f>
      </c>
    </row>
    <row r="6245" spans="2:10" ht="15" customHeight="1" x14ac:dyDescent="0.2">
      <c r="B6245" s="39">
        <f t="shared" si="48"/>
      </c>
      <c r="C6245" s="40">
        <f>IF(Inputs!$C$60,Inputs!$C$11+(B6245-Inputs!$C$69)/Inputs!$C$70,"")</f>
      </c>
      <c r="D6245" s="15"/>
      <c r="E6245" s="15"/>
      <c r="F6245" s="11">
        <f t="shared" si="49"/>
      </c>
      <c r="G6245" s="22" cm="1">
        <f t="array" ref="G6245">IF(AND(Inputs!$C$60,Inputs!$C$61),INDEX(Utility_Rates!$C$29:$F$52,HOUR(C6245)+Inputs!$C$69,MATCH(INDEX(Utility_Rates!$K$6:$K$17,MONTH(C6245))&amp;IF(WEEKDAY(C6245,Inputs!$C$76)&lt;=Inputs!$C$74," weekday"," weekend"),Utility_Rates!$C$28:$F$28,Inputs!$C$68)),"")</f>
      </c>
      <c r="H6245" s="34"/>
      <c r="I6245" s="42">
        <f>IF(AND(ISNUMBER(D6245),ISNUMBER(H6245)),D6245*H6245*Inputs!$C$69,"")</f>
      </c>
      <c r="J6245" s="42">
        <f>IF(AND(ISNUMBER(F6245),ISNUMBER(H6245),F6245&gt;=Inputs!$C$68),F6245*H6245*Inputs!$C$69,"")</f>
      </c>
    </row>
    <row r="6246" spans="2:10" ht="15" customHeight="1" x14ac:dyDescent="0.2">
      <c r="B6246" s="39">
        <f t="shared" si="48"/>
      </c>
      <c r="C6246" s="40">
        <f>IF(Inputs!$C$60,Inputs!$C$11+(B6246-Inputs!$C$69)/Inputs!$C$70,"")</f>
      </c>
      <c r="D6246" s="15"/>
      <c r="E6246" s="15"/>
      <c r="F6246" s="11">
        <f t="shared" si="49"/>
      </c>
      <c r="G6246" s="22" cm="1">
        <f t="array" ref="G6246">IF(AND(Inputs!$C$60,Inputs!$C$61),INDEX(Utility_Rates!$C$29:$F$52,HOUR(C6246)+Inputs!$C$69,MATCH(INDEX(Utility_Rates!$K$6:$K$17,MONTH(C6246))&amp;IF(WEEKDAY(C6246,Inputs!$C$76)&lt;=Inputs!$C$74," weekday"," weekend"),Utility_Rates!$C$28:$F$28,Inputs!$C$68)),"")</f>
      </c>
      <c r="H6246" s="34"/>
      <c r="I6246" s="42">
        <f>IF(AND(ISNUMBER(D6246),ISNUMBER(H6246)),D6246*H6246*Inputs!$C$69,"")</f>
      </c>
      <c r="J6246" s="42">
        <f>IF(AND(ISNUMBER(F6246),ISNUMBER(H6246),F6246&gt;=Inputs!$C$68),F6246*H6246*Inputs!$C$69,"")</f>
      </c>
    </row>
    <row r="6247" spans="2:10" ht="15" customHeight="1" x14ac:dyDescent="0.2">
      <c r="B6247" s="39">
        <f t="shared" si="48"/>
      </c>
      <c r="C6247" s="40">
        <f>IF(Inputs!$C$60,Inputs!$C$11+(B6247-Inputs!$C$69)/Inputs!$C$70,"")</f>
      </c>
      <c r="D6247" s="15"/>
      <c r="E6247" s="15"/>
      <c r="F6247" s="11">
        <f t="shared" si="49"/>
      </c>
      <c r="G6247" s="22" cm="1">
        <f t="array" ref="G6247">IF(AND(Inputs!$C$60,Inputs!$C$61),INDEX(Utility_Rates!$C$29:$F$52,HOUR(C6247)+Inputs!$C$69,MATCH(INDEX(Utility_Rates!$K$6:$K$17,MONTH(C6247))&amp;IF(WEEKDAY(C6247,Inputs!$C$76)&lt;=Inputs!$C$74," weekday"," weekend"),Utility_Rates!$C$28:$F$28,Inputs!$C$68)),"")</f>
      </c>
      <c r="H6247" s="34"/>
      <c r="I6247" s="42">
        <f>IF(AND(ISNUMBER(D6247),ISNUMBER(H6247)),D6247*H6247*Inputs!$C$69,"")</f>
      </c>
      <c r="J6247" s="42">
        <f>IF(AND(ISNUMBER(F6247),ISNUMBER(H6247),F6247&gt;=Inputs!$C$68),F6247*H6247*Inputs!$C$69,"")</f>
      </c>
    </row>
    <row r="6248" spans="2:10" ht="15" customHeight="1" x14ac:dyDescent="0.2">
      <c r="B6248" s="39">
        <f t="shared" si="48"/>
      </c>
      <c r="C6248" s="40">
        <f>IF(Inputs!$C$60,Inputs!$C$11+(B6248-Inputs!$C$69)/Inputs!$C$70,"")</f>
      </c>
      <c r="D6248" s="15"/>
      <c r="E6248" s="15"/>
      <c r="F6248" s="11">
        <f t="shared" si="49"/>
      </c>
      <c r="G6248" s="22" cm="1">
        <f t="array" ref="G6248">IF(AND(Inputs!$C$60,Inputs!$C$61),INDEX(Utility_Rates!$C$29:$F$52,HOUR(C6248)+Inputs!$C$69,MATCH(INDEX(Utility_Rates!$K$6:$K$17,MONTH(C6248))&amp;IF(WEEKDAY(C6248,Inputs!$C$76)&lt;=Inputs!$C$74," weekday"," weekend"),Utility_Rates!$C$28:$F$28,Inputs!$C$68)),"")</f>
      </c>
      <c r="H6248" s="34"/>
      <c r="I6248" s="42">
        <f>IF(AND(ISNUMBER(D6248),ISNUMBER(H6248)),D6248*H6248*Inputs!$C$69,"")</f>
      </c>
      <c r="J6248" s="42">
        <f>IF(AND(ISNUMBER(F6248),ISNUMBER(H6248),F6248&gt;=Inputs!$C$68),F6248*H6248*Inputs!$C$69,"")</f>
      </c>
    </row>
    <row r="6249" spans="2:10" ht="15" customHeight="1" x14ac:dyDescent="0.2">
      <c r="B6249" s="39">
        <f t="shared" si="48"/>
      </c>
      <c r="C6249" s="40">
        <f>IF(Inputs!$C$60,Inputs!$C$11+(B6249-Inputs!$C$69)/Inputs!$C$70,"")</f>
      </c>
      <c r="D6249" s="15"/>
      <c r="E6249" s="15"/>
      <c r="F6249" s="11">
        <f t="shared" si="49"/>
      </c>
      <c r="G6249" s="22" cm="1">
        <f t="array" ref="G6249">IF(AND(Inputs!$C$60,Inputs!$C$61),INDEX(Utility_Rates!$C$29:$F$52,HOUR(C6249)+Inputs!$C$69,MATCH(INDEX(Utility_Rates!$K$6:$K$17,MONTH(C6249))&amp;IF(WEEKDAY(C6249,Inputs!$C$76)&lt;=Inputs!$C$74," weekday"," weekend"),Utility_Rates!$C$28:$F$28,Inputs!$C$68)),"")</f>
      </c>
      <c r="H6249" s="34"/>
      <c r="I6249" s="42">
        <f>IF(AND(ISNUMBER(D6249),ISNUMBER(H6249)),D6249*H6249*Inputs!$C$69,"")</f>
      </c>
      <c r="J6249" s="42">
        <f>IF(AND(ISNUMBER(F6249),ISNUMBER(H6249),F6249&gt;=Inputs!$C$68),F6249*H6249*Inputs!$C$69,"")</f>
      </c>
    </row>
    <row r="6250" spans="2:10" ht="15" customHeight="1" x14ac:dyDescent="0.2">
      <c r="B6250" s="39">
        <f t="shared" si="48"/>
      </c>
      <c r="C6250" s="40">
        <f>IF(Inputs!$C$60,Inputs!$C$11+(B6250-Inputs!$C$69)/Inputs!$C$70,"")</f>
      </c>
      <c r="D6250" s="15"/>
      <c r="E6250" s="15"/>
      <c r="F6250" s="11">
        <f t="shared" si="49"/>
      </c>
      <c r="G6250" s="22" cm="1">
        <f t="array" ref="G6250">IF(AND(Inputs!$C$60,Inputs!$C$61),INDEX(Utility_Rates!$C$29:$F$52,HOUR(C6250)+Inputs!$C$69,MATCH(INDEX(Utility_Rates!$K$6:$K$17,MONTH(C6250))&amp;IF(WEEKDAY(C6250,Inputs!$C$76)&lt;=Inputs!$C$74," weekday"," weekend"),Utility_Rates!$C$28:$F$28,Inputs!$C$68)),"")</f>
      </c>
      <c r="H6250" s="34"/>
      <c r="I6250" s="42">
        <f>IF(AND(ISNUMBER(D6250),ISNUMBER(H6250)),D6250*H6250*Inputs!$C$69,"")</f>
      </c>
      <c r="J6250" s="42">
        <f>IF(AND(ISNUMBER(F6250),ISNUMBER(H6250),F6250&gt;=Inputs!$C$68),F6250*H6250*Inputs!$C$69,"")</f>
      </c>
    </row>
    <row r="6251" spans="2:10" ht="15" customHeight="1" x14ac:dyDescent="0.2">
      <c r="B6251" s="39">
        <f t="shared" si="48"/>
      </c>
      <c r="C6251" s="40">
        <f>IF(Inputs!$C$60,Inputs!$C$11+(B6251-Inputs!$C$69)/Inputs!$C$70,"")</f>
      </c>
      <c r="D6251" s="15"/>
      <c r="E6251" s="15"/>
      <c r="F6251" s="11">
        <f t="shared" si="49"/>
      </c>
      <c r="G6251" s="22" cm="1">
        <f t="array" ref="G6251">IF(AND(Inputs!$C$60,Inputs!$C$61),INDEX(Utility_Rates!$C$29:$F$52,HOUR(C6251)+Inputs!$C$69,MATCH(INDEX(Utility_Rates!$K$6:$K$17,MONTH(C6251))&amp;IF(WEEKDAY(C6251,Inputs!$C$76)&lt;=Inputs!$C$74," weekday"," weekend"),Utility_Rates!$C$28:$F$28,Inputs!$C$68)),"")</f>
      </c>
      <c r="H6251" s="34"/>
      <c r="I6251" s="42">
        <f>IF(AND(ISNUMBER(D6251),ISNUMBER(H6251)),D6251*H6251*Inputs!$C$69,"")</f>
      </c>
      <c r="J6251" s="42">
        <f>IF(AND(ISNUMBER(F6251),ISNUMBER(H6251),F6251&gt;=Inputs!$C$68),F6251*H6251*Inputs!$C$69,"")</f>
      </c>
    </row>
    <row r="6252" spans="2:10" ht="15" customHeight="1" x14ac:dyDescent="0.2">
      <c r="B6252" s="39">
        <f t="shared" si="48"/>
      </c>
      <c r="C6252" s="40">
        <f>IF(Inputs!$C$60,Inputs!$C$11+(B6252-Inputs!$C$69)/Inputs!$C$70,"")</f>
      </c>
      <c r="D6252" s="15"/>
      <c r="E6252" s="15"/>
      <c r="F6252" s="11">
        <f t="shared" si="49"/>
      </c>
      <c r="G6252" s="22" cm="1">
        <f t="array" ref="G6252">IF(AND(Inputs!$C$60,Inputs!$C$61),INDEX(Utility_Rates!$C$29:$F$52,HOUR(C6252)+Inputs!$C$69,MATCH(INDEX(Utility_Rates!$K$6:$K$17,MONTH(C6252))&amp;IF(WEEKDAY(C6252,Inputs!$C$76)&lt;=Inputs!$C$74," weekday"," weekend"),Utility_Rates!$C$28:$F$28,Inputs!$C$68)),"")</f>
      </c>
      <c r="H6252" s="34"/>
      <c r="I6252" s="42">
        <f>IF(AND(ISNUMBER(D6252),ISNUMBER(H6252)),D6252*H6252*Inputs!$C$69,"")</f>
      </c>
      <c r="J6252" s="42">
        <f>IF(AND(ISNUMBER(F6252),ISNUMBER(H6252),F6252&gt;=Inputs!$C$68),F6252*H6252*Inputs!$C$69,"")</f>
      </c>
    </row>
    <row r="6253" spans="2:10" ht="15" customHeight="1" x14ac:dyDescent="0.2">
      <c r="B6253" s="39">
        <f t="shared" si="48"/>
      </c>
      <c r="C6253" s="40">
        <f>IF(Inputs!$C$60,Inputs!$C$11+(B6253-Inputs!$C$69)/Inputs!$C$70,"")</f>
      </c>
      <c r="D6253" s="15"/>
      <c r="E6253" s="15"/>
      <c r="F6253" s="11">
        <f t="shared" si="49"/>
      </c>
      <c r="G6253" s="22" cm="1">
        <f t="array" ref="G6253">IF(AND(Inputs!$C$60,Inputs!$C$61),INDEX(Utility_Rates!$C$29:$F$52,HOUR(C6253)+Inputs!$C$69,MATCH(INDEX(Utility_Rates!$K$6:$K$17,MONTH(C6253))&amp;IF(WEEKDAY(C6253,Inputs!$C$76)&lt;=Inputs!$C$74," weekday"," weekend"),Utility_Rates!$C$28:$F$28,Inputs!$C$68)),"")</f>
      </c>
      <c r="H6253" s="34"/>
      <c r="I6253" s="42">
        <f>IF(AND(ISNUMBER(D6253),ISNUMBER(H6253)),D6253*H6253*Inputs!$C$69,"")</f>
      </c>
      <c r="J6253" s="42">
        <f>IF(AND(ISNUMBER(F6253),ISNUMBER(H6253),F6253&gt;=Inputs!$C$68),F6253*H6253*Inputs!$C$69,"")</f>
      </c>
    </row>
    <row r="6254" spans="2:10" ht="15" customHeight="1" x14ac:dyDescent="0.2">
      <c r="B6254" s="39">
        <f t="shared" si="48"/>
      </c>
      <c r="C6254" s="40">
        <f>IF(Inputs!$C$60,Inputs!$C$11+(B6254-Inputs!$C$69)/Inputs!$C$70,"")</f>
      </c>
      <c r="D6254" s="15"/>
      <c r="E6254" s="15"/>
      <c r="F6254" s="11">
        <f t="shared" si="49"/>
      </c>
      <c r="G6254" s="22" cm="1">
        <f t="array" ref="G6254">IF(AND(Inputs!$C$60,Inputs!$C$61),INDEX(Utility_Rates!$C$29:$F$52,HOUR(C6254)+Inputs!$C$69,MATCH(INDEX(Utility_Rates!$K$6:$K$17,MONTH(C6254))&amp;IF(WEEKDAY(C6254,Inputs!$C$76)&lt;=Inputs!$C$74," weekday"," weekend"),Utility_Rates!$C$28:$F$28,Inputs!$C$68)),"")</f>
      </c>
      <c r="H6254" s="34"/>
      <c r="I6254" s="42">
        <f>IF(AND(ISNUMBER(D6254),ISNUMBER(H6254)),D6254*H6254*Inputs!$C$69,"")</f>
      </c>
      <c r="J6254" s="42">
        <f>IF(AND(ISNUMBER(F6254),ISNUMBER(H6254),F6254&gt;=Inputs!$C$68),F6254*H6254*Inputs!$C$69,"")</f>
      </c>
    </row>
    <row r="6255" spans="2:10" ht="15" customHeight="1" x14ac:dyDescent="0.2">
      <c r="B6255" s="39">
        <f t="shared" si="48"/>
      </c>
      <c r="C6255" s="40">
        <f>IF(Inputs!$C$60,Inputs!$C$11+(B6255-Inputs!$C$69)/Inputs!$C$70,"")</f>
      </c>
      <c r="D6255" s="15"/>
      <c r="E6255" s="15"/>
      <c r="F6255" s="11">
        <f t="shared" si="49"/>
      </c>
      <c r="G6255" s="22" cm="1">
        <f t="array" ref="G6255">IF(AND(Inputs!$C$60,Inputs!$C$61),INDEX(Utility_Rates!$C$29:$F$52,HOUR(C6255)+Inputs!$C$69,MATCH(INDEX(Utility_Rates!$K$6:$K$17,MONTH(C6255))&amp;IF(WEEKDAY(C6255,Inputs!$C$76)&lt;=Inputs!$C$74," weekday"," weekend"),Utility_Rates!$C$28:$F$28,Inputs!$C$68)),"")</f>
      </c>
      <c r="H6255" s="34"/>
      <c r="I6255" s="42">
        <f>IF(AND(ISNUMBER(D6255),ISNUMBER(H6255)),D6255*H6255*Inputs!$C$69,"")</f>
      </c>
      <c r="J6255" s="42">
        <f>IF(AND(ISNUMBER(F6255),ISNUMBER(H6255),F6255&gt;=Inputs!$C$68),F6255*H6255*Inputs!$C$69,"")</f>
      </c>
    </row>
    <row r="6256" spans="2:10" ht="15" customHeight="1" x14ac:dyDescent="0.2">
      <c r="B6256" s="39">
        <f t="shared" si="48"/>
      </c>
      <c r="C6256" s="40">
        <f>IF(Inputs!$C$60,Inputs!$C$11+(B6256-Inputs!$C$69)/Inputs!$C$70,"")</f>
      </c>
      <c r="D6256" s="15"/>
      <c r="E6256" s="15"/>
      <c r="F6256" s="11">
        <f t="shared" si="49"/>
      </c>
      <c r="G6256" s="22" cm="1">
        <f t="array" ref="G6256">IF(AND(Inputs!$C$60,Inputs!$C$61),INDEX(Utility_Rates!$C$29:$F$52,HOUR(C6256)+Inputs!$C$69,MATCH(INDEX(Utility_Rates!$K$6:$K$17,MONTH(C6256))&amp;IF(WEEKDAY(C6256,Inputs!$C$76)&lt;=Inputs!$C$74," weekday"," weekend"),Utility_Rates!$C$28:$F$28,Inputs!$C$68)),"")</f>
      </c>
      <c r="H6256" s="34"/>
      <c r="I6256" s="42">
        <f>IF(AND(ISNUMBER(D6256),ISNUMBER(H6256)),D6256*H6256*Inputs!$C$69,"")</f>
      </c>
      <c r="J6256" s="42">
        <f>IF(AND(ISNUMBER(F6256),ISNUMBER(H6256),F6256&gt;=Inputs!$C$68),F6256*H6256*Inputs!$C$69,"")</f>
      </c>
    </row>
    <row r="6257" spans="2:10" ht="15" customHeight="1" x14ac:dyDescent="0.2">
      <c r="B6257" s="39">
        <f t="shared" si="48"/>
      </c>
      <c r="C6257" s="40">
        <f>IF(Inputs!$C$60,Inputs!$C$11+(B6257-Inputs!$C$69)/Inputs!$C$70,"")</f>
      </c>
      <c r="D6257" s="15"/>
      <c r="E6257" s="15"/>
      <c r="F6257" s="11">
        <f t="shared" si="49"/>
      </c>
      <c r="G6257" s="22" cm="1">
        <f t="array" ref="G6257">IF(AND(Inputs!$C$60,Inputs!$C$61),INDEX(Utility_Rates!$C$29:$F$52,HOUR(C6257)+Inputs!$C$69,MATCH(INDEX(Utility_Rates!$K$6:$K$17,MONTH(C6257))&amp;IF(WEEKDAY(C6257,Inputs!$C$76)&lt;=Inputs!$C$74," weekday"," weekend"),Utility_Rates!$C$28:$F$28,Inputs!$C$68)),"")</f>
      </c>
      <c r="H6257" s="34"/>
      <c r="I6257" s="42">
        <f>IF(AND(ISNUMBER(D6257),ISNUMBER(H6257)),D6257*H6257*Inputs!$C$69,"")</f>
      </c>
      <c r="J6257" s="42">
        <f>IF(AND(ISNUMBER(F6257),ISNUMBER(H6257),F6257&gt;=Inputs!$C$68),F6257*H6257*Inputs!$C$69,"")</f>
      </c>
    </row>
    <row r="6258" spans="2:10" ht="15" customHeight="1" x14ac:dyDescent="0.2">
      <c r="B6258" s="39">
        <f t="shared" si="48"/>
      </c>
      <c r="C6258" s="40">
        <f>IF(Inputs!$C$60,Inputs!$C$11+(B6258-Inputs!$C$69)/Inputs!$C$70,"")</f>
      </c>
      <c r="D6258" s="15"/>
      <c r="E6258" s="15"/>
      <c r="F6258" s="11">
        <f t="shared" si="49"/>
      </c>
      <c r="G6258" s="22" cm="1">
        <f t="array" ref="G6258">IF(AND(Inputs!$C$60,Inputs!$C$61),INDEX(Utility_Rates!$C$29:$F$52,HOUR(C6258)+Inputs!$C$69,MATCH(INDEX(Utility_Rates!$K$6:$K$17,MONTH(C6258))&amp;IF(WEEKDAY(C6258,Inputs!$C$76)&lt;=Inputs!$C$74," weekday"," weekend"),Utility_Rates!$C$28:$F$28,Inputs!$C$68)),"")</f>
      </c>
      <c r="H6258" s="34"/>
      <c r="I6258" s="42">
        <f>IF(AND(ISNUMBER(D6258),ISNUMBER(H6258)),D6258*H6258*Inputs!$C$69,"")</f>
      </c>
      <c r="J6258" s="42">
        <f>IF(AND(ISNUMBER(F6258),ISNUMBER(H6258),F6258&gt;=Inputs!$C$68),F6258*H6258*Inputs!$C$69,"")</f>
      </c>
    </row>
    <row r="6259" spans="2:10" ht="15" customHeight="1" x14ac:dyDescent="0.2">
      <c r="B6259" s="39">
        <f t="shared" si="48"/>
      </c>
      <c r="C6259" s="40">
        <f>IF(Inputs!$C$60,Inputs!$C$11+(B6259-Inputs!$C$69)/Inputs!$C$70,"")</f>
      </c>
      <c r="D6259" s="15"/>
      <c r="E6259" s="15"/>
      <c r="F6259" s="11">
        <f t="shared" si="49"/>
      </c>
      <c r="G6259" s="22" cm="1">
        <f t="array" ref="G6259">IF(AND(Inputs!$C$60,Inputs!$C$61),INDEX(Utility_Rates!$C$29:$F$52,HOUR(C6259)+Inputs!$C$69,MATCH(INDEX(Utility_Rates!$K$6:$K$17,MONTH(C6259))&amp;IF(WEEKDAY(C6259,Inputs!$C$76)&lt;=Inputs!$C$74," weekday"," weekend"),Utility_Rates!$C$28:$F$28,Inputs!$C$68)),"")</f>
      </c>
      <c r="H6259" s="34"/>
      <c r="I6259" s="42">
        <f>IF(AND(ISNUMBER(D6259),ISNUMBER(H6259)),D6259*H6259*Inputs!$C$69,"")</f>
      </c>
      <c r="J6259" s="42">
        <f>IF(AND(ISNUMBER(F6259),ISNUMBER(H6259),F6259&gt;=Inputs!$C$68),F6259*H6259*Inputs!$C$69,"")</f>
      </c>
    </row>
    <row r="6260" spans="2:10" ht="15" customHeight="1" x14ac:dyDescent="0.2">
      <c r="B6260" s="39">
        <f t="shared" si="48"/>
      </c>
      <c r="C6260" s="40">
        <f>IF(Inputs!$C$60,Inputs!$C$11+(B6260-Inputs!$C$69)/Inputs!$C$70,"")</f>
      </c>
      <c r="D6260" s="15"/>
      <c r="E6260" s="15"/>
      <c r="F6260" s="11">
        <f t="shared" si="49"/>
      </c>
      <c r="G6260" s="22" cm="1">
        <f t="array" ref="G6260">IF(AND(Inputs!$C$60,Inputs!$C$61),INDEX(Utility_Rates!$C$29:$F$52,HOUR(C6260)+Inputs!$C$69,MATCH(INDEX(Utility_Rates!$K$6:$K$17,MONTH(C6260))&amp;IF(WEEKDAY(C6260,Inputs!$C$76)&lt;=Inputs!$C$74," weekday"," weekend"),Utility_Rates!$C$28:$F$28,Inputs!$C$68)),"")</f>
      </c>
      <c r="H6260" s="34"/>
      <c r="I6260" s="42">
        <f>IF(AND(ISNUMBER(D6260),ISNUMBER(H6260)),D6260*H6260*Inputs!$C$69,"")</f>
      </c>
      <c r="J6260" s="42">
        <f>IF(AND(ISNUMBER(F6260),ISNUMBER(H6260),F6260&gt;=Inputs!$C$68),F6260*H6260*Inputs!$C$69,"")</f>
      </c>
    </row>
    <row r="6261" spans="2:10" ht="15" customHeight="1" x14ac:dyDescent="0.2">
      <c r="B6261" s="39">
        <f t="shared" si="48"/>
      </c>
      <c r="C6261" s="40">
        <f>IF(Inputs!$C$60,Inputs!$C$11+(B6261-Inputs!$C$69)/Inputs!$C$70,"")</f>
      </c>
      <c r="D6261" s="15"/>
      <c r="E6261" s="15"/>
      <c r="F6261" s="11">
        <f t="shared" si="49"/>
      </c>
      <c r="G6261" s="22" cm="1">
        <f t="array" ref="G6261">IF(AND(Inputs!$C$60,Inputs!$C$61),INDEX(Utility_Rates!$C$29:$F$52,HOUR(C6261)+Inputs!$C$69,MATCH(INDEX(Utility_Rates!$K$6:$K$17,MONTH(C6261))&amp;IF(WEEKDAY(C6261,Inputs!$C$76)&lt;=Inputs!$C$74," weekday"," weekend"),Utility_Rates!$C$28:$F$28,Inputs!$C$68)),"")</f>
      </c>
      <c r="H6261" s="34"/>
      <c r="I6261" s="42">
        <f>IF(AND(ISNUMBER(D6261),ISNUMBER(H6261)),D6261*H6261*Inputs!$C$69,"")</f>
      </c>
      <c r="J6261" s="42">
        <f>IF(AND(ISNUMBER(F6261),ISNUMBER(H6261),F6261&gt;=Inputs!$C$68),F6261*H6261*Inputs!$C$69,"")</f>
      </c>
    </row>
    <row r="6262" spans="2:10" ht="15" customHeight="1" x14ac:dyDescent="0.2">
      <c r="B6262" s="39">
        <f t="shared" si="48"/>
      </c>
      <c r="C6262" s="40">
        <f>IF(Inputs!$C$60,Inputs!$C$11+(B6262-Inputs!$C$69)/Inputs!$C$70,"")</f>
      </c>
      <c r="D6262" s="15"/>
      <c r="E6262" s="15"/>
      <c r="F6262" s="11">
        <f t="shared" si="49"/>
      </c>
      <c r="G6262" s="22" cm="1">
        <f t="array" ref="G6262">IF(AND(Inputs!$C$60,Inputs!$C$61),INDEX(Utility_Rates!$C$29:$F$52,HOUR(C6262)+Inputs!$C$69,MATCH(INDEX(Utility_Rates!$K$6:$K$17,MONTH(C6262))&amp;IF(WEEKDAY(C6262,Inputs!$C$76)&lt;=Inputs!$C$74," weekday"," weekend"),Utility_Rates!$C$28:$F$28,Inputs!$C$68)),"")</f>
      </c>
      <c r="H6262" s="34"/>
      <c r="I6262" s="42">
        <f>IF(AND(ISNUMBER(D6262),ISNUMBER(H6262)),D6262*H6262*Inputs!$C$69,"")</f>
      </c>
      <c r="J6262" s="42">
        <f>IF(AND(ISNUMBER(F6262),ISNUMBER(H6262),F6262&gt;=Inputs!$C$68),F6262*H6262*Inputs!$C$69,"")</f>
      </c>
    </row>
    <row r="6263" spans="2:10" ht="15" customHeight="1" x14ac:dyDescent="0.2">
      <c r="B6263" s="39">
        <f t="shared" si="48"/>
      </c>
      <c r="C6263" s="40">
        <f>IF(Inputs!$C$60,Inputs!$C$11+(B6263-Inputs!$C$69)/Inputs!$C$70,"")</f>
      </c>
      <c r="D6263" s="15"/>
      <c r="E6263" s="15"/>
      <c r="F6263" s="11">
        <f t="shared" si="49"/>
      </c>
      <c r="G6263" s="22" cm="1">
        <f t="array" ref="G6263">IF(AND(Inputs!$C$60,Inputs!$C$61),INDEX(Utility_Rates!$C$29:$F$52,HOUR(C6263)+Inputs!$C$69,MATCH(INDEX(Utility_Rates!$K$6:$K$17,MONTH(C6263))&amp;IF(WEEKDAY(C6263,Inputs!$C$76)&lt;=Inputs!$C$74," weekday"," weekend"),Utility_Rates!$C$28:$F$28,Inputs!$C$68)),"")</f>
      </c>
      <c r="H6263" s="34"/>
      <c r="I6263" s="42">
        <f>IF(AND(ISNUMBER(D6263),ISNUMBER(H6263)),D6263*H6263*Inputs!$C$69,"")</f>
      </c>
      <c r="J6263" s="42">
        <f>IF(AND(ISNUMBER(F6263),ISNUMBER(H6263),F6263&gt;=Inputs!$C$68),F6263*H6263*Inputs!$C$69,"")</f>
      </c>
    </row>
    <row r="6264" spans="2:10" ht="15" customHeight="1" x14ac:dyDescent="0.2">
      <c r="B6264" s="39">
        <f t="shared" si="48"/>
      </c>
      <c r="C6264" s="40">
        <f>IF(Inputs!$C$60,Inputs!$C$11+(B6264-Inputs!$C$69)/Inputs!$C$70,"")</f>
      </c>
      <c r="D6264" s="15"/>
      <c r="E6264" s="15"/>
      <c r="F6264" s="11">
        <f t="shared" si="49"/>
      </c>
      <c r="G6264" s="22" cm="1">
        <f t="array" ref="G6264">IF(AND(Inputs!$C$60,Inputs!$C$61),INDEX(Utility_Rates!$C$29:$F$52,HOUR(C6264)+Inputs!$C$69,MATCH(INDEX(Utility_Rates!$K$6:$K$17,MONTH(C6264))&amp;IF(WEEKDAY(C6264,Inputs!$C$76)&lt;=Inputs!$C$74," weekday"," weekend"),Utility_Rates!$C$28:$F$28,Inputs!$C$68)),"")</f>
      </c>
      <c r="H6264" s="34"/>
      <c r="I6264" s="42">
        <f>IF(AND(ISNUMBER(D6264),ISNUMBER(H6264)),D6264*H6264*Inputs!$C$69,"")</f>
      </c>
      <c r="J6264" s="42">
        <f>IF(AND(ISNUMBER(F6264),ISNUMBER(H6264),F6264&gt;=Inputs!$C$68),F6264*H6264*Inputs!$C$69,"")</f>
      </c>
    </row>
    <row r="6265" spans="2:10" ht="15" customHeight="1" x14ac:dyDescent="0.2">
      <c r="B6265" s="39">
        <f t="shared" si="48"/>
      </c>
      <c r="C6265" s="40">
        <f>IF(Inputs!$C$60,Inputs!$C$11+(B6265-Inputs!$C$69)/Inputs!$C$70,"")</f>
      </c>
      <c r="D6265" s="15"/>
      <c r="E6265" s="15"/>
      <c r="F6265" s="11">
        <f t="shared" si="49"/>
      </c>
      <c r="G6265" s="22" cm="1">
        <f t="array" ref="G6265">IF(AND(Inputs!$C$60,Inputs!$C$61),INDEX(Utility_Rates!$C$29:$F$52,HOUR(C6265)+Inputs!$C$69,MATCH(INDEX(Utility_Rates!$K$6:$K$17,MONTH(C6265))&amp;IF(WEEKDAY(C6265,Inputs!$C$76)&lt;=Inputs!$C$74," weekday"," weekend"),Utility_Rates!$C$28:$F$28,Inputs!$C$68)),"")</f>
      </c>
      <c r="H6265" s="34"/>
      <c r="I6265" s="42">
        <f>IF(AND(ISNUMBER(D6265),ISNUMBER(H6265)),D6265*H6265*Inputs!$C$69,"")</f>
      </c>
      <c r="J6265" s="42">
        <f>IF(AND(ISNUMBER(F6265),ISNUMBER(H6265),F6265&gt;=Inputs!$C$68),F6265*H6265*Inputs!$C$69,"")</f>
      </c>
    </row>
    <row r="6266" spans="2:10" ht="15" customHeight="1" x14ac:dyDescent="0.2">
      <c r="B6266" s="39">
        <f t="shared" si="48"/>
      </c>
      <c r="C6266" s="40">
        <f>IF(Inputs!$C$60,Inputs!$C$11+(B6266-Inputs!$C$69)/Inputs!$C$70,"")</f>
      </c>
      <c r="D6266" s="15"/>
      <c r="E6266" s="15"/>
      <c r="F6266" s="11">
        <f t="shared" si="49"/>
      </c>
      <c r="G6266" s="22" cm="1">
        <f t="array" ref="G6266">IF(AND(Inputs!$C$60,Inputs!$C$61),INDEX(Utility_Rates!$C$29:$F$52,HOUR(C6266)+Inputs!$C$69,MATCH(INDEX(Utility_Rates!$K$6:$K$17,MONTH(C6266))&amp;IF(WEEKDAY(C6266,Inputs!$C$76)&lt;=Inputs!$C$74," weekday"," weekend"),Utility_Rates!$C$28:$F$28,Inputs!$C$68)),"")</f>
      </c>
      <c r="H6266" s="34"/>
      <c r="I6266" s="42">
        <f>IF(AND(ISNUMBER(D6266),ISNUMBER(H6266)),D6266*H6266*Inputs!$C$69,"")</f>
      </c>
      <c r="J6266" s="42">
        <f>IF(AND(ISNUMBER(F6266),ISNUMBER(H6266),F6266&gt;=Inputs!$C$68),F6266*H6266*Inputs!$C$69,"")</f>
      </c>
    </row>
    <row r="6267" spans="2:10" ht="15" customHeight="1" x14ac:dyDescent="0.2">
      <c r="B6267" s="39">
        <f t="shared" si="48"/>
      </c>
      <c r="C6267" s="40">
        <f>IF(Inputs!$C$60,Inputs!$C$11+(B6267-Inputs!$C$69)/Inputs!$C$70,"")</f>
      </c>
      <c r="D6267" s="15"/>
      <c r="E6267" s="15"/>
      <c r="F6267" s="11">
        <f t="shared" si="49"/>
      </c>
      <c r="G6267" s="22" cm="1">
        <f t="array" ref="G6267">IF(AND(Inputs!$C$60,Inputs!$C$61),INDEX(Utility_Rates!$C$29:$F$52,HOUR(C6267)+Inputs!$C$69,MATCH(INDEX(Utility_Rates!$K$6:$K$17,MONTH(C6267))&amp;IF(WEEKDAY(C6267,Inputs!$C$76)&lt;=Inputs!$C$74," weekday"," weekend"),Utility_Rates!$C$28:$F$28,Inputs!$C$68)),"")</f>
      </c>
      <c r="H6267" s="34"/>
      <c r="I6267" s="42">
        <f>IF(AND(ISNUMBER(D6267),ISNUMBER(H6267)),D6267*H6267*Inputs!$C$69,"")</f>
      </c>
      <c r="J6267" s="42">
        <f>IF(AND(ISNUMBER(F6267),ISNUMBER(H6267),F6267&gt;=Inputs!$C$68),F6267*H6267*Inputs!$C$69,"")</f>
      </c>
    </row>
    <row r="6268" spans="2:10" ht="15" customHeight="1" x14ac:dyDescent="0.2">
      <c r="B6268" s="39">
        <f t="shared" si="48"/>
      </c>
      <c r="C6268" s="40">
        <f>IF(Inputs!$C$60,Inputs!$C$11+(B6268-Inputs!$C$69)/Inputs!$C$70,"")</f>
      </c>
      <c r="D6268" s="15"/>
      <c r="E6268" s="15"/>
      <c r="F6268" s="11">
        <f t="shared" si="49"/>
      </c>
      <c r="G6268" s="22" cm="1">
        <f t="array" ref="G6268">IF(AND(Inputs!$C$60,Inputs!$C$61),INDEX(Utility_Rates!$C$29:$F$52,HOUR(C6268)+Inputs!$C$69,MATCH(INDEX(Utility_Rates!$K$6:$K$17,MONTH(C6268))&amp;IF(WEEKDAY(C6268,Inputs!$C$76)&lt;=Inputs!$C$74," weekday"," weekend"),Utility_Rates!$C$28:$F$28,Inputs!$C$68)),"")</f>
      </c>
      <c r="H6268" s="34"/>
      <c r="I6268" s="42">
        <f>IF(AND(ISNUMBER(D6268),ISNUMBER(H6268)),D6268*H6268*Inputs!$C$69,"")</f>
      </c>
      <c r="J6268" s="42">
        <f>IF(AND(ISNUMBER(F6268),ISNUMBER(H6268),F6268&gt;=Inputs!$C$68),F6268*H6268*Inputs!$C$69,"")</f>
      </c>
    </row>
    <row r="6269" spans="2:10" ht="15" customHeight="1" x14ac:dyDescent="0.2">
      <c r="B6269" s="39">
        <f t="shared" si="48"/>
      </c>
      <c r="C6269" s="40">
        <f>IF(Inputs!$C$60,Inputs!$C$11+(B6269-Inputs!$C$69)/Inputs!$C$70,"")</f>
      </c>
      <c r="D6269" s="15"/>
      <c r="E6269" s="15"/>
      <c r="F6269" s="11">
        <f t="shared" si="49"/>
      </c>
      <c r="G6269" s="22" cm="1">
        <f t="array" ref="G6269">IF(AND(Inputs!$C$60,Inputs!$C$61),INDEX(Utility_Rates!$C$29:$F$52,HOUR(C6269)+Inputs!$C$69,MATCH(INDEX(Utility_Rates!$K$6:$K$17,MONTH(C6269))&amp;IF(WEEKDAY(C6269,Inputs!$C$76)&lt;=Inputs!$C$74," weekday"," weekend"),Utility_Rates!$C$28:$F$28,Inputs!$C$68)),"")</f>
      </c>
      <c r="H6269" s="34"/>
      <c r="I6269" s="42">
        <f>IF(AND(ISNUMBER(D6269),ISNUMBER(H6269)),D6269*H6269*Inputs!$C$69,"")</f>
      </c>
      <c r="J6269" s="42">
        <f>IF(AND(ISNUMBER(F6269),ISNUMBER(H6269),F6269&gt;=Inputs!$C$68),F6269*H6269*Inputs!$C$69,"")</f>
      </c>
    </row>
    <row r="6270" spans="2:10" ht="15" customHeight="1" x14ac:dyDescent="0.2">
      <c r="B6270" s="39">
        <f t="shared" si="48"/>
      </c>
      <c r="C6270" s="40">
        <f>IF(Inputs!$C$60,Inputs!$C$11+(B6270-Inputs!$C$69)/Inputs!$C$70,"")</f>
      </c>
      <c r="D6270" s="15"/>
      <c r="E6270" s="15"/>
      <c r="F6270" s="11">
        <f t="shared" si="49"/>
      </c>
      <c r="G6270" s="22" cm="1">
        <f t="array" ref="G6270">IF(AND(Inputs!$C$60,Inputs!$C$61),INDEX(Utility_Rates!$C$29:$F$52,HOUR(C6270)+Inputs!$C$69,MATCH(INDEX(Utility_Rates!$K$6:$K$17,MONTH(C6270))&amp;IF(WEEKDAY(C6270,Inputs!$C$76)&lt;=Inputs!$C$74," weekday"," weekend"),Utility_Rates!$C$28:$F$28,Inputs!$C$68)),"")</f>
      </c>
      <c r="H6270" s="34"/>
      <c r="I6270" s="42">
        <f>IF(AND(ISNUMBER(D6270),ISNUMBER(H6270)),D6270*H6270*Inputs!$C$69,"")</f>
      </c>
      <c r="J6270" s="42">
        <f>IF(AND(ISNUMBER(F6270),ISNUMBER(H6270),F6270&gt;=Inputs!$C$68),F6270*H6270*Inputs!$C$69,"")</f>
      </c>
    </row>
    <row r="6271" spans="2:10" ht="15" customHeight="1" x14ac:dyDescent="0.2">
      <c r="B6271" s="39">
        <f t="shared" si="48"/>
      </c>
      <c r="C6271" s="40">
        <f>IF(Inputs!$C$60,Inputs!$C$11+(B6271-Inputs!$C$69)/Inputs!$C$70,"")</f>
      </c>
      <c r="D6271" s="15"/>
      <c r="E6271" s="15"/>
      <c r="F6271" s="11">
        <f t="shared" si="49"/>
      </c>
      <c r="G6271" s="22" cm="1">
        <f t="array" ref="G6271">IF(AND(Inputs!$C$60,Inputs!$C$61),INDEX(Utility_Rates!$C$29:$F$52,HOUR(C6271)+Inputs!$C$69,MATCH(INDEX(Utility_Rates!$K$6:$K$17,MONTH(C6271))&amp;IF(WEEKDAY(C6271,Inputs!$C$76)&lt;=Inputs!$C$74," weekday"," weekend"),Utility_Rates!$C$28:$F$28,Inputs!$C$68)),"")</f>
      </c>
      <c r="H6271" s="34"/>
      <c r="I6271" s="42">
        <f>IF(AND(ISNUMBER(D6271),ISNUMBER(H6271)),D6271*H6271*Inputs!$C$69,"")</f>
      </c>
      <c r="J6271" s="42">
        <f>IF(AND(ISNUMBER(F6271),ISNUMBER(H6271),F6271&gt;=Inputs!$C$68),F6271*H6271*Inputs!$C$69,"")</f>
      </c>
    </row>
    <row r="6272" spans="2:10" ht="15" customHeight="1" x14ac:dyDescent="0.2">
      <c r="B6272" s="39">
        <f t="shared" si="48"/>
      </c>
      <c r="C6272" s="40">
        <f>IF(Inputs!$C$60,Inputs!$C$11+(B6272-Inputs!$C$69)/Inputs!$C$70,"")</f>
      </c>
      <c r="D6272" s="15"/>
      <c r="E6272" s="15"/>
      <c r="F6272" s="11">
        <f t="shared" si="49"/>
      </c>
      <c r="G6272" s="22" cm="1">
        <f t="array" ref="G6272">IF(AND(Inputs!$C$60,Inputs!$C$61),INDEX(Utility_Rates!$C$29:$F$52,HOUR(C6272)+Inputs!$C$69,MATCH(INDEX(Utility_Rates!$K$6:$K$17,MONTH(C6272))&amp;IF(WEEKDAY(C6272,Inputs!$C$76)&lt;=Inputs!$C$74," weekday"," weekend"),Utility_Rates!$C$28:$F$28,Inputs!$C$68)),"")</f>
      </c>
      <c r="H6272" s="34"/>
      <c r="I6272" s="42">
        <f>IF(AND(ISNUMBER(D6272),ISNUMBER(H6272)),D6272*H6272*Inputs!$C$69,"")</f>
      </c>
      <c r="J6272" s="42">
        <f>IF(AND(ISNUMBER(F6272),ISNUMBER(H6272),F6272&gt;=Inputs!$C$68),F6272*H6272*Inputs!$C$69,"")</f>
      </c>
    </row>
    <row r="6273" spans="2:10" ht="15" customHeight="1" x14ac:dyDescent="0.2">
      <c r="B6273" s="39">
        <f t="shared" si="48"/>
      </c>
      <c r="C6273" s="40">
        <f>IF(Inputs!$C$60,Inputs!$C$11+(B6273-Inputs!$C$69)/Inputs!$C$70,"")</f>
      </c>
      <c r="D6273" s="15"/>
      <c r="E6273" s="15"/>
      <c r="F6273" s="11">
        <f t="shared" si="49"/>
      </c>
      <c r="G6273" s="22" cm="1">
        <f t="array" ref="G6273">IF(AND(Inputs!$C$60,Inputs!$C$61),INDEX(Utility_Rates!$C$29:$F$52,HOUR(C6273)+Inputs!$C$69,MATCH(INDEX(Utility_Rates!$K$6:$K$17,MONTH(C6273))&amp;IF(WEEKDAY(C6273,Inputs!$C$76)&lt;=Inputs!$C$74," weekday"," weekend"),Utility_Rates!$C$28:$F$28,Inputs!$C$68)),"")</f>
      </c>
      <c r="H6273" s="34"/>
      <c r="I6273" s="42">
        <f>IF(AND(ISNUMBER(D6273),ISNUMBER(H6273)),D6273*H6273*Inputs!$C$69,"")</f>
      </c>
      <c r="J6273" s="42">
        <f>IF(AND(ISNUMBER(F6273),ISNUMBER(H6273),F6273&gt;=Inputs!$C$68),F6273*H6273*Inputs!$C$69,"")</f>
      </c>
    </row>
    <row r="6274" spans="2:10" ht="15" customHeight="1" x14ac:dyDescent="0.2">
      <c r="B6274" s="39">
        <f t="shared" si="48"/>
      </c>
      <c r="C6274" s="40">
        <f>IF(Inputs!$C$60,Inputs!$C$11+(B6274-Inputs!$C$69)/Inputs!$C$70,"")</f>
      </c>
      <c r="D6274" s="15"/>
      <c r="E6274" s="15"/>
      <c r="F6274" s="11">
        <f t="shared" si="49"/>
      </c>
      <c r="G6274" s="22" cm="1">
        <f t="array" ref="G6274">IF(AND(Inputs!$C$60,Inputs!$C$61),INDEX(Utility_Rates!$C$29:$F$52,HOUR(C6274)+Inputs!$C$69,MATCH(INDEX(Utility_Rates!$K$6:$K$17,MONTH(C6274))&amp;IF(WEEKDAY(C6274,Inputs!$C$76)&lt;=Inputs!$C$74," weekday"," weekend"),Utility_Rates!$C$28:$F$28,Inputs!$C$68)),"")</f>
      </c>
      <c r="H6274" s="34"/>
      <c r="I6274" s="42">
        <f>IF(AND(ISNUMBER(D6274),ISNUMBER(H6274)),D6274*H6274*Inputs!$C$69,"")</f>
      </c>
      <c r="J6274" s="42">
        <f>IF(AND(ISNUMBER(F6274),ISNUMBER(H6274),F6274&gt;=Inputs!$C$68),F6274*H6274*Inputs!$C$69,"")</f>
      </c>
    </row>
    <row r="6275" spans="2:10" ht="15" customHeight="1" x14ac:dyDescent="0.2">
      <c r="B6275" s="39">
        <f t="shared" si="48"/>
      </c>
      <c r="C6275" s="40">
        <f>IF(Inputs!$C$60,Inputs!$C$11+(B6275-Inputs!$C$69)/Inputs!$C$70,"")</f>
      </c>
      <c r="D6275" s="15"/>
      <c r="E6275" s="15"/>
      <c r="F6275" s="11">
        <f t="shared" si="49"/>
      </c>
      <c r="G6275" s="22" cm="1">
        <f t="array" ref="G6275">IF(AND(Inputs!$C$60,Inputs!$C$61),INDEX(Utility_Rates!$C$29:$F$52,HOUR(C6275)+Inputs!$C$69,MATCH(INDEX(Utility_Rates!$K$6:$K$17,MONTH(C6275))&amp;IF(WEEKDAY(C6275,Inputs!$C$76)&lt;=Inputs!$C$74," weekday"," weekend"),Utility_Rates!$C$28:$F$28,Inputs!$C$68)),"")</f>
      </c>
      <c r="H6275" s="34"/>
      <c r="I6275" s="42">
        <f>IF(AND(ISNUMBER(D6275),ISNUMBER(H6275)),D6275*H6275*Inputs!$C$69,"")</f>
      </c>
      <c r="J6275" s="42">
        <f>IF(AND(ISNUMBER(F6275),ISNUMBER(H6275),F6275&gt;=Inputs!$C$68),F6275*H6275*Inputs!$C$69,"")</f>
      </c>
    </row>
    <row r="6276" spans="2:10" ht="15" customHeight="1" x14ac:dyDescent="0.2">
      <c r="B6276" s="39">
        <f t="shared" si="48"/>
      </c>
      <c r="C6276" s="40">
        <f>IF(Inputs!$C$60,Inputs!$C$11+(B6276-Inputs!$C$69)/Inputs!$C$70,"")</f>
      </c>
      <c r="D6276" s="15"/>
      <c r="E6276" s="15"/>
      <c r="F6276" s="11">
        <f t="shared" si="49"/>
      </c>
      <c r="G6276" s="22" cm="1">
        <f t="array" ref="G6276">IF(AND(Inputs!$C$60,Inputs!$C$61),INDEX(Utility_Rates!$C$29:$F$52,HOUR(C6276)+Inputs!$C$69,MATCH(INDEX(Utility_Rates!$K$6:$K$17,MONTH(C6276))&amp;IF(WEEKDAY(C6276,Inputs!$C$76)&lt;=Inputs!$C$74," weekday"," weekend"),Utility_Rates!$C$28:$F$28,Inputs!$C$68)),"")</f>
      </c>
      <c r="H6276" s="34"/>
      <c r="I6276" s="42">
        <f>IF(AND(ISNUMBER(D6276),ISNUMBER(H6276)),D6276*H6276*Inputs!$C$69,"")</f>
      </c>
      <c r="J6276" s="42">
        <f>IF(AND(ISNUMBER(F6276),ISNUMBER(H6276),F6276&gt;=Inputs!$C$68),F6276*H6276*Inputs!$C$69,"")</f>
      </c>
    </row>
    <row r="6277" spans="2:10" ht="15" customHeight="1" x14ac:dyDescent="0.2">
      <c r="B6277" s="39">
        <f t="shared" si="48"/>
      </c>
      <c r="C6277" s="40">
        <f>IF(Inputs!$C$60,Inputs!$C$11+(B6277-Inputs!$C$69)/Inputs!$C$70,"")</f>
      </c>
      <c r="D6277" s="15"/>
      <c r="E6277" s="15"/>
      <c r="F6277" s="11">
        <f t="shared" si="49"/>
      </c>
      <c r="G6277" s="22" cm="1">
        <f t="array" ref="G6277">IF(AND(Inputs!$C$60,Inputs!$C$61),INDEX(Utility_Rates!$C$29:$F$52,HOUR(C6277)+Inputs!$C$69,MATCH(INDEX(Utility_Rates!$K$6:$K$17,MONTH(C6277))&amp;IF(WEEKDAY(C6277,Inputs!$C$76)&lt;=Inputs!$C$74," weekday"," weekend"),Utility_Rates!$C$28:$F$28,Inputs!$C$68)),"")</f>
      </c>
      <c r="H6277" s="34"/>
      <c r="I6277" s="42">
        <f>IF(AND(ISNUMBER(D6277),ISNUMBER(H6277)),D6277*H6277*Inputs!$C$69,"")</f>
      </c>
      <c r="J6277" s="42">
        <f>IF(AND(ISNUMBER(F6277),ISNUMBER(H6277),F6277&gt;=Inputs!$C$68),F6277*H6277*Inputs!$C$69,"")</f>
      </c>
    </row>
    <row r="6278" spans="2:10" ht="15" customHeight="1" x14ac:dyDescent="0.2">
      <c r="B6278" s="39">
        <f t="shared" si="48"/>
      </c>
      <c r="C6278" s="40">
        <f>IF(Inputs!$C$60,Inputs!$C$11+(B6278-Inputs!$C$69)/Inputs!$C$70,"")</f>
      </c>
      <c r="D6278" s="15"/>
      <c r="E6278" s="15"/>
      <c r="F6278" s="11">
        <f t="shared" si="49"/>
      </c>
      <c r="G6278" s="22" cm="1">
        <f t="array" ref="G6278">IF(AND(Inputs!$C$60,Inputs!$C$61),INDEX(Utility_Rates!$C$29:$F$52,HOUR(C6278)+Inputs!$C$69,MATCH(INDEX(Utility_Rates!$K$6:$K$17,MONTH(C6278))&amp;IF(WEEKDAY(C6278,Inputs!$C$76)&lt;=Inputs!$C$74," weekday"," weekend"),Utility_Rates!$C$28:$F$28,Inputs!$C$68)),"")</f>
      </c>
      <c r="H6278" s="34"/>
      <c r="I6278" s="42">
        <f>IF(AND(ISNUMBER(D6278),ISNUMBER(H6278)),D6278*H6278*Inputs!$C$69,"")</f>
      </c>
      <c r="J6278" s="42">
        <f>IF(AND(ISNUMBER(F6278),ISNUMBER(H6278),F6278&gt;=Inputs!$C$68),F6278*H6278*Inputs!$C$69,"")</f>
      </c>
    </row>
    <row r="6279" spans="2:10" ht="15" customHeight="1" x14ac:dyDescent="0.2">
      <c r="B6279" s="39">
        <f t="shared" si="48"/>
      </c>
      <c r="C6279" s="40">
        <f>IF(Inputs!$C$60,Inputs!$C$11+(B6279-Inputs!$C$69)/Inputs!$C$70,"")</f>
      </c>
      <c r="D6279" s="15"/>
      <c r="E6279" s="15"/>
      <c r="F6279" s="11">
        <f t="shared" si="49"/>
      </c>
      <c r="G6279" s="22" cm="1">
        <f t="array" ref="G6279">IF(AND(Inputs!$C$60,Inputs!$C$61),INDEX(Utility_Rates!$C$29:$F$52,HOUR(C6279)+Inputs!$C$69,MATCH(INDEX(Utility_Rates!$K$6:$K$17,MONTH(C6279))&amp;IF(WEEKDAY(C6279,Inputs!$C$76)&lt;=Inputs!$C$74," weekday"," weekend"),Utility_Rates!$C$28:$F$28,Inputs!$C$68)),"")</f>
      </c>
      <c r="H6279" s="34"/>
      <c r="I6279" s="42">
        <f>IF(AND(ISNUMBER(D6279),ISNUMBER(H6279)),D6279*H6279*Inputs!$C$69,"")</f>
      </c>
      <c r="J6279" s="42">
        <f>IF(AND(ISNUMBER(F6279),ISNUMBER(H6279),F6279&gt;=Inputs!$C$68),F6279*H6279*Inputs!$C$69,"")</f>
      </c>
    </row>
    <row r="6280" spans="2:10" ht="15" customHeight="1" x14ac:dyDescent="0.2">
      <c r="B6280" s="39">
        <f t="shared" si="48"/>
      </c>
      <c r="C6280" s="40">
        <f>IF(Inputs!$C$60,Inputs!$C$11+(B6280-Inputs!$C$69)/Inputs!$C$70,"")</f>
      </c>
      <c r="D6280" s="15"/>
      <c r="E6280" s="15"/>
      <c r="F6280" s="11">
        <f t="shared" si="49"/>
      </c>
      <c r="G6280" s="22" cm="1">
        <f t="array" ref="G6280">IF(AND(Inputs!$C$60,Inputs!$C$61),INDEX(Utility_Rates!$C$29:$F$52,HOUR(C6280)+Inputs!$C$69,MATCH(INDEX(Utility_Rates!$K$6:$K$17,MONTH(C6280))&amp;IF(WEEKDAY(C6280,Inputs!$C$76)&lt;=Inputs!$C$74," weekday"," weekend"),Utility_Rates!$C$28:$F$28,Inputs!$C$68)),"")</f>
      </c>
      <c r="H6280" s="34"/>
      <c r="I6280" s="42">
        <f>IF(AND(ISNUMBER(D6280),ISNUMBER(H6280)),D6280*H6280*Inputs!$C$69,"")</f>
      </c>
      <c r="J6280" s="42">
        <f>IF(AND(ISNUMBER(F6280),ISNUMBER(H6280),F6280&gt;=Inputs!$C$68),F6280*H6280*Inputs!$C$69,"")</f>
      </c>
    </row>
    <row r="6281" spans="2:10" ht="15" customHeight="1" x14ac:dyDescent="0.2">
      <c r="B6281" s="39">
        <f t="shared" si="48"/>
      </c>
      <c r="C6281" s="40">
        <f>IF(Inputs!$C$60,Inputs!$C$11+(B6281-Inputs!$C$69)/Inputs!$C$70,"")</f>
      </c>
      <c r="D6281" s="15"/>
      <c r="E6281" s="15"/>
      <c r="F6281" s="11">
        <f t="shared" si="49"/>
      </c>
      <c r="G6281" s="22" cm="1">
        <f t="array" ref="G6281">IF(AND(Inputs!$C$60,Inputs!$C$61),INDEX(Utility_Rates!$C$29:$F$52,HOUR(C6281)+Inputs!$C$69,MATCH(INDEX(Utility_Rates!$K$6:$K$17,MONTH(C6281))&amp;IF(WEEKDAY(C6281,Inputs!$C$76)&lt;=Inputs!$C$74," weekday"," weekend"),Utility_Rates!$C$28:$F$28,Inputs!$C$68)),"")</f>
      </c>
      <c r="H6281" s="34"/>
      <c r="I6281" s="42">
        <f>IF(AND(ISNUMBER(D6281),ISNUMBER(H6281)),D6281*H6281*Inputs!$C$69,"")</f>
      </c>
      <c r="J6281" s="42">
        <f>IF(AND(ISNUMBER(F6281),ISNUMBER(H6281),F6281&gt;=Inputs!$C$68),F6281*H6281*Inputs!$C$69,"")</f>
      </c>
    </row>
    <row r="6282" spans="2:10" ht="15" customHeight="1" x14ac:dyDescent="0.2">
      <c r="B6282" s="39">
        <f t="shared" si="48"/>
      </c>
      <c r="C6282" s="40">
        <f>IF(Inputs!$C$60,Inputs!$C$11+(B6282-Inputs!$C$69)/Inputs!$C$70,"")</f>
      </c>
      <c r="D6282" s="15"/>
      <c r="E6282" s="15"/>
      <c r="F6282" s="11">
        <f t="shared" si="49"/>
      </c>
      <c r="G6282" s="22" cm="1">
        <f t="array" ref="G6282">IF(AND(Inputs!$C$60,Inputs!$C$61),INDEX(Utility_Rates!$C$29:$F$52,HOUR(C6282)+Inputs!$C$69,MATCH(INDEX(Utility_Rates!$K$6:$K$17,MONTH(C6282))&amp;IF(WEEKDAY(C6282,Inputs!$C$76)&lt;=Inputs!$C$74," weekday"," weekend"),Utility_Rates!$C$28:$F$28,Inputs!$C$68)),"")</f>
      </c>
      <c r="H6282" s="34"/>
      <c r="I6282" s="42">
        <f>IF(AND(ISNUMBER(D6282),ISNUMBER(H6282)),D6282*H6282*Inputs!$C$69,"")</f>
      </c>
      <c r="J6282" s="42">
        <f>IF(AND(ISNUMBER(F6282),ISNUMBER(H6282),F6282&gt;=Inputs!$C$68),F6282*H6282*Inputs!$C$69,"")</f>
      </c>
    </row>
    <row r="6283" spans="2:10" ht="15" customHeight="1" x14ac:dyDescent="0.2">
      <c r="B6283" s="39">
        <f t="shared" si="48"/>
      </c>
      <c r="C6283" s="40">
        <f>IF(Inputs!$C$60,Inputs!$C$11+(B6283-Inputs!$C$69)/Inputs!$C$70,"")</f>
      </c>
      <c r="D6283" s="15"/>
      <c r="E6283" s="15"/>
      <c r="F6283" s="11">
        <f t="shared" si="49"/>
      </c>
      <c r="G6283" s="22" cm="1">
        <f t="array" ref="G6283">IF(AND(Inputs!$C$60,Inputs!$C$61),INDEX(Utility_Rates!$C$29:$F$52,HOUR(C6283)+Inputs!$C$69,MATCH(INDEX(Utility_Rates!$K$6:$K$17,MONTH(C6283))&amp;IF(WEEKDAY(C6283,Inputs!$C$76)&lt;=Inputs!$C$74," weekday"," weekend"),Utility_Rates!$C$28:$F$28,Inputs!$C$68)),"")</f>
      </c>
      <c r="H6283" s="34"/>
      <c r="I6283" s="42">
        <f>IF(AND(ISNUMBER(D6283),ISNUMBER(H6283)),D6283*H6283*Inputs!$C$69,"")</f>
      </c>
      <c r="J6283" s="42">
        <f>IF(AND(ISNUMBER(F6283),ISNUMBER(H6283),F6283&gt;=Inputs!$C$68),F6283*H6283*Inputs!$C$69,"")</f>
      </c>
    </row>
    <row r="6284" spans="2:10" ht="15" customHeight="1" x14ac:dyDescent="0.2">
      <c r="B6284" s="39">
        <f t="shared" si="48"/>
      </c>
      <c r="C6284" s="40">
        <f>IF(Inputs!$C$60,Inputs!$C$11+(B6284-Inputs!$C$69)/Inputs!$C$70,"")</f>
      </c>
      <c r="D6284" s="15"/>
      <c r="E6284" s="15"/>
      <c r="F6284" s="11">
        <f t="shared" si="49"/>
      </c>
      <c r="G6284" s="22" cm="1">
        <f t="array" ref="G6284">IF(AND(Inputs!$C$60,Inputs!$C$61),INDEX(Utility_Rates!$C$29:$F$52,HOUR(C6284)+Inputs!$C$69,MATCH(INDEX(Utility_Rates!$K$6:$K$17,MONTH(C6284))&amp;IF(WEEKDAY(C6284,Inputs!$C$76)&lt;=Inputs!$C$74," weekday"," weekend"),Utility_Rates!$C$28:$F$28,Inputs!$C$68)),"")</f>
      </c>
      <c r="H6284" s="34"/>
      <c r="I6284" s="42">
        <f>IF(AND(ISNUMBER(D6284),ISNUMBER(H6284)),D6284*H6284*Inputs!$C$69,"")</f>
      </c>
      <c r="J6284" s="42">
        <f>IF(AND(ISNUMBER(F6284),ISNUMBER(H6284),F6284&gt;=Inputs!$C$68),F6284*H6284*Inputs!$C$69,"")</f>
      </c>
    </row>
    <row r="6285" spans="2:10" ht="15" customHeight="1" x14ac:dyDescent="0.2">
      <c r="B6285" s="39">
        <f t="shared" si="48"/>
      </c>
      <c r="C6285" s="40">
        <f>IF(Inputs!$C$60,Inputs!$C$11+(B6285-Inputs!$C$69)/Inputs!$C$70,"")</f>
      </c>
      <c r="D6285" s="15"/>
      <c r="E6285" s="15"/>
      <c r="F6285" s="11">
        <f t="shared" si="49"/>
      </c>
      <c r="G6285" s="22" cm="1">
        <f t="array" ref="G6285">IF(AND(Inputs!$C$60,Inputs!$C$61),INDEX(Utility_Rates!$C$29:$F$52,HOUR(C6285)+Inputs!$C$69,MATCH(INDEX(Utility_Rates!$K$6:$K$17,MONTH(C6285))&amp;IF(WEEKDAY(C6285,Inputs!$C$76)&lt;=Inputs!$C$74," weekday"," weekend"),Utility_Rates!$C$28:$F$28,Inputs!$C$68)),"")</f>
      </c>
      <c r="H6285" s="34"/>
      <c r="I6285" s="42">
        <f>IF(AND(ISNUMBER(D6285),ISNUMBER(H6285)),D6285*H6285*Inputs!$C$69,"")</f>
      </c>
      <c r="J6285" s="42">
        <f>IF(AND(ISNUMBER(F6285),ISNUMBER(H6285),F6285&gt;=Inputs!$C$68),F6285*H6285*Inputs!$C$69,"")</f>
      </c>
    </row>
    <row r="6286" spans="2:10" ht="15" customHeight="1" x14ac:dyDescent="0.2">
      <c r="B6286" s="39">
        <f t="shared" si="48"/>
      </c>
      <c r="C6286" s="40">
        <f>IF(Inputs!$C$60,Inputs!$C$11+(B6286-Inputs!$C$69)/Inputs!$C$70,"")</f>
      </c>
      <c r="D6286" s="15"/>
      <c r="E6286" s="15"/>
      <c r="F6286" s="11">
        <f t="shared" si="49"/>
      </c>
      <c r="G6286" s="22" cm="1">
        <f t="array" ref="G6286">IF(AND(Inputs!$C$60,Inputs!$C$61),INDEX(Utility_Rates!$C$29:$F$52,HOUR(C6286)+Inputs!$C$69,MATCH(INDEX(Utility_Rates!$K$6:$K$17,MONTH(C6286))&amp;IF(WEEKDAY(C6286,Inputs!$C$76)&lt;=Inputs!$C$74," weekday"," weekend"),Utility_Rates!$C$28:$F$28,Inputs!$C$68)),"")</f>
      </c>
      <c r="H6286" s="34"/>
      <c r="I6286" s="42">
        <f>IF(AND(ISNUMBER(D6286),ISNUMBER(H6286)),D6286*H6286*Inputs!$C$69,"")</f>
      </c>
      <c r="J6286" s="42">
        <f>IF(AND(ISNUMBER(F6286),ISNUMBER(H6286),F6286&gt;=Inputs!$C$68),F6286*H6286*Inputs!$C$69,"")</f>
      </c>
    </row>
    <row r="6287" spans="2:10" ht="15" customHeight="1" x14ac:dyDescent="0.2">
      <c r="B6287" s="39">
        <f t="shared" si="48"/>
      </c>
      <c r="C6287" s="40">
        <f>IF(Inputs!$C$60,Inputs!$C$11+(B6287-Inputs!$C$69)/Inputs!$C$70,"")</f>
      </c>
      <c r="D6287" s="15"/>
      <c r="E6287" s="15"/>
      <c r="F6287" s="11">
        <f t="shared" si="49"/>
      </c>
      <c r="G6287" s="22" cm="1">
        <f t="array" ref="G6287">IF(AND(Inputs!$C$60,Inputs!$C$61),INDEX(Utility_Rates!$C$29:$F$52,HOUR(C6287)+Inputs!$C$69,MATCH(INDEX(Utility_Rates!$K$6:$K$17,MONTH(C6287))&amp;IF(WEEKDAY(C6287,Inputs!$C$76)&lt;=Inputs!$C$74," weekday"," weekend"),Utility_Rates!$C$28:$F$28,Inputs!$C$68)),"")</f>
      </c>
      <c r="H6287" s="34"/>
      <c r="I6287" s="42">
        <f>IF(AND(ISNUMBER(D6287),ISNUMBER(H6287)),D6287*H6287*Inputs!$C$69,"")</f>
      </c>
      <c r="J6287" s="42">
        <f>IF(AND(ISNUMBER(F6287),ISNUMBER(H6287),F6287&gt;=Inputs!$C$68),F6287*H6287*Inputs!$C$69,"")</f>
      </c>
    </row>
    <row r="6288" spans="2:10" ht="15" customHeight="1" x14ac:dyDescent="0.2">
      <c r="B6288" s="39">
        <f t="shared" si="48"/>
      </c>
      <c r="C6288" s="40">
        <f>IF(Inputs!$C$60,Inputs!$C$11+(B6288-Inputs!$C$69)/Inputs!$C$70,"")</f>
      </c>
      <c r="D6288" s="15"/>
      <c r="E6288" s="15"/>
      <c r="F6288" s="11">
        <f t="shared" si="49"/>
      </c>
      <c r="G6288" s="22" cm="1">
        <f t="array" ref="G6288">IF(AND(Inputs!$C$60,Inputs!$C$61),INDEX(Utility_Rates!$C$29:$F$52,HOUR(C6288)+Inputs!$C$69,MATCH(INDEX(Utility_Rates!$K$6:$K$17,MONTH(C6288))&amp;IF(WEEKDAY(C6288,Inputs!$C$76)&lt;=Inputs!$C$74," weekday"," weekend"),Utility_Rates!$C$28:$F$28,Inputs!$C$68)),"")</f>
      </c>
      <c r="H6288" s="34"/>
      <c r="I6288" s="42">
        <f>IF(AND(ISNUMBER(D6288),ISNUMBER(H6288)),D6288*H6288*Inputs!$C$69,"")</f>
      </c>
      <c r="J6288" s="42">
        <f>IF(AND(ISNUMBER(F6288),ISNUMBER(H6288),F6288&gt;=Inputs!$C$68),F6288*H6288*Inputs!$C$69,"")</f>
      </c>
    </row>
    <row r="6289" spans="2:10" ht="15" customHeight="1" x14ac:dyDescent="0.2">
      <c r="B6289" s="39">
        <f t="shared" si="48"/>
      </c>
      <c r="C6289" s="40">
        <f>IF(Inputs!$C$60,Inputs!$C$11+(B6289-Inputs!$C$69)/Inputs!$C$70,"")</f>
      </c>
      <c r="D6289" s="15"/>
      <c r="E6289" s="15"/>
      <c r="F6289" s="11">
        <f t="shared" si="49"/>
      </c>
      <c r="G6289" s="22" cm="1">
        <f t="array" ref="G6289">IF(AND(Inputs!$C$60,Inputs!$C$61),INDEX(Utility_Rates!$C$29:$F$52,HOUR(C6289)+Inputs!$C$69,MATCH(INDEX(Utility_Rates!$K$6:$K$17,MONTH(C6289))&amp;IF(WEEKDAY(C6289,Inputs!$C$76)&lt;=Inputs!$C$74," weekday"," weekend"),Utility_Rates!$C$28:$F$28,Inputs!$C$68)),"")</f>
      </c>
      <c r="H6289" s="34"/>
      <c r="I6289" s="42">
        <f>IF(AND(ISNUMBER(D6289),ISNUMBER(H6289)),D6289*H6289*Inputs!$C$69,"")</f>
      </c>
      <c r="J6289" s="42">
        <f>IF(AND(ISNUMBER(F6289),ISNUMBER(H6289),F6289&gt;=Inputs!$C$68),F6289*H6289*Inputs!$C$69,"")</f>
      </c>
    </row>
    <row r="6290" spans="2:10" ht="15" customHeight="1" x14ac:dyDescent="0.2">
      <c r="B6290" s="39">
        <f t="shared" si="48"/>
      </c>
      <c r="C6290" s="40">
        <f>IF(Inputs!$C$60,Inputs!$C$11+(B6290-Inputs!$C$69)/Inputs!$C$70,"")</f>
      </c>
      <c r="D6290" s="15"/>
      <c r="E6290" s="15"/>
      <c r="F6290" s="11">
        <f t="shared" si="49"/>
      </c>
      <c r="G6290" s="22" cm="1">
        <f t="array" ref="G6290">IF(AND(Inputs!$C$60,Inputs!$C$61),INDEX(Utility_Rates!$C$29:$F$52,HOUR(C6290)+Inputs!$C$69,MATCH(INDEX(Utility_Rates!$K$6:$K$17,MONTH(C6290))&amp;IF(WEEKDAY(C6290,Inputs!$C$76)&lt;=Inputs!$C$74," weekday"," weekend"),Utility_Rates!$C$28:$F$28,Inputs!$C$68)),"")</f>
      </c>
      <c r="H6290" s="34"/>
      <c r="I6290" s="42">
        <f>IF(AND(ISNUMBER(D6290),ISNUMBER(H6290)),D6290*H6290*Inputs!$C$69,"")</f>
      </c>
      <c r="J6290" s="42">
        <f>IF(AND(ISNUMBER(F6290),ISNUMBER(H6290),F6290&gt;=Inputs!$C$68),F6290*H6290*Inputs!$C$69,"")</f>
      </c>
    </row>
    <row r="6291" spans="2:10" ht="15" customHeight="1" x14ac:dyDescent="0.2">
      <c r="B6291" s="39">
        <f t="shared" si="48"/>
      </c>
      <c r="C6291" s="40">
        <f>IF(Inputs!$C$60,Inputs!$C$11+(B6291-Inputs!$C$69)/Inputs!$C$70,"")</f>
      </c>
      <c r="D6291" s="15"/>
      <c r="E6291" s="15"/>
      <c r="F6291" s="11">
        <f t="shared" si="49"/>
      </c>
      <c r="G6291" s="22" cm="1">
        <f t="array" ref="G6291">IF(AND(Inputs!$C$60,Inputs!$C$61),INDEX(Utility_Rates!$C$29:$F$52,HOUR(C6291)+Inputs!$C$69,MATCH(INDEX(Utility_Rates!$K$6:$K$17,MONTH(C6291))&amp;IF(WEEKDAY(C6291,Inputs!$C$76)&lt;=Inputs!$C$74," weekday"," weekend"),Utility_Rates!$C$28:$F$28,Inputs!$C$68)),"")</f>
      </c>
      <c r="H6291" s="34"/>
      <c r="I6291" s="42">
        <f>IF(AND(ISNUMBER(D6291),ISNUMBER(H6291)),D6291*H6291*Inputs!$C$69,"")</f>
      </c>
      <c r="J6291" s="42">
        <f>IF(AND(ISNUMBER(F6291),ISNUMBER(H6291),F6291&gt;=Inputs!$C$68),F6291*H6291*Inputs!$C$69,"")</f>
      </c>
    </row>
    <row r="6292" spans="2:10" ht="15" customHeight="1" x14ac:dyDescent="0.2">
      <c r="B6292" s="39">
        <f t="shared" si="48"/>
      </c>
      <c r="C6292" s="40">
        <f>IF(Inputs!$C$60,Inputs!$C$11+(B6292-Inputs!$C$69)/Inputs!$C$70,"")</f>
      </c>
      <c r="D6292" s="15"/>
      <c r="E6292" s="15"/>
      <c r="F6292" s="11">
        <f t="shared" si="49"/>
      </c>
      <c r="G6292" s="22" cm="1">
        <f t="array" ref="G6292">IF(AND(Inputs!$C$60,Inputs!$C$61),INDEX(Utility_Rates!$C$29:$F$52,HOUR(C6292)+Inputs!$C$69,MATCH(INDEX(Utility_Rates!$K$6:$K$17,MONTH(C6292))&amp;IF(WEEKDAY(C6292,Inputs!$C$76)&lt;=Inputs!$C$74," weekday"," weekend"),Utility_Rates!$C$28:$F$28,Inputs!$C$68)),"")</f>
      </c>
      <c r="H6292" s="34"/>
      <c r="I6292" s="42">
        <f>IF(AND(ISNUMBER(D6292),ISNUMBER(H6292)),D6292*H6292*Inputs!$C$69,"")</f>
      </c>
      <c r="J6292" s="42">
        <f>IF(AND(ISNUMBER(F6292),ISNUMBER(H6292),F6292&gt;=Inputs!$C$68),F6292*H6292*Inputs!$C$69,"")</f>
      </c>
    </row>
    <row r="6293" spans="2:10" ht="15" customHeight="1" x14ac:dyDescent="0.2">
      <c r="B6293" s="39">
        <f t="shared" si="48"/>
      </c>
      <c r="C6293" s="40">
        <f>IF(Inputs!$C$60,Inputs!$C$11+(B6293-Inputs!$C$69)/Inputs!$C$70,"")</f>
      </c>
      <c r="D6293" s="15"/>
      <c r="E6293" s="15"/>
      <c r="F6293" s="11">
        <f t="shared" si="49"/>
      </c>
      <c r="G6293" s="22" cm="1">
        <f t="array" ref="G6293">IF(AND(Inputs!$C$60,Inputs!$C$61),INDEX(Utility_Rates!$C$29:$F$52,HOUR(C6293)+Inputs!$C$69,MATCH(INDEX(Utility_Rates!$K$6:$K$17,MONTH(C6293))&amp;IF(WEEKDAY(C6293,Inputs!$C$76)&lt;=Inputs!$C$74," weekday"," weekend"),Utility_Rates!$C$28:$F$28,Inputs!$C$68)),"")</f>
      </c>
      <c r="H6293" s="34"/>
      <c r="I6293" s="42">
        <f>IF(AND(ISNUMBER(D6293),ISNUMBER(H6293)),D6293*H6293*Inputs!$C$69,"")</f>
      </c>
      <c r="J6293" s="42">
        <f>IF(AND(ISNUMBER(F6293),ISNUMBER(H6293),F6293&gt;=Inputs!$C$68),F6293*H6293*Inputs!$C$69,"")</f>
      </c>
    </row>
    <row r="6294" spans="2:10" ht="15" customHeight="1" x14ac:dyDescent="0.2">
      <c r="B6294" s="39">
        <f t="shared" si="48"/>
      </c>
      <c r="C6294" s="40">
        <f>IF(Inputs!$C$60,Inputs!$C$11+(B6294-Inputs!$C$69)/Inputs!$C$70,"")</f>
      </c>
      <c r="D6294" s="15"/>
      <c r="E6294" s="15"/>
      <c r="F6294" s="11">
        <f t="shared" si="49"/>
      </c>
      <c r="G6294" s="22" cm="1">
        <f t="array" ref="G6294">IF(AND(Inputs!$C$60,Inputs!$C$61),INDEX(Utility_Rates!$C$29:$F$52,HOUR(C6294)+Inputs!$C$69,MATCH(INDEX(Utility_Rates!$K$6:$K$17,MONTH(C6294))&amp;IF(WEEKDAY(C6294,Inputs!$C$76)&lt;=Inputs!$C$74," weekday"," weekend"),Utility_Rates!$C$28:$F$28,Inputs!$C$68)),"")</f>
      </c>
      <c r="H6294" s="34"/>
      <c r="I6294" s="42">
        <f>IF(AND(ISNUMBER(D6294),ISNUMBER(H6294)),D6294*H6294*Inputs!$C$69,"")</f>
      </c>
      <c r="J6294" s="42">
        <f>IF(AND(ISNUMBER(F6294),ISNUMBER(H6294),F6294&gt;=Inputs!$C$68),F6294*H6294*Inputs!$C$69,"")</f>
      </c>
    </row>
    <row r="6295" spans="2:10" ht="15" customHeight="1" x14ac:dyDescent="0.2">
      <c r="B6295" s="39">
        <f t="shared" si="48"/>
      </c>
      <c r="C6295" s="40">
        <f>IF(Inputs!$C$60,Inputs!$C$11+(B6295-Inputs!$C$69)/Inputs!$C$70,"")</f>
      </c>
      <c r="D6295" s="15"/>
      <c r="E6295" s="15"/>
      <c r="F6295" s="11">
        <f t="shared" si="49"/>
      </c>
      <c r="G6295" s="22" cm="1">
        <f t="array" ref="G6295">IF(AND(Inputs!$C$60,Inputs!$C$61),INDEX(Utility_Rates!$C$29:$F$52,HOUR(C6295)+Inputs!$C$69,MATCH(INDEX(Utility_Rates!$K$6:$K$17,MONTH(C6295))&amp;IF(WEEKDAY(C6295,Inputs!$C$76)&lt;=Inputs!$C$74," weekday"," weekend"),Utility_Rates!$C$28:$F$28,Inputs!$C$68)),"")</f>
      </c>
      <c r="H6295" s="34"/>
      <c r="I6295" s="42">
        <f>IF(AND(ISNUMBER(D6295),ISNUMBER(H6295)),D6295*H6295*Inputs!$C$69,"")</f>
      </c>
      <c r="J6295" s="42">
        <f>IF(AND(ISNUMBER(F6295),ISNUMBER(H6295),F6295&gt;=Inputs!$C$68),F6295*H6295*Inputs!$C$69,"")</f>
      </c>
    </row>
    <row r="6296" spans="2:10" ht="15" customHeight="1" x14ac:dyDescent="0.2">
      <c r="B6296" s="39">
        <f t="shared" si="48"/>
      </c>
      <c r="C6296" s="40">
        <f>IF(Inputs!$C$60,Inputs!$C$11+(B6296-Inputs!$C$69)/Inputs!$C$70,"")</f>
      </c>
      <c r="D6296" s="15"/>
      <c r="E6296" s="15"/>
      <c r="F6296" s="11">
        <f t="shared" si="49"/>
      </c>
      <c r="G6296" s="22" cm="1">
        <f t="array" ref="G6296">IF(AND(Inputs!$C$60,Inputs!$C$61),INDEX(Utility_Rates!$C$29:$F$52,HOUR(C6296)+Inputs!$C$69,MATCH(INDEX(Utility_Rates!$K$6:$K$17,MONTH(C6296))&amp;IF(WEEKDAY(C6296,Inputs!$C$76)&lt;=Inputs!$C$74," weekday"," weekend"),Utility_Rates!$C$28:$F$28,Inputs!$C$68)),"")</f>
      </c>
      <c r="H6296" s="34"/>
      <c r="I6296" s="42">
        <f>IF(AND(ISNUMBER(D6296),ISNUMBER(H6296)),D6296*H6296*Inputs!$C$69,"")</f>
      </c>
      <c r="J6296" s="42">
        <f>IF(AND(ISNUMBER(F6296),ISNUMBER(H6296),F6296&gt;=Inputs!$C$68),F6296*H6296*Inputs!$C$69,"")</f>
      </c>
    </row>
    <row r="6297" spans="2:10" ht="15" customHeight="1" x14ac:dyDescent="0.2">
      <c r="B6297" s="39">
        <f t="shared" si="48"/>
      </c>
      <c r="C6297" s="40">
        <f>IF(Inputs!$C$60,Inputs!$C$11+(B6297-Inputs!$C$69)/Inputs!$C$70,"")</f>
      </c>
      <c r="D6297" s="15"/>
      <c r="E6297" s="15"/>
      <c r="F6297" s="11">
        <f t="shared" si="49"/>
      </c>
      <c r="G6297" s="22" cm="1">
        <f t="array" ref="G6297">IF(AND(Inputs!$C$60,Inputs!$C$61),INDEX(Utility_Rates!$C$29:$F$52,HOUR(C6297)+Inputs!$C$69,MATCH(INDEX(Utility_Rates!$K$6:$K$17,MONTH(C6297))&amp;IF(WEEKDAY(C6297,Inputs!$C$76)&lt;=Inputs!$C$74," weekday"," weekend"),Utility_Rates!$C$28:$F$28,Inputs!$C$68)),"")</f>
      </c>
      <c r="H6297" s="34"/>
      <c r="I6297" s="42">
        <f>IF(AND(ISNUMBER(D6297),ISNUMBER(H6297)),D6297*H6297*Inputs!$C$69,"")</f>
      </c>
      <c r="J6297" s="42">
        <f>IF(AND(ISNUMBER(F6297),ISNUMBER(H6297),F6297&gt;=Inputs!$C$68),F6297*H6297*Inputs!$C$69,"")</f>
      </c>
    </row>
    <row r="6298" spans="2:10" ht="15" customHeight="1" x14ac:dyDescent="0.2">
      <c r="B6298" s="39">
        <f t="shared" si="48"/>
      </c>
      <c r="C6298" s="40">
        <f>IF(Inputs!$C$60,Inputs!$C$11+(B6298-Inputs!$C$69)/Inputs!$C$70,"")</f>
      </c>
      <c r="D6298" s="15"/>
      <c r="E6298" s="15"/>
      <c r="F6298" s="11">
        <f t="shared" si="49"/>
      </c>
      <c r="G6298" s="22" cm="1">
        <f t="array" ref="G6298">IF(AND(Inputs!$C$60,Inputs!$C$61),INDEX(Utility_Rates!$C$29:$F$52,HOUR(C6298)+Inputs!$C$69,MATCH(INDEX(Utility_Rates!$K$6:$K$17,MONTH(C6298))&amp;IF(WEEKDAY(C6298,Inputs!$C$76)&lt;=Inputs!$C$74," weekday"," weekend"),Utility_Rates!$C$28:$F$28,Inputs!$C$68)),"")</f>
      </c>
      <c r="H6298" s="34"/>
      <c r="I6298" s="42">
        <f>IF(AND(ISNUMBER(D6298),ISNUMBER(H6298)),D6298*H6298*Inputs!$C$69,"")</f>
      </c>
      <c r="J6298" s="42">
        <f>IF(AND(ISNUMBER(F6298),ISNUMBER(H6298),F6298&gt;=Inputs!$C$68),F6298*H6298*Inputs!$C$69,"")</f>
      </c>
    </row>
    <row r="6299" spans="2:10" ht="15" customHeight="1" x14ac:dyDescent="0.2">
      <c r="B6299" s="39">
        <f t="shared" si="48"/>
      </c>
      <c r="C6299" s="40">
        <f>IF(Inputs!$C$60,Inputs!$C$11+(B6299-Inputs!$C$69)/Inputs!$C$70,"")</f>
      </c>
      <c r="D6299" s="15"/>
      <c r="E6299" s="15"/>
      <c r="F6299" s="11">
        <f t="shared" si="49"/>
      </c>
      <c r="G6299" s="22" cm="1">
        <f t="array" ref="G6299">IF(AND(Inputs!$C$60,Inputs!$C$61),INDEX(Utility_Rates!$C$29:$F$52,HOUR(C6299)+Inputs!$C$69,MATCH(INDEX(Utility_Rates!$K$6:$K$17,MONTH(C6299))&amp;IF(WEEKDAY(C6299,Inputs!$C$76)&lt;=Inputs!$C$74," weekday"," weekend"),Utility_Rates!$C$28:$F$28,Inputs!$C$68)),"")</f>
      </c>
      <c r="H6299" s="34"/>
      <c r="I6299" s="42">
        <f>IF(AND(ISNUMBER(D6299),ISNUMBER(H6299)),D6299*H6299*Inputs!$C$69,"")</f>
      </c>
      <c r="J6299" s="42">
        <f>IF(AND(ISNUMBER(F6299),ISNUMBER(H6299),F6299&gt;=Inputs!$C$68),F6299*H6299*Inputs!$C$69,"")</f>
      </c>
    </row>
    <row r="6300" spans="2:10" ht="15" customHeight="1" x14ac:dyDescent="0.2">
      <c r="B6300" s="39">
        <f t="shared" si="48"/>
      </c>
      <c r="C6300" s="40">
        <f>IF(Inputs!$C$60,Inputs!$C$11+(B6300-Inputs!$C$69)/Inputs!$C$70,"")</f>
      </c>
      <c r="D6300" s="15"/>
      <c r="E6300" s="15"/>
      <c r="F6300" s="11">
        <f t="shared" si="49"/>
      </c>
      <c r="G6300" s="22" cm="1">
        <f t="array" ref="G6300">IF(AND(Inputs!$C$60,Inputs!$C$61),INDEX(Utility_Rates!$C$29:$F$52,HOUR(C6300)+Inputs!$C$69,MATCH(INDEX(Utility_Rates!$K$6:$K$17,MONTH(C6300))&amp;IF(WEEKDAY(C6300,Inputs!$C$76)&lt;=Inputs!$C$74," weekday"," weekend"),Utility_Rates!$C$28:$F$28,Inputs!$C$68)),"")</f>
      </c>
      <c r="H6300" s="34"/>
      <c r="I6300" s="42">
        <f>IF(AND(ISNUMBER(D6300),ISNUMBER(H6300)),D6300*H6300*Inputs!$C$69,"")</f>
      </c>
      <c r="J6300" s="42">
        <f>IF(AND(ISNUMBER(F6300),ISNUMBER(H6300),F6300&gt;=Inputs!$C$68),F6300*H6300*Inputs!$C$69,"")</f>
      </c>
    </row>
    <row r="6301" spans="2:10" ht="15" customHeight="1" x14ac:dyDescent="0.2">
      <c r="B6301" s="39">
        <f t="shared" si="48"/>
      </c>
      <c r="C6301" s="40">
        <f>IF(Inputs!$C$60,Inputs!$C$11+(B6301-Inputs!$C$69)/Inputs!$C$70,"")</f>
      </c>
      <c r="D6301" s="15"/>
      <c r="E6301" s="15"/>
      <c r="F6301" s="11">
        <f t="shared" si="49"/>
      </c>
      <c r="G6301" s="22" cm="1">
        <f t="array" ref="G6301">IF(AND(Inputs!$C$60,Inputs!$C$61),INDEX(Utility_Rates!$C$29:$F$52,HOUR(C6301)+Inputs!$C$69,MATCH(INDEX(Utility_Rates!$K$6:$K$17,MONTH(C6301))&amp;IF(WEEKDAY(C6301,Inputs!$C$76)&lt;=Inputs!$C$74," weekday"," weekend"),Utility_Rates!$C$28:$F$28,Inputs!$C$68)),"")</f>
      </c>
      <c r="H6301" s="34"/>
      <c r="I6301" s="42">
        <f>IF(AND(ISNUMBER(D6301),ISNUMBER(H6301)),D6301*H6301*Inputs!$C$69,"")</f>
      </c>
      <c r="J6301" s="42">
        <f>IF(AND(ISNUMBER(F6301),ISNUMBER(H6301),F6301&gt;=Inputs!$C$68),F6301*H6301*Inputs!$C$69,"")</f>
      </c>
    </row>
    <row r="6302" spans="2:10" ht="15" customHeight="1" x14ac:dyDescent="0.2">
      <c r="B6302" s="39">
        <f t="shared" si="48"/>
      </c>
      <c r="C6302" s="40">
        <f>IF(Inputs!$C$60,Inputs!$C$11+(B6302-Inputs!$C$69)/Inputs!$C$70,"")</f>
      </c>
      <c r="D6302" s="15"/>
      <c r="E6302" s="15"/>
      <c r="F6302" s="11">
        <f t="shared" si="49"/>
      </c>
      <c r="G6302" s="22" cm="1">
        <f t="array" ref="G6302">IF(AND(Inputs!$C$60,Inputs!$C$61),INDEX(Utility_Rates!$C$29:$F$52,HOUR(C6302)+Inputs!$C$69,MATCH(INDEX(Utility_Rates!$K$6:$K$17,MONTH(C6302))&amp;IF(WEEKDAY(C6302,Inputs!$C$76)&lt;=Inputs!$C$74," weekday"," weekend"),Utility_Rates!$C$28:$F$28,Inputs!$C$68)),"")</f>
      </c>
      <c r="H6302" s="34"/>
      <c r="I6302" s="42">
        <f>IF(AND(ISNUMBER(D6302),ISNUMBER(H6302)),D6302*H6302*Inputs!$C$69,"")</f>
      </c>
      <c r="J6302" s="42">
        <f>IF(AND(ISNUMBER(F6302),ISNUMBER(H6302),F6302&gt;=Inputs!$C$68),F6302*H6302*Inputs!$C$69,"")</f>
      </c>
    </row>
    <row r="6303" spans="2:10" ht="15" customHeight="1" x14ac:dyDescent="0.2">
      <c r="B6303" s="39">
        <f t="shared" si="48"/>
      </c>
      <c r="C6303" s="40">
        <f>IF(Inputs!$C$60,Inputs!$C$11+(B6303-Inputs!$C$69)/Inputs!$C$70,"")</f>
      </c>
      <c r="D6303" s="15"/>
      <c r="E6303" s="15"/>
      <c r="F6303" s="11">
        <f t="shared" si="49"/>
      </c>
      <c r="G6303" s="22" cm="1">
        <f t="array" ref="G6303">IF(AND(Inputs!$C$60,Inputs!$C$61),INDEX(Utility_Rates!$C$29:$F$52,HOUR(C6303)+Inputs!$C$69,MATCH(INDEX(Utility_Rates!$K$6:$K$17,MONTH(C6303))&amp;IF(WEEKDAY(C6303,Inputs!$C$76)&lt;=Inputs!$C$74," weekday"," weekend"),Utility_Rates!$C$28:$F$28,Inputs!$C$68)),"")</f>
      </c>
      <c r="H6303" s="34"/>
      <c r="I6303" s="42">
        <f>IF(AND(ISNUMBER(D6303),ISNUMBER(H6303)),D6303*H6303*Inputs!$C$69,"")</f>
      </c>
      <c r="J6303" s="42">
        <f>IF(AND(ISNUMBER(F6303),ISNUMBER(H6303),F6303&gt;=Inputs!$C$68),F6303*H6303*Inputs!$C$69,"")</f>
      </c>
    </row>
    <row r="6304" spans="2:10" ht="15" customHeight="1" x14ac:dyDescent="0.2">
      <c r="B6304" s="39">
        <f t="shared" si="48"/>
      </c>
      <c r="C6304" s="40">
        <f>IF(Inputs!$C$60,Inputs!$C$11+(B6304-Inputs!$C$69)/Inputs!$C$70,"")</f>
      </c>
      <c r="D6304" s="15"/>
      <c r="E6304" s="15"/>
      <c r="F6304" s="11">
        <f t="shared" si="49"/>
      </c>
      <c r="G6304" s="22" cm="1">
        <f t="array" ref="G6304">IF(AND(Inputs!$C$60,Inputs!$C$61),INDEX(Utility_Rates!$C$29:$F$52,HOUR(C6304)+Inputs!$C$69,MATCH(INDEX(Utility_Rates!$K$6:$K$17,MONTH(C6304))&amp;IF(WEEKDAY(C6304,Inputs!$C$76)&lt;=Inputs!$C$74," weekday"," weekend"),Utility_Rates!$C$28:$F$28,Inputs!$C$68)),"")</f>
      </c>
      <c r="H6304" s="34"/>
      <c r="I6304" s="42">
        <f>IF(AND(ISNUMBER(D6304),ISNUMBER(H6304)),D6304*H6304*Inputs!$C$69,"")</f>
      </c>
      <c r="J6304" s="42">
        <f>IF(AND(ISNUMBER(F6304),ISNUMBER(H6304),F6304&gt;=Inputs!$C$68),F6304*H6304*Inputs!$C$69,"")</f>
      </c>
    </row>
    <row r="6305" spans="2:10" ht="15" customHeight="1" x14ac:dyDescent="0.2">
      <c r="B6305" s="39">
        <f t="shared" si="48"/>
      </c>
      <c r="C6305" s="40">
        <f>IF(Inputs!$C$60,Inputs!$C$11+(B6305-Inputs!$C$69)/Inputs!$C$70,"")</f>
      </c>
      <c r="D6305" s="15"/>
      <c r="E6305" s="15"/>
      <c r="F6305" s="11">
        <f t="shared" si="49"/>
      </c>
      <c r="G6305" s="22" cm="1">
        <f t="array" ref="G6305">IF(AND(Inputs!$C$60,Inputs!$C$61),INDEX(Utility_Rates!$C$29:$F$52,HOUR(C6305)+Inputs!$C$69,MATCH(INDEX(Utility_Rates!$K$6:$K$17,MONTH(C6305))&amp;IF(WEEKDAY(C6305,Inputs!$C$76)&lt;=Inputs!$C$74," weekday"," weekend"),Utility_Rates!$C$28:$F$28,Inputs!$C$68)),"")</f>
      </c>
      <c r="H6305" s="34"/>
      <c r="I6305" s="42">
        <f>IF(AND(ISNUMBER(D6305),ISNUMBER(H6305)),D6305*H6305*Inputs!$C$69,"")</f>
      </c>
      <c r="J6305" s="42">
        <f>IF(AND(ISNUMBER(F6305),ISNUMBER(H6305),F6305&gt;=Inputs!$C$68),F6305*H6305*Inputs!$C$69,"")</f>
      </c>
    </row>
    <row r="6306" spans="2:10" ht="15" customHeight="1" x14ac:dyDescent="0.2">
      <c r="B6306" s="39">
        <f t="shared" si="48"/>
      </c>
      <c r="C6306" s="40">
        <f>IF(Inputs!$C$60,Inputs!$C$11+(B6306-Inputs!$C$69)/Inputs!$C$70,"")</f>
      </c>
      <c r="D6306" s="15"/>
      <c r="E6306" s="15"/>
      <c r="F6306" s="11">
        <f t="shared" si="49"/>
      </c>
      <c r="G6306" s="22" cm="1">
        <f t="array" ref="G6306">IF(AND(Inputs!$C$60,Inputs!$C$61),INDEX(Utility_Rates!$C$29:$F$52,HOUR(C6306)+Inputs!$C$69,MATCH(INDEX(Utility_Rates!$K$6:$K$17,MONTH(C6306))&amp;IF(WEEKDAY(C6306,Inputs!$C$76)&lt;=Inputs!$C$74," weekday"," weekend"),Utility_Rates!$C$28:$F$28,Inputs!$C$68)),"")</f>
      </c>
      <c r="H6306" s="34"/>
      <c r="I6306" s="42">
        <f>IF(AND(ISNUMBER(D6306),ISNUMBER(H6306)),D6306*H6306*Inputs!$C$69,"")</f>
      </c>
      <c r="J6306" s="42">
        <f>IF(AND(ISNUMBER(F6306),ISNUMBER(H6306),F6306&gt;=Inputs!$C$68),F6306*H6306*Inputs!$C$69,"")</f>
      </c>
    </row>
    <row r="6307" spans="2:10" ht="15" customHeight="1" x14ac:dyDescent="0.2">
      <c r="B6307" s="39">
        <f t="shared" si="48"/>
      </c>
      <c r="C6307" s="40">
        <f>IF(Inputs!$C$60,Inputs!$C$11+(B6307-Inputs!$C$69)/Inputs!$C$70,"")</f>
      </c>
      <c r="D6307" s="15"/>
      <c r="E6307" s="15"/>
      <c r="F6307" s="11">
        <f t="shared" si="49"/>
      </c>
      <c r="G6307" s="22" cm="1">
        <f t="array" ref="G6307">IF(AND(Inputs!$C$60,Inputs!$C$61),INDEX(Utility_Rates!$C$29:$F$52,HOUR(C6307)+Inputs!$C$69,MATCH(INDEX(Utility_Rates!$K$6:$K$17,MONTH(C6307))&amp;IF(WEEKDAY(C6307,Inputs!$C$76)&lt;=Inputs!$C$74," weekday"," weekend"),Utility_Rates!$C$28:$F$28,Inputs!$C$68)),"")</f>
      </c>
      <c r="H6307" s="34"/>
      <c r="I6307" s="42">
        <f>IF(AND(ISNUMBER(D6307),ISNUMBER(H6307)),D6307*H6307*Inputs!$C$69,"")</f>
      </c>
      <c r="J6307" s="42">
        <f>IF(AND(ISNUMBER(F6307),ISNUMBER(H6307),F6307&gt;=Inputs!$C$68),F6307*H6307*Inputs!$C$69,"")</f>
      </c>
    </row>
    <row r="6308" spans="2:10" ht="15" customHeight="1" x14ac:dyDescent="0.2">
      <c r="B6308" s="39">
        <f t="shared" si="48"/>
      </c>
      <c r="C6308" s="40">
        <f>IF(Inputs!$C$60,Inputs!$C$11+(B6308-Inputs!$C$69)/Inputs!$C$70,"")</f>
      </c>
      <c r="D6308" s="15"/>
      <c r="E6308" s="15"/>
      <c r="F6308" s="11">
        <f t="shared" si="49"/>
      </c>
      <c r="G6308" s="22" cm="1">
        <f t="array" ref="G6308">IF(AND(Inputs!$C$60,Inputs!$C$61),INDEX(Utility_Rates!$C$29:$F$52,HOUR(C6308)+Inputs!$C$69,MATCH(INDEX(Utility_Rates!$K$6:$K$17,MONTH(C6308))&amp;IF(WEEKDAY(C6308,Inputs!$C$76)&lt;=Inputs!$C$74," weekday"," weekend"),Utility_Rates!$C$28:$F$28,Inputs!$C$68)),"")</f>
      </c>
      <c r="H6308" s="34"/>
      <c r="I6308" s="42">
        <f>IF(AND(ISNUMBER(D6308),ISNUMBER(H6308)),D6308*H6308*Inputs!$C$69,"")</f>
      </c>
      <c r="J6308" s="42">
        <f>IF(AND(ISNUMBER(F6308),ISNUMBER(H6308),F6308&gt;=Inputs!$C$68),F6308*H6308*Inputs!$C$69,"")</f>
      </c>
    </row>
    <row r="6309" spans="2:10" ht="15" customHeight="1" x14ac:dyDescent="0.2">
      <c r="B6309" s="39">
        <f t="shared" si="48"/>
      </c>
      <c r="C6309" s="40">
        <f>IF(Inputs!$C$60,Inputs!$C$11+(B6309-Inputs!$C$69)/Inputs!$C$70,"")</f>
      </c>
      <c r="D6309" s="15"/>
      <c r="E6309" s="15"/>
      <c r="F6309" s="11">
        <f t="shared" si="49"/>
      </c>
      <c r="G6309" s="22" cm="1">
        <f t="array" ref="G6309">IF(AND(Inputs!$C$60,Inputs!$C$61),INDEX(Utility_Rates!$C$29:$F$52,HOUR(C6309)+Inputs!$C$69,MATCH(INDEX(Utility_Rates!$K$6:$K$17,MONTH(C6309))&amp;IF(WEEKDAY(C6309,Inputs!$C$76)&lt;=Inputs!$C$74," weekday"," weekend"),Utility_Rates!$C$28:$F$28,Inputs!$C$68)),"")</f>
      </c>
      <c r="H6309" s="34"/>
      <c r="I6309" s="42">
        <f>IF(AND(ISNUMBER(D6309),ISNUMBER(H6309)),D6309*H6309*Inputs!$C$69,"")</f>
      </c>
      <c r="J6309" s="42">
        <f>IF(AND(ISNUMBER(F6309),ISNUMBER(H6309),F6309&gt;=Inputs!$C$68),F6309*H6309*Inputs!$C$69,"")</f>
      </c>
    </row>
    <row r="6310" spans="2:10" ht="15" customHeight="1" x14ac:dyDescent="0.2">
      <c r="B6310" s="39">
        <f t="shared" si="48"/>
      </c>
      <c r="C6310" s="40">
        <f>IF(Inputs!$C$60,Inputs!$C$11+(B6310-Inputs!$C$69)/Inputs!$C$70,"")</f>
      </c>
      <c r="D6310" s="15"/>
      <c r="E6310" s="15"/>
      <c r="F6310" s="11">
        <f t="shared" si="49"/>
      </c>
      <c r="G6310" s="22" cm="1">
        <f t="array" ref="G6310">IF(AND(Inputs!$C$60,Inputs!$C$61),INDEX(Utility_Rates!$C$29:$F$52,HOUR(C6310)+Inputs!$C$69,MATCH(INDEX(Utility_Rates!$K$6:$K$17,MONTH(C6310))&amp;IF(WEEKDAY(C6310,Inputs!$C$76)&lt;=Inputs!$C$74," weekday"," weekend"),Utility_Rates!$C$28:$F$28,Inputs!$C$68)),"")</f>
      </c>
      <c r="H6310" s="34"/>
      <c r="I6310" s="42">
        <f>IF(AND(ISNUMBER(D6310),ISNUMBER(H6310)),D6310*H6310*Inputs!$C$69,"")</f>
      </c>
      <c r="J6310" s="42">
        <f>IF(AND(ISNUMBER(F6310),ISNUMBER(H6310),F6310&gt;=Inputs!$C$68),F6310*H6310*Inputs!$C$69,"")</f>
      </c>
    </row>
    <row r="6311" spans="2:10" ht="15" customHeight="1" x14ac:dyDescent="0.2">
      <c r="B6311" s="39">
        <f t="shared" si="48"/>
      </c>
      <c r="C6311" s="40">
        <f>IF(Inputs!$C$60,Inputs!$C$11+(B6311-Inputs!$C$69)/Inputs!$C$70,"")</f>
      </c>
      <c r="D6311" s="15"/>
      <c r="E6311" s="15"/>
      <c r="F6311" s="11">
        <f t="shared" si="49"/>
      </c>
      <c r="G6311" s="22" cm="1">
        <f t="array" ref="G6311">IF(AND(Inputs!$C$60,Inputs!$C$61),INDEX(Utility_Rates!$C$29:$F$52,HOUR(C6311)+Inputs!$C$69,MATCH(INDEX(Utility_Rates!$K$6:$K$17,MONTH(C6311))&amp;IF(WEEKDAY(C6311,Inputs!$C$76)&lt;=Inputs!$C$74," weekday"," weekend"),Utility_Rates!$C$28:$F$28,Inputs!$C$68)),"")</f>
      </c>
      <c r="H6311" s="34"/>
      <c r="I6311" s="42">
        <f>IF(AND(ISNUMBER(D6311),ISNUMBER(H6311)),D6311*H6311*Inputs!$C$69,"")</f>
      </c>
      <c r="J6311" s="42">
        <f>IF(AND(ISNUMBER(F6311),ISNUMBER(H6311),F6311&gt;=Inputs!$C$68),F6311*H6311*Inputs!$C$69,"")</f>
      </c>
    </row>
    <row r="6312" spans="2:10" ht="15" customHeight="1" x14ac:dyDescent="0.2">
      <c r="B6312" s="39">
        <f t="shared" si="48"/>
      </c>
      <c r="C6312" s="40">
        <f>IF(Inputs!$C$60,Inputs!$C$11+(B6312-Inputs!$C$69)/Inputs!$C$70,"")</f>
      </c>
      <c r="D6312" s="15"/>
      <c r="E6312" s="15"/>
      <c r="F6312" s="11">
        <f t="shared" si="49"/>
      </c>
      <c r="G6312" s="22" cm="1">
        <f t="array" ref="G6312">IF(AND(Inputs!$C$60,Inputs!$C$61),INDEX(Utility_Rates!$C$29:$F$52,HOUR(C6312)+Inputs!$C$69,MATCH(INDEX(Utility_Rates!$K$6:$K$17,MONTH(C6312))&amp;IF(WEEKDAY(C6312,Inputs!$C$76)&lt;=Inputs!$C$74," weekday"," weekend"),Utility_Rates!$C$28:$F$28,Inputs!$C$68)),"")</f>
      </c>
      <c r="H6312" s="34"/>
      <c r="I6312" s="42">
        <f>IF(AND(ISNUMBER(D6312),ISNUMBER(H6312)),D6312*H6312*Inputs!$C$69,"")</f>
      </c>
      <c r="J6312" s="42">
        <f>IF(AND(ISNUMBER(F6312),ISNUMBER(H6312),F6312&gt;=Inputs!$C$68),F6312*H6312*Inputs!$C$69,"")</f>
      </c>
    </row>
    <row r="6313" spans="2:10" ht="15" customHeight="1" x14ac:dyDescent="0.2">
      <c r="B6313" s="39">
        <f t="shared" si="48"/>
      </c>
      <c r="C6313" s="40">
        <f>IF(Inputs!$C$60,Inputs!$C$11+(B6313-Inputs!$C$69)/Inputs!$C$70,"")</f>
      </c>
      <c r="D6313" s="15"/>
      <c r="E6313" s="15"/>
      <c r="F6313" s="11">
        <f t="shared" si="49"/>
      </c>
      <c r="G6313" s="22" cm="1">
        <f t="array" ref="G6313">IF(AND(Inputs!$C$60,Inputs!$C$61),INDEX(Utility_Rates!$C$29:$F$52,HOUR(C6313)+Inputs!$C$69,MATCH(INDEX(Utility_Rates!$K$6:$K$17,MONTH(C6313))&amp;IF(WEEKDAY(C6313,Inputs!$C$76)&lt;=Inputs!$C$74," weekday"," weekend"),Utility_Rates!$C$28:$F$28,Inputs!$C$68)),"")</f>
      </c>
      <c r="H6313" s="34"/>
      <c r="I6313" s="42">
        <f>IF(AND(ISNUMBER(D6313),ISNUMBER(H6313)),D6313*H6313*Inputs!$C$69,"")</f>
      </c>
      <c r="J6313" s="42">
        <f>IF(AND(ISNUMBER(F6313),ISNUMBER(H6313),F6313&gt;=Inputs!$C$68),F6313*H6313*Inputs!$C$69,"")</f>
      </c>
    </row>
    <row r="6314" spans="2:10" ht="15" customHeight="1" x14ac:dyDescent="0.2">
      <c r="B6314" s="39">
        <f t="shared" si="48"/>
      </c>
      <c r="C6314" s="40">
        <f>IF(Inputs!$C$60,Inputs!$C$11+(B6314-Inputs!$C$69)/Inputs!$C$70,"")</f>
      </c>
      <c r="D6314" s="15"/>
      <c r="E6314" s="15"/>
      <c r="F6314" s="11">
        <f t="shared" si="49"/>
      </c>
      <c r="G6314" s="22" cm="1">
        <f t="array" ref="G6314">IF(AND(Inputs!$C$60,Inputs!$C$61),INDEX(Utility_Rates!$C$29:$F$52,HOUR(C6314)+Inputs!$C$69,MATCH(INDEX(Utility_Rates!$K$6:$K$17,MONTH(C6314))&amp;IF(WEEKDAY(C6314,Inputs!$C$76)&lt;=Inputs!$C$74," weekday"," weekend"),Utility_Rates!$C$28:$F$28,Inputs!$C$68)),"")</f>
      </c>
      <c r="H6314" s="34"/>
      <c r="I6314" s="42">
        <f>IF(AND(ISNUMBER(D6314),ISNUMBER(H6314)),D6314*H6314*Inputs!$C$69,"")</f>
      </c>
      <c r="J6314" s="42">
        <f>IF(AND(ISNUMBER(F6314),ISNUMBER(H6314),F6314&gt;=Inputs!$C$68),F6314*H6314*Inputs!$C$69,"")</f>
      </c>
    </row>
    <row r="6315" spans="2:10" ht="15" customHeight="1" x14ac:dyDescent="0.2">
      <c r="B6315" s="39">
        <f t="shared" si="48"/>
      </c>
      <c r="C6315" s="40">
        <f>IF(Inputs!$C$60,Inputs!$C$11+(B6315-Inputs!$C$69)/Inputs!$C$70,"")</f>
      </c>
      <c r="D6315" s="15"/>
      <c r="E6315" s="15"/>
      <c r="F6315" s="11">
        <f t="shared" si="49"/>
      </c>
      <c r="G6315" s="22" cm="1">
        <f t="array" ref="G6315">IF(AND(Inputs!$C$60,Inputs!$C$61),INDEX(Utility_Rates!$C$29:$F$52,HOUR(C6315)+Inputs!$C$69,MATCH(INDEX(Utility_Rates!$K$6:$K$17,MONTH(C6315))&amp;IF(WEEKDAY(C6315,Inputs!$C$76)&lt;=Inputs!$C$74," weekday"," weekend"),Utility_Rates!$C$28:$F$28,Inputs!$C$68)),"")</f>
      </c>
      <c r="H6315" s="34"/>
      <c r="I6315" s="42">
        <f>IF(AND(ISNUMBER(D6315),ISNUMBER(H6315)),D6315*H6315*Inputs!$C$69,"")</f>
      </c>
      <c r="J6315" s="42">
        <f>IF(AND(ISNUMBER(F6315),ISNUMBER(H6315),F6315&gt;=Inputs!$C$68),F6315*H6315*Inputs!$C$69,"")</f>
      </c>
    </row>
    <row r="6316" spans="2:10" ht="15" customHeight="1" x14ac:dyDescent="0.2">
      <c r="B6316" s="39">
        <f t="shared" si="48"/>
      </c>
      <c r="C6316" s="40">
        <f>IF(Inputs!$C$60,Inputs!$C$11+(B6316-Inputs!$C$69)/Inputs!$C$70,"")</f>
      </c>
      <c r="D6316" s="15"/>
      <c r="E6316" s="15"/>
      <c r="F6316" s="11">
        <f t="shared" si="49"/>
      </c>
      <c r="G6316" s="22" cm="1">
        <f t="array" ref="G6316">IF(AND(Inputs!$C$60,Inputs!$C$61),INDEX(Utility_Rates!$C$29:$F$52,HOUR(C6316)+Inputs!$C$69,MATCH(INDEX(Utility_Rates!$K$6:$K$17,MONTH(C6316))&amp;IF(WEEKDAY(C6316,Inputs!$C$76)&lt;=Inputs!$C$74," weekday"," weekend"),Utility_Rates!$C$28:$F$28,Inputs!$C$68)),"")</f>
      </c>
      <c r="H6316" s="34"/>
      <c r="I6316" s="42">
        <f>IF(AND(ISNUMBER(D6316),ISNUMBER(H6316)),D6316*H6316*Inputs!$C$69,"")</f>
      </c>
      <c r="J6316" s="42">
        <f>IF(AND(ISNUMBER(F6316),ISNUMBER(H6316),F6316&gt;=Inputs!$C$68),F6316*H6316*Inputs!$C$69,"")</f>
      </c>
    </row>
    <row r="6317" spans="2:10" ht="15" customHeight="1" x14ac:dyDescent="0.2">
      <c r="B6317" s="39">
        <f t="shared" si="48"/>
      </c>
      <c r="C6317" s="40">
        <f>IF(Inputs!$C$60,Inputs!$C$11+(B6317-Inputs!$C$69)/Inputs!$C$70,"")</f>
      </c>
      <c r="D6317" s="15"/>
      <c r="E6317" s="15"/>
      <c r="F6317" s="11">
        <f t="shared" si="49"/>
      </c>
      <c r="G6317" s="22" cm="1">
        <f t="array" ref="G6317">IF(AND(Inputs!$C$60,Inputs!$C$61),INDEX(Utility_Rates!$C$29:$F$52,HOUR(C6317)+Inputs!$C$69,MATCH(INDEX(Utility_Rates!$K$6:$K$17,MONTH(C6317))&amp;IF(WEEKDAY(C6317,Inputs!$C$76)&lt;=Inputs!$C$74," weekday"," weekend"),Utility_Rates!$C$28:$F$28,Inputs!$C$68)),"")</f>
      </c>
      <c r="H6317" s="34"/>
      <c r="I6317" s="42">
        <f>IF(AND(ISNUMBER(D6317),ISNUMBER(H6317)),D6317*H6317*Inputs!$C$69,"")</f>
      </c>
      <c r="J6317" s="42">
        <f>IF(AND(ISNUMBER(F6317),ISNUMBER(H6317),F6317&gt;=Inputs!$C$68),F6317*H6317*Inputs!$C$69,"")</f>
      </c>
    </row>
    <row r="6318" spans="2:10" ht="15" customHeight="1" x14ac:dyDescent="0.2">
      <c r="B6318" s="39">
        <f t="shared" si="48"/>
      </c>
      <c r="C6318" s="40">
        <f>IF(Inputs!$C$60,Inputs!$C$11+(B6318-Inputs!$C$69)/Inputs!$C$70,"")</f>
      </c>
      <c r="D6318" s="15"/>
      <c r="E6318" s="15"/>
      <c r="F6318" s="11">
        <f t="shared" si="49"/>
      </c>
      <c r="G6318" s="22" cm="1">
        <f t="array" ref="G6318">IF(AND(Inputs!$C$60,Inputs!$C$61),INDEX(Utility_Rates!$C$29:$F$52,HOUR(C6318)+Inputs!$C$69,MATCH(INDEX(Utility_Rates!$K$6:$K$17,MONTH(C6318))&amp;IF(WEEKDAY(C6318,Inputs!$C$76)&lt;=Inputs!$C$74," weekday"," weekend"),Utility_Rates!$C$28:$F$28,Inputs!$C$68)),"")</f>
      </c>
      <c r="H6318" s="34"/>
      <c r="I6318" s="42">
        <f>IF(AND(ISNUMBER(D6318),ISNUMBER(H6318)),D6318*H6318*Inputs!$C$69,"")</f>
      </c>
      <c r="J6318" s="42">
        <f>IF(AND(ISNUMBER(F6318),ISNUMBER(H6318),F6318&gt;=Inputs!$C$68),F6318*H6318*Inputs!$C$69,"")</f>
      </c>
    </row>
    <row r="6319" spans="2:10" ht="15" customHeight="1" x14ac:dyDescent="0.2">
      <c r="B6319" s="39">
        <f t="shared" si="48"/>
      </c>
      <c r="C6319" s="40">
        <f>IF(Inputs!$C$60,Inputs!$C$11+(B6319-Inputs!$C$69)/Inputs!$C$70,"")</f>
      </c>
      <c r="D6319" s="15"/>
      <c r="E6319" s="15"/>
      <c r="F6319" s="11">
        <f t="shared" si="49"/>
      </c>
      <c r="G6319" s="22" cm="1">
        <f t="array" ref="G6319">IF(AND(Inputs!$C$60,Inputs!$C$61),INDEX(Utility_Rates!$C$29:$F$52,HOUR(C6319)+Inputs!$C$69,MATCH(INDEX(Utility_Rates!$K$6:$K$17,MONTH(C6319))&amp;IF(WEEKDAY(C6319,Inputs!$C$76)&lt;=Inputs!$C$74," weekday"," weekend"),Utility_Rates!$C$28:$F$28,Inputs!$C$68)),"")</f>
      </c>
      <c r="H6319" s="34"/>
      <c r="I6319" s="42">
        <f>IF(AND(ISNUMBER(D6319),ISNUMBER(H6319)),D6319*H6319*Inputs!$C$69,"")</f>
      </c>
      <c r="J6319" s="42">
        <f>IF(AND(ISNUMBER(F6319),ISNUMBER(H6319),F6319&gt;=Inputs!$C$68),F6319*H6319*Inputs!$C$69,"")</f>
      </c>
    </row>
    <row r="6320" spans="2:10" ht="15" customHeight="1" x14ac:dyDescent="0.2">
      <c r="B6320" s="39">
        <f t="shared" si="48"/>
      </c>
      <c r="C6320" s="40">
        <f>IF(Inputs!$C$60,Inputs!$C$11+(B6320-Inputs!$C$69)/Inputs!$C$70,"")</f>
      </c>
      <c r="D6320" s="15"/>
      <c r="E6320" s="15"/>
      <c r="F6320" s="11">
        <f t="shared" si="49"/>
      </c>
      <c r="G6320" s="22" cm="1">
        <f t="array" ref="G6320">IF(AND(Inputs!$C$60,Inputs!$C$61),INDEX(Utility_Rates!$C$29:$F$52,HOUR(C6320)+Inputs!$C$69,MATCH(INDEX(Utility_Rates!$K$6:$K$17,MONTH(C6320))&amp;IF(WEEKDAY(C6320,Inputs!$C$76)&lt;=Inputs!$C$74," weekday"," weekend"),Utility_Rates!$C$28:$F$28,Inputs!$C$68)),"")</f>
      </c>
      <c r="H6320" s="34"/>
      <c r="I6320" s="42">
        <f>IF(AND(ISNUMBER(D6320),ISNUMBER(H6320)),D6320*H6320*Inputs!$C$69,"")</f>
      </c>
      <c r="J6320" s="42">
        <f>IF(AND(ISNUMBER(F6320),ISNUMBER(H6320),F6320&gt;=Inputs!$C$68),F6320*H6320*Inputs!$C$69,"")</f>
      </c>
    </row>
    <row r="6321" spans="2:10" ht="15" customHeight="1" x14ac:dyDescent="0.2">
      <c r="B6321" s="39">
        <f t="shared" si="48"/>
      </c>
      <c r="C6321" s="40">
        <f>IF(Inputs!$C$60,Inputs!$C$11+(B6321-Inputs!$C$69)/Inputs!$C$70,"")</f>
      </c>
      <c r="D6321" s="15"/>
      <c r="E6321" s="15"/>
      <c r="F6321" s="11">
        <f t="shared" si="49"/>
      </c>
      <c r="G6321" s="22" cm="1">
        <f t="array" ref="G6321">IF(AND(Inputs!$C$60,Inputs!$C$61),INDEX(Utility_Rates!$C$29:$F$52,HOUR(C6321)+Inputs!$C$69,MATCH(INDEX(Utility_Rates!$K$6:$K$17,MONTH(C6321))&amp;IF(WEEKDAY(C6321,Inputs!$C$76)&lt;=Inputs!$C$74," weekday"," weekend"),Utility_Rates!$C$28:$F$28,Inputs!$C$68)),"")</f>
      </c>
      <c r="H6321" s="34"/>
      <c r="I6321" s="42">
        <f>IF(AND(ISNUMBER(D6321),ISNUMBER(H6321)),D6321*H6321*Inputs!$C$69,"")</f>
      </c>
      <c r="J6321" s="42">
        <f>IF(AND(ISNUMBER(F6321),ISNUMBER(H6321),F6321&gt;=Inputs!$C$68),F6321*H6321*Inputs!$C$69,"")</f>
      </c>
    </row>
    <row r="6322" spans="2:10" ht="15" customHeight="1" x14ac:dyDescent="0.2">
      <c r="B6322" s="39">
        <f t="shared" si="48"/>
      </c>
      <c r="C6322" s="40">
        <f>IF(Inputs!$C$60,Inputs!$C$11+(B6322-Inputs!$C$69)/Inputs!$C$70,"")</f>
      </c>
      <c r="D6322" s="15"/>
      <c r="E6322" s="15"/>
      <c r="F6322" s="11">
        <f t="shared" si="49"/>
      </c>
      <c r="G6322" s="22" cm="1">
        <f t="array" ref="G6322">IF(AND(Inputs!$C$60,Inputs!$C$61),INDEX(Utility_Rates!$C$29:$F$52,HOUR(C6322)+Inputs!$C$69,MATCH(INDEX(Utility_Rates!$K$6:$K$17,MONTH(C6322))&amp;IF(WEEKDAY(C6322,Inputs!$C$76)&lt;=Inputs!$C$74," weekday"," weekend"),Utility_Rates!$C$28:$F$28,Inputs!$C$68)),"")</f>
      </c>
      <c r="H6322" s="34"/>
      <c r="I6322" s="42">
        <f>IF(AND(ISNUMBER(D6322),ISNUMBER(H6322)),D6322*H6322*Inputs!$C$69,"")</f>
      </c>
      <c r="J6322" s="42">
        <f>IF(AND(ISNUMBER(F6322),ISNUMBER(H6322),F6322&gt;=Inputs!$C$68),F6322*H6322*Inputs!$C$69,"")</f>
      </c>
    </row>
    <row r="6323" spans="2:10" ht="15" customHeight="1" x14ac:dyDescent="0.2">
      <c r="B6323" s="39">
        <f t="shared" si="48"/>
      </c>
      <c r="C6323" s="40">
        <f>IF(Inputs!$C$60,Inputs!$C$11+(B6323-Inputs!$C$69)/Inputs!$C$70,"")</f>
      </c>
      <c r="D6323" s="15"/>
      <c r="E6323" s="15"/>
      <c r="F6323" s="11">
        <f t="shared" si="49"/>
      </c>
      <c r="G6323" s="22" cm="1">
        <f t="array" ref="G6323">IF(AND(Inputs!$C$60,Inputs!$C$61),INDEX(Utility_Rates!$C$29:$F$52,HOUR(C6323)+Inputs!$C$69,MATCH(INDEX(Utility_Rates!$K$6:$K$17,MONTH(C6323))&amp;IF(WEEKDAY(C6323,Inputs!$C$76)&lt;=Inputs!$C$74," weekday"," weekend"),Utility_Rates!$C$28:$F$28,Inputs!$C$68)),"")</f>
      </c>
      <c r="H6323" s="34"/>
      <c r="I6323" s="42">
        <f>IF(AND(ISNUMBER(D6323),ISNUMBER(H6323)),D6323*H6323*Inputs!$C$69,"")</f>
      </c>
      <c r="J6323" s="42">
        <f>IF(AND(ISNUMBER(F6323),ISNUMBER(H6323),F6323&gt;=Inputs!$C$68),F6323*H6323*Inputs!$C$69,"")</f>
      </c>
    </row>
    <row r="6324" spans="2:10" ht="15" customHeight="1" x14ac:dyDescent="0.2">
      <c r="B6324" s="39">
        <f t="shared" si="48"/>
      </c>
      <c r="C6324" s="40">
        <f>IF(Inputs!$C$60,Inputs!$C$11+(B6324-Inputs!$C$69)/Inputs!$C$70,"")</f>
      </c>
      <c r="D6324" s="15"/>
      <c r="E6324" s="15"/>
      <c r="F6324" s="11">
        <f t="shared" si="49"/>
      </c>
      <c r="G6324" s="22" cm="1">
        <f t="array" ref="G6324">IF(AND(Inputs!$C$60,Inputs!$C$61),INDEX(Utility_Rates!$C$29:$F$52,HOUR(C6324)+Inputs!$C$69,MATCH(INDEX(Utility_Rates!$K$6:$K$17,MONTH(C6324))&amp;IF(WEEKDAY(C6324,Inputs!$C$76)&lt;=Inputs!$C$74," weekday"," weekend"),Utility_Rates!$C$28:$F$28,Inputs!$C$68)),"")</f>
      </c>
      <c r="H6324" s="34"/>
      <c r="I6324" s="42">
        <f>IF(AND(ISNUMBER(D6324),ISNUMBER(H6324)),D6324*H6324*Inputs!$C$69,"")</f>
      </c>
      <c r="J6324" s="42">
        <f>IF(AND(ISNUMBER(F6324),ISNUMBER(H6324),F6324&gt;=Inputs!$C$68),F6324*H6324*Inputs!$C$69,"")</f>
      </c>
    </row>
    <row r="6325" spans="2:10" ht="15" customHeight="1" x14ac:dyDescent="0.2">
      <c r="B6325" s="39">
        <f t="shared" si="48"/>
      </c>
      <c r="C6325" s="40">
        <f>IF(Inputs!$C$60,Inputs!$C$11+(B6325-Inputs!$C$69)/Inputs!$C$70,"")</f>
      </c>
      <c r="D6325" s="15"/>
      <c r="E6325" s="15"/>
      <c r="F6325" s="11">
        <f t="shared" si="49"/>
      </c>
      <c r="G6325" s="22" cm="1">
        <f t="array" ref="G6325">IF(AND(Inputs!$C$60,Inputs!$C$61),INDEX(Utility_Rates!$C$29:$F$52,HOUR(C6325)+Inputs!$C$69,MATCH(INDEX(Utility_Rates!$K$6:$K$17,MONTH(C6325))&amp;IF(WEEKDAY(C6325,Inputs!$C$76)&lt;=Inputs!$C$74," weekday"," weekend"),Utility_Rates!$C$28:$F$28,Inputs!$C$68)),"")</f>
      </c>
      <c r="H6325" s="34"/>
      <c r="I6325" s="42">
        <f>IF(AND(ISNUMBER(D6325),ISNUMBER(H6325)),D6325*H6325*Inputs!$C$69,"")</f>
      </c>
      <c r="J6325" s="42">
        <f>IF(AND(ISNUMBER(F6325),ISNUMBER(H6325),F6325&gt;=Inputs!$C$68),F6325*H6325*Inputs!$C$69,"")</f>
      </c>
    </row>
    <row r="6326" spans="2:10" ht="15" customHeight="1" x14ac:dyDescent="0.2">
      <c r="B6326" s="39">
        <f t="shared" si="48"/>
      </c>
      <c r="C6326" s="40">
        <f>IF(Inputs!$C$60,Inputs!$C$11+(B6326-Inputs!$C$69)/Inputs!$C$70,"")</f>
      </c>
      <c r="D6326" s="15"/>
      <c r="E6326" s="15"/>
      <c r="F6326" s="11">
        <f t="shared" si="49"/>
      </c>
      <c r="G6326" s="22" cm="1">
        <f t="array" ref="G6326">IF(AND(Inputs!$C$60,Inputs!$C$61),INDEX(Utility_Rates!$C$29:$F$52,HOUR(C6326)+Inputs!$C$69,MATCH(INDEX(Utility_Rates!$K$6:$K$17,MONTH(C6326))&amp;IF(WEEKDAY(C6326,Inputs!$C$76)&lt;=Inputs!$C$74," weekday"," weekend"),Utility_Rates!$C$28:$F$28,Inputs!$C$68)),"")</f>
      </c>
      <c r="H6326" s="34"/>
      <c r="I6326" s="42">
        <f>IF(AND(ISNUMBER(D6326),ISNUMBER(H6326)),D6326*H6326*Inputs!$C$69,"")</f>
      </c>
      <c r="J6326" s="42">
        <f>IF(AND(ISNUMBER(F6326),ISNUMBER(H6326),F6326&gt;=Inputs!$C$68),F6326*H6326*Inputs!$C$69,"")</f>
      </c>
    </row>
    <row r="6327" spans="2:10" ht="15" customHeight="1" x14ac:dyDescent="0.2">
      <c r="B6327" s="39">
        <f t="shared" si="48"/>
      </c>
      <c r="C6327" s="40">
        <f>IF(Inputs!$C$60,Inputs!$C$11+(B6327-Inputs!$C$69)/Inputs!$C$70,"")</f>
      </c>
      <c r="D6327" s="15"/>
      <c r="E6327" s="15"/>
      <c r="F6327" s="11">
        <f t="shared" si="49"/>
      </c>
      <c r="G6327" s="22" cm="1">
        <f t="array" ref="G6327">IF(AND(Inputs!$C$60,Inputs!$C$61),INDEX(Utility_Rates!$C$29:$F$52,HOUR(C6327)+Inputs!$C$69,MATCH(INDEX(Utility_Rates!$K$6:$K$17,MONTH(C6327))&amp;IF(WEEKDAY(C6327,Inputs!$C$76)&lt;=Inputs!$C$74," weekday"," weekend"),Utility_Rates!$C$28:$F$28,Inputs!$C$68)),"")</f>
      </c>
      <c r="H6327" s="34"/>
      <c r="I6327" s="42">
        <f>IF(AND(ISNUMBER(D6327),ISNUMBER(H6327)),D6327*H6327*Inputs!$C$69,"")</f>
      </c>
      <c r="J6327" s="42">
        <f>IF(AND(ISNUMBER(F6327),ISNUMBER(H6327),F6327&gt;=Inputs!$C$68),F6327*H6327*Inputs!$C$69,"")</f>
      </c>
    </row>
    <row r="6328" spans="2:10" ht="15" customHeight="1" x14ac:dyDescent="0.2">
      <c r="B6328" s="39">
        <f t="shared" si="48"/>
      </c>
      <c r="C6328" s="40">
        <f>IF(Inputs!$C$60,Inputs!$C$11+(B6328-Inputs!$C$69)/Inputs!$C$70,"")</f>
      </c>
      <c r="D6328" s="15"/>
      <c r="E6328" s="15"/>
      <c r="F6328" s="11">
        <f t="shared" si="49"/>
      </c>
      <c r="G6328" s="22" cm="1">
        <f t="array" ref="G6328">IF(AND(Inputs!$C$60,Inputs!$C$61),INDEX(Utility_Rates!$C$29:$F$52,HOUR(C6328)+Inputs!$C$69,MATCH(INDEX(Utility_Rates!$K$6:$K$17,MONTH(C6328))&amp;IF(WEEKDAY(C6328,Inputs!$C$76)&lt;=Inputs!$C$74," weekday"," weekend"),Utility_Rates!$C$28:$F$28,Inputs!$C$68)),"")</f>
      </c>
      <c r="H6328" s="34"/>
      <c r="I6328" s="42">
        <f>IF(AND(ISNUMBER(D6328),ISNUMBER(H6328)),D6328*H6328*Inputs!$C$69,"")</f>
      </c>
      <c r="J6328" s="42">
        <f>IF(AND(ISNUMBER(F6328),ISNUMBER(H6328),F6328&gt;=Inputs!$C$68),F6328*H6328*Inputs!$C$69,"")</f>
      </c>
    </row>
    <row r="6329" spans="2:10" ht="15" customHeight="1" x14ac:dyDescent="0.2">
      <c r="B6329" s="39">
        <f t="shared" si="48"/>
      </c>
      <c r="C6329" s="40">
        <f>IF(Inputs!$C$60,Inputs!$C$11+(B6329-Inputs!$C$69)/Inputs!$C$70,"")</f>
      </c>
      <c r="D6329" s="15"/>
      <c r="E6329" s="15"/>
      <c r="F6329" s="11">
        <f t="shared" si="49"/>
      </c>
      <c r="G6329" s="22" cm="1">
        <f t="array" ref="G6329">IF(AND(Inputs!$C$60,Inputs!$C$61),INDEX(Utility_Rates!$C$29:$F$52,HOUR(C6329)+Inputs!$C$69,MATCH(INDEX(Utility_Rates!$K$6:$K$17,MONTH(C6329))&amp;IF(WEEKDAY(C6329,Inputs!$C$76)&lt;=Inputs!$C$74," weekday"," weekend"),Utility_Rates!$C$28:$F$28,Inputs!$C$68)),"")</f>
      </c>
      <c r="H6329" s="34"/>
      <c r="I6329" s="42">
        <f>IF(AND(ISNUMBER(D6329),ISNUMBER(H6329)),D6329*H6329*Inputs!$C$69,"")</f>
      </c>
      <c r="J6329" s="42">
        <f>IF(AND(ISNUMBER(F6329),ISNUMBER(H6329),F6329&gt;=Inputs!$C$68),F6329*H6329*Inputs!$C$69,"")</f>
      </c>
    </row>
    <row r="6330" spans="2:10" ht="15" customHeight="1" x14ac:dyDescent="0.2">
      <c r="B6330" s="39">
        <f t="shared" si="48"/>
      </c>
      <c r="C6330" s="40">
        <f>IF(Inputs!$C$60,Inputs!$C$11+(B6330-Inputs!$C$69)/Inputs!$C$70,"")</f>
      </c>
      <c r="D6330" s="15"/>
      <c r="E6330" s="15"/>
      <c r="F6330" s="11">
        <f t="shared" si="49"/>
      </c>
      <c r="G6330" s="22" cm="1">
        <f t="array" ref="G6330">IF(AND(Inputs!$C$60,Inputs!$C$61),INDEX(Utility_Rates!$C$29:$F$52,HOUR(C6330)+Inputs!$C$69,MATCH(INDEX(Utility_Rates!$K$6:$K$17,MONTH(C6330))&amp;IF(WEEKDAY(C6330,Inputs!$C$76)&lt;=Inputs!$C$74," weekday"," weekend"),Utility_Rates!$C$28:$F$28,Inputs!$C$68)),"")</f>
      </c>
      <c r="H6330" s="34"/>
      <c r="I6330" s="42">
        <f>IF(AND(ISNUMBER(D6330),ISNUMBER(H6330)),D6330*H6330*Inputs!$C$69,"")</f>
      </c>
      <c r="J6330" s="42">
        <f>IF(AND(ISNUMBER(F6330),ISNUMBER(H6330),F6330&gt;=Inputs!$C$68),F6330*H6330*Inputs!$C$69,"")</f>
      </c>
    </row>
    <row r="6331" spans="2:10" ht="15" customHeight="1" x14ac:dyDescent="0.2">
      <c r="B6331" s="39">
        <f t="shared" si="48"/>
      </c>
      <c r="C6331" s="40">
        <f>IF(Inputs!$C$60,Inputs!$C$11+(B6331-Inputs!$C$69)/Inputs!$C$70,"")</f>
      </c>
      <c r="D6331" s="15"/>
      <c r="E6331" s="15"/>
      <c r="F6331" s="11">
        <f t="shared" si="49"/>
      </c>
      <c r="G6331" s="22" cm="1">
        <f t="array" ref="G6331">IF(AND(Inputs!$C$60,Inputs!$C$61),INDEX(Utility_Rates!$C$29:$F$52,HOUR(C6331)+Inputs!$C$69,MATCH(INDEX(Utility_Rates!$K$6:$K$17,MONTH(C6331))&amp;IF(WEEKDAY(C6331,Inputs!$C$76)&lt;=Inputs!$C$74," weekday"," weekend"),Utility_Rates!$C$28:$F$28,Inputs!$C$68)),"")</f>
      </c>
      <c r="H6331" s="34"/>
      <c r="I6331" s="42">
        <f>IF(AND(ISNUMBER(D6331),ISNUMBER(H6331)),D6331*H6331*Inputs!$C$69,"")</f>
      </c>
      <c r="J6331" s="42">
        <f>IF(AND(ISNUMBER(F6331),ISNUMBER(H6331),F6331&gt;=Inputs!$C$68),F6331*H6331*Inputs!$C$69,"")</f>
      </c>
    </row>
    <row r="6332" spans="2:10" ht="15" customHeight="1" x14ac:dyDescent="0.2">
      <c r="B6332" s="39">
        <f t="shared" si="48"/>
      </c>
      <c r="C6332" s="40">
        <f>IF(Inputs!$C$60,Inputs!$C$11+(B6332-Inputs!$C$69)/Inputs!$C$70,"")</f>
      </c>
      <c r="D6332" s="15"/>
      <c r="E6332" s="15"/>
      <c r="F6332" s="11">
        <f t="shared" si="49"/>
      </c>
      <c r="G6332" s="22" cm="1">
        <f t="array" ref="G6332">IF(AND(Inputs!$C$60,Inputs!$C$61),INDEX(Utility_Rates!$C$29:$F$52,HOUR(C6332)+Inputs!$C$69,MATCH(INDEX(Utility_Rates!$K$6:$K$17,MONTH(C6332))&amp;IF(WEEKDAY(C6332,Inputs!$C$76)&lt;=Inputs!$C$74," weekday"," weekend"),Utility_Rates!$C$28:$F$28,Inputs!$C$68)),"")</f>
      </c>
      <c r="H6332" s="34"/>
      <c r="I6332" s="42">
        <f>IF(AND(ISNUMBER(D6332),ISNUMBER(H6332)),D6332*H6332*Inputs!$C$69,"")</f>
      </c>
      <c r="J6332" s="42">
        <f>IF(AND(ISNUMBER(F6332),ISNUMBER(H6332),F6332&gt;=Inputs!$C$68),F6332*H6332*Inputs!$C$69,"")</f>
      </c>
    </row>
    <row r="6333" spans="2:10" ht="15" customHeight="1" x14ac:dyDescent="0.2">
      <c r="B6333" s="39">
        <f t="shared" si="48"/>
      </c>
      <c r="C6333" s="40">
        <f>IF(Inputs!$C$60,Inputs!$C$11+(B6333-Inputs!$C$69)/Inputs!$C$70,"")</f>
      </c>
      <c r="D6333" s="15"/>
      <c r="E6333" s="15"/>
      <c r="F6333" s="11">
        <f t="shared" si="49"/>
      </c>
      <c r="G6333" s="22" cm="1">
        <f t="array" ref="G6333">IF(AND(Inputs!$C$60,Inputs!$C$61),INDEX(Utility_Rates!$C$29:$F$52,HOUR(C6333)+Inputs!$C$69,MATCH(INDEX(Utility_Rates!$K$6:$K$17,MONTH(C6333))&amp;IF(WEEKDAY(C6333,Inputs!$C$76)&lt;=Inputs!$C$74," weekday"," weekend"),Utility_Rates!$C$28:$F$28,Inputs!$C$68)),"")</f>
      </c>
      <c r="H6333" s="34"/>
      <c r="I6333" s="42">
        <f>IF(AND(ISNUMBER(D6333),ISNUMBER(H6333)),D6333*H6333*Inputs!$C$69,"")</f>
      </c>
      <c r="J6333" s="42">
        <f>IF(AND(ISNUMBER(F6333),ISNUMBER(H6333),F6333&gt;=Inputs!$C$68),F6333*H6333*Inputs!$C$69,"")</f>
      </c>
    </row>
    <row r="6334" spans="2:10" ht="15" customHeight="1" x14ac:dyDescent="0.2">
      <c r="B6334" s="39">
        <f t="shared" si="48"/>
      </c>
      <c r="C6334" s="40">
        <f>IF(Inputs!$C$60,Inputs!$C$11+(B6334-Inputs!$C$69)/Inputs!$C$70,"")</f>
      </c>
      <c r="D6334" s="15"/>
      <c r="E6334" s="15"/>
      <c r="F6334" s="11">
        <f t="shared" si="49"/>
      </c>
      <c r="G6334" s="22" cm="1">
        <f t="array" ref="G6334">IF(AND(Inputs!$C$60,Inputs!$C$61),INDEX(Utility_Rates!$C$29:$F$52,HOUR(C6334)+Inputs!$C$69,MATCH(INDEX(Utility_Rates!$K$6:$K$17,MONTH(C6334))&amp;IF(WEEKDAY(C6334,Inputs!$C$76)&lt;=Inputs!$C$74," weekday"," weekend"),Utility_Rates!$C$28:$F$28,Inputs!$C$68)),"")</f>
      </c>
      <c r="H6334" s="34"/>
      <c r="I6334" s="42">
        <f>IF(AND(ISNUMBER(D6334),ISNUMBER(H6334)),D6334*H6334*Inputs!$C$69,"")</f>
      </c>
      <c r="J6334" s="42">
        <f>IF(AND(ISNUMBER(F6334),ISNUMBER(H6334),F6334&gt;=Inputs!$C$68),F6334*H6334*Inputs!$C$69,"")</f>
      </c>
    </row>
    <row r="6335" spans="2:10" ht="15" customHeight="1" x14ac:dyDescent="0.2">
      <c r="B6335" s="39">
        <f t="shared" si="48"/>
      </c>
      <c r="C6335" s="40">
        <f>IF(Inputs!$C$60,Inputs!$C$11+(B6335-Inputs!$C$69)/Inputs!$C$70,"")</f>
      </c>
      <c r="D6335" s="15"/>
      <c r="E6335" s="15"/>
      <c r="F6335" s="11">
        <f t="shared" si="49"/>
      </c>
      <c r="G6335" s="22" cm="1">
        <f t="array" ref="G6335">IF(AND(Inputs!$C$60,Inputs!$C$61),INDEX(Utility_Rates!$C$29:$F$52,HOUR(C6335)+Inputs!$C$69,MATCH(INDEX(Utility_Rates!$K$6:$K$17,MONTH(C6335))&amp;IF(WEEKDAY(C6335,Inputs!$C$76)&lt;=Inputs!$C$74," weekday"," weekend"),Utility_Rates!$C$28:$F$28,Inputs!$C$68)),"")</f>
      </c>
      <c r="H6335" s="34"/>
      <c r="I6335" s="42">
        <f>IF(AND(ISNUMBER(D6335),ISNUMBER(H6335)),D6335*H6335*Inputs!$C$69,"")</f>
      </c>
      <c r="J6335" s="42">
        <f>IF(AND(ISNUMBER(F6335),ISNUMBER(H6335),F6335&gt;=Inputs!$C$68),F6335*H6335*Inputs!$C$69,"")</f>
      </c>
    </row>
    <row r="6336" spans="2:10" ht="15" customHeight="1" x14ac:dyDescent="0.2">
      <c r="B6336" s="39">
        <f t="shared" si="48"/>
      </c>
      <c r="C6336" s="40">
        <f>IF(Inputs!$C$60,Inputs!$C$11+(B6336-Inputs!$C$69)/Inputs!$C$70,"")</f>
      </c>
      <c r="D6336" s="15"/>
      <c r="E6336" s="15"/>
      <c r="F6336" s="11">
        <f t="shared" si="49"/>
      </c>
      <c r="G6336" s="22" cm="1">
        <f t="array" ref="G6336">IF(AND(Inputs!$C$60,Inputs!$C$61),INDEX(Utility_Rates!$C$29:$F$52,HOUR(C6336)+Inputs!$C$69,MATCH(INDEX(Utility_Rates!$K$6:$K$17,MONTH(C6336))&amp;IF(WEEKDAY(C6336,Inputs!$C$76)&lt;=Inputs!$C$74," weekday"," weekend"),Utility_Rates!$C$28:$F$28,Inputs!$C$68)),"")</f>
      </c>
      <c r="H6336" s="34"/>
      <c r="I6336" s="42">
        <f>IF(AND(ISNUMBER(D6336),ISNUMBER(H6336)),D6336*H6336*Inputs!$C$69,"")</f>
      </c>
      <c r="J6336" s="42">
        <f>IF(AND(ISNUMBER(F6336),ISNUMBER(H6336),F6336&gt;=Inputs!$C$68),F6336*H6336*Inputs!$C$69,"")</f>
      </c>
    </row>
    <row r="6337" spans="2:10" ht="15" customHeight="1" x14ac:dyDescent="0.2">
      <c r="B6337" s="39">
        <f t="shared" si="48"/>
      </c>
      <c r="C6337" s="40">
        <f>IF(Inputs!$C$60,Inputs!$C$11+(B6337-Inputs!$C$69)/Inputs!$C$70,"")</f>
      </c>
      <c r="D6337" s="15"/>
      <c r="E6337" s="15"/>
      <c r="F6337" s="11">
        <f t="shared" si="49"/>
      </c>
      <c r="G6337" s="22" cm="1">
        <f t="array" ref="G6337">IF(AND(Inputs!$C$60,Inputs!$C$61),INDEX(Utility_Rates!$C$29:$F$52,HOUR(C6337)+Inputs!$C$69,MATCH(INDEX(Utility_Rates!$K$6:$K$17,MONTH(C6337))&amp;IF(WEEKDAY(C6337,Inputs!$C$76)&lt;=Inputs!$C$74," weekday"," weekend"),Utility_Rates!$C$28:$F$28,Inputs!$C$68)),"")</f>
      </c>
      <c r="H6337" s="34"/>
      <c r="I6337" s="42">
        <f>IF(AND(ISNUMBER(D6337),ISNUMBER(H6337)),D6337*H6337*Inputs!$C$69,"")</f>
      </c>
      <c r="J6337" s="42">
        <f>IF(AND(ISNUMBER(F6337),ISNUMBER(H6337),F6337&gt;=Inputs!$C$68),F6337*H6337*Inputs!$C$69,"")</f>
      </c>
    </row>
    <row r="6338" spans="2:10" ht="15" customHeight="1" x14ac:dyDescent="0.2">
      <c r="B6338" s="39">
        <f t="shared" si="48"/>
      </c>
      <c r="C6338" s="40">
        <f>IF(Inputs!$C$60,Inputs!$C$11+(B6338-Inputs!$C$69)/Inputs!$C$70,"")</f>
      </c>
      <c r="D6338" s="15"/>
      <c r="E6338" s="15"/>
      <c r="F6338" s="11">
        <f t="shared" si="49"/>
      </c>
      <c r="G6338" s="22" cm="1">
        <f t="array" ref="G6338">IF(AND(Inputs!$C$60,Inputs!$C$61),INDEX(Utility_Rates!$C$29:$F$52,HOUR(C6338)+Inputs!$C$69,MATCH(INDEX(Utility_Rates!$K$6:$K$17,MONTH(C6338))&amp;IF(WEEKDAY(C6338,Inputs!$C$76)&lt;=Inputs!$C$74," weekday"," weekend"),Utility_Rates!$C$28:$F$28,Inputs!$C$68)),"")</f>
      </c>
      <c r="H6338" s="34"/>
      <c r="I6338" s="42">
        <f>IF(AND(ISNUMBER(D6338),ISNUMBER(H6338)),D6338*H6338*Inputs!$C$69,"")</f>
      </c>
      <c r="J6338" s="42">
        <f>IF(AND(ISNUMBER(F6338),ISNUMBER(H6338),F6338&gt;=Inputs!$C$68),F6338*H6338*Inputs!$C$69,"")</f>
      </c>
    </row>
    <row r="6339" spans="2:10" ht="15" customHeight="1" x14ac:dyDescent="0.2">
      <c r="B6339" s="39">
        <f t="shared" si="48"/>
      </c>
      <c r="C6339" s="40">
        <f>IF(Inputs!$C$60,Inputs!$C$11+(B6339-Inputs!$C$69)/Inputs!$C$70,"")</f>
      </c>
      <c r="D6339" s="15"/>
      <c r="E6339" s="15"/>
      <c r="F6339" s="11">
        <f t="shared" si="49"/>
      </c>
      <c r="G6339" s="22" cm="1">
        <f t="array" ref="G6339">IF(AND(Inputs!$C$60,Inputs!$C$61),INDEX(Utility_Rates!$C$29:$F$52,HOUR(C6339)+Inputs!$C$69,MATCH(INDEX(Utility_Rates!$K$6:$K$17,MONTH(C6339))&amp;IF(WEEKDAY(C6339,Inputs!$C$76)&lt;=Inputs!$C$74," weekday"," weekend"),Utility_Rates!$C$28:$F$28,Inputs!$C$68)),"")</f>
      </c>
      <c r="H6339" s="34"/>
      <c r="I6339" s="42">
        <f>IF(AND(ISNUMBER(D6339),ISNUMBER(H6339)),D6339*H6339*Inputs!$C$69,"")</f>
      </c>
      <c r="J6339" s="42">
        <f>IF(AND(ISNUMBER(F6339),ISNUMBER(H6339),F6339&gt;=Inputs!$C$68),F6339*H6339*Inputs!$C$69,"")</f>
      </c>
    </row>
    <row r="6340" spans="2:10" ht="15" customHeight="1" x14ac:dyDescent="0.2">
      <c r="B6340" s="39">
        <f t="shared" si="48"/>
      </c>
      <c r="C6340" s="40">
        <f>IF(Inputs!$C$60,Inputs!$C$11+(B6340-Inputs!$C$69)/Inputs!$C$70,"")</f>
      </c>
      <c r="D6340" s="15"/>
      <c r="E6340" s="15"/>
      <c r="F6340" s="11">
        <f t="shared" si="49"/>
      </c>
      <c r="G6340" s="22" cm="1">
        <f t="array" ref="G6340">IF(AND(Inputs!$C$60,Inputs!$C$61),INDEX(Utility_Rates!$C$29:$F$52,HOUR(C6340)+Inputs!$C$69,MATCH(INDEX(Utility_Rates!$K$6:$K$17,MONTH(C6340))&amp;IF(WEEKDAY(C6340,Inputs!$C$76)&lt;=Inputs!$C$74," weekday"," weekend"),Utility_Rates!$C$28:$F$28,Inputs!$C$68)),"")</f>
      </c>
      <c r="H6340" s="34"/>
      <c r="I6340" s="42">
        <f>IF(AND(ISNUMBER(D6340),ISNUMBER(H6340)),D6340*H6340*Inputs!$C$69,"")</f>
      </c>
      <c r="J6340" s="42">
        <f>IF(AND(ISNUMBER(F6340),ISNUMBER(H6340),F6340&gt;=Inputs!$C$68),F6340*H6340*Inputs!$C$69,"")</f>
      </c>
    </row>
    <row r="6341" spans="2:10" ht="15" customHeight="1" x14ac:dyDescent="0.2">
      <c r="B6341" s="39">
        <f t="shared" si="48"/>
      </c>
      <c r="C6341" s="40">
        <f>IF(Inputs!$C$60,Inputs!$C$11+(B6341-Inputs!$C$69)/Inputs!$C$70,"")</f>
      </c>
      <c r="D6341" s="15"/>
      <c r="E6341" s="15"/>
      <c r="F6341" s="11">
        <f t="shared" si="49"/>
      </c>
      <c r="G6341" s="22" cm="1">
        <f t="array" ref="G6341">IF(AND(Inputs!$C$60,Inputs!$C$61),INDEX(Utility_Rates!$C$29:$F$52,HOUR(C6341)+Inputs!$C$69,MATCH(INDEX(Utility_Rates!$K$6:$K$17,MONTH(C6341))&amp;IF(WEEKDAY(C6341,Inputs!$C$76)&lt;=Inputs!$C$74," weekday"," weekend"),Utility_Rates!$C$28:$F$28,Inputs!$C$68)),"")</f>
      </c>
      <c r="H6341" s="34"/>
      <c r="I6341" s="42">
        <f>IF(AND(ISNUMBER(D6341),ISNUMBER(H6341)),D6341*H6341*Inputs!$C$69,"")</f>
      </c>
      <c r="J6341" s="42">
        <f>IF(AND(ISNUMBER(F6341),ISNUMBER(H6341),F6341&gt;=Inputs!$C$68),F6341*H6341*Inputs!$C$69,"")</f>
      </c>
    </row>
    <row r="6342" spans="2:10" ht="15" customHeight="1" x14ac:dyDescent="0.2">
      <c r="B6342" s="39">
        <f t="shared" si="48"/>
      </c>
      <c r="C6342" s="40">
        <f>IF(Inputs!$C$60,Inputs!$C$11+(B6342-Inputs!$C$69)/Inputs!$C$70,"")</f>
      </c>
      <c r="D6342" s="15"/>
      <c r="E6342" s="15"/>
      <c r="F6342" s="11">
        <f t="shared" si="49"/>
      </c>
      <c r="G6342" s="22" cm="1">
        <f t="array" ref="G6342">IF(AND(Inputs!$C$60,Inputs!$C$61),INDEX(Utility_Rates!$C$29:$F$52,HOUR(C6342)+Inputs!$C$69,MATCH(INDEX(Utility_Rates!$K$6:$K$17,MONTH(C6342))&amp;IF(WEEKDAY(C6342,Inputs!$C$76)&lt;=Inputs!$C$74," weekday"," weekend"),Utility_Rates!$C$28:$F$28,Inputs!$C$68)),"")</f>
      </c>
      <c r="H6342" s="34"/>
      <c r="I6342" s="42">
        <f>IF(AND(ISNUMBER(D6342),ISNUMBER(H6342)),D6342*H6342*Inputs!$C$69,"")</f>
      </c>
      <c r="J6342" s="42">
        <f>IF(AND(ISNUMBER(F6342),ISNUMBER(H6342),F6342&gt;=Inputs!$C$68),F6342*H6342*Inputs!$C$69,"")</f>
      </c>
    </row>
    <row r="6343" spans="2:10" ht="15" customHeight="1" x14ac:dyDescent="0.2">
      <c r="B6343" s="39">
        <f t="shared" si="48"/>
      </c>
      <c r="C6343" s="40">
        <f>IF(Inputs!$C$60,Inputs!$C$11+(B6343-Inputs!$C$69)/Inputs!$C$70,"")</f>
      </c>
      <c r="D6343" s="15"/>
      <c r="E6343" s="15"/>
      <c r="F6343" s="11">
        <f t="shared" si="49"/>
      </c>
      <c r="G6343" s="22" cm="1">
        <f t="array" ref="G6343">IF(AND(Inputs!$C$60,Inputs!$C$61),INDEX(Utility_Rates!$C$29:$F$52,HOUR(C6343)+Inputs!$C$69,MATCH(INDEX(Utility_Rates!$K$6:$K$17,MONTH(C6343))&amp;IF(WEEKDAY(C6343,Inputs!$C$76)&lt;=Inputs!$C$74," weekday"," weekend"),Utility_Rates!$C$28:$F$28,Inputs!$C$68)),"")</f>
      </c>
      <c r="H6343" s="34"/>
      <c r="I6343" s="42">
        <f>IF(AND(ISNUMBER(D6343),ISNUMBER(H6343)),D6343*H6343*Inputs!$C$69,"")</f>
      </c>
      <c r="J6343" s="42">
        <f>IF(AND(ISNUMBER(F6343),ISNUMBER(H6343),F6343&gt;=Inputs!$C$68),F6343*H6343*Inputs!$C$69,"")</f>
      </c>
    </row>
    <row r="6344" spans="2:10" ht="15" customHeight="1" x14ac:dyDescent="0.2">
      <c r="B6344" s="39">
        <f t="shared" si="48"/>
      </c>
      <c r="C6344" s="40">
        <f>IF(Inputs!$C$60,Inputs!$C$11+(B6344-Inputs!$C$69)/Inputs!$C$70,"")</f>
      </c>
      <c r="D6344" s="15"/>
      <c r="E6344" s="15"/>
      <c r="F6344" s="11">
        <f t="shared" si="49"/>
      </c>
      <c r="G6344" s="22" cm="1">
        <f t="array" ref="G6344">IF(AND(Inputs!$C$60,Inputs!$C$61),INDEX(Utility_Rates!$C$29:$F$52,HOUR(C6344)+Inputs!$C$69,MATCH(INDEX(Utility_Rates!$K$6:$K$17,MONTH(C6344))&amp;IF(WEEKDAY(C6344,Inputs!$C$76)&lt;=Inputs!$C$74," weekday"," weekend"),Utility_Rates!$C$28:$F$28,Inputs!$C$68)),"")</f>
      </c>
      <c r="H6344" s="34"/>
      <c r="I6344" s="42">
        <f>IF(AND(ISNUMBER(D6344),ISNUMBER(H6344)),D6344*H6344*Inputs!$C$69,"")</f>
      </c>
      <c r="J6344" s="42">
        <f>IF(AND(ISNUMBER(F6344),ISNUMBER(H6344),F6344&gt;=Inputs!$C$68),F6344*H6344*Inputs!$C$69,"")</f>
      </c>
    </row>
    <row r="6345" spans="2:10" ht="15" customHeight="1" x14ac:dyDescent="0.2">
      <c r="B6345" s="39">
        <f t="shared" si="48"/>
      </c>
      <c r="C6345" s="40">
        <f>IF(Inputs!$C$60,Inputs!$C$11+(B6345-Inputs!$C$69)/Inputs!$C$70,"")</f>
      </c>
      <c r="D6345" s="15"/>
      <c r="E6345" s="15"/>
      <c r="F6345" s="11">
        <f t="shared" si="49"/>
      </c>
      <c r="G6345" s="22" cm="1">
        <f t="array" ref="G6345">IF(AND(Inputs!$C$60,Inputs!$C$61),INDEX(Utility_Rates!$C$29:$F$52,HOUR(C6345)+Inputs!$C$69,MATCH(INDEX(Utility_Rates!$K$6:$K$17,MONTH(C6345))&amp;IF(WEEKDAY(C6345,Inputs!$C$76)&lt;=Inputs!$C$74," weekday"," weekend"),Utility_Rates!$C$28:$F$28,Inputs!$C$68)),"")</f>
      </c>
      <c r="H6345" s="34"/>
      <c r="I6345" s="42">
        <f>IF(AND(ISNUMBER(D6345),ISNUMBER(H6345)),D6345*H6345*Inputs!$C$69,"")</f>
      </c>
      <c r="J6345" s="42">
        <f>IF(AND(ISNUMBER(F6345),ISNUMBER(H6345),F6345&gt;=Inputs!$C$68),F6345*H6345*Inputs!$C$69,"")</f>
      </c>
    </row>
    <row r="6346" spans="2:10" ht="15" customHeight="1" x14ac:dyDescent="0.2">
      <c r="B6346" s="39">
        <f t="shared" si="48"/>
      </c>
      <c r="C6346" s="40">
        <f>IF(Inputs!$C$60,Inputs!$C$11+(B6346-Inputs!$C$69)/Inputs!$C$70,"")</f>
      </c>
      <c r="D6346" s="15"/>
      <c r="E6346" s="15"/>
      <c r="F6346" s="11">
        <f t="shared" si="49"/>
      </c>
      <c r="G6346" s="22" cm="1">
        <f t="array" ref="G6346">IF(AND(Inputs!$C$60,Inputs!$C$61),INDEX(Utility_Rates!$C$29:$F$52,HOUR(C6346)+Inputs!$C$69,MATCH(INDEX(Utility_Rates!$K$6:$K$17,MONTH(C6346))&amp;IF(WEEKDAY(C6346,Inputs!$C$76)&lt;=Inputs!$C$74," weekday"," weekend"),Utility_Rates!$C$28:$F$28,Inputs!$C$68)),"")</f>
      </c>
      <c r="H6346" s="34"/>
      <c r="I6346" s="42">
        <f>IF(AND(ISNUMBER(D6346),ISNUMBER(H6346)),D6346*H6346*Inputs!$C$69,"")</f>
      </c>
      <c r="J6346" s="42">
        <f>IF(AND(ISNUMBER(F6346),ISNUMBER(H6346),F6346&gt;=Inputs!$C$68),F6346*H6346*Inputs!$C$69,"")</f>
      </c>
    </row>
    <row r="6347" spans="2:10" ht="15" customHeight="1" x14ac:dyDescent="0.2">
      <c r="B6347" s="39">
        <f t="shared" si="48"/>
      </c>
      <c r="C6347" s="40">
        <f>IF(Inputs!$C$60,Inputs!$C$11+(B6347-Inputs!$C$69)/Inputs!$C$70,"")</f>
      </c>
      <c r="D6347" s="15"/>
      <c r="E6347" s="15"/>
      <c r="F6347" s="11">
        <f t="shared" si="49"/>
      </c>
      <c r="G6347" s="22" cm="1">
        <f t="array" ref="G6347">IF(AND(Inputs!$C$60,Inputs!$C$61),INDEX(Utility_Rates!$C$29:$F$52,HOUR(C6347)+Inputs!$C$69,MATCH(INDEX(Utility_Rates!$K$6:$K$17,MONTH(C6347))&amp;IF(WEEKDAY(C6347,Inputs!$C$76)&lt;=Inputs!$C$74," weekday"," weekend"),Utility_Rates!$C$28:$F$28,Inputs!$C$68)),"")</f>
      </c>
      <c r="H6347" s="34"/>
      <c r="I6347" s="42">
        <f>IF(AND(ISNUMBER(D6347),ISNUMBER(H6347)),D6347*H6347*Inputs!$C$69,"")</f>
      </c>
      <c r="J6347" s="42">
        <f>IF(AND(ISNUMBER(F6347),ISNUMBER(H6347),F6347&gt;=Inputs!$C$68),F6347*H6347*Inputs!$C$69,"")</f>
      </c>
    </row>
    <row r="6348" spans="2:10" ht="15" customHeight="1" x14ac:dyDescent="0.2">
      <c r="B6348" s="39">
        <f t="shared" si="48"/>
      </c>
      <c r="C6348" s="40">
        <f>IF(Inputs!$C$60,Inputs!$C$11+(B6348-Inputs!$C$69)/Inputs!$C$70,"")</f>
      </c>
      <c r="D6348" s="15"/>
      <c r="E6348" s="15"/>
      <c r="F6348" s="11">
        <f t="shared" si="49"/>
      </c>
      <c r="G6348" s="22" cm="1">
        <f t="array" ref="G6348">IF(AND(Inputs!$C$60,Inputs!$C$61),INDEX(Utility_Rates!$C$29:$F$52,HOUR(C6348)+Inputs!$C$69,MATCH(INDEX(Utility_Rates!$K$6:$K$17,MONTH(C6348))&amp;IF(WEEKDAY(C6348,Inputs!$C$76)&lt;=Inputs!$C$74," weekday"," weekend"),Utility_Rates!$C$28:$F$28,Inputs!$C$68)),"")</f>
      </c>
      <c r="H6348" s="34"/>
      <c r="I6348" s="42">
        <f>IF(AND(ISNUMBER(D6348),ISNUMBER(H6348)),D6348*H6348*Inputs!$C$69,"")</f>
      </c>
      <c r="J6348" s="42">
        <f>IF(AND(ISNUMBER(F6348),ISNUMBER(H6348),F6348&gt;=Inputs!$C$68),F6348*H6348*Inputs!$C$69,"")</f>
      </c>
    </row>
    <row r="6349" spans="2:10" ht="15" customHeight="1" x14ac:dyDescent="0.2">
      <c r="B6349" s="39">
        <f t="shared" si="48"/>
      </c>
      <c r="C6349" s="40">
        <f>IF(Inputs!$C$60,Inputs!$C$11+(B6349-Inputs!$C$69)/Inputs!$C$70,"")</f>
      </c>
      <c r="D6349" s="15"/>
      <c r="E6349" s="15"/>
      <c r="F6349" s="11">
        <f t="shared" si="49"/>
      </c>
      <c r="G6349" s="22" cm="1">
        <f t="array" ref="G6349">IF(AND(Inputs!$C$60,Inputs!$C$61),INDEX(Utility_Rates!$C$29:$F$52,HOUR(C6349)+Inputs!$C$69,MATCH(INDEX(Utility_Rates!$K$6:$K$17,MONTH(C6349))&amp;IF(WEEKDAY(C6349,Inputs!$C$76)&lt;=Inputs!$C$74," weekday"," weekend"),Utility_Rates!$C$28:$F$28,Inputs!$C$68)),"")</f>
      </c>
      <c r="H6349" s="34"/>
      <c r="I6349" s="42">
        <f>IF(AND(ISNUMBER(D6349),ISNUMBER(H6349)),D6349*H6349*Inputs!$C$69,"")</f>
      </c>
      <c r="J6349" s="42">
        <f>IF(AND(ISNUMBER(F6349),ISNUMBER(H6349),F6349&gt;=Inputs!$C$68),F6349*H6349*Inputs!$C$69,"")</f>
      </c>
    </row>
    <row r="6350" spans="2:10" ht="15" customHeight="1" x14ac:dyDescent="0.2">
      <c r="B6350" s="39">
        <f t="shared" si="48"/>
      </c>
      <c r="C6350" s="40">
        <f>IF(Inputs!$C$60,Inputs!$C$11+(B6350-Inputs!$C$69)/Inputs!$C$70,"")</f>
      </c>
      <c r="D6350" s="15"/>
      <c r="E6350" s="15"/>
      <c r="F6350" s="11">
        <f t="shared" si="49"/>
      </c>
      <c r="G6350" s="22" cm="1">
        <f t="array" ref="G6350">IF(AND(Inputs!$C$60,Inputs!$C$61),INDEX(Utility_Rates!$C$29:$F$52,HOUR(C6350)+Inputs!$C$69,MATCH(INDEX(Utility_Rates!$K$6:$K$17,MONTH(C6350))&amp;IF(WEEKDAY(C6350,Inputs!$C$76)&lt;=Inputs!$C$74," weekday"," weekend"),Utility_Rates!$C$28:$F$28,Inputs!$C$68)),"")</f>
      </c>
      <c r="H6350" s="34"/>
      <c r="I6350" s="42">
        <f>IF(AND(ISNUMBER(D6350),ISNUMBER(H6350)),D6350*H6350*Inputs!$C$69,"")</f>
      </c>
      <c r="J6350" s="42">
        <f>IF(AND(ISNUMBER(F6350),ISNUMBER(H6350),F6350&gt;=Inputs!$C$68),F6350*H6350*Inputs!$C$69,"")</f>
      </c>
    </row>
    <row r="6351" spans="2:10" ht="15" customHeight="1" x14ac:dyDescent="0.2">
      <c r="B6351" s="39">
        <f t="shared" si="48"/>
      </c>
      <c r="C6351" s="40">
        <f>IF(Inputs!$C$60,Inputs!$C$11+(B6351-Inputs!$C$69)/Inputs!$C$70,"")</f>
      </c>
      <c r="D6351" s="15"/>
      <c r="E6351" s="15"/>
      <c r="F6351" s="11">
        <f t="shared" si="49"/>
      </c>
      <c r="G6351" s="22" cm="1">
        <f t="array" ref="G6351">IF(AND(Inputs!$C$60,Inputs!$C$61),INDEX(Utility_Rates!$C$29:$F$52,HOUR(C6351)+Inputs!$C$69,MATCH(INDEX(Utility_Rates!$K$6:$K$17,MONTH(C6351))&amp;IF(WEEKDAY(C6351,Inputs!$C$76)&lt;=Inputs!$C$74," weekday"," weekend"),Utility_Rates!$C$28:$F$28,Inputs!$C$68)),"")</f>
      </c>
      <c r="H6351" s="34"/>
      <c r="I6351" s="42">
        <f>IF(AND(ISNUMBER(D6351),ISNUMBER(H6351)),D6351*H6351*Inputs!$C$69,"")</f>
      </c>
      <c r="J6351" s="42">
        <f>IF(AND(ISNUMBER(F6351),ISNUMBER(H6351),F6351&gt;=Inputs!$C$68),F6351*H6351*Inputs!$C$69,"")</f>
      </c>
    </row>
    <row r="6352" spans="2:10" ht="15" customHeight="1" x14ac:dyDescent="0.2">
      <c r="B6352" s="39">
        <f t="shared" si="48"/>
      </c>
      <c r="C6352" s="40">
        <f>IF(Inputs!$C$60,Inputs!$C$11+(B6352-Inputs!$C$69)/Inputs!$C$70,"")</f>
      </c>
      <c r="D6352" s="15"/>
      <c r="E6352" s="15"/>
      <c r="F6352" s="11">
        <f t="shared" si="49"/>
      </c>
      <c r="G6352" s="22" cm="1">
        <f t="array" ref="G6352">IF(AND(Inputs!$C$60,Inputs!$C$61),INDEX(Utility_Rates!$C$29:$F$52,HOUR(C6352)+Inputs!$C$69,MATCH(INDEX(Utility_Rates!$K$6:$K$17,MONTH(C6352))&amp;IF(WEEKDAY(C6352,Inputs!$C$76)&lt;=Inputs!$C$74," weekday"," weekend"),Utility_Rates!$C$28:$F$28,Inputs!$C$68)),"")</f>
      </c>
      <c r="H6352" s="34"/>
      <c r="I6352" s="42">
        <f>IF(AND(ISNUMBER(D6352),ISNUMBER(H6352)),D6352*H6352*Inputs!$C$69,"")</f>
      </c>
      <c r="J6352" s="42">
        <f>IF(AND(ISNUMBER(F6352),ISNUMBER(H6352),F6352&gt;=Inputs!$C$68),F6352*H6352*Inputs!$C$69,"")</f>
      </c>
    </row>
    <row r="6353" spans="2:10" ht="15" customHeight="1" x14ac:dyDescent="0.2">
      <c r="B6353" s="39">
        <f t="shared" si="48"/>
      </c>
      <c r="C6353" s="40">
        <f>IF(Inputs!$C$60,Inputs!$C$11+(B6353-Inputs!$C$69)/Inputs!$C$70,"")</f>
      </c>
      <c r="D6353" s="15"/>
      <c r="E6353" s="15"/>
      <c r="F6353" s="11">
        <f t="shared" si="49"/>
      </c>
      <c r="G6353" s="22" cm="1">
        <f t="array" ref="G6353">IF(AND(Inputs!$C$60,Inputs!$C$61),INDEX(Utility_Rates!$C$29:$F$52,HOUR(C6353)+Inputs!$C$69,MATCH(INDEX(Utility_Rates!$K$6:$K$17,MONTH(C6353))&amp;IF(WEEKDAY(C6353,Inputs!$C$76)&lt;=Inputs!$C$74," weekday"," weekend"),Utility_Rates!$C$28:$F$28,Inputs!$C$68)),"")</f>
      </c>
      <c r="H6353" s="34"/>
      <c r="I6353" s="42">
        <f>IF(AND(ISNUMBER(D6353),ISNUMBER(H6353)),D6353*H6353*Inputs!$C$69,"")</f>
      </c>
      <c r="J6353" s="42">
        <f>IF(AND(ISNUMBER(F6353),ISNUMBER(H6353),F6353&gt;=Inputs!$C$68),F6353*H6353*Inputs!$C$69,"")</f>
      </c>
    </row>
    <row r="6354" spans="2:10" ht="15" customHeight="1" x14ac:dyDescent="0.2">
      <c r="B6354" s="39">
        <f t="shared" si="48"/>
      </c>
      <c r="C6354" s="40">
        <f>IF(Inputs!$C$60,Inputs!$C$11+(B6354-Inputs!$C$69)/Inputs!$C$70,"")</f>
      </c>
      <c r="D6354" s="15"/>
      <c r="E6354" s="15"/>
      <c r="F6354" s="11">
        <f t="shared" si="49"/>
      </c>
      <c r="G6354" s="22" cm="1">
        <f t="array" ref="G6354">IF(AND(Inputs!$C$60,Inputs!$C$61),INDEX(Utility_Rates!$C$29:$F$52,HOUR(C6354)+Inputs!$C$69,MATCH(INDEX(Utility_Rates!$K$6:$K$17,MONTH(C6354))&amp;IF(WEEKDAY(C6354,Inputs!$C$76)&lt;=Inputs!$C$74," weekday"," weekend"),Utility_Rates!$C$28:$F$28,Inputs!$C$68)),"")</f>
      </c>
      <c r="H6354" s="34"/>
      <c r="I6354" s="42">
        <f>IF(AND(ISNUMBER(D6354),ISNUMBER(H6354)),D6354*H6354*Inputs!$C$69,"")</f>
      </c>
      <c r="J6354" s="42">
        <f>IF(AND(ISNUMBER(F6354),ISNUMBER(H6354),F6354&gt;=Inputs!$C$68),F6354*H6354*Inputs!$C$69,"")</f>
      </c>
    </row>
    <row r="6355" spans="2:10" ht="15" customHeight="1" x14ac:dyDescent="0.2">
      <c r="B6355" s="39">
        <f t="shared" si="48"/>
      </c>
      <c r="C6355" s="40">
        <f>IF(Inputs!$C$60,Inputs!$C$11+(B6355-Inputs!$C$69)/Inputs!$C$70,"")</f>
      </c>
      <c r="D6355" s="15"/>
      <c r="E6355" s="15"/>
      <c r="F6355" s="11">
        <f t="shared" si="49"/>
      </c>
      <c r="G6355" s="22" cm="1">
        <f t="array" ref="G6355">IF(AND(Inputs!$C$60,Inputs!$C$61),INDEX(Utility_Rates!$C$29:$F$52,HOUR(C6355)+Inputs!$C$69,MATCH(INDEX(Utility_Rates!$K$6:$K$17,MONTH(C6355))&amp;IF(WEEKDAY(C6355,Inputs!$C$76)&lt;=Inputs!$C$74," weekday"," weekend"),Utility_Rates!$C$28:$F$28,Inputs!$C$68)),"")</f>
      </c>
      <c r="H6355" s="34"/>
      <c r="I6355" s="42">
        <f>IF(AND(ISNUMBER(D6355),ISNUMBER(H6355)),D6355*H6355*Inputs!$C$69,"")</f>
      </c>
      <c r="J6355" s="42">
        <f>IF(AND(ISNUMBER(F6355),ISNUMBER(H6355),F6355&gt;=Inputs!$C$68),F6355*H6355*Inputs!$C$69,"")</f>
      </c>
    </row>
    <row r="6356" spans="2:10" ht="15" customHeight="1" x14ac:dyDescent="0.2">
      <c r="B6356" s="39">
        <f t="shared" si="48"/>
      </c>
      <c r="C6356" s="40">
        <f>IF(Inputs!$C$60,Inputs!$C$11+(B6356-Inputs!$C$69)/Inputs!$C$70,"")</f>
      </c>
      <c r="D6356" s="15"/>
      <c r="E6356" s="15"/>
      <c r="F6356" s="11">
        <f t="shared" si="49"/>
      </c>
      <c r="G6356" s="22" cm="1">
        <f t="array" ref="G6356">IF(AND(Inputs!$C$60,Inputs!$C$61),INDEX(Utility_Rates!$C$29:$F$52,HOUR(C6356)+Inputs!$C$69,MATCH(INDEX(Utility_Rates!$K$6:$K$17,MONTH(C6356))&amp;IF(WEEKDAY(C6356,Inputs!$C$76)&lt;=Inputs!$C$74," weekday"," weekend"),Utility_Rates!$C$28:$F$28,Inputs!$C$68)),"")</f>
      </c>
      <c r="H6356" s="34"/>
      <c r="I6356" s="42">
        <f>IF(AND(ISNUMBER(D6356),ISNUMBER(H6356)),D6356*H6356*Inputs!$C$69,"")</f>
      </c>
      <c r="J6356" s="42">
        <f>IF(AND(ISNUMBER(F6356),ISNUMBER(H6356),F6356&gt;=Inputs!$C$68),F6356*H6356*Inputs!$C$69,"")</f>
      </c>
    </row>
    <row r="6357" spans="2:10" ht="15" customHeight="1" x14ac:dyDescent="0.2">
      <c r="B6357" s="39">
        <f t="shared" si="48"/>
      </c>
      <c r="C6357" s="40">
        <f>IF(Inputs!$C$60,Inputs!$C$11+(B6357-Inputs!$C$69)/Inputs!$C$70,"")</f>
      </c>
      <c r="D6357" s="15"/>
      <c r="E6357" s="15"/>
      <c r="F6357" s="11">
        <f t="shared" si="49"/>
      </c>
      <c r="G6357" s="22" cm="1">
        <f t="array" ref="G6357">IF(AND(Inputs!$C$60,Inputs!$C$61),INDEX(Utility_Rates!$C$29:$F$52,HOUR(C6357)+Inputs!$C$69,MATCH(INDEX(Utility_Rates!$K$6:$K$17,MONTH(C6357))&amp;IF(WEEKDAY(C6357,Inputs!$C$76)&lt;=Inputs!$C$74," weekday"," weekend"),Utility_Rates!$C$28:$F$28,Inputs!$C$68)),"")</f>
      </c>
      <c r="H6357" s="34"/>
      <c r="I6357" s="42">
        <f>IF(AND(ISNUMBER(D6357),ISNUMBER(H6357)),D6357*H6357*Inputs!$C$69,"")</f>
      </c>
      <c r="J6357" s="42">
        <f>IF(AND(ISNUMBER(F6357),ISNUMBER(H6357),F6357&gt;=Inputs!$C$68),F6357*H6357*Inputs!$C$69,"")</f>
      </c>
    </row>
    <row r="6358" spans="2:10" ht="15" customHeight="1" x14ac:dyDescent="0.2">
      <c r="B6358" s="39">
        <f t="shared" si="48"/>
      </c>
      <c r="C6358" s="40">
        <f>IF(Inputs!$C$60,Inputs!$C$11+(B6358-Inputs!$C$69)/Inputs!$C$70,"")</f>
      </c>
      <c r="D6358" s="15"/>
      <c r="E6358" s="15"/>
      <c r="F6358" s="11">
        <f t="shared" si="49"/>
      </c>
      <c r="G6358" s="22" cm="1">
        <f t="array" ref="G6358">IF(AND(Inputs!$C$60,Inputs!$C$61),INDEX(Utility_Rates!$C$29:$F$52,HOUR(C6358)+Inputs!$C$69,MATCH(INDEX(Utility_Rates!$K$6:$K$17,MONTH(C6358))&amp;IF(WEEKDAY(C6358,Inputs!$C$76)&lt;=Inputs!$C$74," weekday"," weekend"),Utility_Rates!$C$28:$F$28,Inputs!$C$68)),"")</f>
      </c>
      <c r="H6358" s="34"/>
      <c r="I6358" s="42">
        <f>IF(AND(ISNUMBER(D6358),ISNUMBER(H6358)),D6358*H6358*Inputs!$C$69,"")</f>
      </c>
      <c r="J6358" s="42">
        <f>IF(AND(ISNUMBER(F6358),ISNUMBER(H6358),F6358&gt;=Inputs!$C$68),F6358*H6358*Inputs!$C$69,"")</f>
      </c>
    </row>
    <row r="6359" spans="2:10" ht="15" customHeight="1" x14ac:dyDescent="0.2">
      <c r="B6359" s="39">
        <f t="shared" si="48"/>
      </c>
      <c r="C6359" s="40">
        <f>IF(Inputs!$C$60,Inputs!$C$11+(B6359-Inputs!$C$69)/Inputs!$C$70,"")</f>
      </c>
      <c r="D6359" s="15"/>
      <c r="E6359" s="15"/>
      <c r="F6359" s="11">
        <f t="shared" si="49"/>
      </c>
      <c r="G6359" s="22" cm="1">
        <f t="array" ref="G6359">IF(AND(Inputs!$C$60,Inputs!$C$61),INDEX(Utility_Rates!$C$29:$F$52,HOUR(C6359)+Inputs!$C$69,MATCH(INDEX(Utility_Rates!$K$6:$K$17,MONTH(C6359))&amp;IF(WEEKDAY(C6359,Inputs!$C$76)&lt;=Inputs!$C$74," weekday"," weekend"),Utility_Rates!$C$28:$F$28,Inputs!$C$68)),"")</f>
      </c>
      <c r="H6359" s="34"/>
      <c r="I6359" s="42">
        <f>IF(AND(ISNUMBER(D6359),ISNUMBER(H6359)),D6359*H6359*Inputs!$C$69,"")</f>
      </c>
      <c r="J6359" s="42">
        <f>IF(AND(ISNUMBER(F6359),ISNUMBER(H6359),F6359&gt;=Inputs!$C$68),F6359*H6359*Inputs!$C$69,"")</f>
      </c>
    </row>
    <row r="6360" spans="2:10" ht="15" customHeight="1" x14ac:dyDescent="0.2">
      <c r="B6360" s="39">
        <f t="shared" si="48"/>
      </c>
      <c r="C6360" s="40">
        <f>IF(Inputs!$C$60,Inputs!$C$11+(B6360-Inputs!$C$69)/Inputs!$C$70,"")</f>
      </c>
      <c r="D6360" s="15"/>
      <c r="E6360" s="15"/>
      <c r="F6360" s="11">
        <f t="shared" si="49"/>
      </c>
      <c r="G6360" s="22" cm="1">
        <f t="array" ref="G6360">IF(AND(Inputs!$C$60,Inputs!$C$61),INDEX(Utility_Rates!$C$29:$F$52,HOUR(C6360)+Inputs!$C$69,MATCH(INDEX(Utility_Rates!$K$6:$K$17,MONTH(C6360))&amp;IF(WEEKDAY(C6360,Inputs!$C$76)&lt;=Inputs!$C$74," weekday"," weekend"),Utility_Rates!$C$28:$F$28,Inputs!$C$68)),"")</f>
      </c>
      <c r="H6360" s="34"/>
      <c r="I6360" s="42">
        <f>IF(AND(ISNUMBER(D6360),ISNUMBER(H6360)),D6360*H6360*Inputs!$C$69,"")</f>
      </c>
      <c r="J6360" s="42">
        <f>IF(AND(ISNUMBER(F6360),ISNUMBER(H6360),F6360&gt;=Inputs!$C$68),F6360*H6360*Inputs!$C$69,"")</f>
      </c>
    </row>
    <row r="6361" spans="2:10" ht="15" customHeight="1" x14ac:dyDescent="0.2">
      <c r="B6361" s="39">
        <f t="shared" si="48"/>
      </c>
      <c r="C6361" s="40">
        <f>IF(Inputs!$C$60,Inputs!$C$11+(B6361-Inputs!$C$69)/Inputs!$C$70,"")</f>
      </c>
      <c r="D6361" s="15"/>
      <c r="E6361" s="15"/>
      <c r="F6361" s="11">
        <f t="shared" si="49"/>
      </c>
      <c r="G6361" s="22" cm="1">
        <f t="array" ref="G6361">IF(AND(Inputs!$C$60,Inputs!$C$61),INDEX(Utility_Rates!$C$29:$F$52,HOUR(C6361)+Inputs!$C$69,MATCH(INDEX(Utility_Rates!$K$6:$K$17,MONTH(C6361))&amp;IF(WEEKDAY(C6361,Inputs!$C$76)&lt;=Inputs!$C$74," weekday"," weekend"),Utility_Rates!$C$28:$F$28,Inputs!$C$68)),"")</f>
      </c>
      <c r="H6361" s="34"/>
      <c r="I6361" s="42">
        <f>IF(AND(ISNUMBER(D6361),ISNUMBER(H6361)),D6361*H6361*Inputs!$C$69,"")</f>
      </c>
      <c r="J6361" s="42">
        <f>IF(AND(ISNUMBER(F6361),ISNUMBER(H6361),F6361&gt;=Inputs!$C$68),F6361*H6361*Inputs!$C$69,"")</f>
      </c>
    </row>
    <row r="6362" spans="2:10" ht="15" customHeight="1" x14ac:dyDescent="0.2">
      <c r="B6362" s="39">
        <f t="shared" si="48"/>
      </c>
      <c r="C6362" s="40">
        <f>IF(Inputs!$C$60,Inputs!$C$11+(B6362-Inputs!$C$69)/Inputs!$C$70,"")</f>
      </c>
      <c r="D6362" s="15"/>
      <c r="E6362" s="15"/>
      <c r="F6362" s="11">
        <f t="shared" si="49"/>
      </c>
      <c r="G6362" s="22" cm="1">
        <f t="array" ref="G6362">IF(AND(Inputs!$C$60,Inputs!$C$61),INDEX(Utility_Rates!$C$29:$F$52,HOUR(C6362)+Inputs!$C$69,MATCH(INDEX(Utility_Rates!$K$6:$K$17,MONTH(C6362))&amp;IF(WEEKDAY(C6362,Inputs!$C$76)&lt;=Inputs!$C$74," weekday"," weekend"),Utility_Rates!$C$28:$F$28,Inputs!$C$68)),"")</f>
      </c>
      <c r="H6362" s="34"/>
      <c r="I6362" s="42">
        <f>IF(AND(ISNUMBER(D6362),ISNUMBER(H6362)),D6362*H6362*Inputs!$C$69,"")</f>
      </c>
      <c r="J6362" s="42">
        <f>IF(AND(ISNUMBER(F6362),ISNUMBER(H6362),F6362&gt;=Inputs!$C$68),F6362*H6362*Inputs!$C$69,"")</f>
      </c>
    </row>
    <row r="6363" spans="2:10" ht="15" customHeight="1" x14ac:dyDescent="0.2">
      <c r="B6363" s="39">
        <f t="shared" si="48"/>
      </c>
      <c r="C6363" s="40">
        <f>IF(Inputs!$C$60,Inputs!$C$11+(B6363-Inputs!$C$69)/Inputs!$C$70,"")</f>
      </c>
      <c r="D6363" s="15"/>
      <c r="E6363" s="15"/>
      <c r="F6363" s="11">
        <f t="shared" si="49"/>
      </c>
      <c r="G6363" s="22" cm="1">
        <f t="array" ref="G6363">IF(AND(Inputs!$C$60,Inputs!$C$61),INDEX(Utility_Rates!$C$29:$F$52,HOUR(C6363)+Inputs!$C$69,MATCH(INDEX(Utility_Rates!$K$6:$K$17,MONTH(C6363))&amp;IF(WEEKDAY(C6363,Inputs!$C$76)&lt;=Inputs!$C$74," weekday"," weekend"),Utility_Rates!$C$28:$F$28,Inputs!$C$68)),"")</f>
      </c>
      <c r="H6363" s="34"/>
      <c r="I6363" s="42">
        <f>IF(AND(ISNUMBER(D6363),ISNUMBER(H6363)),D6363*H6363*Inputs!$C$69,"")</f>
      </c>
      <c r="J6363" s="42">
        <f>IF(AND(ISNUMBER(F6363),ISNUMBER(H6363),F6363&gt;=Inputs!$C$68),F6363*H6363*Inputs!$C$69,"")</f>
      </c>
    </row>
    <row r="6364" spans="2:10" ht="15" customHeight="1" x14ac:dyDescent="0.2">
      <c r="B6364" s="39">
        <f t="shared" si="48"/>
      </c>
      <c r="C6364" s="40">
        <f>IF(Inputs!$C$60,Inputs!$C$11+(B6364-Inputs!$C$69)/Inputs!$C$70,"")</f>
      </c>
      <c r="D6364" s="15"/>
      <c r="E6364" s="15"/>
      <c r="F6364" s="11">
        <f t="shared" si="49"/>
      </c>
      <c r="G6364" s="22" cm="1">
        <f t="array" ref="G6364">IF(AND(Inputs!$C$60,Inputs!$C$61),INDEX(Utility_Rates!$C$29:$F$52,HOUR(C6364)+Inputs!$C$69,MATCH(INDEX(Utility_Rates!$K$6:$K$17,MONTH(C6364))&amp;IF(WEEKDAY(C6364,Inputs!$C$76)&lt;=Inputs!$C$74," weekday"," weekend"),Utility_Rates!$C$28:$F$28,Inputs!$C$68)),"")</f>
      </c>
      <c r="H6364" s="34"/>
      <c r="I6364" s="42">
        <f>IF(AND(ISNUMBER(D6364),ISNUMBER(H6364)),D6364*H6364*Inputs!$C$69,"")</f>
      </c>
      <c r="J6364" s="42">
        <f>IF(AND(ISNUMBER(F6364),ISNUMBER(H6364),F6364&gt;=Inputs!$C$68),F6364*H6364*Inputs!$C$69,"")</f>
      </c>
    </row>
    <row r="6365" spans="2:10" ht="15" customHeight="1" x14ac:dyDescent="0.2">
      <c r="B6365" s="39">
        <f t="shared" si="48"/>
      </c>
      <c r="C6365" s="40">
        <f>IF(Inputs!$C$60,Inputs!$C$11+(B6365-Inputs!$C$69)/Inputs!$C$70,"")</f>
      </c>
      <c r="D6365" s="15"/>
      <c r="E6365" s="15"/>
      <c r="F6365" s="11">
        <f t="shared" si="49"/>
      </c>
      <c r="G6365" s="22" cm="1">
        <f t="array" ref="G6365">IF(AND(Inputs!$C$60,Inputs!$C$61),INDEX(Utility_Rates!$C$29:$F$52,HOUR(C6365)+Inputs!$C$69,MATCH(INDEX(Utility_Rates!$K$6:$K$17,MONTH(C6365))&amp;IF(WEEKDAY(C6365,Inputs!$C$76)&lt;=Inputs!$C$74," weekday"," weekend"),Utility_Rates!$C$28:$F$28,Inputs!$C$68)),"")</f>
      </c>
      <c r="H6365" s="34"/>
      <c r="I6365" s="42">
        <f>IF(AND(ISNUMBER(D6365),ISNUMBER(H6365)),D6365*H6365*Inputs!$C$69,"")</f>
      </c>
      <c r="J6365" s="42">
        <f>IF(AND(ISNUMBER(F6365),ISNUMBER(H6365),F6365&gt;=Inputs!$C$68),F6365*H6365*Inputs!$C$69,"")</f>
      </c>
    </row>
    <row r="6366" spans="2:10" ht="15" customHeight="1" x14ac:dyDescent="0.2">
      <c r="B6366" s="39">
        <f t="shared" si="48"/>
      </c>
      <c r="C6366" s="40">
        <f>IF(Inputs!$C$60,Inputs!$C$11+(B6366-Inputs!$C$69)/Inputs!$C$70,"")</f>
      </c>
      <c r="D6366" s="15"/>
      <c r="E6366" s="15"/>
      <c r="F6366" s="11">
        <f t="shared" si="49"/>
      </c>
      <c r="G6366" s="22" cm="1">
        <f t="array" ref="G6366">IF(AND(Inputs!$C$60,Inputs!$C$61),INDEX(Utility_Rates!$C$29:$F$52,HOUR(C6366)+Inputs!$C$69,MATCH(INDEX(Utility_Rates!$K$6:$K$17,MONTH(C6366))&amp;IF(WEEKDAY(C6366,Inputs!$C$76)&lt;=Inputs!$C$74," weekday"," weekend"),Utility_Rates!$C$28:$F$28,Inputs!$C$68)),"")</f>
      </c>
      <c r="H6366" s="34"/>
      <c r="I6366" s="42">
        <f>IF(AND(ISNUMBER(D6366),ISNUMBER(H6366)),D6366*H6366*Inputs!$C$69,"")</f>
      </c>
      <c r="J6366" s="42">
        <f>IF(AND(ISNUMBER(F6366),ISNUMBER(H6366),F6366&gt;=Inputs!$C$68),F6366*H6366*Inputs!$C$69,"")</f>
      </c>
    </row>
    <row r="6367" spans="2:10" ht="15" customHeight="1" x14ac:dyDescent="0.2">
      <c r="B6367" s="39">
        <f t="shared" si="48"/>
      </c>
      <c r="C6367" s="40">
        <f>IF(Inputs!$C$60,Inputs!$C$11+(B6367-Inputs!$C$69)/Inputs!$C$70,"")</f>
      </c>
      <c r="D6367" s="15"/>
      <c r="E6367" s="15"/>
      <c r="F6367" s="11">
        <f t="shared" si="49"/>
      </c>
      <c r="G6367" s="22" cm="1">
        <f t="array" ref="G6367">IF(AND(Inputs!$C$60,Inputs!$C$61),INDEX(Utility_Rates!$C$29:$F$52,HOUR(C6367)+Inputs!$C$69,MATCH(INDEX(Utility_Rates!$K$6:$K$17,MONTH(C6367))&amp;IF(WEEKDAY(C6367,Inputs!$C$76)&lt;=Inputs!$C$74," weekday"," weekend"),Utility_Rates!$C$28:$F$28,Inputs!$C$68)),"")</f>
      </c>
      <c r="H6367" s="34"/>
      <c r="I6367" s="42">
        <f>IF(AND(ISNUMBER(D6367),ISNUMBER(H6367)),D6367*H6367*Inputs!$C$69,"")</f>
      </c>
      <c r="J6367" s="42">
        <f>IF(AND(ISNUMBER(F6367),ISNUMBER(H6367),F6367&gt;=Inputs!$C$68),F6367*H6367*Inputs!$C$69,"")</f>
      </c>
    </row>
    <row r="6368" spans="2:10" ht="15" customHeight="1" x14ac:dyDescent="0.2">
      <c r="B6368" s="39">
        <f t="shared" si="48"/>
      </c>
      <c r="C6368" s="40">
        <f>IF(Inputs!$C$60,Inputs!$C$11+(B6368-Inputs!$C$69)/Inputs!$C$70,"")</f>
      </c>
      <c r="D6368" s="15"/>
      <c r="E6368" s="15"/>
      <c r="F6368" s="11">
        <f t="shared" si="49"/>
      </c>
      <c r="G6368" s="22" cm="1">
        <f t="array" ref="G6368">IF(AND(Inputs!$C$60,Inputs!$C$61),INDEX(Utility_Rates!$C$29:$F$52,HOUR(C6368)+Inputs!$C$69,MATCH(INDEX(Utility_Rates!$K$6:$K$17,MONTH(C6368))&amp;IF(WEEKDAY(C6368,Inputs!$C$76)&lt;=Inputs!$C$74," weekday"," weekend"),Utility_Rates!$C$28:$F$28,Inputs!$C$68)),"")</f>
      </c>
      <c r="H6368" s="34"/>
      <c r="I6368" s="42">
        <f>IF(AND(ISNUMBER(D6368),ISNUMBER(H6368)),D6368*H6368*Inputs!$C$69,"")</f>
      </c>
      <c r="J6368" s="42">
        <f>IF(AND(ISNUMBER(F6368),ISNUMBER(H6368),F6368&gt;=Inputs!$C$68),F6368*H6368*Inputs!$C$69,"")</f>
      </c>
    </row>
    <row r="6369" spans="2:10" ht="15" customHeight="1" x14ac:dyDescent="0.2">
      <c r="B6369" s="39">
        <f t="shared" si="48"/>
      </c>
      <c r="C6369" s="40">
        <f>IF(Inputs!$C$60,Inputs!$C$11+(B6369-Inputs!$C$69)/Inputs!$C$70,"")</f>
      </c>
      <c r="D6369" s="15"/>
      <c r="E6369" s="15"/>
      <c r="F6369" s="11">
        <f t="shared" si="49"/>
      </c>
      <c r="G6369" s="22" cm="1">
        <f t="array" ref="G6369">IF(AND(Inputs!$C$60,Inputs!$C$61),INDEX(Utility_Rates!$C$29:$F$52,HOUR(C6369)+Inputs!$C$69,MATCH(INDEX(Utility_Rates!$K$6:$K$17,MONTH(C6369))&amp;IF(WEEKDAY(C6369,Inputs!$C$76)&lt;=Inputs!$C$74," weekday"," weekend"),Utility_Rates!$C$28:$F$28,Inputs!$C$68)),"")</f>
      </c>
      <c r="H6369" s="34"/>
      <c r="I6369" s="42">
        <f>IF(AND(ISNUMBER(D6369),ISNUMBER(H6369)),D6369*H6369*Inputs!$C$69,"")</f>
      </c>
      <c r="J6369" s="42">
        <f>IF(AND(ISNUMBER(F6369),ISNUMBER(H6369),F6369&gt;=Inputs!$C$68),F6369*H6369*Inputs!$C$69,"")</f>
      </c>
    </row>
    <row r="6370" spans="2:10" ht="15" customHeight="1" x14ac:dyDescent="0.2">
      <c r="B6370" s="39">
        <f t="shared" si="48"/>
      </c>
      <c r="C6370" s="40">
        <f>IF(Inputs!$C$60,Inputs!$C$11+(B6370-Inputs!$C$69)/Inputs!$C$70,"")</f>
      </c>
      <c r="D6370" s="15"/>
      <c r="E6370" s="15"/>
      <c r="F6370" s="11">
        <f t="shared" si="49"/>
      </c>
      <c r="G6370" s="22" cm="1">
        <f t="array" ref="G6370">IF(AND(Inputs!$C$60,Inputs!$C$61),INDEX(Utility_Rates!$C$29:$F$52,HOUR(C6370)+Inputs!$C$69,MATCH(INDEX(Utility_Rates!$K$6:$K$17,MONTH(C6370))&amp;IF(WEEKDAY(C6370,Inputs!$C$76)&lt;=Inputs!$C$74," weekday"," weekend"),Utility_Rates!$C$28:$F$28,Inputs!$C$68)),"")</f>
      </c>
      <c r="H6370" s="34"/>
      <c r="I6370" s="42">
        <f>IF(AND(ISNUMBER(D6370),ISNUMBER(H6370)),D6370*H6370*Inputs!$C$69,"")</f>
      </c>
      <c r="J6370" s="42">
        <f>IF(AND(ISNUMBER(F6370),ISNUMBER(H6370),F6370&gt;=Inputs!$C$68),F6370*H6370*Inputs!$C$69,"")</f>
      </c>
    </row>
    <row r="6371" spans="2:10" ht="15" customHeight="1" x14ac:dyDescent="0.2">
      <c r="B6371" s="39">
        <f t="shared" si="48"/>
      </c>
      <c r="C6371" s="40">
        <f>IF(Inputs!$C$60,Inputs!$C$11+(B6371-Inputs!$C$69)/Inputs!$C$70,"")</f>
      </c>
      <c r="D6371" s="15"/>
      <c r="E6371" s="15"/>
      <c r="F6371" s="11">
        <f t="shared" si="49"/>
      </c>
      <c r="G6371" s="22" cm="1">
        <f t="array" ref="G6371">IF(AND(Inputs!$C$60,Inputs!$C$61),INDEX(Utility_Rates!$C$29:$F$52,HOUR(C6371)+Inputs!$C$69,MATCH(INDEX(Utility_Rates!$K$6:$K$17,MONTH(C6371))&amp;IF(WEEKDAY(C6371,Inputs!$C$76)&lt;=Inputs!$C$74," weekday"," weekend"),Utility_Rates!$C$28:$F$28,Inputs!$C$68)),"")</f>
      </c>
      <c r="H6371" s="34"/>
      <c r="I6371" s="42">
        <f>IF(AND(ISNUMBER(D6371),ISNUMBER(H6371)),D6371*H6371*Inputs!$C$69,"")</f>
      </c>
      <c r="J6371" s="42">
        <f>IF(AND(ISNUMBER(F6371),ISNUMBER(H6371),F6371&gt;=Inputs!$C$68),F6371*H6371*Inputs!$C$69,"")</f>
      </c>
    </row>
    <row r="6372" spans="2:10" ht="15" customHeight="1" x14ac:dyDescent="0.2">
      <c r="B6372" s="39">
        <f t="shared" si="48"/>
      </c>
      <c r="C6372" s="40">
        <f>IF(Inputs!$C$60,Inputs!$C$11+(B6372-Inputs!$C$69)/Inputs!$C$70,"")</f>
      </c>
      <c r="D6372" s="15"/>
      <c r="E6372" s="15"/>
      <c r="F6372" s="11">
        <f t="shared" si="49"/>
      </c>
      <c r="G6372" s="22" cm="1">
        <f t="array" ref="G6372">IF(AND(Inputs!$C$60,Inputs!$C$61),INDEX(Utility_Rates!$C$29:$F$52,HOUR(C6372)+Inputs!$C$69,MATCH(INDEX(Utility_Rates!$K$6:$K$17,MONTH(C6372))&amp;IF(WEEKDAY(C6372,Inputs!$C$76)&lt;=Inputs!$C$74," weekday"," weekend"),Utility_Rates!$C$28:$F$28,Inputs!$C$68)),"")</f>
      </c>
      <c r="H6372" s="34"/>
      <c r="I6372" s="42">
        <f>IF(AND(ISNUMBER(D6372),ISNUMBER(H6372)),D6372*H6372*Inputs!$C$69,"")</f>
      </c>
      <c r="J6372" s="42">
        <f>IF(AND(ISNUMBER(F6372),ISNUMBER(H6372),F6372&gt;=Inputs!$C$68),F6372*H6372*Inputs!$C$69,"")</f>
      </c>
    </row>
    <row r="6373" spans="2:10" ht="15" customHeight="1" x14ac:dyDescent="0.2">
      <c r="B6373" s="39">
        <f t="shared" si="48"/>
      </c>
      <c r="C6373" s="40">
        <f>IF(Inputs!$C$60,Inputs!$C$11+(B6373-Inputs!$C$69)/Inputs!$C$70,"")</f>
      </c>
      <c r="D6373" s="15"/>
      <c r="E6373" s="15"/>
      <c r="F6373" s="11">
        <f t="shared" si="49"/>
      </c>
      <c r="G6373" s="22" cm="1">
        <f t="array" ref="G6373">IF(AND(Inputs!$C$60,Inputs!$C$61),INDEX(Utility_Rates!$C$29:$F$52,HOUR(C6373)+Inputs!$C$69,MATCH(INDEX(Utility_Rates!$K$6:$K$17,MONTH(C6373))&amp;IF(WEEKDAY(C6373,Inputs!$C$76)&lt;=Inputs!$C$74," weekday"," weekend"),Utility_Rates!$C$28:$F$28,Inputs!$C$68)),"")</f>
      </c>
      <c r="H6373" s="34"/>
      <c r="I6373" s="42">
        <f>IF(AND(ISNUMBER(D6373),ISNUMBER(H6373)),D6373*H6373*Inputs!$C$69,"")</f>
      </c>
      <c r="J6373" s="42">
        <f>IF(AND(ISNUMBER(F6373),ISNUMBER(H6373),F6373&gt;=Inputs!$C$68),F6373*H6373*Inputs!$C$69,"")</f>
      </c>
    </row>
    <row r="6374" spans="2:10" ht="15" customHeight="1" x14ac:dyDescent="0.2">
      <c r="B6374" s="39">
        <f t="shared" si="48"/>
      </c>
      <c r="C6374" s="40">
        <f>IF(Inputs!$C$60,Inputs!$C$11+(B6374-Inputs!$C$69)/Inputs!$C$70,"")</f>
      </c>
      <c r="D6374" s="15"/>
      <c r="E6374" s="15"/>
      <c r="F6374" s="11">
        <f t="shared" si="49"/>
      </c>
      <c r="G6374" s="22" cm="1">
        <f t="array" ref="G6374">IF(AND(Inputs!$C$60,Inputs!$C$61),INDEX(Utility_Rates!$C$29:$F$52,HOUR(C6374)+Inputs!$C$69,MATCH(INDEX(Utility_Rates!$K$6:$K$17,MONTH(C6374))&amp;IF(WEEKDAY(C6374,Inputs!$C$76)&lt;=Inputs!$C$74," weekday"," weekend"),Utility_Rates!$C$28:$F$28,Inputs!$C$68)),"")</f>
      </c>
      <c r="H6374" s="34"/>
      <c r="I6374" s="42">
        <f>IF(AND(ISNUMBER(D6374),ISNUMBER(H6374)),D6374*H6374*Inputs!$C$69,"")</f>
      </c>
      <c r="J6374" s="42">
        <f>IF(AND(ISNUMBER(F6374),ISNUMBER(H6374),F6374&gt;=Inputs!$C$68),F6374*H6374*Inputs!$C$69,"")</f>
      </c>
    </row>
    <row r="6375" spans="2:10" ht="15" customHeight="1" x14ac:dyDescent="0.2">
      <c r="B6375" s="39">
        <f t="shared" si="48"/>
      </c>
      <c r="C6375" s="40">
        <f>IF(Inputs!$C$60,Inputs!$C$11+(B6375-Inputs!$C$69)/Inputs!$C$70,"")</f>
      </c>
      <c r="D6375" s="15"/>
      <c r="E6375" s="15"/>
      <c r="F6375" s="11">
        <f t="shared" si="49"/>
      </c>
      <c r="G6375" s="22" cm="1">
        <f t="array" ref="G6375">IF(AND(Inputs!$C$60,Inputs!$C$61),INDEX(Utility_Rates!$C$29:$F$52,HOUR(C6375)+Inputs!$C$69,MATCH(INDEX(Utility_Rates!$K$6:$K$17,MONTH(C6375))&amp;IF(WEEKDAY(C6375,Inputs!$C$76)&lt;=Inputs!$C$74," weekday"," weekend"),Utility_Rates!$C$28:$F$28,Inputs!$C$68)),"")</f>
      </c>
      <c r="H6375" s="34"/>
      <c r="I6375" s="42">
        <f>IF(AND(ISNUMBER(D6375),ISNUMBER(H6375)),D6375*H6375*Inputs!$C$69,"")</f>
      </c>
      <c r="J6375" s="42">
        <f>IF(AND(ISNUMBER(F6375),ISNUMBER(H6375),F6375&gt;=Inputs!$C$68),F6375*H6375*Inputs!$C$69,"")</f>
      </c>
    </row>
    <row r="6376" spans="2:10" ht="15" customHeight="1" x14ac:dyDescent="0.2">
      <c r="B6376" s="39">
        <f t="shared" si="48"/>
      </c>
      <c r="C6376" s="40">
        <f>IF(Inputs!$C$60,Inputs!$C$11+(B6376-Inputs!$C$69)/Inputs!$C$70,"")</f>
      </c>
      <c r="D6376" s="15"/>
      <c r="E6376" s="15"/>
      <c r="F6376" s="11">
        <f t="shared" si="49"/>
      </c>
      <c r="G6376" s="22" cm="1">
        <f t="array" ref="G6376">IF(AND(Inputs!$C$60,Inputs!$C$61),INDEX(Utility_Rates!$C$29:$F$52,HOUR(C6376)+Inputs!$C$69,MATCH(INDEX(Utility_Rates!$K$6:$K$17,MONTH(C6376))&amp;IF(WEEKDAY(C6376,Inputs!$C$76)&lt;=Inputs!$C$74," weekday"," weekend"),Utility_Rates!$C$28:$F$28,Inputs!$C$68)),"")</f>
      </c>
      <c r="H6376" s="34"/>
      <c r="I6376" s="42">
        <f>IF(AND(ISNUMBER(D6376),ISNUMBER(H6376)),D6376*H6376*Inputs!$C$69,"")</f>
      </c>
      <c r="J6376" s="42">
        <f>IF(AND(ISNUMBER(F6376),ISNUMBER(H6376),F6376&gt;=Inputs!$C$68),F6376*H6376*Inputs!$C$69,"")</f>
      </c>
    </row>
    <row r="6377" spans="2:10" ht="15" customHeight="1" x14ac:dyDescent="0.2">
      <c r="B6377" s="39">
        <f t="shared" si="48"/>
      </c>
      <c r="C6377" s="40">
        <f>IF(Inputs!$C$60,Inputs!$C$11+(B6377-Inputs!$C$69)/Inputs!$C$70,"")</f>
      </c>
      <c r="D6377" s="15"/>
      <c r="E6377" s="15"/>
      <c r="F6377" s="11">
        <f t="shared" si="49"/>
      </c>
      <c r="G6377" s="22" cm="1">
        <f t="array" ref="G6377">IF(AND(Inputs!$C$60,Inputs!$C$61),INDEX(Utility_Rates!$C$29:$F$52,HOUR(C6377)+Inputs!$C$69,MATCH(INDEX(Utility_Rates!$K$6:$K$17,MONTH(C6377))&amp;IF(WEEKDAY(C6377,Inputs!$C$76)&lt;=Inputs!$C$74," weekday"," weekend"),Utility_Rates!$C$28:$F$28,Inputs!$C$68)),"")</f>
      </c>
      <c r="H6377" s="34"/>
      <c r="I6377" s="42">
        <f>IF(AND(ISNUMBER(D6377),ISNUMBER(H6377)),D6377*H6377*Inputs!$C$69,"")</f>
      </c>
      <c r="J6377" s="42">
        <f>IF(AND(ISNUMBER(F6377),ISNUMBER(H6377),F6377&gt;=Inputs!$C$68),F6377*H6377*Inputs!$C$69,"")</f>
      </c>
    </row>
    <row r="6378" spans="2:10" ht="15" customHeight="1" x14ac:dyDescent="0.2">
      <c r="B6378" s="39">
        <f t="shared" si="48"/>
      </c>
      <c r="C6378" s="40">
        <f>IF(Inputs!$C$60,Inputs!$C$11+(B6378-Inputs!$C$69)/Inputs!$C$70,"")</f>
      </c>
      <c r="D6378" s="15"/>
      <c r="E6378" s="15"/>
      <c r="F6378" s="11">
        <f t="shared" si="49"/>
      </c>
      <c r="G6378" s="22" cm="1">
        <f t="array" ref="G6378">IF(AND(Inputs!$C$60,Inputs!$C$61),INDEX(Utility_Rates!$C$29:$F$52,HOUR(C6378)+Inputs!$C$69,MATCH(INDEX(Utility_Rates!$K$6:$K$17,MONTH(C6378))&amp;IF(WEEKDAY(C6378,Inputs!$C$76)&lt;=Inputs!$C$74," weekday"," weekend"),Utility_Rates!$C$28:$F$28,Inputs!$C$68)),"")</f>
      </c>
      <c r="H6378" s="34"/>
      <c r="I6378" s="42">
        <f>IF(AND(ISNUMBER(D6378),ISNUMBER(H6378)),D6378*H6378*Inputs!$C$69,"")</f>
      </c>
      <c r="J6378" s="42">
        <f>IF(AND(ISNUMBER(F6378),ISNUMBER(H6378),F6378&gt;=Inputs!$C$68),F6378*H6378*Inputs!$C$69,"")</f>
      </c>
    </row>
    <row r="6379" spans="2:10" ht="15" customHeight="1" x14ac:dyDescent="0.2">
      <c r="B6379" s="39">
        <f t="shared" si="48"/>
      </c>
      <c r="C6379" s="40">
        <f>IF(Inputs!$C$60,Inputs!$C$11+(B6379-Inputs!$C$69)/Inputs!$C$70,"")</f>
      </c>
      <c r="D6379" s="15"/>
      <c r="E6379" s="15"/>
      <c r="F6379" s="11">
        <f t="shared" si="49"/>
      </c>
      <c r="G6379" s="22" cm="1">
        <f t="array" ref="G6379">IF(AND(Inputs!$C$60,Inputs!$C$61),INDEX(Utility_Rates!$C$29:$F$52,HOUR(C6379)+Inputs!$C$69,MATCH(INDEX(Utility_Rates!$K$6:$K$17,MONTH(C6379))&amp;IF(WEEKDAY(C6379,Inputs!$C$76)&lt;=Inputs!$C$74," weekday"," weekend"),Utility_Rates!$C$28:$F$28,Inputs!$C$68)),"")</f>
      </c>
      <c r="H6379" s="34"/>
      <c r="I6379" s="42">
        <f>IF(AND(ISNUMBER(D6379),ISNUMBER(H6379)),D6379*H6379*Inputs!$C$69,"")</f>
      </c>
      <c r="J6379" s="42">
        <f>IF(AND(ISNUMBER(F6379),ISNUMBER(H6379),F6379&gt;=Inputs!$C$68),F6379*H6379*Inputs!$C$69,"")</f>
      </c>
    </row>
    <row r="6380" spans="2:10" ht="15" customHeight="1" x14ac:dyDescent="0.2">
      <c r="B6380" s="39">
        <f t="shared" si="48"/>
      </c>
      <c r="C6380" s="40">
        <f>IF(Inputs!$C$60,Inputs!$C$11+(B6380-Inputs!$C$69)/Inputs!$C$70,"")</f>
      </c>
      <c r="D6380" s="15"/>
      <c r="E6380" s="15"/>
      <c r="F6380" s="11">
        <f t="shared" si="49"/>
      </c>
      <c r="G6380" s="22" cm="1">
        <f t="array" ref="G6380">IF(AND(Inputs!$C$60,Inputs!$C$61),INDEX(Utility_Rates!$C$29:$F$52,HOUR(C6380)+Inputs!$C$69,MATCH(INDEX(Utility_Rates!$K$6:$K$17,MONTH(C6380))&amp;IF(WEEKDAY(C6380,Inputs!$C$76)&lt;=Inputs!$C$74," weekday"," weekend"),Utility_Rates!$C$28:$F$28,Inputs!$C$68)),"")</f>
      </c>
      <c r="H6380" s="34"/>
      <c r="I6380" s="42">
        <f>IF(AND(ISNUMBER(D6380),ISNUMBER(H6380)),D6380*H6380*Inputs!$C$69,"")</f>
      </c>
      <c r="J6380" s="42">
        <f>IF(AND(ISNUMBER(F6380),ISNUMBER(H6380),F6380&gt;=Inputs!$C$68),F6380*H6380*Inputs!$C$69,"")</f>
      </c>
    </row>
    <row r="6381" spans="2:10" ht="15" customHeight="1" x14ac:dyDescent="0.2">
      <c r="B6381" s="39">
        <f t="shared" ref="B6381:B6635" si="50">ROW()-ROW($B$5)</f>
      </c>
      <c r="C6381" s="40">
        <f>IF(Inputs!$C$60,Inputs!$C$11+(B6381-Inputs!$C$69)/Inputs!$C$70,"")</f>
      </c>
      <c r="D6381" s="15"/>
      <c r="E6381" s="15"/>
      <c r="F6381" s="11">
        <f t="shared" ref="F6381:F6635" si="51">IF(COUNT(D6381:E6381)=COLUMNS(D6381:E6381),D6381-E6381,"")</f>
      </c>
      <c r="G6381" s="22" cm="1">
        <f t="array" ref="G6381">IF(AND(Inputs!$C$60,Inputs!$C$61),INDEX(Utility_Rates!$C$29:$F$52,HOUR(C6381)+Inputs!$C$69,MATCH(INDEX(Utility_Rates!$K$6:$K$17,MONTH(C6381))&amp;IF(WEEKDAY(C6381,Inputs!$C$76)&lt;=Inputs!$C$74," weekday"," weekend"),Utility_Rates!$C$28:$F$28,Inputs!$C$68)),"")</f>
      </c>
      <c r="H6381" s="34"/>
      <c r="I6381" s="42">
        <f>IF(AND(ISNUMBER(D6381),ISNUMBER(H6381)),D6381*H6381*Inputs!$C$69,"")</f>
      </c>
      <c r="J6381" s="42">
        <f>IF(AND(ISNUMBER(F6381),ISNUMBER(H6381),F6381&gt;=Inputs!$C$68),F6381*H6381*Inputs!$C$69,"")</f>
      </c>
    </row>
    <row r="6382" spans="2:10" ht="15" customHeight="1" x14ac:dyDescent="0.2">
      <c r="B6382" s="39">
        <f t="shared" si="50"/>
      </c>
      <c r="C6382" s="40">
        <f>IF(Inputs!$C$60,Inputs!$C$11+(B6382-Inputs!$C$69)/Inputs!$C$70,"")</f>
      </c>
      <c r="D6382" s="15"/>
      <c r="E6382" s="15"/>
      <c r="F6382" s="11">
        <f t="shared" si="51"/>
      </c>
      <c r="G6382" s="22" cm="1">
        <f t="array" ref="G6382">IF(AND(Inputs!$C$60,Inputs!$C$61),INDEX(Utility_Rates!$C$29:$F$52,HOUR(C6382)+Inputs!$C$69,MATCH(INDEX(Utility_Rates!$K$6:$K$17,MONTH(C6382))&amp;IF(WEEKDAY(C6382,Inputs!$C$76)&lt;=Inputs!$C$74," weekday"," weekend"),Utility_Rates!$C$28:$F$28,Inputs!$C$68)),"")</f>
      </c>
      <c r="H6382" s="34"/>
      <c r="I6382" s="42">
        <f>IF(AND(ISNUMBER(D6382),ISNUMBER(H6382)),D6382*H6382*Inputs!$C$69,"")</f>
      </c>
      <c r="J6382" s="42">
        <f>IF(AND(ISNUMBER(F6382),ISNUMBER(H6382),F6382&gt;=Inputs!$C$68),F6382*H6382*Inputs!$C$69,"")</f>
      </c>
    </row>
    <row r="6383" spans="2:10" ht="15" customHeight="1" x14ac:dyDescent="0.2">
      <c r="B6383" s="39">
        <f t="shared" si="50"/>
      </c>
      <c r="C6383" s="40">
        <f>IF(Inputs!$C$60,Inputs!$C$11+(B6383-Inputs!$C$69)/Inputs!$C$70,"")</f>
      </c>
      <c r="D6383" s="15"/>
      <c r="E6383" s="15"/>
      <c r="F6383" s="11">
        <f t="shared" si="51"/>
      </c>
      <c r="G6383" s="22" cm="1">
        <f t="array" ref="G6383">IF(AND(Inputs!$C$60,Inputs!$C$61),INDEX(Utility_Rates!$C$29:$F$52,HOUR(C6383)+Inputs!$C$69,MATCH(INDEX(Utility_Rates!$K$6:$K$17,MONTH(C6383))&amp;IF(WEEKDAY(C6383,Inputs!$C$76)&lt;=Inputs!$C$74," weekday"," weekend"),Utility_Rates!$C$28:$F$28,Inputs!$C$68)),"")</f>
      </c>
      <c r="H6383" s="34"/>
      <c r="I6383" s="42">
        <f>IF(AND(ISNUMBER(D6383),ISNUMBER(H6383)),D6383*H6383*Inputs!$C$69,"")</f>
      </c>
      <c r="J6383" s="42">
        <f>IF(AND(ISNUMBER(F6383),ISNUMBER(H6383),F6383&gt;=Inputs!$C$68),F6383*H6383*Inputs!$C$69,"")</f>
      </c>
    </row>
    <row r="6384" spans="2:10" ht="15" customHeight="1" x14ac:dyDescent="0.2">
      <c r="B6384" s="39">
        <f t="shared" si="50"/>
      </c>
      <c r="C6384" s="40">
        <f>IF(Inputs!$C$60,Inputs!$C$11+(B6384-Inputs!$C$69)/Inputs!$C$70,"")</f>
      </c>
      <c r="D6384" s="15"/>
      <c r="E6384" s="15"/>
      <c r="F6384" s="11">
        <f t="shared" si="51"/>
      </c>
      <c r="G6384" s="22" cm="1">
        <f t="array" ref="G6384">IF(AND(Inputs!$C$60,Inputs!$C$61),INDEX(Utility_Rates!$C$29:$F$52,HOUR(C6384)+Inputs!$C$69,MATCH(INDEX(Utility_Rates!$K$6:$K$17,MONTH(C6384))&amp;IF(WEEKDAY(C6384,Inputs!$C$76)&lt;=Inputs!$C$74," weekday"," weekend"),Utility_Rates!$C$28:$F$28,Inputs!$C$68)),"")</f>
      </c>
      <c r="H6384" s="34"/>
      <c r="I6384" s="42">
        <f>IF(AND(ISNUMBER(D6384),ISNUMBER(H6384)),D6384*H6384*Inputs!$C$69,"")</f>
      </c>
      <c r="J6384" s="42">
        <f>IF(AND(ISNUMBER(F6384),ISNUMBER(H6384),F6384&gt;=Inputs!$C$68),F6384*H6384*Inputs!$C$69,"")</f>
      </c>
    </row>
    <row r="6385" spans="2:10" ht="15" customHeight="1" x14ac:dyDescent="0.2">
      <c r="B6385" s="39">
        <f t="shared" si="50"/>
      </c>
      <c r="C6385" s="40">
        <f>IF(Inputs!$C$60,Inputs!$C$11+(B6385-Inputs!$C$69)/Inputs!$C$70,"")</f>
      </c>
      <c r="D6385" s="15"/>
      <c r="E6385" s="15"/>
      <c r="F6385" s="11">
        <f t="shared" si="51"/>
      </c>
      <c r="G6385" s="22" cm="1">
        <f t="array" ref="G6385">IF(AND(Inputs!$C$60,Inputs!$C$61),INDEX(Utility_Rates!$C$29:$F$52,HOUR(C6385)+Inputs!$C$69,MATCH(INDEX(Utility_Rates!$K$6:$K$17,MONTH(C6385))&amp;IF(WEEKDAY(C6385,Inputs!$C$76)&lt;=Inputs!$C$74," weekday"," weekend"),Utility_Rates!$C$28:$F$28,Inputs!$C$68)),"")</f>
      </c>
      <c r="H6385" s="34"/>
      <c r="I6385" s="42">
        <f>IF(AND(ISNUMBER(D6385),ISNUMBER(H6385)),D6385*H6385*Inputs!$C$69,"")</f>
      </c>
      <c r="J6385" s="42">
        <f>IF(AND(ISNUMBER(F6385),ISNUMBER(H6385),F6385&gt;=Inputs!$C$68),F6385*H6385*Inputs!$C$69,"")</f>
      </c>
    </row>
    <row r="6386" spans="2:10" ht="15" customHeight="1" x14ac:dyDescent="0.2">
      <c r="B6386" s="39">
        <f t="shared" si="50"/>
      </c>
      <c r="C6386" s="40">
        <f>IF(Inputs!$C$60,Inputs!$C$11+(B6386-Inputs!$C$69)/Inputs!$C$70,"")</f>
      </c>
      <c r="D6386" s="15"/>
      <c r="E6386" s="15"/>
      <c r="F6386" s="11">
        <f t="shared" si="51"/>
      </c>
      <c r="G6386" s="22" cm="1">
        <f t="array" ref="G6386">IF(AND(Inputs!$C$60,Inputs!$C$61),INDEX(Utility_Rates!$C$29:$F$52,HOUR(C6386)+Inputs!$C$69,MATCH(INDEX(Utility_Rates!$K$6:$K$17,MONTH(C6386))&amp;IF(WEEKDAY(C6386,Inputs!$C$76)&lt;=Inputs!$C$74," weekday"," weekend"),Utility_Rates!$C$28:$F$28,Inputs!$C$68)),"")</f>
      </c>
      <c r="H6386" s="34"/>
      <c r="I6386" s="42">
        <f>IF(AND(ISNUMBER(D6386),ISNUMBER(H6386)),D6386*H6386*Inputs!$C$69,"")</f>
      </c>
      <c r="J6386" s="42">
        <f>IF(AND(ISNUMBER(F6386),ISNUMBER(H6386),F6386&gt;=Inputs!$C$68),F6386*H6386*Inputs!$C$69,"")</f>
      </c>
    </row>
    <row r="6387" spans="2:10" ht="15" customHeight="1" x14ac:dyDescent="0.2">
      <c r="B6387" s="39">
        <f t="shared" si="50"/>
      </c>
      <c r="C6387" s="40">
        <f>IF(Inputs!$C$60,Inputs!$C$11+(B6387-Inputs!$C$69)/Inputs!$C$70,"")</f>
      </c>
      <c r="D6387" s="15"/>
      <c r="E6387" s="15"/>
      <c r="F6387" s="11">
        <f t="shared" si="51"/>
      </c>
      <c r="G6387" s="22" cm="1">
        <f t="array" ref="G6387">IF(AND(Inputs!$C$60,Inputs!$C$61),INDEX(Utility_Rates!$C$29:$F$52,HOUR(C6387)+Inputs!$C$69,MATCH(INDEX(Utility_Rates!$K$6:$K$17,MONTH(C6387))&amp;IF(WEEKDAY(C6387,Inputs!$C$76)&lt;=Inputs!$C$74," weekday"," weekend"),Utility_Rates!$C$28:$F$28,Inputs!$C$68)),"")</f>
      </c>
      <c r="H6387" s="34"/>
      <c r="I6387" s="42">
        <f>IF(AND(ISNUMBER(D6387),ISNUMBER(H6387)),D6387*H6387*Inputs!$C$69,"")</f>
      </c>
      <c r="J6387" s="42">
        <f>IF(AND(ISNUMBER(F6387),ISNUMBER(H6387),F6387&gt;=Inputs!$C$68),F6387*H6387*Inputs!$C$69,"")</f>
      </c>
    </row>
    <row r="6388" spans="2:10" ht="15" customHeight="1" x14ac:dyDescent="0.2">
      <c r="B6388" s="39">
        <f t="shared" si="50"/>
      </c>
      <c r="C6388" s="40">
        <f>IF(Inputs!$C$60,Inputs!$C$11+(B6388-Inputs!$C$69)/Inputs!$C$70,"")</f>
      </c>
      <c r="D6388" s="15"/>
      <c r="E6388" s="15"/>
      <c r="F6388" s="11">
        <f t="shared" si="51"/>
      </c>
      <c r="G6388" s="22" cm="1">
        <f t="array" ref="G6388">IF(AND(Inputs!$C$60,Inputs!$C$61),INDEX(Utility_Rates!$C$29:$F$52,HOUR(C6388)+Inputs!$C$69,MATCH(INDEX(Utility_Rates!$K$6:$K$17,MONTH(C6388))&amp;IF(WEEKDAY(C6388,Inputs!$C$76)&lt;=Inputs!$C$74," weekday"," weekend"),Utility_Rates!$C$28:$F$28,Inputs!$C$68)),"")</f>
      </c>
      <c r="H6388" s="34"/>
      <c r="I6388" s="42">
        <f>IF(AND(ISNUMBER(D6388),ISNUMBER(H6388)),D6388*H6388*Inputs!$C$69,"")</f>
      </c>
      <c r="J6388" s="42">
        <f>IF(AND(ISNUMBER(F6388),ISNUMBER(H6388),F6388&gt;=Inputs!$C$68),F6388*H6388*Inputs!$C$69,"")</f>
      </c>
    </row>
    <row r="6389" spans="2:10" ht="15" customHeight="1" x14ac:dyDescent="0.2">
      <c r="B6389" s="39">
        <f t="shared" si="50"/>
      </c>
      <c r="C6389" s="40">
        <f>IF(Inputs!$C$60,Inputs!$C$11+(B6389-Inputs!$C$69)/Inputs!$C$70,"")</f>
      </c>
      <c r="D6389" s="15"/>
      <c r="E6389" s="15"/>
      <c r="F6389" s="11">
        <f t="shared" si="51"/>
      </c>
      <c r="G6389" s="22" cm="1">
        <f t="array" ref="G6389">IF(AND(Inputs!$C$60,Inputs!$C$61),INDEX(Utility_Rates!$C$29:$F$52,HOUR(C6389)+Inputs!$C$69,MATCH(INDEX(Utility_Rates!$K$6:$K$17,MONTH(C6389))&amp;IF(WEEKDAY(C6389,Inputs!$C$76)&lt;=Inputs!$C$74," weekday"," weekend"),Utility_Rates!$C$28:$F$28,Inputs!$C$68)),"")</f>
      </c>
      <c r="H6389" s="34"/>
      <c r="I6389" s="42">
        <f>IF(AND(ISNUMBER(D6389),ISNUMBER(H6389)),D6389*H6389*Inputs!$C$69,"")</f>
      </c>
      <c r="J6389" s="42">
        <f>IF(AND(ISNUMBER(F6389),ISNUMBER(H6389),F6389&gt;=Inputs!$C$68),F6389*H6389*Inputs!$C$69,"")</f>
      </c>
    </row>
    <row r="6390" spans="2:10" ht="15" customHeight="1" x14ac:dyDescent="0.2">
      <c r="B6390" s="39">
        <f t="shared" si="50"/>
      </c>
      <c r="C6390" s="40">
        <f>IF(Inputs!$C$60,Inputs!$C$11+(B6390-Inputs!$C$69)/Inputs!$C$70,"")</f>
      </c>
      <c r="D6390" s="15"/>
      <c r="E6390" s="15"/>
      <c r="F6390" s="11">
        <f t="shared" si="51"/>
      </c>
      <c r="G6390" s="22" cm="1">
        <f t="array" ref="G6390">IF(AND(Inputs!$C$60,Inputs!$C$61),INDEX(Utility_Rates!$C$29:$F$52,HOUR(C6390)+Inputs!$C$69,MATCH(INDEX(Utility_Rates!$K$6:$K$17,MONTH(C6390))&amp;IF(WEEKDAY(C6390,Inputs!$C$76)&lt;=Inputs!$C$74," weekday"," weekend"),Utility_Rates!$C$28:$F$28,Inputs!$C$68)),"")</f>
      </c>
      <c r="H6390" s="34"/>
      <c r="I6390" s="42">
        <f>IF(AND(ISNUMBER(D6390),ISNUMBER(H6390)),D6390*H6390*Inputs!$C$69,"")</f>
      </c>
      <c r="J6390" s="42">
        <f>IF(AND(ISNUMBER(F6390),ISNUMBER(H6390),F6390&gt;=Inputs!$C$68),F6390*H6390*Inputs!$C$69,"")</f>
      </c>
    </row>
    <row r="6391" spans="2:10" ht="15" customHeight="1" x14ac:dyDescent="0.2">
      <c r="B6391" s="39">
        <f t="shared" si="50"/>
      </c>
      <c r="C6391" s="40">
        <f>IF(Inputs!$C$60,Inputs!$C$11+(B6391-Inputs!$C$69)/Inputs!$C$70,"")</f>
      </c>
      <c r="D6391" s="15"/>
      <c r="E6391" s="15"/>
      <c r="F6391" s="11">
        <f t="shared" si="51"/>
      </c>
      <c r="G6391" s="22" cm="1">
        <f t="array" ref="G6391">IF(AND(Inputs!$C$60,Inputs!$C$61),INDEX(Utility_Rates!$C$29:$F$52,HOUR(C6391)+Inputs!$C$69,MATCH(INDEX(Utility_Rates!$K$6:$K$17,MONTH(C6391))&amp;IF(WEEKDAY(C6391,Inputs!$C$76)&lt;=Inputs!$C$74," weekday"," weekend"),Utility_Rates!$C$28:$F$28,Inputs!$C$68)),"")</f>
      </c>
      <c r="H6391" s="34"/>
      <c r="I6391" s="42">
        <f>IF(AND(ISNUMBER(D6391),ISNUMBER(H6391)),D6391*H6391*Inputs!$C$69,"")</f>
      </c>
      <c r="J6391" s="42">
        <f>IF(AND(ISNUMBER(F6391),ISNUMBER(H6391),F6391&gt;=Inputs!$C$68),F6391*H6391*Inputs!$C$69,"")</f>
      </c>
    </row>
    <row r="6392" spans="2:10" ht="15" customHeight="1" x14ac:dyDescent="0.2">
      <c r="B6392" s="39">
        <f t="shared" si="50"/>
      </c>
      <c r="C6392" s="40">
        <f>IF(Inputs!$C$60,Inputs!$C$11+(B6392-Inputs!$C$69)/Inputs!$C$70,"")</f>
      </c>
      <c r="D6392" s="15"/>
      <c r="E6392" s="15"/>
      <c r="F6392" s="11">
        <f t="shared" si="51"/>
      </c>
      <c r="G6392" s="22" cm="1">
        <f t="array" ref="G6392">IF(AND(Inputs!$C$60,Inputs!$C$61),INDEX(Utility_Rates!$C$29:$F$52,HOUR(C6392)+Inputs!$C$69,MATCH(INDEX(Utility_Rates!$K$6:$K$17,MONTH(C6392))&amp;IF(WEEKDAY(C6392,Inputs!$C$76)&lt;=Inputs!$C$74," weekday"," weekend"),Utility_Rates!$C$28:$F$28,Inputs!$C$68)),"")</f>
      </c>
      <c r="H6392" s="34"/>
      <c r="I6392" s="42">
        <f>IF(AND(ISNUMBER(D6392),ISNUMBER(H6392)),D6392*H6392*Inputs!$C$69,"")</f>
      </c>
      <c r="J6392" s="42">
        <f>IF(AND(ISNUMBER(F6392),ISNUMBER(H6392),F6392&gt;=Inputs!$C$68),F6392*H6392*Inputs!$C$69,"")</f>
      </c>
    </row>
    <row r="6393" spans="2:10" ht="15" customHeight="1" x14ac:dyDescent="0.2">
      <c r="B6393" s="39">
        <f t="shared" si="50"/>
      </c>
      <c r="C6393" s="40">
        <f>IF(Inputs!$C$60,Inputs!$C$11+(B6393-Inputs!$C$69)/Inputs!$C$70,"")</f>
      </c>
      <c r="D6393" s="15"/>
      <c r="E6393" s="15"/>
      <c r="F6393" s="11">
        <f t="shared" si="51"/>
      </c>
      <c r="G6393" s="22" cm="1">
        <f t="array" ref="G6393">IF(AND(Inputs!$C$60,Inputs!$C$61),INDEX(Utility_Rates!$C$29:$F$52,HOUR(C6393)+Inputs!$C$69,MATCH(INDEX(Utility_Rates!$K$6:$K$17,MONTH(C6393))&amp;IF(WEEKDAY(C6393,Inputs!$C$76)&lt;=Inputs!$C$74," weekday"," weekend"),Utility_Rates!$C$28:$F$28,Inputs!$C$68)),"")</f>
      </c>
      <c r="H6393" s="34"/>
      <c r="I6393" s="42">
        <f>IF(AND(ISNUMBER(D6393),ISNUMBER(H6393)),D6393*H6393*Inputs!$C$69,"")</f>
      </c>
      <c r="J6393" s="42">
        <f>IF(AND(ISNUMBER(F6393),ISNUMBER(H6393),F6393&gt;=Inputs!$C$68),F6393*H6393*Inputs!$C$69,"")</f>
      </c>
    </row>
    <row r="6394" spans="2:10" ht="15" customHeight="1" x14ac:dyDescent="0.2">
      <c r="B6394" s="39">
        <f t="shared" si="50"/>
      </c>
      <c r="C6394" s="40">
        <f>IF(Inputs!$C$60,Inputs!$C$11+(B6394-Inputs!$C$69)/Inputs!$C$70,"")</f>
      </c>
      <c r="D6394" s="15"/>
      <c r="E6394" s="15"/>
      <c r="F6394" s="11">
        <f t="shared" si="51"/>
      </c>
      <c r="G6394" s="22" cm="1">
        <f t="array" ref="G6394">IF(AND(Inputs!$C$60,Inputs!$C$61),INDEX(Utility_Rates!$C$29:$F$52,HOUR(C6394)+Inputs!$C$69,MATCH(INDEX(Utility_Rates!$K$6:$K$17,MONTH(C6394))&amp;IF(WEEKDAY(C6394,Inputs!$C$76)&lt;=Inputs!$C$74," weekday"," weekend"),Utility_Rates!$C$28:$F$28,Inputs!$C$68)),"")</f>
      </c>
      <c r="H6394" s="34"/>
      <c r="I6394" s="42">
        <f>IF(AND(ISNUMBER(D6394),ISNUMBER(H6394)),D6394*H6394*Inputs!$C$69,"")</f>
      </c>
      <c r="J6394" s="42">
        <f>IF(AND(ISNUMBER(F6394),ISNUMBER(H6394),F6394&gt;=Inputs!$C$68),F6394*H6394*Inputs!$C$69,"")</f>
      </c>
    </row>
    <row r="6395" spans="2:10" ht="15" customHeight="1" x14ac:dyDescent="0.2">
      <c r="B6395" s="39">
        <f t="shared" si="50"/>
      </c>
      <c r="C6395" s="40">
        <f>IF(Inputs!$C$60,Inputs!$C$11+(B6395-Inputs!$C$69)/Inputs!$C$70,"")</f>
      </c>
      <c r="D6395" s="15"/>
      <c r="E6395" s="15"/>
      <c r="F6395" s="11">
        <f t="shared" si="51"/>
      </c>
      <c r="G6395" s="22" cm="1">
        <f t="array" ref="G6395">IF(AND(Inputs!$C$60,Inputs!$C$61),INDEX(Utility_Rates!$C$29:$F$52,HOUR(C6395)+Inputs!$C$69,MATCH(INDEX(Utility_Rates!$K$6:$K$17,MONTH(C6395))&amp;IF(WEEKDAY(C6395,Inputs!$C$76)&lt;=Inputs!$C$74," weekday"," weekend"),Utility_Rates!$C$28:$F$28,Inputs!$C$68)),"")</f>
      </c>
      <c r="H6395" s="34"/>
      <c r="I6395" s="42">
        <f>IF(AND(ISNUMBER(D6395),ISNUMBER(H6395)),D6395*H6395*Inputs!$C$69,"")</f>
      </c>
      <c r="J6395" s="42">
        <f>IF(AND(ISNUMBER(F6395),ISNUMBER(H6395),F6395&gt;=Inputs!$C$68),F6395*H6395*Inputs!$C$69,"")</f>
      </c>
    </row>
    <row r="6396" spans="2:10" ht="15" customHeight="1" x14ac:dyDescent="0.2">
      <c r="B6396" s="39">
        <f t="shared" si="50"/>
      </c>
      <c r="C6396" s="40">
        <f>IF(Inputs!$C$60,Inputs!$C$11+(B6396-Inputs!$C$69)/Inputs!$C$70,"")</f>
      </c>
      <c r="D6396" s="15"/>
      <c r="E6396" s="15"/>
      <c r="F6396" s="11">
        <f t="shared" si="51"/>
      </c>
      <c r="G6396" s="22" cm="1">
        <f t="array" ref="G6396">IF(AND(Inputs!$C$60,Inputs!$C$61),INDEX(Utility_Rates!$C$29:$F$52,HOUR(C6396)+Inputs!$C$69,MATCH(INDEX(Utility_Rates!$K$6:$K$17,MONTH(C6396))&amp;IF(WEEKDAY(C6396,Inputs!$C$76)&lt;=Inputs!$C$74," weekday"," weekend"),Utility_Rates!$C$28:$F$28,Inputs!$C$68)),"")</f>
      </c>
      <c r="H6396" s="34"/>
      <c r="I6396" s="42">
        <f>IF(AND(ISNUMBER(D6396),ISNUMBER(H6396)),D6396*H6396*Inputs!$C$69,"")</f>
      </c>
      <c r="J6396" s="42">
        <f>IF(AND(ISNUMBER(F6396),ISNUMBER(H6396),F6396&gt;=Inputs!$C$68),F6396*H6396*Inputs!$C$69,"")</f>
      </c>
    </row>
    <row r="6397" spans="2:10" ht="15" customHeight="1" x14ac:dyDescent="0.2">
      <c r="B6397" s="39">
        <f t="shared" si="50"/>
      </c>
      <c r="C6397" s="40">
        <f>IF(Inputs!$C$60,Inputs!$C$11+(B6397-Inputs!$C$69)/Inputs!$C$70,"")</f>
      </c>
      <c r="D6397" s="15"/>
      <c r="E6397" s="15"/>
      <c r="F6397" s="11">
        <f t="shared" si="51"/>
      </c>
      <c r="G6397" s="22" cm="1">
        <f t="array" ref="G6397">IF(AND(Inputs!$C$60,Inputs!$C$61),INDEX(Utility_Rates!$C$29:$F$52,HOUR(C6397)+Inputs!$C$69,MATCH(INDEX(Utility_Rates!$K$6:$K$17,MONTH(C6397))&amp;IF(WEEKDAY(C6397,Inputs!$C$76)&lt;=Inputs!$C$74," weekday"," weekend"),Utility_Rates!$C$28:$F$28,Inputs!$C$68)),"")</f>
      </c>
      <c r="H6397" s="34"/>
      <c r="I6397" s="42">
        <f>IF(AND(ISNUMBER(D6397),ISNUMBER(H6397)),D6397*H6397*Inputs!$C$69,"")</f>
      </c>
      <c r="J6397" s="42">
        <f>IF(AND(ISNUMBER(F6397),ISNUMBER(H6397),F6397&gt;=Inputs!$C$68),F6397*H6397*Inputs!$C$69,"")</f>
      </c>
    </row>
    <row r="6398" spans="2:10" ht="15" customHeight="1" x14ac:dyDescent="0.2">
      <c r="B6398" s="39">
        <f t="shared" si="50"/>
      </c>
      <c r="C6398" s="40">
        <f>IF(Inputs!$C$60,Inputs!$C$11+(B6398-Inputs!$C$69)/Inputs!$C$70,"")</f>
      </c>
      <c r="D6398" s="15"/>
      <c r="E6398" s="15"/>
      <c r="F6398" s="11">
        <f t="shared" si="51"/>
      </c>
      <c r="G6398" s="22" cm="1">
        <f t="array" ref="G6398">IF(AND(Inputs!$C$60,Inputs!$C$61),INDEX(Utility_Rates!$C$29:$F$52,HOUR(C6398)+Inputs!$C$69,MATCH(INDEX(Utility_Rates!$K$6:$K$17,MONTH(C6398))&amp;IF(WEEKDAY(C6398,Inputs!$C$76)&lt;=Inputs!$C$74," weekday"," weekend"),Utility_Rates!$C$28:$F$28,Inputs!$C$68)),"")</f>
      </c>
      <c r="H6398" s="34"/>
      <c r="I6398" s="42">
        <f>IF(AND(ISNUMBER(D6398),ISNUMBER(H6398)),D6398*H6398*Inputs!$C$69,"")</f>
      </c>
      <c r="J6398" s="42">
        <f>IF(AND(ISNUMBER(F6398),ISNUMBER(H6398),F6398&gt;=Inputs!$C$68),F6398*H6398*Inputs!$C$69,"")</f>
      </c>
    </row>
    <row r="6399" spans="2:10" ht="15" customHeight="1" x14ac:dyDescent="0.2">
      <c r="B6399" s="39">
        <f t="shared" si="50"/>
      </c>
      <c r="C6399" s="40">
        <f>IF(Inputs!$C$60,Inputs!$C$11+(B6399-Inputs!$C$69)/Inputs!$C$70,"")</f>
      </c>
      <c r="D6399" s="15"/>
      <c r="E6399" s="15"/>
      <c r="F6399" s="11">
        <f t="shared" si="51"/>
      </c>
      <c r="G6399" s="22" cm="1">
        <f t="array" ref="G6399">IF(AND(Inputs!$C$60,Inputs!$C$61),INDEX(Utility_Rates!$C$29:$F$52,HOUR(C6399)+Inputs!$C$69,MATCH(INDEX(Utility_Rates!$K$6:$K$17,MONTH(C6399))&amp;IF(WEEKDAY(C6399,Inputs!$C$76)&lt;=Inputs!$C$74," weekday"," weekend"),Utility_Rates!$C$28:$F$28,Inputs!$C$68)),"")</f>
      </c>
      <c r="H6399" s="34"/>
      <c r="I6399" s="42">
        <f>IF(AND(ISNUMBER(D6399),ISNUMBER(H6399)),D6399*H6399*Inputs!$C$69,"")</f>
      </c>
      <c r="J6399" s="42">
        <f>IF(AND(ISNUMBER(F6399),ISNUMBER(H6399),F6399&gt;=Inputs!$C$68),F6399*H6399*Inputs!$C$69,"")</f>
      </c>
    </row>
    <row r="6400" spans="2:10" ht="15" customHeight="1" x14ac:dyDescent="0.2">
      <c r="B6400" s="39">
        <f t="shared" si="50"/>
      </c>
      <c r="C6400" s="40">
        <f>IF(Inputs!$C$60,Inputs!$C$11+(B6400-Inputs!$C$69)/Inputs!$C$70,"")</f>
      </c>
      <c r="D6400" s="15"/>
      <c r="E6400" s="15"/>
      <c r="F6400" s="11">
        <f t="shared" si="51"/>
      </c>
      <c r="G6400" s="22" cm="1">
        <f t="array" ref="G6400">IF(AND(Inputs!$C$60,Inputs!$C$61),INDEX(Utility_Rates!$C$29:$F$52,HOUR(C6400)+Inputs!$C$69,MATCH(INDEX(Utility_Rates!$K$6:$K$17,MONTH(C6400))&amp;IF(WEEKDAY(C6400,Inputs!$C$76)&lt;=Inputs!$C$74," weekday"," weekend"),Utility_Rates!$C$28:$F$28,Inputs!$C$68)),"")</f>
      </c>
      <c r="H6400" s="34"/>
      <c r="I6400" s="42">
        <f>IF(AND(ISNUMBER(D6400),ISNUMBER(H6400)),D6400*H6400*Inputs!$C$69,"")</f>
      </c>
      <c r="J6400" s="42">
        <f>IF(AND(ISNUMBER(F6400),ISNUMBER(H6400),F6400&gt;=Inputs!$C$68),F6400*H6400*Inputs!$C$69,"")</f>
      </c>
    </row>
    <row r="6401" spans="2:10" ht="15" customHeight="1" x14ac:dyDescent="0.2">
      <c r="B6401" s="39">
        <f t="shared" si="50"/>
      </c>
      <c r="C6401" s="40">
        <f>IF(Inputs!$C$60,Inputs!$C$11+(B6401-Inputs!$C$69)/Inputs!$C$70,"")</f>
      </c>
      <c r="D6401" s="15"/>
      <c r="E6401" s="15"/>
      <c r="F6401" s="11">
        <f t="shared" si="51"/>
      </c>
      <c r="G6401" s="22" cm="1">
        <f t="array" ref="G6401">IF(AND(Inputs!$C$60,Inputs!$C$61),INDEX(Utility_Rates!$C$29:$F$52,HOUR(C6401)+Inputs!$C$69,MATCH(INDEX(Utility_Rates!$K$6:$K$17,MONTH(C6401))&amp;IF(WEEKDAY(C6401,Inputs!$C$76)&lt;=Inputs!$C$74," weekday"," weekend"),Utility_Rates!$C$28:$F$28,Inputs!$C$68)),"")</f>
      </c>
      <c r="H6401" s="34"/>
      <c r="I6401" s="42">
        <f>IF(AND(ISNUMBER(D6401),ISNUMBER(H6401)),D6401*H6401*Inputs!$C$69,"")</f>
      </c>
      <c r="J6401" s="42">
        <f>IF(AND(ISNUMBER(F6401),ISNUMBER(H6401),F6401&gt;=Inputs!$C$68),F6401*H6401*Inputs!$C$69,"")</f>
      </c>
    </row>
    <row r="6402" spans="2:10" ht="15" customHeight="1" x14ac:dyDescent="0.2">
      <c r="B6402" s="39">
        <f t="shared" si="50"/>
      </c>
      <c r="C6402" s="40">
        <f>IF(Inputs!$C$60,Inputs!$C$11+(B6402-Inputs!$C$69)/Inputs!$C$70,"")</f>
      </c>
      <c r="D6402" s="15"/>
      <c r="E6402" s="15"/>
      <c r="F6402" s="11">
        <f t="shared" si="51"/>
      </c>
      <c r="G6402" s="22" cm="1">
        <f t="array" ref="G6402">IF(AND(Inputs!$C$60,Inputs!$C$61),INDEX(Utility_Rates!$C$29:$F$52,HOUR(C6402)+Inputs!$C$69,MATCH(INDEX(Utility_Rates!$K$6:$K$17,MONTH(C6402))&amp;IF(WEEKDAY(C6402,Inputs!$C$76)&lt;=Inputs!$C$74," weekday"," weekend"),Utility_Rates!$C$28:$F$28,Inputs!$C$68)),"")</f>
      </c>
      <c r="H6402" s="34"/>
      <c r="I6402" s="42">
        <f>IF(AND(ISNUMBER(D6402),ISNUMBER(H6402)),D6402*H6402*Inputs!$C$69,"")</f>
      </c>
      <c r="J6402" s="42">
        <f>IF(AND(ISNUMBER(F6402),ISNUMBER(H6402),F6402&gt;=Inputs!$C$68),F6402*H6402*Inputs!$C$69,"")</f>
      </c>
    </row>
    <row r="6403" spans="2:10" ht="15" customHeight="1" x14ac:dyDescent="0.2">
      <c r="B6403" s="39">
        <f t="shared" si="50"/>
      </c>
      <c r="C6403" s="40">
        <f>IF(Inputs!$C$60,Inputs!$C$11+(B6403-Inputs!$C$69)/Inputs!$C$70,"")</f>
      </c>
      <c r="D6403" s="15"/>
      <c r="E6403" s="15"/>
      <c r="F6403" s="11">
        <f t="shared" si="51"/>
      </c>
      <c r="G6403" s="22" cm="1">
        <f t="array" ref="G6403">IF(AND(Inputs!$C$60,Inputs!$C$61),INDEX(Utility_Rates!$C$29:$F$52,HOUR(C6403)+Inputs!$C$69,MATCH(INDEX(Utility_Rates!$K$6:$K$17,MONTH(C6403))&amp;IF(WEEKDAY(C6403,Inputs!$C$76)&lt;=Inputs!$C$74," weekday"," weekend"),Utility_Rates!$C$28:$F$28,Inputs!$C$68)),"")</f>
      </c>
      <c r="H6403" s="34"/>
      <c r="I6403" s="42">
        <f>IF(AND(ISNUMBER(D6403),ISNUMBER(H6403)),D6403*H6403*Inputs!$C$69,"")</f>
      </c>
      <c r="J6403" s="42">
        <f>IF(AND(ISNUMBER(F6403),ISNUMBER(H6403),F6403&gt;=Inputs!$C$68),F6403*H6403*Inputs!$C$69,"")</f>
      </c>
    </row>
    <row r="6404" spans="2:10" ht="15" customHeight="1" x14ac:dyDescent="0.2">
      <c r="B6404" s="39">
        <f t="shared" si="50"/>
      </c>
      <c r="C6404" s="40">
        <f>IF(Inputs!$C$60,Inputs!$C$11+(B6404-Inputs!$C$69)/Inputs!$C$70,"")</f>
      </c>
      <c r="D6404" s="15"/>
      <c r="E6404" s="15"/>
      <c r="F6404" s="11">
        <f t="shared" si="51"/>
      </c>
      <c r="G6404" s="22" cm="1">
        <f t="array" ref="G6404">IF(AND(Inputs!$C$60,Inputs!$C$61),INDEX(Utility_Rates!$C$29:$F$52,HOUR(C6404)+Inputs!$C$69,MATCH(INDEX(Utility_Rates!$K$6:$K$17,MONTH(C6404))&amp;IF(WEEKDAY(C6404,Inputs!$C$76)&lt;=Inputs!$C$74," weekday"," weekend"),Utility_Rates!$C$28:$F$28,Inputs!$C$68)),"")</f>
      </c>
      <c r="H6404" s="34"/>
      <c r="I6404" s="42">
        <f>IF(AND(ISNUMBER(D6404),ISNUMBER(H6404)),D6404*H6404*Inputs!$C$69,"")</f>
      </c>
      <c r="J6404" s="42">
        <f>IF(AND(ISNUMBER(F6404),ISNUMBER(H6404),F6404&gt;=Inputs!$C$68),F6404*H6404*Inputs!$C$69,"")</f>
      </c>
    </row>
    <row r="6405" spans="2:10" ht="15" customHeight="1" x14ac:dyDescent="0.2">
      <c r="B6405" s="39">
        <f t="shared" si="50"/>
      </c>
      <c r="C6405" s="40">
        <f>IF(Inputs!$C$60,Inputs!$C$11+(B6405-Inputs!$C$69)/Inputs!$C$70,"")</f>
      </c>
      <c r="D6405" s="15"/>
      <c r="E6405" s="15"/>
      <c r="F6405" s="11">
        <f t="shared" si="51"/>
      </c>
      <c r="G6405" s="22" cm="1">
        <f t="array" ref="G6405">IF(AND(Inputs!$C$60,Inputs!$C$61),INDEX(Utility_Rates!$C$29:$F$52,HOUR(C6405)+Inputs!$C$69,MATCH(INDEX(Utility_Rates!$K$6:$K$17,MONTH(C6405))&amp;IF(WEEKDAY(C6405,Inputs!$C$76)&lt;=Inputs!$C$74," weekday"," weekend"),Utility_Rates!$C$28:$F$28,Inputs!$C$68)),"")</f>
      </c>
      <c r="H6405" s="34"/>
      <c r="I6405" s="42">
        <f>IF(AND(ISNUMBER(D6405),ISNUMBER(H6405)),D6405*H6405*Inputs!$C$69,"")</f>
      </c>
      <c r="J6405" s="42">
        <f>IF(AND(ISNUMBER(F6405),ISNUMBER(H6405),F6405&gt;=Inputs!$C$68),F6405*H6405*Inputs!$C$69,"")</f>
      </c>
    </row>
    <row r="6406" spans="2:10" ht="15" customHeight="1" x14ac:dyDescent="0.2">
      <c r="B6406" s="39">
        <f t="shared" si="50"/>
      </c>
      <c r="C6406" s="40">
        <f>IF(Inputs!$C$60,Inputs!$C$11+(B6406-Inputs!$C$69)/Inputs!$C$70,"")</f>
      </c>
      <c r="D6406" s="15"/>
      <c r="E6406" s="15"/>
      <c r="F6406" s="11">
        <f t="shared" si="51"/>
      </c>
      <c r="G6406" s="22" cm="1">
        <f t="array" ref="G6406">IF(AND(Inputs!$C$60,Inputs!$C$61),INDEX(Utility_Rates!$C$29:$F$52,HOUR(C6406)+Inputs!$C$69,MATCH(INDEX(Utility_Rates!$K$6:$K$17,MONTH(C6406))&amp;IF(WEEKDAY(C6406,Inputs!$C$76)&lt;=Inputs!$C$74," weekday"," weekend"),Utility_Rates!$C$28:$F$28,Inputs!$C$68)),"")</f>
      </c>
      <c r="H6406" s="34"/>
      <c r="I6406" s="42">
        <f>IF(AND(ISNUMBER(D6406),ISNUMBER(H6406)),D6406*H6406*Inputs!$C$69,"")</f>
      </c>
      <c r="J6406" s="42">
        <f>IF(AND(ISNUMBER(F6406),ISNUMBER(H6406),F6406&gt;=Inputs!$C$68),F6406*H6406*Inputs!$C$69,"")</f>
      </c>
    </row>
    <row r="6407" spans="2:10" ht="15" customHeight="1" x14ac:dyDescent="0.2">
      <c r="B6407" s="39">
        <f t="shared" si="50"/>
      </c>
      <c r="C6407" s="40">
        <f>IF(Inputs!$C$60,Inputs!$C$11+(B6407-Inputs!$C$69)/Inputs!$C$70,"")</f>
      </c>
      <c r="D6407" s="15"/>
      <c r="E6407" s="15"/>
      <c r="F6407" s="11">
        <f t="shared" si="51"/>
      </c>
      <c r="G6407" s="22" cm="1">
        <f t="array" ref="G6407">IF(AND(Inputs!$C$60,Inputs!$C$61),INDEX(Utility_Rates!$C$29:$F$52,HOUR(C6407)+Inputs!$C$69,MATCH(INDEX(Utility_Rates!$K$6:$K$17,MONTH(C6407))&amp;IF(WEEKDAY(C6407,Inputs!$C$76)&lt;=Inputs!$C$74," weekday"," weekend"),Utility_Rates!$C$28:$F$28,Inputs!$C$68)),"")</f>
      </c>
      <c r="H6407" s="34"/>
      <c r="I6407" s="42">
        <f>IF(AND(ISNUMBER(D6407),ISNUMBER(H6407)),D6407*H6407*Inputs!$C$69,"")</f>
      </c>
      <c r="J6407" s="42">
        <f>IF(AND(ISNUMBER(F6407),ISNUMBER(H6407),F6407&gt;=Inputs!$C$68),F6407*H6407*Inputs!$C$69,"")</f>
      </c>
    </row>
    <row r="6408" spans="2:10" ht="15" customHeight="1" x14ac:dyDescent="0.2">
      <c r="B6408" s="39">
        <f t="shared" si="50"/>
      </c>
      <c r="C6408" s="40">
        <f>IF(Inputs!$C$60,Inputs!$C$11+(B6408-Inputs!$C$69)/Inputs!$C$70,"")</f>
      </c>
      <c r="D6408" s="15"/>
      <c r="E6408" s="15"/>
      <c r="F6408" s="11">
        <f t="shared" si="51"/>
      </c>
      <c r="G6408" s="22" cm="1">
        <f t="array" ref="G6408">IF(AND(Inputs!$C$60,Inputs!$C$61),INDEX(Utility_Rates!$C$29:$F$52,HOUR(C6408)+Inputs!$C$69,MATCH(INDEX(Utility_Rates!$K$6:$K$17,MONTH(C6408))&amp;IF(WEEKDAY(C6408,Inputs!$C$76)&lt;=Inputs!$C$74," weekday"," weekend"),Utility_Rates!$C$28:$F$28,Inputs!$C$68)),"")</f>
      </c>
      <c r="H6408" s="34"/>
      <c r="I6408" s="42">
        <f>IF(AND(ISNUMBER(D6408),ISNUMBER(H6408)),D6408*H6408*Inputs!$C$69,"")</f>
      </c>
      <c r="J6408" s="42">
        <f>IF(AND(ISNUMBER(F6408),ISNUMBER(H6408),F6408&gt;=Inputs!$C$68),F6408*H6408*Inputs!$C$69,"")</f>
      </c>
    </row>
    <row r="6409" spans="2:10" ht="15" customHeight="1" x14ac:dyDescent="0.2">
      <c r="B6409" s="39">
        <f t="shared" si="50"/>
      </c>
      <c r="C6409" s="40">
        <f>IF(Inputs!$C$60,Inputs!$C$11+(B6409-Inputs!$C$69)/Inputs!$C$70,"")</f>
      </c>
      <c r="D6409" s="15"/>
      <c r="E6409" s="15"/>
      <c r="F6409" s="11">
        <f t="shared" si="51"/>
      </c>
      <c r="G6409" s="22" cm="1">
        <f t="array" ref="G6409">IF(AND(Inputs!$C$60,Inputs!$C$61),INDEX(Utility_Rates!$C$29:$F$52,HOUR(C6409)+Inputs!$C$69,MATCH(INDEX(Utility_Rates!$K$6:$K$17,MONTH(C6409))&amp;IF(WEEKDAY(C6409,Inputs!$C$76)&lt;=Inputs!$C$74," weekday"," weekend"),Utility_Rates!$C$28:$F$28,Inputs!$C$68)),"")</f>
      </c>
      <c r="H6409" s="34"/>
      <c r="I6409" s="42">
        <f>IF(AND(ISNUMBER(D6409),ISNUMBER(H6409)),D6409*H6409*Inputs!$C$69,"")</f>
      </c>
      <c r="J6409" s="42">
        <f>IF(AND(ISNUMBER(F6409),ISNUMBER(H6409),F6409&gt;=Inputs!$C$68),F6409*H6409*Inputs!$C$69,"")</f>
      </c>
    </row>
    <row r="6410" spans="2:10" ht="15" customHeight="1" x14ac:dyDescent="0.2">
      <c r="B6410" s="39">
        <f t="shared" si="50"/>
      </c>
      <c r="C6410" s="40">
        <f>IF(Inputs!$C$60,Inputs!$C$11+(B6410-Inputs!$C$69)/Inputs!$C$70,"")</f>
      </c>
      <c r="D6410" s="15"/>
      <c r="E6410" s="15"/>
      <c r="F6410" s="11">
        <f t="shared" si="51"/>
      </c>
      <c r="G6410" s="22" cm="1">
        <f t="array" ref="G6410">IF(AND(Inputs!$C$60,Inputs!$C$61),INDEX(Utility_Rates!$C$29:$F$52,HOUR(C6410)+Inputs!$C$69,MATCH(INDEX(Utility_Rates!$K$6:$K$17,MONTH(C6410))&amp;IF(WEEKDAY(C6410,Inputs!$C$76)&lt;=Inputs!$C$74," weekday"," weekend"),Utility_Rates!$C$28:$F$28,Inputs!$C$68)),"")</f>
      </c>
      <c r="H6410" s="34"/>
      <c r="I6410" s="42">
        <f>IF(AND(ISNUMBER(D6410),ISNUMBER(H6410)),D6410*H6410*Inputs!$C$69,"")</f>
      </c>
      <c r="J6410" s="42">
        <f>IF(AND(ISNUMBER(F6410),ISNUMBER(H6410),F6410&gt;=Inputs!$C$68),F6410*H6410*Inputs!$C$69,"")</f>
      </c>
    </row>
    <row r="6411" spans="2:10" ht="15" customHeight="1" x14ac:dyDescent="0.2">
      <c r="B6411" s="39">
        <f t="shared" si="50"/>
      </c>
      <c r="C6411" s="40">
        <f>IF(Inputs!$C$60,Inputs!$C$11+(B6411-Inputs!$C$69)/Inputs!$C$70,"")</f>
      </c>
      <c r="D6411" s="15"/>
      <c r="E6411" s="15"/>
      <c r="F6411" s="11">
        <f t="shared" si="51"/>
      </c>
      <c r="G6411" s="22" cm="1">
        <f t="array" ref="G6411">IF(AND(Inputs!$C$60,Inputs!$C$61),INDEX(Utility_Rates!$C$29:$F$52,HOUR(C6411)+Inputs!$C$69,MATCH(INDEX(Utility_Rates!$K$6:$K$17,MONTH(C6411))&amp;IF(WEEKDAY(C6411,Inputs!$C$76)&lt;=Inputs!$C$74," weekday"," weekend"),Utility_Rates!$C$28:$F$28,Inputs!$C$68)),"")</f>
      </c>
      <c r="H6411" s="34"/>
      <c r="I6411" s="42">
        <f>IF(AND(ISNUMBER(D6411),ISNUMBER(H6411)),D6411*H6411*Inputs!$C$69,"")</f>
      </c>
      <c r="J6411" s="42">
        <f>IF(AND(ISNUMBER(F6411),ISNUMBER(H6411),F6411&gt;=Inputs!$C$68),F6411*H6411*Inputs!$C$69,"")</f>
      </c>
    </row>
    <row r="6412" spans="2:10" ht="15" customHeight="1" x14ac:dyDescent="0.2">
      <c r="B6412" s="39">
        <f t="shared" si="50"/>
      </c>
      <c r="C6412" s="40">
        <f>IF(Inputs!$C$60,Inputs!$C$11+(B6412-Inputs!$C$69)/Inputs!$C$70,"")</f>
      </c>
      <c r="D6412" s="15"/>
      <c r="E6412" s="15"/>
      <c r="F6412" s="11">
        <f t="shared" si="51"/>
      </c>
      <c r="G6412" s="22" cm="1">
        <f t="array" ref="G6412">IF(AND(Inputs!$C$60,Inputs!$C$61),INDEX(Utility_Rates!$C$29:$F$52,HOUR(C6412)+Inputs!$C$69,MATCH(INDEX(Utility_Rates!$K$6:$K$17,MONTH(C6412))&amp;IF(WEEKDAY(C6412,Inputs!$C$76)&lt;=Inputs!$C$74," weekday"," weekend"),Utility_Rates!$C$28:$F$28,Inputs!$C$68)),"")</f>
      </c>
      <c r="H6412" s="34"/>
      <c r="I6412" s="42">
        <f>IF(AND(ISNUMBER(D6412),ISNUMBER(H6412)),D6412*H6412*Inputs!$C$69,"")</f>
      </c>
      <c r="J6412" s="42">
        <f>IF(AND(ISNUMBER(F6412),ISNUMBER(H6412),F6412&gt;=Inputs!$C$68),F6412*H6412*Inputs!$C$69,"")</f>
      </c>
    </row>
    <row r="6413" spans="2:10" ht="15" customHeight="1" x14ac:dyDescent="0.2">
      <c r="B6413" s="39">
        <f t="shared" si="50"/>
      </c>
      <c r="C6413" s="40">
        <f>IF(Inputs!$C$60,Inputs!$C$11+(B6413-Inputs!$C$69)/Inputs!$C$70,"")</f>
      </c>
      <c r="D6413" s="15"/>
      <c r="E6413" s="15"/>
      <c r="F6413" s="11">
        <f t="shared" si="51"/>
      </c>
      <c r="G6413" s="22" cm="1">
        <f t="array" ref="G6413">IF(AND(Inputs!$C$60,Inputs!$C$61),INDEX(Utility_Rates!$C$29:$F$52,HOUR(C6413)+Inputs!$C$69,MATCH(INDEX(Utility_Rates!$K$6:$K$17,MONTH(C6413))&amp;IF(WEEKDAY(C6413,Inputs!$C$76)&lt;=Inputs!$C$74," weekday"," weekend"),Utility_Rates!$C$28:$F$28,Inputs!$C$68)),"")</f>
      </c>
      <c r="H6413" s="34"/>
      <c r="I6413" s="42">
        <f>IF(AND(ISNUMBER(D6413),ISNUMBER(H6413)),D6413*H6413*Inputs!$C$69,"")</f>
      </c>
      <c r="J6413" s="42">
        <f>IF(AND(ISNUMBER(F6413),ISNUMBER(H6413),F6413&gt;=Inputs!$C$68),F6413*H6413*Inputs!$C$69,"")</f>
      </c>
    </row>
    <row r="6414" spans="2:10" ht="15" customHeight="1" x14ac:dyDescent="0.2">
      <c r="B6414" s="39">
        <f t="shared" si="50"/>
      </c>
      <c r="C6414" s="40">
        <f>IF(Inputs!$C$60,Inputs!$C$11+(B6414-Inputs!$C$69)/Inputs!$C$70,"")</f>
      </c>
      <c r="D6414" s="15"/>
      <c r="E6414" s="15"/>
      <c r="F6414" s="11">
        <f t="shared" si="51"/>
      </c>
      <c r="G6414" s="22" cm="1">
        <f t="array" ref="G6414">IF(AND(Inputs!$C$60,Inputs!$C$61),INDEX(Utility_Rates!$C$29:$F$52,HOUR(C6414)+Inputs!$C$69,MATCH(INDEX(Utility_Rates!$K$6:$K$17,MONTH(C6414))&amp;IF(WEEKDAY(C6414,Inputs!$C$76)&lt;=Inputs!$C$74," weekday"," weekend"),Utility_Rates!$C$28:$F$28,Inputs!$C$68)),"")</f>
      </c>
      <c r="H6414" s="34"/>
      <c r="I6414" s="42">
        <f>IF(AND(ISNUMBER(D6414),ISNUMBER(H6414)),D6414*H6414*Inputs!$C$69,"")</f>
      </c>
      <c r="J6414" s="42">
        <f>IF(AND(ISNUMBER(F6414),ISNUMBER(H6414),F6414&gt;=Inputs!$C$68),F6414*H6414*Inputs!$C$69,"")</f>
      </c>
    </row>
    <row r="6415" spans="2:10" ht="15" customHeight="1" x14ac:dyDescent="0.2">
      <c r="B6415" s="39">
        <f t="shared" si="50"/>
      </c>
      <c r="C6415" s="40">
        <f>IF(Inputs!$C$60,Inputs!$C$11+(B6415-Inputs!$C$69)/Inputs!$C$70,"")</f>
      </c>
      <c r="D6415" s="15"/>
      <c r="E6415" s="15"/>
      <c r="F6415" s="11">
        <f t="shared" si="51"/>
      </c>
      <c r="G6415" s="22" cm="1">
        <f t="array" ref="G6415">IF(AND(Inputs!$C$60,Inputs!$C$61),INDEX(Utility_Rates!$C$29:$F$52,HOUR(C6415)+Inputs!$C$69,MATCH(INDEX(Utility_Rates!$K$6:$K$17,MONTH(C6415))&amp;IF(WEEKDAY(C6415,Inputs!$C$76)&lt;=Inputs!$C$74," weekday"," weekend"),Utility_Rates!$C$28:$F$28,Inputs!$C$68)),"")</f>
      </c>
      <c r="H6415" s="34"/>
      <c r="I6415" s="42">
        <f>IF(AND(ISNUMBER(D6415),ISNUMBER(H6415)),D6415*H6415*Inputs!$C$69,"")</f>
      </c>
      <c r="J6415" s="42">
        <f>IF(AND(ISNUMBER(F6415),ISNUMBER(H6415),F6415&gt;=Inputs!$C$68),F6415*H6415*Inputs!$C$69,"")</f>
      </c>
    </row>
    <row r="6416" spans="2:10" ht="15" customHeight="1" x14ac:dyDescent="0.2">
      <c r="B6416" s="39">
        <f t="shared" si="50"/>
      </c>
      <c r="C6416" s="40">
        <f>IF(Inputs!$C$60,Inputs!$C$11+(B6416-Inputs!$C$69)/Inputs!$C$70,"")</f>
      </c>
      <c r="D6416" s="15"/>
      <c r="E6416" s="15"/>
      <c r="F6416" s="11">
        <f t="shared" si="51"/>
      </c>
      <c r="G6416" s="22" cm="1">
        <f t="array" ref="G6416">IF(AND(Inputs!$C$60,Inputs!$C$61),INDEX(Utility_Rates!$C$29:$F$52,HOUR(C6416)+Inputs!$C$69,MATCH(INDEX(Utility_Rates!$K$6:$K$17,MONTH(C6416))&amp;IF(WEEKDAY(C6416,Inputs!$C$76)&lt;=Inputs!$C$74," weekday"," weekend"),Utility_Rates!$C$28:$F$28,Inputs!$C$68)),"")</f>
      </c>
      <c r="H6416" s="34"/>
      <c r="I6416" s="42">
        <f>IF(AND(ISNUMBER(D6416),ISNUMBER(H6416)),D6416*H6416*Inputs!$C$69,"")</f>
      </c>
      <c r="J6416" s="42">
        <f>IF(AND(ISNUMBER(F6416),ISNUMBER(H6416),F6416&gt;=Inputs!$C$68),F6416*H6416*Inputs!$C$69,"")</f>
      </c>
    </row>
    <row r="6417" spans="2:10" ht="15" customHeight="1" x14ac:dyDescent="0.2">
      <c r="B6417" s="39">
        <f t="shared" si="50"/>
      </c>
      <c r="C6417" s="40">
        <f>IF(Inputs!$C$60,Inputs!$C$11+(B6417-Inputs!$C$69)/Inputs!$C$70,"")</f>
      </c>
      <c r="D6417" s="15"/>
      <c r="E6417" s="15"/>
      <c r="F6417" s="11">
        <f t="shared" si="51"/>
      </c>
      <c r="G6417" s="22" cm="1">
        <f t="array" ref="G6417">IF(AND(Inputs!$C$60,Inputs!$C$61),INDEX(Utility_Rates!$C$29:$F$52,HOUR(C6417)+Inputs!$C$69,MATCH(INDEX(Utility_Rates!$K$6:$K$17,MONTH(C6417))&amp;IF(WEEKDAY(C6417,Inputs!$C$76)&lt;=Inputs!$C$74," weekday"," weekend"),Utility_Rates!$C$28:$F$28,Inputs!$C$68)),"")</f>
      </c>
      <c r="H6417" s="34"/>
      <c r="I6417" s="42">
        <f>IF(AND(ISNUMBER(D6417),ISNUMBER(H6417)),D6417*H6417*Inputs!$C$69,"")</f>
      </c>
      <c r="J6417" s="42">
        <f>IF(AND(ISNUMBER(F6417),ISNUMBER(H6417),F6417&gt;=Inputs!$C$68),F6417*H6417*Inputs!$C$69,"")</f>
      </c>
    </row>
    <row r="6418" spans="2:10" ht="15" customHeight="1" x14ac:dyDescent="0.2">
      <c r="B6418" s="39">
        <f t="shared" si="50"/>
      </c>
      <c r="C6418" s="40">
        <f>IF(Inputs!$C$60,Inputs!$C$11+(B6418-Inputs!$C$69)/Inputs!$C$70,"")</f>
      </c>
      <c r="D6418" s="15"/>
      <c r="E6418" s="15"/>
      <c r="F6418" s="11">
        <f t="shared" si="51"/>
      </c>
      <c r="G6418" s="22" cm="1">
        <f t="array" ref="G6418">IF(AND(Inputs!$C$60,Inputs!$C$61),INDEX(Utility_Rates!$C$29:$F$52,HOUR(C6418)+Inputs!$C$69,MATCH(INDEX(Utility_Rates!$K$6:$K$17,MONTH(C6418))&amp;IF(WEEKDAY(C6418,Inputs!$C$76)&lt;=Inputs!$C$74," weekday"," weekend"),Utility_Rates!$C$28:$F$28,Inputs!$C$68)),"")</f>
      </c>
      <c r="H6418" s="34"/>
      <c r="I6418" s="42">
        <f>IF(AND(ISNUMBER(D6418),ISNUMBER(H6418)),D6418*H6418*Inputs!$C$69,"")</f>
      </c>
      <c r="J6418" s="42">
        <f>IF(AND(ISNUMBER(F6418),ISNUMBER(H6418),F6418&gt;=Inputs!$C$68),F6418*H6418*Inputs!$C$69,"")</f>
      </c>
    </row>
    <row r="6419" spans="2:10" ht="15" customHeight="1" x14ac:dyDescent="0.2">
      <c r="B6419" s="39">
        <f t="shared" si="50"/>
      </c>
      <c r="C6419" s="40">
        <f>IF(Inputs!$C$60,Inputs!$C$11+(B6419-Inputs!$C$69)/Inputs!$C$70,"")</f>
      </c>
      <c r="D6419" s="15"/>
      <c r="E6419" s="15"/>
      <c r="F6419" s="11">
        <f t="shared" si="51"/>
      </c>
      <c r="G6419" s="22" cm="1">
        <f t="array" ref="G6419">IF(AND(Inputs!$C$60,Inputs!$C$61),INDEX(Utility_Rates!$C$29:$F$52,HOUR(C6419)+Inputs!$C$69,MATCH(INDEX(Utility_Rates!$K$6:$K$17,MONTH(C6419))&amp;IF(WEEKDAY(C6419,Inputs!$C$76)&lt;=Inputs!$C$74," weekday"," weekend"),Utility_Rates!$C$28:$F$28,Inputs!$C$68)),"")</f>
      </c>
      <c r="H6419" s="34"/>
      <c r="I6419" s="42">
        <f>IF(AND(ISNUMBER(D6419),ISNUMBER(H6419)),D6419*H6419*Inputs!$C$69,"")</f>
      </c>
      <c r="J6419" s="42">
        <f>IF(AND(ISNUMBER(F6419),ISNUMBER(H6419),F6419&gt;=Inputs!$C$68),F6419*H6419*Inputs!$C$69,"")</f>
      </c>
    </row>
    <row r="6420" spans="2:10" ht="15" customHeight="1" x14ac:dyDescent="0.2">
      <c r="B6420" s="39">
        <f t="shared" si="50"/>
      </c>
      <c r="C6420" s="40">
        <f>IF(Inputs!$C$60,Inputs!$C$11+(B6420-Inputs!$C$69)/Inputs!$C$70,"")</f>
      </c>
      <c r="D6420" s="15"/>
      <c r="E6420" s="15"/>
      <c r="F6420" s="11">
        <f t="shared" si="51"/>
      </c>
      <c r="G6420" s="22" cm="1">
        <f t="array" ref="G6420">IF(AND(Inputs!$C$60,Inputs!$C$61),INDEX(Utility_Rates!$C$29:$F$52,HOUR(C6420)+Inputs!$C$69,MATCH(INDEX(Utility_Rates!$K$6:$K$17,MONTH(C6420))&amp;IF(WEEKDAY(C6420,Inputs!$C$76)&lt;=Inputs!$C$74," weekday"," weekend"),Utility_Rates!$C$28:$F$28,Inputs!$C$68)),"")</f>
      </c>
      <c r="H6420" s="34"/>
      <c r="I6420" s="42">
        <f>IF(AND(ISNUMBER(D6420),ISNUMBER(H6420)),D6420*H6420*Inputs!$C$69,"")</f>
      </c>
      <c r="J6420" s="42">
        <f>IF(AND(ISNUMBER(F6420),ISNUMBER(H6420),F6420&gt;=Inputs!$C$68),F6420*H6420*Inputs!$C$69,"")</f>
      </c>
    </row>
    <row r="6421" spans="2:10" ht="15" customHeight="1" x14ac:dyDescent="0.2">
      <c r="B6421" s="39">
        <f t="shared" si="50"/>
      </c>
      <c r="C6421" s="40">
        <f>IF(Inputs!$C$60,Inputs!$C$11+(B6421-Inputs!$C$69)/Inputs!$C$70,"")</f>
      </c>
      <c r="D6421" s="15"/>
      <c r="E6421" s="15"/>
      <c r="F6421" s="11">
        <f t="shared" si="51"/>
      </c>
      <c r="G6421" s="22" cm="1">
        <f t="array" ref="G6421">IF(AND(Inputs!$C$60,Inputs!$C$61),INDEX(Utility_Rates!$C$29:$F$52,HOUR(C6421)+Inputs!$C$69,MATCH(INDEX(Utility_Rates!$K$6:$K$17,MONTH(C6421))&amp;IF(WEEKDAY(C6421,Inputs!$C$76)&lt;=Inputs!$C$74," weekday"," weekend"),Utility_Rates!$C$28:$F$28,Inputs!$C$68)),"")</f>
      </c>
      <c r="H6421" s="34"/>
      <c r="I6421" s="42">
        <f>IF(AND(ISNUMBER(D6421),ISNUMBER(H6421)),D6421*H6421*Inputs!$C$69,"")</f>
      </c>
      <c r="J6421" s="42">
        <f>IF(AND(ISNUMBER(F6421),ISNUMBER(H6421),F6421&gt;=Inputs!$C$68),F6421*H6421*Inputs!$C$69,"")</f>
      </c>
    </row>
    <row r="6422" spans="2:10" ht="15" customHeight="1" x14ac:dyDescent="0.2">
      <c r="B6422" s="39">
        <f t="shared" si="50"/>
      </c>
      <c r="C6422" s="40">
        <f>IF(Inputs!$C$60,Inputs!$C$11+(B6422-Inputs!$C$69)/Inputs!$C$70,"")</f>
      </c>
      <c r="D6422" s="15"/>
      <c r="E6422" s="15"/>
      <c r="F6422" s="11">
        <f t="shared" si="51"/>
      </c>
      <c r="G6422" s="22" cm="1">
        <f t="array" ref="G6422">IF(AND(Inputs!$C$60,Inputs!$C$61),INDEX(Utility_Rates!$C$29:$F$52,HOUR(C6422)+Inputs!$C$69,MATCH(INDEX(Utility_Rates!$K$6:$K$17,MONTH(C6422))&amp;IF(WEEKDAY(C6422,Inputs!$C$76)&lt;=Inputs!$C$74," weekday"," weekend"),Utility_Rates!$C$28:$F$28,Inputs!$C$68)),"")</f>
      </c>
      <c r="H6422" s="34"/>
      <c r="I6422" s="42">
        <f>IF(AND(ISNUMBER(D6422),ISNUMBER(H6422)),D6422*H6422*Inputs!$C$69,"")</f>
      </c>
      <c r="J6422" s="42">
        <f>IF(AND(ISNUMBER(F6422),ISNUMBER(H6422),F6422&gt;=Inputs!$C$68),F6422*H6422*Inputs!$C$69,"")</f>
      </c>
    </row>
    <row r="6423" spans="2:10" ht="15" customHeight="1" x14ac:dyDescent="0.2">
      <c r="B6423" s="39">
        <f t="shared" si="50"/>
      </c>
      <c r="C6423" s="40">
        <f>IF(Inputs!$C$60,Inputs!$C$11+(B6423-Inputs!$C$69)/Inputs!$C$70,"")</f>
      </c>
      <c r="D6423" s="15"/>
      <c r="E6423" s="15"/>
      <c r="F6423" s="11">
        <f t="shared" si="51"/>
      </c>
      <c r="G6423" s="22" cm="1">
        <f t="array" ref="G6423">IF(AND(Inputs!$C$60,Inputs!$C$61),INDEX(Utility_Rates!$C$29:$F$52,HOUR(C6423)+Inputs!$C$69,MATCH(INDEX(Utility_Rates!$K$6:$K$17,MONTH(C6423))&amp;IF(WEEKDAY(C6423,Inputs!$C$76)&lt;=Inputs!$C$74," weekday"," weekend"),Utility_Rates!$C$28:$F$28,Inputs!$C$68)),"")</f>
      </c>
      <c r="H6423" s="34"/>
      <c r="I6423" s="42">
        <f>IF(AND(ISNUMBER(D6423),ISNUMBER(H6423)),D6423*H6423*Inputs!$C$69,"")</f>
      </c>
      <c r="J6423" s="42">
        <f>IF(AND(ISNUMBER(F6423),ISNUMBER(H6423),F6423&gt;=Inputs!$C$68),F6423*H6423*Inputs!$C$69,"")</f>
      </c>
    </row>
    <row r="6424" spans="2:10" ht="15" customHeight="1" x14ac:dyDescent="0.2">
      <c r="B6424" s="39">
        <f t="shared" si="50"/>
      </c>
      <c r="C6424" s="40">
        <f>IF(Inputs!$C$60,Inputs!$C$11+(B6424-Inputs!$C$69)/Inputs!$C$70,"")</f>
      </c>
      <c r="D6424" s="15"/>
      <c r="E6424" s="15"/>
      <c r="F6424" s="11">
        <f t="shared" si="51"/>
      </c>
      <c r="G6424" s="22" cm="1">
        <f t="array" ref="G6424">IF(AND(Inputs!$C$60,Inputs!$C$61),INDEX(Utility_Rates!$C$29:$F$52,HOUR(C6424)+Inputs!$C$69,MATCH(INDEX(Utility_Rates!$K$6:$K$17,MONTH(C6424))&amp;IF(WEEKDAY(C6424,Inputs!$C$76)&lt;=Inputs!$C$74," weekday"," weekend"),Utility_Rates!$C$28:$F$28,Inputs!$C$68)),"")</f>
      </c>
      <c r="H6424" s="34"/>
      <c r="I6424" s="42">
        <f>IF(AND(ISNUMBER(D6424),ISNUMBER(H6424)),D6424*H6424*Inputs!$C$69,"")</f>
      </c>
      <c r="J6424" s="42">
        <f>IF(AND(ISNUMBER(F6424),ISNUMBER(H6424),F6424&gt;=Inputs!$C$68),F6424*H6424*Inputs!$C$69,"")</f>
      </c>
    </row>
    <row r="6425" spans="2:10" ht="15" customHeight="1" x14ac:dyDescent="0.2">
      <c r="B6425" s="39">
        <f t="shared" si="50"/>
      </c>
      <c r="C6425" s="40">
        <f>IF(Inputs!$C$60,Inputs!$C$11+(B6425-Inputs!$C$69)/Inputs!$C$70,"")</f>
      </c>
      <c r="D6425" s="15"/>
      <c r="E6425" s="15"/>
      <c r="F6425" s="11">
        <f t="shared" si="51"/>
      </c>
      <c r="G6425" s="22" cm="1">
        <f t="array" ref="G6425">IF(AND(Inputs!$C$60,Inputs!$C$61),INDEX(Utility_Rates!$C$29:$F$52,HOUR(C6425)+Inputs!$C$69,MATCH(INDEX(Utility_Rates!$K$6:$K$17,MONTH(C6425))&amp;IF(WEEKDAY(C6425,Inputs!$C$76)&lt;=Inputs!$C$74," weekday"," weekend"),Utility_Rates!$C$28:$F$28,Inputs!$C$68)),"")</f>
      </c>
      <c r="H6425" s="34"/>
      <c r="I6425" s="42">
        <f>IF(AND(ISNUMBER(D6425),ISNUMBER(H6425)),D6425*H6425*Inputs!$C$69,"")</f>
      </c>
      <c r="J6425" s="42">
        <f>IF(AND(ISNUMBER(F6425),ISNUMBER(H6425),F6425&gt;=Inputs!$C$68),F6425*H6425*Inputs!$C$69,"")</f>
      </c>
    </row>
    <row r="6426" spans="2:10" ht="15" customHeight="1" x14ac:dyDescent="0.2">
      <c r="B6426" s="39">
        <f t="shared" si="50"/>
      </c>
      <c r="C6426" s="40">
        <f>IF(Inputs!$C$60,Inputs!$C$11+(B6426-Inputs!$C$69)/Inputs!$C$70,"")</f>
      </c>
      <c r="D6426" s="15"/>
      <c r="E6426" s="15"/>
      <c r="F6426" s="11">
        <f t="shared" si="51"/>
      </c>
      <c r="G6426" s="22" cm="1">
        <f t="array" ref="G6426">IF(AND(Inputs!$C$60,Inputs!$C$61),INDEX(Utility_Rates!$C$29:$F$52,HOUR(C6426)+Inputs!$C$69,MATCH(INDEX(Utility_Rates!$K$6:$K$17,MONTH(C6426))&amp;IF(WEEKDAY(C6426,Inputs!$C$76)&lt;=Inputs!$C$74," weekday"," weekend"),Utility_Rates!$C$28:$F$28,Inputs!$C$68)),"")</f>
      </c>
      <c r="H6426" s="34"/>
      <c r="I6426" s="42">
        <f>IF(AND(ISNUMBER(D6426),ISNUMBER(H6426)),D6426*H6426*Inputs!$C$69,"")</f>
      </c>
      <c r="J6426" s="42">
        <f>IF(AND(ISNUMBER(F6426),ISNUMBER(H6426),F6426&gt;=Inputs!$C$68),F6426*H6426*Inputs!$C$69,"")</f>
      </c>
    </row>
    <row r="6427" spans="2:10" ht="15" customHeight="1" x14ac:dyDescent="0.2">
      <c r="B6427" s="39">
        <f t="shared" si="50"/>
      </c>
      <c r="C6427" s="40">
        <f>IF(Inputs!$C$60,Inputs!$C$11+(B6427-Inputs!$C$69)/Inputs!$C$70,"")</f>
      </c>
      <c r="D6427" s="15"/>
      <c r="E6427" s="15"/>
      <c r="F6427" s="11">
        <f t="shared" si="51"/>
      </c>
      <c r="G6427" s="22" cm="1">
        <f t="array" ref="G6427">IF(AND(Inputs!$C$60,Inputs!$C$61),INDEX(Utility_Rates!$C$29:$F$52,HOUR(C6427)+Inputs!$C$69,MATCH(INDEX(Utility_Rates!$K$6:$K$17,MONTH(C6427))&amp;IF(WEEKDAY(C6427,Inputs!$C$76)&lt;=Inputs!$C$74," weekday"," weekend"),Utility_Rates!$C$28:$F$28,Inputs!$C$68)),"")</f>
      </c>
      <c r="H6427" s="34"/>
      <c r="I6427" s="42">
        <f>IF(AND(ISNUMBER(D6427),ISNUMBER(H6427)),D6427*H6427*Inputs!$C$69,"")</f>
      </c>
      <c r="J6427" s="42">
        <f>IF(AND(ISNUMBER(F6427),ISNUMBER(H6427),F6427&gt;=Inputs!$C$68),F6427*H6427*Inputs!$C$69,"")</f>
      </c>
    </row>
    <row r="6428" spans="2:10" ht="15" customHeight="1" x14ac:dyDescent="0.2">
      <c r="B6428" s="39">
        <f t="shared" si="50"/>
      </c>
      <c r="C6428" s="40">
        <f>IF(Inputs!$C$60,Inputs!$C$11+(B6428-Inputs!$C$69)/Inputs!$C$70,"")</f>
      </c>
      <c r="D6428" s="15"/>
      <c r="E6428" s="15"/>
      <c r="F6428" s="11">
        <f t="shared" si="51"/>
      </c>
      <c r="G6428" s="22" cm="1">
        <f t="array" ref="G6428">IF(AND(Inputs!$C$60,Inputs!$C$61),INDEX(Utility_Rates!$C$29:$F$52,HOUR(C6428)+Inputs!$C$69,MATCH(INDEX(Utility_Rates!$K$6:$K$17,MONTH(C6428))&amp;IF(WEEKDAY(C6428,Inputs!$C$76)&lt;=Inputs!$C$74," weekday"," weekend"),Utility_Rates!$C$28:$F$28,Inputs!$C$68)),"")</f>
      </c>
      <c r="H6428" s="34"/>
      <c r="I6428" s="42">
        <f>IF(AND(ISNUMBER(D6428),ISNUMBER(H6428)),D6428*H6428*Inputs!$C$69,"")</f>
      </c>
      <c r="J6428" s="42">
        <f>IF(AND(ISNUMBER(F6428),ISNUMBER(H6428),F6428&gt;=Inputs!$C$68),F6428*H6428*Inputs!$C$69,"")</f>
      </c>
    </row>
    <row r="6429" spans="2:10" ht="15" customHeight="1" x14ac:dyDescent="0.2">
      <c r="B6429" s="39">
        <f t="shared" si="50"/>
      </c>
      <c r="C6429" s="40">
        <f>IF(Inputs!$C$60,Inputs!$C$11+(B6429-Inputs!$C$69)/Inputs!$C$70,"")</f>
      </c>
      <c r="D6429" s="15"/>
      <c r="E6429" s="15"/>
      <c r="F6429" s="11">
        <f t="shared" si="51"/>
      </c>
      <c r="G6429" s="22" cm="1">
        <f t="array" ref="G6429">IF(AND(Inputs!$C$60,Inputs!$C$61),INDEX(Utility_Rates!$C$29:$F$52,HOUR(C6429)+Inputs!$C$69,MATCH(INDEX(Utility_Rates!$K$6:$K$17,MONTH(C6429))&amp;IF(WEEKDAY(C6429,Inputs!$C$76)&lt;=Inputs!$C$74," weekday"," weekend"),Utility_Rates!$C$28:$F$28,Inputs!$C$68)),"")</f>
      </c>
      <c r="H6429" s="34"/>
      <c r="I6429" s="42">
        <f>IF(AND(ISNUMBER(D6429),ISNUMBER(H6429)),D6429*H6429*Inputs!$C$69,"")</f>
      </c>
      <c r="J6429" s="42">
        <f>IF(AND(ISNUMBER(F6429),ISNUMBER(H6429),F6429&gt;=Inputs!$C$68),F6429*H6429*Inputs!$C$69,"")</f>
      </c>
    </row>
    <row r="6430" spans="2:10" ht="15" customHeight="1" x14ac:dyDescent="0.2">
      <c r="B6430" s="39">
        <f t="shared" si="50"/>
      </c>
      <c r="C6430" s="40">
        <f>IF(Inputs!$C$60,Inputs!$C$11+(B6430-Inputs!$C$69)/Inputs!$C$70,"")</f>
      </c>
      <c r="D6430" s="15"/>
      <c r="E6430" s="15"/>
      <c r="F6430" s="11">
        <f t="shared" si="51"/>
      </c>
      <c r="G6430" s="22" cm="1">
        <f t="array" ref="G6430">IF(AND(Inputs!$C$60,Inputs!$C$61),INDEX(Utility_Rates!$C$29:$F$52,HOUR(C6430)+Inputs!$C$69,MATCH(INDEX(Utility_Rates!$K$6:$K$17,MONTH(C6430))&amp;IF(WEEKDAY(C6430,Inputs!$C$76)&lt;=Inputs!$C$74," weekday"," weekend"),Utility_Rates!$C$28:$F$28,Inputs!$C$68)),"")</f>
      </c>
      <c r="H6430" s="34"/>
      <c r="I6430" s="42">
        <f>IF(AND(ISNUMBER(D6430),ISNUMBER(H6430)),D6430*H6430*Inputs!$C$69,"")</f>
      </c>
      <c r="J6430" s="42">
        <f>IF(AND(ISNUMBER(F6430),ISNUMBER(H6430),F6430&gt;=Inputs!$C$68),F6430*H6430*Inputs!$C$69,"")</f>
      </c>
    </row>
    <row r="6431" spans="2:10" ht="15" customHeight="1" x14ac:dyDescent="0.2">
      <c r="B6431" s="39">
        <f t="shared" si="50"/>
      </c>
      <c r="C6431" s="40">
        <f>IF(Inputs!$C$60,Inputs!$C$11+(B6431-Inputs!$C$69)/Inputs!$C$70,"")</f>
      </c>
      <c r="D6431" s="15"/>
      <c r="E6431" s="15"/>
      <c r="F6431" s="11">
        <f t="shared" si="51"/>
      </c>
      <c r="G6431" s="22" cm="1">
        <f t="array" ref="G6431">IF(AND(Inputs!$C$60,Inputs!$C$61),INDEX(Utility_Rates!$C$29:$F$52,HOUR(C6431)+Inputs!$C$69,MATCH(INDEX(Utility_Rates!$K$6:$K$17,MONTH(C6431))&amp;IF(WEEKDAY(C6431,Inputs!$C$76)&lt;=Inputs!$C$74," weekday"," weekend"),Utility_Rates!$C$28:$F$28,Inputs!$C$68)),"")</f>
      </c>
      <c r="H6431" s="34"/>
      <c r="I6431" s="42">
        <f>IF(AND(ISNUMBER(D6431),ISNUMBER(H6431)),D6431*H6431*Inputs!$C$69,"")</f>
      </c>
      <c r="J6431" s="42">
        <f>IF(AND(ISNUMBER(F6431),ISNUMBER(H6431),F6431&gt;=Inputs!$C$68),F6431*H6431*Inputs!$C$69,"")</f>
      </c>
    </row>
    <row r="6432" spans="2:10" ht="15" customHeight="1" x14ac:dyDescent="0.2">
      <c r="B6432" s="39">
        <f t="shared" si="50"/>
      </c>
      <c r="C6432" s="40">
        <f>IF(Inputs!$C$60,Inputs!$C$11+(B6432-Inputs!$C$69)/Inputs!$C$70,"")</f>
      </c>
      <c r="D6432" s="15"/>
      <c r="E6432" s="15"/>
      <c r="F6432" s="11">
        <f t="shared" si="51"/>
      </c>
      <c r="G6432" s="22" cm="1">
        <f t="array" ref="G6432">IF(AND(Inputs!$C$60,Inputs!$C$61),INDEX(Utility_Rates!$C$29:$F$52,HOUR(C6432)+Inputs!$C$69,MATCH(INDEX(Utility_Rates!$K$6:$K$17,MONTH(C6432))&amp;IF(WEEKDAY(C6432,Inputs!$C$76)&lt;=Inputs!$C$74," weekday"," weekend"),Utility_Rates!$C$28:$F$28,Inputs!$C$68)),"")</f>
      </c>
      <c r="H6432" s="34"/>
      <c r="I6432" s="42">
        <f>IF(AND(ISNUMBER(D6432),ISNUMBER(H6432)),D6432*H6432*Inputs!$C$69,"")</f>
      </c>
      <c r="J6432" s="42">
        <f>IF(AND(ISNUMBER(F6432),ISNUMBER(H6432),F6432&gt;=Inputs!$C$68),F6432*H6432*Inputs!$C$69,"")</f>
      </c>
    </row>
    <row r="6433" spans="2:10" ht="15" customHeight="1" x14ac:dyDescent="0.2">
      <c r="B6433" s="39">
        <f t="shared" si="50"/>
      </c>
      <c r="C6433" s="40">
        <f>IF(Inputs!$C$60,Inputs!$C$11+(B6433-Inputs!$C$69)/Inputs!$C$70,"")</f>
      </c>
      <c r="D6433" s="15"/>
      <c r="E6433" s="15"/>
      <c r="F6433" s="11">
        <f t="shared" si="51"/>
      </c>
      <c r="G6433" s="22" cm="1">
        <f t="array" ref="G6433">IF(AND(Inputs!$C$60,Inputs!$C$61),INDEX(Utility_Rates!$C$29:$F$52,HOUR(C6433)+Inputs!$C$69,MATCH(INDEX(Utility_Rates!$K$6:$K$17,MONTH(C6433))&amp;IF(WEEKDAY(C6433,Inputs!$C$76)&lt;=Inputs!$C$74," weekday"," weekend"),Utility_Rates!$C$28:$F$28,Inputs!$C$68)),"")</f>
      </c>
      <c r="H6433" s="34"/>
      <c r="I6433" s="42">
        <f>IF(AND(ISNUMBER(D6433),ISNUMBER(H6433)),D6433*H6433*Inputs!$C$69,"")</f>
      </c>
      <c r="J6433" s="42">
        <f>IF(AND(ISNUMBER(F6433),ISNUMBER(H6433),F6433&gt;=Inputs!$C$68),F6433*H6433*Inputs!$C$69,"")</f>
      </c>
    </row>
    <row r="6434" spans="2:10" ht="15" customHeight="1" x14ac:dyDescent="0.2">
      <c r="B6434" s="39">
        <f t="shared" si="50"/>
      </c>
      <c r="C6434" s="40">
        <f>IF(Inputs!$C$60,Inputs!$C$11+(B6434-Inputs!$C$69)/Inputs!$C$70,"")</f>
      </c>
      <c r="D6434" s="15"/>
      <c r="E6434" s="15"/>
      <c r="F6434" s="11">
        <f t="shared" si="51"/>
      </c>
      <c r="G6434" s="22" cm="1">
        <f t="array" ref="G6434">IF(AND(Inputs!$C$60,Inputs!$C$61),INDEX(Utility_Rates!$C$29:$F$52,HOUR(C6434)+Inputs!$C$69,MATCH(INDEX(Utility_Rates!$K$6:$K$17,MONTH(C6434))&amp;IF(WEEKDAY(C6434,Inputs!$C$76)&lt;=Inputs!$C$74," weekday"," weekend"),Utility_Rates!$C$28:$F$28,Inputs!$C$68)),"")</f>
      </c>
      <c r="H6434" s="34"/>
      <c r="I6434" s="42">
        <f>IF(AND(ISNUMBER(D6434),ISNUMBER(H6434)),D6434*H6434*Inputs!$C$69,"")</f>
      </c>
      <c r="J6434" s="42">
        <f>IF(AND(ISNUMBER(F6434),ISNUMBER(H6434),F6434&gt;=Inputs!$C$68),F6434*H6434*Inputs!$C$69,"")</f>
      </c>
    </row>
    <row r="6435" spans="2:10" ht="15" customHeight="1" x14ac:dyDescent="0.2">
      <c r="B6435" s="39">
        <f t="shared" si="50"/>
      </c>
      <c r="C6435" s="40">
        <f>IF(Inputs!$C$60,Inputs!$C$11+(B6435-Inputs!$C$69)/Inputs!$C$70,"")</f>
      </c>
      <c r="D6435" s="15"/>
      <c r="E6435" s="15"/>
      <c r="F6435" s="11">
        <f t="shared" si="51"/>
      </c>
      <c r="G6435" s="22" cm="1">
        <f t="array" ref="G6435">IF(AND(Inputs!$C$60,Inputs!$C$61),INDEX(Utility_Rates!$C$29:$F$52,HOUR(C6435)+Inputs!$C$69,MATCH(INDEX(Utility_Rates!$K$6:$K$17,MONTH(C6435))&amp;IF(WEEKDAY(C6435,Inputs!$C$76)&lt;=Inputs!$C$74," weekday"," weekend"),Utility_Rates!$C$28:$F$28,Inputs!$C$68)),"")</f>
      </c>
      <c r="H6435" s="34"/>
      <c r="I6435" s="42">
        <f>IF(AND(ISNUMBER(D6435),ISNUMBER(H6435)),D6435*H6435*Inputs!$C$69,"")</f>
      </c>
      <c r="J6435" s="42">
        <f>IF(AND(ISNUMBER(F6435),ISNUMBER(H6435),F6435&gt;=Inputs!$C$68),F6435*H6435*Inputs!$C$69,"")</f>
      </c>
    </row>
    <row r="6436" spans="2:10" ht="15" customHeight="1" x14ac:dyDescent="0.2">
      <c r="B6436" s="39">
        <f t="shared" si="50"/>
      </c>
      <c r="C6436" s="40">
        <f>IF(Inputs!$C$60,Inputs!$C$11+(B6436-Inputs!$C$69)/Inputs!$C$70,"")</f>
      </c>
      <c r="D6436" s="15"/>
      <c r="E6436" s="15"/>
      <c r="F6436" s="11">
        <f t="shared" si="51"/>
      </c>
      <c r="G6436" s="22" cm="1">
        <f t="array" ref="G6436">IF(AND(Inputs!$C$60,Inputs!$C$61),INDEX(Utility_Rates!$C$29:$F$52,HOUR(C6436)+Inputs!$C$69,MATCH(INDEX(Utility_Rates!$K$6:$K$17,MONTH(C6436))&amp;IF(WEEKDAY(C6436,Inputs!$C$76)&lt;=Inputs!$C$74," weekday"," weekend"),Utility_Rates!$C$28:$F$28,Inputs!$C$68)),"")</f>
      </c>
      <c r="H6436" s="34"/>
      <c r="I6436" s="42">
        <f>IF(AND(ISNUMBER(D6436),ISNUMBER(H6436)),D6436*H6436*Inputs!$C$69,"")</f>
      </c>
      <c r="J6436" s="42">
        <f>IF(AND(ISNUMBER(F6436),ISNUMBER(H6436),F6436&gt;=Inputs!$C$68),F6436*H6436*Inputs!$C$69,"")</f>
      </c>
    </row>
    <row r="6437" spans="2:10" ht="15" customHeight="1" x14ac:dyDescent="0.2">
      <c r="B6437" s="39">
        <f t="shared" si="50"/>
      </c>
      <c r="C6437" s="40">
        <f>IF(Inputs!$C$60,Inputs!$C$11+(B6437-Inputs!$C$69)/Inputs!$C$70,"")</f>
      </c>
      <c r="D6437" s="15"/>
      <c r="E6437" s="15"/>
      <c r="F6437" s="11">
        <f t="shared" si="51"/>
      </c>
      <c r="G6437" s="22" cm="1">
        <f t="array" ref="G6437">IF(AND(Inputs!$C$60,Inputs!$C$61),INDEX(Utility_Rates!$C$29:$F$52,HOUR(C6437)+Inputs!$C$69,MATCH(INDEX(Utility_Rates!$K$6:$K$17,MONTH(C6437))&amp;IF(WEEKDAY(C6437,Inputs!$C$76)&lt;=Inputs!$C$74," weekday"," weekend"),Utility_Rates!$C$28:$F$28,Inputs!$C$68)),"")</f>
      </c>
      <c r="H6437" s="34"/>
      <c r="I6437" s="42">
        <f>IF(AND(ISNUMBER(D6437),ISNUMBER(H6437)),D6437*H6437*Inputs!$C$69,"")</f>
      </c>
      <c r="J6437" s="42">
        <f>IF(AND(ISNUMBER(F6437),ISNUMBER(H6437),F6437&gt;=Inputs!$C$68),F6437*H6437*Inputs!$C$69,"")</f>
      </c>
    </row>
    <row r="6438" spans="2:10" ht="15" customHeight="1" x14ac:dyDescent="0.2">
      <c r="B6438" s="39">
        <f t="shared" si="50"/>
      </c>
      <c r="C6438" s="40">
        <f>IF(Inputs!$C$60,Inputs!$C$11+(B6438-Inputs!$C$69)/Inputs!$C$70,"")</f>
      </c>
      <c r="D6438" s="15"/>
      <c r="E6438" s="15"/>
      <c r="F6438" s="11">
        <f t="shared" si="51"/>
      </c>
      <c r="G6438" s="22" cm="1">
        <f t="array" ref="G6438">IF(AND(Inputs!$C$60,Inputs!$C$61),INDEX(Utility_Rates!$C$29:$F$52,HOUR(C6438)+Inputs!$C$69,MATCH(INDEX(Utility_Rates!$K$6:$K$17,MONTH(C6438))&amp;IF(WEEKDAY(C6438,Inputs!$C$76)&lt;=Inputs!$C$74," weekday"," weekend"),Utility_Rates!$C$28:$F$28,Inputs!$C$68)),"")</f>
      </c>
      <c r="H6438" s="34"/>
      <c r="I6438" s="42">
        <f>IF(AND(ISNUMBER(D6438),ISNUMBER(H6438)),D6438*H6438*Inputs!$C$69,"")</f>
      </c>
      <c r="J6438" s="42">
        <f>IF(AND(ISNUMBER(F6438),ISNUMBER(H6438),F6438&gt;=Inputs!$C$68),F6438*H6438*Inputs!$C$69,"")</f>
      </c>
    </row>
    <row r="6439" spans="2:10" ht="15" customHeight="1" x14ac:dyDescent="0.2">
      <c r="B6439" s="39">
        <f t="shared" si="50"/>
      </c>
      <c r="C6439" s="40">
        <f>IF(Inputs!$C$60,Inputs!$C$11+(B6439-Inputs!$C$69)/Inputs!$C$70,"")</f>
      </c>
      <c r="D6439" s="15"/>
      <c r="E6439" s="15"/>
      <c r="F6439" s="11">
        <f t="shared" si="51"/>
      </c>
      <c r="G6439" s="22" cm="1">
        <f t="array" ref="G6439">IF(AND(Inputs!$C$60,Inputs!$C$61),INDEX(Utility_Rates!$C$29:$F$52,HOUR(C6439)+Inputs!$C$69,MATCH(INDEX(Utility_Rates!$K$6:$K$17,MONTH(C6439))&amp;IF(WEEKDAY(C6439,Inputs!$C$76)&lt;=Inputs!$C$74," weekday"," weekend"),Utility_Rates!$C$28:$F$28,Inputs!$C$68)),"")</f>
      </c>
      <c r="H6439" s="34"/>
      <c r="I6439" s="42">
        <f>IF(AND(ISNUMBER(D6439),ISNUMBER(H6439)),D6439*H6439*Inputs!$C$69,"")</f>
      </c>
      <c r="J6439" s="42">
        <f>IF(AND(ISNUMBER(F6439),ISNUMBER(H6439),F6439&gt;=Inputs!$C$68),F6439*H6439*Inputs!$C$69,"")</f>
      </c>
    </row>
    <row r="6440" spans="2:10" ht="15" customHeight="1" x14ac:dyDescent="0.2">
      <c r="B6440" s="39">
        <f t="shared" si="50"/>
      </c>
      <c r="C6440" s="40">
        <f>IF(Inputs!$C$60,Inputs!$C$11+(B6440-Inputs!$C$69)/Inputs!$C$70,"")</f>
      </c>
      <c r="D6440" s="15"/>
      <c r="E6440" s="15"/>
      <c r="F6440" s="11">
        <f t="shared" si="51"/>
      </c>
      <c r="G6440" s="22" cm="1">
        <f t="array" ref="G6440">IF(AND(Inputs!$C$60,Inputs!$C$61),INDEX(Utility_Rates!$C$29:$F$52,HOUR(C6440)+Inputs!$C$69,MATCH(INDEX(Utility_Rates!$K$6:$K$17,MONTH(C6440))&amp;IF(WEEKDAY(C6440,Inputs!$C$76)&lt;=Inputs!$C$74," weekday"," weekend"),Utility_Rates!$C$28:$F$28,Inputs!$C$68)),"")</f>
      </c>
      <c r="H6440" s="34"/>
      <c r="I6440" s="42">
        <f>IF(AND(ISNUMBER(D6440),ISNUMBER(H6440)),D6440*H6440*Inputs!$C$69,"")</f>
      </c>
      <c r="J6440" s="42">
        <f>IF(AND(ISNUMBER(F6440),ISNUMBER(H6440),F6440&gt;=Inputs!$C$68),F6440*H6440*Inputs!$C$69,"")</f>
      </c>
    </row>
    <row r="6441" spans="2:10" ht="15" customHeight="1" x14ac:dyDescent="0.2">
      <c r="B6441" s="39">
        <f t="shared" si="50"/>
      </c>
      <c r="C6441" s="40">
        <f>IF(Inputs!$C$60,Inputs!$C$11+(B6441-Inputs!$C$69)/Inputs!$C$70,"")</f>
      </c>
      <c r="D6441" s="15"/>
      <c r="E6441" s="15"/>
      <c r="F6441" s="11">
        <f t="shared" si="51"/>
      </c>
      <c r="G6441" s="22" cm="1">
        <f t="array" ref="G6441">IF(AND(Inputs!$C$60,Inputs!$C$61),INDEX(Utility_Rates!$C$29:$F$52,HOUR(C6441)+Inputs!$C$69,MATCH(INDEX(Utility_Rates!$K$6:$K$17,MONTH(C6441))&amp;IF(WEEKDAY(C6441,Inputs!$C$76)&lt;=Inputs!$C$74," weekday"," weekend"),Utility_Rates!$C$28:$F$28,Inputs!$C$68)),"")</f>
      </c>
      <c r="H6441" s="34"/>
      <c r="I6441" s="42">
        <f>IF(AND(ISNUMBER(D6441),ISNUMBER(H6441)),D6441*H6441*Inputs!$C$69,"")</f>
      </c>
      <c r="J6441" s="42">
        <f>IF(AND(ISNUMBER(F6441),ISNUMBER(H6441),F6441&gt;=Inputs!$C$68),F6441*H6441*Inputs!$C$69,"")</f>
      </c>
    </row>
    <row r="6442" spans="2:10" ht="15" customHeight="1" x14ac:dyDescent="0.2">
      <c r="B6442" s="39">
        <f t="shared" si="50"/>
      </c>
      <c r="C6442" s="40">
        <f>IF(Inputs!$C$60,Inputs!$C$11+(B6442-Inputs!$C$69)/Inputs!$C$70,"")</f>
      </c>
      <c r="D6442" s="15"/>
      <c r="E6442" s="15"/>
      <c r="F6442" s="11">
        <f t="shared" si="51"/>
      </c>
      <c r="G6442" s="22" cm="1">
        <f t="array" ref="G6442">IF(AND(Inputs!$C$60,Inputs!$C$61),INDEX(Utility_Rates!$C$29:$F$52,HOUR(C6442)+Inputs!$C$69,MATCH(INDEX(Utility_Rates!$K$6:$K$17,MONTH(C6442))&amp;IF(WEEKDAY(C6442,Inputs!$C$76)&lt;=Inputs!$C$74," weekday"," weekend"),Utility_Rates!$C$28:$F$28,Inputs!$C$68)),"")</f>
      </c>
      <c r="H6442" s="34"/>
      <c r="I6442" s="42">
        <f>IF(AND(ISNUMBER(D6442),ISNUMBER(H6442)),D6442*H6442*Inputs!$C$69,"")</f>
      </c>
      <c r="J6442" s="42">
        <f>IF(AND(ISNUMBER(F6442),ISNUMBER(H6442),F6442&gt;=Inputs!$C$68),F6442*H6442*Inputs!$C$69,"")</f>
      </c>
    </row>
    <row r="6443" spans="2:10" ht="15" customHeight="1" x14ac:dyDescent="0.2">
      <c r="B6443" s="39">
        <f t="shared" si="50"/>
      </c>
      <c r="C6443" s="40">
        <f>IF(Inputs!$C$60,Inputs!$C$11+(B6443-Inputs!$C$69)/Inputs!$C$70,"")</f>
      </c>
      <c r="D6443" s="15"/>
      <c r="E6443" s="15"/>
      <c r="F6443" s="11">
        <f t="shared" si="51"/>
      </c>
      <c r="G6443" s="22" cm="1">
        <f t="array" ref="G6443">IF(AND(Inputs!$C$60,Inputs!$C$61),INDEX(Utility_Rates!$C$29:$F$52,HOUR(C6443)+Inputs!$C$69,MATCH(INDEX(Utility_Rates!$K$6:$K$17,MONTH(C6443))&amp;IF(WEEKDAY(C6443,Inputs!$C$76)&lt;=Inputs!$C$74," weekday"," weekend"),Utility_Rates!$C$28:$F$28,Inputs!$C$68)),"")</f>
      </c>
      <c r="H6443" s="34"/>
      <c r="I6443" s="42">
        <f>IF(AND(ISNUMBER(D6443),ISNUMBER(H6443)),D6443*H6443*Inputs!$C$69,"")</f>
      </c>
      <c r="J6443" s="42">
        <f>IF(AND(ISNUMBER(F6443),ISNUMBER(H6443),F6443&gt;=Inputs!$C$68),F6443*H6443*Inputs!$C$69,"")</f>
      </c>
    </row>
    <row r="6444" spans="2:10" ht="15" customHeight="1" x14ac:dyDescent="0.2">
      <c r="B6444" s="39">
        <f t="shared" si="50"/>
      </c>
      <c r="C6444" s="40">
        <f>IF(Inputs!$C$60,Inputs!$C$11+(B6444-Inputs!$C$69)/Inputs!$C$70,"")</f>
      </c>
      <c r="D6444" s="15"/>
      <c r="E6444" s="15"/>
      <c r="F6444" s="11">
        <f t="shared" si="51"/>
      </c>
      <c r="G6444" s="22" cm="1">
        <f t="array" ref="G6444">IF(AND(Inputs!$C$60,Inputs!$C$61),INDEX(Utility_Rates!$C$29:$F$52,HOUR(C6444)+Inputs!$C$69,MATCH(INDEX(Utility_Rates!$K$6:$K$17,MONTH(C6444))&amp;IF(WEEKDAY(C6444,Inputs!$C$76)&lt;=Inputs!$C$74," weekday"," weekend"),Utility_Rates!$C$28:$F$28,Inputs!$C$68)),"")</f>
      </c>
      <c r="H6444" s="34"/>
      <c r="I6444" s="42">
        <f>IF(AND(ISNUMBER(D6444),ISNUMBER(H6444)),D6444*H6444*Inputs!$C$69,"")</f>
      </c>
      <c r="J6444" s="42">
        <f>IF(AND(ISNUMBER(F6444),ISNUMBER(H6444),F6444&gt;=Inputs!$C$68),F6444*H6444*Inputs!$C$69,"")</f>
      </c>
    </row>
    <row r="6445" spans="2:10" ht="15" customHeight="1" x14ac:dyDescent="0.2">
      <c r="B6445" s="39">
        <f t="shared" si="50"/>
      </c>
      <c r="C6445" s="40">
        <f>IF(Inputs!$C$60,Inputs!$C$11+(B6445-Inputs!$C$69)/Inputs!$C$70,"")</f>
      </c>
      <c r="D6445" s="15"/>
      <c r="E6445" s="15"/>
      <c r="F6445" s="11">
        <f t="shared" si="51"/>
      </c>
      <c r="G6445" s="22" cm="1">
        <f t="array" ref="G6445">IF(AND(Inputs!$C$60,Inputs!$C$61),INDEX(Utility_Rates!$C$29:$F$52,HOUR(C6445)+Inputs!$C$69,MATCH(INDEX(Utility_Rates!$K$6:$K$17,MONTH(C6445))&amp;IF(WEEKDAY(C6445,Inputs!$C$76)&lt;=Inputs!$C$74," weekday"," weekend"),Utility_Rates!$C$28:$F$28,Inputs!$C$68)),"")</f>
      </c>
      <c r="H6445" s="34"/>
      <c r="I6445" s="42">
        <f>IF(AND(ISNUMBER(D6445),ISNUMBER(H6445)),D6445*H6445*Inputs!$C$69,"")</f>
      </c>
      <c r="J6445" s="42">
        <f>IF(AND(ISNUMBER(F6445),ISNUMBER(H6445),F6445&gt;=Inputs!$C$68),F6445*H6445*Inputs!$C$69,"")</f>
      </c>
    </row>
    <row r="6446" spans="2:10" ht="15" customHeight="1" x14ac:dyDescent="0.2">
      <c r="B6446" s="39">
        <f t="shared" si="50"/>
      </c>
      <c r="C6446" s="40">
        <f>IF(Inputs!$C$60,Inputs!$C$11+(B6446-Inputs!$C$69)/Inputs!$C$70,"")</f>
      </c>
      <c r="D6446" s="15"/>
      <c r="E6446" s="15"/>
      <c r="F6446" s="11">
        <f t="shared" si="51"/>
      </c>
      <c r="G6446" s="22" cm="1">
        <f t="array" ref="G6446">IF(AND(Inputs!$C$60,Inputs!$C$61),INDEX(Utility_Rates!$C$29:$F$52,HOUR(C6446)+Inputs!$C$69,MATCH(INDEX(Utility_Rates!$K$6:$K$17,MONTH(C6446))&amp;IF(WEEKDAY(C6446,Inputs!$C$76)&lt;=Inputs!$C$74," weekday"," weekend"),Utility_Rates!$C$28:$F$28,Inputs!$C$68)),"")</f>
      </c>
      <c r="H6446" s="34"/>
      <c r="I6446" s="42">
        <f>IF(AND(ISNUMBER(D6446),ISNUMBER(H6446)),D6446*H6446*Inputs!$C$69,"")</f>
      </c>
      <c r="J6446" s="42">
        <f>IF(AND(ISNUMBER(F6446),ISNUMBER(H6446),F6446&gt;=Inputs!$C$68),F6446*H6446*Inputs!$C$69,"")</f>
      </c>
    </row>
    <row r="6447" spans="2:10" ht="15" customHeight="1" x14ac:dyDescent="0.2">
      <c r="B6447" s="39">
        <f t="shared" si="50"/>
      </c>
      <c r="C6447" s="40">
        <f>IF(Inputs!$C$60,Inputs!$C$11+(B6447-Inputs!$C$69)/Inputs!$C$70,"")</f>
      </c>
      <c r="D6447" s="15"/>
      <c r="E6447" s="15"/>
      <c r="F6447" s="11">
        <f t="shared" si="51"/>
      </c>
      <c r="G6447" s="22" cm="1">
        <f t="array" ref="G6447">IF(AND(Inputs!$C$60,Inputs!$C$61),INDEX(Utility_Rates!$C$29:$F$52,HOUR(C6447)+Inputs!$C$69,MATCH(INDEX(Utility_Rates!$K$6:$K$17,MONTH(C6447))&amp;IF(WEEKDAY(C6447,Inputs!$C$76)&lt;=Inputs!$C$74," weekday"," weekend"),Utility_Rates!$C$28:$F$28,Inputs!$C$68)),"")</f>
      </c>
      <c r="H6447" s="34"/>
      <c r="I6447" s="42">
        <f>IF(AND(ISNUMBER(D6447),ISNUMBER(H6447)),D6447*H6447*Inputs!$C$69,"")</f>
      </c>
      <c r="J6447" s="42">
        <f>IF(AND(ISNUMBER(F6447),ISNUMBER(H6447),F6447&gt;=Inputs!$C$68),F6447*H6447*Inputs!$C$69,"")</f>
      </c>
    </row>
    <row r="6448" spans="2:10" ht="15" customHeight="1" x14ac:dyDescent="0.2">
      <c r="B6448" s="39">
        <f t="shared" si="50"/>
      </c>
      <c r="C6448" s="40">
        <f>IF(Inputs!$C$60,Inputs!$C$11+(B6448-Inputs!$C$69)/Inputs!$C$70,"")</f>
      </c>
      <c r="D6448" s="15"/>
      <c r="E6448" s="15"/>
      <c r="F6448" s="11">
        <f t="shared" si="51"/>
      </c>
      <c r="G6448" s="22" cm="1">
        <f t="array" ref="G6448">IF(AND(Inputs!$C$60,Inputs!$C$61),INDEX(Utility_Rates!$C$29:$F$52,HOUR(C6448)+Inputs!$C$69,MATCH(INDEX(Utility_Rates!$K$6:$K$17,MONTH(C6448))&amp;IF(WEEKDAY(C6448,Inputs!$C$76)&lt;=Inputs!$C$74," weekday"," weekend"),Utility_Rates!$C$28:$F$28,Inputs!$C$68)),"")</f>
      </c>
      <c r="H6448" s="34"/>
      <c r="I6448" s="42">
        <f>IF(AND(ISNUMBER(D6448),ISNUMBER(H6448)),D6448*H6448*Inputs!$C$69,"")</f>
      </c>
      <c r="J6448" s="42">
        <f>IF(AND(ISNUMBER(F6448),ISNUMBER(H6448),F6448&gt;=Inputs!$C$68),F6448*H6448*Inputs!$C$69,"")</f>
      </c>
    </row>
    <row r="6449" spans="2:10" ht="15" customHeight="1" x14ac:dyDescent="0.2">
      <c r="B6449" s="39">
        <f t="shared" si="50"/>
      </c>
      <c r="C6449" s="40">
        <f>IF(Inputs!$C$60,Inputs!$C$11+(B6449-Inputs!$C$69)/Inputs!$C$70,"")</f>
      </c>
      <c r="D6449" s="15"/>
      <c r="E6449" s="15"/>
      <c r="F6449" s="11">
        <f t="shared" si="51"/>
      </c>
      <c r="G6449" s="22" cm="1">
        <f t="array" ref="G6449">IF(AND(Inputs!$C$60,Inputs!$C$61),INDEX(Utility_Rates!$C$29:$F$52,HOUR(C6449)+Inputs!$C$69,MATCH(INDEX(Utility_Rates!$K$6:$K$17,MONTH(C6449))&amp;IF(WEEKDAY(C6449,Inputs!$C$76)&lt;=Inputs!$C$74," weekday"," weekend"),Utility_Rates!$C$28:$F$28,Inputs!$C$68)),"")</f>
      </c>
      <c r="H6449" s="34"/>
      <c r="I6449" s="42">
        <f>IF(AND(ISNUMBER(D6449),ISNUMBER(H6449)),D6449*H6449*Inputs!$C$69,"")</f>
      </c>
      <c r="J6449" s="42">
        <f>IF(AND(ISNUMBER(F6449),ISNUMBER(H6449),F6449&gt;=Inputs!$C$68),F6449*H6449*Inputs!$C$69,"")</f>
      </c>
    </row>
    <row r="6450" spans="2:10" ht="15" customHeight="1" x14ac:dyDescent="0.2">
      <c r="B6450" s="39">
        <f t="shared" si="50"/>
      </c>
      <c r="C6450" s="40">
        <f>IF(Inputs!$C$60,Inputs!$C$11+(B6450-Inputs!$C$69)/Inputs!$C$70,"")</f>
      </c>
      <c r="D6450" s="15"/>
      <c r="E6450" s="15"/>
      <c r="F6450" s="11">
        <f t="shared" si="51"/>
      </c>
      <c r="G6450" s="22" cm="1">
        <f t="array" ref="G6450">IF(AND(Inputs!$C$60,Inputs!$C$61),INDEX(Utility_Rates!$C$29:$F$52,HOUR(C6450)+Inputs!$C$69,MATCH(INDEX(Utility_Rates!$K$6:$K$17,MONTH(C6450))&amp;IF(WEEKDAY(C6450,Inputs!$C$76)&lt;=Inputs!$C$74," weekday"," weekend"),Utility_Rates!$C$28:$F$28,Inputs!$C$68)),"")</f>
      </c>
      <c r="H6450" s="34"/>
      <c r="I6450" s="42">
        <f>IF(AND(ISNUMBER(D6450),ISNUMBER(H6450)),D6450*H6450*Inputs!$C$69,"")</f>
      </c>
      <c r="J6450" s="42">
        <f>IF(AND(ISNUMBER(F6450),ISNUMBER(H6450),F6450&gt;=Inputs!$C$68),F6450*H6450*Inputs!$C$69,"")</f>
      </c>
    </row>
    <row r="6451" spans="2:10" ht="15" customHeight="1" x14ac:dyDescent="0.2">
      <c r="B6451" s="39">
        <f t="shared" si="50"/>
      </c>
      <c r="C6451" s="40">
        <f>IF(Inputs!$C$60,Inputs!$C$11+(B6451-Inputs!$C$69)/Inputs!$C$70,"")</f>
      </c>
      <c r="D6451" s="15"/>
      <c r="E6451" s="15"/>
      <c r="F6451" s="11">
        <f t="shared" si="51"/>
      </c>
      <c r="G6451" s="22" cm="1">
        <f t="array" ref="G6451">IF(AND(Inputs!$C$60,Inputs!$C$61),INDEX(Utility_Rates!$C$29:$F$52,HOUR(C6451)+Inputs!$C$69,MATCH(INDEX(Utility_Rates!$K$6:$K$17,MONTH(C6451))&amp;IF(WEEKDAY(C6451,Inputs!$C$76)&lt;=Inputs!$C$74," weekday"," weekend"),Utility_Rates!$C$28:$F$28,Inputs!$C$68)),"")</f>
      </c>
      <c r="H6451" s="34"/>
      <c r="I6451" s="42">
        <f>IF(AND(ISNUMBER(D6451),ISNUMBER(H6451)),D6451*H6451*Inputs!$C$69,"")</f>
      </c>
      <c r="J6451" s="42">
        <f>IF(AND(ISNUMBER(F6451),ISNUMBER(H6451),F6451&gt;=Inputs!$C$68),F6451*H6451*Inputs!$C$69,"")</f>
      </c>
    </row>
    <row r="6452" spans="2:10" ht="15" customHeight="1" x14ac:dyDescent="0.2">
      <c r="B6452" s="39">
        <f t="shared" si="50"/>
      </c>
      <c r="C6452" s="40">
        <f>IF(Inputs!$C$60,Inputs!$C$11+(B6452-Inputs!$C$69)/Inputs!$C$70,"")</f>
      </c>
      <c r="D6452" s="15"/>
      <c r="E6452" s="15"/>
      <c r="F6452" s="11">
        <f t="shared" si="51"/>
      </c>
      <c r="G6452" s="22" cm="1">
        <f t="array" ref="G6452">IF(AND(Inputs!$C$60,Inputs!$C$61),INDEX(Utility_Rates!$C$29:$F$52,HOUR(C6452)+Inputs!$C$69,MATCH(INDEX(Utility_Rates!$K$6:$K$17,MONTH(C6452))&amp;IF(WEEKDAY(C6452,Inputs!$C$76)&lt;=Inputs!$C$74," weekday"," weekend"),Utility_Rates!$C$28:$F$28,Inputs!$C$68)),"")</f>
      </c>
      <c r="H6452" s="34"/>
      <c r="I6452" s="42">
        <f>IF(AND(ISNUMBER(D6452),ISNUMBER(H6452)),D6452*H6452*Inputs!$C$69,"")</f>
      </c>
      <c r="J6452" s="42">
        <f>IF(AND(ISNUMBER(F6452),ISNUMBER(H6452),F6452&gt;=Inputs!$C$68),F6452*H6452*Inputs!$C$69,"")</f>
      </c>
    </row>
    <row r="6453" spans="2:10" ht="15" customHeight="1" x14ac:dyDescent="0.2">
      <c r="B6453" s="39">
        <f t="shared" si="50"/>
      </c>
      <c r="C6453" s="40">
        <f>IF(Inputs!$C$60,Inputs!$C$11+(B6453-Inputs!$C$69)/Inputs!$C$70,"")</f>
      </c>
      <c r="D6453" s="15"/>
      <c r="E6453" s="15"/>
      <c r="F6453" s="11">
        <f t="shared" si="51"/>
      </c>
      <c r="G6453" s="22" cm="1">
        <f t="array" ref="G6453">IF(AND(Inputs!$C$60,Inputs!$C$61),INDEX(Utility_Rates!$C$29:$F$52,HOUR(C6453)+Inputs!$C$69,MATCH(INDEX(Utility_Rates!$K$6:$K$17,MONTH(C6453))&amp;IF(WEEKDAY(C6453,Inputs!$C$76)&lt;=Inputs!$C$74," weekday"," weekend"),Utility_Rates!$C$28:$F$28,Inputs!$C$68)),"")</f>
      </c>
      <c r="H6453" s="34"/>
      <c r="I6453" s="42">
        <f>IF(AND(ISNUMBER(D6453),ISNUMBER(H6453)),D6453*H6453*Inputs!$C$69,"")</f>
      </c>
      <c r="J6453" s="42">
        <f>IF(AND(ISNUMBER(F6453),ISNUMBER(H6453),F6453&gt;=Inputs!$C$68),F6453*H6453*Inputs!$C$69,"")</f>
      </c>
    </row>
    <row r="6454" spans="2:10" ht="15" customHeight="1" x14ac:dyDescent="0.2">
      <c r="B6454" s="39">
        <f t="shared" si="50"/>
      </c>
      <c r="C6454" s="40">
        <f>IF(Inputs!$C$60,Inputs!$C$11+(B6454-Inputs!$C$69)/Inputs!$C$70,"")</f>
      </c>
      <c r="D6454" s="15"/>
      <c r="E6454" s="15"/>
      <c r="F6454" s="11">
        <f t="shared" si="51"/>
      </c>
      <c r="G6454" s="22" cm="1">
        <f t="array" ref="G6454">IF(AND(Inputs!$C$60,Inputs!$C$61),INDEX(Utility_Rates!$C$29:$F$52,HOUR(C6454)+Inputs!$C$69,MATCH(INDEX(Utility_Rates!$K$6:$K$17,MONTH(C6454))&amp;IF(WEEKDAY(C6454,Inputs!$C$76)&lt;=Inputs!$C$74," weekday"," weekend"),Utility_Rates!$C$28:$F$28,Inputs!$C$68)),"")</f>
      </c>
      <c r="H6454" s="34"/>
      <c r="I6454" s="42">
        <f>IF(AND(ISNUMBER(D6454),ISNUMBER(H6454)),D6454*H6454*Inputs!$C$69,"")</f>
      </c>
      <c r="J6454" s="42">
        <f>IF(AND(ISNUMBER(F6454),ISNUMBER(H6454),F6454&gt;=Inputs!$C$68),F6454*H6454*Inputs!$C$69,"")</f>
      </c>
    </row>
    <row r="6455" spans="2:10" ht="15" customHeight="1" x14ac:dyDescent="0.2">
      <c r="B6455" s="39">
        <f t="shared" si="50"/>
      </c>
      <c r="C6455" s="40">
        <f>IF(Inputs!$C$60,Inputs!$C$11+(B6455-Inputs!$C$69)/Inputs!$C$70,"")</f>
      </c>
      <c r="D6455" s="15"/>
      <c r="E6455" s="15"/>
      <c r="F6455" s="11">
        <f t="shared" si="51"/>
      </c>
      <c r="G6455" s="22" cm="1">
        <f t="array" ref="G6455">IF(AND(Inputs!$C$60,Inputs!$C$61),INDEX(Utility_Rates!$C$29:$F$52,HOUR(C6455)+Inputs!$C$69,MATCH(INDEX(Utility_Rates!$K$6:$K$17,MONTH(C6455))&amp;IF(WEEKDAY(C6455,Inputs!$C$76)&lt;=Inputs!$C$74," weekday"," weekend"),Utility_Rates!$C$28:$F$28,Inputs!$C$68)),"")</f>
      </c>
      <c r="H6455" s="34"/>
      <c r="I6455" s="42">
        <f>IF(AND(ISNUMBER(D6455),ISNUMBER(H6455)),D6455*H6455*Inputs!$C$69,"")</f>
      </c>
      <c r="J6455" s="42">
        <f>IF(AND(ISNUMBER(F6455),ISNUMBER(H6455),F6455&gt;=Inputs!$C$68),F6455*H6455*Inputs!$C$69,"")</f>
      </c>
    </row>
    <row r="6456" spans="2:10" ht="15" customHeight="1" x14ac:dyDescent="0.2">
      <c r="B6456" s="39">
        <f t="shared" si="50"/>
      </c>
      <c r="C6456" s="40">
        <f>IF(Inputs!$C$60,Inputs!$C$11+(B6456-Inputs!$C$69)/Inputs!$C$70,"")</f>
      </c>
      <c r="D6456" s="15"/>
      <c r="E6456" s="15"/>
      <c r="F6456" s="11">
        <f t="shared" si="51"/>
      </c>
      <c r="G6456" s="22" cm="1">
        <f t="array" ref="G6456">IF(AND(Inputs!$C$60,Inputs!$C$61),INDEX(Utility_Rates!$C$29:$F$52,HOUR(C6456)+Inputs!$C$69,MATCH(INDEX(Utility_Rates!$K$6:$K$17,MONTH(C6456))&amp;IF(WEEKDAY(C6456,Inputs!$C$76)&lt;=Inputs!$C$74," weekday"," weekend"),Utility_Rates!$C$28:$F$28,Inputs!$C$68)),"")</f>
      </c>
      <c r="H6456" s="34"/>
      <c r="I6456" s="42">
        <f>IF(AND(ISNUMBER(D6456),ISNUMBER(H6456)),D6456*H6456*Inputs!$C$69,"")</f>
      </c>
      <c r="J6456" s="42">
        <f>IF(AND(ISNUMBER(F6456),ISNUMBER(H6456),F6456&gt;=Inputs!$C$68),F6456*H6456*Inputs!$C$69,"")</f>
      </c>
    </row>
    <row r="6457" spans="2:10" ht="15" customHeight="1" x14ac:dyDescent="0.2">
      <c r="B6457" s="39">
        <f t="shared" si="50"/>
      </c>
      <c r="C6457" s="40">
        <f>IF(Inputs!$C$60,Inputs!$C$11+(B6457-Inputs!$C$69)/Inputs!$C$70,"")</f>
      </c>
      <c r="D6457" s="15"/>
      <c r="E6457" s="15"/>
      <c r="F6457" s="11">
        <f t="shared" si="51"/>
      </c>
      <c r="G6457" s="22" cm="1">
        <f t="array" ref="G6457">IF(AND(Inputs!$C$60,Inputs!$C$61),INDEX(Utility_Rates!$C$29:$F$52,HOUR(C6457)+Inputs!$C$69,MATCH(INDEX(Utility_Rates!$K$6:$K$17,MONTH(C6457))&amp;IF(WEEKDAY(C6457,Inputs!$C$76)&lt;=Inputs!$C$74," weekday"," weekend"),Utility_Rates!$C$28:$F$28,Inputs!$C$68)),"")</f>
      </c>
      <c r="H6457" s="34"/>
      <c r="I6457" s="42">
        <f>IF(AND(ISNUMBER(D6457),ISNUMBER(H6457)),D6457*H6457*Inputs!$C$69,"")</f>
      </c>
      <c r="J6457" s="42">
        <f>IF(AND(ISNUMBER(F6457),ISNUMBER(H6457),F6457&gt;=Inputs!$C$68),F6457*H6457*Inputs!$C$69,"")</f>
      </c>
    </row>
    <row r="6458" spans="2:10" ht="15" customHeight="1" x14ac:dyDescent="0.2">
      <c r="B6458" s="39">
        <f t="shared" si="50"/>
      </c>
      <c r="C6458" s="40">
        <f>IF(Inputs!$C$60,Inputs!$C$11+(B6458-Inputs!$C$69)/Inputs!$C$70,"")</f>
      </c>
      <c r="D6458" s="15"/>
      <c r="E6458" s="15"/>
      <c r="F6458" s="11">
        <f t="shared" si="51"/>
      </c>
      <c r="G6458" s="22" cm="1">
        <f t="array" ref="G6458">IF(AND(Inputs!$C$60,Inputs!$C$61),INDEX(Utility_Rates!$C$29:$F$52,HOUR(C6458)+Inputs!$C$69,MATCH(INDEX(Utility_Rates!$K$6:$K$17,MONTH(C6458))&amp;IF(WEEKDAY(C6458,Inputs!$C$76)&lt;=Inputs!$C$74," weekday"," weekend"),Utility_Rates!$C$28:$F$28,Inputs!$C$68)),"")</f>
      </c>
      <c r="H6458" s="34"/>
      <c r="I6458" s="42">
        <f>IF(AND(ISNUMBER(D6458),ISNUMBER(H6458)),D6458*H6458*Inputs!$C$69,"")</f>
      </c>
      <c r="J6458" s="42">
        <f>IF(AND(ISNUMBER(F6458),ISNUMBER(H6458),F6458&gt;=Inputs!$C$68),F6458*H6458*Inputs!$C$69,"")</f>
      </c>
    </row>
    <row r="6459" spans="2:10" ht="15" customHeight="1" x14ac:dyDescent="0.2">
      <c r="B6459" s="39">
        <f t="shared" si="50"/>
      </c>
      <c r="C6459" s="40">
        <f>IF(Inputs!$C$60,Inputs!$C$11+(B6459-Inputs!$C$69)/Inputs!$C$70,"")</f>
      </c>
      <c r="D6459" s="15"/>
      <c r="E6459" s="15"/>
      <c r="F6459" s="11">
        <f t="shared" si="51"/>
      </c>
      <c r="G6459" s="22" cm="1">
        <f t="array" ref="G6459">IF(AND(Inputs!$C$60,Inputs!$C$61),INDEX(Utility_Rates!$C$29:$F$52,HOUR(C6459)+Inputs!$C$69,MATCH(INDEX(Utility_Rates!$K$6:$K$17,MONTH(C6459))&amp;IF(WEEKDAY(C6459,Inputs!$C$76)&lt;=Inputs!$C$74," weekday"," weekend"),Utility_Rates!$C$28:$F$28,Inputs!$C$68)),"")</f>
      </c>
      <c r="H6459" s="34"/>
      <c r="I6459" s="42">
        <f>IF(AND(ISNUMBER(D6459),ISNUMBER(H6459)),D6459*H6459*Inputs!$C$69,"")</f>
      </c>
      <c r="J6459" s="42">
        <f>IF(AND(ISNUMBER(F6459),ISNUMBER(H6459),F6459&gt;=Inputs!$C$68),F6459*H6459*Inputs!$C$69,"")</f>
      </c>
    </row>
    <row r="6460" spans="2:10" ht="15" customHeight="1" x14ac:dyDescent="0.2">
      <c r="B6460" s="39">
        <f t="shared" si="50"/>
      </c>
      <c r="C6460" s="40">
        <f>IF(Inputs!$C$60,Inputs!$C$11+(B6460-Inputs!$C$69)/Inputs!$C$70,"")</f>
      </c>
      <c r="D6460" s="15"/>
      <c r="E6460" s="15"/>
      <c r="F6460" s="11">
        <f t="shared" si="51"/>
      </c>
      <c r="G6460" s="22" cm="1">
        <f t="array" ref="G6460">IF(AND(Inputs!$C$60,Inputs!$C$61),INDEX(Utility_Rates!$C$29:$F$52,HOUR(C6460)+Inputs!$C$69,MATCH(INDEX(Utility_Rates!$K$6:$K$17,MONTH(C6460))&amp;IF(WEEKDAY(C6460,Inputs!$C$76)&lt;=Inputs!$C$74," weekday"," weekend"),Utility_Rates!$C$28:$F$28,Inputs!$C$68)),"")</f>
      </c>
      <c r="H6460" s="34"/>
      <c r="I6460" s="42">
        <f>IF(AND(ISNUMBER(D6460),ISNUMBER(H6460)),D6460*H6460*Inputs!$C$69,"")</f>
      </c>
      <c r="J6460" s="42">
        <f>IF(AND(ISNUMBER(F6460),ISNUMBER(H6460),F6460&gt;=Inputs!$C$68),F6460*H6460*Inputs!$C$69,"")</f>
      </c>
    </row>
    <row r="6461" spans="2:10" ht="15" customHeight="1" x14ac:dyDescent="0.2">
      <c r="B6461" s="39">
        <f t="shared" si="50"/>
      </c>
      <c r="C6461" s="40">
        <f>IF(Inputs!$C$60,Inputs!$C$11+(B6461-Inputs!$C$69)/Inputs!$C$70,"")</f>
      </c>
      <c r="D6461" s="15"/>
      <c r="E6461" s="15"/>
      <c r="F6461" s="11">
        <f t="shared" si="51"/>
      </c>
      <c r="G6461" s="22" cm="1">
        <f t="array" ref="G6461">IF(AND(Inputs!$C$60,Inputs!$C$61),INDEX(Utility_Rates!$C$29:$F$52,HOUR(C6461)+Inputs!$C$69,MATCH(INDEX(Utility_Rates!$K$6:$K$17,MONTH(C6461))&amp;IF(WEEKDAY(C6461,Inputs!$C$76)&lt;=Inputs!$C$74," weekday"," weekend"),Utility_Rates!$C$28:$F$28,Inputs!$C$68)),"")</f>
      </c>
      <c r="H6461" s="34"/>
      <c r="I6461" s="42">
        <f>IF(AND(ISNUMBER(D6461),ISNUMBER(H6461)),D6461*H6461*Inputs!$C$69,"")</f>
      </c>
      <c r="J6461" s="42">
        <f>IF(AND(ISNUMBER(F6461),ISNUMBER(H6461),F6461&gt;=Inputs!$C$68),F6461*H6461*Inputs!$C$69,"")</f>
      </c>
    </row>
    <row r="6462" spans="2:10" ht="15" customHeight="1" x14ac:dyDescent="0.2">
      <c r="B6462" s="39">
        <f t="shared" si="50"/>
      </c>
      <c r="C6462" s="40">
        <f>IF(Inputs!$C$60,Inputs!$C$11+(B6462-Inputs!$C$69)/Inputs!$C$70,"")</f>
      </c>
      <c r="D6462" s="15"/>
      <c r="E6462" s="15"/>
      <c r="F6462" s="11">
        <f t="shared" si="51"/>
      </c>
      <c r="G6462" s="22" cm="1">
        <f t="array" ref="G6462">IF(AND(Inputs!$C$60,Inputs!$C$61),INDEX(Utility_Rates!$C$29:$F$52,HOUR(C6462)+Inputs!$C$69,MATCH(INDEX(Utility_Rates!$K$6:$K$17,MONTH(C6462))&amp;IF(WEEKDAY(C6462,Inputs!$C$76)&lt;=Inputs!$C$74," weekday"," weekend"),Utility_Rates!$C$28:$F$28,Inputs!$C$68)),"")</f>
      </c>
      <c r="H6462" s="34"/>
      <c r="I6462" s="42">
        <f>IF(AND(ISNUMBER(D6462),ISNUMBER(H6462)),D6462*H6462*Inputs!$C$69,"")</f>
      </c>
      <c r="J6462" s="42">
        <f>IF(AND(ISNUMBER(F6462),ISNUMBER(H6462),F6462&gt;=Inputs!$C$68),F6462*H6462*Inputs!$C$69,"")</f>
      </c>
    </row>
    <row r="6463" spans="2:10" ht="15" customHeight="1" x14ac:dyDescent="0.2">
      <c r="B6463" s="39">
        <f t="shared" si="50"/>
      </c>
      <c r="C6463" s="40">
        <f>IF(Inputs!$C$60,Inputs!$C$11+(B6463-Inputs!$C$69)/Inputs!$C$70,"")</f>
      </c>
      <c r="D6463" s="15"/>
      <c r="E6463" s="15"/>
      <c r="F6463" s="11">
        <f t="shared" si="51"/>
      </c>
      <c r="G6463" s="22" cm="1">
        <f t="array" ref="G6463">IF(AND(Inputs!$C$60,Inputs!$C$61),INDEX(Utility_Rates!$C$29:$F$52,HOUR(C6463)+Inputs!$C$69,MATCH(INDEX(Utility_Rates!$K$6:$K$17,MONTH(C6463))&amp;IF(WEEKDAY(C6463,Inputs!$C$76)&lt;=Inputs!$C$74," weekday"," weekend"),Utility_Rates!$C$28:$F$28,Inputs!$C$68)),"")</f>
      </c>
      <c r="H6463" s="34"/>
      <c r="I6463" s="42">
        <f>IF(AND(ISNUMBER(D6463),ISNUMBER(H6463)),D6463*H6463*Inputs!$C$69,"")</f>
      </c>
      <c r="J6463" s="42">
        <f>IF(AND(ISNUMBER(F6463),ISNUMBER(H6463),F6463&gt;=Inputs!$C$68),F6463*H6463*Inputs!$C$69,"")</f>
      </c>
    </row>
    <row r="6464" spans="2:10" ht="15" customHeight="1" x14ac:dyDescent="0.2">
      <c r="B6464" s="39">
        <f t="shared" si="50"/>
      </c>
      <c r="C6464" s="40">
        <f>IF(Inputs!$C$60,Inputs!$C$11+(B6464-Inputs!$C$69)/Inputs!$C$70,"")</f>
      </c>
      <c r="D6464" s="15"/>
      <c r="E6464" s="15"/>
      <c r="F6464" s="11">
        <f t="shared" si="51"/>
      </c>
      <c r="G6464" s="22" cm="1">
        <f t="array" ref="G6464">IF(AND(Inputs!$C$60,Inputs!$C$61),INDEX(Utility_Rates!$C$29:$F$52,HOUR(C6464)+Inputs!$C$69,MATCH(INDEX(Utility_Rates!$K$6:$K$17,MONTH(C6464))&amp;IF(WEEKDAY(C6464,Inputs!$C$76)&lt;=Inputs!$C$74," weekday"," weekend"),Utility_Rates!$C$28:$F$28,Inputs!$C$68)),"")</f>
      </c>
      <c r="H6464" s="34"/>
      <c r="I6464" s="42">
        <f>IF(AND(ISNUMBER(D6464),ISNUMBER(H6464)),D6464*H6464*Inputs!$C$69,"")</f>
      </c>
      <c r="J6464" s="42">
        <f>IF(AND(ISNUMBER(F6464),ISNUMBER(H6464),F6464&gt;=Inputs!$C$68),F6464*H6464*Inputs!$C$69,"")</f>
      </c>
    </row>
    <row r="6465" spans="2:10" ht="15" customHeight="1" x14ac:dyDescent="0.2">
      <c r="B6465" s="39">
        <f t="shared" si="50"/>
      </c>
      <c r="C6465" s="40">
        <f>IF(Inputs!$C$60,Inputs!$C$11+(B6465-Inputs!$C$69)/Inputs!$C$70,"")</f>
      </c>
      <c r="D6465" s="15"/>
      <c r="E6465" s="15"/>
      <c r="F6465" s="11">
        <f t="shared" si="51"/>
      </c>
      <c r="G6465" s="22" cm="1">
        <f t="array" ref="G6465">IF(AND(Inputs!$C$60,Inputs!$C$61),INDEX(Utility_Rates!$C$29:$F$52,HOUR(C6465)+Inputs!$C$69,MATCH(INDEX(Utility_Rates!$K$6:$K$17,MONTH(C6465))&amp;IF(WEEKDAY(C6465,Inputs!$C$76)&lt;=Inputs!$C$74," weekday"," weekend"),Utility_Rates!$C$28:$F$28,Inputs!$C$68)),"")</f>
      </c>
      <c r="H6465" s="34"/>
      <c r="I6465" s="42">
        <f>IF(AND(ISNUMBER(D6465),ISNUMBER(H6465)),D6465*H6465*Inputs!$C$69,"")</f>
      </c>
      <c r="J6465" s="42">
        <f>IF(AND(ISNUMBER(F6465),ISNUMBER(H6465),F6465&gt;=Inputs!$C$68),F6465*H6465*Inputs!$C$69,"")</f>
      </c>
    </row>
    <row r="6466" spans="2:10" ht="15" customHeight="1" x14ac:dyDescent="0.2">
      <c r="B6466" s="39">
        <f t="shared" si="50"/>
      </c>
      <c r="C6466" s="40">
        <f>IF(Inputs!$C$60,Inputs!$C$11+(B6466-Inputs!$C$69)/Inputs!$C$70,"")</f>
      </c>
      <c r="D6466" s="15"/>
      <c r="E6466" s="15"/>
      <c r="F6466" s="11">
        <f t="shared" si="51"/>
      </c>
      <c r="G6466" s="22" cm="1">
        <f t="array" ref="G6466">IF(AND(Inputs!$C$60,Inputs!$C$61),INDEX(Utility_Rates!$C$29:$F$52,HOUR(C6466)+Inputs!$C$69,MATCH(INDEX(Utility_Rates!$K$6:$K$17,MONTH(C6466))&amp;IF(WEEKDAY(C6466,Inputs!$C$76)&lt;=Inputs!$C$74," weekday"," weekend"),Utility_Rates!$C$28:$F$28,Inputs!$C$68)),"")</f>
      </c>
      <c r="H6466" s="34"/>
      <c r="I6466" s="42">
        <f>IF(AND(ISNUMBER(D6466),ISNUMBER(H6466)),D6466*H6466*Inputs!$C$69,"")</f>
      </c>
      <c r="J6466" s="42">
        <f>IF(AND(ISNUMBER(F6466),ISNUMBER(H6466),F6466&gt;=Inputs!$C$68),F6466*H6466*Inputs!$C$69,"")</f>
      </c>
    </row>
    <row r="6467" spans="2:10" ht="15" customHeight="1" x14ac:dyDescent="0.2">
      <c r="B6467" s="39">
        <f t="shared" si="50"/>
      </c>
      <c r="C6467" s="40">
        <f>IF(Inputs!$C$60,Inputs!$C$11+(B6467-Inputs!$C$69)/Inputs!$C$70,"")</f>
      </c>
      <c r="D6467" s="15"/>
      <c r="E6467" s="15"/>
      <c r="F6467" s="11">
        <f t="shared" si="51"/>
      </c>
      <c r="G6467" s="22" cm="1">
        <f t="array" ref="G6467">IF(AND(Inputs!$C$60,Inputs!$C$61),INDEX(Utility_Rates!$C$29:$F$52,HOUR(C6467)+Inputs!$C$69,MATCH(INDEX(Utility_Rates!$K$6:$K$17,MONTH(C6467))&amp;IF(WEEKDAY(C6467,Inputs!$C$76)&lt;=Inputs!$C$74," weekday"," weekend"),Utility_Rates!$C$28:$F$28,Inputs!$C$68)),"")</f>
      </c>
      <c r="H6467" s="34"/>
      <c r="I6467" s="42">
        <f>IF(AND(ISNUMBER(D6467),ISNUMBER(H6467)),D6467*H6467*Inputs!$C$69,"")</f>
      </c>
      <c r="J6467" s="42">
        <f>IF(AND(ISNUMBER(F6467),ISNUMBER(H6467),F6467&gt;=Inputs!$C$68),F6467*H6467*Inputs!$C$69,"")</f>
      </c>
    </row>
    <row r="6468" spans="2:10" ht="15" customHeight="1" x14ac:dyDescent="0.2">
      <c r="B6468" s="39">
        <f t="shared" si="50"/>
      </c>
      <c r="C6468" s="40">
        <f>IF(Inputs!$C$60,Inputs!$C$11+(B6468-Inputs!$C$69)/Inputs!$C$70,"")</f>
      </c>
      <c r="D6468" s="15"/>
      <c r="E6468" s="15"/>
      <c r="F6468" s="11">
        <f t="shared" si="51"/>
      </c>
      <c r="G6468" s="22" cm="1">
        <f t="array" ref="G6468">IF(AND(Inputs!$C$60,Inputs!$C$61),INDEX(Utility_Rates!$C$29:$F$52,HOUR(C6468)+Inputs!$C$69,MATCH(INDEX(Utility_Rates!$K$6:$K$17,MONTH(C6468))&amp;IF(WEEKDAY(C6468,Inputs!$C$76)&lt;=Inputs!$C$74," weekday"," weekend"),Utility_Rates!$C$28:$F$28,Inputs!$C$68)),"")</f>
      </c>
      <c r="H6468" s="34"/>
      <c r="I6468" s="42">
        <f>IF(AND(ISNUMBER(D6468),ISNUMBER(H6468)),D6468*H6468*Inputs!$C$69,"")</f>
      </c>
      <c r="J6468" s="42">
        <f>IF(AND(ISNUMBER(F6468),ISNUMBER(H6468),F6468&gt;=Inputs!$C$68),F6468*H6468*Inputs!$C$69,"")</f>
      </c>
    </row>
    <row r="6469" spans="2:10" ht="15" customHeight="1" x14ac:dyDescent="0.2">
      <c r="B6469" s="39">
        <f t="shared" si="50"/>
      </c>
      <c r="C6469" s="40">
        <f>IF(Inputs!$C$60,Inputs!$C$11+(B6469-Inputs!$C$69)/Inputs!$C$70,"")</f>
      </c>
      <c r="D6469" s="15"/>
      <c r="E6469" s="15"/>
      <c r="F6469" s="11">
        <f t="shared" si="51"/>
      </c>
      <c r="G6469" s="22" cm="1">
        <f t="array" ref="G6469">IF(AND(Inputs!$C$60,Inputs!$C$61),INDEX(Utility_Rates!$C$29:$F$52,HOUR(C6469)+Inputs!$C$69,MATCH(INDEX(Utility_Rates!$K$6:$K$17,MONTH(C6469))&amp;IF(WEEKDAY(C6469,Inputs!$C$76)&lt;=Inputs!$C$74," weekday"," weekend"),Utility_Rates!$C$28:$F$28,Inputs!$C$68)),"")</f>
      </c>
      <c r="H6469" s="34"/>
      <c r="I6469" s="42">
        <f>IF(AND(ISNUMBER(D6469),ISNUMBER(H6469)),D6469*H6469*Inputs!$C$69,"")</f>
      </c>
      <c r="J6469" s="42">
        <f>IF(AND(ISNUMBER(F6469),ISNUMBER(H6469),F6469&gt;=Inputs!$C$68),F6469*H6469*Inputs!$C$69,"")</f>
      </c>
    </row>
    <row r="6470" spans="2:10" ht="15" customHeight="1" x14ac:dyDescent="0.2">
      <c r="B6470" s="39">
        <f t="shared" si="50"/>
      </c>
      <c r="C6470" s="40">
        <f>IF(Inputs!$C$60,Inputs!$C$11+(B6470-Inputs!$C$69)/Inputs!$C$70,"")</f>
      </c>
      <c r="D6470" s="15"/>
      <c r="E6470" s="15"/>
      <c r="F6470" s="11">
        <f t="shared" si="51"/>
      </c>
      <c r="G6470" s="22" cm="1">
        <f t="array" ref="G6470">IF(AND(Inputs!$C$60,Inputs!$C$61),INDEX(Utility_Rates!$C$29:$F$52,HOUR(C6470)+Inputs!$C$69,MATCH(INDEX(Utility_Rates!$K$6:$K$17,MONTH(C6470))&amp;IF(WEEKDAY(C6470,Inputs!$C$76)&lt;=Inputs!$C$74," weekday"," weekend"),Utility_Rates!$C$28:$F$28,Inputs!$C$68)),"")</f>
      </c>
      <c r="H6470" s="34"/>
      <c r="I6470" s="42">
        <f>IF(AND(ISNUMBER(D6470),ISNUMBER(H6470)),D6470*H6470*Inputs!$C$69,"")</f>
      </c>
      <c r="J6470" s="42">
        <f>IF(AND(ISNUMBER(F6470),ISNUMBER(H6470),F6470&gt;=Inputs!$C$68),F6470*H6470*Inputs!$C$69,"")</f>
      </c>
    </row>
    <row r="6471" spans="2:10" ht="15" customHeight="1" x14ac:dyDescent="0.2">
      <c r="B6471" s="39">
        <f t="shared" si="50"/>
      </c>
      <c r="C6471" s="40">
        <f>IF(Inputs!$C$60,Inputs!$C$11+(B6471-Inputs!$C$69)/Inputs!$C$70,"")</f>
      </c>
      <c r="D6471" s="15"/>
      <c r="E6471" s="15"/>
      <c r="F6471" s="11">
        <f t="shared" si="51"/>
      </c>
      <c r="G6471" s="22" cm="1">
        <f t="array" ref="G6471">IF(AND(Inputs!$C$60,Inputs!$C$61),INDEX(Utility_Rates!$C$29:$F$52,HOUR(C6471)+Inputs!$C$69,MATCH(INDEX(Utility_Rates!$K$6:$K$17,MONTH(C6471))&amp;IF(WEEKDAY(C6471,Inputs!$C$76)&lt;=Inputs!$C$74," weekday"," weekend"),Utility_Rates!$C$28:$F$28,Inputs!$C$68)),"")</f>
      </c>
      <c r="H6471" s="34"/>
      <c r="I6471" s="42">
        <f>IF(AND(ISNUMBER(D6471),ISNUMBER(H6471)),D6471*H6471*Inputs!$C$69,"")</f>
      </c>
      <c r="J6471" s="42">
        <f>IF(AND(ISNUMBER(F6471),ISNUMBER(H6471),F6471&gt;=Inputs!$C$68),F6471*H6471*Inputs!$C$69,"")</f>
      </c>
    </row>
    <row r="6472" spans="2:10" ht="15" customHeight="1" x14ac:dyDescent="0.2">
      <c r="B6472" s="39">
        <f t="shared" si="50"/>
      </c>
      <c r="C6472" s="40">
        <f>IF(Inputs!$C$60,Inputs!$C$11+(B6472-Inputs!$C$69)/Inputs!$C$70,"")</f>
      </c>
      <c r="D6472" s="15"/>
      <c r="E6472" s="15"/>
      <c r="F6472" s="11">
        <f t="shared" si="51"/>
      </c>
      <c r="G6472" s="22" cm="1">
        <f t="array" ref="G6472">IF(AND(Inputs!$C$60,Inputs!$C$61),INDEX(Utility_Rates!$C$29:$F$52,HOUR(C6472)+Inputs!$C$69,MATCH(INDEX(Utility_Rates!$K$6:$K$17,MONTH(C6472))&amp;IF(WEEKDAY(C6472,Inputs!$C$76)&lt;=Inputs!$C$74," weekday"," weekend"),Utility_Rates!$C$28:$F$28,Inputs!$C$68)),"")</f>
      </c>
      <c r="H6472" s="34"/>
      <c r="I6472" s="42">
        <f>IF(AND(ISNUMBER(D6472),ISNUMBER(H6472)),D6472*H6472*Inputs!$C$69,"")</f>
      </c>
      <c r="J6472" s="42">
        <f>IF(AND(ISNUMBER(F6472),ISNUMBER(H6472),F6472&gt;=Inputs!$C$68),F6472*H6472*Inputs!$C$69,"")</f>
      </c>
    </row>
    <row r="6473" spans="2:10" ht="15" customHeight="1" x14ac:dyDescent="0.2">
      <c r="B6473" s="39">
        <f t="shared" si="50"/>
      </c>
      <c r="C6473" s="40">
        <f>IF(Inputs!$C$60,Inputs!$C$11+(B6473-Inputs!$C$69)/Inputs!$C$70,"")</f>
      </c>
      <c r="D6473" s="15"/>
      <c r="E6473" s="15"/>
      <c r="F6473" s="11">
        <f t="shared" si="51"/>
      </c>
      <c r="G6473" s="22" cm="1">
        <f t="array" ref="G6473">IF(AND(Inputs!$C$60,Inputs!$C$61),INDEX(Utility_Rates!$C$29:$F$52,HOUR(C6473)+Inputs!$C$69,MATCH(INDEX(Utility_Rates!$K$6:$K$17,MONTH(C6473))&amp;IF(WEEKDAY(C6473,Inputs!$C$76)&lt;=Inputs!$C$74," weekday"," weekend"),Utility_Rates!$C$28:$F$28,Inputs!$C$68)),"")</f>
      </c>
      <c r="H6473" s="34"/>
      <c r="I6473" s="42">
        <f>IF(AND(ISNUMBER(D6473),ISNUMBER(H6473)),D6473*H6473*Inputs!$C$69,"")</f>
      </c>
      <c r="J6473" s="42">
        <f>IF(AND(ISNUMBER(F6473),ISNUMBER(H6473),F6473&gt;=Inputs!$C$68),F6473*H6473*Inputs!$C$69,"")</f>
      </c>
    </row>
    <row r="6474" spans="2:10" ht="15" customHeight="1" x14ac:dyDescent="0.2">
      <c r="B6474" s="39">
        <f t="shared" si="50"/>
      </c>
      <c r="C6474" s="40">
        <f>IF(Inputs!$C$60,Inputs!$C$11+(B6474-Inputs!$C$69)/Inputs!$C$70,"")</f>
      </c>
      <c r="D6474" s="15"/>
      <c r="E6474" s="15"/>
      <c r="F6474" s="11">
        <f t="shared" si="51"/>
      </c>
      <c r="G6474" s="22" cm="1">
        <f t="array" ref="G6474">IF(AND(Inputs!$C$60,Inputs!$C$61),INDEX(Utility_Rates!$C$29:$F$52,HOUR(C6474)+Inputs!$C$69,MATCH(INDEX(Utility_Rates!$K$6:$K$17,MONTH(C6474))&amp;IF(WEEKDAY(C6474,Inputs!$C$76)&lt;=Inputs!$C$74," weekday"," weekend"),Utility_Rates!$C$28:$F$28,Inputs!$C$68)),"")</f>
      </c>
      <c r="H6474" s="34"/>
      <c r="I6474" s="42">
        <f>IF(AND(ISNUMBER(D6474),ISNUMBER(H6474)),D6474*H6474*Inputs!$C$69,"")</f>
      </c>
      <c r="J6474" s="42">
        <f>IF(AND(ISNUMBER(F6474),ISNUMBER(H6474),F6474&gt;=Inputs!$C$68),F6474*H6474*Inputs!$C$69,"")</f>
      </c>
    </row>
    <row r="6475" spans="2:10" ht="15" customHeight="1" x14ac:dyDescent="0.2">
      <c r="B6475" s="39">
        <f t="shared" si="50"/>
      </c>
      <c r="C6475" s="40">
        <f>IF(Inputs!$C$60,Inputs!$C$11+(B6475-Inputs!$C$69)/Inputs!$C$70,"")</f>
      </c>
      <c r="D6475" s="15"/>
      <c r="E6475" s="15"/>
      <c r="F6475" s="11">
        <f t="shared" si="51"/>
      </c>
      <c r="G6475" s="22" cm="1">
        <f t="array" ref="G6475">IF(AND(Inputs!$C$60,Inputs!$C$61),INDEX(Utility_Rates!$C$29:$F$52,HOUR(C6475)+Inputs!$C$69,MATCH(INDEX(Utility_Rates!$K$6:$K$17,MONTH(C6475))&amp;IF(WEEKDAY(C6475,Inputs!$C$76)&lt;=Inputs!$C$74," weekday"," weekend"),Utility_Rates!$C$28:$F$28,Inputs!$C$68)),"")</f>
      </c>
      <c r="H6475" s="34"/>
      <c r="I6475" s="42">
        <f>IF(AND(ISNUMBER(D6475),ISNUMBER(H6475)),D6475*H6475*Inputs!$C$69,"")</f>
      </c>
      <c r="J6475" s="42">
        <f>IF(AND(ISNUMBER(F6475),ISNUMBER(H6475),F6475&gt;=Inputs!$C$68),F6475*H6475*Inputs!$C$69,"")</f>
      </c>
    </row>
    <row r="6476" spans="2:10" ht="15" customHeight="1" x14ac:dyDescent="0.2">
      <c r="B6476" s="39">
        <f t="shared" si="50"/>
      </c>
      <c r="C6476" s="40">
        <f>IF(Inputs!$C$60,Inputs!$C$11+(B6476-Inputs!$C$69)/Inputs!$C$70,"")</f>
      </c>
      <c r="D6476" s="15"/>
      <c r="E6476" s="15"/>
      <c r="F6476" s="11">
        <f t="shared" si="51"/>
      </c>
      <c r="G6476" s="22" cm="1">
        <f t="array" ref="G6476">IF(AND(Inputs!$C$60,Inputs!$C$61),INDEX(Utility_Rates!$C$29:$F$52,HOUR(C6476)+Inputs!$C$69,MATCH(INDEX(Utility_Rates!$K$6:$K$17,MONTH(C6476))&amp;IF(WEEKDAY(C6476,Inputs!$C$76)&lt;=Inputs!$C$74," weekday"," weekend"),Utility_Rates!$C$28:$F$28,Inputs!$C$68)),"")</f>
      </c>
      <c r="H6476" s="34"/>
      <c r="I6476" s="42">
        <f>IF(AND(ISNUMBER(D6476),ISNUMBER(H6476)),D6476*H6476*Inputs!$C$69,"")</f>
      </c>
      <c r="J6476" s="42">
        <f>IF(AND(ISNUMBER(F6476),ISNUMBER(H6476),F6476&gt;=Inputs!$C$68),F6476*H6476*Inputs!$C$69,"")</f>
      </c>
    </row>
    <row r="6477" spans="2:10" ht="15" customHeight="1" x14ac:dyDescent="0.2">
      <c r="B6477" s="39">
        <f t="shared" si="50"/>
      </c>
      <c r="C6477" s="40">
        <f>IF(Inputs!$C$60,Inputs!$C$11+(B6477-Inputs!$C$69)/Inputs!$C$70,"")</f>
      </c>
      <c r="D6477" s="15"/>
      <c r="E6477" s="15"/>
      <c r="F6477" s="11">
        <f t="shared" si="51"/>
      </c>
      <c r="G6477" s="22" cm="1">
        <f t="array" ref="G6477">IF(AND(Inputs!$C$60,Inputs!$C$61),INDEX(Utility_Rates!$C$29:$F$52,HOUR(C6477)+Inputs!$C$69,MATCH(INDEX(Utility_Rates!$K$6:$K$17,MONTH(C6477))&amp;IF(WEEKDAY(C6477,Inputs!$C$76)&lt;=Inputs!$C$74," weekday"," weekend"),Utility_Rates!$C$28:$F$28,Inputs!$C$68)),"")</f>
      </c>
      <c r="H6477" s="34"/>
      <c r="I6477" s="42">
        <f>IF(AND(ISNUMBER(D6477),ISNUMBER(H6477)),D6477*H6477*Inputs!$C$69,"")</f>
      </c>
      <c r="J6477" s="42">
        <f>IF(AND(ISNUMBER(F6477),ISNUMBER(H6477),F6477&gt;=Inputs!$C$68),F6477*H6477*Inputs!$C$69,"")</f>
      </c>
    </row>
    <row r="6478" spans="2:10" ht="15" customHeight="1" x14ac:dyDescent="0.2">
      <c r="B6478" s="39">
        <f t="shared" si="50"/>
      </c>
      <c r="C6478" s="40">
        <f>IF(Inputs!$C$60,Inputs!$C$11+(B6478-Inputs!$C$69)/Inputs!$C$70,"")</f>
      </c>
      <c r="D6478" s="15"/>
      <c r="E6478" s="15"/>
      <c r="F6478" s="11">
        <f t="shared" si="51"/>
      </c>
      <c r="G6478" s="22" cm="1">
        <f t="array" ref="G6478">IF(AND(Inputs!$C$60,Inputs!$C$61),INDEX(Utility_Rates!$C$29:$F$52,HOUR(C6478)+Inputs!$C$69,MATCH(INDEX(Utility_Rates!$K$6:$K$17,MONTH(C6478))&amp;IF(WEEKDAY(C6478,Inputs!$C$76)&lt;=Inputs!$C$74," weekday"," weekend"),Utility_Rates!$C$28:$F$28,Inputs!$C$68)),"")</f>
      </c>
      <c r="H6478" s="34"/>
      <c r="I6478" s="42">
        <f>IF(AND(ISNUMBER(D6478),ISNUMBER(H6478)),D6478*H6478*Inputs!$C$69,"")</f>
      </c>
      <c r="J6478" s="42">
        <f>IF(AND(ISNUMBER(F6478),ISNUMBER(H6478),F6478&gt;=Inputs!$C$68),F6478*H6478*Inputs!$C$69,"")</f>
      </c>
    </row>
    <row r="6479" spans="2:10" ht="15" customHeight="1" x14ac:dyDescent="0.2">
      <c r="B6479" s="39">
        <f t="shared" si="50"/>
      </c>
      <c r="C6479" s="40">
        <f>IF(Inputs!$C$60,Inputs!$C$11+(B6479-Inputs!$C$69)/Inputs!$C$70,"")</f>
      </c>
      <c r="D6479" s="15"/>
      <c r="E6479" s="15"/>
      <c r="F6479" s="11">
        <f t="shared" si="51"/>
      </c>
      <c r="G6479" s="22" cm="1">
        <f t="array" ref="G6479">IF(AND(Inputs!$C$60,Inputs!$C$61),INDEX(Utility_Rates!$C$29:$F$52,HOUR(C6479)+Inputs!$C$69,MATCH(INDEX(Utility_Rates!$K$6:$K$17,MONTH(C6479))&amp;IF(WEEKDAY(C6479,Inputs!$C$76)&lt;=Inputs!$C$74," weekday"," weekend"),Utility_Rates!$C$28:$F$28,Inputs!$C$68)),"")</f>
      </c>
      <c r="H6479" s="34"/>
      <c r="I6479" s="42">
        <f>IF(AND(ISNUMBER(D6479),ISNUMBER(H6479)),D6479*H6479*Inputs!$C$69,"")</f>
      </c>
      <c r="J6479" s="42">
        <f>IF(AND(ISNUMBER(F6479),ISNUMBER(H6479),F6479&gt;=Inputs!$C$68),F6479*H6479*Inputs!$C$69,"")</f>
      </c>
    </row>
    <row r="6480" spans="2:10" ht="15" customHeight="1" x14ac:dyDescent="0.2">
      <c r="B6480" s="39">
        <f t="shared" si="50"/>
      </c>
      <c r="C6480" s="40">
        <f>IF(Inputs!$C$60,Inputs!$C$11+(B6480-Inputs!$C$69)/Inputs!$C$70,"")</f>
      </c>
      <c r="D6480" s="15"/>
      <c r="E6480" s="15"/>
      <c r="F6480" s="11">
        <f t="shared" si="51"/>
      </c>
      <c r="G6480" s="22" cm="1">
        <f t="array" ref="G6480">IF(AND(Inputs!$C$60,Inputs!$C$61),INDEX(Utility_Rates!$C$29:$F$52,HOUR(C6480)+Inputs!$C$69,MATCH(INDEX(Utility_Rates!$K$6:$K$17,MONTH(C6480))&amp;IF(WEEKDAY(C6480,Inputs!$C$76)&lt;=Inputs!$C$74," weekday"," weekend"),Utility_Rates!$C$28:$F$28,Inputs!$C$68)),"")</f>
      </c>
      <c r="H6480" s="34"/>
      <c r="I6480" s="42">
        <f>IF(AND(ISNUMBER(D6480),ISNUMBER(H6480)),D6480*H6480*Inputs!$C$69,"")</f>
      </c>
      <c r="J6480" s="42">
        <f>IF(AND(ISNUMBER(F6480),ISNUMBER(H6480),F6480&gt;=Inputs!$C$68),F6480*H6480*Inputs!$C$69,"")</f>
      </c>
    </row>
    <row r="6481" spans="2:10" ht="15" customHeight="1" x14ac:dyDescent="0.2">
      <c r="B6481" s="39">
        <f t="shared" si="50"/>
      </c>
      <c r="C6481" s="40">
        <f>IF(Inputs!$C$60,Inputs!$C$11+(B6481-Inputs!$C$69)/Inputs!$C$70,"")</f>
      </c>
      <c r="D6481" s="15"/>
      <c r="E6481" s="15"/>
      <c r="F6481" s="11">
        <f t="shared" si="51"/>
      </c>
      <c r="G6481" s="22" cm="1">
        <f t="array" ref="G6481">IF(AND(Inputs!$C$60,Inputs!$C$61),INDEX(Utility_Rates!$C$29:$F$52,HOUR(C6481)+Inputs!$C$69,MATCH(INDEX(Utility_Rates!$K$6:$K$17,MONTH(C6481))&amp;IF(WEEKDAY(C6481,Inputs!$C$76)&lt;=Inputs!$C$74," weekday"," weekend"),Utility_Rates!$C$28:$F$28,Inputs!$C$68)),"")</f>
      </c>
      <c r="H6481" s="34"/>
      <c r="I6481" s="42">
        <f>IF(AND(ISNUMBER(D6481),ISNUMBER(H6481)),D6481*H6481*Inputs!$C$69,"")</f>
      </c>
      <c r="J6481" s="42">
        <f>IF(AND(ISNUMBER(F6481),ISNUMBER(H6481),F6481&gt;=Inputs!$C$68),F6481*H6481*Inputs!$C$69,"")</f>
      </c>
    </row>
    <row r="6482" spans="2:10" ht="15" customHeight="1" x14ac:dyDescent="0.2">
      <c r="B6482" s="39">
        <f t="shared" si="50"/>
      </c>
      <c r="C6482" s="40">
        <f>IF(Inputs!$C$60,Inputs!$C$11+(B6482-Inputs!$C$69)/Inputs!$C$70,"")</f>
      </c>
      <c r="D6482" s="15"/>
      <c r="E6482" s="15"/>
      <c r="F6482" s="11">
        <f t="shared" si="51"/>
      </c>
      <c r="G6482" s="22" cm="1">
        <f t="array" ref="G6482">IF(AND(Inputs!$C$60,Inputs!$C$61),INDEX(Utility_Rates!$C$29:$F$52,HOUR(C6482)+Inputs!$C$69,MATCH(INDEX(Utility_Rates!$K$6:$K$17,MONTH(C6482))&amp;IF(WEEKDAY(C6482,Inputs!$C$76)&lt;=Inputs!$C$74," weekday"," weekend"),Utility_Rates!$C$28:$F$28,Inputs!$C$68)),"")</f>
      </c>
      <c r="H6482" s="34"/>
      <c r="I6482" s="42">
        <f>IF(AND(ISNUMBER(D6482),ISNUMBER(H6482)),D6482*H6482*Inputs!$C$69,"")</f>
      </c>
      <c r="J6482" s="42">
        <f>IF(AND(ISNUMBER(F6482),ISNUMBER(H6482),F6482&gt;=Inputs!$C$68),F6482*H6482*Inputs!$C$69,"")</f>
      </c>
    </row>
    <row r="6483" spans="2:10" ht="15" customHeight="1" x14ac:dyDescent="0.2">
      <c r="B6483" s="39">
        <f t="shared" si="50"/>
      </c>
      <c r="C6483" s="40">
        <f>IF(Inputs!$C$60,Inputs!$C$11+(B6483-Inputs!$C$69)/Inputs!$C$70,"")</f>
      </c>
      <c r="D6483" s="15"/>
      <c r="E6483" s="15"/>
      <c r="F6483" s="11">
        <f t="shared" si="51"/>
      </c>
      <c r="G6483" s="22" cm="1">
        <f t="array" ref="G6483">IF(AND(Inputs!$C$60,Inputs!$C$61),INDEX(Utility_Rates!$C$29:$F$52,HOUR(C6483)+Inputs!$C$69,MATCH(INDEX(Utility_Rates!$K$6:$K$17,MONTH(C6483))&amp;IF(WEEKDAY(C6483,Inputs!$C$76)&lt;=Inputs!$C$74," weekday"," weekend"),Utility_Rates!$C$28:$F$28,Inputs!$C$68)),"")</f>
      </c>
      <c r="H6483" s="34"/>
      <c r="I6483" s="42">
        <f>IF(AND(ISNUMBER(D6483),ISNUMBER(H6483)),D6483*H6483*Inputs!$C$69,"")</f>
      </c>
      <c r="J6483" s="42">
        <f>IF(AND(ISNUMBER(F6483),ISNUMBER(H6483),F6483&gt;=Inputs!$C$68),F6483*H6483*Inputs!$C$69,"")</f>
      </c>
    </row>
    <row r="6484" spans="2:10" ht="15" customHeight="1" x14ac:dyDescent="0.2">
      <c r="B6484" s="39">
        <f t="shared" si="50"/>
      </c>
      <c r="C6484" s="40">
        <f>IF(Inputs!$C$60,Inputs!$C$11+(B6484-Inputs!$C$69)/Inputs!$C$70,"")</f>
      </c>
      <c r="D6484" s="15"/>
      <c r="E6484" s="15"/>
      <c r="F6484" s="11">
        <f t="shared" si="51"/>
      </c>
      <c r="G6484" s="22" cm="1">
        <f t="array" ref="G6484">IF(AND(Inputs!$C$60,Inputs!$C$61),INDEX(Utility_Rates!$C$29:$F$52,HOUR(C6484)+Inputs!$C$69,MATCH(INDEX(Utility_Rates!$K$6:$K$17,MONTH(C6484))&amp;IF(WEEKDAY(C6484,Inputs!$C$76)&lt;=Inputs!$C$74," weekday"," weekend"),Utility_Rates!$C$28:$F$28,Inputs!$C$68)),"")</f>
      </c>
      <c r="H6484" s="34"/>
      <c r="I6484" s="42">
        <f>IF(AND(ISNUMBER(D6484),ISNUMBER(H6484)),D6484*H6484*Inputs!$C$69,"")</f>
      </c>
      <c r="J6484" s="42">
        <f>IF(AND(ISNUMBER(F6484),ISNUMBER(H6484),F6484&gt;=Inputs!$C$68),F6484*H6484*Inputs!$C$69,"")</f>
      </c>
    </row>
    <row r="6485" spans="2:10" ht="15" customHeight="1" x14ac:dyDescent="0.2">
      <c r="B6485" s="39">
        <f t="shared" si="50"/>
      </c>
      <c r="C6485" s="40">
        <f>IF(Inputs!$C$60,Inputs!$C$11+(B6485-Inputs!$C$69)/Inputs!$C$70,"")</f>
      </c>
      <c r="D6485" s="15"/>
      <c r="E6485" s="15"/>
      <c r="F6485" s="11">
        <f t="shared" si="51"/>
      </c>
      <c r="G6485" s="22" cm="1">
        <f t="array" ref="G6485">IF(AND(Inputs!$C$60,Inputs!$C$61),INDEX(Utility_Rates!$C$29:$F$52,HOUR(C6485)+Inputs!$C$69,MATCH(INDEX(Utility_Rates!$K$6:$K$17,MONTH(C6485))&amp;IF(WEEKDAY(C6485,Inputs!$C$76)&lt;=Inputs!$C$74," weekday"," weekend"),Utility_Rates!$C$28:$F$28,Inputs!$C$68)),"")</f>
      </c>
      <c r="H6485" s="34"/>
      <c r="I6485" s="42">
        <f>IF(AND(ISNUMBER(D6485),ISNUMBER(H6485)),D6485*H6485*Inputs!$C$69,"")</f>
      </c>
      <c r="J6485" s="42">
        <f>IF(AND(ISNUMBER(F6485),ISNUMBER(H6485),F6485&gt;=Inputs!$C$68),F6485*H6485*Inputs!$C$69,"")</f>
      </c>
    </row>
    <row r="6486" spans="2:10" ht="15" customHeight="1" x14ac:dyDescent="0.2">
      <c r="B6486" s="39">
        <f t="shared" si="50"/>
      </c>
      <c r="C6486" s="40">
        <f>IF(Inputs!$C$60,Inputs!$C$11+(B6486-Inputs!$C$69)/Inputs!$C$70,"")</f>
      </c>
      <c r="D6486" s="15"/>
      <c r="E6486" s="15"/>
      <c r="F6486" s="11">
        <f t="shared" si="51"/>
      </c>
      <c r="G6486" s="22" cm="1">
        <f t="array" ref="G6486">IF(AND(Inputs!$C$60,Inputs!$C$61),INDEX(Utility_Rates!$C$29:$F$52,HOUR(C6486)+Inputs!$C$69,MATCH(INDEX(Utility_Rates!$K$6:$K$17,MONTH(C6486))&amp;IF(WEEKDAY(C6486,Inputs!$C$76)&lt;=Inputs!$C$74," weekday"," weekend"),Utility_Rates!$C$28:$F$28,Inputs!$C$68)),"")</f>
      </c>
      <c r="H6486" s="34"/>
      <c r="I6486" s="42">
        <f>IF(AND(ISNUMBER(D6486),ISNUMBER(H6486)),D6486*H6486*Inputs!$C$69,"")</f>
      </c>
      <c r="J6486" s="42">
        <f>IF(AND(ISNUMBER(F6486),ISNUMBER(H6486),F6486&gt;=Inputs!$C$68),F6486*H6486*Inputs!$C$69,"")</f>
      </c>
    </row>
    <row r="6487" spans="2:10" ht="15" customHeight="1" x14ac:dyDescent="0.2">
      <c r="B6487" s="39">
        <f t="shared" si="50"/>
      </c>
      <c r="C6487" s="40">
        <f>IF(Inputs!$C$60,Inputs!$C$11+(B6487-Inputs!$C$69)/Inputs!$C$70,"")</f>
      </c>
      <c r="D6487" s="15"/>
      <c r="E6487" s="15"/>
      <c r="F6487" s="11">
        <f t="shared" si="51"/>
      </c>
      <c r="G6487" s="22" cm="1">
        <f t="array" ref="G6487">IF(AND(Inputs!$C$60,Inputs!$C$61),INDEX(Utility_Rates!$C$29:$F$52,HOUR(C6487)+Inputs!$C$69,MATCH(INDEX(Utility_Rates!$K$6:$K$17,MONTH(C6487))&amp;IF(WEEKDAY(C6487,Inputs!$C$76)&lt;=Inputs!$C$74," weekday"," weekend"),Utility_Rates!$C$28:$F$28,Inputs!$C$68)),"")</f>
      </c>
      <c r="H6487" s="34"/>
      <c r="I6487" s="42">
        <f>IF(AND(ISNUMBER(D6487),ISNUMBER(H6487)),D6487*H6487*Inputs!$C$69,"")</f>
      </c>
      <c r="J6487" s="42">
        <f>IF(AND(ISNUMBER(F6487),ISNUMBER(H6487),F6487&gt;=Inputs!$C$68),F6487*H6487*Inputs!$C$69,"")</f>
      </c>
    </row>
    <row r="6488" spans="2:10" ht="15" customHeight="1" x14ac:dyDescent="0.2">
      <c r="B6488" s="39">
        <f t="shared" si="50"/>
      </c>
      <c r="C6488" s="40">
        <f>IF(Inputs!$C$60,Inputs!$C$11+(B6488-Inputs!$C$69)/Inputs!$C$70,"")</f>
      </c>
      <c r="D6488" s="15"/>
      <c r="E6488" s="15"/>
      <c r="F6488" s="11">
        <f t="shared" si="51"/>
      </c>
      <c r="G6488" s="22" cm="1">
        <f t="array" ref="G6488">IF(AND(Inputs!$C$60,Inputs!$C$61),INDEX(Utility_Rates!$C$29:$F$52,HOUR(C6488)+Inputs!$C$69,MATCH(INDEX(Utility_Rates!$K$6:$K$17,MONTH(C6488))&amp;IF(WEEKDAY(C6488,Inputs!$C$76)&lt;=Inputs!$C$74," weekday"," weekend"),Utility_Rates!$C$28:$F$28,Inputs!$C$68)),"")</f>
      </c>
      <c r="H6488" s="34"/>
      <c r="I6488" s="42">
        <f>IF(AND(ISNUMBER(D6488),ISNUMBER(H6488)),D6488*H6488*Inputs!$C$69,"")</f>
      </c>
      <c r="J6488" s="42">
        <f>IF(AND(ISNUMBER(F6488),ISNUMBER(H6488),F6488&gt;=Inputs!$C$68),F6488*H6488*Inputs!$C$69,"")</f>
      </c>
    </row>
    <row r="6489" spans="2:10" ht="15" customHeight="1" x14ac:dyDescent="0.2">
      <c r="B6489" s="39">
        <f t="shared" si="50"/>
      </c>
      <c r="C6489" s="40">
        <f>IF(Inputs!$C$60,Inputs!$C$11+(B6489-Inputs!$C$69)/Inputs!$C$70,"")</f>
      </c>
      <c r="D6489" s="15"/>
      <c r="E6489" s="15"/>
      <c r="F6489" s="11">
        <f t="shared" si="51"/>
      </c>
      <c r="G6489" s="22" cm="1">
        <f t="array" ref="G6489">IF(AND(Inputs!$C$60,Inputs!$C$61),INDEX(Utility_Rates!$C$29:$F$52,HOUR(C6489)+Inputs!$C$69,MATCH(INDEX(Utility_Rates!$K$6:$K$17,MONTH(C6489))&amp;IF(WEEKDAY(C6489,Inputs!$C$76)&lt;=Inputs!$C$74," weekday"," weekend"),Utility_Rates!$C$28:$F$28,Inputs!$C$68)),"")</f>
      </c>
      <c r="H6489" s="34"/>
      <c r="I6489" s="42">
        <f>IF(AND(ISNUMBER(D6489),ISNUMBER(H6489)),D6489*H6489*Inputs!$C$69,"")</f>
      </c>
      <c r="J6489" s="42">
        <f>IF(AND(ISNUMBER(F6489),ISNUMBER(H6489),F6489&gt;=Inputs!$C$68),F6489*H6489*Inputs!$C$69,"")</f>
      </c>
    </row>
    <row r="6490" spans="2:10" ht="15" customHeight="1" x14ac:dyDescent="0.2">
      <c r="B6490" s="39">
        <f t="shared" si="50"/>
      </c>
      <c r="C6490" s="40">
        <f>IF(Inputs!$C$60,Inputs!$C$11+(B6490-Inputs!$C$69)/Inputs!$C$70,"")</f>
      </c>
      <c r="D6490" s="15"/>
      <c r="E6490" s="15"/>
      <c r="F6490" s="11">
        <f t="shared" si="51"/>
      </c>
      <c r="G6490" s="22" cm="1">
        <f t="array" ref="G6490">IF(AND(Inputs!$C$60,Inputs!$C$61),INDEX(Utility_Rates!$C$29:$F$52,HOUR(C6490)+Inputs!$C$69,MATCH(INDEX(Utility_Rates!$K$6:$K$17,MONTH(C6490))&amp;IF(WEEKDAY(C6490,Inputs!$C$76)&lt;=Inputs!$C$74," weekday"," weekend"),Utility_Rates!$C$28:$F$28,Inputs!$C$68)),"")</f>
      </c>
      <c r="H6490" s="34"/>
      <c r="I6490" s="42">
        <f>IF(AND(ISNUMBER(D6490),ISNUMBER(H6490)),D6490*H6490*Inputs!$C$69,"")</f>
      </c>
      <c r="J6490" s="42">
        <f>IF(AND(ISNUMBER(F6490),ISNUMBER(H6490),F6490&gt;=Inputs!$C$68),F6490*H6490*Inputs!$C$69,"")</f>
      </c>
    </row>
    <row r="6491" spans="2:10" ht="15" customHeight="1" x14ac:dyDescent="0.2">
      <c r="B6491" s="39">
        <f t="shared" si="50"/>
      </c>
      <c r="C6491" s="40">
        <f>IF(Inputs!$C$60,Inputs!$C$11+(B6491-Inputs!$C$69)/Inputs!$C$70,"")</f>
      </c>
      <c r="D6491" s="15"/>
      <c r="E6491" s="15"/>
      <c r="F6491" s="11">
        <f t="shared" si="51"/>
      </c>
      <c r="G6491" s="22" cm="1">
        <f t="array" ref="G6491">IF(AND(Inputs!$C$60,Inputs!$C$61),INDEX(Utility_Rates!$C$29:$F$52,HOUR(C6491)+Inputs!$C$69,MATCH(INDEX(Utility_Rates!$K$6:$K$17,MONTH(C6491))&amp;IF(WEEKDAY(C6491,Inputs!$C$76)&lt;=Inputs!$C$74," weekday"," weekend"),Utility_Rates!$C$28:$F$28,Inputs!$C$68)),"")</f>
      </c>
      <c r="H6491" s="34"/>
      <c r="I6491" s="42">
        <f>IF(AND(ISNUMBER(D6491),ISNUMBER(H6491)),D6491*H6491*Inputs!$C$69,"")</f>
      </c>
      <c r="J6491" s="42">
        <f>IF(AND(ISNUMBER(F6491),ISNUMBER(H6491),F6491&gt;=Inputs!$C$68),F6491*H6491*Inputs!$C$69,"")</f>
      </c>
    </row>
    <row r="6492" spans="2:10" ht="15" customHeight="1" x14ac:dyDescent="0.2">
      <c r="B6492" s="39">
        <f t="shared" si="50"/>
      </c>
      <c r="C6492" s="40">
        <f>IF(Inputs!$C$60,Inputs!$C$11+(B6492-Inputs!$C$69)/Inputs!$C$70,"")</f>
      </c>
      <c r="D6492" s="15"/>
      <c r="E6492" s="15"/>
      <c r="F6492" s="11">
        <f t="shared" si="51"/>
      </c>
      <c r="G6492" s="22" cm="1">
        <f t="array" ref="G6492">IF(AND(Inputs!$C$60,Inputs!$C$61),INDEX(Utility_Rates!$C$29:$F$52,HOUR(C6492)+Inputs!$C$69,MATCH(INDEX(Utility_Rates!$K$6:$K$17,MONTH(C6492))&amp;IF(WEEKDAY(C6492,Inputs!$C$76)&lt;=Inputs!$C$74," weekday"," weekend"),Utility_Rates!$C$28:$F$28,Inputs!$C$68)),"")</f>
      </c>
      <c r="H6492" s="34"/>
      <c r="I6492" s="42">
        <f>IF(AND(ISNUMBER(D6492),ISNUMBER(H6492)),D6492*H6492*Inputs!$C$69,"")</f>
      </c>
      <c r="J6492" s="42">
        <f>IF(AND(ISNUMBER(F6492),ISNUMBER(H6492),F6492&gt;=Inputs!$C$68),F6492*H6492*Inputs!$C$69,"")</f>
      </c>
    </row>
    <row r="6493" spans="2:10" ht="15" customHeight="1" x14ac:dyDescent="0.2">
      <c r="B6493" s="39">
        <f t="shared" si="50"/>
      </c>
      <c r="C6493" s="40">
        <f>IF(Inputs!$C$60,Inputs!$C$11+(B6493-Inputs!$C$69)/Inputs!$C$70,"")</f>
      </c>
      <c r="D6493" s="15"/>
      <c r="E6493" s="15"/>
      <c r="F6493" s="11">
        <f t="shared" si="51"/>
      </c>
      <c r="G6493" s="22" cm="1">
        <f t="array" ref="G6493">IF(AND(Inputs!$C$60,Inputs!$C$61),INDEX(Utility_Rates!$C$29:$F$52,HOUR(C6493)+Inputs!$C$69,MATCH(INDEX(Utility_Rates!$K$6:$K$17,MONTH(C6493))&amp;IF(WEEKDAY(C6493,Inputs!$C$76)&lt;=Inputs!$C$74," weekday"," weekend"),Utility_Rates!$C$28:$F$28,Inputs!$C$68)),"")</f>
      </c>
      <c r="H6493" s="34"/>
      <c r="I6493" s="42">
        <f>IF(AND(ISNUMBER(D6493),ISNUMBER(H6493)),D6493*H6493*Inputs!$C$69,"")</f>
      </c>
      <c r="J6493" s="42">
        <f>IF(AND(ISNUMBER(F6493),ISNUMBER(H6493),F6493&gt;=Inputs!$C$68),F6493*H6493*Inputs!$C$69,"")</f>
      </c>
    </row>
    <row r="6494" spans="2:10" ht="15" customHeight="1" x14ac:dyDescent="0.2">
      <c r="B6494" s="39">
        <f t="shared" si="50"/>
      </c>
      <c r="C6494" s="40">
        <f>IF(Inputs!$C$60,Inputs!$C$11+(B6494-Inputs!$C$69)/Inputs!$C$70,"")</f>
      </c>
      <c r="D6494" s="15"/>
      <c r="E6494" s="15"/>
      <c r="F6494" s="11">
        <f t="shared" si="51"/>
      </c>
      <c r="G6494" s="22" cm="1">
        <f t="array" ref="G6494">IF(AND(Inputs!$C$60,Inputs!$C$61),INDEX(Utility_Rates!$C$29:$F$52,HOUR(C6494)+Inputs!$C$69,MATCH(INDEX(Utility_Rates!$K$6:$K$17,MONTH(C6494))&amp;IF(WEEKDAY(C6494,Inputs!$C$76)&lt;=Inputs!$C$74," weekday"," weekend"),Utility_Rates!$C$28:$F$28,Inputs!$C$68)),"")</f>
      </c>
      <c r="H6494" s="34"/>
      <c r="I6494" s="42">
        <f>IF(AND(ISNUMBER(D6494),ISNUMBER(H6494)),D6494*H6494*Inputs!$C$69,"")</f>
      </c>
      <c r="J6494" s="42">
        <f>IF(AND(ISNUMBER(F6494),ISNUMBER(H6494),F6494&gt;=Inputs!$C$68),F6494*H6494*Inputs!$C$69,"")</f>
      </c>
    </row>
    <row r="6495" spans="2:10" ht="15" customHeight="1" x14ac:dyDescent="0.2">
      <c r="B6495" s="39">
        <f t="shared" si="50"/>
      </c>
      <c r="C6495" s="40">
        <f>IF(Inputs!$C$60,Inputs!$C$11+(B6495-Inputs!$C$69)/Inputs!$C$70,"")</f>
      </c>
      <c r="D6495" s="15"/>
      <c r="E6495" s="15"/>
      <c r="F6495" s="11">
        <f t="shared" si="51"/>
      </c>
      <c r="G6495" s="22" cm="1">
        <f t="array" ref="G6495">IF(AND(Inputs!$C$60,Inputs!$C$61),INDEX(Utility_Rates!$C$29:$F$52,HOUR(C6495)+Inputs!$C$69,MATCH(INDEX(Utility_Rates!$K$6:$K$17,MONTH(C6495))&amp;IF(WEEKDAY(C6495,Inputs!$C$76)&lt;=Inputs!$C$74," weekday"," weekend"),Utility_Rates!$C$28:$F$28,Inputs!$C$68)),"")</f>
      </c>
      <c r="H6495" s="34"/>
      <c r="I6495" s="42">
        <f>IF(AND(ISNUMBER(D6495),ISNUMBER(H6495)),D6495*H6495*Inputs!$C$69,"")</f>
      </c>
      <c r="J6495" s="42">
        <f>IF(AND(ISNUMBER(F6495),ISNUMBER(H6495),F6495&gt;=Inputs!$C$68),F6495*H6495*Inputs!$C$69,"")</f>
      </c>
    </row>
    <row r="6496" spans="2:10" ht="15" customHeight="1" x14ac:dyDescent="0.2">
      <c r="B6496" s="39">
        <f t="shared" si="50"/>
      </c>
      <c r="C6496" s="40">
        <f>IF(Inputs!$C$60,Inputs!$C$11+(B6496-Inputs!$C$69)/Inputs!$C$70,"")</f>
      </c>
      <c r="D6496" s="15"/>
      <c r="E6496" s="15"/>
      <c r="F6496" s="11">
        <f t="shared" si="51"/>
      </c>
      <c r="G6496" s="22" cm="1">
        <f t="array" ref="G6496">IF(AND(Inputs!$C$60,Inputs!$C$61),INDEX(Utility_Rates!$C$29:$F$52,HOUR(C6496)+Inputs!$C$69,MATCH(INDEX(Utility_Rates!$K$6:$K$17,MONTH(C6496))&amp;IF(WEEKDAY(C6496,Inputs!$C$76)&lt;=Inputs!$C$74," weekday"," weekend"),Utility_Rates!$C$28:$F$28,Inputs!$C$68)),"")</f>
      </c>
      <c r="H6496" s="34"/>
      <c r="I6496" s="42">
        <f>IF(AND(ISNUMBER(D6496),ISNUMBER(H6496)),D6496*H6496*Inputs!$C$69,"")</f>
      </c>
      <c r="J6496" s="42">
        <f>IF(AND(ISNUMBER(F6496),ISNUMBER(H6496),F6496&gt;=Inputs!$C$68),F6496*H6496*Inputs!$C$69,"")</f>
      </c>
    </row>
    <row r="6497" spans="2:10" ht="15" customHeight="1" x14ac:dyDescent="0.2">
      <c r="B6497" s="39">
        <f t="shared" si="50"/>
      </c>
      <c r="C6497" s="40">
        <f>IF(Inputs!$C$60,Inputs!$C$11+(B6497-Inputs!$C$69)/Inputs!$C$70,"")</f>
      </c>
      <c r="D6497" s="15"/>
      <c r="E6497" s="15"/>
      <c r="F6497" s="11">
        <f t="shared" si="51"/>
      </c>
      <c r="G6497" s="22" cm="1">
        <f t="array" ref="G6497">IF(AND(Inputs!$C$60,Inputs!$C$61),INDEX(Utility_Rates!$C$29:$F$52,HOUR(C6497)+Inputs!$C$69,MATCH(INDEX(Utility_Rates!$K$6:$K$17,MONTH(C6497))&amp;IF(WEEKDAY(C6497,Inputs!$C$76)&lt;=Inputs!$C$74," weekday"," weekend"),Utility_Rates!$C$28:$F$28,Inputs!$C$68)),"")</f>
      </c>
      <c r="H6497" s="34"/>
      <c r="I6497" s="42">
        <f>IF(AND(ISNUMBER(D6497),ISNUMBER(H6497)),D6497*H6497*Inputs!$C$69,"")</f>
      </c>
      <c r="J6497" s="42">
        <f>IF(AND(ISNUMBER(F6497),ISNUMBER(H6497),F6497&gt;=Inputs!$C$68),F6497*H6497*Inputs!$C$69,"")</f>
      </c>
    </row>
    <row r="6498" spans="2:10" ht="15" customHeight="1" x14ac:dyDescent="0.2">
      <c r="B6498" s="39">
        <f t="shared" si="50"/>
      </c>
      <c r="C6498" s="40">
        <f>IF(Inputs!$C$60,Inputs!$C$11+(B6498-Inputs!$C$69)/Inputs!$C$70,"")</f>
      </c>
      <c r="D6498" s="15"/>
      <c r="E6498" s="15"/>
      <c r="F6498" s="11">
        <f t="shared" si="51"/>
      </c>
      <c r="G6498" s="22" cm="1">
        <f t="array" ref="G6498">IF(AND(Inputs!$C$60,Inputs!$C$61),INDEX(Utility_Rates!$C$29:$F$52,HOUR(C6498)+Inputs!$C$69,MATCH(INDEX(Utility_Rates!$K$6:$K$17,MONTH(C6498))&amp;IF(WEEKDAY(C6498,Inputs!$C$76)&lt;=Inputs!$C$74," weekday"," weekend"),Utility_Rates!$C$28:$F$28,Inputs!$C$68)),"")</f>
      </c>
      <c r="H6498" s="34"/>
      <c r="I6498" s="42">
        <f>IF(AND(ISNUMBER(D6498),ISNUMBER(H6498)),D6498*H6498*Inputs!$C$69,"")</f>
      </c>
      <c r="J6498" s="42">
        <f>IF(AND(ISNUMBER(F6498),ISNUMBER(H6498),F6498&gt;=Inputs!$C$68),F6498*H6498*Inputs!$C$69,"")</f>
      </c>
    </row>
    <row r="6499" spans="2:10" ht="15" customHeight="1" x14ac:dyDescent="0.2">
      <c r="B6499" s="39">
        <f t="shared" si="50"/>
      </c>
      <c r="C6499" s="40">
        <f>IF(Inputs!$C$60,Inputs!$C$11+(B6499-Inputs!$C$69)/Inputs!$C$70,"")</f>
      </c>
      <c r="D6499" s="15"/>
      <c r="E6499" s="15"/>
      <c r="F6499" s="11">
        <f t="shared" si="51"/>
      </c>
      <c r="G6499" s="22" cm="1">
        <f t="array" ref="G6499">IF(AND(Inputs!$C$60,Inputs!$C$61),INDEX(Utility_Rates!$C$29:$F$52,HOUR(C6499)+Inputs!$C$69,MATCH(INDEX(Utility_Rates!$K$6:$K$17,MONTH(C6499))&amp;IF(WEEKDAY(C6499,Inputs!$C$76)&lt;=Inputs!$C$74," weekday"," weekend"),Utility_Rates!$C$28:$F$28,Inputs!$C$68)),"")</f>
      </c>
      <c r="H6499" s="34"/>
      <c r="I6499" s="42">
        <f>IF(AND(ISNUMBER(D6499),ISNUMBER(H6499)),D6499*H6499*Inputs!$C$69,"")</f>
      </c>
      <c r="J6499" s="42">
        <f>IF(AND(ISNUMBER(F6499),ISNUMBER(H6499),F6499&gt;=Inputs!$C$68),F6499*H6499*Inputs!$C$69,"")</f>
      </c>
    </row>
    <row r="6500" spans="2:10" ht="15" customHeight="1" x14ac:dyDescent="0.2">
      <c r="B6500" s="39">
        <f t="shared" si="50"/>
      </c>
      <c r="C6500" s="40">
        <f>IF(Inputs!$C$60,Inputs!$C$11+(B6500-Inputs!$C$69)/Inputs!$C$70,"")</f>
      </c>
      <c r="D6500" s="15"/>
      <c r="E6500" s="15"/>
      <c r="F6500" s="11">
        <f t="shared" si="51"/>
      </c>
      <c r="G6500" s="22" cm="1">
        <f t="array" ref="G6500">IF(AND(Inputs!$C$60,Inputs!$C$61),INDEX(Utility_Rates!$C$29:$F$52,HOUR(C6500)+Inputs!$C$69,MATCH(INDEX(Utility_Rates!$K$6:$K$17,MONTH(C6500))&amp;IF(WEEKDAY(C6500,Inputs!$C$76)&lt;=Inputs!$C$74," weekday"," weekend"),Utility_Rates!$C$28:$F$28,Inputs!$C$68)),"")</f>
      </c>
      <c r="H6500" s="34"/>
      <c r="I6500" s="42">
        <f>IF(AND(ISNUMBER(D6500),ISNUMBER(H6500)),D6500*H6500*Inputs!$C$69,"")</f>
      </c>
      <c r="J6500" s="42">
        <f>IF(AND(ISNUMBER(F6500),ISNUMBER(H6500),F6500&gt;=Inputs!$C$68),F6500*H6500*Inputs!$C$69,"")</f>
      </c>
    </row>
    <row r="6501" spans="2:10" ht="15" customHeight="1" x14ac:dyDescent="0.2">
      <c r="B6501" s="39">
        <f t="shared" si="50"/>
      </c>
      <c r="C6501" s="40">
        <f>IF(Inputs!$C$60,Inputs!$C$11+(B6501-Inputs!$C$69)/Inputs!$C$70,"")</f>
      </c>
      <c r="D6501" s="15"/>
      <c r="E6501" s="15"/>
      <c r="F6501" s="11">
        <f t="shared" si="51"/>
      </c>
      <c r="G6501" s="22" cm="1">
        <f t="array" ref="G6501">IF(AND(Inputs!$C$60,Inputs!$C$61),INDEX(Utility_Rates!$C$29:$F$52,HOUR(C6501)+Inputs!$C$69,MATCH(INDEX(Utility_Rates!$K$6:$K$17,MONTH(C6501))&amp;IF(WEEKDAY(C6501,Inputs!$C$76)&lt;=Inputs!$C$74," weekday"," weekend"),Utility_Rates!$C$28:$F$28,Inputs!$C$68)),"")</f>
      </c>
      <c r="H6501" s="34"/>
      <c r="I6501" s="42">
        <f>IF(AND(ISNUMBER(D6501),ISNUMBER(H6501)),D6501*H6501*Inputs!$C$69,"")</f>
      </c>
      <c r="J6501" s="42">
        <f>IF(AND(ISNUMBER(F6501),ISNUMBER(H6501),F6501&gt;=Inputs!$C$68),F6501*H6501*Inputs!$C$69,"")</f>
      </c>
    </row>
    <row r="6502" spans="2:10" ht="15" customHeight="1" x14ac:dyDescent="0.2">
      <c r="B6502" s="39">
        <f t="shared" si="50"/>
      </c>
      <c r="C6502" s="40">
        <f>IF(Inputs!$C$60,Inputs!$C$11+(B6502-Inputs!$C$69)/Inputs!$C$70,"")</f>
      </c>
      <c r="D6502" s="15"/>
      <c r="E6502" s="15"/>
      <c r="F6502" s="11">
        <f t="shared" si="51"/>
      </c>
      <c r="G6502" s="22" cm="1">
        <f t="array" ref="G6502">IF(AND(Inputs!$C$60,Inputs!$C$61),INDEX(Utility_Rates!$C$29:$F$52,HOUR(C6502)+Inputs!$C$69,MATCH(INDEX(Utility_Rates!$K$6:$K$17,MONTH(C6502))&amp;IF(WEEKDAY(C6502,Inputs!$C$76)&lt;=Inputs!$C$74," weekday"," weekend"),Utility_Rates!$C$28:$F$28,Inputs!$C$68)),"")</f>
      </c>
      <c r="H6502" s="34"/>
      <c r="I6502" s="42">
        <f>IF(AND(ISNUMBER(D6502),ISNUMBER(H6502)),D6502*H6502*Inputs!$C$69,"")</f>
      </c>
      <c r="J6502" s="42">
        <f>IF(AND(ISNUMBER(F6502),ISNUMBER(H6502),F6502&gt;=Inputs!$C$68),F6502*H6502*Inputs!$C$69,"")</f>
      </c>
    </row>
    <row r="6503" spans="2:10" ht="15" customHeight="1" x14ac:dyDescent="0.2">
      <c r="B6503" s="39">
        <f t="shared" si="50"/>
      </c>
      <c r="C6503" s="40">
        <f>IF(Inputs!$C$60,Inputs!$C$11+(B6503-Inputs!$C$69)/Inputs!$C$70,"")</f>
      </c>
      <c r="D6503" s="15"/>
      <c r="E6503" s="15"/>
      <c r="F6503" s="11">
        <f t="shared" si="51"/>
      </c>
      <c r="G6503" s="22" cm="1">
        <f t="array" ref="G6503">IF(AND(Inputs!$C$60,Inputs!$C$61),INDEX(Utility_Rates!$C$29:$F$52,HOUR(C6503)+Inputs!$C$69,MATCH(INDEX(Utility_Rates!$K$6:$K$17,MONTH(C6503))&amp;IF(WEEKDAY(C6503,Inputs!$C$76)&lt;=Inputs!$C$74," weekday"," weekend"),Utility_Rates!$C$28:$F$28,Inputs!$C$68)),"")</f>
      </c>
      <c r="H6503" s="34"/>
      <c r="I6503" s="42">
        <f>IF(AND(ISNUMBER(D6503),ISNUMBER(H6503)),D6503*H6503*Inputs!$C$69,"")</f>
      </c>
      <c r="J6503" s="42">
        <f>IF(AND(ISNUMBER(F6503),ISNUMBER(H6503),F6503&gt;=Inputs!$C$68),F6503*H6503*Inputs!$C$69,"")</f>
      </c>
    </row>
    <row r="6504" spans="2:10" ht="15" customHeight="1" x14ac:dyDescent="0.2">
      <c r="B6504" s="39">
        <f t="shared" si="50"/>
      </c>
      <c r="C6504" s="40">
        <f>IF(Inputs!$C$60,Inputs!$C$11+(B6504-Inputs!$C$69)/Inputs!$C$70,"")</f>
      </c>
      <c r="D6504" s="15"/>
      <c r="E6504" s="15"/>
      <c r="F6504" s="11">
        <f t="shared" si="51"/>
      </c>
      <c r="G6504" s="22" cm="1">
        <f t="array" ref="G6504">IF(AND(Inputs!$C$60,Inputs!$C$61),INDEX(Utility_Rates!$C$29:$F$52,HOUR(C6504)+Inputs!$C$69,MATCH(INDEX(Utility_Rates!$K$6:$K$17,MONTH(C6504))&amp;IF(WEEKDAY(C6504,Inputs!$C$76)&lt;=Inputs!$C$74," weekday"," weekend"),Utility_Rates!$C$28:$F$28,Inputs!$C$68)),"")</f>
      </c>
      <c r="H6504" s="34"/>
      <c r="I6504" s="42">
        <f>IF(AND(ISNUMBER(D6504),ISNUMBER(H6504)),D6504*H6504*Inputs!$C$69,"")</f>
      </c>
      <c r="J6504" s="42">
        <f>IF(AND(ISNUMBER(F6504),ISNUMBER(H6504),F6504&gt;=Inputs!$C$68),F6504*H6504*Inputs!$C$69,"")</f>
      </c>
    </row>
    <row r="6505" spans="2:10" ht="15" customHeight="1" x14ac:dyDescent="0.2">
      <c r="B6505" s="39">
        <f t="shared" si="50"/>
      </c>
      <c r="C6505" s="40">
        <f>IF(Inputs!$C$60,Inputs!$C$11+(B6505-Inputs!$C$69)/Inputs!$C$70,"")</f>
      </c>
      <c r="D6505" s="15"/>
      <c r="E6505" s="15"/>
      <c r="F6505" s="11">
        <f t="shared" si="51"/>
      </c>
      <c r="G6505" s="22" cm="1">
        <f t="array" ref="G6505">IF(AND(Inputs!$C$60,Inputs!$C$61),INDEX(Utility_Rates!$C$29:$F$52,HOUR(C6505)+Inputs!$C$69,MATCH(INDEX(Utility_Rates!$K$6:$K$17,MONTH(C6505))&amp;IF(WEEKDAY(C6505,Inputs!$C$76)&lt;=Inputs!$C$74," weekday"," weekend"),Utility_Rates!$C$28:$F$28,Inputs!$C$68)),"")</f>
      </c>
      <c r="H6505" s="34"/>
      <c r="I6505" s="42">
        <f>IF(AND(ISNUMBER(D6505),ISNUMBER(H6505)),D6505*H6505*Inputs!$C$69,"")</f>
      </c>
      <c r="J6505" s="42">
        <f>IF(AND(ISNUMBER(F6505),ISNUMBER(H6505),F6505&gt;=Inputs!$C$68),F6505*H6505*Inputs!$C$69,"")</f>
      </c>
    </row>
    <row r="6506" spans="2:10" ht="15" customHeight="1" x14ac:dyDescent="0.2">
      <c r="B6506" s="39">
        <f t="shared" si="50"/>
      </c>
      <c r="C6506" s="40">
        <f>IF(Inputs!$C$60,Inputs!$C$11+(B6506-Inputs!$C$69)/Inputs!$C$70,"")</f>
      </c>
      <c r="D6506" s="15"/>
      <c r="E6506" s="15"/>
      <c r="F6506" s="11">
        <f t="shared" si="51"/>
      </c>
      <c r="G6506" s="22" cm="1">
        <f t="array" ref="G6506">IF(AND(Inputs!$C$60,Inputs!$C$61),INDEX(Utility_Rates!$C$29:$F$52,HOUR(C6506)+Inputs!$C$69,MATCH(INDEX(Utility_Rates!$K$6:$K$17,MONTH(C6506))&amp;IF(WEEKDAY(C6506,Inputs!$C$76)&lt;=Inputs!$C$74," weekday"," weekend"),Utility_Rates!$C$28:$F$28,Inputs!$C$68)),"")</f>
      </c>
      <c r="H6506" s="34"/>
      <c r="I6506" s="42">
        <f>IF(AND(ISNUMBER(D6506),ISNUMBER(H6506)),D6506*H6506*Inputs!$C$69,"")</f>
      </c>
      <c r="J6506" s="42">
        <f>IF(AND(ISNUMBER(F6506),ISNUMBER(H6506),F6506&gt;=Inputs!$C$68),F6506*H6506*Inputs!$C$69,"")</f>
      </c>
    </row>
    <row r="6507" spans="2:10" ht="15" customHeight="1" x14ac:dyDescent="0.2">
      <c r="B6507" s="39">
        <f t="shared" si="50"/>
      </c>
      <c r="C6507" s="40">
        <f>IF(Inputs!$C$60,Inputs!$C$11+(B6507-Inputs!$C$69)/Inputs!$C$70,"")</f>
      </c>
      <c r="D6507" s="15"/>
      <c r="E6507" s="15"/>
      <c r="F6507" s="11">
        <f t="shared" si="51"/>
      </c>
      <c r="G6507" s="22" cm="1">
        <f t="array" ref="G6507">IF(AND(Inputs!$C$60,Inputs!$C$61),INDEX(Utility_Rates!$C$29:$F$52,HOUR(C6507)+Inputs!$C$69,MATCH(INDEX(Utility_Rates!$K$6:$K$17,MONTH(C6507))&amp;IF(WEEKDAY(C6507,Inputs!$C$76)&lt;=Inputs!$C$74," weekday"," weekend"),Utility_Rates!$C$28:$F$28,Inputs!$C$68)),"")</f>
      </c>
      <c r="H6507" s="34"/>
      <c r="I6507" s="42">
        <f>IF(AND(ISNUMBER(D6507),ISNUMBER(H6507)),D6507*H6507*Inputs!$C$69,"")</f>
      </c>
      <c r="J6507" s="42">
        <f>IF(AND(ISNUMBER(F6507),ISNUMBER(H6507),F6507&gt;=Inputs!$C$68),F6507*H6507*Inputs!$C$69,"")</f>
      </c>
    </row>
    <row r="6508" spans="2:10" ht="15" customHeight="1" x14ac:dyDescent="0.2">
      <c r="B6508" s="39">
        <f t="shared" si="50"/>
      </c>
      <c r="C6508" s="40">
        <f>IF(Inputs!$C$60,Inputs!$C$11+(B6508-Inputs!$C$69)/Inputs!$C$70,"")</f>
      </c>
      <c r="D6508" s="15"/>
      <c r="E6508" s="15"/>
      <c r="F6508" s="11">
        <f t="shared" si="51"/>
      </c>
      <c r="G6508" s="22" cm="1">
        <f t="array" ref="G6508">IF(AND(Inputs!$C$60,Inputs!$C$61),INDEX(Utility_Rates!$C$29:$F$52,HOUR(C6508)+Inputs!$C$69,MATCH(INDEX(Utility_Rates!$K$6:$K$17,MONTH(C6508))&amp;IF(WEEKDAY(C6508,Inputs!$C$76)&lt;=Inputs!$C$74," weekday"," weekend"),Utility_Rates!$C$28:$F$28,Inputs!$C$68)),"")</f>
      </c>
      <c r="H6508" s="34"/>
      <c r="I6508" s="42">
        <f>IF(AND(ISNUMBER(D6508),ISNUMBER(H6508)),D6508*H6508*Inputs!$C$69,"")</f>
      </c>
      <c r="J6508" s="42">
        <f>IF(AND(ISNUMBER(F6508),ISNUMBER(H6508),F6508&gt;=Inputs!$C$68),F6508*H6508*Inputs!$C$69,"")</f>
      </c>
    </row>
    <row r="6509" spans="2:10" ht="15" customHeight="1" x14ac:dyDescent="0.2">
      <c r="B6509" s="39">
        <f t="shared" si="50"/>
      </c>
      <c r="C6509" s="40">
        <f>IF(Inputs!$C$60,Inputs!$C$11+(B6509-Inputs!$C$69)/Inputs!$C$70,"")</f>
      </c>
      <c r="D6509" s="15"/>
      <c r="E6509" s="15"/>
      <c r="F6509" s="11">
        <f t="shared" si="51"/>
      </c>
      <c r="G6509" s="22" cm="1">
        <f t="array" ref="G6509">IF(AND(Inputs!$C$60,Inputs!$C$61),INDEX(Utility_Rates!$C$29:$F$52,HOUR(C6509)+Inputs!$C$69,MATCH(INDEX(Utility_Rates!$K$6:$K$17,MONTH(C6509))&amp;IF(WEEKDAY(C6509,Inputs!$C$76)&lt;=Inputs!$C$74," weekday"," weekend"),Utility_Rates!$C$28:$F$28,Inputs!$C$68)),"")</f>
      </c>
      <c r="H6509" s="34"/>
      <c r="I6509" s="42">
        <f>IF(AND(ISNUMBER(D6509),ISNUMBER(H6509)),D6509*H6509*Inputs!$C$69,"")</f>
      </c>
      <c r="J6509" s="42">
        <f>IF(AND(ISNUMBER(F6509),ISNUMBER(H6509),F6509&gt;=Inputs!$C$68),F6509*H6509*Inputs!$C$69,"")</f>
      </c>
    </row>
    <row r="6510" spans="2:10" ht="15" customHeight="1" x14ac:dyDescent="0.2">
      <c r="B6510" s="39">
        <f t="shared" si="50"/>
      </c>
      <c r="C6510" s="40">
        <f>IF(Inputs!$C$60,Inputs!$C$11+(B6510-Inputs!$C$69)/Inputs!$C$70,"")</f>
      </c>
      <c r="D6510" s="15"/>
      <c r="E6510" s="15"/>
      <c r="F6510" s="11">
        <f t="shared" si="51"/>
      </c>
      <c r="G6510" s="22" cm="1">
        <f t="array" ref="G6510">IF(AND(Inputs!$C$60,Inputs!$C$61),INDEX(Utility_Rates!$C$29:$F$52,HOUR(C6510)+Inputs!$C$69,MATCH(INDEX(Utility_Rates!$K$6:$K$17,MONTH(C6510))&amp;IF(WEEKDAY(C6510,Inputs!$C$76)&lt;=Inputs!$C$74," weekday"," weekend"),Utility_Rates!$C$28:$F$28,Inputs!$C$68)),"")</f>
      </c>
      <c r="H6510" s="34"/>
      <c r="I6510" s="42">
        <f>IF(AND(ISNUMBER(D6510),ISNUMBER(H6510)),D6510*H6510*Inputs!$C$69,"")</f>
      </c>
      <c r="J6510" s="42">
        <f>IF(AND(ISNUMBER(F6510),ISNUMBER(H6510),F6510&gt;=Inputs!$C$68),F6510*H6510*Inputs!$C$69,"")</f>
      </c>
    </row>
    <row r="6511" spans="2:10" ht="15" customHeight="1" x14ac:dyDescent="0.2">
      <c r="B6511" s="39">
        <f t="shared" si="50"/>
      </c>
      <c r="C6511" s="40">
        <f>IF(Inputs!$C$60,Inputs!$C$11+(B6511-Inputs!$C$69)/Inputs!$C$70,"")</f>
      </c>
      <c r="D6511" s="15"/>
      <c r="E6511" s="15"/>
      <c r="F6511" s="11">
        <f t="shared" si="51"/>
      </c>
      <c r="G6511" s="22" cm="1">
        <f t="array" ref="G6511">IF(AND(Inputs!$C$60,Inputs!$C$61),INDEX(Utility_Rates!$C$29:$F$52,HOUR(C6511)+Inputs!$C$69,MATCH(INDEX(Utility_Rates!$K$6:$K$17,MONTH(C6511))&amp;IF(WEEKDAY(C6511,Inputs!$C$76)&lt;=Inputs!$C$74," weekday"," weekend"),Utility_Rates!$C$28:$F$28,Inputs!$C$68)),"")</f>
      </c>
      <c r="H6511" s="34"/>
      <c r="I6511" s="42">
        <f>IF(AND(ISNUMBER(D6511),ISNUMBER(H6511)),D6511*H6511*Inputs!$C$69,"")</f>
      </c>
      <c r="J6511" s="42">
        <f>IF(AND(ISNUMBER(F6511),ISNUMBER(H6511),F6511&gt;=Inputs!$C$68),F6511*H6511*Inputs!$C$69,"")</f>
      </c>
    </row>
    <row r="6512" spans="2:10" ht="15" customHeight="1" x14ac:dyDescent="0.2">
      <c r="B6512" s="39">
        <f t="shared" si="50"/>
      </c>
      <c r="C6512" s="40">
        <f>IF(Inputs!$C$60,Inputs!$C$11+(B6512-Inputs!$C$69)/Inputs!$C$70,"")</f>
      </c>
      <c r="D6512" s="15"/>
      <c r="E6512" s="15"/>
      <c r="F6512" s="11">
        <f t="shared" si="51"/>
      </c>
      <c r="G6512" s="22" cm="1">
        <f t="array" ref="G6512">IF(AND(Inputs!$C$60,Inputs!$C$61),INDEX(Utility_Rates!$C$29:$F$52,HOUR(C6512)+Inputs!$C$69,MATCH(INDEX(Utility_Rates!$K$6:$K$17,MONTH(C6512))&amp;IF(WEEKDAY(C6512,Inputs!$C$76)&lt;=Inputs!$C$74," weekday"," weekend"),Utility_Rates!$C$28:$F$28,Inputs!$C$68)),"")</f>
      </c>
      <c r="H6512" s="34"/>
      <c r="I6512" s="42">
        <f>IF(AND(ISNUMBER(D6512),ISNUMBER(H6512)),D6512*H6512*Inputs!$C$69,"")</f>
      </c>
      <c r="J6512" s="42">
        <f>IF(AND(ISNUMBER(F6512),ISNUMBER(H6512),F6512&gt;=Inputs!$C$68),F6512*H6512*Inputs!$C$69,"")</f>
      </c>
    </row>
    <row r="6513" spans="2:10" ht="15" customHeight="1" x14ac:dyDescent="0.2">
      <c r="B6513" s="39">
        <f t="shared" si="50"/>
      </c>
      <c r="C6513" s="40">
        <f>IF(Inputs!$C$60,Inputs!$C$11+(B6513-Inputs!$C$69)/Inputs!$C$70,"")</f>
      </c>
      <c r="D6513" s="15"/>
      <c r="E6513" s="15"/>
      <c r="F6513" s="11">
        <f t="shared" si="51"/>
      </c>
      <c r="G6513" s="22" cm="1">
        <f t="array" ref="G6513">IF(AND(Inputs!$C$60,Inputs!$C$61),INDEX(Utility_Rates!$C$29:$F$52,HOUR(C6513)+Inputs!$C$69,MATCH(INDEX(Utility_Rates!$K$6:$K$17,MONTH(C6513))&amp;IF(WEEKDAY(C6513,Inputs!$C$76)&lt;=Inputs!$C$74," weekday"," weekend"),Utility_Rates!$C$28:$F$28,Inputs!$C$68)),"")</f>
      </c>
      <c r="H6513" s="34"/>
      <c r="I6513" s="42">
        <f>IF(AND(ISNUMBER(D6513),ISNUMBER(H6513)),D6513*H6513*Inputs!$C$69,"")</f>
      </c>
      <c r="J6513" s="42">
        <f>IF(AND(ISNUMBER(F6513),ISNUMBER(H6513),F6513&gt;=Inputs!$C$68),F6513*H6513*Inputs!$C$69,"")</f>
      </c>
    </row>
    <row r="6514" spans="2:10" ht="15" customHeight="1" x14ac:dyDescent="0.2">
      <c r="B6514" s="39">
        <f t="shared" si="50"/>
      </c>
      <c r="C6514" s="40">
        <f>IF(Inputs!$C$60,Inputs!$C$11+(B6514-Inputs!$C$69)/Inputs!$C$70,"")</f>
      </c>
      <c r="D6514" s="15"/>
      <c r="E6514" s="15"/>
      <c r="F6514" s="11">
        <f t="shared" si="51"/>
      </c>
      <c r="G6514" s="22" cm="1">
        <f t="array" ref="G6514">IF(AND(Inputs!$C$60,Inputs!$C$61),INDEX(Utility_Rates!$C$29:$F$52,HOUR(C6514)+Inputs!$C$69,MATCH(INDEX(Utility_Rates!$K$6:$K$17,MONTH(C6514))&amp;IF(WEEKDAY(C6514,Inputs!$C$76)&lt;=Inputs!$C$74," weekday"," weekend"),Utility_Rates!$C$28:$F$28,Inputs!$C$68)),"")</f>
      </c>
      <c r="H6514" s="34"/>
      <c r="I6514" s="42">
        <f>IF(AND(ISNUMBER(D6514),ISNUMBER(H6514)),D6514*H6514*Inputs!$C$69,"")</f>
      </c>
      <c r="J6514" s="42">
        <f>IF(AND(ISNUMBER(F6514),ISNUMBER(H6514),F6514&gt;=Inputs!$C$68),F6514*H6514*Inputs!$C$69,"")</f>
      </c>
    </row>
    <row r="6515" spans="2:10" ht="15" customHeight="1" x14ac:dyDescent="0.2">
      <c r="B6515" s="39">
        <f t="shared" si="50"/>
      </c>
      <c r="C6515" s="40">
        <f>IF(Inputs!$C$60,Inputs!$C$11+(B6515-Inputs!$C$69)/Inputs!$C$70,"")</f>
      </c>
      <c r="D6515" s="15"/>
      <c r="E6515" s="15"/>
      <c r="F6515" s="11">
        <f t="shared" si="51"/>
      </c>
      <c r="G6515" s="22" cm="1">
        <f t="array" ref="G6515">IF(AND(Inputs!$C$60,Inputs!$C$61),INDEX(Utility_Rates!$C$29:$F$52,HOUR(C6515)+Inputs!$C$69,MATCH(INDEX(Utility_Rates!$K$6:$K$17,MONTH(C6515))&amp;IF(WEEKDAY(C6515,Inputs!$C$76)&lt;=Inputs!$C$74," weekday"," weekend"),Utility_Rates!$C$28:$F$28,Inputs!$C$68)),"")</f>
      </c>
      <c r="H6515" s="34"/>
      <c r="I6515" s="42">
        <f>IF(AND(ISNUMBER(D6515),ISNUMBER(H6515)),D6515*H6515*Inputs!$C$69,"")</f>
      </c>
      <c r="J6515" s="42">
        <f>IF(AND(ISNUMBER(F6515),ISNUMBER(H6515),F6515&gt;=Inputs!$C$68),F6515*H6515*Inputs!$C$69,"")</f>
      </c>
    </row>
    <row r="6516" spans="2:10" ht="15" customHeight="1" x14ac:dyDescent="0.2">
      <c r="B6516" s="39">
        <f t="shared" si="50"/>
      </c>
      <c r="C6516" s="40">
        <f>IF(Inputs!$C$60,Inputs!$C$11+(B6516-Inputs!$C$69)/Inputs!$C$70,"")</f>
      </c>
      <c r="D6516" s="15"/>
      <c r="E6516" s="15"/>
      <c r="F6516" s="11">
        <f t="shared" si="51"/>
      </c>
      <c r="G6516" s="22" cm="1">
        <f t="array" ref="G6516">IF(AND(Inputs!$C$60,Inputs!$C$61),INDEX(Utility_Rates!$C$29:$F$52,HOUR(C6516)+Inputs!$C$69,MATCH(INDEX(Utility_Rates!$K$6:$K$17,MONTH(C6516))&amp;IF(WEEKDAY(C6516,Inputs!$C$76)&lt;=Inputs!$C$74," weekday"," weekend"),Utility_Rates!$C$28:$F$28,Inputs!$C$68)),"")</f>
      </c>
      <c r="H6516" s="34"/>
      <c r="I6516" s="42">
        <f>IF(AND(ISNUMBER(D6516),ISNUMBER(H6516)),D6516*H6516*Inputs!$C$69,"")</f>
      </c>
      <c r="J6516" s="42">
        <f>IF(AND(ISNUMBER(F6516),ISNUMBER(H6516),F6516&gt;=Inputs!$C$68),F6516*H6516*Inputs!$C$69,"")</f>
      </c>
    </row>
    <row r="6517" spans="2:10" ht="15" customHeight="1" x14ac:dyDescent="0.2">
      <c r="B6517" s="39">
        <f t="shared" si="50"/>
      </c>
      <c r="C6517" s="40">
        <f>IF(Inputs!$C$60,Inputs!$C$11+(B6517-Inputs!$C$69)/Inputs!$C$70,"")</f>
      </c>
      <c r="D6517" s="15"/>
      <c r="E6517" s="15"/>
      <c r="F6517" s="11">
        <f t="shared" si="51"/>
      </c>
      <c r="G6517" s="22" cm="1">
        <f t="array" ref="G6517">IF(AND(Inputs!$C$60,Inputs!$C$61),INDEX(Utility_Rates!$C$29:$F$52,HOUR(C6517)+Inputs!$C$69,MATCH(INDEX(Utility_Rates!$K$6:$K$17,MONTH(C6517))&amp;IF(WEEKDAY(C6517,Inputs!$C$76)&lt;=Inputs!$C$74," weekday"," weekend"),Utility_Rates!$C$28:$F$28,Inputs!$C$68)),"")</f>
      </c>
      <c r="H6517" s="34"/>
      <c r="I6517" s="42">
        <f>IF(AND(ISNUMBER(D6517),ISNUMBER(H6517)),D6517*H6517*Inputs!$C$69,"")</f>
      </c>
      <c r="J6517" s="42">
        <f>IF(AND(ISNUMBER(F6517),ISNUMBER(H6517),F6517&gt;=Inputs!$C$68),F6517*H6517*Inputs!$C$69,"")</f>
      </c>
    </row>
    <row r="6518" spans="2:10" ht="15" customHeight="1" x14ac:dyDescent="0.2">
      <c r="B6518" s="39">
        <f t="shared" si="50"/>
      </c>
      <c r="C6518" s="40">
        <f>IF(Inputs!$C$60,Inputs!$C$11+(B6518-Inputs!$C$69)/Inputs!$C$70,"")</f>
      </c>
      <c r="D6518" s="15"/>
      <c r="E6518" s="15"/>
      <c r="F6518" s="11">
        <f t="shared" si="51"/>
      </c>
      <c r="G6518" s="22" cm="1">
        <f t="array" ref="G6518">IF(AND(Inputs!$C$60,Inputs!$C$61),INDEX(Utility_Rates!$C$29:$F$52,HOUR(C6518)+Inputs!$C$69,MATCH(INDEX(Utility_Rates!$K$6:$K$17,MONTH(C6518))&amp;IF(WEEKDAY(C6518,Inputs!$C$76)&lt;=Inputs!$C$74," weekday"," weekend"),Utility_Rates!$C$28:$F$28,Inputs!$C$68)),"")</f>
      </c>
      <c r="H6518" s="34"/>
      <c r="I6518" s="42">
        <f>IF(AND(ISNUMBER(D6518),ISNUMBER(H6518)),D6518*H6518*Inputs!$C$69,"")</f>
      </c>
      <c r="J6518" s="42">
        <f>IF(AND(ISNUMBER(F6518),ISNUMBER(H6518),F6518&gt;=Inputs!$C$68),F6518*H6518*Inputs!$C$69,"")</f>
      </c>
    </row>
    <row r="6519" spans="2:10" ht="15" customHeight="1" x14ac:dyDescent="0.2">
      <c r="B6519" s="39">
        <f t="shared" si="50"/>
      </c>
      <c r="C6519" s="40">
        <f>IF(Inputs!$C$60,Inputs!$C$11+(B6519-Inputs!$C$69)/Inputs!$C$70,"")</f>
      </c>
      <c r="D6519" s="15"/>
      <c r="E6519" s="15"/>
      <c r="F6519" s="11">
        <f t="shared" si="51"/>
      </c>
      <c r="G6519" s="22" cm="1">
        <f t="array" ref="G6519">IF(AND(Inputs!$C$60,Inputs!$C$61),INDEX(Utility_Rates!$C$29:$F$52,HOUR(C6519)+Inputs!$C$69,MATCH(INDEX(Utility_Rates!$K$6:$K$17,MONTH(C6519))&amp;IF(WEEKDAY(C6519,Inputs!$C$76)&lt;=Inputs!$C$74," weekday"," weekend"),Utility_Rates!$C$28:$F$28,Inputs!$C$68)),"")</f>
      </c>
      <c r="H6519" s="34"/>
      <c r="I6519" s="42">
        <f>IF(AND(ISNUMBER(D6519),ISNUMBER(H6519)),D6519*H6519*Inputs!$C$69,"")</f>
      </c>
      <c r="J6519" s="42">
        <f>IF(AND(ISNUMBER(F6519),ISNUMBER(H6519),F6519&gt;=Inputs!$C$68),F6519*H6519*Inputs!$C$69,"")</f>
      </c>
    </row>
    <row r="6520" spans="2:10" ht="15" customHeight="1" x14ac:dyDescent="0.2">
      <c r="B6520" s="39">
        <f t="shared" si="50"/>
      </c>
      <c r="C6520" s="40">
        <f>IF(Inputs!$C$60,Inputs!$C$11+(B6520-Inputs!$C$69)/Inputs!$C$70,"")</f>
      </c>
      <c r="D6520" s="15"/>
      <c r="E6520" s="15"/>
      <c r="F6520" s="11">
        <f t="shared" si="51"/>
      </c>
      <c r="G6520" s="22" cm="1">
        <f t="array" ref="G6520">IF(AND(Inputs!$C$60,Inputs!$C$61),INDEX(Utility_Rates!$C$29:$F$52,HOUR(C6520)+Inputs!$C$69,MATCH(INDEX(Utility_Rates!$K$6:$K$17,MONTH(C6520))&amp;IF(WEEKDAY(C6520,Inputs!$C$76)&lt;=Inputs!$C$74," weekday"," weekend"),Utility_Rates!$C$28:$F$28,Inputs!$C$68)),"")</f>
      </c>
      <c r="H6520" s="34"/>
      <c r="I6520" s="42">
        <f>IF(AND(ISNUMBER(D6520),ISNUMBER(H6520)),D6520*H6520*Inputs!$C$69,"")</f>
      </c>
      <c r="J6520" s="42">
        <f>IF(AND(ISNUMBER(F6520),ISNUMBER(H6520),F6520&gt;=Inputs!$C$68),F6520*H6520*Inputs!$C$69,"")</f>
      </c>
    </row>
    <row r="6521" spans="2:10" ht="15" customHeight="1" x14ac:dyDescent="0.2">
      <c r="B6521" s="39">
        <f t="shared" si="50"/>
      </c>
      <c r="C6521" s="40">
        <f>IF(Inputs!$C$60,Inputs!$C$11+(B6521-Inputs!$C$69)/Inputs!$C$70,"")</f>
      </c>
      <c r="D6521" s="15"/>
      <c r="E6521" s="15"/>
      <c r="F6521" s="11">
        <f t="shared" si="51"/>
      </c>
      <c r="G6521" s="22" cm="1">
        <f t="array" ref="G6521">IF(AND(Inputs!$C$60,Inputs!$C$61),INDEX(Utility_Rates!$C$29:$F$52,HOUR(C6521)+Inputs!$C$69,MATCH(INDEX(Utility_Rates!$K$6:$K$17,MONTH(C6521))&amp;IF(WEEKDAY(C6521,Inputs!$C$76)&lt;=Inputs!$C$74," weekday"," weekend"),Utility_Rates!$C$28:$F$28,Inputs!$C$68)),"")</f>
      </c>
      <c r="H6521" s="34"/>
      <c r="I6521" s="42">
        <f>IF(AND(ISNUMBER(D6521),ISNUMBER(H6521)),D6521*H6521*Inputs!$C$69,"")</f>
      </c>
      <c r="J6521" s="42">
        <f>IF(AND(ISNUMBER(F6521),ISNUMBER(H6521),F6521&gt;=Inputs!$C$68),F6521*H6521*Inputs!$C$69,"")</f>
      </c>
    </row>
    <row r="6522" spans="2:10" ht="15" customHeight="1" x14ac:dyDescent="0.2">
      <c r="B6522" s="39">
        <f t="shared" si="50"/>
      </c>
      <c r="C6522" s="40">
        <f>IF(Inputs!$C$60,Inputs!$C$11+(B6522-Inputs!$C$69)/Inputs!$C$70,"")</f>
      </c>
      <c r="D6522" s="15"/>
      <c r="E6522" s="15"/>
      <c r="F6522" s="11">
        <f t="shared" si="51"/>
      </c>
      <c r="G6522" s="22" cm="1">
        <f t="array" ref="G6522">IF(AND(Inputs!$C$60,Inputs!$C$61),INDEX(Utility_Rates!$C$29:$F$52,HOUR(C6522)+Inputs!$C$69,MATCH(INDEX(Utility_Rates!$K$6:$K$17,MONTH(C6522))&amp;IF(WEEKDAY(C6522,Inputs!$C$76)&lt;=Inputs!$C$74," weekday"," weekend"),Utility_Rates!$C$28:$F$28,Inputs!$C$68)),"")</f>
      </c>
      <c r="H6522" s="34"/>
      <c r="I6522" s="42">
        <f>IF(AND(ISNUMBER(D6522),ISNUMBER(H6522)),D6522*H6522*Inputs!$C$69,"")</f>
      </c>
      <c r="J6522" s="42">
        <f>IF(AND(ISNUMBER(F6522),ISNUMBER(H6522),F6522&gt;=Inputs!$C$68),F6522*H6522*Inputs!$C$69,"")</f>
      </c>
    </row>
    <row r="6523" spans="2:10" ht="15" customHeight="1" x14ac:dyDescent="0.2">
      <c r="B6523" s="39">
        <f t="shared" si="50"/>
      </c>
      <c r="C6523" s="40">
        <f>IF(Inputs!$C$60,Inputs!$C$11+(B6523-Inputs!$C$69)/Inputs!$C$70,"")</f>
      </c>
      <c r="D6523" s="15"/>
      <c r="E6523" s="15"/>
      <c r="F6523" s="11">
        <f t="shared" si="51"/>
      </c>
      <c r="G6523" s="22" cm="1">
        <f t="array" ref="G6523">IF(AND(Inputs!$C$60,Inputs!$C$61),INDEX(Utility_Rates!$C$29:$F$52,HOUR(C6523)+Inputs!$C$69,MATCH(INDEX(Utility_Rates!$K$6:$K$17,MONTH(C6523))&amp;IF(WEEKDAY(C6523,Inputs!$C$76)&lt;=Inputs!$C$74," weekday"," weekend"),Utility_Rates!$C$28:$F$28,Inputs!$C$68)),"")</f>
      </c>
      <c r="H6523" s="34"/>
      <c r="I6523" s="42">
        <f>IF(AND(ISNUMBER(D6523),ISNUMBER(H6523)),D6523*H6523*Inputs!$C$69,"")</f>
      </c>
      <c r="J6523" s="42">
        <f>IF(AND(ISNUMBER(F6523),ISNUMBER(H6523),F6523&gt;=Inputs!$C$68),F6523*H6523*Inputs!$C$69,"")</f>
      </c>
    </row>
    <row r="6524" spans="2:10" ht="15" customHeight="1" x14ac:dyDescent="0.2">
      <c r="B6524" s="39">
        <f t="shared" si="50"/>
      </c>
      <c r="C6524" s="40">
        <f>IF(Inputs!$C$60,Inputs!$C$11+(B6524-Inputs!$C$69)/Inputs!$C$70,"")</f>
      </c>
      <c r="D6524" s="15"/>
      <c r="E6524" s="15"/>
      <c r="F6524" s="11">
        <f t="shared" si="51"/>
      </c>
      <c r="G6524" s="22" cm="1">
        <f t="array" ref="G6524">IF(AND(Inputs!$C$60,Inputs!$C$61),INDEX(Utility_Rates!$C$29:$F$52,HOUR(C6524)+Inputs!$C$69,MATCH(INDEX(Utility_Rates!$K$6:$K$17,MONTH(C6524))&amp;IF(WEEKDAY(C6524,Inputs!$C$76)&lt;=Inputs!$C$74," weekday"," weekend"),Utility_Rates!$C$28:$F$28,Inputs!$C$68)),"")</f>
      </c>
      <c r="H6524" s="34"/>
      <c r="I6524" s="42">
        <f>IF(AND(ISNUMBER(D6524),ISNUMBER(H6524)),D6524*H6524*Inputs!$C$69,"")</f>
      </c>
      <c r="J6524" s="42">
        <f>IF(AND(ISNUMBER(F6524),ISNUMBER(H6524),F6524&gt;=Inputs!$C$68),F6524*H6524*Inputs!$C$69,"")</f>
      </c>
    </row>
    <row r="6525" spans="2:10" ht="15" customHeight="1" x14ac:dyDescent="0.2">
      <c r="B6525" s="39">
        <f t="shared" si="50"/>
      </c>
      <c r="C6525" s="40">
        <f>IF(Inputs!$C$60,Inputs!$C$11+(B6525-Inputs!$C$69)/Inputs!$C$70,"")</f>
      </c>
      <c r="D6525" s="15"/>
      <c r="E6525" s="15"/>
      <c r="F6525" s="11">
        <f t="shared" si="51"/>
      </c>
      <c r="G6525" s="22" cm="1">
        <f t="array" ref="G6525">IF(AND(Inputs!$C$60,Inputs!$C$61),INDEX(Utility_Rates!$C$29:$F$52,HOUR(C6525)+Inputs!$C$69,MATCH(INDEX(Utility_Rates!$K$6:$K$17,MONTH(C6525))&amp;IF(WEEKDAY(C6525,Inputs!$C$76)&lt;=Inputs!$C$74," weekday"," weekend"),Utility_Rates!$C$28:$F$28,Inputs!$C$68)),"")</f>
      </c>
      <c r="H6525" s="34"/>
      <c r="I6525" s="42">
        <f>IF(AND(ISNUMBER(D6525),ISNUMBER(H6525)),D6525*H6525*Inputs!$C$69,"")</f>
      </c>
      <c r="J6525" s="42">
        <f>IF(AND(ISNUMBER(F6525),ISNUMBER(H6525),F6525&gt;=Inputs!$C$68),F6525*H6525*Inputs!$C$69,"")</f>
      </c>
    </row>
    <row r="6526" spans="2:10" ht="15" customHeight="1" x14ac:dyDescent="0.2">
      <c r="B6526" s="39">
        <f t="shared" si="50"/>
      </c>
      <c r="C6526" s="40">
        <f>IF(Inputs!$C$60,Inputs!$C$11+(B6526-Inputs!$C$69)/Inputs!$C$70,"")</f>
      </c>
      <c r="D6526" s="15"/>
      <c r="E6526" s="15"/>
      <c r="F6526" s="11">
        <f t="shared" si="51"/>
      </c>
      <c r="G6526" s="22" cm="1">
        <f t="array" ref="G6526">IF(AND(Inputs!$C$60,Inputs!$C$61),INDEX(Utility_Rates!$C$29:$F$52,HOUR(C6526)+Inputs!$C$69,MATCH(INDEX(Utility_Rates!$K$6:$K$17,MONTH(C6526))&amp;IF(WEEKDAY(C6526,Inputs!$C$76)&lt;=Inputs!$C$74," weekday"," weekend"),Utility_Rates!$C$28:$F$28,Inputs!$C$68)),"")</f>
      </c>
      <c r="H6526" s="34"/>
      <c r="I6526" s="42">
        <f>IF(AND(ISNUMBER(D6526),ISNUMBER(H6526)),D6526*H6526*Inputs!$C$69,"")</f>
      </c>
      <c r="J6526" s="42">
        <f>IF(AND(ISNUMBER(F6526),ISNUMBER(H6526),F6526&gt;=Inputs!$C$68),F6526*H6526*Inputs!$C$69,"")</f>
      </c>
    </row>
    <row r="6527" spans="2:10" ht="15" customHeight="1" x14ac:dyDescent="0.2">
      <c r="B6527" s="39">
        <f t="shared" si="50"/>
      </c>
      <c r="C6527" s="40">
        <f>IF(Inputs!$C$60,Inputs!$C$11+(B6527-Inputs!$C$69)/Inputs!$C$70,"")</f>
      </c>
      <c r="D6527" s="15"/>
      <c r="E6527" s="15"/>
      <c r="F6527" s="11">
        <f t="shared" si="51"/>
      </c>
      <c r="G6527" s="22" cm="1">
        <f t="array" ref="G6527">IF(AND(Inputs!$C$60,Inputs!$C$61),INDEX(Utility_Rates!$C$29:$F$52,HOUR(C6527)+Inputs!$C$69,MATCH(INDEX(Utility_Rates!$K$6:$K$17,MONTH(C6527))&amp;IF(WEEKDAY(C6527,Inputs!$C$76)&lt;=Inputs!$C$74," weekday"," weekend"),Utility_Rates!$C$28:$F$28,Inputs!$C$68)),"")</f>
      </c>
      <c r="H6527" s="34"/>
      <c r="I6527" s="42">
        <f>IF(AND(ISNUMBER(D6527),ISNUMBER(H6527)),D6527*H6527*Inputs!$C$69,"")</f>
      </c>
      <c r="J6527" s="42">
        <f>IF(AND(ISNUMBER(F6527),ISNUMBER(H6527),F6527&gt;=Inputs!$C$68),F6527*H6527*Inputs!$C$69,"")</f>
      </c>
    </row>
    <row r="6528" spans="2:10" ht="15" customHeight="1" x14ac:dyDescent="0.2">
      <c r="B6528" s="39">
        <f t="shared" si="50"/>
      </c>
      <c r="C6528" s="40">
        <f>IF(Inputs!$C$60,Inputs!$C$11+(B6528-Inputs!$C$69)/Inputs!$C$70,"")</f>
      </c>
      <c r="D6528" s="15"/>
      <c r="E6528" s="15"/>
      <c r="F6528" s="11">
        <f t="shared" si="51"/>
      </c>
      <c r="G6528" s="22" cm="1">
        <f t="array" ref="G6528">IF(AND(Inputs!$C$60,Inputs!$C$61),INDEX(Utility_Rates!$C$29:$F$52,HOUR(C6528)+Inputs!$C$69,MATCH(INDEX(Utility_Rates!$K$6:$K$17,MONTH(C6528))&amp;IF(WEEKDAY(C6528,Inputs!$C$76)&lt;=Inputs!$C$74," weekday"," weekend"),Utility_Rates!$C$28:$F$28,Inputs!$C$68)),"")</f>
      </c>
      <c r="H6528" s="34"/>
      <c r="I6528" s="42">
        <f>IF(AND(ISNUMBER(D6528),ISNUMBER(H6528)),D6528*H6528*Inputs!$C$69,"")</f>
      </c>
      <c r="J6528" s="42">
        <f>IF(AND(ISNUMBER(F6528),ISNUMBER(H6528),F6528&gt;=Inputs!$C$68),F6528*H6528*Inputs!$C$69,"")</f>
      </c>
    </row>
    <row r="6529" spans="2:10" ht="15" customHeight="1" x14ac:dyDescent="0.2">
      <c r="B6529" s="39">
        <f t="shared" si="50"/>
      </c>
      <c r="C6529" s="40">
        <f>IF(Inputs!$C$60,Inputs!$C$11+(B6529-Inputs!$C$69)/Inputs!$C$70,"")</f>
      </c>
      <c r="D6529" s="15"/>
      <c r="E6529" s="15"/>
      <c r="F6529" s="11">
        <f t="shared" si="51"/>
      </c>
      <c r="G6529" s="22" cm="1">
        <f t="array" ref="G6529">IF(AND(Inputs!$C$60,Inputs!$C$61),INDEX(Utility_Rates!$C$29:$F$52,HOUR(C6529)+Inputs!$C$69,MATCH(INDEX(Utility_Rates!$K$6:$K$17,MONTH(C6529))&amp;IF(WEEKDAY(C6529,Inputs!$C$76)&lt;=Inputs!$C$74," weekday"," weekend"),Utility_Rates!$C$28:$F$28,Inputs!$C$68)),"")</f>
      </c>
      <c r="H6529" s="34"/>
      <c r="I6529" s="42">
        <f>IF(AND(ISNUMBER(D6529),ISNUMBER(H6529)),D6529*H6529*Inputs!$C$69,"")</f>
      </c>
      <c r="J6529" s="42">
        <f>IF(AND(ISNUMBER(F6529),ISNUMBER(H6529),F6529&gt;=Inputs!$C$68),F6529*H6529*Inputs!$C$69,"")</f>
      </c>
    </row>
    <row r="6530" spans="2:10" ht="15" customHeight="1" x14ac:dyDescent="0.2">
      <c r="B6530" s="39">
        <f t="shared" si="50"/>
      </c>
      <c r="C6530" s="40">
        <f>IF(Inputs!$C$60,Inputs!$C$11+(B6530-Inputs!$C$69)/Inputs!$C$70,"")</f>
      </c>
      <c r="D6530" s="15"/>
      <c r="E6530" s="15"/>
      <c r="F6530" s="11">
        <f t="shared" si="51"/>
      </c>
      <c r="G6530" s="22" cm="1">
        <f t="array" ref="G6530">IF(AND(Inputs!$C$60,Inputs!$C$61),INDEX(Utility_Rates!$C$29:$F$52,HOUR(C6530)+Inputs!$C$69,MATCH(INDEX(Utility_Rates!$K$6:$K$17,MONTH(C6530))&amp;IF(WEEKDAY(C6530,Inputs!$C$76)&lt;=Inputs!$C$74," weekday"," weekend"),Utility_Rates!$C$28:$F$28,Inputs!$C$68)),"")</f>
      </c>
      <c r="H6530" s="34"/>
      <c r="I6530" s="42">
        <f>IF(AND(ISNUMBER(D6530),ISNUMBER(H6530)),D6530*H6530*Inputs!$C$69,"")</f>
      </c>
      <c r="J6530" s="42">
        <f>IF(AND(ISNUMBER(F6530),ISNUMBER(H6530),F6530&gt;=Inputs!$C$68),F6530*H6530*Inputs!$C$69,"")</f>
      </c>
    </row>
    <row r="6531" spans="2:10" ht="15" customHeight="1" x14ac:dyDescent="0.2">
      <c r="B6531" s="39">
        <f t="shared" si="50"/>
      </c>
      <c r="C6531" s="40">
        <f>IF(Inputs!$C$60,Inputs!$C$11+(B6531-Inputs!$C$69)/Inputs!$C$70,"")</f>
      </c>
      <c r="D6531" s="15"/>
      <c r="E6531" s="15"/>
      <c r="F6531" s="11">
        <f t="shared" si="51"/>
      </c>
      <c r="G6531" s="22" cm="1">
        <f t="array" ref="G6531">IF(AND(Inputs!$C$60,Inputs!$C$61),INDEX(Utility_Rates!$C$29:$F$52,HOUR(C6531)+Inputs!$C$69,MATCH(INDEX(Utility_Rates!$K$6:$K$17,MONTH(C6531))&amp;IF(WEEKDAY(C6531,Inputs!$C$76)&lt;=Inputs!$C$74," weekday"," weekend"),Utility_Rates!$C$28:$F$28,Inputs!$C$68)),"")</f>
      </c>
      <c r="H6531" s="34"/>
      <c r="I6531" s="42">
        <f>IF(AND(ISNUMBER(D6531),ISNUMBER(H6531)),D6531*H6531*Inputs!$C$69,"")</f>
      </c>
      <c r="J6531" s="42">
        <f>IF(AND(ISNUMBER(F6531),ISNUMBER(H6531),F6531&gt;=Inputs!$C$68),F6531*H6531*Inputs!$C$69,"")</f>
      </c>
    </row>
    <row r="6532" spans="2:10" ht="15" customHeight="1" x14ac:dyDescent="0.2">
      <c r="B6532" s="39">
        <f t="shared" si="50"/>
      </c>
      <c r="C6532" s="40">
        <f>IF(Inputs!$C$60,Inputs!$C$11+(B6532-Inputs!$C$69)/Inputs!$C$70,"")</f>
      </c>
      <c r="D6532" s="15"/>
      <c r="E6532" s="15"/>
      <c r="F6532" s="11">
        <f t="shared" si="51"/>
      </c>
      <c r="G6532" s="22" cm="1">
        <f t="array" ref="G6532">IF(AND(Inputs!$C$60,Inputs!$C$61),INDEX(Utility_Rates!$C$29:$F$52,HOUR(C6532)+Inputs!$C$69,MATCH(INDEX(Utility_Rates!$K$6:$K$17,MONTH(C6532))&amp;IF(WEEKDAY(C6532,Inputs!$C$76)&lt;=Inputs!$C$74," weekday"," weekend"),Utility_Rates!$C$28:$F$28,Inputs!$C$68)),"")</f>
      </c>
      <c r="H6532" s="34"/>
      <c r="I6532" s="42">
        <f>IF(AND(ISNUMBER(D6532),ISNUMBER(H6532)),D6532*H6532*Inputs!$C$69,"")</f>
      </c>
      <c r="J6532" s="42">
        <f>IF(AND(ISNUMBER(F6532),ISNUMBER(H6532),F6532&gt;=Inputs!$C$68),F6532*H6532*Inputs!$C$69,"")</f>
      </c>
    </row>
    <row r="6533" spans="2:10" ht="15" customHeight="1" x14ac:dyDescent="0.2">
      <c r="B6533" s="39">
        <f t="shared" si="50"/>
      </c>
      <c r="C6533" s="40">
        <f>IF(Inputs!$C$60,Inputs!$C$11+(B6533-Inputs!$C$69)/Inputs!$C$70,"")</f>
      </c>
      <c r="D6533" s="15"/>
      <c r="E6533" s="15"/>
      <c r="F6533" s="11">
        <f t="shared" si="51"/>
      </c>
      <c r="G6533" s="22" cm="1">
        <f t="array" ref="G6533">IF(AND(Inputs!$C$60,Inputs!$C$61),INDEX(Utility_Rates!$C$29:$F$52,HOUR(C6533)+Inputs!$C$69,MATCH(INDEX(Utility_Rates!$K$6:$K$17,MONTH(C6533))&amp;IF(WEEKDAY(C6533,Inputs!$C$76)&lt;=Inputs!$C$74," weekday"," weekend"),Utility_Rates!$C$28:$F$28,Inputs!$C$68)),"")</f>
      </c>
      <c r="H6533" s="34"/>
      <c r="I6533" s="42">
        <f>IF(AND(ISNUMBER(D6533),ISNUMBER(H6533)),D6533*H6533*Inputs!$C$69,"")</f>
      </c>
      <c r="J6533" s="42">
        <f>IF(AND(ISNUMBER(F6533),ISNUMBER(H6533),F6533&gt;=Inputs!$C$68),F6533*H6533*Inputs!$C$69,"")</f>
      </c>
    </row>
    <row r="6534" spans="2:10" ht="15" customHeight="1" x14ac:dyDescent="0.2">
      <c r="B6534" s="39">
        <f t="shared" si="50"/>
      </c>
      <c r="C6534" s="40">
        <f>IF(Inputs!$C$60,Inputs!$C$11+(B6534-Inputs!$C$69)/Inputs!$C$70,"")</f>
      </c>
      <c r="D6534" s="15"/>
      <c r="E6534" s="15"/>
      <c r="F6534" s="11">
        <f t="shared" si="51"/>
      </c>
      <c r="G6534" s="22" cm="1">
        <f t="array" ref="G6534">IF(AND(Inputs!$C$60,Inputs!$C$61),INDEX(Utility_Rates!$C$29:$F$52,HOUR(C6534)+Inputs!$C$69,MATCH(INDEX(Utility_Rates!$K$6:$K$17,MONTH(C6534))&amp;IF(WEEKDAY(C6534,Inputs!$C$76)&lt;=Inputs!$C$74," weekday"," weekend"),Utility_Rates!$C$28:$F$28,Inputs!$C$68)),"")</f>
      </c>
      <c r="H6534" s="34"/>
      <c r="I6534" s="42">
        <f>IF(AND(ISNUMBER(D6534),ISNUMBER(H6534)),D6534*H6534*Inputs!$C$69,"")</f>
      </c>
      <c r="J6534" s="42">
        <f>IF(AND(ISNUMBER(F6534),ISNUMBER(H6534),F6534&gt;=Inputs!$C$68),F6534*H6534*Inputs!$C$69,"")</f>
      </c>
    </row>
    <row r="6535" spans="2:10" ht="15" customHeight="1" x14ac:dyDescent="0.2">
      <c r="B6535" s="39">
        <f t="shared" si="50"/>
      </c>
      <c r="C6535" s="40">
        <f>IF(Inputs!$C$60,Inputs!$C$11+(B6535-Inputs!$C$69)/Inputs!$C$70,"")</f>
      </c>
      <c r="D6535" s="15"/>
      <c r="E6535" s="15"/>
      <c r="F6535" s="11">
        <f t="shared" si="51"/>
      </c>
      <c r="G6535" s="22" cm="1">
        <f t="array" ref="G6535">IF(AND(Inputs!$C$60,Inputs!$C$61),INDEX(Utility_Rates!$C$29:$F$52,HOUR(C6535)+Inputs!$C$69,MATCH(INDEX(Utility_Rates!$K$6:$K$17,MONTH(C6535))&amp;IF(WEEKDAY(C6535,Inputs!$C$76)&lt;=Inputs!$C$74," weekday"," weekend"),Utility_Rates!$C$28:$F$28,Inputs!$C$68)),"")</f>
      </c>
      <c r="H6535" s="34"/>
      <c r="I6535" s="42">
        <f>IF(AND(ISNUMBER(D6535),ISNUMBER(H6535)),D6535*H6535*Inputs!$C$69,"")</f>
      </c>
      <c r="J6535" s="42">
        <f>IF(AND(ISNUMBER(F6535),ISNUMBER(H6535),F6535&gt;=Inputs!$C$68),F6535*H6535*Inputs!$C$69,"")</f>
      </c>
    </row>
    <row r="6536" spans="2:10" ht="15" customHeight="1" x14ac:dyDescent="0.2">
      <c r="B6536" s="39">
        <f t="shared" si="50"/>
      </c>
      <c r="C6536" s="40">
        <f>IF(Inputs!$C$60,Inputs!$C$11+(B6536-Inputs!$C$69)/Inputs!$C$70,"")</f>
      </c>
      <c r="D6536" s="15"/>
      <c r="E6536" s="15"/>
      <c r="F6536" s="11">
        <f t="shared" si="51"/>
      </c>
      <c r="G6536" s="22" cm="1">
        <f t="array" ref="G6536">IF(AND(Inputs!$C$60,Inputs!$C$61),INDEX(Utility_Rates!$C$29:$F$52,HOUR(C6536)+Inputs!$C$69,MATCH(INDEX(Utility_Rates!$K$6:$K$17,MONTH(C6536))&amp;IF(WEEKDAY(C6536,Inputs!$C$76)&lt;=Inputs!$C$74," weekday"," weekend"),Utility_Rates!$C$28:$F$28,Inputs!$C$68)),"")</f>
      </c>
      <c r="H6536" s="34"/>
      <c r="I6536" s="42">
        <f>IF(AND(ISNUMBER(D6536),ISNUMBER(H6536)),D6536*H6536*Inputs!$C$69,"")</f>
      </c>
      <c r="J6536" s="42">
        <f>IF(AND(ISNUMBER(F6536),ISNUMBER(H6536),F6536&gt;=Inputs!$C$68),F6536*H6536*Inputs!$C$69,"")</f>
      </c>
    </row>
    <row r="6537" spans="2:10" ht="15" customHeight="1" x14ac:dyDescent="0.2">
      <c r="B6537" s="39">
        <f t="shared" si="50"/>
      </c>
      <c r="C6537" s="40">
        <f>IF(Inputs!$C$60,Inputs!$C$11+(B6537-Inputs!$C$69)/Inputs!$C$70,"")</f>
      </c>
      <c r="D6537" s="15"/>
      <c r="E6537" s="15"/>
      <c r="F6537" s="11">
        <f t="shared" si="51"/>
      </c>
      <c r="G6537" s="22" cm="1">
        <f t="array" ref="G6537">IF(AND(Inputs!$C$60,Inputs!$C$61),INDEX(Utility_Rates!$C$29:$F$52,HOUR(C6537)+Inputs!$C$69,MATCH(INDEX(Utility_Rates!$K$6:$K$17,MONTH(C6537))&amp;IF(WEEKDAY(C6537,Inputs!$C$76)&lt;=Inputs!$C$74," weekday"," weekend"),Utility_Rates!$C$28:$F$28,Inputs!$C$68)),"")</f>
      </c>
      <c r="H6537" s="34"/>
      <c r="I6537" s="42">
        <f>IF(AND(ISNUMBER(D6537),ISNUMBER(H6537)),D6537*H6537*Inputs!$C$69,"")</f>
      </c>
      <c r="J6537" s="42">
        <f>IF(AND(ISNUMBER(F6537),ISNUMBER(H6537),F6537&gt;=Inputs!$C$68),F6537*H6537*Inputs!$C$69,"")</f>
      </c>
    </row>
    <row r="6538" spans="2:10" ht="15" customHeight="1" x14ac:dyDescent="0.2">
      <c r="B6538" s="39">
        <f t="shared" si="50"/>
      </c>
      <c r="C6538" s="40">
        <f>IF(Inputs!$C$60,Inputs!$C$11+(B6538-Inputs!$C$69)/Inputs!$C$70,"")</f>
      </c>
      <c r="D6538" s="15"/>
      <c r="E6538" s="15"/>
      <c r="F6538" s="11">
        <f t="shared" si="51"/>
      </c>
      <c r="G6538" s="22" cm="1">
        <f t="array" ref="G6538">IF(AND(Inputs!$C$60,Inputs!$C$61),INDEX(Utility_Rates!$C$29:$F$52,HOUR(C6538)+Inputs!$C$69,MATCH(INDEX(Utility_Rates!$K$6:$K$17,MONTH(C6538))&amp;IF(WEEKDAY(C6538,Inputs!$C$76)&lt;=Inputs!$C$74," weekday"," weekend"),Utility_Rates!$C$28:$F$28,Inputs!$C$68)),"")</f>
      </c>
      <c r="H6538" s="34"/>
      <c r="I6538" s="42">
        <f>IF(AND(ISNUMBER(D6538),ISNUMBER(H6538)),D6538*H6538*Inputs!$C$69,"")</f>
      </c>
      <c r="J6538" s="42">
        <f>IF(AND(ISNUMBER(F6538),ISNUMBER(H6538),F6538&gt;=Inputs!$C$68),F6538*H6538*Inputs!$C$69,"")</f>
      </c>
    </row>
    <row r="6539" spans="2:10" ht="15" customHeight="1" x14ac:dyDescent="0.2">
      <c r="B6539" s="39">
        <f t="shared" si="50"/>
      </c>
      <c r="C6539" s="40">
        <f>IF(Inputs!$C$60,Inputs!$C$11+(B6539-Inputs!$C$69)/Inputs!$C$70,"")</f>
      </c>
      <c r="D6539" s="15"/>
      <c r="E6539" s="15"/>
      <c r="F6539" s="11">
        <f t="shared" si="51"/>
      </c>
      <c r="G6539" s="22" cm="1">
        <f t="array" ref="G6539">IF(AND(Inputs!$C$60,Inputs!$C$61),INDEX(Utility_Rates!$C$29:$F$52,HOUR(C6539)+Inputs!$C$69,MATCH(INDEX(Utility_Rates!$K$6:$K$17,MONTH(C6539))&amp;IF(WEEKDAY(C6539,Inputs!$C$76)&lt;=Inputs!$C$74," weekday"," weekend"),Utility_Rates!$C$28:$F$28,Inputs!$C$68)),"")</f>
      </c>
      <c r="H6539" s="34"/>
      <c r="I6539" s="42">
        <f>IF(AND(ISNUMBER(D6539),ISNUMBER(H6539)),D6539*H6539*Inputs!$C$69,"")</f>
      </c>
      <c r="J6539" s="42">
        <f>IF(AND(ISNUMBER(F6539),ISNUMBER(H6539),F6539&gt;=Inputs!$C$68),F6539*H6539*Inputs!$C$69,"")</f>
      </c>
    </row>
    <row r="6540" spans="2:10" ht="15" customHeight="1" x14ac:dyDescent="0.2">
      <c r="B6540" s="39">
        <f t="shared" si="50"/>
      </c>
      <c r="C6540" s="40">
        <f>IF(Inputs!$C$60,Inputs!$C$11+(B6540-Inputs!$C$69)/Inputs!$C$70,"")</f>
      </c>
      <c r="D6540" s="15"/>
      <c r="E6540" s="15"/>
      <c r="F6540" s="11">
        <f t="shared" si="51"/>
      </c>
      <c r="G6540" s="22" cm="1">
        <f t="array" ref="G6540">IF(AND(Inputs!$C$60,Inputs!$C$61),INDEX(Utility_Rates!$C$29:$F$52,HOUR(C6540)+Inputs!$C$69,MATCH(INDEX(Utility_Rates!$K$6:$K$17,MONTH(C6540))&amp;IF(WEEKDAY(C6540,Inputs!$C$76)&lt;=Inputs!$C$74," weekday"," weekend"),Utility_Rates!$C$28:$F$28,Inputs!$C$68)),"")</f>
      </c>
      <c r="H6540" s="34"/>
      <c r="I6540" s="42">
        <f>IF(AND(ISNUMBER(D6540),ISNUMBER(H6540)),D6540*H6540*Inputs!$C$69,"")</f>
      </c>
      <c r="J6540" s="42">
        <f>IF(AND(ISNUMBER(F6540),ISNUMBER(H6540),F6540&gt;=Inputs!$C$68),F6540*H6540*Inputs!$C$69,"")</f>
      </c>
    </row>
    <row r="6541" spans="2:10" ht="15" customHeight="1" x14ac:dyDescent="0.2">
      <c r="B6541" s="39">
        <f t="shared" si="50"/>
      </c>
      <c r="C6541" s="40">
        <f>IF(Inputs!$C$60,Inputs!$C$11+(B6541-Inputs!$C$69)/Inputs!$C$70,"")</f>
      </c>
      <c r="D6541" s="15"/>
      <c r="E6541" s="15"/>
      <c r="F6541" s="11">
        <f t="shared" si="51"/>
      </c>
      <c r="G6541" s="22" cm="1">
        <f t="array" ref="G6541">IF(AND(Inputs!$C$60,Inputs!$C$61),INDEX(Utility_Rates!$C$29:$F$52,HOUR(C6541)+Inputs!$C$69,MATCH(INDEX(Utility_Rates!$K$6:$K$17,MONTH(C6541))&amp;IF(WEEKDAY(C6541,Inputs!$C$76)&lt;=Inputs!$C$74," weekday"," weekend"),Utility_Rates!$C$28:$F$28,Inputs!$C$68)),"")</f>
      </c>
      <c r="H6541" s="34"/>
      <c r="I6541" s="42">
        <f>IF(AND(ISNUMBER(D6541),ISNUMBER(H6541)),D6541*H6541*Inputs!$C$69,"")</f>
      </c>
      <c r="J6541" s="42">
        <f>IF(AND(ISNUMBER(F6541),ISNUMBER(H6541),F6541&gt;=Inputs!$C$68),F6541*H6541*Inputs!$C$69,"")</f>
      </c>
    </row>
    <row r="6542" spans="2:10" ht="15" customHeight="1" x14ac:dyDescent="0.2">
      <c r="B6542" s="39">
        <f t="shared" si="50"/>
      </c>
      <c r="C6542" s="40">
        <f>IF(Inputs!$C$60,Inputs!$C$11+(B6542-Inputs!$C$69)/Inputs!$C$70,"")</f>
      </c>
      <c r="D6542" s="15"/>
      <c r="E6542" s="15"/>
      <c r="F6542" s="11">
        <f t="shared" si="51"/>
      </c>
      <c r="G6542" s="22" cm="1">
        <f t="array" ref="G6542">IF(AND(Inputs!$C$60,Inputs!$C$61),INDEX(Utility_Rates!$C$29:$F$52,HOUR(C6542)+Inputs!$C$69,MATCH(INDEX(Utility_Rates!$K$6:$K$17,MONTH(C6542))&amp;IF(WEEKDAY(C6542,Inputs!$C$76)&lt;=Inputs!$C$74," weekday"," weekend"),Utility_Rates!$C$28:$F$28,Inputs!$C$68)),"")</f>
      </c>
      <c r="H6542" s="34"/>
      <c r="I6542" s="42">
        <f>IF(AND(ISNUMBER(D6542),ISNUMBER(H6542)),D6542*H6542*Inputs!$C$69,"")</f>
      </c>
      <c r="J6542" s="42">
        <f>IF(AND(ISNUMBER(F6542),ISNUMBER(H6542),F6542&gt;=Inputs!$C$68),F6542*H6542*Inputs!$C$69,"")</f>
      </c>
    </row>
    <row r="6543" spans="2:10" ht="15" customHeight="1" x14ac:dyDescent="0.2">
      <c r="B6543" s="39">
        <f t="shared" si="50"/>
      </c>
      <c r="C6543" s="40">
        <f>IF(Inputs!$C$60,Inputs!$C$11+(B6543-Inputs!$C$69)/Inputs!$C$70,"")</f>
      </c>
      <c r="D6543" s="15"/>
      <c r="E6543" s="15"/>
      <c r="F6543" s="11">
        <f t="shared" si="51"/>
      </c>
      <c r="G6543" s="22" cm="1">
        <f t="array" ref="G6543">IF(AND(Inputs!$C$60,Inputs!$C$61),INDEX(Utility_Rates!$C$29:$F$52,HOUR(C6543)+Inputs!$C$69,MATCH(INDEX(Utility_Rates!$K$6:$K$17,MONTH(C6543))&amp;IF(WEEKDAY(C6543,Inputs!$C$76)&lt;=Inputs!$C$74," weekday"," weekend"),Utility_Rates!$C$28:$F$28,Inputs!$C$68)),"")</f>
      </c>
      <c r="H6543" s="34"/>
      <c r="I6543" s="42">
        <f>IF(AND(ISNUMBER(D6543),ISNUMBER(H6543)),D6543*H6543*Inputs!$C$69,"")</f>
      </c>
      <c r="J6543" s="42">
        <f>IF(AND(ISNUMBER(F6543),ISNUMBER(H6543),F6543&gt;=Inputs!$C$68),F6543*H6543*Inputs!$C$69,"")</f>
      </c>
    </row>
    <row r="6544" spans="2:10" ht="15" customHeight="1" x14ac:dyDescent="0.2">
      <c r="B6544" s="39">
        <f t="shared" si="50"/>
      </c>
      <c r="C6544" s="40">
        <f>IF(Inputs!$C$60,Inputs!$C$11+(B6544-Inputs!$C$69)/Inputs!$C$70,"")</f>
      </c>
      <c r="D6544" s="15"/>
      <c r="E6544" s="15"/>
      <c r="F6544" s="11">
        <f t="shared" si="51"/>
      </c>
      <c r="G6544" s="22" cm="1">
        <f t="array" ref="G6544">IF(AND(Inputs!$C$60,Inputs!$C$61),INDEX(Utility_Rates!$C$29:$F$52,HOUR(C6544)+Inputs!$C$69,MATCH(INDEX(Utility_Rates!$K$6:$K$17,MONTH(C6544))&amp;IF(WEEKDAY(C6544,Inputs!$C$76)&lt;=Inputs!$C$74," weekday"," weekend"),Utility_Rates!$C$28:$F$28,Inputs!$C$68)),"")</f>
      </c>
      <c r="H6544" s="34"/>
      <c r="I6544" s="42">
        <f>IF(AND(ISNUMBER(D6544),ISNUMBER(H6544)),D6544*H6544*Inputs!$C$69,"")</f>
      </c>
      <c r="J6544" s="42">
        <f>IF(AND(ISNUMBER(F6544),ISNUMBER(H6544),F6544&gt;=Inputs!$C$68),F6544*H6544*Inputs!$C$69,"")</f>
      </c>
    </row>
    <row r="6545" spans="2:10" ht="15" customHeight="1" x14ac:dyDescent="0.2">
      <c r="B6545" s="39">
        <f t="shared" si="50"/>
      </c>
      <c r="C6545" s="40">
        <f>IF(Inputs!$C$60,Inputs!$C$11+(B6545-Inputs!$C$69)/Inputs!$C$70,"")</f>
      </c>
      <c r="D6545" s="15"/>
      <c r="E6545" s="15"/>
      <c r="F6545" s="11">
        <f t="shared" si="51"/>
      </c>
      <c r="G6545" s="22" cm="1">
        <f t="array" ref="G6545">IF(AND(Inputs!$C$60,Inputs!$C$61),INDEX(Utility_Rates!$C$29:$F$52,HOUR(C6545)+Inputs!$C$69,MATCH(INDEX(Utility_Rates!$K$6:$K$17,MONTH(C6545))&amp;IF(WEEKDAY(C6545,Inputs!$C$76)&lt;=Inputs!$C$74," weekday"," weekend"),Utility_Rates!$C$28:$F$28,Inputs!$C$68)),"")</f>
      </c>
      <c r="H6545" s="34"/>
      <c r="I6545" s="42">
        <f>IF(AND(ISNUMBER(D6545),ISNUMBER(H6545)),D6545*H6545*Inputs!$C$69,"")</f>
      </c>
      <c r="J6545" s="42">
        <f>IF(AND(ISNUMBER(F6545),ISNUMBER(H6545),F6545&gt;=Inputs!$C$68),F6545*H6545*Inputs!$C$69,"")</f>
      </c>
    </row>
    <row r="6546" spans="2:10" ht="15" customHeight="1" x14ac:dyDescent="0.2">
      <c r="B6546" s="39">
        <f t="shared" si="50"/>
      </c>
      <c r="C6546" s="40">
        <f>IF(Inputs!$C$60,Inputs!$C$11+(B6546-Inputs!$C$69)/Inputs!$C$70,"")</f>
      </c>
      <c r="D6546" s="15"/>
      <c r="E6546" s="15"/>
      <c r="F6546" s="11">
        <f t="shared" si="51"/>
      </c>
      <c r="G6546" s="22" cm="1">
        <f t="array" ref="G6546">IF(AND(Inputs!$C$60,Inputs!$C$61),INDEX(Utility_Rates!$C$29:$F$52,HOUR(C6546)+Inputs!$C$69,MATCH(INDEX(Utility_Rates!$K$6:$K$17,MONTH(C6546))&amp;IF(WEEKDAY(C6546,Inputs!$C$76)&lt;=Inputs!$C$74," weekday"," weekend"),Utility_Rates!$C$28:$F$28,Inputs!$C$68)),"")</f>
      </c>
      <c r="H6546" s="34"/>
      <c r="I6546" s="42">
        <f>IF(AND(ISNUMBER(D6546),ISNUMBER(H6546)),D6546*H6546*Inputs!$C$69,"")</f>
      </c>
      <c r="J6546" s="42">
        <f>IF(AND(ISNUMBER(F6546),ISNUMBER(H6546),F6546&gt;=Inputs!$C$68),F6546*H6546*Inputs!$C$69,"")</f>
      </c>
    </row>
    <row r="6547" spans="2:10" ht="15" customHeight="1" x14ac:dyDescent="0.2">
      <c r="B6547" s="39">
        <f t="shared" si="50"/>
      </c>
      <c r="C6547" s="40">
        <f>IF(Inputs!$C$60,Inputs!$C$11+(B6547-Inputs!$C$69)/Inputs!$C$70,"")</f>
      </c>
      <c r="D6547" s="15"/>
      <c r="E6547" s="15"/>
      <c r="F6547" s="11">
        <f t="shared" si="51"/>
      </c>
      <c r="G6547" s="22" cm="1">
        <f t="array" ref="G6547">IF(AND(Inputs!$C$60,Inputs!$C$61),INDEX(Utility_Rates!$C$29:$F$52,HOUR(C6547)+Inputs!$C$69,MATCH(INDEX(Utility_Rates!$K$6:$K$17,MONTH(C6547))&amp;IF(WEEKDAY(C6547,Inputs!$C$76)&lt;=Inputs!$C$74," weekday"," weekend"),Utility_Rates!$C$28:$F$28,Inputs!$C$68)),"")</f>
      </c>
      <c r="H6547" s="34"/>
      <c r="I6547" s="42">
        <f>IF(AND(ISNUMBER(D6547),ISNUMBER(H6547)),D6547*H6547*Inputs!$C$69,"")</f>
      </c>
      <c r="J6547" s="42">
        <f>IF(AND(ISNUMBER(F6547),ISNUMBER(H6547),F6547&gt;=Inputs!$C$68),F6547*H6547*Inputs!$C$69,"")</f>
      </c>
    </row>
    <row r="6548" spans="2:10" ht="15" customHeight="1" x14ac:dyDescent="0.2">
      <c r="B6548" s="39">
        <f t="shared" si="50"/>
      </c>
      <c r="C6548" s="40">
        <f>IF(Inputs!$C$60,Inputs!$C$11+(B6548-Inputs!$C$69)/Inputs!$C$70,"")</f>
      </c>
      <c r="D6548" s="15"/>
      <c r="E6548" s="15"/>
      <c r="F6548" s="11">
        <f t="shared" si="51"/>
      </c>
      <c r="G6548" s="22" cm="1">
        <f t="array" ref="G6548">IF(AND(Inputs!$C$60,Inputs!$C$61),INDEX(Utility_Rates!$C$29:$F$52,HOUR(C6548)+Inputs!$C$69,MATCH(INDEX(Utility_Rates!$K$6:$K$17,MONTH(C6548))&amp;IF(WEEKDAY(C6548,Inputs!$C$76)&lt;=Inputs!$C$74," weekday"," weekend"),Utility_Rates!$C$28:$F$28,Inputs!$C$68)),"")</f>
      </c>
      <c r="H6548" s="34"/>
      <c r="I6548" s="42">
        <f>IF(AND(ISNUMBER(D6548),ISNUMBER(H6548)),D6548*H6548*Inputs!$C$69,"")</f>
      </c>
      <c r="J6548" s="42">
        <f>IF(AND(ISNUMBER(F6548),ISNUMBER(H6548),F6548&gt;=Inputs!$C$68),F6548*H6548*Inputs!$C$69,"")</f>
      </c>
    </row>
    <row r="6549" spans="2:10" ht="15" customHeight="1" x14ac:dyDescent="0.2">
      <c r="B6549" s="39">
        <f t="shared" si="50"/>
      </c>
      <c r="C6549" s="40">
        <f>IF(Inputs!$C$60,Inputs!$C$11+(B6549-Inputs!$C$69)/Inputs!$C$70,"")</f>
      </c>
      <c r="D6549" s="15"/>
      <c r="E6549" s="15"/>
      <c r="F6549" s="11">
        <f t="shared" si="51"/>
      </c>
      <c r="G6549" s="22" cm="1">
        <f t="array" ref="G6549">IF(AND(Inputs!$C$60,Inputs!$C$61),INDEX(Utility_Rates!$C$29:$F$52,HOUR(C6549)+Inputs!$C$69,MATCH(INDEX(Utility_Rates!$K$6:$K$17,MONTH(C6549))&amp;IF(WEEKDAY(C6549,Inputs!$C$76)&lt;=Inputs!$C$74," weekday"," weekend"),Utility_Rates!$C$28:$F$28,Inputs!$C$68)),"")</f>
      </c>
      <c r="H6549" s="34"/>
      <c r="I6549" s="42">
        <f>IF(AND(ISNUMBER(D6549),ISNUMBER(H6549)),D6549*H6549*Inputs!$C$69,"")</f>
      </c>
      <c r="J6549" s="42">
        <f>IF(AND(ISNUMBER(F6549),ISNUMBER(H6549),F6549&gt;=Inputs!$C$68),F6549*H6549*Inputs!$C$69,"")</f>
      </c>
    </row>
    <row r="6550" spans="2:10" ht="15" customHeight="1" x14ac:dyDescent="0.2">
      <c r="B6550" s="39">
        <f t="shared" si="50"/>
      </c>
      <c r="C6550" s="40">
        <f>IF(Inputs!$C$60,Inputs!$C$11+(B6550-Inputs!$C$69)/Inputs!$C$70,"")</f>
      </c>
      <c r="D6550" s="15"/>
      <c r="E6550" s="15"/>
      <c r="F6550" s="11">
        <f t="shared" si="51"/>
      </c>
      <c r="G6550" s="22" cm="1">
        <f t="array" ref="G6550">IF(AND(Inputs!$C$60,Inputs!$C$61),INDEX(Utility_Rates!$C$29:$F$52,HOUR(C6550)+Inputs!$C$69,MATCH(INDEX(Utility_Rates!$K$6:$K$17,MONTH(C6550))&amp;IF(WEEKDAY(C6550,Inputs!$C$76)&lt;=Inputs!$C$74," weekday"," weekend"),Utility_Rates!$C$28:$F$28,Inputs!$C$68)),"")</f>
      </c>
      <c r="H6550" s="34"/>
      <c r="I6550" s="42">
        <f>IF(AND(ISNUMBER(D6550),ISNUMBER(H6550)),D6550*H6550*Inputs!$C$69,"")</f>
      </c>
      <c r="J6550" s="42">
        <f>IF(AND(ISNUMBER(F6550),ISNUMBER(H6550),F6550&gt;=Inputs!$C$68),F6550*H6550*Inputs!$C$69,"")</f>
      </c>
    </row>
    <row r="6551" spans="2:10" ht="15" customHeight="1" x14ac:dyDescent="0.2">
      <c r="B6551" s="39">
        <f t="shared" si="50"/>
      </c>
      <c r="C6551" s="40">
        <f>IF(Inputs!$C$60,Inputs!$C$11+(B6551-Inputs!$C$69)/Inputs!$C$70,"")</f>
      </c>
      <c r="D6551" s="15"/>
      <c r="E6551" s="15"/>
      <c r="F6551" s="11">
        <f t="shared" si="51"/>
      </c>
      <c r="G6551" s="22" cm="1">
        <f t="array" ref="G6551">IF(AND(Inputs!$C$60,Inputs!$C$61),INDEX(Utility_Rates!$C$29:$F$52,HOUR(C6551)+Inputs!$C$69,MATCH(INDEX(Utility_Rates!$K$6:$K$17,MONTH(C6551))&amp;IF(WEEKDAY(C6551,Inputs!$C$76)&lt;=Inputs!$C$74," weekday"," weekend"),Utility_Rates!$C$28:$F$28,Inputs!$C$68)),"")</f>
      </c>
      <c r="H6551" s="34"/>
      <c r="I6551" s="42">
        <f>IF(AND(ISNUMBER(D6551),ISNUMBER(H6551)),D6551*H6551*Inputs!$C$69,"")</f>
      </c>
      <c r="J6551" s="42">
        <f>IF(AND(ISNUMBER(F6551),ISNUMBER(H6551),F6551&gt;=Inputs!$C$68),F6551*H6551*Inputs!$C$69,"")</f>
      </c>
    </row>
    <row r="6552" spans="2:10" ht="15" customHeight="1" x14ac:dyDescent="0.2">
      <c r="B6552" s="39">
        <f t="shared" si="50"/>
      </c>
      <c r="C6552" s="40">
        <f>IF(Inputs!$C$60,Inputs!$C$11+(B6552-Inputs!$C$69)/Inputs!$C$70,"")</f>
      </c>
      <c r="D6552" s="15"/>
      <c r="E6552" s="15"/>
      <c r="F6552" s="11">
        <f t="shared" si="51"/>
      </c>
      <c r="G6552" s="22" cm="1">
        <f t="array" ref="G6552">IF(AND(Inputs!$C$60,Inputs!$C$61),INDEX(Utility_Rates!$C$29:$F$52,HOUR(C6552)+Inputs!$C$69,MATCH(INDEX(Utility_Rates!$K$6:$K$17,MONTH(C6552))&amp;IF(WEEKDAY(C6552,Inputs!$C$76)&lt;=Inputs!$C$74," weekday"," weekend"),Utility_Rates!$C$28:$F$28,Inputs!$C$68)),"")</f>
      </c>
      <c r="H6552" s="34"/>
      <c r="I6552" s="42">
        <f>IF(AND(ISNUMBER(D6552),ISNUMBER(H6552)),D6552*H6552*Inputs!$C$69,"")</f>
      </c>
      <c r="J6552" s="42">
        <f>IF(AND(ISNUMBER(F6552),ISNUMBER(H6552),F6552&gt;=Inputs!$C$68),F6552*H6552*Inputs!$C$69,"")</f>
      </c>
    </row>
    <row r="6553" spans="2:10" ht="15" customHeight="1" x14ac:dyDescent="0.2">
      <c r="B6553" s="39">
        <f t="shared" si="50"/>
      </c>
      <c r="C6553" s="40">
        <f>IF(Inputs!$C$60,Inputs!$C$11+(B6553-Inputs!$C$69)/Inputs!$C$70,"")</f>
      </c>
      <c r="D6553" s="15"/>
      <c r="E6553" s="15"/>
      <c r="F6553" s="11">
        <f t="shared" si="51"/>
      </c>
      <c r="G6553" s="22" cm="1">
        <f t="array" ref="G6553">IF(AND(Inputs!$C$60,Inputs!$C$61),INDEX(Utility_Rates!$C$29:$F$52,HOUR(C6553)+Inputs!$C$69,MATCH(INDEX(Utility_Rates!$K$6:$K$17,MONTH(C6553))&amp;IF(WEEKDAY(C6553,Inputs!$C$76)&lt;=Inputs!$C$74," weekday"," weekend"),Utility_Rates!$C$28:$F$28,Inputs!$C$68)),"")</f>
      </c>
      <c r="H6553" s="34"/>
      <c r="I6553" s="42">
        <f>IF(AND(ISNUMBER(D6553),ISNUMBER(H6553)),D6553*H6553*Inputs!$C$69,"")</f>
      </c>
      <c r="J6553" s="42">
        <f>IF(AND(ISNUMBER(F6553),ISNUMBER(H6553),F6553&gt;=Inputs!$C$68),F6553*H6553*Inputs!$C$69,"")</f>
      </c>
    </row>
    <row r="6554" spans="2:10" ht="15" customHeight="1" x14ac:dyDescent="0.2">
      <c r="B6554" s="39">
        <f t="shared" si="50"/>
      </c>
      <c r="C6554" s="40">
        <f>IF(Inputs!$C$60,Inputs!$C$11+(B6554-Inputs!$C$69)/Inputs!$C$70,"")</f>
      </c>
      <c r="D6554" s="15"/>
      <c r="E6554" s="15"/>
      <c r="F6554" s="11">
        <f t="shared" si="51"/>
      </c>
      <c r="G6554" s="22" cm="1">
        <f t="array" ref="G6554">IF(AND(Inputs!$C$60,Inputs!$C$61),INDEX(Utility_Rates!$C$29:$F$52,HOUR(C6554)+Inputs!$C$69,MATCH(INDEX(Utility_Rates!$K$6:$K$17,MONTH(C6554))&amp;IF(WEEKDAY(C6554,Inputs!$C$76)&lt;=Inputs!$C$74," weekday"," weekend"),Utility_Rates!$C$28:$F$28,Inputs!$C$68)),"")</f>
      </c>
      <c r="H6554" s="34"/>
      <c r="I6554" s="42">
        <f>IF(AND(ISNUMBER(D6554),ISNUMBER(H6554)),D6554*H6554*Inputs!$C$69,"")</f>
      </c>
      <c r="J6554" s="42">
        <f>IF(AND(ISNUMBER(F6554),ISNUMBER(H6554),F6554&gt;=Inputs!$C$68),F6554*H6554*Inputs!$C$69,"")</f>
      </c>
    </row>
    <row r="6555" spans="2:10" ht="15" customHeight="1" x14ac:dyDescent="0.2">
      <c r="B6555" s="39">
        <f t="shared" si="50"/>
      </c>
      <c r="C6555" s="40">
        <f>IF(Inputs!$C$60,Inputs!$C$11+(B6555-Inputs!$C$69)/Inputs!$C$70,"")</f>
      </c>
      <c r="D6555" s="15"/>
      <c r="E6555" s="15"/>
      <c r="F6555" s="11">
        <f t="shared" si="51"/>
      </c>
      <c r="G6555" s="22" cm="1">
        <f t="array" ref="G6555">IF(AND(Inputs!$C$60,Inputs!$C$61),INDEX(Utility_Rates!$C$29:$F$52,HOUR(C6555)+Inputs!$C$69,MATCH(INDEX(Utility_Rates!$K$6:$K$17,MONTH(C6555))&amp;IF(WEEKDAY(C6555,Inputs!$C$76)&lt;=Inputs!$C$74," weekday"," weekend"),Utility_Rates!$C$28:$F$28,Inputs!$C$68)),"")</f>
      </c>
      <c r="H6555" s="34"/>
      <c r="I6555" s="42">
        <f>IF(AND(ISNUMBER(D6555),ISNUMBER(H6555)),D6555*H6555*Inputs!$C$69,"")</f>
      </c>
      <c r="J6555" s="42">
        <f>IF(AND(ISNUMBER(F6555),ISNUMBER(H6555),F6555&gt;=Inputs!$C$68),F6555*H6555*Inputs!$C$69,"")</f>
      </c>
    </row>
    <row r="6556" spans="2:10" ht="15" customHeight="1" x14ac:dyDescent="0.2">
      <c r="B6556" s="39">
        <f t="shared" si="50"/>
      </c>
      <c r="C6556" s="40">
        <f>IF(Inputs!$C$60,Inputs!$C$11+(B6556-Inputs!$C$69)/Inputs!$C$70,"")</f>
      </c>
      <c r="D6556" s="15"/>
      <c r="E6556" s="15"/>
      <c r="F6556" s="11">
        <f t="shared" si="51"/>
      </c>
      <c r="G6556" s="22" cm="1">
        <f t="array" ref="G6556">IF(AND(Inputs!$C$60,Inputs!$C$61),INDEX(Utility_Rates!$C$29:$F$52,HOUR(C6556)+Inputs!$C$69,MATCH(INDEX(Utility_Rates!$K$6:$K$17,MONTH(C6556))&amp;IF(WEEKDAY(C6556,Inputs!$C$76)&lt;=Inputs!$C$74," weekday"," weekend"),Utility_Rates!$C$28:$F$28,Inputs!$C$68)),"")</f>
      </c>
      <c r="H6556" s="34"/>
      <c r="I6556" s="42">
        <f>IF(AND(ISNUMBER(D6556),ISNUMBER(H6556)),D6556*H6556*Inputs!$C$69,"")</f>
      </c>
      <c r="J6556" s="42">
        <f>IF(AND(ISNUMBER(F6556),ISNUMBER(H6556),F6556&gt;=Inputs!$C$68),F6556*H6556*Inputs!$C$69,"")</f>
      </c>
    </row>
    <row r="6557" spans="2:10" ht="15" customHeight="1" x14ac:dyDescent="0.2">
      <c r="B6557" s="39">
        <f t="shared" si="50"/>
      </c>
      <c r="C6557" s="40">
        <f>IF(Inputs!$C$60,Inputs!$C$11+(B6557-Inputs!$C$69)/Inputs!$C$70,"")</f>
      </c>
      <c r="D6557" s="15"/>
      <c r="E6557" s="15"/>
      <c r="F6557" s="11">
        <f t="shared" si="51"/>
      </c>
      <c r="G6557" s="22" cm="1">
        <f t="array" ref="G6557">IF(AND(Inputs!$C$60,Inputs!$C$61),INDEX(Utility_Rates!$C$29:$F$52,HOUR(C6557)+Inputs!$C$69,MATCH(INDEX(Utility_Rates!$K$6:$K$17,MONTH(C6557))&amp;IF(WEEKDAY(C6557,Inputs!$C$76)&lt;=Inputs!$C$74," weekday"," weekend"),Utility_Rates!$C$28:$F$28,Inputs!$C$68)),"")</f>
      </c>
      <c r="H6557" s="34"/>
      <c r="I6557" s="42">
        <f>IF(AND(ISNUMBER(D6557),ISNUMBER(H6557)),D6557*H6557*Inputs!$C$69,"")</f>
      </c>
      <c r="J6557" s="42">
        <f>IF(AND(ISNUMBER(F6557),ISNUMBER(H6557),F6557&gt;=Inputs!$C$68),F6557*H6557*Inputs!$C$69,"")</f>
      </c>
    </row>
    <row r="6558" spans="2:10" ht="15" customHeight="1" x14ac:dyDescent="0.2">
      <c r="B6558" s="39">
        <f t="shared" si="50"/>
      </c>
      <c r="C6558" s="40">
        <f>IF(Inputs!$C$60,Inputs!$C$11+(B6558-Inputs!$C$69)/Inputs!$C$70,"")</f>
      </c>
      <c r="D6558" s="15"/>
      <c r="E6558" s="15"/>
      <c r="F6558" s="11">
        <f t="shared" si="51"/>
      </c>
      <c r="G6558" s="22" cm="1">
        <f t="array" ref="G6558">IF(AND(Inputs!$C$60,Inputs!$C$61),INDEX(Utility_Rates!$C$29:$F$52,HOUR(C6558)+Inputs!$C$69,MATCH(INDEX(Utility_Rates!$K$6:$K$17,MONTH(C6558))&amp;IF(WEEKDAY(C6558,Inputs!$C$76)&lt;=Inputs!$C$74," weekday"," weekend"),Utility_Rates!$C$28:$F$28,Inputs!$C$68)),"")</f>
      </c>
      <c r="H6558" s="34"/>
      <c r="I6558" s="42">
        <f>IF(AND(ISNUMBER(D6558),ISNUMBER(H6558)),D6558*H6558*Inputs!$C$69,"")</f>
      </c>
      <c r="J6558" s="42">
        <f>IF(AND(ISNUMBER(F6558),ISNUMBER(H6558),F6558&gt;=Inputs!$C$68),F6558*H6558*Inputs!$C$69,"")</f>
      </c>
    </row>
    <row r="6559" spans="2:10" ht="15" customHeight="1" x14ac:dyDescent="0.2">
      <c r="B6559" s="39">
        <f t="shared" si="50"/>
      </c>
      <c r="C6559" s="40">
        <f>IF(Inputs!$C$60,Inputs!$C$11+(B6559-Inputs!$C$69)/Inputs!$C$70,"")</f>
      </c>
      <c r="D6559" s="15"/>
      <c r="E6559" s="15"/>
      <c r="F6559" s="11">
        <f t="shared" si="51"/>
      </c>
      <c r="G6559" s="22" cm="1">
        <f t="array" ref="G6559">IF(AND(Inputs!$C$60,Inputs!$C$61),INDEX(Utility_Rates!$C$29:$F$52,HOUR(C6559)+Inputs!$C$69,MATCH(INDEX(Utility_Rates!$K$6:$K$17,MONTH(C6559))&amp;IF(WEEKDAY(C6559,Inputs!$C$76)&lt;=Inputs!$C$74," weekday"," weekend"),Utility_Rates!$C$28:$F$28,Inputs!$C$68)),"")</f>
      </c>
      <c r="H6559" s="34"/>
      <c r="I6559" s="42">
        <f>IF(AND(ISNUMBER(D6559),ISNUMBER(H6559)),D6559*H6559*Inputs!$C$69,"")</f>
      </c>
      <c r="J6559" s="42">
        <f>IF(AND(ISNUMBER(F6559),ISNUMBER(H6559),F6559&gt;=Inputs!$C$68),F6559*H6559*Inputs!$C$69,"")</f>
      </c>
    </row>
    <row r="6560" spans="2:10" ht="15" customHeight="1" x14ac:dyDescent="0.2">
      <c r="B6560" s="39">
        <f t="shared" si="50"/>
      </c>
      <c r="C6560" s="40">
        <f>IF(Inputs!$C$60,Inputs!$C$11+(B6560-Inputs!$C$69)/Inputs!$C$70,"")</f>
      </c>
      <c r="D6560" s="15"/>
      <c r="E6560" s="15"/>
      <c r="F6560" s="11">
        <f t="shared" si="51"/>
      </c>
      <c r="G6560" s="22" cm="1">
        <f t="array" ref="G6560">IF(AND(Inputs!$C$60,Inputs!$C$61),INDEX(Utility_Rates!$C$29:$F$52,HOUR(C6560)+Inputs!$C$69,MATCH(INDEX(Utility_Rates!$K$6:$K$17,MONTH(C6560))&amp;IF(WEEKDAY(C6560,Inputs!$C$76)&lt;=Inputs!$C$74," weekday"," weekend"),Utility_Rates!$C$28:$F$28,Inputs!$C$68)),"")</f>
      </c>
      <c r="H6560" s="34"/>
      <c r="I6560" s="42">
        <f>IF(AND(ISNUMBER(D6560),ISNUMBER(H6560)),D6560*H6560*Inputs!$C$69,"")</f>
      </c>
      <c r="J6560" s="42">
        <f>IF(AND(ISNUMBER(F6560),ISNUMBER(H6560),F6560&gt;=Inputs!$C$68),F6560*H6560*Inputs!$C$69,"")</f>
      </c>
    </row>
    <row r="6561" spans="2:10" ht="15" customHeight="1" x14ac:dyDescent="0.2">
      <c r="B6561" s="39">
        <f t="shared" si="50"/>
      </c>
      <c r="C6561" s="40">
        <f>IF(Inputs!$C$60,Inputs!$C$11+(B6561-Inputs!$C$69)/Inputs!$C$70,"")</f>
      </c>
      <c r="D6561" s="15"/>
      <c r="E6561" s="15"/>
      <c r="F6561" s="11">
        <f t="shared" si="51"/>
      </c>
      <c r="G6561" s="22" cm="1">
        <f t="array" ref="G6561">IF(AND(Inputs!$C$60,Inputs!$C$61),INDEX(Utility_Rates!$C$29:$F$52,HOUR(C6561)+Inputs!$C$69,MATCH(INDEX(Utility_Rates!$K$6:$K$17,MONTH(C6561))&amp;IF(WEEKDAY(C6561,Inputs!$C$76)&lt;=Inputs!$C$74," weekday"," weekend"),Utility_Rates!$C$28:$F$28,Inputs!$C$68)),"")</f>
      </c>
      <c r="H6561" s="34"/>
      <c r="I6561" s="42">
        <f>IF(AND(ISNUMBER(D6561),ISNUMBER(H6561)),D6561*H6561*Inputs!$C$69,"")</f>
      </c>
      <c r="J6561" s="42">
        <f>IF(AND(ISNUMBER(F6561),ISNUMBER(H6561),F6561&gt;=Inputs!$C$68),F6561*H6561*Inputs!$C$69,"")</f>
      </c>
    </row>
    <row r="6562" spans="2:10" ht="15" customHeight="1" x14ac:dyDescent="0.2">
      <c r="B6562" s="39">
        <f t="shared" si="50"/>
      </c>
      <c r="C6562" s="40">
        <f>IF(Inputs!$C$60,Inputs!$C$11+(B6562-Inputs!$C$69)/Inputs!$C$70,"")</f>
      </c>
      <c r="D6562" s="15"/>
      <c r="E6562" s="15"/>
      <c r="F6562" s="11">
        <f t="shared" si="51"/>
      </c>
      <c r="G6562" s="22" cm="1">
        <f t="array" ref="G6562">IF(AND(Inputs!$C$60,Inputs!$C$61),INDEX(Utility_Rates!$C$29:$F$52,HOUR(C6562)+Inputs!$C$69,MATCH(INDEX(Utility_Rates!$K$6:$K$17,MONTH(C6562))&amp;IF(WEEKDAY(C6562,Inputs!$C$76)&lt;=Inputs!$C$74," weekday"," weekend"),Utility_Rates!$C$28:$F$28,Inputs!$C$68)),"")</f>
      </c>
      <c r="H6562" s="34"/>
      <c r="I6562" s="42">
        <f>IF(AND(ISNUMBER(D6562),ISNUMBER(H6562)),D6562*H6562*Inputs!$C$69,"")</f>
      </c>
      <c r="J6562" s="42">
        <f>IF(AND(ISNUMBER(F6562),ISNUMBER(H6562),F6562&gt;=Inputs!$C$68),F6562*H6562*Inputs!$C$69,"")</f>
      </c>
    </row>
    <row r="6563" spans="2:10" ht="15" customHeight="1" x14ac:dyDescent="0.2">
      <c r="B6563" s="39">
        <f t="shared" si="50"/>
      </c>
      <c r="C6563" s="40">
        <f>IF(Inputs!$C$60,Inputs!$C$11+(B6563-Inputs!$C$69)/Inputs!$C$70,"")</f>
      </c>
      <c r="D6563" s="15"/>
      <c r="E6563" s="15"/>
      <c r="F6563" s="11">
        <f t="shared" si="51"/>
      </c>
      <c r="G6563" s="22" cm="1">
        <f t="array" ref="G6563">IF(AND(Inputs!$C$60,Inputs!$C$61),INDEX(Utility_Rates!$C$29:$F$52,HOUR(C6563)+Inputs!$C$69,MATCH(INDEX(Utility_Rates!$K$6:$K$17,MONTH(C6563))&amp;IF(WEEKDAY(C6563,Inputs!$C$76)&lt;=Inputs!$C$74," weekday"," weekend"),Utility_Rates!$C$28:$F$28,Inputs!$C$68)),"")</f>
      </c>
      <c r="H6563" s="34"/>
      <c r="I6563" s="42">
        <f>IF(AND(ISNUMBER(D6563),ISNUMBER(H6563)),D6563*H6563*Inputs!$C$69,"")</f>
      </c>
      <c r="J6563" s="42">
        <f>IF(AND(ISNUMBER(F6563),ISNUMBER(H6563),F6563&gt;=Inputs!$C$68),F6563*H6563*Inputs!$C$69,"")</f>
      </c>
    </row>
    <row r="6564" spans="2:10" ht="15" customHeight="1" x14ac:dyDescent="0.2">
      <c r="B6564" s="39">
        <f t="shared" si="50"/>
      </c>
      <c r="C6564" s="40">
        <f>IF(Inputs!$C$60,Inputs!$C$11+(B6564-Inputs!$C$69)/Inputs!$C$70,"")</f>
      </c>
      <c r="D6564" s="15"/>
      <c r="E6564" s="15"/>
      <c r="F6564" s="11">
        <f t="shared" si="51"/>
      </c>
      <c r="G6564" s="22" cm="1">
        <f t="array" ref="G6564">IF(AND(Inputs!$C$60,Inputs!$C$61),INDEX(Utility_Rates!$C$29:$F$52,HOUR(C6564)+Inputs!$C$69,MATCH(INDEX(Utility_Rates!$K$6:$K$17,MONTH(C6564))&amp;IF(WEEKDAY(C6564,Inputs!$C$76)&lt;=Inputs!$C$74," weekday"," weekend"),Utility_Rates!$C$28:$F$28,Inputs!$C$68)),"")</f>
      </c>
      <c r="H6564" s="34"/>
      <c r="I6564" s="42">
        <f>IF(AND(ISNUMBER(D6564),ISNUMBER(H6564)),D6564*H6564*Inputs!$C$69,"")</f>
      </c>
      <c r="J6564" s="42">
        <f>IF(AND(ISNUMBER(F6564),ISNUMBER(H6564),F6564&gt;=Inputs!$C$68),F6564*H6564*Inputs!$C$69,"")</f>
      </c>
    </row>
    <row r="6565" spans="2:10" ht="15" customHeight="1" x14ac:dyDescent="0.2">
      <c r="B6565" s="39">
        <f t="shared" si="50"/>
      </c>
      <c r="C6565" s="40">
        <f>IF(Inputs!$C$60,Inputs!$C$11+(B6565-Inputs!$C$69)/Inputs!$C$70,"")</f>
      </c>
      <c r="D6565" s="15"/>
      <c r="E6565" s="15"/>
      <c r="F6565" s="11">
        <f t="shared" si="51"/>
      </c>
      <c r="G6565" s="22" cm="1">
        <f t="array" ref="G6565">IF(AND(Inputs!$C$60,Inputs!$C$61),INDEX(Utility_Rates!$C$29:$F$52,HOUR(C6565)+Inputs!$C$69,MATCH(INDEX(Utility_Rates!$K$6:$K$17,MONTH(C6565))&amp;IF(WEEKDAY(C6565,Inputs!$C$76)&lt;=Inputs!$C$74," weekday"," weekend"),Utility_Rates!$C$28:$F$28,Inputs!$C$68)),"")</f>
      </c>
      <c r="H6565" s="34"/>
      <c r="I6565" s="42">
        <f>IF(AND(ISNUMBER(D6565),ISNUMBER(H6565)),D6565*H6565*Inputs!$C$69,"")</f>
      </c>
      <c r="J6565" s="42">
        <f>IF(AND(ISNUMBER(F6565),ISNUMBER(H6565),F6565&gt;=Inputs!$C$68),F6565*H6565*Inputs!$C$69,"")</f>
      </c>
    </row>
    <row r="6566" spans="2:10" ht="15" customHeight="1" x14ac:dyDescent="0.2">
      <c r="B6566" s="39">
        <f t="shared" si="50"/>
      </c>
      <c r="C6566" s="40">
        <f>IF(Inputs!$C$60,Inputs!$C$11+(B6566-Inputs!$C$69)/Inputs!$C$70,"")</f>
      </c>
      <c r="D6566" s="15"/>
      <c r="E6566" s="15"/>
      <c r="F6566" s="11">
        <f t="shared" si="51"/>
      </c>
      <c r="G6566" s="22" cm="1">
        <f t="array" ref="G6566">IF(AND(Inputs!$C$60,Inputs!$C$61),INDEX(Utility_Rates!$C$29:$F$52,HOUR(C6566)+Inputs!$C$69,MATCH(INDEX(Utility_Rates!$K$6:$K$17,MONTH(C6566))&amp;IF(WEEKDAY(C6566,Inputs!$C$76)&lt;=Inputs!$C$74," weekday"," weekend"),Utility_Rates!$C$28:$F$28,Inputs!$C$68)),"")</f>
      </c>
      <c r="H6566" s="34"/>
      <c r="I6566" s="42">
        <f>IF(AND(ISNUMBER(D6566),ISNUMBER(H6566)),D6566*H6566*Inputs!$C$69,"")</f>
      </c>
      <c r="J6566" s="42">
        <f>IF(AND(ISNUMBER(F6566),ISNUMBER(H6566),F6566&gt;=Inputs!$C$68),F6566*H6566*Inputs!$C$69,"")</f>
      </c>
    </row>
    <row r="6567" spans="2:10" ht="15" customHeight="1" x14ac:dyDescent="0.2">
      <c r="B6567" s="39">
        <f t="shared" si="50"/>
      </c>
      <c r="C6567" s="40">
        <f>IF(Inputs!$C$60,Inputs!$C$11+(B6567-Inputs!$C$69)/Inputs!$C$70,"")</f>
      </c>
      <c r="D6567" s="15"/>
      <c r="E6567" s="15"/>
      <c r="F6567" s="11">
        <f t="shared" si="51"/>
      </c>
      <c r="G6567" s="22" cm="1">
        <f t="array" ref="G6567">IF(AND(Inputs!$C$60,Inputs!$C$61),INDEX(Utility_Rates!$C$29:$F$52,HOUR(C6567)+Inputs!$C$69,MATCH(INDEX(Utility_Rates!$K$6:$K$17,MONTH(C6567))&amp;IF(WEEKDAY(C6567,Inputs!$C$76)&lt;=Inputs!$C$74," weekday"," weekend"),Utility_Rates!$C$28:$F$28,Inputs!$C$68)),"")</f>
      </c>
      <c r="H6567" s="34"/>
      <c r="I6567" s="42">
        <f>IF(AND(ISNUMBER(D6567),ISNUMBER(H6567)),D6567*H6567*Inputs!$C$69,"")</f>
      </c>
      <c r="J6567" s="42">
        <f>IF(AND(ISNUMBER(F6567),ISNUMBER(H6567),F6567&gt;=Inputs!$C$68),F6567*H6567*Inputs!$C$69,"")</f>
      </c>
    </row>
    <row r="6568" spans="2:10" ht="15" customHeight="1" x14ac:dyDescent="0.2">
      <c r="B6568" s="39">
        <f t="shared" si="50"/>
      </c>
      <c r="C6568" s="40">
        <f>IF(Inputs!$C$60,Inputs!$C$11+(B6568-Inputs!$C$69)/Inputs!$C$70,"")</f>
      </c>
      <c r="D6568" s="15"/>
      <c r="E6568" s="15"/>
      <c r="F6568" s="11">
        <f t="shared" si="51"/>
      </c>
      <c r="G6568" s="22" cm="1">
        <f t="array" ref="G6568">IF(AND(Inputs!$C$60,Inputs!$C$61),INDEX(Utility_Rates!$C$29:$F$52,HOUR(C6568)+Inputs!$C$69,MATCH(INDEX(Utility_Rates!$K$6:$K$17,MONTH(C6568))&amp;IF(WEEKDAY(C6568,Inputs!$C$76)&lt;=Inputs!$C$74," weekday"," weekend"),Utility_Rates!$C$28:$F$28,Inputs!$C$68)),"")</f>
      </c>
      <c r="H6568" s="34"/>
      <c r="I6568" s="42">
        <f>IF(AND(ISNUMBER(D6568),ISNUMBER(H6568)),D6568*H6568*Inputs!$C$69,"")</f>
      </c>
      <c r="J6568" s="42">
        <f>IF(AND(ISNUMBER(F6568),ISNUMBER(H6568),F6568&gt;=Inputs!$C$68),F6568*H6568*Inputs!$C$69,"")</f>
      </c>
    </row>
    <row r="6569" spans="2:10" ht="15" customHeight="1" x14ac:dyDescent="0.2">
      <c r="B6569" s="39">
        <f t="shared" si="50"/>
      </c>
      <c r="C6569" s="40">
        <f>IF(Inputs!$C$60,Inputs!$C$11+(B6569-Inputs!$C$69)/Inputs!$C$70,"")</f>
      </c>
      <c r="D6569" s="15"/>
      <c r="E6569" s="15"/>
      <c r="F6569" s="11">
        <f t="shared" si="51"/>
      </c>
      <c r="G6569" s="22" cm="1">
        <f t="array" ref="G6569">IF(AND(Inputs!$C$60,Inputs!$C$61),INDEX(Utility_Rates!$C$29:$F$52,HOUR(C6569)+Inputs!$C$69,MATCH(INDEX(Utility_Rates!$K$6:$K$17,MONTH(C6569))&amp;IF(WEEKDAY(C6569,Inputs!$C$76)&lt;=Inputs!$C$74," weekday"," weekend"),Utility_Rates!$C$28:$F$28,Inputs!$C$68)),"")</f>
      </c>
      <c r="H6569" s="34"/>
      <c r="I6569" s="42">
        <f>IF(AND(ISNUMBER(D6569),ISNUMBER(H6569)),D6569*H6569*Inputs!$C$69,"")</f>
      </c>
      <c r="J6569" s="42">
        <f>IF(AND(ISNUMBER(F6569),ISNUMBER(H6569),F6569&gt;=Inputs!$C$68),F6569*H6569*Inputs!$C$69,"")</f>
      </c>
    </row>
    <row r="6570" spans="2:10" ht="15" customHeight="1" x14ac:dyDescent="0.2">
      <c r="B6570" s="39">
        <f t="shared" si="50"/>
      </c>
      <c r="C6570" s="40">
        <f>IF(Inputs!$C$60,Inputs!$C$11+(B6570-Inputs!$C$69)/Inputs!$C$70,"")</f>
      </c>
      <c r="D6570" s="15"/>
      <c r="E6570" s="15"/>
      <c r="F6570" s="11">
        <f t="shared" si="51"/>
      </c>
      <c r="G6570" s="22" cm="1">
        <f t="array" ref="G6570">IF(AND(Inputs!$C$60,Inputs!$C$61),INDEX(Utility_Rates!$C$29:$F$52,HOUR(C6570)+Inputs!$C$69,MATCH(INDEX(Utility_Rates!$K$6:$K$17,MONTH(C6570))&amp;IF(WEEKDAY(C6570,Inputs!$C$76)&lt;=Inputs!$C$74," weekday"," weekend"),Utility_Rates!$C$28:$F$28,Inputs!$C$68)),"")</f>
      </c>
      <c r="H6570" s="34"/>
      <c r="I6570" s="42">
        <f>IF(AND(ISNUMBER(D6570),ISNUMBER(H6570)),D6570*H6570*Inputs!$C$69,"")</f>
      </c>
      <c r="J6570" s="42">
        <f>IF(AND(ISNUMBER(F6570),ISNUMBER(H6570),F6570&gt;=Inputs!$C$68),F6570*H6570*Inputs!$C$69,"")</f>
      </c>
    </row>
    <row r="6571" spans="2:10" ht="15" customHeight="1" x14ac:dyDescent="0.2">
      <c r="B6571" s="39">
        <f t="shared" si="50"/>
      </c>
      <c r="C6571" s="40">
        <f>IF(Inputs!$C$60,Inputs!$C$11+(B6571-Inputs!$C$69)/Inputs!$C$70,"")</f>
      </c>
      <c r="D6571" s="15"/>
      <c r="E6571" s="15"/>
      <c r="F6571" s="11">
        <f t="shared" si="51"/>
      </c>
      <c r="G6571" s="22" cm="1">
        <f t="array" ref="G6571">IF(AND(Inputs!$C$60,Inputs!$C$61),INDEX(Utility_Rates!$C$29:$F$52,HOUR(C6571)+Inputs!$C$69,MATCH(INDEX(Utility_Rates!$K$6:$K$17,MONTH(C6571))&amp;IF(WEEKDAY(C6571,Inputs!$C$76)&lt;=Inputs!$C$74," weekday"," weekend"),Utility_Rates!$C$28:$F$28,Inputs!$C$68)),"")</f>
      </c>
      <c r="H6571" s="34"/>
      <c r="I6571" s="42">
        <f>IF(AND(ISNUMBER(D6571),ISNUMBER(H6571)),D6571*H6571*Inputs!$C$69,"")</f>
      </c>
      <c r="J6571" s="42">
        <f>IF(AND(ISNUMBER(F6571),ISNUMBER(H6571),F6571&gt;=Inputs!$C$68),F6571*H6571*Inputs!$C$69,"")</f>
      </c>
    </row>
    <row r="6572" spans="2:10" ht="15" customHeight="1" x14ac:dyDescent="0.2">
      <c r="B6572" s="39">
        <f t="shared" si="50"/>
      </c>
      <c r="C6572" s="40">
        <f>IF(Inputs!$C$60,Inputs!$C$11+(B6572-Inputs!$C$69)/Inputs!$C$70,"")</f>
      </c>
      <c r="D6572" s="15"/>
      <c r="E6572" s="15"/>
      <c r="F6572" s="11">
        <f t="shared" si="51"/>
      </c>
      <c r="G6572" s="22" cm="1">
        <f t="array" ref="G6572">IF(AND(Inputs!$C$60,Inputs!$C$61),INDEX(Utility_Rates!$C$29:$F$52,HOUR(C6572)+Inputs!$C$69,MATCH(INDEX(Utility_Rates!$K$6:$K$17,MONTH(C6572))&amp;IF(WEEKDAY(C6572,Inputs!$C$76)&lt;=Inputs!$C$74," weekday"," weekend"),Utility_Rates!$C$28:$F$28,Inputs!$C$68)),"")</f>
      </c>
      <c r="H6572" s="34"/>
      <c r="I6572" s="42">
        <f>IF(AND(ISNUMBER(D6572),ISNUMBER(H6572)),D6572*H6572*Inputs!$C$69,"")</f>
      </c>
      <c r="J6572" s="42">
        <f>IF(AND(ISNUMBER(F6572),ISNUMBER(H6572),F6572&gt;=Inputs!$C$68),F6572*H6572*Inputs!$C$69,"")</f>
      </c>
    </row>
    <row r="6573" spans="2:10" ht="15" customHeight="1" x14ac:dyDescent="0.2">
      <c r="B6573" s="39">
        <f t="shared" si="50"/>
      </c>
      <c r="C6573" s="40">
        <f>IF(Inputs!$C$60,Inputs!$C$11+(B6573-Inputs!$C$69)/Inputs!$C$70,"")</f>
      </c>
      <c r="D6573" s="15"/>
      <c r="E6573" s="15"/>
      <c r="F6573" s="11">
        <f t="shared" si="51"/>
      </c>
      <c r="G6573" s="22" cm="1">
        <f t="array" ref="G6573">IF(AND(Inputs!$C$60,Inputs!$C$61),INDEX(Utility_Rates!$C$29:$F$52,HOUR(C6573)+Inputs!$C$69,MATCH(INDEX(Utility_Rates!$K$6:$K$17,MONTH(C6573))&amp;IF(WEEKDAY(C6573,Inputs!$C$76)&lt;=Inputs!$C$74," weekday"," weekend"),Utility_Rates!$C$28:$F$28,Inputs!$C$68)),"")</f>
      </c>
      <c r="H6573" s="34"/>
      <c r="I6573" s="42">
        <f>IF(AND(ISNUMBER(D6573),ISNUMBER(H6573)),D6573*H6573*Inputs!$C$69,"")</f>
      </c>
      <c r="J6573" s="42">
        <f>IF(AND(ISNUMBER(F6573),ISNUMBER(H6573),F6573&gt;=Inputs!$C$68),F6573*H6573*Inputs!$C$69,"")</f>
      </c>
    </row>
    <row r="6574" spans="2:10" ht="15" customHeight="1" x14ac:dyDescent="0.2">
      <c r="B6574" s="39">
        <f t="shared" si="50"/>
      </c>
      <c r="C6574" s="40">
        <f>IF(Inputs!$C$60,Inputs!$C$11+(B6574-Inputs!$C$69)/Inputs!$C$70,"")</f>
      </c>
      <c r="D6574" s="15"/>
      <c r="E6574" s="15"/>
      <c r="F6574" s="11">
        <f t="shared" si="51"/>
      </c>
      <c r="G6574" s="22" cm="1">
        <f t="array" ref="G6574">IF(AND(Inputs!$C$60,Inputs!$C$61),INDEX(Utility_Rates!$C$29:$F$52,HOUR(C6574)+Inputs!$C$69,MATCH(INDEX(Utility_Rates!$K$6:$K$17,MONTH(C6574))&amp;IF(WEEKDAY(C6574,Inputs!$C$76)&lt;=Inputs!$C$74," weekday"," weekend"),Utility_Rates!$C$28:$F$28,Inputs!$C$68)),"")</f>
      </c>
      <c r="H6574" s="34"/>
      <c r="I6574" s="42">
        <f>IF(AND(ISNUMBER(D6574),ISNUMBER(H6574)),D6574*H6574*Inputs!$C$69,"")</f>
      </c>
      <c r="J6574" s="42">
        <f>IF(AND(ISNUMBER(F6574),ISNUMBER(H6574),F6574&gt;=Inputs!$C$68),F6574*H6574*Inputs!$C$69,"")</f>
      </c>
    </row>
    <row r="6575" spans="2:10" ht="15" customHeight="1" x14ac:dyDescent="0.2">
      <c r="B6575" s="39">
        <f t="shared" si="50"/>
      </c>
      <c r="C6575" s="40">
        <f>IF(Inputs!$C$60,Inputs!$C$11+(B6575-Inputs!$C$69)/Inputs!$C$70,"")</f>
      </c>
      <c r="D6575" s="15"/>
      <c r="E6575" s="15"/>
      <c r="F6575" s="11">
        <f t="shared" si="51"/>
      </c>
      <c r="G6575" s="22" cm="1">
        <f t="array" ref="G6575">IF(AND(Inputs!$C$60,Inputs!$C$61),INDEX(Utility_Rates!$C$29:$F$52,HOUR(C6575)+Inputs!$C$69,MATCH(INDEX(Utility_Rates!$K$6:$K$17,MONTH(C6575))&amp;IF(WEEKDAY(C6575,Inputs!$C$76)&lt;=Inputs!$C$74," weekday"," weekend"),Utility_Rates!$C$28:$F$28,Inputs!$C$68)),"")</f>
      </c>
      <c r="H6575" s="34"/>
      <c r="I6575" s="42">
        <f>IF(AND(ISNUMBER(D6575),ISNUMBER(H6575)),D6575*H6575*Inputs!$C$69,"")</f>
      </c>
      <c r="J6575" s="42">
        <f>IF(AND(ISNUMBER(F6575),ISNUMBER(H6575),F6575&gt;=Inputs!$C$68),F6575*H6575*Inputs!$C$69,"")</f>
      </c>
    </row>
    <row r="6576" spans="2:10" ht="15" customHeight="1" x14ac:dyDescent="0.2">
      <c r="B6576" s="39">
        <f t="shared" si="50"/>
      </c>
      <c r="C6576" s="40">
        <f>IF(Inputs!$C$60,Inputs!$C$11+(B6576-Inputs!$C$69)/Inputs!$C$70,"")</f>
      </c>
      <c r="D6576" s="15"/>
      <c r="E6576" s="15"/>
      <c r="F6576" s="11">
        <f t="shared" si="51"/>
      </c>
      <c r="G6576" s="22" cm="1">
        <f t="array" ref="G6576">IF(AND(Inputs!$C$60,Inputs!$C$61),INDEX(Utility_Rates!$C$29:$F$52,HOUR(C6576)+Inputs!$C$69,MATCH(INDEX(Utility_Rates!$K$6:$K$17,MONTH(C6576))&amp;IF(WEEKDAY(C6576,Inputs!$C$76)&lt;=Inputs!$C$74," weekday"," weekend"),Utility_Rates!$C$28:$F$28,Inputs!$C$68)),"")</f>
      </c>
      <c r="H6576" s="34"/>
      <c r="I6576" s="42">
        <f>IF(AND(ISNUMBER(D6576),ISNUMBER(H6576)),D6576*H6576*Inputs!$C$69,"")</f>
      </c>
      <c r="J6576" s="42">
        <f>IF(AND(ISNUMBER(F6576),ISNUMBER(H6576),F6576&gt;=Inputs!$C$68),F6576*H6576*Inputs!$C$69,"")</f>
      </c>
    </row>
    <row r="6577" spans="2:10" ht="15" customHeight="1" x14ac:dyDescent="0.2">
      <c r="B6577" s="39">
        <f t="shared" si="50"/>
      </c>
      <c r="C6577" s="40">
        <f>IF(Inputs!$C$60,Inputs!$C$11+(B6577-Inputs!$C$69)/Inputs!$C$70,"")</f>
      </c>
      <c r="D6577" s="15"/>
      <c r="E6577" s="15"/>
      <c r="F6577" s="11">
        <f t="shared" si="51"/>
      </c>
      <c r="G6577" s="22" cm="1">
        <f t="array" ref="G6577">IF(AND(Inputs!$C$60,Inputs!$C$61),INDEX(Utility_Rates!$C$29:$F$52,HOUR(C6577)+Inputs!$C$69,MATCH(INDEX(Utility_Rates!$K$6:$K$17,MONTH(C6577))&amp;IF(WEEKDAY(C6577,Inputs!$C$76)&lt;=Inputs!$C$74," weekday"," weekend"),Utility_Rates!$C$28:$F$28,Inputs!$C$68)),"")</f>
      </c>
      <c r="H6577" s="34"/>
      <c r="I6577" s="42">
        <f>IF(AND(ISNUMBER(D6577),ISNUMBER(H6577)),D6577*H6577*Inputs!$C$69,"")</f>
      </c>
      <c r="J6577" s="42">
        <f>IF(AND(ISNUMBER(F6577),ISNUMBER(H6577),F6577&gt;=Inputs!$C$68),F6577*H6577*Inputs!$C$69,"")</f>
      </c>
    </row>
    <row r="6578" spans="2:10" ht="15" customHeight="1" x14ac:dyDescent="0.2">
      <c r="B6578" s="39">
        <f t="shared" si="50"/>
      </c>
      <c r="C6578" s="40">
        <f>IF(Inputs!$C$60,Inputs!$C$11+(B6578-Inputs!$C$69)/Inputs!$C$70,"")</f>
      </c>
      <c r="D6578" s="15"/>
      <c r="E6578" s="15"/>
      <c r="F6578" s="11">
        <f t="shared" si="51"/>
      </c>
      <c r="G6578" s="22" cm="1">
        <f t="array" ref="G6578">IF(AND(Inputs!$C$60,Inputs!$C$61),INDEX(Utility_Rates!$C$29:$F$52,HOUR(C6578)+Inputs!$C$69,MATCH(INDEX(Utility_Rates!$K$6:$K$17,MONTH(C6578))&amp;IF(WEEKDAY(C6578,Inputs!$C$76)&lt;=Inputs!$C$74," weekday"," weekend"),Utility_Rates!$C$28:$F$28,Inputs!$C$68)),"")</f>
      </c>
      <c r="H6578" s="34"/>
      <c r="I6578" s="42">
        <f>IF(AND(ISNUMBER(D6578),ISNUMBER(H6578)),D6578*H6578*Inputs!$C$69,"")</f>
      </c>
      <c r="J6578" s="42">
        <f>IF(AND(ISNUMBER(F6578),ISNUMBER(H6578),F6578&gt;=Inputs!$C$68),F6578*H6578*Inputs!$C$69,"")</f>
      </c>
    </row>
    <row r="6579" spans="2:10" ht="15" customHeight="1" x14ac:dyDescent="0.2">
      <c r="B6579" s="39">
        <f t="shared" si="50"/>
      </c>
      <c r="C6579" s="40">
        <f>IF(Inputs!$C$60,Inputs!$C$11+(B6579-Inputs!$C$69)/Inputs!$C$70,"")</f>
      </c>
      <c r="D6579" s="15"/>
      <c r="E6579" s="15"/>
      <c r="F6579" s="11">
        <f t="shared" si="51"/>
      </c>
      <c r="G6579" s="22" cm="1">
        <f t="array" ref="G6579">IF(AND(Inputs!$C$60,Inputs!$C$61),INDEX(Utility_Rates!$C$29:$F$52,HOUR(C6579)+Inputs!$C$69,MATCH(INDEX(Utility_Rates!$K$6:$K$17,MONTH(C6579))&amp;IF(WEEKDAY(C6579,Inputs!$C$76)&lt;=Inputs!$C$74," weekday"," weekend"),Utility_Rates!$C$28:$F$28,Inputs!$C$68)),"")</f>
      </c>
      <c r="H6579" s="34"/>
      <c r="I6579" s="42">
        <f>IF(AND(ISNUMBER(D6579),ISNUMBER(H6579)),D6579*H6579*Inputs!$C$69,"")</f>
      </c>
      <c r="J6579" s="42">
        <f>IF(AND(ISNUMBER(F6579),ISNUMBER(H6579),F6579&gt;=Inputs!$C$68),F6579*H6579*Inputs!$C$69,"")</f>
      </c>
    </row>
    <row r="6580" spans="2:10" ht="15" customHeight="1" x14ac:dyDescent="0.2">
      <c r="B6580" s="39">
        <f t="shared" si="50"/>
      </c>
      <c r="C6580" s="40">
        <f>IF(Inputs!$C$60,Inputs!$C$11+(B6580-Inputs!$C$69)/Inputs!$C$70,"")</f>
      </c>
      <c r="D6580" s="15"/>
      <c r="E6580" s="15"/>
      <c r="F6580" s="11">
        <f t="shared" si="51"/>
      </c>
      <c r="G6580" s="22" cm="1">
        <f t="array" ref="G6580">IF(AND(Inputs!$C$60,Inputs!$C$61),INDEX(Utility_Rates!$C$29:$F$52,HOUR(C6580)+Inputs!$C$69,MATCH(INDEX(Utility_Rates!$K$6:$K$17,MONTH(C6580))&amp;IF(WEEKDAY(C6580,Inputs!$C$76)&lt;=Inputs!$C$74," weekday"," weekend"),Utility_Rates!$C$28:$F$28,Inputs!$C$68)),"")</f>
      </c>
      <c r="H6580" s="34"/>
      <c r="I6580" s="42">
        <f>IF(AND(ISNUMBER(D6580),ISNUMBER(H6580)),D6580*H6580*Inputs!$C$69,"")</f>
      </c>
      <c r="J6580" s="42">
        <f>IF(AND(ISNUMBER(F6580),ISNUMBER(H6580),F6580&gt;=Inputs!$C$68),F6580*H6580*Inputs!$C$69,"")</f>
      </c>
    </row>
    <row r="6581" spans="2:10" ht="15" customHeight="1" x14ac:dyDescent="0.2">
      <c r="B6581" s="39">
        <f t="shared" si="50"/>
      </c>
      <c r="C6581" s="40">
        <f>IF(Inputs!$C$60,Inputs!$C$11+(B6581-Inputs!$C$69)/Inputs!$C$70,"")</f>
      </c>
      <c r="D6581" s="15"/>
      <c r="E6581" s="15"/>
      <c r="F6581" s="11">
        <f t="shared" si="51"/>
      </c>
      <c r="G6581" s="22" cm="1">
        <f t="array" ref="G6581">IF(AND(Inputs!$C$60,Inputs!$C$61),INDEX(Utility_Rates!$C$29:$F$52,HOUR(C6581)+Inputs!$C$69,MATCH(INDEX(Utility_Rates!$K$6:$K$17,MONTH(C6581))&amp;IF(WEEKDAY(C6581,Inputs!$C$76)&lt;=Inputs!$C$74," weekday"," weekend"),Utility_Rates!$C$28:$F$28,Inputs!$C$68)),"")</f>
      </c>
      <c r="H6581" s="34"/>
      <c r="I6581" s="42">
        <f>IF(AND(ISNUMBER(D6581),ISNUMBER(H6581)),D6581*H6581*Inputs!$C$69,"")</f>
      </c>
      <c r="J6581" s="42">
        <f>IF(AND(ISNUMBER(F6581),ISNUMBER(H6581),F6581&gt;=Inputs!$C$68),F6581*H6581*Inputs!$C$69,"")</f>
      </c>
    </row>
    <row r="6582" spans="2:10" ht="15" customHeight="1" x14ac:dyDescent="0.2">
      <c r="B6582" s="39">
        <f t="shared" si="50"/>
      </c>
      <c r="C6582" s="40">
        <f>IF(Inputs!$C$60,Inputs!$C$11+(B6582-Inputs!$C$69)/Inputs!$C$70,"")</f>
      </c>
      <c r="D6582" s="15"/>
      <c r="E6582" s="15"/>
      <c r="F6582" s="11">
        <f t="shared" si="51"/>
      </c>
      <c r="G6582" s="22" cm="1">
        <f t="array" ref="G6582">IF(AND(Inputs!$C$60,Inputs!$C$61),INDEX(Utility_Rates!$C$29:$F$52,HOUR(C6582)+Inputs!$C$69,MATCH(INDEX(Utility_Rates!$K$6:$K$17,MONTH(C6582))&amp;IF(WEEKDAY(C6582,Inputs!$C$76)&lt;=Inputs!$C$74," weekday"," weekend"),Utility_Rates!$C$28:$F$28,Inputs!$C$68)),"")</f>
      </c>
      <c r="H6582" s="34"/>
      <c r="I6582" s="42">
        <f>IF(AND(ISNUMBER(D6582),ISNUMBER(H6582)),D6582*H6582*Inputs!$C$69,"")</f>
      </c>
      <c r="J6582" s="42">
        <f>IF(AND(ISNUMBER(F6582),ISNUMBER(H6582),F6582&gt;=Inputs!$C$68),F6582*H6582*Inputs!$C$69,"")</f>
      </c>
    </row>
    <row r="6583" spans="2:10" ht="15" customHeight="1" x14ac:dyDescent="0.2">
      <c r="B6583" s="39">
        <f t="shared" si="50"/>
      </c>
      <c r="C6583" s="40">
        <f>IF(Inputs!$C$60,Inputs!$C$11+(B6583-Inputs!$C$69)/Inputs!$C$70,"")</f>
      </c>
      <c r="D6583" s="15"/>
      <c r="E6583" s="15"/>
      <c r="F6583" s="11">
        <f t="shared" si="51"/>
      </c>
      <c r="G6583" s="22" cm="1">
        <f t="array" ref="G6583">IF(AND(Inputs!$C$60,Inputs!$C$61),INDEX(Utility_Rates!$C$29:$F$52,HOUR(C6583)+Inputs!$C$69,MATCH(INDEX(Utility_Rates!$K$6:$K$17,MONTH(C6583))&amp;IF(WEEKDAY(C6583,Inputs!$C$76)&lt;=Inputs!$C$74," weekday"," weekend"),Utility_Rates!$C$28:$F$28,Inputs!$C$68)),"")</f>
      </c>
      <c r="H6583" s="34"/>
      <c r="I6583" s="42">
        <f>IF(AND(ISNUMBER(D6583),ISNUMBER(H6583)),D6583*H6583*Inputs!$C$69,"")</f>
      </c>
      <c r="J6583" s="42">
        <f>IF(AND(ISNUMBER(F6583),ISNUMBER(H6583),F6583&gt;=Inputs!$C$68),F6583*H6583*Inputs!$C$69,"")</f>
      </c>
    </row>
    <row r="6584" spans="2:10" ht="15" customHeight="1" x14ac:dyDescent="0.2">
      <c r="B6584" s="39">
        <f t="shared" si="50"/>
      </c>
      <c r="C6584" s="40">
        <f>IF(Inputs!$C$60,Inputs!$C$11+(B6584-Inputs!$C$69)/Inputs!$C$70,"")</f>
      </c>
      <c r="D6584" s="15"/>
      <c r="E6584" s="15"/>
      <c r="F6584" s="11">
        <f t="shared" si="51"/>
      </c>
      <c r="G6584" s="22" cm="1">
        <f t="array" ref="G6584">IF(AND(Inputs!$C$60,Inputs!$C$61),INDEX(Utility_Rates!$C$29:$F$52,HOUR(C6584)+Inputs!$C$69,MATCH(INDEX(Utility_Rates!$K$6:$K$17,MONTH(C6584))&amp;IF(WEEKDAY(C6584,Inputs!$C$76)&lt;=Inputs!$C$74," weekday"," weekend"),Utility_Rates!$C$28:$F$28,Inputs!$C$68)),"")</f>
      </c>
      <c r="H6584" s="34"/>
      <c r="I6584" s="42">
        <f>IF(AND(ISNUMBER(D6584),ISNUMBER(H6584)),D6584*H6584*Inputs!$C$69,"")</f>
      </c>
      <c r="J6584" s="42">
        <f>IF(AND(ISNUMBER(F6584),ISNUMBER(H6584),F6584&gt;=Inputs!$C$68),F6584*H6584*Inputs!$C$69,"")</f>
      </c>
    </row>
    <row r="6585" spans="2:10" ht="15" customHeight="1" x14ac:dyDescent="0.2">
      <c r="B6585" s="39">
        <f t="shared" si="50"/>
      </c>
      <c r="C6585" s="40">
        <f>IF(Inputs!$C$60,Inputs!$C$11+(B6585-Inputs!$C$69)/Inputs!$C$70,"")</f>
      </c>
      <c r="D6585" s="15"/>
      <c r="E6585" s="15"/>
      <c r="F6585" s="11">
        <f t="shared" si="51"/>
      </c>
      <c r="G6585" s="22" cm="1">
        <f t="array" ref="G6585">IF(AND(Inputs!$C$60,Inputs!$C$61),INDEX(Utility_Rates!$C$29:$F$52,HOUR(C6585)+Inputs!$C$69,MATCH(INDEX(Utility_Rates!$K$6:$K$17,MONTH(C6585))&amp;IF(WEEKDAY(C6585,Inputs!$C$76)&lt;=Inputs!$C$74," weekday"," weekend"),Utility_Rates!$C$28:$F$28,Inputs!$C$68)),"")</f>
      </c>
      <c r="H6585" s="34"/>
      <c r="I6585" s="42">
        <f>IF(AND(ISNUMBER(D6585),ISNUMBER(H6585)),D6585*H6585*Inputs!$C$69,"")</f>
      </c>
      <c r="J6585" s="42">
        <f>IF(AND(ISNUMBER(F6585),ISNUMBER(H6585),F6585&gt;=Inputs!$C$68),F6585*H6585*Inputs!$C$69,"")</f>
      </c>
    </row>
    <row r="6586" spans="2:10" ht="15" customHeight="1" x14ac:dyDescent="0.2">
      <c r="B6586" s="39">
        <f t="shared" si="50"/>
      </c>
      <c r="C6586" s="40">
        <f>IF(Inputs!$C$60,Inputs!$C$11+(B6586-Inputs!$C$69)/Inputs!$C$70,"")</f>
      </c>
      <c r="D6586" s="15"/>
      <c r="E6586" s="15"/>
      <c r="F6586" s="11">
        <f t="shared" si="51"/>
      </c>
      <c r="G6586" s="22" cm="1">
        <f t="array" ref="G6586">IF(AND(Inputs!$C$60,Inputs!$C$61),INDEX(Utility_Rates!$C$29:$F$52,HOUR(C6586)+Inputs!$C$69,MATCH(INDEX(Utility_Rates!$K$6:$K$17,MONTH(C6586))&amp;IF(WEEKDAY(C6586,Inputs!$C$76)&lt;=Inputs!$C$74," weekday"," weekend"),Utility_Rates!$C$28:$F$28,Inputs!$C$68)),"")</f>
      </c>
      <c r="H6586" s="34"/>
      <c r="I6586" s="42">
        <f>IF(AND(ISNUMBER(D6586),ISNUMBER(H6586)),D6586*H6586*Inputs!$C$69,"")</f>
      </c>
      <c r="J6586" s="42">
        <f>IF(AND(ISNUMBER(F6586),ISNUMBER(H6586),F6586&gt;=Inputs!$C$68),F6586*H6586*Inputs!$C$69,"")</f>
      </c>
    </row>
    <row r="6587" spans="2:10" ht="15" customHeight="1" x14ac:dyDescent="0.2">
      <c r="B6587" s="39">
        <f t="shared" si="50"/>
      </c>
      <c r="C6587" s="40">
        <f>IF(Inputs!$C$60,Inputs!$C$11+(B6587-Inputs!$C$69)/Inputs!$C$70,"")</f>
      </c>
      <c r="D6587" s="15"/>
      <c r="E6587" s="15"/>
      <c r="F6587" s="11">
        <f t="shared" si="51"/>
      </c>
      <c r="G6587" s="22" cm="1">
        <f t="array" ref="G6587">IF(AND(Inputs!$C$60,Inputs!$C$61),INDEX(Utility_Rates!$C$29:$F$52,HOUR(C6587)+Inputs!$C$69,MATCH(INDEX(Utility_Rates!$K$6:$K$17,MONTH(C6587))&amp;IF(WEEKDAY(C6587,Inputs!$C$76)&lt;=Inputs!$C$74," weekday"," weekend"),Utility_Rates!$C$28:$F$28,Inputs!$C$68)),"")</f>
      </c>
      <c r="H6587" s="34"/>
      <c r="I6587" s="42">
        <f>IF(AND(ISNUMBER(D6587),ISNUMBER(H6587)),D6587*H6587*Inputs!$C$69,"")</f>
      </c>
      <c r="J6587" s="42">
        <f>IF(AND(ISNUMBER(F6587),ISNUMBER(H6587),F6587&gt;=Inputs!$C$68),F6587*H6587*Inputs!$C$69,"")</f>
      </c>
    </row>
    <row r="6588" spans="2:10" ht="15" customHeight="1" x14ac:dyDescent="0.2">
      <c r="B6588" s="39">
        <f t="shared" si="50"/>
      </c>
      <c r="C6588" s="40">
        <f>IF(Inputs!$C$60,Inputs!$C$11+(B6588-Inputs!$C$69)/Inputs!$C$70,"")</f>
      </c>
      <c r="D6588" s="15"/>
      <c r="E6588" s="15"/>
      <c r="F6588" s="11">
        <f t="shared" si="51"/>
      </c>
      <c r="G6588" s="22" cm="1">
        <f t="array" ref="G6588">IF(AND(Inputs!$C$60,Inputs!$C$61),INDEX(Utility_Rates!$C$29:$F$52,HOUR(C6588)+Inputs!$C$69,MATCH(INDEX(Utility_Rates!$K$6:$K$17,MONTH(C6588))&amp;IF(WEEKDAY(C6588,Inputs!$C$76)&lt;=Inputs!$C$74," weekday"," weekend"),Utility_Rates!$C$28:$F$28,Inputs!$C$68)),"")</f>
      </c>
      <c r="H6588" s="34"/>
      <c r="I6588" s="42">
        <f>IF(AND(ISNUMBER(D6588),ISNUMBER(H6588)),D6588*H6588*Inputs!$C$69,"")</f>
      </c>
      <c r="J6588" s="42">
        <f>IF(AND(ISNUMBER(F6588),ISNUMBER(H6588),F6588&gt;=Inputs!$C$68),F6588*H6588*Inputs!$C$69,"")</f>
      </c>
    </row>
    <row r="6589" spans="2:10" ht="15" customHeight="1" x14ac:dyDescent="0.2">
      <c r="B6589" s="39">
        <f t="shared" si="50"/>
      </c>
      <c r="C6589" s="40">
        <f>IF(Inputs!$C$60,Inputs!$C$11+(B6589-Inputs!$C$69)/Inputs!$C$70,"")</f>
      </c>
      <c r="D6589" s="15"/>
      <c r="E6589" s="15"/>
      <c r="F6589" s="11">
        <f t="shared" si="51"/>
      </c>
      <c r="G6589" s="22" cm="1">
        <f t="array" ref="G6589">IF(AND(Inputs!$C$60,Inputs!$C$61),INDEX(Utility_Rates!$C$29:$F$52,HOUR(C6589)+Inputs!$C$69,MATCH(INDEX(Utility_Rates!$K$6:$K$17,MONTH(C6589))&amp;IF(WEEKDAY(C6589,Inputs!$C$76)&lt;=Inputs!$C$74," weekday"," weekend"),Utility_Rates!$C$28:$F$28,Inputs!$C$68)),"")</f>
      </c>
      <c r="H6589" s="34"/>
      <c r="I6589" s="42">
        <f>IF(AND(ISNUMBER(D6589),ISNUMBER(H6589)),D6589*H6589*Inputs!$C$69,"")</f>
      </c>
      <c r="J6589" s="42">
        <f>IF(AND(ISNUMBER(F6589),ISNUMBER(H6589),F6589&gt;=Inputs!$C$68),F6589*H6589*Inputs!$C$69,"")</f>
      </c>
    </row>
    <row r="6590" spans="2:10" ht="15" customHeight="1" x14ac:dyDescent="0.2">
      <c r="B6590" s="39">
        <f t="shared" si="50"/>
      </c>
      <c r="C6590" s="40">
        <f>IF(Inputs!$C$60,Inputs!$C$11+(B6590-Inputs!$C$69)/Inputs!$C$70,"")</f>
      </c>
      <c r="D6590" s="15"/>
      <c r="E6590" s="15"/>
      <c r="F6590" s="11">
        <f t="shared" si="51"/>
      </c>
      <c r="G6590" s="22" cm="1">
        <f t="array" ref="G6590">IF(AND(Inputs!$C$60,Inputs!$C$61),INDEX(Utility_Rates!$C$29:$F$52,HOUR(C6590)+Inputs!$C$69,MATCH(INDEX(Utility_Rates!$K$6:$K$17,MONTH(C6590))&amp;IF(WEEKDAY(C6590,Inputs!$C$76)&lt;=Inputs!$C$74," weekday"," weekend"),Utility_Rates!$C$28:$F$28,Inputs!$C$68)),"")</f>
      </c>
      <c r="H6590" s="34"/>
      <c r="I6590" s="42">
        <f>IF(AND(ISNUMBER(D6590),ISNUMBER(H6590)),D6590*H6590*Inputs!$C$69,"")</f>
      </c>
      <c r="J6590" s="42">
        <f>IF(AND(ISNUMBER(F6590),ISNUMBER(H6590),F6590&gt;=Inputs!$C$68),F6590*H6590*Inputs!$C$69,"")</f>
      </c>
    </row>
    <row r="6591" spans="2:10" ht="15" customHeight="1" x14ac:dyDescent="0.2">
      <c r="B6591" s="39">
        <f t="shared" si="50"/>
      </c>
      <c r="C6591" s="40">
        <f>IF(Inputs!$C$60,Inputs!$C$11+(B6591-Inputs!$C$69)/Inputs!$C$70,"")</f>
      </c>
      <c r="D6591" s="15"/>
      <c r="E6591" s="15"/>
      <c r="F6591" s="11">
        <f t="shared" si="51"/>
      </c>
      <c r="G6591" s="22" cm="1">
        <f t="array" ref="G6591">IF(AND(Inputs!$C$60,Inputs!$C$61),INDEX(Utility_Rates!$C$29:$F$52,HOUR(C6591)+Inputs!$C$69,MATCH(INDEX(Utility_Rates!$K$6:$K$17,MONTH(C6591))&amp;IF(WEEKDAY(C6591,Inputs!$C$76)&lt;=Inputs!$C$74," weekday"," weekend"),Utility_Rates!$C$28:$F$28,Inputs!$C$68)),"")</f>
      </c>
      <c r="H6591" s="34"/>
      <c r="I6591" s="42">
        <f>IF(AND(ISNUMBER(D6591),ISNUMBER(H6591)),D6591*H6591*Inputs!$C$69,"")</f>
      </c>
      <c r="J6591" s="42">
        <f>IF(AND(ISNUMBER(F6591),ISNUMBER(H6591),F6591&gt;=Inputs!$C$68),F6591*H6591*Inputs!$C$69,"")</f>
      </c>
    </row>
    <row r="6592" spans="2:10" ht="15" customHeight="1" x14ac:dyDescent="0.2">
      <c r="B6592" s="39">
        <f t="shared" si="50"/>
      </c>
      <c r="C6592" s="40">
        <f>IF(Inputs!$C$60,Inputs!$C$11+(B6592-Inputs!$C$69)/Inputs!$C$70,"")</f>
      </c>
      <c r="D6592" s="15"/>
      <c r="E6592" s="15"/>
      <c r="F6592" s="11">
        <f t="shared" si="51"/>
      </c>
      <c r="G6592" s="22" cm="1">
        <f t="array" ref="G6592">IF(AND(Inputs!$C$60,Inputs!$C$61),INDEX(Utility_Rates!$C$29:$F$52,HOUR(C6592)+Inputs!$C$69,MATCH(INDEX(Utility_Rates!$K$6:$K$17,MONTH(C6592))&amp;IF(WEEKDAY(C6592,Inputs!$C$76)&lt;=Inputs!$C$74," weekday"," weekend"),Utility_Rates!$C$28:$F$28,Inputs!$C$68)),"")</f>
      </c>
      <c r="H6592" s="34"/>
      <c r="I6592" s="42">
        <f>IF(AND(ISNUMBER(D6592),ISNUMBER(H6592)),D6592*H6592*Inputs!$C$69,"")</f>
      </c>
      <c r="J6592" s="42">
        <f>IF(AND(ISNUMBER(F6592),ISNUMBER(H6592),F6592&gt;=Inputs!$C$68),F6592*H6592*Inputs!$C$69,"")</f>
      </c>
    </row>
    <row r="6593" spans="2:10" ht="15" customHeight="1" x14ac:dyDescent="0.2">
      <c r="B6593" s="39">
        <f t="shared" si="50"/>
      </c>
      <c r="C6593" s="40">
        <f>IF(Inputs!$C$60,Inputs!$C$11+(B6593-Inputs!$C$69)/Inputs!$C$70,"")</f>
      </c>
      <c r="D6593" s="15"/>
      <c r="E6593" s="15"/>
      <c r="F6593" s="11">
        <f t="shared" si="51"/>
      </c>
      <c r="G6593" s="22" cm="1">
        <f t="array" ref="G6593">IF(AND(Inputs!$C$60,Inputs!$C$61),INDEX(Utility_Rates!$C$29:$F$52,HOUR(C6593)+Inputs!$C$69,MATCH(INDEX(Utility_Rates!$K$6:$K$17,MONTH(C6593))&amp;IF(WEEKDAY(C6593,Inputs!$C$76)&lt;=Inputs!$C$74," weekday"," weekend"),Utility_Rates!$C$28:$F$28,Inputs!$C$68)),"")</f>
      </c>
      <c r="H6593" s="34"/>
      <c r="I6593" s="42">
        <f>IF(AND(ISNUMBER(D6593),ISNUMBER(H6593)),D6593*H6593*Inputs!$C$69,"")</f>
      </c>
      <c r="J6593" s="42">
        <f>IF(AND(ISNUMBER(F6593),ISNUMBER(H6593),F6593&gt;=Inputs!$C$68),F6593*H6593*Inputs!$C$69,"")</f>
      </c>
    </row>
    <row r="6594" spans="2:10" ht="15" customHeight="1" x14ac:dyDescent="0.2">
      <c r="B6594" s="39">
        <f t="shared" si="50"/>
      </c>
      <c r="C6594" s="40">
        <f>IF(Inputs!$C$60,Inputs!$C$11+(B6594-Inputs!$C$69)/Inputs!$C$70,"")</f>
      </c>
      <c r="D6594" s="15"/>
      <c r="E6594" s="15"/>
      <c r="F6594" s="11">
        <f t="shared" si="51"/>
      </c>
      <c r="G6594" s="22" cm="1">
        <f t="array" ref="G6594">IF(AND(Inputs!$C$60,Inputs!$C$61),INDEX(Utility_Rates!$C$29:$F$52,HOUR(C6594)+Inputs!$C$69,MATCH(INDEX(Utility_Rates!$K$6:$K$17,MONTH(C6594))&amp;IF(WEEKDAY(C6594,Inputs!$C$76)&lt;=Inputs!$C$74," weekday"," weekend"),Utility_Rates!$C$28:$F$28,Inputs!$C$68)),"")</f>
      </c>
      <c r="H6594" s="34"/>
      <c r="I6594" s="42">
        <f>IF(AND(ISNUMBER(D6594),ISNUMBER(H6594)),D6594*H6594*Inputs!$C$69,"")</f>
      </c>
      <c r="J6594" s="42">
        <f>IF(AND(ISNUMBER(F6594),ISNUMBER(H6594),F6594&gt;=Inputs!$C$68),F6594*H6594*Inputs!$C$69,"")</f>
      </c>
    </row>
    <row r="6595" spans="2:10" ht="15" customHeight="1" x14ac:dyDescent="0.2">
      <c r="B6595" s="39">
        <f t="shared" si="50"/>
      </c>
      <c r="C6595" s="40">
        <f>IF(Inputs!$C$60,Inputs!$C$11+(B6595-Inputs!$C$69)/Inputs!$C$70,"")</f>
      </c>
      <c r="D6595" s="15"/>
      <c r="E6595" s="15"/>
      <c r="F6595" s="11">
        <f t="shared" si="51"/>
      </c>
      <c r="G6595" s="22" cm="1">
        <f t="array" ref="G6595">IF(AND(Inputs!$C$60,Inputs!$C$61),INDEX(Utility_Rates!$C$29:$F$52,HOUR(C6595)+Inputs!$C$69,MATCH(INDEX(Utility_Rates!$K$6:$K$17,MONTH(C6595))&amp;IF(WEEKDAY(C6595,Inputs!$C$76)&lt;=Inputs!$C$74," weekday"," weekend"),Utility_Rates!$C$28:$F$28,Inputs!$C$68)),"")</f>
      </c>
      <c r="H6595" s="34"/>
      <c r="I6595" s="42">
        <f>IF(AND(ISNUMBER(D6595),ISNUMBER(H6595)),D6595*H6595*Inputs!$C$69,"")</f>
      </c>
      <c r="J6595" s="42">
        <f>IF(AND(ISNUMBER(F6595),ISNUMBER(H6595),F6595&gt;=Inputs!$C$68),F6595*H6595*Inputs!$C$69,"")</f>
      </c>
    </row>
    <row r="6596" spans="2:10" ht="15" customHeight="1" x14ac:dyDescent="0.2">
      <c r="B6596" s="39">
        <f t="shared" si="50"/>
      </c>
      <c r="C6596" s="40">
        <f>IF(Inputs!$C$60,Inputs!$C$11+(B6596-Inputs!$C$69)/Inputs!$C$70,"")</f>
      </c>
      <c r="D6596" s="15"/>
      <c r="E6596" s="15"/>
      <c r="F6596" s="11">
        <f t="shared" si="51"/>
      </c>
      <c r="G6596" s="22" cm="1">
        <f t="array" ref="G6596">IF(AND(Inputs!$C$60,Inputs!$C$61),INDEX(Utility_Rates!$C$29:$F$52,HOUR(C6596)+Inputs!$C$69,MATCH(INDEX(Utility_Rates!$K$6:$K$17,MONTH(C6596))&amp;IF(WEEKDAY(C6596,Inputs!$C$76)&lt;=Inputs!$C$74," weekday"," weekend"),Utility_Rates!$C$28:$F$28,Inputs!$C$68)),"")</f>
      </c>
      <c r="H6596" s="34"/>
      <c r="I6596" s="42">
        <f>IF(AND(ISNUMBER(D6596),ISNUMBER(H6596)),D6596*H6596*Inputs!$C$69,"")</f>
      </c>
      <c r="J6596" s="42">
        <f>IF(AND(ISNUMBER(F6596),ISNUMBER(H6596),F6596&gt;=Inputs!$C$68),F6596*H6596*Inputs!$C$69,"")</f>
      </c>
    </row>
    <row r="6597" spans="2:10" ht="15" customHeight="1" x14ac:dyDescent="0.2">
      <c r="B6597" s="39">
        <f t="shared" si="50"/>
      </c>
      <c r="C6597" s="40">
        <f>IF(Inputs!$C$60,Inputs!$C$11+(B6597-Inputs!$C$69)/Inputs!$C$70,"")</f>
      </c>
      <c r="D6597" s="15"/>
      <c r="E6597" s="15"/>
      <c r="F6597" s="11">
        <f t="shared" si="51"/>
      </c>
      <c r="G6597" s="22" cm="1">
        <f t="array" ref="G6597">IF(AND(Inputs!$C$60,Inputs!$C$61),INDEX(Utility_Rates!$C$29:$F$52,HOUR(C6597)+Inputs!$C$69,MATCH(INDEX(Utility_Rates!$K$6:$K$17,MONTH(C6597))&amp;IF(WEEKDAY(C6597,Inputs!$C$76)&lt;=Inputs!$C$74," weekday"," weekend"),Utility_Rates!$C$28:$F$28,Inputs!$C$68)),"")</f>
      </c>
      <c r="H6597" s="34"/>
      <c r="I6597" s="42">
        <f>IF(AND(ISNUMBER(D6597),ISNUMBER(H6597)),D6597*H6597*Inputs!$C$69,"")</f>
      </c>
      <c r="J6597" s="42">
        <f>IF(AND(ISNUMBER(F6597),ISNUMBER(H6597),F6597&gt;=Inputs!$C$68),F6597*H6597*Inputs!$C$69,"")</f>
      </c>
    </row>
    <row r="6598" spans="2:10" ht="15" customHeight="1" x14ac:dyDescent="0.2">
      <c r="B6598" s="39">
        <f t="shared" si="50"/>
      </c>
      <c r="C6598" s="40">
        <f>IF(Inputs!$C$60,Inputs!$C$11+(B6598-Inputs!$C$69)/Inputs!$C$70,"")</f>
      </c>
      <c r="D6598" s="15"/>
      <c r="E6598" s="15"/>
      <c r="F6598" s="11">
        <f t="shared" si="51"/>
      </c>
      <c r="G6598" s="22" cm="1">
        <f t="array" ref="G6598">IF(AND(Inputs!$C$60,Inputs!$C$61),INDEX(Utility_Rates!$C$29:$F$52,HOUR(C6598)+Inputs!$C$69,MATCH(INDEX(Utility_Rates!$K$6:$K$17,MONTH(C6598))&amp;IF(WEEKDAY(C6598,Inputs!$C$76)&lt;=Inputs!$C$74," weekday"," weekend"),Utility_Rates!$C$28:$F$28,Inputs!$C$68)),"")</f>
      </c>
      <c r="H6598" s="34"/>
      <c r="I6598" s="42">
        <f>IF(AND(ISNUMBER(D6598),ISNUMBER(H6598)),D6598*H6598*Inputs!$C$69,"")</f>
      </c>
      <c r="J6598" s="42">
        <f>IF(AND(ISNUMBER(F6598),ISNUMBER(H6598),F6598&gt;=Inputs!$C$68),F6598*H6598*Inputs!$C$69,"")</f>
      </c>
    </row>
    <row r="6599" spans="2:10" ht="15" customHeight="1" x14ac:dyDescent="0.2">
      <c r="B6599" s="39">
        <f t="shared" si="50"/>
      </c>
      <c r="C6599" s="40">
        <f>IF(Inputs!$C$60,Inputs!$C$11+(B6599-Inputs!$C$69)/Inputs!$C$70,"")</f>
      </c>
      <c r="D6599" s="15"/>
      <c r="E6599" s="15"/>
      <c r="F6599" s="11">
        <f t="shared" si="51"/>
      </c>
      <c r="G6599" s="22" cm="1">
        <f t="array" ref="G6599">IF(AND(Inputs!$C$60,Inputs!$C$61),INDEX(Utility_Rates!$C$29:$F$52,HOUR(C6599)+Inputs!$C$69,MATCH(INDEX(Utility_Rates!$K$6:$K$17,MONTH(C6599))&amp;IF(WEEKDAY(C6599,Inputs!$C$76)&lt;=Inputs!$C$74," weekday"," weekend"),Utility_Rates!$C$28:$F$28,Inputs!$C$68)),"")</f>
      </c>
      <c r="H6599" s="34"/>
      <c r="I6599" s="42">
        <f>IF(AND(ISNUMBER(D6599),ISNUMBER(H6599)),D6599*H6599*Inputs!$C$69,"")</f>
      </c>
      <c r="J6599" s="42">
        <f>IF(AND(ISNUMBER(F6599),ISNUMBER(H6599),F6599&gt;=Inputs!$C$68),F6599*H6599*Inputs!$C$69,"")</f>
      </c>
    </row>
    <row r="6600" spans="2:10" ht="15" customHeight="1" x14ac:dyDescent="0.2">
      <c r="B6600" s="39">
        <f t="shared" si="50"/>
      </c>
      <c r="C6600" s="40">
        <f>IF(Inputs!$C$60,Inputs!$C$11+(B6600-Inputs!$C$69)/Inputs!$C$70,"")</f>
      </c>
      <c r="D6600" s="15"/>
      <c r="E6600" s="15"/>
      <c r="F6600" s="11">
        <f t="shared" si="51"/>
      </c>
      <c r="G6600" s="22" cm="1">
        <f t="array" ref="G6600">IF(AND(Inputs!$C$60,Inputs!$C$61),INDEX(Utility_Rates!$C$29:$F$52,HOUR(C6600)+Inputs!$C$69,MATCH(INDEX(Utility_Rates!$K$6:$K$17,MONTH(C6600))&amp;IF(WEEKDAY(C6600,Inputs!$C$76)&lt;=Inputs!$C$74," weekday"," weekend"),Utility_Rates!$C$28:$F$28,Inputs!$C$68)),"")</f>
      </c>
      <c r="H6600" s="34"/>
      <c r="I6600" s="42">
        <f>IF(AND(ISNUMBER(D6600),ISNUMBER(H6600)),D6600*H6600*Inputs!$C$69,"")</f>
      </c>
      <c r="J6600" s="42">
        <f>IF(AND(ISNUMBER(F6600),ISNUMBER(H6600),F6600&gt;=Inputs!$C$68),F6600*H6600*Inputs!$C$69,"")</f>
      </c>
    </row>
    <row r="6601" spans="2:10" ht="15" customHeight="1" x14ac:dyDescent="0.2">
      <c r="B6601" s="39">
        <f t="shared" si="50"/>
      </c>
      <c r="C6601" s="40">
        <f>IF(Inputs!$C$60,Inputs!$C$11+(B6601-Inputs!$C$69)/Inputs!$C$70,"")</f>
      </c>
      <c r="D6601" s="15"/>
      <c r="E6601" s="15"/>
      <c r="F6601" s="11">
        <f t="shared" si="51"/>
      </c>
      <c r="G6601" s="22" cm="1">
        <f t="array" ref="G6601">IF(AND(Inputs!$C$60,Inputs!$C$61),INDEX(Utility_Rates!$C$29:$F$52,HOUR(C6601)+Inputs!$C$69,MATCH(INDEX(Utility_Rates!$K$6:$K$17,MONTH(C6601))&amp;IF(WEEKDAY(C6601,Inputs!$C$76)&lt;=Inputs!$C$74," weekday"," weekend"),Utility_Rates!$C$28:$F$28,Inputs!$C$68)),"")</f>
      </c>
      <c r="H6601" s="34"/>
      <c r="I6601" s="42">
        <f>IF(AND(ISNUMBER(D6601),ISNUMBER(H6601)),D6601*H6601*Inputs!$C$69,"")</f>
      </c>
      <c r="J6601" s="42">
        <f>IF(AND(ISNUMBER(F6601),ISNUMBER(H6601),F6601&gt;=Inputs!$C$68),F6601*H6601*Inputs!$C$69,"")</f>
      </c>
    </row>
    <row r="6602" spans="2:10" ht="15" customHeight="1" x14ac:dyDescent="0.2">
      <c r="B6602" s="39">
        <f t="shared" si="50"/>
      </c>
      <c r="C6602" s="40">
        <f>IF(Inputs!$C$60,Inputs!$C$11+(B6602-Inputs!$C$69)/Inputs!$C$70,"")</f>
      </c>
      <c r="D6602" s="15"/>
      <c r="E6602" s="15"/>
      <c r="F6602" s="11">
        <f t="shared" si="51"/>
      </c>
      <c r="G6602" s="22" cm="1">
        <f t="array" ref="G6602">IF(AND(Inputs!$C$60,Inputs!$C$61),INDEX(Utility_Rates!$C$29:$F$52,HOUR(C6602)+Inputs!$C$69,MATCH(INDEX(Utility_Rates!$K$6:$K$17,MONTH(C6602))&amp;IF(WEEKDAY(C6602,Inputs!$C$76)&lt;=Inputs!$C$74," weekday"," weekend"),Utility_Rates!$C$28:$F$28,Inputs!$C$68)),"")</f>
      </c>
      <c r="H6602" s="34"/>
      <c r="I6602" s="42">
        <f>IF(AND(ISNUMBER(D6602),ISNUMBER(H6602)),D6602*H6602*Inputs!$C$69,"")</f>
      </c>
      <c r="J6602" s="42">
        <f>IF(AND(ISNUMBER(F6602),ISNUMBER(H6602),F6602&gt;=Inputs!$C$68),F6602*H6602*Inputs!$C$69,"")</f>
      </c>
    </row>
    <row r="6603" spans="2:10" ht="15" customHeight="1" x14ac:dyDescent="0.2">
      <c r="B6603" s="39">
        <f t="shared" si="50"/>
      </c>
      <c r="C6603" s="40">
        <f>IF(Inputs!$C$60,Inputs!$C$11+(B6603-Inputs!$C$69)/Inputs!$C$70,"")</f>
      </c>
      <c r="D6603" s="15"/>
      <c r="E6603" s="15"/>
      <c r="F6603" s="11">
        <f t="shared" si="51"/>
      </c>
      <c r="G6603" s="22" cm="1">
        <f t="array" ref="G6603">IF(AND(Inputs!$C$60,Inputs!$C$61),INDEX(Utility_Rates!$C$29:$F$52,HOUR(C6603)+Inputs!$C$69,MATCH(INDEX(Utility_Rates!$K$6:$K$17,MONTH(C6603))&amp;IF(WEEKDAY(C6603,Inputs!$C$76)&lt;=Inputs!$C$74," weekday"," weekend"),Utility_Rates!$C$28:$F$28,Inputs!$C$68)),"")</f>
      </c>
      <c r="H6603" s="34"/>
      <c r="I6603" s="42">
        <f>IF(AND(ISNUMBER(D6603),ISNUMBER(H6603)),D6603*H6603*Inputs!$C$69,"")</f>
      </c>
      <c r="J6603" s="42">
        <f>IF(AND(ISNUMBER(F6603),ISNUMBER(H6603),F6603&gt;=Inputs!$C$68),F6603*H6603*Inputs!$C$69,"")</f>
      </c>
    </row>
    <row r="6604" spans="2:10" ht="15" customHeight="1" x14ac:dyDescent="0.2">
      <c r="B6604" s="39">
        <f t="shared" si="50"/>
      </c>
      <c r="C6604" s="40">
        <f>IF(Inputs!$C$60,Inputs!$C$11+(B6604-Inputs!$C$69)/Inputs!$C$70,"")</f>
      </c>
      <c r="D6604" s="15"/>
      <c r="E6604" s="15"/>
      <c r="F6604" s="11">
        <f t="shared" si="51"/>
      </c>
      <c r="G6604" s="22" cm="1">
        <f t="array" ref="G6604">IF(AND(Inputs!$C$60,Inputs!$C$61),INDEX(Utility_Rates!$C$29:$F$52,HOUR(C6604)+Inputs!$C$69,MATCH(INDEX(Utility_Rates!$K$6:$K$17,MONTH(C6604))&amp;IF(WEEKDAY(C6604,Inputs!$C$76)&lt;=Inputs!$C$74," weekday"," weekend"),Utility_Rates!$C$28:$F$28,Inputs!$C$68)),"")</f>
      </c>
      <c r="H6604" s="34"/>
      <c r="I6604" s="42">
        <f>IF(AND(ISNUMBER(D6604),ISNUMBER(H6604)),D6604*H6604*Inputs!$C$69,"")</f>
      </c>
      <c r="J6604" s="42">
        <f>IF(AND(ISNUMBER(F6604),ISNUMBER(H6604),F6604&gt;=Inputs!$C$68),F6604*H6604*Inputs!$C$69,"")</f>
      </c>
    </row>
    <row r="6605" spans="2:10" ht="15" customHeight="1" x14ac:dyDescent="0.2">
      <c r="B6605" s="39">
        <f t="shared" si="50"/>
      </c>
      <c r="C6605" s="40">
        <f>IF(Inputs!$C$60,Inputs!$C$11+(B6605-Inputs!$C$69)/Inputs!$C$70,"")</f>
      </c>
      <c r="D6605" s="15"/>
      <c r="E6605" s="15"/>
      <c r="F6605" s="11">
        <f t="shared" si="51"/>
      </c>
      <c r="G6605" s="22" cm="1">
        <f t="array" ref="G6605">IF(AND(Inputs!$C$60,Inputs!$C$61),INDEX(Utility_Rates!$C$29:$F$52,HOUR(C6605)+Inputs!$C$69,MATCH(INDEX(Utility_Rates!$K$6:$K$17,MONTH(C6605))&amp;IF(WEEKDAY(C6605,Inputs!$C$76)&lt;=Inputs!$C$74," weekday"," weekend"),Utility_Rates!$C$28:$F$28,Inputs!$C$68)),"")</f>
      </c>
      <c r="H6605" s="34"/>
      <c r="I6605" s="42">
        <f>IF(AND(ISNUMBER(D6605),ISNUMBER(H6605)),D6605*H6605*Inputs!$C$69,"")</f>
      </c>
      <c r="J6605" s="42">
        <f>IF(AND(ISNUMBER(F6605),ISNUMBER(H6605),F6605&gt;=Inputs!$C$68),F6605*H6605*Inputs!$C$69,"")</f>
      </c>
    </row>
    <row r="6606" spans="2:10" ht="15" customHeight="1" x14ac:dyDescent="0.2">
      <c r="B6606" s="39">
        <f t="shared" si="50"/>
      </c>
      <c r="C6606" s="40">
        <f>IF(Inputs!$C$60,Inputs!$C$11+(B6606-Inputs!$C$69)/Inputs!$C$70,"")</f>
      </c>
      <c r="D6606" s="15"/>
      <c r="E6606" s="15"/>
      <c r="F6606" s="11">
        <f t="shared" si="51"/>
      </c>
      <c r="G6606" s="22" cm="1">
        <f t="array" ref="G6606">IF(AND(Inputs!$C$60,Inputs!$C$61),INDEX(Utility_Rates!$C$29:$F$52,HOUR(C6606)+Inputs!$C$69,MATCH(INDEX(Utility_Rates!$K$6:$K$17,MONTH(C6606))&amp;IF(WEEKDAY(C6606,Inputs!$C$76)&lt;=Inputs!$C$74," weekday"," weekend"),Utility_Rates!$C$28:$F$28,Inputs!$C$68)),"")</f>
      </c>
      <c r="H6606" s="34"/>
      <c r="I6606" s="42">
        <f>IF(AND(ISNUMBER(D6606),ISNUMBER(H6606)),D6606*H6606*Inputs!$C$69,"")</f>
      </c>
      <c r="J6606" s="42">
        <f>IF(AND(ISNUMBER(F6606),ISNUMBER(H6606),F6606&gt;=Inputs!$C$68),F6606*H6606*Inputs!$C$69,"")</f>
      </c>
    </row>
    <row r="6607" spans="2:10" ht="15" customHeight="1" x14ac:dyDescent="0.2">
      <c r="B6607" s="39">
        <f t="shared" si="50"/>
      </c>
      <c r="C6607" s="40">
        <f>IF(Inputs!$C$60,Inputs!$C$11+(B6607-Inputs!$C$69)/Inputs!$C$70,"")</f>
      </c>
      <c r="D6607" s="15"/>
      <c r="E6607" s="15"/>
      <c r="F6607" s="11">
        <f t="shared" si="51"/>
      </c>
      <c r="G6607" s="22" cm="1">
        <f t="array" ref="G6607">IF(AND(Inputs!$C$60,Inputs!$C$61),INDEX(Utility_Rates!$C$29:$F$52,HOUR(C6607)+Inputs!$C$69,MATCH(INDEX(Utility_Rates!$K$6:$K$17,MONTH(C6607))&amp;IF(WEEKDAY(C6607,Inputs!$C$76)&lt;=Inputs!$C$74," weekday"," weekend"),Utility_Rates!$C$28:$F$28,Inputs!$C$68)),"")</f>
      </c>
      <c r="H6607" s="34"/>
      <c r="I6607" s="42">
        <f>IF(AND(ISNUMBER(D6607),ISNUMBER(H6607)),D6607*H6607*Inputs!$C$69,"")</f>
      </c>
      <c r="J6607" s="42">
        <f>IF(AND(ISNUMBER(F6607),ISNUMBER(H6607),F6607&gt;=Inputs!$C$68),F6607*H6607*Inputs!$C$69,"")</f>
      </c>
    </row>
    <row r="6608" spans="2:10" ht="15" customHeight="1" x14ac:dyDescent="0.2">
      <c r="B6608" s="39">
        <f t="shared" si="50"/>
      </c>
      <c r="C6608" s="40">
        <f>IF(Inputs!$C$60,Inputs!$C$11+(B6608-Inputs!$C$69)/Inputs!$C$70,"")</f>
      </c>
      <c r="D6608" s="15"/>
      <c r="E6608" s="15"/>
      <c r="F6608" s="11">
        <f t="shared" si="51"/>
      </c>
      <c r="G6608" s="22" cm="1">
        <f t="array" ref="G6608">IF(AND(Inputs!$C$60,Inputs!$C$61),INDEX(Utility_Rates!$C$29:$F$52,HOUR(C6608)+Inputs!$C$69,MATCH(INDEX(Utility_Rates!$K$6:$K$17,MONTH(C6608))&amp;IF(WEEKDAY(C6608,Inputs!$C$76)&lt;=Inputs!$C$74," weekday"," weekend"),Utility_Rates!$C$28:$F$28,Inputs!$C$68)),"")</f>
      </c>
      <c r="H6608" s="34"/>
      <c r="I6608" s="42">
        <f>IF(AND(ISNUMBER(D6608),ISNUMBER(H6608)),D6608*H6608*Inputs!$C$69,"")</f>
      </c>
      <c r="J6608" s="42">
        <f>IF(AND(ISNUMBER(F6608),ISNUMBER(H6608),F6608&gt;=Inputs!$C$68),F6608*H6608*Inputs!$C$69,"")</f>
      </c>
    </row>
    <row r="6609" spans="2:10" ht="15" customHeight="1" x14ac:dyDescent="0.2">
      <c r="B6609" s="39">
        <f t="shared" si="50"/>
      </c>
      <c r="C6609" s="40">
        <f>IF(Inputs!$C$60,Inputs!$C$11+(B6609-Inputs!$C$69)/Inputs!$C$70,"")</f>
      </c>
      <c r="D6609" s="15"/>
      <c r="E6609" s="15"/>
      <c r="F6609" s="11">
        <f t="shared" si="51"/>
      </c>
      <c r="G6609" s="22" cm="1">
        <f t="array" ref="G6609">IF(AND(Inputs!$C$60,Inputs!$C$61),INDEX(Utility_Rates!$C$29:$F$52,HOUR(C6609)+Inputs!$C$69,MATCH(INDEX(Utility_Rates!$K$6:$K$17,MONTH(C6609))&amp;IF(WEEKDAY(C6609,Inputs!$C$76)&lt;=Inputs!$C$74," weekday"," weekend"),Utility_Rates!$C$28:$F$28,Inputs!$C$68)),"")</f>
      </c>
      <c r="H6609" s="34"/>
      <c r="I6609" s="42">
        <f>IF(AND(ISNUMBER(D6609),ISNUMBER(H6609)),D6609*H6609*Inputs!$C$69,"")</f>
      </c>
      <c r="J6609" s="42">
        <f>IF(AND(ISNUMBER(F6609),ISNUMBER(H6609),F6609&gt;=Inputs!$C$68),F6609*H6609*Inputs!$C$69,"")</f>
      </c>
    </row>
    <row r="6610" spans="2:10" ht="15" customHeight="1" x14ac:dyDescent="0.2">
      <c r="B6610" s="39">
        <f t="shared" si="50"/>
      </c>
      <c r="C6610" s="40">
        <f>IF(Inputs!$C$60,Inputs!$C$11+(B6610-Inputs!$C$69)/Inputs!$C$70,"")</f>
      </c>
      <c r="D6610" s="15"/>
      <c r="E6610" s="15"/>
      <c r="F6610" s="11">
        <f t="shared" si="51"/>
      </c>
      <c r="G6610" s="22" cm="1">
        <f t="array" ref="G6610">IF(AND(Inputs!$C$60,Inputs!$C$61),INDEX(Utility_Rates!$C$29:$F$52,HOUR(C6610)+Inputs!$C$69,MATCH(INDEX(Utility_Rates!$K$6:$K$17,MONTH(C6610))&amp;IF(WEEKDAY(C6610,Inputs!$C$76)&lt;=Inputs!$C$74," weekday"," weekend"),Utility_Rates!$C$28:$F$28,Inputs!$C$68)),"")</f>
      </c>
      <c r="H6610" s="34"/>
      <c r="I6610" s="42">
        <f>IF(AND(ISNUMBER(D6610),ISNUMBER(H6610)),D6610*H6610*Inputs!$C$69,"")</f>
      </c>
      <c r="J6610" s="42">
        <f>IF(AND(ISNUMBER(F6610),ISNUMBER(H6610),F6610&gt;=Inputs!$C$68),F6610*H6610*Inputs!$C$69,"")</f>
      </c>
    </row>
    <row r="6611" spans="2:10" ht="15" customHeight="1" x14ac:dyDescent="0.2">
      <c r="B6611" s="39">
        <f t="shared" si="50"/>
      </c>
      <c r="C6611" s="40">
        <f>IF(Inputs!$C$60,Inputs!$C$11+(B6611-Inputs!$C$69)/Inputs!$C$70,"")</f>
      </c>
      <c r="D6611" s="15"/>
      <c r="E6611" s="15"/>
      <c r="F6611" s="11">
        <f t="shared" si="51"/>
      </c>
      <c r="G6611" s="22" cm="1">
        <f t="array" ref="G6611">IF(AND(Inputs!$C$60,Inputs!$C$61),INDEX(Utility_Rates!$C$29:$F$52,HOUR(C6611)+Inputs!$C$69,MATCH(INDEX(Utility_Rates!$K$6:$K$17,MONTH(C6611))&amp;IF(WEEKDAY(C6611,Inputs!$C$76)&lt;=Inputs!$C$74," weekday"," weekend"),Utility_Rates!$C$28:$F$28,Inputs!$C$68)),"")</f>
      </c>
      <c r="H6611" s="34"/>
      <c r="I6611" s="42">
        <f>IF(AND(ISNUMBER(D6611),ISNUMBER(H6611)),D6611*H6611*Inputs!$C$69,"")</f>
      </c>
      <c r="J6611" s="42">
        <f>IF(AND(ISNUMBER(F6611),ISNUMBER(H6611),F6611&gt;=Inputs!$C$68),F6611*H6611*Inputs!$C$69,"")</f>
      </c>
    </row>
    <row r="6612" spans="2:10" ht="15" customHeight="1" x14ac:dyDescent="0.2">
      <c r="B6612" s="39">
        <f t="shared" si="50"/>
      </c>
      <c r="C6612" s="40">
        <f>IF(Inputs!$C$60,Inputs!$C$11+(B6612-Inputs!$C$69)/Inputs!$C$70,"")</f>
      </c>
      <c r="D6612" s="15"/>
      <c r="E6612" s="15"/>
      <c r="F6612" s="11">
        <f t="shared" si="51"/>
      </c>
      <c r="G6612" s="22" cm="1">
        <f t="array" ref="G6612">IF(AND(Inputs!$C$60,Inputs!$C$61),INDEX(Utility_Rates!$C$29:$F$52,HOUR(C6612)+Inputs!$C$69,MATCH(INDEX(Utility_Rates!$K$6:$K$17,MONTH(C6612))&amp;IF(WEEKDAY(C6612,Inputs!$C$76)&lt;=Inputs!$C$74," weekday"," weekend"),Utility_Rates!$C$28:$F$28,Inputs!$C$68)),"")</f>
      </c>
      <c r="H6612" s="34"/>
      <c r="I6612" s="42">
        <f>IF(AND(ISNUMBER(D6612),ISNUMBER(H6612)),D6612*H6612*Inputs!$C$69,"")</f>
      </c>
      <c r="J6612" s="42">
        <f>IF(AND(ISNUMBER(F6612),ISNUMBER(H6612),F6612&gt;=Inputs!$C$68),F6612*H6612*Inputs!$C$69,"")</f>
      </c>
    </row>
    <row r="6613" spans="2:10" ht="15" customHeight="1" x14ac:dyDescent="0.2">
      <c r="B6613" s="39">
        <f t="shared" si="50"/>
      </c>
      <c r="C6613" s="40">
        <f>IF(Inputs!$C$60,Inputs!$C$11+(B6613-Inputs!$C$69)/Inputs!$C$70,"")</f>
      </c>
      <c r="D6613" s="15"/>
      <c r="E6613" s="15"/>
      <c r="F6613" s="11">
        <f t="shared" si="51"/>
      </c>
      <c r="G6613" s="22" cm="1">
        <f t="array" ref="G6613">IF(AND(Inputs!$C$60,Inputs!$C$61),INDEX(Utility_Rates!$C$29:$F$52,HOUR(C6613)+Inputs!$C$69,MATCH(INDEX(Utility_Rates!$K$6:$K$17,MONTH(C6613))&amp;IF(WEEKDAY(C6613,Inputs!$C$76)&lt;=Inputs!$C$74," weekday"," weekend"),Utility_Rates!$C$28:$F$28,Inputs!$C$68)),"")</f>
      </c>
      <c r="H6613" s="34"/>
      <c r="I6613" s="42">
        <f>IF(AND(ISNUMBER(D6613),ISNUMBER(H6613)),D6613*H6613*Inputs!$C$69,"")</f>
      </c>
      <c r="J6613" s="42">
        <f>IF(AND(ISNUMBER(F6613),ISNUMBER(H6613),F6613&gt;=Inputs!$C$68),F6613*H6613*Inputs!$C$69,"")</f>
      </c>
    </row>
    <row r="6614" spans="2:10" ht="15" customHeight="1" x14ac:dyDescent="0.2">
      <c r="B6614" s="39">
        <f t="shared" si="50"/>
      </c>
      <c r="C6614" s="40">
        <f>IF(Inputs!$C$60,Inputs!$C$11+(B6614-Inputs!$C$69)/Inputs!$C$70,"")</f>
      </c>
      <c r="D6614" s="15"/>
      <c r="E6614" s="15"/>
      <c r="F6614" s="11">
        <f t="shared" si="51"/>
      </c>
      <c r="G6614" s="22" cm="1">
        <f t="array" ref="G6614">IF(AND(Inputs!$C$60,Inputs!$C$61),INDEX(Utility_Rates!$C$29:$F$52,HOUR(C6614)+Inputs!$C$69,MATCH(INDEX(Utility_Rates!$K$6:$K$17,MONTH(C6614))&amp;IF(WEEKDAY(C6614,Inputs!$C$76)&lt;=Inputs!$C$74," weekday"," weekend"),Utility_Rates!$C$28:$F$28,Inputs!$C$68)),"")</f>
      </c>
      <c r="H6614" s="34"/>
      <c r="I6614" s="42">
        <f>IF(AND(ISNUMBER(D6614),ISNUMBER(H6614)),D6614*H6614*Inputs!$C$69,"")</f>
      </c>
      <c r="J6614" s="42">
        <f>IF(AND(ISNUMBER(F6614),ISNUMBER(H6614),F6614&gt;=Inputs!$C$68),F6614*H6614*Inputs!$C$69,"")</f>
      </c>
    </row>
    <row r="6615" spans="2:10" ht="15" customHeight="1" x14ac:dyDescent="0.2">
      <c r="B6615" s="39">
        <f t="shared" si="50"/>
      </c>
      <c r="C6615" s="40">
        <f>IF(Inputs!$C$60,Inputs!$C$11+(B6615-Inputs!$C$69)/Inputs!$C$70,"")</f>
      </c>
      <c r="D6615" s="15"/>
      <c r="E6615" s="15"/>
      <c r="F6615" s="11">
        <f t="shared" si="51"/>
      </c>
      <c r="G6615" s="22" cm="1">
        <f t="array" ref="G6615">IF(AND(Inputs!$C$60,Inputs!$C$61),INDEX(Utility_Rates!$C$29:$F$52,HOUR(C6615)+Inputs!$C$69,MATCH(INDEX(Utility_Rates!$K$6:$K$17,MONTH(C6615))&amp;IF(WEEKDAY(C6615,Inputs!$C$76)&lt;=Inputs!$C$74," weekday"," weekend"),Utility_Rates!$C$28:$F$28,Inputs!$C$68)),"")</f>
      </c>
      <c r="H6615" s="34"/>
      <c r="I6615" s="42">
        <f>IF(AND(ISNUMBER(D6615),ISNUMBER(H6615)),D6615*H6615*Inputs!$C$69,"")</f>
      </c>
      <c r="J6615" s="42">
        <f>IF(AND(ISNUMBER(F6615),ISNUMBER(H6615),F6615&gt;=Inputs!$C$68),F6615*H6615*Inputs!$C$69,"")</f>
      </c>
    </row>
    <row r="6616" spans="2:10" ht="15" customHeight="1" x14ac:dyDescent="0.2">
      <c r="B6616" s="39">
        <f t="shared" si="50"/>
      </c>
      <c r="C6616" s="40">
        <f>IF(Inputs!$C$60,Inputs!$C$11+(B6616-Inputs!$C$69)/Inputs!$C$70,"")</f>
      </c>
      <c r="D6616" s="15"/>
      <c r="E6616" s="15"/>
      <c r="F6616" s="11">
        <f t="shared" si="51"/>
      </c>
      <c r="G6616" s="22" cm="1">
        <f t="array" ref="G6616">IF(AND(Inputs!$C$60,Inputs!$C$61),INDEX(Utility_Rates!$C$29:$F$52,HOUR(C6616)+Inputs!$C$69,MATCH(INDEX(Utility_Rates!$K$6:$K$17,MONTH(C6616))&amp;IF(WEEKDAY(C6616,Inputs!$C$76)&lt;=Inputs!$C$74," weekday"," weekend"),Utility_Rates!$C$28:$F$28,Inputs!$C$68)),"")</f>
      </c>
      <c r="H6616" s="34"/>
      <c r="I6616" s="42">
        <f>IF(AND(ISNUMBER(D6616),ISNUMBER(H6616)),D6616*H6616*Inputs!$C$69,"")</f>
      </c>
      <c r="J6616" s="42">
        <f>IF(AND(ISNUMBER(F6616),ISNUMBER(H6616),F6616&gt;=Inputs!$C$68),F6616*H6616*Inputs!$C$69,"")</f>
      </c>
    </row>
    <row r="6617" spans="2:10" ht="15" customHeight="1" x14ac:dyDescent="0.2">
      <c r="B6617" s="39">
        <f t="shared" si="50"/>
      </c>
      <c r="C6617" s="40">
        <f>IF(Inputs!$C$60,Inputs!$C$11+(B6617-Inputs!$C$69)/Inputs!$C$70,"")</f>
      </c>
      <c r="D6617" s="15"/>
      <c r="E6617" s="15"/>
      <c r="F6617" s="11">
        <f t="shared" si="51"/>
      </c>
      <c r="G6617" s="22" cm="1">
        <f t="array" ref="G6617">IF(AND(Inputs!$C$60,Inputs!$C$61),INDEX(Utility_Rates!$C$29:$F$52,HOUR(C6617)+Inputs!$C$69,MATCH(INDEX(Utility_Rates!$K$6:$K$17,MONTH(C6617))&amp;IF(WEEKDAY(C6617,Inputs!$C$76)&lt;=Inputs!$C$74," weekday"," weekend"),Utility_Rates!$C$28:$F$28,Inputs!$C$68)),"")</f>
      </c>
      <c r="H6617" s="34"/>
      <c r="I6617" s="42">
        <f>IF(AND(ISNUMBER(D6617),ISNUMBER(H6617)),D6617*H6617*Inputs!$C$69,"")</f>
      </c>
      <c r="J6617" s="42">
        <f>IF(AND(ISNUMBER(F6617),ISNUMBER(H6617),F6617&gt;=Inputs!$C$68),F6617*H6617*Inputs!$C$69,"")</f>
      </c>
    </row>
    <row r="6618" spans="2:10" ht="15" customHeight="1" x14ac:dyDescent="0.2">
      <c r="B6618" s="39">
        <f t="shared" si="50"/>
      </c>
      <c r="C6618" s="40">
        <f>IF(Inputs!$C$60,Inputs!$C$11+(B6618-Inputs!$C$69)/Inputs!$C$70,"")</f>
      </c>
      <c r="D6618" s="15"/>
      <c r="E6618" s="15"/>
      <c r="F6618" s="11">
        <f t="shared" si="51"/>
      </c>
      <c r="G6618" s="22" cm="1">
        <f t="array" ref="G6618">IF(AND(Inputs!$C$60,Inputs!$C$61),INDEX(Utility_Rates!$C$29:$F$52,HOUR(C6618)+Inputs!$C$69,MATCH(INDEX(Utility_Rates!$K$6:$K$17,MONTH(C6618))&amp;IF(WEEKDAY(C6618,Inputs!$C$76)&lt;=Inputs!$C$74," weekday"," weekend"),Utility_Rates!$C$28:$F$28,Inputs!$C$68)),"")</f>
      </c>
      <c r="H6618" s="34"/>
      <c r="I6618" s="42">
        <f>IF(AND(ISNUMBER(D6618),ISNUMBER(H6618)),D6618*H6618*Inputs!$C$69,"")</f>
      </c>
      <c r="J6618" s="42">
        <f>IF(AND(ISNUMBER(F6618),ISNUMBER(H6618),F6618&gt;=Inputs!$C$68),F6618*H6618*Inputs!$C$69,"")</f>
      </c>
    </row>
    <row r="6619" spans="2:10" ht="15" customHeight="1" x14ac:dyDescent="0.2">
      <c r="B6619" s="39">
        <f t="shared" si="50"/>
      </c>
      <c r="C6619" s="40">
        <f>IF(Inputs!$C$60,Inputs!$C$11+(B6619-Inputs!$C$69)/Inputs!$C$70,"")</f>
      </c>
      <c r="D6619" s="15"/>
      <c r="E6619" s="15"/>
      <c r="F6619" s="11">
        <f t="shared" si="51"/>
      </c>
      <c r="G6619" s="22" cm="1">
        <f t="array" ref="G6619">IF(AND(Inputs!$C$60,Inputs!$C$61),INDEX(Utility_Rates!$C$29:$F$52,HOUR(C6619)+Inputs!$C$69,MATCH(INDEX(Utility_Rates!$K$6:$K$17,MONTH(C6619))&amp;IF(WEEKDAY(C6619,Inputs!$C$76)&lt;=Inputs!$C$74," weekday"," weekend"),Utility_Rates!$C$28:$F$28,Inputs!$C$68)),"")</f>
      </c>
      <c r="H6619" s="34"/>
      <c r="I6619" s="42">
        <f>IF(AND(ISNUMBER(D6619),ISNUMBER(H6619)),D6619*H6619*Inputs!$C$69,"")</f>
      </c>
      <c r="J6619" s="42">
        <f>IF(AND(ISNUMBER(F6619),ISNUMBER(H6619),F6619&gt;=Inputs!$C$68),F6619*H6619*Inputs!$C$69,"")</f>
      </c>
    </row>
    <row r="6620" spans="2:10" ht="15" customHeight="1" x14ac:dyDescent="0.2">
      <c r="B6620" s="39">
        <f t="shared" si="50"/>
      </c>
      <c r="C6620" s="40">
        <f>IF(Inputs!$C$60,Inputs!$C$11+(B6620-Inputs!$C$69)/Inputs!$C$70,"")</f>
      </c>
      <c r="D6620" s="15"/>
      <c r="E6620" s="15"/>
      <c r="F6620" s="11">
        <f t="shared" si="51"/>
      </c>
      <c r="G6620" s="22" cm="1">
        <f t="array" ref="G6620">IF(AND(Inputs!$C$60,Inputs!$C$61),INDEX(Utility_Rates!$C$29:$F$52,HOUR(C6620)+Inputs!$C$69,MATCH(INDEX(Utility_Rates!$K$6:$K$17,MONTH(C6620))&amp;IF(WEEKDAY(C6620,Inputs!$C$76)&lt;=Inputs!$C$74," weekday"," weekend"),Utility_Rates!$C$28:$F$28,Inputs!$C$68)),"")</f>
      </c>
      <c r="H6620" s="34"/>
      <c r="I6620" s="42">
        <f>IF(AND(ISNUMBER(D6620),ISNUMBER(H6620)),D6620*H6620*Inputs!$C$69,"")</f>
      </c>
      <c r="J6620" s="42">
        <f>IF(AND(ISNUMBER(F6620),ISNUMBER(H6620),F6620&gt;=Inputs!$C$68),F6620*H6620*Inputs!$C$69,"")</f>
      </c>
    </row>
    <row r="6621" spans="2:10" ht="15" customHeight="1" x14ac:dyDescent="0.2">
      <c r="B6621" s="39">
        <f t="shared" si="50"/>
      </c>
      <c r="C6621" s="40">
        <f>IF(Inputs!$C$60,Inputs!$C$11+(B6621-Inputs!$C$69)/Inputs!$C$70,"")</f>
      </c>
      <c r="D6621" s="15"/>
      <c r="E6621" s="15"/>
      <c r="F6621" s="11">
        <f t="shared" si="51"/>
      </c>
      <c r="G6621" s="22" cm="1">
        <f t="array" ref="G6621">IF(AND(Inputs!$C$60,Inputs!$C$61),INDEX(Utility_Rates!$C$29:$F$52,HOUR(C6621)+Inputs!$C$69,MATCH(INDEX(Utility_Rates!$K$6:$K$17,MONTH(C6621))&amp;IF(WEEKDAY(C6621,Inputs!$C$76)&lt;=Inputs!$C$74," weekday"," weekend"),Utility_Rates!$C$28:$F$28,Inputs!$C$68)),"")</f>
      </c>
      <c r="H6621" s="34"/>
      <c r="I6621" s="42">
        <f>IF(AND(ISNUMBER(D6621),ISNUMBER(H6621)),D6621*H6621*Inputs!$C$69,"")</f>
      </c>
      <c r="J6621" s="42">
        <f>IF(AND(ISNUMBER(F6621),ISNUMBER(H6621),F6621&gt;=Inputs!$C$68),F6621*H6621*Inputs!$C$69,"")</f>
      </c>
    </row>
    <row r="6622" spans="2:10" ht="15" customHeight="1" x14ac:dyDescent="0.2">
      <c r="B6622" s="39">
        <f t="shared" si="50"/>
      </c>
      <c r="C6622" s="40">
        <f>IF(Inputs!$C$60,Inputs!$C$11+(B6622-Inputs!$C$69)/Inputs!$C$70,"")</f>
      </c>
      <c r="D6622" s="15"/>
      <c r="E6622" s="15"/>
      <c r="F6622" s="11">
        <f t="shared" si="51"/>
      </c>
      <c r="G6622" s="22" cm="1">
        <f t="array" ref="G6622">IF(AND(Inputs!$C$60,Inputs!$C$61),INDEX(Utility_Rates!$C$29:$F$52,HOUR(C6622)+Inputs!$C$69,MATCH(INDEX(Utility_Rates!$K$6:$K$17,MONTH(C6622))&amp;IF(WEEKDAY(C6622,Inputs!$C$76)&lt;=Inputs!$C$74," weekday"," weekend"),Utility_Rates!$C$28:$F$28,Inputs!$C$68)),"")</f>
      </c>
      <c r="H6622" s="34"/>
      <c r="I6622" s="42">
        <f>IF(AND(ISNUMBER(D6622),ISNUMBER(H6622)),D6622*H6622*Inputs!$C$69,"")</f>
      </c>
      <c r="J6622" s="42">
        <f>IF(AND(ISNUMBER(F6622),ISNUMBER(H6622),F6622&gt;=Inputs!$C$68),F6622*H6622*Inputs!$C$69,"")</f>
      </c>
    </row>
    <row r="6623" spans="2:10" ht="15" customHeight="1" x14ac:dyDescent="0.2">
      <c r="B6623" s="39">
        <f t="shared" si="50"/>
      </c>
      <c r="C6623" s="40">
        <f>IF(Inputs!$C$60,Inputs!$C$11+(B6623-Inputs!$C$69)/Inputs!$C$70,"")</f>
      </c>
      <c r="D6623" s="15"/>
      <c r="E6623" s="15"/>
      <c r="F6623" s="11">
        <f t="shared" si="51"/>
      </c>
      <c r="G6623" s="22" cm="1">
        <f t="array" ref="G6623">IF(AND(Inputs!$C$60,Inputs!$C$61),INDEX(Utility_Rates!$C$29:$F$52,HOUR(C6623)+Inputs!$C$69,MATCH(INDEX(Utility_Rates!$K$6:$K$17,MONTH(C6623))&amp;IF(WEEKDAY(C6623,Inputs!$C$76)&lt;=Inputs!$C$74," weekday"," weekend"),Utility_Rates!$C$28:$F$28,Inputs!$C$68)),"")</f>
      </c>
      <c r="H6623" s="34"/>
      <c r="I6623" s="42">
        <f>IF(AND(ISNUMBER(D6623),ISNUMBER(H6623)),D6623*H6623*Inputs!$C$69,"")</f>
      </c>
      <c r="J6623" s="42">
        <f>IF(AND(ISNUMBER(F6623),ISNUMBER(H6623),F6623&gt;=Inputs!$C$68),F6623*H6623*Inputs!$C$69,"")</f>
      </c>
    </row>
    <row r="6624" spans="2:10" ht="15" customHeight="1" x14ac:dyDescent="0.2">
      <c r="B6624" s="39">
        <f t="shared" si="50"/>
      </c>
      <c r="C6624" s="40">
        <f>IF(Inputs!$C$60,Inputs!$C$11+(B6624-Inputs!$C$69)/Inputs!$C$70,"")</f>
      </c>
      <c r="D6624" s="15"/>
      <c r="E6624" s="15"/>
      <c r="F6624" s="11">
        <f t="shared" si="51"/>
      </c>
      <c r="G6624" s="22" cm="1">
        <f t="array" ref="G6624">IF(AND(Inputs!$C$60,Inputs!$C$61),INDEX(Utility_Rates!$C$29:$F$52,HOUR(C6624)+Inputs!$C$69,MATCH(INDEX(Utility_Rates!$K$6:$K$17,MONTH(C6624))&amp;IF(WEEKDAY(C6624,Inputs!$C$76)&lt;=Inputs!$C$74," weekday"," weekend"),Utility_Rates!$C$28:$F$28,Inputs!$C$68)),"")</f>
      </c>
      <c r="H6624" s="34"/>
      <c r="I6624" s="42">
        <f>IF(AND(ISNUMBER(D6624),ISNUMBER(H6624)),D6624*H6624*Inputs!$C$69,"")</f>
      </c>
      <c r="J6624" s="42">
        <f>IF(AND(ISNUMBER(F6624),ISNUMBER(H6624),F6624&gt;=Inputs!$C$68),F6624*H6624*Inputs!$C$69,"")</f>
      </c>
    </row>
    <row r="6625" spans="2:10" ht="15" customHeight="1" x14ac:dyDescent="0.2">
      <c r="B6625" s="39">
        <f t="shared" si="50"/>
      </c>
      <c r="C6625" s="40">
        <f>IF(Inputs!$C$60,Inputs!$C$11+(B6625-Inputs!$C$69)/Inputs!$C$70,"")</f>
      </c>
      <c r="D6625" s="15"/>
      <c r="E6625" s="15"/>
      <c r="F6625" s="11">
        <f t="shared" si="51"/>
      </c>
      <c r="G6625" s="22" cm="1">
        <f t="array" ref="G6625">IF(AND(Inputs!$C$60,Inputs!$C$61),INDEX(Utility_Rates!$C$29:$F$52,HOUR(C6625)+Inputs!$C$69,MATCH(INDEX(Utility_Rates!$K$6:$K$17,MONTH(C6625))&amp;IF(WEEKDAY(C6625,Inputs!$C$76)&lt;=Inputs!$C$74," weekday"," weekend"),Utility_Rates!$C$28:$F$28,Inputs!$C$68)),"")</f>
      </c>
      <c r="H6625" s="34"/>
      <c r="I6625" s="42">
        <f>IF(AND(ISNUMBER(D6625),ISNUMBER(H6625)),D6625*H6625*Inputs!$C$69,"")</f>
      </c>
      <c r="J6625" s="42">
        <f>IF(AND(ISNUMBER(F6625),ISNUMBER(H6625),F6625&gt;=Inputs!$C$68),F6625*H6625*Inputs!$C$69,"")</f>
      </c>
    </row>
    <row r="6626" spans="2:10" ht="15" customHeight="1" x14ac:dyDescent="0.2">
      <c r="B6626" s="39">
        <f t="shared" si="50"/>
      </c>
      <c r="C6626" s="40">
        <f>IF(Inputs!$C$60,Inputs!$C$11+(B6626-Inputs!$C$69)/Inputs!$C$70,"")</f>
      </c>
      <c r="D6626" s="15"/>
      <c r="E6626" s="15"/>
      <c r="F6626" s="11">
        <f t="shared" si="51"/>
      </c>
      <c r="G6626" s="22" cm="1">
        <f t="array" ref="G6626">IF(AND(Inputs!$C$60,Inputs!$C$61),INDEX(Utility_Rates!$C$29:$F$52,HOUR(C6626)+Inputs!$C$69,MATCH(INDEX(Utility_Rates!$K$6:$K$17,MONTH(C6626))&amp;IF(WEEKDAY(C6626,Inputs!$C$76)&lt;=Inputs!$C$74," weekday"," weekend"),Utility_Rates!$C$28:$F$28,Inputs!$C$68)),"")</f>
      </c>
      <c r="H6626" s="34"/>
      <c r="I6626" s="42">
        <f>IF(AND(ISNUMBER(D6626),ISNUMBER(H6626)),D6626*H6626*Inputs!$C$69,"")</f>
      </c>
      <c r="J6626" s="42">
        <f>IF(AND(ISNUMBER(F6626),ISNUMBER(H6626),F6626&gt;=Inputs!$C$68),F6626*H6626*Inputs!$C$69,"")</f>
      </c>
    </row>
    <row r="6627" spans="2:10" ht="15" customHeight="1" x14ac:dyDescent="0.2">
      <c r="B6627" s="39">
        <f t="shared" si="50"/>
      </c>
      <c r="C6627" s="40">
        <f>IF(Inputs!$C$60,Inputs!$C$11+(B6627-Inputs!$C$69)/Inputs!$C$70,"")</f>
      </c>
      <c r="D6627" s="15"/>
      <c r="E6627" s="15"/>
      <c r="F6627" s="11">
        <f t="shared" si="51"/>
      </c>
      <c r="G6627" s="22" cm="1">
        <f t="array" ref="G6627">IF(AND(Inputs!$C$60,Inputs!$C$61),INDEX(Utility_Rates!$C$29:$F$52,HOUR(C6627)+Inputs!$C$69,MATCH(INDEX(Utility_Rates!$K$6:$K$17,MONTH(C6627))&amp;IF(WEEKDAY(C6627,Inputs!$C$76)&lt;=Inputs!$C$74," weekday"," weekend"),Utility_Rates!$C$28:$F$28,Inputs!$C$68)),"")</f>
      </c>
      <c r="H6627" s="34"/>
      <c r="I6627" s="42">
        <f>IF(AND(ISNUMBER(D6627),ISNUMBER(H6627)),D6627*H6627*Inputs!$C$69,"")</f>
      </c>
      <c r="J6627" s="42">
        <f>IF(AND(ISNUMBER(F6627),ISNUMBER(H6627),F6627&gt;=Inputs!$C$68),F6627*H6627*Inputs!$C$69,"")</f>
      </c>
    </row>
    <row r="6628" spans="2:10" ht="15" customHeight="1" x14ac:dyDescent="0.2">
      <c r="B6628" s="39">
        <f t="shared" si="50"/>
      </c>
      <c r="C6628" s="40">
        <f>IF(Inputs!$C$60,Inputs!$C$11+(B6628-Inputs!$C$69)/Inputs!$C$70,"")</f>
      </c>
      <c r="D6628" s="15"/>
      <c r="E6628" s="15"/>
      <c r="F6628" s="11">
        <f t="shared" si="51"/>
      </c>
      <c r="G6628" s="22" cm="1">
        <f t="array" ref="G6628">IF(AND(Inputs!$C$60,Inputs!$C$61),INDEX(Utility_Rates!$C$29:$F$52,HOUR(C6628)+Inputs!$C$69,MATCH(INDEX(Utility_Rates!$K$6:$K$17,MONTH(C6628))&amp;IF(WEEKDAY(C6628,Inputs!$C$76)&lt;=Inputs!$C$74," weekday"," weekend"),Utility_Rates!$C$28:$F$28,Inputs!$C$68)),"")</f>
      </c>
      <c r="H6628" s="34"/>
      <c r="I6628" s="42">
        <f>IF(AND(ISNUMBER(D6628),ISNUMBER(H6628)),D6628*H6628*Inputs!$C$69,"")</f>
      </c>
      <c r="J6628" s="42">
        <f>IF(AND(ISNUMBER(F6628),ISNUMBER(H6628),F6628&gt;=Inputs!$C$68),F6628*H6628*Inputs!$C$69,"")</f>
      </c>
    </row>
    <row r="6629" spans="2:10" ht="15" customHeight="1" x14ac:dyDescent="0.2">
      <c r="B6629" s="39">
        <f t="shared" si="50"/>
      </c>
      <c r="C6629" s="40">
        <f>IF(Inputs!$C$60,Inputs!$C$11+(B6629-Inputs!$C$69)/Inputs!$C$70,"")</f>
      </c>
      <c r="D6629" s="15"/>
      <c r="E6629" s="15"/>
      <c r="F6629" s="11">
        <f t="shared" si="51"/>
      </c>
      <c r="G6629" s="22" cm="1">
        <f t="array" ref="G6629">IF(AND(Inputs!$C$60,Inputs!$C$61),INDEX(Utility_Rates!$C$29:$F$52,HOUR(C6629)+Inputs!$C$69,MATCH(INDEX(Utility_Rates!$K$6:$K$17,MONTH(C6629))&amp;IF(WEEKDAY(C6629,Inputs!$C$76)&lt;=Inputs!$C$74," weekday"," weekend"),Utility_Rates!$C$28:$F$28,Inputs!$C$68)),"")</f>
      </c>
      <c r="H6629" s="34"/>
      <c r="I6629" s="42">
        <f>IF(AND(ISNUMBER(D6629),ISNUMBER(H6629)),D6629*H6629*Inputs!$C$69,"")</f>
      </c>
      <c r="J6629" s="42">
        <f>IF(AND(ISNUMBER(F6629),ISNUMBER(H6629),F6629&gt;=Inputs!$C$68),F6629*H6629*Inputs!$C$69,"")</f>
      </c>
    </row>
    <row r="6630" spans="2:10" ht="15" customHeight="1" x14ac:dyDescent="0.2">
      <c r="B6630" s="39">
        <f t="shared" si="50"/>
      </c>
      <c r="C6630" s="40">
        <f>IF(Inputs!$C$60,Inputs!$C$11+(B6630-Inputs!$C$69)/Inputs!$C$70,"")</f>
      </c>
      <c r="D6630" s="15"/>
      <c r="E6630" s="15"/>
      <c r="F6630" s="11">
        <f t="shared" si="51"/>
      </c>
      <c r="G6630" s="22" cm="1">
        <f t="array" ref="G6630">IF(AND(Inputs!$C$60,Inputs!$C$61),INDEX(Utility_Rates!$C$29:$F$52,HOUR(C6630)+Inputs!$C$69,MATCH(INDEX(Utility_Rates!$K$6:$K$17,MONTH(C6630))&amp;IF(WEEKDAY(C6630,Inputs!$C$76)&lt;=Inputs!$C$74," weekday"," weekend"),Utility_Rates!$C$28:$F$28,Inputs!$C$68)),"")</f>
      </c>
      <c r="H6630" s="34"/>
      <c r="I6630" s="42">
        <f>IF(AND(ISNUMBER(D6630),ISNUMBER(H6630)),D6630*H6630*Inputs!$C$69,"")</f>
      </c>
      <c r="J6630" s="42">
        <f>IF(AND(ISNUMBER(F6630),ISNUMBER(H6630),F6630&gt;=Inputs!$C$68),F6630*H6630*Inputs!$C$69,"")</f>
      </c>
    </row>
    <row r="6631" spans="2:10" ht="15" customHeight="1" x14ac:dyDescent="0.2">
      <c r="B6631" s="39">
        <f t="shared" si="50"/>
      </c>
      <c r="C6631" s="40">
        <f>IF(Inputs!$C$60,Inputs!$C$11+(B6631-Inputs!$C$69)/Inputs!$C$70,"")</f>
      </c>
      <c r="D6631" s="15"/>
      <c r="E6631" s="15"/>
      <c r="F6631" s="11">
        <f t="shared" si="51"/>
      </c>
      <c r="G6631" s="22" cm="1">
        <f t="array" ref="G6631">IF(AND(Inputs!$C$60,Inputs!$C$61),INDEX(Utility_Rates!$C$29:$F$52,HOUR(C6631)+Inputs!$C$69,MATCH(INDEX(Utility_Rates!$K$6:$K$17,MONTH(C6631))&amp;IF(WEEKDAY(C6631,Inputs!$C$76)&lt;=Inputs!$C$74," weekday"," weekend"),Utility_Rates!$C$28:$F$28,Inputs!$C$68)),"")</f>
      </c>
      <c r="H6631" s="34"/>
      <c r="I6631" s="42">
        <f>IF(AND(ISNUMBER(D6631),ISNUMBER(H6631)),D6631*H6631*Inputs!$C$69,"")</f>
      </c>
      <c r="J6631" s="42">
        <f>IF(AND(ISNUMBER(F6631),ISNUMBER(H6631),F6631&gt;=Inputs!$C$68),F6631*H6631*Inputs!$C$69,"")</f>
      </c>
    </row>
    <row r="6632" spans="2:10" ht="15" customHeight="1" x14ac:dyDescent="0.2">
      <c r="B6632" s="39">
        <f t="shared" si="50"/>
      </c>
      <c r="C6632" s="40">
        <f>IF(Inputs!$C$60,Inputs!$C$11+(B6632-Inputs!$C$69)/Inputs!$C$70,"")</f>
      </c>
      <c r="D6632" s="15"/>
      <c r="E6632" s="15"/>
      <c r="F6632" s="11">
        <f t="shared" si="51"/>
      </c>
      <c r="G6632" s="22" cm="1">
        <f t="array" ref="G6632">IF(AND(Inputs!$C$60,Inputs!$C$61),INDEX(Utility_Rates!$C$29:$F$52,HOUR(C6632)+Inputs!$C$69,MATCH(INDEX(Utility_Rates!$K$6:$K$17,MONTH(C6632))&amp;IF(WEEKDAY(C6632,Inputs!$C$76)&lt;=Inputs!$C$74," weekday"," weekend"),Utility_Rates!$C$28:$F$28,Inputs!$C$68)),"")</f>
      </c>
      <c r="H6632" s="34"/>
      <c r="I6632" s="42">
        <f>IF(AND(ISNUMBER(D6632),ISNUMBER(H6632)),D6632*H6632*Inputs!$C$69,"")</f>
      </c>
      <c r="J6632" s="42">
        <f>IF(AND(ISNUMBER(F6632),ISNUMBER(H6632),F6632&gt;=Inputs!$C$68),F6632*H6632*Inputs!$C$69,"")</f>
      </c>
    </row>
    <row r="6633" spans="2:10" ht="15" customHeight="1" x14ac:dyDescent="0.2">
      <c r="B6633" s="39">
        <f t="shared" si="50"/>
      </c>
      <c r="C6633" s="40">
        <f>IF(Inputs!$C$60,Inputs!$C$11+(B6633-Inputs!$C$69)/Inputs!$C$70,"")</f>
      </c>
      <c r="D6633" s="15"/>
      <c r="E6633" s="15"/>
      <c r="F6633" s="11">
        <f t="shared" si="51"/>
      </c>
      <c r="G6633" s="22" cm="1">
        <f t="array" ref="G6633">IF(AND(Inputs!$C$60,Inputs!$C$61),INDEX(Utility_Rates!$C$29:$F$52,HOUR(C6633)+Inputs!$C$69,MATCH(INDEX(Utility_Rates!$K$6:$K$17,MONTH(C6633))&amp;IF(WEEKDAY(C6633,Inputs!$C$76)&lt;=Inputs!$C$74," weekday"," weekend"),Utility_Rates!$C$28:$F$28,Inputs!$C$68)),"")</f>
      </c>
      <c r="H6633" s="34"/>
      <c r="I6633" s="42">
        <f>IF(AND(ISNUMBER(D6633),ISNUMBER(H6633)),D6633*H6633*Inputs!$C$69,"")</f>
      </c>
      <c r="J6633" s="42">
        <f>IF(AND(ISNUMBER(F6633),ISNUMBER(H6633),F6633&gt;=Inputs!$C$68),F6633*H6633*Inputs!$C$69,"")</f>
      </c>
    </row>
    <row r="6634" spans="2:10" ht="15" customHeight="1" x14ac:dyDescent="0.2">
      <c r="B6634" s="39">
        <f t="shared" si="50"/>
      </c>
      <c r="C6634" s="40">
        <f>IF(Inputs!$C$60,Inputs!$C$11+(B6634-Inputs!$C$69)/Inputs!$C$70,"")</f>
      </c>
      <c r="D6634" s="15"/>
      <c r="E6634" s="15"/>
      <c r="F6634" s="11">
        <f t="shared" si="51"/>
      </c>
      <c r="G6634" s="22" cm="1">
        <f t="array" ref="G6634">IF(AND(Inputs!$C$60,Inputs!$C$61),INDEX(Utility_Rates!$C$29:$F$52,HOUR(C6634)+Inputs!$C$69,MATCH(INDEX(Utility_Rates!$K$6:$K$17,MONTH(C6634))&amp;IF(WEEKDAY(C6634,Inputs!$C$76)&lt;=Inputs!$C$74," weekday"," weekend"),Utility_Rates!$C$28:$F$28,Inputs!$C$68)),"")</f>
      </c>
      <c r="H6634" s="34"/>
      <c r="I6634" s="42">
        <f>IF(AND(ISNUMBER(D6634),ISNUMBER(H6634)),D6634*H6634*Inputs!$C$69,"")</f>
      </c>
      <c r="J6634" s="42">
        <f>IF(AND(ISNUMBER(F6634),ISNUMBER(H6634),F6634&gt;=Inputs!$C$68),F6634*H6634*Inputs!$C$69,"")</f>
      </c>
    </row>
    <row r="6635" spans="2:10" ht="15" customHeight="1" x14ac:dyDescent="0.2">
      <c r="B6635" s="39">
        <f t="shared" si="50"/>
      </c>
      <c r="C6635" s="40">
        <f>IF(Inputs!$C$60,Inputs!$C$11+(B6635-Inputs!$C$69)/Inputs!$C$70,"")</f>
      </c>
      <c r="D6635" s="15"/>
      <c r="E6635" s="15"/>
      <c r="F6635" s="11">
        <f t="shared" si="51"/>
      </c>
      <c r="G6635" s="22" cm="1">
        <f t="array" ref="G6635">IF(AND(Inputs!$C$60,Inputs!$C$61),INDEX(Utility_Rates!$C$29:$F$52,HOUR(C6635)+Inputs!$C$69,MATCH(INDEX(Utility_Rates!$K$6:$K$17,MONTH(C6635))&amp;IF(WEEKDAY(C6635,Inputs!$C$76)&lt;=Inputs!$C$74," weekday"," weekend"),Utility_Rates!$C$28:$F$28,Inputs!$C$68)),"")</f>
      </c>
      <c r="H6635" s="34"/>
      <c r="I6635" s="42">
        <f>IF(AND(ISNUMBER(D6635),ISNUMBER(H6635)),D6635*H6635*Inputs!$C$69,"")</f>
      </c>
      <c r="J6635" s="42">
        <f>IF(AND(ISNUMBER(F6635),ISNUMBER(H6635),F6635&gt;=Inputs!$C$68),F6635*H6635*Inputs!$C$69,"")</f>
      </c>
    </row>
    <row r="6636" spans="2:10" ht="15" customHeight="1" x14ac:dyDescent="0.2">
      <c r="B6636" s="39">
        <f t="shared" ref="B6636:B6890" si="52">ROW()-ROW($B$5)</f>
      </c>
      <c r="C6636" s="40">
        <f>IF(Inputs!$C$60,Inputs!$C$11+(B6636-Inputs!$C$69)/Inputs!$C$70,"")</f>
      </c>
      <c r="D6636" s="15"/>
      <c r="E6636" s="15"/>
      <c r="F6636" s="11">
        <f t="shared" ref="F6636:F6890" si="53">IF(COUNT(D6636:E6636)=COLUMNS(D6636:E6636),D6636-E6636,"")</f>
      </c>
      <c r="G6636" s="22" cm="1">
        <f t="array" ref="G6636">IF(AND(Inputs!$C$60,Inputs!$C$61),INDEX(Utility_Rates!$C$29:$F$52,HOUR(C6636)+Inputs!$C$69,MATCH(INDEX(Utility_Rates!$K$6:$K$17,MONTH(C6636))&amp;IF(WEEKDAY(C6636,Inputs!$C$76)&lt;=Inputs!$C$74," weekday"," weekend"),Utility_Rates!$C$28:$F$28,Inputs!$C$68)),"")</f>
      </c>
      <c r="H6636" s="34"/>
      <c r="I6636" s="42">
        <f>IF(AND(ISNUMBER(D6636),ISNUMBER(H6636)),D6636*H6636*Inputs!$C$69,"")</f>
      </c>
      <c r="J6636" s="42">
        <f>IF(AND(ISNUMBER(F6636),ISNUMBER(H6636),F6636&gt;=Inputs!$C$68),F6636*H6636*Inputs!$C$69,"")</f>
      </c>
    </row>
    <row r="6637" spans="2:10" ht="15" customHeight="1" x14ac:dyDescent="0.2">
      <c r="B6637" s="39">
        <f t="shared" si="52"/>
      </c>
      <c r="C6637" s="40">
        <f>IF(Inputs!$C$60,Inputs!$C$11+(B6637-Inputs!$C$69)/Inputs!$C$70,"")</f>
      </c>
      <c r="D6637" s="15"/>
      <c r="E6637" s="15"/>
      <c r="F6637" s="11">
        <f t="shared" si="53"/>
      </c>
      <c r="G6637" s="22" cm="1">
        <f t="array" ref="G6637">IF(AND(Inputs!$C$60,Inputs!$C$61),INDEX(Utility_Rates!$C$29:$F$52,HOUR(C6637)+Inputs!$C$69,MATCH(INDEX(Utility_Rates!$K$6:$K$17,MONTH(C6637))&amp;IF(WEEKDAY(C6637,Inputs!$C$76)&lt;=Inputs!$C$74," weekday"," weekend"),Utility_Rates!$C$28:$F$28,Inputs!$C$68)),"")</f>
      </c>
      <c r="H6637" s="34"/>
      <c r="I6637" s="42">
        <f>IF(AND(ISNUMBER(D6637),ISNUMBER(H6637)),D6637*H6637*Inputs!$C$69,"")</f>
      </c>
      <c r="J6637" s="42">
        <f>IF(AND(ISNUMBER(F6637),ISNUMBER(H6637),F6637&gt;=Inputs!$C$68),F6637*H6637*Inputs!$C$69,"")</f>
      </c>
    </row>
    <row r="6638" spans="2:10" ht="15" customHeight="1" x14ac:dyDescent="0.2">
      <c r="B6638" s="39">
        <f t="shared" si="52"/>
      </c>
      <c r="C6638" s="40">
        <f>IF(Inputs!$C$60,Inputs!$C$11+(B6638-Inputs!$C$69)/Inputs!$C$70,"")</f>
      </c>
      <c r="D6638" s="15"/>
      <c r="E6638" s="15"/>
      <c r="F6638" s="11">
        <f t="shared" si="53"/>
      </c>
      <c r="G6638" s="22" cm="1">
        <f t="array" ref="G6638">IF(AND(Inputs!$C$60,Inputs!$C$61),INDEX(Utility_Rates!$C$29:$F$52,HOUR(C6638)+Inputs!$C$69,MATCH(INDEX(Utility_Rates!$K$6:$K$17,MONTH(C6638))&amp;IF(WEEKDAY(C6638,Inputs!$C$76)&lt;=Inputs!$C$74," weekday"," weekend"),Utility_Rates!$C$28:$F$28,Inputs!$C$68)),"")</f>
      </c>
      <c r="H6638" s="34"/>
      <c r="I6638" s="42">
        <f>IF(AND(ISNUMBER(D6638),ISNUMBER(H6638)),D6638*H6638*Inputs!$C$69,"")</f>
      </c>
      <c r="J6638" s="42">
        <f>IF(AND(ISNUMBER(F6638),ISNUMBER(H6638),F6638&gt;=Inputs!$C$68),F6638*H6638*Inputs!$C$69,"")</f>
      </c>
    </row>
    <row r="6639" spans="2:10" ht="15" customHeight="1" x14ac:dyDescent="0.2">
      <c r="B6639" s="39">
        <f t="shared" si="52"/>
      </c>
      <c r="C6639" s="40">
        <f>IF(Inputs!$C$60,Inputs!$C$11+(B6639-Inputs!$C$69)/Inputs!$C$70,"")</f>
      </c>
      <c r="D6639" s="15"/>
      <c r="E6639" s="15"/>
      <c r="F6639" s="11">
        <f t="shared" si="53"/>
      </c>
      <c r="G6639" s="22" cm="1">
        <f t="array" ref="G6639">IF(AND(Inputs!$C$60,Inputs!$C$61),INDEX(Utility_Rates!$C$29:$F$52,HOUR(C6639)+Inputs!$C$69,MATCH(INDEX(Utility_Rates!$K$6:$K$17,MONTH(C6639))&amp;IF(WEEKDAY(C6639,Inputs!$C$76)&lt;=Inputs!$C$74," weekday"," weekend"),Utility_Rates!$C$28:$F$28,Inputs!$C$68)),"")</f>
      </c>
      <c r="H6639" s="34"/>
      <c r="I6639" s="42">
        <f>IF(AND(ISNUMBER(D6639),ISNUMBER(H6639)),D6639*H6639*Inputs!$C$69,"")</f>
      </c>
      <c r="J6639" s="42">
        <f>IF(AND(ISNUMBER(F6639),ISNUMBER(H6639),F6639&gt;=Inputs!$C$68),F6639*H6639*Inputs!$C$69,"")</f>
      </c>
    </row>
    <row r="6640" spans="2:10" ht="15" customHeight="1" x14ac:dyDescent="0.2">
      <c r="B6640" s="39">
        <f t="shared" si="52"/>
      </c>
      <c r="C6640" s="40">
        <f>IF(Inputs!$C$60,Inputs!$C$11+(B6640-Inputs!$C$69)/Inputs!$C$70,"")</f>
      </c>
      <c r="D6640" s="15"/>
      <c r="E6640" s="15"/>
      <c r="F6640" s="11">
        <f t="shared" si="53"/>
      </c>
      <c r="G6640" s="22" cm="1">
        <f t="array" ref="G6640">IF(AND(Inputs!$C$60,Inputs!$C$61),INDEX(Utility_Rates!$C$29:$F$52,HOUR(C6640)+Inputs!$C$69,MATCH(INDEX(Utility_Rates!$K$6:$K$17,MONTH(C6640))&amp;IF(WEEKDAY(C6640,Inputs!$C$76)&lt;=Inputs!$C$74," weekday"," weekend"),Utility_Rates!$C$28:$F$28,Inputs!$C$68)),"")</f>
      </c>
      <c r="H6640" s="34"/>
      <c r="I6640" s="42">
        <f>IF(AND(ISNUMBER(D6640),ISNUMBER(H6640)),D6640*H6640*Inputs!$C$69,"")</f>
      </c>
      <c r="J6640" s="42">
        <f>IF(AND(ISNUMBER(F6640),ISNUMBER(H6640),F6640&gt;=Inputs!$C$68),F6640*H6640*Inputs!$C$69,"")</f>
      </c>
    </row>
    <row r="6641" spans="2:10" ht="15" customHeight="1" x14ac:dyDescent="0.2">
      <c r="B6641" s="39">
        <f t="shared" si="52"/>
      </c>
      <c r="C6641" s="40">
        <f>IF(Inputs!$C$60,Inputs!$C$11+(B6641-Inputs!$C$69)/Inputs!$C$70,"")</f>
      </c>
      <c r="D6641" s="15"/>
      <c r="E6641" s="15"/>
      <c r="F6641" s="11">
        <f t="shared" si="53"/>
      </c>
      <c r="G6641" s="22" cm="1">
        <f t="array" ref="G6641">IF(AND(Inputs!$C$60,Inputs!$C$61),INDEX(Utility_Rates!$C$29:$F$52,HOUR(C6641)+Inputs!$C$69,MATCH(INDEX(Utility_Rates!$K$6:$K$17,MONTH(C6641))&amp;IF(WEEKDAY(C6641,Inputs!$C$76)&lt;=Inputs!$C$74," weekday"," weekend"),Utility_Rates!$C$28:$F$28,Inputs!$C$68)),"")</f>
      </c>
      <c r="H6641" s="34"/>
      <c r="I6641" s="42">
        <f>IF(AND(ISNUMBER(D6641),ISNUMBER(H6641)),D6641*H6641*Inputs!$C$69,"")</f>
      </c>
      <c r="J6641" s="42">
        <f>IF(AND(ISNUMBER(F6641),ISNUMBER(H6641),F6641&gt;=Inputs!$C$68),F6641*H6641*Inputs!$C$69,"")</f>
      </c>
    </row>
    <row r="6642" spans="2:10" ht="15" customHeight="1" x14ac:dyDescent="0.2">
      <c r="B6642" s="39">
        <f t="shared" si="52"/>
      </c>
      <c r="C6642" s="40">
        <f>IF(Inputs!$C$60,Inputs!$C$11+(B6642-Inputs!$C$69)/Inputs!$C$70,"")</f>
      </c>
      <c r="D6642" s="15"/>
      <c r="E6642" s="15"/>
      <c r="F6642" s="11">
        <f t="shared" si="53"/>
      </c>
      <c r="G6642" s="22" cm="1">
        <f t="array" ref="G6642">IF(AND(Inputs!$C$60,Inputs!$C$61),INDEX(Utility_Rates!$C$29:$F$52,HOUR(C6642)+Inputs!$C$69,MATCH(INDEX(Utility_Rates!$K$6:$K$17,MONTH(C6642))&amp;IF(WEEKDAY(C6642,Inputs!$C$76)&lt;=Inputs!$C$74," weekday"," weekend"),Utility_Rates!$C$28:$F$28,Inputs!$C$68)),"")</f>
      </c>
      <c r="H6642" s="34"/>
      <c r="I6642" s="42">
        <f>IF(AND(ISNUMBER(D6642),ISNUMBER(H6642)),D6642*H6642*Inputs!$C$69,"")</f>
      </c>
      <c r="J6642" s="42">
        <f>IF(AND(ISNUMBER(F6642),ISNUMBER(H6642),F6642&gt;=Inputs!$C$68),F6642*H6642*Inputs!$C$69,"")</f>
      </c>
    </row>
    <row r="6643" spans="2:10" ht="15" customHeight="1" x14ac:dyDescent="0.2">
      <c r="B6643" s="39">
        <f t="shared" si="52"/>
      </c>
      <c r="C6643" s="40">
        <f>IF(Inputs!$C$60,Inputs!$C$11+(B6643-Inputs!$C$69)/Inputs!$C$70,"")</f>
      </c>
      <c r="D6643" s="15"/>
      <c r="E6643" s="15"/>
      <c r="F6643" s="11">
        <f t="shared" si="53"/>
      </c>
      <c r="G6643" s="22" cm="1">
        <f t="array" ref="G6643">IF(AND(Inputs!$C$60,Inputs!$C$61),INDEX(Utility_Rates!$C$29:$F$52,HOUR(C6643)+Inputs!$C$69,MATCH(INDEX(Utility_Rates!$K$6:$K$17,MONTH(C6643))&amp;IF(WEEKDAY(C6643,Inputs!$C$76)&lt;=Inputs!$C$74," weekday"," weekend"),Utility_Rates!$C$28:$F$28,Inputs!$C$68)),"")</f>
      </c>
      <c r="H6643" s="34"/>
      <c r="I6643" s="42">
        <f>IF(AND(ISNUMBER(D6643),ISNUMBER(H6643)),D6643*H6643*Inputs!$C$69,"")</f>
      </c>
      <c r="J6643" s="42">
        <f>IF(AND(ISNUMBER(F6643),ISNUMBER(H6643),F6643&gt;=Inputs!$C$68),F6643*H6643*Inputs!$C$69,"")</f>
      </c>
    </row>
    <row r="6644" spans="2:10" ht="15" customHeight="1" x14ac:dyDescent="0.2">
      <c r="B6644" s="39">
        <f t="shared" si="52"/>
      </c>
      <c r="C6644" s="40">
        <f>IF(Inputs!$C$60,Inputs!$C$11+(B6644-Inputs!$C$69)/Inputs!$C$70,"")</f>
      </c>
      <c r="D6644" s="15"/>
      <c r="E6644" s="15"/>
      <c r="F6644" s="11">
        <f t="shared" si="53"/>
      </c>
      <c r="G6644" s="22" cm="1">
        <f t="array" ref="G6644">IF(AND(Inputs!$C$60,Inputs!$C$61),INDEX(Utility_Rates!$C$29:$F$52,HOUR(C6644)+Inputs!$C$69,MATCH(INDEX(Utility_Rates!$K$6:$K$17,MONTH(C6644))&amp;IF(WEEKDAY(C6644,Inputs!$C$76)&lt;=Inputs!$C$74," weekday"," weekend"),Utility_Rates!$C$28:$F$28,Inputs!$C$68)),"")</f>
      </c>
      <c r="H6644" s="34"/>
      <c r="I6644" s="42">
        <f>IF(AND(ISNUMBER(D6644),ISNUMBER(H6644)),D6644*H6644*Inputs!$C$69,"")</f>
      </c>
      <c r="J6644" s="42">
        <f>IF(AND(ISNUMBER(F6644),ISNUMBER(H6644),F6644&gt;=Inputs!$C$68),F6644*H6644*Inputs!$C$69,"")</f>
      </c>
    </row>
    <row r="6645" spans="2:10" ht="15" customHeight="1" x14ac:dyDescent="0.2">
      <c r="B6645" s="39">
        <f t="shared" si="52"/>
      </c>
      <c r="C6645" s="40">
        <f>IF(Inputs!$C$60,Inputs!$C$11+(B6645-Inputs!$C$69)/Inputs!$C$70,"")</f>
      </c>
      <c r="D6645" s="15"/>
      <c r="E6645" s="15"/>
      <c r="F6645" s="11">
        <f t="shared" si="53"/>
      </c>
      <c r="G6645" s="22" cm="1">
        <f t="array" ref="G6645">IF(AND(Inputs!$C$60,Inputs!$C$61),INDEX(Utility_Rates!$C$29:$F$52,HOUR(C6645)+Inputs!$C$69,MATCH(INDEX(Utility_Rates!$K$6:$K$17,MONTH(C6645))&amp;IF(WEEKDAY(C6645,Inputs!$C$76)&lt;=Inputs!$C$74," weekday"," weekend"),Utility_Rates!$C$28:$F$28,Inputs!$C$68)),"")</f>
      </c>
      <c r="H6645" s="34"/>
      <c r="I6645" s="42">
        <f>IF(AND(ISNUMBER(D6645),ISNUMBER(H6645)),D6645*H6645*Inputs!$C$69,"")</f>
      </c>
      <c r="J6645" s="42">
        <f>IF(AND(ISNUMBER(F6645),ISNUMBER(H6645),F6645&gt;=Inputs!$C$68),F6645*H6645*Inputs!$C$69,"")</f>
      </c>
    </row>
    <row r="6646" spans="2:10" ht="15" customHeight="1" x14ac:dyDescent="0.2">
      <c r="B6646" s="39">
        <f t="shared" si="52"/>
      </c>
      <c r="C6646" s="40">
        <f>IF(Inputs!$C$60,Inputs!$C$11+(B6646-Inputs!$C$69)/Inputs!$C$70,"")</f>
      </c>
      <c r="D6646" s="15"/>
      <c r="E6646" s="15"/>
      <c r="F6646" s="11">
        <f t="shared" si="53"/>
      </c>
      <c r="G6646" s="22" cm="1">
        <f t="array" ref="G6646">IF(AND(Inputs!$C$60,Inputs!$C$61),INDEX(Utility_Rates!$C$29:$F$52,HOUR(C6646)+Inputs!$C$69,MATCH(INDEX(Utility_Rates!$K$6:$K$17,MONTH(C6646))&amp;IF(WEEKDAY(C6646,Inputs!$C$76)&lt;=Inputs!$C$74," weekday"," weekend"),Utility_Rates!$C$28:$F$28,Inputs!$C$68)),"")</f>
      </c>
      <c r="H6646" s="34"/>
      <c r="I6646" s="42">
        <f>IF(AND(ISNUMBER(D6646),ISNUMBER(H6646)),D6646*H6646*Inputs!$C$69,"")</f>
      </c>
      <c r="J6646" s="42">
        <f>IF(AND(ISNUMBER(F6646),ISNUMBER(H6646),F6646&gt;=Inputs!$C$68),F6646*H6646*Inputs!$C$69,"")</f>
      </c>
    </row>
    <row r="6647" spans="2:10" ht="15" customHeight="1" x14ac:dyDescent="0.2">
      <c r="B6647" s="39">
        <f t="shared" si="52"/>
      </c>
      <c r="C6647" s="40">
        <f>IF(Inputs!$C$60,Inputs!$C$11+(B6647-Inputs!$C$69)/Inputs!$C$70,"")</f>
      </c>
      <c r="D6647" s="15"/>
      <c r="E6647" s="15"/>
      <c r="F6647" s="11">
        <f t="shared" si="53"/>
      </c>
      <c r="G6647" s="22" cm="1">
        <f t="array" ref="G6647">IF(AND(Inputs!$C$60,Inputs!$C$61),INDEX(Utility_Rates!$C$29:$F$52,HOUR(C6647)+Inputs!$C$69,MATCH(INDEX(Utility_Rates!$K$6:$K$17,MONTH(C6647))&amp;IF(WEEKDAY(C6647,Inputs!$C$76)&lt;=Inputs!$C$74," weekday"," weekend"),Utility_Rates!$C$28:$F$28,Inputs!$C$68)),"")</f>
      </c>
      <c r="H6647" s="34"/>
      <c r="I6647" s="42">
        <f>IF(AND(ISNUMBER(D6647),ISNUMBER(H6647)),D6647*H6647*Inputs!$C$69,"")</f>
      </c>
      <c r="J6647" s="42">
        <f>IF(AND(ISNUMBER(F6647),ISNUMBER(H6647),F6647&gt;=Inputs!$C$68),F6647*H6647*Inputs!$C$69,"")</f>
      </c>
    </row>
    <row r="6648" spans="2:10" ht="15" customHeight="1" x14ac:dyDescent="0.2">
      <c r="B6648" s="39">
        <f t="shared" si="52"/>
      </c>
      <c r="C6648" s="40">
        <f>IF(Inputs!$C$60,Inputs!$C$11+(B6648-Inputs!$C$69)/Inputs!$C$70,"")</f>
      </c>
      <c r="D6648" s="15"/>
      <c r="E6648" s="15"/>
      <c r="F6648" s="11">
        <f t="shared" si="53"/>
      </c>
      <c r="G6648" s="22" cm="1">
        <f t="array" ref="G6648">IF(AND(Inputs!$C$60,Inputs!$C$61),INDEX(Utility_Rates!$C$29:$F$52,HOUR(C6648)+Inputs!$C$69,MATCH(INDEX(Utility_Rates!$K$6:$K$17,MONTH(C6648))&amp;IF(WEEKDAY(C6648,Inputs!$C$76)&lt;=Inputs!$C$74," weekday"," weekend"),Utility_Rates!$C$28:$F$28,Inputs!$C$68)),"")</f>
      </c>
      <c r="H6648" s="34"/>
      <c r="I6648" s="42">
        <f>IF(AND(ISNUMBER(D6648),ISNUMBER(H6648)),D6648*H6648*Inputs!$C$69,"")</f>
      </c>
      <c r="J6648" s="42">
        <f>IF(AND(ISNUMBER(F6648),ISNUMBER(H6648),F6648&gt;=Inputs!$C$68),F6648*H6648*Inputs!$C$69,"")</f>
      </c>
    </row>
    <row r="6649" spans="2:10" ht="15" customHeight="1" x14ac:dyDescent="0.2">
      <c r="B6649" s="39">
        <f t="shared" si="52"/>
      </c>
      <c r="C6649" s="40">
        <f>IF(Inputs!$C$60,Inputs!$C$11+(B6649-Inputs!$C$69)/Inputs!$C$70,"")</f>
      </c>
      <c r="D6649" s="15"/>
      <c r="E6649" s="15"/>
      <c r="F6649" s="11">
        <f t="shared" si="53"/>
      </c>
      <c r="G6649" s="22" cm="1">
        <f t="array" ref="G6649">IF(AND(Inputs!$C$60,Inputs!$C$61),INDEX(Utility_Rates!$C$29:$F$52,HOUR(C6649)+Inputs!$C$69,MATCH(INDEX(Utility_Rates!$K$6:$K$17,MONTH(C6649))&amp;IF(WEEKDAY(C6649,Inputs!$C$76)&lt;=Inputs!$C$74," weekday"," weekend"),Utility_Rates!$C$28:$F$28,Inputs!$C$68)),"")</f>
      </c>
      <c r="H6649" s="34"/>
      <c r="I6649" s="42">
        <f>IF(AND(ISNUMBER(D6649),ISNUMBER(H6649)),D6649*H6649*Inputs!$C$69,"")</f>
      </c>
      <c r="J6649" s="42">
        <f>IF(AND(ISNUMBER(F6649),ISNUMBER(H6649),F6649&gt;=Inputs!$C$68),F6649*H6649*Inputs!$C$69,"")</f>
      </c>
    </row>
    <row r="6650" spans="2:10" ht="15" customHeight="1" x14ac:dyDescent="0.2">
      <c r="B6650" s="39">
        <f t="shared" si="52"/>
      </c>
      <c r="C6650" s="40">
        <f>IF(Inputs!$C$60,Inputs!$C$11+(B6650-Inputs!$C$69)/Inputs!$C$70,"")</f>
      </c>
      <c r="D6650" s="15"/>
      <c r="E6650" s="15"/>
      <c r="F6650" s="11">
        <f t="shared" si="53"/>
      </c>
      <c r="G6650" s="22" cm="1">
        <f t="array" ref="G6650">IF(AND(Inputs!$C$60,Inputs!$C$61),INDEX(Utility_Rates!$C$29:$F$52,HOUR(C6650)+Inputs!$C$69,MATCH(INDEX(Utility_Rates!$K$6:$K$17,MONTH(C6650))&amp;IF(WEEKDAY(C6650,Inputs!$C$76)&lt;=Inputs!$C$74," weekday"," weekend"),Utility_Rates!$C$28:$F$28,Inputs!$C$68)),"")</f>
      </c>
      <c r="H6650" s="34"/>
      <c r="I6650" s="42">
        <f>IF(AND(ISNUMBER(D6650),ISNUMBER(H6650)),D6650*H6650*Inputs!$C$69,"")</f>
      </c>
      <c r="J6650" s="42">
        <f>IF(AND(ISNUMBER(F6650),ISNUMBER(H6650),F6650&gt;=Inputs!$C$68),F6650*H6650*Inputs!$C$69,"")</f>
      </c>
    </row>
    <row r="6651" spans="2:10" ht="15" customHeight="1" x14ac:dyDescent="0.2">
      <c r="B6651" s="39">
        <f t="shared" si="52"/>
      </c>
      <c r="C6651" s="40">
        <f>IF(Inputs!$C$60,Inputs!$C$11+(B6651-Inputs!$C$69)/Inputs!$C$70,"")</f>
      </c>
      <c r="D6651" s="15"/>
      <c r="E6651" s="15"/>
      <c r="F6651" s="11">
        <f t="shared" si="53"/>
      </c>
      <c r="G6651" s="22" cm="1">
        <f t="array" ref="G6651">IF(AND(Inputs!$C$60,Inputs!$C$61),INDEX(Utility_Rates!$C$29:$F$52,HOUR(C6651)+Inputs!$C$69,MATCH(INDEX(Utility_Rates!$K$6:$K$17,MONTH(C6651))&amp;IF(WEEKDAY(C6651,Inputs!$C$76)&lt;=Inputs!$C$74," weekday"," weekend"),Utility_Rates!$C$28:$F$28,Inputs!$C$68)),"")</f>
      </c>
      <c r="H6651" s="34"/>
      <c r="I6651" s="42">
        <f>IF(AND(ISNUMBER(D6651),ISNUMBER(H6651)),D6651*H6651*Inputs!$C$69,"")</f>
      </c>
      <c r="J6651" s="42">
        <f>IF(AND(ISNUMBER(F6651),ISNUMBER(H6651),F6651&gt;=Inputs!$C$68),F6651*H6651*Inputs!$C$69,"")</f>
      </c>
    </row>
    <row r="6652" spans="2:10" ht="15" customHeight="1" x14ac:dyDescent="0.2">
      <c r="B6652" s="39">
        <f t="shared" si="52"/>
      </c>
      <c r="C6652" s="40">
        <f>IF(Inputs!$C$60,Inputs!$C$11+(B6652-Inputs!$C$69)/Inputs!$C$70,"")</f>
      </c>
      <c r="D6652" s="15"/>
      <c r="E6652" s="15"/>
      <c r="F6652" s="11">
        <f t="shared" si="53"/>
      </c>
      <c r="G6652" s="22" cm="1">
        <f t="array" ref="G6652">IF(AND(Inputs!$C$60,Inputs!$C$61),INDEX(Utility_Rates!$C$29:$F$52,HOUR(C6652)+Inputs!$C$69,MATCH(INDEX(Utility_Rates!$K$6:$K$17,MONTH(C6652))&amp;IF(WEEKDAY(C6652,Inputs!$C$76)&lt;=Inputs!$C$74," weekday"," weekend"),Utility_Rates!$C$28:$F$28,Inputs!$C$68)),"")</f>
      </c>
      <c r="H6652" s="34"/>
      <c r="I6652" s="42">
        <f>IF(AND(ISNUMBER(D6652),ISNUMBER(H6652)),D6652*H6652*Inputs!$C$69,"")</f>
      </c>
      <c r="J6652" s="42">
        <f>IF(AND(ISNUMBER(F6652),ISNUMBER(H6652),F6652&gt;=Inputs!$C$68),F6652*H6652*Inputs!$C$69,"")</f>
      </c>
    </row>
    <row r="6653" spans="2:10" ht="15" customHeight="1" x14ac:dyDescent="0.2">
      <c r="B6653" s="39">
        <f t="shared" si="52"/>
      </c>
      <c r="C6653" s="40">
        <f>IF(Inputs!$C$60,Inputs!$C$11+(B6653-Inputs!$C$69)/Inputs!$C$70,"")</f>
      </c>
      <c r="D6653" s="15"/>
      <c r="E6653" s="15"/>
      <c r="F6653" s="11">
        <f t="shared" si="53"/>
      </c>
      <c r="G6653" s="22" cm="1">
        <f t="array" ref="G6653">IF(AND(Inputs!$C$60,Inputs!$C$61),INDEX(Utility_Rates!$C$29:$F$52,HOUR(C6653)+Inputs!$C$69,MATCH(INDEX(Utility_Rates!$K$6:$K$17,MONTH(C6653))&amp;IF(WEEKDAY(C6653,Inputs!$C$76)&lt;=Inputs!$C$74," weekday"," weekend"),Utility_Rates!$C$28:$F$28,Inputs!$C$68)),"")</f>
      </c>
      <c r="H6653" s="34"/>
      <c r="I6653" s="42">
        <f>IF(AND(ISNUMBER(D6653),ISNUMBER(H6653)),D6653*H6653*Inputs!$C$69,"")</f>
      </c>
      <c r="J6653" s="42">
        <f>IF(AND(ISNUMBER(F6653),ISNUMBER(H6653),F6653&gt;=Inputs!$C$68),F6653*H6653*Inputs!$C$69,"")</f>
      </c>
    </row>
    <row r="6654" spans="2:10" ht="15" customHeight="1" x14ac:dyDescent="0.2">
      <c r="B6654" s="39">
        <f t="shared" si="52"/>
      </c>
      <c r="C6654" s="40">
        <f>IF(Inputs!$C$60,Inputs!$C$11+(B6654-Inputs!$C$69)/Inputs!$C$70,"")</f>
      </c>
      <c r="D6654" s="15"/>
      <c r="E6654" s="15"/>
      <c r="F6654" s="11">
        <f t="shared" si="53"/>
      </c>
      <c r="G6654" s="22" cm="1">
        <f t="array" ref="G6654">IF(AND(Inputs!$C$60,Inputs!$C$61),INDEX(Utility_Rates!$C$29:$F$52,HOUR(C6654)+Inputs!$C$69,MATCH(INDEX(Utility_Rates!$K$6:$K$17,MONTH(C6654))&amp;IF(WEEKDAY(C6654,Inputs!$C$76)&lt;=Inputs!$C$74," weekday"," weekend"),Utility_Rates!$C$28:$F$28,Inputs!$C$68)),"")</f>
      </c>
      <c r="H6654" s="34"/>
      <c r="I6654" s="42">
        <f>IF(AND(ISNUMBER(D6654),ISNUMBER(H6654)),D6654*H6654*Inputs!$C$69,"")</f>
      </c>
      <c r="J6654" s="42">
        <f>IF(AND(ISNUMBER(F6654),ISNUMBER(H6654),F6654&gt;=Inputs!$C$68),F6654*H6654*Inputs!$C$69,"")</f>
      </c>
    </row>
    <row r="6655" spans="2:10" ht="15" customHeight="1" x14ac:dyDescent="0.2">
      <c r="B6655" s="39">
        <f t="shared" si="52"/>
      </c>
      <c r="C6655" s="40">
        <f>IF(Inputs!$C$60,Inputs!$C$11+(B6655-Inputs!$C$69)/Inputs!$C$70,"")</f>
      </c>
      <c r="D6655" s="15"/>
      <c r="E6655" s="15"/>
      <c r="F6655" s="11">
        <f t="shared" si="53"/>
      </c>
      <c r="G6655" s="22" cm="1">
        <f t="array" ref="G6655">IF(AND(Inputs!$C$60,Inputs!$C$61),INDEX(Utility_Rates!$C$29:$F$52,HOUR(C6655)+Inputs!$C$69,MATCH(INDEX(Utility_Rates!$K$6:$K$17,MONTH(C6655))&amp;IF(WEEKDAY(C6655,Inputs!$C$76)&lt;=Inputs!$C$74," weekday"," weekend"),Utility_Rates!$C$28:$F$28,Inputs!$C$68)),"")</f>
      </c>
      <c r="H6655" s="34"/>
      <c r="I6655" s="42">
        <f>IF(AND(ISNUMBER(D6655),ISNUMBER(H6655)),D6655*H6655*Inputs!$C$69,"")</f>
      </c>
      <c r="J6655" s="42">
        <f>IF(AND(ISNUMBER(F6655),ISNUMBER(H6655),F6655&gt;=Inputs!$C$68),F6655*H6655*Inputs!$C$69,"")</f>
      </c>
    </row>
    <row r="6656" spans="2:10" ht="15" customHeight="1" x14ac:dyDescent="0.2">
      <c r="B6656" s="39">
        <f t="shared" si="52"/>
      </c>
      <c r="C6656" s="40">
        <f>IF(Inputs!$C$60,Inputs!$C$11+(B6656-Inputs!$C$69)/Inputs!$C$70,"")</f>
      </c>
      <c r="D6656" s="15"/>
      <c r="E6656" s="15"/>
      <c r="F6656" s="11">
        <f t="shared" si="53"/>
      </c>
      <c r="G6656" s="22" cm="1">
        <f t="array" ref="G6656">IF(AND(Inputs!$C$60,Inputs!$C$61),INDEX(Utility_Rates!$C$29:$F$52,HOUR(C6656)+Inputs!$C$69,MATCH(INDEX(Utility_Rates!$K$6:$K$17,MONTH(C6656))&amp;IF(WEEKDAY(C6656,Inputs!$C$76)&lt;=Inputs!$C$74," weekday"," weekend"),Utility_Rates!$C$28:$F$28,Inputs!$C$68)),"")</f>
      </c>
      <c r="H6656" s="34"/>
      <c r="I6656" s="42">
        <f>IF(AND(ISNUMBER(D6656),ISNUMBER(H6656)),D6656*H6656*Inputs!$C$69,"")</f>
      </c>
      <c r="J6656" s="42">
        <f>IF(AND(ISNUMBER(F6656),ISNUMBER(H6656),F6656&gt;=Inputs!$C$68),F6656*H6656*Inputs!$C$69,"")</f>
      </c>
    </row>
    <row r="6657" spans="2:10" ht="15" customHeight="1" x14ac:dyDescent="0.2">
      <c r="B6657" s="39">
        <f t="shared" si="52"/>
      </c>
      <c r="C6657" s="40">
        <f>IF(Inputs!$C$60,Inputs!$C$11+(B6657-Inputs!$C$69)/Inputs!$C$70,"")</f>
      </c>
      <c r="D6657" s="15"/>
      <c r="E6657" s="15"/>
      <c r="F6657" s="11">
        <f t="shared" si="53"/>
      </c>
      <c r="G6657" s="22" cm="1">
        <f t="array" ref="G6657">IF(AND(Inputs!$C$60,Inputs!$C$61),INDEX(Utility_Rates!$C$29:$F$52,HOUR(C6657)+Inputs!$C$69,MATCH(INDEX(Utility_Rates!$K$6:$K$17,MONTH(C6657))&amp;IF(WEEKDAY(C6657,Inputs!$C$76)&lt;=Inputs!$C$74," weekday"," weekend"),Utility_Rates!$C$28:$F$28,Inputs!$C$68)),"")</f>
      </c>
      <c r="H6657" s="34"/>
      <c r="I6657" s="42">
        <f>IF(AND(ISNUMBER(D6657),ISNUMBER(H6657)),D6657*H6657*Inputs!$C$69,"")</f>
      </c>
      <c r="J6657" s="42">
        <f>IF(AND(ISNUMBER(F6657),ISNUMBER(H6657),F6657&gt;=Inputs!$C$68),F6657*H6657*Inputs!$C$69,"")</f>
      </c>
    </row>
    <row r="6658" spans="2:10" ht="15" customHeight="1" x14ac:dyDescent="0.2">
      <c r="B6658" s="39">
        <f t="shared" si="52"/>
      </c>
      <c r="C6658" s="40">
        <f>IF(Inputs!$C$60,Inputs!$C$11+(B6658-Inputs!$C$69)/Inputs!$C$70,"")</f>
      </c>
      <c r="D6658" s="15"/>
      <c r="E6658" s="15"/>
      <c r="F6658" s="11">
        <f t="shared" si="53"/>
      </c>
      <c r="G6658" s="22" cm="1">
        <f t="array" ref="G6658">IF(AND(Inputs!$C$60,Inputs!$C$61),INDEX(Utility_Rates!$C$29:$F$52,HOUR(C6658)+Inputs!$C$69,MATCH(INDEX(Utility_Rates!$K$6:$K$17,MONTH(C6658))&amp;IF(WEEKDAY(C6658,Inputs!$C$76)&lt;=Inputs!$C$74," weekday"," weekend"),Utility_Rates!$C$28:$F$28,Inputs!$C$68)),"")</f>
      </c>
      <c r="H6658" s="34"/>
      <c r="I6658" s="42">
        <f>IF(AND(ISNUMBER(D6658),ISNUMBER(H6658)),D6658*H6658*Inputs!$C$69,"")</f>
      </c>
      <c r="J6658" s="42">
        <f>IF(AND(ISNUMBER(F6658),ISNUMBER(H6658),F6658&gt;=Inputs!$C$68),F6658*H6658*Inputs!$C$69,"")</f>
      </c>
    </row>
    <row r="6659" spans="2:10" ht="15" customHeight="1" x14ac:dyDescent="0.2">
      <c r="B6659" s="39">
        <f t="shared" si="52"/>
      </c>
      <c r="C6659" s="40">
        <f>IF(Inputs!$C$60,Inputs!$C$11+(B6659-Inputs!$C$69)/Inputs!$C$70,"")</f>
      </c>
      <c r="D6659" s="15"/>
      <c r="E6659" s="15"/>
      <c r="F6659" s="11">
        <f t="shared" si="53"/>
      </c>
      <c r="G6659" s="22" cm="1">
        <f t="array" ref="G6659">IF(AND(Inputs!$C$60,Inputs!$C$61),INDEX(Utility_Rates!$C$29:$F$52,HOUR(C6659)+Inputs!$C$69,MATCH(INDEX(Utility_Rates!$K$6:$K$17,MONTH(C6659))&amp;IF(WEEKDAY(C6659,Inputs!$C$76)&lt;=Inputs!$C$74," weekday"," weekend"),Utility_Rates!$C$28:$F$28,Inputs!$C$68)),"")</f>
      </c>
      <c r="H6659" s="34"/>
      <c r="I6659" s="42">
        <f>IF(AND(ISNUMBER(D6659),ISNUMBER(H6659)),D6659*H6659*Inputs!$C$69,"")</f>
      </c>
      <c r="J6659" s="42">
        <f>IF(AND(ISNUMBER(F6659),ISNUMBER(H6659),F6659&gt;=Inputs!$C$68),F6659*H6659*Inputs!$C$69,"")</f>
      </c>
    </row>
    <row r="6660" spans="2:10" ht="15" customHeight="1" x14ac:dyDescent="0.2">
      <c r="B6660" s="39">
        <f t="shared" si="52"/>
      </c>
      <c r="C6660" s="40">
        <f>IF(Inputs!$C$60,Inputs!$C$11+(B6660-Inputs!$C$69)/Inputs!$C$70,"")</f>
      </c>
      <c r="D6660" s="15"/>
      <c r="E6660" s="15"/>
      <c r="F6660" s="11">
        <f t="shared" si="53"/>
      </c>
      <c r="G6660" s="22" cm="1">
        <f t="array" ref="G6660">IF(AND(Inputs!$C$60,Inputs!$C$61),INDEX(Utility_Rates!$C$29:$F$52,HOUR(C6660)+Inputs!$C$69,MATCH(INDEX(Utility_Rates!$K$6:$K$17,MONTH(C6660))&amp;IF(WEEKDAY(C6660,Inputs!$C$76)&lt;=Inputs!$C$74," weekday"," weekend"),Utility_Rates!$C$28:$F$28,Inputs!$C$68)),"")</f>
      </c>
      <c r="H6660" s="34"/>
      <c r="I6660" s="42">
        <f>IF(AND(ISNUMBER(D6660),ISNUMBER(H6660)),D6660*H6660*Inputs!$C$69,"")</f>
      </c>
      <c r="J6660" s="42">
        <f>IF(AND(ISNUMBER(F6660),ISNUMBER(H6660),F6660&gt;=Inputs!$C$68),F6660*H6660*Inputs!$C$69,"")</f>
      </c>
    </row>
    <row r="6661" spans="2:10" ht="15" customHeight="1" x14ac:dyDescent="0.2">
      <c r="B6661" s="39">
        <f t="shared" si="52"/>
      </c>
      <c r="C6661" s="40">
        <f>IF(Inputs!$C$60,Inputs!$C$11+(B6661-Inputs!$C$69)/Inputs!$C$70,"")</f>
      </c>
      <c r="D6661" s="15"/>
      <c r="E6661" s="15"/>
      <c r="F6661" s="11">
        <f t="shared" si="53"/>
      </c>
      <c r="G6661" s="22" cm="1">
        <f t="array" ref="G6661">IF(AND(Inputs!$C$60,Inputs!$C$61),INDEX(Utility_Rates!$C$29:$F$52,HOUR(C6661)+Inputs!$C$69,MATCH(INDEX(Utility_Rates!$K$6:$K$17,MONTH(C6661))&amp;IF(WEEKDAY(C6661,Inputs!$C$76)&lt;=Inputs!$C$74," weekday"," weekend"),Utility_Rates!$C$28:$F$28,Inputs!$C$68)),"")</f>
      </c>
      <c r="H6661" s="34"/>
      <c r="I6661" s="42">
        <f>IF(AND(ISNUMBER(D6661),ISNUMBER(H6661)),D6661*H6661*Inputs!$C$69,"")</f>
      </c>
      <c r="J6661" s="42">
        <f>IF(AND(ISNUMBER(F6661),ISNUMBER(H6661),F6661&gt;=Inputs!$C$68),F6661*H6661*Inputs!$C$69,"")</f>
      </c>
    </row>
    <row r="6662" spans="2:10" ht="15" customHeight="1" x14ac:dyDescent="0.2">
      <c r="B6662" s="39">
        <f t="shared" si="52"/>
      </c>
      <c r="C6662" s="40">
        <f>IF(Inputs!$C$60,Inputs!$C$11+(B6662-Inputs!$C$69)/Inputs!$C$70,"")</f>
      </c>
      <c r="D6662" s="15"/>
      <c r="E6662" s="15"/>
      <c r="F6662" s="11">
        <f t="shared" si="53"/>
      </c>
      <c r="G6662" s="22" cm="1">
        <f t="array" ref="G6662">IF(AND(Inputs!$C$60,Inputs!$C$61),INDEX(Utility_Rates!$C$29:$F$52,HOUR(C6662)+Inputs!$C$69,MATCH(INDEX(Utility_Rates!$K$6:$K$17,MONTH(C6662))&amp;IF(WEEKDAY(C6662,Inputs!$C$76)&lt;=Inputs!$C$74," weekday"," weekend"),Utility_Rates!$C$28:$F$28,Inputs!$C$68)),"")</f>
      </c>
      <c r="H6662" s="34"/>
      <c r="I6662" s="42">
        <f>IF(AND(ISNUMBER(D6662),ISNUMBER(H6662)),D6662*H6662*Inputs!$C$69,"")</f>
      </c>
      <c r="J6662" s="42">
        <f>IF(AND(ISNUMBER(F6662),ISNUMBER(H6662),F6662&gt;=Inputs!$C$68),F6662*H6662*Inputs!$C$69,"")</f>
      </c>
    </row>
    <row r="6663" spans="2:10" ht="15" customHeight="1" x14ac:dyDescent="0.2">
      <c r="B6663" s="39">
        <f t="shared" si="52"/>
      </c>
      <c r="C6663" s="40">
        <f>IF(Inputs!$C$60,Inputs!$C$11+(B6663-Inputs!$C$69)/Inputs!$C$70,"")</f>
      </c>
      <c r="D6663" s="15"/>
      <c r="E6663" s="15"/>
      <c r="F6663" s="11">
        <f t="shared" si="53"/>
      </c>
      <c r="G6663" s="22" cm="1">
        <f t="array" ref="G6663">IF(AND(Inputs!$C$60,Inputs!$C$61),INDEX(Utility_Rates!$C$29:$F$52,HOUR(C6663)+Inputs!$C$69,MATCH(INDEX(Utility_Rates!$K$6:$K$17,MONTH(C6663))&amp;IF(WEEKDAY(C6663,Inputs!$C$76)&lt;=Inputs!$C$74," weekday"," weekend"),Utility_Rates!$C$28:$F$28,Inputs!$C$68)),"")</f>
      </c>
      <c r="H6663" s="34"/>
      <c r="I6663" s="42">
        <f>IF(AND(ISNUMBER(D6663),ISNUMBER(H6663)),D6663*H6663*Inputs!$C$69,"")</f>
      </c>
      <c r="J6663" s="42">
        <f>IF(AND(ISNUMBER(F6663),ISNUMBER(H6663),F6663&gt;=Inputs!$C$68),F6663*H6663*Inputs!$C$69,"")</f>
      </c>
    </row>
    <row r="6664" spans="2:10" ht="15" customHeight="1" x14ac:dyDescent="0.2">
      <c r="B6664" s="39">
        <f t="shared" si="52"/>
      </c>
      <c r="C6664" s="40">
        <f>IF(Inputs!$C$60,Inputs!$C$11+(B6664-Inputs!$C$69)/Inputs!$C$70,"")</f>
      </c>
      <c r="D6664" s="15"/>
      <c r="E6664" s="15"/>
      <c r="F6664" s="11">
        <f t="shared" si="53"/>
      </c>
      <c r="G6664" s="22" cm="1">
        <f t="array" ref="G6664">IF(AND(Inputs!$C$60,Inputs!$C$61),INDEX(Utility_Rates!$C$29:$F$52,HOUR(C6664)+Inputs!$C$69,MATCH(INDEX(Utility_Rates!$K$6:$K$17,MONTH(C6664))&amp;IF(WEEKDAY(C6664,Inputs!$C$76)&lt;=Inputs!$C$74," weekday"," weekend"),Utility_Rates!$C$28:$F$28,Inputs!$C$68)),"")</f>
      </c>
      <c r="H6664" s="34"/>
      <c r="I6664" s="42">
        <f>IF(AND(ISNUMBER(D6664),ISNUMBER(H6664)),D6664*H6664*Inputs!$C$69,"")</f>
      </c>
      <c r="J6664" s="42">
        <f>IF(AND(ISNUMBER(F6664),ISNUMBER(H6664),F6664&gt;=Inputs!$C$68),F6664*H6664*Inputs!$C$69,"")</f>
      </c>
    </row>
    <row r="6665" spans="2:10" ht="15" customHeight="1" x14ac:dyDescent="0.2">
      <c r="B6665" s="39">
        <f t="shared" si="52"/>
      </c>
      <c r="C6665" s="40">
        <f>IF(Inputs!$C$60,Inputs!$C$11+(B6665-Inputs!$C$69)/Inputs!$C$70,"")</f>
      </c>
      <c r="D6665" s="15"/>
      <c r="E6665" s="15"/>
      <c r="F6665" s="11">
        <f t="shared" si="53"/>
      </c>
      <c r="G6665" s="22" cm="1">
        <f t="array" ref="G6665">IF(AND(Inputs!$C$60,Inputs!$C$61),INDEX(Utility_Rates!$C$29:$F$52,HOUR(C6665)+Inputs!$C$69,MATCH(INDEX(Utility_Rates!$K$6:$K$17,MONTH(C6665))&amp;IF(WEEKDAY(C6665,Inputs!$C$76)&lt;=Inputs!$C$74," weekday"," weekend"),Utility_Rates!$C$28:$F$28,Inputs!$C$68)),"")</f>
      </c>
      <c r="H6665" s="34"/>
      <c r="I6665" s="42">
        <f>IF(AND(ISNUMBER(D6665),ISNUMBER(H6665)),D6665*H6665*Inputs!$C$69,"")</f>
      </c>
      <c r="J6665" s="42">
        <f>IF(AND(ISNUMBER(F6665),ISNUMBER(H6665),F6665&gt;=Inputs!$C$68),F6665*H6665*Inputs!$C$69,"")</f>
      </c>
    </row>
    <row r="6666" spans="2:10" ht="15" customHeight="1" x14ac:dyDescent="0.2">
      <c r="B6666" s="39">
        <f t="shared" si="52"/>
      </c>
      <c r="C6666" s="40">
        <f>IF(Inputs!$C$60,Inputs!$C$11+(B6666-Inputs!$C$69)/Inputs!$C$70,"")</f>
      </c>
      <c r="D6666" s="15"/>
      <c r="E6666" s="15"/>
      <c r="F6666" s="11">
        <f t="shared" si="53"/>
      </c>
      <c r="G6666" s="22" cm="1">
        <f t="array" ref="G6666">IF(AND(Inputs!$C$60,Inputs!$C$61),INDEX(Utility_Rates!$C$29:$F$52,HOUR(C6666)+Inputs!$C$69,MATCH(INDEX(Utility_Rates!$K$6:$K$17,MONTH(C6666))&amp;IF(WEEKDAY(C6666,Inputs!$C$76)&lt;=Inputs!$C$74," weekday"," weekend"),Utility_Rates!$C$28:$F$28,Inputs!$C$68)),"")</f>
      </c>
      <c r="H6666" s="34"/>
      <c r="I6666" s="42">
        <f>IF(AND(ISNUMBER(D6666),ISNUMBER(H6666)),D6666*H6666*Inputs!$C$69,"")</f>
      </c>
      <c r="J6666" s="42">
        <f>IF(AND(ISNUMBER(F6666),ISNUMBER(H6666),F6666&gt;=Inputs!$C$68),F6666*H6666*Inputs!$C$69,"")</f>
      </c>
    </row>
    <row r="6667" spans="2:10" ht="15" customHeight="1" x14ac:dyDescent="0.2">
      <c r="B6667" s="39">
        <f t="shared" si="52"/>
      </c>
      <c r="C6667" s="40">
        <f>IF(Inputs!$C$60,Inputs!$C$11+(B6667-Inputs!$C$69)/Inputs!$C$70,"")</f>
      </c>
      <c r="D6667" s="15"/>
      <c r="E6667" s="15"/>
      <c r="F6667" s="11">
        <f t="shared" si="53"/>
      </c>
      <c r="G6667" s="22" cm="1">
        <f t="array" ref="G6667">IF(AND(Inputs!$C$60,Inputs!$C$61),INDEX(Utility_Rates!$C$29:$F$52,HOUR(C6667)+Inputs!$C$69,MATCH(INDEX(Utility_Rates!$K$6:$K$17,MONTH(C6667))&amp;IF(WEEKDAY(C6667,Inputs!$C$76)&lt;=Inputs!$C$74," weekday"," weekend"),Utility_Rates!$C$28:$F$28,Inputs!$C$68)),"")</f>
      </c>
      <c r="H6667" s="34"/>
      <c r="I6667" s="42">
        <f>IF(AND(ISNUMBER(D6667),ISNUMBER(H6667)),D6667*H6667*Inputs!$C$69,"")</f>
      </c>
      <c r="J6667" s="42">
        <f>IF(AND(ISNUMBER(F6667),ISNUMBER(H6667),F6667&gt;=Inputs!$C$68),F6667*H6667*Inputs!$C$69,"")</f>
      </c>
    </row>
    <row r="6668" spans="2:10" ht="15" customHeight="1" x14ac:dyDescent="0.2">
      <c r="B6668" s="39">
        <f t="shared" si="52"/>
      </c>
      <c r="C6668" s="40">
        <f>IF(Inputs!$C$60,Inputs!$C$11+(B6668-Inputs!$C$69)/Inputs!$C$70,"")</f>
      </c>
      <c r="D6668" s="15"/>
      <c r="E6668" s="15"/>
      <c r="F6668" s="11">
        <f t="shared" si="53"/>
      </c>
      <c r="G6668" s="22" cm="1">
        <f t="array" ref="G6668">IF(AND(Inputs!$C$60,Inputs!$C$61),INDEX(Utility_Rates!$C$29:$F$52,HOUR(C6668)+Inputs!$C$69,MATCH(INDEX(Utility_Rates!$K$6:$K$17,MONTH(C6668))&amp;IF(WEEKDAY(C6668,Inputs!$C$76)&lt;=Inputs!$C$74," weekday"," weekend"),Utility_Rates!$C$28:$F$28,Inputs!$C$68)),"")</f>
      </c>
      <c r="H6668" s="34"/>
      <c r="I6668" s="42">
        <f>IF(AND(ISNUMBER(D6668),ISNUMBER(H6668)),D6668*H6668*Inputs!$C$69,"")</f>
      </c>
      <c r="J6668" s="42">
        <f>IF(AND(ISNUMBER(F6668),ISNUMBER(H6668),F6668&gt;=Inputs!$C$68),F6668*H6668*Inputs!$C$69,"")</f>
      </c>
    </row>
    <row r="6669" spans="2:10" ht="15" customHeight="1" x14ac:dyDescent="0.2">
      <c r="B6669" s="39">
        <f t="shared" si="52"/>
      </c>
      <c r="C6669" s="40">
        <f>IF(Inputs!$C$60,Inputs!$C$11+(B6669-Inputs!$C$69)/Inputs!$C$70,"")</f>
      </c>
      <c r="D6669" s="15"/>
      <c r="E6669" s="15"/>
      <c r="F6669" s="11">
        <f t="shared" si="53"/>
      </c>
      <c r="G6669" s="22" cm="1">
        <f t="array" ref="G6669">IF(AND(Inputs!$C$60,Inputs!$C$61),INDEX(Utility_Rates!$C$29:$F$52,HOUR(C6669)+Inputs!$C$69,MATCH(INDEX(Utility_Rates!$K$6:$K$17,MONTH(C6669))&amp;IF(WEEKDAY(C6669,Inputs!$C$76)&lt;=Inputs!$C$74," weekday"," weekend"),Utility_Rates!$C$28:$F$28,Inputs!$C$68)),"")</f>
      </c>
      <c r="H6669" s="34"/>
      <c r="I6669" s="42">
        <f>IF(AND(ISNUMBER(D6669),ISNUMBER(H6669)),D6669*H6669*Inputs!$C$69,"")</f>
      </c>
      <c r="J6669" s="42">
        <f>IF(AND(ISNUMBER(F6669),ISNUMBER(H6669),F6669&gt;=Inputs!$C$68),F6669*H6669*Inputs!$C$69,"")</f>
      </c>
    </row>
    <row r="6670" spans="2:10" ht="15" customHeight="1" x14ac:dyDescent="0.2">
      <c r="B6670" s="39">
        <f t="shared" si="52"/>
      </c>
      <c r="C6670" s="40">
        <f>IF(Inputs!$C$60,Inputs!$C$11+(B6670-Inputs!$C$69)/Inputs!$C$70,"")</f>
      </c>
      <c r="D6670" s="15"/>
      <c r="E6670" s="15"/>
      <c r="F6670" s="11">
        <f t="shared" si="53"/>
      </c>
      <c r="G6670" s="22" cm="1">
        <f t="array" ref="G6670">IF(AND(Inputs!$C$60,Inputs!$C$61),INDEX(Utility_Rates!$C$29:$F$52,HOUR(C6670)+Inputs!$C$69,MATCH(INDEX(Utility_Rates!$K$6:$K$17,MONTH(C6670))&amp;IF(WEEKDAY(C6670,Inputs!$C$76)&lt;=Inputs!$C$74," weekday"," weekend"),Utility_Rates!$C$28:$F$28,Inputs!$C$68)),"")</f>
      </c>
      <c r="H6670" s="34"/>
      <c r="I6670" s="42">
        <f>IF(AND(ISNUMBER(D6670),ISNUMBER(H6670)),D6670*H6670*Inputs!$C$69,"")</f>
      </c>
      <c r="J6670" s="42">
        <f>IF(AND(ISNUMBER(F6670),ISNUMBER(H6670),F6670&gt;=Inputs!$C$68),F6670*H6670*Inputs!$C$69,"")</f>
      </c>
    </row>
    <row r="6671" spans="2:10" ht="15" customHeight="1" x14ac:dyDescent="0.2">
      <c r="B6671" s="39">
        <f t="shared" si="52"/>
      </c>
      <c r="C6671" s="40">
        <f>IF(Inputs!$C$60,Inputs!$C$11+(B6671-Inputs!$C$69)/Inputs!$C$70,"")</f>
      </c>
      <c r="D6671" s="15"/>
      <c r="E6671" s="15"/>
      <c r="F6671" s="11">
        <f t="shared" si="53"/>
      </c>
      <c r="G6671" s="22" cm="1">
        <f t="array" ref="G6671">IF(AND(Inputs!$C$60,Inputs!$C$61),INDEX(Utility_Rates!$C$29:$F$52,HOUR(C6671)+Inputs!$C$69,MATCH(INDEX(Utility_Rates!$K$6:$K$17,MONTH(C6671))&amp;IF(WEEKDAY(C6671,Inputs!$C$76)&lt;=Inputs!$C$74," weekday"," weekend"),Utility_Rates!$C$28:$F$28,Inputs!$C$68)),"")</f>
      </c>
      <c r="H6671" s="34"/>
      <c r="I6671" s="42">
        <f>IF(AND(ISNUMBER(D6671),ISNUMBER(H6671)),D6671*H6671*Inputs!$C$69,"")</f>
      </c>
      <c r="J6671" s="42">
        <f>IF(AND(ISNUMBER(F6671),ISNUMBER(H6671),F6671&gt;=Inputs!$C$68),F6671*H6671*Inputs!$C$69,"")</f>
      </c>
    </row>
    <row r="6672" spans="2:10" ht="15" customHeight="1" x14ac:dyDescent="0.2">
      <c r="B6672" s="39">
        <f t="shared" si="52"/>
      </c>
      <c r="C6672" s="40">
        <f>IF(Inputs!$C$60,Inputs!$C$11+(B6672-Inputs!$C$69)/Inputs!$C$70,"")</f>
      </c>
      <c r="D6672" s="15"/>
      <c r="E6672" s="15"/>
      <c r="F6672" s="11">
        <f t="shared" si="53"/>
      </c>
      <c r="G6672" s="22" cm="1">
        <f t="array" ref="G6672">IF(AND(Inputs!$C$60,Inputs!$C$61),INDEX(Utility_Rates!$C$29:$F$52,HOUR(C6672)+Inputs!$C$69,MATCH(INDEX(Utility_Rates!$K$6:$K$17,MONTH(C6672))&amp;IF(WEEKDAY(C6672,Inputs!$C$76)&lt;=Inputs!$C$74," weekday"," weekend"),Utility_Rates!$C$28:$F$28,Inputs!$C$68)),"")</f>
      </c>
      <c r="H6672" s="34"/>
      <c r="I6672" s="42">
        <f>IF(AND(ISNUMBER(D6672),ISNUMBER(H6672)),D6672*H6672*Inputs!$C$69,"")</f>
      </c>
      <c r="J6672" s="42">
        <f>IF(AND(ISNUMBER(F6672),ISNUMBER(H6672),F6672&gt;=Inputs!$C$68),F6672*H6672*Inputs!$C$69,"")</f>
      </c>
    </row>
    <row r="6673" spans="2:10" ht="15" customHeight="1" x14ac:dyDescent="0.2">
      <c r="B6673" s="39">
        <f t="shared" si="52"/>
      </c>
      <c r="C6673" s="40">
        <f>IF(Inputs!$C$60,Inputs!$C$11+(B6673-Inputs!$C$69)/Inputs!$C$70,"")</f>
      </c>
      <c r="D6673" s="15"/>
      <c r="E6673" s="15"/>
      <c r="F6673" s="11">
        <f t="shared" si="53"/>
      </c>
      <c r="G6673" s="22" cm="1">
        <f t="array" ref="G6673">IF(AND(Inputs!$C$60,Inputs!$C$61),INDEX(Utility_Rates!$C$29:$F$52,HOUR(C6673)+Inputs!$C$69,MATCH(INDEX(Utility_Rates!$K$6:$K$17,MONTH(C6673))&amp;IF(WEEKDAY(C6673,Inputs!$C$76)&lt;=Inputs!$C$74," weekday"," weekend"),Utility_Rates!$C$28:$F$28,Inputs!$C$68)),"")</f>
      </c>
      <c r="H6673" s="34"/>
      <c r="I6673" s="42">
        <f>IF(AND(ISNUMBER(D6673),ISNUMBER(H6673)),D6673*H6673*Inputs!$C$69,"")</f>
      </c>
      <c r="J6673" s="42">
        <f>IF(AND(ISNUMBER(F6673),ISNUMBER(H6673),F6673&gt;=Inputs!$C$68),F6673*H6673*Inputs!$C$69,"")</f>
      </c>
    </row>
    <row r="6674" spans="2:10" ht="15" customHeight="1" x14ac:dyDescent="0.2">
      <c r="B6674" s="39">
        <f t="shared" si="52"/>
      </c>
      <c r="C6674" s="40">
        <f>IF(Inputs!$C$60,Inputs!$C$11+(B6674-Inputs!$C$69)/Inputs!$C$70,"")</f>
      </c>
      <c r="D6674" s="15"/>
      <c r="E6674" s="15"/>
      <c r="F6674" s="11">
        <f t="shared" si="53"/>
      </c>
      <c r="G6674" s="22" cm="1">
        <f t="array" ref="G6674">IF(AND(Inputs!$C$60,Inputs!$C$61),INDEX(Utility_Rates!$C$29:$F$52,HOUR(C6674)+Inputs!$C$69,MATCH(INDEX(Utility_Rates!$K$6:$K$17,MONTH(C6674))&amp;IF(WEEKDAY(C6674,Inputs!$C$76)&lt;=Inputs!$C$74," weekday"," weekend"),Utility_Rates!$C$28:$F$28,Inputs!$C$68)),"")</f>
      </c>
      <c r="H6674" s="34"/>
      <c r="I6674" s="42">
        <f>IF(AND(ISNUMBER(D6674),ISNUMBER(H6674)),D6674*H6674*Inputs!$C$69,"")</f>
      </c>
      <c r="J6674" s="42">
        <f>IF(AND(ISNUMBER(F6674),ISNUMBER(H6674),F6674&gt;=Inputs!$C$68),F6674*H6674*Inputs!$C$69,"")</f>
      </c>
    </row>
    <row r="6675" spans="2:10" ht="15" customHeight="1" x14ac:dyDescent="0.2">
      <c r="B6675" s="39">
        <f t="shared" si="52"/>
      </c>
      <c r="C6675" s="40">
        <f>IF(Inputs!$C$60,Inputs!$C$11+(B6675-Inputs!$C$69)/Inputs!$C$70,"")</f>
      </c>
      <c r="D6675" s="15"/>
      <c r="E6675" s="15"/>
      <c r="F6675" s="11">
        <f t="shared" si="53"/>
      </c>
      <c r="G6675" s="22" cm="1">
        <f t="array" ref="G6675">IF(AND(Inputs!$C$60,Inputs!$C$61),INDEX(Utility_Rates!$C$29:$F$52,HOUR(C6675)+Inputs!$C$69,MATCH(INDEX(Utility_Rates!$K$6:$K$17,MONTH(C6675))&amp;IF(WEEKDAY(C6675,Inputs!$C$76)&lt;=Inputs!$C$74," weekday"," weekend"),Utility_Rates!$C$28:$F$28,Inputs!$C$68)),"")</f>
      </c>
      <c r="H6675" s="34"/>
      <c r="I6675" s="42">
        <f>IF(AND(ISNUMBER(D6675),ISNUMBER(H6675)),D6675*H6675*Inputs!$C$69,"")</f>
      </c>
      <c r="J6675" s="42">
        <f>IF(AND(ISNUMBER(F6675),ISNUMBER(H6675),F6675&gt;=Inputs!$C$68),F6675*H6675*Inputs!$C$69,"")</f>
      </c>
    </row>
    <row r="6676" spans="2:10" ht="15" customHeight="1" x14ac:dyDescent="0.2">
      <c r="B6676" s="39">
        <f t="shared" si="52"/>
      </c>
      <c r="C6676" s="40">
        <f>IF(Inputs!$C$60,Inputs!$C$11+(B6676-Inputs!$C$69)/Inputs!$C$70,"")</f>
      </c>
      <c r="D6676" s="15"/>
      <c r="E6676" s="15"/>
      <c r="F6676" s="11">
        <f t="shared" si="53"/>
      </c>
      <c r="G6676" s="22" cm="1">
        <f t="array" ref="G6676">IF(AND(Inputs!$C$60,Inputs!$C$61),INDEX(Utility_Rates!$C$29:$F$52,HOUR(C6676)+Inputs!$C$69,MATCH(INDEX(Utility_Rates!$K$6:$K$17,MONTH(C6676))&amp;IF(WEEKDAY(C6676,Inputs!$C$76)&lt;=Inputs!$C$74," weekday"," weekend"),Utility_Rates!$C$28:$F$28,Inputs!$C$68)),"")</f>
      </c>
      <c r="H6676" s="34"/>
      <c r="I6676" s="42">
        <f>IF(AND(ISNUMBER(D6676),ISNUMBER(H6676)),D6676*H6676*Inputs!$C$69,"")</f>
      </c>
      <c r="J6676" s="42">
        <f>IF(AND(ISNUMBER(F6676),ISNUMBER(H6676),F6676&gt;=Inputs!$C$68),F6676*H6676*Inputs!$C$69,"")</f>
      </c>
    </row>
    <row r="6677" spans="2:10" ht="15" customHeight="1" x14ac:dyDescent="0.2">
      <c r="B6677" s="39">
        <f t="shared" si="52"/>
      </c>
      <c r="C6677" s="40">
        <f>IF(Inputs!$C$60,Inputs!$C$11+(B6677-Inputs!$C$69)/Inputs!$C$70,"")</f>
      </c>
      <c r="D6677" s="15"/>
      <c r="E6677" s="15"/>
      <c r="F6677" s="11">
        <f t="shared" si="53"/>
      </c>
      <c r="G6677" s="22" cm="1">
        <f t="array" ref="G6677">IF(AND(Inputs!$C$60,Inputs!$C$61),INDEX(Utility_Rates!$C$29:$F$52,HOUR(C6677)+Inputs!$C$69,MATCH(INDEX(Utility_Rates!$K$6:$K$17,MONTH(C6677))&amp;IF(WEEKDAY(C6677,Inputs!$C$76)&lt;=Inputs!$C$74," weekday"," weekend"),Utility_Rates!$C$28:$F$28,Inputs!$C$68)),"")</f>
      </c>
      <c r="H6677" s="34"/>
      <c r="I6677" s="42">
        <f>IF(AND(ISNUMBER(D6677),ISNUMBER(H6677)),D6677*H6677*Inputs!$C$69,"")</f>
      </c>
      <c r="J6677" s="42">
        <f>IF(AND(ISNUMBER(F6677),ISNUMBER(H6677),F6677&gt;=Inputs!$C$68),F6677*H6677*Inputs!$C$69,"")</f>
      </c>
    </row>
    <row r="6678" spans="2:10" ht="15" customHeight="1" x14ac:dyDescent="0.2">
      <c r="B6678" s="39">
        <f t="shared" si="52"/>
      </c>
      <c r="C6678" s="40">
        <f>IF(Inputs!$C$60,Inputs!$C$11+(B6678-Inputs!$C$69)/Inputs!$C$70,"")</f>
      </c>
      <c r="D6678" s="15"/>
      <c r="E6678" s="15"/>
      <c r="F6678" s="11">
        <f t="shared" si="53"/>
      </c>
      <c r="G6678" s="22" cm="1">
        <f t="array" ref="G6678">IF(AND(Inputs!$C$60,Inputs!$C$61),INDEX(Utility_Rates!$C$29:$F$52,HOUR(C6678)+Inputs!$C$69,MATCH(INDEX(Utility_Rates!$K$6:$K$17,MONTH(C6678))&amp;IF(WEEKDAY(C6678,Inputs!$C$76)&lt;=Inputs!$C$74," weekday"," weekend"),Utility_Rates!$C$28:$F$28,Inputs!$C$68)),"")</f>
      </c>
      <c r="H6678" s="34"/>
      <c r="I6678" s="42">
        <f>IF(AND(ISNUMBER(D6678),ISNUMBER(H6678)),D6678*H6678*Inputs!$C$69,"")</f>
      </c>
      <c r="J6678" s="42">
        <f>IF(AND(ISNUMBER(F6678),ISNUMBER(H6678),F6678&gt;=Inputs!$C$68),F6678*H6678*Inputs!$C$69,"")</f>
      </c>
    </row>
    <row r="6679" spans="2:10" ht="15" customHeight="1" x14ac:dyDescent="0.2">
      <c r="B6679" s="39">
        <f t="shared" si="52"/>
      </c>
      <c r="C6679" s="40">
        <f>IF(Inputs!$C$60,Inputs!$C$11+(B6679-Inputs!$C$69)/Inputs!$C$70,"")</f>
      </c>
      <c r="D6679" s="15"/>
      <c r="E6679" s="15"/>
      <c r="F6679" s="11">
        <f t="shared" si="53"/>
      </c>
      <c r="G6679" s="22" cm="1">
        <f t="array" ref="G6679">IF(AND(Inputs!$C$60,Inputs!$C$61),INDEX(Utility_Rates!$C$29:$F$52,HOUR(C6679)+Inputs!$C$69,MATCH(INDEX(Utility_Rates!$K$6:$K$17,MONTH(C6679))&amp;IF(WEEKDAY(C6679,Inputs!$C$76)&lt;=Inputs!$C$74," weekday"," weekend"),Utility_Rates!$C$28:$F$28,Inputs!$C$68)),"")</f>
      </c>
      <c r="H6679" s="34"/>
      <c r="I6679" s="42">
        <f>IF(AND(ISNUMBER(D6679),ISNUMBER(H6679)),D6679*H6679*Inputs!$C$69,"")</f>
      </c>
      <c r="J6679" s="42">
        <f>IF(AND(ISNUMBER(F6679),ISNUMBER(H6679),F6679&gt;=Inputs!$C$68),F6679*H6679*Inputs!$C$69,"")</f>
      </c>
    </row>
    <row r="6680" spans="2:10" ht="15" customHeight="1" x14ac:dyDescent="0.2">
      <c r="B6680" s="39">
        <f t="shared" si="52"/>
      </c>
      <c r="C6680" s="40">
        <f>IF(Inputs!$C$60,Inputs!$C$11+(B6680-Inputs!$C$69)/Inputs!$C$70,"")</f>
      </c>
      <c r="D6680" s="15"/>
      <c r="E6680" s="15"/>
      <c r="F6680" s="11">
        <f t="shared" si="53"/>
      </c>
      <c r="G6680" s="22" cm="1">
        <f t="array" ref="G6680">IF(AND(Inputs!$C$60,Inputs!$C$61),INDEX(Utility_Rates!$C$29:$F$52,HOUR(C6680)+Inputs!$C$69,MATCH(INDEX(Utility_Rates!$K$6:$K$17,MONTH(C6680))&amp;IF(WEEKDAY(C6680,Inputs!$C$76)&lt;=Inputs!$C$74," weekday"," weekend"),Utility_Rates!$C$28:$F$28,Inputs!$C$68)),"")</f>
      </c>
      <c r="H6680" s="34"/>
      <c r="I6680" s="42">
        <f>IF(AND(ISNUMBER(D6680),ISNUMBER(H6680)),D6680*H6680*Inputs!$C$69,"")</f>
      </c>
      <c r="J6680" s="42">
        <f>IF(AND(ISNUMBER(F6680),ISNUMBER(H6680),F6680&gt;=Inputs!$C$68),F6680*H6680*Inputs!$C$69,"")</f>
      </c>
    </row>
    <row r="6681" spans="2:10" ht="15" customHeight="1" x14ac:dyDescent="0.2">
      <c r="B6681" s="39">
        <f t="shared" si="52"/>
      </c>
      <c r="C6681" s="40">
        <f>IF(Inputs!$C$60,Inputs!$C$11+(B6681-Inputs!$C$69)/Inputs!$C$70,"")</f>
      </c>
      <c r="D6681" s="15"/>
      <c r="E6681" s="15"/>
      <c r="F6681" s="11">
        <f t="shared" si="53"/>
      </c>
      <c r="G6681" s="22" cm="1">
        <f t="array" ref="G6681">IF(AND(Inputs!$C$60,Inputs!$C$61),INDEX(Utility_Rates!$C$29:$F$52,HOUR(C6681)+Inputs!$C$69,MATCH(INDEX(Utility_Rates!$K$6:$K$17,MONTH(C6681))&amp;IF(WEEKDAY(C6681,Inputs!$C$76)&lt;=Inputs!$C$74," weekday"," weekend"),Utility_Rates!$C$28:$F$28,Inputs!$C$68)),"")</f>
      </c>
      <c r="H6681" s="34"/>
      <c r="I6681" s="42">
        <f>IF(AND(ISNUMBER(D6681),ISNUMBER(H6681)),D6681*H6681*Inputs!$C$69,"")</f>
      </c>
      <c r="J6681" s="42">
        <f>IF(AND(ISNUMBER(F6681),ISNUMBER(H6681),F6681&gt;=Inputs!$C$68),F6681*H6681*Inputs!$C$69,"")</f>
      </c>
    </row>
    <row r="6682" spans="2:10" ht="15" customHeight="1" x14ac:dyDescent="0.2">
      <c r="B6682" s="39">
        <f t="shared" si="52"/>
      </c>
      <c r="C6682" s="40">
        <f>IF(Inputs!$C$60,Inputs!$C$11+(B6682-Inputs!$C$69)/Inputs!$C$70,"")</f>
      </c>
      <c r="D6682" s="15"/>
      <c r="E6682" s="15"/>
      <c r="F6682" s="11">
        <f t="shared" si="53"/>
      </c>
      <c r="G6682" s="22" cm="1">
        <f t="array" ref="G6682">IF(AND(Inputs!$C$60,Inputs!$C$61),INDEX(Utility_Rates!$C$29:$F$52,HOUR(C6682)+Inputs!$C$69,MATCH(INDEX(Utility_Rates!$K$6:$K$17,MONTH(C6682))&amp;IF(WEEKDAY(C6682,Inputs!$C$76)&lt;=Inputs!$C$74," weekday"," weekend"),Utility_Rates!$C$28:$F$28,Inputs!$C$68)),"")</f>
      </c>
      <c r="H6682" s="34"/>
      <c r="I6682" s="42">
        <f>IF(AND(ISNUMBER(D6682),ISNUMBER(H6682)),D6682*H6682*Inputs!$C$69,"")</f>
      </c>
      <c r="J6682" s="42">
        <f>IF(AND(ISNUMBER(F6682),ISNUMBER(H6682),F6682&gt;=Inputs!$C$68),F6682*H6682*Inputs!$C$69,"")</f>
      </c>
    </row>
    <row r="6683" spans="2:10" ht="15" customHeight="1" x14ac:dyDescent="0.2">
      <c r="B6683" s="39">
        <f t="shared" si="52"/>
      </c>
      <c r="C6683" s="40">
        <f>IF(Inputs!$C$60,Inputs!$C$11+(B6683-Inputs!$C$69)/Inputs!$C$70,"")</f>
      </c>
      <c r="D6683" s="15"/>
      <c r="E6683" s="15"/>
      <c r="F6683" s="11">
        <f t="shared" si="53"/>
      </c>
      <c r="G6683" s="22" cm="1">
        <f t="array" ref="G6683">IF(AND(Inputs!$C$60,Inputs!$C$61),INDEX(Utility_Rates!$C$29:$F$52,HOUR(C6683)+Inputs!$C$69,MATCH(INDEX(Utility_Rates!$K$6:$K$17,MONTH(C6683))&amp;IF(WEEKDAY(C6683,Inputs!$C$76)&lt;=Inputs!$C$74," weekday"," weekend"),Utility_Rates!$C$28:$F$28,Inputs!$C$68)),"")</f>
      </c>
      <c r="H6683" s="34"/>
      <c r="I6683" s="42">
        <f>IF(AND(ISNUMBER(D6683),ISNUMBER(H6683)),D6683*H6683*Inputs!$C$69,"")</f>
      </c>
      <c r="J6683" s="42">
        <f>IF(AND(ISNUMBER(F6683),ISNUMBER(H6683),F6683&gt;=Inputs!$C$68),F6683*H6683*Inputs!$C$69,"")</f>
      </c>
    </row>
    <row r="6684" spans="2:10" ht="15" customHeight="1" x14ac:dyDescent="0.2">
      <c r="B6684" s="39">
        <f t="shared" si="52"/>
      </c>
      <c r="C6684" s="40">
        <f>IF(Inputs!$C$60,Inputs!$C$11+(B6684-Inputs!$C$69)/Inputs!$C$70,"")</f>
      </c>
      <c r="D6684" s="15"/>
      <c r="E6684" s="15"/>
      <c r="F6684" s="11">
        <f t="shared" si="53"/>
      </c>
      <c r="G6684" s="22" cm="1">
        <f t="array" ref="G6684">IF(AND(Inputs!$C$60,Inputs!$C$61),INDEX(Utility_Rates!$C$29:$F$52,HOUR(C6684)+Inputs!$C$69,MATCH(INDEX(Utility_Rates!$K$6:$K$17,MONTH(C6684))&amp;IF(WEEKDAY(C6684,Inputs!$C$76)&lt;=Inputs!$C$74," weekday"," weekend"),Utility_Rates!$C$28:$F$28,Inputs!$C$68)),"")</f>
      </c>
      <c r="H6684" s="34"/>
      <c r="I6684" s="42">
        <f>IF(AND(ISNUMBER(D6684),ISNUMBER(H6684)),D6684*H6684*Inputs!$C$69,"")</f>
      </c>
      <c r="J6684" s="42">
        <f>IF(AND(ISNUMBER(F6684),ISNUMBER(H6684),F6684&gt;=Inputs!$C$68),F6684*H6684*Inputs!$C$69,"")</f>
      </c>
    </row>
    <row r="6685" spans="2:10" ht="15" customHeight="1" x14ac:dyDescent="0.2">
      <c r="B6685" s="39">
        <f t="shared" si="52"/>
      </c>
      <c r="C6685" s="40">
        <f>IF(Inputs!$C$60,Inputs!$C$11+(B6685-Inputs!$C$69)/Inputs!$C$70,"")</f>
      </c>
      <c r="D6685" s="15"/>
      <c r="E6685" s="15"/>
      <c r="F6685" s="11">
        <f t="shared" si="53"/>
      </c>
      <c r="G6685" s="22" cm="1">
        <f t="array" ref="G6685">IF(AND(Inputs!$C$60,Inputs!$C$61),INDEX(Utility_Rates!$C$29:$F$52,HOUR(C6685)+Inputs!$C$69,MATCH(INDEX(Utility_Rates!$K$6:$K$17,MONTH(C6685))&amp;IF(WEEKDAY(C6685,Inputs!$C$76)&lt;=Inputs!$C$74," weekday"," weekend"),Utility_Rates!$C$28:$F$28,Inputs!$C$68)),"")</f>
      </c>
      <c r="H6685" s="34"/>
      <c r="I6685" s="42">
        <f>IF(AND(ISNUMBER(D6685),ISNUMBER(H6685)),D6685*H6685*Inputs!$C$69,"")</f>
      </c>
      <c r="J6685" s="42">
        <f>IF(AND(ISNUMBER(F6685),ISNUMBER(H6685),F6685&gt;=Inputs!$C$68),F6685*H6685*Inputs!$C$69,"")</f>
      </c>
    </row>
    <row r="6686" spans="2:10" ht="15" customHeight="1" x14ac:dyDescent="0.2">
      <c r="B6686" s="39">
        <f t="shared" si="52"/>
      </c>
      <c r="C6686" s="40">
        <f>IF(Inputs!$C$60,Inputs!$C$11+(B6686-Inputs!$C$69)/Inputs!$C$70,"")</f>
      </c>
      <c r="D6686" s="15"/>
      <c r="E6686" s="15"/>
      <c r="F6686" s="11">
        <f t="shared" si="53"/>
      </c>
      <c r="G6686" s="22" cm="1">
        <f t="array" ref="G6686">IF(AND(Inputs!$C$60,Inputs!$C$61),INDEX(Utility_Rates!$C$29:$F$52,HOUR(C6686)+Inputs!$C$69,MATCH(INDEX(Utility_Rates!$K$6:$K$17,MONTH(C6686))&amp;IF(WEEKDAY(C6686,Inputs!$C$76)&lt;=Inputs!$C$74," weekday"," weekend"),Utility_Rates!$C$28:$F$28,Inputs!$C$68)),"")</f>
      </c>
      <c r="H6686" s="34"/>
      <c r="I6686" s="42">
        <f>IF(AND(ISNUMBER(D6686),ISNUMBER(H6686)),D6686*H6686*Inputs!$C$69,"")</f>
      </c>
      <c r="J6686" s="42">
        <f>IF(AND(ISNUMBER(F6686),ISNUMBER(H6686),F6686&gt;=Inputs!$C$68),F6686*H6686*Inputs!$C$69,"")</f>
      </c>
    </row>
    <row r="6687" spans="2:10" ht="15" customHeight="1" x14ac:dyDescent="0.2">
      <c r="B6687" s="39">
        <f t="shared" si="52"/>
      </c>
      <c r="C6687" s="40">
        <f>IF(Inputs!$C$60,Inputs!$C$11+(B6687-Inputs!$C$69)/Inputs!$C$70,"")</f>
      </c>
      <c r="D6687" s="15"/>
      <c r="E6687" s="15"/>
      <c r="F6687" s="11">
        <f t="shared" si="53"/>
      </c>
      <c r="G6687" s="22" cm="1">
        <f t="array" ref="G6687">IF(AND(Inputs!$C$60,Inputs!$C$61),INDEX(Utility_Rates!$C$29:$F$52,HOUR(C6687)+Inputs!$C$69,MATCH(INDEX(Utility_Rates!$K$6:$K$17,MONTH(C6687))&amp;IF(WEEKDAY(C6687,Inputs!$C$76)&lt;=Inputs!$C$74," weekday"," weekend"),Utility_Rates!$C$28:$F$28,Inputs!$C$68)),"")</f>
      </c>
      <c r="H6687" s="34"/>
      <c r="I6687" s="42">
        <f>IF(AND(ISNUMBER(D6687),ISNUMBER(H6687)),D6687*H6687*Inputs!$C$69,"")</f>
      </c>
      <c r="J6687" s="42">
        <f>IF(AND(ISNUMBER(F6687),ISNUMBER(H6687),F6687&gt;=Inputs!$C$68),F6687*H6687*Inputs!$C$69,"")</f>
      </c>
    </row>
    <row r="6688" spans="2:10" ht="15" customHeight="1" x14ac:dyDescent="0.2">
      <c r="B6688" s="39">
        <f t="shared" si="52"/>
      </c>
      <c r="C6688" s="40">
        <f>IF(Inputs!$C$60,Inputs!$C$11+(B6688-Inputs!$C$69)/Inputs!$C$70,"")</f>
      </c>
      <c r="D6688" s="15"/>
      <c r="E6688" s="15"/>
      <c r="F6688" s="11">
        <f t="shared" si="53"/>
      </c>
      <c r="G6688" s="22" cm="1">
        <f t="array" ref="G6688">IF(AND(Inputs!$C$60,Inputs!$C$61),INDEX(Utility_Rates!$C$29:$F$52,HOUR(C6688)+Inputs!$C$69,MATCH(INDEX(Utility_Rates!$K$6:$K$17,MONTH(C6688))&amp;IF(WEEKDAY(C6688,Inputs!$C$76)&lt;=Inputs!$C$74," weekday"," weekend"),Utility_Rates!$C$28:$F$28,Inputs!$C$68)),"")</f>
      </c>
      <c r="H6688" s="34"/>
      <c r="I6688" s="42">
        <f>IF(AND(ISNUMBER(D6688),ISNUMBER(H6688)),D6688*H6688*Inputs!$C$69,"")</f>
      </c>
      <c r="J6688" s="42">
        <f>IF(AND(ISNUMBER(F6688),ISNUMBER(H6688),F6688&gt;=Inputs!$C$68),F6688*H6688*Inputs!$C$69,"")</f>
      </c>
    </row>
    <row r="6689" spans="2:10" ht="15" customHeight="1" x14ac:dyDescent="0.2">
      <c r="B6689" s="39">
        <f t="shared" si="52"/>
      </c>
      <c r="C6689" s="40">
        <f>IF(Inputs!$C$60,Inputs!$C$11+(B6689-Inputs!$C$69)/Inputs!$C$70,"")</f>
      </c>
      <c r="D6689" s="15"/>
      <c r="E6689" s="15"/>
      <c r="F6689" s="11">
        <f t="shared" si="53"/>
      </c>
      <c r="G6689" s="22" cm="1">
        <f t="array" ref="G6689">IF(AND(Inputs!$C$60,Inputs!$C$61),INDEX(Utility_Rates!$C$29:$F$52,HOUR(C6689)+Inputs!$C$69,MATCH(INDEX(Utility_Rates!$K$6:$K$17,MONTH(C6689))&amp;IF(WEEKDAY(C6689,Inputs!$C$76)&lt;=Inputs!$C$74," weekday"," weekend"),Utility_Rates!$C$28:$F$28,Inputs!$C$68)),"")</f>
      </c>
      <c r="H6689" s="34"/>
      <c r="I6689" s="42">
        <f>IF(AND(ISNUMBER(D6689),ISNUMBER(H6689)),D6689*H6689*Inputs!$C$69,"")</f>
      </c>
      <c r="J6689" s="42">
        <f>IF(AND(ISNUMBER(F6689),ISNUMBER(H6689),F6689&gt;=Inputs!$C$68),F6689*H6689*Inputs!$C$69,"")</f>
      </c>
    </row>
    <row r="6690" spans="2:10" ht="15" customHeight="1" x14ac:dyDescent="0.2">
      <c r="B6690" s="39">
        <f t="shared" si="52"/>
      </c>
      <c r="C6690" s="40">
        <f>IF(Inputs!$C$60,Inputs!$C$11+(B6690-Inputs!$C$69)/Inputs!$C$70,"")</f>
      </c>
      <c r="D6690" s="15"/>
      <c r="E6690" s="15"/>
      <c r="F6690" s="11">
        <f t="shared" si="53"/>
      </c>
      <c r="G6690" s="22" cm="1">
        <f t="array" ref="G6690">IF(AND(Inputs!$C$60,Inputs!$C$61),INDEX(Utility_Rates!$C$29:$F$52,HOUR(C6690)+Inputs!$C$69,MATCH(INDEX(Utility_Rates!$K$6:$K$17,MONTH(C6690))&amp;IF(WEEKDAY(C6690,Inputs!$C$76)&lt;=Inputs!$C$74," weekday"," weekend"),Utility_Rates!$C$28:$F$28,Inputs!$C$68)),"")</f>
      </c>
      <c r="H6690" s="34"/>
      <c r="I6690" s="42">
        <f>IF(AND(ISNUMBER(D6690),ISNUMBER(H6690)),D6690*H6690*Inputs!$C$69,"")</f>
      </c>
      <c r="J6690" s="42">
        <f>IF(AND(ISNUMBER(F6690),ISNUMBER(H6690),F6690&gt;=Inputs!$C$68),F6690*H6690*Inputs!$C$69,"")</f>
      </c>
    </row>
    <row r="6691" spans="2:10" ht="15" customHeight="1" x14ac:dyDescent="0.2">
      <c r="B6691" s="39">
        <f t="shared" si="52"/>
      </c>
      <c r="C6691" s="40">
        <f>IF(Inputs!$C$60,Inputs!$C$11+(B6691-Inputs!$C$69)/Inputs!$C$70,"")</f>
      </c>
      <c r="D6691" s="15"/>
      <c r="E6691" s="15"/>
      <c r="F6691" s="11">
        <f t="shared" si="53"/>
      </c>
      <c r="G6691" s="22" cm="1">
        <f t="array" ref="G6691">IF(AND(Inputs!$C$60,Inputs!$C$61),INDEX(Utility_Rates!$C$29:$F$52,HOUR(C6691)+Inputs!$C$69,MATCH(INDEX(Utility_Rates!$K$6:$K$17,MONTH(C6691))&amp;IF(WEEKDAY(C6691,Inputs!$C$76)&lt;=Inputs!$C$74," weekday"," weekend"),Utility_Rates!$C$28:$F$28,Inputs!$C$68)),"")</f>
      </c>
      <c r="H6691" s="34"/>
      <c r="I6691" s="42">
        <f>IF(AND(ISNUMBER(D6691),ISNUMBER(H6691)),D6691*H6691*Inputs!$C$69,"")</f>
      </c>
      <c r="J6691" s="42">
        <f>IF(AND(ISNUMBER(F6691),ISNUMBER(H6691),F6691&gt;=Inputs!$C$68),F6691*H6691*Inputs!$C$69,"")</f>
      </c>
    </row>
    <row r="6692" spans="2:10" ht="15" customHeight="1" x14ac:dyDescent="0.2">
      <c r="B6692" s="39">
        <f t="shared" si="52"/>
      </c>
      <c r="C6692" s="40">
        <f>IF(Inputs!$C$60,Inputs!$C$11+(B6692-Inputs!$C$69)/Inputs!$C$70,"")</f>
      </c>
      <c r="D6692" s="15"/>
      <c r="E6692" s="15"/>
      <c r="F6692" s="11">
        <f t="shared" si="53"/>
      </c>
      <c r="G6692" s="22" cm="1">
        <f t="array" ref="G6692">IF(AND(Inputs!$C$60,Inputs!$C$61),INDEX(Utility_Rates!$C$29:$F$52,HOUR(C6692)+Inputs!$C$69,MATCH(INDEX(Utility_Rates!$K$6:$K$17,MONTH(C6692))&amp;IF(WEEKDAY(C6692,Inputs!$C$76)&lt;=Inputs!$C$74," weekday"," weekend"),Utility_Rates!$C$28:$F$28,Inputs!$C$68)),"")</f>
      </c>
      <c r="H6692" s="34"/>
      <c r="I6692" s="42">
        <f>IF(AND(ISNUMBER(D6692),ISNUMBER(H6692)),D6692*H6692*Inputs!$C$69,"")</f>
      </c>
      <c r="J6692" s="42">
        <f>IF(AND(ISNUMBER(F6692),ISNUMBER(H6692),F6692&gt;=Inputs!$C$68),F6692*H6692*Inputs!$C$69,"")</f>
      </c>
    </row>
    <row r="6693" spans="2:10" ht="15" customHeight="1" x14ac:dyDescent="0.2">
      <c r="B6693" s="39">
        <f t="shared" si="52"/>
      </c>
      <c r="C6693" s="40">
        <f>IF(Inputs!$C$60,Inputs!$C$11+(B6693-Inputs!$C$69)/Inputs!$C$70,"")</f>
      </c>
      <c r="D6693" s="15"/>
      <c r="E6693" s="15"/>
      <c r="F6693" s="11">
        <f t="shared" si="53"/>
      </c>
      <c r="G6693" s="22" cm="1">
        <f t="array" ref="G6693">IF(AND(Inputs!$C$60,Inputs!$C$61),INDEX(Utility_Rates!$C$29:$F$52,HOUR(C6693)+Inputs!$C$69,MATCH(INDEX(Utility_Rates!$K$6:$K$17,MONTH(C6693))&amp;IF(WEEKDAY(C6693,Inputs!$C$76)&lt;=Inputs!$C$74," weekday"," weekend"),Utility_Rates!$C$28:$F$28,Inputs!$C$68)),"")</f>
      </c>
      <c r="H6693" s="34"/>
      <c r="I6693" s="42">
        <f>IF(AND(ISNUMBER(D6693),ISNUMBER(H6693)),D6693*H6693*Inputs!$C$69,"")</f>
      </c>
      <c r="J6693" s="42">
        <f>IF(AND(ISNUMBER(F6693),ISNUMBER(H6693),F6693&gt;=Inputs!$C$68),F6693*H6693*Inputs!$C$69,"")</f>
      </c>
    </row>
    <row r="6694" spans="2:10" ht="15" customHeight="1" x14ac:dyDescent="0.2">
      <c r="B6694" s="39">
        <f t="shared" si="52"/>
      </c>
      <c r="C6694" s="40">
        <f>IF(Inputs!$C$60,Inputs!$C$11+(B6694-Inputs!$C$69)/Inputs!$C$70,"")</f>
      </c>
      <c r="D6694" s="15"/>
      <c r="E6694" s="15"/>
      <c r="F6694" s="11">
        <f t="shared" si="53"/>
      </c>
      <c r="G6694" s="22" cm="1">
        <f t="array" ref="G6694">IF(AND(Inputs!$C$60,Inputs!$C$61),INDEX(Utility_Rates!$C$29:$F$52,HOUR(C6694)+Inputs!$C$69,MATCH(INDEX(Utility_Rates!$K$6:$K$17,MONTH(C6694))&amp;IF(WEEKDAY(C6694,Inputs!$C$76)&lt;=Inputs!$C$74," weekday"," weekend"),Utility_Rates!$C$28:$F$28,Inputs!$C$68)),"")</f>
      </c>
      <c r="H6694" s="34"/>
      <c r="I6694" s="42">
        <f>IF(AND(ISNUMBER(D6694),ISNUMBER(H6694)),D6694*H6694*Inputs!$C$69,"")</f>
      </c>
      <c r="J6694" s="42">
        <f>IF(AND(ISNUMBER(F6694),ISNUMBER(H6694),F6694&gt;=Inputs!$C$68),F6694*H6694*Inputs!$C$69,"")</f>
      </c>
    </row>
    <row r="6695" spans="2:10" ht="15" customHeight="1" x14ac:dyDescent="0.2">
      <c r="B6695" s="39">
        <f t="shared" si="52"/>
      </c>
      <c r="C6695" s="40">
        <f>IF(Inputs!$C$60,Inputs!$C$11+(B6695-Inputs!$C$69)/Inputs!$C$70,"")</f>
      </c>
      <c r="D6695" s="15"/>
      <c r="E6695" s="15"/>
      <c r="F6695" s="11">
        <f t="shared" si="53"/>
      </c>
      <c r="G6695" s="22" cm="1">
        <f t="array" ref="G6695">IF(AND(Inputs!$C$60,Inputs!$C$61),INDEX(Utility_Rates!$C$29:$F$52,HOUR(C6695)+Inputs!$C$69,MATCH(INDEX(Utility_Rates!$K$6:$K$17,MONTH(C6695))&amp;IF(WEEKDAY(C6695,Inputs!$C$76)&lt;=Inputs!$C$74," weekday"," weekend"),Utility_Rates!$C$28:$F$28,Inputs!$C$68)),"")</f>
      </c>
      <c r="H6695" s="34"/>
      <c r="I6695" s="42">
        <f>IF(AND(ISNUMBER(D6695),ISNUMBER(H6695)),D6695*H6695*Inputs!$C$69,"")</f>
      </c>
      <c r="J6695" s="42">
        <f>IF(AND(ISNUMBER(F6695),ISNUMBER(H6695),F6695&gt;=Inputs!$C$68),F6695*H6695*Inputs!$C$69,"")</f>
      </c>
    </row>
    <row r="6696" spans="2:10" ht="15" customHeight="1" x14ac:dyDescent="0.2">
      <c r="B6696" s="39">
        <f t="shared" si="52"/>
      </c>
      <c r="C6696" s="40">
        <f>IF(Inputs!$C$60,Inputs!$C$11+(B6696-Inputs!$C$69)/Inputs!$C$70,"")</f>
      </c>
      <c r="D6696" s="15"/>
      <c r="E6696" s="15"/>
      <c r="F6696" s="11">
        <f t="shared" si="53"/>
      </c>
      <c r="G6696" s="22" cm="1">
        <f t="array" ref="G6696">IF(AND(Inputs!$C$60,Inputs!$C$61),INDEX(Utility_Rates!$C$29:$F$52,HOUR(C6696)+Inputs!$C$69,MATCH(INDEX(Utility_Rates!$K$6:$K$17,MONTH(C6696))&amp;IF(WEEKDAY(C6696,Inputs!$C$76)&lt;=Inputs!$C$74," weekday"," weekend"),Utility_Rates!$C$28:$F$28,Inputs!$C$68)),"")</f>
      </c>
      <c r="H6696" s="34"/>
      <c r="I6696" s="42">
        <f>IF(AND(ISNUMBER(D6696),ISNUMBER(H6696)),D6696*H6696*Inputs!$C$69,"")</f>
      </c>
      <c r="J6696" s="42">
        <f>IF(AND(ISNUMBER(F6696),ISNUMBER(H6696),F6696&gt;=Inputs!$C$68),F6696*H6696*Inputs!$C$69,"")</f>
      </c>
    </row>
    <row r="6697" spans="2:10" ht="15" customHeight="1" x14ac:dyDescent="0.2">
      <c r="B6697" s="39">
        <f t="shared" si="52"/>
      </c>
      <c r="C6697" s="40">
        <f>IF(Inputs!$C$60,Inputs!$C$11+(B6697-Inputs!$C$69)/Inputs!$C$70,"")</f>
      </c>
      <c r="D6697" s="15"/>
      <c r="E6697" s="15"/>
      <c r="F6697" s="11">
        <f t="shared" si="53"/>
      </c>
      <c r="G6697" s="22" cm="1">
        <f t="array" ref="G6697">IF(AND(Inputs!$C$60,Inputs!$C$61),INDEX(Utility_Rates!$C$29:$F$52,HOUR(C6697)+Inputs!$C$69,MATCH(INDEX(Utility_Rates!$K$6:$K$17,MONTH(C6697))&amp;IF(WEEKDAY(C6697,Inputs!$C$76)&lt;=Inputs!$C$74," weekday"," weekend"),Utility_Rates!$C$28:$F$28,Inputs!$C$68)),"")</f>
      </c>
      <c r="H6697" s="34"/>
      <c r="I6697" s="42">
        <f>IF(AND(ISNUMBER(D6697),ISNUMBER(H6697)),D6697*H6697*Inputs!$C$69,"")</f>
      </c>
      <c r="J6697" s="42">
        <f>IF(AND(ISNUMBER(F6697),ISNUMBER(H6697),F6697&gt;=Inputs!$C$68),F6697*H6697*Inputs!$C$69,"")</f>
      </c>
    </row>
    <row r="6698" spans="2:10" ht="15" customHeight="1" x14ac:dyDescent="0.2">
      <c r="B6698" s="39">
        <f t="shared" si="52"/>
      </c>
      <c r="C6698" s="40">
        <f>IF(Inputs!$C$60,Inputs!$C$11+(B6698-Inputs!$C$69)/Inputs!$C$70,"")</f>
      </c>
      <c r="D6698" s="15"/>
      <c r="E6698" s="15"/>
      <c r="F6698" s="11">
        <f t="shared" si="53"/>
      </c>
      <c r="G6698" s="22" cm="1">
        <f t="array" ref="G6698">IF(AND(Inputs!$C$60,Inputs!$C$61),INDEX(Utility_Rates!$C$29:$F$52,HOUR(C6698)+Inputs!$C$69,MATCH(INDEX(Utility_Rates!$K$6:$K$17,MONTH(C6698))&amp;IF(WEEKDAY(C6698,Inputs!$C$76)&lt;=Inputs!$C$74," weekday"," weekend"),Utility_Rates!$C$28:$F$28,Inputs!$C$68)),"")</f>
      </c>
      <c r="H6698" s="34"/>
      <c r="I6698" s="42">
        <f>IF(AND(ISNUMBER(D6698),ISNUMBER(H6698)),D6698*H6698*Inputs!$C$69,"")</f>
      </c>
      <c r="J6698" s="42">
        <f>IF(AND(ISNUMBER(F6698),ISNUMBER(H6698),F6698&gt;=Inputs!$C$68),F6698*H6698*Inputs!$C$69,"")</f>
      </c>
    </row>
    <row r="6699" spans="2:10" ht="15" customHeight="1" x14ac:dyDescent="0.2">
      <c r="B6699" s="39">
        <f t="shared" si="52"/>
      </c>
      <c r="C6699" s="40">
        <f>IF(Inputs!$C$60,Inputs!$C$11+(B6699-Inputs!$C$69)/Inputs!$C$70,"")</f>
      </c>
      <c r="D6699" s="15"/>
      <c r="E6699" s="15"/>
      <c r="F6699" s="11">
        <f t="shared" si="53"/>
      </c>
      <c r="G6699" s="22" cm="1">
        <f t="array" ref="G6699">IF(AND(Inputs!$C$60,Inputs!$C$61),INDEX(Utility_Rates!$C$29:$F$52,HOUR(C6699)+Inputs!$C$69,MATCH(INDEX(Utility_Rates!$K$6:$K$17,MONTH(C6699))&amp;IF(WEEKDAY(C6699,Inputs!$C$76)&lt;=Inputs!$C$74," weekday"," weekend"),Utility_Rates!$C$28:$F$28,Inputs!$C$68)),"")</f>
      </c>
      <c r="H6699" s="34"/>
      <c r="I6699" s="42">
        <f>IF(AND(ISNUMBER(D6699),ISNUMBER(H6699)),D6699*H6699*Inputs!$C$69,"")</f>
      </c>
      <c r="J6699" s="42">
        <f>IF(AND(ISNUMBER(F6699),ISNUMBER(H6699),F6699&gt;=Inputs!$C$68),F6699*H6699*Inputs!$C$69,"")</f>
      </c>
    </row>
    <row r="6700" spans="2:10" ht="15" customHeight="1" x14ac:dyDescent="0.2">
      <c r="B6700" s="39">
        <f t="shared" si="52"/>
      </c>
      <c r="C6700" s="40">
        <f>IF(Inputs!$C$60,Inputs!$C$11+(B6700-Inputs!$C$69)/Inputs!$C$70,"")</f>
      </c>
      <c r="D6700" s="15"/>
      <c r="E6700" s="15"/>
      <c r="F6700" s="11">
        <f t="shared" si="53"/>
      </c>
      <c r="G6700" s="22" cm="1">
        <f t="array" ref="G6700">IF(AND(Inputs!$C$60,Inputs!$C$61),INDEX(Utility_Rates!$C$29:$F$52,HOUR(C6700)+Inputs!$C$69,MATCH(INDEX(Utility_Rates!$K$6:$K$17,MONTH(C6700))&amp;IF(WEEKDAY(C6700,Inputs!$C$76)&lt;=Inputs!$C$74," weekday"," weekend"),Utility_Rates!$C$28:$F$28,Inputs!$C$68)),"")</f>
      </c>
      <c r="H6700" s="34"/>
      <c r="I6700" s="42">
        <f>IF(AND(ISNUMBER(D6700),ISNUMBER(H6700)),D6700*H6700*Inputs!$C$69,"")</f>
      </c>
      <c r="J6700" s="42">
        <f>IF(AND(ISNUMBER(F6700),ISNUMBER(H6700),F6700&gt;=Inputs!$C$68),F6700*H6700*Inputs!$C$69,"")</f>
      </c>
    </row>
    <row r="6701" spans="2:10" ht="15" customHeight="1" x14ac:dyDescent="0.2">
      <c r="B6701" s="39">
        <f t="shared" si="52"/>
      </c>
      <c r="C6701" s="40">
        <f>IF(Inputs!$C$60,Inputs!$C$11+(B6701-Inputs!$C$69)/Inputs!$C$70,"")</f>
      </c>
      <c r="D6701" s="15"/>
      <c r="E6701" s="15"/>
      <c r="F6701" s="11">
        <f t="shared" si="53"/>
      </c>
      <c r="G6701" s="22" cm="1">
        <f t="array" ref="G6701">IF(AND(Inputs!$C$60,Inputs!$C$61),INDEX(Utility_Rates!$C$29:$F$52,HOUR(C6701)+Inputs!$C$69,MATCH(INDEX(Utility_Rates!$K$6:$K$17,MONTH(C6701))&amp;IF(WEEKDAY(C6701,Inputs!$C$76)&lt;=Inputs!$C$74," weekday"," weekend"),Utility_Rates!$C$28:$F$28,Inputs!$C$68)),"")</f>
      </c>
      <c r="H6701" s="34"/>
      <c r="I6701" s="42">
        <f>IF(AND(ISNUMBER(D6701),ISNUMBER(H6701)),D6701*H6701*Inputs!$C$69,"")</f>
      </c>
      <c r="J6701" s="42">
        <f>IF(AND(ISNUMBER(F6701),ISNUMBER(H6701),F6701&gt;=Inputs!$C$68),F6701*H6701*Inputs!$C$69,"")</f>
      </c>
    </row>
    <row r="6702" spans="2:10" ht="15" customHeight="1" x14ac:dyDescent="0.2">
      <c r="B6702" s="39">
        <f t="shared" si="52"/>
      </c>
      <c r="C6702" s="40">
        <f>IF(Inputs!$C$60,Inputs!$C$11+(B6702-Inputs!$C$69)/Inputs!$C$70,"")</f>
      </c>
      <c r="D6702" s="15"/>
      <c r="E6702" s="15"/>
      <c r="F6702" s="11">
        <f t="shared" si="53"/>
      </c>
      <c r="G6702" s="22" cm="1">
        <f t="array" ref="G6702">IF(AND(Inputs!$C$60,Inputs!$C$61),INDEX(Utility_Rates!$C$29:$F$52,HOUR(C6702)+Inputs!$C$69,MATCH(INDEX(Utility_Rates!$K$6:$K$17,MONTH(C6702))&amp;IF(WEEKDAY(C6702,Inputs!$C$76)&lt;=Inputs!$C$74," weekday"," weekend"),Utility_Rates!$C$28:$F$28,Inputs!$C$68)),"")</f>
      </c>
      <c r="H6702" s="34"/>
      <c r="I6702" s="42">
        <f>IF(AND(ISNUMBER(D6702),ISNUMBER(H6702)),D6702*H6702*Inputs!$C$69,"")</f>
      </c>
      <c r="J6702" s="42">
        <f>IF(AND(ISNUMBER(F6702),ISNUMBER(H6702),F6702&gt;=Inputs!$C$68),F6702*H6702*Inputs!$C$69,"")</f>
      </c>
    </row>
    <row r="6703" spans="2:10" ht="15" customHeight="1" x14ac:dyDescent="0.2">
      <c r="B6703" s="39">
        <f t="shared" si="52"/>
      </c>
      <c r="C6703" s="40">
        <f>IF(Inputs!$C$60,Inputs!$C$11+(B6703-Inputs!$C$69)/Inputs!$C$70,"")</f>
      </c>
      <c r="D6703" s="15"/>
      <c r="E6703" s="15"/>
      <c r="F6703" s="11">
        <f t="shared" si="53"/>
      </c>
      <c r="G6703" s="22" cm="1">
        <f t="array" ref="G6703">IF(AND(Inputs!$C$60,Inputs!$C$61),INDEX(Utility_Rates!$C$29:$F$52,HOUR(C6703)+Inputs!$C$69,MATCH(INDEX(Utility_Rates!$K$6:$K$17,MONTH(C6703))&amp;IF(WEEKDAY(C6703,Inputs!$C$76)&lt;=Inputs!$C$74," weekday"," weekend"),Utility_Rates!$C$28:$F$28,Inputs!$C$68)),"")</f>
      </c>
      <c r="H6703" s="34"/>
      <c r="I6703" s="42">
        <f>IF(AND(ISNUMBER(D6703),ISNUMBER(H6703)),D6703*H6703*Inputs!$C$69,"")</f>
      </c>
      <c r="J6703" s="42">
        <f>IF(AND(ISNUMBER(F6703),ISNUMBER(H6703),F6703&gt;=Inputs!$C$68),F6703*H6703*Inputs!$C$69,"")</f>
      </c>
    </row>
    <row r="6704" spans="2:10" ht="15" customHeight="1" x14ac:dyDescent="0.2">
      <c r="B6704" s="39">
        <f t="shared" si="52"/>
      </c>
      <c r="C6704" s="40">
        <f>IF(Inputs!$C$60,Inputs!$C$11+(B6704-Inputs!$C$69)/Inputs!$C$70,"")</f>
      </c>
      <c r="D6704" s="15"/>
      <c r="E6704" s="15"/>
      <c r="F6704" s="11">
        <f t="shared" si="53"/>
      </c>
      <c r="G6704" s="22" cm="1">
        <f t="array" ref="G6704">IF(AND(Inputs!$C$60,Inputs!$C$61),INDEX(Utility_Rates!$C$29:$F$52,HOUR(C6704)+Inputs!$C$69,MATCH(INDEX(Utility_Rates!$K$6:$K$17,MONTH(C6704))&amp;IF(WEEKDAY(C6704,Inputs!$C$76)&lt;=Inputs!$C$74," weekday"," weekend"),Utility_Rates!$C$28:$F$28,Inputs!$C$68)),"")</f>
      </c>
      <c r="H6704" s="34"/>
      <c r="I6704" s="42">
        <f>IF(AND(ISNUMBER(D6704),ISNUMBER(H6704)),D6704*H6704*Inputs!$C$69,"")</f>
      </c>
      <c r="J6704" s="42">
        <f>IF(AND(ISNUMBER(F6704),ISNUMBER(H6704),F6704&gt;=Inputs!$C$68),F6704*H6704*Inputs!$C$69,"")</f>
      </c>
    </row>
    <row r="6705" spans="2:10" ht="15" customHeight="1" x14ac:dyDescent="0.2">
      <c r="B6705" s="39">
        <f t="shared" si="52"/>
      </c>
      <c r="C6705" s="40">
        <f>IF(Inputs!$C$60,Inputs!$C$11+(B6705-Inputs!$C$69)/Inputs!$C$70,"")</f>
      </c>
      <c r="D6705" s="15"/>
      <c r="E6705" s="15"/>
      <c r="F6705" s="11">
        <f t="shared" si="53"/>
      </c>
      <c r="G6705" s="22" cm="1">
        <f t="array" ref="G6705">IF(AND(Inputs!$C$60,Inputs!$C$61),INDEX(Utility_Rates!$C$29:$F$52,HOUR(C6705)+Inputs!$C$69,MATCH(INDEX(Utility_Rates!$K$6:$K$17,MONTH(C6705))&amp;IF(WEEKDAY(C6705,Inputs!$C$76)&lt;=Inputs!$C$74," weekday"," weekend"),Utility_Rates!$C$28:$F$28,Inputs!$C$68)),"")</f>
      </c>
      <c r="H6705" s="34"/>
      <c r="I6705" s="42">
        <f>IF(AND(ISNUMBER(D6705),ISNUMBER(H6705)),D6705*H6705*Inputs!$C$69,"")</f>
      </c>
      <c r="J6705" s="42">
        <f>IF(AND(ISNUMBER(F6705),ISNUMBER(H6705),F6705&gt;=Inputs!$C$68),F6705*H6705*Inputs!$C$69,"")</f>
      </c>
    </row>
    <row r="6706" spans="2:10" ht="15" customHeight="1" x14ac:dyDescent="0.2">
      <c r="B6706" s="39">
        <f t="shared" si="52"/>
      </c>
      <c r="C6706" s="40">
        <f>IF(Inputs!$C$60,Inputs!$C$11+(B6706-Inputs!$C$69)/Inputs!$C$70,"")</f>
      </c>
      <c r="D6706" s="15"/>
      <c r="E6706" s="15"/>
      <c r="F6706" s="11">
        <f t="shared" si="53"/>
      </c>
      <c r="G6706" s="22" cm="1">
        <f t="array" ref="G6706">IF(AND(Inputs!$C$60,Inputs!$C$61),INDEX(Utility_Rates!$C$29:$F$52,HOUR(C6706)+Inputs!$C$69,MATCH(INDEX(Utility_Rates!$K$6:$K$17,MONTH(C6706))&amp;IF(WEEKDAY(C6706,Inputs!$C$76)&lt;=Inputs!$C$74," weekday"," weekend"),Utility_Rates!$C$28:$F$28,Inputs!$C$68)),"")</f>
      </c>
      <c r="H6706" s="34"/>
      <c r="I6706" s="42">
        <f>IF(AND(ISNUMBER(D6706),ISNUMBER(H6706)),D6706*H6706*Inputs!$C$69,"")</f>
      </c>
      <c r="J6706" s="42">
        <f>IF(AND(ISNUMBER(F6706),ISNUMBER(H6706),F6706&gt;=Inputs!$C$68),F6706*H6706*Inputs!$C$69,"")</f>
      </c>
    </row>
    <row r="6707" spans="2:10" ht="15" customHeight="1" x14ac:dyDescent="0.2">
      <c r="B6707" s="39">
        <f t="shared" si="52"/>
      </c>
      <c r="C6707" s="40">
        <f>IF(Inputs!$C$60,Inputs!$C$11+(B6707-Inputs!$C$69)/Inputs!$C$70,"")</f>
      </c>
      <c r="D6707" s="15"/>
      <c r="E6707" s="15"/>
      <c r="F6707" s="11">
        <f t="shared" si="53"/>
      </c>
      <c r="G6707" s="22" cm="1">
        <f t="array" ref="G6707">IF(AND(Inputs!$C$60,Inputs!$C$61),INDEX(Utility_Rates!$C$29:$F$52,HOUR(C6707)+Inputs!$C$69,MATCH(INDEX(Utility_Rates!$K$6:$K$17,MONTH(C6707))&amp;IF(WEEKDAY(C6707,Inputs!$C$76)&lt;=Inputs!$C$74," weekday"," weekend"),Utility_Rates!$C$28:$F$28,Inputs!$C$68)),"")</f>
      </c>
      <c r="H6707" s="34"/>
      <c r="I6707" s="42">
        <f>IF(AND(ISNUMBER(D6707),ISNUMBER(H6707)),D6707*H6707*Inputs!$C$69,"")</f>
      </c>
      <c r="J6707" s="42">
        <f>IF(AND(ISNUMBER(F6707),ISNUMBER(H6707),F6707&gt;=Inputs!$C$68),F6707*H6707*Inputs!$C$69,"")</f>
      </c>
    </row>
    <row r="6708" spans="2:10" ht="15" customHeight="1" x14ac:dyDescent="0.2">
      <c r="B6708" s="39">
        <f t="shared" si="52"/>
      </c>
      <c r="C6708" s="40">
        <f>IF(Inputs!$C$60,Inputs!$C$11+(B6708-Inputs!$C$69)/Inputs!$C$70,"")</f>
      </c>
      <c r="D6708" s="15"/>
      <c r="E6708" s="15"/>
      <c r="F6708" s="11">
        <f t="shared" si="53"/>
      </c>
      <c r="G6708" s="22" cm="1">
        <f t="array" ref="G6708">IF(AND(Inputs!$C$60,Inputs!$C$61),INDEX(Utility_Rates!$C$29:$F$52,HOUR(C6708)+Inputs!$C$69,MATCH(INDEX(Utility_Rates!$K$6:$K$17,MONTH(C6708))&amp;IF(WEEKDAY(C6708,Inputs!$C$76)&lt;=Inputs!$C$74," weekday"," weekend"),Utility_Rates!$C$28:$F$28,Inputs!$C$68)),"")</f>
      </c>
      <c r="H6708" s="34"/>
      <c r="I6708" s="42">
        <f>IF(AND(ISNUMBER(D6708),ISNUMBER(H6708)),D6708*H6708*Inputs!$C$69,"")</f>
      </c>
      <c r="J6708" s="42">
        <f>IF(AND(ISNUMBER(F6708),ISNUMBER(H6708),F6708&gt;=Inputs!$C$68),F6708*H6708*Inputs!$C$69,"")</f>
      </c>
    </row>
    <row r="6709" spans="2:10" ht="15" customHeight="1" x14ac:dyDescent="0.2">
      <c r="B6709" s="39">
        <f t="shared" si="52"/>
      </c>
      <c r="C6709" s="40">
        <f>IF(Inputs!$C$60,Inputs!$C$11+(B6709-Inputs!$C$69)/Inputs!$C$70,"")</f>
      </c>
      <c r="D6709" s="15"/>
      <c r="E6709" s="15"/>
      <c r="F6709" s="11">
        <f t="shared" si="53"/>
      </c>
      <c r="G6709" s="22" cm="1">
        <f t="array" ref="G6709">IF(AND(Inputs!$C$60,Inputs!$C$61),INDEX(Utility_Rates!$C$29:$F$52,HOUR(C6709)+Inputs!$C$69,MATCH(INDEX(Utility_Rates!$K$6:$K$17,MONTH(C6709))&amp;IF(WEEKDAY(C6709,Inputs!$C$76)&lt;=Inputs!$C$74," weekday"," weekend"),Utility_Rates!$C$28:$F$28,Inputs!$C$68)),"")</f>
      </c>
      <c r="H6709" s="34"/>
      <c r="I6709" s="42">
        <f>IF(AND(ISNUMBER(D6709),ISNUMBER(H6709)),D6709*H6709*Inputs!$C$69,"")</f>
      </c>
      <c r="J6709" s="42">
        <f>IF(AND(ISNUMBER(F6709),ISNUMBER(H6709),F6709&gt;=Inputs!$C$68),F6709*H6709*Inputs!$C$69,"")</f>
      </c>
    </row>
    <row r="6710" spans="2:10" ht="15" customHeight="1" x14ac:dyDescent="0.2">
      <c r="B6710" s="39">
        <f t="shared" si="52"/>
      </c>
      <c r="C6710" s="40">
        <f>IF(Inputs!$C$60,Inputs!$C$11+(B6710-Inputs!$C$69)/Inputs!$C$70,"")</f>
      </c>
      <c r="D6710" s="15"/>
      <c r="E6710" s="15"/>
      <c r="F6710" s="11">
        <f t="shared" si="53"/>
      </c>
      <c r="G6710" s="22" cm="1">
        <f t="array" ref="G6710">IF(AND(Inputs!$C$60,Inputs!$C$61),INDEX(Utility_Rates!$C$29:$F$52,HOUR(C6710)+Inputs!$C$69,MATCH(INDEX(Utility_Rates!$K$6:$K$17,MONTH(C6710))&amp;IF(WEEKDAY(C6710,Inputs!$C$76)&lt;=Inputs!$C$74," weekday"," weekend"),Utility_Rates!$C$28:$F$28,Inputs!$C$68)),"")</f>
      </c>
      <c r="H6710" s="34"/>
      <c r="I6710" s="42">
        <f>IF(AND(ISNUMBER(D6710),ISNUMBER(H6710)),D6710*H6710*Inputs!$C$69,"")</f>
      </c>
      <c r="J6710" s="42">
        <f>IF(AND(ISNUMBER(F6710),ISNUMBER(H6710),F6710&gt;=Inputs!$C$68),F6710*H6710*Inputs!$C$69,"")</f>
      </c>
    </row>
    <row r="6711" spans="2:10" ht="15" customHeight="1" x14ac:dyDescent="0.2">
      <c r="B6711" s="39">
        <f t="shared" si="52"/>
      </c>
      <c r="C6711" s="40">
        <f>IF(Inputs!$C$60,Inputs!$C$11+(B6711-Inputs!$C$69)/Inputs!$C$70,"")</f>
      </c>
      <c r="D6711" s="15"/>
      <c r="E6711" s="15"/>
      <c r="F6711" s="11">
        <f t="shared" si="53"/>
      </c>
      <c r="G6711" s="22" cm="1">
        <f t="array" ref="G6711">IF(AND(Inputs!$C$60,Inputs!$C$61),INDEX(Utility_Rates!$C$29:$F$52,HOUR(C6711)+Inputs!$C$69,MATCH(INDEX(Utility_Rates!$K$6:$K$17,MONTH(C6711))&amp;IF(WEEKDAY(C6711,Inputs!$C$76)&lt;=Inputs!$C$74," weekday"," weekend"),Utility_Rates!$C$28:$F$28,Inputs!$C$68)),"")</f>
      </c>
      <c r="H6711" s="34"/>
      <c r="I6711" s="42">
        <f>IF(AND(ISNUMBER(D6711),ISNUMBER(H6711)),D6711*H6711*Inputs!$C$69,"")</f>
      </c>
      <c r="J6711" s="42">
        <f>IF(AND(ISNUMBER(F6711),ISNUMBER(H6711),F6711&gt;=Inputs!$C$68),F6711*H6711*Inputs!$C$69,"")</f>
      </c>
    </row>
    <row r="6712" spans="2:10" ht="15" customHeight="1" x14ac:dyDescent="0.2">
      <c r="B6712" s="39">
        <f t="shared" si="52"/>
      </c>
      <c r="C6712" s="40">
        <f>IF(Inputs!$C$60,Inputs!$C$11+(B6712-Inputs!$C$69)/Inputs!$C$70,"")</f>
      </c>
      <c r="D6712" s="15"/>
      <c r="E6712" s="15"/>
      <c r="F6712" s="11">
        <f t="shared" si="53"/>
      </c>
      <c r="G6712" s="22" cm="1">
        <f t="array" ref="G6712">IF(AND(Inputs!$C$60,Inputs!$C$61),INDEX(Utility_Rates!$C$29:$F$52,HOUR(C6712)+Inputs!$C$69,MATCH(INDEX(Utility_Rates!$K$6:$K$17,MONTH(C6712))&amp;IF(WEEKDAY(C6712,Inputs!$C$76)&lt;=Inputs!$C$74," weekday"," weekend"),Utility_Rates!$C$28:$F$28,Inputs!$C$68)),"")</f>
      </c>
      <c r="H6712" s="34"/>
      <c r="I6712" s="42">
        <f>IF(AND(ISNUMBER(D6712),ISNUMBER(H6712)),D6712*H6712*Inputs!$C$69,"")</f>
      </c>
      <c r="J6712" s="42">
        <f>IF(AND(ISNUMBER(F6712),ISNUMBER(H6712),F6712&gt;=Inputs!$C$68),F6712*H6712*Inputs!$C$69,"")</f>
      </c>
    </row>
    <row r="6713" spans="2:10" ht="15" customHeight="1" x14ac:dyDescent="0.2">
      <c r="B6713" s="39">
        <f t="shared" si="52"/>
      </c>
      <c r="C6713" s="40">
        <f>IF(Inputs!$C$60,Inputs!$C$11+(B6713-Inputs!$C$69)/Inputs!$C$70,"")</f>
      </c>
      <c r="D6713" s="15"/>
      <c r="E6713" s="15"/>
      <c r="F6713" s="11">
        <f t="shared" si="53"/>
      </c>
      <c r="G6713" s="22" cm="1">
        <f t="array" ref="G6713">IF(AND(Inputs!$C$60,Inputs!$C$61),INDEX(Utility_Rates!$C$29:$F$52,HOUR(C6713)+Inputs!$C$69,MATCH(INDEX(Utility_Rates!$K$6:$K$17,MONTH(C6713))&amp;IF(WEEKDAY(C6713,Inputs!$C$76)&lt;=Inputs!$C$74," weekday"," weekend"),Utility_Rates!$C$28:$F$28,Inputs!$C$68)),"")</f>
      </c>
      <c r="H6713" s="34"/>
      <c r="I6713" s="42">
        <f>IF(AND(ISNUMBER(D6713),ISNUMBER(H6713)),D6713*H6713*Inputs!$C$69,"")</f>
      </c>
      <c r="J6713" s="42">
        <f>IF(AND(ISNUMBER(F6713),ISNUMBER(H6713),F6713&gt;=Inputs!$C$68),F6713*H6713*Inputs!$C$69,"")</f>
      </c>
    </row>
    <row r="6714" spans="2:10" ht="15" customHeight="1" x14ac:dyDescent="0.2">
      <c r="B6714" s="39">
        <f t="shared" si="52"/>
      </c>
      <c r="C6714" s="40">
        <f>IF(Inputs!$C$60,Inputs!$C$11+(B6714-Inputs!$C$69)/Inputs!$C$70,"")</f>
      </c>
      <c r="D6714" s="15"/>
      <c r="E6714" s="15"/>
      <c r="F6714" s="11">
        <f t="shared" si="53"/>
      </c>
      <c r="G6714" s="22" cm="1">
        <f t="array" ref="G6714">IF(AND(Inputs!$C$60,Inputs!$C$61),INDEX(Utility_Rates!$C$29:$F$52,HOUR(C6714)+Inputs!$C$69,MATCH(INDEX(Utility_Rates!$K$6:$K$17,MONTH(C6714))&amp;IF(WEEKDAY(C6714,Inputs!$C$76)&lt;=Inputs!$C$74," weekday"," weekend"),Utility_Rates!$C$28:$F$28,Inputs!$C$68)),"")</f>
      </c>
      <c r="H6714" s="34"/>
      <c r="I6714" s="42">
        <f>IF(AND(ISNUMBER(D6714),ISNUMBER(H6714)),D6714*H6714*Inputs!$C$69,"")</f>
      </c>
      <c r="J6714" s="42">
        <f>IF(AND(ISNUMBER(F6714),ISNUMBER(H6714),F6714&gt;=Inputs!$C$68),F6714*H6714*Inputs!$C$69,"")</f>
      </c>
    </row>
    <row r="6715" spans="2:10" ht="15" customHeight="1" x14ac:dyDescent="0.2">
      <c r="B6715" s="39">
        <f t="shared" si="52"/>
      </c>
      <c r="C6715" s="40">
        <f>IF(Inputs!$C$60,Inputs!$C$11+(B6715-Inputs!$C$69)/Inputs!$C$70,"")</f>
      </c>
      <c r="D6715" s="15"/>
      <c r="E6715" s="15"/>
      <c r="F6715" s="11">
        <f t="shared" si="53"/>
      </c>
      <c r="G6715" s="22" cm="1">
        <f t="array" ref="G6715">IF(AND(Inputs!$C$60,Inputs!$C$61),INDEX(Utility_Rates!$C$29:$F$52,HOUR(C6715)+Inputs!$C$69,MATCH(INDEX(Utility_Rates!$K$6:$K$17,MONTH(C6715))&amp;IF(WEEKDAY(C6715,Inputs!$C$76)&lt;=Inputs!$C$74," weekday"," weekend"),Utility_Rates!$C$28:$F$28,Inputs!$C$68)),"")</f>
      </c>
      <c r="H6715" s="34"/>
      <c r="I6715" s="42">
        <f>IF(AND(ISNUMBER(D6715),ISNUMBER(H6715)),D6715*H6715*Inputs!$C$69,"")</f>
      </c>
      <c r="J6715" s="42">
        <f>IF(AND(ISNUMBER(F6715),ISNUMBER(H6715),F6715&gt;=Inputs!$C$68),F6715*H6715*Inputs!$C$69,"")</f>
      </c>
    </row>
    <row r="6716" spans="2:10" ht="15" customHeight="1" x14ac:dyDescent="0.2">
      <c r="B6716" s="39">
        <f t="shared" si="52"/>
      </c>
      <c r="C6716" s="40">
        <f>IF(Inputs!$C$60,Inputs!$C$11+(B6716-Inputs!$C$69)/Inputs!$C$70,"")</f>
      </c>
      <c r="D6716" s="15"/>
      <c r="E6716" s="15"/>
      <c r="F6716" s="11">
        <f t="shared" si="53"/>
      </c>
      <c r="G6716" s="22" cm="1">
        <f t="array" ref="G6716">IF(AND(Inputs!$C$60,Inputs!$C$61),INDEX(Utility_Rates!$C$29:$F$52,HOUR(C6716)+Inputs!$C$69,MATCH(INDEX(Utility_Rates!$K$6:$K$17,MONTH(C6716))&amp;IF(WEEKDAY(C6716,Inputs!$C$76)&lt;=Inputs!$C$74," weekday"," weekend"),Utility_Rates!$C$28:$F$28,Inputs!$C$68)),"")</f>
      </c>
      <c r="H6716" s="34"/>
      <c r="I6716" s="42">
        <f>IF(AND(ISNUMBER(D6716),ISNUMBER(H6716)),D6716*H6716*Inputs!$C$69,"")</f>
      </c>
      <c r="J6716" s="42">
        <f>IF(AND(ISNUMBER(F6716),ISNUMBER(H6716),F6716&gt;=Inputs!$C$68),F6716*H6716*Inputs!$C$69,"")</f>
      </c>
    </row>
    <row r="6717" spans="2:10" ht="15" customHeight="1" x14ac:dyDescent="0.2">
      <c r="B6717" s="39">
        <f t="shared" si="52"/>
      </c>
      <c r="C6717" s="40">
        <f>IF(Inputs!$C$60,Inputs!$C$11+(B6717-Inputs!$C$69)/Inputs!$C$70,"")</f>
      </c>
      <c r="D6717" s="15"/>
      <c r="E6717" s="15"/>
      <c r="F6717" s="11">
        <f t="shared" si="53"/>
      </c>
      <c r="G6717" s="22" cm="1">
        <f t="array" ref="G6717">IF(AND(Inputs!$C$60,Inputs!$C$61),INDEX(Utility_Rates!$C$29:$F$52,HOUR(C6717)+Inputs!$C$69,MATCH(INDEX(Utility_Rates!$K$6:$K$17,MONTH(C6717))&amp;IF(WEEKDAY(C6717,Inputs!$C$76)&lt;=Inputs!$C$74," weekday"," weekend"),Utility_Rates!$C$28:$F$28,Inputs!$C$68)),"")</f>
      </c>
      <c r="H6717" s="34"/>
      <c r="I6717" s="42">
        <f>IF(AND(ISNUMBER(D6717),ISNUMBER(H6717)),D6717*H6717*Inputs!$C$69,"")</f>
      </c>
      <c r="J6717" s="42">
        <f>IF(AND(ISNUMBER(F6717),ISNUMBER(H6717),F6717&gt;=Inputs!$C$68),F6717*H6717*Inputs!$C$69,"")</f>
      </c>
    </row>
    <row r="6718" spans="2:10" ht="15" customHeight="1" x14ac:dyDescent="0.2">
      <c r="B6718" s="39">
        <f t="shared" si="52"/>
      </c>
      <c r="C6718" s="40">
        <f>IF(Inputs!$C$60,Inputs!$C$11+(B6718-Inputs!$C$69)/Inputs!$C$70,"")</f>
      </c>
      <c r="D6718" s="15"/>
      <c r="E6718" s="15"/>
      <c r="F6718" s="11">
        <f t="shared" si="53"/>
      </c>
      <c r="G6718" s="22" cm="1">
        <f t="array" ref="G6718">IF(AND(Inputs!$C$60,Inputs!$C$61),INDEX(Utility_Rates!$C$29:$F$52,HOUR(C6718)+Inputs!$C$69,MATCH(INDEX(Utility_Rates!$K$6:$K$17,MONTH(C6718))&amp;IF(WEEKDAY(C6718,Inputs!$C$76)&lt;=Inputs!$C$74," weekday"," weekend"),Utility_Rates!$C$28:$F$28,Inputs!$C$68)),"")</f>
      </c>
      <c r="H6718" s="34"/>
      <c r="I6718" s="42">
        <f>IF(AND(ISNUMBER(D6718),ISNUMBER(H6718)),D6718*H6718*Inputs!$C$69,"")</f>
      </c>
      <c r="J6718" s="42">
        <f>IF(AND(ISNUMBER(F6718),ISNUMBER(H6718),F6718&gt;=Inputs!$C$68),F6718*H6718*Inputs!$C$69,"")</f>
      </c>
    </row>
    <row r="6719" spans="2:10" ht="15" customHeight="1" x14ac:dyDescent="0.2">
      <c r="B6719" s="39">
        <f t="shared" si="52"/>
      </c>
      <c r="C6719" s="40">
        <f>IF(Inputs!$C$60,Inputs!$C$11+(B6719-Inputs!$C$69)/Inputs!$C$70,"")</f>
      </c>
      <c r="D6719" s="15"/>
      <c r="E6719" s="15"/>
      <c r="F6719" s="11">
        <f t="shared" si="53"/>
      </c>
      <c r="G6719" s="22" cm="1">
        <f t="array" ref="G6719">IF(AND(Inputs!$C$60,Inputs!$C$61),INDEX(Utility_Rates!$C$29:$F$52,HOUR(C6719)+Inputs!$C$69,MATCH(INDEX(Utility_Rates!$K$6:$K$17,MONTH(C6719))&amp;IF(WEEKDAY(C6719,Inputs!$C$76)&lt;=Inputs!$C$74," weekday"," weekend"),Utility_Rates!$C$28:$F$28,Inputs!$C$68)),"")</f>
      </c>
      <c r="H6719" s="34"/>
      <c r="I6719" s="42">
        <f>IF(AND(ISNUMBER(D6719),ISNUMBER(H6719)),D6719*H6719*Inputs!$C$69,"")</f>
      </c>
      <c r="J6719" s="42">
        <f>IF(AND(ISNUMBER(F6719),ISNUMBER(H6719),F6719&gt;=Inputs!$C$68),F6719*H6719*Inputs!$C$69,"")</f>
      </c>
    </row>
    <row r="6720" spans="2:10" ht="15" customHeight="1" x14ac:dyDescent="0.2">
      <c r="B6720" s="39">
        <f t="shared" si="52"/>
      </c>
      <c r="C6720" s="40">
        <f>IF(Inputs!$C$60,Inputs!$C$11+(B6720-Inputs!$C$69)/Inputs!$C$70,"")</f>
      </c>
      <c r="D6720" s="15"/>
      <c r="E6720" s="15"/>
      <c r="F6720" s="11">
        <f t="shared" si="53"/>
      </c>
      <c r="G6720" s="22" cm="1">
        <f t="array" ref="G6720">IF(AND(Inputs!$C$60,Inputs!$C$61),INDEX(Utility_Rates!$C$29:$F$52,HOUR(C6720)+Inputs!$C$69,MATCH(INDEX(Utility_Rates!$K$6:$K$17,MONTH(C6720))&amp;IF(WEEKDAY(C6720,Inputs!$C$76)&lt;=Inputs!$C$74," weekday"," weekend"),Utility_Rates!$C$28:$F$28,Inputs!$C$68)),"")</f>
      </c>
      <c r="H6720" s="34"/>
      <c r="I6720" s="42">
        <f>IF(AND(ISNUMBER(D6720),ISNUMBER(H6720)),D6720*H6720*Inputs!$C$69,"")</f>
      </c>
      <c r="J6720" s="42">
        <f>IF(AND(ISNUMBER(F6720),ISNUMBER(H6720),F6720&gt;=Inputs!$C$68),F6720*H6720*Inputs!$C$69,"")</f>
      </c>
    </row>
    <row r="6721" spans="2:10" ht="15" customHeight="1" x14ac:dyDescent="0.2">
      <c r="B6721" s="39">
        <f t="shared" si="52"/>
      </c>
      <c r="C6721" s="40">
        <f>IF(Inputs!$C$60,Inputs!$C$11+(B6721-Inputs!$C$69)/Inputs!$C$70,"")</f>
      </c>
      <c r="D6721" s="15"/>
      <c r="E6721" s="15"/>
      <c r="F6721" s="11">
        <f t="shared" si="53"/>
      </c>
      <c r="G6721" s="22" cm="1">
        <f t="array" ref="G6721">IF(AND(Inputs!$C$60,Inputs!$C$61),INDEX(Utility_Rates!$C$29:$F$52,HOUR(C6721)+Inputs!$C$69,MATCH(INDEX(Utility_Rates!$K$6:$K$17,MONTH(C6721))&amp;IF(WEEKDAY(C6721,Inputs!$C$76)&lt;=Inputs!$C$74," weekday"," weekend"),Utility_Rates!$C$28:$F$28,Inputs!$C$68)),"")</f>
      </c>
      <c r="H6721" s="34"/>
      <c r="I6721" s="42">
        <f>IF(AND(ISNUMBER(D6721),ISNUMBER(H6721)),D6721*H6721*Inputs!$C$69,"")</f>
      </c>
      <c r="J6721" s="42">
        <f>IF(AND(ISNUMBER(F6721),ISNUMBER(H6721),F6721&gt;=Inputs!$C$68),F6721*H6721*Inputs!$C$69,"")</f>
      </c>
    </row>
    <row r="6722" spans="2:10" ht="15" customHeight="1" x14ac:dyDescent="0.2">
      <c r="B6722" s="39">
        <f t="shared" si="52"/>
      </c>
      <c r="C6722" s="40">
        <f>IF(Inputs!$C$60,Inputs!$C$11+(B6722-Inputs!$C$69)/Inputs!$C$70,"")</f>
      </c>
      <c r="D6722" s="15"/>
      <c r="E6722" s="15"/>
      <c r="F6722" s="11">
        <f t="shared" si="53"/>
      </c>
      <c r="G6722" s="22" cm="1">
        <f t="array" ref="G6722">IF(AND(Inputs!$C$60,Inputs!$C$61),INDEX(Utility_Rates!$C$29:$F$52,HOUR(C6722)+Inputs!$C$69,MATCH(INDEX(Utility_Rates!$K$6:$K$17,MONTH(C6722))&amp;IF(WEEKDAY(C6722,Inputs!$C$76)&lt;=Inputs!$C$74," weekday"," weekend"),Utility_Rates!$C$28:$F$28,Inputs!$C$68)),"")</f>
      </c>
      <c r="H6722" s="34"/>
      <c r="I6722" s="42">
        <f>IF(AND(ISNUMBER(D6722),ISNUMBER(H6722)),D6722*H6722*Inputs!$C$69,"")</f>
      </c>
      <c r="J6722" s="42">
        <f>IF(AND(ISNUMBER(F6722),ISNUMBER(H6722),F6722&gt;=Inputs!$C$68),F6722*H6722*Inputs!$C$69,"")</f>
      </c>
    </row>
    <row r="6723" spans="2:10" ht="15" customHeight="1" x14ac:dyDescent="0.2">
      <c r="B6723" s="39">
        <f t="shared" si="52"/>
      </c>
      <c r="C6723" s="40">
        <f>IF(Inputs!$C$60,Inputs!$C$11+(B6723-Inputs!$C$69)/Inputs!$C$70,"")</f>
      </c>
      <c r="D6723" s="15"/>
      <c r="E6723" s="15"/>
      <c r="F6723" s="11">
        <f t="shared" si="53"/>
      </c>
      <c r="G6723" s="22" cm="1">
        <f t="array" ref="G6723">IF(AND(Inputs!$C$60,Inputs!$C$61),INDEX(Utility_Rates!$C$29:$F$52,HOUR(C6723)+Inputs!$C$69,MATCH(INDEX(Utility_Rates!$K$6:$K$17,MONTH(C6723))&amp;IF(WEEKDAY(C6723,Inputs!$C$76)&lt;=Inputs!$C$74," weekday"," weekend"),Utility_Rates!$C$28:$F$28,Inputs!$C$68)),"")</f>
      </c>
      <c r="H6723" s="34"/>
      <c r="I6723" s="42">
        <f>IF(AND(ISNUMBER(D6723),ISNUMBER(H6723)),D6723*H6723*Inputs!$C$69,"")</f>
      </c>
      <c r="J6723" s="42">
        <f>IF(AND(ISNUMBER(F6723),ISNUMBER(H6723),F6723&gt;=Inputs!$C$68),F6723*H6723*Inputs!$C$69,"")</f>
      </c>
    </row>
    <row r="6724" spans="2:10" ht="15" customHeight="1" x14ac:dyDescent="0.2">
      <c r="B6724" s="39">
        <f t="shared" si="52"/>
      </c>
      <c r="C6724" s="40">
        <f>IF(Inputs!$C$60,Inputs!$C$11+(B6724-Inputs!$C$69)/Inputs!$C$70,"")</f>
      </c>
      <c r="D6724" s="15"/>
      <c r="E6724" s="15"/>
      <c r="F6724" s="11">
        <f t="shared" si="53"/>
      </c>
      <c r="G6724" s="22" cm="1">
        <f t="array" ref="G6724">IF(AND(Inputs!$C$60,Inputs!$C$61),INDEX(Utility_Rates!$C$29:$F$52,HOUR(C6724)+Inputs!$C$69,MATCH(INDEX(Utility_Rates!$K$6:$K$17,MONTH(C6724))&amp;IF(WEEKDAY(C6724,Inputs!$C$76)&lt;=Inputs!$C$74," weekday"," weekend"),Utility_Rates!$C$28:$F$28,Inputs!$C$68)),"")</f>
      </c>
      <c r="H6724" s="34"/>
      <c r="I6724" s="42">
        <f>IF(AND(ISNUMBER(D6724),ISNUMBER(H6724)),D6724*H6724*Inputs!$C$69,"")</f>
      </c>
      <c r="J6724" s="42">
        <f>IF(AND(ISNUMBER(F6724),ISNUMBER(H6724),F6724&gt;=Inputs!$C$68),F6724*H6724*Inputs!$C$69,"")</f>
      </c>
    </row>
    <row r="6725" spans="2:10" ht="15" customHeight="1" x14ac:dyDescent="0.2">
      <c r="B6725" s="39">
        <f t="shared" si="52"/>
      </c>
      <c r="C6725" s="40">
        <f>IF(Inputs!$C$60,Inputs!$C$11+(B6725-Inputs!$C$69)/Inputs!$C$70,"")</f>
      </c>
      <c r="D6725" s="15"/>
      <c r="E6725" s="15"/>
      <c r="F6725" s="11">
        <f t="shared" si="53"/>
      </c>
      <c r="G6725" s="22" cm="1">
        <f t="array" ref="G6725">IF(AND(Inputs!$C$60,Inputs!$C$61),INDEX(Utility_Rates!$C$29:$F$52,HOUR(C6725)+Inputs!$C$69,MATCH(INDEX(Utility_Rates!$K$6:$K$17,MONTH(C6725))&amp;IF(WEEKDAY(C6725,Inputs!$C$76)&lt;=Inputs!$C$74," weekday"," weekend"),Utility_Rates!$C$28:$F$28,Inputs!$C$68)),"")</f>
      </c>
      <c r="H6725" s="34"/>
      <c r="I6725" s="42">
        <f>IF(AND(ISNUMBER(D6725),ISNUMBER(H6725)),D6725*H6725*Inputs!$C$69,"")</f>
      </c>
      <c r="J6725" s="42">
        <f>IF(AND(ISNUMBER(F6725),ISNUMBER(H6725),F6725&gt;=Inputs!$C$68),F6725*H6725*Inputs!$C$69,"")</f>
      </c>
    </row>
    <row r="6726" spans="2:10" ht="15" customHeight="1" x14ac:dyDescent="0.2">
      <c r="B6726" s="39">
        <f t="shared" si="52"/>
      </c>
      <c r="C6726" s="40">
        <f>IF(Inputs!$C$60,Inputs!$C$11+(B6726-Inputs!$C$69)/Inputs!$C$70,"")</f>
      </c>
      <c r="D6726" s="15"/>
      <c r="E6726" s="15"/>
      <c r="F6726" s="11">
        <f t="shared" si="53"/>
      </c>
      <c r="G6726" s="22" cm="1">
        <f t="array" ref="G6726">IF(AND(Inputs!$C$60,Inputs!$C$61),INDEX(Utility_Rates!$C$29:$F$52,HOUR(C6726)+Inputs!$C$69,MATCH(INDEX(Utility_Rates!$K$6:$K$17,MONTH(C6726))&amp;IF(WEEKDAY(C6726,Inputs!$C$76)&lt;=Inputs!$C$74," weekday"," weekend"),Utility_Rates!$C$28:$F$28,Inputs!$C$68)),"")</f>
      </c>
      <c r="H6726" s="34"/>
      <c r="I6726" s="42">
        <f>IF(AND(ISNUMBER(D6726),ISNUMBER(H6726)),D6726*H6726*Inputs!$C$69,"")</f>
      </c>
      <c r="J6726" s="42">
        <f>IF(AND(ISNUMBER(F6726),ISNUMBER(H6726),F6726&gt;=Inputs!$C$68),F6726*H6726*Inputs!$C$69,"")</f>
      </c>
    </row>
    <row r="6727" spans="2:10" ht="15" customHeight="1" x14ac:dyDescent="0.2">
      <c r="B6727" s="39">
        <f t="shared" si="52"/>
      </c>
      <c r="C6727" s="40">
        <f>IF(Inputs!$C$60,Inputs!$C$11+(B6727-Inputs!$C$69)/Inputs!$C$70,"")</f>
      </c>
      <c r="D6727" s="15"/>
      <c r="E6727" s="15"/>
      <c r="F6727" s="11">
        <f t="shared" si="53"/>
      </c>
      <c r="G6727" s="22" cm="1">
        <f t="array" ref="G6727">IF(AND(Inputs!$C$60,Inputs!$C$61),INDEX(Utility_Rates!$C$29:$F$52,HOUR(C6727)+Inputs!$C$69,MATCH(INDEX(Utility_Rates!$K$6:$K$17,MONTH(C6727))&amp;IF(WEEKDAY(C6727,Inputs!$C$76)&lt;=Inputs!$C$74," weekday"," weekend"),Utility_Rates!$C$28:$F$28,Inputs!$C$68)),"")</f>
      </c>
      <c r="H6727" s="34"/>
      <c r="I6727" s="42">
        <f>IF(AND(ISNUMBER(D6727),ISNUMBER(H6727)),D6727*H6727*Inputs!$C$69,"")</f>
      </c>
      <c r="J6727" s="42">
        <f>IF(AND(ISNUMBER(F6727),ISNUMBER(H6727),F6727&gt;=Inputs!$C$68),F6727*H6727*Inputs!$C$69,"")</f>
      </c>
    </row>
    <row r="6728" spans="2:10" ht="15" customHeight="1" x14ac:dyDescent="0.2">
      <c r="B6728" s="39">
        <f t="shared" si="52"/>
      </c>
      <c r="C6728" s="40">
        <f>IF(Inputs!$C$60,Inputs!$C$11+(B6728-Inputs!$C$69)/Inputs!$C$70,"")</f>
      </c>
      <c r="D6728" s="15"/>
      <c r="E6728" s="15"/>
      <c r="F6728" s="11">
        <f t="shared" si="53"/>
      </c>
      <c r="G6728" s="22" cm="1">
        <f t="array" ref="G6728">IF(AND(Inputs!$C$60,Inputs!$C$61),INDEX(Utility_Rates!$C$29:$F$52,HOUR(C6728)+Inputs!$C$69,MATCH(INDEX(Utility_Rates!$K$6:$K$17,MONTH(C6728))&amp;IF(WEEKDAY(C6728,Inputs!$C$76)&lt;=Inputs!$C$74," weekday"," weekend"),Utility_Rates!$C$28:$F$28,Inputs!$C$68)),"")</f>
      </c>
      <c r="H6728" s="34"/>
      <c r="I6728" s="42">
        <f>IF(AND(ISNUMBER(D6728),ISNUMBER(H6728)),D6728*H6728*Inputs!$C$69,"")</f>
      </c>
      <c r="J6728" s="42">
        <f>IF(AND(ISNUMBER(F6728),ISNUMBER(H6728),F6728&gt;=Inputs!$C$68),F6728*H6728*Inputs!$C$69,"")</f>
      </c>
    </row>
    <row r="6729" spans="2:10" ht="15" customHeight="1" x14ac:dyDescent="0.2">
      <c r="B6729" s="39">
        <f t="shared" si="52"/>
      </c>
      <c r="C6729" s="40">
        <f>IF(Inputs!$C$60,Inputs!$C$11+(B6729-Inputs!$C$69)/Inputs!$C$70,"")</f>
      </c>
      <c r="D6729" s="15"/>
      <c r="E6729" s="15"/>
      <c r="F6729" s="11">
        <f t="shared" si="53"/>
      </c>
      <c r="G6729" s="22" cm="1">
        <f t="array" ref="G6729">IF(AND(Inputs!$C$60,Inputs!$C$61),INDEX(Utility_Rates!$C$29:$F$52,HOUR(C6729)+Inputs!$C$69,MATCH(INDEX(Utility_Rates!$K$6:$K$17,MONTH(C6729))&amp;IF(WEEKDAY(C6729,Inputs!$C$76)&lt;=Inputs!$C$74," weekday"," weekend"),Utility_Rates!$C$28:$F$28,Inputs!$C$68)),"")</f>
      </c>
      <c r="H6729" s="34"/>
      <c r="I6729" s="42">
        <f>IF(AND(ISNUMBER(D6729),ISNUMBER(H6729)),D6729*H6729*Inputs!$C$69,"")</f>
      </c>
      <c r="J6729" s="42">
        <f>IF(AND(ISNUMBER(F6729),ISNUMBER(H6729),F6729&gt;=Inputs!$C$68),F6729*H6729*Inputs!$C$69,"")</f>
      </c>
    </row>
    <row r="6730" spans="2:10" ht="15" customHeight="1" x14ac:dyDescent="0.2">
      <c r="B6730" s="39">
        <f t="shared" si="52"/>
      </c>
      <c r="C6730" s="40">
        <f>IF(Inputs!$C$60,Inputs!$C$11+(B6730-Inputs!$C$69)/Inputs!$C$70,"")</f>
      </c>
      <c r="D6730" s="15"/>
      <c r="E6730" s="15"/>
      <c r="F6730" s="11">
        <f t="shared" si="53"/>
      </c>
      <c r="G6730" s="22" cm="1">
        <f t="array" ref="G6730">IF(AND(Inputs!$C$60,Inputs!$C$61),INDEX(Utility_Rates!$C$29:$F$52,HOUR(C6730)+Inputs!$C$69,MATCH(INDEX(Utility_Rates!$K$6:$K$17,MONTH(C6730))&amp;IF(WEEKDAY(C6730,Inputs!$C$76)&lt;=Inputs!$C$74," weekday"," weekend"),Utility_Rates!$C$28:$F$28,Inputs!$C$68)),"")</f>
      </c>
      <c r="H6730" s="34"/>
      <c r="I6730" s="42">
        <f>IF(AND(ISNUMBER(D6730),ISNUMBER(H6730)),D6730*H6730*Inputs!$C$69,"")</f>
      </c>
      <c r="J6730" s="42">
        <f>IF(AND(ISNUMBER(F6730),ISNUMBER(H6730),F6730&gt;=Inputs!$C$68),F6730*H6730*Inputs!$C$69,"")</f>
      </c>
    </row>
    <row r="6731" spans="2:10" ht="15" customHeight="1" x14ac:dyDescent="0.2">
      <c r="B6731" s="39">
        <f t="shared" si="52"/>
      </c>
      <c r="C6731" s="40">
        <f>IF(Inputs!$C$60,Inputs!$C$11+(B6731-Inputs!$C$69)/Inputs!$C$70,"")</f>
      </c>
      <c r="D6731" s="15"/>
      <c r="E6731" s="15"/>
      <c r="F6731" s="11">
        <f t="shared" si="53"/>
      </c>
      <c r="G6731" s="22" cm="1">
        <f t="array" ref="G6731">IF(AND(Inputs!$C$60,Inputs!$C$61),INDEX(Utility_Rates!$C$29:$F$52,HOUR(C6731)+Inputs!$C$69,MATCH(INDEX(Utility_Rates!$K$6:$K$17,MONTH(C6731))&amp;IF(WEEKDAY(C6731,Inputs!$C$76)&lt;=Inputs!$C$74," weekday"," weekend"),Utility_Rates!$C$28:$F$28,Inputs!$C$68)),"")</f>
      </c>
      <c r="H6731" s="34"/>
      <c r="I6731" s="42">
        <f>IF(AND(ISNUMBER(D6731),ISNUMBER(H6731)),D6731*H6731*Inputs!$C$69,"")</f>
      </c>
      <c r="J6731" s="42">
        <f>IF(AND(ISNUMBER(F6731),ISNUMBER(H6731),F6731&gt;=Inputs!$C$68),F6731*H6731*Inputs!$C$69,"")</f>
      </c>
    </row>
    <row r="6732" spans="2:10" ht="15" customHeight="1" x14ac:dyDescent="0.2">
      <c r="B6732" s="39">
        <f t="shared" si="52"/>
      </c>
      <c r="C6732" s="40">
        <f>IF(Inputs!$C$60,Inputs!$C$11+(B6732-Inputs!$C$69)/Inputs!$C$70,"")</f>
      </c>
      <c r="D6732" s="15"/>
      <c r="E6732" s="15"/>
      <c r="F6732" s="11">
        <f t="shared" si="53"/>
      </c>
      <c r="G6732" s="22" cm="1">
        <f t="array" ref="G6732">IF(AND(Inputs!$C$60,Inputs!$C$61),INDEX(Utility_Rates!$C$29:$F$52,HOUR(C6732)+Inputs!$C$69,MATCH(INDEX(Utility_Rates!$K$6:$K$17,MONTH(C6732))&amp;IF(WEEKDAY(C6732,Inputs!$C$76)&lt;=Inputs!$C$74," weekday"," weekend"),Utility_Rates!$C$28:$F$28,Inputs!$C$68)),"")</f>
      </c>
      <c r="H6732" s="34"/>
      <c r="I6732" s="42">
        <f>IF(AND(ISNUMBER(D6732),ISNUMBER(H6732)),D6732*H6732*Inputs!$C$69,"")</f>
      </c>
      <c r="J6732" s="42">
        <f>IF(AND(ISNUMBER(F6732),ISNUMBER(H6732),F6732&gt;=Inputs!$C$68),F6732*H6732*Inputs!$C$69,"")</f>
      </c>
    </row>
    <row r="6733" spans="2:10" ht="15" customHeight="1" x14ac:dyDescent="0.2">
      <c r="B6733" s="39">
        <f t="shared" si="52"/>
      </c>
      <c r="C6733" s="40">
        <f>IF(Inputs!$C$60,Inputs!$C$11+(B6733-Inputs!$C$69)/Inputs!$C$70,"")</f>
      </c>
      <c r="D6733" s="15"/>
      <c r="E6733" s="15"/>
      <c r="F6733" s="11">
        <f t="shared" si="53"/>
      </c>
      <c r="G6733" s="22" cm="1">
        <f t="array" ref="G6733">IF(AND(Inputs!$C$60,Inputs!$C$61),INDEX(Utility_Rates!$C$29:$F$52,HOUR(C6733)+Inputs!$C$69,MATCH(INDEX(Utility_Rates!$K$6:$K$17,MONTH(C6733))&amp;IF(WEEKDAY(C6733,Inputs!$C$76)&lt;=Inputs!$C$74," weekday"," weekend"),Utility_Rates!$C$28:$F$28,Inputs!$C$68)),"")</f>
      </c>
      <c r="H6733" s="34"/>
      <c r="I6733" s="42">
        <f>IF(AND(ISNUMBER(D6733),ISNUMBER(H6733)),D6733*H6733*Inputs!$C$69,"")</f>
      </c>
      <c r="J6733" s="42">
        <f>IF(AND(ISNUMBER(F6733),ISNUMBER(H6733),F6733&gt;=Inputs!$C$68),F6733*H6733*Inputs!$C$69,"")</f>
      </c>
    </row>
    <row r="6734" spans="2:10" ht="15" customHeight="1" x14ac:dyDescent="0.2">
      <c r="B6734" s="39">
        <f t="shared" si="52"/>
      </c>
      <c r="C6734" s="40">
        <f>IF(Inputs!$C$60,Inputs!$C$11+(B6734-Inputs!$C$69)/Inputs!$C$70,"")</f>
      </c>
      <c r="D6734" s="15"/>
      <c r="E6734" s="15"/>
      <c r="F6734" s="11">
        <f t="shared" si="53"/>
      </c>
      <c r="G6734" s="22" cm="1">
        <f t="array" ref="G6734">IF(AND(Inputs!$C$60,Inputs!$C$61),INDEX(Utility_Rates!$C$29:$F$52,HOUR(C6734)+Inputs!$C$69,MATCH(INDEX(Utility_Rates!$K$6:$K$17,MONTH(C6734))&amp;IF(WEEKDAY(C6734,Inputs!$C$76)&lt;=Inputs!$C$74," weekday"," weekend"),Utility_Rates!$C$28:$F$28,Inputs!$C$68)),"")</f>
      </c>
      <c r="H6734" s="34"/>
      <c r="I6734" s="42">
        <f>IF(AND(ISNUMBER(D6734),ISNUMBER(H6734)),D6734*H6734*Inputs!$C$69,"")</f>
      </c>
      <c r="J6734" s="42">
        <f>IF(AND(ISNUMBER(F6734),ISNUMBER(H6734),F6734&gt;=Inputs!$C$68),F6734*H6734*Inputs!$C$69,"")</f>
      </c>
    </row>
    <row r="6735" spans="2:10" ht="15" customHeight="1" x14ac:dyDescent="0.2">
      <c r="B6735" s="39">
        <f t="shared" si="52"/>
      </c>
      <c r="C6735" s="40">
        <f>IF(Inputs!$C$60,Inputs!$C$11+(B6735-Inputs!$C$69)/Inputs!$C$70,"")</f>
      </c>
      <c r="D6735" s="15"/>
      <c r="E6735" s="15"/>
      <c r="F6735" s="11">
        <f t="shared" si="53"/>
      </c>
      <c r="G6735" s="22" cm="1">
        <f t="array" ref="G6735">IF(AND(Inputs!$C$60,Inputs!$C$61),INDEX(Utility_Rates!$C$29:$F$52,HOUR(C6735)+Inputs!$C$69,MATCH(INDEX(Utility_Rates!$K$6:$K$17,MONTH(C6735))&amp;IF(WEEKDAY(C6735,Inputs!$C$76)&lt;=Inputs!$C$74," weekday"," weekend"),Utility_Rates!$C$28:$F$28,Inputs!$C$68)),"")</f>
      </c>
      <c r="H6735" s="34"/>
      <c r="I6735" s="42">
        <f>IF(AND(ISNUMBER(D6735),ISNUMBER(H6735)),D6735*H6735*Inputs!$C$69,"")</f>
      </c>
      <c r="J6735" s="42">
        <f>IF(AND(ISNUMBER(F6735),ISNUMBER(H6735),F6735&gt;=Inputs!$C$68),F6735*H6735*Inputs!$C$69,"")</f>
      </c>
    </row>
    <row r="6736" spans="2:10" ht="15" customHeight="1" x14ac:dyDescent="0.2">
      <c r="B6736" s="39">
        <f t="shared" si="52"/>
      </c>
      <c r="C6736" s="40">
        <f>IF(Inputs!$C$60,Inputs!$C$11+(B6736-Inputs!$C$69)/Inputs!$C$70,"")</f>
      </c>
      <c r="D6736" s="15"/>
      <c r="E6736" s="15"/>
      <c r="F6736" s="11">
        <f t="shared" si="53"/>
      </c>
      <c r="G6736" s="22" cm="1">
        <f t="array" ref="G6736">IF(AND(Inputs!$C$60,Inputs!$C$61),INDEX(Utility_Rates!$C$29:$F$52,HOUR(C6736)+Inputs!$C$69,MATCH(INDEX(Utility_Rates!$K$6:$K$17,MONTH(C6736))&amp;IF(WEEKDAY(C6736,Inputs!$C$76)&lt;=Inputs!$C$74," weekday"," weekend"),Utility_Rates!$C$28:$F$28,Inputs!$C$68)),"")</f>
      </c>
      <c r="H6736" s="34"/>
      <c r="I6736" s="42">
        <f>IF(AND(ISNUMBER(D6736),ISNUMBER(H6736)),D6736*H6736*Inputs!$C$69,"")</f>
      </c>
      <c r="J6736" s="42">
        <f>IF(AND(ISNUMBER(F6736),ISNUMBER(H6736),F6736&gt;=Inputs!$C$68),F6736*H6736*Inputs!$C$69,"")</f>
      </c>
    </row>
    <row r="6737" spans="2:10" ht="15" customHeight="1" x14ac:dyDescent="0.2">
      <c r="B6737" s="39">
        <f t="shared" si="52"/>
      </c>
      <c r="C6737" s="40">
        <f>IF(Inputs!$C$60,Inputs!$C$11+(B6737-Inputs!$C$69)/Inputs!$C$70,"")</f>
      </c>
      <c r="D6737" s="15"/>
      <c r="E6737" s="15"/>
      <c r="F6737" s="11">
        <f t="shared" si="53"/>
      </c>
      <c r="G6737" s="22" cm="1">
        <f t="array" ref="G6737">IF(AND(Inputs!$C$60,Inputs!$C$61),INDEX(Utility_Rates!$C$29:$F$52,HOUR(C6737)+Inputs!$C$69,MATCH(INDEX(Utility_Rates!$K$6:$K$17,MONTH(C6737))&amp;IF(WEEKDAY(C6737,Inputs!$C$76)&lt;=Inputs!$C$74," weekday"," weekend"),Utility_Rates!$C$28:$F$28,Inputs!$C$68)),"")</f>
      </c>
      <c r="H6737" s="34"/>
      <c r="I6737" s="42">
        <f>IF(AND(ISNUMBER(D6737),ISNUMBER(H6737)),D6737*H6737*Inputs!$C$69,"")</f>
      </c>
      <c r="J6737" s="42">
        <f>IF(AND(ISNUMBER(F6737),ISNUMBER(H6737),F6737&gt;=Inputs!$C$68),F6737*H6737*Inputs!$C$69,"")</f>
      </c>
    </row>
    <row r="6738" spans="2:10" ht="15" customHeight="1" x14ac:dyDescent="0.2">
      <c r="B6738" s="39">
        <f t="shared" si="52"/>
      </c>
      <c r="C6738" s="40">
        <f>IF(Inputs!$C$60,Inputs!$C$11+(B6738-Inputs!$C$69)/Inputs!$C$70,"")</f>
      </c>
      <c r="D6738" s="15"/>
      <c r="E6738" s="15"/>
      <c r="F6738" s="11">
        <f t="shared" si="53"/>
      </c>
      <c r="G6738" s="22" cm="1">
        <f t="array" ref="G6738">IF(AND(Inputs!$C$60,Inputs!$C$61),INDEX(Utility_Rates!$C$29:$F$52,HOUR(C6738)+Inputs!$C$69,MATCH(INDEX(Utility_Rates!$K$6:$K$17,MONTH(C6738))&amp;IF(WEEKDAY(C6738,Inputs!$C$76)&lt;=Inputs!$C$74," weekday"," weekend"),Utility_Rates!$C$28:$F$28,Inputs!$C$68)),"")</f>
      </c>
      <c r="H6738" s="34"/>
      <c r="I6738" s="42">
        <f>IF(AND(ISNUMBER(D6738),ISNUMBER(H6738)),D6738*H6738*Inputs!$C$69,"")</f>
      </c>
      <c r="J6738" s="42">
        <f>IF(AND(ISNUMBER(F6738),ISNUMBER(H6738),F6738&gt;=Inputs!$C$68),F6738*H6738*Inputs!$C$69,"")</f>
      </c>
    </row>
    <row r="6739" spans="2:10" ht="15" customHeight="1" x14ac:dyDescent="0.2">
      <c r="B6739" s="39">
        <f t="shared" si="52"/>
      </c>
      <c r="C6739" s="40">
        <f>IF(Inputs!$C$60,Inputs!$C$11+(B6739-Inputs!$C$69)/Inputs!$C$70,"")</f>
      </c>
      <c r="D6739" s="15"/>
      <c r="E6739" s="15"/>
      <c r="F6739" s="11">
        <f t="shared" si="53"/>
      </c>
      <c r="G6739" s="22" cm="1">
        <f t="array" ref="G6739">IF(AND(Inputs!$C$60,Inputs!$C$61),INDEX(Utility_Rates!$C$29:$F$52,HOUR(C6739)+Inputs!$C$69,MATCH(INDEX(Utility_Rates!$K$6:$K$17,MONTH(C6739))&amp;IF(WEEKDAY(C6739,Inputs!$C$76)&lt;=Inputs!$C$74," weekday"," weekend"),Utility_Rates!$C$28:$F$28,Inputs!$C$68)),"")</f>
      </c>
      <c r="H6739" s="34"/>
      <c r="I6739" s="42">
        <f>IF(AND(ISNUMBER(D6739),ISNUMBER(H6739)),D6739*H6739*Inputs!$C$69,"")</f>
      </c>
      <c r="J6739" s="42">
        <f>IF(AND(ISNUMBER(F6739),ISNUMBER(H6739),F6739&gt;=Inputs!$C$68),F6739*H6739*Inputs!$C$69,"")</f>
      </c>
    </row>
    <row r="6740" spans="2:10" ht="15" customHeight="1" x14ac:dyDescent="0.2">
      <c r="B6740" s="39">
        <f t="shared" si="52"/>
      </c>
      <c r="C6740" s="40">
        <f>IF(Inputs!$C$60,Inputs!$C$11+(B6740-Inputs!$C$69)/Inputs!$C$70,"")</f>
      </c>
      <c r="D6740" s="15"/>
      <c r="E6740" s="15"/>
      <c r="F6740" s="11">
        <f t="shared" si="53"/>
      </c>
      <c r="G6740" s="22" cm="1">
        <f t="array" ref="G6740">IF(AND(Inputs!$C$60,Inputs!$C$61),INDEX(Utility_Rates!$C$29:$F$52,HOUR(C6740)+Inputs!$C$69,MATCH(INDEX(Utility_Rates!$K$6:$K$17,MONTH(C6740))&amp;IF(WEEKDAY(C6740,Inputs!$C$76)&lt;=Inputs!$C$74," weekday"," weekend"),Utility_Rates!$C$28:$F$28,Inputs!$C$68)),"")</f>
      </c>
      <c r="H6740" s="34"/>
      <c r="I6740" s="42">
        <f>IF(AND(ISNUMBER(D6740),ISNUMBER(H6740)),D6740*H6740*Inputs!$C$69,"")</f>
      </c>
      <c r="J6740" s="42">
        <f>IF(AND(ISNUMBER(F6740),ISNUMBER(H6740),F6740&gt;=Inputs!$C$68),F6740*H6740*Inputs!$C$69,"")</f>
      </c>
    </row>
    <row r="6741" spans="2:10" ht="15" customHeight="1" x14ac:dyDescent="0.2">
      <c r="B6741" s="39">
        <f t="shared" si="52"/>
      </c>
      <c r="C6741" s="40">
        <f>IF(Inputs!$C$60,Inputs!$C$11+(B6741-Inputs!$C$69)/Inputs!$C$70,"")</f>
      </c>
      <c r="D6741" s="15"/>
      <c r="E6741" s="15"/>
      <c r="F6741" s="11">
        <f t="shared" si="53"/>
      </c>
      <c r="G6741" s="22" cm="1">
        <f t="array" ref="G6741">IF(AND(Inputs!$C$60,Inputs!$C$61),INDEX(Utility_Rates!$C$29:$F$52,HOUR(C6741)+Inputs!$C$69,MATCH(INDEX(Utility_Rates!$K$6:$K$17,MONTH(C6741))&amp;IF(WEEKDAY(C6741,Inputs!$C$76)&lt;=Inputs!$C$74," weekday"," weekend"),Utility_Rates!$C$28:$F$28,Inputs!$C$68)),"")</f>
      </c>
      <c r="H6741" s="34"/>
      <c r="I6741" s="42">
        <f>IF(AND(ISNUMBER(D6741),ISNUMBER(H6741)),D6741*H6741*Inputs!$C$69,"")</f>
      </c>
      <c r="J6741" s="42">
        <f>IF(AND(ISNUMBER(F6741),ISNUMBER(H6741),F6741&gt;=Inputs!$C$68),F6741*H6741*Inputs!$C$69,"")</f>
      </c>
    </row>
    <row r="6742" spans="2:10" ht="15" customHeight="1" x14ac:dyDescent="0.2">
      <c r="B6742" s="39">
        <f t="shared" si="52"/>
      </c>
      <c r="C6742" s="40">
        <f>IF(Inputs!$C$60,Inputs!$C$11+(B6742-Inputs!$C$69)/Inputs!$C$70,"")</f>
      </c>
      <c r="D6742" s="15"/>
      <c r="E6742" s="15"/>
      <c r="F6742" s="11">
        <f t="shared" si="53"/>
      </c>
      <c r="G6742" s="22" cm="1">
        <f t="array" ref="G6742">IF(AND(Inputs!$C$60,Inputs!$C$61),INDEX(Utility_Rates!$C$29:$F$52,HOUR(C6742)+Inputs!$C$69,MATCH(INDEX(Utility_Rates!$K$6:$K$17,MONTH(C6742))&amp;IF(WEEKDAY(C6742,Inputs!$C$76)&lt;=Inputs!$C$74," weekday"," weekend"),Utility_Rates!$C$28:$F$28,Inputs!$C$68)),"")</f>
      </c>
      <c r="H6742" s="34"/>
      <c r="I6742" s="42">
        <f>IF(AND(ISNUMBER(D6742),ISNUMBER(H6742)),D6742*H6742*Inputs!$C$69,"")</f>
      </c>
      <c r="J6742" s="42">
        <f>IF(AND(ISNUMBER(F6742),ISNUMBER(H6742),F6742&gt;=Inputs!$C$68),F6742*H6742*Inputs!$C$69,"")</f>
      </c>
    </row>
    <row r="6743" spans="2:10" ht="15" customHeight="1" x14ac:dyDescent="0.2">
      <c r="B6743" s="39">
        <f t="shared" si="52"/>
      </c>
      <c r="C6743" s="40">
        <f>IF(Inputs!$C$60,Inputs!$C$11+(B6743-Inputs!$C$69)/Inputs!$C$70,"")</f>
      </c>
      <c r="D6743" s="15"/>
      <c r="E6743" s="15"/>
      <c r="F6743" s="11">
        <f t="shared" si="53"/>
      </c>
      <c r="G6743" s="22" cm="1">
        <f t="array" ref="G6743">IF(AND(Inputs!$C$60,Inputs!$C$61),INDEX(Utility_Rates!$C$29:$F$52,HOUR(C6743)+Inputs!$C$69,MATCH(INDEX(Utility_Rates!$K$6:$K$17,MONTH(C6743))&amp;IF(WEEKDAY(C6743,Inputs!$C$76)&lt;=Inputs!$C$74," weekday"," weekend"),Utility_Rates!$C$28:$F$28,Inputs!$C$68)),"")</f>
      </c>
      <c r="H6743" s="34"/>
      <c r="I6743" s="42">
        <f>IF(AND(ISNUMBER(D6743),ISNUMBER(H6743)),D6743*H6743*Inputs!$C$69,"")</f>
      </c>
      <c r="J6743" s="42">
        <f>IF(AND(ISNUMBER(F6743),ISNUMBER(H6743),F6743&gt;=Inputs!$C$68),F6743*H6743*Inputs!$C$69,"")</f>
      </c>
    </row>
    <row r="6744" spans="2:10" ht="15" customHeight="1" x14ac:dyDescent="0.2">
      <c r="B6744" s="39">
        <f t="shared" si="52"/>
      </c>
      <c r="C6744" s="40">
        <f>IF(Inputs!$C$60,Inputs!$C$11+(B6744-Inputs!$C$69)/Inputs!$C$70,"")</f>
      </c>
      <c r="D6744" s="15"/>
      <c r="E6744" s="15"/>
      <c r="F6744" s="11">
        <f t="shared" si="53"/>
      </c>
      <c r="G6744" s="22" cm="1">
        <f t="array" ref="G6744">IF(AND(Inputs!$C$60,Inputs!$C$61),INDEX(Utility_Rates!$C$29:$F$52,HOUR(C6744)+Inputs!$C$69,MATCH(INDEX(Utility_Rates!$K$6:$K$17,MONTH(C6744))&amp;IF(WEEKDAY(C6744,Inputs!$C$76)&lt;=Inputs!$C$74," weekday"," weekend"),Utility_Rates!$C$28:$F$28,Inputs!$C$68)),"")</f>
      </c>
      <c r="H6744" s="34"/>
      <c r="I6744" s="42">
        <f>IF(AND(ISNUMBER(D6744),ISNUMBER(H6744)),D6744*H6744*Inputs!$C$69,"")</f>
      </c>
      <c r="J6744" s="42">
        <f>IF(AND(ISNUMBER(F6744),ISNUMBER(H6744),F6744&gt;=Inputs!$C$68),F6744*H6744*Inputs!$C$69,"")</f>
      </c>
    </row>
    <row r="6745" spans="2:10" ht="15" customHeight="1" x14ac:dyDescent="0.2">
      <c r="B6745" s="39">
        <f t="shared" si="52"/>
      </c>
      <c r="C6745" s="40">
        <f>IF(Inputs!$C$60,Inputs!$C$11+(B6745-Inputs!$C$69)/Inputs!$C$70,"")</f>
      </c>
      <c r="D6745" s="15"/>
      <c r="E6745" s="15"/>
      <c r="F6745" s="11">
        <f t="shared" si="53"/>
      </c>
      <c r="G6745" s="22" cm="1">
        <f t="array" ref="G6745">IF(AND(Inputs!$C$60,Inputs!$C$61),INDEX(Utility_Rates!$C$29:$F$52,HOUR(C6745)+Inputs!$C$69,MATCH(INDEX(Utility_Rates!$K$6:$K$17,MONTH(C6745))&amp;IF(WEEKDAY(C6745,Inputs!$C$76)&lt;=Inputs!$C$74," weekday"," weekend"),Utility_Rates!$C$28:$F$28,Inputs!$C$68)),"")</f>
      </c>
      <c r="H6745" s="34"/>
      <c r="I6745" s="42">
        <f>IF(AND(ISNUMBER(D6745),ISNUMBER(H6745)),D6745*H6745*Inputs!$C$69,"")</f>
      </c>
      <c r="J6745" s="42">
        <f>IF(AND(ISNUMBER(F6745),ISNUMBER(H6745),F6745&gt;=Inputs!$C$68),F6745*H6745*Inputs!$C$69,"")</f>
      </c>
    </row>
    <row r="6746" spans="2:10" ht="15" customHeight="1" x14ac:dyDescent="0.2">
      <c r="B6746" s="39">
        <f t="shared" si="52"/>
      </c>
      <c r="C6746" s="40">
        <f>IF(Inputs!$C$60,Inputs!$C$11+(B6746-Inputs!$C$69)/Inputs!$C$70,"")</f>
      </c>
      <c r="D6746" s="15"/>
      <c r="E6746" s="15"/>
      <c r="F6746" s="11">
        <f t="shared" si="53"/>
      </c>
      <c r="G6746" s="22" cm="1">
        <f t="array" ref="G6746">IF(AND(Inputs!$C$60,Inputs!$C$61),INDEX(Utility_Rates!$C$29:$F$52,HOUR(C6746)+Inputs!$C$69,MATCH(INDEX(Utility_Rates!$K$6:$K$17,MONTH(C6746))&amp;IF(WEEKDAY(C6746,Inputs!$C$76)&lt;=Inputs!$C$74," weekday"," weekend"),Utility_Rates!$C$28:$F$28,Inputs!$C$68)),"")</f>
      </c>
      <c r="H6746" s="34"/>
      <c r="I6746" s="42">
        <f>IF(AND(ISNUMBER(D6746),ISNUMBER(H6746)),D6746*H6746*Inputs!$C$69,"")</f>
      </c>
      <c r="J6746" s="42">
        <f>IF(AND(ISNUMBER(F6746),ISNUMBER(H6746),F6746&gt;=Inputs!$C$68),F6746*H6746*Inputs!$C$69,"")</f>
      </c>
    </row>
    <row r="6747" spans="2:10" ht="15" customHeight="1" x14ac:dyDescent="0.2">
      <c r="B6747" s="39">
        <f t="shared" si="52"/>
      </c>
      <c r="C6747" s="40">
        <f>IF(Inputs!$C$60,Inputs!$C$11+(B6747-Inputs!$C$69)/Inputs!$C$70,"")</f>
      </c>
      <c r="D6747" s="15"/>
      <c r="E6747" s="15"/>
      <c r="F6747" s="11">
        <f t="shared" si="53"/>
      </c>
      <c r="G6747" s="22" cm="1">
        <f t="array" ref="G6747">IF(AND(Inputs!$C$60,Inputs!$C$61),INDEX(Utility_Rates!$C$29:$F$52,HOUR(C6747)+Inputs!$C$69,MATCH(INDEX(Utility_Rates!$K$6:$K$17,MONTH(C6747))&amp;IF(WEEKDAY(C6747,Inputs!$C$76)&lt;=Inputs!$C$74," weekday"," weekend"),Utility_Rates!$C$28:$F$28,Inputs!$C$68)),"")</f>
      </c>
      <c r="H6747" s="34"/>
      <c r="I6747" s="42">
        <f>IF(AND(ISNUMBER(D6747),ISNUMBER(H6747)),D6747*H6747*Inputs!$C$69,"")</f>
      </c>
      <c r="J6747" s="42">
        <f>IF(AND(ISNUMBER(F6747),ISNUMBER(H6747),F6747&gt;=Inputs!$C$68),F6747*H6747*Inputs!$C$69,"")</f>
      </c>
    </row>
    <row r="6748" spans="2:10" ht="15" customHeight="1" x14ac:dyDescent="0.2">
      <c r="B6748" s="39">
        <f t="shared" si="52"/>
      </c>
      <c r="C6748" s="40">
        <f>IF(Inputs!$C$60,Inputs!$C$11+(B6748-Inputs!$C$69)/Inputs!$C$70,"")</f>
      </c>
      <c r="D6748" s="15"/>
      <c r="E6748" s="15"/>
      <c r="F6748" s="11">
        <f t="shared" si="53"/>
      </c>
      <c r="G6748" s="22" cm="1">
        <f t="array" ref="G6748">IF(AND(Inputs!$C$60,Inputs!$C$61),INDEX(Utility_Rates!$C$29:$F$52,HOUR(C6748)+Inputs!$C$69,MATCH(INDEX(Utility_Rates!$K$6:$K$17,MONTH(C6748))&amp;IF(WEEKDAY(C6748,Inputs!$C$76)&lt;=Inputs!$C$74," weekday"," weekend"),Utility_Rates!$C$28:$F$28,Inputs!$C$68)),"")</f>
      </c>
      <c r="H6748" s="34"/>
      <c r="I6748" s="42">
        <f>IF(AND(ISNUMBER(D6748),ISNUMBER(H6748)),D6748*H6748*Inputs!$C$69,"")</f>
      </c>
      <c r="J6748" s="42">
        <f>IF(AND(ISNUMBER(F6748),ISNUMBER(H6748),F6748&gt;=Inputs!$C$68),F6748*H6748*Inputs!$C$69,"")</f>
      </c>
    </row>
    <row r="6749" spans="2:10" ht="15" customHeight="1" x14ac:dyDescent="0.2">
      <c r="B6749" s="39">
        <f t="shared" si="52"/>
      </c>
      <c r="C6749" s="40">
        <f>IF(Inputs!$C$60,Inputs!$C$11+(B6749-Inputs!$C$69)/Inputs!$C$70,"")</f>
      </c>
      <c r="D6749" s="15"/>
      <c r="E6749" s="15"/>
      <c r="F6749" s="11">
        <f t="shared" si="53"/>
      </c>
      <c r="G6749" s="22" cm="1">
        <f t="array" ref="G6749">IF(AND(Inputs!$C$60,Inputs!$C$61),INDEX(Utility_Rates!$C$29:$F$52,HOUR(C6749)+Inputs!$C$69,MATCH(INDEX(Utility_Rates!$K$6:$K$17,MONTH(C6749))&amp;IF(WEEKDAY(C6749,Inputs!$C$76)&lt;=Inputs!$C$74," weekday"," weekend"),Utility_Rates!$C$28:$F$28,Inputs!$C$68)),"")</f>
      </c>
      <c r="H6749" s="34"/>
      <c r="I6749" s="42">
        <f>IF(AND(ISNUMBER(D6749),ISNUMBER(H6749)),D6749*H6749*Inputs!$C$69,"")</f>
      </c>
      <c r="J6749" s="42">
        <f>IF(AND(ISNUMBER(F6749),ISNUMBER(H6749),F6749&gt;=Inputs!$C$68),F6749*H6749*Inputs!$C$69,"")</f>
      </c>
    </row>
    <row r="6750" spans="2:10" ht="15" customHeight="1" x14ac:dyDescent="0.2">
      <c r="B6750" s="39">
        <f t="shared" si="52"/>
      </c>
      <c r="C6750" s="40">
        <f>IF(Inputs!$C$60,Inputs!$C$11+(B6750-Inputs!$C$69)/Inputs!$C$70,"")</f>
      </c>
      <c r="D6750" s="15"/>
      <c r="E6750" s="15"/>
      <c r="F6750" s="11">
        <f t="shared" si="53"/>
      </c>
      <c r="G6750" s="22" cm="1">
        <f t="array" ref="G6750">IF(AND(Inputs!$C$60,Inputs!$C$61),INDEX(Utility_Rates!$C$29:$F$52,HOUR(C6750)+Inputs!$C$69,MATCH(INDEX(Utility_Rates!$K$6:$K$17,MONTH(C6750))&amp;IF(WEEKDAY(C6750,Inputs!$C$76)&lt;=Inputs!$C$74," weekday"," weekend"),Utility_Rates!$C$28:$F$28,Inputs!$C$68)),"")</f>
      </c>
      <c r="H6750" s="34"/>
      <c r="I6750" s="42">
        <f>IF(AND(ISNUMBER(D6750),ISNUMBER(H6750)),D6750*H6750*Inputs!$C$69,"")</f>
      </c>
      <c r="J6750" s="42">
        <f>IF(AND(ISNUMBER(F6750),ISNUMBER(H6750),F6750&gt;=Inputs!$C$68),F6750*H6750*Inputs!$C$69,"")</f>
      </c>
    </row>
    <row r="6751" spans="2:10" ht="15" customHeight="1" x14ac:dyDescent="0.2">
      <c r="B6751" s="39">
        <f t="shared" si="52"/>
      </c>
      <c r="C6751" s="40">
        <f>IF(Inputs!$C$60,Inputs!$C$11+(B6751-Inputs!$C$69)/Inputs!$C$70,"")</f>
      </c>
      <c r="D6751" s="15"/>
      <c r="E6751" s="15"/>
      <c r="F6751" s="11">
        <f t="shared" si="53"/>
      </c>
      <c r="G6751" s="22" cm="1">
        <f t="array" ref="G6751">IF(AND(Inputs!$C$60,Inputs!$C$61),INDEX(Utility_Rates!$C$29:$F$52,HOUR(C6751)+Inputs!$C$69,MATCH(INDEX(Utility_Rates!$K$6:$K$17,MONTH(C6751))&amp;IF(WEEKDAY(C6751,Inputs!$C$76)&lt;=Inputs!$C$74," weekday"," weekend"),Utility_Rates!$C$28:$F$28,Inputs!$C$68)),"")</f>
      </c>
      <c r="H6751" s="34"/>
      <c r="I6751" s="42">
        <f>IF(AND(ISNUMBER(D6751),ISNUMBER(H6751)),D6751*H6751*Inputs!$C$69,"")</f>
      </c>
      <c r="J6751" s="42">
        <f>IF(AND(ISNUMBER(F6751),ISNUMBER(H6751),F6751&gt;=Inputs!$C$68),F6751*H6751*Inputs!$C$69,"")</f>
      </c>
    </row>
    <row r="6752" spans="2:10" ht="15" customHeight="1" x14ac:dyDescent="0.2">
      <c r="B6752" s="39">
        <f t="shared" si="52"/>
      </c>
      <c r="C6752" s="40">
        <f>IF(Inputs!$C$60,Inputs!$C$11+(B6752-Inputs!$C$69)/Inputs!$C$70,"")</f>
      </c>
      <c r="D6752" s="15"/>
      <c r="E6752" s="15"/>
      <c r="F6752" s="11">
        <f t="shared" si="53"/>
      </c>
      <c r="G6752" s="22" cm="1">
        <f t="array" ref="G6752">IF(AND(Inputs!$C$60,Inputs!$C$61),INDEX(Utility_Rates!$C$29:$F$52,HOUR(C6752)+Inputs!$C$69,MATCH(INDEX(Utility_Rates!$K$6:$K$17,MONTH(C6752))&amp;IF(WEEKDAY(C6752,Inputs!$C$76)&lt;=Inputs!$C$74," weekday"," weekend"),Utility_Rates!$C$28:$F$28,Inputs!$C$68)),"")</f>
      </c>
      <c r="H6752" s="34"/>
      <c r="I6752" s="42">
        <f>IF(AND(ISNUMBER(D6752),ISNUMBER(H6752)),D6752*H6752*Inputs!$C$69,"")</f>
      </c>
      <c r="J6752" s="42">
        <f>IF(AND(ISNUMBER(F6752),ISNUMBER(H6752),F6752&gt;=Inputs!$C$68),F6752*H6752*Inputs!$C$69,"")</f>
      </c>
    </row>
    <row r="6753" spans="2:10" ht="15" customHeight="1" x14ac:dyDescent="0.2">
      <c r="B6753" s="39">
        <f t="shared" si="52"/>
      </c>
      <c r="C6753" s="40">
        <f>IF(Inputs!$C$60,Inputs!$C$11+(B6753-Inputs!$C$69)/Inputs!$C$70,"")</f>
      </c>
      <c r="D6753" s="15"/>
      <c r="E6753" s="15"/>
      <c r="F6753" s="11">
        <f t="shared" si="53"/>
      </c>
      <c r="G6753" s="22" cm="1">
        <f t="array" ref="G6753">IF(AND(Inputs!$C$60,Inputs!$C$61),INDEX(Utility_Rates!$C$29:$F$52,HOUR(C6753)+Inputs!$C$69,MATCH(INDEX(Utility_Rates!$K$6:$K$17,MONTH(C6753))&amp;IF(WEEKDAY(C6753,Inputs!$C$76)&lt;=Inputs!$C$74," weekday"," weekend"),Utility_Rates!$C$28:$F$28,Inputs!$C$68)),"")</f>
      </c>
      <c r="H6753" s="34"/>
      <c r="I6753" s="42">
        <f>IF(AND(ISNUMBER(D6753),ISNUMBER(H6753)),D6753*H6753*Inputs!$C$69,"")</f>
      </c>
      <c r="J6753" s="42">
        <f>IF(AND(ISNUMBER(F6753),ISNUMBER(H6753),F6753&gt;=Inputs!$C$68),F6753*H6753*Inputs!$C$69,"")</f>
      </c>
    </row>
    <row r="6754" spans="2:10" ht="15" customHeight="1" x14ac:dyDescent="0.2">
      <c r="B6754" s="39">
        <f t="shared" si="52"/>
      </c>
      <c r="C6754" s="40">
        <f>IF(Inputs!$C$60,Inputs!$C$11+(B6754-Inputs!$C$69)/Inputs!$C$70,"")</f>
      </c>
      <c r="D6754" s="15"/>
      <c r="E6754" s="15"/>
      <c r="F6754" s="11">
        <f t="shared" si="53"/>
      </c>
      <c r="G6754" s="22" cm="1">
        <f t="array" ref="G6754">IF(AND(Inputs!$C$60,Inputs!$C$61),INDEX(Utility_Rates!$C$29:$F$52,HOUR(C6754)+Inputs!$C$69,MATCH(INDEX(Utility_Rates!$K$6:$K$17,MONTH(C6754))&amp;IF(WEEKDAY(C6754,Inputs!$C$76)&lt;=Inputs!$C$74," weekday"," weekend"),Utility_Rates!$C$28:$F$28,Inputs!$C$68)),"")</f>
      </c>
      <c r="H6754" s="34"/>
      <c r="I6754" s="42">
        <f>IF(AND(ISNUMBER(D6754),ISNUMBER(H6754)),D6754*H6754*Inputs!$C$69,"")</f>
      </c>
      <c r="J6754" s="42">
        <f>IF(AND(ISNUMBER(F6754),ISNUMBER(H6754),F6754&gt;=Inputs!$C$68),F6754*H6754*Inputs!$C$69,"")</f>
      </c>
    </row>
    <row r="6755" spans="2:10" ht="15" customHeight="1" x14ac:dyDescent="0.2">
      <c r="B6755" s="39">
        <f t="shared" si="52"/>
      </c>
      <c r="C6755" s="40">
        <f>IF(Inputs!$C$60,Inputs!$C$11+(B6755-Inputs!$C$69)/Inputs!$C$70,"")</f>
      </c>
      <c r="D6755" s="15"/>
      <c r="E6755" s="15"/>
      <c r="F6755" s="11">
        <f t="shared" si="53"/>
      </c>
      <c r="G6755" s="22" cm="1">
        <f t="array" ref="G6755">IF(AND(Inputs!$C$60,Inputs!$C$61),INDEX(Utility_Rates!$C$29:$F$52,HOUR(C6755)+Inputs!$C$69,MATCH(INDEX(Utility_Rates!$K$6:$K$17,MONTH(C6755))&amp;IF(WEEKDAY(C6755,Inputs!$C$76)&lt;=Inputs!$C$74," weekday"," weekend"),Utility_Rates!$C$28:$F$28,Inputs!$C$68)),"")</f>
      </c>
      <c r="H6755" s="34"/>
      <c r="I6755" s="42">
        <f>IF(AND(ISNUMBER(D6755),ISNUMBER(H6755)),D6755*H6755*Inputs!$C$69,"")</f>
      </c>
      <c r="J6755" s="42">
        <f>IF(AND(ISNUMBER(F6755),ISNUMBER(H6755),F6755&gt;=Inputs!$C$68),F6755*H6755*Inputs!$C$69,"")</f>
      </c>
    </row>
    <row r="6756" spans="2:10" ht="15" customHeight="1" x14ac:dyDescent="0.2">
      <c r="B6756" s="39">
        <f t="shared" si="52"/>
      </c>
      <c r="C6756" s="40">
        <f>IF(Inputs!$C$60,Inputs!$C$11+(B6756-Inputs!$C$69)/Inputs!$C$70,"")</f>
      </c>
      <c r="D6756" s="15"/>
      <c r="E6756" s="15"/>
      <c r="F6756" s="11">
        <f t="shared" si="53"/>
      </c>
      <c r="G6756" s="22" cm="1">
        <f t="array" ref="G6756">IF(AND(Inputs!$C$60,Inputs!$C$61),INDEX(Utility_Rates!$C$29:$F$52,HOUR(C6756)+Inputs!$C$69,MATCH(INDEX(Utility_Rates!$K$6:$K$17,MONTH(C6756))&amp;IF(WEEKDAY(C6756,Inputs!$C$76)&lt;=Inputs!$C$74," weekday"," weekend"),Utility_Rates!$C$28:$F$28,Inputs!$C$68)),"")</f>
      </c>
      <c r="H6756" s="34"/>
      <c r="I6756" s="42">
        <f>IF(AND(ISNUMBER(D6756),ISNUMBER(H6756)),D6756*H6756*Inputs!$C$69,"")</f>
      </c>
      <c r="J6756" s="42">
        <f>IF(AND(ISNUMBER(F6756),ISNUMBER(H6756),F6756&gt;=Inputs!$C$68),F6756*H6756*Inputs!$C$69,"")</f>
      </c>
    </row>
    <row r="6757" spans="2:10" ht="15" customHeight="1" x14ac:dyDescent="0.2">
      <c r="B6757" s="39">
        <f t="shared" si="52"/>
      </c>
      <c r="C6757" s="40">
        <f>IF(Inputs!$C$60,Inputs!$C$11+(B6757-Inputs!$C$69)/Inputs!$C$70,"")</f>
      </c>
      <c r="D6757" s="15"/>
      <c r="E6757" s="15"/>
      <c r="F6757" s="11">
        <f t="shared" si="53"/>
      </c>
      <c r="G6757" s="22" cm="1">
        <f t="array" ref="G6757">IF(AND(Inputs!$C$60,Inputs!$C$61),INDEX(Utility_Rates!$C$29:$F$52,HOUR(C6757)+Inputs!$C$69,MATCH(INDEX(Utility_Rates!$K$6:$K$17,MONTH(C6757))&amp;IF(WEEKDAY(C6757,Inputs!$C$76)&lt;=Inputs!$C$74," weekday"," weekend"),Utility_Rates!$C$28:$F$28,Inputs!$C$68)),"")</f>
      </c>
      <c r="H6757" s="34"/>
      <c r="I6757" s="42">
        <f>IF(AND(ISNUMBER(D6757),ISNUMBER(H6757)),D6757*H6757*Inputs!$C$69,"")</f>
      </c>
      <c r="J6757" s="42">
        <f>IF(AND(ISNUMBER(F6757),ISNUMBER(H6757),F6757&gt;=Inputs!$C$68),F6757*H6757*Inputs!$C$69,"")</f>
      </c>
    </row>
    <row r="6758" spans="2:10" ht="15" customHeight="1" x14ac:dyDescent="0.2">
      <c r="B6758" s="39">
        <f t="shared" si="52"/>
      </c>
      <c r="C6758" s="40">
        <f>IF(Inputs!$C$60,Inputs!$C$11+(B6758-Inputs!$C$69)/Inputs!$C$70,"")</f>
      </c>
      <c r="D6758" s="15"/>
      <c r="E6758" s="15"/>
      <c r="F6758" s="11">
        <f t="shared" si="53"/>
      </c>
      <c r="G6758" s="22" cm="1">
        <f t="array" ref="G6758">IF(AND(Inputs!$C$60,Inputs!$C$61),INDEX(Utility_Rates!$C$29:$F$52,HOUR(C6758)+Inputs!$C$69,MATCH(INDEX(Utility_Rates!$K$6:$K$17,MONTH(C6758))&amp;IF(WEEKDAY(C6758,Inputs!$C$76)&lt;=Inputs!$C$74," weekday"," weekend"),Utility_Rates!$C$28:$F$28,Inputs!$C$68)),"")</f>
      </c>
      <c r="H6758" s="34"/>
      <c r="I6758" s="42">
        <f>IF(AND(ISNUMBER(D6758),ISNUMBER(H6758)),D6758*H6758*Inputs!$C$69,"")</f>
      </c>
      <c r="J6758" s="42">
        <f>IF(AND(ISNUMBER(F6758),ISNUMBER(H6758),F6758&gt;=Inputs!$C$68),F6758*H6758*Inputs!$C$69,"")</f>
      </c>
    </row>
    <row r="6759" spans="2:10" ht="15" customHeight="1" x14ac:dyDescent="0.2">
      <c r="B6759" s="39">
        <f t="shared" si="52"/>
      </c>
      <c r="C6759" s="40">
        <f>IF(Inputs!$C$60,Inputs!$C$11+(B6759-Inputs!$C$69)/Inputs!$C$70,"")</f>
      </c>
      <c r="D6759" s="15"/>
      <c r="E6759" s="15"/>
      <c r="F6759" s="11">
        <f t="shared" si="53"/>
      </c>
      <c r="G6759" s="22" cm="1">
        <f t="array" ref="G6759">IF(AND(Inputs!$C$60,Inputs!$C$61),INDEX(Utility_Rates!$C$29:$F$52,HOUR(C6759)+Inputs!$C$69,MATCH(INDEX(Utility_Rates!$K$6:$K$17,MONTH(C6759))&amp;IF(WEEKDAY(C6759,Inputs!$C$76)&lt;=Inputs!$C$74," weekday"," weekend"),Utility_Rates!$C$28:$F$28,Inputs!$C$68)),"")</f>
      </c>
      <c r="H6759" s="34"/>
      <c r="I6759" s="42">
        <f>IF(AND(ISNUMBER(D6759),ISNUMBER(H6759)),D6759*H6759*Inputs!$C$69,"")</f>
      </c>
      <c r="J6759" s="42">
        <f>IF(AND(ISNUMBER(F6759),ISNUMBER(H6759),F6759&gt;=Inputs!$C$68),F6759*H6759*Inputs!$C$69,"")</f>
      </c>
    </row>
    <row r="6760" spans="2:10" ht="15" customHeight="1" x14ac:dyDescent="0.2">
      <c r="B6760" s="39">
        <f t="shared" si="52"/>
      </c>
      <c r="C6760" s="40">
        <f>IF(Inputs!$C$60,Inputs!$C$11+(B6760-Inputs!$C$69)/Inputs!$C$70,"")</f>
      </c>
      <c r="D6760" s="15"/>
      <c r="E6760" s="15"/>
      <c r="F6760" s="11">
        <f t="shared" si="53"/>
      </c>
      <c r="G6760" s="22" cm="1">
        <f t="array" ref="G6760">IF(AND(Inputs!$C$60,Inputs!$C$61),INDEX(Utility_Rates!$C$29:$F$52,HOUR(C6760)+Inputs!$C$69,MATCH(INDEX(Utility_Rates!$K$6:$K$17,MONTH(C6760))&amp;IF(WEEKDAY(C6760,Inputs!$C$76)&lt;=Inputs!$C$74," weekday"," weekend"),Utility_Rates!$C$28:$F$28,Inputs!$C$68)),"")</f>
      </c>
      <c r="H6760" s="34"/>
      <c r="I6760" s="42">
        <f>IF(AND(ISNUMBER(D6760),ISNUMBER(H6760)),D6760*H6760*Inputs!$C$69,"")</f>
      </c>
      <c r="J6760" s="42">
        <f>IF(AND(ISNUMBER(F6760),ISNUMBER(H6760),F6760&gt;=Inputs!$C$68),F6760*H6760*Inputs!$C$69,"")</f>
      </c>
    </row>
    <row r="6761" spans="2:10" ht="15" customHeight="1" x14ac:dyDescent="0.2">
      <c r="B6761" s="39">
        <f t="shared" si="52"/>
      </c>
      <c r="C6761" s="40">
        <f>IF(Inputs!$C$60,Inputs!$C$11+(B6761-Inputs!$C$69)/Inputs!$C$70,"")</f>
      </c>
      <c r="D6761" s="15"/>
      <c r="E6761" s="15"/>
      <c r="F6761" s="11">
        <f t="shared" si="53"/>
      </c>
      <c r="G6761" s="22" cm="1">
        <f t="array" ref="G6761">IF(AND(Inputs!$C$60,Inputs!$C$61),INDEX(Utility_Rates!$C$29:$F$52,HOUR(C6761)+Inputs!$C$69,MATCH(INDEX(Utility_Rates!$K$6:$K$17,MONTH(C6761))&amp;IF(WEEKDAY(C6761,Inputs!$C$76)&lt;=Inputs!$C$74," weekday"," weekend"),Utility_Rates!$C$28:$F$28,Inputs!$C$68)),"")</f>
      </c>
      <c r="H6761" s="34"/>
      <c r="I6761" s="42">
        <f>IF(AND(ISNUMBER(D6761),ISNUMBER(H6761)),D6761*H6761*Inputs!$C$69,"")</f>
      </c>
      <c r="J6761" s="42">
        <f>IF(AND(ISNUMBER(F6761),ISNUMBER(H6761),F6761&gt;=Inputs!$C$68),F6761*H6761*Inputs!$C$69,"")</f>
      </c>
    </row>
    <row r="6762" spans="2:10" ht="15" customHeight="1" x14ac:dyDescent="0.2">
      <c r="B6762" s="39">
        <f t="shared" si="52"/>
      </c>
      <c r="C6762" s="40">
        <f>IF(Inputs!$C$60,Inputs!$C$11+(B6762-Inputs!$C$69)/Inputs!$C$70,"")</f>
      </c>
      <c r="D6762" s="15"/>
      <c r="E6762" s="15"/>
      <c r="F6762" s="11">
        <f t="shared" si="53"/>
      </c>
      <c r="G6762" s="22" cm="1">
        <f t="array" ref="G6762">IF(AND(Inputs!$C$60,Inputs!$C$61),INDEX(Utility_Rates!$C$29:$F$52,HOUR(C6762)+Inputs!$C$69,MATCH(INDEX(Utility_Rates!$K$6:$K$17,MONTH(C6762))&amp;IF(WEEKDAY(C6762,Inputs!$C$76)&lt;=Inputs!$C$74," weekday"," weekend"),Utility_Rates!$C$28:$F$28,Inputs!$C$68)),"")</f>
      </c>
      <c r="H6762" s="34"/>
      <c r="I6762" s="42">
        <f>IF(AND(ISNUMBER(D6762),ISNUMBER(H6762)),D6762*H6762*Inputs!$C$69,"")</f>
      </c>
      <c r="J6762" s="42">
        <f>IF(AND(ISNUMBER(F6762),ISNUMBER(H6762),F6762&gt;=Inputs!$C$68),F6762*H6762*Inputs!$C$69,"")</f>
      </c>
    </row>
    <row r="6763" spans="2:10" ht="15" customHeight="1" x14ac:dyDescent="0.2">
      <c r="B6763" s="39">
        <f t="shared" si="52"/>
      </c>
      <c r="C6763" s="40">
        <f>IF(Inputs!$C$60,Inputs!$C$11+(B6763-Inputs!$C$69)/Inputs!$C$70,"")</f>
      </c>
      <c r="D6763" s="15"/>
      <c r="E6763" s="15"/>
      <c r="F6763" s="11">
        <f t="shared" si="53"/>
      </c>
      <c r="G6763" s="22" cm="1">
        <f t="array" ref="G6763">IF(AND(Inputs!$C$60,Inputs!$C$61),INDEX(Utility_Rates!$C$29:$F$52,HOUR(C6763)+Inputs!$C$69,MATCH(INDEX(Utility_Rates!$K$6:$K$17,MONTH(C6763))&amp;IF(WEEKDAY(C6763,Inputs!$C$76)&lt;=Inputs!$C$74," weekday"," weekend"),Utility_Rates!$C$28:$F$28,Inputs!$C$68)),"")</f>
      </c>
      <c r="H6763" s="34"/>
      <c r="I6763" s="42">
        <f>IF(AND(ISNUMBER(D6763),ISNUMBER(H6763)),D6763*H6763*Inputs!$C$69,"")</f>
      </c>
      <c r="J6763" s="42">
        <f>IF(AND(ISNUMBER(F6763),ISNUMBER(H6763),F6763&gt;=Inputs!$C$68),F6763*H6763*Inputs!$C$69,"")</f>
      </c>
    </row>
    <row r="6764" spans="2:10" ht="15" customHeight="1" x14ac:dyDescent="0.2">
      <c r="B6764" s="39">
        <f t="shared" si="52"/>
      </c>
      <c r="C6764" s="40">
        <f>IF(Inputs!$C$60,Inputs!$C$11+(B6764-Inputs!$C$69)/Inputs!$C$70,"")</f>
      </c>
      <c r="D6764" s="15"/>
      <c r="E6764" s="15"/>
      <c r="F6764" s="11">
        <f t="shared" si="53"/>
      </c>
      <c r="G6764" s="22" cm="1">
        <f t="array" ref="G6764">IF(AND(Inputs!$C$60,Inputs!$C$61),INDEX(Utility_Rates!$C$29:$F$52,HOUR(C6764)+Inputs!$C$69,MATCH(INDEX(Utility_Rates!$K$6:$K$17,MONTH(C6764))&amp;IF(WEEKDAY(C6764,Inputs!$C$76)&lt;=Inputs!$C$74," weekday"," weekend"),Utility_Rates!$C$28:$F$28,Inputs!$C$68)),"")</f>
      </c>
      <c r="H6764" s="34"/>
      <c r="I6764" s="42">
        <f>IF(AND(ISNUMBER(D6764),ISNUMBER(H6764)),D6764*H6764*Inputs!$C$69,"")</f>
      </c>
      <c r="J6764" s="42">
        <f>IF(AND(ISNUMBER(F6764),ISNUMBER(H6764),F6764&gt;=Inputs!$C$68),F6764*H6764*Inputs!$C$69,"")</f>
      </c>
    </row>
    <row r="6765" spans="2:10" ht="15" customHeight="1" x14ac:dyDescent="0.2">
      <c r="B6765" s="39">
        <f t="shared" si="52"/>
      </c>
      <c r="C6765" s="40">
        <f>IF(Inputs!$C$60,Inputs!$C$11+(B6765-Inputs!$C$69)/Inputs!$C$70,"")</f>
      </c>
      <c r="D6765" s="15"/>
      <c r="E6765" s="15"/>
      <c r="F6765" s="11">
        <f t="shared" si="53"/>
      </c>
      <c r="G6765" s="22" cm="1">
        <f t="array" ref="G6765">IF(AND(Inputs!$C$60,Inputs!$C$61),INDEX(Utility_Rates!$C$29:$F$52,HOUR(C6765)+Inputs!$C$69,MATCH(INDEX(Utility_Rates!$K$6:$K$17,MONTH(C6765))&amp;IF(WEEKDAY(C6765,Inputs!$C$76)&lt;=Inputs!$C$74," weekday"," weekend"),Utility_Rates!$C$28:$F$28,Inputs!$C$68)),"")</f>
      </c>
      <c r="H6765" s="34"/>
      <c r="I6765" s="42">
        <f>IF(AND(ISNUMBER(D6765),ISNUMBER(H6765)),D6765*H6765*Inputs!$C$69,"")</f>
      </c>
      <c r="J6765" s="42">
        <f>IF(AND(ISNUMBER(F6765),ISNUMBER(H6765),F6765&gt;=Inputs!$C$68),F6765*H6765*Inputs!$C$69,"")</f>
      </c>
    </row>
    <row r="6766" spans="2:10" ht="15" customHeight="1" x14ac:dyDescent="0.2">
      <c r="B6766" s="39">
        <f t="shared" si="52"/>
      </c>
      <c r="C6766" s="40">
        <f>IF(Inputs!$C$60,Inputs!$C$11+(B6766-Inputs!$C$69)/Inputs!$C$70,"")</f>
      </c>
      <c r="D6766" s="15"/>
      <c r="E6766" s="15"/>
      <c r="F6766" s="11">
        <f t="shared" si="53"/>
      </c>
      <c r="G6766" s="22" cm="1">
        <f t="array" ref="G6766">IF(AND(Inputs!$C$60,Inputs!$C$61),INDEX(Utility_Rates!$C$29:$F$52,HOUR(C6766)+Inputs!$C$69,MATCH(INDEX(Utility_Rates!$K$6:$K$17,MONTH(C6766))&amp;IF(WEEKDAY(C6766,Inputs!$C$76)&lt;=Inputs!$C$74," weekday"," weekend"),Utility_Rates!$C$28:$F$28,Inputs!$C$68)),"")</f>
      </c>
      <c r="H6766" s="34"/>
      <c r="I6766" s="42">
        <f>IF(AND(ISNUMBER(D6766),ISNUMBER(H6766)),D6766*H6766*Inputs!$C$69,"")</f>
      </c>
      <c r="J6766" s="42">
        <f>IF(AND(ISNUMBER(F6766),ISNUMBER(H6766),F6766&gt;=Inputs!$C$68),F6766*H6766*Inputs!$C$69,"")</f>
      </c>
    </row>
    <row r="6767" spans="2:10" ht="15" customHeight="1" x14ac:dyDescent="0.2">
      <c r="B6767" s="39">
        <f t="shared" si="52"/>
      </c>
      <c r="C6767" s="40">
        <f>IF(Inputs!$C$60,Inputs!$C$11+(B6767-Inputs!$C$69)/Inputs!$C$70,"")</f>
      </c>
      <c r="D6767" s="15"/>
      <c r="E6767" s="15"/>
      <c r="F6767" s="11">
        <f t="shared" si="53"/>
      </c>
      <c r="G6767" s="22" cm="1">
        <f t="array" ref="G6767">IF(AND(Inputs!$C$60,Inputs!$C$61),INDEX(Utility_Rates!$C$29:$F$52,HOUR(C6767)+Inputs!$C$69,MATCH(INDEX(Utility_Rates!$K$6:$K$17,MONTH(C6767))&amp;IF(WEEKDAY(C6767,Inputs!$C$76)&lt;=Inputs!$C$74," weekday"," weekend"),Utility_Rates!$C$28:$F$28,Inputs!$C$68)),"")</f>
      </c>
      <c r="H6767" s="34"/>
      <c r="I6767" s="42">
        <f>IF(AND(ISNUMBER(D6767),ISNUMBER(H6767)),D6767*H6767*Inputs!$C$69,"")</f>
      </c>
      <c r="J6767" s="42">
        <f>IF(AND(ISNUMBER(F6767),ISNUMBER(H6767),F6767&gt;=Inputs!$C$68),F6767*H6767*Inputs!$C$69,"")</f>
      </c>
    </row>
    <row r="6768" spans="2:10" ht="15" customHeight="1" x14ac:dyDescent="0.2">
      <c r="B6768" s="39">
        <f t="shared" si="52"/>
      </c>
      <c r="C6768" s="40">
        <f>IF(Inputs!$C$60,Inputs!$C$11+(B6768-Inputs!$C$69)/Inputs!$C$70,"")</f>
      </c>
      <c r="D6768" s="15"/>
      <c r="E6768" s="15"/>
      <c r="F6768" s="11">
        <f t="shared" si="53"/>
      </c>
      <c r="G6768" s="22" cm="1">
        <f t="array" ref="G6768">IF(AND(Inputs!$C$60,Inputs!$C$61),INDEX(Utility_Rates!$C$29:$F$52,HOUR(C6768)+Inputs!$C$69,MATCH(INDEX(Utility_Rates!$K$6:$K$17,MONTH(C6768))&amp;IF(WEEKDAY(C6768,Inputs!$C$76)&lt;=Inputs!$C$74," weekday"," weekend"),Utility_Rates!$C$28:$F$28,Inputs!$C$68)),"")</f>
      </c>
      <c r="H6768" s="34"/>
      <c r="I6768" s="42">
        <f>IF(AND(ISNUMBER(D6768),ISNUMBER(H6768)),D6768*H6768*Inputs!$C$69,"")</f>
      </c>
      <c r="J6768" s="42">
        <f>IF(AND(ISNUMBER(F6768),ISNUMBER(H6768),F6768&gt;=Inputs!$C$68),F6768*H6768*Inputs!$C$69,"")</f>
      </c>
    </row>
    <row r="6769" spans="2:10" ht="15" customHeight="1" x14ac:dyDescent="0.2">
      <c r="B6769" s="39">
        <f t="shared" si="52"/>
      </c>
      <c r="C6769" s="40">
        <f>IF(Inputs!$C$60,Inputs!$C$11+(B6769-Inputs!$C$69)/Inputs!$C$70,"")</f>
      </c>
      <c r="D6769" s="15"/>
      <c r="E6769" s="15"/>
      <c r="F6769" s="11">
        <f t="shared" si="53"/>
      </c>
      <c r="G6769" s="22" cm="1">
        <f t="array" ref="G6769">IF(AND(Inputs!$C$60,Inputs!$C$61),INDEX(Utility_Rates!$C$29:$F$52,HOUR(C6769)+Inputs!$C$69,MATCH(INDEX(Utility_Rates!$K$6:$K$17,MONTH(C6769))&amp;IF(WEEKDAY(C6769,Inputs!$C$76)&lt;=Inputs!$C$74," weekday"," weekend"),Utility_Rates!$C$28:$F$28,Inputs!$C$68)),"")</f>
      </c>
      <c r="H6769" s="34"/>
      <c r="I6769" s="42">
        <f>IF(AND(ISNUMBER(D6769),ISNUMBER(H6769)),D6769*H6769*Inputs!$C$69,"")</f>
      </c>
      <c r="J6769" s="42">
        <f>IF(AND(ISNUMBER(F6769),ISNUMBER(H6769),F6769&gt;=Inputs!$C$68),F6769*H6769*Inputs!$C$69,"")</f>
      </c>
    </row>
    <row r="6770" spans="2:10" ht="15" customHeight="1" x14ac:dyDescent="0.2">
      <c r="B6770" s="39">
        <f t="shared" si="52"/>
      </c>
      <c r="C6770" s="40">
        <f>IF(Inputs!$C$60,Inputs!$C$11+(B6770-Inputs!$C$69)/Inputs!$C$70,"")</f>
      </c>
      <c r="D6770" s="15"/>
      <c r="E6770" s="15"/>
      <c r="F6770" s="11">
        <f t="shared" si="53"/>
      </c>
      <c r="G6770" s="22" cm="1">
        <f t="array" ref="G6770">IF(AND(Inputs!$C$60,Inputs!$C$61),INDEX(Utility_Rates!$C$29:$F$52,HOUR(C6770)+Inputs!$C$69,MATCH(INDEX(Utility_Rates!$K$6:$K$17,MONTH(C6770))&amp;IF(WEEKDAY(C6770,Inputs!$C$76)&lt;=Inputs!$C$74," weekday"," weekend"),Utility_Rates!$C$28:$F$28,Inputs!$C$68)),"")</f>
      </c>
      <c r="H6770" s="34"/>
      <c r="I6770" s="42">
        <f>IF(AND(ISNUMBER(D6770),ISNUMBER(H6770)),D6770*H6770*Inputs!$C$69,"")</f>
      </c>
      <c r="J6770" s="42">
        <f>IF(AND(ISNUMBER(F6770),ISNUMBER(H6770),F6770&gt;=Inputs!$C$68),F6770*H6770*Inputs!$C$69,"")</f>
      </c>
    </row>
    <row r="6771" spans="2:10" ht="15" customHeight="1" x14ac:dyDescent="0.2">
      <c r="B6771" s="39">
        <f t="shared" si="52"/>
      </c>
      <c r="C6771" s="40">
        <f>IF(Inputs!$C$60,Inputs!$C$11+(B6771-Inputs!$C$69)/Inputs!$C$70,"")</f>
      </c>
      <c r="D6771" s="15"/>
      <c r="E6771" s="15"/>
      <c r="F6771" s="11">
        <f t="shared" si="53"/>
      </c>
      <c r="G6771" s="22" cm="1">
        <f t="array" ref="G6771">IF(AND(Inputs!$C$60,Inputs!$C$61),INDEX(Utility_Rates!$C$29:$F$52,HOUR(C6771)+Inputs!$C$69,MATCH(INDEX(Utility_Rates!$K$6:$K$17,MONTH(C6771))&amp;IF(WEEKDAY(C6771,Inputs!$C$76)&lt;=Inputs!$C$74," weekday"," weekend"),Utility_Rates!$C$28:$F$28,Inputs!$C$68)),"")</f>
      </c>
      <c r="H6771" s="34"/>
      <c r="I6771" s="42">
        <f>IF(AND(ISNUMBER(D6771),ISNUMBER(H6771)),D6771*H6771*Inputs!$C$69,"")</f>
      </c>
      <c r="J6771" s="42">
        <f>IF(AND(ISNUMBER(F6771),ISNUMBER(H6771),F6771&gt;=Inputs!$C$68),F6771*H6771*Inputs!$C$69,"")</f>
      </c>
    </row>
    <row r="6772" spans="2:10" ht="15" customHeight="1" x14ac:dyDescent="0.2">
      <c r="B6772" s="39">
        <f t="shared" si="52"/>
      </c>
      <c r="C6772" s="40">
        <f>IF(Inputs!$C$60,Inputs!$C$11+(B6772-Inputs!$C$69)/Inputs!$C$70,"")</f>
      </c>
      <c r="D6772" s="15"/>
      <c r="E6772" s="15"/>
      <c r="F6772" s="11">
        <f t="shared" si="53"/>
      </c>
      <c r="G6772" s="22" cm="1">
        <f t="array" ref="G6772">IF(AND(Inputs!$C$60,Inputs!$C$61),INDEX(Utility_Rates!$C$29:$F$52,HOUR(C6772)+Inputs!$C$69,MATCH(INDEX(Utility_Rates!$K$6:$K$17,MONTH(C6772))&amp;IF(WEEKDAY(C6772,Inputs!$C$76)&lt;=Inputs!$C$74," weekday"," weekend"),Utility_Rates!$C$28:$F$28,Inputs!$C$68)),"")</f>
      </c>
      <c r="H6772" s="34"/>
      <c r="I6772" s="42">
        <f>IF(AND(ISNUMBER(D6772),ISNUMBER(H6772)),D6772*H6772*Inputs!$C$69,"")</f>
      </c>
      <c r="J6772" s="42">
        <f>IF(AND(ISNUMBER(F6772),ISNUMBER(H6772),F6772&gt;=Inputs!$C$68),F6772*H6772*Inputs!$C$69,"")</f>
      </c>
    </row>
    <row r="6773" spans="2:10" ht="15" customHeight="1" x14ac:dyDescent="0.2">
      <c r="B6773" s="39">
        <f t="shared" si="52"/>
      </c>
      <c r="C6773" s="40">
        <f>IF(Inputs!$C$60,Inputs!$C$11+(B6773-Inputs!$C$69)/Inputs!$C$70,"")</f>
      </c>
      <c r="D6773" s="15"/>
      <c r="E6773" s="15"/>
      <c r="F6773" s="11">
        <f t="shared" si="53"/>
      </c>
      <c r="G6773" s="22" cm="1">
        <f t="array" ref="G6773">IF(AND(Inputs!$C$60,Inputs!$C$61),INDEX(Utility_Rates!$C$29:$F$52,HOUR(C6773)+Inputs!$C$69,MATCH(INDEX(Utility_Rates!$K$6:$K$17,MONTH(C6773))&amp;IF(WEEKDAY(C6773,Inputs!$C$76)&lt;=Inputs!$C$74," weekday"," weekend"),Utility_Rates!$C$28:$F$28,Inputs!$C$68)),"")</f>
      </c>
      <c r="H6773" s="34"/>
      <c r="I6773" s="42">
        <f>IF(AND(ISNUMBER(D6773),ISNUMBER(H6773)),D6773*H6773*Inputs!$C$69,"")</f>
      </c>
      <c r="J6773" s="42">
        <f>IF(AND(ISNUMBER(F6773),ISNUMBER(H6773),F6773&gt;=Inputs!$C$68),F6773*H6773*Inputs!$C$69,"")</f>
      </c>
    </row>
    <row r="6774" spans="2:10" ht="15" customHeight="1" x14ac:dyDescent="0.2">
      <c r="B6774" s="39">
        <f t="shared" si="52"/>
      </c>
      <c r="C6774" s="40">
        <f>IF(Inputs!$C$60,Inputs!$C$11+(B6774-Inputs!$C$69)/Inputs!$C$70,"")</f>
      </c>
      <c r="D6774" s="15"/>
      <c r="E6774" s="15"/>
      <c r="F6774" s="11">
        <f t="shared" si="53"/>
      </c>
      <c r="G6774" s="22" cm="1">
        <f t="array" ref="G6774">IF(AND(Inputs!$C$60,Inputs!$C$61),INDEX(Utility_Rates!$C$29:$F$52,HOUR(C6774)+Inputs!$C$69,MATCH(INDEX(Utility_Rates!$K$6:$K$17,MONTH(C6774))&amp;IF(WEEKDAY(C6774,Inputs!$C$76)&lt;=Inputs!$C$74," weekday"," weekend"),Utility_Rates!$C$28:$F$28,Inputs!$C$68)),"")</f>
      </c>
      <c r="H6774" s="34"/>
      <c r="I6774" s="42">
        <f>IF(AND(ISNUMBER(D6774),ISNUMBER(H6774)),D6774*H6774*Inputs!$C$69,"")</f>
      </c>
      <c r="J6774" s="42">
        <f>IF(AND(ISNUMBER(F6774),ISNUMBER(H6774),F6774&gt;=Inputs!$C$68),F6774*H6774*Inputs!$C$69,"")</f>
      </c>
    </row>
    <row r="6775" spans="2:10" ht="15" customHeight="1" x14ac:dyDescent="0.2">
      <c r="B6775" s="39">
        <f t="shared" si="52"/>
      </c>
      <c r="C6775" s="40">
        <f>IF(Inputs!$C$60,Inputs!$C$11+(B6775-Inputs!$C$69)/Inputs!$C$70,"")</f>
      </c>
      <c r="D6775" s="15"/>
      <c r="E6775" s="15"/>
      <c r="F6775" s="11">
        <f t="shared" si="53"/>
      </c>
      <c r="G6775" s="22" cm="1">
        <f t="array" ref="G6775">IF(AND(Inputs!$C$60,Inputs!$C$61),INDEX(Utility_Rates!$C$29:$F$52,HOUR(C6775)+Inputs!$C$69,MATCH(INDEX(Utility_Rates!$K$6:$K$17,MONTH(C6775))&amp;IF(WEEKDAY(C6775,Inputs!$C$76)&lt;=Inputs!$C$74," weekday"," weekend"),Utility_Rates!$C$28:$F$28,Inputs!$C$68)),"")</f>
      </c>
      <c r="H6775" s="34"/>
      <c r="I6775" s="42">
        <f>IF(AND(ISNUMBER(D6775),ISNUMBER(H6775)),D6775*H6775*Inputs!$C$69,"")</f>
      </c>
      <c r="J6775" s="42">
        <f>IF(AND(ISNUMBER(F6775),ISNUMBER(H6775),F6775&gt;=Inputs!$C$68),F6775*H6775*Inputs!$C$69,"")</f>
      </c>
    </row>
    <row r="6776" spans="2:10" ht="15" customHeight="1" x14ac:dyDescent="0.2">
      <c r="B6776" s="39">
        <f t="shared" si="52"/>
      </c>
      <c r="C6776" s="40">
        <f>IF(Inputs!$C$60,Inputs!$C$11+(B6776-Inputs!$C$69)/Inputs!$C$70,"")</f>
      </c>
      <c r="D6776" s="15"/>
      <c r="E6776" s="15"/>
      <c r="F6776" s="11">
        <f t="shared" si="53"/>
      </c>
      <c r="G6776" s="22" cm="1">
        <f t="array" ref="G6776">IF(AND(Inputs!$C$60,Inputs!$C$61),INDEX(Utility_Rates!$C$29:$F$52,HOUR(C6776)+Inputs!$C$69,MATCH(INDEX(Utility_Rates!$K$6:$K$17,MONTH(C6776))&amp;IF(WEEKDAY(C6776,Inputs!$C$76)&lt;=Inputs!$C$74," weekday"," weekend"),Utility_Rates!$C$28:$F$28,Inputs!$C$68)),"")</f>
      </c>
      <c r="H6776" s="34"/>
      <c r="I6776" s="42">
        <f>IF(AND(ISNUMBER(D6776),ISNUMBER(H6776)),D6776*H6776*Inputs!$C$69,"")</f>
      </c>
      <c r="J6776" s="42">
        <f>IF(AND(ISNUMBER(F6776),ISNUMBER(H6776),F6776&gt;=Inputs!$C$68),F6776*H6776*Inputs!$C$69,"")</f>
      </c>
    </row>
    <row r="6777" spans="2:10" ht="15" customHeight="1" x14ac:dyDescent="0.2">
      <c r="B6777" s="39">
        <f t="shared" si="52"/>
      </c>
      <c r="C6777" s="40">
        <f>IF(Inputs!$C$60,Inputs!$C$11+(B6777-Inputs!$C$69)/Inputs!$C$70,"")</f>
      </c>
      <c r="D6777" s="15"/>
      <c r="E6777" s="15"/>
      <c r="F6777" s="11">
        <f t="shared" si="53"/>
      </c>
      <c r="G6777" s="22" cm="1">
        <f t="array" ref="G6777">IF(AND(Inputs!$C$60,Inputs!$C$61),INDEX(Utility_Rates!$C$29:$F$52,HOUR(C6777)+Inputs!$C$69,MATCH(INDEX(Utility_Rates!$K$6:$K$17,MONTH(C6777))&amp;IF(WEEKDAY(C6777,Inputs!$C$76)&lt;=Inputs!$C$74," weekday"," weekend"),Utility_Rates!$C$28:$F$28,Inputs!$C$68)),"")</f>
      </c>
      <c r="H6777" s="34"/>
      <c r="I6777" s="42">
        <f>IF(AND(ISNUMBER(D6777),ISNUMBER(H6777)),D6777*H6777*Inputs!$C$69,"")</f>
      </c>
      <c r="J6777" s="42">
        <f>IF(AND(ISNUMBER(F6777),ISNUMBER(H6777),F6777&gt;=Inputs!$C$68),F6777*H6777*Inputs!$C$69,"")</f>
      </c>
    </row>
    <row r="6778" spans="2:10" ht="15" customHeight="1" x14ac:dyDescent="0.2">
      <c r="B6778" s="39">
        <f t="shared" si="52"/>
      </c>
      <c r="C6778" s="40">
        <f>IF(Inputs!$C$60,Inputs!$C$11+(B6778-Inputs!$C$69)/Inputs!$C$70,"")</f>
      </c>
      <c r="D6778" s="15"/>
      <c r="E6778" s="15"/>
      <c r="F6778" s="11">
        <f t="shared" si="53"/>
      </c>
      <c r="G6778" s="22" cm="1">
        <f t="array" ref="G6778">IF(AND(Inputs!$C$60,Inputs!$C$61),INDEX(Utility_Rates!$C$29:$F$52,HOUR(C6778)+Inputs!$C$69,MATCH(INDEX(Utility_Rates!$K$6:$K$17,MONTH(C6778))&amp;IF(WEEKDAY(C6778,Inputs!$C$76)&lt;=Inputs!$C$74," weekday"," weekend"),Utility_Rates!$C$28:$F$28,Inputs!$C$68)),"")</f>
      </c>
      <c r="H6778" s="34"/>
      <c r="I6778" s="42">
        <f>IF(AND(ISNUMBER(D6778),ISNUMBER(H6778)),D6778*H6778*Inputs!$C$69,"")</f>
      </c>
      <c r="J6778" s="42">
        <f>IF(AND(ISNUMBER(F6778),ISNUMBER(H6778),F6778&gt;=Inputs!$C$68),F6778*H6778*Inputs!$C$69,"")</f>
      </c>
    </row>
    <row r="6779" spans="2:10" ht="15" customHeight="1" x14ac:dyDescent="0.2">
      <c r="B6779" s="39">
        <f t="shared" si="52"/>
      </c>
      <c r="C6779" s="40">
        <f>IF(Inputs!$C$60,Inputs!$C$11+(B6779-Inputs!$C$69)/Inputs!$C$70,"")</f>
      </c>
      <c r="D6779" s="15"/>
      <c r="E6779" s="15"/>
      <c r="F6779" s="11">
        <f t="shared" si="53"/>
      </c>
      <c r="G6779" s="22" cm="1">
        <f t="array" ref="G6779">IF(AND(Inputs!$C$60,Inputs!$C$61),INDEX(Utility_Rates!$C$29:$F$52,HOUR(C6779)+Inputs!$C$69,MATCH(INDEX(Utility_Rates!$K$6:$K$17,MONTH(C6779))&amp;IF(WEEKDAY(C6779,Inputs!$C$76)&lt;=Inputs!$C$74," weekday"," weekend"),Utility_Rates!$C$28:$F$28,Inputs!$C$68)),"")</f>
      </c>
      <c r="H6779" s="34"/>
      <c r="I6779" s="42">
        <f>IF(AND(ISNUMBER(D6779),ISNUMBER(H6779)),D6779*H6779*Inputs!$C$69,"")</f>
      </c>
      <c r="J6779" s="42">
        <f>IF(AND(ISNUMBER(F6779),ISNUMBER(H6779),F6779&gt;=Inputs!$C$68),F6779*H6779*Inputs!$C$69,"")</f>
      </c>
    </row>
    <row r="6780" spans="2:10" ht="15" customHeight="1" x14ac:dyDescent="0.2">
      <c r="B6780" s="39">
        <f t="shared" si="52"/>
      </c>
      <c r="C6780" s="40">
        <f>IF(Inputs!$C$60,Inputs!$C$11+(B6780-Inputs!$C$69)/Inputs!$C$70,"")</f>
      </c>
      <c r="D6780" s="15"/>
      <c r="E6780" s="15"/>
      <c r="F6780" s="11">
        <f t="shared" si="53"/>
      </c>
      <c r="G6780" s="22" cm="1">
        <f t="array" ref="G6780">IF(AND(Inputs!$C$60,Inputs!$C$61),INDEX(Utility_Rates!$C$29:$F$52,HOUR(C6780)+Inputs!$C$69,MATCH(INDEX(Utility_Rates!$K$6:$K$17,MONTH(C6780))&amp;IF(WEEKDAY(C6780,Inputs!$C$76)&lt;=Inputs!$C$74," weekday"," weekend"),Utility_Rates!$C$28:$F$28,Inputs!$C$68)),"")</f>
      </c>
      <c r="H6780" s="34"/>
      <c r="I6780" s="42">
        <f>IF(AND(ISNUMBER(D6780),ISNUMBER(H6780)),D6780*H6780*Inputs!$C$69,"")</f>
      </c>
      <c r="J6780" s="42">
        <f>IF(AND(ISNUMBER(F6780),ISNUMBER(H6780),F6780&gt;=Inputs!$C$68),F6780*H6780*Inputs!$C$69,"")</f>
      </c>
    </row>
    <row r="6781" spans="2:10" ht="15" customHeight="1" x14ac:dyDescent="0.2">
      <c r="B6781" s="39">
        <f t="shared" si="52"/>
      </c>
      <c r="C6781" s="40">
        <f>IF(Inputs!$C$60,Inputs!$C$11+(B6781-Inputs!$C$69)/Inputs!$C$70,"")</f>
      </c>
      <c r="D6781" s="15"/>
      <c r="E6781" s="15"/>
      <c r="F6781" s="11">
        <f t="shared" si="53"/>
      </c>
      <c r="G6781" s="22" cm="1">
        <f t="array" ref="G6781">IF(AND(Inputs!$C$60,Inputs!$C$61),INDEX(Utility_Rates!$C$29:$F$52,HOUR(C6781)+Inputs!$C$69,MATCH(INDEX(Utility_Rates!$K$6:$K$17,MONTH(C6781))&amp;IF(WEEKDAY(C6781,Inputs!$C$76)&lt;=Inputs!$C$74," weekday"," weekend"),Utility_Rates!$C$28:$F$28,Inputs!$C$68)),"")</f>
      </c>
      <c r="H6781" s="34"/>
      <c r="I6781" s="42">
        <f>IF(AND(ISNUMBER(D6781),ISNUMBER(H6781)),D6781*H6781*Inputs!$C$69,"")</f>
      </c>
      <c r="J6781" s="42">
        <f>IF(AND(ISNUMBER(F6781),ISNUMBER(H6781),F6781&gt;=Inputs!$C$68),F6781*H6781*Inputs!$C$69,"")</f>
      </c>
    </row>
    <row r="6782" spans="2:10" ht="15" customHeight="1" x14ac:dyDescent="0.2">
      <c r="B6782" s="39">
        <f t="shared" si="52"/>
      </c>
      <c r="C6782" s="40">
        <f>IF(Inputs!$C$60,Inputs!$C$11+(B6782-Inputs!$C$69)/Inputs!$C$70,"")</f>
      </c>
      <c r="D6782" s="15"/>
      <c r="E6782" s="15"/>
      <c r="F6782" s="11">
        <f t="shared" si="53"/>
      </c>
      <c r="G6782" s="22" cm="1">
        <f t="array" ref="G6782">IF(AND(Inputs!$C$60,Inputs!$C$61),INDEX(Utility_Rates!$C$29:$F$52,HOUR(C6782)+Inputs!$C$69,MATCH(INDEX(Utility_Rates!$K$6:$K$17,MONTH(C6782))&amp;IF(WEEKDAY(C6782,Inputs!$C$76)&lt;=Inputs!$C$74," weekday"," weekend"),Utility_Rates!$C$28:$F$28,Inputs!$C$68)),"")</f>
      </c>
      <c r="H6782" s="34"/>
      <c r="I6782" s="42">
        <f>IF(AND(ISNUMBER(D6782),ISNUMBER(H6782)),D6782*H6782*Inputs!$C$69,"")</f>
      </c>
      <c r="J6782" s="42">
        <f>IF(AND(ISNUMBER(F6782),ISNUMBER(H6782),F6782&gt;=Inputs!$C$68),F6782*H6782*Inputs!$C$69,"")</f>
      </c>
    </row>
    <row r="6783" spans="2:10" ht="15" customHeight="1" x14ac:dyDescent="0.2">
      <c r="B6783" s="39">
        <f t="shared" si="52"/>
      </c>
      <c r="C6783" s="40">
        <f>IF(Inputs!$C$60,Inputs!$C$11+(B6783-Inputs!$C$69)/Inputs!$C$70,"")</f>
      </c>
      <c r="D6783" s="15"/>
      <c r="E6783" s="15"/>
      <c r="F6783" s="11">
        <f t="shared" si="53"/>
      </c>
      <c r="G6783" s="22" cm="1">
        <f t="array" ref="G6783">IF(AND(Inputs!$C$60,Inputs!$C$61),INDEX(Utility_Rates!$C$29:$F$52,HOUR(C6783)+Inputs!$C$69,MATCH(INDEX(Utility_Rates!$K$6:$K$17,MONTH(C6783))&amp;IF(WEEKDAY(C6783,Inputs!$C$76)&lt;=Inputs!$C$74," weekday"," weekend"),Utility_Rates!$C$28:$F$28,Inputs!$C$68)),"")</f>
      </c>
      <c r="H6783" s="34"/>
      <c r="I6783" s="42">
        <f>IF(AND(ISNUMBER(D6783),ISNUMBER(H6783)),D6783*H6783*Inputs!$C$69,"")</f>
      </c>
      <c r="J6783" s="42">
        <f>IF(AND(ISNUMBER(F6783),ISNUMBER(H6783),F6783&gt;=Inputs!$C$68),F6783*H6783*Inputs!$C$69,"")</f>
      </c>
    </row>
    <row r="6784" spans="2:10" ht="15" customHeight="1" x14ac:dyDescent="0.2">
      <c r="B6784" s="39">
        <f t="shared" si="52"/>
      </c>
      <c r="C6784" s="40">
        <f>IF(Inputs!$C$60,Inputs!$C$11+(B6784-Inputs!$C$69)/Inputs!$C$70,"")</f>
      </c>
      <c r="D6784" s="15"/>
      <c r="E6784" s="15"/>
      <c r="F6784" s="11">
        <f t="shared" si="53"/>
      </c>
      <c r="G6784" s="22" cm="1">
        <f t="array" ref="G6784">IF(AND(Inputs!$C$60,Inputs!$C$61),INDEX(Utility_Rates!$C$29:$F$52,HOUR(C6784)+Inputs!$C$69,MATCH(INDEX(Utility_Rates!$K$6:$K$17,MONTH(C6784))&amp;IF(WEEKDAY(C6784,Inputs!$C$76)&lt;=Inputs!$C$74," weekday"," weekend"),Utility_Rates!$C$28:$F$28,Inputs!$C$68)),"")</f>
      </c>
      <c r="H6784" s="34"/>
      <c r="I6784" s="42">
        <f>IF(AND(ISNUMBER(D6784),ISNUMBER(H6784)),D6784*H6784*Inputs!$C$69,"")</f>
      </c>
      <c r="J6784" s="42">
        <f>IF(AND(ISNUMBER(F6784),ISNUMBER(H6784),F6784&gt;=Inputs!$C$68),F6784*H6784*Inputs!$C$69,"")</f>
      </c>
    </row>
    <row r="6785" spans="2:10" ht="15" customHeight="1" x14ac:dyDescent="0.2">
      <c r="B6785" s="39">
        <f t="shared" si="52"/>
      </c>
      <c r="C6785" s="40">
        <f>IF(Inputs!$C$60,Inputs!$C$11+(B6785-Inputs!$C$69)/Inputs!$C$70,"")</f>
      </c>
      <c r="D6785" s="15"/>
      <c r="E6785" s="15"/>
      <c r="F6785" s="11">
        <f t="shared" si="53"/>
      </c>
      <c r="G6785" s="22" cm="1">
        <f t="array" ref="G6785">IF(AND(Inputs!$C$60,Inputs!$C$61),INDEX(Utility_Rates!$C$29:$F$52,HOUR(C6785)+Inputs!$C$69,MATCH(INDEX(Utility_Rates!$K$6:$K$17,MONTH(C6785))&amp;IF(WEEKDAY(C6785,Inputs!$C$76)&lt;=Inputs!$C$74," weekday"," weekend"),Utility_Rates!$C$28:$F$28,Inputs!$C$68)),"")</f>
      </c>
      <c r="H6785" s="34"/>
      <c r="I6785" s="42">
        <f>IF(AND(ISNUMBER(D6785),ISNUMBER(H6785)),D6785*H6785*Inputs!$C$69,"")</f>
      </c>
      <c r="J6785" s="42">
        <f>IF(AND(ISNUMBER(F6785),ISNUMBER(H6785),F6785&gt;=Inputs!$C$68),F6785*H6785*Inputs!$C$69,"")</f>
      </c>
    </row>
    <row r="6786" spans="2:10" ht="15" customHeight="1" x14ac:dyDescent="0.2">
      <c r="B6786" s="39">
        <f t="shared" si="52"/>
      </c>
      <c r="C6786" s="40">
        <f>IF(Inputs!$C$60,Inputs!$C$11+(B6786-Inputs!$C$69)/Inputs!$C$70,"")</f>
      </c>
      <c r="D6786" s="15"/>
      <c r="E6786" s="15"/>
      <c r="F6786" s="11">
        <f t="shared" si="53"/>
      </c>
      <c r="G6786" s="22" cm="1">
        <f t="array" ref="G6786">IF(AND(Inputs!$C$60,Inputs!$C$61),INDEX(Utility_Rates!$C$29:$F$52,HOUR(C6786)+Inputs!$C$69,MATCH(INDEX(Utility_Rates!$K$6:$K$17,MONTH(C6786))&amp;IF(WEEKDAY(C6786,Inputs!$C$76)&lt;=Inputs!$C$74," weekday"," weekend"),Utility_Rates!$C$28:$F$28,Inputs!$C$68)),"")</f>
      </c>
      <c r="H6786" s="34"/>
      <c r="I6786" s="42">
        <f>IF(AND(ISNUMBER(D6786),ISNUMBER(H6786)),D6786*H6786*Inputs!$C$69,"")</f>
      </c>
      <c r="J6786" s="42">
        <f>IF(AND(ISNUMBER(F6786),ISNUMBER(H6786),F6786&gt;=Inputs!$C$68),F6786*H6786*Inputs!$C$69,"")</f>
      </c>
    </row>
    <row r="6787" spans="2:10" ht="15" customHeight="1" x14ac:dyDescent="0.2">
      <c r="B6787" s="39">
        <f t="shared" si="52"/>
      </c>
      <c r="C6787" s="40">
        <f>IF(Inputs!$C$60,Inputs!$C$11+(B6787-Inputs!$C$69)/Inputs!$C$70,"")</f>
      </c>
      <c r="D6787" s="15"/>
      <c r="E6787" s="15"/>
      <c r="F6787" s="11">
        <f t="shared" si="53"/>
      </c>
      <c r="G6787" s="22" cm="1">
        <f t="array" ref="G6787">IF(AND(Inputs!$C$60,Inputs!$C$61),INDEX(Utility_Rates!$C$29:$F$52,HOUR(C6787)+Inputs!$C$69,MATCH(INDEX(Utility_Rates!$K$6:$K$17,MONTH(C6787))&amp;IF(WEEKDAY(C6787,Inputs!$C$76)&lt;=Inputs!$C$74," weekday"," weekend"),Utility_Rates!$C$28:$F$28,Inputs!$C$68)),"")</f>
      </c>
      <c r="H6787" s="34"/>
      <c r="I6787" s="42">
        <f>IF(AND(ISNUMBER(D6787),ISNUMBER(H6787)),D6787*H6787*Inputs!$C$69,"")</f>
      </c>
      <c r="J6787" s="42">
        <f>IF(AND(ISNUMBER(F6787),ISNUMBER(H6787),F6787&gt;=Inputs!$C$68),F6787*H6787*Inputs!$C$69,"")</f>
      </c>
    </row>
    <row r="6788" spans="2:10" ht="15" customHeight="1" x14ac:dyDescent="0.2">
      <c r="B6788" s="39">
        <f t="shared" si="52"/>
      </c>
      <c r="C6788" s="40">
        <f>IF(Inputs!$C$60,Inputs!$C$11+(B6788-Inputs!$C$69)/Inputs!$C$70,"")</f>
      </c>
      <c r="D6788" s="15"/>
      <c r="E6788" s="15"/>
      <c r="F6788" s="11">
        <f t="shared" si="53"/>
      </c>
      <c r="G6788" s="22" cm="1">
        <f t="array" ref="G6788">IF(AND(Inputs!$C$60,Inputs!$C$61),INDEX(Utility_Rates!$C$29:$F$52,HOUR(C6788)+Inputs!$C$69,MATCH(INDEX(Utility_Rates!$K$6:$K$17,MONTH(C6788))&amp;IF(WEEKDAY(C6788,Inputs!$C$76)&lt;=Inputs!$C$74," weekday"," weekend"),Utility_Rates!$C$28:$F$28,Inputs!$C$68)),"")</f>
      </c>
      <c r="H6788" s="34"/>
      <c r="I6788" s="42">
        <f>IF(AND(ISNUMBER(D6788),ISNUMBER(H6788)),D6788*H6788*Inputs!$C$69,"")</f>
      </c>
      <c r="J6788" s="42">
        <f>IF(AND(ISNUMBER(F6788),ISNUMBER(H6788),F6788&gt;=Inputs!$C$68),F6788*H6788*Inputs!$C$69,"")</f>
      </c>
    </row>
    <row r="6789" spans="2:10" ht="15" customHeight="1" x14ac:dyDescent="0.2">
      <c r="B6789" s="39">
        <f t="shared" si="52"/>
      </c>
      <c r="C6789" s="40">
        <f>IF(Inputs!$C$60,Inputs!$C$11+(B6789-Inputs!$C$69)/Inputs!$C$70,"")</f>
      </c>
      <c r="D6789" s="15"/>
      <c r="E6789" s="15"/>
      <c r="F6789" s="11">
        <f t="shared" si="53"/>
      </c>
      <c r="G6789" s="22" cm="1">
        <f t="array" ref="G6789">IF(AND(Inputs!$C$60,Inputs!$C$61),INDEX(Utility_Rates!$C$29:$F$52,HOUR(C6789)+Inputs!$C$69,MATCH(INDEX(Utility_Rates!$K$6:$K$17,MONTH(C6789))&amp;IF(WEEKDAY(C6789,Inputs!$C$76)&lt;=Inputs!$C$74," weekday"," weekend"),Utility_Rates!$C$28:$F$28,Inputs!$C$68)),"")</f>
      </c>
      <c r="H6789" s="34"/>
      <c r="I6789" s="42">
        <f>IF(AND(ISNUMBER(D6789),ISNUMBER(H6789)),D6789*H6789*Inputs!$C$69,"")</f>
      </c>
      <c r="J6789" s="42">
        <f>IF(AND(ISNUMBER(F6789),ISNUMBER(H6789),F6789&gt;=Inputs!$C$68),F6789*H6789*Inputs!$C$69,"")</f>
      </c>
    </row>
    <row r="6790" spans="2:10" ht="15" customHeight="1" x14ac:dyDescent="0.2">
      <c r="B6790" s="39">
        <f t="shared" si="52"/>
      </c>
      <c r="C6790" s="40">
        <f>IF(Inputs!$C$60,Inputs!$C$11+(B6790-Inputs!$C$69)/Inputs!$C$70,"")</f>
      </c>
      <c r="D6790" s="15"/>
      <c r="E6790" s="15"/>
      <c r="F6790" s="11">
        <f t="shared" si="53"/>
      </c>
      <c r="G6790" s="22" cm="1">
        <f t="array" ref="G6790">IF(AND(Inputs!$C$60,Inputs!$C$61),INDEX(Utility_Rates!$C$29:$F$52,HOUR(C6790)+Inputs!$C$69,MATCH(INDEX(Utility_Rates!$K$6:$K$17,MONTH(C6790))&amp;IF(WEEKDAY(C6790,Inputs!$C$76)&lt;=Inputs!$C$74," weekday"," weekend"),Utility_Rates!$C$28:$F$28,Inputs!$C$68)),"")</f>
      </c>
      <c r="H6790" s="34"/>
      <c r="I6790" s="42">
        <f>IF(AND(ISNUMBER(D6790),ISNUMBER(H6790)),D6790*H6790*Inputs!$C$69,"")</f>
      </c>
      <c r="J6790" s="42">
        <f>IF(AND(ISNUMBER(F6790),ISNUMBER(H6790),F6790&gt;=Inputs!$C$68),F6790*H6790*Inputs!$C$69,"")</f>
      </c>
    </row>
    <row r="6791" spans="2:10" ht="15" customHeight="1" x14ac:dyDescent="0.2">
      <c r="B6791" s="39">
        <f t="shared" si="52"/>
      </c>
      <c r="C6791" s="40">
        <f>IF(Inputs!$C$60,Inputs!$C$11+(B6791-Inputs!$C$69)/Inputs!$C$70,"")</f>
      </c>
      <c r="D6791" s="15"/>
      <c r="E6791" s="15"/>
      <c r="F6791" s="11">
        <f t="shared" si="53"/>
      </c>
      <c r="G6791" s="22" cm="1">
        <f t="array" ref="G6791">IF(AND(Inputs!$C$60,Inputs!$C$61),INDEX(Utility_Rates!$C$29:$F$52,HOUR(C6791)+Inputs!$C$69,MATCH(INDEX(Utility_Rates!$K$6:$K$17,MONTH(C6791))&amp;IF(WEEKDAY(C6791,Inputs!$C$76)&lt;=Inputs!$C$74," weekday"," weekend"),Utility_Rates!$C$28:$F$28,Inputs!$C$68)),"")</f>
      </c>
      <c r="H6791" s="34"/>
      <c r="I6791" s="42">
        <f>IF(AND(ISNUMBER(D6791),ISNUMBER(H6791)),D6791*H6791*Inputs!$C$69,"")</f>
      </c>
      <c r="J6791" s="42">
        <f>IF(AND(ISNUMBER(F6791),ISNUMBER(H6791),F6791&gt;=Inputs!$C$68),F6791*H6791*Inputs!$C$69,"")</f>
      </c>
    </row>
    <row r="6792" spans="2:10" ht="15" customHeight="1" x14ac:dyDescent="0.2">
      <c r="B6792" s="39">
        <f t="shared" si="52"/>
      </c>
      <c r="C6792" s="40">
        <f>IF(Inputs!$C$60,Inputs!$C$11+(B6792-Inputs!$C$69)/Inputs!$C$70,"")</f>
      </c>
      <c r="D6792" s="15"/>
      <c r="E6792" s="15"/>
      <c r="F6792" s="11">
        <f t="shared" si="53"/>
      </c>
      <c r="G6792" s="22" cm="1">
        <f t="array" ref="G6792">IF(AND(Inputs!$C$60,Inputs!$C$61),INDEX(Utility_Rates!$C$29:$F$52,HOUR(C6792)+Inputs!$C$69,MATCH(INDEX(Utility_Rates!$K$6:$K$17,MONTH(C6792))&amp;IF(WEEKDAY(C6792,Inputs!$C$76)&lt;=Inputs!$C$74," weekday"," weekend"),Utility_Rates!$C$28:$F$28,Inputs!$C$68)),"")</f>
      </c>
      <c r="H6792" s="34"/>
      <c r="I6792" s="42">
        <f>IF(AND(ISNUMBER(D6792),ISNUMBER(H6792)),D6792*H6792*Inputs!$C$69,"")</f>
      </c>
      <c r="J6792" s="42">
        <f>IF(AND(ISNUMBER(F6792),ISNUMBER(H6792),F6792&gt;=Inputs!$C$68),F6792*H6792*Inputs!$C$69,"")</f>
      </c>
    </row>
    <row r="6793" spans="2:10" ht="15" customHeight="1" x14ac:dyDescent="0.2">
      <c r="B6793" s="39">
        <f t="shared" si="52"/>
      </c>
      <c r="C6793" s="40">
        <f>IF(Inputs!$C$60,Inputs!$C$11+(B6793-Inputs!$C$69)/Inputs!$C$70,"")</f>
      </c>
      <c r="D6793" s="15"/>
      <c r="E6793" s="15"/>
      <c r="F6793" s="11">
        <f t="shared" si="53"/>
      </c>
      <c r="G6793" s="22" cm="1">
        <f t="array" ref="G6793">IF(AND(Inputs!$C$60,Inputs!$C$61),INDEX(Utility_Rates!$C$29:$F$52,HOUR(C6793)+Inputs!$C$69,MATCH(INDEX(Utility_Rates!$K$6:$K$17,MONTH(C6793))&amp;IF(WEEKDAY(C6793,Inputs!$C$76)&lt;=Inputs!$C$74," weekday"," weekend"),Utility_Rates!$C$28:$F$28,Inputs!$C$68)),"")</f>
      </c>
      <c r="H6793" s="34"/>
      <c r="I6793" s="42">
        <f>IF(AND(ISNUMBER(D6793),ISNUMBER(H6793)),D6793*H6793*Inputs!$C$69,"")</f>
      </c>
      <c r="J6793" s="42">
        <f>IF(AND(ISNUMBER(F6793),ISNUMBER(H6793),F6793&gt;=Inputs!$C$68),F6793*H6793*Inputs!$C$69,"")</f>
      </c>
    </row>
    <row r="6794" spans="2:10" ht="15" customHeight="1" x14ac:dyDescent="0.2">
      <c r="B6794" s="39">
        <f t="shared" si="52"/>
      </c>
      <c r="C6794" s="40">
        <f>IF(Inputs!$C$60,Inputs!$C$11+(B6794-Inputs!$C$69)/Inputs!$C$70,"")</f>
      </c>
      <c r="D6794" s="15"/>
      <c r="E6794" s="15"/>
      <c r="F6794" s="11">
        <f t="shared" si="53"/>
      </c>
      <c r="G6794" s="22" cm="1">
        <f t="array" ref="G6794">IF(AND(Inputs!$C$60,Inputs!$C$61),INDEX(Utility_Rates!$C$29:$F$52,HOUR(C6794)+Inputs!$C$69,MATCH(INDEX(Utility_Rates!$K$6:$K$17,MONTH(C6794))&amp;IF(WEEKDAY(C6794,Inputs!$C$76)&lt;=Inputs!$C$74," weekday"," weekend"),Utility_Rates!$C$28:$F$28,Inputs!$C$68)),"")</f>
      </c>
      <c r="H6794" s="34"/>
      <c r="I6794" s="42">
        <f>IF(AND(ISNUMBER(D6794),ISNUMBER(H6794)),D6794*H6794*Inputs!$C$69,"")</f>
      </c>
      <c r="J6794" s="42">
        <f>IF(AND(ISNUMBER(F6794),ISNUMBER(H6794),F6794&gt;=Inputs!$C$68),F6794*H6794*Inputs!$C$69,"")</f>
      </c>
    </row>
    <row r="6795" spans="2:10" ht="15" customHeight="1" x14ac:dyDescent="0.2">
      <c r="B6795" s="39">
        <f t="shared" si="52"/>
      </c>
      <c r="C6795" s="40">
        <f>IF(Inputs!$C$60,Inputs!$C$11+(B6795-Inputs!$C$69)/Inputs!$C$70,"")</f>
      </c>
      <c r="D6795" s="15"/>
      <c r="E6795" s="15"/>
      <c r="F6795" s="11">
        <f t="shared" si="53"/>
      </c>
      <c r="G6795" s="22" cm="1">
        <f t="array" ref="G6795">IF(AND(Inputs!$C$60,Inputs!$C$61),INDEX(Utility_Rates!$C$29:$F$52,HOUR(C6795)+Inputs!$C$69,MATCH(INDEX(Utility_Rates!$K$6:$K$17,MONTH(C6795))&amp;IF(WEEKDAY(C6795,Inputs!$C$76)&lt;=Inputs!$C$74," weekday"," weekend"),Utility_Rates!$C$28:$F$28,Inputs!$C$68)),"")</f>
      </c>
      <c r="H6795" s="34"/>
      <c r="I6795" s="42">
        <f>IF(AND(ISNUMBER(D6795),ISNUMBER(H6795)),D6795*H6795*Inputs!$C$69,"")</f>
      </c>
      <c r="J6795" s="42">
        <f>IF(AND(ISNUMBER(F6795),ISNUMBER(H6795),F6795&gt;=Inputs!$C$68),F6795*H6795*Inputs!$C$69,"")</f>
      </c>
    </row>
    <row r="6796" spans="2:10" ht="15" customHeight="1" x14ac:dyDescent="0.2">
      <c r="B6796" s="39">
        <f t="shared" si="52"/>
      </c>
      <c r="C6796" s="40">
        <f>IF(Inputs!$C$60,Inputs!$C$11+(B6796-Inputs!$C$69)/Inputs!$C$70,"")</f>
      </c>
      <c r="D6796" s="15"/>
      <c r="E6796" s="15"/>
      <c r="F6796" s="11">
        <f t="shared" si="53"/>
      </c>
      <c r="G6796" s="22" cm="1">
        <f t="array" ref="G6796">IF(AND(Inputs!$C$60,Inputs!$C$61),INDEX(Utility_Rates!$C$29:$F$52,HOUR(C6796)+Inputs!$C$69,MATCH(INDEX(Utility_Rates!$K$6:$K$17,MONTH(C6796))&amp;IF(WEEKDAY(C6796,Inputs!$C$76)&lt;=Inputs!$C$74," weekday"," weekend"),Utility_Rates!$C$28:$F$28,Inputs!$C$68)),"")</f>
      </c>
      <c r="H6796" s="34"/>
      <c r="I6796" s="42">
        <f>IF(AND(ISNUMBER(D6796),ISNUMBER(H6796)),D6796*H6796*Inputs!$C$69,"")</f>
      </c>
      <c r="J6796" s="42">
        <f>IF(AND(ISNUMBER(F6796),ISNUMBER(H6796),F6796&gt;=Inputs!$C$68),F6796*H6796*Inputs!$C$69,"")</f>
      </c>
    </row>
    <row r="6797" spans="2:10" ht="15" customHeight="1" x14ac:dyDescent="0.2">
      <c r="B6797" s="39">
        <f t="shared" si="52"/>
      </c>
      <c r="C6797" s="40">
        <f>IF(Inputs!$C$60,Inputs!$C$11+(B6797-Inputs!$C$69)/Inputs!$C$70,"")</f>
      </c>
      <c r="D6797" s="15"/>
      <c r="E6797" s="15"/>
      <c r="F6797" s="11">
        <f t="shared" si="53"/>
      </c>
      <c r="G6797" s="22" cm="1">
        <f t="array" ref="G6797">IF(AND(Inputs!$C$60,Inputs!$C$61),INDEX(Utility_Rates!$C$29:$F$52,HOUR(C6797)+Inputs!$C$69,MATCH(INDEX(Utility_Rates!$K$6:$K$17,MONTH(C6797))&amp;IF(WEEKDAY(C6797,Inputs!$C$76)&lt;=Inputs!$C$74," weekday"," weekend"),Utility_Rates!$C$28:$F$28,Inputs!$C$68)),"")</f>
      </c>
      <c r="H6797" s="34"/>
      <c r="I6797" s="42">
        <f>IF(AND(ISNUMBER(D6797),ISNUMBER(H6797)),D6797*H6797*Inputs!$C$69,"")</f>
      </c>
      <c r="J6797" s="42">
        <f>IF(AND(ISNUMBER(F6797),ISNUMBER(H6797),F6797&gt;=Inputs!$C$68),F6797*H6797*Inputs!$C$69,"")</f>
      </c>
    </row>
    <row r="6798" spans="2:10" ht="15" customHeight="1" x14ac:dyDescent="0.2">
      <c r="B6798" s="39">
        <f t="shared" si="52"/>
      </c>
      <c r="C6798" s="40">
        <f>IF(Inputs!$C$60,Inputs!$C$11+(B6798-Inputs!$C$69)/Inputs!$C$70,"")</f>
      </c>
      <c r="D6798" s="15"/>
      <c r="E6798" s="15"/>
      <c r="F6798" s="11">
        <f t="shared" si="53"/>
      </c>
      <c r="G6798" s="22" cm="1">
        <f t="array" ref="G6798">IF(AND(Inputs!$C$60,Inputs!$C$61),INDEX(Utility_Rates!$C$29:$F$52,HOUR(C6798)+Inputs!$C$69,MATCH(INDEX(Utility_Rates!$K$6:$K$17,MONTH(C6798))&amp;IF(WEEKDAY(C6798,Inputs!$C$76)&lt;=Inputs!$C$74," weekday"," weekend"),Utility_Rates!$C$28:$F$28,Inputs!$C$68)),"")</f>
      </c>
      <c r="H6798" s="34"/>
      <c r="I6798" s="42">
        <f>IF(AND(ISNUMBER(D6798),ISNUMBER(H6798)),D6798*H6798*Inputs!$C$69,"")</f>
      </c>
      <c r="J6798" s="42">
        <f>IF(AND(ISNUMBER(F6798),ISNUMBER(H6798),F6798&gt;=Inputs!$C$68),F6798*H6798*Inputs!$C$69,"")</f>
      </c>
    </row>
    <row r="6799" spans="2:10" ht="15" customHeight="1" x14ac:dyDescent="0.2">
      <c r="B6799" s="39">
        <f t="shared" si="52"/>
      </c>
      <c r="C6799" s="40">
        <f>IF(Inputs!$C$60,Inputs!$C$11+(B6799-Inputs!$C$69)/Inputs!$C$70,"")</f>
      </c>
      <c r="D6799" s="15"/>
      <c r="E6799" s="15"/>
      <c r="F6799" s="11">
        <f t="shared" si="53"/>
      </c>
      <c r="G6799" s="22" cm="1">
        <f t="array" ref="G6799">IF(AND(Inputs!$C$60,Inputs!$C$61),INDEX(Utility_Rates!$C$29:$F$52,HOUR(C6799)+Inputs!$C$69,MATCH(INDEX(Utility_Rates!$K$6:$K$17,MONTH(C6799))&amp;IF(WEEKDAY(C6799,Inputs!$C$76)&lt;=Inputs!$C$74," weekday"," weekend"),Utility_Rates!$C$28:$F$28,Inputs!$C$68)),"")</f>
      </c>
      <c r="H6799" s="34"/>
      <c r="I6799" s="42">
        <f>IF(AND(ISNUMBER(D6799),ISNUMBER(H6799)),D6799*H6799*Inputs!$C$69,"")</f>
      </c>
      <c r="J6799" s="42">
        <f>IF(AND(ISNUMBER(F6799),ISNUMBER(H6799),F6799&gt;=Inputs!$C$68),F6799*H6799*Inputs!$C$69,"")</f>
      </c>
    </row>
    <row r="6800" spans="2:10" ht="15" customHeight="1" x14ac:dyDescent="0.2">
      <c r="B6800" s="39">
        <f t="shared" si="52"/>
      </c>
      <c r="C6800" s="40">
        <f>IF(Inputs!$C$60,Inputs!$C$11+(B6800-Inputs!$C$69)/Inputs!$C$70,"")</f>
      </c>
      <c r="D6800" s="15"/>
      <c r="E6800" s="15"/>
      <c r="F6800" s="11">
        <f t="shared" si="53"/>
      </c>
      <c r="G6800" s="22" cm="1">
        <f t="array" ref="G6800">IF(AND(Inputs!$C$60,Inputs!$C$61),INDEX(Utility_Rates!$C$29:$F$52,HOUR(C6800)+Inputs!$C$69,MATCH(INDEX(Utility_Rates!$K$6:$K$17,MONTH(C6800))&amp;IF(WEEKDAY(C6800,Inputs!$C$76)&lt;=Inputs!$C$74," weekday"," weekend"),Utility_Rates!$C$28:$F$28,Inputs!$C$68)),"")</f>
      </c>
      <c r="H6800" s="34"/>
      <c r="I6800" s="42">
        <f>IF(AND(ISNUMBER(D6800),ISNUMBER(H6800)),D6800*H6800*Inputs!$C$69,"")</f>
      </c>
      <c r="J6800" s="42">
        <f>IF(AND(ISNUMBER(F6800),ISNUMBER(H6800),F6800&gt;=Inputs!$C$68),F6800*H6800*Inputs!$C$69,"")</f>
      </c>
    </row>
    <row r="6801" spans="2:10" ht="15" customHeight="1" x14ac:dyDescent="0.2">
      <c r="B6801" s="39">
        <f t="shared" si="52"/>
      </c>
      <c r="C6801" s="40">
        <f>IF(Inputs!$C$60,Inputs!$C$11+(B6801-Inputs!$C$69)/Inputs!$C$70,"")</f>
      </c>
      <c r="D6801" s="15"/>
      <c r="E6801" s="15"/>
      <c r="F6801" s="11">
        <f t="shared" si="53"/>
      </c>
      <c r="G6801" s="22" cm="1">
        <f t="array" ref="G6801">IF(AND(Inputs!$C$60,Inputs!$C$61),INDEX(Utility_Rates!$C$29:$F$52,HOUR(C6801)+Inputs!$C$69,MATCH(INDEX(Utility_Rates!$K$6:$K$17,MONTH(C6801))&amp;IF(WEEKDAY(C6801,Inputs!$C$76)&lt;=Inputs!$C$74," weekday"," weekend"),Utility_Rates!$C$28:$F$28,Inputs!$C$68)),"")</f>
      </c>
      <c r="H6801" s="34"/>
      <c r="I6801" s="42">
        <f>IF(AND(ISNUMBER(D6801),ISNUMBER(H6801)),D6801*H6801*Inputs!$C$69,"")</f>
      </c>
      <c r="J6801" s="42">
        <f>IF(AND(ISNUMBER(F6801),ISNUMBER(H6801),F6801&gt;=Inputs!$C$68),F6801*H6801*Inputs!$C$69,"")</f>
      </c>
    </row>
    <row r="6802" spans="2:10" ht="15" customHeight="1" x14ac:dyDescent="0.2">
      <c r="B6802" s="39">
        <f t="shared" si="52"/>
      </c>
      <c r="C6802" s="40">
        <f>IF(Inputs!$C$60,Inputs!$C$11+(B6802-Inputs!$C$69)/Inputs!$C$70,"")</f>
      </c>
      <c r="D6802" s="15"/>
      <c r="E6802" s="15"/>
      <c r="F6802" s="11">
        <f t="shared" si="53"/>
      </c>
      <c r="G6802" s="22" cm="1">
        <f t="array" ref="G6802">IF(AND(Inputs!$C$60,Inputs!$C$61),INDEX(Utility_Rates!$C$29:$F$52,HOUR(C6802)+Inputs!$C$69,MATCH(INDEX(Utility_Rates!$K$6:$K$17,MONTH(C6802))&amp;IF(WEEKDAY(C6802,Inputs!$C$76)&lt;=Inputs!$C$74," weekday"," weekend"),Utility_Rates!$C$28:$F$28,Inputs!$C$68)),"")</f>
      </c>
      <c r="H6802" s="34"/>
      <c r="I6802" s="42">
        <f>IF(AND(ISNUMBER(D6802),ISNUMBER(H6802)),D6802*H6802*Inputs!$C$69,"")</f>
      </c>
      <c r="J6802" s="42">
        <f>IF(AND(ISNUMBER(F6802),ISNUMBER(H6802),F6802&gt;=Inputs!$C$68),F6802*H6802*Inputs!$C$69,"")</f>
      </c>
    </row>
    <row r="6803" spans="2:10" ht="15" customHeight="1" x14ac:dyDescent="0.2">
      <c r="B6803" s="39">
        <f t="shared" si="52"/>
      </c>
      <c r="C6803" s="40">
        <f>IF(Inputs!$C$60,Inputs!$C$11+(B6803-Inputs!$C$69)/Inputs!$C$70,"")</f>
      </c>
      <c r="D6803" s="15"/>
      <c r="E6803" s="15"/>
      <c r="F6803" s="11">
        <f t="shared" si="53"/>
      </c>
      <c r="G6803" s="22" cm="1">
        <f t="array" ref="G6803">IF(AND(Inputs!$C$60,Inputs!$C$61),INDEX(Utility_Rates!$C$29:$F$52,HOUR(C6803)+Inputs!$C$69,MATCH(INDEX(Utility_Rates!$K$6:$K$17,MONTH(C6803))&amp;IF(WEEKDAY(C6803,Inputs!$C$76)&lt;=Inputs!$C$74," weekday"," weekend"),Utility_Rates!$C$28:$F$28,Inputs!$C$68)),"")</f>
      </c>
      <c r="H6803" s="34"/>
      <c r="I6803" s="42">
        <f>IF(AND(ISNUMBER(D6803),ISNUMBER(H6803)),D6803*H6803*Inputs!$C$69,"")</f>
      </c>
      <c r="J6803" s="42">
        <f>IF(AND(ISNUMBER(F6803),ISNUMBER(H6803),F6803&gt;=Inputs!$C$68),F6803*H6803*Inputs!$C$69,"")</f>
      </c>
    </row>
    <row r="6804" spans="2:10" ht="15" customHeight="1" x14ac:dyDescent="0.2">
      <c r="B6804" s="39">
        <f t="shared" si="52"/>
      </c>
      <c r="C6804" s="40">
        <f>IF(Inputs!$C$60,Inputs!$C$11+(B6804-Inputs!$C$69)/Inputs!$C$70,"")</f>
      </c>
      <c r="D6804" s="15"/>
      <c r="E6804" s="15"/>
      <c r="F6804" s="11">
        <f t="shared" si="53"/>
      </c>
      <c r="G6804" s="22" cm="1">
        <f t="array" ref="G6804">IF(AND(Inputs!$C$60,Inputs!$C$61),INDEX(Utility_Rates!$C$29:$F$52,HOUR(C6804)+Inputs!$C$69,MATCH(INDEX(Utility_Rates!$K$6:$K$17,MONTH(C6804))&amp;IF(WEEKDAY(C6804,Inputs!$C$76)&lt;=Inputs!$C$74," weekday"," weekend"),Utility_Rates!$C$28:$F$28,Inputs!$C$68)),"")</f>
      </c>
      <c r="H6804" s="34"/>
      <c r="I6804" s="42">
        <f>IF(AND(ISNUMBER(D6804),ISNUMBER(H6804)),D6804*H6804*Inputs!$C$69,"")</f>
      </c>
      <c r="J6804" s="42">
        <f>IF(AND(ISNUMBER(F6804),ISNUMBER(H6804),F6804&gt;=Inputs!$C$68),F6804*H6804*Inputs!$C$69,"")</f>
      </c>
    </row>
    <row r="6805" spans="2:10" ht="15" customHeight="1" x14ac:dyDescent="0.2">
      <c r="B6805" s="39">
        <f t="shared" si="52"/>
      </c>
      <c r="C6805" s="40">
        <f>IF(Inputs!$C$60,Inputs!$C$11+(B6805-Inputs!$C$69)/Inputs!$C$70,"")</f>
      </c>
      <c r="D6805" s="15"/>
      <c r="E6805" s="15"/>
      <c r="F6805" s="11">
        <f t="shared" si="53"/>
      </c>
      <c r="G6805" s="22" cm="1">
        <f t="array" ref="G6805">IF(AND(Inputs!$C$60,Inputs!$C$61),INDEX(Utility_Rates!$C$29:$F$52,HOUR(C6805)+Inputs!$C$69,MATCH(INDEX(Utility_Rates!$K$6:$K$17,MONTH(C6805))&amp;IF(WEEKDAY(C6805,Inputs!$C$76)&lt;=Inputs!$C$74," weekday"," weekend"),Utility_Rates!$C$28:$F$28,Inputs!$C$68)),"")</f>
      </c>
      <c r="H6805" s="34"/>
      <c r="I6805" s="42">
        <f>IF(AND(ISNUMBER(D6805),ISNUMBER(H6805)),D6805*H6805*Inputs!$C$69,"")</f>
      </c>
      <c r="J6805" s="42">
        <f>IF(AND(ISNUMBER(F6805),ISNUMBER(H6805),F6805&gt;=Inputs!$C$68),F6805*H6805*Inputs!$C$69,"")</f>
      </c>
    </row>
    <row r="6806" spans="2:10" ht="15" customHeight="1" x14ac:dyDescent="0.2">
      <c r="B6806" s="39">
        <f t="shared" si="52"/>
      </c>
      <c r="C6806" s="40">
        <f>IF(Inputs!$C$60,Inputs!$C$11+(B6806-Inputs!$C$69)/Inputs!$C$70,"")</f>
      </c>
      <c r="D6806" s="15"/>
      <c r="E6806" s="15"/>
      <c r="F6806" s="11">
        <f t="shared" si="53"/>
      </c>
      <c r="G6806" s="22" cm="1">
        <f t="array" ref="G6806">IF(AND(Inputs!$C$60,Inputs!$C$61),INDEX(Utility_Rates!$C$29:$F$52,HOUR(C6806)+Inputs!$C$69,MATCH(INDEX(Utility_Rates!$K$6:$K$17,MONTH(C6806))&amp;IF(WEEKDAY(C6806,Inputs!$C$76)&lt;=Inputs!$C$74," weekday"," weekend"),Utility_Rates!$C$28:$F$28,Inputs!$C$68)),"")</f>
      </c>
      <c r="H6806" s="34"/>
      <c r="I6806" s="42">
        <f>IF(AND(ISNUMBER(D6806),ISNUMBER(H6806)),D6806*H6806*Inputs!$C$69,"")</f>
      </c>
      <c r="J6806" s="42">
        <f>IF(AND(ISNUMBER(F6806),ISNUMBER(H6806),F6806&gt;=Inputs!$C$68),F6806*H6806*Inputs!$C$69,"")</f>
      </c>
    </row>
    <row r="6807" spans="2:10" ht="15" customHeight="1" x14ac:dyDescent="0.2">
      <c r="B6807" s="39">
        <f t="shared" si="52"/>
      </c>
      <c r="C6807" s="40">
        <f>IF(Inputs!$C$60,Inputs!$C$11+(B6807-Inputs!$C$69)/Inputs!$C$70,"")</f>
      </c>
      <c r="D6807" s="15"/>
      <c r="E6807" s="15"/>
      <c r="F6807" s="11">
        <f t="shared" si="53"/>
      </c>
      <c r="G6807" s="22" cm="1">
        <f t="array" ref="G6807">IF(AND(Inputs!$C$60,Inputs!$C$61),INDEX(Utility_Rates!$C$29:$F$52,HOUR(C6807)+Inputs!$C$69,MATCH(INDEX(Utility_Rates!$K$6:$K$17,MONTH(C6807))&amp;IF(WEEKDAY(C6807,Inputs!$C$76)&lt;=Inputs!$C$74," weekday"," weekend"),Utility_Rates!$C$28:$F$28,Inputs!$C$68)),"")</f>
      </c>
      <c r="H6807" s="34"/>
      <c r="I6807" s="42">
        <f>IF(AND(ISNUMBER(D6807),ISNUMBER(H6807)),D6807*H6807*Inputs!$C$69,"")</f>
      </c>
      <c r="J6807" s="42">
        <f>IF(AND(ISNUMBER(F6807),ISNUMBER(H6807),F6807&gt;=Inputs!$C$68),F6807*H6807*Inputs!$C$69,"")</f>
      </c>
    </row>
    <row r="6808" spans="2:10" ht="15" customHeight="1" x14ac:dyDescent="0.2">
      <c r="B6808" s="39">
        <f t="shared" si="52"/>
      </c>
      <c r="C6808" s="40">
        <f>IF(Inputs!$C$60,Inputs!$C$11+(B6808-Inputs!$C$69)/Inputs!$C$70,"")</f>
      </c>
      <c r="D6808" s="15"/>
      <c r="E6808" s="15"/>
      <c r="F6808" s="11">
        <f t="shared" si="53"/>
      </c>
      <c r="G6808" s="22" cm="1">
        <f t="array" ref="G6808">IF(AND(Inputs!$C$60,Inputs!$C$61),INDEX(Utility_Rates!$C$29:$F$52,HOUR(C6808)+Inputs!$C$69,MATCH(INDEX(Utility_Rates!$K$6:$K$17,MONTH(C6808))&amp;IF(WEEKDAY(C6808,Inputs!$C$76)&lt;=Inputs!$C$74," weekday"," weekend"),Utility_Rates!$C$28:$F$28,Inputs!$C$68)),"")</f>
      </c>
      <c r="H6808" s="34"/>
      <c r="I6808" s="42">
        <f>IF(AND(ISNUMBER(D6808),ISNUMBER(H6808)),D6808*H6808*Inputs!$C$69,"")</f>
      </c>
      <c r="J6808" s="42">
        <f>IF(AND(ISNUMBER(F6808),ISNUMBER(H6808),F6808&gt;=Inputs!$C$68),F6808*H6808*Inputs!$C$69,"")</f>
      </c>
    </row>
    <row r="6809" spans="2:10" ht="15" customHeight="1" x14ac:dyDescent="0.2">
      <c r="B6809" s="39">
        <f t="shared" si="52"/>
      </c>
      <c r="C6809" s="40">
        <f>IF(Inputs!$C$60,Inputs!$C$11+(B6809-Inputs!$C$69)/Inputs!$C$70,"")</f>
      </c>
      <c r="D6809" s="15"/>
      <c r="E6809" s="15"/>
      <c r="F6809" s="11">
        <f t="shared" si="53"/>
      </c>
      <c r="G6809" s="22" cm="1">
        <f t="array" ref="G6809">IF(AND(Inputs!$C$60,Inputs!$C$61),INDEX(Utility_Rates!$C$29:$F$52,HOUR(C6809)+Inputs!$C$69,MATCH(INDEX(Utility_Rates!$K$6:$K$17,MONTH(C6809))&amp;IF(WEEKDAY(C6809,Inputs!$C$76)&lt;=Inputs!$C$74," weekday"," weekend"),Utility_Rates!$C$28:$F$28,Inputs!$C$68)),"")</f>
      </c>
      <c r="H6809" s="34"/>
      <c r="I6809" s="42">
        <f>IF(AND(ISNUMBER(D6809),ISNUMBER(H6809)),D6809*H6809*Inputs!$C$69,"")</f>
      </c>
      <c r="J6809" s="42">
        <f>IF(AND(ISNUMBER(F6809),ISNUMBER(H6809),F6809&gt;=Inputs!$C$68),F6809*H6809*Inputs!$C$69,"")</f>
      </c>
    </row>
    <row r="6810" spans="2:10" ht="15" customHeight="1" x14ac:dyDescent="0.2">
      <c r="B6810" s="39">
        <f t="shared" si="52"/>
      </c>
      <c r="C6810" s="40">
        <f>IF(Inputs!$C$60,Inputs!$C$11+(B6810-Inputs!$C$69)/Inputs!$C$70,"")</f>
      </c>
      <c r="D6810" s="15"/>
      <c r="E6810" s="15"/>
      <c r="F6810" s="11">
        <f t="shared" si="53"/>
      </c>
      <c r="G6810" s="22" cm="1">
        <f t="array" ref="G6810">IF(AND(Inputs!$C$60,Inputs!$C$61),INDEX(Utility_Rates!$C$29:$F$52,HOUR(C6810)+Inputs!$C$69,MATCH(INDEX(Utility_Rates!$K$6:$K$17,MONTH(C6810))&amp;IF(WEEKDAY(C6810,Inputs!$C$76)&lt;=Inputs!$C$74," weekday"," weekend"),Utility_Rates!$C$28:$F$28,Inputs!$C$68)),"")</f>
      </c>
      <c r="H6810" s="34"/>
      <c r="I6810" s="42">
        <f>IF(AND(ISNUMBER(D6810),ISNUMBER(H6810)),D6810*H6810*Inputs!$C$69,"")</f>
      </c>
      <c r="J6810" s="42">
        <f>IF(AND(ISNUMBER(F6810),ISNUMBER(H6810),F6810&gt;=Inputs!$C$68),F6810*H6810*Inputs!$C$69,"")</f>
      </c>
    </row>
    <row r="6811" spans="2:10" ht="15" customHeight="1" x14ac:dyDescent="0.2">
      <c r="B6811" s="39">
        <f t="shared" si="52"/>
      </c>
      <c r="C6811" s="40">
        <f>IF(Inputs!$C$60,Inputs!$C$11+(B6811-Inputs!$C$69)/Inputs!$C$70,"")</f>
      </c>
      <c r="D6811" s="15"/>
      <c r="E6811" s="15"/>
      <c r="F6811" s="11">
        <f t="shared" si="53"/>
      </c>
      <c r="G6811" s="22" cm="1">
        <f t="array" ref="G6811">IF(AND(Inputs!$C$60,Inputs!$C$61),INDEX(Utility_Rates!$C$29:$F$52,HOUR(C6811)+Inputs!$C$69,MATCH(INDEX(Utility_Rates!$K$6:$K$17,MONTH(C6811))&amp;IF(WEEKDAY(C6811,Inputs!$C$76)&lt;=Inputs!$C$74," weekday"," weekend"),Utility_Rates!$C$28:$F$28,Inputs!$C$68)),"")</f>
      </c>
      <c r="H6811" s="34"/>
      <c r="I6811" s="42">
        <f>IF(AND(ISNUMBER(D6811),ISNUMBER(H6811)),D6811*H6811*Inputs!$C$69,"")</f>
      </c>
      <c r="J6811" s="42">
        <f>IF(AND(ISNUMBER(F6811),ISNUMBER(H6811),F6811&gt;=Inputs!$C$68),F6811*H6811*Inputs!$C$69,"")</f>
      </c>
    </row>
    <row r="6812" spans="2:10" ht="15" customHeight="1" x14ac:dyDescent="0.2">
      <c r="B6812" s="39">
        <f t="shared" si="52"/>
      </c>
      <c r="C6812" s="40">
        <f>IF(Inputs!$C$60,Inputs!$C$11+(B6812-Inputs!$C$69)/Inputs!$C$70,"")</f>
      </c>
      <c r="D6812" s="15"/>
      <c r="E6812" s="15"/>
      <c r="F6812" s="11">
        <f t="shared" si="53"/>
      </c>
      <c r="G6812" s="22" cm="1">
        <f t="array" ref="G6812">IF(AND(Inputs!$C$60,Inputs!$C$61),INDEX(Utility_Rates!$C$29:$F$52,HOUR(C6812)+Inputs!$C$69,MATCH(INDEX(Utility_Rates!$K$6:$K$17,MONTH(C6812))&amp;IF(WEEKDAY(C6812,Inputs!$C$76)&lt;=Inputs!$C$74," weekday"," weekend"),Utility_Rates!$C$28:$F$28,Inputs!$C$68)),"")</f>
      </c>
      <c r="H6812" s="34"/>
      <c r="I6812" s="42">
        <f>IF(AND(ISNUMBER(D6812),ISNUMBER(H6812)),D6812*H6812*Inputs!$C$69,"")</f>
      </c>
      <c r="J6812" s="42">
        <f>IF(AND(ISNUMBER(F6812),ISNUMBER(H6812),F6812&gt;=Inputs!$C$68),F6812*H6812*Inputs!$C$69,"")</f>
      </c>
    </row>
    <row r="6813" spans="2:10" ht="15" customHeight="1" x14ac:dyDescent="0.2">
      <c r="B6813" s="39">
        <f t="shared" si="52"/>
      </c>
      <c r="C6813" s="40">
        <f>IF(Inputs!$C$60,Inputs!$C$11+(B6813-Inputs!$C$69)/Inputs!$C$70,"")</f>
      </c>
      <c r="D6813" s="15"/>
      <c r="E6813" s="15"/>
      <c r="F6813" s="11">
        <f t="shared" si="53"/>
      </c>
      <c r="G6813" s="22" cm="1">
        <f t="array" ref="G6813">IF(AND(Inputs!$C$60,Inputs!$C$61),INDEX(Utility_Rates!$C$29:$F$52,HOUR(C6813)+Inputs!$C$69,MATCH(INDEX(Utility_Rates!$K$6:$K$17,MONTH(C6813))&amp;IF(WEEKDAY(C6813,Inputs!$C$76)&lt;=Inputs!$C$74," weekday"," weekend"),Utility_Rates!$C$28:$F$28,Inputs!$C$68)),"")</f>
      </c>
      <c r="H6813" s="34"/>
      <c r="I6813" s="42">
        <f>IF(AND(ISNUMBER(D6813),ISNUMBER(H6813)),D6813*H6813*Inputs!$C$69,"")</f>
      </c>
      <c r="J6813" s="42">
        <f>IF(AND(ISNUMBER(F6813),ISNUMBER(H6813),F6813&gt;=Inputs!$C$68),F6813*H6813*Inputs!$C$69,"")</f>
      </c>
    </row>
    <row r="6814" spans="2:10" ht="15" customHeight="1" x14ac:dyDescent="0.2">
      <c r="B6814" s="39">
        <f t="shared" si="52"/>
      </c>
      <c r="C6814" s="40">
        <f>IF(Inputs!$C$60,Inputs!$C$11+(B6814-Inputs!$C$69)/Inputs!$C$70,"")</f>
      </c>
      <c r="D6814" s="15"/>
      <c r="E6814" s="15"/>
      <c r="F6814" s="11">
        <f t="shared" si="53"/>
      </c>
      <c r="G6814" s="22" cm="1">
        <f t="array" ref="G6814">IF(AND(Inputs!$C$60,Inputs!$C$61),INDEX(Utility_Rates!$C$29:$F$52,HOUR(C6814)+Inputs!$C$69,MATCH(INDEX(Utility_Rates!$K$6:$K$17,MONTH(C6814))&amp;IF(WEEKDAY(C6814,Inputs!$C$76)&lt;=Inputs!$C$74," weekday"," weekend"),Utility_Rates!$C$28:$F$28,Inputs!$C$68)),"")</f>
      </c>
      <c r="H6814" s="34"/>
      <c r="I6814" s="42">
        <f>IF(AND(ISNUMBER(D6814),ISNUMBER(H6814)),D6814*H6814*Inputs!$C$69,"")</f>
      </c>
      <c r="J6814" s="42">
        <f>IF(AND(ISNUMBER(F6814),ISNUMBER(H6814),F6814&gt;=Inputs!$C$68),F6814*H6814*Inputs!$C$69,"")</f>
      </c>
    </row>
    <row r="6815" spans="2:10" ht="15" customHeight="1" x14ac:dyDescent="0.2">
      <c r="B6815" s="39">
        <f t="shared" si="52"/>
      </c>
      <c r="C6815" s="40">
        <f>IF(Inputs!$C$60,Inputs!$C$11+(B6815-Inputs!$C$69)/Inputs!$C$70,"")</f>
      </c>
      <c r="D6815" s="15"/>
      <c r="E6815" s="15"/>
      <c r="F6815" s="11">
        <f t="shared" si="53"/>
      </c>
      <c r="G6815" s="22" cm="1">
        <f t="array" ref="G6815">IF(AND(Inputs!$C$60,Inputs!$C$61),INDEX(Utility_Rates!$C$29:$F$52,HOUR(C6815)+Inputs!$C$69,MATCH(INDEX(Utility_Rates!$K$6:$K$17,MONTH(C6815))&amp;IF(WEEKDAY(C6815,Inputs!$C$76)&lt;=Inputs!$C$74," weekday"," weekend"),Utility_Rates!$C$28:$F$28,Inputs!$C$68)),"")</f>
      </c>
      <c r="H6815" s="34"/>
      <c r="I6815" s="42">
        <f>IF(AND(ISNUMBER(D6815),ISNUMBER(H6815)),D6815*H6815*Inputs!$C$69,"")</f>
      </c>
      <c r="J6815" s="42">
        <f>IF(AND(ISNUMBER(F6815),ISNUMBER(H6815),F6815&gt;=Inputs!$C$68),F6815*H6815*Inputs!$C$69,"")</f>
      </c>
    </row>
    <row r="6816" spans="2:10" ht="15" customHeight="1" x14ac:dyDescent="0.2">
      <c r="B6816" s="39">
        <f t="shared" si="52"/>
      </c>
      <c r="C6816" s="40">
        <f>IF(Inputs!$C$60,Inputs!$C$11+(B6816-Inputs!$C$69)/Inputs!$C$70,"")</f>
      </c>
      <c r="D6816" s="15"/>
      <c r="E6816" s="15"/>
      <c r="F6816" s="11">
        <f t="shared" si="53"/>
      </c>
      <c r="G6816" s="22" cm="1">
        <f t="array" ref="G6816">IF(AND(Inputs!$C$60,Inputs!$C$61),INDEX(Utility_Rates!$C$29:$F$52,HOUR(C6816)+Inputs!$C$69,MATCH(INDEX(Utility_Rates!$K$6:$K$17,MONTH(C6816))&amp;IF(WEEKDAY(C6816,Inputs!$C$76)&lt;=Inputs!$C$74," weekday"," weekend"),Utility_Rates!$C$28:$F$28,Inputs!$C$68)),"")</f>
      </c>
      <c r="H6816" s="34"/>
      <c r="I6816" s="42">
        <f>IF(AND(ISNUMBER(D6816),ISNUMBER(H6816)),D6816*H6816*Inputs!$C$69,"")</f>
      </c>
      <c r="J6816" s="42">
        <f>IF(AND(ISNUMBER(F6816),ISNUMBER(H6816),F6816&gt;=Inputs!$C$68),F6816*H6816*Inputs!$C$69,"")</f>
      </c>
    </row>
    <row r="6817" spans="2:10" ht="15" customHeight="1" x14ac:dyDescent="0.2">
      <c r="B6817" s="39">
        <f t="shared" si="52"/>
      </c>
      <c r="C6817" s="40">
        <f>IF(Inputs!$C$60,Inputs!$C$11+(B6817-Inputs!$C$69)/Inputs!$C$70,"")</f>
      </c>
      <c r="D6817" s="15"/>
      <c r="E6817" s="15"/>
      <c r="F6817" s="11">
        <f t="shared" si="53"/>
      </c>
      <c r="G6817" s="22" cm="1">
        <f t="array" ref="G6817">IF(AND(Inputs!$C$60,Inputs!$C$61),INDEX(Utility_Rates!$C$29:$F$52,HOUR(C6817)+Inputs!$C$69,MATCH(INDEX(Utility_Rates!$K$6:$K$17,MONTH(C6817))&amp;IF(WEEKDAY(C6817,Inputs!$C$76)&lt;=Inputs!$C$74," weekday"," weekend"),Utility_Rates!$C$28:$F$28,Inputs!$C$68)),"")</f>
      </c>
      <c r="H6817" s="34"/>
      <c r="I6817" s="42">
        <f>IF(AND(ISNUMBER(D6817),ISNUMBER(H6817)),D6817*H6817*Inputs!$C$69,"")</f>
      </c>
      <c r="J6817" s="42">
        <f>IF(AND(ISNUMBER(F6817),ISNUMBER(H6817),F6817&gt;=Inputs!$C$68),F6817*H6817*Inputs!$C$69,"")</f>
      </c>
    </row>
    <row r="6818" spans="2:10" ht="15" customHeight="1" x14ac:dyDescent="0.2">
      <c r="B6818" s="39">
        <f t="shared" si="52"/>
      </c>
      <c r="C6818" s="40">
        <f>IF(Inputs!$C$60,Inputs!$C$11+(B6818-Inputs!$C$69)/Inputs!$C$70,"")</f>
      </c>
      <c r="D6818" s="15"/>
      <c r="E6818" s="15"/>
      <c r="F6818" s="11">
        <f t="shared" si="53"/>
      </c>
      <c r="G6818" s="22" cm="1">
        <f t="array" ref="G6818">IF(AND(Inputs!$C$60,Inputs!$C$61),INDEX(Utility_Rates!$C$29:$F$52,HOUR(C6818)+Inputs!$C$69,MATCH(INDEX(Utility_Rates!$K$6:$K$17,MONTH(C6818))&amp;IF(WEEKDAY(C6818,Inputs!$C$76)&lt;=Inputs!$C$74," weekday"," weekend"),Utility_Rates!$C$28:$F$28,Inputs!$C$68)),"")</f>
      </c>
      <c r="H6818" s="34"/>
      <c r="I6818" s="42">
        <f>IF(AND(ISNUMBER(D6818),ISNUMBER(H6818)),D6818*H6818*Inputs!$C$69,"")</f>
      </c>
      <c r="J6818" s="42">
        <f>IF(AND(ISNUMBER(F6818),ISNUMBER(H6818),F6818&gt;=Inputs!$C$68),F6818*H6818*Inputs!$C$69,"")</f>
      </c>
    </row>
    <row r="6819" spans="2:10" ht="15" customHeight="1" x14ac:dyDescent="0.2">
      <c r="B6819" s="39">
        <f t="shared" si="52"/>
      </c>
      <c r="C6819" s="40">
        <f>IF(Inputs!$C$60,Inputs!$C$11+(B6819-Inputs!$C$69)/Inputs!$C$70,"")</f>
      </c>
      <c r="D6819" s="15"/>
      <c r="E6819" s="15"/>
      <c r="F6819" s="11">
        <f t="shared" si="53"/>
      </c>
      <c r="G6819" s="22" cm="1">
        <f t="array" ref="G6819">IF(AND(Inputs!$C$60,Inputs!$C$61),INDEX(Utility_Rates!$C$29:$F$52,HOUR(C6819)+Inputs!$C$69,MATCH(INDEX(Utility_Rates!$K$6:$K$17,MONTH(C6819))&amp;IF(WEEKDAY(C6819,Inputs!$C$76)&lt;=Inputs!$C$74," weekday"," weekend"),Utility_Rates!$C$28:$F$28,Inputs!$C$68)),"")</f>
      </c>
      <c r="H6819" s="34"/>
      <c r="I6819" s="42">
        <f>IF(AND(ISNUMBER(D6819),ISNUMBER(H6819)),D6819*H6819*Inputs!$C$69,"")</f>
      </c>
      <c r="J6819" s="42">
        <f>IF(AND(ISNUMBER(F6819),ISNUMBER(H6819),F6819&gt;=Inputs!$C$68),F6819*H6819*Inputs!$C$69,"")</f>
      </c>
    </row>
    <row r="6820" spans="2:10" ht="15" customHeight="1" x14ac:dyDescent="0.2">
      <c r="B6820" s="39">
        <f t="shared" si="52"/>
      </c>
      <c r="C6820" s="40">
        <f>IF(Inputs!$C$60,Inputs!$C$11+(B6820-Inputs!$C$69)/Inputs!$C$70,"")</f>
      </c>
      <c r="D6820" s="15"/>
      <c r="E6820" s="15"/>
      <c r="F6820" s="11">
        <f t="shared" si="53"/>
      </c>
      <c r="G6820" s="22" cm="1">
        <f t="array" ref="G6820">IF(AND(Inputs!$C$60,Inputs!$C$61),INDEX(Utility_Rates!$C$29:$F$52,HOUR(C6820)+Inputs!$C$69,MATCH(INDEX(Utility_Rates!$K$6:$K$17,MONTH(C6820))&amp;IF(WEEKDAY(C6820,Inputs!$C$76)&lt;=Inputs!$C$74," weekday"," weekend"),Utility_Rates!$C$28:$F$28,Inputs!$C$68)),"")</f>
      </c>
      <c r="H6820" s="34"/>
      <c r="I6820" s="42">
        <f>IF(AND(ISNUMBER(D6820),ISNUMBER(H6820)),D6820*H6820*Inputs!$C$69,"")</f>
      </c>
      <c r="J6820" s="42">
        <f>IF(AND(ISNUMBER(F6820),ISNUMBER(H6820),F6820&gt;=Inputs!$C$68),F6820*H6820*Inputs!$C$69,"")</f>
      </c>
    </row>
    <row r="6821" spans="2:10" ht="15" customHeight="1" x14ac:dyDescent="0.2">
      <c r="B6821" s="39">
        <f t="shared" si="52"/>
      </c>
      <c r="C6821" s="40">
        <f>IF(Inputs!$C$60,Inputs!$C$11+(B6821-Inputs!$C$69)/Inputs!$C$70,"")</f>
      </c>
      <c r="D6821" s="15"/>
      <c r="E6821" s="15"/>
      <c r="F6821" s="11">
        <f t="shared" si="53"/>
      </c>
      <c r="G6821" s="22" cm="1">
        <f t="array" ref="G6821">IF(AND(Inputs!$C$60,Inputs!$C$61),INDEX(Utility_Rates!$C$29:$F$52,HOUR(C6821)+Inputs!$C$69,MATCH(INDEX(Utility_Rates!$K$6:$K$17,MONTH(C6821))&amp;IF(WEEKDAY(C6821,Inputs!$C$76)&lt;=Inputs!$C$74," weekday"," weekend"),Utility_Rates!$C$28:$F$28,Inputs!$C$68)),"")</f>
      </c>
      <c r="H6821" s="34"/>
      <c r="I6821" s="42">
        <f>IF(AND(ISNUMBER(D6821),ISNUMBER(H6821)),D6821*H6821*Inputs!$C$69,"")</f>
      </c>
      <c r="J6821" s="42">
        <f>IF(AND(ISNUMBER(F6821),ISNUMBER(H6821),F6821&gt;=Inputs!$C$68),F6821*H6821*Inputs!$C$69,"")</f>
      </c>
    </row>
    <row r="6822" spans="2:10" ht="15" customHeight="1" x14ac:dyDescent="0.2">
      <c r="B6822" s="39">
        <f t="shared" si="52"/>
      </c>
      <c r="C6822" s="40">
        <f>IF(Inputs!$C$60,Inputs!$C$11+(B6822-Inputs!$C$69)/Inputs!$C$70,"")</f>
      </c>
      <c r="D6822" s="15"/>
      <c r="E6822" s="15"/>
      <c r="F6822" s="11">
        <f t="shared" si="53"/>
      </c>
      <c r="G6822" s="22" cm="1">
        <f t="array" ref="G6822">IF(AND(Inputs!$C$60,Inputs!$C$61),INDEX(Utility_Rates!$C$29:$F$52,HOUR(C6822)+Inputs!$C$69,MATCH(INDEX(Utility_Rates!$K$6:$K$17,MONTH(C6822))&amp;IF(WEEKDAY(C6822,Inputs!$C$76)&lt;=Inputs!$C$74," weekday"," weekend"),Utility_Rates!$C$28:$F$28,Inputs!$C$68)),"")</f>
      </c>
      <c r="H6822" s="34"/>
      <c r="I6822" s="42">
        <f>IF(AND(ISNUMBER(D6822),ISNUMBER(H6822)),D6822*H6822*Inputs!$C$69,"")</f>
      </c>
      <c r="J6822" s="42">
        <f>IF(AND(ISNUMBER(F6822),ISNUMBER(H6822),F6822&gt;=Inputs!$C$68),F6822*H6822*Inputs!$C$69,"")</f>
      </c>
    </row>
    <row r="6823" spans="2:10" ht="15" customHeight="1" x14ac:dyDescent="0.2">
      <c r="B6823" s="39">
        <f t="shared" si="52"/>
      </c>
      <c r="C6823" s="40">
        <f>IF(Inputs!$C$60,Inputs!$C$11+(B6823-Inputs!$C$69)/Inputs!$C$70,"")</f>
      </c>
      <c r="D6823" s="15"/>
      <c r="E6823" s="15"/>
      <c r="F6823" s="11">
        <f t="shared" si="53"/>
      </c>
      <c r="G6823" s="22" cm="1">
        <f t="array" ref="G6823">IF(AND(Inputs!$C$60,Inputs!$C$61),INDEX(Utility_Rates!$C$29:$F$52,HOUR(C6823)+Inputs!$C$69,MATCH(INDEX(Utility_Rates!$K$6:$K$17,MONTH(C6823))&amp;IF(WEEKDAY(C6823,Inputs!$C$76)&lt;=Inputs!$C$74," weekday"," weekend"),Utility_Rates!$C$28:$F$28,Inputs!$C$68)),"")</f>
      </c>
      <c r="H6823" s="34"/>
      <c r="I6823" s="42">
        <f>IF(AND(ISNUMBER(D6823),ISNUMBER(H6823)),D6823*H6823*Inputs!$C$69,"")</f>
      </c>
      <c r="J6823" s="42">
        <f>IF(AND(ISNUMBER(F6823),ISNUMBER(H6823),F6823&gt;=Inputs!$C$68),F6823*H6823*Inputs!$C$69,"")</f>
      </c>
    </row>
    <row r="6824" spans="2:10" ht="15" customHeight="1" x14ac:dyDescent="0.2">
      <c r="B6824" s="39">
        <f t="shared" si="52"/>
      </c>
      <c r="C6824" s="40">
        <f>IF(Inputs!$C$60,Inputs!$C$11+(B6824-Inputs!$C$69)/Inputs!$C$70,"")</f>
      </c>
      <c r="D6824" s="15"/>
      <c r="E6824" s="15"/>
      <c r="F6824" s="11">
        <f t="shared" si="53"/>
      </c>
      <c r="G6824" s="22" cm="1">
        <f t="array" ref="G6824">IF(AND(Inputs!$C$60,Inputs!$C$61),INDEX(Utility_Rates!$C$29:$F$52,HOUR(C6824)+Inputs!$C$69,MATCH(INDEX(Utility_Rates!$K$6:$K$17,MONTH(C6824))&amp;IF(WEEKDAY(C6824,Inputs!$C$76)&lt;=Inputs!$C$74," weekday"," weekend"),Utility_Rates!$C$28:$F$28,Inputs!$C$68)),"")</f>
      </c>
      <c r="H6824" s="34"/>
      <c r="I6824" s="42">
        <f>IF(AND(ISNUMBER(D6824),ISNUMBER(H6824)),D6824*H6824*Inputs!$C$69,"")</f>
      </c>
      <c r="J6824" s="42">
        <f>IF(AND(ISNUMBER(F6824),ISNUMBER(H6824),F6824&gt;=Inputs!$C$68),F6824*H6824*Inputs!$C$69,"")</f>
      </c>
    </row>
    <row r="6825" spans="2:10" ht="15" customHeight="1" x14ac:dyDescent="0.2">
      <c r="B6825" s="39">
        <f t="shared" si="52"/>
      </c>
      <c r="C6825" s="40">
        <f>IF(Inputs!$C$60,Inputs!$C$11+(B6825-Inputs!$C$69)/Inputs!$C$70,"")</f>
      </c>
      <c r="D6825" s="15"/>
      <c r="E6825" s="15"/>
      <c r="F6825" s="11">
        <f t="shared" si="53"/>
      </c>
      <c r="G6825" s="22" cm="1">
        <f t="array" ref="G6825">IF(AND(Inputs!$C$60,Inputs!$C$61),INDEX(Utility_Rates!$C$29:$F$52,HOUR(C6825)+Inputs!$C$69,MATCH(INDEX(Utility_Rates!$K$6:$K$17,MONTH(C6825))&amp;IF(WEEKDAY(C6825,Inputs!$C$76)&lt;=Inputs!$C$74," weekday"," weekend"),Utility_Rates!$C$28:$F$28,Inputs!$C$68)),"")</f>
      </c>
      <c r="H6825" s="34"/>
      <c r="I6825" s="42">
        <f>IF(AND(ISNUMBER(D6825),ISNUMBER(H6825)),D6825*H6825*Inputs!$C$69,"")</f>
      </c>
      <c r="J6825" s="42">
        <f>IF(AND(ISNUMBER(F6825),ISNUMBER(H6825),F6825&gt;=Inputs!$C$68),F6825*H6825*Inputs!$C$69,"")</f>
      </c>
    </row>
    <row r="6826" spans="2:10" ht="15" customHeight="1" x14ac:dyDescent="0.2">
      <c r="B6826" s="39">
        <f t="shared" si="52"/>
      </c>
      <c r="C6826" s="40">
        <f>IF(Inputs!$C$60,Inputs!$C$11+(B6826-Inputs!$C$69)/Inputs!$C$70,"")</f>
      </c>
      <c r="D6826" s="15"/>
      <c r="E6826" s="15"/>
      <c r="F6826" s="11">
        <f t="shared" si="53"/>
      </c>
      <c r="G6826" s="22" cm="1">
        <f t="array" ref="G6826">IF(AND(Inputs!$C$60,Inputs!$C$61),INDEX(Utility_Rates!$C$29:$F$52,HOUR(C6826)+Inputs!$C$69,MATCH(INDEX(Utility_Rates!$K$6:$K$17,MONTH(C6826))&amp;IF(WEEKDAY(C6826,Inputs!$C$76)&lt;=Inputs!$C$74," weekday"," weekend"),Utility_Rates!$C$28:$F$28,Inputs!$C$68)),"")</f>
      </c>
      <c r="H6826" s="34"/>
      <c r="I6826" s="42">
        <f>IF(AND(ISNUMBER(D6826),ISNUMBER(H6826)),D6826*H6826*Inputs!$C$69,"")</f>
      </c>
      <c r="J6826" s="42">
        <f>IF(AND(ISNUMBER(F6826),ISNUMBER(H6826),F6826&gt;=Inputs!$C$68),F6826*H6826*Inputs!$C$69,"")</f>
      </c>
    </row>
    <row r="6827" spans="2:10" ht="15" customHeight="1" x14ac:dyDescent="0.2">
      <c r="B6827" s="39">
        <f t="shared" si="52"/>
      </c>
      <c r="C6827" s="40">
        <f>IF(Inputs!$C$60,Inputs!$C$11+(B6827-Inputs!$C$69)/Inputs!$C$70,"")</f>
      </c>
      <c r="D6827" s="15"/>
      <c r="E6827" s="15"/>
      <c r="F6827" s="11">
        <f t="shared" si="53"/>
      </c>
      <c r="G6827" s="22" cm="1">
        <f t="array" ref="G6827">IF(AND(Inputs!$C$60,Inputs!$C$61),INDEX(Utility_Rates!$C$29:$F$52,HOUR(C6827)+Inputs!$C$69,MATCH(INDEX(Utility_Rates!$K$6:$K$17,MONTH(C6827))&amp;IF(WEEKDAY(C6827,Inputs!$C$76)&lt;=Inputs!$C$74," weekday"," weekend"),Utility_Rates!$C$28:$F$28,Inputs!$C$68)),"")</f>
      </c>
      <c r="H6827" s="34"/>
      <c r="I6827" s="42">
        <f>IF(AND(ISNUMBER(D6827),ISNUMBER(H6827)),D6827*H6827*Inputs!$C$69,"")</f>
      </c>
      <c r="J6827" s="42">
        <f>IF(AND(ISNUMBER(F6827),ISNUMBER(H6827),F6827&gt;=Inputs!$C$68),F6827*H6827*Inputs!$C$69,"")</f>
      </c>
    </row>
    <row r="6828" spans="2:10" ht="15" customHeight="1" x14ac:dyDescent="0.2">
      <c r="B6828" s="39">
        <f t="shared" si="52"/>
      </c>
      <c r="C6828" s="40">
        <f>IF(Inputs!$C$60,Inputs!$C$11+(B6828-Inputs!$C$69)/Inputs!$C$70,"")</f>
      </c>
      <c r="D6828" s="15"/>
      <c r="E6828" s="15"/>
      <c r="F6828" s="11">
        <f t="shared" si="53"/>
      </c>
      <c r="G6828" s="22" cm="1">
        <f t="array" ref="G6828">IF(AND(Inputs!$C$60,Inputs!$C$61),INDEX(Utility_Rates!$C$29:$F$52,HOUR(C6828)+Inputs!$C$69,MATCH(INDEX(Utility_Rates!$K$6:$K$17,MONTH(C6828))&amp;IF(WEEKDAY(C6828,Inputs!$C$76)&lt;=Inputs!$C$74," weekday"," weekend"),Utility_Rates!$C$28:$F$28,Inputs!$C$68)),"")</f>
      </c>
      <c r="H6828" s="34"/>
      <c r="I6828" s="42">
        <f>IF(AND(ISNUMBER(D6828),ISNUMBER(H6828)),D6828*H6828*Inputs!$C$69,"")</f>
      </c>
      <c r="J6828" s="42">
        <f>IF(AND(ISNUMBER(F6828),ISNUMBER(H6828),F6828&gt;=Inputs!$C$68),F6828*H6828*Inputs!$C$69,"")</f>
      </c>
    </row>
    <row r="6829" spans="2:10" ht="15" customHeight="1" x14ac:dyDescent="0.2">
      <c r="B6829" s="39">
        <f t="shared" si="52"/>
      </c>
      <c r="C6829" s="40">
        <f>IF(Inputs!$C$60,Inputs!$C$11+(B6829-Inputs!$C$69)/Inputs!$C$70,"")</f>
      </c>
      <c r="D6829" s="15"/>
      <c r="E6829" s="15"/>
      <c r="F6829" s="11">
        <f t="shared" si="53"/>
      </c>
      <c r="G6829" s="22" cm="1">
        <f t="array" ref="G6829">IF(AND(Inputs!$C$60,Inputs!$C$61),INDEX(Utility_Rates!$C$29:$F$52,HOUR(C6829)+Inputs!$C$69,MATCH(INDEX(Utility_Rates!$K$6:$K$17,MONTH(C6829))&amp;IF(WEEKDAY(C6829,Inputs!$C$76)&lt;=Inputs!$C$74," weekday"," weekend"),Utility_Rates!$C$28:$F$28,Inputs!$C$68)),"")</f>
      </c>
      <c r="H6829" s="34"/>
      <c r="I6829" s="42">
        <f>IF(AND(ISNUMBER(D6829),ISNUMBER(H6829)),D6829*H6829*Inputs!$C$69,"")</f>
      </c>
      <c r="J6829" s="42">
        <f>IF(AND(ISNUMBER(F6829),ISNUMBER(H6829),F6829&gt;=Inputs!$C$68),F6829*H6829*Inputs!$C$69,"")</f>
      </c>
    </row>
    <row r="6830" spans="2:10" ht="15" customHeight="1" x14ac:dyDescent="0.2">
      <c r="B6830" s="39">
        <f t="shared" si="52"/>
      </c>
      <c r="C6830" s="40">
        <f>IF(Inputs!$C$60,Inputs!$C$11+(B6830-Inputs!$C$69)/Inputs!$C$70,"")</f>
      </c>
      <c r="D6830" s="15"/>
      <c r="E6830" s="15"/>
      <c r="F6830" s="11">
        <f t="shared" si="53"/>
      </c>
      <c r="G6830" s="22" cm="1">
        <f t="array" ref="G6830">IF(AND(Inputs!$C$60,Inputs!$C$61),INDEX(Utility_Rates!$C$29:$F$52,HOUR(C6830)+Inputs!$C$69,MATCH(INDEX(Utility_Rates!$K$6:$K$17,MONTH(C6830))&amp;IF(WEEKDAY(C6830,Inputs!$C$76)&lt;=Inputs!$C$74," weekday"," weekend"),Utility_Rates!$C$28:$F$28,Inputs!$C$68)),"")</f>
      </c>
      <c r="H6830" s="34"/>
      <c r="I6830" s="42">
        <f>IF(AND(ISNUMBER(D6830),ISNUMBER(H6830)),D6830*H6830*Inputs!$C$69,"")</f>
      </c>
      <c r="J6830" s="42">
        <f>IF(AND(ISNUMBER(F6830),ISNUMBER(H6830),F6830&gt;=Inputs!$C$68),F6830*H6830*Inputs!$C$69,"")</f>
      </c>
    </row>
    <row r="6831" spans="2:10" ht="15" customHeight="1" x14ac:dyDescent="0.2">
      <c r="B6831" s="39">
        <f t="shared" si="52"/>
      </c>
      <c r="C6831" s="40">
        <f>IF(Inputs!$C$60,Inputs!$C$11+(B6831-Inputs!$C$69)/Inputs!$C$70,"")</f>
      </c>
      <c r="D6831" s="15"/>
      <c r="E6831" s="15"/>
      <c r="F6831" s="11">
        <f t="shared" si="53"/>
      </c>
      <c r="G6831" s="22" cm="1">
        <f t="array" ref="G6831">IF(AND(Inputs!$C$60,Inputs!$C$61),INDEX(Utility_Rates!$C$29:$F$52,HOUR(C6831)+Inputs!$C$69,MATCH(INDEX(Utility_Rates!$K$6:$K$17,MONTH(C6831))&amp;IF(WEEKDAY(C6831,Inputs!$C$76)&lt;=Inputs!$C$74," weekday"," weekend"),Utility_Rates!$C$28:$F$28,Inputs!$C$68)),"")</f>
      </c>
      <c r="H6831" s="34"/>
      <c r="I6831" s="42">
        <f>IF(AND(ISNUMBER(D6831),ISNUMBER(H6831)),D6831*H6831*Inputs!$C$69,"")</f>
      </c>
      <c r="J6831" s="42">
        <f>IF(AND(ISNUMBER(F6831),ISNUMBER(H6831),F6831&gt;=Inputs!$C$68),F6831*H6831*Inputs!$C$69,"")</f>
      </c>
    </row>
    <row r="6832" spans="2:10" ht="15" customHeight="1" x14ac:dyDescent="0.2">
      <c r="B6832" s="39">
        <f t="shared" si="52"/>
      </c>
      <c r="C6832" s="40">
        <f>IF(Inputs!$C$60,Inputs!$C$11+(B6832-Inputs!$C$69)/Inputs!$C$70,"")</f>
      </c>
      <c r="D6832" s="15"/>
      <c r="E6832" s="15"/>
      <c r="F6832" s="11">
        <f t="shared" si="53"/>
      </c>
      <c r="G6832" s="22" cm="1">
        <f t="array" ref="G6832">IF(AND(Inputs!$C$60,Inputs!$C$61),INDEX(Utility_Rates!$C$29:$F$52,HOUR(C6832)+Inputs!$C$69,MATCH(INDEX(Utility_Rates!$K$6:$K$17,MONTH(C6832))&amp;IF(WEEKDAY(C6832,Inputs!$C$76)&lt;=Inputs!$C$74," weekday"," weekend"),Utility_Rates!$C$28:$F$28,Inputs!$C$68)),"")</f>
      </c>
      <c r="H6832" s="34"/>
      <c r="I6832" s="42">
        <f>IF(AND(ISNUMBER(D6832),ISNUMBER(H6832)),D6832*H6832*Inputs!$C$69,"")</f>
      </c>
      <c r="J6832" s="42">
        <f>IF(AND(ISNUMBER(F6832),ISNUMBER(H6832),F6832&gt;=Inputs!$C$68),F6832*H6832*Inputs!$C$69,"")</f>
      </c>
    </row>
    <row r="6833" spans="2:10" ht="15" customHeight="1" x14ac:dyDescent="0.2">
      <c r="B6833" s="39">
        <f t="shared" si="52"/>
      </c>
      <c r="C6833" s="40">
        <f>IF(Inputs!$C$60,Inputs!$C$11+(B6833-Inputs!$C$69)/Inputs!$C$70,"")</f>
      </c>
      <c r="D6833" s="15"/>
      <c r="E6833" s="15"/>
      <c r="F6833" s="11">
        <f t="shared" si="53"/>
      </c>
      <c r="G6833" s="22" cm="1">
        <f t="array" ref="G6833">IF(AND(Inputs!$C$60,Inputs!$C$61),INDEX(Utility_Rates!$C$29:$F$52,HOUR(C6833)+Inputs!$C$69,MATCH(INDEX(Utility_Rates!$K$6:$K$17,MONTH(C6833))&amp;IF(WEEKDAY(C6833,Inputs!$C$76)&lt;=Inputs!$C$74," weekday"," weekend"),Utility_Rates!$C$28:$F$28,Inputs!$C$68)),"")</f>
      </c>
      <c r="H6833" s="34"/>
      <c r="I6833" s="42">
        <f>IF(AND(ISNUMBER(D6833),ISNUMBER(H6833)),D6833*H6833*Inputs!$C$69,"")</f>
      </c>
      <c r="J6833" s="42">
        <f>IF(AND(ISNUMBER(F6833),ISNUMBER(H6833),F6833&gt;=Inputs!$C$68),F6833*H6833*Inputs!$C$69,"")</f>
      </c>
    </row>
    <row r="6834" spans="2:10" ht="15" customHeight="1" x14ac:dyDescent="0.2">
      <c r="B6834" s="39">
        <f t="shared" si="52"/>
      </c>
      <c r="C6834" s="40">
        <f>IF(Inputs!$C$60,Inputs!$C$11+(B6834-Inputs!$C$69)/Inputs!$C$70,"")</f>
      </c>
      <c r="D6834" s="15"/>
      <c r="E6834" s="15"/>
      <c r="F6834" s="11">
        <f t="shared" si="53"/>
      </c>
      <c r="G6834" s="22" cm="1">
        <f t="array" ref="G6834">IF(AND(Inputs!$C$60,Inputs!$C$61),INDEX(Utility_Rates!$C$29:$F$52,HOUR(C6834)+Inputs!$C$69,MATCH(INDEX(Utility_Rates!$K$6:$K$17,MONTH(C6834))&amp;IF(WEEKDAY(C6834,Inputs!$C$76)&lt;=Inputs!$C$74," weekday"," weekend"),Utility_Rates!$C$28:$F$28,Inputs!$C$68)),"")</f>
      </c>
      <c r="H6834" s="34"/>
      <c r="I6834" s="42">
        <f>IF(AND(ISNUMBER(D6834),ISNUMBER(H6834)),D6834*H6834*Inputs!$C$69,"")</f>
      </c>
      <c r="J6834" s="42">
        <f>IF(AND(ISNUMBER(F6834),ISNUMBER(H6834),F6834&gt;=Inputs!$C$68),F6834*H6834*Inputs!$C$69,"")</f>
      </c>
    </row>
    <row r="6835" spans="2:10" ht="15" customHeight="1" x14ac:dyDescent="0.2">
      <c r="B6835" s="39">
        <f t="shared" si="52"/>
      </c>
      <c r="C6835" s="40">
        <f>IF(Inputs!$C$60,Inputs!$C$11+(B6835-Inputs!$C$69)/Inputs!$C$70,"")</f>
      </c>
      <c r="D6835" s="15"/>
      <c r="E6835" s="15"/>
      <c r="F6835" s="11">
        <f t="shared" si="53"/>
      </c>
      <c r="G6835" s="22" cm="1">
        <f t="array" ref="G6835">IF(AND(Inputs!$C$60,Inputs!$C$61),INDEX(Utility_Rates!$C$29:$F$52,HOUR(C6835)+Inputs!$C$69,MATCH(INDEX(Utility_Rates!$K$6:$K$17,MONTH(C6835))&amp;IF(WEEKDAY(C6835,Inputs!$C$76)&lt;=Inputs!$C$74," weekday"," weekend"),Utility_Rates!$C$28:$F$28,Inputs!$C$68)),"")</f>
      </c>
      <c r="H6835" s="34"/>
      <c r="I6835" s="42">
        <f>IF(AND(ISNUMBER(D6835),ISNUMBER(H6835)),D6835*H6835*Inputs!$C$69,"")</f>
      </c>
      <c r="J6835" s="42">
        <f>IF(AND(ISNUMBER(F6835),ISNUMBER(H6835),F6835&gt;=Inputs!$C$68),F6835*H6835*Inputs!$C$69,"")</f>
      </c>
    </row>
    <row r="6836" spans="2:10" ht="15" customHeight="1" x14ac:dyDescent="0.2">
      <c r="B6836" s="39">
        <f t="shared" si="52"/>
      </c>
      <c r="C6836" s="40">
        <f>IF(Inputs!$C$60,Inputs!$C$11+(B6836-Inputs!$C$69)/Inputs!$C$70,"")</f>
      </c>
      <c r="D6836" s="15"/>
      <c r="E6836" s="15"/>
      <c r="F6836" s="11">
        <f t="shared" si="53"/>
      </c>
      <c r="G6836" s="22" cm="1">
        <f t="array" ref="G6836">IF(AND(Inputs!$C$60,Inputs!$C$61),INDEX(Utility_Rates!$C$29:$F$52,HOUR(C6836)+Inputs!$C$69,MATCH(INDEX(Utility_Rates!$K$6:$K$17,MONTH(C6836))&amp;IF(WEEKDAY(C6836,Inputs!$C$76)&lt;=Inputs!$C$74," weekday"," weekend"),Utility_Rates!$C$28:$F$28,Inputs!$C$68)),"")</f>
      </c>
      <c r="H6836" s="34"/>
      <c r="I6836" s="42">
        <f>IF(AND(ISNUMBER(D6836),ISNUMBER(H6836)),D6836*H6836*Inputs!$C$69,"")</f>
      </c>
      <c r="J6836" s="42">
        <f>IF(AND(ISNUMBER(F6836),ISNUMBER(H6836),F6836&gt;=Inputs!$C$68),F6836*H6836*Inputs!$C$69,"")</f>
      </c>
    </row>
    <row r="6837" spans="2:10" ht="15" customHeight="1" x14ac:dyDescent="0.2">
      <c r="B6837" s="39">
        <f t="shared" si="52"/>
      </c>
      <c r="C6837" s="40">
        <f>IF(Inputs!$C$60,Inputs!$C$11+(B6837-Inputs!$C$69)/Inputs!$C$70,"")</f>
      </c>
      <c r="D6837" s="15"/>
      <c r="E6837" s="15"/>
      <c r="F6837" s="11">
        <f t="shared" si="53"/>
      </c>
      <c r="G6837" s="22" cm="1">
        <f t="array" ref="G6837">IF(AND(Inputs!$C$60,Inputs!$C$61),INDEX(Utility_Rates!$C$29:$F$52,HOUR(C6837)+Inputs!$C$69,MATCH(INDEX(Utility_Rates!$K$6:$K$17,MONTH(C6837))&amp;IF(WEEKDAY(C6837,Inputs!$C$76)&lt;=Inputs!$C$74," weekday"," weekend"),Utility_Rates!$C$28:$F$28,Inputs!$C$68)),"")</f>
      </c>
      <c r="H6837" s="34"/>
      <c r="I6837" s="42">
        <f>IF(AND(ISNUMBER(D6837),ISNUMBER(H6837)),D6837*H6837*Inputs!$C$69,"")</f>
      </c>
      <c r="J6837" s="42">
        <f>IF(AND(ISNUMBER(F6837),ISNUMBER(H6837),F6837&gt;=Inputs!$C$68),F6837*H6837*Inputs!$C$69,"")</f>
      </c>
    </row>
    <row r="6838" spans="2:10" ht="15" customHeight="1" x14ac:dyDescent="0.2">
      <c r="B6838" s="39">
        <f t="shared" si="52"/>
      </c>
      <c r="C6838" s="40">
        <f>IF(Inputs!$C$60,Inputs!$C$11+(B6838-Inputs!$C$69)/Inputs!$C$70,"")</f>
      </c>
      <c r="D6838" s="15"/>
      <c r="E6838" s="15"/>
      <c r="F6838" s="11">
        <f t="shared" si="53"/>
      </c>
      <c r="G6838" s="22" cm="1">
        <f t="array" ref="G6838">IF(AND(Inputs!$C$60,Inputs!$C$61),INDEX(Utility_Rates!$C$29:$F$52,HOUR(C6838)+Inputs!$C$69,MATCH(INDEX(Utility_Rates!$K$6:$K$17,MONTH(C6838))&amp;IF(WEEKDAY(C6838,Inputs!$C$76)&lt;=Inputs!$C$74," weekday"," weekend"),Utility_Rates!$C$28:$F$28,Inputs!$C$68)),"")</f>
      </c>
      <c r="H6838" s="34"/>
      <c r="I6838" s="42">
        <f>IF(AND(ISNUMBER(D6838),ISNUMBER(H6838)),D6838*H6838*Inputs!$C$69,"")</f>
      </c>
      <c r="J6838" s="42">
        <f>IF(AND(ISNUMBER(F6838),ISNUMBER(H6838),F6838&gt;=Inputs!$C$68),F6838*H6838*Inputs!$C$69,"")</f>
      </c>
    </row>
    <row r="6839" spans="2:10" ht="15" customHeight="1" x14ac:dyDescent="0.2">
      <c r="B6839" s="39">
        <f t="shared" si="52"/>
      </c>
      <c r="C6839" s="40">
        <f>IF(Inputs!$C$60,Inputs!$C$11+(B6839-Inputs!$C$69)/Inputs!$C$70,"")</f>
      </c>
      <c r="D6839" s="15"/>
      <c r="E6839" s="15"/>
      <c r="F6839" s="11">
        <f t="shared" si="53"/>
      </c>
      <c r="G6839" s="22" cm="1">
        <f t="array" ref="G6839">IF(AND(Inputs!$C$60,Inputs!$C$61),INDEX(Utility_Rates!$C$29:$F$52,HOUR(C6839)+Inputs!$C$69,MATCH(INDEX(Utility_Rates!$K$6:$K$17,MONTH(C6839))&amp;IF(WEEKDAY(C6839,Inputs!$C$76)&lt;=Inputs!$C$74," weekday"," weekend"),Utility_Rates!$C$28:$F$28,Inputs!$C$68)),"")</f>
      </c>
      <c r="H6839" s="34"/>
      <c r="I6839" s="42">
        <f>IF(AND(ISNUMBER(D6839),ISNUMBER(H6839)),D6839*H6839*Inputs!$C$69,"")</f>
      </c>
      <c r="J6839" s="42">
        <f>IF(AND(ISNUMBER(F6839),ISNUMBER(H6839),F6839&gt;=Inputs!$C$68),F6839*H6839*Inputs!$C$69,"")</f>
      </c>
    </row>
    <row r="6840" spans="2:10" ht="15" customHeight="1" x14ac:dyDescent="0.2">
      <c r="B6840" s="39">
        <f t="shared" si="52"/>
      </c>
      <c r="C6840" s="40">
        <f>IF(Inputs!$C$60,Inputs!$C$11+(B6840-Inputs!$C$69)/Inputs!$C$70,"")</f>
      </c>
      <c r="D6840" s="15"/>
      <c r="E6840" s="15"/>
      <c r="F6840" s="11">
        <f t="shared" si="53"/>
      </c>
      <c r="G6840" s="22" cm="1">
        <f t="array" ref="G6840">IF(AND(Inputs!$C$60,Inputs!$C$61),INDEX(Utility_Rates!$C$29:$F$52,HOUR(C6840)+Inputs!$C$69,MATCH(INDEX(Utility_Rates!$K$6:$K$17,MONTH(C6840))&amp;IF(WEEKDAY(C6840,Inputs!$C$76)&lt;=Inputs!$C$74," weekday"," weekend"),Utility_Rates!$C$28:$F$28,Inputs!$C$68)),"")</f>
      </c>
      <c r="H6840" s="34"/>
      <c r="I6840" s="42">
        <f>IF(AND(ISNUMBER(D6840),ISNUMBER(H6840)),D6840*H6840*Inputs!$C$69,"")</f>
      </c>
      <c r="J6840" s="42">
        <f>IF(AND(ISNUMBER(F6840),ISNUMBER(H6840),F6840&gt;=Inputs!$C$68),F6840*H6840*Inputs!$C$69,"")</f>
      </c>
    </row>
    <row r="6841" spans="2:10" ht="15" customHeight="1" x14ac:dyDescent="0.2">
      <c r="B6841" s="39">
        <f t="shared" si="52"/>
      </c>
      <c r="C6841" s="40">
        <f>IF(Inputs!$C$60,Inputs!$C$11+(B6841-Inputs!$C$69)/Inputs!$C$70,"")</f>
      </c>
      <c r="D6841" s="15"/>
      <c r="E6841" s="15"/>
      <c r="F6841" s="11">
        <f t="shared" si="53"/>
      </c>
      <c r="G6841" s="22" cm="1">
        <f t="array" ref="G6841">IF(AND(Inputs!$C$60,Inputs!$C$61),INDEX(Utility_Rates!$C$29:$F$52,HOUR(C6841)+Inputs!$C$69,MATCH(INDEX(Utility_Rates!$K$6:$K$17,MONTH(C6841))&amp;IF(WEEKDAY(C6841,Inputs!$C$76)&lt;=Inputs!$C$74," weekday"," weekend"),Utility_Rates!$C$28:$F$28,Inputs!$C$68)),"")</f>
      </c>
      <c r="H6841" s="34"/>
      <c r="I6841" s="42">
        <f>IF(AND(ISNUMBER(D6841),ISNUMBER(H6841)),D6841*H6841*Inputs!$C$69,"")</f>
      </c>
      <c r="J6841" s="42">
        <f>IF(AND(ISNUMBER(F6841),ISNUMBER(H6841),F6841&gt;=Inputs!$C$68),F6841*H6841*Inputs!$C$69,"")</f>
      </c>
    </row>
    <row r="6842" spans="2:10" ht="15" customHeight="1" x14ac:dyDescent="0.2">
      <c r="B6842" s="39">
        <f t="shared" si="52"/>
      </c>
      <c r="C6842" s="40">
        <f>IF(Inputs!$C$60,Inputs!$C$11+(B6842-Inputs!$C$69)/Inputs!$C$70,"")</f>
      </c>
      <c r="D6842" s="15"/>
      <c r="E6842" s="15"/>
      <c r="F6842" s="11">
        <f t="shared" si="53"/>
      </c>
      <c r="G6842" s="22" cm="1">
        <f t="array" ref="G6842">IF(AND(Inputs!$C$60,Inputs!$C$61),INDEX(Utility_Rates!$C$29:$F$52,HOUR(C6842)+Inputs!$C$69,MATCH(INDEX(Utility_Rates!$K$6:$K$17,MONTH(C6842))&amp;IF(WEEKDAY(C6842,Inputs!$C$76)&lt;=Inputs!$C$74," weekday"," weekend"),Utility_Rates!$C$28:$F$28,Inputs!$C$68)),"")</f>
      </c>
      <c r="H6842" s="34"/>
      <c r="I6842" s="42">
        <f>IF(AND(ISNUMBER(D6842),ISNUMBER(H6842)),D6842*H6842*Inputs!$C$69,"")</f>
      </c>
      <c r="J6842" s="42">
        <f>IF(AND(ISNUMBER(F6842),ISNUMBER(H6842),F6842&gt;=Inputs!$C$68),F6842*H6842*Inputs!$C$69,"")</f>
      </c>
    </row>
    <row r="6843" spans="2:10" ht="15" customHeight="1" x14ac:dyDescent="0.2">
      <c r="B6843" s="39">
        <f t="shared" si="52"/>
      </c>
      <c r="C6843" s="40">
        <f>IF(Inputs!$C$60,Inputs!$C$11+(B6843-Inputs!$C$69)/Inputs!$C$70,"")</f>
      </c>
      <c r="D6843" s="15"/>
      <c r="E6843" s="15"/>
      <c r="F6843" s="11">
        <f t="shared" si="53"/>
      </c>
      <c r="G6843" s="22" cm="1">
        <f t="array" ref="G6843">IF(AND(Inputs!$C$60,Inputs!$C$61),INDEX(Utility_Rates!$C$29:$F$52,HOUR(C6843)+Inputs!$C$69,MATCH(INDEX(Utility_Rates!$K$6:$K$17,MONTH(C6843))&amp;IF(WEEKDAY(C6843,Inputs!$C$76)&lt;=Inputs!$C$74," weekday"," weekend"),Utility_Rates!$C$28:$F$28,Inputs!$C$68)),"")</f>
      </c>
      <c r="H6843" s="34"/>
      <c r="I6843" s="42">
        <f>IF(AND(ISNUMBER(D6843),ISNUMBER(H6843)),D6843*H6843*Inputs!$C$69,"")</f>
      </c>
      <c r="J6843" s="42">
        <f>IF(AND(ISNUMBER(F6843),ISNUMBER(H6843),F6843&gt;=Inputs!$C$68),F6843*H6843*Inputs!$C$69,"")</f>
      </c>
    </row>
    <row r="6844" spans="2:10" ht="15" customHeight="1" x14ac:dyDescent="0.2">
      <c r="B6844" s="39">
        <f t="shared" si="52"/>
      </c>
      <c r="C6844" s="40">
        <f>IF(Inputs!$C$60,Inputs!$C$11+(B6844-Inputs!$C$69)/Inputs!$C$70,"")</f>
      </c>
      <c r="D6844" s="15"/>
      <c r="E6844" s="15"/>
      <c r="F6844" s="11">
        <f t="shared" si="53"/>
      </c>
      <c r="G6844" s="22" cm="1">
        <f t="array" ref="G6844">IF(AND(Inputs!$C$60,Inputs!$C$61),INDEX(Utility_Rates!$C$29:$F$52,HOUR(C6844)+Inputs!$C$69,MATCH(INDEX(Utility_Rates!$K$6:$K$17,MONTH(C6844))&amp;IF(WEEKDAY(C6844,Inputs!$C$76)&lt;=Inputs!$C$74," weekday"," weekend"),Utility_Rates!$C$28:$F$28,Inputs!$C$68)),"")</f>
      </c>
      <c r="H6844" s="34"/>
      <c r="I6844" s="42">
        <f>IF(AND(ISNUMBER(D6844),ISNUMBER(H6844)),D6844*H6844*Inputs!$C$69,"")</f>
      </c>
      <c r="J6844" s="42">
        <f>IF(AND(ISNUMBER(F6844),ISNUMBER(H6844),F6844&gt;=Inputs!$C$68),F6844*H6844*Inputs!$C$69,"")</f>
      </c>
    </row>
    <row r="6845" spans="2:10" ht="15" customHeight="1" x14ac:dyDescent="0.2">
      <c r="B6845" s="39">
        <f t="shared" si="52"/>
      </c>
      <c r="C6845" s="40">
        <f>IF(Inputs!$C$60,Inputs!$C$11+(B6845-Inputs!$C$69)/Inputs!$C$70,"")</f>
      </c>
      <c r="D6845" s="15"/>
      <c r="E6845" s="15"/>
      <c r="F6845" s="11">
        <f t="shared" si="53"/>
      </c>
      <c r="G6845" s="22" cm="1">
        <f t="array" ref="G6845">IF(AND(Inputs!$C$60,Inputs!$C$61),INDEX(Utility_Rates!$C$29:$F$52,HOUR(C6845)+Inputs!$C$69,MATCH(INDEX(Utility_Rates!$K$6:$K$17,MONTH(C6845))&amp;IF(WEEKDAY(C6845,Inputs!$C$76)&lt;=Inputs!$C$74," weekday"," weekend"),Utility_Rates!$C$28:$F$28,Inputs!$C$68)),"")</f>
      </c>
      <c r="H6845" s="34"/>
      <c r="I6845" s="42">
        <f>IF(AND(ISNUMBER(D6845),ISNUMBER(H6845)),D6845*H6845*Inputs!$C$69,"")</f>
      </c>
      <c r="J6845" s="42">
        <f>IF(AND(ISNUMBER(F6845),ISNUMBER(H6845),F6845&gt;=Inputs!$C$68),F6845*H6845*Inputs!$C$69,"")</f>
      </c>
    </row>
    <row r="6846" spans="2:10" ht="15" customHeight="1" x14ac:dyDescent="0.2">
      <c r="B6846" s="39">
        <f t="shared" si="52"/>
      </c>
      <c r="C6846" s="40">
        <f>IF(Inputs!$C$60,Inputs!$C$11+(B6846-Inputs!$C$69)/Inputs!$C$70,"")</f>
      </c>
      <c r="D6846" s="15"/>
      <c r="E6846" s="15"/>
      <c r="F6846" s="11">
        <f t="shared" si="53"/>
      </c>
      <c r="G6846" s="22" cm="1">
        <f t="array" ref="G6846">IF(AND(Inputs!$C$60,Inputs!$C$61),INDEX(Utility_Rates!$C$29:$F$52,HOUR(C6846)+Inputs!$C$69,MATCH(INDEX(Utility_Rates!$K$6:$K$17,MONTH(C6846))&amp;IF(WEEKDAY(C6846,Inputs!$C$76)&lt;=Inputs!$C$74," weekday"," weekend"),Utility_Rates!$C$28:$F$28,Inputs!$C$68)),"")</f>
      </c>
      <c r="H6846" s="34"/>
      <c r="I6846" s="42">
        <f>IF(AND(ISNUMBER(D6846),ISNUMBER(H6846)),D6846*H6846*Inputs!$C$69,"")</f>
      </c>
      <c r="J6846" s="42">
        <f>IF(AND(ISNUMBER(F6846),ISNUMBER(H6846),F6846&gt;=Inputs!$C$68),F6846*H6846*Inputs!$C$69,"")</f>
      </c>
    </row>
    <row r="6847" spans="2:10" ht="15" customHeight="1" x14ac:dyDescent="0.2">
      <c r="B6847" s="39">
        <f t="shared" si="52"/>
      </c>
      <c r="C6847" s="40">
        <f>IF(Inputs!$C$60,Inputs!$C$11+(B6847-Inputs!$C$69)/Inputs!$C$70,"")</f>
      </c>
      <c r="D6847" s="15"/>
      <c r="E6847" s="15"/>
      <c r="F6847" s="11">
        <f t="shared" si="53"/>
      </c>
      <c r="G6847" s="22" cm="1">
        <f t="array" ref="G6847">IF(AND(Inputs!$C$60,Inputs!$C$61),INDEX(Utility_Rates!$C$29:$F$52,HOUR(C6847)+Inputs!$C$69,MATCH(INDEX(Utility_Rates!$K$6:$K$17,MONTH(C6847))&amp;IF(WEEKDAY(C6847,Inputs!$C$76)&lt;=Inputs!$C$74," weekday"," weekend"),Utility_Rates!$C$28:$F$28,Inputs!$C$68)),"")</f>
      </c>
      <c r="H6847" s="34"/>
      <c r="I6847" s="42">
        <f>IF(AND(ISNUMBER(D6847),ISNUMBER(H6847)),D6847*H6847*Inputs!$C$69,"")</f>
      </c>
      <c r="J6847" s="42">
        <f>IF(AND(ISNUMBER(F6847),ISNUMBER(H6847),F6847&gt;=Inputs!$C$68),F6847*H6847*Inputs!$C$69,"")</f>
      </c>
    </row>
    <row r="6848" spans="2:10" ht="15" customHeight="1" x14ac:dyDescent="0.2">
      <c r="B6848" s="39">
        <f t="shared" si="52"/>
      </c>
      <c r="C6848" s="40">
        <f>IF(Inputs!$C$60,Inputs!$C$11+(B6848-Inputs!$C$69)/Inputs!$C$70,"")</f>
      </c>
      <c r="D6848" s="15"/>
      <c r="E6848" s="15"/>
      <c r="F6848" s="11">
        <f t="shared" si="53"/>
      </c>
      <c r="G6848" s="22" cm="1">
        <f t="array" ref="G6848">IF(AND(Inputs!$C$60,Inputs!$C$61),INDEX(Utility_Rates!$C$29:$F$52,HOUR(C6848)+Inputs!$C$69,MATCH(INDEX(Utility_Rates!$K$6:$K$17,MONTH(C6848))&amp;IF(WEEKDAY(C6848,Inputs!$C$76)&lt;=Inputs!$C$74," weekday"," weekend"),Utility_Rates!$C$28:$F$28,Inputs!$C$68)),"")</f>
      </c>
      <c r="H6848" s="34"/>
      <c r="I6848" s="42">
        <f>IF(AND(ISNUMBER(D6848),ISNUMBER(H6848)),D6848*H6848*Inputs!$C$69,"")</f>
      </c>
      <c r="J6848" s="42">
        <f>IF(AND(ISNUMBER(F6848),ISNUMBER(H6848),F6848&gt;=Inputs!$C$68),F6848*H6848*Inputs!$C$69,"")</f>
      </c>
    </row>
    <row r="6849" spans="2:10" ht="15" customHeight="1" x14ac:dyDescent="0.2">
      <c r="B6849" s="39">
        <f t="shared" si="52"/>
      </c>
      <c r="C6849" s="40">
        <f>IF(Inputs!$C$60,Inputs!$C$11+(B6849-Inputs!$C$69)/Inputs!$C$70,"")</f>
      </c>
      <c r="D6849" s="15"/>
      <c r="E6849" s="15"/>
      <c r="F6849" s="11">
        <f t="shared" si="53"/>
      </c>
      <c r="G6849" s="22" cm="1">
        <f t="array" ref="G6849">IF(AND(Inputs!$C$60,Inputs!$C$61),INDEX(Utility_Rates!$C$29:$F$52,HOUR(C6849)+Inputs!$C$69,MATCH(INDEX(Utility_Rates!$K$6:$K$17,MONTH(C6849))&amp;IF(WEEKDAY(C6849,Inputs!$C$76)&lt;=Inputs!$C$74," weekday"," weekend"),Utility_Rates!$C$28:$F$28,Inputs!$C$68)),"")</f>
      </c>
      <c r="H6849" s="34"/>
      <c r="I6849" s="42">
        <f>IF(AND(ISNUMBER(D6849),ISNUMBER(H6849)),D6849*H6849*Inputs!$C$69,"")</f>
      </c>
      <c r="J6849" s="42">
        <f>IF(AND(ISNUMBER(F6849),ISNUMBER(H6849),F6849&gt;=Inputs!$C$68),F6849*H6849*Inputs!$C$69,"")</f>
      </c>
    </row>
    <row r="6850" spans="2:10" ht="15" customHeight="1" x14ac:dyDescent="0.2">
      <c r="B6850" s="39">
        <f t="shared" si="52"/>
      </c>
      <c r="C6850" s="40">
        <f>IF(Inputs!$C$60,Inputs!$C$11+(B6850-Inputs!$C$69)/Inputs!$C$70,"")</f>
      </c>
      <c r="D6850" s="15"/>
      <c r="E6850" s="15"/>
      <c r="F6850" s="11">
        <f t="shared" si="53"/>
      </c>
      <c r="G6850" s="22" cm="1">
        <f t="array" ref="G6850">IF(AND(Inputs!$C$60,Inputs!$C$61),INDEX(Utility_Rates!$C$29:$F$52,HOUR(C6850)+Inputs!$C$69,MATCH(INDEX(Utility_Rates!$K$6:$K$17,MONTH(C6850))&amp;IF(WEEKDAY(C6850,Inputs!$C$76)&lt;=Inputs!$C$74," weekday"," weekend"),Utility_Rates!$C$28:$F$28,Inputs!$C$68)),"")</f>
      </c>
      <c r="H6850" s="34"/>
      <c r="I6850" s="42">
        <f>IF(AND(ISNUMBER(D6850),ISNUMBER(H6850)),D6850*H6850*Inputs!$C$69,"")</f>
      </c>
      <c r="J6850" s="42">
        <f>IF(AND(ISNUMBER(F6850),ISNUMBER(H6850),F6850&gt;=Inputs!$C$68),F6850*H6850*Inputs!$C$69,"")</f>
      </c>
    </row>
    <row r="6851" spans="2:10" ht="15" customHeight="1" x14ac:dyDescent="0.2">
      <c r="B6851" s="39">
        <f t="shared" si="52"/>
      </c>
      <c r="C6851" s="40">
        <f>IF(Inputs!$C$60,Inputs!$C$11+(B6851-Inputs!$C$69)/Inputs!$C$70,"")</f>
      </c>
      <c r="D6851" s="15"/>
      <c r="E6851" s="15"/>
      <c r="F6851" s="11">
        <f t="shared" si="53"/>
      </c>
      <c r="G6851" s="22" cm="1">
        <f t="array" ref="G6851">IF(AND(Inputs!$C$60,Inputs!$C$61),INDEX(Utility_Rates!$C$29:$F$52,HOUR(C6851)+Inputs!$C$69,MATCH(INDEX(Utility_Rates!$K$6:$K$17,MONTH(C6851))&amp;IF(WEEKDAY(C6851,Inputs!$C$76)&lt;=Inputs!$C$74," weekday"," weekend"),Utility_Rates!$C$28:$F$28,Inputs!$C$68)),"")</f>
      </c>
      <c r="H6851" s="34"/>
      <c r="I6851" s="42">
        <f>IF(AND(ISNUMBER(D6851),ISNUMBER(H6851)),D6851*H6851*Inputs!$C$69,"")</f>
      </c>
      <c r="J6851" s="42">
        <f>IF(AND(ISNUMBER(F6851),ISNUMBER(H6851),F6851&gt;=Inputs!$C$68),F6851*H6851*Inputs!$C$69,"")</f>
      </c>
    </row>
    <row r="6852" spans="2:10" ht="15" customHeight="1" x14ac:dyDescent="0.2">
      <c r="B6852" s="39">
        <f t="shared" si="52"/>
      </c>
      <c r="C6852" s="40">
        <f>IF(Inputs!$C$60,Inputs!$C$11+(B6852-Inputs!$C$69)/Inputs!$C$70,"")</f>
      </c>
      <c r="D6852" s="15"/>
      <c r="E6852" s="15"/>
      <c r="F6852" s="11">
        <f t="shared" si="53"/>
      </c>
      <c r="G6852" s="22" cm="1">
        <f t="array" ref="G6852">IF(AND(Inputs!$C$60,Inputs!$C$61),INDEX(Utility_Rates!$C$29:$F$52,HOUR(C6852)+Inputs!$C$69,MATCH(INDEX(Utility_Rates!$K$6:$K$17,MONTH(C6852))&amp;IF(WEEKDAY(C6852,Inputs!$C$76)&lt;=Inputs!$C$74," weekday"," weekend"),Utility_Rates!$C$28:$F$28,Inputs!$C$68)),"")</f>
      </c>
      <c r="H6852" s="34"/>
      <c r="I6852" s="42">
        <f>IF(AND(ISNUMBER(D6852),ISNUMBER(H6852)),D6852*H6852*Inputs!$C$69,"")</f>
      </c>
      <c r="J6852" s="42">
        <f>IF(AND(ISNUMBER(F6852),ISNUMBER(H6852),F6852&gt;=Inputs!$C$68),F6852*H6852*Inputs!$C$69,"")</f>
      </c>
    </row>
    <row r="6853" spans="2:10" ht="15" customHeight="1" x14ac:dyDescent="0.2">
      <c r="B6853" s="39">
        <f t="shared" si="52"/>
      </c>
      <c r="C6853" s="40">
        <f>IF(Inputs!$C$60,Inputs!$C$11+(B6853-Inputs!$C$69)/Inputs!$C$70,"")</f>
      </c>
      <c r="D6853" s="15"/>
      <c r="E6853" s="15"/>
      <c r="F6853" s="11">
        <f t="shared" si="53"/>
      </c>
      <c r="G6853" s="22" cm="1">
        <f t="array" ref="G6853">IF(AND(Inputs!$C$60,Inputs!$C$61),INDEX(Utility_Rates!$C$29:$F$52,HOUR(C6853)+Inputs!$C$69,MATCH(INDEX(Utility_Rates!$K$6:$K$17,MONTH(C6853))&amp;IF(WEEKDAY(C6853,Inputs!$C$76)&lt;=Inputs!$C$74," weekday"," weekend"),Utility_Rates!$C$28:$F$28,Inputs!$C$68)),"")</f>
      </c>
      <c r="H6853" s="34"/>
      <c r="I6853" s="42">
        <f>IF(AND(ISNUMBER(D6853),ISNUMBER(H6853)),D6853*H6853*Inputs!$C$69,"")</f>
      </c>
      <c r="J6853" s="42">
        <f>IF(AND(ISNUMBER(F6853),ISNUMBER(H6853),F6853&gt;=Inputs!$C$68),F6853*H6853*Inputs!$C$69,"")</f>
      </c>
    </row>
    <row r="6854" spans="2:10" ht="15" customHeight="1" x14ac:dyDescent="0.2">
      <c r="B6854" s="39">
        <f t="shared" si="52"/>
      </c>
      <c r="C6854" s="40">
        <f>IF(Inputs!$C$60,Inputs!$C$11+(B6854-Inputs!$C$69)/Inputs!$C$70,"")</f>
      </c>
      <c r="D6854" s="15"/>
      <c r="E6854" s="15"/>
      <c r="F6854" s="11">
        <f t="shared" si="53"/>
      </c>
      <c r="G6854" s="22" cm="1">
        <f t="array" ref="G6854">IF(AND(Inputs!$C$60,Inputs!$C$61),INDEX(Utility_Rates!$C$29:$F$52,HOUR(C6854)+Inputs!$C$69,MATCH(INDEX(Utility_Rates!$K$6:$K$17,MONTH(C6854))&amp;IF(WEEKDAY(C6854,Inputs!$C$76)&lt;=Inputs!$C$74," weekday"," weekend"),Utility_Rates!$C$28:$F$28,Inputs!$C$68)),"")</f>
      </c>
      <c r="H6854" s="34"/>
      <c r="I6854" s="42">
        <f>IF(AND(ISNUMBER(D6854),ISNUMBER(H6854)),D6854*H6854*Inputs!$C$69,"")</f>
      </c>
      <c r="J6854" s="42">
        <f>IF(AND(ISNUMBER(F6854),ISNUMBER(H6854),F6854&gt;=Inputs!$C$68),F6854*H6854*Inputs!$C$69,"")</f>
      </c>
    </row>
    <row r="6855" spans="2:10" ht="15" customHeight="1" x14ac:dyDescent="0.2">
      <c r="B6855" s="39">
        <f t="shared" si="52"/>
      </c>
      <c r="C6855" s="40">
        <f>IF(Inputs!$C$60,Inputs!$C$11+(B6855-Inputs!$C$69)/Inputs!$C$70,"")</f>
      </c>
      <c r="D6855" s="15"/>
      <c r="E6855" s="15"/>
      <c r="F6855" s="11">
        <f t="shared" si="53"/>
      </c>
      <c r="G6855" s="22" cm="1">
        <f t="array" ref="G6855">IF(AND(Inputs!$C$60,Inputs!$C$61),INDEX(Utility_Rates!$C$29:$F$52,HOUR(C6855)+Inputs!$C$69,MATCH(INDEX(Utility_Rates!$K$6:$K$17,MONTH(C6855))&amp;IF(WEEKDAY(C6855,Inputs!$C$76)&lt;=Inputs!$C$74," weekday"," weekend"),Utility_Rates!$C$28:$F$28,Inputs!$C$68)),"")</f>
      </c>
      <c r="H6855" s="34"/>
      <c r="I6855" s="42">
        <f>IF(AND(ISNUMBER(D6855),ISNUMBER(H6855)),D6855*H6855*Inputs!$C$69,"")</f>
      </c>
      <c r="J6855" s="42">
        <f>IF(AND(ISNUMBER(F6855),ISNUMBER(H6855),F6855&gt;=Inputs!$C$68),F6855*H6855*Inputs!$C$69,"")</f>
      </c>
    </row>
    <row r="6856" spans="2:10" ht="15" customHeight="1" x14ac:dyDescent="0.2">
      <c r="B6856" s="39">
        <f t="shared" si="52"/>
      </c>
      <c r="C6856" s="40">
        <f>IF(Inputs!$C$60,Inputs!$C$11+(B6856-Inputs!$C$69)/Inputs!$C$70,"")</f>
      </c>
      <c r="D6856" s="15"/>
      <c r="E6856" s="15"/>
      <c r="F6856" s="11">
        <f t="shared" si="53"/>
      </c>
      <c r="G6856" s="22" cm="1">
        <f t="array" ref="G6856">IF(AND(Inputs!$C$60,Inputs!$C$61),INDEX(Utility_Rates!$C$29:$F$52,HOUR(C6856)+Inputs!$C$69,MATCH(INDEX(Utility_Rates!$K$6:$K$17,MONTH(C6856))&amp;IF(WEEKDAY(C6856,Inputs!$C$76)&lt;=Inputs!$C$74," weekday"," weekend"),Utility_Rates!$C$28:$F$28,Inputs!$C$68)),"")</f>
      </c>
      <c r="H6856" s="34"/>
      <c r="I6856" s="42">
        <f>IF(AND(ISNUMBER(D6856),ISNUMBER(H6856)),D6856*H6856*Inputs!$C$69,"")</f>
      </c>
      <c r="J6856" s="42">
        <f>IF(AND(ISNUMBER(F6856),ISNUMBER(H6856),F6856&gt;=Inputs!$C$68),F6856*H6856*Inputs!$C$69,"")</f>
      </c>
    </row>
    <row r="6857" spans="2:10" ht="15" customHeight="1" x14ac:dyDescent="0.2">
      <c r="B6857" s="39">
        <f t="shared" si="52"/>
      </c>
      <c r="C6857" s="40">
        <f>IF(Inputs!$C$60,Inputs!$C$11+(B6857-Inputs!$C$69)/Inputs!$C$70,"")</f>
      </c>
      <c r="D6857" s="15"/>
      <c r="E6857" s="15"/>
      <c r="F6857" s="11">
        <f t="shared" si="53"/>
      </c>
      <c r="G6857" s="22" cm="1">
        <f t="array" ref="G6857">IF(AND(Inputs!$C$60,Inputs!$C$61),INDEX(Utility_Rates!$C$29:$F$52,HOUR(C6857)+Inputs!$C$69,MATCH(INDEX(Utility_Rates!$K$6:$K$17,MONTH(C6857))&amp;IF(WEEKDAY(C6857,Inputs!$C$76)&lt;=Inputs!$C$74," weekday"," weekend"),Utility_Rates!$C$28:$F$28,Inputs!$C$68)),"")</f>
      </c>
      <c r="H6857" s="34"/>
      <c r="I6857" s="42">
        <f>IF(AND(ISNUMBER(D6857),ISNUMBER(H6857)),D6857*H6857*Inputs!$C$69,"")</f>
      </c>
      <c r="J6857" s="42">
        <f>IF(AND(ISNUMBER(F6857),ISNUMBER(H6857),F6857&gt;=Inputs!$C$68),F6857*H6857*Inputs!$C$69,"")</f>
      </c>
    </row>
    <row r="6858" spans="2:10" ht="15" customHeight="1" x14ac:dyDescent="0.2">
      <c r="B6858" s="39">
        <f t="shared" si="52"/>
      </c>
      <c r="C6858" s="40">
        <f>IF(Inputs!$C$60,Inputs!$C$11+(B6858-Inputs!$C$69)/Inputs!$C$70,"")</f>
      </c>
      <c r="D6858" s="15"/>
      <c r="E6858" s="15"/>
      <c r="F6858" s="11">
        <f t="shared" si="53"/>
      </c>
      <c r="G6858" s="22" cm="1">
        <f t="array" ref="G6858">IF(AND(Inputs!$C$60,Inputs!$C$61),INDEX(Utility_Rates!$C$29:$F$52,HOUR(C6858)+Inputs!$C$69,MATCH(INDEX(Utility_Rates!$K$6:$K$17,MONTH(C6858))&amp;IF(WEEKDAY(C6858,Inputs!$C$76)&lt;=Inputs!$C$74," weekday"," weekend"),Utility_Rates!$C$28:$F$28,Inputs!$C$68)),"")</f>
      </c>
      <c r="H6858" s="34"/>
      <c r="I6858" s="42">
        <f>IF(AND(ISNUMBER(D6858),ISNUMBER(H6858)),D6858*H6858*Inputs!$C$69,"")</f>
      </c>
      <c r="J6858" s="42">
        <f>IF(AND(ISNUMBER(F6858),ISNUMBER(H6858),F6858&gt;=Inputs!$C$68),F6858*H6858*Inputs!$C$69,"")</f>
      </c>
    </row>
    <row r="6859" spans="2:10" ht="15" customHeight="1" x14ac:dyDescent="0.2">
      <c r="B6859" s="39">
        <f t="shared" si="52"/>
      </c>
      <c r="C6859" s="40">
        <f>IF(Inputs!$C$60,Inputs!$C$11+(B6859-Inputs!$C$69)/Inputs!$C$70,"")</f>
      </c>
      <c r="D6859" s="15"/>
      <c r="E6859" s="15"/>
      <c r="F6859" s="11">
        <f t="shared" si="53"/>
      </c>
      <c r="G6859" s="22" cm="1">
        <f t="array" ref="G6859">IF(AND(Inputs!$C$60,Inputs!$C$61),INDEX(Utility_Rates!$C$29:$F$52,HOUR(C6859)+Inputs!$C$69,MATCH(INDEX(Utility_Rates!$K$6:$K$17,MONTH(C6859))&amp;IF(WEEKDAY(C6859,Inputs!$C$76)&lt;=Inputs!$C$74," weekday"," weekend"),Utility_Rates!$C$28:$F$28,Inputs!$C$68)),"")</f>
      </c>
      <c r="H6859" s="34"/>
      <c r="I6859" s="42">
        <f>IF(AND(ISNUMBER(D6859),ISNUMBER(H6859)),D6859*H6859*Inputs!$C$69,"")</f>
      </c>
      <c r="J6859" s="42">
        <f>IF(AND(ISNUMBER(F6859),ISNUMBER(H6859),F6859&gt;=Inputs!$C$68),F6859*H6859*Inputs!$C$69,"")</f>
      </c>
    </row>
    <row r="6860" spans="2:10" ht="15" customHeight="1" x14ac:dyDescent="0.2">
      <c r="B6860" s="39">
        <f t="shared" si="52"/>
      </c>
      <c r="C6860" s="40">
        <f>IF(Inputs!$C$60,Inputs!$C$11+(B6860-Inputs!$C$69)/Inputs!$C$70,"")</f>
      </c>
      <c r="D6860" s="15"/>
      <c r="E6860" s="15"/>
      <c r="F6860" s="11">
        <f t="shared" si="53"/>
      </c>
      <c r="G6860" s="22" cm="1">
        <f t="array" ref="G6860">IF(AND(Inputs!$C$60,Inputs!$C$61),INDEX(Utility_Rates!$C$29:$F$52,HOUR(C6860)+Inputs!$C$69,MATCH(INDEX(Utility_Rates!$K$6:$K$17,MONTH(C6860))&amp;IF(WEEKDAY(C6860,Inputs!$C$76)&lt;=Inputs!$C$74," weekday"," weekend"),Utility_Rates!$C$28:$F$28,Inputs!$C$68)),"")</f>
      </c>
      <c r="H6860" s="34"/>
      <c r="I6860" s="42">
        <f>IF(AND(ISNUMBER(D6860),ISNUMBER(H6860)),D6860*H6860*Inputs!$C$69,"")</f>
      </c>
      <c r="J6860" s="42">
        <f>IF(AND(ISNUMBER(F6860),ISNUMBER(H6860),F6860&gt;=Inputs!$C$68),F6860*H6860*Inputs!$C$69,"")</f>
      </c>
    </row>
    <row r="6861" spans="2:10" ht="15" customHeight="1" x14ac:dyDescent="0.2">
      <c r="B6861" s="39">
        <f t="shared" si="52"/>
      </c>
      <c r="C6861" s="40">
        <f>IF(Inputs!$C$60,Inputs!$C$11+(B6861-Inputs!$C$69)/Inputs!$C$70,"")</f>
      </c>
      <c r="D6861" s="15"/>
      <c r="E6861" s="15"/>
      <c r="F6861" s="11">
        <f t="shared" si="53"/>
      </c>
      <c r="G6861" s="22" cm="1">
        <f t="array" ref="G6861">IF(AND(Inputs!$C$60,Inputs!$C$61),INDEX(Utility_Rates!$C$29:$F$52,HOUR(C6861)+Inputs!$C$69,MATCH(INDEX(Utility_Rates!$K$6:$K$17,MONTH(C6861))&amp;IF(WEEKDAY(C6861,Inputs!$C$76)&lt;=Inputs!$C$74," weekday"," weekend"),Utility_Rates!$C$28:$F$28,Inputs!$C$68)),"")</f>
      </c>
      <c r="H6861" s="34"/>
      <c r="I6861" s="42">
        <f>IF(AND(ISNUMBER(D6861),ISNUMBER(H6861)),D6861*H6861*Inputs!$C$69,"")</f>
      </c>
      <c r="J6861" s="42">
        <f>IF(AND(ISNUMBER(F6861),ISNUMBER(H6861),F6861&gt;=Inputs!$C$68),F6861*H6861*Inputs!$C$69,"")</f>
      </c>
    </row>
    <row r="6862" spans="2:10" ht="15" customHeight="1" x14ac:dyDescent="0.2">
      <c r="B6862" s="39">
        <f t="shared" si="52"/>
      </c>
      <c r="C6862" s="40">
        <f>IF(Inputs!$C$60,Inputs!$C$11+(B6862-Inputs!$C$69)/Inputs!$C$70,"")</f>
      </c>
      <c r="D6862" s="15"/>
      <c r="E6862" s="15"/>
      <c r="F6862" s="11">
        <f t="shared" si="53"/>
      </c>
      <c r="G6862" s="22" cm="1">
        <f t="array" ref="G6862">IF(AND(Inputs!$C$60,Inputs!$C$61),INDEX(Utility_Rates!$C$29:$F$52,HOUR(C6862)+Inputs!$C$69,MATCH(INDEX(Utility_Rates!$K$6:$K$17,MONTH(C6862))&amp;IF(WEEKDAY(C6862,Inputs!$C$76)&lt;=Inputs!$C$74," weekday"," weekend"),Utility_Rates!$C$28:$F$28,Inputs!$C$68)),"")</f>
      </c>
      <c r="H6862" s="34"/>
      <c r="I6862" s="42">
        <f>IF(AND(ISNUMBER(D6862),ISNUMBER(H6862)),D6862*H6862*Inputs!$C$69,"")</f>
      </c>
      <c r="J6862" s="42">
        <f>IF(AND(ISNUMBER(F6862),ISNUMBER(H6862),F6862&gt;=Inputs!$C$68),F6862*H6862*Inputs!$C$69,"")</f>
      </c>
    </row>
    <row r="6863" spans="2:10" ht="15" customHeight="1" x14ac:dyDescent="0.2">
      <c r="B6863" s="39">
        <f t="shared" si="52"/>
      </c>
      <c r="C6863" s="40">
        <f>IF(Inputs!$C$60,Inputs!$C$11+(B6863-Inputs!$C$69)/Inputs!$C$70,"")</f>
      </c>
      <c r="D6863" s="15"/>
      <c r="E6863" s="15"/>
      <c r="F6863" s="11">
        <f t="shared" si="53"/>
      </c>
      <c r="G6863" s="22" cm="1">
        <f t="array" ref="G6863">IF(AND(Inputs!$C$60,Inputs!$C$61),INDEX(Utility_Rates!$C$29:$F$52,HOUR(C6863)+Inputs!$C$69,MATCH(INDEX(Utility_Rates!$K$6:$K$17,MONTH(C6863))&amp;IF(WEEKDAY(C6863,Inputs!$C$76)&lt;=Inputs!$C$74," weekday"," weekend"),Utility_Rates!$C$28:$F$28,Inputs!$C$68)),"")</f>
      </c>
      <c r="H6863" s="34"/>
      <c r="I6863" s="42">
        <f>IF(AND(ISNUMBER(D6863),ISNUMBER(H6863)),D6863*H6863*Inputs!$C$69,"")</f>
      </c>
      <c r="J6863" s="42">
        <f>IF(AND(ISNUMBER(F6863),ISNUMBER(H6863),F6863&gt;=Inputs!$C$68),F6863*H6863*Inputs!$C$69,"")</f>
      </c>
    </row>
    <row r="6864" spans="2:10" ht="15" customHeight="1" x14ac:dyDescent="0.2">
      <c r="B6864" s="39">
        <f t="shared" si="52"/>
      </c>
      <c r="C6864" s="40">
        <f>IF(Inputs!$C$60,Inputs!$C$11+(B6864-Inputs!$C$69)/Inputs!$C$70,"")</f>
      </c>
      <c r="D6864" s="15"/>
      <c r="E6864" s="15"/>
      <c r="F6864" s="11">
        <f t="shared" si="53"/>
      </c>
      <c r="G6864" s="22" cm="1">
        <f t="array" ref="G6864">IF(AND(Inputs!$C$60,Inputs!$C$61),INDEX(Utility_Rates!$C$29:$F$52,HOUR(C6864)+Inputs!$C$69,MATCH(INDEX(Utility_Rates!$K$6:$K$17,MONTH(C6864))&amp;IF(WEEKDAY(C6864,Inputs!$C$76)&lt;=Inputs!$C$74," weekday"," weekend"),Utility_Rates!$C$28:$F$28,Inputs!$C$68)),"")</f>
      </c>
      <c r="H6864" s="34"/>
      <c r="I6864" s="42">
        <f>IF(AND(ISNUMBER(D6864),ISNUMBER(H6864)),D6864*H6864*Inputs!$C$69,"")</f>
      </c>
      <c r="J6864" s="42">
        <f>IF(AND(ISNUMBER(F6864),ISNUMBER(H6864),F6864&gt;=Inputs!$C$68),F6864*H6864*Inputs!$C$69,"")</f>
      </c>
    </row>
    <row r="6865" spans="2:10" ht="15" customHeight="1" x14ac:dyDescent="0.2">
      <c r="B6865" s="39">
        <f t="shared" si="52"/>
      </c>
      <c r="C6865" s="40">
        <f>IF(Inputs!$C$60,Inputs!$C$11+(B6865-Inputs!$C$69)/Inputs!$C$70,"")</f>
      </c>
      <c r="D6865" s="15"/>
      <c r="E6865" s="15"/>
      <c r="F6865" s="11">
        <f t="shared" si="53"/>
      </c>
      <c r="G6865" s="22" cm="1">
        <f t="array" ref="G6865">IF(AND(Inputs!$C$60,Inputs!$C$61),INDEX(Utility_Rates!$C$29:$F$52,HOUR(C6865)+Inputs!$C$69,MATCH(INDEX(Utility_Rates!$K$6:$K$17,MONTH(C6865))&amp;IF(WEEKDAY(C6865,Inputs!$C$76)&lt;=Inputs!$C$74," weekday"," weekend"),Utility_Rates!$C$28:$F$28,Inputs!$C$68)),"")</f>
      </c>
      <c r="H6865" s="34"/>
      <c r="I6865" s="42">
        <f>IF(AND(ISNUMBER(D6865),ISNUMBER(H6865)),D6865*H6865*Inputs!$C$69,"")</f>
      </c>
      <c r="J6865" s="42">
        <f>IF(AND(ISNUMBER(F6865),ISNUMBER(H6865),F6865&gt;=Inputs!$C$68),F6865*H6865*Inputs!$C$69,"")</f>
      </c>
    </row>
    <row r="6866" spans="2:10" ht="15" customHeight="1" x14ac:dyDescent="0.2">
      <c r="B6866" s="39">
        <f t="shared" si="52"/>
      </c>
      <c r="C6866" s="40">
        <f>IF(Inputs!$C$60,Inputs!$C$11+(B6866-Inputs!$C$69)/Inputs!$C$70,"")</f>
      </c>
      <c r="D6866" s="15"/>
      <c r="E6866" s="15"/>
      <c r="F6866" s="11">
        <f t="shared" si="53"/>
      </c>
      <c r="G6866" s="22" cm="1">
        <f t="array" ref="G6866">IF(AND(Inputs!$C$60,Inputs!$C$61),INDEX(Utility_Rates!$C$29:$F$52,HOUR(C6866)+Inputs!$C$69,MATCH(INDEX(Utility_Rates!$K$6:$K$17,MONTH(C6866))&amp;IF(WEEKDAY(C6866,Inputs!$C$76)&lt;=Inputs!$C$74," weekday"," weekend"),Utility_Rates!$C$28:$F$28,Inputs!$C$68)),"")</f>
      </c>
      <c r="H6866" s="34"/>
      <c r="I6866" s="42">
        <f>IF(AND(ISNUMBER(D6866),ISNUMBER(H6866)),D6866*H6866*Inputs!$C$69,"")</f>
      </c>
      <c r="J6866" s="42">
        <f>IF(AND(ISNUMBER(F6866),ISNUMBER(H6866),F6866&gt;=Inputs!$C$68),F6866*H6866*Inputs!$C$69,"")</f>
      </c>
    </row>
    <row r="6867" spans="2:10" ht="15" customHeight="1" x14ac:dyDescent="0.2">
      <c r="B6867" s="39">
        <f t="shared" si="52"/>
      </c>
      <c r="C6867" s="40">
        <f>IF(Inputs!$C$60,Inputs!$C$11+(B6867-Inputs!$C$69)/Inputs!$C$70,"")</f>
      </c>
      <c r="D6867" s="15"/>
      <c r="E6867" s="15"/>
      <c r="F6867" s="11">
        <f t="shared" si="53"/>
      </c>
      <c r="G6867" s="22" cm="1">
        <f t="array" ref="G6867">IF(AND(Inputs!$C$60,Inputs!$C$61),INDEX(Utility_Rates!$C$29:$F$52,HOUR(C6867)+Inputs!$C$69,MATCH(INDEX(Utility_Rates!$K$6:$K$17,MONTH(C6867))&amp;IF(WEEKDAY(C6867,Inputs!$C$76)&lt;=Inputs!$C$74," weekday"," weekend"),Utility_Rates!$C$28:$F$28,Inputs!$C$68)),"")</f>
      </c>
      <c r="H6867" s="34"/>
      <c r="I6867" s="42">
        <f>IF(AND(ISNUMBER(D6867),ISNUMBER(H6867)),D6867*H6867*Inputs!$C$69,"")</f>
      </c>
      <c r="J6867" s="42">
        <f>IF(AND(ISNUMBER(F6867),ISNUMBER(H6867),F6867&gt;=Inputs!$C$68),F6867*H6867*Inputs!$C$69,"")</f>
      </c>
    </row>
    <row r="6868" spans="2:10" ht="15" customHeight="1" x14ac:dyDescent="0.2">
      <c r="B6868" s="39">
        <f t="shared" si="52"/>
      </c>
      <c r="C6868" s="40">
        <f>IF(Inputs!$C$60,Inputs!$C$11+(B6868-Inputs!$C$69)/Inputs!$C$70,"")</f>
      </c>
      <c r="D6868" s="15"/>
      <c r="E6868" s="15"/>
      <c r="F6868" s="11">
        <f t="shared" si="53"/>
      </c>
      <c r="G6868" s="22" cm="1">
        <f t="array" ref="G6868">IF(AND(Inputs!$C$60,Inputs!$C$61),INDEX(Utility_Rates!$C$29:$F$52,HOUR(C6868)+Inputs!$C$69,MATCH(INDEX(Utility_Rates!$K$6:$K$17,MONTH(C6868))&amp;IF(WEEKDAY(C6868,Inputs!$C$76)&lt;=Inputs!$C$74," weekday"," weekend"),Utility_Rates!$C$28:$F$28,Inputs!$C$68)),"")</f>
      </c>
      <c r="H6868" s="34"/>
      <c r="I6868" s="42">
        <f>IF(AND(ISNUMBER(D6868),ISNUMBER(H6868)),D6868*H6868*Inputs!$C$69,"")</f>
      </c>
      <c r="J6868" s="42">
        <f>IF(AND(ISNUMBER(F6868),ISNUMBER(H6868),F6868&gt;=Inputs!$C$68),F6868*H6868*Inputs!$C$69,"")</f>
      </c>
    </row>
    <row r="6869" spans="2:10" ht="15" customHeight="1" x14ac:dyDescent="0.2">
      <c r="B6869" s="39">
        <f t="shared" si="52"/>
      </c>
      <c r="C6869" s="40">
        <f>IF(Inputs!$C$60,Inputs!$C$11+(B6869-Inputs!$C$69)/Inputs!$C$70,"")</f>
      </c>
      <c r="D6869" s="15"/>
      <c r="E6869" s="15"/>
      <c r="F6869" s="11">
        <f t="shared" si="53"/>
      </c>
      <c r="G6869" s="22" cm="1">
        <f t="array" ref="G6869">IF(AND(Inputs!$C$60,Inputs!$C$61),INDEX(Utility_Rates!$C$29:$F$52,HOUR(C6869)+Inputs!$C$69,MATCH(INDEX(Utility_Rates!$K$6:$K$17,MONTH(C6869))&amp;IF(WEEKDAY(C6869,Inputs!$C$76)&lt;=Inputs!$C$74," weekday"," weekend"),Utility_Rates!$C$28:$F$28,Inputs!$C$68)),"")</f>
      </c>
      <c r="H6869" s="34"/>
      <c r="I6869" s="42">
        <f>IF(AND(ISNUMBER(D6869),ISNUMBER(H6869)),D6869*H6869*Inputs!$C$69,"")</f>
      </c>
      <c r="J6869" s="42">
        <f>IF(AND(ISNUMBER(F6869),ISNUMBER(H6869),F6869&gt;=Inputs!$C$68),F6869*H6869*Inputs!$C$69,"")</f>
      </c>
    </row>
    <row r="6870" spans="2:10" ht="15" customHeight="1" x14ac:dyDescent="0.2">
      <c r="B6870" s="39">
        <f t="shared" si="52"/>
      </c>
      <c r="C6870" s="40">
        <f>IF(Inputs!$C$60,Inputs!$C$11+(B6870-Inputs!$C$69)/Inputs!$C$70,"")</f>
      </c>
      <c r="D6870" s="15"/>
      <c r="E6870" s="15"/>
      <c r="F6870" s="11">
        <f t="shared" si="53"/>
      </c>
      <c r="G6870" s="22" cm="1">
        <f t="array" ref="G6870">IF(AND(Inputs!$C$60,Inputs!$C$61),INDEX(Utility_Rates!$C$29:$F$52,HOUR(C6870)+Inputs!$C$69,MATCH(INDEX(Utility_Rates!$K$6:$K$17,MONTH(C6870))&amp;IF(WEEKDAY(C6870,Inputs!$C$76)&lt;=Inputs!$C$74," weekday"," weekend"),Utility_Rates!$C$28:$F$28,Inputs!$C$68)),"")</f>
      </c>
      <c r="H6870" s="34"/>
      <c r="I6870" s="42">
        <f>IF(AND(ISNUMBER(D6870),ISNUMBER(H6870)),D6870*H6870*Inputs!$C$69,"")</f>
      </c>
      <c r="J6870" s="42">
        <f>IF(AND(ISNUMBER(F6870),ISNUMBER(H6870),F6870&gt;=Inputs!$C$68),F6870*H6870*Inputs!$C$69,"")</f>
      </c>
    </row>
    <row r="6871" spans="2:10" ht="15" customHeight="1" x14ac:dyDescent="0.2">
      <c r="B6871" s="39">
        <f t="shared" si="52"/>
      </c>
      <c r="C6871" s="40">
        <f>IF(Inputs!$C$60,Inputs!$C$11+(B6871-Inputs!$C$69)/Inputs!$C$70,"")</f>
      </c>
      <c r="D6871" s="15"/>
      <c r="E6871" s="15"/>
      <c r="F6871" s="11">
        <f t="shared" si="53"/>
      </c>
      <c r="G6871" s="22" cm="1">
        <f t="array" ref="G6871">IF(AND(Inputs!$C$60,Inputs!$C$61),INDEX(Utility_Rates!$C$29:$F$52,HOUR(C6871)+Inputs!$C$69,MATCH(INDEX(Utility_Rates!$K$6:$K$17,MONTH(C6871))&amp;IF(WEEKDAY(C6871,Inputs!$C$76)&lt;=Inputs!$C$74," weekday"," weekend"),Utility_Rates!$C$28:$F$28,Inputs!$C$68)),"")</f>
      </c>
      <c r="H6871" s="34"/>
      <c r="I6871" s="42">
        <f>IF(AND(ISNUMBER(D6871),ISNUMBER(H6871)),D6871*H6871*Inputs!$C$69,"")</f>
      </c>
      <c r="J6871" s="42">
        <f>IF(AND(ISNUMBER(F6871),ISNUMBER(H6871),F6871&gt;=Inputs!$C$68),F6871*H6871*Inputs!$C$69,"")</f>
      </c>
    </row>
    <row r="6872" spans="2:10" ht="15" customHeight="1" x14ac:dyDescent="0.2">
      <c r="B6872" s="39">
        <f t="shared" si="52"/>
      </c>
      <c r="C6872" s="40">
        <f>IF(Inputs!$C$60,Inputs!$C$11+(B6872-Inputs!$C$69)/Inputs!$C$70,"")</f>
      </c>
      <c r="D6872" s="15"/>
      <c r="E6872" s="15"/>
      <c r="F6872" s="11">
        <f t="shared" si="53"/>
      </c>
      <c r="G6872" s="22" cm="1">
        <f t="array" ref="G6872">IF(AND(Inputs!$C$60,Inputs!$C$61),INDEX(Utility_Rates!$C$29:$F$52,HOUR(C6872)+Inputs!$C$69,MATCH(INDEX(Utility_Rates!$K$6:$K$17,MONTH(C6872))&amp;IF(WEEKDAY(C6872,Inputs!$C$76)&lt;=Inputs!$C$74," weekday"," weekend"),Utility_Rates!$C$28:$F$28,Inputs!$C$68)),"")</f>
      </c>
      <c r="H6872" s="34"/>
      <c r="I6872" s="42">
        <f>IF(AND(ISNUMBER(D6872),ISNUMBER(H6872)),D6872*H6872*Inputs!$C$69,"")</f>
      </c>
      <c r="J6872" s="42">
        <f>IF(AND(ISNUMBER(F6872),ISNUMBER(H6872),F6872&gt;=Inputs!$C$68),F6872*H6872*Inputs!$C$69,"")</f>
      </c>
    </row>
    <row r="6873" spans="2:10" ht="15" customHeight="1" x14ac:dyDescent="0.2">
      <c r="B6873" s="39">
        <f t="shared" si="52"/>
      </c>
      <c r="C6873" s="40">
        <f>IF(Inputs!$C$60,Inputs!$C$11+(B6873-Inputs!$C$69)/Inputs!$C$70,"")</f>
      </c>
      <c r="D6873" s="15"/>
      <c r="E6873" s="15"/>
      <c r="F6873" s="11">
        <f t="shared" si="53"/>
      </c>
      <c r="G6873" s="22" cm="1">
        <f t="array" ref="G6873">IF(AND(Inputs!$C$60,Inputs!$C$61),INDEX(Utility_Rates!$C$29:$F$52,HOUR(C6873)+Inputs!$C$69,MATCH(INDEX(Utility_Rates!$K$6:$K$17,MONTH(C6873))&amp;IF(WEEKDAY(C6873,Inputs!$C$76)&lt;=Inputs!$C$74," weekday"," weekend"),Utility_Rates!$C$28:$F$28,Inputs!$C$68)),"")</f>
      </c>
      <c r="H6873" s="34"/>
      <c r="I6873" s="42">
        <f>IF(AND(ISNUMBER(D6873),ISNUMBER(H6873)),D6873*H6873*Inputs!$C$69,"")</f>
      </c>
      <c r="J6873" s="42">
        <f>IF(AND(ISNUMBER(F6873),ISNUMBER(H6873),F6873&gt;=Inputs!$C$68),F6873*H6873*Inputs!$C$69,"")</f>
      </c>
    </row>
    <row r="6874" spans="2:10" ht="15" customHeight="1" x14ac:dyDescent="0.2">
      <c r="B6874" s="39">
        <f t="shared" si="52"/>
      </c>
      <c r="C6874" s="40">
        <f>IF(Inputs!$C$60,Inputs!$C$11+(B6874-Inputs!$C$69)/Inputs!$C$70,"")</f>
      </c>
      <c r="D6874" s="15"/>
      <c r="E6874" s="15"/>
      <c r="F6874" s="11">
        <f t="shared" si="53"/>
      </c>
      <c r="G6874" s="22" cm="1">
        <f t="array" ref="G6874">IF(AND(Inputs!$C$60,Inputs!$C$61),INDEX(Utility_Rates!$C$29:$F$52,HOUR(C6874)+Inputs!$C$69,MATCH(INDEX(Utility_Rates!$K$6:$K$17,MONTH(C6874))&amp;IF(WEEKDAY(C6874,Inputs!$C$76)&lt;=Inputs!$C$74," weekday"," weekend"),Utility_Rates!$C$28:$F$28,Inputs!$C$68)),"")</f>
      </c>
      <c r="H6874" s="34"/>
      <c r="I6874" s="42">
        <f>IF(AND(ISNUMBER(D6874),ISNUMBER(H6874)),D6874*H6874*Inputs!$C$69,"")</f>
      </c>
      <c r="J6874" s="42">
        <f>IF(AND(ISNUMBER(F6874),ISNUMBER(H6874),F6874&gt;=Inputs!$C$68),F6874*H6874*Inputs!$C$69,"")</f>
      </c>
    </row>
    <row r="6875" spans="2:10" ht="15" customHeight="1" x14ac:dyDescent="0.2">
      <c r="B6875" s="39">
        <f t="shared" si="52"/>
      </c>
      <c r="C6875" s="40">
        <f>IF(Inputs!$C$60,Inputs!$C$11+(B6875-Inputs!$C$69)/Inputs!$C$70,"")</f>
      </c>
      <c r="D6875" s="15"/>
      <c r="E6875" s="15"/>
      <c r="F6875" s="11">
        <f t="shared" si="53"/>
      </c>
      <c r="G6875" s="22" cm="1">
        <f t="array" ref="G6875">IF(AND(Inputs!$C$60,Inputs!$C$61),INDEX(Utility_Rates!$C$29:$F$52,HOUR(C6875)+Inputs!$C$69,MATCH(INDEX(Utility_Rates!$K$6:$K$17,MONTH(C6875))&amp;IF(WEEKDAY(C6875,Inputs!$C$76)&lt;=Inputs!$C$74," weekday"," weekend"),Utility_Rates!$C$28:$F$28,Inputs!$C$68)),"")</f>
      </c>
      <c r="H6875" s="34"/>
      <c r="I6875" s="42">
        <f>IF(AND(ISNUMBER(D6875),ISNUMBER(H6875)),D6875*H6875*Inputs!$C$69,"")</f>
      </c>
      <c r="J6875" s="42">
        <f>IF(AND(ISNUMBER(F6875),ISNUMBER(H6875),F6875&gt;=Inputs!$C$68),F6875*H6875*Inputs!$C$69,"")</f>
      </c>
    </row>
    <row r="6876" spans="2:10" ht="15" customHeight="1" x14ac:dyDescent="0.2">
      <c r="B6876" s="39">
        <f t="shared" si="52"/>
      </c>
      <c r="C6876" s="40">
        <f>IF(Inputs!$C$60,Inputs!$C$11+(B6876-Inputs!$C$69)/Inputs!$C$70,"")</f>
      </c>
      <c r="D6876" s="15"/>
      <c r="E6876" s="15"/>
      <c r="F6876" s="11">
        <f t="shared" si="53"/>
      </c>
      <c r="G6876" s="22" cm="1">
        <f t="array" ref="G6876">IF(AND(Inputs!$C$60,Inputs!$C$61),INDEX(Utility_Rates!$C$29:$F$52,HOUR(C6876)+Inputs!$C$69,MATCH(INDEX(Utility_Rates!$K$6:$K$17,MONTH(C6876))&amp;IF(WEEKDAY(C6876,Inputs!$C$76)&lt;=Inputs!$C$74," weekday"," weekend"),Utility_Rates!$C$28:$F$28,Inputs!$C$68)),"")</f>
      </c>
      <c r="H6876" s="34"/>
      <c r="I6876" s="42">
        <f>IF(AND(ISNUMBER(D6876),ISNUMBER(H6876)),D6876*H6876*Inputs!$C$69,"")</f>
      </c>
      <c r="J6876" s="42">
        <f>IF(AND(ISNUMBER(F6876),ISNUMBER(H6876),F6876&gt;=Inputs!$C$68),F6876*H6876*Inputs!$C$69,"")</f>
      </c>
    </row>
    <row r="6877" spans="2:10" ht="15" customHeight="1" x14ac:dyDescent="0.2">
      <c r="B6877" s="39">
        <f t="shared" si="52"/>
      </c>
      <c r="C6877" s="40">
        <f>IF(Inputs!$C$60,Inputs!$C$11+(B6877-Inputs!$C$69)/Inputs!$C$70,"")</f>
      </c>
      <c r="D6877" s="15"/>
      <c r="E6877" s="15"/>
      <c r="F6877" s="11">
        <f t="shared" si="53"/>
      </c>
      <c r="G6877" s="22" cm="1">
        <f t="array" ref="G6877">IF(AND(Inputs!$C$60,Inputs!$C$61),INDEX(Utility_Rates!$C$29:$F$52,HOUR(C6877)+Inputs!$C$69,MATCH(INDEX(Utility_Rates!$K$6:$K$17,MONTH(C6877))&amp;IF(WEEKDAY(C6877,Inputs!$C$76)&lt;=Inputs!$C$74," weekday"," weekend"),Utility_Rates!$C$28:$F$28,Inputs!$C$68)),"")</f>
      </c>
      <c r="H6877" s="34"/>
      <c r="I6877" s="42">
        <f>IF(AND(ISNUMBER(D6877),ISNUMBER(H6877)),D6877*H6877*Inputs!$C$69,"")</f>
      </c>
      <c r="J6877" s="42">
        <f>IF(AND(ISNUMBER(F6877),ISNUMBER(H6877),F6877&gt;=Inputs!$C$68),F6877*H6877*Inputs!$C$69,"")</f>
      </c>
    </row>
    <row r="6878" spans="2:10" ht="15" customHeight="1" x14ac:dyDescent="0.2">
      <c r="B6878" s="39">
        <f t="shared" si="52"/>
      </c>
      <c r="C6878" s="40">
        <f>IF(Inputs!$C$60,Inputs!$C$11+(B6878-Inputs!$C$69)/Inputs!$C$70,"")</f>
      </c>
      <c r="D6878" s="15"/>
      <c r="E6878" s="15"/>
      <c r="F6878" s="11">
        <f t="shared" si="53"/>
      </c>
      <c r="G6878" s="22" cm="1">
        <f t="array" ref="G6878">IF(AND(Inputs!$C$60,Inputs!$C$61),INDEX(Utility_Rates!$C$29:$F$52,HOUR(C6878)+Inputs!$C$69,MATCH(INDEX(Utility_Rates!$K$6:$K$17,MONTH(C6878))&amp;IF(WEEKDAY(C6878,Inputs!$C$76)&lt;=Inputs!$C$74," weekday"," weekend"),Utility_Rates!$C$28:$F$28,Inputs!$C$68)),"")</f>
      </c>
      <c r="H6878" s="34"/>
      <c r="I6878" s="42">
        <f>IF(AND(ISNUMBER(D6878),ISNUMBER(H6878)),D6878*H6878*Inputs!$C$69,"")</f>
      </c>
      <c r="J6878" s="42">
        <f>IF(AND(ISNUMBER(F6878),ISNUMBER(H6878),F6878&gt;=Inputs!$C$68),F6878*H6878*Inputs!$C$69,"")</f>
      </c>
    </row>
    <row r="6879" spans="2:10" ht="15" customHeight="1" x14ac:dyDescent="0.2">
      <c r="B6879" s="39">
        <f t="shared" si="52"/>
      </c>
      <c r="C6879" s="40">
        <f>IF(Inputs!$C$60,Inputs!$C$11+(B6879-Inputs!$C$69)/Inputs!$C$70,"")</f>
      </c>
      <c r="D6879" s="15"/>
      <c r="E6879" s="15"/>
      <c r="F6879" s="11">
        <f t="shared" si="53"/>
      </c>
      <c r="G6879" s="22" cm="1">
        <f t="array" ref="G6879">IF(AND(Inputs!$C$60,Inputs!$C$61),INDEX(Utility_Rates!$C$29:$F$52,HOUR(C6879)+Inputs!$C$69,MATCH(INDEX(Utility_Rates!$K$6:$K$17,MONTH(C6879))&amp;IF(WEEKDAY(C6879,Inputs!$C$76)&lt;=Inputs!$C$74," weekday"," weekend"),Utility_Rates!$C$28:$F$28,Inputs!$C$68)),"")</f>
      </c>
      <c r="H6879" s="34"/>
      <c r="I6879" s="42">
        <f>IF(AND(ISNUMBER(D6879),ISNUMBER(H6879)),D6879*H6879*Inputs!$C$69,"")</f>
      </c>
      <c r="J6879" s="42">
        <f>IF(AND(ISNUMBER(F6879),ISNUMBER(H6879),F6879&gt;=Inputs!$C$68),F6879*H6879*Inputs!$C$69,"")</f>
      </c>
    </row>
    <row r="6880" spans="2:10" ht="15" customHeight="1" x14ac:dyDescent="0.2">
      <c r="B6880" s="39">
        <f t="shared" si="52"/>
      </c>
      <c r="C6880" s="40">
        <f>IF(Inputs!$C$60,Inputs!$C$11+(B6880-Inputs!$C$69)/Inputs!$C$70,"")</f>
      </c>
      <c r="D6880" s="15"/>
      <c r="E6880" s="15"/>
      <c r="F6880" s="11">
        <f t="shared" si="53"/>
      </c>
      <c r="G6880" s="22" cm="1">
        <f t="array" ref="G6880">IF(AND(Inputs!$C$60,Inputs!$C$61),INDEX(Utility_Rates!$C$29:$F$52,HOUR(C6880)+Inputs!$C$69,MATCH(INDEX(Utility_Rates!$K$6:$K$17,MONTH(C6880))&amp;IF(WEEKDAY(C6880,Inputs!$C$76)&lt;=Inputs!$C$74," weekday"," weekend"),Utility_Rates!$C$28:$F$28,Inputs!$C$68)),"")</f>
      </c>
      <c r="H6880" s="34"/>
      <c r="I6880" s="42">
        <f>IF(AND(ISNUMBER(D6880),ISNUMBER(H6880)),D6880*H6880*Inputs!$C$69,"")</f>
      </c>
      <c r="J6880" s="42">
        <f>IF(AND(ISNUMBER(F6880),ISNUMBER(H6880),F6880&gt;=Inputs!$C$68),F6880*H6880*Inputs!$C$69,"")</f>
      </c>
    </row>
    <row r="6881" spans="2:10" ht="15" customHeight="1" x14ac:dyDescent="0.2">
      <c r="B6881" s="39">
        <f t="shared" si="52"/>
      </c>
      <c r="C6881" s="40">
        <f>IF(Inputs!$C$60,Inputs!$C$11+(B6881-Inputs!$C$69)/Inputs!$C$70,"")</f>
      </c>
      <c r="D6881" s="15"/>
      <c r="E6881" s="15"/>
      <c r="F6881" s="11">
        <f t="shared" si="53"/>
      </c>
      <c r="G6881" s="22" cm="1">
        <f t="array" ref="G6881">IF(AND(Inputs!$C$60,Inputs!$C$61),INDEX(Utility_Rates!$C$29:$F$52,HOUR(C6881)+Inputs!$C$69,MATCH(INDEX(Utility_Rates!$K$6:$K$17,MONTH(C6881))&amp;IF(WEEKDAY(C6881,Inputs!$C$76)&lt;=Inputs!$C$74," weekday"," weekend"),Utility_Rates!$C$28:$F$28,Inputs!$C$68)),"")</f>
      </c>
      <c r="H6881" s="34"/>
      <c r="I6881" s="42">
        <f>IF(AND(ISNUMBER(D6881),ISNUMBER(H6881)),D6881*H6881*Inputs!$C$69,"")</f>
      </c>
      <c r="J6881" s="42">
        <f>IF(AND(ISNUMBER(F6881),ISNUMBER(H6881),F6881&gt;=Inputs!$C$68),F6881*H6881*Inputs!$C$69,"")</f>
      </c>
    </row>
    <row r="6882" spans="2:10" ht="15" customHeight="1" x14ac:dyDescent="0.2">
      <c r="B6882" s="39">
        <f t="shared" si="52"/>
      </c>
      <c r="C6882" s="40">
        <f>IF(Inputs!$C$60,Inputs!$C$11+(B6882-Inputs!$C$69)/Inputs!$C$70,"")</f>
      </c>
      <c r="D6882" s="15"/>
      <c r="E6882" s="15"/>
      <c r="F6882" s="11">
        <f t="shared" si="53"/>
      </c>
      <c r="G6882" s="22" cm="1">
        <f t="array" ref="G6882">IF(AND(Inputs!$C$60,Inputs!$C$61),INDEX(Utility_Rates!$C$29:$F$52,HOUR(C6882)+Inputs!$C$69,MATCH(INDEX(Utility_Rates!$K$6:$K$17,MONTH(C6882))&amp;IF(WEEKDAY(C6882,Inputs!$C$76)&lt;=Inputs!$C$74," weekday"," weekend"),Utility_Rates!$C$28:$F$28,Inputs!$C$68)),"")</f>
      </c>
      <c r="H6882" s="34"/>
      <c r="I6882" s="42">
        <f>IF(AND(ISNUMBER(D6882),ISNUMBER(H6882)),D6882*H6882*Inputs!$C$69,"")</f>
      </c>
      <c r="J6882" s="42">
        <f>IF(AND(ISNUMBER(F6882),ISNUMBER(H6882),F6882&gt;=Inputs!$C$68),F6882*H6882*Inputs!$C$69,"")</f>
      </c>
    </row>
    <row r="6883" spans="2:10" ht="15" customHeight="1" x14ac:dyDescent="0.2">
      <c r="B6883" s="39">
        <f t="shared" si="52"/>
      </c>
      <c r="C6883" s="40">
        <f>IF(Inputs!$C$60,Inputs!$C$11+(B6883-Inputs!$C$69)/Inputs!$C$70,"")</f>
      </c>
      <c r="D6883" s="15"/>
      <c r="E6883" s="15"/>
      <c r="F6883" s="11">
        <f t="shared" si="53"/>
      </c>
      <c r="G6883" s="22" cm="1">
        <f t="array" ref="G6883">IF(AND(Inputs!$C$60,Inputs!$C$61),INDEX(Utility_Rates!$C$29:$F$52,HOUR(C6883)+Inputs!$C$69,MATCH(INDEX(Utility_Rates!$K$6:$K$17,MONTH(C6883))&amp;IF(WEEKDAY(C6883,Inputs!$C$76)&lt;=Inputs!$C$74," weekday"," weekend"),Utility_Rates!$C$28:$F$28,Inputs!$C$68)),"")</f>
      </c>
      <c r="H6883" s="34"/>
      <c r="I6883" s="42">
        <f>IF(AND(ISNUMBER(D6883),ISNUMBER(H6883)),D6883*H6883*Inputs!$C$69,"")</f>
      </c>
      <c r="J6883" s="42">
        <f>IF(AND(ISNUMBER(F6883),ISNUMBER(H6883),F6883&gt;=Inputs!$C$68),F6883*H6883*Inputs!$C$69,"")</f>
      </c>
    </row>
    <row r="6884" spans="2:10" ht="15" customHeight="1" x14ac:dyDescent="0.2">
      <c r="B6884" s="39">
        <f t="shared" si="52"/>
      </c>
      <c r="C6884" s="40">
        <f>IF(Inputs!$C$60,Inputs!$C$11+(B6884-Inputs!$C$69)/Inputs!$C$70,"")</f>
      </c>
      <c r="D6884" s="15"/>
      <c r="E6884" s="15"/>
      <c r="F6884" s="11">
        <f t="shared" si="53"/>
      </c>
      <c r="G6884" s="22" cm="1">
        <f t="array" ref="G6884">IF(AND(Inputs!$C$60,Inputs!$C$61),INDEX(Utility_Rates!$C$29:$F$52,HOUR(C6884)+Inputs!$C$69,MATCH(INDEX(Utility_Rates!$K$6:$K$17,MONTH(C6884))&amp;IF(WEEKDAY(C6884,Inputs!$C$76)&lt;=Inputs!$C$74," weekday"," weekend"),Utility_Rates!$C$28:$F$28,Inputs!$C$68)),"")</f>
      </c>
      <c r="H6884" s="34"/>
      <c r="I6884" s="42">
        <f>IF(AND(ISNUMBER(D6884),ISNUMBER(H6884)),D6884*H6884*Inputs!$C$69,"")</f>
      </c>
      <c r="J6884" s="42">
        <f>IF(AND(ISNUMBER(F6884),ISNUMBER(H6884),F6884&gt;=Inputs!$C$68),F6884*H6884*Inputs!$C$69,"")</f>
      </c>
    </row>
    <row r="6885" spans="2:10" ht="15" customHeight="1" x14ac:dyDescent="0.2">
      <c r="B6885" s="39">
        <f t="shared" si="52"/>
      </c>
      <c r="C6885" s="40">
        <f>IF(Inputs!$C$60,Inputs!$C$11+(B6885-Inputs!$C$69)/Inputs!$C$70,"")</f>
      </c>
      <c r="D6885" s="15"/>
      <c r="E6885" s="15"/>
      <c r="F6885" s="11">
        <f t="shared" si="53"/>
      </c>
      <c r="G6885" s="22" cm="1">
        <f t="array" ref="G6885">IF(AND(Inputs!$C$60,Inputs!$C$61),INDEX(Utility_Rates!$C$29:$F$52,HOUR(C6885)+Inputs!$C$69,MATCH(INDEX(Utility_Rates!$K$6:$K$17,MONTH(C6885))&amp;IF(WEEKDAY(C6885,Inputs!$C$76)&lt;=Inputs!$C$74," weekday"," weekend"),Utility_Rates!$C$28:$F$28,Inputs!$C$68)),"")</f>
      </c>
      <c r="H6885" s="34"/>
      <c r="I6885" s="42">
        <f>IF(AND(ISNUMBER(D6885),ISNUMBER(H6885)),D6885*H6885*Inputs!$C$69,"")</f>
      </c>
      <c r="J6885" s="42">
        <f>IF(AND(ISNUMBER(F6885),ISNUMBER(H6885),F6885&gt;=Inputs!$C$68),F6885*H6885*Inputs!$C$69,"")</f>
      </c>
    </row>
    <row r="6886" spans="2:10" ht="15" customHeight="1" x14ac:dyDescent="0.2">
      <c r="B6886" s="39">
        <f t="shared" si="52"/>
      </c>
      <c r="C6886" s="40">
        <f>IF(Inputs!$C$60,Inputs!$C$11+(B6886-Inputs!$C$69)/Inputs!$C$70,"")</f>
      </c>
      <c r="D6886" s="15"/>
      <c r="E6886" s="15"/>
      <c r="F6886" s="11">
        <f t="shared" si="53"/>
      </c>
      <c r="G6886" s="22" cm="1">
        <f t="array" ref="G6886">IF(AND(Inputs!$C$60,Inputs!$C$61),INDEX(Utility_Rates!$C$29:$F$52,HOUR(C6886)+Inputs!$C$69,MATCH(INDEX(Utility_Rates!$K$6:$K$17,MONTH(C6886))&amp;IF(WEEKDAY(C6886,Inputs!$C$76)&lt;=Inputs!$C$74," weekday"," weekend"),Utility_Rates!$C$28:$F$28,Inputs!$C$68)),"")</f>
      </c>
      <c r="H6886" s="34"/>
      <c r="I6886" s="42">
        <f>IF(AND(ISNUMBER(D6886),ISNUMBER(H6886)),D6886*H6886*Inputs!$C$69,"")</f>
      </c>
      <c r="J6886" s="42">
        <f>IF(AND(ISNUMBER(F6886),ISNUMBER(H6886),F6886&gt;=Inputs!$C$68),F6886*H6886*Inputs!$C$69,"")</f>
      </c>
    </row>
    <row r="6887" spans="2:10" ht="15" customHeight="1" x14ac:dyDescent="0.2">
      <c r="B6887" s="39">
        <f t="shared" si="52"/>
      </c>
      <c r="C6887" s="40">
        <f>IF(Inputs!$C$60,Inputs!$C$11+(B6887-Inputs!$C$69)/Inputs!$C$70,"")</f>
      </c>
      <c r="D6887" s="15"/>
      <c r="E6887" s="15"/>
      <c r="F6887" s="11">
        <f t="shared" si="53"/>
      </c>
      <c r="G6887" s="22" cm="1">
        <f t="array" ref="G6887">IF(AND(Inputs!$C$60,Inputs!$C$61),INDEX(Utility_Rates!$C$29:$F$52,HOUR(C6887)+Inputs!$C$69,MATCH(INDEX(Utility_Rates!$K$6:$K$17,MONTH(C6887))&amp;IF(WEEKDAY(C6887,Inputs!$C$76)&lt;=Inputs!$C$74," weekday"," weekend"),Utility_Rates!$C$28:$F$28,Inputs!$C$68)),"")</f>
      </c>
      <c r="H6887" s="34"/>
      <c r="I6887" s="42">
        <f>IF(AND(ISNUMBER(D6887),ISNUMBER(H6887)),D6887*H6887*Inputs!$C$69,"")</f>
      </c>
      <c r="J6887" s="42">
        <f>IF(AND(ISNUMBER(F6887),ISNUMBER(H6887),F6887&gt;=Inputs!$C$68),F6887*H6887*Inputs!$C$69,"")</f>
      </c>
    </row>
    <row r="6888" spans="2:10" ht="15" customHeight="1" x14ac:dyDescent="0.2">
      <c r="B6888" s="39">
        <f t="shared" si="52"/>
      </c>
      <c r="C6888" s="40">
        <f>IF(Inputs!$C$60,Inputs!$C$11+(B6888-Inputs!$C$69)/Inputs!$C$70,"")</f>
      </c>
      <c r="D6888" s="15"/>
      <c r="E6888" s="15"/>
      <c r="F6888" s="11">
        <f t="shared" si="53"/>
      </c>
      <c r="G6888" s="22" cm="1">
        <f t="array" ref="G6888">IF(AND(Inputs!$C$60,Inputs!$C$61),INDEX(Utility_Rates!$C$29:$F$52,HOUR(C6888)+Inputs!$C$69,MATCH(INDEX(Utility_Rates!$K$6:$K$17,MONTH(C6888))&amp;IF(WEEKDAY(C6888,Inputs!$C$76)&lt;=Inputs!$C$74," weekday"," weekend"),Utility_Rates!$C$28:$F$28,Inputs!$C$68)),"")</f>
      </c>
      <c r="H6888" s="34"/>
      <c r="I6888" s="42">
        <f>IF(AND(ISNUMBER(D6888),ISNUMBER(H6888)),D6888*H6888*Inputs!$C$69,"")</f>
      </c>
      <c r="J6888" s="42">
        <f>IF(AND(ISNUMBER(F6888),ISNUMBER(H6888),F6888&gt;=Inputs!$C$68),F6888*H6888*Inputs!$C$69,"")</f>
      </c>
    </row>
    <row r="6889" spans="2:10" ht="15" customHeight="1" x14ac:dyDescent="0.2">
      <c r="B6889" s="39">
        <f t="shared" si="52"/>
      </c>
      <c r="C6889" s="40">
        <f>IF(Inputs!$C$60,Inputs!$C$11+(B6889-Inputs!$C$69)/Inputs!$C$70,"")</f>
      </c>
      <c r="D6889" s="15"/>
      <c r="E6889" s="15"/>
      <c r="F6889" s="11">
        <f t="shared" si="53"/>
      </c>
      <c r="G6889" s="22" cm="1">
        <f t="array" ref="G6889">IF(AND(Inputs!$C$60,Inputs!$C$61),INDEX(Utility_Rates!$C$29:$F$52,HOUR(C6889)+Inputs!$C$69,MATCH(INDEX(Utility_Rates!$K$6:$K$17,MONTH(C6889))&amp;IF(WEEKDAY(C6889,Inputs!$C$76)&lt;=Inputs!$C$74," weekday"," weekend"),Utility_Rates!$C$28:$F$28,Inputs!$C$68)),"")</f>
      </c>
      <c r="H6889" s="34"/>
      <c r="I6889" s="42">
        <f>IF(AND(ISNUMBER(D6889),ISNUMBER(H6889)),D6889*H6889*Inputs!$C$69,"")</f>
      </c>
      <c r="J6889" s="42">
        <f>IF(AND(ISNUMBER(F6889),ISNUMBER(H6889),F6889&gt;=Inputs!$C$68),F6889*H6889*Inputs!$C$69,"")</f>
      </c>
    </row>
    <row r="6890" spans="2:10" ht="15" customHeight="1" x14ac:dyDescent="0.2">
      <c r="B6890" s="39">
        <f t="shared" si="52"/>
      </c>
      <c r="C6890" s="40">
        <f>IF(Inputs!$C$60,Inputs!$C$11+(B6890-Inputs!$C$69)/Inputs!$C$70,"")</f>
      </c>
      <c r="D6890" s="15"/>
      <c r="E6890" s="15"/>
      <c r="F6890" s="11">
        <f t="shared" si="53"/>
      </c>
      <c r="G6890" s="22" cm="1">
        <f t="array" ref="G6890">IF(AND(Inputs!$C$60,Inputs!$C$61),INDEX(Utility_Rates!$C$29:$F$52,HOUR(C6890)+Inputs!$C$69,MATCH(INDEX(Utility_Rates!$K$6:$K$17,MONTH(C6890))&amp;IF(WEEKDAY(C6890,Inputs!$C$76)&lt;=Inputs!$C$74," weekday"," weekend"),Utility_Rates!$C$28:$F$28,Inputs!$C$68)),"")</f>
      </c>
      <c r="H6890" s="34"/>
      <c r="I6890" s="42">
        <f>IF(AND(ISNUMBER(D6890),ISNUMBER(H6890)),D6890*H6890*Inputs!$C$69,"")</f>
      </c>
      <c r="J6890" s="42">
        <f>IF(AND(ISNUMBER(F6890),ISNUMBER(H6890),F6890&gt;=Inputs!$C$68),F6890*H6890*Inputs!$C$69,"")</f>
      </c>
    </row>
    <row r="6891" spans="2:10" ht="15" customHeight="1" x14ac:dyDescent="0.2">
      <c r="B6891" s="39">
        <f t="shared" ref="B6891:B7145" si="54">ROW()-ROW($B$5)</f>
      </c>
      <c r="C6891" s="40">
        <f>IF(Inputs!$C$60,Inputs!$C$11+(B6891-Inputs!$C$69)/Inputs!$C$70,"")</f>
      </c>
      <c r="D6891" s="15"/>
      <c r="E6891" s="15"/>
      <c r="F6891" s="11">
        <f t="shared" ref="F6891:F7145" si="55">IF(COUNT(D6891:E6891)=COLUMNS(D6891:E6891),D6891-E6891,"")</f>
      </c>
      <c r="G6891" s="22" cm="1">
        <f t="array" ref="G6891">IF(AND(Inputs!$C$60,Inputs!$C$61),INDEX(Utility_Rates!$C$29:$F$52,HOUR(C6891)+Inputs!$C$69,MATCH(INDEX(Utility_Rates!$K$6:$K$17,MONTH(C6891))&amp;IF(WEEKDAY(C6891,Inputs!$C$76)&lt;=Inputs!$C$74," weekday"," weekend"),Utility_Rates!$C$28:$F$28,Inputs!$C$68)),"")</f>
      </c>
      <c r="H6891" s="34"/>
      <c r="I6891" s="42">
        <f>IF(AND(ISNUMBER(D6891),ISNUMBER(H6891)),D6891*H6891*Inputs!$C$69,"")</f>
      </c>
      <c r="J6891" s="42">
        <f>IF(AND(ISNUMBER(F6891),ISNUMBER(H6891),F6891&gt;=Inputs!$C$68),F6891*H6891*Inputs!$C$69,"")</f>
      </c>
    </row>
    <row r="6892" spans="2:10" ht="15" customHeight="1" x14ac:dyDescent="0.2">
      <c r="B6892" s="39">
        <f t="shared" si="54"/>
      </c>
      <c r="C6892" s="40">
        <f>IF(Inputs!$C$60,Inputs!$C$11+(B6892-Inputs!$C$69)/Inputs!$C$70,"")</f>
      </c>
      <c r="D6892" s="15"/>
      <c r="E6892" s="15"/>
      <c r="F6892" s="11">
        <f t="shared" si="55"/>
      </c>
      <c r="G6892" s="22" cm="1">
        <f t="array" ref="G6892">IF(AND(Inputs!$C$60,Inputs!$C$61),INDEX(Utility_Rates!$C$29:$F$52,HOUR(C6892)+Inputs!$C$69,MATCH(INDEX(Utility_Rates!$K$6:$K$17,MONTH(C6892))&amp;IF(WEEKDAY(C6892,Inputs!$C$76)&lt;=Inputs!$C$74," weekday"," weekend"),Utility_Rates!$C$28:$F$28,Inputs!$C$68)),"")</f>
      </c>
      <c r="H6892" s="34"/>
      <c r="I6892" s="42">
        <f>IF(AND(ISNUMBER(D6892),ISNUMBER(H6892)),D6892*H6892*Inputs!$C$69,"")</f>
      </c>
      <c r="J6892" s="42">
        <f>IF(AND(ISNUMBER(F6892),ISNUMBER(H6892),F6892&gt;=Inputs!$C$68),F6892*H6892*Inputs!$C$69,"")</f>
      </c>
    </row>
    <row r="6893" spans="2:10" ht="15" customHeight="1" x14ac:dyDescent="0.2">
      <c r="B6893" s="39">
        <f t="shared" si="54"/>
      </c>
      <c r="C6893" s="40">
        <f>IF(Inputs!$C$60,Inputs!$C$11+(B6893-Inputs!$C$69)/Inputs!$C$70,"")</f>
      </c>
      <c r="D6893" s="15"/>
      <c r="E6893" s="15"/>
      <c r="F6893" s="11">
        <f t="shared" si="55"/>
      </c>
      <c r="G6893" s="22" cm="1">
        <f t="array" ref="G6893">IF(AND(Inputs!$C$60,Inputs!$C$61),INDEX(Utility_Rates!$C$29:$F$52,HOUR(C6893)+Inputs!$C$69,MATCH(INDEX(Utility_Rates!$K$6:$K$17,MONTH(C6893))&amp;IF(WEEKDAY(C6893,Inputs!$C$76)&lt;=Inputs!$C$74," weekday"," weekend"),Utility_Rates!$C$28:$F$28,Inputs!$C$68)),"")</f>
      </c>
      <c r="H6893" s="34"/>
      <c r="I6893" s="42">
        <f>IF(AND(ISNUMBER(D6893),ISNUMBER(H6893)),D6893*H6893*Inputs!$C$69,"")</f>
      </c>
      <c r="J6893" s="42">
        <f>IF(AND(ISNUMBER(F6893),ISNUMBER(H6893),F6893&gt;=Inputs!$C$68),F6893*H6893*Inputs!$C$69,"")</f>
      </c>
    </row>
    <row r="6894" spans="2:10" ht="15" customHeight="1" x14ac:dyDescent="0.2">
      <c r="B6894" s="39">
        <f t="shared" si="54"/>
      </c>
      <c r="C6894" s="40">
        <f>IF(Inputs!$C$60,Inputs!$C$11+(B6894-Inputs!$C$69)/Inputs!$C$70,"")</f>
      </c>
      <c r="D6894" s="15"/>
      <c r="E6894" s="15"/>
      <c r="F6894" s="11">
        <f t="shared" si="55"/>
      </c>
      <c r="G6894" s="22" cm="1">
        <f t="array" ref="G6894">IF(AND(Inputs!$C$60,Inputs!$C$61),INDEX(Utility_Rates!$C$29:$F$52,HOUR(C6894)+Inputs!$C$69,MATCH(INDEX(Utility_Rates!$K$6:$K$17,MONTH(C6894))&amp;IF(WEEKDAY(C6894,Inputs!$C$76)&lt;=Inputs!$C$74," weekday"," weekend"),Utility_Rates!$C$28:$F$28,Inputs!$C$68)),"")</f>
      </c>
      <c r="H6894" s="34"/>
      <c r="I6894" s="42">
        <f>IF(AND(ISNUMBER(D6894),ISNUMBER(H6894)),D6894*H6894*Inputs!$C$69,"")</f>
      </c>
      <c r="J6894" s="42">
        <f>IF(AND(ISNUMBER(F6894),ISNUMBER(H6894),F6894&gt;=Inputs!$C$68),F6894*H6894*Inputs!$C$69,"")</f>
      </c>
    </row>
    <row r="6895" spans="2:10" ht="15" customHeight="1" x14ac:dyDescent="0.2">
      <c r="B6895" s="39">
        <f t="shared" si="54"/>
      </c>
      <c r="C6895" s="40">
        <f>IF(Inputs!$C$60,Inputs!$C$11+(B6895-Inputs!$C$69)/Inputs!$C$70,"")</f>
      </c>
      <c r="D6895" s="15"/>
      <c r="E6895" s="15"/>
      <c r="F6895" s="11">
        <f t="shared" si="55"/>
      </c>
      <c r="G6895" s="22" cm="1">
        <f t="array" ref="G6895">IF(AND(Inputs!$C$60,Inputs!$C$61),INDEX(Utility_Rates!$C$29:$F$52,HOUR(C6895)+Inputs!$C$69,MATCH(INDEX(Utility_Rates!$K$6:$K$17,MONTH(C6895))&amp;IF(WEEKDAY(C6895,Inputs!$C$76)&lt;=Inputs!$C$74," weekday"," weekend"),Utility_Rates!$C$28:$F$28,Inputs!$C$68)),"")</f>
      </c>
      <c r="H6895" s="34"/>
      <c r="I6895" s="42">
        <f>IF(AND(ISNUMBER(D6895),ISNUMBER(H6895)),D6895*H6895*Inputs!$C$69,"")</f>
      </c>
      <c r="J6895" s="42">
        <f>IF(AND(ISNUMBER(F6895),ISNUMBER(H6895),F6895&gt;=Inputs!$C$68),F6895*H6895*Inputs!$C$69,"")</f>
      </c>
    </row>
    <row r="6896" spans="2:10" ht="15" customHeight="1" x14ac:dyDescent="0.2">
      <c r="B6896" s="39">
        <f t="shared" si="54"/>
      </c>
      <c r="C6896" s="40">
        <f>IF(Inputs!$C$60,Inputs!$C$11+(B6896-Inputs!$C$69)/Inputs!$C$70,"")</f>
      </c>
      <c r="D6896" s="15"/>
      <c r="E6896" s="15"/>
      <c r="F6896" s="11">
        <f t="shared" si="55"/>
      </c>
      <c r="G6896" s="22" cm="1">
        <f t="array" ref="G6896">IF(AND(Inputs!$C$60,Inputs!$C$61),INDEX(Utility_Rates!$C$29:$F$52,HOUR(C6896)+Inputs!$C$69,MATCH(INDEX(Utility_Rates!$K$6:$K$17,MONTH(C6896))&amp;IF(WEEKDAY(C6896,Inputs!$C$76)&lt;=Inputs!$C$74," weekday"," weekend"),Utility_Rates!$C$28:$F$28,Inputs!$C$68)),"")</f>
      </c>
      <c r="H6896" s="34"/>
      <c r="I6896" s="42">
        <f>IF(AND(ISNUMBER(D6896),ISNUMBER(H6896)),D6896*H6896*Inputs!$C$69,"")</f>
      </c>
      <c r="J6896" s="42">
        <f>IF(AND(ISNUMBER(F6896),ISNUMBER(H6896),F6896&gt;=Inputs!$C$68),F6896*H6896*Inputs!$C$69,"")</f>
      </c>
    </row>
    <row r="6897" spans="2:10" ht="15" customHeight="1" x14ac:dyDescent="0.2">
      <c r="B6897" s="39">
        <f t="shared" si="54"/>
      </c>
      <c r="C6897" s="40">
        <f>IF(Inputs!$C$60,Inputs!$C$11+(B6897-Inputs!$C$69)/Inputs!$C$70,"")</f>
      </c>
      <c r="D6897" s="15"/>
      <c r="E6897" s="15"/>
      <c r="F6897" s="11">
        <f t="shared" si="55"/>
      </c>
      <c r="G6897" s="22" cm="1">
        <f t="array" ref="G6897">IF(AND(Inputs!$C$60,Inputs!$C$61),INDEX(Utility_Rates!$C$29:$F$52,HOUR(C6897)+Inputs!$C$69,MATCH(INDEX(Utility_Rates!$K$6:$K$17,MONTH(C6897))&amp;IF(WEEKDAY(C6897,Inputs!$C$76)&lt;=Inputs!$C$74," weekday"," weekend"),Utility_Rates!$C$28:$F$28,Inputs!$C$68)),"")</f>
      </c>
      <c r="H6897" s="34"/>
      <c r="I6897" s="42">
        <f>IF(AND(ISNUMBER(D6897),ISNUMBER(H6897)),D6897*H6897*Inputs!$C$69,"")</f>
      </c>
      <c r="J6897" s="42">
        <f>IF(AND(ISNUMBER(F6897),ISNUMBER(H6897),F6897&gt;=Inputs!$C$68),F6897*H6897*Inputs!$C$69,"")</f>
      </c>
    </row>
    <row r="6898" spans="2:10" ht="15" customHeight="1" x14ac:dyDescent="0.2">
      <c r="B6898" s="39">
        <f t="shared" si="54"/>
      </c>
      <c r="C6898" s="40">
        <f>IF(Inputs!$C$60,Inputs!$C$11+(B6898-Inputs!$C$69)/Inputs!$C$70,"")</f>
      </c>
      <c r="D6898" s="15"/>
      <c r="E6898" s="15"/>
      <c r="F6898" s="11">
        <f t="shared" si="55"/>
      </c>
      <c r="G6898" s="22" cm="1">
        <f t="array" ref="G6898">IF(AND(Inputs!$C$60,Inputs!$C$61),INDEX(Utility_Rates!$C$29:$F$52,HOUR(C6898)+Inputs!$C$69,MATCH(INDEX(Utility_Rates!$K$6:$K$17,MONTH(C6898))&amp;IF(WEEKDAY(C6898,Inputs!$C$76)&lt;=Inputs!$C$74," weekday"," weekend"),Utility_Rates!$C$28:$F$28,Inputs!$C$68)),"")</f>
      </c>
      <c r="H6898" s="34"/>
      <c r="I6898" s="42">
        <f>IF(AND(ISNUMBER(D6898),ISNUMBER(H6898)),D6898*H6898*Inputs!$C$69,"")</f>
      </c>
      <c r="J6898" s="42">
        <f>IF(AND(ISNUMBER(F6898),ISNUMBER(H6898),F6898&gt;=Inputs!$C$68),F6898*H6898*Inputs!$C$69,"")</f>
      </c>
    </row>
    <row r="6899" spans="2:10" ht="15" customHeight="1" x14ac:dyDescent="0.2">
      <c r="B6899" s="39">
        <f t="shared" si="54"/>
      </c>
      <c r="C6899" s="40">
        <f>IF(Inputs!$C$60,Inputs!$C$11+(B6899-Inputs!$C$69)/Inputs!$C$70,"")</f>
      </c>
      <c r="D6899" s="15"/>
      <c r="E6899" s="15"/>
      <c r="F6899" s="11">
        <f t="shared" si="55"/>
      </c>
      <c r="G6899" s="22" cm="1">
        <f t="array" ref="G6899">IF(AND(Inputs!$C$60,Inputs!$C$61),INDEX(Utility_Rates!$C$29:$F$52,HOUR(C6899)+Inputs!$C$69,MATCH(INDEX(Utility_Rates!$K$6:$K$17,MONTH(C6899))&amp;IF(WEEKDAY(C6899,Inputs!$C$76)&lt;=Inputs!$C$74," weekday"," weekend"),Utility_Rates!$C$28:$F$28,Inputs!$C$68)),"")</f>
      </c>
      <c r="H6899" s="34"/>
      <c r="I6899" s="42">
        <f>IF(AND(ISNUMBER(D6899),ISNUMBER(H6899)),D6899*H6899*Inputs!$C$69,"")</f>
      </c>
      <c r="J6899" s="42">
        <f>IF(AND(ISNUMBER(F6899),ISNUMBER(H6899),F6899&gt;=Inputs!$C$68),F6899*H6899*Inputs!$C$69,"")</f>
      </c>
    </row>
    <row r="6900" spans="2:10" ht="15" customHeight="1" x14ac:dyDescent="0.2">
      <c r="B6900" s="39">
        <f t="shared" si="54"/>
      </c>
      <c r="C6900" s="40">
        <f>IF(Inputs!$C$60,Inputs!$C$11+(B6900-Inputs!$C$69)/Inputs!$C$70,"")</f>
      </c>
      <c r="D6900" s="15"/>
      <c r="E6900" s="15"/>
      <c r="F6900" s="11">
        <f t="shared" si="55"/>
      </c>
      <c r="G6900" s="22" cm="1">
        <f t="array" ref="G6900">IF(AND(Inputs!$C$60,Inputs!$C$61),INDEX(Utility_Rates!$C$29:$F$52,HOUR(C6900)+Inputs!$C$69,MATCH(INDEX(Utility_Rates!$K$6:$K$17,MONTH(C6900))&amp;IF(WEEKDAY(C6900,Inputs!$C$76)&lt;=Inputs!$C$74," weekday"," weekend"),Utility_Rates!$C$28:$F$28,Inputs!$C$68)),"")</f>
      </c>
      <c r="H6900" s="34"/>
      <c r="I6900" s="42">
        <f>IF(AND(ISNUMBER(D6900),ISNUMBER(H6900)),D6900*H6900*Inputs!$C$69,"")</f>
      </c>
      <c r="J6900" s="42">
        <f>IF(AND(ISNUMBER(F6900),ISNUMBER(H6900),F6900&gt;=Inputs!$C$68),F6900*H6900*Inputs!$C$69,"")</f>
      </c>
    </row>
    <row r="6901" spans="2:10" ht="15" customHeight="1" x14ac:dyDescent="0.2">
      <c r="B6901" s="39">
        <f t="shared" si="54"/>
      </c>
      <c r="C6901" s="40">
        <f>IF(Inputs!$C$60,Inputs!$C$11+(B6901-Inputs!$C$69)/Inputs!$C$70,"")</f>
      </c>
      <c r="D6901" s="15"/>
      <c r="E6901" s="15"/>
      <c r="F6901" s="11">
        <f t="shared" si="55"/>
      </c>
      <c r="G6901" s="22" cm="1">
        <f t="array" ref="G6901">IF(AND(Inputs!$C$60,Inputs!$C$61),INDEX(Utility_Rates!$C$29:$F$52,HOUR(C6901)+Inputs!$C$69,MATCH(INDEX(Utility_Rates!$K$6:$K$17,MONTH(C6901))&amp;IF(WEEKDAY(C6901,Inputs!$C$76)&lt;=Inputs!$C$74," weekday"," weekend"),Utility_Rates!$C$28:$F$28,Inputs!$C$68)),"")</f>
      </c>
      <c r="H6901" s="34"/>
      <c r="I6901" s="42">
        <f>IF(AND(ISNUMBER(D6901),ISNUMBER(H6901)),D6901*H6901*Inputs!$C$69,"")</f>
      </c>
      <c r="J6901" s="42">
        <f>IF(AND(ISNUMBER(F6901),ISNUMBER(H6901),F6901&gt;=Inputs!$C$68),F6901*H6901*Inputs!$C$69,"")</f>
      </c>
    </row>
    <row r="6902" spans="2:10" ht="15" customHeight="1" x14ac:dyDescent="0.2">
      <c r="B6902" s="39">
        <f t="shared" si="54"/>
      </c>
      <c r="C6902" s="40">
        <f>IF(Inputs!$C$60,Inputs!$C$11+(B6902-Inputs!$C$69)/Inputs!$C$70,"")</f>
      </c>
      <c r="D6902" s="15"/>
      <c r="E6902" s="15"/>
      <c r="F6902" s="11">
        <f t="shared" si="55"/>
      </c>
      <c r="G6902" s="22" cm="1">
        <f t="array" ref="G6902">IF(AND(Inputs!$C$60,Inputs!$C$61),INDEX(Utility_Rates!$C$29:$F$52,HOUR(C6902)+Inputs!$C$69,MATCH(INDEX(Utility_Rates!$K$6:$K$17,MONTH(C6902))&amp;IF(WEEKDAY(C6902,Inputs!$C$76)&lt;=Inputs!$C$74," weekday"," weekend"),Utility_Rates!$C$28:$F$28,Inputs!$C$68)),"")</f>
      </c>
      <c r="H6902" s="34"/>
      <c r="I6902" s="42">
        <f>IF(AND(ISNUMBER(D6902),ISNUMBER(H6902)),D6902*H6902*Inputs!$C$69,"")</f>
      </c>
      <c r="J6902" s="42">
        <f>IF(AND(ISNUMBER(F6902),ISNUMBER(H6902),F6902&gt;=Inputs!$C$68),F6902*H6902*Inputs!$C$69,"")</f>
      </c>
    </row>
    <row r="6903" spans="2:10" ht="15" customHeight="1" x14ac:dyDescent="0.2">
      <c r="B6903" s="39">
        <f t="shared" si="54"/>
      </c>
      <c r="C6903" s="40">
        <f>IF(Inputs!$C$60,Inputs!$C$11+(B6903-Inputs!$C$69)/Inputs!$C$70,"")</f>
      </c>
      <c r="D6903" s="15"/>
      <c r="E6903" s="15"/>
      <c r="F6903" s="11">
        <f t="shared" si="55"/>
      </c>
      <c r="G6903" s="22" cm="1">
        <f t="array" ref="G6903">IF(AND(Inputs!$C$60,Inputs!$C$61),INDEX(Utility_Rates!$C$29:$F$52,HOUR(C6903)+Inputs!$C$69,MATCH(INDEX(Utility_Rates!$K$6:$K$17,MONTH(C6903))&amp;IF(WEEKDAY(C6903,Inputs!$C$76)&lt;=Inputs!$C$74," weekday"," weekend"),Utility_Rates!$C$28:$F$28,Inputs!$C$68)),"")</f>
      </c>
      <c r="H6903" s="34"/>
      <c r="I6903" s="42">
        <f>IF(AND(ISNUMBER(D6903),ISNUMBER(H6903)),D6903*H6903*Inputs!$C$69,"")</f>
      </c>
      <c r="J6903" s="42">
        <f>IF(AND(ISNUMBER(F6903),ISNUMBER(H6903),F6903&gt;=Inputs!$C$68),F6903*H6903*Inputs!$C$69,"")</f>
      </c>
    </row>
    <row r="6904" spans="2:10" ht="15" customHeight="1" x14ac:dyDescent="0.2">
      <c r="B6904" s="39">
        <f t="shared" si="54"/>
      </c>
      <c r="C6904" s="40">
        <f>IF(Inputs!$C$60,Inputs!$C$11+(B6904-Inputs!$C$69)/Inputs!$C$70,"")</f>
      </c>
      <c r="D6904" s="15"/>
      <c r="E6904" s="15"/>
      <c r="F6904" s="11">
        <f t="shared" si="55"/>
      </c>
      <c r="G6904" s="22" cm="1">
        <f t="array" ref="G6904">IF(AND(Inputs!$C$60,Inputs!$C$61),INDEX(Utility_Rates!$C$29:$F$52,HOUR(C6904)+Inputs!$C$69,MATCH(INDEX(Utility_Rates!$K$6:$K$17,MONTH(C6904))&amp;IF(WEEKDAY(C6904,Inputs!$C$76)&lt;=Inputs!$C$74," weekday"," weekend"),Utility_Rates!$C$28:$F$28,Inputs!$C$68)),"")</f>
      </c>
      <c r="H6904" s="34"/>
      <c r="I6904" s="42">
        <f>IF(AND(ISNUMBER(D6904),ISNUMBER(H6904)),D6904*H6904*Inputs!$C$69,"")</f>
      </c>
      <c r="J6904" s="42">
        <f>IF(AND(ISNUMBER(F6904),ISNUMBER(H6904),F6904&gt;=Inputs!$C$68),F6904*H6904*Inputs!$C$69,"")</f>
      </c>
    </row>
    <row r="6905" spans="2:10" ht="15" customHeight="1" x14ac:dyDescent="0.2">
      <c r="B6905" s="39">
        <f t="shared" si="54"/>
      </c>
      <c r="C6905" s="40">
        <f>IF(Inputs!$C$60,Inputs!$C$11+(B6905-Inputs!$C$69)/Inputs!$C$70,"")</f>
      </c>
      <c r="D6905" s="15"/>
      <c r="E6905" s="15"/>
      <c r="F6905" s="11">
        <f t="shared" si="55"/>
      </c>
      <c r="G6905" s="22" cm="1">
        <f t="array" ref="G6905">IF(AND(Inputs!$C$60,Inputs!$C$61),INDEX(Utility_Rates!$C$29:$F$52,HOUR(C6905)+Inputs!$C$69,MATCH(INDEX(Utility_Rates!$K$6:$K$17,MONTH(C6905))&amp;IF(WEEKDAY(C6905,Inputs!$C$76)&lt;=Inputs!$C$74," weekday"," weekend"),Utility_Rates!$C$28:$F$28,Inputs!$C$68)),"")</f>
      </c>
      <c r="H6905" s="34"/>
      <c r="I6905" s="42">
        <f>IF(AND(ISNUMBER(D6905),ISNUMBER(H6905)),D6905*H6905*Inputs!$C$69,"")</f>
      </c>
      <c r="J6905" s="42">
        <f>IF(AND(ISNUMBER(F6905),ISNUMBER(H6905),F6905&gt;=Inputs!$C$68),F6905*H6905*Inputs!$C$69,"")</f>
      </c>
    </row>
    <row r="6906" spans="2:10" ht="15" customHeight="1" x14ac:dyDescent="0.2">
      <c r="B6906" s="39">
        <f t="shared" si="54"/>
      </c>
      <c r="C6906" s="40">
        <f>IF(Inputs!$C$60,Inputs!$C$11+(B6906-Inputs!$C$69)/Inputs!$C$70,"")</f>
      </c>
      <c r="D6906" s="15"/>
      <c r="E6906" s="15"/>
      <c r="F6906" s="11">
        <f t="shared" si="55"/>
      </c>
      <c r="G6906" s="22" cm="1">
        <f t="array" ref="G6906">IF(AND(Inputs!$C$60,Inputs!$C$61),INDEX(Utility_Rates!$C$29:$F$52,HOUR(C6906)+Inputs!$C$69,MATCH(INDEX(Utility_Rates!$K$6:$K$17,MONTH(C6906))&amp;IF(WEEKDAY(C6906,Inputs!$C$76)&lt;=Inputs!$C$74," weekday"," weekend"),Utility_Rates!$C$28:$F$28,Inputs!$C$68)),"")</f>
      </c>
      <c r="H6906" s="34"/>
      <c r="I6906" s="42">
        <f>IF(AND(ISNUMBER(D6906),ISNUMBER(H6906)),D6906*H6906*Inputs!$C$69,"")</f>
      </c>
      <c r="J6906" s="42">
        <f>IF(AND(ISNUMBER(F6906),ISNUMBER(H6906),F6906&gt;=Inputs!$C$68),F6906*H6906*Inputs!$C$69,"")</f>
      </c>
    </row>
    <row r="6907" spans="2:10" ht="15" customHeight="1" x14ac:dyDescent="0.2">
      <c r="B6907" s="39">
        <f t="shared" si="54"/>
      </c>
      <c r="C6907" s="40">
        <f>IF(Inputs!$C$60,Inputs!$C$11+(B6907-Inputs!$C$69)/Inputs!$C$70,"")</f>
      </c>
      <c r="D6907" s="15"/>
      <c r="E6907" s="15"/>
      <c r="F6907" s="11">
        <f t="shared" si="55"/>
      </c>
      <c r="G6907" s="22" cm="1">
        <f t="array" ref="G6907">IF(AND(Inputs!$C$60,Inputs!$C$61),INDEX(Utility_Rates!$C$29:$F$52,HOUR(C6907)+Inputs!$C$69,MATCH(INDEX(Utility_Rates!$K$6:$K$17,MONTH(C6907))&amp;IF(WEEKDAY(C6907,Inputs!$C$76)&lt;=Inputs!$C$74," weekday"," weekend"),Utility_Rates!$C$28:$F$28,Inputs!$C$68)),"")</f>
      </c>
      <c r="H6907" s="34"/>
      <c r="I6907" s="42">
        <f>IF(AND(ISNUMBER(D6907),ISNUMBER(H6907)),D6907*H6907*Inputs!$C$69,"")</f>
      </c>
      <c r="J6907" s="42">
        <f>IF(AND(ISNUMBER(F6907),ISNUMBER(H6907),F6907&gt;=Inputs!$C$68),F6907*H6907*Inputs!$C$69,"")</f>
      </c>
    </row>
    <row r="6908" spans="2:10" ht="15" customHeight="1" x14ac:dyDescent="0.2">
      <c r="B6908" s="39">
        <f t="shared" si="54"/>
      </c>
      <c r="C6908" s="40">
        <f>IF(Inputs!$C$60,Inputs!$C$11+(B6908-Inputs!$C$69)/Inputs!$C$70,"")</f>
      </c>
      <c r="D6908" s="15"/>
      <c r="E6908" s="15"/>
      <c r="F6908" s="11">
        <f t="shared" si="55"/>
      </c>
      <c r="G6908" s="22" cm="1">
        <f t="array" ref="G6908">IF(AND(Inputs!$C$60,Inputs!$C$61),INDEX(Utility_Rates!$C$29:$F$52,HOUR(C6908)+Inputs!$C$69,MATCH(INDEX(Utility_Rates!$K$6:$K$17,MONTH(C6908))&amp;IF(WEEKDAY(C6908,Inputs!$C$76)&lt;=Inputs!$C$74," weekday"," weekend"),Utility_Rates!$C$28:$F$28,Inputs!$C$68)),"")</f>
      </c>
      <c r="H6908" s="34"/>
      <c r="I6908" s="42">
        <f>IF(AND(ISNUMBER(D6908),ISNUMBER(H6908)),D6908*H6908*Inputs!$C$69,"")</f>
      </c>
      <c r="J6908" s="42">
        <f>IF(AND(ISNUMBER(F6908),ISNUMBER(H6908),F6908&gt;=Inputs!$C$68),F6908*H6908*Inputs!$C$69,"")</f>
      </c>
    </row>
    <row r="6909" spans="2:10" ht="15" customHeight="1" x14ac:dyDescent="0.2">
      <c r="B6909" s="39">
        <f t="shared" si="54"/>
      </c>
      <c r="C6909" s="40">
        <f>IF(Inputs!$C$60,Inputs!$C$11+(B6909-Inputs!$C$69)/Inputs!$C$70,"")</f>
      </c>
      <c r="D6909" s="15"/>
      <c r="E6909" s="15"/>
      <c r="F6909" s="11">
        <f t="shared" si="55"/>
      </c>
      <c r="G6909" s="22" cm="1">
        <f t="array" ref="G6909">IF(AND(Inputs!$C$60,Inputs!$C$61),INDEX(Utility_Rates!$C$29:$F$52,HOUR(C6909)+Inputs!$C$69,MATCH(INDEX(Utility_Rates!$K$6:$K$17,MONTH(C6909))&amp;IF(WEEKDAY(C6909,Inputs!$C$76)&lt;=Inputs!$C$74," weekday"," weekend"),Utility_Rates!$C$28:$F$28,Inputs!$C$68)),"")</f>
      </c>
      <c r="H6909" s="34"/>
      <c r="I6909" s="42">
        <f>IF(AND(ISNUMBER(D6909),ISNUMBER(H6909)),D6909*H6909*Inputs!$C$69,"")</f>
      </c>
      <c r="J6909" s="42">
        <f>IF(AND(ISNUMBER(F6909),ISNUMBER(H6909),F6909&gt;=Inputs!$C$68),F6909*H6909*Inputs!$C$69,"")</f>
      </c>
    </row>
    <row r="6910" spans="2:10" ht="15" customHeight="1" x14ac:dyDescent="0.2">
      <c r="B6910" s="39">
        <f t="shared" si="54"/>
      </c>
      <c r="C6910" s="40">
        <f>IF(Inputs!$C$60,Inputs!$C$11+(B6910-Inputs!$C$69)/Inputs!$C$70,"")</f>
      </c>
      <c r="D6910" s="15"/>
      <c r="E6910" s="15"/>
      <c r="F6910" s="11">
        <f t="shared" si="55"/>
      </c>
      <c r="G6910" s="22" cm="1">
        <f t="array" ref="G6910">IF(AND(Inputs!$C$60,Inputs!$C$61),INDEX(Utility_Rates!$C$29:$F$52,HOUR(C6910)+Inputs!$C$69,MATCH(INDEX(Utility_Rates!$K$6:$K$17,MONTH(C6910))&amp;IF(WEEKDAY(C6910,Inputs!$C$76)&lt;=Inputs!$C$74," weekday"," weekend"),Utility_Rates!$C$28:$F$28,Inputs!$C$68)),"")</f>
      </c>
      <c r="H6910" s="34"/>
      <c r="I6910" s="42">
        <f>IF(AND(ISNUMBER(D6910),ISNUMBER(H6910)),D6910*H6910*Inputs!$C$69,"")</f>
      </c>
      <c r="J6910" s="42">
        <f>IF(AND(ISNUMBER(F6910),ISNUMBER(H6910),F6910&gt;=Inputs!$C$68),F6910*H6910*Inputs!$C$69,"")</f>
      </c>
    </row>
    <row r="6911" spans="2:10" ht="15" customHeight="1" x14ac:dyDescent="0.2">
      <c r="B6911" s="39">
        <f t="shared" si="54"/>
      </c>
      <c r="C6911" s="40">
        <f>IF(Inputs!$C$60,Inputs!$C$11+(B6911-Inputs!$C$69)/Inputs!$C$70,"")</f>
      </c>
      <c r="D6911" s="15"/>
      <c r="E6911" s="15"/>
      <c r="F6911" s="11">
        <f t="shared" si="55"/>
      </c>
      <c r="G6911" s="22" cm="1">
        <f t="array" ref="G6911">IF(AND(Inputs!$C$60,Inputs!$C$61),INDEX(Utility_Rates!$C$29:$F$52,HOUR(C6911)+Inputs!$C$69,MATCH(INDEX(Utility_Rates!$K$6:$K$17,MONTH(C6911))&amp;IF(WEEKDAY(C6911,Inputs!$C$76)&lt;=Inputs!$C$74," weekday"," weekend"),Utility_Rates!$C$28:$F$28,Inputs!$C$68)),"")</f>
      </c>
      <c r="H6911" s="34"/>
      <c r="I6911" s="42">
        <f>IF(AND(ISNUMBER(D6911),ISNUMBER(H6911)),D6911*H6911*Inputs!$C$69,"")</f>
      </c>
      <c r="J6911" s="42">
        <f>IF(AND(ISNUMBER(F6911),ISNUMBER(H6911),F6911&gt;=Inputs!$C$68),F6911*H6911*Inputs!$C$69,"")</f>
      </c>
    </row>
    <row r="6912" spans="2:10" ht="15" customHeight="1" x14ac:dyDescent="0.2">
      <c r="B6912" s="39">
        <f t="shared" si="54"/>
      </c>
      <c r="C6912" s="40">
        <f>IF(Inputs!$C$60,Inputs!$C$11+(B6912-Inputs!$C$69)/Inputs!$C$70,"")</f>
      </c>
      <c r="D6912" s="15"/>
      <c r="E6912" s="15"/>
      <c r="F6912" s="11">
        <f t="shared" si="55"/>
      </c>
      <c r="G6912" s="22" cm="1">
        <f t="array" ref="G6912">IF(AND(Inputs!$C$60,Inputs!$C$61),INDEX(Utility_Rates!$C$29:$F$52,HOUR(C6912)+Inputs!$C$69,MATCH(INDEX(Utility_Rates!$K$6:$K$17,MONTH(C6912))&amp;IF(WEEKDAY(C6912,Inputs!$C$76)&lt;=Inputs!$C$74," weekday"," weekend"),Utility_Rates!$C$28:$F$28,Inputs!$C$68)),"")</f>
      </c>
      <c r="H6912" s="34"/>
      <c r="I6912" s="42">
        <f>IF(AND(ISNUMBER(D6912),ISNUMBER(H6912)),D6912*H6912*Inputs!$C$69,"")</f>
      </c>
      <c r="J6912" s="42">
        <f>IF(AND(ISNUMBER(F6912),ISNUMBER(H6912),F6912&gt;=Inputs!$C$68),F6912*H6912*Inputs!$C$69,"")</f>
      </c>
    </row>
    <row r="6913" spans="2:10" ht="15" customHeight="1" x14ac:dyDescent="0.2">
      <c r="B6913" s="39">
        <f t="shared" si="54"/>
      </c>
      <c r="C6913" s="40">
        <f>IF(Inputs!$C$60,Inputs!$C$11+(B6913-Inputs!$C$69)/Inputs!$C$70,"")</f>
      </c>
      <c r="D6913" s="15"/>
      <c r="E6913" s="15"/>
      <c r="F6913" s="11">
        <f t="shared" si="55"/>
      </c>
      <c r="G6913" s="22" cm="1">
        <f t="array" ref="G6913">IF(AND(Inputs!$C$60,Inputs!$C$61),INDEX(Utility_Rates!$C$29:$F$52,HOUR(C6913)+Inputs!$C$69,MATCH(INDEX(Utility_Rates!$K$6:$K$17,MONTH(C6913))&amp;IF(WEEKDAY(C6913,Inputs!$C$76)&lt;=Inputs!$C$74," weekday"," weekend"),Utility_Rates!$C$28:$F$28,Inputs!$C$68)),"")</f>
      </c>
      <c r="H6913" s="34"/>
      <c r="I6913" s="42">
        <f>IF(AND(ISNUMBER(D6913),ISNUMBER(H6913)),D6913*H6913*Inputs!$C$69,"")</f>
      </c>
      <c r="J6913" s="42">
        <f>IF(AND(ISNUMBER(F6913),ISNUMBER(H6913),F6913&gt;=Inputs!$C$68),F6913*H6913*Inputs!$C$69,"")</f>
      </c>
    </row>
    <row r="6914" spans="2:10" ht="15" customHeight="1" x14ac:dyDescent="0.2">
      <c r="B6914" s="39">
        <f t="shared" si="54"/>
      </c>
      <c r="C6914" s="40">
        <f>IF(Inputs!$C$60,Inputs!$C$11+(B6914-Inputs!$C$69)/Inputs!$C$70,"")</f>
      </c>
      <c r="D6914" s="15"/>
      <c r="E6914" s="15"/>
      <c r="F6914" s="11">
        <f t="shared" si="55"/>
      </c>
      <c r="G6914" s="22" cm="1">
        <f t="array" ref="G6914">IF(AND(Inputs!$C$60,Inputs!$C$61),INDEX(Utility_Rates!$C$29:$F$52,HOUR(C6914)+Inputs!$C$69,MATCH(INDEX(Utility_Rates!$K$6:$K$17,MONTH(C6914))&amp;IF(WEEKDAY(C6914,Inputs!$C$76)&lt;=Inputs!$C$74," weekday"," weekend"),Utility_Rates!$C$28:$F$28,Inputs!$C$68)),"")</f>
      </c>
      <c r="H6914" s="34"/>
      <c r="I6914" s="42">
        <f>IF(AND(ISNUMBER(D6914),ISNUMBER(H6914)),D6914*H6914*Inputs!$C$69,"")</f>
      </c>
      <c r="J6914" s="42">
        <f>IF(AND(ISNUMBER(F6914),ISNUMBER(H6914),F6914&gt;=Inputs!$C$68),F6914*H6914*Inputs!$C$69,"")</f>
      </c>
    </row>
    <row r="6915" spans="2:10" ht="15" customHeight="1" x14ac:dyDescent="0.2">
      <c r="B6915" s="39">
        <f t="shared" si="54"/>
      </c>
      <c r="C6915" s="40">
        <f>IF(Inputs!$C$60,Inputs!$C$11+(B6915-Inputs!$C$69)/Inputs!$C$70,"")</f>
      </c>
      <c r="D6915" s="15"/>
      <c r="E6915" s="15"/>
      <c r="F6915" s="11">
        <f t="shared" si="55"/>
      </c>
      <c r="G6915" s="22" cm="1">
        <f t="array" ref="G6915">IF(AND(Inputs!$C$60,Inputs!$C$61),INDEX(Utility_Rates!$C$29:$F$52,HOUR(C6915)+Inputs!$C$69,MATCH(INDEX(Utility_Rates!$K$6:$K$17,MONTH(C6915))&amp;IF(WEEKDAY(C6915,Inputs!$C$76)&lt;=Inputs!$C$74," weekday"," weekend"),Utility_Rates!$C$28:$F$28,Inputs!$C$68)),"")</f>
      </c>
      <c r="H6915" s="34"/>
      <c r="I6915" s="42">
        <f>IF(AND(ISNUMBER(D6915),ISNUMBER(H6915)),D6915*H6915*Inputs!$C$69,"")</f>
      </c>
      <c r="J6915" s="42">
        <f>IF(AND(ISNUMBER(F6915),ISNUMBER(H6915),F6915&gt;=Inputs!$C$68),F6915*H6915*Inputs!$C$69,"")</f>
      </c>
    </row>
    <row r="6916" spans="2:10" ht="15" customHeight="1" x14ac:dyDescent="0.2">
      <c r="B6916" s="39">
        <f t="shared" si="54"/>
      </c>
      <c r="C6916" s="40">
        <f>IF(Inputs!$C$60,Inputs!$C$11+(B6916-Inputs!$C$69)/Inputs!$C$70,"")</f>
      </c>
      <c r="D6916" s="15"/>
      <c r="E6916" s="15"/>
      <c r="F6916" s="11">
        <f t="shared" si="55"/>
      </c>
      <c r="G6916" s="22" cm="1">
        <f t="array" ref="G6916">IF(AND(Inputs!$C$60,Inputs!$C$61),INDEX(Utility_Rates!$C$29:$F$52,HOUR(C6916)+Inputs!$C$69,MATCH(INDEX(Utility_Rates!$K$6:$K$17,MONTH(C6916))&amp;IF(WEEKDAY(C6916,Inputs!$C$76)&lt;=Inputs!$C$74," weekday"," weekend"),Utility_Rates!$C$28:$F$28,Inputs!$C$68)),"")</f>
      </c>
      <c r="H6916" s="34"/>
      <c r="I6916" s="42">
        <f>IF(AND(ISNUMBER(D6916),ISNUMBER(H6916)),D6916*H6916*Inputs!$C$69,"")</f>
      </c>
      <c r="J6916" s="42">
        <f>IF(AND(ISNUMBER(F6916),ISNUMBER(H6916),F6916&gt;=Inputs!$C$68),F6916*H6916*Inputs!$C$69,"")</f>
      </c>
    </row>
    <row r="6917" spans="2:10" ht="15" customHeight="1" x14ac:dyDescent="0.2">
      <c r="B6917" s="39">
        <f t="shared" si="54"/>
      </c>
      <c r="C6917" s="40">
        <f>IF(Inputs!$C$60,Inputs!$C$11+(B6917-Inputs!$C$69)/Inputs!$C$70,"")</f>
      </c>
      <c r="D6917" s="15"/>
      <c r="E6917" s="15"/>
      <c r="F6917" s="11">
        <f t="shared" si="55"/>
      </c>
      <c r="G6917" s="22" cm="1">
        <f t="array" ref="G6917">IF(AND(Inputs!$C$60,Inputs!$C$61),INDEX(Utility_Rates!$C$29:$F$52,HOUR(C6917)+Inputs!$C$69,MATCH(INDEX(Utility_Rates!$K$6:$K$17,MONTH(C6917))&amp;IF(WEEKDAY(C6917,Inputs!$C$76)&lt;=Inputs!$C$74," weekday"," weekend"),Utility_Rates!$C$28:$F$28,Inputs!$C$68)),"")</f>
      </c>
      <c r="H6917" s="34"/>
      <c r="I6917" s="42">
        <f>IF(AND(ISNUMBER(D6917),ISNUMBER(H6917)),D6917*H6917*Inputs!$C$69,"")</f>
      </c>
      <c r="J6917" s="42">
        <f>IF(AND(ISNUMBER(F6917),ISNUMBER(H6917),F6917&gt;=Inputs!$C$68),F6917*H6917*Inputs!$C$69,"")</f>
      </c>
    </row>
    <row r="6918" spans="2:10" ht="15" customHeight="1" x14ac:dyDescent="0.2">
      <c r="B6918" s="39">
        <f t="shared" si="54"/>
      </c>
      <c r="C6918" s="40">
        <f>IF(Inputs!$C$60,Inputs!$C$11+(B6918-Inputs!$C$69)/Inputs!$C$70,"")</f>
      </c>
      <c r="D6918" s="15"/>
      <c r="E6918" s="15"/>
      <c r="F6918" s="11">
        <f t="shared" si="55"/>
      </c>
      <c r="G6918" s="22" cm="1">
        <f t="array" ref="G6918">IF(AND(Inputs!$C$60,Inputs!$C$61),INDEX(Utility_Rates!$C$29:$F$52,HOUR(C6918)+Inputs!$C$69,MATCH(INDEX(Utility_Rates!$K$6:$K$17,MONTH(C6918))&amp;IF(WEEKDAY(C6918,Inputs!$C$76)&lt;=Inputs!$C$74," weekday"," weekend"),Utility_Rates!$C$28:$F$28,Inputs!$C$68)),"")</f>
      </c>
      <c r="H6918" s="34"/>
      <c r="I6918" s="42">
        <f>IF(AND(ISNUMBER(D6918),ISNUMBER(H6918)),D6918*H6918*Inputs!$C$69,"")</f>
      </c>
      <c r="J6918" s="42">
        <f>IF(AND(ISNUMBER(F6918),ISNUMBER(H6918),F6918&gt;=Inputs!$C$68),F6918*H6918*Inputs!$C$69,"")</f>
      </c>
    </row>
    <row r="6919" spans="2:10" ht="15" customHeight="1" x14ac:dyDescent="0.2">
      <c r="B6919" s="39">
        <f t="shared" si="54"/>
      </c>
      <c r="C6919" s="40">
        <f>IF(Inputs!$C$60,Inputs!$C$11+(B6919-Inputs!$C$69)/Inputs!$C$70,"")</f>
      </c>
      <c r="D6919" s="15"/>
      <c r="E6919" s="15"/>
      <c r="F6919" s="11">
        <f t="shared" si="55"/>
      </c>
      <c r="G6919" s="22" cm="1">
        <f t="array" ref="G6919">IF(AND(Inputs!$C$60,Inputs!$C$61),INDEX(Utility_Rates!$C$29:$F$52,HOUR(C6919)+Inputs!$C$69,MATCH(INDEX(Utility_Rates!$K$6:$K$17,MONTH(C6919))&amp;IF(WEEKDAY(C6919,Inputs!$C$76)&lt;=Inputs!$C$74," weekday"," weekend"),Utility_Rates!$C$28:$F$28,Inputs!$C$68)),"")</f>
      </c>
      <c r="H6919" s="34"/>
      <c r="I6919" s="42">
        <f>IF(AND(ISNUMBER(D6919),ISNUMBER(H6919)),D6919*H6919*Inputs!$C$69,"")</f>
      </c>
      <c r="J6919" s="42">
        <f>IF(AND(ISNUMBER(F6919),ISNUMBER(H6919),F6919&gt;=Inputs!$C$68),F6919*H6919*Inputs!$C$69,"")</f>
      </c>
    </row>
    <row r="6920" spans="2:10" ht="15" customHeight="1" x14ac:dyDescent="0.2">
      <c r="B6920" s="39">
        <f t="shared" si="54"/>
      </c>
      <c r="C6920" s="40">
        <f>IF(Inputs!$C$60,Inputs!$C$11+(B6920-Inputs!$C$69)/Inputs!$C$70,"")</f>
      </c>
      <c r="D6920" s="15"/>
      <c r="E6920" s="15"/>
      <c r="F6920" s="11">
        <f t="shared" si="55"/>
      </c>
      <c r="G6920" s="22" cm="1">
        <f t="array" ref="G6920">IF(AND(Inputs!$C$60,Inputs!$C$61),INDEX(Utility_Rates!$C$29:$F$52,HOUR(C6920)+Inputs!$C$69,MATCH(INDEX(Utility_Rates!$K$6:$K$17,MONTH(C6920))&amp;IF(WEEKDAY(C6920,Inputs!$C$76)&lt;=Inputs!$C$74," weekday"," weekend"),Utility_Rates!$C$28:$F$28,Inputs!$C$68)),"")</f>
      </c>
      <c r="H6920" s="34"/>
      <c r="I6920" s="42">
        <f>IF(AND(ISNUMBER(D6920),ISNUMBER(H6920)),D6920*H6920*Inputs!$C$69,"")</f>
      </c>
      <c r="J6920" s="42">
        <f>IF(AND(ISNUMBER(F6920),ISNUMBER(H6920),F6920&gt;=Inputs!$C$68),F6920*H6920*Inputs!$C$69,"")</f>
      </c>
    </row>
    <row r="6921" spans="2:10" ht="15" customHeight="1" x14ac:dyDescent="0.2">
      <c r="B6921" s="39">
        <f t="shared" si="54"/>
      </c>
      <c r="C6921" s="40">
        <f>IF(Inputs!$C$60,Inputs!$C$11+(B6921-Inputs!$C$69)/Inputs!$C$70,"")</f>
      </c>
      <c r="D6921" s="15"/>
      <c r="E6921" s="15"/>
      <c r="F6921" s="11">
        <f t="shared" si="55"/>
      </c>
      <c r="G6921" s="22" cm="1">
        <f t="array" ref="G6921">IF(AND(Inputs!$C$60,Inputs!$C$61),INDEX(Utility_Rates!$C$29:$F$52,HOUR(C6921)+Inputs!$C$69,MATCH(INDEX(Utility_Rates!$K$6:$K$17,MONTH(C6921))&amp;IF(WEEKDAY(C6921,Inputs!$C$76)&lt;=Inputs!$C$74," weekday"," weekend"),Utility_Rates!$C$28:$F$28,Inputs!$C$68)),"")</f>
      </c>
      <c r="H6921" s="34"/>
      <c r="I6921" s="42">
        <f>IF(AND(ISNUMBER(D6921),ISNUMBER(H6921)),D6921*H6921*Inputs!$C$69,"")</f>
      </c>
      <c r="J6921" s="42">
        <f>IF(AND(ISNUMBER(F6921),ISNUMBER(H6921),F6921&gt;=Inputs!$C$68),F6921*H6921*Inputs!$C$69,"")</f>
      </c>
    </row>
    <row r="6922" spans="2:10" ht="15" customHeight="1" x14ac:dyDescent="0.2">
      <c r="B6922" s="39">
        <f t="shared" si="54"/>
      </c>
      <c r="C6922" s="40">
        <f>IF(Inputs!$C$60,Inputs!$C$11+(B6922-Inputs!$C$69)/Inputs!$C$70,"")</f>
      </c>
      <c r="D6922" s="15"/>
      <c r="E6922" s="15"/>
      <c r="F6922" s="11">
        <f t="shared" si="55"/>
      </c>
      <c r="G6922" s="22" cm="1">
        <f t="array" ref="G6922">IF(AND(Inputs!$C$60,Inputs!$C$61),INDEX(Utility_Rates!$C$29:$F$52,HOUR(C6922)+Inputs!$C$69,MATCH(INDEX(Utility_Rates!$K$6:$K$17,MONTH(C6922))&amp;IF(WEEKDAY(C6922,Inputs!$C$76)&lt;=Inputs!$C$74," weekday"," weekend"),Utility_Rates!$C$28:$F$28,Inputs!$C$68)),"")</f>
      </c>
      <c r="H6922" s="34"/>
      <c r="I6922" s="42">
        <f>IF(AND(ISNUMBER(D6922),ISNUMBER(H6922)),D6922*H6922*Inputs!$C$69,"")</f>
      </c>
      <c r="J6922" s="42">
        <f>IF(AND(ISNUMBER(F6922),ISNUMBER(H6922),F6922&gt;=Inputs!$C$68),F6922*H6922*Inputs!$C$69,"")</f>
      </c>
    </row>
    <row r="6923" spans="2:10" ht="15" customHeight="1" x14ac:dyDescent="0.2">
      <c r="B6923" s="39">
        <f t="shared" si="54"/>
      </c>
      <c r="C6923" s="40">
        <f>IF(Inputs!$C$60,Inputs!$C$11+(B6923-Inputs!$C$69)/Inputs!$C$70,"")</f>
      </c>
      <c r="D6923" s="15"/>
      <c r="E6923" s="15"/>
      <c r="F6923" s="11">
        <f t="shared" si="55"/>
      </c>
      <c r="G6923" s="22" cm="1">
        <f t="array" ref="G6923">IF(AND(Inputs!$C$60,Inputs!$C$61),INDEX(Utility_Rates!$C$29:$F$52,HOUR(C6923)+Inputs!$C$69,MATCH(INDEX(Utility_Rates!$K$6:$K$17,MONTH(C6923))&amp;IF(WEEKDAY(C6923,Inputs!$C$76)&lt;=Inputs!$C$74," weekday"," weekend"),Utility_Rates!$C$28:$F$28,Inputs!$C$68)),"")</f>
      </c>
      <c r="H6923" s="34"/>
      <c r="I6923" s="42">
        <f>IF(AND(ISNUMBER(D6923),ISNUMBER(H6923)),D6923*H6923*Inputs!$C$69,"")</f>
      </c>
      <c r="J6923" s="42">
        <f>IF(AND(ISNUMBER(F6923),ISNUMBER(H6923),F6923&gt;=Inputs!$C$68),F6923*H6923*Inputs!$C$69,"")</f>
      </c>
    </row>
    <row r="6924" spans="2:10" ht="15" customHeight="1" x14ac:dyDescent="0.2">
      <c r="B6924" s="39">
        <f t="shared" si="54"/>
      </c>
      <c r="C6924" s="40">
        <f>IF(Inputs!$C$60,Inputs!$C$11+(B6924-Inputs!$C$69)/Inputs!$C$70,"")</f>
      </c>
      <c r="D6924" s="15"/>
      <c r="E6924" s="15"/>
      <c r="F6924" s="11">
        <f t="shared" si="55"/>
      </c>
      <c r="G6924" s="22" cm="1">
        <f t="array" ref="G6924">IF(AND(Inputs!$C$60,Inputs!$C$61),INDEX(Utility_Rates!$C$29:$F$52,HOUR(C6924)+Inputs!$C$69,MATCH(INDEX(Utility_Rates!$K$6:$K$17,MONTH(C6924))&amp;IF(WEEKDAY(C6924,Inputs!$C$76)&lt;=Inputs!$C$74," weekday"," weekend"),Utility_Rates!$C$28:$F$28,Inputs!$C$68)),"")</f>
      </c>
      <c r="H6924" s="34"/>
      <c r="I6924" s="42">
        <f>IF(AND(ISNUMBER(D6924),ISNUMBER(H6924)),D6924*H6924*Inputs!$C$69,"")</f>
      </c>
      <c r="J6924" s="42">
        <f>IF(AND(ISNUMBER(F6924),ISNUMBER(H6924),F6924&gt;=Inputs!$C$68),F6924*H6924*Inputs!$C$69,"")</f>
      </c>
    </row>
    <row r="6925" spans="2:10" ht="15" customHeight="1" x14ac:dyDescent="0.2">
      <c r="B6925" s="39">
        <f t="shared" si="54"/>
      </c>
      <c r="C6925" s="40">
        <f>IF(Inputs!$C$60,Inputs!$C$11+(B6925-Inputs!$C$69)/Inputs!$C$70,"")</f>
      </c>
      <c r="D6925" s="15"/>
      <c r="E6925" s="15"/>
      <c r="F6925" s="11">
        <f t="shared" si="55"/>
      </c>
      <c r="G6925" s="22" cm="1">
        <f t="array" ref="G6925">IF(AND(Inputs!$C$60,Inputs!$C$61),INDEX(Utility_Rates!$C$29:$F$52,HOUR(C6925)+Inputs!$C$69,MATCH(INDEX(Utility_Rates!$K$6:$K$17,MONTH(C6925))&amp;IF(WEEKDAY(C6925,Inputs!$C$76)&lt;=Inputs!$C$74," weekday"," weekend"),Utility_Rates!$C$28:$F$28,Inputs!$C$68)),"")</f>
      </c>
      <c r="H6925" s="34"/>
      <c r="I6925" s="42">
        <f>IF(AND(ISNUMBER(D6925),ISNUMBER(H6925)),D6925*H6925*Inputs!$C$69,"")</f>
      </c>
      <c r="J6925" s="42">
        <f>IF(AND(ISNUMBER(F6925),ISNUMBER(H6925),F6925&gt;=Inputs!$C$68),F6925*H6925*Inputs!$C$69,"")</f>
      </c>
    </row>
    <row r="6926" spans="2:10" ht="15" customHeight="1" x14ac:dyDescent="0.2">
      <c r="B6926" s="39">
        <f t="shared" si="54"/>
      </c>
      <c r="C6926" s="40">
        <f>IF(Inputs!$C$60,Inputs!$C$11+(B6926-Inputs!$C$69)/Inputs!$C$70,"")</f>
      </c>
      <c r="D6926" s="15"/>
      <c r="E6926" s="15"/>
      <c r="F6926" s="11">
        <f t="shared" si="55"/>
      </c>
      <c r="G6926" s="22" cm="1">
        <f t="array" ref="G6926">IF(AND(Inputs!$C$60,Inputs!$C$61),INDEX(Utility_Rates!$C$29:$F$52,HOUR(C6926)+Inputs!$C$69,MATCH(INDEX(Utility_Rates!$K$6:$K$17,MONTH(C6926))&amp;IF(WEEKDAY(C6926,Inputs!$C$76)&lt;=Inputs!$C$74," weekday"," weekend"),Utility_Rates!$C$28:$F$28,Inputs!$C$68)),"")</f>
      </c>
      <c r="H6926" s="34"/>
      <c r="I6926" s="42">
        <f>IF(AND(ISNUMBER(D6926),ISNUMBER(H6926)),D6926*H6926*Inputs!$C$69,"")</f>
      </c>
      <c r="J6926" s="42">
        <f>IF(AND(ISNUMBER(F6926),ISNUMBER(H6926),F6926&gt;=Inputs!$C$68),F6926*H6926*Inputs!$C$69,"")</f>
      </c>
    </row>
    <row r="6927" spans="2:10" ht="15" customHeight="1" x14ac:dyDescent="0.2">
      <c r="B6927" s="39">
        <f t="shared" si="54"/>
      </c>
      <c r="C6927" s="40">
        <f>IF(Inputs!$C$60,Inputs!$C$11+(B6927-Inputs!$C$69)/Inputs!$C$70,"")</f>
      </c>
      <c r="D6927" s="15"/>
      <c r="E6927" s="15"/>
      <c r="F6927" s="11">
        <f t="shared" si="55"/>
      </c>
      <c r="G6927" s="22" cm="1">
        <f t="array" ref="G6927">IF(AND(Inputs!$C$60,Inputs!$C$61),INDEX(Utility_Rates!$C$29:$F$52,HOUR(C6927)+Inputs!$C$69,MATCH(INDEX(Utility_Rates!$K$6:$K$17,MONTH(C6927))&amp;IF(WEEKDAY(C6927,Inputs!$C$76)&lt;=Inputs!$C$74," weekday"," weekend"),Utility_Rates!$C$28:$F$28,Inputs!$C$68)),"")</f>
      </c>
      <c r="H6927" s="34"/>
      <c r="I6927" s="42">
        <f>IF(AND(ISNUMBER(D6927),ISNUMBER(H6927)),D6927*H6927*Inputs!$C$69,"")</f>
      </c>
      <c r="J6927" s="42">
        <f>IF(AND(ISNUMBER(F6927),ISNUMBER(H6927),F6927&gt;=Inputs!$C$68),F6927*H6927*Inputs!$C$69,"")</f>
      </c>
    </row>
    <row r="6928" spans="2:10" ht="15" customHeight="1" x14ac:dyDescent="0.2">
      <c r="B6928" s="39">
        <f t="shared" si="54"/>
      </c>
      <c r="C6928" s="40">
        <f>IF(Inputs!$C$60,Inputs!$C$11+(B6928-Inputs!$C$69)/Inputs!$C$70,"")</f>
      </c>
      <c r="D6928" s="15"/>
      <c r="E6928" s="15"/>
      <c r="F6928" s="11">
        <f t="shared" si="55"/>
      </c>
      <c r="G6928" s="22" cm="1">
        <f t="array" ref="G6928">IF(AND(Inputs!$C$60,Inputs!$C$61),INDEX(Utility_Rates!$C$29:$F$52,HOUR(C6928)+Inputs!$C$69,MATCH(INDEX(Utility_Rates!$K$6:$K$17,MONTH(C6928))&amp;IF(WEEKDAY(C6928,Inputs!$C$76)&lt;=Inputs!$C$74," weekday"," weekend"),Utility_Rates!$C$28:$F$28,Inputs!$C$68)),"")</f>
      </c>
      <c r="H6928" s="34"/>
      <c r="I6928" s="42">
        <f>IF(AND(ISNUMBER(D6928),ISNUMBER(H6928)),D6928*H6928*Inputs!$C$69,"")</f>
      </c>
      <c r="J6928" s="42">
        <f>IF(AND(ISNUMBER(F6928),ISNUMBER(H6928),F6928&gt;=Inputs!$C$68),F6928*H6928*Inputs!$C$69,"")</f>
      </c>
    </row>
    <row r="6929" spans="2:10" ht="15" customHeight="1" x14ac:dyDescent="0.2">
      <c r="B6929" s="39">
        <f t="shared" si="54"/>
      </c>
      <c r="C6929" s="40">
        <f>IF(Inputs!$C$60,Inputs!$C$11+(B6929-Inputs!$C$69)/Inputs!$C$70,"")</f>
      </c>
      <c r="D6929" s="15"/>
      <c r="E6929" s="15"/>
      <c r="F6929" s="11">
        <f t="shared" si="55"/>
      </c>
      <c r="G6929" s="22" cm="1">
        <f t="array" ref="G6929">IF(AND(Inputs!$C$60,Inputs!$C$61),INDEX(Utility_Rates!$C$29:$F$52,HOUR(C6929)+Inputs!$C$69,MATCH(INDEX(Utility_Rates!$K$6:$K$17,MONTH(C6929))&amp;IF(WEEKDAY(C6929,Inputs!$C$76)&lt;=Inputs!$C$74," weekday"," weekend"),Utility_Rates!$C$28:$F$28,Inputs!$C$68)),"")</f>
      </c>
      <c r="H6929" s="34"/>
      <c r="I6929" s="42">
        <f>IF(AND(ISNUMBER(D6929),ISNUMBER(H6929)),D6929*H6929*Inputs!$C$69,"")</f>
      </c>
      <c r="J6929" s="42">
        <f>IF(AND(ISNUMBER(F6929),ISNUMBER(H6929),F6929&gt;=Inputs!$C$68),F6929*H6929*Inputs!$C$69,"")</f>
      </c>
    </row>
    <row r="6930" spans="2:10" ht="15" customHeight="1" x14ac:dyDescent="0.2">
      <c r="B6930" s="39">
        <f t="shared" si="54"/>
      </c>
      <c r="C6930" s="40">
        <f>IF(Inputs!$C$60,Inputs!$C$11+(B6930-Inputs!$C$69)/Inputs!$C$70,"")</f>
      </c>
      <c r="D6930" s="15"/>
      <c r="E6930" s="15"/>
      <c r="F6930" s="11">
        <f t="shared" si="55"/>
      </c>
      <c r="G6930" s="22" cm="1">
        <f t="array" ref="G6930">IF(AND(Inputs!$C$60,Inputs!$C$61),INDEX(Utility_Rates!$C$29:$F$52,HOUR(C6930)+Inputs!$C$69,MATCH(INDEX(Utility_Rates!$K$6:$K$17,MONTH(C6930))&amp;IF(WEEKDAY(C6930,Inputs!$C$76)&lt;=Inputs!$C$74," weekday"," weekend"),Utility_Rates!$C$28:$F$28,Inputs!$C$68)),"")</f>
      </c>
      <c r="H6930" s="34"/>
      <c r="I6930" s="42">
        <f>IF(AND(ISNUMBER(D6930),ISNUMBER(H6930)),D6930*H6930*Inputs!$C$69,"")</f>
      </c>
      <c r="J6930" s="42">
        <f>IF(AND(ISNUMBER(F6930),ISNUMBER(H6930),F6930&gt;=Inputs!$C$68),F6930*H6930*Inputs!$C$69,"")</f>
      </c>
    </row>
    <row r="6931" spans="2:10" ht="15" customHeight="1" x14ac:dyDescent="0.2">
      <c r="B6931" s="39">
        <f t="shared" si="54"/>
      </c>
      <c r="C6931" s="40">
        <f>IF(Inputs!$C$60,Inputs!$C$11+(B6931-Inputs!$C$69)/Inputs!$C$70,"")</f>
      </c>
      <c r="D6931" s="15"/>
      <c r="E6931" s="15"/>
      <c r="F6931" s="11">
        <f t="shared" si="55"/>
      </c>
      <c r="G6931" s="22" cm="1">
        <f t="array" ref="G6931">IF(AND(Inputs!$C$60,Inputs!$C$61),INDEX(Utility_Rates!$C$29:$F$52,HOUR(C6931)+Inputs!$C$69,MATCH(INDEX(Utility_Rates!$K$6:$K$17,MONTH(C6931))&amp;IF(WEEKDAY(C6931,Inputs!$C$76)&lt;=Inputs!$C$74," weekday"," weekend"),Utility_Rates!$C$28:$F$28,Inputs!$C$68)),"")</f>
      </c>
      <c r="H6931" s="34"/>
      <c r="I6931" s="42">
        <f>IF(AND(ISNUMBER(D6931),ISNUMBER(H6931)),D6931*H6931*Inputs!$C$69,"")</f>
      </c>
      <c r="J6931" s="42">
        <f>IF(AND(ISNUMBER(F6931),ISNUMBER(H6931),F6931&gt;=Inputs!$C$68),F6931*H6931*Inputs!$C$69,"")</f>
      </c>
    </row>
    <row r="6932" spans="2:10" ht="15" customHeight="1" x14ac:dyDescent="0.2">
      <c r="B6932" s="39">
        <f t="shared" si="54"/>
      </c>
      <c r="C6932" s="40">
        <f>IF(Inputs!$C$60,Inputs!$C$11+(B6932-Inputs!$C$69)/Inputs!$C$70,"")</f>
      </c>
      <c r="D6932" s="15"/>
      <c r="E6932" s="15"/>
      <c r="F6932" s="11">
        <f t="shared" si="55"/>
      </c>
      <c r="G6932" s="22" cm="1">
        <f t="array" ref="G6932">IF(AND(Inputs!$C$60,Inputs!$C$61),INDEX(Utility_Rates!$C$29:$F$52,HOUR(C6932)+Inputs!$C$69,MATCH(INDEX(Utility_Rates!$K$6:$K$17,MONTH(C6932))&amp;IF(WEEKDAY(C6932,Inputs!$C$76)&lt;=Inputs!$C$74," weekday"," weekend"),Utility_Rates!$C$28:$F$28,Inputs!$C$68)),"")</f>
      </c>
      <c r="H6932" s="34"/>
      <c r="I6932" s="42">
        <f>IF(AND(ISNUMBER(D6932),ISNUMBER(H6932)),D6932*H6932*Inputs!$C$69,"")</f>
      </c>
      <c r="J6932" s="42">
        <f>IF(AND(ISNUMBER(F6932),ISNUMBER(H6932),F6932&gt;=Inputs!$C$68),F6932*H6932*Inputs!$C$69,"")</f>
      </c>
    </row>
    <row r="6933" spans="2:10" ht="15" customHeight="1" x14ac:dyDescent="0.2">
      <c r="B6933" s="39">
        <f t="shared" si="54"/>
      </c>
      <c r="C6933" s="40">
        <f>IF(Inputs!$C$60,Inputs!$C$11+(B6933-Inputs!$C$69)/Inputs!$C$70,"")</f>
      </c>
      <c r="D6933" s="15"/>
      <c r="E6933" s="15"/>
      <c r="F6933" s="11">
        <f t="shared" si="55"/>
      </c>
      <c r="G6933" s="22" cm="1">
        <f t="array" ref="G6933">IF(AND(Inputs!$C$60,Inputs!$C$61),INDEX(Utility_Rates!$C$29:$F$52,HOUR(C6933)+Inputs!$C$69,MATCH(INDEX(Utility_Rates!$K$6:$K$17,MONTH(C6933))&amp;IF(WEEKDAY(C6933,Inputs!$C$76)&lt;=Inputs!$C$74," weekday"," weekend"),Utility_Rates!$C$28:$F$28,Inputs!$C$68)),"")</f>
      </c>
      <c r="H6933" s="34"/>
      <c r="I6933" s="42">
        <f>IF(AND(ISNUMBER(D6933),ISNUMBER(H6933)),D6933*H6933*Inputs!$C$69,"")</f>
      </c>
      <c r="J6933" s="42">
        <f>IF(AND(ISNUMBER(F6933),ISNUMBER(H6933),F6933&gt;=Inputs!$C$68),F6933*H6933*Inputs!$C$69,"")</f>
      </c>
    </row>
    <row r="6934" spans="2:10" ht="15" customHeight="1" x14ac:dyDescent="0.2">
      <c r="B6934" s="39">
        <f t="shared" si="54"/>
      </c>
      <c r="C6934" s="40">
        <f>IF(Inputs!$C$60,Inputs!$C$11+(B6934-Inputs!$C$69)/Inputs!$C$70,"")</f>
      </c>
      <c r="D6934" s="15"/>
      <c r="E6934" s="15"/>
      <c r="F6934" s="11">
        <f t="shared" si="55"/>
      </c>
      <c r="G6934" s="22" cm="1">
        <f t="array" ref="G6934">IF(AND(Inputs!$C$60,Inputs!$C$61),INDEX(Utility_Rates!$C$29:$F$52,HOUR(C6934)+Inputs!$C$69,MATCH(INDEX(Utility_Rates!$K$6:$K$17,MONTH(C6934))&amp;IF(WEEKDAY(C6934,Inputs!$C$76)&lt;=Inputs!$C$74," weekday"," weekend"),Utility_Rates!$C$28:$F$28,Inputs!$C$68)),"")</f>
      </c>
      <c r="H6934" s="34"/>
      <c r="I6934" s="42">
        <f>IF(AND(ISNUMBER(D6934),ISNUMBER(H6934)),D6934*H6934*Inputs!$C$69,"")</f>
      </c>
      <c r="J6934" s="42">
        <f>IF(AND(ISNUMBER(F6934),ISNUMBER(H6934),F6934&gt;=Inputs!$C$68),F6934*H6934*Inputs!$C$69,"")</f>
      </c>
    </row>
    <row r="6935" spans="2:10" ht="15" customHeight="1" x14ac:dyDescent="0.2">
      <c r="B6935" s="39">
        <f t="shared" si="54"/>
      </c>
      <c r="C6935" s="40">
        <f>IF(Inputs!$C$60,Inputs!$C$11+(B6935-Inputs!$C$69)/Inputs!$C$70,"")</f>
      </c>
      <c r="D6935" s="15"/>
      <c r="E6935" s="15"/>
      <c r="F6935" s="11">
        <f t="shared" si="55"/>
      </c>
      <c r="G6935" s="22" cm="1">
        <f t="array" ref="G6935">IF(AND(Inputs!$C$60,Inputs!$C$61),INDEX(Utility_Rates!$C$29:$F$52,HOUR(C6935)+Inputs!$C$69,MATCH(INDEX(Utility_Rates!$K$6:$K$17,MONTH(C6935))&amp;IF(WEEKDAY(C6935,Inputs!$C$76)&lt;=Inputs!$C$74," weekday"," weekend"),Utility_Rates!$C$28:$F$28,Inputs!$C$68)),"")</f>
      </c>
      <c r="H6935" s="34"/>
      <c r="I6935" s="42">
        <f>IF(AND(ISNUMBER(D6935),ISNUMBER(H6935)),D6935*H6935*Inputs!$C$69,"")</f>
      </c>
      <c r="J6935" s="42">
        <f>IF(AND(ISNUMBER(F6935),ISNUMBER(H6935),F6935&gt;=Inputs!$C$68),F6935*H6935*Inputs!$C$69,"")</f>
      </c>
    </row>
    <row r="6936" spans="2:10" ht="15" customHeight="1" x14ac:dyDescent="0.2">
      <c r="B6936" s="39">
        <f t="shared" si="54"/>
      </c>
      <c r="C6936" s="40">
        <f>IF(Inputs!$C$60,Inputs!$C$11+(B6936-Inputs!$C$69)/Inputs!$C$70,"")</f>
      </c>
      <c r="D6936" s="15"/>
      <c r="E6936" s="15"/>
      <c r="F6936" s="11">
        <f t="shared" si="55"/>
      </c>
      <c r="G6936" s="22" cm="1">
        <f t="array" ref="G6936">IF(AND(Inputs!$C$60,Inputs!$C$61),INDEX(Utility_Rates!$C$29:$F$52,HOUR(C6936)+Inputs!$C$69,MATCH(INDEX(Utility_Rates!$K$6:$K$17,MONTH(C6936))&amp;IF(WEEKDAY(C6936,Inputs!$C$76)&lt;=Inputs!$C$74," weekday"," weekend"),Utility_Rates!$C$28:$F$28,Inputs!$C$68)),"")</f>
      </c>
      <c r="H6936" s="34"/>
      <c r="I6936" s="42">
        <f>IF(AND(ISNUMBER(D6936),ISNUMBER(H6936)),D6936*H6936*Inputs!$C$69,"")</f>
      </c>
      <c r="J6936" s="42">
        <f>IF(AND(ISNUMBER(F6936),ISNUMBER(H6936),F6936&gt;=Inputs!$C$68),F6936*H6936*Inputs!$C$69,"")</f>
      </c>
    </row>
    <row r="6937" spans="2:10" ht="15" customHeight="1" x14ac:dyDescent="0.2">
      <c r="B6937" s="39">
        <f t="shared" si="54"/>
      </c>
      <c r="C6937" s="40">
        <f>IF(Inputs!$C$60,Inputs!$C$11+(B6937-Inputs!$C$69)/Inputs!$C$70,"")</f>
      </c>
      <c r="D6937" s="15"/>
      <c r="E6937" s="15"/>
      <c r="F6937" s="11">
        <f t="shared" si="55"/>
      </c>
      <c r="G6937" s="22" cm="1">
        <f t="array" ref="G6937">IF(AND(Inputs!$C$60,Inputs!$C$61),INDEX(Utility_Rates!$C$29:$F$52,HOUR(C6937)+Inputs!$C$69,MATCH(INDEX(Utility_Rates!$K$6:$K$17,MONTH(C6937))&amp;IF(WEEKDAY(C6937,Inputs!$C$76)&lt;=Inputs!$C$74," weekday"," weekend"),Utility_Rates!$C$28:$F$28,Inputs!$C$68)),"")</f>
      </c>
      <c r="H6937" s="34"/>
      <c r="I6937" s="42">
        <f>IF(AND(ISNUMBER(D6937),ISNUMBER(H6937)),D6937*H6937*Inputs!$C$69,"")</f>
      </c>
      <c r="J6937" s="42">
        <f>IF(AND(ISNUMBER(F6937),ISNUMBER(H6937),F6937&gt;=Inputs!$C$68),F6937*H6937*Inputs!$C$69,"")</f>
      </c>
    </row>
    <row r="6938" spans="2:10" ht="15" customHeight="1" x14ac:dyDescent="0.2">
      <c r="B6938" s="39">
        <f t="shared" si="54"/>
      </c>
      <c r="C6938" s="40">
        <f>IF(Inputs!$C$60,Inputs!$C$11+(B6938-Inputs!$C$69)/Inputs!$C$70,"")</f>
      </c>
      <c r="D6938" s="15"/>
      <c r="E6938" s="15"/>
      <c r="F6938" s="11">
        <f t="shared" si="55"/>
      </c>
      <c r="G6938" s="22" cm="1">
        <f t="array" ref="G6938">IF(AND(Inputs!$C$60,Inputs!$C$61),INDEX(Utility_Rates!$C$29:$F$52,HOUR(C6938)+Inputs!$C$69,MATCH(INDEX(Utility_Rates!$K$6:$K$17,MONTH(C6938))&amp;IF(WEEKDAY(C6938,Inputs!$C$76)&lt;=Inputs!$C$74," weekday"," weekend"),Utility_Rates!$C$28:$F$28,Inputs!$C$68)),"")</f>
      </c>
      <c r="H6938" s="34"/>
      <c r="I6938" s="42">
        <f>IF(AND(ISNUMBER(D6938),ISNUMBER(H6938)),D6938*H6938*Inputs!$C$69,"")</f>
      </c>
      <c r="J6938" s="42">
        <f>IF(AND(ISNUMBER(F6938),ISNUMBER(H6938),F6938&gt;=Inputs!$C$68),F6938*H6938*Inputs!$C$69,"")</f>
      </c>
    </row>
    <row r="6939" spans="2:10" ht="15" customHeight="1" x14ac:dyDescent="0.2">
      <c r="B6939" s="39">
        <f t="shared" si="54"/>
      </c>
      <c r="C6939" s="40">
        <f>IF(Inputs!$C$60,Inputs!$C$11+(B6939-Inputs!$C$69)/Inputs!$C$70,"")</f>
      </c>
      <c r="D6939" s="15"/>
      <c r="E6939" s="15"/>
      <c r="F6939" s="11">
        <f t="shared" si="55"/>
      </c>
      <c r="G6939" s="22" cm="1">
        <f t="array" ref="G6939">IF(AND(Inputs!$C$60,Inputs!$C$61),INDEX(Utility_Rates!$C$29:$F$52,HOUR(C6939)+Inputs!$C$69,MATCH(INDEX(Utility_Rates!$K$6:$K$17,MONTH(C6939))&amp;IF(WEEKDAY(C6939,Inputs!$C$76)&lt;=Inputs!$C$74," weekday"," weekend"),Utility_Rates!$C$28:$F$28,Inputs!$C$68)),"")</f>
      </c>
      <c r="H6939" s="34"/>
      <c r="I6939" s="42">
        <f>IF(AND(ISNUMBER(D6939),ISNUMBER(H6939)),D6939*H6939*Inputs!$C$69,"")</f>
      </c>
      <c r="J6939" s="42">
        <f>IF(AND(ISNUMBER(F6939),ISNUMBER(H6939),F6939&gt;=Inputs!$C$68),F6939*H6939*Inputs!$C$69,"")</f>
      </c>
    </row>
    <row r="6940" spans="2:10" ht="15" customHeight="1" x14ac:dyDescent="0.2">
      <c r="B6940" s="39">
        <f t="shared" si="54"/>
      </c>
      <c r="C6940" s="40">
        <f>IF(Inputs!$C$60,Inputs!$C$11+(B6940-Inputs!$C$69)/Inputs!$C$70,"")</f>
      </c>
      <c r="D6940" s="15"/>
      <c r="E6940" s="15"/>
      <c r="F6940" s="11">
        <f t="shared" si="55"/>
      </c>
      <c r="G6940" s="22" cm="1">
        <f t="array" ref="G6940">IF(AND(Inputs!$C$60,Inputs!$C$61),INDEX(Utility_Rates!$C$29:$F$52,HOUR(C6940)+Inputs!$C$69,MATCH(INDEX(Utility_Rates!$K$6:$K$17,MONTH(C6940))&amp;IF(WEEKDAY(C6940,Inputs!$C$76)&lt;=Inputs!$C$74," weekday"," weekend"),Utility_Rates!$C$28:$F$28,Inputs!$C$68)),"")</f>
      </c>
      <c r="H6940" s="34"/>
      <c r="I6940" s="42">
        <f>IF(AND(ISNUMBER(D6940),ISNUMBER(H6940)),D6940*H6940*Inputs!$C$69,"")</f>
      </c>
      <c r="J6940" s="42">
        <f>IF(AND(ISNUMBER(F6940),ISNUMBER(H6940),F6940&gt;=Inputs!$C$68),F6940*H6940*Inputs!$C$69,"")</f>
      </c>
    </row>
    <row r="6941" spans="2:10" ht="15" customHeight="1" x14ac:dyDescent="0.2">
      <c r="B6941" s="39">
        <f t="shared" si="54"/>
      </c>
      <c r="C6941" s="40">
        <f>IF(Inputs!$C$60,Inputs!$C$11+(B6941-Inputs!$C$69)/Inputs!$C$70,"")</f>
      </c>
      <c r="D6941" s="15"/>
      <c r="E6941" s="15"/>
      <c r="F6941" s="11">
        <f t="shared" si="55"/>
      </c>
      <c r="G6941" s="22" cm="1">
        <f t="array" ref="G6941">IF(AND(Inputs!$C$60,Inputs!$C$61),INDEX(Utility_Rates!$C$29:$F$52,HOUR(C6941)+Inputs!$C$69,MATCH(INDEX(Utility_Rates!$K$6:$K$17,MONTH(C6941))&amp;IF(WEEKDAY(C6941,Inputs!$C$76)&lt;=Inputs!$C$74," weekday"," weekend"),Utility_Rates!$C$28:$F$28,Inputs!$C$68)),"")</f>
      </c>
      <c r="H6941" s="34"/>
      <c r="I6941" s="42">
        <f>IF(AND(ISNUMBER(D6941),ISNUMBER(H6941)),D6941*H6941*Inputs!$C$69,"")</f>
      </c>
      <c r="J6941" s="42">
        <f>IF(AND(ISNUMBER(F6941),ISNUMBER(H6941),F6941&gt;=Inputs!$C$68),F6941*H6941*Inputs!$C$69,"")</f>
      </c>
    </row>
    <row r="6942" spans="2:10" ht="15" customHeight="1" x14ac:dyDescent="0.2">
      <c r="B6942" s="39">
        <f t="shared" si="54"/>
      </c>
      <c r="C6942" s="40">
        <f>IF(Inputs!$C$60,Inputs!$C$11+(B6942-Inputs!$C$69)/Inputs!$C$70,"")</f>
      </c>
      <c r="D6942" s="15"/>
      <c r="E6942" s="15"/>
      <c r="F6942" s="11">
        <f t="shared" si="55"/>
      </c>
      <c r="G6942" s="22" cm="1">
        <f t="array" ref="G6942">IF(AND(Inputs!$C$60,Inputs!$C$61),INDEX(Utility_Rates!$C$29:$F$52,HOUR(C6942)+Inputs!$C$69,MATCH(INDEX(Utility_Rates!$K$6:$K$17,MONTH(C6942))&amp;IF(WEEKDAY(C6942,Inputs!$C$76)&lt;=Inputs!$C$74," weekday"," weekend"),Utility_Rates!$C$28:$F$28,Inputs!$C$68)),"")</f>
      </c>
      <c r="H6942" s="34"/>
      <c r="I6942" s="42">
        <f>IF(AND(ISNUMBER(D6942),ISNUMBER(H6942)),D6942*H6942*Inputs!$C$69,"")</f>
      </c>
      <c r="J6942" s="42">
        <f>IF(AND(ISNUMBER(F6942),ISNUMBER(H6942),F6942&gt;=Inputs!$C$68),F6942*H6942*Inputs!$C$69,"")</f>
      </c>
    </row>
    <row r="6943" spans="2:10" ht="15" customHeight="1" x14ac:dyDescent="0.2">
      <c r="B6943" s="39">
        <f t="shared" si="54"/>
      </c>
      <c r="C6943" s="40">
        <f>IF(Inputs!$C$60,Inputs!$C$11+(B6943-Inputs!$C$69)/Inputs!$C$70,"")</f>
      </c>
      <c r="D6943" s="15"/>
      <c r="E6943" s="15"/>
      <c r="F6943" s="11">
        <f t="shared" si="55"/>
      </c>
      <c r="G6943" s="22" cm="1">
        <f t="array" ref="G6943">IF(AND(Inputs!$C$60,Inputs!$C$61),INDEX(Utility_Rates!$C$29:$F$52,HOUR(C6943)+Inputs!$C$69,MATCH(INDEX(Utility_Rates!$K$6:$K$17,MONTH(C6943))&amp;IF(WEEKDAY(C6943,Inputs!$C$76)&lt;=Inputs!$C$74," weekday"," weekend"),Utility_Rates!$C$28:$F$28,Inputs!$C$68)),"")</f>
      </c>
      <c r="H6943" s="34"/>
      <c r="I6943" s="42">
        <f>IF(AND(ISNUMBER(D6943),ISNUMBER(H6943)),D6943*H6943*Inputs!$C$69,"")</f>
      </c>
      <c r="J6943" s="42">
        <f>IF(AND(ISNUMBER(F6943),ISNUMBER(H6943),F6943&gt;=Inputs!$C$68),F6943*H6943*Inputs!$C$69,"")</f>
      </c>
    </row>
    <row r="6944" spans="2:10" ht="15" customHeight="1" x14ac:dyDescent="0.2">
      <c r="B6944" s="39">
        <f t="shared" si="54"/>
      </c>
      <c r="C6944" s="40">
        <f>IF(Inputs!$C$60,Inputs!$C$11+(B6944-Inputs!$C$69)/Inputs!$C$70,"")</f>
      </c>
      <c r="D6944" s="15"/>
      <c r="E6944" s="15"/>
      <c r="F6944" s="11">
        <f t="shared" si="55"/>
      </c>
      <c r="G6944" s="22" cm="1">
        <f t="array" ref="G6944">IF(AND(Inputs!$C$60,Inputs!$C$61),INDEX(Utility_Rates!$C$29:$F$52,HOUR(C6944)+Inputs!$C$69,MATCH(INDEX(Utility_Rates!$K$6:$K$17,MONTH(C6944))&amp;IF(WEEKDAY(C6944,Inputs!$C$76)&lt;=Inputs!$C$74," weekday"," weekend"),Utility_Rates!$C$28:$F$28,Inputs!$C$68)),"")</f>
      </c>
      <c r="H6944" s="34"/>
      <c r="I6944" s="42">
        <f>IF(AND(ISNUMBER(D6944),ISNUMBER(H6944)),D6944*H6944*Inputs!$C$69,"")</f>
      </c>
      <c r="J6944" s="42">
        <f>IF(AND(ISNUMBER(F6944),ISNUMBER(H6944),F6944&gt;=Inputs!$C$68),F6944*H6944*Inputs!$C$69,"")</f>
      </c>
    </row>
    <row r="6945" spans="2:10" ht="15" customHeight="1" x14ac:dyDescent="0.2">
      <c r="B6945" s="39">
        <f t="shared" si="54"/>
      </c>
      <c r="C6945" s="40">
        <f>IF(Inputs!$C$60,Inputs!$C$11+(B6945-Inputs!$C$69)/Inputs!$C$70,"")</f>
      </c>
      <c r="D6945" s="15"/>
      <c r="E6945" s="15"/>
      <c r="F6945" s="11">
        <f t="shared" si="55"/>
      </c>
      <c r="G6945" s="22" cm="1">
        <f t="array" ref="G6945">IF(AND(Inputs!$C$60,Inputs!$C$61),INDEX(Utility_Rates!$C$29:$F$52,HOUR(C6945)+Inputs!$C$69,MATCH(INDEX(Utility_Rates!$K$6:$K$17,MONTH(C6945))&amp;IF(WEEKDAY(C6945,Inputs!$C$76)&lt;=Inputs!$C$74," weekday"," weekend"),Utility_Rates!$C$28:$F$28,Inputs!$C$68)),"")</f>
      </c>
      <c r="H6945" s="34"/>
      <c r="I6945" s="42">
        <f>IF(AND(ISNUMBER(D6945),ISNUMBER(H6945)),D6945*H6945*Inputs!$C$69,"")</f>
      </c>
      <c r="J6945" s="42">
        <f>IF(AND(ISNUMBER(F6945),ISNUMBER(H6945),F6945&gt;=Inputs!$C$68),F6945*H6945*Inputs!$C$69,"")</f>
      </c>
    </row>
    <row r="6946" spans="2:10" ht="15" customHeight="1" x14ac:dyDescent="0.2">
      <c r="B6946" s="39">
        <f t="shared" si="54"/>
      </c>
      <c r="C6946" s="40">
        <f>IF(Inputs!$C$60,Inputs!$C$11+(B6946-Inputs!$C$69)/Inputs!$C$70,"")</f>
      </c>
      <c r="D6946" s="15"/>
      <c r="E6946" s="15"/>
      <c r="F6946" s="11">
        <f t="shared" si="55"/>
      </c>
      <c r="G6946" s="22" cm="1">
        <f t="array" ref="G6946">IF(AND(Inputs!$C$60,Inputs!$C$61),INDEX(Utility_Rates!$C$29:$F$52,HOUR(C6946)+Inputs!$C$69,MATCH(INDEX(Utility_Rates!$K$6:$K$17,MONTH(C6946))&amp;IF(WEEKDAY(C6946,Inputs!$C$76)&lt;=Inputs!$C$74," weekday"," weekend"),Utility_Rates!$C$28:$F$28,Inputs!$C$68)),"")</f>
      </c>
      <c r="H6946" s="34"/>
      <c r="I6946" s="42">
        <f>IF(AND(ISNUMBER(D6946),ISNUMBER(H6946)),D6946*H6946*Inputs!$C$69,"")</f>
      </c>
      <c r="J6946" s="42">
        <f>IF(AND(ISNUMBER(F6946),ISNUMBER(H6946),F6946&gt;=Inputs!$C$68),F6946*H6946*Inputs!$C$69,"")</f>
      </c>
    </row>
    <row r="6947" spans="2:10" ht="15" customHeight="1" x14ac:dyDescent="0.2">
      <c r="B6947" s="39">
        <f t="shared" si="54"/>
      </c>
      <c r="C6947" s="40">
        <f>IF(Inputs!$C$60,Inputs!$C$11+(B6947-Inputs!$C$69)/Inputs!$C$70,"")</f>
      </c>
      <c r="D6947" s="15"/>
      <c r="E6947" s="15"/>
      <c r="F6947" s="11">
        <f t="shared" si="55"/>
      </c>
      <c r="G6947" s="22" cm="1">
        <f t="array" ref="G6947">IF(AND(Inputs!$C$60,Inputs!$C$61),INDEX(Utility_Rates!$C$29:$F$52,HOUR(C6947)+Inputs!$C$69,MATCH(INDEX(Utility_Rates!$K$6:$K$17,MONTH(C6947))&amp;IF(WEEKDAY(C6947,Inputs!$C$76)&lt;=Inputs!$C$74," weekday"," weekend"),Utility_Rates!$C$28:$F$28,Inputs!$C$68)),"")</f>
      </c>
      <c r="H6947" s="34"/>
      <c r="I6947" s="42">
        <f>IF(AND(ISNUMBER(D6947),ISNUMBER(H6947)),D6947*H6947*Inputs!$C$69,"")</f>
      </c>
      <c r="J6947" s="42">
        <f>IF(AND(ISNUMBER(F6947),ISNUMBER(H6947),F6947&gt;=Inputs!$C$68),F6947*H6947*Inputs!$C$69,"")</f>
      </c>
    </row>
    <row r="6948" spans="2:10" ht="15" customHeight="1" x14ac:dyDescent="0.2">
      <c r="B6948" s="39">
        <f t="shared" si="54"/>
      </c>
      <c r="C6948" s="40">
        <f>IF(Inputs!$C$60,Inputs!$C$11+(B6948-Inputs!$C$69)/Inputs!$C$70,"")</f>
      </c>
      <c r="D6948" s="15"/>
      <c r="E6948" s="15"/>
      <c r="F6948" s="11">
        <f t="shared" si="55"/>
      </c>
      <c r="G6948" s="22" cm="1">
        <f t="array" ref="G6948">IF(AND(Inputs!$C$60,Inputs!$C$61),INDEX(Utility_Rates!$C$29:$F$52,HOUR(C6948)+Inputs!$C$69,MATCH(INDEX(Utility_Rates!$K$6:$K$17,MONTH(C6948))&amp;IF(WEEKDAY(C6948,Inputs!$C$76)&lt;=Inputs!$C$74," weekday"," weekend"),Utility_Rates!$C$28:$F$28,Inputs!$C$68)),"")</f>
      </c>
      <c r="H6948" s="34"/>
      <c r="I6948" s="42">
        <f>IF(AND(ISNUMBER(D6948),ISNUMBER(H6948)),D6948*H6948*Inputs!$C$69,"")</f>
      </c>
      <c r="J6948" s="42">
        <f>IF(AND(ISNUMBER(F6948),ISNUMBER(H6948),F6948&gt;=Inputs!$C$68),F6948*H6948*Inputs!$C$69,"")</f>
      </c>
    </row>
    <row r="6949" spans="2:10" ht="15" customHeight="1" x14ac:dyDescent="0.2">
      <c r="B6949" s="39">
        <f t="shared" si="54"/>
      </c>
      <c r="C6949" s="40">
        <f>IF(Inputs!$C$60,Inputs!$C$11+(B6949-Inputs!$C$69)/Inputs!$C$70,"")</f>
      </c>
      <c r="D6949" s="15"/>
      <c r="E6949" s="15"/>
      <c r="F6949" s="11">
        <f t="shared" si="55"/>
      </c>
      <c r="G6949" s="22" cm="1">
        <f t="array" ref="G6949">IF(AND(Inputs!$C$60,Inputs!$C$61),INDEX(Utility_Rates!$C$29:$F$52,HOUR(C6949)+Inputs!$C$69,MATCH(INDEX(Utility_Rates!$K$6:$K$17,MONTH(C6949))&amp;IF(WEEKDAY(C6949,Inputs!$C$76)&lt;=Inputs!$C$74," weekday"," weekend"),Utility_Rates!$C$28:$F$28,Inputs!$C$68)),"")</f>
      </c>
      <c r="H6949" s="34"/>
      <c r="I6949" s="42">
        <f>IF(AND(ISNUMBER(D6949),ISNUMBER(H6949)),D6949*H6949*Inputs!$C$69,"")</f>
      </c>
      <c r="J6949" s="42">
        <f>IF(AND(ISNUMBER(F6949),ISNUMBER(H6949),F6949&gt;=Inputs!$C$68),F6949*H6949*Inputs!$C$69,"")</f>
      </c>
    </row>
    <row r="6950" spans="2:10" ht="15" customHeight="1" x14ac:dyDescent="0.2">
      <c r="B6950" s="39">
        <f t="shared" si="54"/>
      </c>
      <c r="C6950" s="40">
        <f>IF(Inputs!$C$60,Inputs!$C$11+(B6950-Inputs!$C$69)/Inputs!$C$70,"")</f>
      </c>
      <c r="D6950" s="15"/>
      <c r="E6950" s="15"/>
      <c r="F6950" s="11">
        <f t="shared" si="55"/>
      </c>
      <c r="G6950" s="22" cm="1">
        <f t="array" ref="G6950">IF(AND(Inputs!$C$60,Inputs!$C$61),INDEX(Utility_Rates!$C$29:$F$52,HOUR(C6950)+Inputs!$C$69,MATCH(INDEX(Utility_Rates!$K$6:$K$17,MONTH(C6950))&amp;IF(WEEKDAY(C6950,Inputs!$C$76)&lt;=Inputs!$C$74," weekday"," weekend"),Utility_Rates!$C$28:$F$28,Inputs!$C$68)),"")</f>
      </c>
      <c r="H6950" s="34"/>
      <c r="I6950" s="42">
        <f>IF(AND(ISNUMBER(D6950),ISNUMBER(H6950)),D6950*H6950*Inputs!$C$69,"")</f>
      </c>
      <c r="J6950" s="42">
        <f>IF(AND(ISNUMBER(F6950),ISNUMBER(H6950),F6950&gt;=Inputs!$C$68),F6950*H6950*Inputs!$C$69,"")</f>
      </c>
    </row>
    <row r="6951" spans="2:10" ht="15" customHeight="1" x14ac:dyDescent="0.2">
      <c r="B6951" s="39">
        <f t="shared" si="54"/>
      </c>
      <c r="C6951" s="40">
        <f>IF(Inputs!$C$60,Inputs!$C$11+(B6951-Inputs!$C$69)/Inputs!$C$70,"")</f>
      </c>
      <c r="D6951" s="15"/>
      <c r="E6951" s="15"/>
      <c r="F6951" s="11">
        <f t="shared" si="55"/>
      </c>
      <c r="G6951" s="22" cm="1">
        <f t="array" ref="G6951">IF(AND(Inputs!$C$60,Inputs!$C$61),INDEX(Utility_Rates!$C$29:$F$52,HOUR(C6951)+Inputs!$C$69,MATCH(INDEX(Utility_Rates!$K$6:$K$17,MONTH(C6951))&amp;IF(WEEKDAY(C6951,Inputs!$C$76)&lt;=Inputs!$C$74," weekday"," weekend"),Utility_Rates!$C$28:$F$28,Inputs!$C$68)),"")</f>
      </c>
      <c r="H6951" s="34"/>
      <c r="I6951" s="42">
        <f>IF(AND(ISNUMBER(D6951),ISNUMBER(H6951)),D6951*H6951*Inputs!$C$69,"")</f>
      </c>
      <c r="J6951" s="42">
        <f>IF(AND(ISNUMBER(F6951),ISNUMBER(H6951),F6951&gt;=Inputs!$C$68),F6951*H6951*Inputs!$C$69,"")</f>
      </c>
    </row>
    <row r="6952" spans="2:10" ht="15" customHeight="1" x14ac:dyDescent="0.2">
      <c r="B6952" s="39">
        <f t="shared" si="54"/>
      </c>
      <c r="C6952" s="40">
        <f>IF(Inputs!$C$60,Inputs!$C$11+(B6952-Inputs!$C$69)/Inputs!$C$70,"")</f>
      </c>
      <c r="D6952" s="15"/>
      <c r="E6952" s="15"/>
      <c r="F6952" s="11">
        <f t="shared" si="55"/>
      </c>
      <c r="G6952" s="22" cm="1">
        <f t="array" ref="G6952">IF(AND(Inputs!$C$60,Inputs!$C$61),INDEX(Utility_Rates!$C$29:$F$52,HOUR(C6952)+Inputs!$C$69,MATCH(INDEX(Utility_Rates!$K$6:$K$17,MONTH(C6952))&amp;IF(WEEKDAY(C6952,Inputs!$C$76)&lt;=Inputs!$C$74," weekday"," weekend"),Utility_Rates!$C$28:$F$28,Inputs!$C$68)),"")</f>
      </c>
      <c r="H6952" s="34"/>
      <c r="I6952" s="42">
        <f>IF(AND(ISNUMBER(D6952),ISNUMBER(H6952)),D6952*H6952*Inputs!$C$69,"")</f>
      </c>
      <c r="J6952" s="42">
        <f>IF(AND(ISNUMBER(F6952),ISNUMBER(H6952),F6952&gt;=Inputs!$C$68),F6952*H6952*Inputs!$C$69,"")</f>
      </c>
    </row>
    <row r="6953" spans="2:10" ht="15" customHeight="1" x14ac:dyDescent="0.2">
      <c r="B6953" s="39">
        <f t="shared" si="54"/>
      </c>
      <c r="C6953" s="40">
        <f>IF(Inputs!$C$60,Inputs!$C$11+(B6953-Inputs!$C$69)/Inputs!$C$70,"")</f>
      </c>
      <c r="D6953" s="15"/>
      <c r="E6953" s="15"/>
      <c r="F6953" s="11">
        <f t="shared" si="55"/>
      </c>
      <c r="G6953" s="22" cm="1">
        <f t="array" ref="G6953">IF(AND(Inputs!$C$60,Inputs!$C$61),INDEX(Utility_Rates!$C$29:$F$52,HOUR(C6953)+Inputs!$C$69,MATCH(INDEX(Utility_Rates!$K$6:$K$17,MONTH(C6953))&amp;IF(WEEKDAY(C6953,Inputs!$C$76)&lt;=Inputs!$C$74," weekday"," weekend"),Utility_Rates!$C$28:$F$28,Inputs!$C$68)),"")</f>
      </c>
      <c r="H6953" s="34"/>
      <c r="I6953" s="42">
        <f>IF(AND(ISNUMBER(D6953),ISNUMBER(H6953)),D6953*H6953*Inputs!$C$69,"")</f>
      </c>
      <c r="J6953" s="42">
        <f>IF(AND(ISNUMBER(F6953),ISNUMBER(H6953),F6953&gt;=Inputs!$C$68),F6953*H6953*Inputs!$C$69,"")</f>
      </c>
    </row>
    <row r="6954" spans="2:10" ht="15" customHeight="1" x14ac:dyDescent="0.2">
      <c r="B6954" s="39">
        <f t="shared" si="54"/>
      </c>
      <c r="C6954" s="40">
        <f>IF(Inputs!$C$60,Inputs!$C$11+(B6954-Inputs!$C$69)/Inputs!$C$70,"")</f>
      </c>
      <c r="D6954" s="15"/>
      <c r="E6954" s="15"/>
      <c r="F6954" s="11">
        <f t="shared" si="55"/>
      </c>
      <c r="G6954" s="22" cm="1">
        <f t="array" ref="G6954">IF(AND(Inputs!$C$60,Inputs!$C$61),INDEX(Utility_Rates!$C$29:$F$52,HOUR(C6954)+Inputs!$C$69,MATCH(INDEX(Utility_Rates!$K$6:$K$17,MONTH(C6954))&amp;IF(WEEKDAY(C6954,Inputs!$C$76)&lt;=Inputs!$C$74," weekday"," weekend"),Utility_Rates!$C$28:$F$28,Inputs!$C$68)),"")</f>
      </c>
      <c r="H6954" s="34"/>
      <c r="I6954" s="42">
        <f>IF(AND(ISNUMBER(D6954),ISNUMBER(H6954)),D6954*H6954*Inputs!$C$69,"")</f>
      </c>
      <c r="J6954" s="42">
        <f>IF(AND(ISNUMBER(F6954),ISNUMBER(H6954),F6954&gt;=Inputs!$C$68),F6954*H6954*Inputs!$C$69,"")</f>
      </c>
    </row>
    <row r="6955" spans="2:10" ht="15" customHeight="1" x14ac:dyDescent="0.2">
      <c r="B6955" s="39">
        <f t="shared" si="54"/>
      </c>
      <c r="C6955" s="40">
        <f>IF(Inputs!$C$60,Inputs!$C$11+(B6955-Inputs!$C$69)/Inputs!$C$70,"")</f>
      </c>
      <c r="D6955" s="15"/>
      <c r="E6955" s="15"/>
      <c r="F6955" s="11">
        <f t="shared" si="55"/>
      </c>
      <c r="G6955" s="22" cm="1">
        <f t="array" ref="G6955">IF(AND(Inputs!$C$60,Inputs!$C$61),INDEX(Utility_Rates!$C$29:$F$52,HOUR(C6955)+Inputs!$C$69,MATCH(INDEX(Utility_Rates!$K$6:$K$17,MONTH(C6955))&amp;IF(WEEKDAY(C6955,Inputs!$C$76)&lt;=Inputs!$C$74," weekday"," weekend"),Utility_Rates!$C$28:$F$28,Inputs!$C$68)),"")</f>
      </c>
      <c r="H6955" s="34"/>
      <c r="I6955" s="42">
        <f>IF(AND(ISNUMBER(D6955),ISNUMBER(H6955)),D6955*H6955*Inputs!$C$69,"")</f>
      </c>
      <c r="J6955" s="42">
        <f>IF(AND(ISNUMBER(F6955),ISNUMBER(H6955),F6955&gt;=Inputs!$C$68),F6955*H6955*Inputs!$C$69,"")</f>
      </c>
    </row>
    <row r="6956" spans="2:10" ht="15" customHeight="1" x14ac:dyDescent="0.2">
      <c r="B6956" s="39">
        <f t="shared" si="54"/>
      </c>
      <c r="C6956" s="40">
        <f>IF(Inputs!$C$60,Inputs!$C$11+(B6956-Inputs!$C$69)/Inputs!$C$70,"")</f>
      </c>
      <c r="D6956" s="15"/>
      <c r="E6956" s="15"/>
      <c r="F6956" s="11">
        <f t="shared" si="55"/>
      </c>
      <c r="G6956" s="22" cm="1">
        <f t="array" ref="G6956">IF(AND(Inputs!$C$60,Inputs!$C$61),INDEX(Utility_Rates!$C$29:$F$52,HOUR(C6956)+Inputs!$C$69,MATCH(INDEX(Utility_Rates!$K$6:$K$17,MONTH(C6956))&amp;IF(WEEKDAY(C6956,Inputs!$C$76)&lt;=Inputs!$C$74," weekday"," weekend"),Utility_Rates!$C$28:$F$28,Inputs!$C$68)),"")</f>
      </c>
      <c r="H6956" s="34"/>
      <c r="I6956" s="42">
        <f>IF(AND(ISNUMBER(D6956),ISNUMBER(H6956)),D6956*H6956*Inputs!$C$69,"")</f>
      </c>
      <c r="J6956" s="42">
        <f>IF(AND(ISNUMBER(F6956),ISNUMBER(H6956),F6956&gt;=Inputs!$C$68),F6956*H6956*Inputs!$C$69,"")</f>
      </c>
    </row>
    <row r="6957" spans="2:10" ht="15" customHeight="1" x14ac:dyDescent="0.2">
      <c r="B6957" s="39">
        <f t="shared" si="54"/>
      </c>
      <c r="C6957" s="40">
        <f>IF(Inputs!$C$60,Inputs!$C$11+(B6957-Inputs!$C$69)/Inputs!$C$70,"")</f>
      </c>
      <c r="D6957" s="15"/>
      <c r="E6957" s="15"/>
      <c r="F6957" s="11">
        <f t="shared" si="55"/>
      </c>
      <c r="G6957" s="22" cm="1">
        <f t="array" ref="G6957">IF(AND(Inputs!$C$60,Inputs!$C$61),INDEX(Utility_Rates!$C$29:$F$52,HOUR(C6957)+Inputs!$C$69,MATCH(INDEX(Utility_Rates!$K$6:$K$17,MONTH(C6957))&amp;IF(WEEKDAY(C6957,Inputs!$C$76)&lt;=Inputs!$C$74," weekday"," weekend"),Utility_Rates!$C$28:$F$28,Inputs!$C$68)),"")</f>
      </c>
      <c r="H6957" s="34"/>
      <c r="I6957" s="42">
        <f>IF(AND(ISNUMBER(D6957),ISNUMBER(H6957)),D6957*H6957*Inputs!$C$69,"")</f>
      </c>
      <c r="J6957" s="42">
        <f>IF(AND(ISNUMBER(F6957),ISNUMBER(H6957),F6957&gt;=Inputs!$C$68),F6957*H6957*Inputs!$C$69,"")</f>
      </c>
    </row>
    <row r="6958" spans="2:10" ht="15" customHeight="1" x14ac:dyDescent="0.2">
      <c r="B6958" s="39">
        <f t="shared" si="54"/>
      </c>
      <c r="C6958" s="40">
        <f>IF(Inputs!$C$60,Inputs!$C$11+(B6958-Inputs!$C$69)/Inputs!$C$70,"")</f>
      </c>
      <c r="D6958" s="15"/>
      <c r="E6958" s="15"/>
      <c r="F6958" s="11">
        <f t="shared" si="55"/>
      </c>
      <c r="G6958" s="22" cm="1">
        <f t="array" ref="G6958">IF(AND(Inputs!$C$60,Inputs!$C$61),INDEX(Utility_Rates!$C$29:$F$52,HOUR(C6958)+Inputs!$C$69,MATCH(INDEX(Utility_Rates!$K$6:$K$17,MONTH(C6958))&amp;IF(WEEKDAY(C6958,Inputs!$C$76)&lt;=Inputs!$C$74," weekday"," weekend"),Utility_Rates!$C$28:$F$28,Inputs!$C$68)),"")</f>
      </c>
      <c r="H6958" s="34"/>
      <c r="I6958" s="42">
        <f>IF(AND(ISNUMBER(D6958),ISNUMBER(H6958)),D6958*H6958*Inputs!$C$69,"")</f>
      </c>
      <c r="J6958" s="42">
        <f>IF(AND(ISNUMBER(F6958),ISNUMBER(H6958),F6958&gt;=Inputs!$C$68),F6958*H6958*Inputs!$C$69,"")</f>
      </c>
    </row>
    <row r="6959" spans="2:10" ht="15" customHeight="1" x14ac:dyDescent="0.2">
      <c r="B6959" s="39">
        <f t="shared" si="54"/>
      </c>
      <c r="C6959" s="40">
        <f>IF(Inputs!$C$60,Inputs!$C$11+(B6959-Inputs!$C$69)/Inputs!$C$70,"")</f>
      </c>
      <c r="D6959" s="15"/>
      <c r="E6959" s="15"/>
      <c r="F6959" s="11">
        <f t="shared" si="55"/>
      </c>
      <c r="G6959" s="22" cm="1">
        <f t="array" ref="G6959">IF(AND(Inputs!$C$60,Inputs!$C$61),INDEX(Utility_Rates!$C$29:$F$52,HOUR(C6959)+Inputs!$C$69,MATCH(INDEX(Utility_Rates!$K$6:$K$17,MONTH(C6959))&amp;IF(WEEKDAY(C6959,Inputs!$C$76)&lt;=Inputs!$C$74," weekday"," weekend"),Utility_Rates!$C$28:$F$28,Inputs!$C$68)),"")</f>
      </c>
      <c r="H6959" s="34"/>
      <c r="I6959" s="42">
        <f>IF(AND(ISNUMBER(D6959),ISNUMBER(H6959)),D6959*H6959*Inputs!$C$69,"")</f>
      </c>
      <c r="J6959" s="42">
        <f>IF(AND(ISNUMBER(F6959),ISNUMBER(H6959),F6959&gt;=Inputs!$C$68),F6959*H6959*Inputs!$C$69,"")</f>
      </c>
    </row>
    <row r="6960" spans="2:10" ht="15" customHeight="1" x14ac:dyDescent="0.2">
      <c r="B6960" s="39">
        <f t="shared" si="54"/>
      </c>
      <c r="C6960" s="40">
        <f>IF(Inputs!$C$60,Inputs!$C$11+(B6960-Inputs!$C$69)/Inputs!$C$70,"")</f>
      </c>
      <c r="D6960" s="15"/>
      <c r="E6960" s="15"/>
      <c r="F6960" s="11">
        <f t="shared" si="55"/>
      </c>
      <c r="G6960" s="22" cm="1">
        <f t="array" ref="G6960">IF(AND(Inputs!$C$60,Inputs!$C$61),INDEX(Utility_Rates!$C$29:$F$52,HOUR(C6960)+Inputs!$C$69,MATCH(INDEX(Utility_Rates!$K$6:$K$17,MONTH(C6960))&amp;IF(WEEKDAY(C6960,Inputs!$C$76)&lt;=Inputs!$C$74," weekday"," weekend"),Utility_Rates!$C$28:$F$28,Inputs!$C$68)),"")</f>
      </c>
      <c r="H6960" s="34"/>
      <c r="I6960" s="42">
        <f>IF(AND(ISNUMBER(D6960),ISNUMBER(H6960)),D6960*H6960*Inputs!$C$69,"")</f>
      </c>
      <c r="J6960" s="42">
        <f>IF(AND(ISNUMBER(F6960),ISNUMBER(H6960),F6960&gt;=Inputs!$C$68),F6960*H6960*Inputs!$C$69,"")</f>
      </c>
    </row>
    <row r="6961" spans="2:10" ht="15" customHeight="1" x14ac:dyDescent="0.2">
      <c r="B6961" s="39">
        <f t="shared" si="54"/>
      </c>
      <c r="C6961" s="40">
        <f>IF(Inputs!$C$60,Inputs!$C$11+(B6961-Inputs!$C$69)/Inputs!$C$70,"")</f>
      </c>
      <c r="D6961" s="15"/>
      <c r="E6961" s="15"/>
      <c r="F6961" s="11">
        <f t="shared" si="55"/>
      </c>
      <c r="G6961" s="22" cm="1">
        <f t="array" ref="G6961">IF(AND(Inputs!$C$60,Inputs!$C$61),INDEX(Utility_Rates!$C$29:$F$52,HOUR(C6961)+Inputs!$C$69,MATCH(INDEX(Utility_Rates!$K$6:$K$17,MONTH(C6961))&amp;IF(WEEKDAY(C6961,Inputs!$C$76)&lt;=Inputs!$C$74," weekday"," weekend"),Utility_Rates!$C$28:$F$28,Inputs!$C$68)),"")</f>
      </c>
      <c r="H6961" s="34"/>
      <c r="I6961" s="42">
        <f>IF(AND(ISNUMBER(D6961),ISNUMBER(H6961)),D6961*H6961*Inputs!$C$69,"")</f>
      </c>
      <c r="J6961" s="42">
        <f>IF(AND(ISNUMBER(F6961),ISNUMBER(H6961),F6961&gt;=Inputs!$C$68),F6961*H6961*Inputs!$C$69,"")</f>
      </c>
    </row>
    <row r="6962" spans="2:10" ht="15" customHeight="1" x14ac:dyDescent="0.2">
      <c r="B6962" s="39">
        <f t="shared" si="54"/>
      </c>
      <c r="C6962" s="40">
        <f>IF(Inputs!$C$60,Inputs!$C$11+(B6962-Inputs!$C$69)/Inputs!$C$70,"")</f>
      </c>
      <c r="D6962" s="15"/>
      <c r="E6962" s="15"/>
      <c r="F6962" s="11">
        <f t="shared" si="55"/>
      </c>
      <c r="G6962" s="22" cm="1">
        <f t="array" ref="G6962">IF(AND(Inputs!$C$60,Inputs!$C$61),INDEX(Utility_Rates!$C$29:$F$52,HOUR(C6962)+Inputs!$C$69,MATCH(INDEX(Utility_Rates!$K$6:$K$17,MONTH(C6962))&amp;IF(WEEKDAY(C6962,Inputs!$C$76)&lt;=Inputs!$C$74," weekday"," weekend"),Utility_Rates!$C$28:$F$28,Inputs!$C$68)),"")</f>
      </c>
      <c r="H6962" s="34"/>
      <c r="I6962" s="42">
        <f>IF(AND(ISNUMBER(D6962),ISNUMBER(H6962)),D6962*H6962*Inputs!$C$69,"")</f>
      </c>
      <c r="J6962" s="42">
        <f>IF(AND(ISNUMBER(F6962),ISNUMBER(H6962),F6962&gt;=Inputs!$C$68),F6962*H6962*Inputs!$C$69,"")</f>
      </c>
    </row>
    <row r="6963" spans="2:10" ht="15" customHeight="1" x14ac:dyDescent="0.2">
      <c r="B6963" s="39">
        <f t="shared" si="54"/>
      </c>
      <c r="C6963" s="40">
        <f>IF(Inputs!$C$60,Inputs!$C$11+(B6963-Inputs!$C$69)/Inputs!$C$70,"")</f>
      </c>
      <c r="D6963" s="15"/>
      <c r="E6963" s="15"/>
      <c r="F6963" s="11">
        <f t="shared" si="55"/>
      </c>
      <c r="G6963" s="22" cm="1">
        <f t="array" ref="G6963">IF(AND(Inputs!$C$60,Inputs!$C$61),INDEX(Utility_Rates!$C$29:$F$52,HOUR(C6963)+Inputs!$C$69,MATCH(INDEX(Utility_Rates!$K$6:$K$17,MONTH(C6963))&amp;IF(WEEKDAY(C6963,Inputs!$C$76)&lt;=Inputs!$C$74," weekday"," weekend"),Utility_Rates!$C$28:$F$28,Inputs!$C$68)),"")</f>
      </c>
      <c r="H6963" s="34"/>
      <c r="I6963" s="42">
        <f>IF(AND(ISNUMBER(D6963),ISNUMBER(H6963)),D6963*H6963*Inputs!$C$69,"")</f>
      </c>
      <c r="J6963" s="42">
        <f>IF(AND(ISNUMBER(F6963),ISNUMBER(H6963),F6963&gt;=Inputs!$C$68),F6963*H6963*Inputs!$C$69,"")</f>
      </c>
    </row>
    <row r="6964" spans="2:10" ht="15" customHeight="1" x14ac:dyDescent="0.2">
      <c r="B6964" s="39">
        <f t="shared" si="54"/>
      </c>
      <c r="C6964" s="40">
        <f>IF(Inputs!$C$60,Inputs!$C$11+(B6964-Inputs!$C$69)/Inputs!$C$70,"")</f>
      </c>
      <c r="D6964" s="15"/>
      <c r="E6964" s="15"/>
      <c r="F6964" s="11">
        <f t="shared" si="55"/>
      </c>
      <c r="G6964" s="22" cm="1">
        <f t="array" ref="G6964">IF(AND(Inputs!$C$60,Inputs!$C$61),INDEX(Utility_Rates!$C$29:$F$52,HOUR(C6964)+Inputs!$C$69,MATCH(INDEX(Utility_Rates!$K$6:$K$17,MONTH(C6964))&amp;IF(WEEKDAY(C6964,Inputs!$C$76)&lt;=Inputs!$C$74," weekday"," weekend"),Utility_Rates!$C$28:$F$28,Inputs!$C$68)),"")</f>
      </c>
      <c r="H6964" s="34"/>
      <c r="I6964" s="42">
        <f>IF(AND(ISNUMBER(D6964),ISNUMBER(H6964)),D6964*H6964*Inputs!$C$69,"")</f>
      </c>
      <c r="J6964" s="42">
        <f>IF(AND(ISNUMBER(F6964),ISNUMBER(H6964),F6964&gt;=Inputs!$C$68),F6964*H6964*Inputs!$C$69,"")</f>
      </c>
    </row>
    <row r="6965" spans="2:10" ht="15" customHeight="1" x14ac:dyDescent="0.2">
      <c r="B6965" s="39">
        <f t="shared" si="54"/>
      </c>
      <c r="C6965" s="40">
        <f>IF(Inputs!$C$60,Inputs!$C$11+(B6965-Inputs!$C$69)/Inputs!$C$70,"")</f>
      </c>
      <c r="D6965" s="15"/>
      <c r="E6965" s="15"/>
      <c r="F6965" s="11">
        <f t="shared" si="55"/>
      </c>
      <c r="G6965" s="22" cm="1">
        <f t="array" ref="G6965">IF(AND(Inputs!$C$60,Inputs!$C$61),INDEX(Utility_Rates!$C$29:$F$52,HOUR(C6965)+Inputs!$C$69,MATCH(INDEX(Utility_Rates!$K$6:$K$17,MONTH(C6965))&amp;IF(WEEKDAY(C6965,Inputs!$C$76)&lt;=Inputs!$C$74," weekday"," weekend"),Utility_Rates!$C$28:$F$28,Inputs!$C$68)),"")</f>
      </c>
      <c r="H6965" s="34"/>
      <c r="I6965" s="42">
        <f>IF(AND(ISNUMBER(D6965),ISNUMBER(H6965)),D6965*H6965*Inputs!$C$69,"")</f>
      </c>
      <c r="J6965" s="42">
        <f>IF(AND(ISNUMBER(F6965),ISNUMBER(H6965),F6965&gt;=Inputs!$C$68),F6965*H6965*Inputs!$C$69,"")</f>
      </c>
    </row>
    <row r="6966" spans="2:10" ht="15" customHeight="1" x14ac:dyDescent="0.2">
      <c r="B6966" s="39">
        <f t="shared" si="54"/>
      </c>
      <c r="C6966" s="40">
        <f>IF(Inputs!$C$60,Inputs!$C$11+(B6966-Inputs!$C$69)/Inputs!$C$70,"")</f>
      </c>
      <c r="D6966" s="15"/>
      <c r="E6966" s="15"/>
      <c r="F6966" s="11">
        <f t="shared" si="55"/>
      </c>
      <c r="G6966" s="22" cm="1">
        <f t="array" ref="G6966">IF(AND(Inputs!$C$60,Inputs!$C$61),INDEX(Utility_Rates!$C$29:$F$52,HOUR(C6966)+Inputs!$C$69,MATCH(INDEX(Utility_Rates!$K$6:$K$17,MONTH(C6966))&amp;IF(WEEKDAY(C6966,Inputs!$C$76)&lt;=Inputs!$C$74," weekday"," weekend"),Utility_Rates!$C$28:$F$28,Inputs!$C$68)),"")</f>
      </c>
      <c r="H6966" s="34"/>
      <c r="I6966" s="42">
        <f>IF(AND(ISNUMBER(D6966),ISNUMBER(H6966)),D6966*H6966*Inputs!$C$69,"")</f>
      </c>
      <c r="J6966" s="42">
        <f>IF(AND(ISNUMBER(F6966),ISNUMBER(H6966),F6966&gt;=Inputs!$C$68),F6966*H6966*Inputs!$C$69,"")</f>
      </c>
    </row>
    <row r="6967" spans="2:10" ht="15" customHeight="1" x14ac:dyDescent="0.2">
      <c r="B6967" s="39">
        <f t="shared" si="54"/>
      </c>
      <c r="C6967" s="40">
        <f>IF(Inputs!$C$60,Inputs!$C$11+(B6967-Inputs!$C$69)/Inputs!$C$70,"")</f>
      </c>
      <c r="D6967" s="15"/>
      <c r="E6967" s="15"/>
      <c r="F6967" s="11">
        <f t="shared" si="55"/>
      </c>
      <c r="G6967" s="22" cm="1">
        <f t="array" ref="G6967">IF(AND(Inputs!$C$60,Inputs!$C$61),INDEX(Utility_Rates!$C$29:$F$52,HOUR(C6967)+Inputs!$C$69,MATCH(INDEX(Utility_Rates!$K$6:$K$17,MONTH(C6967))&amp;IF(WEEKDAY(C6967,Inputs!$C$76)&lt;=Inputs!$C$74," weekday"," weekend"),Utility_Rates!$C$28:$F$28,Inputs!$C$68)),"")</f>
      </c>
      <c r="H6967" s="34"/>
      <c r="I6967" s="42">
        <f>IF(AND(ISNUMBER(D6967),ISNUMBER(H6967)),D6967*H6967*Inputs!$C$69,"")</f>
      </c>
      <c r="J6967" s="42">
        <f>IF(AND(ISNUMBER(F6967),ISNUMBER(H6967),F6967&gt;=Inputs!$C$68),F6967*H6967*Inputs!$C$69,"")</f>
      </c>
    </row>
    <row r="6968" spans="2:10" ht="15" customHeight="1" x14ac:dyDescent="0.2">
      <c r="B6968" s="39">
        <f t="shared" si="54"/>
      </c>
      <c r="C6968" s="40">
        <f>IF(Inputs!$C$60,Inputs!$C$11+(B6968-Inputs!$C$69)/Inputs!$C$70,"")</f>
      </c>
      <c r="D6968" s="15"/>
      <c r="E6968" s="15"/>
      <c r="F6968" s="11">
        <f t="shared" si="55"/>
      </c>
      <c r="G6968" s="22" cm="1">
        <f t="array" ref="G6968">IF(AND(Inputs!$C$60,Inputs!$C$61),INDEX(Utility_Rates!$C$29:$F$52,HOUR(C6968)+Inputs!$C$69,MATCH(INDEX(Utility_Rates!$K$6:$K$17,MONTH(C6968))&amp;IF(WEEKDAY(C6968,Inputs!$C$76)&lt;=Inputs!$C$74," weekday"," weekend"),Utility_Rates!$C$28:$F$28,Inputs!$C$68)),"")</f>
      </c>
      <c r="H6968" s="34"/>
      <c r="I6968" s="42">
        <f>IF(AND(ISNUMBER(D6968),ISNUMBER(H6968)),D6968*H6968*Inputs!$C$69,"")</f>
      </c>
      <c r="J6968" s="42">
        <f>IF(AND(ISNUMBER(F6968),ISNUMBER(H6968),F6968&gt;=Inputs!$C$68),F6968*H6968*Inputs!$C$69,"")</f>
      </c>
    </row>
    <row r="6969" spans="2:10" ht="15" customHeight="1" x14ac:dyDescent="0.2">
      <c r="B6969" s="39">
        <f t="shared" si="54"/>
      </c>
      <c r="C6969" s="40">
        <f>IF(Inputs!$C$60,Inputs!$C$11+(B6969-Inputs!$C$69)/Inputs!$C$70,"")</f>
      </c>
      <c r="D6969" s="15"/>
      <c r="E6969" s="15"/>
      <c r="F6969" s="11">
        <f t="shared" si="55"/>
      </c>
      <c r="G6969" s="22" cm="1">
        <f t="array" ref="G6969">IF(AND(Inputs!$C$60,Inputs!$C$61),INDEX(Utility_Rates!$C$29:$F$52,HOUR(C6969)+Inputs!$C$69,MATCH(INDEX(Utility_Rates!$K$6:$K$17,MONTH(C6969))&amp;IF(WEEKDAY(C6969,Inputs!$C$76)&lt;=Inputs!$C$74," weekday"," weekend"),Utility_Rates!$C$28:$F$28,Inputs!$C$68)),"")</f>
      </c>
      <c r="H6969" s="34"/>
      <c r="I6969" s="42">
        <f>IF(AND(ISNUMBER(D6969),ISNUMBER(H6969)),D6969*H6969*Inputs!$C$69,"")</f>
      </c>
      <c r="J6969" s="42">
        <f>IF(AND(ISNUMBER(F6969),ISNUMBER(H6969),F6969&gt;=Inputs!$C$68),F6969*H6969*Inputs!$C$69,"")</f>
      </c>
    </row>
    <row r="6970" spans="2:10" ht="15" customHeight="1" x14ac:dyDescent="0.2">
      <c r="B6970" s="39">
        <f t="shared" si="54"/>
      </c>
      <c r="C6970" s="40">
        <f>IF(Inputs!$C$60,Inputs!$C$11+(B6970-Inputs!$C$69)/Inputs!$C$70,"")</f>
      </c>
      <c r="D6970" s="15"/>
      <c r="E6970" s="15"/>
      <c r="F6970" s="11">
        <f t="shared" si="55"/>
      </c>
      <c r="G6970" s="22" cm="1">
        <f t="array" ref="G6970">IF(AND(Inputs!$C$60,Inputs!$C$61),INDEX(Utility_Rates!$C$29:$F$52,HOUR(C6970)+Inputs!$C$69,MATCH(INDEX(Utility_Rates!$K$6:$K$17,MONTH(C6970))&amp;IF(WEEKDAY(C6970,Inputs!$C$76)&lt;=Inputs!$C$74," weekday"," weekend"),Utility_Rates!$C$28:$F$28,Inputs!$C$68)),"")</f>
      </c>
      <c r="H6970" s="34"/>
      <c r="I6970" s="42">
        <f>IF(AND(ISNUMBER(D6970),ISNUMBER(H6970)),D6970*H6970*Inputs!$C$69,"")</f>
      </c>
      <c r="J6970" s="42">
        <f>IF(AND(ISNUMBER(F6970),ISNUMBER(H6970),F6970&gt;=Inputs!$C$68),F6970*H6970*Inputs!$C$69,"")</f>
      </c>
    </row>
    <row r="6971" spans="2:10" ht="15" customHeight="1" x14ac:dyDescent="0.2">
      <c r="B6971" s="39">
        <f t="shared" si="54"/>
      </c>
      <c r="C6971" s="40">
        <f>IF(Inputs!$C$60,Inputs!$C$11+(B6971-Inputs!$C$69)/Inputs!$C$70,"")</f>
      </c>
      <c r="D6971" s="15"/>
      <c r="E6971" s="15"/>
      <c r="F6971" s="11">
        <f t="shared" si="55"/>
      </c>
      <c r="G6971" s="22" cm="1">
        <f t="array" ref="G6971">IF(AND(Inputs!$C$60,Inputs!$C$61),INDEX(Utility_Rates!$C$29:$F$52,HOUR(C6971)+Inputs!$C$69,MATCH(INDEX(Utility_Rates!$K$6:$K$17,MONTH(C6971))&amp;IF(WEEKDAY(C6971,Inputs!$C$76)&lt;=Inputs!$C$74," weekday"," weekend"),Utility_Rates!$C$28:$F$28,Inputs!$C$68)),"")</f>
      </c>
      <c r="H6971" s="34"/>
      <c r="I6971" s="42">
        <f>IF(AND(ISNUMBER(D6971),ISNUMBER(H6971)),D6971*H6971*Inputs!$C$69,"")</f>
      </c>
      <c r="J6971" s="42">
        <f>IF(AND(ISNUMBER(F6971),ISNUMBER(H6971),F6971&gt;=Inputs!$C$68),F6971*H6971*Inputs!$C$69,"")</f>
      </c>
    </row>
    <row r="6972" spans="2:10" ht="15" customHeight="1" x14ac:dyDescent="0.2">
      <c r="B6972" s="39">
        <f t="shared" si="54"/>
      </c>
      <c r="C6972" s="40">
        <f>IF(Inputs!$C$60,Inputs!$C$11+(B6972-Inputs!$C$69)/Inputs!$C$70,"")</f>
      </c>
      <c r="D6972" s="15"/>
      <c r="E6972" s="15"/>
      <c r="F6972" s="11">
        <f t="shared" si="55"/>
      </c>
      <c r="G6972" s="22" cm="1">
        <f t="array" ref="G6972">IF(AND(Inputs!$C$60,Inputs!$C$61),INDEX(Utility_Rates!$C$29:$F$52,HOUR(C6972)+Inputs!$C$69,MATCH(INDEX(Utility_Rates!$K$6:$K$17,MONTH(C6972))&amp;IF(WEEKDAY(C6972,Inputs!$C$76)&lt;=Inputs!$C$74," weekday"," weekend"),Utility_Rates!$C$28:$F$28,Inputs!$C$68)),"")</f>
      </c>
      <c r="H6972" s="34"/>
      <c r="I6972" s="42">
        <f>IF(AND(ISNUMBER(D6972),ISNUMBER(H6972)),D6972*H6972*Inputs!$C$69,"")</f>
      </c>
      <c r="J6972" s="42">
        <f>IF(AND(ISNUMBER(F6972),ISNUMBER(H6972),F6972&gt;=Inputs!$C$68),F6972*H6972*Inputs!$C$69,"")</f>
      </c>
    </row>
    <row r="6973" spans="2:10" ht="15" customHeight="1" x14ac:dyDescent="0.2">
      <c r="B6973" s="39">
        <f t="shared" si="54"/>
      </c>
      <c r="C6973" s="40">
        <f>IF(Inputs!$C$60,Inputs!$C$11+(B6973-Inputs!$C$69)/Inputs!$C$70,"")</f>
      </c>
      <c r="D6973" s="15"/>
      <c r="E6973" s="15"/>
      <c r="F6973" s="11">
        <f t="shared" si="55"/>
      </c>
      <c r="G6973" s="22" cm="1">
        <f t="array" ref="G6973">IF(AND(Inputs!$C$60,Inputs!$C$61),INDEX(Utility_Rates!$C$29:$F$52,HOUR(C6973)+Inputs!$C$69,MATCH(INDEX(Utility_Rates!$K$6:$K$17,MONTH(C6973))&amp;IF(WEEKDAY(C6973,Inputs!$C$76)&lt;=Inputs!$C$74," weekday"," weekend"),Utility_Rates!$C$28:$F$28,Inputs!$C$68)),"")</f>
      </c>
      <c r="H6973" s="34"/>
      <c r="I6973" s="42">
        <f>IF(AND(ISNUMBER(D6973),ISNUMBER(H6973)),D6973*H6973*Inputs!$C$69,"")</f>
      </c>
      <c r="J6973" s="42">
        <f>IF(AND(ISNUMBER(F6973),ISNUMBER(H6973),F6973&gt;=Inputs!$C$68),F6973*H6973*Inputs!$C$69,"")</f>
      </c>
    </row>
    <row r="6974" spans="2:10" ht="15" customHeight="1" x14ac:dyDescent="0.2">
      <c r="B6974" s="39">
        <f t="shared" si="54"/>
      </c>
      <c r="C6974" s="40">
        <f>IF(Inputs!$C$60,Inputs!$C$11+(B6974-Inputs!$C$69)/Inputs!$C$70,"")</f>
      </c>
      <c r="D6974" s="15"/>
      <c r="E6974" s="15"/>
      <c r="F6974" s="11">
        <f t="shared" si="55"/>
      </c>
      <c r="G6974" s="22" cm="1">
        <f t="array" ref="G6974">IF(AND(Inputs!$C$60,Inputs!$C$61),INDEX(Utility_Rates!$C$29:$F$52,HOUR(C6974)+Inputs!$C$69,MATCH(INDEX(Utility_Rates!$K$6:$K$17,MONTH(C6974))&amp;IF(WEEKDAY(C6974,Inputs!$C$76)&lt;=Inputs!$C$74," weekday"," weekend"),Utility_Rates!$C$28:$F$28,Inputs!$C$68)),"")</f>
      </c>
      <c r="H6974" s="34"/>
      <c r="I6974" s="42">
        <f>IF(AND(ISNUMBER(D6974),ISNUMBER(H6974)),D6974*H6974*Inputs!$C$69,"")</f>
      </c>
      <c r="J6974" s="42">
        <f>IF(AND(ISNUMBER(F6974),ISNUMBER(H6974),F6974&gt;=Inputs!$C$68),F6974*H6974*Inputs!$C$69,"")</f>
      </c>
    </row>
    <row r="6975" spans="2:10" ht="15" customHeight="1" x14ac:dyDescent="0.2">
      <c r="B6975" s="39">
        <f t="shared" si="54"/>
      </c>
      <c r="C6975" s="40">
        <f>IF(Inputs!$C$60,Inputs!$C$11+(B6975-Inputs!$C$69)/Inputs!$C$70,"")</f>
      </c>
      <c r="D6975" s="15"/>
      <c r="E6975" s="15"/>
      <c r="F6975" s="11">
        <f t="shared" si="55"/>
      </c>
      <c r="G6975" s="22" cm="1">
        <f t="array" ref="G6975">IF(AND(Inputs!$C$60,Inputs!$C$61),INDEX(Utility_Rates!$C$29:$F$52,HOUR(C6975)+Inputs!$C$69,MATCH(INDEX(Utility_Rates!$K$6:$K$17,MONTH(C6975))&amp;IF(WEEKDAY(C6975,Inputs!$C$76)&lt;=Inputs!$C$74," weekday"," weekend"),Utility_Rates!$C$28:$F$28,Inputs!$C$68)),"")</f>
      </c>
      <c r="H6975" s="34"/>
      <c r="I6975" s="42">
        <f>IF(AND(ISNUMBER(D6975),ISNUMBER(H6975)),D6975*H6975*Inputs!$C$69,"")</f>
      </c>
      <c r="J6975" s="42">
        <f>IF(AND(ISNUMBER(F6975),ISNUMBER(H6975),F6975&gt;=Inputs!$C$68),F6975*H6975*Inputs!$C$69,"")</f>
      </c>
    </row>
    <row r="6976" spans="2:10" ht="15" customHeight="1" x14ac:dyDescent="0.2">
      <c r="B6976" s="39">
        <f t="shared" si="54"/>
      </c>
      <c r="C6976" s="40">
        <f>IF(Inputs!$C$60,Inputs!$C$11+(B6976-Inputs!$C$69)/Inputs!$C$70,"")</f>
      </c>
      <c r="D6976" s="15"/>
      <c r="E6976" s="15"/>
      <c r="F6976" s="11">
        <f t="shared" si="55"/>
      </c>
      <c r="G6976" s="22" cm="1">
        <f t="array" ref="G6976">IF(AND(Inputs!$C$60,Inputs!$C$61),INDEX(Utility_Rates!$C$29:$F$52,HOUR(C6976)+Inputs!$C$69,MATCH(INDEX(Utility_Rates!$K$6:$K$17,MONTH(C6976))&amp;IF(WEEKDAY(C6976,Inputs!$C$76)&lt;=Inputs!$C$74," weekday"," weekend"),Utility_Rates!$C$28:$F$28,Inputs!$C$68)),"")</f>
      </c>
      <c r="H6976" s="34"/>
      <c r="I6976" s="42">
        <f>IF(AND(ISNUMBER(D6976),ISNUMBER(H6976)),D6976*H6976*Inputs!$C$69,"")</f>
      </c>
      <c r="J6976" s="42">
        <f>IF(AND(ISNUMBER(F6976),ISNUMBER(H6976),F6976&gt;=Inputs!$C$68),F6976*H6976*Inputs!$C$69,"")</f>
      </c>
    </row>
    <row r="6977" spans="2:10" ht="15" customHeight="1" x14ac:dyDescent="0.2">
      <c r="B6977" s="39">
        <f t="shared" si="54"/>
      </c>
      <c r="C6977" s="40">
        <f>IF(Inputs!$C$60,Inputs!$C$11+(B6977-Inputs!$C$69)/Inputs!$C$70,"")</f>
      </c>
      <c r="D6977" s="15"/>
      <c r="E6977" s="15"/>
      <c r="F6977" s="11">
        <f t="shared" si="55"/>
      </c>
      <c r="G6977" s="22" cm="1">
        <f t="array" ref="G6977">IF(AND(Inputs!$C$60,Inputs!$C$61),INDEX(Utility_Rates!$C$29:$F$52,HOUR(C6977)+Inputs!$C$69,MATCH(INDEX(Utility_Rates!$K$6:$K$17,MONTH(C6977))&amp;IF(WEEKDAY(C6977,Inputs!$C$76)&lt;=Inputs!$C$74," weekday"," weekend"),Utility_Rates!$C$28:$F$28,Inputs!$C$68)),"")</f>
      </c>
      <c r="H6977" s="34"/>
      <c r="I6977" s="42">
        <f>IF(AND(ISNUMBER(D6977),ISNUMBER(H6977)),D6977*H6977*Inputs!$C$69,"")</f>
      </c>
      <c r="J6977" s="42">
        <f>IF(AND(ISNUMBER(F6977),ISNUMBER(H6977),F6977&gt;=Inputs!$C$68),F6977*H6977*Inputs!$C$69,"")</f>
      </c>
    </row>
    <row r="6978" spans="2:10" ht="15" customHeight="1" x14ac:dyDescent="0.2">
      <c r="B6978" s="39">
        <f t="shared" si="54"/>
      </c>
      <c r="C6978" s="40">
        <f>IF(Inputs!$C$60,Inputs!$C$11+(B6978-Inputs!$C$69)/Inputs!$C$70,"")</f>
      </c>
      <c r="D6978" s="15"/>
      <c r="E6978" s="15"/>
      <c r="F6978" s="11">
        <f t="shared" si="55"/>
      </c>
      <c r="G6978" s="22" cm="1">
        <f t="array" ref="G6978">IF(AND(Inputs!$C$60,Inputs!$C$61),INDEX(Utility_Rates!$C$29:$F$52,HOUR(C6978)+Inputs!$C$69,MATCH(INDEX(Utility_Rates!$K$6:$K$17,MONTH(C6978))&amp;IF(WEEKDAY(C6978,Inputs!$C$76)&lt;=Inputs!$C$74," weekday"," weekend"),Utility_Rates!$C$28:$F$28,Inputs!$C$68)),"")</f>
      </c>
      <c r="H6978" s="34"/>
      <c r="I6978" s="42">
        <f>IF(AND(ISNUMBER(D6978),ISNUMBER(H6978)),D6978*H6978*Inputs!$C$69,"")</f>
      </c>
      <c r="J6978" s="42">
        <f>IF(AND(ISNUMBER(F6978),ISNUMBER(H6978),F6978&gt;=Inputs!$C$68),F6978*H6978*Inputs!$C$69,"")</f>
      </c>
    </row>
    <row r="6979" spans="2:10" ht="15" customHeight="1" x14ac:dyDescent="0.2">
      <c r="B6979" s="39">
        <f t="shared" si="54"/>
      </c>
      <c r="C6979" s="40">
        <f>IF(Inputs!$C$60,Inputs!$C$11+(B6979-Inputs!$C$69)/Inputs!$C$70,"")</f>
      </c>
      <c r="D6979" s="15"/>
      <c r="E6979" s="15"/>
      <c r="F6979" s="11">
        <f t="shared" si="55"/>
      </c>
      <c r="G6979" s="22" cm="1">
        <f t="array" ref="G6979">IF(AND(Inputs!$C$60,Inputs!$C$61),INDEX(Utility_Rates!$C$29:$F$52,HOUR(C6979)+Inputs!$C$69,MATCH(INDEX(Utility_Rates!$K$6:$K$17,MONTH(C6979))&amp;IF(WEEKDAY(C6979,Inputs!$C$76)&lt;=Inputs!$C$74," weekday"," weekend"),Utility_Rates!$C$28:$F$28,Inputs!$C$68)),"")</f>
      </c>
      <c r="H6979" s="34"/>
      <c r="I6979" s="42">
        <f>IF(AND(ISNUMBER(D6979),ISNUMBER(H6979)),D6979*H6979*Inputs!$C$69,"")</f>
      </c>
      <c r="J6979" s="42">
        <f>IF(AND(ISNUMBER(F6979),ISNUMBER(H6979),F6979&gt;=Inputs!$C$68),F6979*H6979*Inputs!$C$69,"")</f>
      </c>
    </row>
    <row r="6980" spans="2:10" ht="15" customHeight="1" x14ac:dyDescent="0.2">
      <c r="B6980" s="39">
        <f t="shared" si="54"/>
      </c>
      <c r="C6980" s="40">
        <f>IF(Inputs!$C$60,Inputs!$C$11+(B6980-Inputs!$C$69)/Inputs!$C$70,"")</f>
      </c>
      <c r="D6980" s="15"/>
      <c r="E6980" s="15"/>
      <c r="F6980" s="11">
        <f t="shared" si="55"/>
      </c>
      <c r="G6980" s="22" cm="1">
        <f t="array" ref="G6980">IF(AND(Inputs!$C$60,Inputs!$C$61),INDEX(Utility_Rates!$C$29:$F$52,HOUR(C6980)+Inputs!$C$69,MATCH(INDEX(Utility_Rates!$K$6:$K$17,MONTH(C6980))&amp;IF(WEEKDAY(C6980,Inputs!$C$76)&lt;=Inputs!$C$74," weekday"," weekend"),Utility_Rates!$C$28:$F$28,Inputs!$C$68)),"")</f>
      </c>
      <c r="H6980" s="34"/>
      <c r="I6980" s="42">
        <f>IF(AND(ISNUMBER(D6980),ISNUMBER(H6980)),D6980*H6980*Inputs!$C$69,"")</f>
      </c>
      <c r="J6980" s="42">
        <f>IF(AND(ISNUMBER(F6980),ISNUMBER(H6980),F6980&gt;=Inputs!$C$68),F6980*H6980*Inputs!$C$69,"")</f>
      </c>
    </row>
    <row r="6981" spans="2:10" ht="15" customHeight="1" x14ac:dyDescent="0.2">
      <c r="B6981" s="39">
        <f t="shared" si="54"/>
      </c>
      <c r="C6981" s="40">
        <f>IF(Inputs!$C$60,Inputs!$C$11+(B6981-Inputs!$C$69)/Inputs!$C$70,"")</f>
      </c>
      <c r="D6981" s="15"/>
      <c r="E6981" s="15"/>
      <c r="F6981" s="11">
        <f t="shared" si="55"/>
      </c>
      <c r="G6981" s="22" cm="1">
        <f t="array" ref="G6981">IF(AND(Inputs!$C$60,Inputs!$C$61),INDEX(Utility_Rates!$C$29:$F$52,HOUR(C6981)+Inputs!$C$69,MATCH(INDEX(Utility_Rates!$K$6:$K$17,MONTH(C6981))&amp;IF(WEEKDAY(C6981,Inputs!$C$76)&lt;=Inputs!$C$74," weekday"," weekend"),Utility_Rates!$C$28:$F$28,Inputs!$C$68)),"")</f>
      </c>
      <c r="H6981" s="34"/>
      <c r="I6981" s="42">
        <f>IF(AND(ISNUMBER(D6981),ISNUMBER(H6981)),D6981*H6981*Inputs!$C$69,"")</f>
      </c>
      <c r="J6981" s="42">
        <f>IF(AND(ISNUMBER(F6981),ISNUMBER(H6981),F6981&gt;=Inputs!$C$68),F6981*H6981*Inputs!$C$69,"")</f>
      </c>
    </row>
    <row r="6982" spans="2:10" ht="15" customHeight="1" x14ac:dyDescent="0.2">
      <c r="B6982" s="39">
        <f t="shared" si="54"/>
      </c>
      <c r="C6982" s="40">
        <f>IF(Inputs!$C$60,Inputs!$C$11+(B6982-Inputs!$C$69)/Inputs!$C$70,"")</f>
      </c>
      <c r="D6982" s="15"/>
      <c r="E6982" s="15"/>
      <c r="F6982" s="11">
        <f t="shared" si="55"/>
      </c>
      <c r="G6982" s="22" cm="1">
        <f t="array" ref="G6982">IF(AND(Inputs!$C$60,Inputs!$C$61),INDEX(Utility_Rates!$C$29:$F$52,HOUR(C6982)+Inputs!$C$69,MATCH(INDEX(Utility_Rates!$K$6:$K$17,MONTH(C6982))&amp;IF(WEEKDAY(C6982,Inputs!$C$76)&lt;=Inputs!$C$74," weekday"," weekend"),Utility_Rates!$C$28:$F$28,Inputs!$C$68)),"")</f>
      </c>
      <c r="H6982" s="34"/>
      <c r="I6982" s="42">
        <f>IF(AND(ISNUMBER(D6982),ISNUMBER(H6982)),D6982*H6982*Inputs!$C$69,"")</f>
      </c>
      <c r="J6982" s="42">
        <f>IF(AND(ISNUMBER(F6982),ISNUMBER(H6982),F6982&gt;=Inputs!$C$68),F6982*H6982*Inputs!$C$69,"")</f>
      </c>
    </row>
    <row r="6983" spans="2:10" ht="15" customHeight="1" x14ac:dyDescent="0.2">
      <c r="B6983" s="39">
        <f t="shared" si="54"/>
      </c>
      <c r="C6983" s="40">
        <f>IF(Inputs!$C$60,Inputs!$C$11+(B6983-Inputs!$C$69)/Inputs!$C$70,"")</f>
      </c>
      <c r="D6983" s="15"/>
      <c r="E6983" s="15"/>
      <c r="F6983" s="11">
        <f t="shared" si="55"/>
      </c>
      <c r="G6983" s="22" cm="1">
        <f t="array" ref="G6983">IF(AND(Inputs!$C$60,Inputs!$C$61),INDEX(Utility_Rates!$C$29:$F$52,HOUR(C6983)+Inputs!$C$69,MATCH(INDEX(Utility_Rates!$K$6:$K$17,MONTH(C6983))&amp;IF(WEEKDAY(C6983,Inputs!$C$76)&lt;=Inputs!$C$74," weekday"," weekend"),Utility_Rates!$C$28:$F$28,Inputs!$C$68)),"")</f>
      </c>
      <c r="H6983" s="34"/>
      <c r="I6983" s="42">
        <f>IF(AND(ISNUMBER(D6983),ISNUMBER(H6983)),D6983*H6983*Inputs!$C$69,"")</f>
      </c>
      <c r="J6983" s="42">
        <f>IF(AND(ISNUMBER(F6983),ISNUMBER(H6983),F6983&gt;=Inputs!$C$68),F6983*H6983*Inputs!$C$69,"")</f>
      </c>
    </row>
    <row r="6984" spans="2:10" ht="15" customHeight="1" x14ac:dyDescent="0.2">
      <c r="B6984" s="39">
        <f t="shared" si="54"/>
      </c>
      <c r="C6984" s="40">
        <f>IF(Inputs!$C$60,Inputs!$C$11+(B6984-Inputs!$C$69)/Inputs!$C$70,"")</f>
      </c>
      <c r="D6984" s="15"/>
      <c r="E6984" s="15"/>
      <c r="F6984" s="11">
        <f t="shared" si="55"/>
      </c>
      <c r="G6984" s="22" cm="1">
        <f t="array" ref="G6984">IF(AND(Inputs!$C$60,Inputs!$C$61),INDEX(Utility_Rates!$C$29:$F$52,HOUR(C6984)+Inputs!$C$69,MATCH(INDEX(Utility_Rates!$K$6:$K$17,MONTH(C6984))&amp;IF(WEEKDAY(C6984,Inputs!$C$76)&lt;=Inputs!$C$74," weekday"," weekend"),Utility_Rates!$C$28:$F$28,Inputs!$C$68)),"")</f>
      </c>
      <c r="H6984" s="34"/>
      <c r="I6984" s="42">
        <f>IF(AND(ISNUMBER(D6984),ISNUMBER(H6984)),D6984*H6984*Inputs!$C$69,"")</f>
      </c>
      <c r="J6984" s="42">
        <f>IF(AND(ISNUMBER(F6984),ISNUMBER(H6984),F6984&gt;=Inputs!$C$68),F6984*H6984*Inputs!$C$69,"")</f>
      </c>
    </row>
    <row r="6985" spans="2:10" ht="15" customHeight="1" x14ac:dyDescent="0.2">
      <c r="B6985" s="39">
        <f t="shared" si="54"/>
      </c>
      <c r="C6985" s="40">
        <f>IF(Inputs!$C$60,Inputs!$C$11+(B6985-Inputs!$C$69)/Inputs!$C$70,"")</f>
      </c>
      <c r="D6985" s="15"/>
      <c r="E6985" s="15"/>
      <c r="F6985" s="11">
        <f t="shared" si="55"/>
      </c>
      <c r="G6985" s="22" cm="1">
        <f t="array" ref="G6985">IF(AND(Inputs!$C$60,Inputs!$C$61),INDEX(Utility_Rates!$C$29:$F$52,HOUR(C6985)+Inputs!$C$69,MATCH(INDEX(Utility_Rates!$K$6:$K$17,MONTH(C6985))&amp;IF(WEEKDAY(C6985,Inputs!$C$76)&lt;=Inputs!$C$74," weekday"," weekend"),Utility_Rates!$C$28:$F$28,Inputs!$C$68)),"")</f>
      </c>
      <c r="H6985" s="34"/>
      <c r="I6985" s="42">
        <f>IF(AND(ISNUMBER(D6985),ISNUMBER(H6985)),D6985*H6985*Inputs!$C$69,"")</f>
      </c>
      <c r="J6985" s="42">
        <f>IF(AND(ISNUMBER(F6985),ISNUMBER(H6985),F6985&gt;=Inputs!$C$68),F6985*H6985*Inputs!$C$69,"")</f>
      </c>
    </row>
    <row r="6986" spans="2:10" ht="15" customHeight="1" x14ac:dyDescent="0.2">
      <c r="B6986" s="39">
        <f t="shared" si="54"/>
      </c>
      <c r="C6986" s="40">
        <f>IF(Inputs!$C$60,Inputs!$C$11+(B6986-Inputs!$C$69)/Inputs!$C$70,"")</f>
      </c>
      <c r="D6986" s="15"/>
      <c r="E6986" s="15"/>
      <c r="F6986" s="11">
        <f t="shared" si="55"/>
      </c>
      <c r="G6986" s="22" cm="1">
        <f t="array" ref="G6986">IF(AND(Inputs!$C$60,Inputs!$C$61),INDEX(Utility_Rates!$C$29:$F$52,HOUR(C6986)+Inputs!$C$69,MATCH(INDEX(Utility_Rates!$K$6:$K$17,MONTH(C6986))&amp;IF(WEEKDAY(C6986,Inputs!$C$76)&lt;=Inputs!$C$74," weekday"," weekend"),Utility_Rates!$C$28:$F$28,Inputs!$C$68)),"")</f>
      </c>
      <c r="H6986" s="34"/>
      <c r="I6986" s="42">
        <f>IF(AND(ISNUMBER(D6986),ISNUMBER(H6986)),D6986*H6986*Inputs!$C$69,"")</f>
      </c>
      <c r="J6986" s="42">
        <f>IF(AND(ISNUMBER(F6986),ISNUMBER(H6986),F6986&gt;=Inputs!$C$68),F6986*H6986*Inputs!$C$69,"")</f>
      </c>
    </row>
    <row r="6987" spans="2:10" ht="15" customHeight="1" x14ac:dyDescent="0.2">
      <c r="B6987" s="39">
        <f t="shared" si="54"/>
      </c>
      <c r="C6987" s="40">
        <f>IF(Inputs!$C$60,Inputs!$C$11+(B6987-Inputs!$C$69)/Inputs!$C$70,"")</f>
      </c>
      <c r="D6987" s="15"/>
      <c r="E6987" s="15"/>
      <c r="F6987" s="11">
        <f t="shared" si="55"/>
      </c>
      <c r="G6987" s="22" cm="1">
        <f t="array" ref="G6987">IF(AND(Inputs!$C$60,Inputs!$C$61),INDEX(Utility_Rates!$C$29:$F$52,HOUR(C6987)+Inputs!$C$69,MATCH(INDEX(Utility_Rates!$K$6:$K$17,MONTH(C6987))&amp;IF(WEEKDAY(C6987,Inputs!$C$76)&lt;=Inputs!$C$74," weekday"," weekend"),Utility_Rates!$C$28:$F$28,Inputs!$C$68)),"")</f>
      </c>
      <c r="H6987" s="34"/>
      <c r="I6987" s="42">
        <f>IF(AND(ISNUMBER(D6987),ISNUMBER(H6987)),D6987*H6987*Inputs!$C$69,"")</f>
      </c>
      <c r="J6987" s="42">
        <f>IF(AND(ISNUMBER(F6987),ISNUMBER(H6987),F6987&gt;=Inputs!$C$68),F6987*H6987*Inputs!$C$69,"")</f>
      </c>
    </row>
    <row r="6988" spans="2:10" ht="15" customHeight="1" x14ac:dyDescent="0.2">
      <c r="B6988" s="39">
        <f t="shared" si="54"/>
      </c>
      <c r="C6988" s="40">
        <f>IF(Inputs!$C$60,Inputs!$C$11+(B6988-Inputs!$C$69)/Inputs!$C$70,"")</f>
      </c>
      <c r="D6988" s="15"/>
      <c r="E6988" s="15"/>
      <c r="F6988" s="11">
        <f t="shared" si="55"/>
      </c>
      <c r="G6988" s="22" cm="1">
        <f t="array" ref="G6988">IF(AND(Inputs!$C$60,Inputs!$C$61),INDEX(Utility_Rates!$C$29:$F$52,HOUR(C6988)+Inputs!$C$69,MATCH(INDEX(Utility_Rates!$K$6:$K$17,MONTH(C6988))&amp;IF(WEEKDAY(C6988,Inputs!$C$76)&lt;=Inputs!$C$74," weekday"," weekend"),Utility_Rates!$C$28:$F$28,Inputs!$C$68)),"")</f>
      </c>
      <c r="H6988" s="34"/>
      <c r="I6988" s="42">
        <f>IF(AND(ISNUMBER(D6988),ISNUMBER(H6988)),D6988*H6988*Inputs!$C$69,"")</f>
      </c>
      <c r="J6988" s="42">
        <f>IF(AND(ISNUMBER(F6988),ISNUMBER(H6988),F6988&gt;=Inputs!$C$68),F6988*H6988*Inputs!$C$69,"")</f>
      </c>
    </row>
    <row r="6989" spans="2:10" ht="15" customHeight="1" x14ac:dyDescent="0.2">
      <c r="B6989" s="39">
        <f t="shared" si="54"/>
      </c>
      <c r="C6989" s="40">
        <f>IF(Inputs!$C$60,Inputs!$C$11+(B6989-Inputs!$C$69)/Inputs!$C$70,"")</f>
      </c>
      <c r="D6989" s="15"/>
      <c r="E6989" s="15"/>
      <c r="F6989" s="11">
        <f t="shared" si="55"/>
      </c>
      <c r="G6989" s="22" cm="1">
        <f t="array" ref="G6989">IF(AND(Inputs!$C$60,Inputs!$C$61),INDEX(Utility_Rates!$C$29:$F$52,HOUR(C6989)+Inputs!$C$69,MATCH(INDEX(Utility_Rates!$K$6:$K$17,MONTH(C6989))&amp;IF(WEEKDAY(C6989,Inputs!$C$76)&lt;=Inputs!$C$74," weekday"," weekend"),Utility_Rates!$C$28:$F$28,Inputs!$C$68)),"")</f>
      </c>
      <c r="H6989" s="34"/>
      <c r="I6989" s="42">
        <f>IF(AND(ISNUMBER(D6989),ISNUMBER(H6989)),D6989*H6989*Inputs!$C$69,"")</f>
      </c>
      <c r="J6989" s="42">
        <f>IF(AND(ISNUMBER(F6989),ISNUMBER(H6989),F6989&gt;=Inputs!$C$68),F6989*H6989*Inputs!$C$69,"")</f>
      </c>
    </row>
    <row r="6990" spans="2:10" ht="15" customHeight="1" x14ac:dyDescent="0.2">
      <c r="B6990" s="39">
        <f t="shared" si="54"/>
      </c>
      <c r="C6990" s="40">
        <f>IF(Inputs!$C$60,Inputs!$C$11+(B6990-Inputs!$C$69)/Inputs!$C$70,"")</f>
      </c>
      <c r="D6990" s="15"/>
      <c r="E6990" s="15"/>
      <c r="F6990" s="11">
        <f t="shared" si="55"/>
      </c>
      <c r="G6990" s="22" cm="1">
        <f t="array" ref="G6990">IF(AND(Inputs!$C$60,Inputs!$C$61),INDEX(Utility_Rates!$C$29:$F$52,HOUR(C6990)+Inputs!$C$69,MATCH(INDEX(Utility_Rates!$K$6:$K$17,MONTH(C6990))&amp;IF(WEEKDAY(C6990,Inputs!$C$76)&lt;=Inputs!$C$74," weekday"," weekend"),Utility_Rates!$C$28:$F$28,Inputs!$C$68)),"")</f>
      </c>
      <c r="H6990" s="34"/>
      <c r="I6990" s="42">
        <f>IF(AND(ISNUMBER(D6990),ISNUMBER(H6990)),D6990*H6990*Inputs!$C$69,"")</f>
      </c>
      <c r="J6990" s="42">
        <f>IF(AND(ISNUMBER(F6990),ISNUMBER(H6990),F6990&gt;=Inputs!$C$68),F6990*H6990*Inputs!$C$69,"")</f>
      </c>
    </row>
    <row r="6991" spans="2:10" ht="15" customHeight="1" x14ac:dyDescent="0.2">
      <c r="B6991" s="39">
        <f t="shared" si="54"/>
      </c>
      <c r="C6991" s="40">
        <f>IF(Inputs!$C$60,Inputs!$C$11+(B6991-Inputs!$C$69)/Inputs!$C$70,"")</f>
      </c>
      <c r="D6991" s="15"/>
      <c r="E6991" s="15"/>
      <c r="F6991" s="11">
        <f t="shared" si="55"/>
      </c>
      <c r="G6991" s="22" cm="1">
        <f t="array" ref="G6991">IF(AND(Inputs!$C$60,Inputs!$C$61),INDEX(Utility_Rates!$C$29:$F$52,HOUR(C6991)+Inputs!$C$69,MATCH(INDEX(Utility_Rates!$K$6:$K$17,MONTH(C6991))&amp;IF(WEEKDAY(C6991,Inputs!$C$76)&lt;=Inputs!$C$74," weekday"," weekend"),Utility_Rates!$C$28:$F$28,Inputs!$C$68)),"")</f>
      </c>
      <c r="H6991" s="34"/>
      <c r="I6991" s="42">
        <f>IF(AND(ISNUMBER(D6991),ISNUMBER(H6991)),D6991*H6991*Inputs!$C$69,"")</f>
      </c>
      <c r="J6991" s="42">
        <f>IF(AND(ISNUMBER(F6991),ISNUMBER(H6991),F6991&gt;=Inputs!$C$68),F6991*H6991*Inputs!$C$69,"")</f>
      </c>
    </row>
    <row r="6992" spans="2:10" ht="15" customHeight="1" x14ac:dyDescent="0.2">
      <c r="B6992" s="39">
        <f t="shared" si="54"/>
      </c>
      <c r="C6992" s="40">
        <f>IF(Inputs!$C$60,Inputs!$C$11+(B6992-Inputs!$C$69)/Inputs!$C$70,"")</f>
      </c>
      <c r="D6992" s="15"/>
      <c r="E6992" s="15"/>
      <c r="F6992" s="11">
        <f t="shared" si="55"/>
      </c>
      <c r="G6992" s="22" cm="1">
        <f t="array" ref="G6992">IF(AND(Inputs!$C$60,Inputs!$C$61),INDEX(Utility_Rates!$C$29:$F$52,HOUR(C6992)+Inputs!$C$69,MATCH(INDEX(Utility_Rates!$K$6:$K$17,MONTH(C6992))&amp;IF(WEEKDAY(C6992,Inputs!$C$76)&lt;=Inputs!$C$74," weekday"," weekend"),Utility_Rates!$C$28:$F$28,Inputs!$C$68)),"")</f>
      </c>
      <c r="H6992" s="34"/>
      <c r="I6992" s="42">
        <f>IF(AND(ISNUMBER(D6992),ISNUMBER(H6992)),D6992*H6992*Inputs!$C$69,"")</f>
      </c>
      <c r="J6992" s="42">
        <f>IF(AND(ISNUMBER(F6992),ISNUMBER(H6992),F6992&gt;=Inputs!$C$68),F6992*H6992*Inputs!$C$69,"")</f>
      </c>
    </row>
    <row r="6993" spans="2:10" ht="15" customHeight="1" x14ac:dyDescent="0.2">
      <c r="B6993" s="39">
        <f t="shared" si="54"/>
      </c>
      <c r="C6993" s="40">
        <f>IF(Inputs!$C$60,Inputs!$C$11+(B6993-Inputs!$C$69)/Inputs!$C$70,"")</f>
      </c>
      <c r="D6993" s="15"/>
      <c r="E6993" s="15"/>
      <c r="F6993" s="11">
        <f t="shared" si="55"/>
      </c>
      <c r="G6993" s="22" cm="1">
        <f t="array" ref="G6993">IF(AND(Inputs!$C$60,Inputs!$C$61),INDEX(Utility_Rates!$C$29:$F$52,HOUR(C6993)+Inputs!$C$69,MATCH(INDEX(Utility_Rates!$K$6:$K$17,MONTH(C6993))&amp;IF(WEEKDAY(C6993,Inputs!$C$76)&lt;=Inputs!$C$74," weekday"," weekend"),Utility_Rates!$C$28:$F$28,Inputs!$C$68)),"")</f>
      </c>
      <c r="H6993" s="34"/>
      <c r="I6993" s="42">
        <f>IF(AND(ISNUMBER(D6993),ISNUMBER(H6993)),D6993*H6993*Inputs!$C$69,"")</f>
      </c>
      <c r="J6993" s="42">
        <f>IF(AND(ISNUMBER(F6993),ISNUMBER(H6993),F6993&gt;=Inputs!$C$68),F6993*H6993*Inputs!$C$69,"")</f>
      </c>
    </row>
    <row r="6994" spans="2:10" ht="15" customHeight="1" x14ac:dyDescent="0.2">
      <c r="B6994" s="39">
        <f t="shared" si="54"/>
      </c>
      <c r="C6994" s="40">
        <f>IF(Inputs!$C$60,Inputs!$C$11+(B6994-Inputs!$C$69)/Inputs!$C$70,"")</f>
      </c>
      <c r="D6994" s="15"/>
      <c r="E6994" s="15"/>
      <c r="F6994" s="11">
        <f t="shared" si="55"/>
      </c>
      <c r="G6994" s="22" cm="1">
        <f t="array" ref="G6994">IF(AND(Inputs!$C$60,Inputs!$C$61),INDEX(Utility_Rates!$C$29:$F$52,HOUR(C6994)+Inputs!$C$69,MATCH(INDEX(Utility_Rates!$K$6:$K$17,MONTH(C6994))&amp;IF(WEEKDAY(C6994,Inputs!$C$76)&lt;=Inputs!$C$74," weekday"," weekend"),Utility_Rates!$C$28:$F$28,Inputs!$C$68)),"")</f>
      </c>
      <c r="H6994" s="34"/>
      <c r="I6994" s="42">
        <f>IF(AND(ISNUMBER(D6994),ISNUMBER(H6994)),D6994*H6994*Inputs!$C$69,"")</f>
      </c>
      <c r="J6994" s="42">
        <f>IF(AND(ISNUMBER(F6994),ISNUMBER(H6994),F6994&gt;=Inputs!$C$68),F6994*H6994*Inputs!$C$69,"")</f>
      </c>
    </row>
    <row r="6995" spans="2:10" ht="15" customHeight="1" x14ac:dyDescent="0.2">
      <c r="B6995" s="39">
        <f t="shared" si="54"/>
      </c>
      <c r="C6995" s="40">
        <f>IF(Inputs!$C$60,Inputs!$C$11+(B6995-Inputs!$C$69)/Inputs!$C$70,"")</f>
      </c>
      <c r="D6995" s="15"/>
      <c r="E6995" s="15"/>
      <c r="F6995" s="11">
        <f t="shared" si="55"/>
      </c>
      <c r="G6995" s="22" cm="1">
        <f t="array" ref="G6995">IF(AND(Inputs!$C$60,Inputs!$C$61),INDEX(Utility_Rates!$C$29:$F$52,HOUR(C6995)+Inputs!$C$69,MATCH(INDEX(Utility_Rates!$K$6:$K$17,MONTH(C6995))&amp;IF(WEEKDAY(C6995,Inputs!$C$76)&lt;=Inputs!$C$74," weekday"," weekend"),Utility_Rates!$C$28:$F$28,Inputs!$C$68)),"")</f>
      </c>
      <c r="H6995" s="34"/>
      <c r="I6995" s="42">
        <f>IF(AND(ISNUMBER(D6995),ISNUMBER(H6995)),D6995*H6995*Inputs!$C$69,"")</f>
      </c>
      <c r="J6995" s="42">
        <f>IF(AND(ISNUMBER(F6995),ISNUMBER(H6995),F6995&gt;=Inputs!$C$68),F6995*H6995*Inputs!$C$69,"")</f>
      </c>
    </row>
    <row r="6996" spans="2:10" ht="15" customHeight="1" x14ac:dyDescent="0.2">
      <c r="B6996" s="39">
        <f t="shared" si="54"/>
      </c>
      <c r="C6996" s="40">
        <f>IF(Inputs!$C$60,Inputs!$C$11+(B6996-Inputs!$C$69)/Inputs!$C$70,"")</f>
      </c>
      <c r="D6996" s="15"/>
      <c r="E6996" s="15"/>
      <c r="F6996" s="11">
        <f t="shared" si="55"/>
      </c>
      <c r="G6996" s="22" cm="1">
        <f t="array" ref="G6996">IF(AND(Inputs!$C$60,Inputs!$C$61),INDEX(Utility_Rates!$C$29:$F$52,HOUR(C6996)+Inputs!$C$69,MATCH(INDEX(Utility_Rates!$K$6:$K$17,MONTH(C6996))&amp;IF(WEEKDAY(C6996,Inputs!$C$76)&lt;=Inputs!$C$74," weekday"," weekend"),Utility_Rates!$C$28:$F$28,Inputs!$C$68)),"")</f>
      </c>
      <c r="H6996" s="34"/>
      <c r="I6996" s="42">
        <f>IF(AND(ISNUMBER(D6996),ISNUMBER(H6996)),D6996*H6996*Inputs!$C$69,"")</f>
      </c>
      <c r="J6996" s="42">
        <f>IF(AND(ISNUMBER(F6996),ISNUMBER(H6996),F6996&gt;=Inputs!$C$68),F6996*H6996*Inputs!$C$69,"")</f>
      </c>
    </row>
    <row r="6997" spans="2:10" ht="15" customHeight="1" x14ac:dyDescent="0.2">
      <c r="B6997" s="39">
        <f t="shared" si="54"/>
      </c>
      <c r="C6997" s="40">
        <f>IF(Inputs!$C$60,Inputs!$C$11+(B6997-Inputs!$C$69)/Inputs!$C$70,"")</f>
      </c>
      <c r="D6997" s="15"/>
      <c r="E6997" s="15"/>
      <c r="F6997" s="11">
        <f t="shared" si="55"/>
      </c>
      <c r="G6997" s="22" cm="1">
        <f t="array" ref="G6997">IF(AND(Inputs!$C$60,Inputs!$C$61),INDEX(Utility_Rates!$C$29:$F$52,HOUR(C6997)+Inputs!$C$69,MATCH(INDEX(Utility_Rates!$K$6:$K$17,MONTH(C6997))&amp;IF(WEEKDAY(C6997,Inputs!$C$76)&lt;=Inputs!$C$74," weekday"," weekend"),Utility_Rates!$C$28:$F$28,Inputs!$C$68)),"")</f>
      </c>
      <c r="H6997" s="34"/>
      <c r="I6997" s="42">
        <f>IF(AND(ISNUMBER(D6997),ISNUMBER(H6997)),D6997*H6997*Inputs!$C$69,"")</f>
      </c>
      <c r="J6997" s="42">
        <f>IF(AND(ISNUMBER(F6997),ISNUMBER(H6997),F6997&gt;=Inputs!$C$68),F6997*H6997*Inputs!$C$69,"")</f>
      </c>
    </row>
    <row r="6998" spans="2:10" ht="15" customHeight="1" x14ac:dyDescent="0.2">
      <c r="B6998" s="39">
        <f t="shared" si="54"/>
      </c>
      <c r="C6998" s="40">
        <f>IF(Inputs!$C$60,Inputs!$C$11+(B6998-Inputs!$C$69)/Inputs!$C$70,"")</f>
      </c>
      <c r="D6998" s="15"/>
      <c r="E6998" s="15"/>
      <c r="F6998" s="11">
        <f t="shared" si="55"/>
      </c>
      <c r="G6998" s="22" cm="1">
        <f t="array" ref="G6998">IF(AND(Inputs!$C$60,Inputs!$C$61),INDEX(Utility_Rates!$C$29:$F$52,HOUR(C6998)+Inputs!$C$69,MATCH(INDEX(Utility_Rates!$K$6:$K$17,MONTH(C6998))&amp;IF(WEEKDAY(C6998,Inputs!$C$76)&lt;=Inputs!$C$74," weekday"," weekend"),Utility_Rates!$C$28:$F$28,Inputs!$C$68)),"")</f>
      </c>
      <c r="H6998" s="34"/>
      <c r="I6998" s="42">
        <f>IF(AND(ISNUMBER(D6998),ISNUMBER(H6998)),D6998*H6998*Inputs!$C$69,"")</f>
      </c>
      <c r="J6998" s="42">
        <f>IF(AND(ISNUMBER(F6998),ISNUMBER(H6998),F6998&gt;=Inputs!$C$68),F6998*H6998*Inputs!$C$69,"")</f>
      </c>
    </row>
    <row r="6999" spans="2:10" ht="15" customHeight="1" x14ac:dyDescent="0.2">
      <c r="B6999" s="39">
        <f t="shared" si="54"/>
      </c>
      <c r="C6999" s="40">
        <f>IF(Inputs!$C$60,Inputs!$C$11+(B6999-Inputs!$C$69)/Inputs!$C$70,"")</f>
      </c>
      <c r="D6999" s="15"/>
      <c r="E6999" s="15"/>
      <c r="F6999" s="11">
        <f t="shared" si="55"/>
      </c>
      <c r="G6999" s="22" cm="1">
        <f t="array" ref="G6999">IF(AND(Inputs!$C$60,Inputs!$C$61),INDEX(Utility_Rates!$C$29:$F$52,HOUR(C6999)+Inputs!$C$69,MATCH(INDEX(Utility_Rates!$K$6:$K$17,MONTH(C6999))&amp;IF(WEEKDAY(C6999,Inputs!$C$76)&lt;=Inputs!$C$74," weekday"," weekend"),Utility_Rates!$C$28:$F$28,Inputs!$C$68)),"")</f>
      </c>
      <c r="H6999" s="34"/>
      <c r="I6999" s="42">
        <f>IF(AND(ISNUMBER(D6999),ISNUMBER(H6999)),D6999*H6999*Inputs!$C$69,"")</f>
      </c>
      <c r="J6999" s="42">
        <f>IF(AND(ISNUMBER(F6999),ISNUMBER(H6999),F6999&gt;=Inputs!$C$68),F6999*H6999*Inputs!$C$69,"")</f>
      </c>
    </row>
    <row r="7000" spans="2:10" ht="15" customHeight="1" x14ac:dyDescent="0.2">
      <c r="B7000" s="39">
        <f t="shared" si="54"/>
      </c>
      <c r="C7000" s="40">
        <f>IF(Inputs!$C$60,Inputs!$C$11+(B7000-Inputs!$C$69)/Inputs!$C$70,"")</f>
      </c>
      <c r="D7000" s="15"/>
      <c r="E7000" s="15"/>
      <c r="F7000" s="11">
        <f t="shared" si="55"/>
      </c>
      <c r="G7000" s="22" cm="1">
        <f t="array" ref="G7000">IF(AND(Inputs!$C$60,Inputs!$C$61),INDEX(Utility_Rates!$C$29:$F$52,HOUR(C7000)+Inputs!$C$69,MATCH(INDEX(Utility_Rates!$K$6:$K$17,MONTH(C7000))&amp;IF(WEEKDAY(C7000,Inputs!$C$76)&lt;=Inputs!$C$74," weekday"," weekend"),Utility_Rates!$C$28:$F$28,Inputs!$C$68)),"")</f>
      </c>
      <c r="H7000" s="34"/>
      <c r="I7000" s="42">
        <f>IF(AND(ISNUMBER(D7000),ISNUMBER(H7000)),D7000*H7000*Inputs!$C$69,"")</f>
      </c>
      <c r="J7000" s="42">
        <f>IF(AND(ISNUMBER(F7000),ISNUMBER(H7000),F7000&gt;=Inputs!$C$68),F7000*H7000*Inputs!$C$69,"")</f>
      </c>
    </row>
    <row r="7001" spans="2:10" ht="15" customHeight="1" x14ac:dyDescent="0.2">
      <c r="B7001" s="39">
        <f t="shared" si="54"/>
      </c>
      <c r="C7001" s="40">
        <f>IF(Inputs!$C$60,Inputs!$C$11+(B7001-Inputs!$C$69)/Inputs!$C$70,"")</f>
      </c>
      <c r="D7001" s="15"/>
      <c r="E7001" s="15"/>
      <c r="F7001" s="11">
        <f t="shared" si="55"/>
      </c>
      <c r="G7001" s="22" cm="1">
        <f t="array" ref="G7001">IF(AND(Inputs!$C$60,Inputs!$C$61),INDEX(Utility_Rates!$C$29:$F$52,HOUR(C7001)+Inputs!$C$69,MATCH(INDEX(Utility_Rates!$K$6:$K$17,MONTH(C7001))&amp;IF(WEEKDAY(C7001,Inputs!$C$76)&lt;=Inputs!$C$74," weekday"," weekend"),Utility_Rates!$C$28:$F$28,Inputs!$C$68)),"")</f>
      </c>
      <c r="H7001" s="34"/>
      <c r="I7001" s="42">
        <f>IF(AND(ISNUMBER(D7001),ISNUMBER(H7001)),D7001*H7001*Inputs!$C$69,"")</f>
      </c>
      <c r="J7001" s="42">
        <f>IF(AND(ISNUMBER(F7001),ISNUMBER(H7001),F7001&gt;=Inputs!$C$68),F7001*H7001*Inputs!$C$69,"")</f>
      </c>
    </row>
    <row r="7002" spans="2:10" ht="15" customHeight="1" x14ac:dyDescent="0.2">
      <c r="B7002" s="39">
        <f t="shared" si="54"/>
      </c>
      <c r="C7002" s="40">
        <f>IF(Inputs!$C$60,Inputs!$C$11+(B7002-Inputs!$C$69)/Inputs!$C$70,"")</f>
      </c>
      <c r="D7002" s="15"/>
      <c r="E7002" s="15"/>
      <c r="F7002" s="11">
        <f t="shared" si="55"/>
      </c>
      <c r="G7002" s="22" cm="1">
        <f t="array" ref="G7002">IF(AND(Inputs!$C$60,Inputs!$C$61),INDEX(Utility_Rates!$C$29:$F$52,HOUR(C7002)+Inputs!$C$69,MATCH(INDEX(Utility_Rates!$K$6:$K$17,MONTH(C7002))&amp;IF(WEEKDAY(C7002,Inputs!$C$76)&lt;=Inputs!$C$74," weekday"," weekend"),Utility_Rates!$C$28:$F$28,Inputs!$C$68)),"")</f>
      </c>
      <c r="H7002" s="34"/>
      <c r="I7002" s="42">
        <f>IF(AND(ISNUMBER(D7002),ISNUMBER(H7002)),D7002*H7002*Inputs!$C$69,"")</f>
      </c>
      <c r="J7002" s="42">
        <f>IF(AND(ISNUMBER(F7002),ISNUMBER(H7002),F7002&gt;=Inputs!$C$68),F7002*H7002*Inputs!$C$69,"")</f>
      </c>
    </row>
    <row r="7003" spans="2:10" ht="15" customHeight="1" x14ac:dyDescent="0.2">
      <c r="B7003" s="39">
        <f t="shared" si="54"/>
      </c>
      <c r="C7003" s="40">
        <f>IF(Inputs!$C$60,Inputs!$C$11+(B7003-Inputs!$C$69)/Inputs!$C$70,"")</f>
      </c>
      <c r="D7003" s="15"/>
      <c r="E7003" s="15"/>
      <c r="F7003" s="11">
        <f t="shared" si="55"/>
      </c>
      <c r="G7003" s="22" cm="1">
        <f t="array" ref="G7003">IF(AND(Inputs!$C$60,Inputs!$C$61),INDEX(Utility_Rates!$C$29:$F$52,HOUR(C7003)+Inputs!$C$69,MATCH(INDEX(Utility_Rates!$K$6:$K$17,MONTH(C7003))&amp;IF(WEEKDAY(C7003,Inputs!$C$76)&lt;=Inputs!$C$74," weekday"," weekend"),Utility_Rates!$C$28:$F$28,Inputs!$C$68)),"")</f>
      </c>
      <c r="H7003" s="34"/>
      <c r="I7003" s="42">
        <f>IF(AND(ISNUMBER(D7003),ISNUMBER(H7003)),D7003*H7003*Inputs!$C$69,"")</f>
      </c>
      <c r="J7003" s="42">
        <f>IF(AND(ISNUMBER(F7003),ISNUMBER(H7003),F7003&gt;=Inputs!$C$68),F7003*H7003*Inputs!$C$69,"")</f>
      </c>
    </row>
    <row r="7004" spans="2:10" ht="15" customHeight="1" x14ac:dyDescent="0.2">
      <c r="B7004" s="39">
        <f t="shared" si="54"/>
      </c>
      <c r="C7004" s="40">
        <f>IF(Inputs!$C$60,Inputs!$C$11+(B7004-Inputs!$C$69)/Inputs!$C$70,"")</f>
      </c>
      <c r="D7004" s="15"/>
      <c r="E7004" s="15"/>
      <c r="F7004" s="11">
        <f t="shared" si="55"/>
      </c>
      <c r="G7004" s="22" cm="1">
        <f t="array" ref="G7004">IF(AND(Inputs!$C$60,Inputs!$C$61),INDEX(Utility_Rates!$C$29:$F$52,HOUR(C7004)+Inputs!$C$69,MATCH(INDEX(Utility_Rates!$K$6:$K$17,MONTH(C7004))&amp;IF(WEEKDAY(C7004,Inputs!$C$76)&lt;=Inputs!$C$74," weekday"," weekend"),Utility_Rates!$C$28:$F$28,Inputs!$C$68)),"")</f>
      </c>
      <c r="H7004" s="34"/>
      <c r="I7004" s="42">
        <f>IF(AND(ISNUMBER(D7004),ISNUMBER(H7004)),D7004*H7004*Inputs!$C$69,"")</f>
      </c>
      <c r="J7004" s="42">
        <f>IF(AND(ISNUMBER(F7004),ISNUMBER(H7004),F7004&gt;=Inputs!$C$68),F7004*H7004*Inputs!$C$69,"")</f>
      </c>
    </row>
    <row r="7005" spans="2:10" ht="15" customHeight="1" x14ac:dyDescent="0.2">
      <c r="B7005" s="39">
        <f t="shared" si="54"/>
      </c>
      <c r="C7005" s="40">
        <f>IF(Inputs!$C$60,Inputs!$C$11+(B7005-Inputs!$C$69)/Inputs!$C$70,"")</f>
      </c>
      <c r="D7005" s="15"/>
      <c r="E7005" s="15"/>
      <c r="F7005" s="11">
        <f t="shared" si="55"/>
      </c>
      <c r="G7005" s="22" cm="1">
        <f t="array" ref="G7005">IF(AND(Inputs!$C$60,Inputs!$C$61),INDEX(Utility_Rates!$C$29:$F$52,HOUR(C7005)+Inputs!$C$69,MATCH(INDEX(Utility_Rates!$K$6:$K$17,MONTH(C7005))&amp;IF(WEEKDAY(C7005,Inputs!$C$76)&lt;=Inputs!$C$74," weekday"," weekend"),Utility_Rates!$C$28:$F$28,Inputs!$C$68)),"")</f>
      </c>
      <c r="H7005" s="34"/>
      <c r="I7005" s="42">
        <f>IF(AND(ISNUMBER(D7005),ISNUMBER(H7005)),D7005*H7005*Inputs!$C$69,"")</f>
      </c>
      <c r="J7005" s="42">
        <f>IF(AND(ISNUMBER(F7005),ISNUMBER(H7005),F7005&gt;=Inputs!$C$68),F7005*H7005*Inputs!$C$69,"")</f>
      </c>
    </row>
    <row r="7006" spans="2:10" ht="15" customHeight="1" x14ac:dyDescent="0.2">
      <c r="B7006" s="39">
        <f t="shared" si="54"/>
      </c>
      <c r="C7006" s="40">
        <f>IF(Inputs!$C$60,Inputs!$C$11+(B7006-Inputs!$C$69)/Inputs!$C$70,"")</f>
      </c>
      <c r="D7006" s="15"/>
      <c r="E7006" s="15"/>
      <c r="F7006" s="11">
        <f t="shared" si="55"/>
      </c>
      <c r="G7006" s="22" cm="1">
        <f t="array" ref="G7006">IF(AND(Inputs!$C$60,Inputs!$C$61),INDEX(Utility_Rates!$C$29:$F$52,HOUR(C7006)+Inputs!$C$69,MATCH(INDEX(Utility_Rates!$K$6:$K$17,MONTH(C7006))&amp;IF(WEEKDAY(C7006,Inputs!$C$76)&lt;=Inputs!$C$74," weekday"," weekend"),Utility_Rates!$C$28:$F$28,Inputs!$C$68)),"")</f>
      </c>
      <c r="H7006" s="34"/>
      <c r="I7006" s="42">
        <f>IF(AND(ISNUMBER(D7006),ISNUMBER(H7006)),D7006*H7006*Inputs!$C$69,"")</f>
      </c>
      <c r="J7006" s="42">
        <f>IF(AND(ISNUMBER(F7006),ISNUMBER(H7006),F7006&gt;=Inputs!$C$68),F7006*H7006*Inputs!$C$69,"")</f>
      </c>
    </row>
    <row r="7007" spans="2:10" ht="15" customHeight="1" x14ac:dyDescent="0.2">
      <c r="B7007" s="39">
        <f t="shared" si="54"/>
      </c>
      <c r="C7007" s="40">
        <f>IF(Inputs!$C$60,Inputs!$C$11+(B7007-Inputs!$C$69)/Inputs!$C$70,"")</f>
      </c>
      <c r="D7007" s="15"/>
      <c r="E7007" s="15"/>
      <c r="F7007" s="11">
        <f t="shared" si="55"/>
      </c>
      <c r="G7007" s="22" cm="1">
        <f t="array" ref="G7007">IF(AND(Inputs!$C$60,Inputs!$C$61),INDEX(Utility_Rates!$C$29:$F$52,HOUR(C7007)+Inputs!$C$69,MATCH(INDEX(Utility_Rates!$K$6:$K$17,MONTH(C7007))&amp;IF(WEEKDAY(C7007,Inputs!$C$76)&lt;=Inputs!$C$74," weekday"," weekend"),Utility_Rates!$C$28:$F$28,Inputs!$C$68)),"")</f>
      </c>
      <c r="H7007" s="34"/>
      <c r="I7007" s="42">
        <f>IF(AND(ISNUMBER(D7007),ISNUMBER(H7007)),D7007*H7007*Inputs!$C$69,"")</f>
      </c>
      <c r="J7007" s="42">
        <f>IF(AND(ISNUMBER(F7007),ISNUMBER(H7007),F7007&gt;=Inputs!$C$68),F7007*H7007*Inputs!$C$69,"")</f>
      </c>
    </row>
    <row r="7008" spans="2:10" ht="15" customHeight="1" x14ac:dyDescent="0.2">
      <c r="B7008" s="39">
        <f t="shared" si="54"/>
      </c>
      <c r="C7008" s="40">
        <f>IF(Inputs!$C$60,Inputs!$C$11+(B7008-Inputs!$C$69)/Inputs!$C$70,"")</f>
      </c>
      <c r="D7008" s="15"/>
      <c r="E7008" s="15"/>
      <c r="F7008" s="11">
        <f t="shared" si="55"/>
      </c>
      <c r="G7008" s="22" cm="1">
        <f t="array" ref="G7008">IF(AND(Inputs!$C$60,Inputs!$C$61),INDEX(Utility_Rates!$C$29:$F$52,HOUR(C7008)+Inputs!$C$69,MATCH(INDEX(Utility_Rates!$K$6:$K$17,MONTH(C7008))&amp;IF(WEEKDAY(C7008,Inputs!$C$76)&lt;=Inputs!$C$74," weekday"," weekend"),Utility_Rates!$C$28:$F$28,Inputs!$C$68)),"")</f>
      </c>
      <c r="H7008" s="34"/>
      <c r="I7008" s="42">
        <f>IF(AND(ISNUMBER(D7008),ISNUMBER(H7008)),D7008*H7008*Inputs!$C$69,"")</f>
      </c>
      <c r="J7008" s="42">
        <f>IF(AND(ISNUMBER(F7008),ISNUMBER(H7008),F7008&gt;=Inputs!$C$68),F7008*H7008*Inputs!$C$69,"")</f>
      </c>
    </row>
    <row r="7009" spans="2:10" ht="15" customHeight="1" x14ac:dyDescent="0.2">
      <c r="B7009" s="39">
        <f t="shared" si="54"/>
      </c>
      <c r="C7009" s="40">
        <f>IF(Inputs!$C$60,Inputs!$C$11+(B7009-Inputs!$C$69)/Inputs!$C$70,"")</f>
      </c>
      <c r="D7009" s="15"/>
      <c r="E7009" s="15"/>
      <c r="F7009" s="11">
        <f t="shared" si="55"/>
      </c>
      <c r="G7009" s="22" cm="1">
        <f t="array" ref="G7009">IF(AND(Inputs!$C$60,Inputs!$C$61),INDEX(Utility_Rates!$C$29:$F$52,HOUR(C7009)+Inputs!$C$69,MATCH(INDEX(Utility_Rates!$K$6:$K$17,MONTH(C7009))&amp;IF(WEEKDAY(C7009,Inputs!$C$76)&lt;=Inputs!$C$74," weekday"," weekend"),Utility_Rates!$C$28:$F$28,Inputs!$C$68)),"")</f>
      </c>
      <c r="H7009" s="34"/>
      <c r="I7009" s="42">
        <f>IF(AND(ISNUMBER(D7009),ISNUMBER(H7009)),D7009*H7009*Inputs!$C$69,"")</f>
      </c>
      <c r="J7009" s="42">
        <f>IF(AND(ISNUMBER(F7009),ISNUMBER(H7009),F7009&gt;=Inputs!$C$68),F7009*H7009*Inputs!$C$69,"")</f>
      </c>
    </row>
    <row r="7010" spans="2:10" ht="15" customHeight="1" x14ac:dyDescent="0.2">
      <c r="B7010" s="39">
        <f t="shared" si="54"/>
      </c>
      <c r="C7010" s="40">
        <f>IF(Inputs!$C$60,Inputs!$C$11+(B7010-Inputs!$C$69)/Inputs!$C$70,"")</f>
      </c>
      <c r="D7010" s="15"/>
      <c r="E7010" s="15"/>
      <c r="F7010" s="11">
        <f t="shared" si="55"/>
      </c>
      <c r="G7010" s="22" cm="1">
        <f t="array" ref="G7010">IF(AND(Inputs!$C$60,Inputs!$C$61),INDEX(Utility_Rates!$C$29:$F$52,HOUR(C7010)+Inputs!$C$69,MATCH(INDEX(Utility_Rates!$K$6:$K$17,MONTH(C7010))&amp;IF(WEEKDAY(C7010,Inputs!$C$76)&lt;=Inputs!$C$74," weekday"," weekend"),Utility_Rates!$C$28:$F$28,Inputs!$C$68)),"")</f>
      </c>
      <c r="H7010" s="34"/>
      <c r="I7010" s="42">
        <f>IF(AND(ISNUMBER(D7010),ISNUMBER(H7010)),D7010*H7010*Inputs!$C$69,"")</f>
      </c>
      <c r="J7010" s="42">
        <f>IF(AND(ISNUMBER(F7010),ISNUMBER(H7010),F7010&gt;=Inputs!$C$68),F7010*H7010*Inputs!$C$69,"")</f>
      </c>
    </row>
    <row r="7011" spans="2:10" ht="15" customHeight="1" x14ac:dyDescent="0.2">
      <c r="B7011" s="39">
        <f t="shared" si="54"/>
      </c>
      <c r="C7011" s="40">
        <f>IF(Inputs!$C$60,Inputs!$C$11+(B7011-Inputs!$C$69)/Inputs!$C$70,"")</f>
      </c>
      <c r="D7011" s="15"/>
      <c r="E7011" s="15"/>
      <c r="F7011" s="11">
        <f t="shared" si="55"/>
      </c>
      <c r="G7011" s="22" cm="1">
        <f t="array" ref="G7011">IF(AND(Inputs!$C$60,Inputs!$C$61),INDEX(Utility_Rates!$C$29:$F$52,HOUR(C7011)+Inputs!$C$69,MATCH(INDEX(Utility_Rates!$K$6:$K$17,MONTH(C7011))&amp;IF(WEEKDAY(C7011,Inputs!$C$76)&lt;=Inputs!$C$74," weekday"," weekend"),Utility_Rates!$C$28:$F$28,Inputs!$C$68)),"")</f>
      </c>
      <c r="H7011" s="34"/>
      <c r="I7011" s="42">
        <f>IF(AND(ISNUMBER(D7011),ISNUMBER(H7011)),D7011*H7011*Inputs!$C$69,"")</f>
      </c>
      <c r="J7011" s="42">
        <f>IF(AND(ISNUMBER(F7011),ISNUMBER(H7011),F7011&gt;=Inputs!$C$68),F7011*H7011*Inputs!$C$69,"")</f>
      </c>
    </row>
    <row r="7012" spans="2:10" ht="15" customHeight="1" x14ac:dyDescent="0.2">
      <c r="B7012" s="39">
        <f t="shared" si="54"/>
      </c>
      <c r="C7012" s="40">
        <f>IF(Inputs!$C$60,Inputs!$C$11+(B7012-Inputs!$C$69)/Inputs!$C$70,"")</f>
      </c>
      <c r="D7012" s="15"/>
      <c r="E7012" s="15"/>
      <c r="F7012" s="11">
        <f t="shared" si="55"/>
      </c>
      <c r="G7012" s="22" cm="1">
        <f t="array" ref="G7012">IF(AND(Inputs!$C$60,Inputs!$C$61),INDEX(Utility_Rates!$C$29:$F$52,HOUR(C7012)+Inputs!$C$69,MATCH(INDEX(Utility_Rates!$K$6:$K$17,MONTH(C7012))&amp;IF(WEEKDAY(C7012,Inputs!$C$76)&lt;=Inputs!$C$74," weekday"," weekend"),Utility_Rates!$C$28:$F$28,Inputs!$C$68)),"")</f>
      </c>
      <c r="H7012" s="34"/>
      <c r="I7012" s="42">
        <f>IF(AND(ISNUMBER(D7012),ISNUMBER(H7012)),D7012*H7012*Inputs!$C$69,"")</f>
      </c>
      <c r="J7012" s="42">
        <f>IF(AND(ISNUMBER(F7012),ISNUMBER(H7012),F7012&gt;=Inputs!$C$68),F7012*H7012*Inputs!$C$69,"")</f>
      </c>
    </row>
    <row r="7013" spans="2:10" ht="15" customHeight="1" x14ac:dyDescent="0.2">
      <c r="B7013" s="39">
        <f t="shared" si="54"/>
      </c>
      <c r="C7013" s="40">
        <f>IF(Inputs!$C$60,Inputs!$C$11+(B7013-Inputs!$C$69)/Inputs!$C$70,"")</f>
      </c>
      <c r="D7013" s="15"/>
      <c r="E7013" s="15"/>
      <c r="F7013" s="11">
        <f t="shared" si="55"/>
      </c>
      <c r="G7013" s="22" cm="1">
        <f t="array" ref="G7013">IF(AND(Inputs!$C$60,Inputs!$C$61),INDEX(Utility_Rates!$C$29:$F$52,HOUR(C7013)+Inputs!$C$69,MATCH(INDEX(Utility_Rates!$K$6:$K$17,MONTH(C7013))&amp;IF(WEEKDAY(C7013,Inputs!$C$76)&lt;=Inputs!$C$74," weekday"," weekend"),Utility_Rates!$C$28:$F$28,Inputs!$C$68)),"")</f>
      </c>
      <c r="H7013" s="34"/>
      <c r="I7013" s="42">
        <f>IF(AND(ISNUMBER(D7013),ISNUMBER(H7013)),D7013*H7013*Inputs!$C$69,"")</f>
      </c>
      <c r="J7013" s="42">
        <f>IF(AND(ISNUMBER(F7013),ISNUMBER(H7013),F7013&gt;=Inputs!$C$68),F7013*H7013*Inputs!$C$69,"")</f>
      </c>
    </row>
    <row r="7014" spans="2:10" ht="15" customHeight="1" x14ac:dyDescent="0.2">
      <c r="B7014" s="39">
        <f t="shared" si="54"/>
      </c>
      <c r="C7014" s="40">
        <f>IF(Inputs!$C$60,Inputs!$C$11+(B7014-Inputs!$C$69)/Inputs!$C$70,"")</f>
      </c>
      <c r="D7014" s="15"/>
      <c r="E7014" s="15"/>
      <c r="F7014" s="11">
        <f t="shared" si="55"/>
      </c>
      <c r="G7014" s="22" cm="1">
        <f t="array" ref="G7014">IF(AND(Inputs!$C$60,Inputs!$C$61),INDEX(Utility_Rates!$C$29:$F$52,HOUR(C7014)+Inputs!$C$69,MATCH(INDEX(Utility_Rates!$K$6:$K$17,MONTH(C7014))&amp;IF(WEEKDAY(C7014,Inputs!$C$76)&lt;=Inputs!$C$74," weekday"," weekend"),Utility_Rates!$C$28:$F$28,Inputs!$C$68)),"")</f>
      </c>
      <c r="H7014" s="34"/>
      <c r="I7014" s="42">
        <f>IF(AND(ISNUMBER(D7014),ISNUMBER(H7014)),D7014*H7014*Inputs!$C$69,"")</f>
      </c>
      <c r="J7014" s="42">
        <f>IF(AND(ISNUMBER(F7014),ISNUMBER(H7014),F7014&gt;=Inputs!$C$68),F7014*H7014*Inputs!$C$69,"")</f>
      </c>
    </row>
    <row r="7015" spans="2:10" ht="15" customHeight="1" x14ac:dyDescent="0.2">
      <c r="B7015" s="39">
        <f t="shared" si="54"/>
      </c>
      <c r="C7015" s="40">
        <f>IF(Inputs!$C$60,Inputs!$C$11+(B7015-Inputs!$C$69)/Inputs!$C$70,"")</f>
      </c>
      <c r="D7015" s="15"/>
      <c r="E7015" s="15"/>
      <c r="F7015" s="11">
        <f t="shared" si="55"/>
      </c>
      <c r="G7015" s="22" cm="1">
        <f t="array" ref="G7015">IF(AND(Inputs!$C$60,Inputs!$C$61),INDEX(Utility_Rates!$C$29:$F$52,HOUR(C7015)+Inputs!$C$69,MATCH(INDEX(Utility_Rates!$K$6:$K$17,MONTH(C7015))&amp;IF(WEEKDAY(C7015,Inputs!$C$76)&lt;=Inputs!$C$74," weekday"," weekend"),Utility_Rates!$C$28:$F$28,Inputs!$C$68)),"")</f>
      </c>
      <c r="H7015" s="34"/>
      <c r="I7015" s="42">
        <f>IF(AND(ISNUMBER(D7015),ISNUMBER(H7015)),D7015*H7015*Inputs!$C$69,"")</f>
      </c>
      <c r="J7015" s="42">
        <f>IF(AND(ISNUMBER(F7015),ISNUMBER(H7015),F7015&gt;=Inputs!$C$68),F7015*H7015*Inputs!$C$69,"")</f>
      </c>
    </row>
    <row r="7016" spans="2:10" ht="15" customHeight="1" x14ac:dyDescent="0.2">
      <c r="B7016" s="39">
        <f t="shared" si="54"/>
      </c>
      <c r="C7016" s="40">
        <f>IF(Inputs!$C$60,Inputs!$C$11+(B7016-Inputs!$C$69)/Inputs!$C$70,"")</f>
      </c>
      <c r="D7016" s="15"/>
      <c r="E7016" s="15"/>
      <c r="F7016" s="11">
        <f t="shared" si="55"/>
      </c>
      <c r="G7016" s="22" cm="1">
        <f t="array" ref="G7016">IF(AND(Inputs!$C$60,Inputs!$C$61),INDEX(Utility_Rates!$C$29:$F$52,HOUR(C7016)+Inputs!$C$69,MATCH(INDEX(Utility_Rates!$K$6:$K$17,MONTH(C7016))&amp;IF(WEEKDAY(C7016,Inputs!$C$76)&lt;=Inputs!$C$74," weekday"," weekend"),Utility_Rates!$C$28:$F$28,Inputs!$C$68)),"")</f>
      </c>
      <c r="H7016" s="34"/>
      <c r="I7016" s="42">
        <f>IF(AND(ISNUMBER(D7016),ISNUMBER(H7016)),D7016*H7016*Inputs!$C$69,"")</f>
      </c>
      <c r="J7016" s="42">
        <f>IF(AND(ISNUMBER(F7016),ISNUMBER(H7016),F7016&gt;=Inputs!$C$68),F7016*H7016*Inputs!$C$69,"")</f>
      </c>
    </row>
    <row r="7017" spans="2:10" ht="15" customHeight="1" x14ac:dyDescent="0.2">
      <c r="B7017" s="39">
        <f t="shared" si="54"/>
      </c>
      <c r="C7017" s="40">
        <f>IF(Inputs!$C$60,Inputs!$C$11+(B7017-Inputs!$C$69)/Inputs!$C$70,"")</f>
      </c>
      <c r="D7017" s="15"/>
      <c r="E7017" s="15"/>
      <c r="F7017" s="11">
        <f t="shared" si="55"/>
      </c>
      <c r="G7017" s="22" cm="1">
        <f t="array" ref="G7017">IF(AND(Inputs!$C$60,Inputs!$C$61),INDEX(Utility_Rates!$C$29:$F$52,HOUR(C7017)+Inputs!$C$69,MATCH(INDEX(Utility_Rates!$K$6:$K$17,MONTH(C7017))&amp;IF(WEEKDAY(C7017,Inputs!$C$76)&lt;=Inputs!$C$74," weekday"," weekend"),Utility_Rates!$C$28:$F$28,Inputs!$C$68)),"")</f>
      </c>
      <c r="H7017" s="34"/>
      <c r="I7017" s="42">
        <f>IF(AND(ISNUMBER(D7017),ISNUMBER(H7017)),D7017*H7017*Inputs!$C$69,"")</f>
      </c>
      <c r="J7017" s="42">
        <f>IF(AND(ISNUMBER(F7017),ISNUMBER(H7017),F7017&gt;=Inputs!$C$68),F7017*H7017*Inputs!$C$69,"")</f>
      </c>
    </row>
    <row r="7018" spans="2:10" ht="15" customHeight="1" x14ac:dyDescent="0.2">
      <c r="B7018" s="39">
        <f t="shared" si="54"/>
      </c>
      <c r="C7018" s="40">
        <f>IF(Inputs!$C$60,Inputs!$C$11+(B7018-Inputs!$C$69)/Inputs!$C$70,"")</f>
      </c>
      <c r="D7018" s="15"/>
      <c r="E7018" s="15"/>
      <c r="F7018" s="11">
        <f t="shared" si="55"/>
      </c>
      <c r="G7018" s="22" cm="1">
        <f t="array" ref="G7018">IF(AND(Inputs!$C$60,Inputs!$C$61),INDEX(Utility_Rates!$C$29:$F$52,HOUR(C7018)+Inputs!$C$69,MATCH(INDEX(Utility_Rates!$K$6:$K$17,MONTH(C7018))&amp;IF(WEEKDAY(C7018,Inputs!$C$76)&lt;=Inputs!$C$74," weekday"," weekend"),Utility_Rates!$C$28:$F$28,Inputs!$C$68)),"")</f>
      </c>
      <c r="H7018" s="34"/>
      <c r="I7018" s="42">
        <f>IF(AND(ISNUMBER(D7018),ISNUMBER(H7018)),D7018*H7018*Inputs!$C$69,"")</f>
      </c>
      <c r="J7018" s="42">
        <f>IF(AND(ISNUMBER(F7018),ISNUMBER(H7018),F7018&gt;=Inputs!$C$68),F7018*H7018*Inputs!$C$69,"")</f>
      </c>
    </row>
    <row r="7019" spans="2:10" ht="15" customHeight="1" x14ac:dyDescent="0.2">
      <c r="B7019" s="39">
        <f t="shared" si="54"/>
      </c>
      <c r="C7019" s="40">
        <f>IF(Inputs!$C$60,Inputs!$C$11+(B7019-Inputs!$C$69)/Inputs!$C$70,"")</f>
      </c>
      <c r="D7019" s="15"/>
      <c r="E7019" s="15"/>
      <c r="F7019" s="11">
        <f t="shared" si="55"/>
      </c>
      <c r="G7019" s="22" cm="1">
        <f t="array" ref="G7019">IF(AND(Inputs!$C$60,Inputs!$C$61),INDEX(Utility_Rates!$C$29:$F$52,HOUR(C7019)+Inputs!$C$69,MATCH(INDEX(Utility_Rates!$K$6:$K$17,MONTH(C7019))&amp;IF(WEEKDAY(C7019,Inputs!$C$76)&lt;=Inputs!$C$74," weekday"," weekend"),Utility_Rates!$C$28:$F$28,Inputs!$C$68)),"")</f>
      </c>
      <c r="H7019" s="34"/>
      <c r="I7019" s="42">
        <f>IF(AND(ISNUMBER(D7019),ISNUMBER(H7019)),D7019*H7019*Inputs!$C$69,"")</f>
      </c>
      <c r="J7019" s="42">
        <f>IF(AND(ISNUMBER(F7019),ISNUMBER(H7019),F7019&gt;=Inputs!$C$68),F7019*H7019*Inputs!$C$69,"")</f>
      </c>
    </row>
    <row r="7020" spans="2:10" ht="15" customHeight="1" x14ac:dyDescent="0.2">
      <c r="B7020" s="39">
        <f t="shared" si="54"/>
      </c>
      <c r="C7020" s="40">
        <f>IF(Inputs!$C$60,Inputs!$C$11+(B7020-Inputs!$C$69)/Inputs!$C$70,"")</f>
      </c>
      <c r="D7020" s="15"/>
      <c r="E7020" s="15"/>
      <c r="F7020" s="11">
        <f t="shared" si="55"/>
      </c>
      <c r="G7020" s="22" cm="1">
        <f t="array" ref="G7020">IF(AND(Inputs!$C$60,Inputs!$C$61),INDEX(Utility_Rates!$C$29:$F$52,HOUR(C7020)+Inputs!$C$69,MATCH(INDEX(Utility_Rates!$K$6:$K$17,MONTH(C7020))&amp;IF(WEEKDAY(C7020,Inputs!$C$76)&lt;=Inputs!$C$74," weekday"," weekend"),Utility_Rates!$C$28:$F$28,Inputs!$C$68)),"")</f>
      </c>
      <c r="H7020" s="34"/>
      <c r="I7020" s="42">
        <f>IF(AND(ISNUMBER(D7020),ISNUMBER(H7020)),D7020*H7020*Inputs!$C$69,"")</f>
      </c>
      <c r="J7020" s="42">
        <f>IF(AND(ISNUMBER(F7020),ISNUMBER(H7020),F7020&gt;=Inputs!$C$68),F7020*H7020*Inputs!$C$69,"")</f>
      </c>
    </row>
    <row r="7021" spans="2:10" ht="15" customHeight="1" x14ac:dyDescent="0.2">
      <c r="B7021" s="39">
        <f t="shared" si="54"/>
      </c>
      <c r="C7021" s="40">
        <f>IF(Inputs!$C$60,Inputs!$C$11+(B7021-Inputs!$C$69)/Inputs!$C$70,"")</f>
      </c>
      <c r="D7021" s="15"/>
      <c r="E7021" s="15"/>
      <c r="F7021" s="11">
        <f t="shared" si="55"/>
      </c>
      <c r="G7021" s="22" cm="1">
        <f t="array" ref="G7021">IF(AND(Inputs!$C$60,Inputs!$C$61),INDEX(Utility_Rates!$C$29:$F$52,HOUR(C7021)+Inputs!$C$69,MATCH(INDEX(Utility_Rates!$K$6:$K$17,MONTH(C7021))&amp;IF(WEEKDAY(C7021,Inputs!$C$76)&lt;=Inputs!$C$74," weekday"," weekend"),Utility_Rates!$C$28:$F$28,Inputs!$C$68)),"")</f>
      </c>
      <c r="H7021" s="34"/>
      <c r="I7021" s="42">
        <f>IF(AND(ISNUMBER(D7021),ISNUMBER(H7021)),D7021*H7021*Inputs!$C$69,"")</f>
      </c>
      <c r="J7021" s="42">
        <f>IF(AND(ISNUMBER(F7021),ISNUMBER(H7021),F7021&gt;=Inputs!$C$68),F7021*H7021*Inputs!$C$69,"")</f>
      </c>
    </row>
    <row r="7022" spans="2:10" ht="15" customHeight="1" x14ac:dyDescent="0.2">
      <c r="B7022" s="39">
        <f t="shared" si="54"/>
      </c>
      <c r="C7022" s="40">
        <f>IF(Inputs!$C$60,Inputs!$C$11+(B7022-Inputs!$C$69)/Inputs!$C$70,"")</f>
      </c>
      <c r="D7022" s="15"/>
      <c r="E7022" s="15"/>
      <c r="F7022" s="11">
        <f t="shared" si="55"/>
      </c>
      <c r="G7022" s="22" cm="1">
        <f t="array" ref="G7022">IF(AND(Inputs!$C$60,Inputs!$C$61),INDEX(Utility_Rates!$C$29:$F$52,HOUR(C7022)+Inputs!$C$69,MATCH(INDEX(Utility_Rates!$K$6:$K$17,MONTH(C7022))&amp;IF(WEEKDAY(C7022,Inputs!$C$76)&lt;=Inputs!$C$74," weekday"," weekend"),Utility_Rates!$C$28:$F$28,Inputs!$C$68)),"")</f>
      </c>
      <c r="H7022" s="34"/>
      <c r="I7022" s="42">
        <f>IF(AND(ISNUMBER(D7022),ISNUMBER(H7022)),D7022*H7022*Inputs!$C$69,"")</f>
      </c>
      <c r="J7022" s="42">
        <f>IF(AND(ISNUMBER(F7022),ISNUMBER(H7022),F7022&gt;=Inputs!$C$68),F7022*H7022*Inputs!$C$69,"")</f>
      </c>
    </row>
    <row r="7023" spans="2:10" ht="15" customHeight="1" x14ac:dyDescent="0.2">
      <c r="B7023" s="39">
        <f t="shared" si="54"/>
      </c>
      <c r="C7023" s="40">
        <f>IF(Inputs!$C$60,Inputs!$C$11+(B7023-Inputs!$C$69)/Inputs!$C$70,"")</f>
      </c>
      <c r="D7023" s="15"/>
      <c r="E7023" s="15"/>
      <c r="F7023" s="11">
        <f t="shared" si="55"/>
      </c>
      <c r="G7023" s="22" cm="1">
        <f t="array" ref="G7023">IF(AND(Inputs!$C$60,Inputs!$C$61),INDEX(Utility_Rates!$C$29:$F$52,HOUR(C7023)+Inputs!$C$69,MATCH(INDEX(Utility_Rates!$K$6:$K$17,MONTH(C7023))&amp;IF(WEEKDAY(C7023,Inputs!$C$76)&lt;=Inputs!$C$74," weekday"," weekend"),Utility_Rates!$C$28:$F$28,Inputs!$C$68)),"")</f>
      </c>
      <c r="H7023" s="34"/>
      <c r="I7023" s="42">
        <f>IF(AND(ISNUMBER(D7023),ISNUMBER(H7023)),D7023*H7023*Inputs!$C$69,"")</f>
      </c>
      <c r="J7023" s="42">
        <f>IF(AND(ISNUMBER(F7023),ISNUMBER(H7023),F7023&gt;=Inputs!$C$68),F7023*H7023*Inputs!$C$69,"")</f>
      </c>
    </row>
    <row r="7024" spans="2:10" ht="15" customHeight="1" x14ac:dyDescent="0.2">
      <c r="B7024" s="39">
        <f t="shared" si="54"/>
      </c>
      <c r="C7024" s="40">
        <f>IF(Inputs!$C$60,Inputs!$C$11+(B7024-Inputs!$C$69)/Inputs!$C$70,"")</f>
      </c>
      <c r="D7024" s="15"/>
      <c r="E7024" s="15"/>
      <c r="F7024" s="11">
        <f t="shared" si="55"/>
      </c>
      <c r="G7024" s="22" cm="1">
        <f t="array" ref="G7024">IF(AND(Inputs!$C$60,Inputs!$C$61),INDEX(Utility_Rates!$C$29:$F$52,HOUR(C7024)+Inputs!$C$69,MATCH(INDEX(Utility_Rates!$K$6:$K$17,MONTH(C7024))&amp;IF(WEEKDAY(C7024,Inputs!$C$76)&lt;=Inputs!$C$74," weekday"," weekend"),Utility_Rates!$C$28:$F$28,Inputs!$C$68)),"")</f>
      </c>
      <c r="H7024" s="34"/>
      <c r="I7024" s="42">
        <f>IF(AND(ISNUMBER(D7024),ISNUMBER(H7024)),D7024*H7024*Inputs!$C$69,"")</f>
      </c>
      <c r="J7024" s="42">
        <f>IF(AND(ISNUMBER(F7024),ISNUMBER(H7024),F7024&gt;=Inputs!$C$68),F7024*H7024*Inputs!$C$69,"")</f>
      </c>
    </row>
    <row r="7025" spans="2:10" ht="15" customHeight="1" x14ac:dyDescent="0.2">
      <c r="B7025" s="39">
        <f t="shared" si="54"/>
      </c>
      <c r="C7025" s="40">
        <f>IF(Inputs!$C$60,Inputs!$C$11+(B7025-Inputs!$C$69)/Inputs!$C$70,"")</f>
      </c>
      <c r="D7025" s="15"/>
      <c r="E7025" s="15"/>
      <c r="F7025" s="11">
        <f t="shared" si="55"/>
      </c>
      <c r="G7025" s="22" cm="1">
        <f t="array" ref="G7025">IF(AND(Inputs!$C$60,Inputs!$C$61),INDEX(Utility_Rates!$C$29:$F$52,HOUR(C7025)+Inputs!$C$69,MATCH(INDEX(Utility_Rates!$K$6:$K$17,MONTH(C7025))&amp;IF(WEEKDAY(C7025,Inputs!$C$76)&lt;=Inputs!$C$74," weekday"," weekend"),Utility_Rates!$C$28:$F$28,Inputs!$C$68)),"")</f>
      </c>
      <c r="H7025" s="34"/>
      <c r="I7025" s="42">
        <f>IF(AND(ISNUMBER(D7025),ISNUMBER(H7025)),D7025*H7025*Inputs!$C$69,"")</f>
      </c>
      <c r="J7025" s="42">
        <f>IF(AND(ISNUMBER(F7025),ISNUMBER(H7025),F7025&gt;=Inputs!$C$68),F7025*H7025*Inputs!$C$69,"")</f>
      </c>
    </row>
    <row r="7026" spans="2:10" ht="15" customHeight="1" x14ac:dyDescent="0.2">
      <c r="B7026" s="39">
        <f t="shared" si="54"/>
      </c>
      <c r="C7026" s="40">
        <f>IF(Inputs!$C$60,Inputs!$C$11+(B7026-Inputs!$C$69)/Inputs!$C$70,"")</f>
      </c>
      <c r="D7026" s="15"/>
      <c r="E7026" s="15"/>
      <c r="F7026" s="11">
        <f t="shared" si="55"/>
      </c>
      <c r="G7026" s="22" cm="1">
        <f t="array" ref="G7026">IF(AND(Inputs!$C$60,Inputs!$C$61),INDEX(Utility_Rates!$C$29:$F$52,HOUR(C7026)+Inputs!$C$69,MATCH(INDEX(Utility_Rates!$K$6:$K$17,MONTH(C7026))&amp;IF(WEEKDAY(C7026,Inputs!$C$76)&lt;=Inputs!$C$74," weekday"," weekend"),Utility_Rates!$C$28:$F$28,Inputs!$C$68)),"")</f>
      </c>
      <c r="H7026" s="34"/>
      <c r="I7026" s="42">
        <f>IF(AND(ISNUMBER(D7026),ISNUMBER(H7026)),D7026*H7026*Inputs!$C$69,"")</f>
      </c>
      <c r="J7026" s="42">
        <f>IF(AND(ISNUMBER(F7026),ISNUMBER(H7026),F7026&gt;=Inputs!$C$68),F7026*H7026*Inputs!$C$69,"")</f>
      </c>
    </row>
    <row r="7027" spans="2:10" ht="15" customHeight="1" x14ac:dyDescent="0.2">
      <c r="B7027" s="39">
        <f t="shared" si="54"/>
      </c>
      <c r="C7027" s="40">
        <f>IF(Inputs!$C$60,Inputs!$C$11+(B7027-Inputs!$C$69)/Inputs!$C$70,"")</f>
      </c>
      <c r="D7027" s="15"/>
      <c r="E7027" s="15"/>
      <c r="F7027" s="11">
        <f t="shared" si="55"/>
      </c>
      <c r="G7027" s="22" cm="1">
        <f t="array" ref="G7027">IF(AND(Inputs!$C$60,Inputs!$C$61),INDEX(Utility_Rates!$C$29:$F$52,HOUR(C7027)+Inputs!$C$69,MATCH(INDEX(Utility_Rates!$K$6:$K$17,MONTH(C7027))&amp;IF(WEEKDAY(C7027,Inputs!$C$76)&lt;=Inputs!$C$74," weekday"," weekend"),Utility_Rates!$C$28:$F$28,Inputs!$C$68)),"")</f>
      </c>
      <c r="H7027" s="34"/>
      <c r="I7027" s="42">
        <f>IF(AND(ISNUMBER(D7027),ISNUMBER(H7027)),D7027*H7027*Inputs!$C$69,"")</f>
      </c>
      <c r="J7027" s="42">
        <f>IF(AND(ISNUMBER(F7027),ISNUMBER(H7027),F7027&gt;=Inputs!$C$68),F7027*H7027*Inputs!$C$69,"")</f>
      </c>
    </row>
    <row r="7028" spans="2:10" ht="15" customHeight="1" x14ac:dyDescent="0.2">
      <c r="B7028" s="39">
        <f t="shared" si="54"/>
      </c>
      <c r="C7028" s="40">
        <f>IF(Inputs!$C$60,Inputs!$C$11+(B7028-Inputs!$C$69)/Inputs!$C$70,"")</f>
      </c>
      <c r="D7028" s="15"/>
      <c r="E7028" s="15"/>
      <c r="F7028" s="11">
        <f t="shared" si="55"/>
      </c>
      <c r="G7028" s="22" cm="1">
        <f t="array" ref="G7028">IF(AND(Inputs!$C$60,Inputs!$C$61),INDEX(Utility_Rates!$C$29:$F$52,HOUR(C7028)+Inputs!$C$69,MATCH(INDEX(Utility_Rates!$K$6:$K$17,MONTH(C7028))&amp;IF(WEEKDAY(C7028,Inputs!$C$76)&lt;=Inputs!$C$74," weekday"," weekend"),Utility_Rates!$C$28:$F$28,Inputs!$C$68)),"")</f>
      </c>
      <c r="H7028" s="34"/>
      <c r="I7028" s="42">
        <f>IF(AND(ISNUMBER(D7028),ISNUMBER(H7028)),D7028*H7028*Inputs!$C$69,"")</f>
      </c>
      <c r="J7028" s="42">
        <f>IF(AND(ISNUMBER(F7028),ISNUMBER(H7028),F7028&gt;=Inputs!$C$68),F7028*H7028*Inputs!$C$69,"")</f>
      </c>
    </row>
    <row r="7029" spans="2:10" ht="15" customHeight="1" x14ac:dyDescent="0.2">
      <c r="B7029" s="39">
        <f t="shared" si="54"/>
      </c>
      <c r="C7029" s="40">
        <f>IF(Inputs!$C$60,Inputs!$C$11+(B7029-Inputs!$C$69)/Inputs!$C$70,"")</f>
      </c>
      <c r="D7029" s="15"/>
      <c r="E7029" s="15"/>
      <c r="F7029" s="11">
        <f t="shared" si="55"/>
      </c>
      <c r="G7029" s="22" cm="1">
        <f t="array" ref="G7029">IF(AND(Inputs!$C$60,Inputs!$C$61),INDEX(Utility_Rates!$C$29:$F$52,HOUR(C7029)+Inputs!$C$69,MATCH(INDEX(Utility_Rates!$K$6:$K$17,MONTH(C7029))&amp;IF(WEEKDAY(C7029,Inputs!$C$76)&lt;=Inputs!$C$74," weekday"," weekend"),Utility_Rates!$C$28:$F$28,Inputs!$C$68)),"")</f>
      </c>
      <c r="H7029" s="34"/>
      <c r="I7029" s="42">
        <f>IF(AND(ISNUMBER(D7029),ISNUMBER(H7029)),D7029*H7029*Inputs!$C$69,"")</f>
      </c>
      <c r="J7029" s="42">
        <f>IF(AND(ISNUMBER(F7029),ISNUMBER(H7029),F7029&gt;=Inputs!$C$68),F7029*H7029*Inputs!$C$69,"")</f>
      </c>
    </row>
    <row r="7030" spans="2:10" ht="15" customHeight="1" x14ac:dyDescent="0.2">
      <c r="B7030" s="39">
        <f t="shared" si="54"/>
      </c>
      <c r="C7030" s="40">
        <f>IF(Inputs!$C$60,Inputs!$C$11+(B7030-Inputs!$C$69)/Inputs!$C$70,"")</f>
      </c>
      <c r="D7030" s="15"/>
      <c r="E7030" s="15"/>
      <c r="F7030" s="11">
        <f t="shared" si="55"/>
      </c>
      <c r="G7030" s="22" cm="1">
        <f t="array" ref="G7030">IF(AND(Inputs!$C$60,Inputs!$C$61),INDEX(Utility_Rates!$C$29:$F$52,HOUR(C7030)+Inputs!$C$69,MATCH(INDEX(Utility_Rates!$K$6:$K$17,MONTH(C7030))&amp;IF(WEEKDAY(C7030,Inputs!$C$76)&lt;=Inputs!$C$74," weekday"," weekend"),Utility_Rates!$C$28:$F$28,Inputs!$C$68)),"")</f>
      </c>
      <c r="H7030" s="34"/>
      <c r="I7030" s="42">
        <f>IF(AND(ISNUMBER(D7030),ISNUMBER(H7030)),D7030*H7030*Inputs!$C$69,"")</f>
      </c>
      <c r="J7030" s="42">
        <f>IF(AND(ISNUMBER(F7030),ISNUMBER(H7030),F7030&gt;=Inputs!$C$68),F7030*H7030*Inputs!$C$69,"")</f>
      </c>
    </row>
    <row r="7031" spans="2:10" ht="15" customHeight="1" x14ac:dyDescent="0.2">
      <c r="B7031" s="39">
        <f t="shared" si="54"/>
      </c>
      <c r="C7031" s="40">
        <f>IF(Inputs!$C$60,Inputs!$C$11+(B7031-Inputs!$C$69)/Inputs!$C$70,"")</f>
      </c>
      <c r="D7031" s="15"/>
      <c r="E7031" s="15"/>
      <c r="F7031" s="11">
        <f t="shared" si="55"/>
      </c>
      <c r="G7031" s="22" cm="1">
        <f t="array" ref="G7031">IF(AND(Inputs!$C$60,Inputs!$C$61),INDEX(Utility_Rates!$C$29:$F$52,HOUR(C7031)+Inputs!$C$69,MATCH(INDEX(Utility_Rates!$K$6:$K$17,MONTH(C7031))&amp;IF(WEEKDAY(C7031,Inputs!$C$76)&lt;=Inputs!$C$74," weekday"," weekend"),Utility_Rates!$C$28:$F$28,Inputs!$C$68)),"")</f>
      </c>
      <c r="H7031" s="34"/>
      <c r="I7031" s="42">
        <f>IF(AND(ISNUMBER(D7031),ISNUMBER(H7031)),D7031*H7031*Inputs!$C$69,"")</f>
      </c>
      <c r="J7031" s="42">
        <f>IF(AND(ISNUMBER(F7031),ISNUMBER(H7031),F7031&gt;=Inputs!$C$68),F7031*H7031*Inputs!$C$69,"")</f>
      </c>
    </row>
    <row r="7032" spans="2:10" ht="15" customHeight="1" x14ac:dyDescent="0.2">
      <c r="B7032" s="39">
        <f t="shared" si="54"/>
      </c>
      <c r="C7032" s="40">
        <f>IF(Inputs!$C$60,Inputs!$C$11+(B7032-Inputs!$C$69)/Inputs!$C$70,"")</f>
      </c>
      <c r="D7032" s="15"/>
      <c r="E7032" s="15"/>
      <c r="F7032" s="11">
        <f t="shared" si="55"/>
      </c>
      <c r="G7032" s="22" cm="1">
        <f t="array" ref="G7032">IF(AND(Inputs!$C$60,Inputs!$C$61),INDEX(Utility_Rates!$C$29:$F$52,HOUR(C7032)+Inputs!$C$69,MATCH(INDEX(Utility_Rates!$K$6:$K$17,MONTH(C7032))&amp;IF(WEEKDAY(C7032,Inputs!$C$76)&lt;=Inputs!$C$74," weekday"," weekend"),Utility_Rates!$C$28:$F$28,Inputs!$C$68)),"")</f>
      </c>
      <c r="H7032" s="34"/>
      <c r="I7032" s="42">
        <f>IF(AND(ISNUMBER(D7032),ISNUMBER(H7032)),D7032*H7032*Inputs!$C$69,"")</f>
      </c>
      <c r="J7032" s="42">
        <f>IF(AND(ISNUMBER(F7032),ISNUMBER(H7032),F7032&gt;=Inputs!$C$68),F7032*H7032*Inputs!$C$69,"")</f>
      </c>
    </row>
    <row r="7033" spans="2:10" ht="15" customHeight="1" x14ac:dyDescent="0.2">
      <c r="B7033" s="39">
        <f t="shared" si="54"/>
      </c>
      <c r="C7033" s="40">
        <f>IF(Inputs!$C$60,Inputs!$C$11+(B7033-Inputs!$C$69)/Inputs!$C$70,"")</f>
      </c>
      <c r="D7033" s="15"/>
      <c r="E7033" s="15"/>
      <c r="F7033" s="11">
        <f t="shared" si="55"/>
      </c>
      <c r="G7033" s="22" cm="1">
        <f t="array" ref="G7033">IF(AND(Inputs!$C$60,Inputs!$C$61),INDEX(Utility_Rates!$C$29:$F$52,HOUR(C7033)+Inputs!$C$69,MATCH(INDEX(Utility_Rates!$K$6:$K$17,MONTH(C7033))&amp;IF(WEEKDAY(C7033,Inputs!$C$76)&lt;=Inputs!$C$74," weekday"," weekend"),Utility_Rates!$C$28:$F$28,Inputs!$C$68)),"")</f>
      </c>
      <c r="H7033" s="34"/>
      <c r="I7033" s="42">
        <f>IF(AND(ISNUMBER(D7033),ISNUMBER(H7033)),D7033*H7033*Inputs!$C$69,"")</f>
      </c>
      <c r="J7033" s="42">
        <f>IF(AND(ISNUMBER(F7033),ISNUMBER(H7033),F7033&gt;=Inputs!$C$68),F7033*H7033*Inputs!$C$69,"")</f>
      </c>
    </row>
    <row r="7034" spans="2:10" ht="15" customHeight="1" x14ac:dyDescent="0.2">
      <c r="B7034" s="39">
        <f t="shared" si="54"/>
      </c>
      <c r="C7034" s="40">
        <f>IF(Inputs!$C$60,Inputs!$C$11+(B7034-Inputs!$C$69)/Inputs!$C$70,"")</f>
      </c>
      <c r="D7034" s="15"/>
      <c r="E7034" s="15"/>
      <c r="F7034" s="11">
        <f t="shared" si="55"/>
      </c>
      <c r="G7034" s="22" cm="1">
        <f t="array" ref="G7034">IF(AND(Inputs!$C$60,Inputs!$C$61),INDEX(Utility_Rates!$C$29:$F$52,HOUR(C7034)+Inputs!$C$69,MATCH(INDEX(Utility_Rates!$K$6:$K$17,MONTH(C7034))&amp;IF(WEEKDAY(C7034,Inputs!$C$76)&lt;=Inputs!$C$74," weekday"," weekend"),Utility_Rates!$C$28:$F$28,Inputs!$C$68)),"")</f>
      </c>
      <c r="H7034" s="34"/>
      <c r="I7034" s="42">
        <f>IF(AND(ISNUMBER(D7034),ISNUMBER(H7034)),D7034*H7034*Inputs!$C$69,"")</f>
      </c>
      <c r="J7034" s="42">
        <f>IF(AND(ISNUMBER(F7034),ISNUMBER(H7034),F7034&gt;=Inputs!$C$68),F7034*H7034*Inputs!$C$69,"")</f>
      </c>
    </row>
    <row r="7035" spans="2:10" ht="15" customHeight="1" x14ac:dyDescent="0.2">
      <c r="B7035" s="39">
        <f t="shared" si="54"/>
      </c>
      <c r="C7035" s="40">
        <f>IF(Inputs!$C$60,Inputs!$C$11+(B7035-Inputs!$C$69)/Inputs!$C$70,"")</f>
      </c>
      <c r="D7035" s="15"/>
      <c r="E7035" s="15"/>
      <c r="F7035" s="11">
        <f t="shared" si="55"/>
      </c>
      <c r="G7035" s="22" cm="1">
        <f t="array" ref="G7035">IF(AND(Inputs!$C$60,Inputs!$C$61),INDEX(Utility_Rates!$C$29:$F$52,HOUR(C7035)+Inputs!$C$69,MATCH(INDEX(Utility_Rates!$K$6:$K$17,MONTH(C7035))&amp;IF(WEEKDAY(C7035,Inputs!$C$76)&lt;=Inputs!$C$74," weekday"," weekend"),Utility_Rates!$C$28:$F$28,Inputs!$C$68)),"")</f>
      </c>
      <c r="H7035" s="34"/>
      <c r="I7035" s="42">
        <f>IF(AND(ISNUMBER(D7035),ISNUMBER(H7035)),D7035*H7035*Inputs!$C$69,"")</f>
      </c>
      <c r="J7035" s="42">
        <f>IF(AND(ISNUMBER(F7035),ISNUMBER(H7035),F7035&gt;=Inputs!$C$68),F7035*H7035*Inputs!$C$69,"")</f>
      </c>
    </row>
    <row r="7036" spans="2:10" ht="15" customHeight="1" x14ac:dyDescent="0.2">
      <c r="B7036" s="39">
        <f t="shared" si="54"/>
      </c>
      <c r="C7036" s="40">
        <f>IF(Inputs!$C$60,Inputs!$C$11+(B7036-Inputs!$C$69)/Inputs!$C$70,"")</f>
      </c>
      <c r="D7036" s="15"/>
      <c r="E7036" s="15"/>
      <c r="F7036" s="11">
        <f t="shared" si="55"/>
      </c>
      <c r="G7036" s="22" cm="1">
        <f t="array" ref="G7036">IF(AND(Inputs!$C$60,Inputs!$C$61),INDEX(Utility_Rates!$C$29:$F$52,HOUR(C7036)+Inputs!$C$69,MATCH(INDEX(Utility_Rates!$K$6:$K$17,MONTH(C7036))&amp;IF(WEEKDAY(C7036,Inputs!$C$76)&lt;=Inputs!$C$74," weekday"," weekend"),Utility_Rates!$C$28:$F$28,Inputs!$C$68)),"")</f>
      </c>
      <c r="H7036" s="34"/>
      <c r="I7036" s="42">
        <f>IF(AND(ISNUMBER(D7036),ISNUMBER(H7036)),D7036*H7036*Inputs!$C$69,"")</f>
      </c>
      <c r="J7036" s="42">
        <f>IF(AND(ISNUMBER(F7036),ISNUMBER(H7036),F7036&gt;=Inputs!$C$68),F7036*H7036*Inputs!$C$69,"")</f>
      </c>
    </row>
    <row r="7037" spans="2:10" ht="15" customHeight="1" x14ac:dyDescent="0.2">
      <c r="B7037" s="39">
        <f t="shared" si="54"/>
      </c>
      <c r="C7037" s="40">
        <f>IF(Inputs!$C$60,Inputs!$C$11+(B7037-Inputs!$C$69)/Inputs!$C$70,"")</f>
      </c>
      <c r="D7037" s="15"/>
      <c r="E7037" s="15"/>
      <c r="F7037" s="11">
        <f t="shared" si="55"/>
      </c>
      <c r="G7037" s="22" cm="1">
        <f t="array" ref="G7037">IF(AND(Inputs!$C$60,Inputs!$C$61),INDEX(Utility_Rates!$C$29:$F$52,HOUR(C7037)+Inputs!$C$69,MATCH(INDEX(Utility_Rates!$K$6:$K$17,MONTH(C7037))&amp;IF(WEEKDAY(C7037,Inputs!$C$76)&lt;=Inputs!$C$74," weekday"," weekend"),Utility_Rates!$C$28:$F$28,Inputs!$C$68)),"")</f>
      </c>
      <c r="H7037" s="34"/>
      <c r="I7037" s="42">
        <f>IF(AND(ISNUMBER(D7037),ISNUMBER(H7037)),D7037*H7037*Inputs!$C$69,"")</f>
      </c>
      <c r="J7037" s="42">
        <f>IF(AND(ISNUMBER(F7037),ISNUMBER(H7037),F7037&gt;=Inputs!$C$68),F7037*H7037*Inputs!$C$69,"")</f>
      </c>
    </row>
    <row r="7038" spans="2:10" ht="15" customHeight="1" x14ac:dyDescent="0.2">
      <c r="B7038" s="39">
        <f t="shared" si="54"/>
      </c>
      <c r="C7038" s="40">
        <f>IF(Inputs!$C$60,Inputs!$C$11+(B7038-Inputs!$C$69)/Inputs!$C$70,"")</f>
      </c>
      <c r="D7038" s="15"/>
      <c r="E7038" s="15"/>
      <c r="F7038" s="11">
        <f t="shared" si="55"/>
      </c>
      <c r="G7038" s="22" cm="1">
        <f t="array" ref="G7038">IF(AND(Inputs!$C$60,Inputs!$C$61),INDEX(Utility_Rates!$C$29:$F$52,HOUR(C7038)+Inputs!$C$69,MATCH(INDEX(Utility_Rates!$K$6:$K$17,MONTH(C7038))&amp;IF(WEEKDAY(C7038,Inputs!$C$76)&lt;=Inputs!$C$74," weekday"," weekend"),Utility_Rates!$C$28:$F$28,Inputs!$C$68)),"")</f>
      </c>
      <c r="H7038" s="34"/>
      <c r="I7038" s="42">
        <f>IF(AND(ISNUMBER(D7038),ISNUMBER(H7038)),D7038*H7038*Inputs!$C$69,"")</f>
      </c>
      <c r="J7038" s="42">
        <f>IF(AND(ISNUMBER(F7038),ISNUMBER(H7038),F7038&gt;=Inputs!$C$68),F7038*H7038*Inputs!$C$69,"")</f>
      </c>
    </row>
    <row r="7039" spans="2:10" ht="15" customHeight="1" x14ac:dyDescent="0.2">
      <c r="B7039" s="39">
        <f t="shared" si="54"/>
      </c>
      <c r="C7039" s="40">
        <f>IF(Inputs!$C$60,Inputs!$C$11+(B7039-Inputs!$C$69)/Inputs!$C$70,"")</f>
      </c>
      <c r="D7039" s="15"/>
      <c r="E7039" s="15"/>
      <c r="F7039" s="11">
        <f t="shared" si="55"/>
      </c>
      <c r="G7039" s="22" cm="1">
        <f t="array" ref="G7039">IF(AND(Inputs!$C$60,Inputs!$C$61),INDEX(Utility_Rates!$C$29:$F$52,HOUR(C7039)+Inputs!$C$69,MATCH(INDEX(Utility_Rates!$K$6:$K$17,MONTH(C7039))&amp;IF(WEEKDAY(C7039,Inputs!$C$76)&lt;=Inputs!$C$74," weekday"," weekend"),Utility_Rates!$C$28:$F$28,Inputs!$C$68)),"")</f>
      </c>
      <c r="H7039" s="34"/>
      <c r="I7039" s="42">
        <f>IF(AND(ISNUMBER(D7039),ISNUMBER(H7039)),D7039*H7039*Inputs!$C$69,"")</f>
      </c>
      <c r="J7039" s="42">
        <f>IF(AND(ISNUMBER(F7039),ISNUMBER(H7039),F7039&gt;=Inputs!$C$68),F7039*H7039*Inputs!$C$69,"")</f>
      </c>
    </row>
    <row r="7040" spans="2:10" ht="15" customHeight="1" x14ac:dyDescent="0.2">
      <c r="B7040" s="39">
        <f t="shared" si="54"/>
      </c>
      <c r="C7040" s="40">
        <f>IF(Inputs!$C$60,Inputs!$C$11+(B7040-Inputs!$C$69)/Inputs!$C$70,"")</f>
      </c>
      <c r="D7040" s="15"/>
      <c r="E7040" s="15"/>
      <c r="F7040" s="11">
        <f t="shared" si="55"/>
      </c>
      <c r="G7040" s="22" cm="1">
        <f t="array" ref="G7040">IF(AND(Inputs!$C$60,Inputs!$C$61),INDEX(Utility_Rates!$C$29:$F$52,HOUR(C7040)+Inputs!$C$69,MATCH(INDEX(Utility_Rates!$K$6:$K$17,MONTH(C7040))&amp;IF(WEEKDAY(C7040,Inputs!$C$76)&lt;=Inputs!$C$74," weekday"," weekend"),Utility_Rates!$C$28:$F$28,Inputs!$C$68)),"")</f>
      </c>
      <c r="H7040" s="34"/>
      <c r="I7040" s="42">
        <f>IF(AND(ISNUMBER(D7040),ISNUMBER(H7040)),D7040*H7040*Inputs!$C$69,"")</f>
      </c>
      <c r="J7040" s="42">
        <f>IF(AND(ISNUMBER(F7040),ISNUMBER(H7040),F7040&gt;=Inputs!$C$68),F7040*H7040*Inputs!$C$69,"")</f>
      </c>
    </row>
    <row r="7041" spans="2:10" ht="15" customHeight="1" x14ac:dyDescent="0.2">
      <c r="B7041" s="39">
        <f t="shared" si="54"/>
      </c>
      <c r="C7041" s="40">
        <f>IF(Inputs!$C$60,Inputs!$C$11+(B7041-Inputs!$C$69)/Inputs!$C$70,"")</f>
      </c>
      <c r="D7041" s="15"/>
      <c r="E7041" s="15"/>
      <c r="F7041" s="11">
        <f t="shared" si="55"/>
      </c>
      <c r="G7041" s="22" cm="1">
        <f t="array" ref="G7041">IF(AND(Inputs!$C$60,Inputs!$C$61),INDEX(Utility_Rates!$C$29:$F$52,HOUR(C7041)+Inputs!$C$69,MATCH(INDEX(Utility_Rates!$K$6:$K$17,MONTH(C7041))&amp;IF(WEEKDAY(C7041,Inputs!$C$76)&lt;=Inputs!$C$74," weekday"," weekend"),Utility_Rates!$C$28:$F$28,Inputs!$C$68)),"")</f>
      </c>
      <c r="H7041" s="34"/>
      <c r="I7041" s="42">
        <f>IF(AND(ISNUMBER(D7041),ISNUMBER(H7041)),D7041*H7041*Inputs!$C$69,"")</f>
      </c>
      <c r="J7041" s="42">
        <f>IF(AND(ISNUMBER(F7041),ISNUMBER(H7041),F7041&gt;=Inputs!$C$68),F7041*H7041*Inputs!$C$69,"")</f>
      </c>
    </row>
    <row r="7042" spans="2:10" ht="15" customHeight="1" x14ac:dyDescent="0.2">
      <c r="B7042" s="39">
        <f t="shared" si="54"/>
      </c>
      <c r="C7042" s="40">
        <f>IF(Inputs!$C$60,Inputs!$C$11+(B7042-Inputs!$C$69)/Inputs!$C$70,"")</f>
      </c>
      <c r="D7042" s="15"/>
      <c r="E7042" s="15"/>
      <c r="F7042" s="11">
        <f t="shared" si="55"/>
      </c>
      <c r="G7042" s="22" cm="1">
        <f t="array" ref="G7042">IF(AND(Inputs!$C$60,Inputs!$C$61),INDEX(Utility_Rates!$C$29:$F$52,HOUR(C7042)+Inputs!$C$69,MATCH(INDEX(Utility_Rates!$K$6:$K$17,MONTH(C7042))&amp;IF(WEEKDAY(C7042,Inputs!$C$76)&lt;=Inputs!$C$74," weekday"," weekend"),Utility_Rates!$C$28:$F$28,Inputs!$C$68)),"")</f>
      </c>
      <c r="H7042" s="34"/>
      <c r="I7042" s="42">
        <f>IF(AND(ISNUMBER(D7042),ISNUMBER(H7042)),D7042*H7042*Inputs!$C$69,"")</f>
      </c>
      <c r="J7042" s="42">
        <f>IF(AND(ISNUMBER(F7042),ISNUMBER(H7042),F7042&gt;=Inputs!$C$68),F7042*H7042*Inputs!$C$69,"")</f>
      </c>
    </row>
    <row r="7043" spans="2:10" ht="15" customHeight="1" x14ac:dyDescent="0.2">
      <c r="B7043" s="39">
        <f t="shared" si="54"/>
      </c>
      <c r="C7043" s="40">
        <f>IF(Inputs!$C$60,Inputs!$C$11+(B7043-Inputs!$C$69)/Inputs!$C$70,"")</f>
      </c>
      <c r="D7043" s="15"/>
      <c r="E7043" s="15"/>
      <c r="F7043" s="11">
        <f t="shared" si="55"/>
      </c>
      <c r="G7043" s="22" cm="1">
        <f t="array" ref="G7043">IF(AND(Inputs!$C$60,Inputs!$C$61),INDEX(Utility_Rates!$C$29:$F$52,HOUR(C7043)+Inputs!$C$69,MATCH(INDEX(Utility_Rates!$K$6:$K$17,MONTH(C7043))&amp;IF(WEEKDAY(C7043,Inputs!$C$76)&lt;=Inputs!$C$74," weekday"," weekend"),Utility_Rates!$C$28:$F$28,Inputs!$C$68)),"")</f>
      </c>
      <c r="H7043" s="34"/>
      <c r="I7043" s="42">
        <f>IF(AND(ISNUMBER(D7043),ISNUMBER(H7043)),D7043*H7043*Inputs!$C$69,"")</f>
      </c>
      <c r="J7043" s="42">
        <f>IF(AND(ISNUMBER(F7043),ISNUMBER(H7043),F7043&gt;=Inputs!$C$68),F7043*H7043*Inputs!$C$69,"")</f>
      </c>
    </row>
    <row r="7044" spans="2:10" ht="15" customHeight="1" x14ac:dyDescent="0.2">
      <c r="B7044" s="39">
        <f t="shared" si="54"/>
      </c>
      <c r="C7044" s="40">
        <f>IF(Inputs!$C$60,Inputs!$C$11+(B7044-Inputs!$C$69)/Inputs!$C$70,"")</f>
      </c>
      <c r="D7044" s="15"/>
      <c r="E7044" s="15"/>
      <c r="F7044" s="11">
        <f t="shared" si="55"/>
      </c>
      <c r="G7044" s="22" cm="1">
        <f t="array" ref="G7044">IF(AND(Inputs!$C$60,Inputs!$C$61),INDEX(Utility_Rates!$C$29:$F$52,HOUR(C7044)+Inputs!$C$69,MATCH(INDEX(Utility_Rates!$K$6:$K$17,MONTH(C7044))&amp;IF(WEEKDAY(C7044,Inputs!$C$76)&lt;=Inputs!$C$74," weekday"," weekend"),Utility_Rates!$C$28:$F$28,Inputs!$C$68)),"")</f>
      </c>
      <c r="H7044" s="34"/>
      <c r="I7044" s="42">
        <f>IF(AND(ISNUMBER(D7044),ISNUMBER(H7044)),D7044*H7044*Inputs!$C$69,"")</f>
      </c>
      <c r="J7044" s="42">
        <f>IF(AND(ISNUMBER(F7044),ISNUMBER(H7044),F7044&gt;=Inputs!$C$68),F7044*H7044*Inputs!$C$69,"")</f>
      </c>
    </row>
    <row r="7045" spans="2:10" ht="15" customHeight="1" x14ac:dyDescent="0.2">
      <c r="B7045" s="39">
        <f t="shared" si="54"/>
      </c>
      <c r="C7045" s="40">
        <f>IF(Inputs!$C$60,Inputs!$C$11+(B7045-Inputs!$C$69)/Inputs!$C$70,"")</f>
      </c>
      <c r="D7045" s="15"/>
      <c r="E7045" s="15"/>
      <c r="F7045" s="11">
        <f t="shared" si="55"/>
      </c>
      <c r="G7045" s="22" cm="1">
        <f t="array" ref="G7045">IF(AND(Inputs!$C$60,Inputs!$C$61),INDEX(Utility_Rates!$C$29:$F$52,HOUR(C7045)+Inputs!$C$69,MATCH(INDEX(Utility_Rates!$K$6:$K$17,MONTH(C7045))&amp;IF(WEEKDAY(C7045,Inputs!$C$76)&lt;=Inputs!$C$74," weekday"," weekend"),Utility_Rates!$C$28:$F$28,Inputs!$C$68)),"")</f>
      </c>
      <c r="H7045" s="34"/>
      <c r="I7045" s="42">
        <f>IF(AND(ISNUMBER(D7045),ISNUMBER(H7045)),D7045*H7045*Inputs!$C$69,"")</f>
      </c>
      <c r="J7045" s="42">
        <f>IF(AND(ISNUMBER(F7045),ISNUMBER(H7045),F7045&gt;=Inputs!$C$68),F7045*H7045*Inputs!$C$69,"")</f>
      </c>
    </row>
    <row r="7046" spans="2:10" ht="15" customHeight="1" x14ac:dyDescent="0.2">
      <c r="B7046" s="39">
        <f t="shared" si="54"/>
      </c>
      <c r="C7046" s="40">
        <f>IF(Inputs!$C$60,Inputs!$C$11+(B7046-Inputs!$C$69)/Inputs!$C$70,"")</f>
      </c>
      <c r="D7046" s="15"/>
      <c r="E7046" s="15"/>
      <c r="F7046" s="11">
        <f t="shared" si="55"/>
      </c>
      <c r="G7046" s="22" cm="1">
        <f t="array" ref="G7046">IF(AND(Inputs!$C$60,Inputs!$C$61),INDEX(Utility_Rates!$C$29:$F$52,HOUR(C7046)+Inputs!$C$69,MATCH(INDEX(Utility_Rates!$K$6:$K$17,MONTH(C7046))&amp;IF(WEEKDAY(C7046,Inputs!$C$76)&lt;=Inputs!$C$74," weekday"," weekend"),Utility_Rates!$C$28:$F$28,Inputs!$C$68)),"")</f>
      </c>
      <c r="H7046" s="34"/>
      <c r="I7046" s="42">
        <f>IF(AND(ISNUMBER(D7046),ISNUMBER(H7046)),D7046*H7046*Inputs!$C$69,"")</f>
      </c>
      <c r="J7046" s="42">
        <f>IF(AND(ISNUMBER(F7046),ISNUMBER(H7046),F7046&gt;=Inputs!$C$68),F7046*H7046*Inputs!$C$69,"")</f>
      </c>
    </row>
    <row r="7047" spans="2:10" ht="15" customHeight="1" x14ac:dyDescent="0.2">
      <c r="B7047" s="39">
        <f t="shared" si="54"/>
      </c>
      <c r="C7047" s="40">
        <f>IF(Inputs!$C$60,Inputs!$C$11+(B7047-Inputs!$C$69)/Inputs!$C$70,"")</f>
      </c>
      <c r="D7047" s="15"/>
      <c r="E7047" s="15"/>
      <c r="F7047" s="11">
        <f t="shared" si="55"/>
      </c>
      <c r="G7047" s="22" cm="1">
        <f t="array" ref="G7047">IF(AND(Inputs!$C$60,Inputs!$C$61),INDEX(Utility_Rates!$C$29:$F$52,HOUR(C7047)+Inputs!$C$69,MATCH(INDEX(Utility_Rates!$K$6:$K$17,MONTH(C7047))&amp;IF(WEEKDAY(C7047,Inputs!$C$76)&lt;=Inputs!$C$74," weekday"," weekend"),Utility_Rates!$C$28:$F$28,Inputs!$C$68)),"")</f>
      </c>
      <c r="H7047" s="34"/>
      <c r="I7047" s="42">
        <f>IF(AND(ISNUMBER(D7047),ISNUMBER(H7047)),D7047*H7047*Inputs!$C$69,"")</f>
      </c>
      <c r="J7047" s="42">
        <f>IF(AND(ISNUMBER(F7047),ISNUMBER(H7047),F7047&gt;=Inputs!$C$68),F7047*H7047*Inputs!$C$69,"")</f>
      </c>
    </row>
    <row r="7048" spans="2:10" ht="15" customHeight="1" x14ac:dyDescent="0.2">
      <c r="B7048" s="39">
        <f t="shared" si="54"/>
      </c>
      <c r="C7048" s="40">
        <f>IF(Inputs!$C$60,Inputs!$C$11+(B7048-Inputs!$C$69)/Inputs!$C$70,"")</f>
      </c>
      <c r="D7048" s="15"/>
      <c r="E7048" s="15"/>
      <c r="F7048" s="11">
        <f t="shared" si="55"/>
      </c>
      <c r="G7048" s="22" cm="1">
        <f t="array" ref="G7048">IF(AND(Inputs!$C$60,Inputs!$C$61),INDEX(Utility_Rates!$C$29:$F$52,HOUR(C7048)+Inputs!$C$69,MATCH(INDEX(Utility_Rates!$K$6:$K$17,MONTH(C7048))&amp;IF(WEEKDAY(C7048,Inputs!$C$76)&lt;=Inputs!$C$74," weekday"," weekend"),Utility_Rates!$C$28:$F$28,Inputs!$C$68)),"")</f>
      </c>
      <c r="H7048" s="34"/>
      <c r="I7048" s="42">
        <f>IF(AND(ISNUMBER(D7048),ISNUMBER(H7048)),D7048*H7048*Inputs!$C$69,"")</f>
      </c>
      <c r="J7048" s="42">
        <f>IF(AND(ISNUMBER(F7048),ISNUMBER(H7048),F7048&gt;=Inputs!$C$68),F7048*H7048*Inputs!$C$69,"")</f>
      </c>
    </row>
    <row r="7049" spans="2:10" ht="15" customHeight="1" x14ac:dyDescent="0.2">
      <c r="B7049" s="39">
        <f t="shared" si="54"/>
      </c>
      <c r="C7049" s="40">
        <f>IF(Inputs!$C$60,Inputs!$C$11+(B7049-Inputs!$C$69)/Inputs!$C$70,"")</f>
      </c>
      <c r="D7049" s="15"/>
      <c r="E7049" s="15"/>
      <c r="F7049" s="11">
        <f t="shared" si="55"/>
      </c>
      <c r="G7049" s="22" cm="1">
        <f t="array" ref="G7049">IF(AND(Inputs!$C$60,Inputs!$C$61),INDEX(Utility_Rates!$C$29:$F$52,HOUR(C7049)+Inputs!$C$69,MATCH(INDEX(Utility_Rates!$K$6:$K$17,MONTH(C7049))&amp;IF(WEEKDAY(C7049,Inputs!$C$76)&lt;=Inputs!$C$74," weekday"," weekend"),Utility_Rates!$C$28:$F$28,Inputs!$C$68)),"")</f>
      </c>
      <c r="H7049" s="34"/>
      <c r="I7049" s="42">
        <f>IF(AND(ISNUMBER(D7049),ISNUMBER(H7049)),D7049*H7049*Inputs!$C$69,"")</f>
      </c>
      <c r="J7049" s="42">
        <f>IF(AND(ISNUMBER(F7049),ISNUMBER(H7049),F7049&gt;=Inputs!$C$68),F7049*H7049*Inputs!$C$69,"")</f>
      </c>
    </row>
    <row r="7050" spans="2:10" ht="15" customHeight="1" x14ac:dyDescent="0.2">
      <c r="B7050" s="39">
        <f t="shared" si="54"/>
      </c>
      <c r="C7050" s="40">
        <f>IF(Inputs!$C$60,Inputs!$C$11+(B7050-Inputs!$C$69)/Inputs!$C$70,"")</f>
      </c>
      <c r="D7050" s="15"/>
      <c r="E7050" s="15"/>
      <c r="F7050" s="11">
        <f t="shared" si="55"/>
      </c>
      <c r="G7050" s="22" cm="1">
        <f t="array" ref="G7050">IF(AND(Inputs!$C$60,Inputs!$C$61),INDEX(Utility_Rates!$C$29:$F$52,HOUR(C7050)+Inputs!$C$69,MATCH(INDEX(Utility_Rates!$K$6:$K$17,MONTH(C7050))&amp;IF(WEEKDAY(C7050,Inputs!$C$76)&lt;=Inputs!$C$74," weekday"," weekend"),Utility_Rates!$C$28:$F$28,Inputs!$C$68)),"")</f>
      </c>
      <c r="H7050" s="34"/>
      <c r="I7050" s="42">
        <f>IF(AND(ISNUMBER(D7050),ISNUMBER(H7050)),D7050*H7050*Inputs!$C$69,"")</f>
      </c>
      <c r="J7050" s="42">
        <f>IF(AND(ISNUMBER(F7050),ISNUMBER(H7050),F7050&gt;=Inputs!$C$68),F7050*H7050*Inputs!$C$69,"")</f>
      </c>
    </row>
    <row r="7051" spans="2:10" ht="15" customHeight="1" x14ac:dyDescent="0.2">
      <c r="B7051" s="39">
        <f t="shared" si="54"/>
      </c>
      <c r="C7051" s="40">
        <f>IF(Inputs!$C$60,Inputs!$C$11+(B7051-Inputs!$C$69)/Inputs!$C$70,"")</f>
      </c>
      <c r="D7051" s="15"/>
      <c r="E7051" s="15"/>
      <c r="F7051" s="11">
        <f t="shared" si="55"/>
      </c>
      <c r="G7051" s="22" cm="1">
        <f t="array" ref="G7051">IF(AND(Inputs!$C$60,Inputs!$C$61),INDEX(Utility_Rates!$C$29:$F$52,HOUR(C7051)+Inputs!$C$69,MATCH(INDEX(Utility_Rates!$K$6:$K$17,MONTH(C7051))&amp;IF(WEEKDAY(C7051,Inputs!$C$76)&lt;=Inputs!$C$74," weekday"," weekend"),Utility_Rates!$C$28:$F$28,Inputs!$C$68)),"")</f>
      </c>
      <c r="H7051" s="34"/>
      <c r="I7051" s="42">
        <f>IF(AND(ISNUMBER(D7051),ISNUMBER(H7051)),D7051*H7051*Inputs!$C$69,"")</f>
      </c>
      <c r="J7051" s="42">
        <f>IF(AND(ISNUMBER(F7051),ISNUMBER(H7051),F7051&gt;=Inputs!$C$68),F7051*H7051*Inputs!$C$69,"")</f>
      </c>
    </row>
    <row r="7052" spans="2:10" ht="15" customHeight="1" x14ac:dyDescent="0.2">
      <c r="B7052" s="39">
        <f t="shared" si="54"/>
      </c>
      <c r="C7052" s="40">
        <f>IF(Inputs!$C$60,Inputs!$C$11+(B7052-Inputs!$C$69)/Inputs!$C$70,"")</f>
      </c>
      <c r="D7052" s="15"/>
      <c r="E7052" s="15"/>
      <c r="F7052" s="11">
        <f t="shared" si="55"/>
      </c>
      <c r="G7052" s="22" cm="1">
        <f t="array" ref="G7052">IF(AND(Inputs!$C$60,Inputs!$C$61),INDEX(Utility_Rates!$C$29:$F$52,HOUR(C7052)+Inputs!$C$69,MATCH(INDEX(Utility_Rates!$K$6:$K$17,MONTH(C7052))&amp;IF(WEEKDAY(C7052,Inputs!$C$76)&lt;=Inputs!$C$74," weekday"," weekend"),Utility_Rates!$C$28:$F$28,Inputs!$C$68)),"")</f>
      </c>
      <c r="H7052" s="34"/>
      <c r="I7052" s="42">
        <f>IF(AND(ISNUMBER(D7052),ISNUMBER(H7052)),D7052*H7052*Inputs!$C$69,"")</f>
      </c>
      <c r="J7052" s="42">
        <f>IF(AND(ISNUMBER(F7052),ISNUMBER(H7052),F7052&gt;=Inputs!$C$68),F7052*H7052*Inputs!$C$69,"")</f>
      </c>
    </row>
    <row r="7053" spans="2:10" ht="15" customHeight="1" x14ac:dyDescent="0.2">
      <c r="B7053" s="39">
        <f t="shared" si="54"/>
      </c>
      <c r="C7053" s="40">
        <f>IF(Inputs!$C$60,Inputs!$C$11+(B7053-Inputs!$C$69)/Inputs!$C$70,"")</f>
      </c>
      <c r="D7053" s="15"/>
      <c r="E7053" s="15"/>
      <c r="F7053" s="11">
        <f t="shared" si="55"/>
      </c>
      <c r="G7053" s="22" cm="1">
        <f t="array" ref="G7053">IF(AND(Inputs!$C$60,Inputs!$C$61),INDEX(Utility_Rates!$C$29:$F$52,HOUR(C7053)+Inputs!$C$69,MATCH(INDEX(Utility_Rates!$K$6:$K$17,MONTH(C7053))&amp;IF(WEEKDAY(C7053,Inputs!$C$76)&lt;=Inputs!$C$74," weekday"," weekend"),Utility_Rates!$C$28:$F$28,Inputs!$C$68)),"")</f>
      </c>
      <c r="H7053" s="34"/>
      <c r="I7053" s="42">
        <f>IF(AND(ISNUMBER(D7053),ISNUMBER(H7053)),D7053*H7053*Inputs!$C$69,"")</f>
      </c>
      <c r="J7053" s="42">
        <f>IF(AND(ISNUMBER(F7053),ISNUMBER(H7053),F7053&gt;=Inputs!$C$68),F7053*H7053*Inputs!$C$69,"")</f>
      </c>
    </row>
    <row r="7054" spans="2:10" ht="15" customHeight="1" x14ac:dyDescent="0.2">
      <c r="B7054" s="39">
        <f t="shared" si="54"/>
      </c>
      <c r="C7054" s="40">
        <f>IF(Inputs!$C$60,Inputs!$C$11+(B7054-Inputs!$C$69)/Inputs!$C$70,"")</f>
      </c>
      <c r="D7054" s="15"/>
      <c r="E7054" s="15"/>
      <c r="F7054" s="11">
        <f t="shared" si="55"/>
      </c>
      <c r="G7054" s="22" cm="1">
        <f t="array" ref="G7054">IF(AND(Inputs!$C$60,Inputs!$C$61),INDEX(Utility_Rates!$C$29:$F$52,HOUR(C7054)+Inputs!$C$69,MATCH(INDEX(Utility_Rates!$K$6:$K$17,MONTH(C7054))&amp;IF(WEEKDAY(C7054,Inputs!$C$76)&lt;=Inputs!$C$74," weekday"," weekend"),Utility_Rates!$C$28:$F$28,Inputs!$C$68)),"")</f>
      </c>
      <c r="H7054" s="34"/>
      <c r="I7054" s="42">
        <f>IF(AND(ISNUMBER(D7054),ISNUMBER(H7054)),D7054*H7054*Inputs!$C$69,"")</f>
      </c>
      <c r="J7054" s="42">
        <f>IF(AND(ISNUMBER(F7054),ISNUMBER(H7054),F7054&gt;=Inputs!$C$68),F7054*H7054*Inputs!$C$69,"")</f>
      </c>
    </row>
    <row r="7055" spans="2:10" ht="15" customHeight="1" x14ac:dyDescent="0.2">
      <c r="B7055" s="39">
        <f t="shared" si="54"/>
      </c>
      <c r="C7055" s="40">
        <f>IF(Inputs!$C$60,Inputs!$C$11+(B7055-Inputs!$C$69)/Inputs!$C$70,"")</f>
      </c>
      <c r="D7055" s="15"/>
      <c r="E7055" s="15"/>
      <c r="F7055" s="11">
        <f t="shared" si="55"/>
      </c>
      <c r="G7055" s="22" cm="1">
        <f t="array" ref="G7055">IF(AND(Inputs!$C$60,Inputs!$C$61),INDEX(Utility_Rates!$C$29:$F$52,HOUR(C7055)+Inputs!$C$69,MATCH(INDEX(Utility_Rates!$K$6:$K$17,MONTH(C7055))&amp;IF(WEEKDAY(C7055,Inputs!$C$76)&lt;=Inputs!$C$74," weekday"," weekend"),Utility_Rates!$C$28:$F$28,Inputs!$C$68)),"")</f>
      </c>
      <c r="H7055" s="34"/>
      <c r="I7055" s="42">
        <f>IF(AND(ISNUMBER(D7055),ISNUMBER(H7055)),D7055*H7055*Inputs!$C$69,"")</f>
      </c>
      <c r="J7055" s="42">
        <f>IF(AND(ISNUMBER(F7055),ISNUMBER(H7055),F7055&gt;=Inputs!$C$68),F7055*H7055*Inputs!$C$69,"")</f>
      </c>
    </row>
    <row r="7056" spans="2:10" ht="15" customHeight="1" x14ac:dyDescent="0.2">
      <c r="B7056" s="39">
        <f t="shared" si="54"/>
      </c>
      <c r="C7056" s="40">
        <f>IF(Inputs!$C$60,Inputs!$C$11+(B7056-Inputs!$C$69)/Inputs!$C$70,"")</f>
      </c>
      <c r="D7056" s="15"/>
      <c r="E7056" s="15"/>
      <c r="F7056" s="11">
        <f t="shared" si="55"/>
      </c>
      <c r="G7056" s="22" cm="1">
        <f t="array" ref="G7056">IF(AND(Inputs!$C$60,Inputs!$C$61),INDEX(Utility_Rates!$C$29:$F$52,HOUR(C7056)+Inputs!$C$69,MATCH(INDEX(Utility_Rates!$K$6:$K$17,MONTH(C7056))&amp;IF(WEEKDAY(C7056,Inputs!$C$76)&lt;=Inputs!$C$74," weekday"," weekend"),Utility_Rates!$C$28:$F$28,Inputs!$C$68)),"")</f>
      </c>
      <c r="H7056" s="34"/>
      <c r="I7056" s="42">
        <f>IF(AND(ISNUMBER(D7056),ISNUMBER(H7056)),D7056*H7056*Inputs!$C$69,"")</f>
      </c>
      <c r="J7056" s="42">
        <f>IF(AND(ISNUMBER(F7056),ISNUMBER(H7056),F7056&gt;=Inputs!$C$68),F7056*H7056*Inputs!$C$69,"")</f>
      </c>
    </row>
    <row r="7057" spans="2:10" ht="15" customHeight="1" x14ac:dyDescent="0.2">
      <c r="B7057" s="39">
        <f t="shared" si="54"/>
      </c>
      <c r="C7057" s="40">
        <f>IF(Inputs!$C$60,Inputs!$C$11+(B7057-Inputs!$C$69)/Inputs!$C$70,"")</f>
      </c>
      <c r="D7057" s="15"/>
      <c r="E7057" s="15"/>
      <c r="F7057" s="11">
        <f t="shared" si="55"/>
      </c>
      <c r="G7057" s="22" cm="1">
        <f t="array" ref="G7057">IF(AND(Inputs!$C$60,Inputs!$C$61),INDEX(Utility_Rates!$C$29:$F$52,HOUR(C7057)+Inputs!$C$69,MATCH(INDEX(Utility_Rates!$K$6:$K$17,MONTH(C7057))&amp;IF(WEEKDAY(C7057,Inputs!$C$76)&lt;=Inputs!$C$74," weekday"," weekend"),Utility_Rates!$C$28:$F$28,Inputs!$C$68)),"")</f>
      </c>
      <c r="H7057" s="34"/>
      <c r="I7057" s="42">
        <f>IF(AND(ISNUMBER(D7057),ISNUMBER(H7057)),D7057*H7057*Inputs!$C$69,"")</f>
      </c>
      <c r="J7057" s="42">
        <f>IF(AND(ISNUMBER(F7057),ISNUMBER(H7057),F7057&gt;=Inputs!$C$68),F7057*H7057*Inputs!$C$69,"")</f>
      </c>
    </row>
    <row r="7058" spans="2:10" ht="15" customHeight="1" x14ac:dyDescent="0.2">
      <c r="B7058" s="39">
        <f t="shared" si="54"/>
      </c>
      <c r="C7058" s="40">
        <f>IF(Inputs!$C$60,Inputs!$C$11+(B7058-Inputs!$C$69)/Inputs!$C$70,"")</f>
      </c>
      <c r="D7058" s="15"/>
      <c r="E7058" s="15"/>
      <c r="F7058" s="11">
        <f t="shared" si="55"/>
      </c>
      <c r="G7058" s="22" cm="1">
        <f t="array" ref="G7058">IF(AND(Inputs!$C$60,Inputs!$C$61),INDEX(Utility_Rates!$C$29:$F$52,HOUR(C7058)+Inputs!$C$69,MATCH(INDEX(Utility_Rates!$K$6:$K$17,MONTH(C7058))&amp;IF(WEEKDAY(C7058,Inputs!$C$76)&lt;=Inputs!$C$74," weekday"," weekend"),Utility_Rates!$C$28:$F$28,Inputs!$C$68)),"")</f>
      </c>
      <c r="H7058" s="34"/>
      <c r="I7058" s="42">
        <f>IF(AND(ISNUMBER(D7058),ISNUMBER(H7058)),D7058*H7058*Inputs!$C$69,"")</f>
      </c>
      <c r="J7058" s="42">
        <f>IF(AND(ISNUMBER(F7058),ISNUMBER(H7058),F7058&gt;=Inputs!$C$68),F7058*H7058*Inputs!$C$69,"")</f>
      </c>
    </row>
    <row r="7059" spans="2:10" ht="15" customHeight="1" x14ac:dyDescent="0.2">
      <c r="B7059" s="39">
        <f t="shared" si="54"/>
      </c>
      <c r="C7059" s="40">
        <f>IF(Inputs!$C$60,Inputs!$C$11+(B7059-Inputs!$C$69)/Inputs!$C$70,"")</f>
      </c>
      <c r="D7059" s="15"/>
      <c r="E7059" s="15"/>
      <c r="F7059" s="11">
        <f t="shared" si="55"/>
      </c>
      <c r="G7059" s="22" cm="1">
        <f t="array" ref="G7059">IF(AND(Inputs!$C$60,Inputs!$C$61),INDEX(Utility_Rates!$C$29:$F$52,HOUR(C7059)+Inputs!$C$69,MATCH(INDEX(Utility_Rates!$K$6:$K$17,MONTH(C7059))&amp;IF(WEEKDAY(C7059,Inputs!$C$76)&lt;=Inputs!$C$74," weekday"," weekend"),Utility_Rates!$C$28:$F$28,Inputs!$C$68)),"")</f>
      </c>
      <c r="H7059" s="34"/>
      <c r="I7059" s="42">
        <f>IF(AND(ISNUMBER(D7059),ISNUMBER(H7059)),D7059*H7059*Inputs!$C$69,"")</f>
      </c>
      <c r="J7059" s="42">
        <f>IF(AND(ISNUMBER(F7059),ISNUMBER(H7059),F7059&gt;=Inputs!$C$68),F7059*H7059*Inputs!$C$69,"")</f>
      </c>
    </row>
    <row r="7060" spans="2:10" ht="15" customHeight="1" x14ac:dyDescent="0.2">
      <c r="B7060" s="39">
        <f t="shared" si="54"/>
      </c>
      <c r="C7060" s="40">
        <f>IF(Inputs!$C$60,Inputs!$C$11+(B7060-Inputs!$C$69)/Inputs!$C$70,"")</f>
      </c>
      <c r="D7060" s="15"/>
      <c r="E7060" s="15"/>
      <c r="F7060" s="11">
        <f t="shared" si="55"/>
      </c>
      <c r="G7060" s="22" cm="1">
        <f t="array" ref="G7060">IF(AND(Inputs!$C$60,Inputs!$C$61),INDEX(Utility_Rates!$C$29:$F$52,HOUR(C7060)+Inputs!$C$69,MATCH(INDEX(Utility_Rates!$K$6:$K$17,MONTH(C7060))&amp;IF(WEEKDAY(C7060,Inputs!$C$76)&lt;=Inputs!$C$74," weekday"," weekend"),Utility_Rates!$C$28:$F$28,Inputs!$C$68)),"")</f>
      </c>
      <c r="H7060" s="34"/>
      <c r="I7060" s="42">
        <f>IF(AND(ISNUMBER(D7060),ISNUMBER(H7060)),D7060*H7060*Inputs!$C$69,"")</f>
      </c>
      <c r="J7060" s="42">
        <f>IF(AND(ISNUMBER(F7060),ISNUMBER(H7060),F7060&gt;=Inputs!$C$68),F7060*H7060*Inputs!$C$69,"")</f>
      </c>
    </row>
    <row r="7061" spans="2:10" ht="15" customHeight="1" x14ac:dyDescent="0.2">
      <c r="B7061" s="39">
        <f t="shared" si="54"/>
      </c>
      <c r="C7061" s="40">
        <f>IF(Inputs!$C$60,Inputs!$C$11+(B7061-Inputs!$C$69)/Inputs!$C$70,"")</f>
      </c>
      <c r="D7061" s="15"/>
      <c r="E7061" s="15"/>
      <c r="F7061" s="11">
        <f t="shared" si="55"/>
      </c>
      <c r="G7061" s="22" cm="1">
        <f t="array" ref="G7061">IF(AND(Inputs!$C$60,Inputs!$C$61),INDEX(Utility_Rates!$C$29:$F$52,HOUR(C7061)+Inputs!$C$69,MATCH(INDEX(Utility_Rates!$K$6:$K$17,MONTH(C7061))&amp;IF(WEEKDAY(C7061,Inputs!$C$76)&lt;=Inputs!$C$74," weekday"," weekend"),Utility_Rates!$C$28:$F$28,Inputs!$C$68)),"")</f>
      </c>
      <c r="H7061" s="34"/>
      <c r="I7061" s="42">
        <f>IF(AND(ISNUMBER(D7061),ISNUMBER(H7061)),D7061*H7061*Inputs!$C$69,"")</f>
      </c>
      <c r="J7061" s="42">
        <f>IF(AND(ISNUMBER(F7061),ISNUMBER(H7061),F7061&gt;=Inputs!$C$68),F7061*H7061*Inputs!$C$69,"")</f>
      </c>
    </row>
    <row r="7062" spans="2:10" ht="15" customHeight="1" x14ac:dyDescent="0.2">
      <c r="B7062" s="39">
        <f t="shared" si="54"/>
      </c>
      <c r="C7062" s="40">
        <f>IF(Inputs!$C$60,Inputs!$C$11+(B7062-Inputs!$C$69)/Inputs!$C$70,"")</f>
      </c>
      <c r="D7062" s="15"/>
      <c r="E7062" s="15"/>
      <c r="F7062" s="11">
        <f t="shared" si="55"/>
      </c>
      <c r="G7062" s="22" cm="1">
        <f t="array" ref="G7062">IF(AND(Inputs!$C$60,Inputs!$C$61),INDEX(Utility_Rates!$C$29:$F$52,HOUR(C7062)+Inputs!$C$69,MATCH(INDEX(Utility_Rates!$K$6:$K$17,MONTH(C7062))&amp;IF(WEEKDAY(C7062,Inputs!$C$76)&lt;=Inputs!$C$74," weekday"," weekend"),Utility_Rates!$C$28:$F$28,Inputs!$C$68)),"")</f>
      </c>
      <c r="H7062" s="34"/>
      <c r="I7062" s="42">
        <f>IF(AND(ISNUMBER(D7062),ISNUMBER(H7062)),D7062*H7062*Inputs!$C$69,"")</f>
      </c>
      <c r="J7062" s="42">
        <f>IF(AND(ISNUMBER(F7062),ISNUMBER(H7062),F7062&gt;=Inputs!$C$68),F7062*H7062*Inputs!$C$69,"")</f>
      </c>
    </row>
    <row r="7063" spans="2:10" ht="15" customHeight="1" x14ac:dyDescent="0.2">
      <c r="B7063" s="39">
        <f t="shared" si="54"/>
      </c>
      <c r="C7063" s="40">
        <f>IF(Inputs!$C$60,Inputs!$C$11+(B7063-Inputs!$C$69)/Inputs!$C$70,"")</f>
      </c>
      <c r="D7063" s="15"/>
      <c r="E7063" s="15"/>
      <c r="F7063" s="11">
        <f t="shared" si="55"/>
      </c>
      <c r="G7063" s="22" cm="1">
        <f t="array" ref="G7063">IF(AND(Inputs!$C$60,Inputs!$C$61),INDEX(Utility_Rates!$C$29:$F$52,HOUR(C7063)+Inputs!$C$69,MATCH(INDEX(Utility_Rates!$K$6:$K$17,MONTH(C7063))&amp;IF(WEEKDAY(C7063,Inputs!$C$76)&lt;=Inputs!$C$74," weekday"," weekend"),Utility_Rates!$C$28:$F$28,Inputs!$C$68)),"")</f>
      </c>
      <c r="H7063" s="34"/>
      <c r="I7063" s="42">
        <f>IF(AND(ISNUMBER(D7063),ISNUMBER(H7063)),D7063*H7063*Inputs!$C$69,"")</f>
      </c>
      <c r="J7063" s="42">
        <f>IF(AND(ISNUMBER(F7063),ISNUMBER(H7063),F7063&gt;=Inputs!$C$68),F7063*H7063*Inputs!$C$69,"")</f>
      </c>
    </row>
    <row r="7064" spans="2:10" ht="15" customHeight="1" x14ac:dyDescent="0.2">
      <c r="B7064" s="39">
        <f t="shared" si="54"/>
      </c>
      <c r="C7064" s="40">
        <f>IF(Inputs!$C$60,Inputs!$C$11+(B7064-Inputs!$C$69)/Inputs!$C$70,"")</f>
      </c>
      <c r="D7064" s="15"/>
      <c r="E7064" s="15"/>
      <c r="F7064" s="11">
        <f t="shared" si="55"/>
      </c>
      <c r="G7064" s="22" cm="1">
        <f t="array" ref="G7064">IF(AND(Inputs!$C$60,Inputs!$C$61),INDEX(Utility_Rates!$C$29:$F$52,HOUR(C7064)+Inputs!$C$69,MATCH(INDEX(Utility_Rates!$K$6:$K$17,MONTH(C7064))&amp;IF(WEEKDAY(C7064,Inputs!$C$76)&lt;=Inputs!$C$74," weekday"," weekend"),Utility_Rates!$C$28:$F$28,Inputs!$C$68)),"")</f>
      </c>
      <c r="H7064" s="34"/>
      <c r="I7064" s="42">
        <f>IF(AND(ISNUMBER(D7064),ISNUMBER(H7064)),D7064*H7064*Inputs!$C$69,"")</f>
      </c>
      <c r="J7064" s="42">
        <f>IF(AND(ISNUMBER(F7064),ISNUMBER(H7064),F7064&gt;=Inputs!$C$68),F7064*H7064*Inputs!$C$69,"")</f>
      </c>
    </row>
    <row r="7065" spans="2:10" ht="15" customHeight="1" x14ac:dyDescent="0.2">
      <c r="B7065" s="39">
        <f t="shared" si="54"/>
      </c>
      <c r="C7065" s="40">
        <f>IF(Inputs!$C$60,Inputs!$C$11+(B7065-Inputs!$C$69)/Inputs!$C$70,"")</f>
      </c>
      <c r="D7065" s="15"/>
      <c r="E7065" s="15"/>
      <c r="F7065" s="11">
        <f t="shared" si="55"/>
      </c>
      <c r="G7065" s="22" cm="1">
        <f t="array" ref="G7065">IF(AND(Inputs!$C$60,Inputs!$C$61),INDEX(Utility_Rates!$C$29:$F$52,HOUR(C7065)+Inputs!$C$69,MATCH(INDEX(Utility_Rates!$K$6:$K$17,MONTH(C7065))&amp;IF(WEEKDAY(C7065,Inputs!$C$76)&lt;=Inputs!$C$74," weekday"," weekend"),Utility_Rates!$C$28:$F$28,Inputs!$C$68)),"")</f>
      </c>
      <c r="H7065" s="34"/>
      <c r="I7065" s="42">
        <f>IF(AND(ISNUMBER(D7065),ISNUMBER(H7065)),D7065*H7065*Inputs!$C$69,"")</f>
      </c>
      <c r="J7065" s="42">
        <f>IF(AND(ISNUMBER(F7065),ISNUMBER(H7065),F7065&gt;=Inputs!$C$68),F7065*H7065*Inputs!$C$69,"")</f>
      </c>
    </row>
    <row r="7066" spans="2:10" ht="15" customHeight="1" x14ac:dyDescent="0.2">
      <c r="B7066" s="39">
        <f t="shared" si="54"/>
      </c>
      <c r="C7066" s="40">
        <f>IF(Inputs!$C$60,Inputs!$C$11+(B7066-Inputs!$C$69)/Inputs!$C$70,"")</f>
      </c>
      <c r="D7066" s="15"/>
      <c r="E7066" s="15"/>
      <c r="F7066" s="11">
        <f t="shared" si="55"/>
      </c>
      <c r="G7066" s="22" cm="1">
        <f t="array" ref="G7066">IF(AND(Inputs!$C$60,Inputs!$C$61),INDEX(Utility_Rates!$C$29:$F$52,HOUR(C7066)+Inputs!$C$69,MATCH(INDEX(Utility_Rates!$K$6:$K$17,MONTH(C7066))&amp;IF(WEEKDAY(C7066,Inputs!$C$76)&lt;=Inputs!$C$74," weekday"," weekend"),Utility_Rates!$C$28:$F$28,Inputs!$C$68)),"")</f>
      </c>
      <c r="H7066" s="34"/>
      <c r="I7066" s="42">
        <f>IF(AND(ISNUMBER(D7066),ISNUMBER(H7066)),D7066*H7066*Inputs!$C$69,"")</f>
      </c>
      <c r="J7066" s="42">
        <f>IF(AND(ISNUMBER(F7066),ISNUMBER(H7066),F7066&gt;=Inputs!$C$68),F7066*H7066*Inputs!$C$69,"")</f>
      </c>
    </row>
    <row r="7067" spans="2:10" ht="15" customHeight="1" x14ac:dyDescent="0.2">
      <c r="B7067" s="39">
        <f t="shared" si="54"/>
      </c>
      <c r="C7067" s="40">
        <f>IF(Inputs!$C$60,Inputs!$C$11+(B7067-Inputs!$C$69)/Inputs!$C$70,"")</f>
      </c>
      <c r="D7067" s="15"/>
      <c r="E7067" s="15"/>
      <c r="F7067" s="11">
        <f t="shared" si="55"/>
      </c>
      <c r="G7067" s="22" cm="1">
        <f t="array" ref="G7067">IF(AND(Inputs!$C$60,Inputs!$C$61),INDEX(Utility_Rates!$C$29:$F$52,HOUR(C7067)+Inputs!$C$69,MATCH(INDEX(Utility_Rates!$K$6:$K$17,MONTH(C7067))&amp;IF(WEEKDAY(C7067,Inputs!$C$76)&lt;=Inputs!$C$74," weekday"," weekend"),Utility_Rates!$C$28:$F$28,Inputs!$C$68)),"")</f>
      </c>
      <c r="H7067" s="34"/>
      <c r="I7067" s="42">
        <f>IF(AND(ISNUMBER(D7067),ISNUMBER(H7067)),D7067*H7067*Inputs!$C$69,"")</f>
      </c>
      <c r="J7067" s="42">
        <f>IF(AND(ISNUMBER(F7067),ISNUMBER(H7067),F7067&gt;=Inputs!$C$68),F7067*H7067*Inputs!$C$69,"")</f>
      </c>
    </row>
    <row r="7068" spans="2:10" ht="15" customHeight="1" x14ac:dyDescent="0.2">
      <c r="B7068" s="39">
        <f t="shared" si="54"/>
      </c>
      <c r="C7068" s="40">
        <f>IF(Inputs!$C$60,Inputs!$C$11+(B7068-Inputs!$C$69)/Inputs!$C$70,"")</f>
      </c>
      <c r="D7068" s="15"/>
      <c r="E7068" s="15"/>
      <c r="F7068" s="11">
        <f t="shared" si="55"/>
      </c>
      <c r="G7068" s="22" cm="1">
        <f t="array" ref="G7068">IF(AND(Inputs!$C$60,Inputs!$C$61),INDEX(Utility_Rates!$C$29:$F$52,HOUR(C7068)+Inputs!$C$69,MATCH(INDEX(Utility_Rates!$K$6:$K$17,MONTH(C7068))&amp;IF(WEEKDAY(C7068,Inputs!$C$76)&lt;=Inputs!$C$74," weekday"," weekend"),Utility_Rates!$C$28:$F$28,Inputs!$C$68)),"")</f>
      </c>
      <c r="H7068" s="34"/>
      <c r="I7068" s="42">
        <f>IF(AND(ISNUMBER(D7068),ISNUMBER(H7068)),D7068*H7068*Inputs!$C$69,"")</f>
      </c>
      <c r="J7068" s="42">
        <f>IF(AND(ISNUMBER(F7068),ISNUMBER(H7068),F7068&gt;=Inputs!$C$68),F7068*H7068*Inputs!$C$69,"")</f>
      </c>
    </row>
    <row r="7069" spans="2:10" ht="15" customHeight="1" x14ac:dyDescent="0.2">
      <c r="B7069" s="39">
        <f t="shared" si="54"/>
      </c>
      <c r="C7069" s="40">
        <f>IF(Inputs!$C$60,Inputs!$C$11+(B7069-Inputs!$C$69)/Inputs!$C$70,"")</f>
      </c>
      <c r="D7069" s="15"/>
      <c r="E7069" s="15"/>
      <c r="F7069" s="11">
        <f t="shared" si="55"/>
      </c>
      <c r="G7069" s="22" cm="1">
        <f t="array" ref="G7069">IF(AND(Inputs!$C$60,Inputs!$C$61),INDEX(Utility_Rates!$C$29:$F$52,HOUR(C7069)+Inputs!$C$69,MATCH(INDEX(Utility_Rates!$K$6:$K$17,MONTH(C7069))&amp;IF(WEEKDAY(C7069,Inputs!$C$76)&lt;=Inputs!$C$74," weekday"," weekend"),Utility_Rates!$C$28:$F$28,Inputs!$C$68)),"")</f>
      </c>
      <c r="H7069" s="34"/>
      <c r="I7069" s="42">
        <f>IF(AND(ISNUMBER(D7069),ISNUMBER(H7069)),D7069*H7069*Inputs!$C$69,"")</f>
      </c>
      <c r="J7069" s="42">
        <f>IF(AND(ISNUMBER(F7069),ISNUMBER(H7069),F7069&gt;=Inputs!$C$68),F7069*H7069*Inputs!$C$69,"")</f>
      </c>
    </row>
    <row r="7070" spans="2:10" ht="15" customHeight="1" x14ac:dyDescent="0.2">
      <c r="B7070" s="39">
        <f t="shared" si="54"/>
      </c>
      <c r="C7070" s="40">
        <f>IF(Inputs!$C$60,Inputs!$C$11+(B7070-Inputs!$C$69)/Inputs!$C$70,"")</f>
      </c>
      <c r="D7070" s="15"/>
      <c r="E7070" s="15"/>
      <c r="F7070" s="11">
        <f t="shared" si="55"/>
      </c>
      <c r="G7070" s="22" cm="1">
        <f t="array" ref="G7070">IF(AND(Inputs!$C$60,Inputs!$C$61),INDEX(Utility_Rates!$C$29:$F$52,HOUR(C7070)+Inputs!$C$69,MATCH(INDEX(Utility_Rates!$K$6:$K$17,MONTH(C7070))&amp;IF(WEEKDAY(C7070,Inputs!$C$76)&lt;=Inputs!$C$74," weekday"," weekend"),Utility_Rates!$C$28:$F$28,Inputs!$C$68)),"")</f>
      </c>
      <c r="H7070" s="34"/>
      <c r="I7070" s="42">
        <f>IF(AND(ISNUMBER(D7070),ISNUMBER(H7070)),D7070*H7070*Inputs!$C$69,"")</f>
      </c>
      <c r="J7070" s="42">
        <f>IF(AND(ISNUMBER(F7070),ISNUMBER(H7070),F7070&gt;=Inputs!$C$68),F7070*H7070*Inputs!$C$69,"")</f>
      </c>
    </row>
    <row r="7071" spans="2:10" ht="15" customHeight="1" x14ac:dyDescent="0.2">
      <c r="B7071" s="39">
        <f t="shared" si="54"/>
      </c>
      <c r="C7071" s="40">
        <f>IF(Inputs!$C$60,Inputs!$C$11+(B7071-Inputs!$C$69)/Inputs!$C$70,"")</f>
      </c>
      <c r="D7071" s="15"/>
      <c r="E7071" s="15"/>
      <c r="F7071" s="11">
        <f t="shared" si="55"/>
      </c>
      <c r="G7071" s="22" cm="1">
        <f t="array" ref="G7071">IF(AND(Inputs!$C$60,Inputs!$C$61),INDEX(Utility_Rates!$C$29:$F$52,HOUR(C7071)+Inputs!$C$69,MATCH(INDEX(Utility_Rates!$K$6:$K$17,MONTH(C7071))&amp;IF(WEEKDAY(C7071,Inputs!$C$76)&lt;=Inputs!$C$74," weekday"," weekend"),Utility_Rates!$C$28:$F$28,Inputs!$C$68)),"")</f>
      </c>
      <c r="H7071" s="34"/>
      <c r="I7071" s="42">
        <f>IF(AND(ISNUMBER(D7071),ISNUMBER(H7071)),D7071*H7071*Inputs!$C$69,"")</f>
      </c>
      <c r="J7071" s="42">
        <f>IF(AND(ISNUMBER(F7071),ISNUMBER(H7071),F7071&gt;=Inputs!$C$68),F7071*H7071*Inputs!$C$69,"")</f>
      </c>
    </row>
    <row r="7072" spans="2:10" ht="15" customHeight="1" x14ac:dyDescent="0.2">
      <c r="B7072" s="39">
        <f t="shared" si="54"/>
      </c>
      <c r="C7072" s="40">
        <f>IF(Inputs!$C$60,Inputs!$C$11+(B7072-Inputs!$C$69)/Inputs!$C$70,"")</f>
      </c>
      <c r="D7072" s="15"/>
      <c r="E7072" s="15"/>
      <c r="F7072" s="11">
        <f t="shared" si="55"/>
      </c>
      <c r="G7072" s="22" cm="1">
        <f t="array" ref="G7072">IF(AND(Inputs!$C$60,Inputs!$C$61),INDEX(Utility_Rates!$C$29:$F$52,HOUR(C7072)+Inputs!$C$69,MATCH(INDEX(Utility_Rates!$K$6:$K$17,MONTH(C7072))&amp;IF(WEEKDAY(C7072,Inputs!$C$76)&lt;=Inputs!$C$74," weekday"," weekend"),Utility_Rates!$C$28:$F$28,Inputs!$C$68)),"")</f>
      </c>
      <c r="H7072" s="34"/>
      <c r="I7072" s="42">
        <f>IF(AND(ISNUMBER(D7072),ISNUMBER(H7072)),D7072*H7072*Inputs!$C$69,"")</f>
      </c>
      <c r="J7072" s="42">
        <f>IF(AND(ISNUMBER(F7072),ISNUMBER(H7072),F7072&gt;=Inputs!$C$68),F7072*H7072*Inputs!$C$69,"")</f>
      </c>
    </row>
    <row r="7073" spans="2:10" ht="15" customHeight="1" x14ac:dyDescent="0.2">
      <c r="B7073" s="39">
        <f t="shared" si="54"/>
      </c>
      <c r="C7073" s="40">
        <f>IF(Inputs!$C$60,Inputs!$C$11+(B7073-Inputs!$C$69)/Inputs!$C$70,"")</f>
      </c>
      <c r="D7073" s="15"/>
      <c r="E7073" s="15"/>
      <c r="F7073" s="11">
        <f t="shared" si="55"/>
      </c>
      <c r="G7073" s="22" cm="1">
        <f t="array" ref="G7073">IF(AND(Inputs!$C$60,Inputs!$C$61),INDEX(Utility_Rates!$C$29:$F$52,HOUR(C7073)+Inputs!$C$69,MATCH(INDEX(Utility_Rates!$K$6:$K$17,MONTH(C7073))&amp;IF(WEEKDAY(C7073,Inputs!$C$76)&lt;=Inputs!$C$74," weekday"," weekend"),Utility_Rates!$C$28:$F$28,Inputs!$C$68)),"")</f>
      </c>
      <c r="H7073" s="34"/>
      <c r="I7073" s="42">
        <f>IF(AND(ISNUMBER(D7073),ISNUMBER(H7073)),D7073*H7073*Inputs!$C$69,"")</f>
      </c>
      <c r="J7073" s="42">
        <f>IF(AND(ISNUMBER(F7073),ISNUMBER(H7073),F7073&gt;=Inputs!$C$68),F7073*H7073*Inputs!$C$69,"")</f>
      </c>
    </row>
    <row r="7074" spans="2:10" ht="15" customHeight="1" x14ac:dyDescent="0.2">
      <c r="B7074" s="39">
        <f t="shared" si="54"/>
      </c>
      <c r="C7074" s="40">
        <f>IF(Inputs!$C$60,Inputs!$C$11+(B7074-Inputs!$C$69)/Inputs!$C$70,"")</f>
      </c>
      <c r="D7074" s="15"/>
      <c r="E7074" s="15"/>
      <c r="F7074" s="11">
        <f t="shared" si="55"/>
      </c>
      <c r="G7074" s="22" cm="1">
        <f t="array" ref="G7074">IF(AND(Inputs!$C$60,Inputs!$C$61),INDEX(Utility_Rates!$C$29:$F$52,HOUR(C7074)+Inputs!$C$69,MATCH(INDEX(Utility_Rates!$K$6:$K$17,MONTH(C7074))&amp;IF(WEEKDAY(C7074,Inputs!$C$76)&lt;=Inputs!$C$74," weekday"," weekend"),Utility_Rates!$C$28:$F$28,Inputs!$C$68)),"")</f>
      </c>
      <c r="H7074" s="34"/>
      <c r="I7074" s="42">
        <f>IF(AND(ISNUMBER(D7074),ISNUMBER(H7074)),D7074*H7074*Inputs!$C$69,"")</f>
      </c>
      <c r="J7074" s="42">
        <f>IF(AND(ISNUMBER(F7074),ISNUMBER(H7074),F7074&gt;=Inputs!$C$68),F7074*H7074*Inputs!$C$69,"")</f>
      </c>
    </row>
    <row r="7075" spans="2:10" ht="15" customHeight="1" x14ac:dyDescent="0.2">
      <c r="B7075" s="39">
        <f t="shared" si="54"/>
      </c>
      <c r="C7075" s="40">
        <f>IF(Inputs!$C$60,Inputs!$C$11+(B7075-Inputs!$C$69)/Inputs!$C$70,"")</f>
      </c>
      <c r="D7075" s="15"/>
      <c r="E7075" s="15"/>
      <c r="F7075" s="11">
        <f t="shared" si="55"/>
      </c>
      <c r="G7075" s="22" cm="1">
        <f t="array" ref="G7075">IF(AND(Inputs!$C$60,Inputs!$C$61),INDEX(Utility_Rates!$C$29:$F$52,HOUR(C7075)+Inputs!$C$69,MATCH(INDEX(Utility_Rates!$K$6:$K$17,MONTH(C7075))&amp;IF(WEEKDAY(C7075,Inputs!$C$76)&lt;=Inputs!$C$74," weekday"," weekend"),Utility_Rates!$C$28:$F$28,Inputs!$C$68)),"")</f>
      </c>
      <c r="H7075" s="34"/>
      <c r="I7075" s="42">
        <f>IF(AND(ISNUMBER(D7075),ISNUMBER(H7075)),D7075*H7075*Inputs!$C$69,"")</f>
      </c>
      <c r="J7075" s="42">
        <f>IF(AND(ISNUMBER(F7075),ISNUMBER(H7075),F7075&gt;=Inputs!$C$68),F7075*H7075*Inputs!$C$69,"")</f>
      </c>
    </row>
    <row r="7076" spans="2:10" ht="15" customHeight="1" x14ac:dyDescent="0.2">
      <c r="B7076" s="39">
        <f t="shared" si="54"/>
      </c>
      <c r="C7076" s="40">
        <f>IF(Inputs!$C$60,Inputs!$C$11+(B7076-Inputs!$C$69)/Inputs!$C$70,"")</f>
      </c>
      <c r="D7076" s="15"/>
      <c r="E7076" s="15"/>
      <c r="F7076" s="11">
        <f t="shared" si="55"/>
      </c>
      <c r="G7076" s="22" cm="1">
        <f t="array" ref="G7076">IF(AND(Inputs!$C$60,Inputs!$C$61),INDEX(Utility_Rates!$C$29:$F$52,HOUR(C7076)+Inputs!$C$69,MATCH(INDEX(Utility_Rates!$K$6:$K$17,MONTH(C7076))&amp;IF(WEEKDAY(C7076,Inputs!$C$76)&lt;=Inputs!$C$74," weekday"," weekend"),Utility_Rates!$C$28:$F$28,Inputs!$C$68)),"")</f>
      </c>
      <c r="H7076" s="34"/>
      <c r="I7076" s="42">
        <f>IF(AND(ISNUMBER(D7076),ISNUMBER(H7076)),D7076*H7076*Inputs!$C$69,"")</f>
      </c>
      <c r="J7076" s="42">
        <f>IF(AND(ISNUMBER(F7076),ISNUMBER(H7076),F7076&gt;=Inputs!$C$68),F7076*H7076*Inputs!$C$69,"")</f>
      </c>
    </row>
    <row r="7077" spans="2:10" ht="15" customHeight="1" x14ac:dyDescent="0.2">
      <c r="B7077" s="39">
        <f t="shared" si="54"/>
      </c>
      <c r="C7077" s="40">
        <f>IF(Inputs!$C$60,Inputs!$C$11+(B7077-Inputs!$C$69)/Inputs!$C$70,"")</f>
      </c>
      <c r="D7077" s="15"/>
      <c r="E7077" s="15"/>
      <c r="F7077" s="11">
        <f t="shared" si="55"/>
      </c>
      <c r="G7077" s="22" cm="1">
        <f t="array" ref="G7077">IF(AND(Inputs!$C$60,Inputs!$C$61),INDEX(Utility_Rates!$C$29:$F$52,HOUR(C7077)+Inputs!$C$69,MATCH(INDEX(Utility_Rates!$K$6:$K$17,MONTH(C7077))&amp;IF(WEEKDAY(C7077,Inputs!$C$76)&lt;=Inputs!$C$74," weekday"," weekend"),Utility_Rates!$C$28:$F$28,Inputs!$C$68)),"")</f>
      </c>
      <c r="H7077" s="34"/>
      <c r="I7077" s="42">
        <f>IF(AND(ISNUMBER(D7077),ISNUMBER(H7077)),D7077*H7077*Inputs!$C$69,"")</f>
      </c>
      <c r="J7077" s="42">
        <f>IF(AND(ISNUMBER(F7077),ISNUMBER(H7077),F7077&gt;=Inputs!$C$68),F7077*H7077*Inputs!$C$69,"")</f>
      </c>
    </row>
    <row r="7078" spans="2:10" ht="15" customHeight="1" x14ac:dyDescent="0.2">
      <c r="B7078" s="39">
        <f t="shared" si="54"/>
      </c>
      <c r="C7078" s="40">
        <f>IF(Inputs!$C$60,Inputs!$C$11+(B7078-Inputs!$C$69)/Inputs!$C$70,"")</f>
      </c>
      <c r="D7078" s="15"/>
      <c r="E7078" s="15"/>
      <c r="F7078" s="11">
        <f t="shared" si="55"/>
      </c>
      <c r="G7078" s="22" cm="1">
        <f t="array" ref="G7078">IF(AND(Inputs!$C$60,Inputs!$C$61),INDEX(Utility_Rates!$C$29:$F$52,HOUR(C7078)+Inputs!$C$69,MATCH(INDEX(Utility_Rates!$K$6:$K$17,MONTH(C7078))&amp;IF(WEEKDAY(C7078,Inputs!$C$76)&lt;=Inputs!$C$74," weekday"," weekend"),Utility_Rates!$C$28:$F$28,Inputs!$C$68)),"")</f>
      </c>
      <c r="H7078" s="34"/>
      <c r="I7078" s="42">
        <f>IF(AND(ISNUMBER(D7078),ISNUMBER(H7078)),D7078*H7078*Inputs!$C$69,"")</f>
      </c>
      <c r="J7078" s="42">
        <f>IF(AND(ISNUMBER(F7078),ISNUMBER(H7078),F7078&gt;=Inputs!$C$68),F7078*H7078*Inputs!$C$69,"")</f>
      </c>
    </row>
    <row r="7079" spans="2:10" ht="15" customHeight="1" x14ac:dyDescent="0.2">
      <c r="B7079" s="39">
        <f t="shared" si="54"/>
      </c>
      <c r="C7079" s="40">
        <f>IF(Inputs!$C$60,Inputs!$C$11+(B7079-Inputs!$C$69)/Inputs!$C$70,"")</f>
      </c>
      <c r="D7079" s="15"/>
      <c r="E7079" s="15"/>
      <c r="F7079" s="11">
        <f t="shared" si="55"/>
      </c>
      <c r="G7079" s="22" cm="1">
        <f t="array" ref="G7079">IF(AND(Inputs!$C$60,Inputs!$C$61),INDEX(Utility_Rates!$C$29:$F$52,HOUR(C7079)+Inputs!$C$69,MATCH(INDEX(Utility_Rates!$K$6:$K$17,MONTH(C7079))&amp;IF(WEEKDAY(C7079,Inputs!$C$76)&lt;=Inputs!$C$74," weekday"," weekend"),Utility_Rates!$C$28:$F$28,Inputs!$C$68)),"")</f>
      </c>
      <c r="H7079" s="34"/>
      <c r="I7079" s="42">
        <f>IF(AND(ISNUMBER(D7079),ISNUMBER(H7079)),D7079*H7079*Inputs!$C$69,"")</f>
      </c>
      <c r="J7079" s="42">
        <f>IF(AND(ISNUMBER(F7079),ISNUMBER(H7079),F7079&gt;=Inputs!$C$68),F7079*H7079*Inputs!$C$69,"")</f>
      </c>
    </row>
    <row r="7080" spans="2:10" ht="15" customHeight="1" x14ac:dyDescent="0.2">
      <c r="B7080" s="39">
        <f t="shared" si="54"/>
      </c>
      <c r="C7080" s="40">
        <f>IF(Inputs!$C$60,Inputs!$C$11+(B7080-Inputs!$C$69)/Inputs!$C$70,"")</f>
      </c>
      <c r="D7080" s="15"/>
      <c r="E7080" s="15"/>
      <c r="F7080" s="11">
        <f t="shared" si="55"/>
      </c>
      <c r="G7080" s="22" cm="1">
        <f t="array" ref="G7080">IF(AND(Inputs!$C$60,Inputs!$C$61),INDEX(Utility_Rates!$C$29:$F$52,HOUR(C7080)+Inputs!$C$69,MATCH(INDEX(Utility_Rates!$K$6:$K$17,MONTH(C7080))&amp;IF(WEEKDAY(C7080,Inputs!$C$76)&lt;=Inputs!$C$74," weekday"," weekend"),Utility_Rates!$C$28:$F$28,Inputs!$C$68)),"")</f>
      </c>
      <c r="H7080" s="34"/>
      <c r="I7080" s="42">
        <f>IF(AND(ISNUMBER(D7080),ISNUMBER(H7080)),D7080*H7080*Inputs!$C$69,"")</f>
      </c>
      <c r="J7080" s="42">
        <f>IF(AND(ISNUMBER(F7080),ISNUMBER(H7080),F7080&gt;=Inputs!$C$68),F7080*H7080*Inputs!$C$69,"")</f>
      </c>
    </row>
    <row r="7081" spans="2:10" ht="15" customHeight="1" x14ac:dyDescent="0.2">
      <c r="B7081" s="39">
        <f t="shared" si="54"/>
      </c>
      <c r="C7081" s="40">
        <f>IF(Inputs!$C$60,Inputs!$C$11+(B7081-Inputs!$C$69)/Inputs!$C$70,"")</f>
      </c>
      <c r="D7081" s="15"/>
      <c r="E7081" s="15"/>
      <c r="F7081" s="11">
        <f t="shared" si="55"/>
      </c>
      <c r="G7081" s="22" cm="1">
        <f t="array" ref="G7081">IF(AND(Inputs!$C$60,Inputs!$C$61),INDEX(Utility_Rates!$C$29:$F$52,HOUR(C7081)+Inputs!$C$69,MATCH(INDEX(Utility_Rates!$K$6:$K$17,MONTH(C7081))&amp;IF(WEEKDAY(C7081,Inputs!$C$76)&lt;=Inputs!$C$74," weekday"," weekend"),Utility_Rates!$C$28:$F$28,Inputs!$C$68)),"")</f>
      </c>
      <c r="H7081" s="34"/>
      <c r="I7081" s="42">
        <f>IF(AND(ISNUMBER(D7081),ISNUMBER(H7081)),D7081*H7081*Inputs!$C$69,"")</f>
      </c>
      <c r="J7081" s="42">
        <f>IF(AND(ISNUMBER(F7081),ISNUMBER(H7081),F7081&gt;=Inputs!$C$68),F7081*H7081*Inputs!$C$69,"")</f>
      </c>
    </row>
    <row r="7082" spans="2:10" ht="15" customHeight="1" x14ac:dyDescent="0.2">
      <c r="B7082" s="39">
        <f t="shared" si="54"/>
      </c>
      <c r="C7082" s="40">
        <f>IF(Inputs!$C$60,Inputs!$C$11+(B7082-Inputs!$C$69)/Inputs!$C$70,"")</f>
      </c>
      <c r="D7082" s="15"/>
      <c r="E7082" s="15"/>
      <c r="F7082" s="11">
        <f t="shared" si="55"/>
      </c>
      <c r="G7082" s="22" cm="1">
        <f t="array" ref="G7082">IF(AND(Inputs!$C$60,Inputs!$C$61),INDEX(Utility_Rates!$C$29:$F$52,HOUR(C7082)+Inputs!$C$69,MATCH(INDEX(Utility_Rates!$K$6:$K$17,MONTH(C7082))&amp;IF(WEEKDAY(C7082,Inputs!$C$76)&lt;=Inputs!$C$74," weekday"," weekend"),Utility_Rates!$C$28:$F$28,Inputs!$C$68)),"")</f>
      </c>
      <c r="H7082" s="34"/>
      <c r="I7082" s="42">
        <f>IF(AND(ISNUMBER(D7082),ISNUMBER(H7082)),D7082*H7082*Inputs!$C$69,"")</f>
      </c>
      <c r="J7082" s="42">
        <f>IF(AND(ISNUMBER(F7082),ISNUMBER(H7082),F7082&gt;=Inputs!$C$68),F7082*H7082*Inputs!$C$69,"")</f>
      </c>
    </row>
    <row r="7083" spans="2:10" ht="15" customHeight="1" x14ac:dyDescent="0.2">
      <c r="B7083" s="39">
        <f t="shared" si="54"/>
      </c>
      <c r="C7083" s="40">
        <f>IF(Inputs!$C$60,Inputs!$C$11+(B7083-Inputs!$C$69)/Inputs!$C$70,"")</f>
      </c>
      <c r="D7083" s="15"/>
      <c r="E7083" s="15"/>
      <c r="F7083" s="11">
        <f t="shared" si="55"/>
      </c>
      <c r="G7083" s="22" cm="1">
        <f t="array" ref="G7083">IF(AND(Inputs!$C$60,Inputs!$C$61),INDEX(Utility_Rates!$C$29:$F$52,HOUR(C7083)+Inputs!$C$69,MATCH(INDEX(Utility_Rates!$K$6:$K$17,MONTH(C7083))&amp;IF(WEEKDAY(C7083,Inputs!$C$76)&lt;=Inputs!$C$74," weekday"," weekend"),Utility_Rates!$C$28:$F$28,Inputs!$C$68)),"")</f>
      </c>
      <c r="H7083" s="34"/>
      <c r="I7083" s="42">
        <f>IF(AND(ISNUMBER(D7083),ISNUMBER(H7083)),D7083*H7083*Inputs!$C$69,"")</f>
      </c>
      <c r="J7083" s="42">
        <f>IF(AND(ISNUMBER(F7083),ISNUMBER(H7083),F7083&gt;=Inputs!$C$68),F7083*H7083*Inputs!$C$69,"")</f>
      </c>
    </row>
    <row r="7084" spans="2:10" ht="15" customHeight="1" x14ac:dyDescent="0.2">
      <c r="B7084" s="39">
        <f t="shared" si="54"/>
      </c>
      <c r="C7084" s="40">
        <f>IF(Inputs!$C$60,Inputs!$C$11+(B7084-Inputs!$C$69)/Inputs!$C$70,"")</f>
      </c>
      <c r="D7084" s="15"/>
      <c r="E7084" s="15"/>
      <c r="F7084" s="11">
        <f t="shared" si="55"/>
      </c>
      <c r="G7084" s="22" cm="1">
        <f t="array" ref="G7084">IF(AND(Inputs!$C$60,Inputs!$C$61),INDEX(Utility_Rates!$C$29:$F$52,HOUR(C7084)+Inputs!$C$69,MATCH(INDEX(Utility_Rates!$K$6:$K$17,MONTH(C7084))&amp;IF(WEEKDAY(C7084,Inputs!$C$76)&lt;=Inputs!$C$74," weekday"," weekend"),Utility_Rates!$C$28:$F$28,Inputs!$C$68)),"")</f>
      </c>
      <c r="H7084" s="34"/>
      <c r="I7084" s="42">
        <f>IF(AND(ISNUMBER(D7084),ISNUMBER(H7084)),D7084*H7084*Inputs!$C$69,"")</f>
      </c>
      <c r="J7084" s="42">
        <f>IF(AND(ISNUMBER(F7084),ISNUMBER(H7084),F7084&gt;=Inputs!$C$68),F7084*H7084*Inputs!$C$69,"")</f>
      </c>
    </row>
    <row r="7085" spans="2:10" ht="15" customHeight="1" x14ac:dyDescent="0.2">
      <c r="B7085" s="39">
        <f t="shared" si="54"/>
      </c>
      <c r="C7085" s="40">
        <f>IF(Inputs!$C$60,Inputs!$C$11+(B7085-Inputs!$C$69)/Inputs!$C$70,"")</f>
      </c>
      <c r="D7085" s="15"/>
      <c r="E7085" s="15"/>
      <c r="F7085" s="11">
        <f t="shared" si="55"/>
      </c>
      <c r="G7085" s="22" cm="1">
        <f t="array" ref="G7085">IF(AND(Inputs!$C$60,Inputs!$C$61),INDEX(Utility_Rates!$C$29:$F$52,HOUR(C7085)+Inputs!$C$69,MATCH(INDEX(Utility_Rates!$K$6:$K$17,MONTH(C7085))&amp;IF(WEEKDAY(C7085,Inputs!$C$76)&lt;=Inputs!$C$74," weekday"," weekend"),Utility_Rates!$C$28:$F$28,Inputs!$C$68)),"")</f>
      </c>
      <c r="H7085" s="34"/>
      <c r="I7085" s="42">
        <f>IF(AND(ISNUMBER(D7085),ISNUMBER(H7085)),D7085*H7085*Inputs!$C$69,"")</f>
      </c>
      <c r="J7085" s="42">
        <f>IF(AND(ISNUMBER(F7085),ISNUMBER(H7085),F7085&gt;=Inputs!$C$68),F7085*H7085*Inputs!$C$69,"")</f>
      </c>
    </row>
    <row r="7086" spans="2:10" ht="15" customHeight="1" x14ac:dyDescent="0.2">
      <c r="B7086" s="39">
        <f t="shared" si="54"/>
      </c>
      <c r="C7086" s="40">
        <f>IF(Inputs!$C$60,Inputs!$C$11+(B7086-Inputs!$C$69)/Inputs!$C$70,"")</f>
      </c>
      <c r="D7086" s="15"/>
      <c r="E7086" s="15"/>
      <c r="F7086" s="11">
        <f t="shared" si="55"/>
      </c>
      <c r="G7086" s="22" cm="1">
        <f t="array" ref="G7086">IF(AND(Inputs!$C$60,Inputs!$C$61),INDEX(Utility_Rates!$C$29:$F$52,HOUR(C7086)+Inputs!$C$69,MATCH(INDEX(Utility_Rates!$K$6:$K$17,MONTH(C7086))&amp;IF(WEEKDAY(C7086,Inputs!$C$76)&lt;=Inputs!$C$74," weekday"," weekend"),Utility_Rates!$C$28:$F$28,Inputs!$C$68)),"")</f>
      </c>
      <c r="H7086" s="34"/>
      <c r="I7086" s="42">
        <f>IF(AND(ISNUMBER(D7086),ISNUMBER(H7086)),D7086*H7086*Inputs!$C$69,"")</f>
      </c>
      <c r="J7086" s="42">
        <f>IF(AND(ISNUMBER(F7086),ISNUMBER(H7086),F7086&gt;=Inputs!$C$68),F7086*H7086*Inputs!$C$69,"")</f>
      </c>
    </row>
    <row r="7087" spans="2:10" ht="15" customHeight="1" x14ac:dyDescent="0.2">
      <c r="B7087" s="39">
        <f t="shared" si="54"/>
      </c>
      <c r="C7087" s="40">
        <f>IF(Inputs!$C$60,Inputs!$C$11+(B7087-Inputs!$C$69)/Inputs!$C$70,"")</f>
      </c>
      <c r="D7087" s="15"/>
      <c r="E7087" s="15"/>
      <c r="F7087" s="11">
        <f t="shared" si="55"/>
      </c>
      <c r="G7087" s="22" cm="1">
        <f t="array" ref="G7087">IF(AND(Inputs!$C$60,Inputs!$C$61),INDEX(Utility_Rates!$C$29:$F$52,HOUR(C7087)+Inputs!$C$69,MATCH(INDEX(Utility_Rates!$K$6:$K$17,MONTH(C7087))&amp;IF(WEEKDAY(C7087,Inputs!$C$76)&lt;=Inputs!$C$74," weekday"," weekend"),Utility_Rates!$C$28:$F$28,Inputs!$C$68)),"")</f>
      </c>
      <c r="H7087" s="34"/>
      <c r="I7087" s="42">
        <f>IF(AND(ISNUMBER(D7087),ISNUMBER(H7087)),D7087*H7087*Inputs!$C$69,"")</f>
      </c>
      <c r="J7087" s="42">
        <f>IF(AND(ISNUMBER(F7087),ISNUMBER(H7087),F7087&gt;=Inputs!$C$68),F7087*H7087*Inputs!$C$69,"")</f>
      </c>
    </row>
    <row r="7088" spans="2:10" ht="15" customHeight="1" x14ac:dyDescent="0.2">
      <c r="B7088" s="39">
        <f t="shared" si="54"/>
      </c>
      <c r="C7088" s="40">
        <f>IF(Inputs!$C$60,Inputs!$C$11+(B7088-Inputs!$C$69)/Inputs!$C$70,"")</f>
      </c>
      <c r="D7088" s="15"/>
      <c r="E7088" s="15"/>
      <c r="F7088" s="11">
        <f t="shared" si="55"/>
      </c>
      <c r="G7088" s="22" cm="1">
        <f t="array" ref="G7088">IF(AND(Inputs!$C$60,Inputs!$C$61),INDEX(Utility_Rates!$C$29:$F$52,HOUR(C7088)+Inputs!$C$69,MATCH(INDEX(Utility_Rates!$K$6:$K$17,MONTH(C7088))&amp;IF(WEEKDAY(C7088,Inputs!$C$76)&lt;=Inputs!$C$74," weekday"," weekend"),Utility_Rates!$C$28:$F$28,Inputs!$C$68)),"")</f>
      </c>
      <c r="H7088" s="34"/>
      <c r="I7088" s="42">
        <f>IF(AND(ISNUMBER(D7088),ISNUMBER(H7088)),D7088*H7088*Inputs!$C$69,"")</f>
      </c>
      <c r="J7088" s="42">
        <f>IF(AND(ISNUMBER(F7088),ISNUMBER(H7088),F7088&gt;=Inputs!$C$68),F7088*H7088*Inputs!$C$69,"")</f>
      </c>
    </row>
    <row r="7089" spans="2:10" ht="15" customHeight="1" x14ac:dyDescent="0.2">
      <c r="B7089" s="39">
        <f t="shared" si="54"/>
      </c>
      <c r="C7089" s="40">
        <f>IF(Inputs!$C$60,Inputs!$C$11+(B7089-Inputs!$C$69)/Inputs!$C$70,"")</f>
      </c>
      <c r="D7089" s="15"/>
      <c r="E7089" s="15"/>
      <c r="F7089" s="11">
        <f t="shared" si="55"/>
      </c>
      <c r="G7089" s="22" cm="1">
        <f t="array" ref="G7089">IF(AND(Inputs!$C$60,Inputs!$C$61),INDEX(Utility_Rates!$C$29:$F$52,HOUR(C7089)+Inputs!$C$69,MATCH(INDEX(Utility_Rates!$K$6:$K$17,MONTH(C7089))&amp;IF(WEEKDAY(C7089,Inputs!$C$76)&lt;=Inputs!$C$74," weekday"," weekend"),Utility_Rates!$C$28:$F$28,Inputs!$C$68)),"")</f>
      </c>
      <c r="H7089" s="34"/>
      <c r="I7089" s="42">
        <f>IF(AND(ISNUMBER(D7089),ISNUMBER(H7089)),D7089*H7089*Inputs!$C$69,"")</f>
      </c>
      <c r="J7089" s="42">
        <f>IF(AND(ISNUMBER(F7089),ISNUMBER(H7089),F7089&gt;=Inputs!$C$68),F7089*H7089*Inputs!$C$69,"")</f>
      </c>
    </row>
    <row r="7090" spans="2:10" ht="15" customHeight="1" x14ac:dyDescent="0.2">
      <c r="B7090" s="39">
        <f t="shared" si="54"/>
      </c>
      <c r="C7090" s="40">
        <f>IF(Inputs!$C$60,Inputs!$C$11+(B7090-Inputs!$C$69)/Inputs!$C$70,"")</f>
      </c>
      <c r="D7090" s="15"/>
      <c r="E7090" s="15"/>
      <c r="F7090" s="11">
        <f t="shared" si="55"/>
      </c>
      <c r="G7090" s="22" cm="1">
        <f t="array" ref="G7090">IF(AND(Inputs!$C$60,Inputs!$C$61),INDEX(Utility_Rates!$C$29:$F$52,HOUR(C7090)+Inputs!$C$69,MATCH(INDEX(Utility_Rates!$K$6:$K$17,MONTH(C7090))&amp;IF(WEEKDAY(C7090,Inputs!$C$76)&lt;=Inputs!$C$74," weekday"," weekend"),Utility_Rates!$C$28:$F$28,Inputs!$C$68)),"")</f>
      </c>
      <c r="H7090" s="34"/>
      <c r="I7090" s="42">
        <f>IF(AND(ISNUMBER(D7090),ISNUMBER(H7090)),D7090*H7090*Inputs!$C$69,"")</f>
      </c>
      <c r="J7090" s="42">
        <f>IF(AND(ISNUMBER(F7090),ISNUMBER(H7090),F7090&gt;=Inputs!$C$68),F7090*H7090*Inputs!$C$69,"")</f>
      </c>
    </row>
    <row r="7091" spans="2:10" ht="15" customHeight="1" x14ac:dyDescent="0.2">
      <c r="B7091" s="39">
        <f t="shared" si="54"/>
      </c>
      <c r="C7091" s="40">
        <f>IF(Inputs!$C$60,Inputs!$C$11+(B7091-Inputs!$C$69)/Inputs!$C$70,"")</f>
      </c>
      <c r="D7091" s="15"/>
      <c r="E7091" s="15"/>
      <c r="F7091" s="11">
        <f t="shared" si="55"/>
      </c>
      <c r="G7091" s="22" cm="1">
        <f t="array" ref="G7091">IF(AND(Inputs!$C$60,Inputs!$C$61),INDEX(Utility_Rates!$C$29:$F$52,HOUR(C7091)+Inputs!$C$69,MATCH(INDEX(Utility_Rates!$K$6:$K$17,MONTH(C7091))&amp;IF(WEEKDAY(C7091,Inputs!$C$76)&lt;=Inputs!$C$74," weekday"," weekend"),Utility_Rates!$C$28:$F$28,Inputs!$C$68)),"")</f>
      </c>
      <c r="H7091" s="34"/>
      <c r="I7091" s="42">
        <f>IF(AND(ISNUMBER(D7091),ISNUMBER(H7091)),D7091*H7091*Inputs!$C$69,"")</f>
      </c>
      <c r="J7091" s="42">
        <f>IF(AND(ISNUMBER(F7091),ISNUMBER(H7091),F7091&gt;=Inputs!$C$68),F7091*H7091*Inputs!$C$69,"")</f>
      </c>
    </row>
    <row r="7092" spans="2:10" ht="15" customHeight="1" x14ac:dyDescent="0.2">
      <c r="B7092" s="39">
        <f t="shared" si="54"/>
      </c>
      <c r="C7092" s="40">
        <f>IF(Inputs!$C$60,Inputs!$C$11+(B7092-Inputs!$C$69)/Inputs!$C$70,"")</f>
      </c>
      <c r="D7092" s="15"/>
      <c r="E7092" s="15"/>
      <c r="F7092" s="11">
        <f t="shared" si="55"/>
      </c>
      <c r="G7092" s="22" cm="1">
        <f t="array" ref="G7092">IF(AND(Inputs!$C$60,Inputs!$C$61),INDEX(Utility_Rates!$C$29:$F$52,HOUR(C7092)+Inputs!$C$69,MATCH(INDEX(Utility_Rates!$K$6:$K$17,MONTH(C7092))&amp;IF(WEEKDAY(C7092,Inputs!$C$76)&lt;=Inputs!$C$74," weekday"," weekend"),Utility_Rates!$C$28:$F$28,Inputs!$C$68)),"")</f>
      </c>
      <c r="H7092" s="34"/>
      <c r="I7092" s="42">
        <f>IF(AND(ISNUMBER(D7092),ISNUMBER(H7092)),D7092*H7092*Inputs!$C$69,"")</f>
      </c>
      <c r="J7092" s="42">
        <f>IF(AND(ISNUMBER(F7092),ISNUMBER(H7092),F7092&gt;=Inputs!$C$68),F7092*H7092*Inputs!$C$69,"")</f>
      </c>
    </row>
    <row r="7093" spans="2:10" ht="15" customHeight="1" x14ac:dyDescent="0.2">
      <c r="B7093" s="39">
        <f t="shared" si="54"/>
      </c>
      <c r="C7093" s="40">
        <f>IF(Inputs!$C$60,Inputs!$C$11+(B7093-Inputs!$C$69)/Inputs!$C$70,"")</f>
      </c>
      <c r="D7093" s="15"/>
      <c r="E7093" s="15"/>
      <c r="F7093" s="11">
        <f t="shared" si="55"/>
      </c>
      <c r="G7093" s="22" cm="1">
        <f t="array" ref="G7093">IF(AND(Inputs!$C$60,Inputs!$C$61),INDEX(Utility_Rates!$C$29:$F$52,HOUR(C7093)+Inputs!$C$69,MATCH(INDEX(Utility_Rates!$K$6:$K$17,MONTH(C7093))&amp;IF(WEEKDAY(C7093,Inputs!$C$76)&lt;=Inputs!$C$74," weekday"," weekend"),Utility_Rates!$C$28:$F$28,Inputs!$C$68)),"")</f>
      </c>
      <c r="H7093" s="34"/>
      <c r="I7093" s="42">
        <f>IF(AND(ISNUMBER(D7093),ISNUMBER(H7093)),D7093*H7093*Inputs!$C$69,"")</f>
      </c>
      <c r="J7093" s="42">
        <f>IF(AND(ISNUMBER(F7093),ISNUMBER(H7093),F7093&gt;=Inputs!$C$68),F7093*H7093*Inputs!$C$69,"")</f>
      </c>
    </row>
    <row r="7094" spans="2:10" ht="15" customHeight="1" x14ac:dyDescent="0.2">
      <c r="B7094" s="39">
        <f t="shared" si="54"/>
      </c>
      <c r="C7094" s="40">
        <f>IF(Inputs!$C$60,Inputs!$C$11+(B7094-Inputs!$C$69)/Inputs!$C$70,"")</f>
      </c>
      <c r="D7094" s="15"/>
      <c r="E7094" s="15"/>
      <c r="F7094" s="11">
        <f t="shared" si="55"/>
      </c>
      <c r="G7094" s="22" cm="1">
        <f t="array" ref="G7094">IF(AND(Inputs!$C$60,Inputs!$C$61),INDEX(Utility_Rates!$C$29:$F$52,HOUR(C7094)+Inputs!$C$69,MATCH(INDEX(Utility_Rates!$K$6:$K$17,MONTH(C7094))&amp;IF(WEEKDAY(C7094,Inputs!$C$76)&lt;=Inputs!$C$74," weekday"," weekend"),Utility_Rates!$C$28:$F$28,Inputs!$C$68)),"")</f>
      </c>
      <c r="H7094" s="34"/>
      <c r="I7094" s="42">
        <f>IF(AND(ISNUMBER(D7094),ISNUMBER(H7094)),D7094*H7094*Inputs!$C$69,"")</f>
      </c>
      <c r="J7094" s="42">
        <f>IF(AND(ISNUMBER(F7094),ISNUMBER(H7094),F7094&gt;=Inputs!$C$68),F7094*H7094*Inputs!$C$69,"")</f>
      </c>
    </row>
    <row r="7095" spans="2:10" ht="15" customHeight="1" x14ac:dyDescent="0.2">
      <c r="B7095" s="39">
        <f t="shared" si="54"/>
      </c>
      <c r="C7095" s="40">
        <f>IF(Inputs!$C$60,Inputs!$C$11+(B7095-Inputs!$C$69)/Inputs!$C$70,"")</f>
      </c>
      <c r="D7095" s="15"/>
      <c r="E7095" s="15"/>
      <c r="F7095" s="11">
        <f t="shared" si="55"/>
      </c>
      <c r="G7095" s="22" cm="1">
        <f t="array" ref="G7095">IF(AND(Inputs!$C$60,Inputs!$C$61),INDEX(Utility_Rates!$C$29:$F$52,HOUR(C7095)+Inputs!$C$69,MATCH(INDEX(Utility_Rates!$K$6:$K$17,MONTH(C7095))&amp;IF(WEEKDAY(C7095,Inputs!$C$76)&lt;=Inputs!$C$74," weekday"," weekend"),Utility_Rates!$C$28:$F$28,Inputs!$C$68)),"")</f>
      </c>
      <c r="H7095" s="34"/>
      <c r="I7095" s="42">
        <f>IF(AND(ISNUMBER(D7095),ISNUMBER(H7095)),D7095*H7095*Inputs!$C$69,"")</f>
      </c>
      <c r="J7095" s="42">
        <f>IF(AND(ISNUMBER(F7095),ISNUMBER(H7095),F7095&gt;=Inputs!$C$68),F7095*H7095*Inputs!$C$69,"")</f>
      </c>
    </row>
    <row r="7096" spans="2:10" ht="15" customHeight="1" x14ac:dyDescent="0.2">
      <c r="B7096" s="39">
        <f t="shared" si="54"/>
      </c>
      <c r="C7096" s="40">
        <f>IF(Inputs!$C$60,Inputs!$C$11+(B7096-Inputs!$C$69)/Inputs!$C$70,"")</f>
      </c>
      <c r="D7096" s="15"/>
      <c r="E7096" s="15"/>
      <c r="F7096" s="11">
        <f t="shared" si="55"/>
      </c>
      <c r="G7096" s="22" cm="1">
        <f t="array" ref="G7096">IF(AND(Inputs!$C$60,Inputs!$C$61),INDEX(Utility_Rates!$C$29:$F$52,HOUR(C7096)+Inputs!$C$69,MATCH(INDEX(Utility_Rates!$K$6:$K$17,MONTH(C7096))&amp;IF(WEEKDAY(C7096,Inputs!$C$76)&lt;=Inputs!$C$74," weekday"," weekend"),Utility_Rates!$C$28:$F$28,Inputs!$C$68)),"")</f>
      </c>
      <c r="H7096" s="34"/>
      <c r="I7096" s="42">
        <f>IF(AND(ISNUMBER(D7096),ISNUMBER(H7096)),D7096*H7096*Inputs!$C$69,"")</f>
      </c>
      <c r="J7096" s="42">
        <f>IF(AND(ISNUMBER(F7096),ISNUMBER(H7096),F7096&gt;=Inputs!$C$68),F7096*H7096*Inputs!$C$69,"")</f>
      </c>
    </row>
    <row r="7097" spans="2:10" ht="15" customHeight="1" x14ac:dyDescent="0.2">
      <c r="B7097" s="39">
        <f t="shared" si="54"/>
      </c>
      <c r="C7097" s="40">
        <f>IF(Inputs!$C$60,Inputs!$C$11+(B7097-Inputs!$C$69)/Inputs!$C$70,"")</f>
      </c>
      <c r="D7097" s="15"/>
      <c r="E7097" s="15"/>
      <c r="F7097" s="11">
        <f t="shared" si="55"/>
      </c>
      <c r="G7097" s="22" cm="1">
        <f t="array" ref="G7097">IF(AND(Inputs!$C$60,Inputs!$C$61),INDEX(Utility_Rates!$C$29:$F$52,HOUR(C7097)+Inputs!$C$69,MATCH(INDEX(Utility_Rates!$K$6:$K$17,MONTH(C7097))&amp;IF(WEEKDAY(C7097,Inputs!$C$76)&lt;=Inputs!$C$74," weekday"," weekend"),Utility_Rates!$C$28:$F$28,Inputs!$C$68)),"")</f>
      </c>
      <c r="H7097" s="34"/>
      <c r="I7097" s="42">
        <f>IF(AND(ISNUMBER(D7097),ISNUMBER(H7097)),D7097*H7097*Inputs!$C$69,"")</f>
      </c>
      <c r="J7097" s="42">
        <f>IF(AND(ISNUMBER(F7097),ISNUMBER(H7097),F7097&gt;=Inputs!$C$68),F7097*H7097*Inputs!$C$69,"")</f>
      </c>
    </row>
    <row r="7098" spans="2:10" ht="15" customHeight="1" x14ac:dyDescent="0.2">
      <c r="B7098" s="39">
        <f t="shared" si="54"/>
      </c>
      <c r="C7098" s="40">
        <f>IF(Inputs!$C$60,Inputs!$C$11+(B7098-Inputs!$C$69)/Inputs!$C$70,"")</f>
      </c>
      <c r="D7098" s="15"/>
      <c r="E7098" s="15"/>
      <c r="F7098" s="11">
        <f t="shared" si="55"/>
      </c>
      <c r="G7098" s="22" cm="1">
        <f t="array" ref="G7098">IF(AND(Inputs!$C$60,Inputs!$C$61),INDEX(Utility_Rates!$C$29:$F$52,HOUR(C7098)+Inputs!$C$69,MATCH(INDEX(Utility_Rates!$K$6:$K$17,MONTH(C7098))&amp;IF(WEEKDAY(C7098,Inputs!$C$76)&lt;=Inputs!$C$74," weekday"," weekend"),Utility_Rates!$C$28:$F$28,Inputs!$C$68)),"")</f>
      </c>
      <c r="H7098" s="34"/>
      <c r="I7098" s="42">
        <f>IF(AND(ISNUMBER(D7098),ISNUMBER(H7098)),D7098*H7098*Inputs!$C$69,"")</f>
      </c>
      <c r="J7098" s="42">
        <f>IF(AND(ISNUMBER(F7098),ISNUMBER(H7098),F7098&gt;=Inputs!$C$68),F7098*H7098*Inputs!$C$69,"")</f>
      </c>
    </row>
    <row r="7099" spans="2:10" ht="15" customHeight="1" x14ac:dyDescent="0.2">
      <c r="B7099" s="39">
        <f t="shared" si="54"/>
      </c>
      <c r="C7099" s="40">
        <f>IF(Inputs!$C$60,Inputs!$C$11+(B7099-Inputs!$C$69)/Inputs!$C$70,"")</f>
      </c>
      <c r="D7099" s="15"/>
      <c r="E7099" s="15"/>
      <c r="F7099" s="11">
        <f t="shared" si="55"/>
      </c>
      <c r="G7099" s="22" cm="1">
        <f t="array" ref="G7099">IF(AND(Inputs!$C$60,Inputs!$C$61),INDEX(Utility_Rates!$C$29:$F$52,HOUR(C7099)+Inputs!$C$69,MATCH(INDEX(Utility_Rates!$K$6:$K$17,MONTH(C7099))&amp;IF(WEEKDAY(C7099,Inputs!$C$76)&lt;=Inputs!$C$74," weekday"," weekend"),Utility_Rates!$C$28:$F$28,Inputs!$C$68)),"")</f>
      </c>
      <c r="H7099" s="34"/>
      <c r="I7099" s="42">
        <f>IF(AND(ISNUMBER(D7099),ISNUMBER(H7099)),D7099*H7099*Inputs!$C$69,"")</f>
      </c>
      <c r="J7099" s="42">
        <f>IF(AND(ISNUMBER(F7099),ISNUMBER(H7099),F7099&gt;=Inputs!$C$68),F7099*H7099*Inputs!$C$69,"")</f>
      </c>
    </row>
    <row r="7100" spans="2:10" ht="15" customHeight="1" x14ac:dyDescent="0.2">
      <c r="B7100" s="39">
        <f t="shared" si="54"/>
      </c>
      <c r="C7100" s="40">
        <f>IF(Inputs!$C$60,Inputs!$C$11+(B7100-Inputs!$C$69)/Inputs!$C$70,"")</f>
      </c>
      <c r="D7100" s="15"/>
      <c r="E7100" s="15"/>
      <c r="F7100" s="11">
        <f t="shared" si="55"/>
      </c>
      <c r="G7100" s="22" cm="1">
        <f t="array" ref="G7100">IF(AND(Inputs!$C$60,Inputs!$C$61),INDEX(Utility_Rates!$C$29:$F$52,HOUR(C7100)+Inputs!$C$69,MATCH(INDEX(Utility_Rates!$K$6:$K$17,MONTH(C7100))&amp;IF(WEEKDAY(C7100,Inputs!$C$76)&lt;=Inputs!$C$74," weekday"," weekend"),Utility_Rates!$C$28:$F$28,Inputs!$C$68)),"")</f>
      </c>
      <c r="H7100" s="34"/>
      <c r="I7100" s="42">
        <f>IF(AND(ISNUMBER(D7100),ISNUMBER(H7100)),D7100*H7100*Inputs!$C$69,"")</f>
      </c>
      <c r="J7100" s="42">
        <f>IF(AND(ISNUMBER(F7100),ISNUMBER(H7100),F7100&gt;=Inputs!$C$68),F7100*H7100*Inputs!$C$69,"")</f>
      </c>
    </row>
    <row r="7101" spans="2:10" ht="15" customHeight="1" x14ac:dyDescent="0.2">
      <c r="B7101" s="39">
        <f t="shared" si="54"/>
      </c>
      <c r="C7101" s="40">
        <f>IF(Inputs!$C$60,Inputs!$C$11+(B7101-Inputs!$C$69)/Inputs!$C$70,"")</f>
      </c>
      <c r="D7101" s="15"/>
      <c r="E7101" s="15"/>
      <c r="F7101" s="11">
        <f t="shared" si="55"/>
      </c>
      <c r="G7101" s="22" cm="1">
        <f t="array" ref="G7101">IF(AND(Inputs!$C$60,Inputs!$C$61),INDEX(Utility_Rates!$C$29:$F$52,HOUR(C7101)+Inputs!$C$69,MATCH(INDEX(Utility_Rates!$K$6:$K$17,MONTH(C7101))&amp;IF(WEEKDAY(C7101,Inputs!$C$76)&lt;=Inputs!$C$74," weekday"," weekend"),Utility_Rates!$C$28:$F$28,Inputs!$C$68)),"")</f>
      </c>
      <c r="H7101" s="34"/>
      <c r="I7101" s="42">
        <f>IF(AND(ISNUMBER(D7101),ISNUMBER(H7101)),D7101*H7101*Inputs!$C$69,"")</f>
      </c>
      <c r="J7101" s="42">
        <f>IF(AND(ISNUMBER(F7101),ISNUMBER(H7101),F7101&gt;=Inputs!$C$68),F7101*H7101*Inputs!$C$69,"")</f>
      </c>
    </row>
    <row r="7102" spans="2:10" ht="15" customHeight="1" x14ac:dyDescent="0.2">
      <c r="B7102" s="39">
        <f t="shared" si="54"/>
      </c>
      <c r="C7102" s="40">
        <f>IF(Inputs!$C$60,Inputs!$C$11+(B7102-Inputs!$C$69)/Inputs!$C$70,"")</f>
      </c>
      <c r="D7102" s="15"/>
      <c r="E7102" s="15"/>
      <c r="F7102" s="11">
        <f t="shared" si="55"/>
      </c>
      <c r="G7102" s="22" cm="1">
        <f t="array" ref="G7102">IF(AND(Inputs!$C$60,Inputs!$C$61),INDEX(Utility_Rates!$C$29:$F$52,HOUR(C7102)+Inputs!$C$69,MATCH(INDEX(Utility_Rates!$K$6:$K$17,MONTH(C7102))&amp;IF(WEEKDAY(C7102,Inputs!$C$76)&lt;=Inputs!$C$74," weekday"," weekend"),Utility_Rates!$C$28:$F$28,Inputs!$C$68)),"")</f>
      </c>
      <c r="H7102" s="34"/>
      <c r="I7102" s="42">
        <f>IF(AND(ISNUMBER(D7102),ISNUMBER(H7102)),D7102*H7102*Inputs!$C$69,"")</f>
      </c>
      <c r="J7102" s="42">
        <f>IF(AND(ISNUMBER(F7102),ISNUMBER(H7102),F7102&gt;=Inputs!$C$68),F7102*H7102*Inputs!$C$69,"")</f>
      </c>
    </row>
    <row r="7103" spans="2:10" ht="15" customHeight="1" x14ac:dyDescent="0.2">
      <c r="B7103" s="39">
        <f t="shared" si="54"/>
      </c>
      <c r="C7103" s="40">
        <f>IF(Inputs!$C$60,Inputs!$C$11+(B7103-Inputs!$C$69)/Inputs!$C$70,"")</f>
      </c>
      <c r="D7103" s="15"/>
      <c r="E7103" s="15"/>
      <c r="F7103" s="11">
        <f t="shared" si="55"/>
      </c>
      <c r="G7103" s="22" cm="1">
        <f t="array" ref="G7103">IF(AND(Inputs!$C$60,Inputs!$C$61),INDEX(Utility_Rates!$C$29:$F$52,HOUR(C7103)+Inputs!$C$69,MATCH(INDEX(Utility_Rates!$K$6:$K$17,MONTH(C7103))&amp;IF(WEEKDAY(C7103,Inputs!$C$76)&lt;=Inputs!$C$74," weekday"," weekend"),Utility_Rates!$C$28:$F$28,Inputs!$C$68)),"")</f>
      </c>
      <c r="H7103" s="34"/>
      <c r="I7103" s="42">
        <f>IF(AND(ISNUMBER(D7103),ISNUMBER(H7103)),D7103*H7103*Inputs!$C$69,"")</f>
      </c>
      <c r="J7103" s="42">
        <f>IF(AND(ISNUMBER(F7103),ISNUMBER(H7103),F7103&gt;=Inputs!$C$68),F7103*H7103*Inputs!$C$69,"")</f>
      </c>
    </row>
    <row r="7104" spans="2:10" ht="15" customHeight="1" x14ac:dyDescent="0.2">
      <c r="B7104" s="39">
        <f t="shared" si="54"/>
      </c>
      <c r="C7104" s="40">
        <f>IF(Inputs!$C$60,Inputs!$C$11+(B7104-Inputs!$C$69)/Inputs!$C$70,"")</f>
      </c>
      <c r="D7104" s="15"/>
      <c r="E7104" s="15"/>
      <c r="F7104" s="11">
        <f t="shared" si="55"/>
      </c>
      <c r="G7104" s="22" cm="1">
        <f t="array" ref="G7104">IF(AND(Inputs!$C$60,Inputs!$C$61),INDEX(Utility_Rates!$C$29:$F$52,HOUR(C7104)+Inputs!$C$69,MATCH(INDEX(Utility_Rates!$K$6:$K$17,MONTH(C7104))&amp;IF(WEEKDAY(C7104,Inputs!$C$76)&lt;=Inputs!$C$74," weekday"," weekend"),Utility_Rates!$C$28:$F$28,Inputs!$C$68)),"")</f>
      </c>
      <c r="H7104" s="34"/>
      <c r="I7104" s="42">
        <f>IF(AND(ISNUMBER(D7104),ISNUMBER(H7104)),D7104*H7104*Inputs!$C$69,"")</f>
      </c>
      <c r="J7104" s="42">
        <f>IF(AND(ISNUMBER(F7104),ISNUMBER(H7104),F7104&gt;=Inputs!$C$68),F7104*H7104*Inputs!$C$69,"")</f>
      </c>
    </row>
    <row r="7105" spans="2:10" ht="15" customHeight="1" x14ac:dyDescent="0.2">
      <c r="B7105" s="39">
        <f t="shared" si="54"/>
      </c>
      <c r="C7105" s="40">
        <f>IF(Inputs!$C$60,Inputs!$C$11+(B7105-Inputs!$C$69)/Inputs!$C$70,"")</f>
      </c>
      <c r="D7105" s="15"/>
      <c r="E7105" s="15"/>
      <c r="F7105" s="11">
        <f t="shared" si="55"/>
      </c>
      <c r="G7105" s="22" cm="1">
        <f t="array" ref="G7105">IF(AND(Inputs!$C$60,Inputs!$C$61),INDEX(Utility_Rates!$C$29:$F$52,HOUR(C7105)+Inputs!$C$69,MATCH(INDEX(Utility_Rates!$K$6:$K$17,MONTH(C7105))&amp;IF(WEEKDAY(C7105,Inputs!$C$76)&lt;=Inputs!$C$74," weekday"," weekend"),Utility_Rates!$C$28:$F$28,Inputs!$C$68)),"")</f>
      </c>
      <c r="H7105" s="34"/>
      <c r="I7105" s="42">
        <f>IF(AND(ISNUMBER(D7105),ISNUMBER(H7105)),D7105*H7105*Inputs!$C$69,"")</f>
      </c>
      <c r="J7105" s="42">
        <f>IF(AND(ISNUMBER(F7105),ISNUMBER(H7105),F7105&gt;=Inputs!$C$68),F7105*H7105*Inputs!$C$69,"")</f>
      </c>
    </row>
    <row r="7106" spans="2:10" ht="15" customHeight="1" x14ac:dyDescent="0.2">
      <c r="B7106" s="39">
        <f t="shared" si="54"/>
      </c>
      <c r="C7106" s="40">
        <f>IF(Inputs!$C$60,Inputs!$C$11+(B7106-Inputs!$C$69)/Inputs!$C$70,"")</f>
      </c>
      <c r="D7106" s="15"/>
      <c r="E7106" s="15"/>
      <c r="F7106" s="11">
        <f t="shared" si="55"/>
      </c>
      <c r="G7106" s="22" cm="1">
        <f t="array" ref="G7106">IF(AND(Inputs!$C$60,Inputs!$C$61),INDEX(Utility_Rates!$C$29:$F$52,HOUR(C7106)+Inputs!$C$69,MATCH(INDEX(Utility_Rates!$K$6:$K$17,MONTH(C7106))&amp;IF(WEEKDAY(C7106,Inputs!$C$76)&lt;=Inputs!$C$74," weekday"," weekend"),Utility_Rates!$C$28:$F$28,Inputs!$C$68)),"")</f>
      </c>
      <c r="H7106" s="34"/>
      <c r="I7106" s="42">
        <f>IF(AND(ISNUMBER(D7106),ISNUMBER(H7106)),D7106*H7106*Inputs!$C$69,"")</f>
      </c>
      <c r="J7106" s="42">
        <f>IF(AND(ISNUMBER(F7106),ISNUMBER(H7106),F7106&gt;=Inputs!$C$68),F7106*H7106*Inputs!$C$69,"")</f>
      </c>
    </row>
    <row r="7107" spans="2:10" ht="15" customHeight="1" x14ac:dyDescent="0.2">
      <c r="B7107" s="39">
        <f t="shared" si="54"/>
      </c>
      <c r="C7107" s="40">
        <f>IF(Inputs!$C$60,Inputs!$C$11+(B7107-Inputs!$C$69)/Inputs!$C$70,"")</f>
      </c>
      <c r="D7107" s="15"/>
      <c r="E7107" s="15"/>
      <c r="F7107" s="11">
        <f t="shared" si="55"/>
      </c>
      <c r="G7107" s="22" cm="1">
        <f t="array" ref="G7107">IF(AND(Inputs!$C$60,Inputs!$C$61),INDEX(Utility_Rates!$C$29:$F$52,HOUR(C7107)+Inputs!$C$69,MATCH(INDEX(Utility_Rates!$K$6:$K$17,MONTH(C7107))&amp;IF(WEEKDAY(C7107,Inputs!$C$76)&lt;=Inputs!$C$74," weekday"," weekend"),Utility_Rates!$C$28:$F$28,Inputs!$C$68)),"")</f>
      </c>
      <c r="H7107" s="34"/>
      <c r="I7107" s="42">
        <f>IF(AND(ISNUMBER(D7107),ISNUMBER(H7107)),D7107*H7107*Inputs!$C$69,"")</f>
      </c>
      <c r="J7107" s="42">
        <f>IF(AND(ISNUMBER(F7107),ISNUMBER(H7107),F7107&gt;=Inputs!$C$68),F7107*H7107*Inputs!$C$69,"")</f>
      </c>
    </row>
    <row r="7108" spans="2:10" ht="15" customHeight="1" x14ac:dyDescent="0.2">
      <c r="B7108" s="39">
        <f t="shared" si="54"/>
      </c>
      <c r="C7108" s="40">
        <f>IF(Inputs!$C$60,Inputs!$C$11+(B7108-Inputs!$C$69)/Inputs!$C$70,"")</f>
      </c>
      <c r="D7108" s="15"/>
      <c r="E7108" s="15"/>
      <c r="F7108" s="11">
        <f t="shared" si="55"/>
      </c>
      <c r="G7108" s="22" cm="1">
        <f t="array" ref="G7108">IF(AND(Inputs!$C$60,Inputs!$C$61),INDEX(Utility_Rates!$C$29:$F$52,HOUR(C7108)+Inputs!$C$69,MATCH(INDEX(Utility_Rates!$K$6:$K$17,MONTH(C7108))&amp;IF(WEEKDAY(C7108,Inputs!$C$76)&lt;=Inputs!$C$74," weekday"," weekend"),Utility_Rates!$C$28:$F$28,Inputs!$C$68)),"")</f>
      </c>
      <c r="H7108" s="34"/>
      <c r="I7108" s="42">
        <f>IF(AND(ISNUMBER(D7108),ISNUMBER(H7108)),D7108*H7108*Inputs!$C$69,"")</f>
      </c>
      <c r="J7108" s="42">
        <f>IF(AND(ISNUMBER(F7108),ISNUMBER(H7108),F7108&gt;=Inputs!$C$68),F7108*H7108*Inputs!$C$69,"")</f>
      </c>
    </row>
    <row r="7109" spans="2:10" ht="15" customHeight="1" x14ac:dyDescent="0.2">
      <c r="B7109" s="39">
        <f t="shared" si="54"/>
      </c>
      <c r="C7109" s="40">
        <f>IF(Inputs!$C$60,Inputs!$C$11+(B7109-Inputs!$C$69)/Inputs!$C$70,"")</f>
      </c>
      <c r="D7109" s="15"/>
      <c r="E7109" s="15"/>
      <c r="F7109" s="11">
        <f t="shared" si="55"/>
      </c>
      <c r="G7109" s="22" cm="1">
        <f t="array" ref="G7109">IF(AND(Inputs!$C$60,Inputs!$C$61),INDEX(Utility_Rates!$C$29:$F$52,HOUR(C7109)+Inputs!$C$69,MATCH(INDEX(Utility_Rates!$K$6:$K$17,MONTH(C7109))&amp;IF(WEEKDAY(C7109,Inputs!$C$76)&lt;=Inputs!$C$74," weekday"," weekend"),Utility_Rates!$C$28:$F$28,Inputs!$C$68)),"")</f>
      </c>
      <c r="H7109" s="34"/>
      <c r="I7109" s="42">
        <f>IF(AND(ISNUMBER(D7109),ISNUMBER(H7109)),D7109*H7109*Inputs!$C$69,"")</f>
      </c>
      <c r="J7109" s="42">
        <f>IF(AND(ISNUMBER(F7109),ISNUMBER(H7109),F7109&gt;=Inputs!$C$68),F7109*H7109*Inputs!$C$69,"")</f>
      </c>
    </row>
    <row r="7110" spans="2:10" ht="15" customHeight="1" x14ac:dyDescent="0.2">
      <c r="B7110" s="39">
        <f t="shared" si="54"/>
      </c>
      <c r="C7110" s="40">
        <f>IF(Inputs!$C$60,Inputs!$C$11+(B7110-Inputs!$C$69)/Inputs!$C$70,"")</f>
      </c>
      <c r="D7110" s="15"/>
      <c r="E7110" s="15"/>
      <c r="F7110" s="11">
        <f t="shared" si="55"/>
      </c>
      <c r="G7110" s="22" cm="1">
        <f t="array" ref="G7110">IF(AND(Inputs!$C$60,Inputs!$C$61),INDEX(Utility_Rates!$C$29:$F$52,HOUR(C7110)+Inputs!$C$69,MATCH(INDEX(Utility_Rates!$K$6:$K$17,MONTH(C7110))&amp;IF(WEEKDAY(C7110,Inputs!$C$76)&lt;=Inputs!$C$74," weekday"," weekend"),Utility_Rates!$C$28:$F$28,Inputs!$C$68)),"")</f>
      </c>
      <c r="H7110" s="34"/>
      <c r="I7110" s="42">
        <f>IF(AND(ISNUMBER(D7110),ISNUMBER(H7110)),D7110*H7110*Inputs!$C$69,"")</f>
      </c>
      <c r="J7110" s="42">
        <f>IF(AND(ISNUMBER(F7110),ISNUMBER(H7110),F7110&gt;=Inputs!$C$68),F7110*H7110*Inputs!$C$69,"")</f>
      </c>
    </row>
    <row r="7111" spans="2:10" ht="15" customHeight="1" x14ac:dyDescent="0.2">
      <c r="B7111" s="39">
        <f t="shared" si="54"/>
      </c>
      <c r="C7111" s="40">
        <f>IF(Inputs!$C$60,Inputs!$C$11+(B7111-Inputs!$C$69)/Inputs!$C$70,"")</f>
      </c>
      <c r="D7111" s="15"/>
      <c r="E7111" s="15"/>
      <c r="F7111" s="11">
        <f t="shared" si="55"/>
      </c>
      <c r="G7111" s="22" cm="1">
        <f t="array" ref="G7111">IF(AND(Inputs!$C$60,Inputs!$C$61),INDEX(Utility_Rates!$C$29:$F$52,HOUR(C7111)+Inputs!$C$69,MATCH(INDEX(Utility_Rates!$K$6:$K$17,MONTH(C7111))&amp;IF(WEEKDAY(C7111,Inputs!$C$76)&lt;=Inputs!$C$74," weekday"," weekend"),Utility_Rates!$C$28:$F$28,Inputs!$C$68)),"")</f>
      </c>
      <c r="H7111" s="34"/>
      <c r="I7111" s="42">
        <f>IF(AND(ISNUMBER(D7111),ISNUMBER(H7111)),D7111*H7111*Inputs!$C$69,"")</f>
      </c>
      <c r="J7111" s="42">
        <f>IF(AND(ISNUMBER(F7111),ISNUMBER(H7111),F7111&gt;=Inputs!$C$68),F7111*H7111*Inputs!$C$69,"")</f>
      </c>
    </row>
    <row r="7112" spans="2:10" ht="15" customHeight="1" x14ac:dyDescent="0.2">
      <c r="B7112" s="39">
        <f t="shared" si="54"/>
      </c>
      <c r="C7112" s="40">
        <f>IF(Inputs!$C$60,Inputs!$C$11+(B7112-Inputs!$C$69)/Inputs!$C$70,"")</f>
      </c>
      <c r="D7112" s="15"/>
      <c r="E7112" s="15"/>
      <c r="F7112" s="11">
        <f t="shared" si="55"/>
      </c>
      <c r="G7112" s="22" cm="1">
        <f t="array" ref="G7112">IF(AND(Inputs!$C$60,Inputs!$C$61),INDEX(Utility_Rates!$C$29:$F$52,HOUR(C7112)+Inputs!$C$69,MATCH(INDEX(Utility_Rates!$K$6:$K$17,MONTH(C7112))&amp;IF(WEEKDAY(C7112,Inputs!$C$76)&lt;=Inputs!$C$74," weekday"," weekend"),Utility_Rates!$C$28:$F$28,Inputs!$C$68)),"")</f>
      </c>
      <c r="H7112" s="34"/>
      <c r="I7112" s="42">
        <f>IF(AND(ISNUMBER(D7112),ISNUMBER(H7112)),D7112*H7112*Inputs!$C$69,"")</f>
      </c>
      <c r="J7112" s="42">
        <f>IF(AND(ISNUMBER(F7112),ISNUMBER(H7112),F7112&gt;=Inputs!$C$68),F7112*H7112*Inputs!$C$69,"")</f>
      </c>
    </row>
    <row r="7113" spans="2:10" ht="15" customHeight="1" x14ac:dyDescent="0.2">
      <c r="B7113" s="39">
        <f t="shared" si="54"/>
      </c>
      <c r="C7113" s="40">
        <f>IF(Inputs!$C$60,Inputs!$C$11+(B7113-Inputs!$C$69)/Inputs!$C$70,"")</f>
      </c>
      <c r="D7113" s="15"/>
      <c r="E7113" s="15"/>
      <c r="F7113" s="11">
        <f t="shared" si="55"/>
      </c>
      <c r="G7113" s="22" cm="1">
        <f t="array" ref="G7113">IF(AND(Inputs!$C$60,Inputs!$C$61),INDEX(Utility_Rates!$C$29:$F$52,HOUR(C7113)+Inputs!$C$69,MATCH(INDEX(Utility_Rates!$K$6:$K$17,MONTH(C7113))&amp;IF(WEEKDAY(C7113,Inputs!$C$76)&lt;=Inputs!$C$74," weekday"," weekend"),Utility_Rates!$C$28:$F$28,Inputs!$C$68)),"")</f>
      </c>
      <c r="H7113" s="34"/>
      <c r="I7113" s="42">
        <f>IF(AND(ISNUMBER(D7113),ISNUMBER(H7113)),D7113*H7113*Inputs!$C$69,"")</f>
      </c>
      <c r="J7113" s="42">
        <f>IF(AND(ISNUMBER(F7113),ISNUMBER(H7113),F7113&gt;=Inputs!$C$68),F7113*H7113*Inputs!$C$69,"")</f>
      </c>
    </row>
    <row r="7114" spans="2:10" ht="15" customHeight="1" x14ac:dyDescent="0.2">
      <c r="B7114" s="39">
        <f t="shared" si="54"/>
      </c>
      <c r="C7114" s="40">
        <f>IF(Inputs!$C$60,Inputs!$C$11+(B7114-Inputs!$C$69)/Inputs!$C$70,"")</f>
      </c>
      <c r="D7114" s="15"/>
      <c r="E7114" s="15"/>
      <c r="F7114" s="11">
        <f t="shared" si="55"/>
      </c>
      <c r="G7114" s="22" cm="1">
        <f t="array" ref="G7114">IF(AND(Inputs!$C$60,Inputs!$C$61),INDEX(Utility_Rates!$C$29:$F$52,HOUR(C7114)+Inputs!$C$69,MATCH(INDEX(Utility_Rates!$K$6:$K$17,MONTH(C7114))&amp;IF(WEEKDAY(C7114,Inputs!$C$76)&lt;=Inputs!$C$74," weekday"," weekend"),Utility_Rates!$C$28:$F$28,Inputs!$C$68)),"")</f>
      </c>
      <c r="H7114" s="34"/>
      <c r="I7114" s="42">
        <f>IF(AND(ISNUMBER(D7114),ISNUMBER(H7114)),D7114*H7114*Inputs!$C$69,"")</f>
      </c>
      <c r="J7114" s="42">
        <f>IF(AND(ISNUMBER(F7114),ISNUMBER(H7114),F7114&gt;=Inputs!$C$68),F7114*H7114*Inputs!$C$69,"")</f>
      </c>
    </row>
    <row r="7115" spans="2:10" ht="15" customHeight="1" x14ac:dyDescent="0.2">
      <c r="B7115" s="39">
        <f t="shared" si="54"/>
      </c>
      <c r="C7115" s="40">
        <f>IF(Inputs!$C$60,Inputs!$C$11+(B7115-Inputs!$C$69)/Inputs!$C$70,"")</f>
      </c>
      <c r="D7115" s="15"/>
      <c r="E7115" s="15"/>
      <c r="F7115" s="11">
        <f t="shared" si="55"/>
      </c>
      <c r="G7115" s="22" cm="1">
        <f t="array" ref="G7115">IF(AND(Inputs!$C$60,Inputs!$C$61),INDEX(Utility_Rates!$C$29:$F$52,HOUR(C7115)+Inputs!$C$69,MATCH(INDEX(Utility_Rates!$K$6:$K$17,MONTH(C7115))&amp;IF(WEEKDAY(C7115,Inputs!$C$76)&lt;=Inputs!$C$74," weekday"," weekend"),Utility_Rates!$C$28:$F$28,Inputs!$C$68)),"")</f>
      </c>
      <c r="H7115" s="34"/>
      <c r="I7115" s="42">
        <f>IF(AND(ISNUMBER(D7115),ISNUMBER(H7115)),D7115*H7115*Inputs!$C$69,"")</f>
      </c>
      <c r="J7115" s="42">
        <f>IF(AND(ISNUMBER(F7115),ISNUMBER(H7115),F7115&gt;=Inputs!$C$68),F7115*H7115*Inputs!$C$69,"")</f>
      </c>
    </row>
    <row r="7116" spans="2:10" ht="15" customHeight="1" x14ac:dyDescent="0.2">
      <c r="B7116" s="39">
        <f t="shared" si="54"/>
      </c>
      <c r="C7116" s="40">
        <f>IF(Inputs!$C$60,Inputs!$C$11+(B7116-Inputs!$C$69)/Inputs!$C$70,"")</f>
      </c>
      <c r="D7116" s="15"/>
      <c r="E7116" s="15"/>
      <c r="F7116" s="11">
        <f t="shared" si="55"/>
      </c>
      <c r="G7116" s="22" cm="1">
        <f t="array" ref="G7116">IF(AND(Inputs!$C$60,Inputs!$C$61),INDEX(Utility_Rates!$C$29:$F$52,HOUR(C7116)+Inputs!$C$69,MATCH(INDEX(Utility_Rates!$K$6:$K$17,MONTH(C7116))&amp;IF(WEEKDAY(C7116,Inputs!$C$76)&lt;=Inputs!$C$74," weekday"," weekend"),Utility_Rates!$C$28:$F$28,Inputs!$C$68)),"")</f>
      </c>
      <c r="H7116" s="34"/>
      <c r="I7116" s="42">
        <f>IF(AND(ISNUMBER(D7116),ISNUMBER(H7116)),D7116*H7116*Inputs!$C$69,"")</f>
      </c>
      <c r="J7116" s="42">
        <f>IF(AND(ISNUMBER(F7116),ISNUMBER(H7116),F7116&gt;=Inputs!$C$68),F7116*H7116*Inputs!$C$69,"")</f>
      </c>
    </row>
    <row r="7117" spans="2:10" ht="15" customHeight="1" x14ac:dyDescent="0.2">
      <c r="B7117" s="39">
        <f t="shared" si="54"/>
      </c>
      <c r="C7117" s="40">
        <f>IF(Inputs!$C$60,Inputs!$C$11+(B7117-Inputs!$C$69)/Inputs!$C$70,"")</f>
      </c>
      <c r="D7117" s="15"/>
      <c r="E7117" s="15"/>
      <c r="F7117" s="11">
        <f t="shared" si="55"/>
      </c>
      <c r="G7117" s="22" cm="1">
        <f t="array" ref="G7117">IF(AND(Inputs!$C$60,Inputs!$C$61),INDEX(Utility_Rates!$C$29:$F$52,HOUR(C7117)+Inputs!$C$69,MATCH(INDEX(Utility_Rates!$K$6:$K$17,MONTH(C7117))&amp;IF(WEEKDAY(C7117,Inputs!$C$76)&lt;=Inputs!$C$74," weekday"," weekend"),Utility_Rates!$C$28:$F$28,Inputs!$C$68)),"")</f>
      </c>
      <c r="H7117" s="34"/>
      <c r="I7117" s="42">
        <f>IF(AND(ISNUMBER(D7117),ISNUMBER(H7117)),D7117*H7117*Inputs!$C$69,"")</f>
      </c>
      <c r="J7117" s="42">
        <f>IF(AND(ISNUMBER(F7117),ISNUMBER(H7117),F7117&gt;=Inputs!$C$68),F7117*H7117*Inputs!$C$69,"")</f>
      </c>
    </row>
    <row r="7118" spans="2:10" ht="15" customHeight="1" x14ac:dyDescent="0.2">
      <c r="B7118" s="39">
        <f t="shared" si="54"/>
      </c>
      <c r="C7118" s="40">
        <f>IF(Inputs!$C$60,Inputs!$C$11+(B7118-Inputs!$C$69)/Inputs!$C$70,"")</f>
      </c>
      <c r="D7118" s="15"/>
      <c r="E7118" s="15"/>
      <c r="F7118" s="11">
        <f t="shared" si="55"/>
      </c>
      <c r="G7118" s="22" cm="1">
        <f t="array" ref="G7118">IF(AND(Inputs!$C$60,Inputs!$C$61),INDEX(Utility_Rates!$C$29:$F$52,HOUR(C7118)+Inputs!$C$69,MATCH(INDEX(Utility_Rates!$K$6:$K$17,MONTH(C7118))&amp;IF(WEEKDAY(C7118,Inputs!$C$76)&lt;=Inputs!$C$74," weekday"," weekend"),Utility_Rates!$C$28:$F$28,Inputs!$C$68)),"")</f>
      </c>
      <c r="H7118" s="34"/>
      <c r="I7118" s="42">
        <f>IF(AND(ISNUMBER(D7118),ISNUMBER(H7118)),D7118*H7118*Inputs!$C$69,"")</f>
      </c>
      <c r="J7118" s="42">
        <f>IF(AND(ISNUMBER(F7118),ISNUMBER(H7118),F7118&gt;=Inputs!$C$68),F7118*H7118*Inputs!$C$69,"")</f>
      </c>
    </row>
    <row r="7119" spans="2:10" ht="15" customHeight="1" x14ac:dyDescent="0.2">
      <c r="B7119" s="39">
        <f t="shared" si="54"/>
      </c>
      <c r="C7119" s="40">
        <f>IF(Inputs!$C$60,Inputs!$C$11+(B7119-Inputs!$C$69)/Inputs!$C$70,"")</f>
      </c>
      <c r="D7119" s="15"/>
      <c r="E7119" s="15"/>
      <c r="F7119" s="11">
        <f t="shared" si="55"/>
      </c>
      <c r="G7119" s="22" cm="1">
        <f t="array" ref="G7119">IF(AND(Inputs!$C$60,Inputs!$C$61),INDEX(Utility_Rates!$C$29:$F$52,HOUR(C7119)+Inputs!$C$69,MATCH(INDEX(Utility_Rates!$K$6:$K$17,MONTH(C7119))&amp;IF(WEEKDAY(C7119,Inputs!$C$76)&lt;=Inputs!$C$74," weekday"," weekend"),Utility_Rates!$C$28:$F$28,Inputs!$C$68)),"")</f>
      </c>
      <c r="H7119" s="34"/>
      <c r="I7119" s="42">
        <f>IF(AND(ISNUMBER(D7119),ISNUMBER(H7119)),D7119*H7119*Inputs!$C$69,"")</f>
      </c>
      <c r="J7119" s="42">
        <f>IF(AND(ISNUMBER(F7119),ISNUMBER(H7119),F7119&gt;=Inputs!$C$68),F7119*H7119*Inputs!$C$69,"")</f>
      </c>
    </row>
    <row r="7120" spans="2:10" ht="15" customHeight="1" x14ac:dyDescent="0.2">
      <c r="B7120" s="39">
        <f t="shared" si="54"/>
      </c>
      <c r="C7120" s="40">
        <f>IF(Inputs!$C$60,Inputs!$C$11+(B7120-Inputs!$C$69)/Inputs!$C$70,"")</f>
      </c>
      <c r="D7120" s="15"/>
      <c r="E7120" s="15"/>
      <c r="F7120" s="11">
        <f t="shared" si="55"/>
      </c>
      <c r="G7120" s="22" cm="1">
        <f t="array" ref="G7120">IF(AND(Inputs!$C$60,Inputs!$C$61),INDEX(Utility_Rates!$C$29:$F$52,HOUR(C7120)+Inputs!$C$69,MATCH(INDEX(Utility_Rates!$K$6:$K$17,MONTH(C7120))&amp;IF(WEEKDAY(C7120,Inputs!$C$76)&lt;=Inputs!$C$74," weekday"," weekend"),Utility_Rates!$C$28:$F$28,Inputs!$C$68)),"")</f>
      </c>
      <c r="H7120" s="34"/>
      <c r="I7120" s="42">
        <f>IF(AND(ISNUMBER(D7120),ISNUMBER(H7120)),D7120*H7120*Inputs!$C$69,"")</f>
      </c>
      <c r="J7120" s="42">
        <f>IF(AND(ISNUMBER(F7120),ISNUMBER(H7120),F7120&gt;=Inputs!$C$68),F7120*H7120*Inputs!$C$69,"")</f>
      </c>
    </row>
    <row r="7121" spans="2:10" ht="15" customHeight="1" x14ac:dyDescent="0.2">
      <c r="B7121" s="39">
        <f t="shared" si="54"/>
      </c>
      <c r="C7121" s="40">
        <f>IF(Inputs!$C$60,Inputs!$C$11+(B7121-Inputs!$C$69)/Inputs!$C$70,"")</f>
      </c>
      <c r="D7121" s="15"/>
      <c r="E7121" s="15"/>
      <c r="F7121" s="11">
        <f t="shared" si="55"/>
      </c>
      <c r="G7121" s="22" cm="1">
        <f t="array" ref="G7121">IF(AND(Inputs!$C$60,Inputs!$C$61),INDEX(Utility_Rates!$C$29:$F$52,HOUR(C7121)+Inputs!$C$69,MATCH(INDEX(Utility_Rates!$K$6:$K$17,MONTH(C7121))&amp;IF(WEEKDAY(C7121,Inputs!$C$76)&lt;=Inputs!$C$74," weekday"," weekend"),Utility_Rates!$C$28:$F$28,Inputs!$C$68)),"")</f>
      </c>
      <c r="H7121" s="34"/>
      <c r="I7121" s="42">
        <f>IF(AND(ISNUMBER(D7121),ISNUMBER(H7121)),D7121*H7121*Inputs!$C$69,"")</f>
      </c>
      <c r="J7121" s="42">
        <f>IF(AND(ISNUMBER(F7121),ISNUMBER(H7121),F7121&gt;=Inputs!$C$68),F7121*H7121*Inputs!$C$69,"")</f>
      </c>
    </row>
    <row r="7122" spans="2:10" ht="15" customHeight="1" x14ac:dyDescent="0.2">
      <c r="B7122" s="39">
        <f t="shared" si="54"/>
      </c>
      <c r="C7122" s="40">
        <f>IF(Inputs!$C$60,Inputs!$C$11+(B7122-Inputs!$C$69)/Inputs!$C$70,"")</f>
      </c>
      <c r="D7122" s="15"/>
      <c r="E7122" s="15"/>
      <c r="F7122" s="11">
        <f t="shared" si="55"/>
      </c>
      <c r="G7122" s="22" cm="1">
        <f t="array" ref="G7122">IF(AND(Inputs!$C$60,Inputs!$C$61),INDEX(Utility_Rates!$C$29:$F$52,HOUR(C7122)+Inputs!$C$69,MATCH(INDEX(Utility_Rates!$K$6:$K$17,MONTH(C7122))&amp;IF(WEEKDAY(C7122,Inputs!$C$76)&lt;=Inputs!$C$74," weekday"," weekend"),Utility_Rates!$C$28:$F$28,Inputs!$C$68)),"")</f>
      </c>
      <c r="H7122" s="34"/>
      <c r="I7122" s="42">
        <f>IF(AND(ISNUMBER(D7122),ISNUMBER(H7122)),D7122*H7122*Inputs!$C$69,"")</f>
      </c>
      <c r="J7122" s="42">
        <f>IF(AND(ISNUMBER(F7122),ISNUMBER(H7122),F7122&gt;=Inputs!$C$68),F7122*H7122*Inputs!$C$69,"")</f>
      </c>
    </row>
    <row r="7123" spans="2:10" ht="15" customHeight="1" x14ac:dyDescent="0.2">
      <c r="B7123" s="39">
        <f t="shared" si="54"/>
      </c>
      <c r="C7123" s="40">
        <f>IF(Inputs!$C$60,Inputs!$C$11+(B7123-Inputs!$C$69)/Inputs!$C$70,"")</f>
      </c>
      <c r="D7123" s="15"/>
      <c r="E7123" s="15"/>
      <c r="F7123" s="11">
        <f t="shared" si="55"/>
      </c>
      <c r="G7123" s="22" cm="1">
        <f t="array" ref="G7123">IF(AND(Inputs!$C$60,Inputs!$C$61),INDEX(Utility_Rates!$C$29:$F$52,HOUR(C7123)+Inputs!$C$69,MATCH(INDEX(Utility_Rates!$K$6:$K$17,MONTH(C7123))&amp;IF(WEEKDAY(C7123,Inputs!$C$76)&lt;=Inputs!$C$74," weekday"," weekend"),Utility_Rates!$C$28:$F$28,Inputs!$C$68)),"")</f>
      </c>
      <c r="H7123" s="34"/>
      <c r="I7123" s="42">
        <f>IF(AND(ISNUMBER(D7123),ISNUMBER(H7123)),D7123*H7123*Inputs!$C$69,"")</f>
      </c>
      <c r="J7123" s="42">
        <f>IF(AND(ISNUMBER(F7123),ISNUMBER(H7123),F7123&gt;=Inputs!$C$68),F7123*H7123*Inputs!$C$69,"")</f>
      </c>
    </row>
    <row r="7124" spans="2:10" ht="15" customHeight="1" x14ac:dyDescent="0.2">
      <c r="B7124" s="39">
        <f t="shared" si="54"/>
      </c>
      <c r="C7124" s="40">
        <f>IF(Inputs!$C$60,Inputs!$C$11+(B7124-Inputs!$C$69)/Inputs!$C$70,"")</f>
      </c>
      <c r="D7124" s="15"/>
      <c r="E7124" s="15"/>
      <c r="F7124" s="11">
        <f t="shared" si="55"/>
      </c>
      <c r="G7124" s="22" cm="1">
        <f t="array" ref="G7124">IF(AND(Inputs!$C$60,Inputs!$C$61),INDEX(Utility_Rates!$C$29:$F$52,HOUR(C7124)+Inputs!$C$69,MATCH(INDEX(Utility_Rates!$K$6:$K$17,MONTH(C7124))&amp;IF(WEEKDAY(C7124,Inputs!$C$76)&lt;=Inputs!$C$74," weekday"," weekend"),Utility_Rates!$C$28:$F$28,Inputs!$C$68)),"")</f>
      </c>
      <c r="H7124" s="34"/>
      <c r="I7124" s="42">
        <f>IF(AND(ISNUMBER(D7124),ISNUMBER(H7124)),D7124*H7124*Inputs!$C$69,"")</f>
      </c>
      <c r="J7124" s="42">
        <f>IF(AND(ISNUMBER(F7124),ISNUMBER(H7124),F7124&gt;=Inputs!$C$68),F7124*H7124*Inputs!$C$69,"")</f>
      </c>
    </row>
    <row r="7125" spans="2:10" ht="15" customHeight="1" x14ac:dyDescent="0.2">
      <c r="B7125" s="39">
        <f t="shared" si="54"/>
      </c>
      <c r="C7125" s="40">
        <f>IF(Inputs!$C$60,Inputs!$C$11+(B7125-Inputs!$C$69)/Inputs!$C$70,"")</f>
      </c>
      <c r="D7125" s="15"/>
      <c r="E7125" s="15"/>
      <c r="F7125" s="11">
        <f t="shared" si="55"/>
      </c>
      <c r="G7125" s="22" cm="1">
        <f t="array" ref="G7125">IF(AND(Inputs!$C$60,Inputs!$C$61),INDEX(Utility_Rates!$C$29:$F$52,HOUR(C7125)+Inputs!$C$69,MATCH(INDEX(Utility_Rates!$K$6:$K$17,MONTH(C7125))&amp;IF(WEEKDAY(C7125,Inputs!$C$76)&lt;=Inputs!$C$74," weekday"," weekend"),Utility_Rates!$C$28:$F$28,Inputs!$C$68)),"")</f>
      </c>
      <c r="H7125" s="34"/>
      <c r="I7125" s="42">
        <f>IF(AND(ISNUMBER(D7125),ISNUMBER(H7125)),D7125*H7125*Inputs!$C$69,"")</f>
      </c>
      <c r="J7125" s="42">
        <f>IF(AND(ISNUMBER(F7125),ISNUMBER(H7125),F7125&gt;=Inputs!$C$68),F7125*H7125*Inputs!$C$69,"")</f>
      </c>
    </row>
    <row r="7126" spans="2:10" ht="15" customHeight="1" x14ac:dyDescent="0.2">
      <c r="B7126" s="39">
        <f t="shared" si="54"/>
      </c>
      <c r="C7126" s="40">
        <f>IF(Inputs!$C$60,Inputs!$C$11+(B7126-Inputs!$C$69)/Inputs!$C$70,"")</f>
      </c>
      <c r="D7126" s="15"/>
      <c r="E7126" s="15"/>
      <c r="F7126" s="11">
        <f t="shared" si="55"/>
      </c>
      <c r="G7126" s="22" cm="1">
        <f t="array" ref="G7126">IF(AND(Inputs!$C$60,Inputs!$C$61),INDEX(Utility_Rates!$C$29:$F$52,HOUR(C7126)+Inputs!$C$69,MATCH(INDEX(Utility_Rates!$K$6:$K$17,MONTH(C7126))&amp;IF(WEEKDAY(C7126,Inputs!$C$76)&lt;=Inputs!$C$74," weekday"," weekend"),Utility_Rates!$C$28:$F$28,Inputs!$C$68)),"")</f>
      </c>
      <c r="H7126" s="34"/>
      <c r="I7126" s="42">
        <f>IF(AND(ISNUMBER(D7126),ISNUMBER(H7126)),D7126*H7126*Inputs!$C$69,"")</f>
      </c>
      <c r="J7126" s="42">
        <f>IF(AND(ISNUMBER(F7126),ISNUMBER(H7126),F7126&gt;=Inputs!$C$68),F7126*H7126*Inputs!$C$69,"")</f>
      </c>
    </row>
    <row r="7127" spans="2:10" ht="15" customHeight="1" x14ac:dyDescent="0.2">
      <c r="B7127" s="39">
        <f t="shared" si="54"/>
      </c>
      <c r="C7127" s="40">
        <f>IF(Inputs!$C$60,Inputs!$C$11+(B7127-Inputs!$C$69)/Inputs!$C$70,"")</f>
      </c>
      <c r="D7127" s="15"/>
      <c r="E7127" s="15"/>
      <c r="F7127" s="11">
        <f t="shared" si="55"/>
      </c>
      <c r="G7127" s="22" cm="1">
        <f t="array" ref="G7127">IF(AND(Inputs!$C$60,Inputs!$C$61),INDEX(Utility_Rates!$C$29:$F$52,HOUR(C7127)+Inputs!$C$69,MATCH(INDEX(Utility_Rates!$K$6:$K$17,MONTH(C7127))&amp;IF(WEEKDAY(C7127,Inputs!$C$76)&lt;=Inputs!$C$74," weekday"," weekend"),Utility_Rates!$C$28:$F$28,Inputs!$C$68)),"")</f>
      </c>
      <c r="H7127" s="34"/>
      <c r="I7127" s="42">
        <f>IF(AND(ISNUMBER(D7127),ISNUMBER(H7127)),D7127*H7127*Inputs!$C$69,"")</f>
      </c>
      <c r="J7127" s="42">
        <f>IF(AND(ISNUMBER(F7127),ISNUMBER(H7127),F7127&gt;=Inputs!$C$68),F7127*H7127*Inputs!$C$69,"")</f>
      </c>
    </row>
    <row r="7128" spans="2:10" ht="15" customHeight="1" x14ac:dyDescent="0.2">
      <c r="B7128" s="39">
        <f t="shared" si="54"/>
      </c>
      <c r="C7128" s="40">
        <f>IF(Inputs!$C$60,Inputs!$C$11+(B7128-Inputs!$C$69)/Inputs!$C$70,"")</f>
      </c>
      <c r="D7128" s="15"/>
      <c r="E7128" s="15"/>
      <c r="F7128" s="11">
        <f t="shared" si="55"/>
      </c>
      <c r="G7128" s="22" cm="1">
        <f t="array" ref="G7128">IF(AND(Inputs!$C$60,Inputs!$C$61),INDEX(Utility_Rates!$C$29:$F$52,HOUR(C7128)+Inputs!$C$69,MATCH(INDEX(Utility_Rates!$K$6:$K$17,MONTH(C7128))&amp;IF(WEEKDAY(C7128,Inputs!$C$76)&lt;=Inputs!$C$74," weekday"," weekend"),Utility_Rates!$C$28:$F$28,Inputs!$C$68)),"")</f>
      </c>
      <c r="H7128" s="34"/>
      <c r="I7128" s="42">
        <f>IF(AND(ISNUMBER(D7128),ISNUMBER(H7128)),D7128*H7128*Inputs!$C$69,"")</f>
      </c>
      <c r="J7128" s="42">
        <f>IF(AND(ISNUMBER(F7128),ISNUMBER(H7128),F7128&gt;=Inputs!$C$68),F7128*H7128*Inputs!$C$69,"")</f>
      </c>
    </row>
    <row r="7129" spans="2:10" ht="15" customHeight="1" x14ac:dyDescent="0.2">
      <c r="B7129" s="39">
        <f t="shared" si="54"/>
      </c>
      <c r="C7129" s="40">
        <f>IF(Inputs!$C$60,Inputs!$C$11+(B7129-Inputs!$C$69)/Inputs!$C$70,"")</f>
      </c>
      <c r="D7129" s="15"/>
      <c r="E7129" s="15"/>
      <c r="F7129" s="11">
        <f t="shared" si="55"/>
      </c>
      <c r="G7129" s="22" cm="1">
        <f t="array" ref="G7129">IF(AND(Inputs!$C$60,Inputs!$C$61),INDEX(Utility_Rates!$C$29:$F$52,HOUR(C7129)+Inputs!$C$69,MATCH(INDEX(Utility_Rates!$K$6:$K$17,MONTH(C7129))&amp;IF(WEEKDAY(C7129,Inputs!$C$76)&lt;=Inputs!$C$74," weekday"," weekend"),Utility_Rates!$C$28:$F$28,Inputs!$C$68)),"")</f>
      </c>
      <c r="H7129" s="34"/>
      <c r="I7129" s="42">
        <f>IF(AND(ISNUMBER(D7129),ISNUMBER(H7129)),D7129*H7129*Inputs!$C$69,"")</f>
      </c>
      <c r="J7129" s="42">
        <f>IF(AND(ISNUMBER(F7129),ISNUMBER(H7129),F7129&gt;=Inputs!$C$68),F7129*H7129*Inputs!$C$69,"")</f>
      </c>
    </row>
    <row r="7130" spans="2:10" ht="15" customHeight="1" x14ac:dyDescent="0.2">
      <c r="B7130" s="39">
        <f t="shared" si="54"/>
      </c>
      <c r="C7130" s="40">
        <f>IF(Inputs!$C$60,Inputs!$C$11+(B7130-Inputs!$C$69)/Inputs!$C$70,"")</f>
      </c>
      <c r="D7130" s="15"/>
      <c r="E7130" s="15"/>
      <c r="F7130" s="11">
        <f t="shared" si="55"/>
      </c>
      <c r="G7130" s="22" cm="1">
        <f t="array" ref="G7130">IF(AND(Inputs!$C$60,Inputs!$C$61),INDEX(Utility_Rates!$C$29:$F$52,HOUR(C7130)+Inputs!$C$69,MATCH(INDEX(Utility_Rates!$K$6:$K$17,MONTH(C7130))&amp;IF(WEEKDAY(C7130,Inputs!$C$76)&lt;=Inputs!$C$74," weekday"," weekend"),Utility_Rates!$C$28:$F$28,Inputs!$C$68)),"")</f>
      </c>
      <c r="H7130" s="34"/>
      <c r="I7130" s="42">
        <f>IF(AND(ISNUMBER(D7130),ISNUMBER(H7130)),D7130*H7130*Inputs!$C$69,"")</f>
      </c>
      <c r="J7130" s="42">
        <f>IF(AND(ISNUMBER(F7130),ISNUMBER(H7130),F7130&gt;=Inputs!$C$68),F7130*H7130*Inputs!$C$69,"")</f>
      </c>
    </row>
    <row r="7131" spans="2:10" ht="15" customHeight="1" x14ac:dyDescent="0.2">
      <c r="B7131" s="39">
        <f t="shared" si="54"/>
      </c>
      <c r="C7131" s="40">
        <f>IF(Inputs!$C$60,Inputs!$C$11+(B7131-Inputs!$C$69)/Inputs!$C$70,"")</f>
      </c>
      <c r="D7131" s="15"/>
      <c r="E7131" s="15"/>
      <c r="F7131" s="11">
        <f t="shared" si="55"/>
      </c>
      <c r="G7131" s="22" cm="1">
        <f t="array" ref="G7131">IF(AND(Inputs!$C$60,Inputs!$C$61),INDEX(Utility_Rates!$C$29:$F$52,HOUR(C7131)+Inputs!$C$69,MATCH(INDEX(Utility_Rates!$K$6:$K$17,MONTH(C7131))&amp;IF(WEEKDAY(C7131,Inputs!$C$76)&lt;=Inputs!$C$74," weekday"," weekend"),Utility_Rates!$C$28:$F$28,Inputs!$C$68)),"")</f>
      </c>
      <c r="H7131" s="34"/>
      <c r="I7131" s="42">
        <f>IF(AND(ISNUMBER(D7131),ISNUMBER(H7131)),D7131*H7131*Inputs!$C$69,"")</f>
      </c>
      <c r="J7131" s="42">
        <f>IF(AND(ISNUMBER(F7131),ISNUMBER(H7131),F7131&gt;=Inputs!$C$68),F7131*H7131*Inputs!$C$69,"")</f>
      </c>
    </row>
    <row r="7132" spans="2:10" ht="15" customHeight="1" x14ac:dyDescent="0.2">
      <c r="B7132" s="39">
        <f t="shared" si="54"/>
      </c>
      <c r="C7132" s="40">
        <f>IF(Inputs!$C$60,Inputs!$C$11+(B7132-Inputs!$C$69)/Inputs!$C$70,"")</f>
      </c>
      <c r="D7132" s="15"/>
      <c r="E7132" s="15"/>
      <c r="F7132" s="11">
        <f t="shared" si="55"/>
      </c>
      <c r="G7132" s="22" cm="1">
        <f t="array" ref="G7132">IF(AND(Inputs!$C$60,Inputs!$C$61),INDEX(Utility_Rates!$C$29:$F$52,HOUR(C7132)+Inputs!$C$69,MATCH(INDEX(Utility_Rates!$K$6:$K$17,MONTH(C7132))&amp;IF(WEEKDAY(C7132,Inputs!$C$76)&lt;=Inputs!$C$74," weekday"," weekend"),Utility_Rates!$C$28:$F$28,Inputs!$C$68)),"")</f>
      </c>
      <c r="H7132" s="34"/>
      <c r="I7132" s="42">
        <f>IF(AND(ISNUMBER(D7132),ISNUMBER(H7132)),D7132*H7132*Inputs!$C$69,"")</f>
      </c>
      <c r="J7132" s="42">
        <f>IF(AND(ISNUMBER(F7132),ISNUMBER(H7132),F7132&gt;=Inputs!$C$68),F7132*H7132*Inputs!$C$69,"")</f>
      </c>
    </row>
    <row r="7133" spans="2:10" ht="15" customHeight="1" x14ac:dyDescent="0.2">
      <c r="B7133" s="39">
        <f t="shared" si="54"/>
      </c>
      <c r="C7133" s="40">
        <f>IF(Inputs!$C$60,Inputs!$C$11+(B7133-Inputs!$C$69)/Inputs!$C$70,"")</f>
      </c>
      <c r="D7133" s="15"/>
      <c r="E7133" s="15"/>
      <c r="F7133" s="11">
        <f t="shared" si="55"/>
      </c>
      <c r="G7133" s="22" cm="1">
        <f t="array" ref="G7133">IF(AND(Inputs!$C$60,Inputs!$C$61),INDEX(Utility_Rates!$C$29:$F$52,HOUR(C7133)+Inputs!$C$69,MATCH(INDEX(Utility_Rates!$K$6:$K$17,MONTH(C7133))&amp;IF(WEEKDAY(C7133,Inputs!$C$76)&lt;=Inputs!$C$74," weekday"," weekend"),Utility_Rates!$C$28:$F$28,Inputs!$C$68)),"")</f>
      </c>
      <c r="H7133" s="34"/>
      <c r="I7133" s="42">
        <f>IF(AND(ISNUMBER(D7133),ISNUMBER(H7133)),D7133*H7133*Inputs!$C$69,"")</f>
      </c>
      <c r="J7133" s="42">
        <f>IF(AND(ISNUMBER(F7133),ISNUMBER(H7133),F7133&gt;=Inputs!$C$68),F7133*H7133*Inputs!$C$69,"")</f>
      </c>
    </row>
    <row r="7134" spans="2:10" ht="15" customHeight="1" x14ac:dyDescent="0.2">
      <c r="B7134" s="39">
        <f t="shared" si="54"/>
      </c>
      <c r="C7134" s="40">
        <f>IF(Inputs!$C$60,Inputs!$C$11+(B7134-Inputs!$C$69)/Inputs!$C$70,"")</f>
      </c>
      <c r="D7134" s="15"/>
      <c r="E7134" s="15"/>
      <c r="F7134" s="11">
        <f t="shared" si="55"/>
      </c>
      <c r="G7134" s="22" cm="1">
        <f t="array" ref="G7134">IF(AND(Inputs!$C$60,Inputs!$C$61),INDEX(Utility_Rates!$C$29:$F$52,HOUR(C7134)+Inputs!$C$69,MATCH(INDEX(Utility_Rates!$K$6:$K$17,MONTH(C7134))&amp;IF(WEEKDAY(C7134,Inputs!$C$76)&lt;=Inputs!$C$74," weekday"," weekend"),Utility_Rates!$C$28:$F$28,Inputs!$C$68)),"")</f>
      </c>
      <c r="H7134" s="34"/>
      <c r="I7134" s="42">
        <f>IF(AND(ISNUMBER(D7134),ISNUMBER(H7134)),D7134*H7134*Inputs!$C$69,"")</f>
      </c>
      <c r="J7134" s="42">
        <f>IF(AND(ISNUMBER(F7134),ISNUMBER(H7134),F7134&gt;=Inputs!$C$68),F7134*H7134*Inputs!$C$69,"")</f>
      </c>
    </row>
    <row r="7135" spans="2:10" ht="15" customHeight="1" x14ac:dyDescent="0.2">
      <c r="B7135" s="39">
        <f t="shared" si="54"/>
      </c>
      <c r="C7135" s="40">
        <f>IF(Inputs!$C$60,Inputs!$C$11+(B7135-Inputs!$C$69)/Inputs!$C$70,"")</f>
      </c>
      <c r="D7135" s="15"/>
      <c r="E7135" s="15"/>
      <c r="F7135" s="11">
        <f t="shared" si="55"/>
      </c>
      <c r="G7135" s="22" cm="1">
        <f t="array" ref="G7135">IF(AND(Inputs!$C$60,Inputs!$C$61),INDEX(Utility_Rates!$C$29:$F$52,HOUR(C7135)+Inputs!$C$69,MATCH(INDEX(Utility_Rates!$K$6:$K$17,MONTH(C7135))&amp;IF(WEEKDAY(C7135,Inputs!$C$76)&lt;=Inputs!$C$74," weekday"," weekend"),Utility_Rates!$C$28:$F$28,Inputs!$C$68)),"")</f>
      </c>
      <c r="H7135" s="34"/>
      <c r="I7135" s="42">
        <f>IF(AND(ISNUMBER(D7135),ISNUMBER(H7135)),D7135*H7135*Inputs!$C$69,"")</f>
      </c>
      <c r="J7135" s="42">
        <f>IF(AND(ISNUMBER(F7135),ISNUMBER(H7135),F7135&gt;=Inputs!$C$68),F7135*H7135*Inputs!$C$69,"")</f>
      </c>
    </row>
    <row r="7136" spans="2:10" ht="15" customHeight="1" x14ac:dyDescent="0.2">
      <c r="B7136" s="39">
        <f t="shared" si="54"/>
      </c>
      <c r="C7136" s="40">
        <f>IF(Inputs!$C$60,Inputs!$C$11+(B7136-Inputs!$C$69)/Inputs!$C$70,"")</f>
      </c>
      <c r="D7136" s="15"/>
      <c r="E7136" s="15"/>
      <c r="F7136" s="11">
        <f t="shared" si="55"/>
      </c>
      <c r="G7136" s="22" cm="1">
        <f t="array" ref="G7136">IF(AND(Inputs!$C$60,Inputs!$C$61),INDEX(Utility_Rates!$C$29:$F$52,HOUR(C7136)+Inputs!$C$69,MATCH(INDEX(Utility_Rates!$K$6:$K$17,MONTH(C7136))&amp;IF(WEEKDAY(C7136,Inputs!$C$76)&lt;=Inputs!$C$74," weekday"," weekend"),Utility_Rates!$C$28:$F$28,Inputs!$C$68)),"")</f>
      </c>
      <c r="H7136" s="34"/>
      <c r="I7136" s="42">
        <f>IF(AND(ISNUMBER(D7136),ISNUMBER(H7136)),D7136*H7136*Inputs!$C$69,"")</f>
      </c>
      <c r="J7136" s="42">
        <f>IF(AND(ISNUMBER(F7136),ISNUMBER(H7136),F7136&gt;=Inputs!$C$68),F7136*H7136*Inputs!$C$69,"")</f>
      </c>
    </row>
    <row r="7137" spans="2:10" ht="15" customHeight="1" x14ac:dyDescent="0.2">
      <c r="B7137" s="39">
        <f t="shared" si="54"/>
      </c>
      <c r="C7137" s="40">
        <f>IF(Inputs!$C$60,Inputs!$C$11+(B7137-Inputs!$C$69)/Inputs!$C$70,"")</f>
      </c>
      <c r="D7137" s="15"/>
      <c r="E7137" s="15"/>
      <c r="F7137" s="11">
        <f t="shared" si="55"/>
      </c>
      <c r="G7137" s="22" cm="1">
        <f t="array" ref="G7137">IF(AND(Inputs!$C$60,Inputs!$C$61),INDEX(Utility_Rates!$C$29:$F$52,HOUR(C7137)+Inputs!$C$69,MATCH(INDEX(Utility_Rates!$K$6:$K$17,MONTH(C7137))&amp;IF(WEEKDAY(C7137,Inputs!$C$76)&lt;=Inputs!$C$74," weekday"," weekend"),Utility_Rates!$C$28:$F$28,Inputs!$C$68)),"")</f>
      </c>
      <c r="H7137" s="34"/>
      <c r="I7137" s="42">
        <f>IF(AND(ISNUMBER(D7137),ISNUMBER(H7137)),D7137*H7137*Inputs!$C$69,"")</f>
      </c>
      <c r="J7137" s="42">
        <f>IF(AND(ISNUMBER(F7137),ISNUMBER(H7137),F7137&gt;=Inputs!$C$68),F7137*H7137*Inputs!$C$69,"")</f>
      </c>
    </row>
    <row r="7138" spans="2:10" ht="15" customHeight="1" x14ac:dyDescent="0.2">
      <c r="B7138" s="39">
        <f t="shared" si="54"/>
      </c>
      <c r="C7138" s="40">
        <f>IF(Inputs!$C$60,Inputs!$C$11+(B7138-Inputs!$C$69)/Inputs!$C$70,"")</f>
      </c>
      <c r="D7138" s="15"/>
      <c r="E7138" s="15"/>
      <c r="F7138" s="11">
        <f t="shared" si="55"/>
      </c>
      <c r="G7138" s="22" cm="1">
        <f t="array" ref="G7138">IF(AND(Inputs!$C$60,Inputs!$C$61),INDEX(Utility_Rates!$C$29:$F$52,HOUR(C7138)+Inputs!$C$69,MATCH(INDEX(Utility_Rates!$K$6:$K$17,MONTH(C7138))&amp;IF(WEEKDAY(C7138,Inputs!$C$76)&lt;=Inputs!$C$74," weekday"," weekend"),Utility_Rates!$C$28:$F$28,Inputs!$C$68)),"")</f>
      </c>
      <c r="H7138" s="34"/>
      <c r="I7138" s="42">
        <f>IF(AND(ISNUMBER(D7138),ISNUMBER(H7138)),D7138*H7138*Inputs!$C$69,"")</f>
      </c>
      <c r="J7138" s="42">
        <f>IF(AND(ISNUMBER(F7138),ISNUMBER(H7138),F7138&gt;=Inputs!$C$68),F7138*H7138*Inputs!$C$69,"")</f>
      </c>
    </row>
    <row r="7139" spans="2:10" ht="15" customHeight="1" x14ac:dyDescent="0.2">
      <c r="B7139" s="39">
        <f t="shared" si="54"/>
      </c>
      <c r="C7139" s="40">
        <f>IF(Inputs!$C$60,Inputs!$C$11+(B7139-Inputs!$C$69)/Inputs!$C$70,"")</f>
      </c>
      <c r="D7139" s="15"/>
      <c r="E7139" s="15"/>
      <c r="F7139" s="11">
        <f t="shared" si="55"/>
      </c>
      <c r="G7139" s="22" cm="1">
        <f t="array" ref="G7139">IF(AND(Inputs!$C$60,Inputs!$C$61),INDEX(Utility_Rates!$C$29:$F$52,HOUR(C7139)+Inputs!$C$69,MATCH(INDEX(Utility_Rates!$K$6:$K$17,MONTH(C7139))&amp;IF(WEEKDAY(C7139,Inputs!$C$76)&lt;=Inputs!$C$74," weekday"," weekend"),Utility_Rates!$C$28:$F$28,Inputs!$C$68)),"")</f>
      </c>
      <c r="H7139" s="34"/>
      <c r="I7139" s="42">
        <f>IF(AND(ISNUMBER(D7139),ISNUMBER(H7139)),D7139*H7139*Inputs!$C$69,"")</f>
      </c>
      <c r="J7139" s="42">
        <f>IF(AND(ISNUMBER(F7139),ISNUMBER(H7139),F7139&gt;=Inputs!$C$68),F7139*H7139*Inputs!$C$69,"")</f>
      </c>
    </row>
    <row r="7140" spans="2:10" ht="15" customHeight="1" x14ac:dyDescent="0.2">
      <c r="B7140" s="39">
        <f t="shared" si="54"/>
      </c>
      <c r="C7140" s="40">
        <f>IF(Inputs!$C$60,Inputs!$C$11+(B7140-Inputs!$C$69)/Inputs!$C$70,"")</f>
      </c>
      <c r="D7140" s="15"/>
      <c r="E7140" s="15"/>
      <c r="F7140" s="11">
        <f t="shared" si="55"/>
      </c>
      <c r="G7140" s="22" cm="1">
        <f t="array" ref="G7140">IF(AND(Inputs!$C$60,Inputs!$C$61),INDEX(Utility_Rates!$C$29:$F$52,HOUR(C7140)+Inputs!$C$69,MATCH(INDEX(Utility_Rates!$K$6:$K$17,MONTH(C7140))&amp;IF(WEEKDAY(C7140,Inputs!$C$76)&lt;=Inputs!$C$74," weekday"," weekend"),Utility_Rates!$C$28:$F$28,Inputs!$C$68)),"")</f>
      </c>
      <c r="H7140" s="34"/>
      <c r="I7140" s="42">
        <f>IF(AND(ISNUMBER(D7140),ISNUMBER(H7140)),D7140*H7140*Inputs!$C$69,"")</f>
      </c>
      <c r="J7140" s="42">
        <f>IF(AND(ISNUMBER(F7140),ISNUMBER(H7140),F7140&gt;=Inputs!$C$68),F7140*H7140*Inputs!$C$69,"")</f>
      </c>
    </row>
    <row r="7141" spans="2:10" ht="15" customHeight="1" x14ac:dyDescent="0.2">
      <c r="B7141" s="39">
        <f t="shared" si="54"/>
      </c>
      <c r="C7141" s="40">
        <f>IF(Inputs!$C$60,Inputs!$C$11+(B7141-Inputs!$C$69)/Inputs!$C$70,"")</f>
      </c>
      <c r="D7141" s="15"/>
      <c r="E7141" s="15"/>
      <c r="F7141" s="11">
        <f t="shared" si="55"/>
      </c>
      <c r="G7141" s="22" cm="1">
        <f t="array" ref="G7141">IF(AND(Inputs!$C$60,Inputs!$C$61),INDEX(Utility_Rates!$C$29:$F$52,HOUR(C7141)+Inputs!$C$69,MATCH(INDEX(Utility_Rates!$K$6:$K$17,MONTH(C7141))&amp;IF(WEEKDAY(C7141,Inputs!$C$76)&lt;=Inputs!$C$74," weekday"," weekend"),Utility_Rates!$C$28:$F$28,Inputs!$C$68)),"")</f>
      </c>
      <c r="H7141" s="34"/>
      <c r="I7141" s="42">
        <f>IF(AND(ISNUMBER(D7141),ISNUMBER(H7141)),D7141*H7141*Inputs!$C$69,"")</f>
      </c>
      <c r="J7141" s="42">
        <f>IF(AND(ISNUMBER(F7141),ISNUMBER(H7141),F7141&gt;=Inputs!$C$68),F7141*H7141*Inputs!$C$69,"")</f>
      </c>
    </row>
    <row r="7142" spans="2:10" ht="15" customHeight="1" x14ac:dyDescent="0.2">
      <c r="B7142" s="39">
        <f t="shared" si="54"/>
      </c>
      <c r="C7142" s="40">
        <f>IF(Inputs!$C$60,Inputs!$C$11+(B7142-Inputs!$C$69)/Inputs!$C$70,"")</f>
      </c>
      <c r="D7142" s="15"/>
      <c r="E7142" s="15"/>
      <c r="F7142" s="11">
        <f t="shared" si="55"/>
      </c>
      <c r="G7142" s="22" cm="1">
        <f t="array" ref="G7142">IF(AND(Inputs!$C$60,Inputs!$C$61),INDEX(Utility_Rates!$C$29:$F$52,HOUR(C7142)+Inputs!$C$69,MATCH(INDEX(Utility_Rates!$K$6:$K$17,MONTH(C7142))&amp;IF(WEEKDAY(C7142,Inputs!$C$76)&lt;=Inputs!$C$74," weekday"," weekend"),Utility_Rates!$C$28:$F$28,Inputs!$C$68)),"")</f>
      </c>
      <c r="H7142" s="34"/>
      <c r="I7142" s="42">
        <f>IF(AND(ISNUMBER(D7142),ISNUMBER(H7142)),D7142*H7142*Inputs!$C$69,"")</f>
      </c>
      <c r="J7142" s="42">
        <f>IF(AND(ISNUMBER(F7142),ISNUMBER(H7142),F7142&gt;=Inputs!$C$68),F7142*H7142*Inputs!$C$69,"")</f>
      </c>
    </row>
    <row r="7143" spans="2:10" ht="15" customHeight="1" x14ac:dyDescent="0.2">
      <c r="B7143" s="39">
        <f t="shared" si="54"/>
      </c>
      <c r="C7143" s="40">
        <f>IF(Inputs!$C$60,Inputs!$C$11+(B7143-Inputs!$C$69)/Inputs!$C$70,"")</f>
      </c>
      <c r="D7143" s="15"/>
      <c r="E7143" s="15"/>
      <c r="F7143" s="11">
        <f t="shared" si="55"/>
      </c>
      <c r="G7143" s="22" cm="1">
        <f t="array" ref="G7143">IF(AND(Inputs!$C$60,Inputs!$C$61),INDEX(Utility_Rates!$C$29:$F$52,HOUR(C7143)+Inputs!$C$69,MATCH(INDEX(Utility_Rates!$K$6:$K$17,MONTH(C7143))&amp;IF(WEEKDAY(C7143,Inputs!$C$76)&lt;=Inputs!$C$74," weekday"," weekend"),Utility_Rates!$C$28:$F$28,Inputs!$C$68)),"")</f>
      </c>
      <c r="H7143" s="34"/>
      <c r="I7143" s="42">
        <f>IF(AND(ISNUMBER(D7143),ISNUMBER(H7143)),D7143*H7143*Inputs!$C$69,"")</f>
      </c>
      <c r="J7143" s="42">
        <f>IF(AND(ISNUMBER(F7143),ISNUMBER(H7143),F7143&gt;=Inputs!$C$68),F7143*H7143*Inputs!$C$69,"")</f>
      </c>
    </row>
    <row r="7144" spans="2:10" ht="15" customHeight="1" x14ac:dyDescent="0.2">
      <c r="B7144" s="39">
        <f t="shared" si="54"/>
      </c>
      <c r="C7144" s="40">
        <f>IF(Inputs!$C$60,Inputs!$C$11+(B7144-Inputs!$C$69)/Inputs!$C$70,"")</f>
      </c>
      <c r="D7144" s="15"/>
      <c r="E7144" s="15"/>
      <c r="F7144" s="11">
        <f t="shared" si="55"/>
      </c>
      <c r="G7144" s="22" cm="1">
        <f t="array" ref="G7144">IF(AND(Inputs!$C$60,Inputs!$C$61),INDEX(Utility_Rates!$C$29:$F$52,HOUR(C7144)+Inputs!$C$69,MATCH(INDEX(Utility_Rates!$K$6:$K$17,MONTH(C7144))&amp;IF(WEEKDAY(C7144,Inputs!$C$76)&lt;=Inputs!$C$74," weekday"," weekend"),Utility_Rates!$C$28:$F$28,Inputs!$C$68)),"")</f>
      </c>
      <c r="H7144" s="34"/>
      <c r="I7144" s="42">
        <f>IF(AND(ISNUMBER(D7144),ISNUMBER(H7144)),D7144*H7144*Inputs!$C$69,"")</f>
      </c>
      <c r="J7144" s="42">
        <f>IF(AND(ISNUMBER(F7144),ISNUMBER(H7144),F7144&gt;=Inputs!$C$68),F7144*H7144*Inputs!$C$69,"")</f>
      </c>
    </row>
    <row r="7145" spans="2:10" ht="15" customHeight="1" x14ac:dyDescent="0.2">
      <c r="B7145" s="39">
        <f t="shared" si="54"/>
      </c>
      <c r="C7145" s="40">
        <f>IF(Inputs!$C$60,Inputs!$C$11+(B7145-Inputs!$C$69)/Inputs!$C$70,"")</f>
      </c>
      <c r="D7145" s="15"/>
      <c r="E7145" s="15"/>
      <c r="F7145" s="11">
        <f t="shared" si="55"/>
      </c>
      <c r="G7145" s="22" cm="1">
        <f t="array" ref="G7145">IF(AND(Inputs!$C$60,Inputs!$C$61),INDEX(Utility_Rates!$C$29:$F$52,HOUR(C7145)+Inputs!$C$69,MATCH(INDEX(Utility_Rates!$K$6:$K$17,MONTH(C7145))&amp;IF(WEEKDAY(C7145,Inputs!$C$76)&lt;=Inputs!$C$74," weekday"," weekend"),Utility_Rates!$C$28:$F$28,Inputs!$C$68)),"")</f>
      </c>
      <c r="H7145" s="34"/>
      <c r="I7145" s="42">
        <f>IF(AND(ISNUMBER(D7145),ISNUMBER(H7145)),D7145*H7145*Inputs!$C$69,"")</f>
      </c>
      <c r="J7145" s="42">
        <f>IF(AND(ISNUMBER(F7145),ISNUMBER(H7145),F7145&gt;=Inputs!$C$68),F7145*H7145*Inputs!$C$69,"")</f>
      </c>
    </row>
    <row r="7146" spans="2:10" ht="15" customHeight="1" x14ac:dyDescent="0.2">
      <c r="B7146" s="39">
        <f t="shared" ref="B7146:B7400" si="56">ROW()-ROW($B$5)</f>
      </c>
      <c r="C7146" s="40">
        <f>IF(Inputs!$C$60,Inputs!$C$11+(B7146-Inputs!$C$69)/Inputs!$C$70,"")</f>
      </c>
      <c r="D7146" s="15"/>
      <c r="E7146" s="15"/>
      <c r="F7146" s="11">
        <f t="shared" ref="F7146:F7400" si="57">IF(COUNT(D7146:E7146)=COLUMNS(D7146:E7146),D7146-E7146,"")</f>
      </c>
      <c r="G7146" s="22" cm="1">
        <f t="array" ref="G7146">IF(AND(Inputs!$C$60,Inputs!$C$61),INDEX(Utility_Rates!$C$29:$F$52,HOUR(C7146)+Inputs!$C$69,MATCH(INDEX(Utility_Rates!$K$6:$K$17,MONTH(C7146))&amp;IF(WEEKDAY(C7146,Inputs!$C$76)&lt;=Inputs!$C$74," weekday"," weekend"),Utility_Rates!$C$28:$F$28,Inputs!$C$68)),"")</f>
      </c>
      <c r="H7146" s="34"/>
      <c r="I7146" s="42">
        <f>IF(AND(ISNUMBER(D7146),ISNUMBER(H7146)),D7146*H7146*Inputs!$C$69,"")</f>
      </c>
      <c r="J7146" s="42">
        <f>IF(AND(ISNUMBER(F7146),ISNUMBER(H7146),F7146&gt;=Inputs!$C$68),F7146*H7146*Inputs!$C$69,"")</f>
      </c>
    </row>
    <row r="7147" spans="2:10" ht="15" customHeight="1" x14ac:dyDescent="0.2">
      <c r="B7147" s="39">
        <f t="shared" si="56"/>
      </c>
      <c r="C7147" s="40">
        <f>IF(Inputs!$C$60,Inputs!$C$11+(B7147-Inputs!$C$69)/Inputs!$C$70,"")</f>
      </c>
      <c r="D7147" s="15"/>
      <c r="E7147" s="15"/>
      <c r="F7147" s="11">
        <f t="shared" si="57"/>
      </c>
      <c r="G7147" s="22" cm="1">
        <f t="array" ref="G7147">IF(AND(Inputs!$C$60,Inputs!$C$61),INDEX(Utility_Rates!$C$29:$F$52,HOUR(C7147)+Inputs!$C$69,MATCH(INDEX(Utility_Rates!$K$6:$K$17,MONTH(C7147))&amp;IF(WEEKDAY(C7147,Inputs!$C$76)&lt;=Inputs!$C$74," weekday"," weekend"),Utility_Rates!$C$28:$F$28,Inputs!$C$68)),"")</f>
      </c>
      <c r="H7147" s="34"/>
      <c r="I7147" s="42">
        <f>IF(AND(ISNUMBER(D7147),ISNUMBER(H7147)),D7147*H7147*Inputs!$C$69,"")</f>
      </c>
      <c r="J7147" s="42">
        <f>IF(AND(ISNUMBER(F7147),ISNUMBER(H7147),F7147&gt;=Inputs!$C$68),F7147*H7147*Inputs!$C$69,"")</f>
      </c>
    </row>
    <row r="7148" spans="2:10" ht="15" customHeight="1" x14ac:dyDescent="0.2">
      <c r="B7148" s="39">
        <f t="shared" si="56"/>
      </c>
      <c r="C7148" s="40">
        <f>IF(Inputs!$C$60,Inputs!$C$11+(B7148-Inputs!$C$69)/Inputs!$C$70,"")</f>
      </c>
      <c r="D7148" s="15"/>
      <c r="E7148" s="15"/>
      <c r="F7148" s="11">
        <f t="shared" si="57"/>
      </c>
      <c r="G7148" s="22" cm="1">
        <f t="array" ref="G7148">IF(AND(Inputs!$C$60,Inputs!$C$61),INDEX(Utility_Rates!$C$29:$F$52,HOUR(C7148)+Inputs!$C$69,MATCH(INDEX(Utility_Rates!$K$6:$K$17,MONTH(C7148))&amp;IF(WEEKDAY(C7148,Inputs!$C$76)&lt;=Inputs!$C$74," weekday"," weekend"),Utility_Rates!$C$28:$F$28,Inputs!$C$68)),"")</f>
      </c>
      <c r="H7148" s="34"/>
      <c r="I7148" s="42">
        <f>IF(AND(ISNUMBER(D7148),ISNUMBER(H7148)),D7148*H7148*Inputs!$C$69,"")</f>
      </c>
      <c r="J7148" s="42">
        <f>IF(AND(ISNUMBER(F7148),ISNUMBER(H7148),F7148&gt;=Inputs!$C$68),F7148*H7148*Inputs!$C$69,"")</f>
      </c>
    </row>
    <row r="7149" spans="2:10" ht="15" customHeight="1" x14ac:dyDescent="0.2">
      <c r="B7149" s="39">
        <f t="shared" si="56"/>
      </c>
      <c r="C7149" s="40">
        <f>IF(Inputs!$C$60,Inputs!$C$11+(B7149-Inputs!$C$69)/Inputs!$C$70,"")</f>
      </c>
      <c r="D7149" s="15"/>
      <c r="E7149" s="15"/>
      <c r="F7149" s="11">
        <f t="shared" si="57"/>
      </c>
      <c r="G7149" s="22" cm="1">
        <f t="array" ref="G7149">IF(AND(Inputs!$C$60,Inputs!$C$61),INDEX(Utility_Rates!$C$29:$F$52,HOUR(C7149)+Inputs!$C$69,MATCH(INDEX(Utility_Rates!$K$6:$K$17,MONTH(C7149))&amp;IF(WEEKDAY(C7149,Inputs!$C$76)&lt;=Inputs!$C$74," weekday"," weekend"),Utility_Rates!$C$28:$F$28,Inputs!$C$68)),"")</f>
      </c>
      <c r="H7149" s="34"/>
      <c r="I7149" s="42">
        <f>IF(AND(ISNUMBER(D7149),ISNUMBER(H7149)),D7149*H7149*Inputs!$C$69,"")</f>
      </c>
      <c r="J7149" s="42">
        <f>IF(AND(ISNUMBER(F7149),ISNUMBER(H7149),F7149&gt;=Inputs!$C$68),F7149*H7149*Inputs!$C$69,"")</f>
      </c>
    </row>
    <row r="7150" spans="2:10" ht="15" customHeight="1" x14ac:dyDescent="0.2">
      <c r="B7150" s="39">
        <f t="shared" si="56"/>
      </c>
      <c r="C7150" s="40">
        <f>IF(Inputs!$C$60,Inputs!$C$11+(B7150-Inputs!$C$69)/Inputs!$C$70,"")</f>
      </c>
      <c r="D7150" s="15"/>
      <c r="E7150" s="15"/>
      <c r="F7150" s="11">
        <f t="shared" si="57"/>
      </c>
      <c r="G7150" s="22" cm="1">
        <f t="array" ref="G7150">IF(AND(Inputs!$C$60,Inputs!$C$61),INDEX(Utility_Rates!$C$29:$F$52,HOUR(C7150)+Inputs!$C$69,MATCH(INDEX(Utility_Rates!$K$6:$K$17,MONTH(C7150))&amp;IF(WEEKDAY(C7150,Inputs!$C$76)&lt;=Inputs!$C$74," weekday"," weekend"),Utility_Rates!$C$28:$F$28,Inputs!$C$68)),"")</f>
      </c>
      <c r="H7150" s="34"/>
      <c r="I7150" s="42">
        <f>IF(AND(ISNUMBER(D7150),ISNUMBER(H7150)),D7150*H7150*Inputs!$C$69,"")</f>
      </c>
      <c r="J7150" s="42">
        <f>IF(AND(ISNUMBER(F7150),ISNUMBER(H7150),F7150&gt;=Inputs!$C$68),F7150*H7150*Inputs!$C$69,"")</f>
      </c>
    </row>
    <row r="7151" spans="2:10" ht="15" customHeight="1" x14ac:dyDescent="0.2">
      <c r="B7151" s="39">
        <f t="shared" si="56"/>
      </c>
      <c r="C7151" s="40">
        <f>IF(Inputs!$C$60,Inputs!$C$11+(B7151-Inputs!$C$69)/Inputs!$C$70,"")</f>
      </c>
      <c r="D7151" s="15"/>
      <c r="E7151" s="15"/>
      <c r="F7151" s="11">
        <f t="shared" si="57"/>
      </c>
      <c r="G7151" s="22" cm="1">
        <f t="array" ref="G7151">IF(AND(Inputs!$C$60,Inputs!$C$61),INDEX(Utility_Rates!$C$29:$F$52,HOUR(C7151)+Inputs!$C$69,MATCH(INDEX(Utility_Rates!$K$6:$K$17,MONTH(C7151))&amp;IF(WEEKDAY(C7151,Inputs!$C$76)&lt;=Inputs!$C$74," weekday"," weekend"),Utility_Rates!$C$28:$F$28,Inputs!$C$68)),"")</f>
      </c>
      <c r="H7151" s="34"/>
      <c r="I7151" s="42">
        <f>IF(AND(ISNUMBER(D7151),ISNUMBER(H7151)),D7151*H7151*Inputs!$C$69,"")</f>
      </c>
      <c r="J7151" s="42">
        <f>IF(AND(ISNUMBER(F7151),ISNUMBER(H7151),F7151&gt;=Inputs!$C$68),F7151*H7151*Inputs!$C$69,"")</f>
      </c>
    </row>
    <row r="7152" spans="2:10" ht="15" customHeight="1" x14ac:dyDescent="0.2">
      <c r="B7152" s="39">
        <f t="shared" si="56"/>
      </c>
      <c r="C7152" s="40">
        <f>IF(Inputs!$C$60,Inputs!$C$11+(B7152-Inputs!$C$69)/Inputs!$C$70,"")</f>
      </c>
      <c r="D7152" s="15"/>
      <c r="E7152" s="15"/>
      <c r="F7152" s="11">
        <f t="shared" si="57"/>
      </c>
      <c r="G7152" s="22" cm="1">
        <f t="array" ref="G7152">IF(AND(Inputs!$C$60,Inputs!$C$61),INDEX(Utility_Rates!$C$29:$F$52,HOUR(C7152)+Inputs!$C$69,MATCH(INDEX(Utility_Rates!$K$6:$K$17,MONTH(C7152))&amp;IF(WEEKDAY(C7152,Inputs!$C$76)&lt;=Inputs!$C$74," weekday"," weekend"),Utility_Rates!$C$28:$F$28,Inputs!$C$68)),"")</f>
      </c>
      <c r="H7152" s="34"/>
      <c r="I7152" s="42">
        <f>IF(AND(ISNUMBER(D7152),ISNUMBER(H7152)),D7152*H7152*Inputs!$C$69,"")</f>
      </c>
      <c r="J7152" s="42">
        <f>IF(AND(ISNUMBER(F7152),ISNUMBER(H7152),F7152&gt;=Inputs!$C$68),F7152*H7152*Inputs!$C$69,"")</f>
      </c>
    </row>
    <row r="7153" spans="2:10" ht="15" customHeight="1" x14ac:dyDescent="0.2">
      <c r="B7153" s="39">
        <f t="shared" si="56"/>
      </c>
      <c r="C7153" s="40">
        <f>IF(Inputs!$C$60,Inputs!$C$11+(B7153-Inputs!$C$69)/Inputs!$C$70,"")</f>
      </c>
      <c r="D7153" s="15"/>
      <c r="E7153" s="15"/>
      <c r="F7153" s="11">
        <f t="shared" si="57"/>
      </c>
      <c r="G7153" s="22" cm="1">
        <f t="array" ref="G7153">IF(AND(Inputs!$C$60,Inputs!$C$61),INDEX(Utility_Rates!$C$29:$F$52,HOUR(C7153)+Inputs!$C$69,MATCH(INDEX(Utility_Rates!$K$6:$K$17,MONTH(C7153))&amp;IF(WEEKDAY(C7153,Inputs!$C$76)&lt;=Inputs!$C$74," weekday"," weekend"),Utility_Rates!$C$28:$F$28,Inputs!$C$68)),"")</f>
      </c>
      <c r="H7153" s="34"/>
      <c r="I7153" s="42">
        <f>IF(AND(ISNUMBER(D7153),ISNUMBER(H7153)),D7153*H7153*Inputs!$C$69,"")</f>
      </c>
      <c r="J7153" s="42">
        <f>IF(AND(ISNUMBER(F7153),ISNUMBER(H7153),F7153&gt;=Inputs!$C$68),F7153*H7153*Inputs!$C$69,"")</f>
      </c>
    </row>
    <row r="7154" spans="2:10" ht="15" customHeight="1" x14ac:dyDescent="0.2">
      <c r="B7154" s="39">
        <f t="shared" si="56"/>
      </c>
      <c r="C7154" s="40">
        <f>IF(Inputs!$C$60,Inputs!$C$11+(B7154-Inputs!$C$69)/Inputs!$C$70,"")</f>
      </c>
      <c r="D7154" s="15"/>
      <c r="E7154" s="15"/>
      <c r="F7154" s="11">
        <f t="shared" si="57"/>
      </c>
      <c r="G7154" s="22" cm="1">
        <f t="array" ref="G7154">IF(AND(Inputs!$C$60,Inputs!$C$61),INDEX(Utility_Rates!$C$29:$F$52,HOUR(C7154)+Inputs!$C$69,MATCH(INDEX(Utility_Rates!$K$6:$K$17,MONTH(C7154))&amp;IF(WEEKDAY(C7154,Inputs!$C$76)&lt;=Inputs!$C$74," weekday"," weekend"),Utility_Rates!$C$28:$F$28,Inputs!$C$68)),"")</f>
      </c>
      <c r="H7154" s="34"/>
      <c r="I7154" s="42">
        <f>IF(AND(ISNUMBER(D7154),ISNUMBER(H7154)),D7154*H7154*Inputs!$C$69,"")</f>
      </c>
      <c r="J7154" s="42">
        <f>IF(AND(ISNUMBER(F7154),ISNUMBER(H7154),F7154&gt;=Inputs!$C$68),F7154*H7154*Inputs!$C$69,"")</f>
      </c>
    </row>
    <row r="7155" spans="2:10" ht="15" customHeight="1" x14ac:dyDescent="0.2">
      <c r="B7155" s="39">
        <f t="shared" si="56"/>
      </c>
      <c r="C7155" s="40">
        <f>IF(Inputs!$C$60,Inputs!$C$11+(B7155-Inputs!$C$69)/Inputs!$C$70,"")</f>
      </c>
      <c r="D7155" s="15"/>
      <c r="E7155" s="15"/>
      <c r="F7155" s="11">
        <f t="shared" si="57"/>
      </c>
      <c r="G7155" s="22" cm="1">
        <f t="array" ref="G7155">IF(AND(Inputs!$C$60,Inputs!$C$61),INDEX(Utility_Rates!$C$29:$F$52,HOUR(C7155)+Inputs!$C$69,MATCH(INDEX(Utility_Rates!$K$6:$K$17,MONTH(C7155))&amp;IF(WEEKDAY(C7155,Inputs!$C$76)&lt;=Inputs!$C$74," weekday"," weekend"),Utility_Rates!$C$28:$F$28,Inputs!$C$68)),"")</f>
      </c>
      <c r="H7155" s="34"/>
      <c r="I7155" s="42">
        <f>IF(AND(ISNUMBER(D7155),ISNUMBER(H7155)),D7155*H7155*Inputs!$C$69,"")</f>
      </c>
      <c r="J7155" s="42">
        <f>IF(AND(ISNUMBER(F7155),ISNUMBER(H7155),F7155&gt;=Inputs!$C$68),F7155*H7155*Inputs!$C$69,"")</f>
      </c>
    </row>
    <row r="7156" spans="2:10" ht="15" customHeight="1" x14ac:dyDescent="0.2">
      <c r="B7156" s="39">
        <f t="shared" si="56"/>
      </c>
      <c r="C7156" s="40">
        <f>IF(Inputs!$C$60,Inputs!$C$11+(B7156-Inputs!$C$69)/Inputs!$C$70,"")</f>
      </c>
      <c r="D7156" s="15"/>
      <c r="E7156" s="15"/>
      <c r="F7156" s="11">
        <f t="shared" si="57"/>
      </c>
      <c r="G7156" s="22" cm="1">
        <f t="array" ref="G7156">IF(AND(Inputs!$C$60,Inputs!$C$61),INDEX(Utility_Rates!$C$29:$F$52,HOUR(C7156)+Inputs!$C$69,MATCH(INDEX(Utility_Rates!$K$6:$K$17,MONTH(C7156))&amp;IF(WEEKDAY(C7156,Inputs!$C$76)&lt;=Inputs!$C$74," weekday"," weekend"),Utility_Rates!$C$28:$F$28,Inputs!$C$68)),"")</f>
      </c>
      <c r="H7156" s="34"/>
      <c r="I7156" s="42">
        <f>IF(AND(ISNUMBER(D7156),ISNUMBER(H7156)),D7156*H7156*Inputs!$C$69,"")</f>
      </c>
      <c r="J7156" s="42">
        <f>IF(AND(ISNUMBER(F7156),ISNUMBER(H7156),F7156&gt;=Inputs!$C$68),F7156*H7156*Inputs!$C$69,"")</f>
      </c>
    </row>
    <row r="7157" spans="2:10" ht="15" customHeight="1" x14ac:dyDescent="0.2">
      <c r="B7157" s="39">
        <f t="shared" si="56"/>
      </c>
      <c r="C7157" s="40">
        <f>IF(Inputs!$C$60,Inputs!$C$11+(B7157-Inputs!$C$69)/Inputs!$C$70,"")</f>
      </c>
      <c r="D7157" s="15"/>
      <c r="E7157" s="15"/>
      <c r="F7157" s="11">
        <f t="shared" si="57"/>
      </c>
      <c r="G7157" s="22" cm="1">
        <f t="array" ref="G7157">IF(AND(Inputs!$C$60,Inputs!$C$61),INDEX(Utility_Rates!$C$29:$F$52,HOUR(C7157)+Inputs!$C$69,MATCH(INDEX(Utility_Rates!$K$6:$K$17,MONTH(C7157))&amp;IF(WEEKDAY(C7157,Inputs!$C$76)&lt;=Inputs!$C$74," weekday"," weekend"),Utility_Rates!$C$28:$F$28,Inputs!$C$68)),"")</f>
      </c>
      <c r="H7157" s="34"/>
      <c r="I7157" s="42">
        <f>IF(AND(ISNUMBER(D7157),ISNUMBER(H7157)),D7157*H7157*Inputs!$C$69,"")</f>
      </c>
      <c r="J7157" s="42">
        <f>IF(AND(ISNUMBER(F7157),ISNUMBER(H7157),F7157&gt;=Inputs!$C$68),F7157*H7157*Inputs!$C$69,"")</f>
      </c>
    </row>
    <row r="7158" spans="2:10" ht="15" customHeight="1" x14ac:dyDescent="0.2">
      <c r="B7158" s="39">
        <f t="shared" si="56"/>
      </c>
      <c r="C7158" s="40">
        <f>IF(Inputs!$C$60,Inputs!$C$11+(B7158-Inputs!$C$69)/Inputs!$C$70,"")</f>
      </c>
      <c r="D7158" s="15"/>
      <c r="E7158" s="15"/>
      <c r="F7158" s="11">
        <f t="shared" si="57"/>
      </c>
      <c r="G7158" s="22" cm="1">
        <f t="array" ref="G7158">IF(AND(Inputs!$C$60,Inputs!$C$61),INDEX(Utility_Rates!$C$29:$F$52,HOUR(C7158)+Inputs!$C$69,MATCH(INDEX(Utility_Rates!$K$6:$K$17,MONTH(C7158))&amp;IF(WEEKDAY(C7158,Inputs!$C$76)&lt;=Inputs!$C$74," weekday"," weekend"),Utility_Rates!$C$28:$F$28,Inputs!$C$68)),"")</f>
      </c>
      <c r="H7158" s="34"/>
      <c r="I7158" s="42">
        <f>IF(AND(ISNUMBER(D7158),ISNUMBER(H7158)),D7158*H7158*Inputs!$C$69,"")</f>
      </c>
      <c r="J7158" s="42">
        <f>IF(AND(ISNUMBER(F7158),ISNUMBER(H7158),F7158&gt;=Inputs!$C$68),F7158*H7158*Inputs!$C$69,"")</f>
      </c>
    </row>
    <row r="7159" spans="2:10" ht="15" customHeight="1" x14ac:dyDescent="0.2">
      <c r="B7159" s="39">
        <f t="shared" si="56"/>
      </c>
      <c r="C7159" s="40">
        <f>IF(Inputs!$C$60,Inputs!$C$11+(B7159-Inputs!$C$69)/Inputs!$C$70,"")</f>
      </c>
      <c r="D7159" s="15"/>
      <c r="E7159" s="15"/>
      <c r="F7159" s="11">
        <f t="shared" si="57"/>
      </c>
      <c r="G7159" s="22" cm="1">
        <f t="array" ref="G7159">IF(AND(Inputs!$C$60,Inputs!$C$61),INDEX(Utility_Rates!$C$29:$F$52,HOUR(C7159)+Inputs!$C$69,MATCH(INDEX(Utility_Rates!$K$6:$K$17,MONTH(C7159))&amp;IF(WEEKDAY(C7159,Inputs!$C$76)&lt;=Inputs!$C$74," weekday"," weekend"),Utility_Rates!$C$28:$F$28,Inputs!$C$68)),"")</f>
      </c>
      <c r="H7159" s="34"/>
      <c r="I7159" s="42">
        <f>IF(AND(ISNUMBER(D7159),ISNUMBER(H7159)),D7159*H7159*Inputs!$C$69,"")</f>
      </c>
      <c r="J7159" s="42">
        <f>IF(AND(ISNUMBER(F7159),ISNUMBER(H7159),F7159&gt;=Inputs!$C$68),F7159*H7159*Inputs!$C$69,"")</f>
      </c>
    </row>
    <row r="7160" spans="2:10" ht="15" customHeight="1" x14ac:dyDescent="0.2">
      <c r="B7160" s="39">
        <f t="shared" si="56"/>
      </c>
      <c r="C7160" s="40">
        <f>IF(Inputs!$C$60,Inputs!$C$11+(B7160-Inputs!$C$69)/Inputs!$C$70,"")</f>
      </c>
      <c r="D7160" s="15"/>
      <c r="E7160" s="15"/>
      <c r="F7160" s="11">
        <f t="shared" si="57"/>
      </c>
      <c r="G7160" s="22" cm="1">
        <f t="array" ref="G7160">IF(AND(Inputs!$C$60,Inputs!$C$61),INDEX(Utility_Rates!$C$29:$F$52,HOUR(C7160)+Inputs!$C$69,MATCH(INDEX(Utility_Rates!$K$6:$K$17,MONTH(C7160))&amp;IF(WEEKDAY(C7160,Inputs!$C$76)&lt;=Inputs!$C$74," weekday"," weekend"),Utility_Rates!$C$28:$F$28,Inputs!$C$68)),"")</f>
      </c>
      <c r="H7160" s="34"/>
      <c r="I7160" s="42">
        <f>IF(AND(ISNUMBER(D7160),ISNUMBER(H7160)),D7160*H7160*Inputs!$C$69,"")</f>
      </c>
      <c r="J7160" s="42">
        <f>IF(AND(ISNUMBER(F7160),ISNUMBER(H7160),F7160&gt;=Inputs!$C$68),F7160*H7160*Inputs!$C$69,"")</f>
      </c>
    </row>
    <row r="7161" spans="2:10" ht="15" customHeight="1" x14ac:dyDescent="0.2">
      <c r="B7161" s="39">
        <f t="shared" si="56"/>
      </c>
      <c r="C7161" s="40">
        <f>IF(Inputs!$C$60,Inputs!$C$11+(B7161-Inputs!$C$69)/Inputs!$C$70,"")</f>
      </c>
      <c r="D7161" s="15"/>
      <c r="E7161" s="15"/>
      <c r="F7161" s="11">
        <f t="shared" si="57"/>
      </c>
      <c r="G7161" s="22" cm="1">
        <f t="array" ref="G7161">IF(AND(Inputs!$C$60,Inputs!$C$61),INDEX(Utility_Rates!$C$29:$F$52,HOUR(C7161)+Inputs!$C$69,MATCH(INDEX(Utility_Rates!$K$6:$K$17,MONTH(C7161))&amp;IF(WEEKDAY(C7161,Inputs!$C$76)&lt;=Inputs!$C$74," weekday"," weekend"),Utility_Rates!$C$28:$F$28,Inputs!$C$68)),"")</f>
      </c>
      <c r="H7161" s="34"/>
      <c r="I7161" s="42">
        <f>IF(AND(ISNUMBER(D7161),ISNUMBER(H7161)),D7161*H7161*Inputs!$C$69,"")</f>
      </c>
      <c r="J7161" s="42">
        <f>IF(AND(ISNUMBER(F7161),ISNUMBER(H7161),F7161&gt;=Inputs!$C$68),F7161*H7161*Inputs!$C$69,"")</f>
      </c>
    </row>
    <row r="7162" spans="2:10" ht="15" customHeight="1" x14ac:dyDescent="0.2">
      <c r="B7162" s="39">
        <f t="shared" si="56"/>
      </c>
      <c r="C7162" s="40">
        <f>IF(Inputs!$C$60,Inputs!$C$11+(B7162-Inputs!$C$69)/Inputs!$C$70,"")</f>
      </c>
      <c r="D7162" s="15"/>
      <c r="E7162" s="15"/>
      <c r="F7162" s="11">
        <f t="shared" si="57"/>
      </c>
      <c r="G7162" s="22" cm="1">
        <f t="array" ref="G7162">IF(AND(Inputs!$C$60,Inputs!$C$61),INDEX(Utility_Rates!$C$29:$F$52,HOUR(C7162)+Inputs!$C$69,MATCH(INDEX(Utility_Rates!$K$6:$K$17,MONTH(C7162))&amp;IF(WEEKDAY(C7162,Inputs!$C$76)&lt;=Inputs!$C$74," weekday"," weekend"),Utility_Rates!$C$28:$F$28,Inputs!$C$68)),"")</f>
      </c>
      <c r="H7162" s="34"/>
      <c r="I7162" s="42">
        <f>IF(AND(ISNUMBER(D7162),ISNUMBER(H7162)),D7162*H7162*Inputs!$C$69,"")</f>
      </c>
      <c r="J7162" s="42">
        <f>IF(AND(ISNUMBER(F7162),ISNUMBER(H7162),F7162&gt;=Inputs!$C$68),F7162*H7162*Inputs!$C$69,"")</f>
      </c>
    </row>
    <row r="7163" spans="2:10" ht="15" customHeight="1" x14ac:dyDescent="0.2">
      <c r="B7163" s="39">
        <f t="shared" si="56"/>
      </c>
      <c r="C7163" s="40">
        <f>IF(Inputs!$C$60,Inputs!$C$11+(B7163-Inputs!$C$69)/Inputs!$C$70,"")</f>
      </c>
      <c r="D7163" s="15"/>
      <c r="E7163" s="15"/>
      <c r="F7163" s="11">
        <f t="shared" si="57"/>
      </c>
      <c r="G7163" s="22" cm="1">
        <f t="array" ref="G7163">IF(AND(Inputs!$C$60,Inputs!$C$61),INDEX(Utility_Rates!$C$29:$F$52,HOUR(C7163)+Inputs!$C$69,MATCH(INDEX(Utility_Rates!$K$6:$K$17,MONTH(C7163))&amp;IF(WEEKDAY(C7163,Inputs!$C$76)&lt;=Inputs!$C$74," weekday"," weekend"),Utility_Rates!$C$28:$F$28,Inputs!$C$68)),"")</f>
      </c>
      <c r="H7163" s="34"/>
      <c r="I7163" s="42">
        <f>IF(AND(ISNUMBER(D7163),ISNUMBER(H7163)),D7163*H7163*Inputs!$C$69,"")</f>
      </c>
      <c r="J7163" s="42">
        <f>IF(AND(ISNUMBER(F7163),ISNUMBER(H7163),F7163&gt;=Inputs!$C$68),F7163*H7163*Inputs!$C$69,"")</f>
      </c>
    </row>
    <row r="7164" spans="2:10" ht="15" customHeight="1" x14ac:dyDescent="0.2">
      <c r="B7164" s="39">
        <f t="shared" si="56"/>
      </c>
      <c r="C7164" s="40">
        <f>IF(Inputs!$C$60,Inputs!$C$11+(B7164-Inputs!$C$69)/Inputs!$C$70,"")</f>
      </c>
      <c r="D7164" s="15"/>
      <c r="E7164" s="15"/>
      <c r="F7164" s="11">
        <f t="shared" si="57"/>
      </c>
      <c r="G7164" s="22" cm="1">
        <f t="array" ref="G7164">IF(AND(Inputs!$C$60,Inputs!$C$61),INDEX(Utility_Rates!$C$29:$F$52,HOUR(C7164)+Inputs!$C$69,MATCH(INDEX(Utility_Rates!$K$6:$K$17,MONTH(C7164))&amp;IF(WEEKDAY(C7164,Inputs!$C$76)&lt;=Inputs!$C$74," weekday"," weekend"),Utility_Rates!$C$28:$F$28,Inputs!$C$68)),"")</f>
      </c>
      <c r="H7164" s="34"/>
      <c r="I7164" s="42">
        <f>IF(AND(ISNUMBER(D7164),ISNUMBER(H7164)),D7164*H7164*Inputs!$C$69,"")</f>
      </c>
      <c r="J7164" s="42">
        <f>IF(AND(ISNUMBER(F7164),ISNUMBER(H7164),F7164&gt;=Inputs!$C$68),F7164*H7164*Inputs!$C$69,"")</f>
      </c>
    </row>
    <row r="7165" spans="2:10" ht="15" customHeight="1" x14ac:dyDescent="0.2">
      <c r="B7165" s="39">
        <f t="shared" si="56"/>
      </c>
      <c r="C7165" s="40">
        <f>IF(Inputs!$C$60,Inputs!$C$11+(B7165-Inputs!$C$69)/Inputs!$C$70,"")</f>
      </c>
      <c r="D7165" s="15"/>
      <c r="E7165" s="15"/>
      <c r="F7165" s="11">
        <f t="shared" si="57"/>
      </c>
      <c r="G7165" s="22" cm="1">
        <f t="array" ref="G7165">IF(AND(Inputs!$C$60,Inputs!$C$61),INDEX(Utility_Rates!$C$29:$F$52,HOUR(C7165)+Inputs!$C$69,MATCH(INDEX(Utility_Rates!$K$6:$K$17,MONTH(C7165))&amp;IF(WEEKDAY(C7165,Inputs!$C$76)&lt;=Inputs!$C$74," weekday"," weekend"),Utility_Rates!$C$28:$F$28,Inputs!$C$68)),"")</f>
      </c>
      <c r="H7165" s="34"/>
      <c r="I7165" s="42">
        <f>IF(AND(ISNUMBER(D7165),ISNUMBER(H7165)),D7165*H7165*Inputs!$C$69,"")</f>
      </c>
      <c r="J7165" s="42">
        <f>IF(AND(ISNUMBER(F7165),ISNUMBER(H7165),F7165&gt;=Inputs!$C$68),F7165*H7165*Inputs!$C$69,"")</f>
      </c>
    </row>
    <row r="7166" spans="2:10" ht="15" customHeight="1" x14ac:dyDescent="0.2">
      <c r="B7166" s="39">
        <f t="shared" si="56"/>
      </c>
      <c r="C7166" s="40">
        <f>IF(Inputs!$C$60,Inputs!$C$11+(B7166-Inputs!$C$69)/Inputs!$C$70,"")</f>
      </c>
      <c r="D7166" s="15"/>
      <c r="E7166" s="15"/>
      <c r="F7166" s="11">
        <f t="shared" si="57"/>
      </c>
      <c r="G7166" s="22" cm="1">
        <f t="array" ref="G7166">IF(AND(Inputs!$C$60,Inputs!$C$61),INDEX(Utility_Rates!$C$29:$F$52,HOUR(C7166)+Inputs!$C$69,MATCH(INDEX(Utility_Rates!$K$6:$K$17,MONTH(C7166))&amp;IF(WEEKDAY(C7166,Inputs!$C$76)&lt;=Inputs!$C$74," weekday"," weekend"),Utility_Rates!$C$28:$F$28,Inputs!$C$68)),"")</f>
      </c>
      <c r="H7166" s="34"/>
      <c r="I7166" s="42">
        <f>IF(AND(ISNUMBER(D7166),ISNUMBER(H7166)),D7166*H7166*Inputs!$C$69,"")</f>
      </c>
      <c r="J7166" s="42">
        <f>IF(AND(ISNUMBER(F7166),ISNUMBER(H7166),F7166&gt;=Inputs!$C$68),F7166*H7166*Inputs!$C$69,"")</f>
      </c>
    </row>
    <row r="7167" spans="2:10" ht="15" customHeight="1" x14ac:dyDescent="0.2">
      <c r="B7167" s="39">
        <f t="shared" si="56"/>
      </c>
      <c r="C7167" s="40">
        <f>IF(Inputs!$C$60,Inputs!$C$11+(B7167-Inputs!$C$69)/Inputs!$C$70,"")</f>
      </c>
      <c r="D7167" s="15"/>
      <c r="E7167" s="15"/>
      <c r="F7167" s="11">
        <f t="shared" si="57"/>
      </c>
      <c r="G7167" s="22" cm="1">
        <f t="array" ref="G7167">IF(AND(Inputs!$C$60,Inputs!$C$61),INDEX(Utility_Rates!$C$29:$F$52,HOUR(C7167)+Inputs!$C$69,MATCH(INDEX(Utility_Rates!$K$6:$K$17,MONTH(C7167))&amp;IF(WEEKDAY(C7167,Inputs!$C$76)&lt;=Inputs!$C$74," weekday"," weekend"),Utility_Rates!$C$28:$F$28,Inputs!$C$68)),"")</f>
      </c>
      <c r="H7167" s="34"/>
      <c r="I7167" s="42">
        <f>IF(AND(ISNUMBER(D7167),ISNUMBER(H7167)),D7167*H7167*Inputs!$C$69,"")</f>
      </c>
      <c r="J7167" s="42">
        <f>IF(AND(ISNUMBER(F7167),ISNUMBER(H7167),F7167&gt;=Inputs!$C$68),F7167*H7167*Inputs!$C$69,"")</f>
      </c>
    </row>
    <row r="7168" spans="2:10" ht="15" customHeight="1" x14ac:dyDescent="0.2">
      <c r="B7168" s="39">
        <f t="shared" si="56"/>
      </c>
      <c r="C7168" s="40">
        <f>IF(Inputs!$C$60,Inputs!$C$11+(B7168-Inputs!$C$69)/Inputs!$C$70,"")</f>
      </c>
      <c r="D7168" s="15"/>
      <c r="E7168" s="15"/>
      <c r="F7168" s="11">
        <f t="shared" si="57"/>
      </c>
      <c r="G7168" s="22" cm="1">
        <f t="array" ref="G7168">IF(AND(Inputs!$C$60,Inputs!$C$61),INDEX(Utility_Rates!$C$29:$F$52,HOUR(C7168)+Inputs!$C$69,MATCH(INDEX(Utility_Rates!$K$6:$K$17,MONTH(C7168))&amp;IF(WEEKDAY(C7168,Inputs!$C$76)&lt;=Inputs!$C$74," weekday"," weekend"),Utility_Rates!$C$28:$F$28,Inputs!$C$68)),"")</f>
      </c>
      <c r="H7168" s="34"/>
      <c r="I7168" s="42">
        <f>IF(AND(ISNUMBER(D7168),ISNUMBER(H7168)),D7168*H7168*Inputs!$C$69,"")</f>
      </c>
      <c r="J7168" s="42">
        <f>IF(AND(ISNUMBER(F7168),ISNUMBER(H7168),F7168&gt;=Inputs!$C$68),F7168*H7168*Inputs!$C$69,"")</f>
      </c>
    </row>
    <row r="7169" spans="2:10" ht="15" customHeight="1" x14ac:dyDescent="0.2">
      <c r="B7169" s="39">
        <f t="shared" si="56"/>
      </c>
      <c r="C7169" s="40">
        <f>IF(Inputs!$C$60,Inputs!$C$11+(B7169-Inputs!$C$69)/Inputs!$C$70,"")</f>
      </c>
      <c r="D7169" s="15"/>
      <c r="E7169" s="15"/>
      <c r="F7169" s="11">
        <f t="shared" si="57"/>
      </c>
      <c r="G7169" s="22" cm="1">
        <f t="array" ref="G7169">IF(AND(Inputs!$C$60,Inputs!$C$61),INDEX(Utility_Rates!$C$29:$F$52,HOUR(C7169)+Inputs!$C$69,MATCH(INDEX(Utility_Rates!$K$6:$K$17,MONTH(C7169))&amp;IF(WEEKDAY(C7169,Inputs!$C$76)&lt;=Inputs!$C$74," weekday"," weekend"),Utility_Rates!$C$28:$F$28,Inputs!$C$68)),"")</f>
      </c>
      <c r="H7169" s="34"/>
      <c r="I7169" s="42">
        <f>IF(AND(ISNUMBER(D7169),ISNUMBER(H7169)),D7169*H7169*Inputs!$C$69,"")</f>
      </c>
      <c r="J7169" s="42">
        <f>IF(AND(ISNUMBER(F7169),ISNUMBER(H7169),F7169&gt;=Inputs!$C$68),F7169*H7169*Inputs!$C$69,"")</f>
      </c>
    </row>
    <row r="7170" spans="2:10" ht="15" customHeight="1" x14ac:dyDescent="0.2">
      <c r="B7170" s="39">
        <f t="shared" si="56"/>
      </c>
      <c r="C7170" s="40">
        <f>IF(Inputs!$C$60,Inputs!$C$11+(B7170-Inputs!$C$69)/Inputs!$C$70,"")</f>
      </c>
      <c r="D7170" s="15"/>
      <c r="E7170" s="15"/>
      <c r="F7170" s="11">
        <f t="shared" si="57"/>
      </c>
      <c r="G7170" s="22" cm="1">
        <f t="array" ref="G7170">IF(AND(Inputs!$C$60,Inputs!$C$61),INDEX(Utility_Rates!$C$29:$F$52,HOUR(C7170)+Inputs!$C$69,MATCH(INDEX(Utility_Rates!$K$6:$K$17,MONTH(C7170))&amp;IF(WEEKDAY(C7170,Inputs!$C$76)&lt;=Inputs!$C$74," weekday"," weekend"),Utility_Rates!$C$28:$F$28,Inputs!$C$68)),"")</f>
      </c>
      <c r="H7170" s="34"/>
      <c r="I7170" s="42">
        <f>IF(AND(ISNUMBER(D7170),ISNUMBER(H7170)),D7170*H7170*Inputs!$C$69,"")</f>
      </c>
      <c r="J7170" s="42">
        <f>IF(AND(ISNUMBER(F7170),ISNUMBER(H7170),F7170&gt;=Inputs!$C$68),F7170*H7170*Inputs!$C$69,"")</f>
      </c>
    </row>
    <row r="7171" spans="2:10" ht="15" customHeight="1" x14ac:dyDescent="0.2">
      <c r="B7171" s="39">
        <f t="shared" si="56"/>
      </c>
      <c r="C7171" s="40">
        <f>IF(Inputs!$C$60,Inputs!$C$11+(B7171-Inputs!$C$69)/Inputs!$C$70,"")</f>
      </c>
      <c r="D7171" s="15"/>
      <c r="E7171" s="15"/>
      <c r="F7171" s="11">
        <f t="shared" si="57"/>
      </c>
      <c r="G7171" s="22" cm="1">
        <f t="array" ref="G7171">IF(AND(Inputs!$C$60,Inputs!$C$61),INDEX(Utility_Rates!$C$29:$F$52,HOUR(C7171)+Inputs!$C$69,MATCH(INDEX(Utility_Rates!$K$6:$K$17,MONTH(C7171))&amp;IF(WEEKDAY(C7171,Inputs!$C$76)&lt;=Inputs!$C$74," weekday"," weekend"),Utility_Rates!$C$28:$F$28,Inputs!$C$68)),"")</f>
      </c>
      <c r="H7171" s="34"/>
      <c r="I7171" s="42">
        <f>IF(AND(ISNUMBER(D7171),ISNUMBER(H7171)),D7171*H7171*Inputs!$C$69,"")</f>
      </c>
      <c r="J7171" s="42">
        <f>IF(AND(ISNUMBER(F7171),ISNUMBER(H7171),F7171&gt;=Inputs!$C$68),F7171*H7171*Inputs!$C$69,"")</f>
      </c>
    </row>
    <row r="7172" spans="2:10" ht="15" customHeight="1" x14ac:dyDescent="0.2">
      <c r="B7172" s="39">
        <f t="shared" si="56"/>
      </c>
      <c r="C7172" s="40">
        <f>IF(Inputs!$C$60,Inputs!$C$11+(B7172-Inputs!$C$69)/Inputs!$C$70,"")</f>
      </c>
      <c r="D7172" s="15"/>
      <c r="E7172" s="15"/>
      <c r="F7172" s="11">
        <f t="shared" si="57"/>
      </c>
      <c r="G7172" s="22" cm="1">
        <f t="array" ref="G7172">IF(AND(Inputs!$C$60,Inputs!$C$61),INDEX(Utility_Rates!$C$29:$F$52,HOUR(C7172)+Inputs!$C$69,MATCH(INDEX(Utility_Rates!$K$6:$K$17,MONTH(C7172))&amp;IF(WEEKDAY(C7172,Inputs!$C$76)&lt;=Inputs!$C$74," weekday"," weekend"),Utility_Rates!$C$28:$F$28,Inputs!$C$68)),"")</f>
      </c>
      <c r="H7172" s="34"/>
      <c r="I7172" s="42">
        <f>IF(AND(ISNUMBER(D7172),ISNUMBER(H7172)),D7172*H7172*Inputs!$C$69,"")</f>
      </c>
      <c r="J7172" s="42">
        <f>IF(AND(ISNUMBER(F7172),ISNUMBER(H7172),F7172&gt;=Inputs!$C$68),F7172*H7172*Inputs!$C$69,"")</f>
      </c>
    </row>
    <row r="7173" spans="2:10" ht="15" customHeight="1" x14ac:dyDescent="0.2">
      <c r="B7173" s="39">
        <f t="shared" si="56"/>
      </c>
      <c r="C7173" s="40">
        <f>IF(Inputs!$C$60,Inputs!$C$11+(B7173-Inputs!$C$69)/Inputs!$C$70,"")</f>
      </c>
      <c r="D7173" s="15"/>
      <c r="E7173" s="15"/>
      <c r="F7173" s="11">
        <f t="shared" si="57"/>
      </c>
      <c r="G7173" s="22" cm="1">
        <f t="array" ref="G7173">IF(AND(Inputs!$C$60,Inputs!$C$61),INDEX(Utility_Rates!$C$29:$F$52,HOUR(C7173)+Inputs!$C$69,MATCH(INDEX(Utility_Rates!$K$6:$K$17,MONTH(C7173))&amp;IF(WEEKDAY(C7173,Inputs!$C$76)&lt;=Inputs!$C$74," weekday"," weekend"),Utility_Rates!$C$28:$F$28,Inputs!$C$68)),"")</f>
      </c>
      <c r="H7173" s="34"/>
      <c r="I7173" s="42">
        <f>IF(AND(ISNUMBER(D7173),ISNUMBER(H7173)),D7173*H7173*Inputs!$C$69,"")</f>
      </c>
      <c r="J7173" s="42">
        <f>IF(AND(ISNUMBER(F7173),ISNUMBER(H7173),F7173&gt;=Inputs!$C$68),F7173*H7173*Inputs!$C$69,"")</f>
      </c>
    </row>
    <row r="7174" spans="2:10" ht="15" customHeight="1" x14ac:dyDescent="0.2">
      <c r="B7174" s="39">
        <f t="shared" si="56"/>
      </c>
      <c r="C7174" s="40">
        <f>IF(Inputs!$C$60,Inputs!$C$11+(B7174-Inputs!$C$69)/Inputs!$C$70,"")</f>
      </c>
      <c r="D7174" s="15"/>
      <c r="E7174" s="15"/>
      <c r="F7174" s="11">
        <f t="shared" si="57"/>
      </c>
      <c r="G7174" s="22" cm="1">
        <f t="array" ref="G7174">IF(AND(Inputs!$C$60,Inputs!$C$61),INDEX(Utility_Rates!$C$29:$F$52,HOUR(C7174)+Inputs!$C$69,MATCH(INDEX(Utility_Rates!$K$6:$K$17,MONTH(C7174))&amp;IF(WEEKDAY(C7174,Inputs!$C$76)&lt;=Inputs!$C$74," weekday"," weekend"),Utility_Rates!$C$28:$F$28,Inputs!$C$68)),"")</f>
      </c>
      <c r="H7174" s="34"/>
      <c r="I7174" s="42">
        <f>IF(AND(ISNUMBER(D7174),ISNUMBER(H7174)),D7174*H7174*Inputs!$C$69,"")</f>
      </c>
      <c r="J7174" s="42">
        <f>IF(AND(ISNUMBER(F7174),ISNUMBER(H7174),F7174&gt;=Inputs!$C$68),F7174*H7174*Inputs!$C$69,"")</f>
      </c>
    </row>
    <row r="7175" spans="2:10" ht="15" customHeight="1" x14ac:dyDescent="0.2">
      <c r="B7175" s="39">
        <f t="shared" si="56"/>
      </c>
      <c r="C7175" s="40">
        <f>IF(Inputs!$C$60,Inputs!$C$11+(B7175-Inputs!$C$69)/Inputs!$C$70,"")</f>
      </c>
      <c r="D7175" s="15"/>
      <c r="E7175" s="15"/>
      <c r="F7175" s="11">
        <f t="shared" si="57"/>
      </c>
      <c r="G7175" s="22" cm="1">
        <f t="array" ref="G7175">IF(AND(Inputs!$C$60,Inputs!$C$61),INDEX(Utility_Rates!$C$29:$F$52,HOUR(C7175)+Inputs!$C$69,MATCH(INDEX(Utility_Rates!$K$6:$K$17,MONTH(C7175))&amp;IF(WEEKDAY(C7175,Inputs!$C$76)&lt;=Inputs!$C$74," weekday"," weekend"),Utility_Rates!$C$28:$F$28,Inputs!$C$68)),"")</f>
      </c>
      <c r="H7175" s="34"/>
      <c r="I7175" s="42">
        <f>IF(AND(ISNUMBER(D7175),ISNUMBER(H7175)),D7175*H7175*Inputs!$C$69,"")</f>
      </c>
      <c r="J7175" s="42">
        <f>IF(AND(ISNUMBER(F7175),ISNUMBER(H7175),F7175&gt;=Inputs!$C$68),F7175*H7175*Inputs!$C$69,"")</f>
      </c>
    </row>
    <row r="7176" spans="2:10" ht="15" customHeight="1" x14ac:dyDescent="0.2">
      <c r="B7176" s="39">
        <f t="shared" si="56"/>
      </c>
      <c r="C7176" s="40">
        <f>IF(Inputs!$C$60,Inputs!$C$11+(B7176-Inputs!$C$69)/Inputs!$C$70,"")</f>
      </c>
      <c r="D7176" s="15"/>
      <c r="E7176" s="15"/>
      <c r="F7176" s="11">
        <f t="shared" si="57"/>
      </c>
      <c r="G7176" s="22" cm="1">
        <f t="array" ref="G7176">IF(AND(Inputs!$C$60,Inputs!$C$61),INDEX(Utility_Rates!$C$29:$F$52,HOUR(C7176)+Inputs!$C$69,MATCH(INDEX(Utility_Rates!$K$6:$K$17,MONTH(C7176))&amp;IF(WEEKDAY(C7176,Inputs!$C$76)&lt;=Inputs!$C$74," weekday"," weekend"),Utility_Rates!$C$28:$F$28,Inputs!$C$68)),"")</f>
      </c>
      <c r="H7176" s="34"/>
      <c r="I7176" s="42">
        <f>IF(AND(ISNUMBER(D7176),ISNUMBER(H7176)),D7176*H7176*Inputs!$C$69,"")</f>
      </c>
      <c r="J7176" s="42">
        <f>IF(AND(ISNUMBER(F7176),ISNUMBER(H7176),F7176&gt;=Inputs!$C$68),F7176*H7176*Inputs!$C$69,"")</f>
      </c>
    </row>
    <row r="7177" spans="2:10" ht="15" customHeight="1" x14ac:dyDescent="0.2">
      <c r="B7177" s="39">
        <f t="shared" si="56"/>
      </c>
      <c r="C7177" s="40">
        <f>IF(Inputs!$C$60,Inputs!$C$11+(B7177-Inputs!$C$69)/Inputs!$C$70,"")</f>
      </c>
      <c r="D7177" s="15"/>
      <c r="E7177" s="15"/>
      <c r="F7177" s="11">
        <f t="shared" si="57"/>
      </c>
      <c r="G7177" s="22" cm="1">
        <f t="array" ref="G7177">IF(AND(Inputs!$C$60,Inputs!$C$61),INDEX(Utility_Rates!$C$29:$F$52,HOUR(C7177)+Inputs!$C$69,MATCH(INDEX(Utility_Rates!$K$6:$K$17,MONTH(C7177))&amp;IF(WEEKDAY(C7177,Inputs!$C$76)&lt;=Inputs!$C$74," weekday"," weekend"),Utility_Rates!$C$28:$F$28,Inputs!$C$68)),"")</f>
      </c>
      <c r="H7177" s="34"/>
      <c r="I7177" s="42">
        <f>IF(AND(ISNUMBER(D7177),ISNUMBER(H7177)),D7177*H7177*Inputs!$C$69,"")</f>
      </c>
      <c r="J7177" s="42">
        <f>IF(AND(ISNUMBER(F7177),ISNUMBER(H7177),F7177&gt;=Inputs!$C$68),F7177*H7177*Inputs!$C$69,"")</f>
      </c>
    </row>
    <row r="7178" spans="2:10" ht="15" customHeight="1" x14ac:dyDescent="0.2">
      <c r="B7178" s="39">
        <f t="shared" si="56"/>
      </c>
      <c r="C7178" s="40">
        <f>IF(Inputs!$C$60,Inputs!$C$11+(B7178-Inputs!$C$69)/Inputs!$C$70,"")</f>
      </c>
      <c r="D7178" s="15"/>
      <c r="E7178" s="15"/>
      <c r="F7178" s="11">
        <f t="shared" si="57"/>
      </c>
      <c r="G7178" s="22" cm="1">
        <f t="array" ref="G7178">IF(AND(Inputs!$C$60,Inputs!$C$61),INDEX(Utility_Rates!$C$29:$F$52,HOUR(C7178)+Inputs!$C$69,MATCH(INDEX(Utility_Rates!$K$6:$K$17,MONTH(C7178))&amp;IF(WEEKDAY(C7178,Inputs!$C$76)&lt;=Inputs!$C$74," weekday"," weekend"),Utility_Rates!$C$28:$F$28,Inputs!$C$68)),"")</f>
      </c>
      <c r="H7178" s="34"/>
      <c r="I7178" s="42">
        <f>IF(AND(ISNUMBER(D7178),ISNUMBER(H7178)),D7178*H7178*Inputs!$C$69,"")</f>
      </c>
      <c r="J7178" s="42">
        <f>IF(AND(ISNUMBER(F7178),ISNUMBER(H7178),F7178&gt;=Inputs!$C$68),F7178*H7178*Inputs!$C$69,"")</f>
      </c>
    </row>
    <row r="7179" spans="2:10" ht="15" customHeight="1" x14ac:dyDescent="0.2">
      <c r="B7179" s="39">
        <f t="shared" si="56"/>
      </c>
      <c r="C7179" s="40">
        <f>IF(Inputs!$C$60,Inputs!$C$11+(B7179-Inputs!$C$69)/Inputs!$C$70,"")</f>
      </c>
      <c r="D7179" s="15"/>
      <c r="E7179" s="15"/>
      <c r="F7179" s="11">
        <f t="shared" si="57"/>
      </c>
      <c r="G7179" s="22" cm="1">
        <f t="array" ref="G7179">IF(AND(Inputs!$C$60,Inputs!$C$61),INDEX(Utility_Rates!$C$29:$F$52,HOUR(C7179)+Inputs!$C$69,MATCH(INDEX(Utility_Rates!$K$6:$K$17,MONTH(C7179))&amp;IF(WEEKDAY(C7179,Inputs!$C$76)&lt;=Inputs!$C$74," weekday"," weekend"),Utility_Rates!$C$28:$F$28,Inputs!$C$68)),"")</f>
      </c>
      <c r="H7179" s="34"/>
      <c r="I7179" s="42">
        <f>IF(AND(ISNUMBER(D7179),ISNUMBER(H7179)),D7179*H7179*Inputs!$C$69,"")</f>
      </c>
      <c r="J7179" s="42">
        <f>IF(AND(ISNUMBER(F7179),ISNUMBER(H7179),F7179&gt;=Inputs!$C$68),F7179*H7179*Inputs!$C$69,"")</f>
      </c>
    </row>
    <row r="7180" spans="2:10" ht="15" customHeight="1" x14ac:dyDescent="0.2">
      <c r="B7180" s="39">
        <f t="shared" si="56"/>
      </c>
      <c r="C7180" s="40">
        <f>IF(Inputs!$C$60,Inputs!$C$11+(B7180-Inputs!$C$69)/Inputs!$C$70,"")</f>
      </c>
      <c r="D7180" s="15"/>
      <c r="E7180" s="15"/>
      <c r="F7180" s="11">
        <f t="shared" si="57"/>
      </c>
      <c r="G7180" s="22" cm="1">
        <f t="array" ref="G7180">IF(AND(Inputs!$C$60,Inputs!$C$61),INDEX(Utility_Rates!$C$29:$F$52,HOUR(C7180)+Inputs!$C$69,MATCH(INDEX(Utility_Rates!$K$6:$K$17,MONTH(C7180))&amp;IF(WEEKDAY(C7180,Inputs!$C$76)&lt;=Inputs!$C$74," weekday"," weekend"),Utility_Rates!$C$28:$F$28,Inputs!$C$68)),"")</f>
      </c>
      <c r="H7180" s="34"/>
      <c r="I7180" s="42">
        <f>IF(AND(ISNUMBER(D7180),ISNUMBER(H7180)),D7180*H7180*Inputs!$C$69,"")</f>
      </c>
      <c r="J7180" s="42">
        <f>IF(AND(ISNUMBER(F7180),ISNUMBER(H7180),F7180&gt;=Inputs!$C$68),F7180*H7180*Inputs!$C$69,"")</f>
      </c>
    </row>
    <row r="7181" spans="2:10" ht="15" customHeight="1" x14ac:dyDescent="0.2">
      <c r="B7181" s="39">
        <f t="shared" si="56"/>
      </c>
      <c r="C7181" s="40">
        <f>IF(Inputs!$C$60,Inputs!$C$11+(B7181-Inputs!$C$69)/Inputs!$C$70,"")</f>
      </c>
      <c r="D7181" s="15"/>
      <c r="E7181" s="15"/>
      <c r="F7181" s="11">
        <f t="shared" si="57"/>
      </c>
      <c r="G7181" s="22" cm="1">
        <f t="array" ref="G7181">IF(AND(Inputs!$C$60,Inputs!$C$61),INDEX(Utility_Rates!$C$29:$F$52,HOUR(C7181)+Inputs!$C$69,MATCH(INDEX(Utility_Rates!$K$6:$K$17,MONTH(C7181))&amp;IF(WEEKDAY(C7181,Inputs!$C$76)&lt;=Inputs!$C$74," weekday"," weekend"),Utility_Rates!$C$28:$F$28,Inputs!$C$68)),"")</f>
      </c>
      <c r="H7181" s="34"/>
      <c r="I7181" s="42">
        <f>IF(AND(ISNUMBER(D7181),ISNUMBER(H7181)),D7181*H7181*Inputs!$C$69,"")</f>
      </c>
      <c r="J7181" s="42">
        <f>IF(AND(ISNUMBER(F7181),ISNUMBER(H7181),F7181&gt;=Inputs!$C$68),F7181*H7181*Inputs!$C$69,"")</f>
      </c>
    </row>
    <row r="7182" spans="2:10" ht="15" customHeight="1" x14ac:dyDescent="0.2">
      <c r="B7182" s="39">
        <f t="shared" si="56"/>
      </c>
      <c r="C7182" s="40">
        <f>IF(Inputs!$C$60,Inputs!$C$11+(B7182-Inputs!$C$69)/Inputs!$C$70,"")</f>
      </c>
      <c r="D7182" s="15"/>
      <c r="E7182" s="15"/>
      <c r="F7182" s="11">
        <f t="shared" si="57"/>
      </c>
      <c r="G7182" s="22" cm="1">
        <f t="array" ref="G7182">IF(AND(Inputs!$C$60,Inputs!$C$61),INDEX(Utility_Rates!$C$29:$F$52,HOUR(C7182)+Inputs!$C$69,MATCH(INDEX(Utility_Rates!$K$6:$K$17,MONTH(C7182))&amp;IF(WEEKDAY(C7182,Inputs!$C$76)&lt;=Inputs!$C$74," weekday"," weekend"),Utility_Rates!$C$28:$F$28,Inputs!$C$68)),"")</f>
      </c>
      <c r="H7182" s="34"/>
      <c r="I7182" s="42">
        <f>IF(AND(ISNUMBER(D7182),ISNUMBER(H7182)),D7182*H7182*Inputs!$C$69,"")</f>
      </c>
      <c r="J7182" s="42">
        <f>IF(AND(ISNUMBER(F7182),ISNUMBER(H7182),F7182&gt;=Inputs!$C$68),F7182*H7182*Inputs!$C$69,"")</f>
      </c>
    </row>
    <row r="7183" spans="2:10" ht="15" customHeight="1" x14ac:dyDescent="0.2">
      <c r="B7183" s="39">
        <f t="shared" si="56"/>
      </c>
      <c r="C7183" s="40">
        <f>IF(Inputs!$C$60,Inputs!$C$11+(B7183-Inputs!$C$69)/Inputs!$C$70,"")</f>
      </c>
      <c r="D7183" s="15"/>
      <c r="E7183" s="15"/>
      <c r="F7183" s="11">
        <f t="shared" si="57"/>
      </c>
      <c r="G7183" s="22" cm="1">
        <f t="array" ref="G7183">IF(AND(Inputs!$C$60,Inputs!$C$61),INDEX(Utility_Rates!$C$29:$F$52,HOUR(C7183)+Inputs!$C$69,MATCH(INDEX(Utility_Rates!$K$6:$K$17,MONTH(C7183))&amp;IF(WEEKDAY(C7183,Inputs!$C$76)&lt;=Inputs!$C$74," weekday"," weekend"),Utility_Rates!$C$28:$F$28,Inputs!$C$68)),"")</f>
      </c>
      <c r="H7183" s="34"/>
      <c r="I7183" s="42">
        <f>IF(AND(ISNUMBER(D7183),ISNUMBER(H7183)),D7183*H7183*Inputs!$C$69,"")</f>
      </c>
      <c r="J7183" s="42">
        <f>IF(AND(ISNUMBER(F7183),ISNUMBER(H7183),F7183&gt;=Inputs!$C$68),F7183*H7183*Inputs!$C$69,"")</f>
      </c>
    </row>
    <row r="7184" spans="2:10" ht="15" customHeight="1" x14ac:dyDescent="0.2">
      <c r="B7184" s="39">
        <f t="shared" si="56"/>
      </c>
      <c r="C7184" s="40">
        <f>IF(Inputs!$C$60,Inputs!$C$11+(B7184-Inputs!$C$69)/Inputs!$C$70,"")</f>
      </c>
      <c r="D7184" s="15"/>
      <c r="E7184" s="15"/>
      <c r="F7184" s="11">
        <f t="shared" si="57"/>
      </c>
      <c r="G7184" s="22" cm="1">
        <f t="array" ref="G7184">IF(AND(Inputs!$C$60,Inputs!$C$61),INDEX(Utility_Rates!$C$29:$F$52,HOUR(C7184)+Inputs!$C$69,MATCH(INDEX(Utility_Rates!$K$6:$K$17,MONTH(C7184))&amp;IF(WEEKDAY(C7184,Inputs!$C$76)&lt;=Inputs!$C$74," weekday"," weekend"),Utility_Rates!$C$28:$F$28,Inputs!$C$68)),"")</f>
      </c>
      <c r="H7184" s="34"/>
      <c r="I7184" s="42">
        <f>IF(AND(ISNUMBER(D7184),ISNUMBER(H7184)),D7184*H7184*Inputs!$C$69,"")</f>
      </c>
      <c r="J7184" s="42">
        <f>IF(AND(ISNUMBER(F7184),ISNUMBER(H7184),F7184&gt;=Inputs!$C$68),F7184*H7184*Inputs!$C$69,"")</f>
      </c>
    </row>
    <row r="7185" spans="2:10" ht="15" customHeight="1" x14ac:dyDescent="0.2">
      <c r="B7185" s="39">
        <f t="shared" si="56"/>
      </c>
      <c r="C7185" s="40">
        <f>IF(Inputs!$C$60,Inputs!$C$11+(B7185-Inputs!$C$69)/Inputs!$C$70,"")</f>
      </c>
      <c r="D7185" s="15"/>
      <c r="E7185" s="15"/>
      <c r="F7185" s="11">
        <f t="shared" si="57"/>
      </c>
      <c r="G7185" s="22" cm="1">
        <f t="array" ref="G7185">IF(AND(Inputs!$C$60,Inputs!$C$61),INDEX(Utility_Rates!$C$29:$F$52,HOUR(C7185)+Inputs!$C$69,MATCH(INDEX(Utility_Rates!$K$6:$K$17,MONTH(C7185))&amp;IF(WEEKDAY(C7185,Inputs!$C$76)&lt;=Inputs!$C$74," weekday"," weekend"),Utility_Rates!$C$28:$F$28,Inputs!$C$68)),"")</f>
      </c>
      <c r="H7185" s="34"/>
      <c r="I7185" s="42">
        <f>IF(AND(ISNUMBER(D7185),ISNUMBER(H7185)),D7185*H7185*Inputs!$C$69,"")</f>
      </c>
      <c r="J7185" s="42">
        <f>IF(AND(ISNUMBER(F7185),ISNUMBER(H7185),F7185&gt;=Inputs!$C$68),F7185*H7185*Inputs!$C$69,"")</f>
      </c>
    </row>
    <row r="7186" spans="2:10" ht="15" customHeight="1" x14ac:dyDescent="0.2">
      <c r="B7186" s="39">
        <f t="shared" si="56"/>
      </c>
      <c r="C7186" s="40">
        <f>IF(Inputs!$C$60,Inputs!$C$11+(B7186-Inputs!$C$69)/Inputs!$C$70,"")</f>
      </c>
      <c r="D7186" s="15"/>
      <c r="E7186" s="15"/>
      <c r="F7186" s="11">
        <f t="shared" si="57"/>
      </c>
      <c r="G7186" s="22" cm="1">
        <f t="array" ref="G7186">IF(AND(Inputs!$C$60,Inputs!$C$61),INDEX(Utility_Rates!$C$29:$F$52,HOUR(C7186)+Inputs!$C$69,MATCH(INDEX(Utility_Rates!$K$6:$K$17,MONTH(C7186))&amp;IF(WEEKDAY(C7186,Inputs!$C$76)&lt;=Inputs!$C$74," weekday"," weekend"),Utility_Rates!$C$28:$F$28,Inputs!$C$68)),"")</f>
      </c>
      <c r="H7186" s="34"/>
      <c r="I7186" s="42">
        <f>IF(AND(ISNUMBER(D7186),ISNUMBER(H7186)),D7186*H7186*Inputs!$C$69,"")</f>
      </c>
      <c r="J7186" s="42">
        <f>IF(AND(ISNUMBER(F7186),ISNUMBER(H7186),F7186&gt;=Inputs!$C$68),F7186*H7186*Inputs!$C$69,"")</f>
      </c>
    </row>
    <row r="7187" spans="2:10" ht="15" customHeight="1" x14ac:dyDescent="0.2">
      <c r="B7187" s="39">
        <f t="shared" si="56"/>
      </c>
      <c r="C7187" s="40">
        <f>IF(Inputs!$C$60,Inputs!$C$11+(B7187-Inputs!$C$69)/Inputs!$C$70,"")</f>
      </c>
      <c r="D7187" s="15"/>
      <c r="E7187" s="15"/>
      <c r="F7187" s="11">
        <f t="shared" si="57"/>
      </c>
      <c r="G7187" s="22" cm="1">
        <f t="array" ref="G7187">IF(AND(Inputs!$C$60,Inputs!$C$61),INDEX(Utility_Rates!$C$29:$F$52,HOUR(C7187)+Inputs!$C$69,MATCH(INDEX(Utility_Rates!$K$6:$K$17,MONTH(C7187))&amp;IF(WEEKDAY(C7187,Inputs!$C$76)&lt;=Inputs!$C$74," weekday"," weekend"),Utility_Rates!$C$28:$F$28,Inputs!$C$68)),"")</f>
      </c>
      <c r="H7187" s="34"/>
      <c r="I7187" s="42">
        <f>IF(AND(ISNUMBER(D7187),ISNUMBER(H7187)),D7187*H7187*Inputs!$C$69,"")</f>
      </c>
      <c r="J7187" s="42">
        <f>IF(AND(ISNUMBER(F7187),ISNUMBER(H7187),F7187&gt;=Inputs!$C$68),F7187*H7187*Inputs!$C$69,"")</f>
      </c>
    </row>
    <row r="7188" spans="2:10" ht="15" customHeight="1" x14ac:dyDescent="0.2">
      <c r="B7188" s="39">
        <f t="shared" si="56"/>
      </c>
      <c r="C7188" s="40">
        <f>IF(Inputs!$C$60,Inputs!$C$11+(B7188-Inputs!$C$69)/Inputs!$C$70,"")</f>
      </c>
      <c r="D7188" s="15"/>
      <c r="E7188" s="15"/>
      <c r="F7188" s="11">
        <f t="shared" si="57"/>
      </c>
      <c r="G7188" s="22" cm="1">
        <f t="array" ref="G7188">IF(AND(Inputs!$C$60,Inputs!$C$61),INDEX(Utility_Rates!$C$29:$F$52,HOUR(C7188)+Inputs!$C$69,MATCH(INDEX(Utility_Rates!$K$6:$K$17,MONTH(C7188))&amp;IF(WEEKDAY(C7188,Inputs!$C$76)&lt;=Inputs!$C$74," weekday"," weekend"),Utility_Rates!$C$28:$F$28,Inputs!$C$68)),"")</f>
      </c>
      <c r="H7188" s="34"/>
      <c r="I7188" s="42">
        <f>IF(AND(ISNUMBER(D7188),ISNUMBER(H7188)),D7188*H7188*Inputs!$C$69,"")</f>
      </c>
      <c r="J7188" s="42">
        <f>IF(AND(ISNUMBER(F7188),ISNUMBER(H7188),F7188&gt;=Inputs!$C$68),F7188*H7188*Inputs!$C$69,"")</f>
      </c>
    </row>
    <row r="7189" spans="2:10" ht="15" customHeight="1" x14ac:dyDescent="0.2">
      <c r="B7189" s="39">
        <f t="shared" si="56"/>
      </c>
      <c r="C7189" s="40">
        <f>IF(Inputs!$C$60,Inputs!$C$11+(B7189-Inputs!$C$69)/Inputs!$C$70,"")</f>
      </c>
      <c r="D7189" s="15"/>
      <c r="E7189" s="15"/>
      <c r="F7189" s="11">
        <f t="shared" si="57"/>
      </c>
      <c r="G7189" s="22" cm="1">
        <f t="array" ref="G7189">IF(AND(Inputs!$C$60,Inputs!$C$61),INDEX(Utility_Rates!$C$29:$F$52,HOUR(C7189)+Inputs!$C$69,MATCH(INDEX(Utility_Rates!$K$6:$K$17,MONTH(C7189))&amp;IF(WEEKDAY(C7189,Inputs!$C$76)&lt;=Inputs!$C$74," weekday"," weekend"),Utility_Rates!$C$28:$F$28,Inputs!$C$68)),"")</f>
      </c>
      <c r="H7189" s="34"/>
      <c r="I7189" s="42">
        <f>IF(AND(ISNUMBER(D7189),ISNUMBER(H7189)),D7189*H7189*Inputs!$C$69,"")</f>
      </c>
      <c r="J7189" s="42">
        <f>IF(AND(ISNUMBER(F7189),ISNUMBER(H7189),F7189&gt;=Inputs!$C$68),F7189*H7189*Inputs!$C$69,"")</f>
      </c>
    </row>
    <row r="7190" spans="2:10" ht="15" customHeight="1" x14ac:dyDescent="0.2">
      <c r="B7190" s="39">
        <f t="shared" si="56"/>
      </c>
      <c r="C7190" s="40">
        <f>IF(Inputs!$C$60,Inputs!$C$11+(B7190-Inputs!$C$69)/Inputs!$C$70,"")</f>
      </c>
      <c r="D7190" s="15"/>
      <c r="E7190" s="15"/>
      <c r="F7190" s="11">
        <f t="shared" si="57"/>
      </c>
      <c r="G7190" s="22" cm="1">
        <f t="array" ref="G7190">IF(AND(Inputs!$C$60,Inputs!$C$61),INDEX(Utility_Rates!$C$29:$F$52,HOUR(C7190)+Inputs!$C$69,MATCH(INDEX(Utility_Rates!$K$6:$K$17,MONTH(C7190))&amp;IF(WEEKDAY(C7190,Inputs!$C$76)&lt;=Inputs!$C$74," weekday"," weekend"),Utility_Rates!$C$28:$F$28,Inputs!$C$68)),"")</f>
      </c>
      <c r="H7190" s="34"/>
      <c r="I7190" s="42">
        <f>IF(AND(ISNUMBER(D7190),ISNUMBER(H7190)),D7190*H7190*Inputs!$C$69,"")</f>
      </c>
      <c r="J7190" s="42">
        <f>IF(AND(ISNUMBER(F7190),ISNUMBER(H7190),F7190&gt;=Inputs!$C$68),F7190*H7190*Inputs!$C$69,"")</f>
      </c>
    </row>
    <row r="7191" spans="2:10" ht="15" customHeight="1" x14ac:dyDescent="0.2">
      <c r="B7191" s="39">
        <f t="shared" si="56"/>
      </c>
      <c r="C7191" s="40">
        <f>IF(Inputs!$C$60,Inputs!$C$11+(B7191-Inputs!$C$69)/Inputs!$C$70,"")</f>
      </c>
      <c r="D7191" s="15"/>
      <c r="E7191" s="15"/>
      <c r="F7191" s="11">
        <f t="shared" si="57"/>
      </c>
      <c r="G7191" s="22" cm="1">
        <f t="array" ref="G7191">IF(AND(Inputs!$C$60,Inputs!$C$61),INDEX(Utility_Rates!$C$29:$F$52,HOUR(C7191)+Inputs!$C$69,MATCH(INDEX(Utility_Rates!$K$6:$K$17,MONTH(C7191))&amp;IF(WEEKDAY(C7191,Inputs!$C$76)&lt;=Inputs!$C$74," weekday"," weekend"),Utility_Rates!$C$28:$F$28,Inputs!$C$68)),"")</f>
      </c>
      <c r="H7191" s="34"/>
      <c r="I7191" s="42">
        <f>IF(AND(ISNUMBER(D7191),ISNUMBER(H7191)),D7191*H7191*Inputs!$C$69,"")</f>
      </c>
      <c r="J7191" s="42">
        <f>IF(AND(ISNUMBER(F7191),ISNUMBER(H7191),F7191&gt;=Inputs!$C$68),F7191*H7191*Inputs!$C$69,"")</f>
      </c>
    </row>
    <row r="7192" spans="2:10" ht="15" customHeight="1" x14ac:dyDescent="0.2">
      <c r="B7192" s="39">
        <f t="shared" si="56"/>
      </c>
      <c r="C7192" s="40">
        <f>IF(Inputs!$C$60,Inputs!$C$11+(B7192-Inputs!$C$69)/Inputs!$C$70,"")</f>
      </c>
      <c r="D7192" s="15"/>
      <c r="E7192" s="15"/>
      <c r="F7192" s="11">
        <f t="shared" si="57"/>
      </c>
      <c r="G7192" s="22" cm="1">
        <f t="array" ref="G7192">IF(AND(Inputs!$C$60,Inputs!$C$61),INDEX(Utility_Rates!$C$29:$F$52,HOUR(C7192)+Inputs!$C$69,MATCH(INDEX(Utility_Rates!$K$6:$K$17,MONTH(C7192))&amp;IF(WEEKDAY(C7192,Inputs!$C$76)&lt;=Inputs!$C$74," weekday"," weekend"),Utility_Rates!$C$28:$F$28,Inputs!$C$68)),"")</f>
      </c>
      <c r="H7192" s="34"/>
      <c r="I7192" s="42">
        <f>IF(AND(ISNUMBER(D7192),ISNUMBER(H7192)),D7192*H7192*Inputs!$C$69,"")</f>
      </c>
      <c r="J7192" s="42">
        <f>IF(AND(ISNUMBER(F7192),ISNUMBER(H7192),F7192&gt;=Inputs!$C$68),F7192*H7192*Inputs!$C$69,"")</f>
      </c>
    </row>
    <row r="7193" spans="2:10" ht="15" customHeight="1" x14ac:dyDescent="0.2">
      <c r="B7193" s="39">
        <f t="shared" si="56"/>
      </c>
      <c r="C7193" s="40">
        <f>IF(Inputs!$C$60,Inputs!$C$11+(B7193-Inputs!$C$69)/Inputs!$C$70,"")</f>
      </c>
      <c r="D7193" s="15"/>
      <c r="E7193" s="15"/>
      <c r="F7193" s="11">
        <f t="shared" si="57"/>
      </c>
      <c r="G7193" s="22" cm="1">
        <f t="array" ref="G7193">IF(AND(Inputs!$C$60,Inputs!$C$61),INDEX(Utility_Rates!$C$29:$F$52,HOUR(C7193)+Inputs!$C$69,MATCH(INDEX(Utility_Rates!$K$6:$K$17,MONTH(C7193))&amp;IF(WEEKDAY(C7193,Inputs!$C$76)&lt;=Inputs!$C$74," weekday"," weekend"),Utility_Rates!$C$28:$F$28,Inputs!$C$68)),"")</f>
      </c>
      <c r="H7193" s="34"/>
      <c r="I7193" s="42">
        <f>IF(AND(ISNUMBER(D7193),ISNUMBER(H7193)),D7193*H7193*Inputs!$C$69,"")</f>
      </c>
      <c r="J7193" s="42">
        <f>IF(AND(ISNUMBER(F7193),ISNUMBER(H7193),F7193&gt;=Inputs!$C$68),F7193*H7193*Inputs!$C$69,"")</f>
      </c>
    </row>
    <row r="7194" spans="2:10" ht="15" customHeight="1" x14ac:dyDescent="0.2">
      <c r="B7194" s="39">
        <f t="shared" si="56"/>
      </c>
      <c r="C7194" s="40">
        <f>IF(Inputs!$C$60,Inputs!$C$11+(B7194-Inputs!$C$69)/Inputs!$C$70,"")</f>
      </c>
      <c r="D7194" s="15"/>
      <c r="E7194" s="15"/>
      <c r="F7194" s="11">
        <f t="shared" si="57"/>
      </c>
      <c r="G7194" s="22" cm="1">
        <f t="array" ref="G7194">IF(AND(Inputs!$C$60,Inputs!$C$61),INDEX(Utility_Rates!$C$29:$F$52,HOUR(C7194)+Inputs!$C$69,MATCH(INDEX(Utility_Rates!$K$6:$K$17,MONTH(C7194))&amp;IF(WEEKDAY(C7194,Inputs!$C$76)&lt;=Inputs!$C$74," weekday"," weekend"),Utility_Rates!$C$28:$F$28,Inputs!$C$68)),"")</f>
      </c>
      <c r="H7194" s="34"/>
      <c r="I7194" s="42">
        <f>IF(AND(ISNUMBER(D7194),ISNUMBER(H7194)),D7194*H7194*Inputs!$C$69,"")</f>
      </c>
      <c r="J7194" s="42">
        <f>IF(AND(ISNUMBER(F7194),ISNUMBER(H7194),F7194&gt;=Inputs!$C$68),F7194*H7194*Inputs!$C$69,"")</f>
      </c>
    </row>
    <row r="7195" spans="2:10" ht="15" customHeight="1" x14ac:dyDescent="0.2">
      <c r="B7195" s="39">
        <f t="shared" si="56"/>
      </c>
      <c r="C7195" s="40">
        <f>IF(Inputs!$C$60,Inputs!$C$11+(B7195-Inputs!$C$69)/Inputs!$C$70,"")</f>
      </c>
      <c r="D7195" s="15"/>
      <c r="E7195" s="15"/>
      <c r="F7195" s="11">
        <f t="shared" si="57"/>
      </c>
      <c r="G7195" s="22" cm="1">
        <f t="array" ref="G7195">IF(AND(Inputs!$C$60,Inputs!$C$61),INDEX(Utility_Rates!$C$29:$F$52,HOUR(C7195)+Inputs!$C$69,MATCH(INDEX(Utility_Rates!$K$6:$K$17,MONTH(C7195))&amp;IF(WEEKDAY(C7195,Inputs!$C$76)&lt;=Inputs!$C$74," weekday"," weekend"),Utility_Rates!$C$28:$F$28,Inputs!$C$68)),"")</f>
      </c>
      <c r="H7195" s="34"/>
      <c r="I7195" s="42">
        <f>IF(AND(ISNUMBER(D7195),ISNUMBER(H7195)),D7195*H7195*Inputs!$C$69,"")</f>
      </c>
      <c r="J7195" s="42">
        <f>IF(AND(ISNUMBER(F7195),ISNUMBER(H7195),F7195&gt;=Inputs!$C$68),F7195*H7195*Inputs!$C$69,"")</f>
      </c>
    </row>
    <row r="7196" spans="2:10" ht="15" customHeight="1" x14ac:dyDescent="0.2">
      <c r="B7196" s="39">
        <f t="shared" si="56"/>
      </c>
      <c r="C7196" s="40">
        <f>IF(Inputs!$C$60,Inputs!$C$11+(B7196-Inputs!$C$69)/Inputs!$C$70,"")</f>
      </c>
      <c r="D7196" s="15"/>
      <c r="E7196" s="15"/>
      <c r="F7196" s="11">
        <f t="shared" si="57"/>
      </c>
      <c r="G7196" s="22" cm="1">
        <f t="array" ref="G7196">IF(AND(Inputs!$C$60,Inputs!$C$61),INDEX(Utility_Rates!$C$29:$F$52,HOUR(C7196)+Inputs!$C$69,MATCH(INDEX(Utility_Rates!$K$6:$K$17,MONTH(C7196))&amp;IF(WEEKDAY(C7196,Inputs!$C$76)&lt;=Inputs!$C$74," weekday"," weekend"),Utility_Rates!$C$28:$F$28,Inputs!$C$68)),"")</f>
      </c>
      <c r="H7196" s="34"/>
      <c r="I7196" s="42">
        <f>IF(AND(ISNUMBER(D7196),ISNUMBER(H7196)),D7196*H7196*Inputs!$C$69,"")</f>
      </c>
      <c r="J7196" s="42">
        <f>IF(AND(ISNUMBER(F7196),ISNUMBER(H7196),F7196&gt;=Inputs!$C$68),F7196*H7196*Inputs!$C$69,"")</f>
      </c>
    </row>
    <row r="7197" spans="2:10" ht="15" customHeight="1" x14ac:dyDescent="0.2">
      <c r="B7197" s="39">
        <f t="shared" si="56"/>
      </c>
      <c r="C7197" s="40">
        <f>IF(Inputs!$C$60,Inputs!$C$11+(B7197-Inputs!$C$69)/Inputs!$C$70,"")</f>
      </c>
      <c r="D7197" s="15"/>
      <c r="E7197" s="15"/>
      <c r="F7197" s="11">
        <f t="shared" si="57"/>
      </c>
      <c r="G7197" s="22" cm="1">
        <f t="array" ref="G7197">IF(AND(Inputs!$C$60,Inputs!$C$61),INDEX(Utility_Rates!$C$29:$F$52,HOUR(C7197)+Inputs!$C$69,MATCH(INDEX(Utility_Rates!$K$6:$K$17,MONTH(C7197))&amp;IF(WEEKDAY(C7197,Inputs!$C$76)&lt;=Inputs!$C$74," weekday"," weekend"),Utility_Rates!$C$28:$F$28,Inputs!$C$68)),"")</f>
      </c>
      <c r="H7197" s="34"/>
      <c r="I7197" s="42">
        <f>IF(AND(ISNUMBER(D7197),ISNUMBER(H7197)),D7197*H7197*Inputs!$C$69,"")</f>
      </c>
      <c r="J7197" s="42">
        <f>IF(AND(ISNUMBER(F7197),ISNUMBER(H7197),F7197&gt;=Inputs!$C$68),F7197*H7197*Inputs!$C$69,"")</f>
      </c>
    </row>
    <row r="7198" spans="2:10" ht="15" customHeight="1" x14ac:dyDescent="0.2">
      <c r="B7198" s="39">
        <f t="shared" si="56"/>
      </c>
      <c r="C7198" s="40">
        <f>IF(Inputs!$C$60,Inputs!$C$11+(B7198-Inputs!$C$69)/Inputs!$C$70,"")</f>
      </c>
      <c r="D7198" s="15"/>
      <c r="E7198" s="15"/>
      <c r="F7198" s="11">
        <f t="shared" si="57"/>
      </c>
      <c r="G7198" s="22" cm="1">
        <f t="array" ref="G7198">IF(AND(Inputs!$C$60,Inputs!$C$61),INDEX(Utility_Rates!$C$29:$F$52,HOUR(C7198)+Inputs!$C$69,MATCH(INDEX(Utility_Rates!$K$6:$K$17,MONTH(C7198))&amp;IF(WEEKDAY(C7198,Inputs!$C$76)&lt;=Inputs!$C$74," weekday"," weekend"),Utility_Rates!$C$28:$F$28,Inputs!$C$68)),"")</f>
      </c>
      <c r="H7198" s="34"/>
      <c r="I7198" s="42">
        <f>IF(AND(ISNUMBER(D7198),ISNUMBER(H7198)),D7198*H7198*Inputs!$C$69,"")</f>
      </c>
      <c r="J7198" s="42">
        <f>IF(AND(ISNUMBER(F7198),ISNUMBER(H7198),F7198&gt;=Inputs!$C$68),F7198*H7198*Inputs!$C$69,"")</f>
      </c>
    </row>
    <row r="7199" spans="2:10" ht="15" customHeight="1" x14ac:dyDescent="0.2">
      <c r="B7199" s="39">
        <f t="shared" si="56"/>
      </c>
      <c r="C7199" s="40">
        <f>IF(Inputs!$C$60,Inputs!$C$11+(B7199-Inputs!$C$69)/Inputs!$C$70,"")</f>
      </c>
      <c r="D7199" s="15"/>
      <c r="E7199" s="15"/>
      <c r="F7199" s="11">
        <f t="shared" si="57"/>
      </c>
      <c r="G7199" s="22" cm="1">
        <f t="array" ref="G7199">IF(AND(Inputs!$C$60,Inputs!$C$61),INDEX(Utility_Rates!$C$29:$F$52,HOUR(C7199)+Inputs!$C$69,MATCH(INDEX(Utility_Rates!$K$6:$K$17,MONTH(C7199))&amp;IF(WEEKDAY(C7199,Inputs!$C$76)&lt;=Inputs!$C$74," weekday"," weekend"),Utility_Rates!$C$28:$F$28,Inputs!$C$68)),"")</f>
      </c>
      <c r="H7199" s="34"/>
      <c r="I7199" s="42">
        <f>IF(AND(ISNUMBER(D7199),ISNUMBER(H7199)),D7199*H7199*Inputs!$C$69,"")</f>
      </c>
      <c r="J7199" s="42">
        <f>IF(AND(ISNUMBER(F7199),ISNUMBER(H7199),F7199&gt;=Inputs!$C$68),F7199*H7199*Inputs!$C$69,"")</f>
      </c>
    </row>
    <row r="7200" spans="2:10" ht="15" customHeight="1" x14ac:dyDescent="0.2">
      <c r="B7200" s="39">
        <f t="shared" si="56"/>
      </c>
      <c r="C7200" s="40">
        <f>IF(Inputs!$C$60,Inputs!$C$11+(B7200-Inputs!$C$69)/Inputs!$C$70,"")</f>
      </c>
      <c r="D7200" s="15"/>
      <c r="E7200" s="15"/>
      <c r="F7200" s="11">
        <f t="shared" si="57"/>
      </c>
      <c r="G7200" s="22" cm="1">
        <f t="array" ref="G7200">IF(AND(Inputs!$C$60,Inputs!$C$61),INDEX(Utility_Rates!$C$29:$F$52,HOUR(C7200)+Inputs!$C$69,MATCH(INDEX(Utility_Rates!$K$6:$K$17,MONTH(C7200))&amp;IF(WEEKDAY(C7200,Inputs!$C$76)&lt;=Inputs!$C$74," weekday"," weekend"),Utility_Rates!$C$28:$F$28,Inputs!$C$68)),"")</f>
      </c>
      <c r="H7200" s="34"/>
      <c r="I7200" s="42">
        <f>IF(AND(ISNUMBER(D7200),ISNUMBER(H7200)),D7200*H7200*Inputs!$C$69,"")</f>
      </c>
      <c r="J7200" s="42">
        <f>IF(AND(ISNUMBER(F7200),ISNUMBER(H7200),F7200&gt;=Inputs!$C$68),F7200*H7200*Inputs!$C$69,"")</f>
      </c>
    </row>
    <row r="7201" spans="2:10" ht="15" customHeight="1" x14ac:dyDescent="0.2">
      <c r="B7201" s="39">
        <f t="shared" si="56"/>
      </c>
      <c r="C7201" s="40">
        <f>IF(Inputs!$C$60,Inputs!$C$11+(B7201-Inputs!$C$69)/Inputs!$C$70,"")</f>
      </c>
      <c r="D7201" s="15"/>
      <c r="E7201" s="15"/>
      <c r="F7201" s="11">
        <f t="shared" si="57"/>
      </c>
      <c r="G7201" s="22" cm="1">
        <f t="array" ref="G7201">IF(AND(Inputs!$C$60,Inputs!$C$61),INDEX(Utility_Rates!$C$29:$F$52,HOUR(C7201)+Inputs!$C$69,MATCH(INDEX(Utility_Rates!$K$6:$K$17,MONTH(C7201))&amp;IF(WEEKDAY(C7201,Inputs!$C$76)&lt;=Inputs!$C$74," weekday"," weekend"),Utility_Rates!$C$28:$F$28,Inputs!$C$68)),"")</f>
      </c>
      <c r="H7201" s="34"/>
      <c r="I7201" s="42">
        <f>IF(AND(ISNUMBER(D7201),ISNUMBER(H7201)),D7201*H7201*Inputs!$C$69,"")</f>
      </c>
      <c r="J7201" s="42">
        <f>IF(AND(ISNUMBER(F7201),ISNUMBER(H7201),F7201&gt;=Inputs!$C$68),F7201*H7201*Inputs!$C$69,"")</f>
      </c>
    </row>
    <row r="7202" spans="2:10" ht="15" customHeight="1" x14ac:dyDescent="0.2">
      <c r="B7202" s="39">
        <f t="shared" si="56"/>
      </c>
      <c r="C7202" s="40">
        <f>IF(Inputs!$C$60,Inputs!$C$11+(B7202-Inputs!$C$69)/Inputs!$C$70,"")</f>
      </c>
      <c r="D7202" s="15"/>
      <c r="E7202" s="15"/>
      <c r="F7202" s="11">
        <f t="shared" si="57"/>
      </c>
      <c r="G7202" s="22" cm="1">
        <f t="array" ref="G7202">IF(AND(Inputs!$C$60,Inputs!$C$61),INDEX(Utility_Rates!$C$29:$F$52,HOUR(C7202)+Inputs!$C$69,MATCH(INDEX(Utility_Rates!$K$6:$K$17,MONTH(C7202))&amp;IF(WEEKDAY(C7202,Inputs!$C$76)&lt;=Inputs!$C$74," weekday"," weekend"),Utility_Rates!$C$28:$F$28,Inputs!$C$68)),"")</f>
      </c>
      <c r="H7202" s="34"/>
      <c r="I7202" s="42">
        <f>IF(AND(ISNUMBER(D7202),ISNUMBER(H7202)),D7202*H7202*Inputs!$C$69,"")</f>
      </c>
      <c r="J7202" s="42">
        <f>IF(AND(ISNUMBER(F7202),ISNUMBER(H7202),F7202&gt;=Inputs!$C$68),F7202*H7202*Inputs!$C$69,"")</f>
      </c>
    </row>
    <row r="7203" spans="2:10" ht="15" customHeight="1" x14ac:dyDescent="0.2">
      <c r="B7203" s="39">
        <f t="shared" si="56"/>
      </c>
      <c r="C7203" s="40">
        <f>IF(Inputs!$C$60,Inputs!$C$11+(B7203-Inputs!$C$69)/Inputs!$C$70,"")</f>
      </c>
      <c r="D7203" s="15"/>
      <c r="E7203" s="15"/>
      <c r="F7203" s="11">
        <f t="shared" si="57"/>
      </c>
      <c r="G7203" s="22" cm="1">
        <f t="array" ref="G7203">IF(AND(Inputs!$C$60,Inputs!$C$61),INDEX(Utility_Rates!$C$29:$F$52,HOUR(C7203)+Inputs!$C$69,MATCH(INDEX(Utility_Rates!$K$6:$K$17,MONTH(C7203))&amp;IF(WEEKDAY(C7203,Inputs!$C$76)&lt;=Inputs!$C$74," weekday"," weekend"),Utility_Rates!$C$28:$F$28,Inputs!$C$68)),"")</f>
      </c>
      <c r="H7203" s="34"/>
      <c r="I7203" s="42">
        <f>IF(AND(ISNUMBER(D7203),ISNUMBER(H7203)),D7203*H7203*Inputs!$C$69,"")</f>
      </c>
      <c r="J7203" s="42">
        <f>IF(AND(ISNUMBER(F7203),ISNUMBER(H7203),F7203&gt;=Inputs!$C$68),F7203*H7203*Inputs!$C$69,"")</f>
      </c>
    </row>
    <row r="7204" spans="2:10" ht="15" customHeight="1" x14ac:dyDescent="0.2">
      <c r="B7204" s="39">
        <f t="shared" si="56"/>
      </c>
      <c r="C7204" s="40">
        <f>IF(Inputs!$C$60,Inputs!$C$11+(B7204-Inputs!$C$69)/Inputs!$C$70,"")</f>
      </c>
      <c r="D7204" s="15"/>
      <c r="E7204" s="15"/>
      <c r="F7204" s="11">
        <f t="shared" si="57"/>
      </c>
      <c r="G7204" s="22" cm="1">
        <f t="array" ref="G7204">IF(AND(Inputs!$C$60,Inputs!$C$61),INDEX(Utility_Rates!$C$29:$F$52,HOUR(C7204)+Inputs!$C$69,MATCH(INDEX(Utility_Rates!$K$6:$K$17,MONTH(C7204))&amp;IF(WEEKDAY(C7204,Inputs!$C$76)&lt;=Inputs!$C$74," weekday"," weekend"),Utility_Rates!$C$28:$F$28,Inputs!$C$68)),"")</f>
      </c>
      <c r="H7204" s="34"/>
      <c r="I7204" s="42">
        <f>IF(AND(ISNUMBER(D7204),ISNUMBER(H7204)),D7204*H7204*Inputs!$C$69,"")</f>
      </c>
      <c r="J7204" s="42">
        <f>IF(AND(ISNUMBER(F7204),ISNUMBER(H7204),F7204&gt;=Inputs!$C$68),F7204*H7204*Inputs!$C$69,"")</f>
      </c>
    </row>
    <row r="7205" spans="2:10" ht="15" customHeight="1" x14ac:dyDescent="0.2">
      <c r="B7205" s="39">
        <f t="shared" si="56"/>
      </c>
      <c r="C7205" s="40">
        <f>IF(Inputs!$C$60,Inputs!$C$11+(B7205-Inputs!$C$69)/Inputs!$C$70,"")</f>
      </c>
      <c r="D7205" s="15"/>
      <c r="E7205" s="15"/>
      <c r="F7205" s="11">
        <f t="shared" si="57"/>
      </c>
      <c r="G7205" s="22" cm="1">
        <f t="array" ref="G7205">IF(AND(Inputs!$C$60,Inputs!$C$61),INDEX(Utility_Rates!$C$29:$F$52,HOUR(C7205)+Inputs!$C$69,MATCH(INDEX(Utility_Rates!$K$6:$K$17,MONTH(C7205))&amp;IF(WEEKDAY(C7205,Inputs!$C$76)&lt;=Inputs!$C$74," weekday"," weekend"),Utility_Rates!$C$28:$F$28,Inputs!$C$68)),"")</f>
      </c>
      <c r="H7205" s="34"/>
      <c r="I7205" s="42">
        <f>IF(AND(ISNUMBER(D7205),ISNUMBER(H7205)),D7205*H7205*Inputs!$C$69,"")</f>
      </c>
      <c r="J7205" s="42">
        <f>IF(AND(ISNUMBER(F7205),ISNUMBER(H7205),F7205&gt;=Inputs!$C$68),F7205*H7205*Inputs!$C$69,"")</f>
      </c>
    </row>
    <row r="7206" spans="2:10" ht="15" customHeight="1" x14ac:dyDescent="0.2">
      <c r="B7206" s="39">
        <f t="shared" si="56"/>
      </c>
      <c r="C7206" s="40">
        <f>IF(Inputs!$C$60,Inputs!$C$11+(B7206-Inputs!$C$69)/Inputs!$C$70,"")</f>
      </c>
      <c r="D7206" s="15"/>
      <c r="E7206" s="15"/>
      <c r="F7206" s="11">
        <f t="shared" si="57"/>
      </c>
      <c r="G7206" s="22" cm="1">
        <f t="array" ref="G7206">IF(AND(Inputs!$C$60,Inputs!$C$61),INDEX(Utility_Rates!$C$29:$F$52,HOUR(C7206)+Inputs!$C$69,MATCH(INDEX(Utility_Rates!$K$6:$K$17,MONTH(C7206))&amp;IF(WEEKDAY(C7206,Inputs!$C$76)&lt;=Inputs!$C$74," weekday"," weekend"),Utility_Rates!$C$28:$F$28,Inputs!$C$68)),"")</f>
      </c>
      <c r="H7206" s="34"/>
      <c r="I7206" s="42">
        <f>IF(AND(ISNUMBER(D7206),ISNUMBER(H7206)),D7206*H7206*Inputs!$C$69,"")</f>
      </c>
      <c r="J7206" s="42">
        <f>IF(AND(ISNUMBER(F7206),ISNUMBER(H7206),F7206&gt;=Inputs!$C$68),F7206*H7206*Inputs!$C$69,"")</f>
      </c>
    </row>
    <row r="7207" spans="2:10" ht="15" customHeight="1" x14ac:dyDescent="0.2">
      <c r="B7207" s="39">
        <f t="shared" si="56"/>
      </c>
      <c r="C7207" s="40">
        <f>IF(Inputs!$C$60,Inputs!$C$11+(B7207-Inputs!$C$69)/Inputs!$C$70,"")</f>
      </c>
      <c r="D7207" s="15"/>
      <c r="E7207" s="15"/>
      <c r="F7207" s="11">
        <f t="shared" si="57"/>
      </c>
      <c r="G7207" s="22" cm="1">
        <f t="array" ref="G7207">IF(AND(Inputs!$C$60,Inputs!$C$61),INDEX(Utility_Rates!$C$29:$F$52,HOUR(C7207)+Inputs!$C$69,MATCH(INDEX(Utility_Rates!$K$6:$K$17,MONTH(C7207))&amp;IF(WEEKDAY(C7207,Inputs!$C$76)&lt;=Inputs!$C$74," weekday"," weekend"),Utility_Rates!$C$28:$F$28,Inputs!$C$68)),"")</f>
      </c>
      <c r="H7207" s="34"/>
      <c r="I7207" s="42">
        <f>IF(AND(ISNUMBER(D7207),ISNUMBER(H7207)),D7207*H7207*Inputs!$C$69,"")</f>
      </c>
      <c r="J7207" s="42">
        <f>IF(AND(ISNUMBER(F7207),ISNUMBER(H7207),F7207&gt;=Inputs!$C$68),F7207*H7207*Inputs!$C$69,"")</f>
      </c>
    </row>
    <row r="7208" spans="2:10" ht="15" customHeight="1" x14ac:dyDescent="0.2">
      <c r="B7208" s="39">
        <f t="shared" si="56"/>
      </c>
      <c r="C7208" s="40">
        <f>IF(Inputs!$C$60,Inputs!$C$11+(B7208-Inputs!$C$69)/Inputs!$C$70,"")</f>
      </c>
      <c r="D7208" s="15"/>
      <c r="E7208" s="15"/>
      <c r="F7208" s="11">
        <f t="shared" si="57"/>
      </c>
      <c r="G7208" s="22" cm="1">
        <f t="array" ref="G7208">IF(AND(Inputs!$C$60,Inputs!$C$61),INDEX(Utility_Rates!$C$29:$F$52,HOUR(C7208)+Inputs!$C$69,MATCH(INDEX(Utility_Rates!$K$6:$K$17,MONTH(C7208))&amp;IF(WEEKDAY(C7208,Inputs!$C$76)&lt;=Inputs!$C$74," weekday"," weekend"),Utility_Rates!$C$28:$F$28,Inputs!$C$68)),"")</f>
      </c>
      <c r="H7208" s="34"/>
      <c r="I7208" s="42">
        <f>IF(AND(ISNUMBER(D7208),ISNUMBER(H7208)),D7208*H7208*Inputs!$C$69,"")</f>
      </c>
      <c r="J7208" s="42">
        <f>IF(AND(ISNUMBER(F7208),ISNUMBER(H7208),F7208&gt;=Inputs!$C$68),F7208*H7208*Inputs!$C$69,"")</f>
      </c>
    </row>
    <row r="7209" spans="2:10" ht="15" customHeight="1" x14ac:dyDescent="0.2">
      <c r="B7209" s="39">
        <f t="shared" si="56"/>
      </c>
      <c r="C7209" s="40">
        <f>IF(Inputs!$C$60,Inputs!$C$11+(B7209-Inputs!$C$69)/Inputs!$C$70,"")</f>
      </c>
      <c r="D7209" s="15"/>
      <c r="E7209" s="15"/>
      <c r="F7209" s="11">
        <f t="shared" si="57"/>
      </c>
      <c r="G7209" s="22" cm="1">
        <f t="array" ref="G7209">IF(AND(Inputs!$C$60,Inputs!$C$61),INDEX(Utility_Rates!$C$29:$F$52,HOUR(C7209)+Inputs!$C$69,MATCH(INDEX(Utility_Rates!$K$6:$K$17,MONTH(C7209))&amp;IF(WEEKDAY(C7209,Inputs!$C$76)&lt;=Inputs!$C$74," weekday"," weekend"),Utility_Rates!$C$28:$F$28,Inputs!$C$68)),"")</f>
      </c>
      <c r="H7209" s="34"/>
      <c r="I7209" s="42">
        <f>IF(AND(ISNUMBER(D7209),ISNUMBER(H7209)),D7209*H7209*Inputs!$C$69,"")</f>
      </c>
      <c r="J7209" s="42">
        <f>IF(AND(ISNUMBER(F7209),ISNUMBER(H7209),F7209&gt;=Inputs!$C$68),F7209*H7209*Inputs!$C$69,"")</f>
      </c>
    </row>
    <row r="7210" spans="2:10" ht="15" customHeight="1" x14ac:dyDescent="0.2">
      <c r="B7210" s="39">
        <f t="shared" si="56"/>
      </c>
      <c r="C7210" s="40">
        <f>IF(Inputs!$C$60,Inputs!$C$11+(B7210-Inputs!$C$69)/Inputs!$C$70,"")</f>
      </c>
      <c r="D7210" s="15"/>
      <c r="E7210" s="15"/>
      <c r="F7210" s="11">
        <f t="shared" si="57"/>
      </c>
      <c r="G7210" s="22" cm="1">
        <f t="array" ref="G7210">IF(AND(Inputs!$C$60,Inputs!$C$61),INDEX(Utility_Rates!$C$29:$F$52,HOUR(C7210)+Inputs!$C$69,MATCH(INDEX(Utility_Rates!$K$6:$K$17,MONTH(C7210))&amp;IF(WEEKDAY(C7210,Inputs!$C$76)&lt;=Inputs!$C$74," weekday"," weekend"),Utility_Rates!$C$28:$F$28,Inputs!$C$68)),"")</f>
      </c>
      <c r="H7210" s="34"/>
      <c r="I7210" s="42">
        <f>IF(AND(ISNUMBER(D7210),ISNUMBER(H7210)),D7210*H7210*Inputs!$C$69,"")</f>
      </c>
      <c r="J7210" s="42">
        <f>IF(AND(ISNUMBER(F7210),ISNUMBER(H7210),F7210&gt;=Inputs!$C$68),F7210*H7210*Inputs!$C$69,"")</f>
      </c>
    </row>
    <row r="7211" spans="2:10" ht="15" customHeight="1" x14ac:dyDescent="0.2">
      <c r="B7211" s="39">
        <f t="shared" si="56"/>
      </c>
      <c r="C7211" s="40">
        <f>IF(Inputs!$C$60,Inputs!$C$11+(B7211-Inputs!$C$69)/Inputs!$C$70,"")</f>
      </c>
      <c r="D7211" s="15"/>
      <c r="E7211" s="15"/>
      <c r="F7211" s="11">
        <f t="shared" si="57"/>
      </c>
      <c r="G7211" s="22" cm="1">
        <f t="array" ref="G7211">IF(AND(Inputs!$C$60,Inputs!$C$61),INDEX(Utility_Rates!$C$29:$F$52,HOUR(C7211)+Inputs!$C$69,MATCH(INDEX(Utility_Rates!$K$6:$K$17,MONTH(C7211))&amp;IF(WEEKDAY(C7211,Inputs!$C$76)&lt;=Inputs!$C$74," weekday"," weekend"),Utility_Rates!$C$28:$F$28,Inputs!$C$68)),"")</f>
      </c>
      <c r="H7211" s="34"/>
      <c r="I7211" s="42">
        <f>IF(AND(ISNUMBER(D7211),ISNUMBER(H7211)),D7211*H7211*Inputs!$C$69,"")</f>
      </c>
      <c r="J7211" s="42">
        <f>IF(AND(ISNUMBER(F7211),ISNUMBER(H7211),F7211&gt;=Inputs!$C$68),F7211*H7211*Inputs!$C$69,"")</f>
      </c>
    </row>
    <row r="7212" spans="2:10" ht="15" customHeight="1" x14ac:dyDescent="0.2">
      <c r="B7212" s="39">
        <f t="shared" si="56"/>
      </c>
      <c r="C7212" s="40">
        <f>IF(Inputs!$C$60,Inputs!$C$11+(B7212-Inputs!$C$69)/Inputs!$C$70,"")</f>
      </c>
      <c r="D7212" s="15"/>
      <c r="E7212" s="15"/>
      <c r="F7212" s="11">
        <f t="shared" si="57"/>
      </c>
      <c r="G7212" s="22" cm="1">
        <f t="array" ref="G7212">IF(AND(Inputs!$C$60,Inputs!$C$61),INDEX(Utility_Rates!$C$29:$F$52,HOUR(C7212)+Inputs!$C$69,MATCH(INDEX(Utility_Rates!$K$6:$K$17,MONTH(C7212))&amp;IF(WEEKDAY(C7212,Inputs!$C$76)&lt;=Inputs!$C$74," weekday"," weekend"),Utility_Rates!$C$28:$F$28,Inputs!$C$68)),"")</f>
      </c>
      <c r="H7212" s="34"/>
      <c r="I7212" s="42">
        <f>IF(AND(ISNUMBER(D7212),ISNUMBER(H7212)),D7212*H7212*Inputs!$C$69,"")</f>
      </c>
      <c r="J7212" s="42">
        <f>IF(AND(ISNUMBER(F7212),ISNUMBER(H7212),F7212&gt;=Inputs!$C$68),F7212*H7212*Inputs!$C$69,"")</f>
      </c>
    </row>
    <row r="7213" spans="2:10" ht="15" customHeight="1" x14ac:dyDescent="0.2">
      <c r="B7213" s="39">
        <f t="shared" si="56"/>
      </c>
      <c r="C7213" s="40">
        <f>IF(Inputs!$C$60,Inputs!$C$11+(B7213-Inputs!$C$69)/Inputs!$C$70,"")</f>
      </c>
      <c r="D7213" s="15"/>
      <c r="E7213" s="15"/>
      <c r="F7213" s="11">
        <f t="shared" si="57"/>
      </c>
      <c r="G7213" s="22" cm="1">
        <f t="array" ref="G7213">IF(AND(Inputs!$C$60,Inputs!$C$61),INDEX(Utility_Rates!$C$29:$F$52,HOUR(C7213)+Inputs!$C$69,MATCH(INDEX(Utility_Rates!$K$6:$K$17,MONTH(C7213))&amp;IF(WEEKDAY(C7213,Inputs!$C$76)&lt;=Inputs!$C$74," weekday"," weekend"),Utility_Rates!$C$28:$F$28,Inputs!$C$68)),"")</f>
      </c>
      <c r="H7213" s="34"/>
      <c r="I7213" s="42">
        <f>IF(AND(ISNUMBER(D7213),ISNUMBER(H7213)),D7213*H7213*Inputs!$C$69,"")</f>
      </c>
      <c r="J7213" s="42">
        <f>IF(AND(ISNUMBER(F7213),ISNUMBER(H7213),F7213&gt;=Inputs!$C$68),F7213*H7213*Inputs!$C$69,"")</f>
      </c>
    </row>
    <row r="7214" spans="2:10" ht="15" customHeight="1" x14ac:dyDescent="0.2">
      <c r="B7214" s="39">
        <f t="shared" si="56"/>
      </c>
      <c r="C7214" s="40">
        <f>IF(Inputs!$C$60,Inputs!$C$11+(B7214-Inputs!$C$69)/Inputs!$C$70,"")</f>
      </c>
      <c r="D7214" s="15"/>
      <c r="E7214" s="15"/>
      <c r="F7214" s="11">
        <f t="shared" si="57"/>
      </c>
      <c r="G7214" s="22" cm="1">
        <f t="array" ref="G7214">IF(AND(Inputs!$C$60,Inputs!$C$61),INDEX(Utility_Rates!$C$29:$F$52,HOUR(C7214)+Inputs!$C$69,MATCH(INDEX(Utility_Rates!$K$6:$K$17,MONTH(C7214))&amp;IF(WEEKDAY(C7214,Inputs!$C$76)&lt;=Inputs!$C$74," weekday"," weekend"),Utility_Rates!$C$28:$F$28,Inputs!$C$68)),"")</f>
      </c>
      <c r="H7214" s="34"/>
      <c r="I7214" s="42">
        <f>IF(AND(ISNUMBER(D7214),ISNUMBER(H7214)),D7214*H7214*Inputs!$C$69,"")</f>
      </c>
      <c r="J7214" s="42">
        <f>IF(AND(ISNUMBER(F7214),ISNUMBER(H7214),F7214&gt;=Inputs!$C$68),F7214*H7214*Inputs!$C$69,"")</f>
      </c>
    </row>
    <row r="7215" spans="2:10" ht="15" customHeight="1" x14ac:dyDescent="0.2">
      <c r="B7215" s="39">
        <f t="shared" si="56"/>
      </c>
      <c r="C7215" s="40">
        <f>IF(Inputs!$C$60,Inputs!$C$11+(B7215-Inputs!$C$69)/Inputs!$C$70,"")</f>
      </c>
      <c r="D7215" s="15"/>
      <c r="E7215" s="15"/>
      <c r="F7215" s="11">
        <f t="shared" si="57"/>
      </c>
      <c r="G7215" s="22" cm="1">
        <f t="array" ref="G7215">IF(AND(Inputs!$C$60,Inputs!$C$61),INDEX(Utility_Rates!$C$29:$F$52,HOUR(C7215)+Inputs!$C$69,MATCH(INDEX(Utility_Rates!$K$6:$K$17,MONTH(C7215))&amp;IF(WEEKDAY(C7215,Inputs!$C$76)&lt;=Inputs!$C$74," weekday"," weekend"),Utility_Rates!$C$28:$F$28,Inputs!$C$68)),"")</f>
      </c>
      <c r="H7215" s="34"/>
      <c r="I7215" s="42">
        <f>IF(AND(ISNUMBER(D7215),ISNUMBER(H7215)),D7215*H7215*Inputs!$C$69,"")</f>
      </c>
      <c r="J7215" s="42">
        <f>IF(AND(ISNUMBER(F7215),ISNUMBER(H7215),F7215&gt;=Inputs!$C$68),F7215*H7215*Inputs!$C$69,"")</f>
      </c>
    </row>
    <row r="7216" spans="2:10" ht="15" customHeight="1" x14ac:dyDescent="0.2">
      <c r="B7216" s="39">
        <f t="shared" si="56"/>
      </c>
      <c r="C7216" s="40">
        <f>IF(Inputs!$C$60,Inputs!$C$11+(B7216-Inputs!$C$69)/Inputs!$C$70,"")</f>
      </c>
      <c r="D7216" s="15"/>
      <c r="E7216" s="15"/>
      <c r="F7216" s="11">
        <f t="shared" si="57"/>
      </c>
      <c r="G7216" s="22" cm="1">
        <f t="array" ref="G7216">IF(AND(Inputs!$C$60,Inputs!$C$61),INDEX(Utility_Rates!$C$29:$F$52,HOUR(C7216)+Inputs!$C$69,MATCH(INDEX(Utility_Rates!$K$6:$K$17,MONTH(C7216))&amp;IF(WEEKDAY(C7216,Inputs!$C$76)&lt;=Inputs!$C$74," weekday"," weekend"),Utility_Rates!$C$28:$F$28,Inputs!$C$68)),"")</f>
      </c>
      <c r="H7216" s="34"/>
      <c r="I7216" s="42">
        <f>IF(AND(ISNUMBER(D7216),ISNUMBER(H7216)),D7216*H7216*Inputs!$C$69,"")</f>
      </c>
      <c r="J7216" s="42">
        <f>IF(AND(ISNUMBER(F7216),ISNUMBER(H7216),F7216&gt;=Inputs!$C$68),F7216*H7216*Inputs!$C$69,"")</f>
      </c>
    </row>
    <row r="7217" spans="2:10" ht="15" customHeight="1" x14ac:dyDescent="0.2">
      <c r="B7217" s="39">
        <f t="shared" si="56"/>
      </c>
      <c r="C7217" s="40">
        <f>IF(Inputs!$C$60,Inputs!$C$11+(B7217-Inputs!$C$69)/Inputs!$C$70,"")</f>
      </c>
      <c r="D7217" s="15"/>
      <c r="E7217" s="15"/>
      <c r="F7217" s="11">
        <f t="shared" si="57"/>
      </c>
      <c r="G7217" s="22" cm="1">
        <f t="array" ref="G7217">IF(AND(Inputs!$C$60,Inputs!$C$61),INDEX(Utility_Rates!$C$29:$F$52,HOUR(C7217)+Inputs!$C$69,MATCH(INDEX(Utility_Rates!$K$6:$K$17,MONTH(C7217))&amp;IF(WEEKDAY(C7217,Inputs!$C$76)&lt;=Inputs!$C$74," weekday"," weekend"),Utility_Rates!$C$28:$F$28,Inputs!$C$68)),"")</f>
      </c>
      <c r="H7217" s="34"/>
      <c r="I7217" s="42">
        <f>IF(AND(ISNUMBER(D7217),ISNUMBER(H7217)),D7217*H7217*Inputs!$C$69,"")</f>
      </c>
      <c r="J7217" s="42">
        <f>IF(AND(ISNUMBER(F7217),ISNUMBER(H7217),F7217&gt;=Inputs!$C$68),F7217*H7217*Inputs!$C$69,"")</f>
      </c>
    </row>
    <row r="7218" spans="2:10" ht="15" customHeight="1" x14ac:dyDescent="0.2">
      <c r="B7218" s="39">
        <f t="shared" si="56"/>
      </c>
      <c r="C7218" s="40">
        <f>IF(Inputs!$C$60,Inputs!$C$11+(B7218-Inputs!$C$69)/Inputs!$C$70,"")</f>
      </c>
      <c r="D7218" s="15"/>
      <c r="E7218" s="15"/>
      <c r="F7218" s="11">
        <f t="shared" si="57"/>
      </c>
      <c r="G7218" s="22" cm="1">
        <f t="array" ref="G7218">IF(AND(Inputs!$C$60,Inputs!$C$61),INDEX(Utility_Rates!$C$29:$F$52,HOUR(C7218)+Inputs!$C$69,MATCH(INDEX(Utility_Rates!$K$6:$K$17,MONTH(C7218))&amp;IF(WEEKDAY(C7218,Inputs!$C$76)&lt;=Inputs!$C$74," weekday"," weekend"),Utility_Rates!$C$28:$F$28,Inputs!$C$68)),"")</f>
      </c>
      <c r="H7218" s="34"/>
      <c r="I7218" s="42">
        <f>IF(AND(ISNUMBER(D7218),ISNUMBER(H7218)),D7218*H7218*Inputs!$C$69,"")</f>
      </c>
      <c r="J7218" s="42">
        <f>IF(AND(ISNUMBER(F7218),ISNUMBER(H7218),F7218&gt;=Inputs!$C$68),F7218*H7218*Inputs!$C$69,"")</f>
      </c>
    </row>
    <row r="7219" spans="2:10" ht="15" customHeight="1" x14ac:dyDescent="0.2">
      <c r="B7219" s="39">
        <f t="shared" si="56"/>
      </c>
      <c r="C7219" s="40">
        <f>IF(Inputs!$C$60,Inputs!$C$11+(B7219-Inputs!$C$69)/Inputs!$C$70,"")</f>
      </c>
      <c r="D7219" s="15"/>
      <c r="E7219" s="15"/>
      <c r="F7219" s="11">
        <f t="shared" si="57"/>
      </c>
      <c r="G7219" s="22" cm="1">
        <f t="array" ref="G7219">IF(AND(Inputs!$C$60,Inputs!$C$61),INDEX(Utility_Rates!$C$29:$F$52,HOUR(C7219)+Inputs!$C$69,MATCH(INDEX(Utility_Rates!$K$6:$K$17,MONTH(C7219))&amp;IF(WEEKDAY(C7219,Inputs!$C$76)&lt;=Inputs!$C$74," weekday"," weekend"),Utility_Rates!$C$28:$F$28,Inputs!$C$68)),"")</f>
      </c>
      <c r="H7219" s="34"/>
      <c r="I7219" s="42">
        <f>IF(AND(ISNUMBER(D7219),ISNUMBER(H7219)),D7219*H7219*Inputs!$C$69,"")</f>
      </c>
      <c r="J7219" s="42">
        <f>IF(AND(ISNUMBER(F7219),ISNUMBER(H7219),F7219&gt;=Inputs!$C$68),F7219*H7219*Inputs!$C$69,"")</f>
      </c>
    </row>
    <row r="7220" spans="2:10" ht="15" customHeight="1" x14ac:dyDescent="0.2">
      <c r="B7220" s="39">
        <f t="shared" si="56"/>
      </c>
      <c r="C7220" s="40">
        <f>IF(Inputs!$C$60,Inputs!$C$11+(B7220-Inputs!$C$69)/Inputs!$C$70,"")</f>
      </c>
      <c r="D7220" s="15"/>
      <c r="E7220" s="15"/>
      <c r="F7220" s="11">
        <f t="shared" si="57"/>
      </c>
      <c r="G7220" s="22" cm="1">
        <f t="array" ref="G7220">IF(AND(Inputs!$C$60,Inputs!$C$61),INDEX(Utility_Rates!$C$29:$F$52,HOUR(C7220)+Inputs!$C$69,MATCH(INDEX(Utility_Rates!$K$6:$K$17,MONTH(C7220))&amp;IF(WEEKDAY(C7220,Inputs!$C$76)&lt;=Inputs!$C$74," weekday"," weekend"),Utility_Rates!$C$28:$F$28,Inputs!$C$68)),"")</f>
      </c>
      <c r="H7220" s="34"/>
      <c r="I7220" s="42">
        <f>IF(AND(ISNUMBER(D7220),ISNUMBER(H7220)),D7220*H7220*Inputs!$C$69,"")</f>
      </c>
      <c r="J7220" s="42">
        <f>IF(AND(ISNUMBER(F7220),ISNUMBER(H7220),F7220&gt;=Inputs!$C$68),F7220*H7220*Inputs!$C$69,"")</f>
      </c>
    </row>
    <row r="7221" spans="2:10" ht="15" customHeight="1" x14ac:dyDescent="0.2">
      <c r="B7221" s="39">
        <f t="shared" si="56"/>
      </c>
      <c r="C7221" s="40">
        <f>IF(Inputs!$C$60,Inputs!$C$11+(B7221-Inputs!$C$69)/Inputs!$C$70,"")</f>
      </c>
      <c r="D7221" s="15"/>
      <c r="E7221" s="15"/>
      <c r="F7221" s="11">
        <f t="shared" si="57"/>
      </c>
      <c r="G7221" s="22" cm="1">
        <f t="array" ref="G7221">IF(AND(Inputs!$C$60,Inputs!$C$61),INDEX(Utility_Rates!$C$29:$F$52,HOUR(C7221)+Inputs!$C$69,MATCH(INDEX(Utility_Rates!$K$6:$K$17,MONTH(C7221))&amp;IF(WEEKDAY(C7221,Inputs!$C$76)&lt;=Inputs!$C$74," weekday"," weekend"),Utility_Rates!$C$28:$F$28,Inputs!$C$68)),"")</f>
      </c>
      <c r="H7221" s="34"/>
      <c r="I7221" s="42">
        <f>IF(AND(ISNUMBER(D7221),ISNUMBER(H7221)),D7221*H7221*Inputs!$C$69,"")</f>
      </c>
      <c r="J7221" s="42">
        <f>IF(AND(ISNUMBER(F7221),ISNUMBER(H7221),F7221&gt;=Inputs!$C$68),F7221*H7221*Inputs!$C$69,"")</f>
      </c>
    </row>
    <row r="7222" spans="2:10" ht="15" customHeight="1" x14ac:dyDescent="0.2">
      <c r="B7222" s="39">
        <f t="shared" si="56"/>
      </c>
      <c r="C7222" s="40">
        <f>IF(Inputs!$C$60,Inputs!$C$11+(B7222-Inputs!$C$69)/Inputs!$C$70,"")</f>
      </c>
      <c r="D7222" s="15"/>
      <c r="E7222" s="15"/>
      <c r="F7222" s="11">
        <f t="shared" si="57"/>
      </c>
      <c r="G7222" s="22" cm="1">
        <f t="array" ref="G7222">IF(AND(Inputs!$C$60,Inputs!$C$61),INDEX(Utility_Rates!$C$29:$F$52,HOUR(C7222)+Inputs!$C$69,MATCH(INDEX(Utility_Rates!$K$6:$K$17,MONTH(C7222))&amp;IF(WEEKDAY(C7222,Inputs!$C$76)&lt;=Inputs!$C$74," weekday"," weekend"),Utility_Rates!$C$28:$F$28,Inputs!$C$68)),"")</f>
      </c>
      <c r="H7222" s="34"/>
      <c r="I7222" s="42">
        <f>IF(AND(ISNUMBER(D7222),ISNUMBER(H7222)),D7222*H7222*Inputs!$C$69,"")</f>
      </c>
      <c r="J7222" s="42">
        <f>IF(AND(ISNUMBER(F7222),ISNUMBER(H7222),F7222&gt;=Inputs!$C$68),F7222*H7222*Inputs!$C$69,"")</f>
      </c>
    </row>
    <row r="7223" spans="2:10" ht="15" customHeight="1" x14ac:dyDescent="0.2">
      <c r="B7223" s="39">
        <f t="shared" si="56"/>
      </c>
      <c r="C7223" s="40">
        <f>IF(Inputs!$C$60,Inputs!$C$11+(B7223-Inputs!$C$69)/Inputs!$C$70,"")</f>
      </c>
      <c r="D7223" s="15"/>
      <c r="E7223" s="15"/>
      <c r="F7223" s="11">
        <f t="shared" si="57"/>
      </c>
      <c r="G7223" s="22" cm="1">
        <f t="array" ref="G7223">IF(AND(Inputs!$C$60,Inputs!$C$61),INDEX(Utility_Rates!$C$29:$F$52,HOUR(C7223)+Inputs!$C$69,MATCH(INDEX(Utility_Rates!$K$6:$K$17,MONTH(C7223))&amp;IF(WEEKDAY(C7223,Inputs!$C$76)&lt;=Inputs!$C$74," weekday"," weekend"),Utility_Rates!$C$28:$F$28,Inputs!$C$68)),"")</f>
      </c>
      <c r="H7223" s="34"/>
      <c r="I7223" s="42">
        <f>IF(AND(ISNUMBER(D7223),ISNUMBER(H7223)),D7223*H7223*Inputs!$C$69,"")</f>
      </c>
      <c r="J7223" s="42">
        <f>IF(AND(ISNUMBER(F7223),ISNUMBER(H7223),F7223&gt;=Inputs!$C$68),F7223*H7223*Inputs!$C$69,"")</f>
      </c>
    </row>
    <row r="7224" spans="2:10" ht="15" customHeight="1" x14ac:dyDescent="0.2">
      <c r="B7224" s="39">
        <f t="shared" si="56"/>
      </c>
      <c r="C7224" s="40">
        <f>IF(Inputs!$C$60,Inputs!$C$11+(B7224-Inputs!$C$69)/Inputs!$C$70,"")</f>
      </c>
      <c r="D7224" s="15"/>
      <c r="E7224" s="15"/>
      <c r="F7224" s="11">
        <f t="shared" si="57"/>
      </c>
      <c r="G7224" s="22" cm="1">
        <f t="array" ref="G7224">IF(AND(Inputs!$C$60,Inputs!$C$61),INDEX(Utility_Rates!$C$29:$F$52,HOUR(C7224)+Inputs!$C$69,MATCH(INDEX(Utility_Rates!$K$6:$K$17,MONTH(C7224))&amp;IF(WEEKDAY(C7224,Inputs!$C$76)&lt;=Inputs!$C$74," weekday"," weekend"),Utility_Rates!$C$28:$F$28,Inputs!$C$68)),"")</f>
      </c>
      <c r="H7224" s="34"/>
      <c r="I7224" s="42">
        <f>IF(AND(ISNUMBER(D7224),ISNUMBER(H7224)),D7224*H7224*Inputs!$C$69,"")</f>
      </c>
      <c r="J7224" s="42">
        <f>IF(AND(ISNUMBER(F7224),ISNUMBER(H7224),F7224&gt;=Inputs!$C$68),F7224*H7224*Inputs!$C$69,"")</f>
      </c>
    </row>
    <row r="7225" spans="2:10" ht="15" customHeight="1" x14ac:dyDescent="0.2">
      <c r="B7225" s="39">
        <f t="shared" si="56"/>
      </c>
      <c r="C7225" s="40">
        <f>IF(Inputs!$C$60,Inputs!$C$11+(B7225-Inputs!$C$69)/Inputs!$C$70,"")</f>
      </c>
      <c r="D7225" s="15"/>
      <c r="E7225" s="15"/>
      <c r="F7225" s="11">
        <f t="shared" si="57"/>
      </c>
      <c r="G7225" s="22" cm="1">
        <f t="array" ref="G7225">IF(AND(Inputs!$C$60,Inputs!$C$61),INDEX(Utility_Rates!$C$29:$F$52,HOUR(C7225)+Inputs!$C$69,MATCH(INDEX(Utility_Rates!$K$6:$K$17,MONTH(C7225))&amp;IF(WEEKDAY(C7225,Inputs!$C$76)&lt;=Inputs!$C$74," weekday"," weekend"),Utility_Rates!$C$28:$F$28,Inputs!$C$68)),"")</f>
      </c>
      <c r="H7225" s="34"/>
      <c r="I7225" s="42">
        <f>IF(AND(ISNUMBER(D7225),ISNUMBER(H7225)),D7225*H7225*Inputs!$C$69,"")</f>
      </c>
      <c r="J7225" s="42">
        <f>IF(AND(ISNUMBER(F7225),ISNUMBER(H7225),F7225&gt;=Inputs!$C$68),F7225*H7225*Inputs!$C$69,"")</f>
      </c>
    </row>
    <row r="7226" spans="2:10" ht="15" customHeight="1" x14ac:dyDescent="0.2">
      <c r="B7226" s="39">
        <f t="shared" si="56"/>
      </c>
      <c r="C7226" s="40">
        <f>IF(Inputs!$C$60,Inputs!$C$11+(B7226-Inputs!$C$69)/Inputs!$C$70,"")</f>
      </c>
      <c r="D7226" s="15"/>
      <c r="E7226" s="15"/>
      <c r="F7226" s="11">
        <f t="shared" si="57"/>
      </c>
      <c r="G7226" s="22" cm="1">
        <f t="array" ref="G7226">IF(AND(Inputs!$C$60,Inputs!$C$61),INDEX(Utility_Rates!$C$29:$F$52,HOUR(C7226)+Inputs!$C$69,MATCH(INDEX(Utility_Rates!$K$6:$K$17,MONTH(C7226))&amp;IF(WEEKDAY(C7226,Inputs!$C$76)&lt;=Inputs!$C$74," weekday"," weekend"),Utility_Rates!$C$28:$F$28,Inputs!$C$68)),"")</f>
      </c>
      <c r="H7226" s="34"/>
      <c r="I7226" s="42">
        <f>IF(AND(ISNUMBER(D7226),ISNUMBER(H7226)),D7226*H7226*Inputs!$C$69,"")</f>
      </c>
      <c r="J7226" s="42">
        <f>IF(AND(ISNUMBER(F7226),ISNUMBER(H7226),F7226&gt;=Inputs!$C$68),F7226*H7226*Inputs!$C$69,"")</f>
      </c>
    </row>
    <row r="7227" spans="2:10" ht="15" customHeight="1" x14ac:dyDescent="0.2">
      <c r="B7227" s="39">
        <f t="shared" si="56"/>
      </c>
      <c r="C7227" s="40">
        <f>IF(Inputs!$C$60,Inputs!$C$11+(B7227-Inputs!$C$69)/Inputs!$C$70,"")</f>
      </c>
      <c r="D7227" s="15"/>
      <c r="E7227" s="15"/>
      <c r="F7227" s="11">
        <f t="shared" si="57"/>
      </c>
      <c r="G7227" s="22" cm="1">
        <f t="array" ref="G7227">IF(AND(Inputs!$C$60,Inputs!$C$61),INDEX(Utility_Rates!$C$29:$F$52,HOUR(C7227)+Inputs!$C$69,MATCH(INDEX(Utility_Rates!$K$6:$K$17,MONTH(C7227))&amp;IF(WEEKDAY(C7227,Inputs!$C$76)&lt;=Inputs!$C$74," weekday"," weekend"),Utility_Rates!$C$28:$F$28,Inputs!$C$68)),"")</f>
      </c>
      <c r="H7227" s="34"/>
      <c r="I7227" s="42">
        <f>IF(AND(ISNUMBER(D7227),ISNUMBER(H7227)),D7227*H7227*Inputs!$C$69,"")</f>
      </c>
      <c r="J7227" s="42">
        <f>IF(AND(ISNUMBER(F7227),ISNUMBER(H7227),F7227&gt;=Inputs!$C$68),F7227*H7227*Inputs!$C$69,"")</f>
      </c>
    </row>
    <row r="7228" spans="2:10" ht="15" customHeight="1" x14ac:dyDescent="0.2">
      <c r="B7228" s="39">
        <f t="shared" si="56"/>
      </c>
      <c r="C7228" s="40">
        <f>IF(Inputs!$C$60,Inputs!$C$11+(B7228-Inputs!$C$69)/Inputs!$C$70,"")</f>
      </c>
      <c r="D7228" s="15"/>
      <c r="E7228" s="15"/>
      <c r="F7228" s="11">
        <f t="shared" si="57"/>
      </c>
      <c r="G7228" s="22" cm="1">
        <f t="array" ref="G7228">IF(AND(Inputs!$C$60,Inputs!$C$61),INDEX(Utility_Rates!$C$29:$F$52,HOUR(C7228)+Inputs!$C$69,MATCH(INDEX(Utility_Rates!$K$6:$K$17,MONTH(C7228))&amp;IF(WEEKDAY(C7228,Inputs!$C$76)&lt;=Inputs!$C$74," weekday"," weekend"),Utility_Rates!$C$28:$F$28,Inputs!$C$68)),"")</f>
      </c>
      <c r="H7228" s="34"/>
      <c r="I7228" s="42">
        <f>IF(AND(ISNUMBER(D7228),ISNUMBER(H7228)),D7228*H7228*Inputs!$C$69,"")</f>
      </c>
      <c r="J7228" s="42">
        <f>IF(AND(ISNUMBER(F7228),ISNUMBER(H7228),F7228&gt;=Inputs!$C$68),F7228*H7228*Inputs!$C$69,"")</f>
      </c>
    </row>
    <row r="7229" spans="2:10" ht="15" customHeight="1" x14ac:dyDescent="0.2">
      <c r="B7229" s="39">
        <f t="shared" si="56"/>
      </c>
      <c r="C7229" s="40">
        <f>IF(Inputs!$C$60,Inputs!$C$11+(B7229-Inputs!$C$69)/Inputs!$C$70,"")</f>
      </c>
      <c r="D7229" s="15"/>
      <c r="E7229" s="15"/>
      <c r="F7229" s="11">
        <f t="shared" si="57"/>
      </c>
      <c r="G7229" s="22" cm="1">
        <f t="array" ref="G7229">IF(AND(Inputs!$C$60,Inputs!$C$61),INDEX(Utility_Rates!$C$29:$F$52,HOUR(C7229)+Inputs!$C$69,MATCH(INDEX(Utility_Rates!$K$6:$K$17,MONTH(C7229))&amp;IF(WEEKDAY(C7229,Inputs!$C$76)&lt;=Inputs!$C$74," weekday"," weekend"),Utility_Rates!$C$28:$F$28,Inputs!$C$68)),"")</f>
      </c>
      <c r="H7229" s="34"/>
      <c r="I7229" s="42">
        <f>IF(AND(ISNUMBER(D7229),ISNUMBER(H7229)),D7229*H7229*Inputs!$C$69,"")</f>
      </c>
      <c r="J7229" s="42">
        <f>IF(AND(ISNUMBER(F7229),ISNUMBER(H7229),F7229&gt;=Inputs!$C$68),F7229*H7229*Inputs!$C$69,"")</f>
      </c>
    </row>
    <row r="7230" spans="2:10" ht="15" customHeight="1" x14ac:dyDescent="0.2">
      <c r="B7230" s="39">
        <f t="shared" si="56"/>
      </c>
      <c r="C7230" s="40">
        <f>IF(Inputs!$C$60,Inputs!$C$11+(B7230-Inputs!$C$69)/Inputs!$C$70,"")</f>
      </c>
      <c r="D7230" s="15"/>
      <c r="E7230" s="15"/>
      <c r="F7230" s="11">
        <f t="shared" si="57"/>
      </c>
      <c r="G7230" s="22" cm="1">
        <f t="array" ref="G7230">IF(AND(Inputs!$C$60,Inputs!$C$61),INDEX(Utility_Rates!$C$29:$F$52,HOUR(C7230)+Inputs!$C$69,MATCH(INDEX(Utility_Rates!$K$6:$K$17,MONTH(C7230))&amp;IF(WEEKDAY(C7230,Inputs!$C$76)&lt;=Inputs!$C$74," weekday"," weekend"),Utility_Rates!$C$28:$F$28,Inputs!$C$68)),"")</f>
      </c>
      <c r="H7230" s="34"/>
      <c r="I7230" s="42">
        <f>IF(AND(ISNUMBER(D7230),ISNUMBER(H7230)),D7230*H7230*Inputs!$C$69,"")</f>
      </c>
      <c r="J7230" s="42">
        <f>IF(AND(ISNUMBER(F7230),ISNUMBER(H7230),F7230&gt;=Inputs!$C$68),F7230*H7230*Inputs!$C$69,"")</f>
      </c>
    </row>
    <row r="7231" spans="2:10" ht="15" customHeight="1" x14ac:dyDescent="0.2">
      <c r="B7231" s="39">
        <f t="shared" si="56"/>
      </c>
      <c r="C7231" s="40">
        <f>IF(Inputs!$C$60,Inputs!$C$11+(B7231-Inputs!$C$69)/Inputs!$C$70,"")</f>
      </c>
      <c r="D7231" s="15"/>
      <c r="E7231" s="15"/>
      <c r="F7231" s="11">
        <f t="shared" si="57"/>
      </c>
      <c r="G7231" s="22" cm="1">
        <f t="array" ref="G7231">IF(AND(Inputs!$C$60,Inputs!$C$61),INDEX(Utility_Rates!$C$29:$F$52,HOUR(C7231)+Inputs!$C$69,MATCH(INDEX(Utility_Rates!$K$6:$K$17,MONTH(C7231))&amp;IF(WEEKDAY(C7231,Inputs!$C$76)&lt;=Inputs!$C$74," weekday"," weekend"),Utility_Rates!$C$28:$F$28,Inputs!$C$68)),"")</f>
      </c>
      <c r="H7231" s="34"/>
      <c r="I7231" s="42">
        <f>IF(AND(ISNUMBER(D7231),ISNUMBER(H7231)),D7231*H7231*Inputs!$C$69,"")</f>
      </c>
      <c r="J7231" s="42">
        <f>IF(AND(ISNUMBER(F7231),ISNUMBER(H7231),F7231&gt;=Inputs!$C$68),F7231*H7231*Inputs!$C$69,"")</f>
      </c>
    </row>
    <row r="7232" spans="2:10" ht="15" customHeight="1" x14ac:dyDescent="0.2">
      <c r="B7232" s="39">
        <f t="shared" si="56"/>
      </c>
      <c r="C7232" s="40">
        <f>IF(Inputs!$C$60,Inputs!$C$11+(B7232-Inputs!$C$69)/Inputs!$C$70,"")</f>
      </c>
      <c r="D7232" s="15"/>
      <c r="E7232" s="15"/>
      <c r="F7232" s="11">
        <f t="shared" si="57"/>
      </c>
      <c r="G7232" s="22" cm="1">
        <f t="array" ref="G7232">IF(AND(Inputs!$C$60,Inputs!$C$61),INDEX(Utility_Rates!$C$29:$F$52,HOUR(C7232)+Inputs!$C$69,MATCH(INDEX(Utility_Rates!$K$6:$K$17,MONTH(C7232))&amp;IF(WEEKDAY(C7232,Inputs!$C$76)&lt;=Inputs!$C$74," weekday"," weekend"),Utility_Rates!$C$28:$F$28,Inputs!$C$68)),"")</f>
      </c>
      <c r="H7232" s="34"/>
      <c r="I7232" s="42">
        <f>IF(AND(ISNUMBER(D7232),ISNUMBER(H7232)),D7232*H7232*Inputs!$C$69,"")</f>
      </c>
      <c r="J7232" s="42">
        <f>IF(AND(ISNUMBER(F7232),ISNUMBER(H7232),F7232&gt;=Inputs!$C$68),F7232*H7232*Inputs!$C$69,"")</f>
      </c>
    </row>
    <row r="7233" spans="2:10" ht="15" customHeight="1" x14ac:dyDescent="0.2">
      <c r="B7233" s="39">
        <f t="shared" si="56"/>
      </c>
      <c r="C7233" s="40">
        <f>IF(Inputs!$C$60,Inputs!$C$11+(B7233-Inputs!$C$69)/Inputs!$C$70,"")</f>
      </c>
      <c r="D7233" s="15"/>
      <c r="E7233" s="15"/>
      <c r="F7233" s="11">
        <f t="shared" si="57"/>
      </c>
      <c r="G7233" s="22" cm="1">
        <f t="array" ref="G7233">IF(AND(Inputs!$C$60,Inputs!$C$61),INDEX(Utility_Rates!$C$29:$F$52,HOUR(C7233)+Inputs!$C$69,MATCH(INDEX(Utility_Rates!$K$6:$K$17,MONTH(C7233))&amp;IF(WEEKDAY(C7233,Inputs!$C$76)&lt;=Inputs!$C$74," weekday"," weekend"),Utility_Rates!$C$28:$F$28,Inputs!$C$68)),"")</f>
      </c>
      <c r="H7233" s="34"/>
      <c r="I7233" s="42">
        <f>IF(AND(ISNUMBER(D7233),ISNUMBER(H7233)),D7233*H7233*Inputs!$C$69,"")</f>
      </c>
      <c r="J7233" s="42">
        <f>IF(AND(ISNUMBER(F7233),ISNUMBER(H7233),F7233&gt;=Inputs!$C$68),F7233*H7233*Inputs!$C$69,"")</f>
      </c>
    </row>
    <row r="7234" spans="2:10" ht="15" customHeight="1" x14ac:dyDescent="0.2">
      <c r="B7234" s="39">
        <f t="shared" si="56"/>
      </c>
      <c r="C7234" s="40">
        <f>IF(Inputs!$C$60,Inputs!$C$11+(B7234-Inputs!$C$69)/Inputs!$C$70,"")</f>
      </c>
      <c r="D7234" s="15"/>
      <c r="E7234" s="15"/>
      <c r="F7234" s="11">
        <f t="shared" si="57"/>
      </c>
      <c r="G7234" s="22" cm="1">
        <f t="array" ref="G7234">IF(AND(Inputs!$C$60,Inputs!$C$61),INDEX(Utility_Rates!$C$29:$F$52,HOUR(C7234)+Inputs!$C$69,MATCH(INDEX(Utility_Rates!$K$6:$K$17,MONTH(C7234))&amp;IF(WEEKDAY(C7234,Inputs!$C$76)&lt;=Inputs!$C$74," weekday"," weekend"),Utility_Rates!$C$28:$F$28,Inputs!$C$68)),"")</f>
      </c>
      <c r="H7234" s="34"/>
      <c r="I7234" s="42">
        <f>IF(AND(ISNUMBER(D7234),ISNUMBER(H7234)),D7234*H7234*Inputs!$C$69,"")</f>
      </c>
      <c r="J7234" s="42">
        <f>IF(AND(ISNUMBER(F7234),ISNUMBER(H7234),F7234&gt;=Inputs!$C$68),F7234*H7234*Inputs!$C$69,"")</f>
      </c>
    </row>
    <row r="7235" spans="2:10" ht="15" customHeight="1" x14ac:dyDescent="0.2">
      <c r="B7235" s="39">
        <f t="shared" si="56"/>
      </c>
      <c r="C7235" s="40">
        <f>IF(Inputs!$C$60,Inputs!$C$11+(B7235-Inputs!$C$69)/Inputs!$C$70,"")</f>
      </c>
      <c r="D7235" s="15"/>
      <c r="E7235" s="15"/>
      <c r="F7235" s="11">
        <f t="shared" si="57"/>
      </c>
      <c r="G7235" s="22" cm="1">
        <f t="array" ref="G7235">IF(AND(Inputs!$C$60,Inputs!$C$61),INDEX(Utility_Rates!$C$29:$F$52,HOUR(C7235)+Inputs!$C$69,MATCH(INDEX(Utility_Rates!$K$6:$K$17,MONTH(C7235))&amp;IF(WEEKDAY(C7235,Inputs!$C$76)&lt;=Inputs!$C$74," weekday"," weekend"),Utility_Rates!$C$28:$F$28,Inputs!$C$68)),"")</f>
      </c>
      <c r="H7235" s="34"/>
      <c r="I7235" s="42">
        <f>IF(AND(ISNUMBER(D7235),ISNUMBER(H7235)),D7235*H7235*Inputs!$C$69,"")</f>
      </c>
      <c r="J7235" s="42">
        <f>IF(AND(ISNUMBER(F7235),ISNUMBER(H7235),F7235&gt;=Inputs!$C$68),F7235*H7235*Inputs!$C$69,"")</f>
      </c>
    </row>
    <row r="7236" spans="2:10" ht="15" customHeight="1" x14ac:dyDescent="0.2">
      <c r="B7236" s="39">
        <f t="shared" si="56"/>
      </c>
      <c r="C7236" s="40">
        <f>IF(Inputs!$C$60,Inputs!$C$11+(B7236-Inputs!$C$69)/Inputs!$C$70,"")</f>
      </c>
      <c r="D7236" s="15"/>
      <c r="E7236" s="15"/>
      <c r="F7236" s="11">
        <f t="shared" si="57"/>
      </c>
      <c r="G7236" s="22" cm="1">
        <f t="array" ref="G7236">IF(AND(Inputs!$C$60,Inputs!$C$61),INDEX(Utility_Rates!$C$29:$F$52,HOUR(C7236)+Inputs!$C$69,MATCH(INDEX(Utility_Rates!$K$6:$K$17,MONTH(C7236))&amp;IF(WEEKDAY(C7236,Inputs!$C$76)&lt;=Inputs!$C$74," weekday"," weekend"),Utility_Rates!$C$28:$F$28,Inputs!$C$68)),"")</f>
      </c>
      <c r="H7236" s="34"/>
      <c r="I7236" s="42">
        <f>IF(AND(ISNUMBER(D7236),ISNUMBER(H7236)),D7236*H7236*Inputs!$C$69,"")</f>
      </c>
      <c r="J7236" s="42">
        <f>IF(AND(ISNUMBER(F7236),ISNUMBER(H7236),F7236&gt;=Inputs!$C$68),F7236*H7236*Inputs!$C$69,"")</f>
      </c>
    </row>
    <row r="7237" spans="2:10" ht="15" customHeight="1" x14ac:dyDescent="0.2">
      <c r="B7237" s="39">
        <f t="shared" si="56"/>
      </c>
      <c r="C7237" s="40">
        <f>IF(Inputs!$C$60,Inputs!$C$11+(B7237-Inputs!$C$69)/Inputs!$C$70,"")</f>
      </c>
      <c r="D7237" s="15"/>
      <c r="E7237" s="15"/>
      <c r="F7237" s="11">
        <f t="shared" si="57"/>
      </c>
      <c r="G7237" s="22" cm="1">
        <f t="array" ref="G7237">IF(AND(Inputs!$C$60,Inputs!$C$61),INDEX(Utility_Rates!$C$29:$F$52,HOUR(C7237)+Inputs!$C$69,MATCH(INDEX(Utility_Rates!$K$6:$K$17,MONTH(C7237))&amp;IF(WEEKDAY(C7237,Inputs!$C$76)&lt;=Inputs!$C$74," weekday"," weekend"),Utility_Rates!$C$28:$F$28,Inputs!$C$68)),"")</f>
      </c>
      <c r="H7237" s="34"/>
      <c r="I7237" s="42">
        <f>IF(AND(ISNUMBER(D7237),ISNUMBER(H7237)),D7237*H7237*Inputs!$C$69,"")</f>
      </c>
      <c r="J7237" s="42">
        <f>IF(AND(ISNUMBER(F7237),ISNUMBER(H7237),F7237&gt;=Inputs!$C$68),F7237*H7237*Inputs!$C$69,"")</f>
      </c>
    </row>
    <row r="7238" spans="2:10" ht="15" customHeight="1" x14ac:dyDescent="0.2">
      <c r="B7238" s="39">
        <f t="shared" si="56"/>
      </c>
      <c r="C7238" s="40">
        <f>IF(Inputs!$C$60,Inputs!$C$11+(B7238-Inputs!$C$69)/Inputs!$C$70,"")</f>
      </c>
      <c r="D7238" s="15"/>
      <c r="E7238" s="15"/>
      <c r="F7238" s="11">
        <f t="shared" si="57"/>
      </c>
      <c r="G7238" s="22" cm="1">
        <f t="array" ref="G7238">IF(AND(Inputs!$C$60,Inputs!$C$61),INDEX(Utility_Rates!$C$29:$F$52,HOUR(C7238)+Inputs!$C$69,MATCH(INDEX(Utility_Rates!$K$6:$K$17,MONTH(C7238))&amp;IF(WEEKDAY(C7238,Inputs!$C$76)&lt;=Inputs!$C$74," weekday"," weekend"),Utility_Rates!$C$28:$F$28,Inputs!$C$68)),"")</f>
      </c>
      <c r="H7238" s="34"/>
      <c r="I7238" s="42">
        <f>IF(AND(ISNUMBER(D7238),ISNUMBER(H7238)),D7238*H7238*Inputs!$C$69,"")</f>
      </c>
      <c r="J7238" s="42">
        <f>IF(AND(ISNUMBER(F7238),ISNUMBER(H7238),F7238&gt;=Inputs!$C$68),F7238*H7238*Inputs!$C$69,"")</f>
      </c>
    </row>
    <row r="7239" spans="2:10" ht="15" customHeight="1" x14ac:dyDescent="0.2">
      <c r="B7239" s="39">
        <f t="shared" si="56"/>
      </c>
      <c r="C7239" s="40">
        <f>IF(Inputs!$C$60,Inputs!$C$11+(B7239-Inputs!$C$69)/Inputs!$C$70,"")</f>
      </c>
      <c r="D7239" s="15"/>
      <c r="E7239" s="15"/>
      <c r="F7239" s="11">
        <f t="shared" si="57"/>
      </c>
      <c r="G7239" s="22" cm="1">
        <f t="array" ref="G7239">IF(AND(Inputs!$C$60,Inputs!$C$61),INDEX(Utility_Rates!$C$29:$F$52,HOUR(C7239)+Inputs!$C$69,MATCH(INDEX(Utility_Rates!$K$6:$K$17,MONTH(C7239))&amp;IF(WEEKDAY(C7239,Inputs!$C$76)&lt;=Inputs!$C$74," weekday"," weekend"),Utility_Rates!$C$28:$F$28,Inputs!$C$68)),"")</f>
      </c>
      <c r="H7239" s="34"/>
      <c r="I7239" s="42">
        <f>IF(AND(ISNUMBER(D7239),ISNUMBER(H7239)),D7239*H7239*Inputs!$C$69,"")</f>
      </c>
      <c r="J7239" s="42">
        <f>IF(AND(ISNUMBER(F7239),ISNUMBER(H7239),F7239&gt;=Inputs!$C$68),F7239*H7239*Inputs!$C$69,"")</f>
      </c>
    </row>
    <row r="7240" spans="2:10" ht="15" customHeight="1" x14ac:dyDescent="0.2">
      <c r="B7240" s="39">
        <f t="shared" si="56"/>
      </c>
      <c r="C7240" s="40">
        <f>IF(Inputs!$C$60,Inputs!$C$11+(B7240-Inputs!$C$69)/Inputs!$C$70,"")</f>
      </c>
      <c r="D7240" s="15"/>
      <c r="E7240" s="15"/>
      <c r="F7240" s="11">
        <f t="shared" si="57"/>
      </c>
      <c r="G7240" s="22" cm="1">
        <f t="array" ref="G7240">IF(AND(Inputs!$C$60,Inputs!$C$61),INDEX(Utility_Rates!$C$29:$F$52,HOUR(C7240)+Inputs!$C$69,MATCH(INDEX(Utility_Rates!$K$6:$K$17,MONTH(C7240))&amp;IF(WEEKDAY(C7240,Inputs!$C$76)&lt;=Inputs!$C$74," weekday"," weekend"),Utility_Rates!$C$28:$F$28,Inputs!$C$68)),"")</f>
      </c>
      <c r="H7240" s="34"/>
      <c r="I7240" s="42">
        <f>IF(AND(ISNUMBER(D7240),ISNUMBER(H7240)),D7240*H7240*Inputs!$C$69,"")</f>
      </c>
      <c r="J7240" s="42">
        <f>IF(AND(ISNUMBER(F7240),ISNUMBER(H7240),F7240&gt;=Inputs!$C$68),F7240*H7240*Inputs!$C$69,"")</f>
      </c>
    </row>
    <row r="7241" spans="2:10" ht="15" customHeight="1" x14ac:dyDescent="0.2">
      <c r="B7241" s="39">
        <f t="shared" si="56"/>
      </c>
      <c r="C7241" s="40">
        <f>IF(Inputs!$C$60,Inputs!$C$11+(B7241-Inputs!$C$69)/Inputs!$C$70,"")</f>
      </c>
      <c r="D7241" s="15"/>
      <c r="E7241" s="15"/>
      <c r="F7241" s="11">
        <f t="shared" si="57"/>
      </c>
      <c r="G7241" s="22" cm="1">
        <f t="array" ref="G7241">IF(AND(Inputs!$C$60,Inputs!$C$61),INDEX(Utility_Rates!$C$29:$F$52,HOUR(C7241)+Inputs!$C$69,MATCH(INDEX(Utility_Rates!$K$6:$K$17,MONTH(C7241))&amp;IF(WEEKDAY(C7241,Inputs!$C$76)&lt;=Inputs!$C$74," weekday"," weekend"),Utility_Rates!$C$28:$F$28,Inputs!$C$68)),"")</f>
      </c>
      <c r="H7241" s="34"/>
      <c r="I7241" s="42">
        <f>IF(AND(ISNUMBER(D7241),ISNUMBER(H7241)),D7241*H7241*Inputs!$C$69,"")</f>
      </c>
      <c r="J7241" s="42">
        <f>IF(AND(ISNUMBER(F7241),ISNUMBER(H7241),F7241&gt;=Inputs!$C$68),F7241*H7241*Inputs!$C$69,"")</f>
      </c>
    </row>
    <row r="7242" spans="2:10" ht="15" customHeight="1" x14ac:dyDescent="0.2">
      <c r="B7242" s="39">
        <f t="shared" si="56"/>
      </c>
      <c r="C7242" s="40">
        <f>IF(Inputs!$C$60,Inputs!$C$11+(B7242-Inputs!$C$69)/Inputs!$C$70,"")</f>
      </c>
      <c r="D7242" s="15"/>
      <c r="E7242" s="15"/>
      <c r="F7242" s="11">
        <f t="shared" si="57"/>
      </c>
      <c r="G7242" s="22" cm="1">
        <f t="array" ref="G7242">IF(AND(Inputs!$C$60,Inputs!$C$61),INDEX(Utility_Rates!$C$29:$F$52,HOUR(C7242)+Inputs!$C$69,MATCH(INDEX(Utility_Rates!$K$6:$K$17,MONTH(C7242))&amp;IF(WEEKDAY(C7242,Inputs!$C$76)&lt;=Inputs!$C$74," weekday"," weekend"),Utility_Rates!$C$28:$F$28,Inputs!$C$68)),"")</f>
      </c>
      <c r="H7242" s="34"/>
      <c r="I7242" s="42">
        <f>IF(AND(ISNUMBER(D7242),ISNUMBER(H7242)),D7242*H7242*Inputs!$C$69,"")</f>
      </c>
      <c r="J7242" s="42">
        <f>IF(AND(ISNUMBER(F7242),ISNUMBER(H7242),F7242&gt;=Inputs!$C$68),F7242*H7242*Inputs!$C$69,"")</f>
      </c>
    </row>
    <row r="7243" spans="2:10" ht="15" customHeight="1" x14ac:dyDescent="0.2">
      <c r="B7243" s="39">
        <f t="shared" si="56"/>
      </c>
      <c r="C7243" s="40">
        <f>IF(Inputs!$C$60,Inputs!$C$11+(B7243-Inputs!$C$69)/Inputs!$C$70,"")</f>
      </c>
      <c r="D7243" s="15"/>
      <c r="E7243" s="15"/>
      <c r="F7243" s="11">
        <f t="shared" si="57"/>
      </c>
      <c r="G7243" s="22" cm="1">
        <f t="array" ref="G7243">IF(AND(Inputs!$C$60,Inputs!$C$61),INDEX(Utility_Rates!$C$29:$F$52,HOUR(C7243)+Inputs!$C$69,MATCH(INDEX(Utility_Rates!$K$6:$K$17,MONTH(C7243))&amp;IF(WEEKDAY(C7243,Inputs!$C$76)&lt;=Inputs!$C$74," weekday"," weekend"),Utility_Rates!$C$28:$F$28,Inputs!$C$68)),"")</f>
      </c>
      <c r="H7243" s="34"/>
      <c r="I7243" s="42">
        <f>IF(AND(ISNUMBER(D7243),ISNUMBER(H7243)),D7243*H7243*Inputs!$C$69,"")</f>
      </c>
      <c r="J7243" s="42">
        <f>IF(AND(ISNUMBER(F7243),ISNUMBER(H7243),F7243&gt;=Inputs!$C$68),F7243*H7243*Inputs!$C$69,"")</f>
      </c>
    </row>
    <row r="7244" spans="2:10" ht="15" customHeight="1" x14ac:dyDescent="0.2">
      <c r="B7244" s="39">
        <f t="shared" si="56"/>
      </c>
      <c r="C7244" s="40">
        <f>IF(Inputs!$C$60,Inputs!$C$11+(B7244-Inputs!$C$69)/Inputs!$C$70,"")</f>
      </c>
      <c r="D7244" s="15"/>
      <c r="E7244" s="15"/>
      <c r="F7244" s="11">
        <f t="shared" si="57"/>
      </c>
      <c r="G7244" s="22" cm="1">
        <f t="array" ref="G7244">IF(AND(Inputs!$C$60,Inputs!$C$61),INDEX(Utility_Rates!$C$29:$F$52,HOUR(C7244)+Inputs!$C$69,MATCH(INDEX(Utility_Rates!$K$6:$K$17,MONTH(C7244))&amp;IF(WEEKDAY(C7244,Inputs!$C$76)&lt;=Inputs!$C$74," weekday"," weekend"),Utility_Rates!$C$28:$F$28,Inputs!$C$68)),"")</f>
      </c>
      <c r="H7244" s="34"/>
      <c r="I7244" s="42">
        <f>IF(AND(ISNUMBER(D7244),ISNUMBER(H7244)),D7244*H7244*Inputs!$C$69,"")</f>
      </c>
      <c r="J7244" s="42">
        <f>IF(AND(ISNUMBER(F7244),ISNUMBER(H7244),F7244&gt;=Inputs!$C$68),F7244*H7244*Inputs!$C$69,"")</f>
      </c>
    </row>
    <row r="7245" spans="2:10" ht="15" customHeight="1" x14ac:dyDescent="0.2">
      <c r="B7245" s="39">
        <f t="shared" si="56"/>
      </c>
      <c r="C7245" s="40">
        <f>IF(Inputs!$C$60,Inputs!$C$11+(B7245-Inputs!$C$69)/Inputs!$C$70,"")</f>
      </c>
      <c r="D7245" s="15"/>
      <c r="E7245" s="15"/>
      <c r="F7245" s="11">
        <f t="shared" si="57"/>
      </c>
      <c r="G7245" s="22" cm="1">
        <f t="array" ref="G7245">IF(AND(Inputs!$C$60,Inputs!$C$61),INDEX(Utility_Rates!$C$29:$F$52,HOUR(C7245)+Inputs!$C$69,MATCH(INDEX(Utility_Rates!$K$6:$K$17,MONTH(C7245))&amp;IF(WEEKDAY(C7245,Inputs!$C$76)&lt;=Inputs!$C$74," weekday"," weekend"),Utility_Rates!$C$28:$F$28,Inputs!$C$68)),"")</f>
      </c>
      <c r="H7245" s="34"/>
      <c r="I7245" s="42">
        <f>IF(AND(ISNUMBER(D7245),ISNUMBER(H7245)),D7245*H7245*Inputs!$C$69,"")</f>
      </c>
      <c r="J7245" s="42">
        <f>IF(AND(ISNUMBER(F7245),ISNUMBER(H7245),F7245&gt;=Inputs!$C$68),F7245*H7245*Inputs!$C$69,"")</f>
      </c>
    </row>
    <row r="7246" spans="2:10" ht="15" customHeight="1" x14ac:dyDescent="0.2">
      <c r="B7246" s="39">
        <f t="shared" si="56"/>
      </c>
      <c r="C7246" s="40">
        <f>IF(Inputs!$C$60,Inputs!$C$11+(B7246-Inputs!$C$69)/Inputs!$C$70,"")</f>
      </c>
      <c r="D7246" s="15"/>
      <c r="E7246" s="15"/>
      <c r="F7246" s="11">
        <f t="shared" si="57"/>
      </c>
      <c r="G7246" s="22" cm="1">
        <f t="array" ref="G7246">IF(AND(Inputs!$C$60,Inputs!$C$61),INDEX(Utility_Rates!$C$29:$F$52,HOUR(C7246)+Inputs!$C$69,MATCH(INDEX(Utility_Rates!$K$6:$K$17,MONTH(C7246))&amp;IF(WEEKDAY(C7246,Inputs!$C$76)&lt;=Inputs!$C$74," weekday"," weekend"),Utility_Rates!$C$28:$F$28,Inputs!$C$68)),"")</f>
      </c>
      <c r="H7246" s="34"/>
      <c r="I7246" s="42">
        <f>IF(AND(ISNUMBER(D7246),ISNUMBER(H7246)),D7246*H7246*Inputs!$C$69,"")</f>
      </c>
      <c r="J7246" s="42">
        <f>IF(AND(ISNUMBER(F7246),ISNUMBER(H7246),F7246&gt;=Inputs!$C$68),F7246*H7246*Inputs!$C$69,"")</f>
      </c>
    </row>
    <row r="7247" spans="2:10" ht="15" customHeight="1" x14ac:dyDescent="0.2">
      <c r="B7247" s="39">
        <f t="shared" si="56"/>
      </c>
      <c r="C7247" s="40">
        <f>IF(Inputs!$C$60,Inputs!$C$11+(B7247-Inputs!$C$69)/Inputs!$C$70,"")</f>
      </c>
      <c r="D7247" s="15"/>
      <c r="E7247" s="15"/>
      <c r="F7247" s="11">
        <f t="shared" si="57"/>
      </c>
      <c r="G7247" s="22" cm="1">
        <f t="array" ref="G7247">IF(AND(Inputs!$C$60,Inputs!$C$61),INDEX(Utility_Rates!$C$29:$F$52,HOUR(C7247)+Inputs!$C$69,MATCH(INDEX(Utility_Rates!$K$6:$K$17,MONTH(C7247))&amp;IF(WEEKDAY(C7247,Inputs!$C$76)&lt;=Inputs!$C$74," weekday"," weekend"),Utility_Rates!$C$28:$F$28,Inputs!$C$68)),"")</f>
      </c>
      <c r="H7247" s="34"/>
      <c r="I7247" s="42">
        <f>IF(AND(ISNUMBER(D7247),ISNUMBER(H7247)),D7247*H7247*Inputs!$C$69,"")</f>
      </c>
      <c r="J7247" s="42">
        <f>IF(AND(ISNUMBER(F7247),ISNUMBER(H7247),F7247&gt;=Inputs!$C$68),F7247*H7247*Inputs!$C$69,"")</f>
      </c>
    </row>
    <row r="7248" spans="2:10" ht="15" customHeight="1" x14ac:dyDescent="0.2">
      <c r="B7248" s="39">
        <f t="shared" si="56"/>
      </c>
      <c r="C7248" s="40">
        <f>IF(Inputs!$C$60,Inputs!$C$11+(B7248-Inputs!$C$69)/Inputs!$C$70,"")</f>
      </c>
      <c r="D7248" s="15"/>
      <c r="E7248" s="15"/>
      <c r="F7248" s="11">
        <f t="shared" si="57"/>
      </c>
      <c r="G7248" s="22" cm="1">
        <f t="array" ref="G7248">IF(AND(Inputs!$C$60,Inputs!$C$61),INDEX(Utility_Rates!$C$29:$F$52,HOUR(C7248)+Inputs!$C$69,MATCH(INDEX(Utility_Rates!$K$6:$K$17,MONTH(C7248))&amp;IF(WEEKDAY(C7248,Inputs!$C$76)&lt;=Inputs!$C$74," weekday"," weekend"),Utility_Rates!$C$28:$F$28,Inputs!$C$68)),"")</f>
      </c>
      <c r="H7248" s="34"/>
      <c r="I7248" s="42">
        <f>IF(AND(ISNUMBER(D7248),ISNUMBER(H7248)),D7248*H7248*Inputs!$C$69,"")</f>
      </c>
      <c r="J7248" s="42">
        <f>IF(AND(ISNUMBER(F7248),ISNUMBER(H7248),F7248&gt;=Inputs!$C$68),F7248*H7248*Inputs!$C$69,"")</f>
      </c>
    </row>
    <row r="7249" spans="2:10" ht="15" customHeight="1" x14ac:dyDescent="0.2">
      <c r="B7249" s="39">
        <f t="shared" si="56"/>
      </c>
      <c r="C7249" s="40">
        <f>IF(Inputs!$C$60,Inputs!$C$11+(B7249-Inputs!$C$69)/Inputs!$C$70,"")</f>
      </c>
      <c r="D7249" s="15"/>
      <c r="E7249" s="15"/>
      <c r="F7249" s="11">
        <f t="shared" si="57"/>
      </c>
      <c r="G7249" s="22" cm="1">
        <f t="array" ref="G7249">IF(AND(Inputs!$C$60,Inputs!$C$61),INDEX(Utility_Rates!$C$29:$F$52,HOUR(C7249)+Inputs!$C$69,MATCH(INDEX(Utility_Rates!$K$6:$K$17,MONTH(C7249))&amp;IF(WEEKDAY(C7249,Inputs!$C$76)&lt;=Inputs!$C$74," weekday"," weekend"),Utility_Rates!$C$28:$F$28,Inputs!$C$68)),"")</f>
      </c>
      <c r="H7249" s="34"/>
      <c r="I7249" s="42">
        <f>IF(AND(ISNUMBER(D7249),ISNUMBER(H7249)),D7249*H7249*Inputs!$C$69,"")</f>
      </c>
      <c r="J7249" s="42">
        <f>IF(AND(ISNUMBER(F7249),ISNUMBER(H7249),F7249&gt;=Inputs!$C$68),F7249*H7249*Inputs!$C$69,"")</f>
      </c>
    </row>
    <row r="7250" spans="2:10" ht="15" customHeight="1" x14ac:dyDescent="0.2">
      <c r="B7250" s="39">
        <f t="shared" si="56"/>
      </c>
      <c r="C7250" s="40">
        <f>IF(Inputs!$C$60,Inputs!$C$11+(B7250-Inputs!$C$69)/Inputs!$C$70,"")</f>
      </c>
      <c r="D7250" s="15"/>
      <c r="E7250" s="15"/>
      <c r="F7250" s="11">
        <f t="shared" si="57"/>
      </c>
      <c r="G7250" s="22" cm="1">
        <f t="array" ref="G7250">IF(AND(Inputs!$C$60,Inputs!$C$61),INDEX(Utility_Rates!$C$29:$F$52,HOUR(C7250)+Inputs!$C$69,MATCH(INDEX(Utility_Rates!$K$6:$K$17,MONTH(C7250))&amp;IF(WEEKDAY(C7250,Inputs!$C$76)&lt;=Inputs!$C$74," weekday"," weekend"),Utility_Rates!$C$28:$F$28,Inputs!$C$68)),"")</f>
      </c>
      <c r="H7250" s="34"/>
      <c r="I7250" s="42">
        <f>IF(AND(ISNUMBER(D7250),ISNUMBER(H7250)),D7250*H7250*Inputs!$C$69,"")</f>
      </c>
      <c r="J7250" s="42">
        <f>IF(AND(ISNUMBER(F7250),ISNUMBER(H7250),F7250&gt;=Inputs!$C$68),F7250*H7250*Inputs!$C$69,"")</f>
      </c>
    </row>
    <row r="7251" spans="2:10" ht="15" customHeight="1" x14ac:dyDescent="0.2">
      <c r="B7251" s="39">
        <f t="shared" si="56"/>
      </c>
      <c r="C7251" s="40">
        <f>IF(Inputs!$C$60,Inputs!$C$11+(B7251-Inputs!$C$69)/Inputs!$C$70,"")</f>
      </c>
      <c r="D7251" s="15"/>
      <c r="E7251" s="15"/>
      <c r="F7251" s="11">
        <f t="shared" si="57"/>
      </c>
      <c r="G7251" s="22" cm="1">
        <f t="array" ref="G7251">IF(AND(Inputs!$C$60,Inputs!$C$61),INDEX(Utility_Rates!$C$29:$F$52,HOUR(C7251)+Inputs!$C$69,MATCH(INDEX(Utility_Rates!$K$6:$K$17,MONTH(C7251))&amp;IF(WEEKDAY(C7251,Inputs!$C$76)&lt;=Inputs!$C$74," weekday"," weekend"),Utility_Rates!$C$28:$F$28,Inputs!$C$68)),"")</f>
      </c>
      <c r="H7251" s="34"/>
      <c r="I7251" s="42">
        <f>IF(AND(ISNUMBER(D7251),ISNUMBER(H7251)),D7251*H7251*Inputs!$C$69,"")</f>
      </c>
      <c r="J7251" s="42">
        <f>IF(AND(ISNUMBER(F7251),ISNUMBER(H7251),F7251&gt;=Inputs!$C$68),F7251*H7251*Inputs!$C$69,"")</f>
      </c>
    </row>
    <row r="7252" spans="2:10" ht="15" customHeight="1" x14ac:dyDescent="0.2">
      <c r="B7252" s="39">
        <f t="shared" si="56"/>
      </c>
      <c r="C7252" s="40">
        <f>IF(Inputs!$C$60,Inputs!$C$11+(B7252-Inputs!$C$69)/Inputs!$C$70,"")</f>
      </c>
      <c r="D7252" s="15"/>
      <c r="E7252" s="15"/>
      <c r="F7252" s="11">
        <f t="shared" si="57"/>
      </c>
      <c r="G7252" s="22" cm="1">
        <f t="array" ref="G7252">IF(AND(Inputs!$C$60,Inputs!$C$61),INDEX(Utility_Rates!$C$29:$F$52,HOUR(C7252)+Inputs!$C$69,MATCH(INDEX(Utility_Rates!$K$6:$K$17,MONTH(C7252))&amp;IF(WEEKDAY(C7252,Inputs!$C$76)&lt;=Inputs!$C$74," weekday"," weekend"),Utility_Rates!$C$28:$F$28,Inputs!$C$68)),"")</f>
      </c>
      <c r="H7252" s="34"/>
      <c r="I7252" s="42">
        <f>IF(AND(ISNUMBER(D7252),ISNUMBER(H7252)),D7252*H7252*Inputs!$C$69,"")</f>
      </c>
      <c r="J7252" s="42">
        <f>IF(AND(ISNUMBER(F7252),ISNUMBER(H7252),F7252&gt;=Inputs!$C$68),F7252*H7252*Inputs!$C$69,"")</f>
      </c>
    </row>
    <row r="7253" spans="2:10" ht="15" customHeight="1" x14ac:dyDescent="0.2">
      <c r="B7253" s="39">
        <f t="shared" si="56"/>
      </c>
      <c r="C7253" s="40">
        <f>IF(Inputs!$C$60,Inputs!$C$11+(B7253-Inputs!$C$69)/Inputs!$C$70,"")</f>
      </c>
      <c r="D7253" s="15"/>
      <c r="E7253" s="15"/>
      <c r="F7253" s="11">
        <f t="shared" si="57"/>
      </c>
      <c r="G7253" s="22" cm="1">
        <f t="array" ref="G7253">IF(AND(Inputs!$C$60,Inputs!$C$61),INDEX(Utility_Rates!$C$29:$F$52,HOUR(C7253)+Inputs!$C$69,MATCH(INDEX(Utility_Rates!$K$6:$K$17,MONTH(C7253))&amp;IF(WEEKDAY(C7253,Inputs!$C$76)&lt;=Inputs!$C$74," weekday"," weekend"),Utility_Rates!$C$28:$F$28,Inputs!$C$68)),"")</f>
      </c>
      <c r="H7253" s="34"/>
      <c r="I7253" s="42">
        <f>IF(AND(ISNUMBER(D7253),ISNUMBER(H7253)),D7253*H7253*Inputs!$C$69,"")</f>
      </c>
      <c r="J7253" s="42">
        <f>IF(AND(ISNUMBER(F7253),ISNUMBER(H7253),F7253&gt;=Inputs!$C$68),F7253*H7253*Inputs!$C$69,"")</f>
      </c>
    </row>
    <row r="7254" spans="2:10" ht="15" customHeight="1" x14ac:dyDescent="0.2">
      <c r="B7254" s="39">
        <f t="shared" si="56"/>
      </c>
      <c r="C7254" s="40">
        <f>IF(Inputs!$C$60,Inputs!$C$11+(B7254-Inputs!$C$69)/Inputs!$C$70,"")</f>
      </c>
      <c r="D7254" s="15"/>
      <c r="E7254" s="15"/>
      <c r="F7254" s="11">
        <f t="shared" si="57"/>
      </c>
      <c r="G7254" s="22" cm="1">
        <f t="array" ref="G7254">IF(AND(Inputs!$C$60,Inputs!$C$61),INDEX(Utility_Rates!$C$29:$F$52,HOUR(C7254)+Inputs!$C$69,MATCH(INDEX(Utility_Rates!$K$6:$K$17,MONTH(C7254))&amp;IF(WEEKDAY(C7254,Inputs!$C$76)&lt;=Inputs!$C$74," weekday"," weekend"),Utility_Rates!$C$28:$F$28,Inputs!$C$68)),"")</f>
      </c>
      <c r="H7254" s="34"/>
      <c r="I7254" s="42">
        <f>IF(AND(ISNUMBER(D7254),ISNUMBER(H7254)),D7254*H7254*Inputs!$C$69,"")</f>
      </c>
      <c r="J7254" s="42">
        <f>IF(AND(ISNUMBER(F7254),ISNUMBER(H7254),F7254&gt;=Inputs!$C$68),F7254*H7254*Inputs!$C$69,"")</f>
      </c>
    </row>
    <row r="7255" spans="2:10" ht="15" customHeight="1" x14ac:dyDescent="0.2">
      <c r="B7255" s="39">
        <f t="shared" si="56"/>
      </c>
      <c r="C7255" s="40">
        <f>IF(Inputs!$C$60,Inputs!$C$11+(B7255-Inputs!$C$69)/Inputs!$C$70,"")</f>
      </c>
      <c r="D7255" s="15"/>
      <c r="E7255" s="15"/>
      <c r="F7255" s="11">
        <f t="shared" si="57"/>
      </c>
      <c r="G7255" s="22" cm="1">
        <f t="array" ref="G7255">IF(AND(Inputs!$C$60,Inputs!$C$61),INDEX(Utility_Rates!$C$29:$F$52,HOUR(C7255)+Inputs!$C$69,MATCH(INDEX(Utility_Rates!$K$6:$K$17,MONTH(C7255))&amp;IF(WEEKDAY(C7255,Inputs!$C$76)&lt;=Inputs!$C$74," weekday"," weekend"),Utility_Rates!$C$28:$F$28,Inputs!$C$68)),"")</f>
      </c>
      <c r="H7255" s="34"/>
      <c r="I7255" s="42">
        <f>IF(AND(ISNUMBER(D7255),ISNUMBER(H7255)),D7255*H7255*Inputs!$C$69,"")</f>
      </c>
      <c r="J7255" s="42">
        <f>IF(AND(ISNUMBER(F7255),ISNUMBER(H7255),F7255&gt;=Inputs!$C$68),F7255*H7255*Inputs!$C$69,"")</f>
      </c>
    </row>
    <row r="7256" spans="2:10" ht="15" customHeight="1" x14ac:dyDescent="0.2">
      <c r="B7256" s="39">
        <f t="shared" si="56"/>
      </c>
      <c r="C7256" s="40">
        <f>IF(Inputs!$C$60,Inputs!$C$11+(B7256-Inputs!$C$69)/Inputs!$C$70,"")</f>
      </c>
      <c r="D7256" s="15"/>
      <c r="E7256" s="15"/>
      <c r="F7256" s="11">
        <f t="shared" si="57"/>
      </c>
      <c r="G7256" s="22" cm="1">
        <f t="array" ref="G7256">IF(AND(Inputs!$C$60,Inputs!$C$61),INDEX(Utility_Rates!$C$29:$F$52,HOUR(C7256)+Inputs!$C$69,MATCH(INDEX(Utility_Rates!$K$6:$K$17,MONTH(C7256))&amp;IF(WEEKDAY(C7256,Inputs!$C$76)&lt;=Inputs!$C$74," weekday"," weekend"),Utility_Rates!$C$28:$F$28,Inputs!$C$68)),"")</f>
      </c>
      <c r="H7256" s="34"/>
      <c r="I7256" s="42">
        <f>IF(AND(ISNUMBER(D7256),ISNUMBER(H7256)),D7256*H7256*Inputs!$C$69,"")</f>
      </c>
      <c r="J7256" s="42">
        <f>IF(AND(ISNUMBER(F7256),ISNUMBER(H7256),F7256&gt;=Inputs!$C$68),F7256*H7256*Inputs!$C$69,"")</f>
      </c>
    </row>
    <row r="7257" spans="2:10" ht="15" customHeight="1" x14ac:dyDescent="0.2">
      <c r="B7257" s="39">
        <f t="shared" si="56"/>
      </c>
      <c r="C7257" s="40">
        <f>IF(Inputs!$C$60,Inputs!$C$11+(B7257-Inputs!$C$69)/Inputs!$C$70,"")</f>
      </c>
      <c r="D7257" s="15"/>
      <c r="E7257" s="15"/>
      <c r="F7257" s="11">
        <f t="shared" si="57"/>
      </c>
      <c r="G7257" s="22" cm="1">
        <f t="array" ref="G7257">IF(AND(Inputs!$C$60,Inputs!$C$61),INDEX(Utility_Rates!$C$29:$F$52,HOUR(C7257)+Inputs!$C$69,MATCH(INDEX(Utility_Rates!$K$6:$K$17,MONTH(C7257))&amp;IF(WEEKDAY(C7257,Inputs!$C$76)&lt;=Inputs!$C$74," weekday"," weekend"),Utility_Rates!$C$28:$F$28,Inputs!$C$68)),"")</f>
      </c>
      <c r="H7257" s="34"/>
      <c r="I7257" s="42">
        <f>IF(AND(ISNUMBER(D7257),ISNUMBER(H7257)),D7257*H7257*Inputs!$C$69,"")</f>
      </c>
      <c r="J7257" s="42">
        <f>IF(AND(ISNUMBER(F7257),ISNUMBER(H7257),F7257&gt;=Inputs!$C$68),F7257*H7257*Inputs!$C$69,"")</f>
      </c>
    </row>
    <row r="7258" spans="2:10" ht="15" customHeight="1" x14ac:dyDescent="0.2">
      <c r="B7258" s="39">
        <f t="shared" si="56"/>
      </c>
      <c r="C7258" s="40">
        <f>IF(Inputs!$C$60,Inputs!$C$11+(B7258-Inputs!$C$69)/Inputs!$C$70,"")</f>
      </c>
      <c r="D7258" s="15"/>
      <c r="E7258" s="15"/>
      <c r="F7258" s="11">
        <f t="shared" si="57"/>
      </c>
      <c r="G7258" s="22" cm="1">
        <f t="array" ref="G7258">IF(AND(Inputs!$C$60,Inputs!$C$61),INDEX(Utility_Rates!$C$29:$F$52,HOUR(C7258)+Inputs!$C$69,MATCH(INDEX(Utility_Rates!$K$6:$K$17,MONTH(C7258))&amp;IF(WEEKDAY(C7258,Inputs!$C$76)&lt;=Inputs!$C$74," weekday"," weekend"),Utility_Rates!$C$28:$F$28,Inputs!$C$68)),"")</f>
      </c>
      <c r="H7258" s="34"/>
      <c r="I7258" s="42">
        <f>IF(AND(ISNUMBER(D7258),ISNUMBER(H7258)),D7258*H7258*Inputs!$C$69,"")</f>
      </c>
      <c r="J7258" s="42">
        <f>IF(AND(ISNUMBER(F7258),ISNUMBER(H7258),F7258&gt;=Inputs!$C$68),F7258*H7258*Inputs!$C$69,"")</f>
      </c>
    </row>
    <row r="7259" spans="2:10" ht="15" customHeight="1" x14ac:dyDescent="0.2">
      <c r="B7259" s="39">
        <f t="shared" si="56"/>
      </c>
      <c r="C7259" s="40">
        <f>IF(Inputs!$C$60,Inputs!$C$11+(B7259-Inputs!$C$69)/Inputs!$C$70,"")</f>
      </c>
      <c r="D7259" s="15"/>
      <c r="E7259" s="15"/>
      <c r="F7259" s="11">
        <f t="shared" si="57"/>
      </c>
      <c r="G7259" s="22" cm="1">
        <f t="array" ref="G7259">IF(AND(Inputs!$C$60,Inputs!$C$61),INDEX(Utility_Rates!$C$29:$F$52,HOUR(C7259)+Inputs!$C$69,MATCH(INDEX(Utility_Rates!$K$6:$K$17,MONTH(C7259))&amp;IF(WEEKDAY(C7259,Inputs!$C$76)&lt;=Inputs!$C$74," weekday"," weekend"),Utility_Rates!$C$28:$F$28,Inputs!$C$68)),"")</f>
      </c>
      <c r="H7259" s="34"/>
      <c r="I7259" s="42">
        <f>IF(AND(ISNUMBER(D7259),ISNUMBER(H7259)),D7259*H7259*Inputs!$C$69,"")</f>
      </c>
      <c r="J7259" s="42">
        <f>IF(AND(ISNUMBER(F7259),ISNUMBER(H7259),F7259&gt;=Inputs!$C$68),F7259*H7259*Inputs!$C$69,"")</f>
      </c>
    </row>
    <row r="7260" spans="2:10" ht="15" customHeight="1" x14ac:dyDescent="0.2">
      <c r="B7260" s="39">
        <f t="shared" si="56"/>
      </c>
      <c r="C7260" s="40">
        <f>IF(Inputs!$C$60,Inputs!$C$11+(B7260-Inputs!$C$69)/Inputs!$C$70,"")</f>
      </c>
      <c r="D7260" s="15"/>
      <c r="E7260" s="15"/>
      <c r="F7260" s="11">
        <f t="shared" si="57"/>
      </c>
      <c r="G7260" s="22" cm="1">
        <f t="array" ref="G7260">IF(AND(Inputs!$C$60,Inputs!$C$61),INDEX(Utility_Rates!$C$29:$F$52,HOUR(C7260)+Inputs!$C$69,MATCH(INDEX(Utility_Rates!$K$6:$K$17,MONTH(C7260))&amp;IF(WEEKDAY(C7260,Inputs!$C$76)&lt;=Inputs!$C$74," weekday"," weekend"),Utility_Rates!$C$28:$F$28,Inputs!$C$68)),"")</f>
      </c>
      <c r="H7260" s="34"/>
      <c r="I7260" s="42">
        <f>IF(AND(ISNUMBER(D7260),ISNUMBER(H7260)),D7260*H7260*Inputs!$C$69,"")</f>
      </c>
      <c r="J7260" s="42">
        <f>IF(AND(ISNUMBER(F7260),ISNUMBER(H7260),F7260&gt;=Inputs!$C$68),F7260*H7260*Inputs!$C$69,"")</f>
      </c>
    </row>
    <row r="7261" spans="2:10" ht="15" customHeight="1" x14ac:dyDescent="0.2">
      <c r="B7261" s="39">
        <f t="shared" si="56"/>
      </c>
      <c r="C7261" s="40">
        <f>IF(Inputs!$C$60,Inputs!$C$11+(B7261-Inputs!$C$69)/Inputs!$C$70,"")</f>
      </c>
      <c r="D7261" s="15"/>
      <c r="E7261" s="15"/>
      <c r="F7261" s="11">
        <f t="shared" si="57"/>
      </c>
      <c r="G7261" s="22" cm="1">
        <f t="array" ref="G7261">IF(AND(Inputs!$C$60,Inputs!$C$61),INDEX(Utility_Rates!$C$29:$F$52,HOUR(C7261)+Inputs!$C$69,MATCH(INDEX(Utility_Rates!$K$6:$K$17,MONTH(C7261))&amp;IF(WEEKDAY(C7261,Inputs!$C$76)&lt;=Inputs!$C$74," weekday"," weekend"),Utility_Rates!$C$28:$F$28,Inputs!$C$68)),"")</f>
      </c>
      <c r="H7261" s="34"/>
      <c r="I7261" s="42">
        <f>IF(AND(ISNUMBER(D7261),ISNUMBER(H7261)),D7261*H7261*Inputs!$C$69,"")</f>
      </c>
      <c r="J7261" s="42">
        <f>IF(AND(ISNUMBER(F7261),ISNUMBER(H7261),F7261&gt;=Inputs!$C$68),F7261*H7261*Inputs!$C$69,"")</f>
      </c>
    </row>
    <row r="7262" spans="2:10" ht="15" customHeight="1" x14ac:dyDescent="0.2">
      <c r="B7262" s="39">
        <f t="shared" si="56"/>
      </c>
      <c r="C7262" s="40">
        <f>IF(Inputs!$C$60,Inputs!$C$11+(B7262-Inputs!$C$69)/Inputs!$C$70,"")</f>
      </c>
      <c r="D7262" s="15"/>
      <c r="E7262" s="15"/>
      <c r="F7262" s="11">
        <f t="shared" si="57"/>
      </c>
      <c r="G7262" s="22" cm="1">
        <f t="array" ref="G7262">IF(AND(Inputs!$C$60,Inputs!$C$61),INDEX(Utility_Rates!$C$29:$F$52,HOUR(C7262)+Inputs!$C$69,MATCH(INDEX(Utility_Rates!$K$6:$K$17,MONTH(C7262))&amp;IF(WEEKDAY(C7262,Inputs!$C$76)&lt;=Inputs!$C$74," weekday"," weekend"),Utility_Rates!$C$28:$F$28,Inputs!$C$68)),"")</f>
      </c>
      <c r="H7262" s="34"/>
      <c r="I7262" s="42">
        <f>IF(AND(ISNUMBER(D7262),ISNUMBER(H7262)),D7262*H7262*Inputs!$C$69,"")</f>
      </c>
      <c r="J7262" s="42">
        <f>IF(AND(ISNUMBER(F7262),ISNUMBER(H7262),F7262&gt;=Inputs!$C$68),F7262*H7262*Inputs!$C$69,"")</f>
      </c>
    </row>
    <row r="7263" spans="2:10" ht="15" customHeight="1" x14ac:dyDescent="0.2">
      <c r="B7263" s="39">
        <f t="shared" si="56"/>
      </c>
      <c r="C7263" s="40">
        <f>IF(Inputs!$C$60,Inputs!$C$11+(B7263-Inputs!$C$69)/Inputs!$C$70,"")</f>
      </c>
      <c r="D7263" s="15"/>
      <c r="E7263" s="15"/>
      <c r="F7263" s="11">
        <f t="shared" si="57"/>
      </c>
      <c r="G7263" s="22" cm="1">
        <f t="array" ref="G7263">IF(AND(Inputs!$C$60,Inputs!$C$61),INDEX(Utility_Rates!$C$29:$F$52,HOUR(C7263)+Inputs!$C$69,MATCH(INDEX(Utility_Rates!$K$6:$K$17,MONTH(C7263))&amp;IF(WEEKDAY(C7263,Inputs!$C$76)&lt;=Inputs!$C$74," weekday"," weekend"),Utility_Rates!$C$28:$F$28,Inputs!$C$68)),"")</f>
      </c>
      <c r="H7263" s="34"/>
      <c r="I7263" s="42">
        <f>IF(AND(ISNUMBER(D7263),ISNUMBER(H7263)),D7263*H7263*Inputs!$C$69,"")</f>
      </c>
      <c r="J7263" s="42">
        <f>IF(AND(ISNUMBER(F7263),ISNUMBER(H7263),F7263&gt;=Inputs!$C$68),F7263*H7263*Inputs!$C$69,"")</f>
      </c>
    </row>
    <row r="7264" spans="2:10" ht="15" customHeight="1" x14ac:dyDescent="0.2">
      <c r="B7264" s="39">
        <f t="shared" si="56"/>
      </c>
      <c r="C7264" s="40">
        <f>IF(Inputs!$C$60,Inputs!$C$11+(B7264-Inputs!$C$69)/Inputs!$C$70,"")</f>
      </c>
      <c r="D7264" s="15"/>
      <c r="E7264" s="15"/>
      <c r="F7264" s="11">
        <f t="shared" si="57"/>
      </c>
      <c r="G7264" s="22" cm="1">
        <f t="array" ref="G7264">IF(AND(Inputs!$C$60,Inputs!$C$61),INDEX(Utility_Rates!$C$29:$F$52,HOUR(C7264)+Inputs!$C$69,MATCH(INDEX(Utility_Rates!$K$6:$K$17,MONTH(C7264))&amp;IF(WEEKDAY(C7264,Inputs!$C$76)&lt;=Inputs!$C$74," weekday"," weekend"),Utility_Rates!$C$28:$F$28,Inputs!$C$68)),"")</f>
      </c>
      <c r="H7264" s="34"/>
      <c r="I7264" s="42">
        <f>IF(AND(ISNUMBER(D7264),ISNUMBER(H7264)),D7264*H7264*Inputs!$C$69,"")</f>
      </c>
      <c r="J7264" s="42">
        <f>IF(AND(ISNUMBER(F7264),ISNUMBER(H7264),F7264&gt;=Inputs!$C$68),F7264*H7264*Inputs!$C$69,"")</f>
      </c>
    </row>
    <row r="7265" spans="2:10" ht="15" customHeight="1" x14ac:dyDescent="0.2">
      <c r="B7265" s="39">
        <f t="shared" si="56"/>
      </c>
      <c r="C7265" s="40">
        <f>IF(Inputs!$C$60,Inputs!$C$11+(B7265-Inputs!$C$69)/Inputs!$C$70,"")</f>
      </c>
      <c r="D7265" s="15"/>
      <c r="E7265" s="15"/>
      <c r="F7265" s="11">
        <f t="shared" si="57"/>
      </c>
      <c r="G7265" s="22" cm="1">
        <f t="array" ref="G7265">IF(AND(Inputs!$C$60,Inputs!$C$61),INDEX(Utility_Rates!$C$29:$F$52,HOUR(C7265)+Inputs!$C$69,MATCH(INDEX(Utility_Rates!$K$6:$K$17,MONTH(C7265))&amp;IF(WEEKDAY(C7265,Inputs!$C$76)&lt;=Inputs!$C$74," weekday"," weekend"),Utility_Rates!$C$28:$F$28,Inputs!$C$68)),"")</f>
      </c>
      <c r="H7265" s="34"/>
      <c r="I7265" s="42">
        <f>IF(AND(ISNUMBER(D7265),ISNUMBER(H7265)),D7265*H7265*Inputs!$C$69,"")</f>
      </c>
      <c r="J7265" s="42">
        <f>IF(AND(ISNUMBER(F7265),ISNUMBER(H7265),F7265&gt;=Inputs!$C$68),F7265*H7265*Inputs!$C$69,"")</f>
      </c>
    </row>
    <row r="7266" spans="2:10" ht="15" customHeight="1" x14ac:dyDescent="0.2">
      <c r="B7266" s="39">
        <f t="shared" si="56"/>
      </c>
      <c r="C7266" s="40">
        <f>IF(Inputs!$C$60,Inputs!$C$11+(B7266-Inputs!$C$69)/Inputs!$C$70,"")</f>
      </c>
      <c r="D7266" s="15"/>
      <c r="E7266" s="15"/>
      <c r="F7266" s="11">
        <f t="shared" si="57"/>
      </c>
      <c r="G7266" s="22" cm="1">
        <f t="array" ref="G7266">IF(AND(Inputs!$C$60,Inputs!$C$61),INDEX(Utility_Rates!$C$29:$F$52,HOUR(C7266)+Inputs!$C$69,MATCH(INDEX(Utility_Rates!$K$6:$K$17,MONTH(C7266))&amp;IF(WEEKDAY(C7266,Inputs!$C$76)&lt;=Inputs!$C$74," weekday"," weekend"),Utility_Rates!$C$28:$F$28,Inputs!$C$68)),"")</f>
      </c>
      <c r="H7266" s="34"/>
      <c r="I7266" s="42">
        <f>IF(AND(ISNUMBER(D7266),ISNUMBER(H7266)),D7266*H7266*Inputs!$C$69,"")</f>
      </c>
      <c r="J7266" s="42">
        <f>IF(AND(ISNUMBER(F7266),ISNUMBER(H7266),F7266&gt;=Inputs!$C$68),F7266*H7266*Inputs!$C$69,"")</f>
      </c>
    </row>
    <row r="7267" spans="2:10" ht="15" customHeight="1" x14ac:dyDescent="0.2">
      <c r="B7267" s="39">
        <f t="shared" si="56"/>
      </c>
      <c r="C7267" s="40">
        <f>IF(Inputs!$C$60,Inputs!$C$11+(B7267-Inputs!$C$69)/Inputs!$C$70,"")</f>
      </c>
      <c r="D7267" s="15"/>
      <c r="E7267" s="15"/>
      <c r="F7267" s="11">
        <f t="shared" si="57"/>
      </c>
      <c r="G7267" s="22" cm="1">
        <f t="array" ref="G7267">IF(AND(Inputs!$C$60,Inputs!$C$61),INDEX(Utility_Rates!$C$29:$F$52,HOUR(C7267)+Inputs!$C$69,MATCH(INDEX(Utility_Rates!$K$6:$K$17,MONTH(C7267))&amp;IF(WEEKDAY(C7267,Inputs!$C$76)&lt;=Inputs!$C$74," weekday"," weekend"),Utility_Rates!$C$28:$F$28,Inputs!$C$68)),"")</f>
      </c>
      <c r="H7267" s="34"/>
      <c r="I7267" s="42">
        <f>IF(AND(ISNUMBER(D7267),ISNUMBER(H7267)),D7267*H7267*Inputs!$C$69,"")</f>
      </c>
      <c r="J7267" s="42">
        <f>IF(AND(ISNUMBER(F7267),ISNUMBER(H7267),F7267&gt;=Inputs!$C$68),F7267*H7267*Inputs!$C$69,"")</f>
      </c>
    </row>
    <row r="7268" spans="2:10" ht="15" customHeight="1" x14ac:dyDescent="0.2">
      <c r="B7268" s="39">
        <f t="shared" si="56"/>
      </c>
      <c r="C7268" s="40">
        <f>IF(Inputs!$C$60,Inputs!$C$11+(B7268-Inputs!$C$69)/Inputs!$C$70,"")</f>
      </c>
      <c r="D7268" s="15"/>
      <c r="E7268" s="15"/>
      <c r="F7268" s="11">
        <f t="shared" si="57"/>
      </c>
      <c r="G7268" s="22" cm="1">
        <f t="array" ref="G7268">IF(AND(Inputs!$C$60,Inputs!$C$61),INDEX(Utility_Rates!$C$29:$F$52,HOUR(C7268)+Inputs!$C$69,MATCH(INDEX(Utility_Rates!$K$6:$K$17,MONTH(C7268))&amp;IF(WEEKDAY(C7268,Inputs!$C$76)&lt;=Inputs!$C$74," weekday"," weekend"),Utility_Rates!$C$28:$F$28,Inputs!$C$68)),"")</f>
      </c>
      <c r="H7268" s="34"/>
      <c r="I7268" s="42">
        <f>IF(AND(ISNUMBER(D7268),ISNUMBER(H7268)),D7268*H7268*Inputs!$C$69,"")</f>
      </c>
      <c r="J7268" s="42">
        <f>IF(AND(ISNUMBER(F7268),ISNUMBER(H7268),F7268&gt;=Inputs!$C$68),F7268*H7268*Inputs!$C$69,"")</f>
      </c>
    </row>
    <row r="7269" spans="2:10" ht="15" customHeight="1" x14ac:dyDescent="0.2">
      <c r="B7269" s="39">
        <f t="shared" si="56"/>
      </c>
      <c r="C7269" s="40">
        <f>IF(Inputs!$C$60,Inputs!$C$11+(B7269-Inputs!$C$69)/Inputs!$C$70,"")</f>
      </c>
      <c r="D7269" s="15"/>
      <c r="E7269" s="15"/>
      <c r="F7269" s="11">
        <f t="shared" si="57"/>
      </c>
      <c r="G7269" s="22" cm="1">
        <f t="array" ref="G7269">IF(AND(Inputs!$C$60,Inputs!$C$61),INDEX(Utility_Rates!$C$29:$F$52,HOUR(C7269)+Inputs!$C$69,MATCH(INDEX(Utility_Rates!$K$6:$K$17,MONTH(C7269))&amp;IF(WEEKDAY(C7269,Inputs!$C$76)&lt;=Inputs!$C$74," weekday"," weekend"),Utility_Rates!$C$28:$F$28,Inputs!$C$68)),"")</f>
      </c>
      <c r="H7269" s="34"/>
      <c r="I7269" s="42">
        <f>IF(AND(ISNUMBER(D7269),ISNUMBER(H7269)),D7269*H7269*Inputs!$C$69,"")</f>
      </c>
      <c r="J7269" s="42">
        <f>IF(AND(ISNUMBER(F7269),ISNUMBER(H7269),F7269&gt;=Inputs!$C$68),F7269*H7269*Inputs!$C$69,"")</f>
      </c>
    </row>
    <row r="7270" spans="2:10" ht="15" customHeight="1" x14ac:dyDescent="0.2">
      <c r="B7270" s="39">
        <f t="shared" si="56"/>
      </c>
      <c r="C7270" s="40">
        <f>IF(Inputs!$C$60,Inputs!$C$11+(B7270-Inputs!$C$69)/Inputs!$C$70,"")</f>
      </c>
      <c r="D7270" s="15"/>
      <c r="E7270" s="15"/>
      <c r="F7270" s="11">
        <f t="shared" si="57"/>
      </c>
      <c r="G7270" s="22" cm="1">
        <f t="array" ref="G7270">IF(AND(Inputs!$C$60,Inputs!$C$61),INDEX(Utility_Rates!$C$29:$F$52,HOUR(C7270)+Inputs!$C$69,MATCH(INDEX(Utility_Rates!$K$6:$K$17,MONTH(C7270))&amp;IF(WEEKDAY(C7270,Inputs!$C$76)&lt;=Inputs!$C$74," weekday"," weekend"),Utility_Rates!$C$28:$F$28,Inputs!$C$68)),"")</f>
      </c>
      <c r="H7270" s="34"/>
      <c r="I7270" s="42">
        <f>IF(AND(ISNUMBER(D7270),ISNUMBER(H7270)),D7270*H7270*Inputs!$C$69,"")</f>
      </c>
      <c r="J7270" s="42">
        <f>IF(AND(ISNUMBER(F7270),ISNUMBER(H7270),F7270&gt;=Inputs!$C$68),F7270*H7270*Inputs!$C$69,"")</f>
      </c>
    </row>
    <row r="7271" spans="2:10" ht="15" customHeight="1" x14ac:dyDescent="0.2">
      <c r="B7271" s="39">
        <f t="shared" si="56"/>
      </c>
      <c r="C7271" s="40">
        <f>IF(Inputs!$C$60,Inputs!$C$11+(B7271-Inputs!$C$69)/Inputs!$C$70,"")</f>
      </c>
      <c r="D7271" s="15"/>
      <c r="E7271" s="15"/>
      <c r="F7271" s="11">
        <f t="shared" si="57"/>
      </c>
      <c r="G7271" s="22" cm="1">
        <f t="array" ref="G7271">IF(AND(Inputs!$C$60,Inputs!$C$61),INDEX(Utility_Rates!$C$29:$F$52,HOUR(C7271)+Inputs!$C$69,MATCH(INDEX(Utility_Rates!$K$6:$K$17,MONTH(C7271))&amp;IF(WEEKDAY(C7271,Inputs!$C$76)&lt;=Inputs!$C$74," weekday"," weekend"),Utility_Rates!$C$28:$F$28,Inputs!$C$68)),"")</f>
      </c>
      <c r="H7271" s="34"/>
      <c r="I7271" s="42">
        <f>IF(AND(ISNUMBER(D7271),ISNUMBER(H7271)),D7271*H7271*Inputs!$C$69,"")</f>
      </c>
      <c r="J7271" s="42">
        <f>IF(AND(ISNUMBER(F7271),ISNUMBER(H7271),F7271&gt;=Inputs!$C$68),F7271*H7271*Inputs!$C$69,"")</f>
      </c>
    </row>
    <row r="7272" spans="2:10" ht="15" customHeight="1" x14ac:dyDescent="0.2">
      <c r="B7272" s="39">
        <f t="shared" si="56"/>
      </c>
      <c r="C7272" s="40">
        <f>IF(Inputs!$C$60,Inputs!$C$11+(B7272-Inputs!$C$69)/Inputs!$C$70,"")</f>
      </c>
      <c r="D7272" s="15"/>
      <c r="E7272" s="15"/>
      <c r="F7272" s="11">
        <f t="shared" si="57"/>
      </c>
      <c r="G7272" s="22" cm="1">
        <f t="array" ref="G7272">IF(AND(Inputs!$C$60,Inputs!$C$61),INDEX(Utility_Rates!$C$29:$F$52,HOUR(C7272)+Inputs!$C$69,MATCH(INDEX(Utility_Rates!$K$6:$K$17,MONTH(C7272))&amp;IF(WEEKDAY(C7272,Inputs!$C$76)&lt;=Inputs!$C$74," weekday"," weekend"),Utility_Rates!$C$28:$F$28,Inputs!$C$68)),"")</f>
      </c>
      <c r="H7272" s="34"/>
      <c r="I7272" s="42">
        <f>IF(AND(ISNUMBER(D7272),ISNUMBER(H7272)),D7272*H7272*Inputs!$C$69,"")</f>
      </c>
      <c r="J7272" s="42">
        <f>IF(AND(ISNUMBER(F7272),ISNUMBER(H7272),F7272&gt;=Inputs!$C$68),F7272*H7272*Inputs!$C$69,"")</f>
      </c>
    </row>
    <row r="7273" spans="2:10" ht="15" customHeight="1" x14ac:dyDescent="0.2">
      <c r="B7273" s="39">
        <f t="shared" si="56"/>
      </c>
      <c r="C7273" s="40">
        <f>IF(Inputs!$C$60,Inputs!$C$11+(B7273-Inputs!$C$69)/Inputs!$C$70,"")</f>
      </c>
      <c r="D7273" s="15"/>
      <c r="E7273" s="15"/>
      <c r="F7273" s="11">
        <f t="shared" si="57"/>
      </c>
      <c r="G7273" s="22" cm="1">
        <f t="array" ref="G7273">IF(AND(Inputs!$C$60,Inputs!$C$61),INDEX(Utility_Rates!$C$29:$F$52,HOUR(C7273)+Inputs!$C$69,MATCH(INDEX(Utility_Rates!$K$6:$K$17,MONTH(C7273))&amp;IF(WEEKDAY(C7273,Inputs!$C$76)&lt;=Inputs!$C$74," weekday"," weekend"),Utility_Rates!$C$28:$F$28,Inputs!$C$68)),"")</f>
      </c>
      <c r="H7273" s="34"/>
      <c r="I7273" s="42">
        <f>IF(AND(ISNUMBER(D7273),ISNUMBER(H7273)),D7273*H7273*Inputs!$C$69,"")</f>
      </c>
      <c r="J7273" s="42">
        <f>IF(AND(ISNUMBER(F7273),ISNUMBER(H7273),F7273&gt;=Inputs!$C$68),F7273*H7273*Inputs!$C$69,"")</f>
      </c>
    </row>
    <row r="7274" spans="2:10" ht="15" customHeight="1" x14ac:dyDescent="0.2">
      <c r="B7274" s="39">
        <f t="shared" si="56"/>
      </c>
      <c r="C7274" s="40">
        <f>IF(Inputs!$C$60,Inputs!$C$11+(B7274-Inputs!$C$69)/Inputs!$C$70,"")</f>
      </c>
      <c r="D7274" s="15"/>
      <c r="E7274" s="15"/>
      <c r="F7274" s="11">
        <f t="shared" si="57"/>
      </c>
      <c r="G7274" s="22" cm="1">
        <f t="array" ref="G7274">IF(AND(Inputs!$C$60,Inputs!$C$61),INDEX(Utility_Rates!$C$29:$F$52,HOUR(C7274)+Inputs!$C$69,MATCH(INDEX(Utility_Rates!$K$6:$K$17,MONTH(C7274))&amp;IF(WEEKDAY(C7274,Inputs!$C$76)&lt;=Inputs!$C$74," weekday"," weekend"),Utility_Rates!$C$28:$F$28,Inputs!$C$68)),"")</f>
      </c>
      <c r="H7274" s="34"/>
      <c r="I7274" s="42">
        <f>IF(AND(ISNUMBER(D7274),ISNUMBER(H7274)),D7274*H7274*Inputs!$C$69,"")</f>
      </c>
      <c r="J7274" s="42">
        <f>IF(AND(ISNUMBER(F7274),ISNUMBER(H7274),F7274&gt;=Inputs!$C$68),F7274*H7274*Inputs!$C$69,"")</f>
      </c>
    </row>
    <row r="7275" spans="2:10" ht="15" customHeight="1" x14ac:dyDescent="0.2">
      <c r="B7275" s="39">
        <f t="shared" si="56"/>
      </c>
      <c r="C7275" s="40">
        <f>IF(Inputs!$C$60,Inputs!$C$11+(B7275-Inputs!$C$69)/Inputs!$C$70,"")</f>
      </c>
      <c r="D7275" s="15"/>
      <c r="E7275" s="15"/>
      <c r="F7275" s="11">
        <f t="shared" si="57"/>
      </c>
      <c r="G7275" s="22" cm="1">
        <f t="array" ref="G7275">IF(AND(Inputs!$C$60,Inputs!$C$61),INDEX(Utility_Rates!$C$29:$F$52,HOUR(C7275)+Inputs!$C$69,MATCH(INDEX(Utility_Rates!$K$6:$K$17,MONTH(C7275))&amp;IF(WEEKDAY(C7275,Inputs!$C$76)&lt;=Inputs!$C$74," weekday"," weekend"),Utility_Rates!$C$28:$F$28,Inputs!$C$68)),"")</f>
      </c>
      <c r="H7275" s="34"/>
      <c r="I7275" s="42">
        <f>IF(AND(ISNUMBER(D7275),ISNUMBER(H7275)),D7275*H7275*Inputs!$C$69,"")</f>
      </c>
      <c r="J7275" s="42">
        <f>IF(AND(ISNUMBER(F7275),ISNUMBER(H7275),F7275&gt;=Inputs!$C$68),F7275*H7275*Inputs!$C$69,"")</f>
      </c>
    </row>
    <row r="7276" spans="2:10" ht="15" customHeight="1" x14ac:dyDescent="0.2">
      <c r="B7276" s="39">
        <f t="shared" si="56"/>
      </c>
      <c r="C7276" s="40">
        <f>IF(Inputs!$C$60,Inputs!$C$11+(B7276-Inputs!$C$69)/Inputs!$C$70,"")</f>
      </c>
      <c r="D7276" s="15"/>
      <c r="E7276" s="15"/>
      <c r="F7276" s="11">
        <f t="shared" si="57"/>
      </c>
      <c r="G7276" s="22" cm="1">
        <f t="array" ref="G7276">IF(AND(Inputs!$C$60,Inputs!$C$61),INDEX(Utility_Rates!$C$29:$F$52,HOUR(C7276)+Inputs!$C$69,MATCH(INDEX(Utility_Rates!$K$6:$K$17,MONTH(C7276))&amp;IF(WEEKDAY(C7276,Inputs!$C$76)&lt;=Inputs!$C$74," weekday"," weekend"),Utility_Rates!$C$28:$F$28,Inputs!$C$68)),"")</f>
      </c>
      <c r="H7276" s="34"/>
      <c r="I7276" s="42">
        <f>IF(AND(ISNUMBER(D7276),ISNUMBER(H7276)),D7276*H7276*Inputs!$C$69,"")</f>
      </c>
      <c r="J7276" s="42">
        <f>IF(AND(ISNUMBER(F7276),ISNUMBER(H7276),F7276&gt;=Inputs!$C$68),F7276*H7276*Inputs!$C$69,"")</f>
      </c>
    </row>
    <row r="7277" spans="2:10" ht="15" customHeight="1" x14ac:dyDescent="0.2">
      <c r="B7277" s="39">
        <f t="shared" si="56"/>
      </c>
      <c r="C7277" s="40">
        <f>IF(Inputs!$C$60,Inputs!$C$11+(B7277-Inputs!$C$69)/Inputs!$C$70,"")</f>
      </c>
      <c r="D7277" s="15"/>
      <c r="E7277" s="15"/>
      <c r="F7277" s="11">
        <f t="shared" si="57"/>
      </c>
      <c r="G7277" s="22" cm="1">
        <f t="array" ref="G7277">IF(AND(Inputs!$C$60,Inputs!$C$61),INDEX(Utility_Rates!$C$29:$F$52,HOUR(C7277)+Inputs!$C$69,MATCH(INDEX(Utility_Rates!$K$6:$K$17,MONTH(C7277))&amp;IF(WEEKDAY(C7277,Inputs!$C$76)&lt;=Inputs!$C$74," weekday"," weekend"),Utility_Rates!$C$28:$F$28,Inputs!$C$68)),"")</f>
      </c>
      <c r="H7277" s="34"/>
      <c r="I7277" s="42">
        <f>IF(AND(ISNUMBER(D7277),ISNUMBER(H7277)),D7277*H7277*Inputs!$C$69,"")</f>
      </c>
      <c r="J7277" s="42">
        <f>IF(AND(ISNUMBER(F7277),ISNUMBER(H7277),F7277&gt;=Inputs!$C$68),F7277*H7277*Inputs!$C$69,"")</f>
      </c>
    </row>
    <row r="7278" spans="2:10" ht="15" customHeight="1" x14ac:dyDescent="0.2">
      <c r="B7278" s="39">
        <f t="shared" si="56"/>
      </c>
      <c r="C7278" s="40">
        <f>IF(Inputs!$C$60,Inputs!$C$11+(B7278-Inputs!$C$69)/Inputs!$C$70,"")</f>
      </c>
      <c r="D7278" s="15"/>
      <c r="E7278" s="15"/>
      <c r="F7278" s="11">
        <f t="shared" si="57"/>
      </c>
      <c r="G7278" s="22" cm="1">
        <f t="array" ref="G7278">IF(AND(Inputs!$C$60,Inputs!$C$61),INDEX(Utility_Rates!$C$29:$F$52,HOUR(C7278)+Inputs!$C$69,MATCH(INDEX(Utility_Rates!$K$6:$K$17,MONTH(C7278))&amp;IF(WEEKDAY(C7278,Inputs!$C$76)&lt;=Inputs!$C$74," weekday"," weekend"),Utility_Rates!$C$28:$F$28,Inputs!$C$68)),"")</f>
      </c>
      <c r="H7278" s="34"/>
      <c r="I7278" s="42">
        <f>IF(AND(ISNUMBER(D7278),ISNUMBER(H7278)),D7278*H7278*Inputs!$C$69,"")</f>
      </c>
      <c r="J7278" s="42">
        <f>IF(AND(ISNUMBER(F7278),ISNUMBER(H7278),F7278&gt;=Inputs!$C$68),F7278*H7278*Inputs!$C$69,"")</f>
      </c>
    </row>
    <row r="7279" spans="2:10" ht="15" customHeight="1" x14ac:dyDescent="0.2">
      <c r="B7279" s="39">
        <f t="shared" si="56"/>
      </c>
      <c r="C7279" s="40">
        <f>IF(Inputs!$C$60,Inputs!$C$11+(B7279-Inputs!$C$69)/Inputs!$C$70,"")</f>
      </c>
      <c r="D7279" s="15"/>
      <c r="E7279" s="15"/>
      <c r="F7279" s="11">
        <f t="shared" si="57"/>
      </c>
      <c r="G7279" s="22" cm="1">
        <f t="array" ref="G7279">IF(AND(Inputs!$C$60,Inputs!$C$61),INDEX(Utility_Rates!$C$29:$F$52,HOUR(C7279)+Inputs!$C$69,MATCH(INDEX(Utility_Rates!$K$6:$K$17,MONTH(C7279))&amp;IF(WEEKDAY(C7279,Inputs!$C$76)&lt;=Inputs!$C$74," weekday"," weekend"),Utility_Rates!$C$28:$F$28,Inputs!$C$68)),"")</f>
      </c>
      <c r="H7279" s="34"/>
      <c r="I7279" s="42">
        <f>IF(AND(ISNUMBER(D7279),ISNUMBER(H7279)),D7279*H7279*Inputs!$C$69,"")</f>
      </c>
      <c r="J7279" s="42">
        <f>IF(AND(ISNUMBER(F7279),ISNUMBER(H7279),F7279&gt;=Inputs!$C$68),F7279*H7279*Inputs!$C$69,"")</f>
      </c>
    </row>
    <row r="7280" spans="2:10" ht="15" customHeight="1" x14ac:dyDescent="0.2">
      <c r="B7280" s="39">
        <f t="shared" si="56"/>
      </c>
      <c r="C7280" s="40">
        <f>IF(Inputs!$C$60,Inputs!$C$11+(B7280-Inputs!$C$69)/Inputs!$C$70,"")</f>
      </c>
      <c r="D7280" s="15"/>
      <c r="E7280" s="15"/>
      <c r="F7280" s="11">
        <f t="shared" si="57"/>
      </c>
      <c r="G7280" s="22" cm="1">
        <f t="array" ref="G7280">IF(AND(Inputs!$C$60,Inputs!$C$61),INDEX(Utility_Rates!$C$29:$F$52,HOUR(C7280)+Inputs!$C$69,MATCH(INDEX(Utility_Rates!$K$6:$K$17,MONTH(C7280))&amp;IF(WEEKDAY(C7280,Inputs!$C$76)&lt;=Inputs!$C$74," weekday"," weekend"),Utility_Rates!$C$28:$F$28,Inputs!$C$68)),"")</f>
      </c>
      <c r="H7280" s="34"/>
      <c r="I7280" s="42">
        <f>IF(AND(ISNUMBER(D7280),ISNUMBER(H7280)),D7280*H7280*Inputs!$C$69,"")</f>
      </c>
      <c r="J7280" s="42">
        <f>IF(AND(ISNUMBER(F7280),ISNUMBER(H7280),F7280&gt;=Inputs!$C$68),F7280*H7280*Inputs!$C$69,"")</f>
      </c>
    </row>
    <row r="7281" spans="2:10" ht="15" customHeight="1" x14ac:dyDescent="0.2">
      <c r="B7281" s="39">
        <f t="shared" si="56"/>
      </c>
      <c r="C7281" s="40">
        <f>IF(Inputs!$C$60,Inputs!$C$11+(B7281-Inputs!$C$69)/Inputs!$C$70,"")</f>
      </c>
      <c r="D7281" s="15"/>
      <c r="E7281" s="15"/>
      <c r="F7281" s="11">
        <f t="shared" si="57"/>
      </c>
      <c r="G7281" s="22" cm="1">
        <f t="array" ref="G7281">IF(AND(Inputs!$C$60,Inputs!$C$61),INDEX(Utility_Rates!$C$29:$F$52,HOUR(C7281)+Inputs!$C$69,MATCH(INDEX(Utility_Rates!$K$6:$K$17,MONTH(C7281))&amp;IF(WEEKDAY(C7281,Inputs!$C$76)&lt;=Inputs!$C$74," weekday"," weekend"),Utility_Rates!$C$28:$F$28,Inputs!$C$68)),"")</f>
      </c>
      <c r="H7281" s="34"/>
      <c r="I7281" s="42">
        <f>IF(AND(ISNUMBER(D7281),ISNUMBER(H7281)),D7281*H7281*Inputs!$C$69,"")</f>
      </c>
      <c r="J7281" s="42">
        <f>IF(AND(ISNUMBER(F7281),ISNUMBER(H7281),F7281&gt;=Inputs!$C$68),F7281*H7281*Inputs!$C$69,"")</f>
      </c>
    </row>
    <row r="7282" spans="2:10" ht="15" customHeight="1" x14ac:dyDescent="0.2">
      <c r="B7282" s="39">
        <f t="shared" si="56"/>
      </c>
      <c r="C7282" s="40">
        <f>IF(Inputs!$C$60,Inputs!$C$11+(B7282-Inputs!$C$69)/Inputs!$C$70,"")</f>
      </c>
      <c r="D7282" s="15"/>
      <c r="E7282" s="15"/>
      <c r="F7282" s="11">
        <f t="shared" si="57"/>
      </c>
      <c r="G7282" s="22" cm="1">
        <f t="array" ref="G7282">IF(AND(Inputs!$C$60,Inputs!$C$61),INDEX(Utility_Rates!$C$29:$F$52,HOUR(C7282)+Inputs!$C$69,MATCH(INDEX(Utility_Rates!$K$6:$K$17,MONTH(C7282))&amp;IF(WEEKDAY(C7282,Inputs!$C$76)&lt;=Inputs!$C$74," weekday"," weekend"),Utility_Rates!$C$28:$F$28,Inputs!$C$68)),"")</f>
      </c>
      <c r="H7282" s="34"/>
      <c r="I7282" s="42">
        <f>IF(AND(ISNUMBER(D7282),ISNUMBER(H7282)),D7282*H7282*Inputs!$C$69,"")</f>
      </c>
      <c r="J7282" s="42">
        <f>IF(AND(ISNUMBER(F7282),ISNUMBER(H7282),F7282&gt;=Inputs!$C$68),F7282*H7282*Inputs!$C$69,"")</f>
      </c>
    </row>
    <row r="7283" spans="2:10" ht="15" customHeight="1" x14ac:dyDescent="0.2">
      <c r="B7283" s="39">
        <f t="shared" si="56"/>
      </c>
      <c r="C7283" s="40">
        <f>IF(Inputs!$C$60,Inputs!$C$11+(B7283-Inputs!$C$69)/Inputs!$C$70,"")</f>
      </c>
      <c r="D7283" s="15"/>
      <c r="E7283" s="15"/>
      <c r="F7283" s="11">
        <f t="shared" si="57"/>
      </c>
      <c r="G7283" s="22" cm="1">
        <f t="array" ref="G7283">IF(AND(Inputs!$C$60,Inputs!$C$61),INDEX(Utility_Rates!$C$29:$F$52,HOUR(C7283)+Inputs!$C$69,MATCH(INDEX(Utility_Rates!$K$6:$K$17,MONTH(C7283))&amp;IF(WEEKDAY(C7283,Inputs!$C$76)&lt;=Inputs!$C$74," weekday"," weekend"),Utility_Rates!$C$28:$F$28,Inputs!$C$68)),"")</f>
      </c>
      <c r="H7283" s="34"/>
      <c r="I7283" s="42">
        <f>IF(AND(ISNUMBER(D7283),ISNUMBER(H7283)),D7283*H7283*Inputs!$C$69,"")</f>
      </c>
      <c r="J7283" s="42">
        <f>IF(AND(ISNUMBER(F7283),ISNUMBER(H7283),F7283&gt;=Inputs!$C$68),F7283*H7283*Inputs!$C$69,"")</f>
      </c>
    </row>
    <row r="7284" spans="2:10" ht="15" customHeight="1" x14ac:dyDescent="0.2">
      <c r="B7284" s="39">
        <f t="shared" si="56"/>
      </c>
      <c r="C7284" s="40">
        <f>IF(Inputs!$C$60,Inputs!$C$11+(B7284-Inputs!$C$69)/Inputs!$C$70,"")</f>
      </c>
      <c r="D7284" s="15"/>
      <c r="E7284" s="15"/>
      <c r="F7284" s="11">
        <f t="shared" si="57"/>
      </c>
      <c r="G7284" s="22" cm="1">
        <f t="array" ref="G7284">IF(AND(Inputs!$C$60,Inputs!$C$61),INDEX(Utility_Rates!$C$29:$F$52,HOUR(C7284)+Inputs!$C$69,MATCH(INDEX(Utility_Rates!$K$6:$K$17,MONTH(C7284))&amp;IF(WEEKDAY(C7284,Inputs!$C$76)&lt;=Inputs!$C$74," weekday"," weekend"),Utility_Rates!$C$28:$F$28,Inputs!$C$68)),"")</f>
      </c>
      <c r="H7284" s="34"/>
      <c r="I7284" s="42">
        <f>IF(AND(ISNUMBER(D7284),ISNUMBER(H7284)),D7284*H7284*Inputs!$C$69,"")</f>
      </c>
      <c r="J7284" s="42">
        <f>IF(AND(ISNUMBER(F7284),ISNUMBER(H7284),F7284&gt;=Inputs!$C$68),F7284*H7284*Inputs!$C$69,"")</f>
      </c>
    </row>
    <row r="7285" spans="2:10" ht="15" customHeight="1" x14ac:dyDescent="0.2">
      <c r="B7285" s="39">
        <f t="shared" si="56"/>
      </c>
      <c r="C7285" s="40">
        <f>IF(Inputs!$C$60,Inputs!$C$11+(B7285-Inputs!$C$69)/Inputs!$C$70,"")</f>
      </c>
      <c r="D7285" s="15"/>
      <c r="E7285" s="15"/>
      <c r="F7285" s="11">
        <f t="shared" si="57"/>
      </c>
      <c r="G7285" s="22" cm="1">
        <f t="array" ref="G7285">IF(AND(Inputs!$C$60,Inputs!$C$61),INDEX(Utility_Rates!$C$29:$F$52,HOUR(C7285)+Inputs!$C$69,MATCH(INDEX(Utility_Rates!$K$6:$K$17,MONTH(C7285))&amp;IF(WEEKDAY(C7285,Inputs!$C$76)&lt;=Inputs!$C$74," weekday"," weekend"),Utility_Rates!$C$28:$F$28,Inputs!$C$68)),"")</f>
      </c>
      <c r="H7285" s="34"/>
      <c r="I7285" s="42">
        <f>IF(AND(ISNUMBER(D7285),ISNUMBER(H7285)),D7285*H7285*Inputs!$C$69,"")</f>
      </c>
      <c r="J7285" s="42">
        <f>IF(AND(ISNUMBER(F7285),ISNUMBER(H7285),F7285&gt;=Inputs!$C$68),F7285*H7285*Inputs!$C$69,"")</f>
      </c>
    </row>
    <row r="7286" spans="2:10" ht="15" customHeight="1" x14ac:dyDescent="0.2">
      <c r="B7286" s="39">
        <f t="shared" si="56"/>
      </c>
      <c r="C7286" s="40">
        <f>IF(Inputs!$C$60,Inputs!$C$11+(B7286-Inputs!$C$69)/Inputs!$C$70,"")</f>
      </c>
      <c r="D7286" s="15"/>
      <c r="E7286" s="15"/>
      <c r="F7286" s="11">
        <f t="shared" si="57"/>
      </c>
      <c r="G7286" s="22" cm="1">
        <f t="array" ref="G7286">IF(AND(Inputs!$C$60,Inputs!$C$61),INDEX(Utility_Rates!$C$29:$F$52,HOUR(C7286)+Inputs!$C$69,MATCH(INDEX(Utility_Rates!$K$6:$K$17,MONTH(C7286))&amp;IF(WEEKDAY(C7286,Inputs!$C$76)&lt;=Inputs!$C$74," weekday"," weekend"),Utility_Rates!$C$28:$F$28,Inputs!$C$68)),"")</f>
      </c>
      <c r="H7286" s="34"/>
      <c r="I7286" s="42">
        <f>IF(AND(ISNUMBER(D7286),ISNUMBER(H7286)),D7286*H7286*Inputs!$C$69,"")</f>
      </c>
      <c r="J7286" s="42">
        <f>IF(AND(ISNUMBER(F7286),ISNUMBER(H7286),F7286&gt;=Inputs!$C$68),F7286*H7286*Inputs!$C$69,"")</f>
      </c>
    </row>
    <row r="7287" spans="2:10" ht="15" customHeight="1" x14ac:dyDescent="0.2">
      <c r="B7287" s="39">
        <f t="shared" si="56"/>
      </c>
      <c r="C7287" s="40">
        <f>IF(Inputs!$C$60,Inputs!$C$11+(B7287-Inputs!$C$69)/Inputs!$C$70,"")</f>
      </c>
      <c r="D7287" s="15"/>
      <c r="E7287" s="15"/>
      <c r="F7287" s="11">
        <f t="shared" si="57"/>
      </c>
      <c r="G7287" s="22" cm="1">
        <f t="array" ref="G7287">IF(AND(Inputs!$C$60,Inputs!$C$61),INDEX(Utility_Rates!$C$29:$F$52,HOUR(C7287)+Inputs!$C$69,MATCH(INDEX(Utility_Rates!$K$6:$K$17,MONTH(C7287))&amp;IF(WEEKDAY(C7287,Inputs!$C$76)&lt;=Inputs!$C$74," weekday"," weekend"),Utility_Rates!$C$28:$F$28,Inputs!$C$68)),"")</f>
      </c>
      <c r="H7287" s="34"/>
      <c r="I7287" s="42">
        <f>IF(AND(ISNUMBER(D7287),ISNUMBER(H7287)),D7287*H7287*Inputs!$C$69,"")</f>
      </c>
      <c r="J7287" s="42">
        <f>IF(AND(ISNUMBER(F7287),ISNUMBER(H7287),F7287&gt;=Inputs!$C$68),F7287*H7287*Inputs!$C$69,"")</f>
      </c>
    </row>
    <row r="7288" spans="2:10" ht="15" customHeight="1" x14ac:dyDescent="0.2">
      <c r="B7288" s="39">
        <f t="shared" si="56"/>
      </c>
      <c r="C7288" s="40">
        <f>IF(Inputs!$C$60,Inputs!$C$11+(B7288-Inputs!$C$69)/Inputs!$C$70,"")</f>
      </c>
      <c r="D7288" s="15"/>
      <c r="E7288" s="15"/>
      <c r="F7288" s="11">
        <f t="shared" si="57"/>
      </c>
      <c r="G7288" s="22" cm="1">
        <f t="array" ref="G7288">IF(AND(Inputs!$C$60,Inputs!$C$61),INDEX(Utility_Rates!$C$29:$F$52,HOUR(C7288)+Inputs!$C$69,MATCH(INDEX(Utility_Rates!$K$6:$K$17,MONTH(C7288))&amp;IF(WEEKDAY(C7288,Inputs!$C$76)&lt;=Inputs!$C$74," weekday"," weekend"),Utility_Rates!$C$28:$F$28,Inputs!$C$68)),"")</f>
      </c>
      <c r="H7288" s="34"/>
      <c r="I7288" s="42">
        <f>IF(AND(ISNUMBER(D7288),ISNUMBER(H7288)),D7288*H7288*Inputs!$C$69,"")</f>
      </c>
      <c r="J7288" s="42">
        <f>IF(AND(ISNUMBER(F7288),ISNUMBER(H7288),F7288&gt;=Inputs!$C$68),F7288*H7288*Inputs!$C$69,"")</f>
      </c>
    </row>
    <row r="7289" spans="2:10" ht="15" customHeight="1" x14ac:dyDescent="0.2">
      <c r="B7289" s="39">
        <f t="shared" si="56"/>
      </c>
      <c r="C7289" s="40">
        <f>IF(Inputs!$C$60,Inputs!$C$11+(B7289-Inputs!$C$69)/Inputs!$C$70,"")</f>
      </c>
      <c r="D7289" s="15"/>
      <c r="E7289" s="15"/>
      <c r="F7289" s="11">
        <f t="shared" si="57"/>
      </c>
      <c r="G7289" s="22" cm="1">
        <f t="array" ref="G7289">IF(AND(Inputs!$C$60,Inputs!$C$61),INDEX(Utility_Rates!$C$29:$F$52,HOUR(C7289)+Inputs!$C$69,MATCH(INDEX(Utility_Rates!$K$6:$K$17,MONTH(C7289))&amp;IF(WEEKDAY(C7289,Inputs!$C$76)&lt;=Inputs!$C$74," weekday"," weekend"),Utility_Rates!$C$28:$F$28,Inputs!$C$68)),"")</f>
      </c>
      <c r="H7289" s="34"/>
      <c r="I7289" s="42">
        <f>IF(AND(ISNUMBER(D7289),ISNUMBER(H7289)),D7289*H7289*Inputs!$C$69,"")</f>
      </c>
      <c r="J7289" s="42">
        <f>IF(AND(ISNUMBER(F7289),ISNUMBER(H7289),F7289&gt;=Inputs!$C$68),F7289*H7289*Inputs!$C$69,"")</f>
      </c>
    </row>
    <row r="7290" spans="2:10" ht="15" customHeight="1" x14ac:dyDescent="0.2">
      <c r="B7290" s="39">
        <f t="shared" si="56"/>
      </c>
      <c r="C7290" s="40">
        <f>IF(Inputs!$C$60,Inputs!$C$11+(B7290-Inputs!$C$69)/Inputs!$C$70,"")</f>
      </c>
      <c r="D7290" s="15"/>
      <c r="E7290" s="15"/>
      <c r="F7290" s="11">
        <f t="shared" si="57"/>
      </c>
      <c r="G7290" s="22" cm="1">
        <f t="array" ref="G7290">IF(AND(Inputs!$C$60,Inputs!$C$61),INDEX(Utility_Rates!$C$29:$F$52,HOUR(C7290)+Inputs!$C$69,MATCH(INDEX(Utility_Rates!$K$6:$K$17,MONTH(C7290))&amp;IF(WEEKDAY(C7290,Inputs!$C$76)&lt;=Inputs!$C$74," weekday"," weekend"),Utility_Rates!$C$28:$F$28,Inputs!$C$68)),"")</f>
      </c>
      <c r="H7290" s="34"/>
      <c r="I7290" s="42">
        <f>IF(AND(ISNUMBER(D7290),ISNUMBER(H7290)),D7290*H7290*Inputs!$C$69,"")</f>
      </c>
      <c r="J7290" s="42">
        <f>IF(AND(ISNUMBER(F7290),ISNUMBER(H7290),F7290&gt;=Inputs!$C$68),F7290*H7290*Inputs!$C$69,"")</f>
      </c>
    </row>
    <row r="7291" spans="2:10" ht="15" customHeight="1" x14ac:dyDescent="0.2">
      <c r="B7291" s="39">
        <f t="shared" si="56"/>
      </c>
      <c r="C7291" s="40">
        <f>IF(Inputs!$C$60,Inputs!$C$11+(B7291-Inputs!$C$69)/Inputs!$C$70,"")</f>
      </c>
      <c r="D7291" s="15"/>
      <c r="E7291" s="15"/>
      <c r="F7291" s="11">
        <f t="shared" si="57"/>
      </c>
      <c r="G7291" s="22" cm="1">
        <f t="array" ref="G7291">IF(AND(Inputs!$C$60,Inputs!$C$61),INDEX(Utility_Rates!$C$29:$F$52,HOUR(C7291)+Inputs!$C$69,MATCH(INDEX(Utility_Rates!$K$6:$K$17,MONTH(C7291))&amp;IF(WEEKDAY(C7291,Inputs!$C$76)&lt;=Inputs!$C$74," weekday"," weekend"),Utility_Rates!$C$28:$F$28,Inputs!$C$68)),"")</f>
      </c>
      <c r="H7291" s="34"/>
      <c r="I7291" s="42">
        <f>IF(AND(ISNUMBER(D7291),ISNUMBER(H7291)),D7291*H7291*Inputs!$C$69,"")</f>
      </c>
      <c r="J7291" s="42">
        <f>IF(AND(ISNUMBER(F7291),ISNUMBER(H7291),F7291&gt;=Inputs!$C$68),F7291*H7291*Inputs!$C$69,"")</f>
      </c>
    </row>
    <row r="7292" spans="2:10" ht="15" customHeight="1" x14ac:dyDescent="0.2">
      <c r="B7292" s="39">
        <f t="shared" si="56"/>
      </c>
      <c r="C7292" s="40">
        <f>IF(Inputs!$C$60,Inputs!$C$11+(B7292-Inputs!$C$69)/Inputs!$C$70,"")</f>
      </c>
      <c r="D7292" s="15"/>
      <c r="E7292" s="15"/>
      <c r="F7292" s="11">
        <f t="shared" si="57"/>
      </c>
      <c r="G7292" s="22" cm="1">
        <f t="array" ref="G7292">IF(AND(Inputs!$C$60,Inputs!$C$61),INDEX(Utility_Rates!$C$29:$F$52,HOUR(C7292)+Inputs!$C$69,MATCH(INDEX(Utility_Rates!$K$6:$K$17,MONTH(C7292))&amp;IF(WEEKDAY(C7292,Inputs!$C$76)&lt;=Inputs!$C$74," weekday"," weekend"),Utility_Rates!$C$28:$F$28,Inputs!$C$68)),"")</f>
      </c>
      <c r="H7292" s="34"/>
      <c r="I7292" s="42">
        <f>IF(AND(ISNUMBER(D7292),ISNUMBER(H7292)),D7292*H7292*Inputs!$C$69,"")</f>
      </c>
      <c r="J7292" s="42">
        <f>IF(AND(ISNUMBER(F7292),ISNUMBER(H7292),F7292&gt;=Inputs!$C$68),F7292*H7292*Inputs!$C$69,"")</f>
      </c>
    </row>
    <row r="7293" spans="2:10" ht="15" customHeight="1" x14ac:dyDescent="0.2">
      <c r="B7293" s="39">
        <f t="shared" si="56"/>
      </c>
      <c r="C7293" s="40">
        <f>IF(Inputs!$C$60,Inputs!$C$11+(B7293-Inputs!$C$69)/Inputs!$C$70,"")</f>
      </c>
      <c r="D7293" s="15"/>
      <c r="E7293" s="15"/>
      <c r="F7293" s="11">
        <f t="shared" si="57"/>
      </c>
      <c r="G7293" s="22" cm="1">
        <f t="array" ref="G7293">IF(AND(Inputs!$C$60,Inputs!$C$61),INDEX(Utility_Rates!$C$29:$F$52,HOUR(C7293)+Inputs!$C$69,MATCH(INDEX(Utility_Rates!$K$6:$K$17,MONTH(C7293))&amp;IF(WEEKDAY(C7293,Inputs!$C$76)&lt;=Inputs!$C$74," weekday"," weekend"),Utility_Rates!$C$28:$F$28,Inputs!$C$68)),"")</f>
      </c>
      <c r="H7293" s="34"/>
      <c r="I7293" s="42">
        <f>IF(AND(ISNUMBER(D7293),ISNUMBER(H7293)),D7293*H7293*Inputs!$C$69,"")</f>
      </c>
      <c r="J7293" s="42">
        <f>IF(AND(ISNUMBER(F7293),ISNUMBER(H7293),F7293&gt;=Inputs!$C$68),F7293*H7293*Inputs!$C$69,"")</f>
      </c>
    </row>
    <row r="7294" spans="2:10" ht="15" customHeight="1" x14ac:dyDescent="0.2">
      <c r="B7294" s="39">
        <f t="shared" si="56"/>
      </c>
      <c r="C7294" s="40">
        <f>IF(Inputs!$C$60,Inputs!$C$11+(B7294-Inputs!$C$69)/Inputs!$C$70,"")</f>
      </c>
      <c r="D7294" s="15"/>
      <c r="E7294" s="15"/>
      <c r="F7294" s="11">
        <f t="shared" si="57"/>
      </c>
      <c r="G7294" s="22" cm="1">
        <f t="array" ref="G7294">IF(AND(Inputs!$C$60,Inputs!$C$61),INDEX(Utility_Rates!$C$29:$F$52,HOUR(C7294)+Inputs!$C$69,MATCH(INDEX(Utility_Rates!$K$6:$K$17,MONTH(C7294))&amp;IF(WEEKDAY(C7294,Inputs!$C$76)&lt;=Inputs!$C$74," weekday"," weekend"),Utility_Rates!$C$28:$F$28,Inputs!$C$68)),"")</f>
      </c>
      <c r="H7294" s="34"/>
      <c r="I7294" s="42">
        <f>IF(AND(ISNUMBER(D7294),ISNUMBER(H7294)),D7294*H7294*Inputs!$C$69,"")</f>
      </c>
      <c r="J7294" s="42">
        <f>IF(AND(ISNUMBER(F7294),ISNUMBER(H7294),F7294&gt;=Inputs!$C$68),F7294*H7294*Inputs!$C$69,"")</f>
      </c>
    </row>
    <row r="7295" spans="2:10" ht="15" customHeight="1" x14ac:dyDescent="0.2">
      <c r="B7295" s="39">
        <f t="shared" si="56"/>
      </c>
      <c r="C7295" s="40">
        <f>IF(Inputs!$C$60,Inputs!$C$11+(B7295-Inputs!$C$69)/Inputs!$C$70,"")</f>
      </c>
      <c r="D7295" s="15"/>
      <c r="E7295" s="15"/>
      <c r="F7295" s="11">
        <f t="shared" si="57"/>
      </c>
      <c r="G7295" s="22" cm="1">
        <f t="array" ref="G7295">IF(AND(Inputs!$C$60,Inputs!$C$61),INDEX(Utility_Rates!$C$29:$F$52,HOUR(C7295)+Inputs!$C$69,MATCH(INDEX(Utility_Rates!$K$6:$K$17,MONTH(C7295))&amp;IF(WEEKDAY(C7295,Inputs!$C$76)&lt;=Inputs!$C$74," weekday"," weekend"),Utility_Rates!$C$28:$F$28,Inputs!$C$68)),"")</f>
      </c>
      <c r="H7295" s="34"/>
      <c r="I7295" s="42">
        <f>IF(AND(ISNUMBER(D7295),ISNUMBER(H7295)),D7295*H7295*Inputs!$C$69,"")</f>
      </c>
      <c r="J7295" s="42">
        <f>IF(AND(ISNUMBER(F7295),ISNUMBER(H7295),F7295&gt;=Inputs!$C$68),F7295*H7295*Inputs!$C$69,"")</f>
      </c>
    </row>
    <row r="7296" spans="2:10" ht="15" customHeight="1" x14ac:dyDescent="0.2">
      <c r="B7296" s="39">
        <f t="shared" si="56"/>
      </c>
      <c r="C7296" s="40">
        <f>IF(Inputs!$C$60,Inputs!$C$11+(B7296-Inputs!$C$69)/Inputs!$C$70,"")</f>
      </c>
      <c r="D7296" s="15"/>
      <c r="E7296" s="15"/>
      <c r="F7296" s="11">
        <f t="shared" si="57"/>
      </c>
      <c r="G7296" s="22" cm="1">
        <f t="array" ref="G7296">IF(AND(Inputs!$C$60,Inputs!$C$61),INDEX(Utility_Rates!$C$29:$F$52,HOUR(C7296)+Inputs!$C$69,MATCH(INDEX(Utility_Rates!$K$6:$K$17,MONTH(C7296))&amp;IF(WEEKDAY(C7296,Inputs!$C$76)&lt;=Inputs!$C$74," weekday"," weekend"),Utility_Rates!$C$28:$F$28,Inputs!$C$68)),"")</f>
      </c>
      <c r="H7296" s="34"/>
      <c r="I7296" s="42">
        <f>IF(AND(ISNUMBER(D7296),ISNUMBER(H7296)),D7296*H7296*Inputs!$C$69,"")</f>
      </c>
      <c r="J7296" s="42">
        <f>IF(AND(ISNUMBER(F7296),ISNUMBER(H7296),F7296&gt;=Inputs!$C$68),F7296*H7296*Inputs!$C$69,"")</f>
      </c>
    </row>
    <row r="7297" spans="2:10" ht="15" customHeight="1" x14ac:dyDescent="0.2">
      <c r="B7297" s="39">
        <f t="shared" si="56"/>
      </c>
      <c r="C7297" s="40">
        <f>IF(Inputs!$C$60,Inputs!$C$11+(B7297-Inputs!$C$69)/Inputs!$C$70,"")</f>
      </c>
      <c r="D7297" s="15"/>
      <c r="E7297" s="15"/>
      <c r="F7297" s="11">
        <f t="shared" si="57"/>
      </c>
      <c r="G7297" s="22" cm="1">
        <f t="array" ref="G7297">IF(AND(Inputs!$C$60,Inputs!$C$61),INDEX(Utility_Rates!$C$29:$F$52,HOUR(C7297)+Inputs!$C$69,MATCH(INDEX(Utility_Rates!$K$6:$K$17,MONTH(C7297))&amp;IF(WEEKDAY(C7297,Inputs!$C$76)&lt;=Inputs!$C$74," weekday"," weekend"),Utility_Rates!$C$28:$F$28,Inputs!$C$68)),"")</f>
      </c>
      <c r="H7297" s="34"/>
      <c r="I7297" s="42">
        <f>IF(AND(ISNUMBER(D7297),ISNUMBER(H7297)),D7297*H7297*Inputs!$C$69,"")</f>
      </c>
      <c r="J7297" s="42">
        <f>IF(AND(ISNUMBER(F7297),ISNUMBER(H7297),F7297&gt;=Inputs!$C$68),F7297*H7297*Inputs!$C$69,"")</f>
      </c>
    </row>
    <row r="7298" spans="2:10" ht="15" customHeight="1" x14ac:dyDescent="0.2">
      <c r="B7298" s="39">
        <f t="shared" si="56"/>
      </c>
      <c r="C7298" s="40">
        <f>IF(Inputs!$C$60,Inputs!$C$11+(B7298-Inputs!$C$69)/Inputs!$C$70,"")</f>
      </c>
      <c r="D7298" s="15"/>
      <c r="E7298" s="15"/>
      <c r="F7298" s="11">
        <f t="shared" si="57"/>
      </c>
      <c r="G7298" s="22" cm="1">
        <f t="array" ref="G7298">IF(AND(Inputs!$C$60,Inputs!$C$61),INDEX(Utility_Rates!$C$29:$F$52,HOUR(C7298)+Inputs!$C$69,MATCH(INDEX(Utility_Rates!$K$6:$K$17,MONTH(C7298))&amp;IF(WEEKDAY(C7298,Inputs!$C$76)&lt;=Inputs!$C$74," weekday"," weekend"),Utility_Rates!$C$28:$F$28,Inputs!$C$68)),"")</f>
      </c>
      <c r="H7298" s="34"/>
      <c r="I7298" s="42">
        <f>IF(AND(ISNUMBER(D7298),ISNUMBER(H7298)),D7298*H7298*Inputs!$C$69,"")</f>
      </c>
      <c r="J7298" s="42">
        <f>IF(AND(ISNUMBER(F7298),ISNUMBER(H7298),F7298&gt;=Inputs!$C$68),F7298*H7298*Inputs!$C$69,"")</f>
      </c>
    </row>
    <row r="7299" spans="2:10" ht="15" customHeight="1" x14ac:dyDescent="0.2">
      <c r="B7299" s="39">
        <f t="shared" si="56"/>
      </c>
      <c r="C7299" s="40">
        <f>IF(Inputs!$C$60,Inputs!$C$11+(B7299-Inputs!$C$69)/Inputs!$C$70,"")</f>
      </c>
      <c r="D7299" s="15"/>
      <c r="E7299" s="15"/>
      <c r="F7299" s="11">
        <f t="shared" si="57"/>
      </c>
      <c r="G7299" s="22" cm="1">
        <f t="array" ref="G7299">IF(AND(Inputs!$C$60,Inputs!$C$61),INDEX(Utility_Rates!$C$29:$F$52,HOUR(C7299)+Inputs!$C$69,MATCH(INDEX(Utility_Rates!$K$6:$K$17,MONTH(C7299))&amp;IF(WEEKDAY(C7299,Inputs!$C$76)&lt;=Inputs!$C$74," weekday"," weekend"),Utility_Rates!$C$28:$F$28,Inputs!$C$68)),"")</f>
      </c>
      <c r="H7299" s="34"/>
      <c r="I7299" s="42">
        <f>IF(AND(ISNUMBER(D7299),ISNUMBER(H7299)),D7299*H7299*Inputs!$C$69,"")</f>
      </c>
      <c r="J7299" s="42">
        <f>IF(AND(ISNUMBER(F7299),ISNUMBER(H7299),F7299&gt;=Inputs!$C$68),F7299*H7299*Inputs!$C$69,"")</f>
      </c>
    </row>
    <row r="7300" spans="2:10" ht="15" customHeight="1" x14ac:dyDescent="0.2">
      <c r="B7300" s="39">
        <f t="shared" si="56"/>
      </c>
      <c r="C7300" s="40">
        <f>IF(Inputs!$C$60,Inputs!$C$11+(B7300-Inputs!$C$69)/Inputs!$C$70,"")</f>
      </c>
      <c r="D7300" s="15"/>
      <c r="E7300" s="15"/>
      <c r="F7300" s="11">
        <f t="shared" si="57"/>
      </c>
      <c r="G7300" s="22" cm="1">
        <f t="array" ref="G7300">IF(AND(Inputs!$C$60,Inputs!$C$61),INDEX(Utility_Rates!$C$29:$F$52,HOUR(C7300)+Inputs!$C$69,MATCH(INDEX(Utility_Rates!$K$6:$K$17,MONTH(C7300))&amp;IF(WEEKDAY(C7300,Inputs!$C$76)&lt;=Inputs!$C$74," weekday"," weekend"),Utility_Rates!$C$28:$F$28,Inputs!$C$68)),"")</f>
      </c>
      <c r="H7300" s="34"/>
      <c r="I7300" s="42">
        <f>IF(AND(ISNUMBER(D7300),ISNUMBER(H7300)),D7300*H7300*Inputs!$C$69,"")</f>
      </c>
      <c r="J7300" s="42">
        <f>IF(AND(ISNUMBER(F7300),ISNUMBER(H7300),F7300&gt;=Inputs!$C$68),F7300*H7300*Inputs!$C$69,"")</f>
      </c>
    </row>
    <row r="7301" spans="2:10" ht="15" customHeight="1" x14ac:dyDescent="0.2">
      <c r="B7301" s="39">
        <f t="shared" si="56"/>
      </c>
      <c r="C7301" s="40">
        <f>IF(Inputs!$C$60,Inputs!$C$11+(B7301-Inputs!$C$69)/Inputs!$C$70,"")</f>
      </c>
      <c r="D7301" s="15"/>
      <c r="E7301" s="15"/>
      <c r="F7301" s="11">
        <f t="shared" si="57"/>
      </c>
      <c r="G7301" s="22" cm="1">
        <f t="array" ref="G7301">IF(AND(Inputs!$C$60,Inputs!$C$61),INDEX(Utility_Rates!$C$29:$F$52,HOUR(C7301)+Inputs!$C$69,MATCH(INDEX(Utility_Rates!$K$6:$K$17,MONTH(C7301))&amp;IF(WEEKDAY(C7301,Inputs!$C$76)&lt;=Inputs!$C$74," weekday"," weekend"),Utility_Rates!$C$28:$F$28,Inputs!$C$68)),"")</f>
      </c>
      <c r="H7301" s="34"/>
      <c r="I7301" s="42">
        <f>IF(AND(ISNUMBER(D7301),ISNUMBER(H7301)),D7301*H7301*Inputs!$C$69,"")</f>
      </c>
      <c r="J7301" s="42">
        <f>IF(AND(ISNUMBER(F7301),ISNUMBER(H7301),F7301&gt;=Inputs!$C$68),F7301*H7301*Inputs!$C$69,"")</f>
      </c>
    </row>
    <row r="7302" spans="2:10" ht="15" customHeight="1" x14ac:dyDescent="0.2">
      <c r="B7302" s="39">
        <f t="shared" si="56"/>
      </c>
      <c r="C7302" s="40">
        <f>IF(Inputs!$C$60,Inputs!$C$11+(B7302-Inputs!$C$69)/Inputs!$C$70,"")</f>
      </c>
      <c r="D7302" s="15"/>
      <c r="E7302" s="15"/>
      <c r="F7302" s="11">
        <f t="shared" si="57"/>
      </c>
      <c r="G7302" s="22" cm="1">
        <f t="array" ref="G7302">IF(AND(Inputs!$C$60,Inputs!$C$61),INDEX(Utility_Rates!$C$29:$F$52,HOUR(C7302)+Inputs!$C$69,MATCH(INDEX(Utility_Rates!$K$6:$K$17,MONTH(C7302))&amp;IF(WEEKDAY(C7302,Inputs!$C$76)&lt;=Inputs!$C$74," weekday"," weekend"),Utility_Rates!$C$28:$F$28,Inputs!$C$68)),"")</f>
      </c>
      <c r="H7302" s="34"/>
      <c r="I7302" s="42">
        <f>IF(AND(ISNUMBER(D7302),ISNUMBER(H7302)),D7302*H7302*Inputs!$C$69,"")</f>
      </c>
      <c r="J7302" s="42">
        <f>IF(AND(ISNUMBER(F7302),ISNUMBER(H7302),F7302&gt;=Inputs!$C$68),F7302*H7302*Inputs!$C$69,"")</f>
      </c>
    </row>
    <row r="7303" spans="2:10" ht="15" customHeight="1" x14ac:dyDescent="0.2">
      <c r="B7303" s="39">
        <f t="shared" si="56"/>
      </c>
      <c r="C7303" s="40">
        <f>IF(Inputs!$C$60,Inputs!$C$11+(B7303-Inputs!$C$69)/Inputs!$C$70,"")</f>
      </c>
      <c r="D7303" s="15"/>
      <c r="E7303" s="15"/>
      <c r="F7303" s="11">
        <f t="shared" si="57"/>
      </c>
      <c r="G7303" s="22" cm="1">
        <f t="array" ref="G7303">IF(AND(Inputs!$C$60,Inputs!$C$61),INDEX(Utility_Rates!$C$29:$F$52,HOUR(C7303)+Inputs!$C$69,MATCH(INDEX(Utility_Rates!$K$6:$K$17,MONTH(C7303))&amp;IF(WEEKDAY(C7303,Inputs!$C$76)&lt;=Inputs!$C$74," weekday"," weekend"),Utility_Rates!$C$28:$F$28,Inputs!$C$68)),"")</f>
      </c>
      <c r="H7303" s="34"/>
      <c r="I7303" s="42">
        <f>IF(AND(ISNUMBER(D7303),ISNUMBER(H7303)),D7303*H7303*Inputs!$C$69,"")</f>
      </c>
      <c r="J7303" s="42">
        <f>IF(AND(ISNUMBER(F7303),ISNUMBER(H7303),F7303&gt;=Inputs!$C$68),F7303*H7303*Inputs!$C$69,"")</f>
      </c>
    </row>
    <row r="7304" spans="2:10" ht="15" customHeight="1" x14ac:dyDescent="0.2">
      <c r="B7304" s="39">
        <f t="shared" si="56"/>
      </c>
      <c r="C7304" s="40">
        <f>IF(Inputs!$C$60,Inputs!$C$11+(B7304-Inputs!$C$69)/Inputs!$C$70,"")</f>
      </c>
      <c r="D7304" s="15"/>
      <c r="E7304" s="15"/>
      <c r="F7304" s="11">
        <f t="shared" si="57"/>
      </c>
      <c r="G7304" s="22" cm="1">
        <f t="array" ref="G7304">IF(AND(Inputs!$C$60,Inputs!$C$61),INDEX(Utility_Rates!$C$29:$F$52,HOUR(C7304)+Inputs!$C$69,MATCH(INDEX(Utility_Rates!$K$6:$K$17,MONTH(C7304))&amp;IF(WEEKDAY(C7304,Inputs!$C$76)&lt;=Inputs!$C$74," weekday"," weekend"),Utility_Rates!$C$28:$F$28,Inputs!$C$68)),"")</f>
      </c>
      <c r="H7304" s="34"/>
      <c r="I7304" s="42">
        <f>IF(AND(ISNUMBER(D7304),ISNUMBER(H7304)),D7304*H7304*Inputs!$C$69,"")</f>
      </c>
      <c r="J7304" s="42">
        <f>IF(AND(ISNUMBER(F7304),ISNUMBER(H7304),F7304&gt;=Inputs!$C$68),F7304*H7304*Inputs!$C$69,"")</f>
      </c>
    </row>
    <row r="7305" spans="2:10" ht="15" customHeight="1" x14ac:dyDescent="0.2">
      <c r="B7305" s="39">
        <f t="shared" si="56"/>
      </c>
      <c r="C7305" s="40">
        <f>IF(Inputs!$C$60,Inputs!$C$11+(B7305-Inputs!$C$69)/Inputs!$C$70,"")</f>
      </c>
      <c r="D7305" s="15"/>
      <c r="E7305" s="15"/>
      <c r="F7305" s="11">
        <f t="shared" si="57"/>
      </c>
      <c r="G7305" s="22" cm="1">
        <f t="array" ref="G7305">IF(AND(Inputs!$C$60,Inputs!$C$61),INDEX(Utility_Rates!$C$29:$F$52,HOUR(C7305)+Inputs!$C$69,MATCH(INDEX(Utility_Rates!$K$6:$K$17,MONTH(C7305))&amp;IF(WEEKDAY(C7305,Inputs!$C$76)&lt;=Inputs!$C$74," weekday"," weekend"),Utility_Rates!$C$28:$F$28,Inputs!$C$68)),"")</f>
      </c>
      <c r="H7305" s="34"/>
      <c r="I7305" s="42">
        <f>IF(AND(ISNUMBER(D7305),ISNUMBER(H7305)),D7305*H7305*Inputs!$C$69,"")</f>
      </c>
      <c r="J7305" s="42">
        <f>IF(AND(ISNUMBER(F7305),ISNUMBER(H7305),F7305&gt;=Inputs!$C$68),F7305*H7305*Inputs!$C$69,"")</f>
      </c>
    </row>
    <row r="7306" spans="2:10" ht="15" customHeight="1" x14ac:dyDescent="0.2">
      <c r="B7306" s="39">
        <f t="shared" si="56"/>
      </c>
      <c r="C7306" s="40">
        <f>IF(Inputs!$C$60,Inputs!$C$11+(B7306-Inputs!$C$69)/Inputs!$C$70,"")</f>
      </c>
      <c r="D7306" s="15"/>
      <c r="E7306" s="15"/>
      <c r="F7306" s="11">
        <f t="shared" si="57"/>
      </c>
      <c r="G7306" s="22" cm="1">
        <f t="array" ref="G7306">IF(AND(Inputs!$C$60,Inputs!$C$61),INDEX(Utility_Rates!$C$29:$F$52,HOUR(C7306)+Inputs!$C$69,MATCH(INDEX(Utility_Rates!$K$6:$K$17,MONTH(C7306))&amp;IF(WEEKDAY(C7306,Inputs!$C$76)&lt;=Inputs!$C$74," weekday"," weekend"),Utility_Rates!$C$28:$F$28,Inputs!$C$68)),"")</f>
      </c>
      <c r="H7306" s="34"/>
      <c r="I7306" s="42">
        <f>IF(AND(ISNUMBER(D7306),ISNUMBER(H7306)),D7306*H7306*Inputs!$C$69,"")</f>
      </c>
      <c r="J7306" s="42">
        <f>IF(AND(ISNUMBER(F7306),ISNUMBER(H7306),F7306&gt;=Inputs!$C$68),F7306*H7306*Inputs!$C$69,"")</f>
      </c>
    </row>
    <row r="7307" spans="2:10" ht="15" customHeight="1" x14ac:dyDescent="0.2">
      <c r="B7307" s="39">
        <f t="shared" si="56"/>
      </c>
      <c r="C7307" s="40">
        <f>IF(Inputs!$C$60,Inputs!$C$11+(B7307-Inputs!$C$69)/Inputs!$C$70,"")</f>
      </c>
      <c r="D7307" s="15"/>
      <c r="E7307" s="15"/>
      <c r="F7307" s="11">
        <f t="shared" si="57"/>
      </c>
      <c r="G7307" s="22" cm="1">
        <f t="array" ref="G7307">IF(AND(Inputs!$C$60,Inputs!$C$61),INDEX(Utility_Rates!$C$29:$F$52,HOUR(C7307)+Inputs!$C$69,MATCH(INDEX(Utility_Rates!$K$6:$K$17,MONTH(C7307))&amp;IF(WEEKDAY(C7307,Inputs!$C$76)&lt;=Inputs!$C$74," weekday"," weekend"),Utility_Rates!$C$28:$F$28,Inputs!$C$68)),"")</f>
      </c>
      <c r="H7307" s="34"/>
      <c r="I7307" s="42">
        <f>IF(AND(ISNUMBER(D7307),ISNUMBER(H7307)),D7307*H7307*Inputs!$C$69,"")</f>
      </c>
      <c r="J7307" s="42">
        <f>IF(AND(ISNUMBER(F7307),ISNUMBER(H7307),F7307&gt;=Inputs!$C$68),F7307*H7307*Inputs!$C$69,"")</f>
      </c>
    </row>
    <row r="7308" spans="2:10" ht="15" customHeight="1" x14ac:dyDescent="0.2">
      <c r="B7308" s="39">
        <f t="shared" si="56"/>
      </c>
      <c r="C7308" s="40">
        <f>IF(Inputs!$C$60,Inputs!$C$11+(B7308-Inputs!$C$69)/Inputs!$C$70,"")</f>
      </c>
      <c r="D7308" s="15"/>
      <c r="E7308" s="15"/>
      <c r="F7308" s="11">
        <f t="shared" si="57"/>
      </c>
      <c r="G7308" s="22" cm="1">
        <f t="array" ref="G7308">IF(AND(Inputs!$C$60,Inputs!$C$61),INDEX(Utility_Rates!$C$29:$F$52,HOUR(C7308)+Inputs!$C$69,MATCH(INDEX(Utility_Rates!$K$6:$K$17,MONTH(C7308))&amp;IF(WEEKDAY(C7308,Inputs!$C$76)&lt;=Inputs!$C$74," weekday"," weekend"),Utility_Rates!$C$28:$F$28,Inputs!$C$68)),"")</f>
      </c>
      <c r="H7308" s="34"/>
      <c r="I7308" s="42">
        <f>IF(AND(ISNUMBER(D7308),ISNUMBER(H7308)),D7308*H7308*Inputs!$C$69,"")</f>
      </c>
      <c r="J7308" s="42">
        <f>IF(AND(ISNUMBER(F7308),ISNUMBER(H7308),F7308&gt;=Inputs!$C$68),F7308*H7308*Inputs!$C$69,"")</f>
      </c>
    </row>
    <row r="7309" spans="2:10" ht="15" customHeight="1" x14ac:dyDescent="0.2">
      <c r="B7309" s="39">
        <f t="shared" si="56"/>
      </c>
      <c r="C7309" s="40">
        <f>IF(Inputs!$C$60,Inputs!$C$11+(B7309-Inputs!$C$69)/Inputs!$C$70,"")</f>
      </c>
      <c r="D7309" s="15"/>
      <c r="E7309" s="15"/>
      <c r="F7309" s="11">
        <f t="shared" si="57"/>
      </c>
      <c r="G7309" s="22" cm="1">
        <f t="array" ref="G7309">IF(AND(Inputs!$C$60,Inputs!$C$61),INDEX(Utility_Rates!$C$29:$F$52,HOUR(C7309)+Inputs!$C$69,MATCH(INDEX(Utility_Rates!$K$6:$K$17,MONTH(C7309))&amp;IF(WEEKDAY(C7309,Inputs!$C$76)&lt;=Inputs!$C$74," weekday"," weekend"),Utility_Rates!$C$28:$F$28,Inputs!$C$68)),"")</f>
      </c>
      <c r="H7309" s="34"/>
      <c r="I7309" s="42">
        <f>IF(AND(ISNUMBER(D7309),ISNUMBER(H7309)),D7309*H7309*Inputs!$C$69,"")</f>
      </c>
      <c r="J7309" s="42">
        <f>IF(AND(ISNUMBER(F7309),ISNUMBER(H7309),F7309&gt;=Inputs!$C$68),F7309*H7309*Inputs!$C$69,"")</f>
      </c>
    </row>
    <row r="7310" spans="2:10" ht="15" customHeight="1" x14ac:dyDescent="0.2">
      <c r="B7310" s="39">
        <f t="shared" si="56"/>
      </c>
      <c r="C7310" s="40">
        <f>IF(Inputs!$C$60,Inputs!$C$11+(B7310-Inputs!$C$69)/Inputs!$C$70,"")</f>
      </c>
      <c r="D7310" s="15"/>
      <c r="E7310" s="15"/>
      <c r="F7310" s="11">
        <f t="shared" si="57"/>
      </c>
      <c r="G7310" s="22" cm="1">
        <f t="array" ref="G7310">IF(AND(Inputs!$C$60,Inputs!$C$61),INDEX(Utility_Rates!$C$29:$F$52,HOUR(C7310)+Inputs!$C$69,MATCH(INDEX(Utility_Rates!$K$6:$K$17,MONTH(C7310))&amp;IF(WEEKDAY(C7310,Inputs!$C$76)&lt;=Inputs!$C$74," weekday"," weekend"),Utility_Rates!$C$28:$F$28,Inputs!$C$68)),"")</f>
      </c>
      <c r="H7310" s="34"/>
      <c r="I7310" s="42">
        <f>IF(AND(ISNUMBER(D7310),ISNUMBER(H7310)),D7310*H7310*Inputs!$C$69,"")</f>
      </c>
      <c r="J7310" s="42">
        <f>IF(AND(ISNUMBER(F7310),ISNUMBER(H7310),F7310&gt;=Inputs!$C$68),F7310*H7310*Inputs!$C$69,"")</f>
      </c>
    </row>
    <row r="7311" spans="2:10" ht="15" customHeight="1" x14ac:dyDescent="0.2">
      <c r="B7311" s="39">
        <f t="shared" si="56"/>
      </c>
      <c r="C7311" s="40">
        <f>IF(Inputs!$C$60,Inputs!$C$11+(B7311-Inputs!$C$69)/Inputs!$C$70,"")</f>
      </c>
      <c r="D7311" s="15"/>
      <c r="E7311" s="15"/>
      <c r="F7311" s="11">
        <f t="shared" si="57"/>
      </c>
      <c r="G7311" s="22" cm="1">
        <f t="array" ref="G7311">IF(AND(Inputs!$C$60,Inputs!$C$61),INDEX(Utility_Rates!$C$29:$F$52,HOUR(C7311)+Inputs!$C$69,MATCH(INDEX(Utility_Rates!$K$6:$K$17,MONTH(C7311))&amp;IF(WEEKDAY(C7311,Inputs!$C$76)&lt;=Inputs!$C$74," weekday"," weekend"),Utility_Rates!$C$28:$F$28,Inputs!$C$68)),"")</f>
      </c>
      <c r="H7311" s="34"/>
      <c r="I7311" s="42">
        <f>IF(AND(ISNUMBER(D7311),ISNUMBER(H7311)),D7311*H7311*Inputs!$C$69,"")</f>
      </c>
      <c r="J7311" s="42">
        <f>IF(AND(ISNUMBER(F7311),ISNUMBER(H7311),F7311&gt;=Inputs!$C$68),F7311*H7311*Inputs!$C$69,"")</f>
      </c>
    </row>
    <row r="7312" spans="2:10" ht="15" customHeight="1" x14ac:dyDescent="0.2">
      <c r="B7312" s="39">
        <f t="shared" si="56"/>
      </c>
      <c r="C7312" s="40">
        <f>IF(Inputs!$C$60,Inputs!$C$11+(B7312-Inputs!$C$69)/Inputs!$C$70,"")</f>
      </c>
      <c r="D7312" s="15"/>
      <c r="E7312" s="15"/>
      <c r="F7312" s="11">
        <f t="shared" si="57"/>
      </c>
      <c r="G7312" s="22" cm="1">
        <f t="array" ref="G7312">IF(AND(Inputs!$C$60,Inputs!$C$61),INDEX(Utility_Rates!$C$29:$F$52,HOUR(C7312)+Inputs!$C$69,MATCH(INDEX(Utility_Rates!$K$6:$K$17,MONTH(C7312))&amp;IF(WEEKDAY(C7312,Inputs!$C$76)&lt;=Inputs!$C$74," weekday"," weekend"),Utility_Rates!$C$28:$F$28,Inputs!$C$68)),"")</f>
      </c>
      <c r="H7312" s="34"/>
      <c r="I7312" s="42">
        <f>IF(AND(ISNUMBER(D7312),ISNUMBER(H7312)),D7312*H7312*Inputs!$C$69,"")</f>
      </c>
      <c r="J7312" s="42">
        <f>IF(AND(ISNUMBER(F7312),ISNUMBER(H7312),F7312&gt;=Inputs!$C$68),F7312*H7312*Inputs!$C$69,"")</f>
      </c>
    </row>
    <row r="7313" spans="2:10" ht="15" customHeight="1" x14ac:dyDescent="0.2">
      <c r="B7313" s="39">
        <f t="shared" si="56"/>
      </c>
      <c r="C7313" s="40">
        <f>IF(Inputs!$C$60,Inputs!$C$11+(B7313-Inputs!$C$69)/Inputs!$C$70,"")</f>
      </c>
      <c r="D7313" s="15"/>
      <c r="E7313" s="15"/>
      <c r="F7313" s="11">
        <f t="shared" si="57"/>
      </c>
      <c r="G7313" s="22" cm="1">
        <f t="array" ref="G7313">IF(AND(Inputs!$C$60,Inputs!$C$61),INDEX(Utility_Rates!$C$29:$F$52,HOUR(C7313)+Inputs!$C$69,MATCH(INDEX(Utility_Rates!$K$6:$K$17,MONTH(C7313))&amp;IF(WEEKDAY(C7313,Inputs!$C$76)&lt;=Inputs!$C$74," weekday"," weekend"),Utility_Rates!$C$28:$F$28,Inputs!$C$68)),"")</f>
      </c>
      <c r="H7313" s="34"/>
      <c r="I7313" s="42">
        <f>IF(AND(ISNUMBER(D7313),ISNUMBER(H7313)),D7313*H7313*Inputs!$C$69,"")</f>
      </c>
      <c r="J7313" s="42">
        <f>IF(AND(ISNUMBER(F7313),ISNUMBER(H7313),F7313&gt;=Inputs!$C$68),F7313*H7313*Inputs!$C$69,"")</f>
      </c>
    </row>
    <row r="7314" spans="2:10" ht="15" customHeight="1" x14ac:dyDescent="0.2">
      <c r="B7314" s="39">
        <f t="shared" si="56"/>
      </c>
      <c r="C7314" s="40">
        <f>IF(Inputs!$C$60,Inputs!$C$11+(B7314-Inputs!$C$69)/Inputs!$C$70,"")</f>
      </c>
      <c r="D7314" s="15"/>
      <c r="E7314" s="15"/>
      <c r="F7314" s="11">
        <f t="shared" si="57"/>
      </c>
      <c r="G7314" s="22" cm="1">
        <f t="array" ref="G7314">IF(AND(Inputs!$C$60,Inputs!$C$61),INDEX(Utility_Rates!$C$29:$F$52,HOUR(C7314)+Inputs!$C$69,MATCH(INDEX(Utility_Rates!$K$6:$K$17,MONTH(C7314))&amp;IF(WEEKDAY(C7314,Inputs!$C$76)&lt;=Inputs!$C$74," weekday"," weekend"),Utility_Rates!$C$28:$F$28,Inputs!$C$68)),"")</f>
      </c>
      <c r="H7314" s="34"/>
      <c r="I7314" s="42">
        <f>IF(AND(ISNUMBER(D7314),ISNUMBER(H7314)),D7314*H7314*Inputs!$C$69,"")</f>
      </c>
      <c r="J7314" s="42">
        <f>IF(AND(ISNUMBER(F7314),ISNUMBER(H7314),F7314&gt;=Inputs!$C$68),F7314*H7314*Inputs!$C$69,"")</f>
      </c>
    </row>
    <row r="7315" spans="2:10" ht="15" customHeight="1" x14ac:dyDescent="0.2">
      <c r="B7315" s="39">
        <f t="shared" si="56"/>
      </c>
      <c r="C7315" s="40">
        <f>IF(Inputs!$C$60,Inputs!$C$11+(B7315-Inputs!$C$69)/Inputs!$C$70,"")</f>
      </c>
      <c r="D7315" s="15"/>
      <c r="E7315" s="15"/>
      <c r="F7315" s="11">
        <f t="shared" si="57"/>
      </c>
      <c r="G7315" s="22" cm="1">
        <f t="array" ref="G7315">IF(AND(Inputs!$C$60,Inputs!$C$61),INDEX(Utility_Rates!$C$29:$F$52,HOUR(C7315)+Inputs!$C$69,MATCH(INDEX(Utility_Rates!$K$6:$K$17,MONTH(C7315))&amp;IF(WEEKDAY(C7315,Inputs!$C$76)&lt;=Inputs!$C$74," weekday"," weekend"),Utility_Rates!$C$28:$F$28,Inputs!$C$68)),"")</f>
      </c>
      <c r="H7315" s="34"/>
      <c r="I7315" s="42">
        <f>IF(AND(ISNUMBER(D7315),ISNUMBER(H7315)),D7315*H7315*Inputs!$C$69,"")</f>
      </c>
      <c r="J7315" s="42">
        <f>IF(AND(ISNUMBER(F7315),ISNUMBER(H7315),F7315&gt;=Inputs!$C$68),F7315*H7315*Inputs!$C$69,"")</f>
      </c>
    </row>
    <row r="7316" spans="2:10" ht="15" customHeight="1" x14ac:dyDescent="0.2">
      <c r="B7316" s="39">
        <f t="shared" si="56"/>
      </c>
      <c r="C7316" s="40">
        <f>IF(Inputs!$C$60,Inputs!$C$11+(B7316-Inputs!$C$69)/Inputs!$C$70,"")</f>
      </c>
      <c r="D7316" s="15"/>
      <c r="E7316" s="15"/>
      <c r="F7316" s="11">
        <f t="shared" si="57"/>
      </c>
      <c r="G7316" s="22" cm="1">
        <f t="array" ref="G7316">IF(AND(Inputs!$C$60,Inputs!$C$61),INDEX(Utility_Rates!$C$29:$F$52,HOUR(C7316)+Inputs!$C$69,MATCH(INDEX(Utility_Rates!$K$6:$K$17,MONTH(C7316))&amp;IF(WEEKDAY(C7316,Inputs!$C$76)&lt;=Inputs!$C$74," weekday"," weekend"),Utility_Rates!$C$28:$F$28,Inputs!$C$68)),"")</f>
      </c>
      <c r="H7316" s="34"/>
      <c r="I7316" s="42">
        <f>IF(AND(ISNUMBER(D7316),ISNUMBER(H7316)),D7316*H7316*Inputs!$C$69,"")</f>
      </c>
      <c r="J7316" s="42">
        <f>IF(AND(ISNUMBER(F7316),ISNUMBER(H7316),F7316&gt;=Inputs!$C$68),F7316*H7316*Inputs!$C$69,"")</f>
      </c>
    </row>
    <row r="7317" spans="2:10" ht="15" customHeight="1" x14ac:dyDescent="0.2">
      <c r="B7317" s="39">
        <f t="shared" si="56"/>
      </c>
      <c r="C7317" s="40">
        <f>IF(Inputs!$C$60,Inputs!$C$11+(B7317-Inputs!$C$69)/Inputs!$C$70,"")</f>
      </c>
      <c r="D7317" s="15"/>
      <c r="E7317" s="15"/>
      <c r="F7317" s="11">
        <f t="shared" si="57"/>
      </c>
      <c r="G7317" s="22" cm="1">
        <f t="array" ref="G7317">IF(AND(Inputs!$C$60,Inputs!$C$61),INDEX(Utility_Rates!$C$29:$F$52,HOUR(C7317)+Inputs!$C$69,MATCH(INDEX(Utility_Rates!$K$6:$K$17,MONTH(C7317))&amp;IF(WEEKDAY(C7317,Inputs!$C$76)&lt;=Inputs!$C$74," weekday"," weekend"),Utility_Rates!$C$28:$F$28,Inputs!$C$68)),"")</f>
      </c>
      <c r="H7317" s="34"/>
      <c r="I7317" s="42">
        <f>IF(AND(ISNUMBER(D7317),ISNUMBER(H7317)),D7317*H7317*Inputs!$C$69,"")</f>
      </c>
      <c r="J7317" s="42">
        <f>IF(AND(ISNUMBER(F7317),ISNUMBER(H7317),F7317&gt;=Inputs!$C$68),F7317*H7317*Inputs!$C$69,"")</f>
      </c>
    </row>
    <row r="7318" spans="2:10" ht="15" customHeight="1" x14ac:dyDescent="0.2">
      <c r="B7318" s="39">
        <f t="shared" si="56"/>
      </c>
      <c r="C7318" s="40">
        <f>IF(Inputs!$C$60,Inputs!$C$11+(B7318-Inputs!$C$69)/Inputs!$C$70,"")</f>
      </c>
      <c r="D7318" s="15"/>
      <c r="E7318" s="15"/>
      <c r="F7318" s="11">
        <f t="shared" si="57"/>
      </c>
      <c r="G7318" s="22" cm="1">
        <f t="array" ref="G7318">IF(AND(Inputs!$C$60,Inputs!$C$61),INDEX(Utility_Rates!$C$29:$F$52,HOUR(C7318)+Inputs!$C$69,MATCH(INDEX(Utility_Rates!$K$6:$K$17,MONTH(C7318))&amp;IF(WEEKDAY(C7318,Inputs!$C$76)&lt;=Inputs!$C$74," weekday"," weekend"),Utility_Rates!$C$28:$F$28,Inputs!$C$68)),"")</f>
      </c>
      <c r="H7318" s="34"/>
      <c r="I7318" s="42">
        <f>IF(AND(ISNUMBER(D7318),ISNUMBER(H7318)),D7318*H7318*Inputs!$C$69,"")</f>
      </c>
      <c r="J7318" s="42">
        <f>IF(AND(ISNUMBER(F7318),ISNUMBER(H7318),F7318&gt;=Inputs!$C$68),F7318*H7318*Inputs!$C$69,"")</f>
      </c>
    </row>
    <row r="7319" spans="2:10" ht="15" customHeight="1" x14ac:dyDescent="0.2">
      <c r="B7319" s="39">
        <f t="shared" si="56"/>
      </c>
      <c r="C7319" s="40">
        <f>IF(Inputs!$C$60,Inputs!$C$11+(B7319-Inputs!$C$69)/Inputs!$C$70,"")</f>
      </c>
      <c r="D7319" s="15"/>
      <c r="E7319" s="15"/>
      <c r="F7319" s="11">
        <f t="shared" si="57"/>
      </c>
      <c r="G7319" s="22" cm="1">
        <f t="array" ref="G7319">IF(AND(Inputs!$C$60,Inputs!$C$61),INDEX(Utility_Rates!$C$29:$F$52,HOUR(C7319)+Inputs!$C$69,MATCH(INDEX(Utility_Rates!$K$6:$K$17,MONTH(C7319))&amp;IF(WEEKDAY(C7319,Inputs!$C$76)&lt;=Inputs!$C$74," weekday"," weekend"),Utility_Rates!$C$28:$F$28,Inputs!$C$68)),"")</f>
      </c>
      <c r="H7319" s="34"/>
      <c r="I7319" s="42">
        <f>IF(AND(ISNUMBER(D7319),ISNUMBER(H7319)),D7319*H7319*Inputs!$C$69,"")</f>
      </c>
      <c r="J7319" s="42">
        <f>IF(AND(ISNUMBER(F7319),ISNUMBER(H7319),F7319&gt;=Inputs!$C$68),F7319*H7319*Inputs!$C$69,"")</f>
      </c>
    </row>
    <row r="7320" spans="2:10" ht="15" customHeight="1" x14ac:dyDescent="0.2">
      <c r="B7320" s="39">
        <f t="shared" si="56"/>
      </c>
      <c r="C7320" s="40">
        <f>IF(Inputs!$C$60,Inputs!$C$11+(B7320-Inputs!$C$69)/Inputs!$C$70,"")</f>
      </c>
      <c r="D7320" s="15"/>
      <c r="E7320" s="15"/>
      <c r="F7320" s="11">
        <f t="shared" si="57"/>
      </c>
      <c r="G7320" s="22" cm="1">
        <f t="array" ref="G7320">IF(AND(Inputs!$C$60,Inputs!$C$61),INDEX(Utility_Rates!$C$29:$F$52,HOUR(C7320)+Inputs!$C$69,MATCH(INDEX(Utility_Rates!$K$6:$K$17,MONTH(C7320))&amp;IF(WEEKDAY(C7320,Inputs!$C$76)&lt;=Inputs!$C$74," weekday"," weekend"),Utility_Rates!$C$28:$F$28,Inputs!$C$68)),"")</f>
      </c>
      <c r="H7320" s="34"/>
      <c r="I7320" s="42">
        <f>IF(AND(ISNUMBER(D7320),ISNUMBER(H7320)),D7320*H7320*Inputs!$C$69,"")</f>
      </c>
      <c r="J7320" s="42">
        <f>IF(AND(ISNUMBER(F7320),ISNUMBER(H7320),F7320&gt;=Inputs!$C$68),F7320*H7320*Inputs!$C$69,"")</f>
      </c>
    </row>
    <row r="7321" spans="2:10" ht="15" customHeight="1" x14ac:dyDescent="0.2">
      <c r="B7321" s="39">
        <f t="shared" si="56"/>
      </c>
      <c r="C7321" s="40">
        <f>IF(Inputs!$C$60,Inputs!$C$11+(B7321-Inputs!$C$69)/Inputs!$C$70,"")</f>
      </c>
      <c r="D7321" s="15"/>
      <c r="E7321" s="15"/>
      <c r="F7321" s="11">
        <f t="shared" si="57"/>
      </c>
      <c r="G7321" s="22" cm="1">
        <f t="array" ref="G7321">IF(AND(Inputs!$C$60,Inputs!$C$61),INDEX(Utility_Rates!$C$29:$F$52,HOUR(C7321)+Inputs!$C$69,MATCH(INDEX(Utility_Rates!$K$6:$K$17,MONTH(C7321))&amp;IF(WEEKDAY(C7321,Inputs!$C$76)&lt;=Inputs!$C$74," weekday"," weekend"),Utility_Rates!$C$28:$F$28,Inputs!$C$68)),"")</f>
      </c>
      <c r="H7321" s="34"/>
      <c r="I7321" s="42">
        <f>IF(AND(ISNUMBER(D7321),ISNUMBER(H7321)),D7321*H7321*Inputs!$C$69,"")</f>
      </c>
      <c r="J7321" s="42">
        <f>IF(AND(ISNUMBER(F7321),ISNUMBER(H7321),F7321&gt;=Inputs!$C$68),F7321*H7321*Inputs!$C$69,"")</f>
      </c>
    </row>
    <row r="7322" spans="2:10" ht="15" customHeight="1" x14ac:dyDescent="0.2">
      <c r="B7322" s="39">
        <f t="shared" si="56"/>
      </c>
      <c r="C7322" s="40">
        <f>IF(Inputs!$C$60,Inputs!$C$11+(B7322-Inputs!$C$69)/Inputs!$C$70,"")</f>
      </c>
      <c r="D7322" s="15"/>
      <c r="E7322" s="15"/>
      <c r="F7322" s="11">
        <f t="shared" si="57"/>
      </c>
      <c r="G7322" s="22" cm="1">
        <f t="array" ref="G7322">IF(AND(Inputs!$C$60,Inputs!$C$61),INDEX(Utility_Rates!$C$29:$F$52,HOUR(C7322)+Inputs!$C$69,MATCH(INDEX(Utility_Rates!$K$6:$K$17,MONTH(C7322))&amp;IF(WEEKDAY(C7322,Inputs!$C$76)&lt;=Inputs!$C$74," weekday"," weekend"),Utility_Rates!$C$28:$F$28,Inputs!$C$68)),"")</f>
      </c>
      <c r="H7322" s="34"/>
      <c r="I7322" s="42">
        <f>IF(AND(ISNUMBER(D7322),ISNUMBER(H7322)),D7322*H7322*Inputs!$C$69,"")</f>
      </c>
      <c r="J7322" s="42">
        <f>IF(AND(ISNUMBER(F7322),ISNUMBER(H7322),F7322&gt;=Inputs!$C$68),F7322*H7322*Inputs!$C$69,"")</f>
      </c>
    </row>
    <row r="7323" spans="2:10" ht="15" customHeight="1" x14ac:dyDescent="0.2">
      <c r="B7323" s="39">
        <f t="shared" si="56"/>
      </c>
      <c r="C7323" s="40">
        <f>IF(Inputs!$C$60,Inputs!$C$11+(B7323-Inputs!$C$69)/Inputs!$C$70,"")</f>
      </c>
      <c r="D7323" s="15"/>
      <c r="E7323" s="15"/>
      <c r="F7323" s="11">
        <f t="shared" si="57"/>
      </c>
      <c r="G7323" s="22" cm="1">
        <f t="array" ref="G7323">IF(AND(Inputs!$C$60,Inputs!$C$61),INDEX(Utility_Rates!$C$29:$F$52,HOUR(C7323)+Inputs!$C$69,MATCH(INDEX(Utility_Rates!$K$6:$K$17,MONTH(C7323))&amp;IF(WEEKDAY(C7323,Inputs!$C$76)&lt;=Inputs!$C$74," weekday"," weekend"),Utility_Rates!$C$28:$F$28,Inputs!$C$68)),"")</f>
      </c>
      <c r="H7323" s="34"/>
      <c r="I7323" s="42">
        <f>IF(AND(ISNUMBER(D7323),ISNUMBER(H7323)),D7323*H7323*Inputs!$C$69,"")</f>
      </c>
      <c r="J7323" s="42">
        <f>IF(AND(ISNUMBER(F7323),ISNUMBER(H7323),F7323&gt;=Inputs!$C$68),F7323*H7323*Inputs!$C$69,"")</f>
      </c>
    </row>
    <row r="7324" spans="2:10" ht="15" customHeight="1" x14ac:dyDescent="0.2">
      <c r="B7324" s="39">
        <f t="shared" si="56"/>
      </c>
      <c r="C7324" s="40">
        <f>IF(Inputs!$C$60,Inputs!$C$11+(B7324-Inputs!$C$69)/Inputs!$C$70,"")</f>
      </c>
      <c r="D7324" s="15"/>
      <c r="E7324" s="15"/>
      <c r="F7324" s="11">
        <f t="shared" si="57"/>
      </c>
      <c r="G7324" s="22" cm="1">
        <f t="array" ref="G7324">IF(AND(Inputs!$C$60,Inputs!$C$61),INDEX(Utility_Rates!$C$29:$F$52,HOUR(C7324)+Inputs!$C$69,MATCH(INDEX(Utility_Rates!$K$6:$K$17,MONTH(C7324))&amp;IF(WEEKDAY(C7324,Inputs!$C$76)&lt;=Inputs!$C$74," weekday"," weekend"),Utility_Rates!$C$28:$F$28,Inputs!$C$68)),"")</f>
      </c>
      <c r="H7324" s="34"/>
      <c r="I7324" s="42">
        <f>IF(AND(ISNUMBER(D7324),ISNUMBER(H7324)),D7324*H7324*Inputs!$C$69,"")</f>
      </c>
      <c r="J7324" s="42">
        <f>IF(AND(ISNUMBER(F7324),ISNUMBER(H7324),F7324&gt;=Inputs!$C$68),F7324*H7324*Inputs!$C$69,"")</f>
      </c>
    </row>
    <row r="7325" spans="2:10" ht="15" customHeight="1" x14ac:dyDescent="0.2">
      <c r="B7325" s="39">
        <f t="shared" si="56"/>
      </c>
      <c r="C7325" s="40">
        <f>IF(Inputs!$C$60,Inputs!$C$11+(B7325-Inputs!$C$69)/Inputs!$C$70,"")</f>
      </c>
      <c r="D7325" s="15"/>
      <c r="E7325" s="15"/>
      <c r="F7325" s="11">
        <f t="shared" si="57"/>
      </c>
      <c r="G7325" s="22" cm="1">
        <f t="array" ref="G7325">IF(AND(Inputs!$C$60,Inputs!$C$61),INDEX(Utility_Rates!$C$29:$F$52,HOUR(C7325)+Inputs!$C$69,MATCH(INDEX(Utility_Rates!$K$6:$K$17,MONTH(C7325))&amp;IF(WEEKDAY(C7325,Inputs!$C$76)&lt;=Inputs!$C$74," weekday"," weekend"),Utility_Rates!$C$28:$F$28,Inputs!$C$68)),"")</f>
      </c>
      <c r="H7325" s="34"/>
      <c r="I7325" s="42">
        <f>IF(AND(ISNUMBER(D7325),ISNUMBER(H7325)),D7325*H7325*Inputs!$C$69,"")</f>
      </c>
      <c r="J7325" s="42">
        <f>IF(AND(ISNUMBER(F7325),ISNUMBER(H7325),F7325&gt;=Inputs!$C$68),F7325*H7325*Inputs!$C$69,"")</f>
      </c>
    </row>
    <row r="7326" spans="2:10" ht="15" customHeight="1" x14ac:dyDescent="0.2">
      <c r="B7326" s="39">
        <f t="shared" si="56"/>
      </c>
      <c r="C7326" s="40">
        <f>IF(Inputs!$C$60,Inputs!$C$11+(B7326-Inputs!$C$69)/Inputs!$C$70,"")</f>
      </c>
      <c r="D7326" s="15"/>
      <c r="E7326" s="15"/>
      <c r="F7326" s="11">
        <f t="shared" si="57"/>
      </c>
      <c r="G7326" s="22" cm="1">
        <f t="array" ref="G7326">IF(AND(Inputs!$C$60,Inputs!$C$61),INDEX(Utility_Rates!$C$29:$F$52,HOUR(C7326)+Inputs!$C$69,MATCH(INDEX(Utility_Rates!$K$6:$K$17,MONTH(C7326))&amp;IF(WEEKDAY(C7326,Inputs!$C$76)&lt;=Inputs!$C$74," weekday"," weekend"),Utility_Rates!$C$28:$F$28,Inputs!$C$68)),"")</f>
      </c>
      <c r="H7326" s="34"/>
      <c r="I7326" s="42">
        <f>IF(AND(ISNUMBER(D7326),ISNUMBER(H7326)),D7326*H7326*Inputs!$C$69,"")</f>
      </c>
      <c r="J7326" s="42">
        <f>IF(AND(ISNUMBER(F7326),ISNUMBER(H7326),F7326&gt;=Inputs!$C$68),F7326*H7326*Inputs!$C$69,"")</f>
      </c>
    </row>
    <row r="7327" spans="2:10" ht="15" customHeight="1" x14ac:dyDescent="0.2">
      <c r="B7327" s="39">
        <f t="shared" si="56"/>
      </c>
      <c r="C7327" s="40">
        <f>IF(Inputs!$C$60,Inputs!$C$11+(B7327-Inputs!$C$69)/Inputs!$C$70,"")</f>
      </c>
      <c r="D7327" s="15"/>
      <c r="E7327" s="15"/>
      <c r="F7327" s="11">
        <f t="shared" si="57"/>
      </c>
      <c r="G7327" s="22" cm="1">
        <f t="array" ref="G7327">IF(AND(Inputs!$C$60,Inputs!$C$61),INDEX(Utility_Rates!$C$29:$F$52,HOUR(C7327)+Inputs!$C$69,MATCH(INDEX(Utility_Rates!$K$6:$K$17,MONTH(C7327))&amp;IF(WEEKDAY(C7327,Inputs!$C$76)&lt;=Inputs!$C$74," weekday"," weekend"),Utility_Rates!$C$28:$F$28,Inputs!$C$68)),"")</f>
      </c>
      <c r="H7327" s="34"/>
      <c r="I7327" s="42">
        <f>IF(AND(ISNUMBER(D7327),ISNUMBER(H7327)),D7327*H7327*Inputs!$C$69,"")</f>
      </c>
      <c r="J7327" s="42">
        <f>IF(AND(ISNUMBER(F7327),ISNUMBER(H7327),F7327&gt;=Inputs!$C$68),F7327*H7327*Inputs!$C$69,"")</f>
      </c>
    </row>
    <row r="7328" spans="2:10" ht="15" customHeight="1" x14ac:dyDescent="0.2">
      <c r="B7328" s="39">
        <f t="shared" si="56"/>
      </c>
      <c r="C7328" s="40">
        <f>IF(Inputs!$C$60,Inputs!$C$11+(B7328-Inputs!$C$69)/Inputs!$C$70,"")</f>
      </c>
      <c r="D7328" s="15"/>
      <c r="E7328" s="15"/>
      <c r="F7328" s="11">
        <f t="shared" si="57"/>
      </c>
      <c r="G7328" s="22" cm="1">
        <f t="array" ref="G7328">IF(AND(Inputs!$C$60,Inputs!$C$61),INDEX(Utility_Rates!$C$29:$F$52,HOUR(C7328)+Inputs!$C$69,MATCH(INDEX(Utility_Rates!$K$6:$K$17,MONTH(C7328))&amp;IF(WEEKDAY(C7328,Inputs!$C$76)&lt;=Inputs!$C$74," weekday"," weekend"),Utility_Rates!$C$28:$F$28,Inputs!$C$68)),"")</f>
      </c>
      <c r="H7328" s="34"/>
      <c r="I7328" s="42">
        <f>IF(AND(ISNUMBER(D7328),ISNUMBER(H7328)),D7328*H7328*Inputs!$C$69,"")</f>
      </c>
      <c r="J7328" s="42">
        <f>IF(AND(ISNUMBER(F7328),ISNUMBER(H7328),F7328&gt;=Inputs!$C$68),F7328*H7328*Inputs!$C$69,"")</f>
      </c>
    </row>
    <row r="7329" spans="2:10" ht="15" customHeight="1" x14ac:dyDescent="0.2">
      <c r="B7329" s="39">
        <f t="shared" si="56"/>
      </c>
      <c r="C7329" s="40">
        <f>IF(Inputs!$C$60,Inputs!$C$11+(B7329-Inputs!$C$69)/Inputs!$C$70,"")</f>
      </c>
      <c r="D7329" s="15"/>
      <c r="E7329" s="15"/>
      <c r="F7329" s="11">
        <f t="shared" si="57"/>
      </c>
      <c r="G7329" s="22" cm="1">
        <f t="array" ref="G7329">IF(AND(Inputs!$C$60,Inputs!$C$61),INDEX(Utility_Rates!$C$29:$F$52,HOUR(C7329)+Inputs!$C$69,MATCH(INDEX(Utility_Rates!$K$6:$K$17,MONTH(C7329))&amp;IF(WEEKDAY(C7329,Inputs!$C$76)&lt;=Inputs!$C$74," weekday"," weekend"),Utility_Rates!$C$28:$F$28,Inputs!$C$68)),"")</f>
      </c>
      <c r="H7329" s="34"/>
      <c r="I7329" s="42">
        <f>IF(AND(ISNUMBER(D7329),ISNUMBER(H7329)),D7329*H7329*Inputs!$C$69,"")</f>
      </c>
      <c r="J7329" s="42">
        <f>IF(AND(ISNUMBER(F7329),ISNUMBER(H7329),F7329&gt;=Inputs!$C$68),F7329*H7329*Inputs!$C$69,"")</f>
      </c>
    </row>
    <row r="7330" spans="2:10" ht="15" customHeight="1" x14ac:dyDescent="0.2">
      <c r="B7330" s="39">
        <f t="shared" si="56"/>
      </c>
      <c r="C7330" s="40">
        <f>IF(Inputs!$C$60,Inputs!$C$11+(B7330-Inputs!$C$69)/Inputs!$C$70,"")</f>
      </c>
      <c r="D7330" s="15"/>
      <c r="E7330" s="15"/>
      <c r="F7330" s="11">
        <f t="shared" si="57"/>
      </c>
      <c r="G7330" s="22" cm="1">
        <f t="array" ref="G7330">IF(AND(Inputs!$C$60,Inputs!$C$61),INDEX(Utility_Rates!$C$29:$F$52,HOUR(C7330)+Inputs!$C$69,MATCH(INDEX(Utility_Rates!$K$6:$K$17,MONTH(C7330))&amp;IF(WEEKDAY(C7330,Inputs!$C$76)&lt;=Inputs!$C$74," weekday"," weekend"),Utility_Rates!$C$28:$F$28,Inputs!$C$68)),"")</f>
      </c>
      <c r="H7330" s="34"/>
      <c r="I7330" s="42">
        <f>IF(AND(ISNUMBER(D7330),ISNUMBER(H7330)),D7330*H7330*Inputs!$C$69,"")</f>
      </c>
      <c r="J7330" s="42">
        <f>IF(AND(ISNUMBER(F7330),ISNUMBER(H7330),F7330&gt;=Inputs!$C$68),F7330*H7330*Inputs!$C$69,"")</f>
      </c>
    </row>
    <row r="7331" spans="2:10" ht="15" customHeight="1" x14ac:dyDescent="0.2">
      <c r="B7331" s="39">
        <f t="shared" si="56"/>
      </c>
      <c r="C7331" s="40">
        <f>IF(Inputs!$C$60,Inputs!$C$11+(B7331-Inputs!$C$69)/Inputs!$C$70,"")</f>
      </c>
      <c r="D7331" s="15"/>
      <c r="E7331" s="15"/>
      <c r="F7331" s="11">
        <f t="shared" si="57"/>
      </c>
      <c r="G7331" s="22" cm="1">
        <f t="array" ref="G7331">IF(AND(Inputs!$C$60,Inputs!$C$61),INDEX(Utility_Rates!$C$29:$F$52,HOUR(C7331)+Inputs!$C$69,MATCH(INDEX(Utility_Rates!$K$6:$K$17,MONTH(C7331))&amp;IF(WEEKDAY(C7331,Inputs!$C$76)&lt;=Inputs!$C$74," weekday"," weekend"),Utility_Rates!$C$28:$F$28,Inputs!$C$68)),"")</f>
      </c>
      <c r="H7331" s="34"/>
      <c r="I7331" s="42">
        <f>IF(AND(ISNUMBER(D7331),ISNUMBER(H7331)),D7331*H7331*Inputs!$C$69,"")</f>
      </c>
      <c r="J7331" s="42">
        <f>IF(AND(ISNUMBER(F7331),ISNUMBER(H7331),F7331&gt;=Inputs!$C$68),F7331*H7331*Inputs!$C$69,"")</f>
      </c>
    </row>
    <row r="7332" spans="2:10" ht="15" customHeight="1" x14ac:dyDescent="0.2">
      <c r="B7332" s="39">
        <f t="shared" si="56"/>
      </c>
      <c r="C7332" s="40">
        <f>IF(Inputs!$C$60,Inputs!$C$11+(B7332-Inputs!$C$69)/Inputs!$C$70,"")</f>
      </c>
      <c r="D7332" s="15"/>
      <c r="E7332" s="15"/>
      <c r="F7332" s="11">
        <f t="shared" si="57"/>
      </c>
      <c r="G7332" s="22" cm="1">
        <f t="array" ref="G7332">IF(AND(Inputs!$C$60,Inputs!$C$61),INDEX(Utility_Rates!$C$29:$F$52,HOUR(C7332)+Inputs!$C$69,MATCH(INDEX(Utility_Rates!$K$6:$K$17,MONTH(C7332))&amp;IF(WEEKDAY(C7332,Inputs!$C$76)&lt;=Inputs!$C$74," weekday"," weekend"),Utility_Rates!$C$28:$F$28,Inputs!$C$68)),"")</f>
      </c>
      <c r="H7332" s="34"/>
      <c r="I7332" s="42">
        <f>IF(AND(ISNUMBER(D7332),ISNUMBER(H7332)),D7332*H7332*Inputs!$C$69,"")</f>
      </c>
      <c r="J7332" s="42">
        <f>IF(AND(ISNUMBER(F7332),ISNUMBER(H7332),F7332&gt;=Inputs!$C$68),F7332*H7332*Inputs!$C$69,"")</f>
      </c>
    </row>
    <row r="7333" spans="2:10" ht="15" customHeight="1" x14ac:dyDescent="0.2">
      <c r="B7333" s="39">
        <f t="shared" si="56"/>
      </c>
      <c r="C7333" s="40">
        <f>IF(Inputs!$C$60,Inputs!$C$11+(B7333-Inputs!$C$69)/Inputs!$C$70,"")</f>
      </c>
      <c r="D7333" s="15"/>
      <c r="E7333" s="15"/>
      <c r="F7333" s="11">
        <f t="shared" si="57"/>
      </c>
      <c r="G7333" s="22" cm="1">
        <f t="array" ref="G7333">IF(AND(Inputs!$C$60,Inputs!$C$61),INDEX(Utility_Rates!$C$29:$F$52,HOUR(C7333)+Inputs!$C$69,MATCH(INDEX(Utility_Rates!$K$6:$K$17,MONTH(C7333))&amp;IF(WEEKDAY(C7333,Inputs!$C$76)&lt;=Inputs!$C$74," weekday"," weekend"),Utility_Rates!$C$28:$F$28,Inputs!$C$68)),"")</f>
      </c>
      <c r="H7333" s="34"/>
      <c r="I7333" s="42">
        <f>IF(AND(ISNUMBER(D7333),ISNUMBER(H7333)),D7333*H7333*Inputs!$C$69,"")</f>
      </c>
      <c r="J7333" s="42">
        <f>IF(AND(ISNUMBER(F7333),ISNUMBER(H7333),F7333&gt;=Inputs!$C$68),F7333*H7333*Inputs!$C$69,"")</f>
      </c>
    </row>
    <row r="7334" spans="2:10" ht="15" customHeight="1" x14ac:dyDescent="0.2">
      <c r="B7334" s="39">
        <f t="shared" si="56"/>
      </c>
      <c r="C7334" s="40">
        <f>IF(Inputs!$C$60,Inputs!$C$11+(B7334-Inputs!$C$69)/Inputs!$C$70,"")</f>
      </c>
      <c r="D7334" s="15"/>
      <c r="E7334" s="15"/>
      <c r="F7334" s="11">
        <f t="shared" si="57"/>
      </c>
      <c r="G7334" s="22" cm="1">
        <f t="array" ref="G7334">IF(AND(Inputs!$C$60,Inputs!$C$61),INDEX(Utility_Rates!$C$29:$F$52,HOUR(C7334)+Inputs!$C$69,MATCH(INDEX(Utility_Rates!$K$6:$K$17,MONTH(C7334))&amp;IF(WEEKDAY(C7334,Inputs!$C$76)&lt;=Inputs!$C$74," weekday"," weekend"),Utility_Rates!$C$28:$F$28,Inputs!$C$68)),"")</f>
      </c>
      <c r="H7334" s="34"/>
      <c r="I7334" s="42">
        <f>IF(AND(ISNUMBER(D7334),ISNUMBER(H7334)),D7334*H7334*Inputs!$C$69,"")</f>
      </c>
      <c r="J7334" s="42">
        <f>IF(AND(ISNUMBER(F7334),ISNUMBER(H7334),F7334&gt;=Inputs!$C$68),F7334*H7334*Inputs!$C$69,"")</f>
      </c>
    </row>
    <row r="7335" spans="2:10" ht="15" customHeight="1" x14ac:dyDescent="0.2">
      <c r="B7335" s="39">
        <f t="shared" si="56"/>
      </c>
      <c r="C7335" s="40">
        <f>IF(Inputs!$C$60,Inputs!$C$11+(B7335-Inputs!$C$69)/Inputs!$C$70,"")</f>
      </c>
      <c r="D7335" s="15"/>
      <c r="E7335" s="15"/>
      <c r="F7335" s="11">
        <f t="shared" si="57"/>
      </c>
      <c r="G7335" s="22" cm="1">
        <f t="array" ref="G7335">IF(AND(Inputs!$C$60,Inputs!$C$61),INDEX(Utility_Rates!$C$29:$F$52,HOUR(C7335)+Inputs!$C$69,MATCH(INDEX(Utility_Rates!$K$6:$K$17,MONTH(C7335))&amp;IF(WEEKDAY(C7335,Inputs!$C$76)&lt;=Inputs!$C$74," weekday"," weekend"),Utility_Rates!$C$28:$F$28,Inputs!$C$68)),"")</f>
      </c>
      <c r="H7335" s="34"/>
      <c r="I7335" s="42">
        <f>IF(AND(ISNUMBER(D7335),ISNUMBER(H7335)),D7335*H7335*Inputs!$C$69,"")</f>
      </c>
      <c r="J7335" s="42">
        <f>IF(AND(ISNUMBER(F7335),ISNUMBER(H7335),F7335&gt;=Inputs!$C$68),F7335*H7335*Inputs!$C$69,"")</f>
      </c>
    </row>
    <row r="7336" spans="2:10" ht="15" customHeight="1" x14ac:dyDescent="0.2">
      <c r="B7336" s="39">
        <f t="shared" si="56"/>
      </c>
      <c r="C7336" s="40">
        <f>IF(Inputs!$C$60,Inputs!$C$11+(B7336-Inputs!$C$69)/Inputs!$C$70,"")</f>
      </c>
      <c r="D7336" s="15"/>
      <c r="E7336" s="15"/>
      <c r="F7336" s="11">
        <f t="shared" si="57"/>
      </c>
      <c r="G7336" s="22" cm="1">
        <f t="array" ref="G7336">IF(AND(Inputs!$C$60,Inputs!$C$61),INDEX(Utility_Rates!$C$29:$F$52,HOUR(C7336)+Inputs!$C$69,MATCH(INDEX(Utility_Rates!$K$6:$K$17,MONTH(C7336))&amp;IF(WEEKDAY(C7336,Inputs!$C$76)&lt;=Inputs!$C$74," weekday"," weekend"),Utility_Rates!$C$28:$F$28,Inputs!$C$68)),"")</f>
      </c>
      <c r="H7336" s="34"/>
      <c r="I7336" s="42">
        <f>IF(AND(ISNUMBER(D7336),ISNUMBER(H7336)),D7336*H7336*Inputs!$C$69,"")</f>
      </c>
      <c r="J7336" s="42">
        <f>IF(AND(ISNUMBER(F7336),ISNUMBER(H7336),F7336&gt;=Inputs!$C$68),F7336*H7336*Inputs!$C$69,"")</f>
      </c>
    </row>
    <row r="7337" spans="2:10" ht="15" customHeight="1" x14ac:dyDescent="0.2">
      <c r="B7337" s="39">
        <f t="shared" si="56"/>
      </c>
      <c r="C7337" s="40">
        <f>IF(Inputs!$C$60,Inputs!$C$11+(B7337-Inputs!$C$69)/Inputs!$C$70,"")</f>
      </c>
      <c r="D7337" s="15"/>
      <c r="E7337" s="15"/>
      <c r="F7337" s="11">
        <f t="shared" si="57"/>
      </c>
      <c r="G7337" s="22" cm="1">
        <f t="array" ref="G7337">IF(AND(Inputs!$C$60,Inputs!$C$61),INDEX(Utility_Rates!$C$29:$F$52,HOUR(C7337)+Inputs!$C$69,MATCH(INDEX(Utility_Rates!$K$6:$K$17,MONTH(C7337))&amp;IF(WEEKDAY(C7337,Inputs!$C$76)&lt;=Inputs!$C$74," weekday"," weekend"),Utility_Rates!$C$28:$F$28,Inputs!$C$68)),"")</f>
      </c>
      <c r="H7337" s="34"/>
      <c r="I7337" s="42">
        <f>IF(AND(ISNUMBER(D7337),ISNUMBER(H7337)),D7337*H7337*Inputs!$C$69,"")</f>
      </c>
      <c r="J7337" s="42">
        <f>IF(AND(ISNUMBER(F7337),ISNUMBER(H7337),F7337&gt;=Inputs!$C$68),F7337*H7337*Inputs!$C$69,"")</f>
      </c>
    </row>
    <row r="7338" spans="2:10" ht="15" customHeight="1" x14ac:dyDescent="0.2">
      <c r="B7338" s="39">
        <f t="shared" si="56"/>
      </c>
      <c r="C7338" s="40">
        <f>IF(Inputs!$C$60,Inputs!$C$11+(B7338-Inputs!$C$69)/Inputs!$C$70,"")</f>
      </c>
      <c r="D7338" s="15"/>
      <c r="E7338" s="15"/>
      <c r="F7338" s="11">
        <f t="shared" si="57"/>
      </c>
      <c r="G7338" s="22" cm="1">
        <f t="array" ref="G7338">IF(AND(Inputs!$C$60,Inputs!$C$61),INDEX(Utility_Rates!$C$29:$F$52,HOUR(C7338)+Inputs!$C$69,MATCH(INDEX(Utility_Rates!$K$6:$K$17,MONTH(C7338))&amp;IF(WEEKDAY(C7338,Inputs!$C$76)&lt;=Inputs!$C$74," weekday"," weekend"),Utility_Rates!$C$28:$F$28,Inputs!$C$68)),"")</f>
      </c>
      <c r="H7338" s="34"/>
      <c r="I7338" s="42">
        <f>IF(AND(ISNUMBER(D7338),ISNUMBER(H7338)),D7338*H7338*Inputs!$C$69,"")</f>
      </c>
      <c r="J7338" s="42">
        <f>IF(AND(ISNUMBER(F7338),ISNUMBER(H7338),F7338&gt;=Inputs!$C$68),F7338*H7338*Inputs!$C$69,"")</f>
      </c>
    </row>
    <row r="7339" spans="2:10" ht="15" customHeight="1" x14ac:dyDescent="0.2">
      <c r="B7339" s="39">
        <f t="shared" si="56"/>
      </c>
      <c r="C7339" s="40">
        <f>IF(Inputs!$C$60,Inputs!$C$11+(B7339-Inputs!$C$69)/Inputs!$C$70,"")</f>
      </c>
      <c r="D7339" s="15"/>
      <c r="E7339" s="15"/>
      <c r="F7339" s="11">
        <f t="shared" si="57"/>
      </c>
      <c r="G7339" s="22" cm="1">
        <f t="array" ref="G7339">IF(AND(Inputs!$C$60,Inputs!$C$61),INDEX(Utility_Rates!$C$29:$F$52,HOUR(C7339)+Inputs!$C$69,MATCH(INDEX(Utility_Rates!$K$6:$K$17,MONTH(C7339))&amp;IF(WEEKDAY(C7339,Inputs!$C$76)&lt;=Inputs!$C$74," weekday"," weekend"),Utility_Rates!$C$28:$F$28,Inputs!$C$68)),"")</f>
      </c>
      <c r="H7339" s="34"/>
      <c r="I7339" s="42">
        <f>IF(AND(ISNUMBER(D7339),ISNUMBER(H7339)),D7339*H7339*Inputs!$C$69,"")</f>
      </c>
      <c r="J7339" s="42">
        <f>IF(AND(ISNUMBER(F7339),ISNUMBER(H7339),F7339&gt;=Inputs!$C$68),F7339*H7339*Inputs!$C$69,"")</f>
      </c>
    </row>
    <row r="7340" spans="2:10" ht="15" customHeight="1" x14ac:dyDescent="0.2">
      <c r="B7340" s="39">
        <f t="shared" si="56"/>
      </c>
      <c r="C7340" s="40">
        <f>IF(Inputs!$C$60,Inputs!$C$11+(B7340-Inputs!$C$69)/Inputs!$C$70,"")</f>
      </c>
      <c r="D7340" s="15"/>
      <c r="E7340" s="15"/>
      <c r="F7340" s="11">
        <f t="shared" si="57"/>
      </c>
      <c r="G7340" s="22" cm="1">
        <f t="array" ref="G7340">IF(AND(Inputs!$C$60,Inputs!$C$61),INDEX(Utility_Rates!$C$29:$F$52,HOUR(C7340)+Inputs!$C$69,MATCH(INDEX(Utility_Rates!$K$6:$K$17,MONTH(C7340))&amp;IF(WEEKDAY(C7340,Inputs!$C$76)&lt;=Inputs!$C$74," weekday"," weekend"),Utility_Rates!$C$28:$F$28,Inputs!$C$68)),"")</f>
      </c>
      <c r="H7340" s="34"/>
      <c r="I7340" s="42">
        <f>IF(AND(ISNUMBER(D7340),ISNUMBER(H7340)),D7340*H7340*Inputs!$C$69,"")</f>
      </c>
      <c r="J7340" s="42">
        <f>IF(AND(ISNUMBER(F7340),ISNUMBER(H7340),F7340&gt;=Inputs!$C$68),F7340*H7340*Inputs!$C$69,"")</f>
      </c>
    </row>
    <row r="7341" spans="2:10" ht="15" customHeight="1" x14ac:dyDescent="0.2">
      <c r="B7341" s="39">
        <f t="shared" si="56"/>
      </c>
      <c r="C7341" s="40">
        <f>IF(Inputs!$C$60,Inputs!$C$11+(B7341-Inputs!$C$69)/Inputs!$C$70,"")</f>
      </c>
      <c r="D7341" s="15"/>
      <c r="E7341" s="15"/>
      <c r="F7341" s="11">
        <f t="shared" si="57"/>
      </c>
      <c r="G7341" s="22" cm="1">
        <f t="array" ref="G7341">IF(AND(Inputs!$C$60,Inputs!$C$61),INDEX(Utility_Rates!$C$29:$F$52,HOUR(C7341)+Inputs!$C$69,MATCH(INDEX(Utility_Rates!$K$6:$K$17,MONTH(C7341))&amp;IF(WEEKDAY(C7341,Inputs!$C$76)&lt;=Inputs!$C$74," weekday"," weekend"),Utility_Rates!$C$28:$F$28,Inputs!$C$68)),"")</f>
      </c>
      <c r="H7341" s="34"/>
      <c r="I7341" s="42">
        <f>IF(AND(ISNUMBER(D7341),ISNUMBER(H7341)),D7341*H7341*Inputs!$C$69,"")</f>
      </c>
      <c r="J7341" s="42">
        <f>IF(AND(ISNUMBER(F7341),ISNUMBER(H7341),F7341&gt;=Inputs!$C$68),F7341*H7341*Inputs!$C$69,"")</f>
      </c>
    </row>
    <row r="7342" spans="2:10" ht="15" customHeight="1" x14ac:dyDescent="0.2">
      <c r="B7342" s="39">
        <f t="shared" si="56"/>
      </c>
      <c r="C7342" s="40">
        <f>IF(Inputs!$C$60,Inputs!$C$11+(B7342-Inputs!$C$69)/Inputs!$C$70,"")</f>
      </c>
      <c r="D7342" s="15"/>
      <c r="E7342" s="15"/>
      <c r="F7342" s="11">
        <f t="shared" si="57"/>
      </c>
      <c r="G7342" s="22" cm="1">
        <f t="array" ref="G7342">IF(AND(Inputs!$C$60,Inputs!$C$61),INDEX(Utility_Rates!$C$29:$F$52,HOUR(C7342)+Inputs!$C$69,MATCH(INDEX(Utility_Rates!$K$6:$K$17,MONTH(C7342))&amp;IF(WEEKDAY(C7342,Inputs!$C$76)&lt;=Inputs!$C$74," weekday"," weekend"),Utility_Rates!$C$28:$F$28,Inputs!$C$68)),"")</f>
      </c>
      <c r="H7342" s="34"/>
      <c r="I7342" s="42">
        <f>IF(AND(ISNUMBER(D7342),ISNUMBER(H7342)),D7342*H7342*Inputs!$C$69,"")</f>
      </c>
      <c r="J7342" s="42">
        <f>IF(AND(ISNUMBER(F7342),ISNUMBER(H7342),F7342&gt;=Inputs!$C$68),F7342*H7342*Inputs!$C$69,"")</f>
      </c>
    </row>
    <row r="7343" spans="2:10" ht="15" customHeight="1" x14ac:dyDescent="0.2">
      <c r="B7343" s="39">
        <f t="shared" si="56"/>
      </c>
      <c r="C7343" s="40">
        <f>IF(Inputs!$C$60,Inputs!$C$11+(B7343-Inputs!$C$69)/Inputs!$C$70,"")</f>
      </c>
      <c r="D7343" s="15"/>
      <c r="E7343" s="15"/>
      <c r="F7343" s="11">
        <f t="shared" si="57"/>
      </c>
      <c r="G7343" s="22" cm="1">
        <f t="array" ref="G7343">IF(AND(Inputs!$C$60,Inputs!$C$61),INDEX(Utility_Rates!$C$29:$F$52,HOUR(C7343)+Inputs!$C$69,MATCH(INDEX(Utility_Rates!$K$6:$K$17,MONTH(C7343))&amp;IF(WEEKDAY(C7343,Inputs!$C$76)&lt;=Inputs!$C$74," weekday"," weekend"),Utility_Rates!$C$28:$F$28,Inputs!$C$68)),"")</f>
      </c>
      <c r="H7343" s="34"/>
      <c r="I7343" s="42">
        <f>IF(AND(ISNUMBER(D7343),ISNUMBER(H7343)),D7343*H7343*Inputs!$C$69,"")</f>
      </c>
      <c r="J7343" s="42">
        <f>IF(AND(ISNUMBER(F7343),ISNUMBER(H7343),F7343&gt;=Inputs!$C$68),F7343*H7343*Inputs!$C$69,"")</f>
      </c>
    </row>
    <row r="7344" spans="2:10" ht="15" customHeight="1" x14ac:dyDescent="0.2">
      <c r="B7344" s="39">
        <f t="shared" si="56"/>
      </c>
      <c r="C7344" s="40">
        <f>IF(Inputs!$C$60,Inputs!$C$11+(B7344-Inputs!$C$69)/Inputs!$C$70,"")</f>
      </c>
      <c r="D7344" s="15"/>
      <c r="E7344" s="15"/>
      <c r="F7344" s="11">
        <f t="shared" si="57"/>
      </c>
      <c r="G7344" s="22" cm="1">
        <f t="array" ref="G7344">IF(AND(Inputs!$C$60,Inputs!$C$61),INDEX(Utility_Rates!$C$29:$F$52,HOUR(C7344)+Inputs!$C$69,MATCH(INDEX(Utility_Rates!$K$6:$K$17,MONTH(C7344))&amp;IF(WEEKDAY(C7344,Inputs!$C$76)&lt;=Inputs!$C$74," weekday"," weekend"),Utility_Rates!$C$28:$F$28,Inputs!$C$68)),"")</f>
      </c>
      <c r="H7344" s="34"/>
      <c r="I7344" s="42">
        <f>IF(AND(ISNUMBER(D7344),ISNUMBER(H7344)),D7344*H7344*Inputs!$C$69,"")</f>
      </c>
      <c r="J7344" s="42">
        <f>IF(AND(ISNUMBER(F7344),ISNUMBER(H7344),F7344&gt;=Inputs!$C$68),F7344*H7344*Inputs!$C$69,"")</f>
      </c>
    </row>
    <row r="7345" spans="2:10" ht="15" customHeight="1" x14ac:dyDescent="0.2">
      <c r="B7345" s="39">
        <f t="shared" si="56"/>
      </c>
      <c r="C7345" s="40">
        <f>IF(Inputs!$C$60,Inputs!$C$11+(B7345-Inputs!$C$69)/Inputs!$C$70,"")</f>
      </c>
      <c r="D7345" s="15"/>
      <c r="E7345" s="15"/>
      <c r="F7345" s="11">
        <f t="shared" si="57"/>
      </c>
      <c r="G7345" s="22" cm="1">
        <f t="array" ref="G7345">IF(AND(Inputs!$C$60,Inputs!$C$61),INDEX(Utility_Rates!$C$29:$F$52,HOUR(C7345)+Inputs!$C$69,MATCH(INDEX(Utility_Rates!$K$6:$K$17,MONTH(C7345))&amp;IF(WEEKDAY(C7345,Inputs!$C$76)&lt;=Inputs!$C$74," weekday"," weekend"),Utility_Rates!$C$28:$F$28,Inputs!$C$68)),"")</f>
      </c>
      <c r="H7345" s="34"/>
      <c r="I7345" s="42">
        <f>IF(AND(ISNUMBER(D7345),ISNUMBER(H7345)),D7345*H7345*Inputs!$C$69,"")</f>
      </c>
      <c r="J7345" s="42">
        <f>IF(AND(ISNUMBER(F7345),ISNUMBER(H7345),F7345&gt;=Inputs!$C$68),F7345*H7345*Inputs!$C$69,"")</f>
      </c>
    </row>
    <row r="7346" spans="2:10" ht="15" customHeight="1" x14ac:dyDescent="0.2">
      <c r="B7346" s="39">
        <f t="shared" si="56"/>
      </c>
      <c r="C7346" s="40">
        <f>IF(Inputs!$C$60,Inputs!$C$11+(B7346-Inputs!$C$69)/Inputs!$C$70,"")</f>
      </c>
      <c r="D7346" s="15"/>
      <c r="E7346" s="15"/>
      <c r="F7346" s="11">
        <f t="shared" si="57"/>
      </c>
      <c r="G7346" s="22" cm="1">
        <f t="array" ref="G7346">IF(AND(Inputs!$C$60,Inputs!$C$61),INDEX(Utility_Rates!$C$29:$F$52,HOUR(C7346)+Inputs!$C$69,MATCH(INDEX(Utility_Rates!$K$6:$K$17,MONTH(C7346))&amp;IF(WEEKDAY(C7346,Inputs!$C$76)&lt;=Inputs!$C$74," weekday"," weekend"),Utility_Rates!$C$28:$F$28,Inputs!$C$68)),"")</f>
      </c>
      <c r="H7346" s="34"/>
      <c r="I7346" s="42">
        <f>IF(AND(ISNUMBER(D7346),ISNUMBER(H7346)),D7346*H7346*Inputs!$C$69,"")</f>
      </c>
      <c r="J7346" s="42">
        <f>IF(AND(ISNUMBER(F7346),ISNUMBER(H7346),F7346&gt;=Inputs!$C$68),F7346*H7346*Inputs!$C$69,"")</f>
      </c>
    </row>
    <row r="7347" spans="2:10" ht="15" customHeight="1" x14ac:dyDescent="0.2">
      <c r="B7347" s="39">
        <f t="shared" si="56"/>
      </c>
      <c r="C7347" s="40">
        <f>IF(Inputs!$C$60,Inputs!$C$11+(B7347-Inputs!$C$69)/Inputs!$C$70,"")</f>
      </c>
      <c r="D7347" s="15"/>
      <c r="E7347" s="15"/>
      <c r="F7347" s="11">
        <f t="shared" si="57"/>
      </c>
      <c r="G7347" s="22" cm="1">
        <f t="array" ref="G7347">IF(AND(Inputs!$C$60,Inputs!$C$61),INDEX(Utility_Rates!$C$29:$F$52,HOUR(C7347)+Inputs!$C$69,MATCH(INDEX(Utility_Rates!$K$6:$K$17,MONTH(C7347))&amp;IF(WEEKDAY(C7347,Inputs!$C$76)&lt;=Inputs!$C$74," weekday"," weekend"),Utility_Rates!$C$28:$F$28,Inputs!$C$68)),"")</f>
      </c>
      <c r="H7347" s="34"/>
      <c r="I7347" s="42">
        <f>IF(AND(ISNUMBER(D7347),ISNUMBER(H7347)),D7347*H7347*Inputs!$C$69,"")</f>
      </c>
      <c r="J7347" s="42">
        <f>IF(AND(ISNUMBER(F7347),ISNUMBER(H7347),F7347&gt;=Inputs!$C$68),F7347*H7347*Inputs!$C$69,"")</f>
      </c>
    </row>
    <row r="7348" spans="2:10" ht="15" customHeight="1" x14ac:dyDescent="0.2">
      <c r="B7348" s="39">
        <f t="shared" si="56"/>
      </c>
      <c r="C7348" s="40">
        <f>IF(Inputs!$C$60,Inputs!$C$11+(B7348-Inputs!$C$69)/Inputs!$C$70,"")</f>
      </c>
      <c r="D7348" s="15"/>
      <c r="E7348" s="15"/>
      <c r="F7348" s="11">
        <f t="shared" si="57"/>
      </c>
      <c r="G7348" s="22" cm="1">
        <f t="array" ref="G7348">IF(AND(Inputs!$C$60,Inputs!$C$61),INDEX(Utility_Rates!$C$29:$F$52,HOUR(C7348)+Inputs!$C$69,MATCH(INDEX(Utility_Rates!$K$6:$K$17,MONTH(C7348))&amp;IF(WEEKDAY(C7348,Inputs!$C$76)&lt;=Inputs!$C$74," weekday"," weekend"),Utility_Rates!$C$28:$F$28,Inputs!$C$68)),"")</f>
      </c>
      <c r="H7348" s="34"/>
      <c r="I7348" s="42">
        <f>IF(AND(ISNUMBER(D7348),ISNUMBER(H7348)),D7348*H7348*Inputs!$C$69,"")</f>
      </c>
      <c r="J7348" s="42">
        <f>IF(AND(ISNUMBER(F7348),ISNUMBER(H7348),F7348&gt;=Inputs!$C$68),F7348*H7348*Inputs!$C$69,"")</f>
      </c>
    </row>
    <row r="7349" spans="2:10" ht="15" customHeight="1" x14ac:dyDescent="0.2">
      <c r="B7349" s="39">
        <f t="shared" si="56"/>
      </c>
      <c r="C7349" s="40">
        <f>IF(Inputs!$C$60,Inputs!$C$11+(B7349-Inputs!$C$69)/Inputs!$C$70,"")</f>
      </c>
      <c r="D7349" s="15"/>
      <c r="E7349" s="15"/>
      <c r="F7349" s="11">
        <f t="shared" si="57"/>
      </c>
      <c r="G7349" s="22" cm="1">
        <f t="array" ref="G7349">IF(AND(Inputs!$C$60,Inputs!$C$61),INDEX(Utility_Rates!$C$29:$F$52,HOUR(C7349)+Inputs!$C$69,MATCH(INDEX(Utility_Rates!$K$6:$K$17,MONTH(C7349))&amp;IF(WEEKDAY(C7349,Inputs!$C$76)&lt;=Inputs!$C$74," weekday"," weekend"),Utility_Rates!$C$28:$F$28,Inputs!$C$68)),"")</f>
      </c>
      <c r="H7349" s="34"/>
      <c r="I7349" s="42">
        <f>IF(AND(ISNUMBER(D7349),ISNUMBER(H7349)),D7349*H7349*Inputs!$C$69,"")</f>
      </c>
      <c r="J7349" s="42">
        <f>IF(AND(ISNUMBER(F7349),ISNUMBER(H7349),F7349&gt;=Inputs!$C$68),F7349*H7349*Inputs!$C$69,"")</f>
      </c>
    </row>
    <row r="7350" spans="2:10" ht="15" customHeight="1" x14ac:dyDescent="0.2">
      <c r="B7350" s="39">
        <f t="shared" si="56"/>
      </c>
      <c r="C7350" s="40">
        <f>IF(Inputs!$C$60,Inputs!$C$11+(B7350-Inputs!$C$69)/Inputs!$C$70,"")</f>
      </c>
      <c r="D7350" s="15"/>
      <c r="E7350" s="15"/>
      <c r="F7350" s="11">
        <f t="shared" si="57"/>
      </c>
      <c r="G7350" s="22" cm="1">
        <f t="array" ref="G7350">IF(AND(Inputs!$C$60,Inputs!$C$61),INDEX(Utility_Rates!$C$29:$F$52,HOUR(C7350)+Inputs!$C$69,MATCH(INDEX(Utility_Rates!$K$6:$K$17,MONTH(C7350))&amp;IF(WEEKDAY(C7350,Inputs!$C$76)&lt;=Inputs!$C$74," weekday"," weekend"),Utility_Rates!$C$28:$F$28,Inputs!$C$68)),"")</f>
      </c>
      <c r="H7350" s="34"/>
      <c r="I7350" s="42">
        <f>IF(AND(ISNUMBER(D7350),ISNUMBER(H7350)),D7350*H7350*Inputs!$C$69,"")</f>
      </c>
      <c r="J7350" s="42">
        <f>IF(AND(ISNUMBER(F7350),ISNUMBER(H7350),F7350&gt;=Inputs!$C$68),F7350*H7350*Inputs!$C$69,"")</f>
      </c>
    </row>
    <row r="7351" spans="2:10" ht="15" customHeight="1" x14ac:dyDescent="0.2">
      <c r="B7351" s="39">
        <f t="shared" si="56"/>
      </c>
      <c r="C7351" s="40">
        <f>IF(Inputs!$C$60,Inputs!$C$11+(B7351-Inputs!$C$69)/Inputs!$C$70,"")</f>
      </c>
      <c r="D7351" s="15"/>
      <c r="E7351" s="15"/>
      <c r="F7351" s="11">
        <f t="shared" si="57"/>
      </c>
      <c r="G7351" s="22" cm="1">
        <f t="array" ref="G7351">IF(AND(Inputs!$C$60,Inputs!$C$61),INDEX(Utility_Rates!$C$29:$F$52,HOUR(C7351)+Inputs!$C$69,MATCH(INDEX(Utility_Rates!$K$6:$K$17,MONTH(C7351))&amp;IF(WEEKDAY(C7351,Inputs!$C$76)&lt;=Inputs!$C$74," weekday"," weekend"),Utility_Rates!$C$28:$F$28,Inputs!$C$68)),"")</f>
      </c>
      <c r="H7351" s="34"/>
      <c r="I7351" s="42">
        <f>IF(AND(ISNUMBER(D7351),ISNUMBER(H7351)),D7351*H7351*Inputs!$C$69,"")</f>
      </c>
      <c r="J7351" s="42">
        <f>IF(AND(ISNUMBER(F7351),ISNUMBER(H7351),F7351&gt;=Inputs!$C$68),F7351*H7351*Inputs!$C$69,"")</f>
      </c>
    </row>
    <row r="7352" spans="2:10" ht="15" customHeight="1" x14ac:dyDescent="0.2">
      <c r="B7352" s="39">
        <f t="shared" si="56"/>
      </c>
      <c r="C7352" s="40">
        <f>IF(Inputs!$C$60,Inputs!$C$11+(B7352-Inputs!$C$69)/Inputs!$C$70,"")</f>
      </c>
      <c r="D7352" s="15"/>
      <c r="E7352" s="15"/>
      <c r="F7352" s="11">
        <f t="shared" si="57"/>
      </c>
      <c r="G7352" s="22" cm="1">
        <f t="array" ref="G7352">IF(AND(Inputs!$C$60,Inputs!$C$61),INDEX(Utility_Rates!$C$29:$F$52,HOUR(C7352)+Inputs!$C$69,MATCH(INDEX(Utility_Rates!$K$6:$K$17,MONTH(C7352))&amp;IF(WEEKDAY(C7352,Inputs!$C$76)&lt;=Inputs!$C$74," weekday"," weekend"),Utility_Rates!$C$28:$F$28,Inputs!$C$68)),"")</f>
      </c>
      <c r="H7352" s="34"/>
      <c r="I7352" s="42">
        <f>IF(AND(ISNUMBER(D7352),ISNUMBER(H7352)),D7352*H7352*Inputs!$C$69,"")</f>
      </c>
      <c r="J7352" s="42">
        <f>IF(AND(ISNUMBER(F7352),ISNUMBER(H7352),F7352&gt;=Inputs!$C$68),F7352*H7352*Inputs!$C$69,"")</f>
      </c>
    </row>
    <row r="7353" spans="2:10" ht="15" customHeight="1" x14ac:dyDescent="0.2">
      <c r="B7353" s="39">
        <f t="shared" si="56"/>
      </c>
      <c r="C7353" s="40">
        <f>IF(Inputs!$C$60,Inputs!$C$11+(B7353-Inputs!$C$69)/Inputs!$C$70,"")</f>
      </c>
      <c r="D7353" s="15"/>
      <c r="E7353" s="15"/>
      <c r="F7353" s="11">
        <f t="shared" si="57"/>
      </c>
      <c r="G7353" s="22" cm="1">
        <f t="array" ref="G7353">IF(AND(Inputs!$C$60,Inputs!$C$61),INDEX(Utility_Rates!$C$29:$F$52,HOUR(C7353)+Inputs!$C$69,MATCH(INDEX(Utility_Rates!$K$6:$K$17,MONTH(C7353))&amp;IF(WEEKDAY(C7353,Inputs!$C$76)&lt;=Inputs!$C$74," weekday"," weekend"),Utility_Rates!$C$28:$F$28,Inputs!$C$68)),"")</f>
      </c>
      <c r="H7353" s="34"/>
      <c r="I7353" s="42">
        <f>IF(AND(ISNUMBER(D7353),ISNUMBER(H7353)),D7353*H7353*Inputs!$C$69,"")</f>
      </c>
      <c r="J7353" s="42">
        <f>IF(AND(ISNUMBER(F7353),ISNUMBER(H7353),F7353&gt;=Inputs!$C$68),F7353*H7353*Inputs!$C$69,"")</f>
      </c>
    </row>
    <row r="7354" spans="2:10" ht="15" customHeight="1" x14ac:dyDescent="0.2">
      <c r="B7354" s="39">
        <f t="shared" si="56"/>
      </c>
      <c r="C7354" s="40">
        <f>IF(Inputs!$C$60,Inputs!$C$11+(B7354-Inputs!$C$69)/Inputs!$C$70,"")</f>
      </c>
      <c r="D7354" s="15"/>
      <c r="E7354" s="15"/>
      <c r="F7354" s="11">
        <f t="shared" si="57"/>
      </c>
      <c r="G7354" s="22" cm="1">
        <f t="array" ref="G7354">IF(AND(Inputs!$C$60,Inputs!$C$61),INDEX(Utility_Rates!$C$29:$F$52,HOUR(C7354)+Inputs!$C$69,MATCH(INDEX(Utility_Rates!$K$6:$K$17,MONTH(C7354))&amp;IF(WEEKDAY(C7354,Inputs!$C$76)&lt;=Inputs!$C$74," weekday"," weekend"),Utility_Rates!$C$28:$F$28,Inputs!$C$68)),"")</f>
      </c>
      <c r="H7354" s="34"/>
      <c r="I7354" s="42">
        <f>IF(AND(ISNUMBER(D7354),ISNUMBER(H7354)),D7354*H7354*Inputs!$C$69,"")</f>
      </c>
      <c r="J7354" s="42">
        <f>IF(AND(ISNUMBER(F7354),ISNUMBER(H7354),F7354&gt;=Inputs!$C$68),F7354*H7354*Inputs!$C$69,"")</f>
      </c>
    </row>
    <row r="7355" spans="2:10" ht="15" customHeight="1" x14ac:dyDescent="0.2">
      <c r="B7355" s="39">
        <f t="shared" si="56"/>
      </c>
      <c r="C7355" s="40">
        <f>IF(Inputs!$C$60,Inputs!$C$11+(B7355-Inputs!$C$69)/Inputs!$C$70,"")</f>
      </c>
      <c r="D7355" s="15"/>
      <c r="E7355" s="15"/>
      <c r="F7355" s="11">
        <f t="shared" si="57"/>
      </c>
      <c r="G7355" s="22" cm="1">
        <f t="array" ref="G7355">IF(AND(Inputs!$C$60,Inputs!$C$61),INDEX(Utility_Rates!$C$29:$F$52,HOUR(C7355)+Inputs!$C$69,MATCH(INDEX(Utility_Rates!$K$6:$K$17,MONTH(C7355))&amp;IF(WEEKDAY(C7355,Inputs!$C$76)&lt;=Inputs!$C$74," weekday"," weekend"),Utility_Rates!$C$28:$F$28,Inputs!$C$68)),"")</f>
      </c>
      <c r="H7355" s="34"/>
      <c r="I7355" s="42">
        <f>IF(AND(ISNUMBER(D7355),ISNUMBER(H7355)),D7355*H7355*Inputs!$C$69,"")</f>
      </c>
      <c r="J7355" s="42">
        <f>IF(AND(ISNUMBER(F7355),ISNUMBER(H7355),F7355&gt;=Inputs!$C$68),F7355*H7355*Inputs!$C$69,"")</f>
      </c>
    </row>
    <row r="7356" spans="2:10" ht="15" customHeight="1" x14ac:dyDescent="0.2">
      <c r="B7356" s="39">
        <f t="shared" si="56"/>
      </c>
      <c r="C7356" s="40">
        <f>IF(Inputs!$C$60,Inputs!$C$11+(B7356-Inputs!$C$69)/Inputs!$C$70,"")</f>
      </c>
      <c r="D7356" s="15"/>
      <c r="E7356" s="15"/>
      <c r="F7356" s="11">
        <f t="shared" si="57"/>
      </c>
      <c r="G7356" s="22" cm="1">
        <f t="array" ref="G7356">IF(AND(Inputs!$C$60,Inputs!$C$61),INDEX(Utility_Rates!$C$29:$F$52,HOUR(C7356)+Inputs!$C$69,MATCH(INDEX(Utility_Rates!$K$6:$K$17,MONTH(C7356))&amp;IF(WEEKDAY(C7356,Inputs!$C$76)&lt;=Inputs!$C$74," weekday"," weekend"),Utility_Rates!$C$28:$F$28,Inputs!$C$68)),"")</f>
      </c>
      <c r="H7356" s="34"/>
      <c r="I7356" s="42">
        <f>IF(AND(ISNUMBER(D7356),ISNUMBER(H7356)),D7356*H7356*Inputs!$C$69,"")</f>
      </c>
      <c r="J7356" s="42">
        <f>IF(AND(ISNUMBER(F7356),ISNUMBER(H7356),F7356&gt;=Inputs!$C$68),F7356*H7356*Inputs!$C$69,"")</f>
      </c>
    </row>
    <row r="7357" spans="2:10" ht="15" customHeight="1" x14ac:dyDescent="0.2">
      <c r="B7357" s="39">
        <f t="shared" si="56"/>
      </c>
      <c r="C7357" s="40">
        <f>IF(Inputs!$C$60,Inputs!$C$11+(B7357-Inputs!$C$69)/Inputs!$C$70,"")</f>
      </c>
      <c r="D7357" s="15"/>
      <c r="E7357" s="15"/>
      <c r="F7357" s="11">
        <f t="shared" si="57"/>
      </c>
      <c r="G7357" s="22" cm="1">
        <f t="array" ref="G7357">IF(AND(Inputs!$C$60,Inputs!$C$61),INDEX(Utility_Rates!$C$29:$F$52,HOUR(C7357)+Inputs!$C$69,MATCH(INDEX(Utility_Rates!$K$6:$K$17,MONTH(C7357))&amp;IF(WEEKDAY(C7357,Inputs!$C$76)&lt;=Inputs!$C$74," weekday"," weekend"),Utility_Rates!$C$28:$F$28,Inputs!$C$68)),"")</f>
      </c>
      <c r="H7357" s="34"/>
      <c r="I7357" s="42">
        <f>IF(AND(ISNUMBER(D7357),ISNUMBER(H7357)),D7357*H7357*Inputs!$C$69,"")</f>
      </c>
      <c r="J7357" s="42">
        <f>IF(AND(ISNUMBER(F7357),ISNUMBER(H7357),F7357&gt;=Inputs!$C$68),F7357*H7357*Inputs!$C$69,"")</f>
      </c>
    </row>
    <row r="7358" spans="2:10" ht="15" customHeight="1" x14ac:dyDescent="0.2">
      <c r="B7358" s="39">
        <f t="shared" si="56"/>
      </c>
      <c r="C7358" s="40">
        <f>IF(Inputs!$C$60,Inputs!$C$11+(B7358-Inputs!$C$69)/Inputs!$C$70,"")</f>
      </c>
      <c r="D7358" s="15"/>
      <c r="E7358" s="15"/>
      <c r="F7358" s="11">
        <f t="shared" si="57"/>
      </c>
      <c r="G7358" s="22" cm="1">
        <f t="array" ref="G7358">IF(AND(Inputs!$C$60,Inputs!$C$61),INDEX(Utility_Rates!$C$29:$F$52,HOUR(C7358)+Inputs!$C$69,MATCH(INDEX(Utility_Rates!$K$6:$K$17,MONTH(C7358))&amp;IF(WEEKDAY(C7358,Inputs!$C$76)&lt;=Inputs!$C$74," weekday"," weekend"),Utility_Rates!$C$28:$F$28,Inputs!$C$68)),"")</f>
      </c>
      <c r="H7358" s="34"/>
      <c r="I7358" s="42">
        <f>IF(AND(ISNUMBER(D7358),ISNUMBER(H7358)),D7358*H7358*Inputs!$C$69,"")</f>
      </c>
      <c r="J7358" s="42">
        <f>IF(AND(ISNUMBER(F7358),ISNUMBER(H7358),F7358&gt;=Inputs!$C$68),F7358*H7358*Inputs!$C$69,"")</f>
      </c>
    </row>
    <row r="7359" spans="2:10" ht="15" customHeight="1" x14ac:dyDescent="0.2">
      <c r="B7359" s="39">
        <f t="shared" si="56"/>
      </c>
      <c r="C7359" s="40">
        <f>IF(Inputs!$C$60,Inputs!$C$11+(B7359-Inputs!$C$69)/Inputs!$C$70,"")</f>
      </c>
      <c r="D7359" s="15"/>
      <c r="E7359" s="15"/>
      <c r="F7359" s="11">
        <f t="shared" si="57"/>
      </c>
      <c r="G7359" s="22" cm="1">
        <f t="array" ref="G7359">IF(AND(Inputs!$C$60,Inputs!$C$61),INDEX(Utility_Rates!$C$29:$F$52,HOUR(C7359)+Inputs!$C$69,MATCH(INDEX(Utility_Rates!$K$6:$K$17,MONTH(C7359))&amp;IF(WEEKDAY(C7359,Inputs!$C$76)&lt;=Inputs!$C$74," weekday"," weekend"),Utility_Rates!$C$28:$F$28,Inputs!$C$68)),"")</f>
      </c>
      <c r="H7359" s="34"/>
      <c r="I7359" s="42">
        <f>IF(AND(ISNUMBER(D7359),ISNUMBER(H7359)),D7359*H7359*Inputs!$C$69,"")</f>
      </c>
      <c r="J7359" s="42">
        <f>IF(AND(ISNUMBER(F7359),ISNUMBER(H7359),F7359&gt;=Inputs!$C$68),F7359*H7359*Inputs!$C$69,"")</f>
      </c>
    </row>
    <row r="7360" spans="2:10" ht="15" customHeight="1" x14ac:dyDescent="0.2">
      <c r="B7360" s="39">
        <f t="shared" si="56"/>
      </c>
      <c r="C7360" s="40">
        <f>IF(Inputs!$C$60,Inputs!$C$11+(B7360-Inputs!$C$69)/Inputs!$C$70,"")</f>
      </c>
      <c r="D7360" s="15"/>
      <c r="E7360" s="15"/>
      <c r="F7360" s="11">
        <f t="shared" si="57"/>
      </c>
      <c r="G7360" s="22" cm="1">
        <f t="array" ref="G7360">IF(AND(Inputs!$C$60,Inputs!$C$61),INDEX(Utility_Rates!$C$29:$F$52,HOUR(C7360)+Inputs!$C$69,MATCH(INDEX(Utility_Rates!$K$6:$K$17,MONTH(C7360))&amp;IF(WEEKDAY(C7360,Inputs!$C$76)&lt;=Inputs!$C$74," weekday"," weekend"),Utility_Rates!$C$28:$F$28,Inputs!$C$68)),"")</f>
      </c>
      <c r="H7360" s="34"/>
      <c r="I7360" s="42">
        <f>IF(AND(ISNUMBER(D7360),ISNUMBER(H7360)),D7360*H7360*Inputs!$C$69,"")</f>
      </c>
      <c r="J7360" s="42">
        <f>IF(AND(ISNUMBER(F7360),ISNUMBER(H7360),F7360&gt;=Inputs!$C$68),F7360*H7360*Inputs!$C$69,"")</f>
      </c>
    </row>
    <row r="7361" spans="2:10" ht="15" customHeight="1" x14ac:dyDescent="0.2">
      <c r="B7361" s="39">
        <f t="shared" si="56"/>
      </c>
      <c r="C7361" s="40">
        <f>IF(Inputs!$C$60,Inputs!$C$11+(B7361-Inputs!$C$69)/Inputs!$C$70,"")</f>
      </c>
      <c r="D7361" s="15"/>
      <c r="E7361" s="15"/>
      <c r="F7361" s="11">
        <f t="shared" si="57"/>
      </c>
      <c r="G7361" s="22" cm="1">
        <f t="array" ref="G7361">IF(AND(Inputs!$C$60,Inputs!$C$61),INDEX(Utility_Rates!$C$29:$F$52,HOUR(C7361)+Inputs!$C$69,MATCH(INDEX(Utility_Rates!$K$6:$K$17,MONTH(C7361))&amp;IF(WEEKDAY(C7361,Inputs!$C$76)&lt;=Inputs!$C$74," weekday"," weekend"),Utility_Rates!$C$28:$F$28,Inputs!$C$68)),"")</f>
      </c>
      <c r="H7361" s="34"/>
      <c r="I7361" s="42">
        <f>IF(AND(ISNUMBER(D7361),ISNUMBER(H7361)),D7361*H7361*Inputs!$C$69,"")</f>
      </c>
      <c r="J7361" s="42">
        <f>IF(AND(ISNUMBER(F7361),ISNUMBER(H7361),F7361&gt;=Inputs!$C$68),F7361*H7361*Inputs!$C$69,"")</f>
      </c>
    </row>
    <row r="7362" spans="2:10" ht="15" customHeight="1" x14ac:dyDescent="0.2">
      <c r="B7362" s="39">
        <f t="shared" si="56"/>
      </c>
      <c r="C7362" s="40">
        <f>IF(Inputs!$C$60,Inputs!$C$11+(B7362-Inputs!$C$69)/Inputs!$C$70,"")</f>
      </c>
      <c r="D7362" s="15"/>
      <c r="E7362" s="15"/>
      <c r="F7362" s="11">
        <f t="shared" si="57"/>
      </c>
      <c r="G7362" s="22" cm="1">
        <f t="array" ref="G7362">IF(AND(Inputs!$C$60,Inputs!$C$61),INDEX(Utility_Rates!$C$29:$F$52,HOUR(C7362)+Inputs!$C$69,MATCH(INDEX(Utility_Rates!$K$6:$K$17,MONTH(C7362))&amp;IF(WEEKDAY(C7362,Inputs!$C$76)&lt;=Inputs!$C$74," weekday"," weekend"),Utility_Rates!$C$28:$F$28,Inputs!$C$68)),"")</f>
      </c>
      <c r="H7362" s="34"/>
      <c r="I7362" s="42">
        <f>IF(AND(ISNUMBER(D7362),ISNUMBER(H7362)),D7362*H7362*Inputs!$C$69,"")</f>
      </c>
      <c r="J7362" s="42">
        <f>IF(AND(ISNUMBER(F7362),ISNUMBER(H7362),F7362&gt;=Inputs!$C$68),F7362*H7362*Inputs!$C$69,"")</f>
      </c>
    </row>
    <row r="7363" spans="2:10" ht="15" customHeight="1" x14ac:dyDescent="0.2">
      <c r="B7363" s="39">
        <f t="shared" si="56"/>
      </c>
      <c r="C7363" s="40">
        <f>IF(Inputs!$C$60,Inputs!$C$11+(B7363-Inputs!$C$69)/Inputs!$C$70,"")</f>
      </c>
      <c r="D7363" s="15"/>
      <c r="E7363" s="15"/>
      <c r="F7363" s="11">
        <f t="shared" si="57"/>
      </c>
      <c r="G7363" s="22" cm="1">
        <f t="array" ref="G7363">IF(AND(Inputs!$C$60,Inputs!$C$61),INDEX(Utility_Rates!$C$29:$F$52,HOUR(C7363)+Inputs!$C$69,MATCH(INDEX(Utility_Rates!$K$6:$K$17,MONTH(C7363))&amp;IF(WEEKDAY(C7363,Inputs!$C$76)&lt;=Inputs!$C$74," weekday"," weekend"),Utility_Rates!$C$28:$F$28,Inputs!$C$68)),"")</f>
      </c>
      <c r="H7363" s="34"/>
      <c r="I7363" s="42">
        <f>IF(AND(ISNUMBER(D7363),ISNUMBER(H7363)),D7363*H7363*Inputs!$C$69,"")</f>
      </c>
      <c r="J7363" s="42">
        <f>IF(AND(ISNUMBER(F7363),ISNUMBER(H7363),F7363&gt;=Inputs!$C$68),F7363*H7363*Inputs!$C$69,"")</f>
      </c>
    </row>
    <row r="7364" spans="2:10" ht="15" customHeight="1" x14ac:dyDescent="0.2">
      <c r="B7364" s="39">
        <f t="shared" si="56"/>
      </c>
      <c r="C7364" s="40">
        <f>IF(Inputs!$C$60,Inputs!$C$11+(B7364-Inputs!$C$69)/Inputs!$C$70,"")</f>
      </c>
      <c r="D7364" s="15"/>
      <c r="E7364" s="15"/>
      <c r="F7364" s="11">
        <f t="shared" si="57"/>
      </c>
      <c r="G7364" s="22" cm="1">
        <f t="array" ref="G7364">IF(AND(Inputs!$C$60,Inputs!$C$61),INDEX(Utility_Rates!$C$29:$F$52,HOUR(C7364)+Inputs!$C$69,MATCH(INDEX(Utility_Rates!$K$6:$K$17,MONTH(C7364))&amp;IF(WEEKDAY(C7364,Inputs!$C$76)&lt;=Inputs!$C$74," weekday"," weekend"),Utility_Rates!$C$28:$F$28,Inputs!$C$68)),"")</f>
      </c>
      <c r="H7364" s="34"/>
      <c r="I7364" s="42">
        <f>IF(AND(ISNUMBER(D7364),ISNUMBER(H7364)),D7364*H7364*Inputs!$C$69,"")</f>
      </c>
      <c r="J7364" s="42">
        <f>IF(AND(ISNUMBER(F7364),ISNUMBER(H7364),F7364&gt;=Inputs!$C$68),F7364*H7364*Inputs!$C$69,"")</f>
      </c>
    </row>
    <row r="7365" spans="2:10" ht="15" customHeight="1" x14ac:dyDescent="0.2">
      <c r="B7365" s="39">
        <f t="shared" si="56"/>
      </c>
      <c r="C7365" s="40">
        <f>IF(Inputs!$C$60,Inputs!$C$11+(B7365-Inputs!$C$69)/Inputs!$C$70,"")</f>
      </c>
      <c r="D7365" s="15"/>
      <c r="E7365" s="15"/>
      <c r="F7365" s="11">
        <f t="shared" si="57"/>
      </c>
      <c r="G7365" s="22" cm="1">
        <f t="array" ref="G7365">IF(AND(Inputs!$C$60,Inputs!$C$61),INDEX(Utility_Rates!$C$29:$F$52,HOUR(C7365)+Inputs!$C$69,MATCH(INDEX(Utility_Rates!$K$6:$K$17,MONTH(C7365))&amp;IF(WEEKDAY(C7365,Inputs!$C$76)&lt;=Inputs!$C$74," weekday"," weekend"),Utility_Rates!$C$28:$F$28,Inputs!$C$68)),"")</f>
      </c>
      <c r="H7365" s="34"/>
      <c r="I7365" s="42">
        <f>IF(AND(ISNUMBER(D7365),ISNUMBER(H7365)),D7365*H7365*Inputs!$C$69,"")</f>
      </c>
      <c r="J7365" s="42">
        <f>IF(AND(ISNUMBER(F7365),ISNUMBER(H7365),F7365&gt;=Inputs!$C$68),F7365*H7365*Inputs!$C$69,"")</f>
      </c>
    </row>
    <row r="7366" spans="2:10" ht="15" customHeight="1" x14ac:dyDescent="0.2">
      <c r="B7366" s="39">
        <f t="shared" si="56"/>
      </c>
      <c r="C7366" s="40">
        <f>IF(Inputs!$C$60,Inputs!$C$11+(B7366-Inputs!$C$69)/Inputs!$C$70,"")</f>
      </c>
      <c r="D7366" s="15"/>
      <c r="E7366" s="15"/>
      <c r="F7366" s="11">
        <f t="shared" si="57"/>
      </c>
      <c r="G7366" s="22" cm="1">
        <f t="array" ref="G7366">IF(AND(Inputs!$C$60,Inputs!$C$61),INDEX(Utility_Rates!$C$29:$F$52,HOUR(C7366)+Inputs!$C$69,MATCH(INDEX(Utility_Rates!$K$6:$K$17,MONTH(C7366))&amp;IF(WEEKDAY(C7366,Inputs!$C$76)&lt;=Inputs!$C$74," weekday"," weekend"),Utility_Rates!$C$28:$F$28,Inputs!$C$68)),"")</f>
      </c>
      <c r="H7366" s="34"/>
      <c r="I7366" s="42">
        <f>IF(AND(ISNUMBER(D7366),ISNUMBER(H7366)),D7366*H7366*Inputs!$C$69,"")</f>
      </c>
      <c r="J7366" s="42">
        <f>IF(AND(ISNUMBER(F7366),ISNUMBER(H7366),F7366&gt;=Inputs!$C$68),F7366*H7366*Inputs!$C$69,"")</f>
      </c>
    </row>
    <row r="7367" spans="2:10" ht="15" customHeight="1" x14ac:dyDescent="0.2">
      <c r="B7367" s="39">
        <f t="shared" si="56"/>
      </c>
      <c r="C7367" s="40">
        <f>IF(Inputs!$C$60,Inputs!$C$11+(B7367-Inputs!$C$69)/Inputs!$C$70,"")</f>
      </c>
      <c r="D7367" s="15"/>
      <c r="E7367" s="15"/>
      <c r="F7367" s="11">
        <f t="shared" si="57"/>
      </c>
      <c r="G7367" s="22" cm="1">
        <f t="array" ref="G7367">IF(AND(Inputs!$C$60,Inputs!$C$61),INDEX(Utility_Rates!$C$29:$F$52,HOUR(C7367)+Inputs!$C$69,MATCH(INDEX(Utility_Rates!$K$6:$K$17,MONTH(C7367))&amp;IF(WEEKDAY(C7367,Inputs!$C$76)&lt;=Inputs!$C$74," weekday"," weekend"),Utility_Rates!$C$28:$F$28,Inputs!$C$68)),"")</f>
      </c>
      <c r="H7367" s="34"/>
      <c r="I7367" s="42">
        <f>IF(AND(ISNUMBER(D7367),ISNUMBER(H7367)),D7367*H7367*Inputs!$C$69,"")</f>
      </c>
      <c r="J7367" s="42">
        <f>IF(AND(ISNUMBER(F7367),ISNUMBER(H7367),F7367&gt;=Inputs!$C$68),F7367*H7367*Inputs!$C$69,"")</f>
      </c>
    </row>
    <row r="7368" spans="2:10" ht="15" customHeight="1" x14ac:dyDescent="0.2">
      <c r="B7368" s="39">
        <f t="shared" si="56"/>
      </c>
      <c r="C7368" s="40">
        <f>IF(Inputs!$C$60,Inputs!$C$11+(B7368-Inputs!$C$69)/Inputs!$C$70,"")</f>
      </c>
      <c r="D7368" s="15"/>
      <c r="E7368" s="15"/>
      <c r="F7368" s="11">
        <f t="shared" si="57"/>
      </c>
      <c r="G7368" s="22" cm="1">
        <f t="array" ref="G7368">IF(AND(Inputs!$C$60,Inputs!$C$61),INDEX(Utility_Rates!$C$29:$F$52,HOUR(C7368)+Inputs!$C$69,MATCH(INDEX(Utility_Rates!$K$6:$K$17,MONTH(C7368))&amp;IF(WEEKDAY(C7368,Inputs!$C$76)&lt;=Inputs!$C$74," weekday"," weekend"),Utility_Rates!$C$28:$F$28,Inputs!$C$68)),"")</f>
      </c>
      <c r="H7368" s="34"/>
      <c r="I7368" s="42">
        <f>IF(AND(ISNUMBER(D7368),ISNUMBER(H7368)),D7368*H7368*Inputs!$C$69,"")</f>
      </c>
      <c r="J7368" s="42">
        <f>IF(AND(ISNUMBER(F7368),ISNUMBER(H7368),F7368&gt;=Inputs!$C$68),F7368*H7368*Inputs!$C$69,"")</f>
      </c>
    </row>
    <row r="7369" spans="2:10" ht="15" customHeight="1" x14ac:dyDescent="0.2">
      <c r="B7369" s="39">
        <f t="shared" si="56"/>
      </c>
      <c r="C7369" s="40">
        <f>IF(Inputs!$C$60,Inputs!$C$11+(B7369-Inputs!$C$69)/Inputs!$C$70,"")</f>
      </c>
      <c r="D7369" s="15"/>
      <c r="E7369" s="15"/>
      <c r="F7369" s="11">
        <f t="shared" si="57"/>
      </c>
      <c r="G7369" s="22" cm="1">
        <f t="array" ref="G7369">IF(AND(Inputs!$C$60,Inputs!$C$61),INDEX(Utility_Rates!$C$29:$F$52,HOUR(C7369)+Inputs!$C$69,MATCH(INDEX(Utility_Rates!$K$6:$K$17,MONTH(C7369))&amp;IF(WEEKDAY(C7369,Inputs!$C$76)&lt;=Inputs!$C$74," weekday"," weekend"),Utility_Rates!$C$28:$F$28,Inputs!$C$68)),"")</f>
      </c>
      <c r="H7369" s="34"/>
      <c r="I7369" s="42">
        <f>IF(AND(ISNUMBER(D7369),ISNUMBER(H7369)),D7369*H7369*Inputs!$C$69,"")</f>
      </c>
      <c r="J7369" s="42">
        <f>IF(AND(ISNUMBER(F7369),ISNUMBER(H7369),F7369&gt;=Inputs!$C$68),F7369*H7369*Inputs!$C$69,"")</f>
      </c>
    </row>
    <row r="7370" spans="2:10" ht="15" customHeight="1" x14ac:dyDescent="0.2">
      <c r="B7370" s="39">
        <f t="shared" si="56"/>
      </c>
      <c r="C7370" s="40">
        <f>IF(Inputs!$C$60,Inputs!$C$11+(B7370-Inputs!$C$69)/Inputs!$C$70,"")</f>
      </c>
      <c r="D7370" s="15"/>
      <c r="E7370" s="15"/>
      <c r="F7370" s="11">
        <f t="shared" si="57"/>
      </c>
      <c r="G7370" s="22" cm="1">
        <f t="array" ref="G7370">IF(AND(Inputs!$C$60,Inputs!$C$61),INDEX(Utility_Rates!$C$29:$F$52,HOUR(C7370)+Inputs!$C$69,MATCH(INDEX(Utility_Rates!$K$6:$K$17,MONTH(C7370))&amp;IF(WEEKDAY(C7370,Inputs!$C$76)&lt;=Inputs!$C$74," weekday"," weekend"),Utility_Rates!$C$28:$F$28,Inputs!$C$68)),"")</f>
      </c>
      <c r="H7370" s="34"/>
      <c r="I7370" s="42">
        <f>IF(AND(ISNUMBER(D7370),ISNUMBER(H7370)),D7370*H7370*Inputs!$C$69,"")</f>
      </c>
      <c r="J7370" s="42">
        <f>IF(AND(ISNUMBER(F7370),ISNUMBER(H7370),F7370&gt;=Inputs!$C$68),F7370*H7370*Inputs!$C$69,"")</f>
      </c>
    </row>
    <row r="7371" spans="2:10" ht="15" customHeight="1" x14ac:dyDescent="0.2">
      <c r="B7371" s="39">
        <f t="shared" si="56"/>
      </c>
      <c r="C7371" s="40">
        <f>IF(Inputs!$C$60,Inputs!$C$11+(B7371-Inputs!$C$69)/Inputs!$C$70,"")</f>
      </c>
      <c r="D7371" s="15"/>
      <c r="E7371" s="15"/>
      <c r="F7371" s="11">
        <f t="shared" si="57"/>
      </c>
      <c r="G7371" s="22" cm="1">
        <f t="array" ref="G7371">IF(AND(Inputs!$C$60,Inputs!$C$61),INDEX(Utility_Rates!$C$29:$F$52,HOUR(C7371)+Inputs!$C$69,MATCH(INDEX(Utility_Rates!$K$6:$K$17,MONTH(C7371))&amp;IF(WEEKDAY(C7371,Inputs!$C$76)&lt;=Inputs!$C$74," weekday"," weekend"),Utility_Rates!$C$28:$F$28,Inputs!$C$68)),"")</f>
      </c>
      <c r="H7371" s="34"/>
      <c r="I7371" s="42">
        <f>IF(AND(ISNUMBER(D7371),ISNUMBER(H7371)),D7371*H7371*Inputs!$C$69,"")</f>
      </c>
      <c r="J7371" s="42">
        <f>IF(AND(ISNUMBER(F7371),ISNUMBER(H7371),F7371&gt;=Inputs!$C$68),F7371*H7371*Inputs!$C$69,"")</f>
      </c>
    </row>
    <row r="7372" spans="2:10" ht="15" customHeight="1" x14ac:dyDescent="0.2">
      <c r="B7372" s="39">
        <f t="shared" si="56"/>
      </c>
      <c r="C7372" s="40">
        <f>IF(Inputs!$C$60,Inputs!$C$11+(B7372-Inputs!$C$69)/Inputs!$C$70,"")</f>
      </c>
      <c r="D7372" s="15"/>
      <c r="E7372" s="15"/>
      <c r="F7372" s="11">
        <f t="shared" si="57"/>
      </c>
      <c r="G7372" s="22" cm="1">
        <f t="array" ref="G7372">IF(AND(Inputs!$C$60,Inputs!$C$61),INDEX(Utility_Rates!$C$29:$F$52,HOUR(C7372)+Inputs!$C$69,MATCH(INDEX(Utility_Rates!$K$6:$K$17,MONTH(C7372))&amp;IF(WEEKDAY(C7372,Inputs!$C$76)&lt;=Inputs!$C$74," weekday"," weekend"),Utility_Rates!$C$28:$F$28,Inputs!$C$68)),"")</f>
      </c>
      <c r="H7372" s="34"/>
      <c r="I7372" s="42">
        <f>IF(AND(ISNUMBER(D7372),ISNUMBER(H7372)),D7372*H7372*Inputs!$C$69,"")</f>
      </c>
      <c r="J7372" s="42">
        <f>IF(AND(ISNUMBER(F7372),ISNUMBER(H7372),F7372&gt;=Inputs!$C$68),F7372*H7372*Inputs!$C$69,"")</f>
      </c>
    </row>
    <row r="7373" spans="2:10" ht="15" customHeight="1" x14ac:dyDescent="0.2">
      <c r="B7373" s="39">
        <f t="shared" si="56"/>
      </c>
      <c r="C7373" s="40">
        <f>IF(Inputs!$C$60,Inputs!$C$11+(B7373-Inputs!$C$69)/Inputs!$C$70,"")</f>
      </c>
      <c r="D7373" s="15"/>
      <c r="E7373" s="15"/>
      <c r="F7373" s="11">
        <f t="shared" si="57"/>
      </c>
      <c r="G7373" s="22" cm="1">
        <f t="array" ref="G7373">IF(AND(Inputs!$C$60,Inputs!$C$61),INDEX(Utility_Rates!$C$29:$F$52,HOUR(C7373)+Inputs!$C$69,MATCH(INDEX(Utility_Rates!$K$6:$K$17,MONTH(C7373))&amp;IF(WEEKDAY(C7373,Inputs!$C$76)&lt;=Inputs!$C$74," weekday"," weekend"),Utility_Rates!$C$28:$F$28,Inputs!$C$68)),"")</f>
      </c>
      <c r="H7373" s="34"/>
      <c r="I7373" s="42">
        <f>IF(AND(ISNUMBER(D7373),ISNUMBER(H7373)),D7373*H7373*Inputs!$C$69,"")</f>
      </c>
      <c r="J7373" s="42">
        <f>IF(AND(ISNUMBER(F7373),ISNUMBER(H7373),F7373&gt;=Inputs!$C$68),F7373*H7373*Inputs!$C$69,"")</f>
      </c>
    </row>
    <row r="7374" spans="2:10" ht="15" customHeight="1" x14ac:dyDescent="0.2">
      <c r="B7374" s="39">
        <f t="shared" si="56"/>
      </c>
      <c r="C7374" s="40">
        <f>IF(Inputs!$C$60,Inputs!$C$11+(B7374-Inputs!$C$69)/Inputs!$C$70,"")</f>
      </c>
      <c r="D7374" s="15"/>
      <c r="E7374" s="15"/>
      <c r="F7374" s="11">
        <f t="shared" si="57"/>
      </c>
      <c r="G7374" s="22" cm="1">
        <f t="array" ref="G7374">IF(AND(Inputs!$C$60,Inputs!$C$61),INDEX(Utility_Rates!$C$29:$F$52,HOUR(C7374)+Inputs!$C$69,MATCH(INDEX(Utility_Rates!$K$6:$K$17,MONTH(C7374))&amp;IF(WEEKDAY(C7374,Inputs!$C$76)&lt;=Inputs!$C$74," weekday"," weekend"),Utility_Rates!$C$28:$F$28,Inputs!$C$68)),"")</f>
      </c>
      <c r="H7374" s="34"/>
      <c r="I7374" s="42">
        <f>IF(AND(ISNUMBER(D7374),ISNUMBER(H7374)),D7374*H7374*Inputs!$C$69,"")</f>
      </c>
      <c r="J7374" s="42">
        <f>IF(AND(ISNUMBER(F7374),ISNUMBER(H7374),F7374&gt;=Inputs!$C$68),F7374*H7374*Inputs!$C$69,"")</f>
      </c>
    </row>
    <row r="7375" spans="2:10" ht="15" customHeight="1" x14ac:dyDescent="0.2">
      <c r="B7375" s="39">
        <f t="shared" si="56"/>
      </c>
      <c r="C7375" s="40">
        <f>IF(Inputs!$C$60,Inputs!$C$11+(B7375-Inputs!$C$69)/Inputs!$C$70,"")</f>
      </c>
      <c r="D7375" s="15"/>
      <c r="E7375" s="15"/>
      <c r="F7375" s="11">
        <f t="shared" si="57"/>
      </c>
      <c r="G7375" s="22" cm="1">
        <f t="array" ref="G7375">IF(AND(Inputs!$C$60,Inputs!$C$61),INDEX(Utility_Rates!$C$29:$F$52,HOUR(C7375)+Inputs!$C$69,MATCH(INDEX(Utility_Rates!$K$6:$K$17,MONTH(C7375))&amp;IF(WEEKDAY(C7375,Inputs!$C$76)&lt;=Inputs!$C$74," weekday"," weekend"),Utility_Rates!$C$28:$F$28,Inputs!$C$68)),"")</f>
      </c>
      <c r="H7375" s="34"/>
      <c r="I7375" s="42">
        <f>IF(AND(ISNUMBER(D7375),ISNUMBER(H7375)),D7375*H7375*Inputs!$C$69,"")</f>
      </c>
      <c r="J7375" s="42">
        <f>IF(AND(ISNUMBER(F7375),ISNUMBER(H7375),F7375&gt;=Inputs!$C$68),F7375*H7375*Inputs!$C$69,"")</f>
      </c>
    </row>
    <row r="7376" spans="2:10" ht="15" customHeight="1" x14ac:dyDescent="0.2">
      <c r="B7376" s="39">
        <f t="shared" si="56"/>
      </c>
      <c r="C7376" s="40">
        <f>IF(Inputs!$C$60,Inputs!$C$11+(B7376-Inputs!$C$69)/Inputs!$C$70,"")</f>
      </c>
      <c r="D7376" s="15"/>
      <c r="E7376" s="15"/>
      <c r="F7376" s="11">
        <f t="shared" si="57"/>
      </c>
      <c r="G7376" s="22" cm="1">
        <f t="array" ref="G7376">IF(AND(Inputs!$C$60,Inputs!$C$61),INDEX(Utility_Rates!$C$29:$F$52,HOUR(C7376)+Inputs!$C$69,MATCH(INDEX(Utility_Rates!$K$6:$K$17,MONTH(C7376))&amp;IF(WEEKDAY(C7376,Inputs!$C$76)&lt;=Inputs!$C$74," weekday"," weekend"),Utility_Rates!$C$28:$F$28,Inputs!$C$68)),"")</f>
      </c>
      <c r="H7376" s="34"/>
      <c r="I7376" s="42">
        <f>IF(AND(ISNUMBER(D7376),ISNUMBER(H7376)),D7376*H7376*Inputs!$C$69,"")</f>
      </c>
      <c r="J7376" s="42">
        <f>IF(AND(ISNUMBER(F7376),ISNUMBER(H7376),F7376&gt;=Inputs!$C$68),F7376*H7376*Inputs!$C$69,"")</f>
      </c>
    </row>
    <row r="7377" spans="2:10" ht="15" customHeight="1" x14ac:dyDescent="0.2">
      <c r="B7377" s="39">
        <f t="shared" si="56"/>
      </c>
      <c r="C7377" s="40">
        <f>IF(Inputs!$C$60,Inputs!$C$11+(B7377-Inputs!$C$69)/Inputs!$C$70,"")</f>
      </c>
      <c r="D7377" s="15"/>
      <c r="E7377" s="15"/>
      <c r="F7377" s="11">
        <f t="shared" si="57"/>
      </c>
      <c r="G7377" s="22" cm="1">
        <f t="array" ref="G7377">IF(AND(Inputs!$C$60,Inputs!$C$61),INDEX(Utility_Rates!$C$29:$F$52,HOUR(C7377)+Inputs!$C$69,MATCH(INDEX(Utility_Rates!$K$6:$K$17,MONTH(C7377))&amp;IF(WEEKDAY(C7377,Inputs!$C$76)&lt;=Inputs!$C$74," weekday"," weekend"),Utility_Rates!$C$28:$F$28,Inputs!$C$68)),"")</f>
      </c>
      <c r="H7377" s="34"/>
      <c r="I7377" s="42">
        <f>IF(AND(ISNUMBER(D7377),ISNUMBER(H7377)),D7377*H7377*Inputs!$C$69,"")</f>
      </c>
      <c r="J7377" s="42">
        <f>IF(AND(ISNUMBER(F7377),ISNUMBER(H7377),F7377&gt;=Inputs!$C$68),F7377*H7377*Inputs!$C$69,"")</f>
      </c>
    </row>
    <row r="7378" spans="2:10" ht="15" customHeight="1" x14ac:dyDescent="0.2">
      <c r="B7378" s="39">
        <f t="shared" si="56"/>
      </c>
      <c r="C7378" s="40">
        <f>IF(Inputs!$C$60,Inputs!$C$11+(B7378-Inputs!$C$69)/Inputs!$C$70,"")</f>
      </c>
      <c r="D7378" s="15"/>
      <c r="E7378" s="15"/>
      <c r="F7378" s="11">
        <f t="shared" si="57"/>
      </c>
      <c r="G7378" s="22" cm="1">
        <f t="array" ref="G7378">IF(AND(Inputs!$C$60,Inputs!$C$61),INDEX(Utility_Rates!$C$29:$F$52,HOUR(C7378)+Inputs!$C$69,MATCH(INDEX(Utility_Rates!$K$6:$K$17,MONTH(C7378))&amp;IF(WEEKDAY(C7378,Inputs!$C$76)&lt;=Inputs!$C$74," weekday"," weekend"),Utility_Rates!$C$28:$F$28,Inputs!$C$68)),"")</f>
      </c>
      <c r="H7378" s="34"/>
      <c r="I7378" s="42">
        <f>IF(AND(ISNUMBER(D7378),ISNUMBER(H7378)),D7378*H7378*Inputs!$C$69,"")</f>
      </c>
      <c r="J7378" s="42">
        <f>IF(AND(ISNUMBER(F7378),ISNUMBER(H7378),F7378&gt;=Inputs!$C$68),F7378*H7378*Inputs!$C$69,"")</f>
      </c>
    </row>
    <row r="7379" spans="2:10" ht="15" customHeight="1" x14ac:dyDescent="0.2">
      <c r="B7379" s="39">
        <f t="shared" si="56"/>
      </c>
      <c r="C7379" s="40">
        <f>IF(Inputs!$C$60,Inputs!$C$11+(B7379-Inputs!$C$69)/Inputs!$C$70,"")</f>
      </c>
      <c r="D7379" s="15"/>
      <c r="E7379" s="15"/>
      <c r="F7379" s="11">
        <f t="shared" si="57"/>
      </c>
      <c r="G7379" s="22" cm="1">
        <f t="array" ref="G7379">IF(AND(Inputs!$C$60,Inputs!$C$61),INDEX(Utility_Rates!$C$29:$F$52,HOUR(C7379)+Inputs!$C$69,MATCH(INDEX(Utility_Rates!$K$6:$K$17,MONTH(C7379))&amp;IF(WEEKDAY(C7379,Inputs!$C$76)&lt;=Inputs!$C$74," weekday"," weekend"),Utility_Rates!$C$28:$F$28,Inputs!$C$68)),"")</f>
      </c>
      <c r="H7379" s="34"/>
      <c r="I7379" s="42">
        <f>IF(AND(ISNUMBER(D7379),ISNUMBER(H7379)),D7379*H7379*Inputs!$C$69,"")</f>
      </c>
      <c r="J7379" s="42">
        <f>IF(AND(ISNUMBER(F7379),ISNUMBER(H7379),F7379&gt;=Inputs!$C$68),F7379*H7379*Inputs!$C$69,"")</f>
      </c>
    </row>
    <row r="7380" spans="2:10" ht="15" customHeight="1" x14ac:dyDescent="0.2">
      <c r="B7380" s="39">
        <f t="shared" si="56"/>
      </c>
      <c r="C7380" s="40">
        <f>IF(Inputs!$C$60,Inputs!$C$11+(B7380-Inputs!$C$69)/Inputs!$C$70,"")</f>
      </c>
      <c r="D7380" s="15"/>
      <c r="E7380" s="15"/>
      <c r="F7380" s="11">
        <f t="shared" si="57"/>
      </c>
      <c r="G7380" s="22" cm="1">
        <f t="array" ref="G7380">IF(AND(Inputs!$C$60,Inputs!$C$61),INDEX(Utility_Rates!$C$29:$F$52,HOUR(C7380)+Inputs!$C$69,MATCH(INDEX(Utility_Rates!$K$6:$K$17,MONTH(C7380))&amp;IF(WEEKDAY(C7380,Inputs!$C$76)&lt;=Inputs!$C$74," weekday"," weekend"),Utility_Rates!$C$28:$F$28,Inputs!$C$68)),"")</f>
      </c>
      <c r="H7380" s="34"/>
      <c r="I7380" s="42">
        <f>IF(AND(ISNUMBER(D7380),ISNUMBER(H7380)),D7380*H7380*Inputs!$C$69,"")</f>
      </c>
      <c r="J7380" s="42">
        <f>IF(AND(ISNUMBER(F7380),ISNUMBER(H7380),F7380&gt;=Inputs!$C$68),F7380*H7380*Inputs!$C$69,"")</f>
      </c>
    </row>
    <row r="7381" spans="2:10" ht="15" customHeight="1" x14ac:dyDescent="0.2">
      <c r="B7381" s="39">
        <f t="shared" si="56"/>
      </c>
      <c r="C7381" s="40">
        <f>IF(Inputs!$C$60,Inputs!$C$11+(B7381-Inputs!$C$69)/Inputs!$C$70,"")</f>
      </c>
      <c r="D7381" s="15"/>
      <c r="E7381" s="15"/>
      <c r="F7381" s="11">
        <f t="shared" si="57"/>
      </c>
      <c r="G7381" s="22" cm="1">
        <f t="array" ref="G7381">IF(AND(Inputs!$C$60,Inputs!$C$61),INDEX(Utility_Rates!$C$29:$F$52,HOUR(C7381)+Inputs!$C$69,MATCH(INDEX(Utility_Rates!$K$6:$K$17,MONTH(C7381))&amp;IF(WEEKDAY(C7381,Inputs!$C$76)&lt;=Inputs!$C$74," weekday"," weekend"),Utility_Rates!$C$28:$F$28,Inputs!$C$68)),"")</f>
      </c>
      <c r="H7381" s="34"/>
      <c r="I7381" s="42">
        <f>IF(AND(ISNUMBER(D7381),ISNUMBER(H7381)),D7381*H7381*Inputs!$C$69,"")</f>
      </c>
      <c r="J7381" s="42">
        <f>IF(AND(ISNUMBER(F7381),ISNUMBER(H7381),F7381&gt;=Inputs!$C$68),F7381*H7381*Inputs!$C$69,"")</f>
      </c>
    </row>
    <row r="7382" spans="2:10" ht="15" customHeight="1" x14ac:dyDescent="0.2">
      <c r="B7382" s="39">
        <f t="shared" si="56"/>
      </c>
      <c r="C7382" s="40">
        <f>IF(Inputs!$C$60,Inputs!$C$11+(B7382-Inputs!$C$69)/Inputs!$C$70,"")</f>
      </c>
      <c r="D7382" s="15"/>
      <c r="E7382" s="15"/>
      <c r="F7382" s="11">
        <f t="shared" si="57"/>
      </c>
      <c r="G7382" s="22" cm="1">
        <f t="array" ref="G7382">IF(AND(Inputs!$C$60,Inputs!$C$61),INDEX(Utility_Rates!$C$29:$F$52,HOUR(C7382)+Inputs!$C$69,MATCH(INDEX(Utility_Rates!$K$6:$K$17,MONTH(C7382))&amp;IF(WEEKDAY(C7382,Inputs!$C$76)&lt;=Inputs!$C$74," weekday"," weekend"),Utility_Rates!$C$28:$F$28,Inputs!$C$68)),"")</f>
      </c>
      <c r="H7382" s="34"/>
      <c r="I7382" s="42">
        <f>IF(AND(ISNUMBER(D7382),ISNUMBER(H7382)),D7382*H7382*Inputs!$C$69,"")</f>
      </c>
      <c r="J7382" s="42">
        <f>IF(AND(ISNUMBER(F7382),ISNUMBER(H7382),F7382&gt;=Inputs!$C$68),F7382*H7382*Inputs!$C$69,"")</f>
      </c>
    </row>
    <row r="7383" spans="2:10" ht="15" customHeight="1" x14ac:dyDescent="0.2">
      <c r="B7383" s="39">
        <f t="shared" si="56"/>
      </c>
      <c r="C7383" s="40">
        <f>IF(Inputs!$C$60,Inputs!$C$11+(B7383-Inputs!$C$69)/Inputs!$C$70,"")</f>
      </c>
      <c r="D7383" s="15"/>
      <c r="E7383" s="15"/>
      <c r="F7383" s="11">
        <f t="shared" si="57"/>
      </c>
      <c r="G7383" s="22" cm="1">
        <f t="array" ref="G7383">IF(AND(Inputs!$C$60,Inputs!$C$61),INDEX(Utility_Rates!$C$29:$F$52,HOUR(C7383)+Inputs!$C$69,MATCH(INDEX(Utility_Rates!$K$6:$K$17,MONTH(C7383))&amp;IF(WEEKDAY(C7383,Inputs!$C$76)&lt;=Inputs!$C$74," weekday"," weekend"),Utility_Rates!$C$28:$F$28,Inputs!$C$68)),"")</f>
      </c>
      <c r="H7383" s="34"/>
      <c r="I7383" s="42">
        <f>IF(AND(ISNUMBER(D7383),ISNUMBER(H7383)),D7383*H7383*Inputs!$C$69,"")</f>
      </c>
      <c r="J7383" s="42">
        <f>IF(AND(ISNUMBER(F7383),ISNUMBER(H7383),F7383&gt;=Inputs!$C$68),F7383*H7383*Inputs!$C$69,"")</f>
      </c>
    </row>
    <row r="7384" spans="2:10" ht="15" customHeight="1" x14ac:dyDescent="0.2">
      <c r="B7384" s="39">
        <f t="shared" si="56"/>
      </c>
      <c r="C7384" s="40">
        <f>IF(Inputs!$C$60,Inputs!$C$11+(B7384-Inputs!$C$69)/Inputs!$C$70,"")</f>
      </c>
      <c r="D7384" s="15"/>
      <c r="E7384" s="15"/>
      <c r="F7384" s="11">
        <f t="shared" si="57"/>
      </c>
      <c r="G7384" s="22" cm="1">
        <f t="array" ref="G7384">IF(AND(Inputs!$C$60,Inputs!$C$61),INDEX(Utility_Rates!$C$29:$F$52,HOUR(C7384)+Inputs!$C$69,MATCH(INDEX(Utility_Rates!$K$6:$K$17,MONTH(C7384))&amp;IF(WEEKDAY(C7384,Inputs!$C$76)&lt;=Inputs!$C$74," weekday"," weekend"),Utility_Rates!$C$28:$F$28,Inputs!$C$68)),"")</f>
      </c>
      <c r="H7384" s="34"/>
      <c r="I7384" s="42">
        <f>IF(AND(ISNUMBER(D7384),ISNUMBER(H7384)),D7384*H7384*Inputs!$C$69,"")</f>
      </c>
      <c r="J7384" s="42">
        <f>IF(AND(ISNUMBER(F7384),ISNUMBER(H7384),F7384&gt;=Inputs!$C$68),F7384*H7384*Inputs!$C$69,"")</f>
      </c>
    </row>
    <row r="7385" spans="2:10" ht="15" customHeight="1" x14ac:dyDescent="0.2">
      <c r="B7385" s="39">
        <f t="shared" si="56"/>
      </c>
      <c r="C7385" s="40">
        <f>IF(Inputs!$C$60,Inputs!$C$11+(B7385-Inputs!$C$69)/Inputs!$C$70,"")</f>
      </c>
      <c r="D7385" s="15"/>
      <c r="E7385" s="15"/>
      <c r="F7385" s="11">
        <f t="shared" si="57"/>
      </c>
      <c r="G7385" s="22" cm="1">
        <f t="array" ref="G7385">IF(AND(Inputs!$C$60,Inputs!$C$61),INDEX(Utility_Rates!$C$29:$F$52,HOUR(C7385)+Inputs!$C$69,MATCH(INDEX(Utility_Rates!$K$6:$K$17,MONTH(C7385))&amp;IF(WEEKDAY(C7385,Inputs!$C$76)&lt;=Inputs!$C$74," weekday"," weekend"),Utility_Rates!$C$28:$F$28,Inputs!$C$68)),"")</f>
      </c>
      <c r="H7385" s="34"/>
      <c r="I7385" s="42">
        <f>IF(AND(ISNUMBER(D7385),ISNUMBER(H7385)),D7385*H7385*Inputs!$C$69,"")</f>
      </c>
      <c r="J7385" s="42">
        <f>IF(AND(ISNUMBER(F7385),ISNUMBER(H7385),F7385&gt;=Inputs!$C$68),F7385*H7385*Inputs!$C$69,"")</f>
      </c>
    </row>
    <row r="7386" spans="2:10" ht="15" customHeight="1" x14ac:dyDescent="0.2">
      <c r="B7386" s="39">
        <f t="shared" si="56"/>
      </c>
      <c r="C7386" s="40">
        <f>IF(Inputs!$C$60,Inputs!$C$11+(B7386-Inputs!$C$69)/Inputs!$C$70,"")</f>
      </c>
      <c r="D7386" s="15"/>
      <c r="E7386" s="15"/>
      <c r="F7386" s="11">
        <f t="shared" si="57"/>
      </c>
      <c r="G7386" s="22" cm="1">
        <f t="array" ref="G7386">IF(AND(Inputs!$C$60,Inputs!$C$61),INDEX(Utility_Rates!$C$29:$F$52,HOUR(C7386)+Inputs!$C$69,MATCH(INDEX(Utility_Rates!$K$6:$K$17,MONTH(C7386))&amp;IF(WEEKDAY(C7386,Inputs!$C$76)&lt;=Inputs!$C$74," weekday"," weekend"),Utility_Rates!$C$28:$F$28,Inputs!$C$68)),"")</f>
      </c>
      <c r="H7386" s="34"/>
      <c r="I7386" s="42">
        <f>IF(AND(ISNUMBER(D7386),ISNUMBER(H7386)),D7386*H7386*Inputs!$C$69,"")</f>
      </c>
      <c r="J7386" s="42">
        <f>IF(AND(ISNUMBER(F7386),ISNUMBER(H7386),F7386&gt;=Inputs!$C$68),F7386*H7386*Inputs!$C$69,"")</f>
      </c>
    </row>
    <row r="7387" spans="2:10" ht="15" customHeight="1" x14ac:dyDescent="0.2">
      <c r="B7387" s="39">
        <f t="shared" si="56"/>
      </c>
      <c r="C7387" s="40">
        <f>IF(Inputs!$C$60,Inputs!$C$11+(B7387-Inputs!$C$69)/Inputs!$C$70,"")</f>
      </c>
      <c r="D7387" s="15"/>
      <c r="E7387" s="15"/>
      <c r="F7387" s="11">
        <f t="shared" si="57"/>
      </c>
      <c r="G7387" s="22" cm="1">
        <f t="array" ref="G7387">IF(AND(Inputs!$C$60,Inputs!$C$61),INDEX(Utility_Rates!$C$29:$F$52,HOUR(C7387)+Inputs!$C$69,MATCH(INDEX(Utility_Rates!$K$6:$K$17,MONTH(C7387))&amp;IF(WEEKDAY(C7387,Inputs!$C$76)&lt;=Inputs!$C$74," weekday"," weekend"),Utility_Rates!$C$28:$F$28,Inputs!$C$68)),"")</f>
      </c>
      <c r="H7387" s="34"/>
      <c r="I7387" s="42">
        <f>IF(AND(ISNUMBER(D7387),ISNUMBER(H7387)),D7387*H7387*Inputs!$C$69,"")</f>
      </c>
      <c r="J7387" s="42">
        <f>IF(AND(ISNUMBER(F7387),ISNUMBER(H7387),F7387&gt;=Inputs!$C$68),F7387*H7387*Inputs!$C$69,"")</f>
      </c>
    </row>
    <row r="7388" spans="2:10" ht="15" customHeight="1" x14ac:dyDescent="0.2">
      <c r="B7388" s="39">
        <f t="shared" si="56"/>
      </c>
      <c r="C7388" s="40">
        <f>IF(Inputs!$C$60,Inputs!$C$11+(B7388-Inputs!$C$69)/Inputs!$C$70,"")</f>
      </c>
      <c r="D7388" s="15"/>
      <c r="E7388" s="15"/>
      <c r="F7388" s="11">
        <f t="shared" si="57"/>
      </c>
      <c r="G7388" s="22" cm="1">
        <f t="array" ref="G7388">IF(AND(Inputs!$C$60,Inputs!$C$61),INDEX(Utility_Rates!$C$29:$F$52,HOUR(C7388)+Inputs!$C$69,MATCH(INDEX(Utility_Rates!$K$6:$K$17,MONTH(C7388))&amp;IF(WEEKDAY(C7388,Inputs!$C$76)&lt;=Inputs!$C$74," weekday"," weekend"),Utility_Rates!$C$28:$F$28,Inputs!$C$68)),"")</f>
      </c>
      <c r="H7388" s="34"/>
      <c r="I7388" s="42">
        <f>IF(AND(ISNUMBER(D7388),ISNUMBER(H7388)),D7388*H7388*Inputs!$C$69,"")</f>
      </c>
      <c r="J7388" s="42">
        <f>IF(AND(ISNUMBER(F7388),ISNUMBER(H7388),F7388&gt;=Inputs!$C$68),F7388*H7388*Inputs!$C$69,"")</f>
      </c>
    </row>
    <row r="7389" spans="2:10" ht="15" customHeight="1" x14ac:dyDescent="0.2">
      <c r="B7389" s="39">
        <f t="shared" si="56"/>
      </c>
      <c r="C7389" s="40">
        <f>IF(Inputs!$C$60,Inputs!$C$11+(B7389-Inputs!$C$69)/Inputs!$C$70,"")</f>
      </c>
      <c r="D7389" s="15"/>
      <c r="E7389" s="15"/>
      <c r="F7389" s="11">
        <f t="shared" si="57"/>
      </c>
      <c r="G7389" s="22" cm="1">
        <f t="array" ref="G7389">IF(AND(Inputs!$C$60,Inputs!$C$61),INDEX(Utility_Rates!$C$29:$F$52,HOUR(C7389)+Inputs!$C$69,MATCH(INDEX(Utility_Rates!$K$6:$K$17,MONTH(C7389))&amp;IF(WEEKDAY(C7389,Inputs!$C$76)&lt;=Inputs!$C$74," weekday"," weekend"),Utility_Rates!$C$28:$F$28,Inputs!$C$68)),"")</f>
      </c>
      <c r="H7389" s="34"/>
      <c r="I7389" s="42">
        <f>IF(AND(ISNUMBER(D7389),ISNUMBER(H7389)),D7389*H7389*Inputs!$C$69,"")</f>
      </c>
      <c r="J7389" s="42">
        <f>IF(AND(ISNUMBER(F7389),ISNUMBER(H7389),F7389&gt;=Inputs!$C$68),F7389*H7389*Inputs!$C$69,"")</f>
      </c>
    </row>
    <row r="7390" spans="2:10" ht="15" customHeight="1" x14ac:dyDescent="0.2">
      <c r="B7390" s="39">
        <f t="shared" si="56"/>
      </c>
      <c r="C7390" s="40">
        <f>IF(Inputs!$C$60,Inputs!$C$11+(B7390-Inputs!$C$69)/Inputs!$C$70,"")</f>
      </c>
      <c r="D7390" s="15"/>
      <c r="E7390" s="15"/>
      <c r="F7390" s="11">
        <f t="shared" si="57"/>
      </c>
      <c r="G7390" s="22" cm="1">
        <f t="array" ref="G7390">IF(AND(Inputs!$C$60,Inputs!$C$61),INDEX(Utility_Rates!$C$29:$F$52,HOUR(C7390)+Inputs!$C$69,MATCH(INDEX(Utility_Rates!$K$6:$K$17,MONTH(C7390))&amp;IF(WEEKDAY(C7390,Inputs!$C$76)&lt;=Inputs!$C$74," weekday"," weekend"),Utility_Rates!$C$28:$F$28,Inputs!$C$68)),"")</f>
      </c>
      <c r="H7390" s="34"/>
      <c r="I7390" s="42">
        <f>IF(AND(ISNUMBER(D7390),ISNUMBER(H7390)),D7390*H7390*Inputs!$C$69,"")</f>
      </c>
      <c r="J7390" s="42">
        <f>IF(AND(ISNUMBER(F7390),ISNUMBER(H7390),F7390&gt;=Inputs!$C$68),F7390*H7390*Inputs!$C$69,"")</f>
      </c>
    </row>
    <row r="7391" spans="2:10" ht="15" customHeight="1" x14ac:dyDescent="0.2">
      <c r="B7391" s="39">
        <f t="shared" si="56"/>
      </c>
      <c r="C7391" s="40">
        <f>IF(Inputs!$C$60,Inputs!$C$11+(B7391-Inputs!$C$69)/Inputs!$C$70,"")</f>
      </c>
      <c r="D7391" s="15"/>
      <c r="E7391" s="15"/>
      <c r="F7391" s="11">
        <f t="shared" si="57"/>
      </c>
      <c r="G7391" s="22" cm="1">
        <f t="array" ref="G7391">IF(AND(Inputs!$C$60,Inputs!$C$61),INDEX(Utility_Rates!$C$29:$F$52,HOUR(C7391)+Inputs!$C$69,MATCH(INDEX(Utility_Rates!$K$6:$K$17,MONTH(C7391))&amp;IF(WEEKDAY(C7391,Inputs!$C$76)&lt;=Inputs!$C$74," weekday"," weekend"),Utility_Rates!$C$28:$F$28,Inputs!$C$68)),"")</f>
      </c>
      <c r="H7391" s="34"/>
      <c r="I7391" s="42">
        <f>IF(AND(ISNUMBER(D7391),ISNUMBER(H7391)),D7391*H7391*Inputs!$C$69,"")</f>
      </c>
      <c r="J7391" s="42">
        <f>IF(AND(ISNUMBER(F7391),ISNUMBER(H7391),F7391&gt;=Inputs!$C$68),F7391*H7391*Inputs!$C$69,"")</f>
      </c>
    </row>
    <row r="7392" spans="2:10" ht="15" customHeight="1" x14ac:dyDescent="0.2">
      <c r="B7392" s="39">
        <f t="shared" si="56"/>
      </c>
      <c r="C7392" s="40">
        <f>IF(Inputs!$C$60,Inputs!$C$11+(B7392-Inputs!$C$69)/Inputs!$C$70,"")</f>
      </c>
      <c r="D7392" s="15"/>
      <c r="E7392" s="15"/>
      <c r="F7392" s="11">
        <f t="shared" si="57"/>
      </c>
      <c r="G7392" s="22" cm="1">
        <f t="array" ref="G7392">IF(AND(Inputs!$C$60,Inputs!$C$61),INDEX(Utility_Rates!$C$29:$F$52,HOUR(C7392)+Inputs!$C$69,MATCH(INDEX(Utility_Rates!$K$6:$K$17,MONTH(C7392))&amp;IF(WEEKDAY(C7392,Inputs!$C$76)&lt;=Inputs!$C$74," weekday"," weekend"),Utility_Rates!$C$28:$F$28,Inputs!$C$68)),"")</f>
      </c>
      <c r="H7392" s="34"/>
      <c r="I7392" s="42">
        <f>IF(AND(ISNUMBER(D7392),ISNUMBER(H7392)),D7392*H7392*Inputs!$C$69,"")</f>
      </c>
      <c r="J7392" s="42">
        <f>IF(AND(ISNUMBER(F7392),ISNUMBER(H7392),F7392&gt;=Inputs!$C$68),F7392*H7392*Inputs!$C$69,"")</f>
      </c>
    </row>
    <row r="7393" spans="2:10" ht="15" customHeight="1" x14ac:dyDescent="0.2">
      <c r="B7393" s="39">
        <f t="shared" si="56"/>
      </c>
      <c r="C7393" s="40">
        <f>IF(Inputs!$C$60,Inputs!$C$11+(B7393-Inputs!$C$69)/Inputs!$C$70,"")</f>
      </c>
      <c r="D7393" s="15"/>
      <c r="E7393" s="15"/>
      <c r="F7393" s="11">
        <f t="shared" si="57"/>
      </c>
      <c r="G7393" s="22" cm="1">
        <f t="array" ref="G7393">IF(AND(Inputs!$C$60,Inputs!$C$61),INDEX(Utility_Rates!$C$29:$F$52,HOUR(C7393)+Inputs!$C$69,MATCH(INDEX(Utility_Rates!$K$6:$K$17,MONTH(C7393))&amp;IF(WEEKDAY(C7393,Inputs!$C$76)&lt;=Inputs!$C$74," weekday"," weekend"),Utility_Rates!$C$28:$F$28,Inputs!$C$68)),"")</f>
      </c>
      <c r="H7393" s="34"/>
      <c r="I7393" s="42">
        <f>IF(AND(ISNUMBER(D7393),ISNUMBER(H7393)),D7393*H7393*Inputs!$C$69,"")</f>
      </c>
      <c r="J7393" s="42">
        <f>IF(AND(ISNUMBER(F7393),ISNUMBER(H7393),F7393&gt;=Inputs!$C$68),F7393*H7393*Inputs!$C$69,"")</f>
      </c>
    </row>
    <row r="7394" spans="2:10" ht="15" customHeight="1" x14ac:dyDescent="0.2">
      <c r="B7394" s="39">
        <f t="shared" si="56"/>
      </c>
      <c r="C7394" s="40">
        <f>IF(Inputs!$C$60,Inputs!$C$11+(B7394-Inputs!$C$69)/Inputs!$C$70,"")</f>
      </c>
      <c r="D7394" s="15"/>
      <c r="E7394" s="15"/>
      <c r="F7394" s="11">
        <f t="shared" si="57"/>
      </c>
      <c r="G7394" s="22" cm="1">
        <f t="array" ref="G7394">IF(AND(Inputs!$C$60,Inputs!$C$61),INDEX(Utility_Rates!$C$29:$F$52,HOUR(C7394)+Inputs!$C$69,MATCH(INDEX(Utility_Rates!$K$6:$K$17,MONTH(C7394))&amp;IF(WEEKDAY(C7394,Inputs!$C$76)&lt;=Inputs!$C$74," weekday"," weekend"),Utility_Rates!$C$28:$F$28,Inputs!$C$68)),"")</f>
      </c>
      <c r="H7394" s="34"/>
      <c r="I7394" s="42">
        <f>IF(AND(ISNUMBER(D7394),ISNUMBER(H7394)),D7394*H7394*Inputs!$C$69,"")</f>
      </c>
      <c r="J7394" s="42">
        <f>IF(AND(ISNUMBER(F7394),ISNUMBER(H7394),F7394&gt;=Inputs!$C$68),F7394*H7394*Inputs!$C$69,"")</f>
      </c>
    </row>
    <row r="7395" spans="2:10" ht="15" customHeight="1" x14ac:dyDescent="0.2">
      <c r="B7395" s="39">
        <f t="shared" si="56"/>
      </c>
      <c r="C7395" s="40">
        <f>IF(Inputs!$C$60,Inputs!$C$11+(B7395-Inputs!$C$69)/Inputs!$C$70,"")</f>
      </c>
      <c r="D7395" s="15"/>
      <c r="E7395" s="15"/>
      <c r="F7395" s="11">
        <f t="shared" si="57"/>
      </c>
      <c r="G7395" s="22" cm="1">
        <f t="array" ref="G7395">IF(AND(Inputs!$C$60,Inputs!$C$61),INDEX(Utility_Rates!$C$29:$F$52,HOUR(C7395)+Inputs!$C$69,MATCH(INDEX(Utility_Rates!$K$6:$K$17,MONTH(C7395))&amp;IF(WEEKDAY(C7395,Inputs!$C$76)&lt;=Inputs!$C$74," weekday"," weekend"),Utility_Rates!$C$28:$F$28,Inputs!$C$68)),"")</f>
      </c>
      <c r="H7395" s="34"/>
      <c r="I7395" s="42">
        <f>IF(AND(ISNUMBER(D7395),ISNUMBER(H7395)),D7395*H7395*Inputs!$C$69,"")</f>
      </c>
      <c r="J7395" s="42">
        <f>IF(AND(ISNUMBER(F7395),ISNUMBER(H7395),F7395&gt;=Inputs!$C$68),F7395*H7395*Inputs!$C$69,"")</f>
      </c>
    </row>
    <row r="7396" spans="2:10" ht="15" customHeight="1" x14ac:dyDescent="0.2">
      <c r="B7396" s="39">
        <f t="shared" si="56"/>
      </c>
      <c r="C7396" s="40">
        <f>IF(Inputs!$C$60,Inputs!$C$11+(B7396-Inputs!$C$69)/Inputs!$C$70,"")</f>
      </c>
      <c r="D7396" s="15"/>
      <c r="E7396" s="15"/>
      <c r="F7396" s="11">
        <f t="shared" si="57"/>
      </c>
      <c r="G7396" s="22" cm="1">
        <f t="array" ref="G7396">IF(AND(Inputs!$C$60,Inputs!$C$61),INDEX(Utility_Rates!$C$29:$F$52,HOUR(C7396)+Inputs!$C$69,MATCH(INDEX(Utility_Rates!$K$6:$K$17,MONTH(C7396))&amp;IF(WEEKDAY(C7396,Inputs!$C$76)&lt;=Inputs!$C$74," weekday"," weekend"),Utility_Rates!$C$28:$F$28,Inputs!$C$68)),"")</f>
      </c>
      <c r="H7396" s="34"/>
      <c r="I7396" s="42">
        <f>IF(AND(ISNUMBER(D7396),ISNUMBER(H7396)),D7396*H7396*Inputs!$C$69,"")</f>
      </c>
      <c r="J7396" s="42">
        <f>IF(AND(ISNUMBER(F7396),ISNUMBER(H7396),F7396&gt;=Inputs!$C$68),F7396*H7396*Inputs!$C$69,"")</f>
      </c>
    </row>
    <row r="7397" spans="2:10" ht="15" customHeight="1" x14ac:dyDescent="0.2">
      <c r="B7397" s="39">
        <f t="shared" si="56"/>
      </c>
      <c r="C7397" s="40">
        <f>IF(Inputs!$C$60,Inputs!$C$11+(B7397-Inputs!$C$69)/Inputs!$C$70,"")</f>
      </c>
      <c r="D7397" s="15"/>
      <c r="E7397" s="15"/>
      <c r="F7397" s="11">
        <f t="shared" si="57"/>
      </c>
      <c r="G7397" s="22" cm="1">
        <f t="array" ref="G7397">IF(AND(Inputs!$C$60,Inputs!$C$61),INDEX(Utility_Rates!$C$29:$F$52,HOUR(C7397)+Inputs!$C$69,MATCH(INDEX(Utility_Rates!$K$6:$K$17,MONTH(C7397))&amp;IF(WEEKDAY(C7397,Inputs!$C$76)&lt;=Inputs!$C$74," weekday"," weekend"),Utility_Rates!$C$28:$F$28,Inputs!$C$68)),"")</f>
      </c>
      <c r="H7397" s="34"/>
      <c r="I7397" s="42">
        <f>IF(AND(ISNUMBER(D7397),ISNUMBER(H7397)),D7397*H7397*Inputs!$C$69,"")</f>
      </c>
      <c r="J7397" s="42">
        <f>IF(AND(ISNUMBER(F7397),ISNUMBER(H7397),F7397&gt;=Inputs!$C$68),F7397*H7397*Inputs!$C$69,"")</f>
      </c>
    </row>
    <row r="7398" spans="2:10" ht="15" customHeight="1" x14ac:dyDescent="0.2">
      <c r="B7398" s="39">
        <f t="shared" si="56"/>
      </c>
      <c r="C7398" s="40">
        <f>IF(Inputs!$C$60,Inputs!$C$11+(B7398-Inputs!$C$69)/Inputs!$C$70,"")</f>
      </c>
      <c r="D7398" s="15"/>
      <c r="E7398" s="15"/>
      <c r="F7398" s="11">
        <f t="shared" si="57"/>
      </c>
      <c r="G7398" s="22" cm="1">
        <f t="array" ref="G7398">IF(AND(Inputs!$C$60,Inputs!$C$61),INDEX(Utility_Rates!$C$29:$F$52,HOUR(C7398)+Inputs!$C$69,MATCH(INDEX(Utility_Rates!$K$6:$K$17,MONTH(C7398))&amp;IF(WEEKDAY(C7398,Inputs!$C$76)&lt;=Inputs!$C$74," weekday"," weekend"),Utility_Rates!$C$28:$F$28,Inputs!$C$68)),"")</f>
      </c>
      <c r="H7398" s="34"/>
      <c r="I7398" s="42">
        <f>IF(AND(ISNUMBER(D7398),ISNUMBER(H7398)),D7398*H7398*Inputs!$C$69,"")</f>
      </c>
      <c r="J7398" s="42">
        <f>IF(AND(ISNUMBER(F7398),ISNUMBER(H7398),F7398&gt;=Inputs!$C$68),F7398*H7398*Inputs!$C$69,"")</f>
      </c>
    </row>
    <row r="7399" spans="2:10" ht="15" customHeight="1" x14ac:dyDescent="0.2">
      <c r="B7399" s="39">
        <f t="shared" si="56"/>
      </c>
      <c r="C7399" s="40">
        <f>IF(Inputs!$C$60,Inputs!$C$11+(B7399-Inputs!$C$69)/Inputs!$C$70,"")</f>
      </c>
      <c r="D7399" s="15"/>
      <c r="E7399" s="15"/>
      <c r="F7399" s="11">
        <f t="shared" si="57"/>
      </c>
      <c r="G7399" s="22" cm="1">
        <f t="array" ref="G7399">IF(AND(Inputs!$C$60,Inputs!$C$61),INDEX(Utility_Rates!$C$29:$F$52,HOUR(C7399)+Inputs!$C$69,MATCH(INDEX(Utility_Rates!$K$6:$K$17,MONTH(C7399))&amp;IF(WEEKDAY(C7399,Inputs!$C$76)&lt;=Inputs!$C$74," weekday"," weekend"),Utility_Rates!$C$28:$F$28,Inputs!$C$68)),"")</f>
      </c>
      <c r="H7399" s="34"/>
      <c r="I7399" s="42">
        <f>IF(AND(ISNUMBER(D7399),ISNUMBER(H7399)),D7399*H7399*Inputs!$C$69,"")</f>
      </c>
      <c r="J7399" s="42">
        <f>IF(AND(ISNUMBER(F7399),ISNUMBER(H7399),F7399&gt;=Inputs!$C$68),F7399*H7399*Inputs!$C$69,"")</f>
      </c>
    </row>
    <row r="7400" spans="2:10" ht="15" customHeight="1" x14ac:dyDescent="0.2">
      <c r="B7400" s="39">
        <f t="shared" si="56"/>
      </c>
      <c r="C7400" s="40">
        <f>IF(Inputs!$C$60,Inputs!$C$11+(B7400-Inputs!$C$69)/Inputs!$C$70,"")</f>
      </c>
      <c r="D7400" s="15"/>
      <c r="E7400" s="15"/>
      <c r="F7400" s="11">
        <f t="shared" si="57"/>
      </c>
      <c r="G7400" s="22" cm="1">
        <f t="array" ref="G7400">IF(AND(Inputs!$C$60,Inputs!$C$61),INDEX(Utility_Rates!$C$29:$F$52,HOUR(C7400)+Inputs!$C$69,MATCH(INDEX(Utility_Rates!$K$6:$K$17,MONTH(C7400))&amp;IF(WEEKDAY(C7400,Inputs!$C$76)&lt;=Inputs!$C$74," weekday"," weekend"),Utility_Rates!$C$28:$F$28,Inputs!$C$68)),"")</f>
      </c>
      <c r="H7400" s="34"/>
      <c r="I7400" s="42">
        <f>IF(AND(ISNUMBER(D7400),ISNUMBER(H7400)),D7400*H7400*Inputs!$C$69,"")</f>
      </c>
      <c r="J7400" s="42">
        <f>IF(AND(ISNUMBER(F7400),ISNUMBER(H7400),F7400&gt;=Inputs!$C$68),F7400*H7400*Inputs!$C$69,"")</f>
      </c>
    </row>
    <row r="7401" spans="2:10" ht="15" customHeight="1" x14ac:dyDescent="0.2">
      <c r="B7401" s="39">
        <f t="shared" ref="B7401:B7655" si="58">ROW()-ROW($B$5)</f>
      </c>
      <c r="C7401" s="40">
        <f>IF(Inputs!$C$60,Inputs!$C$11+(B7401-Inputs!$C$69)/Inputs!$C$70,"")</f>
      </c>
      <c r="D7401" s="15"/>
      <c r="E7401" s="15"/>
      <c r="F7401" s="11">
        <f t="shared" ref="F7401:F7655" si="59">IF(COUNT(D7401:E7401)=COLUMNS(D7401:E7401),D7401-E7401,"")</f>
      </c>
      <c r="G7401" s="22" cm="1">
        <f t="array" ref="G7401">IF(AND(Inputs!$C$60,Inputs!$C$61),INDEX(Utility_Rates!$C$29:$F$52,HOUR(C7401)+Inputs!$C$69,MATCH(INDEX(Utility_Rates!$K$6:$K$17,MONTH(C7401))&amp;IF(WEEKDAY(C7401,Inputs!$C$76)&lt;=Inputs!$C$74," weekday"," weekend"),Utility_Rates!$C$28:$F$28,Inputs!$C$68)),"")</f>
      </c>
      <c r="H7401" s="34"/>
      <c r="I7401" s="42">
        <f>IF(AND(ISNUMBER(D7401),ISNUMBER(H7401)),D7401*H7401*Inputs!$C$69,"")</f>
      </c>
      <c r="J7401" s="42">
        <f>IF(AND(ISNUMBER(F7401),ISNUMBER(H7401),F7401&gt;=Inputs!$C$68),F7401*H7401*Inputs!$C$69,"")</f>
      </c>
    </row>
    <row r="7402" spans="2:10" ht="15" customHeight="1" x14ac:dyDescent="0.2">
      <c r="B7402" s="39">
        <f t="shared" si="58"/>
      </c>
      <c r="C7402" s="40">
        <f>IF(Inputs!$C$60,Inputs!$C$11+(B7402-Inputs!$C$69)/Inputs!$C$70,"")</f>
      </c>
      <c r="D7402" s="15"/>
      <c r="E7402" s="15"/>
      <c r="F7402" s="11">
        <f t="shared" si="59"/>
      </c>
      <c r="G7402" s="22" cm="1">
        <f t="array" ref="G7402">IF(AND(Inputs!$C$60,Inputs!$C$61),INDEX(Utility_Rates!$C$29:$F$52,HOUR(C7402)+Inputs!$C$69,MATCH(INDEX(Utility_Rates!$K$6:$K$17,MONTH(C7402))&amp;IF(WEEKDAY(C7402,Inputs!$C$76)&lt;=Inputs!$C$74," weekday"," weekend"),Utility_Rates!$C$28:$F$28,Inputs!$C$68)),"")</f>
      </c>
      <c r="H7402" s="34"/>
      <c r="I7402" s="42">
        <f>IF(AND(ISNUMBER(D7402),ISNUMBER(H7402)),D7402*H7402*Inputs!$C$69,"")</f>
      </c>
      <c r="J7402" s="42">
        <f>IF(AND(ISNUMBER(F7402),ISNUMBER(H7402),F7402&gt;=Inputs!$C$68),F7402*H7402*Inputs!$C$69,"")</f>
      </c>
    </row>
    <row r="7403" spans="2:10" ht="15" customHeight="1" x14ac:dyDescent="0.2">
      <c r="B7403" s="39">
        <f t="shared" si="58"/>
      </c>
      <c r="C7403" s="40">
        <f>IF(Inputs!$C$60,Inputs!$C$11+(B7403-Inputs!$C$69)/Inputs!$C$70,"")</f>
      </c>
      <c r="D7403" s="15"/>
      <c r="E7403" s="15"/>
      <c r="F7403" s="11">
        <f t="shared" si="59"/>
      </c>
      <c r="G7403" s="22" cm="1">
        <f t="array" ref="G7403">IF(AND(Inputs!$C$60,Inputs!$C$61),INDEX(Utility_Rates!$C$29:$F$52,HOUR(C7403)+Inputs!$C$69,MATCH(INDEX(Utility_Rates!$K$6:$K$17,MONTH(C7403))&amp;IF(WEEKDAY(C7403,Inputs!$C$76)&lt;=Inputs!$C$74," weekday"," weekend"),Utility_Rates!$C$28:$F$28,Inputs!$C$68)),"")</f>
      </c>
      <c r="H7403" s="34"/>
      <c r="I7403" s="42">
        <f>IF(AND(ISNUMBER(D7403),ISNUMBER(H7403)),D7403*H7403*Inputs!$C$69,"")</f>
      </c>
      <c r="J7403" s="42">
        <f>IF(AND(ISNUMBER(F7403),ISNUMBER(H7403),F7403&gt;=Inputs!$C$68),F7403*H7403*Inputs!$C$69,"")</f>
      </c>
    </row>
    <row r="7404" spans="2:10" ht="15" customHeight="1" x14ac:dyDescent="0.2">
      <c r="B7404" s="39">
        <f t="shared" si="58"/>
      </c>
      <c r="C7404" s="40">
        <f>IF(Inputs!$C$60,Inputs!$C$11+(B7404-Inputs!$C$69)/Inputs!$C$70,"")</f>
      </c>
      <c r="D7404" s="15"/>
      <c r="E7404" s="15"/>
      <c r="F7404" s="11">
        <f t="shared" si="59"/>
      </c>
      <c r="G7404" s="22" cm="1">
        <f t="array" ref="G7404">IF(AND(Inputs!$C$60,Inputs!$C$61),INDEX(Utility_Rates!$C$29:$F$52,HOUR(C7404)+Inputs!$C$69,MATCH(INDEX(Utility_Rates!$K$6:$K$17,MONTH(C7404))&amp;IF(WEEKDAY(C7404,Inputs!$C$76)&lt;=Inputs!$C$74," weekday"," weekend"),Utility_Rates!$C$28:$F$28,Inputs!$C$68)),"")</f>
      </c>
      <c r="H7404" s="34"/>
      <c r="I7404" s="42">
        <f>IF(AND(ISNUMBER(D7404),ISNUMBER(H7404)),D7404*H7404*Inputs!$C$69,"")</f>
      </c>
      <c r="J7404" s="42">
        <f>IF(AND(ISNUMBER(F7404),ISNUMBER(H7404),F7404&gt;=Inputs!$C$68),F7404*H7404*Inputs!$C$69,"")</f>
      </c>
    </row>
    <row r="7405" spans="2:10" ht="15" customHeight="1" x14ac:dyDescent="0.2">
      <c r="B7405" s="39">
        <f t="shared" si="58"/>
      </c>
      <c r="C7405" s="40">
        <f>IF(Inputs!$C$60,Inputs!$C$11+(B7405-Inputs!$C$69)/Inputs!$C$70,"")</f>
      </c>
      <c r="D7405" s="15"/>
      <c r="E7405" s="15"/>
      <c r="F7405" s="11">
        <f t="shared" si="59"/>
      </c>
      <c r="G7405" s="22" cm="1">
        <f t="array" ref="G7405">IF(AND(Inputs!$C$60,Inputs!$C$61),INDEX(Utility_Rates!$C$29:$F$52,HOUR(C7405)+Inputs!$C$69,MATCH(INDEX(Utility_Rates!$K$6:$K$17,MONTH(C7405))&amp;IF(WEEKDAY(C7405,Inputs!$C$76)&lt;=Inputs!$C$74," weekday"," weekend"),Utility_Rates!$C$28:$F$28,Inputs!$C$68)),"")</f>
      </c>
      <c r="H7405" s="34"/>
      <c r="I7405" s="42">
        <f>IF(AND(ISNUMBER(D7405),ISNUMBER(H7405)),D7405*H7405*Inputs!$C$69,"")</f>
      </c>
      <c r="J7405" s="42">
        <f>IF(AND(ISNUMBER(F7405),ISNUMBER(H7405),F7405&gt;=Inputs!$C$68),F7405*H7405*Inputs!$C$69,"")</f>
      </c>
    </row>
    <row r="7406" spans="2:10" ht="15" customHeight="1" x14ac:dyDescent="0.2">
      <c r="B7406" s="39">
        <f t="shared" si="58"/>
      </c>
      <c r="C7406" s="40">
        <f>IF(Inputs!$C$60,Inputs!$C$11+(B7406-Inputs!$C$69)/Inputs!$C$70,"")</f>
      </c>
      <c r="D7406" s="15"/>
      <c r="E7406" s="15"/>
      <c r="F7406" s="11">
        <f t="shared" si="59"/>
      </c>
      <c r="G7406" s="22" cm="1">
        <f t="array" ref="G7406">IF(AND(Inputs!$C$60,Inputs!$C$61),INDEX(Utility_Rates!$C$29:$F$52,HOUR(C7406)+Inputs!$C$69,MATCH(INDEX(Utility_Rates!$K$6:$K$17,MONTH(C7406))&amp;IF(WEEKDAY(C7406,Inputs!$C$76)&lt;=Inputs!$C$74," weekday"," weekend"),Utility_Rates!$C$28:$F$28,Inputs!$C$68)),"")</f>
      </c>
      <c r="H7406" s="34"/>
      <c r="I7406" s="42">
        <f>IF(AND(ISNUMBER(D7406),ISNUMBER(H7406)),D7406*H7406*Inputs!$C$69,"")</f>
      </c>
      <c r="J7406" s="42">
        <f>IF(AND(ISNUMBER(F7406),ISNUMBER(H7406),F7406&gt;=Inputs!$C$68),F7406*H7406*Inputs!$C$69,"")</f>
      </c>
    </row>
    <row r="7407" spans="2:10" ht="15" customHeight="1" x14ac:dyDescent="0.2">
      <c r="B7407" s="39">
        <f t="shared" si="58"/>
      </c>
      <c r="C7407" s="40">
        <f>IF(Inputs!$C$60,Inputs!$C$11+(B7407-Inputs!$C$69)/Inputs!$C$70,"")</f>
      </c>
      <c r="D7407" s="15"/>
      <c r="E7407" s="15"/>
      <c r="F7407" s="11">
        <f t="shared" si="59"/>
      </c>
      <c r="G7407" s="22" cm="1">
        <f t="array" ref="G7407">IF(AND(Inputs!$C$60,Inputs!$C$61),INDEX(Utility_Rates!$C$29:$F$52,HOUR(C7407)+Inputs!$C$69,MATCH(INDEX(Utility_Rates!$K$6:$K$17,MONTH(C7407))&amp;IF(WEEKDAY(C7407,Inputs!$C$76)&lt;=Inputs!$C$74," weekday"," weekend"),Utility_Rates!$C$28:$F$28,Inputs!$C$68)),"")</f>
      </c>
      <c r="H7407" s="34"/>
      <c r="I7407" s="42">
        <f>IF(AND(ISNUMBER(D7407),ISNUMBER(H7407)),D7407*H7407*Inputs!$C$69,"")</f>
      </c>
      <c r="J7407" s="42">
        <f>IF(AND(ISNUMBER(F7407),ISNUMBER(H7407),F7407&gt;=Inputs!$C$68),F7407*H7407*Inputs!$C$69,"")</f>
      </c>
    </row>
    <row r="7408" spans="2:10" ht="15" customHeight="1" x14ac:dyDescent="0.2">
      <c r="B7408" s="39">
        <f t="shared" si="58"/>
      </c>
      <c r="C7408" s="40">
        <f>IF(Inputs!$C$60,Inputs!$C$11+(B7408-Inputs!$C$69)/Inputs!$C$70,"")</f>
      </c>
      <c r="D7408" s="15"/>
      <c r="E7408" s="15"/>
      <c r="F7408" s="11">
        <f t="shared" si="59"/>
      </c>
      <c r="G7408" s="22" cm="1">
        <f t="array" ref="G7408">IF(AND(Inputs!$C$60,Inputs!$C$61),INDEX(Utility_Rates!$C$29:$F$52,HOUR(C7408)+Inputs!$C$69,MATCH(INDEX(Utility_Rates!$K$6:$K$17,MONTH(C7408))&amp;IF(WEEKDAY(C7408,Inputs!$C$76)&lt;=Inputs!$C$74," weekday"," weekend"),Utility_Rates!$C$28:$F$28,Inputs!$C$68)),"")</f>
      </c>
      <c r="H7408" s="34"/>
      <c r="I7408" s="42">
        <f>IF(AND(ISNUMBER(D7408),ISNUMBER(H7408)),D7408*H7408*Inputs!$C$69,"")</f>
      </c>
      <c r="J7408" s="42">
        <f>IF(AND(ISNUMBER(F7408),ISNUMBER(H7408),F7408&gt;=Inputs!$C$68),F7408*H7408*Inputs!$C$69,"")</f>
      </c>
    </row>
    <row r="7409" spans="2:10" ht="15" customHeight="1" x14ac:dyDescent="0.2">
      <c r="B7409" s="39">
        <f t="shared" si="58"/>
      </c>
      <c r="C7409" s="40">
        <f>IF(Inputs!$C$60,Inputs!$C$11+(B7409-Inputs!$C$69)/Inputs!$C$70,"")</f>
      </c>
      <c r="D7409" s="15"/>
      <c r="E7409" s="15"/>
      <c r="F7409" s="11">
        <f t="shared" si="59"/>
      </c>
      <c r="G7409" s="22" cm="1">
        <f t="array" ref="G7409">IF(AND(Inputs!$C$60,Inputs!$C$61),INDEX(Utility_Rates!$C$29:$F$52,HOUR(C7409)+Inputs!$C$69,MATCH(INDEX(Utility_Rates!$K$6:$K$17,MONTH(C7409))&amp;IF(WEEKDAY(C7409,Inputs!$C$76)&lt;=Inputs!$C$74," weekday"," weekend"),Utility_Rates!$C$28:$F$28,Inputs!$C$68)),"")</f>
      </c>
      <c r="H7409" s="34"/>
      <c r="I7409" s="42">
        <f>IF(AND(ISNUMBER(D7409),ISNUMBER(H7409)),D7409*H7409*Inputs!$C$69,"")</f>
      </c>
      <c r="J7409" s="42">
        <f>IF(AND(ISNUMBER(F7409),ISNUMBER(H7409),F7409&gt;=Inputs!$C$68),F7409*H7409*Inputs!$C$69,"")</f>
      </c>
    </row>
    <row r="7410" spans="2:10" ht="15" customHeight="1" x14ac:dyDescent="0.2">
      <c r="B7410" s="39">
        <f t="shared" si="58"/>
      </c>
      <c r="C7410" s="40">
        <f>IF(Inputs!$C$60,Inputs!$C$11+(B7410-Inputs!$C$69)/Inputs!$C$70,"")</f>
      </c>
      <c r="D7410" s="15"/>
      <c r="E7410" s="15"/>
      <c r="F7410" s="11">
        <f t="shared" si="59"/>
      </c>
      <c r="G7410" s="22" cm="1">
        <f t="array" ref="G7410">IF(AND(Inputs!$C$60,Inputs!$C$61),INDEX(Utility_Rates!$C$29:$F$52,HOUR(C7410)+Inputs!$C$69,MATCH(INDEX(Utility_Rates!$K$6:$K$17,MONTH(C7410))&amp;IF(WEEKDAY(C7410,Inputs!$C$76)&lt;=Inputs!$C$74," weekday"," weekend"),Utility_Rates!$C$28:$F$28,Inputs!$C$68)),"")</f>
      </c>
      <c r="H7410" s="34"/>
      <c r="I7410" s="42">
        <f>IF(AND(ISNUMBER(D7410),ISNUMBER(H7410)),D7410*H7410*Inputs!$C$69,"")</f>
      </c>
      <c r="J7410" s="42">
        <f>IF(AND(ISNUMBER(F7410),ISNUMBER(H7410),F7410&gt;=Inputs!$C$68),F7410*H7410*Inputs!$C$69,"")</f>
      </c>
    </row>
    <row r="7411" spans="2:10" ht="15" customHeight="1" x14ac:dyDescent="0.2">
      <c r="B7411" s="39">
        <f t="shared" si="58"/>
      </c>
      <c r="C7411" s="40">
        <f>IF(Inputs!$C$60,Inputs!$C$11+(B7411-Inputs!$C$69)/Inputs!$C$70,"")</f>
      </c>
      <c r="D7411" s="15"/>
      <c r="E7411" s="15"/>
      <c r="F7411" s="11">
        <f t="shared" si="59"/>
      </c>
      <c r="G7411" s="22" cm="1">
        <f t="array" ref="G7411">IF(AND(Inputs!$C$60,Inputs!$C$61),INDEX(Utility_Rates!$C$29:$F$52,HOUR(C7411)+Inputs!$C$69,MATCH(INDEX(Utility_Rates!$K$6:$K$17,MONTH(C7411))&amp;IF(WEEKDAY(C7411,Inputs!$C$76)&lt;=Inputs!$C$74," weekday"," weekend"),Utility_Rates!$C$28:$F$28,Inputs!$C$68)),"")</f>
      </c>
      <c r="H7411" s="34"/>
      <c r="I7411" s="42">
        <f>IF(AND(ISNUMBER(D7411),ISNUMBER(H7411)),D7411*H7411*Inputs!$C$69,"")</f>
      </c>
      <c r="J7411" s="42">
        <f>IF(AND(ISNUMBER(F7411),ISNUMBER(H7411),F7411&gt;=Inputs!$C$68),F7411*H7411*Inputs!$C$69,"")</f>
      </c>
    </row>
    <row r="7412" spans="2:10" ht="15" customHeight="1" x14ac:dyDescent="0.2">
      <c r="B7412" s="39">
        <f t="shared" si="58"/>
      </c>
      <c r="C7412" s="40">
        <f>IF(Inputs!$C$60,Inputs!$C$11+(B7412-Inputs!$C$69)/Inputs!$C$70,"")</f>
      </c>
      <c r="D7412" s="15"/>
      <c r="E7412" s="15"/>
      <c r="F7412" s="11">
        <f t="shared" si="59"/>
      </c>
      <c r="G7412" s="22" cm="1">
        <f t="array" ref="G7412">IF(AND(Inputs!$C$60,Inputs!$C$61),INDEX(Utility_Rates!$C$29:$F$52,HOUR(C7412)+Inputs!$C$69,MATCH(INDEX(Utility_Rates!$K$6:$K$17,MONTH(C7412))&amp;IF(WEEKDAY(C7412,Inputs!$C$76)&lt;=Inputs!$C$74," weekday"," weekend"),Utility_Rates!$C$28:$F$28,Inputs!$C$68)),"")</f>
      </c>
      <c r="H7412" s="34"/>
      <c r="I7412" s="42">
        <f>IF(AND(ISNUMBER(D7412),ISNUMBER(H7412)),D7412*H7412*Inputs!$C$69,"")</f>
      </c>
      <c r="J7412" s="42">
        <f>IF(AND(ISNUMBER(F7412),ISNUMBER(H7412),F7412&gt;=Inputs!$C$68),F7412*H7412*Inputs!$C$69,"")</f>
      </c>
    </row>
    <row r="7413" spans="2:10" ht="15" customHeight="1" x14ac:dyDescent="0.2">
      <c r="B7413" s="39">
        <f t="shared" si="58"/>
      </c>
      <c r="C7413" s="40">
        <f>IF(Inputs!$C$60,Inputs!$C$11+(B7413-Inputs!$C$69)/Inputs!$C$70,"")</f>
      </c>
      <c r="D7413" s="15"/>
      <c r="E7413" s="15"/>
      <c r="F7413" s="11">
        <f t="shared" si="59"/>
      </c>
      <c r="G7413" s="22" cm="1">
        <f t="array" ref="G7413">IF(AND(Inputs!$C$60,Inputs!$C$61),INDEX(Utility_Rates!$C$29:$F$52,HOUR(C7413)+Inputs!$C$69,MATCH(INDEX(Utility_Rates!$K$6:$K$17,MONTH(C7413))&amp;IF(WEEKDAY(C7413,Inputs!$C$76)&lt;=Inputs!$C$74," weekday"," weekend"),Utility_Rates!$C$28:$F$28,Inputs!$C$68)),"")</f>
      </c>
      <c r="H7413" s="34"/>
      <c r="I7413" s="42">
        <f>IF(AND(ISNUMBER(D7413),ISNUMBER(H7413)),D7413*H7413*Inputs!$C$69,"")</f>
      </c>
      <c r="J7413" s="42">
        <f>IF(AND(ISNUMBER(F7413),ISNUMBER(H7413),F7413&gt;=Inputs!$C$68),F7413*H7413*Inputs!$C$69,"")</f>
      </c>
    </row>
    <row r="7414" spans="2:10" ht="15" customHeight="1" x14ac:dyDescent="0.2">
      <c r="B7414" s="39">
        <f t="shared" si="58"/>
      </c>
      <c r="C7414" s="40">
        <f>IF(Inputs!$C$60,Inputs!$C$11+(B7414-Inputs!$C$69)/Inputs!$C$70,"")</f>
      </c>
      <c r="D7414" s="15"/>
      <c r="E7414" s="15"/>
      <c r="F7414" s="11">
        <f t="shared" si="59"/>
      </c>
      <c r="G7414" s="22" cm="1">
        <f t="array" ref="G7414">IF(AND(Inputs!$C$60,Inputs!$C$61),INDEX(Utility_Rates!$C$29:$F$52,HOUR(C7414)+Inputs!$C$69,MATCH(INDEX(Utility_Rates!$K$6:$K$17,MONTH(C7414))&amp;IF(WEEKDAY(C7414,Inputs!$C$76)&lt;=Inputs!$C$74," weekday"," weekend"),Utility_Rates!$C$28:$F$28,Inputs!$C$68)),"")</f>
      </c>
      <c r="H7414" s="34"/>
      <c r="I7414" s="42">
        <f>IF(AND(ISNUMBER(D7414),ISNUMBER(H7414)),D7414*H7414*Inputs!$C$69,"")</f>
      </c>
      <c r="J7414" s="42">
        <f>IF(AND(ISNUMBER(F7414),ISNUMBER(H7414),F7414&gt;=Inputs!$C$68),F7414*H7414*Inputs!$C$69,"")</f>
      </c>
    </row>
    <row r="7415" spans="2:10" ht="15" customHeight="1" x14ac:dyDescent="0.2">
      <c r="B7415" s="39">
        <f t="shared" si="58"/>
      </c>
      <c r="C7415" s="40">
        <f>IF(Inputs!$C$60,Inputs!$C$11+(B7415-Inputs!$C$69)/Inputs!$C$70,"")</f>
      </c>
      <c r="D7415" s="15"/>
      <c r="E7415" s="15"/>
      <c r="F7415" s="11">
        <f t="shared" si="59"/>
      </c>
      <c r="G7415" s="22" cm="1">
        <f t="array" ref="G7415">IF(AND(Inputs!$C$60,Inputs!$C$61),INDEX(Utility_Rates!$C$29:$F$52,HOUR(C7415)+Inputs!$C$69,MATCH(INDEX(Utility_Rates!$K$6:$K$17,MONTH(C7415))&amp;IF(WEEKDAY(C7415,Inputs!$C$76)&lt;=Inputs!$C$74," weekday"," weekend"),Utility_Rates!$C$28:$F$28,Inputs!$C$68)),"")</f>
      </c>
      <c r="H7415" s="34"/>
      <c r="I7415" s="42">
        <f>IF(AND(ISNUMBER(D7415),ISNUMBER(H7415)),D7415*H7415*Inputs!$C$69,"")</f>
      </c>
      <c r="J7415" s="42">
        <f>IF(AND(ISNUMBER(F7415),ISNUMBER(H7415),F7415&gt;=Inputs!$C$68),F7415*H7415*Inputs!$C$69,"")</f>
      </c>
    </row>
    <row r="7416" spans="2:10" ht="15" customHeight="1" x14ac:dyDescent="0.2">
      <c r="B7416" s="39">
        <f t="shared" si="58"/>
      </c>
      <c r="C7416" s="40">
        <f>IF(Inputs!$C$60,Inputs!$C$11+(B7416-Inputs!$C$69)/Inputs!$C$70,"")</f>
      </c>
      <c r="D7416" s="15"/>
      <c r="E7416" s="15"/>
      <c r="F7416" s="11">
        <f t="shared" si="59"/>
      </c>
      <c r="G7416" s="22" cm="1">
        <f t="array" ref="G7416">IF(AND(Inputs!$C$60,Inputs!$C$61),INDEX(Utility_Rates!$C$29:$F$52,HOUR(C7416)+Inputs!$C$69,MATCH(INDEX(Utility_Rates!$K$6:$K$17,MONTH(C7416))&amp;IF(WEEKDAY(C7416,Inputs!$C$76)&lt;=Inputs!$C$74," weekday"," weekend"),Utility_Rates!$C$28:$F$28,Inputs!$C$68)),"")</f>
      </c>
      <c r="H7416" s="34"/>
      <c r="I7416" s="42">
        <f>IF(AND(ISNUMBER(D7416),ISNUMBER(H7416)),D7416*H7416*Inputs!$C$69,"")</f>
      </c>
      <c r="J7416" s="42">
        <f>IF(AND(ISNUMBER(F7416),ISNUMBER(H7416),F7416&gt;=Inputs!$C$68),F7416*H7416*Inputs!$C$69,"")</f>
      </c>
    </row>
    <row r="7417" spans="2:10" ht="15" customHeight="1" x14ac:dyDescent="0.2">
      <c r="B7417" s="39">
        <f t="shared" si="58"/>
      </c>
      <c r="C7417" s="40">
        <f>IF(Inputs!$C$60,Inputs!$C$11+(B7417-Inputs!$C$69)/Inputs!$C$70,"")</f>
      </c>
      <c r="D7417" s="15"/>
      <c r="E7417" s="15"/>
      <c r="F7417" s="11">
        <f t="shared" si="59"/>
      </c>
      <c r="G7417" s="22" cm="1">
        <f t="array" ref="G7417">IF(AND(Inputs!$C$60,Inputs!$C$61),INDEX(Utility_Rates!$C$29:$F$52,HOUR(C7417)+Inputs!$C$69,MATCH(INDEX(Utility_Rates!$K$6:$K$17,MONTH(C7417))&amp;IF(WEEKDAY(C7417,Inputs!$C$76)&lt;=Inputs!$C$74," weekday"," weekend"),Utility_Rates!$C$28:$F$28,Inputs!$C$68)),"")</f>
      </c>
      <c r="H7417" s="34"/>
      <c r="I7417" s="42">
        <f>IF(AND(ISNUMBER(D7417),ISNUMBER(H7417)),D7417*H7417*Inputs!$C$69,"")</f>
      </c>
      <c r="J7417" s="42">
        <f>IF(AND(ISNUMBER(F7417),ISNUMBER(H7417),F7417&gt;=Inputs!$C$68),F7417*H7417*Inputs!$C$69,"")</f>
      </c>
    </row>
    <row r="7418" spans="2:10" ht="15" customHeight="1" x14ac:dyDescent="0.2">
      <c r="B7418" s="39">
        <f t="shared" si="58"/>
      </c>
      <c r="C7418" s="40">
        <f>IF(Inputs!$C$60,Inputs!$C$11+(B7418-Inputs!$C$69)/Inputs!$C$70,"")</f>
      </c>
      <c r="D7418" s="15"/>
      <c r="E7418" s="15"/>
      <c r="F7418" s="11">
        <f t="shared" si="59"/>
      </c>
      <c r="G7418" s="22" cm="1">
        <f t="array" ref="G7418">IF(AND(Inputs!$C$60,Inputs!$C$61),INDEX(Utility_Rates!$C$29:$F$52,HOUR(C7418)+Inputs!$C$69,MATCH(INDEX(Utility_Rates!$K$6:$K$17,MONTH(C7418))&amp;IF(WEEKDAY(C7418,Inputs!$C$76)&lt;=Inputs!$C$74," weekday"," weekend"),Utility_Rates!$C$28:$F$28,Inputs!$C$68)),"")</f>
      </c>
      <c r="H7418" s="34"/>
      <c r="I7418" s="42">
        <f>IF(AND(ISNUMBER(D7418),ISNUMBER(H7418)),D7418*H7418*Inputs!$C$69,"")</f>
      </c>
      <c r="J7418" s="42">
        <f>IF(AND(ISNUMBER(F7418),ISNUMBER(H7418),F7418&gt;=Inputs!$C$68),F7418*H7418*Inputs!$C$69,"")</f>
      </c>
    </row>
    <row r="7419" spans="2:10" ht="15" customHeight="1" x14ac:dyDescent="0.2">
      <c r="B7419" s="39">
        <f t="shared" si="58"/>
      </c>
      <c r="C7419" s="40">
        <f>IF(Inputs!$C$60,Inputs!$C$11+(B7419-Inputs!$C$69)/Inputs!$C$70,"")</f>
      </c>
      <c r="D7419" s="15"/>
      <c r="E7419" s="15"/>
      <c r="F7419" s="11">
        <f t="shared" si="59"/>
      </c>
      <c r="G7419" s="22" cm="1">
        <f t="array" ref="G7419">IF(AND(Inputs!$C$60,Inputs!$C$61),INDEX(Utility_Rates!$C$29:$F$52,HOUR(C7419)+Inputs!$C$69,MATCH(INDEX(Utility_Rates!$K$6:$K$17,MONTH(C7419))&amp;IF(WEEKDAY(C7419,Inputs!$C$76)&lt;=Inputs!$C$74," weekday"," weekend"),Utility_Rates!$C$28:$F$28,Inputs!$C$68)),"")</f>
      </c>
      <c r="H7419" s="34"/>
      <c r="I7419" s="42">
        <f>IF(AND(ISNUMBER(D7419),ISNUMBER(H7419)),D7419*H7419*Inputs!$C$69,"")</f>
      </c>
      <c r="J7419" s="42">
        <f>IF(AND(ISNUMBER(F7419),ISNUMBER(H7419),F7419&gt;=Inputs!$C$68),F7419*H7419*Inputs!$C$69,"")</f>
      </c>
    </row>
    <row r="7420" spans="2:10" ht="15" customHeight="1" x14ac:dyDescent="0.2">
      <c r="B7420" s="39">
        <f t="shared" si="58"/>
      </c>
      <c r="C7420" s="40">
        <f>IF(Inputs!$C$60,Inputs!$C$11+(B7420-Inputs!$C$69)/Inputs!$C$70,"")</f>
      </c>
      <c r="D7420" s="15"/>
      <c r="E7420" s="15"/>
      <c r="F7420" s="11">
        <f t="shared" si="59"/>
      </c>
      <c r="G7420" s="22" cm="1">
        <f t="array" ref="G7420">IF(AND(Inputs!$C$60,Inputs!$C$61),INDEX(Utility_Rates!$C$29:$F$52,HOUR(C7420)+Inputs!$C$69,MATCH(INDEX(Utility_Rates!$K$6:$K$17,MONTH(C7420))&amp;IF(WEEKDAY(C7420,Inputs!$C$76)&lt;=Inputs!$C$74," weekday"," weekend"),Utility_Rates!$C$28:$F$28,Inputs!$C$68)),"")</f>
      </c>
      <c r="H7420" s="34"/>
      <c r="I7420" s="42">
        <f>IF(AND(ISNUMBER(D7420),ISNUMBER(H7420)),D7420*H7420*Inputs!$C$69,"")</f>
      </c>
      <c r="J7420" s="42">
        <f>IF(AND(ISNUMBER(F7420),ISNUMBER(H7420),F7420&gt;=Inputs!$C$68),F7420*H7420*Inputs!$C$69,"")</f>
      </c>
    </row>
    <row r="7421" spans="2:10" ht="15" customHeight="1" x14ac:dyDescent="0.2">
      <c r="B7421" s="39">
        <f t="shared" si="58"/>
      </c>
      <c r="C7421" s="40">
        <f>IF(Inputs!$C$60,Inputs!$C$11+(B7421-Inputs!$C$69)/Inputs!$C$70,"")</f>
      </c>
      <c r="D7421" s="15"/>
      <c r="E7421" s="15"/>
      <c r="F7421" s="11">
        <f t="shared" si="59"/>
      </c>
      <c r="G7421" s="22" cm="1">
        <f t="array" ref="G7421">IF(AND(Inputs!$C$60,Inputs!$C$61),INDEX(Utility_Rates!$C$29:$F$52,HOUR(C7421)+Inputs!$C$69,MATCH(INDEX(Utility_Rates!$K$6:$K$17,MONTH(C7421))&amp;IF(WEEKDAY(C7421,Inputs!$C$76)&lt;=Inputs!$C$74," weekday"," weekend"),Utility_Rates!$C$28:$F$28,Inputs!$C$68)),"")</f>
      </c>
      <c r="H7421" s="34"/>
      <c r="I7421" s="42">
        <f>IF(AND(ISNUMBER(D7421),ISNUMBER(H7421)),D7421*H7421*Inputs!$C$69,"")</f>
      </c>
      <c r="J7421" s="42">
        <f>IF(AND(ISNUMBER(F7421),ISNUMBER(H7421),F7421&gt;=Inputs!$C$68),F7421*H7421*Inputs!$C$69,"")</f>
      </c>
    </row>
    <row r="7422" spans="2:10" ht="15" customHeight="1" x14ac:dyDescent="0.2">
      <c r="B7422" s="39">
        <f t="shared" si="58"/>
      </c>
      <c r="C7422" s="40">
        <f>IF(Inputs!$C$60,Inputs!$C$11+(B7422-Inputs!$C$69)/Inputs!$C$70,"")</f>
      </c>
      <c r="D7422" s="15"/>
      <c r="E7422" s="15"/>
      <c r="F7422" s="11">
        <f t="shared" si="59"/>
      </c>
      <c r="G7422" s="22" cm="1">
        <f t="array" ref="G7422">IF(AND(Inputs!$C$60,Inputs!$C$61),INDEX(Utility_Rates!$C$29:$F$52,HOUR(C7422)+Inputs!$C$69,MATCH(INDEX(Utility_Rates!$K$6:$K$17,MONTH(C7422))&amp;IF(WEEKDAY(C7422,Inputs!$C$76)&lt;=Inputs!$C$74," weekday"," weekend"),Utility_Rates!$C$28:$F$28,Inputs!$C$68)),"")</f>
      </c>
      <c r="H7422" s="34"/>
      <c r="I7422" s="42">
        <f>IF(AND(ISNUMBER(D7422),ISNUMBER(H7422)),D7422*H7422*Inputs!$C$69,"")</f>
      </c>
      <c r="J7422" s="42">
        <f>IF(AND(ISNUMBER(F7422),ISNUMBER(H7422),F7422&gt;=Inputs!$C$68),F7422*H7422*Inputs!$C$69,"")</f>
      </c>
    </row>
    <row r="7423" spans="2:10" ht="15" customHeight="1" x14ac:dyDescent="0.2">
      <c r="B7423" s="39">
        <f t="shared" si="58"/>
      </c>
      <c r="C7423" s="40">
        <f>IF(Inputs!$C$60,Inputs!$C$11+(B7423-Inputs!$C$69)/Inputs!$C$70,"")</f>
      </c>
      <c r="D7423" s="15"/>
      <c r="E7423" s="15"/>
      <c r="F7423" s="11">
        <f t="shared" si="59"/>
      </c>
      <c r="G7423" s="22" cm="1">
        <f t="array" ref="G7423">IF(AND(Inputs!$C$60,Inputs!$C$61),INDEX(Utility_Rates!$C$29:$F$52,HOUR(C7423)+Inputs!$C$69,MATCH(INDEX(Utility_Rates!$K$6:$K$17,MONTH(C7423))&amp;IF(WEEKDAY(C7423,Inputs!$C$76)&lt;=Inputs!$C$74," weekday"," weekend"),Utility_Rates!$C$28:$F$28,Inputs!$C$68)),"")</f>
      </c>
      <c r="H7423" s="34"/>
      <c r="I7423" s="42">
        <f>IF(AND(ISNUMBER(D7423),ISNUMBER(H7423)),D7423*H7423*Inputs!$C$69,"")</f>
      </c>
      <c r="J7423" s="42">
        <f>IF(AND(ISNUMBER(F7423),ISNUMBER(H7423),F7423&gt;=Inputs!$C$68),F7423*H7423*Inputs!$C$69,"")</f>
      </c>
    </row>
    <row r="7424" spans="2:10" ht="15" customHeight="1" x14ac:dyDescent="0.2">
      <c r="B7424" s="39">
        <f t="shared" si="58"/>
      </c>
      <c r="C7424" s="40">
        <f>IF(Inputs!$C$60,Inputs!$C$11+(B7424-Inputs!$C$69)/Inputs!$C$70,"")</f>
      </c>
      <c r="D7424" s="15"/>
      <c r="E7424" s="15"/>
      <c r="F7424" s="11">
        <f t="shared" si="59"/>
      </c>
      <c r="G7424" s="22" cm="1">
        <f t="array" ref="G7424">IF(AND(Inputs!$C$60,Inputs!$C$61),INDEX(Utility_Rates!$C$29:$F$52,HOUR(C7424)+Inputs!$C$69,MATCH(INDEX(Utility_Rates!$K$6:$K$17,MONTH(C7424))&amp;IF(WEEKDAY(C7424,Inputs!$C$76)&lt;=Inputs!$C$74," weekday"," weekend"),Utility_Rates!$C$28:$F$28,Inputs!$C$68)),"")</f>
      </c>
      <c r="H7424" s="34"/>
      <c r="I7424" s="42">
        <f>IF(AND(ISNUMBER(D7424),ISNUMBER(H7424)),D7424*H7424*Inputs!$C$69,"")</f>
      </c>
      <c r="J7424" s="42">
        <f>IF(AND(ISNUMBER(F7424),ISNUMBER(H7424),F7424&gt;=Inputs!$C$68),F7424*H7424*Inputs!$C$69,"")</f>
      </c>
    </row>
    <row r="7425" spans="2:10" ht="15" customHeight="1" x14ac:dyDescent="0.2">
      <c r="B7425" s="39">
        <f t="shared" si="58"/>
      </c>
      <c r="C7425" s="40">
        <f>IF(Inputs!$C$60,Inputs!$C$11+(B7425-Inputs!$C$69)/Inputs!$C$70,"")</f>
      </c>
      <c r="D7425" s="15"/>
      <c r="E7425" s="15"/>
      <c r="F7425" s="11">
        <f t="shared" si="59"/>
      </c>
      <c r="G7425" s="22" cm="1">
        <f t="array" ref="G7425">IF(AND(Inputs!$C$60,Inputs!$C$61),INDEX(Utility_Rates!$C$29:$F$52,HOUR(C7425)+Inputs!$C$69,MATCH(INDEX(Utility_Rates!$K$6:$K$17,MONTH(C7425))&amp;IF(WEEKDAY(C7425,Inputs!$C$76)&lt;=Inputs!$C$74," weekday"," weekend"),Utility_Rates!$C$28:$F$28,Inputs!$C$68)),"")</f>
      </c>
      <c r="H7425" s="34"/>
      <c r="I7425" s="42">
        <f>IF(AND(ISNUMBER(D7425),ISNUMBER(H7425)),D7425*H7425*Inputs!$C$69,"")</f>
      </c>
      <c r="J7425" s="42">
        <f>IF(AND(ISNUMBER(F7425),ISNUMBER(H7425),F7425&gt;=Inputs!$C$68),F7425*H7425*Inputs!$C$69,"")</f>
      </c>
    </row>
    <row r="7426" spans="2:10" ht="15" customHeight="1" x14ac:dyDescent="0.2">
      <c r="B7426" s="39">
        <f t="shared" si="58"/>
      </c>
      <c r="C7426" s="40">
        <f>IF(Inputs!$C$60,Inputs!$C$11+(B7426-Inputs!$C$69)/Inputs!$C$70,"")</f>
      </c>
      <c r="D7426" s="15"/>
      <c r="E7426" s="15"/>
      <c r="F7426" s="11">
        <f t="shared" si="59"/>
      </c>
      <c r="G7426" s="22" cm="1">
        <f t="array" ref="G7426">IF(AND(Inputs!$C$60,Inputs!$C$61),INDEX(Utility_Rates!$C$29:$F$52,HOUR(C7426)+Inputs!$C$69,MATCH(INDEX(Utility_Rates!$K$6:$K$17,MONTH(C7426))&amp;IF(WEEKDAY(C7426,Inputs!$C$76)&lt;=Inputs!$C$74," weekday"," weekend"),Utility_Rates!$C$28:$F$28,Inputs!$C$68)),"")</f>
      </c>
      <c r="H7426" s="34"/>
      <c r="I7426" s="42">
        <f>IF(AND(ISNUMBER(D7426),ISNUMBER(H7426)),D7426*H7426*Inputs!$C$69,"")</f>
      </c>
      <c r="J7426" s="42">
        <f>IF(AND(ISNUMBER(F7426),ISNUMBER(H7426),F7426&gt;=Inputs!$C$68),F7426*H7426*Inputs!$C$69,"")</f>
      </c>
    </row>
    <row r="7427" spans="2:10" ht="15" customHeight="1" x14ac:dyDescent="0.2">
      <c r="B7427" s="39">
        <f t="shared" si="58"/>
      </c>
      <c r="C7427" s="40">
        <f>IF(Inputs!$C$60,Inputs!$C$11+(B7427-Inputs!$C$69)/Inputs!$C$70,"")</f>
      </c>
      <c r="D7427" s="15"/>
      <c r="E7427" s="15"/>
      <c r="F7427" s="11">
        <f t="shared" si="59"/>
      </c>
      <c r="G7427" s="22" cm="1">
        <f t="array" ref="G7427">IF(AND(Inputs!$C$60,Inputs!$C$61),INDEX(Utility_Rates!$C$29:$F$52,HOUR(C7427)+Inputs!$C$69,MATCH(INDEX(Utility_Rates!$K$6:$K$17,MONTH(C7427))&amp;IF(WEEKDAY(C7427,Inputs!$C$76)&lt;=Inputs!$C$74," weekday"," weekend"),Utility_Rates!$C$28:$F$28,Inputs!$C$68)),"")</f>
      </c>
      <c r="H7427" s="34"/>
      <c r="I7427" s="42">
        <f>IF(AND(ISNUMBER(D7427),ISNUMBER(H7427)),D7427*H7427*Inputs!$C$69,"")</f>
      </c>
      <c r="J7427" s="42">
        <f>IF(AND(ISNUMBER(F7427),ISNUMBER(H7427),F7427&gt;=Inputs!$C$68),F7427*H7427*Inputs!$C$69,"")</f>
      </c>
    </row>
    <row r="7428" spans="2:10" ht="15" customHeight="1" x14ac:dyDescent="0.2">
      <c r="B7428" s="39">
        <f t="shared" si="58"/>
      </c>
      <c r="C7428" s="40">
        <f>IF(Inputs!$C$60,Inputs!$C$11+(B7428-Inputs!$C$69)/Inputs!$C$70,"")</f>
      </c>
      <c r="D7428" s="15"/>
      <c r="E7428" s="15"/>
      <c r="F7428" s="11">
        <f t="shared" si="59"/>
      </c>
      <c r="G7428" s="22" cm="1">
        <f t="array" ref="G7428">IF(AND(Inputs!$C$60,Inputs!$C$61),INDEX(Utility_Rates!$C$29:$F$52,HOUR(C7428)+Inputs!$C$69,MATCH(INDEX(Utility_Rates!$K$6:$K$17,MONTH(C7428))&amp;IF(WEEKDAY(C7428,Inputs!$C$76)&lt;=Inputs!$C$74," weekday"," weekend"),Utility_Rates!$C$28:$F$28,Inputs!$C$68)),"")</f>
      </c>
      <c r="H7428" s="34"/>
      <c r="I7428" s="42">
        <f>IF(AND(ISNUMBER(D7428),ISNUMBER(H7428)),D7428*H7428*Inputs!$C$69,"")</f>
      </c>
      <c r="J7428" s="42">
        <f>IF(AND(ISNUMBER(F7428),ISNUMBER(H7428),F7428&gt;=Inputs!$C$68),F7428*H7428*Inputs!$C$69,"")</f>
      </c>
    </row>
    <row r="7429" spans="2:10" ht="15" customHeight="1" x14ac:dyDescent="0.2">
      <c r="B7429" s="39">
        <f t="shared" si="58"/>
      </c>
      <c r="C7429" s="40">
        <f>IF(Inputs!$C$60,Inputs!$C$11+(B7429-Inputs!$C$69)/Inputs!$C$70,"")</f>
      </c>
      <c r="D7429" s="15"/>
      <c r="E7429" s="15"/>
      <c r="F7429" s="11">
        <f t="shared" si="59"/>
      </c>
      <c r="G7429" s="22" cm="1">
        <f t="array" ref="G7429">IF(AND(Inputs!$C$60,Inputs!$C$61),INDEX(Utility_Rates!$C$29:$F$52,HOUR(C7429)+Inputs!$C$69,MATCH(INDEX(Utility_Rates!$K$6:$K$17,MONTH(C7429))&amp;IF(WEEKDAY(C7429,Inputs!$C$76)&lt;=Inputs!$C$74," weekday"," weekend"),Utility_Rates!$C$28:$F$28,Inputs!$C$68)),"")</f>
      </c>
      <c r="H7429" s="34"/>
      <c r="I7429" s="42">
        <f>IF(AND(ISNUMBER(D7429),ISNUMBER(H7429)),D7429*H7429*Inputs!$C$69,"")</f>
      </c>
      <c r="J7429" s="42">
        <f>IF(AND(ISNUMBER(F7429),ISNUMBER(H7429),F7429&gt;=Inputs!$C$68),F7429*H7429*Inputs!$C$69,"")</f>
      </c>
    </row>
    <row r="7430" spans="2:10" ht="15" customHeight="1" x14ac:dyDescent="0.2">
      <c r="B7430" s="39">
        <f t="shared" si="58"/>
      </c>
      <c r="C7430" s="40">
        <f>IF(Inputs!$C$60,Inputs!$C$11+(B7430-Inputs!$C$69)/Inputs!$C$70,"")</f>
      </c>
      <c r="D7430" s="15"/>
      <c r="E7430" s="15"/>
      <c r="F7430" s="11">
        <f t="shared" si="59"/>
      </c>
      <c r="G7430" s="22" cm="1">
        <f t="array" ref="G7430">IF(AND(Inputs!$C$60,Inputs!$C$61),INDEX(Utility_Rates!$C$29:$F$52,HOUR(C7430)+Inputs!$C$69,MATCH(INDEX(Utility_Rates!$K$6:$K$17,MONTH(C7430))&amp;IF(WEEKDAY(C7430,Inputs!$C$76)&lt;=Inputs!$C$74," weekday"," weekend"),Utility_Rates!$C$28:$F$28,Inputs!$C$68)),"")</f>
      </c>
      <c r="H7430" s="34"/>
      <c r="I7430" s="42">
        <f>IF(AND(ISNUMBER(D7430),ISNUMBER(H7430)),D7430*H7430*Inputs!$C$69,"")</f>
      </c>
      <c r="J7430" s="42">
        <f>IF(AND(ISNUMBER(F7430),ISNUMBER(H7430),F7430&gt;=Inputs!$C$68),F7430*H7430*Inputs!$C$69,"")</f>
      </c>
    </row>
    <row r="7431" spans="2:10" ht="15" customHeight="1" x14ac:dyDescent="0.2">
      <c r="B7431" s="39">
        <f t="shared" si="58"/>
      </c>
      <c r="C7431" s="40">
        <f>IF(Inputs!$C$60,Inputs!$C$11+(B7431-Inputs!$C$69)/Inputs!$C$70,"")</f>
      </c>
      <c r="D7431" s="15"/>
      <c r="E7431" s="15"/>
      <c r="F7431" s="11">
        <f t="shared" si="59"/>
      </c>
      <c r="G7431" s="22" cm="1">
        <f t="array" ref="G7431">IF(AND(Inputs!$C$60,Inputs!$C$61),INDEX(Utility_Rates!$C$29:$F$52,HOUR(C7431)+Inputs!$C$69,MATCH(INDEX(Utility_Rates!$K$6:$K$17,MONTH(C7431))&amp;IF(WEEKDAY(C7431,Inputs!$C$76)&lt;=Inputs!$C$74," weekday"," weekend"),Utility_Rates!$C$28:$F$28,Inputs!$C$68)),"")</f>
      </c>
      <c r="H7431" s="34"/>
      <c r="I7431" s="42">
        <f>IF(AND(ISNUMBER(D7431),ISNUMBER(H7431)),D7431*H7431*Inputs!$C$69,"")</f>
      </c>
      <c r="J7431" s="42">
        <f>IF(AND(ISNUMBER(F7431),ISNUMBER(H7431),F7431&gt;=Inputs!$C$68),F7431*H7431*Inputs!$C$69,"")</f>
      </c>
    </row>
    <row r="7432" spans="2:10" ht="15" customHeight="1" x14ac:dyDescent="0.2">
      <c r="B7432" s="39">
        <f t="shared" si="58"/>
      </c>
      <c r="C7432" s="40">
        <f>IF(Inputs!$C$60,Inputs!$C$11+(B7432-Inputs!$C$69)/Inputs!$C$70,"")</f>
      </c>
      <c r="D7432" s="15"/>
      <c r="E7432" s="15"/>
      <c r="F7432" s="11">
        <f t="shared" si="59"/>
      </c>
      <c r="G7432" s="22" cm="1">
        <f t="array" ref="G7432">IF(AND(Inputs!$C$60,Inputs!$C$61),INDEX(Utility_Rates!$C$29:$F$52,HOUR(C7432)+Inputs!$C$69,MATCH(INDEX(Utility_Rates!$K$6:$K$17,MONTH(C7432))&amp;IF(WEEKDAY(C7432,Inputs!$C$76)&lt;=Inputs!$C$74," weekday"," weekend"),Utility_Rates!$C$28:$F$28,Inputs!$C$68)),"")</f>
      </c>
      <c r="H7432" s="34"/>
      <c r="I7432" s="42">
        <f>IF(AND(ISNUMBER(D7432),ISNUMBER(H7432)),D7432*H7432*Inputs!$C$69,"")</f>
      </c>
      <c r="J7432" s="42">
        <f>IF(AND(ISNUMBER(F7432),ISNUMBER(H7432),F7432&gt;=Inputs!$C$68),F7432*H7432*Inputs!$C$69,"")</f>
      </c>
    </row>
    <row r="7433" spans="2:10" ht="15" customHeight="1" x14ac:dyDescent="0.2">
      <c r="B7433" s="39">
        <f t="shared" si="58"/>
      </c>
      <c r="C7433" s="40">
        <f>IF(Inputs!$C$60,Inputs!$C$11+(B7433-Inputs!$C$69)/Inputs!$C$70,"")</f>
      </c>
      <c r="D7433" s="15"/>
      <c r="E7433" s="15"/>
      <c r="F7433" s="11">
        <f t="shared" si="59"/>
      </c>
      <c r="G7433" s="22" cm="1">
        <f t="array" ref="G7433">IF(AND(Inputs!$C$60,Inputs!$C$61),INDEX(Utility_Rates!$C$29:$F$52,HOUR(C7433)+Inputs!$C$69,MATCH(INDEX(Utility_Rates!$K$6:$K$17,MONTH(C7433))&amp;IF(WEEKDAY(C7433,Inputs!$C$76)&lt;=Inputs!$C$74," weekday"," weekend"),Utility_Rates!$C$28:$F$28,Inputs!$C$68)),"")</f>
      </c>
      <c r="H7433" s="34"/>
      <c r="I7433" s="42">
        <f>IF(AND(ISNUMBER(D7433),ISNUMBER(H7433)),D7433*H7433*Inputs!$C$69,"")</f>
      </c>
      <c r="J7433" s="42">
        <f>IF(AND(ISNUMBER(F7433),ISNUMBER(H7433),F7433&gt;=Inputs!$C$68),F7433*H7433*Inputs!$C$69,"")</f>
      </c>
    </row>
    <row r="7434" spans="2:10" ht="15" customHeight="1" x14ac:dyDescent="0.2">
      <c r="B7434" s="39">
        <f t="shared" si="58"/>
      </c>
      <c r="C7434" s="40">
        <f>IF(Inputs!$C$60,Inputs!$C$11+(B7434-Inputs!$C$69)/Inputs!$C$70,"")</f>
      </c>
      <c r="D7434" s="15"/>
      <c r="E7434" s="15"/>
      <c r="F7434" s="11">
        <f t="shared" si="59"/>
      </c>
      <c r="G7434" s="22" cm="1">
        <f t="array" ref="G7434">IF(AND(Inputs!$C$60,Inputs!$C$61),INDEX(Utility_Rates!$C$29:$F$52,HOUR(C7434)+Inputs!$C$69,MATCH(INDEX(Utility_Rates!$K$6:$K$17,MONTH(C7434))&amp;IF(WEEKDAY(C7434,Inputs!$C$76)&lt;=Inputs!$C$74," weekday"," weekend"),Utility_Rates!$C$28:$F$28,Inputs!$C$68)),"")</f>
      </c>
      <c r="H7434" s="34"/>
      <c r="I7434" s="42">
        <f>IF(AND(ISNUMBER(D7434),ISNUMBER(H7434)),D7434*H7434*Inputs!$C$69,"")</f>
      </c>
      <c r="J7434" s="42">
        <f>IF(AND(ISNUMBER(F7434),ISNUMBER(H7434),F7434&gt;=Inputs!$C$68),F7434*H7434*Inputs!$C$69,"")</f>
      </c>
    </row>
    <row r="7435" spans="2:10" ht="15" customHeight="1" x14ac:dyDescent="0.2">
      <c r="B7435" s="39">
        <f t="shared" si="58"/>
      </c>
      <c r="C7435" s="40">
        <f>IF(Inputs!$C$60,Inputs!$C$11+(B7435-Inputs!$C$69)/Inputs!$C$70,"")</f>
      </c>
      <c r="D7435" s="15"/>
      <c r="E7435" s="15"/>
      <c r="F7435" s="11">
        <f t="shared" si="59"/>
      </c>
      <c r="G7435" s="22" cm="1">
        <f t="array" ref="G7435">IF(AND(Inputs!$C$60,Inputs!$C$61),INDEX(Utility_Rates!$C$29:$F$52,HOUR(C7435)+Inputs!$C$69,MATCH(INDEX(Utility_Rates!$K$6:$K$17,MONTH(C7435))&amp;IF(WEEKDAY(C7435,Inputs!$C$76)&lt;=Inputs!$C$74," weekday"," weekend"),Utility_Rates!$C$28:$F$28,Inputs!$C$68)),"")</f>
      </c>
      <c r="H7435" s="34"/>
      <c r="I7435" s="42">
        <f>IF(AND(ISNUMBER(D7435),ISNUMBER(H7435)),D7435*H7435*Inputs!$C$69,"")</f>
      </c>
      <c r="J7435" s="42">
        <f>IF(AND(ISNUMBER(F7435),ISNUMBER(H7435),F7435&gt;=Inputs!$C$68),F7435*H7435*Inputs!$C$69,"")</f>
      </c>
    </row>
    <row r="7436" spans="2:10" ht="15" customHeight="1" x14ac:dyDescent="0.2">
      <c r="B7436" s="39">
        <f t="shared" si="58"/>
      </c>
      <c r="C7436" s="40">
        <f>IF(Inputs!$C$60,Inputs!$C$11+(B7436-Inputs!$C$69)/Inputs!$C$70,"")</f>
      </c>
      <c r="D7436" s="15"/>
      <c r="E7436" s="15"/>
      <c r="F7436" s="11">
        <f t="shared" si="59"/>
      </c>
      <c r="G7436" s="22" cm="1">
        <f t="array" ref="G7436">IF(AND(Inputs!$C$60,Inputs!$C$61),INDEX(Utility_Rates!$C$29:$F$52,HOUR(C7436)+Inputs!$C$69,MATCH(INDEX(Utility_Rates!$K$6:$K$17,MONTH(C7436))&amp;IF(WEEKDAY(C7436,Inputs!$C$76)&lt;=Inputs!$C$74," weekday"," weekend"),Utility_Rates!$C$28:$F$28,Inputs!$C$68)),"")</f>
      </c>
      <c r="H7436" s="34"/>
      <c r="I7436" s="42">
        <f>IF(AND(ISNUMBER(D7436),ISNUMBER(H7436)),D7436*H7436*Inputs!$C$69,"")</f>
      </c>
      <c r="J7436" s="42">
        <f>IF(AND(ISNUMBER(F7436),ISNUMBER(H7436),F7436&gt;=Inputs!$C$68),F7436*H7436*Inputs!$C$69,"")</f>
      </c>
    </row>
    <row r="7437" spans="2:10" ht="15" customHeight="1" x14ac:dyDescent="0.2">
      <c r="B7437" s="39">
        <f t="shared" si="58"/>
      </c>
      <c r="C7437" s="40">
        <f>IF(Inputs!$C$60,Inputs!$C$11+(B7437-Inputs!$C$69)/Inputs!$C$70,"")</f>
      </c>
      <c r="D7437" s="15"/>
      <c r="E7437" s="15"/>
      <c r="F7437" s="11">
        <f t="shared" si="59"/>
      </c>
      <c r="G7437" s="22" cm="1">
        <f t="array" ref="G7437">IF(AND(Inputs!$C$60,Inputs!$C$61),INDEX(Utility_Rates!$C$29:$F$52,HOUR(C7437)+Inputs!$C$69,MATCH(INDEX(Utility_Rates!$K$6:$K$17,MONTH(C7437))&amp;IF(WEEKDAY(C7437,Inputs!$C$76)&lt;=Inputs!$C$74," weekday"," weekend"),Utility_Rates!$C$28:$F$28,Inputs!$C$68)),"")</f>
      </c>
      <c r="H7437" s="34"/>
      <c r="I7437" s="42">
        <f>IF(AND(ISNUMBER(D7437),ISNUMBER(H7437)),D7437*H7437*Inputs!$C$69,"")</f>
      </c>
      <c r="J7437" s="42">
        <f>IF(AND(ISNUMBER(F7437),ISNUMBER(H7437),F7437&gt;=Inputs!$C$68),F7437*H7437*Inputs!$C$69,"")</f>
      </c>
    </row>
    <row r="7438" spans="2:10" ht="15" customHeight="1" x14ac:dyDescent="0.2">
      <c r="B7438" s="39">
        <f t="shared" si="58"/>
      </c>
      <c r="C7438" s="40">
        <f>IF(Inputs!$C$60,Inputs!$C$11+(B7438-Inputs!$C$69)/Inputs!$C$70,"")</f>
      </c>
      <c r="D7438" s="15"/>
      <c r="E7438" s="15"/>
      <c r="F7438" s="11">
        <f t="shared" si="59"/>
      </c>
      <c r="G7438" s="22" cm="1">
        <f t="array" ref="G7438">IF(AND(Inputs!$C$60,Inputs!$C$61),INDEX(Utility_Rates!$C$29:$F$52,HOUR(C7438)+Inputs!$C$69,MATCH(INDEX(Utility_Rates!$K$6:$K$17,MONTH(C7438))&amp;IF(WEEKDAY(C7438,Inputs!$C$76)&lt;=Inputs!$C$74," weekday"," weekend"),Utility_Rates!$C$28:$F$28,Inputs!$C$68)),"")</f>
      </c>
      <c r="H7438" s="34"/>
      <c r="I7438" s="42">
        <f>IF(AND(ISNUMBER(D7438),ISNUMBER(H7438)),D7438*H7438*Inputs!$C$69,"")</f>
      </c>
      <c r="J7438" s="42">
        <f>IF(AND(ISNUMBER(F7438),ISNUMBER(H7438),F7438&gt;=Inputs!$C$68),F7438*H7438*Inputs!$C$69,"")</f>
      </c>
    </row>
    <row r="7439" spans="2:10" ht="15" customHeight="1" x14ac:dyDescent="0.2">
      <c r="B7439" s="39">
        <f t="shared" si="58"/>
      </c>
      <c r="C7439" s="40">
        <f>IF(Inputs!$C$60,Inputs!$C$11+(B7439-Inputs!$C$69)/Inputs!$C$70,"")</f>
      </c>
      <c r="D7439" s="15"/>
      <c r="E7439" s="15"/>
      <c r="F7439" s="11">
        <f t="shared" si="59"/>
      </c>
      <c r="G7439" s="22" cm="1">
        <f t="array" ref="G7439">IF(AND(Inputs!$C$60,Inputs!$C$61),INDEX(Utility_Rates!$C$29:$F$52,HOUR(C7439)+Inputs!$C$69,MATCH(INDEX(Utility_Rates!$K$6:$K$17,MONTH(C7439))&amp;IF(WEEKDAY(C7439,Inputs!$C$76)&lt;=Inputs!$C$74," weekday"," weekend"),Utility_Rates!$C$28:$F$28,Inputs!$C$68)),"")</f>
      </c>
      <c r="H7439" s="34"/>
      <c r="I7439" s="42">
        <f>IF(AND(ISNUMBER(D7439),ISNUMBER(H7439)),D7439*H7439*Inputs!$C$69,"")</f>
      </c>
      <c r="J7439" s="42">
        <f>IF(AND(ISNUMBER(F7439),ISNUMBER(H7439),F7439&gt;=Inputs!$C$68),F7439*H7439*Inputs!$C$69,"")</f>
      </c>
    </row>
    <row r="7440" spans="2:10" ht="15" customHeight="1" x14ac:dyDescent="0.2">
      <c r="B7440" s="39">
        <f t="shared" si="58"/>
      </c>
      <c r="C7440" s="40">
        <f>IF(Inputs!$C$60,Inputs!$C$11+(B7440-Inputs!$C$69)/Inputs!$C$70,"")</f>
      </c>
      <c r="D7440" s="15"/>
      <c r="E7440" s="15"/>
      <c r="F7440" s="11">
        <f t="shared" si="59"/>
      </c>
      <c r="G7440" s="22" cm="1">
        <f t="array" ref="G7440">IF(AND(Inputs!$C$60,Inputs!$C$61),INDEX(Utility_Rates!$C$29:$F$52,HOUR(C7440)+Inputs!$C$69,MATCH(INDEX(Utility_Rates!$K$6:$K$17,MONTH(C7440))&amp;IF(WEEKDAY(C7440,Inputs!$C$76)&lt;=Inputs!$C$74," weekday"," weekend"),Utility_Rates!$C$28:$F$28,Inputs!$C$68)),"")</f>
      </c>
      <c r="H7440" s="34"/>
      <c r="I7440" s="42">
        <f>IF(AND(ISNUMBER(D7440),ISNUMBER(H7440)),D7440*H7440*Inputs!$C$69,"")</f>
      </c>
      <c r="J7440" s="42">
        <f>IF(AND(ISNUMBER(F7440),ISNUMBER(H7440),F7440&gt;=Inputs!$C$68),F7440*H7440*Inputs!$C$69,"")</f>
      </c>
    </row>
    <row r="7441" spans="2:10" ht="15" customHeight="1" x14ac:dyDescent="0.2">
      <c r="B7441" s="39">
        <f t="shared" si="58"/>
      </c>
      <c r="C7441" s="40">
        <f>IF(Inputs!$C$60,Inputs!$C$11+(B7441-Inputs!$C$69)/Inputs!$C$70,"")</f>
      </c>
      <c r="D7441" s="15"/>
      <c r="E7441" s="15"/>
      <c r="F7441" s="11">
        <f t="shared" si="59"/>
      </c>
      <c r="G7441" s="22" cm="1">
        <f t="array" ref="G7441">IF(AND(Inputs!$C$60,Inputs!$C$61),INDEX(Utility_Rates!$C$29:$F$52,HOUR(C7441)+Inputs!$C$69,MATCH(INDEX(Utility_Rates!$K$6:$K$17,MONTH(C7441))&amp;IF(WEEKDAY(C7441,Inputs!$C$76)&lt;=Inputs!$C$74," weekday"," weekend"),Utility_Rates!$C$28:$F$28,Inputs!$C$68)),"")</f>
      </c>
      <c r="H7441" s="34"/>
      <c r="I7441" s="42">
        <f>IF(AND(ISNUMBER(D7441),ISNUMBER(H7441)),D7441*H7441*Inputs!$C$69,"")</f>
      </c>
      <c r="J7441" s="42">
        <f>IF(AND(ISNUMBER(F7441),ISNUMBER(H7441),F7441&gt;=Inputs!$C$68),F7441*H7441*Inputs!$C$69,"")</f>
      </c>
    </row>
    <row r="7442" spans="2:10" ht="15" customHeight="1" x14ac:dyDescent="0.2">
      <c r="B7442" s="39">
        <f t="shared" si="58"/>
      </c>
      <c r="C7442" s="40">
        <f>IF(Inputs!$C$60,Inputs!$C$11+(B7442-Inputs!$C$69)/Inputs!$C$70,"")</f>
      </c>
      <c r="D7442" s="15"/>
      <c r="E7442" s="15"/>
      <c r="F7442" s="11">
        <f t="shared" si="59"/>
      </c>
      <c r="G7442" s="22" cm="1">
        <f t="array" ref="G7442">IF(AND(Inputs!$C$60,Inputs!$C$61),INDEX(Utility_Rates!$C$29:$F$52,HOUR(C7442)+Inputs!$C$69,MATCH(INDEX(Utility_Rates!$K$6:$K$17,MONTH(C7442))&amp;IF(WEEKDAY(C7442,Inputs!$C$76)&lt;=Inputs!$C$74," weekday"," weekend"),Utility_Rates!$C$28:$F$28,Inputs!$C$68)),"")</f>
      </c>
      <c r="H7442" s="34"/>
      <c r="I7442" s="42">
        <f>IF(AND(ISNUMBER(D7442),ISNUMBER(H7442)),D7442*H7442*Inputs!$C$69,"")</f>
      </c>
      <c r="J7442" s="42">
        <f>IF(AND(ISNUMBER(F7442),ISNUMBER(H7442),F7442&gt;=Inputs!$C$68),F7442*H7442*Inputs!$C$69,"")</f>
      </c>
    </row>
    <row r="7443" spans="2:10" ht="15" customHeight="1" x14ac:dyDescent="0.2">
      <c r="B7443" s="39">
        <f t="shared" si="58"/>
      </c>
      <c r="C7443" s="40">
        <f>IF(Inputs!$C$60,Inputs!$C$11+(B7443-Inputs!$C$69)/Inputs!$C$70,"")</f>
      </c>
      <c r="D7443" s="15"/>
      <c r="E7443" s="15"/>
      <c r="F7443" s="11">
        <f t="shared" si="59"/>
      </c>
      <c r="G7443" s="22" cm="1">
        <f t="array" ref="G7443">IF(AND(Inputs!$C$60,Inputs!$C$61),INDEX(Utility_Rates!$C$29:$F$52,HOUR(C7443)+Inputs!$C$69,MATCH(INDEX(Utility_Rates!$K$6:$K$17,MONTH(C7443))&amp;IF(WEEKDAY(C7443,Inputs!$C$76)&lt;=Inputs!$C$74," weekday"," weekend"),Utility_Rates!$C$28:$F$28,Inputs!$C$68)),"")</f>
      </c>
      <c r="H7443" s="34"/>
      <c r="I7443" s="42">
        <f>IF(AND(ISNUMBER(D7443),ISNUMBER(H7443)),D7443*H7443*Inputs!$C$69,"")</f>
      </c>
      <c r="J7443" s="42">
        <f>IF(AND(ISNUMBER(F7443),ISNUMBER(H7443),F7443&gt;=Inputs!$C$68),F7443*H7443*Inputs!$C$69,"")</f>
      </c>
    </row>
    <row r="7444" spans="2:10" ht="15" customHeight="1" x14ac:dyDescent="0.2">
      <c r="B7444" s="39">
        <f t="shared" si="58"/>
      </c>
      <c r="C7444" s="40">
        <f>IF(Inputs!$C$60,Inputs!$C$11+(B7444-Inputs!$C$69)/Inputs!$C$70,"")</f>
      </c>
      <c r="D7444" s="15"/>
      <c r="E7444" s="15"/>
      <c r="F7444" s="11">
        <f t="shared" si="59"/>
      </c>
      <c r="G7444" s="22" cm="1">
        <f t="array" ref="G7444">IF(AND(Inputs!$C$60,Inputs!$C$61),INDEX(Utility_Rates!$C$29:$F$52,HOUR(C7444)+Inputs!$C$69,MATCH(INDEX(Utility_Rates!$K$6:$K$17,MONTH(C7444))&amp;IF(WEEKDAY(C7444,Inputs!$C$76)&lt;=Inputs!$C$74," weekday"," weekend"),Utility_Rates!$C$28:$F$28,Inputs!$C$68)),"")</f>
      </c>
      <c r="H7444" s="34"/>
      <c r="I7444" s="42">
        <f>IF(AND(ISNUMBER(D7444),ISNUMBER(H7444)),D7444*H7444*Inputs!$C$69,"")</f>
      </c>
      <c r="J7444" s="42">
        <f>IF(AND(ISNUMBER(F7444),ISNUMBER(H7444),F7444&gt;=Inputs!$C$68),F7444*H7444*Inputs!$C$69,"")</f>
      </c>
    </row>
    <row r="7445" spans="2:10" ht="15" customHeight="1" x14ac:dyDescent="0.2">
      <c r="B7445" s="39">
        <f t="shared" si="58"/>
      </c>
      <c r="C7445" s="40">
        <f>IF(Inputs!$C$60,Inputs!$C$11+(B7445-Inputs!$C$69)/Inputs!$C$70,"")</f>
      </c>
      <c r="D7445" s="15"/>
      <c r="E7445" s="15"/>
      <c r="F7445" s="11">
        <f t="shared" si="59"/>
      </c>
      <c r="G7445" s="22" cm="1">
        <f t="array" ref="G7445">IF(AND(Inputs!$C$60,Inputs!$C$61),INDEX(Utility_Rates!$C$29:$F$52,HOUR(C7445)+Inputs!$C$69,MATCH(INDEX(Utility_Rates!$K$6:$K$17,MONTH(C7445))&amp;IF(WEEKDAY(C7445,Inputs!$C$76)&lt;=Inputs!$C$74," weekday"," weekend"),Utility_Rates!$C$28:$F$28,Inputs!$C$68)),"")</f>
      </c>
      <c r="H7445" s="34"/>
      <c r="I7445" s="42">
        <f>IF(AND(ISNUMBER(D7445),ISNUMBER(H7445)),D7445*H7445*Inputs!$C$69,"")</f>
      </c>
      <c r="J7445" s="42">
        <f>IF(AND(ISNUMBER(F7445),ISNUMBER(H7445),F7445&gt;=Inputs!$C$68),F7445*H7445*Inputs!$C$69,"")</f>
      </c>
    </row>
    <row r="7446" spans="2:10" ht="15" customHeight="1" x14ac:dyDescent="0.2">
      <c r="B7446" s="39">
        <f t="shared" si="58"/>
      </c>
      <c r="C7446" s="40">
        <f>IF(Inputs!$C$60,Inputs!$C$11+(B7446-Inputs!$C$69)/Inputs!$C$70,"")</f>
      </c>
      <c r="D7446" s="15"/>
      <c r="E7446" s="15"/>
      <c r="F7446" s="11">
        <f t="shared" si="59"/>
      </c>
      <c r="G7446" s="22" cm="1">
        <f t="array" ref="G7446">IF(AND(Inputs!$C$60,Inputs!$C$61),INDEX(Utility_Rates!$C$29:$F$52,HOUR(C7446)+Inputs!$C$69,MATCH(INDEX(Utility_Rates!$K$6:$K$17,MONTH(C7446))&amp;IF(WEEKDAY(C7446,Inputs!$C$76)&lt;=Inputs!$C$74," weekday"," weekend"),Utility_Rates!$C$28:$F$28,Inputs!$C$68)),"")</f>
      </c>
      <c r="H7446" s="34"/>
      <c r="I7446" s="42">
        <f>IF(AND(ISNUMBER(D7446),ISNUMBER(H7446)),D7446*H7446*Inputs!$C$69,"")</f>
      </c>
      <c r="J7446" s="42">
        <f>IF(AND(ISNUMBER(F7446),ISNUMBER(H7446),F7446&gt;=Inputs!$C$68),F7446*H7446*Inputs!$C$69,"")</f>
      </c>
    </row>
    <row r="7447" spans="2:10" ht="15" customHeight="1" x14ac:dyDescent="0.2">
      <c r="B7447" s="39">
        <f t="shared" si="58"/>
      </c>
      <c r="C7447" s="40">
        <f>IF(Inputs!$C$60,Inputs!$C$11+(B7447-Inputs!$C$69)/Inputs!$C$70,"")</f>
      </c>
      <c r="D7447" s="15"/>
      <c r="E7447" s="15"/>
      <c r="F7447" s="11">
        <f t="shared" si="59"/>
      </c>
      <c r="G7447" s="22" cm="1">
        <f t="array" ref="G7447">IF(AND(Inputs!$C$60,Inputs!$C$61),INDEX(Utility_Rates!$C$29:$F$52,HOUR(C7447)+Inputs!$C$69,MATCH(INDEX(Utility_Rates!$K$6:$K$17,MONTH(C7447))&amp;IF(WEEKDAY(C7447,Inputs!$C$76)&lt;=Inputs!$C$74," weekday"," weekend"),Utility_Rates!$C$28:$F$28,Inputs!$C$68)),"")</f>
      </c>
      <c r="H7447" s="34"/>
      <c r="I7447" s="42">
        <f>IF(AND(ISNUMBER(D7447),ISNUMBER(H7447)),D7447*H7447*Inputs!$C$69,"")</f>
      </c>
      <c r="J7447" s="42">
        <f>IF(AND(ISNUMBER(F7447),ISNUMBER(H7447),F7447&gt;=Inputs!$C$68),F7447*H7447*Inputs!$C$69,"")</f>
      </c>
    </row>
    <row r="7448" spans="2:10" ht="15" customHeight="1" x14ac:dyDescent="0.2">
      <c r="B7448" s="39">
        <f t="shared" si="58"/>
      </c>
      <c r="C7448" s="40">
        <f>IF(Inputs!$C$60,Inputs!$C$11+(B7448-Inputs!$C$69)/Inputs!$C$70,"")</f>
      </c>
      <c r="D7448" s="15"/>
      <c r="E7448" s="15"/>
      <c r="F7448" s="11">
        <f t="shared" si="59"/>
      </c>
      <c r="G7448" s="22" cm="1">
        <f t="array" ref="G7448">IF(AND(Inputs!$C$60,Inputs!$C$61),INDEX(Utility_Rates!$C$29:$F$52,HOUR(C7448)+Inputs!$C$69,MATCH(INDEX(Utility_Rates!$K$6:$K$17,MONTH(C7448))&amp;IF(WEEKDAY(C7448,Inputs!$C$76)&lt;=Inputs!$C$74," weekday"," weekend"),Utility_Rates!$C$28:$F$28,Inputs!$C$68)),"")</f>
      </c>
      <c r="H7448" s="34"/>
      <c r="I7448" s="42">
        <f>IF(AND(ISNUMBER(D7448),ISNUMBER(H7448)),D7448*H7448*Inputs!$C$69,"")</f>
      </c>
      <c r="J7448" s="42">
        <f>IF(AND(ISNUMBER(F7448),ISNUMBER(H7448),F7448&gt;=Inputs!$C$68),F7448*H7448*Inputs!$C$69,"")</f>
      </c>
    </row>
    <row r="7449" spans="2:10" ht="15" customHeight="1" x14ac:dyDescent="0.2">
      <c r="B7449" s="39">
        <f t="shared" si="58"/>
      </c>
      <c r="C7449" s="40">
        <f>IF(Inputs!$C$60,Inputs!$C$11+(B7449-Inputs!$C$69)/Inputs!$C$70,"")</f>
      </c>
      <c r="D7449" s="15"/>
      <c r="E7449" s="15"/>
      <c r="F7449" s="11">
        <f t="shared" si="59"/>
      </c>
      <c r="G7449" s="22" cm="1">
        <f t="array" ref="G7449">IF(AND(Inputs!$C$60,Inputs!$C$61),INDEX(Utility_Rates!$C$29:$F$52,HOUR(C7449)+Inputs!$C$69,MATCH(INDEX(Utility_Rates!$K$6:$K$17,MONTH(C7449))&amp;IF(WEEKDAY(C7449,Inputs!$C$76)&lt;=Inputs!$C$74," weekday"," weekend"),Utility_Rates!$C$28:$F$28,Inputs!$C$68)),"")</f>
      </c>
      <c r="H7449" s="34"/>
      <c r="I7449" s="42">
        <f>IF(AND(ISNUMBER(D7449),ISNUMBER(H7449)),D7449*H7449*Inputs!$C$69,"")</f>
      </c>
      <c r="J7449" s="42">
        <f>IF(AND(ISNUMBER(F7449),ISNUMBER(H7449),F7449&gt;=Inputs!$C$68),F7449*H7449*Inputs!$C$69,"")</f>
      </c>
    </row>
    <row r="7450" spans="2:10" ht="15" customHeight="1" x14ac:dyDescent="0.2">
      <c r="B7450" s="39">
        <f t="shared" si="58"/>
      </c>
      <c r="C7450" s="40">
        <f>IF(Inputs!$C$60,Inputs!$C$11+(B7450-Inputs!$C$69)/Inputs!$C$70,"")</f>
      </c>
      <c r="D7450" s="15"/>
      <c r="E7450" s="15"/>
      <c r="F7450" s="11">
        <f t="shared" si="59"/>
      </c>
      <c r="G7450" s="22" cm="1">
        <f t="array" ref="G7450">IF(AND(Inputs!$C$60,Inputs!$C$61),INDEX(Utility_Rates!$C$29:$F$52,HOUR(C7450)+Inputs!$C$69,MATCH(INDEX(Utility_Rates!$K$6:$K$17,MONTH(C7450))&amp;IF(WEEKDAY(C7450,Inputs!$C$76)&lt;=Inputs!$C$74," weekday"," weekend"),Utility_Rates!$C$28:$F$28,Inputs!$C$68)),"")</f>
      </c>
      <c r="H7450" s="34"/>
      <c r="I7450" s="42">
        <f>IF(AND(ISNUMBER(D7450),ISNUMBER(H7450)),D7450*H7450*Inputs!$C$69,"")</f>
      </c>
      <c r="J7450" s="42">
        <f>IF(AND(ISNUMBER(F7450),ISNUMBER(H7450),F7450&gt;=Inputs!$C$68),F7450*H7450*Inputs!$C$69,"")</f>
      </c>
    </row>
    <row r="7451" spans="2:10" ht="15" customHeight="1" x14ac:dyDescent="0.2">
      <c r="B7451" s="39">
        <f t="shared" si="58"/>
      </c>
      <c r="C7451" s="40">
        <f>IF(Inputs!$C$60,Inputs!$C$11+(B7451-Inputs!$C$69)/Inputs!$C$70,"")</f>
      </c>
      <c r="D7451" s="15"/>
      <c r="E7451" s="15"/>
      <c r="F7451" s="11">
        <f t="shared" si="59"/>
      </c>
      <c r="G7451" s="22" cm="1">
        <f t="array" ref="G7451">IF(AND(Inputs!$C$60,Inputs!$C$61),INDEX(Utility_Rates!$C$29:$F$52,HOUR(C7451)+Inputs!$C$69,MATCH(INDEX(Utility_Rates!$K$6:$K$17,MONTH(C7451))&amp;IF(WEEKDAY(C7451,Inputs!$C$76)&lt;=Inputs!$C$74," weekday"," weekend"),Utility_Rates!$C$28:$F$28,Inputs!$C$68)),"")</f>
      </c>
      <c r="H7451" s="34"/>
      <c r="I7451" s="42">
        <f>IF(AND(ISNUMBER(D7451),ISNUMBER(H7451)),D7451*H7451*Inputs!$C$69,"")</f>
      </c>
      <c r="J7451" s="42">
        <f>IF(AND(ISNUMBER(F7451),ISNUMBER(H7451),F7451&gt;=Inputs!$C$68),F7451*H7451*Inputs!$C$69,"")</f>
      </c>
    </row>
    <row r="7452" spans="2:10" ht="15" customHeight="1" x14ac:dyDescent="0.2">
      <c r="B7452" s="39">
        <f t="shared" si="58"/>
      </c>
      <c r="C7452" s="40">
        <f>IF(Inputs!$C$60,Inputs!$C$11+(B7452-Inputs!$C$69)/Inputs!$C$70,"")</f>
      </c>
      <c r="D7452" s="15"/>
      <c r="E7452" s="15"/>
      <c r="F7452" s="11">
        <f t="shared" si="59"/>
      </c>
      <c r="G7452" s="22" cm="1">
        <f t="array" ref="G7452">IF(AND(Inputs!$C$60,Inputs!$C$61),INDEX(Utility_Rates!$C$29:$F$52,HOUR(C7452)+Inputs!$C$69,MATCH(INDEX(Utility_Rates!$K$6:$K$17,MONTH(C7452))&amp;IF(WEEKDAY(C7452,Inputs!$C$76)&lt;=Inputs!$C$74," weekday"," weekend"),Utility_Rates!$C$28:$F$28,Inputs!$C$68)),"")</f>
      </c>
      <c r="H7452" s="34"/>
      <c r="I7452" s="42">
        <f>IF(AND(ISNUMBER(D7452),ISNUMBER(H7452)),D7452*H7452*Inputs!$C$69,"")</f>
      </c>
      <c r="J7452" s="42">
        <f>IF(AND(ISNUMBER(F7452),ISNUMBER(H7452),F7452&gt;=Inputs!$C$68),F7452*H7452*Inputs!$C$69,"")</f>
      </c>
    </row>
    <row r="7453" spans="2:10" ht="15" customHeight="1" x14ac:dyDescent="0.2">
      <c r="B7453" s="39">
        <f t="shared" si="58"/>
      </c>
      <c r="C7453" s="40">
        <f>IF(Inputs!$C$60,Inputs!$C$11+(B7453-Inputs!$C$69)/Inputs!$C$70,"")</f>
      </c>
      <c r="D7453" s="15"/>
      <c r="E7453" s="15"/>
      <c r="F7453" s="11">
        <f t="shared" si="59"/>
      </c>
      <c r="G7453" s="22" cm="1">
        <f t="array" ref="G7453">IF(AND(Inputs!$C$60,Inputs!$C$61),INDEX(Utility_Rates!$C$29:$F$52,HOUR(C7453)+Inputs!$C$69,MATCH(INDEX(Utility_Rates!$K$6:$K$17,MONTH(C7453))&amp;IF(WEEKDAY(C7453,Inputs!$C$76)&lt;=Inputs!$C$74," weekday"," weekend"),Utility_Rates!$C$28:$F$28,Inputs!$C$68)),"")</f>
      </c>
      <c r="H7453" s="34"/>
      <c r="I7453" s="42">
        <f>IF(AND(ISNUMBER(D7453),ISNUMBER(H7453)),D7453*H7453*Inputs!$C$69,"")</f>
      </c>
      <c r="J7453" s="42">
        <f>IF(AND(ISNUMBER(F7453),ISNUMBER(H7453),F7453&gt;=Inputs!$C$68),F7453*H7453*Inputs!$C$69,"")</f>
      </c>
    </row>
    <row r="7454" spans="2:10" ht="15" customHeight="1" x14ac:dyDescent="0.2">
      <c r="B7454" s="39">
        <f t="shared" si="58"/>
      </c>
      <c r="C7454" s="40">
        <f>IF(Inputs!$C$60,Inputs!$C$11+(B7454-Inputs!$C$69)/Inputs!$C$70,"")</f>
      </c>
      <c r="D7454" s="15"/>
      <c r="E7454" s="15"/>
      <c r="F7454" s="11">
        <f t="shared" si="59"/>
      </c>
      <c r="G7454" s="22" cm="1">
        <f t="array" ref="G7454">IF(AND(Inputs!$C$60,Inputs!$C$61),INDEX(Utility_Rates!$C$29:$F$52,HOUR(C7454)+Inputs!$C$69,MATCH(INDEX(Utility_Rates!$K$6:$K$17,MONTH(C7454))&amp;IF(WEEKDAY(C7454,Inputs!$C$76)&lt;=Inputs!$C$74," weekday"," weekend"),Utility_Rates!$C$28:$F$28,Inputs!$C$68)),"")</f>
      </c>
      <c r="H7454" s="34"/>
      <c r="I7454" s="42">
        <f>IF(AND(ISNUMBER(D7454),ISNUMBER(H7454)),D7454*H7454*Inputs!$C$69,"")</f>
      </c>
      <c r="J7454" s="42">
        <f>IF(AND(ISNUMBER(F7454),ISNUMBER(H7454),F7454&gt;=Inputs!$C$68),F7454*H7454*Inputs!$C$69,"")</f>
      </c>
    </row>
    <row r="7455" spans="2:10" ht="15" customHeight="1" x14ac:dyDescent="0.2">
      <c r="B7455" s="39">
        <f t="shared" si="58"/>
      </c>
      <c r="C7455" s="40">
        <f>IF(Inputs!$C$60,Inputs!$C$11+(B7455-Inputs!$C$69)/Inputs!$C$70,"")</f>
      </c>
      <c r="D7455" s="15"/>
      <c r="E7455" s="15"/>
      <c r="F7455" s="11">
        <f t="shared" si="59"/>
      </c>
      <c r="G7455" s="22" cm="1">
        <f t="array" ref="G7455">IF(AND(Inputs!$C$60,Inputs!$C$61),INDEX(Utility_Rates!$C$29:$F$52,HOUR(C7455)+Inputs!$C$69,MATCH(INDEX(Utility_Rates!$K$6:$K$17,MONTH(C7455))&amp;IF(WEEKDAY(C7455,Inputs!$C$76)&lt;=Inputs!$C$74," weekday"," weekend"),Utility_Rates!$C$28:$F$28,Inputs!$C$68)),"")</f>
      </c>
      <c r="H7455" s="34"/>
      <c r="I7455" s="42">
        <f>IF(AND(ISNUMBER(D7455),ISNUMBER(H7455)),D7455*H7455*Inputs!$C$69,"")</f>
      </c>
      <c r="J7455" s="42">
        <f>IF(AND(ISNUMBER(F7455),ISNUMBER(H7455),F7455&gt;=Inputs!$C$68),F7455*H7455*Inputs!$C$69,"")</f>
      </c>
    </row>
    <row r="7456" spans="2:10" ht="15" customHeight="1" x14ac:dyDescent="0.2">
      <c r="B7456" s="39">
        <f t="shared" si="58"/>
      </c>
      <c r="C7456" s="40">
        <f>IF(Inputs!$C$60,Inputs!$C$11+(B7456-Inputs!$C$69)/Inputs!$C$70,"")</f>
      </c>
      <c r="D7456" s="15"/>
      <c r="E7456" s="15"/>
      <c r="F7456" s="11">
        <f t="shared" si="59"/>
      </c>
      <c r="G7456" s="22" cm="1">
        <f t="array" ref="G7456">IF(AND(Inputs!$C$60,Inputs!$C$61),INDEX(Utility_Rates!$C$29:$F$52,HOUR(C7456)+Inputs!$C$69,MATCH(INDEX(Utility_Rates!$K$6:$K$17,MONTH(C7456))&amp;IF(WEEKDAY(C7456,Inputs!$C$76)&lt;=Inputs!$C$74," weekday"," weekend"),Utility_Rates!$C$28:$F$28,Inputs!$C$68)),"")</f>
      </c>
      <c r="H7456" s="34"/>
      <c r="I7456" s="42">
        <f>IF(AND(ISNUMBER(D7456),ISNUMBER(H7456)),D7456*H7456*Inputs!$C$69,"")</f>
      </c>
      <c r="J7456" s="42">
        <f>IF(AND(ISNUMBER(F7456),ISNUMBER(H7456),F7456&gt;=Inputs!$C$68),F7456*H7456*Inputs!$C$69,"")</f>
      </c>
    </row>
    <row r="7457" spans="2:10" ht="15" customHeight="1" x14ac:dyDescent="0.2">
      <c r="B7457" s="39">
        <f t="shared" si="58"/>
      </c>
      <c r="C7457" s="40">
        <f>IF(Inputs!$C$60,Inputs!$C$11+(B7457-Inputs!$C$69)/Inputs!$C$70,"")</f>
      </c>
      <c r="D7457" s="15"/>
      <c r="E7457" s="15"/>
      <c r="F7457" s="11">
        <f t="shared" si="59"/>
      </c>
      <c r="G7457" s="22" cm="1">
        <f t="array" ref="G7457">IF(AND(Inputs!$C$60,Inputs!$C$61),INDEX(Utility_Rates!$C$29:$F$52,HOUR(C7457)+Inputs!$C$69,MATCH(INDEX(Utility_Rates!$K$6:$K$17,MONTH(C7457))&amp;IF(WEEKDAY(C7457,Inputs!$C$76)&lt;=Inputs!$C$74," weekday"," weekend"),Utility_Rates!$C$28:$F$28,Inputs!$C$68)),"")</f>
      </c>
      <c r="H7457" s="34"/>
      <c r="I7457" s="42">
        <f>IF(AND(ISNUMBER(D7457),ISNUMBER(H7457)),D7457*H7457*Inputs!$C$69,"")</f>
      </c>
      <c r="J7457" s="42">
        <f>IF(AND(ISNUMBER(F7457),ISNUMBER(H7457),F7457&gt;=Inputs!$C$68),F7457*H7457*Inputs!$C$69,"")</f>
      </c>
    </row>
    <row r="7458" spans="2:10" ht="15" customHeight="1" x14ac:dyDescent="0.2">
      <c r="B7458" s="39">
        <f t="shared" si="58"/>
      </c>
      <c r="C7458" s="40">
        <f>IF(Inputs!$C$60,Inputs!$C$11+(B7458-Inputs!$C$69)/Inputs!$C$70,"")</f>
      </c>
      <c r="D7458" s="15"/>
      <c r="E7458" s="15"/>
      <c r="F7458" s="11">
        <f t="shared" si="59"/>
      </c>
      <c r="G7458" s="22" cm="1">
        <f t="array" ref="G7458">IF(AND(Inputs!$C$60,Inputs!$C$61),INDEX(Utility_Rates!$C$29:$F$52,HOUR(C7458)+Inputs!$C$69,MATCH(INDEX(Utility_Rates!$K$6:$K$17,MONTH(C7458))&amp;IF(WEEKDAY(C7458,Inputs!$C$76)&lt;=Inputs!$C$74," weekday"," weekend"),Utility_Rates!$C$28:$F$28,Inputs!$C$68)),"")</f>
      </c>
      <c r="H7458" s="34"/>
      <c r="I7458" s="42">
        <f>IF(AND(ISNUMBER(D7458),ISNUMBER(H7458)),D7458*H7458*Inputs!$C$69,"")</f>
      </c>
      <c r="J7458" s="42">
        <f>IF(AND(ISNUMBER(F7458),ISNUMBER(H7458),F7458&gt;=Inputs!$C$68),F7458*H7458*Inputs!$C$69,"")</f>
      </c>
    </row>
    <row r="7459" spans="2:10" ht="15" customHeight="1" x14ac:dyDescent="0.2">
      <c r="B7459" s="39">
        <f t="shared" si="58"/>
      </c>
      <c r="C7459" s="40">
        <f>IF(Inputs!$C$60,Inputs!$C$11+(B7459-Inputs!$C$69)/Inputs!$C$70,"")</f>
      </c>
      <c r="D7459" s="15"/>
      <c r="E7459" s="15"/>
      <c r="F7459" s="11">
        <f t="shared" si="59"/>
      </c>
      <c r="G7459" s="22" cm="1">
        <f t="array" ref="G7459">IF(AND(Inputs!$C$60,Inputs!$C$61),INDEX(Utility_Rates!$C$29:$F$52,HOUR(C7459)+Inputs!$C$69,MATCH(INDEX(Utility_Rates!$K$6:$K$17,MONTH(C7459))&amp;IF(WEEKDAY(C7459,Inputs!$C$76)&lt;=Inputs!$C$74," weekday"," weekend"),Utility_Rates!$C$28:$F$28,Inputs!$C$68)),"")</f>
      </c>
      <c r="H7459" s="34"/>
      <c r="I7459" s="42">
        <f>IF(AND(ISNUMBER(D7459),ISNUMBER(H7459)),D7459*H7459*Inputs!$C$69,"")</f>
      </c>
      <c r="J7459" s="42">
        <f>IF(AND(ISNUMBER(F7459),ISNUMBER(H7459),F7459&gt;=Inputs!$C$68),F7459*H7459*Inputs!$C$69,"")</f>
      </c>
    </row>
    <row r="7460" spans="2:10" ht="15" customHeight="1" x14ac:dyDescent="0.2">
      <c r="B7460" s="39">
        <f t="shared" si="58"/>
      </c>
      <c r="C7460" s="40">
        <f>IF(Inputs!$C$60,Inputs!$C$11+(B7460-Inputs!$C$69)/Inputs!$C$70,"")</f>
      </c>
      <c r="D7460" s="15"/>
      <c r="E7460" s="15"/>
      <c r="F7460" s="11">
        <f t="shared" si="59"/>
      </c>
      <c r="G7460" s="22" cm="1">
        <f t="array" ref="G7460">IF(AND(Inputs!$C$60,Inputs!$C$61),INDEX(Utility_Rates!$C$29:$F$52,HOUR(C7460)+Inputs!$C$69,MATCH(INDEX(Utility_Rates!$K$6:$K$17,MONTH(C7460))&amp;IF(WEEKDAY(C7460,Inputs!$C$76)&lt;=Inputs!$C$74," weekday"," weekend"),Utility_Rates!$C$28:$F$28,Inputs!$C$68)),"")</f>
      </c>
      <c r="H7460" s="34"/>
      <c r="I7460" s="42">
        <f>IF(AND(ISNUMBER(D7460),ISNUMBER(H7460)),D7460*H7460*Inputs!$C$69,"")</f>
      </c>
      <c r="J7460" s="42">
        <f>IF(AND(ISNUMBER(F7460),ISNUMBER(H7460),F7460&gt;=Inputs!$C$68),F7460*H7460*Inputs!$C$69,"")</f>
      </c>
    </row>
    <row r="7461" spans="2:10" ht="15" customHeight="1" x14ac:dyDescent="0.2">
      <c r="B7461" s="39">
        <f t="shared" si="58"/>
      </c>
      <c r="C7461" s="40">
        <f>IF(Inputs!$C$60,Inputs!$C$11+(B7461-Inputs!$C$69)/Inputs!$C$70,"")</f>
      </c>
      <c r="D7461" s="15"/>
      <c r="E7461" s="15"/>
      <c r="F7461" s="11">
        <f t="shared" si="59"/>
      </c>
      <c r="G7461" s="22" cm="1">
        <f t="array" ref="G7461">IF(AND(Inputs!$C$60,Inputs!$C$61),INDEX(Utility_Rates!$C$29:$F$52,HOUR(C7461)+Inputs!$C$69,MATCH(INDEX(Utility_Rates!$K$6:$K$17,MONTH(C7461))&amp;IF(WEEKDAY(C7461,Inputs!$C$76)&lt;=Inputs!$C$74," weekday"," weekend"),Utility_Rates!$C$28:$F$28,Inputs!$C$68)),"")</f>
      </c>
      <c r="H7461" s="34"/>
      <c r="I7461" s="42">
        <f>IF(AND(ISNUMBER(D7461),ISNUMBER(H7461)),D7461*H7461*Inputs!$C$69,"")</f>
      </c>
      <c r="J7461" s="42">
        <f>IF(AND(ISNUMBER(F7461),ISNUMBER(H7461),F7461&gt;=Inputs!$C$68),F7461*H7461*Inputs!$C$69,"")</f>
      </c>
    </row>
    <row r="7462" spans="2:10" ht="15" customHeight="1" x14ac:dyDescent="0.2">
      <c r="B7462" s="39">
        <f t="shared" si="58"/>
      </c>
      <c r="C7462" s="40">
        <f>IF(Inputs!$C$60,Inputs!$C$11+(B7462-Inputs!$C$69)/Inputs!$C$70,"")</f>
      </c>
      <c r="D7462" s="15"/>
      <c r="E7462" s="15"/>
      <c r="F7462" s="11">
        <f t="shared" si="59"/>
      </c>
      <c r="G7462" s="22" cm="1">
        <f t="array" ref="G7462">IF(AND(Inputs!$C$60,Inputs!$C$61),INDEX(Utility_Rates!$C$29:$F$52,HOUR(C7462)+Inputs!$C$69,MATCH(INDEX(Utility_Rates!$K$6:$K$17,MONTH(C7462))&amp;IF(WEEKDAY(C7462,Inputs!$C$76)&lt;=Inputs!$C$74," weekday"," weekend"),Utility_Rates!$C$28:$F$28,Inputs!$C$68)),"")</f>
      </c>
      <c r="H7462" s="34"/>
      <c r="I7462" s="42">
        <f>IF(AND(ISNUMBER(D7462),ISNUMBER(H7462)),D7462*H7462*Inputs!$C$69,"")</f>
      </c>
      <c r="J7462" s="42">
        <f>IF(AND(ISNUMBER(F7462),ISNUMBER(H7462),F7462&gt;=Inputs!$C$68),F7462*H7462*Inputs!$C$69,"")</f>
      </c>
    </row>
    <row r="7463" spans="2:10" ht="15" customHeight="1" x14ac:dyDescent="0.2">
      <c r="B7463" s="39">
        <f t="shared" si="58"/>
      </c>
      <c r="C7463" s="40">
        <f>IF(Inputs!$C$60,Inputs!$C$11+(B7463-Inputs!$C$69)/Inputs!$C$70,"")</f>
      </c>
      <c r="D7463" s="15"/>
      <c r="E7463" s="15"/>
      <c r="F7463" s="11">
        <f t="shared" si="59"/>
      </c>
      <c r="G7463" s="22" cm="1">
        <f t="array" ref="G7463">IF(AND(Inputs!$C$60,Inputs!$C$61),INDEX(Utility_Rates!$C$29:$F$52,HOUR(C7463)+Inputs!$C$69,MATCH(INDEX(Utility_Rates!$K$6:$K$17,MONTH(C7463))&amp;IF(WEEKDAY(C7463,Inputs!$C$76)&lt;=Inputs!$C$74," weekday"," weekend"),Utility_Rates!$C$28:$F$28,Inputs!$C$68)),"")</f>
      </c>
      <c r="H7463" s="34"/>
      <c r="I7463" s="42">
        <f>IF(AND(ISNUMBER(D7463),ISNUMBER(H7463)),D7463*H7463*Inputs!$C$69,"")</f>
      </c>
      <c r="J7463" s="42">
        <f>IF(AND(ISNUMBER(F7463),ISNUMBER(H7463),F7463&gt;=Inputs!$C$68),F7463*H7463*Inputs!$C$69,"")</f>
      </c>
    </row>
    <row r="7464" spans="2:10" ht="15" customHeight="1" x14ac:dyDescent="0.2">
      <c r="B7464" s="39">
        <f t="shared" si="58"/>
      </c>
      <c r="C7464" s="40">
        <f>IF(Inputs!$C$60,Inputs!$C$11+(B7464-Inputs!$C$69)/Inputs!$C$70,"")</f>
      </c>
      <c r="D7464" s="15"/>
      <c r="E7464" s="15"/>
      <c r="F7464" s="11">
        <f t="shared" si="59"/>
      </c>
      <c r="G7464" s="22" cm="1">
        <f t="array" ref="G7464">IF(AND(Inputs!$C$60,Inputs!$C$61),INDEX(Utility_Rates!$C$29:$F$52,HOUR(C7464)+Inputs!$C$69,MATCH(INDEX(Utility_Rates!$K$6:$K$17,MONTH(C7464))&amp;IF(WEEKDAY(C7464,Inputs!$C$76)&lt;=Inputs!$C$74," weekday"," weekend"),Utility_Rates!$C$28:$F$28,Inputs!$C$68)),"")</f>
      </c>
      <c r="H7464" s="34"/>
      <c r="I7464" s="42">
        <f>IF(AND(ISNUMBER(D7464),ISNUMBER(H7464)),D7464*H7464*Inputs!$C$69,"")</f>
      </c>
      <c r="J7464" s="42">
        <f>IF(AND(ISNUMBER(F7464),ISNUMBER(H7464),F7464&gt;=Inputs!$C$68),F7464*H7464*Inputs!$C$69,"")</f>
      </c>
    </row>
    <row r="7465" spans="2:10" ht="15" customHeight="1" x14ac:dyDescent="0.2">
      <c r="B7465" s="39">
        <f t="shared" si="58"/>
      </c>
      <c r="C7465" s="40">
        <f>IF(Inputs!$C$60,Inputs!$C$11+(B7465-Inputs!$C$69)/Inputs!$C$70,"")</f>
      </c>
      <c r="D7465" s="15"/>
      <c r="E7465" s="15"/>
      <c r="F7465" s="11">
        <f t="shared" si="59"/>
      </c>
      <c r="G7465" s="22" cm="1">
        <f t="array" ref="G7465">IF(AND(Inputs!$C$60,Inputs!$C$61),INDEX(Utility_Rates!$C$29:$F$52,HOUR(C7465)+Inputs!$C$69,MATCH(INDEX(Utility_Rates!$K$6:$K$17,MONTH(C7465))&amp;IF(WEEKDAY(C7465,Inputs!$C$76)&lt;=Inputs!$C$74," weekday"," weekend"),Utility_Rates!$C$28:$F$28,Inputs!$C$68)),"")</f>
      </c>
      <c r="H7465" s="34"/>
      <c r="I7465" s="42">
        <f>IF(AND(ISNUMBER(D7465),ISNUMBER(H7465)),D7465*H7465*Inputs!$C$69,"")</f>
      </c>
      <c r="J7465" s="42">
        <f>IF(AND(ISNUMBER(F7465),ISNUMBER(H7465),F7465&gt;=Inputs!$C$68),F7465*H7465*Inputs!$C$69,"")</f>
      </c>
    </row>
    <row r="7466" spans="2:10" ht="15" customHeight="1" x14ac:dyDescent="0.2">
      <c r="B7466" s="39">
        <f t="shared" si="58"/>
      </c>
      <c r="C7466" s="40">
        <f>IF(Inputs!$C$60,Inputs!$C$11+(B7466-Inputs!$C$69)/Inputs!$C$70,"")</f>
      </c>
      <c r="D7466" s="15"/>
      <c r="E7466" s="15"/>
      <c r="F7466" s="11">
        <f t="shared" si="59"/>
      </c>
      <c r="G7466" s="22" cm="1">
        <f t="array" ref="G7466">IF(AND(Inputs!$C$60,Inputs!$C$61),INDEX(Utility_Rates!$C$29:$F$52,HOUR(C7466)+Inputs!$C$69,MATCH(INDEX(Utility_Rates!$K$6:$K$17,MONTH(C7466))&amp;IF(WEEKDAY(C7466,Inputs!$C$76)&lt;=Inputs!$C$74," weekday"," weekend"),Utility_Rates!$C$28:$F$28,Inputs!$C$68)),"")</f>
      </c>
      <c r="H7466" s="34"/>
      <c r="I7466" s="42">
        <f>IF(AND(ISNUMBER(D7466),ISNUMBER(H7466)),D7466*H7466*Inputs!$C$69,"")</f>
      </c>
      <c r="J7466" s="42">
        <f>IF(AND(ISNUMBER(F7466),ISNUMBER(H7466),F7466&gt;=Inputs!$C$68),F7466*H7466*Inputs!$C$69,"")</f>
      </c>
    </row>
    <row r="7467" spans="2:10" ht="15" customHeight="1" x14ac:dyDescent="0.2">
      <c r="B7467" s="39">
        <f t="shared" si="58"/>
      </c>
      <c r="C7467" s="40">
        <f>IF(Inputs!$C$60,Inputs!$C$11+(B7467-Inputs!$C$69)/Inputs!$C$70,"")</f>
      </c>
      <c r="D7467" s="15"/>
      <c r="E7467" s="15"/>
      <c r="F7467" s="11">
        <f t="shared" si="59"/>
      </c>
      <c r="G7467" s="22" cm="1">
        <f t="array" ref="G7467">IF(AND(Inputs!$C$60,Inputs!$C$61),INDEX(Utility_Rates!$C$29:$F$52,HOUR(C7467)+Inputs!$C$69,MATCH(INDEX(Utility_Rates!$K$6:$K$17,MONTH(C7467))&amp;IF(WEEKDAY(C7467,Inputs!$C$76)&lt;=Inputs!$C$74," weekday"," weekend"),Utility_Rates!$C$28:$F$28,Inputs!$C$68)),"")</f>
      </c>
      <c r="H7467" s="34"/>
      <c r="I7467" s="42">
        <f>IF(AND(ISNUMBER(D7467),ISNUMBER(H7467)),D7467*H7467*Inputs!$C$69,"")</f>
      </c>
      <c r="J7467" s="42">
        <f>IF(AND(ISNUMBER(F7467),ISNUMBER(H7467),F7467&gt;=Inputs!$C$68),F7467*H7467*Inputs!$C$69,"")</f>
      </c>
    </row>
    <row r="7468" spans="2:10" ht="15" customHeight="1" x14ac:dyDescent="0.2">
      <c r="B7468" s="39">
        <f t="shared" si="58"/>
      </c>
      <c r="C7468" s="40">
        <f>IF(Inputs!$C$60,Inputs!$C$11+(B7468-Inputs!$C$69)/Inputs!$C$70,"")</f>
      </c>
      <c r="D7468" s="15"/>
      <c r="E7468" s="15"/>
      <c r="F7468" s="11">
        <f t="shared" si="59"/>
      </c>
      <c r="G7468" s="22" cm="1">
        <f t="array" ref="G7468">IF(AND(Inputs!$C$60,Inputs!$C$61),INDEX(Utility_Rates!$C$29:$F$52,HOUR(C7468)+Inputs!$C$69,MATCH(INDEX(Utility_Rates!$K$6:$K$17,MONTH(C7468))&amp;IF(WEEKDAY(C7468,Inputs!$C$76)&lt;=Inputs!$C$74," weekday"," weekend"),Utility_Rates!$C$28:$F$28,Inputs!$C$68)),"")</f>
      </c>
      <c r="H7468" s="34"/>
      <c r="I7468" s="42">
        <f>IF(AND(ISNUMBER(D7468),ISNUMBER(H7468)),D7468*H7468*Inputs!$C$69,"")</f>
      </c>
      <c r="J7468" s="42">
        <f>IF(AND(ISNUMBER(F7468),ISNUMBER(H7468),F7468&gt;=Inputs!$C$68),F7468*H7468*Inputs!$C$69,"")</f>
      </c>
    </row>
    <row r="7469" spans="2:10" ht="15" customHeight="1" x14ac:dyDescent="0.2">
      <c r="B7469" s="39">
        <f t="shared" si="58"/>
      </c>
      <c r="C7469" s="40">
        <f>IF(Inputs!$C$60,Inputs!$C$11+(B7469-Inputs!$C$69)/Inputs!$C$70,"")</f>
      </c>
      <c r="D7469" s="15"/>
      <c r="E7469" s="15"/>
      <c r="F7469" s="11">
        <f t="shared" si="59"/>
      </c>
      <c r="G7469" s="22" cm="1">
        <f t="array" ref="G7469">IF(AND(Inputs!$C$60,Inputs!$C$61),INDEX(Utility_Rates!$C$29:$F$52,HOUR(C7469)+Inputs!$C$69,MATCH(INDEX(Utility_Rates!$K$6:$K$17,MONTH(C7469))&amp;IF(WEEKDAY(C7469,Inputs!$C$76)&lt;=Inputs!$C$74," weekday"," weekend"),Utility_Rates!$C$28:$F$28,Inputs!$C$68)),"")</f>
      </c>
      <c r="H7469" s="34"/>
      <c r="I7469" s="42">
        <f>IF(AND(ISNUMBER(D7469),ISNUMBER(H7469)),D7469*H7469*Inputs!$C$69,"")</f>
      </c>
      <c r="J7469" s="42">
        <f>IF(AND(ISNUMBER(F7469),ISNUMBER(H7469),F7469&gt;=Inputs!$C$68),F7469*H7469*Inputs!$C$69,"")</f>
      </c>
    </row>
    <row r="7470" spans="2:10" ht="15" customHeight="1" x14ac:dyDescent="0.2">
      <c r="B7470" s="39">
        <f t="shared" si="58"/>
      </c>
      <c r="C7470" s="40">
        <f>IF(Inputs!$C$60,Inputs!$C$11+(B7470-Inputs!$C$69)/Inputs!$C$70,"")</f>
      </c>
      <c r="D7470" s="15"/>
      <c r="E7470" s="15"/>
      <c r="F7470" s="11">
        <f t="shared" si="59"/>
      </c>
      <c r="G7470" s="22" cm="1">
        <f t="array" ref="G7470">IF(AND(Inputs!$C$60,Inputs!$C$61),INDEX(Utility_Rates!$C$29:$F$52,HOUR(C7470)+Inputs!$C$69,MATCH(INDEX(Utility_Rates!$K$6:$K$17,MONTH(C7470))&amp;IF(WEEKDAY(C7470,Inputs!$C$76)&lt;=Inputs!$C$74," weekday"," weekend"),Utility_Rates!$C$28:$F$28,Inputs!$C$68)),"")</f>
      </c>
      <c r="H7470" s="34"/>
      <c r="I7470" s="42">
        <f>IF(AND(ISNUMBER(D7470),ISNUMBER(H7470)),D7470*H7470*Inputs!$C$69,"")</f>
      </c>
      <c r="J7470" s="42">
        <f>IF(AND(ISNUMBER(F7470),ISNUMBER(H7470),F7470&gt;=Inputs!$C$68),F7470*H7470*Inputs!$C$69,"")</f>
      </c>
    </row>
    <row r="7471" spans="2:10" ht="15" customHeight="1" x14ac:dyDescent="0.2">
      <c r="B7471" s="39">
        <f t="shared" si="58"/>
      </c>
      <c r="C7471" s="40">
        <f>IF(Inputs!$C$60,Inputs!$C$11+(B7471-Inputs!$C$69)/Inputs!$C$70,"")</f>
      </c>
      <c r="D7471" s="15"/>
      <c r="E7471" s="15"/>
      <c r="F7471" s="11">
        <f t="shared" si="59"/>
      </c>
      <c r="G7471" s="22" cm="1">
        <f t="array" ref="G7471">IF(AND(Inputs!$C$60,Inputs!$C$61),INDEX(Utility_Rates!$C$29:$F$52,HOUR(C7471)+Inputs!$C$69,MATCH(INDEX(Utility_Rates!$K$6:$K$17,MONTH(C7471))&amp;IF(WEEKDAY(C7471,Inputs!$C$76)&lt;=Inputs!$C$74," weekday"," weekend"),Utility_Rates!$C$28:$F$28,Inputs!$C$68)),"")</f>
      </c>
      <c r="H7471" s="34"/>
      <c r="I7471" s="42">
        <f>IF(AND(ISNUMBER(D7471),ISNUMBER(H7471)),D7471*H7471*Inputs!$C$69,"")</f>
      </c>
      <c r="J7471" s="42">
        <f>IF(AND(ISNUMBER(F7471),ISNUMBER(H7471),F7471&gt;=Inputs!$C$68),F7471*H7471*Inputs!$C$69,"")</f>
      </c>
    </row>
    <row r="7472" spans="2:10" ht="15" customHeight="1" x14ac:dyDescent="0.2">
      <c r="B7472" s="39">
        <f t="shared" si="58"/>
      </c>
      <c r="C7472" s="40">
        <f>IF(Inputs!$C$60,Inputs!$C$11+(B7472-Inputs!$C$69)/Inputs!$C$70,"")</f>
      </c>
      <c r="D7472" s="15"/>
      <c r="E7472" s="15"/>
      <c r="F7472" s="11">
        <f t="shared" si="59"/>
      </c>
      <c r="G7472" s="22" cm="1">
        <f t="array" ref="G7472">IF(AND(Inputs!$C$60,Inputs!$C$61),INDEX(Utility_Rates!$C$29:$F$52,HOUR(C7472)+Inputs!$C$69,MATCH(INDEX(Utility_Rates!$K$6:$K$17,MONTH(C7472))&amp;IF(WEEKDAY(C7472,Inputs!$C$76)&lt;=Inputs!$C$74," weekday"," weekend"),Utility_Rates!$C$28:$F$28,Inputs!$C$68)),"")</f>
      </c>
      <c r="H7472" s="34"/>
      <c r="I7472" s="42">
        <f>IF(AND(ISNUMBER(D7472),ISNUMBER(H7472)),D7472*H7472*Inputs!$C$69,"")</f>
      </c>
      <c r="J7472" s="42">
        <f>IF(AND(ISNUMBER(F7472),ISNUMBER(H7472),F7472&gt;=Inputs!$C$68),F7472*H7472*Inputs!$C$69,"")</f>
      </c>
    </row>
    <row r="7473" spans="2:10" ht="15" customHeight="1" x14ac:dyDescent="0.2">
      <c r="B7473" s="39">
        <f t="shared" si="58"/>
      </c>
      <c r="C7473" s="40">
        <f>IF(Inputs!$C$60,Inputs!$C$11+(B7473-Inputs!$C$69)/Inputs!$C$70,"")</f>
      </c>
      <c r="D7473" s="15"/>
      <c r="E7473" s="15"/>
      <c r="F7473" s="11">
        <f t="shared" si="59"/>
      </c>
      <c r="G7473" s="22" cm="1">
        <f t="array" ref="G7473">IF(AND(Inputs!$C$60,Inputs!$C$61),INDEX(Utility_Rates!$C$29:$F$52,HOUR(C7473)+Inputs!$C$69,MATCH(INDEX(Utility_Rates!$K$6:$K$17,MONTH(C7473))&amp;IF(WEEKDAY(C7473,Inputs!$C$76)&lt;=Inputs!$C$74," weekday"," weekend"),Utility_Rates!$C$28:$F$28,Inputs!$C$68)),"")</f>
      </c>
      <c r="H7473" s="34"/>
      <c r="I7473" s="42">
        <f>IF(AND(ISNUMBER(D7473),ISNUMBER(H7473)),D7473*H7473*Inputs!$C$69,"")</f>
      </c>
      <c r="J7473" s="42">
        <f>IF(AND(ISNUMBER(F7473),ISNUMBER(H7473),F7473&gt;=Inputs!$C$68),F7473*H7473*Inputs!$C$69,"")</f>
      </c>
    </row>
    <row r="7474" spans="2:10" ht="15" customHeight="1" x14ac:dyDescent="0.2">
      <c r="B7474" s="39">
        <f t="shared" si="58"/>
      </c>
      <c r="C7474" s="40">
        <f>IF(Inputs!$C$60,Inputs!$C$11+(B7474-Inputs!$C$69)/Inputs!$C$70,"")</f>
      </c>
      <c r="D7474" s="15"/>
      <c r="E7474" s="15"/>
      <c r="F7474" s="11">
        <f t="shared" si="59"/>
      </c>
      <c r="G7474" s="22" cm="1">
        <f t="array" ref="G7474">IF(AND(Inputs!$C$60,Inputs!$C$61),INDEX(Utility_Rates!$C$29:$F$52,HOUR(C7474)+Inputs!$C$69,MATCH(INDEX(Utility_Rates!$K$6:$K$17,MONTH(C7474))&amp;IF(WEEKDAY(C7474,Inputs!$C$76)&lt;=Inputs!$C$74," weekday"," weekend"),Utility_Rates!$C$28:$F$28,Inputs!$C$68)),"")</f>
      </c>
      <c r="H7474" s="34"/>
      <c r="I7474" s="42">
        <f>IF(AND(ISNUMBER(D7474),ISNUMBER(H7474)),D7474*H7474*Inputs!$C$69,"")</f>
      </c>
      <c r="J7474" s="42">
        <f>IF(AND(ISNUMBER(F7474),ISNUMBER(H7474),F7474&gt;=Inputs!$C$68),F7474*H7474*Inputs!$C$69,"")</f>
      </c>
    </row>
    <row r="7475" spans="2:10" ht="15" customHeight="1" x14ac:dyDescent="0.2">
      <c r="B7475" s="39">
        <f t="shared" si="58"/>
      </c>
      <c r="C7475" s="40">
        <f>IF(Inputs!$C$60,Inputs!$C$11+(B7475-Inputs!$C$69)/Inputs!$C$70,"")</f>
      </c>
      <c r="D7475" s="15"/>
      <c r="E7475" s="15"/>
      <c r="F7475" s="11">
        <f t="shared" si="59"/>
      </c>
      <c r="G7475" s="22" cm="1">
        <f t="array" ref="G7475">IF(AND(Inputs!$C$60,Inputs!$C$61),INDEX(Utility_Rates!$C$29:$F$52,HOUR(C7475)+Inputs!$C$69,MATCH(INDEX(Utility_Rates!$K$6:$K$17,MONTH(C7475))&amp;IF(WEEKDAY(C7475,Inputs!$C$76)&lt;=Inputs!$C$74," weekday"," weekend"),Utility_Rates!$C$28:$F$28,Inputs!$C$68)),"")</f>
      </c>
      <c r="H7475" s="34"/>
      <c r="I7475" s="42">
        <f>IF(AND(ISNUMBER(D7475),ISNUMBER(H7475)),D7475*H7475*Inputs!$C$69,"")</f>
      </c>
      <c r="J7475" s="42">
        <f>IF(AND(ISNUMBER(F7475),ISNUMBER(H7475),F7475&gt;=Inputs!$C$68),F7475*H7475*Inputs!$C$69,"")</f>
      </c>
    </row>
    <row r="7476" spans="2:10" ht="15" customHeight="1" x14ac:dyDescent="0.2">
      <c r="B7476" s="39">
        <f t="shared" si="58"/>
      </c>
      <c r="C7476" s="40">
        <f>IF(Inputs!$C$60,Inputs!$C$11+(B7476-Inputs!$C$69)/Inputs!$C$70,"")</f>
      </c>
      <c r="D7476" s="15"/>
      <c r="E7476" s="15"/>
      <c r="F7476" s="11">
        <f t="shared" si="59"/>
      </c>
      <c r="G7476" s="22" cm="1">
        <f t="array" ref="G7476">IF(AND(Inputs!$C$60,Inputs!$C$61),INDEX(Utility_Rates!$C$29:$F$52,HOUR(C7476)+Inputs!$C$69,MATCH(INDEX(Utility_Rates!$K$6:$K$17,MONTH(C7476))&amp;IF(WEEKDAY(C7476,Inputs!$C$76)&lt;=Inputs!$C$74," weekday"," weekend"),Utility_Rates!$C$28:$F$28,Inputs!$C$68)),"")</f>
      </c>
      <c r="H7476" s="34"/>
      <c r="I7476" s="42">
        <f>IF(AND(ISNUMBER(D7476),ISNUMBER(H7476)),D7476*H7476*Inputs!$C$69,"")</f>
      </c>
      <c r="J7476" s="42">
        <f>IF(AND(ISNUMBER(F7476),ISNUMBER(H7476),F7476&gt;=Inputs!$C$68),F7476*H7476*Inputs!$C$69,"")</f>
      </c>
    </row>
    <row r="7477" spans="2:10" ht="15" customHeight="1" x14ac:dyDescent="0.2">
      <c r="B7477" s="39">
        <f t="shared" si="58"/>
      </c>
      <c r="C7477" s="40">
        <f>IF(Inputs!$C$60,Inputs!$C$11+(B7477-Inputs!$C$69)/Inputs!$C$70,"")</f>
      </c>
      <c r="D7477" s="15"/>
      <c r="E7477" s="15"/>
      <c r="F7477" s="11">
        <f t="shared" si="59"/>
      </c>
      <c r="G7477" s="22" cm="1">
        <f t="array" ref="G7477">IF(AND(Inputs!$C$60,Inputs!$C$61),INDEX(Utility_Rates!$C$29:$F$52,HOUR(C7477)+Inputs!$C$69,MATCH(INDEX(Utility_Rates!$K$6:$K$17,MONTH(C7477))&amp;IF(WEEKDAY(C7477,Inputs!$C$76)&lt;=Inputs!$C$74," weekday"," weekend"),Utility_Rates!$C$28:$F$28,Inputs!$C$68)),"")</f>
      </c>
      <c r="H7477" s="34"/>
      <c r="I7477" s="42">
        <f>IF(AND(ISNUMBER(D7477),ISNUMBER(H7477)),D7477*H7477*Inputs!$C$69,"")</f>
      </c>
      <c r="J7477" s="42">
        <f>IF(AND(ISNUMBER(F7477),ISNUMBER(H7477),F7477&gt;=Inputs!$C$68),F7477*H7477*Inputs!$C$69,"")</f>
      </c>
    </row>
    <row r="7478" spans="2:10" ht="15" customHeight="1" x14ac:dyDescent="0.2">
      <c r="B7478" s="39">
        <f t="shared" si="58"/>
      </c>
      <c r="C7478" s="40">
        <f>IF(Inputs!$C$60,Inputs!$C$11+(B7478-Inputs!$C$69)/Inputs!$C$70,"")</f>
      </c>
      <c r="D7478" s="15"/>
      <c r="E7478" s="15"/>
      <c r="F7478" s="11">
        <f t="shared" si="59"/>
      </c>
      <c r="G7478" s="22" cm="1">
        <f t="array" ref="G7478">IF(AND(Inputs!$C$60,Inputs!$C$61),INDEX(Utility_Rates!$C$29:$F$52,HOUR(C7478)+Inputs!$C$69,MATCH(INDEX(Utility_Rates!$K$6:$K$17,MONTH(C7478))&amp;IF(WEEKDAY(C7478,Inputs!$C$76)&lt;=Inputs!$C$74," weekday"," weekend"),Utility_Rates!$C$28:$F$28,Inputs!$C$68)),"")</f>
      </c>
      <c r="H7478" s="34"/>
      <c r="I7478" s="42">
        <f>IF(AND(ISNUMBER(D7478),ISNUMBER(H7478)),D7478*H7478*Inputs!$C$69,"")</f>
      </c>
      <c r="J7478" s="42">
        <f>IF(AND(ISNUMBER(F7478),ISNUMBER(H7478),F7478&gt;=Inputs!$C$68),F7478*H7478*Inputs!$C$69,"")</f>
      </c>
    </row>
    <row r="7479" spans="2:10" ht="15" customHeight="1" x14ac:dyDescent="0.2">
      <c r="B7479" s="39">
        <f t="shared" si="58"/>
      </c>
      <c r="C7479" s="40">
        <f>IF(Inputs!$C$60,Inputs!$C$11+(B7479-Inputs!$C$69)/Inputs!$C$70,"")</f>
      </c>
      <c r="D7479" s="15"/>
      <c r="E7479" s="15"/>
      <c r="F7479" s="11">
        <f t="shared" si="59"/>
      </c>
      <c r="G7479" s="22" cm="1">
        <f t="array" ref="G7479">IF(AND(Inputs!$C$60,Inputs!$C$61),INDEX(Utility_Rates!$C$29:$F$52,HOUR(C7479)+Inputs!$C$69,MATCH(INDEX(Utility_Rates!$K$6:$K$17,MONTH(C7479))&amp;IF(WEEKDAY(C7479,Inputs!$C$76)&lt;=Inputs!$C$74," weekday"," weekend"),Utility_Rates!$C$28:$F$28,Inputs!$C$68)),"")</f>
      </c>
      <c r="H7479" s="34"/>
      <c r="I7479" s="42">
        <f>IF(AND(ISNUMBER(D7479),ISNUMBER(H7479)),D7479*H7479*Inputs!$C$69,"")</f>
      </c>
      <c r="J7479" s="42">
        <f>IF(AND(ISNUMBER(F7479),ISNUMBER(H7479),F7479&gt;=Inputs!$C$68),F7479*H7479*Inputs!$C$69,"")</f>
      </c>
    </row>
    <row r="7480" spans="2:10" ht="15" customHeight="1" x14ac:dyDescent="0.2">
      <c r="B7480" s="39">
        <f t="shared" si="58"/>
      </c>
      <c r="C7480" s="40">
        <f>IF(Inputs!$C$60,Inputs!$C$11+(B7480-Inputs!$C$69)/Inputs!$C$70,"")</f>
      </c>
      <c r="D7480" s="15"/>
      <c r="E7480" s="15"/>
      <c r="F7480" s="11">
        <f t="shared" si="59"/>
      </c>
      <c r="G7480" s="22" cm="1">
        <f t="array" ref="G7480">IF(AND(Inputs!$C$60,Inputs!$C$61),INDEX(Utility_Rates!$C$29:$F$52,HOUR(C7480)+Inputs!$C$69,MATCH(INDEX(Utility_Rates!$K$6:$K$17,MONTH(C7480))&amp;IF(WEEKDAY(C7480,Inputs!$C$76)&lt;=Inputs!$C$74," weekday"," weekend"),Utility_Rates!$C$28:$F$28,Inputs!$C$68)),"")</f>
      </c>
      <c r="H7480" s="34"/>
      <c r="I7480" s="42">
        <f>IF(AND(ISNUMBER(D7480),ISNUMBER(H7480)),D7480*H7480*Inputs!$C$69,"")</f>
      </c>
      <c r="J7480" s="42">
        <f>IF(AND(ISNUMBER(F7480),ISNUMBER(H7480),F7480&gt;=Inputs!$C$68),F7480*H7480*Inputs!$C$69,"")</f>
      </c>
    </row>
    <row r="7481" spans="2:10" ht="15" customHeight="1" x14ac:dyDescent="0.2">
      <c r="B7481" s="39">
        <f t="shared" si="58"/>
      </c>
      <c r="C7481" s="40">
        <f>IF(Inputs!$C$60,Inputs!$C$11+(B7481-Inputs!$C$69)/Inputs!$C$70,"")</f>
      </c>
      <c r="D7481" s="15"/>
      <c r="E7481" s="15"/>
      <c r="F7481" s="11">
        <f t="shared" si="59"/>
      </c>
      <c r="G7481" s="22" cm="1">
        <f t="array" ref="G7481">IF(AND(Inputs!$C$60,Inputs!$C$61),INDEX(Utility_Rates!$C$29:$F$52,HOUR(C7481)+Inputs!$C$69,MATCH(INDEX(Utility_Rates!$K$6:$K$17,MONTH(C7481))&amp;IF(WEEKDAY(C7481,Inputs!$C$76)&lt;=Inputs!$C$74," weekday"," weekend"),Utility_Rates!$C$28:$F$28,Inputs!$C$68)),"")</f>
      </c>
      <c r="H7481" s="34"/>
      <c r="I7481" s="42">
        <f>IF(AND(ISNUMBER(D7481),ISNUMBER(H7481)),D7481*H7481*Inputs!$C$69,"")</f>
      </c>
      <c r="J7481" s="42">
        <f>IF(AND(ISNUMBER(F7481),ISNUMBER(H7481),F7481&gt;=Inputs!$C$68),F7481*H7481*Inputs!$C$69,"")</f>
      </c>
    </row>
    <row r="7482" spans="2:10" ht="15" customHeight="1" x14ac:dyDescent="0.2">
      <c r="B7482" s="39">
        <f t="shared" si="58"/>
      </c>
      <c r="C7482" s="40">
        <f>IF(Inputs!$C$60,Inputs!$C$11+(B7482-Inputs!$C$69)/Inputs!$C$70,"")</f>
      </c>
      <c r="D7482" s="15"/>
      <c r="E7482" s="15"/>
      <c r="F7482" s="11">
        <f t="shared" si="59"/>
      </c>
      <c r="G7482" s="22" cm="1">
        <f t="array" ref="G7482">IF(AND(Inputs!$C$60,Inputs!$C$61),INDEX(Utility_Rates!$C$29:$F$52,HOUR(C7482)+Inputs!$C$69,MATCH(INDEX(Utility_Rates!$K$6:$K$17,MONTH(C7482))&amp;IF(WEEKDAY(C7482,Inputs!$C$76)&lt;=Inputs!$C$74," weekday"," weekend"),Utility_Rates!$C$28:$F$28,Inputs!$C$68)),"")</f>
      </c>
      <c r="H7482" s="34"/>
      <c r="I7482" s="42">
        <f>IF(AND(ISNUMBER(D7482),ISNUMBER(H7482)),D7482*H7482*Inputs!$C$69,"")</f>
      </c>
      <c r="J7482" s="42">
        <f>IF(AND(ISNUMBER(F7482),ISNUMBER(H7482),F7482&gt;=Inputs!$C$68),F7482*H7482*Inputs!$C$69,"")</f>
      </c>
    </row>
    <row r="7483" spans="2:10" ht="15" customHeight="1" x14ac:dyDescent="0.2">
      <c r="B7483" s="39">
        <f t="shared" si="58"/>
      </c>
      <c r="C7483" s="40">
        <f>IF(Inputs!$C$60,Inputs!$C$11+(B7483-Inputs!$C$69)/Inputs!$C$70,"")</f>
      </c>
      <c r="D7483" s="15"/>
      <c r="E7483" s="15"/>
      <c r="F7483" s="11">
        <f t="shared" si="59"/>
      </c>
      <c r="G7483" s="22" cm="1">
        <f t="array" ref="G7483">IF(AND(Inputs!$C$60,Inputs!$C$61),INDEX(Utility_Rates!$C$29:$F$52,HOUR(C7483)+Inputs!$C$69,MATCH(INDEX(Utility_Rates!$K$6:$K$17,MONTH(C7483))&amp;IF(WEEKDAY(C7483,Inputs!$C$76)&lt;=Inputs!$C$74," weekday"," weekend"),Utility_Rates!$C$28:$F$28,Inputs!$C$68)),"")</f>
      </c>
      <c r="H7483" s="34"/>
      <c r="I7483" s="42">
        <f>IF(AND(ISNUMBER(D7483),ISNUMBER(H7483)),D7483*H7483*Inputs!$C$69,"")</f>
      </c>
      <c r="J7483" s="42">
        <f>IF(AND(ISNUMBER(F7483),ISNUMBER(H7483),F7483&gt;=Inputs!$C$68),F7483*H7483*Inputs!$C$69,"")</f>
      </c>
    </row>
    <row r="7484" spans="2:10" ht="15" customHeight="1" x14ac:dyDescent="0.2">
      <c r="B7484" s="39">
        <f t="shared" si="58"/>
      </c>
      <c r="C7484" s="40">
        <f>IF(Inputs!$C$60,Inputs!$C$11+(B7484-Inputs!$C$69)/Inputs!$C$70,"")</f>
      </c>
      <c r="D7484" s="15"/>
      <c r="E7484" s="15"/>
      <c r="F7484" s="11">
        <f t="shared" si="59"/>
      </c>
      <c r="G7484" s="22" cm="1">
        <f t="array" ref="G7484">IF(AND(Inputs!$C$60,Inputs!$C$61),INDEX(Utility_Rates!$C$29:$F$52,HOUR(C7484)+Inputs!$C$69,MATCH(INDEX(Utility_Rates!$K$6:$K$17,MONTH(C7484))&amp;IF(WEEKDAY(C7484,Inputs!$C$76)&lt;=Inputs!$C$74," weekday"," weekend"),Utility_Rates!$C$28:$F$28,Inputs!$C$68)),"")</f>
      </c>
      <c r="H7484" s="34"/>
      <c r="I7484" s="42">
        <f>IF(AND(ISNUMBER(D7484),ISNUMBER(H7484)),D7484*H7484*Inputs!$C$69,"")</f>
      </c>
      <c r="J7484" s="42">
        <f>IF(AND(ISNUMBER(F7484),ISNUMBER(H7484),F7484&gt;=Inputs!$C$68),F7484*H7484*Inputs!$C$69,"")</f>
      </c>
    </row>
    <row r="7485" spans="2:10" ht="15" customHeight="1" x14ac:dyDescent="0.2">
      <c r="B7485" s="39">
        <f t="shared" si="58"/>
      </c>
      <c r="C7485" s="40">
        <f>IF(Inputs!$C$60,Inputs!$C$11+(B7485-Inputs!$C$69)/Inputs!$C$70,"")</f>
      </c>
      <c r="D7485" s="15"/>
      <c r="E7485" s="15"/>
      <c r="F7485" s="11">
        <f t="shared" si="59"/>
      </c>
      <c r="G7485" s="22" cm="1">
        <f t="array" ref="G7485">IF(AND(Inputs!$C$60,Inputs!$C$61),INDEX(Utility_Rates!$C$29:$F$52,HOUR(C7485)+Inputs!$C$69,MATCH(INDEX(Utility_Rates!$K$6:$K$17,MONTH(C7485))&amp;IF(WEEKDAY(C7485,Inputs!$C$76)&lt;=Inputs!$C$74," weekday"," weekend"),Utility_Rates!$C$28:$F$28,Inputs!$C$68)),"")</f>
      </c>
      <c r="H7485" s="34"/>
      <c r="I7485" s="42">
        <f>IF(AND(ISNUMBER(D7485),ISNUMBER(H7485)),D7485*H7485*Inputs!$C$69,"")</f>
      </c>
      <c r="J7485" s="42">
        <f>IF(AND(ISNUMBER(F7485),ISNUMBER(H7485),F7485&gt;=Inputs!$C$68),F7485*H7485*Inputs!$C$69,"")</f>
      </c>
    </row>
    <row r="7486" spans="2:10" ht="15" customHeight="1" x14ac:dyDescent="0.2">
      <c r="B7486" s="39">
        <f t="shared" si="58"/>
      </c>
      <c r="C7486" s="40">
        <f>IF(Inputs!$C$60,Inputs!$C$11+(B7486-Inputs!$C$69)/Inputs!$C$70,"")</f>
      </c>
      <c r="D7486" s="15"/>
      <c r="E7486" s="15"/>
      <c r="F7486" s="11">
        <f t="shared" si="59"/>
      </c>
      <c r="G7486" s="22" cm="1">
        <f t="array" ref="G7486">IF(AND(Inputs!$C$60,Inputs!$C$61),INDEX(Utility_Rates!$C$29:$F$52,HOUR(C7486)+Inputs!$C$69,MATCH(INDEX(Utility_Rates!$K$6:$K$17,MONTH(C7486))&amp;IF(WEEKDAY(C7486,Inputs!$C$76)&lt;=Inputs!$C$74," weekday"," weekend"),Utility_Rates!$C$28:$F$28,Inputs!$C$68)),"")</f>
      </c>
      <c r="H7486" s="34"/>
      <c r="I7486" s="42">
        <f>IF(AND(ISNUMBER(D7486),ISNUMBER(H7486)),D7486*H7486*Inputs!$C$69,"")</f>
      </c>
      <c r="J7486" s="42">
        <f>IF(AND(ISNUMBER(F7486),ISNUMBER(H7486),F7486&gt;=Inputs!$C$68),F7486*H7486*Inputs!$C$69,"")</f>
      </c>
    </row>
    <row r="7487" spans="2:10" ht="15" customHeight="1" x14ac:dyDescent="0.2">
      <c r="B7487" s="39">
        <f t="shared" si="58"/>
      </c>
      <c r="C7487" s="40">
        <f>IF(Inputs!$C$60,Inputs!$C$11+(B7487-Inputs!$C$69)/Inputs!$C$70,"")</f>
      </c>
      <c r="D7487" s="15"/>
      <c r="E7487" s="15"/>
      <c r="F7487" s="11">
        <f t="shared" si="59"/>
      </c>
      <c r="G7487" s="22" cm="1">
        <f t="array" ref="G7487">IF(AND(Inputs!$C$60,Inputs!$C$61),INDEX(Utility_Rates!$C$29:$F$52,HOUR(C7487)+Inputs!$C$69,MATCH(INDEX(Utility_Rates!$K$6:$K$17,MONTH(C7487))&amp;IF(WEEKDAY(C7487,Inputs!$C$76)&lt;=Inputs!$C$74," weekday"," weekend"),Utility_Rates!$C$28:$F$28,Inputs!$C$68)),"")</f>
      </c>
      <c r="H7487" s="34"/>
      <c r="I7487" s="42">
        <f>IF(AND(ISNUMBER(D7487),ISNUMBER(H7487)),D7487*H7487*Inputs!$C$69,"")</f>
      </c>
      <c r="J7487" s="42">
        <f>IF(AND(ISNUMBER(F7487),ISNUMBER(H7487),F7487&gt;=Inputs!$C$68),F7487*H7487*Inputs!$C$69,"")</f>
      </c>
    </row>
    <row r="7488" spans="2:10" ht="15" customHeight="1" x14ac:dyDescent="0.2">
      <c r="B7488" s="39">
        <f t="shared" si="58"/>
      </c>
      <c r="C7488" s="40">
        <f>IF(Inputs!$C$60,Inputs!$C$11+(B7488-Inputs!$C$69)/Inputs!$C$70,"")</f>
      </c>
      <c r="D7488" s="15"/>
      <c r="E7488" s="15"/>
      <c r="F7488" s="11">
        <f t="shared" si="59"/>
      </c>
      <c r="G7488" s="22" cm="1">
        <f t="array" ref="G7488">IF(AND(Inputs!$C$60,Inputs!$C$61),INDEX(Utility_Rates!$C$29:$F$52,HOUR(C7488)+Inputs!$C$69,MATCH(INDEX(Utility_Rates!$K$6:$K$17,MONTH(C7488))&amp;IF(WEEKDAY(C7488,Inputs!$C$76)&lt;=Inputs!$C$74," weekday"," weekend"),Utility_Rates!$C$28:$F$28,Inputs!$C$68)),"")</f>
      </c>
      <c r="H7488" s="34"/>
      <c r="I7488" s="42">
        <f>IF(AND(ISNUMBER(D7488),ISNUMBER(H7488)),D7488*H7488*Inputs!$C$69,"")</f>
      </c>
      <c r="J7488" s="42">
        <f>IF(AND(ISNUMBER(F7488),ISNUMBER(H7488),F7488&gt;=Inputs!$C$68),F7488*H7488*Inputs!$C$69,"")</f>
      </c>
    </row>
    <row r="7489" spans="2:10" ht="15" customHeight="1" x14ac:dyDescent="0.2">
      <c r="B7489" s="39">
        <f t="shared" si="58"/>
      </c>
      <c r="C7489" s="40">
        <f>IF(Inputs!$C$60,Inputs!$C$11+(B7489-Inputs!$C$69)/Inputs!$C$70,"")</f>
      </c>
      <c r="D7489" s="15"/>
      <c r="E7489" s="15"/>
      <c r="F7489" s="11">
        <f t="shared" si="59"/>
      </c>
      <c r="G7489" s="22" cm="1">
        <f t="array" ref="G7489">IF(AND(Inputs!$C$60,Inputs!$C$61),INDEX(Utility_Rates!$C$29:$F$52,HOUR(C7489)+Inputs!$C$69,MATCH(INDEX(Utility_Rates!$K$6:$K$17,MONTH(C7489))&amp;IF(WEEKDAY(C7489,Inputs!$C$76)&lt;=Inputs!$C$74," weekday"," weekend"),Utility_Rates!$C$28:$F$28,Inputs!$C$68)),"")</f>
      </c>
      <c r="H7489" s="34"/>
      <c r="I7489" s="42">
        <f>IF(AND(ISNUMBER(D7489),ISNUMBER(H7489)),D7489*H7489*Inputs!$C$69,"")</f>
      </c>
      <c r="J7489" s="42">
        <f>IF(AND(ISNUMBER(F7489),ISNUMBER(H7489),F7489&gt;=Inputs!$C$68),F7489*H7489*Inputs!$C$69,"")</f>
      </c>
    </row>
    <row r="7490" spans="2:10" ht="15" customHeight="1" x14ac:dyDescent="0.2">
      <c r="B7490" s="39">
        <f t="shared" si="58"/>
      </c>
      <c r="C7490" s="40">
        <f>IF(Inputs!$C$60,Inputs!$C$11+(B7490-Inputs!$C$69)/Inputs!$C$70,"")</f>
      </c>
      <c r="D7490" s="15"/>
      <c r="E7490" s="15"/>
      <c r="F7490" s="11">
        <f t="shared" si="59"/>
      </c>
      <c r="G7490" s="22" cm="1">
        <f t="array" ref="G7490">IF(AND(Inputs!$C$60,Inputs!$C$61),INDEX(Utility_Rates!$C$29:$F$52,HOUR(C7490)+Inputs!$C$69,MATCH(INDEX(Utility_Rates!$K$6:$K$17,MONTH(C7490))&amp;IF(WEEKDAY(C7490,Inputs!$C$76)&lt;=Inputs!$C$74," weekday"," weekend"),Utility_Rates!$C$28:$F$28,Inputs!$C$68)),"")</f>
      </c>
      <c r="H7490" s="34"/>
      <c r="I7490" s="42">
        <f>IF(AND(ISNUMBER(D7490),ISNUMBER(H7490)),D7490*H7490*Inputs!$C$69,"")</f>
      </c>
      <c r="J7490" s="42">
        <f>IF(AND(ISNUMBER(F7490),ISNUMBER(H7490),F7490&gt;=Inputs!$C$68),F7490*H7490*Inputs!$C$69,"")</f>
      </c>
    </row>
    <row r="7491" spans="2:10" ht="15" customHeight="1" x14ac:dyDescent="0.2">
      <c r="B7491" s="39">
        <f t="shared" si="58"/>
      </c>
      <c r="C7491" s="40">
        <f>IF(Inputs!$C$60,Inputs!$C$11+(B7491-Inputs!$C$69)/Inputs!$C$70,"")</f>
      </c>
      <c r="D7491" s="15"/>
      <c r="E7491" s="15"/>
      <c r="F7491" s="11">
        <f t="shared" si="59"/>
      </c>
      <c r="G7491" s="22" cm="1">
        <f t="array" ref="G7491">IF(AND(Inputs!$C$60,Inputs!$C$61),INDEX(Utility_Rates!$C$29:$F$52,HOUR(C7491)+Inputs!$C$69,MATCH(INDEX(Utility_Rates!$K$6:$K$17,MONTH(C7491))&amp;IF(WEEKDAY(C7491,Inputs!$C$76)&lt;=Inputs!$C$74," weekday"," weekend"),Utility_Rates!$C$28:$F$28,Inputs!$C$68)),"")</f>
      </c>
      <c r="H7491" s="34"/>
      <c r="I7491" s="42">
        <f>IF(AND(ISNUMBER(D7491),ISNUMBER(H7491)),D7491*H7491*Inputs!$C$69,"")</f>
      </c>
      <c r="J7491" s="42">
        <f>IF(AND(ISNUMBER(F7491),ISNUMBER(H7491),F7491&gt;=Inputs!$C$68),F7491*H7491*Inputs!$C$69,"")</f>
      </c>
    </row>
    <row r="7492" spans="2:10" ht="15" customHeight="1" x14ac:dyDescent="0.2">
      <c r="B7492" s="39">
        <f t="shared" si="58"/>
      </c>
      <c r="C7492" s="40">
        <f>IF(Inputs!$C$60,Inputs!$C$11+(B7492-Inputs!$C$69)/Inputs!$C$70,"")</f>
      </c>
      <c r="D7492" s="15"/>
      <c r="E7492" s="15"/>
      <c r="F7492" s="11">
        <f t="shared" si="59"/>
      </c>
      <c r="G7492" s="22" cm="1">
        <f t="array" ref="G7492">IF(AND(Inputs!$C$60,Inputs!$C$61),INDEX(Utility_Rates!$C$29:$F$52,HOUR(C7492)+Inputs!$C$69,MATCH(INDEX(Utility_Rates!$K$6:$K$17,MONTH(C7492))&amp;IF(WEEKDAY(C7492,Inputs!$C$76)&lt;=Inputs!$C$74," weekday"," weekend"),Utility_Rates!$C$28:$F$28,Inputs!$C$68)),"")</f>
      </c>
      <c r="H7492" s="34"/>
      <c r="I7492" s="42">
        <f>IF(AND(ISNUMBER(D7492),ISNUMBER(H7492)),D7492*H7492*Inputs!$C$69,"")</f>
      </c>
      <c r="J7492" s="42">
        <f>IF(AND(ISNUMBER(F7492),ISNUMBER(H7492),F7492&gt;=Inputs!$C$68),F7492*H7492*Inputs!$C$69,"")</f>
      </c>
    </row>
    <row r="7493" spans="2:10" ht="15" customHeight="1" x14ac:dyDescent="0.2">
      <c r="B7493" s="39">
        <f t="shared" si="58"/>
      </c>
      <c r="C7493" s="40">
        <f>IF(Inputs!$C$60,Inputs!$C$11+(B7493-Inputs!$C$69)/Inputs!$C$70,"")</f>
      </c>
      <c r="D7493" s="15"/>
      <c r="E7493" s="15"/>
      <c r="F7493" s="11">
        <f t="shared" si="59"/>
      </c>
      <c r="G7493" s="22" cm="1">
        <f t="array" ref="G7493">IF(AND(Inputs!$C$60,Inputs!$C$61),INDEX(Utility_Rates!$C$29:$F$52,HOUR(C7493)+Inputs!$C$69,MATCH(INDEX(Utility_Rates!$K$6:$K$17,MONTH(C7493))&amp;IF(WEEKDAY(C7493,Inputs!$C$76)&lt;=Inputs!$C$74," weekday"," weekend"),Utility_Rates!$C$28:$F$28,Inputs!$C$68)),"")</f>
      </c>
      <c r="H7493" s="34"/>
      <c r="I7493" s="42">
        <f>IF(AND(ISNUMBER(D7493),ISNUMBER(H7493)),D7493*H7493*Inputs!$C$69,"")</f>
      </c>
      <c r="J7493" s="42">
        <f>IF(AND(ISNUMBER(F7493),ISNUMBER(H7493),F7493&gt;=Inputs!$C$68),F7493*H7493*Inputs!$C$69,"")</f>
      </c>
    </row>
    <row r="7494" spans="2:10" ht="15" customHeight="1" x14ac:dyDescent="0.2">
      <c r="B7494" s="39">
        <f t="shared" si="58"/>
      </c>
      <c r="C7494" s="40">
        <f>IF(Inputs!$C$60,Inputs!$C$11+(B7494-Inputs!$C$69)/Inputs!$C$70,"")</f>
      </c>
      <c r="D7494" s="15"/>
      <c r="E7494" s="15"/>
      <c r="F7494" s="11">
        <f t="shared" si="59"/>
      </c>
      <c r="G7494" s="22" cm="1">
        <f t="array" ref="G7494">IF(AND(Inputs!$C$60,Inputs!$C$61),INDEX(Utility_Rates!$C$29:$F$52,HOUR(C7494)+Inputs!$C$69,MATCH(INDEX(Utility_Rates!$K$6:$K$17,MONTH(C7494))&amp;IF(WEEKDAY(C7494,Inputs!$C$76)&lt;=Inputs!$C$74," weekday"," weekend"),Utility_Rates!$C$28:$F$28,Inputs!$C$68)),"")</f>
      </c>
      <c r="H7494" s="34"/>
      <c r="I7494" s="42">
        <f>IF(AND(ISNUMBER(D7494),ISNUMBER(H7494)),D7494*H7494*Inputs!$C$69,"")</f>
      </c>
      <c r="J7494" s="42">
        <f>IF(AND(ISNUMBER(F7494),ISNUMBER(H7494),F7494&gt;=Inputs!$C$68),F7494*H7494*Inputs!$C$69,"")</f>
      </c>
    </row>
    <row r="7495" spans="2:10" ht="15" customHeight="1" x14ac:dyDescent="0.2">
      <c r="B7495" s="39">
        <f t="shared" si="58"/>
      </c>
      <c r="C7495" s="40">
        <f>IF(Inputs!$C$60,Inputs!$C$11+(B7495-Inputs!$C$69)/Inputs!$C$70,"")</f>
      </c>
      <c r="D7495" s="15"/>
      <c r="E7495" s="15"/>
      <c r="F7495" s="11">
        <f t="shared" si="59"/>
      </c>
      <c r="G7495" s="22" cm="1">
        <f t="array" ref="G7495">IF(AND(Inputs!$C$60,Inputs!$C$61),INDEX(Utility_Rates!$C$29:$F$52,HOUR(C7495)+Inputs!$C$69,MATCH(INDEX(Utility_Rates!$K$6:$K$17,MONTH(C7495))&amp;IF(WEEKDAY(C7495,Inputs!$C$76)&lt;=Inputs!$C$74," weekday"," weekend"),Utility_Rates!$C$28:$F$28,Inputs!$C$68)),"")</f>
      </c>
      <c r="H7495" s="34"/>
      <c r="I7495" s="42">
        <f>IF(AND(ISNUMBER(D7495),ISNUMBER(H7495)),D7495*H7495*Inputs!$C$69,"")</f>
      </c>
      <c r="J7495" s="42">
        <f>IF(AND(ISNUMBER(F7495),ISNUMBER(H7495),F7495&gt;=Inputs!$C$68),F7495*H7495*Inputs!$C$69,"")</f>
      </c>
    </row>
    <row r="7496" spans="2:10" ht="15" customHeight="1" x14ac:dyDescent="0.2">
      <c r="B7496" s="39">
        <f t="shared" si="58"/>
      </c>
      <c r="C7496" s="40">
        <f>IF(Inputs!$C$60,Inputs!$C$11+(B7496-Inputs!$C$69)/Inputs!$C$70,"")</f>
      </c>
      <c r="D7496" s="15"/>
      <c r="E7496" s="15"/>
      <c r="F7496" s="11">
        <f t="shared" si="59"/>
      </c>
      <c r="G7496" s="22" cm="1">
        <f t="array" ref="G7496">IF(AND(Inputs!$C$60,Inputs!$C$61),INDEX(Utility_Rates!$C$29:$F$52,HOUR(C7496)+Inputs!$C$69,MATCH(INDEX(Utility_Rates!$K$6:$K$17,MONTH(C7496))&amp;IF(WEEKDAY(C7496,Inputs!$C$76)&lt;=Inputs!$C$74," weekday"," weekend"),Utility_Rates!$C$28:$F$28,Inputs!$C$68)),"")</f>
      </c>
      <c r="H7496" s="34"/>
      <c r="I7496" s="42">
        <f>IF(AND(ISNUMBER(D7496),ISNUMBER(H7496)),D7496*H7496*Inputs!$C$69,"")</f>
      </c>
      <c r="J7496" s="42">
        <f>IF(AND(ISNUMBER(F7496),ISNUMBER(H7496),F7496&gt;=Inputs!$C$68),F7496*H7496*Inputs!$C$69,"")</f>
      </c>
    </row>
    <row r="7497" spans="2:10" ht="15" customHeight="1" x14ac:dyDescent="0.2">
      <c r="B7497" s="39">
        <f t="shared" si="58"/>
      </c>
      <c r="C7497" s="40">
        <f>IF(Inputs!$C$60,Inputs!$C$11+(B7497-Inputs!$C$69)/Inputs!$C$70,"")</f>
      </c>
      <c r="D7497" s="15"/>
      <c r="E7497" s="15"/>
      <c r="F7497" s="11">
        <f t="shared" si="59"/>
      </c>
      <c r="G7497" s="22" cm="1">
        <f t="array" ref="G7497">IF(AND(Inputs!$C$60,Inputs!$C$61),INDEX(Utility_Rates!$C$29:$F$52,HOUR(C7497)+Inputs!$C$69,MATCH(INDEX(Utility_Rates!$K$6:$K$17,MONTH(C7497))&amp;IF(WEEKDAY(C7497,Inputs!$C$76)&lt;=Inputs!$C$74," weekday"," weekend"),Utility_Rates!$C$28:$F$28,Inputs!$C$68)),"")</f>
      </c>
      <c r="H7497" s="34"/>
      <c r="I7497" s="42">
        <f>IF(AND(ISNUMBER(D7497),ISNUMBER(H7497)),D7497*H7497*Inputs!$C$69,"")</f>
      </c>
      <c r="J7497" s="42">
        <f>IF(AND(ISNUMBER(F7497),ISNUMBER(H7497),F7497&gt;=Inputs!$C$68),F7497*H7497*Inputs!$C$69,"")</f>
      </c>
    </row>
    <row r="7498" spans="2:10" ht="15" customHeight="1" x14ac:dyDescent="0.2">
      <c r="B7498" s="39">
        <f t="shared" si="58"/>
      </c>
      <c r="C7498" s="40">
        <f>IF(Inputs!$C$60,Inputs!$C$11+(B7498-Inputs!$C$69)/Inputs!$C$70,"")</f>
      </c>
      <c r="D7498" s="15"/>
      <c r="E7498" s="15"/>
      <c r="F7498" s="11">
        <f t="shared" si="59"/>
      </c>
      <c r="G7498" s="22" cm="1">
        <f t="array" ref="G7498">IF(AND(Inputs!$C$60,Inputs!$C$61),INDEX(Utility_Rates!$C$29:$F$52,HOUR(C7498)+Inputs!$C$69,MATCH(INDEX(Utility_Rates!$K$6:$K$17,MONTH(C7498))&amp;IF(WEEKDAY(C7498,Inputs!$C$76)&lt;=Inputs!$C$74," weekday"," weekend"),Utility_Rates!$C$28:$F$28,Inputs!$C$68)),"")</f>
      </c>
      <c r="H7498" s="34"/>
      <c r="I7498" s="42">
        <f>IF(AND(ISNUMBER(D7498),ISNUMBER(H7498)),D7498*H7498*Inputs!$C$69,"")</f>
      </c>
      <c r="J7498" s="42">
        <f>IF(AND(ISNUMBER(F7498),ISNUMBER(H7498),F7498&gt;=Inputs!$C$68),F7498*H7498*Inputs!$C$69,"")</f>
      </c>
    </row>
    <row r="7499" spans="2:10" ht="15" customHeight="1" x14ac:dyDescent="0.2">
      <c r="B7499" s="39">
        <f t="shared" si="58"/>
      </c>
      <c r="C7499" s="40">
        <f>IF(Inputs!$C$60,Inputs!$C$11+(B7499-Inputs!$C$69)/Inputs!$C$70,"")</f>
      </c>
      <c r="D7499" s="15"/>
      <c r="E7499" s="15"/>
      <c r="F7499" s="11">
        <f t="shared" si="59"/>
      </c>
      <c r="G7499" s="22" cm="1">
        <f t="array" ref="G7499">IF(AND(Inputs!$C$60,Inputs!$C$61),INDEX(Utility_Rates!$C$29:$F$52,HOUR(C7499)+Inputs!$C$69,MATCH(INDEX(Utility_Rates!$K$6:$K$17,MONTH(C7499))&amp;IF(WEEKDAY(C7499,Inputs!$C$76)&lt;=Inputs!$C$74," weekday"," weekend"),Utility_Rates!$C$28:$F$28,Inputs!$C$68)),"")</f>
      </c>
      <c r="H7499" s="34"/>
      <c r="I7499" s="42">
        <f>IF(AND(ISNUMBER(D7499),ISNUMBER(H7499)),D7499*H7499*Inputs!$C$69,"")</f>
      </c>
      <c r="J7499" s="42">
        <f>IF(AND(ISNUMBER(F7499),ISNUMBER(H7499),F7499&gt;=Inputs!$C$68),F7499*H7499*Inputs!$C$69,"")</f>
      </c>
    </row>
    <row r="7500" spans="2:10" ht="15" customHeight="1" x14ac:dyDescent="0.2">
      <c r="B7500" s="39">
        <f t="shared" si="58"/>
      </c>
      <c r="C7500" s="40">
        <f>IF(Inputs!$C$60,Inputs!$C$11+(B7500-Inputs!$C$69)/Inputs!$C$70,"")</f>
      </c>
      <c r="D7500" s="15"/>
      <c r="E7500" s="15"/>
      <c r="F7500" s="11">
        <f t="shared" si="59"/>
      </c>
      <c r="G7500" s="22" cm="1">
        <f t="array" ref="G7500">IF(AND(Inputs!$C$60,Inputs!$C$61),INDEX(Utility_Rates!$C$29:$F$52,HOUR(C7500)+Inputs!$C$69,MATCH(INDEX(Utility_Rates!$K$6:$K$17,MONTH(C7500))&amp;IF(WEEKDAY(C7500,Inputs!$C$76)&lt;=Inputs!$C$74," weekday"," weekend"),Utility_Rates!$C$28:$F$28,Inputs!$C$68)),"")</f>
      </c>
      <c r="H7500" s="34"/>
      <c r="I7500" s="42">
        <f>IF(AND(ISNUMBER(D7500),ISNUMBER(H7500)),D7500*H7500*Inputs!$C$69,"")</f>
      </c>
      <c r="J7500" s="42">
        <f>IF(AND(ISNUMBER(F7500),ISNUMBER(H7500),F7500&gt;=Inputs!$C$68),F7500*H7500*Inputs!$C$69,"")</f>
      </c>
    </row>
    <row r="7501" spans="2:10" ht="15" customHeight="1" x14ac:dyDescent="0.2">
      <c r="B7501" s="39">
        <f t="shared" si="58"/>
      </c>
      <c r="C7501" s="40">
        <f>IF(Inputs!$C$60,Inputs!$C$11+(B7501-Inputs!$C$69)/Inputs!$C$70,"")</f>
      </c>
      <c r="D7501" s="15"/>
      <c r="E7501" s="15"/>
      <c r="F7501" s="11">
        <f t="shared" si="59"/>
      </c>
      <c r="G7501" s="22" cm="1">
        <f t="array" ref="G7501">IF(AND(Inputs!$C$60,Inputs!$C$61),INDEX(Utility_Rates!$C$29:$F$52,HOUR(C7501)+Inputs!$C$69,MATCH(INDEX(Utility_Rates!$K$6:$K$17,MONTH(C7501))&amp;IF(WEEKDAY(C7501,Inputs!$C$76)&lt;=Inputs!$C$74," weekday"," weekend"),Utility_Rates!$C$28:$F$28,Inputs!$C$68)),"")</f>
      </c>
      <c r="H7501" s="34"/>
      <c r="I7501" s="42">
        <f>IF(AND(ISNUMBER(D7501),ISNUMBER(H7501)),D7501*H7501*Inputs!$C$69,"")</f>
      </c>
      <c r="J7501" s="42">
        <f>IF(AND(ISNUMBER(F7501),ISNUMBER(H7501),F7501&gt;=Inputs!$C$68),F7501*H7501*Inputs!$C$69,"")</f>
      </c>
    </row>
    <row r="7502" spans="2:10" ht="15" customHeight="1" x14ac:dyDescent="0.2">
      <c r="B7502" s="39">
        <f t="shared" si="58"/>
      </c>
      <c r="C7502" s="40">
        <f>IF(Inputs!$C$60,Inputs!$C$11+(B7502-Inputs!$C$69)/Inputs!$C$70,"")</f>
      </c>
      <c r="D7502" s="15"/>
      <c r="E7502" s="15"/>
      <c r="F7502" s="11">
        <f t="shared" si="59"/>
      </c>
      <c r="G7502" s="22" cm="1">
        <f t="array" ref="G7502">IF(AND(Inputs!$C$60,Inputs!$C$61),INDEX(Utility_Rates!$C$29:$F$52,HOUR(C7502)+Inputs!$C$69,MATCH(INDEX(Utility_Rates!$K$6:$K$17,MONTH(C7502))&amp;IF(WEEKDAY(C7502,Inputs!$C$76)&lt;=Inputs!$C$74," weekday"," weekend"),Utility_Rates!$C$28:$F$28,Inputs!$C$68)),"")</f>
      </c>
      <c r="H7502" s="34"/>
      <c r="I7502" s="42">
        <f>IF(AND(ISNUMBER(D7502),ISNUMBER(H7502)),D7502*H7502*Inputs!$C$69,"")</f>
      </c>
      <c r="J7502" s="42">
        <f>IF(AND(ISNUMBER(F7502),ISNUMBER(H7502),F7502&gt;=Inputs!$C$68),F7502*H7502*Inputs!$C$69,"")</f>
      </c>
    </row>
    <row r="7503" spans="2:10" ht="15" customHeight="1" x14ac:dyDescent="0.2">
      <c r="B7503" s="39">
        <f t="shared" si="58"/>
      </c>
      <c r="C7503" s="40">
        <f>IF(Inputs!$C$60,Inputs!$C$11+(B7503-Inputs!$C$69)/Inputs!$C$70,"")</f>
      </c>
      <c r="D7503" s="15"/>
      <c r="E7503" s="15"/>
      <c r="F7503" s="11">
        <f t="shared" si="59"/>
      </c>
      <c r="G7503" s="22" cm="1">
        <f t="array" ref="G7503">IF(AND(Inputs!$C$60,Inputs!$C$61),INDEX(Utility_Rates!$C$29:$F$52,HOUR(C7503)+Inputs!$C$69,MATCH(INDEX(Utility_Rates!$K$6:$K$17,MONTH(C7503))&amp;IF(WEEKDAY(C7503,Inputs!$C$76)&lt;=Inputs!$C$74," weekday"," weekend"),Utility_Rates!$C$28:$F$28,Inputs!$C$68)),"")</f>
      </c>
      <c r="H7503" s="34"/>
      <c r="I7503" s="42">
        <f>IF(AND(ISNUMBER(D7503),ISNUMBER(H7503)),D7503*H7503*Inputs!$C$69,"")</f>
      </c>
      <c r="J7503" s="42">
        <f>IF(AND(ISNUMBER(F7503),ISNUMBER(H7503),F7503&gt;=Inputs!$C$68),F7503*H7503*Inputs!$C$69,"")</f>
      </c>
    </row>
    <row r="7504" spans="2:10" ht="15" customHeight="1" x14ac:dyDescent="0.2">
      <c r="B7504" s="39">
        <f t="shared" si="58"/>
      </c>
      <c r="C7504" s="40">
        <f>IF(Inputs!$C$60,Inputs!$C$11+(B7504-Inputs!$C$69)/Inputs!$C$70,"")</f>
      </c>
      <c r="D7504" s="15"/>
      <c r="E7504" s="15"/>
      <c r="F7504" s="11">
        <f t="shared" si="59"/>
      </c>
      <c r="G7504" s="22" cm="1">
        <f t="array" ref="G7504">IF(AND(Inputs!$C$60,Inputs!$C$61),INDEX(Utility_Rates!$C$29:$F$52,HOUR(C7504)+Inputs!$C$69,MATCH(INDEX(Utility_Rates!$K$6:$K$17,MONTH(C7504))&amp;IF(WEEKDAY(C7504,Inputs!$C$76)&lt;=Inputs!$C$74," weekday"," weekend"),Utility_Rates!$C$28:$F$28,Inputs!$C$68)),"")</f>
      </c>
      <c r="H7504" s="34"/>
      <c r="I7504" s="42">
        <f>IF(AND(ISNUMBER(D7504),ISNUMBER(H7504)),D7504*H7504*Inputs!$C$69,"")</f>
      </c>
      <c r="J7504" s="42">
        <f>IF(AND(ISNUMBER(F7504),ISNUMBER(H7504),F7504&gt;=Inputs!$C$68),F7504*H7504*Inputs!$C$69,"")</f>
      </c>
    </row>
    <row r="7505" spans="2:10" ht="15" customHeight="1" x14ac:dyDescent="0.2">
      <c r="B7505" s="39">
        <f t="shared" si="58"/>
      </c>
      <c r="C7505" s="40">
        <f>IF(Inputs!$C$60,Inputs!$C$11+(B7505-Inputs!$C$69)/Inputs!$C$70,"")</f>
      </c>
      <c r="D7505" s="15"/>
      <c r="E7505" s="15"/>
      <c r="F7505" s="11">
        <f t="shared" si="59"/>
      </c>
      <c r="G7505" s="22" cm="1">
        <f t="array" ref="G7505">IF(AND(Inputs!$C$60,Inputs!$C$61),INDEX(Utility_Rates!$C$29:$F$52,HOUR(C7505)+Inputs!$C$69,MATCH(INDEX(Utility_Rates!$K$6:$K$17,MONTH(C7505))&amp;IF(WEEKDAY(C7505,Inputs!$C$76)&lt;=Inputs!$C$74," weekday"," weekend"),Utility_Rates!$C$28:$F$28,Inputs!$C$68)),"")</f>
      </c>
      <c r="H7505" s="34"/>
      <c r="I7505" s="42">
        <f>IF(AND(ISNUMBER(D7505),ISNUMBER(H7505)),D7505*H7505*Inputs!$C$69,"")</f>
      </c>
      <c r="J7505" s="42">
        <f>IF(AND(ISNUMBER(F7505),ISNUMBER(H7505),F7505&gt;=Inputs!$C$68),F7505*H7505*Inputs!$C$69,"")</f>
      </c>
    </row>
    <row r="7506" spans="2:10" ht="15" customHeight="1" x14ac:dyDescent="0.2">
      <c r="B7506" s="39">
        <f t="shared" si="58"/>
      </c>
      <c r="C7506" s="40">
        <f>IF(Inputs!$C$60,Inputs!$C$11+(B7506-Inputs!$C$69)/Inputs!$C$70,"")</f>
      </c>
      <c r="D7506" s="15"/>
      <c r="E7506" s="15"/>
      <c r="F7506" s="11">
        <f t="shared" si="59"/>
      </c>
      <c r="G7506" s="22" cm="1">
        <f t="array" ref="G7506">IF(AND(Inputs!$C$60,Inputs!$C$61),INDEX(Utility_Rates!$C$29:$F$52,HOUR(C7506)+Inputs!$C$69,MATCH(INDEX(Utility_Rates!$K$6:$K$17,MONTH(C7506))&amp;IF(WEEKDAY(C7506,Inputs!$C$76)&lt;=Inputs!$C$74," weekday"," weekend"),Utility_Rates!$C$28:$F$28,Inputs!$C$68)),"")</f>
      </c>
      <c r="H7506" s="34"/>
      <c r="I7506" s="42">
        <f>IF(AND(ISNUMBER(D7506),ISNUMBER(H7506)),D7506*H7506*Inputs!$C$69,"")</f>
      </c>
      <c r="J7506" s="42">
        <f>IF(AND(ISNUMBER(F7506),ISNUMBER(H7506),F7506&gt;=Inputs!$C$68),F7506*H7506*Inputs!$C$69,"")</f>
      </c>
    </row>
    <row r="7507" spans="2:10" ht="15" customHeight="1" x14ac:dyDescent="0.2">
      <c r="B7507" s="39">
        <f t="shared" si="58"/>
      </c>
      <c r="C7507" s="40">
        <f>IF(Inputs!$C$60,Inputs!$C$11+(B7507-Inputs!$C$69)/Inputs!$C$70,"")</f>
      </c>
      <c r="D7507" s="15"/>
      <c r="E7507" s="15"/>
      <c r="F7507" s="11">
        <f t="shared" si="59"/>
      </c>
      <c r="G7507" s="22" cm="1">
        <f t="array" ref="G7507">IF(AND(Inputs!$C$60,Inputs!$C$61),INDEX(Utility_Rates!$C$29:$F$52,HOUR(C7507)+Inputs!$C$69,MATCH(INDEX(Utility_Rates!$K$6:$K$17,MONTH(C7507))&amp;IF(WEEKDAY(C7507,Inputs!$C$76)&lt;=Inputs!$C$74," weekday"," weekend"),Utility_Rates!$C$28:$F$28,Inputs!$C$68)),"")</f>
      </c>
      <c r="H7507" s="34"/>
      <c r="I7507" s="42">
        <f>IF(AND(ISNUMBER(D7507),ISNUMBER(H7507)),D7507*H7507*Inputs!$C$69,"")</f>
      </c>
      <c r="J7507" s="42">
        <f>IF(AND(ISNUMBER(F7507),ISNUMBER(H7507),F7507&gt;=Inputs!$C$68),F7507*H7507*Inputs!$C$69,"")</f>
      </c>
    </row>
    <row r="7508" spans="2:10" ht="15" customHeight="1" x14ac:dyDescent="0.2">
      <c r="B7508" s="39">
        <f t="shared" si="58"/>
      </c>
      <c r="C7508" s="40">
        <f>IF(Inputs!$C$60,Inputs!$C$11+(B7508-Inputs!$C$69)/Inputs!$C$70,"")</f>
      </c>
      <c r="D7508" s="15"/>
      <c r="E7508" s="15"/>
      <c r="F7508" s="11">
        <f t="shared" si="59"/>
      </c>
      <c r="G7508" s="22" cm="1">
        <f t="array" ref="G7508">IF(AND(Inputs!$C$60,Inputs!$C$61),INDEX(Utility_Rates!$C$29:$F$52,HOUR(C7508)+Inputs!$C$69,MATCH(INDEX(Utility_Rates!$K$6:$K$17,MONTH(C7508))&amp;IF(WEEKDAY(C7508,Inputs!$C$76)&lt;=Inputs!$C$74," weekday"," weekend"),Utility_Rates!$C$28:$F$28,Inputs!$C$68)),"")</f>
      </c>
      <c r="H7508" s="34"/>
      <c r="I7508" s="42">
        <f>IF(AND(ISNUMBER(D7508),ISNUMBER(H7508)),D7508*H7508*Inputs!$C$69,"")</f>
      </c>
      <c r="J7508" s="42">
        <f>IF(AND(ISNUMBER(F7508),ISNUMBER(H7508),F7508&gt;=Inputs!$C$68),F7508*H7508*Inputs!$C$69,"")</f>
      </c>
    </row>
    <row r="7509" spans="2:10" ht="15" customHeight="1" x14ac:dyDescent="0.2">
      <c r="B7509" s="39">
        <f t="shared" si="58"/>
      </c>
      <c r="C7509" s="40">
        <f>IF(Inputs!$C$60,Inputs!$C$11+(B7509-Inputs!$C$69)/Inputs!$C$70,"")</f>
      </c>
      <c r="D7509" s="15"/>
      <c r="E7509" s="15"/>
      <c r="F7509" s="11">
        <f t="shared" si="59"/>
      </c>
      <c r="G7509" s="22" cm="1">
        <f t="array" ref="G7509">IF(AND(Inputs!$C$60,Inputs!$C$61),INDEX(Utility_Rates!$C$29:$F$52,HOUR(C7509)+Inputs!$C$69,MATCH(INDEX(Utility_Rates!$K$6:$K$17,MONTH(C7509))&amp;IF(WEEKDAY(C7509,Inputs!$C$76)&lt;=Inputs!$C$74," weekday"," weekend"),Utility_Rates!$C$28:$F$28,Inputs!$C$68)),"")</f>
      </c>
      <c r="H7509" s="34"/>
      <c r="I7509" s="42">
        <f>IF(AND(ISNUMBER(D7509),ISNUMBER(H7509)),D7509*H7509*Inputs!$C$69,"")</f>
      </c>
      <c r="J7509" s="42">
        <f>IF(AND(ISNUMBER(F7509),ISNUMBER(H7509),F7509&gt;=Inputs!$C$68),F7509*H7509*Inputs!$C$69,"")</f>
      </c>
    </row>
    <row r="7510" spans="2:10" ht="15" customHeight="1" x14ac:dyDescent="0.2">
      <c r="B7510" s="39">
        <f t="shared" si="58"/>
      </c>
      <c r="C7510" s="40">
        <f>IF(Inputs!$C$60,Inputs!$C$11+(B7510-Inputs!$C$69)/Inputs!$C$70,"")</f>
      </c>
      <c r="D7510" s="15"/>
      <c r="E7510" s="15"/>
      <c r="F7510" s="11">
        <f t="shared" si="59"/>
      </c>
      <c r="G7510" s="22" cm="1">
        <f t="array" ref="G7510">IF(AND(Inputs!$C$60,Inputs!$C$61),INDEX(Utility_Rates!$C$29:$F$52,HOUR(C7510)+Inputs!$C$69,MATCH(INDEX(Utility_Rates!$K$6:$K$17,MONTH(C7510))&amp;IF(WEEKDAY(C7510,Inputs!$C$76)&lt;=Inputs!$C$74," weekday"," weekend"),Utility_Rates!$C$28:$F$28,Inputs!$C$68)),"")</f>
      </c>
      <c r="H7510" s="34"/>
      <c r="I7510" s="42">
        <f>IF(AND(ISNUMBER(D7510),ISNUMBER(H7510)),D7510*H7510*Inputs!$C$69,"")</f>
      </c>
      <c r="J7510" s="42">
        <f>IF(AND(ISNUMBER(F7510),ISNUMBER(H7510),F7510&gt;=Inputs!$C$68),F7510*H7510*Inputs!$C$69,"")</f>
      </c>
    </row>
    <row r="7511" spans="2:10" ht="15" customHeight="1" x14ac:dyDescent="0.2">
      <c r="B7511" s="39">
        <f t="shared" si="58"/>
      </c>
      <c r="C7511" s="40">
        <f>IF(Inputs!$C$60,Inputs!$C$11+(B7511-Inputs!$C$69)/Inputs!$C$70,"")</f>
      </c>
      <c r="D7511" s="15"/>
      <c r="E7511" s="15"/>
      <c r="F7511" s="11">
        <f t="shared" si="59"/>
      </c>
      <c r="G7511" s="22" cm="1">
        <f t="array" ref="G7511">IF(AND(Inputs!$C$60,Inputs!$C$61),INDEX(Utility_Rates!$C$29:$F$52,HOUR(C7511)+Inputs!$C$69,MATCH(INDEX(Utility_Rates!$K$6:$K$17,MONTH(C7511))&amp;IF(WEEKDAY(C7511,Inputs!$C$76)&lt;=Inputs!$C$74," weekday"," weekend"),Utility_Rates!$C$28:$F$28,Inputs!$C$68)),"")</f>
      </c>
      <c r="H7511" s="34"/>
      <c r="I7511" s="42">
        <f>IF(AND(ISNUMBER(D7511),ISNUMBER(H7511)),D7511*H7511*Inputs!$C$69,"")</f>
      </c>
      <c r="J7511" s="42">
        <f>IF(AND(ISNUMBER(F7511),ISNUMBER(H7511),F7511&gt;=Inputs!$C$68),F7511*H7511*Inputs!$C$69,"")</f>
      </c>
    </row>
    <row r="7512" spans="2:10" ht="15" customHeight="1" x14ac:dyDescent="0.2">
      <c r="B7512" s="39">
        <f t="shared" si="58"/>
      </c>
      <c r="C7512" s="40">
        <f>IF(Inputs!$C$60,Inputs!$C$11+(B7512-Inputs!$C$69)/Inputs!$C$70,"")</f>
      </c>
      <c r="D7512" s="15"/>
      <c r="E7512" s="15"/>
      <c r="F7512" s="11">
        <f t="shared" si="59"/>
      </c>
      <c r="G7512" s="22" cm="1">
        <f t="array" ref="G7512">IF(AND(Inputs!$C$60,Inputs!$C$61),INDEX(Utility_Rates!$C$29:$F$52,HOUR(C7512)+Inputs!$C$69,MATCH(INDEX(Utility_Rates!$K$6:$K$17,MONTH(C7512))&amp;IF(WEEKDAY(C7512,Inputs!$C$76)&lt;=Inputs!$C$74," weekday"," weekend"),Utility_Rates!$C$28:$F$28,Inputs!$C$68)),"")</f>
      </c>
      <c r="H7512" s="34"/>
      <c r="I7512" s="42">
        <f>IF(AND(ISNUMBER(D7512),ISNUMBER(H7512)),D7512*H7512*Inputs!$C$69,"")</f>
      </c>
      <c r="J7512" s="42">
        <f>IF(AND(ISNUMBER(F7512),ISNUMBER(H7512),F7512&gt;=Inputs!$C$68),F7512*H7512*Inputs!$C$69,"")</f>
      </c>
    </row>
    <row r="7513" spans="2:10" ht="15" customHeight="1" x14ac:dyDescent="0.2">
      <c r="B7513" s="39">
        <f t="shared" si="58"/>
      </c>
      <c r="C7513" s="40">
        <f>IF(Inputs!$C$60,Inputs!$C$11+(B7513-Inputs!$C$69)/Inputs!$C$70,"")</f>
      </c>
      <c r="D7513" s="15"/>
      <c r="E7513" s="15"/>
      <c r="F7513" s="11">
        <f t="shared" si="59"/>
      </c>
      <c r="G7513" s="22" cm="1">
        <f t="array" ref="G7513">IF(AND(Inputs!$C$60,Inputs!$C$61),INDEX(Utility_Rates!$C$29:$F$52,HOUR(C7513)+Inputs!$C$69,MATCH(INDEX(Utility_Rates!$K$6:$K$17,MONTH(C7513))&amp;IF(WEEKDAY(C7513,Inputs!$C$76)&lt;=Inputs!$C$74," weekday"," weekend"),Utility_Rates!$C$28:$F$28,Inputs!$C$68)),"")</f>
      </c>
      <c r="H7513" s="34"/>
      <c r="I7513" s="42">
        <f>IF(AND(ISNUMBER(D7513),ISNUMBER(H7513)),D7513*H7513*Inputs!$C$69,"")</f>
      </c>
      <c r="J7513" s="42">
        <f>IF(AND(ISNUMBER(F7513),ISNUMBER(H7513),F7513&gt;=Inputs!$C$68),F7513*H7513*Inputs!$C$69,"")</f>
      </c>
    </row>
    <row r="7514" spans="2:10" ht="15" customHeight="1" x14ac:dyDescent="0.2">
      <c r="B7514" s="39">
        <f t="shared" si="58"/>
      </c>
      <c r="C7514" s="40">
        <f>IF(Inputs!$C$60,Inputs!$C$11+(B7514-Inputs!$C$69)/Inputs!$C$70,"")</f>
      </c>
      <c r="D7514" s="15"/>
      <c r="E7514" s="15"/>
      <c r="F7514" s="11">
        <f t="shared" si="59"/>
      </c>
      <c r="G7514" s="22" cm="1">
        <f t="array" ref="G7514">IF(AND(Inputs!$C$60,Inputs!$C$61),INDEX(Utility_Rates!$C$29:$F$52,HOUR(C7514)+Inputs!$C$69,MATCH(INDEX(Utility_Rates!$K$6:$K$17,MONTH(C7514))&amp;IF(WEEKDAY(C7514,Inputs!$C$76)&lt;=Inputs!$C$74," weekday"," weekend"),Utility_Rates!$C$28:$F$28,Inputs!$C$68)),"")</f>
      </c>
      <c r="H7514" s="34"/>
      <c r="I7514" s="42">
        <f>IF(AND(ISNUMBER(D7514),ISNUMBER(H7514)),D7514*H7514*Inputs!$C$69,"")</f>
      </c>
      <c r="J7514" s="42">
        <f>IF(AND(ISNUMBER(F7514),ISNUMBER(H7514),F7514&gt;=Inputs!$C$68),F7514*H7514*Inputs!$C$69,"")</f>
      </c>
    </row>
    <row r="7515" spans="2:10" ht="15" customHeight="1" x14ac:dyDescent="0.2">
      <c r="B7515" s="39">
        <f t="shared" si="58"/>
      </c>
      <c r="C7515" s="40">
        <f>IF(Inputs!$C$60,Inputs!$C$11+(B7515-Inputs!$C$69)/Inputs!$C$70,"")</f>
      </c>
      <c r="D7515" s="15"/>
      <c r="E7515" s="15"/>
      <c r="F7515" s="11">
        <f t="shared" si="59"/>
      </c>
      <c r="G7515" s="22" cm="1">
        <f t="array" ref="G7515">IF(AND(Inputs!$C$60,Inputs!$C$61),INDEX(Utility_Rates!$C$29:$F$52,HOUR(C7515)+Inputs!$C$69,MATCH(INDEX(Utility_Rates!$K$6:$K$17,MONTH(C7515))&amp;IF(WEEKDAY(C7515,Inputs!$C$76)&lt;=Inputs!$C$74," weekday"," weekend"),Utility_Rates!$C$28:$F$28,Inputs!$C$68)),"")</f>
      </c>
      <c r="H7515" s="34"/>
      <c r="I7515" s="42">
        <f>IF(AND(ISNUMBER(D7515),ISNUMBER(H7515)),D7515*H7515*Inputs!$C$69,"")</f>
      </c>
      <c r="J7515" s="42">
        <f>IF(AND(ISNUMBER(F7515),ISNUMBER(H7515),F7515&gt;=Inputs!$C$68),F7515*H7515*Inputs!$C$69,"")</f>
      </c>
    </row>
    <row r="7516" spans="2:10" ht="15" customHeight="1" x14ac:dyDescent="0.2">
      <c r="B7516" s="39">
        <f t="shared" si="58"/>
      </c>
      <c r="C7516" s="40">
        <f>IF(Inputs!$C$60,Inputs!$C$11+(B7516-Inputs!$C$69)/Inputs!$C$70,"")</f>
      </c>
      <c r="D7516" s="15"/>
      <c r="E7516" s="15"/>
      <c r="F7516" s="11">
        <f t="shared" si="59"/>
      </c>
      <c r="G7516" s="22" cm="1">
        <f t="array" ref="G7516">IF(AND(Inputs!$C$60,Inputs!$C$61),INDEX(Utility_Rates!$C$29:$F$52,HOUR(C7516)+Inputs!$C$69,MATCH(INDEX(Utility_Rates!$K$6:$K$17,MONTH(C7516))&amp;IF(WEEKDAY(C7516,Inputs!$C$76)&lt;=Inputs!$C$74," weekday"," weekend"),Utility_Rates!$C$28:$F$28,Inputs!$C$68)),"")</f>
      </c>
      <c r="H7516" s="34"/>
      <c r="I7516" s="42">
        <f>IF(AND(ISNUMBER(D7516),ISNUMBER(H7516)),D7516*H7516*Inputs!$C$69,"")</f>
      </c>
      <c r="J7516" s="42">
        <f>IF(AND(ISNUMBER(F7516),ISNUMBER(H7516),F7516&gt;=Inputs!$C$68),F7516*H7516*Inputs!$C$69,"")</f>
      </c>
    </row>
    <row r="7517" spans="2:10" ht="15" customHeight="1" x14ac:dyDescent="0.2">
      <c r="B7517" s="39">
        <f t="shared" si="58"/>
      </c>
      <c r="C7517" s="40">
        <f>IF(Inputs!$C$60,Inputs!$C$11+(B7517-Inputs!$C$69)/Inputs!$C$70,"")</f>
      </c>
      <c r="D7517" s="15"/>
      <c r="E7517" s="15"/>
      <c r="F7517" s="11">
        <f t="shared" si="59"/>
      </c>
      <c r="G7517" s="22" cm="1">
        <f t="array" ref="G7517">IF(AND(Inputs!$C$60,Inputs!$C$61),INDEX(Utility_Rates!$C$29:$F$52,HOUR(C7517)+Inputs!$C$69,MATCH(INDEX(Utility_Rates!$K$6:$K$17,MONTH(C7517))&amp;IF(WEEKDAY(C7517,Inputs!$C$76)&lt;=Inputs!$C$74," weekday"," weekend"),Utility_Rates!$C$28:$F$28,Inputs!$C$68)),"")</f>
      </c>
      <c r="H7517" s="34"/>
      <c r="I7517" s="42">
        <f>IF(AND(ISNUMBER(D7517),ISNUMBER(H7517)),D7517*H7517*Inputs!$C$69,"")</f>
      </c>
      <c r="J7517" s="42">
        <f>IF(AND(ISNUMBER(F7517),ISNUMBER(H7517),F7517&gt;=Inputs!$C$68),F7517*H7517*Inputs!$C$69,"")</f>
      </c>
    </row>
    <row r="7518" spans="2:10" ht="15" customHeight="1" x14ac:dyDescent="0.2">
      <c r="B7518" s="39">
        <f t="shared" si="58"/>
      </c>
      <c r="C7518" s="40">
        <f>IF(Inputs!$C$60,Inputs!$C$11+(B7518-Inputs!$C$69)/Inputs!$C$70,"")</f>
      </c>
      <c r="D7518" s="15"/>
      <c r="E7518" s="15"/>
      <c r="F7518" s="11">
        <f t="shared" si="59"/>
      </c>
      <c r="G7518" s="22" cm="1">
        <f t="array" ref="G7518">IF(AND(Inputs!$C$60,Inputs!$C$61),INDEX(Utility_Rates!$C$29:$F$52,HOUR(C7518)+Inputs!$C$69,MATCH(INDEX(Utility_Rates!$K$6:$K$17,MONTH(C7518))&amp;IF(WEEKDAY(C7518,Inputs!$C$76)&lt;=Inputs!$C$74," weekday"," weekend"),Utility_Rates!$C$28:$F$28,Inputs!$C$68)),"")</f>
      </c>
      <c r="H7518" s="34"/>
      <c r="I7518" s="42">
        <f>IF(AND(ISNUMBER(D7518),ISNUMBER(H7518)),D7518*H7518*Inputs!$C$69,"")</f>
      </c>
      <c r="J7518" s="42">
        <f>IF(AND(ISNUMBER(F7518),ISNUMBER(H7518),F7518&gt;=Inputs!$C$68),F7518*H7518*Inputs!$C$69,"")</f>
      </c>
    </row>
    <row r="7519" spans="2:10" ht="15" customHeight="1" x14ac:dyDescent="0.2">
      <c r="B7519" s="39">
        <f t="shared" si="58"/>
      </c>
      <c r="C7519" s="40">
        <f>IF(Inputs!$C$60,Inputs!$C$11+(B7519-Inputs!$C$69)/Inputs!$C$70,"")</f>
      </c>
      <c r="D7519" s="15"/>
      <c r="E7519" s="15"/>
      <c r="F7519" s="11">
        <f t="shared" si="59"/>
      </c>
      <c r="G7519" s="22" cm="1">
        <f t="array" ref="G7519">IF(AND(Inputs!$C$60,Inputs!$C$61),INDEX(Utility_Rates!$C$29:$F$52,HOUR(C7519)+Inputs!$C$69,MATCH(INDEX(Utility_Rates!$K$6:$K$17,MONTH(C7519))&amp;IF(WEEKDAY(C7519,Inputs!$C$76)&lt;=Inputs!$C$74," weekday"," weekend"),Utility_Rates!$C$28:$F$28,Inputs!$C$68)),"")</f>
      </c>
      <c r="H7519" s="34"/>
      <c r="I7519" s="42">
        <f>IF(AND(ISNUMBER(D7519),ISNUMBER(H7519)),D7519*H7519*Inputs!$C$69,"")</f>
      </c>
      <c r="J7519" s="42">
        <f>IF(AND(ISNUMBER(F7519),ISNUMBER(H7519),F7519&gt;=Inputs!$C$68),F7519*H7519*Inputs!$C$69,"")</f>
      </c>
    </row>
    <row r="7520" spans="2:10" ht="15" customHeight="1" x14ac:dyDescent="0.2">
      <c r="B7520" s="39">
        <f t="shared" si="58"/>
      </c>
      <c r="C7520" s="40">
        <f>IF(Inputs!$C$60,Inputs!$C$11+(B7520-Inputs!$C$69)/Inputs!$C$70,"")</f>
      </c>
      <c r="D7520" s="15"/>
      <c r="E7520" s="15"/>
      <c r="F7520" s="11">
        <f t="shared" si="59"/>
      </c>
      <c r="G7520" s="22" cm="1">
        <f t="array" ref="G7520">IF(AND(Inputs!$C$60,Inputs!$C$61),INDEX(Utility_Rates!$C$29:$F$52,HOUR(C7520)+Inputs!$C$69,MATCH(INDEX(Utility_Rates!$K$6:$K$17,MONTH(C7520))&amp;IF(WEEKDAY(C7520,Inputs!$C$76)&lt;=Inputs!$C$74," weekday"," weekend"),Utility_Rates!$C$28:$F$28,Inputs!$C$68)),"")</f>
      </c>
      <c r="H7520" s="34"/>
      <c r="I7520" s="42">
        <f>IF(AND(ISNUMBER(D7520),ISNUMBER(H7520)),D7520*H7520*Inputs!$C$69,"")</f>
      </c>
      <c r="J7520" s="42">
        <f>IF(AND(ISNUMBER(F7520),ISNUMBER(H7520),F7520&gt;=Inputs!$C$68),F7520*H7520*Inputs!$C$69,"")</f>
      </c>
    </row>
    <row r="7521" spans="2:10" ht="15" customHeight="1" x14ac:dyDescent="0.2">
      <c r="B7521" s="39">
        <f t="shared" si="58"/>
      </c>
      <c r="C7521" s="40">
        <f>IF(Inputs!$C$60,Inputs!$C$11+(B7521-Inputs!$C$69)/Inputs!$C$70,"")</f>
      </c>
      <c r="D7521" s="15"/>
      <c r="E7521" s="15"/>
      <c r="F7521" s="11">
        <f t="shared" si="59"/>
      </c>
      <c r="G7521" s="22" cm="1">
        <f t="array" ref="G7521">IF(AND(Inputs!$C$60,Inputs!$C$61),INDEX(Utility_Rates!$C$29:$F$52,HOUR(C7521)+Inputs!$C$69,MATCH(INDEX(Utility_Rates!$K$6:$K$17,MONTH(C7521))&amp;IF(WEEKDAY(C7521,Inputs!$C$76)&lt;=Inputs!$C$74," weekday"," weekend"),Utility_Rates!$C$28:$F$28,Inputs!$C$68)),"")</f>
      </c>
      <c r="H7521" s="34"/>
      <c r="I7521" s="42">
        <f>IF(AND(ISNUMBER(D7521),ISNUMBER(H7521)),D7521*H7521*Inputs!$C$69,"")</f>
      </c>
      <c r="J7521" s="42">
        <f>IF(AND(ISNUMBER(F7521),ISNUMBER(H7521),F7521&gt;=Inputs!$C$68),F7521*H7521*Inputs!$C$69,"")</f>
      </c>
    </row>
    <row r="7522" spans="2:10" ht="15" customHeight="1" x14ac:dyDescent="0.2">
      <c r="B7522" s="39">
        <f t="shared" si="58"/>
      </c>
      <c r="C7522" s="40">
        <f>IF(Inputs!$C$60,Inputs!$C$11+(B7522-Inputs!$C$69)/Inputs!$C$70,"")</f>
      </c>
      <c r="D7522" s="15"/>
      <c r="E7522" s="15"/>
      <c r="F7522" s="11">
        <f t="shared" si="59"/>
      </c>
      <c r="G7522" s="22" cm="1">
        <f t="array" ref="G7522">IF(AND(Inputs!$C$60,Inputs!$C$61),INDEX(Utility_Rates!$C$29:$F$52,HOUR(C7522)+Inputs!$C$69,MATCH(INDEX(Utility_Rates!$K$6:$K$17,MONTH(C7522))&amp;IF(WEEKDAY(C7522,Inputs!$C$76)&lt;=Inputs!$C$74," weekday"," weekend"),Utility_Rates!$C$28:$F$28,Inputs!$C$68)),"")</f>
      </c>
      <c r="H7522" s="34"/>
      <c r="I7522" s="42">
        <f>IF(AND(ISNUMBER(D7522),ISNUMBER(H7522)),D7522*H7522*Inputs!$C$69,"")</f>
      </c>
      <c r="J7522" s="42">
        <f>IF(AND(ISNUMBER(F7522),ISNUMBER(H7522),F7522&gt;=Inputs!$C$68),F7522*H7522*Inputs!$C$69,"")</f>
      </c>
    </row>
    <row r="7523" spans="2:10" ht="15" customHeight="1" x14ac:dyDescent="0.2">
      <c r="B7523" s="39">
        <f t="shared" si="58"/>
      </c>
      <c r="C7523" s="40">
        <f>IF(Inputs!$C$60,Inputs!$C$11+(B7523-Inputs!$C$69)/Inputs!$C$70,"")</f>
      </c>
      <c r="D7523" s="15"/>
      <c r="E7523" s="15"/>
      <c r="F7523" s="11">
        <f t="shared" si="59"/>
      </c>
      <c r="G7523" s="22" cm="1">
        <f t="array" ref="G7523">IF(AND(Inputs!$C$60,Inputs!$C$61),INDEX(Utility_Rates!$C$29:$F$52,HOUR(C7523)+Inputs!$C$69,MATCH(INDEX(Utility_Rates!$K$6:$K$17,MONTH(C7523))&amp;IF(WEEKDAY(C7523,Inputs!$C$76)&lt;=Inputs!$C$74," weekday"," weekend"),Utility_Rates!$C$28:$F$28,Inputs!$C$68)),"")</f>
      </c>
      <c r="H7523" s="34"/>
      <c r="I7523" s="42">
        <f>IF(AND(ISNUMBER(D7523),ISNUMBER(H7523)),D7523*H7523*Inputs!$C$69,"")</f>
      </c>
      <c r="J7523" s="42">
        <f>IF(AND(ISNUMBER(F7523),ISNUMBER(H7523),F7523&gt;=Inputs!$C$68),F7523*H7523*Inputs!$C$69,"")</f>
      </c>
    </row>
    <row r="7524" spans="2:10" ht="15" customHeight="1" x14ac:dyDescent="0.2">
      <c r="B7524" s="39">
        <f t="shared" si="58"/>
      </c>
      <c r="C7524" s="40">
        <f>IF(Inputs!$C$60,Inputs!$C$11+(B7524-Inputs!$C$69)/Inputs!$C$70,"")</f>
      </c>
      <c r="D7524" s="15"/>
      <c r="E7524" s="15"/>
      <c r="F7524" s="11">
        <f t="shared" si="59"/>
      </c>
      <c r="G7524" s="22" cm="1">
        <f t="array" ref="G7524">IF(AND(Inputs!$C$60,Inputs!$C$61),INDEX(Utility_Rates!$C$29:$F$52,HOUR(C7524)+Inputs!$C$69,MATCH(INDEX(Utility_Rates!$K$6:$K$17,MONTH(C7524))&amp;IF(WEEKDAY(C7524,Inputs!$C$76)&lt;=Inputs!$C$74," weekday"," weekend"),Utility_Rates!$C$28:$F$28,Inputs!$C$68)),"")</f>
      </c>
      <c r="H7524" s="34"/>
      <c r="I7524" s="42">
        <f>IF(AND(ISNUMBER(D7524),ISNUMBER(H7524)),D7524*H7524*Inputs!$C$69,"")</f>
      </c>
      <c r="J7524" s="42">
        <f>IF(AND(ISNUMBER(F7524),ISNUMBER(H7524),F7524&gt;=Inputs!$C$68),F7524*H7524*Inputs!$C$69,"")</f>
      </c>
    </row>
    <row r="7525" spans="2:10" ht="15" customHeight="1" x14ac:dyDescent="0.2">
      <c r="B7525" s="39">
        <f t="shared" si="58"/>
      </c>
      <c r="C7525" s="40">
        <f>IF(Inputs!$C$60,Inputs!$C$11+(B7525-Inputs!$C$69)/Inputs!$C$70,"")</f>
      </c>
      <c r="D7525" s="15"/>
      <c r="E7525" s="15"/>
      <c r="F7525" s="11">
        <f t="shared" si="59"/>
      </c>
      <c r="G7525" s="22" cm="1">
        <f t="array" ref="G7525">IF(AND(Inputs!$C$60,Inputs!$C$61),INDEX(Utility_Rates!$C$29:$F$52,HOUR(C7525)+Inputs!$C$69,MATCH(INDEX(Utility_Rates!$K$6:$K$17,MONTH(C7525))&amp;IF(WEEKDAY(C7525,Inputs!$C$76)&lt;=Inputs!$C$74," weekday"," weekend"),Utility_Rates!$C$28:$F$28,Inputs!$C$68)),"")</f>
      </c>
      <c r="H7525" s="34"/>
      <c r="I7525" s="42">
        <f>IF(AND(ISNUMBER(D7525),ISNUMBER(H7525)),D7525*H7525*Inputs!$C$69,"")</f>
      </c>
      <c r="J7525" s="42">
        <f>IF(AND(ISNUMBER(F7525),ISNUMBER(H7525),F7525&gt;=Inputs!$C$68),F7525*H7525*Inputs!$C$69,"")</f>
      </c>
    </row>
    <row r="7526" spans="2:10" ht="15" customHeight="1" x14ac:dyDescent="0.2">
      <c r="B7526" s="39">
        <f t="shared" si="58"/>
      </c>
      <c r="C7526" s="40">
        <f>IF(Inputs!$C$60,Inputs!$C$11+(B7526-Inputs!$C$69)/Inputs!$C$70,"")</f>
      </c>
      <c r="D7526" s="15"/>
      <c r="E7526" s="15"/>
      <c r="F7526" s="11">
        <f t="shared" si="59"/>
      </c>
      <c r="G7526" s="22" cm="1">
        <f t="array" ref="G7526">IF(AND(Inputs!$C$60,Inputs!$C$61),INDEX(Utility_Rates!$C$29:$F$52,HOUR(C7526)+Inputs!$C$69,MATCH(INDEX(Utility_Rates!$K$6:$K$17,MONTH(C7526))&amp;IF(WEEKDAY(C7526,Inputs!$C$76)&lt;=Inputs!$C$74," weekday"," weekend"),Utility_Rates!$C$28:$F$28,Inputs!$C$68)),"")</f>
      </c>
      <c r="H7526" s="34"/>
      <c r="I7526" s="42">
        <f>IF(AND(ISNUMBER(D7526),ISNUMBER(H7526)),D7526*H7526*Inputs!$C$69,"")</f>
      </c>
      <c r="J7526" s="42">
        <f>IF(AND(ISNUMBER(F7526),ISNUMBER(H7526),F7526&gt;=Inputs!$C$68),F7526*H7526*Inputs!$C$69,"")</f>
      </c>
    </row>
    <row r="7527" spans="2:10" ht="15" customHeight="1" x14ac:dyDescent="0.2">
      <c r="B7527" s="39">
        <f t="shared" si="58"/>
      </c>
      <c r="C7527" s="40">
        <f>IF(Inputs!$C$60,Inputs!$C$11+(B7527-Inputs!$C$69)/Inputs!$C$70,"")</f>
      </c>
      <c r="D7527" s="15"/>
      <c r="E7527" s="15"/>
      <c r="F7527" s="11">
        <f t="shared" si="59"/>
      </c>
      <c r="G7527" s="22" cm="1">
        <f t="array" ref="G7527">IF(AND(Inputs!$C$60,Inputs!$C$61),INDEX(Utility_Rates!$C$29:$F$52,HOUR(C7527)+Inputs!$C$69,MATCH(INDEX(Utility_Rates!$K$6:$K$17,MONTH(C7527))&amp;IF(WEEKDAY(C7527,Inputs!$C$76)&lt;=Inputs!$C$74," weekday"," weekend"),Utility_Rates!$C$28:$F$28,Inputs!$C$68)),"")</f>
      </c>
      <c r="H7527" s="34"/>
      <c r="I7527" s="42">
        <f>IF(AND(ISNUMBER(D7527),ISNUMBER(H7527)),D7527*H7527*Inputs!$C$69,"")</f>
      </c>
      <c r="J7527" s="42">
        <f>IF(AND(ISNUMBER(F7527),ISNUMBER(H7527),F7527&gt;=Inputs!$C$68),F7527*H7527*Inputs!$C$69,"")</f>
      </c>
    </row>
    <row r="7528" spans="2:10" ht="15" customHeight="1" x14ac:dyDescent="0.2">
      <c r="B7528" s="39">
        <f t="shared" si="58"/>
      </c>
      <c r="C7528" s="40">
        <f>IF(Inputs!$C$60,Inputs!$C$11+(B7528-Inputs!$C$69)/Inputs!$C$70,"")</f>
      </c>
      <c r="D7528" s="15"/>
      <c r="E7528" s="15"/>
      <c r="F7528" s="11">
        <f t="shared" si="59"/>
      </c>
      <c r="G7528" s="22" cm="1">
        <f t="array" ref="G7528">IF(AND(Inputs!$C$60,Inputs!$C$61),INDEX(Utility_Rates!$C$29:$F$52,HOUR(C7528)+Inputs!$C$69,MATCH(INDEX(Utility_Rates!$K$6:$K$17,MONTH(C7528))&amp;IF(WEEKDAY(C7528,Inputs!$C$76)&lt;=Inputs!$C$74," weekday"," weekend"),Utility_Rates!$C$28:$F$28,Inputs!$C$68)),"")</f>
      </c>
      <c r="H7528" s="34"/>
      <c r="I7528" s="42">
        <f>IF(AND(ISNUMBER(D7528),ISNUMBER(H7528)),D7528*H7528*Inputs!$C$69,"")</f>
      </c>
      <c r="J7528" s="42">
        <f>IF(AND(ISNUMBER(F7528),ISNUMBER(H7528),F7528&gt;=Inputs!$C$68),F7528*H7528*Inputs!$C$69,"")</f>
      </c>
    </row>
    <row r="7529" spans="2:10" ht="15" customHeight="1" x14ac:dyDescent="0.2">
      <c r="B7529" s="39">
        <f t="shared" si="58"/>
      </c>
      <c r="C7529" s="40">
        <f>IF(Inputs!$C$60,Inputs!$C$11+(B7529-Inputs!$C$69)/Inputs!$C$70,"")</f>
      </c>
      <c r="D7529" s="15"/>
      <c r="E7529" s="15"/>
      <c r="F7529" s="11">
        <f t="shared" si="59"/>
      </c>
      <c r="G7529" s="22" cm="1">
        <f t="array" ref="G7529">IF(AND(Inputs!$C$60,Inputs!$C$61),INDEX(Utility_Rates!$C$29:$F$52,HOUR(C7529)+Inputs!$C$69,MATCH(INDEX(Utility_Rates!$K$6:$K$17,MONTH(C7529))&amp;IF(WEEKDAY(C7529,Inputs!$C$76)&lt;=Inputs!$C$74," weekday"," weekend"),Utility_Rates!$C$28:$F$28,Inputs!$C$68)),"")</f>
      </c>
      <c r="H7529" s="34"/>
      <c r="I7529" s="42">
        <f>IF(AND(ISNUMBER(D7529),ISNUMBER(H7529)),D7529*H7529*Inputs!$C$69,"")</f>
      </c>
      <c r="J7529" s="42">
        <f>IF(AND(ISNUMBER(F7529),ISNUMBER(H7529),F7529&gt;=Inputs!$C$68),F7529*H7529*Inputs!$C$69,"")</f>
      </c>
    </row>
    <row r="7530" spans="2:10" ht="15" customHeight="1" x14ac:dyDescent="0.2">
      <c r="B7530" s="39">
        <f t="shared" si="58"/>
      </c>
      <c r="C7530" s="40">
        <f>IF(Inputs!$C$60,Inputs!$C$11+(B7530-Inputs!$C$69)/Inputs!$C$70,"")</f>
      </c>
      <c r="D7530" s="15"/>
      <c r="E7530" s="15"/>
      <c r="F7530" s="11">
        <f t="shared" si="59"/>
      </c>
      <c r="G7530" s="22" cm="1">
        <f t="array" ref="G7530">IF(AND(Inputs!$C$60,Inputs!$C$61),INDEX(Utility_Rates!$C$29:$F$52,HOUR(C7530)+Inputs!$C$69,MATCH(INDEX(Utility_Rates!$K$6:$K$17,MONTH(C7530))&amp;IF(WEEKDAY(C7530,Inputs!$C$76)&lt;=Inputs!$C$74," weekday"," weekend"),Utility_Rates!$C$28:$F$28,Inputs!$C$68)),"")</f>
      </c>
      <c r="H7530" s="34"/>
      <c r="I7530" s="42">
        <f>IF(AND(ISNUMBER(D7530),ISNUMBER(H7530)),D7530*H7530*Inputs!$C$69,"")</f>
      </c>
      <c r="J7530" s="42">
        <f>IF(AND(ISNUMBER(F7530),ISNUMBER(H7530),F7530&gt;=Inputs!$C$68),F7530*H7530*Inputs!$C$69,"")</f>
      </c>
    </row>
    <row r="7531" spans="2:10" ht="15" customHeight="1" x14ac:dyDescent="0.2">
      <c r="B7531" s="39">
        <f t="shared" si="58"/>
      </c>
      <c r="C7531" s="40">
        <f>IF(Inputs!$C$60,Inputs!$C$11+(B7531-Inputs!$C$69)/Inputs!$C$70,"")</f>
      </c>
      <c r="D7531" s="15"/>
      <c r="E7531" s="15"/>
      <c r="F7531" s="11">
        <f t="shared" si="59"/>
      </c>
      <c r="G7531" s="22" cm="1">
        <f t="array" ref="G7531">IF(AND(Inputs!$C$60,Inputs!$C$61),INDEX(Utility_Rates!$C$29:$F$52,HOUR(C7531)+Inputs!$C$69,MATCH(INDEX(Utility_Rates!$K$6:$K$17,MONTH(C7531))&amp;IF(WEEKDAY(C7531,Inputs!$C$76)&lt;=Inputs!$C$74," weekday"," weekend"),Utility_Rates!$C$28:$F$28,Inputs!$C$68)),"")</f>
      </c>
      <c r="H7531" s="34"/>
      <c r="I7531" s="42">
        <f>IF(AND(ISNUMBER(D7531),ISNUMBER(H7531)),D7531*H7531*Inputs!$C$69,"")</f>
      </c>
      <c r="J7531" s="42">
        <f>IF(AND(ISNUMBER(F7531),ISNUMBER(H7531),F7531&gt;=Inputs!$C$68),F7531*H7531*Inputs!$C$69,"")</f>
      </c>
    </row>
    <row r="7532" spans="2:10" ht="15" customHeight="1" x14ac:dyDescent="0.2">
      <c r="B7532" s="39">
        <f t="shared" si="58"/>
      </c>
      <c r="C7532" s="40">
        <f>IF(Inputs!$C$60,Inputs!$C$11+(B7532-Inputs!$C$69)/Inputs!$C$70,"")</f>
      </c>
      <c r="D7532" s="15"/>
      <c r="E7532" s="15"/>
      <c r="F7532" s="11">
        <f t="shared" si="59"/>
      </c>
      <c r="G7532" s="22" cm="1">
        <f t="array" ref="G7532">IF(AND(Inputs!$C$60,Inputs!$C$61),INDEX(Utility_Rates!$C$29:$F$52,HOUR(C7532)+Inputs!$C$69,MATCH(INDEX(Utility_Rates!$K$6:$K$17,MONTH(C7532))&amp;IF(WEEKDAY(C7532,Inputs!$C$76)&lt;=Inputs!$C$74," weekday"," weekend"),Utility_Rates!$C$28:$F$28,Inputs!$C$68)),"")</f>
      </c>
      <c r="H7532" s="34"/>
      <c r="I7532" s="42">
        <f>IF(AND(ISNUMBER(D7532),ISNUMBER(H7532)),D7532*H7532*Inputs!$C$69,"")</f>
      </c>
      <c r="J7532" s="42">
        <f>IF(AND(ISNUMBER(F7532),ISNUMBER(H7532),F7532&gt;=Inputs!$C$68),F7532*H7532*Inputs!$C$69,"")</f>
      </c>
    </row>
    <row r="7533" spans="2:10" ht="15" customHeight="1" x14ac:dyDescent="0.2">
      <c r="B7533" s="39">
        <f t="shared" si="58"/>
      </c>
      <c r="C7533" s="40">
        <f>IF(Inputs!$C$60,Inputs!$C$11+(B7533-Inputs!$C$69)/Inputs!$C$70,"")</f>
      </c>
      <c r="D7533" s="15"/>
      <c r="E7533" s="15"/>
      <c r="F7533" s="11">
        <f t="shared" si="59"/>
      </c>
      <c r="G7533" s="22" cm="1">
        <f t="array" ref="G7533">IF(AND(Inputs!$C$60,Inputs!$C$61),INDEX(Utility_Rates!$C$29:$F$52,HOUR(C7533)+Inputs!$C$69,MATCH(INDEX(Utility_Rates!$K$6:$K$17,MONTH(C7533))&amp;IF(WEEKDAY(C7533,Inputs!$C$76)&lt;=Inputs!$C$74," weekday"," weekend"),Utility_Rates!$C$28:$F$28,Inputs!$C$68)),"")</f>
      </c>
      <c r="H7533" s="34"/>
      <c r="I7533" s="42">
        <f>IF(AND(ISNUMBER(D7533),ISNUMBER(H7533)),D7533*H7533*Inputs!$C$69,"")</f>
      </c>
      <c r="J7533" s="42">
        <f>IF(AND(ISNUMBER(F7533),ISNUMBER(H7533),F7533&gt;=Inputs!$C$68),F7533*H7533*Inputs!$C$69,"")</f>
      </c>
    </row>
    <row r="7534" spans="2:10" ht="15" customHeight="1" x14ac:dyDescent="0.2">
      <c r="B7534" s="39">
        <f t="shared" si="58"/>
      </c>
      <c r="C7534" s="40">
        <f>IF(Inputs!$C$60,Inputs!$C$11+(B7534-Inputs!$C$69)/Inputs!$C$70,"")</f>
      </c>
      <c r="D7534" s="15"/>
      <c r="E7534" s="15"/>
      <c r="F7534" s="11">
        <f t="shared" si="59"/>
      </c>
      <c r="G7534" s="22" cm="1">
        <f t="array" ref="G7534">IF(AND(Inputs!$C$60,Inputs!$C$61),INDEX(Utility_Rates!$C$29:$F$52,HOUR(C7534)+Inputs!$C$69,MATCH(INDEX(Utility_Rates!$K$6:$K$17,MONTH(C7534))&amp;IF(WEEKDAY(C7534,Inputs!$C$76)&lt;=Inputs!$C$74," weekday"," weekend"),Utility_Rates!$C$28:$F$28,Inputs!$C$68)),"")</f>
      </c>
      <c r="H7534" s="34"/>
      <c r="I7534" s="42">
        <f>IF(AND(ISNUMBER(D7534),ISNUMBER(H7534)),D7534*H7534*Inputs!$C$69,"")</f>
      </c>
      <c r="J7534" s="42">
        <f>IF(AND(ISNUMBER(F7534),ISNUMBER(H7534),F7534&gt;=Inputs!$C$68),F7534*H7534*Inputs!$C$69,"")</f>
      </c>
    </row>
    <row r="7535" spans="2:10" ht="15" customHeight="1" x14ac:dyDescent="0.2">
      <c r="B7535" s="39">
        <f t="shared" si="58"/>
      </c>
      <c r="C7535" s="40">
        <f>IF(Inputs!$C$60,Inputs!$C$11+(B7535-Inputs!$C$69)/Inputs!$C$70,"")</f>
      </c>
      <c r="D7535" s="15"/>
      <c r="E7535" s="15"/>
      <c r="F7535" s="11">
        <f t="shared" si="59"/>
      </c>
      <c r="G7535" s="22" cm="1">
        <f t="array" ref="G7535">IF(AND(Inputs!$C$60,Inputs!$C$61),INDEX(Utility_Rates!$C$29:$F$52,HOUR(C7535)+Inputs!$C$69,MATCH(INDEX(Utility_Rates!$K$6:$K$17,MONTH(C7535))&amp;IF(WEEKDAY(C7535,Inputs!$C$76)&lt;=Inputs!$C$74," weekday"," weekend"),Utility_Rates!$C$28:$F$28,Inputs!$C$68)),"")</f>
      </c>
      <c r="H7535" s="34"/>
      <c r="I7535" s="42">
        <f>IF(AND(ISNUMBER(D7535),ISNUMBER(H7535)),D7535*H7535*Inputs!$C$69,"")</f>
      </c>
      <c r="J7535" s="42">
        <f>IF(AND(ISNUMBER(F7535),ISNUMBER(H7535),F7535&gt;=Inputs!$C$68),F7535*H7535*Inputs!$C$69,"")</f>
      </c>
    </row>
    <row r="7536" spans="2:10" ht="15" customHeight="1" x14ac:dyDescent="0.2">
      <c r="B7536" s="39">
        <f t="shared" si="58"/>
      </c>
      <c r="C7536" s="40">
        <f>IF(Inputs!$C$60,Inputs!$C$11+(B7536-Inputs!$C$69)/Inputs!$C$70,"")</f>
      </c>
      <c r="D7536" s="15"/>
      <c r="E7536" s="15"/>
      <c r="F7536" s="11">
        <f t="shared" si="59"/>
      </c>
      <c r="G7536" s="22" cm="1">
        <f t="array" ref="G7536">IF(AND(Inputs!$C$60,Inputs!$C$61),INDEX(Utility_Rates!$C$29:$F$52,HOUR(C7536)+Inputs!$C$69,MATCH(INDEX(Utility_Rates!$K$6:$K$17,MONTH(C7536))&amp;IF(WEEKDAY(C7536,Inputs!$C$76)&lt;=Inputs!$C$74," weekday"," weekend"),Utility_Rates!$C$28:$F$28,Inputs!$C$68)),"")</f>
      </c>
      <c r="H7536" s="34"/>
      <c r="I7536" s="42">
        <f>IF(AND(ISNUMBER(D7536),ISNUMBER(H7536)),D7536*H7536*Inputs!$C$69,"")</f>
      </c>
      <c r="J7536" s="42">
        <f>IF(AND(ISNUMBER(F7536),ISNUMBER(H7536),F7536&gt;=Inputs!$C$68),F7536*H7536*Inputs!$C$69,"")</f>
      </c>
    </row>
    <row r="7537" spans="2:10" ht="15" customHeight="1" x14ac:dyDescent="0.2">
      <c r="B7537" s="39">
        <f t="shared" si="58"/>
      </c>
      <c r="C7537" s="40">
        <f>IF(Inputs!$C$60,Inputs!$C$11+(B7537-Inputs!$C$69)/Inputs!$C$70,"")</f>
      </c>
      <c r="D7537" s="15"/>
      <c r="E7537" s="15"/>
      <c r="F7537" s="11">
        <f t="shared" si="59"/>
      </c>
      <c r="G7537" s="22" cm="1">
        <f t="array" ref="G7537">IF(AND(Inputs!$C$60,Inputs!$C$61),INDEX(Utility_Rates!$C$29:$F$52,HOUR(C7537)+Inputs!$C$69,MATCH(INDEX(Utility_Rates!$K$6:$K$17,MONTH(C7537))&amp;IF(WEEKDAY(C7537,Inputs!$C$76)&lt;=Inputs!$C$74," weekday"," weekend"),Utility_Rates!$C$28:$F$28,Inputs!$C$68)),"")</f>
      </c>
      <c r="H7537" s="34"/>
      <c r="I7537" s="42">
        <f>IF(AND(ISNUMBER(D7537),ISNUMBER(H7537)),D7537*H7537*Inputs!$C$69,"")</f>
      </c>
      <c r="J7537" s="42">
        <f>IF(AND(ISNUMBER(F7537),ISNUMBER(H7537),F7537&gt;=Inputs!$C$68),F7537*H7537*Inputs!$C$69,"")</f>
      </c>
    </row>
    <row r="7538" spans="2:10" ht="15" customHeight="1" x14ac:dyDescent="0.2">
      <c r="B7538" s="39">
        <f t="shared" si="58"/>
      </c>
      <c r="C7538" s="40">
        <f>IF(Inputs!$C$60,Inputs!$C$11+(B7538-Inputs!$C$69)/Inputs!$C$70,"")</f>
      </c>
      <c r="D7538" s="15"/>
      <c r="E7538" s="15"/>
      <c r="F7538" s="11">
        <f t="shared" si="59"/>
      </c>
      <c r="G7538" s="22" cm="1">
        <f t="array" ref="G7538">IF(AND(Inputs!$C$60,Inputs!$C$61),INDEX(Utility_Rates!$C$29:$F$52,HOUR(C7538)+Inputs!$C$69,MATCH(INDEX(Utility_Rates!$K$6:$K$17,MONTH(C7538))&amp;IF(WEEKDAY(C7538,Inputs!$C$76)&lt;=Inputs!$C$74," weekday"," weekend"),Utility_Rates!$C$28:$F$28,Inputs!$C$68)),"")</f>
      </c>
      <c r="H7538" s="34"/>
      <c r="I7538" s="42">
        <f>IF(AND(ISNUMBER(D7538),ISNUMBER(H7538)),D7538*H7538*Inputs!$C$69,"")</f>
      </c>
      <c r="J7538" s="42">
        <f>IF(AND(ISNUMBER(F7538),ISNUMBER(H7538),F7538&gt;=Inputs!$C$68),F7538*H7538*Inputs!$C$69,"")</f>
      </c>
    </row>
    <row r="7539" spans="2:10" ht="15" customHeight="1" x14ac:dyDescent="0.2">
      <c r="B7539" s="39">
        <f t="shared" si="58"/>
      </c>
      <c r="C7539" s="40">
        <f>IF(Inputs!$C$60,Inputs!$C$11+(B7539-Inputs!$C$69)/Inputs!$C$70,"")</f>
      </c>
      <c r="D7539" s="15"/>
      <c r="E7539" s="15"/>
      <c r="F7539" s="11">
        <f t="shared" si="59"/>
      </c>
      <c r="G7539" s="22" cm="1">
        <f t="array" ref="G7539">IF(AND(Inputs!$C$60,Inputs!$C$61),INDEX(Utility_Rates!$C$29:$F$52,HOUR(C7539)+Inputs!$C$69,MATCH(INDEX(Utility_Rates!$K$6:$K$17,MONTH(C7539))&amp;IF(WEEKDAY(C7539,Inputs!$C$76)&lt;=Inputs!$C$74," weekday"," weekend"),Utility_Rates!$C$28:$F$28,Inputs!$C$68)),"")</f>
      </c>
      <c r="H7539" s="34"/>
      <c r="I7539" s="42">
        <f>IF(AND(ISNUMBER(D7539),ISNUMBER(H7539)),D7539*H7539*Inputs!$C$69,"")</f>
      </c>
      <c r="J7539" s="42">
        <f>IF(AND(ISNUMBER(F7539),ISNUMBER(H7539),F7539&gt;=Inputs!$C$68),F7539*H7539*Inputs!$C$69,"")</f>
      </c>
    </row>
    <row r="7540" spans="2:10" ht="15" customHeight="1" x14ac:dyDescent="0.2">
      <c r="B7540" s="39">
        <f t="shared" si="58"/>
      </c>
      <c r="C7540" s="40">
        <f>IF(Inputs!$C$60,Inputs!$C$11+(B7540-Inputs!$C$69)/Inputs!$C$70,"")</f>
      </c>
      <c r="D7540" s="15"/>
      <c r="E7540" s="15"/>
      <c r="F7540" s="11">
        <f t="shared" si="59"/>
      </c>
      <c r="G7540" s="22" cm="1">
        <f t="array" ref="G7540">IF(AND(Inputs!$C$60,Inputs!$C$61),INDEX(Utility_Rates!$C$29:$F$52,HOUR(C7540)+Inputs!$C$69,MATCH(INDEX(Utility_Rates!$K$6:$K$17,MONTH(C7540))&amp;IF(WEEKDAY(C7540,Inputs!$C$76)&lt;=Inputs!$C$74," weekday"," weekend"),Utility_Rates!$C$28:$F$28,Inputs!$C$68)),"")</f>
      </c>
      <c r="H7540" s="34"/>
      <c r="I7540" s="42">
        <f>IF(AND(ISNUMBER(D7540),ISNUMBER(H7540)),D7540*H7540*Inputs!$C$69,"")</f>
      </c>
      <c r="J7540" s="42">
        <f>IF(AND(ISNUMBER(F7540),ISNUMBER(H7540),F7540&gt;=Inputs!$C$68),F7540*H7540*Inputs!$C$69,"")</f>
      </c>
    </row>
    <row r="7541" spans="2:10" ht="15" customHeight="1" x14ac:dyDescent="0.2">
      <c r="B7541" s="39">
        <f t="shared" si="58"/>
      </c>
      <c r="C7541" s="40">
        <f>IF(Inputs!$C$60,Inputs!$C$11+(B7541-Inputs!$C$69)/Inputs!$C$70,"")</f>
      </c>
      <c r="D7541" s="15"/>
      <c r="E7541" s="15"/>
      <c r="F7541" s="11">
        <f t="shared" si="59"/>
      </c>
      <c r="G7541" s="22" cm="1">
        <f t="array" ref="G7541">IF(AND(Inputs!$C$60,Inputs!$C$61),INDEX(Utility_Rates!$C$29:$F$52,HOUR(C7541)+Inputs!$C$69,MATCH(INDEX(Utility_Rates!$K$6:$K$17,MONTH(C7541))&amp;IF(WEEKDAY(C7541,Inputs!$C$76)&lt;=Inputs!$C$74," weekday"," weekend"),Utility_Rates!$C$28:$F$28,Inputs!$C$68)),"")</f>
      </c>
      <c r="H7541" s="34"/>
      <c r="I7541" s="42">
        <f>IF(AND(ISNUMBER(D7541),ISNUMBER(H7541)),D7541*H7541*Inputs!$C$69,"")</f>
      </c>
      <c r="J7541" s="42">
        <f>IF(AND(ISNUMBER(F7541),ISNUMBER(H7541),F7541&gt;=Inputs!$C$68),F7541*H7541*Inputs!$C$69,"")</f>
      </c>
    </row>
    <row r="7542" spans="2:10" ht="15" customHeight="1" x14ac:dyDescent="0.2">
      <c r="B7542" s="39">
        <f t="shared" si="58"/>
      </c>
      <c r="C7542" s="40">
        <f>IF(Inputs!$C$60,Inputs!$C$11+(B7542-Inputs!$C$69)/Inputs!$C$70,"")</f>
      </c>
      <c r="D7542" s="15"/>
      <c r="E7542" s="15"/>
      <c r="F7542" s="11">
        <f t="shared" si="59"/>
      </c>
      <c r="G7542" s="22" cm="1">
        <f t="array" ref="G7542">IF(AND(Inputs!$C$60,Inputs!$C$61),INDEX(Utility_Rates!$C$29:$F$52,HOUR(C7542)+Inputs!$C$69,MATCH(INDEX(Utility_Rates!$K$6:$K$17,MONTH(C7542))&amp;IF(WEEKDAY(C7542,Inputs!$C$76)&lt;=Inputs!$C$74," weekday"," weekend"),Utility_Rates!$C$28:$F$28,Inputs!$C$68)),"")</f>
      </c>
      <c r="H7542" s="34"/>
      <c r="I7542" s="42">
        <f>IF(AND(ISNUMBER(D7542),ISNUMBER(H7542)),D7542*H7542*Inputs!$C$69,"")</f>
      </c>
      <c r="J7542" s="42">
        <f>IF(AND(ISNUMBER(F7542),ISNUMBER(H7542),F7542&gt;=Inputs!$C$68),F7542*H7542*Inputs!$C$69,"")</f>
      </c>
    </row>
    <row r="7543" spans="2:10" ht="15" customHeight="1" x14ac:dyDescent="0.2">
      <c r="B7543" s="39">
        <f t="shared" si="58"/>
      </c>
      <c r="C7543" s="40">
        <f>IF(Inputs!$C$60,Inputs!$C$11+(B7543-Inputs!$C$69)/Inputs!$C$70,"")</f>
      </c>
      <c r="D7543" s="15"/>
      <c r="E7543" s="15"/>
      <c r="F7543" s="11">
        <f t="shared" si="59"/>
      </c>
      <c r="G7543" s="22" cm="1">
        <f t="array" ref="G7543">IF(AND(Inputs!$C$60,Inputs!$C$61),INDEX(Utility_Rates!$C$29:$F$52,HOUR(C7543)+Inputs!$C$69,MATCH(INDEX(Utility_Rates!$K$6:$K$17,MONTH(C7543))&amp;IF(WEEKDAY(C7543,Inputs!$C$76)&lt;=Inputs!$C$74," weekday"," weekend"),Utility_Rates!$C$28:$F$28,Inputs!$C$68)),"")</f>
      </c>
      <c r="H7543" s="34"/>
      <c r="I7543" s="42">
        <f>IF(AND(ISNUMBER(D7543),ISNUMBER(H7543)),D7543*H7543*Inputs!$C$69,"")</f>
      </c>
      <c r="J7543" s="42">
        <f>IF(AND(ISNUMBER(F7543),ISNUMBER(H7543),F7543&gt;=Inputs!$C$68),F7543*H7543*Inputs!$C$69,"")</f>
      </c>
    </row>
    <row r="7544" spans="2:10" ht="15" customHeight="1" x14ac:dyDescent="0.2">
      <c r="B7544" s="39">
        <f t="shared" si="58"/>
      </c>
      <c r="C7544" s="40">
        <f>IF(Inputs!$C$60,Inputs!$C$11+(B7544-Inputs!$C$69)/Inputs!$C$70,"")</f>
      </c>
      <c r="D7544" s="15"/>
      <c r="E7544" s="15"/>
      <c r="F7544" s="11">
        <f t="shared" si="59"/>
      </c>
      <c r="G7544" s="22" cm="1">
        <f t="array" ref="G7544">IF(AND(Inputs!$C$60,Inputs!$C$61),INDEX(Utility_Rates!$C$29:$F$52,HOUR(C7544)+Inputs!$C$69,MATCH(INDEX(Utility_Rates!$K$6:$K$17,MONTH(C7544))&amp;IF(WEEKDAY(C7544,Inputs!$C$76)&lt;=Inputs!$C$74," weekday"," weekend"),Utility_Rates!$C$28:$F$28,Inputs!$C$68)),"")</f>
      </c>
      <c r="H7544" s="34"/>
      <c r="I7544" s="42">
        <f>IF(AND(ISNUMBER(D7544),ISNUMBER(H7544)),D7544*H7544*Inputs!$C$69,"")</f>
      </c>
      <c r="J7544" s="42">
        <f>IF(AND(ISNUMBER(F7544),ISNUMBER(H7544),F7544&gt;=Inputs!$C$68),F7544*H7544*Inputs!$C$69,"")</f>
      </c>
    </row>
    <row r="7545" spans="2:10" ht="15" customHeight="1" x14ac:dyDescent="0.2">
      <c r="B7545" s="39">
        <f t="shared" si="58"/>
      </c>
      <c r="C7545" s="40">
        <f>IF(Inputs!$C$60,Inputs!$C$11+(B7545-Inputs!$C$69)/Inputs!$C$70,"")</f>
      </c>
      <c r="D7545" s="15"/>
      <c r="E7545" s="15"/>
      <c r="F7545" s="11">
        <f t="shared" si="59"/>
      </c>
      <c r="G7545" s="22" cm="1">
        <f t="array" ref="G7545">IF(AND(Inputs!$C$60,Inputs!$C$61),INDEX(Utility_Rates!$C$29:$F$52,HOUR(C7545)+Inputs!$C$69,MATCH(INDEX(Utility_Rates!$K$6:$K$17,MONTH(C7545))&amp;IF(WEEKDAY(C7545,Inputs!$C$76)&lt;=Inputs!$C$74," weekday"," weekend"),Utility_Rates!$C$28:$F$28,Inputs!$C$68)),"")</f>
      </c>
      <c r="H7545" s="34"/>
      <c r="I7545" s="42">
        <f>IF(AND(ISNUMBER(D7545),ISNUMBER(H7545)),D7545*H7545*Inputs!$C$69,"")</f>
      </c>
      <c r="J7545" s="42">
        <f>IF(AND(ISNUMBER(F7545),ISNUMBER(H7545),F7545&gt;=Inputs!$C$68),F7545*H7545*Inputs!$C$69,"")</f>
      </c>
    </row>
    <row r="7546" spans="2:10" ht="15" customHeight="1" x14ac:dyDescent="0.2">
      <c r="B7546" s="39">
        <f t="shared" si="58"/>
      </c>
      <c r="C7546" s="40">
        <f>IF(Inputs!$C$60,Inputs!$C$11+(B7546-Inputs!$C$69)/Inputs!$C$70,"")</f>
      </c>
      <c r="D7546" s="15"/>
      <c r="E7546" s="15"/>
      <c r="F7546" s="11">
        <f t="shared" si="59"/>
      </c>
      <c r="G7546" s="22" cm="1">
        <f t="array" ref="G7546">IF(AND(Inputs!$C$60,Inputs!$C$61),INDEX(Utility_Rates!$C$29:$F$52,HOUR(C7546)+Inputs!$C$69,MATCH(INDEX(Utility_Rates!$K$6:$K$17,MONTH(C7546))&amp;IF(WEEKDAY(C7546,Inputs!$C$76)&lt;=Inputs!$C$74," weekday"," weekend"),Utility_Rates!$C$28:$F$28,Inputs!$C$68)),"")</f>
      </c>
      <c r="H7546" s="34"/>
      <c r="I7546" s="42">
        <f>IF(AND(ISNUMBER(D7546),ISNUMBER(H7546)),D7546*H7546*Inputs!$C$69,"")</f>
      </c>
      <c r="J7546" s="42">
        <f>IF(AND(ISNUMBER(F7546),ISNUMBER(H7546),F7546&gt;=Inputs!$C$68),F7546*H7546*Inputs!$C$69,"")</f>
      </c>
    </row>
    <row r="7547" spans="2:10" ht="15" customHeight="1" x14ac:dyDescent="0.2">
      <c r="B7547" s="39">
        <f t="shared" si="58"/>
      </c>
      <c r="C7547" s="40">
        <f>IF(Inputs!$C$60,Inputs!$C$11+(B7547-Inputs!$C$69)/Inputs!$C$70,"")</f>
      </c>
      <c r="D7547" s="15"/>
      <c r="E7547" s="15"/>
      <c r="F7547" s="11">
        <f t="shared" si="59"/>
      </c>
      <c r="G7547" s="22" cm="1">
        <f t="array" ref="G7547">IF(AND(Inputs!$C$60,Inputs!$C$61),INDEX(Utility_Rates!$C$29:$F$52,HOUR(C7547)+Inputs!$C$69,MATCH(INDEX(Utility_Rates!$K$6:$K$17,MONTH(C7547))&amp;IF(WEEKDAY(C7547,Inputs!$C$76)&lt;=Inputs!$C$74," weekday"," weekend"),Utility_Rates!$C$28:$F$28,Inputs!$C$68)),"")</f>
      </c>
      <c r="H7547" s="34"/>
      <c r="I7547" s="42">
        <f>IF(AND(ISNUMBER(D7547),ISNUMBER(H7547)),D7547*H7547*Inputs!$C$69,"")</f>
      </c>
      <c r="J7547" s="42">
        <f>IF(AND(ISNUMBER(F7547),ISNUMBER(H7547),F7547&gt;=Inputs!$C$68),F7547*H7547*Inputs!$C$69,"")</f>
      </c>
    </row>
    <row r="7548" spans="2:10" ht="15" customHeight="1" x14ac:dyDescent="0.2">
      <c r="B7548" s="39">
        <f t="shared" si="58"/>
      </c>
      <c r="C7548" s="40">
        <f>IF(Inputs!$C$60,Inputs!$C$11+(B7548-Inputs!$C$69)/Inputs!$C$70,"")</f>
      </c>
      <c r="D7548" s="15"/>
      <c r="E7548" s="15"/>
      <c r="F7548" s="11">
        <f t="shared" si="59"/>
      </c>
      <c r="G7548" s="22" cm="1">
        <f t="array" ref="G7548">IF(AND(Inputs!$C$60,Inputs!$C$61),INDEX(Utility_Rates!$C$29:$F$52,HOUR(C7548)+Inputs!$C$69,MATCH(INDEX(Utility_Rates!$K$6:$K$17,MONTH(C7548))&amp;IF(WEEKDAY(C7548,Inputs!$C$76)&lt;=Inputs!$C$74," weekday"," weekend"),Utility_Rates!$C$28:$F$28,Inputs!$C$68)),"")</f>
      </c>
      <c r="H7548" s="34"/>
      <c r="I7548" s="42">
        <f>IF(AND(ISNUMBER(D7548),ISNUMBER(H7548)),D7548*H7548*Inputs!$C$69,"")</f>
      </c>
      <c r="J7548" s="42">
        <f>IF(AND(ISNUMBER(F7548),ISNUMBER(H7548),F7548&gt;=Inputs!$C$68),F7548*H7548*Inputs!$C$69,"")</f>
      </c>
    </row>
    <row r="7549" spans="2:10" ht="15" customHeight="1" x14ac:dyDescent="0.2">
      <c r="B7549" s="39">
        <f t="shared" si="58"/>
      </c>
      <c r="C7549" s="40">
        <f>IF(Inputs!$C$60,Inputs!$C$11+(B7549-Inputs!$C$69)/Inputs!$C$70,"")</f>
      </c>
      <c r="D7549" s="15"/>
      <c r="E7549" s="15"/>
      <c r="F7549" s="11">
        <f t="shared" si="59"/>
      </c>
      <c r="G7549" s="22" cm="1">
        <f t="array" ref="G7549">IF(AND(Inputs!$C$60,Inputs!$C$61),INDEX(Utility_Rates!$C$29:$F$52,HOUR(C7549)+Inputs!$C$69,MATCH(INDEX(Utility_Rates!$K$6:$K$17,MONTH(C7549))&amp;IF(WEEKDAY(C7549,Inputs!$C$76)&lt;=Inputs!$C$74," weekday"," weekend"),Utility_Rates!$C$28:$F$28,Inputs!$C$68)),"")</f>
      </c>
      <c r="H7549" s="34"/>
      <c r="I7549" s="42">
        <f>IF(AND(ISNUMBER(D7549),ISNUMBER(H7549)),D7549*H7549*Inputs!$C$69,"")</f>
      </c>
      <c r="J7549" s="42">
        <f>IF(AND(ISNUMBER(F7549),ISNUMBER(H7549),F7549&gt;=Inputs!$C$68),F7549*H7549*Inputs!$C$69,"")</f>
      </c>
    </row>
    <row r="7550" spans="2:10" ht="15" customHeight="1" x14ac:dyDescent="0.2">
      <c r="B7550" s="39">
        <f t="shared" si="58"/>
      </c>
      <c r="C7550" s="40">
        <f>IF(Inputs!$C$60,Inputs!$C$11+(B7550-Inputs!$C$69)/Inputs!$C$70,"")</f>
      </c>
      <c r="D7550" s="15"/>
      <c r="E7550" s="15"/>
      <c r="F7550" s="11">
        <f t="shared" si="59"/>
      </c>
      <c r="G7550" s="22" cm="1">
        <f t="array" ref="G7550">IF(AND(Inputs!$C$60,Inputs!$C$61),INDEX(Utility_Rates!$C$29:$F$52,HOUR(C7550)+Inputs!$C$69,MATCH(INDEX(Utility_Rates!$K$6:$K$17,MONTH(C7550))&amp;IF(WEEKDAY(C7550,Inputs!$C$76)&lt;=Inputs!$C$74," weekday"," weekend"),Utility_Rates!$C$28:$F$28,Inputs!$C$68)),"")</f>
      </c>
      <c r="H7550" s="34"/>
      <c r="I7550" s="42">
        <f>IF(AND(ISNUMBER(D7550),ISNUMBER(H7550)),D7550*H7550*Inputs!$C$69,"")</f>
      </c>
      <c r="J7550" s="42">
        <f>IF(AND(ISNUMBER(F7550),ISNUMBER(H7550),F7550&gt;=Inputs!$C$68),F7550*H7550*Inputs!$C$69,"")</f>
      </c>
    </row>
    <row r="7551" spans="2:10" ht="15" customHeight="1" x14ac:dyDescent="0.2">
      <c r="B7551" s="39">
        <f t="shared" si="58"/>
      </c>
      <c r="C7551" s="40">
        <f>IF(Inputs!$C$60,Inputs!$C$11+(B7551-Inputs!$C$69)/Inputs!$C$70,"")</f>
      </c>
      <c r="D7551" s="15"/>
      <c r="E7551" s="15"/>
      <c r="F7551" s="11">
        <f t="shared" si="59"/>
      </c>
      <c r="G7551" s="22" cm="1">
        <f t="array" ref="G7551">IF(AND(Inputs!$C$60,Inputs!$C$61),INDEX(Utility_Rates!$C$29:$F$52,HOUR(C7551)+Inputs!$C$69,MATCH(INDEX(Utility_Rates!$K$6:$K$17,MONTH(C7551))&amp;IF(WEEKDAY(C7551,Inputs!$C$76)&lt;=Inputs!$C$74," weekday"," weekend"),Utility_Rates!$C$28:$F$28,Inputs!$C$68)),"")</f>
      </c>
      <c r="H7551" s="34"/>
      <c r="I7551" s="42">
        <f>IF(AND(ISNUMBER(D7551),ISNUMBER(H7551)),D7551*H7551*Inputs!$C$69,"")</f>
      </c>
      <c r="J7551" s="42">
        <f>IF(AND(ISNUMBER(F7551),ISNUMBER(H7551),F7551&gt;=Inputs!$C$68),F7551*H7551*Inputs!$C$69,"")</f>
      </c>
    </row>
    <row r="7552" spans="2:10" ht="15" customHeight="1" x14ac:dyDescent="0.2">
      <c r="B7552" s="39">
        <f t="shared" si="58"/>
      </c>
      <c r="C7552" s="40">
        <f>IF(Inputs!$C$60,Inputs!$C$11+(B7552-Inputs!$C$69)/Inputs!$C$70,"")</f>
      </c>
      <c r="D7552" s="15"/>
      <c r="E7552" s="15"/>
      <c r="F7552" s="11">
        <f t="shared" si="59"/>
      </c>
      <c r="G7552" s="22" cm="1">
        <f t="array" ref="G7552">IF(AND(Inputs!$C$60,Inputs!$C$61),INDEX(Utility_Rates!$C$29:$F$52,HOUR(C7552)+Inputs!$C$69,MATCH(INDEX(Utility_Rates!$K$6:$K$17,MONTH(C7552))&amp;IF(WEEKDAY(C7552,Inputs!$C$76)&lt;=Inputs!$C$74," weekday"," weekend"),Utility_Rates!$C$28:$F$28,Inputs!$C$68)),"")</f>
      </c>
      <c r="H7552" s="34"/>
      <c r="I7552" s="42">
        <f>IF(AND(ISNUMBER(D7552),ISNUMBER(H7552)),D7552*H7552*Inputs!$C$69,"")</f>
      </c>
      <c r="J7552" s="42">
        <f>IF(AND(ISNUMBER(F7552),ISNUMBER(H7552),F7552&gt;=Inputs!$C$68),F7552*H7552*Inputs!$C$69,"")</f>
      </c>
    </row>
    <row r="7553" spans="2:10" ht="15" customHeight="1" x14ac:dyDescent="0.2">
      <c r="B7553" s="39">
        <f t="shared" si="58"/>
      </c>
      <c r="C7553" s="40">
        <f>IF(Inputs!$C$60,Inputs!$C$11+(B7553-Inputs!$C$69)/Inputs!$C$70,"")</f>
      </c>
      <c r="D7553" s="15"/>
      <c r="E7553" s="15"/>
      <c r="F7553" s="11">
        <f t="shared" si="59"/>
      </c>
      <c r="G7553" s="22" cm="1">
        <f t="array" ref="G7553">IF(AND(Inputs!$C$60,Inputs!$C$61),INDEX(Utility_Rates!$C$29:$F$52,HOUR(C7553)+Inputs!$C$69,MATCH(INDEX(Utility_Rates!$K$6:$K$17,MONTH(C7553))&amp;IF(WEEKDAY(C7553,Inputs!$C$76)&lt;=Inputs!$C$74," weekday"," weekend"),Utility_Rates!$C$28:$F$28,Inputs!$C$68)),"")</f>
      </c>
      <c r="H7553" s="34"/>
      <c r="I7553" s="42">
        <f>IF(AND(ISNUMBER(D7553),ISNUMBER(H7553)),D7553*H7553*Inputs!$C$69,"")</f>
      </c>
      <c r="J7553" s="42">
        <f>IF(AND(ISNUMBER(F7553),ISNUMBER(H7553),F7553&gt;=Inputs!$C$68),F7553*H7553*Inputs!$C$69,"")</f>
      </c>
    </row>
    <row r="7554" spans="2:10" ht="15" customHeight="1" x14ac:dyDescent="0.2">
      <c r="B7554" s="39">
        <f t="shared" si="58"/>
      </c>
      <c r="C7554" s="40">
        <f>IF(Inputs!$C$60,Inputs!$C$11+(B7554-Inputs!$C$69)/Inputs!$C$70,"")</f>
      </c>
      <c r="D7554" s="15"/>
      <c r="E7554" s="15"/>
      <c r="F7554" s="11">
        <f t="shared" si="59"/>
      </c>
      <c r="G7554" s="22" cm="1">
        <f t="array" ref="G7554">IF(AND(Inputs!$C$60,Inputs!$C$61),INDEX(Utility_Rates!$C$29:$F$52,HOUR(C7554)+Inputs!$C$69,MATCH(INDEX(Utility_Rates!$K$6:$K$17,MONTH(C7554))&amp;IF(WEEKDAY(C7554,Inputs!$C$76)&lt;=Inputs!$C$74," weekday"," weekend"),Utility_Rates!$C$28:$F$28,Inputs!$C$68)),"")</f>
      </c>
      <c r="H7554" s="34"/>
      <c r="I7554" s="42">
        <f>IF(AND(ISNUMBER(D7554),ISNUMBER(H7554)),D7554*H7554*Inputs!$C$69,"")</f>
      </c>
      <c r="J7554" s="42">
        <f>IF(AND(ISNUMBER(F7554),ISNUMBER(H7554),F7554&gt;=Inputs!$C$68),F7554*H7554*Inputs!$C$69,"")</f>
      </c>
    </row>
    <row r="7555" spans="2:10" ht="15" customHeight="1" x14ac:dyDescent="0.2">
      <c r="B7555" s="39">
        <f t="shared" si="58"/>
      </c>
      <c r="C7555" s="40">
        <f>IF(Inputs!$C$60,Inputs!$C$11+(B7555-Inputs!$C$69)/Inputs!$C$70,"")</f>
      </c>
      <c r="D7555" s="15"/>
      <c r="E7555" s="15"/>
      <c r="F7555" s="11">
        <f t="shared" si="59"/>
      </c>
      <c r="G7555" s="22" cm="1">
        <f t="array" ref="G7555">IF(AND(Inputs!$C$60,Inputs!$C$61),INDEX(Utility_Rates!$C$29:$F$52,HOUR(C7555)+Inputs!$C$69,MATCH(INDEX(Utility_Rates!$K$6:$K$17,MONTH(C7555))&amp;IF(WEEKDAY(C7555,Inputs!$C$76)&lt;=Inputs!$C$74," weekday"," weekend"),Utility_Rates!$C$28:$F$28,Inputs!$C$68)),"")</f>
      </c>
      <c r="H7555" s="34"/>
      <c r="I7555" s="42">
        <f>IF(AND(ISNUMBER(D7555),ISNUMBER(H7555)),D7555*H7555*Inputs!$C$69,"")</f>
      </c>
      <c r="J7555" s="42">
        <f>IF(AND(ISNUMBER(F7555),ISNUMBER(H7555),F7555&gt;=Inputs!$C$68),F7555*H7555*Inputs!$C$69,"")</f>
      </c>
    </row>
    <row r="7556" spans="2:10" ht="15" customHeight="1" x14ac:dyDescent="0.2">
      <c r="B7556" s="39">
        <f t="shared" si="58"/>
      </c>
      <c r="C7556" s="40">
        <f>IF(Inputs!$C$60,Inputs!$C$11+(B7556-Inputs!$C$69)/Inputs!$C$70,"")</f>
      </c>
      <c r="D7556" s="15"/>
      <c r="E7556" s="15"/>
      <c r="F7556" s="11">
        <f t="shared" si="59"/>
      </c>
      <c r="G7556" s="22" cm="1">
        <f t="array" ref="G7556">IF(AND(Inputs!$C$60,Inputs!$C$61),INDEX(Utility_Rates!$C$29:$F$52,HOUR(C7556)+Inputs!$C$69,MATCH(INDEX(Utility_Rates!$K$6:$K$17,MONTH(C7556))&amp;IF(WEEKDAY(C7556,Inputs!$C$76)&lt;=Inputs!$C$74," weekday"," weekend"),Utility_Rates!$C$28:$F$28,Inputs!$C$68)),"")</f>
      </c>
      <c r="H7556" s="34"/>
      <c r="I7556" s="42">
        <f>IF(AND(ISNUMBER(D7556),ISNUMBER(H7556)),D7556*H7556*Inputs!$C$69,"")</f>
      </c>
      <c r="J7556" s="42">
        <f>IF(AND(ISNUMBER(F7556),ISNUMBER(H7556),F7556&gt;=Inputs!$C$68),F7556*H7556*Inputs!$C$69,"")</f>
      </c>
    </row>
    <row r="7557" spans="2:10" ht="15" customHeight="1" x14ac:dyDescent="0.2">
      <c r="B7557" s="39">
        <f t="shared" si="58"/>
      </c>
      <c r="C7557" s="40">
        <f>IF(Inputs!$C$60,Inputs!$C$11+(B7557-Inputs!$C$69)/Inputs!$C$70,"")</f>
      </c>
      <c r="D7557" s="15"/>
      <c r="E7557" s="15"/>
      <c r="F7557" s="11">
        <f t="shared" si="59"/>
      </c>
      <c r="G7557" s="22" cm="1">
        <f t="array" ref="G7557">IF(AND(Inputs!$C$60,Inputs!$C$61),INDEX(Utility_Rates!$C$29:$F$52,HOUR(C7557)+Inputs!$C$69,MATCH(INDEX(Utility_Rates!$K$6:$K$17,MONTH(C7557))&amp;IF(WEEKDAY(C7557,Inputs!$C$76)&lt;=Inputs!$C$74," weekday"," weekend"),Utility_Rates!$C$28:$F$28,Inputs!$C$68)),"")</f>
      </c>
      <c r="H7557" s="34"/>
      <c r="I7557" s="42">
        <f>IF(AND(ISNUMBER(D7557),ISNUMBER(H7557)),D7557*H7557*Inputs!$C$69,"")</f>
      </c>
      <c r="J7557" s="42">
        <f>IF(AND(ISNUMBER(F7557),ISNUMBER(H7557),F7557&gt;=Inputs!$C$68),F7557*H7557*Inputs!$C$69,"")</f>
      </c>
    </row>
    <row r="7558" spans="2:10" ht="15" customHeight="1" x14ac:dyDescent="0.2">
      <c r="B7558" s="39">
        <f t="shared" si="58"/>
      </c>
      <c r="C7558" s="40">
        <f>IF(Inputs!$C$60,Inputs!$C$11+(B7558-Inputs!$C$69)/Inputs!$C$70,"")</f>
      </c>
      <c r="D7558" s="15"/>
      <c r="E7558" s="15"/>
      <c r="F7558" s="11">
        <f t="shared" si="59"/>
      </c>
      <c r="G7558" s="22" cm="1">
        <f t="array" ref="G7558">IF(AND(Inputs!$C$60,Inputs!$C$61),INDEX(Utility_Rates!$C$29:$F$52,HOUR(C7558)+Inputs!$C$69,MATCH(INDEX(Utility_Rates!$K$6:$K$17,MONTH(C7558))&amp;IF(WEEKDAY(C7558,Inputs!$C$76)&lt;=Inputs!$C$74," weekday"," weekend"),Utility_Rates!$C$28:$F$28,Inputs!$C$68)),"")</f>
      </c>
      <c r="H7558" s="34"/>
      <c r="I7558" s="42">
        <f>IF(AND(ISNUMBER(D7558),ISNUMBER(H7558)),D7558*H7558*Inputs!$C$69,"")</f>
      </c>
      <c r="J7558" s="42">
        <f>IF(AND(ISNUMBER(F7558),ISNUMBER(H7558),F7558&gt;=Inputs!$C$68),F7558*H7558*Inputs!$C$69,"")</f>
      </c>
    </row>
    <row r="7559" spans="2:10" ht="15" customHeight="1" x14ac:dyDescent="0.2">
      <c r="B7559" s="39">
        <f t="shared" si="58"/>
      </c>
      <c r="C7559" s="40">
        <f>IF(Inputs!$C$60,Inputs!$C$11+(B7559-Inputs!$C$69)/Inputs!$C$70,"")</f>
      </c>
      <c r="D7559" s="15"/>
      <c r="E7559" s="15"/>
      <c r="F7559" s="11">
        <f t="shared" si="59"/>
      </c>
      <c r="G7559" s="22" cm="1">
        <f t="array" ref="G7559">IF(AND(Inputs!$C$60,Inputs!$C$61),INDEX(Utility_Rates!$C$29:$F$52,HOUR(C7559)+Inputs!$C$69,MATCH(INDEX(Utility_Rates!$K$6:$K$17,MONTH(C7559))&amp;IF(WEEKDAY(C7559,Inputs!$C$76)&lt;=Inputs!$C$74," weekday"," weekend"),Utility_Rates!$C$28:$F$28,Inputs!$C$68)),"")</f>
      </c>
      <c r="H7559" s="34"/>
      <c r="I7559" s="42">
        <f>IF(AND(ISNUMBER(D7559),ISNUMBER(H7559)),D7559*H7559*Inputs!$C$69,"")</f>
      </c>
      <c r="J7559" s="42">
        <f>IF(AND(ISNUMBER(F7559),ISNUMBER(H7559),F7559&gt;=Inputs!$C$68),F7559*H7559*Inputs!$C$69,"")</f>
      </c>
    </row>
    <row r="7560" spans="2:10" ht="15" customHeight="1" x14ac:dyDescent="0.2">
      <c r="B7560" s="39">
        <f t="shared" si="58"/>
      </c>
      <c r="C7560" s="40">
        <f>IF(Inputs!$C$60,Inputs!$C$11+(B7560-Inputs!$C$69)/Inputs!$C$70,"")</f>
      </c>
      <c r="D7560" s="15"/>
      <c r="E7560" s="15"/>
      <c r="F7560" s="11">
        <f t="shared" si="59"/>
      </c>
      <c r="G7560" s="22" cm="1">
        <f t="array" ref="G7560">IF(AND(Inputs!$C$60,Inputs!$C$61),INDEX(Utility_Rates!$C$29:$F$52,HOUR(C7560)+Inputs!$C$69,MATCH(INDEX(Utility_Rates!$K$6:$K$17,MONTH(C7560))&amp;IF(WEEKDAY(C7560,Inputs!$C$76)&lt;=Inputs!$C$74," weekday"," weekend"),Utility_Rates!$C$28:$F$28,Inputs!$C$68)),"")</f>
      </c>
      <c r="H7560" s="34"/>
      <c r="I7560" s="42">
        <f>IF(AND(ISNUMBER(D7560),ISNUMBER(H7560)),D7560*H7560*Inputs!$C$69,"")</f>
      </c>
      <c r="J7560" s="42">
        <f>IF(AND(ISNUMBER(F7560),ISNUMBER(H7560),F7560&gt;=Inputs!$C$68),F7560*H7560*Inputs!$C$69,"")</f>
      </c>
    </row>
    <row r="7561" spans="2:10" ht="15" customHeight="1" x14ac:dyDescent="0.2">
      <c r="B7561" s="39">
        <f t="shared" si="58"/>
      </c>
      <c r="C7561" s="40">
        <f>IF(Inputs!$C$60,Inputs!$C$11+(B7561-Inputs!$C$69)/Inputs!$C$70,"")</f>
      </c>
      <c r="D7561" s="15"/>
      <c r="E7561" s="15"/>
      <c r="F7561" s="11">
        <f t="shared" si="59"/>
      </c>
      <c r="G7561" s="22" cm="1">
        <f t="array" ref="G7561">IF(AND(Inputs!$C$60,Inputs!$C$61),INDEX(Utility_Rates!$C$29:$F$52,HOUR(C7561)+Inputs!$C$69,MATCH(INDEX(Utility_Rates!$K$6:$K$17,MONTH(C7561))&amp;IF(WEEKDAY(C7561,Inputs!$C$76)&lt;=Inputs!$C$74," weekday"," weekend"),Utility_Rates!$C$28:$F$28,Inputs!$C$68)),"")</f>
      </c>
      <c r="H7561" s="34"/>
      <c r="I7561" s="42">
        <f>IF(AND(ISNUMBER(D7561),ISNUMBER(H7561)),D7561*H7561*Inputs!$C$69,"")</f>
      </c>
      <c r="J7561" s="42">
        <f>IF(AND(ISNUMBER(F7561),ISNUMBER(H7561),F7561&gt;=Inputs!$C$68),F7561*H7561*Inputs!$C$69,"")</f>
      </c>
    </row>
    <row r="7562" spans="2:10" ht="15" customHeight="1" x14ac:dyDescent="0.2">
      <c r="B7562" s="39">
        <f t="shared" si="58"/>
      </c>
      <c r="C7562" s="40">
        <f>IF(Inputs!$C$60,Inputs!$C$11+(B7562-Inputs!$C$69)/Inputs!$C$70,"")</f>
      </c>
      <c r="D7562" s="15"/>
      <c r="E7562" s="15"/>
      <c r="F7562" s="11">
        <f t="shared" si="59"/>
      </c>
      <c r="G7562" s="22" cm="1">
        <f t="array" ref="G7562">IF(AND(Inputs!$C$60,Inputs!$C$61),INDEX(Utility_Rates!$C$29:$F$52,HOUR(C7562)+Inputs!$C$69,MATCH(INDEX(Utility_Rates!$K$6:$K$17,MONTH(C7562))&amp;IF(WEEKDAY(C7562,Inputs!$C$76)&lt;=Inputs!$C$74," weekday"," weekend"),Utility_Rates!$C$28:$F$28,Inputs!$C$68)),"")</f>
      </c>
      <c r="H7562" s="34"/>
      <c r="I7562" s="42">
        <f>IF(AND(ISNUMBER(D7562),ISNUMBER(H7562)),D7562*H7562*Inputs!$C$69,"")</f>
      </c>
      <c r="J7562" s="42">
        <f>IF(AND(ISNUMBER(F7562),ISNUMBER(H7562),F7562&gt;=Inputs!$C$68),F7562*H7562*Inputs!$C$69,"")</f>
      </c>
    </row>
    <row r="7563" spans="2:10" ht="15" customHeight="1" x14ac:dyDescent="0.2">
      <c r="B7563" s="39">
        <f t="shared" si="58"/>
      </c>
      <c r="C7563" s="40">
        <f>IF(Inputs!$C$60,Inputs!$C$11+(B7563-Inputs!$C$69)/Inputs!$C$70,"")</f>
      </c>
      <c r="D7563" s="15"/>
      <c r="E7563" s="15"/>
      <c r="F7563" s="11">
        <f t="shared" si="59"/>
      </c>
      <c r="G7563" s="22" cm="1">
        <f t="array" ref="G7563">IF(AND(Inputs!$C$60,Inputs!$C$61),INDEX(Utility_Rates!$C$29:$F$52,HOUR(C7563)+Inputs!$C$69,MATCH(INDEX(Utility_Rates!$K$6:$K$17,MONTH(C7563))&amp;IF(WEEKDAY(C7563,Inputs!$C$76)&lt;=Inputs!$C$74," weekday"," weekend"),Utility_Rates!$C$28:$F$28,Inputs!$C$68)),"")</f>
      </c>
      <c r="H7563" s="34"/>
      <c r="I7563" s="42">
        <f>IF(AND(ISNUMBER(D7563),ISNUMBER(H7563)),D7563*H7563*Inputs!$C$69,"")</f>
      </c>
      <c r="J7563" s="42">
        <f>IF(AND(ISNUMBER(F7563),ISNUMBER(H7563),F7563&gt;=Inputs!$C$68),F7563*H7563*Inputs!$C$69,"")</f>
      </c>
    </row>
    <row r="7564" spans="2:10" ht="15" customHeight="1" x14ac:dyDescent="0.2">
      <c r="B7564" s="39">
        <f t="shared" si="58"/>
      </c>
      <c r="C7564" s="40">
        <f>IF(Inputs!$C$60,Inputs!$C$11+(B7564-Inputs!$C$69)/Inputs!$C$70,"")</f>
      </c>
      <c r="D7564" s="15"/>
      <c r="E7564" s="15"/>
      <c r="F7564" s="11">
        <f t="shared" si="59"/>
      </c>
      <c r="G7564" s="22" cm="1">
        <f t="array" ref="G7564">IF(AND(Inputs!$C$60,Inputs!$C$61),INDEX(Utility_Rates!$C$29:$F$52,HOUR(C7564)+Inputs!$C$69,MATCH(INDEX(Utility_Rates!$K$6:$K$17,MONTH(C7564))&amp;IF(WEEKDAY(C7564,Inputs!$C$76)&lt;=Inputs!$C$74," weekday"," weekend"),Utility_Rates!$C$28:$F$28,Inputs!$C$68)),"")</f>
      </c>
      <c r="H7564" s="34"/>
      <c r="I7564" s="42">
        <f>IF(AND(ISNUMBER(D7564),ISNUMBER(H7564)),D7564*H7564*Inputs!$C$69,"")</f>
      </c>
      <c r="J7564" s="42">
        <f>IF(AND(ISNUMBER(F7564),ISNUMBER(H7564),F7564&gt;=Inputs!$C$68),F7564*H7564*Inputs!$C$69,"")</f>
      </c>
    </row>
    <row r="7565" spans="2:10" ht="15" customHeight="1" x14ac:dyDescent="0.2">
      <c r="B7565" s="39">
        <f t="shared" si="58"/>
      </c>
      <c r="C7565" s="40">
        <f>IF(Inputs!$C$60,Inputs!$C$11+(B7565-Inputs!$C$69)/Inputs!$C$70,"")</f>
      </c>
      <c r="D7565" s="15"/>
      <c r="E7565" s="15"/>
      <c r="F7565" s="11">
        <f t="shared" si="59"/>
      </c>
      <c r="G7565" s="22" cm="1">
        <f t="array" ref="G7565">IF(AND(Inputs!$C$60,Inputs!$C$61),INDEX(Utility_Rates!$C$29:$F$52,HOUR(C7565)+Inputs!$C$69,MATCH(INDEX(Utility_Rates!$K$6:$K$17,MONTH(C7565))&amp;IF(WEEKDAY(C7565,Inputs!$C$76)&lt;=Inputs!$C$74," weekday"," weekend"),Utility_Rates!$C$28:$F$28,Inputs!$C$68)),"")</f>
      </c>
      <c r="H7565" s="34"/>
      <c r="I7565" s="42">
        <f>IF(AND(ISNUMBER(D7565),ISNUMBER(H7565)),D7565*H7565*Inputs!$C$69,"")</f>
      </c>
      <c r="J7565" s="42">
        <f>IF(AND(ISNUMBER(F7565),ISNUMBER(H7565),F7565&gt;=Inputs!$C$68),F7565*H7565*Inputs!$C$69,"")</f>
      </c>
    </row>
    <row r="7566" spans="2:10" ht="15" customHeight="1" x14ac:dyDescent="0.2">
      <c r="B7566" s="39">
        <f t="shared" si="58"/>
      </c>
      <c r="C7566" s="40">
        <f>IF(Inputs!$C$60,Inputs!$C$11+(B7566-Inputs!$C$69)/Inputs!$C$70,"")</f>
      </c>
      <c r="D7566" s="15"/>
      <c r="E7566" s="15"/>
      <c r="F7566" s="11">
        <f t="shared" si="59"/>
      </c>
      <c r="G7566" s="22" cm="1">
        <f t="array" ref="G7566">IF(AND(Inputs!$C$60,Inputs!$C$61),INDEX(Utility_Rates!$C$29:$F$52,HOUR(C7566)+Inputs!$C$69,MATCH(INDEX(Utility_Rates!$K$6:$K$17,MONTH(C7566))&amp;IF(WEEKDAY(C7566,Inputs!$C$76)&lt;=Inputs!$C$74," weekday"," weekend"),Utility_Rates!$C$28:$F$28,Inputs!$C$68)),"")</f>
      </c>
      <c r="H7566" s="34"/>
      <c r="I7566" s="42">
        <f>IF(AND(ISNUMBER(D7566),ISNUMBER(H7566)),D7566*H7566*Inputs!$C$69,"")</f>
      </c>
      <c r="J7566" s="42">
        <f>IF(AND(ISNUMBER(F7566),ISNUMBER(H7566),F7566&gt;=Inputs!$C$68),F7566*H7566*Inputs!$C$69,"")</f>
      </c>
    </row>
    <row r="7567" spans="2:10" ht="15" customHeight="1" x14ac:dyDescent="0.2">
      <c r="B7567" s="39">
        <f t="shared" si="58"/>
      </c>
      <c r="C7567" s="40">
        <f>IF(Inputs!$C$60,Inputs!$C$11+(B7567-Inputs!$C$69)/Inputs!$C$70,"")</f>
      </c>
      <c r="D7567" s="15"/>
      <c r="E7567" s="15"/>
      <c r="F7567" s="11">
        <f t="shared" si="59"/>
      </c>
      <c r="G7567" s="22" cm="1">
        <f t="array" ref="G7567">IF(AND(Inputs!$C$60,Inputs!$C$61),INDEX(Utility_Rates!$C$29:$F$52,HOUR(C7567)+Inputs!$C$69,MATCH(INDEX(Utility_Rates!$K$6:$K$17,MONTH(C7567))&amp;IF(WEEKDAY(C7567,Inputs!$C$76)&lt;=Inputs!$C$74," weekday"," weekend"),Utility_Rates!$C$28:$F$28,Inputs!$C$68)),"")</f>
      </c>
      <c r="H7567" s="34"/>
      <c r="I7567" s="42">
        <f>IF(AND(ISNUMBER(D7567),ISNUMBER(H7567)),D7567*H7567*Inputs!$C$69,"")</f>
      </c>
      <c r="J7567" s="42">
        <f>IF(AND(ISNUMBER(F7567),ISNUMBER(H7567),F7567&gt;=Inputs!$C$68),F7567*H7567*Inputs!$C$69,"")</f>
      </c>
    </row>
    <row r="7568" spans="2:10" ht="15" customHeight="1" x14ac:dyDescent="0.2">
      <c r="B7568" s="39">
        <f t="shared" si="58"/>
      </c>
      <c r="C7568" s="40">
        <f>IF(Inputs!$C$60,Inputs!$C$11+(B7568-Inputs!$C$69)/Inputs!$C$70,"")</f>
      </c>
      <c r="D7568" s="15"/>
      <c r="E7568" s="15"/>
      <c r="F7568" s="11">
        <f t="shared" si="59"/>
      </c>
      <c r="G7568" s="22" cm="1">
        <f t="array" ref="G7568">IF(AND(Inputs!$C$60,Inputs!$C$61),INDEX(Utility_Rates!$C$29:$F$52,HOUR(C7568)+Inputs!$C$69,MATCH(INDEX(Utility_Rates!$K$6:$K$17,MONTH(C7568))&amp;IF(WEEKDAY(C7568,Inputs!$C$76)&lt;=Inputs!$C$74," weekday"," weekend"),Utility_Rates!$C$28:$F$28,Inputs!$C$68)),"")</f>
      </c>
      <c r="H7568" s="34"/>
      <c r="I7568" s="42">
        <f>IF(AND(ISNUMBER(D7568),ISNUMBER(H7568)),D7568*H7568*Inputs!$C$69,"")</f>
      </c>
      <c r="J7568" s="42">
        <f>IF(AND(ISNUMBER(F7568),ISNUMBER(H7568),F7568&gt;=Inputs!$C$68),F7568*H7568*Inputs!$C$69,"")</f>
      </c>
    </row>
    <row r="7569" spans="2:10" ht="15" customHeight="1" x14ac:dyDescent="0.2">
      <c r="B7569" s="39">
        <f t="shared" si="58"/>
      </c>
      <c r="C7569" s="40">
        <f>IF(Inputs!$C$60,Inputs!$C$11+(B7569-Inputs!$C$69)/Inputs!$C$70,"")</f>
      </c>
      <c r="D7569" s="15"/>
      <c r="E7569" s="15"/>
      <c r="F7569" s="11">
        <f t="shared" si="59"/>
      </c>
      <c r="G7569" s="22" cm="1">
        <f t="array" ref="G7569">IF(AND(Inputs!$C$60,Inputs!$C$61),INDEX(Utility_Rates!$C$29:$F$52,HOUR(C7569)+Inputs!$C$69,MATCH(INDEX(Utility_Rates!$K$6:$K$17,MONTH(C7569))&amp;IF(WEEKDAY(C7569,Inputs!$C$76)&lt;=Inputs!$C$74," weekday"," weekend"),Utility_Rates!$C$28:$F$28,Inputs!$C$68)),"")</f>
      </c>
      <c r="H7569" s="34"/>
      <c r="I7569" s="42">
        <f>IF(AND(ISNUMBER(D7569),ISNUMBER(H7569)),D7569*H7569*Inputs!$C$69,"")</f>
      </c>
      <c r="J7569" s="42">
        <f>IF(AND(ISNUMBER(F7569),ISNUMBER(H7569),F7569&gt;=Inputs!$C$68),F7569*H7569*Inputs!$C$69,"")</f>
      </c>
    </row>
    <row r="7570" spans="2:10" ht="15" customHeight="1" x14ac:dyDescent="0.2">
      <c r="B7570" s="39">
        <f t="shared" si="58"/>
      </c>
      <c r="C7570" s="40">
        <f>IF(Inputs!$C$60,Inputs!$C$11+(B7570-Inputs!$C$69)/Inputs!$C$70,"")</f>
      </c>
      <c r="D7570" s="15"/>
      <c r="E7570" s="15"/>
      <c r="F7570" s="11">
        <f t="shared" si="59"/>
      </c>
      <c r="G7570" s="22" cm="1">
        <f t="array" ref="G7570">IF(AND(Inputs!$C$60,Inputs!$C$61),INDEX(Utility_Rates!$C$29:$F$52,HOUR(C7570)+Inputs!$C$69,MATCH(INDEX(Utility_Rates!$K$6:$K$17,MONTH(C7570))&amp;IF(WEEKDAY(C7570,Inputs!$C$76)&lt;=Inputs!$C$74," weekday"," weekend"),Utility_Rates!$C$28:$F$28,Inputs!$C$68)),"")</f>
      </c>
      <c r="H7570" s="34"/>
      <c r="I7570" s="42">
        <f>IF(AND(ISNUMBER(D7570),ISNUMBER(H7570)),D7570*H7570*Inputs!$C$69,"")</f>
      </c>
      <c r="J7570" s="42">
        <f>IF(AND(ISNUMBER(F7570),ISNUMBER(H7570),F7570&gt;=Inputs!$C$68),F7570*H7570*Inputs!$C$69,"")</f>
      </c>
    </row>
    <row r="7571" spans="2:10" ht="15" customHeight="1" x14ac:dyDescent="0.2">
      <c r="B7571" s="39">
        <f t="shared" si="58"/>
      </c>
      <c r="C7571" s="40">
        <f>IF(Inputs!$C$60,Inputs!$C$11+(B7571-Inputs!$C$69)/Inputs!$C$70,"")</f>
      </c>
      <c r="D7571" s="15"/>
      <c r="E7571" s="15"/>
      <c r="F7571" s="11">
        <f t="shared" si="59"/>
      </c>
      <c r="G7571" s="22" cm="1">
        <f t="array" ref="G7571">IF(AND(Inputs!$C$60,Inputs!$C$61),INDEX(Utility_Rates!$C$29:$F$52,HOUR(C7571)+Inputs!$C$69,MATCH(INDEX(Utility_Rates!$K$6:$K$17,MONTH(C7571))&amp;IF(WEEKDAY(C7571,Inputs!$C$76)&lt;=Inputs!$C$74," weekday"," weekend"),Utility_Rates!$C$28:$F$28,Inputs!$C$68)),"")</f>
      </c>
      <c r="H7571" s="34"/>
      <c r="I7571" s="42">
        <f>IF(AND(ISNUMBER(D7571),ISNUMBER(H7571)),D7571*H7571*Inputs!$C$69,"")</f>
      </c>
      <c r="J7571" s="42">
        <f>IF(AND(ISNUMBER(F7571),ISNUMBER(H7571),F7571&gt;=Inputs!$C$68),F7571*H7571*Inputs!$C$69,"")</f>
      </c>
    </row>
    <row r="7572" spans="2:10" ht="15" customHeight="1" x14ac:dyDescent="0.2">
      <c r="B7572" s="39">
        <f t="shared" si="58"/>
      </c>
      <c r="C7572" s="40">
        <f>IF(Inputs!$C$60,Inputs!$C$11+(B7572-Inputs!$C$69)/Inputs!$C$70,"")</f>
      </c>
      <c r="D7572" s="15"/>
      <c r="E7572" s="15"/>
      <c r="F7572" s="11">
        <f t="shared" si="59"/>
      </c>
      <c r="G7572" s="22" cm="1">
        <f t="array" ref="G7572">IF(AND(Inputs!$C$60,Inputs!$C$61),INDEX(Utility_Rates!$C$29:$F$52,HOUR(C7572)+Inputs!$C$69,MATCH(INDEX(Utility_Rates!$K$6:$K$17,MONTH(C7572))&amp;IF(WEEKDAY(C7572,Inputs!$C$76)&lt;=Inputs!$C$74," weekday"," weekend"),Utility_Rates!$C$28:$F$28,Inputs!$C$68)),"")</f>
      </c>
      <c r="H7572" s="34"/>
      <c r="I7572" s="42">
        <f>IF(AND(ISNUMBER(D7572),ISNUMBER(H7572)),D7572*H7572*Inputs!$C$69,"")</f>
      </c>
      <c r="J7572" s="42">
        <f>IF(AND(ISNUMBER(F7572),ISNUMBER(H7572),F7572&gt;=Inputs!$C$68),F7572*H7572*Inputs!$C$69,"")</f>
      </c>
    </row>
    <row r="7573" spans="2:10" ht="15" customHeight="1" x14ac:dyDescent="0.2">
      <c r="B7573" s="39">
        <f t="shared" si="58"/>
      </c>
      <c r="C7573" s="40">
        <f>IF(Inputs!$C$60,Inputs!$C$11+(B7573-Inputs!$C$69)/Inputs!$C$70,"")</f>
      </c>
      <c r="D7573" s="15"/>
      <c r="E7573" s="15"/>
      <c r="F7573" s="11">
        <f t="shared" si="59"/>
      </c>
      <c r="G7573" s="22" cm="1">
        <f t="array" ref="G7573">IF(AND(Inputs!$C$60,Inputs!$C$61),INDEX(Utility_Rates!$C$29:$F$52,HOUR(C7573)+Inputs!$C$69,MATCH(INDEX(Utility_Rates!$K$6:$K$17,MONTH(C7573))&amp;IF(WEEKDAY(C7573,Inputs!$C$76)&lt;=Inputs!$C$74," weekday"," weekend"),Utility_Rates!$C$28:$F$28,Inputs!$C$68)),"")</f>
      </c>
      <c r="H7573" s="34"/>
      <c r="I7573" s="42">
        <f>IF(AND(ISNUMBER(D7573),ISNUMBER(H7573)),D7573*H7573*Inputs!$C$69,"")</f>
      </c>
      <c r="J7573" s="42">
        <f>IF(AND(ISNUMBER(F7573),ISNUMBER(H7573),F7573&gt;=Inputs!$C$68),F7573*H7573*Inputs!$C$69,"")</f>
      </c>
    </row>
    <row r="7574" spans="2:10" ht="15" customHeight="1" x14ac:dyDescent="0.2">
      <c r="B7574" s="39">
        <f t="shared" si="58"/>
      </c>
      <c r="C7574" s="40">
        <f>IF(Inputs!$C$60,Inputs!$C$11+(B7574-Inputs!$C$69)/Inputs!$C$70,"")</f>
      </c>
      <c r="D7574" s="15"/>
      <c r="E7574" s="15"/>
      <c r="F7574" s="11">
        <f t="shared" si="59"/>
      </c>
      <c r="G7574" s="22" cm="1">
        <f t="array" ref="G7574">IF(AND(Inputs!$C$60,Inputs!$C$61),INDEX(Utility_Rates!$C$29:$F$52,HOUR(C7574)+Inputs!$C$69,MATCH(INDEX(Utility_Rates!$K$6:$K$17,MONTH(C7574))&amp;IF(WEEKDAY(C7574,Inputs!$C$76)&lt;=Inputs!$C$74," weekday"," weekend"),Utility_Rates!$C$28:$F$28,Inputs!$C$68)),"")</f>
      </c>
      <c r="H7574" s="34"/>
      <c r="I7574" s="42">
        <f>IF(AND(ISNUMBER(D7574),ISNUMBER(H7574)),D7574*H7574*Inputs!$C$69,"")</f>
      </c>
      <c r="J7574" s="42">
        <f>IF(AND(ISNUMBER(F7574),ISNUMBER(H7574),F7574&gt;=Inputs!$C$68),F7574*H7574*Inputs!$C$69,"")</f>
      </c>
    </row>
    <row r="7575" spans="2:10" ht="15" customHeight="1" x14ac:dyDescent="0.2">
      <c r="B7575" s="39">
        <f t="shared" si="58"/>
      </c>
      <c r="C7575" s="40">
        <f>IF(Inputs!$C$60,Inputs!$C$11+(B7575-Inputs!$C$69)/Inputs!$C$70,"")</f>
      </c>
      <c r="D7575" s="15"/>
      <c r="E7575" s="15"/>
      <c r="F7575" s="11">
        <f t="shared" si="59"/>
      </c>
      <c r="G7575" s="22" cm="1">
        <f t="array" ref="G7575">IF(AND(Inputs!$C$60,Inputs!$C$61),INDEX(Utility_Rates!$C$29:$F$52,HOUR(C7575)+Inputs!$C$69,MATCH(INDEX(Utility_Rates!$K$6:$K$17,MONTH(C7575))&amp;IF(WEEKDAY(C7575,Inputs!$C$76)&lt;=Inputs!$C$74," weekday"," weekend"),Utility_Rates!$C$28:$F$28,Inputs!$C$68)),"")</f>
      </c>
      <c r="H7575" s="34"/>
      <c r="I7575" s="42">
        <f>IF(AND(ISNUMBER(D7575),ISNUMBER(H7575)),D7575*H7575*Inputs!$C$69,"")</f>
      </c>
      <c r="J7575" s="42">
        <f>IF(AND(ISNUMBER(F7575),ISNUMBER(H7575),F7575&gt;=Inputs!$C$68),F7575*H7575*Inputs!$C$69,"")</f>
      </c>
    </row>
    <row r="7576" spans="2:10" ht="15" customHeight="1" x14ac:dyDescent="0.2">
      <c r="B7576" s="39">
        <f t="shared" si="58"/>
      </c>
      <c r="C7576" s="40">
        <f>IF(Inputs!$C$60,Inputs!$C$11+(B7576-Inputs!$C$69)/Inputs!$C$70,"")</f>
      </c>
      <c r="D7576" s="15"/>
      <c r="E7576" s="15"/>
      <c r="F7576" s="11">
        <f t="shared" si="59"/>
      </c>
      <c r="G7576" s="22" cm="1">
        <f t="array" ref="G7576">IF(AND(Inputs!$C$60,Inputs!$C$61),INDEX(Utility_Rates!$C$29:$F$52,HOUR(C7576)+Inputs!$C$69,MATCH(INDEX(Utility_Rates!$K$6:$K$17,MONTH(C7576))&amp;IF(WEEKDAY(C7576,Inputs!$C$76)&lt;=Inputs!$C$74," weekday"," weekend"),Utility_Rates!$C$28:$F$28,Inputs!$C$68)),"")</f>
      </c>
      <c r="H7576" s="34"/>
      <c r="I7576" s="42">
        <f>IF(AND(ISNUMBER(D7576),ISNUMBER(H7576)),D7576*H7576*Inputs!$C$69,"")</f>
      </c>
      <c r="J7576" s="42">
        <f>IF(AND(ISNUMBER(F7576),ISNUMBER(H7576),F7576&gt;=Inputs!$C$68),F7576*H7576*Inputs!$C$69,"")</f>
      </c>
    </row>
    <row r="7577" spans="2:10" ht="15" customHeight="1" x14ac:dyDescent="0.2">
      <c r="B7577" s="39">
        <f t="shared" si="58"/>
      </c>
      <c r="C7577" s="40">
        <f>IF(Inputs!$C$60,Inputs!$C$11+(B7577-Inputs!$C$69)/Inputs!$C$70,"")</f>
      </c>
      <c r="D7577" s="15"/>
      <c r="E7577" s="15"/>
      <c r="F7577" s="11">
        <f t="shared" si="59"/>
      </c>
      <c r="G7577" s="22" cm="1">
        <f t="array" ref="G7577">IF(AND(Inputs!$C$60,Inputs!$C$61),INDEX(Utility_Rates!$C$29:$F$52,HOUR(C7577)+Inputs!$C$69,MATCH(INDEX(Utility_Rates!$K$6:$K$17,MONTH(C7577))&amp;IF(WEEKDAY(C7577,Inputs!$C$76)&lt;=Inputs!$C$74," weekday"," weekend"),Utility_Rates!$C$28:$F$28,Inputs!$C$68)),"")</f>
      </c>
      <c r="H7577" s="34"/>
      <c r="I7577" s="42">
        <f>IF(AND(ISNUMBER(D7577),ISNUMBER(H7577)),D7577*H7577*Inputs!$C$69,"")</f>
      </c>
      <c r="J7577" s="42">
        <f>IF(AND(ISNUMBER(F7577),ISNUMBER(H7577),F7577&gt;=Inputs!$C$68),F7577*H7577*Inputs!$C$69,"")</f>
      </c>
    </row>
    <row r="7578" spans="2:10" ht="15" customHeight="1" x14ac:dyDescent="0.2">
      <c r="B7578" s="39">
        <f t="shared" si="58"/>
      </c>
      <c r="C7578" s="40">
        <f>IF(Inputs!$C$60,Inputs!$C$11+(B7578-Inputs!$C$69)/Inputs!$C$70,"")</f>
      </c>
      <c r="D7578" s="15"/>
      <c r="E7578" s="15"/>
      <c r="F7578" s="11">
        <f t="shared" si="59"/>
      </c>
      <c r="G7578" s="22" cm="1">
        <f t="array" ref="G7578">IF(AND(Inputs!$C$60,Inputs!$C$61),INDEX(Utility_Rates!$C$29:$F$52,HOUR(C7578)+Inputs!$C$69,MATCH(INDEX(Utility_Rates!$K$6:$K$17,MONTH(C7578))&amp;IF(WEEKDAY(C7578,Inputs!$C$76)&lt;=Inputs!$C$74," weekday"," weekend"),Utility_Rates!$C$28:$F$28,Inputs!$C$68)),"")</f>
      </c>
      <c r="H7578" s="34"/>
      <c r="I7578" s="42">
        <f>IF(AND(ISNUMBER(D7578),ISNUMBER(H7578)),D7578*H7578*Inputs!$C$69,"")</f>
      </c>
      <c r="J7578" s="42">
        <f>IF(AND(ISNUMBER(F7578),ISNUMBER(H7578),F7578&gt;=Inputs!$C$68),F7578*H7578*Inputs!$C$69,"")</f>
      </c>
    </row>
    <row r="7579" spans="2:10" ht="15" customHeight="1" x14ac:dyDescent="0.2">
      <c r="B7579" s="39">
        <f t="shared" si="58"/>
      </c>
      <c r="C7579" s="40">
        <f>IF(Inputs!$C$60,Inputs!$C$11+(B7579-Inputs!$C$69)/Inputs!$C$70,"")</f>
      </c>
      <c r="D7579" s="15"/>
      <c r="E7579" s="15"/>
      <c r="F7579" s="11">
        <f t="shared" si="59"/>
      </c>
      <c r="G7579" s="22" cm="1">
        <f t="array" ref="G7579">IF(AND(Inputs!$C$60,Inputs!$C$61),INDEX(Utility_Rates!$C$29:$F$52,HOUR(C7579)+Inputs!$C$69,MATCH(INDEX(Utility_Rates!$K$6:$K$17,MONTH(C7579))&amp;IF(WEEKDAY(C7579,Inputs!$C$76)&lt;=Inputs!$C$74," weekday"," weekend"),Utility_Rates!$C$28:$F$28,Inputs!$C$68)),"")</f>
      </c>
      <c r="H7579" s="34"/>
      <c r="I7579" s="42">
        <f>IF(AND(ISNUMBER(D7579),ISNUMBER(H7579)),D7579*H7579*Inputs!$C$69,"")</f>
      </c>
      <c r="J7579" s="42">
        <f>IF(AND(ISNUMBER(F7579),ISNUMBER(H7579),F7579&gt;=Inputs!$C$68),F7579*H7579*Inputs!$C$69,"")</f>
      </c>
    </row>
    <row r="7580" spans="2:10" ht="15" customHeight="1" x14ac:dyDescent="0.2">
      <c r="B7580" s="39">
        <f t="shared" si="58"/>
      </c>
      <c r="C7580" s="40">
        <f>IF(Inputs!$C$60,Inputs!$C$11+(B7580-Inputs!$C$69)/Inputs!$C$70,"")</f>
      </c>
      <c r="D7580" s="15"/>
      <c r="E7580" s="15"/>
      <c r="F7580" s="11">
        <f t="shared" si="59"/>
      </c>
      <c r="G7580" s="22" cm="1">
        <f t="array" ref="G7580">IF(AND(Inputs!$C$60,Inputs!$C$61),INDEX(Utility_Rates!$C$29:$F$52,HOUR(C7580)+Inputs!$C$69,MATCH(INDEX(Utility_Rates!$K$6:$K$17,MONTH(C7580))&amp;IF(WEEKDAY(C7580,Inputs!$C$76)&lt;=Inputs!$C$74," weekday"," weekend"),Utility_Rates!$C$28:$F$28,Inputs!$C$68)),"")</f>
      </c>
      <c r="H7580" s="34"/>
      <c r="I7580" s="42">
        <f>IF(AND(ISNUMBER(D7580),ISNUMBER(H7580)),D7580*H7580*Inputs!$C$69,"")</f>
      </c>
      <c r="J7580" s="42">
        <f>IF(AND(ISNUMBER(F7580),ISNUMBER(H7580),F7580&gt;=Inputs!$C$68),F7580*H7580*Inputs!$C$69,"")</f>
      </c>
    </row>
    <row r="7581" spans="2:10" ht="15" customHeight="1" x14ac:dyDescent="0.2">
      <c r="B7581" s="39">
        <f t="shared" si="58"/>
      </c>
      <c r="C7581" s="40">
        <f>IF(Inputs!$C$60,Inputs!$C$11+(B7581-Inputs!$C$69)/Inputs!$C$70,"")</f>
      </c>
      <c r="D7581" s="15"/>
      <c r="E7581" s="15"/>
      <c r="F7581" s="11">
        <f t="shared" si="59"/>
      </c>
      <c r="G7581" s="22" cm="1">
        <f t="array" ref="G7581">IF(AND(Inputs!$C$60,Inputs!$C$61),INDEX(Utility_Rates!$C$29:$F$52,HOUR(C7581)+Inputs!$C$69,MATCH(INDEX(Utility_Rates!$K$6:$K$17,MONTH(C7581))&amp;IF(WEEKDAY(C7581,Inputs!$C$76)&lt;=Inputs!$C$74," weekday"," weekend"),Utility_Rates!$C$28:$F$28,Inputs!$C$68)),"")</f>
      </c>
      <c r="H7581" s="34"/>
      <c r="I7581" s="42">
        <f>IF(AND(ISNUMBER(D7581),ISNUMBER(H7581)),D7581*H7581*Inputs!$C$69,"")</f>
      </c>
      <c r="J7581" s="42">
        <f>IF(AND(ISNUMBER(F7581),ISNUMBER(H7581),F7581&gt;=Inputs!$C$68),F7581*H7581*Inputs!$C$69,"")</f>
      </c>
    </row>
    <row r="7582" spans="2:10" ht="15" customHeight="1" x14ac:dyDescent="0.2">
      <c r="B7582" s="39">
        <f t="shared" si="58"/>
      </c>
      <c r="C7582" s="40">
        <f>IF(Inputs!$C$60,Inputs!$C$11+(B7582-Inputs!$C$69)/Inputs!$C$70,"")</f>
      </c>
      <c r="D7582" s="15"/>
      <c r="E7582" s="15"/>
      <c r="F7582" s="11">
        <f t="shared" si="59"/>
      </c>
      <c r="G7582" s="22" cm="1">
        <f t="array" ref="G7582">IF(AND(Inputs!$C$60,Inputs!$C$61),INDEX(Utility_Rates!$C$29:$F$52,HOUR(C7582)+Inputs!$C$69,MATCH(INDEX(Utility_Rates!$K$6:$K$17,MONTH(C7582))&amp;IF(WEEKDAY(C7582,Inputs!$C$76)&lt;=Inputs!$C$74," weekday"," weekend"),Utility_Rates!$C$28:$F$28,Inputs!$C$68)),"")</f>
      </c>
      <c r="H7582" s="34"/>
      <c r="I7582" s="42">
        <f>IF(AND(ISNUMBER(D7582),ISNUMBER(H7582)),D7582*H7582*Inputs!$C$69,"")</f>
      </c>
      <c r="J7582" s="42">
        <f>IF(AND(ISNUMBER(F7582),ISNUMBER(H7582),F7582&gt;=Inputs!$C$68),F7582*H7582*Inputs!$C$69,"")</f>
      </c>
    </row>
    <row r="7583" spans="2:10" ht="15" customHeight="1" x14ac:dyDescent="0.2">
      <c r="B7583" s="39">
        <f t="shared" si="58"/>
      </c>
      <c r="C7583" s="40">
        <f>IF(Inputs!$C$60,Inputs!$C$11+(B7583-Inputs!$C$69)/Inputs!$C$70,"")</f>
      </c>
      <c r="D7583" s="15"/>
      <c r="E7583" s="15"/>
      <c r="F7583" s="11">
        <f t="shared" si="59"/>
      </c>
      <c r="G7583" s="22" cm="1">
        <f t="array" ref="G7583">IF(AND(Inputs!$C$60,Inputs!$C$61),INDEX(Utility_Rates!$C$29:$F$52,HOUR(C7583)+Inputs!$C$69,MATCH(INDEX(Utility_Rates!$K$6:$K$17,MONTH(C7583))&amp;IF(WEEKDAY(C7583,Inputs!$C$76)&lt;=Inputs!$C$74," weekday"," weekend"),Utility_Rates!$C$28:$F$28,Inputs!$C$68)),"")</f>
      </c>
      <c r="H7583" s="34"/>
      <c r="I7583" s="42">
        <f>IF(AND(ISNUMBER(D7583),ISNUMBER(H7583)),D7583*H7583*Inputs!$C$69,"")</f>
      </c>
      <c r="J7583" s="42">
        <f>IF(AND(ISNUMBER(F7583),ISNUMBER(H7583),F7583&gt;=Inputs!$C$68),F7583*H7583*Inputs!$C$69,"")</f>
      </c>
    </row>
    <row r="7584" spans="2:10" ht="15" customHeight="1" x14ac:dyDescent="0.2">
      <c r="B7584" s="39">
        <f t="shared" si="58"/>
      </c>
      <c r="C7584" s="40">
        <f>IF(Inputs!$C$60,Inputs!$C$11+(B7584-Inputs!$C$69)/Inputs!$C$70,"")</f>
      </c>
      <c r="D7584" s="15"/>
      <c r="E7584" s="15"/>
      <c r="F7584" s="11">
        <f t="shared" si="59"/>
      </c>
      <c r="G7584" s="22" cm="1">
        <f t="array" ref="G7584">IF(AND(Inputs!$C$60,Inputs!$C$61),INDEX(Utility_Rates!$C$29:$F$52,HOUR(C7584)+Inputs!$C$69,MATCH(INDEX(Utility_Rates!$K$6:$K$17,MONTH(C7584))&amp;IF(WEEKDAY(C7584,Inputs!$C$76)&lt;=Inputs!$C$74," weekday"," weekend"),Utility_Rates!$C$28:$F$28,Inputs!$C$68)),"")</f>
      </c>
      <c r="H7584" s="34"/>
      <c r="I7584" s="42">
        <f>IF(AND(ISNUMBER(D7584),ISNUMBER(H7584)),D7584*H7584*Inputs!$C$69,"")</f>
      </c>
      <c r="J7584" s="42">
        <f>IF(AND(ISNUMBER(F7584),ISNUMBER(H7584),F7584&gt;=Inputs!$C$68),F7584*H7584*Inputs!$C$69,"")</f>
      </c>
    </row>
    <row r="7585" spans="2:10" ht="15" customHeight="1" x14ac:dyDescent="0.2">
      <c r="B7585" s="39">
        <f t="shared" si="58"/>
      </c>
      <c r="C7585" s="40">
        <f>IF(Inputs!$C$60,Inputs!$C$11+(B7585-Inputs!$C$69)/Inputs!$C$70,"")</f>
      </c>
      <c r="D7585" s="15"/>
      <c r="E7585" s="15"/>
      <c r="F7585" s="11">
        <f t="shared" si="59"/>
      </c>
      <c r="G7585" s="22" cm="1">
        <f t="array" ref="G7585">IF(AND(Inputs!$C$60,Inputs!$C$61),INDEX(Utility_Rates!$C$29:$F$52,HOUR(C7585)+Inputs!$C$69,MATCH(INDEX(Utility_Rates!$K$6:$K$17,MONTH(C7585))&amp;IF(WEEKDAY(C7585,Inputs!$C$76)&lt;=Inputs!$C$74," weekday"," weekend"),Utility_Rates!$C$28:$F$28,Inputs!$C$68)),"")</f>
      </c>
      <c r="H7585" s="34"/>
      <c r="I7585" s="42">
        <f>IF(AND(ISNUMBER(D7585),ISNUMBER(H7585)),D7585*H7585*Inputs!$C$69,"")</f>
      </c>
      <c r="J7585" s="42">
        <f>IF(AND(ISNUMBER(F7585),ISNUMBER(H7585),F7585&gt;=Inputs!$C$68),F7585*H7585*Inputs!$C$69,"")</f>
      </c>
    </row>
    <row r="7586" spans="2:10" ht="15" customHeight="1" x14ac:dyDescent="0.2">
      <c r="B7586" s="39">
        <f t="shared" si="58"/>
      </c>
      <c r="C7586" s="40">
        <f>IF(Inputs!$C$60,Inputs!$C$11+(B7586-Inputs!$C$69)/Inputs!$C$70,"")</f>
      </c>
      <c r="D7586" s="15"/>
      <c r="E7586" s="15"/>
      <c r="F7586" s="11">
        <f t="shared" si="59"/>
      </c>
      <c r="G7586" s="22" cm="1">
        <f t="array" ref="G7586">IF(AND(Inputs!$C$60,Inputs!$C$61),INDEX(Utility_Rates!$C$29:$F$52,HOUR(C7586)+Inputs!$C$69,MATCH(INDEX(Utility_Rates!$K$6:$K$17,MONTH(C7586))&amp;IF(WEEKDAY(C7586,Inputs!$C$76)&lt;=Inputs!$C$74," weekday"," weekend"),Utility_Rates!$C$28:$F$28,Inputs!$C$68)),"")</f>
      </c>
      <c r="H7586" s="34"/>
      <c r="I7586" s="42">
        <f>IF(AND(ISNUMBER(D7586),ISNUMBER(H7586)),D7586*H7586*Inputs!$C$69,"")</f>
      </c>
      <c r="J7586" s="42">
        <f>IF(AND(ISNUMBER(F7586),ISNUMBER(H7586),F7586&gt;=Inputs!$C$68),F7586*H7586*Inputs!$C$69,"")</f>
      </c>
    </row>
    <row r="7587" spans="2:10" ht="15" customHeight="1" x14ac:dyDescent="0.2">
      <c r="B7587" s="39">
        <f t="shared" si="58"/>
      </c>
      <c r="C7587" s="40">
        <f>IF(Inputs!$C$60,Inputs!$C$11+(B7587-Inputs!$C$69)/Inputs!$C$70,"")</f>
      </c>
      <c r="D7587" s="15"/>
      <c r="E7587" s="15"/>
      <c r="F7587" s="11">
        <f t="shared" si="59"/>
      </c>
      <c r="G7587" s="22" cm="1">
        <f t="array" ref="G7587">IF(AND(Inputs!$C$60,Inputs!$C$61),INDEX(Utility_Rates!$C$29:$F$52,HOUR(C7587)+Inputs!$C$69,MATCH(INDEX(Utility_Rates!$K$6:$K$17,MONTH(C7587))&amp;IF(WEEKDAY(C7587,Inputs!$C$76)&lt;=Inputs!$C$74," weekday"," weekend"),Utility_Rates!$C$28:$F$28,Inputs!$C$68)),"")</f>
      </c>
      <c r="H7587" s="34"/>
      <c r="I7587" s="42">
        <f>IF(AND(ISNUMBER(D7587),ISNUMBER(H7587)),D7587*H7587*Inputs!$C$69,"")</f>
      </c>
      <c r="J7587" s="42">
        <f>IF(AND(ISNUMBER(F7587),ISNUMBER(H7587),F7587&gt;=Inputs!$C$68),F7587*H7587*Inputs!$C$69,"")</f>
      </c>
    </row>
    <row r="7588" spans="2:10" ht="15" customHeight="1" x14ac:dyDescent="0.2">
      <c r="B7588" s="39">
        <f t="shared" si="58"/>
      </c>
      <c r="C7588" s="40">
        <f>IF(Inputs!$C$60,Inputs!$C$11+(B7588-Inputs!$C$69)/Inputs!$C$70,"")</f>
      </c>
      <c r="D7588" s="15"/>
      <c r="E7588" s="15"/>
      <c r="F7588" s="11">
        <f t="shared" si="59"/>
      </c>
      <c r="G7588" s="22" cm="1">
        <f t="array" ref="G7588">IF(AND(Inputs!$C$60,Inputs!$C$61),INDEX(Utility_Rates!$C$29:$F$52,HOUR(C7588)+Inputs!$C$69,MATCH(INDEX(Utility_Rates!$K$6:$K$17,MONTH(C7588))&amp;IF(WEEKDAY(C7588,Inputs!$C$76)&lt;=Inputs!$C$74," weekday"," weekend"),Utility_Rates!$C$28:$F$28,Inputs!$C$68)),"")</f>
      </c>
      <c r="H7588" s="34"/>
      <c r="I7588" s="42">
        <f>IF(AND(ISNUMBER(D7588),ISNUMBER(H7588)),D7588*H7588*Inputs!$C$69,"")</f>
      </c>
      <c r="J7588" s="42">
        <f>IF(AND(ISNUMBER(F7588),ISNUMBER(H7588),F7588&gt;=Inputs!$C$68),F7588*H7588*Inputs!$C$69,"")</f>
      </c>
    </row>
    <row r="7589" spans="2:10" ht="15" customHeight="1" x14ac:dyDescent="0.2">
      <c r="B7589" s="39">
        <f t="shared" si="58"/>
      </c>
      <c r="C7589" s="40">
        <f>IF(Inputs!$C$60,Inputs!$C$11+(B7589-Inputs!$C$69)/Inputs!$C$70,"")</f>
      </c>
      <c r="D7589" s="15"/>
      <c r="E7589" s="15"/>
      <c r="F7589" s="11">
        <f t="shared" si="59"/>
      </c>
      <c r="G7589" s="22" cm="1">
        <f t="array" ref="G7589">IF(AND(Inputs!$C$60,Inputs!$C$61),INDEX(Utility_Rates!$C$29:$F$52,HOUR(C7589)+Inputs!$C$69,MATCH(INDEX(Utility_Rates!$K$6:$K$17,MONTH(C7589))&amp;IF(WEEKDAY(C7589,Inputs!$C$76)&lt;=Inputs!$C$74," weekday"," weekend"),Utility_Rates!$C$28:$F$28,Inputs!$C$68)),"")</f>
      </c>
      <c r="H7589" s="34"/>
      <c r="I7589" s="42">
        <f>IF(AND(ISNUMBER(D7589),ISNUMBER(H7589)),D7589*H7589*Inputs!$C$69,"")</f>
      </c>
      <c r="J7589" s="42">
        <f>IF(AND(ISNUMBER(F7589),ISNUMBER(H7589),F7589&gt;=Inputs!$C$68),F7589*H7589*Inputs!$C$69,"")</f>
      </c>
    </row>
    <row r="7590" spans="2:10" ht="15" customHeight="1" x14ac:dyDescent="0.2">
      <c r="B7590" s="39">
        <f t="shared" si="58"/>
      </c>
      <c r="C7590" s="40">
        <f>IF(Inputs!$C$60,Inputs!$C$11+(B7590-Inputs!$C$69)/Inputs!$C$70,"")</f>
      </c>
      <c r="D7590" s="15"/>
      <c r="E7590" s="15"/>
      <c r="F7590" s="11">
        <f t="shared" si="59"/>
      </c>
      <c r="G7590" s="22" cm="1">
        <f t="array" ref="G7590">IF(AND(Inputs!$C$60,Inputs!$C$61),INDEX(Utility_Rates!$C$29:$F$52,HOUR(C7590)+Inputs!$C$69,MATCH(INDEX(Utility_Rates!$K$6:$K$17,MONTH(C7590))&amp;IF(WEEKDAY(C7590,Inputs!$C$76)&lt;=Inputs!$C$74," weekday"," weekend"),Utility_Rates!$C$28:$F$28,Inputs!$C$68)),"")</f>
      </c>
      <c r="H7590" s="34"/>
      <c r="I7590" s="42">
        <f>IF(AND(ISNUMBER(D7590),ISNUMBER(H7590)),D7590*H7590*Inputs!$C$69,"")</f>
      </c>
      <c r="J7590" s="42">
        <f>IF(AND(ISNUMBER(F7590),ISNUMBER(H7590),F7590&gt;=Inputs!$C$68),F7590*H7590*Inputs!$C$69,"")</f>
      </c>
    </row>
    <row r="7591" spans="2:10" ht="15" customHeight="1" x14ac:dyDescent="0.2">
      <c r="B7591" s="39">
        <f t="shared" si="58"/>
      </c>
      <c r="C7591" s="40">
        <f>IF(Inputs!$C$60,Inputs!$C$11+(B7591-Inputs!$C$69)/Inputs!$C$70,"")</f>
      </c>
      <c r="D7591" s="15"/>
      <c r="E7591" s="15"/>
      <c r="F7591" s="11">
        <f t="shared" si="59"/>
      </c>
      <c r="G7591" s="22" cm="1">
        <f t="array" ref="G7591">IF(AND(Inputs!$C$60,Inputs!$C$61),INDEX(Utility_Rates!$C$29:$F$52,HOUR(C7591)+Inputs!$C$69,MATCH(INDEX(Utility_Rates!$K$6:$K$17,MONTH(C7591))&amp;IF(WEEKDAY(C7591,Inputs!$C$76)&lt;=Inputs!$C$74," weekday"," weekend"),Utility_Rates!$C$28:$F$28,Inputs!$C$68)),"")</f>
      </c>
      <c r="H7591" s="34"/>
      <c r="I7591" s="42">
        <f>IF(AND(ISNUMBER(D7591),ISNUMBER(H7591)),D7591*H7591*Inputs!$C$69,"")</f>
      </c>
      <c r="J7591" s="42">
        <f>IF(AND(ISNUMBER(F7591),ISNUMBER(H7591),F7591&gt;=Inputs!$C$68),F7591*H7591*Inputs!$C$69,"")</f>
      </c>
    </row>
    <row r="7592" spans="2:10" ht="15" customHeight="1" x14ac:dyDescent="0.2">
      <c r="B7592" s="39">
        <f t="shared" si="58"/>
      </c>
      <c r="C7592" s="40">
        <f>IF(Inputs!$C$60,Inputs!$C$11+(B7592-Inputs!$C$69)/Inputs!$C$70,"")</f>
      </c>
      <c r="D7592" s="15"/>
      <c r="E7592" s="15"/>
      <c r="F7592" s="11">
        <f t="shared" si="59"/>
      </c>
      <c r="G7592" s="22" cm="1">
        <f t="array" ref="G7592">IF(AND(Inputs!$C$60,Inputs!$C$61),INDEX(Utility_Rates!$C$29:$F$52,HOUR(C7592)+Inputs!$C$69,MATCH(INDEX(Utility_Rates!$K$6:$K$17,MONTH(C7592))&amp;IF(WEEKDAY(C7592,Inputs!$C$76)&lt;=Inputs!$C$74," weekday"," weekend"),Utility_Rates!$C$28:$F$28,Inputs!$C$68)),"")</f>
      </c>
      <c r="H7592" s="34"/>
      <c r="I7592" s="42">
        <f>IF(AND(ISNUMBER(D7592),ISNUMBER(H7592)),D7592*H7592*Inputs!$C$69,"")</f>
      </c>
      <c r="J7592" s="42">
        <f>IF(AND(ISNUMBER(F7592),ISNUMBER(H7592),F7592&gt;=Inputs!$C$68),F7592*H7592*Inputs!$C$69,"")</f>
      </c>
    </row>
    <row r="7593" spans="2:10" ht="15" customHeight="1" x14ac:dyDescent="0.2">
      <c r="B7593" s="39">
        <f t="shared" si="58"/>
      </c>
      <c r="C7593" s="40">
        <f>IF(Inputs!$C$60,Inputs!$C$11+(B7593-Inputs!$C$69)/Inputs!$C$70,"")</f>
      </c>
      <c r="D7593" s="15"/>
      <c r="E7593" s="15"/>
      <c r="F7593" s="11">
        <f t="shared" si="59"/>
      </c>
      <c r="G7593" s="22" cm="1">
        <f t="array" ref="G7593">IF(AND(Inputs!$C$60,Inputs!$C$61),INDEX(Utility_Rates!$C$29:$F$52,HOUR(C7593)+Inputs!$C$69,MATCH(INDEX(Utility_Rates!$K$6:$K$17,MONTH(C7593))&amp;IF(WEEKDAY(C7593,Inputs!$C$76)&lt;=Inputs!$C$74," weekday"," weekend"),Utility_Rates!$C$28:$F$28,Inputs!$C$68)),"")</f>
      </c>
      <c r="H7593" s="34"/>
      <c r="I7593" s="42">
        <f>IF(AND(ISNUMBER(D7593),ISNUMBER(H7593)),D7593*H7593*Inputs!$C$69,"")</f>
      </c>
      <c r="J7593" s="42">
        <f>IF(AND(ISNUMBER(F7593),ISNUMBER(H7593),F7593&gt;=Inputs!$C$68),F7593*H7593*Inputs!$C$69,"")</f>
      </c>
    </row>
    <row r="7594" spans="2:10" ht="15" customHeight="1" x14ac:dyDescent="0.2">
      <c r="B7594" s="39">
        <f t="shared" si="58"/>
      </c>
      <c r="C7594" s="40">
        <f>IF(Inputs!$C$60,Inputs!$C$11+(B7594-Inputs!$C$69)/Inputs!$C$70,"")</f>
      </c>
      <c r="D7594" s="15"/>
      <c r="E7594" s="15"/>
      <c r="F7594" s="11">
        <f t="shared" si="59"/>
      </c>
      <c r="G7594" s="22" cm="1">
        <f t="array" ref="G7594">IF(AND(Inputs!$C$60,Inputs!$C$61),INDEX(Utility_Rates!$C$29:$F$52,HOUR(C7594)+Inputs!$C$69,MATCH(INDEX(Utility_Rates!$K$6:$K$17,MONTH(C7594))&amp;IF(WEEKDAY(C7594,Inputs!$C$76)&lt;=Inputs!$C$74," weekday"," weekend"),Utility_Rates!$C$28:$F$28,Inputs!$C$68)),"")</f>
      </c>
      <c r="H7594" s="34"/>
      <c r="I7594" s="42">
        <f>IF(AND(ISNUMBER(D7594),ISNUMBER(H7594)),D7594*H7594*Inputs!$C$69,"")</f>
      </c>
      <c r="J7594" s="42">
        <f>IF(AND(ISNUMBER(F7594),ISNUMBER(H7594),F7594&gt;=Inputs!$C$68),F7594*H7594*Inputs!$C$69,"")</f>
      </c>
    </row>
    <row r="7595" spans="2:10" ht="15" customHeight="1" x14ac:dyDescent="0.2">
      <c r="B7595" s="39">
        <f t="shared" si="58"/>
      </c>
      <c r="C7595" s="40">
        <f>IF(Inputs!$C$60,Inputs!$C$11+(B7595-Inputs!$C$69)/Inputs!$C$70,"")</f>
      </c>
      <c r="D7595" s="15"/>
      <c r="E7595" s="15"/>
      <c r="F7595" s="11">
        <f t="shared" si="59"/>
      </c>
      <c r="G7595" s="22" cm="1">
        <f t="array" ref="G7595">IF(AND(Inputs!$C$60,Inputs!$C$61),INDEX(Utility_Rates!$C$29:$F$52,HOUR(C7595)+Inputs!$C$69,MATCH(INDEX(Utility_Rates!$K$6:$K$17,MONTH(C7595))&amp;IF(WEEKDAY(C7595,Inputs!$C$76)&lt;=Inputs!$C$74," weekday"," weekend"),Utility_Rates!$C$28:$F$28,Inputs!$C$68)),"")</f>
      </c>
      <c r="H7595" s="34"/>
      <c r="I7595" s="42">
        <f>IF(AND(ISNUMBER(D7595),ISNUMBER(H7595)),D7595*H7595*Inputs!$C$69,"")</f>
      </c>
      <c r="J7595" s="42">
        <f>IF(AND(ISNUMBER(F7595),ISNUMBER(H7595),F7595&gt;=Inputs!$C$68),F7595*H7595*Inputs!$C$69,"")</f>
      </c>
    </row>
    <row r="7596" spans="2:10" ht="15" customHeight="1" x14ac:dyDescent="0.2">
      <c r="B7596" s="39">
        <f t="shared" si="58"/>
      </c>
      <c r="C7596" s="40">
        <f>IF(Inputs!$C$60,Inputs!$C$11+(B7596-Inputs!$C$69)/Inputs!$C$70,"")</f>
      </c>
      <c r="D7596" s="15"/>
      <c r="E7596" s="15"/>
      <c r="F7596" s="11">
        <f t="shared" si="59"/>
      </c>
      <c r="G7596" s="22" cm="1">
        <f t="array" ref="G7596">IF(AND(Inputs!$C$60,Inputs!$C$61),INDEX(Utility_Rates!$C$29:$F$52,HOUR(C7596)+Inputs!$C$69,MATCH(INDEX(Utility_Rates!$K$6:$K$17,MONTH(C7596))&amp;IF(WEEKDAY(C7596,Inputs!$C$76)&lt;=Inputs!$C$74," weekday"," weekend"),Utility_Rates!$C$28:$F$28,Inputs!$C$68)),"")</f>
      </c>
      <c r="H7596" s="34"/>
      <c r="I7596" s="42">
        <f>IF(AND(ISNUMBER(D7596),ISNUMBER(H7596)),D7596*H7596*Inputs!$C$69,"")</f>
      </c>
      <c r="J7596" s="42">
        <f>IF(AND(ISNUMBER(F7596),ISNUMBER(H7596),F7596&gt;=Inputs!$C$68),F7596*H7596*Inputs!$C$69,"")</f>
      </c>
    </row>
    <row r="7597" spans="2:10" ht="15" customHeight="1" x14ac:dyDescent="0.2">
      <c r="B7597" s="39">
        <f t="shared" si="58"/>
      </c>
      <c r="C7597" s="40">
        <f>IF(Inputs!$C$60,Inputs!$C$11+(B7597-Inputs!$C$69)/Inputs!$C$70,"")</f>
      </c>
      <c r="D7597" s="15"/>
      <c r="E7597" s="15"/>
      <c r="F7597" s="11">
        <f t="shared" si="59"/>
      </c>
      <c r="G7597" s="22" cm="1">
        <f t="array" ref="G7597">IF(AND(Inputs!$C$60,Inputs!$C$61),INDEX(Utility_Rates!$C$29:$F$52,HOUR(C7597)+Inputs!$C$69,MATCH(INDEX(Utility_Rates!$K$6:$K$17,MONTH(C7597))&amp;IF(WEEKDAY(C7597,Inputs!$C$76)&lt;=Inputs!$C$74," weekday"," weekend"),Utility_Rates!$C$28:$F$28,Inputs!$C$68)),"")</f>
      </c>
      <c r="H7597" s="34"/>
      <c r="I7597" s="42">
        <f>IF(AND(ISNUMBER(D7597),ISNUMBER(H7597)),D7597*H7597*Inputs!$C$69,"")</f>
      </c>
      <c r="J7597" s="42">
        <f>IF(AND(ISNUMBER(F7597),ISNUMBER(H7597),F7597&gt;=Inputs!$C$68),F7597*H7597*Inputs!$C$69,"")</f>
      </c>
    </row>
    <row r="7598" spans="2:10" ht="15" customHeight="1" x14ac:dyDescent="0.2">
      <c r="B7598" s="39">
        <f t="shared" si="58"/>
      </c>
      <c r="C7598" s="40">
        <f>IF(Inputs!$C$60,Inputs!$C$11+(B7598-Inputs!$C$69)/Inputs!$C$70,"")</f>
      </c>
      <c r="D7598" s="15"/>
      <c r="E7598" s="15"/>
      <c r="F7598" s="11">
        <f t="shared" si="59"/>
      </c>
      <c r="G7598" s="22" cm="1">
        <f t="array" ref="G7598">IF(AND(Inputs!$C$60,Inputs!$C$61),INDEX(Utility_Rates!$C$29:$F$52,HOUR(C7598)+Inputs!$C$69,MATCH(INDEX(Utility_Rates!$K$6:$K$17,MONTH(C7598))&amp;IF(WEEKDAY(C7598,Inputs!$C$76)&lt;=Inputs!$C$74," weekday"," weekend"),Utility_Rates!$C$28:$F$28,Inputs!$C$68)),"")</f>
      </c>
      <c r="H7598" s="34"/>
      <c r="I7598" s="42">
        <f>IF(AND(ISNUMBER(D7598),ISNUMBER(H7598)),D7598*H7598*Inputs!$C$69,"")</f>
      </c>
      <c r="J7598" s="42">
        <f>IF(AND(ISNUMBER(F7598),ISNUMBER(H7598),F7598&gt;=Inputs!$C$68),F7598*H7598*Inputs!$C$69,"")</f>
      </c>
    </row>
    <row r="7599" spans="2:10" ht="15" customHeight="1" x14ac:dyDescent="0.2">
      <c r="B7599" s="39">
        <f t="shared" si="58"/>
      </c>
      <c r="C7599" s="40">
        <f>IF(Inputs!$C$60,Inputs!$C$11+(B7599-Inputs!$C$69)/Inputs!$C$70,"")</f>
      </c>
      <c r="D7599" s="15"/>
      <c r="E7599" s="15"/>
      <c r="F7599" s="11">
        <f t="shared" si="59"/>
      </c>
      <c r="G7599" s="22" cm="1">
        <f t="array" ref="G7599">IF(AND(Inputs!$C$60,Inputs!$C$61),INDEX(Utility_Rates!$C$29:$F$52,HOUR(C7599)+Inputs!$C$69,MATCH(INDEX(Utility_Rates!$K$6:$K$17,MONTH(C7599))&amp;IF(WEEKDAY(C7599,Inputs!$C$76)&lt;=Inputs!$C$74," weekday"," weekend"),Utility_Rates!$C$28:$F$28,Inputs!$C$68)),"")</f>
      </c>
      <c r="H7599" s="34"/>
      <c r="I7599" s="42">
        <f>IF(AND(ISNUMBER(D7599),ISNUMBER(H7599)),D7599*H7599*Inputs!$C$69,"")</f>
      </c>
      <c r="J7599" s="42">
        <f>IF(AND(ISNUMBER(F7599),ISNUMBER(H7599),F7599&gt;=Inputs!$C$68),F7599*H7599*Inputs!$C$69,"")</f>
      </c>
    </row>
    <row r="7600" spans="2:10" ht="15" customHeight="1" x14ac:dyDescent="0.2">
      <c r="B7600" s="39">
        <f t="shared" si="58"/>
      </c>
      <c r="C7600" s="40">
        <f>IF(Inputs!$C$60,Inputs!$C$11+(B7600-Inputs!$C$69)/Inputs!$C$70,"")</f>
      </c>
      <c r="D7600" s="15"/>
      <c r="E7600" s="15"/>
      <c r="F7600" s="11">
        <f t="shared" si="59"/>
      </c>
      <c r="G7600" s="22" cm="1">
        <f t="array" ref="G7600">IF(AND(Inputs!$C$60,Inputs!$C$61),INDEX(Utility_Rates!$C$29:$F$52,HOUR(C7600)+Inputs!$C$69,MATCH(INDEX(Utility_Rates!$K$6:$K$17,MONTH(C7600))&amp;IF(WEEKDAY(C7600,Inputs!$C$76)&lt;=Inputs!$C$74," weekday"," weekend"),Utility_Rates!$C$28:$F$28,Inputs!$C$68)),"")</f>
      </c>
      <c r="H7600" s="34"/>
      <c r="I7600" s="42">
        <f>IF(AND(ISNUMBER(D7600),ISNUMBER(H7600)),D7600*H7600*Inputs!$C$69,"")</f>
      </c>
      <c r="J7600" s="42">
        <f>IF(AND(ISNUMBER(F7600),ISNUMBER(H7600),F7600&gt;=Inputs!$C$68),F7600*H7600*Inputs!$C$69,"")</f>
      </c>
    </row>
    <row r="7601" spans="2:10" ht="15" customHeight="1" x14ac:dyDescent="0.2">
      <c r="B7601" s="39">
        <f t="shared" si="58"/>
      </c>
      <c r="C7601" s="40">
        <f>IF(Inputs!$C$60,Inputs!$C$11+(B7601-Inputs!$C$69)/Inputs!$C$70,"")</f>
      </c>
      <c r="D7601" s="15"/>
      <c r="E7601" s="15"/>
      <c r="F7601" s="11">
        <f t="shared" si="59"/>
      </c>
      <c r="G7601" s="22" cm="1">
        <f t="array" ref="G7601">IF(AND(Inputs!$C$60,Inputs!$C$61),INDEX(Utility_Rates!$C$29:$F$52,HOUR(C7601)+Inputs!$C$69,MATCH(INDEX(Utility_Rates!$K$6:$K$17,MONTH(C7601))&amp;IF(WEEKDAY(C7601,Inputs!$C$76)&lt;=Inputs!$C$74," weekday"," weekend"),Utility_Rates!$C$28:$F$28,Inputs!$C$68)),"")</f>
      </c>
      <c r="H7601" s="34"/>
      <c r="I7601" s="42">
        <f>IF(AND(ISNUMBER(D7601),ISNUMBER(H7601)),D7601*H7601*Inputs!$C$69,"")</f>
      </c>
      <c r="J7601" s="42">
        <f>IF(AND(ISNUMBER(F7601),ISNUMBER(H7601),F7601&gt;=Inputs!$C$68),F7601*H7601*Inputs!$C$69,"")</f>
      </c>
    </row>
    <row r="7602" spans="2:10" ht="15" customHeight="1" x14ac:dyDescent="0.2">
      <c r="B7602" s="39">
        <f t="shared" si="58"/>
      </c>
      <c r="C7602" s="40">
        <f>IF(Inputs!$C$60,Inputs!$C$11+(B7602-Inputs!$C$69)/Inputs!$C$70,"")</f>
      </c>
      <c r="D7602" s="15"/>
      <c r="E7602" s="15"/>
      <c r="F7602" s="11">
        <f t="shared" si="59"/>
      </c>
      <c r="G7602" s="22" cm="1">
        <f t="array" ref="G7602">IF(AND(Inputs!$C$60,Inputs!$C$61),INDEX(Utility_Rates!$C$29:$F$52,HOUR(C7602)+Inputs!$C$69,MATCH(INDEX(Utility_Rates!$K$6:$K$17,MONTH(C7602))&amp;IF(WEEKDAY(C7602,Inputs!$C$76)&lt;=Inputs!$C$74," weekday"," weekend"),Utility_Rates!$C$28:$F$28,Inputs!$C$68)),"")</f>
      </c>
      <c r="H7602" s="34"/>
      <c r="I7602" s="42">
        <f>IF(AND(ISNUMBER(D7602),ISNUMBER(H7602)),D7602*H7602*Inputs!$C$69,"")</f>
      </c>
      <c r="J7602" s="42">
        <f>IF(AND(ISNUMBER(F7602),ISNUMBER(H7602),F7602&gt;=Inputs!$C$68),F7602*H7602*Inputs!$C$69,"")</f>
      </c>
    </row>
    <row r="7603" spans="2:10" ht="15" customHeight="1" x14ac:dyDescent="0.2">
      <c r="B7603" s="39">
        <f t="shared" si="58"/>
      </c>
      <c r="C7603" s="40">
        <f>IF(Inputs!$C$60,Inputs!$C$11+(B7603-Inputs!$C$69)/Inputs!$C$70,"")</f>
      </c>
      <c r="D7603" s="15"/>
      <c r="E7603" s="15"/>
      <c r="F7603" s="11">
        <f t="shared" si="59"/>
      </c>
      <c r="G7603" s="22" cm="1">
        <f t="array" ref="G7603">IF(AND(Inputs!$C$60,Inputs!$C$61),INDEX(Utility_Rates!$C$29:$F$52,HOUR(C7603)+Inputs!$C$69,MATCH(INDEX(Utility_Rates!$K$6:$K$17,MONTH(C7603))&amp;IF(WEEKDAY(C7603,Inputs!$C$76)&lt;=Inputs!$C$74," weekday"," weekend"),Utility_Rates!$C$28:$F$28,Inputs!$C$68)),"")</f>
      </c>
      <c r="H7603" s="34"/>
      <c r="I7603" s="42">
        <f>IF(AND(ISNUMBER(D7603),ISNUMBER(H7603)),D7603*H7603*Inputs!$C$69,"")</f>
      </c>
      <c r="J7603" s="42">
        <f>IF(AND(ISNUMBER(F7603),ISNUMBER(H7603),F7603&gt;=Inputs!$C$68),F7603*H7603*Inputs!$C$69,"")</f>
      </c>
    </row>
    <row r="7604" spans="2:10" ht="15" customHeight="1" x14ac:dyDescent="0.2">
      <c r="B7604" s="39">
        <f t="shared" si="58"/>
      </c>
      <c r="C7604" s="40">
        <f>IF(Inputs!$C$60,Inputs!$C$11+(B7604-Inputs!$C$69)/Inputs!$C$70,"")</f>
      </c>
      <c r="D7604" s="15"/>
      <c r="E7604" s="15"/>
      <c r="F7604" s="11">
        <f t="shared" si="59"/>
      </c>
      <c r="G7604" s="22" cm="1">
        <f t="array" ref="G7604">IF(AND(Inputs!$C$60,Inputs!$C$61),INDEX(Utility_Rates!$C$29:$F$52,HOUR(C7604)+Inputs!$C$69,MATCH(INDEX(Utility_Rates!$K$6:$K$17,MONTH(C7604))&amp;IF(WEEKDAY(C7604,Inputs!$C$76)&lt;=Inputs!$C$74," weekday"," weekend"),Utility_Rates!$C$28:$F$28,Inputs!$C$68)),"")</f>
      </c>
      <c r="H7604" s="34"/>
      <c r="I7604" s="42">
        <f>IF(AND(ISNUMBER(D7604),ISNUMBER(H7604)),D7604*H7604*Inputs!$C$69,"")</f>
      </c>
      <c r="J7604" s="42">
        <f>IF(AND(ISNUMBER(F7604),ISNUMBER(H7604),F7604&gt;=Inputs!$C$68),F7604*H7604*Inputs!$C$69,"")</f>
      </c>
    </row>
    <row r="7605" spans="2:10" ht="15" customHeight="1" x14ac:dyDescent="0.2">
      <c r="B7605" s="39">
        <f t="shared" si="58"/>
      </c>
      <c r="C7605" s="40">
        <f>IF(Inputs!$C$60,Inputs!$C$11+(B7605-Inputs!$C$69)/Inputs!$C$70,"")</f>
      </c>
      <c r="D7605" s="15"/>
      <c r="E7605" s="15"/>
      <c r="F7605" s="11">
        <f t="shared" si="59"/>
      </c>
      <c r="G7605" s="22" cm="1">
        <f t="array" ref="G7605">IF(AND(Inputs!$C$60,Inputs!$C$61),INDEX(Utility_Rates!$C$29:$F$52,HOUR(C7605)+Inputs!$C$69,MATCH(INDEX(Utility_Rates!$K$6:$K$17,MONTH(C7605))&amp;IF(WEEKDAY(C7605,Inputs!$C$76)&lt;=Inputs!$C$74," weekday"," weekend"),Utility_Rates!$C$28:$F$28,Inputs!$C$68)),"")</f>
      </c>
      <c r="H7605" s="34"/>
      <c r="I7605" s="42">
        <f>IF(AND(ISNUMBER(D7605),ISNUMBER(H7605)),D7605*H7605*Inputs!$C$69,"")</f>
      </c>
      <c r="J7605" s="42">
        <f>IF(AND(ISNUMBER(F7605),ISNUMBER(H7605),F7605&gt;=Inputs!$C$68),F7605*H7605*Inputs!$C$69,"")</f>
      </c>
    </row>
    <row r="7606" spans="2:10" ht="15" customHeight="1" x14ac:dyDescent="0.2">
      <c r="B7606" s="39">
        <f t="shared" si="58"/>
      </c>
      <c r="C7606" s="40">
        <f>IF(Inputs!$C$60,Inputs!$C$11+(B7606-Inputs!$C$69)/Inputs!$C$70,"")</f>
      </c>
      <c r="D7606" s="15"/>
      <c r="E7606" s="15"/>
      <c r="F7606" s="11">
        <f t="shared" si="59"/>
      </c>
      <c r="G7606" s="22" cm="1">
        <f t="array" ref="G7606">IF(AND(Inputs!$C$60,Inputs!$C$61),INDEX(Utility_Rates!$C$29:$F$52,HOUR(C7606)+Inputs!$C$69,MATCH(INDEX(Utility_Rates!$K$6:$K$17,MONTH(C7606))&amp;IF(WEEKDAY(C7606,Inputs!$C$76)&lt;=Inputs!$C$74," weekday"," weekend"),Utility_Rates!$C$28:$F$28,Inputs!$C$68)),"")</f>
      </c>
      <c r="H7606" s="34"/>
      <c r="I7606" s="42">
        <f>IF(AND(ISNUMBER(D7606),ISNUMBER(H7606)),D7606*H7606*Inputs!$C$69,"")</f>
      </c>
      <c r="J7606" s="42">
        <f>IF(AND(ISNUMBER(F7606),ISNUMBER(H7606),F7606&gt;=Inputs!$C$68),F7606*H7606*Inputs!$C$69,"")</f>
      </c>
    </row>
    <row r="7607" spans="2:10" ht="15" customHeight="1" x14ac:dyDescent="0.2">
      <c r="B7607" s="39">
        <f t="shared" si="58"/>
      </c>
      <c r="C7607" s="40">
        <f>IF(Inputs!$C$60,Inputs!$C$11+(B7607-Inputs!$C$69)/Inputs!$C$70,"")</f>
      </c>
      <c r="D7607" s="15"/>
      <c r="E7607" s="15"/>
      <c r="F7607" s="11">
        <f t="shared" si="59"/>
      </c>
      <c r="G7607" s="22" cm="1">
        <f t="array" ref="G7607">IF(AND(Inputs!$C$60,Inputs!$C$61),INDEX(Utility_Rates!$C$29:$F$52,HOUR(C7607)+Inputs!$C$69,MATCH(INDEX(Utility_Rates!$K$6:$K$17,MONTH(C7607))&amp;IF(WEEKDAY(C7607,Inputs!$C$76)&lt;=Inputs!$C$74," weekday"," weekend"),Utility_Rates!$C$28:$F$28,Inputs!$C$68)),"")</f>
      </c>
      <c r="H7607" s="34"/>
      <c r="I7607" s="42">
        <f>IF(AND(ISNUMBER(D7607),ISNUMBER(H7607)),D7607*H7607*Inputs!$C$69,"")</f>
      </c>
      <c r="J7607" s="42">
        <f>IF(AND(ISNUMBER(F7607),ISNUMBER(H7607),F7607&gt;=Inputs!$C$68),F7607*H7607*Inputs!$C$69,"")</f>
      </c>
    </row>
    <row r="7608" spans="2:10" ht="15" customHeight="1" x14ac:dyDescent="0.2">
      <c r="B7608" s="39">
        <f t="shared" si="58"/>
      </c>
      <c r="C7608" s="40">
        <f>IF(Inputs!$C$60,Inputs!$C$11+(B7608-Inputs!$C$69)/Inputs!$C$70,"")</f>
      </c>
      <c r="D7608" s="15"/>
      <c r="E7608" s="15"/>
      <c r="F7608" s="11">
        <f t="shared" si="59"/>
      </c>
      <c r="G7608" s="22" cm="1">
        <f t="array" ref="G7608">IF(AND(Inputs!$C$60,Inputs!$C$61),INDEX(Utility_Rates!$C$29:$F$52,HOUR(C7608)+Inputs!$C$69,MATCH(INDEX(Utility_Rates!$K$6:$K$17,MONTH(C7608))&amp;IF(WEEKDAY(C7608,Inputs!$C$76)&lt;=Inputs!$C$74," weekday"," weekend"),Utility_Rates!$C$28:$F$28,Inputs!$C$68)),"")</f>
      </c>
      <c r="H7608" s="34"/>
      <c r="I7608" s="42">
        <f>IF(AND(ISNUMBER(D7608),ISNUMBER(H7608)),D7608*H7608*Inputs!$C$69,"")</f>
      </c>
      <c r="J7608" s="42">
        <f>IF(AND(ISNUMBER(F7608),ISNUMBER(H7608),F7608&gt;=Inputs!$C$68),F7608*H7608*Inputs!$C$69,"")</f>
      </c>
    </row>
    <row r="7609" spans="2:10" ht="15" customHeight="1" x14ac:dyDescent="0.2">
      <c r="B7609" s="39">
        <f t="shared" si="58"/>
      </c>
      <c r="C7609" s="40">
        <f>IF(Inputs!$C$60,Inputs!$C$11+(B7609-Inputs!$C$69)/Inputs!$C$70,"")</f>
      </c>
      <c r="D7609" s="15"/>
      <c r="E7609" s="15"/>
      <c r="F7609" s="11">
        <f t="shared" si="59"/>
      </c>
      <c r="G7609" s="22" cm="1">
        <f t="array" ref="G7609">IF(AND(Inputs!$C$60,Inputs!$C$61),INDEX(Utility_Rates!$C$29:$F$52,HOUR(C7609)+Inputs!$C$69,MATCH(INDEX(Utility_Rates!$K$6:$K$17,MONTH(C7609))&amp;IF(WEEKDAY(C7609,Inputs!$C$76)&lt;=Inputs!$C$74," weekday"," weekend"),Utility_Rates!$C$28:$F$28,Inputs!$C$68)),"")</f>
      </c>
      <c r="H7609" s="34"/>
      <c r="I7609" s="42">
        <f>IF(AND(ISNUMBER(D7609),ISNUMBER(H7609)),D7609*H7609*Inputs!$C$69,"")</f>
      </c>
      <c r="J7609" s="42">
        <f>IF(AND(ISNUMBER(F7609),ISNUMBER(H7609),F7609&gt;=Inputs!$C$68),F7609*H7609*Inputs!$C$69,"")</f>
      </c>
    </row>
    <row r="7610" spans="2:10" ht="15" customHeight="1" x14ac:dyDescent="0.2">
      <c r="B7610" s="39">
        <f t="shared" si="58"/>
      </c>
      <c r="C7610" s="40">
        <f>IF(Inputs!$C$60,Inputs!$C$11+(B7610-Inputs!$C$69)/Inputs!$C$70,"")</f>
      </c>
      <c r="D7610" s="15"/>
      <c r="E7610" s="15"/>
      <c r="F7610" s="11">
        <f t="shared" si="59"/>
      </c>
      <c r="G7610" s="22" cm="1">
        <f t="array" ref="G7610">IF(AND(Inputs!$C$60,Inputs!$C$61),INDEX(Utility_Rates!$C$29:$F$52,HOUR(C7610)+Inputs!$C$69,MATCH(INDEX(Utility_Rates!$K$6:$K$17,MONTH(C7610))&amp;IF(WEEKDAY(C7610,Inputs!$C$76)&lt;=Inputs!$C$74," weekday"," weekend"),Utility_Rates!$C$28:$F$28,Inputs!$C$68)),"")</f>
      </c>
      <c r="H7610" s="34"/>
      <c r="I7610" s="42">
        <f>IF(AND(ISNUMBER(D7610),ISNUMBER(H7610)),D7610*H7610*Inputs!$C$69,"")</f>
      </c>
      <c r="J7610" s="42">
        <f>IF(AND(ISNUMBER(F7610),ISNUMBER(H7610),F7610&gt;=Inputs!$C$68),F7610*H7610*Inputs!$C$69,"")</f>
      </c>
    </row>
    <row r="7611" spans="2:10" ht="15" customHeight="1" x14ac:dyDescent="0.2">
      <c r="B7611" s="39">
        <f t="shared" si="58"/>
      </c>
      <c r="C7611" s="40">
        <f>IF(Inputs!$C$60,Inputs!$C$11+(B7611-Inputs!$C$69)/Inputs!$C$70,"")</f>
      </c>
      <c r="D7611" s="15"/>
      <c r="E7611" s="15"/>
      <c r="F7611" s="11">
        <f t="shared" si="59"/>
      </c>
      <c r="G7611" s="22" cm="1">
        <f t="array" ref="G7611">IF(AND(Inputs!$C$60,Inputs!$C$61),INDEX(Utility_Rates!$C$29:$F$52,HOUR(C7611)+Inputs!$C$69,MATCH(INDEX(Utility_Rates!$K$6:$K$17,MONTH(C7611))&amp;IF(WEEKDAY(C7611,Inputs!$C$76)&lt;=Inputs!$C$74," weekday"," weekend"),Utility_Rates!$C$28:$F$28,Inputs!$C$68)),"")</f>
      </c>
      <c r="H7611" s="34"/>
      <c r="I7611" s="42">
        <f>IF(AND(ISNUMBER(D7611),ISNUMBER(H7611)),D7611*H7611*Inputs!$C$69,"")</f>
      </c>
      <c r="J7611" s="42">
        <f>IF(AND(ISNUMBER(F7611),ISNUMBER(H7611),F7611&gt;=Inputs!$C$68),F7611*H7611*Inputs!$C$69,"")</f>
      </c>
    </row>
    <row r="7612" spans="2:10" ht="15" customHeight="1" x14ac:dyDescent="0.2">
      <c r="B7612" s="39">
        <f t="shared" si="58"/>
      </c>
      <c r="C7612" s="40">
        <f>IF(Inputs!$C$60,Inputs!$C$11+(B7612-Inputs!$C$69)/Inputs!$C$70,"")</f>
      </c>
      <c r="D7612" s="15"/>
      <c r="E7612" s="15"/>
      <c r="F7612" s="11">
        <f t="shared" si="59"/>
      </c>
      <c r="G7612" s="22" cm="1">
        <f t="array" ref="G7612">IF(AND(Inputs!$C$60,Inputs!$C$61),INDEX(Utility_Rates!$C$29:$F$52,HOUR(C7612)+Inputs!$C$69,MATCH(INDEX(Utility_Rates!$K$6:$K$17,MONTH(C7612))&amp;IF(WEEKDAY(C7612,Inputs!$C$76)&lt;=Inputs!$C$74," weekday"," weekend"),Utility_Rates!$C$28:$F$28,Inputs!$C$68)),"")</f>
      </c>
      <c r="H7612" s="34"/>
      <c r="I7612" s="42">
        <f>IF(AND(ISNUMBER(D7612),ISNUMBER(H7612)),D7612*H7612*Inputs!$C$69,"")</f>
      </c>
      <c r="J7612" s="42">
        <f>IF(AND(ISNUMBER(F7612),ISNUMBER(H7612),F7612&gt;=Inputs!$C$68),F7612*H7612*Inputs!$C$69,"")</f>
      </c>
    </row>
    <row r="7613" spans="2:10" ht="15" customHeight="1" x14ac:dyDescent="0.2">
      <c r="B7613" s="39">
        <f t="shared" si="58"/>
      </c>
      <c r="C7613" s="40">
        <f>IF(Inputs!$C$60,Inputs!$C$11+(B7613-Inputs!$C$69)/Inputs!$C$70,"")</f>
      </c>
      <c r="D7613" s="15"/>
      <c r="E7613" s="15"/>
      <c r="F7613" s="11">
        <f t="shared" si="59"/>
      </c>
      <c r="G7613" s="22" cm="1">
        <f t="array" ref="G7613">IF(AND(Inputs!$C$60,Inputs!$C$61),INDEX(Utility_Rates!$C$29:$F$52,HOUR(C7613)+Inputs!$C$69,MATCH(INDEX(Utility_Rates!$K$6:$K$17,MONTH(C7613))&amp;IF(WEEKDAY(C7613,Inputs!$C$76)&lt;=Inputs!$C$74," weekday"," weekend"),Utility_Rates!$C$28:$F$28,Inputs!$C$68)),"")</f>
      </c>
      <c r="H7613" s="34"/>
      <c r="I7613" s="42">
        <f>IF(AND(ISNUMBER(D7613),ISNUMBER(H7613)),D7613*H7613*Inputs!$C$69,"")</f>
      </c>
      <c r="J7613" s="42">
        <f>IF(AND(ISNUMBER(F7613),ISNUMBER(H7613),F7613&gt;=Inputs!$C$68),F7613*H7613*Inputs!$C$69,"")</f>
      </c>
    </row>
    <row r="7614" spans="2:10" ht="15" customHeight="1" x14ac:dyDescent="0.2">
      <c r="B7614" s="39">
        <f t="shared" si="58"/>
      </c>
      <c r="C7614" s="40">
        <f>IF(Inputs!$C$60,Inputs!$C$11+(B7614-Inputs!$C$69)/Inputs!$C$70,"")</f>
      </c>
      <c r="D7614" s="15"/>
      <c r="E7614" s="15"/>
      <c r="F7614" s="11">
        <f t="shared" si="59"/>
      </c>
      <c r="G7614" s="22" cm="1">
        <f t="array" ref="G7614">IF(AND(Inputs!$C$60,Inputs!$C$61),INDEX(Utility_Rates!$C$29:$F$52,HOUR(C7614)+Inputs!$C$69,MATCH(INDEX(Utility_Rates!$K$6:$K$17,MONTH(C7614))&amp;IF(WEEKDAY(C7614,Inputs!$C$76)&lt;=Inputs!$C$74," weekday"," weekend"),Utility_Rates!$C$28:$F$28,Inputs!$C$68)),"")</f>
      </c>
      <c r="H7614" s="34"/>
      <c r="I7614" s="42">
        <f>IF(AND(ISNUMBER(D7614),ISNUMBER(H7614)),D7614*H7614*Inputs!$C$69,"")</f>
      </c>
      <c r="J7614" s="42">
        <f>IF(AND(ISNUMBER(F7614),ISNUMBER(H7614),F7614&gt;=Inputs!$C$68),F7614*H7614*Inputs!$C$69,"")</f>
      </c>
    </row>
    <row r="7615" spans="2:10" ht="15" customHeight="1" x14ac:dyDescent="0.2">
      <c r="B7615" s="39">
        <f t="shared" si="58"/>
      </c>
      <c r="C7615" s="40">
        <f>IF(Inputs!$C$60,Inputs!$C$11+(B7615-Inputs!$C$69)/Inputs!$C$70,"")</f>
      </c>
      <c r="D7615" s="15"/>
      <c r="E7615" s="15"/>
      <c r="F7615" s="11">
        <f t="shared" si="59"/>
      </c>
      <c r="G7615" s="22" cm="1">
        <f t="array" ref="G7615">IF(AND(Inputs!$C$60,Inputs!$C$61),INDEX(Utility_Rates!$C$29:$F$52,HOUR(C7615)+Inputs!$C$69,MATCH(INDEX(Utility_Rates!$K$6:$K$17,MONTH(C7615))&amp;IF(WEEKDAY(C7615,Inputs!$C$76)&lt;=Inputs!$C$74," weekday"," weekend"),Utility_Rates!$C$28:$F$28,Inputs!$C$68)),"")</f>
      </c>
      <c r="H7615" s="34"/>
      <c r="I7615" s="42">
        <f>IF(AND(ISNUMBER(D7615),ISNUMBER(H7615)),D7615*H7615*Inputs!$C$69,"")</f>
      </c>
      <c r="J7615" s="42">
        <f>IF(AND(ISNUMBER(F7615),ISNUMBER(H7615),F7615&gt;=Inputs!$C$68),F7615*H7615*Inputs!$C$69,"")</f>
      </c>
    </row>
    <row r="7616" spans="2:10" ht="15" customHeight="1" x14ac:dyDescent="0.2">
      <c r="B7616" s="39">
        <f t="shared" si="58"/>
      </c>
      <c r="C7616" s="40">
        <f>IF(Inputs!$C$60,Inputs!$C$11+(B7616-Inputs!$C$69)/Inputs!$C$70,"")</f>
      </c>
      <c r="D7616" s="15"/>
      <c r="E7616" s="15"/>
      <c r="F7616" s="11">
        <f t="shared" si="59"/>
      </c>
      <c r="G7616" s="22" cm="1">
        <f t="array" ref="G7616">IF(AND(Inputs!$C$60,Inputs!$C$61),INDEX(Utility_Rates!$C$29:$F$52,HOUR(C7616)+Inputs!$C$69,MATCH(INDEX(Utility_Rates!$K$6:$K$17,MONTH(C7616))&amp;IF(WEEKDAY(C7616,Inputs!$C$76)&lt;=Inputs!$C$74," weekday"," weekend"),Utility_Rates!$C$28:$F$28,Inputs!$C$68)),"")</f>
      </c>
      <c r="H7616" s="34"/>
      <c r="I7616" s="42">
        <f>IF(AND(ISNUMBER(D7616),ISNUMBER(H7616)),D7616*H7616*Inputs!$C$69,"")</f>
      </c>
      <c r="J7616" s="42">
        <f>IF(AND(ISNUMBER(F7616),ISNUMBER(H7616),F7616&gt;=Inputs!$C$68),F7616*H7616*Inputs!$C$69,"")</f>
      </c>
    </row>
    <row r="7617" spans="2:10" ht="15" customHeight="1" x14ac:dyDescent="0.2">
      <c r="B7617" s="39">
        <f t="shared" si="58"/>
      </c>
      <c r="C7617" s="40">
        <f>IF(Inputs!$C$60,Inputs!$C$11+(B7617-Inputs!$C$69)/Inputs!$C$70,"")</f>
      </c>
      <c r="D7617" s="15"/>
      <c r="E7617" s="15"/>
      <c r="F7617" s="11">
        <f t="shared" si="59"/>
      </c>
      <c r="G7617" s="22" cm="1">
        <f t="array" ref="G7617">IF(AND(Inputs!$C$60,Inputs!$C$61),INDEX(Utility_Rates!$C$29:$F$52,HOUR(C7617)+Inputs!$C$69,MATCH(INDEX(Utility_Rates!$K$6:$K$17,MONTH(C7617))&amp;IF(WEEKDAY(C7617,Inputs!$C$76)&lt;=Inputs!$C$74," weekday"," weekend"),Utility_Rates!$C$28:$F$28,Inputs!$C$68)),"")</f>
      </c>
      <c r="H7617" s="34"/>
      <c r="I7617" s="42">
        <f>IF(AND(ISNUMBER(D7617),ISNUMBER(H7617)),D7617*H7617*Inputs!$C$69,"")</f>
      </c>
      <c r="J7617" s="42">
        <f>IF(AND(ISNUMBER(F7617),ISNUMBER(H7617),F7617&gt;=Inputs!$C$68),F7617*H7617*Inputs!$C$69,"")</f>
      </c>
    </row>
    <row r="7618" spans="2:10" ht="15" customHeight="1" x14ac:dyDescent="0.2">
      <c r="B7618" s="39">
        <f t="shared" si="58"/>
      </c>
      <c r="C7618" s="40">
        <f>IF(Inputs!$C$60,Inputs!$C$11+(B7618-Inputs!$C$69)/Inputs!$C$70,"")</f>
      </c>
      <c r="D7618" s="15"/>
      <c r="E7618" s="15"/>
      <c r="F7618" s="11">
        <f t="shared" si="59"/>
      </c>
      <c r="G7618" s="22" cm="1">
        <f t="array" ref="G7618">IF(AND(Inputs!$C$60,Inputs!$C$61),INDEX(Utility_Rates!$C$29:$F$52,HOUR(C7618)+Inputs!$C$69,MATCH(INDEX(Utility_Rates!$K$6:$K$17,MONTH(C7618))&amp;IF(WEEKDAY(C7618,Inputs!$C$76)&lt;=Inputs!$C$74," weekday"," weekend"),Utility_Rates!$C$28:$F$28,Inputs!$C$68)),"")</f>
      </c>
      <c r="H7618" s="34"/>
      <c r="I7618" s="42">
        <f>IF(AND(ISNUMBER(D7618),ISNUMBER(H7618)),D7618*H7618*Inputs!$C$69,"")</f>
      </c>
      <c r="J7618" s="42">
        <f>IF(AND(ISNUMBER(F7618),ISNUMBER(H7618),F7618&gt;=Inputs!$C$68),F7618*H7618*Inputs!$C$69,"")</f>
      </c>
    </row>
    <row r="7619" spans="2:10" ht="15" customHeight="1" x14ac:dyDescent="0.2">
      <c r="B7619" s="39">
        <f t="shared" si="58"/>
      </c>
      <c r="C7619" s="40">
        <f>IF(Inputs!$C$60,Inputs!$C$11+(B7619-Inputs!$C$69)/Inputs!$C$70,"")</f>
      </c>
      <c r="D7619" s="15"/>
      <c r="E7619" s="15"/>
      <c r="F7619" s="11">
        <f t="shared" si="59"/>
      </c>
      <c r="G7619" s="22" cm="1">
        <f t="array" ref="G7619">IF(AND(Inputs!$C$60,Inputs!$C$61),INDEX(Utility_Rates!$C$29:$F$52,HOUR(C7619)+Inputs!$C$69,MATCH(INDEX(Utility_Rates!$K$6:$K$17,MONTH(C7619))&amp;IF(WEEKDAY(C7619,Inputs!$C$76)&lt;=Inputs!$C$74," weekday"," weekend"),Utility_Rates!$C$28:$F$28,Inputs!$C$68)),"")</f>
      </c>
      <c r="H7619" s="34"/>
      <c r="I7619" s="42">
        <f>IF(AND(ISNUMBER(D7619),ISNUMBER(H7619)),D7619*H7619*Inputs!$C$69,"")</f>
      </c>
      <c r="J7619" s="42">
        <f>IF(AND(ISNUMBER(F7619),ISNUMBER(H7619),F7619&gt;=Inputs!$C$68),F7619*H7619*Inputs!$C$69,"")</f>
      </c>
    </row>
    <row r="7620" spans="2:10" ht="15" customHeight="1" x14ac:dyDescent="0.2">
      <c r="B7620" s="39">
        <f t="shared" si="58"/>
      </c>
      <c r="C7620" s="40">
        <f>IF(Inputs!$C$60,Inputs!$C$11+(B7620-Inputs!$C$69)/Inputs!$C$70,"")</f>
      </c>
      <c r="D7620" s="15"/>
      <c r="E7620" s="15"/>
      <c r="F7620" s="11">
        <f t="shared" si="59"/>
      </c>
      <c r="G7620" s="22" cm="1">
        <f t="array" ref="G7620">IF(AND(Inputs!$C$60,Inputs!$C$61),INDEX(Utility_Rates!$C$29:$F$52,HOUR(C7620)+Inputs!$C$69,MATCH(INDEX(Utility_Rates!$K$6:$K$17,MONTH(C7620))&amp;IF(WEEKDAY(C7620,Inputs!$C$76)&lt;=Inputs!$C$74," weekday"," weekend"),Utility_Rates!$C$28:$F$28,Inputs!$C$68)),"")</f>
      </c>
      <c r="H7620" s="34"/>
      <c r="I7620" s="42">
        <f>IF(AND(ISNUMBER(D7620),ISNUMBER(H7620)),D7620*H7620*Inputs!$C$69,"")</f>
      </c>
      <c r="J7620" s="42">
        <f>IF(AND(ISNUMBER(F7620),ISNUMBER(H7620),F7620&gt;=Inputs!$C$68),F7620*H7620*Inputs!$C$69,"")</f>
      </c>
    </row>
    <row r="7621" spans="2:10" ht="15" customHeight="1" x14ac:dyDescent="0.2">
      <c r="B7621" s="39">
        <f t="shared" si="58"/>
      </c>
      <c r="C7621" s="40">
        <f>IF(Inputs!$C$60,Inputs!$C$11+(B7621-Inputs!$C$69)/Inputs!$C$70,"")</f>
      </c>
      <c r="D7621" s="15"/>
      <c r="E7621" s="15"/>
      <c r="F7621" s="11">
        <f t="shared" si="59"/>
      </c>
      <c r="G7621" s="22" cm="1">
        <f t="array" ref="G7621">IF(AND(Inputs!$C$60,Inputs!$C$61),INDEX(Utility_Rates!$C$29:$F$52,HOUR(C7621)+Inputs!$C$69,MATCH(INDEX(Utility_Rates!$K$6:$K$17,MONTH(C7621))&amp;IF(WEEKDAY(C7621,Inputs!$C$76)&lt;=Inputs!$C$74," weekday"," weekend"),Utility_Rates!$C$28:$F$28,Inputs!$C$68)),"")</f>
      </c>
      <c r="H7621" s="34"/>
      <c r="I7621" s="42">
        <f>IF(AND(ISNUMBER(D7621),ISNUMBER(H7621)),D7621*H7621*Inputs!$C$69,"")</f>
      </c>
      <c r="J7621" s="42">
        <f>IF(AND(ISNUMBER(F7621),ISNUMBER(H7621),F7621&gt;=Inputs!$C$68),F7621*H7621*Inputs!$C$69,"")</f>
      </c>
    </row>
    <row r="7622" spans="2:10" ht="15" customHeight="1" x14ac:dyDescent="0.2">
      <c r="B7622" s="39">
        <f t="shared" si="58"/>
      </c>
      <c r="C7622" s="40">
        <f>IF(Inputs!$C$60,Inputs!$C$11+(B7622-Inputs!$C$69)/Inputs!$C$70,"")</f>
      </c>
      <c r="D7622" s="15"/>
      <c r="E7622" s="15"/>
      <c r="F7622" s="11">
        <f t="shared" si="59"/>
      </c>
      <c r="G7622" s="22" cm="1">
        <f t="array" ref="G7622">IF(AND(Inputs!$C$60,Inputs!$C$61),INDEX(Utility_Rates!$C$29:$F$52,HOUR(C7622)+Inputs!$C$69,MATCH(INDEX(Utility_Rates!$K$6:$K$17,MONTH(C7622))&amp;IF(WEEKDAY(C7622,Inputs!$C$76)&lt;=Inputs!$C$74," weekday"," weekend"),Utility_Rates!$C$28:$F$28,Inputs!$C$68)),"")</f>
      </c>
      <c r="H7622" s="34"/>
      <c r="I7622" s="42">
        <f>IF(AND(ISNUMBER(D7622),ISNUMBER(H7622)),D7622*H7622*Inputs!$C$69,"")</f>
      </c>
      <c r="J7622" s="42">
        <f>IF(AND(ISNUMBER(F7622),ISNUMBER(H7622),F7622&gt;=Inputs!$C$68),F7622*H7622*Inputs!$C$69,"")</f>
      </c>
    </row>
    <row r="7623" spans="2:10" ht="15" customHeight="1" x14ac:dyDescent="0.2">
      <c r="B7623" s="39">
        <f t="shared" si="58"/>
      </c>
      <c r="C7623" s="40">
        <f>IF(Inputs!$C$60,Inputs!$C$11+(B7623-Inputs!$C$69)/Inputs!$C$70,"")</f>
      </c>
      <c r="D7623" s="15"/>
      <c r="E7623" s="15"/>
      <c r="F7623" s="11">
        <f t="shared" si="59"/>
      </c>
      <c r="G7623" s="22" cm="1">
        <f t="array" ref="G7623">IF(AND(Inputs!$C$60,Inputs!$C$61),INDEX(Utility_Rates!$C$29:$F$52,HOUR(C7623)+Inputs!$C$69,MATCH(INDEX(Utility_Rates!$K$6:$K$17,MONTH(C7623))&amp;IF(WEEKDAY(C7623,Inputs!$C$76)&lt;=Inputs!$C$74," weekday"," weekend"),Utility_Rates!$C$28:$F$28,Inputs!$C$68)),"")</f>
      </c>
      <c r="H7623" s="34"/>
      <c r="I7623" s="42">
        <f>IF(AND(ISNUMBER(D7623),ISNUMBER(H7623)),D7623*H7623*Inputs!$C$69,"")</f>
      </c>
      <c r="J7623" s="42">
        <f>IF(AND(ISNUMBER(F7623),ISNUMBER(H7623),F7623&gt;=Inputs!$C$68),F7623*H7623*Inputs!$C$69,"")</f>
      </c>
    </row>
    <row r="7624" spans="2:10" ht="15" customHeight="1" x14ac:dyDescent="0.2">
      <c r="B7624" s="39">
        <f t="shared" si="58"/>
      </c>
      <c r="C7624" s="40">
        <f>IF(Inputs!$C$60,Inputs!$C$11+(B7624-Inputs!$C$69)/Inputs!$C$70,"")</f>
      </c>
      <c r="D7624" s="15"/>
      <c r="E7624" s="15"/>
      <c r="F7624" s="11">
        <f t="shared" si="59"/>
      </c>
      <c r="G7624" s="22" cm="1">
        <f t="array" ref="G7624">IF(AND(Inputs!$C$60,Inputs!$C$61),INDEX(Utility_Rates!$C$29:$F$52,HOUR(C7624)+Inputs!$C$69,MATCH(INDEX(Utility_Rates!$K$6:$K$17,MONTH(C7624))&amp;IF(WEEKDAY(C7624,Inputs!$C$76)&lt;=Inputs!$C$74," weekday"," weekend"),Utility_Rates!$C$28:$F$28,Inputs!$C$68)),"")</f>
      </c>
      <c r="H7624" s="34"/>
      <c r="I7624" s="42">
        <f>IF(AND(ISNUMBER(D7624),ISNUMBER(H7624)),D7624*H7624*Inputs!$C$69,"")</f>
      </c>
      <c r="J7624" s="42">
        <f>IF(AND(ISNUMBER(F7624),ISNUMBER(H7624),F7624&gt;=Inputs!$C$68),F7624*H7624*Inputs!$C$69,"")</f>
      </c>
    </row>
    <row r="7625" spans="2:10" ht="15" customHeight="1" x14ac:dyDescent="0.2">
      <c r="B7625" s="39">
        <f t="shared" si="58"/>
      </c>
      <c r="C7625" s="40">
        <f>IF(Inputs!$C$60,Inputs!$C$11+(B7625-Inputs!$C$69)/Inputs!$C$70,"")</f>
      </c>
      <c r="D7625" s="15"/>
      <c r="E7625" s="15"/>
      <c r="F7625" s="11">
        <f t="shared" si="59"/>
      </c>
      <c r="G7625" s="22" cm="1">
        <f t="array" ref="G7625">IF(AND(Inputs!$C$60,Inputs!$C$61),INDEX(Utility_Rates!$C$29:$F$52,HOUR(C7625)+Inputs!$C$69,MATCH(INDEX(Utility_Rates!$K$6:$K$17,MONTH(C7625))&amp;IF(WEEKDAY(C7625,Inputs!$C$76)&lt;=Inputs!$C$74," weekday"," weekend"),Utility_Rates!$C$28:$F$28,Inputs!$C$68)),"")</f>
      </c>
      <c r="H7625" s="34"/>
      <c r="I7625" s="42">
        <f>IF(AND(ISNUMBER(D7625),ISNUMBER(H7625)),D7625*H7625*Inputs!$C$69,"")</f>
      </c>
      <c r="J7625" s="42">
        <f>IF(AND(ISNUMBER(F7625),ISNUMBER(H7625),F7625&gt;=Inputs!$C$68),F7625*H7625*Inputs!$C$69,"")</f>
      </c>
    </row>
    <row r="7626" spans="2:10" ht="15" customHeight="1" x14ac:dyDescent="0.2">
      <c r="B7626" s="39">
        <f t="shared" si="58"/>
      </c>
      <c r="C7626" s="40">
        <f>IF(Inputs!$C$60,Inputs!$C$11+(B7626-Inputs!$C$69)/Inputs!$C$70,"")</f>
      </c>
      <c r="D7626" s="15"/>
      <c r="E7626" s="15"/>
      <c r="F7626" s="11">
        <f t="shared" si="59"/>
      </c>
      <c r="G7626" s="22" cm="1">
        <f t="array" ref="G7626">IF(AND(Inputs!$C$60,Inputs!$C$61),INDEX(Utility_Rates!$C$29:$F$52,HOUR(C7626)+Inputs!$C$69,MATCH(INDEX(Utility_Rates!$K$6:$K$17,MONTH(C7626))&amp;IF(WEEKDAY(C7626,Inputs!$C$76)&lt;=Inputs!$C$74," weekday"," weekend"),Utility_Rates!$C$28:$F$28,Inputs!$C$68)),"")</f>
      </c>
      <c r="H7626" s="34"/>
      <c r="I7626" s="42">
        <f>IF(AND(ISNUMBER(D7626),ISNUMBER(H7626)),D7626*H7626*Inputs!$C$69,"")</f>
      </c>
      <c r="J7626" s="42">
        <f>IF(AND(ISNUMBER(F7626),ISNUMBER(H7626),F7626&gt;=Inputs!$C$68),F7626*H7626*Inputs!$C$69,"")</f>
      </c>
    </row>
    <row r="7627" spans="2:10" ht="15" customHeight="1" x14ac:dyDescent="0.2">
      <c r="B7627" s="39">
        <f t="shared" si="58"/>
      </c>
      <c r="C7627" s="40">
        <f>IF(Inputs!$C$60,Inputs!$C$11+(B7627-Inputs!$C$69)/Inputs!$C$70,"")</f>
      </c>
      <c r="D7627" s="15"/>
      <c r="E7627" s="15"/>
      <c r="F7627" s="11">
        <f t="shared" si="59"/>
      </c>
      <c r="G7627" s="22" cm="1">
        <f t="array" ref="G7627">IF(AND(Inputs!$C$60,Inputs!$C$61),INDEX(Utility_Rates!$C$29:$F$52,HOUR(C7627)+Inputs!$C$69,MATCH(INDEX(Utility_Rates!$K$6:$K$17,MONTH(C7627))&amp;IF(WEEKDAY(C7627,Inputs!$C$76)&lt;=Inputs!$C$74," weekday"," weekend"),Utility_Rates!$C$28:$F$28,Inputs!$C$68)),"")</f>
      </c>
      <c r="H7627" s="34"/>
      <c r="I7627" s="42">
        <f>IF(AND(ISNUMBER(D7627),ISNUMBER(H7627)),D7627*H7627*Inputs!$C$69,"")</f>
      </c>
      <c r="J7627" s="42">
        <f>IF(AND(ISNUMBER(F7627),ISNUMBER(H7627),F7627&gt;=Inputs!$C$68),F7627*H7627*Inputs!$C$69,"")</f>
      </c>
    </row>
    <row r="7628" spans="2:10" ht="15" customHeight="1" x14ac:dyDescent="0.2">
      <c r="B7628" s="39">
        <f t="shared" si="58"/>
      </c>
      <c r="C7628" s="40">
        <f>IF(Inputs!$C$60,Inputs!$C$11+(B7628-Inputs!$C$69)/Inputs!$C$70,"")</f>
      </c>
      <c r="D7628" s="15"/>
      <c r="E7628" s="15"/>
      <c r="F7628" s="11">
        <f t="shared" si="59"/>
      </c>
      <c r="G7628" s="22" cm="1">
        <f t="array" ref="G7628">IF(AND(Inputs!$C$60,Inputs!$C$61),INDEX(Utility_Rates!$C$29:$F$52,HOUR(C7628)+Inputs!$C$69,MATCH(INDEX(Utility_Rates!$K$6:$K$17,MONTH(C7628))&amp;IF(WEEKDAY(C7628,Inputs!$C$76)&lt;=Inputs!$C$74," weekday"," weekend"),Utility_Rates!$C$28:$F$28,Inputs!$C$68)),"")</f>
      </c>
      <c r="H7628" s="34"/>
      <c r="I7628" s="42">
        <f>IF(AND(ISNUMBER(D7628),ISNUMBER(H7628)),D7628*H7628*Inputs!$C$69,"")</f>
      </c>
      <c r="J7628" s="42">
        <f>IF(AND(ISNUMBER(F7628),ISNUMBER(H7628),F7628&gt;=Inputs!$C$68),F7628*H7628*Inputs!$C$69,"")</f>
      </c>
    </row>
    <row r="7629" spans="2:10" ht="15" customHeight="1" x14ac:dyDescent="0.2">
      <c r="B7629" s="39">
        <f t="shared" si="58"/>
      </c>
      <c r="C7629" s="40">
        <f>IF(Inputs!$C$60,Inputs!$C$11+(B7629-Inputs!$C$69)/Inputs!$C$70,"")</f>
      </c>
      <c r="D7629" s="15"/>
      <c r="E7629" s="15"/>
      <c r="F7629" s="11">
        <f t="shared" si="59"/>
      </c>
      <c r="G7629" s="22" cm="1">
        <f t="array" ref="G7629">IF(AND(Inputs!$C$60,Inputs!$C$61),INDEX(Utility_Rates!$C$29:$F$52,HOUR(C7629)+Inputs!$C$69,MATCH(INDEX(Utility_Rates!$K$6:$K$17,MONTH(C7629))&amp;IF(WEEKDAY(C7629,Inputs!$C$76)&lt;=Inputs!$C$74," weekday"," weekend"),Utility_Rates!$C$28:$F$28,Inputs!$C$68)),"")</f>
      </c>
      <c r="H7629" s="34"/>
      <c r="I7629" s="42">
        <f>IF(AND(ISNUMBER(D7629),ISNUMBER(H7629)),D7629*H7629*Inputs!$C$69,"")</f>
      </c>
      <c r="J7629" s="42">
        <f>IF(AND(ISNUMBER(F7629),ISNUMBER(H7629),F7629&gt;=Inputs!$C$68),F7629*H7629*Inputs!$C$69,"")</f>
      </c>
    </row>
    <row r="7630" spans="2:10" ht="15" customHeight="1" x14ac:dyDescent="0.2">
      <c r="B7630" s="39">
        <f t="shared" si="58"/>
      </c>
      <c r="C7630" s="40">
        <f>IF(Inputs!$C$60,Inputs!$C$11+(B7630-Inputs!$C$69)/Inputs!$C$70,"")</f>
      </c>
      <c r="D7630" s="15"/>
      <c r="E7630" s="15"/>
      <c r="F7630" s="11">
        <f t="shared" si="59"/>
      </c>
      <c r="G7630" s="22" cm="1">
        <f t="array" ref="G7630">IF(AND(Inputs!$C$60,Inputs!$C$61),INDEX(Utility_Rates!$C$29:$F$52,HOUR(C7630)+Inputs!$C$69,MATCH(INDEX(Utility_Rates!$K$6:$K$17,MONTH(C7630))&amp;IF(WEEKDAY(C7630,Inputs!$C$76)&lt;=Inputs!$C$74," weekday"," weekend"),Utility_Rates!$C$28:$F$28,Inputs!$C$68)),"")</f>
      </c>
      <c r="H7630" s="34"/>
      <c r="I7630" s="42">
        <f>IF(AND(ISNUMBER(D7630),ISNUMBER(H7630)),D7630*H7630*Inputs!$C$69,"")</f>
      </c>
      <c r="J7630" s="42">
        <f>IF(AND(ISNUMBER(F7630),ISNUMBER(H7630),F7630&gt;=Inputs!$C$68),F7630*H7630*Inputs!$C$69,"")</f>
      </c>
    </row>
    <row r="7631" spans="2:10" ht="15" customHeight="1" x14ac:dyDescent="0.2">
      <c r="B7631" s="39">
        <f t="shared" si="58"/>
      </c>
      <c r="C7631" s="40">
        <f>IF(Inputs!$C$60,Inputs!$C$11+(B7631-Inputs!$C$69)/Inputs!$C$70,"")</f>
      </c>
      <c r="D7631" s="15"/>
      <c r="E7631" s="15"/>
      <c r="F7631" s="11">
        <f t="shared" si="59"/>
      </c>
      <c r="G7631" s="22" cm="1">
        <f t="array" ref="G7631">IF(AND(Inputs!$C$60,Inputs!$C$61),INDEX(Utility_Rates!$C$29:$F$52,HOUR(C7631)+Inputs!$C$69,MATCH(INDEX(Utility_Rates!$K$6:$K$17,MONTH(C7631))&amp;IF(WEEKDAY(C7631,Inputs!$C$76)&lt;=Inputs!$C$74," weekday"," weekend"),Utility_Rates!$C$28:$F$28,Inputs!$C$68)),"")</f>
      </c>
      <c r="H7631" s="34"/>
      <c r="I7631" s="42">
        <f>IF(AND(ISNUMBER(D7631),ISNUMBER(H7631)),D7631*H7631*Inputs!$C$69,"")</f>
      </c>
      <c r="J7631" s="42">
        <f>IF(AND(ISNUMBER(F7631),ISNUMBER(H7631),F7631&gt;=Inputs!$C$68),F7631*H7631*Inputs!$C$69,"")</f>
      </c>
    </row>
    <row r="7632" spans="2:10" ht="15" customHeight="1" x14ac:dyDescent="0.2">
      <c r="B7632" s="39">
        <f t="shared" si="58"/>
      </c>
      <c r="C7632" s="40">
        <f>IF(Inputs!$C$60,Inputs!$C$11+(B7632-Inputs!$C$69)/Inputs!$C$70,"")</f>
      </c>
      <c r="D7632" s="15"/>
      <c r="E7632" s="15"/>
      <c r="F7632" s="11">
        <f t="shared" si="59"/>
      </c>
      <c r="G7632" s="22" cm="1">
        <f t="array" ref="G7632">IF(AND(Inputs!$C$60,Inputs!$C$61),INDEX(Utility_Rates!$C$29:$F$52,HOUR(C7632)+Inputs!$C$69,MATCH(INDEX(Utility_Rates!$K$6:$K$17,MONTH(C7632))&amp;IF(WEEKDAY(C7632,Inputs!$C$76)&lt;=Inputs!$C$74," weekday"," weekend"),Utility_Rates!$C$28:$F$28,Inputs!$C$68)),"")</f>
      </c>
      <c r="H7632" s="34"/>
      <c r="I7632" s="42">
        <f>IF(AND(ISNUMBER(D7632),ISNUMBER(H7632)),D7632*H7632*Inputs!$C$69,"")</f>
      </c>
      <c r="J7632" s="42">
        <f>IF(AND(ISNUMBER(F7632),ISNUMBER(H7632),F7632&gt;=Inputs!$C$68),F7632*H7632*Inputs!$C$69,"")</f>
      </c>
    </row>
    <row r="7633" spans="2:10" ht="15" customHeight="1" x14ac:dyDescent="0.2">
      <c r="B7633" s="39">
        <f t="shared" si="58"/>
      </c>
      <c r="C7633" s="40">
        <f>IF(Inputs!$C$60,Inputs!$C$11+(B7633-Inputs!$C$69)/Inputs!$C$70,"")</f>
      </c>
      <c r="D7633" s="15"/>
      <c r="E7633" s="15"/>
      <c r="F7633" s="11">
        <f t="shared" si="59"/>
      </c>
      <c r="G7633" s="22" cm="1">
        <f t="array" ref="G7633">IF(AND(Inputs!$C$60,Inputs!$C$61),INDEX(Utility_Rates!$C$29:$F$52,HOUR(C7633)+Inputs!$C$69,MATCH(INDEX(Utility_Rates!$K$6:$K$17,MONTH(C7633))&amp;IF(WEEKDAY(C7633,Inputs!$C$76)&lt;=Inputs!$C$74," weekday"," weekend"),Utility_Rates!$C$28:$F$28,Inputs!$C$68)),"")</f>
      </c>
      <c r="H7633" s="34"/>
      <c r="I7633" s="42">
        <f>IF(AND(ISNUMBER(D7633),ISNUMBER(H7633)),D7633*H7633*Inputs!$C$69,"")</f>
      </c>
      <c r="J7633" s="42">
        <f>IF(AND(ISNUMBER(F7633),ISNUMBER(H7633),F7633&gt;=Inputs!$C$68),F7633*H7633*Inputs!$C$69,"")</f>
      </c>
    </row>
    <row r="7634" spans="2:10" ht="15" customHeight="1" x14ac:dyDescent="0.2">
      <c r="B7634" s="39">
        <f t="shared" si="58"/>
      </c>
      <c r="C7634" s="40">
        <f>IF(Inputs!$C$60,Inputs!$C$11+(B7634-Inputs!$C$69)/Inputs!$C$70,"")</f>
      </c>
      <c r="D7634" s="15"/>
      <c r="E7634" s="15"/>
      <c r="F7634" s="11">
        <f t="shared" si="59"/>
      </c>
      <c r="G7634" s="22" cm="1">
        <f t="array" ref="G7634">IF(AND(Inputs!$C$60,Inputs!$C$61),INDEX(Utility_Rates!$C$29:$F$52,HOUR(C7634)+Inputs!$C$69,MATCH(INDEX(Utility_Rates!$K$6:$K$17,MONTH(C7634))&amp;IF(WEEKDAY(C7634,Inputs!$C$76)&lt;=Inputs!$C$74," weekday"," weekend"),Utility_Rates!$C$28:$F$28,Inputs!$C$68)),"")</f>
      </c>
      <c r="H7634" s="34"/>
      <c r="I7634" s="42">
        <f>IF(AND(ISNUMBER(D7634),ISNUMBER(H7634)),D7634*H7634*Inputs!$C$69,"")</f>
      </c>
      <c r="J7634" s="42">
        <f>IF(AND(ISNUMBER(F7634),ISNUMBER(H7634),F7634&gt;=Inputs!$C$68),F7634*H7634*Inputs!$C$69,"")</f>
      </c>
    </row>
    <row r="7635" spans="2:10" ht="15" customHeight="1" x14ac:dyDescent="0.2">
      <c r="B7635" s="39">
        <f t="shared" si="58"/>
      </c>
      <c r="C7635" s="40">
        <f>IF(Inputs!$C$60,Inputs!$C$11+(B7635-Inputs!$C$69)/Inputs!$C$70,"")</f>
      </c>
      <c r="D7635" s="15"/>
      <c r="E7635" s="15"/>
      <c r="F7635" s="11">
        <f t="shared" si="59"/>
      </c>
      <c r="G7635" s="22" cm="1">
        <f t="array" ref="G7635">IF(AND(Inputs!$C$60,Inputs!$C$61),INDEX(Utility_Rates!$C$29:$F$52,HOUR(C7635)+Inputs!$C$69,MATCH(INDEX(Utility_Rates!$K$6:$K$17,MONTH(C7635))&amp;IF(WEEKDAY(C7635,Inputs!$C$76)&lt;=Inputs!$C$74," weekday"," weekend"),Utility_Rates!$C$28:$F$28,Inputs!$C$68)),"")</f>
      </c>
      <c r="H7635" s="34"/>
      <c r="I7635" s="42">
        <f>IF(AND(ISNUMBER(D7635),ISNUMBER(H7635)),D7635*H7635*Inputs!$C$69,"")</f>
      </c>
      <c r="J7635" s="42">
        <f>IF(AND(ISNUMBER(F7635),ISNUMBER(H7635),F7635&gt;=Inputs!$C$68),F7635*H7635*Inputs!$C$69,"")</f>
      </c>
    </row>
    <row r="7636" spans="2:10" ht="15" customHeight="1" x14ac:dyDescent="0.2">
      <c r="B7636" s="39">
        <f t="shared" si="58"/>
      </c>
      <c r="C7636" s="40">
        <f>IF(Inputs!$C$60,Inputs!$C$11+(B7636-Inputs!$C$69)/Inputs!$C$70,"")</f>
      </c>
      <c r="D7636" s="15"/>
      <c r="E7636" s="15"/>
      <c r="F7636" s="11">
        <f t="shared" si="59"/>
      </c>
      <c r="G7636" s="22" cm="1">
        <f t="array" ref="G7636">IF(AND(Inputs!$C$60,Inputs!$C$61),INDEX(Utility_Rates!$C$29:$F$52,HOUR(C7636)+Inputs!$C$69,MATCH(INDEX(Utility_Rates!$K$6:$K$17,MONTH(C7636))&amp;IF(WEEKDAY(C7636,Inputs!$C$76)&lt;=Inputs!$C$74," weekday"," weekend"),Utility_Rates!$C$28:$F$28,Inputs!$C$68)),"")</f>
      </c>
      <c r="H7636" s="34"/>
      <c r="I7636" s="42">
        <f>IF(AND(ISNUMBER(D7636),ISNUMBER(H7636)),D7636*H7636*Inputs!$C$69,"")</f>
      </c>
      <c r="J7636" s="42">
        <f>IF(AND(ISNUMBER(F7636),ISNUMBER(H7636),F7636&gt;=Inputs!$C$68),F7636*H7636*Inputs!$C$69,"")</f>
      </c>
    </row>
    <row r="7637" spans="2:10" ht="15" customHeight="1" x14ac:dyDescent="0.2">
      <c r="B7637" s="39">
        <f t="shared" si="58"/>
      </c>
      <c r="C7637" s="40">
        <f>IF(Inputs!$C$60,Inputs!$C$11+(B7637-Inputs!$C$69)/Inputs!$C$70,"")</f>
      </c>
      <c r="D7637" s="15"/>
      <c r="E7637" s="15"/>
      <c r="F7637" s="11">
        <f t="shared" si="59"/>
      </c>
      <c r="G7637" s="22" cm="1">
        <f t="array" ref="G7637">IF(AND(Inputs!$C$60,Inputs!$C$61),INDEX(Utility_Rates!$C$29:$F$52,HOUR(C7637)+Inputs!$C$69,MATCH(INDEX(Utility_Rates!$K$6:$K$17,MONTH(C7637))&amp;IF(WEEKDAY(C7637,Inputs!$C$76)&lt;=Inputs!$C$74," weekday"," weekend"),Utility_Rates!$C$28:$F$28,Inputs!$C$68)),"")</f>
      </c>
      <c r="H7637" s="34"/>
      <c r="I7637" s="42">
        <f>IF(AND(ISNUMBER(D7637),ISNUMBER(H7637)),D7637*H7637*Inputs!$C$69,"")</f>
      </c>
      <c r="J7637" s="42">
        <f>IF(AND(ISNUMBER(F7637),ISNUMBER(H7637),F7637&gt;=Inputs!$C$68),F7637*H7637*Inputs!$C$69,"")</f>
      </c>
    </row>
    <row r="7638" spans="2:10" ht="15" customHeight="1" x14ac:dyDescent="0.2">
      <c r="B7638" s="39">
        <f t="shared" si="58"/>
      </c>
      <c r="C7638" s="40">
        <f>IF(Inputs!$C$60,Inputs!$C$11+(B7638-Inputs!$C$69)/Inputs!$C$70,"")</f>
      </c>
      <c r="D7638" s="15"/>
      <c r="E7638" s="15"/>
      <c r="F7638" s="11">
        <f t="shared" si="59"/>
      </c>
      <c r="G7638" s="22" cm="1">
        <f t="array" ref="G7638">IF(AND(Inputs!$C$60,Inputs!$C$61),INDEX(Utility_Rates!$C$29:$F$52,HOUR(C7638)+Inputs!$C$69,MATCH(INDEX(Utility_Rates!$K$6:$K$17,MONTH(C7638))&amp;IF(WEEKDAY(C7638,Inputs!$C$76)&lt;=Inputs!$C$74," weekday"," weekend"),Utility_Rates!$C$28:$F$28,Inputs!$C$68)),"")</f>
      </c>
      <c r="H7638" s="34"/>
      <c r="I7638" s="42">
        <f>IF(AND(ISNUMBER(D7638),ISNUMBER(H7638)),D7638*H7638*Inputs!$C$69,"")</f>
      </c>
      <c r="J7638" s="42">
        <f>IF(AND(ISNUMBER(F7638),ISNUMBER(H7638),F7638&gt;=Inputs!$C$68),F7638*H7638*Inputs!$C$69,"")</f>
      </c>
    </row>
    <row r="7639" spans="2:10" ht="15" customHeight="1" x14ac:dyDescent="0.2">
      <c r="B7639" s="39">
        <f t="shared" si="58"/>
      </c>
      <c r="C7639" s="40">
        <f>IF(Inputs!$C$60,Inputs!$C$11+(B7639-Inputs!$C$69)/Inputs!$C$70,"")</f>
      </c>
      <c r="D7639" s="15"/>
      <c r="E7639" s="15"/>
      <c r="F7639" s="11">
        <f t="shared" si="59"/>
      </c>
      <c r="G7639" s="22" cm="1">
        <f t="array" ref="G7639">IF(AND(Inputs!$C$60,Inputs!$C$61),INDEX(Utility_Rates!$C$29:$F$52,HOUR(C7639)+Inputs!$C$69,MATCH(INDEX(Utility_Rates!$K$6:$K$17,MONTH(C7639))&amp;IF(WEEKDAY(C7639,Inputs!$C$76)&lt;=Inputs!$C$74," weekday"," weekend"),Utility_Rates!$C$28:$F$28,Inputs!$C$68)),"")</f>
      </c>
      <c r="H7639" s="34"/>
      <c r="I7639" s="42">
        <f>IF(AND(ISNUMBER(D7639),ISNUMBER(H7639)),D7639*H7639*Inputs!$C$69,"")</f>
      </c>
      <c r="J7639" s="42">
        <f>IF(AND(ISNUMBER(F7639),ISNUMBER(H7639),F7639&gt;=Inputs!$C$68),F7639*H7639*Inputs!$C$69,"")</f>
      </c>
    </row>
    <row r="7640" spans="2:10" ht="15" customHeight="1" x14ac:dyDescent="0.2">
      <c r="B7640" s="39">
        <f t="shared" si="58"/>
      </c>
      <c r="C7640" s="40">
        <f>IF(Inputs!$C$60,Inputs!$C$11+(B7640-Inputs!$C$69)/Inputs!$C$70,"")</f>
      </c>
      <c r="D7640" s="15"/>
      <c r="E7640" s="15"/>
      <c r="F7640" s="11">
        <f t="shared" si="59"/>
      </c>
      <c r="G7640" s="22" cm="1">
        <f t="array" ref="G7640">IF(AND(Inputs!$C$60,Inputs!$C$61),INDEX(Utility_Rates!$C$29:$F$52,HOUR(C7640)+Inputs!$C$69,MATCH(INDEX(Utility_Rates!$K$6:$K$17,MONTH(C7640))&amp;IF(WEEKDAY(C7640,Inputs!$C$76)&lt;=Inputs!$C$74," weekday"," weekend"),Utility_Rates!$C$28:$F$28,Inputs!$C$68)),"")</f>
      </c>
      <c r="H7640" s="34"/>
      <c r="I7640" s="42">
        <f>IF(AND(ISNUMBER(D7640),ISNUMBER(H7640)),D7640*H7640*Inputs!$C$69,"")</f>
      </c>
      <c r="J7640" s="42">
        <f>IF(AND(ISNUMBER(F7640),ISNUMBER(H7640),F7640&gt;=Inputs!$C$68),F7640*H7640*Inputs!$C$69,"")</f>
      </c>
    </row>
    <row r="7641" spans="2:10" ht="15" customHeight="1" x14ac:dyDescent="0.2">
      <c r="B7641" s="39">
        <f t="shared" si="58"/>
      </c>
      <c r="C7641" s="40">
        <f>IF(Inputs!$C$60,Inputs!$C$11+(B7641-Inputs!$C$69)/Inputs!$C$70,"")</f>
      </c>
      <c r="D7641" s="15"/>
      <c r="E7641" s="15"/>
      <c r="F7641" s="11">
        <f t="shared" si="59"/>
      </c>
      <c r="G7641" s="22" cm="1">
        <f t="array" ref="G7641">IF(AND(Inputs!$C$60,Inputs!$C$61),INDEX(Utility_Rates!$C$29:$F$52,HOUR(C7641)+Inputs!$C$69,MATCH(INDEX(Utility_Rates!$K$6:$K$17,MONTH(C7641))&amp;IF(WEEKDAY(C7641,Inputs!$C$76)&lt;=Inputs!$C$74," weekday"," weekend"),Utility_Rates!$C$28:$F$28,Inputs!$C$68)),"")</f>
      </c>
      <c r="H7641" s="34"/>
      <c r="I7641" s="42">
        <f>IF(AND(ISNUMBER(D7641),ISNUMBER(H7641)),D7641*H7641*Inputs!$C$69,"")</f>
      </c>
      <c r="J7641" s="42">
        <f>IF(AND(ISNUMBER(F7641),ISNUMBER(H7641),F7641&gt;=Inputs!$C$68),F7641*H7641*Inputs!$C$69,"")</f>
      </c>
    </row>
    <row r="7642" spans="2:10" ht="15" customHeight="1" x14ac:dyDescent="0.2">
      <c r="B7642" s="39">
        <f t="shared" si="58"/>
      </c>
      <c r="C7642" s="40">
        <f>IF(Inputs!$C$60,Inputs!$C$11+(B7642-Inputs!$C$69)/Inputs!$C$70,"")</f>
      </c>
      <c r="D7642" s="15"/>
      <c r="E7642" s="15"/>
      <c r="F7642" s="11">
        <f t="shared" si="59"/>
      </c>
      <c r="G7642" s="22" cm="1">
        <f t="array" ref="G7642">IF(AND(Inputs!$C$60,Inputs!$C$61),INDEX(Utility_Rates!$C$29:$F$52,HOUR(C7642)+Inputs!$C$69,MATCH(INDEX(Utility_Rates!$K$6:$K$17,MONTH(C7642))&amp;IF(WEEKDAY(C7642,Inputs!$C$76)&lt;=Inputs!$C$74," weekday"," weekend"),Utility_Rates!$C$28:$F$28,Inputs!$C$68)),"")</f>
      </c>
      <c r="H7642" s="34"/>
      <c r="I7642" s="42">
        <f>IF(AND(ISNUMBER(D7642),ISNUMBER(H7642)),D7642*H7642*Inputs!$C$69,"")</f>
      </c>
      <c r="J7642" s="42">
        <f>IF(AND(ISNUMBER(F7642),ISNUMBER(H7642),F7642&gt;=Inputs!$C$68),F7642*H7642*Inputs!$C$69,"")</f>
      </c>
    </row>
    <row r="7643" spans="2:10" ht="15" customHeight="1" x14ac:dyDescent="0.2">
      <c r="B7643" s="39">
        <f t="shared" si="58"/>
      </c>
      <c r="C7643" s="40">
        <f>IF(Inputs!$C$60,Inputs!$C$11+(B7643-Inputs!$C$69)/Inputs!$C$70,"")</f>
      </c>
      <c r="D7643" s="15"/>
      <c r="E7643" s="15"/>
      <c r="F7643" s="11">
        <f t="shared" si="59"/>
      </c>
      <c r="G7643" s="22" cm="1">
        <f t="array" ref="G7643">IF(AND(Inputs!$C$60,Inputs!$C$61),INDEX(Utility_Rates!$C$29:$F$52,HOUR(C7643)+Inputs!$C$69,MATCH(INDEX(Utility_Rates!$K$6:$K$17,MONTH(C7643))&amp;IF(WEEKDAY(C7643,Inputs!$C$76)&lt;=Inputs!$C$74," weekday"," weekend"),Utility_Rates!$C$28:$F$28,Inputs!$C$68)),"")</f>
      </c>
      <c r="H7643" s="34"/>
      <c r="I7643" s="42">
        <f>IF(AND(ISNUMBER(D7643),ISNUMBER(H7643)),D7643*H7643*Inputs!$C$69,"")</f>
      </c>
      <c r="J7643" s="42">
        <f>IF(AND(ISNUMBER(F7643),ISNUMBER(H7643),F7643&gt;=Inputs!$C$68),F7643*H7643*Inputs!$C$69,"")</f>
      </c>
    </row>
    <row r="7644" spans="2:10" ht="15" customHeight="1" x14ac:dyDescent="0.2">
      <c r="B7644" s="39">
        <f t="shared" si="58"/>
      </c>
      <c r="C7644" s="40">
        <f>IF(Inputs!$C$60,Inputs!$C$11+(B7644-Inputs!$C$69)/Inputs!$C$70,"")</f>
      </c>
      <c r="D7644" s="15"/>
      <c r="E7644" s="15"/>
      <c r="F7644" s="11">
        <f t="shared" si="59"/>
      </c>
      <c r="G7644" s="22" cm="1">
        <f t="array" ref="G7644">IF(AND(Inputs!$C$60,Inputs!$C$61),INDEX(Utility_Rates!$C$29:$F$52,HOUR(C7644)+Inputs!$C$69,MATCH(INDEX(Utility_Rates!$K$6:$K$17,MONTH(C7644))&amp;IF(WEEKDAY(C7644,Inputs!$C$76)&lt;=Inputs!$C$74," weekday"," weekend"),Utility_Rates!$C$28:$F$28,Inputs!$C$68)),"")</f>
      </c>
      <c r="H7644" s="34"/>
      <c r="I7644" s="42">
        <f>IF(AND(ISNUMBER(D7644),ISNUMBER(H7644)),D7644*H7644*Inputs!$C$69,"")</f>
      </c>
      <c r="J7644" s="42">
        <f>IF(AND(ISNUMBER(F7644),ISNUMBER(H7644),F7644&gt;=Inputs!$C$68),F7644*H7644*Inputs!$C$69,"")</f>
      </c>
    </row>
    <row r="7645" spans="2:10" ht="15" customHeight="1" x14ac:dyDescent="0.2">
      <c r="B7645" s="39">
        <f t="shared" si="58"/>
      </c>
      <c r="C7645" s="40">
        <f>IF(Inputs!$C$60,Inputs!$C$11+(B7645-Inputs!$C$69)/Inputs!$C$70,"")</f>
      </c>
      <c r="D7645" s="15"/>
      <c r="E7645" s="15"/>
      <c r="F7645" s="11">
        <f t="shared" si="59"/>
      </c>
      <c r="G7645" s="22" cm="1">
        <f t="array" ref="G7645">IF(AND(Inputs!$C$60,Inputs!$C$61),INDEX(Utility_Rates!$C$29:$F$52,HOUR(C7645)+Inputs!$C$69,MATCH(INDEX(Utility_Rates!$K$6:$K$17,MONTH(C7645))&amp;IF(WEEKDAY(C7645,Inputs!$C$76)&lt;=Inputs!$C$74," weekday"," weekend"),Utility_Rates!$C$28:$F$28,Inputs!$C$68)),"")</f>
      </c>
      <c r="H7645" s="34"/>
      <c r="I7645" s="42">
        <f>IF(AND(ISNUMBER(D7645),ISNUMBER(H7645)),D7645*H7645*Inputs!$C$69,"")</f>
      </c>
      <c r="J7645" s="42">
        <f>IF(AND(ISNUMBER(F7645),ISNUMBER(H7645),F7645&gt;=Inputs!$C$68),F7645*H7645*Inputs!$C$69,"")</f>
      </c>
    </row>
    <row r="7646" spans="2:10" ht="15" customHeight="1" x14ac:dyDescent="0.2">
      <c r="B7646" s="39">
        <f t="shared" si="58"/>
      </c>
      <c r="C7646" s="40">
        <f>IF(Inputs!$C$60,Inputs!$C$11+(B7646-Inputs!$C$69)/Inputs!$C$70,"")</f>
      </c>
      <c r="D7646" s="15"/>
      <c r="E7646" s="15"/>
      <c r="F7646" s="11">
        <f t="shared" si="59"/>
      </c>
      <c r="G7646" s="22" cm="1">
        <f t="array" ref="G7646">IF(AND(Inputs!$C$60,Inputs!$C$61),INDEX(Utility_Rates!$C$29:$F$52,HOUR(C7646)+Inputs!$C$69,MATCH(INDEX(Utility_Rates!$K$6:$K$17,MONTH(C7646))&amp;IF(WEEKDAY(C7646,Inputs!$C$76)&lt;=Inputs!$C$74," weekday"," weekend"),Utility_Rates!$C$28:$F$28,Inputs!$C$68)),"")</f>
      </c>
      <c r="H7646" s="34"/>
      <c r="I7646" s="42">
        <f>IF(AND(ISNUMBER(D7646),ISNUMBER(H7646)),D7646*H7646*Inputs!$C$69,"")</f>
      </c>
      <c r="J7646" s="42">
        <f>IF(AND(ISNUMBER(F7646),ISNUMBER(H7646),F7646&gt;=Inputs!$C$68),F7646*H7646*Inputs!$C$69,"")</f>
      </c>
    </row>
    <row r="7647" spans="2:10" ht="15" customHeight="1" x14ac:dyDescent="0.2">
      <c r="B7647" s="39">
        <f t="shared" si="58"/>
      </c>
      <c r="C7647" s="40">
        <f>IF(Inputs!$C$60,Inputs!$C$11+(B7647-Inputs!$C$69)/Inputs!$C$70,"")</f>
      </c>
      <c r="D7647" s="15"/>
      <c r="E7647" s="15"/>
      <c r="F7647" s="11">
        <f t="shared" si="59"/>
      </c>
      <c r="G7647" s="22" cm="1">
        <f t="array" ref="G7647">IF(AND(Inputs!$C$60,Inputs!$C$61),INDEX(Utility_Rates!$C$29:$F$52,HOUR(C7647)+Inputs!$C$69,MATCH(INDEX(Utility_Rates!$K$6:$K$17,MONTH(C7647))&amp;IF(WEEKDAY(C7647,Inputs!$C$76)&lt;=Inputs!$C$74," weekday"," weekend"),Utility_Rates!$C$28:$F$28,Inputs!$C$68)),"")</f>
      </c>
      <c r="H7647" s="34"/>
      <c r="I7647" s="42">
        <f>IF(AND(ISNUMBER(D7647),ISNUMBER(H7647)),D7647*H7647*Inputs!$C$69,"")</f>
      </c>
      <c r="J7647" s="42">
        <f>IF(AND(ISNUMBER(F7647),ISNUMBER(H7647),F7647&gt;=Inputs!$C$68),F7647*H7647*Inputs!$C$69,"")</f>
      </c>
    </row>
    <row r="7648" spans="2:10" ht="15" customHeight="1" x14ac:dyDescent="0.2">
      <c r="B7648" s="39">
        <f t="shared" si="58"/>
      </c>
      <c r="C7648" s="40">
        <f>IF(Inputs!$C$60,Inputs!$C$11+(B7648-Inputs!$C$69)/Inputs!$C$70,"")</f>
      </c>
      <c r="D7648" s="15"/>
      <c r="E7648" s="15"/>
      <c r="F7648" s="11">
        <f t="shared" si="59"/>
      </c>
      <c r="G7648" s="22" cm="1">
        <f t="array" ref="G7648">IF(AND(Inputs!$C$60,Inputs!$C$61),INDEX(Utility_Rates!$C$29:$F$52,HOUR(C7648)+Inputs!$C$69,MATCH(INDEX(Utility_Rates!$K$6:$K$17,MONTH(C7648))&amp;IF(WEEKDAY(C7648,Inputs!$C$76)&lt;=Inputs!$C$74," weekday"," weekend"),Utility_Rates!$C$28:$F$28,Inputs!$C$68)),"")</f>
      </c>
      <c r="H7648" s="34"/>
      <c r="I7648" s="42">
        <f>IF(AND(ISNUMBER(D7648),ISNUMBER(H7648)),D7648*H7648*Inputs!$C$69,"")</f>
      </c>
      <c r="J7648" s="42">
        <f>IF(AND(ISNUMBER(F7648),ISNUMBER(H7648),F7648&gt;=Inputs!$C$68),F7648*H7648*Inputs!$C$69,"")</f>
      </c>
    </row>
    <row r="7649" spans="2:10" ht="15" customHeight="1" x14ac:dyDescent="0.2">
      <c r="B7649" s="39">
        <f t="shared" si="58"/>
      </c>
      <c r="C7649" s="40">
        <f>IF(Inputs!$C$60,Inputs!$C$11+(B7649-Inputs!$C$69)/Inputs!$C$70,"")</f>
      </c>
      <c r="D7649" s="15"/>
      <c r="E7649" s="15"/>
      <c r="F7649" s="11">
        <f t="shared" si="59"/>
      </c>
      <c r="G7649" s="22" cm="1">
        <f t="array" ref="G7649">IF(AND(Inputs!$C$60,Inputs!$C$61),INDEX(Utility_Rates!$C$29:$F$52,HOUR(C7649)+Inputs!$C$69,MATCH(INDEX(Utility_Rates!$K$6:$K$17,MONTH(C7649))&amp;IF(WEEKDAY(C7649,Inputs!$C$76)&lt;=Inputs!$C$74," weekday"," weekend"),Utility_Rates!$C$28:$F$28,Inputs!$C$68)),"")</f>
      </c>
      <c r="H7649" s="34"/>
      <c r="I7649" s="42">
        <f>IF(AND(ISNUMBER(D7649),ISNUMBER(H7649)),D7649*H7649*Inputs!$C$69,"")</f>
      </c>
      <c r="J7649" s="42">
        <f>IF(AND(ISNUMBER(F7649),ISNUMBER(H7649),F7649&gt;=Inputs!$C$68),F7649*H7649*Inputs!$C$69,"")</f>
      </c>
    </row>
    <row r="7650" spans="2:10" ht="15" customHeight="1" x14ac:dyDescent="0.2">
      <c r="B7650" s="39">
        <f t="shared" si="58"/>
      </c>
      <c r="C7650" s="40">
        <f>IF(Inputs!$C$60,Inputs!$C$11+(B7650-Inputs!$C$69)/Inputs!$C$70,"")</f>
      </c>
      <c r="D7650" s="15"/>
      <c r="E7650" s="15"/>
      <c r="F7650" s="11">
        <f t="shared" si="59"/>
      </c>
      <c r="G7650" s="22" cm="1">
        <f t="array" ref="G7650">IF(AND(Inputs!$C$60,Inputs!$C$61),INDEX(Utility_Rates!$C$29:$F$52,HOUR(C7650)+Inputs!$C$69,MATCH(INDEX(Utility_Rates!$K$6:$K$17,MONTH(C7650))&amp;IF(WEEKDAY(C7650,Inputs!$C$76)&lt;=Inputs!$C$74," weekday"," weekend"),Utility_Rates!$C$28:$F$28,Inputs!$C$68)),"")</f>
      </c>
      <c r="H7650" s="34"/>
      <c r="I7650" s="42">
        <f>IF(AND(ISNUMBER(D7650),ISNUMBER(H7650)),D7650*H7650*Inputs!$C$69,"")</f>
      </c>
      <c r="J7650" s="42">
        <f>IF(AND(ISNUMBER(F7650),ISNUMBER(H7650),F7650&gt;=Inputs!$C$68),F7650*H7650*Inputs!$C$69,"")</f>
      </c>
    </row>
    <row r="7651" spans="2:10" ht="15" customHeight="1" x14ac:dyDescent="0.2">
      <c r="B7651" s="39">
        <f t="shared" si="58"/>
      </c>
      <c r="C7651" s="40">
        <f>IF(Inputs!$C$60,Inputs!$C$11+(B7651-Inputs!$C$69)/Inputs!$C$70,"")</f>
      </c>
      <c r="D7651" s="15"/>
      <c r="E7651" s="15"/>
      <c r="F7651" s="11">
        <f t="shared" si="59"/>
      </c>
      <c r="G7651" s="22" cm="1">
        <f t="array" ref="G7651">IF(AND(Inputs!$C$60,Inputs!$C$61),INDEX(Utility_Rates!$C$29:$F$52,HOUR(C7651)+Inputs!$C$69,MATCH(INDEX(Utility_Rates!$K$6:$K$17,MONTH(C7651))&amp;IF(WEEKDAY(C7651,Inputs!$C$76)&lt;=Inputs!$C$74," weekday"," weekend"),Utility_Rates!$C$28:$F$28,Inputs!$C$68)),"")</f>
      </c>
      <c r="H7651" s="34"/>
      <c r="I7651" s="42">
        <f>IF(AND(ISNUMBER(D7651),ISNUMBER(H7651)),D7651*H7651*Inputs!$C$69,"")</f>
      </c>
      <c r="J7651" s="42">
        <f>IF(AND(ISNUMBER(F7651),ISNUMBER(H7651),F7651&gt;=Inputs!$C$68),F7651*H7651*Inputs!$C$69,"")</f>
      </c>
    </row>
    <row r="7652" spans="2:10" ht="15" customHeight="1" x14ac:dyDescent="0.2">
      <c r="B7652" s="39">
        <f t="shared" si="58"/>
      </c>
      <c r="C7652" s="40">
        <f>IF(Inputs!$C$60,Inputs!$C$11+(B7652-Inputs!$C$69)/Inputs!$C$70,"")</f>
      </c>
      <c r="D7652" s="15"/>
      <c r="E7652" s="15"/>
      <c r="F7652" s="11">
        <f t="shared" si="59"/>
      </c>
      <c r="G7652" s="22" cm="1">
        <f t="array" ref="G7652">IF(AND(Inputs!$C$60,Inputs!$C$61),INDEX(Utility_Rates!$C$29:$F$52,HOUR(C7652)+Inputs!$C$69,MATCH(INDEX(Utility_Rates!$K$6:$K$17,MONTH(C7652))&amp;IF(WEEKDAY(C7652,Inputs!$C$76)&lt;=Inputs!$C$74," weekday"," weekend"),Utility_Rates!$C$28:$F$28,Inputs!$C$68)),"")</f>
      </c>
      <c r="H7652" s="34"/>
      <c r="I7652" s="42">
        <f>IF(AND(ISNUMBER(D7652),ISNUMBER(H7652)),D7652*H7652*Inputs!$C$69,"")</f>
      </c>
      <c r="J7652" s="42">
        <f>IF(AND(ISNUMBER(F7652),ISNUMBER(H7652),F7652&gt;=Inputs!$C$68),F7652*H7652*Inputs!$C$69,"")</f>
      </c>
    </row>
    <row r="7653" spans="2:10" ht="15" customHeight="1" x14ac:dyDescent="0.2">
      <c r="B7653" s="39">
        <f t="shared" si="58"/>
      </c>
      <c r="C7653" s="40">
        <f>IF(Inputs!$C$60,Inputs!$C$11+(B7653-Inputs!$C$69)/Inputs!$C$70,"")</f>
      </c>
      <c r="D7653" s="15"/>
      <c r="E7653" s="15"/>
      <c r="F7653" s="11">
        <f t="shared" si="59"/>
      </c>
      <c r="G7653" s="22" cm="1">
        <f t="array" ref="G7653">IF(AND(Inputs!$C$60,Inputs!$C$61),INDEX(Utility_Rates!$C$29:$F$52,HOUR(C7653)+Inputs!$C$69,MATCH(INDEX(Utility_Rates!$K$6:$K$17,MONTH(C7653))&amp;IF(WEEKDAY(C7653,Inputs!$C$76)&lt;=Inputs!$C$74," weekday"," weekend"),Utility_Rates!$C$28:$F$28,Inputs!$C$68)),"")</f>
      </c>
      <c r="H7653" s="34"/>
      <c r="I7653" s="42">
        <f>IF(AND(ISNUMBER(D7653),ISNUMBER(H7653)),D7653*H7653*Inputs!$C$69,"")</f>
      </c>
      <c r="J7653" s="42">
        <f>IF(AND(ISNUMBER(F7653),ISNUMBER(H7653),F7653&gt;=Inputs!$C$68),F7653*H7653*Inputs!$C$69,"")</f>
      </c>
    </row>
    <row r="7654" spans="2:10" ht="15" customHeight="1" x14ac:dyDescent="0.2">
      <c r="B7654" s="39">
        <f t="shared" si="58"/>
      </c>
      <c r="C7654" s="40">
        <f>IF(Inputs!$C$60,Inputs!$C$11+(B7654-Inputs!$C$69)/Inputs!$C$70,"")</f>
      </c>
      <c r="D7654" s="15"/>
      <c r="E7654" s="15"/>
      <c r="F7654" s="11">
        <f t="shared" si="59"/>
      </c>
      <c r="G7654" s="22" cm="1">
        <f t="array" ref="G7654">IF(AND(Inputs!$C$60,Inputs!$C$61),INDEX(Utility_Rates!$C$29:$F$52,HOUR(C7654)+Inputs!$C$69,MATCH(INDEX(Utility_Rates!$K$6:$K$17,MONTH(C7654))&amp;IF(WEEKDAY(C7654,Inputs!$C$76)&lt;=Inputs!$C$74," weekday"," weekend"),Utility_Rates!$C$28:$F$28,Inputs!$C$68)),"")</f>
      </c>
      <c r="H7654" s="34"/>
      <c r="I7654" s="42">
        <f>IF(AND(ISNUMBER(D7654),ISNUMBER(H7654)),D7654*H7654*Inputs!$C$69,"")</f>
      </c>
      <c r="J7654" s="42">
        <f>IF(AND(ISNUMBER(F7654),ISNUMBER(H7654),F7654&gt;=Inputs!$C$68),F7654*H7654*Inputs!$C$69,"")</f>
      </c>
    </row>
    <row r="7655" spans="2:10" ht="15" customHeight="1" x14ac:dyDescent="0.2">
      <c r="B7655" s="39">
        <f t="shared" si="58"/>
      </c>
      <c r="C7655" s="40">
        <f>IF(Inputs!$C$60,Inputs!$C$11+(B7655-Inputs!$C$69)/Inputs!$C$70,"")</f>
      </c>
      <c r="D7655" s="15"/>
      <c r="E7655" s="15"/>
      <c r="F7655" s="11">
        <f t="shared" si="59"/>
      </c>
      <c r="G7655" s="22" cm="1">
        <f t="array" ref="G7655">IF(AND(Inputs!$C$60,Inputs!$C$61),INDEX(Utility_Rates!$C$29:$F$52,HOUR(C7655)+Inputs!$C$69,MATCH(INDEX(Utility_Rates!$K$6:$K$17,MONTH(C7655))&amp;IF(WEEKDAY(C7655,Inputs!$C$76)&lt;=Inputs!$C$74," weekday"," weekend"),Utility_Rates!$C$28:$F$28,Inputs!$C$68)),"")</f>
      </c>
      <c r="H7655" s="34"/>
      <c r="I7655" s="42">
        <f>IF(AND(ISNUMBER(D7655),ISNUMBER(H7655)),D7655*H7655*Inputs!$C$69,"")</f>
      </c>
      <c r="J7655" s="42">
        <f>IF(AND(ISNUMBER(F7655),ISNUMBER(H7655),F7655&gt;=Inputs!$C$68),F7655*H7655*Inputs!$C$69,"")</f>
      </c>
    </row>
    <row r="7656" spans="2:10" ht="15" customHeight="1" x14ac:dyDescent="0.2">
      <c r="B7656" s="39">
        <f t="shared" ref="B7656:B7910" si="60">ROW()-ROW($B$5)</f>
      </c>
      <c r="C7656" s="40">
        <f>IF(Inputs!$C$60,Inputs!$C$11+(B7656-Inputs!$C$69)/Inputs!$C$70,"")</f>
      </c>
      <c r="D7656" s="15"/>
      <c r="E7656" s="15"/>
      <c r="F7656" s="11">
        <f t="shared" ref="F7656:F7910" si="61">IF(COUNT(D7656:E7656)=COLUMNS(D7656:E7656),D7656-E7656,"")</f>
      </c>
      <c r="G7656" s="22" cm="1">
        <f t="array" ref="G7656">IF(AND(Inputs!$C$60,Inputs!$C$61),INDEX(Utility_Rates!$C$29:$F$52,HOUR(C7656)+Inputs!$C$69,MATCH(INDEX(Utility_Rates!$K$6:$K$17,MONTH(C7656))&amp;IF(WEEKDAY(C7656,Inputs!$C$76)&lt;=Inputs!$C$74," weekday"," weekend"),Utility_Rates!$C$28:$F$28,Inputs!$C$68)),"")</f>
      </c>
      <c r="H7656" s="34"/>
      <c r="I7656" s="42">
        <f>IF(AND(ISNUMBER(D7656),ISNUMBER(H7656)),D7656*H7656*Inputs!$C$69,"")</f>
      </c>
      <c r="J7656" s="42">
        <f>IF(AND(ISNUMBER(F7656),ISNUMBER(H7656),F7656&gt;=Inputs!$C$68),F7656*H7656*Inputs!$C$69,"")</f>
      </c>
    </row>
    <row r="7657" spans="2:10" ht="15" customHeight="1" x14ac:dyDescent="0.2">
      <c r="B7657" s="39">
        <f t="shared" si="60"/>
      </c>
      <c r="C7657" s="40">
        <f>IF(Inputs!$C$60,Inputs!$C$11+(B7657-Inputs!$C$69)/Inputs!$C$70,"")</f>
      </c>
      <c r="D7657" s="15"/>
      <c r="E7657" s="15"/>
      <c r="F7657" s="11">
        <f t="shared" si="61"/>
      </c>
      <c r="G7657" s="22" cm="1">
        <f t="array" ref="G7657">IF(AND(Inputs!$C$60,Inputs!$C$61),INDEX(Utility_Rates!$C$29:$F$52,HOUR(C7657)+Inputs!$C$69,MATCH(INDEX(Utility_Rates!$K$6:$K$17,MONTH(C7657))&amp;IF(WEEKDAY(C7657,Inputs!$C$76)&lt;=Inputs!$C$74," weekday"," weekend"),Utility_Rates!$C$28:$F$28,Inputs!$C$68)),"")</f>
      </c>
      <c r="H7657" s="34"/>
      <c r="I7657" s="42">
        <f>IF(AND(ISNUMBER(D7657),ISNUMBER(H7657)),D7657*H7657*Inputs!$C$69,"")</f>
      </c>
      <c r="J7657" s="42">
        <f>IF(AND(ISNUMBER(F7657),ISNUMBER(H7657),F7657&gt;=Inputs!$C$68),F7657*H7657*Inputs!$C$69,"")</f>
      </c>
    </row>
    <row r="7658" spans="2:10" ht="15" customHeight="1" x14ac:dyDescent="0.2">
      <c r="B7658" s="39">
        <f t="shared" si="60"/>
      </c>
      <c r="C7658" s="40">
        <f>IF(Inputs!$C$60,Inputs!$C$11+(B7658-Inputs!$C$69)/Inputs!$C$70,"")</f>
      </c>
      <c r="D7658" s="15"/>
      <c r="E7658" s="15"/>
      <c r="F7658" s="11">
        <f t="shared" si="61"/>
      </c>
      <c r="G7658" s="22" cm="1">
        <f t="array" ref="G7658">IF(AND(Inputs!$C$60,Inputs!$C$61),INDEX(Utility_Rates!$C$29:$F$52,HOUR(C7658)+Inputs!$C$69,MATCH(INDEX(Utility_Rates!$K$6:$K$17,MONTH(C7658))&amp;IF(WEEKDAY(C7658,Inputs!$C$76)&lt;=Inputs!$C$74," weekday"," weekend"),Utility_Rates!$C$28:$F$28,Inputs!$C$68)),"")</f>
      </c>
      <c r="H7658" s="34"/>
      <c r="I7658" s="42">
        <f>IF(AND(ISNUMBER(D7658),ISNUMBER(H7658)),D7658*H7658*Inputs!$C$69,"")</f>
      </c>
      <c r="J7658" s="42">
        <f>IF(AND(ISNUMBER(F7658),ISNUMBER(H7658),F7658&gt;=Inputs!$C$68),F7658*H7658*Inputs!$C$69,"")</f>
      </c>
    </row>
    <row r="7659" spans="2:10" ht="15" customHeight="1" x14ac:dyDescent="0.2">
      <c r="B7659" s="39">
        <f t="shared" si="60"/>
      </c>
      <c r="C7659" s="40">
        <f>IF(Inputs!$C$60,Inputs!$C$11+(B7659-Inputs!$C$69)/Inputs!$C$70,"")</f>
      </c>
      <c r="D7659" s="15"/>
      <c r="E7659" s="15"/>
      <c r="F7659" s="11">
        <f t="shared" si="61"/>
      </c>
      <c r="G7659" s="22" cm="1">
        <f t="array" ref="G7659">IF(AND(Inputs!$C$60,Inputs!$C$61),INDEX(Utility_Rates!$C$29:$F$52,HOUR(C7659)+Inputs!$C$69,MATCH(INDEX(Utility_Rates!$K$6:$K$17,MONTH(C7659))&amp;IF(WEEKDAY(C7659,Inputs!$C$76)&lt;=Inputs!$C$74," weekday"," weekend"),Utility_Rates!$C$28:$F$28,Inputs!$C$68)),"")</f>
      </c>
      <c r="H7659" s="34"/>
      <c r="I7659" s="42">
        <f>IF(AND(ISNUMBER(D7659),ISNUMBER(H7659)),D7659*H7659*Inputs!$C$69,"")</f>
      </c>
      <c r="J7659" s="42">
        <f>IF(AND(ISNUMBER(F7659),ISNUMBER(H7659),F7659&gt;=Inputs!$C$68),F7659*H7659*Inputs!$C$69,"")</f>
      </c>
    </row>
    <row r="7660" spans="2:10" ht="15" customHeight="1" x14ac:dyDescent="0.2">
      <c r="B7660" s="39">
        <f t="shared" si="60"/>
      </c>
      <c r="C7660" s="40">
        <f>IF(Inputs!$C$60,Inputs!$C$11+(B7660-Inputs!$C$69)/Inputs!$C$70,"")</f>
      </c>
      <c r="D7660" s="15"/>
      <c r="E7660" s="15"/>
      <c r="F7660" s="11">
        <f t="shared" si="61"/>
      </c>
      <c r="G7660" s="22" cm="1">
        <f t="array" ref="G7660">IF(AND(Inputs!$C$60,Inputs!$C$61),INDEX(Utility_Rates!$C$29:$F$52,HOUR(C7660)+Inputs!$C$69,MATCH(INDEX(Utility_Rates!$K$6:$K$17,MONTH(C7660))&amp;IF(WEEKDAY(C7660,Inputs!$C$76)&lt;=Inputs!$C$74," weekday"," weekend"),Utility_Rates!$C$28:$F$28,Inputs!$C$68)),"")</f>
      </c>
      <c r="H7660" s="34"/>
      <c r="I7660" s="42">
        <f>IF(AND(ISNUMBER(D7660),ISNUMBER(H7660)),D7660*H7660*Inputs!$C$69,"")</f>
      </c>
      <c r="J7660" s="42">
        <f>IF(AND(ISNUMBER(F7660),ISNUMBER(H7660),F7660&gt;=Inputs!$C$68),F7660*H7660*Inputs!$C$69,"")</f>
      </c>
    </row>
    <row r="7661" spans="2:10" ht="15" customHeight="1" x14ac:dyDescent="0.2">
      <c r="B7661" s="39">
        <f t="shared" si="60"/>
      </c>
      <c r="C7661" s="40">
        <f>IF(Inputs!$C$60,Inputs!$C$11+(B7661-Inputs!$C$69)/Inputs!$C$70,"")</f>
      </c>
      <c r="D7661" s="15"/>
      <c r="E7661" s="15"/>
      <c r="F7661" s="11">
        <f t="shared" si="61"/>
      </c>
      <c r="G7661" s="22" cm="1">
        <f t="array" ref="G7661">IF(AND(Inputs!$C$60,Inputs!$C$61),INDEX(Utility_Rates!$C$29:$F$52,HOUR(C7661)+Inputs!$C$69,MATCH(INDEX(Utility_Rates!$K$6:$K$17,MONTH(C7661))&amp;IF(WEEKDAY(C7661,Inputs!$C$76)&lt;=Inputs!$C$74," weekday"," weekend"),Utility_Rates!$C$28:$F$28,Inputs!$C$68)),"")</f>
      </c>
      <c r="H7661" s="34"/>
      <c r="I7661" s="42">
        <f>IF(AND(ISNUMBER(D7661),ISNUMBER(H7661)),D7661*H7661*Inputs!$C$69,"")</f>
      </c>
      <c r="J7661" s="42">
        <f>IF(AND(ISNUMBER(F7661),ISNUMBER(H7661),F7661&gt;=Inputs!$C$68),F7661*H7661*Inputs!$C$69,"")</f>
      </c>
    </row>
    <row r="7662" spans="2:10" ht="15" customHeight="1" x14ac:dyDescent="0.2">
      <c r="B7662" s="39">
        <f t="shared" si="60"/>
      </c>
      <c r="C7662" s="40">
        <f>IF(Inputs!$C$60,Inputs!$C$11+(B7662-Inputs!$C$69)/Inputs!$C$70,"")</f>
      </c>
      <c r="D7662" s="15"/>
      <c r="E7662" s="15"/>
      <c r="F7662" s="11">
        <f t="shared" si="61"/>
      </c>
      <c r="G7662" s="22" cm="1">
        <f t="array" ref="G7662">IF(AND(Inputs!$C$60,Inputs!$C$61),INDEX(Utility_Rates!$C$29:$F$52,HOUR(C7662)+Inputs!$C$69,MATCH(INDEX(Utility_Rates!$K$6:$K$17,MONTH(C7662))&amp;IF(WEEKDAY(C7662,Inputs!$C$76)&lt;=Inputs!$C$74," weekday"," weekend"),Utility_Rates!$C$28:$F$28,Inputs!$C$68)),"")</f>
      </c>
      <c r="H7662" s="34"/>
      <c r="I7662" s="42">
        <f>IF(AND(ISNUMBER(D7662),ISNUMBER(H7662)),D7662*H7662*Inputs!$C$69,"")</f>
      </c>
      <c r="J7662" s="42">
        <f>IF(AND(ISNUMBER(F7662),ISNUMBER(H7662),F7662&gt;=Inputs!$C$68),F7662*H7662*Inputs!$C$69,"")</f>
      </c>
    </row>
    <row r="7663" spans="2:10" ht="15" customHeight="1" x14ac:dyDescent="0.2">
      <c r="B7663" s="39">
        <f t="shared" si="60"/>
      </c>
      <c r="C7663" s="40">
        <f>IF(Inputs!$C$60,Inputs!$C$11+(B7663-Inputs!$C$69)/Inputs!$C$70,"")</f>
      </c>
      <c r="D7663" s="15"/>
      <c r="E7663" s="15"/>
      <c r="F7663" s="11">
        <f t="shared" si="61"/>
      </c>
      <c r="G7663" s="22" cm="1">
        <f t="array" ref="G7663">IF(AND(Inputs!$C$60,Inputs!$C$61),INDEX(Utility_Rates!$C$29:$F$52,HOUR(C7663)+Inputs!$C$69,MATCH(INDEX(Utility_Rates!$K$6:$K$17,MONTH(C7663))&amp;IF(WEEKDAY(C7663,Inputs!$C$76)&lt;=Inputs!$C$74," weekday"," weekend"),Utility_Rates!$C$28:$F$28,Inputs!$C$68)),"")</f>
      </c>
      <c r="H7663" s="34"/>
      <c r="I7663" s="42">
        <f>IF(AND(ISNUMBER(D7663),ISNUMBER(H7663)),D7663*H7663*Inputs!$C$69,"")</f>
      </c>
      <c r="J7663" s="42">
        <f>IF(AND(ISNUMBER(F7663),ISNUMBER(H7663),F7663&gt;=Inputs!$C$68),F7663*H7663*Inputs!$C$69,"")</f>
      </c>
    </row>
    <row r="7664" spans="2:10" ht="15" customHeight="1" x14ac:dyDescent="0.2">
      <c r="B7664" s="39">
        <f t="shared" si="60"/>
      </c>
      <c r="C7664" s="40">
        <f>IF(Inputs!$C$60,Inputs!$C$11+(B7664-Inputs!$C$69)/Inputs!$C$70,"")</f>
      </c>
      <c r="D7664" s="15"/>
      <c r="E7664" s="15"/>
      <c r="F7664" s="11">
        <f t="shared" si="61"/>
      </c>
      <c r="G7664" s="22" cm="1">
        <f t="array" ref="G7664">IF(AND(Inputs!$C$60,Inputs!$C$61),INDEX(Utility_Rates!$C$29:$F$52,HOUR(C7664)+Inputs!$C$69,MATCH(INDEX(Utility_Rates!$K$6:$K$17,MONTH(C7664))&amp;IF(WEEKDAY(C7664,Inputs!$C$76)&lt;=Inputs!$C$74," weekday"," weekend"),Utility_Rates!$C$28:$F$28,Inputs!$C$68)),"")</f>
      </c>
      <c r="H7664" s="34"/>
      <c r="I7664" s="42">
        <f>IF(AND(ISNUMBER(D7664),ISNUMBER(H7664)),D7664*H7664*Inputs!$C$69,"")</f>
      </c>
      <c r="J7664" s="42">
        <f>IF(AND(ISNUMBER(F7664),ISNUMBER(H7664),F7664&gt;=Inputs!$C$68),F7664*H7664*Inputs!$C$69,"")</f>
      </c>
    </row>
    <row r="7665" spans="2:10" ht="15" customHeight="1" x14ac:dyDescent="0.2">
      <c r="B7665" s="39">
        <f t="shared" si="60"/>
      </c>
      <c r="C7665" s="40">
        <f>IF(Inputs!$C$60,Inputs!$C$11+(B7665-Inputs!$C$69)/Inputs!$C$70,"")</f>
      </c>
      <c r="D7665" s="15"/>
      <c r="E7665" s="15"/>
      <c r="F7665" s="11">
        <f t="shared" si="61"/>
      </c>
      <c r="G7665" s="22" cm="1">
        <f t="array" ref="G7665">IF(AND(Inputs!$C$60,Inputs!$C$61),INDEX(Utility_Rates!$C$29:$F$52,HOUR(C7665)+Inputs!$C$69,MATCH(INDEX(Utility_Rates!$K$6:$K$17,MONTH(C7665))&amp;IF(WEEKDAY(C7665,Inputs!$C$76)&lt;=Inputs!$C$74," weekday"," weekend"),Utility_Rates!$C$28:$F$28,Inputs!$C$68)),"")</f>
      </c>
      <c r="H7665" s="34"/>
      <c r="I7665" s="42">
        <f>IF(AND(ISNUMBER(D7665),ISNUMBER(H7665)),D7665*H7665*Inputs!$C$69,"")</f>
      </c>
      <c r="J7665" s="42">
        <f>IF(AND(ISNUMBER(F7665),ISNUMBER(H7665),F7665&gt;=Inputs!$C$68),F7665*H7665*Inputs!$C$69,"")</f>
      </c>
    </row>
    <row r="7666" spans="2:10" ht="15" customHeight="1" x14ac:dyDescent="0.2">
      <c r="B7666" s="39">
        <f t="shared" si="60"/>
      </c>
      <c r="C7666" s="40">
        <f>IF(Inputs!$C$60,Inputs!$C$11+(B7666-Inputs!$C$69)/Inputs!$C$70,"")</f>
      </c>
      <c r="D7666" s="15"/>
      <c r="E7666" s="15"/>
      <c r="F7666" s="11">
        <f t="shared" si="61"/>
      </c>
      <c r="G7666" s="22" cm="1">
        <f t="array" ref="G7666">IF(AND(Inputs!$C$60,Inputs!$C$61),INDEX(Utility_Rates!$C$29:$F$52,HOUR(C7666)+Inputs!$C$69,MATCH(INDEX(Utility_Rates!$K$6:$K$17,MONTH(C7666))&amp;IF(WEEKDAY(C7666,Inputs!$C$76)&lt;=Inputs!$C$74," weekday"," weekend"),Utility_Rates!$C$28:$F$28,Inputs!$C$68)),"")</f>
      </c>
      <c r="H7666" s="34"/>
      <c r="I7666" s="42">
        <f>IF(AND(ISNUMBER(D7666),ISNUMBER(H7666)),D7666*H7666*Inputs!$C$69,"")</f>
      </c>
      <c r="J7666" s="42">
        <f>IF(AND(ISNUMBER(F7666),ISNUMBER(H7666),F7666&gt;=Inputs!$C$68),F7666*H7666*Inputs!$C$69,"")</f>
      </c>
    </row>
    <row r="7667" spans="2:10" ht="15" customHeight="1" x14ac:dyDescent="0.2">
      <c r="B7667" s="39">
        <f t="shared" si="60"/>
      </c>
      <c r="C7667" s="40">
        <f>IF(Inputs!$C$60,Inputs!$C$11+(B7667-Inputs!$C$69)/Inputs!$C$70,"")</f>
      </c>
      <c r="D7667" s="15"/>
      <c r="E7667" s="15"/>
      <c r="F7667" s="11">
        <f t="shared" si="61"/>
      </c>
      <c r="G7667" s="22" cm="1">
        <f t="array" ref="G7667">IF(AND(Inputs!$C$60,Inputs!$C$61),INDEX(Utility_Rates!$C$29:$F$52,HOUR(C7667)+Inputs!$C$69,MATCH(INDEX(Utility_Rates!$K$6:$K$17,MONTH(C7667))&amp;IF(WEEKDAY(C7667,Inputs!$C$76)&lt;=Inputs!$C$74," weekday"," weekend"),Utility_Rates!$C$28:$F$28,Inputs!$C$68)),"")</f>
      </c>
      <c r="H7667" s="34"/>
      <c r="I7667" s="42">
        <f>IF(AND(ISNUMBER(D7667),ISNUMBER(H7667)),D7667*H7667*Inputs!$C$69,"")</f>
      </c>
      <c r="J7667" s="42">
        <f>IF(AND(ISNUMBER(F7667),ISNUMBER(H7667),F7667&gt;=Inputs!$C$68),F7667*H7667*Inputs!$C$69,"")</f>
      </c>
    </row>
    <row r="7668" spans="2:10" ht="15" customHeight="1" x14ac:dyDescent="0.2">
      <c r="B7668" s="39">
        <f t="shared" si="60"/>
      </c>
      <c r="C7668" s="40">
        <f>IF(Inputs!$C$60,Inputs!$C$11+(B7668-Inputs!$C$69)/Inputs!$C$70,"")</f>
      </c>
      <c r="D7668" s="15"/>
      <c r="E7668" s="15"/>
      <c r="F7668" s="11">
        <f t="shared" si="61"/>
      </c>
      <c r="G7668" s="22" cm="1">
        <f t="array" ref="G7668">IF(AND(Inputs!$C$60,Inputs!$C$61),INDEX(Utility_Rates!$C$29:$F$52,HOUR(C7668)+Inputs!$C$69,MATCH(INDEX(Utility_Rates!$K$6:$K$17,MONTH(C7668))&amp;IF(WEEKDAY(C7668,Inputs!$C$76)&lt;=Inputs!$C$74," weekday"," weekend"),Utility_Rates!$C$28:$F$28,Inputs!$C$68)),"")</f>
      </c>
      <c r="H7668" s="34"/>
      <c r="I7668" s="42">
        <f>IF(AND(ISNUMBER(D7668),ISNUMBER(H7668)),D7668*H7668*Inputs!$C$69,"")</f>
      </c>
      <c r="J7668" s="42">
        <f>IF(AND(ISNUMBER(F7668),ISNUMBER(H7668),F7668&gt;=Inputs!$C$68),F7668*H7668*Inputs!$C$69,"")</f>
      </c>
    </row>
    <row r="7669" spans="2:10" ht="15" customHeight="1" x14ac:dyDescent="0.2">
      <c r="B7669" s="39">
        <f t="shared" si="60"/>
      </c>
      <c r="C7669" s="40">
        <f>IF(Inputs!$C$60,Inputs!$C$11+(B7669-Inputs!$C$69)/Inputs!$C$70,"")</f>
      </c>
      <c r="D7669" s="15"/>
      <c r="E7669" s="15"/>
      <c r="F7669" s="11">
        <f t="shared" si="61"/>
      </c>
      <c r="G7669" s="22" cm="1">
        <f t="array" ref="G7669">IF(AND(Inputs!$C$60,Inputs!$C$61),INDEX(Utility_Rates!$C$29:$F$52,HOUR(C7669)+Inputs!$C$69,MATCH(INDEX(Utility_Rates!$K$6:$K$17,MONTH(C7669))&amp;IF(WEEKDAY(C7669,Inputs!$C$76)&lt;=Inputs!$C$74," weekday"," weekend"),Utility_Rates!$C$28:$F$28,Inputs!$C$68)),"")</f>
      </c>
      <c r="H7669" s="34"/>
      <c r="I7669" s="42">
        <f>IF(AND(ISNUMBER(D7669),ISNUMBER(H7669)),D7669*H7669*Inputs!$C$69,"")</f>
      </c>
      <c r="J7669" s="42">
        <f>IF(AND(ISNUMBER(F7669),ISNUMBER(H7669),F7669&gt;=Inputs!$C$68),F7669*H7669*Inputs!$C$69,"")</f>
      </c>
    </row>
    <row r="7670" spans="2:10" ht="15" customHeight="1" x14ac:dyDescent="0.2">
      <c r="B7670" s="39">
        <f t="shared" si="60"/>
      </c>
      <c r="C7670" s="40">
        <f>IF(Inputs!$C$60,Inputs!$C$11+(B7670-Inputs!$C$69)/Inputs!$C$70,"")</f>
      </c>
      <c r="D7670" s="15"/>
      <c r="E7670" s="15"/>
      <c r="F7670" s="11">
        <f t="shared" si="61"/>
      </c>
      <c r="G7670" s="22" cm="1">
        <f t="array" ref="G7670">IF(AND(Inputs!$C$60,Inputs!$C$61),INDEX(Utility_Rates!$C$29:$F$52,HOUR(C7670)+Inputs!$C$69,MATCH(INDEX(Utility_Rates!$K$6:$K$17,MONTH(C7670))&amp;IF(WEEKDAY(C7670,Inputs!$C$76)&lt;=Inputs!$C$74," weekday"," weekend"),Utility_Rates!$C$28:$F$28,Inputs!$C$68)),"")</f>
      </c>
      <c r="H7670" s="34"/>
      <c r="I7670" s="42">
        <f>IF(AND(ISNUMBER(D7670),ISNUMBER(H7670)),D7670*H7670*Inputs!$C$69,"")</f>
      </c>
      <c r="J7670" s="42">
        <f>IF(AND(ISNUMBER(F7670),ISNUMBER(H7670),F7670&gt;=Inputs!$C$68),F7670*H7670*Inputs!$C$69,"")</f>
      </c>
    </row>
    <row r="7671" spans="2:10" ht="15" customHeight="1" x14ac:dyDescent="0.2">
      <c r="B7671" s="39">
        <f t="shared" si="60"/>
      </c>
      <c r="C7671" s="40">
        <f>IF(Inputs!$C$60,Inputs!$C$11+(B7671-Inputs!$C$69)/Inputs!$C$70,"")</f>
      </c>
      <c r="D7671" s="15"/>
      <c r="E7671" s="15"/>
      <c r="F7671" s="11">
        <f t="shared" si="61"/>
      </c>
      <c r="G7671" s="22" cm="1">
        <f t="array" ref="G7671">IF(AND(Inputs!$C$60,Inputs!$C$61),INDEX(Utility_Rates!$C$29:$F$52,HOUR(C7671)+Inputs!$C$69,MATCH(INDEX(Utility_Rates!$K$6:$K$17,MONTH(C7671))&amp;IF(WEEKDAY(C7671,Inputs!$C$76)&lt;=Inputs!$C$74," weekday"," weekend"),Utility_Rates!$C$28:$F$28,Inputs!$C$68)),"")</f>
      </c>
      <c r="H7671" s="34"/>
      <c r="I7671" s="42">
        <f>IF(AND(ISNUMBER(D7671),ISNUMBER(H7671)),D7671*H7671*Inputs!$C$69,"")</f>
      </c>
      <c r="J7671" s="42">
        <f>IF(AND(ISNUMBER(F7671),ISNUMBER(H7671),F7671&gt;=Inputs!$C$68),F7671*H7671*Inputs!$C$69,"")</f>
      </c>
    </row>
    <row r="7672" spans="2:10" ht="15" customHeight="1" x14ac:dyDescent="0.2">
      <c r="B7672" s="39">
        <f t="shared" si="60"/>
      </c>
      <c r="C7672" s="40">
        <f>IF(Inputs!$C$60,Inputs!$C$11+(B7672-Inputs!$C$69)/Inputs!$C$70,"")</f>
      </c>
      <c r="D7672" s="15"/>
      <c r="E7672" s="15"/>
      <c r="F7672" s="11">
        <f t="shared" si="61"/>
      </c>
      <c r="G7672" s="22" cm="1">
        <f t="array" ref="G7672">IF(AND(Inputs!$C$60,Inputs!$C$61),INDEX(Utility_Rates!$C$29:$F$52,HOUR(C7672)+Inputs!$C$69,MATCH(INDEX(Utility_Rates!$K$6:$K$17,MONTH(C7672))&amp;IF(WEEKDAY(C7672,Inputs!$C$76)&lt;=Inputs!$C$74," weekday"," weekend"),Utility_Rates!$C$28:$F$28,Inputs!$C$68)),"")</f>
      </c>
      <c r="H7672" s="34"/>
      <c r="I7672" s="42">
        <f>IF(AND(ISNUMBER(D7672),ISNUMBER(H7672)),D7672*H7672*Inputs!$C$69,"")</f>
      </c>
      <c r="J7672" s="42">
        <f>IF(AND(ISNUMBER(F7672),ISNUMBER(H7672),F7672&gt;=Inputs!$C$68),F7672*H7672*Inputs!$C$69,"")</f>
      </c>
    </row>
    <row r="7673" spans="2:10" ht="15" customHeight="1" x14ac:dyDescent="0.2">
      <c r="B7673" s="39">
        <f t="shared" si="60"/>
      </c>
      <c r="C7673" s="40">
        <f>IF(Inputs!$C$60,Inputs!$C$11+(B7673-Inputs!$C$69)/Inputs!$C$70,"")</f>
      </c>
      <c r="D7673" s="15"/>
      <c r="E7673" s="15"/>
      <c r="F7673" s="11">
        <f t="shared" si="61"/>
      </c>
      <c r="G7673" s="22" cm="1">
        <f t="array" ref="G7673">IF(AND(Inputs!$C$60,Inputs!$C$61),INDEX(Utility_Rates!$C$29:$F$52,HOUR(C7673)+Inputs!$C$69,MATCH(INDEX(Utility_Rates!$K$6:$K$17,MONTH(C7673))&amp;IF(WEEKDAY(C7673,Inputs!$C$76)&lt;=Inputs!$C$74," weekday"," weekend"),Utility_Rates!$C$28:$F$28,Inputs!$C$68)),"")</f>
      </c>
      <c r="H7673" s="34"/>
      <c r="I7673" s="42">
        <f>IF(AND(ISNUMBER(D7673),ISNUMBER(H7673)),D7673*H7673*Inputs!$C$69,"")</f>
      </c>
      <c r="J7673" s="42">
        <f>IF(AND(ISNUMBER(F7673),ISNUMBER(H7673),F7673&gt;=Inputs!$C$68),F7673*H7673*Inputs!$C$69,"")</f>
      </c>
    </row>
    <row r="7674" spans="2:10" ht="15" customHeight="1" x14ac:dyDescent="0.2">
      <c r="B7674" s="39">
        <f t="shared" si="60"/>
      </c>
      <c r="C7674" s="40">
        <f>IF(Inputs!$C$60,Inputs!$C$11+(B7674-Inputs!$C$69)/Inputs!$C$70,"")</f>
      </c>
      <c r="D7674" s="15"/>
      <c r="E7674" s="15"/>
      <c r="F7674" s="11">
        <f t="shared" si="61"/>
      </c>
      <c r="G7674" s="22" cm="1">
        <f t="array" ref="G7674">IF(AND(Inputs!$C$60,Inputs!$C$61),INDEX(Utility_Rates!$C$29:$F$52,HOUR(C7674)+Inputs!$C$69,MATCH(INDEX(Utility_Rates!$K$6:$K$17,MONTH(C7674))&amp;IF(WEEKDAY(C7674,Inputs!$C$76)&lt;=Inputs!$C$74," weekday"," weekend"),Utility_Rates!$C$28:$F$28,Inputs!$C$68)),"")</f>
      </c>
      <c r="H7674" s="34"/>
      <c r="I7674" s="42">
        <f>IF(AND(ISNUMBER(D7674),ISNUMBER(H7674)),D7674*H7674*Inputs!$C$69,"")</f>
      </c>
      <c r="J7674" s="42">
        <f>IF(AND(ISNUMBER(F7674),ISNUMBER(H7674),F7674&gt;=Inputs!$C$68),F7674*H7674*Inputs!$C$69,"")</f>
      </c>
    </row>
    <row r="7675" spans="2:10" ht="15" customHeight="1" x14ac:dyDescent="0.2">
      <c r="B7675" s="39">
        <f t="shared" si="60"/>
      </c>
      <c r="C7675" s="40">
        <f>IF(Inputs!$C$60,Inputs!$C$11+(B7675-Inputs!$C$69)/Inputs!$C$70,"")</f>
      </c>
      <c r="D7675" s="15"/>
      <c r="E7675" s="15"/>
      <c r="F7675" s="11">
        <f t="shared" si="61"/>
      </c>
      <c r="G7675" s="22" cm="1">
        <f t="array" ref="G7675">IF(AND(Inputs!$C$60,Inputs!$C$61),INDEX(Utility_Rates!$C$29:$F$52,HOUR(C7675)+Inputs!$C$69,MATCH(INDEX(Utility_Rates!$K$6:$K$17,MONTH(C7675))&amp;IF(WEEKDAY(C7675,Inputs!$C$76)&lt;=Inputs!$C$74," weekday"," weekend"),Utility_Rates!$C$28:$F$28,Inputs!$C$68)),"")</f>
      </c>
      <c r="H7675" s="34"/>
      <c r="I7675" s="42">
        <f>IF(AND(ISNUMBER(D7675),ISNUMBER(H7675)),D7675*H7675*Inputs!$C$69,"")</f>
      </c>
      <c r="J7675" s="42">
        <f>IF(AND(ISNUMBER(F7675),ISNUMBER(H7675),F7675&gt;=Inputs!$C$68),F7675*H7675*Inputs!$C$69,"")</f>
      </c>
    </row>
    <row r="7676" spans="2:10" ht="15" customHeight="1" x14ac:dyDescent="0.2">
      <c r="B7676" s="39">
        <f t="shared" si="60"/>
      </c>
      <c r="C7676" s="40">
        <f>IF(Inputs!$C$60,Inputs!$C$11+(B7676-Inputs!$C$69)/Inputs!$C$70,"")</f>
      </c>
      <c r="D7676" s="15"/>
      <c r="E7676" s="15"/>
      <c r="F7676" s="11">
        <f t="shared" si="61"/>
      </c>
      <c r="G7676" s="22" cm="1">
        <f t="array" ref="G7676">IF(AND(Inputs!$C$60,Inputs!$C$61),INDEX(Utility_Rates!$C$29:$F$52,HOUR(C7676)+Inputs!$C$69,MATCH(INDEX(Utility_Rates!$K$6:$K$17,MONTH(C7676))&amp;IF(WEEKDAY(C7676,Inputs!$C$76)&lt;=Inputs!$C$74," weekday"," weekend"),Utility_Rates!$C$28:$F$28,Inputs!$C$68)),"")</f>
      </c>
      <c r="H7676" s="34"/>
      <c r="I7676" s="42">
        <f>IF(AND(ISNUMBER(D7676),ISNUMBER(H7676)),D7676*H7676*Inputs!$C$69,"")</f>
      </c>
      <c r="J7676" s="42">
        <f>IF(AND(ISNUMBER(F7676),ISNUMBER(H7676),F7676&gt;=Inputs!$C$68),F7676*H7676*Inputs!$C$69,"")</f>
      </c>
    </row>
    <row r="7677" spans="2:10" ht="15" customHeight="1" x14ac:dyDescent="0.2">
      <c r="B7677" s="39">
        <f t="shared" si="60"/>
      </c>
      <c r="C7677" s="40">
        <f>IF(Inputs!$C$60,Inputs!$C$11+(B7677-Inputs!$C$69)/Inputs!$C$70,"")</f>
      </c>
      <c r="D7677" s="15"/>
      <c r="E7677" s="15"/>
      <c r="F7677" s="11">
        <f t="shared" si="61"/>
      </c>
      <c r="G7677" s="22" cm="1">
        <f t="array" ref="G7677">IF(AND(Inputs!$C$60,Inputs!$C$61),INDEX(Utility_Rates!$C$29:$F$52,HOUR(C7677)+Inputs!$C$69,MATCH(INDEX(Utility_Rates!$K$6:$K$17,MONTH(C7677))&amp;IF(WEEKDAY(C7677,Inputs!$C$76)&lt;=Inputs!$C$74," weekday"," weekend"),Utility_Rates!$C$28:$F$28,Inputs!$C$68)),"")</f>
      </c>
      <c r="H7677" s="34"/>
      <c r="I7677" s="42">
        <f>IF(AND(ISNUMBER(D7677),ISNUMBER(H7677)),D7677*H7677*Inputs!$C$69,"")</f>
      </c>
      <c r="J7677" s="42">
        <f>IF(AND(ISNUMBER(F7677),ISNUMBER(H7677),F7677&gt;=Inputs!$C$68),F7677*H7677*Inputs!$C$69,"")</f>
      </c>
    </row>
    <row r="7678" spans="2:10" ht="15" customHeight="1" x14ac:dyDescent="0.2">
      <c r="B7678" s="39">
        <f t="shared" si="60"/>
      </c>
      <c r="C7678" s="40">
        <f>IF(Inputs!$C$60,Inputs!$C$11+(B7678-Inputs!$C$69)/Inputs!$C$70,"")</f>
      </c>
      <c r="D7678" s="15"/>
      <c r="E7678" s="15"/>
      <c r="F7678" s="11">
        <f t="shared" si="61"/>
      </c>
      <c r="G7678" s="22" cm="1">
        <f t="array" ref="G7678">IF(AND(Inputs!$C$60,Inputs!$C$61),INDEX(Utility_Rates!$C$29:$F$52,HOUR(C7678)+Inputs!$C$69,MATCH(INDEX(Utility_Rates!$K$6:$K$17,MONTH(C7678))&amp;IF(WEEKDAY(C7678,Inputs!$C$76)&lt;=Inputs!$C$74," weekday"," weekend"),Utility_Rates!$C$28:$F$28,Inputs!$C$68)),"")</f>
      </c>
      <c r="H7678" s="34"/>
      <c r="I7678" s="42">
        <f>IF(AND(ISNUMBER(D7678),ISNUMBER(H7678)),D7678*H7678*Inputs!$C$69,"")</f>
      </c>
      <c r="J7678" s="42">
        <f>IF(AND(ISNUMBER(F7678),ISNUMBER(H7678),F7678&gt;=Inputs!$C$68),F7678*H7678*Inputs!$C$69,"")</f>
      </c>
    </row>
    <row r="7679" spans="2:10" ht="15" customHeight="1" x14ac:dyDescent="0.2">
      <c r="B7679" s="39">
        <f t="shared" si="60"/>
      </c>
      <c r="C7679" s="40">
        <f>IF(Inputs!$C$60,Inputs!$C$11+(B7679-Inputs!$C$69)/Inputs!$C$70,"")</f>
      </c>
      <c r="D7679" s="15"/>
      <c r="E7679" s="15"/>
      <c r="F7679" s="11">
        <f t="shared" si="61"/>
      </c>
      <c r="G7679" s="22" cm="1">
        <f t="array" ref="G7679">IF(AND(Inputs!$C$60,Inputs!$C$61),INDEX(Utility_Rates!$C$29:$F$52,HOUR(C7679)+Inputs!$C$69,MATCH(INDEX(Utility_Rates!$K$6:$K$17,MONTH(C7679))&amp;IF(WEEKDAY(C7679,Inputs!$C$76)&lt;=Inputs!$C$74," weekday"," weekend"),Utility_Rates!$C$28:$F$28,Inputs!$C$68)),"")</f>
      </c>
      <c r="H7679" s="34"/>
      <c r="I7679" s="42">
        <f>IF(AND(ISNUMBER(D7679),ISNUMBER(H7679)),D7679*H7679*Inputs!$C$69,"")</f>
      </c>
      <c r="J7679" s="42">
        <f>IF(AND(ISNUMBER(F7679),ISNUMBER(H7679),F7679&gt;=Inputs!$C$68),F7679*H7679*Inputs!$C$69,"")</f>
      </c>
    </row>
    <row r="7680" spans="2:10" ht="15" customHeight="1" x14ac:dyDescent="0.2">
      <c r="B7680" s="39">
        <f t="shared" si="60"/>
      </c>
      <c r="C7680" s="40">
        <f>IF(Inputs!$C$60,Inputs!$C$11+(B7680-Inputs!$C$69)/Inputs!$C$70,"")</f>
      </c>
      <c r="D7680" s="15"/>
      <c r="E7680" s="15"/>
      <c r="F7680" s="11">
        <f t="shared" si="61"/>
      </c>
      <c r="G7680" s="22" cm="1">
        <f t="array" ref="G7680">IF(AND(Inputs!$C$60,Inputs!$C$61),INDEX(Utility_Rates!$C$29:$F$52,HOUR(C7680)+Inputs!$C$69,MATCH(INDEX(Utility_Rates!$K$6:$K$17,MONTH(C7680))&amp;IF(WEEKDAY(C7680,Inputs!$C$76)&lt;=Inputs!$C$74," weekday"," weekend"),Utility_Rates!$C$28:$F$28,Inputs!$C$68)),"")</f>
      </c>
      <c r="H7680" s="34"/>
      <c r="I7680" s="42">
        <f>IF(AND(ISNUMBER(D7680),ISNUMBER(H7680)),D7680*H7680*Inputs!$C$69,"")</f>
      </c>
      <c r="J7680" s="42">
        <f>IF(AND(ISNUMBER(F7680),ISNUMBER(H7680),F7680&gt;=Inputs!$C$68),F7680*H7680*Inputs!$C$69,"")</f>
      </c>
    </row>
    <row r="7681" spans="2:10" ht="15" customHeight="1" x14ac:dyDescent="0.2">
      <c r="B7681" s="39">
        <f t="shared" si="60"/>
      </c>
      <c r="C7681" s="40">
        <f>IF(Inputs!$C$60,Inputs!$C$11+(B7681-Inputs!$C$69)/Inputs!$C$70,"")</f>
      </c>
      <c r="D7681" s="15"/>
      <c r="E7681" s="15"/>
      <c r="F7681" s="11">
        <f t="shared" si="61"/>
      </c>
      <c r="G7681" s="22" cm="1">
        <f t="array" ref="G7681">IF(AND(Inputs!$C$60,Inputs!$C$61),INDEX(Utility_Rates!$C$29:$F$52,HOUR(C7681)+Inputs!$C$69,MATCH(INDEX(Utility_Rates!$K$6:$K$17,MONTH(C7681))&amp;IF(WEEKDAY(C7681,Inputs!$C$76)&lt;=Inputs!$C$74," weekday"," weekend"),Utility_Rates!$C$28:$F$28,Inputs!$C$68)),"")</f>
      </c>
      <c r="H7681" s="34"/>
      <c r="I7681" s="42">
        <f>IF(AND(ISNUMBER(D7681),ISNUMBER(H7681)),D7681*H7681*Inputs!$C$69,"")</f>
      </c>
      <c r="J7681" s="42">
        <f>IF(AND(ISNUMBER(F7681),ISNUMBER(H7681),F7681&gt;=Inputs!$C$68),F7681*H7681*Inputs!$C$69,"")</f>
      </c>
    </row>
    <row r="7682" spans="2:10" ht="15" customHeight="1" x14ac:dyDescent="0.2">
      <c r="B7682" s="39">
        <f t="shared" si="60"/>
      </c>
      <c r="C7682" s="40">
        <f>IF(Inputs!$C$60,Inputs!$C$11+(B7682-Inputs!$C$69)/Inputs!$C$70,"")</f>
      </c>
      <c r="D7682" s="15"/>
      <c r="E7682" s="15"/>
      <c r="F7682" s="11">
        <f t="shared" si="61"/>
      </c>
      <c r="G7682" s="22" cm="1">
        <f t="array" ref="G7682">IF(AND(Inputs!$C$60,Inputs!$C$61),INDEX(Utility_Rates!$C$29:$F$52,HOUR(C7682)+Inputs!$C$69,MATCH(INDEX(Utility_Rates!$K$6:$K$17,MONTH(C7682))&amp;IF(WEEKDAY(C7682,Inputs!$C$76)&lt;=Inputs!$C$74," weekday"," weekend"),Utility_Rates!$C$28:$F$28,Inputs!$C$68)),"")</f>
      </c>
      <c r="H7682" s="34"/>
      <c r="I7682" s="42">
        <f>IF(AND(ISNUMBER(D7682),ISNUMBER(H7682)),D7682*H7682*Inputs!$C$69,"")</f>
      </c>
      <c r="J7682" s="42">
        <f>IF(AND(ISNUMBER(F7682),ISNUMBER(H7682),F7682&gt;=Inputs!$C$68),F7682*H7682*Inputs!$C$69,"")</f>
      </c>
    </row>
    <row r="7683" spans="2:10" ht="15" customHeight="1" x14ac:dyDescent="0.2">
      <c r="B7683" s="39">
        <f t="shared" si="60"/>
      </c>
      <c r="C7683" s="40">
        <f>IF(Inputs!$C$60,Inputs!$C$11+(B7683-Inputs!$C$69)/Inputs!$C$70,"")</f>
      </c>
      <c r="D7683" s="15"/>
      <c r="E7683" s="15"/>
      <c r="F7683" s="11">
        <f t="shared" si="61"/>
      </c>
      <c r="G7683" s="22" cm="1">
        <f t="array" ref="G7683">IF(AND(Inputs!$C$60,Inputs!$C$61),INDEX(Utility_Rates!$C$29:$F$52,HOUR(C7683)+Inputs!$C$69,MATCH(INDEX(Utility_Rates!$K$6:$K$17,MONTH(C7683))&amp;IF(WEEKDAY(C7683,Inputs!$C$76)&lt;=Inputs!$C$74," weekday"," weekend"),Utility_Rates!$C$28:$F$28,Inputs!$C$68)),"")</f>
      </c>
      <c r="H7683" s="34"/>
      <c r="I7683" s="42">
        <f>IF(AND(ISNUMBER(D7683),ISNUMBER(H7683)),D7683*H7683*Inputs!$C$69,"")</f>
      </c>
      <c r="J7683" s="42">
        <f>IF(AND(ISNUMBER(F7683),ISNUMBER(H7683),F7683&gt;=Inputs!$C$68),F7683*H7683*Inputs!$C$69,"")</f>
      </c>
    </row>
    <row r="7684" spans="2:10" ht="15" customHeight="1" x14ac:dyDescent="0.2">
      <c r="B7684" s="39">
        <f t="shared" si="60"/>
      </c>
      <c r="C7684" s="40">
        <f>IF(Inputs!$C$60,Inputs!$C$11+(B7684-Inputs!$C$69)/Inputs!$C$70,"")</f>
      </c>
      <c r="D7684" s="15"/>
      <c r="E7684" s="15"/>
      <c r="F7684" s="11">
        <f t="shared" si="61"/>
      </c>
      <c r="G7684" s="22" cm="1">
        <f t="array" ref="G7684">IF(AND(Inputs!$C$60,Inputs!$C$61),INDEX(Utility_Rates!$C$29:$F$52,HOUR(C7684)+Inputs!$C$69,MATCH(INDEX(Utility_Rates!$K$6:$K$17,MONTH(C7684))&amp;IF(WEEKDAY(C7684,Inputs!$C$76)&lt;=Inputs!$C$74," weekday"," weekend"),Utility_Rates!$C$28:$F$28,Inputs!$C$68)),"")</f>
      </c>
      <c r="H7684" s="34"/>
      <c r="I7684" s="42">
        <f>IF(AND(ISNUMBER(D7684),ISNUMBER(H7684)),D7684*H7684*Inputs!$C$69,"")</f>
      </c>
      <c r="J7684" s="42">
        <f>IF(AND(ISNUMBER(F7684),ISNUMBER(H7684),F7684&gt;=Inputs!$C$68),F7684*H7684*Inputs!$C$69,"")</f>
      </c>
    </row>
    <row r="7685" spans="2:10" ht="15" customHeight="1" x14ac:dyDescent="0.2">
      <c r="B7685" s="39">
        <f t="shared" si="60"/>
      </c>
      <c r="C7685" s="40">
        <f>IF(Inputs!$C$60,Inputs!$C$11+(B7685-Inputs!$C$69)/Inputs!$C$70,"")</f>
      </c>
      <c r="D7685" s="15"/>
      <c r="E7685" s="15"/>
      <c r="F7685" s="11">
        <f t="shared" si="61"/>
      </c>
      <c r="G7685" s="22" cm="1">
        <f t="array" ref="G7685">IF(AND(Inputs!$C$60,Inputs!$C$61),INDEX(Utility_Rates!$C$29:$F$52,HOUR(C7685)+Inputs!$C$69,MATCH(INDEX(Utility_Rates!$K$6:$K$17,MONTH(C7685))&amp;IF(WEEKDAY(C7685,Inputs!$C$76)&lt;=Inputs!$C$74," weekday"," weekend"),Utility_Rates!$C$28:$F$28,Inputs!$C$68)),"")</f>
      </c>
      <c r="H7685" s="34"/>
      <c r="I7685" s="42">
        <f>IF(AND(ISNUMBER(D7685),ISNUMBER(H7685)),D7685*H7685*Inputs!$C$69,"")</f>
      </c>
      <c r="J7685" s="42">
        <f>IF(AND(ISNUMBER(F7685),ISNUMBER(H7685),F7685&gt;=Inputs!$C$68),F7685*H7685*Inputs!$C$69,"")</f>
      </c>
    </row>
    <row r="7686" spans="2:10" ht="15" customHeight="1" x14ac:dyDescent="0.2">
      <c r="B7686" s="39">
        <f t="shared" si="60"/>
      </c>
      <c r="C7686" s="40">
        <f>IF(Inputs!$C$60,Inputs!$C$11+(B7686-Inputs!$C$69)/Inputs!$C$70,"")</f>
      </c>
      <c r="D7686" s="15"/>
      <c r="E7686" s="15"/>
      <c r="F7686" s="11">
        <f t="shared" si="61"/>
      </c>
      <c r="G7686" s="22" cm="1">
        <f t="array" ref="G7686">IF(AND(Inputs!$C$60,Inputs!$C$61),INDEX(Utility_Rates!$C$29:$F$52,HOUR(C7686)+Inputs!$C$69,MATCH(INDEX(Utility_Rates!$K$6:$K$17,MONTH(C7686))&amp;IF(WEEKDAY(C7686,Inputs!$C$76)&lt;=Inputs!$C$74," weekday"," weekend"),Utility_Rates!$C$28:$F$28,Inputs!$C$68)),"")</f>
      </c>
      <c r="H7686" s="34"/>
      <c r="I7686" s="42">
        <f>IF(AND(ISNUMBER(D7686),ISNUMBER(H7686)),D7686*H7686*Inputs!$C$69,"")</f>
      </c>
      <c r="J7686" s="42">
        <f>IF(AND(ISNUMBER(F7686),ISNUMBER(H7686),F7686&gt;=Inputs!$C$68),F7686*H7686*Inputs!$C$69,"")</f>
      </c>
    </row>
    <row r="7687" spans="2:10" ht="15" customHeight="1" x14ac:dyDescent="0.2">
      <c r="B7687" s="39">
        <f t="shared" si="60"/>
      </c>
      <c r="C7687" s="40">
        <f>IF(Inputs!$C$60,Inputs!$C$11+(B7687-Inputs!$C$69)/Inputs!$C$70,"")</f>
      </c>
      <c r="D7687" s="15"/>
      <c r="E7687" s="15"/>
      <c r="F7687" s="11">
        <f t="shared" si="61"/>
      </c>
      <c r="G7687" s="22" cm="1">
        <f t="array" ref="G7687">IF(AND(Inputs!$C$60,Inputs!$C$61),INDEX(Utility_Rates!$C$29:$F$52,HOUR(C7687)+Inputs!$C$69,MATCH(INDEX(Utility_Rates!$K$6:$K$17,MONTH(C7687))&amp;IF(WEEKDAY(C7687,Inputs!$C$76)&lt;=Inputs!$C$74," weekday"," weekend"),Utility_Rates!$C$28:$F$28,Inputs!$C$68)),"")</f>
      </c>
      <c r="H7687" s="34"/>
      <c r="I7687" s="42">
        <f>IF(AND(ISNUMBER(D7687),ISNUMBER(H7687)),D7687*H7687*Inputs!$C$69,"")</f>
      </c>
      <c r="J7687" s="42">
        <f>IF(AND(ISNUMBER(F7687),ISNUMBER(H7687),F7687&gt;=Inputs!$C$68),F7687*H7687*Inputs!$C$69,"")</f>
      </c>
    </row>
    <row r="7688" spans="2:10" ht="15" customHeight="1" x14ac:dyDescent="0.2">
      <c r="B7688" s="39">
        <f t="shared" si="60"/>
      </c>
      <c r="C7688" s="40">
        <f>IF(Inputs!$C$60,Inputs!$C$11+(B7688-Inputs!$C$69)/Inputs!$C$70,"")</f>
      </c>
      <c r="D7688" s="15"/>
      <c r="E7688" s="15"/>
      <c r="F7688" s="11">
        <f t="shared" si="61"/>
      </c>
      <c r="G7688" s="22" cm="1">
        <f t="array" ref="G7688">IF(AND(Inputs!$C$60,Inputs!$C$61),INDEX(Utility_Rates!$C$29:$F$52,HOUR(C7688)+Inputs!$C$69,MATCH(INDEX(Utility_Rates!$K$6:$K$17,MONTH(C7688))&amp;IF(WEEKDAY(C7688,Inputs!$C$76)&lt;=Inputs!$C$74," weekday"," weekend"),Utility_Rates!$C$28:$F$28,Inputs!$C$68)),"")</f>
      </c>
      <c r="H7688" s="34"/>
      <c r="I7688" s="42">
        <f>IF(AND(ISNUMBER(D7688),ISNUMBER(H7688)),D7688*H7688*Inputs!$C$69,"")</f>
      </c>
      <c r="J7688" s="42">
        <f>IF(AND(ISNUMBER(F7688),ISNUMBER(H7688),F7688&gt;=Inputs!$C$68),F7688*H7688*Inputs!$C$69,"")</f>
      </c>
    </row>
    <row r="7689" spans="2:10" ht="15" customHeight="1" x14ac:dyDescent="0.2">
      <c r="B7689" s="39">
        <f t="shared" si="60"/>
      </c>
      <c r="C7689" s="40">
        <f>IF(Inputs!$C$60,Inputs!$C$11+(B7689-Inputs!$C$69)/Inputs!$C$70,"")</f>
      </c>
      <c r="D7689" s="15"/>
      <c r="E7689" s="15"/>
      <c r="F7689" s="11">
        <f t="shared" si="61"/>
      </c>
      <c r="G7689" s="22" cm="1">
        <f t="array" ref="G7689">IF(AND(Inputs!$C$60,Inputs!$C$61),INDEX(Utility_Rates!$C$29:$F$52,HOUR(C7689)+Inputs!$C$69,MATCH(INDEX(Utility_Rates!$K$6:$K$17,MONTH(C7689))&amp;IF(WEEKDAY(C7689,Inputs!$C$76)&lt;=Inputs!$C$74," weekday"," weekend"),Utility_Rates!$C$28:$F$28,Inputs!$C$68)),"")</f>
      </c>
      <c r="H7689" s="34"/>
      <c r="I7689" s="42">
        <f>IF(AND(ISNUMBER(D7689),ISNUMBER(H7689)),D7689*H7689*Inputs!$C$69,"")</f>
      </c>
      <c r="J7689" s="42">
        <f>IF(AND(ISNUMBER(F7689),ISNUMBER(H7689),F7689&gt;=Inputs!$C$68),F7689*H7689*Inputs!$C$69,"")</f>
      </c>
    </row>
    <row r="7690" spans="2:10" ht="15" customHeight="1" x14ac:dyDescent="0.2">
      <c r="B7690" s="39">
        <f t="shared" si="60"/>
      </c>
      <c r="C7690" s="40">
        <f>IF(Inputs!$C$60,Inputs!$C$11+(B7690-Inputs!$C$69)/Inputs!$C$70,"")</f>
      </c>
      <c r="D7690" s="15"/>
      <c r="E7690" s="15"/>
      <c r="F7690" s="11">
        <f t="shared" si="61"/>
      </c>
      <c r="G7690" s="22" cm="1">
        <f t="array" ref="G7690">IF(AND(Inputs!$C$60,Inputs!$C$61),INDEX(Utility_Rates!$C$29:$F$52,HOUR(C7690)+Inputs!$C$69,MATCH(INDEX(Utility_Rates!$K$6:$K$17,MONTH(C7690))&amp;IF(WEEKDAY(C7690,Inputs!$C$76)&lt;=Inputs!$C$74," weekday"," weekend"),Utility_Rates!$C$28:$F$28,Inputs!$C$68)),"")</f>
      </c>
      <c r="H7690" s="34"/>
      <c r="I7690" s="42">
        <f>IF(AND(ISNUMBER(D7690),ISNUMBER(H7690)),D7690*H7690*Inputs!$C$69,"")</f>
      </c>
      <c r="J7690" s="42">
        <f>IF(AND(ISNUMBER(F7690),ISNUMBER(H7690),F7690&gt;=Inputs!$C$68),F7690*H7690*Inputs!$C$69,"")</f>
      </c>
    </row>
    <row r="7691" spans="2:10" ht="15" customHeight="1" x14ac:dyDescent="0.2">
      <c r="B7691" s="39">
        <f t="shared" si="60"/>
      </c>
      <c r="C7691" s="40">
        <f>IF(Inputs!$C$60,Inputs!$C$11+(B7691-Inputs!$C$69)/Inputs!$C$70,"")</f>
      </c>
      <c r="D7691" s="15"/>
      <c r="E7691" s="15"/>
      <c r="F7691" s="11">
        <f t="shared" si="61"/>
      </c>
      <c r="G7691" s="22" cm="1">
        <f t="array" ref="G7691">IF(AND(Inputs!$C$60,Inputs!$C$61),INDEX(Utility_Rates!$C$29:$F$52,HOUR(C7691)+Inputs!$C$69,MATCH(INDEX(Utility_Rates!$K$6:$K$17,MONTH(C7691))&amp;IF(WEEKDAY(C7691,Inputs!$C$76)&lt;=Inputs!$C$74," weekday"," weekend"),Utility_Rates!$C$28:$F$28,Inputs!$C$68)),"")</f>
      </c>
      <c r="H7691" s="34"/>
      <c r="I7691" s="42">
        <f>IF(AND(ISNUMBER(D7691),ISNUMBER(H7691)),D7691*H7691*Inputs!$C$69,"")</f>
      </c>
      <c r="J7691" s="42">
        <f>IF(AND(ISNUMBER(F7691),ISNUMBER(H7691),F7691&gt;=Inputs!$C$68),F7691*H7691*Inputs!$C$69,"")</f>
      </c>
    </row>
    <row r="7692" spans="2:10" ht="15" customHeight="1" x14ac:dyDescent="0.2">
      <c r="B7692" s="39">
        <f t="shared" si="60"/>
      </c>
      <c r="C7692" s="40">
        <f>IF(Inputs!$C$60,Inputs!$C$11+(B7692-Inputs!$C$69)/Inputs!$C$70,"")</f>
      </c>
      <c r="D7692" s="15"/>
      <c r="E7692" s="15"/>
      <c r="F7692" s="11">
        <f t="shared" si="61"/>
      </c>
      <c r="G7692" s="22" cm="1">
        <f t="array" ref="G7692">IF(AND(Inputs!$C$60,Inputs!$C$61),INDEX(Utility_Rates!$C$29:$F$52,HOUR(C7692)+Inputs!$C$69,MATCH(INDEX(Utility_Rates!$K$6:$K$17,MONTH(C7692))&amp;IF(WEEKDAY(C7692,Inputs!$C$76)&lt;=Inputs!$C$74," weekday"," weekend"),Utility_Rates!$C$28:$F$28,Inputs!$C$68)),"")</f>
      </c>
      <c r="H7692" s="34"/>
      <c r="I7692" s="42">
        <f>IF(AND(ISNUMBER(D7692),ISNUMBER(H7692)),D7692*H7692*Inputs!$C$69,"")</f>
      </c>
      <c r="J7692" s="42">
        <f>IF(AND(ISNUMBER(F7692),ISNUMBER(H7692),F7692&gt;=Inputs!$C$68),F7692*H7692*Inputs!$C$69,"")</f>
      </c>
    </row>
    <row r="7693" spans="2:10" ht="15" customHeight="1" x14ac:dyDescent="0.2">
      <c r="B7693" s="39">
        <f t="shared" si="60"/>
      </c>
      <c r="C7693" s="40">
        <f>IF(Inputs!$C$60,Inputs!$C$11+(B7693-Inputs!$C$69)/Inputs!$C$70,"")</f>
      </c>
      <c r="D7693" s="15"/>
      <c r="E7693" s="15"/>
      <c r="F7693" s="11">
        <f t="shared" si="61"/>
      </c>
      <c r="G7693" s="22" cm="1">
        <f t="array" ref="G7693">IF(AND(Inputs!$C$60,Inputs!$C$61),INDEX(Utility_Rates!$C$29:$F$52,HOUR(C7693)+Inputs!$C$69,MATCH(INDEX(Utility_Rates!$K$6:$K$17,MONTH(C7693))&amp;IF(WEEKDAY(C7693,Inputs!$C$76)&lt;=Inputs!$C$74," weekday"," weekend"),Utility_Rates!$C$28:$F$28,Inputs!$C$68)),"")</f>
      </c>
      <c r="H7693" s="34"/>
      <c r="I7693" s="42">
        <f>IF(AND(ISNUMBER(D7693),ISNUMBER(H7693)),D7693*H7693*Inputs!$C$69,"")</f>
      </c>
      <c r="J7693" s="42">
        <f>IF(AND(ISNUMBER(F7693),ISNUMBER(H7693),F7693&gt;=Inputs!$C$68),F7693*H7693*Inputs!$C$69,"")</f>
      </c>
    </row>
    <row r="7694" spans="2:10" ht="15" customHeight="1" x14ac:dyDescent="0.2">
      <c r="B7694" s="39">
        <f t="shared" si="60"/>
      </c>
      <c r="C7694" s="40">
        <f>IF(Inputs!$C$60,Inputs!$C$11+(B7694-Inputs!$C$69)/Inputs!$C$70,"")</f>
      </c>
      <c r="D7694" s="15"/>
      <c r="E7694" s="15"/>
      <c r="F7694" s="11">
        <f t="shared" si="61"/>
      </c>
      <c r="G7694" s="22" cm="1">
        <f t="array" ref="G7694">IF(AND(Inputs!$C$60,Inputs!$C$61),INDEX(Utility_Rates!$C$29:$F$52,HOUR(C7694)+Inputs!$C$69,MATCH(INDEX(Utility_Rates!$K$6:$K$17,MONTH(C7694))&amp;IF(WEEKDAY(C7694,Inputs!$C$76)&lt;=Inputs!$C$74," weekday"," weekend"),Utility_Rates!$C$28:$F$28,Inputs!$C$68)),"")</f>
      </c>
      <c r="H7694" s="34"/>
      <c r="I7694" s="42">
        <f>IF(AND(ISNUMBER(D7694),ISNUMBER(H7694)),D7694*H7694*Inputs!$C$69,"")</f>
      </c>
      <c r="J7694" s="42">
        <f>IF(AND(ISNUMBER(F7694),ISNUMBER(H7694),F7694&gt;=Inputs!$C$68),F7694*H7694*Inputs!$C$69,"")</f>
      </c>
    </row>
    <row r="7695" spans="2:10" ht="15" customHeight="1" x14ac:dyDescent="0.2">
      <c r="B7695" s="39">
        <f t="shared" si="60"/>
      </c>
      <c r="C7695" s="40">
        <f>IF(Inputs!$C$60,Inputs!$C$11+(B7695-Inputs!$C$69)/Inputs!$C$70,"")</f>
      </c>
      <c r="D7695" s="15"/>
      <c r="E7695" s="15"/>
      <c r="F7695" s="11">
        <f t="shared" si="61"/>
      </c>
      <c r="G7695" s="22" cm="1">
        <f t="array" ref="G7695">IF(AND(Inputs!$C$60,Inputs!$C$61),INDEX(Utility_Rates!$C$29:$F$52,HOUR(C7695)+Inputs!$C$69,MATCH(INDEX(Utility_Rates!$K$6:$K$17,MONTH(C7695))&amp;IF(WEEKDAY(C7695,Inputs!$C$76)&lt;=Inputs!$C$74," weekday"," weekend"),Utility_Rates!$C$28:$F$28,Inputs!$C$68)),"")</f>
      </c>
      <c r="H7695" s="34"/>
      <c r="I7695" s="42">
        <f>IF(AND(ISNUMBER(D7695),ISNUMBER(H7695)),D7695*H7695*Inputs!$C$69,"")</f>
      </c>
      <c r="J7695" s="42">
        <f>IF(AND(ISNUMBER(F7695),ISNUMBER(H7695),F7695&gt;=Inputs!$C$68),F7695*H7695*Inputs!$C$69,"")</f>
      </c>
    </row>
    <row r="7696" spans="2:10" ht="15" customHeight="1" x14ac:dyDescent="0.2">
      <c r="B7696" s="39">
        <f t="shared" si="60"/>
      </c>
      <c r="C7696" s="40">
        <f>IF(Inputs!$C$60,Inputs!$C$11+(B7696-Inputs!$C$69)/Inputs!$C$70,"")</f>
      </c>
      <c r="D7696" s="15"/>
      <c r="E7696" s="15"/>
      <c r="F7696" s="11">
        <f t="shared" si="61"/>
      </c>
      <c r="G7696" s="22" cm="1">
        <f t="array" ref="G7696">IF(AND(Inputs!$C$60,Inputs!$C$61),INDEX(Utility_Rates!$C$29:$F$52,HOUR(C7696)+Inputs!$C$69,MATCH(INDEX(Utility_Rates!$K$6:$K$17,MONTH(C7696))&amp;IF(WEEKDAY(C7696,Inputs!$C$76)&lt;=Inputs!$C$74," weekday"," weekend"),Utility_Rates!$C$28:$F$28,Inputs!$C$68)),"")</f>
      </c>
      <c r="H7696" s="34"/>
      <c r="I7696" s="42">
        <f>IF(AND(ISNUMBER(D7696),ISNUMBER(H7696)),D7696*H7696*Inputs!$C$69,"")</f>
      </c>
      <c r="J7696" s="42">
        <f>IF(AND(ISNUMBER(F7696),ISNUMBER(H7696),F7696&gt;=Inputs!$C$68),F7696*H7696*Inputs!$C$69,"")</f>
      </c>
    </row>
    <row r="7697" spans="2:10" ht="15" customHeight="1" x14ac:dyDescent="0.2">
      <c r="B7697" s="39">
        <f t="shared" si="60"/>
      </c>
      <c r="C7697" s="40">
        <f>IF(Inputs!$C$60,Inputs!$C$11+(B7697-Inputs!$C$69)/Inputs!$C$70,"")</f>
      </c>
      <c r="D7697" s="15"/>
      <c r="E7697" s="15"/>
      <c r="F7697" s="11">
        <f t="shared" si="61"/>
      </c>
      <c r="G7697" s="22" cm="1">
        <f t="array" ref="G7697">IF(AND(Inputs!$C$60,Inputs!$C$61),INDEX(Utility_Rates!$C$29:$F$52,HOUR(C7697)+Inputs!$C$69,MATCH(INDEX(Utility_Rates!$K$6:$K$17,MONTH(C7697))&amp;IF(WEEKDAY(C7697,Inputs!$C$76)&lt;=Inputs!$C$74," weekday"," weekend"),Utility_Rates!$C$28:$F$28,Inputs!$C$68)),"")</f>
      </c>
      <c r="H7697" s="34"/>
      <c r="I7697" s="42">
        <f>IF(AND(ISNUMBER(D7697),ISNUMBER(H7697)),D7697*H7697*Inputs!$C$69,"")</f>
      </c>
      <c r="J7697" s="42">
        <f>IF(AND(ISNUMBER(F7697),ISNUMBER(H7697),F7697&gt;=Inputs!$C$68),F7697*H7697*Inputs!$C$69,"")</f>
      </c>
    </row>
    <row r="7698" spans="2:10" ht="15" customHeight="1" x14ac:dyDescent="0.2">
      <c r="B7698" s="39">
        <f t="shared" si="60"/>
      </c>
      <c r="C7698" s="40">
        <f>IF(Inputs!$C$60,Inputs!$C$11+(B7698-Inputs!$C$69)/Inputs!$C$70,"")</f>
      </c>
      <c r="D7698" s="15"/>
      <c r="E7698" s="15"/>
      <c r="F7698" s="11">
        <f t="shared" si="61"/>
      </c>
      <c r="G7698" s="22" cm="1">
        <f t="array" ref="G7698">IF(AND(Inputs!$C$60,Inputs!$C$61),INDEX(Utility_Rates!$C$29:$F$52,HOUR(C7698)+Inputs!$C$69,MATCH(INDEX(Utility_Rates!$K$6:$K$17,MONTH(C7698))&amp;IF(WEEKDAY(C7698,Inputs!$C$76)&lt;=Inputs!$C$74," weekday"," weekend"),Utility_Rates!$C$28:$F$28,Inputs!$C$68)),"")</f>
      </c>
      <c r="H7698" s="34"/>
      <c r="I7698" s="42">
        <f>IF(AND(ISNUMBER(D7698),ISNUMBER(H7698)),D7698*H7698*Inputs!$C$69,"")</f>
      </c>
      <c r="J7698" s="42">
        <f>IF(AND(ISNUMBER(F7698),ISNUMBER(H7698),F7698&gt;=Inputs!$C$68),F7698*H7698*Inputs!$C$69,"")</f>
      </c>
    </row>
    <row r="7699" spans="2:10" ht="15" customHeight="1" x14ac:dyDescent="0.2">
      <c r="B7699" s="39">
        <f t="shared" si="60"/>
      </c>
      <c r="C7699" s="40">
        <f>IF(Inputs!$C$60,Inputs!$C$11+(B7699-Inputs!$C$69)/Inputs!$C$70,"")</f>
      </c>
      <c r="D7699" s="15"/>
      <c r="E7699" s="15"/>
      <c r="F7699" s="11">
        <f t="shared" si="61"/>
      </c>
      <c r="G7699" s="22" cm="1">
        <f t="array" ref="G7699">IF(AND(Inputs!$C$60,Inputs!$C$61),INDEX(Utility_Rates!$C$29:$F$52,HOUR(C7699)+Inputs!$C$69,MATCH(INDEX(Utility_Rates!$K$6:$K$17,MONTH(C7699))&amp;IF(WEEKDAY(C7699,Inputs!$C$76)&lt;=Inputs!$C$74," weekday"," weekend"),Utility_Rates!$C$28:$F$28,Inputs!$C$68)),"")</f>
      </c>
      <c r="H7699" s="34"/>
      <c r="I7699" s="42">
        <f>IF(AND(ISNUMBER(D7699),ISNUMBER(H7699)),D7699*H7699*Inputs!$C$69,"")</f>
      </c>
      <c r="J7699" s="42">
        <f>IF(AND(ISNUMBER(F7699),ISNUMBER(H7699),F7699&gt;=Inputs!$C$68),F7699*H7699*Inputs!$C$69,"")</f>
      </c>
    </row>
    <row r="7700" spans="2:10" ht="15" customHeight="1" x14ac:dyDescent="0.2">
      <c r="B7700" s="39">
        <f t="shared" si="60"/>
      </c>
      <c r="C7700" s="40">
        <f>IF(Inputs!$C$60,Inputs!$C$11+(B7700-Inputs!$C$69)/Inputs!$C$70,"")</f>
      </c>
      <c r="D7700" s="15"/>
      <c r="E7700" s="15"/>
      <c r="F7700" s="11">
        <f t="shared" si="61"/>
      </c>
      <c r="G7700" s="22" cm="1">
        <f t="array" ref="G7700">IF(AND(Inputs!$C$60,Inputs!$C$61),INDEX(Utility_Rates!$C$29:$F$52,HOUR(C7700)+Inputs!$C$69,MATCH(INDEX(Utility_Rates!$K$6:$K$17,MONTH(C7700))&amp;IF(WEEKDAY(C7700,Inputs!$C$76)&lt;=Inputs!$C$74," weekday"," weekend"),Utility_Rates!$C$28:$F$28,Inputs!$C$68)),"")</f>
      </c>
      <c r="H7700" s="34"/>
      <c r="I7700" s="42">
        <f>IF(AND(ISNUMBER(D7700),ISNUMBER(H7700)),D7700*H7700*Inputs!$C$69,"")</f>
      </c>
      <c r="J7700" s="42">
        <f>IF(AND(ISNUMBER(F7700),ISNUMBER(H7700),F7700&gt;=Inputs!$C$68),F7700*H7700*Inputs!$C$69,"")</f>
      </c>
    </row>
    <row r="7701" spans="2:10" ht="15" customHeight="1" x14ac:dyDescent="0.2">
      <c r="B7701" s="39">
        <f t="shared" si="60"/>
      </c>
      <c r="C7701" s="40">
        <f>IF(Inputs!$C$60,Inputs!$C$11+(B7701-Inputs!$C$69)/Inputs!$C$70,"")</f>
      </c>
      <c r="D7701" s="15"/>
      <c r="E7701" s="15"/>
      <c r="F7701" s="11">
        <f t="shared" si="61"/>
      </c>
      <c r="G7701" s="22" cm="1">
        <f t="array" ref="G7701">IF(AND(Inputs!$C$60,Inputs!$C$61),INDEX(Utility_Rates!$C$29:$F$52,HOUR(C7701)+Inputs!$C$69,MATCH(INDEX(Utility_Rates!$K$6:$K$17,MONTH(C7701))&amp;IF(WEEKDAY(C7701,Inputs!$C$76)&lt;=Inputs!$C$74," weekday"," weekend"),Utility_Rates!$C$28:$F$28,Inputs!$C$68)),"")</f>
      </c>
      <c r="H7701" s="34"/>
      <c r="I7701" s="42">
        <f>IF(AND(ISNUMBER(D7701),ISNUMBER(H7701)),D7701*H7701*Inputs!$C$69,"")</f>
      </c>
      <c r="J7701" s="42">
        <f>IF(AND(ISNUMBER(F7701),ISNUMBER(H7701),F7701&gt;=Inputs!$C$68),F7701*H7701*Inputs!$C$69,"")</f>
      </c>
    </row>
    <row r="7702" spans="2:10" ht="15" customHeight="1" x14ac:dyDescent="0.2">
      <c r="B7702" s="39">
        <f t="shared" si="60"/>
      </c>
      <c r="C7702" s="40">
        <f>IF(Inputs!$C$60,Inputs!$C$11+(B7702-Inputs!$C$69)/Inputs!$C$70,"")</f>
      </c>
      <c r="D7702" s="15"/>
      <c r="E7702" s="15"/>
      <c r="F7702" s="11">
        <f t="shared" si="61"/>
      </c>
      <c r="G7702" s="22" cm="1">
        <f t="array" ref="G7702">IF(AND(Inputs!$C$60,Inputs!$C$61),INDEX(Utility_Rates!$C$29:$F$52,HOUR(C7702)+Inputs!$C$69,MATCH(INDEX(Utility_Rates!$K$6:$K$17,MONTH(C7702))&amp;IF(WEEKDAY(C7702,Inputs!$C$76)&lt;=Inputs!$C$74," weekday"," weekend"),Utility_Rates!$C$28:$F$28,Inputs!$C$68)),"")</f>
      </c>
      <c r="H7702" s="34"/>
      <c r="I7702" s="42">
        <f>IF(AND(ISNUMBER(D7702),ISNUMBER(H7702)),D7702*H7702*Inputs!$C$69,"")</f>
      </c>
      <c r="J7702" s="42">
        <f>IF(AND(ISNUMBER(F7702),ISNUMBER(H7702),F7702&gt;=Inputs!$C$68),F7702*H7702*Inputs!$C$69,"")</f>
      </c>
    </row>
    <row r="7703" spans="2:10" ht="15" customHeight="1" x14ac:dyDescent="0.2">
      <c r="B7703" s="39">
        <f t="shared" si="60"/>
      </c>
      <c r="C7703" s="40">
        <f>IF(Inputs!$C$60,Inputs!$C$11+(B7703-Inputs!$C$69)/Inputs!$C$70,"")</f>
      </c>
      <c r="D7703" s="15"/>
      <c r="E7703" s="15"/>
      <c r="F7703" s="11">
        <f t="shared" si="61"/>
      </c>
      <c r="G7703" s="22" cm="1">
        <f t="array" ref="G7703">IF(AND(Inputs!$C$60,Inputs!$C$61),INDEX(Utility_Rates!$C$29:$F$52,HOUR(C7703)+Inputs!$C$69,MATCH(INDEX(Utility_Rates!$K$6:$K$17,MONTH(C7703))&amp;IF(WEEKDAY(C7703,Inputs!$C$76)&lt;=Inputs!$C$74," weekday"," weekend"),Utility_Rates!$C$28:$F$28,Inputs!$C$68)),"")</f>
      </c>
      <c r="H7703" s="34"/>
      <c r="I7703" s="42">
        <f>IF(AND(ISNUMBER(D7703),ISNUMBER(H7703)),D7703*H7703*Inputs!$C$69,"")</f>
      </c>
      <c r="J7703" s="42">
        <f>IF(AND(ISNUMBER(F7703),ISNUMBER(H7703),F7703&gt;=Inputs!$C$68),F7703*H7703*Inputs!$C$69,"")</f>
      </c>
    </row>
    <row r="7704" spans="2:10" ht="15" customHeight="1" x14ac:dyDescent="0.2">
      <c r="B7704" s="39">
        <f t="shared" si="60"/>
      </c>
      <c r="C7704" s="40">
        <f>IF(Inputs!$C$60,Inputs!$C$11+(B7704-Inputs!$C$69)/Inputs!$C$70,"")</f>
      </c>
      <c r="D7704" s="15"/>
      <c r="E7704" s="15"/>
      <c r="F7704" s="11">
        <f t="shared" si="61"/>
      </c>
      <c r="G7704" s="22" cm="1">
        <f t="array" ref="G7704">IF(AND(Inputs!$C$60,Inputs!$C$61),INDEX(Utility_Rates!$C$29:$F$52,HOUR(C7704)+Inputs!$C$69,MATCH(INDEX(Utility_Rates!$K$6:$K$17,MONTH(C7704))&amp;IF(WEEKDAY(C7704,Inputs!$C$76)&lt;=Inputs!$C$74," weekday"," weekend"),Utility_Rates!$C$28:$F$28,Inputs!$C$68)),"")</f>
      </c>
      <c r="H7704" s="34"/>
      <c r="I7704" s="42">
        <f>IF(AND(ISNUMBER(D7704),ISNUMBER(H7704)),D7704*H7704*Inputs!$C$69,"")</f>
      </c>
      <c r="J7704" s="42">
        <f>IF(AND(ISNUMBER(F7704),ISNUMBER(H7704),F7704&gt;=Inputs!$C$68),F7704*H7704*Inputs!$C$69,"")</f>
      </c>
    </row>
    <row r="7705" spans="2:10" ht="15" customHeight="1" x14ac:dyDescent="0.2">
      <c r="B7705" s="39">
        <f t="shared" si="60"/>
      </c>
      <c r="C7705" s="40">
        <f>IF(Inputs!$C$60,Inputs!$C$11+(B7705-Inputs!$C$69)/Inputs!$C$70,"")</f>
      </c>
      <c r="D7705" s="15"/>
      <c r="E7705" s="15"/>
      <c r="F7705" s="11">
        <f t="shared" si="61"/>
      </c>
      <c r="G7705" s="22" cm="1">
        <f t="array" ref="G7705">IF(AND(Inputs!$C$60,Inputs!$C$61),INDEX(Utility_Rates!$C$29:$F$52,HOUR(C7705)+Inputs!$C$69,MATCH(INDEX(Utility_Rates!$K$6:$K$17,MONTH(C7705))&amp;IF(WEEKDAY(C7705,Inputs!$C$76)&lt;=Inputs!$C$74," weekday"," weekend"),Utility_Rates!$C$28:$F$28,Inputs!$C$68)),"")</f>
      </c>
      <c r="H7705" s="34"/>
      <c r="I7705" s="42">
        <f>IF(AND(ISNUMBER(D7705),ISNUMBER(H7705)),D7705*H7705*Inputs!$C$69,"")</f>
      </c>
      <c r="J7705" s="42">
        <f>IF(AND(ISNUMBER(F7705),ISNUMBER(H7705),F7705&gt;=Inputs!$C$68),F7705*H7705*Inputs!$C$69,"")</f>
      </c>
    </row>
    <row r="7706" spans="2:10" ht="15" customHeight="1" x14ac:dyDescent="0.2">
      <c r="B7706" s="39">
        <f t="shared" si="60"/>
      </c>
      <c r="C7706" s="40">
        <f>IF(Inputs!$C$60,Inputs!$C$11+(B7706-Inputs!$C$69)/Inputs!$C$70,"")</f>
      </c>
      <c r="D7706" s="15"/>
      <c r="E7706" s="15"/>
      <c r="F7706" s="11">
        <f t="shared" si="61"/>
      </c>
      <c r="G7706" s="22" cm="1">
        <f t="array" ref="G7706">IF(AND(Inputs!$C$60,Inputs!$C$61),INDEX(Utility_Rates!$C$29:$F$52,HOUR(C7706)+Inputs!$C$69,MATCH(INDEX(Utility_Rates!$K$6:$K$17,MONTH(C7706))&amp;IF(WEEKDAY(C7706,Inputs!$C$76)&lt;=Inputs!$C$74," weekday"," weekend"),Utility_Rates!$C$28:$F$28,Inputs!$C$68)),"")</f>
      </c>
      <c r="H7706" s="34"/>
      <c r="I7706" s="42">
        <f>IF(AND(ISNUMBER(D7706),ISNUMBER(H7706)),D7706*H7706*Inputs!$C$69,"")</f>
      </c>
      <c r="J7706" s="42">
        <f>IF(AND(ISNUMBER(F7706),ISNUMBER(H7706),F7706&gt;=Inputs!$C$68),F7706*H7706*Inputs!$C$69,"")</f>
      </c>
    </row>
    <row r="7707" spans="2:10" ht="15" customHeight="1" x14ac:dyDescent="0.2">
      <c r="B7707" s="39">
        <f t="shared" si="60"/>
      </c>
      <c r="C7707" s="40">
        <f>IF(Inputs!$C$60,Inputs!$C$11+(B7707-Inputs!$C$69)/Inputs!$C$70,"")</f>
      </c>
      <c r="D7707" s="15"/>
      <c r="E7707" s="15"/>
      <c r="F7707" s="11">
        <f t="shared" si="61"/>
      </c>
      <c r="G7707" s="22" cm="1">
        <f t="array" ref="G7707">IF(AND(Inputs!$C$60,Inputs!$C$61),INDEX(Utility_Rates!$C$29:$F$52,HOUR(C7707)+Inputs!$C$69,MATCH(INDEX(Utility_Rates!$K$6:$K$17,MONTH(C7707))&amp;IF(WEEKDAY(C7707,Inputs!$C$76)&lt;=Inputs!$C$74," weekday"," weekend"),Utility_Rates!$C$28:$F$28,Inputs!$C$68)),"")</f>
      </c>
      <c r="H7707" s="34"/>
      <c r="I7707" s="42">
        <f>IF(AND(ISNUMBER(D7707),ISNUMBER(H7707)),D7707*H7707*Inputs!$C$69,"")</f>
      </c>
      <c r="J7707" s="42">
        <f>IF(AND(ISNUMBER(F7707),ISNUMBER(H7707),F7707&gt;=Inputs!$C$68),F7707*H7707*Inputs!$C$69,"")</f>
      </c>
    </row>
    <row r="7708" spans="2:10" ht="15" customHeight="1" x14ac:dyDescent="0.2">
      <c r="B7708" s="39">
        <f t="shared" si="60"/>
      </c>
      <c r="C7708" s="40">
        <f>IF(Inputs!$C$60,Inputs!$C$11+(B7708-Inputs!$C$69)/Inputs!$C$70,"")</f>
      </c>
      <c r="D7708" s="15"/>
      <c r="E7708" s="15"/>
      <c r="F7708" s="11">
        <f t="shared" si="61"/>
      </c>
      <c r="G7708" s="22" cm="1">
        <f t="array" ref="G7708">IF(AND(Inputs!$C$60,Inputs!$C$61),INDEX(Utility_Rates!$C$29:$F$52,HOUR(C7708)+Inputs!$C$69,MATCH(INDEX(Utility_Rates!$K$6:$K$17,MONTH(C7708))&amp;IF(WEEKDAY(C7708,Inputs!$C$76)&lt;=Inputs!$C$74," weekday"," weekend"),Utility_Rates!$C$28:$F$28,Inputs!$C$68)),"")</f>
      </c>
      <c r="H7708" s="34"/>
      <c r="I7708" s="42">
        <f>IF(AND(ISNUMBER(D7708),ISNUMBER(H7708)),D7708*H7708*Inputs!$C$69,"")</f>
      </c>
      <c r="J7708" s="42">
        <f>IF(AND(ISNUMBER(F7708),ISNUMBER(H7708),F7708&gt;=Inputs!$C$68),F7708*H7708*Inputs!$C$69,"")</f>
      </c>
    </row>
    <row r="7709" spans="2:10" ht="15" customHeight="1" x14ac:dyDescent="0.2">
      <c r="B7709" s="39">
        <f t="shared" si="60"/>
      </c>
      <c r="C7709" s="40">
        <f>IF(Inputs!$C$60,Inputs!$C$11+(B7709-Inputs!$C$69)/Inputs!$C$70,"")</f>
      </c>
      <c r="D7709" s="15"/>
      <c r="E7709" s="15"/>
      <c r="F7709" s="11">
        <f t="shared" si="61"/>
      </c>
      <c r="G7709" s="22" cm="1">
        <f t="array" ref="G7709">IF(AND(Inputs!$C$60,Inputs!$C$61),INDEX(Utility_Rates!$C$29:$F$52,HOUR(C7709)+Inputs!$C$69,MATCH(INDEX(Utility_Rates!$K$6:$K$17,MONTH(C7709))&amp;IF(WEEKDAY(C7709,Inputs!$C$76)&lt;=Inputs!$C$74," weekday"," weekend"),Utility_Rates!$C$28:$F$28,Inputs!$C$68)),"")</f>
      </c>
      <c r="H7709" s="34"/>
      <c r="I7709" s="42">
        <f>IF(AND(ISNUMBER(D7709),ISNUMBER(H7709)),D7709*H7709*Inputs!$C$69,"")</f>
      </c>
      <c r="J7709" s="42">
        <f>IF(AND(ISNUMBER(F7709),ISNUMBER(H7709),F7709&gt;=Inputs!$C$68),F7709*H7709*Inputs!$C$69,"")</f>
      </c>
    </row>
    <row r="7710" spans="2:10" ht="15" customHeight="1" x14ac:dyDescent="0.2">
      <c r="B7710" s="39">
        <f t="shared" si="60"/>
      </c>
      <c r="C7710" s="40">
        <f>IF(Inputs!$C$60,Inputs!$C$11+(B7710-Inputs!$C$69)/Inputs!$C$70,"")</f>
      </c>
      <c r="D7710" s="15"/>
      <c r="E7710" s="15"/>
      <c r="F7710" s="11">
        <f t="shared" si="61"/>
      </c>
      <c r="G7710" s="22" cm="1">
        <f t="array" ref="G7710">IF(AND(Inputs!$C$60,Inputs!$C$61),INDEX(Utility_Rates!$C$29:$F$52,HOUR(C7710)+Inputs!$C$69,MATCH(INDEX(Utility_Rates!$K$6:$K$17,MONTH(C7710))&amp;IF(WEEKDAY(C7710,Inputs!$C$76)&lt;=Inputs!$C$74," weekday"," weekend"),Utility_Rates!$C$28:$F$28,Inputs!$C$68)),"")</f>
      </c>
      <c r="H7710" s="34"/>
      <c r="I7710" s="42">
        <f>IF(AND(ISNUMBER(D7710),ISNUMBER(H7710)),D7710*H7710*Inputs!$C$69,"")</f>
      </c>
      <c r="J7710" s="42">
        <f>IF(AND(ISNUMBER(F7710),ISNUMBER(H7710),F7710&gt;=Inputs!$C$68),F7710*H7710*Inputs!$C$69,"")</f>
      </c>
    </row>
    <row r="7711" spans="2:10" ht="15" customHeight="1" x14ac:dyDescent="0.2">
      <c r="B7711" s="39">
        <f t="shared" si="60"/>
      </c>
      <c r="C7711" s="40">
        <f>IF(Inputs!$C$60,Inputs!$C$11+(B7711-Inputs!$C$69)/Inputs!$C$70,"")</f>
      </c>
      <c r="D7711" s="15"/>
      <c r="E7711" s="15"/>
      <c r="F7711" s="11">
        <f t="shared" si="61"/>
      </c>
      <c r="G7711" s="22" cm="1">
        <f t="array" ref="G7711">IF(AND(Inputs!$C$60,Inputs!$C$61),INDEX(Utility_Rates!$C$29:$F$52,HOUR(C7711)+Inputs!$C$69,MATCH(INDEX(Utility_Rates!$K$6:$K$17,MONTH(C7711))&amp;IF(WEEKDAY(C7711,Inputs!$C$76)&lt;=Inputs!$C$74," weekday"," weekend"),Utility_Rates!$C$28:$F$28,Inputs!$C$68)),"")</f>
      </c>
      <c r="H7711" s="34"/>
      <c r="I7711" s="42">
        <f>IF(AND(ISNUMBER(D7711),ISNUMBER(H7711)),D7711*H7711*Inputs!$C$69,"")</f>
      </c>
      <c r="J7711" s="42">
        <f>IF(AND(ISNUMBER(F7711),ISNUMBER(H7711),F7711&gt;=Inputs!$C$68),F7711*H7711*Inputs!$C$69,"")</f>
      </c>
    </row>
    <row r="7712" spans="2:10" ht="15" customHeight="1" x14ac:dyDescent="0.2">
      <c r="B7712" s="39">
        <f t="shared" si="60"/>
      </c>
      <c r="C7712" s="40">
        <f>IF(Inputs!$C$60,Inputs!$C$11+(B7712-Inputs!$C$69)/Inputs!$C$70,"")</f>
      </c>
      <c r="D7712" s="15"/>
      <c r="E7712" s="15"/>
      <c r="F7712" s="11">
        <f t="shared" si="61"/>
      </c>
      <c r="G7712" s="22" cm="1">
        <f t="array" ref="G7712">IF(AND(Inputs!$C$60,Inputs!$C$61),INDEX(Utility_Rates!$C$29:$F$52,HOUR(C7712)+Inputs!$C$69,MATCH(INDEX(Utility_Rates!$K$6:$K$17,MONTH(C7712))&amp;IF(WEEKDAY(C7712,Inputs!$C$76)&lt;=Inputs!$C$74," weekday"," weekend"),Utility_Rates!$C$28:$F$28,Inputs!$C$68)),"")</f>
      </c>
      <c r="H7712" s="34"/>
      <c r="I7712" s="42">
        <f>IF(AND(ISNUMBER(D7712),ISNUMBER(H7712)),D7712*H7712*Inputs!$C$69,"")</f>
      </c>
      <c r="J7712" s="42">
        <f>IF(AND(ISNUMBER(F7712),ISNUMBER(H7712),F7712&gt;=Inputs!$C$68),F7712*H7712*Inputs!$C$69,"")</f>
      </c>
    </row>
    <row r="7713" spans="2:10" ht="15" customHeight="1" x14ac:dyDescent="0.2">
      <c r="B7713" s="39">
        <f t="shared" si="60"/>
      </c>
      <c r="C7713" s="40">
        <f>IF(Inputs!$C$60,Inputs!$C$11+(B7713-Inputs!$C$69)/Inputs!$C$70,"")</f>
      </c>
      <c r="D7713" s="15"/>
      <c r="E7713" s="15"/>
      <c r="F7713" s="11">
        <f t="shared" si="61"/>
      </c>
      <c r="G7713" s="22" cm="1">
        <f t="array" ref="G7713">IF(AND(Inputs!$C$60,Inputs!$C$61),INDEX(Utility_Rates!$C$29:$F$52,HOUR(C7713)+Inputs!$C$69,MATCH(INDEX(Utility_Rates!$K$6:$K$17,MONTH(C7713))&amp;IF(WEEKDAY(C7713,Inputs!$C$76)&lt;=Inputs!$C$74," weekday"," weekend"),Utility_Rates!$C$28:$F$28,Inputs!$C$68)),"")</f>
      </c>
      <c r="H7713" s="34"/>
      <c r="I7713" s="42">
        <f>IF(AND(ISNUMBER(D7713),ISNUMBER(H7713)),D7713*H7713*Inputs!$C$69,"")</f>
      </c>
      <c r="J7713" s="42">
        <f>IF(AND(ISNUMBER(F7713),ISNUMBER(H7713),F7713&gt;=Inputs!$C$68),F7713*H7713*Inputs!$C$69,"")</f>
      </c>
    </row>
    <row r="7714" spans="2:10" ht="15" customHeight="1" x14ac:dyDescent="0.2">
      <c r="B7714" s="39">
        <f t="shared" si="60"/>
      </c>
      <c r="C7714" s="40">
        <f>IF(Inputs!$C$60,Inputs!$C$11+(B7714-Inputs!$C$69)/Inputs!$C$70,"")</f>
      </c>
      <c r="D7714" s="15"/>
      <c r="E7714" s="15"/>
      <c r="F7714" s="11">
        <f t="shared" si="61"/>
      </c>
      <c r="G7714" s="22" cm="1">
        <f t="array" ref="G7714">IF(AND(Inputs!$C$60,Inputs!$C$61),INDEX(Utility_Rates!$C$29:$F$52,HOUR(C7714)+Inputs!$C$69,MATCH(INDEX(Utility_Rates!$K$6:$K$17,MONTH(C7714))&amp;IF(WEEKDAY(C7714,Inputs!$C$76)&lt;=Inputs!$C$74," weekday"," weekend"),Utility_Rates!$C$28:$F$28,Inputs!$C$68)),"")</f>
      </c>
      <c r="H7714" s="34"/>
      <c r="I7714" s="42">
        <f>IF(AND(ISNUMBER(D7714),ISNUMBER(H7714)),D7714*H7714*Inputs!$C$69,"")</f>
      </c>
      <c r="J7714" s="42">
        <f>IF(AND(ISNUMBER(F7714),ISNUMBER(H7714),F7714&gt;=Inputs!$C$68),F7714*H7714*Inputs!$C$69,"")</f>
      </c>
    </row>
    <row r="7715" spans="2:10" ht="15" customHeight="1" x14ac:dyDescent="0.2">
      <c r="B7715" s="39">
        <f t="shared" si="60"/>
      </c>
      <c r="C7715" s="40">
        <f>IF(Inputs!$C$60,Inputs!$C$11+(B7715-Inputs!$C$69)/Inputs!$C$70,"")</f>
      </c>
      <c r="D7715" s="15"/>
      <c r="E7715" s="15"/>
      <c r="F7715" s="11">
        <f t="shared" si="61"/>
      </c>
      <c r="G7715" s="22" cm="1">
        <f t="array" ref="G7715">IF(AND(Inputs!$C$60,Inputs!$C$61),INDEX(Utility_Rates!$C$29:$F$52,HOUR(C7715)+Inputs!$C$69,MATCH(INDEX(Utility_Rates!$K$6:$K$17,MONTH(C7715))&amp;IF(WEEKDAY(C7715,Inputs!$C$76)&lt;=Inputs!$C$74," weekday"," weekend"),Utility_Rates!$C$28:$F$28,Inputs!$C$68)),"")</f>
      </c>
      <c r="H7715" s="34"/>
      <c r="I7715" s="42">
        <f>IF(AND(ISNUMBER(D7715),ISNUMBER(H7715)),D7715*H7715*Inputs!$C$69,"")</f>
      </c>
      <c r="J7715" s="42">
        <f>IF(AND(ISNUMBER(F7715),ISNUMBER(H7715),F7715&gt;=Inputs!$C$68),F7715*H7715*Inputs!$C$69,"")</f>
      </c>
    </row>
    <row r="7716" spans="2:10" ht="15" customHeight="1" x14ac:dyDescent="0.2">
      <c r="B7716" s="39">
        <f t="shared" si="60"/>
      </c>
      <c r="C7716" s="40">
        <f>IF(Inputs!$C$60,Inputs!$C$11+(B7716-Inputs!$C$69)/Inputs!$C$70,"")</f>
      </c>
      <c r="D7716" s="15"/>
      <c r="E7716" s="15"/>
      <c r="F7716" s="11">
        <f t="shared" si="61"/>
      </c>
      <c r="G7716" s="22" cm="1">
        <f t="array" ref="G7716">IF(AND(Inputs!$C$60,Inputs!$C$61),INDEX(Utility_Rates!$C$29:$F$52,HOUR(C7716)+Inputs!$C$69,MATCH(INDEX(Utility_Rates!$K$6:$K$17,MONTH(C7716))&amp;IF(WEEKDAY(C7716,Inputs!$C$76)&lt;=Inputs!$C$74," weekday"," weekend"),Utility_Rates!$C$28:$F$28,Inputs!$C$68)),"")</f>
      </c>
      <c r="H7716" s="34"/>
      <c r="I7716" s="42">
        <f>IF(AND(ISNUMBER(D7716),ISNUMBER(H7716)),D7716*H7716*Inputs!$C$69,"")</f>
      </c>
      <c r="J7716" s="42">
        <f>IF(AND(ISNUMBER(F7716),ISNUMBER(H7716),F7716&gt;=Inputs!$C$68),F7716*H7716*Inputs!$C$69,"")</f>
      </c>
    </row>
    <row r="7717" spans="2:10" ht="15" customHeight="1" x14ac:dyDescent="0.2">
      <c r="B7717" s="39">
        <f t="shared" si="60"/>
      </c>
      <c r="C7717" s="40">
        <f>IF(Inputs!$C$60,Inputs!$C$11+(B7717-Inputs!$C$69)/Inputs!$C$70,"")</f>
      </c>
      <c r="D7717" s="15"/>
      <c r="E7717" s="15"/>
      <c r="F7717" s="11">
        <f t="shared" si="61"/>
      </c>
      <c r="G7717" s="22" cm="1">
        <f t="array" ref="G7717">IF(AND(Inputs!$C$60,Inputs!$C$61),INDEX(Utility_Rates!$C$29:$F$52,HOUR(C7717)+Inputs!$C$69,MATCH(INDEX(Utility_Rates!$K$6:$K$17,MONTH(C7717))&amp;IF(WEEKDAY(C7717,Inputs!$C$76)&lt;=Inputs!$C$74," weekday"," weekend"),Utility_Rates!$C$28:$F$28,Inputs!$C$68)),"")</f>
      </c>
      <c r="H7717" s="34"/>
      <c r="I7717" s="42">
        <f>IF(AND(ISNUMBER(D7717),ISNUMBER(H7717)),D7717*H7717*Inputs!$C$69,"")</f>
      </c>
      <c r="J7717" s="42">
        <f>IF(AND(ISNUMBER(F7717),ISNUMBER(H7717),F7717&gt;=Inputs!$C$68),F7717*H7717*Inputs!$C$69,"")</f>
      </c>
    </row>
    <row r="7718" spans="2:10" ht="15" customHeight="1" x14ac:dyDescent="0.2">
      <c r="B7718" s="39">
        <f t="shared" si="60"/>
      </c>
      <c r="C7718" s="40">
        <f>IF(Inputs!$C$60,Inputs!$C$11+(B7718-Inputs!$C$69)/Inputs!$C$70,"")</f>
      </c>
      <c r="D7718" s="15"/>
      <c r="E7718" s="15"/>
      <c r="F7718" s="11">
        <f t="shared" si="61"/>
      </c>
      <c r="G7718" s="22" cm="1">
        <f t="array" ref="G7718">IF(AND(Inputs!$C$60,Inputs!$C$61),INDEX(Utility_Rates!$C$29:$F$52,HOUR(C7718)+Inputs!$C$69,MATCH(INDEX(Utility_Rates!$K$6:$K$17,MONTH(C7718))&amp;IF(WEEKDAY(C7718,Inputs!$C$76)&lt;=Inputs!$C$74," weekday"," weekend"),Utility_Rates!$C$28:$F$28,Inputs!$C$68)),"")</f>
      </c>
      <c r="H7718" s="34"/>
      <c r="I7718" s="42">
        <f>IF(AND(ISNUMBER(D7718),ISNUMBER(H7718)),D7718*H7718*Inputs!$C$69,"")</f>
      </c>
      <c r="J7718" s="42">
        <f>IF(AND(ISNUMBER(F7718),ISNUMBER(H7718),F7718&gt;=Inputs!$C$68),F7718*H7718*Inputs!$C$69,"")</f>
      </c>
    </row>
    <row r="7719" spans="2:10" ht="15" customHeight="1" x14ac:dyDescent="0.2">
      <c r="B7719" s="39">
        <f t="shared" si="60"/>
      </c>
      <c r="C7719" s="40">
        <f>IF(Inputs!$C$60,Inputs!$C$11+(B7719-Inputs!$C$69)/Inputs!$C$70,"")</f>
      </c>
      <c r="D7719" s="15"/>
      <c r="E7719" s="15"/>
      <c r="F7719" s="11">
        <f t="shared" si="61"/>
      </c>
      <c r="G7719" s="22" cm="1">
        <f t="array" ref="G7719">IF(AND(Inputs!$C$60,Inputs!$C$61),INDEX(Utility_Rates!$C$29:$F$52,HOUR(C7719)+Inputs!$C$69,MATCH(INDEX(Utility_Rates!$K$6:$K$17,MONTH(C7719))&amp;IF(WEEKDAY(C7719,Inputs!$C$76)&lt;=Inputs!$C$74," weekday"," weekend"),Utility_Rates!$C$28:$F$28,Inputs!$C$68)),"")</f>
      </c>
      <c r="H7719" s="34"/>
      <c r="I7719" s="42">
        <f>IF(AND(ISNUMBER(D7719),ISNUMBER(H7719)),D7719*H7719*Inputs!$C$69,"")</f>
      </c>
      <c r="J7719" s="42">
        <f>IF(AND(ISNUMBER(F7719),ISNUMBER(H7719),F7719&gt;=Inputs!$C$68),F7719*H7719*Inputs!$C$69,"")</f>
      </c>
    </row>
    <row r="7720" spans="2:10" ht="15" customHeight="1" x14ac:dyDescent="0.2">
      <c r="B7720" s="39">
        <f t="shared" si="60"/>
      </c>
      <c r="C7720" s="40">
        <f>IF(Inputs!$C$60,Inputs!$C$11+(B7720-Inputs!$C$69)/Inputs!$C$70,"")</f>
      </c>
      <c r="D7720" s="15"/>
      <c r="E7720" s="15"/>
      <c r="F7720" s="11">
        <f t="shared" si="61"/>
      </c>
      <c r="G7720" s="22" cm="1">
        <f t="array" ref="G7720">IF(AND(Inputs!$C$60,Inputs!$C$61),INDEX(Utility_Rates!$C$29:$F$52,HOUR(C7720)+Inputs!$C$69,MATCH(INDEX(Utility_Rates!$K$6:$K$17,MONTH(C7720))&amp;IF(WEEKDAY(C7720,Inputs!$C$76)&lt;=Inputs!$C$74," weekday"," weekend"),Utility_Rates!$C$28:$F$28,Inputs!$C$68)),"")</f>
      </c>
      <c r="H7720" s="34"/>
      <c r="I7720" s="42">
        <f>IF(AND(ISNUMBER(D7720),ISNUMBER(H7720)),D7720*H7720*Inputs!$C$69,"")</f>
      </c>
      <c r="J7720" s="42">
        <f>IF(AND(ISNUMBER(F7720),ISNUMBER(H7720),F7720&gt;=Inputs!$C$68),F7720*H7720*Inputs!$C$69,"")</f>
      </c>
    </row>
    <row r="7721" spans="2:10" ht="15" customHeight="1" x14ac:dyDescent="0.2">
      <c r="B7721" s="39">
        <f t="shared" si="60"/>
      </c>
      <c r="C7721" s="40">
        <f>IF(Inputs!$C$60,Inputs!$C$11+(B7721-Inputs!$C$69)/Inputs!$C$70,"")</f>
      </c>
      <c r="D7721" s="15"/>
      <c r="E7721" s="15"/>
      <c r="F7721" s="11">
        <f t="shared" si="61"/>
      </c>
      <c r="G7721" s="22" cm="1">
        <f t="array" ref="G7721">IF(AND(Inputs!$C$60,Inputs!$C$61),INDEX(Utility_Rates!$C$29:$F$52,HOUR(C7721)+Inputs!$C$69,MATCH(INDEX(Utility_Rates!$K$6:$K$17,MONTH(C7721))&amp;IF(WEEKDAY(C7721,Inputs!$C$76)&lt;=Inputs!$C$74," weekday"," weekend"),Utility_Rates!$C$28:$F$28,Inputs!$C$68)),"")</f>
      </c>
      <c r="H7721" s="34"/>
      <c r="I7721" s="42">
        <f>IF(AND(ISNUMBER(D7721),ISNUMBER(H7721)),D7721*H7721*Inputs!$C$69,"")</f>
      </c>
      <c r="J7721" s="42">
        <f>IF(AND(ISNUMBER(F7721),ISNUMBER(H7721),F7721&gt;=Inputs!$C$68),F7721*H7721*Inputs!$C$69,"")</f>
      </c>
    </row>
    <row r="7722" spans="2:10" ht="15" customHeight="1" x14ac:dyDescent="0.2">
      <c r="B7722" s="39">
        <f t="shared" si="60"/>
      </c>
      <c r="C7722" s="40">
        <f>IF(Inputs!$C$60,Inputs!$C$11+(B7722-Inputs!$C$69)/Inputs!$C$70,"")</f>
      </c>
      <c r="D7722" s="15"/>
      <c r="E7722" s="15"/>
      <c r="F7722" s="11">
        <f t="shared" si="61"/>
      </c>
      <c r="G7722" s="22" cm="1">
        <f t="array" ref="G7722">IF(AND(Inputs!$C$60,Inputs!$C$61),INDEX(Utility_Rates!$C$29:$F$52,HOUR(C7722)+Inputs!$C$69,MATCH(INDEX(Utility_Rates!$K$6:$K$17,MONTH(C7722))&amp;IF(WEEKDAY(C7722,Inputs!$C$76)&lt;=Inputs!$C$74," weekday"," weekend"),Utility_Rates!$C$28:$F$28,Inputs!$C$68)),"")</f>
      </c>
      <c r="H7722" s="34"/>
      <c r="I7722" s="42">
        <f>IF(AND(ISNUMBER(D7722),ISNUMBER(H7722)),D7722*H7722*Inputs!$C$69,"")</f>
      </c>
      <c r="J7722" s="42">
        <f>IF(AND(ISNUMBER(F7722),ISNUMBER(H7722),F7722&gt;=Inputs!$C$68),F7722*H7722*Inputs!$C$69,"")</f>
      </c>
    </row>
    <row r="7723" spans="2:10" ht="15" customHeight="1" x14ac:dyDescent="0.2">
      <c r="B7723" s="39">
        <f t="shared" si="60"/>
      </c>
      <c r="C7723" s="40">
        <f>IF(Inputs!$C$60,Inputs!$C$11+(B7723-Inputs!$C$69)/Inputs!$C$70,"")</f>
      </c>
      <c r="D7723" s="15"/>
      <c r="E7723" s="15"/>
      <c r="F7723" s="11">
        <f t="shared" si="61"/>
      </c>
      <c r="G7723" s="22" cm="1">
        <f t="array" ref="G7723">IF(AND(Inputs!$C$60,Inputs!$C$61),INDEX(Utility_Rates!$C$29:$F$52,HOUR(C7723)+Inputs!$C$69,MATCH(INDEX(Utility_Rates!$K$6:$K$17,MONTH(C7723))&amp;IF(WEEKDAY(C7723,Inputs!$C$76)&lt;=Inputs!$C$74," weekday"," weekend"),Utility_Rates!$C$28:$F$28,Inputs!$C$68)),"")</f>
      </c>
      <c r="H7723" s="34"/>
      <c r="I7723" s="42">
        <f>IF(AND(ISNUMBER(D7723),ISNUMBER(H7723)),D7723*H7723*Inputs!$C$69,"")</f>
      </c>
      <c r="J7723" s="42">
        <f>IF(AND(ISNUMBER(F7723),ISNUMBER(H7723),F7723&gt;=Inputs!$C$68),F7723*H7723*Inputs!$C$69,"")</f>
      </c>
    </row>
    <row r="7724" spans="2:10" ht="15" customHeight="1" x14ac:dyDescent="0.2">
      <c r="B7724" s="39">
        <f t="shared" si="60"/>
      </c>
      <c r="C7724" s="40">
        <f>IF(Inputs!$C$60,Inputs!$C$11+(B7724-Inputs!$C$69)/Inputs!$C$70,"")</f>
      </c>
      <c r="D7724" s="15"/>
      <c r="E7724" s="15"/>
      <c r="F7724" s="11">
        <f t="shared" si="61"/>
      </c>
      <c r="G7724" s="22" cm="1">
        <f t="array" ref="G7724">IF(AND(Inputs!$C$60,Inputs!$C$61),INDEX(Utility_Rates!$C$29:$F$52,HOUR(C7724)+Inputs!$C$69,MATCH(INDEX(Utility_Rates!$K$6:$K$17,MONTH(C7724))&amp;IF(WEEKDAY(C7724,Inputs!$C$76)&lt;=Inputs!$C$74," weekday"," weekend"),Utility_Rates!$C$28:$F$28,Inputs!$C$68)),"")</f>
      </c>
      <c r="H7724" s="34"/>
      <c r="I7724" s="42">
        <f>IF(AND(ISNUMBER(D7724),ISNUMBER(H7724)),D7724*H7724*Inputs!$C$69,"")</f>
      </c>
      <c r="J7724" s="42">
        <f>IF(AND(ISNUMBER(F7724),ISNUMBER(H7724),F7724&gt;=Inputs!$C$68),F7724*H7724*Inputs!$C$69,"")</f>
      </c>
    </row>
    <row r="7725" spans="2:10" ht="15" customHeight="1" x14ac:dyDescent="0.2">
      <c r="B7725" s="39">
        <f t="shared" si="60"/>
      </c>
      <c r="C7725" s="40">
        <f>IF(Inputs!$C$60,Inputs!$C$11+(B7725-Inputs!$C$69)/Inputs!$C$70,"")</f>
      </c>
      <c r="D7725" s="15"/>
      <c r="E7725" s="15"/>
      <c r="F7725" s="11">
        <f t="shared" si="61"/>
      </c>
      <c r="G7725" s="22" cm="1">
        <f t="array" ref="G7725">IF(AND(Inputs!$C$60,Inputs!$C$61),INDEX(Utility_Rates!$C$29:$F$52,HOUR(C7725)+Inputs!$C$69,MATCH(INDEX(Utility_Rates!$K$6:$K$17,MONTH(C7725))&amp;IF(WEEKDAY(C7725,Inputs!$C$76)&lt;=Inputs!$C$74," weekday"," weekend"),Utility_Rates!$C$28:$F$28,Inputs!$C$68)),"")</f>
      </c>
      <c r="H7725" s="34"/>
      <c r="I7725" s="42">
        <f>IF(AND(ISNUMBER(D7725),ISNUMBER(H7725)),D7725*H7725*Inputs!$C$69,"")</f>
      </c>
      <c r="J7725" s="42">
        <f>IF(AND(ISNUMBER(F7725),ISNUMBER(H7725),F7725&gt;=Inputs!$C$68),F7725*H7725*Inputs!$C$69,"")</f>
      </c>
    </row>
    <row r="7726" spans="2:10" ht="15" customHeight="1" x14ac:dyDescent="0.2">
      <c r="B7726" s="39">
        <f t="shared" si="60"/>
      </c>
      <c r="C7726" s="40">
        <f>IF(Inputs!$C$60,Inputs!$C$11+(B7726-Inputs!$C$69)/Inputs!$C$70,"")</f>
      </c>
      <c r="D7726" s="15"/>
      <c r="E7726" s="15"/>
      <c r="F7726" s="11">
        <f t="shared" si="61"/>
      </c>
      <c r="G7726" s="22" cm="1">
        <f t="array" ref="G7726">IF(AND(Inputs!$C$60,Inputs!$C$61),INDEX(Utility_Rates!$C$29:$F$52,HOUR(C7726)+Inputs!$C$69,MATCH(INDEX(Utility_Rates!$K$6:$K$17,MONTH(C7726))&amp;IF(WEEKDAY(C7726,Inputs!$C$76)&lt;=Inputs!$C$74," weekday"," weekend"),Utility_Rates!$C$28:$F$28,Inputs!$C$68)),"")</f>
      </c>
      <c r="H7726" s="34"/>
      <c r="I7726" s="42">
        <f>IF(AND(ISNUMBER(D7726),ISNUMBER(H7726)),D7726*H7726*Inputs!$C$69,"")</f>
      </c>
      <c r="J7726" s="42">
        <f>IF(AND(ISNUMBER(F7726),ISNUMBER(H7726),F7726&gt;=Inputs!$C$68),F7726*H7726*Inputs!$C$69,"")</f>
      </c>
    </row>
    <row r="7727" spans="2:10" ht="15" customHeight="1" x14ac:dyDescent="0.2">
      <c r="B7727" s="39">
        <f t="shared" si="60"/>
      </c>
      <c r="C7727" s="40">
        <f>IF(Inputs!$C$60,Inputs!$C$11+(B7727-Inputs!$C$69)/Inputs!$C$70,"")</f>
      </c>
      <c r="D7727" s="15"/>
      <c r="E7727" s="15"/>
      <c r="F7727" s="11">
        <f t="shared" si="61"/>
      </c>
      <c r="G7727" s="22" cm="1">
        <f t="array" ref="G7727">IF(AND(Inputs!$C$60,Inputs!$C$61),INDEX(Utility_Rates!$C$29:$F$52,HOUR(C7727)+Inputs!$C$69,MATCH(INDEX(Utility_Rates!$K$6:$K$17,MONTH(C7727))&amp;IF(WEEKDAY(C7727,Inputs!$C$76)&lt;=Inputs!$C$74," weekday"," weekend"),Utility_Rates!$C$28:$F$28,Inputs!$C$68)),"")</f>
      </c>
      <c r="H7727" s="34"/>
      <c r="I7727" s="42">
        <f>IF(AND(ISNUMBER(D7727),ISNUMBER(H7727)),D7727*H7727*Inputs!$C$69,"")</f>
      </c>
      <c r="J7727" s="42">
        <f>IF(AND(ISNUMBER(F7727),ISNUMBER(H7727),F7727&gt;=Inputs!$C$68),F7727*H7727*Inputs!$C$69,"")</f>
      </c>
    </row>
    <row r="7728" spans="2:10" ht="15" customHeight="1" x14ac:dyDescent="0.2">
      <c r="B7728" s="39">
        <f t="shared" si="60"/>
      </c>
      <c r="C7728" s="40">
        <f>IF(Inputs!$C$60,Inputs!$C$11+(B7728-Inputs!$C$69)/Inputs!$C$70,"")</f>
      </c>
      <c r="D7728" s="15"/>
      <c r="E7728" s="15"/>
      <c r="F7728" s="11">
        <f t="shared" si="61"/>
      </c>
      <c r="G7728" s="22" cm="1">
        <f t="array" ref="G7728">IF(AND(Inputs!$C$60,Inputs!$C$61),INDEX(Utility_Rates!$C$29:$F$52,HOUR(C7728)+Inputs!$C$69,MATCH(INDEX(Utility_Rates!$K$6:$K$17,MONTH(C7728))&amp;IF(WEEKDAY(C7728,Inputs!$C$76)&lt;=Inputs!$C$74," weekday"," weekend"),Utility_Rates!$C$28:$F$28,Inputs!$C$68)),"")</f>
      </c>
      <c r="H7728" s="34"/>
      <c r="I7728" s="42">
        <f>IF(AND(ISNUMBER(D7728),ISNUMBER(H7728)),D7728*H7728*Inputs!$C$69,"")</f>
      </c>
      <c r="J7728" s="42">
        <f>IF(AND(ISNUMBER(F7728),ISNUMBER(H7728),F7728&gt;=Inputs!$C$68),F7728*H7728*Inputs!$C$69,"")</f>
      </c>
    </row>
    <row r="7729" spans="2:10" ht="15" customHeight="1" x14ac:dyDescent="0.2">
      <c r="B7729" s="39">
        <f t="shared" si="60"/>
      </c>
      <c r="C7729" s="40">
        <f>IF(Inputs!$C$60,Inputs!$C$11+(B7729-Inputs!$C$69)/Inputs!$C$70,"")</f>
      </c>
      <c r="D7729" s="15"/>
      <c r="E7729" s="15"/>
      <c r="F7729" s="11">
        <f t="shared" si="61"/>
      </c>
      <c r="G7729" s="22" cm="1">
        <f t="array" ref="G7729">IF(AND(Inputs!$C$60,Inputs!$C$61),INDEX(Utility_Rates!$C$29:$F$52,HOUR(C7729)+Inputs!$C$69,MATCH(INDEX(Utility_Rates!$K$6:$K$17,MONTH(C7729))&amp;IF(WEEKDAY(C7729,Inputs!$C$76)&lt;=Inputs!$C$74," weekday"," weekend"),Utility_Rates!$C$28:$F$28,Inputs!$C$68)),"")</f>
      </c>
      <c r="H7729" s="34"/>
      <c r="I7729" s="42">
        <f>IF(AND(ISNUMBER(D7729),ISNUMBER(H7729)),D7729*H7729*Inputs!$C$69,"")</f>
      </c>
      <c r="J7729" s="42">
        <f>IF(AND(ISNUMBER(F7729),ISNUMBER(H7729),F7729&gt;=Inputs!$C$68),F7729*H7729*Inputs!$C$69,"")</f>
      </c>
    </row>
    <row r="7730" spans="2:10" ht="15" customHeight="1" x14ac:dyDescent="0.2">
      <c r="B7730" s="39">
        <f t="shared" si="60"/>
      </c>
      <c r="C7730" s="40">
        <f>IF(Inputs!$C$60,Inputs!$C$11+(B7730-Inputs!$C$69)/Inputs!$C$70,"")</f>
      </c>
      <c r="D7730" s="15"/>
      <c r="E7730" s="15"/>
      <c r="F7730" s="11">
        <f t="shared" si="61"/>
      </c>
      <c r="G7730" s="22" cm="1">
        <f t="array" ref="G7730">IF(AND(Inputs!$C$60,Inputs!$C$61),INDEX(Utility_Rates!$C$29:$F$52,HOUR(C7730)+Inputs!$C$69,MATCH(INDEX(Utility_Rates!$K$6:$K$17,MONTH(C7730))&amp;IF(WEEKDAY(C7730,Inputs!$C$76)&lt;=Inputs!$C$74," weekday"," weekend"),Utility_Rates!$C$28:$F$28,Inputs!$C$68)),"")</f>
      </c>
      <c r="H7730" s="34"/>
      <c r="I7730" s="42">
        <f>IF(AND(ISNUMBER(D7730),ISNUMBER(H7730)),D7730*H7730*Inputs!$C$69,"")</f>
      </c>
      <c r="J7730" s="42">
        <f>IF(AND(ISNUMBER(F7730),ISNUMBER(H7730),F7730&gt;=Inputs!$C$68),F7730*H7730*Inputs!$C$69,"")</f>
      </c>
    </row>
    <row r="7731" spans="2:10" ht="15" customHeight="1" x14ac:dyDescent="0.2">
      <c r="B7731" s="39">
        <f t="shared" si="60"/>
      </c>
      <c r="C7731" s="40">
        <f>IF(Inputs!$C$60,Inputs!$C$11+(B7731-Inputs!$C$69)/Inputs!$C$70,"")</f>
      </c>
      <c r="D7731" s="15"/>
      <c r="E7731" s="15"/>
      <c r="F7731" s="11">
        <f t="shared" si="61"/>
      </c>
      <c r="G7731" s="22" cm="1">
        <f t="array" ref="G7731">IF(AND(Inputs!$C$60,Inputs!$C$61),INDEX(Utility_Rates!$C$29:$F$52,HOUR(C7731)+Inputs!$C$69,MATCH(INDEX(Utility_Rates!$K$6:$K$17,MONTH(C7731))&amp;IF(WEEKDAY(C7731,Inputs!$C$76)&lt;=Inputs!$C$74," weekday"," weekend"),Utility_Rates!$C$28:$F$28,Inputs!$C$68)),"")</f>
      </c>
      <c r="H7731" s="34"/>
      <c r="I7731" s="42">
        <f>IF(AND(ISNUMBER(D7731),ISNUMBER(H7731)),D7731*H7731*Inputs!$C$69,"")</f>
      </c>
      <c r="J7731" s="42">
        <f>IF(AND(ISNUMBER(F7731),ISNUMBER(H7731),F7731&gt;=Inputs!$C$68),F7731*H7731*Inputs!$C$69,"")</f>
      </c>
    </row>
    <row r="7732" spans="2:10" ht="15" customHeight="1" x14ac:dyDescent="0.2">
      <c r="B7732" s="39">
        <f t="shared" si="60"/>
      </c>
      <c r="C7732" s="40">
        <f>IF(Inputs!$C$60,Inputs!$C$11+(B7732-Inputs!$C$69)/Inputs!$C$70,"")</f>
      </c>
      <c r="D7732" s="15"/>
      <c r="E7732" s="15"/>
      <c r="F7732" s="11">
        <f t="shared" si="61"/>
      </c>
      <c r="G7732" s="22" cm="1">
        <f t="array" ref="G7732">IF(AND(Inputs!$C$60,Inputs!$C$61),INDEX(Utility_Rates!$C$29:$F$52,HOUR(C7732)+Inputs!$C$69,MATCH(INDEX(Utility_Rates!$K$6:$K$17,MONTH(C7732))&amp;IF(WEEKDAY(C7732,Inputs!$C$76)&lt;=Inputs!$C$74," weekday"," weekend"),Utility_Rates!$C$28:$F$28,Inputs!$C$68)),"")</f>
      </c>
      <c r="H7732" s="34"/>
      <c r="I7732" s="42">
        <f>IF(AND(ISNUMBER(D7732),ISNUMBER(H7732)),D7732*H7732*Inputs!$C$69,"")</f>
      </c>
      <c r="J7732" s="42">
        <f>IF(AND(ISNUMBER(F7732),ISNUMBER(H7732),F7732&gt;=Inputs!$C$68),F7732*H7732*Inputs!$C$69,"")</f>
      </c>
    </row>
    <row r="7733" spans="2:10" ht="15" customHeight="1" x14ac:dyDescent="0.2">
      <c r="B7733" s="39">
        <f t="shared" si="60"/>
      </c>
      <c r="C7733" s="40">
        <f>IF(Inputs!$C$60,Inputs!$C$11+(B7733-Inputs!$C$69)/Inputs!$C$70,"")</f>
      </c>
      <c r="D7733" s="15"/>
      <c r="E7733" s="15"/>
      <c r="F7733" s="11">
        <f t="shared" si="61"/>
      </c>
      <c r="G7733" s="22" cm="1">
        <f t="array" ref="G7733">IF(AND(Inputs!$C$60,Inputs!$C$61),INDEX(Utility_Rates!$C$29:$F$52,HOUR(C7733)+Inputs!$C$69,MATCH(INDEX(Utility_Rates!$K$6:$K$17,MONTH(C7733))&amp;IF(WEEKDAY(C7733,Inputs!$C$76)&lt;=Inputs!$C$74," weekday"," weekend"),Utility_Rates!$C$28:$F$28,Inputs!$C$68)),"")</f>
      </c>
      <c r="H7733" s="34"/>
      <c r="I7733" s="42">
        <f>IF(AND(ISNUMBER(D7733),ISNUMBER(H7733)),D7733*H7733*Inputs!$C$69,"")</f>
      </c>
      <c r="J7733" s="42">
        <f>IF(AND(ISNUMBER(F7733),ISNUMBER(H7733),F7733&gt;=Inputs!$C$68),F7733*H7733*Inputs!$C$69,"")</f>
      </c>
    </row>
    <row r="7734" spans="2:10" ht="15" customHeight="1" x14ac:dyDescent="0.2">
      <c r="B7734" s="39">
        <f t="shared" si="60"/>
      </c>
      <c r="C7734" s="40">
        <f>IF(Inputs!$C$60,Inputs!$C$11+(B7734-Inputs!$C$69)/Inputs!$C$70,"")</f>
      </c>
      <c r="D7734" s="15"/>
      <c r="E7734" s="15"/>
      <c r="F7734" s="11">
        <f t="shared" si="61"/>
      </c>
      <c r="G7734" s="22" cm="1">
        <f t="array" ref="G7734">IF(AND(Inputs!$C$60,Inputs!$C$61),INDEX(Utility_Rates!$C$29:$F$52,HOUR(C7734)+Inputs!$C$69,MATCH(INDEX(Utility_Rates!$K$6:$K$17,MONTH(C7734))&amp;IF(WEEKDAY(C7734,Inputs!$C$76)&lt;=Inputs!$C$74," weekday"," weekend"),Utility_Rates!$C$28:$F$28,Inputs!$C$68)),"")</f>
      </c>
      <c r="H7734" s="34"/>
      <c r="I7734" s="42">
        <f>IF(AND(ISNUMBER(D7734),ISNUMBER(H7734)),D7734*H7734*Inputs!$C$69,"")</f>
      </c>
      <c r="J7734" s="42">
        <f>IF(AND(ISNUMBER(F7734),ISNUMBER(H7734),F7734&gt;=Inputs!$C$68),F7734*H7734*Inputs!$C$69,"")</f>
      </c>
    </row>
    <row r="7735" spans="2:10" ht="15" customHeight="1" x14ac:dyDescent="0.2">
      <c r="B7735" s="39">
        <f t="shared" si="60"/>
      </c>
      <c r="C7735" s="40">
        <f>IF(Inputs!$C$60,Inputs!$C$11+(B7735-Inputs!$C$69)/Inputs!$C$70,"")</f>
      </c>
      <c r="D7735" s="15"/>
      <c r="E7735" s="15"/>
      <c r="F7735" s="11">
        <f t="shared" si="61"/>
      </c>
      <c r="G7735" s="22" cm="1">
        <f t="array" ref="G7735">IF(AND(Inputs!$C$60,Inputs!$C$61),INDEX(Utility_Rates!$C$29:$F$52,HOUR(C7735)+Inputs!$C$69,MATCH(INDEX(Utility_Rates!$K$6:$K$17,MONTH(C7735))&amp;IF(WEEKDAY(C7735,Inputs!$C$76)&lt;=Inputs!$C$74," weekday"," weekend"),Utility_Rates!$C$28:$F$28,Inputs!$C$68)),"")</f>
      </c>
      <c r="H7735" s="34"/>
      <c r="I7735" s="42">
        <f>IF(AND(ISNUMBER(D7735),ISNUMBER(H7735)),D7735*H7735*Inputs!$C$69,"")</f>
      </c>
      <c r="J7735" s="42">
        <f>IF(AND(ISNUMBER(F7735),ISNUMBER(H7735),F7735&gt;=Inputs!$C$68),F7735*H7735*Inputs!$C$69,"")</f>
      </c>
    </row>
    <row r="7736" spans="2:10" ht="15" customHeight="1" x14ac:dyDescent="0.2">
      <c r="B7736" s="39">
        <f t="shared" si="60"/>
      </c>
      <c r="C7736" s="40">
        <f>IF(Inputs!$C$60,Inputs!$C$11+(B7736-Inputs!$C$69)/Inputs!$C$70,"")</f>
      </c>
      <c r="D7736" s="15"/>
      <c r="E7736" s="15"/>
      <c r="F7736" s="11">
        <f t="shared" si="61"/>
      </c>
      <c r="G7736" s="22" cm="1">
        <f t="array" ref="G7736">IF(AND(Inputs!$C$60,Inputs!$C$61),INDEX(Utility_Rates!$C$29:$F$52,HOUR(C7736)+Inputs!$C$69,MATCH(INDEX(Utility_Rates!$K$6:$K$17,MONTH(C7736))&amp;IF(WEEKDAY(C7736,Inputs!$C$76)&lt;=Inputs!$C$74," weekday"," weekend"),Utility_Rates!$C$28:$F$28,Inputs!$C$68)),"")</f>
      </c>
      <c r="H7736" s="34"/>
      <c r="I7736" s="42">
        <f>IF(AND(ISNUMBER(D7736),ISNUMBER(H7736)),D7736*H7736*Inputs!$C$69,"")</f>
      </c>
      <c r="J7736" s="42">
        <f>IF(AND(ISNUMBER(F7736),ISNUMBER(H7736),F7736&gt;=Inputs!$C$68),F7736*H7736*Inputs!$C$69,"")</f>
      </c>
    </row>
    <row r="7737" spans="2:10" ht="15" customHeight="1" x14ac:dyDescent="0.2">
      <c r="B7737" s="39">
        <f t="shared" si="60"/>
      </c>
      <c r="C7737" s="40">
        <f>IF(Inputs!$C$60,Inputs!$C$11+(B7737-Inputs!$C$69)/Inputs!$C$70,"")</f>
      </c>
      <c r="D7737" s="15"/>
      <c r="E7737" s="15"/>
      <c r="F7737" s="11">
        <f t="shared" si="61"/>
      </c>
      <c r="G7737" s="22" cm="1">
        <f t="array" ref="G7737">IF(AND(Inputs!$C$60,Inputs!$C$61),INDEX(Utility_Rates!$C$29:$F$52,HOUR(C7737)+Inputs!$C$69,MATCH(INDEX(Utility_Rates!$K$6:$K$17,MONTH(C7737))&amp;IF(WEEKDAY(C7737,Inputs!$C$76)&lt;=Inputs!$C$74," weekday"," weekend"),Utility_Rates!$C$28:$F$28,Inputs!$C$68)),"")</f>
      </c>
      <c r="H7737" s="34"/>
      <c r="I7737" s="42">
        <f>IF(AND(ISNUMBER(D7737),ISNUMBER(H7737)),D7737*H7737*Inputs!$C$69,"")</f>
      </c>
      <c r="J7737" s="42">
        <f>IF(AND(ISNUMBER(F7737),ISNUMBER(H7737),F7737&gt;=Inputs!$C$68),F7737*H7737*Inputs!$C$69,"")</f>
      </c>
    </row>
    <row r="7738" spans="2:10" ht="15" customHeight="1" x14ac:dyDescent="0.2">
      <c r="B7738" s="39">
        <f t="shared" si="60"/>
      </c>
      <c r="C7738" s="40">
        <f>IF(Inputs!$C$60,Inputs!$C$11+(B7738-Inputs!$C$69)/Inputs!$C$70,"")</f>
      </c>
      <c r="D7738" s="15"/>
      <c r="E7738" s="15"/>
      <c r="F7738" s="11">
        <f t="shared" si="61"/>
      </c>
      <c r="G7738" s="22" cm="1">
        <f t="array" ref="G7738">IF(AND(Inputs!$C$60,Inputs!$C$61),INDEX(Utility_Rates!$C$29:$F$52,HOUR(C7738)+Inputs!$C$69,MATCH(INDEX(Utility_Rates!$K$6:$K$17,MONTH(C7738))&amp;IF(WEEKDAY(C7738,Inputs!$C$76)&lt;=Inputs!$C$74," weekday"," weekend"),Utility_Rates!$C$28:$F$28,Inputs!$C$68)),"")</f>
      </c>
      <c r="H7738" s="34"/>
      <c r="I7738" s="42">
        <f>IF(AND(ISNUMBER(D7738),ISNUMBER(H7738)),D7738*H7738*Inputs!$C$69,"")</f>
      </c>
      <c r="J7738" s="42">
        <f>IF(AND(ISNUMBER(F7738),ISNUMBER(H7738),F7738&gt;=Inputs!$C$68),F7738*H7738*Inputs!$C$69,"")</f>
      </c>
    </row>
    <row r="7739" spans="2:10" ht="15" customHeight="1" x14ac:dyDescent="0.2">
      <c r="B7739" s="39">
        <f t="shared" si="60"/>
      </c>
      <c r="C7739" s="40">
        <f>IF(Inputs!$C$60,Inputs!$C$11+(B7739-Inputs!$C$69)/Inputs!$C$70,"")</f>
      </c>
      <c r="D7739" s="15"/>
      <c r="E7739" s="15"/>
      <c r="F7739" s="11">
        <f t="shared" si="61"/>
      </c>
      <c r="G7739" s="22" cm="1">
        <f t="array" ref="G7739">IF(AND(Inputs!$C$60,Inputs!$C$61),INDEX(Utility_Rates!$C$29:$F$52,HOUR(C7739)+Inputs!$C$69,MATCH(INDEX(Utility_Rates!$K$6:$K$17,MONTH(C7739))&amp;IF(WEEKDAY(C7739,Inputs!$C$76)&lt;=Inputs!$C$74," weekday"," weekend"),Utility_Rates!$C$28:$F$28,Inputs!$C$68)),"")</f>
      </c>
      <c r="H7739" s="34"/>
      <c r="I7739" s="42">
        <f>IF(AND(ISNUMBER(D7739),ISNUMBER(H7739)),D7739*H7739*Inputs!$C$69,"")</f>
      </c>
      <c r="J7739" s="42">
        <f>IF(AND(ISNUMBER(F7739),ISNUMBER(H7739),F7739&gt;=Inputs!$C$68),F7739*H7739*Inputs!$C$69,"")</f>
      </c>
    </row>
    <row r="7740" spans="2:10" ht="15" customHeight="1" x14ac:dyDescent="0.2">
      <c r="B7740" s="39">
        <f t="shared" si="60"/>
      </c>
      <c r="C7740" s="40">
        <f>IF(Inputs!$C$60,Inputs!$C$11+(B7740-Inputs!$C$69)/Inputs!$C$70,"")</f>
      </c>
      <c r="D7740" s="15"/>
      <c r="E7740" s="15"/>
      <c r="F7740" s="11">
        <f t="shared" si="61"/>
      </c>
      <c r="G7740" s="22" cm="1">
        <f t="array" ref="G7740">IF(AND(Inputs!$C$60,Inputs!$C$61),INDEX(Utility_Rates!$C$29:$F$52,HOUR(C7740)+Inputs!$C$69,MATCH(INDEX(Utility_Rates!$K$6:$K$17,MONTH(C7740))&amp;IF(WEEKDAY(C7740,Inputs!$C$76)&lt;=Inputs!$C$74," weekday"," weekend"),Utility_Rates!$C$28:$F$28,Inputs!$C$68)),"")</f>
      </c>
      <c r="H7740" s="34"/>
      <c r="I7740" s="42">
        <f>IF(AND(ISNUMBER(D7740),ISNUMBER(H7740)),D7740*H7740*Inputs!$C$69,"")</f>
      </c>
      <c r="J7740" s="42">
        <f>IF(AND(ISNUMBER(F7740),ISNUMBER(H7740),F7740&gt;=Inputs!$C$68),F7740*H7740*Inputs!$C$69,"")</f>
      </c>
    </row>
    <row r="7741" spans="2:10" ht="15" customHeight="1" x14ac:dyDescent="0.2">
      <c r="B7741" s="39">
        <f t="shared" si="60"/>
      </c>
      <c r="C7741" s="40">
        <f>IF(Inputs!$C$60,Inputs!$C$11+(B7741-Inputs!$C$69)/Inputs!$C$70,"")</f>
      </c>
      <c r="D7741" s="15"/>
      <c r="E7741" s="15"/>
      <c r="F7741" s="11">
        <f t="shared" si="61"/>
      </c>
      <c r="G7741" s="22" cm="1">
        <f t="array" ref="G7741">IF(AND(Inputs!$C$60,Inputs!$C$61),INDEX(Utility_Rates!$C$29:$F$52,HOUR(C7741)+Inputs!$C$69,MATCH(INDEX(Utility_Rates!$K$6:$K$17,MONTH(C7741))&amp;IF(WEEKDAY(C7741,Inputs!$C$76)&lt;=Inputs!$C$74," weekday"," weekend"),Utility_Rates!$C$28:$F$28,Inputs!$C$68)),"")</f>
      </c>
      <c r="H7741" s="34"/>
      <c r="I7741" s="42">
        <f>IF(AND(ISNUMBER(D7741),ISNUMBER(H7741)),D7741*H7741*Inputs!$C$69,"")</f>
      </c>
      <c r="J7741" s="42">
        <f>IF(AND(ISNUMBER(F7741),ISNUMBER(H7741),F7741&gt;=Inputs!$C$68),F7741*H7741*Inputs!$C$69,"")</f>
      </c>
    </row>
    <row r="7742" spans="2:10" ht="15" customHeight="1" x14ac:dyDescent="0.2">
      <c r="B7742" s="39">
        <f t="shared" si="60"/>
      </c>
      <c r="C7742" s="40">
        <f>IF(Inputs!$C$60,Inputs!$C$11+(B7742-Inputs!$C$69)/Inputs!$C$70,"")</f>
      </c>
      <c r="D7742" s="15"/>
      <c r="E7742" s="15"/>
      <c r="F7742" s="11">
        <f t="shared" si="61"/>
      </c>
      <c r="G7742" s="22" cm="1">
        <f t="array" ref="G7742">IF(AND(Inputs!$C$60,Inputs!$C$61),INDEX(Utility_Rates!$C$29:$F$52,HOUR(C7742)+Inputs!$C$69,MATCH(INDEX(Utility_Rates!$K$6:$K$17,MONTH(C7742))&amp;IF(WEEKDAY(C7742,Inputs!$C$76)&lt;=Inputs!$C$74," weekday"," weekend"),Utility_Rates!$C$28:$F$28,Inputs!$C$68)),"")</f>
      </c>
      <c r="H7742" s="34"/>
      <c r="I7742" s="42">
        <f>IF(AND(ISNUMBER(D7742),ISNUMBER(H7742)),D7742*H7742*Inputs!$C$69,"")</f>
      </c>
      <c r="J7742" s="42">
        <f>IF(AND(ISNUMBER(F7742),ISNUMBER(H7742),F7742&gt;=Inputs!$C$68),F7742*H7742*Inputs!$C$69,"")</f>
      </c>
    </row>
    <row r="7743" spans="2:10" ht="15" customHeight="1" x14ac:dyDescent="0.2">
      <c r="B7743" s="39">
        <f t="shared" si="60"/>
      </c>
      <c r="C7743" s="40">
        <f>IF(Inputs!$C$60,Inputs!$C$11+(B7743-Inputs!$C$69)/Inputs!$C$70,"")</f>
      </c>
      <c r="D7743" s="15"/>
      <c r="E7743" s="15"/>
      <c r="F7743" s="11">
        <f t="shared" si="61"/>
      </c>
      <c r="G7743" s="22" cm="1">
        <f t="array" ref="G7743">IF(AND(Inputs!$C$60,Inputs!$C$61),INDEX(Utility_Rates!$C$29:$F$52,HOUR(C7743)+Inputs!$C$69,MATCH(INDEX(Utility_Rates!$K$6:$K$17,MONTH(C7743))&amp;IF(WEEKDAY(C7743,Inputs!$C$76)&lt;=Inputs!$C$74," weekday"," weekend"),Utility_Rates!$C$28:$F$28,Inputs!$C$68)),"")</f>
      </c>
      <c r="H7743" s="34"/>
      <c r="I7743" s="42">
        <f>IF(AND(ISNUMBER(D7743),ISNUMBER(H7743)),D7743*H7743*Inputs!$C$69,"")</f>
      </c>
      <c r="J7743" s="42">
        <f>IF(AND(ISNUMBER(F7743),ISNUMBER(H7743),F7743&gt;=Inputs!$C$68),F7743*H7743*Inputs!$C$69,"")</f>
      </c>
    </row>
    <row r="7744" spans="2:10" ht="15" customHeight="1" x14ac:dyDescent="0.2">
      <c r="B7744" s="39">
        <f t="shared" si="60"/>
      </c>
      <c r="C7744" s="40">
        <f>IF(Inputs!$C$60,Inputs!$C$11+(B7744-Inputs!$C$69)/Inputs!$C$70,"")</f>
      </c>
      <c r="D7744" s="15"/>
      <c r="E7744" s="15"/>
      <c r="F7744" s="11">
        <f t="shared" si="61"/>
      </c>
      <c r="G7744" s="22" cm="1">
        <f t="array" ref="G7744">IF(AND(Inputs!$C$60,Inputs!$C$61),INDEX(Utility_Rates!$C$29:$F$52,HOUR(C7744)+Inputs!$C$69,MATCH(INDEX(Utility_Rates!$K$6:$K$17,MONTH(C7744))&amp;IF(WEEKDAY(C7744,Inputs!$C$76)&lt;=Inputs!$C$74," weekday"," weekend"),Utility_Rates!$C$28:$F$28,Inputs!$C$68)),"")</f>
      </c>
      <c r="H7744" s="34"/>
      <c r="I7744" s="42">
        <f>IF(AND(ISNUMBER(D7744),ISNUMBER(H7744)),D7744*H7744*Inputs!$C$69,"")</f>
      </c>
      <c r="J7744" s="42">
        <f>IF(AND(ISNUMBER(F7744),ISNUMBER(H7744),F7744&gt;=Inputs!$C$68),F7744*H7744*Inputs!$C$69,"")</f>
      </c>
    </row>
    <row r="7745" spans="2:10" ht="15" customHeight="1" x14ac:dyDescent="0.2">
      <c r="B7745" s="39">
        <f t="shared" si="60"/>
      </c>
      <c r="C7745" s="40">
        <f>IF(Inputs!$C$60,Inputs!$C$11+(B7745-Inputs!$C$69)/Inputs!$C$70,"")</f>
      </c>
      <c r="D7745" s="15"/>
      <c r="E7745" s="15"/>
      <c r="F7745" s="11">
        <f t="shared" si="61"/>
      </c>
      <c r="G7745" s="22" cm="1">
        <f t="array" ref="G7745">IF(AND(Inputs!$C$60,Inputs!$C$61),INDEX(Utility_Rates!$C$29:$F$52,HOUR(C7745)+Inputs!$C$69,MATCH(INDEX(Utility_Rates!$K$6:$K$17,MONTH(C7745))&amp;IF(WEEKDAY(C7745,Inputs!$C$76)&lt;=Inputs!$C$74," weekday"," weekend"),Utility_Rates!$C$28:$F$28,Inputs!$C$68)),"")</f>
      </c>
      <c r="H7745" s="34"/>
      <c r="I7745" s="42">
        <f>IF(AND(ISNUMBER(D7745),ISNUMBER(H7745)),D7745*H7745*Inputs!$C$69,"")</f>
      </c>
      <c r="J7745" s="42">
        <f>IF(AND(ISNUMBER(F7745),ISNUMBER(H7745),F7745&gt;=Inputs!$C$68),F7745*H7745*Inputs!$C$69,"")</f>
      </c>
    </row>
    <row r="7746" spans="2:10" ht="15" customHeight="1" x14ac:dyDescent="0.2">
      <c r="B7746" s="39">
        <f t="shared" si="60"/>
      </c>
      <c r="C7746" s="40">
        <f>IF(Inputs!$C$60,Inputs!$C$11+(B7746-Inputs!$C$69)/Inputs!$C$70,"")</f>
      </c>
      <c r="D7746" s="15"/>
      <c r="E7746" s="15"/>
      <c r="F7746" s="11">
        <f t="shared" si="61"/>
      </c>
      <c r="G7746" s="22" cm="1">
        <f t="array" ref="G7746">IF(AND(Inputs!$C$60,Inputs!$C$61),INDEX(Utility_Rates!$C$29:$F$52,HOUR(C7746)+Inputs!$C$69,MATCH(INDEX(Utility_Rates!$K$6:$K$17,MONTH(C7746))&amp;IF(WEEKDAY(C7746,Inputs!$C$76)&lt;=Inputs!$C$74," weekday"," weekend"),Utility_Rates!$C$28:$F$28,Inputs!$C$68)),"")</f>
      </c>
      <c r="H7746" s="34"/>
      <c r="I7746" s="42">
        <f>IF(AND(ISNUMBER(D7746),ISNUMBER(H7746)),D7746*H7746*Inputs!$C$69,"")</f>
      </c>
      <c r="J7746" s="42">
        <f>IF(AND(ISNUMBER(F7746),ISNUMBER(H7746),F7746&gt;=Inputs!$C$68),F7746*H7746*Inputs!$C$69,"")</f>
      </c>
    </row>
    <row r="7747" spans="2:10" ht="15" customHeight="1" x14ac:dyDescent="0.2">
      <c r="B7747" s="39">
        <f t="shared" si="60"/>
      </c>
      <c r="C7747" s="40">
        <f>IF(Inputs!$C$60,Inputs!$C$11+(B7747-Inputs!$C$69)/Inputs!$C$70,"")</f>
      </c>
      <c r="D7747" s="15"/>
      <c r="E7747" s="15"/>
      <c r="F7747" s="11">
        <f t="shared" si="61"/>
      </c>
      <c r="G7747" s="22" cm="1">
        <f t="array" ref="G7747">IF(AND(Inputs!$C$60,Inputs!$C$61),INDEX(Utility_Rates!$C$29:$F$52,HOUR(C7747)+Inputs!$C$69,MATCH(INDEX(Utility_Rates!$K$6:$K$17,MONTH(C7747))&amp;IF(WEEKDAY(C7747,Inputs!$C$76)&lt;=Inputs!$C$74," weekday"," weekend"),Utility_Rates!$C$28:$F$28,Inputs!$C$68)),"")</f>
      </c>
      <c r="H7747" s="34"/>
      <c r="I7747" s="42">
        <f>IF(AND(ISNUMBER(D7747),ISNUMBER(H7747)),D7747*H7747*Inputs!$C$69,"")</f>
      </c>
      <c r="J7747" s="42">
        <f>IF(AND(ISNUMBER(F7747),ISNUMBER(H7747),F7747&gt;=Inputs!$C$68),F7747*H7747*Inputs!$C$69,"")</f>
      </c>
    </row>
    <row r="7748" spans="2:10" ht="15" customHeight="1" x14ac:dyDescent="0.2">
      <c r="B7748" s="39">
        <f t="shared" si="60"/>
      </c>
      <c r="C7748" s="40">
        <f>IF(Inputs!$C$60,Inputs!$C$11+(B7748-Inputs!$C$69)/Inputs!$C$70,"")</f>
      </c>
      <c r="D7748" s="15"/>
      <c r="E7748" s="15"/>
      <c r="F7748" s="11">
        <f t="shared" si="61"/>
      </c>
      <c r="G7748" s="22" cm="1">
        <f t="array" ref="G7748">IF(AND(Inputs!$C$60,Inputs!$C$61),INDEX(Utility_Rates!$C$29:$F$52,HOUR(C7748)+Inputs!$C$69,MATCH(INDEX(Utility_Rates!$K$6:$K$17,MONTH(C7748))&amp;IF(WEEKDAY(C7748,Inputs!$C$76)&lt;=Inputs!$C$74," weekday"," weekend"),Utility_Rates!$C$28:$F$28,Inputs!$C$68)),"")</f>
      </c>
      <c r="H7748" s="34"/>
      <c r="I7748" s="42">
        <f>IF(AND(ISNUMBER(D7748),ISNUMBER(H7748)),D7748*H7748*Inputs!$C$69,"")</f>
      </c>
      <c r="J7748" s="42">
        <f>IF(AND(ISNUMBER(F7748),ISNUMBER(H7748),F7748&gt;=Inputs!$C$68),F7748*H7748*Inputs!$C$69,"")</f>
      </c>
    </row>
    <row r="7749" spans="2:10" ht="15" customHeight="1" x14ac:dyDescent="0.2">
      <c r="B7749" s="39">
        <f t="shared" si="60"/>
      </c>
      <c r="C7749" s="40">
        <f>IF(Inputs!$C$60,Inputs!$C$11+(B7749-Inputs!$C$69)/Inputs!$C$70,"")</f>
      </c>
      <c r="D7749" s="15"/>
      <c r="E7749" s="15"/>
      <c r="F7749" s="11">
        <f t="shared" si="61"/>
      </c>
      <c r="G7749" s="22" cm="1">
        <f t="array" ref="G7749">IF(AND(Inputs!$C$60,Inputs!$C$61),INDEX(Utility_Rates!$C$29:$F$52,HOUR(C7749)+Inputs!$C$69,MATCH(INDEX(Utility_Rates!$K$6:$K$17,MONTH(C7749))&amp;IF(WEEKDAY(C7749,Inputs!$C$76)&lt;=Inputs!$C$74," weekday"," weekend"),Utility_Rates!$C$28:$F$28,Inputs!$C$68)),"")</f>
      </c>
      <c r="H7749" s="34"/>
      <c r="I7749" s="42">
        <f>IF(AND(ISNUMBER(D7749),ISNUMBER(H7749)),D7749*H7749*Inputs!$C$69,"")</f>
      </c>
      <c r="J7749" s="42">
        <f>IF(AND(ISNUMBER(F7749),ISNUMBER(H7749),F7749&gt;=Inputs!$C$68),F7749*H7749*Inputs!$C$69,"")</f>
      </c>
    </row>
    <row r="7750" spans="2:10" ht="15" customHeight="1" x14ac:dyDescent="0.2">
      <c r="B7750" s="39">
        <f t="shared" si="60"/>
      </c>
      <c r="C7750" s="40">
        <f>IF(Inputs!$C$60,Inputs!$C$11+(B7750-Inputs!$C$69)/Inputs!$C$70,"")</f>
      </c>
      <c r="D7750" s="15"/>
      <c r="E7750" s="15"/>
      <c r="F7750" s="11">
        <f t="shared" si="61"/>
      </c>
      <c r="G7750" s="22" cm="1">
        <f t="array" ref="G7750">IF(AND(Inputs!$C$60,Inputs!$C$61),INDEX(Utility_Rates!$C$29:$F$52,HOUR(C7750)+Inputs!$C$69,MATCH(INDEX(Utility_Rates!$K$6:$K$17,MONTH(C7750))&amp;IF(WEEKDAY(C7750,Inputs!$C$76)&lt;=Inputs!$C$74," weekday"," weekend"),Utility_Rates!$C$28:$F$28,Inputs!$C$68)),"")</f>
      </c>
      <c r="H7750" s="34"/>
      <c r="I7750" s="42">
        <f>IF(AND(ISNUMBER(D7750),ISNUMBER(H7750)),D7750*H7750*Inputs!$C$69,"")</f>
      </c>
      <c r="J7750" s="42">
        <f>IF(AND(ISNUMBER(F7750),ISNUMBER(H7750),F7750&gt;=Inputs!$C$68),F7750*H7750*Inputs!$C$69,"")</f>
      </c>
    </row>
    <row r="7751" spans="2:10" ht="15" customHeight="1" x14ac:dyDescent="0.2">
      <c r="B7751" s="39">
        <f t="shared" si="60"/>
      </c>
      <c r="C7751" s="40">
        <f>IF(Inputs!$C$60,Inputs!$C$11+(B7751-Inputs!$C$69)/Inputs!$C$70,"")</f>
      </c>
      <c r="D7751" s="15"/>
      <c r="E7751" s="15"/>
      <c r="F7751" s="11">
        <f t="shared" si="61"/>
      </c>
      <c r="G7751" s="22" cm="1">
        <f t="array" ref="G7751">IF(AND(Inputs!$C$60,Inputs!$C$61),INDEX(Utility_Rates!$C$29:$F$52,HOUR(C7751)+Inputs!$C$69,MATCH(INDEX(Utility_Rates!$K$6:$K$17,MONTH(C7751))&amp;IF(WEEKDAY(C7751,Inputs!$C$76)&lt;=Inputs!$C$74," weekday"," weekend"),Utility_Rates!$C$28:$F$28,Inputs!$C$68)),"")</f>
      </c>
      <c r="H7751" s="34"/>
      <c r="I7751" s="42">
        <f>IF(AND(ISNUMBER(D7751),ISNUMBER(H7751)),D7751*H7751*Inputs!$C$69,"")</f>
      </c>
      <c r="J7751" s="42">
        <f>IF(AND(ISNUMBER(F7751),ISNUMBER(H7751),F7751&gt;=Inputs!$C$68),F7751*H7751*Inputs!$C$69,"")</f>
      </c>
    </row>
    <row r="7752" spans="2:10" ht="15" customHeight="1" x14ac:dyDescent="0.2">
      <c r="B7752" s="39">
        <f t="shared" si="60"/>
      </c>
      <c r="C7752" s="40">
        <f>IF(Inputs!$C$60,Inputs!$C$11+(B7752-Inputs!$C$69)/Inputs!$C$70,"")</f>
      </c>
      <c r="D7752" s="15"/>
      <c r="E7752" s="15"/>
      <c r="F7752" s="11">
        <f t="shared" si="61"/>
      </c>
      <c r="G7752" s="22" cm="1">
        <f t="array" ref="G7752">IF(AND(Inputs!$C$60,Inputs!$C$61),INDEX(Utility_Rates!$C$29:$F$52,HOUR(C7752)+Inputs!$C$69,MATCH(INDEX(Utility_Rates!$K$6:$K$17,MONTH(C7752))&amp;IF(WEEKDAY(C7752,Inputs!$C$76)&lt;=Inputs!$C$74," weekday"," weekend"),Utility_Rates!$C$28:$F$28,Inputs!$C$68)),"")</f>
      </c>
      <c r="H7752" s="34"/>
      <c r="I7752" s="42">
        <f>IF(AND(ISNUMBER(D7752),ISNUMBER(H7752)),D7752*H7752*Inputs!$C$69,"")</f>
      </c>
      <c r="J7752" s="42">
        <f>IF(AND(ISNUMBER(F7752),ISNUMBER(H7752),F7752&gt;=Inputs!$C$68),F7752*H7752*Inputs!$C$69,"")</f>
      </c>
    </row>
    <row r="7753" spans="2:10" ht="15" customHeight="1" x14ac:dyDescent="0.2">
      <c r="B7753" s="39">
        <f t="shared" si="60"/>
      </c>
      <c r="C7753" s="40">
        <f>IF(Inputs!$C$60,Inputs!$C$11+(B7753-Inputs!$C$69)/Inputs!$C$70,"")</f>
      </c>
      <c r="D7753" s="15"/>
      <c r="E7753" s="15"/>
      <c r="F7753" s="11">
        <f t="shared" si="61"/>
      </c>
      <c r="G7753" s="22" cm="1">
        <f t="array" ref="G7753">IF(AND(Inputs!$C$60,Inputs!$C$61),INDEX(Utility_Rates!$C$29:$F$52,HOUR(C7753)+Inputs!$C$69,MATCH(INDEX(Utility_Rates!$K$6:$K$17,MONTH(C7753))&amp;IF(WEEKDAY(C7753,Inputs!$C$76)&lt;=Inputs!$C$74," weekday"," weekend"),Utility_Rates!$C$28:$F$28,Inputs!$C$68)),"")</f>
      </c>
      <c r="H7753" s="34"/>
      <c r="I7753" s="42">
        <f>IF(AND(ISNUMBER(D7753),ISNUMBER(H7753)),D7753*H7753*Inputs!$C$69,"")</f>
      </c>
      <c r="J7753" s="42">
        <f>IF(AND(ISNUMBER(F7753),ISNUMBER(H7753),F7753&gt;=Inputs!$C$68),F7753*H7753*Inputs!$C$69,"")</f>
      </c>
    </row>
    <row r="7754" spans="2:10" ht="15" customHeight="1" x14ac:dyDescent="0.2">
      <c r="B7754" s="39">
        <f t="shared" si="60"/>
      </c>
      <c r="C7754" s="40">
        <f>IF(Inputs!$C$60,Inputs!$C$11+(B7754-Inputs!$C$69)/Inputs!$C$70,"")</f>
      </c>
      <c r="D7754" s="15"/>
      <c r="E7754" s="15"/>
      <c r="F7754" s="11">
        <f t="shared" si="61"/>
      </c>
      <c r="G7754" s="22" cm="1">
        <f t="array" ref="G7754">IF(AND(Inputs!$C$60,Inputs!$C$61),INDEX(Utility_Rates!$C$29:$F$52,HOUR(C7754)+Inputs!$C$69,MATCH(INDEX(Utility_Rates!$K$6:$K$17,MONTH(C7754))&amp;IF(WEEKDAY(C7754,Inputs!$C$76)&lt;=Inputs!$C$74," weekday"," weekend"),Utility_Rates!$C$28:$F$28,Inputs!$C$68)),"")</f>
      </c>
      <c r="H7754" s="34"/>
      <c r="I7754" s="42">
        <f>IF(AND(ISNUMBER(D7754),ISNUMBER(H7754)),D7754*H7754*Inputs!$C$69,"")</f>
      </c>
      <c r="J7754" s="42">
        <f>IF(AND(ISNUMBER(F7754),ISNUMBER(H7754),F7754&gt;=Inputs!$C$68),F7754*H7754*Inputs!$C$69,"")</f>
      </c>
    </row>
    <row r="7755" spans="2:10" ht="15" customHeight="1" x14ac:dyDescent="0.2">
      <c r="B7755" s="39">
        <f t="shared" si="60"/>
      </c>
      <c r="C7755" s="40">
        <f>IF(Inputs!$C$60,Inputs!$C$11+(B7755-Inputs!$C$69)/Inputs!$C$70,"")</f>
      </c>
      <c r="D7755" s="15"/>
      <c r="E7755" s="15"/>
      <c r="F7755" s="11">
        <f t="shared" si="61"/>
      </c>
      <c r="G7755" s="22" cm="1">
        <f t="array" ref="G7755">IF(AND(Inputs!$C$60,Inputs!$C$61),INDEX(Utility_Rates!$C$29:$F$52,HOUR(C7755)+Inputs!$C$69,MATCH(INDEX(Utility_Rates!$K$6:$K$17,MONTH(C7755))&amp;IF(WEEKDAY(C7755,Inputs!$C$76)&lt;=Inputs!$C$74," weekday"," weekend"),Utility_Rates!$C$28:$F$28,Inputs!$C$68)),"")</f>
      </c>
      <c r="H7755" s="34"/>
      <c r="I7755" s="42">
        <f>IF(AND(ISNUMBER(D7755),ISNUMBER(H7755)),D7755*H7755*Inputs!$C$69,"")</f>
      </c>
      <c r="J7755" s="42">
        <f>IF(AND(ISNUMBER(F7755),ISNUMBER(H7755),F7755&gt;=Inputs!$C$68),F7755*H7755*Inputs!$C$69,"")</f>
      </c>
    </row>
    <row r="7756" spans="2:10" ht="15" customHeight="1" x14ac:dyDescent="0.2">
      <c r="B7756" s="39">
        <f t="shared" si="60"/>
      </c>
      <c r="C7756" s="40">
        <f>IF(Inputs!$C$60,Inputs!$C$11+(B7756-Inputs!$C$69)/Inputs!$C$70,"")</f>
      </c>
      <c r="D7756" s="15"/>
      <c r="E7756" s="15"/>
      <c r="F7756" s="11">
        <f t="shared" si="61"/>
      </c>
      <c r="G7756" s="22" cm="1">
        <f t="array" ref="G7756">IF(AND(Inputs!$C$60,Inputs!$C$61),INDEX(Utility_Rates!$C$29:$F$52,HOUR(C7756)+Inputs!$C$69,MATCH(INDEX(Utility_Rates!$K$6:$K$17,MONTH(C7756))&amp;IF(WEEKDAY(C7756,Inputs!$C$76)&lt;=Inputs!$C$74," weekday"," weekend"),Utility_Rates!$C$28:$F$28,Inputs!$C$68)),"")</f>
      </c>
      <c r="H7756" s="34"/>
      <c r="I7756" s="42">
        <f>IF(AND(ISNUMBER(D7756),ISNUMBER(H7756)),D7756*H7756*Inputs!$C$69,"")</f>
      </c>
      <c r="J7756" s="42">
        <f>IF(AND(ISNUMBER(F7756),ISNUMBER(H7756),F7756&gt;=Inputs!$C$68),F7756*H7756*Inputs!$C$69,"")</f>
      </c>
    </row>
    <row r="7757" spans="2:10" ht="15" customHeight="1" x14ac:dyDescent="0.2">
      <c r="B7757" s="39">
        <f t="shared" si="60"/>
      </c>
      <c r="C7757" s="40">
        <f>IF(Inputs!$C$60,Inputs!$C$11+(B7757-Inputs!$C$69)/Inputs!$C$70,"")</f>
      </c>
      <c r="D7757" s="15"/>
      <c r="E7757" s="15"/>
      <c r="F7757" s="11">
        <f t="shared" si="61"/>
      </c>
      <c r="G7757" s="22" cm="1">
        <f t="array" ref="G7757">IF(AND(Inputs!$C$60,Inputs!$C$61),INDEX(Utility_Rates!$C$29:$F$52,HOUR(C7757)+Inputs!$C$69,MATCH(INDEX(Utility_Rates!$K$6:$K$17,MONTH(C7757))&amp;IF(WEEKDAY(C7757,Inputs!$C$76)&lt;=Inputs!$C$74," weekday"," weekend"),Utility_Rates!$C$28:$F$28,Inputs!$C$68)),"")</f>
      </c>
      <c r="H7757" s="34"/>
      <c r="I7757" s="42">
        <f>IF(AND(ISNUMBER(D7757),ISNUMBER(H7757)),D7757*H7757*Inputs!$C$69,"")</f>
      </c>
      <c r="J7757" s="42">
        <f>IF(AND(ISNUMBER(F7757),ISNUMBER(H7757),F7757&gt;=Inputs!$C$68),F7757*H7757*Inputs!$C$69,"")</f>
      </c>
    </row>
    <row r="7758" spans="2:10" ht="15" customHeight="1" x14ac:dyDescent="0.2">
      <c r="B7758" s="39">
        <f t="shared" si="60"/>
      </c>
      <c r="C7758" s="40">
        <f>IF(Inputs!$C$60,Inputs!$C$11+(B7758-Inputs!$C$69)/Inputs!$C$70,"")</f>
      </c>
      <c r="D7758" s="15"/>
      <c r="E7758" s="15"/>
      <c r="F7758" s="11">
        <f t="shared" si="61"/>
      </c>
      <c r="G7758" s="22" cm="1">
        <f t="array" ref="G7758">IF(AND(Inputs!$C$60,Inputs!$C$61),INDEX(Utility_Rates!$C$29:$F$52,HOUR(C7758)+Inputs!$C$69,MATCH(INDEX(Utility_Rates!$K$6:$K$17,MONTH(C7758))&amp;IF(WEEKDAY(C7758,Inputs!$C$76)&lt;=Inputs!$C$74," weekday"," weekend"),Utility_Rates!$C$28:$F$28,Inputs!$C$68)),"")</f>
      </c>
      <c r="H7758" s="34"/>
      <c r="I7758" s="42">
        <f>IF(AND(ISNUMBER(D7758),ISNUMBER(H7758)),D7758*H7758*Inputs!$C$69,"")</f>
      </c>
      <c r="J7758" s="42">
        <f>IF(AND(ISNUMBER(F7758),ISNUMBER(H7758),F7758&gt;=Inputs!$C$68),F7758*H7758*Inputs!$C$69,"")</f>
      </c>
    </row>
    <row r="7759" spans="2:10" ht="15" customHeight="1" x14ac:dyDescent="0.2">
      <c r="B7759" s="39">
        <f t="shared" si="60"/>
      </c>
      <c r="C7759" s="40">
        <f>IF(Inputs!$C$60,Inputs!$C$11+(B7759-Inputs!$C$69)/Inputs!$C$70,"")</f>
      </c>
      <c r="D7759" s="15"/>
      <c r="E7759" s="15"/>
      <c r="F7759" s="11">
        <f t="shared" si="61"/>
      </c>
      <c r="G7759" s="22" cm="1">
        <f t="array" ref="G7759">IF(AND(Inputs!$C$60,Inputs!$C$61),INDEX(Utility_Rates!$C$29:$F$52,HOUR(C7759)+Inputs!$C$69,MATCH(INDEX(Utility_Rates!$K$6:$K$17,MONTH(C7759))&amp;IF(WEEKDAY(C7759,Inputs!$C$76)&lt;=Inputs!$C$74," weekday"," weekend"),Utility_Rates!$C$28:$F$28,Inputs!$C$68)),"")</f>
      </c>
      <c r="H7759" s="34"/>
      <c r="I7759" s="42">
        <f>IF(AND(ISNUMBER(D7759),ISNUMBER(H7759)),D7759*H7759*Inputs!$C$69,"")</f>
      </c>
      <c r="J7759" s="42">
        <f>IF(AND(ISNUMBER(F7759),ISNUMBER(H7759),F7759&gt;=Inputs!$C$68),F7759*H7759*Inputs!$C$69,"")</f>
      </c>
    </row>
    <row r="7760" spans="2:10" ht="15" customHeight="1" x14ac:dyDescent="0.2">
      <c r="B7760" s="39">
        <f t="shared" si="60"/>
      </c>
      <c r="C7760" s="40">
        <f>IF(Inputs!$C$60,Inputs!$C$11+(B7760-Inputs!$C$69)/Inputs!$C$70,"")</f>
      </c>
      <c r="D7760" s="15"/>
      <c r="E7760" s="15"/>
      <c r="F7760" s="11">
        <f t="shared" si="61"/>
      </c>
      <c r="G7760" s="22" cm="1">
        <f t="array" ref="G7760">IF(AND(Inputs!$C$60,Inputs!$C$61),INDEX(Utility_Rates!$C$29:$F$52,HOUR(C7760)+Inputs!$C$69,MATCH(INDEX(Utility_Rates!$K$6:$K$17,MONTH(C7760))&amp;IF(WEEKDAY(C7760,Inputs!$C$76)&lt;=Inputs!$C$74," weekday"," weekend"),Utility_Rates!$C$28:$F$28,Inputs!$C$68)),"")</f>
      </c>
      <c r="H7760" s="34"/>
      <c r="I7760" s="42">
        <f>IF(AND(ISNUMBER(D7760),ISNUMBER(H7760)),D7760*H7760*Inputs!$C$69,"")</f>
      </c>
      <c r="J7760" s="42">
        <f>IF(AND(ISNUMBER(F7760),ISNUMBER(H7760),F7760&gt;=Inputs!$C$68),F7760*H7760*Inputs!$C$69,"")</f>
      </c>
    </row>
    <row r="7761" spans="2:10" ht="15" customHeight="1" x14ac:dyDescent="0.2">
      <c r="B7761" s="39">
        <f t="shared" si="60"/>
      </c>
      <c r="C7761" s="40">
        <f>IF(Inputs!$C$60,Inputs!$C$11+(B7761-Inputs!$C$69)/Inputs!$C$70,"")</f>
      </c>
      <c r="D7761" s="15"/>
      <c r="E7761" s="15"/>
      <c r="F7761" s="11">
        <f t="shared" si="61"/>
      </c>
      <c r="G7761" s="22" cm="1">
        <f t="array" ref="G7761">IF(AND(Inputs!$C$60,Inputs!$C$61),INDEX(Utility_Rates!$C$29:$F$52,HOUR(C7761)+Inputs!$C$69,MATCH(INDEX(Utility_Rates!$K$6:$K$17,MONTH(C7761))&amp;IF(WEEKDAY(C7761,Inputs!$C$76)&lt;=Inputs!$C$74," weekday"," weekend"),Utility_Rates!$C$28:$F$28,Inputs!$C$68)),"")</f>
      </c>
      <c r="H7761" s="34"/>
      <c r="I7761" s="42">
        <f>IF(AND(ISNUMBER(D7761),ISNUMBER(H7761)),D7761*H7761*Inputs!$C$69,"")</f>
      </c>
      <c r="J7761" s="42">
        <f>IF(AND(ISNUMBER(F7761),ISNUMBER(H7761),F7761&gt;=Inputs!$C$68),F7761*H7761*Inputs!$C$69,"")</f>
      </c>
    </row>
    <row r="7762" spans="2:10" ht="15" customHeight="1" x14ac:dyDescent="0.2">
      <c r="B7762" s="39">
        <f t="shared" si="60"/>
      </c>
      <c r="C7762" s="40">
        <f>IF(Inputs!$C$60,Inputs!$C$11+(B7762-Inputs!$C$69)/Inputs!$C$70,"")</f>
      </c>
      <c r="D7762" s="15"/>
      <c r="E7762" s="15"/>
      <c r="F7762" s="11">
        <f t="shared" si="61"/>
      </c>
      <c r="G7762" s="22" cm="1">
        <f t="array" ref="G7762">IF(AND(Inputs!$C$60,Inputs!$C$61),INDEX(Utility_Rates!$C$29:$F$52,HOUR(C7762)+Inputs!$C$69,MATCH(INDEX(Utility_Rates!$K$6:$K$17,MONTH(C7762))&amp;IF(WEEKDAY(C7762,Inputs!$C$76)&lt;=Inputs!$C$74," weekday"," weekend"),Utility_Rates!$C$28:$F$28,Inputs!$C$68)),"")</f>
      </c>
      <c r="H7762" s="34"/>
      <c r="I7762" s="42">
        <f>IF(AND(ISNUMBER(D7762),ISNUMBER(H7762)),D7762*H7762*Inputs!$C$69,"")</f>
      </c>
      <c r="J7762" s="42">
        <f>IF(AND(ISNUMBER(F7762),ISNUMBER(H7762),F7762&gt;=Inputs!$C$68),F7762*H7762*Inputs!$C$69,"")</f>
      </c>
    </row>
    <row r="7763" spans="2:10" ht="15" customHeight="1" x14ac:dyDescent="0.2">
      <c r="B7763" s="39">
        <f t="shared" si="60"/>
      </c>
      <c r="C7763" s="40">
        <f>IF(Inputs!$C$60,Inputs!$C$11+(B7763-Inputs!$C$69)/Inputs!$C$70,"")</f>
      </c>
      <c r="D7763" s="15"/>
      <c r="E7763" s="15"/>
      <c r="F7763" s="11">
        <f t="shared" si="61"/>
      </c>
      <c r="G7763" s="22" cm="1">
        <f t="array" ref="G7763">IF(AND(Inputs!$C$60,Inputs!$C$61),INDEX(Utility_Rates!$C$29:$F$52,HOUR(C7763)+Inputs!$C$69,MATCH(INDEX(Utility_Rates!$K$6:$K$17,MONTH(C7763))&amp;IF(WEEKDAY(C7763,Inputs!$C$76)&lt;=Inputs!$C$74," weekday"," weekend"),Utility_Rates!$C$28:$F$28,Inputs!$C$68)),"")</f>
      </c>
      <c r="H7763" s="34"/>
      <c r="I7763" s="42">
        <f>IF(AND(ISNUMBER(D7763),ISNUMBER(H7763)),D7763*H7763*Inputs!$C$69,"")</f>
      </c>
      <c r="J7763" s="42">
        <f>IF(AND(ISNUMBER(F7763),ISNUMBER(H7763),F7763&gt;=Inputs!$C$68),F7763*H7763*Inputs!$C$69,"")</f>
      </c>
    </row>
    <row r="7764" spans="2:10" ht="15" customHeight="1" x14ac:dyDescent="0.2">
      <c r="B7764" s="39">
        <f t="shared" si="60"/>
      </c>
      <c r="C7764" s="40">
        <f>IF(Inputs!$C$60,Inputs!$C$11+(B7764-Inputs!$C$69)/Inputs!$C$70,"")</f>
      </c>
      <c r="D7764" s="15"/>
      <c r="E7764" s="15"/>
      <c r="F7764" s="11">
        <f t="shared" si="61"/>
      </c>
      <c r="G7764" s="22" cm="1">
        <f t="array" ref="G7764">IF(AND(Inputs!$C$60,Inputs!$C$61),INDEX(Utility_Rates!$C$29:$F$52,HOUR(C7764)+Inputs!$C$69,MATCH(INDEX(Utility_Rates!$K$6:$K$17,MONTH(C7764))&amp;IF(WEEKDAY(C7764,Inputs!$C$76)&lt;=Inputs!$C$74," weekday"," weekend"),Utility_Rates!$C$28:$F$28,Inputs!$C$68)),"")</f>
      </c>
      <c r="H7764" s="34"/>
      <c r="I7764" s="42">
        <f>IF(AND(ISNUMBER(D7764),ISNUMBER(H7764)),D7764*H7764*Inputs!$C$69,"")</f>
      </c>
      <c r="J7764" s="42">
        <f>IF(AND(ISNUMBER(F7764),ISNUMBER(H7764),F7764&gt;=Inputs!$C$68),F7764*H7764*Inputs!$C$69,"")</f>
      </c>
    </row>
    <row r="7765" spans="2:10" ht="15" customHeight="1" x14ac:dyDescent="0.2">
      <c r="B7765" s="39">
        <f t="shared" si="60"/>
      </c>
      <c r="C7765" s="40">
        <f>IF(Inputs!$C$60,Inputs!$C$11+(B7765-Inputs!$C$69)/Inputs!$C$70,"")</f>
      </c>
      <c r="D7765" s="15"/>
      <c r="E7765" s="15"/>
      <c r="F7765" s="11">
        <f t="shared" si="61"/>
      </c>
      <c r="G7765" s="22" cm="1">
        <f t="array" ref="G7765">IF(AND(Inputs!$C$60,Inputs!$C$61),INDEX(Utility_Rates!$C$29:$F$52,HOUR(C7765)+Inputs!$C$69,MATCH(INDEX(Utility_Rates!$K$6:$K$17,MONTH(C7765))&amp;IF(WEEKDAY(C7765,Inputs!$C$76)&lt;=Inputs!$C$74," weekday"," weekend"),Utility_Rates!$C$28:$F$28,Inputs!$C$68)),"")</f>
      </c>
      <c r="H7765" s="34"/>
      <c r="I7765" s="42">
        <f>IF(AND(ISNUMBER(D7765),ISNUMBER(H7765)),D7765*H7765*Inputs!$C$69,"")</f>
      </c>
      <c r="J7765" s="42">
        <f>IF(AND(ISNUMBER(F7765),ISNUMBER(H7765),F7765&gt;=Inputs!$C$68),F7765*H7765*Inputs!$C$69,"")</f>
      </c>
    </row>
    <row r="7766" spans="2:10" ht="15" customHeight="1" x14ac:dyDescent="0.2">
      <c r="B7766" s="39">
        <f t="shared" si="60"/>
      </c>
      <c r="C7766" s="40">
        <f>IF(Inputs!$C$60,Inputs!$C$11+(B7766-Inputs!$C$69)/Inputs!$C$70,"")</f>
      </c>
      <c r="D7766" s="15"/>
      <c r="E7766" s="15"/>
      <c r="F7766" s="11">
        <f t="shared" si="61"/>
      </c>
      <c r="G7766" s="22" cm="1">
        <f t="array" ref="G7766">IF(AND(Inputs!$C$60,Inputs!$C$61),INDEX(Utility_Rates!$C$29:$F$52,HOUR(C7766)+Inputs!$C$69,MATCH(INDEX(Utility_Rates!$K$6:$K$17,MONTH(C7766))&amp;IF(WEEKDAY(C7766,Inputs!$C$76)&lt;=Inputs!$C$74," weekday"," weekend"),Utility_Rates!$C$28:$F$28,Inputs!$C$68)),"")</f>
      </c>
      <c r="H7766" s="34"/>
      <c r="I7766" s="42">
        <f>IF(AND(ISNUMBER(D7766),ISNUMBER(H7766)),D7766*H7766*Inputs!$C$69,"")</f>
      </c>
      <c r="J7766" s="42">
        <f>IF(AND(ISNUMBER(F7766),ISNUMBER(H7766),F7766&gt;=Inputs!$C$68),F7766*H7766*Inputs!$C$69,"")</f>
      </c>
    </row>
    <row r="7767" spans="2:10" ht="15" customHeight="1" x14ac:dyDescent="0.2">
      <c r="B7767" s="39">
        <f t="shared" si="60"/>
      </c>
      <c r="C7767" s="40">
        <f>IF(Inputs!$C$60,Inputs!$C$11+(B7767-Inputs!$C$69)/Inputs!$C$70,"")</f>
      </c>
      <c r="D7767" s="15"/>
      <c r="E7767" s="15"/>
      <c r="F7767" s="11">
        <f t="shared" si="61"/>
      </c>
      <c r="G7767" s="22" cm="1">
        <f t="array" ref="G7767">IF(AND(Inputs!$C$60,Inputs!$C$61),INDEX(Utility_Rates!$C$29:$F$52,HOUR(C7767)+Inputs!$C$69,MATCH(INDEX(Utility_Rates!$K$6:$K$17,MONTH(C7767))&amp;IF(WEEKDAY(C7767,Inputs!$C$76)&lt;=Inputs!$C$74," weekday"," weekend"),Utility_Rates!$C$28:$F$28,Inputs!$C$68)),"")</f>
      </c>
      <c r="H7767" s="34"/>
      <c r="I7767" s="42">
        <f>IF(AND(ISNUMBER(D7767),ISNUMBER(H7767)),D7767*H7767*Inputs!$C$69,"")</f>
      </c>
      <c r="J7767" s="42">
        <f>IF(AND(ISNUMBER(F7767),ISNUMBER(H7767),F7767&gt;=Inputs!$C$68),F7767*H7767*Inputs!$C$69,"")</f>
      </c>
    </row>
    <row r="7768" spans="2:10" ht="15" customHeight="1" x14ac:dyDescent="0.2">
      <c r="B7768" s="39">
        <f t="shared" si="60"/>
      </c>
      <c r="C7768" s="40">
        <f>IF(Inputs!$C$60,Inputs!$C$11+(B7768-Inputs!$C$69)/Inputs!$C$70,"")</f>
      </c>
      <c r="D7768" s="15"/>
      <c r="E7768" s="15"/>
      <c r="F7768" s="11">
        <f t="shared" si="61"/>
      </c>
      <c r="G7768" s="22" cm="1">
        <f t="array" ref="G7768">IF(AND(Inputs!$C$60,Inputs!$C$61),INDEX(Utility_Rates!$C$29:$F$52,HOUR(C7768)+Inputs!$C$69,MATCH(INDEX(Utility_Rates!$K$6:$K$17,MONTH(C7768))&amp;IF(WEEKDAY(C7768,Inputs!$C$76)&lt;=Inputs!$C$74," weekday"," weekend"),Utility_Rates!$C$28:$F$28,Inputs!$C$68)),"")</f>
      </c>
      <c r="H7768" s="34"/>
      <c r="I7768" s="42">
        <f>IF(AND(ISNUMBER(D7768),ISNUMBER(H7768)),D7768*H7768*Inputs!$C$69,"")</f>
      </c>
      <c r="J7768" s="42">
        <f>IF(AND(ISNUMBER(F7768),ISNUMBER(H7768),F7768&gt;=Inputs!$C$68),F7768*H7768*Inputs!$C$69,"")</f>
      </c>
    </row>
    <row r="7769" spans="2:10" ht="15" customHeight="1" x14ac:dyDescent="0.2">
      <c r="B7769" s="39">
        <f t="shared" si="60"/>
      </c>
      <c r="C7769" s="40">
        <f>IF(Inputs!$C$60,Inputs!$C$11+(B7769-Inputs!$C$69)/Inputs!$C$70,"")</f>
      </c>
      <c r="D7769" s="15"/>
      <c r="E7769" s="15"/>
      <c r="F7769" s="11">
        <f t="shared" si="61"/>
      </c>
      <c r="G7769" s="22" cm="1">
        <f t="array" ref="G7769">IF(AND(Inputs!$C$60,Inputs!$C$61),INDEX(Utility_Rates!$C$29:$F$52,HOUR(C7769)+Inputs!$C$69,MATCH(INDEX(Utility_Rates!$K$6:$K$17,MONTH(C7769))&amp;IF(WEEKDAY(C7769,Inputs!$C$76)&lt;=Inputs!$C$74," weekday"," weekend"),Utility_Rates!$C$28:$F$28,Inputs!$C$68)),"")</f>
      </c>
      <c r="H7769" s="34"/>
      <c r="I7769" s="42">
        <f>IF(AND(ISNUMBER(D7769),ISNUMBER(H7769)),D7769*H7769*Inputs!$C$69,"")</f>
      </c>
      <c r="J7769" s="42">
        <f>IF(AND(ISNUMBER(F7769),ISNUMBER(H7769),F7769&gt;=Inputs!$C$68),F7769*H7769*Inputs!$C$69,"")</f>
      </c>
    </row>
    <row r="7770" spans="2:10" ht="15" customHeight="1" x14ac:dyDescent="0.2">
      <c r="B7770" s="39">
        <f t="shared" si="60"/>
      </c>
      <c r="C7770" s="40">
        <f>IF(Inputs!$C$60,Inputs!$C$11+(B7770-Inputs!$C$69)/Inputs!$C$70,"")</f>
      </c>
      <c r="D7770" s="15"/>
      <c r="E7770" s="15"/>
      <c r="F7770" s="11">
        <f t="shared" si="61"/>
      </c>
      <c r="G7770" s="22" cm="1">
        <f t="array" ref="G7770">IF(AND(Inputs!$C$60,Inputs!$C$61),INDEX(Utility_Rates!$C$29:$F$52,HOUR(C7770)+Inputs!$C$69,MATCH(INDEX(Utility_Rates!$K$6:$K$17,MONTH(C7770))&amp;IF(WEEKDAY(C7770,Inputs!$C$76)&lt;=Inputs!$C$74," weekday"," weekend"),Utility_Rates!$C$28:$F$28,Inputs!$C$68)),"")</f>
      </c>
      <c r="H7770" s="34"/>
      <c r="I7770" s="42">
        <f>IF(AND(ISNUMBER(D7770),ISNUMBER(H7770)),D7770*H7770*Inputs!$C$69,"")</f>
      </c>
      <c r="J7770" s="42">
        <f>IF(AND(ISNUMBER(F7770),ISNUMBER(H7770),F7770&gt;=Inputs!$C$68),F7770*H7770*Inputs!$C$69,"")</f>
      </c>
    </row>
    <row r="7771" spans="2:10" ht="15" customHeight="1" x14ac:dyDescent="0.2">
      <c r="B7771" s="39">
        <f t="shared" si="60"/>
      </c>
      <c r="C7771" s="40">
        <f>IF(Inputs!$C$60,Inputs!$C$11+(B7771-Inputs!$C$69)/Inputs!$C$70,"")</f>
      </c>
      <c r="D7771" s="15"/>
      <c r="E7771" s="15"/>
      <c r="F7771" s="11">
        <f t="shared" si="61"/>
      </c>
      <c r="G7771" s="22" cm="1">
        <f t="array" ref="G7771">IF(AND(Inputs!$C$60,Inputs!$C$61),INDEX(Utility_Rates!$C$29:$F$52,HOUR(C7771)+Inputs!$C$69,MATCH(INDEX(Utility_Rates!$K$6:$K$17,MONTH(C7771))&amp;IF(WEEKDAY(C7771,Inputs!$C$76)&lt;=Inputs!$C$74," weekday"," weekend"),Utility_Rates!$C$28:$F$28,Inputs!$C$68)),"")</f>
      </c>
      <c r="H7771" s="34"/>
      <c r="I7771" s="42">
        <f>IF(AND(ISNUMBER(D7771),ISNUMBER(H7771)),D7771*H7771*Inputs!$C$69,"")</f>
      </c>
      <c r="J7771" s="42">
        <f>IF(AND(ISNUMBER(F7771),ISNUMBER(H7771),F7771&gt;=Inputs!$C$68),F7771*H7771*Inputs!$C$69,"")</f>
      </c>
    </row>
    <row r="7772" spans="2:10" ht="15" customHeight="1" x14ac:dyDescent="0.2">
      <c r="B7772" s="39">
        <f t="shared" si="60"/>
      </c>
      <c r="C7772" s="40">
        <f>IF(Inputs!$C$60,Inputs!$C$11+(B7772-Inputs!$C$69)/Inputs!$C$70,"")</f>
      </c>
      <c r="D7772" s="15"/>
      <c r="E7772" s="15"/>
      <c r="F7772" s="11">
        <f t="shared" si="61"/>
      </c>
      <c r="G7772" s="22" cm="1">
        <f t="array" ref="G7772">IF(AND(Inputs!$C$60,Inputs!$C$61),INDEX(Utility_Rates!$C$29:$F$52,HOUR(C7772)+Inputs!$C$69,MATCH(INDEX(Utility_Rates!$K$6:$K$17,MONTH(C7772))&amp;IF(WEEKDAY(C7772,Inputs!$C$76)&lt;=Inputs!$C$74," weekday"," weekend"),Utility_Rates!$C$28:$F$28,Inputs!$C$68)),"")</f>
      </c>
      <c r="H7772" s="34"/>
      <c r="I7772" s="42">
        <f>IF(AND(ISNUMBER(D7772),ISNUMBER(H7772)),D7772*H7772*Inputs!$C$69,"")</f>
      </c>
      <c r="J7772" s="42">
        <f>IF(AND(ISNUMBER(F7772),ISNUMBER(H7772),F7772&gt;=Inputs!$C$68),F7772*H7772*Inputs!$C$69,"")</f>
      </c>
    </row>
    <row r="7773" spans="2:10" ht="15" customHeight="1" x14ac:dyDescent="0.2">
      <c r="B7773" s="39">
        <f t="shared" si="60"/>
      </c>
      <c r="C7773" s="40">
        <f>IF(Inputs!$C$60,Inputs!$C$11+(B7773-Inputs!$C$69)/Inputs!$C$70,"")</f>
      </c>
      <c r="D7773" s="15"/>
      <c r="E7773" s="15"/>
      <c r="F7773" s="11">
        <f t="shared" si="61"/>
      </c>
      <c r="G7773" s="22" cm="1">
        <f t="array" ref="G7773">IF(AND(Inputs!$C$60,Inputs!$C$61),INDEX(Utility_Rates!$C$29:$F$52,HOUR(C7773)+Inputs!$C$69,MATCH(INDEX(Utility_Rates!$K$6:$K$17,MONTH(C7773))&amp;IF(WEEKDAY(C7773,Inputs!$C$76)&lt;=Inputs!$C$74," weekday"," weekend"),Utility_Rates!$C$28:$F$28,Inputs!$C$68)),"")</f>
      </c>
      <c r="H7773" s="34"/>
      <c r="I7773" s="42">
        <f>IF(AND(ISNUMBER(D7773),ISNUMBER(H7773)),D7773*H7773*Inputs!$C$69,"")</f>
      </c>
      <c r="J7773" s="42">
        <f>IF(AND(ISNUMBER(F7773),ISNUMBER(H7773),F7773&gt;=Inputs!$C$68),F7773*H7773*Inputs!$C$69,"")</f>
      </c>
    </row>
    <row r="7774" spans="2:10" ht="15" customHeight="1" x14ac:dyDescent="0.2">
      <c r="B7774" s="39">
        <f t="shared" si="60"/>
      </c>
      <c r="C7774" s="40">
        <f>IF(Inputs!$C$60,Inputs!$C$11+(B7774-Inputs!$C$69)/Inputs!$C$70,"")</f>
      </c>
      <c r="D7774" s="15"/>
      <c r="E7774" s="15"/>
      <c r="F7774" s="11">
        <f t="shared" si="61"/>
      </c>
      <c r="G7774" s="22" cm="1">
        <f t="array" ref="G7774">IF(AND(Inputs!$C$60,Inputs!$C$61),INDEX(Utility_Rates!$C$29:$F$52,HOUR(C7774)+Inputs!$C$69,MATCH(INDEX(Utility_Rates!$K$6:$K$17,MONTH(C7774))&amp;IF(WEEKDAY(C7774,Inputs!$C$76)&lt;=Inputs!$C$74," weekday"," weekend"),Utility_Rates!$C$28:$F$28,Inputs!$C$68)),"")</f>
      </c>
      <c r="H7774" s="34"/>
      <c r="I7774" s="42">
        <f>IF(AND(ISNUMBER(D7774),ISNUMBER(H7774)),D7774*H7774*Inputs!$C$69,"")</f>
      </c>
      <c r="J7774" s="42">
        <f>IF(AND(ISNUMBER(F7774),ISNUMBER(H7774),F7774&gt;=Inputs!$C$68),F7774*H7774*Inputs!$C$69,"")</f>
      </c>
    </row>
    <row r="7775" spans="2:10" ht="15" customHeight="1" x14ac:dyDescent="0.2">
      <c r="B7775" s="39">
        <f t="shared" si="60"/>
      </c>
      <c r="C7775" s="40">
        <f>IF(Inputs!$C$60,Inputs!$C$11+(B7775-Inputs!$C$69)/Inputs!$C$70,"")</f>
      </c>
      <c r="D7775" s="15"/>
      <c r="E7775" s="15"/>
      <c r="F7775" s="11">
        <f t="shared" si="61"/>
      </c>
      <c r="G7775" s="22" cm="1">
        <f t="array" ref="G7775">IF(AND(Inputs!$C$60,Inputs!$C$61),INDEX(Utility_Rates!$C$29:$F$52,HOUR(C7775)+Inputs!$C$69,MATCH(INDEX(Utility_Rates!$K$6:$K$17,MONTH(C7775))&amp;IF(WEEKDAY(C7775,Inputs!$C$76)&lt;=Inputs!$C$74," weekday"," weekend"),Utility_Rates!$C$28:$F$28,Inputs!$C$68)),"")</f>
      </c>
      <c r="H7775" s="34"/>
      <c r="I7775" s="42">
        <f>IF(AND(ISNUMBER(D7775),ISNUMBER(H7775)),D7775*H7775*Inputs!$C$69,"")</f>
      </c>
      <c r="J7775" s="42">
        <f>IF(AND(ISNUMBER(F7775),ISNUMBER(H7775),F7775&gt;=Inputs!$C$68),F7775*H7775*Inputs!$C$69,"")</f>
      </c>
    </row>
    <row r="7776" spans="2:10" ht="15" customHeight="1" x14ac:dyDescent="0.2">
      <c r="B7776" s="39">
        <f t="shared" si="60"/>
      </c>
      <c r="C7776" s="40">
        <f>IF(Inputs!$C$60,Inputs!$C$11+(B7776-Inputs!$C$69)/Inputs!$C$70,"")</f>
      </c>
      <c r="D7776" s="15"/>
      <c r="E7776" s="15"/>
      <c r="F7776" s="11">
        <f t="shared" si="61"/>
      </c>
      <c r="G7776" s="22" cm="1">
        <f t="array" ref="G7776">IF(AND(Inputs!$C$60,Inputs!$C$61),INDEX(Utility_Rates!$C$29:$F$52,HOUR(C7776)+Inputs!$C$69,MATCH(INDEX(Utility_Rates!$K$6:$K$17,MONTH(C7776))&amp;IF(WEEKDAY(C7776,Inputs!$C$76)&lt;=Inputs!$C$74," weekday"," weekend"),Utility_Rates!$C$28:$F$28,Inputs!$C$68)),"")</f>
      </c>
      <c r="H7776" s="34"/>
      <c r="I7776" s="42">
        <f>IF(AND(ISNUMBER(D7776),ISNUMBER(H7776)),D7776*H7776*Inputs!$C$69,"")</f>
      </c>
      <c r="J7776" s="42">
        <f>IF(AND(ISNUMBER(F7776),ISNUMBER(H7776),F7776&gt;=Inputs!$C$68),F7776*H7776*Inputs!$C$69,"")</f>
      </c>
    </row>
    <row r="7777" spans="2:10" ht="15" customHeight="1" x14ac:dyDescent="0.2">
      <c r="B7777" s="39">
        <f t="shared" si="60"/>
      </c>
      <c r="C7777" s="40">
        <f>IF(Inputs!$C$60,Inputs!$C$11+(B7777-Inputs!$C$69)/Inputs!$C$70,"")</f>
      </c>
      <c r="D7777" s="15"/>
      <c r="E7777" s="15"/>
      <c r="F7777" s="11">
        <f t="shared" si="61"/>
      </c>
      <c r="G7777" s="22" cm="1">
        <f t="array" ref="G7777">IF(AND(Inputs!$C$60,Inputs!$C$61),INDEX(Utility_Rates!$C$29:$F$52,HOUR(C7777)+Inputs!$C$69,MATCH(INDEX(Utility_Rates!$K$6:$K$17,MONTH(C7777))&amp;IF(WEEKDAY(C7777,Inputs!$C$76)&lt;=Inputs!$C$74," weekday"," weekend"),Utility_Rates!$C$28:$F$28,Inputs!$C$68)),"")</f>
      </c>
      <c r="H7777" s="34"/>
      <c r="I7777" s="42">
        <f>IF(AND(ISNUMBER(D7777),ISNUMBER(H7777)),D7777*H7777*Inputs!$C$69,"")</f>
      </c>
      <c r="J7777" s="42">
        <f>IF(AND(ISNUMBER(F7777),ISNUMBER(H7777),F7777&gt;=Inputs!$C$68),F7777*H7777*Inputs!$C$69,"")</f>
      </c>
    </row>
    <row r="7778" spans="2:10" ht="15" customHeight="1" x14ac:dyDescent="0.2">
      <c r="B7778" s="39">
        <f t="shared" si="60"/>
      </c>
      <c r="C7778" s="40">
        <f>IF(Inputs!$C$60,Inputs!$C$11+(B7778-Inputs!$C$69)/Inputs!$C$70,"")</f>
      </c>
      <c r="D7778" s="15"/>
      <c r="E7778" s="15"/>
      <c r="F7778" s="11">
        <f t="shared" si="61"/>
      </c>
      <c r="G7778" s="22" cm="1">
        <f t="array" ref="G7778">IF(AND(Inputs!$C$60,Inputs!$C$61),INDEX(Utility_Rates!$C$29:$F$52,HOUR(C7778)+Inputs!$C$69,MATCH(INDEX(Utility_Rates!$K$6:$K$17,MONTH(C7778))&amp;IF(WEEKDAY(C7778,Inputs!$C$76)&lt;=Inputs!$C$74," weekday"," weekend"),Utility_Rates!$C$28:$F$28,Inputs!$C$68)),"")</f>
      </c>
      <c r="H7778" s="34"/>
      <c r="I7778" s="42">
        <f>IF(AND(ISNUMBER(D7778),ISNUMBER(H7778)),D7778*H7778*Inputs!$C$69,"")</f>
      </c>
      <c r="J7778" s="42">
        <f>IF(AND(ISNUMBER(F7778),ISNUMBER(H7778),F7778&gt;=Inputs!$C$68),F7778*H7778*Inputs!$C$69,"")</f>
      </c>
    </row>
    <row r="7779" spans="2:10" ht="15" customHeight="1" x14ac:dyDescent="0.2">
      <c r="B7779" s="39">
        <f t="shared" si="60"/>
      </c>
      <c r="C7779" s="40">
        <f>IF(Inputs!$C$60,Inputs!$C$11+(B7779-Inputs!$C$69)/Inputs!$C$70,"")</f>
      </c>
      <c r="D7779" s="15"/>
      <c r="E7779" s="15"/>
      <c r="F7779" s="11">
        <f t="shared" si="61"/>
      </c>
      <c r="G7779" s="22" cm="1">
        <f t="array" ref="G7779">IF(AND(Inputs!$C$60,Inputs!$C$61),INDEX(Utility_Rates!$C$29:$F$52,HOUR(C7779)+Inputs!$C$69,MATCH(INDEX(Utility_Rates!$K$6:$K$17,MONTH(C7779))&amp;IF(WEEKDAY(C7779,Inputs!$C$76)&lt;=Inputs!$C$74," weekday"," weekend"),Utility_Rates!$C$28:$F$28,Inputs!$C$68)),"")</f>
      </c>
      <c r="H7779" s="34"/>
      <c r="I7779" s="42">
        <f>IF(AND(ISNUMBER(D7779),ISNUMBER(H7779)),D7779*H7779*Inputs!$C$69,"")</f>
      </c>
      <c r="J7779" s="42">
        <f>IF(AND(ISNUMBER(F7779),ISNUMBER(H7779),F7779&gt;=Inputs!$C$68),F7779*H7779*Inputs!$C$69,"")</f>
      </c>
    </row>
    <row r="7780" spans="2:10" ht="15" customHeight="1" x14ac:dyDescent="0.2">
      <c r="B7780" s="39">
        <f t="shared" si="60"/>
      </c>
      <c r="C7780" s="40">
        <f>IF(Inputs!$C$60,Inputs!$C$11+(B7780-Inputs!$C$69)/Inputs!$C$70,"")</f>
      </c>
      <c r="D7780" s="15"/>
      <c r="E7780" s="15"/>
      <c r="F7780" s="11">
        <f t="shared" si="61"/>
      </c>
      <c r="G7780" s="22" cm="1">
        <f t="array" ref="G7780">IF(AND(Inputs!$C$60,Inputs!$C$61),INDEX(Utility_Rates!$C$29:$F$52,HOUR(C7780)+Inputs!$C$69,MATCH(INDEX(Utility_Rates!$K$6:$K$17,MONTH(C7780))&amp;IF(WEEKDAY(C7780,Inputs!$C$76)&lt;=Inputs!$C$74," weekday"," weekend"),Utility_Rates!$C$28:$F$28,Inputs!$C$68)),"")</f>
      </c>
      <c r="H7780" s="34"/>
      <c r="I7780" s="42">
        <f>IF(AND(ISNUMBER(D7780),ISNUMBER(H7780)),D7780*H7780*Inputs!$C$69,"")</f>
      </c>
      <c r="J7780" s="42">
        <f>IF(AND(ISNUMBER(F7780),ISNUMBER(H7780),F7780&gt;=Inputs!$C$68),F7780*H7780*Inputs!$C$69,"")</f>
      </c>
    </row>
    <row r="7781" spans="2:10" ht="15" customHeight="1" x14ac:dyDescent="0.2">
      <c r="B7781" s="39">
        <f t="shared" si="60"/>
      </c>
      <c r="C7781" s="40">
        <f>IF(Inputs!$C$60,Inputs!$C$11+(B7781-Inputs!$C$69)/Inputs!$C$70,"")</f>
      </c>
      <c r="D7781" s="15"/>
      <c r="E7781" s="15"/>
      <c r="F7781" s="11">
        <f t="shared" si="61"/>
      </c>
      <c r="G7781" s="22" cm="1">
        <f t="array" ref="G7781">IF(AND(Inputs!$C$60,Inputs!$C$61),INDEX(Utility_Rates!$C$29:$F$52,HOUR(C7781)+Inputs!$C$69,MATCH(INDEX(Utility_Rates!$K$6:$K$17,MONTH(C7781))&amp;IF(WEEKDAY(C7781,Inputs!$C$76)&lt;=Inputs!$C$74," weekday"," weekend"),Utility_Rates!$C$28:$F$28,Inputs!$C$68)),"")</f>
      </c>
      <c r="H7781" s="34"/>
      <c r="I7781" s="42">
        <f>IF(AND(ISNUMBER(D7781),ISNUMBER(H7781)),D7781*H7781*Inputs!$C$69,"")</f>
      </c>
      <c r="J7781" s="42">
        <f>IF(AND(ISNUMBER(F7781),ISNUMBER(H7781),F7781&gt;=Inputs!$C$68),F7781*H7781*Inputs!$C$69,"")</f>
      </c>
    </row>
    <row r="7782" spans="2:10" ht="15" customHeight="1" x14ac:dyDescent="0.2">
      <c r="B7782" s="39">
        <f t="shared" si="60"/>
      </c>
      <c r="C7782" s="40">
        <f>IF(Inputs!$C$60,Inputs!$C$11+(B7782-Inputs!$C$69)/Inputs!$C$70,"")</f>
      </c>
      <c r="D7782" s="15"/>
      <c r="E7782" s="15"/>
      <c r="F7782" s="11">
        <f t="shared" si="61"/>
      </c>
      <c r="G7782" s="22" cm="1">
        <f t="array" ref="G7782">IF(AND(Inputs!$C$60,Inputs!$C$61),INDEX(Utility_Rates!$C$29:$F$52,HOUR(C7782)+Inputs!$C$69,MATCH(INDEX(Utility_Rates!$K$6:$K$17,MONTH(C7782))&amp;IF(WEEKDAY(C7782,Inputs!$C$76)&lt;=Inputs!$C$74," weekday"," weekend"),Utility_Rates!$C$28:$F$28,Inputs!$C$68)),"")</f>
      </c>
      <c r="H7782" s="34"/>
      <c r="I7782" s="42">
        <f>IF(AND(ISNUMBER(D7782),ISNUMBER(H7782)),D7782*H7782*Inputs!$C$69,"")</f>
      </c>
      <c r="J7782" s="42">
        <f>IF(AND(ISNUMBER(F7782),ISNUMBER(H7782),F7782&gt;=Inputs!$C$68),F7782*H7782*Inputs!$C$69,"")</f>
      </c>
    </row>
    <row r="7783" spans="2:10" ht="15" customHeight="1" x14ac:dyDescent="0.2">
      <c r="B7783" s="39">
        <f t="shared" si="60"/>
      </c>
      <c r="C7783" s="40">
        <f>IF(Inputs!$C$60,Inputs!$C$11+(B7783-Inputs!$C$69)/Inputs!$C$70,"")</f>
      </c>
      <c r="D7783" s="15"/>
      <c r="E7783" s="15"/>
      <c r="F7783" s="11">
        <f t="shared" si="61"/>
      </c>
      <c r="G7783" s="22" cm="1">
        <f t="array" ref="G7783">IF(AND(Inputs!$C$60,Inputs!$C$61),INDEX(Utility_Rates!$C$29:$F$52,HOUR(C7783)+Inputs!$C$69,MATCH(INDEX(Utility_Rates!$K$6:$K$17,MONTH(C7783))&amp;IF(WEEKDAY(C7783,Inputs!$C$76)&lt;=Inputs!$C$74," weekday"," weekend"),Utility_Rates!$C$28:$F$28,Inputs!$C$68)),"")</f>
      </c>
      <c r="H7783" s="34"/>
      <c r="I7783" s="42">
        <f>IF(AND(ISNUMBER(D7783),ISNUMBER(H7783)),D7783*H7783*Inputs!$C$69,"")</f>
      </c>
      <c r="J7783" s="42">
        <f>IF(AND(ISNUMBER(F7783),ISNUMBER(H7783),F7783&gt;=Inputs!$C$68),F7783*H7783*Inputs!$C$69,"")</f>
      </c>
    </row>
    <row r="7784" spans="2:10" ht="15" customHeight="1" x14ac:dyDescent="0.2">
      <c r="B7784" s="39">
        <f t="shared" si="60"/>
      </c>
      <c r="C7784" s="40">
        <f>IF(Inputs!$C$60,Inputs!$C$11+(B7784-Inputs!$C$69)/Inputs!$C$70,"")</f>
      </c>
      <c r="D7784" s="15"/>
      <c r="E7784" s="15"/>
      <c r="F7784" s="11">
        <f t="shared" si="61"/>
      </c>
      <c r="G7784" s="22" cm="1">
        <f t="array" ref="G7784">IF(AND(Inputs!$C$60,Inputs!$C$61),INDEX(Utility_Rates!$C$29:$F$52,HOUR(C7784)+Inputs!$C$69,MATCH(INDEX(Utility_Rates!$K$6:$K$17,MONTH(C7784))&amp;IF(WEEKDAY(C7784,Inputs!$C$76)&lt;=Inputs!$C$74," weekday"," weekend"),Utility_Rates!$C$28:$F$28,Inputs!$C$68)),"")</f>
      </c>
      <c r="H7784" s="34"/>
      <c r="I7784" s="42">
        <f>IF(AND(ISNUMBER(D7784),ISNUMBER(H7784)),D7784*H7784*Inputs!$C$69,"")</f>
      </c>
      <c r="J7784" s="42">
        <f>IF(AND(ISNUMBER(F7784),ISNUMBER(H7784),F7784&gt;=Inputs!$C$68),F7784*H7784*Inputs!$C$69,"")</f>
      </c>
    </row>
    <row r="7785" spans="2:10" ht="15" customHeight="1" x14ac:dyDescent="0.2">
      <c r="B7785" s="39">
        <f t="shared" si="60"/>
      </c>
      <c r="C7785" s="40">
        <f>IF(Inputs!$C$60,Inputs!$C$11+(B7785-Inputs!$C$69)/Inputs!$C$70,"")</f>
      </c>
      <c r="D7785" s="15"/>
      <c r="E7785" s="15"/>
      <c r="F7785" s="11">
        <f t="shared" si="61"/>
      </c>
      <c r="G7785" s="22" cm="1">
        <f t="array" ref="G7785">IF(AND(Inputs!$C$60,Inputs!$C$61),INDEX(Utility_Rates!$C$29:$F$52,HOUR(C7785)+Inputs!$C$69,MATCH(INDEX(Utility_Rates!$K$6:$K$17,MONTH(C7785))&amp;IF(WEEKDAY(C7785,Inputs!$C$76)&lt;=Inputs!$C$74," weekday"," weekend"),Utility_Rates!$C$28:$F$28,Inputs!$C$68)),"")</f>
      </c>
      <c r="H7785" s="34"/>
      <c r="I7785" s="42">
        <f>IF(AND(ISNUMBER(D7785),ISNUMBER(H7785)),D7785*H7785*Inputs!$C$69,"")</f>
      </c>
      <c r="J7785" s="42">
        <f>IF(AND(ISNUMBER(F7785),ISNUMBER(H7785),F7785&gt;=Inputs!$C$68),F7785*H7785*Inputs!$C$69,"")</f>
      </c>
    </row>
    <row r="7786" spans="2:10" ht="15" customHeight="1" x14ac:dyDescent="0.2">
      <c r="B7786" s="39">
        <f t="shared" si="60"/>
      </c>
      <c r="C7786" s="40">
        <f>IF(Inputs!$C$60,Inputs!$C$11+(B7786-Inputs!$C$69)/Inputs!$C$70,"")</f>
      </c>
      <c r="D7786" s="15"/>
      <c r="E7786" s="15"/>
      <c r="F7786" s="11">
        <f t="shared" si="61"/>
      </c>
      <c r="G7786" s="22" cm="1">
        <f t="array" ref="G7786">IF(AND(Inputs!$C$60,Inputs!$C$61),INDEX(Utility_Rates!$C$29:$F$52,HOUR(C7786)+Inputs!$C$69,MATCH(INDEX(Utility_Rates!$K$6:$K$17,MONTH(C7786))&amp;IF(WEEKDAY(C7786,Inputs!$C$76)&lt;=Inputs!$C$74," weekday"," weekend"),Utility_Rates!$C$28:$F$28,Inputs!$C$68)),"")</f>
      </c>
      <c r="H7786" s="34"/>
      <c r="I7786" s="42">
        <f>IF(AND(ISNUMBER(D7786),ISNUMBER(H7786)),D7786*H7786*Inputs!$C$69,"")</f>
      </c>
      <c r="J7786" s="42">
        <f>IF(AND(ISNUMBER(F7786),ISNUMBER(H7786),F7786&gt;=Inputs!$C$68),F7786*H7786*Inputs!$C$69,"")</f>
      </c>
    </row>
    <row r="7787" spans="2:10" ht="15" customHeight="1" x14ac:dyDescent="0.2">
      <c r="B7787" s="39">
        <f t="shared" si="60"/>
      </c>
      <c r="C7787" s="40">
        <f>IF(Inputs!$C$60,Inputs!$C$11+(B7787-Inputs!$C$69)/Inputs!$C$70,"")</f>
      </c>
      <c r="D7787" s="15"/>
      <c r="E7787" s="15"/>
      <c r="F7787" s="11">
        <f t="shared" si="61"/>
      </c>
      <c r="G7787" s="22" cm="1">
        <f t="array" ref="G7787">IF(AND(Inputs!$C$60,Inputs!$C$61),INDEX(Utility_Rates!$C$29:$F$52,HOUR(C7787)+Inputs!$C$69,MATCH(INDEX(Utility_Rates!$K$6:$K$17,MONTH(C7787))&amp;IF(WEEKDAY(C7787,Inputs!$C$76)&lt;=Inputs!$C$74," weekday"," weekend"),Utility_Rates!$C$28:$F$28,Inputs!$C$68)),"")</f>
      </c>
      <c r="H7787" s="34"/>
      <c r="I7787" s="42">
        <f>IF(AND(ISNUMBER(D7787),ISNUMBER(H7787)),D7787*H7787*Inputs!$C$69,"")</f>
      </c>
      <c r="J7787" s="42">
        <f>IF(AND(ISNUMBER(F7787),ISNUMBER(H7787),F7787&gt;=Inputs!$C$68),F7787*H7787*Inputs!$C$69,"")</f>
      </c>
    </row>
    <row r="7788" spans="2:10" ht="15" customHeight="1" x14ac:dyDescent="0.2">
      <c r="B7788" s="39">
        <f t="shared" si="60"/>
      </c>
      <c r="C7788" s="40">
        <f>IF(Inputs!$C$60,Inputs!$C$11+(B7788-Inputs!$C$69)/Inputs!$C$70,"")</f>
      </c>
      <c r="D7788" s="15"/>
      <c r="E7788" s="15"/>
      <c r="F7788" s="11">
        <f t="shared" si="61"/>
      </c>
      <c r="G7788" s="22" cm="1">
        <f t="array" ref="G7788">IF(AND(Inputs!$C$60,Inputs!$C$61),INDEX(Utility_Rates!$C$29:$F$52,HOUR(C7788)+Inputs!$C$69,MATCH(INDEX(Utility_Rates!$K$6:$K$17,MONTH(C7788))&amp;IF(WEEKDAY(C7788,Inputs!$C$76)&lt;=Inputs!$C$74," weekday"," weekend"),Utility_Rates!$C$28:$F$28,Inputs!$C$68)),"")</f>
      </c>
      <c r="H7788" s="34"/>
      <c r="I7788" s="42">
        <f>IF(AND(ISNUMBER(D7788),ISNUMBER(H7788)),D7788*H7788*Inputs!$C$69,"")</f>
      </c>
      <c r="J7788" s="42">
        <f>IF(AND(ISNUMBER(F7788),ISNUMBER(H7788),F7788&gt;=Inputs!$C$68),F7788*H7788*Inputs!$C$69,"")</f>
      </c>
    </row>
    <row r="7789" spans="2:10" ht="15" customHeight="1" x14ac:dyDescent="0.2">
      <c r="B7789" s="39">
        <f t="shared" si="60"/>
      </c>
      <c r="C7789" s="40">
        <f>IF(Inputs!$C$60,Inputs!$C$11+(B7789-Inputs!$C$69)/Inputs!$C$70,"")</f>
      </c>
      <c r="D7789" s="15"/>
      <c r="E7789" s="15"/>
      <c r="F7789" s="11">
        <f t="shared" si="61"/>
      </c>
      <c r="G7789" s="22" cm="1">
        <f t="array" ref="G7789">IF(AND(Inputs!$C$60,Inputs!$C$61),INDEX(Utility_Rates!$C$29:$F$52,HOUR(C7789)+Inputs!$C$69,MATCH(INDEX(Utility_Rates!$K$6:$K$17,MONTH(C7789))&amp;IF(WEEKDAY(C7789,Inputs!$C$76)&lt;=Inputs!$C$74," weekday"," weekend"),Utility_Rates!$C$28:$F$28,Inputs!$C$68)),"")</f>
      </c>
      <c r="H7789" s="34"/>
      <c r="I7789" s="42">
        <f>IF(AND(ISNUMBER(D7789),ISNUMBER(H7789)),D7789*H7789*Inputs!$C$69,"")</f>
      </c>
      <c r="J7789" s="42">
        <f>IF(AND(ISNUMBER(F7789),ISNUMBER(H7789),F7789&gt;=Inputs!$C$68),F7789*H7789*Inputs!$C$69,"")</f>
      </c>
    </row>
    <row r="7790" spans="2:10" ht="15" customHeight="1" x14ac:dyDescent="0.2">
      <c r="B7790" s="39">
        <f t="shared" si="60"/>
      </c>
      <c r="C7790" s="40">
        <f>IF(Inputs!$C$60,Inputs!$C$11+(B7790-Inputs!$C$69)/Inputs!$C$70,"")</f>
      </c>
      <c r="D7790" s="15"/>
      <c r="E7790" s="15"/>
      <c r="F7790" s="11">
        <f t="shared" si="61"/>
      </c>
      <c r="G7790" s="22" cm="1">
        <f t="array" ref="G7790">IF(AND(Inputs!$C$60,Inputs!$C$61),INDEX(Utility_Rates!$C$29:$F$52,HOUR(C7790)+Inputs!$C$69,MATCH(INDEX(Utility_Rates!$K$6:$K$17,MONTH(C7790))&amp;IF(WEEKDAY(C7790,Inputs!$C$76)&lt;=Inputs!$C$74," weekday"," weekend"),Utility_Rates!$C$28:$F$28,Inputs!$C$68)),"")</f>
      </c>
      <c r="H7790" s="34"/>
      <c r="I7790" s="42">
        <f>IF(AND(ISNUMBER(D7790),ISNUMBER(H7790)),D7790*H7790*Inputs!$C$69,"")</f>
      </c>
      <c r="J7790" s="42">
        <f>IF(AND(ISNUMBER(F7790),ISNUMBER(H7790),F7790&gt;=Inputs!$C$68),F7790*H7790*Inputs!$C$69,"")</f>
      </c>
    </row>
    <row r="7791" spans="2:10" ht="15" customHeight="1" x14ac:dyDescent="0.2">
      <c r="B7791" s="39">
        <f t="shared" si="60"/>
      </c>
      <c r="C7791" s="40">
        <f>IF(Inputs!$C$60,Inputs!$C$11+(B7791-Inputs!$C$69)/Inputs!$C$70,"")</f>
      </c>
      <c r="D7791" s="15"/>
      <c r="E7791" s="15"/>
      <c r="F7791" s="11">
        <f t="shared" si="61"/>
      </c>
      <c r="G7791" s="22" cm="1">
        <f t="array" ref="G7791">IF(AND(Inputs!$C$60,Inputs!$C$61),INDEX(Utility_Rates!$C$29:$F$52,HOUR(C7791)+Inputs!$C$69,MATCH(INDEX(Utility_Rates!$K$6:$K$17,MONTH(C7791))&amp;IF(WEEKDAY(C7791,Inputs!$C$76)&lt;=Inputs!$C$74," weekday"," weekend"),Utility_Rates!$C$28:$F$28,Inputs!$C$68)),"")</f>
      </c>
      <c r="H7791" s="34"/>
      <c r="I7791" s="42">
        <f>IF(AND(ISNUMBER(D7791),ISNUMBER(H7791)),D7791*H7791*Inputs!$C$69,"")</f>
      </c>
      <c r="J7791" s="42">
        <f>IF(AND(ISNUMBER(F7791),ISNUMBER(H7791),F7791&gt;=Inputs!$C$68),F7791*H7791*Inputs!$C$69,"")</f>
      </c>
    </row>
    <row r="7792" spans="2:10" ht="15" customHeight="1" x14ac:dyDescent="0.2">
      <c r="B7792" s="39">
        <f t="shared" si="60"/>
      </c>
      <c r="C7792" s="40">
        <f>IF(Inputs!$C$60,Inputs!$C$11+(B7792-Inputs!$C$69)/Inputs!$C$70,"")</f>
      </c>
      <c r="D7792" s="15"/>
      <c r="E7792" s="15"/>
      <c r="F7792" s="11">
        <f t="shared" si="61"/>
      </c>
      <c r="G7792" s="22" cm="1">
        <f t="array" ref="G7792">IF(AND(Inputs!$C$60,Inputs!$C$61),INDEX(Utility_Rates!$C$29:$F$52,HOUR(C7792)+Inputs!$C$69,MATCH(INDEX(Utility_Rates!$K$6:$K$17,MONTH(C7792))&amp;IF(WEEKDAY(C7792,Inputs!$C$76)&lt;=Inputs!$C$74," weekday"," weekend"),Utility_Rates!$C$28:$F$28,Inputs!$C$68)),"")</f>
      </c>
      <c r="H7792" s="34"/>
      <c r="I7792" s="42">
        <f>IF(AND(ISNUMBER(D7792),ISNUMBER(H7792)),D7792*H7792*Inputs!$C$69,"")</f>
      </c>
      <c r="J7792" s="42">
        <f>IF(AND(ISNUMBER(F7792),ISNUMBER(H7792),F7792&gt;=Inputs!$C$68),F7792*H7792*Inputs!$C$69,"")</f>
      </c>
    </row>
    <row r="7793" spans="2:10" ht="15" customHeight="1" x14ac:dyDescent="0.2">
      <c r="B7793" s="39">
        <f t="shared" si="60"/>
      </c>
      <c r="C7793" s="40">
        <f>IF(Inputs!$C$60,Inputs!$C$11+(B7793-Inputs!$C$69)/Inputs!$C$70,"")</f>
      </c>
      <c r="D7793" s="15"/>
      <c r="E7793" s="15"/>
      <c r="F7793" s="11">
        <f t="shared" si="61"/>
      </c>
      <c r="G7793" s="22" cm="1">
        <f t="array" ref="G7793">IF(AND(Inputs!$C$60,Inputs!$C$61),INDEX(Utility_Rates!$C$29:$F$52,HOUR(C7793)+Inputs!$C$69,MATCH(INDEX(Utility_Rates!$K$6:$K$17,MONTH(C7793))&amp;IF(WEEKDAY(C7793,Inputs!$C$76)&lt;=Inputs!$C$74," weekday"," weekend"),Utility_Rates!$C$28:$F$28,Inputs!$C$68)),"")</f>
      </c>
      <c r="H7793" s="34"/>
      <c r="I7793" s="42">
        <f>IF(AND(ISNUMBER(D7793),ISNUMBER(H7793)),D7793*H7793*Inputs!$C$69,"")</f>
      </c>
      <c r="J7793" s="42">
        <f>IF(AND(ISNUMBER(F7793),ISNUMBER(H7793),F7793&gt;=Inputs!$C$68),F7793*H7793*Inputs!$C$69,"")</f>
      </c>
    </row>
    <row r="7794" spans="2:10" ht="15" customHeight="1" x14ac:dyDescent="0.2">
      <c r="B7794" s="39">
        <f t="shared" si="60"/>
      </c>
      <c r="C7794" s="40">
        <f>IF(Inputs!$C$60,Inputs!$C$11+(B7794-Inputs!$C$69)/Inputs!$C$70,"")</f>
      </c>
      <c r="D7794" s="15"/>
      <c r="E7794" s="15"/>
      <c r="F7794" s="11">
        <f t="shared" si="61"/>
      </c>
      <c r="G7794" s="22" cm="1">
        <f t="array" ref="G7794">IF(AND(Inputs!$C$60,Inputs!$C$61),INDEX(Utility_Rates!$C$29:$F$52,HOUR(C7794)+Inputs!$C$69,MATCH(INDEX(Utility_Rates!$K$6:$K$17,MONTH(C7794))&amp;IF(WEEKDAY(C7794,Inputs!$C$76)&lt;=Inputs!$C$74," weekday"," weekend"),Utility_Rates!$C$28:$F$28,Inputs!$C$68)),"")</f>
      </c>
      <c r="H7794" s="34"/>
      <c r="I7794" s="42">
        <f>IF(AND(ISNUMBER(D7794),ISNUMBER(H7794)),D7794*H7794*Inputs!$C$69,"")</f>
      </c>
      <c r="J7794" s="42">
        <f>IF(AND(ISNUMBER(F7794),ISNUMBER(H7794),F7794&gt;=Inputs!$C$68),F7794*H7794*Inputs!$C$69,"")</f>
      </c>
    </row>
    <row r="7795" spans="2:10" ht="15" customHeight="1" x14ac:dyDescent="0.2">
      <c r="B7795" s="39">
        <f t="shared" si="60"/>
      </c>
      <c r="C7795" s="40">
        <f>IF(Inputs!$C$60,Inputs!$C$11+(B7795-Inputs!$C$69)/Inputs!$C$70,"")</f>
      </c>
      <c r="D7795" s="15"/>
      <c r="E7795" s="15"/>
      <c r="F7795" s="11">
        <f t="shared" si="61"/>
      </c>
      <c r="G7795" s="22" cm="1">
        <f t="array" ref="G7795">IF(AND(Inputs!$C$60,Inputs!$C$61),INDEX(Utility_Rates!$C$29:$F$52,HOUR(C7795)+Inputs!$C$69,MATCH(INDEX(Utility_Rates!$K$6:$K$17,MONTH(C7795))&amp;IF(WEEKDAY(C7795,Inputs!$C$76)&lt;=Inputs!$C$74," weekday"," weekend"),Utility_Rates!$C$28:$F$28,Inputs!$C$68)),"")</f>
      </c>
      <c r="H7795" s="34"/>
      <c r="I7795" s="42">
        <f>IF(AND(ISNUMBER(D7795),ISNUMBER(H7795)),D7795*H7795*Inputs!$C$69,"")</f>
      </c>
      <c r="J7795" s="42">
        <f>IF(AND(ISNUMBER(F7795),ISNUMBER(H7795),F7795&gt;=Inputs!$C$68),F7795*H7795*Inputs!$C$69,"")</f>
      </c>
    </row>
    <row r="7796" spans="2:10" ht="15" customHeight="1" x14ac:dyDescent="0.2">
      <c r="B7796" s="39">
        <f t="shared" si="60"/>
      </c>
      <c r="C7796" s="40">
        <f>IF(Inputs!$C$60,Inputs!$C$11+(B7796-Inputs!$C$69)/Inputs!$C$70,"")</f>
      </c>
      <c r="D7796" s="15"/>
      <c r="E7796" s="15"/>
      <c r="F7796" s="11">
        <f t="shared" si="61"/>
      </c>
      <c r="G7796" s="22" cm="1">
        <f t="array" ref="G7796">IF(AND(Inputs!$C$60,Inputs!$C$61),INDEX(Utility_Rates!$C$29:$F$52,HOUR(C7796)+Inputs!$C$69,MATCH(INDEX(Utility_Rates!$K$6:$K$17,MONTH(C7796))&amp;IF(WEEKDAY(C7796,Inputs!$C$76)&lt;=Inputs!$C$74," weekday"," weekend"),Utility_Rates!$C$28:$F$28,Inputs!$C$68)),"")</f>
      </c>
      <c r="H7796" s="34"/>
      <c r="I7796" s="42">
        <f>IF(AND(ISNUMBER(D7796),ISNUMBER(H7796)),D7796*H7796*Inputs!$C$69,"")</f>
      </c>
      <c r="J7796" s="42">
        <f>IF(AND(ISNUMBER(F7796),ISNUMBER(H7796),F7796&gt;=Inputs!$C$68),F7796*H7796*Inputs!$C$69,"")</f>
      </c>
    </row>
    <row r="7797" spans="2:10" ht="15" customHeight="1" x14ac:dyDescent="0.2">
      <c r="B7797" s="39">
        <f t="shared" si="60"/>
      </c>
      <c r="C7797" s="40">
        <f>IF(Inputs!$C$60,Inputs!$C$11+(B7797-Inputs!$C$69)/Inputs!$C$70,"")</f>
      </c>
      <c r="D7797" s="15"/>
      <c r="E7797" s="15"/>
      <c r="F7797" s="11">
        <f t="shared" si="61"/>
      </c>
      <c r="G7797" s="22" cm="1">
        <f t="array" ref="G7797">IF(AND(Inputs!$C$60,Inputs!$C$61),INDEX(Utility_Rates!$C$29:$F$52,HOUR(C7797)+Inputs!$C$69,MATCH(INDEX(Utility_Rates!$K$6:$K$17,MONTH(C7797))&amp;IF(WEEKDAY(C7797,Inputs!$C$76)&lt;=Inputs!$C$74," weekday"," weekend"),Utility_Rates!$C$28:$F$28,Inputs!$C$68)),"")</f>
      </c>
      <c r="H7797" s="34"/>
      <c r="I7797" s="42">
        <f>IF(AND(ISNUMBER(D7797),ISNUMBER(H7797)),D7797*H7797*Inputs!$C$69,"")</f>
      </c>
      <c r="J7797" s="42">
        <f>IF(AND(ISNUMBER(F7797),ISNUMBER(H7797),F7797&gt;=Inputs!$C$68),F7797*H7797*Inputs!$C$69,"")</f>
      </c>
    </row>
    <row r="7798" spans="2:10" ht="15" customHeight="1" x14ac:dyDescent="0.2">
      <c r="B7798" s="39">
        <f t="shared" si="60"/>
      </c>
      <c r="C7798" s="40">
        <f>IF(Inputs!$C$60,Inputs!$C$11+(B7798-Inputs!$C$69)/Inputs!$C$70,"")</f>
      </c>
      <c r="D7798" s="15"/>
      <c r="E7798" s="15"/>
      <c r="F7798" s="11">
        <f t="shared" si="61"/>
      </c>
      <c r="G7798" s="22" cm="1">
        <f t="array" ref="G7798">IF(AND(Inputs!$C$60,Inputs!$C$61),INDEX(Utility_Rates!$C$29:$F$52,HOUR(C7798)+Inputs!$C$69,MATCH(INDEX(Utility_Rates!$K$6:$K$17,MONTH(C7798))&amp;IF(WEEKDAY(C7798,Inputs!$C$76)&lt;=Inputs!$C$74," weekday"," weekend"),Utility_Rates!$C$28:$F$28,Inputs!$C$68)),"")</f>
      </c>
      <c r="H7798" s="34"/>
      <c r="I7798" s="42">
        <f>IF(AND(ISNUMBER(D7798),ISNUMBER(H7798)),D7798*H7798*Inputs!$C$69,"")</f>
      </c>
      <c r="J7798" s="42">
        <f>IF(AND(ISNUMBER(F7798),ISNUMBER(H7798),F7798&gt;=Inputs!$C$68),F7798*H7798*Inputs!$C$69,"")</f>
      </c>
    </row>
    <row r="7799" spans="2:10" ht="15" customHeight="1" x14ac:dyDescent="0.2">
      <c r="B7799" s="39">
        <f t="shared" si="60"/>
      </c>
      <c r="C7799" s="40">
        <f>IF(Inputs!$C$60,Inputs!$C$11+(B7799-Inputs!$C$69)/Inputs!$C$70,"")</f>
      </c>
      <c r="D7799" s="15"/>
      <c r="E7799" s="15"/>
      <c r="F7799" s="11">
        <f t="shared" si="61"/>
      </c>
      <c r="G7799" s="22" cm="1">
        <f t="array" ref="G7799">IF(AND(Inputs!$C$60,Inputs!$C$61),INDEX(Utility_Rates!$C$29:$F$52,HOUR(C7799)+Inputs!$C$69,MATCH(INDEX(Utility_Rates!$K$6:$K$17,MONTH(C7799))&amp;IF(WEEKDAY(C7799,Inputs!$C$76)&lt;=Inputs!$C$74," weekday"," weekend"),Utility_Rates!$C$28:$F$28,Inputs!$C$68)),"")</f>
      </c>
      <c r="H7799" s="34"/>
      <c r="I7799" s="42">
        <f>IF(AND(ISNUMBER(D7799),ISNUMBER(H7799)),D7799*H7799*Inputs!$C$69,"")</f>
      </c>
      <c r="J7799" s="42">
        <f>IF(AND(ISNUMBER(F7799),ISNUMBER(H7799),F7799&gt;=Inputs!$C$68),F7799*H7799*Inputs!$C$69,"")</f>
      </c>
    </row>
    <row r="7800" spans="2:10" ht="15" customHeight="1" x14ac:dyDescent="0.2">
      <c r="B7800" s="39">
        <f t="shared" si="60"/>
      </c>
      <c r="C7800" s="40">
        <f>IF(Inputs!$C$60,Inputs!$C$11+(B7800-Inputs!$C$69)/Inputs!$C$70,"")</f>
      </c>
      <c r="D7800" s="15"/>
      <c r="E7800" s="15"/>
      <c r="F7800" s="11">
        <f t="shared" si="61"/>
      </c>
      <c r="G7800" s="22" cm="1">
        <f t="array" ref="G7800">IF(AND(Inputs!$C$60,Inputs!$C$61),INDEX(Utility_Rates!$C$29:$F$52,HOUR(C7800)+Inputs!$C$69,MATCH(INDEX(Utility_Rates!$K$6:$K$17,MONTH(C7800))&amp;IF(WEEKDAY(C7800,Inputs!$C$76)&lt;=Inputs!$C$74," weekday"," weekend"),Utility_Rates!$C$28:$F$28,Inputs!$C$68)),"")</f>
      </c>
      <c r="H7800" s="34"/>
      <c r="I7800" s="42">
        <f>IF(AND(ISNUMBER(D7800),ISNUMBER(H7800)),D7800*H7800*Inputs!$C$69,"")</f>
      </c>
      <c r="J7800" s="42">
        <f>IF(AND(ISNUMBER(F7800),ISNUMBER(H7800),F7800&gt;=Inputs!$C$68),F7800*H7800*Inputs!$C$69,"")</f>
      </c>
    </row>
    <row r="7801" spans="2:10" ht="15" customHeight="1" x14ac:dyDescent="0.2">
      <c r="B7801" s="39">
        <f t="shared" si="60"/>
      </c>
      <c r="C7801" s="40">
        <f>IF(Inputs!$C$60,Inputs!$C$11+(B7801-Inputs!$C$69)/Inputs!$C$70,"")</f>
      </c>
      <c r="D7801" s="15"/>
      <c r="E7801" s="15"/>
      <c r="F7801" s="11">
        <f t="shared" si="61"/>
      </c>
      <c r="G7801" s="22" cm="1">
        <f t="array" ref="G7801">IF(AND(Inputs!$C$60,Inputs!$C$61),INDEX(Utility_Rates!$C$29:$F$52,HOUR(C7801)+Inputs!$C$69,MATCH(INDEX(Utility_Rates!$K$6:$K$17,MONTH(C7801))&amp;IF(WEEKDAY(C7801,Inputs!$C$76)&lt;=Inputs!$C$74," weekday"," weekend"),Utility_Rates!$C$28:$F$28,Inputs!$C$68)),"")</f>
      </c>
      <c r="H7801" s="34"/>
      <c r="I7801" s="42">
        <f>IF(AND(ISNUMBER(D7801),ISNUMBER(H7801)),D7801*H7801*Inputs!$C$69,"")</f>
      </c>
      <c r="J7801" s="42">
        <f>IF(AND(ISNUMBER(F7801),ISNUMBER(H7801),F7801&gt;=Inputs!$C$68),F7801*H7801*Inputs!$C$69,"")</f>
      </c>
    </row>
    <row r="7802" spans="2:10" ht="15" customHeight="1" x14ac:dyDescent="0.2">
      <c r="B7802" s="39">
        <f t="shared" si="60"/>
      </c>
      <c r="C7802" s="40">
        <f>IF(Inputs!$C$60,Inputs!$C$11+(B7802-Inputs!$C$69)/Inputs!$C$70,"")</f>
      </c>
      <c r="D7802" s="15"/>
      <c r="E7802" s="15"/>
      <c r="F7802" s="11">
        <f t="shared" si="61"/>
      </c>
      <c r="G7802" s="22" cm="1">
        <f t="array" ref="G7802">IF(AND(Inputs!$C$60,Inputs!$C$61),INDEX(Utility_Rates!$C$29:$F$52,HOUR(C7802)+Inputs!$C$69,MATCH(INDEX(Utility_Rates!$K$6:$K$17,MONTH(C7802))&amp;IF(WEEKDAY(C7802,Inputs!$C$76)&lt;=Inputs!$C$74," weekday"," weekend"),Utility_Rates!$C$28:$F$28,Inputs!$C$68)),"")</f>
      </c>
      <c r="H7802" s="34"/>
      <c r="I7802" s="42">
        <f>IF(AND(ISNUMBER(D7802),ISNUMBER(H7802)),D7802*H7802*Inputs!$C$69,"")</f>
      </c>
      <c r="J7802" s="42">
        <f>IF(AND(ISNUMBER(F7802),ISNUMBER(H7802),F7802&gt;=Inputs!$C$68),F7802*H7802*Inputs!$C$69,"")</f>
      </c>
    </row>
    <row r="7803" spans="2:10" ht="15" customHeight="1" x14ac:dyDescent="0.2">
      <c r="B7803" s="39">
        <f t="shared" si="60"/>
      </c>
      <c r="C7803" s="40">
        <f>IF(Inputs!$C$60,Inputs!$C$11+(B7803-Inputs!$C$69)/Inputs!$C$70,"")</f>
      </c>
      <c r="D7803" s="15"/>
      <c r="E7803" s="15"/>
      <c r="F7803" s="11">
        <f t="shared" si="61"/>
      </c>
      <c r="G7803" s="22" cm="1">
        <f t="array" ref="G7803">IF(AND(Inputs!$C$60,Inputs!$C$61),INDEX(Utility_Rates!$C$29:$F$52,HOUR(C7803)+Inputs!$C$69,MATCH(INDEX(Utility_Rates!$K$6:$K$17,MONTH(C7803))&amp;IF(WEEKDAY(C7803,Inputs!$C$76)&lt;=Inputs!$C$74," weekday"," weekend"),Utility_Rates!$C$28:$F$28,Inputs!$C$68)),"")</f>
      </c>
      <c r="H7803" s="34"/>
      <c r="I7803" s="42">
        <f>IF(AND(ISNUMBER(D7803),ISNUMBER(H7803)),D7803*H7803*Inputs!$C$69,"")</f>
      </c>
      <c r="J7803" s="42">
        <f>IF(AND(ISNUMBER(F7803),ISNUMBER(H7803),F7803&gt;=Inputs!$C$68),F7803*H7803*Inputs!$C$69,"")</f>
      </c>
    </row>
    <row r="7804" spans="2:10" ht="15" customHeight="1" x14ac:dyDescent="0.2">
      <c r="B7804" s="39">
        <f t="shared" si="60"/>
      </c>
      <c r="C7804" s="40">
        <f>IF(Inputs!$C$60,Inputs!$C$11+(B7804-Inputs!$C$69)/Inputs!$C$70,"")</f>
      </c>
      <c r="D7804" s="15"/>
      <c r="E7804" s="15"/>
      <c r="F7804" s="11">
        <f t="shared" si="61"/>
      </c>
      <c r="G7804" s="22" cm="1">
        <f t="array" ref="G7804">IF(AND(Inputs!$C$60,Inputs!$C$61),INDEX(Utility_Rates!$C$29:$F$52,HOUR(C7804)+Inputs!$C$69,MATCH(INDEX(Utility_Rates!$K$6:$K$17,MONTH(C7804))&amp;IF(WEEKDAY(C7804,Inputs!$C$76)&lt;=Inputs!$C$74," weekday"," weekend"),Utility_Rates!$C$28:$F$28,Inputs!$C$68)),"")</f>
      </c>
      <c r="H7804" s="34"/>
      <c r="I7804" s="42">
        <f>IF(AND(ISNUMBER(D7804),ISNUMBER(H7804)),D7804*H7804*Inputs!$C$69,"")</f>
      </c>
      <c r="J7804" s="42">
        <f>IF(AND(ISNUMBER(F7804),ISNUMBER(H7804),F7804&gt;=Inputs!$C$68),F7804*H7804*Inputs!$C$69,"")</f>
      </c>
    </row>
    <row r="7805" spans="2:10" ht="15" customHeight="1" x14ac:dyDescent="0.2">
      <c r="B7805" s="39">
        <f t="shared" si="60"/>
      </c>
      <c r="C7805" s="40">
        <f>IF(Inputs!$C$60,Inputs!$C$11+(B7805-Inputs!$C$69)/Inputs!$C$70,"")</f>
      </c>
      <c r="D7805" s="15"/>
      <c r="E7805" s="15"/>
      <c r="F7805" s="11">
        <f t="shared" si="61"/>
      </c>
      <c r="G7805" s="22" cm="1">
        <f t="array" ref="G7805">IF(AND(Inputs!$C$60,Inputs!$C$61),INDEX(Utility_Rates!$C$29:$F$52,HOUR(C7805)+Inputs!$C$69,MATCH(INDEX(Utility_Rates!$K$6:$K$17,MONTH(C7805))&amp;IF(WEEKDAY(C7805,Inputs!$C$76)&lt;=Inputs!$C$74," weekday"," weekend"),Utility_Rates!$C$28:$F$28,Inputs!$C$68)),"")</f>
      </c>
      <c r="H7805" s="34"/>
      <c r="I7805" s="42">
        <f>IF(AND(ISNUMBER(D7805),ISNUMBER(H7805)),D7805*H7805*Inputs!$C$69,"")</f>
      </c>
      <c r="J7805" s="42">
        <f>IF(AND(ISNUMBER(F7805),ISNUMBER(H7805),F7805&gt;=Inputs!$C$68),F7805*H7805*Inputs!$C$69,"")</f>
      </c>
    </row>
    <row r="7806" spans="2:10" ht="15" customHeight="1" x14ac:dyDescent="0.2">
      <c r="B7806" s="39">
        <f t="shared" si="60"/>
      </c>
      <c r="C7806" s="40">
        <f>IF(Inputs!$C$60,Inputs!$C$11+(B7806-Inputs!$C$69)/Inputs!$C$70,"")</f>
      </c>
      <c r="D7806" s="15"/>
      <c r="E7806" s="15"/>
      <c r="F7806" s="11">
        <f t="shared" si="61"/>
      </c>
      <c r="G7806" s="22" cm="1">
        <f t="array" ref="G7806">IF(AND(Inputs!$C$60,Inputs!$C$61),INDEX(Utility_Rates!$C$29:$F$52,HOUR(C7806)+Inputs!$C$69,MATCH(INDEX(Utility_Rates!$K$6:$K$17,MONTH(C7806))&amp;IF(WEEKDAY(C7806,Inputs!$C$76)&lt;=Inputs!$C$74," weekday"," weekend"),Utility_Rates!$C$28:$F$28,Inputs!$C$68)),"")</f>
      </c>
      <c r="H7806" s="34"/>
      <c r="I7806" s="42">
        <f>IF(AND(ISNUMBER(D7806),ISNUMBER(H7806)),D7806*H7806*Inputs!$C$69,"")</f>
      </c>
      <c r="J7806" s="42">
        <f>IF(AND(ISNUMBER(F7806),ISNUMBER(H7806),F7806&gt;=Inputs!$C$68),F7806*H7806*Inputs!$C$69,"")</f>
      </c>
    </row>
    <row r="7807" spans="2:10" ht="15" customHeight="1" x14ac:dyDescent="0.2">
      <c r="B7807" s="39">
        <f t="shared" si="60"/>
      </c>
      <c r="C7807" s="40">
        <f>IF(Inputs!$C$60,Inputs!$C$11+(B7807-Inputs!$C$69)/Inputs!$C$70,"")</f>
      </c>
      <c r="D7807" s="15"/>
      <c r="E7807" s="15"/>
      <c r="F7807" s="11">
        <f t="shared" si="61"/>
      </c>
      <c r="G7807" s="22" cm="1">
        <f t="array" ref="G7807">IF(AND(Inputs!$C$60,Inputs!$C$61),INDEX(Utility_Rates!$C$29:$F$52,HOUR(C7807)+Inputs!$C$69,MATCH(INDEX(Utility_Rates!$K$6:$K$17,MONTH(C7807))&amp;IF(WEEKDAY(C7807,Inputs!$C$76)&lt;=Inputs!$C$74," weekday"," weekend"),Utility_Rates!$C$28:$F$28,Inputs!$C$68)),"")</f>
      </c>
      <c r="H7807" s="34"/>
      <c r="I7807" s="42">
        <f>IF(AND(ISNUMBER(D7807),ISNUMBER(H7807)),D7807*H7807*Inputs!$C$69,"")</f>
      </c>
      <c r="J7807" s="42">
        <f>IF(AND(ISNUMBER(F7807),ISNUMBER(H7807),F7807&gt;=Inputs!$C$68),F7807*H7807*Inputs!$C$69,"")</f>
      </c>
    </row>
    <row r="7808" spans="2:10" ht="15" customHeight="1" x14ac:dyDescent="0.2">
      <c r="B7808" s="39">
        <f t="shared" si="60"/>
      </c>
      <c r="C7808" s="40">
        <f>IF(Inputs!$C$60,Inputs!$C$11+(B7808-Inputs!$C$69)/Inputs!$C$70,"")</f>
      </c>
      <c r="D7808" s="15"/>
      <c r="E7808" s="15"/>
      <c r="F7808" s="11">
        <f t="shared" si="61"/>
      </c>
      <c r="G7808" s="22" cm="1">
        <f t="array" ref="G7808">IF(AND(Inputs!$C$60,Inputs!$C$61),INDEX(Utility_Rates!$C$29:$F$52,HOUR(C7808)+Inputs!$C$69,MATCH(INDEX(Utility_Rates!$K$6:$K$17,MONTH(C7808))&amp;IF(WEEKDAY(C7808,Inputs!$C$76)&lt;=Inputs!$C$74," weekday"," weekend"),Utility_Rates!$C$28:$F$28,Inputs!$C$68)),"")</f>
      </c>
      <c r="H7808" s="34"/>
      <c r="I7808" s="42">
        <f>IF(AND(ISNUMBER(D7808),ISNUMBER(H7808)),D7808*H7808*Inputs!$C$69,"")</f>
      </c>
      <c r="J7808" s="42">
        <f>IF(AND(ISNUMBER(F7808),ISNUMBER(H7808),F7808&gt;=Inputs!$C$68),F7808*H7808*Inputs!$C$69,"")</f>
      </c>
    </row>
    <row r="7809" spans="2:10" ht="15" customHeight="1" x14ac:dyDescent="0.2">
      <c r="B7809" s="39">
        <f t="shared" si="60"/>
      </c>
      <c r="C7809" s="40">
        <f>IF(Inputs!$C$60,Inputs!$C$11+(B7809-Inputs!$C$69)/Inputs!$C$70,"")</f>
      </c>
      <c r="D7809" s="15"/>
      <c r="E7809" s="15"/>
      <c r="F7809" s="11">
        <f t="shared" si="61"/>
      </c>
      <c r="G7809" s="22" cm="1">
        <f t="array" ref="G7809">IF(AND(Inputs!$C$60,Inputs!$C$61),INDEX(Utility_Rates!$C$29:$F$52,HOUR(C7809)+Inputs!$C$69,MATCH(INDEX(Utility_Rates!$K$6:$K$17,MONTH(C7809))&amp;IF(WEEKDAY(C7809,Inputs!$C$76)&lt;=Inputs!$C$74," weekday"," weekend"),Utility_Rates!$C$28:$F$28,Inputs!$C$68)),"")</f>
      </c>
      <c r="H7809" s="34"/>
      <c r="I7809" s="42">
        <f>IF(AND(ISNUMBER(D7809),ISNUMBER(H7809)),D7809*H7809*Inputs!$C$69,"")</f>
      </c>
      <c r="J7809" s="42">
        <f>IF(AND(ISNUMBER(F7809),ISNUMBER(H7809),F7809&gt;=Inputs!$C$68),F7809*H7809*Inputs!$C$69,"")</f>
      </c>
    </row>
    <row r="7810" spans="2:10" ht="15" customHeight="1" x14ac:dyDescent="0.2">
      <c r="B7810" s="39">
        <f t="shared" si="60"/>
      </c>
      <c r="C7810" s="40">
        <f>IF(Inputs!$C$60,Inputs!$C$11+(B7810-Inputs!$C$69)/Inputs!$C$70,"")</f>
      </c>
      <c r="D7810" s="15"/>
      <c r="E7810" s="15"/>
      <c r="F7810" s="11">
        <f t="shared" si="61"/>
      </c>
      <c r="G7810" s="22" cm="1">
        <f t="array" ref="G7810">IF(AND(Inputs!$C$60,Inputs!$C$61),INDEX(Utility_Rates!$C$29:$F$52,HOUR(C7810)+Inputs!$C$69,MATCH(INDEX(Utility_Rates!$K$6:$K$17,MONTH(C7810))&amp;IF(WEEKDAY(C7810,Inputs!$C$76)&lt;=Inputs!$C$74," weekday"," weekend"),Utility_Rates!$C$28:$F$28,Inputs!$C$68)),"")</f>
      </c>
      <c r="H7810" s="34"/>
      <c r="I7810" s="42">
        <f>IF(AND(ISNUMBER(D7810),ISNUMBER(H7810)),D7810*H7810*Inputs!$C$69,"")</f>
      </c>
      <c r="J7810" s="42">
        <f>IF(AND(ISNUMBER(F7810),ISNUMBER(H7810),F7810&gt;=Inputs!$C$68),F7810*H7810*Inputs!$C$69,"")</f>
      </c>
    </row>
    <row r="7811" spans="2:10" ht="15" customHeight="1" x14ac:dyDescent="0.2">
      <c r="B7811" s="39">
        <f t="shared" si="60"/>
      </c>
      <c r="C7811" s="40">
        <f>IF(Inputs!$C$60,Inputs!$C$11+(B7811-Inputs!$C$69)/Inputs!$C$70,"")</f>
      </c>
      <c r="D7811" s="15"/>
      <c r="E7811" s="15"/>
      <c r="F7811" s="11">
        <f t="shared" si="61"/>
      </c>
      <c r="G7811" s="22" cm="1">
        <f t="array" ref="G7811">IF(AND(Inputs!$C$60,Inputs!$C$61),INDEX(Utility_Rates!$C$29:$F$52,HOUR(C7811)+Inputs!$C$69,MATCH(INDEX(Utility_Rates!$K$6:$K$17,MONTH(C7811))&amp;IF(WEEKDAY(C7811,Inputs!$C$76)&lt;=Inputs!$C$74," weekday"," weekend"),Utility_Rates!$C$28:$F$28,Inputs!$C$68)),"")</f>
      </c>
      <c r="H7811" s="34"/>
      <c r="I7811" s="42">
        <f>IF(AND(ISNUMBER(D7811),ISNUMBER(H7811)),D7811*H7811*Inputs!$C$69,"")</f>
      </c>
      <c r="J7811" s="42">
        <f>IF(AND(ISNUMBER(F7811),ISNUMBER(H7811),F7811&gt;=Inputs!$C$68),F7811*H7811*Inputs!$C$69,"")</f>
      </c>
    </row>
    <row r="7812" spans="2:10" ht="15" customHeight="1" x14ac:dyDescent="0.2">
      <c r="B7812" s="39">
        <f t="shared" si="60"/>
      </c>
      <c r="C7812" s="40">
        <f>IF(Inputs!$C$60,Inputs!$C$11+(B7812-Inputs!$C$69)/Inputs!$C$70,"")</f>
      </c>
      <c r="D7812" s="15"/>
      <c r="E7812" s="15"/>
      <c r="F7812" s="11">
        <f t="shared" si="61"/>
      </c>
      <c r="G7812" s="22" cm="1">
        <f t="array" ref="G7812">IF(AND(Inputs!$C$60,Inputs!$C$61),INDEX(Utility_Rates!$C$29:$F$52,HOUR(C7812)+Inputs!$C$69,MATCH(INDEX(Utility_Rates!$K$6:$K$17,MONTH(C7812))&amp;IF(WEEKDAY(C7812,Inputs!$C$76)&lt;=Inputs!$C$74," weekday"," weekend"),Utility_Rates!$C$28:$F$28,Inputs!$C$68)),"")</f>
      </c>
      <c r="H7812" s="34"/>
      <c r="I7812" s="42">
        <f>IF(AND(ISNUMBER(D7812),ISNUMBER(H7812)),D7812*H7812*Inputs!$C$69,"")</f>
      </c>
      <c r="J7812" s="42">
        <f>IF(AND(ISNUMBER(F7812),ISNUMBER(H7812),F7812&gt;=Inputs!$C$68),F7812*H7812*Inputs!$C$69,"")</f>
      </c>
    </row>
    <row r="7813" spans="2:10" ht="15" customHeight="1" x14ac:dyDescent="0.2">
      <c r="B7813" s="39">
        <f t="shared" si="60"/>
      </c>
      <c r="C7813" s="40">
        <f>IF(Inputs!$C$60,Inputs!$C$11+(B7813-Inputs!$C$69)/Inputs!$C$70,"")</f>
      </c>
      <c r="D7813" s="15"/>
      <c r="E7813" s="15"/>
      <c r="F7813" s="11">
        <f t="shared" si="61"/>
      </c>
      <c r="G7813" s="22" cm="1">
        <f t="array" ref="G7813">IF(AND(Inputs!$C$60,Inputs!$C$61),INDEX(Utility_Rates!$C$29:$F$52,HOUR(C7813)+Inputs!$C$69,MATCH(INDEX(Utility_Rates!$K$6:$K$17,MONTH(C7813))&amp;IF(WEEKDAY(C7813,Inputs!$C$76)&lt;=Inputs!$C$74," weekday"," weekend"),Utility_Rates!$C$28:$F$28,Inputs!$C$68)),"")</f>
      </c>
      <c r="H7813" s="34"/>
      <c r="I7813" s="42">
        <f>IF(AND(ISNUMBER(D7813),ISNUMBER(H7813)),D7813*H7813*Inputs!$C$69,"")</f>
      </c>
      <c r="J7813" s="42">
        <f>IF(AND(ISNUMBER(F7813),ISNUMBER(H7813),F7813&gt;=Inputs!$C$68),F7813*H7813*Inputs!$C$69,"")</f>
      </c>
    </row>
    <row r="7814" spans="2:10" ht="15" customHeight="1" x14ac:dyDescent="0.2">
      <c r="B7814" s="39">
        <f t="shared" si="60"/>
      </c>
      <c r="C7814" s="40">
        <f>IF(Inputs!$C$60,Inputs!$C$11+(B7814-Inputs!$C$69)/Inputs!$C$70,"")</f>
      </c>
      <c r="D7814" s="15"/>
      <c r="E7814" s="15"/>
      <c r="F7814" s="11">
        <f t="shared" si="61"/>
      </c>
      <c r="G7814" s="22" cm="1">
        <f t="array" ref="G7814">IF(AND(Inputs!$C$60,Inputs!$C$61),INDEX(Utility_Rates!$C$29:$F$52,HOUR(C7814)+Inputs!$C$69,MATCH(INDEX(Utility_Rates!$K$6:$K$17,MONTH(C7814))&amp;IF(WEEKDAY(C7814,Inputs!$C$76)&lt;=Inputs!$C$74," weekday"," weekend"),Utility_Rates!$C$28:$F$28,Inputs!$C$68)),"")</f>
      </c>
      <c r="H7814" s="34"/>
      <c r="I7814" s="42">
        <f>IF(AND(ISNUMBER(D7814),ISNUMBER(H7814)),D7814*H7814*Inputs!$C$69,"")</f>
      </c>
      <c r="J7814" s="42">
        <f>IF(AND(ISNUMBER(F7814),ISNUMBER(H7814),F7814&gt;=Inputs!$C$68),F7814*H7814*Inputs!$C$69,"")</f>
      </c>
    </row>
    <row r="7815" spans="2:10" ht="15" customHeight="1" x14ac:dyDescent="0.2">
      <c r="B7815" s="39">
        <f t="shared" si="60"/>
      </c>
      <c r="C7815" s="40">
        <f>IF(Inputs!$C$60,Inputs!$C$11+(B7815-Inputs!$C$69)/Inputs!$C$70,"")</f>
      </c>
      <c r="D7815" s="15"/>
      <c r="E7815" s="15"/>
      <c r="F7815" s="11">
        <f t="shared" si="61"/>
      </c>
      <c r="G7815" s="22" cm="1">
        <f t="array" ref="G7815">IF(AND(Inputs!$C$60,Inputs!$C$61),INDEX(Utility_Rates!$C$29:$F$52,HOUR(C7815)+Inputs!$C$69,MATCH(INDEX(Utility_Rates!$K$6:$K$17,MONTH(C7815))&amp;IF(WEEKDAY(C7815,Inputs!$C$76)&lt;=Inputs!$C$74," weekday"," weekend"),Utility_Rates!$C$28:$F$28,Inputs!$C$68)),"")</f>
      </c>
      <c r="H7815" s="34"/>
      <c r="I7815" s="42">
        <f>IF(AND(ISNUMBER(D7815),ISNUMBER(H7815)),D7815*H7815*Inputs!$C$69,"")</f>
      </c>
      <c r="J7815" s="42">
        <f>IF(AND(ISNUMBER(F7815),ISNUMBER(H7815),F7815&gt;=Inputs!$C$68),F7815*H7815*Inputs!$C$69,"")</f>
      </c>
    </row>
    <row r="7816" spans="2:10" ht="15" customHeight="1" x14ac:dyDescent="0.2">
      <c r="B7816" s="39">
        <f t="shared" si="60"/>
      </c>
      <c r="C7816" s="40">
        <f>IF(Inputs!$C$60,Inputs!$C$11+(B7816-Inputs!$C$69)/Inputs!$C$70,"")</f>
      </c>
      <c r="D7816" s="15"/>
      <c r="E7816" s="15"/>
      <c r="F7816" s="11">
        <f t="shared" si="61"/>
      </c>
      <c r="G7816" s="22" cm="1">
        <f t="array" ref="G7816">IF(AND(Inputs!$C$60,Inputs!$C$61),INDEX(Utility_Rates!$C$29:$F$52,HOUR(C7816)+Inputs!$C$69,MATCH(INDEX(Utility_Rates!$K$6:$K$17,MONTH(C7816))&amp;IF(WEEKDAY(C7816,Inputs!$C$76)&lt;=Inputs!$C$74," weekday"," weekend"),Utility_Rates!$C$28:$F$28,Inputs!$C$68)),"")</f>
      </c>
      <c r="H7816" s="34"/>
      <c r="I7816" s="42">
        <f>IF(AND(ISNUMBER(D7816),ISNUMBER(H7816)),D7816*H7816*Inputs!$C$69,"")</f>
      </c>
      <c r="J7816" s="42">
        <f>IF(AND(ISNUMBER(F7816),ISNUMBER(H7816),F7816&gt;=Inputs!$C$68),F7816*H7816*Inputs!$C$69,"")</f>
      </c>
    </row>
    <row r="7817" spans="2:10" ht="15" customHeight="1" x14ac:dyDescent="0.2">
      <c r="B7817" s="39">
        <f t="shared" si="60"/>
      </c>
      <c r="C7817" s="40">
        <f>IF(Inputs!$C$60,Inputs!$C$11+(B7817-Inputs!$C$69)/Inputs!$C$70,"")</f>
      </c>
      <c r="D7817" s="15"/>
      <c r="E7817" s="15"/>
      <c r="F7817" s="11">
        <f t="shared" si="61"/>
      </c>
      <c r="G7817" s="22" cm="1">
        <f t="array" ref="G7817">IF(AND(Inputs!$C$60,Inputs!$C$61),INDEX(Utility_Rates!$C$29:$F$52,HOUR(C7817)+Inputs!$C$69,MATCH(INDEX(Utility_Rates!$K$6:$K$17,MONTH(C7817))&amp;IF(WEEKDAY(C7817,Inputs!$C$76)&lt;=Inputs!$C$74," weekday"," weekend"),Utility_Rates!$C$28:$F$28,Inputs!$C$68)),"")</f>
      </c>
      <c r="H7817" s="34"/>
      <c r="I7817" s="42">
        <f>IF(AND(ISNUMBER(D7817),ISNUMBER(H7817)),D7817*H7817*Inputs!$C$69,"")</f>
      </c>
      <c r="J7817" s="42">
        <f>IF(AND(ISNUMBER(F7817),ISNUMBER(H7817),F7817&gt;=Inputs!$C$68),F7817*H7817*Inputs!$C$69,"")</f>
      </c>
    </row>
    <row r="7818" spans="2:10" ht="15" customHeight="1" x14ac:dyDescent="0.2">
      <c r="B7818" s="39">
        <f t="shared" si="60"/>
      </c>
      <c r="C7818" s="40">
        <f>IF(Inputs!$C$60,Inputs!$C$11+(B7818-Inputs!$C$69)/Inputs!$C$70,"")</f>
      </c>
      <c r="D7818" s="15"/>
      <c r="E7818" s="15"/>
      <c r="F7818" s="11">
        <f t="shared" si="61"/>
      </c>
      <c r="G7818" s="22" cm="1">
        <f t="array" ref="G7818">IF(AND(Inputs!$C$60,Inputs!$C$61),INDEX(Utility_Rates!$C$29:$F$52,HOUR(C7818)+Inputs!$C$69,MATCH(INDEX(Utility_Rates!$K$6:$K$17,MONTH(C7818))&amp;IF(WEEKDAY(C7818,Inputs!$C$76)&lt;=Inputs!$C$74," weekday"," weekend"),Utility_Rates!$C$28:$F$28,Inputs!$C$68)),"")</f>
      </c>
      <c r="H7818" s="34"/>
      <c r="I7818" s="42">
        <f>IF(AND(ISNUMBER(D7818),ISNUMBER(H7818)),D7818*H7818*Inputs!$C$69,"")</f>
      </c>
      <c r="J7818" s="42">
        <f>IF(AND(ISNUMBER(F7818),ISNUMBER(H7818),F7818&gt;=Inputs!$C$68),F7818*H7818*Inputs!$C$69,"")</f>
      </c>
    </row>
    <row r="7819" spans="2:10" ht="15" customHeight="1" x14ac:dyDescent="0.2">
      <c r="B7819" s="39">
        <f t="shared" si="60"/>
      </c>
      <c r="C7819" s="40">
        <f>IF(Inputs!$C$60,Inputs!$C$11+(B7819-Inputs!$C$69)/Inputs!$C$70,"")</f>
      </c>
      <c r="D7819" s="15"/>
      <c r="E7819" s="15"/>
      <c r="F7819" s="11">
        <f t="shared" si="61"/>
      </c>
      <c r="G7819" s="22" cm="1">
        <f t="array" ref="G7819">IF(AND(Inputs!$C$60,Inputs!$C$61),INDEX(Utility_Rates!$C$29:$F$52,HOUR(C7819)+Inputs!$C$69,MATCH(INDEX(Utility_Rates!$K$6:$K$17,MONTH(C7819))&amp;IF(WEEKDAY(C7819,Inputs!$C$76)&lt;=Inputs!$C$74," weekday"," weekend"),Utility_Rates!$C$28:$F$28,Inputs!$C$68)),"")</f>
      </c>
      <c r="H7819" s="34"/>
      <c r="I7819" s="42">
        <f>IF(AND(ISNUMBER(D7819),ISNUMBER(H7819)),D7819*H7819*Inputs!$C$69,"")</f>
      </c>
      <c r="J7819" s="42">
        <f>IF(AND(ISNUMBER(F7819),ISNUMBER(H7819),F7819&gt;=Inputs!$C$68),F7819*H7819*Inputs!$C$69,"")</f>
      </c>
    </row>
    <row r="7820" spans="2:10" ht="15" customHeight="1" x14ac:dyDescent="0.2">
      <c r="B7820" s="39">
        <f t="shared" si="60"/>
      </c>
      <c r="C7820" s="40">
        <f>IF(Inputs!$C$60,Inputs!$C$11+(B7820-Inputs!$C$69)/Inputs!$C$70,"")</f>
      </c>
      <c r="D7820" s="15"/>
      <c r="E7820" s="15"/>
      <c r="F7820" s="11">
        <f t="shared" si="61"/>
      </c>
      <c r="G7820" s="22" cm="1">
        <f t="array" ref="G7820">IF(AND(Inputs!$C$60,Inputs!$C$61),INDEX(Utility_Rates!$C$29:$F$52,HOUR(C7820)+Inputs!$C$69,MATCH(INDEX(Utility_Rates!$K$6:$K$17,MONTH(C7820))&amp;IF(WEEKDAY(C7820,Inputs!$C$76)&lt;=Inputs!$C$74," weekday"," weekend"),Utility_Rates!$C$28:$F$28,Inputs!$C$68)),"")</f>
      </c>
      <c r="H7820" s="34"/>
      <c r="I7820" s="42">
        <f>IF(AND(ISNUMBER(D7820),ISNUMBER(H7820)),D7820*H7820*Inputs!$C$69,"")</f>
      </c>
      <c r="J7820" s="42">
        <f>IF(AND(ISNUMBER(F7820),ISNUMBER(H7820),F7820&gt;=Inputs!$C$68),F7820*H7820*Inputs!$C$69,"")</f>
      </c>
    </row>
    <row r="7821" spans="2:10" ht="15" customHeight="1" x14ac:dyDescent="0.2">
      <c r="B7821" s="39">
        <f t="shared" si="60"/>
      </c>
      <c r="C7821" s="40">
        <f>IF(Inputs!$C$60,Inputs!$C$11+(B7821-Inputs!$C$69)/Inputs!$C$70,"")</f>
      </c>
      <c r="D7821" s="15"/>
      <c r="E7821" s="15"/>
      <c r="F7821" s="11">
        <f t="shared" si="61"/>
      </c>
      <c r="G7821" s="22" cm="1">
        <f t="array" ref="G7821">IF(AND(Inputs!$C$60,Inputs!$C$61),INDEX(Utility_Rates!$C$29:$F$52,HOUR(C7821)+Inputs!$C$69,MATCH(INDEX(Utility_Rates!$K$6:$K$17,MONTH(C7821))&amp;IF(WEEKDAY(C7821,Inputs!$C$76)&lt;=Inputs!$C$74," weekday"," weekend"),Utility_Rates!$C$28:$F$28,Inputs!$C$68)),"")</f>
      </c>
      <c r="H7821" s="34"/>
      <c r="I7821" s="42">
        <f>IF(AND(ISNUMBER(D7821),ISNUMBER(H7821)),D7821*H7821*Inputs!$C$69,"")</f>
      </c>
      <c r="J7821" s="42">
        <f>IF(AND(ISNUMBER(F7821),ISNUMBER(H7821),F7821&gt;=Inputs!$C$68),F7821*H7821*Inputs!$C$69,"")</f>
      </c>
    </row>
    <row r="7822" spans="2:10" ht="15" customHeight="1" x14ac:dyDescent="0.2">
      <c r="B7822" s="39">
        <f t="shared" si="60"/>
      </c>
      <c r="C7822" s="40">
        <f>IF(Inputs!$C$60,Inputs!$C$11+(B7822-Inputs!$C$69)/Inputs!$C$70,"")</f>
      </c>
      <c r="D7822" s="15"/>
      <c r="E7822" s="15"/>
      <c r="F7822" s="11">
        <f t="shared" si="61"/>
      </c>
      <c r="G7822" s="22" cm="1">
        <f t="array" ref="G7822">IF(AND(Inputs!$C$60,Inputs!$C$61),INDEX(Utility_Rates!$C$29:$F$52,HOUR(C7822)+Inputs!$C$69,MATCH(INDEX(Utility_Rates!$K$6:$K$17,MONTH(C7822))&amp;IF(WEEKDAY(C7822,Inputs!$C$76)&lt;=Inputs!$C$74," weekday"," weekend"),Utility_Rates!$C$28:$F$28,Inputs!$C$68)),"")</f>
      </c>
      <c r="H7822" s="34"/>
      <c r="I7822" s="42">
        <f>IF(AND(ISNUMBER(D7822),ISNUMBER(H7822)),D7822*H7822*Inputs!$C$69,"")</f>
      </c>
      <c r="J7822" s="42">
        <f>IF(AND(ISNUMBER(F7822),ISNUMBER(H7822),F7822&gt;=Inputs!$C$68),F7822*H7822*Inputs!$C$69,"")</f>
      </c>
    </row>
    <row r="7823" spans="2:10" ht="15" customHeight="1" x14ac:dyDescent="0.2">
      <c r="B7823" s="39">
        <f t="shared" si="60"/>
      </c>
      <c r="C7823" s="40">
        <f>IF(Inputs!$C$60,Inputs!$C$11+(B7823-Inputs!$C$69)/Inputs!$C$70,"")</f>
      </c>
      <c r="D7823" s="15"/>
      <c r="E7823" s="15"/>
      <c r="F7823" s="11">
        <f t="shared" si="61"/>
      </c>
      <c r="G7823" s="22" cm="1">
        <f t="array" ref="G7823">IF(AND(Inputs!$C$60,Inputs!$C$61),INDEX(Utility_Rates!$C$29:$F$52,HOUR(C7823)+Inputs!$C$69,MATCH(INDEX(Utility_Rates!$K$6:$K$17,MONTH(C7823))&amp;IF(WEEKDAY(C7823,Inputs!$C$76)&lt;=Inputs!$C$74," weekday"," weekend"),Utility_Rates!$C$28:$F$28,Inputs!$C$68)),"")</f>
      </c>
      <c r="H7823" s="34"/>
      <c r="I7823" s="42">
        <f>IF(AND(ISNUMBER(D7823),ISNUMBER(H7823)),D7823*H7823*Inputs!$C$69,"")</f>
      </c>
      <c r="J7823" s="42">
        <f>IF(AND(ISNUMBER(F7823),ISNUMBER(H7823),F7823&gt;=Inputs!$C$68),F7823*H7823*Inputs!$C$69,"")</f>
      </c>
    </row>
    <row r="7824" spans="2:10" ht="15" customHeight="1" x14ac:dyDescent="0.2">
      <c r="B7824" s="39">
        <f t="shared" si="60"/>
      </c>
      <c r="C7824" s="40">
        <f>IF(Inputs!$C$60,Inputs!$C$11+(B7824-Inputs!$C$69)/Inputs!$C$70,"")</f>
      </c>
      <c r="D7824" s="15"/>
      <c r="E7824" s="15"/>
      <c r="F7824" s="11">
        <f t="shared" si="61"/>
      </c>
      <c r="G7824" s="22" cm="1">
        <f t="array" ref="G7824">IF(AND(Inputs!$C$60,Inputs!$C$61),INDEX(Utility_Rates!$C$29:$F$52,HOUR(C7824)+Inputs!$C$69,MATCH(INDEX(Utility_Rates!$K$6:$K$17,MONTH(C7824))&amp;IF(WEEKDAY(C7824,Inputs!$C$76)&lt;=Inputs!$C$74," weekday"," weekend"),Utility_Rates!$C$28:$F$28,Inputs!$C$68)),"")</f>
      </c>
      <c r="H7824" s="34"/>
      <c r="I7824" s="42">
        <f>IF(AND(ISNUMBER(D7824),ISNUMBER(H7824)),D7824*H7824*Inputs!$C$69,"")</f>
      </c>
      <c r="J7824" s="42">
        <f>IF(AND(ISNUMBER(F7824),ISNUMBER(H7824),F7824&gt;=Inputs!$C$68),F7824*H7824*Inputs!$C$69,"")</f>
      </c>
    </row>
    <row r="7825" spans="2:10" ht="15" customHeight="1" x14ac:dyDescent="0.2">
      <c r="B7825" s="39">
        <f t="shared" si="60"/>
      </c>
      <c r="C7825" s="40">
        <f>IF(Inputs!$C$60,Inputs!$C$11+(B7825-Inputs!$C$69)/Inputs!$C$70,"")</f>
      </c>
      <c r="D7825" s="15"/>
      <c r="E7825" s="15"/>
      <c r="F7825" s="11">
        <f t="shared" si="61"/>
      </c>
      <c r="G7825" s="22" cm="1">
        <f t="array" ref="G7825">IF(AND(Inputs!$C$60,Inputs!$C$61),INDEX(Utility_Rates!$C$29:$F$52,HOUR(C7825)+Inputs!$C$69,MATCH(INDEX(Utility_Rates!$K$6:$K$17,MONTH(C7825))&amp;IF(WEEKDAY(C7825,Inputs!$C$76)&lt;=Inputs!$C$74," weekday"," weekend"),Utility_Rates!$C$28:$F$28,Inputs!$C$68)),"")</f>
      </c>
      <c r="H7825" s="34"/>
      <c r="I7825" s="42">
        <f>IF(AND(ISNUMBER(D7825),ISNUMBER(H7825)),D7825*H7825*Inputs!$C$69,"")</f>
      </c>
      <c r="J7825" s="42">
        <f>IF(AND(ISNUMBER(F7825),ISNUMBER(H7825),F7825&gt;=Inputs!$C$68),F7825*H7825*Inputs!$C$69,"")</f>
      </c>
    </row>
    <row r="7826" spans="2:10" ht="15" customHeight="1" x14ac:dyDescent="0.2">
      <c r="B7826" s="39">
        <f t="shared" si="60"/>
      </c>
      <c r="C7826" s="40">
        <f>IF(Inputs!$C$60,Inputs!$C$11+(B7826-Inputs!$C$69)/Inputs!$C$70,"")</f>
      </c>
      <c r="D7826" s="15"/>
      <c r="E7826" s="15"/>
      <c r="F7826" s="11">
        <f t="shared" si="61"/>
      </c>
      <c r="G7826" s="22" cm="1">
        <f t="array" ref="G7826">IF(AND(Inputs!$C$60,Inputs!$C$61),INDEX(Utility_Rates!$C$29:$F$52,HOUR(C7826)+Inputs!$C$69,MATCH(INDEX(Utility_Rates!$K$6:$K$17,MONTH(C7826))&amp;IF(WEEKDAY(C7826,Inputs!$C$76)&lt;=Inputs!$C$74," weekday"," weekend"),Utility_Rates!$C$28:$F$28,Inputs!$C$68)),"")</f>
      </c>
      <c r="H7826" s="34"/>
      <c r="I7826" s="42">
        <f>IF(AND(ISNUMBER(D7826),ISNUMBER(H7826)),D7826*H7826*Inputs!$C$69,"")</f>
      </c>
      <c r="J7826" s="42">
        <f>IF(AND(ISNUMBER(F7826),ISNUMBER(H7826),F7826&gt;=Inputs!$C$68),F7826*H7826*Inputs!$C$69,"")</f>
      </c>
    </row>
    <row r="7827" spans="2:10" ht="15" customHeight="1" x14ac:dyDescent="0.2">
      <c r="B7827" s="39">
        <f t="shared" si="60"/>
      </c>
      <c r="C7827" s="40">
        <f>IF(Inputs!$C$60,Inputs!$C$11+(B7827-Inputs!$C$69)/Inputs!$C$70,"")</f>
      </c>
      <c r="D7827" s="15"/>
      <c r="E7827" s="15"/>
      <c r="F7827" s="11">
        <f t="shared" si="61"/>
      </c>
      <c r="G7827" s="22" cm="1">
        <f t="array" ref="G7827">IF(AND(Inputs!$C$60,Inputs!$C$61),INDEX(Utility_Rates!$C$29:$F$52,HOUR(C7827)+Inputs!$C$69,MATCH(INDEX(Utility_Rates!$K$6:$K$17,MONTH(C7827))&amp;IF(WEEKDAY(C7827,Inputs!$C$76)&lt;=Inputs!$C$74," weekday"," weekend"),Utility_Rates!$C$28:$F$28,Inputs!$C$68)),"")</f>
      </c>
      <c r="H7827" s="34"/>
      <c r="I7827" s="42">
        <f>IF(AND(ISNUMBER(D7827),ISNUMBER(H7827)),D7827*H7827*Inputs!$C$69,"")</f>
      </c>
      <c r="J7827" s="42">
        <f>IF(AND(ISNUMBER(F7827),ISNUMBER(H7827),F7827&gt;=Inputs!$C$68),F7827*H7827*Inputs!$C$69,"")</f>
      </c>
    </row>
    <row r="7828" spans="2:10" ht="15" customHeight="1" x14ac:dyDescent="0.2">
      <c r="B7828" s="39">
        <f t="shared" si="60"/>
      </c>
      <c r="C7828" s="40">
        <f>IF(Inputs!$C$60,Inputs!$C$11+(B7828-Inputs!$C$69)/Inputs!$C$70,"")</f>
      </c>
      <c r="D7828" s="15"/>
      <c r="E7828" s="15"/>
      <c r="F7828" s="11">
        <f t="shared" si="61"/>
      </c>
      <c r="G7828" s="22" cm="1">
        <f t="array" ref="G7828">IF(AND(Inputs!$C$60,Inputs!$C$61),INDEX(Utility_Rates!$C$29:$F$52,HOUR(C7828)+Inputs!$C$69,MATCH(INDEX(Utility_Rates!$K$6:$K$17,MONTH(C7828))&amp;IF(WEEKDAY(C7828,Inputs!$C$76)&lt;=Inputs!$C$74," weekday"," weekend"),Utility_Rates!$C$28:$F$28,Inputs!$C$68)),"")</f>
      </c>
      <c r="H7828" s="34"/>
      <c r="I7828" s="42">
        <f>IF(AND(ISNUMBER(D7828),ISNUMBER(H7828)),D7828*H7828*Inputs!$C$69,"")</f>
      </c>
      <c r="J7828" s="42">
        <f>IF(AND(ISNUMBER(F7828),ISNUMBER(H7828),F7828&gt;=Inputs!$C$68),F7828*H7828*Inputs!$C$69,"")</f>
      </c>
    </row>
    <row r="7829" spans="2:10" ht="15" customHeight="1" x14ac:dyDescent="0.2">
      <c r="B7829" s="39">
        <f t="shared" si="60"/>
      </c>
      <c r="C7829" s="40">
        <f>IF(Inputs!$C$60,Inputs!$C$11+(B7829-Inputs!$C$69)/Inputs!$C$70,"")</f>
      </c>
      <c r="D7829" s="15"/>
      <c r="E7829" s="15"/>
      <c r="F7829" s="11">
        <f t="shared" si="61"/>
      </c>
      <c r="G7829" s="22" cm="1">
        <f t="array" ref="G7829">IF(AND(Inputs!$C$60,Inputs!$C$61),INDEX(Utility_Rates!$C$29:$F$52,HOUR(C7829)+Inputs!$C$69,MATCH(INDEX(Utility_Rates!$K$6:$K$17,MONTH(C7829))&amp;IF(WEEKDAY(C7829,Inputs!$C$76)&lt;=Inputs!$C$74," weekday"," weekend"),Utility_Rates!$C$28:$F$28,Inputs!$C$68)),"")</f>
      </c>
      <c r="H7829" s="34"/>
      <c r="I7829" s="42">
        <f>IF(AND(ISNUMBER(D7829),ISNUMBER(H7829)),D7829*H7829*Inputs!$C$69,"")</f>
      </c>
      <c r="J7829" s="42">
        <f>IF(AND(ISNUMBER(F7829),ISNUMBER(H7829),F7829&gt;=Inputs!$C$68),F7829*H7829*Inputs!$C$69,"")</f>
      </c>
    </row>
    <row r="7830" spans="2:10" ht="15" customHeight="1" x14ac:dyDescent="0.2">
      <c r="B7830" s="39">
        <f t="shared" si="60"/>
      </c>
      <c r="C7830" s="40">
        <f>IF(Inputs!$C$60,Inputs!$C$11+(B7830-Inputs!$C$69)/Inputs!$C$70,"")</f>
      </c>
      <c r="D7830" s="15"/>
      <c r="E7830" s="15"/>
      <c r="F7830" s="11">
        <f t="shared" si="61"/>
      </c>
      <c r="G7830" s="22" cm="1">
        <f t="array" ref="G7830">IF(AND(Inputs!$C$60,Inputs!$C$61),INDEX(Utility_Rates!$C$29:$F$52,HOUR(C7830)+Inputs!$C$69,MATCH(INDEX(Utility_Rates!$K$6:$K$17,MONTH(C7830))&amp;IF(WEEKDAY(C7830,Inputs!$C$76)&lt;=Inputs!$C$74," weekday"," weekend"),Utility_Rates!$C$28:$F$28,Inputs!$C$68)),"")</f>
      </c>
      <c r="H7830" s="34"/>
      <c r="I7830" s="42">
        <f>IF(AND(ISNUMBER(D7830),ISNUMBER(H7830)),D7830*H7830*Inputs!$C$69,"")</f>
      </c>
      <c r="J7830" s="42">
        <f>IF(AND(ISNUMBER(F7830),ISNUMBER(H7830),F7830&gt;=Inputs!$C$68),F7830*H7830*Inputs!$C$69,"")</f>
      </c>
    </row>
    <row r="7831" spans="2:10" ht="15" customHeight="1" x14ac:dyDescent="0.2">
      <c r="B7831" s="39">
        <f t="shared" si="60"/>
      </c>
      <c r="C7831" s="40">
        <f>IF(Inputs!$C$60,Inputs!$C$11+(B7831-Inputs!$C$69)/Inputs!$C$70,"")</f>
      </c>
      <c r="D7831" s="15"/>
      <c r="E7831" s="15"/>
      <c r="F7831" s="11">
        <f t="shared" si="61"/>
      </c>
      <c r="G7831" s="22" cm="1">
        <f t="array" ref="G7831">IF(AND(Inputs!$C$60,Inputs!$C$61),INDEX(Utility_Rates!$C$29:$F$52,HOUR(C7831)+Inputs!$C$69,MATCH(INDEX(Utility_Rates!$K$6:$K$17,MONTH(C7831))&amp;IF(WEEKDAY(C7831,Inputs!$C$76)&lt;=Inputs!$C$74," weekday"," weekend"),Utility_Rates!$C$28:$F$28,Inputs!$C$68)),"")</f>
      </c>
      <c r="H7831" s="34"/>
      <c r="I7831" s="42">
        <f>IF(AND(ISNUMBER(D7831),ISNUMBER(H7831)),D7831*H7831*Inputs!$C$69,"")</f>
      </c>
      <c r="J7831" s="42">
        <f>IF(AND(ISNUMBER(F7831),ISNUMBER(H7831),F7831&gt;=Inputs!$C$68),F7831*H7831*Inputs!$C$69,"")</f>
      </c>
    </row>
    <row r="7832" spans="2:10" ht="15" customHeight="1" x14ac:dyDescent="0.2">
      <c r="B7832" s="39">
        <f t="shared" si="60"/>
      </c>
      <c r="C7832" s="40">
        <f>IF(Inputs!$C$60,Inputs!$C$11+(B7832-Inputs!$C$69)/Inputs!$C$70,"")</f>
      </c>
      <c r="D7832" s="15"/>
      <c r="E7832" s="15"/>
      <c r="F7832" s="11">
        <f t="shared" si="61"/>
      </c>
      <c r="G7832" s="22" cm="1">
        <f t="array" ref="G7832">IF(AND(Inputs!$C$60,Inputs!$C$61),INDEX(Utility_Rates!$C$29:$F$52,HOUR(C7832)+Inputs!$C$69,MATCH(INDEX(Utility_Rates!$K$6:$K$17,MONTH(C7832))&amp;IF(WEEKDAY(C7832,Inputs!$C$76)&lt;=Inputs!$C$74," weekday"," weekend"),Utility_Rates!$C$28:$F$28,Inputs!$C$68)),"")</f>
      </c>
      <c r="H7832" s="34"/>
      <c r="I7832" s="42">
        <f>IF(AND(ISNUMBER(D7832),ISNUMBER(H7832)),D7832*H7832*Inputs!$C$69,"")</f>
      </c>
      <c r="J7832" s="42">
        <f>IF(AND(ISNUMBER(F7832),ISNUMBER(H7832),F7832&gt;=Inputs!$C$68),F7832*H7832*Inputs!$C$69,"")</f>
      </c>
    </row>
    <row r="7833" spans="2:10" ht="15" customHeight="1" x14ac:dyDescent="0.2">
      <c r="B7833" s="39">
        <f t="shared" si="60"/>
      </c>
      <c r="C7833" s="40">
        <f>IF(Inputs!$C$60,Inputs!$C$11+(B7833-Inputs!$C$69)/Inputs!$C$70,"")</f>
      </c>
      <c r="D7833" s="15"/>
      <c r="E7833" s="15"/>
      <c r="F7833" s="11">
        <f t="shared" si="61"/>
      </c>
      <c r="G7833" s="22" cm="1">
        <f t="array" ref="G7833">IF(AND(Inputs!$C$60,Inputs!$C$61),INDEX(Utility_Rates!$C$29:$F$52,HOUR(C7833)+Inputs!$C$69,MATCH(INDEX(Utility_Rates!$K$6:$K$17,MONTH(C7833))&amp;IF(WEEKDAY(C7833,Inputs!$C$76)&lt;=Inputs!$C$74," weekday"," weekend"),Utility_Rates!$C$28:$F$28,Inputs!$C$68)),"")</f>
      </c>
      <c r="H7833" s="34"/>
      <c r="I7833" s="42">
        <f>IF(AND(ISNUMBER(D7833),ISNUMBER(H7833)),D7833*H7833*Inputs!$C$69,"")</f>
      </c>
      <c r="J7833" s="42">
        <f>IF(AND(ISNUMBER(F7833),ISNUMBER(H7833),F7833&gt;=Inputs!$C$68),F7833*H7833*Inputs!$C$69,"")</f>
      </c>
    </row>
    <row r="7834" spans="2:10" ht="15" customHeight="1" x14ac:dyDescent="0.2">
      <c r="B7834" s="39">
        <f t="shared" si="60"/>
      </c>
      <c r="C7834" s="40">
        <f>IF(Inputs!$C$60,Inputs!$C$11+(B7834-Inputs!$C$69)/Inputs!$C$70,"")</f>
      </c>
      <c r="D7834" s="15"/>
      <c r="E7834" s="15"/>
      <c r="F7834" s="11">
        <f t="shared" si="61"/>
      </c>
      <c r="G7834" s="22" cm="1">
        <f t="array" ref="G7834">IF(AND(Inputs!$C$60,Inputs!$C$61),INDEX(Utility_Rates!$C$29:$F$52,HOUR(C7834)+Inputs!$C$69,MATCH(INDEX(Utility_Rates!$K$6:$K$17,MONTH(C7834))&amp;IF(WEEKDAY(C7834,Inputs!$C$76)&lt;=Inputs!$C$74," weekday"," weekend"),Utility_Rates!$C$28:$F$28,Inputs!$C$68)),"")</f>
      </c>
      <c r="H7834" s="34"/>
      <c r="I7834" s="42">
        <f>IF(AND(ISNUMBER(D7834),ISNUMBER(H7834)),D7834*H7834*Inputs!$C$69,"")</f>
      </c>
      <c r="J7834" s="42">
        <f>IF(AND(ISNUMBER(F7834),ISNUMBER(H7834),F7834&gt;=Inputs!$C$68),F7834*H7834*Inputs!$C$69,"")</f>
      </c>
    </row>
    <row r="7835" spans="2:10" ht="15" customHeight="1" x14ac:dyDescent="0.2">
      <c r="B7835" s="39">
        <f t="shared" si="60"/>
      </c>
      <c r="C7835" s="40">
        <f>IF(Inputs!$C$60,Inputs!$C$11+(B7835-Inputs!$C$69)/Inputs!$C$70,"")</f>
      </c>
      <c r="D7835" s="15"/>
      <c r="E7835" s="15"/>
      <c r="F7835" s="11">
        <f t="shared" si="61"/>
      </c>
      <c r="G7835" s="22" cm="1">
        <f t="array" ref="G7835">IF(AND(Inputs!$C$60,Inputs!$C$61),INDEX(Utility_Rates!$C$29:$F$52,HOUR(C7835)+Inputs!$C$69,MATCH(INDEX(Utility_Rates!$K$6:$K$17,MONTH(C7835))&amp;IF(WEEKDAY(C7835,Inputs!$C$76)&lt;=Inputs!$C$74," weekday"," weekend"),Utility_Rates!$C$28:$F$28,Inputs!$C$68)),"")</f>
      </c>
      <c r="H7835" s="34"/>
      <c r="I7835" s="42">
        <f>IF(AND(ISNUMBER(D7835),ISNUMBER(H7835)),D7835*H7835*Inputs!$C$69,"")</f>
      </c>
      <c r="J7835" s="42">
        <f>IF(AND(ISNUMBER(F7835),ISNUMBER(H7835),F7835&gt;=Inputs!$C$68),F7835*H7835*Inputs!$C$69,"")</f>
      </c>
    </row>
    <row r="7836" spans="2:10" ht="15" customHeight="1" x14ac:dyDescent="0.2">
      <c r="B7836" s="39">
        <f t="shared" si="60"/>
      </c>
      <c r="C7836" s="40">
        <f>IF(Inputs!$C$60,Inputs!$C$11+(B7836-Inputs!$C$69)/Inputs!$C$70,"")</f>
      </c>
      <c r="D7836" s="15"/>
      <c r="E7836" s="15"/>
      <c r="F7836" s="11">
        <f t="shared" si="61"/>
      </c>
      <c r="G7836" s="22" cm="1">
        <f t="array" ref="G7836">IF(AND(Inputs!$C$60,Inputs!$C$61),INDEX(Utility_Rates!$C$29:$F$52,HOUR(C7836)+Inputs!$C$69,MATCH(INDEX(Utility_Rates!$K$6:$K$17,MONTH(C7836))&amp;IF(WEEKDAY(C7836,Inputs!$C$76)&lt;=Inputs!$C$74," weekday"," weekend"),Utility_Rates!$C$28:$F$28,Inputs!$C$68)),"")</f>
      </c>
      <c r="H7836" s="34"/>
      <c r="I7836" s="42">
        <f>IF(AND(ISNUMBER(D7836),ISNUMBER(H7836)),D7836*H7836*Inputs!$C$69,"")</f>
      </c>
      <c r="J7836" s="42">
        <f>IF(AND(ISNUMBER(F7836),ISNUMBER(H7836),F7836&gt;=Inputs!$C$68),F7836*H7836*Inputs!$C$69,"")</f>
      </c>
    </row>
    <row r="7837" spans="2:10" ht="15" customHeight="1" x14ac:dyDescent="0.2">
      <c r="B7837" s="39">
        <f t="shared" si="60"/>
      </c>
      <c r="C7837" s="40">
        <f>IF(Inputs!$C$60,Inputs!$C$11+(B7837-Inputs!$C$69)/Inputs!$C$70,"")</f>
      </c>
      <c r="D7837" s="15"/>
      <c r="E7837" s="15"/>
      <c r="F7837" s="11">
        <f t="shared" si="61"/>
      </c>
      <c r="G7837" s="22" cm="1">
        <f t="array" ref="G7837">IF(AND(Inputs!$C$60,Inputs!$C$61),INDEX(Utility_Rates!$C$29:$F$52,HOUR(C7837)+Inputs!$C$69,MATCH(INDEX(Utility_Rates!$K$6:$K$17,MONTH(C7837))&amp;IF(WEEKDAY(C7837,Inputs!$C$76)&lt;=Inputs!$C$74," weekday"," weekend"),Utility_Rates!$C$28:$F$28,Inputs!$C$68)),"")</f>
      </c>
      <c r="H7837" s="34"/>
      <c r="I7837" s="42">
        <f>IF(AND(ISNUMBER(D7837),ISNUMBER(H7837)),D7837*H7837*Inputs!$C$69,"")</f>
      </c>
      <c r="J7837" s="42">
        <f>IF(AND(ISNUMBER(F7837),ISNUMBER(H7837),F7837&gt;=Inputs!$C$68),F7837*H7837*Inputs!$C$69,"")</f>
      </c>
    </row>
    <row r="7838" spans="2:10" ht="15" customHeight="1" x14ac:dyDescent="0.2">
      <c r="B7838" s="39">
        <f t="shared" si="60"/>
      </c>
      <c r="C7838" s="40">
        <f>IF(Inputs!$C$60,Inputs!$C$11+(B7838-Inputs!$C$69)/Inputs!$C$70,"")</f>
      </c>
      <c r="D7838" s="15"/>
      <c r="E7838" s="15"/>
      <c r="F7838" s="11">
        <f t="shared" si="61"/>
      </c>
      <c r="G7838" s="22" cm="1">
        <f t="array" ref="G7838">IF(AND(Inputs!$C$60,Inputs!$C$61),INDEX(Utility_Rates!$C$29:$F$52,HOUR(C7838)+Inputs!$C$69,MATCH(INDEX(Utility_Rates!$K$6:$K$17,MONTH(C7838))&amp;IF(WEEKDAY(C7838,Inputs!$C$76)&lt;=Inputs!$C$74," weekday"," weekend"),Utility_Rates!$C$28:$F$28,Inputs!$C$68)),"")</f>
      </c>
      <c r="H7838" s="34"/>
      <c r="I7838" s="42">
        <f>IF(AND(ISNUMBER(D7838),ISNUMBER(H7838)),D7838*H7838*Inputs!$C$69,"")</f>
      </c>
      <c r="J7838" s="42">
        <f>IF(AND(ISNUMBER(F7838),ISNUMBER(H7838),F7838&gt;=Inputs!$C$68),F7838*H7838*Inputs!$C$69,"")</f>
      </c>
    </row>
    <row r="7839" spans="2:10" ht="15" customHeight="1" x14ac:dyDescent="0.2">
      <c r="B7839" s="39">
        <f t="shared" si="60"/>
      </c>
      <c r="C7839" s="40">
        <f>IF(Inputs!$C$60,Inputs!$C$11+(B7839-Inputs!$C$69)/Inputs!$C$70,"")</f>
      </c>
      <c r="D7839" s="15"/>
      <c r="E7839" s="15"/>
      <c r="F7839" s="11">
        <f t="shared" si="61"/>
      </c>
      <c r="G7839" s="22" cm="1">
        <f t="array" ref="G7839">IF(AND(Inputs!$C$60,Inputs!$C$61),INDEX(Utility_Rates!$C$29:$F$52,HOUR(C7839)+Inputs!$C$69,MATCH(INDEX(Utility_Rates!$K$6:$K$17,MONTH(C7839))&amp;IF(WEEKDAY(C7839,Inputs!$C$76)&lt;=Inputs!$C$74," weekday"," weekend"),Utility_Rates!$C$28:$F$28,Inputs!$C$68)),"")</f>
      </c>
      <c r="H7839" s="34"/>
      <c r="I7839" s="42">
        <f>IF(AND(ISNUMBER(D7839),ISNUMBER(H7839)),D7839*H7839*Inputs!$C$69,"")</f>
      </c>
      <c r="J7839" s="42">
        <f>IF(AND(ISNUMBER(F7839),ISNUMBER(H7839),F7839&gt;=Inputs!$C$68),F7839*H7839*Inputs!$C$69,"")</f>
      </c>
    </row>
    <row r="7840" spans="2:10" ht="15" customHeight="1" x14ac:dyDescent="0.2">
      <c r="B7840" s="39">
        <f t="shared" si="60"/>
      </c>
      <c r="C7840" s="40">
        <f>IF(Inputs!$C$60,Inputs!$C$11+(B7840-Inputs!$C$69)/Inputs!$C$70,"")</f>
      </c>
      <c r="D7840" s="15"/>
      <c r="E7840" s="15"/>
      <c r="F7840" s="11">
        <f t="shared" si="61"/>
      </c>
      <c r="G7840" s="22" cm="1">
        <f t="array" ref="G7840">IF(AND(Inputs!$C$60,Inputs!$C$61),INDEX(Utility_Rates!$C$29:$F$52,HOUR(C7840)+Inputs!$C$69,MATCH(INDEX(Utility_Rates!$K$6:$K$17,MONTH(C7840))&amp;IF(WEEKDAY(C7840,Inputs!$C$76)&lt;=Inputs!$C$74," weekday"," weekend"),Utility_Rates!$C$28:$F$28,Inputs!$C$68)),"")</f>
      </c>
      <c r="H7840" s="34"/>
      <c r="I7840" s="42">
        <f>IF(AND(ISNUMBER(D7840),ISNUMBER(H7840)),D7840*H7840*Inputs!$C$69,"")</f>
      </c>
      <c r="J7840" s="42">
        <f>IF(AND(ISNUMBER(F7840),ISNUMBER(H7840),F7840&gt;=Inputs!$C$68),F7840*H7840*Inputs!$C$69,"")</f>
      </c>
    </row>
    <row r="7841" spans="2:10" ht="15" customHeight="1" x14ac:dyDescent="0.2">
      <c r="B7841" s="39">
        <f t="shared" si="60"/>
      </c>
      <c r="C7841" s="40">
        <f>IF(Inputs!$C$60,Inputs!$C$11+(B7841-Inputs!$C$69)/Inputs!$C$70,"")</f>
      </c>
      <c r="D7841" s="15"/>
      <c r="E7841" s="15"/>
      <c r="F7841" s="11">
        <f t="shared" si="61"/>
      </c>
      <c r="G7841" s="22" cm="1">
        <f t="array" ref="G7841">IF(AND(Inputs!$C$60,Inputs!$C$61),INDEX(Utility_Rates!$C$29:$F$52,HOUR(C7841)+Inputs!$C$69,MATCH(INDEX(Utility_Rates!$K$6:$K$17,MONTH(C7841))&amp;IF(WEEKDAY(C7841,Inputs!$C$76)&lt;=Inputs!$C$74," weekday"," weekend"),Utility_Rates!$C$28:$F$28,Inputs!$C$68)),"")</f>
      </c>
      <c r="H7841" s="34"/>
      <c r="I7841" s="42">
        <f>IF(AND(ISNUMBER(D7841),ISNUMBER(H7841)),D7841*H7841*Inputs!$C$69,"")</f>
      </c>
      <c r="J7841" s="42">
        <f>IF(AND(ISNUMBER(F7841),ISNUMBER(H7841),F7841&gt;=Inputs!$C$68),F7841*H7841*Inputs!$C$69,"")</f>
      </c>
    </row>
    <row r="7842" spans="2:10" ht="15" customHeight="1" x14ac:dyDescent="0.2">
      <c r="B7842" s="39">
        <f t="shared" si="60"/>
      </c>
      <c r="C7842" s="40">
        <f>IF(Inputs!$C$60,Inputs!$C$11+(B7842-Inputs!$C$69)/Inputs!$C$70,"")</f>
      </c>
      <c r="D7842" s="15"/>
      <c r="E7842" s="15"/>
      <c r="F7842" s="11">
        <f t="shared" si="61"/>
      </c>
      <c r="G7842" s="22" cm="1">
        <f t="array" ref="G7842">IF(AND(Inputs!$C$60,Inputs!$C$61),INDEX(Utility_Rates!$C$29:$F$52,HOUR(C7842)+Inputs!$C$69,MATCH(INDEX(Utility_Rates!$K$6:$K$17,MONTH(C7842))&amp;IF(WEEKDAY(C7842,Inputs!$C$76)&lt;=Inputs!$C$74," weekday"," weekend"),Utility_Rates!$C$28:$F$28,Inputs!$C$68)),"")</f>
      </c>
      <c r="H7842" s="34"/>
      <c r="I7842" s="42">
        <f>IF(AND(ISNUMBER(D7842),ISNUMBER(H7842)),D7842*H7842*Inputs!$C$69,"")</f>
      </c>
      <c r="J7842" s="42">
        <f>IF(AND(ISNUMBER(F7842),ISNUMBER(H7842),F7842&gt;=Inputs!$C$68),F7842*H7842*Inputs!$C$69,"")</f>
      </c>
    </row>
    <row r="7843" spans="2:10" ht="15" customHeight="1" x14ac:dyDescent="0.2">
      <c r="B7843" s="39">
        <f t="shared" si="60"/>
      </c>
      <c r="C7843" s="40">
        <f>IF(Inputs!$C$60,Inputs!$C$11+(B7843-Inputs!$C$69)/Inputs!$C$70,"")</f>
      </c>
      <c r="D7843" s="15"/>
      <c r="E7843" s="15"/>
      <c r="F7843" s="11">
        <f t="shared" si="61"/>
      </c>
      <c r="G7843" s="22" cm="1">
        <f t="array" ref="G7843">IF(AND(Inputs!$C$60,Inputs!$C$61),INDEX(Utility_Rates!$C$29:$F$52,HOUR(C7843)+Inputs!$C$69,MATCH(INDEX(Utility_Rates!$K$6:$K$17,MONTH(C7843))&amp;IF(WEEKDAY(C7843,Inputs!$C$76)&lt;=Inputs!$C$74," weekday"," weekend"),Utility_Rates!$C$28:$F$28,Inputs!$C$68)),"")</f>
      </c>
      <c r="H7843" s="34"/>
      <c r="I7843" s="42">
        <f>IF(AND(ISNUMBER(D7843),ISNUMBER(H7843)),D7843*H7843*Inputs!$C$69,"")</f>
      </c>
      <c r="J7843" s="42">
        <f>IF(AND(ISNUMBER(F7843),ISNUMBER(H7843),F7843&gt;=Inputs!$C$68),F7843*H7843*Inputs!$C$69,"")</f>
      </c>
    </row>
    <row r="7844" spans="2:10" ht="15" customHeight="1" x14ac:dyDescent="0.2">
      <c r="B7844" s="39">
        <f t="shared" si="60"/>
      </c>
      <c r="C7844" s="40">
        <f>IF(Inputs!$C$60,Inputs!$C$11+(B7844-Inputs!$C$69)/Inputs!$C$70,"")</f>
      </c>
      <c r="D7844" s="15"/>
      <c r="E7844" s="15"/>
      <c r="F7844" s="11">
        <f t="shared" si="61"/>
      </c>
      <c r="G7844" s="22" cm="1">
        <f t="array" ref="G7844">IF(AND(Inputs!$C$60,Inputs!$C$61),INDEX(Utility_Rates!$C$29:$F$52,HOUR(C7844)+Inputs!$C$69,MATCH(INDEX(Utility_Rates!$K$6:$K$17,MONTH(C7844))&amp;IF(WEEKDAY(C7844,Inputs!$C$76)&lt;=Inputs!$C$74," weekday"," weekend"),Utility_Rates!$C$28:$F$28,Inputs!$C$68)),"")</f>
      </c>
      <c r="H7844" s="34"/>
      <c r="I7844" s="42">
        <f>IF(AND(ISNUMBER(D7844),ISNUMBER(H7844)),D7844*H7844*Inputs!$C$69,"")</f>
      </c>
      <c r="J7844" s="42">
        <f>IF(AND(ISNUMBER(F7844),ISNUMBER(H7844),F7844&gt;=Inputs!$C$68),F7844*H7844*Inputs!$C$69,"")</f>
      </c>
    </row>
    <row r="7845" spans="2:10" ht="15" customHeight="1" x14ac:dyDescent="0.2">
      <c r="B7845" s="39">
        <f t="shared" si="60"/>
      </c>
      <c r="C7845" s="40">
        <f>IF(Inputs!$C$60,Inputs!$C$11+(B7845-Inputs!$C$69)/Inputs!$C$70,"")</f>
      </c>
      <c r="D7845" s="15"/>
      <c r="E7845" s="15"/>
      <c r="F7845" s="11">
        <f t="shared" si="61"/>
      </c>
      <c r="G7845" s="22" cm="1">
        <f t="array" ref="G7845">IF(AND(Inputs!$C$60,Inputs!$C$61),INDEX(Utility_Rates!$C$29:$F$52,HOUR(C7845)+Inputs!$C$69,MATCH(INDEX(Utility_Rates!$K$6:$K$17,MONTH(C7845))&amp;IF(WEEKDAY(C7845,Inputs!$C$76)&lt;=Inputs!$C$74," weekday"," weekend"),Utility_Rates!$C$28:$F$28,Inputs!$C$68)),"")</f>
      </c>
      <c r="H7845" s="34"/>
      <c r="I7845" s="42">
        <f>IF(AND(ISNUMBER(D7845),ISNUMBER(H7845)),D7845*H7845*Inputs!$C$69,"")</f>
      </c>
      <c r="J7845" s="42">
        <f>IF(AND(ISNUMBER(F7845),ISNUMBER(H7845),F7845&gt;=Inputs!$C$68),F7845*H7845*Inputs!$C$69,"")</f>
      </c>
    </row>
    <row r="7846" spans="2:10" ht="15" customHeight="1" x14ac:dyDescent="0.2">
      <c r="B7846" s="39">
        <f t="shared" si="60"/>
      </c>
      <c r="C7846" s="40">
        <f>IF(Inputs!$C$60,Inputs!$C$11+(B7846-Inputs!$C$69)/Inputs!$C$70,"")</f>
      </c>
      <c r="D7846" s="15"/>
      <c r="E7846" s="15"/>
      <c r="F7846" s="11">
        <f t="shared" si="61"/>
      </c>
      <c r="G7846" s="22" cm="1">
        <f t="array" ref="G7846">IF(AND(Inputs!$C$60,Inputs!$C$61),INDEX(Utility_Rates!$C$29:$F$52,HOUR(C7846)+Inputs!$C$69,MATCH(INDEX(Utility_Rates!$K$6:$K$17,MONTH(C7846))&amp;IF(WEEKDAY(C7846,Inputs!$C$76)&lt;=Inputs!$C$74," weekday"," weekend"),Utility_Rates!$C$28:$F$28,Inputs!$C$68)),"")</f>
      </c>
      <c r="H7846" s="34"/>
      <c r="I7846" s="42">
        <f>IF(AND(ISNUMBER(D7846),ISNUMBER(H7846)),D7846*H7846*Inputs!$C$69,"")</f>
      </c>
      <c r="J7846" s="42">
        <f>IF(AND(ISNUMBER(F7846),ISNUMBER(H7846),F7846&gt;=Inputs!$C$68),F7846*H7846*Inputs!$C$69,"")</f>
      </c>
    </row>
    <row r="7847" spans="2:10" ht="15" customHeight="1" x14ac:dyDescent="0.2">
      <c r="B7847" s="39">
        <f t="shared" si="60"/>
      </c>
      <c r="C7847" s="40">
        <f>IF(Inputs!$C$60,Inputs!$C$11+(B7847-Inputs!$C$69)/Inputs!$C$70,"")</f>
      </c>
      <c r="D7847" s="15"/>
      <c r="E7847" s="15"/>
      <c r="F7847" s="11">
        <f t="shared" si="61"/>
      </c>
      <c r="G7847" s="22" cm="1">
        <f t="array" ref="G7847">IF(AND(Inputs!$C$60,Inputs!$C$61),INDEX(Utility_Rates!$C$29:$F$52,HOUR(C7847)+Inputs!$C$69,MATCH(INDEX(Utility_Rates!$K$6:$K$17,MONTH(C7847))&amp;IF(WEEKDAY(C7847,Inputs!$C$76)&lt;=Inputs!$C$74," weekday"," weekend"),Utility_Rates!$C$28:$F$28,Inputs!$C$68)),"")</f>
      </c>
      <c r="H7847" s="34"/>
      <c r="I7847" s="42">
        <f>IF(AND(ISNUMBER(D7847),ISNUMBER(H7847)),D7847*H7847*Inputs!$C$69,"")</f>
      </c>
      <c r="J7847" s="42">
        <f>IF(AND(ISNUMBER(F7847),ISNUMBER(H7847),F7847&gt;=Inputs!$C$68),F7847*H7847*Inputs!$C$69,"")</f>
      </c>
    </row>
    <row r="7848" spans="2:10" ht="15" customHeight="1" x14ac:dyDescent="0.2">
      <c r="B7848" s="39">
        <f t="shared" si="60"/>
      </c>
      <c r="C7848" s="40">
        <f>IF(Inputs!$C$60,Inputs!$C$11+(B7848-Inputs!$C$69)/Inputs!$C$70,"")</f>
      </c>
      <c r="D7848" s="15"/>
      <c r="E7848" s="15"/>
      <c r="F7848" s="11">
        <f t="shared" si="61"/>
      </c>
      <c r="G7848" s="22" cm="1">
        <f t="array" ref="G7848">IF(AND(Inputs!$C$60,Inputs!$C$61),INDEX(Utility_Rates!$C$29:$F$52,HOUR(C7848)+Inputs!$C$69,MATCH(INDEX(Utility_Rates!$K$6:$K$17,MONTH(C7848))&amp;IF(WEEKDAY(C7848,Inputs!$C$76)&lt;=Inputs!$C$74," weekday"," weekend"),Utility_Rates!$C$28:$F$28,Inputs!$C$68)),"")</f>
      </c>
      <c r="H7848" s="34"/>
      <c r="I7848" s="42">
        <f>IF(AND(ISNUMBER(D7848),ISNUMBER(H7848)),D7848*H7848*Inputs!$C$69,"")</f>
      </c>
      <c r="J7848" s="42">
        <f>IF(AND(ISNUMBER(F7848),ISNUMBER(H7848),F7848&gt;=Inputs!$C$68),F7848*H7848*Inputs!$C$69,"")</f>
      </c>
    </row>
    <row r="7849" spans="2:10" ht="15" customHeight="1" x14ac:dyDescent="0.2">
      <c r="B7849" s="39">
        <f t="shared" si="60"/>
      </c>
      <c r="C7849" s="40">
        <f>IF(Inputs!$C$60,Inputs!$C$11+(B7849-Inputs!$C$69)/Inputs!$C$70,"")</f>
      </c>
      <c r="D7849" s="15"/>
      <c r="E7849" s="15"/>
      <c r="F7849" s="11">
        <f t="shared" si="61"/>
      </c>
      <c r="G7849" s="22" cm="1">
        <f t="array" ref="G7849">IF(AND(Inputs!$C$60,Inputs!$C$61),INDEX(Utility_Rates!$C$29:$F$52,HOUR(C7849)+Inputs!$C$69,MATCH(INDEX(Utility_Rates!$K$6:$K$17,MONTH(C7849))&amp;IF(WEEKDAY(C7849,Inputs!$C$76)&lt;=Inputs!$C$74," weekday"," weekend"),Utility_Rates!$C$28:$F$28,Inputs!$C$68)),"")</f>
      </c>
      <c r="H7849" s="34"/>
      <c r="I7849" s="42">
        <f>IF(AND(ISNUMBER(D7849),ISNUMBER(H7849)),D7849*H7849*Inputs!$C$69,"")</f>
      </c>
      <c r="J7849" s="42">
        <f>IF(AND(ISNUMBER(F7849),ISNUMBER(H7849),F7849&gt;=Inputs!$C$68),F7849*H7849*Inputs!$C$69,"")</f>
      </c>
    </row>
    <row r="7850" spans="2:10" ht="15" customHeight="1" x14ac:dyDescent="0.2">
      <c r="B7850" s="39">
        <f t="shared" si="60"/>
      </c>
      <c r="C7850" s="40">
        <f>IF(Inputs!$C$60,Inputs!$C$11+(B7850-Inputs!$C$69)/Inputs!$C$70,"")</f>
      </c>
      <c r="D7850" s="15"/>
      <c r="E7850" s="15"/>
      <c r="F7850" s="11">
        <f t="shared" si="61"/>
      </c>
      <c r="G7850" s="22" cm="1">
        <f t="array" ref="G7850">IF(AND(Inputs!$C$60,Inputs!$C$61),INDEX(Utility_Rates!$C$29:$F$52,HOUR(C7850)+Inputs!$C$69,MATCH(INDEX(Utility_Rates!$K$6:$K$17,MONTH(C7850))&amp;IF(WEEKDAY(C7850,Inputs!$C$76)&lt;=Inputs!$C$74," weekday"," weekend"),Utility_Rates!$C$28:$F$28,Inputs!$C$68)),"")</f>
      </c>
      <c r="H7850" s="34"/>
      <c r="I7850" s="42">
        <f>IF(AND(ISNUMBER(D7850),ISNUMBER(H7850)),D7850*H7850*Inputs!$C$69,"")</f>
      </c>
      <c r="J7850" s="42">
        <f>IF(AND(ISNUMBER(F7850),ISNUMBER(H7850),F7850&gt;=Inputs!$C$68),F7850*H7850*Inputs!$C$69,"")</f>
      </c>
    </row>
    <row r="7851" spans="2:10" ht="15" customHeight="1" x14ac:dyDescent="0.2">
      <c r="B7851" s="39">
        <f t="shared" si="60"/>
      </c>
      <c r="C7851" s="40">
        <f>IF(Inputs!$C$60,Inputs!$C$11+(B7851-Inputs!$C$69)/Inputs!$C$70,"")</f>
      </c>
      <c r="D7851" s="15"/>
      <c r="E7851" s="15"/>
      <c r="F7851" s="11">
        <f t="shared" si="61"/>
      </c>
      <c r="G7851" s="22" cm="1">
        <f t="array" ref="G7851">IF(AND(Inputs!$C$60,Inputs!$C$61),INDEX(Utility_Rates!$C$29:$F$52,HOUR(C7851)+Inputs!$C$69,MATCH(INDEX(Utility_Rates!$K$6:$K$17,MONTH(C7851))&amp;IF(WEEKDAY(C7851,Inputs!$C$76)&lt;=Inputs!$C$74," weekday"," weekend"),Utility_Rates!$C$28:$F$28,Inputs!$C$68)),"")</f>
      </c>
      <c r="H7851" s="34"/>
      <c r="I7851" s="42">
        <f>IF(AND(ISNUMBER(D7851),ISNUMBER(H7851)),D7851*H7851*Inputs!$C$69,"")</f>
      </c>
      <c r="J7851" s="42">
        <f>IF(AND(ISNUMBER(F7851),ISNUMBER(H7851),F7851&gt;=Inputs!$C$68),F7851*H7851*Inputs!$C$69,"")</f>
      </c>
    </row>
    <row r="7852" spans="2:10" ht="15" customHeight="1" x14ac:dyDescent="0.2">
      <c r="B7852" s="39">
        <f t="shared" si="60"/>
      </c>
      <c r="C7852" s="40">
        <f>IF(Inputs!$C$60,Inputs!$C$11+(B7852-Inputs!$C$69)/Inputs!$C$70,"")</f>
      </c>
      <c r="D7852" s="15"/>
      <c r="E7852" s="15"/>
      <c r="F7852" s="11">
        <f t="shared" si="61"/>
      </c>
      <c r="G7852" s="22" cm="1">
        <f t="array" ref="G7852">IF(AND(Inputs!$C$60,Inputs!$C$61),INDEX(Utility_Rates!$C$29:$F$52,HOUR(C7852)+Inputs!$C$69,MATCH(INDEX(Utility_Rates!$K$6:$K$17,MONTH(C7852))&amp;IF(WEEKDAY(C7852,Inputs!$C$76)&lt;=Inputs!$C$74," weekday"," weekend"),Utility_Rates!$C$28:$F$28,Inputs!$C$68)),"")</f>
      </c>
      <c r="H7852" s="34"/>
      <c r="I7852" s="42">
        <f>IF(AND(ISNUMBER(D7852),ISNUMBER(H7852)),D7852*H7852*Inputs!$C$69,"")</f>
      </c>
      <c r="J7852" s="42">
        <f>IF(AND(ISNUMBER(F7852),ISNUMBER(H7852),F7852&gt;=Inputs!$C$68),F7852*H7852*Inputs!$C$69,"")</f>
      </c>
    </row>
    <row r="7853" spans="2:10" ht="15" customHeight="1" x14ac:dyDescent="0.2">
      <c r="B7853" s="39">
        <f t="shared" si="60"/>
      </c>
      <c r="C7853" s="40">
        <f>IF(Inputs!$C$60,Inputs!$C$11+(B7853-Inputs!$C$69)/Inputs!$C$70,"")</f>
      </c>
      <c r="D7853" s="15"/>
      <c r="E7853" s="15"/>
      <c r="F7853" s="11">
        <f t="shared" si="61"/>
      </c>
      <c r="G7853" s="22" cm="1">
        <f t="array" ref="G7853">IF(AND(Inputs!$C$60,Inputs!$C$61),INDEX(Utility_Rates!$C$29:$F$52,HOUR(C7853)+Inputs!$C$69,MATCH(INDEX(Utility_Rates!$K$6:$K$17,MONTH(C7853))&amp;IF(WEEKDAY(C7853,Inputs!$C$76)&lt;=Inputs!$C$74," weekday"," weekend"),Utility_Rates!$C$28:$F$28,Inputs!$C$68)),"")</f>
      </c>
      <c r="H7853" s="34"/>
      <c r="I7853" s="42">
        <f>IF(AND(ISNUMBER(D7853),ISNUMBER(H7853)),D7853*H7853*Inputs!$C$69,"")</f>
      </c>
      <c r="J7853" s="42">
        <f>IF(AND(ISNUMBER(F7853),ISNUMBER(H7853),F7853&gt;=Inputs!$C$68),F7853*H7853*Inputs!$C$69,"")</f>
      </c>
    </row>
    <row r="7854" spans="2:10" ht="15" customHeight="1" x14ac:dyDescent="0.2">
      <c r="B7854" s="39">
        <f t="shared" si="60"/>
      </c>
      <c r="C7854" s="40">
        <f>IF(Inputs!$C$60,Inputs!$C$11+(B7854-Inputs!$C$69)/Inputs!$C$70,"")</f>
      </c>
      <c r="D7854" s="15"/>
      <c r="E7854" s="15"/>
      <c r="F7854" s="11">
        <f t="shared" si="61"/>
      </c>
      <c r="G7854" s="22" cm="1">
        <f t="array" ref="G7854">IF(AND(Inputs!$C$60,Inputs!$C$61),INDEX(Utility_Rates!$C$29:$F$52,HOUR(C7854)+Inputs!$C$69,MATCH(INDEX(Utility_Rates!$K$6:$K$17,MONTH(C7854))&amp;IF(WEEKDAY(C7854,Inputs!$C$76)&lt;=Inputs!$C$74," weekday"," weekend"),Utility_Rates!$C$28:$F$28,Inputs!$C$68)),"")</f>
      </c>
      <c r="H7854" s="34"/>
      <c r="I7854" s="42">
        <f>IF(AND(ISNUMBER(D7854),ISNUMBER(H7854)),D7854*H7854*Inputs!$C$69,"")</f>
      </c>
      <c r="J7854" s="42">
        <f>IF(AND(ISNUMBER(F7854),ISNUMBER(H7854),F7854&gt;=Inputs!$C$68),F7854*H7854*Inputs!$C$69,"")</f>
      </c>
    </row>
    <row r="7855" spans="2:10" ht="15" customHeight="1" x14ac:dyDescent="0.2">
      <c r="B7855" s="39">
        <f t="shared" si="60"/>
      </c>
      <c r="C7855" s="40">
        <f>IF(Inputs!$C$60,Inputs!$C$11+(B7855-Inputs!$C$69)/Inputs!$C$70,"")</f>
      </c>
      <c r="D7855" s="15"/>
      <c r="E7855" s="15"/>
      <c r="F7855" s="11">
        <f t="shared" si="61"/>
      </c>
      <c r="G7855" s="22" cm="1">
        <f t="array" ref="G7855">IF(AND(Inputs!$C$60,Inputs!$C$61),INDEX(Utility_Rates!$C$29:$F$52,HOUR(C7855)+Inputs!$C$69,MATCH(INDEX(Utility_Rates!$K$6:$K$17,MONTH(C7855))&amp;IF(WEEKDAY(C7855,Inputs!$C$76)&lt;=Inputs!$C$74," weekday"," weekend"),Utility_Rates!$C$28:$F$28,Inputs!$C$68)),"")</f>
      </c>
      <c r="H7855" s="34"/>
      <c r="I7855" s="42">
        <f>IF(AND(ISNUMBER(D7855),ISNUMBER(H7855)),D7855*H7855*Inputs!$C$69,"")</f>
      </c>
      <c r="J7855" s="42">
        <f>IF(AND(ISNUMBER(F7855),ISNUMBER(H7855),F7855&gt;=Inputs!$C$68),F7855*H7855*Inputs!$C$69,"")</f>
      </c>
    </row>
    <row r="7856" spans="2:10" ht="15" customHeight="1" x14ac:dyDescent="0.2">
      <c r="B7856" s="39">
        <f t="shared" si="60"/>
      </c>
      <c r="C7856" s="40">
        <f>IF(Inputs!$C$60,Inputs!$C$11+(B7856-Inputs!$C$69)/Inputs!$C$70,"")</f>
      </c>
      <c r="D7856" s="15"/>
      <c r="E7856" s="15"/>
      <c r="F7856" s="11">
        <f t="shared" si="61"/>
      </c>
      <c r="G7856" s="22" cm="1">
        <f t="array" ref="G7856">IF(AND(Inputs!$C$60,Inputs!$C$61),INDEX(Utility_Rates!$C$29:$F$52,HOUR(C7856)+Inputs!$C$69,MATCH(INDEX(Utility_Rates!$K$6:$K$17,MONTH(C7856))&amp;IF(WEEKDAY(C7856,Inputs!$C$76)&lt;=Inputs!$C$74," weekday"," weekend"),Utility_Rates!$C$28:$F$28,Inputs!$C$68)),"")</f>
      </c>
      <c r="H7856" s="34"/>
      <c r="I7856" s="42">
        <f>IF(AND(ISNUMBER(D7856),ISNUMBER(H7856)),D7856*H7856*Inputs!$C$69,"")</f>
      </c>
      <c r="J7856" s="42">
        <f>IF(AND(ISNUMBER(F7856),ISNUMBER(H7856),F7856&gt;=Inputs!$C$68),F7856*H7856*Inputs!$C$69,"")</f>
      </c>
    </row>
    <row r="7857" spans="2:10" ht="15" customHeight="1" x14ac:dyDescent="0.2">
      <c r="B7857" s="39">
        <f t="shared" si="60"/>
      </c>
      <c r="C7857" s="40">
        <f>IF(Inputs!$C$60,Inputs!$C$11+(B7857-Inputs!$C$69)/Inputs!$C$70,"")</f>
      </c>
      <c r="D7857" s="15"/>
      <c r="E7857" s="15"/>
      <c r="F7857" s="11">
        <f t="shared" si="61"/>
      </c>
      <c r="G7857" s="22" cm="1">
        <f t="array" ref="G7857">IF(AND(Inputs!$C$60,Inputs!$C$61),INDEX(Utility_Rates!$C$29:$F$52,HOUR(C7857)+Inputs!$C$69,MATCH(INDEX(Utility_Rates!$K$6:$K$17,MONTH(C7857))&amp;IF(WEEKDAY(C7857,Inputs!$C$76)&lt;=Inputs!$C$74," weekday"," weekend"),Utility_Rates!$C$28:$F$28,Inputs!$C$68)),"")</f>
      </c>
      <c r="H7857" s="34"/>
      <c r="I7857" s="42">
        <f>IF(AND(ISNUMBER(D7857),ISNUMBER(H7857)),D7857*H7857*Inputs!$C$69,"")</f>
      </c>
      <c r="J7857" s="42">
        <f>IF(AND(ISNUMBER(F7857),ISNUMBER(H7857),F7857&gt;=Inputs!$C$68),F7857*H7857*Inputs!$C$69,"")</f>
      </c>
    </row>
    <row r="7858" spans="2:10" ht="15" customHeight="1" x14ac:dyDescent="0.2">
      <c r="B7858" s="39">
        <f t="shared" si="60"/>
      </c>
      <c r="C7858" s="40">
        <f>IF(Inputs!$C$60,Inputs!$C$11+(B7858-Inputs!$C$69)/Inputs!$C$70,"")</f>
      </c>
      <c r="D7858" s="15"/>
      <c r="E7858" s="15"/>
      <c r="F7858" s="11">
        <f t="shared" si="61"/>
      </c>
      <c r="G7858" s="22" cm="1">
        <f t="array" ref="G7858">IF(AND(Inputs!$C$60,Inputs!$C$61),INDEX(Utility_Rates!$C$29:$F$52,HOUR(C7858)+Inputs!$C$69,MATCH(INDEX(Utility_Rates!$K$6:$K$17,MONTH(C7858))&amp;IF(WEEKDAY(C7858,Inputs!$C$76)&lt;=Inputs!$C$74," weekday"," weekend"),Utility_Rates!$C$28:$F$28,Inputs!$C$68)),"")</f>
      </c>
      <c r="H7858" s="34"/>
      <c r="I7858" s="42">
        <f>IF(AND(ISNUMBER(D7858),ISNUMBER(H7858)),D7858*H7858*Inputs!$C$69,"")</f>
      </c>
      <c r="J7858" s="42">
        <f>IF(AND(ISNUMBER(F7858),ISNUMBER(H7858),F7858&gt;=Inputs!$C$68),F7858*H7858*Inputs!$C$69,"")</f>
      </c>
    </row>
    <row r="7859" spans="2:10" ht="15" customHeight="1" x14ac:dyDescent="0.2">
      <c r="B7859" s="39">
        <f t="shared" si="60"/>
      </c>
      <c r="C7859" s="40">
        <f>IF(Inputs!$C$60,Inputs!$C$11+(B7859-Inputs!$C$69)/Inputs!$C$70,"")</f>
      </c>
      <c r="D7859" s="15"/>
      <c r="E7859" s="15"/>
      <c r="F7859" s="11">
        <f t="shared" si="61"/>
      </c>
      <c r="G7859" s="22" cm="1">
        <f t="array" ref="G7859">IF(AND(Inputs!$C$60,Inputs!$C$61),INDEX(Utility_Rates!$C$29:$F$52,HOUR(C7859)+Inputs!$C$69,MATCH(INDEX(Utility_Rates!$K$6:$K$17,MONTH(C7859))&amp;IF(WEEKDAY(C7859,Inputs!$C$76)&lt;=Inputs!$C$74," weekday"," weekend"),Utility_Rates!$C$28:$F$28,Inputs!$C$68)),"")</f>
      </c>
      <c r="H7859" s="34"/>
      <c r="I7859" s="42">
        <f>IF(AND(ISNUMBER(D7859),ISNUMBER(H7859)),D7859*H7859*Inputs!$C$69,"")</f>
      </c>
      <c r="J7859" s="42">
        <f>IF(AND(ISNUMBER(F7859),ISNUMBER(H7859),F7859&gt;=Inputs!$C$68),F7859*H7859*Inputs!$C$69,"")</f>
      </c>
    </row>
    <row r="7860" spans="2:10" ht="15" customHeight="1" x14ac:dyDescent="0.2">
      <c r="B7860" s="39">
        <f t="shared" si="60"/>
      </c>
      <c r="C7860" s="40">
        <f>IF(Inputs!$C$60,Inputs!$C$11+(B7860-Inputs!$C$69)/Inputs!$C$70,"")</f>
      </c>
      <c r="D7860" s="15"/>
      <c r="E7860" s="15"/>
      <c r="F7860" s="11">
        <f t="shared" si="61"/>
      </c>
      <c r="G7860" s="22" cm="1">
        <f t="array" ref="G7860">IF(AND(Inputs!$C$60,Inputs!$C$61),INDEX(Utility_Rates!$C$29:$F$52,HOUR(C7860)+Inputs!$C$69,MATCH(INDEX(Utility_Rates!$K$6:$K$17,MONTH(C7860))&amp;IF(WEEKDAY(C7860,Inputs!$C$76)&lt;=Inputs!$C$74," weekday"," weekend"),Utility_Rates!$C$28:$F$28,Inputs!$C$68)),"")</f>
      </c>
      <c r="H7860" s="34"/>
      <c r="I7860" s="42">
        <f>IF(AND(ISNUMBER(D7860),ISNUMBER(H7860)),D7860*H7860*Inputs!$C$69,"")</f>
      </c>
      <c r="J7860" s="42">
        <f>IF(AND(ISNUMBER(F7860),ISNUMBER(H7860),F7860&gt;=Inputs!$C$68),F7860*H7860*Inputs!$C$69,"")</f>
      </c>
    </row>
    <row r="7861" spans="2:10" ht="15" customHeight="1" x14ac:dyDescent="0.2">
      <c r="B7861" s="39">
        <f t="shared" si="60"/>
      </c>
      <c r="C7861" s="40">
        <f>IF(Inputs!$C$60,Inputs!$C$11+(B7861-Inputs!$C$69)/Inputs!$C$70,"")</f>
      </c>
      <c r="D7861" s="15"/>
      <c r="E7861" s="15"/>
      <c r="F7861" s="11">
        <f t="shared" si="61"/>
      </c>
      <c r="G7861" s="22" cm="1">
        <f t="array" ref="G7861">IF(AND(Inputs!$C$60,Inputs!$C$61),INDEX(Utility_Rates!$C$29:$F$52,HOUR(C7861)+Inputs!$C$69,MATCH(INDEX(Utility_Rates!$K$6:$K$17,MONTH(C7861))&amp;IF(WEEKDAY(C7861,Inputs!$C$76)&lt;=Inputs!$C$74," weekday"," weekend"),Utility_Rates!$C$28:$F$28,Inputs!$C$68)),"")</f>
      </c>
      <c r="H7861" s="34"/>
      <c r="I7861" s="42">
        <f>IF(AND(ISNUMBER(D7861),ISNUMBER(H7861)),D7861*H7861*Inputs!$C$69,"")</f>
      </c>
      <c r="J7861" s="42">
        <f>IF(AND(ISNUMBER(F7861),ISNUMBER(H7861),F7861&gt;=Inputs!$C$68),F7861*H7861*Inputs!$C$69,"")</f>
      </c>
    </row>
    <row r="7862" spans="2:10" ht="15" customHeight="1" x14ac:dyDescent="0.2">
      <c r="B7862" s="39">
        <f t="shared" si="60"/>
      </c>
      <c r="C7862" s="40">
        <f>IF(Inputs!$C$60,Inputs!$C$11+(B7862-Inputs!$C$69)/Inputs!$C$70,"")</f>
      </c>
      <c r="D7862" s="15"/>
      <c r="E7862" s="15"/>
      <c r="F7862" s="11">
        <f t="shared" si="61"/>
      </c>
      <c r="G7862" s="22" cm="1">
        <f t="array" ref="G7862">IF(AND(Inputs!$C$60,Inputs!$C$61),INDEX(Utility_Rates!$C$29:$F$52,HOUR(C7862)+Inputs!$C$69,MATCH(INDEX(Utility_Rates!$K$6:$K$17,MONTH(C7862))&amp;IF(WEEKDAY(C7862,Inputs!$C$76)&lt;=Inputs!$C$74," weekday"," weekend"),Utility_Rates!$C$28:$F$28,Inputs!$C$68)),"")</f>
      </c>
      <c r="H7862" s="34"/>
      <c r="I7862" s="42">
        <f>IF(AND(ISNUMBER(D7862),ISNUMBER(H7862)),D7862*H7862*Inputs!$C$69,"")</f>
      </c>
      <c r="J7862" s="42">
        <f>IF(AND(ISNUMBER(F7862),ISNUMBER(H7862),F7862&gt;=Inputs!$C$68),F7862*H7862*Inputs!$C$69,"")</f>
      </c>
    </row>
    <row r="7863" spans="2:10" ht="15" customHeight="1" x14ac:dyDescent="0.2">
      <c r="B7863" s="39">
        <f t="shared" si="60"/>
      </c>
      <c r="C7863" s="40">
        <f>IF(Inputs!$C$60,Inputs!$C$11+(B7863-Inputs!$C$69)/Inputs!$C$70,"")</f>
      </c>
      <c r="D7863" s="15"/>
      <c r="E7863" s="15"/>
      <c r="F7863" s="11">
        <f t="shared" si="61"/>
      </c>
      <c r="G7863" s="22" cm="1">
        <f t="array" ref="G7863">IF(AND(Inputs!$C$60,Inputs!$C$61),INDEX(Utility_Rates!$C$29:$F$52,HOUR(C7863)+Inputs!$C$69,MATCH(INDEX(Utility_Rates!$K$6:$K$17,MONTH(C7863))&amp;IF(WEEKDAY(C7863,Inputs!$C$76)&lt;=Inputs!$C$74," weekday"," weekend"),Utility_Rates!$C$28:$F$28,Inputs!$C$68)),"")</f>
      </c>
      <c r="H7863" s="34"/>
      <c r="I7863" s="42">
        <f>IF(AND(ISNUMBER(D7863),ISNUMBER(H7863)),D7863*H7863*Inputs!$C$69,"")</f>
      </c>
      <c r="J7863" s="42">
        <f>IF(AND(ISNUMBER(F7863),ISNUMBER(H7863),F7863&gt;=Inputs!$C$68),F7863*H7863*Inputs!$C$69,"")</f>
      </c>
    </row>
    <row r="7864" spans="2:10" ht="15" customHeight="1" x14ac:dyDescent="0.2">
      <c r="B7864" s="39">
        <f t="shared" si="60"/>
      </c>
      <c r="C7864" s="40">
        <f>IF(Inputs!$C$60,Inputs!$C$11+(B7864-Inputs!$C$69)/Inputs!$C$70,"")</f>
      </c>
      <c r="D7864" s="15"/>
      <c r="E7864" s="15"/>
      <c r="F7864" s="11">
        <f t="shared" si="61"/>
      </c>
      <c r="G7864" s="22" cm="1">
        <f t="array" ref="G7864">IF(AND(Inputs!$C$60,Inputs!$C$61),INDEX(Utility_Rates!$C$29:$F$52,HOUR(C7864)+Inputs!$C$69,MATCH(INDEX(Utility_Rates!$K$6:$K$17,MONTH(C7864))&amp;IF(WEEKDAY(C7864,Inputs!$C$76)&lt;=Inputs!$C$74," weekday"," weekend"),Utility_Rates!$C$28:$F$28,Inputs!$C$68)),"")</f>
      </c>
      <c r="H7864" s="34"/>
      <c r="I7864" s="42">
        <f>IF(AND(ISNUMBER(D7864),ISNUMBER(H7864)),D7864*H7864*Inputs!$C$69,"")</f>
      </c>
      <c r="J7864" s="42">
        <f>IF(AND(ISNUMBER(F7864),ISNUMBER(H7864),F7864&gt;=Inputs!$C$68),F7864*H7864*Inputs!$C$69,"")</f>
      </c>
    </row>
    <row r="7865" spans="2:10" ht="15" customHeight="1" x14ac:dyDescent="0.2">
      <c r="B7865" s="39">
        <f t="shared" si="60"/>
      </c>
      <c r="C7865" s="40">
        <f>IF(Inputs!$C$60,Inputs!$C$11+(B7865-Inputs!$C$69)/Inputs!$C$70,"")</f>
      </c>
      <c r="D7865" s="15"/>
      <c r="E7865" s="15"/>
      <c r="F7865" s="11">
        <f t="shared" si="61"/>
      </c>
      <c r="G7865" s="22" cm="1">
        <f t="array" ref="G7865">IF(AND(Inputs!$C$60,Inputs!$C$61),INDEX(Utility_Rates!$C$29:$F$52,HOUR(C7865)+Inputs!$C$69,MATCH(INDEX(Utility_Rates!$K$6:$K$17,MONTH(C7865))&amp;IF(WEEKDAY(C7865,Inputs!$C$76)&lt;=Inputs!$C$74," weekday"," weekend"),Utility_Rates!$C$28:$F$28,Inputs!$C$68)),"")</f>
      </c>
      <c r="H7865" s="34"/>
      <c r="I7865" s="42">
        <f>IF(AND(ISNUMBER(D7865),ISNUMBER(H7865)),D7865*H7865*Inputs!$C$69,"")</f>
      </c>
      <c r="J7865" s="42">
        <f>IF(AND(ISNUMBER(F7865),ISNUMBER(H7865),F7865&gt;=Inputs!$C$68),F7865*H7865*Inputs!$C$69,"")</f>
      </c>
    </row>
    <row r="7866" spans="2:10" ht="15" customHeight="1" x14ac:dyDescent="0.2">
      <c r="B7866" s="39">
        <f t="shared" si="60"/>
      </c>
      <c r="C7866" s="40">
        <f>IF(Inputs!$C$60,Inputs!$C$11+(B7866-Inputs!$C$69)/Inputs!$C$70,"")</f>
      </c>
      <c r="D7866" s="15"/>
      <c r="E7866" s="15"/>
      <c r="F7866" s="11">
        <f t="shared" si="61"/>
      </c>
      <c r="G7866" s="22" cm="1">
        <f t="array" ref="G7866">IF(AND(Inputs!$C$60,Inputs!$C$61),INDEX(Utility_Rates!$C$29:$F$52,HOUR(C7866)+Inputs!$C$69,MATCH(INDEX(Utility_Rates!$K$6:$K$17,MONTH(C7866))&amp;IF(WEEKDAY(C7866,Inputs!$C$76)&lt;=Inputs!$C$74," weekday"," weekend"),Utility_Rates!$C$28:$F$28,Inputs!$C$68)),"")</f>
      </c>
      <c r="H7866" s="34"/>
      <c r="I7866" s="42">
        <f>IF(AND(ISNUMBER(D7866),ISNUMBER(H7866)),D7866*H7866*Inputs!$C$69,"")</f>
      </c>
      <c r="J7866" s="42">
        <f>IF(AND(ISNUMBER(F7866),ISNUMBER(H7866),F7866&gt;=Inputs!$C$68),F7866*H7866*Inputs!$C$69,"")</f>
      </c>
    </row>
    <row r="7867" spans="2:10" ht="15" customHeight="1" x14ac:dyDescent="0.2">
      <c r="B7867" s="39">
        <f t="shared" si="60"/>
      </c>
      <c r="C7867" s="40">
        <f>IF(Inputs!$C$60,Inputs!$C$11+(B7867-Inputs!$C$69)/Inputs!$C$70,"")</f>
      </c>
      <c r="D7867" s="15"/>
      <c r="E7867" s="15"/>
      <c r="F7867" s="11">
        <f t="shared" si="61"/>
      </c>
      <c r="G7867" s="22" cm="1">
        <f t="array" ref="G7867">IF(AND(Inputs!$C$60,Inputs!$C$61),INDEX(Utility_Rates!$C$29:$F$52,HOUR(C7867)+Inputs!$C$69,MATCH(INDEX(Utility_Rates!$K$6:$K$17,MONTH(C7867))&amp;IF(WEEKDAY(C7867,Inputs!$C$76)&lt;=Inputs!$C$74," weekday"," weekend"),Utility_Rates!$C$28:$F$28,Inputs!$C$68)),"")</f>
      </c>
      <c r="H7867" s="34"/>
      <c r="I7867" s="42">
        <f>IF(AND(ISNUMBER(D7867),ISNUMBER(H7867)),D7867*H7867*Inputs!$C$69,"")</f>
      </c>
      <c r="J7867" s="42">
        <f>IF(AND(ISNUMBER(F7867),ISNUMBER(H7867),F7867&gt;=Inputs!$C$68),F7867*H7867*Inputs!$C$69,"")</f>
      </c>
    </row>
    <row r="7868" spans="2:10" ht="15" customHeight="1" x14ac:dyDescent="0.2">
      <c r="B7868" s="39">
        <f t="shared" si="60"/>
      </c>
      <c r="C7868" s="40">
        <f>IF(Inputs!$C$60,Inputs!$C$11+(B7868-Inputs!$C$69)/Inputs!$C$70,"")</f>
      </c>
      <c r="D7868" s="15"/>
      <c r="E7868" s="15"/>
      <c r="F7868" s="11">
        <f t="shared" si="61"/>
      </c>
      <c r="G7868" s="22" cm="1">
        <f t="array" ref="G7868">IF(AND(Inputs!$C$60,Inputs!$C$61),INDEX(Utility_Rates!$C$29:$F$52,HOUR(C7868)+Inputs!$C$69,MATCH(INDEX(Utility_Rates!$K$6:$K$17,MONTH(C7868))&amp;IF(WEEKDAY(C7868,Inputs!$C$76)&lt;=Inputs!$C$74," weekday"," weekend"),Utility_Rates!$C$28:$F$28,Inputs!$C$68)),"")</f>
      </c>
      <c r="H7868" s="34"/>
      <c r="I7868" s="42">
        <f>IF(AND(ISNUMBER(D7868),ISNUMBER(H7868)),D7868*H7868*Inputs!$C$69,"")</f>
      </c>
      <c r="J7868" s="42">
        <f>IF(AND(ISNUMBER(F7868),ISNUMBER(H7868),F7868&gt;=Inputs!$C$68),F7868*H7868*Inputs!$C$69,"")</f>
      </c>
    </row>
    <row r="7869" spans="2:10" ht="15" customHeight="1" x14ac:dyDescent="0.2">
      <c r="B7869" s="39">
        <f t="shared" si="60"/>
      </c>
      <c r="C7869" s="40">
        <f>IF(Inputs!$C$60,Inputs!$C$11+(B7869-Inputs!$C$69)/Inputs!$C$70,"")</f>
      </c>
      <c r="D7869" s="15"/>
      <c r="E7869" s="15"/>
      <c r="F7869" s="11">
        <f t="shared" si="61"/>
      </c>
      <c r="G7869" s="22" cm="1">
        <f t="array" ref="G7869">IF(AND(Inputs!$C$60,Inputs!$C$61),INDEX(Utility_Rates!$C$29:$F$52,HOUR(C7869)+Inputs!$C$69,MATCH(INDEX(Utility_Rates!$K$6:$K$17,MONTH(C7869))&amp;IF(WEEKDAY(C7869,Inputs!$C$76)&lt;=Inputs!$C$74," weekday"," weekend"),Utility_Rates!$C$28:$F$28,Inputs!$C$68)),"")</f>
      </c>
      <c r="H7869" s="34"/>
      <c r="I7869" s="42">
        <f>IF(AND(ISNUMBER(D7869),ISNUMBER(H7869)),D7869*H7869*Inputs!$C$69,"")</f>
      </c>
      <c r="J7869" s="42">
        <f>IF(AND(ISNUMBER(F7869),ISNUMBER(H7869),F7869&gt;=Inputs!$C$68),F7869*H7869*Inputs!$C$69,"")</f>
      </c>
    </row>
    <row r="7870" spans="2:10" ht="15" customHeight="1" x14ac:dyDescent="0.2">
      <c r="B7870" s="39">
        <f t="shared" si="60"/>
      </c>
      <c r="C7870" s="40">
        <f>IF(Inputs!$C$60,Inputs!$C$11+(B7870-Inputs!$C$69)/Inputs!$C$70,"")</f>
      </c>
      <c r="D7870" s="15"/>
      <c r="E7870" s="15"/>
      <c r="F7870" s="11">
        <f t="shared" si="61"/>
      </c>
      <c r="G7870" s="22" cm="1">
        <f t="array" ref="G7870">IF(AND(Inputs!$C$60,Inputs!$C$61),INDEX(Utility_Rates!$C$29:$F$52,HOUR(C7870)+Inputs!$C$69,MATCH(INDEX(Utility_Rates!$K$6:$K$17,MONTH(C7870))&amp;IF(WEEKDAY(C7870,Inputs!$C$76)&lt;=Inputs!$C$74," weekday"," weekend"),Utility_Rates!$C$28:$F$28,Inputs!$C$68)),"")</f>
      </c>
      <c r="H7870" s="34"/>
      <c r="I7870" s="42">
        <f>IF(AND(ISNUMBER(D7870),ISNUMBER(H7870)),D7870*H7870*Inputs!$C$69,"")</f>
      </c>
      <c r="J7870" s="42">
        <f>IF(AND(ISNUMBER(F7870),ISNUMBER(H7870),F7870&gt;=Inputs!$C$68),F7870*H7870*Inputs!$C$69,"")</f>
      </c>
    </row>
    <row r="7871" spans="2:10" ht="15" customHeight="1" x14ac:dyDescent="0.2">
      <c r="B7871" s="39">
        <f t="shared" si="60"/>
      </c>
      <c r="C7871" s="40">
        <f>IF(Inputs!$C$60,Inputs!$C$11+(B7871-Inputs!$C$69)/Inputs!$C$70,"")</f>
      </c>
      <c r="D7871" s="15"/>
      <c r="E7871" s="15"/>
      <c r="F7871" s="11">
        <f t="shared" si="61"/>
      </c>
      <c r="G7871" s="22" cm="1">
        <f t="array" ref="G7871">IF(AND(Inputs!$C$60,Inputs!$C$61),INDEX(Utility_Rates!$C$29:$F$52,HOUR(C7871)+Inputs!$C$69,MATCH(INDEX(Utility_Rates!$K$6:$K$17,MONTH(C7871))&amp;IF(WEEKDAY(C7871,Inputs!$C$76)&lt;=Inputs!$C$74," weekday"," weekend"),Utility_Rates!$C$28:$F$28,Inputs!$C$68)),"")</f>
      </c>
      <c r="H7871" s="34"/>
      <c r="I7871" s="42">
        <f>IF(AND(ISNUMBER(D7871),ISNUMBER(H7871)),D7871*H7871*Inputs!$C$69,"")</f>
      </c>
      <c r="J7871" s="42">
        <f>IF(AND(ISNUMBER(F7871),ISNUMBER(H7871),F7871&gt;=Inputs!$C$68),F7871*H7871*Inputs!$C$69,"")</f>
      </c>
    </row>
    <row r="7872" spans="2:10" ht="15" customHeight="1" x14ac:dyDescent="0.2">
      <c r="B7872" s="39">
        <f t="shared" si="60"/>
      </c>
      <c r="C7872" s="40">
        <f>IF(Inputs!$C$60,Inputs!$C$11+(B7872-Inputs!$C$69)/Inputs!$C$70,"")</f>
      </c>
      <c r="D7872" s="15"/>
      <c r="E7872" s="15"/>
      <c r="F7872" s="11">
        <f t="shared" si="61"/>
      </c>
      <c r="G7872" s="22" cm="1">
        <f t="array" ref="G7872">IF(AND(Inputs!$C$60,Inputs!$C$61),INDEX(Utility_Rates!$C$29:$F$52,HOUR(C7872)+Inputs!$C$69,MATCH(INDEX(Utility_Rates!$K$6:$K$17,MONTH(C7872))&amp;IF(WEEKDAY(C7872,Inputs!$C$76)&lt;=Inputs!$C$74," weekday"," weekend"),Utility_Rates!$C$28:$F$28,Inputs!$C$68)),"")</f>
      </c>
      <c r="H7872" s="34"/>
      <c r="I7872" s="42">
        <f>IF(AND(ISNUMBER(D7872),ISNUMBER(H7872)),D7872*H7872*Inputs!$C$69,"")</f>
      </c>
      <c r="J7872" s="42">
        <f>IF(AND(ISNUMBER(F7872),ISNUMBER(H7872),F7872&gt;=Inputs!$C$68),F7872*H7872*Inputs!$C$69,"")</f>
      </c>
    </row>
    <row r="7873" spans="2:10" ht="15" customHeight="1" x14ac:dyDescent="0.2">
      <c r="B7873" s="39">
        <f t="shared" si="60"/>
      </c>
      <c r="C7873" s="40">
        <f>IF(Inputs!$C$60,Inputs!$C$11+(B7873-Inputs!$C$69)/Inputs!$C$70,"")</f>
      </c>
      <c r="D7873" s="15"/>
      <c r="E7873" s="15"/>
      <c r="F7873" s="11">
        <f t="shared" si="61"/>
      </c>
      <c r="G7873" s="22" cm="1">
        <f t="array" ref="G7873">IF(AND(Inputs!$C$60,Inputs!$C$61),INDEX(Utility_Rates!$C$29:$F$52,HOUR(C7873)+Inputs!$C$69,MATCH(INDEX(Utility_Rates!$K$6:$K$17,MONTH(C7873))&amp;IF(WEEKDAY(C7873,Inputs!$C$76)&lt;=Inputs!$C$74," weekday"," weekend"),Utility_Rates!$C$28:$F$28,Inputs!$C$68)),"")</f>
      </c>
      <c r="H7873" s="34"/>
      <c r="I7873" s="42">
        <f>IF(AND(ISNUMBER(D7873),ISNUMBER(H7873)),D7873*H7873*Inputs!$C$69,"")</f>
      </c>
      <c r="J7873" s="42">
        <f>IF(AND(ISNUMBER(F7873),ISNUMBER(H7873),F7873&gt;=Inputs!$C$68),F7873*H7873*Inputs!$C$69,"")</f>
      </c>
    </row>
    <row r="7874" spans="2:10" ht="15" customHeight="1" x14ac:dyDescent="0.2">
      <c r="B7874" s="39">
        <f t="shared" si="60"/>
      </c>
      <c r="C7874" s="40">
        <f>IF(Inputs!$C$60,Inputs!$C$11+(B7874-Inputs!$C$69)/Inputs!$C$70,"")</f>
      </c>
      <c r="D7874" s="15"/>
      <c r="E7874" s="15"/>
      <c r="F7874" s="11">
        <f t="shared" si="61"/>
      </c>
      <c r="G7874" s="22" cm="1">
        <f t="array" ref="G7874">IF(AND(Inputs!$C$60,Inputs!$C$61),INDEX(Utility_Rates!$C$29:$F$52,HOUR(C7874)+Inputs!$C$69,MATCH(INDEX(Utility_Rates!$K$6:$K$17,MONTH(C7874))&amp;IF(WEEKDAY(C7874,Inputs!$C$76)&lt;=Inputs!$C$74," weekday"," weekend"),Utility_Rates!$C$28:$F$28,Inputs!$C$68)),"")</f>
      </c>
      <c r="H7874" s="34"/>
      <c r="I7874" s="42">
        <f>IF(AND(ISNUMBER(D7874),ISNUMBER(H7874)),D7874*H7874*Inputs!$C$69,"")</f>
      </c>
      <c r="J7874" s="42">
        <f>IF(AND(ISNUMBER(F7874),ISNUMBER(H7874),F7874&gt;=Inputs!$C$68),F7874*H7874*Inputs!$C$69,"")</f>
      </c>
    </row>
    <row r="7875" spans="2:10" ht="15" customHeight="1" x14ac:dyDescent="0.2">
      <c r="B7875" s="39">
        <f t="shared" si="60"/>
      </c>
      <c r="C7875" s="40">
        <f>IF(Inputs!$C$60,Inputs!$C$11+(B7875-Inputs!$C$69)/Inputs!$C$70,"")</f>
      </c>
      <c r="D7875" s="15"/>
      <c r="E7875" s="15"/>
      <c r="F7875" s="11">
        <f t="shared" si="61"/>
      </c>
      <c r="G7875" s="22" cm="1">
        <f t="array" ref="G7875">IF(AND(Inputs!$C$60,Inputs!$C$61),INDEX(Utility_Rates!$C$29:$F$52,HOUR(C7875)+Inputs!$C$69,MATCH(INDEX(Utility_Rates!$K$6:$K$17,MONTH(C7875))&amp;IF(WEEKDAY(C7875,Inputs!$C$76)&lt;=Inputs!$C$74," weekday"," weekend"),Utility_Rates!$C$28:$F$28,Inputs!$C$68)),"")</f>
      </c>
      <c r="H7875" s="34"/>
      <c r="I7875" s="42">
        <f>IF(AND(ISNUMBER(D7875),ISNUMBER(H7875)),D7875*H7875*Inputs!$C$69,"")</f>
      </c>
      <c r="J7875" s="42">
        <f>IF(AND(ISNUMBER(F7875),ISNUMBER(H7875),F7875&gt;=Inputs!$C$68),F7875*H7875*Inputs!$C$69,"")</f>
      </c>
    </row>
    <row r="7876" spans="2:10" ht="15" customHeight="1" x14ac:dyDescent="0.2">
      <c r="B7876" s="39">
        <f t="shared" si="60"/>
      </c>
      <c r="C7876" s="40">
        <f>IF(Inputs!$C$60,Inputs!$C$11+(B7876-Inputs!$C$69)/Inputs!$C$70,"")</f>
      </c>
      <c r="D7876" s="15"/>
      <c r="E7876" s="15"/>
      <c r="F7876" s="11">
        <f t="shared" si="61"/>
      </c>
      <c r="G7876" s="22" cm="1">
        <f t="array" ref="G7876">IF(AND(Inputs!$C$60,Inputs!$C$61),INDEX(Utility_Rates!$C$29:$F$52,HOUR(C7876)+Inputs!$C$69,MATCH(INDEX(Utility_Rates!$K$6:$K$17,MONTH(C7876))&amp;IF(WEEKDAY(C7876,Inputs!$C$76)&lt;=Inputs!$C$74," weekday"," weekend"),Utility_Rates!$C$28:$F$28,Inputs!$C$68)),"")</f>
      </c>
      <c r="H7876" s="34"/>
      <c r="I7876" s="42">
        <f>IF(AND(ISNUMBER(D7876),ISNUMBER(H7876)),D7876*H7876*Inputs!$C$69,"")</f>
      </c>
      <c r="J7876" s="42">
        <f>IF(AND(ISNUMBER(F7876),ISNUMBER(H7876),F7876&gt;=Inputs!$C$68),F7876*H7876*Inputs!$C$69,"")</f>
      </c>
    </row>
    <row r="7877" spans="2:10" ht="15" customHeight="1" x14ac:dyDescent="0.2">
      <c r="B7877" s="39">
        <f t="shared" si="60"/>
      </c>
      <c r="C7877" s="40">
        <f>IF(Inputs!$C$60,Inputs!$C$11+(B7877-Inputs!$C$69)/Inputs!$C$70,"")</f>
      </c>
      <c r="D7877" s="15"/>
      <c r="E7877" s="15"/>
      <c r="F7877" s="11">
        <f t="shared" si="61"/>
      </c>
      <c r="G7877" s="22" cm="1">
        <f t="array" ref="G7877">IF(AND(Inputs!$C$60,Inputs!$C$61),INDEX(Utility_Rates!$C$29:$F$52,HOUR(C7877)+Inputs!$C$69,MATCH(INDEX(Utility_Rates!$K$6:$K$17,MONTH(C7877))&amp;IF(WEEKDAY(C7877,Inputs!$C$76)&lt;=Inputs!$C$74," weekday"," weekend"),Utility_Rates!$C$28:$F$28,Inputs!$C$68)),"")</f>
      </c>
      <c r="H7877" s="34"/>
      <c r="I7877" s="42">
        <f>IF(AND(ISNUMBER(D7877),ISNUMBER(H7877)),D7877*H7877*Inputs!$C$69,"")</f>
      </c>
      <c r="J7877" s="42">
        <f>IF(AND(ISNUMBER(F7877),ISNUMBER(H7877),F7877&gt;=Inputs!$C$68),F7877*H7877*Inputs!$C$69,"")</f>
      </c>
    </row>
    <row r="7878" spans="2:10" ht="15" customHeight="1" x14ac:dyDescent="0.2">
      <c r="B7878" s="39">
        <f t="shared" si="60"/>
      </c>
      <c r="C7878" s="40">
        <f>IF(Inputs!$C$60,Inputs!$C$11+(B7878-Inputs!$C$69)/Inputs!$C$70,"")</f>
      </c>
      <c r="D7878" s="15"/>
      <c r="E7878" s="15"/>
      <c r="F7878" s="11">
        <f t="shared" si="61"/>
      </c>
      <c r="G7878" s="22" cm="1">
        <f t="array" ref="G7878">IF(AND(Inputs!$C$60,Inputs!$C$61),INDEX(Utility_Rates!$C$29:$F$52,HOUR(C7878)+Inputs!$C$69,MATCH(INDEX(Utility_Rates!$K$6:$K$17,MONTH(C7878))&amp;IF(WEEKDAY(C7878,Inputs!$C$76)&lt;=Inputs!$C$74," weekday"," weekend"),Utility_Rates!$C$28:$F$28,Inputs!$C$68)),"")</f>
      </c>
      <c r="H7878" s="34"/>
      <c r="I7878" s="42">
        <f>IF(AND(ISNUMBER(D7878),ISNUMBER(H7878)),D7878*H7878*Inputs!$C$69,"")</f>
      </c>
      <c r="J7878" s="42">
        <f>IF(AND(ISNUMBER(F7878),ISNUMBER(H7878),F7878&gt;=Inputs!$C$68),F7878*H7878*Inputs!$C$69,"")</f>
      </c>
    </row>
    <row r="7879" spans="2:10" ht="15" customHeight="1" x14ac:dyDescent="0.2">
      <c r="B7879" s="39">
        <f t="shared" si="60"/>
      </c>
      <c r="C7879" s="40">
        <f>IF(Inputs!$C$60,Inputs!$C$11+(B7879-Inputs!$C$69)/Inputs!$C$70,"")</f>
      </c>
      <c r="D7879" s="15"/>
      <c r="E7879" s="15"/>
      <c r="F7879" s="11">
        <f t="shared" si="61"/>
      </c>
      <c r="G7879" s="22" cm="1">
        <f t="array" ref="G7879">IF(AND(Inputs!$C$60,Inputs!$C$61),INDEX(Utility_Rates!$C$29:$F$52,HOUR(C7879)+Inputs!$C$69,MATCH(INDEX(Utility_Rates!$K$6:$K$17,MONTH(C7879))&amp;IF(WEEKDAY(C7879,Inputs!$C$76)&lt;=Inputs!$C$74," weekday"," weekend"),Utility_Rates!$C$28:$F$28,Inputs!$C$68)),"")</f>
      </c>
      <c r="H7879" s="34"/>
      <c r="I7879" s="42">
        <f>IF(AND(ISNUMBER(D7879),ISNUMBER(H7879)),D7879*H7879*Inputs!$C$69,"")</f>
      </c>
      <c r="J7879" s="42">
        <f>IF(AND(ISNUMBER(F7879),ISNUMBER(H7879),F7879&gt;=Inputs!$C$68),F7879*H7879*Inputs!$C$69,"")</f>
      </c>
    </row>
    <row r="7880" spans="2:10" ht="15" customHeight="1" x14ac:dyDescent="0.2">
      <c r="B7880" s="39">
        <f t="shared" si="60"/>
      </c>
      <c r="C7880" s="40">
        <f>IF(Inputs!$C$60,Inputs!$C$11+(B7880-Inputs!$C$69)/Inputs!$C$70,"")</f>
      </c>
      <c r="D7880" s="15"/>
      <c r="E7880" s="15"/>
      <c r="F7880" s="11">
        <f t="shared" si="61"/>
      </c>
      <c r="G7880" s="22" cm="1">
        <f t="array" ref="G7880">IF(AND(Inputs!$C$60,Inputs!$C$61),INDEX(Utility_Rates!$C$29:$F$52,HOUR(C7880)+Inputs!$C$69,MATCH(INDEX(Utility_Rates!$K$6:$K$17,MONTH(C7880))&amp;IF(WEEKDAY(C7880,Inputs!$C$76)&lt;=Inputs!$C$74," weekday"," weekend"),Utility_Rates!$C$28:$F$28,Inputs!$C$68)),"")</f>
      </c>
      <c r="H7880" s="34"/>
      <c r="I7880" s="42">
        <f>IF(AND(ISNUMBER(D7880),ISNUMBER(H7880)),D7880*H7880*Inputs!$C$69,"")</f>
      </c>
      <c r="J7880" s="42">
        <f>IF(AND(ISNUMBER(F7880),ISNUMBER(H7880),F7880&gt;=Inputs!$C$68),F7880*H7880*Inputs!$C$69,"")</f>
      </c>
    </row>
    <row r="7881" spans="2:10" ht="15" customHeight="1" x14ac:dyDescent="0.2">
      <c r="B7881" s="39">
        <f t="shared" si="60"/>
      </c>
      <c r="C7881" s="40">
        <f>IF(Inputs!$C$60,Inputs!$C$11+(B7881-Inputs!$C$69)/Inputs!$C$70,"")</f>
      </c>
      <c r="D7881" s="15"/>
      <c r="E7881" s="15"/>
      <c r="F7881" s="11">
        <f t="shared" si="61"/>
      </c>
      <c r="G7881" s="22" cm="1">
        <f t="array" ref="G7881">IF(AND(Inputs!$C$60,Inputs!$C$61),INDEX(Utility_Rates!$C$29:$F$52,HOUR(C7881)+Inputs!$C$69,MATCH(INDEX(Utility_Rates!$K$6:$K$17,MONTH(C7881))&amp;IF(WEEKDAY(C7881,Inputs!$C$76)&lt;=Inputs!$C$74," weekday"," weekend"),Utility_Rates!$C$28:$F$28,Inputs!$C$68)),"")</f>
      </c>
      <c r="H7881" s="34"/>
      <c r="I7881" s="42">
        <f>IF(AND(ISNUMBER(D7881),ISNUMBER(H7881)),D7881*H7881*Inputs!$C$69,"")</f>
      </c>
      <c r="J7881" s="42">
        <f>IF(AND(ISNUMBER(F7881),ISNUMBER(H7881),F7881&gt;=Inputs!$C$68),F7881*H7881*Inputs!$C$69,"")</f>
      </c>
    </row>
    <row r="7882" spans="2:10" ht="15" customHeight="1" x14ac:dyDescent="0.2">
      <c r="B7882" s="39">
        <f t="shared" si="60"/>
      </c>
      <c r="C7882" s="40">
        <f>IF(Inputs!$C$60,Inputs!$C$11+(B7882-Inputs!$C$69)/Inputs!$C$70,"")</f>
      </c>
      <c r="D7882" s="15"/>
      <c r="E7882" s="15"/>
      <c r="F7882" s="11">
        <f t="shared" si="61"/>
      </c>
      <c r="G7882" s="22" cm="1">
        <f t="array" ref="G7882">IF(AND(Inputs!$C$60,Inputs!$C$61),INDEX(Utility_Rates!$C$29:$F$52,HOUR(C7882)+Inputs!$C$69,MATCH(INDEX(Utility_Rates!$K$6:$K$17,MONTH(C7882))&amp;IF(WEEKDAY(C7882,Inputs!$C$76)&lt;=Inputs!$C$74," weekday"," weekend"),Utility_Rates!$C$28:$F$28,Inputs!$C$68)),"")</f>
      </c>
      <c r="H7882" s="34"/>
      <c r="I7882" s="42">
        <f>IF(AND(ISNUMBER(D7882),ISNUMBER(H7882)),D7882*H7882*Inputs!$C$69,"")</f>
      </c>
      <c r="J7882" s="42">
        <f>IF(AND(ISNUMBER(F7882),ISNUMBER(H7882),F7882&gt;=Inputs!$C$68),F7882*H7882*Inputs!$C$69,"")</f>
      </c>
    </row>
    <row r="7883" spans="2:10" ht="15" customHeight="1" x14ac:dyDescent="0.2">
      <c r="B7883" s="39">
        <f t="shared" si="60"/>
      </c>
      <c r="C7883" s="40">
        <f>IF(Inputs!$C$60,Inputs!$C$11+(B7883-Inputs!$C$69)/Inputs!$C$70,"")</f>
      </c>
      <c r="D7883" s="15"/>
      <c r="E7883" s="15"/>
      <c r="F7883" s="11">
        <f t="shared" si="61"/>
      </c>
      <c r="G7883" s="22" cm="1">
        <f t="array" ref="G7883">IF(AND(Inputs!$C$60,Inputs!$C$61),INDEX(Utility_Rates!$C$29:$F$52,HOUR(C7883)+Inputs!$C$69,MATCH(INDEX(Utility_Rates!$K$6:$K$17,MONTH(C7883))&amp;IF(WEEKDAY(C7883,Inputs!$C$76)&lt;=Inputs!$C$74," weekday"," weekend"),Utility_Rates!$C$28:$F$28,Inputs!$C$68)),"")</f>
      </c>
      <c r="H7883" s="34"/>
      <c r="I7883" s="42">
        <f>IF(AND(ISNUMBER(D7883),ISNUMBER(H7883)),D7883*H7883*Inputs!$C$69,"")</f>
      </c>
      <c r="J7883" s="42">
        <f>IF(AND(ISNUMBER(F7883),ISNUMBER(H7883),F7883&gt;=Inputs!$C$68),F7883*H7883*Inputs!$C$69,"")</f>
      </c>
    </row>
    <row r="7884" spans="2:10" ht="15" customHeight="1" x14ac:dyDescent="0.2">
      <c r="B7884" s="39">
        <f t="shared" si="60"/>
      </c>
      <c r="C7884" s="40">
        <f>IF(Inputs!$C$60,Inputs!$C$11+(B7884-Inputs!$C$69)/Inputs!$C$70,"")</f>
      </c>
      <c r="D7884" s="15"/>
      <c r="E7884" s="15"/>
      <c r="F7884" s="11">
        <f t="shared" si="61"/>
      </c>
      <c r="G7884" s="22" cm="1">
        <f t="array" ref="G7884">IF(AND(Inputs!$C$60,Inputs!$C$61),INDEX(Utility_Rates!$C$29:$F$52,HOUR(C7884)+Inputs!$C$69,MATCH(INDEX(Utility_Rates!$K$6:$K$17,MONTH(C7884))&amp;IF(WEEKDAY(C7884,Inputs!$C$76)&lt;=Inputs!$C$74," weekday"," weekend"),Utility_Rates!$C$28:$F$28,Inputs!$C$68)),"")</f>
      </c>
      <c r="H7884" s="34"/>
      <c r="I7884" s="42">
        <f>IF(AND(ISNUMBER(D7884),ISNUMBER(H7884)),D7884*H7884*Inputs!$C$69,"")</f>
      </c>
      <c r="J7884" s="42">
        <f>IF(AND(ISNUMBER(F7884),ISNUMBER(H7884),F7884&gt;=Inputs!$C$68),F7884*H7884*Inputs!$C$69,"")</f>
      </c>
    </row>
    <row r="7885" spans="2:10" ht="15" customHeight="1" x14ac:dyDescent="0.2">
      <c r="B7885" s="39">
        <f t="shared" si="60"/>
      </c>
      <c r="C7885" s="40">
        <f>IF(Inputs!$C$60,Inputs!$C$11+(B7885-Inputs!$C$69)/Inputs!$C$70,"")</f>
      </c>
      <c r="D7885" s="15"/>
      <c r="E7885" s="15"/>
      <c r="F7885" s="11">
        <f t="shared" si="61"/>
      </c>
      <c r="G7885" s="22" cm="1">
        <f t="array" ref="G7885">IF(AND(Inputs!$C$60,Inputs!$C$61),INDEX(Utility_Rates!$C$29:$F$52,HOUR(C7885)+Inputs!$C$69,MATCH(INDEX(Utility_Rates!$K$6:$K$17,MONTH(C7885))&amp;IF(WEEKDAY(C7885,Inputs!$C$76)&lt;=Inputs!$C$74," weekday"," weekend"),Utility_Rates!$C$28:$F$28,Inputs!$C$68)),"")</f>
      </c>
      <c r="H7885" s="34"/>
      <c r="I7885" s="42">
        <f>IF(AND(ISNUMBER(D7885),ISNUMBER(H7885)),D7885*H7885*Inputs!$C$69,"")</f>
      </c>
      <c r="J7885" s="42">
        <f>IF(AND(ISNUMBER(F7885),ISNUMBER(H7885),F7885&gt;=Inputs!$C$68),F7885*H7885*Inputs!$C$69,"")</f>
      </c>
    </row>
    <row r="7886" spans="2:10" ht="15" customHeight="1" x14ac:dyDescent="0.2">
      <c r="B7886" s="39">
        <f t="shared" si="60"/>
      </c>
      <c r="C7886" s="40">
        <f>IF(Inputs!$C$60,Inputs!$C$11+(B7886-Inputs!$C$69)/Inputs!$C$70,"")</f>
      </c>
      <c r="D7886" s="15"/>
      <c r="E7886" s="15"/>
      <c r="F7886" s="11">
        <f t="shared" si="61"/>
      </c>
      <c r="G7886" s="22" cm="1">
        <f t="array" ref="G7886">IF(AND(Inputs!$C$60,Inputs!$C$61),INDEX(Utility_Rates!$C$29:$F$52,HOUR(C7886)+Inputs!$C$69,MATCH(INDEX(Utility_Rates!$K$6:$K$17,MONTH(C7886))&amp;IF(WEEKDAY(C7886,Inputs!$C$76)&lt;=Inputs!$C$74," weekday"," weekend"),Utility_Rates!$C$28:$F$28,Inputs!$C$68)),"")</f>
      </c>
      <c r="H7886" s="34"/>
      <c r="I7886" s="42">
        <f>IF(AND(ISNUMBER(D7886),ISNUMBER(H7886)),D7886*H7886*Inputs!$C$69,"")</f>
      </c>
      <c r="J7886" s="42">
        <f>IF(AND(ISNUMBER(F7886),ISNUMBER(H7886),F7886&gt;=Inputs!$C$68),F7886*H7886*Inputs!$C$69,"")</f>
      </c>
    </row>
    <row r="7887" spans="2:10" ht="15" customHeight="1" x14ac:dyDescent="0.2">
      <c r="B7887" s="39">
        <f t="shared" si="60"/>
      </c>
      <c r="C7887" s="40">
        <f>IF(Inputs!$C$60,Inputs!$C$11+(B7887-Inputs!$C$69)/Inputs!$C$70,"")</f>
      </c>
      <c r="D7887" s="15"/>
      <c r="E7887" s="15"/>
      <c r="F7887" s="11">
        <f t="shared" si="61"/>
      </c>
      <c r="G7887" s="22" cm="1">
        <f t="array" ref="G7887">IF(AND(Inputs!$C$60,Inputs!$C$61),INDEX(Utility_Rates!$C$29:$F$52,HOUR(C7887)+Inputs!$C$69,MATCH(INDEX(Utility_Rates!$K$6:$K$17,MONTH(C7887))&amp;IF(WEEKDAY(C7887,Inputs!$C$76)&lt;=Inputs!$C$74," weekday"," weekend"),Utility_Rates!$C$28:$F$28,Inputs!$C$68)),"")</f>
      </c>
      <c r="H7887" s="34"/>
      <c r="I7887" s="42">
        <f>IF(AND(ISNUMBER(D7887),ISNUMBER(H7887)),D7887*H7887*Inputs!$C$69,"")</f>
      </c>
      <c r="J7887" s="42">
        <f>IF(AND(ISNUMBER(F7887),ISNUMBER(H7887),F7887&gt;=Inputs!$C$68),F7887*H7887*Inputs!$C$69,"")</f>
      </c>
    </row>
    <row r="7888" spans="2:10" ht="15" customHeight="1" x14ac:dyDescent="0.2">
      <c r="B7888" s="39">
        <f t="shared" si="60"/>
      </c>
      <c r="C7888" s="40">
        <f>IF(Inputs!$C$60,Inputs!$C$11+(B7888-Inputs!$C$69)/Inputs!$C$70,"")</f>
      </c>
      <c r="D7888" s="15"/>
      <c r="E7888" s="15"/>
      <c r="F7888" s="11">
        <f t="shared" si="61"/>
      </c>
      <c r="G7888" s="22" cm="1">
        <f t="array" ref="G7888">IF(AND(Inputs!$C$60,Inputs!$C$61),INDEX(Utility_Rates!$C$29:$F$52,HOUR(C7888)+Inputs!$C$69,MATCH(INDEX(Utility_Rates!$K$6:$K$17,MONTH(C7888))&amp;IF(WEEKDAY(C7888,Inputs!$C$76)&lt;=Inputs!$C$74," weekday"," weekend"),Utility_Rates!$C$28:$F$28,Inputs!$C$68)),"")</f>
      </c>
      <c r="H7888" s="34"/>
      <c r="I7888" s="42">
        <f>IF(AND(ISNUMBER(D7888),ISNUMBER(H7888)),D7888*H7888*Inputs!$C$69,"")</f>
      </c>
      <c r="J7888" s="42">
        <f>IF(AND(ISNUMBER(F7888),ISNUMBER(H7888),F7888&gt;=Inputs!$C$68),F7888*H7888*Inputs!$C$69,"")</f>
      </c>
    </row>
    <row r="7889" spans="2:10" ht="15" customHeight="1" x14ac:dyDescent="0.2">
      <c r="B7889" s="39">
        <f t="shared" si="60"/>
      </c>
      <c r="C7889" s="40">
        <f>IF(Inputs!$C$60,Inputs!$C$11+(B7889-Inputs!$C$69)/Inputs!$C$70,"")</f>
      </c>
      <c r="D7889" s="15"/>
      <c r="E7889" s="15"/>
      <c r="F7889" s="11">
        <f t="shared" si="61"/>
      </c>
      <c r="G7889" s="22" cm="1">
        <f t="array" ref="G7889">IF(AND(Inputs!$C$60,Inputs!$C$61),INDEX(Utility_Rates!$C$29:$F$52,HOUR(C7889)+Inputs!$C$69,MATCH(INDEX(Utility_Rates!$K$6:$K$17,MONTH(C7889))&amp;IF(WEEKDAY(C7889,Inputs!$C$76)&lt;=Inputs!$C$74," weekday"," weekend"),Utility_Rates!$C$28:$F$28,Inputs!$C$68)),"")</f>
      </c>
      <c r="H7889" s="34"/>
      <c r="I7889" s="42">
        <f>IF(AND(ISNUMBER(D7889),ISNUMBER(H7889)),D7889*H7889*Inputs!$C$69,"")</f>
      </c>
      <c r="J7889" s="42">
        <f>IF(AND(ISNUMBER(F7889),ISNUMBER(H7889),F7889&gt;=Inputs!$C$68),F7889*H7889*Inputs!$C$69,"")</f>
      </c>
    </row>
    <row r="7890" spans="2:10" ht="15" customHeight="1" x14ac:dyDescent="0.2">
      <c r="B7890" s="39">
        <f t="shared" si="60"/>
      </c>
      <c r="C7890" s="40">
        <f>IF(Inputs!$C$60,Inputs!$C$11+(B7890-Inputs!$C$69)/Inputs!$C$70,"")</f>
      </c>
      <c r="D7890" s="15"/>
      <c r="E7890" s="15"/>
      <c r="F7890" s="11">
        <f t="shared" si="61"/>
      </c>
      <c r="G7890" s="22" cm="1">
        <f t="array" ref="G7890">IF(AND(Inputs!$C$60,Inputs!$C$61),INDEX(Utility_Rates!$C$29:$F$52,HOUR(C7890)+Inputs!$C$69,MATCH(INDEX(Utility_Rates!$K$6:$K$17,MONTH(C7890))&amp;IF(WEEKDAY(C7890,Inputs!$C$76)&lt;=Inputs!$C$74," weekday"," weekend"),Utility_Rates!$C$28:$F$28,Inputs!$C$68)),"")</f>
      </c>
      <c r="H7890" s="34"/>
      <c r="I7890" s="42">
        <f>IF(AND(ISNUMBER(D7890),ISNUMBER(H7890)),D7890*H7890*Inputs!$C$69,"")</f>
      </c>
      <c r="J7890" s="42">
        <f>IF(AND(ISNUMBER(F7890),ISNUMBER(H7890),F7890&gt;=Inputs!$C$68),F7890*H7890*Inputs!$C$69,"")</f>
      </c>
    </row>
    <row r="7891" spans="2:10" ht="15" customHeight="1" x14ac:dyDescent="0.2">
      <c r="B7891" s="39">
        <f t="shared" si="60"/>
      </c>
      <c r="C7891" s="40">
        <f>IF(Inputs!$C$60,Inputs!$C$11+(B7891-Inputs!$C$69)/Inputs!$C$70,"")</f>
      </c>
      <c r="D7891" s="15"/>
      <c r="E7891" s="15"/>
      <c r="F7891" s="11">
        <f t="shared" si="61"/>
      </c>
      <c r="G7891" s="22" cm="1">
        <f t="array" ref="G7891">IF(AND(Inputs!$C$60,Inputs!$C$61),INDEX(Utility_Rates!$C$29:$F$52,HOUR(C7891)+Inputs!$C$69,MATCH(INDEX(Utility_Rates!$K$6:$K$17,MONTH(C7891))&amp;IF(WEEKDAY(C7891,Inputs!$C$76)&lt;=Inputs!$C$74," weekday"," weekend"),Utility_Rates!$C$28:$F$28,Inputs!$C$68)),"")</f>
      </c>
      <c r="H7891" s="34"/>
      <c r="I7891" s="42">
        <f>IF(AND(ISNUMBER(D7891),ISNUMBER(H7891)),D7891*H7891*Inputs!$C$69,"")</f>
      </c>
      <c r="J7891" s="42">
        <f>IF(AND(ISNUMBER(F7891),ISNUMBER(H7891),F7891&gt;=Inputs!$C$68),F7891*H7891*Inputs!$C$69,"")</f>
      </c>
    </row>
    <row r="7892" spans="2:10" ht="15" customHeight="1" x14ac:dyDescent="0.2">
      <c r="B7892" s="39">
        <f t="shared" si="60"/>
      </c>
      <c r="C7892" s="40">
        <f>IF(Inputs!$C$60,Inputs!$C$11+(B7892-Inputs!$C$69)/Inputs!$C$70,"")</f>
      </c>
      <c r="D7892" s="15"/>
      <c r="E7892" s="15"/>
      <c r="F7892" s="11">
        <f t="shared" si="61"/>
      </c>
      <c r="G7892" s="22" cm="1">
        <f t="array" ref="G7892">IF(AND(Inputs!$C$60,Inputs!$C$61),INDEX(Utility_Rates!$C$29:$F$52,HOUR(C7892)+Inputs!$C$69,MATCH(INDEX(Utility_Rates!$K$6:$K$17,MONTH(C7892))&amp;IF(WEEKDAY(C7892,Inputs!$C$76)&lt;=Inputs!$C$74," weekday"," weekend"),Utility_Rates!$C$28:$F$28,Inputs!$C$68)),"")</f>
      </c>
      <c r="H7892" s="34"/>
      <c r="I7892" s="42">
        <f>IF(AND(ISNUMBER(D7892),ISNUMBER(H7892)),D7892*H7892*Inputs!$C$69,"")</f>
      </c>
      <c r="J7892" s="42">
        <f>IF(AND(ISNUMBER(F7892),ISNUMBER(H7892),F7892&gt;=Inputs!$C$68),F7892*H7892*Inputs!$C$69,"")</f>
      </c>
    </row>
    <row r="7893" spans="2:10" ht="15" customHeight="1" x14ac:dyDescent="0.2">
      <c r="B7893" s="39">
        <f t="shared" si="60"/>
      </c>
      <c r="C7893" s="40">
        <f>IF(Inputs!$C$60,Inputs!$C$11+(B7893-Inputs!$C$69)/Inputs!$C$70,"")</f>
      </c>
      <c r="D7893" s="15"/>
      <c r="E7893" s="15"/>
      <c r="F7893" s="11">
        <f t="shared" si="61"/>
      </c>
      <c r="G7893" s="22" cm="1">
        <f t="array" ref="G7893">IF(AND(Inputs!$C$60,Inputs!$C$61),INDEX(Utility_Rates!$C$29:$F$52,HOUR(C7893)+Inputs!$C$69,MATCH(INDEX(Utility_Rates!$K$6:$K$17,MONTH(C7893))&amp;IF(WEEKDAY(C7893,Inputs!$C$76)&lt;=Inputs!$C$74," weekday"," weekend"),Utility_Rates!$C$28:$F$28,Inputs!$C$68)),"")</f>
      </c>
      <c r="H7893" s="34"/>
      <c r="I7893" s="42">
        <f>IF(AND(ISNUMBER(D7893),ISNUMBER(H7893)),D7893*H7893*Inputs!$C$69,"")</f>
      </c>
      <c r="J7893" s="42">
        <f>IF(AND(ISNUMBER(F7893),ISNUMBER(H7893),F7893&gt;=Inputs!$C$68),F7893*H7893*Inputs!$C$69,"")</f>
      </c>
    </row>
    <row r="7894" spans="2:10" ht="15" customHeight="1" x14ac:dyDescent="0.2">
      <c r="B7894" s="39">
        <f t="shared" si="60"/>
      </c>
      <c r="C7894" s="40">
        <f>IF(Inputs!$C$60,Inputs!$C$11+(B7894-Inputs!$C$69)/Inputs!$C$70,"")</f>
      </c>
      <c r="D7894" s="15"/>
      <c r="E7894" s="15"/>
      <c r="F7894" s="11">
        <f t="shared" si="61"/>
      </c>
      <c r="G7894" s="22" cm="1">
        <f t="array" ref="G7894">IF(AND(Inputs!$C$60,Inputs!$C$61),INDEX(Utility_Rates!$C$29:$F$52,HOUR(C7894)+Inputs!$C$69,MATCH(INDEX(Utility_Rates!$K$6:$K$17,MONTH(C7894))&amp;IF(WEEKDAY(C7894,Inputs!$C$76)&lt;=Inputs!$C$74," weekday"," weekend"),Utility_Rates!$C$28:$F$28,Inputs!$C$68)),"")</f>
      </c>
      <c r="H7894" s="34"/>
      <c r="I7894" s="42">
        <f>IF(AND(ISNUMBER(D7894),ISNUMBER(H7894)),D7894*H7894*Inputs!$C$69,"")</f>
      </c>
      <c r="J7894" s="42">
        <f>IF(AND(ISNUMBER(F7894),ISNUMBER(H7894),F7894&gt;=Inputs!$C$68),F7894*H7894*Inputs!$C$69,"")</f>
      </c>
    </row>
    <row r="7895" spans="2:10" ht="15" customHeight="1" x14ac:dyDescent="0.2">
      <c r="B7895" s="39">
        <f t="shared" si="60"/>
      </c>
      <c r="C7895" s="40">
        <f>IF(Inputs!$C$60,Inputs!$C$11+(B7895-Inputs!$C$69)/Inputs!$C$70,"")</f>
      </c>
      <c r="D7895" s="15"/>
      <c r="E7895" s="15"/>
      <c r="F7895" s="11">
        <f t="shared" si="61"/>
      </c>
      <c r="G7895" s="22" cm="1">
        <f t="array" ref="G7895">IF(AND(Inputs!$C$60,Inputs!$C$61),INDEX(Utility_Rates!$C$29:$F$52,HOUR(C7895)+Inputs!$C$69,MATCH(INDEX(Utility_Rates!$K$6:$K$17,MONTH(C7895))&amp;IF(WEEKDAY(C7895,Inputs!$C$76)&lt;=Inputs!$C$74," weekday"," weekend"),Utility_Rates!$C$28:$F$28,Inputs!$C$68)),"")</f>
      </c>
      <c r="H7895" s="34"/>
      <c r="I7895" s="42">
        <f>IF(AND(ISNUMBER(D7895),ISNUMBER(H7895)),D7895*H7895*Inputs!$C$69,"")</f>
      </c>
      <c r="J7895" s="42">
        <f>IF(AND(ISNUMBER(F7895),ISNUMBER(H7895),F7895&gt;=Inputs!$C$68),F7895*H7895*Inputs!$C$69,"")</f>
      </c>
    </row>
    <row r="7896" spans="2:10" ht="15" customHeight="1" x14ac:dyDescent="0.2">
      <c r="B7896" s="39">
        <f t="shared" si="60"/>
      </c>
      <c r="C7896" s="40">
        <f>IF(Inputs!$C$60,Inputs!$C$11+(B7896-Inputs!$C$69)/Inputs!$C$70,"")</f>
      </c>
      <c r="D7896" s="15"/>
      <c r="E7896" s="15"/>
      <c r="F7896" s="11">
        <f t="shared" si="61"/>
      </c>
      <c r="G7896" s="22" cm="1">
        <f t="array" ref="G7896">IF(AND(Inputs!$C$60,Inputs!$C$61),INDEX(Utility_Rates!$C$29:$F$52,HOUR(C7896)+Inputs!$C$69,MATCH(INDEX(Utility_Rates!$K$6:$K$17,MONTH(C7896))&amp;IF(WEEKDAY(C7896,Inputs!$C$76)&lt;=Inputs!$C$74," weekday"," weekend"),Utility_Rates!$C$28:$F$28,Inputs!$C$68)),"")</f>
      </c>
      <c r="H7896" s="34"/>
      <c r="I7896" s="42">
        <f>IF(AND(ISNUMBER(D7896),ISNUMBER(H7896)),D7896*H7896*Inputs!$C$69,"")</f>
      </c>
      <c r="J7896" s="42">
        <f>IF(AND(ISNUMBER(F7896),ISNUMBER(H7896),F7896&gt;=Inputs!$C$68),F7896*H7896*Inputs!$C$69,"")</f>
      </c>
    </row>
    <row r="7897" spans="2:10" ht="15" customHeight="1" x14ac:dyDescent="0.2">
      <c r="B7897" s="39">
        <f t="shared" si="60"/>
      </c>
      <c r="C7897" s="40">
        <f>IF(Inputs!$C$60,Inputs!$C$11+(B7897-Inputs!$C$69)/Inputs!$C$70,"")</f>
      </c>
      <c r="D7897" s="15"/>
      <c r="E7897" s="15"/>
      <c r="F7897" s="11">
        <f t="shared" si="61"/>
      </c>
      <c r="G7897" s="22" cm="1">
        <f t="array" ref="G7897">IF(AND(Inputs!$C$60,Inputs!$C$61),INDEX(Utility_Rates!$C$29:$F$52,HOUR(C7897)+Inputs!$C$69,MATCH(INDEX(Utility_Rates!$K$6:$K$17,MONTH(C7897))&amp;IF(WEEKDAY(C7897,Inputs!$C$76)&lt;=Inputs!$C$74," weekday"," weekend"),Utility_Rates!$C$28:$F$28,Inputs!$C$68)),"")</f>
      </c>
      <c r="H7897" s="34"/>
      <c r="I7897" s="42">
        <f>IF(AND(ISNUMBER(D7897),ISNUMBER(H7897)),D7897*H7897*Inputs!$C$69,"")</f>
      </c>
      <c r="J7897" s="42">
        <f>IF(AND(ISNUMBER(F7897),ISNUMBER(H7897),F7897&gt;=Inputs!$C$68),F7897*H7897*Inputs!$C$69,"")</f>
      </c>
    </row>
    <row r="7898" spans="2:10" ht="15" customHeight="1" x14ac:dyDescent="0.2">
      <c r="B7898" s="39">
        <f t="shared" si="60"/>
      </c>
      <c r="C7898" s="40">
        <f>IF(Inputs!$C$60,Inputs!$C$11+(B7898-Inputs!$C$69)/Inputs!$C$70,"")</f>
      </c>
      <c r="D7898" s="15"/>
      <c r="E7898" s="15"/>
      <c r="F7898" s="11">
        <f t="shared" si="61"/>
      </c>
      <c r="G7898" s="22" cm="1">
        <f t="array" ref="G7898">IF(AND(Inputs!$C$60,Inputs!$C$61),INDEX(Utility_Rates!$C$29:$F$52,HOUR(C7898)+Inputs!$C$69,MATCH(INDEX(Utility_Rates!$K$6:$K$17,MONTH(C7898))&amp;IF(WEEKDAY(C7898,Inputs!$C$76)&lt;=Inputs!$C$74," weekday"," weekend"),Utility_Rates!$C$28:$F$28,Inputs!$C$68)),"")</f>
      </c>
      <c r="H7898" s="34"/>
      <c r="I7898" s="42">
        <f>IF(AND(ISNUMBER(D7898),ISNUMBER(H7898)),D7898*H7898*Inputs!$C$69,"")</f>
      </c>
      <c r="J7898" s="42">
        <f>IF(AND(ISNUMBER(F7898),ISNUMBER(H7898),F7898&gt;=Inputs!$C$68),F7898*H7898*Inputs!$C$69,"")</f>
      </c>
    </row>
    <row r="7899" spans="2:10" ht="15" customHeight="1" x14ac:dyDescent="0.2">
      <c r="B7899" s="39">
        <f t="shared" si="60"/>
      </c>
      <c r="C7899" s="40">
        <f>IF(Inputs!$C$60,Inputs!$C$11+(B7899-Inputs!$C$69)/Inputs!$C$70,"")</f>
      </c>
      <c r="D7899" s="15"/>
      <c r="E7899" s="15"/>
      <c r="F7899" s="11">
        <f t="shared" si="61"/>
      </c>
      <c r="G7899" s="22" cm="1">
        <f t="array" ref="G7899">IF(AND(Inputs!$C$60,Inputs!$C$61),INDEX(Utility_Rates!$C$29:$F$52,HOUR(C7899)+Inputs!$C$69,MATCH(INDEX(Utility_Rates!$K$6:$K$17,MONTH(C7899))&amp;IF(WEEKDAY(C7899,Inputs!$C$76)&lt;=Inputs!$C$74," weekday"," weekend"),Utility_Rates!$C$28:$F$28,Inputs!$C$68)),"")</f>
      </c>
      <c r="H7899" s="34"/>
      <c r="I7899" s="42">
        <f>IF(AND(ISNUMBER(D7899),ISNUMBER(H7899)),D7899*H7899*Inputs!$C$69,"")</f>
      </c>
      <c r="J7899" s="42">
        <f>IF(AND(ISNUMBER(F7899),ISNUMBER(H7899),F7899&gt;=Inputs!$C$68),F7899*H7899*Inputs!$C$69,"")</f>
      </c>
    </row>
    <row r="7900" spans="2:10" ht="15" customHeight="1" x14ac:dyDescent="0.2">
      <c r="B7900" s="39">
        <f t="shared" si="60"/>
      </c>
      <c r="C7900" s="40">
        <f>IF(Inputs!$C$60,Inputs!$C$11+(B7900-Inputs!$C$69)/Inputs!$C$70,"")</f>
      </c>
      <c r="D7900" s="15"/>
      <c r="E7900" s="15"/>
      <c r="F7900" s="11">
        <f t="shared" si="61"/>
      </c>
      <c r="G7900" s="22" cm="1">
        <f t="array" ref="G7900">IF(AND(Inputs!$C$60,Inputs!$C$61),INDEX(Utility_Rates!$C$29:$F$52,HOUR(C7900)+Inputs!$C$69,MATCH(INDEX(Utility_Rates!$K$6:$K$17,MONTH(C7900))&amp;IF(WEEKDAY(C7900,Inputs!$C$76)&lt;=Inputs!$C$74," weekday"," weekend"),Utility_Rates!$C$28:$F$28,Inputs!$C$68)),"")</f>
      </c>
      <c r="H7900" s="34"/>
      <c r="I7900" s="42">
        <f>IF(AND(ISNUMBER(D7900),ISNUMBER(H7900)),D7900*H7900*Inputs!$C$69,"")</f>
      </c>
      <c r="J7900" s="42">
        <f>IF(AND(ISNUMBER(F7900),ISNUMBER(H7900),F7900&gt;=Inputs!$C$68),F7900*H7900*Inputs!$C$69,"")</f>
      </c>
    </row>
    <row r="7901" spans="2:10" ht="15" customHeight="1" x14ac:dyDescent="0.2">
      <c r="B7901" s="39">
        <f t="shared" si="60"/>
      </c>
      <c r="C7901" s="40">
        <f>IF(Inputs!$C$60,Inputs!$C$11+(B7901-Inputs!$C$69)/Inputs!$C$70,"")</f>
      </c>
      <c r="D7901" s="15"/>
      <c r="E7901" s="15"/>
      <c r="F7901" s="11">
        <f t="shared" si="61"/>
      </c>
      <c r="G7901" s="22" cm="1">
        <f t="array" ref="G7901">IF(AND(Inputs!$C$60,Inputs!$C$61),INDEX(Utility_Rates!$C$29:$F$52,HOUR(C7901)+Inputs!$C$69,MATCH(INDEX(Utility_Rates!$K$6:$K$17,MONTH(C7901))&amp;IF(WEEKDAY(C7901,Inputs!$C$76)&lt;=Inputs!$C$74," weekday"," weekend"),Utility_Rates!$C$28:$F$28,Inputs!$C$68)),"")</f>
      </c>
      <c r="H7901" s="34"/>
      <c r="I7901" s="42">
        <f>IF(AND(ISNUMBER(D7901),ISNUMBER(H7901)),D7901*H7901*Inputs!$C$69,"")</f>
      </c>
      <c r="J7901" s="42">
        <f>IF(AND(ISNUMBER(F7901),ISNUMBER(H7901),F7901&gt;=Inputs!$C$68),F7901*H7901*Inputs!$C$69,"")</f>
      </c>
    </row>
    <row r="7902" spans="2:10" ht="15" customHeight="1" x14ac:dyDescent="0.2">
      <c r="B7902" s="39">
        <f t="shared" si="60"/>
      </c>
      <c r="C7902" s="40">
        <f>IF(Inputs!$C$60,Inputs!$C$11+(B7902-Inputs!$C$69)/Inputs!$C$70,"")</f>
      </c>
      <c r="D7902" s="15"/>
      <c r="E7902" s="15"/>
      <c r="F7902" s="11">
        <f t="shared" si="61"/>
      </c>
      <c r="G7902" s="22" cm="1">
        <f t="array" ref="G7902">IF(AND(Inputs!$C$60,Inputs!$C$61),INDEX(Utility_Rates!$C$29:$F$52,HOUR(C7902)+Inputs!$C$69,MATCH(INDEX(Utility_Rates!$K$6:$K$17,MONTH(C7902))&amp;IF(WEEKDAY(C7902,Inputs!$C$76)&lt;=Inputs!$C$74," weekday"," weekend"),Utility_Rates!$C$28:$F$28,Inputs!$C$68)),"")</f>
      </c>
      <c r="H7902" s="34"/>
      <c r="I7902" s="42">
        <f>IF(AND(ISNUMBER(D7902),ISNUMBER(H7902)),D7902*H7902*Inputs!$C$69,"")</f>
      </c>
      <c r="J7902" s="42">
        <f>IF(AND(ISNUMBER(F7902),ISNUMBER(H7902),F7902&gt;=Inputs!$C$68),F7902*H7902*Inputs!$C$69,"")</f>
      </c>
    </row>
    <row r="7903" spans="2:10" ht="15" customHeight="1" x14ac:dyDescent="0.2">
      <c r="B7903" s="39">
        <f t="shared" si="60"/>
      </c>
      <c r="C7903" s="40">
        <f>IF(Inputs!$C$60,Inputs!$C$11+(B7903-Inputs!$C$69)/Inputs!$C$70,"")</f>
      </c>
      <c r="D7903" s="15"/>
      <c r="E7903" s="15"/>
      <c r="F7903" s="11">
        <f t="shared" si="61"/>
      </c>
      <c r="G7903" s="22" cm="1">
        <f t="array" ref="G7903">IF(AND(Inputs!$C$60,Inputs!$C$61),INDEX(Utility_Rates!$C$29:$F$52,HOUR(C7903)+Inputs!$C$69,MATCH(INDEX(Utility_Rates!$K$6:$K$17,MONTH(C7903))&amp;IF(WEEKDAY(C7903,Inputs!$C$76)&lt;=Inputs!$C$74," weekday"," weekend"),Utility_Rates!$C$28:$F$28,Inputs!$C$68)),"")</f>
      </c>
      <c r="H7903" s="34"/>
      <c r="I7903" s="42">
        <f>IF(AND(ISNUMBER(D7903),ISNUMBER(H7903)),D7903*H7903*Inputs!$C$69,"")</f>
      </c>
      <c r="J7903" s="42">
        <f>IF(AND(ISNUMBER(F7903),ISNUMBER(H7903),F7903&gt;=Inputs!$C$68),F7903*H7903*Inputs!$C$69,"")</f>
      </c>
    </row>
    <row r="7904" spans="2:10" ht="15" customHeight="1" x14ac:dyDescent="0.2">
      <c r="B7904" s="39">
        <f t="shared" si="60"/>
      </c>
      <c r="C7904" s="40">
        <f>IF(Inputs!$C$60,Inputs!$C$11+(B7904-Inputs!$C$69)/Inputs!$C$70,"")</f>
      </c>
      <c r="D7904" s="15"/>
      <c r="E7904" s="15"/>
      <c r="F7904" s="11">
        <f t="shared" si="61"/>
      </c>
      <c r="G7904" s="22" cm="1">
        <f t="array" ref="G7904">IF(AND(Inputs!$C$60,Inputs!$C$61),INDEX(Utility_Rates!$C$29:$F$52,HOUR(C7904)+Inputs!$C$69,MATCH(INDEX(Utility_Rates!$K$6:$K$17,MONTH(C7904))&amp;IF(WEEKDAY(C7904,Inputs!$C$76)&lt;=Inputs!$C$74," weekday"," weekend"),Utility_Rates!$C$28:$F$28,Inputs!$C$68)),"")</f>
      </c>
      <c r="H7904" s="34"/>
      <c r="I7904" s="42">
        <f>IF(AND(ISNUMBER(D7904),ISNUMBER(H7904)),D7904*H7904*Inputs!$C$69,"")</f>
      </c>
      <c r="J7904" s="42">
        <f>IF(AND(ISNUMBER(F7904),ISNUMBER(H7904),F7904&gt;=Inputs!$C$68),F7904*H7904*Inputs!$C$69,"")</f>
      </c>
    </row>
    <row r="7905" spans="2:10" ht="15" customHeight="1" x14ac:dyDescent="0.2">
      <c r="B7905" s="39">
        <f t="shared" si="60"/>
      </c>
      <c r="C7905" s="40">
        <f>IF(Inputs!$C$60,Inputs!$C$11+(B7905-Inputs!$C$69)/Inputs!$C$70,"")</f>
      </c>
      <c r="D7905" s="15"/>
      <c r="E7905" s="15"/>
      <c r="F7905" s="11">
        <f t="shared" si="61"/>
      </c>
      <c r="G7905" s="22" cm="1">
        <f t="array" ref="G7905">IF(AND(Inputs!$C$60,Inputs!$C$61),INDEX(Utility_Rates!$C$29:$F$52,HOUR(C7905)+Inputs!$C$69,MATCH(INDEX(Utility_Rates!$K$6:$K$17,MONTH(C7905))&amp;IF(WEEKDAY(C7905,Inputs!$C$76)&lt;=Inputs!$C$74," weekday"," weekend"),Utility_Rates!$C$28:$F$28,Inputs!$C$68)),"")</f>
      </c>
      <c r="H7905" s="34"/>
      <c r="I7905" s="42">
        <f>IF(AND(ISNUMBER(D7905),ISNUMBER(H7905)),D7905*H7905*Inputs!$C$69,"")</f>
      </c>
      <c r="J7905" s="42">
        <f>IF(AND(ISNUMBER(F7905),ISNUMBER(H7905),F7905&gt;=Inputs!$C$68),F7905*H7905*Inputs!$C$69,"")</f>
      </c>
    </row>
    <row r="7906" spans="2:10" ht="15" customHeight="1" x14ac:dyDescent="0.2">
      <c r="B7906" s="39">
        <f t="shared" si="60"/>
      </c>
      <c r="C7906" s="40">
        <f>IF(Inputs!$C$60,Inputs!$C$11+(B7906-Inputs!$C$69)/Inputs!$C$70,"")</f>
      </c>
      <c r="D7906" s="15"/>
      <c r="E7906" s="15"/>
      <c r="F7906" s="11">
        <f t="shared" si="61"/>
      </c>
      <c r="G7906" s="22" cm="1">
        <f t="array" ref="G7906">IF(AND(Inputs!$C$60,Inputs!$C$61),INDEX(Utility_Rates!$C$29:$F$52,HOUR(C7906)+Inputs!$C$69,MATCH(INDEX(Utility_Rates!$K$6:$K$17,MONTH(C7906))&amp;IF(WEEKDAY(C7906,Inputs!$C$76)&lt;=Inputs!$C$74," weekday"," weekend"),Utility_Rates!$C$28:$F$28,Inputs!$C$68)),"")</f>
      </c>
      <c r="H7906" s="34"/>
      <c r="I7906" s="42">
        <f>IF(AND(ISNUMBER(D7906),ISNUMBER(H7906)),D7906*H7906*Inputs!$C$69,"")</f>
      </c>
      <c r="J7906" s="42">
        <f>IF(AND(ISNUMBER(F7906),ISNUMBER(H7906),F7906&gt;=Inputs!$C$68),F7906*H7906*Inputs!$C$69,"")</f>
      </c>
    </row>
    <row r="7907" spans="2:10" ht="15" customHeight="1" x14ac:dyDescent="0.2">
      <c r="B7907" s="39">
        <f t="shared" si="60"/>
      </c>
      <c r="C7907" s="40">
        <f>IF(Inputs!$C$60,Inputs!$C$11+(B7907-Inputs!$C$69)/Inputs!$C$70,"")</f>
      </c>
      <c r="D7907" s="15"/>
      <c r="E7907" s="15"/>
      <c r="F7907" s="11">
        <f t="shared" si="61"/>
      </c>
      <c r="G7907" s="22" cm="1">
        <f t="array" ref="G7907">IF(AND(Inputs!$C$60,Inputs!$C$61),INDEX(Utility_Rates!$C$29:$F$52,HOUR(C7907)+Inputs!$C$69,MATCH(INDEX(Utility_Rates!$K$6:$K$17,MONTH(C7907))&amp;IF(WEEKDAY(C7907,Inputs!$C$76)&lt;=Inputs!$C$74," weekday"," weekend"),Utility_Rates!$C$28:$F$28,Inputs!$C$68)),"")</f>
      </c>
      <c r="H7907" s="34"/>
      <c r="I7907" s="42">
        <f>IF(AND(ISNUMBER(D7907),ISNUMBER(H7907)),D7907*H7907*Inputs!$C$69,"")</f>
      </c>
      <c r="J7907" s="42">
        <f>IF(AND(ISNUMBER(F7907),ISNUMBER(H7907),F7907&gt;=Inputs!$C$68),F7907*H7907*Inputs!$C$69,"")</f>
      </c>
    </row>
    <row r="7908" spans="2:10" ht="15" customHeight="1" x14ac:dyDescent="0.2">
      <c r="B7908" s="39">
        <f t="shared" si="60"/>
      </c>
      <c r="C7908" s="40">
        <f>IF(Inputs!$C$60,Inputs!$C$11+(B7908-Inputs!$C$69)/Inputs!$C$70,"")</f>
      </c>
      <c r="D7908" s="15"/>
      <c r="E7908" s="15"/>
      <c r="F7908" s="11">
        <f t="shared" si="61"/>
      </c>
      <c r="G7908" s="22" cm="1">
        <f t="array" ref="G7908">IF(AND(Inputs!$C$60,Inputs!$C$61),INDEX(Utility_Rates!$C$29:$F$52,HOUR(C7908)+Inputs!$C$69,MATCH(INDEX(Utility_Rates!$K$6:$K$17,MONTH(C7908))&amp;IF(WEEKDAY(C7908,Inputs!$C$76)&lt;=Inputs!$C$74," weekday"," weekend"),Utility_Rates!$C$28:$F$28,Inputs!$C$68)),"")</f>
      </c>
      <c r="H7908" s="34"/>
      <c r="I7908" s="42">
        <f>IF(AND(ISNUMBER(D7908),ISNUMBER(H7908)),D7908*H7908*Inputs!$C$69,"")</f>
      </c>
      <c r="J7908" s="42">
        <f>IF(AND(ISNUMBER(F7908),ISNUMBER(H7908),F7908&gt;=Inputs!$C$68),F7908*H7908*Inputs!$C$69,"")</f>
      </c>
    </row>
    <row r="7909" spans="2:10" ht="15" customHeight="1" x14ac:dyDescent="0.2">
      <c r="B7909" s="39">
        <f t="shared" si="60"/>
      </c>
      <c r="C7909" s="40">
        <f>IF(Inputs!$C$60,Inputs!$C$11+(B7909-Inputs!$C$69)/Inputs!$C$70,"")</f>
      </c>
      <c r="D7909" s="15"/>
      <c r="E7909" s="15"/>
      <c r="F7909" s="11">
        <f t="shared" si="61"/>
      </c>
      <c r="G7909" s="22" cm="1">
        <f t="array" ref="G7909">IF(AND(Inputs!$C$60,Inputs!$C$61),INDEX(Utility_Rates!$C$29:$F$52,HOUR(C7909)+Inputs!$C$69,MATCH(INDEX(Utility_Rates!$K$6:$K$17,MONTH(C7909))&amp;IF(WEEKDAY(C7909,Inputs!$C$76)&lt;=Inputs!$C$74," weekday"," weekend"),Utility_Rates!$C$28:$F$28,Inputs!$C$68)),"")</f>
      </c>
      <c r="H7909" s="34"/>
      <c r="I7909" s="42">
        <f>IF(AND(ISNUMBER(D7909),ISNUMBER(H7909)),D7909*H7909*Inputs!$C$69,"")</f>
      </c>
      <c r="J7909" s="42">
        <f>IF(AND(ISNUMBER(F7909),ISNUMBER(H7909),F7909&gt;=Inputs!$C$68),F7909*H7909*Inputs!$C$69,"")</f>
      </c>
    </row>
    <row r="7910" spans="2:10" ht="15" customHeight="1" x14ac:dyDescent="0.2">
      <c r="B7910" s="39">
        <f t="shared" si="60"/>
      </c>
      <c r="C7910" s="40">
        <f>IF(Inputs!$C$60,Inputs!$C$11+(B7910-Inputs!$C$69)/Inputs!$C$70,"")</f>
      </c>
      <c r="D7910" s="15"/>
      <c r="E7910" s="15"/>
      <c r="F7910" s="11">
        <f t="shared" si="61"/>
      </c>
      <c r="G7910" s="22" cm="1">
        <f t="array" ref="G7910">IF(AND(Inputs!$C$60,Inputs!$C$61),INDEX(Utility_Rates!$C$29:$F$52,HOUR(C7910)+Inputs!$C$69,MATCH(INDEX(Utility_Rates!$K$6:$K$17,MONTH(C7910))&amp;IF(WEEKDAY(C7910,Inputs!$C$76)&lt;=Inputs!$C$74," weekday"," weekend"),Utility_Rates!$C$28:$F$28,Inputs!$C$68)),"")</f>
      </c>
      <c r="H7910" s="34"/>
      <c r="I7910" s="42">
        <f>IF(AND(ISNUMBER(D7910),ISNUMBER(H7910)),D7910*H7910*Inputs!$C$69,"")</f>
      </c>
      <c r="J7910" s="42">
        <f>IF(AND(ISNUMBER(F7910),ISNUMBER(H7910),F7910&gt;=Inputs!$C$68),F7910*H7910*Inputs!$C$69,"")</f>
      </c>
    </row>
    <row r="7911" spans="2:10" ht="15" customHeight="1" x14ac:dyDescent="0.2">
      <c r="B7911" s="39">
        <f t="shared" ref="B7911:B8165" si="62">ROW()-ROW($B$5)</f>
      </c>
      <c r="C7911" s="40">
        <f>IF(Inputs!$C$60,Inputs!$C$11+(B7911-Inputs!$C$69)/Inputs!$C$70,"")</f>
      </c>
      <c r="D7911" s="15"/>
      <c r="E7911" s="15"/>
      <c r="F7911" s="11">
        <f t="shared" ref="F7911:F8165" si="63">IF(COUNT(D7911:E7911)=COLUMNS(D7911:E7911),D7911-E7911,"")</f>
      </c>
      <c r="G7911" s="22" cm="1">
        <f t="array" ref="G7911">IF(AND(Inputs!$C$60,Inputs!$C$61),INDEX(Utility_Rates!$C$29:$F$52,HOUR(C7911)+Inputs!$C$69,MATCH(INDEX(Utility_Rates!$K$6:$K$17,MONTH(C7911))&amp;IF(WEEKDAY(C7911,Inputs!$C$76)&lt;=Inputs!$C$74," weekday"," weekend"),Utility_Rates!$C$28:$F$28,Inputs!$C$68)),"")</f>
      </c>
      <c r="H7911" s="34"/>
      <c r="I7911" s="42">
        <f>IF(AND(ISNUMBER(D7911),ISNUMBER(H7911)),D7911*H7911*Inputs!$C$69,"")</f>
      </c>
      <c r="J7911" s="42">
        <f>IF(AND(ISNUMBER(F7911),ISNUMBER(H7911),F7911&gt;=Inputs!$C$68),F7911*H7911*Inputs!$C$69,"")</f>
      </c>
    </row>
    <row r="7912" spans="2:10" ht="15" customHeight="1" x14ac:dyDescent="0.2">
      <c r="B7912" s="39">
        <f t="shared" si="62"/>
      </c>
      <c r="C7912" s="40">
        <f>IF(Inputs!$C$60,Inputs!$C$11+(B7912-Inputs!$C$69)/Inputs!$C$70,"")</f>
      </c>
      <c r="D7912" s="15"/>
      <c r="E7912" s="15"/>
      <c r="F7912" s="11">
        <f t="shared" si="63"/>
      </c>
      <c r="G7912" s="22" cm="1">
        <f t="array" ref="G7912">IF(AND(Inputs!$C$60,Inputs!$C$61),INDEX(Utility_Rates!$C$29:$F$52,HOUR(C7912)+Inputs!$C$69,MATCH(INDEX(Utility_Rates!$K$6:$K$17,MONTH(C7912))&amp;IF(WEEKDAY(C7912,Inputs!$C$76)&lt;=Inputs!$C$74," weekday"," weekend"),Utility_Rates!$C$28:$F$28,Inputs!$C$68)),"")</f>
      </c>
      <c r="H7912" s="34"/>
      <c r="I7912" s="42">
        <f>IF(AND(ISNUMBER(D7912),ISNUMBER(H7912)),D7912*H7912*Inputs!$C$69,"")</f>
      </c>
      <c r="J7912" s="42">
        <f>IF(AND(ISNUMBER(F7912),ISNUMBER(H7912),F7912&gt;=Inputs!$C$68),F7912*H7912*Inputs!$C$69,"")</f>
      </c>
    </row>
    <row r="7913" spans="2:10" ht="15" customHeight="1" x14ac:dyDescent="0.2">
      <c r="B7913" s="39">
        <f t="shared" si="62"/>
      </c>
      <c r="C7913" s="40">
        <f>IF(Inputs!$C$60,Inputs!$C$11+(B7913-Inputs!$C$69)/Inputs!$C$70,"")</f>
      </c>
      <c r="D7913" s="15"/>
      <c r="E7913" s="15"/>
      <c r="F7913" s="11">
        <f t="shared" si="63"/>
      </c>
      <c r="G7913" s="22" cm="1">
        <f t="array" ref="G7913">IF(AND(Inputs!$C$60,Inputs!$C$61),INDEX(Utility_Rates!$C$29:$F$52,HOUR(C7913)+Inputs!$C$69,MATCH(INDEX(Utility_Rates!$K$6:$K$17,MONTH(C7913))&amp;IF(WEEKDAY(C7913,Inputs!$C$76)&lt;=Inputs!$C$74," weekday"," weekend"),Utility_Rates!$C$28:$F$28,Inputs!$C$68)),"")</f>
      </c>
      <c r="H7913" s="34"/>
      <c r="I7913" s="42">
        <f>IF(AND(ISNUMBER(D7913),ISNUMBER(H7913)),D7913*H7913*Inputs!$C$69,"")</f>
      </c>
      <c r="J7913" s="42">
        <f>IF(AND(ISNUMBER(F7913),ISNUMBER(H7913),F7913&gt;=Inputs!$C$68),F7913*H7913*Inputs!$C$69,"")</f>
      </c>
    </row>
    <row r="7914" spans="2:10" ht="15" customHeight="1" x14ac:dyDescent="0.2">
      <c r="B7914" s="39">
        <f t="shared" si="62"/>
      </c>
      <c r="C7914" s="40">
        <f>IF(Inputs!$C$60,Inputs!$C$11+(B7914-Inputs!$C$69)/Inputs!$C$70,"")</f>
      </c>
      <c r="D7914" s="15"/>
      <c r="E7914" s="15"/>
      <c r="F7914" s="11">
        <f t="shared" si="63"/>
      </c>
      <c r="G7914" s="22" cm="1">
        <f t="array" ref="G7914">IF(AND(Inputs!$C$60,Inputs!$C$61),INDEX(Utility_Rates!$C$29:$F$52,HOUR(C7914)+Inputs!$C$69,MATCH(INDEX(Utility_Rates!$K$6:$K$17,MONTH(C7914))&amp;IF(WEEKDAY(C7914,Inputs!$C$76)&lt;=Inputs!$C$74," weekday"," weekend"),Utility_Rates!$C$28:$F$28,Inputs!$C$68)),"")</f>
      </c>
      <c r="H7914" s="34"/>
      <c r="I7914" s="42">
        <f>IF(AND(ISNUMBER(D7914),ISNUMBER(H7914)),D7914*H7914*Inputs!$C$69,"")</f>
      </c>
      <c r="J7914" s="42">
        <f>IF(AND(ISNUMBER(F7914),ISNUMBER(H7914),F7914&gt;=Inputs!$C$68),F7914*H7914*Inputs!$C$69,"")</f>
      </c>
    </row>
    <row r="7915" spans="2:10" ht="15" customHeight="1" x14ac:dyDescent="0.2">
      <c r="B7915" s="39">
        <f t="shared" si="62"/>
      </c>
      <c r="C7915" s="40">
        <f>IF(Inputs!$C$60,Inputs!$C$11+(B7915-Inputs!$C$69)/Inputs!$C$70,"")</f>
      </c>
      <c r="D7915" s="15"/>
      <c r="E7915" s="15"/>
      <c r="F7915" s="11">
        <f t="shared" si="63"/>
      </c>
      <c r="G7915" s="22" cm="1">
        <f t="array" ref="G7915">IF(AND(Inputs!$C$60,Inputs!$C$61),INDEX(Utility_Rates!$C$29:$F$52,HOUR(C7915)+Inputs!$C$69,MATCH(INDEX(Utility_Rates!$K$6:$K$17,MONTH(C7915))&amp;IF(WEEKDAY(C7915,Inputs!$C$76)&lt;=Inputs!$C$74," weekday"," weekend"),Utility_Rates!$C$28:$F$28,Inputs!$C$68)),"")</f>
      </c>
      <c r="H7915" s="34"/>
      <c r="I7915" s="42">
        <f>IF(AND(ISNUMBER(D7915),ISNUMBER(H7915)),D7915*H7915*Inputs!$C$69,"")</f>
      </c>
      <c r="J7915" s="42">
        <f>IF(AND(ISNUMBER(F7915),ISNUMBER(H7915),F7915&gt;=Inputs!$C$68),F7915*H7915*Inputs!$C$69,"")</f>
      </c>
    </row>
    <row r="7916" spans="2:10" ht="15" customHeight="1" x14ac:dyDescent="0.2">
      <c r="B7916" s="39">
        <f t="shared" si="62"/>
      </c>
      <c r="C7916" s="40">
        <f>IF(Inputs!$C$60,Inputs!$C$11+(B7916-Inputs!$C$69)/Inputs!$C$70,"")</f>
      </c>
      <c r="D7916" s="15"/>
      <c r="E7916" s="15"/>
      <c r="F7916" s="11">
        <f t="shared" si="63"/>
      </c>
      <c r="G7916" s="22" cm="1">
        <f t="array" ref="G7916">IF(AND(Inputs!$C$60,Inputs!$C$61),INDEX(Utility_Rates!$C$29:$F$52,HOUR(C7916)+Inputs!$C$69,MATCH(INDEX(Utility_Rates!$K$6:$K$17,MONTH(C7916))&amp;IF(WEEKDAY(C7916,Inputs!$C$76)&lt;=Inputs!$C$74," weekday"," weekend"),Utility_Rates!$C$28:$F$28,Inputs!$C$68)),"")</f>
      </c>
      <c r="H7916" s="34"/>
      <c r="I7916" s="42">
        <f>IF(AND(ISNUMBER(D7916),ISNUMBER(H7916)),D7916*H7916*Inputs!$C$69,"")</f>
      </c>
      <c r="J7916" s="42">
        <f>IF(AND(ISNUMBER(F7916),ISNUMBER(H7916),F7916&gt;=Inputs!$C$68),F7916*H7916*Inputs!$C$69,"")</f>
      </c>
    </row>
    <row r="7917" spans="2:10" ht="15" customHeight="1" x14ac:dyDescent="0.2">
      <c r="B7917" s="39">
        <f t="shared" si="62"/>
      </c>
      <c r="C7917" s="40">
        <f>IF(Inputs!$C$60,Inputs!$C$11+(B7917-Inputs!$C$69)/Inputs!$C$70,"")</f>
      </c>
      <c r="D7917" s="15"/>
      <c r="E7917" s="15"/>
      <c r="F7917" s="11">
        <f t="shared" si="63"/>
      </c>
      <c r="G7917" s="22" cm="1">
        <f t="array" ref="G7917">IF(AND(Inputs!$C$60,Inputs!$C$61),INDEX(Utility_Rates!$C$29:$F$52,HOUR(C7917)+Inputs!$C$69,MATCH(INDEX(Utility_Rates!$K$6:$K$17,MONTH(C7917))&amp;IF(WEEKDAY(C7917,Inputs!$C$76)&lt;=Inputs!$C$74," weekday"," weekend"),Utility_Rates!$C$28:$F$28,Inputs!$C$68)),"")</f>
      </c>
      <c r="H7917" s="34"/>
      <c r="I7917" s="42">
        <f>IF(AND(ISNUMBER(D7917),ISNUMBER(H7917)),D7917*H7917*Inputs!$C$69,"")</f>
      </c>
      <c r="J7917" s="42">
        <f>IF(AND(ISNUMBER(F7917),ISNUMBER(H7917),F7917&gt;=Inputs!$C$68),F7917*H7917*Inputs!$C$69,"")</f>
      </c>
    </row>
    <row r="7918" spans="2:10" ht="15" customHeight="1" x14ac:dyDescent="0.2">
      <c r="B7918" s="39">
        <f t="shared" si="62"/>
      </c>
      <c r="C7918" s="40">
        <f>IF(Inputs!$C$60,Inputs!$C$11+(B7918-Inputs!$C$69)/Inputs!$C$70,"")</f>
      </c>
      <c r="D7918" s="15"/>
      <c r="E7918" s="15"/>
      <c r="F7918" s="11">
        <f t="shared" si="63"/>
      </c>
      <c r="G7918" s="22" cm="1">
        <f t="array" ref="G7918">IF(AND(Inputs!$C$60,Inputs!$C$61),INDEX(Utility_Rates!$C$29:$F$52,HOUR(C7918)+Inputs!$C$69,MATCH(INDEX(Utility_Rates!$K$6:$K$17,MONTH(C7918))&amp;IF(WEEKDAY(C7918,Inputs!$C$76)&lt;=Inputs!$C$74," weekday"," weekend"),Utility_Rates!$C$28:$F$28,Inputs!$C$68)),"")</f>
      </c>
      <c r="H7918" s="34"/>
      <c r="I7918" s="42">
        <f>IF(AND(ISNUMBER(D7918),ISNUMBER(H7918)),D7918*H7918*Inputs!$C$69,"")</f>
      </c>
      <c r="J7918" s="42">
        <f>IF(AND(ISNUMBER(F7918),ISNUMBER(H7918),F7918&gt;=Inputs!$C$68),F7918*H7918*Inputs!$C$69,"")</f>
      </c>
    </row>
    <row r="7919" spans="2:10" ht="15" customHeight="1" x14ac:dyDescent="0.2">
      <c r="B7919" s="39">
        <f t="shared" si="62"/>
      </c>
      <c r="C7919" s="40">
        <f>IF(Inputs!$C$60,Inputs!$C$11+(B7919-Inputs!$C$69)/Inputs!$C$70,"")</f>
      </c>
      <c r="D7919" s="15"/>
      <c r="E7919" s="15"/>
      <c r="F7919" s="11">
        <f t="shared" si="63"/>
      </c>
      <c r="G7919" s="22" cm="1">
        <f t="array" ref="G7919">IF(AND(Inputs!$C$60,Inputs!$C$61),INDEX(Utility_Rates!$C$29:$F$52,HOUR(C7919)+Inputs!$C$69,MATCH(INDEX(Utility_Rates!$K$6:$K$17,MONTH(C7919))&amp;IF(WEEKDAY(C7919,Inputs!$C$76)&lt;=Inputs!$C$74," weekday"," weekend"),Utility_Rates!$C$28:$F$28,Inputs!$C$68)),"")</f>
      </c>
      <c r="H7919" s="34"/>
      <c r="I7919" s="42">
        <f>IF(AND(ISNUMBER(D7919),ISNUMBER(H7919)),D7919*H7919*Inputs!$C$69,"")</f>
      </c>
      <c r="J7919" s="42">
        <f>IF(AND(ISNUMBER(F7919),ISNUMBER(H7919),F7919&gt;=Inputs!$C$68),F7919*H7919*Inputs!$C$69,"")</f>
      </c>
    </row>
    <row r="7920" spans="2:10" ht="15" customHeight="1" x14ac:dyDescent="0.2">
      <c r="B7920" s="39">
        <f t="shared" si="62"/>
      </c>
      <c r="C7920" s="40">
        <f>IF(Inputs!$C$60,Inputs!$C$11+(B7920-Inputs!$C$69)/Inputs!$C$70,"")</f>
      </c>
      <c r="D7920" s="15"/>
      <c r="E7920" s="15"/>
      <c r="F7920" s="11">
        <f t="shared" si="63"/>
      </c>
      <c r="G7920" s="22" cm="1">
        <f t="array" ref="G7920">IF(AND(Inputs!$C$60,Inputs!$C$61),INDEX(Utility_Rates!$C$29:$F$52,HOUR(C7920)+Inputs!$C$69,MATCH(INDEX(Utility_Rates!$K$6:$K$17,MONTH(C7920))&amp;IF(WEEKDAY(C7920,Inputs!$C$76)&lt;=Inputs!$C$74," weekday"," weekend"),Utility_Rates!$C$28:$F$28,Inputs!$C$68)),"")</f>
      </c>
      <c r="H7920" s="34"/>
      <c r="I7920" s="42">
        <f>IF(AND(ISNUMBER(D7920),ISNUMBER(H7920)),D7920*H7920*Inputs!$C$69,"")</f>
      </c>
      <c r="J7920" s="42">
        <f>IF(AND(ISNUMBER(F7920),ISNUMBER(H7920),F7920&gt;=Inputs!$C$68),F7920*H7920*Inputs!$C$69,"")</f>
      </c>
    </row>
    <row r="7921" spans="2:10" ht="15" customHeight="1" x14ac:dyDescent="0.2">
      <c r="B7921" s="39">
        <f t="shared" si="62"/>
      </c>
      <c r="C7921" s="40">
        <f>IF(Inputs!$C$60,Inputs!$C$11+(B7921-Inputs!$C$69)/Inputs!$C$70,"")</f>
      </c>
      <c r="D7921" s="15"/>
      <c r="E7921" s="15"/>
      <c r="F7921" s="11">
        <f t="shared" si="63"/>
      </c>
      <c r="G7921" s="22" cm="1">
        <f t="array" ref="G7921">IF(AND(Inputs!$C$60,Inputs!$C$61),INDEX(Utility_Rates!$C$29:$F$52,HOUR(C7921)+Inputs!$C$69,MATCH(INDEX(Utility_Rates!$K$6:$K$17,MONTH(C7921))&amp;IF(WEEKDAY(C7921,Inputs!$C$76)&lt;=Inputs!$C$74," weekday"," weekend"),Utility_Rates!$C$28:$F$28,Inputs!$C$68)),"")</f>
      </c>
      <c r="H7921" s="34"/>
      <c r="I7921" s="42">
        <f>IF(AND(ISNUMBER(D7921),ISNUMBER(H7921)),D7921*H7921*Inputs!$C$69,"")</f>
      </c>
      <c r="J7921" s="42">
        <f>IF(AND(ISNUMBER(F7921),ISNUMBER(H7921),F7921&gt;=Inputs!$C$68),F7921*H7921*Inputs!$C$69,"")</f>
      </c>
    </row>
    <row r="7922" spans="2:10" ht="15" customHeight="1" x14ac:dyDescent="0.2">
      <c r="B7922" s="39">
        <f t="shared" si="62"/>
      </c>
      <c r="C7922" s="40">
        <f>IF(Inputs!$C$60,Inputs!$C$11+(B7922-Inputs!$C$69)/Inputs!$C$70,"")</f>
      </c>
      <c r="D7922" s="15"/>
      <c r="E7922" s="15"/>
      <c r="F7922" s="11">
        <f t="shared" si="63"/>
      </c>
      <c r="G7922" s="22" cm="1">
        <f t="array" ref="G7922">IF(AND(Inputs!$C$60,Inputs!$C$61),INDEX(Utility_Rates!$C$29:$F$52,HOUR(C7922)+Inputs!$C$69,MATCH(INDEX(Utility_Rates!$K$6:$K$17,MONTH(C7922))&amp;IF(WEEKDAY(C7922,Inputs!$C$76)&lt;=Inputs!$C$74," weekday"," weekend"),Utility_Rates!$C$28:$F$28,Inputs!$C$68)),"")</f>
      </c>
      <c r="H7922" s="34"/>
      <c r="I7922" s="42">
        <f>IF(AND(ISNUMBER(D7922),ISNUMBER(H7922)),D7922*H7922*Inputs!$C$69,"")</f>
      </c>
      <c r="J7922" s="42">
        <f>IF(AND(ISNUMBER(F7922),ISNUMBER(H7922),F7922&gt;=Inputs!$C$68),F7922*H7922*Inputs!$C$69,"")</f>
      </c>
    </row>
    <row r="7923" spans="2:10" ht="15" customHeight="1" x14ac:dyDescent="0.2">
      <c r="B7923" s="39">
        <f t="shared" si="62"/>
      </c>
      <c r="C7923" s="40">
        <f>IF(Inputs!$C$60,Inputs!$C$11+(B7923-Inputs!$C$69)/Inputs!$C$70,"")</f>
      </c>
      <c r="D7923" s="15"/>
      <c r="E7923" s="15"/>
      <c r="F7923" s="11">
        <f t="shared" si="63"/>
      </c>
      <c r="G7923" s="22" cm="1">
        <f t="array" ref="G7923">IF(AND(Inputs!$C$60,Inputs!$C$61),INDEX(Utility_Rates!$C$29:$F$52,HOUR(C7923)+Inputs!$C$69,MATCH(INDEX(Utility_Rates!$K$6:$K$17,MONTH(C7923))&amp;IF(WEEKDAY(C7923,Inputs!$C$76)&lt;=Inputs!$C$74," weekday"," weekend"),Utility_Rates!$C$28:$F$28,Inputs!$C$68)),"")</f>
      </c>
      <c r="H7923" s="34"/>
      <c r="I7923" s="42">
        <f>IF(AND(ISNUMBER(D7923),ISNUMBER(H7923)),D7923*H7923*Inputs!$C$69,"")</f>
      </c>
      <c r="J7923" s="42">
        <f>IF(AND(ISNUMBER(F7923),ISNUMBER(H7923),F7923&gt;=Inputs!$C$68),F7923*H7923*Inputs!$C$69,"")</f>
      </c>
    </row>
    <row r="7924" spans="2:10" ht="15" customHeight="1" x14ac:dyDescent="0.2">
      <c r="B7924" s="39">
        <f t="shared" si="62"/>
      </c>
      <c r="C7924" s="40">
        <f>IF(Inputs!$C$60,Inputs!$C$11+(B7924-Inputs!$C$69)/Inputs!$C$70,"")</f>
      </c>
      <c r="D7924" s="15"/>
      <c r="E7924" s="15"/>
      <c r="F7924" s="11">
        <f t="shared" si="63"/>
      </c>
      <c r="G7924" s="22" cm="1">
        <f t="array" ref="G7924">IF(AND(Inputs!$C$60,Inputs!$C$61),INDEX(Utility_Rates!$C$29:$F$52,HOUR(C7924)+Inputs!$C$69,MATCH(INDEX(Utility_Rates!$K$6:$K$17,MONTH(C7924))&amp;IF(WEEKDAY(C7924,Inputs!$C$76)&lt;=Inputs!$C$74," weekday"," weekend"),Utility_Rates!$C$28:$F$28,Inputs!$C$68)),"")</f>
      </c>
      <c r="H7924" s="34"/>
      <c r="I7924" s="42">
        <f>IF(AND(ISNUMBER(D7924),ISNUMBER(H7924)),D7924*H7924*Inputs!$C$69,"")</f>
      </c>
      <c r="J7924" s="42">
        <f>IF(AND(ISNUMBER(F7924),ISNUMBER(H7924),F7924&gt;=Inputs!$C$68),F7924*H7924*Inputs!$C$69,"")</f>
      </c>
    </row>
    <row r="7925" spans="2:10" ht="15" customHeight="1" x14ac:dyDescent="0.2">
      <c r="B7925" s="39">
        <f t="shared" si="62"/>
      </c>
      <c r="C7925" s="40">
        <f>IF(Inputs!$C$60,Inputs!$C$11+(B7925-Inputs!$C$69)/Inputs!$C$70,"")</f>
      </c>
      <c r="D7925" s="15"/>
      <c r="E7925" s="15"/>
      <c r="F7925" s="11">
        <f t="shared" si="63"/>
      </c>
      <c r="G7925" s="22" cm="1">
        <f t="array" ref="G7925">IF(AND(Inputs!$C$60,Inputs!$C$61),INDEX(Utility_Rates!$C$29:$F$52,HOUR(C7925)+Inputs!$C$69,MATCH(INDEX(Utility_Rates!$K$6:$K$17,MONTH(C7925))&amp;IF(WEEKDAY(C7925,Inputs!$C$76)&lt;=Inputs!$C$74," weekday"," weekend"),Utility_Rates!$C$28:$F$28,Inputs!$C$68)),"")</f>
      </c>
      <c r="H7925" s="34"/>
      <c r="I7925" s="42">
        <f>IF(AND(ISNUMBER(D7925),ISNUMBER(H7925)),D7925*H7925*Inputs!$C$69,"")</f>
      </c>
      <c r="J7925" s="42">
        <f>IF(AND(ISNUMBER(F7925),ISNUMBER(H7925),F7925&gt;=Inputs!$C$68),F7925*H7925*Inputs!$C$69,"")</f>
      </c>
    </row>
    <row r="7926" spans="2:10" ht="15" customHeight="1" x14ac:dyDescent="0.2">
      <c r="B7926" s="39">
        <f t="shared" si="62"/>
      </c>
      <c r="C7926" s="40">
        <f>IF(Inputs!$C$60,Inputs!$C$11+(B7926-Inputs!$C$69)/Inputs!$C$70,"")</f>
      </c>
      <c r="D7926" s="15"/>
      <c r="E7926" s="15"/>
      <c r="F7926" s="11">
        <f t="shared" si="63"/>
      </c>
      <c r="G7926" s="22" cm="1">
        <f t="array" ref="G7926">IF(AND(Inputs!$C$60,Inputs!$C$61),INDEX(Utility_Rates!$C$29:$F$52,HOUR(C7926)+Inputs!$C$69,MATCH(INDEX(Utility_Rates!$K$6:$K$17,MONTH(C7926))&amp;IF(WEEKDAY(C7926,Inputs!$C$76)&lt;=Inputs!$C$74," weekday"," weekend"),Utility_Rates!$C$28:$F$28,Inputs!$C$68)),"")</f>
      </c>
      <c r="H7926" s="34"/>
      <c r="I7926" s="42">
        <f>IF(AND(ISNUMBER(D7926),ISNUMBER(H7926)),D7926*H7926*Inputs!$C$69,"")</f>
      </c>
      <c r="J7926" s="42">
        <f>IF(AND(ISNUMBER(F7926),ISNUMBER(H7926),F7926&gt;=Inputs!$C$68),F7926*H7926*Inputs!$C$69,"")</f>
      </c>
    </row>
    <row r="7927" spans="2:10" ht="15" customHeight="1" x14ac:dyDescent="0.2">
      <c r="B7927" s="39">
        <f t="shared" si="62"/>
      </c>
      <c r="C7927" s="40">
        <f>IF(Inputs!$C$60,Inputs!$C$11+(B7927-Inputs!$C$69)/Inputs!$C$70,"")</f>
      </c>
      <c r="D7927" s="15"/>
      <c r="E7927" s="15"/>
      <c r="F7927" s="11">
        <f t="shared" si="63"/>
      </c>
      <c r="G7927" s="22" cm="1">
        <f t="array" ref="G7927">IF(AND(Inputs!$C$60,Inputs!$C$61),INDEX(Utility_Rates!$C$29:$F$52,HOUR(C7927)+Inputs!$C$69,MATCH(INDEX(Utility_Rates!$K$6:$K$17,MONTH(C7927))&amp;IF(WEEKDAY(C7927,Inputs!$C$76)&lt;=Inputs!$C$74," weekday"," weekend"),Utility_Rates!$C$28:$F$28,Inputs!$C$68)),"")</f>
      </c>
      <c r="H7927" s="34"/>
      <c r="I7927" s="42">
        <f>IF(AND(ISNUMBER(D7927),ISNUMBER(H7927)),D7927*H7927*Inputs!$C$69,"")</f>
      </c>
      <c r="J7927" s="42">
        <f>IF(AND(ISNUMBER(F7927),ISNUMBER(H7927),F7927&gt;=Inputs!$C$68),F7927*H7927*Inputs!$C$69,"")</f>
      </c>
    </row>
    <row r="7928" spans="2:10" ht="15" customHeight="1" x14ac:dyDescent="0.2">
      <c r="B7928" s="39">
        <f t="shared" si="62"/>
      </c>
      <c r="C7928" s="40">
        <f>IF(Inputs!$C$60,Inputs!$C$11+(B7928-Inputs!$C$69)/Inputs!$C$70,"")</f>
      </c>
      <c r="D7928" s="15"/>
      <c r="E7928" s="15"/>
      <c r="F7928" s="11">
        <f t="shared" si="63"/>
      </c>
      <c r="G7928" s="22" cm="1">
        <f t="array" ref="G7928">IF(AND(Inputs!$C$60,Inputs!$C$61),INDEX(Utility_Rates!$C$29:$F$52,HOUR(C7928)+Inputs!$C$69,MATCH(INDEX(Utility_Rates!$K$6:$K$17,MONTH(C7928))&amp;IF(WEEKDAY(C7928,Inputs!$C$76)&lt;=Inputs!$C$74," weekday"," weekend"),Utility_Rates!$C$28:$F$28,Inputs!$C$68)),"")</f>
      </c>
      <c r="H7928" s="34"/>
      <c r="I7928" s="42">
        <f>IF(AND(ISNUMBER(D7928),ISNUMBER(H7928)),D7928*H7928*Inputs!$C$69,"")</f>
      </c>
      <c r="J7928" s="42">
        <f>IF(AND(ISNUMBER(F7928),ISNUMBER(H7928),F7928&gt;=Inputs!$C$68),F7928*H7928*Inputs!$C$69,"")</f>
      </c>
    </row>
    <row r="7929" spans="2:10" ht="15" customHeight="1" x14ac:dyDescent="0.2">
      <c r="B7929" s="39">
        <f t="shared" si="62"/>
      </c>
      <c r="C7929" s="40">
        <f>IF(Inputs!$C$60,Inputs!$C$11+(B7929-Inputs!$C$69)/Inputs!$C$70,"")</f>
      </c>
      <c r="D7929" s="15"/>
      <c r="E7929" s="15"/>
      <c r="F7929" s="11">
        <f t="shared" si="63"/>
      </c>
      <c r="G7929" s="22" cm="1">
        <f t="array" ref="G7929">IF(AND(Inputs!$C$60,Inputs!$C$61),INDEX(Utility_Rates!$C$29:$F$52,HOUR(C7929)+Inputs!$C$69,MATCH(INDEX(Utility_Rates!$K$6:$K$17,MONTH(C7929))&amp;IF(WEEKDAY(C7929,Inputs!$C$76)&lt;=Inputs!$C$74," weekday"," weekend"),Utility_Rates!$C$28:$F$28,Inputs!$C$68)),"")</f>
      </c>
      <c r="H7929" s="34"/>
      <c r="I7929" s="42">
        <f>IF(AND(ISNUMBER(D7929),ISNUMBER(H7929)),D7929*H7929*Inputs!$C$69,"")</f>
      </c>
      <c r="J7929" s="42">
        <f>IF(AND(ISNUMBER(F7929),ISNUMBER(H7929),F7929&gt;=Inputs!$C$68),F7929*H7929*Inputs!$C$69,"")</f>
      </c>
    </row>
    <row r="7930" spans="2:10" ht="15" customHeight="1" x14ac:dyDescent="0.2">
      <c r="B7930" s="39">
        <f t="shared" si="62"/>
      </c>
      <c r="C7930" s="40">
        <f>IF(Inputs!$C$60,Inputs!$C$11+(B7930-Inputs!$C$69)/Inputs!$C$70,"")</f>
      </c>
      <c r="D7930" s="15"/>
      <c r="E7930" s="15"/>
      <c r="F7930" s="11">
        <f t="shared" si="63"/>
      </c>
      <c r="G7930" s="22" cm="1">
        <f t="array" ref="G7930">IF(AND(Inputs!$C$60,Inputs!$C$61),INDEX(Utility_Rates!$C$29:$F$52,HOUR(C7930)+Inputs!$C$69,MATCH(INDEX(Utility_Rates!$K$6:$K$17,MONTH(C7930))&amp;IF(WEEKDAY(C7930,Inputs!$C$76)&lt;=Inputs!$C$74," weekday"," weekend"),Utility_Rates!$C$28:$F$28,Inputs!$C$68)),"")</f>
      </c>
      <c r="H7930" s="34"/>
      <c r="I7930" s="42">
        <f>IF(AND(ISNUMBER(D7930),ISNUMBER(H7930)),D7930*H7930*Inputs!$C$69,"")</f>
      </c>
      <c r="J7930" s="42">
        <f>IF(AND(ISNUMBER(F7930),ISNUMBER(H7930),F7930&gt;=Inputs!$C$68),F7930*H7930*Inputs!$C$69,"")</f>
      </c>
    </row>
    <row r="7931" spans="2:10" ht="15" customHeight="1" x14ac:dyDescent="0.2">
      <c r="B7931" s="39">
        <f t="shared" si="62"/>
      </c>
      <c r="C7931" s="40">
        <f>IF(Inputs!$C$60,Inputs!$C$11+(B7931-Inputs!$C$69)/Inputs!$C$70,"")</f>
      </c>
      <c r="D7931" s="15"/>
      <c r="E7931" s="15"/>
      <c r="F7931" s="11">
        <f t="shared" si="63"/>
      </c>
      <c r="G7931" s="22" cm="1">
        <f t="array" ref="G7931">IF(AND(Inputs!$C$60,Inputs!$C$61),INDEX(Utility_Rates!$C$29:$F$52,HOUR(C7931)+Inputs!$C$69,MATCH(INDEX(Utility_Rates!$K$6:$K$17,MONTH(C7931))&amp;IF(WEEKDAY(C7931,Inputs!$C$76)&lt;=Inputs!$C$74," weekday"," weekend"),Utility_Rates!$C$28:$F$28,Inputs!$C$68)),"")</f>
      </c>
      <c r="H7931" s="34"/>
      <c r="I7931" s="42">
        <f>IF(AND(ISNUMBER(D7931),ISNUMBER(H7931)),D7931*H7931*Inputs!$C$69,"")</f>
      </c>
      <c r="J7931" s="42">
        <f>IF(AND(ISNUMBER(F7931),ISNUMBER(H7931),F7931&gt;=Inputs!$C$68),F7931*H7931*Inputs!$C$69,"")</f>
      </c>
    </row>
    <row r="7932" spans="2:10" ht="15" customHeight="1" x14ac:dyDescent="0.2">
      <c r="B7932" s="39">
        <f t="shared" si="62"/>
      </c>
      <c r="C7932" s="40">
        <f>IF(Inputs!$C$60,Inputs!$C$11+(B7932-Inputs!$C$69)/Inputs!$C$70,"")</f>
      </c>
      <c r="D7932" s="15"/>
      <c r="E7932" s="15"/>
      <c r="F7932" s="11">
        <f t="shared" si="63"/>
      </c>
      <c r="G7932" s="22" cm="1">
        <f t="array" ref="G7932">IF(AND(Inputs!$C$60,Inputs!$C$61),INDEX(Utility_Rates!$C$29:$F$52,HOUR(C7932)+Inputs!$C$69,MATCH(INDEX(Utility_Rates!$K$6:$K$17,MONTH(C7932))&amp;IF(WEEKDAY(C7932,Inputs!$C$76)&lt;=Inputs!$C$74," weekday"," weekend"),Utility_Rates!$C$28:$F$28,Inputs!$C$68)),"")</f>
      </c>
      <c r="H7932" s="34"/>
      <c r="I7932" s="42">
        <f>IF(AND(ISNUMBER(D7932),ISNUMBER(H7932)),D7932*H7932*Inputs!$C$69,"")</f>
      </c>
      <c r="J7932" s="42">
        <f>IF(AND(ISNUMBER(F7932),ISNUMBER(H7932),F7932&gt;=Inputs!$C$68),F7932*H7932*Inputs!$C$69,"")</f>
      </c>
    </row>
    <row r="7933" spans="2:10" ht="15" customHeight="1" x14ac:dyDescent="0.2">
      <c r="B7933" s="39">
        <f t="shared" si="62"/>
      </c>
      <c r="C7933" s="40">
        <f>IF(Inputs!$C$60,Inputs!$C$11+(B7933-Inputs!$C$69)/Inputs!$C$70,"")</f>
      </c>
      <c r="D7933" s="15"/>
      <c r="E7933" s="15"/>
      <c r="F7933" s="11">
        <f t="shared" si="63"/>
      </c>
      <c r="G7933" s="22" cm="1">
        <f t="array" ref="G7933">IF(AND(Inputs!$C$60,Inputs!$C$61),INDEX(Utility_Rates!$C$29:$F$52,HOUR(C7933)+Inputs!$C$69,MATCH(INDEX(Utility_Rates!$K$6:$K$17,MONTH(C7933))&amp;IF(WEEKDAY(C7933,Inputs!$C$76)&lt;=Inputs!$C$74," weekday"," weekend"),Utility_Rates!$C$28:$F$28,Inputs!$C$68)),"")</f>
      </c>
      <c r="H7933" s="34"/>
      <c r="I7933" s="42">
        <f>IF(AND(ISNUMBER(D7933),ISNUMBER(H7933)),D7933*H7933*Inputs!$C$69,"")</f>
      </c>
      <c r="J7933" s="42">
        <f>IF(AND(ISNUMBER(F7933),ISNUMBER(H7933),F7933&gt;=Inputs!$C$68),F7933*H7933*Inputs!$C$69,"")</f>
      </c>
    </row>
    <row r="7934" spans="2:10" ht="15" customHeight="1" x14ac:dyDescent="0.2">
      <c r="B7934" s="39">
        <f t="shared" si="62"/>
      </c>
      <c r="C7934" s="40">
        <f>IF(Inputs!$C$60,Inputs!$C$11+(B7934-Inputs!$C$69)/Inputs!$C$70,"")</f>
      </c>
      <c r="D7934" s="15"/>
      <c r="E7934" s="15"/>
      <c r="F7934" s="11">
        <f t="shared" si="63"/>
      </c>
      <c r="G7934" s="22" cm="1">
        <f t="array" ref="G7934">IF(AND(Inputs!$C$60,Inputs!$C$61),INDEX(Utility_Rates!$C$29:$F$52,HOUR(C7934)+Inputs!$C$69,MATCH(INDEX(Utility_Rates!$K$6:$K$17,MONTH(C7934))&amp;IF(WEEKDAY(C7934,Inputs!$C$76)&lt;=Inputs!$C$74," weekday"," weekend"),Utility_Rates!$C$28:$F$28,Inputs!$C$68)),"")</f>
      </c>
      <c r="H7934" s="34"/>
      <c r="I7934" s="42">
        <f>IF(AND(ISNUMBER(D7934),ISNUMBER(H7934)),D7934*H7934*Inputs!$C$69,"")</f>
      </c>
      <c r="J7934" s="42">
        <f>IF(AND(ISNUMBER(F7934),ISNUMBER(H7934),F7934&gt;=Inputs!$C$68),F7934*H7934*Inputs!$C$69,"")</f>
      </c>
    </row>
    <row r="7935" spans="2:10" ht="15" customHeight="1" x14ac:dyDescent="0.2">
      <c r="B7935" s="39">
        <f t="shared" si="62"/>
      </c>
      <c r="C7935" s="40">
        <f>IF(Inputs!$C$60,Inputs!$C$11+(B7935-Inputs!$C$69)/Inputs!$C$70,"")</f>
      </c>
      <c r="D7935" s="15"/>
      <c r="E7935" s="15"/>
      <c r="F7935" s="11">
        <f t="shared" si="63"/>
      </c>
      <c r="G7935" s="22" cm="1">
        <f t="array" ref="G7935">IF(AND(Inputs!$C$60,Inputs!$C$61),INDEX(Utility_Rates!$C$29:$F$52,HOUR(C7935)+Inputs!$C$69,MATCH(INDEX(Utility_Rates!$K$6:$K$17,MONTH(C7935))&amp;IF(WEEKDAY(C7935,Inputs!$C$76)&lt;=Inputs!$C$74," weekday"," weekend"),Utility_Rates!$C$28:$F$28,Inputs!$C$68)),"")</f>
      </c>
      <c r="H7935" s="34"/>
      <c r="I7935" s="42">
        <f>IF(AND(ISNUMBER(D7935),ISNUMBER(H7935)),D7935*H7935*Inputs!$C$69,"")</f>
      </c>
      <c r="J7935" s="42">
        <f>IF(AND(ISNUMBER(F7935),ISNUMBER(H7935),F7935&gt;=Inputs!$C$68),F7935*H7935*Inputs!$C$69,"")</f>
      </c>
    </row>
    <row r="7936" spans="2:10" ht="15" customHeight="1" x14ac:dyDescent="0.2">
      <c r="B7936" s="39">
        <f t="shared" si="62"/>
      </c>
      <c r="C7936" s="40">
        <f>IF(Inputs!$C$60,Inputs!$C$11+(B7936-Inputs!$C$69)/Inputs!$C$70,"")</f>
      </c>
      <c r="D7936" s="15"/>
      <c r="E7936" s="15"/>
      <c r="F7936" s="11">
        <f t="shared" si="63"/>
      </c>
      <c r="G7936" s="22" cm="1">
        <f t="array" ref="G7936">IF(AND(Inputs!$C$60,Inputs!$C$61),INDEX(Utility_Rates!$C$29:$F$52,HOUR(C7936)+Inputs!$C$69,MATCH(INDEX(Utility_Rates!$K$6:$K$17,MONTH(C7936))&amp;IF(WEEKDAY(C7936,Inputs!$C$76)&lt;=Inputs!$C$74," weekday"," weekend"),Utility_Rates!$C$28:$F$28,Inputs!$C$68)),"")</f>
      </c>
      <c r="H7936" s="34"/>
      <c r="I7936" s="42">
        <f>IF(AND(ISNUMBER(D7936),ISNUMBER(H7936)),D7936*H7936*Inputs!$C$69,"")</f>
      </c>
      <c r="J7936" s="42">
        <f>IF(AND(ISNUMBER(F7936),ISNUMBER(H7936),F7936&gt;=Inputs!$C$68),F7936*H7936*Inputs!$C$69,"")</f>
      </c>
    </row>
    <row r="7937" spans="2:10" ht="15" customHeight="1" x14ac:dyDescent="0.2">
      <c r="B7937" s="39">
        <f t="shared" si="62"/>
      </c>
      <c r="C7937" s="40">
        <f>IF(Inputs!$C$60,Inputs!$C$11+(B7937-Inputs!$C$69)/Inputs!$C$70,"")</f>
      </c>
      <c r="D7937" s="15"/>
      <c r="E7937" s="15"/>
      <c r="F7937" s="11">
        <f t="shared" si="63"/>
      </c>
      <c r="G7937" s="22" cm="1">
        <f t="array" ref="G7937">IF(AND(Inputs!$C$60,Inputs!$C$61),INDEX(Utility_Rates!$C$29:$F$52,HOUR(C7937)+Inputs!$C$69,MATCH(INDEX(Utility_Rates!$K$6:$K$17,MONTH(C7937))&amp;IF(WEEKDAY(C7937,Inputs!$C$76)&lt;=Inputs!$C$74," weekday"," weekend"),Utility_Rates!$C$28:$F$28,Inputs!$C$68)),"")</f>
      </c>
      <c r="H7937" s="34"/>
      <c r="I7937" s="42">
        <f>IF(AND(ISNUMBER(D7937),ISNUMBER(H7937)),D7937*H7937*Inputs!$C$69,"")</f>
      </c>
      <c r="J7937" s="42">
        <f>IF(AND(ISNUMBER(F7937),ISNUMBER(H7937),F7937&gt;=Inputs!$C$68),F7937*H7937*Inputs!$C$69,"")</f>
      </c>
    </row>
    <row r="7938" spans="2:10" ht="15" customHeight="1" x14ac:dyDescent="0.2">
      <c r="B7938" s="39">
        <f t="shared" si="62"/>
      </c>
      <c r="C7938" s="40">
        <f>IF(Inputs!$C$60,Inputs!$C$11+(B7938-Inputs!$C$69)/Inputs!$C$70,"")</f>
      </c>
      <c r="D7938" s="15"/>
      <c r="E7938" s="15"/>
      <c r="F7938" s="11">
        <f t="shared" si="63"/>
      </c>
      <c r="G7938" s="22" cm="1">
        <f t="array" ref="G7938">IF(AND(Inputs!$C$60,Inputs!$C$61),INDEX(Utility_Rates!$C$29:$F$52,HOUR(C7938)+Inputs!$C$69,MATCH(INDEX(Utility_Rates!$K$6:$K$17,MONTH(C7938))&amp;IF(WEEKDAY(C7938,Inputs!$C$76)&lt;=Inputs!$C$74," weekday"," weekend"),Utility_Rates!$C$28:$F$28,Inputs!$C$68)),"")</f>
      </c>
      <c r="H7938" s="34"/>
      <c r="I7938" s="42">
        <f>IF(AND(ISNUMBER(D7938),ISNUMBER(H7938)),D7938*H7938*Inputs!$C$69,"")</f>
      </c>
      <c r="J7938" s="42">
        <f>IF(AND(ISNUMBER(F7938),ISNUMBER(H7938),F7938&gt;=Inputs!$C$68),F7938*H7938*Inputs!$C$69,"")</f>
      </c>
    </row>
    <row r="7939" spans="2:10" ht="15" customHeight="1" x14ac:dyDescent="0.2">
      <c r="B7939" s="39">
        <f t="shared" si="62"/>
      </c>
      <c r="C7939" s="40">
        <f>IF(Inputs!$C$60,Inputs!$C$11+(B7939-Inputs!$C$69)/Inputs!$C$70,"")</f>
      </c>
      <c r="D7939" s="15"/>
      <c r="E7939" s="15"/>
      <c r="F7939" s="11">
        <f t="shared" si="63"/>
      </c>
      <c r="G7939" s="22" cm="1">
        <f t="array" ref="G7939">IF(AND(Inputs!$C$60,Inputs!$C$61),INDEX(Utility_Rates!$C$29:$F$52,HOUR(C7939)+Inputs!$C$69,MATCH(INDEX(Utility_Rates!$K$6:$K$17,MONTH(C7939))&amp;IF(WEEKDAY(C7939,Inputs!$C$76)&lt;=Inputs!$C$74," weekday"," weekend"),Utility_Rates!$C$28:$F$28,Inputs!$C$68)),"")</f>
      </c>
      <c r="H7939" s="34"/>
      <c r="I7939" s="42">
        <f>IF(AND(ISNUMBER(D7939),ISNUMBER(H7939)),D7939*H7939*Inputs!$C$69,"")</f>
      </c>
      <c r="J7939" s="42">
        <f>IF(AND(ISNUMBER(F7939),ISNUMBER(H7939),F7939&gt;=Inputs!$C$68),F7939*H7939*Inputs!$C$69,"")</f>
      </c>
    </row>
    <row r="7940" spans="2:10" ht="15" customHeight="1" x14ac:dyDescent="0.2">
      <c r="B7940" s="39">
        <f t="shared" si="62"/>
      </c>
      <c r="C7940" s="40">
        <f>IF(Inputs!$C$60,Inputs!$C$11+(B7940-Inputs!$C$69)/Inputs!$C$70,"")</f>
      </c>
      <c r="D7940" s="15"/>
      <c r="E7940" s="15"/>
      <c r="F7940" s="11">
        <f t="shared" si="63"/>
      </c>
      <c r="G7940" s="22" cm="1">
        <f t="array" ref="G7940">IF(AND(Inputs!$C$60,Inputs!$C$61),INDEX(Utility_Rates!$C$29:$F$52,HOUR(C7940)+Inputs!$C$69,MATCH(INDEX(Utility_Rates!$K$6:$K$17,MONTH(C7940))&amp;IF(WEEKDAY(C7940,Inputs!$C$76)&lt;=Inputs!$C$74," weekday"," weekend"),Utility_Rates!$C$28:$F$28,Inputs!$C$68)),"")</f>
      </c>
      <c r="H7940" s="34"/>
      <c r="I7940" s="42">
        <f>IF(AND(ISNUMBER(D7940),ISNUMBER(H7940)),D7940*H7940*Inputs!$C$69,"")</f>
      </c>
      <c r="J7940" s="42">
        <f>IF(AND(ISNUMBER(F7940),ISNUMBER(H7940),F7940&gt;=Inputs!$C$68),F7940*H7940*Inputs!$C$69,"")</f>
      </c>
    </row>
    <row r="7941" spans="2:10" ht="15" customHeight="1" x14ac:dyDescent="0.2">
      <c r="B7941" s="39">
        <f t="shared" si="62"/>
      </c>
      <c r="C7941" s="40">
        <f>IF(Inputs!$C$60,Inputs!$C$11+(B7941-Inputs!$C$69)/Inputs!$C$70,"")</f>
      </c>
      <c r="D7941" s="15"/>
      <c r="E7941" s="15"/>
      <c r="F7941" s="11">
        <f t="shared" si="63"/>
      </c>
      <c r="G7941" s="22" cm="1">
        <f t="array" ref="G7941">IF(AND(Inputs!$C$60,Inputs!$C$61),INDEX(Utility_Rates!$C$29:$F$52,HOUR(C7941)+Inputs!$C$69,MATCH(INDEX(Utility_Rates!$K$6:$K$17,MONTH(C7941))&amp;IF(WEEKDAY(C7941,Inputs!$C$76)&lt;=Inputs!$C$74," weekday"," weekend"),Utility_Rates!$C$28:$F$28,Inputs!$C$68)),"")</f>
      </c>
      <c r="H7941" s="34"/>
      <c r="I7941" s="42">
        <f>IF(AND(ISNUMBER(D7941),ISNUMBER(H7941)),D7941*H7941*Inputs!$C$69,"")</f>
      </c>
      <c r="J7941" s="42">
        <f>IF(AND(ISNUMBER(F7941),ISNUMBER(H7941),F7941&gt;=Inputs!$C$68),F7941*H7941*Inputs!$C$69,"")</f>
      </c>
    </row>
    <row r="7942" spans="2:10" ht="15" customHeight="1" x14ac:dyDescent="0.2">
      <c r="B7942" s="39">
        <f t="shared" si="62"/>
      </c>
      <c r="C7942" s="40">
        <f>IF(Inputs!$C$60,Inputs!$C$11+(B7942-Inputs!$C$69)/Inputs!$C$70,"")</f>
      </c>
      <c r="D7942" s="15"/>
      <c r="E7942" s="15"/>
      <c r="F7942" s="11">
        <f t="shared" si="63"/>
      </c>
      <c r="G7942" s="22" cm="1">
        <f t="array" ref="G7942">IF(AND(Inputs!$C$60,Inputs!$C$61),INDEX(Utility_Rates!$C$29:$F$52,HOUR(C7942)+Inputs!$C$69,MATCH(INDEX(Utility_Rates!$K$6:$K$17,MONTH(C7942))&amp;IF(WEEKDAY(C7942,Inputs!$C$76)&lt;=Inputs!$C$74," weekday"," weekend"),Utility_Rates!$C$28:$F$28,Inputs!$C$68)),"")</f>
      </c>
      <c r="H7942" s="34"/>
      <c r="I7942" s="42">
        <f>IF(AND(ISNUMBER(D7942),ISNUMBER(H7942)),D7942*H7942*Inputs!$C$69,"")</f>
      </c>
      <c r="J7942" s="42">
        <f>IF(AND(ISNUMBER(F7942),ISNUMBER(H7942),F7942&gt;=Inputs!$C$68),F7942*H7942*Inputs!$C$69,"")</f>
      </c>
    </row>
    <row r="7943" spans="2:10" ht="15" customHeight="1" x14ac:dyDescent="0.2">
      <c r="B7943" s="39">
        <f t="shared" si="62"/>
      </c>
      <c r="C7943" s="40">
        <f>IF(Inputs!$C$60,Inputs!$C$11+(B7943-Inputs!$C$69)/Inputs!$C$70,"")</f>
      </c>
      <c r="D7943" s="15"/>
      <c r="E7943" s="15"/>
      <c r="F7943" s="11">
        <f t="shared" si="63"/>
      </c>
      <c r="G7943" s="22" cm="1">
        <f t="array" ref="G7943">IF(AND(Inputs!$C$60,Inputs!$C$61),INDEX(Utility_Rates!$C$29:$F$52,HOUR(C7943)+Inputs!$C$69,MATCH(INDEX(Utility_Rates!$K$6:$K$17,MONTH(C7943))&amp;IF(WEEKDAY(C7943,Inputs!$C$76)&lt;=Inputs!$C$74," weekday"," weekend"),Utility_Rates!$C$28:$F$28,Inputs!$C$68)),"")</f>
      </c>
      <c r="H7943" s="34"/>
      <c r="I7943" s="42">
        <f>IF(AND(ISNUMBER(D7943),ISNUMBER(H7943)),D7943*H7943*Inputs!$C$69,"")</f>
      </c>
      <c r="J7943" s="42">
        <f>IF(AND(ISNUMBER(F7943),ISNUMBER(H7943),F7943&gt;=Inputs!$C$68),F7943*H7943*Inputs!$C$69,"")</f>
      </c>
    </row>
    <row r="7944" spans="2:10" ht="15" customHeight="1" x14ac:dyDescent="0.2">
      <c r="B7944" s="39">
        <f t="shared" si="62"/>
      </c>
      <c r="C7944" s="40">
        <f>IF(Inputs!$C$60,Inputs!$C$11+(B7944-Inputs!$C$69)/Inputs!$C$70,"")</f>
      </c>
      <c r="D7944" s="15"/>
      <c r="E7944" s="15"/>
      <c r="F7944" s="11">
        <f t="shared" si="63"/>
      </c>
      <c r="G7944" s="22" cm="1">
        <f t="array" ref="G7944">IF(AND(Inputs!$C$60,Inputs!$C$61),INDEX(Utility_Rates!$C$29:$F$52,HOUR(C7944)+Inputs!$C$69,MATCH(INDEX(Utility_Rates!$K$6:$K$17,MONTH(C7944))&amp;IF(WEEKDAY(C7944,Inputs!$C$76)&lt;=Inputs!$C$74," weekday"," weekend"),Utility_Rates!$C$28:$F$28,Inputs!$C$68)),"")</f>
      </c>
      <c r="H7944" s="34"/>
      <c r="I7944" s="42">
        <f>IF(AND(ISNUMBER(D7944),ISNUMBER(H7944)),D7944*H7944*Inputs!$C$69,"")</f>
      </c>
      <c r="J7944" s="42">
        <f>IF(AND(ISNUMBER(F7944),ISNUMBER(H7944),F7944&gt;=Inputs!$C$68),F7944*H7944*Inputs!$C$69,"")</f>
      </c>
    </row>
    <row r="7945" spans="2:10" ht="15" customHeight="1" x14ac:dyDescent="0.2">
      <c r="B7945" s="39">
        <f t="shared" si="62"/>
      </c>
      <c r="C7945" s="40">
        <f>IF(Inputs!$C$60,Inputs!$C$11+(B7945-Inputs!$C$69)/Inputs!$C$70,"")</f>
      </c>
      <c r="D7945" s="15"/>
      <c r="E7945" s="15"/>
      <c r="F7945" s="11">
        <f t="shared" si="63"/>
      </c>
      <c r="G7945" s="22" cm="1">
        <f t="array" ref="G7945">IF(AND(Inputs!$C$60,Inputs!$C$61),INDEX(Utility_Rates!$C$29:$F$52,HOUR(C7945)+Inputs!$C$69,MATCH(INDEX(Utility_Rates!$K$6:$K$17,MONTH(C7945))&amp;IF(WEEKDAY(C7945,Inputs!$C$76)&lt;=Inputs!$C$74," weekday"," weekend"),Utility_Rates!$C$28:$F$28,Inputs!$C$68)),"")</f>
      </c>
      <c r="H7945" s="34"/>
      <c r="I7945" s="42">
        <f>IF(AND(ISNUMBER(D7945),ISNUMBER(H7945)),D7945*H7945*Inputs!$C$69,"")</f>
      </c>
      <c r="J7945" s="42">
        <f>IF(AND(ISNUMBER(F7945),ISNUMBER(H7945),F7945&gt;=Inputs!$C$68),F7945*H7945*Inputs!$C$69,"")</f>
      </c>
    </row>
    <row r="7946" spans="2:10" ht="15" customHeight="1" x14ac:dyDescent="0.2">
      <c r="B7946" s="39">
        <f t="shared" si="62"/>
      </c>
      <c r="C7946" s="40">
        <f>IF(Inputs!$C$60,Inputs!$C$11+(B7946-Inputs!$C$69)/Inputs!$C$70,"")</f>
      </c>
      <c r="D7946" s="15"/>
      <c r="E7946" s="15"/>
      <c r="F7946" s="11">
        <f t="shared" si="63"/>
      </c>
      <c r="G7946" s="22" cm="1">
        <f t="array" ref="G7946">IF(AND(Inputs!$C$60,Inputs!$C$61),INDEX(Utility_Rates!$C$29:$F$52,HOUR(C7946)+Inputs!$C$69,MATCH(INDEX(Utility_Rates!$K$6:$K$17,MONTH(C7946))&amp;IF(WEEKDAY(C7946,Inputs!$C$76)&lt;=Inputs!$C$74," weekday"," weekend"),Utility_Rates!$C$28:$F$28,Inputs!$C$68)),"")</f>
      </c>
      <c r="H7946" s="34"/>
      <c r="I7946" s="42">
        <f>IF(AND(ISNUMBER(D7946),ISNUMBER(H7946)),D7946*H7946*Inputs!$C$69,"")</f>
      </c>
      <c r="J7946" s="42">
        <f>IF(AND(ISNUMBER(F7946),ISNUMBER(H7946),F7946&gt;=Inputs!$C$68),F7946*H7946*Inputs!$C$69,"")</f>
      </c>
    </row>
    <row r="7947" spans="2:10" ht="15" customHeight="1" x14ac:dyDescent="0.2">
      <c r="B7947" s="39">
        <f t="shared" si="62"/>
      </c>
      <c r="C7947" s="40">
        <f>IF(Inputs!$C$60,Inputs!$C$11+(B7947-Inputs!$C$69)/Inputs!$C$70,"")</f>
      </c>
      <c r="D7947" s="15"/>
      <c r="E7947" s="15"/>
      <c r="F7947" s="11">
        <f t="shared" si="63"/>
      </c>
      <c r="G7947" s="22" cm="1">
        <f t="array" ref="G7947">IF(AND(Inputs!$C$60,Inputs!$C$61),INDEX(Utility_Rates!$C$29:$F$52,HOUR(C7947)+Inputs!$C$69,MATCH(INDEX(Utility_Rates!$K$6:$K$17,MONTH(C7947))&amp;IF(WEEKDAY(C7947,Inputs!$C$76)&lt;=Inputs!$C$74," weekday"," weekend"),Utility_Rates!$C$28:$F$28,Inputs!$C$68)),"")</f>
      </c>
      <c r="H7947" s="34"/>
      <c r="I7947" s="42">
        <f>IF(AND(ISNUMBER(D7947),ISNUMBER(H7947)),D7947*H7947*Inputs!$C$69,"")</f>
      </c>
      <c r="J7947" s="42">
        <f>IF(AND(ISNUMBER(F7947),ISNUMBER(H7947),F7947&gt;=Inputs!$C$68),F7947*H7947*Inputs!$C$69,"")</f>
      </c>
    </row>
    <row r="7948" spans="2:10" ht="15" customHeight="1" x14ac:dyDescent="0.2">
      <c r="B7948" s="39">
        <f t="shared" si="62"/>
      </c>
      <c r="C7948" s="40">
        <f>IF(Inputs!$C$60,Inputs!$C$11+(B7948-Inputs!$C$69)/Inputs!$C$70,"")</f>
      </c>
      <c r="D7948" s="15"/>
      <c r="E7948" s="15"/>
      <c r="F7948" s="11">
        <f t="shared" si="63"/>
      </c>
      <c r="G7948" s="22" cm="1">
        <f t="array" ref="G7948">IF(AND(Inputs!$C$60,Inputs!$C$61),INDEX(Utility_Rates!$C$29:$F$52,HOUR(C7948)+Inputs!$C$69,MATCH(INDEX(Utility_Rates!$K$6:$K$17,MONTH(C7948))&amp;IF(WEEKDAY(C7948,Inputs!$C$76)&lt;=Inputs!$C$74," weekday"," weekend"),Utility_Rates!$C$28:$F$28,Inputs!$C$68)),"")</f>
      </c>
      <c r="H7948" s="34"/>
      <c r="I7948" s="42">
        <f>IF(AND(ISNUMBER(D7948),ISNUMBER(H7948)),D7948*H7948*Inputs!$C$69,"")</f>
      </c>
      <c r="J7948" s="42">
        <f>IF(AND(ISNUMBER(F7948),ISNUMBER(H7948),F7948&gt;=Inputs!$C$68),F7948*H7948*Inputs!$C$69,"")</f>
      </c>
    </row>
    <row r="7949" spans="2:10" ht="15" customHeight="1" x14ac:dyDescent="0.2">
      <c r="B7949" s="39">
        <f t="shared" si="62"/>
      </c>
      <c r="C7949" s="40">
        <f>IF(Inputs!$C$60,Inputs!$C$11+(B7949-Inputs!$C$69)/Inputs!$C$70,"")</f>
      </c>
      <c r="D7949" s="15"/>
      <c r="E7949" s="15"/>
      <c r="F7949" s="11">
        <f t="shared" si="63"/>
      </c>
      <c r="G7949" s="22" cm="1">
        <f t="array" ref="G7949">IF(AND(Inputs!$C$60,Inputs!$C$61),INDEX(Utility_Rates!$C$29:$F$52,HOUR(C7949)+Inputs!$C$69,MATCH(INDEX(Utility_Rates!$K$6:$K$17,MONTH(C7949))&amp;IF(WEEKDAY(C7949,Inputs!$C$76)&lt;=Inputs!$C$74," weekday"," weekend"),Utility_Rates!$C$28:$F$28,Inputs!$C$68)),"")</f>
      </c>
      <c r="H7949" s="34"/>
      <c r="I7949" s="42">
        <f>IF(AND(ISNUMBER(D7949),ISNUMBER(H7949)),D7949*H7949*Inputs!$C$69,"")</f>
      </c>
      <c r="J7949" s="42">
        <f>IF(AND(ISNUMBER(F7949),ISNUMBER(H7949),F7949&gt;=Inputs!$C$68),F7949*H7949*Inputs!$C$69,"")</f>
      </c>
    </row>
    <row r="7950" spans="2:10" ht="15" customHeight="1" x14ac:dyDescent="0.2">
      <c r="B7950" s="39">
        <f t="shared" si="62"/>
      </c>
      <c r="C7950" s="40">
        <f>IF(Inputs!$C$60,Inputs!$C$11+(B7950-Inputs!$C$69)/Inputs!$C$70,"")</f>
      </c>
      <c r="D7950" s="15"/>
      <c r="E7950" s="15"/>
      <c r="F7950" s="11">
        <f t="shared" si="63"/>
      </c>
      <c r="G7950" s="22" cm="1">
        <f t="array" ref="G7950">IF(AND(Inputs!$C$60,Inputs!$C$61),INDEX(Utility_Rates!$C$29:$F$52,HOUR(C7950)+Inputs!$C$69,MATCH(INDEX(Utility_Rates!$K$6:$K$17,MONTH(C7950))&amp;IF(WEEKDAY(C7950,Inputs!$C$76)&lt;=Inputs!$C$74," weekday"," weekend"),Utility_Rates!$C$28:$F$28,Inputs!$C$68)),"")</f>
      </c>
      <c r="H7950" s="34"/>
      <c r="I7950" s="42">
        <f>IF(AND(ISNUMBER(D7950),ISNUMBER(H7950)),D7950*H7950*Inputs!$C$69,"")</f>
      </c>
      <c r="J7950" s="42">
        <f>IF(AND(ISNUMBER(F7950),ISNUMBER(H7950),F7950&gt;=Inputs!$C$68),F7950*H7950*Inputs!$C$69,"")</f>
      </c>
    </row>
    <row r="7951" spans="2:10" ht="15" customHeight="1" x14ac:dyDescent="0.2">
      <c r="B7951" s="39">
        <f t="shared" si="62"/>
      </c>
      <c r="C7951" s="40">
        <f>IF(Inputs!$C$60,Inputs!$C$11+(B7951-Inputs!$C$69)/Inputs!$C$70,"")</f>
      </c>
      <c r="D7951" s="15"/>
      <c r="E7951" s="15"/>
      <c r="F7951" s="11">
        <f t="shared" si="63"/>
      </c>
      <c r="G7951" s="22" cm="1">
        <f t="array" ref="G7951">IF(AND(Inputs!$C$60,Inputs!$C$61),INDEX(Utility_Rates!$C$29:$F$52,HOUR(C7951)+Inputs!$C$69,MATCH(INDEX(Utility_Rates!$K$6:$K$17,MONTH(C7951))&amp;IF(WEEKDAY(C7951,Inputs!$C$76)&lt;=Inputs!$C$74," weekday"," weekend"),Utility_Rates!$C$28:$F$28,Inputs!$C$68)),"")</f>
      </c>
      <c r="H7951" s="34"/>
      <c r="I7951" s="42">
        <f>IF(AND(ISNUMBER(D7951),ISNUMBER(H7951)),D7951*H7951*Inputs!$C$69,"")</f>
      </c>
      <c r="J7951" s="42">
        <f>IF(AND(ISNUMBER(F7951),ISNUMBER(H7951),F7951&gt;=Inputs!$C$68),F7951*H7951*Inputs!$C$69,"")</f>
      </c>
    </row>
    <row r="7952" spans="2:10" ht="15" customHeight="1" x14ac:dyDescent="0.2">
      <c r="B7952" s="39">
        <f t="shared" si="62"/>
      </c>
      <c r="C7952" s="40">
        <f>IF(Inputs!$C$60,Inputs!$C$11+(B7952-Inputs!$C$69)/Inputs!$C$70,"")</f>
      </c>
      <c r="D7952" s="15"/>
      <c r="E7952" s="15"/>
      <c r="F7952" s="11">
        <f t="shared" si="63"/>
      </c>
      <c r="G7952" s="22" cm="1">
        <f t="array" ref="G7952">IF(AND(Inputs!$C$60,Inputs!$C$61),INDEX(Utility_Rates!$C$29:$F$52,HOUR(C7952)+Inputs!$C$69,MATCH(INDEX(Utility_Rates!$K$6:$K$17,MONTH(C7952))&amp;IF(WEEKDAY(C7952,Inputs!$C$76)&lt;=Inputs!$C$74," weekday"," weekend"),Utility_Rates!$C$28:$F$28,Inputs!$C$68)),"")</f>
      </c>
      <c r="H7952" s="34"/>
      <c r="I7952" s="42">
        <f>IF(AND(ISNUMBER(D7952),ISNUMBER(H7952)),D7952*H7952*Inputs!$C$69,"")</f>
      </c>
      <c r="J7952" s="42">
        <f>IF(AND(ISNUMBER(F7952),ISNUMBER(H7952),F7952&gt;=Inputs!$C$68),F7952*H7952*Inputs!$C$69,"")</f>
      </c>
    </row>
    <row r="7953" spans="2:10" ht="15" customHeight="1" x14ac:dyDescent="0.2">
      <c r="B7953" s="39">
        <f t="shared" si="62"/>
      </c>
      <c r="C7953" s="40">
        <f>IF(Inputs!$C$60,Inputs!$C$11+(B7953-Inputs!$C$69)/Inputs!$C$70,"")</f>
      </c>
      <c r="D7953" s="15"/>
      <c r="E7953" s="15"/>
      <c r="F7953" s="11">
        <f t="shared" si="63"/>
      </c>
      <c r="G7953" s="22" cm="1">
        <f t="array" ref="G7953">IF(AND(Inputs!$C$60,Inputs!$C$61),INDEX(Utility_Rates!$C$29:$F$52,HOUR(C7953)+Inputs!$C$69,MATCH(INDEX(Utility_Rates!$K$6:$K$17,MONTH(C7953))&amp;IF(WEEKDAY(C7953,Inputs!$C$76)&lt;=Inputs!$C$74," weekday"," weekend"),Utility_Rates!$C$28:$F$28,Inputs!$C$68)),"")</f>
      </c>
      <c r="H7953" s="34"/>
      <c r="I7953" s="42">
        <f>IF(AND(ISNUMBER(D7953),ISNUMBER(H7953)),D7953*H7953*Inputs!$C$69,"")</f>
      </c>
      <c r="J7953" s="42">
        <f>IF(AND(ISNUMBER(F7953),ISNUMBER(H7953),F7953&gt;=Inputs!$C$68),F7953*H7953*Inputs!$C$69,"")</f>
      </c>
    </row>
    <row r="7954" spans="2:10" ht="15" customHeight="1" x14ac:dyDescent="0.2">
      <c r="B7954" s="39">
        <f t="shared" si="62"/>
      </c>
      <c r="C7954" s="40">
        <f>IF(Inputs!$C$60,Inputs!$C$11+(B7954-Inputs!$C$69)/Inputs!$C$70,"")</f>
      </c>
      <c r="D7954" s="15"/>
      <c r="E7954" s="15"/>
      <c r="F7954" s="11">
        <f t="shared" si="63"/>
      </c>
      <c r="G7954" s="22" cm="1">
        <f t="array" ref="G7954">IF(AND(Inputs!$C$60,Inputs!$C$61),INDEX(Utility_Rates!$C$29:$F$52,HOUR(C7954)+Inputs!$C$69,MATCH(INDEX(Utility_Rates!$K$6:$K$17,MONTH(C7954))&amp;IF(WEEKDAY(C7954,Inputs!$C$76)&lt;=Inputs!$C$74," weekday"," weekend"),Utility_Rates!$C$28:$F$28,Inputs!$C$68)),"")</f>
      </c>
      <c r="H7954" s="34"/>
      <c r="I7954" s="42">
        <f>IF(AND(ISNUMBER(D7954),ISNUMBER(H7954)),D7954*H7954*Inputs!$C$69,"")</f>
      </c>
      <c r="J7954" s="42">
        <f>IF(AND(ISNUMBER(F7954),ISNUMBER(H7954),F7954&gt;=Inputs!$C$68),F7954*H7954*Inputs!$C$69,"")</f>
      </c>
    </row>
    <row r="7955" spans="2:10" ht="15" customHeight="1" x14ac:dyDescent="0.2">
      <c r="B7955" s="39">
        <f t="shared" si="62"/>
      </c>
      <c r="C7955" s="40">
        <f>IF(Inputs!$C$60,Inputs!$C$11+(B7955-Inputs!$C$69)/Inputs!$C$70,"")</f>
      </c>
      <c r="D7955" s="15"/>
      <c r="E7955" s="15"/>
      <c r="F7955" s="11">
        <f t="shared" si="63"/>
      </c>
      <c r="G7955" s="22" cm="1">
        <f t="array" ref="G7955">IF(AND(Inputs!$C$60,Inputs!$C$61),INDEX(Utility_Rates!$C$29:$F$52,HOUR(C7955)+Inputs!$C$69,MATCH(INDEX(Utility_Rates!$K$6:$K$17,MONTH(C7955))&amp;IF(WEEKDAY(C7955,Inputs!$C$76)&lt;=Inputs!$C$74," weekday"," weekend"),Utility_Rates!$C$28:$F$28,Inputs!$C$68)),"")</f>
      </c>
      <c r="H7955" s="34"/>
      <c r="I7955" s="42">
        <f>IF(AND(ISNUMBER(D7955),ISNUMBER(H7955)),D7955*H7955*Inputs!$C$69,"")</f>
      </c>
      <c r="J7955" s="42">
        <f>IF(AND(ISNUMBER(F7955),ISNUMBER(H7955),F7955&gt;=Inputs!$C$68),F7955*H7955*Inputs!$C$69,"")</f>
      </c>
    </row>
    <row r="7956" spans="2:10" ht="15" customHeight="1" x14ac:dyDescent="0.2">
      <c r="B7956" s="39">
        <f t="shared" si="62"/>
      </c>
      <c r="C7956" s="40">
        <f>IF(Inputs!$C$60,Inputs!$C$11+(B7956-Inputs!$C$69)/Inputs!$C$70,"")</f>
      </c>
      <c r="D7956" s="15"/>
      <c r="E7956" s="15"/>
      <c r="F7956" s="11">
        <f t="shared" si="63"/>
      </c>
      <c r="G7956" s="22" cm="1">
        <f t="array" ref="G7956">IF(AND(Inputs!$C$60,Inputs!$C$61),INDEX(Utility_Rates!$C$29:$F$52,HOUR(C7956)+Inputs!$C$69,MATCH(INDEX(Utility_Rates!$K$6:$K$17,MONTH(C7956))&amp;IF(WEEKDAY(C7956,Inputs!$C$76)&lt;=Inputs!$C$74," weekday"," weekend"),Utility_Rates!$C$28:$F$28,Inputs!$C$68)),"")</f>
      </c>
      <c r="H7956" s="34"/>
      <c r="I7956" s="42">
        <f>IF(AND(ISNUMBER(D7956),ISNUMBER(H7956)),D7956*H7956*Inputs!$C$69,"")</f>
      </c>
      <c r="J7956" s="42">
        <f>IF(AND(ISNUMBER(F7956),ISNUMBER(H7956),F7956&gt;=Inputs!$C$68),F7956*H7956*Inputs!$C$69,"")</f>
      </c>
    </row>
    <row r="7957" spans="2:10" ht="15" customHeight="1" x14ac:dyDescent="0.2">
      <c r="B7957" s="39">
        <f t="shared" si="62"/>
      </c>
      <c r="C7957" s="40">
        <f>IF(Inputs!$C$60,Inputs!$C$11+(B7957-Inputs!$C$69)/Inputs!$C$70,"")</f>
      </c>
      <c r="D7957" s="15"/>
      <c r="E7957" s="15"/>
      <c r="F7957" s="11">
        <f t="shared" si="63"/>
      </c>
      <c r="G7957" s="22" cm="1">
        <f t="array" ref="G7957">IF(AND(Inputs!$C$60,Inputs!$C$61),INDEX(Utility_Rates!$C$29:$F$52,HOUR(C7957)+Inputs!$C$69,MATCH(INDEX(Utility_Rates!$K$6:$K$17,MONTH(C7957))&amp;IF(WEEKDAY(C7957,Inputs!$C$76)&lt;=Inputs!$C$74," weekday"," weekend"),Utility_Rates!$C$28:$F$28,Inputs!$C$68)),"")</f>
      </c>
      <c r="H7957" s="34"/>
      <c r="I7957" s="42">
        <f>IF(AND(ISNUMBER(D7957),ISNUMBER(H7957)),D7957*H7957*Inputs!$C$69,"")</f>
      </c>
      <c r="J7957" s="42">
        <f>IF(AND(ISNUMBER(F7957),ISNUMBER(H7957),F7957&gt;=Inputs!$C$68),F7957*H7957*Inputs!$C$69,"")</f>
      </c>
    </row>
    <row r="7958" spans="2:10" ht="15" customHeight="1" x14ac:dyDescent="0.2">
      <c r="B7958" s="39">
        <f t="shared" si="62"/>
      </c>
      <c r="C7958" s="40">
        <f>IF(Inputs!$C$60,Inputs!$C$11+(B7958-Inputs!$C$69)/Inputs!$C$70,"")</f>
      </c>
      <c r="D7958" s="15"/>
      <c r="E7958" s="15"/>
      <c r="F7958" s="11">
        <f t="shared" si="63"/>
      </c>
      <c r="G7958" s="22" cm="1">
        <f t="array" ref="G7958">IF(AND(Inputs!$C$60,Inputs!$C$61),INDEX(Utility_Rates!$C$29:$F$52,HOUR(C7958)+Inputs!$C$69,MATCH(INDEX(Utility_Rates!$K$6:$K$17,MONTH(C7958))&amp;IF(WEEKDAY(C7958,Inputs!$C$76)&lt;=Inputs!$C$74," weekday"," weekend"),Utility_Rates!$C$28:$F$28,Inputs!$C$68)),"")</f>
      </c>
      <c r="H7958" s="34"/>
      <c r="I7958" s="42">
        <f>IF(AND(ISNUMBER(D7958),ISNUMBER(H7958)),D7958*H7958*Inputs!$C$69,"")</f>
      </c>
      <c r="J7958" s="42">
        <f>IF(AND(ISNUMBER(F7958),ISNUMBER(H7958),F7958&gt;=Inputs!$C$68),F7958*H7958*Inputs!$C$69,"")</f>
      </c>
    </row>
    <row r="7959" spans="2:10" ht="15" customHeight="1" x14ac:dyDescent="0.2">
      <c r="B7959" s="39">
        <f t="shared" si="62"/>
      </c>
      <c r="C7959" s="40">
        <f>IF(Inputs!$C$60,Inputs!$C$11+(B7959-Inputs!$C$69)/Inputs!$C$70,"")</f>
      </c>
      <c r="D7959" s="15"/>
      <c r="E7959" s="15"/>
      <c r="F7959" s="11">
        <f t="shared" si="63"/>
      </c>
      <c r="G7959" s="22" cm="1">
        <f t="array" ref="G7959">IF(AND(Inputs!$C$60,Inputs!$C$61),INDEX(Utility_Rates!$C$29:$F$52,HOUR(C7959)+Inputs!$C$69,MATCH(INDEX(Utility_Rates!$K$6:$K$17,MONTH(C7959))&amp;IF(WEEKDAY(C7959,Inputs!$C$76)&lt;=Inputs!$C$74," weekday"," weekend"),Utility_Rates!$C$28:$F$28,Inputs!$C$68)),"")</f>
      </c>
      <c r="H7959" s="34"/>
      <c r="I7959" s="42">
        <f>IF(AND(ISNUMBER(D7959),ISNUMBER(H7959)),D7959*H7959*Inputs!$C$69,"")</f>
      </c>
      <c r="J7959" s="42">
        <f>IF(AND(ISNUMBER(F7959),ISNUMBER(H7959),F7959&gt;=Inputs!$C$68),F7959*H7959*Inputs!$C$69,"")</f>
      </c>
    </row>
    <row r="7960" spans="2:10" ht="15" customHeight="1" x14ac:dyDescent="0.2">
      <c r="B7960" s="39">
        <f t="shared" si="62"/>
      </c>
      <c r="C7960" s="40">
        <f>IF(Inputs!$C$60,Inputs!$C$11+(B7960-Inputs!$C$69)/Inputs!$C$70,"")</f>
      </c>
      <c r="D7960" s="15"/>
      <c r="E7960" s="15"/>
      <c r="F7960" s="11">
        <f t="shared" si="63"/>
      </c>
      <c r="G7960" s="22" cm="1">
        <f t="array" ref="G7960">IF(AND(Inputs!$C$60,Inputs!$C$61),INDEX(Utility_Rates!$C$29:$F$52,HOUR(C7960)+Inputs!$C$69,MATCH(INDEX(Utility_Rates!$K$6:$K$17,MONTH(C7960))&amp;IF(WEEKDAY(C7960,Inputs!$C$76)&lt;=Inputs!$C$74," weekday"," weekend"),Utility_Rates!$C$28:$F$28,Inputs!$C$68)),"")</f>
      </c>
      <c r="H7960" s="34"/>
      <c r="I7960" s="42">
        <f>IF(AND(ISNUMBER(D7960),ISNUMBER(H7960)),D7960*H7960*Inputs!$C$69,"")</f>
      </c>
      <c r="J7960" s="42">
        <f>IF(AND(ISNUMBER(F7960),ISNUMBER(H7960),F7960&gt;=Inputs!$C$68),F7960*H7960*Inputs!$C$69,"")</f>
      </c>
    </row>
    <row r="7961" spans="2:10" ht="15" customHeight="1" x14ac:dyDescent="0.2">
      <c r="B7961" s="39">
        <f t="shared" si="62"/>
      </c>
      <c r="C7961" s="40">
        <f>IF(Inputs!$C$60,Inputs!$C$11+(B7961-Inputs!$C$69)/Inputs!$C$70,"")</f>
      </c>
      <c r="D7961" s="15"/>
      <c r="E7961" s="15"/>
      <c r="F7961" s="11">
        <f t="shared" si="63"/>
      </c>
      <c r="G7961" s="22" cm="1">
        <f t="array" ref="G7961">IF(AND(Inputs!$C$60,Inputs!$C$61),INDEX(Utility_Rates!$C$29:$F$52,HOUR(C7961)+Inputs!$C$69,MATCH(INDEX(Utility_Rates!$K$6:$K$17,MONTH(C7961))&amp;IF(WEEKDAY(C7961,Inputs!$C$76)&lt;=Inputs!$C$74," weekday"," weekend"),Utility_Rates!$C$28:$F$28,Inputs!$C$68)),"")</f>
      </c>
      <c r="H7961" s="34"/>
      <c r="I7961" s="42">
        <f>IF(AND(ISNUMBER(D7961),ISNUMBER(H7961)),D7961*H7961*Inputs!$C$69,"")</f>
      </c>
      <c r="J7961" s="42">
        <f>IF(AND(ISNUMBER(F7961),ISNUMBER(H7961),F7961&gt;=Inputs!$C$68),F7961*H7961*Inputs!$C$69,"")</f>
      </c>
    </row>
    <row r="7962" spans="2:10" ht="15" customHeight="1" x14ac:dyDescent="0.2">
      <c r="B7962" s="39">
        <f t="shared" si="62"/>
      </c>
      <c r="C7962" s="40">
        <f>IF(Inputs!$C$60,Inputs!$C$11+(B7962-Inputs!$C$69)/Inputs!$C$70,"")</f>
      </c>
      <c r="D7962" s="15"/>
      <c r="E7962" s="15"/>
      <c r="F7962" s="11">
        <f t="shared" si="63"/>
      </c>
      <c r="G7962" s="22" cm="1">
        <f t="array" ref="G7962">IF(AND(Inputs!$C$60,Inputs!$C$61),INDEX(Utility_Rates!$C$29:$F$52,HOUR(C7962)+Inputs!$C$69,MATCH(INDEX(Utility_Rates!$K$6:$K$17,MONTH(C7962))&amp;IF(WEEKDAY(C7962,Inputs!$C$76)&lt;=Inputs!$C$74," weekday"," weekend"),Utility_Rates!$C$28:$F$28,Inputs!$C$68)),"")</f>
      </c>
      <c r="H7962" s="34"/>
      <c r="I7962" s="42">
        <f>IF(AND(ISNUMBER(D7962),ISNUMBER(H7962)),D7962*H7962*Inputs!$C$69,"")</f>
      </c>
      <c r="J7962" s="42">
        <f>IF(AND(ISNUMBER(F7962),ISNUMBER(H7962),F7962&gt;=Inputs!$C$68),F7962*H7962*Inputs!$C$69,"")</f>
      </c>
    </row>
    <row r="7963" spans="2:10" ht="15" customHeight="1" x14ac:dyDescent="0.2">
      <c r="B7963" s="39">
        <f t="shared" si="62"/>
      </c>
      <c r="C7963" s="40">
        <f>IF(Inputs!$C$60,Inputs!$C$11+(B7963-Inputs!$C$69)/Inputs!$C$70,"")</f>
      </c>
      <c r="D7963" s="15"/>
      <c r="E7963" s="15"/>
      <c r="F7963" s="11">
        <f t="shared" si="63"/>
      </c>
      <c r="G7963" s="22" cm="1">
        <f t="array" ref="G7963">IF(AND(Inputs!$C$60,Inputs!$C$61),INDEX(Utility_Rates!$C$29:$F$52,HOUR(C7963)+Inputs!$C$69,MATCH(INDEX(Utility_Rates!$K$6:$K$17,MONTH(C7963))&amp;IF(WEEKDAY(C7963,Inputs!$C$76)&lt;=Inputs!$C$74," weekday"," weekend"),Utility_Rates!$C$28:$F$28,Inputs!$C$68)),"")</f>
      </c>
      <c r="H7963" s="34"/>
      <c r="I7963" s="42">
        <f>IF(AND(ISNUMBER(D7963),ISNUMBER(H7963)),D7963*H7963*Inputs!$C$69,"")</f>
      </c>
      <c r="J7963" s="42">
        <f>IF(AND(ISNUMBER(F7963),ISNUMBER(H7963),F7963&gt;=Inputs!$C$68),F7963*H7963*Inputs!$C$69,"")</f>
      </c>
    </row>
    <row r="7964" spans="2:10" ht="15" customHeight="1" x14ac:dyDescent="0.2">
      <c r="B7964" s="39">
        <f t="shared" si="62"/>
      </c>
      <c r="C7964" s="40">
        <f>IF(Inputs!$C$60,Inputs!$C$11+(B7964-Inputs!$C$69)/Inputs!$C$70,"")</f>
      </c>
      <c r="D7964" s="15"/>
      <c r="E7964" s="15"/>
      <c r="F7964" s="11">
        <f t="shared" si="63"/>
      </c>
      <c r="G7964" s="22" cm="1">
        <f t="array" ref="G7964">IF(AND(Inputs!$C$60,Inputs!$C$61),INDEX(Utility_Rates!$C$29:$F$52,HOUR(C7964)+Inputs!$C$69,MATCH(INDEX(Utility_Rates!$K$6:$K$17,MONTH(C7964))&amp;IF(WEEKDAY(C7964,Inputs!$C$76)&lt;=Inputs!$C$74," weekday"," weekend"),Utility_Rates!$C$28:$F$28,Inputs!$C$68)),"")</f>
      </c>
      <c r="H7964" s="34"/>
      <c r="I7964" s="42">
        <f>IF(AND(ISNUMBER(D7964),ISNUMBER(H7964)),D7964*H7964*Inputs!$C$69,"")</f>
      </c>
      <c r="J7964" s="42">
        <f>IF(AND(ISNUMBER(F7964),ISNUMBER(H7964),F7964&gt;=Inputs!$C$68),F7964*H7964*Inputs!$C$69,"")</f>
      </c>
    </row>
    <row r="7965" spans="2:10" ht="15" customHeight="1" x14ac:dyDescent="0.2">
      <c r="B7965" s="39">
        <f t="shared" si="62"/>
      </c>
      <c r="C7965" s="40">
        <f>IF(Inputs!$C$60,Inputs!$C$11+(B7965-Inputs!$C$69)/Inputs!$C$70,"")</f>
      </c>
      <c r="D7965" s="15"/>
      <c r="E7965" s="15"/>
      <c r="F7965" s="11">
        <f t="shared" si="63"/>
      </c>
      <c r="G7965" s="22" cm="1">
        <f t="array" ref="G7965">IF(AND(Inputs!$C$60,Inputs!$C$61),INDEX(Utility_Rates!$C$29:$F$52,HOUR(C7965)+Inputs!$C$69,MATCH(INDEX(Utility_Rates!$K$6:$K$17,MONTH(C7965))&amp;IF(WEEKDAY(C7965,Inputs!$C$76)&lt;=Inputs!$C$74," weekday"," weekend"),Utility_Rates!$C$28:$F$28,Inputs!$C$68)),"")</f>
      </c>
      <c r="H7965" s="34"/>
      <c r="I7965" s="42">
        <f>IF(AND(ISNUMBER(D7965),ISNUMBER(H7965)),D7965*H7965*Inputs!$C$69,"")</f>
      </c>
      <c r="J7965" s="42">
        <f>IF(AND(ISNUMBER(F7965),ISNUMBER(H7965),F7965&gt;=Inputs!$C$68),F7965*H7965*Inputs!$C$69,"")</f>
      </c>
    </row>
    <row r="7966" spans="2:10" ht="15" customHeight="1" x14ac:dyDescent="0.2">
      <c r="B7966" s="39">
        <f t="shared" si="62"/>
      </c>
      <c r="C7966" s="40">
        <f>IF(Inputs!$C$60,Inputs!$C$11+(B7966-Inputs!$C$69)/Inputs!$C$70,"")</f>
      </c>
      <c r="D7966" s="15"/>
      <c r="E7966" s="15"/>
      <c r="F7966" s="11">
        <f t="shared" si="63"/>
      </c>
      <c r="G7966" s="22" cm="1">
        <f t="array" ref="G7966">IF(AND(Inputs!$C$60,Inputs!$C$61),INDEX(Utility_Rates!$C$29:$F$52,HOUR(C7966)+Inputs!$C$69,MATCH(INDEX(Utility_Rates!$K$6:$K$17,MONTH(C7966))&amp;IF(WEEKDAY(C7966,Inputs!$C$76)&lt;=Inputs!$C$74," weekday"," weekend"),Utility_Rates!$C$28:$F$28,Inputs!$C$68)),"")</f>
      </c>
      <c r="H7966" s="34"/>
      <c r="I7966" s="42">
        <f>IF(AND(ISNUMBER(D7966),ISNUMBER(H7966)),D7966*H7966*Inputs!$C$69,"")</f>
      </c>
      <c r="J7966" s="42">
        <f>IF(AND(ISNUMBER(F7966),ISNUMBER(H7966),F7966&gt;=Inputs!$C$68),F7966*H7966*Inputs!$C$69,"")</f>
      </c>
    </row>
    <row r="7967" spans="2:10" ht="15" customHeight="1" x14ac:dyDescent="0.2">
      <c r="B7967" s="39">
        <f t="shared" si="62"/>
      </c>
      <c r="C7967" s="40">
        <f>IF(Inputs!$C$60,Inputs!$C$11+(B7967-Inputs!$C$69)/Inputs!$C$70,"")</f>
      </c>
      <c r="D7967" s="15"/>
      <c r="E7967" s="15"/>
      <c r="F7967" s="11">
        <f t="shared" si="63"/>
      </c>
      <c r="G7967" s="22" cm="1">
        <f t="array" ref="G7967">IF(AND(Inputs!$C$60,Inputs!$C$61),INDEX(Utility_Rates!$C$29:$F$52,HOUR(C7967)+Inputs!$C$69,MATCH(INDEX(Utility_Rates!$K$6:$K$17,MONTH(C7967))&amp;IF(WEEKDAY(C7967,Inputs!$C$76)&lt;=Inputs!$C$74," weekday"," weekend"),Utility_Rates!$C$28:$F$28,Inputs!$C$68)),"")</f>
      </c>
      <c r="H7967" s="34"/>
      <c r="I7967" s="42">
        <f>IF(AND(ISNUMBER(D7967),ISNUMBER(H7967)),D7967*H7967*Inputs!$C$69,"")</f>
      </c>
      <c r="J7967" s="42">
        <f>IF(AND(ISNUMBER(F7967),ISNUMBER(H7967),F7967&gt;=Inputs!$C$68),F7967*H7967*Inputs!$C$69,"")</f>
      </c>
    </row>
    <row r="7968" spans="2:10" ht="15" customHeight="1" x14ac:dyDescent="0.2">
      <c r="B7968" s="39">
        <f t="shared" si="62"/>
      </c>
      <c r="C7968" s="40">
        <f>IF(Inputs!$C$60,Inputs!$C$11+(B7968-Inputs!$C$69)/Inputs!$C$70,"")</f>
      </c>
      <c r="D7968" s="15"/>
      <c r="E7968" s="15"/>
      <c r="F7968" s="11">
        <f t="shared" si="63"/>
      </c>
      <c r="G7968" s="22" cm="1">
        <f t="array" ref="G7968">IF(AND(Inputs!$C$60,Inputs!$C$61),INDEX(Utility_Rates!$C$29:$F$52,HOUR(C7968)+Inputs!$C$69,MATCH(INDEX(Utility_Rates!$K$6:$K$17,MONTH(C7968))&amp;IF(WEEKDAY(C7968,Inputs!$C$76)&lt;=Inputs!$C$74," weekday"," weekend"),Utility_Rates!$C$28:$F$28,Inputs!$C$68)),"")</f>
      </c>
      <c r="H7968" s="34"/>
      <c r="I7968" s="42">
        <f>IF(AND(ISNUMBER(D7968),ISNUMBER(H7968)),D7968*H7968*Inputs!$C$69,"")</f>
      </c>
      <c r="J7968" s="42">
        <f>IF(AND(ISNUMBER(F7968),ISNUMBER(H7968),F7968&gt;=Inputs!$C$68),F7968*H7968*Inputs!$C$69,"")</f>
      </c>
    </row>
    <row r="7969" spans="2:10" ht="15" customHeight="1" x14ac:dyDescent="0.2">
      <c r="B7969" s="39">
        <f t="shared" si="62"/>
      </c>
      <c r="C7969" s="40">
        <f>IF(Inputs!$C$60,Inputs!$C$11+(B7969-Inputs!$C$69)/Inputs!$C$70,"")</f>
      </c>
      <c r="D7969" s="15"/>
      <c r="E7969" s="15"/>
      <c r="F7969" s="11">
        <f t="shared" si="63"/>
      </c>
      <c r="G7969" s="22" cm="1">
        <f t="array" ref="G7969">IF(AND(Inputs!$C$60,Inputs!$C$61),INDEX(Utility_Rates!$C$29:$F$52,HOUR(C7969)+Inputs!$C$69,MATCH(INDEX(Utility_Rates!$K$6:$K$17,MONTH(C7969))&amp;IF(WEEKDAY(C7969,Inputs!$C$76)&lt;=Inputs!$C$74," weekday"," weekend"),Utility_Rates!$C$28:$F$28,Inputs!$C$68)),"")</f>
      </c>
      <c r="H7969" s="34"/>
      <c r="I7969" s="42">
        <f>IF(AND(ISNUMBER(D7969),ISNUMBER(H7969)),D7969*H7969*Inputs!$C$69,"")</f>
      </c>
      <c r="J7969" s="42">
        <f>IF(AND(ISNUMBER(F7969),ISNUMBER(H7969),F7969&gt;=Inputs!$C$68),F7969*H7969*Inputs!$C$69,"")</f>
      </c>
    </row>
    <row r="7970" spans="2:10" ht="15" customHeight="1" x14ac:dyDescent="0.2">
      <c r="B7970" s="39">
        <f t="shared" si="62"/>
      </c>
      <c r="C7970" s="40">
        <f>IF(Inputs!$C$60,Inputs!$C$11+(B7970-Inputs!$C$69)/Inputs!$C$70,"")</f>
      </c>
      <c r="D7970" s="15"/>
      <c r="E7970" s="15"/>
      <c r="F7970" s="11">
        <f t="shared" si="63"/>
      </c>
      <c r="G7970" s="22" cm="1">
        <f t="array" ref="G7970">IF(AND(Inputs!$C$60,Inputs!$C$61),INDEX(Utility_Rates!$C$29:$F$52,HOUR(C7970)+Inputs!$C$69,MATCH(INDEX(Utility_Rates!$K$6:$K$17,MONTH(C7970))&amp;IF(WEEKDAY(C7970,Inputs!$C$76)&lt;=Inputs!$C$74," weekday"," weekend"),Utility_Rates!$C$28:$F$28,Inputs!$C$68)),"")</f>
      </c>
      <c r="H7970" s="34"/>
      <c r="I7970" s="42">
        <f>IF(AND(ISNUMBER(D7970),ISNUMBER(H7970)),D7970*H7970*Inputs!$C$69,"")</f>
      </c>
      <c r="J7970" s="42">
        <f>IF(AND(ISNUMBER(F7970),ISNUMBER(H7970),F7970&gt;=Inputs!$C$68),F7970*H7970*Inputs!$C$69,"")</f>
      </c>
    </row>
    <row r="7971" spans="2:10" ht="15" customHeight="1" x14ac:dyDescent="0.2">
      <c r="B7971" s="39">
        <f t="shared" si="62"/>
      </c>
      <c r="C7971" s="40">
        <f>IF(Inputs!$C$60,Inputs!$C$11+(B7971-Inputs!$C$69)/Inputs!$C$70,"")</f>
      </c>
      <c r="D7971" s="15"/>
      <c r="E7971" s="15"/>
      <c r="F7971" s="11">
        <f t="shared" si="63"/>
      </c>
      <c r="G7971" s="22" cm="1">
        <f t="array" ref="G7971">IF(AND(Inputs!$C$60,Inputs!$C$61),INDEX(Utility_Rates!$C$29:$F$52,HOUR(C7971)+Inputs!$C$69,MATCH(INDEX(Utility_Rates!$K$6:$K$17,MONTH(C7971))&amp;IF(WEEKDAY(C7971,Inputs!$C$76)&lt;=Inputs!$C$74," weekday"," weekend"),Utility_Rates!$C$28:$F$28,Inputs!$C$68)),"")</f>
      </c>
      <c r="H7971" s="34"/>
      <c r="I7971" s="42">
        <f>IF(AND(ISNUMBER(D7971),ISNUMBER(H7971)),D7971*H7971*Inputs!$C$69,"")</f>
      </c>
      <c r="J7971" s="42">
        <f>IF(AND(ISNUMBER(F7971),ISNUMBER(H7971),F7971&gt;=Inputs!$C$68),F7971*H7971*Inputs!$C$69,"")</f>
      </c>
    </row>
    <row r="7972" spans="2:10" ht="15" customHeight="1" x14ac:dyDescent="0.2">
      <c r="B7972" s="39">
        <f t="shared" si="62"/>
      </c>
      <c r="C7972" s="40">
        <f>IF(Inputs!$C$60,Inputs!$C$11+(B7972-Inputs!$C$69)/Inputs!$C$70,"")</f>
      </c>
      <c r="D7972" s="15"/>
      <c r="E7972" s="15"/>
      <c r="F7972" s="11">
        <f t="shared" si="63"/>
      </c>
      <c r="G7972" s="22" cm="1">
        <f t="array" ref="G7972">IF(AND(Inputs!$C$60,Inputs!$C$61),INDEX(Utility_Rates!$C$29:$F$52,HOUR(C7972)+Inputs!$C$69,MATCH(INDEX(Utility_Rates!$K$6:$K$17,MONTH(C7972))&amp;IF(WEEKDAY(C7972,Inputs!$C$76)&lt;=Inputs!$C$74," weekday"," weekend"),Utility_Rates!$C$28:$F$28,Inputs!$C$68)),"")</f>
      </c>
      <c r="H7972" s="34"/>
      <c r="I7972" s="42">
        <f>IF(AND(ISNUMBER(D7972),ISNUMBER(H7972)),D7972*H7972*Inputs!$C$69,"")</f>
      </c>
      <c r="J7972" s="42">
        <f>IF(AND(ISNUMBER(F7972),ISNUMBER(H7972),F7972&gt;=Inputs!$C$68),F7972*H7972*Inputs!$C$69,"")</f>
      </c>
    </row>
    <row r="7973" spans="2:10" ht="15" customHeight="1" x14ac:dyDescent="0.2">
      <c r="B7973" s="39">
        <f t="shared" si="62"/>
      </c>
      <c r="C7973" s="40">
        <f>IF(Inputs!$C$60,Inputs!$C$11+(B7973-Inputs!$C$69)/Inputs!$C$70,"")</f>
      </c>
      <c r="D7973" s="15"/>
      <c r="E7973" s="15"/>
      <c r="F7973" s="11">
        <f t="shared" si="63"/>
      </c>
      <c r="G7973" s="22" cm="1">
        <f t="array" ref="G7973">IF(AND(Inputs!$C$60,Inputs!$C$61),INDEX(Utility_Rates!$C$29:$F$52,HOUR(C7973)+Inputs!$C$69,MATCH(INDEX(Utility_Rates!$K$6:$K$17,MONTH(C7973))&amp;IF(WEEKDAY(C7973,Inputs!$C$76)&lt;=Inputs!$C$74," weekday"," weekend"),Utility_Rates!$C$28:$F$28,Inputs!$C$68)),"")</f>
      </c>
      <c r="H7973" s="34"/>
      <c r="I7973" s="42">
        <f>IF(AND(ISNUMBER(D7973),ISNUMBER(H7973)),D7973*H7973*Inputs!$C$69,"")</f>
      </c>
      <c r="J7973" s="42">
        <f>IF(AND(ISNUMBER(F7973),ISNUMBER(H7973),F7973&gt;=Inputs!$C$68),F7973*H7973*Inputs!$C$69,"")</f>
      </c>
    </row>
    <row r="7974" spans="2:10" ht="15" customHeight="1" x14ac:dyDescent="0.2">
      <c r="B7974" s="39">
        <f t="shared" si="62"/>
      </c>
      <c r="C7974" s="40">
        <f>IF(Inputs!$C$60,Inputs!$C$11+(B7974-Inputs!$C$69)/Inputs!$C$70,"")</f>
      </c>
      <c r="D7974" s="15"/>
      <c r="E7974" s="15"/>
      <c r="F7974" s="11">
        <f t="shared" si="63"/>
      </c>
      <c r="G7974" s="22" cm="1">
        <f t="array" ref="G7974">IF(AND(Inputs!$C$60,Inputs!$C$61),INDEX(Utility_Rates!$C$29:$F$52,HOUR(C7974)+Inputs!$C$69,MATCH(INDEX(Utility_Rates!$K$6:$K$17,MONTH(C7974))&amp;IF(WEEKDAY(C7974,Inputs!$C$76)&lt;=Inputs!$C$74," weekday"," weekend"),Utility_Rates!$C$28:$F$28,Inputs!$C$68)),"")</f>
      </c>
      <c r="H7974" s="34"/>
      <c r="I7974" s="42">
        <f>IF(AND(ISNUMBER(D7974),ISNUMBER(H7974)),D7974*H7974*Inputs!$C$69,"")</f>
      </c>
      <c r="J7974" s="42">
        <f>IF(AND(ISNUMBER(F7974),ISNUMBER(H7974),F7974&gt;=Inputs!$C$68),F7974*H7974*Inputs!$C$69,"")</f>
      </c>
    </row>
    <row r="7975" spans="2:10" ht="15" customHeight="1" x14ac:dyDescent="0.2">
      <c r="B7975" s="39">
        <f t="shared" si="62"/>
      </c>
      <c r="C7975" s="40">
        <f>IF(Inputs!$C$60,Inputs!$C$11+(B7975-Inputs!$C$69)/Inputs!$C$70,"")</f>
      </c>
      <c r="D7975" s="15"/>
      <c r="E7975" s="15"/>
      <c r="F7975" s="11">
        <f t="shared" si="63"/>
      </c>
      <c r="G7975" s="22" cm="1">
        <f t="array" ref="G7975">IF(AND(Inputs!$C$60,Inputs!$C$61),INDEX(Utility_Rates!$C$29:$F$52,HOUR(C7975)+Inputs!$C$69,MATCH(INDEX(Utility_Rates!$K$6:$K$17,MONTH(C7975))&amp;IF(WEEKDAY(C7975,Inputs!$C$76)&lt;=Inputs!$C$74," weekday"," weekend"),Utility_Rates!$C$28:$F$28,Inputs!$C$68)),"")</f>
      </c>
      <c r="H7975" s="34"/>
      <c r="I7975" s="42">
        <f>IF(AND(ISNUMBER(D7975),ISNUMBER(H7975)),D7975*H7975*Inputs!$C$69,"")</f>
      </c>
      <c r="J7975" s="42">
        <f>IF(AND(ISNUMBER(F7975),ISNUMBER(H7975),F7975&gt;=Inputs!$C$68),F7975*H7975*Inputs!$C$69,"")</f>
      </c>
    </row>
    <row r="7976" spans="2:10" ht="15" customHeight="1" x14ac:dyDescent="0.2">
      <c r="B7976" s="39">
        <f t="shared" si="62"/>
      </c>
      <c r="C7976" s="40">
        <f>IF(Inputs!$C$60,Inputs!$C$11+(B7976-Inputs!$C$69)/Inputs!$C$70,"")</f>
      </c>
      <c r="D7976" s="15"/>
      <c r="E7976" s="15"/>
      <c r="F7976" s="11">
        <f t="shared" si="63"/>
      </c>
      <c r="G7976" s="22" cm="1">
        <f t="array" ref="G7976">IF(AND(Inputs!$C$60,Inputs!$C$61),INDEX(Utility_Rates!$C$29:$F$52,HOUR(C7976)+Inputs!$C$69,MATCH(INDEX(Utility_Rates!$K$6:$K$17,MONTH(C7976))&amp;IF(WEEKDAY(C7976,Inputs!$C$76)&lt;=Inputs!$C$74," weekday"," weekend"),Utility_Rates!$C$28:$F$28,Inputs!$C$68)),"")</f>
      </c>
      <c r="H7976" s="34"/>
      <c r="I7976" s="42">
        <f>IF(AND(ISNUMBER(D7976),ISNUMBER(H7976)),D7976*H7976*Inputs!$C$69,"")</f>
      </c>
      <c r="J7976" s="42">
        <f>IF(AND(ISNUMBER(F7976),ISNUMBER(H7976),F7976&gt;=Inputs!$C$68),F7976*H7976*Inputs!$C$69,"")</f>
      </c>
    </row>
    <row r="7977" spans="2:10" ht="15" customHeight="1" x14ac:dyDescent="0.2">
      <c r="B7977" s="39">
        <f t="shared" si="62"/>
      </c>
      <c r="C7977" s="40">
        <f>IF(Inputs!$C$60,Inputs!$C$11+(B7977-Inputs!$C$69)/Inputs!$C$70,"")</f>
      </c>
      <c r="D7977" s="15"/>
      <c r="E7977" s="15"/>
      <c r="F7977" s="11">
        <f t="shared" si="63"/>
      </c>
      <c r="G7977" s="22" cm="1">
        <f t="array" ref="G7977">IF(AND(Inputs!$C$60,Inputs!$C$61),INDEX(Utility_Rates!$C$29:$F$52,HOUR(C7977)+Inputs!$C$69,MATCH(INDEX(Utility_Rates!$K$6:$K$17,MONTH(C7977))&amp;IF(WEEKDAY(C7977,Inputs!$C$76)&lt;=Inputs!$C$74," weekday"," weekend"),Utility_Rates!$C$28:$F$28,Inputs!$C$68)),"")</f>
      </c>
      <c r="H7977" s="34"/>
      <c r="I7977" s="42">
        <f>IF(AND(ISNUMBER(D7977),ISNUMBER(H7977)),D7977*H7977*Inputs!$C$69,"")</f>
      </c>
      <c r="J7977" s="42">
        <f>IF(AND(ISNUMBER(F7977),ISNUMBER(H7977),F7977&gt;=Inputs!$C$68),F7977*H7977*Inputs!$C$69,"")</f>
      </c>
    </row>
    <row r="7978" spans="2:10" ht="15" customHeight="1" x14ac:dyDescent="0.2">
      <c r="B7978" s="39">
        <f t="shared" si="62"/>
      </c>
      <c r="C7978" s="40">
        <f>IF(Inputs!$C$60,Inputs!$C$11+(B7978-Inputs!$C$69)/Inputs!$C$70,"")</f>
      </c>
      <c r="D7978" s="15"/>
      <c r="E7978" s="15"/>
      <c r="F7978" s="11">
        <f t="shared" si="63"/>
      </c>
      <c r="G7978" s="22" cm="1">
        <f t="array" ref="G7978">IF(AND(Inputs!$C$60,Inputs!$C$61),INDEX(Utility_Rates!$C$29:$F$52,HOUR(C7978)+Inputs!$C$69,MATCH(INDEX(Utility_Rates!$K$6:$K$17,MONTH(C7978))&amp;IF(WEEKDAY(C7978,Inputs!$C$76)&lt;=Inputs!$C$74," weekday"," weekend"),Utility_Rates!$C$28:$F$28,Inputs!$C$68)),"")</f>
      </c>
      <c r="H7978" s="34"/>
      <c r="I7978" s="42">
        <f>IF(AND(ISNUMBER(D7978),ISNUMBER(H7978)),D7978*H7978*Inputs!$C$69,"")</f>
      </c>
      <c r="J7978" s="42">
        <f>IF(AND(ISNUMBER(F7978),ISNUMBER(H7978),F7978&gt;=Inputs!$C$68),F7978*H7978*Inputs!$C$69,"")</f>
      </c>
    </row>
    <row r="7979" spans="2:10" ht="15" customHeight="1" x14ac:dyDescent="0.2">
      <c r="B7979" s="39">
        <f t="shared" si="62"/>
      </c>
      <c r="C7979" s="40">
        <f>IF(Inputs!$C$60,Inputs!$C$11+(B7979-Inputs!$C$69)/Inputs!$C$70,"")</f>
      </c>
      <c r="D7979" s="15"/>
      <c r="E7979" s="15"/>
      <c r="F7979" s="11">
        <f t="shared" si="63"/>
      </c>
      <c r="G7979" s="22" cm="1">
        <f t="array" ref="G7979">IF(AND(Inputs!$C$60,Inputs!$C$61),INDEX(Utility_Rates!$C$29:$F$52,HOUR(C7979)+Inputs!$C$69,MATCH(INDEX(Utility_Rates!$K$6:$K$17,MONTH(C7979))&amp;IF(WEEKDAY(C7979,Inputs!$C$76)&lt;=Inputs!$C$74," weekday"," weekend"),Utility_Rates!$C$28:$F$28,Inputs!$C$68)),"")</f>
      </c>
      <c r="H7979" s="34"/>
      <c r="I7979" s="42">
        <f>IF(AND(ISNUMBER(D7979),ISNUMBER(H7979)),D7979*H7979*Inputs!$C$69,"")</f>
      </c>
      <c r="J7979" s="42">
        <f>IF(AND(ISNUMBER(F7979),ISNUMBER(H7979),F7979&gt;=Inputs!$C$68),F7979*H7979*Inputs!$C$69,"")</f>
      </c>
    </row>
    <row r="7980" spans="2:10" ht="15" customHeight="1" x14ac:dyDescent="0.2">
      <c r="B7980" s="39">
        <f t="shared" si="62"/>
      </c>
      <c r="C7980" s="40">
        <f>IF(Inputs!$C$60,Inputs!$C$11+(B7980-Inputs!$C$69)/Inputs!$C$70,"")</f>
      </c>
      <c r="D7980" s="15"/>
      <c r="E7980" s="15"/>
      <c r="F7980" s="11">
        <f t="shared" si="63"/>
      </c>
      <c r="G7980" s="22" cm="1">
        <f t="array" ref="G7980">IF(AND(Inputs!$C$60,Inputs!$C$61),INDEX(Utility_Rates!$C$29:$F$52,HOUR(C7980)+Inputs!$C$69,MATCH(INDEX(Utility_Rates!$K$6:$K$17,MONTH(C7980))&amp;IF(WEEKDAY(C7980,Inputs!$C$76)&lt;=Inputs!$C$74," weekday"," weekend"),Utility_Rates!$C$28:$F$28,Inputs!$C$68)),"")</f>
      </c>
      <c r="H7980" s="34"/>
      <c r="I7980" s="42">
        <f>IF(AND(ISNUMBER(D7980),ISNUMBER(H7980)),D7980*H7980*Inputs!$C$69,"")</f>
      </c>
      <c r="J7980" s="42">
        <f>IF(AND(ISNUMBER(F7980),ISNUMBER(H7980),F7980&gt;=Inputs!$C$68),F7980*H7980*Inputs!$C$69,"")</f>
      </c>
    </row>
    <row r="7981" spans="2:10" ht="15" customHeight="1" x14ac:dyDescent="0.2">
      <c r="B7981" s="39">
        <f t="shared" si="62"/>
      </c>
      <c r="C7981" s="40">
        <f>IF(Inputs!$C$60,Inputs!$C$11+(B7981-Inputs!$C$69)/Inputs!$C$70,"")</f>
      </c>
      <c r="D7981" s="15"/>
      <c r="E7981" s="15"/>
      <c r="F7981" s="11">
        <f t="shared" si="63"/>
      </c>
      <c r="G7981" s="22" cm="1">
        <f t="array" ref="G7981">IF(AND(Inputs!$C$60,Inputs!$C$61),INDEX(Utility_Rates!$C$29:$F$52,HOUR(C7981)+Inputs!$C$69,MATCH(INDEX(Utility_Rates!$K$6:$K$17,MONTH(C7981))&amp;IF(WEEKDAY(C7981,Inputs!$C$76)&lt;=Inputs!$C$74," weekday"," weekend"),Utility_Rates!$C$28:$F$28,Inputs!$C$68)),"")</f>
      </c>
      <c r="H7981" s="34"/>
      <c r="I7981" s="42">
        <f>IF(AND(ISNUMBER(D7981),ISNUMBER(H7981)),D7981*H7981*Inputs!$C$69,"")</f>
      </c>
      <c r="J7981" s="42">
        <f>IF(AND(ISNUMBER(F7981),ISNUMBER(H7981),F7981&gt;=Inputs!$C$68),F7981*H7981*Inputs!$C$69,"")</f>
      </c>
    </row>
    <row r="7982" spans="2:10" ht="15" customHeight="1" x14ac:dyDescent="0.2">
      <c r="B7982" s="39">
        <f t="shared" si="62"/>
      </c>
      <c r="C7982" s="40">
        <f>IF(Inputs!$C$60,Inputs!$C$11+(B7982-Inputs!$C$69)/Inputs!$C$70,"")</f>
      </c>
      <c r="D7982" s="15"/>
      <c r="E7982" s="15"/>
      <c r="F7982" s="11">
        <f t="shared" si="63"/>
      </c>
      <c r="G7982" s="22" cm="1">
        <f t="array" ref="G7982">IF(AND(Inputs!$C$60,Inputs!$C$61),INDEX(Utility_Rates!$C$29:$F$52,HOUR(C7982)+Inputs!$C$69,MATCH(INDEX(Utility_Rates!$K$6:$K$17,MONTH(C7982))&amp;IF(WEEKDAY(C7982,Inputs!$C$76)&lt;=Inputs!$C$74," weekday"," weekend"),Utility_Rates!$C$28:$F$28,Inputs!$C$68)),"")</f>
      </c>
      <c r="H7982" s="34"/>
      <c r="I7982" s="42">
        <f>IF(AND(ISNUMBER(D7982),ISNUMBER(H7982)),D7982*H7982*Inputs!$C$69,"")</f>
      </c>
      <c r="J7982" s="42">
        <f>IF(AND(ISNUMBER(F7982),ISNUMBER(H7982),F7982&gt;=Inputs!$C$68),F7982*H7982*Inputs!$C$69,"")</f>
      </c>
    </row>
    <row r="7983" spans="2:10" ht="15" customHeight="1" x14ac:dyDescent="0.2">
      <c r="B7983" s="39">
        <f t="shared" si="62"/>
      </c>
      <c r="C7983" s="40">
        <f>IF(Inputs!$C$60,Inputs!$C$11+(B7983-Inputs!$C$69)/Inputs!$C$70,"")</f>
      </c>
      <c r="D7983" s="15"/>
      <c r="E7983" s="15"/>
      <c r="F7983" s="11">
        <f t="shared" si="63"/>
      </c>
      <c r="G7983" s="22" cm="1">
        <f t="array" ref="G7983">IF(AND(Inputs!$C$60,Inputs!$C$61),INDEX(Utility_Rates!$C$29:$F$52,HOUR(C7983)+Inputs!$C$69,MATCH(INDEX(Utility_Rates!$K$6:$K$17,MONTH(C7983))&amp;IF(WEEKDAY(C7983,Inputs!$C$76)&lt;=Inputs!$C$74," weekday"," weekend"),Utility_Rates!$C$28:$F$28,Inputs!$C$68)),"")</f>
      </c>
      <c r="H7983" s="34"/>
      <c r="I7983" s="42">
        <f>IF(AND(ISNUMBER(D7983),ISNUMBER(H7983)),D7983*H7983*Inputs!$C$69,"")</f>
      </c>
      <c r="J7983" s="42">
        <f>IF(AND(ISNUMBER(F7983),ISNUMBER(H7983),F7983&gt;=Inputs!$C$68),F7983*H7983*Inputs!$C$69,"")</f>
      </c>
    </row>
    <row r="7984" spans="2:10" ht="15" customHeight="1" x14ac:dyDescent="0.2">
      <c r="B7984" s="39">
        <f t="shared" si="62"/>
      </c>
      <c r="C7984" s="40">
        <f>IF(Inputs!$C$60,Inputs!$C$11+(B7984-Inputs!$C$69)/Inputs!$C$70,"")</f>
      </c>
      <c r="D7984" s="15"/>
      <c r="E7984" s="15"/>
      <c r="F7984" s="11">
        <f t="shared" si="63"/>
      </c>
      <c r="G7984" s="22" cm="1">
        <f t="array" ref="G7984">IF(AND(Inputs!$C$60,Inputs!$C$61),INDEX(Utility_Rates!$C$29:$F$52,HOUR(C7984)+Inputs!$C$69,MATCH(INDEX(Utility_Rates!$K$6:$K$17,MONTH(C7984))&amp;IF(WEEKDAY(C7984,Inputs!$C$76)&lt;=Inputs!$C$74," weekday"," weekend"),Utility_Rates!$C$28:$F$28,Inputs!$C$68)),"")</f>
      </c>
      <c r="H7984" s="34"/>
      <c r="I7984" s="42">
        <f>IF(AND(ISNUMBER(D7984),ISNUMBER(H7984)),D7984*H7984*Inputs!$C$69,"")</f>
      </c>
      <c r="J7984" s="42">
        <f>IF(AND(ISNUMBER(F7984),ISNUMBER(H7984),F7984&gt;=Inputs!$C$68),F7984*H7984*Inputs!$C$69,"")</f>
      </c>
    </row>
    <row r="7985" spans="2:10" ht="15" customHeight="1" x14ac:dyDescent="0.2">
      <c r="B7985" s="39">
        <f t="shared" si="62"/>
      </c>
      <c r="C7985" s="40">
        <f>IF(Inputs!$C$60,Inputs!$C$11+(B7985-Inputs!$C$69)/Inputs!$C$70,"")</f>
      </c>
      <c r="D7985" s="15"/>
      <c r="E7985" s="15"/>
      <c r="F7985" s="11">
        <f t="shared" si="63"/>
      </c>
      <c r="G7985" s="22" cm="1">
        <f t="array" ref="G7985">IF(AND(Inputs!$C$60,Inputs!$C$61),INDEX(Utility_Rates!$C$29:$F$52,HOUR(C7985)+Inputs!$C$69,MATCH(INDEX(Utility_Rates!$K$6:$K$17,MONTH(C7985))&amp;IF(WEEKDAY(C7985,Inputs!$C$76)&lt;=Inputs!$C$74," weekday"," weekend"),Utility_Rates!$C$28:$F$28,Inputs!$C$68)),"")</f>
      </c>
      <c r="H7985" s="34"/>
      <c r="I7985" s="42">
        <f>IF(AND(ISNUMBER(D7985),ISNUMBER(H7985)),D7985*H7985*Inputs!$C$69,"")</f>
      </c>
      <c r="J7985" s="42">
        <f>IF(AND(ISNUMBER(F7985),ISNUMBER(H7985),F7985&gt;=Inputs!$C$68),F7985*H7985*Inputs!$C$69,"")</f>
      </c>
    </row>
    <row r="7986" spans="2:10" ht="15" customHeight="1" x14ac:dyDescent="0.2">
      <c r="B7986" s="39">
        <f t="shared" si="62"/>
      </c>
      <c r="C7986" s="40">
        <f>IF(Inputs!$C$60,Inputs!$C$11+(B7986-Inputs!$C$69)/Inputs!$C$70,"")</f>
      </c>
      <c r="D7986" s="15"/>
      <c r="E7986" s="15"/>
      <c r="F7986" s="11">
        <f t="shared" si="63"/>
      </c>
      <c r="G7986" s="22" cm="1">
        <f t="array" ref="G7986">IF(AND(Inputs!$C$60,Inputs!$C$61),INDEX(Utility_Rates!$C$29:$F$52,HOUR(C7986)+Inputs!$C$69,MATCH(INDEX(Utility_Rates!$K$6:$K$17,MONTH(C7986))&amp;IF(WEEKDAY(C7986,Inputs!$C$76)&lt;=Inputs!$C$74," weekday"," weekend"),Utility_Rates!$C$28:$F$28,Inputs!$C$68)),"")</f>
      </c>
      <c r="H7986" s="34"/>
      <c r="I7986" s="42">
        <f>IF(AND(ISNUMBER(D7986),ISNUMBER(H7986)),D7986*H7986*Inputs!$C$69,"")</f>
      </c>
      <c r="J7986" s="42">
        <f>IF(AND(ISNUMBER(F7986),ISNUMBER(H7986),F7986&gt;=Inputs!$C$68),F7986*H7986*Inputs!$C$69,"")</f>
      </c>
    </row>
    <row r="7987" spans="2:10" ht="15" customHeight="1" x14ac:dyDescent="0.2">
      <c r="B7987" s="39">
        <f t="shared" si="62"/>
      </c>
      <c r="C7987" s="40">
        <f>IF(Inputs!$C$60,Inputs!$C$11+(B7987-Inputs!$C$69)/Inputs!$C$70,"")</f>
      </c>
      <c r="D7987" s="15"/>
      <c r="E7987" s="15"/>
      <c r="F7987" s="11">
        <f t="shared" si="63"/>
      </c>
      <c r="G7987" s="22" cm="1">
        <f t="array" ref="G7987">IF(AND(Inputs!$C$60,Inputs!$C$61),INDEX(Utility_Rates!$C$29:$F$52,HOUR(C7987)+Inputs!$C$69,MATCH(INDEX(Utility_Rates!$K$6:$K$17,MONTH(C7987))&amp;IF(WEEKDAY(C7987,Inputs!$C$76)&lt;=Inputs!$C$74," weekday"," weekend"),Utility_Rates!$C$28:$F$28,Inputs!$C$68)),"")</f>
      </c>
      <c r="H7987" s="34"/>
      <c r="I7987" s="42">
        <f>IF(AND(ISNUMBER(D7987),ISNUMBER(H7987)),D7987*H7987*Inputs!$C$69,"")</f>
      </c>
      <c r="J7987" s="42">
        <f>IF(AND(ISNUMBER(F7987),ISNUMBER(H7987),F7987&gt;=Inputs!$C$68),F7987*H7987*Inputs!$C$69,"")</f>
      </c>
    </row>
    <row r="7988" spans="2:10" ht="15" customHeight="1" x14ac:dyDescent="0.2">
      <c r="B7988" s="39">
        <f t="shared" si="62"/>
      </c>
      <c r="C7988" s="40">
        <f>IF(Inputs!$C$60,Inputs!$C$11+(B7988-Inputs!$C$69)/Inputs!$C$70,"")</f>
      </c>
      <c r="D7988" s="15"/>
      <c r="E7988" s="15"/>
      <c r="F7988" s="11">
        <f t="shared" si="63"/>
      </c>
      <c r="G7988" s="22" cm="1">
        <f t="array" ref="G7988">IF(AND(Inputs!$C$60,Inputs!$C$61),INDEX(Utility_Rates!$C$29:$F$52,HOUR(C7988)+Inputs!$C$69,MATCH(INDEX(Utility_Rates!$K$6:$K$17,MONTH(C7988))&amp;IF(WEEKDAY(C7988,Inputs!$C$76)&lt;=Inputs!$C$74," weekday"," weekend"),Utility_Rates!$C$28:$F$28,Inputs!$C$68)),"")</f>
      </c>
      <c r="H7988" s="34"/>
      <c r="I7988" s="42">
        <f>IF(AND(ISNUMBER(D7988),ISNUMBER(H7988)),D7988*H7988*Inputs!$C$69,"")</f>
      </c>
      <c r="J7988" s="42">
        <f>IF(AND(ISNUMBER(F7988),ISNUMBER(H7988),F7988&gt;=Inputs!$C$68),F7988*H7988*Inputs!$C$69,"")</f>
      </c>
    </row>
    <row r="7989" spans="2:10" ht="15" customHeight="1" x14ac:dyDescent="0.2">
      <c r="B7989" s="39">
        <f t="shared" si="62"/>
      </c>
      <c r="C7989" s="40">
        <f>IF(Inputs!$C$60,Inputs!$C$11+(B7989-Inputs!$C$69)/Inputs!$C$70,"")</f>
      </c>
      <c r="D7989" s="15"/>
      <c r="E7989" s="15"/>
      <c r="F7989" s="11">
        <f t="shared" si="63"/>
      </c>
      <c r="G7989" s="22" cm="1">
        <f t="array" ref="G7989">IF(AND(Inputs!$C$60,Inputs!$C$61),INDEX(Utility_Rates!$C$29:$F$52,HOUR(C7989)+Inputs!$C$69,MATCH(INDEX(Utility_Rates!$K$6:$K$17,MONTH(C7989))&amp;IF(WEEKDAY(C7989,Inputs!$C$76)&lt;=Inputs!$C$74," weekday"," weekend"),Utility_Rates!$C$28:$F$28,Inputs!$C$68)),"")</f>
      </c>
      <c r="H7989" s="34"/>
      <c r="I7989" s="42">
        <f>IF(AND(ISNUMBER(D7989),ISNUMBER(H7989)),D7989*H7989*Inputs!$C$69,"")</f>
      </c>
      <c r="J7989" s="42">
        <f>IF(AND(ISNUMBER(F7989),ISNUMBER(H7989),F7989&gt;=Inputs!$C$68),F7989*H7989*Inputs!$C$69,"")</f>
      </c>
    </row>
    <row r="7990" spans="2:10" ht="15" customHeight="1" x14ac:dyDescent="0.2">
      <c r="B7990" s="39">
        <f t="shared" si="62"/>
      </c>
      <c r="C7990" s="40">
        <f>IF(Inputs!$C$60,Inputs!$C$11+(B7990-Inputs!$C$69)/Inputs!$C$70,"")</f>
      </c>
      <c r="D7990" s="15"/>
      <c r="E7990" s="15"/>
      <c r="F7990" s="11">
        <f t="shared" si="63"/>
      </c>
      <c r="G7990" s="22" cm="1">
        <f t="array" ref="G7990">IF(AND(Inputs!$C$60,Inputs!$C$61),INDEX(Utility_Rates!$C$29:$F$52,HOUR(C7990)+Inputs!$C$69,MATCH(INDEX(Utility_Rates!$K$6:$K$17,MONTH(C7990))&amp;IF(WEEKDAY(C7990,Inputs!$C$76)&lt;=Inputs!$C$74," weekday"," weekend"),Utility_Rates!$C$28:$F$28,Inputs!$C$68)),"")</f>
      </c>
      <c r="H7990" s="34"/>
      <c r="I7990" s="42">
        <f>IF(AND(ISNUMBER(D7990),ISNUMBER(H7990)),D7990*H7990*Inputs!$C$69,"")</f>
      </c>
      <c r="J7990" s="42">
        <f>IF(AND(ISNUMBER(F7990),ISNUMBER(H7990),F7990&gt;=Inputs!$C$68),F7990*H7990*Inputs!$C$69,"")</f>
      </c>
    </row>
    <row r="7991" spans="2:10" ht="15" customHeight="1" x14ac:dyDescent="0.2">
      <c r="B7991" s="39">
        <f t="shared" si="62"/>
      </c>
      <c r="C7991" s="40">
        <f>IF(Inputs!$C$60,Inputs!$C$11+(B7991-Inputs!$C$69)/Inputs!$C$70,"")</f>
      </c>
      <c r="D7991" s="15"/>
      <c r="E7991" s="15"/>
      <c r="F7991" s="11">
        <f t="shared" si="63"/>
      </c>
      <c r="G7991" s="22" cm="1">
        <f t="array" ref="G7991">IF(AND(Inputs!$C$60,Inputs!$C$61),INDEX(Utility_Rates!$C$29:$F$52,HOUR(C7991)+Inputs!$C$69,MATCH(INDEX(Utility_Rates!$K$6:$K$17,MONTH(C7991))&amp;IF(WEEKDAY(C7991,Inputs!$C$76)&lt;=Inputs!$C$74," weekday"," weekend"),Utility_Rates!$C$28:$F$28,Inputs!$C$68)),"")</f>
      </c>
      <c r="H7991" s="34"/>
      <c r="I7991" s="42">
        <f>IF(AND(ISNUMBER(D7991),ISNUMBER(H7991)),D7991*H7991*Inputs!$C$69,"")</f>
      </c>
      <c r="J7991" s="42">
        <f>IF(AND(ISNUMBER(F7991),ISNUMBER(H7991),F7991&gt;=Inputs!$C$68),F7991*H7991*Inputs!$C$69,"")</f>
      </c>
    </row>
    <row r="7992" spans="2:10" ht="15" customHeight="1" x14ac:dyDescent="0.2">
      <c r="B7992" s="39">
        <f t="shared" si="62"/>
      </c>
      <c r="C7992" s="40">
        <f>IF(Inputs!$C$60,Inputs!$C$11+(B7992-Inputs!$C$69)/Inputs!$C$70,"")</f>
      </c>
      <c r="D7992" s="15"/>
      <c r="E7992" s="15"/>
      <c r="F7992" s="11">
        <f t="shared" si="63"/>
      </c>
      <c r="G7992" s="22" cm="1">
        <f t="array" ref="G7992">IF(AND(Inputs!$C$60,Inputs!$C$61),INDEX(Utility_Rates!$C$29:$F$52,HOUR(C7992)+Inputs!$C$69,MATCH(INDEX(Utility_Rates!$K$6:$K$17,MONTH(C7992))&amp;IF(WEEKDAY(C7992,Inputs!$C$76)&lt;=Inputs!$C$74," weekday"," weekend"),Utility_Rates!$C$28:$F$28,Inputs!$C$68)),"")</f>
      </c>
      <c r="H7992" s="34"/>
      <c r="I7992" s="42">
        <f>IF(AND(ISNUMBER(D7992),ISNUMBER(H7992)),D7992*H7992*Inputs!$C$69,"")</f>
      </c>
      <c r="J7992" s="42">
        <f>IF(AND(ISNUMBER(F7992),ISNUMBER(H7992),F7992&gt;=Inputs!$C$68),F7992*H7992*Inputs!$C$69,"")</f>
      </c>
    </row>
    <row r="7993" spans="2:10" ht="15" customHeight="1" x14ac:dyDescent="0.2">
      <c r="B7993" s="39">
        <f t="shared" si="62"/>
      </c>
      <c r="C7993" s="40">
        <f>IF(Inputs!$C$60,Inputs!$C$11+(B7993-Inputs!$C$69)/Inputs!$C$70,"")</f>
      </c>
      <c r="D7993" s="15"/>
      <c r="E7993" s="15"/>
      <c r="F7993" s="11">
        <f t="shared" si="63"/>
      </c>
      <c r="G7993" s="22" cm="1">
        <f t="array" ref="G7993">IF(AND(Inputs!$C$60,Inputs!$C$61),INDEX(Utility_Rates!$C$29:$F$52,HOUR(C7993)+Inputs!$C$69,MATCH(INDEX(Utility_Rates!$K$6:$K$17,MONTH(C7993))&amp;IF(WEEKDAY(C7993,Inputs!$C$76)&lt;=Inputs!$C$74," weekday"," weekend"),Utility_Rates!$C$28:$F$28,Inputs!$C$68)),"")</f>
      </c>
      <c r="H7993" s="34"/>
      <c r="I7993" s="42">
        <f>IF(AND(ISNUMBER(D7993),ISNUMBER(H7993)),D7993*H7993*Inputs!$C$69,"")</f>
      </c>
      <c r="J7993" s="42">
        <f>IF(AND(ISNUMBER(F7993),ISNUMBER(H7993),F7993&gt;=Inputs!$C$68),F7993*H7993*Inputs!$C$69,"")</f>
      </c>
    </row>
    <row r="7994" spans="2:10" ht="15" customHeight="1" x14ac:dyDescent="0.2">
      <c r="B7994" s="39">
        <f t="shared" si="62"/>
      </c>
      <c r="C7994" s="40">
        <f>IF(Inputs!$C$60,Inputs!$C$11+(B7994-Inputs!$C$69)/Inputs!$C$70,"")</f>
      </c>
      <c r="D7994" s="15"/>
      <c r="E7994" s="15"/>
      <c r="F7994" s="11">
        <f t="shared" si="63"/>
      </c>
      <c r="G7994" s="22" cm="1">
        <f t="array" ref="G7994">IF(AND(Inputs!$C$60,Inputs!$C$61),INDEX(Utility_Rates!$C$29:$F$52,HOUR(C7994)+Inputs!$C$69,MATCH(INDEX(Utility_Rates!$K$6:$K$17,MONTH(C7994))&amp;IF(WEEKDAY(C7994,Inputs!$C$76)&lt;=Inputs!$C$74," weekday"," weekend"),Utility_Rates!$C$28:$F$28,Inputs!$C$68)),"")</f>
      </c>
      <c r="H7994" s="34"/>
      <c r="I7994" s="42">
        <f>IF(AND(ISNUMBER(D7994),ISNUMBER(H7994)),D7994*H7994*Inputs!$C$69,"")</f>
      </c>
      <c r="J7994" s="42">
        <f>IF(AND(ISNUMBER(F7994),ISNUMBER(H7994),F7994&gt;=Inputs!$C$68),F7994*H7994*Inputs!$C$69,"")</f>
      </c>
    </row>
    <row r="7995" spans="2:10" ht="15" customHeight="1" x14ac:dyDescent="0.2">
      <c r="B7995" s="39">
        <f t="shared" si="62"/>
      </c>
      <c r="C7995" s="40">
        <f>IF(Inputs!$C$60,Inputs!$C$11+(B7995-Inputs!$C$69)/Inputs!$C$70,"")</f>
      </c>
      <c r="D7995" s="15"/>
      <c r="E7995" s="15"/>
      <c r="F7995" s="11">
        <f t="shared" si="63"/>
      </c>
      <c r="G7995" s="22" cm="1">
        <f t="array" ref="G7995">IF(AND(Inputs!$C$60,Inputs!$C$61),INDEX(Utility_Rates!$C$29:$F$52,HOUR(C7995)+Inputs!$C$69,MATCH(INDEX(Utility_Rates!$K$6:$K$17,MONTH(C7995))&amp;IF(WEEKDAY(C7995,Inputs!$C$76)&lt;=Inputs!$C$74," weekday"," weekend"),Utility_Rates!$C$28:$F$28,Inputs!$C$68)),"")</f>
      </c>
      <c r="H7995" s="34"/>
      <c r="I7995" s="42">
        <f>IF(AND(ISNUMBER(D7995),ISNUMBER(H7995)),D7995*H7995*Inputs!$C$69,"")</f>
      </c>
      <c r="J7995" s="42">
        <f>IF(AND(ISNUMBER(F7995),ISNUMBER(H7995),F7995&gt;=Inputs!$C$68),F7995*H7995*Inputs!$C$69,"")</f>
      </c>
    </row>
    <row r="7996" spans="2:10" ht="15" customHeight="1" x14ac:dyDescent="0.2">
      <c r="B7996" s="39">
        <f t="shared" si="62"/>
      </c>
      <c r="C7996" s="40">
        <f>IF(Inputs!$C$60,Inputs!$C$11+(B7996-Inputs!$C$69)/Inputs!$C$70,"")</f>
      </c>
      <c r="D7996" s="15"/>
      <c r="E7996" s="15"/>
      <c r="F7996" s="11">
        <f t="shared" si="63"/>
      </c>
      <c r="G7996" s="22" cm="1">
        <f t="array" ref="G7996">IF(AND(Inputs!$C$60,Inputs!$C$61),INDEX(Utility_Rates!$C$29:$F$52,HOUR(C7996)+Inputs!$C$69,MATCH(INDEX(Utility_Rates!$K$6:$K$17,MONTH(C7996))&amp;IF(WEEKDAY(C7996,Inputs!$C$76)&lt;=Inputs!$C$74," weekday"," weekend"),Utility_Rates!$C$28:$F$28,Inputs!$C$68)),"")</f>
      </c>
      <c r="H7996" s="34"/>
      <c r="I7996" s="42">
        <f>IF(AND(ISNUMBER(D7996),ISNUMBER(H7996)),D7996*H7996*Inputs!$C$69,"")</f>
      </c>
      <c r="J7996" s="42">
        <f>IF(AND(ISNUMBER(F7996),ISNUMBER(H7996),F7996&gt;=Inputs!$C$68),F7996*H7996*Inputs!$C$69,"")</f>
      </c>
    </row>
    <row r="7997" spans="2:10" ht="15" customHeight="1" x14ac:dyDescent="0.2">
      <c r="B7997" s="39">
        <f t="shared" si="62"/>
      </c>
      <c r="C7997" s="40">
        <f>IF(Inputs!$C$60,Inputs!$C$11+(B7997-Inputs!$C$69)/Inputs!$C$70,"")</f>
      </c>
      <c r="D7997" s="15"/>
      <c r="E7997" s="15"/>
      <c r="F7997" s="11">
        <f t="shared" si="63"/>
      </c>
      <c r="G7997" s="22" cm="1">
        <f t="array" ref="G7997">IF(AND(Inputs!$C$60,Inputs!$C$61),INDEX(Utility_Rates!$C$29:$F$52,HOUR(C7997)+Inputs!$C$69,MATCH(INDEX(Utility_Rates!$K$6:$K$17,MONTH(C7997))&amp;IF(WEEKDAY(C7997,Inputs!$C$76)&lt;=Inputs!$C$74," weekday"," weekend"),Utility_Rates!$C$28:$F$28,Inputs!$C$68)),"")</f>
      </c>
      <c r="H7997" s="34"/>
      <c r="I7997" s="42">
        <f>IF(AND(ISNUMBER(D7997),ISNUMBER(H7997)),D7997*H7997*Inputs!$C$69,"")</f>
      </c>
      <c r="J7997" s="42">
        <f>IF(AND(ISNUMBER(F7997),ISNUMBER(H7997),F7997&gt;=Inputs!$C$68),F7997*H7997*Inputs!$C$69,"")</f>
      </c>
    </row>
    <row r="7998" spans="2:10" ht="15" customHeight="1" x14ac:dyDescent="0.2">
      <c r="B7998" s="39">
        <f t="shared" si="62"/>
      </c>
      <c r="C7998" s="40">
        <f>IF(Inputs!$C$60,Inputs!$C$11+(B7998-Inputs!$C$69)/Inputs!$C$70,"")</f>
      </c>
      <c r="D7998" s="15"/>
      <c r="E7998" s="15"/>
      <c r="F7998" s="11">
        <f t="shared" si="63"/>
      </c>
      <c r="G7998" s="22" cm="1">
        <f t="array" ref="G7998">IF(AND(Inputs!$C$60,Inputs!$C$61),INDEX(Utility_Rates!$C$29:$F$52,HOUR(C7998)+Inputs!$C$69,MATCH(INDEX(Utility_Rates!$K$6:$K$17,MONTH(C7998))&amp;IF(WEEKDAY(C7998,Inputs!$C$76)&lt;=Inputs!$C$74," weekday"," weekend"),Utility_Rates!$C$28:$F$28,Inputs!$C$68)),"")</f>
      </c>
      <c r="H7998" s="34"/>
      <c r="I7998" s="42">
        <f>IF(AND(ISNUMBER(D7998),ISNUMBER(H7998)),D7998*H7998*Inputs!$C$69,"")</f>
      </c>
      <c r="J7998" s="42">
        <f>IF(AND(ISNUMBER(F7998),ISNUMBER(H7998),F7998&gt;=Inputs!$C$68),F7998*H7998*Inputs!$C$69,"")</f>
      </c>
    </row>
    <row r="7999" spans="2:10" ht="15" customHeight="1" x14ac:dyDescent="0.2">
      <c r="B7999" s="39">
        <f t="shared" si="62"/>
      </c>
      <c r="C7999" s="40">
        <f>IF(Inputs!$C$60,Inputs!$C$11+(B7999-Inputs!$C$69)/Inputs!$C$70,"")</f>
      </c>
      <c r="D7999" s="15"/>
      <c r="E7999" s="15"/>
      <c r="F7999" s="11">
        <f t="shared" si="63"/>
      </c>
      <c r="G7999" s="22" cm="1">
        <f t="array" ref="G7999">IF(AND(Inputs!$C$60,Inputs!$C$61),INDEX(Utility_Rates!$C$29:$F$52,HOUR(C7999)+Inputs!$C$69,MATCH(INDEX(Utility_Rates!$K$6:$K$17,MONTH(C7999))&amp;IF(WEEKDAY(C7999,Inputs!$C$76)&lt;=Inputs!$C$74," weekday"," weekend"),Utility_Rates!$C$28:$F$28,Inputs!$C$68)),"")</f>
      </c>
      <c r="H7999" s="34"/>
      <c r="I7999" s="42">
        <f>IF(AND(ISNUMBER(D7999),ISNUMBER(H7999)),D7999*H7999*Inputs!$C$69,"")</f>
      </c>
      <c r="J7999" s="42">
        <f>IF(AND(ISNUMBER(F7999),ISNUMBER(H7999),F7999&gt;=Inputs!$C$68),F7999*H7999*Inputs!$C$69,"")</f>
      </c>
    </row>
    <row r="8000" spans="2:10" ht="15" customHeight="1" x14ac:dyDescent="0.2">
      <c r="B8000" s="39">
        <f t="shared" si="62"/>
      </c>
      <c r="C8000" s="40">
        <f>IF(Inputs!$C$60,Inputs!$C$11+(B8000-Inputs!$C$69)/Inputs!$C$70,"")</f>
      </c>
      <c r="D8000" s="15"/>
      <c r="E8000" s="15"/>
      <c r="F8000" s="11">
        <f t="shared" si="63"/>
      </c>
      <c r="G8000" s="22" cm="1">
        <f t="array" ref="G8000">IF(AND(Inputs!$C$60,Inputs!$C$61),INDEX(Utility_Rates!$C$29:$F$52,HOUR(C8000)+Inputs!$C$69,MATCH(INDEX(Utility_Rates!$K$6:$K$17,MONTH(C8000))&amp;IF(WEEKDAY(C8000,Inputs!$C$76)&lt;=Inputs!$C$74," weekday"," weekend"),Utility_Rates!$C$28:$F$28,Inputs!$C$68)),"")</f>
      </c>
      <c r="H8000" s="34"/>
      <c r="I8000" s="42">
        <f>IF(AND(ISNUMBER(D8000),ISNUMBER(H8000)),D8000*H8000*Inputs!$C$69,"")</f>
      </c>
      <c r="J8000" s="42">
        <f>IF(AND(ISNUMBER(F8000),ISNUMBER(H8000),F8000&gt;=Inputs!$C$68),F8000*H8000*Inputs!$C$69,"")</f>
      </c>
    </row>
    <row r="8001" spans="2:10" ht="15" customHeight="1" x14ac:dyDescent="0.2">
      <c r="B8001" s="39">
        <f t="shared" si="62"/>
      </c>
      <c r="C8001" s="40">
        <f>IF(Inputs!$C$60,Inputs!$C$11+(B8001-Inputs!$C$69)/Inputs!$C$70,"")</f>
      </c>
      <c r="D8001" s="15"/>
      <c r="E8001" s="15"/>
      <c r="F8001" s="11">
        <f t="shared" si="63"/>
      </c>
      <c r="G8001" s="22" cm="1">
        <f t="array" ref="G8001">IF(AND(Inputs!$C$60,Inputs!$C$61),INDEX(Utility_Rates!$C$29:$F$52,HOUR(C8001)+Inputs!$C$69,MATCH(INDEX(Utility_Rates!$K$6:$K$17,MONTH(C8001))&amp;IF(WEEKDAY(C8001,Inputs!$C$76)&lt;=Inputs!$C$74," weekday"," weekend"),Utility_Rates!$C$28:$F$28,Inputs!$C$68)),"")</f>
      </c>
      <c r="H8001" s="34"/>
      <c r="I8001" s="42">
        <f>IF(AND(ISNUMBER(D8001),ISNUMBER(H8001)),D8001*H8001*Inputs!$C$69,"")</f>
      </c>
      <c r="J8001" s="42">
        <f>IF(AND(ISNUMBER(F8001),ISNUMBER(H8001),F8001&gt;=Inputs!$C$68),F8001*H8001*Inputs!$C$69,"")</f>
      </c>
    </row>
    <row r="8002" spans="2:10" ht="15" customHeight="1" x14ac:dyDescent="0.2">
      <c r="B8002" s="39">
        <f t="shared" si="62"/>
      </c>
      <c r="C8002" s="40">
        <f>IF(Inputs!$C$60,Inputs!$C$11+(B8002-Inputs!$C$69)/Inputs!$C$70,"")</f>
      </c>
      <c r="D8002" s="15"/>
      <c r="E8002" s="15"/>
      <c r="F8002" s="11">
        <f t="shared" si="63"/>
      </c>
      <c r="G8002" s="22" cm="1">
        <f t="array" ref="G8002">IF(AND(Inputs!$C$60,Inputs!$C$61),INDEX(Utility_Rates!$C$29:$F$52,HOUR(C8002)+Inputs!$C$69,MATCH(INDEX(Utility_Rates!$K$6:$K$17,MONTH(C8002))&amp;IF(WEEKDAY(C8002,Inputs!$C$76)&lt;=Inputs!$C$74," weekday"," weekend"),Utility_Rates!$C$28:$F$28,Inputs!$C$68)),"")</f>
      </c>
      <c r="H8002" s="34"/>
      <c r="I8002" s="42">
        <f>IF(AND(ISNUMBER(D8002),ISNUMBER(H8002)),D8002*H8002*Inputs!$C$69,"")</f>
      </c>
      <c r="J8002" s="42">
        <f>IF(AND(ISNUMBER(F8002),ISNUMBER(H8002),F8002&gt;=Inputs!$C$68),F8002*H8002*Inputs!$C$69,"")</f>
      </c>
    </row>
    <row r="8003" spans="2:10" ht="15" customHeight="1" x14ac:dyDescent="0.2">
      <c r="B8003" s="39">
        <f t="shared" si="62"/>
      </c>
      <c r="C8003" s="40">
        <f>IF(Inputs!$C$60,Inputs!$C$11+(B8003-Inputs!$C$69)/Inputs!$C$70,"")</f>
      </c>
      <c r="D8003" s="15"/>
      <c r="E8003" s="15"/>
      <c r="F8003" s="11">
        <f t="shared" si="63"/>
      </c>
      <c r="G8003" s="22" cm="1">
        <f t="array" ref="G8003">IF(AND(Inputs!$C$60,Inputs!$C$61),INDEX(Utility_Rates!$C$29:$F$52,HOUR(C8003)+Inputs!$C$69,MATCH(INDEX(Utility_Rates!$K$6:$K$17,MONTH(C8003))&amp;IF(WEEKDAY(C8003,Inputs!$C$76)&lt;=Inputs!$C$74," weekday"," weekend"),Utility_Rates!$C$28:$F$28,Inputs!$C$68)),"")</f>
      </c>
      <c r="H8003" s="34"/>
      <c r="I8003" s="42">
        <f>IF(AND(ISNUMBER(D8003),ISNUMBER(H8003)),D8003*H8003*Inputs!$C$69,"")</f>
      </c>
      <c r="J8003" s="42">
        <f>IF(AND(ISNUMBER(F8003),ISNUMBER(H8003),F8003&gt;=Inputs!$C$68),F8003*H8003*Inputs!$C$69,"")</f>
      </c>
    </row>
    <row r="8004" spans="2:10" ht="15" customHeight="1" x14ac:dyDescent="0.2">
      <c r="B8004" s="39">
        <f t="shared" si="62"/>
      </c>
      <c r="C8004" s="40">
        <f>IF(Inputs!$C$60,Inputs!$C$11+(B8004-Inputs!$C$69)/Inputs!$C$70,"")</f>
      </c>
      <c r="D8004" s="15"/>
      <c r="E8004" s="15"/>
      <c r="F8004" s="11">
        <f t="shared" si="63"/>
      </c>
      <c r="G8004" s="22" cm="1">
        <f t="array" ref="G8004">IF(AND(Inputs!$C$60,Inputs!$C$61),INDEX(Utility_Rates!$C$29:$F$52,HOUR(C8004)+Inputs!$C$69,MATCH(INDEX(Utility_Rates!$K$6:$K$17,MONTH(C8004))&amp;IF(WEEKDAY(C8004,Inputs!$C$76)&lt;=Inputs!$C$74," weekday"," weekend"),Utility_Rates!$C$28:$F$28,Inputs!$C$68)),"")</f>
      </c>
      <c r="H8004" s="34"/>
      <c r="I8004" s="42">
        <f>IF(AND(ISNUMBER(D8004),ISNUMBER(H8004)),D8004*H8004*Inputs!$C$69,"")</f>
      </c>
      <c r="J8004" s="42">
        <f>IF(AND(ISNUMBER(F8004),ISNUMBER(H8004),F8004&gt;=Inputs!$C$68),F8004*H8004*Inputs!$C$69,"")</f>
      </c>
    </row>
    <row r="8005" spans="2:10" ht="15" customHeight="1" x14ac:dyDescent="0.2">
      <c r="B8005" s="39">
        <f t="shared" si="62"/>
      </c>
      <c r="C8005" s="40">
        <f>IF(Inputs!$C$60,Inputs!$C$11+(B8005-Inputs!$C$69)/Inputs!$C$70,"")</f>
      </c>
      <c r="D8005" s="15"/>
      <c r="E8005" s="15"/>
      <c r="F8005" s="11">
        <f t="shared" si="63"/>
      </c>
      <c r="G8005" s="22" cm="1">
        <f t="array" ref="G8005">IF(AND(Inputs!$C$60,Inputs!$C$61),INDEX(Utility_Rates!$C$29:$F$52,HOUR(C8005)+Inputs!$C$69,MATCH(INDEX(Utility_Rates!$K$6:$K$17,MONTH(C8005))&amp;IF(WEEKDAY(C8005,Inputs!$C$76)&lt;=Inputs!$C$74," weekday"," weekend"),Utility_Rates!$C$28:$F$28,Inputs!$C$68)),"")</f>
      </c>
      <c r="H8005" s="34"/>
      <c r="I8005" s="42">
        <f>IF(AND(ISNUMBER(D8005),ISNUMBER(H8005)),D8005*H8005*Inputs!$C$69,"")</f>
      </c>
      <c r="J8005" s="42">
        <f>IF(AND(ISNUMBER(F8005),ISNUMBER(H8005),F8005&gt;=Inputs!$C$68),F8005*H8005*Inputs!$C$69,"")</f>
      </c>
    </row>
    <row r="8006" spans="2:10" ht="15" customHeight="1" x14ac:dyDescent="0.2">
      <c r="B8006" s="39">
        <f t="shared" si="62"/>
      </c>
      <c r="C8006" s="40">
        <f>IF(Inputs!$C$60,Inputs!$C$11+(B8006-Inputs!$C$69)/Inputs!$C$70,"")</f>
      </c>
      <c r="D8006" s="15"/>
      <c r="E8006" s="15"/>
      <c r="F8006" s="11">
        <f t="shared" si="63"/>
      </c>
      <c r="G8006" s="22" cm="1">
        <f t="array" ref="G8006">IF(AND(Inputs!$C$60,Inputs!$C$61),INDEX(Utility_Rates!$C$29:$F$52,HOUR(C8006)+Inputs!$C$69,MATCH(INDEX(Utility_Rates!$K$6:$K$17,MONTH(C8006))&amp;IF(WEEKDAY(C8006,Inputs!$C$76)&lt;=Inputs!$C$74," weekday"," weekend"),Utility_Rates!$C$28:$F$28,Inputs!$C$68)),"")</f>
      </c>
      <c r="H8006" s="34"/>
      <c r="I8006" s="42">
        <f>IF(AND(ISNUMBER(D8006),ISNUMBER(H8006)),D8006*H8006*Inputs!$C$69,"")</f>
      </c>
      <c r="J8006" s="42">
        <f>IF(AND(ISNUMBER(F8006),ISNUMBER(H8006),F8006&gt;=Inputs!$C$68),F8006*H8006*Inputs!$C$69,"")</f>
      </c>
    </row>
    <row r="8007" spans="2:10" ht="15" customHeight="1" x14ac:dyDescent="0.2">
      <c r="B8007" s="39">
        <f t="shared" si="62"/>
      </c>
      <c r="C8007" s="40">
        <f>IF(Inputs!$C$60,Inputs!$C$11+(B8007-Inputs!$C$69)/Inputs!$C$70,"")</f>
      </c>
      <c r="D8007" s="15"/>
      <c r="E8007" s="15"/>
      <c r="F8007" s="11">
        <f t="shared" si="63"/>
      </c>
      <c r="G8007" s="22" cm="1">
        <f t="array" ref="G8007">IF(AND(Inputs!$C$60,Inputs!$C$61),INDEX(Utility_Rates!$C$29:$F$52,HOUR(C8007)+Inputs!$C$69,MATCH(INDEX(Utility_Rates!$K$6:$K$17,MONTH(C8007))&amp;IF(WEEKDAY(C8007,Inputs!$C$76)&lt;=Inputs!$C$74," weekday"," weekend"),Utility_Rates!$C$28:$F$28,Inputs!$C$68)),"")</f>
      </c>
      <c r="H8007" s="34"/>
      <c r="I8007" s="42">
        <f>IF(AND(ISNUMBER(D8007),ISNUMBER(H8007)),D8007*H8007*Inputs!$C$69,"")</f>
      </c>
      <c r="J8007" s="42">
        <f>IF(AND(ISNUMBER(F8007),ISNUMBER(H8007),F8007&gt;=Inputs!$C$68),F8007*H8007*Inputs!$C$69,"")</f>
      </c>
    </row>
    <row r="8008" spans="2:10" ht="15" customHeight="1" x14ac:dyDescent="0.2">
      <c r="B8008" s="39">
        <f t="shared" si="62"/>
      </c>
      <c r="C8008" s="40">
        <f>IF(Inputs!$C$60,Inputs!$C$11+(B8008-Inputs!$C$69)/Inputs!$C$70,"")</f>
      </c>
      <c r="D8008" s="15"/>
      <c r="E8008" s="15"/>
      <c r="F8008" s="11">
        <f t="shared" si="63"/>
      </c>
      <c r="G8008" s="22" cm="1">
        <f t="array" ref="G8008">IF(AND(Inputs!$C$60,Inputs!$C$61),INDEX(Utility_Rates!$C$29:$F$52,HOUR(C8008)+Inputs!$C$69,MATCH(INDEX(Utility_Rates!$K$6:$K$17,MONTH(C8008))&amp;IF(WEEKDAY(C8008,Inputs!$C$76)&lt;=Inputs!$C$74," weekday"," weekend"),Utility_Rates!$C$28:$F$28,Inputs!$C$68)),"")</f>
      </c>
      <c r="H8008" s="34"/>
      <c r="I8008" s="42">
        <f>IF(AND(ISNUMBER(D8008),ISNUMBER(H8008)),D8008*H8008*Inputs!$C$69,"")</f>
      </c>
      <c r="J8008" s="42">
        <f>IF(AND(ISNUMBER(F8008),ISNUMBER(H8008),F8008&gt;=Inputs!$C$68),F8008*H8008*Inputs!$C$69,"")</f>
      </c>
    </row>
    <row r="8009" spans="2:10" ht="15" customHeight="1" x14ac:dyDescent="0.2">
      <c r="B8009" s="39">
        <f t="shared" si="62"/>
      </c>
      <c r="C8009" s="40">
        <f>IF(Inputs!$C$60,Inputs!$C$11+(B8009-Inputs!$C$69)/Inputs!$C$70,"")</f>
      </c>
      <c r="D8009" s="15"/>
      <c r="E8009" s="15"/>
      <c r="F8009" s="11">
        <f t="shared" si="63"/>
      </c>
      <c r="G8009" s="22" cm="1">
        <f t="array" ref="G8009">IF(AND(Inputs!$C$60,Inputs!$C$61),INDEX(Utility_Rates!$C$29:$F$52,HOUR(C8009)+Inputs!$C$69,MATCH(INDEX(Utility_Rates!$K$6:$K$17,MONTH(C8009))&amp;IF(WEEKDAY(C8009,Inputs!$C$76)&lt;=Inputs!$C$74," weekday"," weekend"),Utility_Rates!$C$28:$F$28,Inputs!$C$68)),"")</f>
      </c>
      <c r="H8009" s="34"/>
      <c r="I8009" s="42">
        <f>IF(AND(ISNUMBER(D8009),ISNUMBER(H8009)),D8009*H8009*Inputs!$C$69,"")</f>
      </c>
      <c r="J8009" s="42">
        <f>IF(AND(ISNUMBER(F8009),ISNUMBER(H8009),F8009&gt;=Inputs!$C$68),F8009*H8009*Inputs!$C$69,"")</f>
      </c>
    </row>
    <row r="8010" spans="2:10" ht="15" customHeight="1" x14ac:dyDescent="0.2">
      <c r="B8010" s="39">
        <f t="shared" si="62"/>
      </c>
      <c r="C8010" s="40">
        <f>IF(Inputs!$C$60,Inputs!$C$11+(B8010-Inputs!$C$69)/Inputs!$C$70,"")</f>
      </c>
      <c r="D8010" s="15"/>
      <c r="E8010" s="15"/>
      <c r="F8010" s="11">
        <f t="shared" si="63"/>
      </c>
      <c r="G8010" s="22" cm="1">
        <f t="array" ref="G8010">IF(AND(Inputs!$C$60,Inputs!$C$61),INDEX(Utility_Rates!$C$29:$F$52,HOUR(C8010)+Inputs!$C$69,MATCH(INDEX(Utility_Rates!$K$6:$K$17,MONTH(C8010))&amp;IF(WEEKDAY(C8010,Inputs!$C$76)&lt;=Inputs!$C$74," weekday"," weekend"),Utility_Rates!$C$28:$F$28,Inputs!$C$68)),"")</f>
      </c>
      <c r="H8010" s="34"/>
      <c r="I8010" s="42">
        <f>IF(AND(ISNUMBER(D8010),ISNUMBER(H8010)),D8010*H8010*Inputs!$C$69,"")</f>
      </c>
      <c r="J8010" s="42">
        <f>IF(AND(ISNUMBER(F8010),ISNUMBER(H8010),F8010&gt;=Inputs!$C$68),F8010*H8010*Inputs!$C$69,"")</f>
      </c>
    </row>
    <row r="8011" spans="2:10" ht="15" customHeight="1" x14ac:dyDescent="0.2">
      <c r="B8011" s="39">
        <f t="shared" si="62"/>
      </c>
      <c r="C8011" s="40">
        <f>IF(Inputs!$C$60,Inputs!$C$11+(B8011-Inputs!$C$69)/Inputs!$C$70,"")</f>
      </c>
      <c r="D8011" s="15"/>
      <c r="E8011" s="15"/>
      <c r="F8011" s="11">
        <f t="shared" si="63"/>
      </c>
      <c r="G8011" s="22" cm="1">
        <f t="array" ref="G8011">IF(AND(Inputs!$C$60,Inputs!$C$61),INDEX(Utility_Rates!$C$29:$F$52,HOUR(C8011)+Inputs!$C$69,MATCH(INDEX(Utility_Rates!$K$6:$K$17,MONTH(C8011))&amp;IF(WEEKDAY(C8011,Inputs!$C$76)&lt;=Inputs!$C$74," weekday"," weekend"),Utility_Rates!$C$28:$F$28,Inputs!$C$68)),"")</f>
      </c>
      <c r="H8011" s="34"/>
      <c r="I8011" s="42">
        <f>IF(AND(ISNUMBER(D8011),ISNUMBER(H8011)),D8011*H8011*Inputs!$C$69,"")</f>
      </c>
      <c r="J8011" s="42">
        <f>IF(AND(ISNUMBER(F8011),ISNUMBER(H8011),F8011&gt;=Inputs!$C$68),F8011*H8011*Inputs!$C$69,"")</f>
      </c>
    </row>
    <row r="8012" spans="2:10" ht="15" customHeight="1" x14ac:dyDescent="0.2">
      <c r="B8012" s="39">
        <f t="shared" si="62"/>
      </c>
      <c r="C8012" s="40">
        <f>IF(Inputs!$C$60,Inputs!$C$11+(B8012-Inputs!$C$69)/Inputs!$C$70,"")</f>
      </c>
      <c r="D8012" s="15"/>
      <c r="E8012" s="15"/>
      <c r="F8012" s="11">
        <f t="shared" si="63"/>
      </c>
      <c r="G8012" s="22" cm="1">
        <f t="array" ref="G8012">IF(AND(Inputs!$C$60,Inputs!$C$61),INDEX(Utility_Rates!$C$29:$F$52,HOUR(C8012)+Inputs!$C$69,MATCH(INDEX(Utility_Rates!$K$6:$K$17,MONTH(C8012))&amp;IF(WEEKDAY(C8012,Inputs!$C$76)&lt;=Inputs!$C$74," weekday"," weekend"),Utility_Rates!$C$28:$F$28,Inputs!$C$68)),"")</f>
      </c>
      <c r="H8012" s="34"/>
      <c r="I8012" s="42">
        <f>IF(AND(ISNUMBER(D8012),ISNUMBER(H8012)),D8012*H8012*Inputs!$C$69,"")</f>
      </c>
      <c r="J8012" s="42">
        <f>IF(AND(ISNUMBER(F8012),ISNUMBER(H8012),F8012&gt;=Inputs!$C$68),F8012*H8012*Inputs!$C$69,"")</f>
      </c>
    </row>
    <row r="8013" spans="2:10" ht="15" customHeight="1" x14ac:dyDescent="0.2">
      <c r="B8013" s="39">
        <f t="shared" si="62"/>
      </c>
      <c r="C8013" s="40">
        <f>IF(Inputs!$C$60,Inputs!$C$11+(B8013-Inputs!$C$69)/Inputs!$C$70,"")</f>
      </c>
      <c r="D8013" s="15"/>
      <c r="E8013" s="15"/>
      <c r="F8013" s="11">
        <f t="shared" si="63"/>
      </c>
      <c r="G8013" s="22" cm="1">
        <f t="array" ref="G8013">IF(AND(Inputs!$C$60,Inputs!$C$61),INDEX(Utility_Rates!$C$29:$F$52,HOUR(C8013)+Inputs!$C$69,MATCH(INDEX(Utility_Rates!$K$6:$K$17,MONTH(C8013))&amp;IF(WEEKDAY(C8013,Inputs!$C$76)&lt;=Inputs!$C$74," weekday"," weekend"),Utility_Rates!$C$28:$F$28,Inputs!$C$68)),"")</f>
      </c>
      <c r="H8013" s="34"/>
      <c r="I8013" s="42">
        <f>IF(AND(ISNUMBER(D8013),ISNUMBER(H8013)),D8013*H8013*Inputs!$C$69,"")</f>
      </c>
      <c r="J8013" s="42">
        <f>IF(AND(ISNUMBER(F8013),ISNUMBER(H8013),F8013&gt;=Inputs!$C$68),F8013*H8013*Inputs!$C$69,"")</f>
      </c>
    </row>
    <row r="8014" spans="2:10" ht="15" customHeight="1" x14ac:dyDescent="0.2">
      <c r="B8014" s="39">
        <f t="shared" si="62"/>
      </c>
      <c r="C8014" s="40">
        <f>IF(Inputs!$C$60,Inputs!$C$11+(B8014-Inputs!$C$69)/Inputs!$C$70,"")</f>
      </c>
      <c r="D8014" s="15"/>
      <c r="E8014" s="15"/>
      <c r="F8014" s="11">
        <f t="shared" si="63"/>
      </c>
      <c r="G8014" s="22" cm="1">
        <f t="array" ref="G8014">IF(AND(Inputs!$C$60,Inputs!$C$61),INDEX(Utility_Rates!$C$29:$F$52,HOUR(C8014)+Inputs!$C$69,MATCH(INDEX(Utility_Rates!$K$6:$K$17,MONTH(C8014))&amp;IF(WEEKDAY(C8014,Inputs!$C$76)&lt;=Inputs!$C$74," weekday"," weekend"),Utility_Rates!$C$28:$F$28,Inputs!$C$68)),"")</f>
      </c>
      <c r="H8014" s="34"/>
      <c r="I8014" s="42">
        <f>IF(AND(ISNUMBER(D8014),ISNUMBER(H8014)),D8014*H8014*Inputs!$C$69,"")</f>
      </c>
      <c r="J8014" s="42">
        <f>IF(AND(ISNUMBER(F8014),ISNUMBER(H8014),F8014&gt;=Inputs!$C$68),F8014*H8014*Inputs!$C$69,"")</f>
      </c>
    </row>
    <row r="8015" spans="2:10" ht="15" customHeight="1" x14ac:dyDescent="0.2">
      <c r="B8015" s="39">
        <f t="shared" si="62"/>
      </c>
      <c r="C8015" s="40">
        <f>IF(Inputs!$C$60,Inputs!$C$11+(B8015-Inputs!$C$69)/Inputs!$C$70,"")</f>
      </c>
      <c r="D8015" s="15"/>
      <c r="E8015" s="15"/>
      <c r="F8015" s="11">
        <f t="shared" si="63"/>
      </c>
      <c r="G8015" s="22" cm="1">
        <f t="array" ref="G8015">IF(AND(Inputs!$C$60,Inputs!$C$61),INDEX(Utility_Rates!$C$29:$F$52,HOUR(C8015)+Inputs!$C$69,MATCH(INDEX(Utility_Rates!$K$6:$K$17,MONTH(C8015))&amp;IF(WEEKDAY(C8015,Inputs!$C$76)&lt;=Inputs!$C$74," weekday"," weekend"),Utility_Rates!$C$28:$F$28,Inputs!$C$68)),"")</f>
      </c>
      <c r="H8015" s="34"/>
      <c r="I8015" s="42">
        <f>IF(AND(ISNUMBER(D8015),ISNUMBER(H8015)),D8015*H8015*Inputs!$C$69,"")</f>
      </c>
      <c r="J8015" s="42">
        <f>IF(AND(ISNUMBER(F8015),ISNUMBER(H8015),F8015&gt;=Inputs!$C$68),F8015*H8015*Inputs!$C$69,"")</f>
      </c>
    </row>
    <row r="8016" spans="2:10" ht="15" customHeight="1" x14ac:dyDescent="0.2">
      <c r="B8016" s="39">
        <f t="shared" si="62"/>
      </c>
      <c r="C8016" s="40">
        <f>IF(Inputs!$C$60,Inputs!$C$11+(B8016-Inputs!$C$69)/Inputs!$C$70,"")</f>
      </c>
      <c r="D8016" s="15"/>
      <c r="E8016" s="15"/>
      <c r="F8016" s="11">
        <f t="shared" si="63"/>
      </c>
      <c r="G8016" s="22" cm="1">
        <f t="array" ref="G8016">IF(AND(Inputs!$C$60,Inputs!$C$61),INDEX(Utility_Rates!$C$29:$F$52,HOUR(C8016)+Inputs!$C$69,MATCH(INDEX(Utility_Rates!$K$6:$K$17,MONTH(C8016))&amp;IF(WEEKDAY(C8016,Inputs!$C$76)&lt;=Inputs!$C$74," weekday"," weekend"),Utility_Rates!$C$28:$F$28,Inputs!$C$68)),"")</f>
      </c>
      <c r="H8016" s="34"/>
      <c r="I8016" s="42">
        <f>IF(AND(ISNUMBER(D8016),ISNUMBER(H8016)),D8016*H8016*Inputs!$C$69,"")</f>
      </c>
      <c r="J8016" s="42">
        <f>IF(AND(ISNUMBER(F8016),ISNUMBER(H8016),F8016&gt;=Inputs!$C$68),F8016*H8016*Inputs!$C$69,"")</f>
      </c>
    </row>
    <row r="8017" spans="2:10" ht="15" customHeight="1" x14ac:dyDescent="0.2">
      <c r="B8017" s="39">
        <f t="shared" si="62"/>
      </c>
      <c r="C8017" s="40">
        <f>IF(Inputs!$C$60,Inputs!$C$11+(B8017-Inputs!$C$69)/Inputs!$C$70,"")</f>
      </c>
      <c r="D8017" s="15"/>
      <c r="E8017" s="15"/>
      <c r="F8017" s="11">
        <f t="shared" si="63"/>
      </c>
      <c r="G8017" s="22" cm="1">
        <f t="array" ref="G8017">IF(AND(Inputs!$C$60,Inputs!$C$61),INDEX(Utility_Rates!$C$29:$F$52,HOUR(C8017)+Inputs!$C$69,MATCH(INDEX(Utility_Rates!$K$6:$K$17,MONTH(C8017))&amp;IF(WEEKDAY(C8017,Inputs!$C$76)&lt;=Inputs!$C$74," weekday"," weekend"),Utility_Rates!$C$28:$F$28,Inputs!$C$68)),"")</f>
      </c>
      <c r="H8017" s="34"/>
      <c r="I8017" s="42">
        <f>IF(AND(ISNUMBER(D8017),ISNUMBER(H8017)),D8017*H8017*Inputs!$C$69,"")</f>
      </c>
      <c r="J8017" s="42">
        <f>IF(AND(ISNUMBER(F8017),ISNUMBER(H8017),F8017&gt;=Inputs!$C$68),F8017*H8017*Inputs!$C$69,"")</f>
      </c>
    </row>
    <row r="8018" spans="2:10" ht="15" customHeight="1" x14ac:dyDescent="0.2">
      <c r="B8018" s="39">
        <f t="shared" si="62"/>
      </c>
      <c r="C8018" s="40">
        <f>IF(Inputs!$C$60,Inputs!$C$11+(B8018-Inputs!$C$69)/Inputs!$C$70,"")</f>
      </c>
      <c r="D8018" s="15"/>
      <c r="E8018" s="15"/>
      <c r="F8018" s="11">
        <f t="shared" si="63"/>
      </c>
      <c r="G8018" s="22" cm="1">
        <f t="array" ref="G8018">IF(AND(Inputs!$C$60,Inputs!$C$61),INDEX(Utility_Rates!$C$29:$F$52,HOUR(C8018)+Inputs!$C$69,MATCH(INDEX(Utility_Rates!$K$6:$K$17,MONTH(C8018))&amp;IF(WEEKDAY(C8018,Inputs!$C$76)&lt;=Inputs!$C$74," weekday"," weekend"),Utility_Rates!$C$28:$F$28,Inputs!$C$68)),"")</f>
      </c>
      <c r="H8018" s="34"/>
      <c r="I8018" s="42">
        <f>IF(AND(ISNUMBER(D8018),ISNUMBER(H8018)),D8018*H8018*Inputs!$C$69,"")</f>
      </c>
      <c r="J8018" s="42">
        <f>IF(AND(ISNUMBER(F8018),ISNUMBER(H8018),F8018&gt;=Inputs!$C$68),F8018*H8018*Inputs!$C$69,"")</f>
      </c>
    </row>
    <row r="8019" spans="2:10" ht="15" customHeight="1" x14ac:dyDescent="0.2">
      <c r="B8019" s="39">
        <f t="shared" si="62"/>
      </c>
      <c r="C8019" s="40">
        <f>IF(Inputs!$C$60,Inputs!$C$11+(B8019-Inputs!$C$69)/Inputs!$C$70,"")</f>
      </c>
      <c r="D8019" s="15"/>
      <c r="E8019" s="15"/>
      <c r="F8019" s="11">
        <f t="shared" si="63"/>
      </c>
      <c r="G8019" s="22" cm="1">
        <f t="array" ref="G8019">IF(AND(Inputs!$C$60,Inputs!$C$61),INDEX(Utility_Rates!$C$29:$F$52,HOUR(C8019)+Inputs!$C$69,MATCH(INDEX(Utility_Rates!$K$6:$K$17,MONTH(C8019))&amp;IF(WEEKDAY(C8019,Inputs!$C$76)&lt;=Inputs!$C$74," weekday"," weekend"),Utility_Rates!$C$28:$F$28,Inputs!$C$68)),"")</f>
      </c>
      <c r="H8019" s="34"/>
      <c r="I8019" s="42">
        <f>IF(AND(ISNUMBER(D8019),ISNUMBER(H8019)),D8019*H8019*Inputs!$C$69,"")</f>
      </c>
      <c r="J8019" s="42">
        <f>IF(AND(ISNUMBER(F8019),ISNUMBER(H8019),F8019&gt;=Inputs!$C$68),F8019*H8019*Inputs!$C$69,"")</f>
      </c>
    </row>
    <row r="8020" spans="2:10" ht="15" customHeight="1" x14ac:dyDescent="0.2">
      <c r="B8020" s="39">
        <f t="shared" si="62"/>
      </c>
      <c r="C8020" s="40">
        <f>IF(Inputs!$C$60,Inputs!$C$11+(B8020-Inputs!$C$69)/Inputs!$C$70,"")</f>
      </c>
      <c r="D8020" s="15"/>
      <c r="E8020" s="15"/>
      <c r="F8020" s="11">
        <f t="shared" si="63"/>
      </c>
      <c r="G8020" s="22" cm="1">
        <f t="array" ref="G8020">IF(AND(Inputs!$C$60,Inputs!$C$61),INDEX(Utility_Rates!$C$29:$F$52,HOUR(C8020)+Inputs!$C$69,MATCH(INDEX(Utility_Rates!$K$6:$K$17,MONTH(C8020))&amp;IF(WEEKDAY(C8020,Inputs!$C$76)&lt;=Inputs!$C$74," weekday"," weekend"),Utility_Rates!$C$28:$F$28,Inputs!$C$68)),"")</f>
      </c>
      <c r="H8020" s="34"/>
      <c r="I8020" s="42">
        <f>IF(AND(ISNUMBER(D8020),ISNUMBER(H8020)),D8020*H8020*Inputs!$C$69,"")</f>
      </c>
      <c r="J8020" s="42">
        <f>IF(AND(ISNUMBER(F8020),ISNUMBER(H8020),F8020&gt;=Inputs!$C$68),F8020*H8020*Inputs!$C$69,"")</f>
      </c>
    </row>
    <row r="8021" spans="2:10" ht="15" customHeight="1" x14ac:dyDescent="0.2">
      <c r="B8021" s="39">
        <f t="shared" si="62"/>
      </c>
      <c r="C8021" s="40">
        <f>IF(Inputs!$C$60,Inputs!$C$11+(B8021-Inputs!$C$69)/Inputs!$C$70,"")</f>
      </c>
      <c r="D8021" s="15"/>
      <c r="E8021" s="15"/>
      <c r="F8021" s="11">
        <f t="shared" si="63"/>
      </c>
      <c r="G8021" s="22" cm="1">
        <f t="array" ref="G8021">IF(AND(Inputs!$C$60,Inputs!$C$61),INDEX(Utility_Rates!$C$29:$F$52,HOUR(C8021)+Inputs!$C$69,MATCH(INDEX(Utility_Rates!$K$6:$K$17,MONTH(C8021))&amp;IF(WEEKDAY(C8021,Inputs!$C$76)&lt;=Inputs!$C$74," weekday"," weekend"),Utility_Rates!$C$28:$F$28,Inputs!$C$68)),"")</f>
      </c>
      <c r="H8021" s="34"/>
      <c r="I8021" s="42">
        <f>IF(AND(ISNUMBER(D8021),ISNUMBER(H8021)),D8021*H8021*Inputs!$C$69,"")</f>
      </c>
      <c r="J8021" s="42">
        <f>IF(AND(ISNUMBER(F8021),ISNUMBER(H8021),F8021&gt;=Inputs!$C$68),F8021*H8021*Inputs!$C$69,"")</f>
      </c>
    </row>
    <row r="8022" spans="2:10" ht="15" customHeight="1" x14ac:dyDescent="0.2">
      <c r="B8022" s="39">
        <f t="shared" si="62"/>
      </c>
      <c r="C8022" s="40">
        <f>IF(Inputs!$C$60,Inputs!$C$11+(B8022-Inputs!$C$69)/Inputs!$C$70,"")</f>
      </c>
      <c r="D8022" s="15"/>
      <c r="E8022" s="15"/>
      <c r="F8022" s="11">
        <f t="shared" si="63"/>
      </c>
      <c r="G8022" s="22" cm="1">
        <f t="array" ref="G8022">IF(AND(Inputs!$C$60,Inputs!$C$61),INDEX(Utility_Rates!$C$29:$F$52,HOUR(C8022)+Inputs!$C$69,MATCH(INDEX(Utility_Rates!$K$6:$K$17,MONTH(C8022))&amp;IF(WEEKDAY(C8022,Inputs!$C$76)&lt;=Inputs!$C$74," weekday"," weekend"),Utility_Rates!$C$28:$F$28,Inputs!$C$68)),"")</f>
      </c>
      <c r="H8022" s="34"/>
      <c r="I8022" s="42">
        <f>IF(AND(ISNUMBER(D8022),ISNUMBER(H8022)),D8022*H8022*Inputs!$C$69,"")</f>
      </c>
      <c r="J8022" s="42">
        <f>IF(AND(ISNUMBER(F8022),ISNUMBER(H8022),F8022&gt;=Inputs!$C$68),F8022*H8022*Inputs!$C$69,"")</f>
      </c>
    </row>
    <row r="8023" spans="2:10" ht="15" customHeight="1" x14ac:dyDescent="0.2">
      <c r="B8023" s="39">
        <f t="shared" si="62"/>
      </c>
      <c r="C8023" s="40">
        <f>IF(Inputs!$C$60,Inputs!$C$11+(B8023-Inputs!$C$69)/Inputs!$C$70,"")</f>
      </c>
      <c r="D8023" s="15"/>
      <c r="E8023" s="15"/>
      <c r="F8023" s="11">
        <f t="shared" si="63"/>
      </c>
      <c r="G8023" s="22" cm="1">
        <f t="array" ref="G8023">IF(AND(Inputs!$C$60,Inputs!$C$61),INDEX(Utility_Rates!$C$29:$F$52,HOUR(C8023)+Inputs!$C$69,MATCH(INDEX(Utility_Rates!$K$6:$K$17,MONTH(C8023))&amp;IF(WEEKDAY(C8023,Inputs!$C$76)&lt;=Inputs!$C$74," weekday"," weekend"),Utility_Rates!$C$28:$F$28,Inputs!$C$68)),"")</f>
      </c>
      <c r="H8023" s="34"/>
      <c r="I8023" s="42">
        <f>IF(AND(ISNUMBER(D8023),ISNUMBER(H8023)),D8023*H8023*Inputs!$C$69,"")</f>
      </c>
      <c r="J8023" s="42">
        <f>IF(AND(ISNUMBER(F8023),ISNUMBER(H8023),F8023&gt;=Inputs!$C$68),F8023*H8023*Inputs!$C$69,"")</f>
      </c>
    </row>
    <row r="8024" spans="2:10" ht="15" customHeight="1" x14ac:dyDescent="0.2">
      <c r="B8024" s="39">
        <f t="shared" si="62"/>
      </c>
      <c r="C8024" s="40">
        <f>IF(Inputs!$C$60,Inputs!$C$11+(B8024-Inputs!$C$69)/Inputs!$C$70,"")</f>
      </c>
      <c r="D8024" s="15"/>
      <c r="E8024" s="15"/>
      <c r="F8024" s="11">
        <f t="shared" si="63"/>
      </c>
      <c r="G8024" s="22" cm="1">
        <f t="array" ref="G8024">IF(AND(Inputs!$C$60,Inputs!$C$61),INDEX(Utility_Rates!$C$29:$F$52,HOUR(C8024)+Inputs!$C$69,MATCH(INDEX(Utility_Rates!$K$6:$K$17,MONTH(C8024))&amp;IF(WEEKDAY(C8024,Inputs!$C$76)&lt;=Inputs!$C$74," weekday"," weekend"),Utility_Rates!$C$28:$F$28,Inputs!$C$68)),"")</f>
      </c>
      <c r="H8024" s="34"/>
      <c r="I8024" s="42">
        <f>IF(AND(ISNUMBER(D8024),ISNUMBER(H8024)),D8024*H8024*Inputs!$C$69,"")</f>
      </c>
      <c r="J8024" s="42">
        <f>IF(AND(ISNUMBER(F8024),ISNUMBER(H8024),F8024&gt;=Inputs!$C$68),F8024*H8024*Inputs!$C$69,"")</f>
      </c>
    </row>
    <row r="8025" spans="2:10" ht="15" customHeight="1" x14ac:dyDescent="0.2">
      <c r="B8025" s="39">
        <f t="shared" si="62"/>
      </c>
      <c r="C8025" s="40">
        <f>IF(Inputs!$C$60,Inputs!$C$11+(B8025-Inputs!$C$69)/Inputs!$C$70,"")</f>
      </c>
      <c r="D8025" s="15"/>
      <c r="E8025" s="15"/>
      <c r="F8025" s="11">
        <f t="shared" si="63"/>
      </c>
      <c r="G8025" s="22" cm="1">
        <f t="array" ref="G8025">IF(AND(Inputs!$C$60,Inputs!$C$61),INDEX(Utility_Rates!$C$29:$F$52,HOUR(C8025)+Inputs!$C$69,MATCH(INDEX(Utility_Rates!$K$6:$K$17,MONTH(C8025))&amp;IF(WEEKDAY(C8025,Inputs!$C$76)&lt;=Inputs!$C$74," weekday"," weekend"),Utility_Rates!$C$28:$F$28,Inputs!$C$68)),"")</f>
      </c>
      <c r="H8025" s="34"/>
      <c r="I8025" s="42">
        <f>IF(AND(ISNUMBER(D8025),ISNUMBER(H8025)),D8025*H8025*Inputs!$C$69,"")</f>
      </c>
      <c r="J8025" s="42">
        <f>IF(AND(ISNUMBER(F8025),ISNUMBER(H8025),F8025&gt;=Inputs!$C$68),F8025*H8025*Inputs!$C$69,"")</f>
      </c>
    </row>
    <row r="8026" spans="2:10" ht="15" customHeight="1" x14ac:dyDescent="0.2">
      <c r="B8026" s="39">
        <f t="shared" si="62"/>
      </c>
      <c r="C8026" s="40">
        <f>IF(Inputs!$C$60,Inputs!$C$11+(B8026-Inputs!$C$69)/Inputs!$C$70,"")</f>
      </c>
      <c r="D8026" s="15"/>
      <c r="E8026" s="15"/>
      <c r="F8026" s="11">
        <f t="shared" si="63"/>
      </c>
      <c r="G8026" s="22" cm="1">
        <f t="array" ref="G8026">IF(AND(Inputs!$C$60,Inputs!$C$61),INDEX(Utility_Rates!$C$29:$F$52,HOUR(C8026)+Inputs!$C$69,MATCH(INDEX(Utility_Rates!$K$6:$K$17,MONTH(C8026))&amp;IF(WEEKDAY(C8026,Inputs!$C$76)&lt;=Inputs!$C$74," weekday"," weekend"),Utility_Rates!$C$28:$F$28,Inputs!$C$68)),"")</f>
      </c>
      <c r="H8026" s="34"/>
      <c r="I8026" s="42">
        <f>IF(AND(ISNUMBER(D8026),ISNUMBER(H8026)),D8026*H8026*Inputs!$C$69,"")</f>
      </c>
      <c r="J8026" s="42">
        <f>IF(AND(ISNUMBER(F8026),ISNUMBER(H8026),F8026&gt;=Inputs!$C$68),F8026*H8026*Inputs!$C$69,"")</f>
      </c>
    </row>
    <row r="8027" spans="2:10" ht="15" customHeight="1" x14ac:dyDescent="0.2">
      <c r="B8027" s="39">
        <f t="shared" si="62"/>
      </c>
      <c r="C8027" s="40">
        <f>IF(Inputs!$C$60,Inputs!$C$11+(B8027-Inputs!$C$69)/Inputs!$C$70,"")</f>
      </c>
      <c r="D8027" s="15"/>
      <c r="E8027" s="15"/>
      <c r="F8027" s="11">
        <f t="shared" si="63"/>
      </c>
      <c r="G8027" s="22" cm="1">
        <f t="array" ref="G8027">IF(AND(Inputs!$C$60,Inputs!$C$61),INDEX(Utility_Rates!$C$29:$F$52,HOUR(C8027)+Inputs!$C$69,MATCH(INDEX(Utility_Rates!$K$6:$K$17,MONTH(C8027))&amp;IF(WEEKDAY(C8027,Inputs!$C$76)&lt;=Inputs!$C$74," weekday"," weekend"),Utility_Rates!$C$28:$F$28,Inputs!$C$68)),"")</f>
      </c>
      <c r="H8027" s="34"/>
      <c r="I8027" s="42">
        <f>IF(AND(ISNUMBER(D8027),ISNUMBER(H8027)),D8027*H8027*Inputs!$C$69,"")</f>
      </c>
      <c r="J8027" s="42">
        <f>IF(AND(ISNUMBER(F8027),ISNUMBER(H8027),F8027&gt;=Inputs!$C$68),F8027*H8027*Inputs!$C$69,"")</f>
      </c>
    </row>
    <row r="8028" spans="2:10" ht="15" customHeight="1" x14ac:dyDescent="0.2">
      <c r="B8028" s="39">
        <f t="shared" si="62"/>
      </c>
      <c r="C8028" s="40">
        <f>IF(Inputs!$C$60,Inputs!$C$11+(B8028-Inputs!$C$69)/Inputs!$C$70,"")</f>
      </c>
      <c r="D8028" s="15"/>
      <c r="E8028" s="15"/>
      <c r="F8028" s="11">
        <f t="shared" si="63"/>
      </c>
      <c r="G8028" s="22" cm="1">
        <f t="array" ref="G8028">IF(AND(Inputs!$C$60,Inputs!$C$61),INDEX(Utility_Rates!$C$29:$F$52,HOUR(C8028)+Inputs!$C$69,MATCH(INDEX(Utility_Rates!$K$6:$K$17,MONTH(C8028))&amp;IF(WEEKDAY(C8028,Inputs!$C$76)&lt;=Inputs!$C$74," weekday"," weekend"),Utility_Rates!$C$28:$F$28,Inputs!$C$68)),"")</f>
      </c>
      <c r="H8028" s="34"/>
      <c r="I8028" s="42">
        <f>IF(AND(ISNUMBER(D8028),ISNUMBER(H8028)),D8028*H8028*Inputs!$C$69,"")</f>
      </c>
      <c r="J8028" s="42">
        <f>IF(AND(ISNUMBER(F8028),ISNUMBER(H8028),F8028&gt;=Inputs!$C$68),F8028*H8028*Inputs!$C$69,"")</f>
      </c>
    </row>
    <row r="8029" spans="2:10" ht="15" customHeight="1" x14ac:dyDescent="0.2">
      <c r="B8029" s="39">
        <f t="shared" si="62"/>
      </c>
      <c r="C8029" s="40">
        <f>IF(Inputs!$C$60,Inputs!$C$11+(B8029-Inputs!$C$69)/Inputs!$C$70,"")</f>
      </c>
      <c r="D8029" s="15"/>
      <c r="E8029" s="15"/>
      <c r="F8029" s="11">
        <f t="shared" si="63"/>
      </c>
      <c r="G8029" s="22" cm="1">
        <f t="array" ref="G8029">IF(AND(Inputs!$C$60,Inputs!$C$61),INDEX(Utility_Rates!$C$29:$F$52,HOUR(C8029)+Inputs!$C$69,MATCH(INDEX(Utility_Rates!$K$6:$K$17,MONTH(C8029))&amp;IF(WEEKDAY(C8029,Inputs!$C$76)&lt;=Inputs!$C$74," weekday"," weekend"),Utility_Rates!$C$28:$F$28,Inputs!$C$68)),"")</f>
      </c>
      <c r="H8029" s="34"/>
      <c r="I8029" s="42">
        <f>IF(AND(ISNUMBER(D8029),ISNUMBER(H8029)),D8029*H8029*Inputs!$C$69,"")</f>
      </c>
      <c r="J8029" s="42">
        <f>IF(AND(ISNUMBER(F8029),ISNUMBER(H8029),F8029&gt;=Inputs!$C$68),F8029*H8029*Inputs!$C$69,"")</f>
      </c>
    </row>
    <row r="8030" spans="2:10" ht="15" customHeight="1" x14ac:dyDescent="0.2">
      <c r="B8030" s="39">
        <f t="shared" si="62"/>
      </c>
      <c r="C8030" s="40">
        <f>IF(Inputs!$C$60,Inputs!$C$11+(B8030-Inputs!$C$69)/Inputs!$C$70,"")</f>
      </c>
      <c r="D8030" s="15"/>
      <c r="E8030" s="15"/>
      <c r="F8030" s="11">
        <f t="shared" si="63"/>
      </c>
      <c r="G8030" s="22" cm="1">
        <f t="array" ref="G8030">IF(AND(Inputs!$C$60,Inputs!$C$61),INDEX(Utility_Rates!$C$29:$F$52,HOUR(C8030)+Inputs!$C$69,MATCH(INDEX(Utility_Rates!$K$6:$K$17,MONTH(C8030))&amp;IF(WEEKDAY(C8030,Inputs!$C$76)&lt;=Inputs!$C$74," weekday"," weekend"),Utility_Rates!$C$28:$F$28,Inputs!$C$68)),"")</f>
      </c>
      <c r="H8030" s="34"/>
      <c r="I8030" s="42">
        <f>IF(AND(ISNUMBER(D8030),ISNUMBER(H8030)),D8030*H8030*Inputs!$C$69,"")</f>
      </c>
      <c r="J8030" s="42">
        <f>IF(AND(ISNUMBER(F8030),ISNUMBER(H8030),F8030&gt;=Inputs!$C$68),F8030*H8030*Inputs!$C$69,"")</f>
      </c>
    </row>
    <row r="8031" spans="2:10" ht="15" customHeight="1" x14ac:dyDescent="0.2">
      <c r="B8031" s="39">
        <f t="shared" si="62"/>
      </c>
      <c r="C8031" s="40">
        <f>IF(Inputs!$C$60,Inputs!$C$11+(B8031-Inputs!$C$69)/Inputs!$C$70,"")</f>
      </c>
      <c r="D8031" s="15"/>
      <c r="E8031" s="15"/>
      <c r="F8031" s="11">
        <f t="shared" si="63"/>
      </c>
      <c r="G8031" s="22" cm="1">
        <f t="array" ref="G8031">IF(AND(Inputs!$C$60,Inputs!$C$61),INDEX(Utility_Rates!$C$29:$F$52,HOUR(C8031)+Inputs!$C$69,MATCH(INDEX(Utility_Rates!$K$6:$K$17,MONTH(C8031))&amp;IF(WEEKDAY(C8031,Inputs!$C$76)&lt;=Inputs!$C$74," weekday"," weekend"),Utility_Rates!$C$28:$F$28,Inputs!$C$68)),"")</f>
      </c>
      <c r="H8031" s="34"/>
      <c r="I8031" s="42">
        <f>IF(AND(ISNUMBER(D8031),ISNUMBER(H8031)),D8031*H8031*Inputs!$C$69,"")</f>
      </c>
      <c r="J8031" s="42">
        <f>IF(AND(ISNUMBER(F8031),ISNUMBER(H8031),F8031&gt;=Inputs!$C$68),F8031*H8031*Inputs!$C$69,"")</f>
      </c>
    </row>
    <row r="8032" spans="2:10" ht="15" customHeight="1" x14ac:dyDescent="0.2">
      <c r="B8032" s="39">
        <f t="shared" si="62"/>
      </c>
      <c r="C8032" s="40">
        <f>IF(Inputs!$C$60,Inputs!$C$11+(B8032-Inputs!$C$69)/Inputs!$C$70,"")</f>
      </c>
      <c r="D8032" s="15"/>
      <c r="E8032" s="15"/>
      <c r="F8032" s="11">
        <f t="shared" si="63"/>
      </c>
      <c r="G8032" s="22" cm="1">
        <f t="array" ref="G8032">IF(AND(Inputs!$C$60,Inputs!$C$61),INDEX(Utility_Rates!$C$29:$F$52,HOUR(C8032)+Inputs!$C$69,MATCH(INDEX(Utility_Rates!$K$6:$K$17,MONTH(C8032))&amp;IF(WEEKDAY(C8032,Inputs!$C$76)&lt;=Inputs!$C$74," weekday"," weekend"),Utility_Rates!$C$28:$F$28,Inputs!$C$68)),"")</f>
      </c>
      <c r="H8032" s="34"/>
      <c r="I8032" s="42">
        <f>IF(AND(ISNUMBER(D8032),ISNUMBER(H8032)),D8032*H8032*Inputs!$C$69,"")</f>
      </c>
      <c r="J8032" s="42">
        <f>IF(AND(ISNUMBER(F8032),ISNUMBER(H8032),F8032&gt;=Inputs!$C$68),F8032*H8032*Inputs!$C$69,"")</f>
      </c>
    </row>
    <row r="8033" spans="2:10" ht="15" customHeight="1" x14ac:dyDescent="0.2">
      <c r="B8033" s="39">
        <f t="shared" si="62"/>
      </c>
      <c r="C8033" s="40">
        <f>IF(Inputs!$C$60,Inputs!$C$11+(B8033-Inputs!$C$69)/Inputs!$C$70,"")</f>
      </c>
      <c r="D8033" s="15"/>
      <c r="E8033" s="15"/>
      <c r="F8033" s="11">
        <f t="shared" si="63"/>
      </c>
      <c r="G8033" s="22" cm="1">
        <f t="array" ref="G8033">IF(AND(Inputs!$C$60,Inputs!$C$61),INDEX(Utility_Rates!$C$29:$F$52,HOUR(C8033)+Inputs!$C$69,MATCH(INDEX(Utility_Rates!$K$6:$K$17,MONTH(C8033))&amp;IF(WEEKDAY(C8033,Inputs!$C$76)&lt;=Inputs!$C$74," weekday"," weekend"),Utility_Rates!$C$28:$F$28,Inputs!$C$68)),"")</f>
      </c>
      <c r="H8033" s="34"/>
      <c r="I8033" s="42">
        <f>IF(AND(ISNUMBER(D8033),ISNUMBER(H8033)),D8033*H8033*Inputs!$C$69,"")</f>
      </c>
      <c r="J8033" s="42">
        <f>IF(AND(ISNUMBER(F8033),ISNUMBER(H8033),F8033&gt;=Inputs!$C$68),F8033*H8033*Inputs!$C$69,"")</f>
      </c>
    </row>
    <row r="8034" spans="2:10" ht="15" customHeight="1" x14ac:dyDescent="0.2">
      <c r="B8034" s="39">
        <f t="shared" si="62"/>
      </c>
      <c r="C8034" s="40">
        <f>IF(Inputs!$C$60,Inputs!$C$11+(B8034-Inputs!$C$69)/Inputs!$C$70,"")</f>
      </c>
      <c r="D8034" s="15"/>
      <c r="E8034" s="15"/>
      <c r="F8034" s="11">
        <f t="shared" si="63"/>
      </c>
      <c r="G8034" s="22" cm="1">
        <f t="array" ref="G8034">IF(AND(Inputs!$C$60,Inputs!$C$61),INDEX(Utility_Rates!$C$29:$F$52,HOUR(C8034)+Inputs!$C$69,MATCH(INDEX(Utility_Rates!$K$6:$K$17,MONTH(C8034))&amp;IF(WEEKDAY(C8034,Inputs!$C$76)&lt;=Inputs!$C$74," weekday"," weekend"),Utility_Rates!$C$28:$F$28,Inputs!$C$68)),"")</f>
      </c>
      <c r="H8034" s="34"/>
      <c r="I8034" s="42">
        <f>IF(AND(ISNUMBER(D8034),ISNUMBER(H8034)),D8034*H8034*Inputs!$C$69,"")</f>
      </c>
      <c r="J8034" s="42">
        <f>IF(AND(ISNUMBER(F8034),ISNUMBER(H8034),F8034&gt;=Inputs!$C$68),F8034*H8034*Inputs!$C$69,"")</f>
      </c>
    </row>
    <row r="8035" spans="2:10" ht="15" customHeight="1" x14ac:dyDescent="0.2">
      <c r="B8035" s="39">
        <f t="shared" si="62"/>
      </c>
      <c r="C8035" s="40">
        <f>IF(Inputs!$C$60,Inputs!$C$11+(B8035-Inputs!$C$69)/Inputs!$C$70,"")</f>
      </c>
      <c r="D8035" s="15"/>
      <c r="E8035" s="15"/>
      <c r="F8035" s="11">
        <f t="shared" si="63"/>
      </c>
      <c r="G8035" s="22" cm="1">
        <f t="array" ref="G8035">IF(AND(Inputs!$C$60,Inputs!$C$61),INDEX(Utility_Rates!$C$29:$F$52,HOUR(C8035)+Inputs!$C$69,MATCH(INDEX(Utility_Rates!$K$6:$K$17,MONTH(C8035))&amp;IF(WEEKDAY(C8035,Inputs!$C$76)&lt;=Inputs!$C$74," weekday"," weekend"),Utility_Rates!$C$28:$F$28,Inputs!$C$68)),"")</f>
      </c>
      <c r="H8035" s="34"/>
      <c r="I8035" s="42">
        <f>IF(AND(ISNUMBER(D8035),ISNUMBER(H8035)),D8035*H8035*Inputs!$C$69,"")</f>
      </c>
      <c r="J8035" s="42">
        <f>IF(AND(ISNUMBER(F8035),ISNUMBER(H8035),F8035&gt;=Inputs!$C$68),F8035*H8035*Inputs!$C$69,"")</f>
      </c>
    </row>
    <row r="8036" spans="2:10" ht="15" customHeight="1" x14ac:dyDescent="0.2">
      <c r="B8036" s="39">
        <f t="shared" si="62"/>
      </c>
      <c r="C8036" s="40">
        <f>IF(Inputs!$C$60,Inputs!$C$11+(B8036-Inputs!$C$69)/Inputs!$C$70,"")</f>
      </c>
      <c r="D8036" s="15"/>
      <c r="E8036" s="15"/>
      <c r="F8036" s="11">
        <f t="shared" si="63"/>
      </c>
      <c r="G8036" s="22" cm="1">
        <f t="array" ref="G8036">IF(AND(Inputs!$C$60,Inputs!$C$61),INDEX(Utility_Rates!$C$29:$F$52,HOUR(C8036)+Inputs!$C$69,MATCH(INDEX(Utility_Rates!$K$6:$K$17,MONTH(C8036))&amp;IF(WEEKDAY(C8036,Inputs!$C$76)&lt;=Inputs!$C$74," weekday"," weekend"),Utility_Rates!$C$28:$F$28,Inputs!$C$68)),"")</f>
      </c>
      <c r="H8036" s="34"/>
      <c r="I8036" s="42">
        <f>IF(AND(ISNUMBER(D8036),ISNUMBER(H8036)),D8036*H8036*Inputs!$C$69,"")</f>
      </c>
      <c r="J8036" s="42">
        <f>IF(AND(ISNUMBER(F8036),ISNUMBER(H8036),F8036&gt;=Inputs!$C$68),F8036*H8036*Inputs!$C$69,"")</f>
      </c>
    </row>
    <row r="8037" spans="2:10" ht="15" customHeight="1" x14ac:dyDescent="0.2">
      <c r="B8037" s="39">
        <f t="shared" si="62"/>
      </c>
      <c r="C8037" s="40">
        <f>IF(Inputs!$C$60,Inputs!$C$11+(B8037-Inputs!$C$69)/Inputs!$C$70,"")</f>
      </c>
      <c r="D8037" s="15"/>
      <c r="E8037" s="15"/>
      <c r="F8037" s="11">
        <f t="shared" si="63"/>
      </c>
      <c r="G8037" s="22" cm="1">
        <f t="array" ref="G8037">IF(AND(Inputs!$C$60,Inputs!$C$61),INDEX(Utility_Rates!$C$29:$F$52,HOUR(C8037)+Inputs!$C$69,MATCH(INDEX(Utility_Rates!$K$6:$K$17,MONTH(C8037))&amp;IF(WEEKDAY(C8037,Inputs!$C$76)&lt;=Inputs!$C$74," weekday"," weekend"),Utility_Rates!$C$28:$F$28,Inputs!$C$68)),"")</f>
      </c>
      <c r="H8037" s="34"/>
      <c r="I8037" s="42">
        <f>IF(AND(ISNUMBER(D8037),ISNUMBER(H8037)),D8037*H8037*Inputs!$C$69,"")</f>
      </c>
      <c r="J8037" s="42">
        <f>IF(AND(ISNUMBER(F8037),ISNUMBER(H8037),F8037&gt;=Inputs!$C$68),F8037*H8037*Inputs!$C$69,"")</f>
      </c>
    </row>
    <row r="8038" spans="2:10" ht="15" customHeight="1" x14ac:dyDescent="0.2">
      <c r="B8038" s="39">
        <f t="shared" si="62"/>
      </c>
      <c r="C8038" s="40">
        <f>IF(Inputs!$C$60,Inputs!$C$11+(B8038-Inputs!$C$69)/Inputs!$C$70,"")</f>
      </c>
      <c r="D8038" s="15"/>
      <c r="E8038" s="15"/>
      <c r="F8038" s="11">
        <f t="shared" si="63"/>
      </c>
      <c r="G8038" s="22" cm="1">
        <f t="array" ref="G8038">IF(AND(Inputs!$C$60,Inputs!$C$61),INDEX(Utility_Rates!$C$29:$F$52,HOUR(C8038)+Inputs!$C$69,MATCH(INDEX(Utility_Rates!$K$6:$K$17,MONTH(C8038))&amp;IF(WEEKDAY(C8038,Inputs!$C$76)&lt;=Inputs!$C$74," weekday"," weekend"),Utility_Rates!$C$28:$F$28,Inputs!$C$68)),"")</f>
      </c>
      <c r="H8038" s="34"/>
      <c r="I8038" s="42">
        <f>IF(AND(ISNUMBER(D8038),ISNUMBER(H8038)),D8038*H8038*Inputs!$C$69,"")</f>
      </c>
      <c r="J8038" s="42">
        <f>IF(AND(ISNUMBER(F8038),ISNUMBER(H8038),F8038&gt;=Inputs!$C$68),F8038*H8038*Inputs!$C$69,"")</f>
      </c>
    </row>
    <row r="8039" spans="2:10" ht="15" customHeight="1" x14ac:dyDescent="0.2">
      <c r="B8039" s="39">
        <f t="shared" si="62"/>
      </c>
      <c r="C8039" s="40">
        <f>IF(Inputs!$C$60,Inputs!$C$11+(B8039-Inputs!$C$69)/Inputs!$C$70,"")</f>
      </c>
      <c r="D8039" s="15"/>
      <c r="E8039" s="15"/>
      <c r="F8039" s="11">
        <f t="shared" si="63"/>
      </c>
      <c r="G8039" s="22" cm="1">
        <f t="array" ref="G8039">IF(AND(Inputs!$C$60,Inputs!$C$61),INDEX(Utility_Rates!$C$29:$F$52,HOUR(C8039)+Inputs!$C$69,MATCH(INDEX(Utility_Rates!$K$6:$K$17,MONTH(C8039))&amp;IF(WEEKDAY(C8039,Inputs!$C$76)&lt;=Inputs!$C$74," weekday"," weekend"),Utility_Rates!$C$28:$F$28,Inputs!$C$68)),"")</f>
      </c>
      <c r="H8039" s="34"/>
      <c r="I8039" s="42">
        <f>IF(AND(ISNUMBER(D8039),ISNUMBER(H8039)),D8039*H8039*Inputs!$C$69,"")</f>
      </c>
      <c r="J8039" s="42">
        <f>IF(AND(ISNUMBER(F8039),ISNUMBER(H8039),F8039&gt;=Inputs!$C$68),F8039*H8039*Inputs!$C$69,"")</f>
      </c>
    </row>
    <row r="8040" spans="2:10" ht="15" customHeight="1" x14ac:dyDescent="0.2">
      <c r="B8040" s="39">
        <f t="shared" si="62"/>
      </c>
      <c r="C8040" s="40">
        <f>IF(Inputs!$C$60,Inputs!$C$11+(B8040-Inputs!$C$69)/Inputs!$C$70,"")</f>
      </c>
      <c r="D8040" s="15"/>
      <c r="E8040" s="15"/>
      <c r="F8040" s="11">
        <f t="shared" si="63"/>
      </c>
      <c r="G8040" s="22" cm="1">
        <f t="array" ref="G8040">IF(AND(Inputs!$C$60,Inputs!$C$61),INDEX(Utility_Rates!$C$29:$F$52,HOUR(C8040)+Inputs!$C$69,MATCH(INDEX(Utility_Rates!$K$6:$K$17,MONTH(C8040))&amp;IF(WEEKDAY(C8040,Inputs!$C$76)&lt;=Inputs!$C$74," weekday"," weekend"),Utility_Rates!$C$28:$F$28,Inputs!$C$68)),"")</f>
      </c>
      <c r="H8040" s="34"/>
      <c r="I8040" s="42">
        <f>IF(AND(ISNUMBER(D8040),ISNUMBER(H8040)),D8040*H8040*Inputs!$C$69,"")</f>
      </c>
      <c r="J8040" s="42">
        <f>IF(AND(ISNUMBER(F8040),ISNUMBER(H8040),F8040&gt;=Inputs!$C$68),F8040*H8040*Inputs!$C$69,"")</f>
      </c>
    </row>
    <row r="8041" spans="2:10" ht="15" customHeight="1" x14ac:dyDescent="0.2">
      <c r="B8041" s="39">
        <f t="shared" si="62"/>
      </c>
      <c r="C8041" s="40">
        <f>IF(Inputs!$C$60,Inputs!$C$11+(B8041-Inputs!$C$69)/Inputs!$C$70,"")</f>
      </c>
      <c r="D8041" s="15"/>
      <c r="E8041" s="15"/>
      <c r="F8041" s="11">
        <f t="shared" si="63"/>
      </c>
      <c r="G8041" s="22" cm="1">
        <f t="array" ref="G8041">IF(AND(Inputs!$C$60,Inputs!$C$61),INDEX(Utility_Rates!$C$29:$F$52,HOUR(C8041)+Inputs!$C$69,MATCH(INDEX(Utility_Rates!$K$6:$K$17,MONTH(C8041))&amp;IF(WEEKDAY(C8041,Inputs!$C$76)&lt;=Inputs!$C$74," weekday"," weekend"),Utility_Rates!$C$28:$F$28,Inputs!$C$68)),"")</f>
      </c>
      <c r="H8041" s="34"/>
      <c r="I8041" s="42">
        <f>IF(AND(ISNUMBER(D8041),ISNUMBER(H8041)),D8041*H8041*Inputs!$C$69,"")</f>
      </c>
      <c r="J8041" s="42">
        <f>IF(AND(ISNUMBER(F8041),ISNUMBER(H8041),F8041&gt;=Inputs!$C$68),F8041*H8041*Inputs!$C$69,"")</f>
      </c>
    </row>
    <row r="8042" spans="2:10" ht="15" customHeight="1" x14ac:dyDescent="0.2">
      <c r="B8042" s="39">
        <f t="shared" si="62"/>
      </c>
      <c r="C8042" s="40">
        <f>IF(Inputs!$C$60,Inputs!$C$11+(B8042-Inputs!$C$69)/Inputs!$C$70,"")</f>
      </c>
      <c r="D8042" s="15"/>
      <c r="E8042" s="15"/>
      <c r="F8042" s="11">
        <f t="shared" si="63"/>
      </c>
      <c r="G8042" s="22" cm="1">
        <f t="array" ref="G8042">IF(AND(Inputs!$C$60,Inputs!$C$61),INDEX(Utility_Rates!$C$29:$F$52,HOUR(C8042)+Inputs!$C$69,MATCH(INDEX(Utility_Rates!$K$6:$K$17,MONTH(C8042))&amp;IF(WEEKDAY(C8042,Inputs!$C$76)&lt;=Inputs!$C$74," weekday"," weekend"),Utility_Rates!$C$28:$F$28,Inputs!$C$68)),"")</f>
      </c>
      <c r="H8042" s="34"/>
      <c r="I8042" s="42">
        <f>IF(AND(ISNUMBER(D8042),ISNUMBER(H8042)),D8042*H8042*Inputs!$C$69,"")</f>
      </c>
      <c r="J8042" s="42">
        <f>IF(AND(ISNUMBER(F8042),ISNUMBER(H8042),F8042&gt;=Inputs!$C$68),F8042*H8042*Inputs!$C$69,"")</f>
      </c>
    </row>
    <row r="8043" spans="2:10" ht="15" customHeight="1" x14ac:dyDescent="0.2">
      <c r="B8043" s="39">
        <f t="shared" si="62"/>
      </c>
      <c r="C8043" s="40">
        <f>IF(Inputs!$C$60,Inputs!$C$11+(B8043-Inputs!$C$69)/Inputs!$C$70,"")</f>
      </c>
      <c r="D8043" s="15"/>
      <c r="E8043" s="15"/>
      <c r="F8043" s="11">
        <f t="shared" si="63"/>
      </c>
      <c r="G8043" s="22" cm="1">
        <f t="array" ref="G8043">IF(AND(Inputs!$C$60,Inputs!$C$61),INDEX(Utility_Rates!$C$29:$F$52,HOUR(C8043)+Inputs!$C$69,MATCH(INDEX(Utility_Rates!$K$6:$K$17,MONTH(C8043))&amp;IF(WEEKDAY(C8043,Inputs!$C$76)&lt;=Inputs!$C$74," weekday"," weekend"),Utility_Rates!$C$28:$F$28,Inputs!$C$68)),"")</f>
      </c>
      <c r="H8043" s="34"/>
      <c r="I8043" s="42">
        <f>IF(AND(ISNUMBER(D8043),ISNUMBER(H8043)),D8043*H8043*Inputs!$C$69,"")</f>
      </c>
      <c r="J8043" s="42">
        <f>IF(AND(ISNUMBER(F8043),ISNUMBER(H8043),F8043&gt;=Inputs!$C$68),F8043*H8043*Inputs!$C$69,"")</f>
      </c>
    </row>
    <row r="8044" spans="2:10" ht="15" customHeight="1" x14ac:dyDescent="0.2">
      <c r="B8044" s="39">
        <f t="shared" si="62"/>
      </c>
      <c r="C8044" s="40">
        <f>IF(Inputs!$C$60,Inputs!$C$11+(B8044-Inputs!$C$69)/Inputs!$C$70,"")</f>
      </c>
      <c r="D8044" s="15"/>
      <c r="E8044" s="15"/>
      <c r="F8044" s="11">
        <f t="shared" si="63"/>
      </c>
      <c r="G8044" s="22" cm="1">
        <f t="array" ref="G8044">IF(AND(Inputs!$C$60,Inputs!$C$61),INDEX(Utility_Rates!$C$29:$F$52,HOUR(C8044)+Inputs!$C$69,MATCH(INDEX(Utility_Rates!$K$6:$K$17,MONTH(C8044))&amp;IF(WEEKDAY(C8044,Inputs!$C$76)&lt;=Inputs!$C$74," weekday"," weekend"),Utility_Rates!$C$28:$F$28,Inputs!$C$68)),"")</f>
      </c>
      <c r="H8044" s="34"/>
      <c r="I8044" s="42">
        <f>IF(AND(ISNUMBER(D8044),ISNUMBER(H8044)),D8044*H8044*Inputs!$C$69,"")</f>
      </c>
      <c r="J8044" s="42">
        <f>IF(AND(ISNUMBER(F8044),ISNUMBER(H8044),F8044&gt;=Inputs!$C$68),F8044*H8044*Inputs!$C$69,"")</f>
      </c>
    </row>
    <row r="8045" spans="2:10" ht="15" customHeight="1" x14ac:dyDescent="0.2">
      <c r="B8045" s="39">
        <f t="shared" si="62"/>
      </c>
      <c r="C8045" s="40">
        <f>IF(Inputs!$C$60,Inputs!$C$11+(B8045-Inputs!$C$69)/Inputs!$C$70,"")</f>
      </c>
      <c r="D8045" s="15"/>
      <c r="E8045" s="15"/>
      <c r="F8045" s="11">
        <f t="shared" si="63"/>
      </c>
      <c r="G8045" s="22" cm="1">
        <f t="array" ref="G8045">IF(AND(Inputs!$C$60,Inputs!$C$61),INDEX(Utility_Rates!$C$29:$F$52,HOUR(C8045)+Inputs!$C$69,MATCH(INDEX(Utility_Rates!$K$6:$K$17,MONTH(C8045))&amp;IF(WEEKDAY(C8045,Inputs!$C$76)&lt;=Inputs!$C$74," weekday"," weekend"),Utility_Rates!$C$28:$F$28,Inputs!$C$68)),"")</f>
      </c>
      <c r="H8045" s="34"/>
      <c r="I8045" s="42">
        <f>IF(AND(ISNUMBER(D8045),ISNUMBER(H8045)),D8045*H8045*Inputs!$C$69,"")</f>
      </c>
      <c r="J8045" s="42">
        <f>IF(AND(ISNUMBER(F8045),ISNUMBER(H8045),F8045&gt;=Inputs!$C$68),F8045*H8045*Inputs!$C$69,"")</f>
      </c>
    </row>
    <row r="8046" spans="2:10" ht="15" customHeight="1" x14ac:dyDescent="0.2">
      <c r="B8046" s="39">
        <f t="shared" si="62"/>
      </c>
      <c r="C8046" s="40">
        <f>IF(Inputs!$C$60,Inputs!$C$11+(B8046-Inputs!$C$69)/Inputs!$C$70,"")</f>
      </c>
      <c r="D8046" s="15"/>
      <c r="E8046" s="15"/>
      <c r="F8046" s="11">
        <f t="shared" si="63"/>
      </c>
      <c r="G8046" s="22" cm="1">
        <f t="array" ref="G8046">IF(AND(Inputs!$C$60,Inputs!$C$61),INDEX(Utility_Rates!$C$29:$F$52,HOUR(C8046)+Inputs!$C$69,MATCH(INDEX(Utility_Rates!$K$6:$K$17,MONTH(C8046))&amp;IF(WEEKDAY(C8046,Inputs!$C$76)&lt;=Inputs!$C$74," weekday"," weekend"),Utility_Rates!$C$28:$F$28,Inputs!$C$68)),"")</f>
      </c>
      <c r="H8046" s="34"/>
      <c r="I8046" s="42">
        <f>IF(AND(ISNUMBER(D8046),ISNUMBER(H8046)),D8046*H8046*Inputs!$C$69,"")</f>
      </c>
      <c r="J8046" s="42">
        <f>IF(AND(ISNUMBER(F8046),ISNUMBER(H8046),F8046&gt;=Inputs!$C$68),F8046*H8046*Inputs!$C$69,"")</f>
      </c>
    </row>
    <row r="8047" spans="2:10" ht="15" customHeight="1" x14ac:dyDescent="0.2">
      <c r="B8047" s="39">
        <f t="shared" si="62"/>
      </c>
      <c r="C8047" s="40">
        <f>IF(Inputs!$C$60,Inputs!$C$11+(B8047-Inputs!$C$69)/Inputs!$C$70,"")</f>
      </c>
      <c r="D8047" s="15"/>
      <c r="E8047" s="15"/>
      <c r="F8047" s="11">
        <f t="shared" si="63"/>
      </c>
      <c r="G8047" s="22" cm="1">
        <f t="array" ref="G8047">IF(AND(Inputs!$C$60,Inputs!$C$61),INDEX(Utility_Rates!$C$29:$F$52,HOUR(C8047)+Inputs!$C$69,MATCH(INDEX(Utility_Rates!$K$6:$K$17,MONTH(C8047))&amp;IF(WEEKDAY(C8047,Inputs!$C$76)&lt;=Inputs!$C$74," weekday"," weekend"),Utility_Rates!$C$28:$F$28,Inputs!$C$68)),"")</f>
      </c>
      <c r="H8047" s="34"/>
      <c r="I8047" s="42">
        <f>IF(AND(ISNUMBER(D8047),ISNUMBER(H8047)),D8047*H8047*Inputs!$C$69,"")</f>
      </c>
      <c r="J8047" s="42">
        <f>IF(AND(ISNUMBER(F8047),ISNUMBER(H8047),F8047&gt;=Inputs!$C$68),F8047*H8047*Inputs!$C$69,"")</f>
      </c>
    </row>
    <row r="8048" spans="2:10" ht="15" customHeight="1" x14ac:dyDescent="0.2">
      <c r="B8048" s="39">
        <f t="shared" si="62"/>
      </c>
      <c r="C8048" s="40">
        <f>IF(Inputs!$C$60,Inputs!$C$11+(B8048-Inputs!$C$69)/Inputs!$C$70,"")</f>
      </c>
      <c r="D8048" s="15"/>
      <c r="E8048" s="15"/>
      <c r="F8048" s="11">
        <f t="shared" si="63"/>
      </c>
      <c r="G8048" s="22" cm="1">
        <f t="array" ref="G8048">IF(AND(Inputs!$C$60,Inputs!$C$61),INDEX(Utility_Rates!$C$29:$F$52,HOUR(C8048)+Inputs!$C$69,MATCH(INDEX(Utility_Rates!$K$6:$K$17,MONTH(C8048))&amp;IF(WEEKDAY(C8048,Inputs!$C$76)&lt;=Inputs!$C$74," weekday"," weekend"),Utility_Rates!$C$28:$F$28,Inputs!$C$68)),"")</f>
      </c>
      <c r="H8048" s="34"/>
      <c r="I8048" s="42">
        <f>IF(AND(ISNUMBER(D8048),ISNUMBER(H8048)),D8048*H8048*Inputs!$C$69,"")</f>
      </c>
      <c r="J8048" s="42">
        <f>IF(AND(ISNUMBER(F8048),ISNUMBER(H8048),F8048&gt;=Inputs!$C$68),F8048*H8048*Inputs!$C$69,"")</f>
      </c>
    </row>
    <row r="8049" spans="2:10" ht="15" customHeight="1" x14ac:dyDescent="0.2">
      <c r="B8049" s="39">
        <f t="shared" si="62"/>
      </c>
      <c r="C8049" s="40">
        <f>IF(Inputs!$C$60,Inputs!$C$11+(B8049-Inputs!$C$69)/Inputs!$C$70,"")</f>
      </c>
      <c r="D8049" s="15"/>
      <c r="E8049" s="15"/>
      <c r="F8049" s="11">
        <f t="shared" si="63"/>
      </c>
      <c r="G8049" s="22" cm="1">
        <f t="array" ref="G8049">IF(AND(Inputs!$C$60,Inputs!$C$61),INDEX(Utility_Rates!$C$29:$F$52,HOUR(C8049)+Inputs!$C$69,MATCH(INDEX(Utility_Rates!$K$6:$K$17,MONTH(C8049))&amp;IF(WEEKDAY(C8049,Inputs!$C$76)&lt;=Inputs!$C$74," weekday"," weekend"),Utility_Rates!$C$28:$F$28,Inputs!$C$68)),"")</f>
      </c>
      <c r="H8049" s="34"/>
      <c r="I8049" s="42">
        <f>IF(AND(ISNUMBER(D8049),ISNUMBER(H8049)),D8049*H8049*Inputs!$C$69,"")</f>
      </c>
      <c r="J8049" s="42">
        <f>IF(AND(ISNUMBER(F8049),ISNUMBER(H8049),F8049&gt;=Inputs!$C$68),F8049*H8049*Inputs!$C$69,"")</f>
      </c>
    </row>
    <row r="8050" spans="2:10" ht="15" customHeight="1" x14ac:dyDescent="0.2">
      <c r="B8050" s="39">
        <f t="shared" si="62"/>
      </c>
      <c r="C8050" s="40">
        <f>IF(Inputs!$C$60,Inputs!$C$11+(B8050-Inputs!$C$69)/Inputs!$C$70,"")</f>
      </c>
      <c r="D8050" s="15"/>
      <c r="E8050" s="15"/>
      <c r="F8050" s="11">
        <f t="shared" si="63"/>
      </c>
      <c r="G8050" s="22" cm="1">
        <f t="array" ref="G8050">IF(AND(Inputs!$C$60,Inputs!$C$61),INDEX(Utility_Rates!$C$29:$F$52,HOUR(C8050)+Inputs!$C$69,MATCH(INDEX(Utility_Rates!$K$6:$K$17,MONTH(C8050))&amp;IF(WEEKDAY(C8050,Inputs!$C$76)&lt;=Inputs!$C$74," weekday"," weekend"),Utility_Rates!$C$28:$F$28,Inputs!$C$68)),"")</f>
      </c>
      <c r="H8050" s="34"/>
      <c r="I8050" s="42">
        <f>IF(AND(ISNUMBER(D8050),ISNUMBER(H8050)),D8050*H8050*Inputs!$C$69,"")</f>
      </c>
      <c r="J8050" s="42">
        <f>IF(AND(ISNUMBER(F8050),ISNUMBER(H8050),F8050&gt;=Inputs!$C$68),F8050*H8050*Inputs!$C$69,"")</f>
      </c>
    </row>
    <row r="8051" spans="2:10" ht="15" customHeight="1" x14ac:dyDescent="0.2">
      <c r="B8051" s="39">
        <f t="shared" si="62"/>
      </c>
      <c r="C8051" s="40">
        <f>IF(Inputs!$C$60,Inputs!$C$11+(B8051-Inputs!$C$69)/Inputs!$C$70,"")</f>
      </c>
      <c r="D8051" s="15"/>
      <c r="E8051" s="15"/>
      <c r="F8051" s="11">
        <f t="shared" si="63"/>
      </c>
      <c r="G8051" s="22" cm="1">
        <f t="array" ref="G8051">IF(AND(Inputs!$C$60,Inputs!$C$61),INDEX(Utility_Rates!$C$29:$F$52,HOUR(C8051)+Inputs!$C$69,MATCH(INDEX(Utility_Rates!$K$6:$K$17,MONTH(C8051))&amp;IF(WEEKDAY(C8051,Inputs!$C$76)&lt;=Inputs!$C$74," weekday"," weekend"),Utility_Rates!$C$28:$F$28,Inputs!$C$68)),"")</f>
      </c>
      <c r="H8051" s="34"/>
      <c r="I8051" s="42">
        <f>IF(AND(ISNUMBER(D8051),ISNUMBER(H8051)),D8051*H8051*Inputs!$C$69,"")</f>
      </c>
      <c r="J8051" s="42">
        <f>IF(AND(ISNUMBER(F8051),ISNUMBER(H8051),F8051&gt;=Inputs!$C$68),F8051*H8051*Inputs!$C$69,"")</f>
      </c>
    </row>
    <row r="8052" spans="2:10" ht="15" customHeight="1" x14ac:dyDescent="0.2">
      <c r="B8052" s="39">
        <f t="shared" si="62"/>
      </c>
      <c r="C8052" s="40">
        <f>IF(Inputs!$C$60,Inputs!$C$11+(B8052-Inputs!$C$69)/Inputs!$C$70,"")</f>
      </c>
      <c r="D8052" s="15"/>
      <c r="E8052" s="15"/>
      <c r="F8052" s="11">
        <f t="shared" si="63"/>
      </c>
      <c r="G8052" s="22" cm="1">
        <f t="array" ref="G8052">IF(AND(Inputs!$C$60,Inputs!$C$61),INDEX(Utility_Rates!$C$29:$F$52,HOUR(C8052)+Inputs!$C$69,MATCH(INDEX(Utility_Rates!$K$6:$K$17,MONTH(C8052))&amp;IF(WEEKDAY(C8052,Inputs!$C$76)&lt;=Inputs!$C$74," weekday"," weekend"),Utility_Rates!$C$28:$F$28,Inputs!$C$68)),"")</f>
      </c>
      <c r="H8052" s="34"/>
      <c r="I8052" s="42">
        <f>IF(AND(ISNUMBER(D8052),ISNUMBER(H8052)),D8052*H8052*Inputs!$C$69,"")</f>
      </c>
      <c r="J8052" s="42">
        <f>IF(AND(ISNUMBER(F8052),ISNUMBER(H8052),F8052&gt;=Inputs!$C$68),F8052*H8052*Inputs!$C$69,"")</f>
      </c>
    </row>
    <row r="8053" spans="2:10" ht="15" customHeight="1" x14ac:dyDescent="0.2">
      <c r="B8053" s="39">
        <f t="shared" si="62"/>
      </c>
      <c r="C8053" s="40">
        <f>IF(Inputs!$C$60,Inputs!$C$11+(B8053-Inputs!$C$69)/Inputs!$C$70,"")</f>
      </c>
      <c r="D8053" s="15"/>
      <c r="E8053" s="15"/>
      <c r="F8053" s="11">
        <f t="shared" si="63"/>
      </c>
      <c r="G8053" s="22" cm="1">
        <f t="array" ref="G8053">IF(AND(Inputs!$C$60,Inputs!$C$61),INDEX(Utility_Rates!$C$29:$F$52,HOUR(C8053)+Inputs!$C$69,MATCH(INDEX(Utility_Rates!$K$6:$K$17,MONTH(C8053))&amp;IF(WEEKDAY(C8053,Inputs!$C$76)&lt;=Inputs!$C$74," weekday"," weekend"),Utility_Rates!$C$28:$F$28,Inputs!$C$68)),"")</f>
      </c>
      <c r="H8053" s="34"/>
      <c r="I8053" s="42">
        <f>IF(AND(ISNUMBER(D8053),ISNUMBER(H8053)),D8053*H8053*Inputs!$C$69,"")</f>
      </c>
      <c r="J8053" s="42">
        <f>IF(AND(ISNUMBER(F8053),ISNUMBER(H8053),F8053&gt;=Inputs!$C$68),F8053*H8053*Inputs!$C$69,"")</f>
      </c>
    </row>
    <row r="8054" spans="2:10" ht="15" customHeight="1" x14ac:dyDescent="0.2">
      <c r="B8054" s="39">
        <f t="shared" si="62"/>
      </c>
      <c r="C8054" s="40">
        <f>IF(Inputs!$C$60,Inputs!$C$11+(B8054-Inputs!$C$69)/Inputs!$C$70,"")</f>
      </c>
      <c r="D8054" s="15"/>
      <c r="E8054" s="15"/>
      <c r="F8054" s="11">
        <f t="shared" si="63"/>
      </c>
      <c r="G8054" s="22" cm="1">
        <f t="array" ref="G8054">IF(AND(Inputs!$C$60,Inputs!$C$61),INDEX(Utility_Rates!$C$29:$F$52,HOUR(C8054)+Inputs!$C$69,MATCH(INDEX(Utility_Rates!$K$6:$K$17,MONTH(C8054))&amp;IF(WEEKDAY(C8054,Inputs!$C$76)&lt;=Inputs!$C$74," weekday"," weekend"),Utility_Rates!$C$28:$F$28,Inputs!$C$68)),"")</f>
      </c>
      <c r="H8054" s="34"/>
      <c r="I8054" s="42">
        <f>IF(AND(ISNUMBER(D8054),ISNUMBER(H8054)),D8054*H8054*Inputs!$C$69,"")</f>
      </c>
      <c r="J8054" s="42">
        <f>IF(AND(ISNUMBER(F8054),ISNUMBER(H8054),F8054&gt;=Inputs!$C$68),F8054*H8054*Inputs!$C$69,"")</f>
      </c>
    </row>
    <row r="8055" spans="2:10" ht="15" customHeight="1" x14ac:dyDescent="0.2">
      <c r="B8055" s="39">
        <f t="shared" si="62"/>
      </c>
      <c r="C8055" s="40">
        <f>IF(Inputs!$C$60,Inputs!$C$11+(B8055-Inputs!$C$69)/Inputs!$C$70,"")</f>
      </c>
      <c r="D8055" s="15"/>
      <c r="E8055" s="15"/>
      <c r="F8055" s="11">
        <f t="shared" si="63"/>
      </c>
      <c r="G8055" s="22" cm="1">
        <f t="array" ref="G8055">IF(AND(Inputs!$C$60,Inputs!$C$61),INDEX(Utility_Rates!$C$29:$F$52,HOUR(C8055)+Inputs!$C$69,MATCH(INDEX(Utility_Rates!$K$6:$K$17,MONTH(C8055))&amp;IF(WEEKDAY(C8055,Inputs!$C$76)&lt;=Inputs!$C$74," weekday"," weekend"),Utility_Rates!$C$28:$F$28,Inputs!$C$68)),"")</f>
      </c>
      <c r="H8055" s="34"/>
      <c r="I8055" s="42">
        <f>IF(AND(ISNUMBER(D8055),ISNUMBER(H8055)),D8055*H8055*Inputs!$C$69,"")</f>
      </c>
      <c r="J8055" s="42">
        <f>IF(AND(ISNUMBER(F8055),ISNUMBER(H8055),F8055&gt;=Inputs!$C$68),F8055*H8055*Inputs!$C$69,"")</f>
      </c>
    </row>
    <row r="8056" spans="2:10" ht="15" customHeight="1" x14ac:dyDescent="0.2">
      <c r="B8056" s="39">
        <f t="shared" si="62"/>
      </c>
      <c r="C8056" s="40">
        <f>IF(Inputs!$C$60,Inputs!$C$11+(B8056-Inputs!$C$69)/Inputs!$C$70,"")</f>
      </c>
      <c r="D8056" s="15"/>
      <c r="E8056" s="15"/>
      <c r="F8056" s="11">
        <f t="shared" si="63"/>
      </c>
      <c r="G8056" s="22" cm="1">
        <f t="array" ref="G8056">IF(AND(Inputs!$C$60,Inputs!$C$61),INDEX(Utility_Rates!$C$29:$F$52,HOUR(C8056)+Inputs!$C$69,MATCH(INDEX(Utility_Rates!$K$6:$K$17,MONTH(C8056))&amp;IF(WEEKDAY(C8056,Inputs!$C$76)&lt;=Inputs!$C$74," weekday"," weekend"),Utility_Rates!$C$28:$F$28,Inputs!$C$68)),"")</f>
      </c>
      <c r="H8056" s="34"/>
      <c r="I8056" s="42">
        <f>IF(AND(ISNUMBER(D8056),ISNUMBER(H8056)),D8056*H8056*Inputs!$C$69,"")</f>
      </c>
      <c r="J8056" s="42">
        <f>IF(AND(ISNUMBER(F8056),ISNUMBER(H8056),F8056&gt;=Inputs!$C$68),F8056*H8056*Inputs!$C$69,"")</f>
      </c>
    </row>
    <row r="8057" spans="2:10" ht="15" customHeight="1" x14ac:dyDescent="0.2">
      <c r="B8057" s="39">
        <f t="shared" si="62"/>
      </c>
      <c r="C8057" s="40">
        <f>IF(Inputs!$C$60,Inputs!$C$11+(B8057-Inputs!$C$69)/Inputs!$C$70,"")</f>
      </c>
      <c r="D8057" s="15"/>
      <c r="E8057" s="15"/>
      <c r="F8057" s="11">
        <f t="shared" si="63"/>
      </c>
      <c r="G8057" s="22" cm="1">
        <f t="array" ref="G8057">IF(AND(Inputs!$C$60,Inputs!$C$61),INDEX(Utility_Rates!$C$29:$F$52,HOUR(C8057)+Inputs!$C$69,MATCH(INDEX(Utility_Rates!$K$6:$K$17,MONTH(C8057))&amp;IF(WEEKDAY(C8057,Inputs!$C$76)&lt;=Inputs!$C$74," weekday"," weekend"),Utility_Rates!$C$28:$F$28,Inputs!$C$68)),"")</f>
      </c>
      <c r="H8057" s="34"/>
      <c r="I8057" s="42">
        <f>IF(AND(ISNUMBER(D8057),ISNUMBER(H8057)),D8057*H8057*Inputs!$C$69,"")</f>
      </c>
      <c r="J8057" s="42">
        <f>IF(AND(ISNUMBER(F8057),ISNUMBER(H8057),F8057&gt;=Inputs!$C$68),F8057*H8057*Inputs!$C$69,"")</f>
      </c>
    </row>
    <row r="8058" spans="2:10" ht="15" customHeight="1" x14ac:dyDescent="0.2">
      <c r="B8058" s="39">
        <f t="shared" si="62"/>
      </c>
      <c r="C8058" s="40">
        <f>IF(Inputs!$C$60,Inputs!$C$11+(B8058-Inputs!$C$69)/Inputs!$C$70,"")</f>
      </c>
      <c r="D8058" s="15"/>
      <c r="E8058" s="15"/>
      <c r="F8058" s="11">
        <f t="shared" si="63"/>
      </c>
      <c r="G8058" s="22" cm="1">
        <f t="array" ref="G8058">IF(AND(Inputs!$C$60,Inputs!$C$61),INDEX(Utility_Rates!$C$29:$F$52,HOUR(C8058)+Inputs!$C$69,MATCH(INDEX(Utility_Rates!$K$6:$K$17,MONTH(C8058))&amp;IF(WEEKDAY(C8058,Inputs!$C$76)&lt;=Inputs!$C$74," weekday"," weekend"),Utility_Rates!$C$28:$F$28,Inputs!$C$68)),"")</f>
      </c>
      <c r="H8058" s="34"/>
      <c r="I8058" s="42">
        <f>IF(AND(ISNUMBER(D8058),ISNUMBER(H8058)),D8058*H8058*Inputs!$C$69,"")</f>
      </c>
      <c r="J8058" s="42">
        <f>IF(AND(ISNUMBER(F8058),ISNUMBER(H8058),F8058&gt;=Inputs!$C$68),F8058*H8058*Inputs!$C$69,"")</f>
      </c>
    </row>
    <row r="8059" spans="2:10" ht="15" customHeight="1" x14ac:dyDescent="0.2">
      <c r="B8059" s="39">
        <f t="shared" si="62"/>
      </c>
      <c r="C8059" s="40">
        <f>IF(Inputs!$C$60,Inputs!$C$11+(B8059-Inputs!$C$69)/Inputs!$C$70,"")</f>
      </c>
      <c r="D8059" s="15"/>
      <c r="E8059" s="15"/>
      <c r="F8059" s="11">
        <f t="shared" si="63"/>
      </c>
      <c r="G8059" s="22" cm="1">
        <f t="array" ref="G8059">IF(AND(Inputs!$C$60,Inputs!$C$61),INDEX(Utility_Rates!$C$29:$F$52,HOUR(C8059)+Inputs!$C$69,MATCH(INDEX(Utility_Rates!$K$6:$K$17,MONTH(C8059))&amp;IF(WEEKDAY(C8059,Inputs!$C$76)&lt;=Inputs!$C$74," weekday"," weekend"),Utility_Rates!$C$28:$F$28,Inputs!$C$68)),"")</f>
      </c>
      <c r="H8059" s="34"/>
      <c r="I8059" s="42">
        <f>IF(AND(ISNUMBER(D8059),ISNUMBER(H8059)),D8059*H8059*Inputs!$C$69,"")</f>
      </c>
      <c r="J8059" s="42">
        <f>IF(AND(ISNUMBER(F8059),ISNUMBER(H8059),F8059&gt;=Inputs!$C$68),F8059*H8059*Inputs!$C$69,"")</f>
      </c>
    </row>
    <row r="8060" spans="2:10" ht="15" customHeight="1" x14ac:dyDescent="0.2">
      <c r="B8060" s="39">
        <f t="shared" si="62"/>
      </c>
      <c r="C8060" s="40">
        <f>IF(Inputs!$C$60,Inputs!$C$11+(B8060-Inputs!$C$69)/Inputs!$C$70,"")</f>
      </c>
      <c r="D8060" s="15"/>
      <c r="E8060" s="15"/>
      <c r="F8060" s="11">
        <f t="shared" si="63"/>
      </c>
      <c r="G8060" s="22" cm="1">
        <f t="array" ref="G8060">IF(AND(Inputs!$C$60,Inputs!$C$61),INDEX(Utility_Rates!$C$29:$F$52,HOUR(C8060)+Inputs!$C$69,MATCH(INDEX(Utility_Rates!$K$6:$K$17,MONTH(C8060))&amp;IF(WEEKDAY(C8060,Inputs!$C$76)&lt;=Inputs!$C$74," weekday"," weekend"),Utility_Rates!$C$28:$F$28,Inputs!$C$68)),"")</f>
      </c>
      <c r="H8060" s="34"/>
      <c r="I8060" s="42">
        <f>IF(AND(ISNUMBER(D8060),ISNUMBER(H8060)),D8060*H8060*Inputs!$C$69,"")</f>
      </c>
      <c r="J8060" s="42">
        <f>IF(AND(ISNUMBER(F8060),ISNUMBER(H8060),F8060&gt;=Inputs!$C$68),F8060*H8060*Inputs!$C$69,"")</f>
      </c>
    </row>
    <row r="8061" spans="2:10" ht="15" customHeight="1" x14ac:dyDescent="0.2">
      <c r="B8061" s="39">
        <f t="shared" si="62"/>
      </c>
      <c r="C8061" s="40">
        <f>IF(Inputs!$C$60,Inputs!$C$11+(B8061-Inputs!$C$69)/Inputs!$C$70,"")</f>
      </c>
      <c r="D8061" s="15"/>
      <c r="E8061" s="15"/>
      <c r="F8061" s="11">
        <f t="shared" si="63"/>
      </c>
      <c r="G8061" s="22" cm="1">
        <f t="array" ref="G8061">IF(AND(Inputs!$C$60,Inputs!$C$61),INDEX(Utility_Rates!$C$29:$F$52,HOUR(C8061)+Inputs!$C$69,MATCH(INDEX(Utility_Rates!$K$6:$K$17,MONTH(C8061))&amp;IF(WEEKDAY(C8061,Inputs!$C$76)&lt;=Inputs!$C$74," weekday"," weekend"),Utility_Rates!$C$28:$F$28,Inputs!$C$68)),"")</f>
      </c>
      <c r="H8061" s="34"/>
      <c r="I8061" s="42">
        <f>IF(AND(ISNUMBER(D8061),ISNUMBER(H8061)),D8061*H8061*Inputs!$C$69,"")</f>
      </c>
      <c r="J8061" s="42">
        <f>IF(AND(ISNUMBER(F8061),ISNUMBER(H8061),F8061&gt;=Inputs!$C$68),F8061*H8061*Inputs!$C$69,"")</f>
      </c>
    </row>
    <row r="8062" spans="2:10" ht="15" customHeight="1" x14ac:dyDescent="0.2">
      <c r="B8062" s="39">
        <f t="shared" si="62"/>
      </c>
      <c r="C8062" s="40">
        <f>IF(Inputs!$C$60,Inputs!$C$11+(B8062-Inputs!$C$69)/Inputs!$C$70,"")</f>
      </c>
      <c r="D8062" s="15"/>
      <c r="E8062" s="15"/>
      <c r="F8062" s="11">
        <f t="shared" si="63"/>
      </c>
      <c r="G8062" s="22" cm="1">
        <f t="array" ref="G8062">IF(AND(Inputs!$C$60,Inputs!$C$61),INDEX(Utility_Rates!$C$29:$F$52,HOUR(C8062)+Inputs!$C$69,MATCH(INDEX(Utility_Rates!$K$6:$K$17,MONTH(C8062))&amp;IF(WEEKDAY(C8062,Inputs!$C$76)&lt;=Inputs!$C$74," weekday"," weekend"),Utility_Rates!$C$28:$F$28,Inputs!$C$68)),"")</f>
      </c>
      <c r="H8062" s="34"/>
      <c r="I8062" s="42">
        <f>IF(AND(ISNUMBER(D8062),ISNUMBER(H8062)),D8062*H8062*Inputs!$C$69,"")</f>
      </c>
      <c r="J8062" s="42">
        <f>IF(AND(ISNUMBER(F8062),ISNUMBER(H8062),F8062&gt;=Inputs!$C$68),F8062*H8062*Inputs!$C$69,"")</f>
      </c>
    </row>
    <row r="8063" spans="2:10" ht="15" customHeight="1" x14ac:dyDescent="0.2">
      <c r="B8063" s="39">
        <f t="shared" si="62"/>
      </c>
      <c r="C8063" s="40">
        <f>IF(Inputs!$C$60,Inputs!$C$11+(B8063-Inputs!$C$69)/Inputs!$C$70,"")</f>
      </c>
      <c r="D8063" s="15"/>
      <c r="E8063" s="15"/>
      <c r="F8063" s="11">
        <f t="shared" si="63"/>
      </c>
      <c r="G8063" s="22" cm="1">
        <f t="array" ref="G8063">IF(AND(Inputs!$C$60,Inputs!$C$61),INDEX(Utility_Rates!$C$29:$F$52,HOUR(C8063)+Inputs!$C$69,MATCH(INDEX(Utility_Rates!$K$6:$K$17,MONTH(C8063))&amp;IF(WEEKDAY(C8063,Inputs!$C$76)&lt;=Inputs!$C$74," weekday"," weekend"),Utility_Rates!$C$28:$F$28,Inputs!$C$68)),"")</f>
      </c>
      <c r="H8063" s="34"/>
      <c r="I8063" s="42">
        <f>IF(AND(ISNUMBER(D8063),ISNUMBER(H8063)),D8063*H8063*Inputs!$C$69,"")</f>
      </c>
      <c r="J8063" s="42">
        <f>IF(AND(ISNUMBER(F8063),ISNUMBER(H8063),F8063&gt;=Inputs!$C$68),F8063*H8063*Inputs!$C$69,"")</f>
      </c>
    </row>
    <row r="8064" spans="2:10" ht="15" customHeight="1" x14ac:dyDescent="0.2">
      <c r="B8064" s="39">
        <f t="shared" si="62"/>
      </c>
      <c r="C8064" s="40">
        <f>IF(Inputs!$C$60,Inputs!$C$11+(B8064-Inputs!$C$69)/Inputs!$C$70,"")</f>
      </c>
      <c r="D8064" s="15"/>
      <c r="E8064" s="15"/>
      <c r="F8064" s="11">
        <f t="shared" si="63"/>
      </c>
      <c r="G8064" s="22" cm="1">
        <f t="array" ref="G8064">IF(AND(Inputs!$C$60,Inputs!$C$61),INDEX(Utility_Rates!$C$29:$F$52,HOUR(C8064)+Inputs!$C$69,MATCH(INDEX(Utility_Rates!$K$6:$K$17,MONTH(C8064))&amp;IF(WEEKDAY(C8064,Inputs!$C$76)&lt;=Inputs!$C$74," weekday"," weekend"),Utility_Rates!$C$28:$F$28,Inputs!$C$68)),"")</f>
      </c>
      <c r="H8064" s="34"/>
      <c r="I8064" s="42">
        <f>IF(AND(ISNUMBER(D8064),ISNUMBER(H8064)),D8064*H8064*Inputs!$C$69,"")</f>
      </c>
      <c r="J8064" s="42">
        <f>IF(AND(ISNUMBER(F8064),ISNUMBER(H8064),F8064&gt;=Inputs!$C$68),F8064*H8064*Inputs!$C$69,"")</f>
      </c>
    </row>
    <row r="8065" spans="2:10" ht="15" customHeight="1" x14ac:dyDescent="0.2">
      <c r="B8065" s="39">
        <f t="shared" si="62"/>
      </c>
      <c r="C8065" s="40">
        <f>IF(Inputs!$C$60,Inputs!$C$11+(B8065-Inputs!$C$69)/Inputs!$C$70,"")</f>
      </c>
      <c r="D8065" s="15"/>
      <c r="E8065" s="15"/>
      <c r="F8065" s="11">
        <f t="shared" si="63"/>
      </c>
      <c r="G8065" s="22" cm="1">
        <f t="array" ref="G8065">IF(AND(Inputs!$C$60,Inputs!$C$61),INDEX(Utility_Rates!$C$29:$F$52,HOUR(C8065)+Inputs!$C$69,MATCH(INDEX(Utility_Rates!$K$6:$K$17,MONTH(C8065))&amp;IF(WEEKDAY(C8065,Inputs!$C$76)&lt;=Inputs!$C$74," weekday"," weekend"),Utility_Rates!$C$28:$F$28,Inputs!$C$68)),"")</f>
      </c>
      <c r="H8065" s="34"/>
      <c r="I8065" s="42">
        <f>IF(AND(ISNUMBER(D8065),ISNUMBER(H8065)),D8065*H8065*Inputs!$C$69,"")</f>
      </c>
      <c r="J8065" s="42">
        <f>IF(AND(ISNUMBER(F8065),ISNUMBER(H8065),F8065&gt;=Inputs!$C$68),F8065*H8065*Inputs!$C$69,"")</f>
      </c>
    </row>
    <row r="8066" spans="2:10" ht="15" customHeight="1" x14ac:dyDescent="0.2">
      <c r="B8066" s="39">
        <f t="shared" si="62"/>
      </c>
      <c r="C8066" s="40">
        <f>IF(Inputs!$C$60,Inputs!$C$11+(B8066-Inputs!$C$69)/Inputs!$C$70,"")</f>
      </c>
      <c r="D8066" s="15"/>
      <c r="E8066" s="15"/>
      <c r="F8066" s="11">
        <f t="shared" si="63"/>
      </c>
      <c r="G8066" s="22" cm="1">
        <f t="array" ref="G8066">IF(AND(Inputs!$C$60,Inputs!$C$61),INDEX(Utility_Rates!$C$29:$F$52,HOUR(C8066)+Inputs!$C$69,MATCH(INDEX(Utility_Rates!$K$6:$K$17,MONTH(C8066))&amp;IF(WEEKDAY(C8066,Inputs!$C$76)&lt;=Inputs!$C$74," weekday"," weekend"),Utility_Rates!$C$28:$F$28,Inputs!$C$68)),"")</f>
      </c>
      <c r="H8066" s="34"/>
      <c r="I8066" s="42">
        <f>IF(AND(ISNUMBER(D8066),ISNUMBER(H8066)),D8066*H8066*Inputs!$C$69,"")</f>
      </c>
      <c r="J8066" s="42">
        <f>IF(AND(ISNUMBER(F8066),ISNUMBER(H8066),F8066&gt;=Inputs!$C$68),F8066*H8066*Inputs!$C$69,"")</f>
      </c>
    </row>
    <row r="8067" spans="2:10" ht="15" customHeight="1" x14ac:dyDescent="0.2">
      <c r="B8067" s="39">
        <f t="shared" si="62"/>
      </c>
      <c r="C8067" s="40">
        <f>IF(Inputs!$C$60,Inputs!$C$11+(B8067-Inputs!$C$69)/Inputs!$C$70,"")</f>
      </c>
      <c r="D8067" s="15"/>
      <c r="E8067" s="15"/>
      <c r="F8067" s="11">
        <f t="shared" si="63"/>
      </c>
      <c r="G8067" s="22" cm="1">
        <f t="array" ref="G8067">IF(AND(Inputs!$C$60,Inputs!$C$61),INDEX(Utility_Rates!$C$29:$F$52,HOUR(C8067)+Inputs!$C$69,MATCH(INDEX(Utility_Rates!$K$6:$K$17,MONTH(C8067))&amp;IF(WEEKDAY(C8067,Inputs!$C$76)&lt;=Inputs!$C$74," weekday"," weekend"),Utility_Rates!$C$28:$F$28,Inputs!$C$68)),"")</f>
      </c>
      <c r="H8067" s="34"/>
      <c r="I8067" s="42">
        <f>IF(AND(ISNUMBER(D8067),ISNUMBER(H8067)),D8067*H8067*Inputs!$C$69,"")</f>
      </c>
      <c r="J8067" s="42">
        <f>IF(AND(ISNUMBER(F8067),ISNUMBER(H8067),F8067&gt;=Inputs!$C$68),F8067*H8067*Inputs!$C$69,"")</f>
      </c>
    </row>
    <row r="8068" spans="2:10" ht="15" customHeight="1" x14ac:dyDescent="0.2">
      <c r="B8068" s="39">
        <f t="shared" si="62"/>
      </c>
      <c r="C8068" s="40">
        <f>IF(Inputs!$C$60,Inputs!$C$11+(B8068-Inputs!$C$69)/Inputs!$C$70,"")</f>
      </c>
      <c r="D8068" s="15"/>
      <c r="E8068" s="15"/>
      <c r="F8068" s="11">
        <f t="shared" si="63"/>
      </c>
      <c r="G8068" s="22" cm="1">
        <f t="array" ref="G8068">IF(AND(Inputs!$C$60,Inputs!$C$61),INDEX(Utility_Rates!$C$29:$F$52,HOUR(C8068)+Inputs!$C$69,MATCH(INDEX(Utility_Rates!$K$6:$K$17,MONTH(C8068))&amp;IF(WEEKDAY(C8068,Inputs!$C$76)&lt;=Inputs!$C$74," weekday"," weekend"),Utility_Rates!$C$28:$F$28,Inputs!$C$68)),"")</f>
      </c>
      <c r="H8068" s="34"/>
      <c r="I8068" s="42">
        <f>IF(AND(ISNUMBER(D8068),ISNUMBER(H8068)),D8068*H8068*Inputs!$C$69,"")</f>
      </c>
      <c r="J8068" s="42">
        <f>IF(AND(ISNUMBER(F8068),ISNUMBER(H8068),F8068&gt;=Inputs!$C$68),F8068*H8068*Inputs!$C$69,"")</f>
      </c>
    </row>
    <row r="8069" spans="2:10" ht="15" customHeight="1" x14ac:dyDescent="0.2">
      <c r="B8069" s="39">
        <f t="shared" si="62"/>
      </c>
      <c r="C8069" s="40">
        <f>IF(Inputs!$C$60,Inputs!$C$11+(B8069-Inputs!$C$69)/Inputs!$C$70,"")</f>
      </c>
      <c r="D8069" s="15"/>
      <c r="E8069" s="15"/>
      <c r="F8069" s="11">
        <f t="shared" si="63"/>
      </c>
      <c r="G8069" s="22" cm="1">
        <f t="array" ref="G8069">IF(AND(Inputs!$C$60,Inputs!$C$61),INDEX(Utility_Rates!$C$29:$F$52,HOUR(C8069)+Inputs!$C$69,MATCH(INDEX(Utility_Rates!$K$6:$K$17,MONTH(C8069))&amp;IF(WEEKDAY(C8069,Inputs!$C$76)&lt;=Inputs!$C$74," weekday"," weekend"),Utility_Rates!$C$28:$F$28,Inputs!$C$68)),"")</f>
      </c>
      <c r="H8069" s="34"/>
      <c r="I8069" s="42">
        <f>IF(AND(ISNUMBER(D8069),ISNUMBER(H8069)),D8069*H8069*Inputs!$C$69,"")</f>
      </c>
      <c r="J8069" s="42">
        <f>IF(AND(ISNUMBER(F8069),ISNUMBER(H8069),F8069&gt;=Inputs!$C$68),F8069*H8069*Inputs!$C$69,"")</f>
      </c>
    </row>
    <row r="8070" spans="2:10" ht="15" customHeight="1" x14ac:dyDescent="0.2">
      <c r="B8070" s="39">
        <f t="shared" si="62"/>
      </c>
      <c r="C8070" s="40">
        <f>IF(Inputs!$C$60,Inputs!$C$11+(B8070-Inputs!$C$69)/Inputs!$C$70,"")</f>
      </c>
      <c r="D8070" s="15"/>
      <c r="E8070" s="15"/>
      <c r="F8070" s="11">
        <f t="shared" si="63"/>
      </c>
      <c r="G8070" s="22" cm="1">
        <f t="array" ref="G8070">IF(AND(Inputs!$C$60,Inputs!$C$61),INDEX(Utility_Rates!$C$29:$F$52,HOUR(C8070)+Inputs!$C$69,MATCH(INDEX(Utility_Rates!$K$6:$K$17,MONTH(C8070))&amp;IF(WEEKDAY(C8070,Inputs!$C$76)&lt;=Inputs!$C$74," weekday"," weekend"),Utility_Rates!$C$28:$F$28,Inputs!$C$68)),"")</f>
      </c>
      <c r="H8070" s="34"/>
      <c r="I8070" s="42">
        <f>IF(AND(ISNUMBER(D8070),ISNUMBER(H8070)),D8070*H8070*Inputs!$C$69,"")</f>
      </c>
      <c r="J8070" s="42">
        <f>IF(AND(ISNUMBER(F8070),ISNUMBER(H8070),F8070&gt;=Inputs!$C$68),F8070*H8070*Inputs!$C$69,"")</f>
      </c>
    </row>
    <row r="8071" spans="2:10" ht="15" customHeight="1" x14ac:dyDescent="0.2">
      <c r="B8071" s="39">
        <f t="shared" si="62"/>
      </c>
      <c r="C8071" s="40">
        <f>IF(Inputs!$C$60,Inputs!$C$11+(B8071-Inputs!$C$69)/Inputs!$C$70,"")</f>
      </c>
      <c r="D8071" s="15"/>
      <c r="E8071" s="15"/>
      <c r="F8071" s="11">
        <f t="shared" si="63"/>
      </c>
      <c r="G8071" s="22" cm="1">
        <f t="array" ref="G8071">IF(AND(Inputs!$C$60,Inputs!$C$61),INDEX(Utility_Rates!$C$29:$F$52,HOUR(C8071)+Inputs!$C$69,MATCH(INDEX(Utility_Rates!$K$6:$K$17,MONTH(C8071))&amp;IF(WEEKDAY(C8071,Inputs!$C$76)&lt;=Inputs!$C$74," weekday"," weekend"),Utility_Rates!$C$28:$F$28,Inputs!$C$68)),"")</f>
      </c>
      <c r="H8071" s="34"/>
      <c r="I8071" s="42">
        <f>IF(AND(ISNUMBER(D8071),ISNUMBER(H8071)),D8071*H8071*Inputs!$C$69,"")</f>
      </c>
      <c r="J8071" s="42">
        <f>IF(AND(ISNUMBER(F8071),ISNUMBER(H8071),F8071&gt;=Inputs!$C$68),F8071*H8071*Inputs!$C$69,"")</f>
      </c>
    </row>
    <row r="8072" spans="2:10" ht="15" customHeight="1" x14ac:dyDescent="0.2">
      <c r="B8072" s="39">
        <f t="shared" si="62"/>
      </c>
      <c r="C8072" s="40">
        <f>IF(Inputs!$C$60,Inputs!$C$11+(B8072-Inputs!$C$69)/Inputs!$C$70,"")</f>
      </c>
      <c r="D8072" s="15"/>
      <c r="E8072" s="15"/>
      <c r="F8072" s="11">
        <f t="shared" si="63"/>
      </c>
      <c r="G8072" s="22" cm="1">
        <f t="array" ref="G8072">IF(AND(Inputs!$C$60,Inputs!$C$61),INDEX(Utility_Rates!$C$29:$F$52,HOUR(C8072)+Inputs!$C$69,MATCH(INDEX(Utility_Rates!$K$6:$K$17,MONTH(C8072))&amp;IF(WEEKDAY(C8072,Inputs!$C$76)&lt;=Inputs!$C$74," weekday"," weekend"),Utility_Rates!$C$28:$F$28,Inputs!$C$68)),"")</f>
      </c>
      <c r="H8072" s="34"/>
      <c r="I8072" s="42">
        <f>IF(AND(ISNUMBER(D8072),ISNUMBER(H8072)),D8072*H8072*Inputs!$C$69,"")</f>
      </c>
      <c r="J8072" s="42">
        <f>IF(AND(ISNUMBER(F8072),ISNUMBER(H8072),F8072&gt;=Inputs!$C$68),F8072*H8072*Inputs!$C$69,"")</f>
      </c>
    </row>
    <row r="8073" spans="2:10" ht="15" customHeight="1" x14ac:dyDescent="0.2">
      <c r="B8073" s="39">
        <f t="shared" si="62"/>
      </c>
      <c r="C8073" s="40">
        <f>IF(Inputs!$C$60,Inputs!$C$11+(B8073-Inputs!$C$69)/Inputs!$C$70,"")</f>
      </c>
      <c r="D8073" s="15"/>
      <c r="E8073" s="15"/>
      <c r="F8073" s="11">
        <f t="shared" si="63"/>
      </c>
      <c r="G8073" s="22" cm="1">
        <f t="array" ref="G8073">IF(AND(Inputs!$C$60,Inputs!$C$61),INDEX(Utility_Rates!$C$29:$F$52,HOUR(C8073)+Inputs!$C$69,MATCH(INDEX(Utility_Rates!$K$6:$K$17,MONTH(C8073))&amp;IF(WEEKDAY(C8073,Inputs!$C$76)&lt;=Inputs!$C$74," weekday"," weekend"),Utility_Rates!$C$28:$F$28,Inputs!$C$68)),"")</f>
      </c>
      <c r="H8073" s="34"/>
      <c r="I8073" s="42">
        <f>IF(AND(ISNUMBER(D8073),ISNUMBER(H8073)),D8073*H8073*Inputs!$C$69,"")</f>
      </c>
      <c r="J8073" s="42">
        <f>IF(AND(ISNUMBER(F8073),ISNUMBER(H8073),F8073&gt;=Inputs!$C$68),F8073*H8073*Inputs!$C$69,"")</f>
      </c>
    </row>
    <row r="8074" spans="2:10" ht="15" customHeight="1" x14ac:dyDescent="0.2">
      <c r="B8074" s="39">
        <f t="shared" si="62"/>
      </c>
      <c r="C8074" s="40">
        <f>IF(Inputs!$C$60,Inputs!$C$11+(B8074-Inputs!$C$69)/Inputs!$C$70,"")</f>
      </c>
      <c r="D8074" s="15"/>
      <c r="E8074" s="15"/>
      <c r="F8074" s="11">
        <f t="shared" si="63"/>
      </c>
      <c r="G8074" s="22" cm="1">
        <f t="array" ref="G8074">IF(AND(Inputs!$C$60,Inputs!$C$61),INDEX(Utility_Rates!$C$29:$F$52,HOUR(C8074)+Inputs!$C$69,MATCH(INDEX(Utility_Rates!$K$6:$K$17,MONTH(C8074))&amp;IF(WEEKDAY(C8074,Inputs!$C$76)&lt;=Inputs!$C$74," weekday"," weekend"),Utility_Rates!$C$28:$F$28,Inputs!$C$68)),"")</f>
      </c>
      <c r="H8074" s="34"/>
      <c r="I8074" s="42">
        <f>IF(AND(ISNUMBER(D8074),ISNUMBER(H8074)),D8074*H8074*Inputs!$C$69,"")</f>
      </c>
      <c r="J8074" s="42">
        <f>IF(AND(ISNUMBER(F8074),ISNUMBER(H8074),F8074&gt;=Inputs!$C$68),F8074*H8074*Inputs!$C$69,"")</f>
      </c>
    </row>
    <row r="8075" spans="2:10" ht="15" customHeight="1" x14ac:dyDescent="0.2">
      <c r="B8075" s="39">
        <f t="shared" si="62"/>
      </c>
      <c r="C8075" s="40">
        <f>IF(Inputs!$C$60,Inputs!$C$11+(B8075-Inputs!$C$69)/Inputs!$C$70,"")</f>
      </c>
      <c r="D8075" s="15"/>
      <c r="E8075" s="15"/>
      <c r="F8075" s="11">
        <f t="shared" si="63"/>
      </c>
      <c r="G8075" s="22" cm="1">
        <f t="array" ref="G8075">IF(AND(Inputs!$C$60,Inputs!$C$61),INDEX(Utility_Rates!$C$29:$F$52,HOUR(C8075)+Inputs!$C$69,MATCH(INDEX(Utility_Rates!$K$6:$K$17,MONTH(C8075))&amp;IF(WEEKDAY(C8075,Inputs!$C$76)&lt;=Inputs!$C$74," weekday"," weekend"),Utility_Rates!$C$28:$F$28,Inputs!$C$68)),"")</f>
      </c>
      <c r="H8075" s="34"/>
      <c r="I8075" s="42">
        <f>IF(AND(ISNUMBER(D8075),ISNUMBER(H8075)),D8075*H8075*Inputs!$C$69,"")</f>
      </c>
      <c r="J8075" s="42">
        <f>IF(AND(ISNUMBER(F8075),ISNUMBER(H8075),F8075&gt;=Inputs!$C$68),F8075*H8075*Inputs!$C$69,"")</f>
      </c>
    </row>
    <row r="8076" spans="2:10" ht="15" customHeight="1" x14ac:dyDescent="0.2">
      <c r="B8076" s="39">
        <f t="shared" si="62"/>
      </c>
      <c r="C8076" s="40">
        <f>IF(Inputs!$C$60,Inputs!$C$11+(B8076-Inputs!$C$69)/Inputs!$C$70,"")</f>
      </c>
      <c r="D8076" s="15"/>
      <c r="E8076" s="15"/>
      <c r="F8076" s="11">
        <f t="shared" si="63"/>
      </c>
      <c r="G8076" s="22" cm="1">
        <f t="array" ref="G8076">IF(AND(Inputs!$C$60,Inputs!$C$61),INDEX(Utility_Rates!$C$29:$F$52,HOUR(C8076)+Inputs!$C$69,MATCH(INDEX(Utility_Rates!$K$6:$K$17,MONTH(C8076))&amp;IF(WEEKDAY(C8076,Inputs!$C$76)&lt;=Inputs!$C$74," weekday"," weekend"),Utility_Rates!$C$28:$F$28,Inputs!$C$68)),"")</f>
      </c>
      <c r="H8076" s="34"/>
      <c r="I8076" s="42">
        <f>IF(AND(ISNUMBER(D8076),ISNUMBER(H8076)),D8076*H8076*Inputs!$C$69,"")</f>
      </c>
      <c r="J8076" s="42">
        <f>IF(AND(ISNUMBER(F8076),ISNUMBER(H8076),F8076&gt;=Inputs!$C$68),F8076*H8076*Inputs!$C$69,"")</f>
      </c>
    </row>
    <row r="8077" spans="2:10" ht="15" customHeight="1" x14ac:dyDescent="0.2">
      <c r="B8077" s="39">
        <f t="shared" si="62"/>
      </c>
      <c r="C8077" s="40">
        <f>IF(Inputs!$C$60,Inputs!$C$11+(B8077-Inputs!$C$69)/Inputs!$C$70,"")</f>
      </c>
      <c r="D8077" s="15"/>
      <c r="E8077" s="15"/>
      <c r="F8077" s="11">
        <f t="shared" si="63"/>
      </c>
      <c r="G8077" s="22" cm="1">
        <f t="array" ref="G8077">IF(AND(Inputs!$C$60,Inputs!$C$61),INDEX(Utility_Rates!$C$29:$F$52,HOUR(C8077)+Inputs!$C$69,MATCH(INDEX(Utility_Rates!$K$6:$K$17,MONTH(C8077))&amp;IF(WEEKDAY(C8077,Inputs!$C$76)&lt;=Inputs!$C$74," weekday"," weekend"),Utility_Rates!$C$28:$F$28,Inputs!$C$68)),"")</f>
      </c>
      <c r="H8077" s="34"/>
      <c r="I8077" s="42">
        <f>IF(AND(ISNUMBER(D8077),ISNUMBER(H8077)),D8077*H8077*Inputs!$C$69,"")</f>
      </c>
      <c r="J8077" s="42">
        <f>IF(AND(ISNUMBER(F8077),ISNUMBER(H8077),F8077&gt;=Inputs!$C$68),F8077*H8077*Inputs!$C$69,"")</f>
      </c>
    </row>
    <row r="8078" spans="2:10" ht="15" customHeight="1" x14ac:dyDescent="0.2">
      <c r="B8078" s="39">
        <f t="shared" si="62"/>
      </c>
      <c r="C8078" s="40">
        <f>IF(Inputs!$C$60,Inputs!$C$11+(B8078-Inputs!$C$69)/Inputs!$C$70,"")</f>
      </c>
      <c r="D8078" s="15"/>
      <c r="E8078" s="15"/>
      <c r="F8078" s="11">
        <f t="shared" si="63"/>
      </c>
      <c r="G8078" s="22" cm="1">
        <f t="array" ref="G8078">IF(AND(Inputs!$C$60,Inputs!$C$61),INDEX(Utility_Rates!$C$29:$F$52,HOUR(C8078)+Inputs!$C$69,MATCH(INDEX(Utility_Rates!$K$6:$K$17,MONTH(C8078))&amp;IF(WEEKDAY(C8078,Inputs!$C$76)&lt;=Inputs!$C$74," weekday"," weekend"),Utility_Rates!$C$28:$F$28,Inputs!$C$68)),"")</f>
      </c>
      <c r="H8078" s="34"/>
      <c r="I8078" s="42">
        <f>IF(AND(ISNUMBER(D8078),ISNUMBER(H8078)),D8078*H8078*Inputs!$C$69,"")</f>
      </c>
      <c r="J8078" s="42">
        <f>IF(AND(ISNUMBER(F8078),ISNUMBER(H8078),F8078&gt;=Inputs!$C$68),F8078*H8078*Inputs!$C$69,"")</f>
      </c>
    </row>
    <row r="8079" spans="2:10" ht="15" customHeight="1" x14ac:dyDescent="0.2">
      <c r="B8079" s="39">
        <f t="shared" si="62"/>
      </c>
      <c r="C8079" s="40">
        <f>IF(Inputs!$C$60,Inputs!$C$11+(B8079-Inputs!$C$69)/Inputs!$C$70,"")</f>
      </c>
      <c r="D8079" s="15"/>
      <c r="E8079" s="15"/>
      <c r="F8079" s="11">
        <f t="shared" si="63"/>
      </c>
      <c r="G8079" s="22" cm="1">
        <f t="array" ref="G8079">IF(AND(Inputs!$C$60,Inputs!$C$61),INDEX(Utility_Rates!$C$29:$F$52,HOUR(C8079)+Inputs!$C$69,MATCH(INDEX(Utility_Rates!$K$6:$K$17,MONTH(C8079))&amp;IF(WEEKDAY(C8079,Inputs!$C$76)&lt;=Inputs!$C$74," weekday"," weekend"),Utility_Rates!$C$28:$F$28,Inputs!$C$68)),"")</f>
      </c>
      <c r="H8079" s="34"/>
      <c r="I8079" s="42">
        <f>IF(AND(ISNUMBER(D8079),ISNUMBER(H8079)),D8079*H8079*Inputs!$C$69,"")</f>
      </c>
      <c r="J8079" s="42">
        <f>IF(AND(ISNUMBER(F8079),ISNUMBER(H8079),F8079&gt;=Inputs!$C$68),F8079*H8079*Inputs!$C$69,"")</f>
      </c>
    </row>
    <row r="8080" spans="2:10" ht="15" customHeight="1" x14ac:dyDescent="0.2">
      <c r="B8080" s="39">
        <f t="shared" si="62"/>
      </c>
      <c r="C8080" s="40">
        <f>IF(Inputs!$C$60,Inputs!$C$11+(B8080-Inputs!$C$69)/Inputs!$C$70,"")</f>
      </c>
      <c r="D8080" s="15"/>
      <c r="E8080" s="15"/>
      <c r="F8080" s="11">
        <f t="shared" si="63"/>
      </c>
      <c r="G8080" s="22" cm="1">
        <f t="array" ref="G8080">IF(AND(Inputs!$C$60,Inputs!$C$61),INDEX(Utility_Rates!$C$29:$F$52,HOUR(C8080)+Inputs!$C$69,MATCH(INDEX(Utility_Rates!$K$6:$K$17,MONTH(C8080))&amp;IF(WEEKDAY(C8080,Inputs!$C$76)&lt;=Inputs!$C$74," weekday"," weekend"),Utility_Rates!$C$28:$F$28,Inputs!$C$68)),"")</f>
      </c>
      <c r="H8080" s="34"/>
      <c r="I8080" s="42">
        <f>IF(AND(ISNUMBER(D8080),ISNUMBER(H8080)),D8080*H8080*Inputs!$C$69,"")</f>
      </c>
      <c r="J8080" s="42">
        <f>IF(AND(ISNUMBER(F8080),ISNUMBER(H8080),F8080&gt;=Inputs!$C$68),F8080*H8080*Inputs!$C$69,"")</f>
      </c>
    </row>
    <row r="8081" spans="2:10" ht="15" customHeight="1" x14ac:dyDescent="0.2">
      <c r="B8081" s="39">
        <f t="shared" si="62"/>
      </c>
      <c r="C8081" s="40">
        <f>IF(Inputs!$C$60,Inputs!$C$11+(B8081-Inputs!$C$69)/Inputs!$C$70,"")</f>
      </c>
      <c r="D8081" s="15"/>
      <c r="E8081" s="15"/>
      <c r="F8081" s="11">
        <f t="shared" si="63"/>
      </c>
      <c r="G8081" s="22" cm="1">
        <f t="array" ref="G8081">IF(AND(Inputs!$C$60,Inputs!$C$61),INDEX(Utility_Rates!$C$29:$F$52,HOUR(C8081)+Inputs!$C$69,MATCH(INDEX(Utility_Rates!$K$6:$K$17,MONTH(C8081))&amp;IF(WEEKDAY(C8081,Inputs!$C$76)&lt;=Inputs!$C$74," weekday"," weekend"),Utility_Rates!$C$28:$F$28,Inputs!$C$68)),"")</f>
      </c>
      <c r="H8081" s="34"/>
      <c r="I8081" s="42">
        <f>IF(AND(ISNUMBER(D8081),ISNUMBER(H8081)),D8081*H8081*Inputs!$C$69,"")</f>
      </c>
      <c r="J8081" s="42">
        <f>IF(AND(ISNUMBER(F8081),ISNUMBER(H8081),F8081&gt;=Inputs!$C$68),F8081*H8081*Inputs!$C$69,"")</f>
      </c>
    </row>
    <row r="8082" spans="2:10" ht="15" customHeight="1" x14ac:dyDescent="0.2">
      <c r="B8082" s="39">
        <f t="shared" si="62"/>
      </c>
      <c r="C8082" s="40">
        <f>IF(Inputs!$C$60,Inputs!$C$11+(B8082-Inputs!$C$69)/Inputs!$C$70,"")</f>
      </c>
      <c r="D8082" s="15"/>
      <c r="E8082" s="15"/>
      <c r="F8082" s="11">
        <f t="shared" si="63"/>
      </c>
      <c r="G8082" s="22" cm="1">
        <f t="array" ref="G8082">IF(AND(Inputs!$C$60,Inputs!$C$61),INDEX(Utility_Rates!$C$29:$F$52,HOUR(C8082)+Inputs!$C$69,MATCH(INDEX(Utility_Rates!$K$6:$K$17,MONTH(C8082))&amp;IF(WEEKDAY(C8082,Inputs!$C$76)&lt;=Inputs!$C$74," weekday"," weekend"),Utility_Rates!$C$28:$F$28,Inputs!$C$68)),"")</f>
      </c>
      <c r="H8082" s="34"/>
      <c r="I8082" s="42">
        <f>IF(AND(ISNUMBER(D8082),ISNUMBER(H8082)),D8082*H8082*Inputs!$C$69,"")</f>
      </c>
      <c r="J8082" s="42">
        <f>IF(AND(ISNUMBER(F8082),ISNUMBER(H8082),F8082&gt;=Inputs!$C$68),F8082*H8082*Inputs!$C$69,"")</f>
      </c>
    </row>
    <row r="8083" spans="2:10" ht="15" customHeight="1" x14ac:dyDescent="0.2">
      <c r="B8083" s="39">
        <f t="shared" si="62"/>
      </c>
      <c r="C8083" s="40">
        <f>IF(Inputs!$C$60,Inputs!$C$11+(B8083-Inputs!$C$69)/Inputs!$C$70,"")</f>
      </c>
      <c r="D8083" s="15"/>
      <c r="E8083" s="15"/>
      <c r="F8083" s="11">
        <f t="shared" si="63"/>
      </c>
      <c r="G8083" s="22" cm="1">
        <f t="array" ref="G8083">IF(AND(Inputs!$C$60,Inputs!$C$61),INDEX(Utility_Rates!$C$29:$F$52,HOUR(C8083)+Inputs!$C$69,MATCH(INDEX(Utility_Rates!$K$6:$K$17,MONTH(C8083))&amp;IF(WEEKDAY(C8083,Inputs!$C$76)&lt;=Inputs!$C$74," weekday"," weekend"),Utility_Rates!$C$28:$F$28,Inputs!$C$68)),"")</f>
      </c>
      <c r="H8083" s="34"/>
      <c r="I8083" s="42">
        <f>IF(AND(ISNUMBER(D8083),ISNUMBER(H8083)),D8083*H8083*Inputs!$C$69,"")</f>
      </c>
      <c r="J8083" s="42">
        <f>IF(AND(ISNUMBER(F8083),ISNUMBER(H8083),F8083&gt;=Inputs!$C$68),F8083*H8083*Inputs!$C$69,"")</f>
      </c>
    </row>
    <row r="8084" spans="2:10" ht="15" customHeight="1" x14ac:dyDescent="0.2">
      <c r="B8084" s="39">
        <f t="shared" si="62"/>
      </c>
      <c r="C8084" s="40">
        <f>IF(Inputs!$C$60,Inputs!$C$11+(B8084-Inputs!$C$69)/Inputs!$C$70,"")</f>
      </c>
      <c r="D8084" s="15"/>
      <c r="E8084" s="15"/>
      <c r="F8084" s="11">
        <f t="shared" si="63"/>
      </c>
      <c r="G8084" s="22" cm="1">
        <f t="array" ref="G8084">IF(AND(Inputs!$C$60,Inputs!$C$61),INDEX(Utility_Rates!$C$29:$F$52,HOUR(C8084)+Inputs!$C$69,MATCH(INDEX(Utility_Rates!$K$6:$K$17,MONTH(C8084))&amp;IF(WEEKDAY(C8084,Inputs!$C$76)&lt;=Inputs!$C$74," weekday"," weekend"),Utility_Rates!$C$28:$F$28,Inputs!$C$68)),"")</f>
      </c>
      <c r="H8084" s="34"/>
      <c r="I8084" s="42">
        <f>IF(AND(ISNUMBER(D8084),ISNUMBER(H8084)),D8084*H8084*Inputs!$C$69,"")</f>
      </c>
      <c r="J8084" s="42">
        <f>IF(AND(ISNUMBER(F8084),ISNUMBER(H8084),F8084&gt;=Inputs!$C$68),F8084*H8084*Inputs!$C$69,"")</f>
      </c>
    </row>
    <row r="8085" spans="2:10" ht="15" customHeight="1" x14ac:dyDescent="0.2">
      <c r="B8085" s="39">
        <f t="shared" si="62"/>
      </c>
      <c r="C8085" s="40">
        <f>IF(Inputs!$C$60,Inputs!$C$11+(B8085-Inputs!$C$69)/Inputs!$C$70,"")</f>
      </c>
      <c r="D8085" s="15"/>
      <c r="E8085" s="15"/>
      <c r="F8085" s="11">
        <f t="shared" si="63"/>
      </c>
      <c r="G8085" s="22" cm="1">
        <f t="array" ref="G8085">IF(AND(Inputs!$C$60,Inputs!$C$61),INDEX(Utility_Rates!$C$29:$F$52,HOUR(C8085)+Inputs!$C$69,MATCH(INDEX(Utility_Rates!$K$6:$K$17,MONTH(C8085))&amp;IF(WEEKDAY(C8085,Inputs!$C$76)&lt;=Inputs!$C$74," weekday"," weekend"),Utility_Rates!$C$28:$F$28,Inputs!$C$68)),"")</f>
      </c>
      <c r="H8085" s="34"/>
      <c r="I8085" s="42">
        <f>IF(AND(ISNUMBER(D8085),ISNUMBER(H8085)),D8085*H8085*Inputs!$C$69,"")</f>
      </c>
      <c r="J8085" s="42">
        <f>IF(AND(ISNUMBER(F8085),ISNUMBER(H8085),F8085&gt;=Inputs!$C$68),F8085*H8085*Inputs!$C$69,"")</f>
      </c>
    </row>
    <row r="8086" spans="2:10" ht="15" customHeight="1" x14ac:dyDescent="0.2">
      <c r="B8086" s="39">
        <f t="shared" si="62"/>
      </c>
      <c r="C8086" s="40">
        <f>IF(Inputs!$C$60,Inputs!$C$11+(B8086-Inputs!$C$69)/Inputs!$C$70,"")</f>
      </c>
      <c r="D8086" s="15"/>
      <c r="E8086" s="15"/>
      <c r="F8086" s="11">
        <f t="shared" si="63"/>
      </c>
      <c r="G8086" s="22" cm="1">
        <f t="array" ref="G8086">IF(AND(Inputs!$C$60,Inputs!$C$61),INDEX(Utility_Rates!$C$29:$F$52,HOUR(C8086)+Inputs!$C$69,MATCH(INDEX(Utility_Rates!$K$6:$K$17,MONTH(C8086))&amp;IF(WEEKDAY(C8086,Inputs!$C$76)&lt;=Inputs!$C$74," weekday"," weekend"),Utility_Rates!$C$28:$F$28,Inputs!$C$68)),"")</f>
      </c>
      <c r="H8086" s="34"/>
      <c r="I8086" s="42">
        <f>IF(AND(ISNUMBER(D8086),ISNUMBER(H8086)),D8086*H8086*Inputs!$C$69,"")</f>
      </c>
      <c r="J8086" s="42">
        <f>IF(AND(ISNUMBER(F8086),ISNUMBER(H8086),F8086&gt;=Inputs!$C$68),F8086*H8086*Inputs!$C$69,"")</f>
      </c>
    </row>
    <row r="8087" spans="2:10" ht="15" customHeight="1" x14ac:dyDescent="0.2">
      <c r="B8087" s="39">
        <f t="shared" si="62"/>
      </c>
      <c r="C8087" s="40">
        <f>IF(Inputs!$C$60,Inputs!$C$11+(B8087-Inputs!$C$69)/Inputs!$C$70,"")</f>
      </c>
      <c r="D8087" s="15"/>
      <c r="E8087" s="15"/>
      <c r="F8087" s="11">
        <f t="shared" si="63"/>
      </c>
      <c r="G8087" s="22" cm="1">
        <f t="array" ref="G8087">IF(AND(Inputs!$C$60,Inputs!$C$61),INDEX(Utility_Rates!$C$29:$F$52,HOUR(C8087)+Inputs!$C$69,MATCH(INDEX(Utility_Rates!$K$6:$K$17,MONTH(C8087))&amp;IF(WEEKDAY(C8087,Inputs!$C$76)&lt;=Inputs!$C$74," weekday"," weekend"),Utility_Rates!$C$28:$F$28,Inputs!$C$68)),"")</f>
      </c>
      <c r="H8087" s="34"/>
      <c r="I8087" s="42">
        <f>IF(AND(ISNUMBER(D8087),ISNUMBER(H8087)),D8087*H8087*Inputs!$C$69,"")</f>
      </c>
      <c r="J8087" s="42">
        <f>IF(AND(ISNUMBER(F8087),ISNUMBER(H8087),F8087&gt;=Inputs!$C$68),F8087*H8087*Inputs!$C$69,"")</f>
      </c>
    </row>
    <row r="8088" spans="2:10" ht="15" customHeight="1" x14ac:dyDescent="0.2">
      <c r="B8088" s="39">
        <f t="shared" si="62"/>
      </c>
      <c r="C8088" s="40">
        <f>IF(Inputs!$C$60,Inputs!$C$11+(B8088-Inputs!$C$69)/Inputs!$C$70,"")</f>
      </c>
      <c r="D8088" s="15"/>
      <c r="E8088" s="15"/>
      <c r="F8088" s="11">
        <f t="shared" si="63"/>
      </c>
      <c r="G8088" s="22" cm="1">
        <f t="array" ref="G8088">IF(AND(Inputs!$C$60,Inputs!$C$61),INDEX(Utility_Rates!$C$29:$F$52,HOUR(C8088)+Inputs!$C$69,MATCH(INDEX(Utility_Rates!$K$6:$K$17,MONTH(C8088))&amp;IF(WEEKDAY(C8088,Inputs!$C$76)&lt;=Inputs!$C$74," weekday"," weekend"),Utility_Rates!$C$28:$F$28,Inputs!$C$68)),"")</f>
      </c>
      <c r="H8088" s="34"/>
      <c r="I8088" s="42">
        <f>IF(AND(ISNUMBER(D8088),ISNUMBER(H8088)),D8088*H8088*Inputs!$C$69,"")</f>
      </c>
      <c r="J8088" s="42">
        <f>IF(AND(ISNUMBER(F8088),ISNUMBER(H8088),F8088&gt;=Inputs!$C$68),F8088*H8088*Inputs!$C$69,"")</f>
      </c>
    </row>
    <row r="8089" spans="2:10" ht="15" customHeight="1" x14ac:dyDescent="0.2">
      <c r="B8089" s="39">
        <f t="shared" si="62"/>
      </c>
      <c r="C8089" s="40">
        <f>IF(Inputs!$C$60,Inputs!$C$11+(B8089-Inputs!$C$69)/Inputs!$C$70,"")</f>
      </c>
      <c r="D8089" s="15"/>
      <c r="E8089" s="15"/>
      <c r="F8089" s="11">
        <f t="shared" si="63"/>
      </c>
      <c r="G8089" s="22" cm="1">
        <f t="array" ref="G8089">IF(AND(Inputs!$C$60,Inputs!$C$61),INDEX(Utility_Rates!$C$29:$F$52,HOUR(C8089)+Inputs!$C$69,MATCH(INDEX(Utility_Rates!$K$6:$K$17,MONTH(C8089))&amp;IF(WEEKDAY(C8089,Inputs!$C$76)&lt;=Inputs!$C$74," weekday"," weekend"),Utility_Rates!$C$28:$F$28,Inputs!$C$68)),"")</f>
      </c>
      <c r="H8089" s="34"/>
      <c r="I8089" s="42">
        <f>IF(AND(ISNUMBER(D8089),ISNUMBER(H8089)),D8089*H8089*Inputs!$C$69,"")</f>
      </c>
      <c r="J8089" s="42">
        <f>IF(AND(ISNUMBER(F8089),ISNUMBER(H8089),F8089&gt;=Inputs!$C$68),F8089*H8089*Inputs!$C$69,"")</f>
      </c>
    </row>
    <row r="8090" spans="2:10" ht="15" customHeight="1" x14ac:dyDescent="0.2">
      <c r="B8090" s="39">
        <f t="shared" si="62"/>
      </c>
      <c r="C8090" s="40">
        <f>IF(Inputs!$C$60,Inputs!$C$11+(B8090-Inputs!$C$69)/Inputs!$C$70,"")</f>
      </c>
      <c r="D8090" s="15"/>
      <c r="E8090" s="15"/>
      <c r="F8090" s="11">
        <f t="shared" si="63"/>
      </c>
      <c r="G8090" s="22" cm="1">
        <f t="array" ref="G8090">IF(AND(Inputs!$C$60,Inputs!$C$61),INDEX(Utility_Rates!$C$29:$F$52,HOUR(C8090)+Inputs!$C$69,MATCH(INDEX(Utility_Rates!$K$6:$K$17,MONTH(C8090))&amp;IF(WEEKDAY(C8090,Inputs!$C$76)&lt;=Inputs!$C$74," weekday"," weekend"),Utility_Rates!$C$28:$F$28,Inputs!$C$68)),"")</f>
      </c>
      <c r="H8090" s="34"/>
      <c r="I8090" s="42">
        <f>IF(AND(ISNUMBER(D8090),ISNUMBER(H8090)),D8090*H8090*Inputs!$C$69,"")</f>
      </c>
      <c r="J8090" s="42">
        <f>IF(AND(ISNUMBER(F8090),ISNUMBER(H8090),F8090&gt;=Inputs!$C$68),F8090*H8090*Inputs!$C$69,"")</f>
      </c>
    </row>
    <row r="8091" spans="2:10" ht="15" customHeight="1" x14ac:dyDescent="0.2">
      <c r="B8091" s="39">
        <f t="shared" si="62"/>
      </c>
      <c r="C8091" s="40">
        <f>IF(Inputs!$C$60,Inputs!$C$11+(B8091-Inputs!$C$69)/Inputs!$C$70,"")</f>
      </c>
      <c r="D8091" s="15"/>
      <c r="E8091" s="15"/>
      <c r="F8091" s="11">
        <f t="shared" si="63"/>
      </c>
      <c r="G8091" s="22" cm="1">
        <f t="array" ref="G8091">IF(AND(Inputs!$C$60,Inputs!$C$61),INDEX(Utility_Rates!$C$29:$F$52,HOUR(C8091)+Inputs!$C$69,MATCH(INDEX(Utility_Rates!$K$6:$K$17,MONTH(C8091))&amp;IF(WEEKDAY(C8091,Inputs!$C$76)&lt;=Inputs!$C$74," weekday"," weekend"),Utility_Rates!$C$28:$F$28,Inputs!$C$68)),"")</f>
      </c>
      <c r="H8091" s="34"/>
      <c r="I8091" s="42">
        <f>IF(AND(ISNUMBER(D8091),ISNUMBER(H8091)),D8091*H8091*Inputs!$C$69,"")</f>
      </c>
      <c r="J8091" s="42">
        <f>IF(AND(ISNUMBER(F8091),ISNUMBER(H8091),F8091&gt;=Inputs!$C$68),F8091*H8091*Inputs!$C$69,"")</f>
      </c>
    </row>
    <row r="8092" spans="2:10" ht="15" customHeight="1" x14ac:dyDescent="0.2">
      <c r="B8092" s="39">
        <f t="shared" si="62"/>
      </c>
      <c r="C8092" s="40">
        <f>IF(Inputs!$C$60,Inputs!$C$11+(B8092-Inputs!$C$69)/Inputs!$C$70,"")</f>
      </c>
      <c r="D8092" s="15"/>
      <c r="E8092" s="15"/>
      <c r="F8092" s="11">
        <f t="shared" si="63"/>
      </c>
      <c r="G8092" s="22" cm="1">
        <f t="array" ref="G8092">IF(AND(Inputs!$C$60,Inputs!$C$61),INDEX(Utility_Rates!$C$29:$F$52,HOUR(C8092)+Inputs!$C$69,MATCH(INDEX(Utility_Rates!$K$6:$K$17,MONTH(C8092))&amp;IF(WEEKDAY(C8092,Inputs!$C$76)&lt;=Inputs!$C$74," weekday"," weekend"),Utility_Rates!$C$28:$F$28,Inputs!$C$68)),"")</f>
      </c>
      <c r="H8092" s="34"/>
      <c r="I8092" s="42">
        <f>IF(AND(ISNUMBER(D8092),ISNUMBER(H8092)),D8092*H8092*Inputs!$C$69,"")</f>
      </c>
      <c r="J8092" s="42">
        <f>IF(AND(ISNUMBER(F8092),ISNUMBER(H8092),F8092&gt;=Inputs!$C$68),F8092*H8092*Inputs!$C$69,"")</f>
      </c>
    </row>
    <row r="8093" spans="2:10" ht="15" customHeight="1" x14ac:dyDescent="0.2">
      <c r="B8093" s="39">
        <f t="shared" si="62"/>
      </c>
      <c r="C8093" s="40">
        <f>IF(Inputs!$C$60,Inputs!$C$11+(B8093-Inputs!$C$69)/Inputs!$C$70,"")</f>
      </c>
      <c r="D8093" s="15"/>
      <c r="E8093" s="15"/>
      <c r="F8093" s="11">
        <f t="shared" si="63"/>
      </c>
      <c r="G8093" s="22" cm="1">
        <f t="array" ref="G8093">IF(AND(Inputs!$C$60,Inputs!$C$61),INDEX(Utility_Rates!$C$29:$F$52,HOUR(C8093)+Inputs!$C$69,MATCH(INDEX(Utility_Rates!$K$6:$K$17,MONTH(C8093))&amp;IF(WEEKDAY(C8093,Inputs!$C$76)&lt;=Inputs!$C$74," weekday"," weekend"),Utility_Rates!$C$28:$F$28,Inputs!$C$68)),"")</f>
      </c>
      <c r="H8093" s="34"/>
      <c r="I8093" s="42">
        <f>IF(AND(ISNUMBER(D8093),ISNUMBER(H8093)),D8093*H8093*Inputs!$C$69,"")</f>
      </c>
      <c r="J8093" s="42">
        <f>IF(AND(ISNUMBER(F8093),ISNUMBER(H8093),F8093&gt;=Inputs!$C$68),F8093*H8093*Inputs!$C$69,"")</f>
      </c>
    </row>
    <row r="8094" spans="2:10" ht="15" customHeight="1" x14ac:dyDescent="0.2">
      <c r="B8094" s="39">
        <f t="shared" si="62"/>
      </c>
      <c r="C8094" s="40">
        <f>IF(Inputs!$C$60,Inputs!$C$11+(B8094-Inputs!$C$69)/Inputs!$C$70,"")</f>
      </c>
      <c r="D8094" s="15"/>
      <c r="E8094" s="15"/>
      <c r="F8094" s="11">
        <f t="shared" si="63"/>
      </c>
      <c r="G8094" s="22" cm="1">
        <f t="array" ref="G8094">IF(AND(Inputs!$C$60,Inputs!$C$61),INDEX(Utility_Rates!$C$29:$F$52,HOUR(C8094)+Inputs!$C$69,MATCH(INDEX(Utility_Rates!$K$6:$K$17,MONTH(C8094))&amp;IF(WEEKDAY(C8094,Inputs!$C$76)&lt;=Inputs!$C$74," weekday"," weekend"),Utility_Rates!$C$28:$F$28,Inputs!$C$68)),"")</f>
      </c>
      <c r="H8094" s="34"/>
      <c r="I8094" s="42">
        <f>IF(AND(ISNUMBER(D8094),ISNUMBER(H8094)),D8094*H8094*Inputs!$C$69,"")</f>
      </c>
      <c r="J8094" s="42">
        <f>IF(AND(ISNUMBER(F8094),ISNUMBER(H8094),F8094&gt;=Inputs!$C$68),F8094*H8094*Inputs!$C$69,"")</f>
      </c>
    </row>
    <row r="8095" spans="2:10" ht="15" customHeight="1" x14ac:dyDescent="0.2">
      <c r="B8095" s="39">
        <f t="shared" si="62"/>
      </c>
      <c r="C8095" s="40">
        <f>IF(Inputs!$C$60,Inputs!$C$11+(B8095-Inputs!$C$69)/Inputs!$C$70,"")</f>
      </c>
      <c r="D8095" s="15"/>
      <c r="E8095" s="15"/>
      <c r="F8095" s="11">
        <f t="shared" si="63"/>
      </c>
      <c r="G8095" s="22" cm="1">
        <f t="array" ref="G8095">IF(AND(Inputs!$C$60,Inputs!$C$61),INDEX(Utility_Rates!$C$29:$F$52,HOUR(C8095)+Inputs!$C$69,MATCH(INDEX(Utility_Rates!$K$6:$K$17,MONTH(C8095))&amp;IF(WEEKDAY(C8095,Inputs!$C$76)&lt;=Inputs!$C$74," weekday"," weekend"),Utility_Rates!$C$28:$F$28,Inputs!$C$68)),"")</f>
      </c>
      <c r="H8095" s="34"/>
      <c r="I8095" s="42">
        <f>IF(AND(ISNUMBER(D8095),ISNUMBER(H8095)),D8095*H8095*Inputs!$C$69,"")</f>
      </c>
      <c r="J8095" s="42">
        <f>IF(AND(ISNUMBER(F8095),ISNUMBER(H8095),F8095&gt;=Inputs!$C$68),F8095*H8095*Inputs!$C$69,"")</f>
      </c>
    </row>
    <row r="8096" spans="2:10" ht="15" customHeight="1" x14ac:dyDescent="0.2">
      <c r="B8096" s="39">
        <f t="shared" si="62"/>
      </c>
      <c r="C8096" s="40">
        <f>IF(Inputs!$C$60,Inputs!$C$11+(B8096-Inputs!$C$69)/Inputs!$C$70,"")</f>
      </c>
      <c r="D8096" s="15"/>
      <c r="E8096" s="15"/>
      <c r="F8096" s="11">
        <f t="shared" si="63"/>
      </c>
      <c r="G8096" s="22" cm="1">
        <f t="array" ref="G8096">IF(AND(Inputs!$C$60,Inputs!$C$61),INDEX(Utility_Rates!$C$29:$F$52,HOUR(C8096)+Inputs!$C$69,MATCH(INDEX(Utility_Rates!$K$6:$K$17,MONTH(C8096))&amp;IF(WEEKDAY(C8096,Inputs!$C$76)&lt;=Inputs!$C$74," weekday"," weekend"),Utility_Rates!$C$28:$F$28,Inputs!$C$68)),"")</f>
      </c>
      <c r="H8096" s="34"/>
      <c r="I8096" s="42">
        <f>IF(AND(ISNUMBER(D8096),ISNUMBER(H8096)),D8096*H8096*Inputs!$C$69,"")</f>
      </c>
      <c r="J8096" s="42">
        <f>IF(AND(ISNUMBER(F8096),ISNUMBER(H8096),F8096&gt;=Inputs!$C$68),F8096*H8096*Inputs!$C$69,"")</f>
      </c>
    </row>
    <row r="8097" spans="2:10" ht="15" customHeight="1" x14ac:dyDescent="0.2">
      <c r="B8097" s="39">
        <f t="shared" si="62"/>
      </c>
      <c r="C8097" s="40">
        <f>IF(Inputs!$C$60,Inputs!$C$11+(B8097-Inputs!$C$69)/Inputs!$C$70,"")</f>
      </c>
      <c r="D8097" s="15"/>
      <c r="E8097" s="15"/>
      <c r="F8097" s="11">
        <f t="shared" si="63"/>
      </c>
      <c r="G8097" s="22" cm="1">
        <f t="array" ref="G8097">IF(AND(Inputs!$C$60,Inputs!$C$61),INDEX(Utility_Rates!$C$29:$F$52,HOUR(C8097)+Inputs!$C$69,MATCH(INDEX(Utility_Rates!$K$6:$K$17,MONTH(C8097))&amp;IF(WEEKDAY(C8097,Inputs!$C$76)&lt;=Inputs!$C$74," weekday"," weekend"),Utility_Rates!$C$28:$F$28,Inputs!$C$68)),"")</f>
      </c>
      <c r="H8097" s="34"/>
      <c r="I8097" s="42">
        <f>IF(AND(ISNUMBER(D8097),ISNUMBER(H8097)),D8097*H8097*Inputs!$C$69,"")</f>
      </c>
      <c r="J8097" s="42">
        <f>IF(AND(ISNUMBER(F8097),ISNUMBER(H8097),F8097&gt;=Inputs!$C$68),F8097*H8097*Inputs!$C$69,"")</f>
      </c>
    </row>
    <row r="8098" spans="2:10" ht="15" customHeight="1" x14ac:dyDescent="0.2">
      <c r="B8098" s="39">
        <f t="shared" si="62"/>
      </c>
      <c r="C8098" s="40">
        <f>IF(Inputs!$C$60,Inputs!$C$11+(B8098-Inputs!$C$69)/Inputs!$C$70,"")</f>
      </c>
      <c r="D8098" s="15"/>
      <c r="E8098" s="15"/>
      <c r="F8098" s="11">
        <f t="shared" si="63"/>
      </c>
      <c r="G8098" s="22" cm="1">
        <f t="array" ref="G8098">IF(AND(Inputs!$C$60,Inputs!$C$61),INDEX(Utility_Rates!$C$29:$F$52,HOUR(C8098)+Inputs!$C$69,MATCH(INDEX(Utility_Rates!$K$6:$K$17,MONTH(C8098))&amp;IF(WEEKDAY(C8098,Inputs!$C$76)&lt;=Inputs!$C$74," weekday"," weekend"),Utility_Rates!$C$28:$F$28,Inputs!$C$68)),"")</f>
      </c>
      <c r="H8098" s="34"/>
      <c r="I8098" s="42">
        <f>IF(AND(ISNUMBER(D8098),ISNUMBER(H8098)),D8098*H8098*Inputs!$C$69,"")</f>
      </c>
      <c r="J8098" s="42">
        <f>IF(AND(ISNUMBER(F8098),ISNUMBER(H8098),F8098&gt;=Inputs!$C$68),F8098*H8098*Inputs!$C$69,"")</f>
      </c>
    </row>
    <row r="8099" spans="2:10" ht="15" customHeight="1" x14ac:dyDescent="0.2">
      <c r="B8099" s="39">
        <f t="shared" si="62"/>
      </c>
      <c r="C8099" s="40">
        <f>IF(Inputs!$C$60,Inputs!$C$11+(B8099-Inputs!$C$69)/Inputs!$C$70,"")</f>
      </c>
      <c r="D8099" s="15"/>
      <c r="E8099" s="15"/>
      <c r="F8099" s="11">
        <f t="shared" si="63"/>
      </c>
      <c r="G8099" s="22" cm="1">
        <f t="array" ref="G8099">IF(AND(Inputs!$C$60,Inputs!$C$61),INDEX(Utility_Rates!$C$29:$F$52,HOUR(C8099)+Inputs!$C$69,MATCH(INDEX(Utility_Rates!$K$6:$K$17,MONTH(C8099))&amp;IF(WEEKDAY(C8099,Inputs!$C$76)&lt;=Inputs!$C$74," weekday"," weekend"),Utility_Rates!$C$28:$F$28,Inputs!$C$68)),"")</f>
      </c>
      <c r="H8099" s="34"/>
      <c r="I8099" s="42">
        <f>IF(AND(ISNUMBER(D8099),ISNUMBER(H8099)),D8099*H8099*Inputs!$C$69,"")</f>
      </c>
      <c r="J8099" s="42">
        <f>IF(AND(ISNUMBER(F8099),ISNUMBER(H8099),F8099&gt;=Inputs!$C$68),F8099*H8099*Inputs!$C$69,"")</f>
      </c>
    </row>
    <row r="8100" spans="2:10" ht="15" customHeight="1" x14ac:dyDescent="0.2">
      <c r="B8100" s="39">
        <f t="shared" si="62"/>
      </c>
      <c r="C8100" s="40">
        <f>IF(Inputs!$C$60,Inputs!$C$11+(B8100-Inputs!$C$69)/Inputs!$C$70,"")</f>
      </c>
      <c r="D8100" s="15"/>
      <c r="E8100" s="15"/>
      <c r="F8100" s="11">
        <f t="shared" si="63"/>
      </c>
      <c r="G8100" s="22" cm="1">
        <f t="array" ref="G8100">IF(AND(Inputs!$C$60,Inputs!$C$61),INDEX(Utility_Rates!$C$29:$F$52,HOUR(C8100)+Inputs!$C$69,MATCH(INDEX(Utility_Rates!$K$6:$K$17,MONTH(C8100))&amp;IF(WEEKDAY(C8100,Inputs!$C$76)&lt;=Inputs!$C$74," weekday"," weekend"),Utility_Rates!$C$28:$F$28,Inputs!$C$68)),"")</f>
      </c>
      <c r="H8100" s="34"/>
      <c r="I8100" s="42">
        <f>IF(AND(ISNUMBER(D8100),ISNUMBER(H8100)),D8100*H8100*Inputs!$C$69,"")</f>
      </c>
      <c r="J8100" s="42">
        <f>IF(AND(ISNUMBER(F8100),ISNUMBER(H8100),F8100&gt;=Inputs!$C$68),F8100*H8100*Inputs!$C$69,"")</f>
      </c>
    </row>
    <row r="8101" spans="2:10" ht="15" customHeight="1" x14ac:dyDescent="0.2">
      <c r="B8101" s="39">
        <f t="shared" si="62"/>
      </c>
      <c r="C8101" s="40">
        <f>IF(Inputs!$C$60,Inputs!$C$11+(B8101-Inputs!$C$69)/Inputs!$C$70,"")</f>
      </c>
      <c r="D8101" s="15"/>
      <c r="E8101" s="15"/>
      <c r="F8101" s="11">
        <f t="shared" si="63"/>
      </c>
      <c r="G8101" s="22" cm="1">
        <f t="array" ref="G8101">IF(AND(Inputs!$C$60,Inputs!$C$61),INDEX(Utility_Rates!$C$29:$F$52,HOUR(C8101)+Inputs!$C$69,MATCH(INDEX(Utility_Rates!$K$6:$K$17,MONTH(C8101))&amp;IF(WEEKDAY(C8101,Inputs!$C$76)&lt;=Inputs!$C$74," weekday"," weekend"),Utility_Rates!$C$28:$F$28,Inputs!$C$68)),"")</f>
      </c>
      <c r="H8101" s="34"/>
      <c r="I8101" s="42">
        <f>IF(AND(ISNUMBER(D8101),ISNUMBER(H8101)),D8101*H8101*Inputs!$C$69,"")</f>
      </c>
      <c r="J8101" s="42">
        <f>IF(AND(ISNUMBER(F8101),ISNUMBER(H8101),F8101&gt;=Inputs!$C$68),F8101*H8101*Inputs!$C$69,"")</f>
      </c>
    </row>
    <row r="8102" spans="2:10" ht="15" customHeight="1" x14ac:dyDescent="0.2">
      <c r="B8102" s="39">
        <f t="shared" si="62"/>
      </c>
      <c r="C8102" s="40">
        <f>IF(Inputs!$C$60,Inputs!$C$11+(B8102-Inputs!$C$69)/Inputs!$C$70,"")</f>
      </c>
      <c r="D8102" s="15"/>
      <c r="E8102" s="15"/>
      <c r="F8102" s="11">
        <f t="shared" si="63"/>
      </c>
      <c r="G8102" s="22" cm="1">
        <f t="array" ref="G8102">IF(AND(Inputs!$C$60,Inputs!$C$61),INDEX(Utility_Rates!$C$29:$F$52,HOUR(C8102)+Inputs!$C$69,MATCH(INDEX(Utility_Rates!$K$6:$K$17,MONTH(C8102))&amp;IF(WEEKDAY(C8102,Inputs!$C$76)&lt;=Inputs!$C$74," weekday"," weekend"),Utility_Rates!$C$28:$F$28,Inputs!$C$68)),"")</f>
      </c>
      <c r="H8102" s="34"/>
      <c r="I8102" s="42">
        <f>IF(AND(ISNUMBER(D8102),ISNUMBER(H8102)),D8102*H8102*Inputs!$C$69,"")</f>
      </c>
      <c r="J8102" s="42">
        <f>IF(AND(ISNUMBER(F8102),ISNUMBER(H8102),F8102&gt;=Inputs!$C$68),F8102*H8102*Inputs!$C$69,"")</f>
      </c>
    </row>
    <row r="8103" spans="2:10" ht="15" customHeight="1" x14ac:dyDescent="0.2">
      <c r="B8103" s="39">
        <f t="shared" si="62"/>
      </c>
      <c r="C8103" s="40">
        <f>IF(Inputs!$C$60,Inputs!$C$11+(B8103-Inputs!$C$69)/Inputs!$C$70,"")</f>
      </c>
      <c r="D8103" s="15"/>
      <c r="E8103" s="15"/>
      <c r="F8103" s="11">
        <f t="shared" si="63"/>
      </c>
      <c r="G8103" s="22" cm="1">
        <f t="array" ref="G8103">IF(AND(Inputs!$C$60,Inputs!$C$61),INDEX(Utility_Rates!$C$29:$F$52,HOUR(C8103)+Inputs!$C$69,MATCH(INDEX(Utility_Rates!$K$6:$K$17,MONTH(C8103))&amp;IF(WEEKDAY(C8103,Inputs!$C$76)&lt;=Inputs!$C$74," weekday"," weekend"),Utility_Rates!$C$28:$F$28,Inputs!$C$68)),"")</f>
      </c>
      <c r="H8103" s="34"/>
      <c r="I8103" s="42">
        <f>IF(AND(ISNUMBER(D8103),ISNUMBER(H8103)),D8103*H8103*Inputs!$C$69,"")</f>
      </c>
      <c r="J8103" s="42">
        <f>IF(AND(ISNUMBER(F8103),ISNUMBER(H8103),F8103&gt;=Inputs!$C$68),F8103*H8103*Inputs!$C$69,"")</f>
      </c>
    </row>
    <row r="8104" spans="2:10" ht="15" customHeight="1" x14ac:dyDescent="0.2">
      <c r="B8104" s="39">
        <f t="shared" si="62"/>
      </c>
      <c r="C8104" s="40">
        <f>IF(Inputs!$C$60,Inputs!$C$11+(B8104-Inputs!$C$69)/Inputs!$C$70,"")</f>
      </c>
      <c r="D8104" s="15"/>
      <c r="E8104" s="15"/>
      <c r="F8104" s="11">
        <f t="shared" si="63"/>
      </c>
      <c r="G8104" s="22" cm="1">
        <f t="array" ref="G8104">IF(AND(Inputs!$C$60,Inputs!$C$61),INDEX(Utility_Rates!$C$29:$F$52,HOUR(C8104)+Inputs!$C$69,MATCH(INDEX(Utility_Rates!$K$6:$K$17,MONTH(C8104))&amp;IF(WEEKDAY(C8104,Inputs!$C$76)&lt;=Inputs!$C$74," weekday"," weekend"),Utility_Rates!$C$28:$F$28,Inputs!$C$68)),"")</f>
      </c>
      <c r="H8104" s="34"/>
      <c r="I8104" s="42">
        <f>IF(AND(ISNUMBER(D8104),ISNUMBER(H8104)),D8104*H8104*Inputs!$C$69,"")</f>
      </c>
      <c r="J8104" s="42">
        <f>IF(AND(ISNUMBER(F8104),ISNUMBER(H8104),F8104&gt;=Inputs!$C$68),F8104*H8104*Inputs!$C$69,"")</f>
      </c>
    </row>
    <row r="8105" spans="2:10" ht="15" customHeight="1" x14ac:dyDescent="0.2">
      <c r="B8105" s="39">
        <f t="shared" si="62"/>
      </c>
      <c r="C8105" s="40">
        <f>IF(Inputs!$C$60,Inputs!$C$11+(B8105-Inputs!$C$69)/Inputs!$C$70,"")</f>
      </c>
      <c r="D8105" s="15"/>
      <c r="E8105" s="15"/>
      <c r="F8105" s="11">
        <f t="shared" si="63"/>
      </c>
      <c r="G8105" s="22" cm="1">
        <f t="array" ref="G8105">IF(AND(Inputs!$C$60,Inputs!$C$61),INDEX(Utility_Rates!$C$29:$F$52,HOUR(C8105)+Inputs!$C$69,MATCH(INDEX(Utility_Rates!$K$6:$K$17,MONTH(C8105))&amp;IF(WEEKDAY(C8105,Inputs!$C$76)&lt;=Inputs!$C$74," weekday"," weekend"),Utility_Rates!$C$28:$F$28,Inputs!$C$68)),"")</f>
      </c>
      <c r="H8105" s="34"/>
      <c r="I8105" s="42">
        <f>IF(AND(ISNUMBER(D8105),ISNUMBER(H8105)),D8105*H8105*Inputs!$C$69,"")</f>
      </c>
      <c r="J8105" s="42">
        <f>IF(AND(ISNUMBER(F8105),ISNUMBER(H8105),F8105&gt;=Inputs!$C$68),F8105*H8105*Inputs!$C$69,"")</f>
      </c>
    </row>
    <row r="8106" spans="2:10" ht="15" customHeight="1" x14ac:dyDescent="0.2">
      <c r="B8106" s="39">
        <f t="shared" si="62"/>
      </c>
      <c r="C8106" s="40">
        <f>IF(Inputs!$C$60,Inputs!$C$11+(B8106-Inputs!$C$69)/Inputs!$C$70,"")</f>
      </c>
      <c r="D8106" s="15"/>
      <c r="E8106" s="15"/>
      <c r="F8106" s="11">
        <f t="shared" si="63"/>
      </c>
      <c r="G8106" s="22" cm="1">
        <f t="array" ref="G8106">IF(AND(Inputs!$C$60,Inputs!$C$61),INDEX(Utility_Rates!$C$29:$F$52,HOUR(C8106)+Inputs!$C$69,MATCH(INDEX(Utility_Rates!$K$6:$K$17,MONTH(C8106))&amp;IF(WEEKDAY(C8106,Inputs!$C$76)&lt;=Inputs!$C$74," weekday"," weekend"),Utility_Rates!$C$28:$F$28,Inputs!$C$68)),"")</f>
      </c>
      <c r="H8106" s="34"/>
      <c r="I8106" s="42">
        <f>IF(AND(ISNUMBER(D8106),ISNUMBER(H8106)),D8106*H8106*Inputs!$C$69,"")</f>
      </c>
      <c r="J8106" s="42">
        <f>IF(AND(ISNUMBER(F8106),ISNUMBER(H8106),F8106&gt;=Inputs!$C$68),F8106*H8106*Inputs!$C$69,"")</f>
      </c>
    </row>
    <row r="8107" spans="2:10" ht="15" customHeight="1" x14ac:dyDescent="0.2">
      <c r="B8107" s="39">
        <f t="shared" si="62"/>
      </c>
      <c r="C8107" s="40">
        <f>IF(Inputs!$C$60,Inputs!$C$11+(B8107-Inputs!$C$69)/Inputs!$C$70,"")</f>
      </c>
      <c r="D8107" s="15"/>
      <c r="E8107" s="15"/>
      <c r="F8107" s="11">
        <f t="shared" si="63"/>
      </c>
      <c r="G8107" s="22" cm="1">
        <f t="array" ref="G8107">IF(AND(Inputs!$C$60,Inputs!$C$61),INDEX(Utility_Rates!$C$29:$F$52,HOUR(C8107)+Inputs!$C$69,MATCH(INDEX(Utility_Rates!$K$6:$K$17,MONTH(C8107))&amp;IF(WEEKDAY(C8107,Inputs!$C$76)&lt;=Inputs!$C$74," weekday"," weekend"),Utility_Rates!$C$28:$F$28,Inputs!$C$68)),"")</f>
      </c>
      <c r="H8107" s="34"/>
      <c r="I8107" s="42">
        <f>IF(AND(ISNUMBER(D8107),ISNUMBER(H8107)),D8107*H8107*Inputs!$C$69,"")</f>
      </c>
      <c r="J8107" s="42">
        <f>IF(AND(ISNUMBER(F8107),ISNUMBER(H8107),F8107&gt;=Inputs!$C$68),F8107*H8107*Inputs!$C$69,"")</f>
      </c>
    </row>
    <row r="8108" spans="2:10" ht="15" customHeight="1" x14ac:dyDescent="0.2">
      <c r="B8108" s="39">
        <f t="shared" si="62"/>
      </c>
      <c r="C8108" s="40">
        <f>IF(Inputs!$C$60,Inputs!$C$11+(B8108-Inputs!$C$69)/Inputs!$C$70,"")</f>
      </c>
      <c r="D8108" s="15"/>
      <c r="E8108" s="15"/>
      <c r="F8108" s="11">
        <f t="shared" si="63"/>
      </c>
      <c r="G8108" s="22" cm="1">
        <f t="array" ref="G8108">IF(AND(Inputs!$C$60,Inputs!$C$61),INDEX(Utility_Rates!$C$29:$F$52,HOUR(C8108)+Inputs!$C$69,MATCH(INDEX(Utility_Rates!$K$6:$K$17,MONTH(C8108))&amp;IF(WEEKDAY(C8108,Inputs!$C$76)&lt;=Inputs!$C$74," weekday"," weekend"),Utility_Rates!$C$28:$F$28,Inputs!$C$68)),"")</f>
      </c>
      <c r="H8108" s="34"/>
      <c r="I8108" s="42">
        <f>IF(AND(ISNUMBER(D8108),ISNUMBER(H8108)),D8108*H8108*Inputs!$C$69,"")</f>
      </c>
      <c r="J8108" s="42">
        <f>IF(AND(ISNUMBER(F8108),ISNUMBER(H8108),F8108&gt;=Inputs!$C$68),F8108*H8108*Inputs!$C$69,"")</f>
      </c>
    </row>
    <row r="8109" spans="2:10" ht="15" customHeight="1" x14ac:dyDescent="0.2">
      <c r="B8109" s="39">
        <f t="shared" si="62"/>
      </c>
      <c r="C8109" s="40">
        <f>IF(Inputs!$C$60,Inputs!$C$11+(B8109-Inputs!$C$69)/Inputs!$C$70,"")</f>
      </c>
      <c r="D8109" s="15"/>
      <c r="E8109" s="15"/>
      <c r="F8109" s="11">
        <f t="shared" si="63"/>
      </c>
      <c r="G8109" s="22" cm="1">
        <f t="array" ref="G8109">IF(AND(Inputs!$C$60,Inputs!$C$61),INDEX(Utility_Rates!$C$29:$F$52,HOUR(C8109)+Inputs!$C$69,MATCH(INDEX(Utility_Rates!$K$6:$K$17,MONTH(C8109))&amp;IF(WEEKDAY(C8109,Inputs!$C$76)&lt;=Inputs!$C$74," weekday"," weekend"),Utility_Rates!$C$28:$F$28,Inputs!$C$68)),"")</f>
      </c>
      <c r="H8109" s="34"/>
      <c r="I8109" s="42">
        <f>IF(AND(ISNUMBER(D8109),ISNUMBER(H8109)),D8109*H8109*Inputs!$C$69,"")</f>
      </c>
      <c r="J8109" s="42">
        <f>IF(AND(ISNUMBER(F8109),ISNUMBER(H8109),F8109&gt;=Inputs!$C$68),F8109*H8109*Inputs!$C$69,"")</f>
      </c>
    </row>
    <row r="8110" spans="2:10" ht="15" customHeight="1" x14ac:dyDescent="0.2">
      <c r="B8110" s="39">
        <f t="shared" si="62"/>
      </c>
      <c r="C8110" s="40">
        <f>IF(Inputs!$C$60,Inputs!$C$11+(B8110-Inputs!$C$69)/Inputs!$C$70,"")</f>
      </c>
      <c r="D8110" s="15"/>
      <c r="E8110" s="15"/>
      <c r="F8110" s="11">
        <f t="shared" si="63"/>
      </c>
      <c r="G8110" s="22" cm="1">
        <f t="array" ref="G8110">IF(AND(Inputs!$C$60,Inputs!$C$61),INDEX(Utility_Rates!$C$29:$F$52,HOUR(C8110)+Inputs!$C$69,MATCH(INDEX(Utility_Rates!$K$6:$K$17,MONTH(C8110))&amp;IF(WEEKDAY(C8110,Inputs!$C$76)&lt;=Inputs!$C$74," weekday"," weekend"),Utility_Rates!$C$28:$F$28,Inputs!$C$68)),"")</f>
      </c>
      <c r="H8110" s="34"/>
      <c r="I8110" s="42">
        <f>IF(AND(ISNUMBER(D8110),ISNUMBER(H8110)),D8110*H8110*Inputs!$C$69,"")</f>
      </c>
      <c r="J8110" s="42">
        <f>IF(AND(ISNUMBER(F8110),ISNUMBER(H8110),F8110&gt;=Inputs!$C$68),F8110*H8110*Inputs!$C$69,"")</f>
      </c>
    </row>
    <row r="8111" spans="2:10" ht="15" customHeight="1" x14ac:dyDescent="0.2">
      <c r="B8111" s="39">
        <f t="shared" si="62"/>
      </c>
      <c r="C8111" s="40">
        <f>IF(Inputs!$C$60,Inputs!$C$11+(B8111-Inputs!$C$69)/Inputs!$C$70,"")</f>
      </c>
      <c r="D8111" s="15"/>
      <c r="E8111" s="15"/>
      <c r="F8111" s="11">
        <f t="shared" si="63"/>
      </c>
      <c r="G8111" s="22" cm="1">
        <f t="array" ref="G8111">IF(AND(Inputs!$C$60,Inputs!$C$61),INDEX(Utility_Rates!$C$29:$F$52,HOUR(C8111)+Inputs!$C$69,MATCH(INDEX(Utility_Rates!$K$6:$K$17,MONTH(C8111))&amp;IF(WEEKDAY(C8111,Inputs!$C$76)&lt;=Inputs!$C$74," weekday"," weekend"),Utility_Rates!$C$28:$F$28,Inputs!$C$68)),"")</f>
      </c>
      <c r="H8111" s="34"/>
      <c r="I8111" s="42">
        <f>IF(AND(ISNUMBER(D8111),ISNUMBER(H8111)),D8111*H8111*Inputs!$C$69,"")</f>
      </c>
      <c r="J8111" s="42">
        <f>IF(AND(ISNUMBER(F8111),ISNUMBER(H8111),F8111&gt;=Inputs!$C$68),F8111*H8111*Inputs!$C$69,"")</f>
      </c>
    </row>
    <row r="8112" spans="2:10" ht="15" customHeight="1" x14ac:dyDescent="0.2">
      <c r="B8112" s="39">
        <f t="shared" si="62"/>
      </c>
      <c r="C8112" s="40">
        <f>IF(Inputs!$C$60,Inputs!$C$11+(B8112-Inputs!$C$69)/Inputs!$C$70,"")</f>
      </c>
      <c r="D8112" s="15"/>
      <c r="E8112" s="15"/>
      <c r="F8112" s="11">
        <f t="shared" si="63"/>
      </c>
      <c r="G8112" s="22" cm="1">
        <f t="array" ref="G8112">IF(AND(Inputs!$C$60,Inputs!$C$61),INDEX(Utility_Rates!$C$29:$F$52,HOUR(C8112)+Inputs!$C$69,MATCH(INDEX(Utility_Rates!$K$6:$K$17,MONTH(C8112))&amp;IF(WEEKDAY(C8112,Inputs!$C$76)&lt;=Inputs!$C$74," weekday"," weekend"),Utility_Rates!$C$28:$F$28,Inputs!$C$68)),"")</f>
      </c>
      <c r="H8112" s="34"/>
      <c r="I8112" s="42">
        <f>IF(AND(ISNUMBER(D8112),ISNUMBER(H8112)),D8112*H8112*Inputs!$C$69,"")</f>
      </c>
      <c r="J8112" s="42">
        <f>IF(AND(ISNUMBER(F8112),ISNUMBER(H8112),F8112&gt;=Inputs!$C$68),F8112*H8112*Inputs!$C$69,"")</f>
      </c>
    </row>
    <row r="8113" spans="2:10" ht="15" customHeight="1" x14ac:dyDescent="0.2">
      <c r="B8113" s="39">
        <f t="shared" si="62"/>
      </c>
      <c r="C8113" s="40">
        <f>IF(Inputs!$C$60,Inputs!$C$11+(B8113-Inputs!$C$69)/Inputs!$C$70,"")</f>
      </c>
      <c r="D8113" s="15"/>
      <c r="E8113" s="15"/>
      <c r="F8113" s="11">
        <f t="shared" si="63"/>
      </c>
      <c r="G8113" s="22" cm="1">
        <f t="array" ref="G8113">IF(AND(Inputs!$C$60,Inputs!$C$61),INDEX(Utility_Rates!$C$29:$F$52,HOUR(C8113)+Inputs!$C$69,MATCH(INDEX(Utility_Rates!$K$6:$K$17,MONTH(C8113))&amp;IF(WEEKDAY(C8113,Inputs!$C$76)&lt;=Inputs!$C$74," weekday"," weekend"),Utility_Rates!$C$28:$F$28,Inputs!$C$68)),"")</f>
      </c>
      <c r="H8113" s="34"/>
      <c r="I8113" s="42">
        <f>IF(AND(ISNUMBER(D8113),ISNUMBER(H8113)),D8113*H8113*Inputs!$C$69,"")</f>
      </c>
      <c r="J8113" s="42">
        <f>IF(AND(ISNUMBER(F8113),ISNUMBER(H8113),F8113&gt;=Inputs!$C$68),F8113*H8113*Inputs!$C$69,"")</f>
      </c>
    </row>
    <row r="8114" spans="2:10" ht="15" customHeight="1" x14ac:dyDescent="0.2">
      <c r="B8114" s="39">
        <f t="shared" si="62"/>
      </c>
      <c r="C8114" s="40">
        <f>IF(Inputs!$C$60,Inputs!$C$11+(B8114-Inputs!$C$69)/Inputs!$C$70,"")</f>
      </c>
      <c r="D8114" s="15"/>
      <c r="E8114" s="15"/>
      <c r="F8114" s="11">
        <f t="shared" si="63"/>
      </c>
      <c r="G8114" s="22" cm="1">
        <f t="array" ref="G8114">IF(AND(Inputs!$C$60,Inputs!$C$61),INDEX(Utility_Rates!$C$29:$F$52,HOUR(C8114)+Inputs!$C$69,MATCH(INDEX(Utility_Rates!$K$6:$K$17,MONTH(C8114))&amp;IF(WEEKDAY(C8114,Inputs!$C$76)&lt;=Inputs!$C$74," weekday"," weekend"),Utility_Rates!$C$28:$F$28,Inputs!$C$68)),"")</f>
      </c>
      <c r="H8114" s="34"/>
      <c r="I8114" s="42">
        <f>IF(AND(ISNUMBER(D8114),ISNUMBER(H8114)),D8114*H8114*Inputs!$C$69,"")</f>
      </c>
      <c r="J8114" s="42">
        <f>IF(AND(ISNUMBER(F8114),ISNUMBER(H8114),F8114&gt;=Inputs!$C$68),F8114*H8114*Inputs!$C$69,"")</f>
      </c>
    </row>
    <row r="8115" spans="2:10" ht="15" customHeight="1" x14ac:dyDescent="0.2">
      <c r="B8115" s="39">
        <f t="shared" si="62"/>
      </c>
      <c r="C8115" s="40">
        <f>IF(Inputs!$C$60,Inputs!$C$11+(B8115-Inputs!$C$69)/Inputs!$C$70,"")</f>
      </c>
      <c r="D8115" s="15"/>
      <c r="E8115" s="15"/>
      <c r="F8115" s="11">
        <f t="shared" si="63"/>
      </c>
      <c r="G8115" s="22" cm="1">
        <f t="array" ref="G8115">IF(AND(Inputs!$C$60,Inputs!$C$61),INDEX(Utility_Rates!$C$29:$F$52,HOUR(C8115)+Inputs!$C$69,MATCH(INDEX(Utility_Rates!$K$6:$K$17,MONTH(C8115))&amp;IF(WEEKDAY(C8115,Inputs!$C$76)&lt;=Inputs!$C$74," weekday"," weekend"),Utility_Rates!$C$28:$F$28,Inputs!$C$68)),"")</f>
      </c>
      <c r="H8115" s="34"/>
      <c r="I8115" s="42">
        <f>IF(AND(ISNUMBER(D8115),ISNUMBER(H8115)),D8115*H8115*Inputs!$C$69,"")</f>
      </c>
      <c r="J8115" s="42">
        <f>IF(AND(ISNUMBER(F8115),ISNUMBER(H8115),F8115&gt;=Inputs!$C$68),F8115*H8115*Inputs!$C$69,"")</f>
      </c>
    </row>
    <row r="8116" spans="2:10" ht="15" customHeight="1" x14ac:dyDescent="0.2">
      <c r="B8116" s="39">
        <f t="shared" si="62"/>
      </c>
      <c r="C8116" s="40">
        <f>IF(Inputs!$C$60,Inputs!$C$11+(B8116-Inputs!$C$69)/Inputs!$C$70,"")</f>
      </c>
      <c r="D8116" s="15"/>
      <c r="E8116" s="15"/>
      <c r="F8116" s="11">
        <f t="shared" si="63"/>
      </c>
      <c r="G8116" s="22" cm="1">
        <f t="array" ref="G8116">IF(AND(Inputs!$C$60,Inputs!$C$61),INDEX(Utility_Rates!$C$29:$F$52,HOUR(C8116)+Inputs!$C$69,MATCH(INDEX(Utility_Rates!$K$6:$K$17,MONTH(C8116))&amp;IF(WEEKDAY(C8116,Inputs!$C$76)&lt;=Inputs!$C$74," weekday"," weekend"),Utility_Rates!$C$28:$F$28,Inputs!$C$68)),"")</f>
      </c>
      <c r="H8116" s="34"/>
      <c r="I8116" s="42">
        <f>IF(AND(ISNUMBER(D8116),ISNUMBER(H8116)),D8116*H8116*Inputs!$C$69,"")</f>
      </c>
      <c r="J8116" s="42">
        <f>IF(AND(ISNUMBER(F8116),ISNUMBER(H8116),F8116&gt;=Inputs!$C$68),F8116*H8116*Inputs!$C$69,"")</f>
      </c>
    </row>
    <row r="8117" spans="2:10" ht="15" customHeight="1" x14ac:dyDescent="0.2">
      <c r="B8117" s="39">
        <f t="shared" si="62"/>
      </c>
      <c r="C8117" s="40">
        <f>IF(Inputs!$C$60,Inputs!$C$11+(B8117-Inputs!$C$69)/Inputs!$C$70,"")</f>
      </c>
      <c r="D8117" s="15"/>
      <c r="E8117" s="15"/>
      <c r="F8117" s="11">
        <f t="shared" si="63"/>
      </c>
      <c r="G8117" s="22" cm="1">
        <f t="array" ref="G8117">IF(AND(Inputs!$C$60,Inputs!$C$61),INDEX(Utility_Rates!$C$29:$F$52,HOUR(C8117)+Inputs!$C$69,MATCH(INDEX(Utility_Rates!$K$6:$K$17,MONTH(C8117))&amp;IF(WEEKDAY(C8117,Inputs!$C$76)&lt;=Inputs!$C$74," weekday"," weekend"),Utility_Rates!$C$28:$F$28,Inputs!$C$68)),"")</f>
      </c>
      <c r="H8117" s="34"/>
      <c r="I8117" s="42">
        <f>IF(AND(ISNUMBER(D8117),ISNUMBER(H8117)),D8117*H8117*Inputs!$C$69,"")</f>
      </c>
      <c r="J8117" s="42">
        <f>IF(AND(ISNUMBER(F8117),ISNUMBER(H8117),F8117&gt;=Inputs!$C$68),F8117*H8117*Inputs!$C$69,"")</f>
      </c>
    </row>
    <row r="8118" spans="2:10" ht="15" customHeight="1" x14ac:dyDescent="0.2">
      <c r="B8118" s="39">
        <f t="shared" si="62"/>
      </c>
      <c r="C8118" s="40">
        <f>IF(Inputs!$C$60,Inputs!$C$11+(B8118-Inputs!$C$69)/Inputs!$C$70,"")</f>
      </c>
      <c r="D8118" s="15"/>
      <c r="E8118" s="15"/>
      <c r="F8118" s="11">
        <f t="shared" si="63"/>
      </c>
      <c r="G8118" s="22" cm="1">
        <f t="array" ref="G8118">IF(AND(Inputs!$C$60,Inputs!$C$61),INDEX(Utility_Rates!$C$29:$F$52,HOUR(C8118)+Inputs!$C$69,MATCH(INDEX(Utility_Rates!$K$6:$K$17,MONTH(C8118))&amp;IF(WEEKDAY(C8118,Inputs!$C$76)&lt;=Inputs!$C$74," weekday"," weekend"),Utility_Rates!$C$28:$F$28,Inputs!$C$68)),"")</f>
      </c>
      <c r="H8118" s="34"/>
      <c r="I8118" s="42">
        <f>IF(AND(ISNUMBER(D8118),ISNUMBER(H8118)),D8118*H8118*Inputs!$C$69,"")</f>
      </c>
      <c r="J8118" s="42">
        <f>IF(AND(ISNUMBER(F8118),ISNUMBER(H8118),F8118&gt;=Inputs!$C$68),F8118*H8118*Inputs!$C$69,"")</f>
      </c>
    </row>
    <row r="8119" spans="2:10" ht="15" customHeight="1" x14ac:dyDescent="0.2">
      <c r="B8119" s="39">
        <f t="shared" si="62"/>
      </c>
      <c r="C8119" s="40">
        <f>IF(Inputs!$C$60,Inputs!$C$11+(B8119-Inputs!$C$69)/Inputs!$C$70,"")</f>
      </c>
      <c r="D8119" s="15"/>
      <c r="E8119" s="15"/>
      <c r="F8119" s="11">
        <f t="shared" si="63"/>
      </c>
      <c r="G8119" s="22" cm="1">
        <f t="array" ref="G8119">IF(AND(Inputs!$C$60,Inputs!$C$61),INDEX(Utility_Rates!$C$29:$F$52,HOUR(C8119)+Inputs!$C$69,MATCH(INDEX(Utility_Rates!$K$6:$K$17,MONTH(C8119))&amp;IF(WEEKDAY(C8119,Inputs!$C$76)&lt;=Inputs!$C$74," weekday"," weekend"),Utility_Rates!$C$28:$F$28,Inputs!$C$68)),"")</f>
      </c>
      <c r="H8119" s="34"/>
      <c r="I8119" s="42">
        <f>IF(AND(ISNUMBER(D8119),ISNUMBER(H8119)),D8119*H8119*Inputs!$C$69,"")</f>
      </c>
      <c r="J8119" s="42">
        <f>IF(AND(ISNUMBER(F8119),ISNUMBER(H8119),F8119&gt;=Inputs!$C$68),F8119*H8119*Inputs!$C$69,"")</f>
      </c>
    </row>
    <row r="8120" spans="2:10" ht="15" customHeight="1" x14ac:dyDescent="0.2">
      <c r="B8120" s="39">
        <f t="shared" si="62"/>
      </c>
      <c r="C8120" s="40">
        <f>IF(Inputs!$C$60,Inputs!$C$11+(B8120-Inputs!$C$69)/Inputs!$C$70,"")</f>
      </c>
      <c r="D8120" s="15"/>
      <c r="E8120" s="15"/>
      <c r="F8120" s="11">
        <f t="shared" si="63"/>
      </c>
      <c r="G8120" s="22" cm="1">
        <f t="array" ref="G8120">IF(AND(Inputs!$C$60,Inputs!$C$61),INDEX(Utility_Rates!$C$29:$F$52,HOUR(C8120)+Inputs!$C$69,MATCH(INDEX(Utility_Rates!$K$6:$K$17,MONTH(C8120))&amp;IF(WEEKDAY(C8120,Inputs!$C$76)&lt;=Inputs!$C$74," weekday"," weekend"),Utility_Rates!$C$28:$F$28,Inputs!$C$68)),"")</f>
      </c>
      <c r="H8120" s="34"/>
      <c r="I8120" s="42">
        <f>IF(AND(ISNUMBER(D8120),ISNUMBER(H8120)),D8120*H8120*Inputs!$C$69,"")</f>
      </c>
      <c r="J8120" s="42">
        <f>IF(AND(ISNUMBER(F8120),ISNUMBER(H8120),F8120&gt;=Inputs!$C$68),F8120*H8120*Inputs!$C$69,"")</f>
      </c>
    </row>
    <row r="8121" spans="2:10" ht="15" customHeight="1" x14ac:dyDescent="0.2">
      <c r="B8121" s="39">
        <f t="shared" si="62"/>
      </c>
      <c r="C8121" s="40">
        <f>IF(Inputs!$C$60,Inputs!$C$11+(B8121-Inputs!$C$69)/Inputs!$C$70,"")</f>
      </c>
      <c r="D8121" s="15"/>
      <c r="E8121" s="15"/>
      <c r="F8121" s="11">
        <f t="shared" si="63"/>
      </c>
      <c r="G8121" s="22" cm="1">
        <f t="array" ref="G8121">IF(AND(Inputs!$C$60,Inputs!$C$61),INDEX(Utility_Rates!$C$29:$F$52,HOUR(C8121)+Inputs!$C$69,MATCH(INDEX(Utility_Rates!$K$6:$K$17,MONTH(C8121))&amp;IF(WEEKDAY(C8121,Inputs!$C$76)&lt;=Inputs!$C$74," weekday"," weekend"),Utility_Rates!$C$28:$F$28,Inputs!$C$68)),"")</f>
      </c>
      <c r="H8121" s="34"/>
      <c r="I8121" s="42">
        <f>IF(AND(ISNUMBER(D8121),ISNUMBER(H8121)),D8121*H8121*Inputs!$C$69,"")</f>
      </c>
      <c r="J8121" s="42">
        <f>IF(AND(ISNUMBER(F8121),ISNUMBER(H8121),F8121&gt;=Inputs!$C$68),F8121*H8121*Inputs!$C$69,"")</f>
      </c>
    </row>
    <row r="8122" spans="2:10" ht="15" customHeight="1" x14ac:dyDescent="0.2">
      <c r="B8122" s="39">
        <f t="shared" si="62"/>
      </c>
      <c r="C8122" s="40">
        <f>IF(Inputs!$C$60,Inputs!$C$11+(B8122-Inputs!$C$69)/Inputs!$C$70,"")</f>
      </c>
      <c r="D8122" s="15"/>
      <c r="E8122" s="15"/>
      <c r="F8122" s="11">
        <f t="shared" si="63"/>
      </c>
      <c r="G8122" s="22" cm="1">
        <f t="array" ref="G8122">IF(AND(Inputs!$C$60,Inputs!$C$61),INDEX(Utility_Rates!$C$29:$F$52,HOUR(C8122)+Inputs!$C$69,MATCH(INDEX(Utility_Rates!$K$6:$K$17,MONTH(C8122))&amp;IF(WEEKDAY(C8122,Inputs!$C$76)&lt;=Inputs!$C$74," weekday"," weekend"),Utility_Rates!$C$28:$F$28,Inputs!$C$68)),"")</f>
      </c>
      <c r="H8122" s="34"/>
      <c r="I8122" s="42">
        <f>IF(AND(ISNUMBER(D8122),ISNUMBER(H8122)),D8122*H8122*Inputs!$C$69,"")</f>
      </c>
      <c r="J8122" s="42">
        <f>IF(AND(ISNUMBER(F8122),ISNUMBER(H8122),F8122&gt;=Inputs!$C$68),F8122*H8122*Inputs!$C$69,"")</f>
      </c>
    </row>
    <row r="8123" spans="2:10" ht="15" customHeight="1" x14ac:dyDescent="0.2">
      <c r="B8123" s="39">
        <f t="shared" si="62"/>
      </c>
      <c r="C8123" s="40">
        <f>IF(Inputs!$C$60,Inputs!$C$11+(B8123-Inputs!$C$69)/Inputs!$C$70,"")</f>
      </c>
      <c r="D8123" s="15"/>
      <c r="E8123" s="15"/>
      <c r="F8123" s="11">
        <f t="shared" si="63"/>
      </c>
      <c r="G8123" s="22" cm="1">
        <f t="array" ref="G8123">IF(AND(Inputs!$C$60,Inputs!$C$61),INDEX(Utility_Rates!$C$29:$F$52,HOUR(C8123)+Inputs!$C$69,MATCH(INDEX(Utility_Rates!$K$6:$K$17,MONTH(C8123))&amp;IF(WEEKDAY(C8123,Inputs!$C$76)&lt;=Inputs!$C$74," weekday"," weekend"),Utility_Rates!$C$28:$F$28,Inputs!$C$68)),"")</f>
      </c>
      <c r="H8123" s="34"/>
      <c r="I8123" s="42">
        <f>IF(AND(ISNUMBER(D8123),ISNUMBER(H8123)),D8123*H8123*Inputs!$C$69,"")</f>
      </c>
      <c r="J8123" s="42">
        <f>IF(AND(ISNUMBER(F8123),ISNUMBER(H8123),F8123&gt;=Inputs!$C$68),F8123*H8123*Inputs!$C$69,"")</f>
      </c>
    </row>
    <row r="8124" spans="2:10" ht="15" customHeight="1" x14ac:dyDescent="0.2">
      <c r="B8124" s="39">
        <f t="shared" si="62"/>
      </c>
      <c r="C8124" s="40">
        <f>IF(Inputs!$C$60,Inputs!$C$11+(B8124-Inputs!$C$69)/Inputs!$C$70,"")</f>
      </c>
      <c r="D8124" s="15"/>
      <c r="E8124" s="15"/>
      <c r="F8124" s="11">
        <f t="shared" si="63"/>
      </c>
      <c r="G8124" s="22" cm="1">
        <f t="array" ref="G8124">IF(AND(Inputs!$C$60,Inputs!$C$61),INDEX(Utility_Rates!$C$29:$F$52,HOUR(C8124)+Inputs!$C$69,MATCH(INDEX(Utility_Rates!$K$6:$K$17,MONTH(C8124))&amp;IF(WEEKDAY(C8124,Inputs!$C$76)&lt;=Inputs!$C$74," weekday"," weekend"),Utility_Rates!$C$28:$F$28,Inputs!$C$68)),"")</f>
      </c>
      <c r="H8124" s="34"/>
      <c r="I8124" s="42">
        <f>IF(AND(ISNUMBER(D8124),ISNUMBER(H8124)),D8124*H8124*Inputs!$C$69,"")</f>
      </c>
      <c r="J8124" s="42">
        <f>IF(AND(ISNUMBER(F8124),ISNUMBER(H8124),F8124&gt;=Inputs!$C$68),F8124*H8124*Inputs!$C$69,"")</f>
      </c>
    </row>
    <row r="8125" spans="2:10" ht="15" customHeight="1" x14ac:dyDescent="0.2">
      <c r="B8125" s="39">
        <f t="shared" si="62"/>
      </c>
      <c r="C8125" s="40">
        <f>IF(Inputs!$C$60,Inputs!$C$11+(B8125-Inputs!$C$69)/Inputs!$C$70,"")</f>
      </c>
      <c r="D8125" s="15"/>
      <c r="E8125" s="15"/>
      <c r="F8125" s="11">
        <f t="shared" si="63"/>
      </c>
      <c r="G8125" s="22" cm="1">
        <f t="array" ref="G8125">IF(AND(Inputs!$C$60,Inputs!$C$61),INDEX(Utility_Rates!$C$29:$F$52,HOUR(C8125)+Inputs!$C$69,MATCH(INDEX(Utility_Rates!$K$6:$K$17,MONTH(C8125))&amp;IF(WEEKDAY(C8125,Inputs!$C$76)&lt;=Inputs!$C$74," weekday"," weekend"),Utility_Rates!$C$28:$F$28,Inputs!$C$68)),"")</f>
      </c>
      <c r="H8125" s="34"/>
      <c r="I8125" s="42">
        <f>IF(AND(ISNUMBER(D8125),ISNUMBER(H8125)),D8125*H8125*Inputs!$C$69,"")</f>
      </c>
      <c r="J8125" s="42">
        <f>IF(AND(ISNUMBER(F8125),ISNUMBER(H8125),F8125&gt;=Inputs!$C$68),F8125*H8125*Inputs!$C$69,"")</f>
      </c>
    </row>
    <row r="8126" spans="2:10" ht="15" customHeight="1" x14ac:dyDescent="0.2">
      <c r="B8126" s="39">
        <f t="shared" si="62"/>
      </c>
      <c r="C8126" s="40">
        <f>IF(Inputs!$C$60,Inputs!$C$11+(B8126-Inputs!$C$69)/Inputs!$C$70,"")</f>
      </c>
      <c r="D8126" s="15"/>
      <c r="E8126" s="15"/>
      <c r="F8126" s="11">
        <f t="shared" si="63"/>
      </c>
      <c r="G8126" s="22" cm="1">
        <f t="array" ref="G8126">IF(AND(Inputs!$C$60,Inputs!$C$61),INDEX(Utility_Rates!$C$29:$F$52,HOUR(C8126)+Inputs!$C$69,MATCH(INDEX(Utility_Rates!$K$6:$K$17,MONTH(C8126))&amp;IF(WEEKDAY(C8126,Inputs!$C$76)&lt;=Inputs!$C$74," weekday"," weekend"),Utility_Rates!$C$28:$F$28,Inputs!$C$68)),"")</f>
      </c>
      <c r="H8126" s="34"/>
      <c r="I8126" s="42">
        <f>IF(AND(ISNUMBER(D8126),ISNUMBER(H8126)),D8126*H8126*Inputs!$C$69,"")</f>
      </c>
      <c r="J8126" s="42">
        <f>IF(AND(ISNUMBER(F8126),ISNUMBER(H8126),F8126&gt;=Inputs!$C$68),F8126*H8126*Inputs!$C$69,"")</f>
      </c>
    </row>
    <row r="8127" spans="2:10" ht="15" customHeight="1" x14ac:dyDescent="0.2">
      <c r="B8127" s="39">
        <f t="shared" si="62"/>
      </c>
      <c r="C8127" s="40">
        <f>IF(Inputs!$C$60,Inputs!$C$11+(B8127-Inputs!$C$69)/Inputs!$C$70,"")</f>
      </c>
      <c r="D8127" s="15"/>
      <c r="E8127" s="15"/>
      <c r="F8127" s="11">
        <f t="shared" si="63"/>
      </c>
      <c r="G8127" s="22" cm="1">
        <f t="array" ref="G8127">IF(AND(Inputs!$C$60,Inputs!$C$61),INDEX(Utility_Rates!$C$29:$F$52,HOUR(C8127)+Inputs!$C$69,MATCH(INDEX(Utility_Rates!$K$6:$K$17,MONTH(C8127))&amp;IF(WEEKDAY(C8127,Inputs!$C$76)&lt;=Inputs!$C$74," weekday"," weekend"),Utility_Rates!$C$28:$F$28,Inputs!$C$68)),"")</f>
      </c>
      <c r="H8127" s="34"/>
      <c r="I8127" s="42">
        <f>IF(AND(ISNUMBER(D8127),ISNUMBER(H8127)),D8127*H8127*Inputs!$C$69,"")</f>
      </c>
      <c r="J8127" s="42">
        <f>IF(AND(ISNUMBER(F8127),ISNUMBER(H8127),F8127&gt;=Inputs!$C$68),F8127*H8127*Inputs!$C$69,"")</f>
      </c>
    </row>
    <row r="8128" spans="2:10" ht="15" customHeight="1" x14ac:dyDescent="0.2">
      <c r="B8128" s="39">
        <f t="shared" si="62"/>
      </c>
      <c r="C8128" s="40">
        <f>IF(Inputs!$C$60,Inputs!$C$11+(B8128-Inputs!$C$69)/Inputs!$C$70,"")</f>
      </c>
      <c r="D8128" s="15"/>
      <c r="E8128" s="15"/>
      <c r="F8128" s="11">
        <f t="shared" si="63"/>
      </c>
      <c r="G8128" s="22" cm="1">
        <f t="array" ref="G8128">IF(AND(Inputs!$C$60,Inputs!$C$61),INDEX(Utility_Rates!$C$29:$F$52,HOUR(C8128)+Inputs!$C$69,MATCH(INDEX(Utility_Rates!$K$6:$K$17,MONTH(C8128))&amp;IF(WEEKDAY(C8128,Inputs!$C$76)&lt;=Inputs!$C$74," weekday"," weekend"),Utility_Rates!$C$28:$F$28,Inputs!$C$68)),"")</f>
      </c>
      <c r="H8128" s="34"/>
      <c r="I8128" s="42">
        <f>IF(AND(ISNUMBER(D8128),ISNUMBER(H8128)),D8128*H8128*Inputs!$C$69,"")</f>
      </c>
      <c r="J8128" s="42">
        <f>IF(AND(ISNUMBER(F8128),ISNUMBER(H8128),F8128&gt;=Inputs!$C$68),F8128*H8128*Inputs!$C$69,"")</f>
      </c>
    </row>
    <row r="8129" spans="2:10" ht="15" customHeight="1" x14ac:dyDescent="0.2">
      <c r="B8129" s="39">
        <f t="shared" si="62"/>
      </c>
      <c r="C8129" s="40">
        <f>IF(Inputs!$C$60,Inputs!$C$11+(B8129-Inputs!$C$69)/Inputs!$C$70,"")</f>
      </c>
      <c r="D8129" s="15"/>
      <c r="E8129" s="15"/>
      <c r="F8129" s="11">
        <f t="shared" si="63"/>
      </c>
      <c r="G8129" s="22" cm="1">
        <f t="array" ref="G8129">IF(AND(Inputs!$C$60,Inputs!$C$61),INDEX(Utility_Rates!$C$29:$F$52,HOUR(C8129)+Inputs!$C$69,MATCH(INDEX(Utility_Rates!$K$6:$K$17,MONTH(C8129))&amp;IF(WEEKDAY(C8129,Inputs!$C$76)&lt;=Inputs!$C$74," weekday"," weekend"),Utility_Rates!$C$28:$F$28,Inputs!$C$68)),"")</f>
      </c>
      <c r="H8129" s="34"/>
      <c r="I8129" s="42">
        <f>IF(AND(ISNUMBER(D8129),ISNUMBER(H8129)),D8129*H8129*Inputs!$C$69,"")</f>
      </c>
      <c r="J8129" s="42">
        <f>IF(AND(ISNUMBER(F8129),ISNUMBER(H8129),F8129&gt;=Inputs!$C$68),F8129*H8129*Inputs!$C$69,"")</f>
      </c>
    </row>
    <row r="8130" spans="2:10" ht="15" customHeight="1" x14ac:dyDescent="0.2">
      <c r="B8130" s="39">
        <f t="shared" si="62"/>
      </c>
      <c r="C8130" s="40">
        <f>IF(Inputs!$C$60,Inputs!$C$11+(B8130-Inputs!$C$69)/Inputs!$C$70,"")</f>
      </c>
      <c r="D8130" s="15"/>
      <c r="E8130" s="15"/>
      <c r="F8130" s="11">
        <f t="shared" si="63"/>
      </c>
      <c r="G8130" s="22" cm="1">
        <f t="array" ref="G8130">IF(AND(Inputs!$C$60,Inputs!$C$61),INDEX(Utility_Rates!$C$29:$F$52,HOUR(C8130)+Inputs!$C$69,MATCH(INDEX(Utility_Rates!$K$6:$K$17,MONTH(C8130))&amp;IF(WEEKDAY(C8130,Inputs!$C$76)&lt;=Inputs!$C$74," weekday"," weekend"),Utility_Rates!$C$28:$F$28,Inputs!$C$68)),"")</f>
      </c>
      <c r="H8130" s="34"/>
      <c r="I8130" s="42">
        <f>IF(AND(ISNUMBER(D8130),ISNUMBER(H8130)),D8130*H8130*Inputs!$C$69,"")</f>
      </c>
      <c r="J8130" s="42">
        <f>IF(AND(ISNUMBER(F8130),ISNUMBER(H8130),F8130&gt;=Inputs!$C$68),F8130*H8130*Inputs!$C$69,"")</f>
      </c>
    </row>
    <row r="8131" spans="2:10" ht="15" customHeight="1" x14ac:dyDescent="0.2">
      <c r="B8131" s="39">
        <f t="shared" si="62"/>
      </c>
      <c r="C8131" s="40">
        <f>IF(Inputs!$C$60,Inputs!$C$11+(B8131-Inputs!$C$69)/Inputs!$C$70,"")</f>
      </c>
      <c r="D8131" s="15"/>
      <c r="E8131" s="15"/>
      <c r="F8131" s="11">
        <f t="shared" si="63"/>
      </c>
      <c r="G8131" s="22" cm="1">
        <f t="array" ref="G8131">IF(AND(Inputs!$C$60,Inputs!$C$61),INDEX(Utility_Rates!$C$29:$F$52,HOUR(C8131)+Inputs!$C$69,MATCH(INDEX(Utility_Rates!$K$6:$K$17,MONTH(C8131))&amp;IF(WEEKDAY(C8131,Inputs!$C$76)&lt;=Inputs!$C$74," weekday"," weekend"),Utility_Rates!$C$28:$F$28,Inputs!$C$68)),"")</f>
      </c>
      <c r="H8131" s="34"/>
      <c r="I8131" s="42">
        <f>IF(AND(ISNUMBER(D8131),ISNUMBER(H8131)),D8131*H8131*Inputs!$C$69,"")</f>
      </c>
      <c r="J8131" s="42">
        <f>IF(AND(ISNUMBER(F8131),ISNUMBER(H8131),F8131&gt;=Inputs!$C$68),F8131*H8131*Inputs!$C$69,"")</f>
      </c>
    </row>
    <row r="8132" spans="2:10" ht="15" customHeight="1" x14ac:dyDescent="0.2">
      <c r="B8132" s="39">
        <f t="shared" si="62"/>
      </c>
      <c r="C8132" s="40">
        <f>IF(Inputs!$C$60,Inputs!$C$11+(B8132-Inputs!$C$69)/Inputs!$C$70,"")</f>
      </c>
      <c r="D8132" s="15"/>
      <c r="E8132" s="15"/>
      <c r="F8132" s="11">
        <f t="shared" si="63"/>
      </c>
      <c r="G8132" s="22" cm="1">
        <f t="array" ref="G8132">IF(AND(Inputs!$C$60,Inputs!$C$61),INDEX(Utility_Rates!$C$29:$F$52,HOUR(C8132)+Inputs!$C$69,MATCH(INDEX(Utility_Rates!$K$6:$K$17,MONTH(C8132))&amp;IF(WEEKDAY(C8132,Inputs!$C$76)&lt;=Inputs!$C$74," weekday"," weekend"),Utility_Rates!$C$28:$F$28,Inputs!$C$68)),"")</f>
      </c>
      <c r="H8132" s="34"/>
      <c r="I8132" s="42">
        <f>IF(AND(ISNUMBER(D8132),ISNUMBER(H8132)),D8132*H8132*Inputs!$C$69,"")</f>
      </c>
      <c r="J8132" s="42">
        <f>IF(AND(ISNUMBER(F8132),ISNUMBER(H8132),F8132&gt;=Inputs!$C$68),F8132*H8132*Inputs!$C$69,"")</f>
      </c>
    </row>
    <row r="8133" spans="2:10" ht="15" customHeight="1" x14ac:dyDescent="0.2">
      <c r="B8133" s="39">
        <f t="shared" si="62"/>
      </c>
      <c r="C8133" s="40">
        <f>IF(Inputs!$C$60,Inputs!$C$11+(B8133-Inputs!$C$69)/Inputs!$C$70,"")</f>
      </c>
      <c r="D8133" s="15"/>
      <c r="E8133" s="15"/>
      <c r="F8133" s="11">
        <f t="shared" si="63"/>
      </c>
      <c r="G8133" s="22" cm="1">
        <f t="array" ref="G8133">IF(AND(Inputs!$C$60,Inputs!$C$61),INDEX(Utility_Rates!$C$29:$F$52,HOUR(C8133)+Inputs!$C$69,MATCH(INDEX(Utility_Rates!$K$6:$K$17,MONTH(C8133))&amp;IF(WEEKDAY(C8133,Inputs!$C$76)&lt;=Inputs!$C$74," weekday"," weekend"),Utility_Rates!$C$28:$F$28,Inputs!$C$68)),"")</f>
      </c>
      <c r="H8133" s="34"/>
      <c r="I8133" s="42">
        <f>IF(AND(ISNUMBER(D8133),ISNUMBER(H8133)),D8133*H8133*Inputs!$C$69,"")</f>
      </c>
      <c r="J8133" s="42">
        <f>IF(AND(ISNUMBER(F8133),ISNUMBER(H8133),F8133&gt;=Inputs!$C$68),F8133*H8133*Inputs!$C$69,"")</f>
      </c>
    </row>
    <row r="8134" spans="2:10" ht="15" customHeight="1" x14ac:dyDescent="0.2">
      <c r="B8134" s="39">
        <f t="shared" si="62"/>
      </c>
      <c r="C8134" s="40">
        <f>IF(Inputs!$C$60,Inputs!$C$11+(B8134-Inputs!$C$69)/Inputs!$C$70,"")</f>
      </c>
      <c r="D8134" s="15"/>
      <c r="E8134" s="15"/>
      <c r="F8134" s="11">
        <f t="shared" si="63"/>
      </c>
      <c r="G8134" s="22" cm="1">
        <f t="array" ref="G8134">IF(AND(Inputs!$C$60,Inputs!$C$61),INDEX(Utility_Rates!$C$29:$F$52,HOUR(C8134)+Inputs!$C$69,MATCH(INDEX(Utility_Rates!$K$6:$K$17,MONTH(C8134))&amp;IF(WEEKDAY(C8134,Inputs!$C$76)&lt;=Inputs!$C$74," weekday"," weekend"),Utility_Rates!$C$28:$F$28,Inputs!$C$68)),"")</f>
      </c>
      <c r="H8134" s="34"/>
      <c r="I8134" s="42">
        <f>IF(AND(ISNUMBER(D8134),ISNUMBER(H8134)),D8134*H8134*Inputs!$C$69,"")</f>
      </c>
      <c r="J8134" s="42">
        <f>IF(AND(ISNUMBER(F8134),ISNUMBER(H8134),F8134&gt;=Inputs!$C$68),F8134*H8134*Inputs!$C$69,"")</f>
      </c>
    </row>
    <row r="8135" spans="2:10" ht="15" customHeight="1" x14ac:dyDescent="0.2">
      <c r="B8135" s="39">
        <f t="shared" si="62"/>
      </c>
      <c r="C8135" s="40">
        <f>IF(Inputs!$C$60,Inputs!$C$11+(B8135-Inputs!$C$69)/Inputs!$C$70,"")</f>
      </c>
      <c r="D8135" s="15"/>
      <c r="E8135" s="15"/>
      <c r="F8135" s="11">
        <f t="shared" si="63"/>
      </c>
      <c r="G8135" s="22" cm="1">
        <f t="array" ref="G8135">IF(AND(Inputs!$C$60,Inputs!$C$61),INDEX(Utility_Rates!$C$29:$F$52,HOUR(C8135)+Inputs!$C$69,MATCH(INDEX(Utility_Rates!$K$6:$K$17,MONTH(C8135))&amp;IF(WEEKDAY(C8135,Inputs!$C$76)&lt;=Inputs!$C$74," weekday"," weekend"),Utility_Rates!$C$28:$F$28,Inputs!$C$68)),"")</f>
      </c>
      <c r="H8135" s="34"/>
      <c r="I8135" s="42">
        <f>IF(AND(ISNUMBER(D8135),ISNUMBER(H8135)),D8135*H8135*Inputs!$C$69,"")</f>
      </c>
      <c r="J8135" s="42">
        <f>IF(AND(ISNUMBER(F8135),ISNUMBER(H8135),F8135&gt;=Inputs!$C$68),F8135*H8135*Inputs!$C$69,"")</f>
      </c>
    </row>
    <row r="8136" spans="2:10" ht="15" customHeight="1" x14ac:dyDescent="0.2">
      <c r="B8136" s="39">
        <f t="shared" si="62"/>
      </c>
      <c r="C8136" s="40">
        <f>IF(Inputs!$C$60,Inputs!$C$11+(B8136-Inputs!$C$69)/Inputs!$C$70,"")</f>
      </c>
      <c r="D8136" s="15"/>
      <c r="E8136" s="15"/>
      <c r="F8136" s="11">
        <f t="shared" si="63"/>
      </c>
      <c r="G8136" s="22" cm="1">
        <f t="array" ref="G8136">IF(AND(Inputs!$C$60,Inputs!$C$61),INDEX(Utility_Rates!$C$29:$F$52,HOUR(C8136)+Inputs!$C$69,MATCH(INDEX(Utility_Rates!$K$6:$K$17,MONTH(C8136))&amp;IF(WEEKDAY(C8136,Inputs!$C$76)&lt;=Inputs!$C$74," weekday"," weekend"),Utility_Rates!$C$28:$F$28,Inputs!$C$68)),"")</f>
      </c>
      <c r="H8136" s="34"/>
      <c r="I8136" s="42">
        <f>IF(AND(ISNUMBER(D8136),ISNUMBER(H8136)),D8136*H8136*Inputs!$C$69,"")</f>
      </c>
      <c r="J8136" s="42">
        <f>IF(AND(ISNUMBER(F8136),ISNUMBER(H8136),F8136&gt;=Inputs!$C$68),F8136*H8136*Inputs!$C$69,"")</f>
      </c>
    </row>
    <row r="8137" spans="2:10" ht="15" customHeight="1" x14ac:dyDescent="0.2">
      <c r="B8137" s="39">
        <f t="shared" si="62"/>
      </c>
      <c r="C8137" s="40">
        <f>IF(Inputs!$C$60,Inputs!$C$11+(B8137-Inputs!$C$69)/Inputs!$C$70,"")</f>
      </c>
      <c r="D8137" s="15"/>
      <c r="E8137" s="15"/>
      <c r="F8137" s="11">
        <f t="shared" si="63"/>
      </c>
      <c r="G8137" s="22" cm="1">
        <f t="array" ref="G8137">IF(AND(Inputs!$C$60,Inputs!$C$61),INDEX(Utility_Rates!$C$29:$F$52,HOUR(C8137)+Inputs!$C$69,MATCH(INDEX(Utility_Rates!$K$6:$K$17,MONTH(C8137))&amp;IF(WEEKDAY(C8137,Inputs!$C$76)&lt;=Inputs!$C$74," weekday"," weekend"),Utility_Rates!$C$28:$F$28,Inputs!$C$68)),"")</f>
      </c>
      <c r="H8137" s="34"/>
      <c r="I8137" s="42">
        <f>IF(AND(ISNUMBER(D8137),ISNUMBER(H8137)),D8137*H8137*Inputs!$C$69,"")</f>
      </c>
      <c r="J8137" s="42">
        <f>IF(AND(ISNUMBER(F8137),ISNUMBER(H8137),F8137&gt;=Inputs!$C$68),F8137*H8137*Inputs!$C$69,"")</f>
      </c>
    </row>
    <row r="8138" spans="2:10" ht="15" customHeight="1" x14ac:dyDescent="0.2">
      <c r="B8138" s="39">
        <f t="shared" si="62"/>
      </c>
      <c r="C8138" s="40">
        <f>IF(Inputs!$C$60,Inputs!$C$11+(B8138-Inputs!$C$69)/Inputs!$C$70,"")</f>
      </c>
      <c r="D8138" s="15"/>
      <c r="E8138" s="15"/>
      <c r="F8138" s="11">
        <f t="shared" si="63"/>
      </c>
      <c r="G8138" s="22" cm="1">
        <f t="array" ref="G8138">IF(AND(Inputs!$C$60,Inputs!$C$61),INDEX(Utility_Rates!$C$29:$F$52,HOUR(C8138)+Inputs!$C$69,MATCH(INDEX(Utility_Rates!$K$6:$K$17,MONTH(C8138))&amp;IF(WEEKDAY(C8138,Inputs!$C$76)&lt;=Inputs!$C$74," weekday"," weekend"),Utility_Rates!$C$28:$F$28,Inputs!$C$68)),"")</f>
      </c>
      <c r="H8138" s="34"/>
      <c r="I8138" s="42">
        <f>IF(AND(ISNUMBER(D8138),ISNUMBER(H8138)),D8138*H8138*Inputs!$C$69,"")</f>
      </c>
      <c r="J8138" s="42">
        <f>IF(AND(ISNUMBER(F8138),ISNUMBER(H8138),F8138&gt;=Inputs!$C$68),F8138*H8138*Inputs!$C$69,"")</f>
      </c>
    </row>
    <row r="8139" spans="2:10" ht="15" customHeight="1" x14ac:dyDescent="0.2">
      <c r="B8139" s="39">
        <f t="shared" si="62"/>
      </c>
      <c r="C8139" s="40">
        <f>IF(Inputs!$C$60,Inputs!$C$11+(B8139-Inputs!$C$69)/Inputs!$C$70,"")</f>
      </c>
      <c r="D8139" s="15"/>
      <c r="E8139" s="15"/>
      <c r="F8139" s="11">
        <f t="shared" si="63"/>
      </c>
      <c r="G8139" s="22" cm="1">
        <f t="array" ref="G8139">IF(AND(Inputs!$C$60,Inputs!$C$61),INDEX(Utility_Rates!$C$29:$F$52,HOUR(C8139)+Inputs!$C$69,MATCH(INDEX(Utility_Rates!$K$6:$K$17,MONTH(C8139))&amp;IF(WEEKDAY(C8139,Inputs!$C$76)&lt;=Inputs!$C$74," weekday"," weekend"),Utility_Rates!$C$28:$F$28,Inputs!$C$68)),"")</f>
      </c>
      <c r="H8139" s="34"/>
      <c r="I8139" s="42">
        <f>IF(AND(ISNUMBER(D8139),ISNUMBER(H8139)),D8139*H8139*Inputs!$C$69,"")</f>
      </c>
      <c r="J8139" s="42">
        <f>IF(AND(ISNUMBER(F8139),ISNUMBER(H8139),F8139&gt;=Inputs!$C$68),F8139*H8139*Inputs!$C$69,"")</f>
      </c>
    </row>
    <row r="8140" spans="2:10" ht="15" customHeight="1" x14ac:dyDescent="0.2">
      <c r="B8140" s="39">
        <f t="shared" si="62"/>
      </c>
      <c r="C8140" s="40">
        <f>IF(Inputs!$C$60,Inputs!$C$11+(B8140-Inputs!$C$69)/Inputs!$C$70,"")</f>
      </c>
      <c r="D8140" s="15"/>
      <c r="E8140" s="15"/>
      <c r="F8140" s="11">
        <f t="shared" si="63"/>
      </c>
      <c r="G8140" s="22" cm="1">
        <f t="array" ref="G8140">IF(AND(Inputs!$C$60,Inputs!$C$61),INDEX(Utility_Rates!$C$29:$F$52,HOUR(C8140)+Inputs!$C$69,MATCH(INDEX(Utility_Rates!$K$6:$K$17,MONTH(C8140))&amp;IF(WEEKDAY(C8140,Inputs!$C$76)&lt;=Inputs!$C$74," weekday"," weekend"),Utility_Rates!$C$28:$F$28,Inputs!$C$68)),"")</f>
      </c>
      <c r="H8140" s="34"/>
      <c r="I8140" s="42">
        <f>IF(AND(ISNUMBER(D8140),ISNUMBER(H8140)),D8140*H8140*Inputs!$C$69,"")</f>
      </c>
      <c r="J8140" s="42">
        <f>IF(AND(ISNUMBER(F8140),ISNUMBER(H8140),F8140&gt;=Inputs!$C$68),F8140*H8140*Inputs!$C$69,"")</f>
      </c>
    </row>
    <row r="8141" spans="2:10" ht="15" customHeight="1" x14ac:dyDescent="0.2">
      <c r="B8141" s="39">
        <f t="shared" si="62"/>
      </c>
      <c r="C8141" s="40">
        <f>IF(Inputs!$C$60,Inputs!$C$11+(B8141-Inputs!$C$69)/Inputs!$C$70,"")</f>
      </c>
      <c r="D8141" s="15"/>
      <c r="E8141" s="15"/>
      <c r="F8141" s="11">
        <f t="shared" si="63"/>
      </c>
      <c r="G8141" s="22" cm="1">
        <f t="array" ref="G8141">IF(AND(Inputs!$C$60,Inputs!$C$61),INDEX(Utility_Rates!$C$29:$F$52,HOUR(C8141)+Inputs!$C$69,MATCH(INDEX(Utility_Rates!$K$6:$K$17,MONTH(C8141))&amp;IF(WEEKDAY(C8141,Inputs!$C$76)&lt;=Inputs!$C$74," weekday"," weekend"),Utility_Rates!$C$28:$F$28,Inputs!$C$68)),"")</f>
      </c>
      <c r="H8141" s="34"/>
      <c r="I8141" s="42">
        <f>IF(AND(ISNUMBER(D8141),ISNUMBER(H8141)),D8141*H8141*Inputs!$C$69,"")</f>
      </c>
      <c r="J8141" s="42">
        <f>IF(AND(ISNUMBER(F8141),ISNUMBER(H8141),F8141&gt;=Inputs!$C$68),F8141*H8141*Inputs!$C$69,"")</f>
      </c>
    </row>
    <row r="8142" spans="2:10" ht="15" customHeight="1" x14ac:dyDescent="0.2">
      <c r="B8142" s="39">
        <f t="shared" si="62"/>
      </c>
      <c r="C8142" s="40">
        <f>IF(Inputs!$C$60,Inputs!$C$11+(B8142-Inputs!$C$69)/Inputs!$C$70,"")</f>
      </c>
      <c r="D8142" s="15"/>
      <c r="E8142" s="15"/>
      <c r="F8142" s="11">
        <f t="shared" si="63"/>
      </c>
      <c r="G8142" s="22" cm="1">
        <f t="array" ref="G8142">IF(AND(Inputs!$C$60,Inputs!$C$61),INDEX(Utility_Rates!$C$29:$F$52,HOUR(C8142)+Inputs!$C$69,MATCH(INDEX(Utility_Rates!$K$6:$K$17,MONTH(C8142))&amp;IF(WEEKDAY(C8142,Inputs!$C$76)&lt;=Inputs!$C$74," weekday"," weekend"),Utility_Rates!$C$28:$F$28,Inputs!$C$68)),"")</f>
      </c>
      <c r="H8142" s="34"/>
      <c r="I8142" s="42">
        <f>IF(AND(ISNUMBER(D8142),ISNUMBER(H8142)),D8142*H8142*Inputs!$C$69,"")</f>
      </c>
      <c r="J8142" s="42">
        <f>IF(AND(ISNUMBER(F8142),ISNUMBER(H8142),F8142&gt;=Inputs!$C$68),F8142*H8142*Inputs!$C$69,"")</f>
      </c>
    </row>
    <row r="8143" spans="2:10" ht="15" customHeight="1" x14ac:dyDescent="0.2">
      <c r="B8143" s="39">
        <f t="shared" si="62"/>
      </c>
      <c r="C8143" s="40">
        <f>IF(Inputs!$C$60,Inputs!$C$11+(B8143-Inputs!$C$69)/Inputs!$C$70,"")</f>
      </c>
      <c r="D8143" s="15"/>
      <c r="E8143" s="15"/>
      <c r="F8143" s="11">
        <f t="shared" si="63"/>
      </c>
      <c r="G8143" s="22" cm="1">
        <f t="array" ref="G8143">IF(AND(Inputs!$C$60,Inputs!$C$61),INDEX(Utility_Rates!$C$29:$F$52,HOUR(C8143)+Inputs!$C$69,MATCH(INDEX(Utility_Rates!$K$6:$K$17,MONTH(C8143))&amp;IF(WEEKDAY(C8143,Inputs!$C$76)&lt;=Inputs!$C$74," weekday"," weekend"),Utility_Rates!$C$28:$F$28,Inputs!$C$68)),"")</f>
      </c>
      <c r="H8143" s="34"/>
      <c r="I8143" s="42">
        <f>IF(AND(ISNUMBER(D8143),ISNUMBER(H8143)),D8143*H8143*Inputs!$C$69,"")</f>
      </c>
      <c r="J8143" s="42">
        <f>IF(AND(ISNUMBER(F8143),ISNUMBER(H8143),F8143&gt;=Inputs!$C$68),F8143*H8143*Inputs!$C$69,"")</f>
      </c>
    </row>
    <row r="8144" spans="2:10" ht="15" customHeight="1" x14ac:dyDescent="0.2">
      <c r="B8144" s="39">
        <f t="shared" si="62"/>
      </c>
      <c r="C8144" s="40">
        <f>IF(Inputs!$C$60,Inputs!$C$11+(B8144-Inputs!$C$69)/Inputs!$C$70,"")</f>
      </c>
      <c r="D8144" s="15"/>
      <c r="E8144" s="15"/>
      <c r="F8144" s="11">
        <f t="shared" si="63"/>
      </c>
      <c r="G8144" s="22" cm="1">
        <f t="array" ref="G8144">IF(AND(Inputs!$C$60,Inputs!$C$61),INDEX(Utility_Rates!$C$29:$F$52,HOUR(C8144)+Inputs!$C$69,MATCH(INDEX(Utility_Rates!$K$6:$K$17,MONTH(C8144))&amp;IF(WEEKDAY(C8144,Inputs!$C$76)&lt;=Inputs!$C$74," weekday"," weekend"),Utility_Rates!$C$28:$F$28,Inputs!$C$68)),"")</f>
      </c>
      <c r="H8144" s="34"/>
      <c r="I8144" s="42">
        <f>IF(AND(ISNUMBER(D8144),ISNUMBER(H8144)),D8144*H8144*Inputs!$C$69,"")</f>
      </c>
      <c r="J8144" s="42">
        <f>IF(AND(ISNUMBER(F8144),ISNUMBER(H8144),F8144&gt;=Inputs!$C$68),F8144*H8144*Inputs!$C$69,"")</f>
      </c>
    </row>
    <row r="8145" spans="2:10" ht="15" customHeight="1" x14ac:dyDescent="0.2">
      <c r="B8145" s="39">
        <f t="shared" si="62"/>
      </c>
      <c r="C8145" s="40">
        <f>IF(Inputs!$C$60,Inputs!$C$11+(B8145-Inputs!$C$69)/Inputs!$C$70,"")</f>
      </c>
      <c r="D8145" s="15"/>
      <c r="E8145" s="15"/>
      <c r="F8145" s="11">
        <f t="shared" si="63"/>
      </c>
      <c r="G8145" s="22" cm="1">
        <f t="array" ref="G8145">IF(AND(Inputs!$C$60,Inputs!$C$61),INDEX(Utility_Rates!$C$29:$F$52,HOUR(C8145)+Inputs!$C$69,MATCH(INDEX(Utility_Rates!$K$6:$K$17,MONTH(C8145))&amp;IF(WEEKDAY(C8145,Inputs!$C$76)&lt;=Inputs!$C$74," weekday"," weekend"),Utility_Rates!$C$28:$F$28,Inputs!$C$68)),"")</f>
      </c>
      <c r="H8145" s="34"/>
      <c r="I8145" s="42">
        <f>IF(AND(ISNUMBER(D8145),ISNUMBER(H8145)),D8145*H8145*Inputs!$C$69,"")</f>
      </c>
      <c r="J8145" s="42">
        <f>IF(AND(ISNUMBER(F8145),ISNUMBER(H8145),F8145&gt;=Inputs!$C$68),F8145*H8145*Inputs!$C$69,"")</f>
      </c>
    </row>
    <row r="8146" spans="2:10" ht="15" customHeight="1" x14ac:dyDescent="0.2">
      <c r="B8146" s="39">
        <f t="shared" si="62"/>
      </c>
      <c r="C8146" s="40">
        <f>IF(Inputs!$C$60,Inputs!$C$11+(B8146-Inputs!$C$69)/Inputs!$C$70,"")</f>
      </c>
      <c r="D8146" s="15"/>
      <c r="E8146" s="15"/>
      <c r="F8146" s="11">
        <f t="shared" si="63"/>
      </c>
      <c r="G8146" s="22" cm="1">
        <f t="array" ref="G8146">IF(AND(Inputs!$C$60,Inputs!$C$61),INDEX(Utility_Rates!$C$29:$F$52,HOUR(C8146)+Inputs!$C$69,MATCH(INDEX(Utility_Rates!$K$6:$K$17,MONTH(C8146))&amp;IF(WEEKDAY(C8146,Inputs!$C$76)&lt;=Inputs!$C$74," weekday"," weekend"),Utility_Rates!$C$28:$F$28,Inputs!$C$68)),"")</f>
      </c>
      <c r="H8146" s="34"/>
      <c r="I8146" s="42">
        <f>IF(AND(ISNUMBER(D8146),ISNUMBER(H8146)),D8146*H8146*Inputs!$C$69,"")</f>
      </c>
      <c r="J8146" s="42">
        <f>IF(AND(ISNUMBER(F8146),ISNUMBER(H8146),F8146&gt;=Inputs!$C$68),F8146*H8146*Inputs!$C$69,"")</f>
      </c>
    </row>
    <row r="8147" spans="2:10" ht="15" customHeight="1" x14ac:dyDescent="0.2">
      <c r="B8147" s="39">
        <f t="shared" si="62"/>
      </c>
      <c r="C8147" s="40">
        <f>IF(Inputs!$C$60,Inputs!$C$11+(B8147-Inputs!$C$69)/Inputs!$C$70,"")</f>
      </c>
      <c r="D8147" s="15"/>
      <c r="E8147" s="15"/>
      <c r="F8147" s="11">
        <f t="shared" si="63"/>
      </c>
      <c r="G8147" s="22" cm="1">
        <f t="array" ref="G8147">IF(AND(Inputs!$C$60,Inputs!$C$61),INDEX(Utility_Rates!$C$29:$F$52,HOUR(C8147)+Inputs!$C$69,MATCH(INDEX(Utility_Rates!$K$6:$K$17,MONTH(C8147))&amp;IF(WEEKDAY(C8147,Inputs!$C$76)&lt;=Inputs!$C$74," weekday"," weekend"),Utility_Rates!$C$28:$F$28,Inputs!$C$68)),"")</f>
      </c>
      <c r="H8147" s="34"/>
      <c r="I8147" s="42">
        <f>IF(AND(ISNUMBER(D8147),ISNUMBER(H8147)),D8147*H8147*Inputs!$C$69,"")</f>
      </c>
      <c r="J8147" s="42">
        <f>IF(AND(ISNUMBER(F8147),ISNUMBER(H8147),F8147&gt;=Inputs!$C$68),F8147*H8147*Inputs!$C$69,"")</f>
      </c>
    </row>
    <row r="8148" spans="2:10" ht="15" customHeight="1" x14ac:dyDescent="0.2">
      <c r="B8148" s="39">
        <f t="shared" si="62"/>
      </c>
      <c r="C8148" s="40">
        <f>IF(Inputs!$C$60,Inputs!$C$11+(B8148-Inputs!$C$69)/Inputs!$C$70,"")</f>
      </c>
      <c r="D8148" s="15"/>
      <c r="E8148" s="15"/>
      <c r="F8148" s="11">
        <f t="shared" si="63"/>
      </c>
      <c r="G8148" s="22" cm="1">
        <f t="array" ref="G8148">IF(AND(Inputs!$C$60,Inputs!$C$61),INDEX(Utility_Rates!$C$29:$F$52,HOUR(C8148)+Inputs!$C$69,MATCH(INDEX(Utility_Rates!$K$6:$K$17,MONTH(C8148))&amp;IF(WEEKDAY(C8148,Inputs!$C$76)&lt;=Inputs!$C$74," weekday"," weekend"),Utility_Rates!$C$28:$F$28,Inputs!$C$68)),"")</f>
      </c>
      <c r="H8148" s="34"/>
      <c r="I8148" s="42">
        <f>IF(AND(ISNUMBER(D8148),ISNUMBER(H8148)),D8148*H8148*Inputs!$C$69,"")</f>
      </c>
      <c r="J8148" s="42">
        <f>IF(AND(ISNUMBER(F8148),ISNUMBER(H8148),F8148&gt;=Inputs!$C$68),F8148*H8148*Inputs!$C$69,"")</f>
      </c>
    </row>
    <row r="8149" spans="2:10" ht="15" customHeight="1" x14ac:dyDescent="0.2">
      <c r="B8149" s="39">
        <f t="shared" si="62"/>
      </c>
      <c r="C8149" s="40">
        <f>IF(Inputs!$C$60,Inputs!$C$11+(B8149-Inputs!$C$69)/Inputs!$C$70,"")</f>
      </c>
      <c r="D8149" s="15"/>
      <c r="E8149" s="15"/>
      <c r="F8149" s="11">
        <f t="shared" si="63"/>
      </c>
      <c r="G8149" s="22" cm="1">
        <f t="array" ref="G8149">IF(AND(Inputs!$C$60,Inputs!$C$61),INDEX(Utility_Rates!$C$29:$F$52,HOUR(C8149)+Inputs!$C$69,MATCH(INDEX(Utility_Rates!$K$6:$K$17,MONTH(C8149))&amp;IF(WEEKDAY(C8149,Inputs!$C$76)&lt;=Inputs!$C$74," weekday"," weekend"),Utility_Rates!$C$28:$F$28,Inputs!$C$68)),"")</f>
      </c>
      <c r="H8149" s="34"/>
      <c r="I8149" s="42">
        <f>IF(AND(ISNUMBER(D8149),ISNUMBER(H8149)),D8149*H8149*Inputs!$C$69,"")</f>
      </c>
      <c r="J8149" s="42">
        <f>IF(AND(ISNUMBER(F8149),ISNUMBER(H8149),F8149&gt;=Inputs!$C$68),F8149*H8149*Inputs!$C$69,"")</f>
      </c>
    </row>
    <row r="8150" spans="2:10" ht="15" customHeight="1" x14ac:dyDescent="0.2">
      <c r="B8150" s="39">
        <f t="shared" si="62"/>
      </c>
      <c r="C8150" s="40">
        <f>IF(Inputs!$C$60,Inputs!$C$11+(B8150-Inputs!$C$69)/Inputs!$C$70,"")</f>
      </c>
      <c r="D8150" s="15"/>
      <c r="E8150" s="15"/>
      <c r="F8150" s="11">
        <f t="shared" si="63"/>
      </c>
      <c r="G8150" s="22" cm="1">
        <f t="array" ref="G8150">IF(AND(Inputs!$C$60,Inputs!$C$61),INDEX(Utility_Rates!$C$29:$F$52,HOUR(C8150)+Inputs!$C$69,MATCH(INDEX(Utility_Rates!$K$6:$K$17,MONTH(C8150))&amp;IF(WEEKDAY(C8150,Inputs!$C$76)&lt;=Inputs!$C$74," weekday"," weekend"),Utility_Rates!$C$28:$F$28,Inputs!$C$68)),"")</f>
      </c>
      <c r="H8150" s="34"/>
      <c r="I8150" s="42">
        <f>IF(AND(ISNUMBER(D8150),ISNUMBER(H8150)),D8150*H8150*Inputs!$C$69,"")</f>
      </c>
      <c r="J8150" s="42">
        <f>IF(AND(ISNUMBER(F8150),ISNUMBER(H8150),F8150&gt;=Inputs!$C$68),F8150*H8150*Inputs!$C$69,"")</f>
      </c>
    </row>
    <row r="8151" spans="2:10" ht="15" customHeight="1" x14ac:dyDescent="0.2">
      <c r="B8151" s="39">
        <f t="shared" si="62"/>
      </c>
      <c r="C8151" s="40">
        <f>IF(Inputs!$C$60,Inputs!$C$11+(B8151-Inputs!$C$69)/Inputs!$C$70,"")</f>
      </c>
      <c r="D8151" s="15"/>
      <c r="E8151" s="15"/>
      <c r="F8151" s="11">
        <f t="shared" si="63"/>
      </c>
      <c r="G8151" s="22" cm="1">
        <f t="array" ref="G8151">IF(AND(Inputs!$C$60,Inputs!$C$61),INDEX(Utility_Rates!$C$29:$F$52,HOUR(C8151)+Inputs!$C$69,MATCH(INDEX(Utility_Rates!$K$6:$K$17,MONTH(C8151))&amp;IF(WEEKDAY(C8151,Inputs!$C$76)&lt;=Inputs!$C$74," weekday"," weekend"),Utility_Rates!$C$28:$F$28,Inputs!$C$68)),"")</f>
      </c>
      <c r="H8151" s="34"/>
      <c r="I8151" s="42">
        <f>IF(AND(ISNUMBER(D8151),ISNUMBER(H8151)),D8151*H8151*Inputs!$C$69,"")</f>
      </c>
      <c r="J8151" s="42">
        <f>IF(AND(ISNUMBER(F8151),ISNUMBER(H8151),F8151&gt;=Inputs!$C$68),F8151*H8151*Inputs!$C$69,"")</f>
      </c>
    </row>
    <row r="8152" spans="2:10" ht="15" customHeight="1" x14ac:dyDescent="0.2">
      <c r="B8152" s="39">
        <f t="shared" si="62"/>
      </c>
      <c r="C8152" s="40">
        <f>IF(Inputs!$C$60,Inputs!$C$11+(B8152-Inputs!$C$69)/Inputs!$C$70,"")</f>
      </c>
      <c r="D8152" s="15"/>
      <c r="E8152" s="15"/>
      <c r="F8152" s="11">
        <f t="shared" si="63"/>
      </c>
      <c r="G8152" s="22" cm="1">
        <f t="array" ref="G8152">IF(AND(Inputs!$C$60,Inputs!$C$61),INDEX(Utility_Rates!$C$29:$F$52,HOUR(C8152)+Inputs!$C$69,MATCH(INDEX(Utility_Rates!$K$6:$K$17,MONTH(C8152))&amp;IF(WEEKDAY(C8152,Inputs!$C$76)&lt;=Inputs!$C$74," weekday"," weekend"),Utility_Rates!$C$28:$F$28,Inputs!$C$68)),"")</f>
      </c>
      <c r="H8152" s="34"/>
      <c r="I8152" s="42">
        <f>IF(AND(ISNUMBER(D8152),ISNUMBER(H8152)),D8152*H8152*Inputs!$C$69,"")</f>
      </c>
      <c r="J8152" s="42">
        <f>IF(AND(ISNUMBER(F8152),ISNUMBER(H8152),F8152&gt;=Inputs!$C$68),F8152*H8152*Inputs!$C$69,"")</f>
      </c>
    </row>
    <row r="8153" spans="2:10" ht="15" customHeight="1" x14ac:dyDescent="0.2">
      <c r="B8153" s="39">
        <f t="shared" si="62"/>
      </c>
      <c r="C8153" s="40">
        <f>IF(Inputs!$C$60,Inputs!$C$11+(B8153-Inputs!$C$69)/Inputs!$C$70,"")</f>
      </c>
      <c r="D8153" s="15"/>
      <c r="E8153" s="15"/>
      <c r="F8153" s="11">
        <f t="shared" si="63"/>
      </c>
      <c r="G8153" s="22" cm="1">
        <f t="array" ref="G8153">IF(AND(Inputs!$C$60,Inputs!$C$61),INDEX(Utility_Rates!$C$29:$F$52,HOUR(C8153)+Inputs!$C$69,MATCH(INDEX(Utility_Rates!$K$6:$K$17,MONTH(C8153))&amp;IF(WEEKDAY(C8153,Inputs!$C$76)&lt;=Inputs!$C$74," weekday"," weekend"),Utility_Rates!$C$28:$F$28,Inputs!$C$68)),"")</f>
      </c>
      <c r="H8153" s="34"/>
      <c r="I8153" s="42">
        <f>IF(AND(ISNUMBER(D8153),ISNUMBER(H8153)),D8153*H8153*Inputs!$C$69,"")</f>
      </c>
      <c r="J8153" s="42">
        <f>IF(AND(ISNUMBER(F8153),ISNUMBER(H8153),F8153&gt;=Inputs!$C$68),F8153*H8153*Inputs!$C$69,"")</f>
      </c>
    </row>
    <row r="8154" spans="2:10" ht="15" customHeight="1" x14ac:dyDescent="0.2">
      <c r="B8154" s="39">
        <f t="shared" si="62"/>
      </c>
      <c r="C8154" s="40">
        <f>IF(Inputs!$C$60,Inputs!$C$11+(B8154-Inputs!$C$69)/Inputs!$C$70,"")</f>
      </c>
      <c r="D8154" s="15"/>
      <c r="E8154" s="15"/>
      <c r="F8154" s="11">
        <f t="shared" si="63"/>
      </c>
      <c r="G8154" s="22" cm="1">
        <f t="array" ref="G8154">IF(AND(Inputs!$C$60,Inputs!$C$61),INDEX(Utility_Rates!$C$29:$F$52,HOUR(C8154)+Inputs!$C$69,MATCH(INDEX(Utility_Rates!$K$6:$K$17,MONTH(C8154))&amp;IF(WEEKDAY(C8154,Inputs!$C$76)&lt;=Inputs!$C$74," weekday"," weekend"),Utility_Rates!$C$28:$F$28,Inputs!$C$68)),"")</f>
      </c>
      <c r="H8154" s="34"/>
      <c r="I8154" s="42">
        <f>IF(AND(ISNUMBER(D8154),ISNUMBER(H8154)),D8154*H8154*Inputs!$C$69,"")</f>
      </c>
      <c r="J8154" s="42">
        <f>IF(AND(ISNUMBER(F8154),ISNUMBER(H8154),F8154&gt;=Inputs!$C$68),F8154*H8154*Inputs!$C$69,"")</f>
      </c>
    </row>
    <row r="8155" spans="2:10" ht="15" customHeight="1" x14ac:dyDescent="0.2">
      <c r="B8155" s="39">
        <f t="shared" si="62"/>
      </c>
      <c r="C8155" s="40">
        <f>IF(Inputs!$C$60,Inputs!$C$11+(B8155-Inputs!$C$69)/Inputs!$C$70,"")</f>
      </c>
      <c r="D8155" s="15"/>
      <c r="E8155" s="15"/>
      <c r="F8155" s="11">
        <f t="shared" si="63"/>
      </c>
      <c r="G8155" s="22" cm="1">
        <f t="array" ref="G8155">IF(AND(Inputs!$C$60,Inputs!$C$61),INDEX(Utility_Rates!$C$29:$F$52,HOUR(C8155)+Inputs!$C$69,MATCH(INDEX(Utility_Rates!$K$6:$K$17,MONTH(C8155))&amp;IF(WEEKDAY(C8155,Inputs!$C$76)&lt;=Inputs!$C$74," weekday"," weekend"),Utility_Rates!$C$28:$F$28,Inputs!$C$68)),"")</f>
      </c>
      <c r="H8155" s="34"/>
      <c r="I8155" s="42">
        <f>IF(AND(ISNUMBER(D8155),ISNUMBER(H8155)),D8155*H8155*Inputs!$C$69,"")</f>
      </c>
      <c r="J8155" s="42">
        <f>IF(AND(ISNUMBER(F8155),ISNUMBER(H8155),F8155&gt;=Inputs!$C$68),F8155*H8155*Inputs!$C$69,"")</f>
      </c>
    </row>
    <row r="8156" spans="2:10" ht="15" customHeight="1" x14ac:dyDescent="0.2">
      <c r="B8156" s="39">
        <f t="shared" si="62"/>
      </c>
      <c r="C8156" s="40">
        <f>IF(Inputs!$C$60,Inputs!$C$11+(B8156-Inputs!$C$69)/Inputs!$C$70,"")</f>
      </c>
      <c r="D8156" s="15"/>
      <c r="E8156" s="15"/>
      <c r="F8156" s="11">
        <f t="shared" si="63"/>
      </c>
      <c r="G8156" s="22" cm="1">
        <f t="array" ref="G8156">IF(AND(Inputs!$C$60,Inputs!$C$61),INDEX(Utility_Rates!$C$29:$F$52,HOUR(C8156)+Inputs!$C$69,MATCH(INDEX(Utility_Rates!$K$6:$K$17,MONTH(C8156))&amp;IF(WEEKDAY(C8156,Inputs!$C$76)&lt;=Inputs!$C$74," weekday"," weekend"),Utility_Rates!$C$28:$F$28,Inputs!$C$68)),"")</f>
      </c>
      <c r="H8156" s="34"/>
      <c r="I8156" s="42">
        <f>IF(AND(ISNUMBER(D8156),ISNUMBER(H8156)),D8156*H8156*Inputs!$C$69,"")</f>
      </c>
      <c r="J8156" s="42">
        <f>IF(AND(ISNUMBER(F8156),ISNUMBER(H8156),F8156&gt;=Inputs!$C$68),F8156*H8156*Inputs!$C$69,"")</f>
      </c>
    </row>
    <row r="8157" spans="2:10" ht="15" customHeight="1" x14ac:dyDescent="0.2">
      <c r="B8157" s="39">
        <f t="shared" si="62"/>
      </c>
      <c r="C8157" s="40">
        <f>IF(Inputs!$C$60,Inputs!$C$11+(B8157-Inputs!$C$69)/Inputs!$C$70,"")</f>
      </c>
      <c r="D8157" s="15"/>
      <c r="E8157" s="15"/>
      <c r="F8157" s="11">
        <f t="shared" si="63"/>
      </c>
      <c r="G8157" s="22" cm="1">
        <f t="array" ref="G8157">IF(AND(Inputs!$C$60,Inputs!$C$61),INDEX(Utility_Rates!$C$29:$F$52,HOUR(C8157)+Inputs!$C$69,MATCH(INDEX(Utility_Rates!$K$6:$K$17,MONTH(C8157))&amp;IF(WEEKDAY(C8157,Inputs!$C$76)&lt;=Inputs!$C$74," weekday"," weekend"),Utility_Rates!$C$28:$F$28,Inputs!$C$68)),"")</f>
      </c>
      <c r="H8157" s="34"/>
      <c r="I8157" s="42">
        <f>IF(AND(ISNUMBER(D8157),ISNUMBER(H8157)),D8157*H8157*Inputs!$C$69,"")</f>
      </c>
      <c r="J8157" s="42">
        <f>IF(AND(ISNUMBER(F8157),ISNUMBER(H8157),F8157&gt;=Inputs!$C$68),F8157*H8157*Inputs!$C$69,"")</f>
      </c>
    </row>
    <row r="8158" spans="2:10" ht="15" customHeight="1" x14ac:dyDescent="0.2">
      <c r="B8158" s="39">
        <f t="shared" si="62"/>
      </c>
      <c r="C8158" s="40">
        <f>IF(Inputs!$C$60,Inputs!$C$11+(B8158-Inputs!$C$69)/Inputs!$C$70,"")</f>
      </c>
      <c r="D8158" s="15"/>
      <c r="E8158" s="15"/>
      <c r="F8158" s="11">
        <f t="shared" si="63"/>
      </c>
      <c r="G8158" s="22" cm="1">
        <f t="array" ref="G8158">IF(AND(Inputs!$C$60,Inputs!$C$61),INDEX(Utility_Rates!$C$29:$F$52,HOUR(C8158)+Inputs!$C$69,MATCH(INDEX(Utility_Rates!$K$6:$K$17,MONTH(C8158))&amp;IF(WEEKDAY(C8158,Inputs!$C$76)&lt;=Inputs!$C$74," weekday"," weekend"),Utility_Rates!$C$28:$F$28,Inputs!$C$68)),"")</f>
      </c>
      <c r="H8158" s="34"/>
      <c r="I8158" s="42">
        <f>IF(AND(ISNUMBER(D8158),ISNUMBER(H8158)),D8158*H8158*Inputs!$C$69,"")</f>
      </c>
      <c r="J8158" s="42">
        <f>IF(AND(ISNUMBER(F8158),ISNUMBER(H8158),F8158&gt;=Inputs!$C$68),F8158*H8158*Inputs!$C$69,"")</f>
      </c>
    </row>
    <row r="8159" spans="2:10" ht="15" customHeight="1" x14ac:dyDescent="0.2">
      <c r="B8159" s="39">
        <f t="shared" si="62"/>
      </c>
      <c r="C8159" s="40">
        <f>IF(Inputs!$C$60,Inputs!$C$11+(B8159-Inputs!$C$69)/Inputs!$C$70,"")</f>
      </c>
      <c r="D8159" s="15"/>
      <c r="E8159" s="15"/>
      <c r="F8159" s="11">
        <f t="shared" si="63"/>
      </c>
      <c r="G8159" s="22" cm="1">
        <f t="array" ref="G8159">IF(AND(Inputs!$C$60,Inputs!$C$61),INDEX(Utility_Rates!$C$29:$F$52,HOUR(C8159)+Inputs!$C$69,MATCH(INDEX(Utility_Rates!$K$6:$K$17,MONTH(C8159))&amp;IF(WEEKDAY(C8159,Inputs!$C$76)&lt;=Inputs!$C$74," weekday"," weekend"),Utility_Rates!$C$28:$F$28,Inputs!$C$68)),"")</f>
      </c>
      <c r="H8159" s="34"/>
      <c r="I8159" s="42">
        <f>IF(AND(ISNUMBER(D8159),ISNUMBER(H8159)),D8159*H8159*Inputs!$C$69,"")</f>
      </c>
      <c r="J8159" s="42">
        <f>IF(AND(ISNUMBER(F8159),ISNUMBER(H8159),F8159&gt;=Inputs!$C$68),F8159*H8159*Inputs!$C$69,"")</f>
      </c>
    </row>
    <row r="8160" spans="2:10" ht="15" customHeight="1" x14ac:dyDescent="0.2">
      <c r="B8160" s="39">
        <f t="shared" si="62"/>
      </c>
      <c r="C8160" s="40">
        <f>IF(Inputs!$C$60,Inputs!$C$11+(B8160-Inputs!$C$69)/Inputs!$C$70,"")</f>
      </c>
      <c r="D8160" s="15"/>
      <c r="E8160" s="15"/>
      <c r="F8160" s="11">
        <f t="shared" si="63"/>
      </c>
      <c r="G8160" s="22" cm="1">
        <f t="array" ref="G8160">IF(AND(Inputs!$C$60,Inputs!$C$61),INDEX(Utility_Rates!$C$29:$F$52,HOUR(C8160)+Inputs!$C$69,MATCH(INDEX(Utility_Rates!$K$6:$K$17,MONTH(C8160))&amp;IF(WEEKDAY(C8160,Inputs!$C$76)&lt;=Inputs!$C$74," weekday"," weekend"),Utility_Rates!$C$28:$F$28,Inputs!$C$68)),"")</f>
      </c>
      <c r="H8160" s="34"/>
      <c r="I8160" s="42">
        <f>IF(AND(ISNUMBER(D8160),ISNUMBER(H8160)),D8160*H8160*Inputs!$C$69,"")</f>
      </c>
      <c r="J8160" s="42">
        <f>IF(AND(ISNUMBER(F8160),ISNUMBER(H8160),F8160&gt;=Inputs!$C$68),F8160*H8160*Inputs!$C$69,"")</f>
      </c>
    </row>
    <row r="8161" spans="2:10" ht="15" customHeight="1" x14ac:dyDescent="0.2">
      <c r="B8161" s="39">
        <f t="shared" si="62"/>
      </c>
      <c r="C8161" s="40">
        <f>IF(Inputs!$C$60,Inputs!$C$11+(B8161-Inputs!$C$69)/Inputs!$C$70,"")</f>
      </c>
      <c r="D8161" s="15"/>
      <c r="E8161" s="15"/>
      <c r="F8161" s="11">
        <f t="shared" si="63"/>
      </c>
      <c r="G8161" s="22" cm="1">
        <f t="array" ref="G8161">IF(AND(Inputs!$C$60,Inputs!$C$61),INDEX(Utility_Rates!$C$29:$F$52,HOUR(C8161)+Inputs!$C$69,MATCH(INDEX(Utility_Rates!$K$6:$K$17,MONTH(C8161))&amp;IF(WEEKDAY(C8161,Inputs!$C$76)&lt;=Inputs!$C$74," weekday"," weekend"),Utility_Rates!$C$28:$F$28,Inputs!$C$68)),"")</f>
      </c>
      <c r="H8161" s="34"/>
      <c r="I8161" s="42">
        <f>IF(AND(ISNUMBER(D8161),ISNUMBER(H8161)),D8161*H8161*Inputs!$C$69,"")</f>
      </c>
      <c r="J8161" s="42">
        <f>IF(AND(ISNUMBER(F8161),ISNUMBER(H8161),F8161&gt;=Inputs!$C$68),F8161*H8161*Inputs!$C$69,"")</f>
      </c>
    </row>
    <row r="8162" spans="2:10" ht="15" customHeight="1" x14ac:dyDescent="0.2">
      <c r="B8162" s="39">
        <f t="shared" si="62"/>
      </c>
      <c r="C8162" s="40">
        <f>IF(Inputs!$C$60,Inputs!$C$11+(B8162-Inputs!$C$69)/Inputs!$C$70,"")</f>
      </c>
      <c r="D8162" s="15"/>
      <c r="E8162" s="15"/>
      <c r="F8162" s="11">
        <f t="shared" si="63"/>
      </c>
      <c r="G8162" s="22" cm="1">
        <f t="array" ref="G8162">IF(AND(Inputs!$C$60,Inputs!$C$61),INDEX(Utility_Rates!$C$29:$F$52,HOUR(C8162)+Inputs!$C$69,MATCH(INDEX(Utility_Rates!$K$6:$K$17,MONTH(C8162))&amp;IF(WEEKDAY(C8162,Inputs!$C$76)&lt;=Inputs!$C$74," weekday"," weekend"),Utility_Rates!$C$28:$F$28,Inputs!$C$68)),"")</f>
      </c>
      <c r="H8162" s="34"/>
      <c r="I8162" s="42">
        <f>IF(AND(ISNUMBER(D8162),ISNUMBER(H8162)),D8162*H8162*Inputs!$C$69,"")</f>
      </c>
      <c r="J8162" s="42">
        <f>IF(AND(ISNUMBER(F8162),ISNUMBER(H8162),F8162&gt;=Inputs!$C$68),F8162*H8162*Inputs!$C$69,"")</f>
      </c>
    </row>
    <row r="8163" spans="2:10" ht="15" customHeight="1" x14ac:dyDescent="0.2">
      <c r="B8163" s="39">
        <f t="shared" si="62"/>
      </c>
      <c r="C8163" s="40">
        <f>IF(Inputs!$C$60,Inputs!$C$11+(B8163-Inputs!$C$69)/Inputs!$C$70,"")</f>
      </c>
      <c r="D8163" s="15"/>
      <c r="E8163" s="15"/>
      <c r="F8163" s="11">
        <f t="shared" si="63"/>
      </c>
      <c r="G8163" s="22" cm="1">
        <f t="array" ref="G8163">IF(AND(Inputs!$C$60,Inputs!$C$61),INDEX(Utility_Rates!$C$29:$F$52,HOUR(C8163)+Inputs!$C$69,MATCH(INDEX(Utility_Rates!$K$6:$K$17,MONTH(C8163))&amp;IF(WEEKDAY(C8163,Inputs!$C$76)&lt;=Inputs!$C$74," weekday"," weekend"),Utility_Rates!$C$28:$F$28,Inputs!$C$68)),"")</f>
      </c>
      <c r="H8163" s="34"/>
      <c r="I8163" s="42">
        <f>IF(AND(ISNUMBER(D8163),ISNUMBER(H8163)),D8163*H8163*Inputs!$C$69,"")</f>
      </c>
      <c r="J8163" s="42">
        <f>IF(AND(ISNUMBER(F8163),ISNUMBER(H8163),F8163&gt;=Inputs!$C$68),F8163*H8163*Inputs!$C$69,"")</f>
      </c>
    </row>
    <row r="8164" spans="2:10" ht="15" customHeight="1" x14ac:dyDescent="0.2">
      <c r="B8164" s="39">
        <f t="shared" si="62"/>
      </c>
      <c r="C8164" s="40">
        <f>IF(Inputs!$C$60,Inputs!$C$11+(B8164-Inputs!$C$69)/Inputs!$C$70,"")</f>
      </c>
      <c r="D8164" s="15"/>
      <c r="E8164" s="15"/>
      <c r="F8164" s="11">
        <f t="shared" si="63"/>
      </c>
      <c r="G8164" s="22" cm="1">
        <f t="array" ref="G8164">IF(AND(Inputs!$C$60,Inputs!$C$61),INDEX(Utility_Rates!$C$29:$F$52,HOUR(C8164)+Inputs!$C$69,MATCH(INDEX(Utility_Rates!$K$6:$K$17,MONTH(C8164))&amp;IF(WEEKDAY(C8164,Inputs!$C$76)&lt;=Inputs!$C$74," weekday"," weekend"),Utility_Rates!$C$28:$F$28,Inputs!$C$68)),"")</f>
      </c>
      <c r="H8164" s="34"/>
      <c r="I8164" s="42">
        <f>IF(AND(ISNUMBER(D8164),ISNUMBER(H8164)),D8164*H8164*Inputs!$C$69,"")</f>
      </c>
      <c r="J8164" s="42">
        <f>IF(AND(ISNUMBER(F8164),ISNUMBER(H8164),F8164&gt;=Inputs!$C$68),F8164*H8164*Inputs!$C$69,"")</f>
      </c>
    </row>
    <row r="8165" spans="2:10" ht="15" customHeight="1" x14ac:dyDescent="0.2">
      <c r="B8165" s="39">
        <f t="shared" si="62"/>
      </c>
      <c r="C8165" s="40">
        <f>IF(Inputs!$C$60,Inputs!$C$11+(B8165-Inputs!$C$69)/Inputs!$C$70,"")</f>
      </c>
      <c r="D8165" s="15"/>
      <c r="E8165" s="15"/>
      <c r="F8165" s="11">
        <f t="shared" si="63"/>
      </c>
      <c r="G8165" s="22" cm="1">
        <f t="array" ref="G8165">IF(AND(Inputs!$C$60,Inputs!$C$61),INDEX(Utility_Rates!$C$29:$F$52,HOUR(C8165)+Inputs!$C$69,MATCH(INDEX(Utility_Rates!$K$6:$K$17,MONTH(C8165))&amp;IF(WEEKDAY(C8165,Inputs!$C$76)&lt;=Inputs!$C$74," weekday"," weekend"),Utility_Rates!$C$28:$F$28,Inputs!$C$68)),"")</f>
      </c>
      <c r="H8165" s="34"/>
      <c r="I8165" s="42">
        <f>IF(AND(ISNUMBER(D8165),ISNUMBER(H8165)),D8165*H8165*Inputs!$C$69,"")</f>
      </c>
      <c r="J8165" s="42">
        <f>IF(AND(ISNUMBER(F8165),ISNUMBER(H8165),F8165&gt;=Inputs!$C$68),F8165*H8165*Inputs!$C$69,"")</f>
      </c>
    </row>
    <row r="8166" spans="2:10" ht="15" customHeight="1" x14ac:dyDescent="0.2">
      <c r="B8166" s="39">
        <f t="shared" ref="B8166:B8420" si="64">ROW()-ROW($B$5)</f>
      </c>
      <c r="C8166" s="40">
        <f>IF(Inputs!$C$60,Inputs!$C$11+(B8166-Inputs!$C$69)/Inputs!$C$70,"")</f>
      </c>
      <c r="D8166" s="15"/>
      <c r="E8166" s="15"/>
      <c r="F8166" s="11">
        <f t="shared" ref="F8166:F8420" si="65">IF(COUNT(D8166:E8166)=COLUMNS(D8166:E8166),D8166-E8166,"")</f>
      </c>
      <c r="G8166" s="22" cm="1">
        <f t="array" ref="G8166">IF(AND(Inputs!$C$60,Inputs!$C$61),INDEX(Utility_Rates!$C$29:$F$52,HOUR(C8166)+Inputs!$C$69,MATCH(INDEX(Utility_Rates!$K$6:$K$17,MONTH(C8166))&amp;IF(WEEKDAY(C8166,Inputs!$C$76)&lt;=Inputs!$C$74," weekday"," weekend"),Utility_Rates!$C$28:$F$28,Inputs!$C$68)),"")</f>
      </c>
      <c r="H8166" s="34"/>
      <c r="I8166" s="42">
        <f>IF(AND(ISNUMBER(D8166),ISNUMBER(H8166)),D8166*H8166*Inputs!$C$69,"")</f>
      </c>
      <c r="J8166" s="42">
        <f>IF(AND(ISNUMBER(F8166),ISNUMBER(H8166),F8166&gt;=Inputs!$C$68),F8166*H8166*Inputs!$C$69,"")</f>
      </c>
    </row>
    <row r="8167" spans="2:10" ht="15" customHeight="1" x14ac:dyDescent="0.2">
      <c r="B8167" s="39">
        <f t="shared" si="64"/>
      </c>
      <c r="C8167" s="40">
        <f>IF(Inputs!$C$60,Inputs!$C$11+(B8167-Inputs!$C$69)/Inputs!$C$70,"")</f>
      </c>
      <c r="D8167" s="15"/>
      <c r="E8167" s="15"/>
      <c r="F8167" s="11">
        <f t="shared" si="65"/>
      </c>
      <c r="G8167" s="22" cm="1">
        <f t="array" ref="G8167">IF(AND(Inputs!$C$60,Inputs!$C$61),INDEX(Utility_Rates!$C$29:$F$52,HOUR(C8167)+Inputs!$C$69,MATCH(INDEX(Utility_Rates!$K$6:$K$17,MONTH(C8167))&amp;IF(WEEKDAY(C8167,Inputs!$C$76)&lt;=Inputs!$C$74," weekday"," weekend"),Utility_Rates!$C$28:$F$28,Inputs!$C$68)),"")</f>
      </c>
      <c r="H8167" s="34"/>
      <c r="I8167" s="42">
        <f>IF(AND(ISNUMBER(D8167),ISNUMBER(H8167)),D8167*H8167*Inputs!$C$69,"")</f>
      </c>
      <c r="J8167" s="42">
        <f>IF(AND(ISNUMBER(F8167),ISNUMBER(H8167),F8167&gt;=Inputs!$C$68),F8167*H8167*Inputs!$C$69,"")</f>
      </c>
    </row>
    <row r="8168" spans="2:10" ht="15" customHeight="1" x14ac:dyDescent="0.2">
      <c r="B8168" s="39">
        <f t="shared" si="64"/>
      </c>
      <c r="C8168" s="40">
        <f>IF(Inputs!$C$60,Inputs!$C$11+(B8168-Inputs!$C$69)/Inputs!$C$70,"")</f>
      </c>
      <c r="D8168" s="15"/>
      <c r="E8168" s="15"/>
      <c r="F8168" s="11">
        <f t="shared" si="65"/>
      </c>
      <c r="G8168" s="22" cm="1">
        <f t="array" ref="G8168">IF(AND(Inputs!$C$60,Inputs!$C$61),INDEX(Utility_Rates!$C$29:$F$52,HOUR(C8168)+Inputs!$C$69,MATCH(INDEX(Utility_Rates!$K$6:$K$17,MONTH(C8168))&amp;IF(WEEKDAY(C8168,Inputs!$C$76)&lt;=Inputs!$C$74," weekday"," weekend"),Utility_Rates!$C$28:$F$28,Inputs!$C$68)),"")</f>
      </c>
      <c r="H8168" s="34"/>
      <c r="I8168" s="42">
        <f>IF(AND(ISNUMBER(D8168),ISNUMBER(H8168)),D8168*H8168*Inputs!$C$69,"")</f>
      </c>
      <c r="J8168" s="42">
        <f>IF(AND(ISNUMBER(F8168),ISNUMBER(H8168),F8168&gt;=Inputs!$C$68),F8168*H8168*Inputs!$C$69,"")</f>
      </c>
    </row>
    <row r="8169" spans="2:10" ht="15" customHeight="1" x14ac:dyDescent="0.2">
      <c r="B8169" s="39">
        <f t="shared" si="64"/>
      </c>
      <c r="C8169" s="40">
        <f>IF(Inputs!$C$60,Inputs!$C$11+(B8169-Inputs!$C$69)/Inputs!$C$70,"")</f>
      </c>
      <c r="D8169" s="15"/>
      <c r="E8169" s="15"/>
      <c r="F8169" s="11">
        <f t="shared" si="65"/>
      </c>
      <c r="G8169" s="22" cm="1">
        <f t="array" ref="G8169">IF(AND(Inputs!$C$60,Inputs!$C$61),INDEX(Utility_Rates!$C$29:$F$52,HOUR(C8169)+Inputs!$C$69,MATCH(INDEX(Utility_Rates!$K$6:$K$17,MONTH(C8169))&amp;IF(WEEKDAY(C8169,Inputs!$C$76)&lt;=Inputs!$C$74," weekday"," weekend"),Utility_Rates!$C$28:$F$28,Inputs!$C$68)),"")</f>
      </c>
      <c r="H8169" s="34"/>
      <c r="I8169" s="42">
        <f>IF(AND(ISNUMBER(D8169),ISNUMBER(H8169)),D8169*H8169*Inputs!$C$69,"")</f>
      </c>
      <c r="J8169" s="42">
        <f>IF(AND(ISNUMBER(F8169),ISNUMBER(H8169),F8169&gt;=Inputs!$C$68),F8169*H8169*Inputs!$C$69,"")</f>
      </c>
    </row>
    <row r="8170" spans="2:10" ht="15" customHeight="1" x14ac:dyDescent="0.2">
      <c r="B8170" s="39">
        <f t="shared" si="64"/>
      </c>
      <c r="C8170" s="40">
        <f>IF(Inputs!$C$60,Inputs!$C$11+(B8170-Inputs!$C$69)/Inputs!$C$70,"")</f>
      </c>
      <c r="D8170" s="15"/>
      <c r="E8170" s="15"/>
      <c r="F8170" s="11">
        <f t="shared" si="65"/>
      </c>
      <c r="G8170" s="22" cm="1">
        <f t="array" ref="G8170">IF(AND(Inputs!$C$60,Inputs!$C$61),INDEX(Utility_Rates!$C$29:$F$52,HOUR(C8170)+Inputs!$C$69,MATCH(INDEX(Utility_Rates!$K$6:$K$17,MONTH(C8170))&amp;IF(WEEKDAY(C8170,Inputs!$C$76)&lt;=Inputs!$C$74," weekday"," weekend"),Utility_Rates!$C$28:$F$28,Inputs!$C$68)),"")</f>
      </c>
      <c r="H8170" s="34"/>
      <c r="I8170" s="42">
        <f>IF(AND(ISNUMBER(D8170),ISNUMBER(H8170)),D8170*H8170*Inputs!$C$69,"")</f>
      </c>
      <c r="J8170" s="42">
        <f>IF(AND(ISNUMBER(F8170),ISNUMBER(H8170),F8170&gt;=Inputs!$C$68),F8170*H8170*Inputs!$C$69,"")</f>
      </c>
    </row>
    <row r="8171" spans="2:10" ht="15" customHeight="1" x14ac:dyDescent="0.2">
      <c r="B8171" s="39">
        <f t="shared" si="64"/>
      </c>
      <c r="C8171" s="40">
        <f>IF(Inputs!$C$60,Inputs!$C$11+(B8171-Inputs!$C$69)/Inputs!$C$70,"")</f>
      </c>
      <c r="D8171" s="15"/>
      <c r="E8171" s="15"/>
      <c r="F8171" s="11">
        <f t="shared" si="65"/>
      </c>
      <c r="G8171" s="22" cm="1">
        <f t="array" ref="G8171">IF(AND(Inputs!$C$60,Inputs!$C$61),INDEX(Utility_Rates!$C$29:$F$52,HOUR(C8171)+Inputs!$C$69,MATCH(INDEX(Utility_Rates!$K$6:$K$17,MONTH(C8171))&amp;IF(WEEKDAY(C8171,Inputs!$C$76)&lt;=Inputs!$C$74," weekday"," weekend"),Utility_Rates!$C$28:$F$28,Inputs!$C$68)),"")</f>
      </c>
      <c r="H8171" s="34"/>
      <c r="I8171" s="42">
        <f>IF(AND(ISNUMBER(D8171),ISNUMBER(H8171)),D8171*H8171*Inputs!$C$69,"")</f>
      </c>
      <c r="J8171" s="42">
        <f>IF(AND(ISNUMBER(F8171),ISNUMBER(H8171),F8171&gt;=Inputs!$C$68),F8171*H8171*Inputs!$C$69,"")</f>
      </c>
    </row>
    <row r="8172" spans="2:10" ht="15" customHeight="1" x14ac:dyDescent="0.2">
      <c r="B8172" s="39">
        <f t="shared" si="64"/>
      </c>
      <c r="C8172" s="40">
        <f>IF(Inputs!$C$60,Inputs!$C$11+(B8172-Inputs!$C$69)/Inputs!$C$70,"")</f>
      </c>
      <c r="D8172" s="15"/>
      <c r="E8172" s="15"/>
      <c r="F8172" s="11">
        <f t="shared" si="65"/>
      </c>
      <c r="G8172" s="22" cm="1">
        <f t="array" ref="G8172">IF(AND(Inputs!$C$60,Inputs!$C$61),INDEX(Utility_Rates!$C$29:$F$52,HOUR(C8172)+Inputs!$C$69,MATCH(INDEX(Utility_Rates!$K$6:$K$17,MONTH(C8172))&amp;IF(WEEKDAY(C8172,Inputs!$C$76)&lt;=Inputs!$C$74," weekday"," weekend"),Utility_Rates!$C$28:$F$28,Inputs!$C$68)),"")</f>
      </c>
      <c r="H8172" s="34"/>
      <c r="I8172" s="42">
        <f>IF(AND(ISNUMBER(D8172),ISNUMBER(H8172)),D8172*H8172*Inputs!$C$69,"")</f>
      </c>
      <c r="J8172" s="42">
        <f>IF(AND(ISNUMBER(F8172),ISNUMBER(H8172),F8172&gt;=Inputs!$C$68),F8172*H8172*Inputs!$C$69,"")</f>
      </c>
    </row>
    <row r="8173" spans="2:10" ht="15" customHeight="1" x14ac:dyDescent="0.2">
      <c r="B8173" s="39">
        <f t="shared" si="64"/>
      </c>
      <c r="C8173" s="40">
        <f>IF(Inputs!$C$60,Inputs!$C$11+(B8173-Inputs!$C$69)/Inputs!$C$70,"")</f>
      </c>
      <c r="D8173" s="15"/>
      <c r="E8173" s="15"/>
      <c r="F8173" s="11">
        <f t="shared" si="65"/>
      </c>
      <c r="G8173" s="22" cm="1">
        <f t="array" ref="G8173">IF(AND(Inputs!$C$60,Inputs!$C$61),INDEX(Utility_Rates!$C$29:$F$52,HOUR(C8173)+Inputs!$C$69,MATCH(INDEX(Utility_Rates!$K$6:$K$17,MONTH(C8173))&amp;IF(WEEKDAY(C8173,Inputs!$C$76)&lt;=Inputs!$C$74," weekday"," weekend"),Utility_Rates!$C$28:$F$28,Inputs!$C$68)),"")</f>
      </c>
      <c r="H8173" s="34"/>
      <c r="I8173" s="42">
        <f>IF(AND(ISNUMBER(D8173),ISNUMBER(H8173)),D8173*H8173*Inputs!$C$69,"")</f>
      </c>
      <c r="J8173" s="42">
        <f>IF(AND(ISNUMBER(F8173),ISNUMBER(H8173),F8173&gt;=Inputs!$C$68),F8173*H8173*Inputs!$C$69,"")</f>
      </c>
    </row>
    <row r="8174" spans="2:10" ht="15" customHeight="1" x14ac:dyDescent="0.2">
      <c r="B8174" s="39">
        <f t="shared" si="64"/>
      </c>
      <c r="C8174" s="40">
        <f>IF(Inputs!$C$60,Inputs!$C$11+(B8174-Inputs!$C$69)/Inputs!$C$70,"")</f>
      </c>
      <c r="D8174" s="15"/>
      <c r="E8174" s="15"/>
      <c r="F8174" s="11">
        <f t="shared" si="65"/>
      </c>
      <c r="G8174" s="22" cm="1">
        <f t="array" ref="G8174">IF(AND(Inputs!$C$60,Inputs!$C$61),INDEX(Utility_Rates!$C$29:$F$52,HOUR(C8174)+Inputs!$C$69,MATCH(INDEX(Utility_Rates!$K$6:$K$17,MONTH(C8174))&amp;IF(WEEKDAY(C8174,Inputs!$C$76)&lt;=Inputs!$C$74," weekday"," weekend"),Utility_Rates!$C$28:$F$28,Inputs!$C$68)),"")</f>
      </c>
      <c r="H8174" s="34"/>
      <c r="I8174" s="42">
        <f>IF(AND(ISNUMBER(D8174),ISNUMBER(H8174)),D8174*H8174*Inputs!$C$69,"")</f>
      </c>
      <c r="J8174" s="42">
        <f>IF(AND(ISNUMBER(F8174),ISNUMBER(H8174),F8174&gt;=Inputs!$C$68),F8174*H8174*Inputs!$C$69,"")</f>
      </c>
    </row>
    <row r="8175" spans="2:10" ht="15" customHeight="1" x14ac:dyDescent="0.2">
      <c r="B8175" s="39">
        <f t="shared" si="64"/>
      </c>
      <c r="C8175" s="40">
        <f>IF(Inputs!$C$60,Inputs!$C$11+(B8175-Inputs!$C$69)/Inputs!$C$70,"")</f>
      </c>
      <c r="D8175" s="15"/>
      <c r="E8175" s="15"/>
      <c r="F8175" s="11">
        <f t="shared" si="65"/>
      </c>
      <c r="G8175" s="22" cm="1">
        <f t="array" ref="G8175">IF(AND(Inputs!$C$60,Inputs!$C$61),INDEX(Utility_Rates!$C$29:$F$52,HOUR(C8175)+Inputs!$C$69,MATCH(INDEX(Utility_Rates!$K$6:$K$17,MONTH(C8175))&amp;IF(WEEKDAY(C8175,Inputs!$C$76)&lt;=Inputs!$C$74," weekday"," weekend"),Utility_Rates!$C$28:$F$28,Inputs!$C$68)),"")</f>
      </c>
      <c r="H8175" s="34"/>
      <c r="I8175" s="42">
        <f>IF(AND(ISNUMBER(D8175),ISNUMBER(H8175)),D8175*H8175*Inputs!$C$69,"")</f>
      </c>
      <c r="J8175" s="42">
        <f>IF(AND(ISNUMBER(F8175),ISNUMBER(H8175),F8175&gt;=Inputs!$C$68),F8175*H8175*Inputs!$C$69,"")</f>
      </c>
    </row>
    <row r="8176" spans="2:10" ht="15" customHeight="1" x14ac:dyDescent="0.2">
      <c r="B8176" s="39">
        <f t="shared" si="64"/>
      </c>
      <c r="C8176" s="40">
        <f>IF(Inputs!$C$60,Inputs!$C$11+(B8176-Inputs!$C$69)/Inputs!$C$70,"")</f>
      </c>
      <c r="D8176" s="15"/>
      <c r="E8176" s="15"/>
      <c r="F8176" s="11">
        <f t="shared" si="65"/>
      </c>
      <c r="G8176" s="22" cm="1">
        <f t="array" ref="G8176">IF(AND(Inputs!$C$60,Inputs!$C$61),INDEX(Utility_Rates!$C$29:$F$52,HOUR(C8176)+Inputs!$C$69,MATCH(INDEX(Utility_Rates!$K$6:$K$17,MONTH(C8176))&amp;IF(WEEKDAY(C8176,Inputs!$C$76)&lt;=Inputs!$C$74," weekday"," weekend"),Utility_Rates!$C$28:$F$28,Inputs!$C$68)),"")</f>
      </c>
      <c r="H8176" s="34"/>
      <c r="I8176" s="42">
        <f>IF(AND(ISNUMBER(D8176),ISNUMBER(H8176)),D8176*H8176*Inputs!$C$69,"")</f>
      </c>
      <c r="J8176" s="42">
        <f>IF(AND(ISNUMBER(F8176),ISNUMBER(H8176),F8176&gt;=Inputs!$C$68),F8176*H8176*Inputs!$C$69,"")</f>
      </c>
    </row>
    <row r="8177" spans="2:10" ht="15" customHeight="1" x14ac:dyDescent="0.2">
      <c r="B8177" s="39">
        <f t="shared" si="64"/>
      </c>
      <c r="C8177" s="40">
        <f>IF(Inputs!$C$60,Inputs!$C$11+(B8177-Inputs!$C$69)/Inputs!$C$70,"")</f>
      </c>
      <c r="D8177" s="15"/>
      <c r="E8177" s="15"/>
      <c r="F8177" s="11">
        <f t="shared" si="65"/>
      </c>
      <c r="G8177" s="22" cm="1">
        <f t="array" ref="G8177">IF(AND(Inputs!$C$60,Inputs!$C$61),INDEX(Utility_Rates!$C$29:$F$52,HOUR(C8177)+Inputs!$C$69,MATCH(INDEX(Utility_Rates!$K$6:$K$17,MONTH(C8177))&amp;IF(WEEKDAY(C8177,Inputs!$C$76)&lt;=Inputs!$C$74," weekday"," weekend"),Utility_Rates!$C$28:$F$28,Inputs!$C$68)),"")</f>
      </c>
      <c r="H8177" s="34"/>
      <c r="I8177" s="42">
        <f>IF(AND(ISNUMBER(D8177),ISNUMBER(H8177)),D8177*H8177*Inputs!$C$69,"")</f>
      </c>
      <c r="J8177" s="42">
        <f>IF(AND(ISNUMBER(F8177),ISNUMBER(H8177),F8177&gt;=Inputs!$C$68),F8177*H8177*Inputs!$C$69,"")</f>
      </c>
    </row>
    <row r="8178" spans="2:10" ht="15" customHeight="1" x14ac:dyDescent="0.2">
      <c r="B8178" s="39">
        <f t="shared" si="64"/>
      </c>
      <c r="C8178" s="40">
        <f>IF(Inputs!$C$60,Inputs!$C$11+(B8178-Inputs!$C$69)/Inputs!$C$70,"")</f>
      </c>
      <c r="D8178" s="15"/>
      <c r="E8178" s="15"/>
      <c r="F8178" s="11">
        <f t="shared" si="65"/>
      </c>
      <c r="G8178" s="22" cm="1">
        <f t="array" ref="G8178">IF(AND(Inputs!$C$60,Inputs!$C$61),INDEX(Utility_Rates!$C$29:$F$52,HOUR(C8178)+Inputs!$C$69,MATCH(INDEX(Utility_Rates!$K$6:$K$17,MONTH(C8178))&amp;IF(WEEKDAY(C8178,Inputs!$C$76)&lt;=Inputs!$C$74," weekday"," weekend"),Utility_Rates!$C$28:$F$28,Inputs!$C$68)),"")</f>
      </c>
      <c r="H8178" s="34"/>
      <c r="I8178" s="42">
        <f>IF(AND(ISNUMBER(D8178),ISNUMBER(H8178)),D8178*H8178*Inputs!$C$69,"")</f>
      </c>
      <c r="J8178" s="42">
        <f>IF(AND(ISNUMBER(F8178),ISNUMBER(H8178),F8178&gt;=Inputs!$C$68),F8178*H8178*Inputs!$C$69,"")</f>
      </c>
    </row>
    <row r="8179" spans="2:10" ht="15" customHeight="1" x14ac:dyDescent="0.2">
      <c r="B8179" s="39">
        <f t="shared" si="64"/>
      </c>
      <c r="C8179" s="40">
        <f>IF(Inputs!$C$60,Inputs!$C$11+(B8179-Inputs!$C$69)/Inputs!$C$70,"")</f>
      </c>
      <c r="D8179" s="15"/>
      <c r="E8179" s="15"/>
      <c r="F8179" s="11">
        <f t="shared" si="65"/>
      </c>
      <c r="G8179" s="22" cm="1">
        <f t="array" ref="G8179">IF(AND(Inputs!$C$60,Inputs!$C$61),INDEX(Utility_Rates!$C$29:$F$52,HOUR(C8179)+Inputs!$C$69,MATCH(INDEX(Utility_Rates!$K$6:$K$17,MONTH(C8179))&amp;IF(WEEKDAY(C8179,Inputs!$C$76)&lt;=Inputs!$C$74," weekday"," weekend"),Utility_Rates!$C$28:$F$28,Inputs!$C$68)),"")</f>
      </c>
      <c r="H8179" s="34"/>
      <c r="I8179" s="42">
        <f>IF(AND(ISNUMBER(D8179),ISNUMBER(H8179)),D8179*H8179*Inputs!$C$69,"")</f>
      </c>
      <c r="J8179" s="42">
        <f>IF(AND(ISNUMBER(F8179),ISNUMBER(H8179),F8179&gt;=Inputs!$C$68),F8179*H8179*Inputs!$C$69,"")</f>
      </c>
    </row>
    <row r="8180" spans="2:10" ht="15" customHeight="1" x14ac:dyDescent="0.2">
      <c r="B8180" s="39">
        <f t="shared" si="64"/>
      </c>
      <c r="C8180" s="40">
        <f>IF(Inputs!$C$60,Inputs!$C$11+(B8180-Inputs!$C$69)/Inputs!$C$70,"")</f>
      </c>
      <c r="D8180" s="15"/>
      <c r="E8180" s="15"/>
      <c r="F8180" s="11">
        <f t="shared" si="65"/>
      </c>
      <c r="G8180" s="22" cm="1">
        <f t="array" ref="G8180">IF(AND(Inputs!$C$60,Inputs!$C$61),INDEX(Utility_Rates!$C$29:$F$52,HOUR(C8180)+Inputs!$C$69,MATCH(INDEX(Utility_Rates!$K$6:$K$17,MONTH(C8180))&amp;IF(WEEKDAY(C8180,Inputs!$C$76)&lt;=Inputs!$C$74," weekday"," weekend"),Utility_Rates!$C$28:$F$28,Inputs!$C$68)),"")</f>
      </c>
      <c r="H8180" s="34"/>
      <c r="I8180" s="42">
        <f>IF(AND(ISNUMBER(D8180),ISNUMBER(H8180)),D8180*H8180*Inputs!$C$69,"")</f>
      </c>
      <c r="J8180" s="42">
        <f>IF(AND(ISNUMBER(F8180),ISNUMBER(H8180),F8180&gt;=Inputs!$C$68),F8180*H8180*Inputs!$C$69,"")</f>
      </c>
    </row>
    <row r="8181" spans="2:10" ht="15" customHeight="1" x14ac:dyDescent="0.2">
      <c r="B8181" s="39">
        <f t="shared" si="64"/>
      </c>
      <c r="C8181" s="40">
        <f>IF(Inputs!$C$60,Inputs!$C$11+(B8181-Inputs!$C$69)/Inputs!$C$70,"")</f>
      </c>
      <c r="D8181" s="15"/>
      <c r="E8181" s="15"/>
      <c r="F8181" s="11">
        <f t="shared" si="65"/>
      </c>
      <c r="G8181" s="22" cm="1">
        <f t="array" ref="G8181">IF(AND(Inputs!$C$60,Inputs!$C$61),INDEX(Utility_Rates!$C$29:$F$52,HOUR(C8181)+Inputs!$C$69,MATCH(INDEX(Utility_Rates!$K$6:$K$17,MONTH(C8181))&amp;IF(WEEKDAY(C8181,Inputs!$C$76)&lt;=Inputs!$C$74," weekday"," weekend"),Utility_Rates!$C$28:$F$28,Inputs!$C$68)),"")</f>
      </c>
      <c r="H8181" s="34"/>
      <c r="I8181" s="42">
        <f>IF(AND(ISNUMBER(D8181),ISNUMBER(H8181)),D8181*H8181*Inputs!$C$69,"")</f>
      </c>
      <c r="J8181" s="42">
        <f>IF(AND(ISNUMBER(F8181),ISNUMBER(H8181),F8181&gt;=Inputs!$C$68),F8181*H8181*Inputs!$C$69,"")</f>
      </c>
    </row>
    <row r="8182" spans="2:10" ht="15" customHeight="1" x14ac:dyDescent="0.2">
      <c r="B8182" s="39">
        <f t="shared" si="64"/>
      </c>
      <c r="C8182" s="40">
        <f>IF(Inputs!$C$60,Inputs!$C$11+(B8182-Inputs!$C$69)/Inputs!$C$70,"")</f>
      </c>
      <c r="D8182" s="15"/>
      <c r="E8182" s="15"/>
      <c r="F8182" s="11">
        <f t="shared" si="65"/>
      </c>
      <c r="G8182" s="22" cm="1">
        <f t="array" ref="G8182">IF(AND(Inputs!$C$60,Inputs!$C$61),INDEX(Utility_Rates!$C$29:$F$52,HOUR(C8182)+Inputs!$C$69,MATCH(INDEX(Utility_Rates!$K$6:$K$17,MONTH(C8182))&amp;IF(WEEKDAY(C8182,Inputs!$C$76)&lt;=Inputs!$C$74," weekday"," weekend"),Utility_Rates!$C$28:$F$28,Inputs!$C$68)),"")</f>
      </c>
      <c r="H8182" s="34"/>
      <c r="I8182" s="42">
        <f>IF(AND(ISNUMBER(D8182),ISNUMBER(H8182)),D8182*H8182*Inputs!$C$69,"")</f>
      </c>
      <c r="J8182" s="42">
        <f>IF(AND(ISNUMBER(F8182),ISNUMBER(H8182),F8182&gt;=Inputs!$C$68),F8182*H8182*Inputs!$C$69,"")</f>
      </c>
    </row>
    <row r="8183" spans="2:10" ht="15" customHeight="1" x14ac:dyDescent="0.2">
      <c r="B8183" s="39">
        <f t="shared" si="64"/>
      </c>
      <c r="C8183" s="40">
        <f>IF(Inputs!$C$60,Inputs!$C$11+(B8183-Inputs!$C$69)/Inputs!$C$70,"")</f>
      </c>
      <c r="D8183" s="15"/>
      <c r="E8183" s="15"/>
      <c r="F8183" s="11">
        <f t="shared" si="65"/>
      </c>
      <c r="G8183" s="22" cm="1">
        <f t="array" ref="G8183">IF(AND(Inputs!$C$60,Inputs!$C$61),INDEX(Utility_Rates!$C$29:$F$52,HOUR(C8183)+Inputs!$C$69,MATCH(INDEX(Utility_Rates!$K$6:$K$17,MONTH(C8183))&amp;IF(WEEKDAY(C8183,Inputs!$C$76)&lt;=Inputs!$C$74," weekday"," weekend"),Utility_Rates!$C$28:$F$28,Inputs!$C$68)),"")</f>
      </c>
      <c r="H8183" s="34"/>
      <c r="I8183" s="42">
        <f>IF(AND(ISNUMBER(D8183),ISNUMBER(H8183)),D8183*H8183*Inputs!$C$69,"")</f>
      </c>
      <c r="J8183" s="42">
        <f>IF(AND(ISNUMBER(F8183),ISNUMBER(H8183),F8183&gt;=Inputs!$C$68),F8183*H8183*Inputs!$C$69,"")</f>
      </c>
    </row>
    <row r="8184" spans="2:10" ht="15" customHeight="1" x14ac:dyDescent="0.2">
      <c r="B8184" s="39">
        <f t="shared" si="64"/>
      </c>
      <c r="C8184" s="40">
        <f>IF(Inputs!$C$60,Inputs!$C$11+(B8184-Inputs!$C$69)/Inputs!$C$70,"")</f>
      </c>
      <c r="D8184" s="15"/>
      <c r="E8184" s="15"/>
      <c r="F8184" s="11">
        <f t="shared" si="65"/>
      </c>
      <c r="G8184" s="22" cm="1">
        <f t="array" ref="G8184">IF(AND(Inputs!$C$60,Inputs!$C$61),INDEX(Utility_Rates!$C$29:$F$52,HOUR(C8184)+Inputs!$C$69,MATCH(INDEX(Utility_Rates!$K$6:$K$17,MONTH(C8184))&amp;IF(WEEKDAY(C8184,Inputs!$C$76)&lt;=Inputs!$C$74," weekday"," weekend"),Utility_Rates!$C$28:$F$28,Inputs!$C$68)),"")</f>
      </c>
      <c r="H8184" s="34"/>
      <c r="I8184" s="42">
        <f>IF(AND(ISNUMBER(D8184),ISNUMBER(H8184)),D8184*H8184*Inputs!$C$69,"")</f>
      </c>
      <c r="J8184" s="42">
        <f>IF(AND(ISNUMBER(F8184),ISNUMBER(H8184),F8184&gt;=Inputs!$C$68),F8184*H8184*Inputs!$C$69,"")</f>
      </c>
    </row>
    <row r="8185" spans="2:10" ht="15" customHeight="1" x14ac:dyDescent="0.2">
      <c r="B8185" s="39">
        <f t="shared" si="64"/>
      </c>
      <c r="C8185" s="40">
        <f>IF(Inputs!$C$60,Inputs!$C$11+(B8185-Inputs!$C$69)/Inputs!$C$70,"")</f>
      </c>
      <c r="D8185" s="15"/>
      <c r="E8185" s="15"/>
      <c r="F8185" s="11">
        <f t="shared" si="65"/>
      </c>
      <c r="G8185" s="22" cm="1">
        <f t="array" ref="G8185">IF(AND(Inputs!$C$60,Inputs!$C$61),INDEX(Utility_Rates!$C$29:$F$52,HOUR(C8185)+Inputs!$C$69,MATCH(INDEX(Utility_Rates!$K$6:$K$17,MONTH(C8185))&amp;IF(WEEKDAY(C8185,Inputs!$C$76)&lt;=Inputs!$C$74," weekday"," weekend"),Utility_Rates!$C$28:$F$28,Inputs!$C$68)),"")</f>
      </c>
      <c r="H8185" s="34"/>
      <c r="I8185" s="42">
        <f>IF(AND(ISNUMBER(D8185),ISNUMBER(H8185)),D8185*H8185*Inputs!$C$69,"")</f>
      </c>
      <c r="J8185" s="42">
        <f>IF(AND(ISNUMBER(F8185),ISNUMBER(H8185),F8185&gt;=Inputs!$C$68),F8185*H8185*Inputs!$C$69,"")</f>
      </c>
    </row>
    <row r="8186" spans="2:10" ht="15" customHeight="1" x14ac:dyDescent="0.2">
      <c r="B8186" s="39">
        <f t="shared" si="64"/>
      </c>
      <c r="C8186" s="40">
        <f>IF(Inputs!$C$60,Inputs!$C$11+(B8186-Inputs!$C$69)/Inputs!$C$70,"")</f>
      </c>
      <c r="D8186" s="15"/>
      <c r="E8186" s="15"/>
      <c r="F8186" s="11">
        <f t="shared" si="65"/>
      </c>
      <c r="G8186" s="22" cm="1">
        <f t="array" ref="G8186">IF(AND(Inputs!$C$60,Inputs!$C$61),INDEX(Utility_Rates!$C$29:$F$52,HOUR(C8186)+Inputs!$C$69,MATCH(INDEX(Utility_Rates!$K$6:$K$17,MONTH(C8186))&amp;IF(WEEKDAY(C8186,Inputs!$C$76)&lt;=Inputs!$C$74," weekday"," weekend"),Utility_Rates!$C$28:$F$28,Inputs!$C$68)),"")</f>
      </c>
      <c r="H8186" s="34"/>
      <c r="I8186" s="42">
        <f>IF(AND(ISNUMBER(D8186),ISNUMBER(H8186)),D8186*H8186*Inputs!$C$69,"")</f>
      </c>
      <c r="J8186" s="42">
        <f>IF(AND(ISNUMBER(F8186),ISNUMBER(H8186),F8186&gt;=Inputs!$C$68),F8186*H8186*Inputs!$C$69,"")</f>
      </c>
    </row>
    <row r="8187" spans="2:10" ht="15" customHeight="1" x14ac:dyDescent="0.2">
      <c r="B8187" s="39">
        <f t="shared" si="64"/>
      </c>
      <c r="C8187" s="40">
        <f>IF(Inputs!$C$60,Inputs!$C$11+(B8187-Inputs!$C$69)/Inputs!$C$70,"")</f>
      </c>
      <c r="D8187" s="15"/>
      <c r="E8187" s="15"/>
      <c r="F8187" s="11">
        <f t="shared" si="65"/>
      </c>
      <c r="G8187" s="22" cm="1">
        <f t="array" ref="G8187">IF(AND(Inputs!$C$60,Inputs!$C$61),INDEX(Utility_Rates!$C$29:$F$52,HOUR(C8187)+Inputs!$C$69,MATCH(INDEX(Utility_Rates!$K$6:$K$17,MONTH(C8187))&amp;IF(WEEKDAY(C8187,Inputs!$C$76)&lt;=Inputs!$C$74," weekday"," weekend"),Utility_Rates!$C$28:$F$28,Inputs!$C$68)),"")</f>
      </c>
      <c r="H8187" s="34"/>
      <c r="I8187" s="42">
        <f>IF(AND(ISNUMBER(D8187),ISNUMBER(H8187)),D8187*H8187*Inputs!$C$69,"")</f>
      </c>
      <c r="J8187" s="42">
        <f>IF(AND(ISNUMBER(F8187),ISNUMBER(H8187),F8187&gt;=Inputs!$C$68),F8187*H8187*Inputs!$C$69,"")</f>
      </c>
    </row>
    <row r="8188" spans="2:10" ht="15" customHeight="1" x14ac:dyDescent="0.2">
      <c r="B8188" s="39">
        <f t="shared" si="64"/>
      </c>
      <c r="C8188" s="40">
        <f>IF(Inputs!$C$60,Inputs!$C$11+(B8188-Inputs!$C$69)/Inputs!$C$70,"")</f>
      </c>
      <c r="D8188" s="15"/>
      <c r="E8188" s="15"/>
      <c r="F8188" s="11">
        <f t="shared" si="65"/>
      </c>
      <c r="G8188" s="22" cm="1">
        <f t="array" ref="G8188">IF(AND(Inputs!$C$60,Inputs!$C$61),INDEX(Utility_Rates!$C$29:$F$52,HOUR(C8188)+Inputs!$C$69,MATCH(INDEX(Utility_Rates!$K$6:$K$17,MONTH(C8188))&amp;IF(WEEKDAY(C8188,Inputs!$C$76)&lt;=Inputs!$C$74," weekday"," weekend"),Utility_Rates!$C$28:$F$28,Inputs!$C$68)),"")</f>
      </c>
      <c r="H8188" s="34"/>
      <c r="I8188" s="42">
        <f>IF(AND(ISNUMBER(D8188),ISNUMBER(H8188)),D8188*H8188*Inputs!$C$69,"")</f>
      </c>
      <c r="J8188" s="42">
        <f>IF(AND(ISNUMBER(F8188),ISNUMBER(H8188),F8188&gt;=Inputs!$C$68),F8188*H8188*Inputs!$C$69,"")</f>
      </c>
    </row>
    <row r="8189" spans="2:10" ht="15" customHeight="1" x14ac:dyDescent="0.2">
      <c r="B8189" s="39">
        <f t="shared" si="64"/>
      </c>
      <c r="C8189" s="40">
        <f>IF(Inputs!$C$60,Inputs!$C$11+(B8189-Inputs!$C$69)/Inputs!$C$70,"")</f>
      </c>
      <c r="D8189" s="15"/>
      <c r="E8189" s="15"/>
      <c r="F8189" s="11">
        <f t="shared" si="65"/>
      </c>
      <c r="G8189" s="22" cm="1">
        <f t="array" ref="G8189">IF(AND(Inputs!$C$60,Inputs!$C$61),INDEX(Utility_Rates!$C$29:$F$52,HOUR(C8189)+Inputs!$C$69,MATCH(INDEX(Utility_Rates!$K$6:$K$17,MONTH(C8189))&amp;IF(WEEKDAY(C8189,Inputs!$C$76)&lt;=Inputs!$C$74," weekday"," weekend"),Utility_Rates!$C$28:$F$28,Inputs!$C$68)),"")</f>
      </c>
      <c r="H8189" s="34"/>
      <c r="I8189" s="42">
        <f>IF(AND(ISNUMBER(D8189),ISNUMBER(H8189)),D8189*H8189*Inputs!$C$69,"")</f>
      </c>
      <c r="J8189" s="42">
        <f>IF(AND(ISNUMBER(F8189),ISNUMBER(H8189),F8189&gt;=Inputs!$C$68),F8189*H8189*Inputs!$C$69,"")</f>
      </c>
    </row>
    <row r="8190" spans="2:10" ht="15" customHeight="1" x14ac:dyDescent="0.2">
      <c r="B8190" s="39">
        <f t="shared" si="64"/>
      </c>
      <c r="C8190" s="40">
        <f>IF(Inputs!$C$60,Inputs!$C$11+(B8190-Inputs!$C$69)/Inputs!$C$70,"")</f>
      </c>
      <c r="D8190" s="15"/>
      <c r="E8190" s="15"/>
      <c r="F8190" s="11">
        <f t="shared" si="65"/>
      </c>
      <c r="G8190" s="22" cm="1">
        <f t="array" ref="G8190">IF(AND(Inputs!$C$60,Inputs!$C$61),INDEX(Utility_Rates!$C$29:$F$52,HOUR(C8190)+Inputs!$C$69,MATCH(INDEX(Utility_Rates!$K$6:$K$17,MONTH(C8190))&amp;IF(WEEKDAY(C8190,Inputs!$C$76)&lt;=Inputs!$C$74," weekday"," weekend"),Utility_Rates!$C$28:$F$28,Inputs!$C$68)),"")</f>
      </c>
      <c r="H8190" s="34"/>
      <c r="I8190" s="42">
        <f>IF(AND(ISNUMBER(D8190),ISNUMBER(H8190)),D8190*H8190*Inputs!$C$69,"")</f>
      </c>
      <c r="J8190" s="42">
        <f>IF(AND(ISNUMBER(F8190),ISNUMBER(H8190),F8190&gt;=Inputs!$C$68),F8190*H8190*Inputs!$C$69,"")</f>
      </c>
    </row>
    <row r="8191" spans="2:10" ht="15" customHeight="1" x14ac:dyDescent="0.2">
      <c r="B8191" s="39">
        <f t="shared" si="64"/>
      </c>
      <c r="C8191" s="40">
        <f>IF(Inputs!$C$60,Inputs!$C$11+(B8191-Inputs!$C$69)/Inputs!$C$70,"")</f>
      </c>
      <c r="D8191" s="15"/>
      <c r="E8191" s="15"/>
      <c r="F8191" s="11">
        <f t="shared" si="65"/>
      </c>
      <c r="G8191" s="22" cm="1">
        <f t="array" ref="G8191">IF(AND(Inputs!$C$60,Inputs!$C$61),INDEX(Utility_Rates!$C$29:$F$52,HOUR(C8191)+Inputs!$C$69,MATCH(INDEX(Utility_Rates!$K$6:$K$17,MONTH(C8191))&amp;IF(WEEKDAY(C8191,Inputs!$C$76)&lt;=Inputs!$C$74," weekday"," weekend"),Utility_Rates!$C$28:$F$28,Inputs!$C$68)),"")</f>
      </c>
      <c r="H8191" s="34"/>
      <c r="I8191" s="42">
        <f>IF(AND(ISNUMBER(D8191),ISNUMBER(H8191)),D8191*H8191*Inputs!$C$69,"")</f>
      </c>
      <c r="J8191" s="42">
        <f>IF(AND(ISNUMBER(F8191),ISNUMBER(H8191),F8191&gt;=Inputs!$C$68),F8191*H8191*Inputs!$C$69,"")</f>
      </c>
    </row>
    <row r="8192" spans="2:10" ht="15" customHeight="1" x14ac:dyDescent="0.2">
      <c r="B8192" s="39">
        <f t="shared" si="64"/>
      </c>
      <c r="C8192" s="40">
        <f>IF(Inputs!$C$60,Inputs!$C$11+(B8192-Inputs!$C$69)/Inputs!$C$70,"")</f>
      </c>
      <c r="D8192" s="15"/>
      <c r="E8192" s="15"/>
      <c r="F8192" s="11">
        <f t="shared" si="65"/>
      </c>
      <c r="G8192" s="22" cm="1">
        <f t="array" ref="G8192">IF(AND(Inputs!$C$60,Inputs!$C$61),INDEX(Utility_Rates!$C$29:$F$52,HOUR(C8192)+Inputs!$C$69,MATCH(INDEX(Utility_Rates!$K$6:$K$17,MONTH(C8192))&amp;IF(WEEKDAY(C8192,Inputs!$C$76)&lt;=Inputs!$C$74," weekday"," weekend"),Utility_Rates!$C$28:$F$28,Inputs!$C$68)),"")</f>
      </c>
      <c r="H8192" s="34"/>
      <c r="I8192" s="42">
        <f>IF(AND(ISNUMBER(D8192),ISNUMBER(H8192)),D8192*H8192*Inputs!$C$69,"")</f>
      </c>
      <c r="J8192" s="42">
        <f>IF(AND(ISNUMBER(F8192),ISNUMBER(H8192),F8192&gt;=Inputs!$C$68),F8192*H8192*Inputs!$C$69,"")</f>
      </c>
    </row>
    <row r="8193" spans="2:10" ht="15" customHeight="1" x14ac:dyDescent="0.2">
      <c r="B8193" s="39">
        <f t="shared" si="64"/>
      </c>
      <c r="C8193" s="40">
        <f>IF(Inputs!$C$60,Inputs!$C$11+(B8193-Inputs!$C$69)/Inputs!$C$70,"")</f>
      </c>
      <c r="D8193" s="15"/>
      <c r="E8193" s="15"/>
      <c r="F8193" s="11">
        <f t="shared" si="65"/>
      </c>
      <c r="G8193" s="22" cm="1">
        <f t="array" ref="G8193">IF(AND(Inputs!$C$60,Inputs!$C$61),INDEX(Utility_Rates!$C$29:$F$52,HOUR(C8193)+Inputs!$C$69,MATCH(INDEX(Utility_Rates!$K$6:$K$17,MONTH(C8193))&amp;IF(WEEKDAY(C8193,Inputs!$C$76)&lt;=Inputs!$C$74," weekday"," weekend"),Utility_Rates!$C$28:$F$28,Inputs!$C$68)),"")</f>
      </c>
      <c r="H8193" s="34"/>
      <c r="I8193" s="42">
        <f>IF(AND(ISNUMBER(D8193),ISNUMBER(H8193)),D8193*H8193*Inputs!$C$69,"")</f>
      </c>
      <c r="J8193" s="42">
        <f>IF(AND(ISNUMBER(F8193),ISNUMBER(H8193),F8193&gt;=Inputs!$C$68),F8193*H8193*Inputs!$C$69,"")</f>
      </c>
    </row>
    <row r="8194" spans="2:10" ht="15" customHeight="1" x14ac:dyDescent="0.2">
      <c r="B8194" s="39">
        <f t="shared" si="64"/>
      </c>
      <c r="C8194" s="40">
        <f>IF(Inputs!$C$60,Inputs!$C$11+(B8194-Inputs!$C$69)/Inputs!$C$70,"")</f>
      </c>
      <c r="D8194" s="15"/>
      <c r="E8194" s="15"/>
      <c r="F8194" s="11">
        <f t="shared" si="65"/>
      </c>
      <c r="G8194" s="22" cm="1">
        <f t="array" ref="G8194">IF(AND(Inputs!$C$60,Inputs!$C$61),INDEX(Utility_Rates!$C$29:$F$52,HOUR(C8194)+Inputs!$C$69,MATCH(INDEX(Utility_Rates!$K$6:$K$17,MONTH(C8194))&amp;IF(WEEKDAY(C8194,Inputs!$C$76)&lt;=Inputs!$C$74," weekday"," weekend"),Utility_Rates!$C$28:$F$28,Inputs!$C$68)),"")</f>
      </c>
      <c r="H8194" s="34"/>
      <c r="I8194" s="42">
        <f>IF(AND(ISNUMBER(D8194),ISNUMBER(H8194)),D8194*H8194*Inputs!$C$69,"")</f>
      </c>
      <c r="J8194" s="42">
        <f>IF(AND(ISNUMBER(F8194),ISNUMBER(H8194),F8194&gt;=Inputs!$C$68),F8194*H8194*Inputs!$C$69,"")</f>
      </c>
    </row>
    <row r="8195" spans="2:10" ht="15" customHeight="1" x14ac:dyDescent="0.2">
      <c r="B8195" s="39">
        <f t="shared" si="64"/>
      </c>
      <c r="C8195" s="40">
        <f>IF(Inputs!$C$60,Inputs!$C$11+(B8195-Inputs!$C$69)/Inputs!$C$70,"")</f>
      </c>
      <c r="D8195" s="15"/>
      <c r="E8195" s="15"/>
      <c r="F8195" s="11">
        <f t="shared" si="65"/>
      </c>
      <c r="G8195" s="22" cm="1">
        <f t="array" ref="G8195">IF(AND(Inputs!$C$60,Inputs!$C$61),INDEX(Utility_Rates!$C$29:$F$52,HOUR(C8195)+Inputs!$C$69,MATCH(INDEX(Utility_Rates!$K$6:$K$17,MONTH(C8195))&amp;IF(WEEKDAY(C8195,Inputs!$C$76)&lt;=Inputs!$C$74," weekday"," weekend"),Utility_Rates!$C$28:$F$28,Inputs!$C$68)),"")</f>
      </c>
      <c r="H8195" s="34"/>
      <c r="I8195" s="42">
        <f>IF(AND(ISNUMBER(D8195),ISNUMBER(H8195)),D8195*H8195*Inputs!$C$69,"")</f>
      </c>
      <c r="J8195" s="42">
        <f>IF(AND(ISNUMBER(F8195),ISNUMBER(H8195),F8195&gt;=Inputs!$C$68),F8195*H8195*Inputs!$C$69,"")</f>
      </c>
    </row>
    <row r="8196" spans="2:10" ht="15" customHeight="1" x14ac:dyDescent="0.2">
      <c r="B8196" s="39">
        <f t="shared" si="64"/>
      </c>
      <c r="C8196" s="40">
        <f>IF(Inputs!$C$60,Inputs!$C$11+(B8196-Inputs!$C$69)/Inputs!$C$70,"")</f>
      </c>
      <c r="D8196" s="15"/>
      <c r="E8196" s="15"/>
      <c r="F8196" s="11">
        <f t="shared" si="65"/>
      </c>
      <c r="G8196" s="22" cm="1">
        <f t="array" ref="G8196">IF(AND(Inputs!$C$60,Inputs!$C$61),INDEX(Utility_Rates!$C$29:$F$52,HOUR(C8196)+Inputs!$C$69,MATCH(INDEX(Utility_Rates!$K$6:$K$17,MONTH(C8196))&amp;IF(WEEKDAY(C8196,Inputs!$C$76)&lt;=Inputs!$C$74," weekday"," weekend"),Utility_Rates!$C$28:$F$28,Inputs!$C$68)),"")</f>
      </c>
      <c r="H8196" s="34"/>
      <c r="I8196" s="42">
        <f>IF(AND(ISNUMBER(D8196),ISNUMBER(H8196)),D8196*H8196*Inputs!$C$69,"")</f>
      </c>
      <c r="J8196" s="42">
        <f>IF(AND(ISNUMBER(F8196),ISNUMBER(H8196),F8196&gt;=Inputs!$C$68),F8196*H8196*Inputs!$C$69,"")</f>
      </c>
    </row>
    <row r="8197" spans="2:10" ht="15" customHeight="1" x14ac:dyDescent="0.2">
      <c r="B8197" s="39">
        <f t="shared" si="64"/>
      </c>
      <c r="C8197" s="40">
        <f>IF(Inputs!$C$60,Inputs!$C$11+(B8197-Inputs!$C$69)/Inputs!$C$70,"")</f>
      </c>
      <c r="D8197" s="15"/>
      <c r="E8197" s="15"/>
      <c r="F8197" s="11">
        <f t="shared" si="65"/>
      </c>
      <c r="G8197" s="22" cm="1">
        <f t="array" ref="G8197">IF(AND(Inputs!$C$60,Inputs!$C$61),INDEX(Utility_Rates!$C$29:$F$52,HOUR(C8197)+Inputs!$C$69,MATCH(INDEX(Utility_Rates!$K$6:$K$17,MONTH(C8197))&amp;IF(WEEKDAY(C8197,Inputs!$C$76)&lt;=Inputs!$C$74," weekday"," weekend"),Utility_Rates!$C$28:$F$28,Inputs!$C$68)),"")</f>
      </c>
      <c r="H8197" s="34"/>
      <c r="I8197" s="42">
        <f>IF(AND(ISNUMBER(D8197),ISNUMBER(H8197)),D8197*H8197*Inputs!$C$69,"")</f>
      </c>
      <c r="J8197" s="42">
        <f>IF(AND(ISNUMBER(F8197),ISNUMBER(H8197),F8197&gt;=Inputs!$C$68),F8197*H8197*Inputs!$C$69,"")</f>
      </c>
    </row>
    <row r="8198" spans="2:10" ht="15" customHeight="1" x14ac:dyDescent="0.2">
      <c r="B8198" s="39">
        <f t="shared" si="64"/>
      </c>
      <c r="C8198" s="40">
        <f>IF(Inputs!$C$60,Inputs!$C$11+(B8198-Inputs!$C$69)/Inputs!$C$70,"")</f>
      </c>
      <c r="D8198" s="15"/>
      <c r="E8198" s="15"/>
      <c r="F8198" s="11">
        <f t="shared" si="65"/>
      </c>
      <c r="G8198" s="22" cm="1">
        <f t="array" ref="G8198">IF(AND(Inputs!$C$60,Inputs!$C$61),INDEX(Utility_Rates!$C$29:$F$52,HOUR(C8198)+Inputs!$C$69,MATCH(INDEX(Utility_Rates!$K$6:$K$17,MONTH(C8198))&amp;IF(WEEKDAY(C8198,Inputs!$C$76)&lt;=Inputs!$C$74," weekday"," weekend"),Utility_Rates!$C$28:$F$28,Inputs!$C$68)),"")</f>
      </c>
      <c r="H8198" s="34"/>
      <c r="I8198" s="42">
        <f>IF(AND(ISNUMBER(D8198),ISNUMBER(H8198)),D8198*H8198*Inputs!$C$69,"")</f>
      </c>
      <c r="J8198" s="42">
        <f>IF(AND(ISNUMBER(F8198),ISNUMBER(H8198),F8198&gt;=Inputs!$C$68),F8198*H8198*Inputs!$C$69,"")</f>
      </c>
    </row>
    <row r="8199" spans="2:10" ht="15" customHeight="1" x14ac:dyDescent="0.2">
      <c r="B8199" s="39">
        <f t="shared" si="64"/>
      </c>
      <c r="C8199" s="40">
        <f>IF(Inputs!$C$60,Inputs!$C$11+(B8199-Inputs!$C$69)/Inputs!$C$70,"")</f>
      </c>
      <c r="D8199" s="15"/>
      <c r="E8199" s="15"/>
      <c r="F8199" s="11">
        <f t="shared" si="65"/>
      </c>
      <c r="G8199" s="22" cm="1">
        <f t="array" ref="G8199">IF(AND(Inputs!$C$60,Inputs!$C$61),INDEX(Utility_Rates!$C$29:$F$52,HOUR(C8199)+Inputs!$C$69,MATCH(INDEX(Utility_Rates!$K$6:$K$17,MONTH(C8199))&amp;IF(WEEKDAY(C8199,Inputs!$C$76)&lt;=Inputs!$C$74," weekday"," weekend"),Utility_Rates!$C$28:$F$28,Inputs!$C$68)),"")</f>
      </c>
      <c r="H8199" s="34"/>
      <c r="I8199" s="42">
        <f>IF(AND(ISNUMBER(D8199),ISNUMBER(H8199)),D8199*H8199*Inputs!$C$69,"")</f>
      </c>
      <c r="J8199" s="42">
        <f>IF(AND(ISNUMBER(F8199),ISNUMBER(H8199),F8199&gt;=Inputs!$C$68),F8199*H8199*Inputs!$C$69,"")</f>
      </c>
    </row>
    <row r="8200" spans="2:10" ht="15" customHeight="1" x14ac:dyDescent="0.2">
      <c r="B8200" s="39">
        <f t="shared" si="64"/>
      </c>
      <c r="C8200" s="40">
        <f>IF(Inputs!$C$60,Inputs!$C$11+(B8200-Inputs!$C$69)/Inputs!$C$70,"")</f>
      </c>
      <c r="D8200" s="15"/>
      <c r="E8200" s="15"/>
      <c r="F8200" s="11">
        <f t="shared" si="65"/>
      </c>
      <c r="G8200" s="22" cm="1">
        <f t="array" ref="G8200">IF(AND(Inputs!$C$60,Inputs!$C$61),INDEX(Utility_Rates!$C$29:$F$52,HOUR(C8200)+Inputs!$C$69,MATCH(INDEX(Utility_Rates!$K$6:$K$17,MONTH(C8200))&amp;IF(WEEKDAY(C8200,Inputs!$C$76)&lt;=Inputs!$C$74," weekday"," weekend"),Utility_Rates!$C$28:$F$28,Inputs!$C$68)),"")</f>
      </c>
      <c r="H8200" s="34"/>
      <c r="I8200" s="42">
        <f>IF(AND(ISNUMBER(D8200),ISNUMBER(H8200)),D8200*H8200*Inputs!$C$69,"")</f>
      </c>
      <c r="J8200" s="42">
        <f>IF(AND(ISNUMBER(F8200),ISNUMBER(H8200),F8200&gt;=Inputs!$C$68),F8200*H8200*Inputs!$C$69,"")</f>
      </c>
    </row>
    <row r="8201" spans="2:10" ht="15" customHeight="1" x14ac:dyDescent="0.2">
      <c r="B8201" s="39">
        <f t="shared" si="64"/>
      </c>
      <c r="C8201" s="40">
        <f>IF(Inputs!$C$60,Inputs!$C$11+(B8201-Inputs!$C$69)/Inputs!$C$70,"")</f>
      </c>
      <c r="D8201" s="15"/>
      <c r="E8201" s="15"/>
      <c r="F8201" s="11">
        <f t="shared" si="65"/>
      </c>
      <c r="G8201" s="22" cm="1">
        <f t="array" ref="G8201">IF(AND(Inputs!$C$60,Inputs!$C$61),INDEX(Utility_Rates!$C$29:$F$52,HOUR(C8201)+Inputs!$C$69,MATCH(INDEX(Utility_Rates!$K$6:$K$17,MONTH(C8201))&amp;IF(WEEKDAY(C8201,Inputs!$C$76)&lt;=Inputs!$C$74," weekday"," weekend"),Utility_Rates!$C$28:$F$28,Inputs!$C$68)),"")</f>
      </c>
      <c r="H8201" s="34"/>
      <c r="I8201" s="42">
        <f>IF(AND(ISNUMBER(D8201),ISNUMBER(H8201)),D8201*H8201*Inputs!$C$69,"")</f>
      </c>
      <c r="J8201" s="42">
        <f>IF(AND(ISNUMBER(F8201),ISNUMBER(H8201),F8201&gt;=Inputs!$C$68),F8201*H8201*Inputs!$C$69,"")</f>
      </c>
    </row>
    <row r="8202" spans="2:10" ht="15" customHeight="1" x14ac:dyDescent="0.2">
      <c r="B8202" s="39">
        <f t="shared" si="64"/>
      </c>
      <c r="C8202" s="40">
        <f>IF(Inputs!$C$60,Inputs!$C$11+(B8202-Inputs!$C$69)/Inputs!$C$70,"")</f>
      </c>
      <c r="D8202" s="15"/>
      <c r="E8202" s="15"/>
      <c r="F8202" s="11">
        <f t="shared" si="65"/>
      </c>
      <c r="G8202" s="22" cm="1">
        <f t="array" ref="G8202">IF(AND(Inputs!$C$60,Inputs!$C$61),INDEX(Utility_Rates!$C$29:$F$52,HOUR(C8202)+Inputs!$C$69,MATCH(INDEX(Utility_Rates!$K$6:$K$17,MONTH(C8202))&amp;IF(WEEKDAY(C8202,Inputs!$C$76)&lt;=Inputs!$C$74," weekday"," weekend"),Utility_Rates!$C$28:$F$28,Inputs!$C$68)),"")</f>
      </c>
      <c r="H8202" s="34"/>
      <c r="I8202" s="42">
        <f>IF(AND(ISNUMBER(D8202),ISNUMBER(H8202)),D8202*H8202*Inputs!$C$69,"")</f>
      </c>
      <c r="J8202" s="42">
        <f>IF(AND(ISNUMBER(F8202),ISNUMBER(H8202),F8202&gt;=Inputs!$C$68),F8202*H8202*Inputs!$C$69,"")</f>
      </c>
    </row>
    <row r="8203" spans="2:10" ht="15" customHeight="1" x14ac:dyDescent="0.2">
      <c r="B8203" s="39">
        <f t="shared" si="64"/>
      </c>
      <c r="C8203" s="40">
        <f>IF(Inputs!$C$60,Inputs!$C$11+(B8203-Inputs!$C$69)/Inputs!$C$70,"")</f>
      </c>
      <c r="D8203" s="15"/>
      <c r="E8203" s="15"/>
      <c r="F8203" s="11">
        <f t="shared" si="65"/>
      </c>
      <c r="G8203" s="22" cm="1">
        <f t="array" ref="G8203">IF(AND(Inputs!$C$60,Inputs!$C$61),INDEX(Utility_Rates!$C$29:$F$52,HOUR(C8203)+Inputs!$C$69,MATCH(INDEX(Utility_Rates!$K$6:$K$17,MONTH(C8203))&amp;IF(WEEKDAY(C8203,Inputs!$C$76)&lt;=Inputs!$C$74," weekday"," weekend"),Utility_Rates!$C$28:$F$28,Inputs!$C$68)),"")</f>
      </c>
      <c r="H8203" s="34"/>
      <c r="I8203" s="42">
        <f>IF(AND(ISNUMBER(D8203),ISNUMBER(H8203)),D8203*H8203*Inputs!$C$69,"")</f>
      </c>
      <c r="J8203" s="42">
        <f>IF(AND(ISNUMBER(F8203),ISNUMBER(H8203),F8203&gt;=Inputs!$C$68),F8203*H8203*Inputs!$C$69,"")</f>
      </c>
    </row>
    <row r="8204" spans="2:10" ht="15" customHeight="1" x14ac:dyDescent="0.2">
      <c r="B8204" s="39">
        <f t="shared" si="64"/>
      </c>
      <c r="C8204" s="40">
        <f>IF(Inputs!$C$60,Inputs!$C$11+(B8204-Inputs!$C$69)/Inputs!$C$70,"")</f>
      </c>
      <c r="D8204" s="15"/>
      <c r="E8204" s="15"/>
      <c r="F8204" s="11">
        <f t="shared" si="65"/>
      </c>
      <c r="G8204" s="22" cm="1">
        <f t="array" ref="G8204">IF(AND(Inputs!$C$60,Inputs!$C$61),INDEX(Utility_Rates!$C$29:$F$52,HOUR(C8204)+Inputs!$C$69,MATCH(INDEX(Utility_Rates!$K$6:$K$17,MONTH(C8204))&amp;IF(WEEKDAY(C8204,Inputs!$C$76)&lt;=Inputs!$C$74," weekday"," weekend"),Utility_Rates!$C$28:$F$28,Inputs!$C$68)),"")</f>
      </c>
      <c r="H8204" s="34"/>
      <c r="I8204" s="42">
        <f>IF(AND(ISNUMBER(D8204),ISNUMBER(H8204)),D8204*H8204*Inputs!$C$69,"")</f>
      </c>
      <c r="J8204" s="42">
        <f>IF(AND(ISNUMBER(F8204),ISNUMBER(H8204),F8204&gt;=Inputs!$C$68),F8204*H8204*Inputs!$C$69,"")</f>
      </c>
    </row>
    <row r="8205" spans="2:10" ht="15" customHeight="1" x14ac:dyDescent="0.2">
      <c r="B8205" s="39">
        <f t="shared" si="64"/>
      </c>
      <c r="C8205" s="40">
        <f>IF(Inputs!$C$60,Inputs!$C$11+(B8205-Inputs!$C$69)/Inputs!$C$70,"")</f>
      </c>
      <c r="D8205" s="15"/>
      <c r="E8205" s="15"/>
      <c r="F8205" s="11">
        <f t="shared" si="65"/>
      </c>
      <c r="G8205" s="22" cm="1">
        <f t="array" ref="G8205">IF(AND(Inputs!$C$60,Inputs!$C$61),INDEX(Utility_Rates!$C$29:$F$52,HOUR(C8205)+Inputs!$C$69,MATCH(INDEX(Utility_Rates!$K$6:$K$17,MONTH(C8205))&amp;IF(WEEKDAY(C8205,Inputs!$C$76)&lt;=Inputs!$C$74," weekday"," weekend"),Utility_Rates!$C$28:$F$28,Inputs!$C$68)),"")</f>
      </c>
      <c r="H8205" s="34"/>
      <c r="I8205" s="42">
        <f>IF(AND(ISNUMBER(D8205),ISNUMBER(H8205)),D8205*H8205*Inputs!$C$69,"")</f>
      </c>
      <c r="J8205" s="42">
        <f>IF(AND(ISNUMBER(F8205),ISNUMBER(H8205),F8205&gt;=Inputs!$C$68),F8205*H8205*Inputs!$C$69,"")</f>
      </c>
    </row>
    <row r="8206" spans="2:10" ht="15" customHeight="1" x14ac:dyDescent="0.2">
      <c r="B8206" s="39">
        <f t="shared" si="64"/>
      </c>
      <c r="C8206" s="40">
        <f>IF(Inputs!$C$60,Inputs!$C$11+(B8206-Inputs!$C$69)/Inputs!$C$70,"")</f>
      </c>
      <c r="D8206" s="15"/>
      <c r="E8206" s="15"/>
      <c r="F8206" s="11">
        <f t="shared" si="65"/>
      </c>
      <c r="G8206" s="22" cm="1">
        <f t="array" ref="G8206">IF(AND(Inputs!$C$60,Inputs!$C$61),INDEX(Utility_Rates!$C$29:$F$52,HOUR(C8206)+Inputs!$C$69,MATCH(INDEX(Utility_Rates!$K$6:$K$17,MONTH(C8206))&amp;IF(WEEKDAY(C8206,Inputs!$C$76)&lt;=Inputs!$C$74," weekday"," weekend"),Utility_Rates!$C$28:$F$28,Inputs!$C$68)),"")</f>
      </c>
      <c r="H8206" s="34"/>
      <c r="I8206" s="42">
        <f>IF(AND(ISNUMBER(D8206),ISNUMBER(H8206)),D8206*H8206*Inputs!$C$69,"")</f>
      </c>
      <c r="J8206" s="42">
        <f>IF(AND(ISNUMBER(F8206),ISNUMBER(H8206),F8206&gt;=Inputs!$C$68),F8206*H8206*Inputs!$C$69,"")</f>
      </c>
    </row>
    <row r="8207" spans="2:10" ht="15" customHeight="1" x14ac:dyDescent="0.2">
      <c r="B8207" s="39">
        <f t="shared" si="64"/>
      </c>
      <c r="C8207" s="40">
        <f>IF(Inputs!$C$60,Inputs!$C$11+(B8207-Inputs!$C$69)/Inputs!$C$70,"")</f>
      </c>
      <c r="D8207" s="15"/>
      <c r="E8207" s="15"/>
      <c r="F8207" s="11">
        <f t="shared" si="65"/>
      </c>
      <c r="G8207" s="22" cm="1">
        <f t="array" ref="G8207">IF(AND(Inputs!$C$60,Inputs!$C$61),INDEX(Utility_Rates!$C$29:$F$52,HOUR(C8207)+Inputs!$C$69,MATCH(INDEX(Utility_Rates!$K$6:$K$17,MONTH(C8207))&amp;IF(WEEKDAY(C8207,Inputs!$C$76)&lt;=Inputs!$C$74," weekday"," weekend"),Utility_Rates!$C$28:$F$28,Inputs!$C$68)),"")</f>
      </c>
      <c r="H8207" s="34"/>
      <c r="I8207" s="42">
        <f>IF(AND(ISNUMBER(D8207),ISNUMBER(H8207)),D8207*H8207*Inputs!$C$69,"")</f>
      </c>
      <c r="J8207" s="42">
        <f>IF(AND(ISNUMBER(F8207),ISNUMBER(H8207),F8207&gt;=Inputs!$C$68),F8207*H8207*Inputs!$C$69,"")</f>
      </c>
    </row>
    <row r="8208" spans="2:10" ht="15" customHeight="1" x14ac:dyDescent="0.2">
      <c r="B8208" s="39">
        <f t="shared" si="64"/>
      </c>
      <c r="C8208" s="40">
        <f>IF(Inputs!$C$60,Inputs!$C$11+(B8208-Inputs!$C$69)/Inputs!$C$70,"")</f>
      </c>
      <c r="D8208" s="15"/>
      <c r="E8208" s="15"/>
      <c r="F8208" s="11">
        <f t="shared" si="65"/>
      </c>
      <c r="G8208" s="22" cm="1">
        <f t="array" ref="G8208">IF(AND(Inputs!$C$60,Inputs!$C$61),INDEX(Utility_Rates!$C$29:$F$52,HOUR(C8208)+Inputs!$C$69,MATCH(INDEX(Utility_Rates!$K$6:$K$17,MONTH(C8208))&amp;IF(WEEKDAY(C8208,Inputs!$C$76)&lt;=Inputs!$C$74," weekday"," weekend"),Utility_Rates!$C$28:$F$28,Inputs!$C$68)),"")</f>
      </c>
      <c r="H8208" s="34"/>
      <c r="I8208" s="42">
        <f>IF(AND(ISNUMBER(D8208),ISNUMBER(H8208)),D8208*H8208*Inputs!$C$69,"")</f>
      </c>
      <c r="J8208" s="42">
        <f>IF(AND(ISNUMBER(F8208),ISNUMBER(H8208),F8208&gt;=Inputs!$C$68),F8208*H8208*Inputs!$C$69,"")</f>
      </c>
    </row>
    <row r="8209" spans="2:10" ht="15" customHeight="1" x14ac:dyDescent="0.2">
      <c r="B8209" s="39">
        <f t="shared" si="64"/>
      </c>
      <c r="C8209" s="40">
        <f>IF(Inputs!$C$60,Inputs!$C$11+(B8209-Inputs!$C$69)/Inputs!$C$70,"")</f>
      </c>
      <c r="D8209" s="15"/>
      <c r="E8209" s="15"/>
      <c r="F8209" s="11">
        <f t="shared" si="65"/>
      </c>
      <c r="G8209" s="22" cm="1">
        <f t="array" ref="G8209">IF(AND(Inputs!$C$60,Inputs!$C$61),INDEX(Utility_Rates!$C$29:$F$52,HOUR(C8209)+Inputs!$C$69,MATCH(INDEX(Utility_Rates!$K$6:$K$17,MONTH(C8209))&amp;IF(WEEKDAY(C8209,Inputs!$C$76)&lt;=Inputs!$C$74," weekday"," weekend"),Utility_Rates!$C$28:$F$28,Inputs!$C$68)),"")</f>
      </c>
      <c r="H8209" s="34"/>
      <c r="I8209" s="42">
        <f>IF(AND(ISNUMBER(D8209),ISNUMBER(H8209)),D8209*H8209*Inputs!$C$69,"")</f>
      </c>
      <c r="J8209" s="42">
        <f>IF(AND(ISNUMBER(F8209),ISNUMBER(H8209),F8209&gt;=Inputs!$C$68),F8209*H8209*Inputs!$C$69,"")</f>
      </c>
    </row>
    <row r="8210" spans="2:10" ht="15" customHeight="1" x14ac:dyDescent="0.2">
      <c r="B8210" s="39">
        <f t="shared" si="64"/>
      </c>
      <c r="C8210" s="40">
        <f>IF(Inputs!$C$60,Inputs!$C$11+(B8210-Inputs!$C$69)/Inputs!$C$70,"")</f>
      </c>
      <c r="D8210" s="15"/>
      <c r="E8210" s="15"/>
      <c r="F8210" s="11">
        <f t="shared" si="65"/>
      </c>
      <c r="G8210" s="22" cm="1">
        <f t="array" ref="G8210">IF(AND(Inputs!$C$60,Inputs!$C$61),INDEX(Utility_Rates!$C$29:$F$52,HOUR(C8210)+Inputs!$C$69,MATCH(INDEX(Utility_Rates!$K$6:$K$17,MONTH(C8210))&amp;IF(WEEKDAY(C8210,Inputs!$C$76)&lt;=Inputs!$C$74," weekday"," weekend"),Utility_Rates!$C$28:$F$28,Inputs!$C$68)),"")</f>
      </c>
      <c r="H8210" s="34"/>
      <c r="I8210" s="42">
        <f>IF(AND(ISNUMBER(D8210),ISNUMBER(H8210)),D8210*H8210*Inputs!$C$69,"")</f>
      </c>
      <c r="J8210" s="42">
        <f>IF(AND(ISNUMBER(F8210),ISNUMBER(H8210),F8210&gt;=Inputs!$C$68),F8210*H8210*Inputs!$C$69,"")</f>
      </c>
    </row>
    <row r="8211" spans="2:10" ht="15" customHeight="1" x14ac:dyDescent="0.2">
      <c r="B8211" s="39">
        <f t="shared" si="64"/>
      </c>
      <c r="C8211" s="40">
        <f>IF(Inputs!$C$60,Inputs!$C$11+(B8211-Inputs!$C$69)/Inputs!$C$70,"")</f>
      </c>
      <c r="D8211" s="15"/>
      <c r="E8211" s="15"/>
      <c r="F8211" s="11">
        <f t="shared" si="65"/>
      </c>
      <c r="G8211" s="22" cm="1">
        <f t="array" ref="G8211">IF(AND(Inputs!$C$60,Inputs!$C$61),INDEX(Utility_Rates!$C$29:$F$52,HOUR(C8211)+Inputs!$C$69,MATCH(INDEX(Utility_Rates!$K$6:$K$17,MONTH(C8211))&amp;IF(WEEKDAY(C8211,Inputs!$C$76)&lt;=Inputs!$C$74," weekday"," weekend"),Utility_Rates!$C$28:$F$28,Inputs!$C$68)),"")</f>
      </c>
      <c r="H8211" s="34"/>
      <c r="I8211" s="42">
        <f>IF(AND(ISNUMBER(D8211),ISNUMBER(H8211)),D8211*H8211*Inputs!$C$69,"")</f>
      </c>
      <c r="J8211" s="42">
        <f>IF(AND(ISNUMBER(F8211),ISNUMBER(H8211),F8211&gt;=Inputs!$C$68),F8211*H8211*Inputs!$C$69,"")</f>
      </c>
    </row>
    <row r="8212" spans="2:10" ht="15" customHeight="1" x14ac:dyDescent="0.2">
      <c r="B8212" s="39">
        <f t="shared" si="64"/>
      </c>
      <c r="C8212" s="40">
        <f>IF(Inputs!$C$60,Inputs!$C$11+(B8212-Inputs!$C$69)/Inputs!$C$70,"")</f>
      </c>
      <c r="D8212" s="15"/>
      <c r="E8212" s="15"/>
      <c r="F8212" s="11">
        <f t="shared" si="65"/>
      </c>
      <c r="G8212" s="22" cm="1">
        <f t="array" ref="G8212">IF(AND(Inputs!$C$60,Inputs!$C$61),INDEX(Utility_Rates!$C$29:$F$52,HOUR(C8212)+Inputs!$C$69,MATCH(INDEX(Utility_Rates!$K$6:$K$17,MONTH(C8212))&amp;IF(WEEKDAY(C8212,Inputs!$C$76)&lt;=Inputs!$C$74," weekday"," weekend"),Utility_Rates!$C$28:$F$28,Inputs!$C$68)),"")</f>
      </c>
      <c r="H8212" s="34"/>
      <c r="I8212" s="42">
        <f>IF(AND(ISNUMBER(D8212),ISNUMBER(H8212)),D8212*H8212*Inputs!$C$69,"")</f>
      </c>
      <c r="J8212" s="42">
        <f>IF(AND(ISNUMBER(F8212),ISNUMBER(H8212),F8212&gt;=Inputs!$C$68),F8212*H8212*Inputs!$C$69,"")</f>
      </c>
    </row>
    <row r="8213" spans="2:10" ht="15" customHeight="1" x14ac:dyDescent="0.2">
      <c r="B8213" s="39">
        <f t="shared" si="64"/>
      </c>
      <c r="C8213" s="40">
        <f>IF(Inputs!$C$60,Inputs!$C$11+(B8213-Inputs!$C$69)/Inputs!$C$70,"")</f>
      </c>
      <c r="D8213" s="15"/>
      <c r="E8213" s="15"/>
      <c r="F8213" s="11">
        <f t="shared" si="65"/>
      </c>
      <c r="G8213" s="22" cm="1">
        <f t="array" ref="G8213">IF(AND(Inputs!$C$60,Inputs!$C$61),INDEX(Utility_Rates!$C$29:$F$52,HOUR(C8213)+Inputs!$C$69,MATCH(INDEX(Utility_Rates!$K$6:$K$17,MONTH(C8213))&amp;IF(WEEKDAY(C8213,Inputs!$C$76)&lt;=Inputs!$C$74," weekday"," weekend"),Utility_Rates!$C$28:$F$28,Inputs!$C$68)),"")</f>
      </c>
      <c r="H8213" s="34"/>
      <c r="I8213" s="42">
        <f>IF(AND(ISNUMBER(D8213),ISNUMBER(H8213)),D8213*H8213*Inputs!$C$69,"")</f>
      </c>
      <c r="J8213" s="42">
        <f>IF(AND(ISNUMBER(F8213),ISNUMBER(H8213),F8213&gt;=Inputs!$C$68),F8213*H8213*Inputs!$C$69,"")</f>
      </c>
    </row>
    <row r="8214" spans="2:10" ht="15" customHeight="1" x14ac:dyDescent="0.2">
      <c r="B8214" s="39">
        <f t="shared" si="64"/>
      </c>
      <c r="C8214" s="40">
        <f>IF(Inputs!$C$60,Inputs!$C$11+(B8214-Inputs!$C$69)/Inputs!$C$70,"")</f>
      </c>
      <c r="D8214" s="15"/>
      <c r="E8214" s="15"/>
      <c r="F8214" s="11">
        <f t="shared" si="65"/>
      </c>
      <c r="G8214" s="22" cm="1">
        <f t="array" ref="G8214">IF(AND(Inputs!$C$60,Inputs!$C$61),INDEX(Utility_Rates!$C$29:$F$52,HOUR(C8214)+Inputs!$C$69,MATCH(INDEX(Utility_Rates!$K$6:$K$17,MONTH(C8214))&amp;IF(WEEKDAY(C8214,Inputs!$C$76)&lt;=Inputs!$C$74," weekday"," weekend"),Utility_Rates!$C$28:$F$28,Inputs!$C$68)),"")</f>
      </c>
      <c r="H8214" s="34"/>
      <c r="I8214" s="42">
        <f>IF(AND(ISNUMBER(D8214),ISNUMBER(H8214)),D8214*H8214*Inputs!$C$69,"")</f>
      </c>
      <c r="J8214" s="42">
        <f>IF(AND(ISNUMBER(F8214),ISNUMBER(H8214),F8214&gt;=Inputs!$C$68),F8214*H8214*Inputs!$C$69,"")</f>
      </c>
    </row>
    <row r="8215" spans="2:10" ht="15" customHeight="1" x14ac:dyDescent="0.2">
      <c r="B8215" s="39">
        <f t="shared" si="64"/>
      </c>
      <c r="C8215" s="40">
        <f>IF(Inputs!$C$60,Inputs!$C$11+(B8215-Inputs!$C$69)/Inputs!$C$70,"")</f>
      </c>
      <c r="D8215" s="15"/>
      <c r="E8215" s="15"/>
      <c r="F8215" s="11">
        <f t="shared" si="65"/>
      </c>
      <c r="G8215" s="22" cm="1">
        <f t="array" ref="G8215">IF(AND(Inputs!$C$60,Inputs!$C$61),INDEX(Utility_Rates!$C$29:$F$52,HOUR(C8215)+Inputs!$C$69,MATCH(INDEX(Utility_Rates!$K$6:$K$17,MONTH(C8215))&amp;IF(WEEKDAY(C8215,Inputs!$C$76)&lt;=Inputs!$C$74," weekday"," weekend"),Utility_Rates!$C$28:$F$28,Inputs!$C$68)),"")</f>
      </c>
      <c r="H8215" s="34"/>
      <c r="I8215" s="42">
        <f>IF(AND(ISNUMBER(D8215),ISNUMBER(H8215)),D8215*H8215*Inputs!$C$69,"")</f>
      </c>
      <c r="J8215" s="42">
        <f>IF(AND(ISNUMBER(F8215),ISNUMBER(H8215),F8215&gt;=Inputs!$C$68),F8215*H8215*Inputs!$C$69,"")</f>
      </c>
    </row>
    <row r="8216" spans="2:10" ht="15" customHeight="1" x14ac:dyDescent="0.2">
      <c r="B8216" s="39">
        <f t="shared" si="64"/>
      </c>
      <c r="C8216" s="40">
        <f>IF(Inputs!$C$60,Inputs!$C$11+(B8216-Inputs!$C$69)/Inputs!$C$70,"")</f>
      </c>
      <c r="D8216" s="15"/>
      <c r="E8216" s="15"/>
      <c r="F8216" s="11">
        <f t="shared" si="65"/>
      </c>
      <c r="G8216" s="22" cm="1">
        <f t="array" ref="G8216">IF(AND(Inputs!$C$60,Inputs!$C$61),INDEX(Utility_Rates!$C$29:$F$52,HOUR(C8216)+Inputs!$C$69,MATCH(INDEX(Utility_Rates!$K$6:$K$17,MONTH(C8216))&amp;IF(WEEKDAY(C8216,Inputs!$C$76)&lt;=Inputs!$C$74," weekday"," weekend"),Utility_Rates!$C$28:$F$28,Inputs!$C$68)),"")</f>
      </c>
      <c r="H8216" s="34"/>
      <c r="I8216" s="42">
        <f>IF(AND(ISNUMBER(D8216),ISNUMBER(H8216)),D8216*H8216*Inputs!$C$69,"")</f>
      </c>
      <c r="J8216" s="42">
        <f>IF(AND(ISNUMBER(F8216),ISNUMBER(H8216),F8216&gt;=Inputs!$C$68),F8216*H8216*Inputs!$C$69,"")</f>
      </c>
    </row>
    <row r="8217" spans="2:10" ht="15" customHeight="1" x14ac:dyDescent="0.2">
      <c r="B8217" s="39">
        <f t="shared" si="64"/>
      </c>
      <c r="C8217" s="40">
        <f>IF(Inputs!$C$60,Inputs!$C$11+(B8217-Inputs!$C$69)/Inputs!$C$70,"")</f>
      </c>
      <c r="D8217" s="15"/>
      <c r="E8217" s="15"/>
      <c r="F8217" s="11">
        <f t="shared" si="65"/>
      </c>
      <c r="G8217" s="22" cm="1">
        <f t="array" ref="G8217">IF(AND(Inputs!$C$60,Inputs!$C$61),INDEX(Utility_Rates!$C$29:$F$52,HOUR(C8217)+Inputs!$C$69,MATCH(INDEX(Utility_Rates!$K$6:$K$17,MONTH(C8217))&amp;IF(WEEKDAY(C8217,Inputs!$C$76)&lt;=Inputs!$C$74," weekday"," weekend"),Utility_Rates!$C$28:$F$28,Inputs!$C$68)),"")</f>
      </c>
      <c r="H8217" s="34"/>
      <c r="I8217" s="42">
        <f>IF(AND(ISNUMBER(D8217),ISNUMBER(H8217)),D8217*H8217*Inputs!$C$69,"")</f>
      </c>
      <c r="J8217" s="42">
        <f>IF(AND(ISNUMBER(F8217),ISNUMBER(H8217),F8217&gt;=Inputs!$C$68),F8217*H8217*Inputs!$C$69,"")</f>
      </c>
    </row>
    <row r="8218" spans="2:10" ht="15" customHeight="1" x14ac:dyDescent="0.2">
      <c r="B8218" s="39">
        <f t="shared" si="64"/>
      </c>
      <c r="C8218" s="40">
        <f>IF(Inputs!$C$60,Inputs!$C$11+(B8218-Inputs!$C$69)/Inputs!$C$70,"")</f>
      </c>
      <c r="D8218" s="15"/>
      <c r="E8218" s="15"/>
      <c r="F8218" s="11">
        <f t="shared" si="65"/>
      </c>
      <c r="G8218" s="22" cm="1">
        <f t="array" ref="G8218">IF(AND(Inputs!$C$60,Inputs!$C$61),INDEX(Utility_Rates!$C$29:$F$52,HOUR(C8218)+Inputs!$C$69,MATCH(INDEX(Utility_Rates!$K$6:$K$17,MONTH(C8218))&amp;IF(WEEKDAY(C8218,Inputs!$C$76)&lt;=Inputs!$C$74," weekday"," weekend"),Utility_Rates!$C$28:$F$28,Inputs!$C$68)),"")</f>
      </c>
      <c r="H8218" s="34"/>
      <c r="I8218" s="42">
        <f>IF(AND(ISNUMBER(D8218),ISNUMBER(H8218)),D8218*H8218*Inputs!$C$69,"")</f>
      </c>
      <c r="J8218" s="42">
        <f>IF(AND(ISNUMBER(F8218),ISNUMBER(H8218),F8218&gt;=Inputs!$C$68),F8218*H8218*Inputs!$C$69,"")</f>
      </c>
    </row>
    <row r="8219" spans="2:10" ht="15" customHeight="1" x14ac:dyDescent="0.2">
      <c r="B8219" s="39">
        <f t="shared" si="64"/>
      </c>
      <c r="C8219" s="40">
        <f>IF(Inputs!$C$60,Inputs!$C$11+(B8219-Inputs!$C$69)/Inputs!$C$70,"")</f>
      </c>
      <c r="D8219" s="15"/>
      <c r="E8219" s="15"/>
      <c r="F8219" s="11">
        <f t="shared" si="65"/>
      </c>
      <c r="G8219" s="22" cm="1">
        <f t="array" ref="G8219">IF(AND(Inputs!$C$60,Inputs!$C$61),INDEX(Utility_Rates!$C$29:$F$52,HOUR(C8219)+Inputs!$C$69,MATCH(INDEX(Utility_Rates!$K$6:$K$17,MONTH(C8219))&amp;IF(WEEKDAY(C8219,Inputs!$C$76)&lt;=Inputs!$C$74," weekday"," weekend"),Utility_Rates!$C$28:$F$28,Inputs!$C$68)),"")</f>
      </c>
      <c r="H8219" s="34"/>
      <c r="I8219" s="42">
        <f>IF(AND(ISNUMBER(D8219),ISNUMBER(H8219)),D8219*H8219*Inputs!$C$69,"")</f>
      </c>
      <c r="J8219" s="42">
        <f>IF(AND(ISNUMBER(F8219),ISNUMBER(H8219),F8219&gt;=Inputs!$C$68),F8219*H8219*Inputs!$C$69,"")</f>
      </c>
    </row>
    <row r="8220" spans="2:10" ht="15" customHeight="1" x14ac:dyDescent="0.2">
      <c r="B8220" s="39">
        <f t="shared" si="64"/>
      </c>
      <c r="C8220" s="40">
        <f>IF(Inputs!$C$60,Inputs!$C$11+(B8220-Inputs!$C$69)/Inputs!$C$70,"")</f>
      </c>
      <c r="D8220" s="15"/>
      <c r="E8220" s="15"/>
      <c r="F8220" s="11">
        <f t="shared" si="65"/>
      </c>
      <c r="G8220" s="22" cm="1">
        <f t="array" ref="G8220">IF(AND(Inputs!$C$60,Inputs!$C$61),INDEX(Utility_Rates!$C$29:$F$52,HOUR(C8220)+Inputs!$C$69,MATCH(INDEX(Utility_Rates!$K$6:$K$17,MONTH(C8220))&amp;IF(WEEKDAY(C8220,Inputs!$C$76)&lt;=Inputs!$C$74," weekday"," weekend"),Utility_Rates!$C$28:$F$28,Inputs!$C$68)),"")</f>
      </c>
      <c r="H8220" s="34"/>
      <c r="I8220" s="42">
        <f>IF(AND(ISNUMBER(D8220),ISNUMBER(H8220)),D8220*H8220*Inputs!$C$69,"")</f>
      </c>
      <c r="J8220" s="42">
        <f>IF(AND(ISNUMBER(F8220),ISNUMBER(H8220),F8220&gt;=Inputs!$C$68),F8220*H8220*Inputs!$C$69,"")</f>
      </c>
    </row>
    <row r="8221" spans="2:10" ht="15" customHeight="1" x14ac:dyDescent="0.2">
      <c r="B8221" s="39">
        <f t="shared" si="64"/>
      </c>
      <c r="C8221" s="40">
        <f>IF(Inputs!$C$60,Inputs!$C$11+(B8221-Inputs!$C$69)/Inputs!$C$70,"")</f>
      </c>
      <c r="D8221" s="15"/>
      <c r="E8221" s="15"/>
      <c r="F8221" s="11">
        <f t="shared" si="65"/>
      </c>
      <c r="G8221" s="22" cm="1">
        <f t="array" ref="G8221">IF(AND(Inputs!$C$60,Inputs!$C$61),INDEX(Utility_Rates!$C$29:$F$52,HOUR(C8221)+Inputs!$C$69,MATCH(INDEX(Utility_Rates!$K$6:$K$17,MONTH(C8221))&amp;IF(WEEKDAY(C8221,Inputs!$C$76)&lt;=Inputs!$C$74," weekday"," weekend"),Utility_Rates!$C$28:$F$28,Inputs!$C$68)),"")</f>
      </c>
      <c r="H8221" s="34"/>
      <c r="I8221" s="42">
        <f>IF(AND(ISNUMBER(D8221),ISNUMBER(H8221)),D8221*H8221*Inputs!$C$69,"")</f>
      </c>
      <c r="J8221" s="42">
        <f>IF(AND(ISNUMBER(F8221),ISNUMBER(H8221),F8221&gt;=Inputs!$C$68),F8221*H8221*Inputs!$C$69,"")</f>
      </c>
    </row>
    <row r="8222" spans="2:10" ht="15" customHeight="1" x14ac:dyDescent="0.2">
      <c r="B8222" s="39">
        <f t="shared" si="64"/>
      </c>
      <c r="C8222" s="40">
        <f>IF(Inputs!$C$60,Inputs!$C$11+(B8222-Inputs!$C$69)/Inputs!$C$70,"")</f>
      </c>
      <c r="D8222" s="15"/>
      <c r="E8222" s="15"/>
      <c r="F8222" s="11">
        <f t="shared" si="65"/>
      </c>
      <c r="G8222" s="22" cm="1">
        <f t="array" ref="G8222">IF(AND(Inputs!$C$60,Inputs!$C$61),INDEX(Utility_Rates!$C$29:$F$52,HOUR(C8222)+Inputs!$C$69,MATCH(INDEX(Utility_Rates!$K$6:$K$17,MONTH(C8222))&amp;IF(WEEKDAY(C8222,Inputs!$C$76)&lt;=Inputs!$C$74," weekday"," weekend"),Utility_Rates!$C$28:$F$28,Inputs!$C$68)),"")</f>
      </c>
      <c r="H8222" s="34"/>
      <c r="I8222" s="42">
        <f>IF(AND(ISNUMBER(D8222),ISNUMBER(H8222)),D8222*H8222*Inputs!$C$69,"")</f>
      </c>
      <c r="J8222" s="42">
        <f>IF(AND(ISNUMBER(F8222),ISNUMBER(H8222),F8222&gt;=Inputs!$C$68),F8222*H8222*Inputs!$C$69,"")</f>
      </c>
    </row>
    <row r="8223" spans="2:10" ht="15" customHeight="1" x14ac:dyDescent="0.2">
      <c r="B8223" s="39">
        <f t="shared" si="64"/>
      </c>
      <c r="C8223" s="40">
        <f>IF(Inputs!$C$60,Inputs!$C$11+(B8223-Inputs!$C$69)/Inputs!$C$70,"")</f>
      </c>
      <c r="D8223" s="15"/>
      <c r="E8223" s="15"/>
      <c r="F8223" s="11">
        <f t="shared" si="65"/>
      </c>
      <c r="G8223" s="22" cm="1">
        <f t="array" ref="G8223">IF(AND(Inputs!$C$60,Inputs!$C$61),INDEX(Utility_Rates!$C$29:$F$52,HOUR(C8223)+Inputs!$C$69,MATCH(INDEX(Utility_Rates!$K$6:$K$17,MONTH(C8223))&amp;IF(WEEKDAY(C8223,Inputs!$C$76)&lt;=Inputs!$C$74," weekday"," weekend"),Utility_Rates!$C$28:$F$28,Inputs!$C$68)),"")</f>
      </c>
      <c r="H8223" s="34"/>
      <c r="I8223" s="42">
        <f>IF(AND(ISNUMBER(D8223),ISNUMBER(H8223)),D8223*H8223*Inputs!$C$69,"")</f>
      </c>
      <c r="J8223" s="42">
        <f>IF(AND(ISNUMBER(F8223),ISNUMBER(H8223),F8223&gt;=Inputs!$C$68),F8223*H8223*Inputs!$C$69,"")</f>
      </c>
    </row>
    <row r="8224" spans="2:10" ht="15" customHeight="1" x14ac:dyDescent="0.2">
      <c r="B8224" s="39">
        <f t="shared" si="64"/>
      </c>
      <c r="C8224" s="40">
        <f>IF(Inputs!$C$60,Inputs!$C$11+(B8224-Inputs!$C$69)/Inputs!$C$70,"")</f>
      </c>
      <c r="D8224" s="15"/>
      <c r="E8224" s="15"/>
      <c r="F8224" s="11">
        <f t="shared" si="65"/>
      </c>
      <c r="G8224" s="22" cm="1">
        <f t="array" ref="G8224">IF(AND(Inputs!$C$60,Inputs!$C$61),INDEX(Utility_Rates!$C$29:$F$52,HOUR(C8224)+Inputs!$C$69,MATCH(INDEX(Utility_Rates!$K$6:$K$17,MONTH(C8224))&amp;IF(WEEKDAY(C8224,Inputs!$C$76)&lt;=Inputs!$C$74," weekday"," weekend"),Utility_Rates!$C$28:$F$28,Inputs!$C$68)),"")</f>
      </c>
      <c r="H8224" s="34"/>
      <c r="I8224" s="42">
        <f>IF(AND(ISNUMBER(D8224),ISNUMBER(H8224)),D8224*H8224*Inputs!$C$69,"")</f>
      </c>
      <c r="J8224" s="42">
        <f>IF(AND(ISNUMBER(F8224),ISNUMBER(H8224),F8224&gt;=Inputs!$C$68),F8224*H8224*Inputs!$C$69,"")</f>
      </c>
    </row>
    <row r="8225" spans="2:10" ht="15" customHeight="1" x14ac:dyDescent="0.2">
      <c r="B8225" s="39">
        <f t="shared" si="64"/>
      </c>
      <c r="C8225" s="40">
        <f>IF(Inputs!$C$60,Inputs!$C$11+(B8225-Inputs!$C$69)/Inputs!$C$70,"")</f>
      </c>
      <c r="D8225" s="15"/>
      <c r="E8225" s="15"/>
      <c r="F8225" s="11">
        <f t="shared" si="65"/>
      </c>
      <c r="G8225" s="22" cm="1">
        <f t="array" ref="G8225">IF(AND(Inputs!$C$60,Inputs!$C$61),INDEX(Utility_Rates!$C$29:$F$52,HOUR(C8225)+Inputs!$C$69,MATCH(INDEX(Utility_Rates!$K$6:$K$17,MONTH(C8225))&amp;IF(WEEKDAY(C8225,Inputs!$C$76)&lt;=Inputs!$C$74," weekday"," weekend"),Utility_Rates!$C$28:$F$28,Inputs!$C$68)),"")</f>
      </c>
      <c r="H8225" s="34"/>
      <c r="I8225" s="42">
        <f>IF(AND(ISNUMBER(D8225),ISNUMBER(H8225)),D8225*H8225*Inputs!$C$69,"")</f>
      </c>
      <c r="J8225" s="42">
        <f>IF(AND(ISNUMBER(F8225),ISNUMBER(H8225),F8225&gt;=Inputs!$C$68),F8225*H8225*Inputs!$C$69,"")</f>
      </c>
    </row>
    <row r="8226" spans="2:10" ht="15" customHeight="1" x14ac:dyDescent="0.2">
      <c r="B8226" s="39">
        <f t="shared" si="64"/>
      </c>
      <c r="C8226" s="40">
        <f>IF(Inputs!$C$60,Inputs!$C$11+(B8226-Inputs!$C$69)/Inputs!$C$70,"")</f>
      </c>
      <c r="D8226" s="15"/>
      <c r="E8226" s="15"/>
      <c r="F8226" s="11">
        <f t="shared" si="65"/>
      </c>
      <c r="G8226" s="22" cm="1">
        <f t="array" ref="G8226">IF(AND(Inputs!$C$60,Inputs!$C$61),INDEX(Utility_Rates!$C$29:$F$52,HOUR(C8226)+Inputs!$C$69,MATCH(INDEX(Utility_Rates!$K$6:$K$17,MONTH(C8226))&amp;IF(WEEKDAY(C8226,Inputs!$C$76)&lt;=Inputs!$C$74," weekday"," weekend"),Utility_Rates!$C$28:$F$28,Inputs!$C$68)),"")</f>
      </c>
      <c r="H8226" s="34"/>
      <c r="I8226" s="42">
        <f>IF(AND(ISNUMBER(D8226),ISNUMBER(H8226)),D8226*H8226*Inputs!$C$69,"")</f>
      </c>
      <c r="J8226" s="42">
        <f>IF(AND(ISNUMBER(F8226),ISNUMBER(H8226),F8226&gt;=Inputs!$C$68),F8226*H8226*Inputs!$C$69,"")</f>
      </c>
    </row>
    <row r="8227" spans="2:10" ht="15" customHeight="1" x14ac:dyDescent="0.2">
      <c r="B8227" s="39">
        <f t="shared" si="64"/>
      </c>
      <c r="C8227" s="40">
        <f>IF(Inputs!$C$60,Inputs!$C$11+(B8227-Inputs!$C$69)/Inputs!$C$70,"")</f>
      </c>
      <c r="D8227" s="15"/>
      <c r="E8227" s="15"/>
      <c r="F8227" s="11">
        <f t="shared" si="65"/>
      </c>
      <c r="G8227" s="22" cm="1">
        <f t="array" ref="G8227">IF(AND(Inputs!$C$60,Inputs!$C$61),INDEX(Utility_Rates!$C$29:$F$52,HOUR(C8227)+Inputs!$C$69,MATCH(INDEX(Utility_Rates!$K$6:$K$17,MONTH(C8227))&amp;IF(WEEKDAY(C8227,Inputs!$C$76)&lt;=Inputs!$C$74," weekday"," weekend"),Utility_Rates!$C$28:$F$28,Inputs!$C$68)),"")</f>
      </c>
      <c r="H8227" s="34"/>
      <c r="I8227" s="42">
        <f>IF(AND(ISNUMBER(D8227),ISNUMBER(H8227)),D8227*H8227*Inputs!$C$69,"")</f>
      </c>
      <c r="J8227" s="42">
        <f>IF(AND(ISNUMBER(F8227),ISNUMBER(H8227),F8227&gt;=Inputs!$C$68),F8227*H8227*Inputs!$C$69,"")</f>
      </c>
    </row>
    <row r="8228" spans="2:10" ht="15" customHeight="1" x14ac:dyDescent="0.2">
      <c r="B8228" s="39">
        <f t="shared" si="64"/>
      </c>
      <c r="C8228" s="40">
        <f>IF(Inputs!$C$60,Inputs!$C$11+(B8228-Inputs!$C$69)/Inputs!$C$70,"")</f>
      </c>
      <c r="D8228" s="15"/>
      <c r="E8228" s="15"/>
      <c r="F8228" s="11">
        <f t="shared" si="65"/>
      </c>
      <c r="G8228" s="22" cm="1">
        <f t="array" ref="G8228">IF(AND(Inputs!$C$60,Inputs!$C$61),INDEX(Utility_Rates!$C$29:$F$52,HOUR(C8228)+Inputs!$C$69,MATCH(INDEX(Utility_Rates!$K$6:$K$17,MONTH(C8228))&amp;IF(WEEKDAY(C8228,Inputs!$C$76)&lt;=Inputs!$C$74," weekday"," weekend"),Utility_Rates!$C$28:$F$28,Inputs!$C$68)),"")</f>
      </c>
      <c r="H8228" s="34"/>
      <c r="I8228" s="42">
        <f>IF(AND(ISNUMBER(D8228),ISNUMBER(H8228)),D8228*H8228*Inputs!$C$69,"")</f>
      </c>
      <c r="J8228" s="42">
        <f>IF(AND(ISNUMBER(F8228),ISNUMBER(H8228),F8228&gt;=Inputs!$C$68),F8228*H8228*Inputs!$C$69,"")</f>
      </c>
    </row>
    <row r="8229" spans="2:10" ht="15" customHeight="1" x14ac:dyDescent="0.2">
      <c r="B8229" s="39">
        <f t="shared" si="64"/>
      </c>
      <c r="C8229" s="40">
        <f>IF(Inputs!$C$60,Inputs!$C$11+(B8229-Inputs!$C$69)/Inputs!$C$70,"")</f>
      </c>
      <c r="D8229" s="15"/>
      <c r="E8229" s="15"/>
      <c r="F8229" s="11">
        <f t="shared" si="65"/>
      </c>
      <c r="G8229" s="22" cm="1">
        <f t="array" ref="G8229">IF(AND(Inputs!$C$60,Inputs!$C$61),INDEX(Utility_Rates!$C$29:$F$52,HOUR(C8229)+Inputs!$C$69,MATCH(INDEX(Utility_Rates!$K$6:$K$17,MONTH(C8229))&amp;IF(WEEKDAY(C8229,Inputs!$C$76)&lt;=Inputs!$C$74," weekday"," weekend"),Utility_Rates!$C$28:$F$28,Inputs!$C$68)),"")</f>
      </c>
      <c r="H8229" s="34"/>
      <c r="I8229" s="42">
        <f>IF(AND(ISNUMBER(D8229),ISNUMBER(H8229)),D8229*H8229*Inputs!$C$69,"")</f>
      </c>
      <c r="J8229" s="42">
        <f>IF(AND(ISNUMBER(F8229),ISNUMBER(H8229),F8229&gt;=Inputs!$C$68),F8229*H8229*Inputs!$C$69,"")</f>
      </c>
    </row>
    <row r="8230" spans="2:10" ht="15" customHeight="1" x14ac:dyDescent="0.2">
      <c r="B8230" s="39">
        <f t="shared" si="64"/>
      </c>
      <c r="C8230" s="40">
        <f>IF(Inputs!$C$60,Inputs!$C$11+(B8230-Inputs!$C$69)/Inputs!$C$70,"")</f>
      </c>
      <c r="D8230" s="15"/>
      <c r="E8230" s="15"/>
      <c r="F8230" s="11">
        <f t="shared" si="65"/>
      </c>
      <c r="G8230" s="22" cm="1">
        <f t="array" ref="G8230">IF(AND(Inputs!$C$60,Inputs!$C$61),INDEX(Utility_Rates!$C$29:$F$52,HOUR(C8230)+Inputs!$C$69,MATCH(INDEX(Utility_Rates!$K$6:$K$17,MONTH(C8230))&amp;IF(WEEKDAY(C8230,Inputs!$C$76)&lt;=Inputs!$C$74," weekday"," weekend"),Utility_Rates!$C$28:$F$28,Inputs!$C$68)),"")</f>
      </c>
      <c r="H8230" s="34"/>
      <c r="I8230" s="42">
        <f>IF(AND(ISNUMBER(D8230),ISNUMBER(H8230)),D8230*H8230*Inputs!$C$69,"")</f>
      </c>
      <c r="J8230" s="42">
        <f>IF(AND(ISNUMBER(F8230),ISNUMBER(H8230),F8230&gt;=Inputs!$C$68),F8230*H8230*Inputs!$C$69,"")</f>
      </c>
    </row>
    <row r="8231" spans="2:10" ht="15" customHeight="1" x14ac:dyDescent="0.2">
      <c r="B8231" s="39">
        <f t="shared" si="64"/>
      </c>
      <c r="C8231" s="40">
        <f>IF(Inputs!$C$60,Inputs!$C$11+(B8231-Inputs!$C$69)/Inputs!$C$70,"")</f>
      </c>
      <c r="D8231" s="15"/>
      <c r="E8231" s="15"/>
      <c r="F8231" s="11">
        <f t="shared" si="65"/>
      </c>
      <c r="G8231" s="22" cm="1">
        <f t="array" ref="G8231">IF(AND(Inputs!$C$60,Inputs!$C$61),INDEX(Utility_Rates!$C$29:$F$52,HOUR(C8231)+Inputs!$C$69,MATCH(INDEX(Utility_Rates!$K$6:$K$17,MONTH(C8231))&amp;IF(WEEKDAY(C8231,Inputs!$C$76)&lt;=Inputs!$C$74," weekday"," weekend"),Utility_Rates!$C$28:$F$28,Inputs!$C$68)),"")</f>
      </c>
      <c r="H8231" s="34"/>
      <c r="I8231" s="42">
        <f>IF(AND(ISNUMBER(D8231),ISNUMBER(H8231)),D8231*H8231*Inputs!$C$69,"")</f>
      </c>
      <c r="J8231" s="42">
        <f>IF(AND(ISNUMBER(F8231),ISNUMBER(H8231),F8231&gt;=Inputs!$C$68),F8231*H8231*Inputs!$C$69,"")</f>
      </c>
    </row>
    <row r="8232" spans="2:10" ht="15" customHeight="1" x14ac:dyDescent="0.2">
      <c r="B8232" s="39">
        <f t="shared" si="64"/>
      </c>
      <c r="C8232" s="40">
        <f>IF(Inputs!$C$60,Inputs!$C$11+(B8232-Inputs!$C$69)/Inputs!$C$70,"")</f>
      </c>
      <c r="D8232" s="15"/>
      <c r="E8232" s="15"/>
      <c r="F8232" s="11">
        <f t="shared" si="65"/>
      </c>
      <c r="G8232" s="22" cm="1">
        <f t="array" ref="G8232">IF(AND(Inputs!$C$60,Inputs!$C$61),INDEX(Utility_Rates!$C$29:$F$52,HOUR(C8232)+Inputs!$C$69,MATCH(INDEX(Utility_Rates!$K$6:$K$17,MONTH(C8232))&amp;IF(WEEKDAY(C8232,Inputs!$C$76)&lt;=Inputs!$C$74," weekday"," weekend"),Utility_Rates!$C$28:$F$28,Inputs!$C$68)),"")</f>
      </c>
      <c r="H8232" s="34"/>
      <c r="I8232" s="42">
        <f>IF(AND(ISNUMBER(D8232),ISNUMBER(H8232)),D8232*H8232*Inputs!$C$69,"")</f>
      </c>
      <c r="J8232" s="42">
        <f>IF(AND(ISNUMBER(F8232),ISNUMBER(H8232),F8232&gt;=Inputs!$C$68),F8232*H8232*Inputs!$C$69,"")</f>
      </c>
    </row>
    <row r="8233" spans="2:10" ht="15" customHeight="1" x14ac:dyDescent="0.2">
      <c r="B8233" s="39">
        <f t="shared" si="64"/>
      </c>
      <c r="C8233" s="40">
        <f>IF(Inputs!$C$60,Inputs!$C$11+(B8233-Inputs!$C$69)/Inputs!$C$70,"")</f>
      </c>
      <c r="D8233" s="15"/>
      <c r="E8233" s="15"/>
      <c r="F8233" s="11">
        <f t="shared" si="65"/>
      </c>
      <c r="G8233" s="22" cm="1">
        <f t="array" ref="G8233">IF(AND(Inputs!$C$60,Inputs!$C$61),INDEX(Utility_Rates!$C$29:$F$52,HOUR(C8233)+Inputs!$C$69,MATCH(INDEX(Utility_Rates!$K$6:$K$17,MONTH(C8233))&amp;IF(WEEKDAY(C8233,Inputs!$C$76)&lt;=Inputs!$C$74," weekday"," weekend"),Utility_Rates!$C$28:$F$28,Inputs!$C$68)),"")</f>
      </c>
      <c r="H8233" s="34"/>
      <c r="I8233" s="42">
        <f>IF(AND(ISNUMBER(D8233),ISNUMBER(H8233)),D8233*H8233*Inputs!$C$69,"")</f>
      </c>
      <c r="J8233" s="42">
        <f>IF(AND(ISNUMBER(F8233),ISNUMBER(H8233),F8233&gt;=Inputs!$C$68),F8233*H8233*Inputs!$C$69,"")</f>
      </c>
    </row>
    <row r="8234" spans="2:10" ht="15" customHeight="1" x14ac:dyDescent="0.2">
      <c r="B8234" s="39">
        <f t="shared" si="64"/>
      </c>
      <c r="C8234" s="40">
        <f>IF(Inputs!$C$60,Inputs!$C$11+(B8234-Inputs!$C$69)/Inputs!$C$70,"")</f>
      </c>
      <c r="D8234" s="15"/>
      <c r="E8234" s="15"/>
      <c r="F8234" s="11">
        <f t="shared" si="65"/>
      </c>
      <c r="G8234" s="22" cm="1">
        <f t="array" ref="G8234">IF(AND(Inputs!$C$60,Inputs!$C$61),INDEX(Utility_Rates!$C$29:$F$52,HOUR(C8234)+Inputs!$C$69,MATCH(INDEX(Utility_Rates!$K$6:$K$17,MONTH(C8234))&amp;IF(WEEKDAY(C8234,Inputs!$C$76)&lt;=Inputs!$C$74," weekday"," weekend"),Utility_Rates!$C$28:$F$28,Inputs!$C$68)),"")</f>
      </c>
      <c r="H8234" s="34"/>
      <c r="I8234" s="42">
        <f>IF(AND(ISNUMBER(D8234),ISNUMBER(H8234)),D8234*H8234*Inputs!$C$69,"")</f>
      </c>
      <c r="J8234" s="42">
        <f>IF(AND(ISNUMBER(F8234),ISNUMBER(H8234),F8234&gt;=Inputs!$C$68),F8234*H8234*Inputs!$C$69,"")</f>
      </c>
    </row>
    <row r="8235" spans="2:10" ht="15" customHeight="1" x14ac:dyDescent="0.2">
      <c r="B8235" s="39">
        <f t="shared" si="64"/>
      </c>
      <c r="C8235" s="40">
        <f>IF(Inputs!$C$60,Inputs!$C$11+(B8235-Inputs!$C$69)/Inputs!$C$70,"")</f>
      </c>
      <c r="D8235" s="15"/>
      <c r="E8235" s="15"/>
      <c r="F8235" s="11">
        <f t="shared" si="65"/>
      </c>
      <c r="G8235" s="22" cm="1">
        <f t="array" ref="G8235">IF(AND(Inputs!$C$60,Inputs!$C$61),INDEX(Utility_Rates!$C$29:$F$52,HOUR(C8235)+Inputs!$C$69,MATCH(INDEX(Utility_Rates!$K$6:$K$17,MONTH(C8235))&amp;IF(WEEKDAY(C8235,Inputs!$C$76)&lt;=Inputs!$C$74," weekday"," weekend"),Utility_Rates!$C$28:$F$28,Inputs!$C$68)),"")</f>
      </c>
      <c r="H8235" s="34"/>
      <c r="I8235" s="42">
        <f>IF(AND(ISNUMBER(D8235),ISNUMBER(H8235)),D8235*H8235*Inputs!$C$69,"")</f>
      </c>
      <c r="J8235" s="42">
        <f>IF(AND(ISNUMBER(F8235),ISNUMBER(H8235),F8235&gt;=Inputs!$C$68),F8235*H8235*Inputs!$C$69,"")</f>
      </c>
    </row>
    <row r="8236" spans="2:10" ht="15" customHeight="1" x14ac:dyDescent="0.2">
      <c r="B8236" s="39">
        <f t="shared" si="64"/>
      </c>
      <c r="C8236" s="40">
        <f>IF(Inputs!$C$60,Inputs!$C$11+(B8236-Inputs!$C$69)/Inputs!$C$70,"")</f>
      </c>
      <c r="D8236" s="15"/>
      <c r="E8236" s="15"/>
      <c r="F8236" s="11">
        <f t="shared" si="65"/>
      </c>
      <c r="G8236" s="22" cm="1">
        <f t="array" ref="G8236">IF(AND(Inputs!$C$60,Inputs!$C$61),INDEX(Utility_Rates!$C$29:$F$52,HOUR(C8236)+Inputs!$C$69,MATCH(INDEX(Utility_Rates!$K$6:$K$17,MONTH(C8236))&amp;IF(WEEKDAY(C8236,Inputs!$C$76)&lt;=Inputs!$C$74," weekday"," weekend"),Utility_Rates!$C$28:$F$28,Inputs!$C$68)),"")</f>
      </c>
      <c r="H8236" s="34"/>
      <c r="I8236" s="42">
        <f>IF(AND(ISNUMBER(D8236),ISNUMBER(H8236)),D8236*H8236*Inputs!$C$69,"")</f>
      </c>
      <c r="J8236" s="42">
        <f>IF(AND(ISNUMBER(F8236),ISNUMBER(H8236),F8236&gt;=Inputs!$C$68),F8236*H8236*Inputs!$C$69,"")</f>
      </c>
    </row>
    <row r="8237" spans="2:10" ht="15" customHeight="1" x14ac:dyDescent="0.2">
      <c r="B8237" s="39">
        <f t="shared" si="64"/>
      </c>
      <c r="C8237" s="40">
        <f>IF(Inputs!$C$60,Inputs!$C$11+(B8237-Inputs!$C$69)/Inputs!$C$70,"")</f>
      </c>
      <c r="D8237" s="15"/>
      <c r="E8237" s="15"/>
      <c r="F8237" s="11">
        <f t="shared" si="65"/>
      </c>
      <c r="G8237" s="22" cm="1">
        <f t="array" ref="G8237">IF(AND(Inputs!$C$60,Inputs!$C$61),INDEX(Utility_Rates!$C$29:$F$52,HOUR(C8237)+Inputs!$C$69,MATCH(INDEX(Utility_Rates!$K$6:$K$17,MONTH(C8237))&amp;IF(WEEKDAY(C8237,Inputs!$C$76)&lt;=Inputs!$C$74," weekday"," weekend"),Utility_Rates!$C$28:$F$28,Inputs!$C$68)),"")</f>
      </c>
      <c r="H8237" s="34"/>
      <c r="I8237" s="42">
        <f>IF(AND(ISNUMBER(D8237),ISNUMBER(H8237)),D8237*H8237*Inputs!$C$69,"")</f>
      </c>
      <c r="J8237" s="42">
        <f>IF(AND(ISNUMBER(F8237),ISNUMBER(H8237),F8237&gt;=Inputs!$C$68),F8237*H8237*Inputs!$C$69,"")</f>
      </c>
    </row>
    <row r="8238" spans="2:10" ht="15" customHeight="1" x14ac:dyDescent="0.2">
      <c r="B8238" s="39">
        <f t="shared" si="64"/>
      </c>
      <c r="C8238" s="40">
        <f>IF(Inputs!$C$60,Inputs!$C$11+(B8238-Inputs!$C$69)/Inputs!$C$70,"")</f>
      </c>
      <c r="D8238" s="15"/>
      <c r="E8238" s="15"/>
      <c r="F8238" s="11">
        <f t="shared" si="65"/>
      </c>
      <c r="G8238" s="22" cm="1">
        <f t="array" ref="G8238">IF(AND(Inputs!$C$60,Inputs!$C$61),INDEX(Utility_Rates!$C$29:$F$52,HOUR(C8238)+Inputs!$C$69,MATCH(INDEX(Utility_Rates!$K$6:$K$17,MONTH(C8238))&amp;IF(WEEKDAY(C8238,Inputs!$C$76)&lt;=Inputs!$C$74," weekday"," weekend"),Utility_Rates!$C$28:$F$28,Inputs!$C$68)),"")</f>
      </c>
      <c r="H8238" s="34"/>
      <c r="I8238" s="42">
        <f>IF(AND(ISNUMBER(D8238),ISNUMBER(H8238)),D8238*H8238*Inputs!$C$69,"")</f>
      </c>
      <c r="J8238" s="42">
        <f>IF(AND(ISNUMBER(F8238),ISNUMBER(H8238),F8238&gt;=Inputs!$C$68),F8238*H8238*Inputs!$C$69,"")</f>
      </c>
    </row>
    <row r="8239" spans="2:10" ht="15" customHeight="1" x14ac:dyDescent="0.2">
      <c r="B8239" s="39">
        <f t="shared" si="64"/>
      </c>
      <c r="C8239" s="40">
        <f>IF(Inputs!$C$60,Inputs!$C$11+(B8239-Inputs!$C$69)/Inputs!$C$70,"")</f>
      </c>
      <c r="D8239" s="15"/>
      <c r="E8239" s="15"/>
      <c r="F8239" s="11">
        <f t="shared" si="65"/>
      </c>
      <c r="G8239" s="22" cm="1">
        <f t="array" ref="G8239">IF(AND(Inputs!$C$60,Inputs!$C$61),INDEX(Utility_Rates!$C$29:$F$52,HOUR(C8239)+Inputs!$C$69,MATCH(INDEX(Utility_Rates!$K$6:$K$17,MONTH(C8239))&amp;IF(WEEKDAY(C8239,Inputs!$C$76)&lt;=Inputs!$C$74," weekday"," weekend"),Utility_Rates!$C$28:$F$28,Inputs!$C$68)),"")</f>
      </c>
      <c r="H8239" s="34"/>
      <c r="I8239" s="42">
        <f>IF(AND(ISNUMBER(D8239),ISNUMBER(H8239)),D8239*H8239*Inputs!$C$69,"")</f>
      </c>
      <c r="J8239" s="42">
        <f>IF(AND(ISNUMBER(F8239),ISNUMBER(H8239),F8239&gt;=Inputs!$C$68),F8239*H8239*Inputs!$C$69,"")</f>
      </c>
    </row>
    <row r="8240" spans="2:10" ht="15" customHeight="1" x14ac:dyDescent="0.2">
      <c r="B8240" s="39">
        <f t="shared" si="64"/>
      </c>
      <c r="C8240" s="40">
        <f>IF(Inputs!$C$60,Inputs!$C$11+(B8240-Inputs!$C$69)/Inputs!$C$70,"")</f>
      </c>
      <c r="D8240" s="15"/>
      <c r="E8240" s="15"/>
      <c r="F8240" s="11">
        <f t="shared" si="65"/>
      </c>
      <c r="G8240" s="22" cm="1">
        <f t="array" ref="G8240">IF(AND(Inputs!$C$60,Inputs!$C$61),INDEX(Utility_Rates!$C$29:$F$52,HOUR(C8240)+Inputs!$C$69,MATCH(INDEX(Utility_Rates!$K$6:$K$17,MONTH(C8240))&amp;IF(WEEKDAY(C8240,Inputs!$C$76)&lt;=Inputs!$C$74," weekday"," weekend"),Utility_Rates!$C$28:$F$28,Inputs!$C$68)),"")</f>
      </c>
      <c r="H8240" s="34"/>
      <c r="I8240" s="42">
        <f>IF(AND(ISNUMBER(D8240),ISNUMBER(H8240)),D8240*H8240*Inputs!$C$69,"")</f>
      </c>
      <c r="J8240" s="42">
        <f>IF(AND(ISNUMBER(F8240),ISNUMBER(H8240),F8240&gt;=Inputs!$C$68),F8240*H8240*Inputs!$C$69,"")</f>
      </c>
    </row>
    <row r="8241" spans="2:10" ht="15" customHeight="1" x14ac:dyDescent="0.2">
      <c r="B8241" s="39">
        <f t="shared" si="64"/>
      </c>
      <c r="C8241" s="40">
        <f>IF(Inputs!$C$60,Inputs!$C$11+(B8241-Inputs!$C$69)/Inputs!$C$70,"")</f>
      </c>
      <c r="D8241" s="15"/>
      <c r="E8241" s="15"/>
      <c r="F8241" s="11">
        <f t="shared" si="65"/>
      </c>
      <c r="G8241" s="22" cm="1">
        <f t="array" ref="G8241">IF(AND(Inputs!$C$60,Inputs!$C$61),INDEX(Utility_Rates!$C$29:$F$52,HOUR(C8241)+Inputs!$C$69,MATCH(INDEX(Utility_Rates!$K$6:$K$17,MONTH(C8241))&amp;IF(WEEKDAY(C8241,Inputs!$C$76)&lt;=Inputs!$C$74," weekday"," weekend"),Utility_Rates!$C$28:$F$28,Inputs!$C$68)),"")</f>
      </c>
      <c r="H8241" s="34"/>
      <c r="I8241" s="42">
        <f>IF(AND(ISNUMBER(D8241),ISNUMBER(H8241)),D8241*H8241*Inputs!$C$69,"")</f>
      </c>
      <c r="J8241" s="42">
        <f>IF(AND(ISNUMBER(F8241),ISNUMBER(H8241),F8241&gt;=Inputs!$C$68),F8241*H8241*Inputs!$C$69,"")</f>
      </c>
    </row>
    <row r="8242" spans="2:10" ht="15" customHeight="1" x14ac:dyDescent="0.2">
      <c r="B8242" s="39">
        <f t="shared" si="64"/>
      </c>
      <c r="C8242" s="40">
        <f>IF(Inputs!$C$60,Inputs!$C$11+(B8242-Inputs!$C$69)/Inputs!$C$70,"")</f>
      </c>
      <c r="D8242" s="15"/>
      <c r="E8242" s="15"/>
      <c r="F8242" s="11">
        <f t="shared" si="65"/>
      </c>
      <c r="G8242" s="22" cm="1">
        <f t="array" ref="G8242">IF(AND(Inputs!$C$60,Inputs!$C$61),INDEX(Utility_Rates!$C$29:$F$52,HOUR(C8242)+Inputs!$C$69,MATCH(INDEX(Utility_Rates!$K$6:$K$17,MONTH(C8242))&amp;IF(WEEKDAY(C8242,Inputs!$C$76)&lt;=Inputs!$C$74," weekday"," weekend"),Utility_Rates!$C$28:$F$28,Inputs!$C$68)),"")</f>
      </c>
      <c r="H8242" s="34"/>
      <c r="I8242" s="42">
        <f>IF(AND(ISNUMBER(D8242),ISNUMBER(H8242)),D8242*H8242*Inputs!$C$69,"")</f>
      </c>
      <c r="J8242" s="42">
        <f>IF(AND(ISNUMBER(F8242),ISNUMBER(H8242),F8242&gt;=Inputs!$C$68),F8242*H8242*Inputs!$C$69,"")</f>
      </c>
    </row>
    <row r="8243" spans="2:10" ht="15" customHeight="1" x14ac:dyDescent="0.2">
      <c r="B8243" s="39">
        <f t="shared" si="64"/>
      </c>
      <c r="C8243" s="40">
        <f>IF(Inputs!$C$60,Inputs!$C$11+(B8243-Inputs!$C$69)/Inputs!$C$70,"")</f>
      </c>
      <c r="D8243" s="15"/>
      <c r="E8243" s="15"/>
      <c r="F8243" s="11">
        <f t="shared" si="65"/>
      </c>
      <c r="G8243" s="22" cm="1">
        <f t="array" ref="G8243">IF(AND(Inputs!$C$60,Inputs!$C$61),INDEX(Utility_Rates!$C$29:$F$52,HOUR(C8243)+Inputs!$C$69,MATCH(INDEX(Utility_Rates!$K$6:$K$17,MONTH(C8243))&amp;IF(WEEKDAY(C8243,Inputs!$C$76)&lt;=Inputs!$C$74," weekday"," weekend"),Utility_Rates!$C$28:$F$28,Inputs!$C$68)),"")</f>
      </c>
      <c r="H8243" s="34"/>
      <c r="I8243" s="42">
        <f>IF(AND(ISNUMBER(D8243),ISNUMBER(H8243)),D8243*H8243*Inputs!$C$69,"")</f>
      </c>
      <c r="J8243" s="42">
        <f>IF(AND(ISNUMBER(F8243),ISNUMBER(H8243),F8243&gt;=Inputs!$C$68),F8243*H8243*Inputs!$C$69,"")</f>
      </c>
    </row>
    <row r="8244" spans="2:10" ht="15" customHeight="1" x14ac:dyDescent="0.2">
      <c r="B8244" s="39">
        <f t="shared" si="64"/>
      </c>
      <c r="C8244" s="40">
        <f>IF(Inputs!$C$60,Inputs!$C$11+(B8244-Inputs!$C$69)/Inputs!$C$70,"")</f>
      </c>
      <c r="D8244" s="15"/>
      <c r="E8244" s="15"/>
      <c r="F8244" s="11">
        <f t="shared" si="65"/>
      </c>
      <c r="G8244" s="22" cm="1">
        <f t="array" ref="G8244">IF(AND(Inputs!$C$60,Inputs!$C$61),INDEX(Utility_Rates!$C$29:$F$52,HOUR(C8244)+Inputs!$C$69,MATCH(INDEX(Utility_Rates!$K$6:$K$17,MONTH(C8244))&amp;IF(WEEKDAY(C8244,Inputs!$C$76)&lt;=Inputs!$C$74," weekday"," weekend"),Utility_Rates!$C$28:$F$28,Inputs!$C$68)),"")</f>
      </c>
      <c r="H8244" s="34"/>
      <c r="I8244" s="42">
        <f>IF(AND(ISNUMBER(D8244),ISNUMBER(H8244)),D8244*H8244*Inputs!$C$69,"")</f>
      </c>
      <c r="J8244" s="42">
        <f>IF(AND(ISNUMBER(F8244),ISNUMBER(H8244),F8244&gt;=Inputs!$C$68),F8244*H8244*Inputs!$C$69,"")</f>
      </c>
    </row>
    <row r="8245" spans="2:10" ht="15" customHeight="1" x14ac:dyDescent="0.2">
      <c r="B8245" s="39">
        <f t="shared" si="64"/>
      </c>
      <c r="C8245" s="40">
        <f>IF(Inputs!$C$60,Inputs!$C$11+(B8245-Inputs!$C$69)/Inputs!$C$70,"")</f>
      </c>
      <c r="D8245" s="15"/>
      <c r="E8245" s="15"/>
      <c r="F8245" s="11">
        <f t="shared" si="65"/>
      </c>
      <c r="G8245" s="22" cm="1">
        <f t="array" ref="G8245">IF(AND(Inputs!$C$60,Inputs!$C$61),INDEX(Utility_Rates!$C$29:$F$52,HOUR(C8245)+Inputs!$C$69,MATCH(INDEX(Utility_Rates!$K$6:$K$17,MONTH(C8245))&amp;IF(WEEKDAY(C8245,Inputs!$C$76)&lt;=Inputs!$C$74," weekday"," weekend"),Utility_Rates!$C$28:$F$28,Inputs!$C$68)),"")</f>
      </c>
      <c r="H8245" s="34"/>
      <c r="I8245" s="42">
        <f>IF(AND(ISNUMBER(D8245),ISNUMBER(H8245)),D8245*H8245*Inputs!$C$69,"")</f>
      </c>
      <c r="J8245" s="42">
        <f>IF(AND(ISNUMBER(F8245),ISNUMBER(H8245),F8245&gt;=Inputs!$C$68),F8245*H8245*Inputs!$C$69,"")</f>
      </c>
    </row>
    <row r="8246" spans="2:10" ht="15" customHeight="1" x14ac:dyDescent="0.2">
      <c r="B8246" s="39">
        <f t="shared" si="64"/>
      </c>
      <c r="C8246" s="40">
        <f>IF(Inputs!$C$60,Inputs!$C$11+(B8246-Inputs!$C$69)/Inputs!$C$70,"")</f>
      </c>
      <c r="D8246" s="15"/>
      <c r="E8246" s="15"/>
      <c r="F8246" s="11">
        <f t="shared" si="65"/>
      </c>
      <c r="G8246" s="22" cm="1">
        <f t="array" ref="G8246">IF(AND(Inputs!$C$60,Inputs!$C$61),INDEX(Utility_Rates!$C$29:$F$52,HOUR(C8246)+Inputs!$C$69,MATCH(INDEX(Utility_Rates!$K$6:$K$17,MONTH(C8246))&amp;IF(WEEKDAY(C8246,Inputs!$C$76)&lt;=Inputs!$C$74," weekday"," weekend"),Utility_Rates!$C$28:$F$28,Inputs!$C$68)),"")</f>
      </c>
      <c r="H8246" s="34"/>
      <c r="I8246" s="42">
        <f>IF(AND(ISNUMBER(D8246),ISNUMBER(H8246)),D8246*H8246*Inputs!$C$69,"")</f>
      </c>
      <c r="J8246" s="42">
        <f>IF(AND(ISNUMBER(F8246),ISNUMBER(H8246),F8246&gt;=Inputs!$C$68),F8246*H8246*Inputs!$C$69,"")</f>
      </c>
    </row>
    <row r="8247" spans="2:10" ht="15" customHeight="1" x14ac:dyDescent="0.2">
      <c r="B8247" s="39">
        <f t="shared" si="64"/>
      </c>
      <c r="C8247" s="40">
        <f>IF(Inputs!$C$60,Inputs!$C$11+(B8247-Inputs!$C$69)/Inputs!$C$70,"")</f>
      </c>
      <c r="D8247" s="15"/>
      <c r="E8247" s="15"/>
      <c r="F8247" s="11">
        <f t="shared" si="65"/>
      </c>
      <c r="G8247" s="22" cm="1">
        <f t="array" ref="G8247">IF(AND(Inputs!$C$60,Inputs!$C$61),INDEX(Utility_Rates!$C$29:$F$52,HOUR(C8247)+Inputs!$C$69,MATCH(INDEX(Utility_Rates!$K$6:$K$17,MONTH(C8247))&amp;IF(WEEKDAY(C8247,Inputs!$C$76)&lt;=Inputs!$C$74," weekday"," weekend"),Utility_Rates!$C$28:$F$28,Inputs!$C$68)),"")</f>
      </c>
      <c r="H8247" s="34"/>
      <c r="I8247" s="42">
        <f>IF(AND(ISNUMBER(D8247),ISNUMBER(H8247)),D8247*H8247*Inputs!$C$69,"")</f>
      </c>
      <c r="J8247" s="42">
        <f>IF(AND(ISNUMBER(F8247),ISNUMBER(H8247),F8247&gt;=Inputs!$C$68),F8247*H8247*Inputs!$C$69,"")</f>
      </c>
    </row>
    <row r="8248" spans="2:10" ht="15" customHeight="1" x14ac:dyDescent="0.2">
      <c r="B8248" s="39">
        <f t="shared" si="64"/>
      </c>
      <c r="C8248" s="40">
        <f>IF(Inputs!$C$60,Inputs!$C$11+(B8248-Inputs!$C$69)/Inputs!$C$70,"")</f>
      </c>
      <c r="D8248" s="15"/>
      <c r="E8248" s="15"/>
      <c r="F8248" s="11">
        <f t="shared" si="65"/>
      </c>
      <c r="G8248" s="22" cm="1">
        <f t="array" ref="G8248">IF(AND(Inputs!$C$60,Inputs!$C$61),INDEX(Utility_Rates!$C$29:$F$52,HOUR(C8248)+Inputs!$C$69,MATCH(INDEX(Utility_Rates!$K$6:$K$17,MONTH(C8248))&amp;IF(WEEKDAY(C8248,Inputs!$C$76)&lt;=Inputs!$C$74," weekday"," weekend"),Utility_Rates!$C$28:$F$28,Inputs!$C$68)),"")</f>
      </c>
      <c r="H8248" s="34"/>
      <c r="I8248" s="42">
        <f>IF(AND(ISNUMBER(D8248),ISNUMBER(H8248)),D8248*H8248*Inputs!$C$69,"")</f>
      </c>
      <c r="J8248" s="42">
        <f>IF(AND(ISNUMBER(F8248),ISNUMBER(H8248),F8248&gt;=Inputs!$C$68),F8248*H8248*Inputs!$C$69,"")</f>
      </c>
    </row>
    <row r="8249" spans="2:10" ht="15" customHeight="1" x14ac:dyDescent="0.2">
      <c r="B8249" s="39">
        <f t="shared" si="64"/>
      </c>
      <c r="C8249" s="40">
        <f>IF(Inputs!$C$60,Inputs!$C$11+(B8249-Inputs!$C$69)/Inputs!$C$70,"")</f>
      </c>
      <c r="D8249" s="15"/>
      <c r="E8249" s="15"/>
      <c r="F8249" s="11">
        <f t="shared" si="65"/>
      </c>
      <c r="G8249" s="22" cm="1">
        <f t="array" ref="G8249">IF(AND(Inputs!$C$60,Inputs!$C$61),INDEX(Utility_Rates!$C$29:$F$52,HOUR(C8249)+Inputs!$C$69,MATCH(INDEX(Utility_Rates!$K$6:$K$17,MONTH(C8249))&amp;IF(WEEKDAY(C8249,Inputs!$C$76)&lt;=Inputs!$C$74," weekday"," weekend"),Utility_Rates!$C$28:$F$28,Inputs!$C$68)),"")</f>
      </c>
      <c r="H8249" s="34"/>
      <c r="I8249" s="42">
        <f>IF(AND(ISNUMBER(D8249),ISNUMBER(H8249)),D8249*H8249*Inputs!$C$69,"")</f>
      </c>
      <c r="J8249" s="42">
        <f>IF(AND(ISNUMBER(F8249),ISNUMBER(H8249),F8249&gt;=Inputs!$C$68),F8249*H8249*Inputs!$C$69,"")</f>
      </c>
    </row>
    <row r="8250" spans="2:10" ht="15" customHeight="1" x14ac:dyDescent="0.2">
      <c r="B8250" s="39">
        <f t="shared" si="64"/>
      </c>
      <c r="C8250" s="40">
        <f>IF(Inputs!$C$60,Inputs!$C$11+(B8250-Inputs!$C$69)/Inputs!$C$70,"")</f>
      </c>
      <c r="D8250" s="15"/>
      <c r="E8250" s="15"/>
      <c r="F8250" s="11">
        <f t="shared" si="65"/>
      </c>
      <c r="G8250" s="22" cm="1">
        <f t="array" ref="G8250">IF(AND(Inputs!$C$60,Inputs!$C$61),INDEX(Utility_Rates!$C$29:$F$52,HOUR(C8250)+Inputs!$C$69,MATCH(INDEX(Utility_Rates!$K$6:$K$17,MONTH(C8250))&amp;IF(WEEKDAY(C8250,Inputs!$C$76)&lt;=Inputs!$C$74," weekday"," weekend"),Utility_Rates!$C$28:$F$28,Inputs!$C$68)),"")</f>
      </c>
      <c r="H8250" s="34"/>
      <c r="I8250" s="42">
        <f>IF(AND(ISNUMBER(D8250),ISNUMBER(H8250)),D8250*H8250*Inputs!$C$69,"")</f>
      </c>
      <c r="J8250" s="42">
        <f>IF(AND(ISNUMBER(F8250),ISNUMBER(H8250),F8250&gt;=Inputs!$C$68),F8250*H8250*Inputs!$C$69,"")</f>
      </c>
    </row>
    <row r="8251" spans="2:10" ht="15" customHeight="1" x14ac:dyDescent="0.2">
      <c r="B8251" s="39">
        <f t="shared" si="64"/>
      </c>
      <c r="C8251" s="40">
        <f>IF(Inputs!$C$60,Inputs!$C$11+(B8251-Inputs!$C$69)/Inputs!$C$70,"")</f>
      </c>
      <c r="D8251" s="15"/>
      <c r="E8251" s="15"/>
      <c r="F8251" s="11">
        <f t="shared" si="65"/>
      </c>
      <c r="G8251" s="22" cm="1">
        <f t="array" ref="G8251">IF(AND(Inputs!$C$60,Inputs!$C$61),INDEX(Utility_Rates!$C$29:$F$52,HOUR(C8251)+Inputs!$C$69,MATCH(INDEX(Utility_Rates!$K$6:$K$17,MONTH(C8251))&amp;IF(WEEKDAY(C8251,Inputs!$C$76)&lt;=Inputs!$C$74," weekday"," weekend"),Utility_Rates!$C$28:$F$28,Inputs!$C$68)),"")</f>
      </c>
      <c r="H8251" s="34"/>
      <c r="I8251" s="42">
        <f>IF(AND(ISNUMBER(D8251),ISNUMBER(H8251)),D8251*H8251*Inputs!$C$69,"")</f>
      </c>
      <c r="J8251" s="42">
        <f>IF(AND(ISNUMBER(F8251),ISNUMBER(H8251),F8251&gt;=Inputs!$C$68),F8251*H8251*Inputs!$C$69,"")</f>
      </c>
    </row>
    <row r="8252" spans="2:10" ht="15" customHeight="1" x14ac:dyDescent="0.2">
      <c r="B8252" s="39">
        <f t="shared" si="64"/>
      </c>
      <c r="C8252" s="40">
        <f>IF(Inputs!$C$60,Inputs!$C$11+(B8252-Inputs!$C$69)/Inputs!$C$70,"")</f>
      </c>
      <c r="D8252" s="15"/>
      <c r="E8252" s="15"/>
      <c r="F8252" s="11">
        <f t="shared" si="65"/>
      </c>
      <c r="G8252" s="22" cm="1">
        <f t="array" ref="G8252">IF(AND(Inputs!$C$60,Inputs!$C$61),INDEX(Utility_Rates!$C$29:$F$52,HOUR(C8252)+Inputs!$C$69,MATCH(INDEX(Utility_Rates!$K$6:$K$17,MONTH(C8252))&amp;IF(WEEKDAY(C8252,Inputs!$C$76)&lt;=Inputs!$C$74," weekday"," weekend"),Utility_Rates!$C$28:$F$28,Inputs!$C$68)),"")</f>
      </c>
      <c r="H8252" s="34"/>
      <c r="I8252" s="42">
        <f>IF(AND(ISNUMBER(D8252),ISNUMBER(H8252)),D8252*H8252*Inputs!$C$69,"")</f>
      </c>
      <c r="J8252" s="42">
        <f>IF(AND(ISNUMBER(F8252),ISNUMBER(H8252),F8252&gt;=Inputs!$C$68),F8252*H8252*Inputs!$C$69,"")</f>
      </c>
    </row>
    <row r="8253" spans="2:10" ht="15" customHeight="1" x14ac:dyDescent="0.2">
      <c r="B8253" s="39">
        <f t="shared" si="64"/>
      </c>
      <c r="C8253" s="40">
        <f>IF(Inputs!$C$60,Inputs!$C$11+(B8253-Inputs!$C$69)/Inputs!$C$70,"")</f>
      </c>
      <c r="D8253" s="15"/>
      <c r="E8253" s="15"/>
      <c r="F8253" s="11">
        <f t="shared" si="65"/>
      </c>
      <c r="G8253" s="22" cm="1">
        <f t="array" ref="G8253">IF(AND(Inputs!$C$60,Inputs!$C$61),INDEX(Utility_Rates!$C$29:$F$52,HOUR(C8253)+Inputs!$C$69,MATCH(INDEX(Utility_Rates!$K$6:$K$17,MONTH(C8253))&amp;IF(WEEKDAY(C8253,Inputs!$C$76)&lt;=Inputs!$C$74," weekday"," weekend"),Utility_Rates!$C$28:$F$28,Inputs!$C$68)),"")</f>
      </c>
      <c r="H8253" s="34"/>
      <c r="I8253" s="42">
        <f>IF(AND(ISNUMBER(D8253),ISNUMBER(H8253)),D8253*H8253*Inputs!$C$69,"")</f>
      </c>
      <c r="J8253" s="42">
        <f>IF(AND(ISNUMBER(F8253),ISNUMBER(H8253),F8253&gt;=Inputs!$C$68),F8253*H8253*Inputs!$C$69,"")</f>
      </c>
    </row>
    <row r="8254" spans="2:10" ht="15" customHeight="1" x14ac:dyDescent="0.2">
      <c r="B8254" s="39">
        <f t="shared" si="64"/>
      </c>
      <c r="C8254" s="40">
        <f>IF(Inputs!$C$60,Inputs!$C$11+(B8254-Inputs!$C$69)/Inputs!$C$70,"")</f>
      </c>
      <c r="D8254" s="15"/>
      <c r="E8254" s="15"/>
      <c r="F8254" s="11">
        <f t="shared" si="65"/>
      </c>
      <c r="G8254" s="22" cm="1">
        <f t="array" ref="G8254">IF(AND(Inputs!$C$60,Inputs!$C$61),INDEX(Utility_Rates!$C$29:$F$52,HOUR(C8254)+Inputs!$C$69,MATCH(INDEX(Utility_Rates!$K$6:$K$17,MONTH(C8254))&amp;IF(WEEKDAY(C8254,Inputs!$C$76)&lt;=Inputs!$C$74," weekday"," weekend"),Utility_Rates!$C$28:$F$28,Inputs!$C$68)),"")</f>
      </c>
      <c r="H8254" s="34"/>
      <c r="I8254" s="42">
        <f>IF(AND(ISNUMBER(D8254),ISNUMBER(H8254)),D8254*H8254*Inputs!$C$69,"")</f>
      </c>
      <c r="J8254" s="42">
        <f>IF(AND(ISNUMBER(F8254),ISNUMBER(H8254),F8254&gt;=Inputs!$C$68),F8254*H8254*Inputs!$C$69,"")</f>
      </c>
    </row>
    <row r="8255" spans="2:10" ht="15" customHeight="1" x14ac:dyDescent="0.2">
      <c r="B8255" s="39">
        <f t="shared" si="64"/>
      </c>
      <c r="C8255" s="40">
        <f>IF(Inputs!$C$60,Inputs!$C$11+(B8255-Inputs!$C$69)/Inputs!$C$70,"")</f>
      </c>
      <c r="D8255" s="15"/>
      <c r="E8255" s="15"/>
      <c r="F8255" s="11">
        <f t="shared" si="65"/>
      </c>
      <c r="G8255" s="22" cm="1">
        <f t="array" ref="G8255">IF(AND(Inputs!$C$60,Inputs!$C$61),INDEX(Utility_Rates!$C$29:$F$52,HOUR(C8255)+Inputs!$C$69,MATCH(INDEX(Utility_Rates!$K$6:$K$17,MONTH(C8255))&amp;IF(WEEKDAY(C8255,Inputs!$C$76)&lt;=Inputs!$C$74," weekday"," weekend"),Utility_Rates!$C$28:$F$28,Inputs!$C$68)),"")</f>
      </c>
      <c r="H8255" s="34"/>
      <c r="I8255" s="42">
        <f>IF(AND(ISNUMBER(D8255),ISNUMBER(H8255)),D8255*H8255*Inputs!$C$69,"")</f>
      </c>
      <c r="J8255" s="42">
        <f>IF(AND(ISNUMBER(F8255),ISNUMBER(H8255),F8255&gt;=Inputs!$C$68),F8255*H8255*Inputs!$C$69,"")</f>
      </c>
    </row>
    <row r="8256" spans="2:10" ht="15" customHeight="1" x14ac:dyDescent="0.2">
      <c r="B8256" s="39">
        <f t="shared" si="64"/>
      </c>
      <c r="C8256" s="40">
        <f>IF(Inputs!$C$60,Inputs!$C$11+(B8256-Inputs!$C$69)/Inputs!$C$70,"")</f>
      </c>
      <c r="D8256" s="15"/>
      <c r="E8256" s="15"/>
      <c r="F8256" s="11">
        <f t="shared" si="65"/>
      </c>
      <c r="G8256" s="22" cm="1">
        <f t="array" ref="G8256">IF(AND(Inputs!$C$60,Inputs!$C$61),INDEX(Utility_Rates!$C$29:$F$52,HOUR(C8256)+Inputs!$C$69,MATCH(INDEX(Utility_Rates!$K$6:$K$17,MONTH(C8256))&amp;IF(WEEKDAY(C8256,Inputs!$C$76)&lt;=Inputs!$C$74," weekday"," weekend"),Utility_Rates!$C$28:$F$28,Inputs!$C$68)),"")</f>
      </c>
      <c r="H8256" s="34"/>
      <c r="I8256" s="42">
        <f>IF(AND(ISNUMBER(D8256),ISNUMBER(H8256)),D8256*H8256*Inputs!$C$69,"")</f>
      </c>
      <c r="J8256" s="42">
        <f>IF(AND(ISNUMBER(F8256),ISNUMBER(H8256),F8256&gt;=Inputs!$C$68),F8256*H8256*Inputs!$C$69,"")</f>
      </c>
    </row>
    <row r="8257" spans="2:10" ht="15" customHeight="1" x14ac:dyDescent="0.2">
      <c r="B8257" s="39">
        <f t="shared" si="64"/>
      </c>
      <c r="C8257" s="40">
        <f>IF(Inputs!$C$60,Inputs!$C$11+(B8257-Inputs!$C$69)/Inputs!$C$70,"")</f>
      </c>
      <c r="D8257" s="15"/>
      <c r="E8257" s="15"/>
      <c r="F8257" s="11">
        <f t="shared" si="65"/>
      </c>
      <c r="G8257" s="22" cm="1">
        <f t="array" ref="G8257">IF(AND(Inputs!$C$60,Inputs!$C$61),INDEX(Utility_Rates!$C$29:$F$52,HOUR(C8257)+Inputs!$C$69,MATCH(INDEX(Utility_Rates!$K$6:$K$17,MONTH(C8257))&amp;IF(WEEKDAY(C8257,Inputs!$C$76)&lt;=Inputs!$C$74," weekday"," weekend"),Utility_Rates!$C$28:$F$28,Inputs!$C$68)),"")</f>
      </c>
      <c r="H8257" s="34"/>
      <c r="I8257" s="42">
        <f>IF(AND(ISNUMBER(D8257),ISNUMBER(H8257)),D8257*H8257*Inputs!$C$69,"")</f>
      </c>
      <c r="J8257" s="42">
        <f>IF(AND(ISNUMBER(F8257),ISNUMBER(H8257),F8257&gt;=Inputs!$C$68),F8257*H8257*Inputs!$C$69,"")</f>
      </c>
    </row>
    <row r="8258" spans="2:10" ht="15" customHeight="1" x14ac:dyDescent="0.2">
      <c r="B8258" s="39">
        <f t="shared" si="64"/>
      </c>
      <c r="C8258" s="40">
        <f>IF(Inputs!$C$60,Inputs!$C$11+(B8258-Inputs!$C$69)/Inputs!$C$70,"")</f>
      </c>
      <c r="D8258" s="15"/>
      <c r="E8258" s="15"/>
      <c r="F8258" s="11">
        <f t="shared" si="65"/>
      </c>
      <c r="G8258" s="22" cm="1">
        <f t="array" ref="G8258">IF(AND(Inputs!$C$60,Inputs!$C$61),INDEX(Utility_Rates!$C$29:$F$52,HOUR(C8258)+Inputs!$C$69,MATCH(INDEX(Utility_Rates!$K$6:$K$17,MONTH(C8258))&amp;IF(WEEKDAY(C8258,Inputs!$C$76)&lt;=Inputs!$C$74," weekday"," weekend"),Utility_Rates!$C$28:$F$28,Inputs!$C$68)),"")</f>
      </c>
      <c r="H8258" s="34"/>
      <c r="I8258" s="42">
        <f>IF(AND(ISNUMBER(D8258),ISNUMBER(H8258)),D8258*H8258*Inputs!$C$69,"")</f>
      </c>
      <c r="J8258" s="42">
        <f>IF(AND(ISNUMBER(F8258),ISNUMBER(H8258),F8258&gt;=Inputs!$C$68),F8258*H8258*Inputs!$C$69,"")</f>
      </c>
    </row>
    <row r="8259" spans="2:10" ht="15" customHeight="1" x14ac:dyDescent="0.2">
      <c r="B8259" s="39">
        <f t="shared" si="64"/>
      </c>
      <c r="C8259" s="40">
        <f>IF(Inputs!$C$60,Inputs!$C$11+(B8259-Inputs!$C$69)/Inputs!$C$70,"")</f>
      </c>
      <c r="D8259" s="15"/>
      <c r="E8259" s="15"/>
      <c r="F8259" s="11">
        <f t="shared" si="65"/>
      </c>
      <c r="G8259" s="22" cm="1">
        <f t="array" ref="G8259">IF(AND(Inputs!$C$60,Inputs!$C$61),INDEX(Utility_Rates!$C$29:$F$52,HOUR(C8259)+Inputs!$C$69,MATCH(INDEX(Utility_Rates!$K$6:$K$17,MONTH(C8259))&amp;IF(WEEKDAY(C8259,Inputs!$C$76)&lt;=Inputs!$C$74," weekday"," weekend"),Utility_Rates!$C$28:$F$28,Inputs!$C$68)),"")</f>
      </c>
      <c r="H8259" s="34"/>
      <c r="I8259" s="42">
        <f>IF(AND(ISNUMBER(D8259),ISNUMBER(H8259)),D8259*H8259*Inputs!$C$69,"")</f>
      </c>
      <c r="J8259" s="42">
        <f>IF(AND(ISNUMBER(F8259),ISNUMBER(H8259),F8259&gt;=Inputs!$C$68),F8259*H8259*Inputs!$C$69,"")</f>
      </c>
    </row>
    <row r="8260" spans="2:10" ht="15" customHeight="1" x14ac:dyDescent="0.2">
      <c r="B8260" s="39">
        <f t="shared" si="64"/>
      </c>
      <c r="C8260" s="40">
        <f>IF(Inputs!$C$60,Inputs!$C$11+(B8260-Inputs!$C$69)/Inputs!$C$70,"")</f>
      </c>
      <c r="D8260" s="15"/>
      <c r="E8260" s="15"/>
      <c r="F8260" s="11">
        <f t="shared" si="65"/>
      </c>
      <c r="G8260" s="22" cm="1">
        <f t="array" ref="G8260">IF(AND(Inputs!$C$60,Inputs!$C$61),INDEX(Utility_Rates!$C$29:$F$52,HOUR(C8260)+Inputs!$C$69,MATCH(INDEX(Utility_Rates!$K$6:$K$17,MONTH(C8260))&amp;IF(WEEKDAY(C8260,Inputs!$C$76)&lt;=Inputs!$C$74," weekday"," weekend"),Utility_Rates!$C$28:$F$28,Inputs!$C$68)),"")</f>
      </c>
      <c r="H8260" s="34"/>
      <c r="I8260" s="42">
        <f>IF(AND(ISNUMBER(D8260),ISNUMBER(H8260)),D8260*H8260*Inputs!$C$69,"")</f>
      </c>
      <c r="J8260" s="42">
        <f>IF(AND(ISNUMBER(F8260),ISNUMBER(H8260),F8260&gt;=Inputs!$C$68),F8260*H8260*Inputs!$C$69,"")</f>
      </c>
    </row>
    <row r="8261" spans="2:10" ht="15" customHeight="1" x14ac:dyDescent="0.2">
      <c r="B8261" s="39">
        <f t="shared" si="64"/>
      </c>
      <c r="C8261" s="40">
        <f>IF(Inputs!$C$60,Inputs!$C$11+(B8261-Inputs!$C$69)/Inputs!$C$70,"")</f>
      </c>
      <c r="D8261" s="15"/>
      <c r="E8261" s="15"/>
      <c r="F8261" s="11">
        <f t="shared" si="65"/>
      </c>
      <c r="G8261" s="22" cm="1">
        <f t="array" ref="G8261">IF(AND(Inputs!$C$60,Inputs!$C$61),INDEX(Utility_Rates!$C$29:$F$52,HOUR(C8261)+Inputs!$C$69,MATCH(INDEX(Utility_Rates!$K$6:$K$17,MONTH(C8261))&amp;IF(WEEKDAY(C8261,Inputs!$C$76)&lt;=Inputs!$C$74," weekday"," weekend"),Utility_Rates!$C$28:$F$28,Inputs!$C$68)),"")</f>
      </c>
      <c r="H8261" s="34"/>
      <c r="I8261" s="42">
        <f>IF(AND(ISNUMBER(D8261),ISNUMBER(H8261)),D8261*H8261*Inputs!$C$69,"")</f>
      </c>
      <c r="J8261" s="42">
        <f>IF(AND(ISNUMBER(F8261),ISNUMBER(H8261),F8261&gt;=Inputs!$C$68),F8261*H8261*Inputs!$C$69,"")</f>
      </c>
    </row>
    <row r="8262" spans="2:10" ht="15" customHeight="1" x14ac:dyDescent="0.2">
      <c r="B8262" s="39">
        <f t="shared" si="64"/>
      </c>
      <c r="C8262" s="40">
        <f>IF(Inputs!$C$60,Inputs!$C$11+(B8262-Inputs!$C$69)/Inputs!$C$70,"")</f>
      </c>
      <c r="D8262" s="15"/>
      <c r="E8262" s="15"/>
      <c r="F8262" s="11">
        <f t="shared" si="65"/>
      </c>
      <c r="G8262" s="22" cm="1">
        <f t="array" ref="G8262">IF(AND(Inputs!$C$60,Inputs!$C$61),INDEX(Utility_Rates!$C$29:$F$52,HOUR(C8262)+Inputs!$C$69,MATCH(INDEX(Utility_Rates!$K$6:$K$17,MONTH(C8262))&amp;IF(WEEKDAY(C8262,Inputs!$C$76)&lt;=Inputs!$C$74," weekday"," weekend"),Utility_Rates!$C$28:$F$28,Inputs!$C$68)),"")</f>
      </c>
      <c r="H8262" s="34"/>
      <c r="I8262" s="42">
        <f>IF(AND(ISNUMBER(D8262),ISNUMBER(H8262)),D8262*H8262*Inputs!$C$69,"")</f>
      </c>
      <c r="J8262" s="42">
        <f>IF(AND(ISNUMBER(F8262),ISNUMBER(H8262),F8262&gt;=Inputs!$C$68),F8262*H8262*Inputs!$C$69,"")</f>
      </c>
    </row>
    <row r="8263" spans="2:10" ht="15" customHeight="1" x14ac:dyDescent="0.2">
      <c r="B8263" s="39">
        <f t="shared" si="64"/>
      </c>
      <c r="C8263" s="40">
        <f>IF(Inputs!$C$60,Inputs!$C$11+(B8263-Inputs!$C$69)/Inputs!$C$70,"")</f>
      </c>
      <c r="D8263" s="15"/>
      <c r="E8263" s="15"/>
      <c r="F8263" s="11">
        <f t="shared" si="65"/>
      </c>
      <c r="G8263" s="22" cm="1">
        <f t="array" ref="G8263">IF(AND(Inputs!$C$60,Inputs!$C$61),INDEX(Utility_Rates!$C$29:$F$52,HOUR(C8263)+Inputs!$C$69,MATCH(INDEX(Utility_Rates!$K$6:$K$17,MONTH(C8263))&amp;IF(WEEKDAY(C8263,Inputs!$C$76)&lt;=Inputs!$C$74," weekday"," weekend"),Utility_Rates!$C$28:$F$28,Inputs!$C$68)),"")</f>
      </c>
      <c r="H8263" s="34"/>
      <c r="I8263" s="42">
        <f>IF(AND(ISNUMBER(D8263),ISNUMBER(H8263)),D8263*H8263*Inputs!$C$69,"")</f>
      </c>
      <c r="J8263" s="42">
        <f>IF(AND(ISNUMBER(F8263),ISNUMBER(H8263),F8263&gt;=Inputs!$C$68),F8263*H8263*Inputs!$C$69,"")</f>
      </c>
    </row>
    <row r="8264" spans="2:10" ht="15" customHeight="1" x14ac:dyDescent="0.2">
      <c r="B8264" s="39">
        <f t="shared" si="64"/>
      </c>
      <c r="C8264" s="40">
        <f>IF(Inputs!$C$60,Inputs!$C$11+(B8264-Inputs!$C$69)/Inputs!$C$70,"")</f>
      </c>
      <c r="D8264" s="15"/>
      <c r="E8264" s="15"/>
      <c r="F8264" s="11">
        <f t="shared" si="65"/>
      </c>
      <c r="G8264" s="22" cm="1">
        <f t="array" ref="G8264">IF(AND(Inputs!$C$60,Inputs!$C$61),INDEX(Utility_Rates!$C$29:$F$52,HOUR(C8264)+Inputs!$C$69,MATCH(INDEX(Utility_Rates!$K$6:$K$17,MONTH(C8264))&amp;IF(WEEKDAY(C8264,Inputs!$C$76)&lt;=Inputs!$C$74," weekday"," weekend"),Utility_Rates!$C$28:$F$28,Inputs!$C$68)),"")</f>
      </c>
      <c r="H8264" s="34"/>
      <c r="I8264" s="42">
        <f>IF(AND(ISNUMBER(D8264),ISNUMBER(H8264)),D8264*H8264*Inputs!$C$69,"")</f>
      </c>
      <c r="J8264" s="42">
        <f>IF(AND(ISNUMBER(F8264),ISNUMBER(H8264),F8264&gt;=Inputs!$C$68),F8264*H8264*Inputs!$C$69,"")</f>
      </c>
    </row>
    <row r="8265" spans="2:10" ht="15" customHeight="1" x14ac:dyDescent="0.2">
      <c r="B8265" s="39">
        <f t="shared" si="64"/>
      </c>
      <c r="C8265" s="40">
        <f>IF(Inputs!$C$60,Inputs!$C$11+(B8265-Inputs!$C$69)/Inputs!$C$70,"")</f>
      </c>
      <c r="D8265" s="15"/>
      <c r="E8265" s="15"/>
      <c r="F8265" s="11">
        <f t="shared" si="65"/>
      </c>
      <c r="G8265" s="22" cm="1">
        <f t="array" ref="G8265">IF(AND(Inputs!$C$60,Inputs!$C$61),INDEX(Utility_Rates!$C$29:$F$52,HOUR(C8265)+Inputs!$C$69,MATCH(INDEX(Utility_Rates!$K$6:$K$17,MONTH(C8265))&amp;IF(WEEKDAY(C8265,Inputs!$C$76)&lt;=Inputs!$C$74," weekday"," weekend"),Utility_Rates!$C$28:$F$28,Inputs!$C$68)),"")</f>
      </c>
      <c r="H8265" s="34"/>
      <c r="I8265" s="42">
        <f>IF(AND(ISNUMBER(D8265),ISNUMBER(H8265)),D8265*H8265*Inputs!$C$69,"")</f>
      </c>
      <c r="J8265" s="42">
        <f>IF(AND(ISNUMBER(F8265),ISNUMBER(H8265),F8265&gt;=Inputs!$C$68),F8265*H8265*Inputs!$C$69,"")</f>
      </c>
    </row>
    <row r="8266" spans="2:10" ht="15" customHeight="1" x14ac:dyDescent="0.2">
      <c r="B8266" s="39">
        <f t="shared" si="64"/>
      </c>
      <c r="C8266" s="40">
        <f>IF(Inputs!$C$60,Inputs!$C$11+(B8266-Inputs!$C$69)/Inputs!$C$70,"")</f>
      </c>
      <c r="D8266" s="15"/>
      <c r="E8266" s="15"/>
      <c r="F8266" s="11">
        <f t="shared" si="65"/>
      </c>
      <c r="G8266" s="22" cm="1">
        <f t="array" ref="G8266">IF(AND(Inputs!$C$60,Inputs!$C$61),INDEX(Utility_Rates!$C$29:$F$52,HOUR(C8266)+Inputs!$C$69,MATCH(INDEX(Utility_Rates!$K$6:$K$17,MONTH(C8266))&amp;IF(WEEKDAY(C8266,Inputs!$C$76)&lt;=Inputs!$C$74," weekday"," weekend"),Utility_Rates!$C$28:$F$28,Inputs!$C$68)),"")</f>
      </c>
      <c r="H8266" s="34"/>
      <c r="I8266" s="42">
        <f>IF(AND(ISNUMBER(D8266),ISNUMBER(H8266)),D8266*H8266*Inputs!$C$69,"")</f>
      </c>
      <c r="J8266" s="42">
        <f>IF(AND(ISNUMBER(F8266),ISNUMBER(H8266),F8266&gt;=Inputs!$C$68),F8266*H8266*Inputs!$C$69,"")</f>
      </c>
    </row>
    <row r="8267" spans="2:10" ht="15" customHeight="1" x14ac:dyDescent="0.2">
      <c r="B8267" s="39">
        <f t="shared" si="64"/>
      </c>
      <c r="C8267" s="40">
        <f>IF(Inputs!$C$60,Inputs!$C$11+(B8267-Inputs!$C$69)/Inputs!$C$70,"")</f>
      </c>
      <c r="D8267" s="15"/>
      <c r="E8267" s="15"/>
      <c r="F8267" s="11">
        <f t="shared" si="65"/>
      </c>
      <c r="G8267" s="22" cm="1">
        <f t="array" ref="G8267">IF(AND(Inputs!$C$60,Inputs!$C$61),INDEX(Utility_Rates!$C$29:$F$52,HOUR(C8267)+Inputs!$C$69,MATCH(INDEX(Utility_Rates!$K$6:$K$17,MONTH(C8267))&amp;IF(WEEKDAY(C8267,Inputs!$C$76)&lt;=Inputs!$C$74," weekday"," weekend"),Utility_Rates!$C$28:$F$28,Inputs!$C$68)),"")</f>
      </c>
      <c r="H8267" s="34"/>
      <c r="I8267" s="42">
        <f>IF(AND(ISNUMBER(D8267),ISNUMBER(H8267)),D8267*H8267*Inputs!$C$69,"")</f>
      </c>
      <c r="J8267" s="42">
        <f>IF(AND(ISNUMBER(F8267),ISNUMBER(H8267),F8267&gt;=Inputs!$C$68),F8267*H8267*Inputs!$C$69,"")</f>
      </c>
    </row>
    <row r="8268" spans="2:10" ht="15" customHeight="1" x14ac:dyDescent="0.2">
      <c r="B8268" s="39">
        <f t="shared" si="64"/>
      </c>
      <c r="C8268" s="40">
        <f>IF(Inputs!$C$60,Inputs!$C$11+(B8268-Inputs!$C$69)/Inputs!$C$70,"")</f>
      </c>
      <c r="D8268" s="15"/>
      <c r="E8268" s="15"/>
      <c r="F8268" s="11">
        <f t="shared" si="65"/>
      </c>
      <c r="G8268" s="22" cm="1">
        <f t="array" ref="G8268">IF(AND(Inputs!$C$60,Inputs!$C$61),INDEX(Utility_Rates!$C$29:$F$52,HOUR(C8268)+Inputs!$C$69,MATCH(INDEX(Utility_Rates!$K$6:$K$17,MONTH(C8268))&amp;IF(WEEKDAY(C8268,Inputs!$C$76)&lt;=Inputs!$C$74," weekday"," weekend"),Utility_Rates!$C$28:$F$28,Inputs!$C$68)),"")</f>
      </c>
      <c r="H8268" s="34"/>
      <c r="I8268" s="42">
        <f>IF(AND(ISNUMBER(D8268),ISNUMBER(H8268)),D8268*H8268*Inputs!$C$69,"")</f>
      </c>
      <c r="J8268" s="42">
        <f>IF(AND(ISNUMBER(F8268),ISNUMBER(H8268),F8268&gt;=Inputs!$C$68),F8268*H8268*Inputs!$C$69,"")</f>
      </c>
    </row>
    <row r="8269" spans="2:10" ht="15" customHeight="1" x14ac:dyDescent="0.2">
      <c r="B8269" s="39">
        <f t="shared" si="64"/>
      </c>
      <c r="C8269" s="40">
        <f>IF(Inputs!$C$60,Inputs!$C$11+(B8269-Inputs!$C$69)/Inputs!$C$70,"")</f>
      </c>
      <c r="D8269" s="15"/>
      <c r="E8269" s="15"/>
      <c r="F8269" s="11">
        <f t="shared" si="65"/>
      </c>
      <c r="G8269" s="22" cm="1">
        <f t="array" ref="G8269">IF(AND(Inputs!$C$60,Inputs!$C$61),INDEX(Utility_Rates!$C$29:$F$52,HOUR(C8269)+Inputs!$C$69,MATCH(INDEX(Utility_Rates!$K$6:$K$17,MONTH(C8269))&amp;IF(WEEKDAY(C8269,Inputs!$C$76)&lt;=Inputs!$C$74," weekday"," weekend"),Utility_Rates!$C$28:$F$28,Inputs!$C$68)),"")</f>
      </c>
      <c r="H8269" s="34"/>
      <c r="I8269" s="42">
        <f>IF(AND(ISNUMBER(D8269),ISNUMBER(H8269)),D8269*H8269*Inputs!$C$69,"")</f>
      </c>
      <c r="J8269" s="42">
        <f>IF(AND(ISNUMBER(F8269),ISNUMBER(H8269),F8269&gt;=Inputs!$C$68),F8269*H8269*Inputs!$C$69,"")</f>
      </c>
    </row>
    <row r="8270" spans="2:10" ht="15" customHeight="1" x14ac:dyDescent="0.2">
      <c r="B8270" s="39">
        <f t="shared" si="64"/>
      </c>
      <c r="C8270" s="40">
        <f>IF(Inputs!$C$60,Inputs!$C$11+(B8270-Inputs!$C$69)/Inputs!$C$70,"")</f>
      </c>
      <c r="D8270" s="15"/>
      <c r="E8270" s="15"/>
      <c r="F8270" s="11">
        <f t="shared" si="65"/>
      </c>
      <c r="G8270" s="22" cm="1">
        <f t="array" ref="G8270">IF(AND(Inputs!$C$60,Inputs!$C$61),INDEX(Utility_Rates!$C$29:$F$52,HOUR(C8270)+Inputs!$C$69,MATCH(INDEX(Utility_Rates!$K$6:$K$17,MONTH(C8270))&amp;IF(WEEKDAY(C8270,Inputs!$C$76)&lt;=Inputs!$C$74," weekday"," weekend"),Utility_Rates!$C$28:$F$28,Inputs!$C$68)),"")</f>
      </c>
      <c r="H8270" s="34"/>
      <c r="I8270" s="42">
        <f>IF(AND(ISNUMBER(D8270),ISNUMBER(H8270)),D8270*H8270*Inputs!$C$69,"")</f>
      </c>
      <c r="J8270" s="42">
        <f>IF(AND(ISNUMBER(F8270),ISNUMBER(H8270),F8270&gt;=Inputs!$C$68),F8270*H8270*Inputs!$C$69,"")</f>
      </c>
    </row>
    <row r="8271" spans="2:10" ht="15" customHeight="1" x14ac:dyDescent="0.2">
      <c r="B8271" s="39">
        <f t="shared" si="64"/>
      </c>
      <c r="C8271" s="40">
        <f>IF(Inputs!$C$60,Inputs!$C$11+(B8271-Inputs!$C$69)/Inputs!$C$70,"")</f>
      </c>
      <c r="D8271" s="15"/>
      <c r="E8271" s="15"/>
      <c r="F8271" s="11">
        <f t="shared" si="65"/>
      </c>
      <c r="G8271" s="22" cm="1">
        <f t="array" ref="G8271">IF(AND(Inputs!$C$60,Inputs!$C$61),INDEX(Utility_Rates!$C$29:$F$52,HOUR(C8271)+Inputs!$C$69,MATCH(INDEX(Utility_Rates!$K$6:$K$17,MONTH(C8271))&amp;IF(WEEKDAY(C8271,Inputs!$C$76)&lt;=Inputs!$C$74," weekday"," weekend"),Utility_Rates!$C$28:$F$28,Inputs!$C$68)),"")</f>
      </c>
      <c r="H8271" s="34"/>
      <c r="I8271" s="42">
        <f>IF(AND(ISNUMBER(D8271),ISNUMBER(H8271)),D8271*H8271*Inputs!$C$69,"")</f>
      </c>
      <c r="J8271" s="42">
        <f>IF(AND(ISNUMBER(F8271),ISNUMBER(H8271),F8271&gt;=Inputs!$C$68),F8271*H8271*Inputs!$C$69,"")</f>
      </c>
    </row>
    <row r="8272" spans="2:10" ht="15" customHeight="1" x14ac:dyDescent="0.2">
      <c r="B8272" s="39">
        <f t="shared" si="64"/>
      </c>
      <c r="C8272" s="40">
        <f>IF(Inputs!$C$60,Inputs!$C$11+(B8272-Inputs!$C$69)/Inputs!$C$70,"")</f>
      </c>
      <c r="D8272" s="15"/>
      <c r="E8272" s="15"/>
      <c r="F8272" s="11">
        <f t="shared" si="65"/>
      </c>
      <c r="G8272" s="22" cm="1">
        <f t="array" ref="G8272">IF(AND(Inputs!$C$60,Inputs!$C$61),INDEX(Utility_Rates!$C$29:$F$52,HOUR(C8272)+Inputs!$C$69,MATCH(INDEX(Utility_Rates!$K$6:$K$17,MONTH(C8272))&amp;IF(WEEKDAY(C8272,Inputs!$C$76)&lt;=Inputs!$C$74," weekday"," weekend"),Utility_Rates!$C$28:$F$28,Inputs!$C$68)),"")</f>
      </c>
      <c r="H8272" s="34"/>
      <c r="I8272" s="42">
        <f>IF(AND(ISNUMBER(D8272),ISNUMBER(H8272)),D8272*H8272*Inputs!$C$69,"")</f>
      </c>
      <c r="J8272" s="42">
        <f>IF(AND(ISNUMBER(F8272),ISNUMBER(H8272),F8272&gt;=Inputs!$C$68),F8272*H8272*Inputs!$C$69,"")</f>
      </c>
    </row>
    <row r="8273" spans="2:10" ht="15" customHeight="1" x14ac:dyDescent="0.2">
      <c r="B8273" s="39">
        <f t="shared" si="64"/>
      </c>
      <c r="C8273" s="40">
        <f>IF(Inputs!$C$60,Inputs!$C$11+(B8273-Inputs!$C$69)/Inputs!$C$70,"")</f>
      </c>
      <c r="D8273" s="15"/>
      <c r="E8273" s="15"/>
      <c r="F8273" s="11">
        <f t="shared" si="65"/>
      </c>
      <c r="G8273" s="22" cm="1">
        <f t="array" ref="G8273">IF(AND(Inputs!$C$60,Inputs!$C$61),INDEX(Utility_Rates!$C$29:$F$52,HOUR(C8273)+Inputs!$C$69,MATCH(INDEX(Utility_Rates!$K$6:$K$17,MONTH(C8273))&amp;IF(WEEKDAY(C8273,Inputs!$C$76)&lt;=Inputs!$C$74," weekday"," weekend"),Utility_Rates!$C$28:$F$28,Inputs!$C$68)),"")</f>
      </c>
      <c r="H8273" s="34"/>
      <c r="I8273" s="42">
        <f>IF(AND(ISNUMBER(D8273),ISNUMBER(H8273)),D8273*H8273*Inputs!$C$69,"")</f>
      </c>
      <c r="J8273" s="42">
        <f>IF(AND(ISNUMBER(F8273),ISNUMBER(H8273),F8273&gt;=Inputs!$C$68),F8273*H8273*Inputs!$C$69,"")</f>
      </c>
    </row>
    <row r="8274" spans="2:10" ht="15" customHeight="1" x14ac:dyDescent="0.2">
      <c r="B8274" s="39">
        <f t="shared" si="64"/>
      </c>
      <c r="C8274" s="40">
        <f>IF(Inputs!$C$60,Inputs!$C$11+(B8274-Inputs!$C$69)/Inputs!$C$70,"")</f>
      </c>
      <c r="D8274" s="15"/>
      <c r="E8274" s="15"/>
      <c r="F8274" s="11">
        <f t="shared" si="65"/>
      </c>
      <c r="G8274" s="22" cm="1">
        <f t="array" ref="G8274">IF(AND(Inputs!$C$60,Inputs!$C$61),INDEX(Utility_Rates!$C$29:$F$52,HOUR(C8274)+Inputs!$C$69,MATCH(INDEX(Utility_Rates!$K$6:$K$17,MONTH(C8274))&amp;IF(WEEKDAY(C8274,Inputs!$C$76)&lt;=Inputs!$C$74," weekday"," weekend"),Utility_Rates!$C$28:$F$28,Inputs!$C$68)),"")</f>
      </c>
      <c r="H8274" s="34"/>
      <c r="I8274" s="42">
        <f>IF(AND(ISNUMBER(D8274),ISNUMBER(H8274)),D8274*H8274*Inputs!$C$69,"")</f>
      </c>
      <c r="J8274" s="42">
        <f>IF(AND(ISNUMBER(F8274),ISNUMBER(H8274),F8274&gt;=Inputs!$C$68),F8274*H8274*Inputs!$C$69,"")</f>
      </c>
    </row>
    <row r="8275" spans="2:10" ht="15" customHeight="1" x14ac:dyDescent="0.2">
      <c r="B8275" s="39">
        <f t="shared" si="64"/>
      </c>
      <c r="C8275" s="40">
        <f>IF(Inputs!$C$60,Inputs!$C$11+(B8275-Inputs!$C$69)/Inputs!$C$70,"")</f>
      </c>
      <c r="D8275" s="15"/>
      <c r="E8275" s="15"/>
      <c r="F8275" s="11">
        <f t="shared" si="65"/>
      </c>
      <c r="G8275" s="22" cm="1">
        <f t="array" ref="G8275">IF(AND(Inputs!$C$60,Inputs!$C$61),INDEX(Utility_Rates!$C$29:$F$52,HOUR(C8275)+Inputs!$C$69,MATCH(INDEX(Utility_Rates!$K$6:$K$17,MONTH(C8275))&amp;IF(WEEKDAY(C8275,Inputs!$C$76)&lt;=Inputs!$C$74," weekday"," weekend"),Utility_Rates!$C$28:$F$28,Inputs!$C$68)),"")</f>
      </c>
      <c r="H8275" s="34"/>
      <c r="I8275" s="42">
        <f>IF(AND(ISNUMBER(D8275),ISNUMBER(H8275)),D8275*H8275*Inputs!$C$69,"")</f>
      </c>
      <c r="J8275" s="42">
        <f>IF(AND(ISNUMBER(F8275),ISNUMBER(H8275),F8275&gt;=Inputs!$C$68),F8275*H8275*Inputs!$C$69,"")</f>
      </c>
    </row>
    <row r="8276" spans="2:10" ht="15" customHeight="1" x14ac:dyDescent="0.2">
      <c r="B8276" s="39">
        <f t="shared" si="64"/>
      </c>
      <c r="C8276" s="40">
        <f>IF(Inputs!$C$60,Inputs!$C$11+(B8276-Inputs!$C$69)/Inputs!$C$70,"")</f>
      </c>
      <c r="D8276" s="15"/>
      <c r="E8276" s="15"/>
      <c r="F8276" s="11">
        <f t="shared" si="65"/>
      </c>
      <c r="G8276" s="22" cm="1">
        <f t="array" ref="G8276">IF(AND(Inputs!$C$60,Inputs!$C$61),INDEX(Utility_Rates!$C$29:$F$52,HOUR(C8276)+Inputs!$C$69,MATCH(INDEX(Utility_Rates!$K$6:$K$17,MONTH(C8276))&amp;IF(WEEKDAY(C8276,Inputs!$C$76)&lt;=Inputs!$C$74," weekday"," weekend"),Utility_Rates!$C$28:$F$28,Inputs!$C$68)),"")</f>
      </c>
      <c r="H8276" s="34"/>
      <c r="I8276" s="42">
        <f>IF(AND(ISNUMBER(D8276),ISNUMBER(H8276)),D8276*H8276*Inputs!$C$69,"")</f>
      </c>
      <c r="J8276" s="42">
        <f>IF(AND(ISNUMBER(F8276),ISNUMBER(H8276),F8276&gt;=Inputs!$C$68),F8276*H8276*Inputs!$C$69,"")</f>
      </c>
    </row>
    <row r="8277" spans="2:10" ht="15" customHeight="1" x14ac:dyDescent="0.2">
      <c r="B8277" s="39">
        <f t="shared" si="64"/>
      </c>
      <c r="C8277" s="40">
        <f>IF(Inputs!$C$60,Inputs!$C$11+(B8277-Inputs!$C$69)/Inputs!$C$70,"")</f>
      </c>
      <c r="D8277" s="15"/>
      <c r="E8277" s="15"/>
      <c r="F8277" s="11">
        <f t="shared" si="65"/>
      </c>
      <c r="G8277" s="22" cm="1">
        <f t="array" ref="G8277">IF(AND(Inputs!$C$60,Inputs!$C$61),INDEX(Utility_Rates!$C$29:$F$52,HOUR(C8277)+Inputs!$C$69,MATCH(INDEX(Utility_Rates!$K$6:$K$17,MONTH(C8277))&amp;IF(WEEKDAY(C8277,Inputs!$C$76)&lt;=Inputs!$C$74," weekday"," weekend"),Utility_Rates!$C$28:$F$28,Inputs!$C$68)),"")</f>
      </c>
      <c r="H8277" s="34"/>
      <c r="I8277" s="42">
        <f>IF(AND(ISNUMBER(D8277),ISNUMBER(H8277)),D8277*H8277*Inputs!$C$69,"")</f>
      </c>
      <c r="J8277" s="42">
        <f>IF(AND(ISNUMBER(F8277),ISNUMBER(H8277),F8277&gt;=Inputs!$C$68),F8277*H8277*Inputs!$C$69,"")</f>
      </c>
    </row>
    <row r="8278" spans="2:10" ht="15" customHeight="1" x14ac:dyDescent="0.2">
      <c r="B8278" s="39">
        <f t="shared" si="64"/>
      </c>
      <c r="C8278" s="40">
        <f>IF(Inputs!$C$60,Inputs!$C$11+(B8278-Inputs!$C$69)/Inputs!$C$70,"")</f>
      </c>
      <c r="D8278" s="15"/>
      <c r="E8278" s="15"/>
      <c r="F8278" s="11">
        <f t="shared" si="65"/>
      </c>
      <c r="G8278" s="22" cm="1">
        <f t="array" ref="G8278">IF(AND(Inputs!$C$60,Inputs!$C$61),INDEX(Utility_Rates!$C$29:$F$52,HOUR(C8278)+Inputs!$C$69,MATCH(INDEX(Utility_Rates!$K$6:$K$17,MONTH(C8278))&amp;IF(WEEKDAY(C8278,Inputs!$C$76)&lt;=Inputs!$C$74," weekday"," weekend"),Utility_Rates!$C$28:$F$28,Inputs!$C$68)),"")</f>
      </c>
      <c r="H8278" s="34"/>
      <c r="I8278" s="42">
        <f>IF(AND(ISNUMBER(D8278),ISNUMBER(H8278)),D8278*H8278*Inputs!$C$69,"")</f>
      </c>
      <c r="J8278" s="42">
        <f>IF(AND(ISNUMBER(F8278),ISNUMBER(H8278),F8278&gt;=Inputs!$C$68),F8278*H8278*Inputs!$C$69,"")</f>
      </c>
    </row>
    <row r="8279" spans="2:10" ht="15" customHeight="1" x14ac:dyDescent="0.2">
      <c r="B8279" s="39">
        <f t="shared" si="64"/>
      </c>
      <c r="C8279" s="40">
        <f>IF(Inputs!$C$60,Inputs!$C$11+(B8279-Inputs!$C$69)/Inputs!$C$70,"")</f>
      </c>
      <c r="D8279" s="15"/>
      <c r="E8279" s="15"/>
      <c r="F8279" s="11">
        <f t="shared" si="65"/>
      </c>
      <c r="G8279" s="22" cm="1">
        <f t="array" ref="G8279">IF(AND(Inputs!$C$60,Inputs!$C$61),INDEX(Utility_Rates!$C$29:$F$52,HOUR(C8279)+Inputs!$C$69,MATCH(INDEX(Utility_Rates!$K$6:$K$17,MONTH(C8279))&amp;IF(WEEKDAY(C8279,Inputs!$C$76)&lt;=Inputs!$C$74," weekday"," weekend"),Utility_Rates!$C$28:$F$28,Inputs!$C$68)),"")</f>
      </c>
      <c r="H8279" s="34"/>
      <c r="I8279" s="42">
        <f>IF(AND(ISNUMBER(D8279),ISNUMBER(H8279)),D8279*H8279*Inputs!$C$69,"")</f>
      </c>
      <c r="J8279" s="42">
        <f>IF(AND(ISNUMBER(F8279),ISNUMBER(H8279),F8279&gt;=Inputs!$C$68),F8279*H8279*Inputs!$C$69,"")</f>
      </c>
    </row>
    <row r="8280" spans="2:10" ht="15" customHeight="1" x14ac:dyDescent="0.2">
      <c r="B8280" s="39">
        <f t="shared" si="64"/>
      </c>
      <c r="C8280" s="40">
        <f>IF(Inputs!$C$60,Inputs!$C$11+(B8280-Inputs!$C$69)/Inputs!$C$70,"")</f>
      </c>
      <c r="D8280" s="15"/>
      <c r="E8280" s="15"/>
      <c r="F8280" s="11">
        <f t="shared" si="65"/>
      </c>
      <c r="G8280" s="22" cm="1">
        <f t="array" ref="G8280">IF(AND(Inputs!$C$60,Inputs!$C$61),INDEX(Utility_Rates!$C$29:$F$52,HOUR(C8280)+Inputs!$C$69,MATCH(INDEX(Utility_Rates!$K$6:$K$17,MONTH(C8280))&amp;IF(WEEKDAY(C8280,Inputs!$C$76)&lt;=Inputs!$C$74," weekday"," weekend"),Utility_Rates!$C$28:$F$28,Inputs!$C$68)),"")</f>
      </c>
      <c r="H8280" s="34"/>
      <c r="I8280" s="42">
        <f>IF(AND(ISNUMBER(D8280),ISNUMBER(H8280)),D8280*H8280*Inputs!$C$69,"")</f>
      </c>
      <c r="J8280" s="42">
        <f>IF(AND(ISNUMBER(F8280),ISNUMBER(H8280),F8280&gt;=Inputs!$C$68),F8280*H8280*Inputs!$C$69,"")</f>
      </c>
    </row>
    <row r="8281" spans="2:10" ht="15" customHeight="1" x14ac:dyDescent="0.2">
      <c r="B8281" s="39">
        <f t="shared" si="64"/>
      </c>
      <c r="C8281" s="40">
        <f>IF(Inputs!$C$60,Inputs!$C$11+(B8281-Inputs!$C$69)/Inputs!$C$70,"")</f>
      </c>
      <c r="D8281" s="15"/>
      <c r="E8281" s="15"/>
      <c r="F8281" s="11">
        <f t="shared" si="65"/>
      </c>
      <c r="G8281" s="22" cm="1">
        <f t="array" ref="G8281">IF(AND(Inputs!$C$60,Inputs!$C$61),INDEX(Utility_Rates!$C$29:$F$52,HOUR(C8281)+Inputs!$C$69,MATCH(INDEX(Utility_Rates!$K$6:$K$17,MONTH(C8281))&amp;IF(WEEKDAY(C8281,Inputs!$C$76)&lt;=Inputs!$C$74," weekday"," weekend"),Utility_Rates!$C$28:$F$28,Inputs!$C$68)),"")</f>
      </c>
      <c r="H8281" s="34"/>
      <c r="I8281" s="42">
        <f>IF(AND(ISNUMBER(D8281),ISNUMBER(H8281)),D8281*H8281*Inputs!$C$69,"")</f>
      </c>
      <c r="J8281" s="42">
        <f>IF(AND(ISNUMBER(F8281),ISNUMBER(H8281),F8281&gt;=Inputs!$C$68),F8281*H8281*Inputs!$C$69,"")</f>
      </c>
    </row>
    <row r="8282" spans="2:10" ht="15" customHeight="1" x14ac:dyDescent="0.2">
      <c r="B8282" s="39">
        <f t="shared" si="64"/>
      </c>
      <c r="C8282" s="40">
        <f>IF(Inputs!$C$60,Inputs!$C$11+(B8282-Inputs!$C$69)/Inputs!$C$70,"")</f>
      </c>
      <c r="D8282" s="15"/>
      <c r="E8282" s="15"/>
      <c r="F8282" s="11">
        <f t="shared" si="65"/>
      </c>
      <c r="G8282" s="22" cm="1">
        <f t="array" ref="G8282">IF(AND(Inputs!$C$60,Inputs!$C$61),INDEX(Utility_Rates!$C$29:$F$52,HOUR(C8282)+Inputs!$C$69,MATCH(INDEX(Utility_Rates!$K$6:$K$17,MONTH(C8282))&amp;IF(WEEKDAY(C8282,Inputs!$C$76)&lt;=Inputs!$C$74," weekday"," weekend"),Utility_Rates!$C$28:$F$28,Inputs!$C$68)),"")</f>
      </c>
      <c r="H8282" s="34"/>
      <c r="I8282" s="42">
        <f>IF(AND(ISNUMBER(D8282),ISNUMBER(H8282)),D8282*H8282*Inputs!$C$69,"")</f>
      </c>
      <c r="J8282" s="42">
        <f>IF(AND(ISNUMBER(F8282),ISNUMBER(H8282),F8282&gt;=Inputs!$C$68),F8282*H8282*Inputs!$C$69,"")</f>
      </c>
    </row>
    <row r="8283" spans="2:10" ht="15" customHeight="1" x14ac:dyDescent="0.2">
      <c r="B8283" s="39">
        <f t="shared" si="64"/>
      </c>
      <c r="C8283" s="40">
        <f>IF(Inputs!$C$60,Inputs!$C$11+(B8283-Inputs!$C$69)/Inputs!$C$70,"")</f>
      </c>
      <c r="D8283" s="15"/>
      <c r="E8283" s="15"/>
      <c r="F8283" s="11">
        <f t="shared" si="65"/>
      </c>
      <c r="G8283" s="22" cm="1">
        <f t="array" ref="G8283">IF(AND(Inputs!$C$60,Inputs!$C$61),INDEX(Utility_Rates!$C$29:$F$52,HOUR(C8283)+Inputs!$C$69,MATCH(INDEX(Utility_Rates!$K$6:$K$17,MONTH(C8283))&amp;IF(WEEKDAY(C8283,Inputs!$C$76)&lt;=Inputs!$C$74," weekday"," weekend"),Utility_Rates!$C$28:$F$28,Inputs!$C$68)),"")</f>
      </c>
      <c r="H8283" s="34"/>
      <c r="I8283" s="42">
        <f>IF(AND(ISNUMBER(D8283),ISNUMBER(H8283)),D8283*H8283*Inputs!$C$69,"")</f>
      </c>
      <c r="J8283" s="42">
        <f>IF(AND(ISNUMBER(F8283),ISNUMBER(H8283),F8283&gt;=Inputs!$C$68),F8283*H8283*Inputs!$C$69,"")</f>
      </c>
    </row>
    <row r="8284" spans="2:10" ht="15" customHeight="1" x14ac:dyDescent="0.2">
      <c r="B8284" s="39">
        <f t="shared" si="64"/>
      </c>
      <c r="C8284" s="40">
        <f>IF(Inputs!$C$60,Inputs!$C$11+(B8284-Inputs!$C$69)/Inputs!$C$70,"")</f>
      </c>
      <c r="D8284" s="15"/>
      <c r="E8284" s="15"/>
      <c r="F8284" s="11">
        <f t="shared" si="65"/>
      </c>
      <c r="G8284" s="22" cm="1">
        <f t="array" ref="G8284">IF(AND(Inputs!$C$60,Inputs!$C$61),INDEX(Utility_Rates!$C$29:$F$52,HOUR(C8284)+Inputs!$C$69,MATCH(INDEX(Utility_Rates!$K$6:$K$17,MONTH(C8284))&amp;IF(WEEKDAY(C8284,Inputs!$C$76)&lt;=Inputs!$C$74," weekday"," weekend"),Utility_Rates!$C$28:$F$28,Inputs!$C$68)),"")</f>
      </c>
      <c r="H8284" s="34"/>
      <c r="I8284" s="42">
        <f>IF(AND(ISNUMBER(D8284),ISNUMBER(H8284)),D8284*H8284*Inputs!$C$69,"")</f>
      </c>
      <c r="J8284" s="42">
        <f>IF(AND(ISNUMBER(F8284),ISNUMBER(H8284),F8284&gt;=Inputs!$C$68),F8284*H8284*Inputs!$C$69,"")</f>
      </c>
    </row>
    <row r="8285" spans="2:10" ht="15" customHeight="1" x14ac:dyDescent="0.2">
      <c r="B8285" s="39">
        <f t="shared" si="64"/>
      </c>
      <c r="C8285" s="40">
        <f>IF(Inputs!$C$60,Inputs!$C$11+(B8285-Inputs!$C$69)/Inputs!$C$70,"")</f>
      </c>
      <c r="D8285" s="15"/>
      <c r="E8285" s="15"/>
      <c r="F8285" s="11">
        <f t="shared" si="65"/>
      </c>
      <c r="G8285" s="22" cm="1">
        <f t="array" ref="G8285">IF(AND(Inputs!$C$60,Inputs!$C$61),INDEX(Utility_Rates!$C$29:$F$52,HOUR(C8285)+Inputs!$C$69,MATCH(INDEX(Utility_Rates!$K$6:$K$17,MONTH(C8285))&amp;IF(WEEKDAY(C8285,Inputs!$C$76)&lt;=Inputs!$C$74," weekday"," weekend"),Utility_Rates!$C$28:$F$28,Inputs!$C$68)),"")</f>
      </c>
      <c r="H8285" s="34"/>
      <c r="I8285" s="42">
        <f>IF(AND(ISNUMBER(D8285),ISNUMBER(H8285)),D8285*H8285*Inputs!$C$69,"")</f>
      </c>
      <c r="J8285" s="42">
        <f>IF(AND(ISNUMBER(F8285),ISNUMBER(H8285),F8285&gt;=Inputs!$C$68),F8285*H8285*Inputs!$C$69,"")</f>
      </c>
    </row>
    <row r="8286" spans="2:10" ht="15" customHeight="1" x14ac:dyDescent="0.2">
      <c r="B8286" s="39">
        <f t="shared" si="64"/>
      </c>
      <c r="C8286" s="40">
        <f>IF(Inputs!$C$60,Inputs!$C$11+(B8286-Inputs!$C$69)/Inputs!$C$70,"")</f>
      </c>
      <c r="D8286" s="15"/>
      <c r="E8286" s="15"/>
      <c r="F8286" s="11">
        <f t="shared" si="65"/>
      </c>
      <c r="G8286" s="22" cm="1">
        <f t="array" ref="G8286">IF(AND(Inputs!$C$60,Inputs!$C$61),INDEX(Utility_Rates!$C$29:$F$52,HOUR(C8286)+Inputs!$C$69,MATCH(INDEX(Utility_Rates!$K$6:$K$17,MONTH(C8286))&amp;IF(WEEKDAY(C8286,Inputs!$C$76)&lt;=Inputs!$C$74," weekday"," weekend"),Utility_Rates!$C$28:$F$28,Inputs!$C$68)),"")</f>
      </c>
      <c r="H8286" s="34"/>
      <c r="I8286" s="42">
        <f>IF(AND(ISNUMBER(D8286),ISNUMBER(H8286)),D8286*H8286*Inputs!$C$69,"")</f>
      </c>
      <c r="J8286" s="42">
        <f>IF(AND(ISNUMBER(F8286),ISNUMBER(H8286),F8286&gt;=Inputs!$C$68),F8286*H8286*Inputs!$C$69,"")</f>
      </c>
    </row>
    <row r="8287" spans="2:10" ht="15" customHeight="1" x14ac:dyDescent="0.2">
      <c r="B8287" s="39">
        <f t="shared" si="64"/>
      </c>
      <c r="C8287" s="40">
        <f>IF(Inputs!$C$60,Inputs!$C$11+(B8287-Inputs!$C$69)/Inputs!$C$70,"")</f>
      </c>
      <c r="D8287" s="15"/>
      <c r="E8287" s="15"/>
      <c r="F8287" s="11">
        <f t="shared" si="65"/>
      </c>
      <c r="G8287" s="22" cm="1">
        <f t="array" ref="G8287">IF(AND(Inputs!$C$60,Inputs!$C$61),INDEX(Utility_Rates!$C$29:$F$52,HOUR(C8287)+Inputs!$C$69,MATCH(INDEX(Utility_Rates!$K$6:$K$17,MONTH(C8287))&amp;IF(WEEKDAY(C8287,Inputs!$C$76)&lt;=Inputs!$C$74," weekday"," weekend"),Utility_Rates!$C$28:$F$28,Inputs!$C$68)),"")</f>
      </c>
      <c r="H8287" s="34"/>
      <c r="I8287" s="42">
        <f>IF(AND(ISNUMBER(D8287),ISNUMBER(H8287)),D8287*H8287*Inputs!$C$69,"")</f>
      </c>
      <c r="J8287" s="42">
        <f>IF(AND(ISNUMBER(F8287),ISNUMBER(H8287),F8287&gt;=Inputs!$C$68),F8287*H8287*Inputs!$C$69,"")</f>
      </c>
    </row>
    <row r="8288" spans="2:10" ht="15" customHeight="1" x14ac:dyDescent="0.2">
      <c r="B8288" s="39">
        <f t="shared" si="64"/>
      </c>
      <c r="C8288" s="40">
        <f>IF(Inputs!$C$60,Inputs!$C$11+(B8288-Inputs!$C$69)/Inputs!$C$70,"")</f>
      </c>
      <c r="D8288" s="15"/>
      <c r="E8288" s="15"/>
      <c r="F8288" s="11">
        <f t="shared" si="65"/>
      </c>
      <c r="G8288" s="22" cm="1">
        <f t="array" ref="G8288">IF(AND(Inputs!$C$60,Inputs!$C$61),INDEX(Utility_Rates!$C$29:$F$52,HOUR(C8288)+Inputs!$C$69,MATCH(INDEX(Utility_Rates!$K$6:$K$17,MONTH(C8288))&amp;IF(WEEKDAY(C8288,Inputs!$C$76)&lt;=Inputs!$C$74," weekday"," weekend"),Utility_Rates!$C$28:$F$28,Inputs!$C$68)),"")</f>
      </c>
      <c r="H8288" s="34"/>
      <c r="I8288" s="42">
        <f>IF(AND(ISNUMBER(D8288),ISNUMBER(H8288)),D8288*H8288*Inputs!$C$69,"")</f>
      </c>
      <c r="J8288" s="42">
        <f>IF(AND(ISNUMBER(F8288),ISNUMBER(H8288),F8288&gt;=Inputs!$C$68),F8288*H8288*Inputs!$C$69,"")</f>
      </c>
    </row>
    <row r="8289" spans="2:10" ht="15" customHeight="1" x14ac:dyDescent="0.2">
      <c r="B8289" s="39">
        <f t="shared" si="64"/>
      </c>
      <c r="C8289" s="40">
        <f>IF(Inputs!$C$60,Inputs!$C$11+(B8289-Inputs!$C$69)/Inputs!$C$70,"")</f>
      </c>
      <c r="D8289" s="15"/>
      <c r="E8289" s="15"/>
      <c r="F8289" s="11">
        <f t="shared" si="65"/>
      </c>
      <c r="G8289" s="22" cm="1">
        <f t="array" ref="G8289">IF(AND(Inputs!$C$60,Inputs!$C$61),INDEX(Utility_Rates!$C$29:$F$52,HOUR(C8289)+Inputs!$C$69,MATCH(INDEX(Utility_Rates!$K$6:$K$17,MONTH(C8289))&amp;IF(WEEKDAY(C8289,Inputs!$C$76)&lt;=Inputs!$C$74," weekday"," weekend"),Utility_Rates!$C$28:$F$28,Inputs!$C$68)),"")</f>
      </c>
      <c r="H8289" s="34"/>
      <c r="I8289" s="42">
        <f>IF(AND(ISNUMBER(D8289),ISNUMBER(H8289)),D8289*H8289*Inputs!$C$69,"")</f>
      </c>
      <c r="J8289" s="42">
        <f>IF(AND(ISNUMBER(F8289),ISNUMBER(H8289),F8289&gt;=Inputs!$C$68),F8289*H8289*Inputs!$C$69,"")</f>
      </c>
    </row>
    <row r="8290" spans="2:10" ht="15" customHeight="1" x14ac:dyDescent="0.2">
      <c r="B8290" s="39">
        <f t="shared" si="64"/>
      </c>
      <c r="C8290" s="40">
        <f>IF(Inputs!$C$60,Inputs!$C$11+(B8290-Inputs!$C$69)/Inputs!$C$70,"")</f>
      </c>
      <c r="D8290" s="15"/>
      <c r="E8290" s="15"/>
      <c r="F8290" s="11">
        <f t="shared" si="65"/>
      </c>
      <c r="G8290" s="22" cm="1">
        <f t="array" ref="G8290">IF(AND(Inputs!$C$60,Inputs!$C$61),INDEX(Utility_Rates!$C$29:$F$52,HOUR(C8290)+Inputs!$C$69,MATCH(INDEX(Utility_Rates!$K$6:$K$17,MONTH(C8290))&amp;IF(WEEKDAY(C8290,Inputs!$C$76)&lt;=Inputs!$C$74," weekday"," weekend"),Utility_Rates!$C$28:$F$28,Inputs!$C$68)),"")</f>
      </c>
      <c r="H8290" s="34"/>
      <c r="I8290" s="42">
        <f>IF(AND(ISNUMBER(D8290),ISNUMBER(H8290)),D8290*H8290*Inputs!$C$69,"")</f>
      </c>
      <c r="J8290" s="42">
        <f>IF(AND(ISNUMBER(F8290),ISNUMBER(H8290),F8290&gt;=Inputs!$C$68),F8290*H8290*Inputs!$C$69,"")</f>
      </c>
    </row>
    <row r="8291" spans="2:10" ht="15" customHeight="1" x14ac:dyDescent="0.2">
      <c r="B8291" s="39">
        <f t="shared" si="64"/>
      </c>
      <c r="C8291" s="40">
        <f>IF(Inputs!$C$60,Inputs!$C$11+(B8291-Inputs!$C$69)/Inputs!$C$70,"")</f>
      </c>
      <c r="D8291" s="15"/>
      <c r="E8291" s="15"/>
      <c r="F8291" s="11">
        <f t="shared" si="65"/>
      </c>
      <c r="G8291" s="22" cm="1">
        <f t="array" ref="G8291">IF(AND(Inputs!$C$60,Inputs!$C$61),INDEX(Utility_Rates!$C$29:$F$52,HOUR(C8291)+Inputs!$C$69,MATCH(INDEX(Utility_Rates!$K$6:$K$17,MONTH(C8291))&amp;IF(WEEKDAY(C8291,Inputs!$C$76)&lt;=Inputs!$C$74," weekday"," weekend"),Utility_Rates!$C$28:$F$28,Inputs!$C$68)),"")</f>
      </c>
      <c r="H8291" s="34"/>
      <c r="I8291" s="42">
        <f>IF(AND(ISNUMBER(D8291),ISNUMBER(H8291)),D8291*H8291*Inputs!$C$69,"")</f>
      </c>
      <c r="J8291" s="42">
        <f>IF(AND(ISNUMBER(F8291),ISNUMBER(H8291),F8291&gt;=Inputs!$C$68),F8291*H8291*Inputs!$C$69,"")</f>
      </c>
    </row>
    <row r="8292" spans="2:10" ht="15" customHeight="1" x14ac:dyDescent="0.2">
      <c r="B8292" s="39">
        <f t="shared" si="64"/>
      </c>
      <c r="C8292" s="40">
        <f>IF(Inputs!$C$60,Inputs!$C$11+(B8292-Inputs!$C$69)/Inputs!$C$70,"")</f>
      </c>
      <c r="D8292" s="15"/>
      <c r="E8292" s="15"/>
      <c r="F8292" s="11">
        <f t="shared" si="65"/>
      </c>
      <c r="G8292" s="22" cm="1">
        <f t="array" ref="G8292">IF(AND(Inputs!$C$60,Inputs!$C$61),INDEX(Utility_Rates!$C$29:$F$52,HOUR(C8292)+Inputs!$C$69,MATCH(INDEX(Utility_Rates!$K$6:$K$17,MONTH(C8292))&amp;IF(WEEKDAY(C8292,Inputs!$C$76)&lt;=Inputs!$C$74," weekday"," weekend"),Utility_Rates!$C$28:$F$28,Inputs!$C$68)),"")</f>
      </c>
      <c r="H8292" s="34"/>
      <c r="I8292" s="42">
        <f>IF(AND(ISNUMBER(D8292),ISNUMBER(H8292)),D8292*H8292*Inputs!$C$69,"")</f>
      </c>
      <c r="J8292" s="42">
        <f>IF(AND(ISNUMBER(F8292),ISNUMBER(H8292),F8292&gt;=Inputs!$C$68),F8292*H8292*Inputs!$C$69,"")</f>
      </c>
    </row>
    <row r="8293" spans="2:10" ht="15" customHeight="1" x14ac:dyDescent="0.2">
      <c r="B8293" s="39">
        <f t="shared" si="64"/>
      </c>
      <c r="C8293" s="40">
        <f>IF(Inputs!$C$60,Inputs!$C$11+(B8293-Inputs!$C$69)/Inputs!$C$70,"")</f>
      </c>
      <c r="D8293" s="15"/>
      <c r="E8293" s="15"/>
      <c r="F8293" s="11">
        <f t="shared" si="65"/>
      </c>
      <c r="G8293" s="22" cm="1">
        <f t="array" ref="G8293">IF(AND(Inputs!$C$60,Inputs!$C$61),INDEX(Utility_Rates!$C$29:$F$52,HOUR(C8293)+Inputs!$C$69,MATCH(INDEX(Utility_Rates!$K$6:$K$17,MONTH(C8293))&amp;IF(WEEKDAY(C8293,Inputs!$C$76)&lt;=Inputs!$C$74," weekday"," weekend"),Utility_Rates!$C$28:$F$28,Inputs!$C$68)),"")</f>
      </c>
      <c r="H8293" s="34"/>
      <c r="I8293" s="42">
        <f>IF(AND(ISNUMBER(D8293),ISNUMBER(H8293)),D8293*H8293*Inputs!$C$69,"")</f>
      </c>
      <c r="J8293" s="42">
        <f>IF(AND(ISNUMBER(F8293),ISNUMBER(H8293),F8293&gt;=Inputs!$C$68),F8293*H8293*Inputs!$C$69,"")</f>
      </c>
    </row>
    <row r="8294" spans="2:10" ht="15" customHeight="1" x14ac:dyDescent="0.2">
      <c r="B8294" s="39">
        <f t="shared" si="64"/>
      </c>
      <c r="C8294" s="40">
        <f>IF(Inputs!$C$60,Inputs!$C$11+(B8294-Inputs!$C$69)/Inputs!$C$70,"")</f>
      </c>
      <c r="D8294" s="15"/>
      <c r="E8294" s="15"/>
      <c r="F8294" s="11">
        <f t="shared" si="65"/>
      </c>
      <c r="G8294" s="22" cm="1">
        <f t="array" ref="G8294">IF(AND(Inputs!$C$60,Inputs!$C$61),INDEX(Utility_Rates!$C$29:$F$52,HOUR(C8294)+Inputs!$C$69,MATCH(INDEX(Utility_Rates!$K$6:$K$17,MONTH(C8294))&amp;IF(WEEKDAY(C8294,Inputs!$C$76)&lt;=Inputs!$C$74," weekday"," weekend"),Utility_Rates!$C$28:$F$28,Inputs!$C$68)),"")</f>
      </c>
      <c r="H8294" s="34"/>
      <c r="I8294" s="42">
        <f>IF(AND(ISNUMBER(D8294),ISNUMBER(H8294)),D8294*H8294*Inputs!$C$69,"")</f>
      </c>
      <c r="J8294" s="42">
        <f>IF(AND(ISNUMBER(F8294),ISNUMBER(H8294),F8294&gt;=Inputs!$C$68),F8294*H8294*Inputs!$C$69,"")</f>
      </c>
    </row>
    <row r="8295" spans="2:10" ht="15" customHeight="1" x14ac:dyDescent="0.2">
      <c r="B8295" s="39">
        <f t="shared" si="64"/>
      </c>
      <c r="C8295" s="40">
        <f>IF(Inputs!$C$60,Inputs!$C$11+(B8295-Inputs!$C$69)/Inputs!$C$70,"")</f>
      </c>
      <c r="D8295" s="15"/>
      <c r="E8295" s="15"/>
      <c r="F8295" s="11">
        <f t="shared" si="65"/>
      </c>
      <c r="G8295" s="22" cm="1">
        <f t="array" ref="G8295">IF(AND(Inputs!$C$60,Inputs!$C$61),INDEX(Utility_Rates!$C$29:$F$52,HOUR(C8295)+Inputs!$C$69,MATCH(INDEX(Utility_Rates!$K$6:$K$17,MONTH(C8295))&amp;IF(WEEKDAY(C8295,Inputs!$C$76)&lt;=Inputs!$C$74," weekday"," weekend"),Utility_Rates!$C$28:$F$28,Inputs!$C$68)),"")</f>
      </c>
      <c r="H8295" s="34"/>
      <c r="I8295" s="42">
        <f>IF(AND(ISNUMBER(D8295),ISNUMBER(H8295)),D8295*H8295*Inputs!$C$69,"")</f>
      </c>
      <c r="J8295" s="42">
        <f>IF(AND(ISNUMBER(F8295),ISNUMBER(H8295),F8295&gt;=Inputs!$C$68),F8295*H8295*Inputs!$C$69,"")</f>
      </c>
    </row>
    <row r="8296" spans="2:10" ht="15" customHeight="1" x14ac:dyDescent="0.2">
      <c r="B8296" s="39">
        <f t="shared" si="64"/>
      </c>
      <c r="C8296" s="40">
        <f>IF(Inputs!$C$60,Inputs!$C$11+(B8296-Inputs!$C$69)/Inputs!$C$70,"")</f>
      </c>
      <c r="D8296" s="15"/>
      <c r="E8296" s="15"/>
      <c r="F8296" s="11">
        <f t="shared" si="65"/>
      </c>
      <c r="G8296" s="22" cm="1">
        <f t="array" ref="G8296">IF(AND(Inputs!$C$60,Inputs!$C$61),INDEX(Utility_Rates!$C$29:$F$52,HOUR(C8296)+Inputs!$C$69,MATCH(INDEX(Utility_Rates!$K$6:$K$17,MONTH(C8296))&amp;IF(WEEKDAY(C8296,Inputs!$C$76)&lt;=Inputs!$C$74," weekday"," weekend"),Utility_Rates!$C$28:$F$28,Inputs!$C$68)),"")</f>
      </c>
      <c r="H8296" s="34"/>
      <c r="I8296" s="42">
        <f>IF(AND(ISNUMBER(D8296),ISNUMBER(H8296)),D8296*H8296*Inputs!$C$69,"")</f>
      </c>
      <c r="J8296" s="42">
        <f>IF(AND(ISNUMBER(F8296),ISNUMBER(H8296),F8296&gt;=Inputs!$C$68),F8296*H8296*Inputs!$C$69,"")</f>
      </c>
    </row>
    <row r="8297" spans="2:10" ht="15" customHeight="1" x14ac:dyDescent="0.2">
      <c r="B8297" s="39">
        <f t="shared" si="64"/>
      </c>
      <c r="C8297" s="40">
        <f>IF(Inputs!$C$60,Inputs!$C$11+(B8297-Inputs!$C$69)/Inputs!$C$70,"")</f>
      </c>
      <c r="D8297" s="15"/>
      <c r="E8297" s="15"/>
      <c r="F8297" s="11">
        <f t="shared" si="65"/>
      </c>
      <c r="G8297" s="22" cm="1">
        <f t="array" ref="G8297">IF(AND(Inputs!$C$60,Inputs!$C$61),INDEX(Utility_Rates!$C$29:$F$52,HOUR(C8297)+Inputs!$C$69,MATCH(INDEX(Utility_Rates!$K$6:$K$17,MONTH(C8297))&amp;IF(WEEKDAY(C8297,Inputs!$C$76)&lt;=Inputs!$C$74," weekday"," weekend"),Utility_Rates!$C$28:$F$28,Inputs!$C$68)),"")</f>
      </c>
      <c r="H8297" s="34"/>
      <c r="I8297" s="42">
        <f>IF(AND(ISNUMBER(D8297),ISNUMBER(H8297)),D8297*H8297*Inputs!$C$69,"")</f>
      </c>
      <c r="J8297" s="42">
        <f>IF(AND(ISNUMBER(F8297),ISNUMBER(H8297),F8297&gt;=Inputs!$C$68),F8297*H8297*Inputs!$C$69,"")</f>
      </c>
    </row>
    <row r="8298" spans="2:10" ht="15" customHeight="1" x14ac:dyDescent="0.2">
      <c r="B8298" s="39">
        <f t="shared" si="64"/>
      </c>
      <c r="C8298" s="40">
        <f>IF(Inputs!$C$60,Inputs!$C$11+(B8298-Inputs!$C$69)/Inputs!$C$70,"")</f>
      </c>
      <c r="D8298" s="15"/>
      <c r="E8298" s="15"/>
      <c r="F8298" s="11">
        <f t="shared" si="65"/>
      </c>
      <c r="G8298" s="22" cm="1">
        <f t="array" ref="G8298">IF(AND(Inputs!$C$60,Inputs!$C$61),INDEX(Utility_Rates!$C$29:$F$52,HOUR(C8298)+Inputs!$C$69,MATCH(INDEX(Utility_Rates!$K$6:$K$17,MONTH(C8298))&amp;IF(WEEKDAY(C8298,Inputs!$C$76)&lt;=Inputs!$C$74," weekday"," weekend"),Utility_Rates!$C$28:$F$28,Inputs!$C$68)),"")</f>
      </c>
      <c r="H8298" s="34"/>
      <c r="I8298" s="42">
        <f>IF(AND(ISNUMBER(D8298),ISNUMBER(H8298)),D8298*H8298*Inputs!$C$69,"")</f>
      </c>
      <c r="J8298" s="42">
        <f>IF(AND(ISNUMBER(F8298),ISNUMBER(H8298),F8298&gt;=Inputs!$C$68),F8298*H8298*Inputs!$C$69,"")</f>
      </c>
    </row>
    <row r="8299" spans="2:10" ht="15" customHeight="1" x14ac:dyDescent="0.2">
      <c r="B8299" s="39">
        <f t="shared" si="64"/>
      </c>
      <c r="C8299" s="40">
        <f>IF(Inputs!$C$60,Inputs!$C$11+(B8299-Inputs!$C$69)/Inputs!$C$70,"")</f>
      </c>
      <c r="D8299" s="15"/>
      <c r="E8299" s="15"/>
      <c r="F8299" s="11">
        <f t="shared" si="65"/>
      </c>
      <c r="G8299" s="22" cm="1">
        <f t="array" ref="G8299">IF(AND(Inputs!$C$60,Inputs!$C$61),INDEX(Utility_Rates!$C$29:$F$52,HOUR(C8299)+Inputs!$C$69,MATCH(INDEX(Utility_Rates!$K$6:$K$17,MONTH(C8299))&amp;IF(WEEKDAY(C8299,Inputs!$C$76)&lt;=Inputs!$C$74," weekday"," weekend"),Utility_Rates!$C$28:$F$28,Inputs!$C$68)),"")</f>
      </c>
      <c r="H8299" s="34"/>
      <c r="I8299" s="42">
        <f>IF(AND(ISNUMBER(D8299),ISNUMBER(H8299)),D8299*H8299*Inputs!$C$69,"")</f>
      </c>
      <c r="J8299" s="42">
        <f>IF(AND(ISNUMBER(F8299),ISNUMBER(H8299),F8299&gt;=Inputs!$C$68),F8299*H8299*Inputs!$C$69,"")</f>
      </c>
    </row>
    <row r="8300" spans="2:10" ht="15" customHeight="1" x14ac:dyDescent="0.2">
      <c r="B8300" s="39">
        <f t="shared" si="64"/>
      </c>
      <c r="C8300" s="40">
        <f>IF(Inputs!$C$60,Inputs!$C$11+(B8300-Inputs!$C$69)/Inputs!$C$70,"")</f>
      </c>
      <c r="D8300" s="15"/>
      <c r="E8300" s="15"/>
      <c r="F8300" s="11">
        <f t="shared" si="65"/>
      </c>
      <c r="G8300" s="22" cm="1">
        <f t="array" ref="G8300">IF(AND(Inputs!$C$60,Inputs!$C$61),INDEX(Utility_Rates!$C$29:$F$52,HOUR(C8300)+Inputs!$C$69,MATCH(INDEX(Utility_Rates!$K$6:$K$17,MONTH(C8300))&amp;IF(WEEKDAY(C8300,Inputs!$C$76)&lt;=Inputs!$C$74," weekday"," weekend"),Utility_Rates!$C$28:$F$28,Inputs!$C$68)),"")</f>
      </c>
      <c r="H8300" s="34"/>
      <c r="I8300" s="42">
        <f>IF(AND(ISNUMBER(D8300),ISNUMBER(H8300)),D8300*H8300*Inputs!$C$69,"")</f>
      </c>
      <c r="J8300" s="42">
        <f>IF(AND(ISNUMBER(F8300),ISNUMBER(H8300),F8300&gt;=Inputs!$C$68),F8300*H8300*Inputs!$C$69,"")</f>
      </c>
    </row>
    <row r="8301" spans="2:10" ht="15" customHeight="1" x14ac:dyDescent="0.2">
      <c r="B8301" s="39">
        <f t="shared" si="64"/>
      </c>
      <c r="C8301" s="40">
        <f>IF(Inputs!$C$60,Inputs!$C$11+(B8301-Inputs!$C$69)/Inputs!$C$70,"")</f>
      </c>
      <c r="D8301" s="15"/>
      <c r="E8301" s="15"/>
      <c r="F8301" s="11">
        <f t="shared" si="65"/>
      </c>
      <c r="G8301" s="22" cm="1">
        <f t="array" ref="G8301">IF(AND(Inputs!$C$60,Inputs!$C$61),INDEX(Utility_Rates!$C$29:$F$52,HOUR(C8301)+Inputs!$C$69,MATCH(INDEX(Utility_Rates!$K$6:$K$17,MONTH(C8301))&amp;IF(WEEKDAY(C8301,Inputs!$C$76)&lt;=Inputs!$C$74," weekday"," weekend"),Utility_Rates!$C$28:$F$28,Inputs!$C$68)),"")</f>
      </c>
      <c r="H8301" s="34"/>
      <c r="I8301" s="42">
        <f>IF(AND(ISNUMBER(D8301),ISNUMBER(H8301)),D8301*H8301*Inputs!$C$69,"")</f>
      </c>
      <c r="J8301" s="42">
        <f>IF(AND(ISNUMBER(F8301),ISNUMBER(H8301),F8301&gt;=Inputs!$C$68),F8301*H8301*Inputs!$C$69,"")</f>
      </c>
    </row>
    <row r="8302" spans="2:10" ht="15" customHeight="1" x14ac:dyDescent="0.2">
      <c r="B8302" s="39">
        <f t="shared" si="64"/>
      </c>
      <c r="C8302" s="40">
        <f>IF(Inputs!$C$60,Inputs!$C$11+(B8302-Inputs!$C$69)/Inputs!$C$70,"")</f>
      </c>
      <c r="D8302" s="15"/>
      <c r="E8302" s="15"/>
      <c r="F8302" s="11">
        <f t="shared" si="65"/>
      </c>
      <c r="G8302" s="22" cm="1">
        <f t="array" ref="G8302">IF(AND(Inputs!$C$60,Inputs!$C$61),INDEX(Utility_Rates!$C$29:$F$52,HOUR(C8302)+Inputs!$C$69,MATCH(INDEX(Utility_Rates!$K$6:$K$17,MONTH(C8302))&amp;IF(WEEKDAY(C8302,Inputs!$C$76)&lt;=Inputs!$C$74," weekday"," weekend"),Utility_Rates!$C$28:$F$28,Inputs!$C$68)),"")</f>
      </c>
      <c r="H8302" s="34"/>
      <c r="I8302" s="42">
        <f>IF(AND(ISNUMBER(D8302),ISNUMBER(H8302)),D8302*H8302*Inputs!$C$69,"")</f>
      </c>
      <c r="J8302" s="42">
        <f>IF(AND(ISNUMBER(F8302),ISNUMBER(H8302),F8302&gt;=Inputs!$C$68),F8302*H8302*Inputs!$C$69,"")</f>
      </c>
    </row>
    <row r="8303" spans="2:10" ht="15" customHeight="1" x14ac:dyDescent="0.2">
      <c r="B8303" s="39">
        <f t="shared" si="64"/>
      </c>
      <c r="C8303" s="40">
        <f>IF(Inputs!$C$60,Inputs!$C$11+(B8303-Inputs!$C$69)/Inputs!$C$70,"")</f>
      </c>
      <c r="D8303" s="15"/>
      <c r="E8303" s="15"/>
      <c r="F8303" s="11">
        <f t="shared" si="65"/>
      </c>
      <c r="G8303" s="22" cm="1">
        <f t="array" ref="G8303">IF(AND(Inputs!$C$60,Inputs!$C$61),INDEX(Utility_Rates!$C$29:$F$52,HOUR(C8303)+Inputs!$C$69,MATCH(INDEX(Utility_Rates!$K$6:$K$17,MONTH(C8303))&amp;IF(WEEKDAY(C8303,Inputs!$C$76)&lt;=Inputs!$C$74," weekday"," weekend"),Utility_Rates!$C$28:$F$28,Inputs!$C$68)),"")</f>
      </c>
      <c r="H8303" s="34"/>
      <c r="I8303" s="42">
        <f>IF(AND(ISNUMBER(D8303),ISNUMBER(H8303)),D8303*H8303*Inputs!$C$69,"")</f>
      </c>
      <c r="J8303" s="42">
        <f>IF(AND(ISNUMBER(F8303),ISNUMBER(H8303),F8303&gt;=Inputs!$C$68),F8303*H8303*Inputs!$C$69,"")</f>
      </c>
    </row>
    <row r="8304" spans="2:10" ht="15" customHeight="1" x14ac:dyDescent="0.2">
      <c r="B8304" s="39">
        <f t="shared" si="64"/>
      </c>
      <c r="C8304" s="40">
        <f>IF(Inputs!$C$60,Inputs!$C$11+(B8304-Inputs!$C$69)/Inputs!$C$70,"")</f>
      </c>
      <c r="D8304" s="15"/>
      <c r="E8304" s="15"/>
      <c r="F8304" s="11">
        <f t="shared" si="65"/>
      </c>
      <c r="G8304" s="22" cm="1">
        <f t="array" ref="G8304">IF(AND(Inputs!$C$60,Inputs!$C$61),INDEX(Utility_Rates!$C$29:$F$52,HOUR(C8304)+Inputs!$C$69,MATCH(INDEX(Utility_Rates!$K$6:$K$17,MONTH(C8304))&amp;IF(WEEKDAY(C8304,Inputs!$C$76)&lt;=Inputs!$C$74," weekday"," weekend"),Utility_Rates!$C$28:$F$28,Inputs!$C$68)),"")</f>
      </c>
      <c r="H8304" s="34"/>
      <c r="I8304" s="42">
        <f>IF(AND(ISNUMBER(D8304),ISNUMBER(H8304)),D8304*H8304*Inputs!$C$69,"")</f>
      </c>
      <c r="J8304" s="42">
        <f>IF(AND(ISNUMBER(F8304),ISNUMBER(H8304),F8304&gt;=Inputs!$C$68),F8304*H8304*Inputs!$C$69,"")</f>
      </c>
    </row>
    <row r="8305" spans="2:10" ht="15" customHeight="1" x14ac:dyDescent="0.2">
      <c r="B8305" s="39">
        <f t="shared" si="64"/>
      </c>
      <c r="C8305" s="40">
        <f>IF(Inputs!$C$60,Inputs!$C$11+(B8305-Inputs!$C$69)/Inputs!$C$70,"")</f>
      </c>
      <c r="D8305" s="15"/>
      <c r="E8305" s="15"/>
      <c r="F8305" s="11">
        <f t="shared" si="65"/>
      </c>
      <c r="G8305" s="22" cm="1">
        <f t="array" ref="G8305">IF(AND(Inputs!$C$60,Inputs!$C$61),INDEX(Utility_Rates!$C$29:$F$52,HOUR(C8305)+Inputs!$C$69,MATCH(INDEX(Utility_Rates!$K$6:$K$17,MONTH(C8305))&amp;IF(WEEKDAY(C8305,Inputs!$C$76)&lt;=Inputs!$C$74," weekday"," weekend"),Utility_Rates!$C$28:$F$28,Inputs!$C$68)),"")</f>
      </c>
      <c r="H8305" s="34"/>
      <c r="I8305" s="42">
        <f>IF(AND(ISNUMBER(D8305),ISNUMBER(H8305)),D8305*H8305*Inputs!$C$69,"")</f>
      </c>
      <c r="J8305" s="42">
        <f>IF(AND(ISNUMBER(F8305),ISNUMBER(H8305),F8305&gt;=Inputs!$C$68),F8305*H8305*Inputs!$C$69,"")</f>
      </c>
    </row>
    <row r="8306" spans="2:10" ht="15" customHeight="1" x14ac:dyDescent="0.2">
      <c r="B8306" s="39">
        <f t="shared" si="64"/>
      </c>
      <c r="C8306" s="40">
        <f>IF(Inputs!$C$60,Inputs!$C$11+(B8306-Inputs!$C$69)/Inputs!$C$70,"")</f>
      </c>
      <c r="D8306" s="15"/>
      <c r="E8306" s="15"/>
      <c r="F8306" s="11">
        <f t="shared" si="65"/>
      </c>
      <c r="G8306" s="22" cm="1">
        <f t="array" ref="G8306">IF(AND(Inputs!$C$60,Inputs!$C$61),INDEX(Utility_Rates!$C$29:$F$52,HOUR(C8306)+Inputs!$C$69,MATCH(INDEX(Utility_Rates!$K$6:$K$17,MONTH(C8306))&amp;IF(WEEKDAY(C8306,Inputs!$C$76)&lt;=Inputs!$C$74," weekday"," weekend"),Utility_Rates!$C$28:$F$28,Inputs!$C$68)),"")</f>
      </c>
      <c r="H8306" s="34"/>
      <c r="I8306" s="42">
        <f>IF(AND(ISNUMBER(D8306),ISNUMBER(H8306)),D8306*H8306*Inputs!$C$69,"")</f>
      </c>
      <c r="J8306" s="42">
        <f>IF(AND(ISNUMBER(F8306),ISNUMBER(H8306),F8306&gt;=Inputs!$C$68),F8306*H8306*Inputs!$C$69,"")</f>
      </c>
    </row>
    <row r="8307" spans="2:10" ht="15" customHeight="1" x14ac:dyDescent="0.2">
      <c r="B8307" s="39">
        <f t="shared" si="64"/>
      </c>
      <c r="C8307" s="40">
        <f>IF(Inputs!$C$60,Inputs!$C$11+(B8307-Inputs!$C$69)/Inputs!$C$70,"")</f>
      </c>
      <c r="D8307" s="15"/>
      <c r="E8307" s="15"/>
      <c r="F8307" s="11">
        <f t="shared" si="65"/>
      </c>
      <c r="G8307" s="22" cm="1">
        <f t="array" ref="G8307">IF(AND(Inputs!$C$60,Inputs!$C$61),INDEX(Utility_Rates!$C$29:$F$52,HOUR(C8307)+Inputs!$C$69,MATCH(INDEX(Utility_Rates!$K$6:$K$17,MONTH(C8307))&amp;IF(WEEKDAY(C8307,Inputs!$C$76)&lt;=Inputs!$C$74," weekday"," weekend"),Utility_Rates!$C$28:$F$28,Inputs!$C$68)),"")</f>
      </c>
      <c r="H8307" s="34"/>
      <c r="I8307" s="42">
        <f>IF(AND(ISNUMBER(D8307),ISNUMBER(H8307)),D8307*H8307*Inputs!$C$69,"")</f>
      </c>
      <c r="J8307" s="42">
        <f>IF(AND(ISNUMBER(F8307),ISNUMBER(H8307),F8307&gt;=Inputs!$C$68),F8307*H8307*Inputs!$C$69,"")</f>
      </c>
    </row>
    <row r="8308" spans="2:10" ht="15" customHeight="1" x14ac:dyDescent="0.2">
      <c r="B8308" s="39">
        <f t="shared" si="64"/>
      </c>
      <c r="C8308" s="40">
        <f>IF(Inputs!$C$60,Inputs!$C$11+(B8308-Inputs!$C$69)/Inputs!$C$70,"")</f>
      </c>
      <c r="D8308" s="15"/>
      <c r="E8308" s="15"/>
      <c r="F8308" s="11">
        <f t="shared" si="65"/>
      </c>
      <c r="G8308" s="22" cm="1">
        <f t="array" ref="G8308">IF(AND(Inputs!$C$60,Inputs!$C$61),INDEX(Utility_Rates!$C$29:$F$52,HOUR(C8308)+Inputs!$C$69,MATCH(INDEX(Utility_Rates!$K$6:$K$17,MONTH(C8308))&amp;IF(WEEKDAY(C8308,Inputs!$C$76)&lt;=Inputs!$C$74," weekday"," weekend"),Utility_Rates!$C$28:$F$28,Inputs!$C$68)),"")</f>
      </c>
      <c r="H8308" s="34"/>
      <c r="I8308" s="42">
        <f>IF(AND(ISNUMBER(D8308),ISNUMBER(H8308)),D8308*H8308*Inputs!$C$69,"")</f>
      </c>
      <c r="J8308" s="42">
        <f>IF(AND(ISNUMBER(F8308),ISNUMBER(H8308),F8308&gt;=Inputs!$C$68),F8308*H8308*Inputs!$C$69,"")</f>
      </c>
    </row>
    <row r="8309" spans="2:10" ht="15" customHeight="1" x14ac:dyDescent="0.2">
      <c r="B8309" s="39">
        <f t="shared" si="64"/>
      </c>
      <c r="C8309" s="40">
        <f>IF(Inputs!$C$60,Inputs!$C$11+(B8309-Inputs!$C$69)/Inputs!$C$70,"")</f>
      </c>
      <c r="D8309" s="15"/>
      <c r="E8309" s="15"/>
      <c r="F8309" s="11">
        <f t="shared" si="65"/>
      </c>
      <c r="G8309" s="22" cm="1">
        <f t="array" ref="G8309">IF(AND(Inputs!$C$60,Inputs!$C$61),INDEX(Utility_Rates!$C$29:$F$52,HOUR(C8309)+Inputs!$C$69,MATCH(INDEX(Utility_Rates!$K$6:$K$17,MONTH(C8309))&amp;IF(WEEKDAY(C8309,Inputs!$C$76)&lt;=Inputs!$C$74," weekday"," weekend"),Utility_Rates!$C$28:$F$28,Inputs!$C$68)),"")</f>
      </c>
      <c r="H8309" s="34"/>
      <c r="I8309" s="42">
        <f>IF(AND(ISNUMBER(D8309),ISNUMBER(H8309)),D8309*H8309*Inputs!$C$69,"")</f>
      </c>
      <c r="J8309" s="42">
        <f>IF(AND(ISNUMBER(F8309),ISNUMBER(H8309),F8309&gt;=Inputs!$C$68),F8309*H8309*Inputs!$C$69,"")</f>
      </c>
    </row>
    <row r="8310" spans="2:10" ht="15" customHeight="1" x14ac:dyDescent="0.2">
      <c r="B8310" s="39">
        <f t="shared" si="64"/>
      </c>
      <c r="C8310" s="40">
        <f>IF(Inputs!$C$60,Inputs!$C$11+(B8310-Inputs!$C$69)/Inputs!$C$70,"")</f>
      </c>
      <c r="D8310" s="15"/>
      <c r="E8310" s="15"/>
      <c r="F8310" s="11">
        <f t="shared" si="65"/>
      </c>
      <c r="G8310" s="22" cm="1">
        <f t="array" ref="G8310">IF(AND(Inputs!$C$60,Inputs!$C$61),INDEX(Utility_Rates!$C$29:$F$52,HOUR(C8310)+Inputs!$C$69,MATCH(INDEX(Utility_Rates!$K$6:$K$17,MONTH(C8310))&amp;IF(WEEKDAY(C8310,Inputs!$C$76)&lt;=Inputs!$C$74," weekday"," weekend"),Utility_Rates!$C$28:$F$28,Inputs!$C$68)),"")</f>
      </c>
      <c r="H8310" s="34"/>
      <c r="I8310" s="42">
        <f>IF(AND(ISNUMBER(D8310),ISNUMBER(H8310)),D8310*H8310*Inputs!$C$69,"")</f>
      </c>
      <c r="J8310" s="42">
        <f>IF(AND(ISNUMBER(F8310),ISNUMBER(H8310),F8310&gt;=Inputs!$C$68),F8310*H8310*Inputs!$C$69,"")</f>
      </c>
    </row>
    <row r="8311" spans="2:10" ht="15" customHeight="1" x14ac:dyDescent="0.2">
      <c r="B8311" s="39">
        <f t="shared" si="64"/>
      </c>
      <c r="C8311" s="40">
        <f>IF(Inputs!$C$60,Inputs!$C$11+(B8311-Inputs!$C$69)/Inputs!$C$70,"")</f>
      </c>
      <c r="D8311" s="15"/>
      <c r="E8311" s="15"/>
      <c r="F8311" s="11">
        <f t="shared" si="65"/>
      </c>
      <c r="G8311" s="22" cm="1">
        <f t="array" ref="G8311">IF(AND(Inputs!$C$60,Inputs!$C$61),INDEX(Utility_Rates!$C$29:$F$52,HOUR(C8311)+Inputs!$C$69,MATCH(INDEX(Utility_Rates!$K$6:$K$17,MONTH(C8311))&amp;IF(WEEKDAY(C8311,Inputs!$C$76)&lt;=Inputs!$C$74," weekday"," weekend"),Utility_Rates!$C$28:$F$28,Inputs!$C$68)),"")</f>
      </c>
      <c r="H8311" s="34"/>
      <c r="I8311" s="42">
        <f>IF(AND(ISNUMBER(D8311),ISNUMBER(H8311)),D8311*H8311*Inputs!$C$69,"")</f>
      </c>
      <c r="J8311" s="42">
        <f>IF(AND(ISNUMBER(F8311),ISNUMBER(H8311),F8311&gt;=Inputs!$C$68),F8311*H8311*Inputs!$C$69,"")</f>
      </c>
    </row>
    <row r="8312" spans="2:10" ht="15" customHeight="1" x14ac:dyDescent="0.2">
      <c r="B8312" s="39">
        <f t="shared" si="64"/>
      </c>
      <c r="C8312" s="40">
        <f>IF(Inputs!$C$60,Inputs!$C$11+(B8312-Inputs!$C$69)/Inputs!$C$70,"")</f>
      </c>
      <c r="D8312" s="15"/>
      <c r="E8312" s="15"/>
      <c r="F8312" s="11">
        <f t="shared" si="65"/>
      </c>
      <c r="G8312" s="22" cm="1">
        <f t="array" ref="G8312">IF(AND(Inputs!$C$60,Inputs!$C$61),INDEX(Utility_Rates!$C$29:$F$52,HOUR(C8312)+Inputs!$C$69,MATCH(INDEX(Utility_Rates!$K$6:$K$17,MONTH(C8312))&amp;IF(WEEKDAY(C8312,Inputs!$C$76)&lt;=Inputs!$C$74," weekday"," weekend"),Utility_Rates!$C$28:$F$28,Inputs!$C$68)),"")</f>
      </c>
      <c r="H8312" s="34"/>
      <c r="I8312" s="42">
        <f>IF(AND(ISNUMBER(D8312),ISNUMBER(H8312)),D8312*H8312*Inputs!$C$69,"")</f>
      </c>
      <c r="J8312" s="42">
        <f>IF(AND(ISNUMBER(F8312),ISNUMBER(H8312),F8312&gt;=Inputs!$C$68),F8312*H8312*Inputs!$C$69,"")</f>
      </c>
    </row>
    <row r="8313" spans="2:10" ht="15" customHeight="1" x14ac:dyDescent="0.2">
      <c r="B8313" s="39">
        <f t="shared" si="64"/>
      </c>
      <c r="C8313" s="40">
        <f>IF(Inputs!$C$60,Inputs!$C$11+(B8313-Inputs!$C$69)/Inputs!$C$70,"")</f>
      </c>
      <c r="D8313" s="15"/>
      <c r="E8313" s="15"/>
      <c r="F8313" s="11">
        <f t="shared" si="65"/>
      </c>
      <c r="G8313" s="22" cm="1">
        <f t="array" ref="G8313">IF(AND(Inputs!$C$60,Inputs!$C$61),INDEX(Utility_Rates!$C$29:$F$52,HOUR(C8313)+Inputs!$C$69,MATCH(INDEX(Utility_Rates!$K$6:$K$17,MONTH(C8313))&amp;IF(WEEKDAY(C8313,Inputs!$C$76)&lt;=Inputs!$C$74," weekday"," weekend"),Utility_Rates!$C$28:$F$28,Inputs!$C$68)),"")</f>
      </c>
      <c r="H8313" s="34"/>
      <c r="I8313" s="42">
        <f>IF(AND(ISNUMBER(D8313),ISNUMBER(H8313)),D8313*H8313*Inputs!$C$69,"")</f>
      </c>
      <c r="J8313" s="42">
        <f>IF(AND(ISNUMBER(F8313),ISNUMBER(H8313),F8313&gt;=Inputs!$C$68),F8313*H8313*Inputs!$C$69,"")</f>
      </c>
    </row>
    <row r="8314" spans="2:10" ht="15" customHeight="1" x14ac:dyDescent="0.2">
      <c r="B8314" s="39">
        <f t="shared" si="64"/>
      </c>
      <c r="C8314" s="40">
        <f>IF(Inputs!$C$60,Inputs!$C$11+(B8314-Inputs!$C$69)/Inputs!$C$70,"")</f>
      </c>
      <c r="D8314" s="15"/>
      <c r="E8314" s="15"/>
      <c r="F8314" s="11">
        <f t="shared" si="65"/>
      </c>
      <c r="G8314" s="22" cm="1">
        <f t="array" ref="G8314">IF(AND(Inputs!$C$60,Inputs!$C$61),INDEX(Utility_Rates!$C$29:$F$52,HOUR(C8314)+Inputs!$C$69,MATCH(INDEX(Utility_Rates!$K$6:$K$17,MONTH(C8314))&amp;IF(WEEKDAY(C8314,Inputs!$C$76)&lt;=Inputs!$C$74," weekday"," weekend"),Utility_Rates!$C$28:$F$28,Inputs!$C$68)),"")</f>
      </c>
      <c r="H8314" s="34"/>
      <c r="I8314" s="42">
        <f>IF(AND(ISNUMBER(D8314),ISNUMBER(H8314)),D8314*H8314*Inputs!$C$69,"")</f>
      </c>
      <c r="J8314" s="42">
        <f>IF(AND(ISNUMBER(F8314),ISNUMBER(H8314),F8314&gt;=Inputs!$C$68),F8314*H8314*Inputs!$C$69,"")</f>
      </c>
    </row>
    <row r="8315" spans="2:10" ht="15" customHeight="1" x14ac:dyDescent="0.2">
      <c r="B8315" s="39">
        <f t="shared" si="64"/>
      </c>
      <c r="C8315" s="40">
        <f>IF(Inputs!$C$60,Inputs!$C$11+(B8315-Inputs!$C$69)/Inputs!$C$70,"")</f>
      </c>
      <c r="D8315" s="15"/>
      <c r="E8315" s="15"/>
      <c r="F8315" s="11">
        <f t="shared" si="65"/>
      </c>
      <c r="G8315" s="22" cm="1">
        <f t="array" ref="G8315">IF(AND(Inputs!$C$60,Inputs!$C$61),INDEX(Utility_Rates!$C$29:$F$52,HOUR(C8315)+Inputs!$C$69,MATCH(INDEX(Utility_Rates!$K$6:$K$17,MONTH(C8315))&amp;IF(WEEKDAY(C8315,Inputs!$C$76)&lt;=Inputs!$C$74," weekday"," weekend"),Utility_Rates!$C$28:$F$28,Inputs!$C$68)),"")</f>
      </c>
      <c r="H8315" s="34"/>
      <c r="I8315" s="42">
        <f>IF(AND(ISNUMBER(D8315),ISNUMBER(H8315)),D8315*H8315*Inputs!$C$69,"")</f>
      </c>
      <c r="J8315" s="42">
        <f>IF(AND(ISNUMBER(F8315),ISNUMBER(H8315),F8315&gt;=Inputs!$C$68),F8315*H8315*Inputs!$C$69,"")</f>
      </c>
    </row>
    <row r="8316" spans="2:10" ht="15" customHeight="1" x14ac:dyDescent="0.2">
      <c r="B8316" s="39">
        <f t="shared" si="64"/>
      </c>
      <c r="C8316" s="40">
        <f>IF(Inputs!$C$60,Inputs!$C$11+(B8316-Inputs!$C$69)/Inputs!$C$70,"")</f>
      </c>
      <c r="D8316" s="15"/>
      <c r="E8316" s="15"/>
      <c r="F8316" s="11">
        <f t="shared" si="65"/>
      </c>
      <c r="G8316" s="22" cm="1">
        <f t="array" ref="G8316">IF(AND(Inputs!$C$60,Inputs!$C$61),INDEX(Utility_Rates!$C$29:$F$52,HOUR(C8316)+Inputs!$C$69,MATCH(INDEX(Utility_Rates!$K$6:$K$17,MONTH(C8316))&amp;IF(WEEKDAY(C8316,Inputs!$C$76)&lt;=Inputs!$C$74," weekday"," weekend"),Utility_Rates!$C$28:$F$28,Inputs!$C$68)),"")</f>
      </c>
      <c r="H8316" s="34"/>
      <c r="I8316" s="42">
        <f>IF(AND(ISNUMBER(D8316),ISNUMBER(H8316)),D8316*H8316*Inputs!$C$69,"")</f>
      </c>
      <c r="J8316" s="42">
        <f>IF(AND(ISNUMBER(F8316),ISNUMBER(H8316),F8316&gt;=Inputs!$C$68),F8316*H8316*Inputs!$C$69,"")</f>
      </c>
    </row>
    <row r="8317" spans="2:10" ht="15" customHeight="1" x14ac:dyDescent="0.2">
      <c r="B8317" s="39">
        <f t="shared" si="64"/>
      </c>
      <c r="C8317" s="40">
        <f>IF(Inputs!$C$60,Inputs!$C$11+(B8317-Inputs!$C$69)/Inputs!$C$70,"")</f>
      </c>
      <c r="D8317" s="15"/>
      <c r="E8317" s="15"/>
      <c r="F8317" s="11">
        <f t="shared" si="65"/>
      </c>
      <c r="G8317" s="22" cm="1">
        <f t="array" ref="G8317">IF(AND(Inputs!$C$60,Inputs!$C$61),INDEX(Utility_Rates!$C$29:$F$52,HOUR(C8317)+Inputs!$C$69,MATCH(INDEX(Utility_Rates!$K$6:$K$17,MONTH(C8317))&amp;IF(WEEKDAY(C8317,Inputs!$C$76)&lt;=Inputs!$C$74," weekday"," weekend"),Utility_Rates!$C$28:$F$28,Inputs!$C$68)),"")</f>
      </c>
      <c r="H8317" s="34"/>
      <c r="I8317" s="42">
        <f>IF(AND(ISNUMBER(D8317),ISNUMBER(H8317)),D8317*H8317*Inputs!$C$69,"")</f>
      </c>
      <c r="J8317" s="42">
        <f>IF(AND(ISNUMBER(F8317),ISNUMBER(H8317),F8317&gt;=Inputs!$C$68),F8317*H8317*Inputs!$C$69,"")</f>
      </c>
    </row>
    <row r="8318" spans="2:10" ht="15" customHeight="1" x14ac:dyDescent="0.2">
      <c r="B8318" s="39">
        <f t="shared" si="64"/>
      </c>
      <c r="C8318" s="40">
        <f>IF(Inputs!$C$60,Inputs!$C$11+(B8318-Inputs!$C$69)/Inputs!$C$70,"")</f>
      </c>
      <c r="D8318" s="15"/>
      <c r="E8318" s="15"/>
      <c r="F8318" s="11">
        <f t="shared" si="65"/>
      </c>
      <c r="G8318" s="22" cm="1">
        <f t="array" ref="G8318">IF(AND(Inputs!$C$60,Inputs!$C$61),INDEX(Utility_Rates!$C$29:$F$52,HOUR(C8318)+Inputs!$C$69,MATCH(INDEX(Utility_Rates!$K$6:$K$17,MONTH(C8318))&amp;IF(WEEKDAY(C8318,Inputs!$C$76)&lt;=Inputs!$C$74," weekday"," weekend"),Utility_Rates!$C$28:$F$28,Inputs!$C$68)),"")</f>
      </c>
      <c r="H8318" s="34"/>
      <c r="I8318" s="42">
        <f>IF(AND(ISNUMBER(D8318),ISNUMBER(H8318)),D8318*H8318*Inputs!$C$69,"")</f>
      </c>
      <c r="J8318" s="42">
        <f>IF(AND(ISNUMBER(F8318),ISNUMBER(H8318),F8318&gt;=Inputs!$C$68),F8318*H8318*Inputs!$C$69,"")</f>
      </c>
    </row>
    <row r="8319" spans="2:10" ht="15" customHeight="1" x14ac:dyDescent="0.2">
      <c r="B8319" s="39">
        <f t="shared" si="64"/>
      </c>
      <c r="C8319" s="40">
        <f>IF(Inputs!$C$60,Inputs!$C$11+(B8319-Inputs!$C$69)/Inputs!$C$70,"")</f>
      </c>
      <c r="D8319" s="15"/>
      <c r="E8319" s="15"/>
      <c r="F8319" s="11">
        <f t="shared" si="65"/>
      </c>
      <c r="G8319" s="22" cm="1">
        <f t="array" ref="G8319">IF(AND(Inputs!$C$60,Inputs!$C$61),INDEX(Utility_Rates!$C$29:$F$52,HOUR(C8319)+Inputs!$C$69,MATCH(INDEX(Utility_Rates!$K$6:$K$17,MONTH(C8319))&amp;IF(WEEKDAY(C8319,Inputs!$C$76)&lt;=Inputs!$C$74," weekday"," weekend"),Utility_Rates!$C$28:$F$28,Inputs!$C$68)),"")</f>
      </c>
      <c r="H8319" s="34"/>
      <c r="I8319" s="42">
        <f>IF(AND(ISNUMBER(D8319),ISNUMBER(H8319)),D8319*H8319*Inputs!$C$69,"")</f>
      </c>
      <c r="J8319" s="42">
        <f>IF(AND(ISNUMBER(F8319),ISNUMBER(H8319),F8319&gt;=Inputs!$C$68),F8319*H8319*Inputs!$C$69,"")</f>
      </c>
    </row>
    <row r="8320" spans="2:10" ht="15" customHeight="1" x14ac:dyDescent="0.2">
      <c r="B8320" s="39">
        <f t="shared" si="64"/>
      </c>
      <c r="C8320" s="40">
        <f>IF(Inputs!$C$60,Inputs!$C$11+(B8320-Inputs!$C$69)/Inputs!$C$70,"")</f>
      </c>
      <c r="D8320" s="15"/>
      <c r="E8320" s="15"/>
      <c r="F8320" s="11">
        <f t="shared" si="65"/>
      </c>
      <c r="G8320" s="22" cm="1">
        <f t="array" ref="G8320">IF(AND(Inputs!$C$60,Inputs!$C$61),INDEX(Utility_Rates!$C$29:$F$52,HOUR(C8320)+Inputs!$C$69,MATCH(INDEX(Utility_Rates!$K$6:$K$17,MONTH(C8320))&amp;IF(WEEKDAY(C8320,Inputs!$C$76)&lt;=Inputs!$C$74," weekday"," weekend"),Utility_Rates!$C$28:$F$28,Inputs!$C$68)),"")</f>
      </c>
      <c r="H8320" s="34"/>
      <c r="I8320" s="42">
        <f>IF(AND(ISNUMBER(D8320),ISNUMBER(H8320)),D8320*H8320*Inputs!$C$69,"")</f>
      </c>
      <c r="J8320" s="42">
        <f>IF(AND(ISNUMBER(F8320),ISNUMBER(H8320),F8320&gt;=Inputs!$C$68),F8320*H8320*Inputs!$C$69,"")</f>
      </c>
    </row>
    <row r="8321" spans="2:10" ht="15" customHeight="1" x14ac:dyDescent="0.2">
      <c r="B8321" s="39">
        <f t="shared" si="64"/>
      </c>
      <c r="C8321" s="40">
        <f>IF(Inputs!$C$60,Inputs!$C$11+(B8321-Inputs!$C$69)/Inputs!$C$70,"")</f>
      </c>
      <c r="D8321" s="15"/>
      <c r="E8321" s="15"/>
      <c r="F8321" s="11">
        <f t="shared" si="65"/>
      </c>
      <c r="G8321" s="22" cm="1">
        <f t="array" ref="G8321">IF(AND(Inputs!$C$60,Inputs!$C$61),INDEX(Utility_Rates!$C$29:$F$52,HOUR(C8321)+Inputs!$C$69,MATCH(INDEX(Utility_Rates!$K$6:$K$17,MONTH(C8321))&amp;IF(WEEKDAY(C8321,Inputs!$C$76)&lt;=Inputs!$C$74," weekday"," weekend"),Utility_Rates!$C$28:$F$28,Inputs!$C$68)),"")</f>
      </c>
      <c r="H8321" s="34"/>
      <c r="I8321" s="42">
        <f>IF(AND(ISNUMBER(D8321),ISNUMBER(H8321)),D8321*H8321*Inputs!$C$69,"")</f>
      </c>
      <c r="J8321" s="42">
        <f>IF(AND(ISNUMBER(F8321),ISNUMBER(H8321),F8321&gt;=Inputs!$C$68),F8321*H8321*Inputs!$C$69,"")</f>
      </c>
    </row>
    <row r="8322" spans="2:10" ht="15" customHeight="1" x14ac:dyDescent="0.2">
      <c r="B8322" s="39">
        <f t="shared" si="64"/>
      </c>
      <c r="C8322" s="40">
        <f>IF(Inputs!$C$60,Inputs!$C$11+(B8322-Inputs!$C$69)/Inputs!$C$70,"")</f>
      </c>
      <c r="D8322" s="15"/>
      <c r="E8322" s="15"/>
      <c r="F8322" s="11">
        <f t="shared" si="65"/>
      </c>
      <c r="G8322" s="22" cm="1">
        <f t="array" ref="G8322">IF(AND(Inputs!$C$60,Inputs!$C$61),INDEX(Utility_Rates!$C$29:$F$52,HOUR(C8322)+Inputs!$C$69,MATCH(INDEX(Utility_Rates!$K$6:$K$17,MONTH(C8322))&amp;IF(WEEKDAY(C8322,Inputs!$C$76)&lt;=Inputs!$C$74," weekday"," weekend"),Utility_Rates!$C$28:$F$28,Inputs!$C$68)),"")</f>
      </c>
      <c r="H8322" s="34"/>
      <c r="I8322" s="42">
        <f>IF(AND(ISNUMBER(D8322),ISNUMBER(H8322)),D8322*H8322*Inputs!$C$69,"")</f>
      </c>
      <c r="J8322" s="42">
        <f>IF(AND(ISNUMBER(F8322),ISNUMBER(H8322),F8322&gt;=Inputs!$C$68),F8322*H8322*Inputs!$C$69,"")</f>
      </c>
    </row>
    <row r="8323" spans="2:10" ht="15" customHeight="1" x14ac:dyDescent="0.2">
      <c r="B8323" s="39">
        <f t="shared" si="64"/>
      </c>
      <c r="C8323" s="40">
        <f>IF(Inputs!$C$60,Inputs!$C$11+(B8323-Inputs!$C$69)/Inputs!$C$70,"")</f>
      </c>
      <c r="D8323" s="15"/>
      <c r="E8323" s="15"/>
      <c r="F8323" s="11">
        <f t="shared" si="65"/>
      </c>
      <c r="G8323" s="22" cm="1">
        <f t="array" ref="G8323">IF(AND(Inputs!$C$60,Inputs!$C$61),INDEX(Utility_Rates!$C$29:$F$52,HOUR(C8323)+Inputs!$C$69,MATCH(INDEX(Utility_Rates!$K$6:$K$17,MONTH(C8323))&amp;IF(WEEKDAY(C8323,Inputs!$C$76)&lt;=Inputs!$C$74," weekday"," weekend"),Utility_Rates!$C$28:$F$28,Inputs!$C$68)),"")</f>
      </c>
      <c r="H8323" s="34"/>
      <c r="I8323" s="42">
        <f>IF(AND(ISNUMBER(D8323),ISNUMBER(H8323)),D8323*H8323*Inputs!$C$69,"")</f>
      </c>
      <c r="J8323" s="42">
        <f>IF(AND(ISNUMBER(F8323),ISNUMBER(H8323),F8323&gt;=Inputs!$C$68),F8323*H8323*Inputs!$C$69,"")</f>
      </c>
    </row>
    <row r="8324" spans="2:10" ht="15" customHeight="1" x14ac:dyDescent="0.2">
      <c r="B8324" s="39">
        <f t="shared" si="64"/>
      </c>
      <c r="C8324" s="40">
        <f>IF(Inputs!$C$60,Inputs!$C$11+(B8324-Inputs!$C$69)/Inputs!$C$70,"")</f>
      </c>
      <c r="D8324" s="15"/>
      <c r="E8324" s="15"/>
      <c r="F8324" s="11">
        <f t="shared" si="65"/>
      </c>
      <c r="G8324" s="22" cm="1">
        <f t="array" ref="G8324">IF(AND(Inputs!$C$60,Inputs!$C$61),INDEX(Utility_Rates!$C$29:$F$52,HOUR(C8324)+Inputs!$C$69,MATCH(INDEX(Utility_Rates!$K$6:$K$17,MONTH(C8324))&amp;IF(WEEKDAY(C8324,Inputs!$C$76)&lt;=Inputs!$C$74," weekday"," weekend"),Utility_Rates!$C$28:$F$28,Inputs!$C$68)),"")</f>
      </c>
      <c r="H8324" s="34"/>
      <c r="I8324" s="42">
        <f>IF(AND(ISNUMBER(D8324),ISNUMBER(H8324)),D8324*H8324*Inputs!$C$69,"")</f>
      </c>
      <c r="J8324" s="42">
        <f>IF(AND(ISNUMBER(F8324),ISNUMBER(H8324),F8324&gt;=Inputs!$C$68),F8324*H8324*Inputs!$C$69,"")</f>
      </c>
    </row>
    <row r="8325" spans="2:10" ht="15" customHeight="1" x14ac:dyDescent="0.2">
      <c r="B8325" s="39">
        <f t="shared" si="64"/>
      </c>
      <c r="C8325" s="40">
        <f>IF(Inputs!$C$60,Inputs!$C$11+(B8325-Inputs!$C$69)/Inputs!$C$70,"")</f>
      </c>
      <c r="D8325" s="15"/>
      <c r="E8325" s="15"/>
      <c r="F8325" s="11">
        <f t="shared" si="65"/>
      </c>
      <c r="G8325" s="22" cm="1">
        <f t="array" ref="G8325">IF(AND(Inputs!$C$60,Inputs!$C$61),INDEX(Utility_Rates!$C$29:$F$52,HOUR(C8325)+Inputs!$C$69,MATCH(INDEX(Utility_Rates!$K$6:$K$17,MONTH(C8325))&amp;IF(WEEKDAY(C8325,Inputs!$C$76)&lt;=Inputs!$C$74," weekday"," weekend"),Utility_Rates!$C$28:$F$28,Inputs!$C$68)),"")</f>
      </c>
      <c r="H8325" s="34"/>
      <c r="I8325" s="42">
        <f>IF(AND(ISNUMBER(D8325),ISNUMBER(H8325)),D8325*H8325*Inputs!$C$69,"")</f>
      </c>
      <c r="J8325" s="42">
        <f>IF(AND(ISNUMBER(F8325),ISNUMBER(H8325),F8325&gt;=Inputs!$C$68),F8325*H8325*Inputs!$C$69,"")</f>
      </c>
    </row>
    <row r="8326" spans="2:10" ht="15" customHeight="1" x14ac:dyDescent="0.2">
      <c r="B8326" s="39">
        <f t="shared" si="64"/>
      </c>
      <c r="C8326" s="40">
        <f>IF(Inputs!$C$60,Inputs!$C$11+(B8326-Inputs!$C$69)/Inputs!$C$70,"")</f>
      </c>
      <c r="D8326" s="15"/>
      <c r="E8326" s="15"/>
      <c r="F8326" s="11">
        <f t="shared" si="65"/>
      </c>
      <c r="G8326" s="22" cm="1">
        <f t="array" ref="G8326">IF(AND(Inputs!$C$60,Inputs!$C$61),INDEX(Utility_Rates!$C$29:$F$52,HOUR(C8326)+Inputs!$C$69,MATCH(INDEX(Utility_Rates!$K$6:$K$17,MONTH(C8326))&amp;IF(WEEKDAY(C8326,Inputs!$C$76)&lt;=Inputs!$C$74," weekday"," weekend"),Utility_Rates!$C$28:$F$28,Inputs!$C$68)),"")</f>
      </c>
      <c r="H8326" s="34"/>
      <c r="I8326" s="42">
        <f>IF(AND(ISNUMBER(D8326),ISNUMBER(H8326)),D8326*H8326*Inputs!$C$69,"")</f>
      </c>
      <c r="J8326" s="42">
        <f>IF(AND(ISNUMBER(F8326),ISNUMBER(H8326),F8326&gt;=Inputs!$C$68),F8326*H8326*Inputs!$C$69,"")</f>
      </c>
    </row>
    <row r="8327" spans="2:10" ht="15" customHeight="1" x14ac:dyDescent="0.2">
      <c r="B8327" s="39">
        <f t="shared" si="64"/>
      </c>
      <c r="C8327" s="40">
        <f>IF(Inputs!$C$60,Inputs!$C$11+(B8327-Inputs!$C$69)/Inputs!$C$70,"")</f>
      </c>
      <c r="D8327" s="15"/>
      <c r="E8327" s="15"/>
      <c r="F8327" s="11">
        <f t="shared" si="65"/>
      </c>
      <c r="G8327" s="22" cm="1">
        <f t="array" ref="G8327">IF(AND(Inputs!$C$60,Inputs!$C$61),INDEX(Utility_Rates!$C$29:$F$52,HOUR(C8327)+Inputs!$C$69,MATCH(INDEX(Utility_Rates!$K$6:$K$17,MONTH(C8327))&amp;IF(WEEKDAY(C8327,Inputs!$C$76)&lt;=Inputs!$C$74," weekday"," weekend"),Utility_Rates!$C$28:$F$28,Inputs!$C$68)),"")</f>
      </c>
      <c r="H8327" s="34"/>
      <c r="I8327" s="42">
        <f>IF(AND(ISNUMBER(D8327),ISNUMBER(H8327)),D8327*H8327*Inputs!$C$69,"")</f>
      </c>
      <c r="J8327" s="42">
        <f>IF(AND(ISNUMBER(F8327),ISNUMBER(H8327),F8327&gt;=Inputs!$C$68),F8327*H8327*Inputs!$C$69,"")</f>
      </c>
    </row>
    <row r="8328" spans="2:10" ht="15" customHeight="1" x14ac:dyDescent="0.2">
      <c r="B8328" s="39">
        <f t="shared" si="64"/>
      </c>
      <c r="C8328" s="40">
        <f>IF(Inputs!$C$60,Inputs!$C$11+(B8328-Inputs!$C$69)/Inputs!$C$70,"")</f>
      </c>
      <c r="D8328" s="15"/>
      <c r="E8328" s="15"/>
      <c r="F8328" s="11">
        <f t="shared" si="65"/>
      </c>
      <c r="G8328" s="22" cm="1">
        <f t="array" ref="G8328">IF(AND(Inputs!$C$60,Inputs!$C$61),INDEX(Utility_Rates!$C$29:$F$52,HOUR(C8328)+Inputs!$C$69,MATCH(INDEX(Utility_Rates!$K$6:$K$17,MONTH(C8328))&amp;IF(WEEKDAY(C8328,Inputs!$C$76)&lt;=Inputs!$C$74," weekday"," weekend"),Utility_Rates!$C$28:$F$28,Inputs!$C$68)),"")</f>
      </c>
      <c r="H8328" s="34"/>
      <c r="I8328" s="42">
        <f>IF(AND(ISNUMBER(D8328),ISNUMBER(H8328)),D8328*H8328*Inputs!$C$69,"")</f>
      </c>
      <c r="J8328" s="42">
        <f>IF(AND(ISNUMBER(F8328),ISNUMBER(H8328),F8328&gt;=Inputs!$C$68),F8328*H8328*Inputs!$C$69,"")</f>
      </c>
    </row>
    <row r="8329" spans="2:10" ht="15" customHeight="1" x14ac:dyDescent="0.2">
      <c r="B8329" s="39">
        <f t="shared" si="64"/>
      </c>
      <c r="C8329" s="40">
        <f>IF(Inputs!$C$60,Inputs!$C$11+(B8329-Inputs!$C$69)/Inputs!$C$70,"")</f>
      </c>
      <c r="D8329" s="15"/>
      <c r="E8329" s="15"/>
      <c r="F8329" s="11">
        <f t="shared" si="65"/>
      </c>
      <c r="G8329" s="22" cm="1">
        <f t="array" ref="G8329">IF(AND(Inputs!$C$60,Inputs!$C$61),INDEX(Utility_Rates!$C$29:$F$52,HOUR(C8329)+Inputs!$C$69,MATCH(INDEX(Utility_Rates!$K$6:$K$17,MONTH(C8329))&amp;IF(WEEKDAY(C8329,Inputs!$C$76)&lt;=Inputs!$C$74," weekday"," weekend"),Utility_Rates!$C$28:$F$28,Inputs!$C$68)),"")</f>
      </c>
      <c r="H8329" s="34"/>
      <c r="I8329" s="42">
        <f>IF(AND(ISNUMBER(D8329),ISNUMBER(H8329)),D8329*H8329*Inputs!$C$69,"")</f>
      </c>
      <c r="J8329" s="42">
        <f>IF(AND(ISNUMBER(F8329),ISNUMBER(H8329),F8329&gt;=Inputs!$C$68),F8329*H8329*Inputs!$C$69,"")</f>
      </c>
    </row>
    <row r="8330" spans="2:10" ht="15" customHeight="1" x14ac:dyDescent="0.2">
      <c r="B8330" s="39">
        <f t="shared" si="64"/>
      </c>
      <c r="C8330" s="40">
        <f>IF(Inputs!$C$60,Inputs!$C$11+(B8330-Inputs!$C$69)/Inputs!$C$70,"")</f>
      </c>
      <c r="D8330" s="15"/>
      <c r="E8330" s="15"/>
      <c r="F8330" s="11">
        <f t="shared" si="65"/>
      </c>
      <c r="G8330" s="22" cm="1">
        <f t="array" ref="G8330">IF(AND(Inputs!$C$60,Inputs!$C$61),INDEX(Utility_Rates!$C$29:$F$52,HOUR(C8330)+Inputs!$C$69,MATCH(INDEX(Utility_Rates!$K$6:$K$17,MONTH(C8330))&amp;IF(WEEKDAY(C8330,Inputs!$C$76)&lt;=Inputs!$C$74," weekday"," weekend"),Utility_Rates!$C$28:$F$28,Inputs!$C$68)),"")</f>
      </c>
      <c r="H8330" s="34"/>
      <c r="I8330" s="42">
        <f>IF(AND(ISNUMBER(D8330),ISNUMBER(H8330)),D8330*H8330*Inputs!$C$69,"")</f>
      </c>
      <c r="J8330" s="42">
        <f>IF(AND(ISNUMBER(F8330),ISNUMBER(H8330),F8330&gt;=Inputs!$C$68),F8330*H8330*Inputs!$C$69,"")</f>
      </c>
    </row>
    <row r="8331" spans="2:10" ht="15" customHeight="1" x14ac:dyDescent="0.2">
      <c r="B8331" s="39">
        <f t="shared" si="64"/>
      </c>
      <c r="C8331" s="40">
        <f>IF(Inputs!$C$60,Inputs!$C$11+(B8331-Inputs!$C$69)/Inputs!$C$70,"")</f>
      </c>
      <c r="D8331" s="15"/>
      <c r="E8331" s="15"/>
      <c r="F8331" s="11">
        <f t="shared" si="65"/>
      </c>
      <c r="G8331" s="22" cm="1">
        <f t="array" ref="G8331">IF(AND(Inputs!$C$60,Inputs!$C$61),INDEX(Utility_Rates!$C$29:$F$52,HOUR(C8331)+Inputs!$C$69,MATCH(INDEX(Utility_Rates!$K$6:$K$17,MONTH(C8331))&amp;IF(WEEKDAY(C8331,Inputs!$C$76)&lt;=Inputs!$C$74," weekday"," weekend"),Utility_Rates!$C$28:$F$28,Inputs!$C$68)),"")</f>
      </c>
      <c r="H8331" s="34"/>
      <c r="I8331" s="42">
        <f>IF(AND(ISNUMBER(D8331),ISNUMBER(H8331)),D8331*H8331*Inputs!$C$69,"")</f>
      </c>
      <c r="J8331" s="42">
        <f>IF(AND(ISNUMBER(F8331),ISNUMBER(H8331),F8331&gt;=Inputs!$C$68),F8331*H8331*Inputs!$C$69,"")</f>
      </c>
    </row>
    <row r="8332" spans="2:10" ht="15" customHeight="1" x14ac:dyDescent="0.2">
      <c r="B8332" s="39">
        <f t="shared" si="64"/>
      </c>
      <c r="C8332" s="40">
        <f>IF(Inputs!$C$60,Inputs!$C$11+(B8332-Inputs!$C$69)/Inputs!$C$70,"")</f>
      </c>
      <c r="D8332" s="15"/>
      <c r="E8332" s="15"/>
      <c r="F8332" s="11">
        <f t="shared" si="65"/>
      </c>
      <c r="G8332" s="22" cm="1">
        <f t="array" ref="G8332">IF(AND(Inputs!$C$60,Inputs!$C$61),INDEX(Utility_Rates!$C$29:$F$52,HOUR(C8332)+Inputs!$C$69,MATCH(INDEX(Utility_Rates!$K$6:$K$17,MONTH(C8332))&amp;IF(WEEKDAY(C8332,Inputs!$C$76)&lt;=Inputs!$C$74," weekday"," weekend"),Utility_Rates!$C$28:$F$28,Inputs!$C$68)),"")</f>
      </c>
      <c r="H8332" s="34"/>
      <c r="I8332" s="42">
        <f>IF(AND(ISNUMBER(D8332),ISNUMBER(H8332)),D8332*H8332*Inputs!$C$69,"")</f>
      </c>
      <c r="J8332" s="42">
        <f>IF(AND(ISNUMBER(F8332),ISNUMBER(H8332),F8332&gt;=Inputs!$C$68),F8332*H8332*Inputs!$C$69,"")</f>
      </c>
    </row>
    <row r="8333" spans="2:10" ht="15" customHeight="1" x14ac:dyDescent="0.2">
      <c r="B8333" s="39">
        <f t="shared" si="64"/>
      </c>
      <c r="C8333" s="40">
        <f>IF(Inputs!$C$60,Inputs!$C$11+(B8333-Inputs!$C$69)/Inputs!$C$70,"")</f>
      </c>
      <c r="D8333" s="15"/>
      <c r="E8333" s="15"/>
      <c r="F8333" s="11">
        <f t="shared" si="65"/>
      </c>
      <c r="G8333" s="22" cm="1">
        <f t="array" ref="G8333">IF(AND(Inputs!$C$60,Inputs!$C$61),INDEX(Utility_Rates!$C$29:$F$52,HOUR(C8333)+Inputs!$C$69,MATCH(INDEX(Utility_Rates!$K$6:$K$17,MONTH(C8333))&amp;IF(WEEKDAY(C8333,Inputs!$C$76)&lt;=Inputs!$C$74," weekday"," weekend"),Utility_Rates!$C$28:$F$28,Inputs!$C$68)),"")</f>
      </c>
      <c r="H8333" s="34"/>
      <c r="I8333" s="42">
        <f>IF(AND(ISNUMBER(D8333),ISNUMBER(H8333)),D8333*H8333*Inputs!$C$69,"")</f>
      </c>
      <c r="J8333" s="42">
        <f>IF(AND(ISNUMBER(F8333),ISNUMBER(H8333),F8333&gt;=Inputs!$C$68),F8333*H8333*Inputs!$C$69,"")</f>
      </c>
    </row>
    <row r="8334" spans="2:10" ht="15" customHeight="1" x14ac:dyDescent="0.2">
      <c r="B8334" s="39">
        <f t="shared" si="64"/>
      </c>
      <c r="C8334" s="40">
        <f>IF(Inputs!$C$60,Inputs!$C$11+(B8334-Inputs!$C$69)/Inputs!$C$70,"")</f>
      </c>
      <c r="D8334" s="15"/>
      <c r="E8334" s="15"/>
      <c r="F8334" s="11">
        <f t="shared" si="65"/>
      </c>
      <c r="G8334" s="22" cm="1">
        <f t="array" ref="G8334">IF(AND(Inputs!$C$60,Inputs!$C$61),INDEX(Utility_Rates!$C$29:$F$52,HOUR(C8334)+Inputs!$C$69,MATCH(INDEX(Utility_Rates!$K$6:$K$17,MONTH(C8334))&amp;IF(WEEKDAY(C8334,Inputs!$C$76)&lt;=Inputs!$C$74," weekday"," weekend"),Utility_Rates!$C$28:$F$28,Inputs!$C$68)),"")</f>
      </c>
      <c r="H8334" s="34"/>
      <c r="I8334" s="42">
        <f>IF(AND(ISNUMBER(D8334),ISNUMBER(H8334)),D8334*H8334*Inputs!$C$69,"")</f>
      </c>
      <c r="J8334" s="42">
        <f>IF(AND(ISNUMBER(F8334),ISNUMBER(H8334),F8334&gt;=Inputs!$C$68),F8334*H8334*Inputs!$C$69,"")</f>
      </c>
    </row>
    <row r="8335" spans="2:10" ht="15" customHeight="1" x14ac:dyDescent="0.2">
      <c r="B8335" s="39">
        <f t="shared" si="64"/>
      </c>
      <c r="C8335" s="40">
        <f>IF(Inputs!$C$60,Inputs!$C$11+(B8335-Inputs!$C$69)/Inputs!$C$70,"")</f>
      </c>
      <c r="D8335" s="15"/>
      <c r="E8335" s="15"/>
      <c r="F8335" s="11">
        <f t="shared" si="65"/>
      </c>
      <c r="G8335" s="22" cm="1">
        <f t="array" ref="G8335">IF(AND(Inputs!$C$60,Inputs!$C$61),INDEX(Utility_Rates!$C$29:$F$52,HOUR(C8335)+Inputs!$C$69,MATCH(INDEX(Utility_Rates!$K$6:$K$17,MONTH(C8335))&amp;IF(WEEKDAY(C8335,Inputs!$C$76)&lt;=Inputs!$C$74," weekday"," weekend"),Utility_Rates!$C$28:$F$28,Inputs!$C$68)),"")</f>
      </c>
      <c r="H8335" s="34"/>
      <c r="I8335" s="42">
        <f>IF(AND(ISNUMBER(D8335),ISNUMBER(H8335)),D8335*H8335*Inputs!$C$69,"")</f>
      </c>
      <c r="J8335" s="42">
        <f>IF(AND(ISNUMBER(F8335),ISNUMBER(H8335),F8335&gt;=Inputs!$C$68),F8335*H8335*Inputs!$C$69,"")</f>
      </c>
    </row>
    <row r="8336" spans="2:10" ht="15" customHeight="1" x14ac:dyDescent="0.2">
      <c r="B8336" s="39">
        <f t="shared" si="64"/>
      </c>
      <c r="C8336" s="40">
        <f>IF(Inputs!$C$60,Inputs!$C$11+(B8336-Inputs!$C$69)/Inputs!$C$70,"")</f>
      </c>
      <c r="D8336" s="15"/>
      <c r="E8336" s="15"/>
      <c r="F8336" s="11">
        <f t="shared" si="65"/>
      </c>
      <c r="G8336" s="22" cm="1">
        <f t="array" ref="G8336">IF(AND(Inputs!$C$60,Inputs!$C$61),INDEX(Utility_Rates!$C$29:$F$52,HOUR(C8336)+Inputs!$C$69,MATCH(INDEX(Utility_Rates!$K$6:$K$17,MONTH(C8336))&amp;IF(WEEKDAY(C8336,Inputs!$C$76)&lt;=Inputs!$C$74," weekday"," weekend"),Utility_Rates!$C$28:$F$28,Inputs!$C$68)),"")</f>
      </c>
      <c r="H8336" s="34"/>
      <c r="I8336" s="42">
        <f>IF(AND(ISNUMBER(D8336),ISNUMBER(H8336)),D8336*H8336*Inputs!$C$69,"")</f>
      </c>
      <c r="J8336" s="42">
        <f>IF(AND(ISNUMBER(F8336),ISNUMBER(H8336),F8336&gt;=Inputs!$C$68),F8336*H8336*Inputs!$C$69,"")</f>
      </c>
    </row>
    <row r="8337" spans="2:10" ht="15" customHeight="1" x14ac:dyDescent="0.2">
      <c r="B8337" s="39">
        <f t="shared" si="64"/>
      </c>
      <c r="C8337" s="40">
        <f>IF(Inputs!$C$60,Inputs!$C$11+(B8337-Inputs!$C$69)/Inputs!$C$70,"")</f>
      </c>
      <c r="D8337" s="15"/>
      <c r="E8337" s="15"/>
      <c r="F8337" s="11">
        <f t="shared" si="65"/>
      </c>
      <c r="G8337" s="22" cm="1">
        <f t="array" ref="G8337">IF(AND(Inputs!$C$60,Inputs!$C$61),INDEX(Utility_Rates!$C$29:$F$52,HOUR(C8337)+Inputs!$C$69,MATCH(INDEX(Utility_Rates!$K$6:$K$17,MONTH(C8337))&amp;IF(WEEKDAY(C8337,Inputs!$C$76)&lt;=Inputs!$C$74," weekday"," weekend"),Utility_Rates!$C$28:$F$28,Inputs!$C$68)),"")</f>
      </c>
      <c r="H8337" s="34"/>
      <c r="I8337" s="42">
        <f>IF(AND(ISNUMBER(D8337),ISNUMBER(H8337)),D8337*H8337*Inputs!$C$69,"")</f>
      </c>
      <c r="J8337" s="42">
        <f>IF(AND(ISNUMBER(F8337),ISNUMBER(H8337),F8337&gt;=Inputs!$C$68),F8337*H8337*Inputs!$C$69,"")</f>
      </c>
    </row>
    <row r="8338" spans="2:10" ht="15" customHeight="1" x14ac:dyDescent="0.2">
      <c r="B8338" s="39">
        <f t="shared" si="64"/>
      </c>
      <c r="C8338" s="40">
        <f>IF(Inputs!$C$60,Inputs!$C$11+(B8338-Inputs!$C$69)/Inputs!$C$70,"")</f>
      </c>
      <c r="D8338" s="15"/>
      <c r="E8338" s="15"/>
      <c r="F8338" s="11">
        <f t="shared" si="65"/>
      </c>
      <c r="G8338" s="22" cm="1">
        <f t="array" ref="G8338">IF(AND(Inputs!$C$60,Inputs!$C$61),INDEX(Utility_Rates!$C$29:$F$52,HOUR(C8338)+Inputs!$C$69,MATCH(INDEX(Utility_Rates!$K$6:$K$17,MONTH(C8338))&amp;IF(WEEKDAY(C8338,Inputs!$C$76)&lt;=Inputs!$C$74," weekday"," weekend"),Utility_Rates!$C$28:$F$28,Inputs!$C$68)),"")</f>
      </c>
      <c r="H8338" s="34"/>
      <c r="I8338" s="42">
        <f>IF(AND(ISNUMBER(D8338),ISNUMBER(H8338)),D8338*H8338*Inputs!$C$69,"")</f>
      </c>
      <c r="J8338" s="42">
        <f>IF(AND(ISNUMBER(F8338),ISNUMBER(H8338),F8338&gt;=Inputs!$C$68),F8338*H8338*Inputs!$C$69,"")</f>
      </c>
    </row>
    <row r="8339" spans="2:10" ht="15" customHeight="1" x14ac:dyDescent="0.2">
      <c r="B8339" s="39">
        <f t="shared" si="64"/>
      </c>
      <c r="C8339" s="40">
        <f>IF(Inputs!$C$60,Inputs!$C$11+(B8339-Inputs!$C$69)/Inputs!$C$70,"")</f>
      </c>
      <c r="D8339" s="15"/>
      <c r="E8339" s="15"/>
      <c r="F8339" s="11">
        <f t="shared" si="65"/>
      </c>
      <c r="G8339" s="22" cm="1">
        <f t="array" ref="G8339">IF(AND(Inputs!$C$60,Inputs!$C$61),INDEX(Utility_Rates!$C$29:$F$52,HOUR(C8339)+Inputs!$C$69,MATCH(INDEX(Utility_Rates!$K$6:$K$17,MONTH(C8339))&amp;IF(WEEKDAY(C8339,Inputs!$C$76)&lt;=Inputs!$C$74," weekday"," weekend"),Utility_Rates!$C$28:$F$28,Inputs!$C$68)),"")</f>
      </c>
      <c r="H8339" s="34"/>
      <c r="I8339" s="42">
        <f>IF(AND(ISNUMBER(D8339),ISNUMBER(H8339)),D8339*H8339*Inputs!$C$69,"")</f>
      </c>
      <c r="J8339" s="42">
        <f>IF(AND(ISNUMBER(F8339),ISNUMBER(H8339),F8339&gt;=Inputs!$C$68),F8339*H8339*Inputs!$C$69,"")</f>
      </c>
    </row>
    <row r="8340" spans="2:10" ht="15" customHeight="1" x14ac:dyDescent="0.2">
      <c r="B8340" s="39">
        <f t="shared" si="64"/>
      </c>
      <c r="C8340" s="40">
        <f>IF(Inputs!$C$60,Inputs!$C$11+(B8340-Inputs!$C$69)/Inputs!$C$70,"")</f>
      </c>
      <c r="D8340" s="15"/>
      <c r="E8340" s="15"/>
      <c r="F8340" s="11">
        <f t="shared" si="65"/>
      </c>
      <c r="G8340" s="22" cm="1">
        <f t="array" ref="G8340">IF(AND(Inputs!$C$60,Inputs!$C$61),INDEX(Utility_Rates!$C$29:$F$52,HOUR(C8340)+Inputs!$C$69,MATCH(INDEX(Utility_Rates!$K$6:$K$17,MONTH(C8340))&amp;IF(WEEKDAY(C8340,Inputs!$C$76)&lt;=Inputs!$C$74," weekday"," weekend"),Utility_Rates!$C$28:$F$28,Inputs!$C$68)),"")</f>
      </c>
      <c r="H8340" s="34"/>
      <c r="I8340" s="42">
        <f>IF(AND(ISNUMBER(D8340),ISNUMBER(H8340)),D8340*H8340*Inputs!$C$69,"")</f>
      </c>
      <c r="J8340" s="42">
        <f>IF(AND(ISNUMBER(F8340),ISNUMBER(H8340),F8340&gt;=Inputs!$C$68),F8340*H8340*Inputs!$C$69,"")</f>
      </c>
    </row>
    <row r="8341" spans="2:10" ht="15" customHeight="1" x14ac:dyDescent="0.2">
      <c r="B8341" s="39">
        <f t="shared" si="64"/>
      </c>
      <c r="C8341" s="40">
        <f>IF(Inputs!$C$60,Inputs!$C$11+(B8341-Inputs!$C$69)/Inputs!$C$70,"")</f>
      </c>
      <c r="D8341" s="15"/>
      <c r="E8341" s="15"/>
      <c r="F8341" s="11">
        <f t="shared" si="65"/>
      </c>
      <c r="G8341" s="22" cm="1">
        <f t="array" ref="G8341">IF(AND(Inputs!$C$60,Inputs!$C$61),INDEX(Utility_Rates!$C$29:$F$52,HOUR(C8341)+Inputs!$C$69,MATCH(INDEX(Utility_Rates!$K$6:$K$17,MONTH(C8341))&amp;IF(WEEKDAY(C8341,Inputs!$C$76)&lt;=Inputs!$C$74," weekday"," weekend"),Utility_Rates!$C$28:$F$28,Inputs!$C$68)),"")</f>
      </c>
      <c r="H8341" s="34"/>
      <c r="I8341" s="42">
        <f>IF(AND(ISNUMBER(D8341),ISNUMBER(H8341)),D8341*H8341*Inputs!$C$69,"")</f>
      </c>
      <c r="J8341" s="42">
        <f>IF(AND(ISNUMBER(F8341),ISNUMBER(H8341),F8341&gt;=Inputs!$C$68),F8341*H8341*Inputs!$C$69,"")</f>
      </c>
    </row>
    <row r="8342" spans="2:10" ht="15" customHeight="1" x14ac:dyDescent="0.2">
      <c r="B8342" s="39">
        <f t="shared" si="64"/>
      </c>
      <c r="C8342" s="40">
        <f>IF(Inputs!$C$60,Inputs!$C$11+(B8342-Inputs!$C$69)/Inputs!$C$70,"")</f>
      </c>
      <c r="D8342" s="15"/>
      <c r="E8342" s="15"/>
      <c r="F8342" s="11">
        <f t="shared" si="65"/>
      </c>
      <c r="G8342" s="22" cm="1">
        <f t="array" ref="G8342">IF(AND(Inputs!$C$60,Inputs!$C$61),INDEX(Utility_Rates!$C$29:$F$52,HOUR(C8342)+Inputs!$C$69,MATCH(INDEX(Utility_Rates!$K$6:$K$17,MONTH(C8342))&amp;IF(WEEKDAY(C8342,Inputs!$C$76)&lt;=Inputs!$C$74," weekday"," weekend"),Utility_Rates!$C$28:$F$28,Inputs!$C$68)),"")</f>
      </c>
      <c r="H8342" s="34"/>
      <c r="I8342" s="42">
        <f>IF(AND(ISNUMBER(D8342),ISNUMBER(H8342)),D8342*H8342*Inputs!$C$69,"")</f>
      </c>
      <c r="J8342" s="42">
        <f>IF(AND(ISNUMBER(F8342),ISNUMBER(H8342),F8342&gt;=Inputs!$C$68),F8342*H8342*Inputs!$C$69,"")</f>
      </c>
    </row>
    <row r="8343" spans="2:10" ht="15" customHeight="1" x14ac:dyDescent="0.2">
      <c r="B8343" s="39">
        <f t="shared" si="64"/>
      </c>
      <c r="C8343" s="40">
        <f>IF(Inputs!$C$60,Inputs!$C$11+(B8343-Inputs!$C$69)/Inputs!$C$70,"")</f>
      </c>
      <c r="D8343" s="15"/>
      <c r="E8343" s="15"/>
      <c r="F8343" s="11">
        <f t="shared" si="65"/>
      </c>
      <c r="G8343" s="22" cm="1">
        <f t="array" ref="G8343">IF(AND(Inputs!$C$60,Inputs!$C$61),INDEX(Utility_Rates!$C$29:$F$52,HOUR(C8343)+Inputs!$C$69,MATCH(INDEX(Utility_Rates!$K$6:$K$17,MONTH(C8343))&amp;IF(WEEKDAY(C8343,Inputs!$C$76)&lt;=Inputs!$C$74," weekday"," weekend"),Utility_Rates!$C$28:$F$28,Inputs!$C$68)),"")</f>
      </c>
      <c r="H8343" s="34"/>
      <c r="I8343" s="42">
        <f>IF(AND(ISNUMBER(D8343),ISNUMBER(H8343)),D8343*H8343*Inputs!$C$69,"")</f>
      </c>
      <c r="J8343" s="42">
        <f>IF(AND(ISNUMBER(F8343),ISNUMBER(H8343),F8343&gt;=Inputs!$C$68),F8343*H8343*Inputs!$C$69,"")</f>
      </c>
    </row>
    <row r="8344" spans="2:10" ht="15" customHeight="1" x14ac:dyDescent="0.2">
      <c r="B8344" s="39">
        <f t="shared" si="64"/>
      </c>
      <c r="C8344" s="40">
        <f>IF(Inputs!$C$60,Inputs!$C$11+(B8344-Inputs!$C$69)/Inputs!$C$70,"")</f>
      </c>
      <c r="D8344" s="15"/>
      <c r="E8344" s="15"/>
      <c r="F8344" s="11">
        <f t="shared" si="65"/>
      </c>
      <c r="G8344" s="22" cm="1">
        <f t="array" ref="G8344">IF(AND(Inputs!$C$60,Inputs!$C$61),INDEX(Utility_Rates!$C$29:$F$52,HOUR(C8344)+Inputs!$C$69,MATCH(INDEX(Utility_Rates!$K$6:$K$17,MONTH(C8344))&amp;IF(WEEKDAY(C8344,Inputs!$C$76)&lt;=Inputs!$C$74," weekday"," weekend"),Utility_Rates!$C$28:$F$28,Inputs!$C$68)),"")</f>
      </c>
      <c r="H8344" s="34"/>
      <c r="I8344" s="42">
        <f>IF(AND(ISNUMBER(D8344),ISNUMBER(H8344)),D8344*H8344*Inputs!$C$69,"")</f>
      </c>
      <c r="J8344" s="42">
        <f>IF(AND(ISNUMBER(F8344),ISNUMBER(H8344),F8344&gt;=Inputs!$C$68),F8344*H8344*Inputs!$C$69,"")</f>
      </c>
    </row>
    <row r="8345" spans="2:10" ht="15" customHeight="1" x14ac:dyDescent="0.2">
      <c r="B8345" s="39">
        <f t="shared" si="64"/>
      </c>
      <c r="C8345" s="40">
        <f>IF(Inputs!$C$60,Inputs!$C$11+(B8345-Inputs!$C$69)/Inputs!$C$70,"")</f>
      </c>
      <c r="D8345" s="15"/>
      <c r="E8345" s="15"/>
      <c r="F8345" s="11">
        <f t="shared" si="65"/>
      </c>
      <c r="G8345" s="22" cm="1">
        <f t="array" ref="G8345">IF(AND(Inputs!$C$60,Inputs!$C$61),INDEX(Utility_Rates!$C$29:$F$52,HOUR(C8345)+Inputs!$C$69,MATCH(INDEX(Utility_Rates!$K$6:$K$17,MONTH(C8345))&amp;IF(WEEKDAY(C8345,Inputs!$C$76)&lt;=Inputs!$C$74," weekday"," weekend"),Utility_Rates!$C$28:$F$28,Inputs!$C$68)),"")</f>
      </c>
      <c r="H8345" s="34"/>
      <c r="I8345" s="42">
        <f>IF(AND(ISNUMBER(D8345),ISNUMBER(H8345)),D8345*H8345*Inputs!$C$69,"")</f>
      </c>
      <c r="J8345" s="42">
        <f>IF(AND(ISNUMBER(F8345),ISNUMBER(H8345),F8345&gt;=Inputs!$C$68),F8345*H8345*Inputs!$C$69,"")</f>
      </c>
    </row>
    <row r="8346" spans="2:10" ht="15" customHeight="1" x14ac:dyDescent="0.2">
      <c r="B8346" s="39">
        <f t="shared" si="64"/>
      </c>
      <c r="C8346" s="40">
        <f>IF(Inputs!$C$60,Inputs!$C$11+(B8346-Inputs!$C$69)/Inputs!$C$70,"")</f>
      </c>
      <c r="D8346" s="15"/>
      <c r="E8346" s="15"/>
      <c r="F8346" s="11">
        <f t="shared" si="65"/>
      </c>
      <c r="G8346" s="22" cm="1">
        <f t="array" ref="G8346">IF(AND(Inputs!$C$60,Inputs!$C$61),INDEX(Utility_Rates!$C$29:$F$52,HOUR(C8346)+Inputs!$C$69,MATCH(INDEX(Utility_Rates!$K$6:$K$17,MONTH(C8346))&amp;IF(WEEKDAY(C8346,Inputs!$C$76)&lt;=Inputs!$C$74," weekday"," weekend"),Utility_Rates!$C$28:$F$28,Inputs!$C$68)),"")</f>
      </c>
      <c r="H8346" s="34"/>
      <c r="I8346" s="42">
        <f>IF(AND(ISNUMBER(D8346),ISNUMBER(H8346)),D8346*H8346*Inputs!$C$69,"")</f>
      </c>
      <c r="J8346" s="42">
        <f>IF(AND(ISNUMBER(F8346),ISNUMBER(H8346),F8346&gt;=Inputs!$C$68),F8346*H8346*Inputs!$C$69,"")</f>
      </c>
    </row>
    <row r="8347" spans="2:10" ht="15" customHeight="1" x14ac:dyDescent="0.2">
      <c r="B8347" s="39">
        <f t="shared" si="64"/>
      </c>
      <c r="C8347" s="40">
        <f>IF(Inputs!$C$60,Inputs!$C$11+(B8347-Inputs!$C$69)/Inputs!$C$70,"")</f>
      </c>
      <c r="D8347" s="15"/>
      <c r="E8347" s="15"/>
      <c r="F8347" s="11">
        <f t="shared" si="65"/>
      </c>
      <c r="G8347" s="22" cm="1">
        <f t="array" ref="G8347">IF(AND(Inputs!$C$60,Inputs!$C$61),INDEX(Utility_Rates!$C$29:$F$52,HOUR(C8347)+Inputs!$C$69,MATCH(INDEX(Utility_Rates!$K$6:$K$17,MONTH(C8347))&amp;IF(WEEKDAY(C8347,Inputs!$C$76)&lt;=Inputs!$C$74," weekday"," weekend"),Utility_Rates!$C$28:$F$28,Inputs!$C$68)),"")</f>
      </c>
      <c r="H8347" s="34"/>
      <c r="I8347" s="42">
        <f>IF(AND(ISNUMBER(D8347),ISNUMBER(H8347)),D8347*H8347*Inputs!$C$69,"")</f>
      </c>
      <c r="J8347" s="42">
        <f>IF(AND(ISNUMBER(F8347),ISNUMBER(H8347),F8347&gt;=Inputs!$C$68),F8347*H8347*Inputs!$C$69,"")</f>
      </c>
    </row>
    <row r="8348" spans="2:10" ht="15" customHeight="1" x14ac:dyDescent="0.2">
      <c r="B8348" s="39">
        <f t="shared" si="64"/>
      </c>
      <c r="C8348" s="40">
        <f>IF(Inputs!$C$60,Inputs!$C$11+(B8348-Inputs!$C$69)/Inputs!$C$70,"")</f>
      </c>
      <c r="D8348" s="15"/>
      <c r="E8348" s="15"/>
      <c r="F8348" s="11">
        <f t="shared" si="65"/>
      </c>
      <c r="G8348" s="22" cm="1">
        <f t="array" ref="G8348">IF(AND(Inputs!$C$60,Inputs!$C$61),INDEX(Utility_Rates!$C$29:$F$52,HOUR(C8348)+Inputs!$C$69,MATCH(INDEX(Utility_Rates!$K$6:$K$17,MONTH(C8348))&amp;IF(WEEKDAY(C8348,Inputs!$C$76)&lt;=Inputs!$C$74," weekday"," weekend"),Utility_Rates!$C$28:$F$28,Inputs!$C$68)),"")</f>
      </c>
      <c r="H8348" s="34"/>
      <c r="I8348" s="42">
        <f>IF(AND(ISNUMBER(D8348),ISNUMBER(H8348)),D8348*H8348*Inputs!$C$69,"")</f>
      </c>
      <c r="J8348" s="42">
        <f>IF(AND(ISNUMBER(F8348),ISNUMBER(H8348),F8348&gt;=Inputs!$C$68),F8348*H8348*Inputs!$C$69,"")</f>
      </c>
    </row>
    <row r="8349" spans="2:10" ht="15" customHeight="1" x14ac:dyDescent="0.2">
      <c r="B8349" s="39">
        <f t="shared" si="64"/>
      </c>
      <c r="C8349" s="40">
        <f>IF(Inputs!$C$60,Inputs!$C$11+(B8349-Inputs!$C$69)/Inputs!$C$70,"")</f>
      </c>
      <c r="D8349" s="15"/>
      <c r="E8349" s="15"/>
      <c r="F8349" s="11">
        <f t="shared" si="65"/>
      </c>
      <c r="G8349" s="22" cm="1">
        <f t="array" ref="G8349">IF(AND(Inputs!$C$60,Inputs!$C$61),INDEX(Utility_Rates!$C$29:$F$52,HOUR(C8349)+Inputs!$C$69,MATCH(INDEX(Utility_Rates!$K$6:$K$17,MONTH(C8349))&amp;IF(WEEKDAY(C8349,Inputs!$C$76)&lt;=Inputs!$C$74," weekday"," weekend"),Utility_Rates!$C$28:$F$28,Inputs!$C$68)),"")</f>
      </c>
      <c r="H8349" s="34"/>
      <c r="I8349" s="42">
        <f>IF(AND(ISNUMBER(D8349),ISNUMBER(H8349)),D8349*H8349*Inputs!$C$69,"")</f>
      </c>
      <c r="J8349" s="42">
        <f>IF(AND(ISNUMBER(F8349),ISNUMBER(H8349),F8349&gt;=Inputs!$C$68),F8349*H8349*Inputs!$C$69,"")</f>
      </c>
    </row>
    <row r="8350" spans="2:10" ht="15" customHeight="1" x14ac:dyDescent="0.2">
      <c r="B8350" s="39">
        <f t="shared" si="64"/>
      </c>
      <c r="C8350" s="40">
        <f>IF(Inputs!$C$60,Inputs!$C$11+(B8350-Inputs!$C$69)/Inputs!$C$70,"")</f>
      </c>
      <c r="D8350" s="15"/>
      <c r="E8350" s="15"/>
      <c r="F8350" s="11">
        <f t="shared" si="65"/>
      </c>
      <c r="G8350" s="22" cm="1">
        <f t="array" ref="G8350">IF(AND(Inputs!$C$60,Inputs!$C$61),INDEX(Utility_Rates!$C$29:$F$52,HOUR(C8350)+Inputs!$C$69,MATCH(INDEX(Utility_Rates!$K$6:$K$17,MONTH(C8350))&amp;IF(WEEKDAY(C8350,Inputs!$C$76)&lt;=Inputs!$C$74," weekday"," weekend"),Utility_Rates!$C$28:$F$28,Inputs!$C$68)),"")</f>
      </c>
      <c r="H8350" s="34"/>
      <c r="I8350" s="42">
        <f>IF(AND(ISNUMBER(D8350),ISNUMBER(H8350)),D8350*H8350*Inputs!$C$69,"")</f>
      </c>
      <c r="J8350" s="42">
        <f>IF(AND(ISNUMBER(F8350),ISNUMBER(H8350),F8350&gt;=Inputs!$C$68),F8350*H8350*Inputs!$C$69,"")</f>
      </c>
    </row>
    <row r="8351" spans="2:10" ht="15" customHeight="1" x14ac:dyDescent="0.2">
      <c r="B8351" s="39">
        <f t="shared" si="64"/>
      </c>
      <c r="C8351" s="40">
        <f>IF(Inputs!$C$60,Inputs!$C$11+(B8351-Inputs!$C$69)/Inputs!$C$70,"")</f>
      </c>
      <c r="D8351" s="15"/>
      <c r="E8351" s="15"/>
      <c r="F8351" s="11">
        <f t="shared" si="65"/>
      </c>
      <c r="G8351" s="22" cm="1">
        <f t="array" ref="G8351">IF(AND(Inputs!$C$60,Inputs!$C$61),INDEX(Utility_Rates!$C$29:$F$52,HOUR(C8351)+Inputs!$C$69,MATCH(INDEX(Utility_Rates!$K$6:$K$17,MONTH(C8351))&amp;IF(WEEKDAY(C8351,Inputs!$C$76)&lt;=Inputs!$C$74," weekday"," weekend"),Utility_Rates!$C$28:$F$28,Inputs!$C$68)),"")</f>
      </c>
      <c r="H8351" s="34"/>
      <c r="I8351" s="42">
        <f>IF(AND(ISNUMBER(D8351),ISNUMBER(H8351)),D8351*H8351*Inputs!$C$69,"")</f>
      </c>
      <c r="J8351" s="42">
        <f>IF(AND(ISNUMBER(F8351),ISNUMBER(H8351),F8351&gt;=Inputs!$C$68),F8351*H8351*Inputs!$C$69,"")</f>
      </c>
    </row>
    <row r="8352" spans="2:10" ht="15" customHeight="1" x14ac:dyDescent="0.2">
      <c r="B8352" s="39">
        <f t="shared" si="64"/>
      </c>
      <c r="C8352" s="40">
        <f>IF(Inputs!$C$60,Inputs!$C$11+(B8352-Inputs!$C$69)/Inputs!$C$70,"")</f>
      </c>
      <c r="D8352" s="15"/>
      <c r="E8352" s="15"/>
      <c r="F8352" s="11">
        <f t="shared" si="65"/>
      </c>
      <c r="G8352" s="22" cm="1">
        <f t="array" ref="G8352">IF(AND(Inputs!$C$60,Inputs!$C$61),INDEX(Utility_Rates!$C$29:$F$52,HOUR(C8352)+Inputs!$C$69,MATCH(INDEX(Utility_Rates!$K$6:$K$17,MONTH(C8352))&amp;IF(WEEKDAY(C8352,Inputs!$C$76)&lt;=Inputs!$C$74," weekday"," weekend"),Utility_Rates!$C$28:$F$28,Inputs!$C$68)),"")</f>
      </c>
      <c r="H8352" s="34"/>
      <c r="I8352" s="42">
        <f>IF(AND(ISNUMBER(D8352),ISNUMBER(H8352)),D8352*H8352*Inputs!$C$69,"")</f>
      </c>
      <c r="J8352" s="42">
        <f>IF(AND(ISNUMBER(F8352),ISNUMBER(H8352),F8352&gt;=Inputs!$C$68),F8352*H8352*Inputs!$C$69,"")</f>
      </c>
    </row>
    <row r="8353" spans="2:10" ht="15" customHeight="1" x14ac:dyDescent="0.2">
      <c r="B8353" s="39">
        <f t="shared" si="64"/>
      </c>
      <c r="C8353" s="40">
        <f>IF(Inputs!$C$60,Inputs!$C$11+(B8353-Inputs!$C$69)/Inputs!$C$70,"")</f>
      </c>
      <c r="D8353" s="15"/>
      <c r="E8353" s="15"/>
      <c r="F8353" s="11">
        <f t="shared" si="65"/>
      </c>
      <c r="G8353" s="22" cm="1">
        <f t="array" ref="G8353">IF(AND(Inputs!$C$60,Inputs!$C$61),INDEX(Utility_Rates!$C$29:$F$52,HOUR(C8353)+Inputs!$C$69,MATCH(INDEX(Utility_Rates!$K$6:$K$17,MONTH(C8353))&amp;IF(WEEKDAY(C8353,Inputs!$C$76)&lt;=Inputs!$C$74," weekday"," weekend"),Utility_Rates!$C$28:$F$28,Inputs!$C$68)),"")</f>
      </c>
      <c r="H8353" s="34"/>
      <c r="I8353" s="42">
        <f>IF(AND(ISNUMBER(D8353),ISNUMBER(H8353)),D8353*H8353*Inputs!$C$69,"")</f>
      </c>
      <c r="J8353" s="42">
        <f>IF(AND(ISNUMBER(F8353),ISNUMBER(H8353),F8353&gt;=Inputs!$C$68),F8353*H8353*Inputs!$C$69,"")</f>
      </c>
    </row>
    <row r="8354" spans="2:10" ht="15" customHeight="1" x14ac:dyDescent="0.2">
      <c r="B8354" s="39">
        <f t="shared" si="64"/>
      </c>
      <c r="C8354" s="40">
        <f>IF(Inputs!$C$60,Inputs!$C$11+(B8354-Inputs!$C$69)/Inputs!$C$70,"")</f>
      </c>
      <c r="D8354" s="15"/>
      <c r="E8354" s="15"/>
      <c r="F8354" s="11">
        <f t="shared" si="65"/>
      </c>
      <c r="G8354" s="22" cm="1">
        <f t="array" ref="G8354">IF(AND(Inputs!$C$60,Inputs!$C$61),INDEX(Utility_Rates!$C$29:$F$52,HOUR(C8354)+Inputs!$C$69,MATCH(INDEX(Utility_Rates!$K$6:$K$17,MONTH(C8354))&amp;IF(WEEKDAY(C8354,Inputs!$C$76)&lt;=Inputs!$C$74," weekday"," weekend"),Utility_Rates!$C$28:$F$28,Inputs!$C$68)),"")</f>
      </c>
      <c r="H8354" s="34"/>
      <c r="I8354" s="42">
        <f>IF(AND(ISNUMBER(D8354),ISNUMBER(H8354)),D8354*H8354*Inputs!$C$69,"")</f>
      </c>
      <c r="J8354" s="42">
        <f>IF(AND(ISNUMBER(F8354),ISNUMBER(H8354),F8354&gt;=Inputs!$C$68),F8354*H8354*Inputs!$C$69,"")</f>
      </c>
    </row>
    <row r="8355" spans="2:10" ht="15" customHeight="1" x14ac:dyDescent="0.2">
      <c r="B8355" s="39">
        <f t="shared" si="64"/>
      </c>
      <c r="C8355" s="40">
        <f>IF(Inputs!$C$60,Inputs!$C$11+(B8355-Inputs!$C$69)/Inputs!$C$70,"")</f>
      </c>
      <c r="D8355" s="15"/>
      <c r="E8355" s="15"/>
      <c r="F8355" s="11">
        <f t="shared" si="65"/>
      </c>
      <c r="G8355" s="22" cm="1">
        <f t="array" ref="G8355">IF(AND(Inputs!$C$60,Inputs!$C$61),INDEX(Utility_Rates!$C$29:$F$52,HOUR(C8355)+Inputs!$C$69,MATCH(INDEX(Utility_Rates!$K$6:$K$17,MONTH(C8355))&amp;IF(WEEKDAY(C8355,Inputs!$C$76)&lt;=Inputs!$C$74," weekday"," weekend"),Utility_Rates!$C$28:$F$28,Inputs!$C$68)),"")</f>
      </c>
      <c r="H8355" s="34"/>
      <c r="I8355" s="42">
        <f>IF(AND(ISNUMBER(D8355),ISNUMBER(H8355)),D8355*H8355*Inputs!$C$69,"")</f>
      </c>
      <c r="J8355" s="42">
        <f>IF(AND(ISNUMBER(F8355),ISNUMBER(H8355),F8355&gt;=Inputs!$C$68),F8355*H8355*Inputs!$C$69,"")</f>
      </c>
    </row>
    <row r="8356" spans="2:10" ht="15" customHeight="1" x14ac:dyDescent="0.2">
      <c r="B8356" s="39">
        <f t="shared" si="64"/>
      </c>
      <c r="C8356" s="40">
        <f>IF(Inputs!$C$60,Inputs!$C$11+(B8356-Inputs!$C$69)/Inputs!$C$70,"")</f>
      </c>
      <c r="D8356" s="15"/>
      <c r="E8356" s="15"/>
      <c r="F8356" s="11">
        <f t="shared" si="65"/>
      </c>
      <c r="G8356" s="22" cm="1">
        <f t="array" ref="G8356">IF(AND(Inputs!$C$60,Inputs!$C$61),INDEX(Utility_Rates!$C$29:$F$52,HOUR(C8356)+Inputs!$C$69,MATCH(INDEX(Utility_Rates!$K$6:$K$17,MONTH(C8356))&amp;IF(WEEKDAY(C8356,Inputs!$C$76)&lt;=Inputs!$C$74," weekday"," weekend"),Utility_Rates!$C$28:$F$28,Inputs!$C$68)),"")</f>
      </c>
      <c r="H8356" s="34"/>
      <c r="I8356" s="42">
        <f>IF(AND(ISNUMBER(D8356),ISNUMBER(H8356)),D8356*H8356*Inputs!$C$69,"")</f>
      </c>
      <c r="J8356" s="42">
        <f>IF(AND(ISNUMBER(F8356),ISNUMBER(H8356),F8356&gt;=Inputs!$C$68),F8356*H8356*Inputs!$C$69,"")</f>
      </c>
    </row>
    <row r="8357" spans="2:10" ht="15" customHeight="1" x14ac:dyDescent="0.2">
      <c r="B8357" s="39">
        <f t="shared" si="64"/>
      </c>
      <c r="C8357" s="40">
        <f>IF(Inputs!$C$60,Inputs!$C$11+(B8357-Inputs!$C$69)/Inputs!$C$70,"")</f>
      </c>
      <c r="D8357" s="15"/>
      <c r="E8357" s="15"/>
      <c r="F8357" s="11">
        <f t="shared" si="65"/>
      </c>
      <c r="G8357" s="22" cm="1">
        <f t="array" ref="G8357">IF(AND(Inputs!$C$60,Inputs!$C$61),INDEX(Utility_Rates!$C$29:$F$52,HOUR(C8357)+Inputs!$C$69,MATCH(INDEX(Utility_Rates!$K$6:$K$17,MONTH(C8357))&amp;IF(WEEKDAY(C8357,Inputs!$C$76)&lt;=Inputs!$C$74," weekday"," weekend"),Utility_Rates!$C$28:$F$28,Inputs!$C$68)),"")</f>
      </c>
      <c r="H8357" s="34"/>
      <c r="I8357" s="42">
        <f>IF(AND(ISNUMBER(D8357),ISNUMBER(H8357)),D8357*H8357*Inputs!$C$69,"")</f>
      </c>
      <c r="J8357" s="42">
        <f>IF(AND(ISNUMBER(F8357),ISNUMBER(H8357),F8357&gt;=Inputs!$C$68),F8357*H8357*Inputs!$C$69,"")</f>
      </c>
    </row>
    <row r="8358" spans="2:10" ht="15" customHeight="1" x14ac:dyDescent="0.2">
      <c r="B8358" s="39">
        <f t="shared" si="64"/>
      </c>
      <c r="C8358" s="40">
        <f>IF(Inputs!$C$60,Inputs!$C$11+(B8358-Inputs!$C$69)/Inputs!$C$70,"")</f>
      </c>
      <c r="D8358" s="15"/>
      <c r="E8358" s="15"/>
      <c r="F8358" s="11">
        <f t="shared" si="65"/>
      </c>
      <c r="G8358" s="22" cm="1">
        <f t="array" ref="G8358">IF(AND(Inputs!$C$60,Inputs!$C$61),INDEX(Utility_Rates!$C$29:$F$52,HOUR(C8358)+Inputs!$C$69,MATCH(INDEX(Utility_Rates!$K$6:$K$17,MONTH(C8358))&amp;IF(WEEKDAY(C8358,Inputs!$C$76)&lt;=Inputs!$C$74," weekday"," weekend"),Utility_Rates!$C$28:$F$28,Inputs!$C$68)),"")</f>
      </c>
      <c r="H8358" s="34"/>
      <c r="I8358" s="42">
        <f>IF(AND(ISNUMBER(D8358),ISNUMBER(H8358)),D8358*H8358*Inputs!$C$69,"")</f>
      </c>
      <c r="J8358" s="42">
        <f>IF(AND(ISNUMBER(F8358),ISNUMBER(H8358),F8358&gt;=Inputs!$C$68),F8358*H8358*Inputs!$C$69,"")</f>
      </c>
    </row>
    <row r="8359" spans="2:10" ht="15" customHeight="1" x14ac:dyDescent="0.2">
      <c r="B8359" s="39">
        <f t="shared" si="64"/>
      </c>
      <c r="C8359" s="40">
        <f>IF(Inputs!$C$60,Inputs!$C$11+(B8359-Inputs!$C$69)/Inputs!$C$70,"")</f>
      </c>
      <c r="D8359" s="15"/>
      <c r="E8359" s="15"/>
      <c r="F8359" s="11">
        <f t="shared" si="65"/>
      </c>
      <c r="G8359" s="22" cm="1">
        <f t="array" ref="G8359">IF(AND(Inputs!$C$60,Inputs!$C$61),INDEX(Utility_Rates!$C$29:$F$52,HOUR(C8359)+Inputs!$C$69,MATCH(INDEX(Utility_Rates!$K$6:$K$17,MONTH(C8359))&amp;IF(WEEKDAY(C8359,Inputs!$C$76)&lt;=Inputs!$C$74," weekday"," weekend"),Utility_Rates!$C$28:$F$28,Inputs!$C$68)),"")</f>
      </c>
      <c r="H8359" s="34"/>
      <c r="I8359" s="42">
        <f>IF(AND(ISNUMBER(D8359),ISNUMBER(H8359)),D8359*H8359*Inputs!$C$69,"")</f>
      </c>
      <c r="J8359" s="42">
        <f>IF(AND(ISNUMBER(F8359),ISNUMBER(H8359),F8359&gt;=Inputs!$C$68),F8359*H8359*Inputs!$C$69,"")</f>
      </c>
    </row>
    <row r="8360" spans="2:10" ht="15" customHeight="1" x14ac:dyDescent="0.2">
      <c r="B8360" s="39">
        <f t="shared" si="64"/>
      </c>
      <c r="C8360" s="40">
        <f>IF(Inputs!$C$60,Inputs!$C$11+(B8360-Inputs!$C$69)/Inputs!$C$70,"")</f>
      </c>
      <c r="D8360" s="15"/>
      <c r="E8360" s="15"/>
      <c r="F8360" s="11">
        <f t="shared" si="65"/>
      </c>
      <c r="G8360" s="22" cm="1">
        <f t="array" ref="G8360">IF(AND(Inputs!$C$60,Inputs!$C$61),INDEX(Utility_Rates!$C$29:$F$52,HOUR(C8360)+Inputs!$C$69,MATCH(INDEX(Utility_Rates!$K$6:$K$17,MONTH(C8360))&amp;IF(WEEKDAY(C8360,Inputs!$C$76)&lt;=Inputs!$C$74," weekday"," weekend"),Utility_Rates!$C$28:$F$28,Inputs!$C$68)),"")</f>
      </c>
      <c r="H8360" s="34"/>
      <c r="I8360" s="42">
        <f>IF(AND(ISNUMBER(D8360),ISNUMBER(H8360)),D8360*H8360*Inputs!$C$69,"")</f>
      </c>
      <c r="J8360" s="42">
        <f>IF(AND(ISNUMBER(F8360),ISNUMBER(H8360),F8360&gt;=Inputs!$C$68),F8360*H8360*Inputs!$C$69,"")</f>
      </c>
    </row>
    <row r="8361" spans="2:10" ht="15" customHeight="1" x14ac:dyDescent="0.2">
      <c r="B8361" s="39">
        <f t="shared" si="64"/>
      </c>
      <c r="C8361" s="40">
        <f>IF(Inputs!$C$60,Inputs!$C$11+(B8361-Inputs!$C$69)/Inputs!$C$70,"")</f>
      </c>
      <c r="D8361" s="15"/>
      <c r="E8361" s="15"/>
      <c r="F8361" s="11">
        <f t="shared" si="65"/>
      </c>
      <c r="G8361" s="22" cm="1">
        <f t="array" ref="G8361">IF(AND(Inputs!$C$60,Inputs!$C$61),INDEX(Utility_Rates!$C$29:$F$52,HOUR(C8361)+Inputs!$C$69,MATCH(INDEX(Utility_Rates!$K$6:$K$17,MONTH(C8361))&amp;IF(WEEKDAY(C8361,Inputs!$C$76)&lt;=Inputs!$C$74," weekday"," weekend"),Utility_Rates!$C$28:$F$28,Inputs!$C$68)),"")</f>
      </c>
      <c r="H8361" s="34"/>
      <c r="I8361" s="42">
        <f>IF(AND(ISNUMBER(D8361),ISNUMBER(H8361)),D8361*H8361*Inputs!$C$69,"")</f>
      </c>
      <c r="J8361" s="42">
        <f>IF(AND(ISNUMBER(F8361),ISNUMBER(H8361),F8361&gt;=Inputs!$C$68),F8361*H8361*Inputs!$C$69,"")</f>
      </c>
    </row>
    <row r="8362" spans="2:10" ht="15" customHeight="1" x14ac:dyDescent="0.2">
      <c r="B8362" s="39">
        <f t="shared" si="64"/>
      </c>
      <c r="C8362" s="40">
        <f>IF(Inputs!$C$60,Inputs!$C$11+(B8362-Inputs!$C$69)/Inputs!$C$70,"")</f>
      </c>
      <c r="D8362" s="15"/>
      <c r="E8362" s="15"/>
      <c r="F8362" s="11">
        <f t="shared" si="65"/>
      </c>
      <c r="G8362" s="22" cm="1">
        <f t="array" ref="G8362">IF(AND(Inputs!$C$60,Inputs!$C$61),INDEX(Utility_Rates!$C$29:$F$52,HOUR(C8362)+Inputs!$C$69,MATCH(INDEX(Utility_Rates!$K$6:$K$17,MONTH(C8362))&amp;IF(WEEKDAY(C8362,Inputs!$C$76)&lt;=Inputs!$C$74," weekday"," weekend"),Utility_Rates!$C$28:$F$28,Inputs!$C$68)),"")</f>
      </c>
      <c r="H8362" s="34"/>
      <c r="I8362" s="42">
        <f>IF(AND(ISNUMBER(D8362),ISNUMBER(H8362)),D8362*H8362*Inputs!$C$69,"")</f>
      </c>
      <c r="J8362" s="42">
        <f>IF(AND(ISNUMBER(F8362),ISNUMBER(H8362),F8362&gt;=Inputs!$C$68),F8362*H8362*Inputs!$C$69,"")</f>
      </c>
    </row>
    <row r="8363" spans="2:10" ht="15" customHeight="1" x14ac:dyDescent="0.2">
      <c r="B8363" s="39">
        <f t="shared" si="64"/>
      </c>
      <c r="C8363" s="40">
        <f>IF(Inputs!$C$60,Inputs!$C$11+(B8363-Inputs!$C$69)/Inputs!$C$70,"")</f>
      </c>
      <c r="D8363" s="15"/>
      <c r="E8363" s="15"/>
      <c r="F8363" s="11">
        <f t="shared" si="65"/>
      </c>
      <c r="G8363" s="22" cm="1">
        <f t="array" ref="G8363">IF(AND(Inputs!$C$60,Inputs!$C$61),INDEX(Utility_Rates!$C$29:$F$52,HOUR(C8363)+Inputs!$C$69,MATCH(INDEX(Utility_Rates!$K$6:$K$17,MONTH(C8363))&amp;IF(WEEKDAY(C8363,Inputs!$C$76)&lt;=Inputs!$C$74," weekday"," weekend"),Utility_Rates!$C$28:$F$28,Inputs!$C$68)),"")</f>
      </c>
      <c r="H8363" s="34"/>
      <c r="I8363" s="42">
        <f>IF(AND(ISNUMBER(D8363),ISNUMBER(H8363)),D8363*H8363*Inputs!$C$69,"")</f>
      </c>
      <c r="J8363" s="42">
        <f>IF(AND(ISNUMBER(F8363),ISNUMBER(H8363),F8363&gt;=Inputs!$C$68),F8363*H8363*Inputs!$C$69,"")</f>
      </c>
    </row>
    <row r="8364" spans="2:10" ht="15" customHeight="1" x14ac:dyDescent="0.2">
      <c r="B8364" s="39">
        <f t="shared" si="64"/>
      </c>
      <c r="C8364" s="40">
        <f>IF(Inputs!$C$60,Inputs!$C$11+(B8364-Inputs!$C$69)/Inputs!$C$70,"")</f>
      </c>
      <c r="D8364" s="15"/>
      <c r="E8364" s="15"/>
      <c r="F8364" s="11">
        <f t="shared" si="65"/>
      </c>
      <c r="G8364" s="22" cm="1">
        <f t="array" ref="G8364">IF(AND(Inputs!$C$60,Inputs!$C$61),INDEX(Utility_Rates!$C$29:$F$52,HOUR(C8364)+Inputs!$C$69,MATCH(INDEX(Utility_Rates!$K$6:$K$17,MONTH(C8364))&amp;IF(WEEKDAY(C8364,Inputs!$C$76)&lt;=Inputs!$C$74," weekday"," weekend"),Utility_Rates!$C$28:$F$28,Inputs!$C$68)),"")</f>
      </c>
      <c r="H8364" s="34"/>
      <c r="I8364" s="42">
        <f>IF(AND(ISNUMBER(D8364),ISNUMBER(H8364)),D8364*H8364*Inputs!$C$69,"")</f>
      </c>
      <c r="J8364" s="42">
        <f>IF(AND(ISNUMBER(F8364),ISNUMBER(H8364),F8364&gt;=Inputs!$C$68),F8364*H8364*Inputs!$C$69,"")</f>
      </c>
    </row>
    <row r="8365" spans="2:10" ht="15" customHeight="1" x14ac:dyDescent="0.2">
      <c r="B8365" s="39">
        <f t="shared" si="64"/>
      </c>
      <c r="C8365" s="40">
        <f>IF(Inputs!$C$60,Inputs!$C$11+(B8365-Inputs!$C$69)/Inputs!$C$70,"")</f>
      </c>
      <c r="D8365" s="15"/>
      <c r="E8365" s="15"/>
      <c r="F8365" s="11">
        <f t="shared" si="65"/>
      </c>
      <c r="G8365" s="22" cm="1">
        <f t="array" ref="G8365">IF(AND(Inputs!$C$60,Inputs!$C$61),INDEX(Utility_Rates!$C$29:$F$52,HOUR(C8365)+Inputs!$C$69,MATCH(INDEX(Utility_Rates!$K$6:$K$17,MONTH(C8365))&amp;IF(WEEKDAY(C8365,Inputs!$C$76)&lt;=Inputs!$C$74," weekday"," weekend"),Utility_Rates!$C$28:$F$28,Inputs!$C$68)),"")</f>
      </c>
      <c r="H8365" s="34"/>
      <c r="I8365" s="42">
        <f>IF(AND(ISNUMBER(D8365),ISNUMBER(H8365)),D8365*H8365*Inputs!$C$69,"")</f>
      </c>
      <c r="J8365" s="42">
        <f>IF(AND(ISNUMBER(F8365),ISNUMBER(H8365),F8365&gt;=Inputs!$C$68),F8365*H8365*Inputs!$C$69,"")</f>
      </c>
    </row>
    <row r="8366" spans="2:10" ht="15" customHeight="1" x14ac:dyDescent="0.2">
      <c r="B8366" s="39">
        <f t="shared" si="64"/>
      </c>
      <c r="C8366" s="40">
        <f>IF(Inputs!$C$60,Inputs!$C$11+(B8366-Inputs!$C$69)/Inputs!$C$70,"")</f>
      </c>
      <c r="D8366" s="15"/>
      <c r="E8366" s="15"/>
      <c r="F8366" s="11">
        <f t="shared" si="65"/>
      </c>
      <c r="G8366" s="22" cm="1">
        <f t="array" ref="G8366">IF(AND(Inputs!$C$60,Inputs!$C$61),INDEX(Utility_Rates!$C$29:$F$52,HOUR(C8366)+Inputs!$C$69,MATCH(INDEX(Utility_Rates!$K$6:$K$17,MONTH(C8366))&amp;IF(WEEKDAY(C8366,Inputs!$C$76)&lt;=Inputs!$C$74," weekday"," weekend"),Utility_Rates!$C$28:$F$28,Inputs!$C$68)),"")</f>
      </c>
      <c r="H8366" s="34"/>
      <c r="I8366" s="42">
        <f>IF(AND(ISNUMBER(D8366),ISNUMBER(H8366)),D8366*H8366*Inputs!$C$69,"")</f>
      </c>
      <c r="J8366" s="42">
        <f>IF(AND(ISNUMBER(F8366),ISNUMBER(H8366),F8366&gt;=Inputs!$C$68),F8366*H8366*Inputs!$C$69,"")</f>
      </c>
    </row>
    <row r="8367" spans="2:10" ht="15" customHeight="1" x14ac:dyDescent="0.2">
      <c r="B8367" s="39">
        <f t="shared" si="64"/>
      </c>
      <c r="C8367" s="40">
        <f>IF(Inputs!$C$60,Inputs!$C$11+(B8367-Inputs!$C$69)/Inputs!$C$70,"")</f>
      </c>
      <c r="D8367" s="15"/>
      <c r="E8367" s="15"/>
      <c r="F8367" s="11">
        <f t="shared" si="65"/>
      </c>
      <c r="G8367" s="22" cm="1">
        <f t="array" ref="G8367">IF(AND(Inputs!$C$60,Inputs!$C$61),INDEX(Utility_Rates!$C$29:$F$52,HOUR(C8367)+Inputs!$C$69,MATCH(INDEX(Utility_Rates!$K$6:$K$17,MONTH(C8367))&amp;IF(WEEKDAY(C8367,Inputs!$C$76)&lt;=Inputs!$C$74," weekday"," weekend"),Utility_Rates!$C$28:$F$28,Inputs!$C$68)),"")</f>
      </c>
      <c r="H8367" s="34"/>
      <c r="I8367" s="42">
        <f>IF(AND(ISNUMBER(D8367),ISNUMBER(H8367)),D8367*H8367*Inputs!$C$69,"")</f>
      </c>
      <c r="J8367" s="42">
        <f>IF(AND(ISNUMBER(F8367),ISNUMBER(H8367),F8367&gt;=Inputs!$C$68),F8367*H8367*Inputs!$C$69,"")</f>
      </c>
    </row>
    <row r="8368" spans="2:10" ht="15" customHeight="1" x14ac:dyDescent="0.2">
      <c r="B8368" s="39">
        <f t="shared" si="64"/>
      </c>
      <c r="C8368" s="40">
        <f>IF(Inputs!$C$60,Inputs!$C$11+(B8368-Inputs!$C$69)/Inputs!$C$70,"")</f>
      </c>
      <c r="D8368" s="15"/>
      <c r="E8368" s="15"/>
      <c r="F8368" s="11">
        <f t="shared" si="65"/>
      </c>
      <c r="G8368" s="22" cm="1">
        <f t="array" ref="G8368">IF(AND(Inputs!$C$60,Inputs!$C$61),INDEX(Utility_Rates!$C$29:$F$52,HOUR(C8368)+Inputs!$C$69,MATCH(INDEX(Utility_Rates!$K$6:$K$17,MONTH(C8368))&amp;IF(WEEKDAY(C8368,Inputs!$C$76)&lt;=Inputs!$C$74," weekday"," weekend"),Utility_Rates!$C$28:$F$28,Inputs!$C$68)),"")</f>
      </c>
      <c r="H8368" s="34"/>
      <c r="I8368" s="42">
        <f>IF(AND(ISNUMBER(D8368),ISNUMBER(H8368)),D8368*H8368*Inputs!$C$69,"")</f>
      </c>
      <c r="J8368" s="42">
        <f>IF(AND(ISNUMBER(F8368),ISNUMBER(H8368),F8368&gt;=Inputs!$C$68),F8368*H8368*Inputs!$C$69,"")</f>
      </c>
    </row>
    <row r="8369" spans="2:10" ht="15" customHeight="1" x14ac:dyDescent="0.2">
      <c r="B8369" s="39">
        <f t="shared" si="64"/>
      </c>
      <c r="C8369" s="40">
        <f>IF(Inputs!$C$60,Inputs!$C$11+(B8369-Inputs!$C$69)/Inputs!$C$70,"")</f>
      </c>
      <c r="D8369" s="15"/>
      <c r="E8369" s="15"/>
      <c r="F8369" s="11">
        <f t="shared" si="65"/>
      </c>
      <c r="G8369" s="22" cm="1">
        <f t="array" ref="G8369">IF(AND(Inputs!$C$60,Inputs!$C$61),INDEX(Utility_Rates!$C$29:$F$52,HOUR(C8369)+Inputs!$C$69,MATCH(INDEX(Utility_Rates!$K$6:$K$17,MONTH(C8369))&amp;IF(WEEKDAY(C8369,Inputs!$C$76)&lt;=Inputs!$C$74," weekday"," weekend"),Utility_Rates!$C$28:$F$28,Inputs!$C$68)),"")</f>
      </c>
      <c r="H8369" s="34"/>
      <c r="I8369" s="42">
        <f>IF(AND(ISNUMBER(D8369),ISNUMBER(H8369)),D8369*H8369*Inputs!$C$69,"")</f>
      </c>
      <c r="J8369" s="42">
        <f>IF(AND(ISNUMBER(F8369),ISNUMBER(H8369),F8369&gt;=Inputs!$C$68),F8369*H8369*Inputs!$C$69,"")</f>
      </c>
    </row>
    <row r="8370" spans="2:10" ht="15" customHeight="1" x14ac:dyDescent="0.2">
      <c r="B8370" s="39">
        <f t="shared" si="64"/>
      </c>
      <c r="C8370" s="40">
        <f>IF(Inputs!$C$60,Inputs!$C$11+(B8370-Inputs!$C$69)/Inputs!$C$70,"")</f>
      </c>
      <c r="D8370" s="15"/>
      <c r="E8370" s="15"/>
      <c r="F8370" s="11">
        <f t="shared" si="65"/>
      </c>
      <c r="G8370" s="22" cm="1">
        <f t="array" ref="G8370">IF(AND(Inputs!$C$60,Inputs!$C$61),INDEX(Utility_Rates!$C$29:$F$52,HOUR(C8370)+Inputs!$C$69,MATCH(INDEX(Utility_Rates!$K$6:$K$17,MONTH(C8370))&amp;IF(WEEKDAY(C8370,Inputs!$C$76)&lt;=Inputs!$C$74," weekday"," weekend"),Utility_Rates!$C$28:$F$28,Inputs!$C$68)),"")</f>
      </c>
      <c r="H8370" s="34"/>
      <c r="I8370" s="42">
        <f>IF(AND(ISNUMBER(D8370),ISNUMBER(H8370)),D8370*H8370*Inputs!$C$69,"")</f>
      </c>
      <c r="J8370" s="42">
        <f>IF(AND(ISNUMBER(F8370),ISNUMBER(H8370),F8370&gt;=Inputs!$C$68),F8370*H8370*Inputs!$C$69,"")</f>
      </c>
    </row>
    <row r="8371" spans="2:10" ht="15" customHeight="1" x14ac:dyDescent="0.2">
      <c r="B8371" s="39">
        <f t="shared" si="64"/>
      </c>
      <c r="C8371" s="40">
        <f>IF(Inputs!$C$60,Inputs!$C$11+(B8371-Inputs!$C$69)/Inputs!$C$70,"")</f>
      </c>
      <c r="D8371" s="15"/>
      <c r="E8371" s="15"/>
      <c r="F8371" s="11">
        <f t="shared" si="65"/>
      </c>
      <c r="G8371" s="22" cm="1">
        <f t="array" ref="G8371">IF(AND(Inputs!$C$60,Inputs!$C$61),INDEX(Utility_Rates!$C$29:$F$52,HOUR(C8371)+Inputs!$C$69,MATCH(INDEX(Utility_Rates!$K$6:$K$17,MONTH(C8371))&amp;IF(WEEKDAY(C8371,Inputs!$C$76)&lt;=Inputs!$C$74," weekday"," weekend"),Utility_Rates!$C$28:$F$28,Inputs!$C$68)),"")</f>
      </c>
      <c r="H8371" s="34"/>
      <c r="I8371" s="42">
        <f>IF(AND(ISNUMBER(D8371),ISNUMBER(H8371)),D8371*H8371*Inputs!$C$69,"")</f>
      </c>
      <c r="J8371" s="42">
        <f>IF(AND(ISNUMBER(F8371),ISNUMBER(H8371),F8371&gt;=Inputs!$C$68),F8371*H8371*Inputs!$C$69,"")</f>
      </c>
    </row>
    <row r="8372" spans="2:10" ht="15" customHeight="1" x14ac:dyDescent="0.2">
      <c r="B8372" s="39">
        <f t="shared" si="64"/>
      </c>
      <c r="C8372" s="40">
        <f>IF(Inputs!$C$60,Inputs!$C$11+(B8372-Inputs!$C$69)/Inputs!$C$70,"")</f>
      </c>
      <c r="D8372" s="15"/>
      <c r="E8372" s="15"/>
      <c r="F8372" s="11">
        <f t="shared" si="65"/>
      </c>
      <c r="G8372" s="22" cm="1">
        <f t="array" ref="G8372">IF(AND(Inputs!$C$60,Inputs!$C$61),INDEX(Utility_Rates!$C$29:$F$52,HOUR(C8372)+Inputs!$C$69,MATCH(INDEX(Utility_Rates!$K$6:$K$17,MONTH(C8372))&amp;IF(WEEKDAY(C8372,Inputs!$C$76)&lt;=Inputs!$C$74," weekday"," weekend"),Utility_Rates!$C$28:$F$28,Inputs!$C$68)),"")</f>
      </c>
      <c r="H8372" s="34"/>
      <c r="I8372" s="42">
        <f>IF(AND(ISNUMBER(D8372),ISNUMBER(H8372)),D8372*H8372*Inputs!$C$69,"")</f>
      </c>
      <c r="J8372" s="42">
        <f>IF(AND(ISNUMBER(F8372),ISNUMBER(H8372),F8372&gt;=Inputs!$C$68),F8372*H8372*Inputs!$C$69,"")</f>
      </c>
    </row>
    <row r="8373" spans="2:10" ht="15" customHeight="1" x14ac:dyDescent="0.2">
      <c r="B8373" s="39">
        <f t="shared" si="64"/>
      </c>
      <c r="C8373" s="40">
        <f>IF(Inputs!$C$60,Inputs!$C$11+(B8373-Inputs!$C$69)/Inputs!$C$70,"")</f>
      </c>
      <c r="D8373" s="15"/>
      <c r="E8373" s="15"/>
      <c r="F8373" s="11">
        <f t="shared" si="65"/>
      </c>
      <c r="G8373" s="22" cm="1">
        <f t="array" ref="G8373">IF(AND(Inputs!$C$60,Inputs!$C$61),INDEX(Utility_Rates!$C$29:$F$52,HOUR(C8373)+Inputs!$C$69,MATCH(INDEX(Utility_Rates!$K$6:$K$17,MONTH(C8373))&amp;IF(WEEKDAY(C8373,Inputs!$C$76)&lt;=Inputs!$C$74," weekday"," weekend"),Utility_Rates!$C$28:$F$28,Inputs!$C$68)),"")</f>
      </c>
      <c r="H8373" s="34"/>
      <c r="I8373" s="42">
        <f>IF(AND(ISNUMBER(D8373),ISNUMBER(H8373)),D8373*H8373*Inputs!$C$69,"")</f>
      </c>
      <c r="J8373" s="42">
        <f>IF(AND(ISNUMBER(F8373),ISNUMBER(H8373),F8373&gt;=Inputs!$C$68),F8373*H8373*Inputs!$C$69,"")</f>
      </c>
    </row>
    <row r="8374" spans="2:10" ht="15" customHeight="1" x14ac:dyDescent="0.2">
      <c r="B8374" s="39">
        <f t="shared" si="64"/>
      </c>
      <c r="C8374" s="40">
        <f>IF(Inputs!$C$60,Inputs!$C$11+(B8374-Inputs!$C$69)/Inputs!$C$70,"")</f>
      </c>
      <c r="D8374" s="15"/>
      <c r="E8374" s="15"/>
      <c r="F8374" s="11">
        <f t="shared" si="65"/>
      </c>
      <c r="G8374" s="22" cm="1">
        <f t="array" ref="G8374">IF(AND(Inputs!$C$60,Inputs!$C$61),INDEX(Utility_Rates!$C$29:$F$52,HOUR(C8374)+Inputs!$C$69,MATCH(INDEX(Utility_Rates!$K$6:$K$17,MONTH(C8374))&amp;IF(WEEKDAY(C8374,Inputs!$C$76)&lt;=Inputs!$C$74," weekday"," weekend"),Utility_Rates!$C$28:$F$28,Inputs!$C$68)),"")</f>
      </c>
      <c r="H8374" s="34"/>
      <c r="I8374" s="42">
        <f>IF(AND(ISNUMBER(D8374),ISNUMBER(H8374)),D8374*H8374*Inputs!$C$69,"")</f>
      </c>
      <c r="J8374" s="42">
        <f>IF(AND(ISNUMBER(F8374),ISNUMBER(H8374),F8374&gt;=Inputs!$C$68),F8374*H8374*Inputs!$C$69,"")</f>
      </c>
    </row>
    <row r="8375" spans="2:10" ht="15" customHeight="1" x14ac:dyDescent="0.2">
      <c r="B8375" s="39">
        <f t="shared" si="64"/>
      </c>
      <c r="C8375" s="40">
        <f>IF(Inputs!$C$60,Inputs!$C$11+(B8375-Inputs!$C$69)/Inputs!$C$70,"")</f>
      </c>
      <c r="D8375" s="15"/>
      <c r="E8375" s="15"/>
      <c r="F8375" s="11">
        <f t="shared" si="65"/>
      </c>
      <c r="G8375" s="22" cm="1">
        <f t="array" ref="G8375">IF(AND(Inputs!$C$60,Inputs!$C$61),INDEX(Utility_Rates!$C$29:$F$52,HOUR(C8375)+Inputs!$C$69,MATCH(INDEX(Utility_Rates!$K$6:$K$17,MONTH(C8375))&amp;IF(WEEKDAY(C8375,Inputs!$C$76)&lt;=Inputs!$C$74," weekday"," weekend"),Utility_Rates!$C$28:$F$28,Inputs!$C$68)),"")</f>
      </c>
      <c r="H8375" s="34"/>
      <c r="I8375" s="42">
        <f>IF(AND(ISNUMBER(D8375),ISNUMBER(H8375)),D8375*H8375*Inputs!$C$69,"")</f>
      </c>
      <c r="J8375" s="42">
        <f>IF(AND(ISNUMBER(F8375),ISNUMBER(H8375),F8375&gt;=Inputs!$C$68),F8375*H8375*Inputs!$C$69,"")</f>
      </c>
    </row>
    <row r="8376" spans="2:10" ht="15" customHeight="1" x14ac:dyDescent="0.2">
      <c r="B8376" s="39">
        <f t="shared" si="64"/>
      </c>
      <c r="C8376" s="40">
        <f>IF(Inputs!$C$60,Inputs!$C$11+(B8376-Inputs!$C$69)/Inputs!$C$70,"")</f>
      </c>
      <c r="D8376" s="15"/>
      <c r="E8376" s="15"/>
      <c r="F8376" s="11">
        <f t="shared" si="65"/>
      </c>
      <c r="G8376" s="22" cm="1">
        <f t="array" ref="G8376">IF(AND(Inputs!$C$60,Inputs!$C$61),INDEX(Utility_Rates!$C$29:$F$52,HOUR(C8376)+Inputs!$C$69,MATCH(INDEX(Utility_Rates!$K$6:$K$17,MONTH(C8376))&amp;IF(WEEKDAY(C8376,Inputs!$C$76)&lt;=Inputs!$C$74," weekday"," weekend"),Utility_Rates!$C$28:$F$28,Inputs!$C$68)),"")</f>
      </c>
      <c r="H8376" s="34"/>
      <c r="I8376" s="42">
        <f>IF(AND(ISNUMBER(D8376),ISNUMBER(H8376)),D8376*H8376*Inputs!$C$69,"")</f>
      </c>
      <c r="J8376" s="42">
        <f>IF(AND(ISNUMBER(F8376),ISNUMBER(H8376),F8376&gt;=Inputs!$C$68),F8376*H8376*Inputs!$C$69,"")</f>
      </c>
    </row>
    <row r="8377" spans="2:10" ht="15" customHeight="1" x14ac:dyDescent="0.2">
      <c r="B8377" s="39">
        <f t="shared" si="64"/>
      </c>
      <c r="C8377" s="40">
        <f>IF(Inputs!$C$60,Inputs!$C$11+(B8377-Inputs!$C$69)/Inputs!$C$70,"")</f>
      </c>
      <c r="D8377" s="15"/>
      <c r="E8377" s="15"/>
      <c r="F8377" s="11">
        <f t="shared" si="65"/>
      </c>
      <c r="G8377" s="22" cm="1">
        <f t="array" ref="G8377">IF(AND(Inputs!$C$60,Inputs!$C$61),INDEX(Utility_Rates!$C$29:$F$52,HOUR(C8377)+Inputs!$C$69,MATCH(INDEX(Utility_Rates!$K$6:$K$17,MONTH(C8377))&amp;IF(WEEKDAY(C8377,Inputs!$C$76)&lt;=Inputs!$C$74," weekday"," weekend"),Utility_Rates!$C$28:$F$28,Inputs!$C$68)),"")</f>
      </c>
      <c r="H8377" s="34"/>
      <c r="I8377" s="42">
        <f>IF(AND(ISNUMBER(D8377),ISNUMBER(H8377)),D8377*H8377*Inputs!$C$69,"")</f>
      </c>
      <c r="J8377" s="42">
        <f>IF(AND(ISNUMBER(F8377),ISNUMBER(H8377),F8377&gt;=Inputs!$C$68),F8377*H8377*Inputs!$C$69,"")</f>
      </c>
    </row>
    <row r="8378" spans="2:10" ht="15" customHeight="1" x14ac:dyDescent="0.2">
      <c r="B8378" s="39">
        <f t="shared" si="64"/>
      </c>
      <c r="C8378" s="40">
        <f>IF(Inputs!$C$60,Inputs!$C$11+(B8378-Inputs!$C$69)/Inputs!$C$70,"")</f>
      </c>
      <c r="D8378" s="15"/>
      <c r="E8378" s="15"/>
      <c r="F8378" s="11">
        <f t="shared" si="65"/>
      </c>
      <c r="G8378" s="22" cm="1">
        <f t="array" ref="G8378">IF(AND(Inputs!$C$60,Inputs!$C$61),INDEX(Utility_Rates!$C$29:$F$52,HOUR(C8378)+Inputs!$C$69,MATCH(INDEX(Utility_Rates!$K$6:$K$17,MONTH(C8378))&amp;IF(WEEKDAY(C8378,Inputs!$C$76)&lt;=Inputs!$C$74," weekday"," weekend"),Utility_Rates!$C$28:$F$28,Inputs!$C$68)),"")</f>
      </c>
      <c r="H8378" s="34"/>
      <c r="I8378" s="42">
        <f>IF(AND(ISNUMBER(D8378),ISNUMBER(H8378)),D8378*H8378*Inputs!$C$69,"")</f>
      </c>
      <c r="J8378" s="42">
        <f>IF(AND(ISNUMBER(F8378),ISNUMBER(H8378),F8378&gt;=Inputs!$C$68),F8378*H8378*Inputs!$C$69,"")</f>
      </c>
    </row>
    <row r="8379" spans="2:10" ht="15" customHeight="1" x14ac:dyDescent="0.2">
      <c r="B8379" s="39">
        <f t="shared" si="64"/>
      </c>
      <c r="C8379" s="40">
        <f>IF(Inputs!$C$60,Inputs!$C$11+(B8379-Inputs!$C$69)/Inputs!$C$70,"")</f>
      </c>
      <c r="D8379" s="15"/>
      <c r="E8379" s="15"/>
      <c r="F8379" s="11">
        <f t="shared" si="65"/>
      </c>
      <c r="G8379" s="22" cm="1">
        <f t="array" ref="G8379">IF(AND(Inputs!$C$60,Inputs!$C$61),INDEX(Utility_Rates!$C$29:$F$52,HOUR(C8379)+Inputs!$C$69,MATCH(INDEX(Utility_Rates!$K$6:$K$17,MONTH(C8379))&amp;IF(WEEKDAY(C8379,Inputs!$C$76)&lt;=Inputs!$C$74," weekday"," weekend"),Utility_Rates!$C$28:$F$28,Inputs!$C$68)),"")</f>
      </c>
      <c r="H8379" s="34"/>
      <c r="I8379" s="42">
        <f>IF(AND(ISNUMBER(D8379),ISNUMBER(H8379)),D8379*H8379*Inputs!$C$69,"")</f>
      </c>
      <c r="J8379" s="42">
        <f>IF(AND(ISNUMBER(F8379),ISNUMBER(H8379),F8379&gt;=Inputs!$C$68),F8379*H8379*Inputs!$C$69,"")</f>
      </c>
    </row>
    <row r="8380" spans="2:10" ht="15" customHeight="1" x14ac:dyDescent="0.2">
      <c r="B8380" s="39">
        <f t="shared" si="64"/>
      </c>
      <c r="C8380" s="40">
        <f>IF(Inputs!$C$60,Inputs!$C$11+(B8380-Inputs!$C$69)/Inputs!$C$70,"")</f>
      </c>
      <c r="D8380" s="15"/>
      <c r="E8380" s="15"/>
      <c r="F8380" s="11">
        <f t="shared" si="65"/>
      </c>
      <c r="G8380" s="22" cm="1">
        <f t="array" ref="G8380">IF(AND(Inputs!$C$60,Inputs!$C$61),INDEX(Utility_Rates!$C$29:$F$52,HOUR(C8380)+Inputs!$C$69,MATCH(INDEX(Utility_Rates!$K$6:$K$17,MONTH(C8380))&amp;IF(WEEKDAY(C8380,Inputs!$C$76)&lt;=Inputs!$C$74," weekday"," weekend"),Utility_Rates!$C$28:$F$28,Inputs!$C$68)),"")</f>
      </c>
      <c r="H8380" s="34"/>
      <c r="I8380" s="42">
        <f>IF(AND(ISNUMBER(D8380),ISNUMBER(H8380)),D8380*H8380*Inputs!$C$69,"")</f>
      </c>
      <c r="J8380" s="42">
        <f>IF(AND(ISNUMBER(F8380),ISNUMBER(H8380),F8380&gt;=Inputs!$C$68),F8380*H8380*Inputs!$C$69,"")</f>
      </c>
    </row>
    <row r="8381" spans="2:10" ht="15" customHeight="1" x14ac:dyDescent="0.2">
      <c r="B8381" s="39">
        <f t="shared" si="64"/>
      </c>
      <c r="C8381" s="40">
        <f>IF(Inputs!$C$60,Inputs!$C$11+(B8381-Inputs!$C$69)/Inputs!$C$70,"")</f>
      </c>
      <c r="D8381" s="15"/>
      <c r="E8381" s="15"/>
      <c r="F8381" s="11">
        <f t="shared" si="65"/>
      </c>
      <c r="G8381" s="22" cm="1">
        <f t="array" ref="G8381">IF(AND(Inputs!$C$60,Inputs!$C$61),INDEX(Utility_Rates!$C$29:$F$52,HOUR(C8381)+Inputs!$C$69,MATCH(INDEX(Utility_Rates!$K$6:$K$17,MONTH(C8381))&amp;IF(WEEKDAY(C8381,Inputs!$C$76)&lt;=Inputs!$C$74," weekday"," weekend"),Utility_Rates!$C$28:$F$28,Inputs!$C$68)),"")</f>
      </c>
      <c r="H8381" s="34"/>
      <c r="I8381" s="42">
        <f>IF(AND(ISNUMBER(D8381),ISNUMBER(H8381)),D8381*H8381*Inputs!$C$69,"")</f>
      </c>
      <c r="J8381" s="42">
        <f>IF(AND(ISNUMBER(F8381),ISNUMBER(H8381),F8381&gt;=Inputs!$C$68),F8381*H8381*Inputs!$C$69,"")</f>
      </c>
    </row>
    <row r="8382" spans="2:10" ht="15" customHeight="1" x14ac:dyDescent="0.2">
      <c r="B8382" s="39">
        <f t="shared" si="64"/>
      </c>
      <c r="C8382" s="40">
        <f>IF(Inputs!$C$60,Inputs!$C$11+(B8382-Inputs!$C$69)/Inputs!$C$70,"")</f>
      </c>
      <c r="D8382" s="15"/>
      <c r="E8382" s="15"/>
      <c r="F8382" s="11">
        <f t="shared" si="65"/>
      </c>
      <c r="G8382" s="22" cm="1">
        <f t="array" ref="G8382">IF(AND(Inputs!$C$60,Inputs!$C$61),INDEX(Utility_Rates!$C$29:$F$52,HOUR(C8382)+Inputs!$C$69,MATCH(INDEX(Utility_Rates!$K$6:$K$17,MONTH(C8382))&amp;IF(WEEKDAY(C8382,Inputs!$C$76)&lt;=Inputs!$C$74," weekday"," weekend"),Utility_Rates!$C$28:$F$28,Inputs!$C$68)),"")</f>
      </c>
      <c r="H8382" s="34"/>
      <c r="I8382" s="42">
        <f>IF(AND(ISNUMBER(D8382),ISNUMBER(H8382)),D8382*H8382*Inputs!$C$69,"")</f>
      </c>
      <c r="J8382" s="42">
        <f>IF(AND(ISNUMBER(F8382),ISNUMBER(H8382),F8382&gt;=Inputs!$C$68),F8382*H8382*Inputs!$C$69,"")</f>
      </c>
    </row>
    <row r="8383" spans="2:10" ht="15" customHeight="1" x14ac:dyDescent="0.2">
      <c r="B8383" s="39">
        <f t="shared" si="64"/>
      </c>
      <c r="C8383" s="40">
        <f>IF(Inputs!$C$60,Inputs!$C$11+(B8383-Inputs!$C$69)/Inputs!$C$70,"")</f>
      </c>
      <c r="D8383" s="15"/>
      <c r="E8383" s="15"/>
      <c r="F8383" s="11">
        <f t="shared" si="65"/>
      </c>
      <c r="G8383" s="22" cm="1">
        <f t="array" ref="G8383">IF(AND(Inputs!$C$60,Inputs!$C$61),INDEX(Utility_Rates!$C$29:$F$52,HOUR(C8383)+Inputs!$C$69,MATCH(INDEX(Utility_Rates!$K$6:$K$17,MONTH(C8383))&amp;IF(WEEKDAY(C8383,Inputs!$C$76)&lt;=Inputs!$C$74," weekday"," weekend"),Utility_Rates!$C$28:$F$28,Inputs!$C$68)),"")</f>
      </c>
      <c r="H8383" s="34"/>
      <c r="I8383" s="42">
        <f>IF(AND(ISNUMBER(D8383),ISNUMBER(H8383)),D8383*H8383*Inputs!$C$69,"")</f>
      </c>
      <c r="J8383" s="42">
        <f>IF(AND(ISNUMBER(F8383),ISNUMBER(H8383),F8383&gt;=Inputs!$C$68),F8383*H8383*Inputs!$C$69,"")</f>
      </c>
    </row>
    <row r="8384" spans="2:10" ht="15" customHeight="1" x14ac:dyDescent="0.2">
      <c r="B8384" s="39">
        <f t="shared" si="64"/>
      </c>
      <c r="C8384" s="40">
        <f>IF(Inputs!$C$60,Inputs!$C$11+(B8384-Inputs!$C$69)/Inputs!$C$70,"")</f>
      </c>
      <c r="D8384" s="15"/>
      <c r="E8384" s="15"/>
      <c r="F8384" s="11">
        <f t="shared" si="65"/>
      </c>
      <c r="G8384" s="22" cm="1">
        <f t="array" ref="G8384">IF(AND(Inputs!$C$60,Inputs!$C$61),INDEX(Utility_Rates!$C$29:$F$52,HOUR(C8384)+Inputs!$C$69,MATCH(INDEX(Utility_Rates!$K$6:$K$17,MONTH(C8384))&amp;IF(WEEKDAY(C8384,Inputs!$C$76)&lt;=Inputs!$C$74," weekday"," weekend"),Utility_Rates!$C$28:$F$28,Inputs!$C$68)),"")</f>
      </c>
      <c r="H8384" s="34"/>
      <c r="I8384" s="42">
        <f>IF(AND(ISNUMBER(D8384),ISNUMBER(H8384)),D8384*H8384*Inputs!$C$69,"")</f>
      </c>
      <c r="J8384" s="42">
        <f>IF(AND(ISNUMBER(F8384),ISNUMBER(H8384),F8384&gt;=Inputs!$C$68),F8384*H8384*Inputs!$C$69,"")</f>
      </c>
    </row>
    <row r="8385" spans="2:10" ht="15" customHeight="1" x14ac:dyDescent="0.2">
      <c r="B8385" s="39">
        <f t="shared" si="64"/>
      </c>
      <c r="C8385" s="40">
        <f>IF(Inputs!$C$60,Inputs!$C$11+(B8385-Inputs!$C$69)/Inputs!$C$70,"")</f>
      </c>
      <c r="D8385" s="15"/>
      <c r="E8385" s="15"/>
      <c r="F8385" s="11">
        <f t="shared" si="65"/>
      </c>
      <c r="G8385" s="22" cm="1">
        <f t="array" ref="G8385">IF(AND(Inputs!$C$60,Inputs!$C$61),INDEX(Utility_Rates!$C$29:$F$52,HOUR(C8385)+Inputs!$C$69,MATCH(INDEX(Utility_Rates!$K$6:$K$17,MONTH(C8385))&amp;IF(WEEKDAY(C8385,Inputs!$C$76)&lt;=Inputs!$C$74," weekday"," weekend"),Utility_Rates!$C$28:$F$28,Inputs!$C$68)),"")</f>
      </c>
      <c r="H8385" s="34"/>
      <c r="I8385" s="42">
        <f>IF(AND(ISNUMBER(D8385),ISNUMBER(H8385)),D8385*H8385*Inputs!$C$69,"")</f>
      </c>
      <c r="J8385" s="42">
        <f>IF(AND(ISNUMBER(F8385),ISNUMBER(H8385),F8385&gt;=Inputs!$C$68),F8385*H8385*Inputs!$C$69,"")</f>
      </c>
    </row>
    <row r="8386" spans="2:10" ht="15" customHeight="1" x14ac:dyDescent="0.2">
      <c r="B8386" s="39">
        <f t="shared" si="64"/>
      </c>
      <c r="C8386" s="40">
        <f>IF(Inputs!$C$60,Inputs!$C$11+(B8386-Inputs!$C$69)/Inputs!$C$70,"")</f>
      </c>
      <c r="D8386" s="15"/>
      <c r="E8386" s="15"/>
      <c r="F8386" s="11">
        <f t="shared" si="65"/>
      </c>
      <c r="G8386" s="22" cm="1">
        <f t="array" ref="G8386">IF(AND(Inputs!$C$60,Inputs!$C$61),INDEX(Utility_Rates!$C$29:$F$52,HOUR(C8386)+Inputs!$C$69,MATCH(INDEX(Utility_Rates!$K$6:$K$17,MONTH(C8386))&amp;IF(WEEKDAY(C8386,Inputs!$C$76)&lt;=Inputs!$C$74," weekday"," weekend"),Utility_Rates!$C$28:$F$28,Inputs!$C$68)),"")</f>
      </c>
      <c r="H8386" s="34"/>
      <c r="I8386" s="42">
        <f>IF(AND(ISNUMBER(D8386),ISNUMBER(H8386)),D8386*H8386*Inputs!$C$69,"")</f>
      </c>
      <c r="J8386" s="42">
        <f>IF(AND(ISNUMBER(F8386),ISNUMBER(H8386),F8386&gt;=Inputs!$C$68),F8386*H8386*Inputs!$C$69,"")</f>
      </c>
    </row>
    <row r="8387" spans="2:10" ht="15" customHeight="1" x14ac:dyDescent="0.2">
      <c r="B8387" s="39">
        <f t="shared" si="64"/>
      </c>
      <c r="C8387" s="40">
        <f>IF(Inputs!$C$60,Inputs!$C$11+(B8387-Inputs!$C$69)/Inputs!$C$70,"")</f>
      </c>
      <c r="D8387" s="15"/>
      <c r="E8387" s="15"/>
      <c r="F8387" s="11">
        <f t="shared" si="65"/>
      </c>
      <c r="G8387" s="22" cm="1">
        <f t="array" ref="G8387">IF(AND(Inputs!$C$60,Inputs!$C$61),INDEX(Utility_Rates!$C$29:$F$52,HOUR(C8387)+Inputs!$C$69,MATCH(INDEX(Utility_Rates!$K$6:$K$17,MONTH(C8387))&amp;IF(WEEKDAY(C8387,Inputs!$C$76)&lt;=Inputs!$C$74," weekday"," weekend"),Utility_Rates!$C$28:$F$28,Inputs!$C$68)),"")</f>
      </c>
      <c r="H8387" s="34"/>
      <c r="I8387" s="42">
        <f>IF(AND(ISNUMBER(D8387),ISNUMBER(H8387)),D8387*H8387*Inputs!$C$69,"")</f>
      </c>
      <c r="J8387" s="42">
        <f>IF(AND(ISNUMBER(F8387),ISNUMBER(H8387),F8387&gt;=Inputs!$C$68),F8387*H8387*Inputs!$C$69,"")</f>
      </c>
    </row>
    <row r="8388" spans="2:10" ht="15" customHeight="1" x14ac:dyDescent="0.2">
      <c r="B8388" s="39">
        <f t="shared" si="64"/>
      </c>
      <c r="C8388" s="40">
        <f>IF(Inputs!$C$60,Inputs!$C$11+(B8388-Inputs!$C$69)/Inputs!$C$70,"")</f>
      </c>
      <c r="D8388" s="15"/>
      <c r="E8388" s="15"/>
      <c r="F8388" s="11">
        <f t="shared" si="65"/>
      </c>
      <c r="G8388" s="22" cm="1">
        <f t="array" ref="G8388">IF(AND(Inputs!$C$60,Inputs!$C$61),INDEX(Utility_Rates!$C$29:$F$52,HOUR(C8388)+Inputs!$C$69,MATCH(INDEX(Utility_Rates!$K$6:$K$17,MONTH(C8388))&amp;IF(WEEKDAY(C8388,Inputs!$C$76)&lt;=Inputs!$C$74," weekday"," weekend"),Utility_Rates!$C$28:$F$28,Inputs!$C$68)),"")</f>
      </c>
      <c r="H8388" s="34"/>
      <c r="I8388" s="42">
        <f>IF(AND(ISNUMBER(D8388),ISNUMBER(H8388)),D8388*H8388*Inputs!$C$69,"")</f>
      </c>
      <c r="J8388" s="42">
        <f>IF(AND(ISNUMBER(F8388),ISNUMBER(H8388),F8388&gt;=Inputs!$C$68),F8388*H8388*Inputs!$C$69,"")</f>
      </c>
    </row>
    <row r="8389" spans="2:10" ht="15" customHeight="1" x14ac:dyDescent="0.2">
      <c r="B8389" s="39">
        <f t="shared" si="64"/>
      </c>
      <c r="C8389" s="40">
        <f>IF(Inputs!$C$60,Inputs!$C$11+(B8389-Inputs!$C$69)/Inputs!$C$70,"")</f>
      </c>
      <c r="D8389" s="15"/>
      <c r="E8389" s="15"/>
      <c r="F8389" s="11">
        <f t="shared" si="65"/>
      </c>
      <c r="G8389" s="22" cm="1">
        <f t="array" ref="G8389">IF(AND(Inputs!$C$60,Inputs!$C$61),INDEX(Utility_Rates!$C$29:$F$52,HOUR(C8389)+Inputs!$C$69,MATCH(INDEX(Utility_Rates!$K$6:$K$17,MONTH(C8389))&amp;IF(WEEKDAY(C8389,Inputs!$C$76)&lt;=Inputs!$C$74," weekday"," weekend"),Utility_Rates!$C$28:$F$28,Inputs!$C$68)),"")</f>
      </c>
      <c r="H8389" s="34"/>
      <c r="I8389" s="42">
        <f>IF(AND(ISNUMBER(D8389),ISNUMBER(H8389)),D8389*H8389*Inputs!$C$69,"")</f>
      </c>
      <c r="J8389" s="42">
        <f>IF(AND(ISNUMBER(F8389),ISNUMBER(H8389),F8389&gt;=Inputs!$C$68),F8389*H8389*Inputs!$C$69,"")</f>
      </c>
    </row>
    <row r="8390" spans="2:10" ht="15" customHeight="1" x14ac:dyDescent="0.2">
      <c r="B8390" s="39">
        <f t="shared" si="64"/>
      </c>
      <c r="C8390" s="40">
        <f>IF(Inputs!$C$60,Inputs!$C$11+(B8390-Inputs!$C$69)/Inputs!$C$70,"")</f>
      </c>
      <c r="D8390" s="15"/>
      <c r="E8390" s="15"/>
      <c r="F8390" s="11">
        <f t="shared" si="65"/>
      </c>
      <c r="G8390" s="22" cm="1">
        <f t="array" ref="G8390">IF(AND(Inputs!$C$60,Inputs!$C$61),INDEX(Utility_Rates!$C$29:$F$52,HOUR(C8390)+Inputs!$C$69,MATCH(INDEX(Utility_Rates!$K$6:$K$17,MONTH(C8390))&amp;IF(WEEKDAY(C8390,Inputs!$C$76)&lt;=Inputs!$C$74," weekday"," weekend"),Utility_Rates!$C$28:$F$28,Inputs!$C$68)),"")</f>
      </c>
      <c r="H8390" s="34"/>
      <c r="I8390" s="42">
        <f>IF(AND(ISNUMBER(D8390),ISNUMBER(H8390)),D8390*H8390*Inputs!$C$69,"")</f>
      </c>
      <c r="J8390" s="42">
        <f>IF(AND(ISNUMBER(F8390),ISNUMBER(H8390),F8390&gt;=Inputs!$C$68),F8390*H8390*Inputs!$C$69,"")</f>
      </c>
    </row>
    <row r="8391" spans="2:10" ht="15" customHeight="1" x14ac:dyDescent="0.2">
      <c r="B8391" s="39">
        <f t="shared" si="64"/>
      </c>
      <c r="C8391" s="40">
        <f>IF(Inputs!$C$60,Inputs!$C$11+(B8391-Inputs!$C$69)/Inputs!$C$70,"")</f>
      </c>
      <c r="D8391" s="15"/>
      <c r="E8391" s="15"/>
      <c r="F8391" s="11">
        <f t="shared" si="65"/>
      </c>
      <c r="G8391" s="22" cm="1">
        <f t="array" ref="G8391">IF(AND(Inputs!$C$60,Inputs!$C$61),INDEX(Utility_Rates!$C$29:$F$52,HOUR(C8391)+Inputs!$C$69,MATCH(INDEX(Utility_Rates!$K$6:$K$17,MONTH(C8391))&amp;IF(WEEKDAY(C8391,Inputs!$C$76)&lt;=Inputs!$C$74," weekday"," weekend"),Utility_Rates!$C$28:$F$28,Inputs!$C$68)),"")</f>
      </c>
      <c r="H8391" s="34"/>
      <c r="I8391" s="42">
        <f>IF(AND(ISNUMBER(D8391),ISNUMBER(H8391)),D8391*H8391*Inputs!$C$69,"")</f>
      </c>
      <c r="J8391" s="42">
        <f>IF(AND(ISNUMBER(F8391),ISNUMBER(H8391),F8391&gt;=Inputs!$C$68),F8391*H8391*Inputs!$C$69,"")</f>
      </c>
    </row>
    <row r="8392" spans="2:10" ht="15" customHeight="1" x14ac:dyDescent="0.2">
      <c r="B8392" s="39">
        <f t="shared" si="64"/>
      </c>
      <c r="C8392" s="40">
        <f>IF(Inputs!$C$60,Inputs!$C$11+(B8392-Inputs!$C$69)/Inputs!$C$70,"")</f>
      </c>
      <c r="D8392" s="15"/>
      <c r="E8392" s="15"/>
      <c r="F8392" s="11">
        <f t="shared" si="65"/>
      </c>
      <c r="G8392" s="22" cm="1">
        <f t="array" ref="G8392">IF(AND(Inputs!$C$60,Inputs!$C$61),INDEX(Utility_Rates!$C$29:$F$52,HOUR(C8392)+Inputs!$C$69,MATCH(INDEX(Utility_Rates!$K$6:$K$17,MONTH(C8392))&amp;IF(WEEKDAY(C8392,Inputs!$C$76)&lt;=Inputs!$C$74," weekday"," weekend"),Utility_Rates!$C$28:$F$28,Inputs!$C$68)),"")</f>
      </c>
      <c r="H8392" s="34"/>
      <c r="I8392" s="42">
        <f>IF(AND(ISNUMBER(D8392),ISNUMBER(H8392)),D8392*H8392*Inputs!$C$69,"")</f>
      </c>
      <c r="J8392" s="42">
        <f>IF(AND(ISNUMBER(F8392),ISNUMBER(H8392),F8392&gt;=Inputs!$C$68),F8392*H8392*Inputs!$C$69,"")</f>
      </c>
    </row>
    <row r="8393" spans="2:10" ht="15" customHeight="1" x14ac:dyDescent="0.2">
      <c r="B8393" s="39">
        <f t="shared" si="64"/>
      </c>
      <c r="C8393" s="40">
        <f>IF(Inputs!$C$60,Inputs!$C$11+(B8393-Inputs!$C$69)/Inputs!$C$70,"")</f>
      </c>
      <c r="D8393" s="15"/>
      <c r="E8393" s="15"/>
      <c r="F8393" s="11">
        <f t="shared" si="65"/>
      </c>
      <c r="G8393" s="22" cm="1">
        <f t="array" ref="G8393">IF(AND(Inputs!$C$60,Inputs!$C$61),INDEX(Utility_Rates!$C$29:$F$52,HOUR(C8393)+Inputs!$C$69,MATCH(INDEX(Utility_Rates!$K$6:$K$17,MONTH(C8393))&amp;IF(WEEKDAY(C8393,Inputs!$C$76)&lt;=Inputs!$C$74," weekday"," weekend"),Utility_Rates!$C$28:$F$28,Inputs!$C$68)),"")</f>
      </c>
      <c r="H8393" s="34"/>
      <c r="I8393" s="42">
        <f>IF(AND(ISNUMBER(D8393),ISNUMBER(H8393)),D8393*H8393*Inputs!$C$69,"")</f>
      </c>
      <c r="J8393" s="42">
        <f>IF(AND(ISNUMBER(F8393),ISNUMBER(H8393),F8393&gt;=Inputs!$C$68),F8393*H8393*Inputs!$C$69,"")</f>
      </c>
    </row>
    <row r="8394" spans="2:10" ht="15" customHeight="1" x14ac:dyDescent="0.2">
      <c r="B8394" s="39">
        <f t="shared" si="64"/>
      </c>
      <c r="C8394" s="40">
        <f>IF(Inputs!$C$60,Inputs!$C$11+(B8394-Inputs!$C$69)/Inputs!$C$70,"")</f>
      </c>
      <c r="D8394" s="15"/>
      <c r="E8394" s="15"/>
      <c r="F8394" s="11">
        <f t="shared" si="65"/>
      </c>
      <c r="G8394" s="22" cm="1">
        <f t="array" ref="G8394">IF(AND(Inputs!$C$60,Inputs!$C$61),INDEX(Utility_Rates!$C$29:$F$52,HOUR(C8394)+Inputs!$C$69,MATCH(INDEX(Utility_Rates!$K$6:$K$17,MONTH(C8394))&amp;IF(WEEKDAY(C8394,Inputs!$C$76)&lt;=Inputs!$C$74," weekday"," weekend"),Utility_Rates!$C$28:$F$28,Inputs!$C$68)),"")</f>
      </c>
      <c r="H8394" s="34"/>
      <c r="I8394" s="42">
        <f>IF(AND(ISNUMBER(D8394),ISNUMBER(H8394)),D8394*H8394*Inputs!$C$69,"")</f>
      </c>
      <c r="J8394" s="42">
        <f>IF(AND(ISNUMBER(F8394),ISNUMBER(H8394),F8394&gt;=Inputs!$C$68),F8394*H8394*Inputs!$C$69,"")</f>
      </c>
    </row>
    <row r="8395" spans="2:10" ht="15" customHeight="1" x14ac:dyDescent="0.2">
      <c r="B8395" s="39">
        <f t="shared" si="64"/>
      </c>
      <c r="C8395" s="40">
        <f>IF(Inputs!$C$60,Inputs!$C$11+(B8395-Inputs!$C$69)/Inputs!$C$70,"")</f>
      </c>
      <c r="D8395" s="15"/>
      <c r="E8395" s="15"/>
      <c r="F8395" s="11">
        <f t="shared" si="65"/>
      </c>
      <c r="G8395" s="22" cm="1">
        <f t="array" ref="G8395">IF(AND(Inputs!$C$60,Inputs!$C$61),INDEX(Utility_Rates!$C$29:$F$52,HOUR(C8395)+Inputs!$C$69,MATCH(INDEX(Utility_Rates!$K$6:$K$17,MONTH(C8395))&amp;IF(WEEKDAY(C8395,Inputs!$C$76)&lt;=Inputs!$C$74," weekday"," weekend"),Utility_Rates!$C$28:$F$28,Inputs!$C$68)),"")</f>
      </c>
      <c r="H8395" s="34"/>
      <c r="I8395" s="42">
        <f>IF(AND(ISNUMBER(D8395),ISNUMBER(H8395)),D8395*H8395*Inputs!$C$69,"")</f>
      </c>
      <c r="J8395" s="42">
        <f>IF(AND(ISNUMBER(F8395),ISNUMBER(H8395),F8395&gt;=Inputs!$C$68),F8395*H8395*Inputs!$C$69,"")</f>
      </c>
    </row>
    <row r="8396" spans="2:10" ht="15" customHeight="1" x14ac:dyDescent="0.2">
      <c r="B8396" s="39">
        <f t="shared" si="64"/>
      </c>
      <c r="C8396" s="40">
        <f>IF(Inputs!$C$60,Inputs!$C$11+(B8396-Inputs!$C$69)/Inputs!$C$70,"")</f>
      </c>
      <c r="D8396" s="15"/>
      <c r="E8396" s="15"/>
      <c r="F8396" s="11">
        <f t="shared" si="65"/>
      </c>
      <c r="G8396" s="22" cm="1">
        <f t="array" ref="G8396">IF(AND(Inputs!$C$60,Inputs!$C$61),INDEX(Utility_Rates!$C$29:$F$52,HOUR(C8396)+Inputs!$C$69,MATCH(INDEX(Utility_Rates!$K$6:$K$17,MONTH(C8396))&amp;IF(WEEKDAY(C8396,Inputs!$C$76)&lt;=Inputs!$C$74," weekday"," weekend"),Utility_Rates!$C$28:$F$28,Inputs!$C$68)),"")</f>
      </c>
      <c r="H8396" s="34"/>
      <c r="I8396" s="42">
        <f>IF(AND(ISNUMBER(D8396),ISNUMBER(H8396)),D8396*H8396*Inputs!$C$69,"")</f>
      </c>
      <c r="J8396" s="42">
        <f>IF(AND(ISNUMBER(F8396),ISNUMBER(H8396),F8396&gt;=Inputs!$C$68),F8396*H8396*Inputs!$C$69,"")</f>
      </c>
    </row>
    <row r="8397" spans="2:10" ht="15" customHeight="1" x14ac:dyDescent="0.2">
      <c r="B8397" s="39">
        <f t="shared" si="64"/>
      </c>
      <c r="C8397" s="40">
        <f>IF(Inputs!$C$60,Inputs!$C$11+(B8397-Inputs!$C$69)/Inputs!$C$70,"")</f>
      </c>
      <c r="D8397" s="15"/>
      <c r="E8397" s="15"/>
      <c r="F8397" s="11">
        <f t="shared" si="65"/>
      </c>
      <c r="G8397" s="22" cm="1">
        <f t="array" ref="G8397">IF(AND(Inputs!$C$60,Inputs!$C$61),INDEX(Utility_Rates!$C$29:$F$52,HOUR(C8397)+Inputs!$C$69,MATCH(INDEX(Utility_Rates!$K$6:$K$17,MONTH(C8397))&amp;IF(WEEKDAY(C8397,Inputs!$C$76)&lt;=Inputs!$C$74," weekday"," weekend"),Utility_Rates!$C$28:$F$28,Inputs!$C$68)),"")</f>
      </c>
      <c r="H8397" s="34"/>
      <c r="I8397" s="42">
        <f>IF(AND(ISNUMBER(D8397),ISNUMBER(H8397)),D8397*H8397*Inputs!$C$69,"")</f>
      </c>
      <c r="J8397" s="42">
        <f>IF(AND(ISNUMBER(F8397),ISNUMBER(H8397),F8397&gt;=Inputs!$C$68),F8397*H8397*Inputs!$C$69,"")</f>
      </c>
    </row>
    <row r="8398" spans="2:10" ht="15" customHeight="1" x14ac:dyDescent="0.2">
      <c r="B8398" s="39">
        <f t="shared" si="64"/>
      </c>
      <c r="C8398" s="40">
        <f>IF(Inputs!$C$60,Inputs!$C$11+(B8398-Inputs!$C$69)/Inputs!$C$70,"")</f>
      </c>
      <c r="D8398" s="15"/>
      <c r="E8398" s="15"/>
      <c r="F8398" s="11">
        <f t="shared" si="65"/>
      </c>
      <c r="G8398" s="22" cm="1">
        <f t="array" ref="G8398">IF(AND(Inputs!$C$60,Inputs!$C$61),INDEX(Utility_Rates!$C$29:$F$52,HOUR(C8398)+Inputs!$C$69,MATCH(INDEX(Utility_Rates!$K$6:$K$17,MONTH(C8398))&amp;IF(WEEKDAY(C8398,Inputs!$C$76)&lt;=Inputs!$C$74," weekday"," weekend"),Utility_Rates!$C$28:$F$28,Inputs!$C$68)),"")</f>
      </c>
      <c r="H8398" s="34"/>
      <c r="I8398" s="42">
        <f>IF(AND(ISNUMBER(D8398),ISNUMBER(H8398)),D8398*H8398*Inputs!$C$69,"")</f>
      </c>
      <c r="J8398" s="42">
        <f>IF(AND(ISNUMBER(F8398),ISNUMBER(H8398),F8398&gt;=Inputs!$C$68),F8398*H8398*Inputs!$C$69,"")</f>
      </c>
    </row>
    <row r="8399" spans="2:10" ht="15" customHeight="1" x14ac:dyDescent="0.2">
      <c r="B8399" s="39">
        <f t="shared" si="64"/>
      </c>
      <c r="C8399" s="40">
        <f>IF(Inputs!$C$60,Inputs!$C$11+(B8399-Inputs!$C$69)/Inputs!$C$70,"")</f>
      </c>
      <c r="D8399" s="15"/>
      <c r="E8399" s="15"/>
      <c r="F8399" s="11">
        <f t="shared" si="65"/>
      </c>
      <c r="G8399" s="22" cm="1">
        <f t="array" ref="G8399">IF(AND(Inputs!$C$60,Inputs!$C$61),INDEX(Utility_Rates!$C$29:$F$52,HOUR(C8399)+Inputs!$C$69,MATCH(INDEX(Utility_Rates!$K$6:$K$17,MONTH(C8399))&amp;IF(WEEKDAY(C8399,Inputs!$C$76)&lt;=Inputs!$C$74," weekday"," weekend"),Utility_Rates!$C$28:$F$28,Inputs!$C$68)),"")</f>
      </c>
      <c r="H8399" s="34"/>
      <c r="I8399" s="42">
        <f>IF(AND(ISNUMBER(D8399),ISNUMBER(H8399)),D8399*H8399*Inputs!$C$69,"")</f>
      </c>
      <c r="J8399" s="42">
        <f>IF(AND(ISNUMBER(F8399),ISNUMBER(H8399),F8399&gt;=Inputs!$C$68),F8399*H8399*Inputs!$C$69,"")</f>
      </c>
    </row>
    <row r="8400" spans="2:10" ht="15" customHeight="1" x14ac:dyDescent="0.2">
      <c r="B8400" s="39">
        <f t="shared" si="64"/>
      </c>
      <c r="C8400" s="40">
        <f>IF(Inputs!$C$60,Inputs!$C$11+(B8400-Inputs!$C$69)/Inputs!$C$70,"")</f>
      </c>
      <c r="D8400" s="15"/>
      <c r="E8400" s="15"/>
      <c r="F8400" s="11">
        <f t="shared" si="65"/>
      </c>
      <c r="G8400" s="22" cm="1">
        <f t="array" ref="G8400">IF(AND(Inputs!$C$60,Inputs!$C$61),INDEX(Utility_Rates!$C$29:$F$52,HOUR(C8400)+Inputs!$C$69,MATCH(INDEX(Utility_Rates!$K$6:$K$17,MONTH(C8400))&amp;IF(WEEKDAY(C8400,Inputs!$C$76)&lt;=Inputs!$C$74," weekday"," weekend"),Utility_Rates!$C$28:$F$28,Inputs!$C$68)),"")</f>
      </c>
      <c r="H8400" s="34"/>
      <c r="I8400" s="42">
        <f>IF(AND(ISNUMBER(D8400),ISNUMBER(H8400)),D8400*H8400*Inputs!$C$69,"")</f>
      </c>
      <c r="J8400" s="42">
        <f>IF(AND(ISNUMBER(F8400),ISNUMBER(H8400),F8400&gt;=Inputs!$C$68),F8400*H8400*Inputs!$C$69,"")</f>
      </c>
    </row>
    <row r="8401" spans="2:10" ht="15" customHeight="1" x14ac:dyDescent="0.2">
      <c r="B8401" s="39">
        <f t="shared" si="64"/>
      </c>
      <c r="C8401" s="40">
        <f>IF(Inputs!$C$60,Inputs!$C$11+(B8401-Inputs!$C$69)/Inputs!$C$70,"")</f>
      </c>
      <c r="D8401" s="15"/>
      <c r="E8401" s="15"/>
      <c r="F8401" s="11">
        <f t="shared" si="65"/>
      </c>
      <c r="G8401" s="22" cm="1">
        <f t="array" ref="G8401">IF(AND(Inputs!$C$60,Inputs!$C$61),INDEX(Utility_Rates!$C$29:$F$52,HOUR(C8401)+Inputs!$C$69,MATCH(INDEX(Utility_Rates!$K$6:$K$17,MONTH(C8401))&amp;IF(WEEKDAY(C8401,Inputs!$C$76)&lt;=Inputs!$C$74," weekday"," weekend"),Utility_Rates!$C$28:$F$28,Inputs!$C$68)),"")</f>
      </c>
      <c r="H8401" s="34"/>
      <c r="I8401" s="42">
        <f>IF(AND(ISNUMBER(D8401),ISNUMBER(H8401)),D8401*H8401*Inputs!$C$69,"")</f>
      </c>
      <c r="J8401" s="42">
        <f>IF(AND(ISNUMBER(F8401),ISNUMBER(H8401),F8401&gt;=Inputs!$C$68),F8401*H8401*Inputs!$C$69,"")</f>
      </c>
    </row>
    <row r="8402" spans="2:10" ht="15" customHeight="1" x14ac:dyDescent="0.2">
      <c r="B8402" s="39">
        <f t="shared" si="64"/>
      </c>
      <c r="C8402" s="40">
        <f>IF(Inputs!$C$60,Inputs!$C$11+(B8402-Inputs!$C$69)/Inputs!$C$70,"")</f>
      </c>
      <c r="D8402" s="15"/>
      <c r="E8402" s="15"/>
      <c r="F8402" s="11">
        <f t="shared" si="65"/>
      </c>
      <c r="G8402" s="22" cm="1">
        <f t="array" ref="G8402">IF(AND(Inputs!$C$60,Inputs!$C$61),INDEX(Utility_Rates!$C$29:$F$52,HOUR(C8402)+Inputs!$C$69,MATCH(INDEX(Utility_Rates!$K$6:$K$17,MONTH(C8402))&amp;IF(WEEKDAY(C8402,Inputs!$C$76)&lt;=Inputs!$C$74," weekday"," weekend"),Utility_Rates!$C$28:$F$28,Inputs!$C$68)),"")</f>
      </c>
      <c r="H8402" s="34"/>
      <c r="I8402" s="42">
        <f>IF(AND(ISNUMBER(D8402),ISNUMBER(H8402)),D8402*H8402*Inputs!$C$69,"")</f>
      </c>
      <c r="J8402" s="42">
        <f>IF(AND(ISNUMBER(F8402),ISNUMBER(H8402),F8402&gt;=Inputs!$C$68),F8402*H8402*Inputs!$C$69,"")</f>
      </c>
    </row>
    <row r="8403" spans="2:10" ht="15" customHeight="1" x14ac:dyDescent="0.2">
      <c r="B8403" s="39">
        <f t="shared" si="64"/>
      </c>
      <c r="C8403" s="40">
        <f>IF(Inputs!$C$60,Inputs!$C$11+(B8403-Inputs!$C$69)/Inputs!$C$70,"")</f>
      </c>
      <c r="D8403" s="15"/>
      <c r="E8403" s="15"/>
      <c r="F8403" s="11">
        <f t="shared" si="65"/>
      </c>
      <c r="G8403" s="22" cm="1">
        <f t="array" ref="G8403">IF(AND(Inputs!$C$60,Inputs!$C$61),INDEX(Utility_Rates!$C$29:$F$52,HOUR(C8403)+Inputs!$C$69,MATCH(INDEX(Utility_Rates!$K$6:$K$17,MONTH(C8403))&amp;IF(WEEKDAY(C8403,Inputs!$C$76)&lt;=Inputs!$C$74," weekday"," weekend"),Utility_Rates!$C$28:$F$28,Inputs!$C$68)),"")</f>
      </c>
      <c r="H8403" s="34"/>
      <c r="I8403" s="42">
        <f>IF(AND(ISNUMBER(D8403),ISNUMBER(H8403)),D8403*H8403*Inputs!$C$69,"")</f>
      </c>
      <c r="J8403" s="42">
        <f>IF(AND(ISNUMBER(F8403),ISNUMBER(H8403),F8403&gt;=Inputs!$C$68),F8403*H8403*Inputs!$C$69,"")</f>
      </c>
    </row>
    <row r="8404" spans="2:10" ht="15" customHeight="1" x14ac:dyDescent="0.2">
      <c r="B8404" s="39">
        <f t="shared" si="64"/>
      </c>
      <c r="C8404" s="40">
        <f>IF(Inputs!$C$60,Inputs!$C$11+(B8404-Inputs!$C$69)/Inputs!$C$70,"")</f>
      </c>
      <c r="D8404" s="15"/>
      <c r="E8404" s="15"/>
      <c r="F8404" s="11">
        <f t="shared" si="65"/>
      </c>
      <c r="G8404" s="22" cm="1">
        <f t="array" ref="G8404">IF(AND(Inputs!$C$60,Inputs!$C$61),INDEX(Utility_Rates!$C$29:$F$52,HOUR(C8404)+Inputs!$C$69,MATCH(INDEX(Utility_Rates!$K$6:$K$17,MONTH(C8404))&amp;IF(WEEKDAY(C8404,Inputs!$C$76)&lt;=Inputs!$C$74," weekday"," weekend"),Utility_Rates!$C$28:$F$28,Inputs!$C$68)),"")</f>
      </c>
      <c r="H8404" s="34"/>
      <c r="I8404" s="42">
        <f>IF(AND(ISNUMBER(D8404),ISNUMBER(H8404)),D8404*H8404*Inputs!$C$69,"")</f>
      </c>
      <c r="J8404" s="42">
        <f>IF(AND(ISNUMBER(F8404),ISNUMBER(H8404),F8404&gt;=Inputs!$C$68),F8404*H8404*Inputs!$C$69,"")</f>
      </c>
    </row>
    <row r="8405" spans="2:10" ht="15" customHeight="1" x14ac:dyDescent="0.2">
      <c r="B8405" s="39">
        <f t="shared" si="64"/>
      </c>
      <c r="C8405" s="40">
        <f>IF(Inputs!$C$60,Inputs!$C$11+(B8405-Inputs!$C$69)/Inputs!$C$70,"")</f>
      </c>
      <c r="D8405" s="15"/>
      <c r="E8405" s="15"/>
      <c r="F8405" s="11">
        <f t="shared" si="65"/>
      </c>
      <c r="G8405" s="22" cm="1">
        <f t="array" ref="G8405">IF(AND(Inputs!$C$60,Inputs!$C$61),INDEX(Utility_Rates!$C$29:$F$52,HOUR(C8405)+Inputs!$C$69,MATCH(INDEX(Utility_Rates!$K$6:$K$17,MONTH(C8405))&amp;IF(WEEKDAY(C8405,Inputs!$C$76)&lt;=Inputs!$C$74," weekday"," weekend"),Utility_Rates!$C$28:$F$28,Inputs!$C$68)),"")</f>
      </c>
      <c r="H8405" s="34"/>
      <c r="I8405" s="42">
        <f>IF(AND(ISNUMBER(D8405),ISNUMBER(H8405)),D8405*H8405*Inputs!$C$69,"")</f>
      </c>
      <c r="J8405" s="42">
        <f>IF(AND(ISNUMBER(F8405),ISNUMBER(H8405),F8405&gt;=Inputs!$C$68),F8405*H8405*Inputs!$C$69,"")</f>
      </c>
    </row>
    <row r="8406" spans="2:10" ht="15" customHeight="1" x14ac:dyDescent="0.2">
      <c r="B8406" s="39">
        <f t="shared" si="64"/>
      </c>
      <c r="C8406" s="40">
        <f>IF(Inputs!$C$60,Inputs!$C$11+(B8406-Inputs!$C$69)/Inputs!$C$70,"")</f>
      </c>
      <c r="D8406" s="15"/>
      <c r="E8406" s="15"/>
      <c r="F8406" s="11">
        <f t="shared" si="65"/>
      </c>
      <c r="G8406" s="22" cm="1">
        <f t="array" ref="G8406">IF(AND(Inputs!$C$60,Inputs!$C$61),INDEX(Utility_Rates!$C$29:$F$52,HOUR(C8406)+Inputs!$C$69,MATCH(INDEX(Utility_Rates!$K$6:$K$17,MONTH(C8406))&amp;IF(WEEKDAY(C8406,Inputs!$C$76)&lt;=Inputs!$C$74," weekday"," weekend"),Utility_Rates!$C$28:$F$28,Inputs!$C$68)),"")</f>
      </c>
      <c r="H8406" s="34"/>
      <c r="I8406" s="42">
        <f>IF(AND(ISNUMBER(D8406),ISNUMBER(H8406)),D8406*H8406*Inputs!$C$69,"")</f>
      </c>
      <c r="J8406" s="42">
        <f>IF(AND(ISNUMBER(F8406),ISNUMBER(H8406),F8406&gt;=Inputs!$C$68),F8406*H8406*Inputs!$C$69,"")</f>
      </c>
    </row>
    <row r="8407" spans="2:10" ht="15" customHeight="1" x14ac:dyDescent="0.2">
      <c r="B8407" s="39">
        <f t="shared" si="64"/>
      </c>
      <c r="C8407" s="40">
        <f>IF(Inputs!$C$60,Inputs!$C$11+(B8407-Inputs!$C$69)/Inputs!$C$70,"")</f>
      </c>
      <c r="D8407" s="15"/>
      <c r="E8407" s="15"/>
      <c r="F8407" s="11">
        <f t="shared" si="65"/>
      </c>
      <c r="G8407" s="22" cm="1">
        <f t="array" ref="G8407">IF(AND(Inputs!$C$60,Inputs!$C$61),INDEX(Utility_Rates!$C$29:$F$52,HOUR(C8407)+Inputs!$C$69,MATCH(INDEX(Utility_Rates!$K$6:$K$17,MONTH(C8407))&amp;IF(WEEKDAY(C8407,Inputs!$C$76)&lt;=Inputs!$C$74," weekday"," weekend"),Utility_Rates!$C$28:$F$28,Inputs!$C$68)),"")</f>
      </c>
      <c r="H8407" s="34"/>
      <c r="I8407" s="42">
        <f>IF(AND(ISNUMBER(D8407),ISNUMBER(H8407)),D8407*H8407*Inputs!$C$69,"")</f>
      </c>
      <c r="J8407" s="42">
        <f>IF(AND(ISNUMBER(F8407),ISNUMBER(H8407),F8407&gt;=Inputs!$C$68),F8407*H8407*Inputs!$C$69,"")</f>
      </c>
    </row>
    <row r="8408" spans="2:10" ht="15" customHeight="1" x14ac:dyDescent="0.2">
      <c r="B8408" s="39">
        <f t="shared" si="64"/>
      </c>
      <c r="C8408" s="40">
        <f>IF(Inputs!$C$60,Inputs!$C$11+(B8408-Inputs!$C$69)/Inputs!$C$70,"")</f>
      </c>
      <c r="D8408" s="15"/>
      <c r="E8408" s="15"/>
      <c r="F8408" s="11">
        <f t="shared" si="65"/>
      </c>
      <c r="G8408" s="22" cm="1">
        <f t="array" ref="G8408">IF(AND(Inputs!$C$60,Inputs!$C$61),INDEX(Utility_Rates!$C$29:$F$52,HOUR(C8408)+Inputs!$C$69,MATCH(INDEX(Utility_Rates!$K$6:$K$17,MONTH(C8408))&amp;IF(WEEKDAY(C8408,Inputs!$C$76)&lt;=Inputs!$C$74," weekday"," weekend"),Utility_Rates!$C$28:$F$28,Inputs!$C$68)),"")</f>
      </c>
      <c r="H8408" s="34"/>
      <c r="I8408" s="42">
        <f>IF(AND(ISNUMBER(D8408),ISNUMBER(H8408)),D8408*H8408*Inputs!$C$69,"")</f>
      </c>
      <c r="J8408" s="42">
        <f>IF(AND(ISNUMBER(F8408),ISNUMBER(H8408),F8408&gt;=Inputs!$C$68),F8408*H8408*Inputs!$C$69,"")</f>
      </c>
    </row>
    <row r="8409" spans="2:10" ht="15" customHeight="1" x14ac:dyDescent="0.2">
      <c r="B8409" s="39">
        <f t="shared" si="64"/>
      </c>
      <c r="C8409" s="40">
        <f>IF(Inputs!$C$60,Inputs!$C$11+(B8409-Inputs!$C$69)/Inputs!$C$70,"")</f>
      </c>
      <c r="D8409" s="15"/>
      <c r="E8409" s="15"/>
      <c r="F8409" s="11">
        <f t="shared" si="65"/>
      </c>
      <c r="G8409" s="22" cm="1">
        <f t="array" ref="G8409">IF(AND(Inputs!$C$60,Inputs!$C$61),INDEX(Utility_Rates!$C$29:$F$52,HOUR(C8409)+Inputs!$C$69,MATCH(INDEX(Utility_Rates!$K$6:$K$17,MONTH(C8409))&amp;IF(WEEKDAY(C8409,Inputs!$C$76)&lt;=Inputs!$C$74," weekday"," weekend"),Utility_Rates!$C$28:$F$28,Inputs!$C$68)),"")</f>
      </c>
      <c r="H8409" s="34"/>
      <c r="I8409" s="42">
        <f>IF(AND(ISNUMBER(D8409),ISNUMBER(H8409)),D8409*H8409*Inputs!$C$69,"")</f>
      </c>
      <c r="J8409" s="42">
        <f>IF(AND(ISNUMBER(F8409),ISNUMBER(H8409),F8409&gt;=Inputs!$C$68),F8409*H8409*Inputs!$C$69,"")</f>
      </c>
    </row>
    <row r="8410" spans="2:10" ht="15" customHeight="1" x14ac:dyDescent="0.2">
      <c r="B8410" s="39">
        <f t="shared" si="64"/>
      </c>
      <c r="C8410" s="40">
        <f>IF(Inputs!$C$60,Inputs!$C$11+(B8410-Inputs!$C$69)/Inputs!$C$70,"")</f>
      </c>
      <c r="D8410" s="15"/>
      <c r="E8410" s="15"/>
      <c r="F8410" s="11">
        <f t="shared" si="65"/>
      </c>
      <c r="G8410" s="22" cm="1">
        <f t="array" ref="G8410">IF(AND(Inputs!$C$60,Inputs!$C$61),INDEX(Utility_Rates!$C$29:$F$52,HOUR(C8410)+Inputs!$C$69,MATCH(INDEX(Utility_Rates!$K$6:$K$17,MONTH(C8410))&amp;IF(WEEKDAY(C8410,Inputs!$C$76)&lt;=Inputs!$C$74," weekday"," weekend"),Utility_Rates!$C$28:$F$28,Inputs!$C$68)),"")</f>
      </c>
      <c r="H8410" s="34"/>
      <c r="I8410" s="42">
        <f>IF(AND(ISNUMBER(D8410),ISNUMBER(H8410)),D8410*H8410*Inputs!$C$69,"")</f>
      </c>
      <c r="J8410" s="42">
        <f>IF(AND(ISNUMBER(F8410),ISNUMBER(H8410),F8410&gt;=Inputs!$C$68),F8410*H8410*Inputs!$C$69,"")</f>
      </c>
    </row>
    <row r="8411" spans="2:10" ht="15" customHeight="1" x14ac:dyDescent="0.2">
      <c r="B8411" s="39">
        <f t="shared" si="64"/>
      </c>
      <c r="C8411" s="40">
        <f>IF(Inputs!$C$60,Inputs!$C$11+(B8411-Inputs!$C$69)/Inputs!$C$70,"")</f>
      </c>
      <c r="D8411" s="15"/>
      <c r="E8411" s="15"/>
      <c r="F8411" s="11">
        <f t="shared" si="65"/>
      </c>
      <c r="G8411" s="22" cm="1">
        <f t="array" ref="G8411">IF(AND(Inputs!$C$60,Inputs!$C$61),INDEX(Utility_Rates!$C$29:$F$52,HOUR(C8411)+Inputs!$C$69,MATCH(INDEX(Utility_Rates!$K$6:$K$17,MONTH(C8411))&amp;IF(WEEKDAY(C8411,Inputs!$C$76)&lt;=Inputs!$C$74," weekday"," weekend"),Utility_Rates!$C$28:$F$28,Inputs!$C$68)),"")</f>
      </c>
      <c r="H8411" s="34"/>
      <c r="I8411" s="42">
        <f>IF(AND(ISNUMBER(D8411),ISNUMBER(H8411)),D8411*H8411*Inputs!$C$69,"")</f>
      </c>
      <c r="J8411" s="42">
        <f>IF(AND(ISNUMBER(F8411),ISNUMBER(H8411),F8411&gt;=Inputs!$C$68),F8411*H8411*Inputs!$C$69,"")</f>
      </c>
    </row>
    <row r="8412" spans="2:10" ht="15" customHeight="1" x14ac:dyDescent="0.2">
      <c r="B8412" s="39">
        <f t="shared" si="64"/>
      </c>
      <c r="C8412" s="40">
        <f>IF(Inputs!$C$60,Inputs!$C$11+(B8412-Inputs!$C$69)/Inputs!$C$70,"")</f>
      </c>
      <c r="D8412" s="15"/>
      <c r="E8412" s="15"/>
      <c r="F8412" s="11">
        <f t="shared" si="65"/>
      </c>
      <c r="G8412" s="22" cm="1">
        <f t="array" ref="G8412">IF(AND(Inputs!$C$60,Inputs!$C$61),INDEX(Utility_Rates!$C$29:$F$52,HOUR(C8412)+Inputs!$C$69,MATCH(INDEX(Utility_Rates!$K$6:$K$17,MONTH(C8412))&amp;IF(WEEKDAY(C8412,Inputs!$C$76)&lt;=Inputs!$C$74," weekday"," weekend"),Utility_Rates!$C$28:$F$28,Inputs!$C$68)),"")</f>
      </c>
      <c r="H8412" s="34"/>
      <c r="I8412" s="42">
        <f>IF(AND(ISNUMBER(D8412),ISNUMBER(H8412)),D8412*H8412*Inputs!$C$69,"")</f>
      </c>
      <c r="J8412" s="42">
        <f>IF(AND(ISNUMBER(F8412),ISNUMBER(H8412),F8412&gt;=Inputs!$C$68),F8412*H8412*Inputs!$C$69,"")</f>
      </c>
    </row>
    <row r="8413" spans="2:10" ht="15" customHeight="1" x14ac:dyDescent="0.2">
      <c r="B8413" s="39">
        <f t="shared" si="64"/>
      </c>
      <c r="C8413" s="40">
        <f>IF(Inputs!$C$60,Inputs!$C$11+(B8413-Inputs!$C$69)/Inputs!$C$70,"")</f>
      </c>
      <c r="D8413" s="15"/>
      <c r="E8413" s="15"/>
      <c r="F8413" s="11">
        <f t="shared" si="65"/>
      </c>
      <c r="G8413" s="22" cm="1">
        <f t="array" ref="G8413">IF(AND(Inputs!$C$60,Inputs!$C$61),INDEX(Utility_Rates!$C$29:$F$52,HOUR(C8413)+Inputs!$C$69,MATCH(INDEX(Utility_Rates!$K$6:$K$17,MONTH(C8413))&amp;IF(WEEKDAY(C8413,Inputs!$C$76)&lt;=Inputs!$C$74," weekday"," weekend"),Utility_Rates!$C$28:$F$28,Inputs!$C$68)),"")</f>
      </c>
      <c r="H8413" s="34"/>
      <c r="I8413" s="42">
        <f>IF(AND(ISNUMBER(D8413),ISNUMBER(H8413)),D8413*H8413*Inputs!$C$69,"")</f>
      </c>
      <c r="J8413" s="42">
        <f>IF(AND(ISNUMBER(F8413),ISNUMBER(H8413),F8413&gt;=Inputs!$C$68),F8413*H8413*Inputs!$C$69,"")</f>
      </c>
    </row>
    <row r="8414" spans="2:10" ht="15" customHeight="1" x14ac:dyDescent="0.2">
      <c r="B8414" s="39">
        <f t="shared" si="64"/>
      </c>
      <c r="C8414" s="40">
        <f>IF(Inputs!$C$60,Inputs!$C$11+(B8414-Inputs!$C$69)/Inputs!$C$70,"")</f>
      </c>
      <c r="D8414" s="15"/>
      <c r="E8414" s="15"/>
      <c r="F8414" s="11">
        <f t="shared" si="65"/>
      </c>
      <c r="G8414" s="22" cm="1">
        <f t="array" ref="G8414">IF(AND(Inputs!$C$60,Inputs!$C$61),INDEX(Utility_Rates!$C$29:$F$52,HOUR(C8414)+Inputs!$C$69,MATCH(INDEX(Utility_Rates!$K$6:$K$17,MONTH(C8414))&amp;IF(WEEKDAY(C8414,Inputs!$C$76)&lt;=Inputs!$C$74," weekday"," weekend"),Utility_Rates!$C$28:$F$28,Inputs!$C$68)),"")</f>
      </c>
      <c r="H8414" s="34"/>
      <c r="I8414" s="42">
        <f>IF(AND(ISNUMBER(D8414),ISNUMBER(H8414)),D8414*H8414*Inputs!$C$69,"")</f>
      </c>
      <c r="J8414" s="42">
        <f>IF(AND(ISNUMBER(F8414),ISNUMBER(H8414),F8414&gt;=Inputs!$C$68),F8414*H8414*Inputs!$C$69,"")</f>
      </c>
    </row>
    <row r="8415" spans="2:10" ht="15" customHeight="1" x14ac:dyDescent="0.2">
      <c r="B8415" s="39">
        <f t="shared" si="64"/>
      </c>
      <c r="C8415" s="40">
        <f>IF(Inputs!$C$60,Inputs!$C$11+(B8415-Inputs!$C$69)/Inputs!$C$70,"")</f>
      </c>
      <c r="D8415" s="15"/>
      <c r="E8415" s="15"/>
      <c r="F8415" s="11">
        <f t="shared" si="65"/>
      </c>
      <c r="G8415" s="22" cm="1">
        <f t="array" ref="G8415">IF(AND(Inputs!$C$60,Inputs!$C$61),INDEX(Utility_Rates!$C$29:$F$52,HOUR(C8415)+Inputs!$C$69,MATCH(INDEX(Utility_Rates!$K$6:$K$17,MONTH(C8415))&amp;IF(WEEKDAY(C8415,Inputs!$C$76)&lt;=Inputs!$C$74," weekday"," weekend"),Utility_Rates!$C$28:$F$28,Inputs!$C$68)),"")</f>
      </c>
      <c r="H8415" s="34"/>
      <c r="I8415" s="42">
        <f>IF(AND(ISNUMBER(D8415),ISNUMBER(H8415)),D8415*H8415*Inputs!$C$69,"")</f>
      </c>
      <c r="J8415" s="42">
        <f>IF(AND(ISNUMBER(F8415),ISNUMBER(H8415),F8415&gt;=Inputs!$C$68),F8415*H8415*Inputs!$C$69,"")</f>
      </c>
    </row>
    <row r="8416" spans="2:10" ht="15" customHeight="1" x14ac:dyDescent="0.2">
      <c r="B8416" s="39">
        <f t="shared" si="64"/>
      </c>
      <c r="C8416" s="40">
        <f>IF(Inputs!$C$60,Inputs!$C$11+(B8416-Inputs!$C$69)/Inputs!$C$70,"")</f>
      </c>
      <c r="D8416" s="15"/>
      <c r="E8416" s="15"/>
      <c r="F8416" s="11">
        <f t="shared" si="65"/>
      </c>
      <c r="G8416" s="22" cm="1">
        <f t="array" ref="G8416">IF(AND(Inputs!$C$60,Inputs!$C$61),INDEX(Utility_Rates!$C$29:$F$52,HOUR(C8416)+Inputs!$C$69,MATCH(INDEX(Utility_Rates!$K$6:$K$17,MONTH(C8416))&amp;IF(WEEKDAY(C8416,Inputs!$C$76)&lt;=Inputs!$C$74," weekday"," weekend"),Utility_Rates!$C$28:$F$28,Inputs!$C$68)),"")</f>
      </c>
      <c r="H8416" s="34"/>
      <c r="I8416" s="42">
        <f>IF(AND(ISNUMBER(D8416),ISNUMBER(H8416)),D8416*H8416*Inputs!$C$69,"")</f>
      </c>
      <c r="J8416" s="42">
        <f>IF(AND(ISNUMBER(F8416),ISNUMBER(H8416),F8416&gt;=Inputs!$C$68),F8416*H8416*Inputs!$C$69,"")</f>
      </c>
    </row>
    <row r="8417" spans="2:10" ht="15" customHeight="1" x14ac:dyDescent="0.2">
      <c r="B8417" s="39">
        <f t="shared" si="64"/>
      </c>
      <c r="C8417" s="40">
        <f>IF(Inputs!$C$60,Inputs!$C$11+(B8417-Inputs!$C$69)/Inputs!$C$70,"")</f>
      </c>
      <c r="D8417" s="15"/>
      <c r="E8417" s="15"/>
      <c r="F8417" s="11">
        <f t="shared" si="65"/>
      </c>
      <c r="G8417" s="22" cm="1">
        <f t="array" ref="G8417">IF(AND(Inputs!$C$60,Inputs!$C$61),INDEX(Utility_Rates!$C$29:$F$52,HOUR(C8417)+Inputs!$C$69,MATCH(INDEX(Utility_Rates!$K$6:$K$17,MONTH(C8417))&amp;IF(WEEKDAY(C8417,Inputs!$C$76)&lt;=Inputs!$C$74," weekday"," weekend"),Utility_Rates!$C$28:$F$28,Inputs!$C$68)),"")</f>
      </c>
      <c r="H8417" s="34"/>
      <c r="I8417" s="42">
        <f>IF(AND(ISNUMBER(D8417),ISNUMBER(H8417)),D8417*H8417*Inputs!$C$69,"")</f>
      </c>
      <c r="J8417" s="42">
        <f>IF(AND(ISNUMBER(F8417),ISNUMBER(H8417),F8417&gt;=Inputs!$C$68),F8417*H8417*Inputs!$C$69,"")</f>
      </c>
    </row>
    <row r="8418" spans="2:10" ht="15" customHeight="1" x14ac:dyDescent="0.2">
      <c r="B8418" s="39">
        <f t="shared" si="64"/>
      </c>
      <c r="C8418" s="40">
        <f>IF(Inputs!$C$60,Inputs!$C$11+(B8418-Inputs!$C$69)/Inputs!$C$70,"")</f>
      </c>
      <c r="D8418" s="15"/>
      <c r="E8418" s="15"/>
      <c r="F8418" s="11">
        <f t="shared" si="65"/>
      </c>
      <c r="G8418" s="22" cm="1">
        <f t="array" ref="G8418">IF(AND(Inputs!$C$60,Inputs!$C$61),INDEX(Utility_Rates!$C$29:$F$52,HOUR(C8418)+Inputs!$C$69,MATCH(INDEX(Utility_Rates!$K$6:$K$17,MONTH(C8418))&amp;IF(WEEKDAY(C8418,Inputs!$C$76)&lt;=Inputs!$C$74," weekday"," weekend"),Utility_Rates!$C$28:$F$28,Inputs!$C$68)),"")</f>
      </c>
      <c r="H8418" s="34"/>
      <c r="I8418" s="42">
        <f>IF(AND(ISNUMBER(D8418),ISNUMBER(H8418)),D8418*H8418*Inputs!$C$69,"")</f>
      </c>
      <c r="J8418" s="42">
        <f>IF(AND(ISNUMBER(F8418),ISNUMBER(H8418),F8418&gt;=Inputs!$C$68),F8418*H8418*Inputs!$C$69,"")</f>
      </c>
    </row>
    <row r="8419" spans="2:10" ht="15" customHeight="1" x14ac:dyDescent="0.2">
      <c r="B8419" s="39">
        <f t="shared" si="64"/>
      </c>
      <c r="C8419" s="40">
        <f>IF(Inputs!$C$60,Inputs!$C$11+(B8419-Inputs!$C$69)/Inputs!$C$70,"")</f>
      </c>
      <c r="D8419" s="15"/>
      <c r="E8419" s="15"/>
      <c r="F8419" s="11">
        <f t="shared" si="65"/>
      </c>
      <c r="G8419" s="22" cm="1">
        <f t="array" ref="G8419">IF(AND(Inputs!$C$60,Inputs!$C$61),INDEX(Utility_Rates!$C$29:$F$52,HOUR(C8419)+Inputs!$C$69,MATCH(INDEX(Utility_Rates!$K$6:$K$17,MONTH(C8419))&amp;IF(WEEKDAY(C8419,Inputs!$C$76)&lt;=Inputs!$C$74," weekday"," weekend"),Utility_Rates!$C$28:$F$28,Inputs!$C$68)),"")</f>
      </c>
      <c r="H8419" s="34"/>
      <c r="I8419" s="42">
        <f>IF(AND(ISNUMBER(D8419),ISNUMBER(H8419)),D8419*H8419*Inputs!$C$69,"")</f>
      </c>
      <c r="J8419" s="42">
        <f>IF(AND(ISNUMBER(F8419),ISNUMBER(H8419),F8419&gt;=Inputs!$C$68),F8419*H8419*Inputs!$C$69,"")</f>
      </c>
    </row>
    <row r="8420" spans="2:10" ht="15" customHeight="1" x14ac:dyDescent="0.2">
      <c r="B8420" s="39">
        <f t="shared" si="64"/>
      </c>
      <c r="C8420" s="40">
        <f>IF(Inputs!$C$60,Inputs!$C$11+(B8420-Inputs!$C$69)/Inputs!$C$70,"")</f>
      </c>
      <c r="D8420" s="15"/>
      <c r="E8420" s="15"/>
      <c r="F8420" s="11">
        <f t="shared" si="65"/>
      </c>
      <c r="G8420" s="22" cm="1">
        <f t="array" ref="G8420">IF(AND(Inputs!$C$60,Inputs!$C$61),INDEX(Utility_Rates!$C$29:$F$52,HOUR(C8420)+Inputs!$C$69,MATCH(INDEX(Utility_Rates!$K$6:$K$17,MONTH(C8420))&amp;IF(WEEKDAY(C8420,Inputs!$C$76)&lt;=Inputs!$C$74," weekday"," weekend"),Utility_Rates!$C$28:$F$28,Inputs!$C$68)),"")</f>
      </c>
      <c r="H8420" s="34"/>
      <c r="I8420" s="42">
        <f>IF(AND(ISNUMBER(D8420),ISNUMBER(H8420)),D8420*H8420*Inputs!$C$69,"")</f>
      </c>
      <c r="J8420" s="42">
        <f>IF(AND(ISNUMBER(F8420),ISNUMBER(H8420),F8420&gt;=Inputs!$C$68),F8420*H8420*Inputs!$C$69,"")</f>
      </c>
    </row>
    <row r="8421" spans="2:10" ht="15" customHeight="1" x14ac:dyDescent="0.2">
      <c r="B8421" s="39">
        <f t="shared" ref="B8421:B8675" si="66">ROW()-ROW($B$5)</f>
      </c>
      <c r="C8421" s="40">
        <f>IF(Inputs!$C$60,Inputs!$C$11+(B8421-Inputs!$C$69)/Inputs!$C$70,"")</f>
      </c>
      <c r="D8421" s="15"/>
      <c r="E8421" s="15"/>
      <c r="F8421" s="11">
        <f t="shared" ref="F8421:F8675" si="67">IF(COUNT(D8421:E8421)=COLUMNS(D8421:E8421),D8421-E8421,"")</f>
      </c>
      <c r="G8421" s="22" cm="1">
        <f t="array" ref="G8421">IF(AND(Inputs!$C$60,Inputs!$C$61),INDEX(Utility_Rates!$C$29:$F$52,HOUR(C8421)+Inputs!$C$69,MATCH(INDEX(Utility_Rates!$K$6:$K$17,MONTH(C8421))&amp;IF(WEEKDAY(C8421,Inputs!$C$76)&lt;=Inputs!$C$74," weekday"," weekend"),Utility_Rates!$C$28:$F$28,Inputs!$C$68)),"")</f>
      </c>
      <c r="H8421" s="34"/>
      <c r="I8421" s="42">
        <f>IF(AND(ISNUMBER(D8421),ISNUMBER(H8421)),D8421*H8421*Inputs!$C$69,"")</f>
      </c>
      <c r="J8421" s="42">
        <f>IF(AND(ISNUMBER(F8421),ISNUMBER(H8421),F8421&gt;=Inputs!$C$68),F8421*H8421*Inputs!$C$69,"")</f>
      </c>
    </row>
    <row r="8422" spans="2:10" ht="15" customHeight="1" x14ac:dyDescent="0.2">
      <c r="B8422" s="39">
        <f t="shared" si="66"/>
      </c>
      <c r="C8422" s="40">
        <f>IF(Inputs!$C$60,Inputs!$C$11+(B8422-Inputs!$C$69)/Inputs!$C$70,"")</f>
      </c>
      <c r="D8422" s="15"/>
      <c r="E8422" s="15"/>
      <c r="F8422" s="11">
        <f t="shared" si="67"/>
      </c>
      <c r="G8422" s="22" cm="1">
        <f t="array" ref="G8422">IF(AND(Inputs!$C$60,Inputs!$C$61),INDEX(Utility_Rates!$C$29:$F$52,HOUR(C8422)+Inputs!$C$69,MATCH(INDEX(Utility_Rates!$K$6:$K$17,MONTH(C8422))&amp;IF(WEEKDAY(C8422,Inputs!$C$76)&lt;=Inputs!$C$74," weekday"," weekend"),Utility_Rates!$C$28:$F$28,Inputs!$C$68)),"")</f>
      </c>
      <c r="H8422" s="34"/>
      <c r="I8422" s="42">
        <f>IF(AND(ISNUMBER(D8422),ISNUMBER(H8422)),D8422*H8422*Inputs!$C$69,"")</f>
      </c>
      <c r="J8422" s="42">
        <f>IF(AND(ISNUMBER(F8422),ISNUMBER(H8422),F8422&gt;=Inputs!$C$68),F8422*H8422*Inputs!$C$69,"")</f>
      </c>
    </row>
    <row r="8423" spans="2:10" ht="15" customHeight="1" x14ac:dyDescent="0.2">
      <c r="B8423" s="39">
        <f t="shared" si="66"/>
      </c>
      <c r="C8423" s="40">
        <f>IF(Inputs!$C$60,Inputs!$C$11+(B8423-Inputs!$C$69)/Inputs!$C$70,"")</f>
      </c>
      <c r="D8423" s="15"/>
      <c r="E8423" s="15"/>
      <c r="F8423" s="11">
        <f t="shared" si="67"/>
      </c>
      <c r="G8423" s="22" cm="1">
        <f t="array" ref="G8423">IF(AND(Inputs!$C$60,Inputs!$C$61),INDEX(Utility_Rates!$C$29:$F$52,HOUR(C8423)+Inputs!$C$69,MATCH(INDEX(Utility_Rates!$K$6:$K$17,MONTH(C8423))&amp;IF(WEEKDAY(C8423,Inputs!$C$76)&lt;=Inputs!$C$74," weekday"," weekend"),Utility_Rates!$C$28:$F$28,Inputs!$C$68)),"")</f>
      </c>
      <c r="H8423" s="34"/>
      <c r="I8423" s="42">
        <f>IF(AND(ISNUMBER(D8423),ISNUMBER(H8423)),D8423*H8423*Inputs!$C$69,"")</f>
      </c>
      <c r="J8423" s="42">
        <f>IF(AND(ISNUMBER(F8423),ISNUMBER(H8423),F8423&gt;=Inputs!$C$68),F8423*H8423*Inputs!$C$69,"")</f>
      </c>
    </row>
    <row r="8424" spans="2:10" ht="15" customHeight="1" x14ac:dyDescent="0.2">
      <c r="B8424" s="39">
        <f t="shared" si="66"/>
      </c>
      <c r="C8424" s="40">
        <f>IF(Inputs!$C$60,Inputs!$C$11+(B8424-Inputs!$C$69)/Inputs!$C$70,"")</f>
      </c>
      <c r="D8424" s="15"/>
      <c r="E8424" s="15"/>
      <c r="F8424" s="11">
        <f t="shared" si="67"/>
      </c>
      <c r="G8424" s="22" cm="1">
        <f t="array" ref="G8424">IF(AND(Inputs!$C$60,Inputs!$C$61),INDEX(Utility_Rates!$C$29:$F$52,HOUR(C8424)+Inputs!$C$69,MATCH(INDEX(Utility_Rates!$K$6:$K$17,MONTH(C8424))&amp;IF(WEEKDAY(C8424,Inputs!$C$76)&lt;=Inputs!$C$74," weekday"," weekend"),Utility_Rates!$C$28:$F$28,Inputs!$C$68)),"")</f>
      </c>
      <c r="H8424" s="34"/>
      <c r="I8424" s="42">
        <f>IF(AND(ISNUMBER(D8424),ISNUMBER(H8424)),D8424*H8424*Inputs!$C$69,"")</f>
      </c>
      <c r="J8424" s="42">
        <f>IF(AND(ISNUMBER(F8424),ISNUMBER(H8424),F8424&gt;=Inputs!$C$68),F8424*H8424*Inputs!$C$69,"")</f>
      </c>
    </row>
    <row r="8425" spans="2:10" ht="15" customHeight="1" x14ac:dyDescent="0.2">
      <c r="B8425" s="39">
        <f t="shared" si="66"/>
      </c>
      <c r="C8425" s="40">
        <f>IF(Inputs!$C$60,Inputs!$C$11+(B8425-Inputs!$C$69)/Inputs!$C$70,"")</f>
      </c>
      <c r="D8425" s="15"/>
      <c r="E8425" s="15"/>
      <c r="F8425" s="11">
        <f t="shared" si="67"/>
      </c>
      <c r="G8425" s="22" cm="1">
        <f t="array" ref="G8425">IF(AND(Inputs!$C$60,Inputs!$C$61),INDEX(Utility_Rates!$C$29:$F$52,HOUR(C8425)+Inputs!$C$69,MATCH(INDEX(Utility_Rates!$K$6:$K$17,MONTH(C8425))&amp;IF(WEEKDAY(C8425,Inputs!$C$76)&lt;=Inputs!$C$74," weekday"," weekend"),Utility_Rates!$C$28:$F$28,Inputs!$C$68)),"")</f>
      </c>
      <c r="H8425" s="34"/>
      <c r="I8425" s="42">
        <f>IF(AND(ISNUMBER(D8425),ISNUMBER(H8425)),D8425*H8425*Inputs!$C$69,"")</f>
      </c>
      <c r="J8425" s="42">
        <f>IF(AND(ISNUMBER(F8425),ISNUMBER(H8425),F8425&gt;=Inputs!$C$68),F8425*H8425*Inputs!$C$69,"")</f>
      </c>
    </row>
    <row r="8426" spans="2:10" ht="15" customHeight="1" x14ac:dyDescent="0.2">
      <c r="B8426" s="39">
        <f t="shared" si="66"/>
      </c>
      <c r="C8426" s="40">
        <f>IF(Inputs!$C$60,Inputs!$C$11+(B8426-Inputs!$C$69)/Inputs!$C$70,"")</f>
      </c>
      <c r="D8426" s="15"/>
      <c r="E8426" s="15"/>
      <c r="F8426" s="11">
        <f t="shared" si="67"/>
      </c>
      <c r="G8426" s="22" cm="1">
        <f t="array" ref="G8426">IF(AND(Inputs!$C$60,Inputs!$C$61),INDEX(Utility_Rates!$C$29:$F$52,HOUR(C8426)+Inputs!$C$69,MATCH(INDEX(Utility_Rates!$K$6:$K$17,MONTH(C8426))&amp;IF(WEEKDAY(C8426,Inputs!$C$76)&lt;=Inputs!$C$74," weekday"," weekend"),Utility_Rates!$C$28:$F$28,Inputs!$C$68)),"")</f>
      </c>
      <c r="H8426" s="34"/>
      <c r="I8426" s="42">
        <f>IF(AND(ISNUMBER(D8426),ISNUMBER(H8426)),D8426*H8426*Inputs!$C$69,"")</f>
      </c>
      <c r="J8426" s="42">
        <f>IF(AND(ISNUMBER(F8426),ISNUMBER(H8426),F8426&gt;=Inputs!$C$68),F8426*H8426*Inputs!$C$69,"")</f>
      </c>
    </row>
    <row r="8427" spans="2:10" ht="15" customHeight="1" x14ac:dyDescent="0.2">
      <c r="B8427" s="39">
        <f t="shared" si="66"/>
      </c>
      <c r="C8427" s="40">
        <f>IF(Inputs!$C$60,Inputs!$C$11+(B8427-Inputs!$C$69)/Inputs!$C$70,"")</f>
      </c>
      <c r="D8427" s="15"/>
      <c r="E8427" s="15"/>
      <c r="F8427" s="11">
        <f t="shared" si="67"/>
      </c>
      <c r="G8427" s="22" cm="1">
        <f t="array" ref="G8427">IF(AND(Inputs!$C$60,Inputs!$C$61),INDEX(Utility_Rates!$C$29:$F$52,HOUR(C8427)+Inputs!$C$69,MATCH(INDEX(Utility_Rates!$K$6:$K$17,MONTH(C8427))&amp;IF(WEEKDAY(C8427,Inputs!$C$76)&lt;=Inputs!$C$74," weekday"," weekend"),Utility_Rates!$C$28:$F$28,Inputs!$C$68)),"")</f>
      </c>
      <c r="H8427" s="34"/>
      <c r="I8427" s="42">
        <f>IF(AND(ISNUMBER(D8427),ISNUMBER(H8427)),D8427*H8427*Inputs!$C$69,"")</f>
      </c>
      <c r="J8427" s="42">
        <f>IF(AND(ISNUMBER(F8427),ISNUMBER(H8427),F8427&gt;=Inputs!$C$68),F8427*H8427*Inputs!$C$69,"")</f>
      </c>
    </row>
    <row r="8428" spans="2:10" ht="15" customHeight="1" x14ac:dyDescent="0.2">
      <c r="B8428" s="39">
        <f t="shared" si="66"/>
      </c>
      <c r="C8428" s="40">
        <f>IF(Inputs!$C$60,Inputs!$C$11+(B8428-Inputs!$C$69)/Inputs!$C$70,"")</f>
      </c>
      <c r="D8428" s="15"/>
      <c r="E8428" s="15"/>
      <c r="F8428" s="11">
        <f t="shared" si="67"/>
      </c>
      <c r="G8428" s="22" cm="1">
        <f t="array" ref="G8428">IF(AND(Inputs!$C$60,Inputs!$C$61),INDEX(Utility_Rates!$C$29:$F$52,HOUR(C8428)+Inputs!$C$69,MATCH(INDEX(Utility_Rates!$K$6:$K$17,MONTH(C8428))&amp;IF(WEEKDAY(C8428,Inputs!$C$76)&lt;=Inputs!$C$74," weekday"," weekend"),Utility_Rates!$C$28:$F$28,Inputs!$C$68)),"")</f>
      </c>
      <c r="H8428" s="34"/>
      <c r="I8428" s="42">
        <f>IF(AND(ISNUMBER(D8428),ISNUMBER(H8428)),D8428*H8428*Inputs!$C$69,"")</f>
      </c>
      <c r="J8428" s="42">
        <f>IF(AND(ISNUMBER(F8428),ISNUMBER(H8428),F8428&gt;=Inputs!$C$68),F8428*H8428*Inputs!$C$69,"")</f>
      </c>
    </row>
    <row r="8429" spans="2:10" ht="15" customHeight="1" x14ac:dyDescent="0.2">
      <c r="B8429" s="39">
        <f t="shared" si="66"/>
      </c>
      <c r="C8429" s="40">
        <f>IF(Inputs!$C$60,Inputs!$C$11+(B8429-Inputs!$C$69)/Inputs!$C$70,"")</f>
      </c>
      <c r="D8429" s="15"/>
      <c r="E8429" s="15"/>
      <c r="F8429" s="11">
        <f t="shared" si="67"/>
      </c>
      <c r="G8429" s="22" cm="1">
        <f t="array" ref="G8429">IF(AND(Inputs!$C$60,Inputs!$C$61),INDEX(Utility_Rates!$C$29:$F$52,HOUR(C8429)+Inputs!$C$69,MATCH(INDEX(Utility_Rates!$K$6:$K$17,MONTH(C8429))&amp;IF(WEEKDAY(C8429,Inputs!$C$76)&lt;=Inputs!$C$74," weekday"," weekend"),Utility_Rates!$C$28:$F$28,Inputs!$C$68)),"")</f>
      </c>
      <c r="H8429" s="34"/>
      <c r="I8429" s="42">
        <f>IF(AND(ISNUMBER(D8429),ISNUMBER(H8429)),D8429*H8429*Inputs!$C$69,"")</f>
      </c>
      <c r="J8429" s="42">
        <f>IF(AND(ISNUMBER(F8429),ISNUMBER(H8429),F8429&gt;=Inputs!$C$68),F8429*H8429*Inputs!$C$69,"")</f>
      </c>
    </row>
    <row r="8430" spans="2:10" ht="15" customHeight="1" x14ac:dyDescent="0.2">
      <c r="B8430" s="39">
        <f t="shared" si="66"/>
      </c>
      <c r="C8430" s="40">
        <f>IF(Inputs!$C$60,Inputs!$C$11+(B8430-Inputs!$C$69)/Inputs!$C$70,"")</f>
      </c>
      <c r="D8430" s="15"/>
      <c r="E8430" s="15"/>
      <c r="F8430" s="11">
        <f t="shared" si="67"/>
      </c>
      <c r="G8430" s="22" cm="1">
        <f t="array" ref="G8430">IF(AND(Inputs!$C$60,Inputs!$C$61),INDEX(Utility_Rates!$C$29:$F$52,HOUR(C8430)+Inputs!$C$69,MATCH(INDEX(Utility_Rates!$K$6:$K$17,MONTH(C8430))&amp;IF(WEEKDAY(C8430,Inputs!$C$76)&lt;=Inputs!$C$74," weekday"," weekend"),Utility_Rates!$C$28:$F$28,Inputs!$C$68)),"")</f>
      </c>
      <c r="H8430" s="34"/>
      <c r="I8430" s="42">
        <f>IF(AND(ISNUMBER(D8430),ISNUMBER(H8430)),D8430*H8430*Inputs!$C$69,"")</f>
      </c>
      <c r="J8430" s="42">
        <f>IF(AND(ISNUMBER(F8430),ISNUMBER(H8430),F8430&gt;=Inputs!$C$68),F8430*H8430*Inputs!$C$69,"")</f>
      </c>
    </row>
    <row r="8431" spans="2:10" ht="15" customHeight="1" x14ac:dyDescent="0.2">
      <c r="B8431" s="39">
        <f t="shared" si="66"/>
      </c>
      <c r="C8431" s="40">
        <f>IF(Inputs!$C$60,Inputs!$C$11+(B8431-Inputs!$C$69)/Inputs!$C$70,"")</f>
      </c>
      <c r="D8431" s="15"/>
      <c r="E8431" s="15"/>
      <c r="F8431" s="11">
        <f t="shared" si="67"/>
      </c>
      <c r="G8431" s="22" cm="1">
        <f t="array" ref="G8431">IF(AND(Inputs!$C$60,Inputs!$C$61),INDEX(Utility_Rates!$C$29:$F$52,HOUR(C8431)+Inputs!$C$69,MATCH(INDEX(Utility_Rates!$K$6:$K$17,MONTH(C8431))&amp;IF(WEEKDAY(C8431,Inputs!$C$76)&lt;=Inputs!$C$74," weekday"," weekend"),Utility_Rates!$C$28:$F$28,Inputs!$C$68)),"")</f>
      </c>
      <c r="H8431" s="34"/>
      <c r="I8431" s="42">
        <f>IF(AND(ISNUMBER(D8431),ISNUMBER(H8431)),D8431*H8431*Inputs!$C$69,"")</f>
      </c>
      <c r="J8431" s="42">
        <f>IF(AND(ISNUMBER(F8431),ISNUMBER(H8431),F8431&gt;=Inputs!$C$68),F8431*H8431*Inputs!$C$69,"")</f>
      </c>
    </row>
    <row r="8432" spans="2:10" ht="15" customHeight="1" x14ac:dyDescent="0.2">
      <c r="B8432" s="39">
        <f t="shared" si="66"/>
      </c>
      <c r="C8432" s="40">
        <f>IF(Inputs!$C$60,Inputs!$C$11+(B8432-Inputs!$C$69)/Inputs!$C$70,"")</f>
      </c>
      <c r="D8432" s="15"/>
      <c r="E8432" s="15"/>
      <c r="F8432" s="11">
        <f t="shared" si="67"/>
      </c>
      <c r="G8432" s="22" cm="1">
        <f t="array" ref="G8432">IF(AND(Inputs!$C$60,Inputs!$C$61),INDEX(Utility_Rates!$C$29:$F$52,HOUR(C8432)+Inputs!$C$69,MATCH(INDEX(Utility_Rates!$K$6:$K$17,MONTH(C8432))&amp;IF(WEEKDAY(C8432,Inputs!$C$76)&lt;=Inputs!$C$74," weekday"," weekend"),Utility_Rates!$C$28:$F$28,Inputs!$C$68)),"")</f>
      </c>
      <c r="H8432" s="34"/>
      <c r="I8432" s="42">
        <f>IF(AND(ISNUMBER(D8432),ISNUMBER(H8432)),D8432*H8432*Inputs!$C$69,"")</f>
      </c>
      <c r="J8432" s="42">
        <f>IF(AND(ISNUMBER(F8432),ISNUMBER(H8432),F8432&gt;=Inputs!$C$68),F8432*H8432*Inputs!$C$69,"")</f>
      </c>
    </row>
    <row r="8433" spans="2:10" ht="15" customHeight="1" x14ac:dyDescent="0.2">
      <c r="B8433" s="39">
        <f t="shared" si="66"/>
      </c>
      <c r="C8433" s="40">
        <f>IF(Inputs!$C$60,Inputs!$C$11+(B8433-Inputs!$C$69)/Inputs!$C$70,"")</f>
      </c>
      <c r="D8433" s="15"/>
      <c r="E8433" s="15"/>
      <c r="F8433" s="11">
        <f t="shared" si="67"/>
      </c>
      <c r="G8433" s="22" cm="1">
        <f t="array" ref="G8433">IF(AND(Inputs!$C$60,Inputs!$C$61),INDEX(Utility_Rates!$C$29:$F$52,HOUR(C8433)+Inputs!$C$69,MATCH(INDEX(Utility_Rates!$K$6:$K$17,MONTH(C8433))&amp;IF(WEEKDAY(C8433,Inputs!$C$76)&lt;=Inputs!$C$74," weekday"," weekend"),Utility_Rates!$C$28:$F$28,Inputs!$C$68)),"")</f>
      </c>
      <c r="H8433" s="34"/>
      <c r="I8433" s="42">
        <f>IF(AND(ISNUMBER(D8433),ISNUMBER(H8433)),D8433*H8433*Inputs!$C$69,"")</f>
      </c>
      <c r="J8433" s="42">
        <f>IF(AND(ISNUMBER(F8433),ISNUMBER(H8433),F8433&gt;=Inputs!$C$68),F8433*H8433*Inputs!$C$69,"")</f>
      </c>
    </row>
    <row r="8434" spans="2:10" ht="15" customHeight="1" x14ac:dyDescent="0.2">
      <c r="B8434" s="39">
        <f t="shared" si="66"/>
      </c>
      <c r="C8434" s="40">
        <f>IF(Inputs!$C$60,Inputs!$C$11+(B8434-Inputs!$C$69)/Inputs!$C$70,"")</f>
      </c>
      <c r="D8434" s="15"/>
      <c r="E8434" s="15"/>
      <c r="F8434" s="11">
        <f t="shared" si="67"/>
      </c>
      <c r="G8434" s="22" cm="1">
        <f t="array" ref="G8434">IF(AND(Inputs!$C$60,Inputs!$C$61),INDEX(Utility_Rates!$C$29:$F$52,HOUR(C8434)+Inputs!$C$69,MATCH(INDEX(Utility_Rates!$K$6:$K$17,MONTH(C8434))&amp;IF(WEEKDAY(C8434,Inputs!$C$76)&lt;=Inputs!$C$74," weekday"," weekend"),Utility_Rates!$C$28:$F$28,Inputs!$C$68)),"")</f>
      </c>
      <c r="H8434" s="34"/>
      <c r="I8434" s="42">
        <f>IF(AND(ISNUMBER(D8434),ISNUMBER(H8434)),D8434*H8434*Inputs!$C$69,"")</f>
      </c>
      <c r="J8434" s="42">
        <f>IF(AND(ISNUMBER(F8434),ISNUMBER(H8434),F8434&gt;=Inputs!$C$68),F8434*H8434*Inputs!$C$69,"")</f>
      </c>
    </row>
    <row r="8435" spans="2:10" ht="15" customHeight="1" x14ac:dyDescent="0.2">
      <c r="B8435" s="39">
        <f t="shared" si="66"/>
      </c>
      <c r="C8435" s="40">
        <f>IF(Inputs!$C$60,Inputs!$C$11+(B8435-Inputs!$C$69)/Inputs!$C$70,"")</f>
      </c>
      <c r="D8435" s="15"/>
      <c r="E8435" s="15"/>
      <c r="F8435" s="11">
        <f t="shared" si="67"/>
      </c>
      <c r="G8435" s="22" cm="1">
        <f t="array" ref="G8435">IF(AND(Inputs!$C$60,Inputs!$C$61),INDEX(Utility_Rates!$C$29:$F$52,HOUR(C8435)+Inputs!$C$69,MATCH(INDEX(Utility_Rates!$K$6:$K$17,MONTH(C8435))&amp;IF(WEEKDAY(C8435,Inputs!$C$76)&lt;=Inputs!$C$74," weekday"," weekend"),Utility_Rates!$C$28:$F$28,Inputs!$C$68)),"")</f>
      </c>
      <c r="H8435" s="34"/>
      <c r="I8435" s="42">
        <f>IF(AND(ISNUMBER(D8435),ISNUMBER(H8435)),D8435*H8435*Inputs!$C$69,"")</f>
      </c>
      <c r="J8435" s="42">
        <f>IF(AND(ISNUMBER(F8435),ISNUMBER(H8435),F8435&gt;=Inputs!$C$68),F8435*H8435*Inputs!$C$69,"")</f>
      </c>
    </row>
    <row r="8436" spans="2:10" ht="15" customHeight="1" x14ac:dyDescent="0.2">
      <c r="B8436" s="39">
        <f t="shared" si="66"/>
      </c>
      <c r="C8436" s="40">
        <f>IF(Inputs!$C$60,Inputs!$C$11+(B8436-Inputs!$C$69)/Inputs!$C$70,"")</f>
      </c>
      <c r="D8436" s="15"/>
      <c r="E8436" s="15"/>
      <c r="F8436" s="11">
        <f t="shared" si="67"/>
      </c>
      <c r="G8436" s="22" cm="1">
        <f t="array" ref="G8436">IF(AND(Inputs!$C$60,Inputs!$C$61),INDEX(Utility_Rates!$C$29:$F$52,HOUR(C8436)+Inputs!$C$69,MATCH(INDEX(Utility_Rates!$K$6:$K$17,MONTH(C8436))&amp;IF(WEEKDAY(C8436,Inputs!$C$76)&lt;=Inputs!$C$74," weekday"," weekend"),Utility_Rates!$C$28:$F$28,Inputs!$C$68)),"")</f>
      </c>
      <c r="H8436" s="34"/>
      <c r="I8436" s="42">
        <f>IF(AND(ISNUMBER(D8436),ISNUMBER(H8436)),D8436*H8436*Inputs!$C$69,"")</f>
      </c>
      <c r="J8436" s="42">
        <f>IF(AND(ISNUMBER(F8436),ISNUMBER(H8436),F8436&gt;=Inputs!$C$68),F8436*H8436*Inputs!$C$69,"")</f>
      </c>
    </row>
    <row r="8437" spans="2:10" ht="15" customHeight="1" x14ac:dyDescent="0.2">
      <c r="B8437" s="39">
        <f t="shared" si="66"/>
      </c>
      <c r="C8437" s="40">
        <f>IF(Inputs!$C$60,Inputs!$C$11+(B8437-Inputs!$C$69)/Inputs!$C$70,"")</f>
      </c>
      <c r="D8437" s="15"/>
      <c r="E8437" s="15"/>
      <c r="F8437" s="11">
        <f t="shared" si="67"/>
      </c>
      <c r="G8437" s="22" cm="1">
        <f t="array" ref="G8437">IF(AND(Inputs!$C$60,Inputs!$C$61),INDEX(Utility_Rates!$C$29:$F$52,HOUR(C8437)+Inputs!$C$69,MATCH(INDEX(Utility_Rates!$K$6:$K$17,MONTH(C8437))&amp;IF(WEEKDAY(C8437,Inputs!$C$76)&lt;=Inputs!$C$74," weekday"," weekend"),Utility_Rates!$C$28:$F$28,Inputs!$C$68)),"")</f>
      </c>
      <c r="H8437" s="34"/>
      <c r="I8437" s="42">
        <f>IF(AND(ISNUMBER(D8437),ISNUMBER(H8437)),D8437*H8437*Inputs!$C$69,"")</f>
      </c>
      <c r="J8437" s="42">
        <f>IF(AND(ISNUMBER(F8437),ISNUMBER(H8437),F8437&gt;=Inputs!$C$68),F8437*H8437*Inputs!$C$69,"")</f>
      </c>
    </row>
    <row r="8438" spans="2:10" ht="15" customHeight="1" x14ac:dyDescent="0.2">
      <c r="B8438" s="39">
        <f t="shared" si="66"/>
      </c>
      <c r="C8438" s="40">
        <f>IF(Inputs!$C$60,Inputs!$C$11+(B8438-Inputs!$C$69)/Inputs!$C$70,"")</f>
      </c>
      <c r="D8438" s="15"/>
      <c r="E8438" s="15"/>
      <c r="F8438" s="11">
        <f t="shared" si="67"/>
      </c>
      <c r="G8438" s="22" cm="1">
        <f t="array" ref="G8438">IF(AND(Inputs!$C$60,Inputs!$C$61),INDEX(Utility_Rates!$C$29:$F$52,HOUR(C8438)+Inputs!$C$69,MATCH(INDEX(Utility_Rates!$K$6:$K$17,MONTH(C8438))&amp;IF(WEEKDAY(C8438,Inputs!$C$76)&lt;=Inputs!$C$74," weekday"," weekend"),Utility_Rates!$C$28:$F$28,Inputs!$C$68)),"")</f>
      </c>
      <c r="H8438" s="34"/>
      <c r="I8438" s="42">
        <f>IF(AND(ISNUMBER(D8438),ISNUMBER(H8438)),D8438*H8438*Inputs!$C$69,"")</f>
      </c>
      <c r="J8438" s="42">
        <f>IF(AND(ISNUMBER(F8438),ISNUMBER(H8438),F8438&gt;=Inputs!$C$68),F8438*H8438*Inputs!$C$69,"")</f>
      </c>
    </row>
    <row r="8439" spans="2:10" ht="15" customHeight="1" x14ac:dyDescent="0.2">
      <c r="B8439" s="39">
        <f t="shared" si="66"/>
      </c>
      <c r="C8439" s="40">
        <f>IF(Inputs!$C$60,Inputs!$C$11+(B8439-Inputs!$C$69)/Inputs!$C$70,"")</f>
      </c>
      <c r="D8439" s="15"/>
      <c r="E8439" s="15"/>
      <c r="F8439" s="11">
        <f t="shared" si="67"/>
      </c>
      <c r="G8439" s="22" cm="1">
        <f t="array" ref="G8439">IF(AND(Inputs!$C$60,Inputs!$C$61),INDEX(Utility_Rates!$C$29:$F$52,HOUR(C8439)+Inputs!$C$69,MATCH(INDEX(Utility_Rates!$K$6:$K$17,MONTH(C8439))&amp;IF(WEEKDAY(C8439,Inputs!$C$76)&lt;=Inputs!$C$74," weekday"," weekend"),Utility_Rates!$C$28:$F$28,Inputs!$C$68)),"")</f>
      </c>
      <c r="H8439" s="34"/>
      <c r="I8439" s="42">
        <f>IF(AND(ISNUMBER(D8439),ISNUMBER(H8439)),D8439*H8439*Inputs!$C$69,"")</f>
      </c>
      <c r="J8439" s="42">
        <f>IF(AND(ISNUMBER(F8439),ISNUMBER(H8439),F8439&gt;=Inputs!$C$68),F8439*H8439*Inputs!$C$69,"")</f>
      </c>
    </row>
    <row r="8440" spans="2:10" ht="15" customHeight="1" x14ac:dyDescent="0.2">
      <c r="B8440" s="39">
        <f t="shared" si="66"/>
      </c>
      <c r="C8440" s="40">
        <f>IF(Inputs!$C$60,Inputs!$C$11+(B8440-Inputs!$C$69)/Inputs!$C$70,"")</f>
      </c>
      <c r="D8440" s="15"/>
      <c r="E8440" s="15"/>
      <c r="F8440" s="11">
        <f t="shared" si="67"/>
      </c>
      <c r="G8440" s="22" cm="1">
        <f t="array" ref="G8440">IF(AND(Inputs!$C$60,Inputs!$C$61),INDEX(Utility_Rates!$C$29:$F$52,HOUR(C8440)+Inputs!$C$69,MATCH(INDEX(Utility_Rates!$K$6:$K$17,MONTH(C8440))&amp;IF(WEEKDAY(C8440,Inputs!$C$76)&lt;=Inputs!$C$74," weekday"," weekend"),Utility_Rates!$C$28:$F$28,Inputs!$C$68)),"")</f>
      </c>
      <c r="H8440" s="34"/>
      <c r="I8440" s="42">
        <f>IF(AND(ISNUMBER(D8440),ISNUMBER(H8440)),D8440*H8440*Inputs!$C$69,"")</f>
      </c>
      <c r="J8440" s="42">
        <f>IF(AND(ISNUMBER(F8440),ISNUMBER(H8440),F8440&gt;=Inputs!$C$68),F8440*H8440*Inputs!$C$69,"")</f>
      </c>
    </row>
    <row r="8441" spans="2:10" ht="15" customHeight="1" x14ac:dyDescent="0.2">
      <c r="B8441" s="39">
        <f t="shared" si="66"/>
      </c>
      <c r="C8441" s="40">
        <f>IF(Inputs!$C$60,Inputs!$C$11+(B8441-Inputs!$C$69)/Inputs!$C$70,"")</f>
      </c>
      <c r="D8441" s="15"/>
      <c r="E8441" s="15"/>
      <c r="F8441" s="11">
        <f t="shared" si="67"/>
      </c>
      <c r="G8441" s="22" cm="1">
        <f t="array" ref="G8441">IF(AND(Inputs!$C$60,Inputs!$C$61),INDEX(Utility_Rates!$C$29:$F$52,HOUR(C8441)+Inputs!$C$69,MATCH(INDEX(Utility_Rates!$K$6:$K$17,MONTH(C8441))&amp;IF(WEEKDAY(C8441,Inputs!$C$76)&lt;=Inputs!$C$74," weekday"," weekend"),Utility_Rates!$C$28:$F$28,Inputs!$C$68)),"")</f>
      </c>
      <c r="H8441" s="34"/>
      <c r="I8441" s="42">
        <f>IF(AND(ISNUMBER(D8441),ISNUMBER(H8441)),D8441*H8441*Inputs!$C$69,"")</f>
      </c>
      <c r="J8441" s="42">
        <f>IF(AND(ISNUMBER(F8441),ISNUMBER(H8441),F8441&gt;=Inputs!$C$68),F8441*H8441*Inputs!$C$69,"")</f>
      </c>
    </row>
    <row r="8442" spans="2:10" ht="15" customHeight="1" x14ac:dyDescent="0.2">
      <c r="B8442" s="39">
        <f t="shared" si="66"/>
      </c>
      <c r="C8442" s="40">
        <f>IF(Inputs!$C$60,Inputs!$C$11+(B8442-Inputs!$C$69)/Inputs!$C$70,"")</f>
      </c>
      <c r="D8442" s="15"/>
      <c r="E8442" s="15"/>
      <c r="F8442" s="11">
        <f t="shared" si="67"/>
      </c>
      <c r="G8442" s="22" cm="1">
        <f t="array" ref="G8442">IF(AND(Inputs!$C$60,Inputs!$C$61),INDEX(Utility_Rates!$C$29:$F$52,HOUR(C8442)+Inputs!$C$69,MATCH(INDEX(Utility_Rates!$K$6:$K$17,MONTH(C8442))&amp;IF(WEEKDAY(C8442,Inputs!$C$76)&lt;=Inputs!$C$74," weekday"," weekend"),Utility_Rates!$C$28:$F$28,Inputs!$C$68)),"")</f>
      </c>
      <c r="H8442" s="34"/>
      <c r="I8442" s="42">
        <f>IF(AND(ISNUMBER(D8442),ISNUMBER(H8442)),D8442*H8442*Inputs!$C$69,"")</f>
      </c>
      <c r="J8442" s="42">
        <f>IF(AND(ISNUMBER(F8442),ISNUMBER(H8442),F8442&gt;=Inputs!$C$68),F8442*H8442*Inputs!$C$69,"")</f>
      </c>
    </row>
    <row r="8443" spans="2:10" ht="15" customHeight="1" x14ac:dyDescent="0.2">
      <c r="B8443" s="39">
        <f t="shared" si="66"/>
      </c>
      <c r="C8443" s="40">
        <f>IF(Inputs!$C$60,Inputs!$C$11+(B8443-Inputs!$C$69)/Inputs!$C$70,"")</f>
      </c>
      <c r="D8443" s="15"/>
      <c r="E8443" s="15"/>
      <c r="F8443" s="11">
        <f t="shared" si="67"/>
      </c>
      <c r="G8443" s="22" cm="1">
        <f t="array" ref="G8443">IF(AND(Inputs!$C$60,Inputs!$C$61),INDEX(Utility_Rates!$C$29:$F$52,HOUR(C8443)+Inputs!$C$69,MATCH(INDEX(Utility_Rates!$K$6:$K$17,MONTH(C8443))&amp;IF(WEEKDAY(C8443,Inputs!$C$76)&lt;=Inputs!$C$74," weekday"," weekend"),Utility_Rates!$C$28:$F$28,Inputs!$C$68)),"")</f>
      </c>
      <c r="H8443" s="34"/>
      <c r="I8443" s="42">
        <f>IF(AND(ISNUMBER(D8443),ISNUMBER(H8443)),D8443*H8443*Inputs!$C$69,"")</f>
      </c>
      <c r="J8443" s="42">
        <f>IF(AND(ISNUMBER(F8443),ISNUMBER(H8443),F8443&gt;=Inputs!$C$68),F8443*H8443*Inputs!$C$69,"")</f>
      </c>
    </row>
    <row r="8444" spans="2:10" ht="15" customHeight="1" x14ac:dyDescent="0.2">
      <c r="B8444" s="39">
        <f t="shared" si="66"/>
      </c>
      <c r="C8444" s="40">
        <f>IF(Inputs!$C$60,Inputs!$C$11+(B8444-Inputs!$C$69)/Inputs!$C$70,"")</f>
      </c>
      <c r="D8444" s="15"/>
      <c r="E8444" s="15"/>
      <c r="F8444" s="11">
        <f t="shared" si="67"/>
      </c>
      <c r="G8444" s="22" cm="1">
        <f t="array" ref="G8444">IF(AND(Inputs!$C$60,Inputs!$C$61),INDEX(Utility_Rates!$C$29:$F$52,HOUR(C8444)+Inputs!$C$69,MATCH(INDEX(Utility_Rates!$K$6:$K$17,MONTH(C8444))&amp;IF(WEEKDAY(C8444,Inputs!$C$76)&lt;=Inputs!$C$74," weekday"," weekend"),Utility_Rates!$C$28:$F$28,Inputs!$C$68)),"")</f>
      </c>
      <c r="H8444" s="34"/>
      <c r="I8444" s="42">
        <f>IF(AND(ISNUMBER(D8444),ISNUMBER(H8444)),D8444*H8444*Inputs!$C$69,"")</f>
      </c>
      <c r="J8444" s="42">
        <f>IF(AND(ISNUMBER(F8444),ISNUMBER(H8444),F8444&gt;=Inputs!$C$68),F8444*H8444*Inputs!$C$69,"")</f>
      </c>
    </row>
    <row r="8445" spans="2:10" ht="15" customHeight="1" x14ac:dyDescent="0.2">
      <c r="B8445" s="39">
        <f t="shared" si="66"/>
      </c>
      <c r="C8445" s="40">
        <f>IF(Inputs!$C$60,Inputs!$C$11+(B8445-Inputs!$C$69)/Inputs!$C$70,"")</f>
      </c>
      <c r="D8445" s="15"/>
      <c r="E8445" s="15"/>
      <c r="F8445" s="11">
        <f t="shared" si="67"/>
      </c>
      <c r="G8445" s="22" cm="1">
        <f t="array" ref="G8445">IF(AND(Inputs!$C$60,Inputs!$C$61),INDEX(Utility_Rates!$C$29:$F$52,HOUR(C8445)+Inputs!$C$69,MATCH(INDEX(Utility_Rates!$K$6:$K$17,MONTH(C8445))&amp;IF(WEEKDAY(C8445,Inputs!$C$76)&lt;=Inputs!$C$74," weekday"," weekend"),Utility_Rates!$C$28:$F$28,Inputs!$C$68)),"")</f>
      </c>
      <c r="H8445" s="34"/>
      <c r="I8445" s="42">
        <f>IF(AND(ISNUMBER(D8445),ISNUMBER(H8445)),D8445*H8445*Inputs!$C$69,"")</f>
      </c>
      <c r="J8445" s="42">
        <f>IF(AND(ISNUMBER(F8445),ISNUMBER(H8445),F8445&gt;=Inputs!$C$68),F8445*H8445*Inputs!$C$69,"")</f>
      </c>
    </row>
    <row r="8446" spans="2:10" ht="15" customHeight="1" x14ac:dyDescent="0.2">
      <c r="B8446" s="39">
        <f t="shared" si="66"/>
      </c>
      <c r="C8446" s="40">
        <f>IF(Inputs!$C$60,Inputs!$C$11+(B8446-Inputs!$C$69)/Inputs!$C$70,"")</f>
      </c>
      <c r="D8446" s="15"/>
      <c r="E8446" s="15"/>
      <c r="F8446" s="11">
        <f t="shared" si="67"/>
      </c>
      <c r="G8446" s="22" cm="1">
        <f t="array" ref="G8446">IF(AND(Inputs!$C$60,Inputs!$C$61),INDEX(Utility_Rates!$C$29:$F$52,HOUR(C8446)+Inputs!$C$69,MATCH(INDEX(Utility_Rates!$K$6:$K$17,MONTH(C8446))&amp;IF(WEEKDAY(C8446,Inputs!$C$76)&lt;=Inputs!$C$74," weekday"," weekend"),Utility_Rates!$C$28:$F$28,Inputs!$C$68)),"")</f>
      </c>
      <c r="H8446" s="34"/>
      <c r="I8446" s="42">
        <f>IF(AND(ISNUMBER(D8446),ISNUMBER(H8446)),D8446*H8446*Inputs!$C$69,"")</f>
      </c>
      <c r="J8446" s="42">
        <f>IF(AND(ISNUMBER(F8446),ISNUMBER(H8446),F8446&gt;=Inputs!$C$68),F8446*H8446*Inputs!$C$69,"")</f>
      </c>
    </row>
    <row r="8447" spans="2:10" ht="15" customHeight="1" x14ac:dyDescent="0.2">
      <c r="B8447" s="39">
        <f t="shared" si="66"/>
      </c>
      <c r="C8447" s="40">
        <f>IF(Inputs!$C$60,Inputs!$C$11+(B8447-Inputs!$C$69)/Inputs!$C$70,"")</f>
      </c>
      <c r="D8447" s="15"/>
      <c r="E8447" s="15"/>
      <c r="F8447" s="11">
        <f t="shared" si="67"/>
      </c>
      <c r="G8447" s="22" cm="1">
        <f t="array" ref="G8447">IF(AND(Inputs!$C$60,Inputs!$C$61),INDEX(Utility_Rates!$C$29:$F$52,HOUR(C8447)+Inputs!$C$69,MATCH(INDEX(Utility_Rates!$K$6:$K$17,MONTH(C8447))&amp;IF(WEEKDAY(C8447,Inputs!$C$76)&lt;=Inputs!$C$74," weekday"," weekend"),Utility_Rates!$C$28:$F$28,Inputs!$C$68)),"")</f>
      </c>
      <c r="H8447" s="34"/>
      <c r="I8447" s="42">
        <f>IF(AND(ISNUMBER(D8447),ISNUMBER(H8447)),D8447*H8447*Inputs!$C$69,"")</f>
      </c>
      <c r="J8447" s="42">
        <f>IF(AND(ISNUMBER(F8447),ISNUMBER(H8447),F8447&gt;=Inputs!$C$68),F8447*H8447*Inputs!$C$69,"")</f>
      </c>
    </row>
    <row r="8448" spans="2:10" ht="15" customHeight="1" x14ac:dyDescent="0.2">
      <c r="B8448" s="39">
        <f t="shared" si="66"/>
      </c>
      <c r="C8448" s="40">
        <f>IF(Inputs!$C$60,Inputs!$C$11+(B8448-Inputs!$C$69)/Inputs!$C$70,"")</f>
      </c>
      <c r="D8448" s="15"/>
      <c r="E8448" s="15"/>
      <c r="F8448" s="11">
        <f t="shared" si="67"/>
      </c>
      <c r="G8448" s="22" cm="1">
        <f t="array" ref="G8448">IF(AND(Inputs!$C$60,Inputs!$C$61),INDEX(Utility_Rates!$C$29:$F$52,HOUR(C8448)+Inputs!$C$69,MATCH(INDEX(Utility_Rates!$K$6:$K$17,MONTH(C8448))&amp;IF(WEEKDAY(C8448,Inputs!$C$76)&lt;=Inputs!$C$74," weekday"," weekend"),Utility_Rates!$C$28:$F$28,Inputs!$C$68)),"")</f>
      </c>
      <c r="H8448" s="34"/>
      <c r="I8448" s="42">
        <f>IF(AND(ISNUMBER(D8448),ISNUMBER(H8448)),D8448*H8448*Inputs!$C$69,"")</f>
      </c>
      <c r="J8448" s="42">
        <f>IF(AND(ISNUMBER(F8448),ISNUMBER(H8448),F8448&gt;=Inputs!$C$68),F8448*H8448*Inputs!$C$69,"")</f>
      </c>
    </row>
    <row r="8449" spans="2:10" ht="15" customHeight="1" x14ac:dyDescent="0.2">
      <c r="B8449" s="39">
        <f t="shared" si="66"/>
      </c>
      <c r="C8449" s="40">
        <f>IF(Inputs!$C$60,Inputs!$C$11+(B8449-Inputs!$C$69)/Inputs!$C$70,"")</f>
      </c>
      <c r="D8449" s="15"/>
      <c r="E8449" s="15"/>
      <c r="F8449" s="11">
        <f t="shared" si="67"/>
      </c>
      <c r="G8449" s="22" cm="1">
        <f t="array" ref="G8449">IF(AND(Inputs!$C$60,Inputs!$C$61),INDEX(Utility_Rates!$C$29:$F$52,HOUR(C8449)+Inputs!$C$69,MATCH(INDEX(Utility_Rates!$K$6:$K$17,MONTH(C8449))&amp;IF(WEEKDAY(C8449,Inputs!$C$76)&lt;=Inputs!$C$74," weekday"," weekend"),Utility_Rates!$C$28:$F$28,Inputs!$C$68)),"")</f>
      </c>
      <c r="H8449" s="34"/>
      <c r="I8449" s="42">
        <f>IF(AND(ISNUMBER(D8449),ISNUMBER(H8449)),D8449*H8449*Inputs!$C$69,"")</f>
      </c>
      <c r="J8449" s="42">
        <f>IF(AND(ISNUMBER(F8449),ISNUMBER(H8449),F8449&gt;=Inputs!$C$68),F8449*H8449*Inputs!$C$69,"")</f>
      </c>
    </row>
    <row r="8450" spans="2:10" ht="15" customHeight="1" x14ac:dyDescent="0.2">
      <c r="B8450" s="39">
        <f t="shared" si="66"/>
      </c>
      <c r="C8450" s="40">
        <f>IF(Inputs!$C$60,Inputs!$C$11+(B8450-Inputs!$C$69)/Inputs!$C$70,"")</f>
      </c>
      <c r="D8450" s="15"/>
      <c r="E8450" s="15"/>
      <c r="F8450" s="11">
        <f t="shared" si="67"/>
      </c>
      <c r="G8450" s="22" cm="1">
        <f t="array" ref="G8450">IF(AND(Inputs!$C$60,Inputs!$C$61),INDEX(Utility_Rates!$C$29:$F$52,HOUR(C8450)+Inputs!$C$69,MATCH(INDEX(Utility_Rates!$K$6:$K$17,MONTH(C8450))&amp;IF(WEEKDAY(C8450,Inputs!$C$76)&lt;=Inputs!$C$74," weekday"," weekend"),Utility_Rates!$C$28:$F$28,Inputs!$C$68)),"")</f>
      </c>
      <c r="H8450" s="34"/>
      <c r="I8450" s="42">
        <f>IF(AND(ISNUMBER(D8450),ISNUMBER(H8450)),D8450*H8450*Inputs!$C$69,"")</f>
      </c>
      <c r="J8450" s="42">
        <f>IF(AND(ISNUMBER(F8450),ISNUMBER(H8450),F8450&gt;=Inputs!$C$68),F8450*H8450*Inputs!$C$69,"")</f>
      </c>
    </row>
    <row r="8451" spans="2:10" ht="15" customHeight="1" x14ac:dyDescent="0.2">
      <c r="B8451" s="39">
        <f t="shared" si="66"/>
      </c>
      <c r="C8451" s="40">
        <f>IF(Inputs!$C$60,Inputs!$C$11+(B8451-Inputs!$C$69)/Inputs!$C$70,"")</f>
      </c>
      <c r="D8451" s="15"/>
      <c r="E8451" s="15"/>
      <c r="F8451" s="11">
        <f t="shared" si="67"/>
      </c>
      <c r="G8451" s="22" cm="1">
        <f t="array" ref="G8451">IF(AND(Inputs!$C$60,Inputs!$C$61),INDEX(Utility_Rates!$C$29:$F$52,HOUR(C8451)+Inputs!$C$69,MATCH(INDEX(Utility_Rates!$K$6:$K$17,MONTH(C8451))&amp;IF(WEEKDAY(C8451,Inputs!$C$76)&lt;=Inputs!$C$74," weekday"," weekend"),Utility_Rates!$C$28:$F$28,Inputs!$C$68)),"")</f>
      </c>
      <c r="H8451" s="34"/>
      <c r="I8451" s="42">
        <f>IF(AND(ISNUMBER(D8451),ISNUMBER(H8451)),D8451*H8451*Inputs!$C$69,"")</f>
      </c>
      <c r="J8451" s="42">
        <f>IF(AND(ISNUMBER(F8451),ISNUMBER(H8451),F8451&gt;=Inputs!$C$68),F8451*H8451*Inputs!$C$69,"")</f>
      </c>
    </row>
    <row r="8452" spans="2:10" ht="15" customHeight="1" x14ac:dyDescent="0.2">
      <c r="B8452" s="39">
        <f t="shared" si="66"/>
      </c>
      <c r="C8452" s="40">
        <f>IF(Inputs!$C$60,Inputs!$C$11+(B8452-Inputs!$C$69)/Inputs!$C$70,"")</f>
      </c>
      <c r="D8452" s="15"/>
      <c r="E8452" s="15"/>
      <c r="F8452" s="11">
        <f t="shared" si="67"/>
      </c>
      <c r="G8452" s="22" cm="1">
        <f t="array" ref="G8452">IF(AND(Inputs!$C$60,Inputs!$C$61),INDEX(Utility_Rates!$C$29:$F$52,HOUR(C8452)+Inputs!$C$69,MATCH(INDEX(Utility_Rates!$K$6:$K$17,MONTH(C8452))&amp;IF(WEEKDAY(C8452,Inputs!$C$76)&lt;=Inputs!$C$74," weekday"," weekend"),Utility_Rates!$C$28:$F$28,Inputs!$C$68)),"")</f>
      </c>
      <c r="H8452" s="34"/>
      <c r="I8452" s="42">
        <f>IF(AND(ISNUMBER(D8452),ISNUMBER(H8452)),D8452*H8452*Inputs!$C$69,"")</f>
      </c>
      <c r="J8452" s="42">
        <f>IF(AND(ISNUMBER(F8452),ISNUMBER(H8452),F8452&gt;=Inputs!$C$68),F8452*H8452*Inputs!$C$69,"")</f>
      </c>
    </row>
    <row r="8453" spans="2:10" ht="15" customHeight="1" x14ac:dyDescent="0.2">
      <c r="B8453" s="39">
        <f t="shared" si="66"/>
      </c>
      <c r="C8453" s="40">
        <f>IF(Inputs!$C$60,Inputs!$C$11+(B8453-Inputs!$C$69)/Inputs!$C$70,"")</f>
      </c>
      <c r="D8453" s="15"/>
      <c r="E8453" s="15"/>
      <c r="F8453" s="11">
        <f t="shared" si="67"/>
      </c>
      <c r="G8453" s="22" cm="1">
        <f t="array" ref="G8453">IF(AND(Inputs!$C$60,Inputs!$C$61),INDEX(Utility_Rates!$C$29:$F$52,HOUR(C8453)+Inputs!$C$69,MATCH(INDEX(Utility_Rates!$K$6:$K$17,MONTH(C8453))&amp;IF(WEEKDAY(C8453,Inputs!$C$76)&lt;=Inputs!$C$74," weekday"," weekend"),Utility_Rates!$C$28:$F$28,Inputs!$C$68)),"")</f>
      </c>
      <c r="H8453" s="34"/>
      <c r="I8453" s="42">
        <f>IF(AND(ISNUMBER(D8453),ISNUMBER(H8453)),D8453*H8453*Inputs!$C$69,"")</f>
      </c>
      <c r="J8453" s="42">
        <f>IF(AND(ISNUMBER(F8453),ISNUMBER(H8453),F8453&gt;=Inputs!$C$68),F8453*H8453*Inputs!$C$69,"")</f>
      </c>
    </row>
    <row r="8454" spans="2:10" ht="15" customHeight="1" x14ac:dyDescent="0.2">
      <c r="B8454" s="39">
        <f t="shared" si="66"/>
      </c>
      <c r="C8454" s="40">
        <f>IF(Inputs!$C$60,Inputs!$C$11+(B8454-Inputs!$C$69)/Inputs!$C$70,"")</f>
      </c>
      <c r="D8454" s="15"/>
      <c r="E8454" s="15"/>
      <c r="F8454" s="11">
        <f t="shared" si="67"/>
      </c>
      <c r="G8454" s="22" cm="1">
        <f t="array" ref="G8454">IF(AND(Inputs!$C$60,Inputs!$C$61),INDEX(Utility_Rates!$C$29:$F$52,HOUR(C8454)+Inputs!$C$69,MATCH(INDEX(Utility_Rates!$K$6:$K$17,MONTH(C8454))&amp;IF(WEEKDAY(C8454,Inputs!$C$76)&lt;=Inputs!$C$74," weekday"," weekend"),Utility_Rates!$C$28:$F$28,Inputs!$C$68)),"")</f>
      </c>
      <c r="H8454" s="34"/>
      <c r="I8454" s="42">
        <f>IF(AND(ISNUMBER(D8454),ISNUMBER(H8454)),D8454*H8454*Inputs!$C$69,"")</f>
      </c>
      <c r="J8454" s="42">
        <f>IF(AND(ISNUMBER(F8454),ISNUMBER(H8454),F8454&gt;=Inputs!$C$68),F8454*H8454*Inputs!$C$69,"")</f>
      </c>
    </row>
    <row r="8455" spans="2:10" ht="15" customHeight="1" x14ac:dyDescent="0.2">
      <c r="B8455" s="39">
        <f t="shared" si="66"/>
      </c>
      <c r="C8455" s="40">
        <f>IF(Inputs!$C$60,Inputs!$C$11+(B8455-Inputs!$C$69)/Inputs!$C$70,"")</f>
      </c>
      <c r="D8455" s="15"/>
      <c r="E8455" s="15"/>
      <c r="F8455" s="11">
        <f t="shared" si="67"/>
      </c>
      <c r="G8455" s="22" cm="1">
        <f t="array" ref="G8455">IF(AND(Inputs!$C$60,Inputs!$C$61),INDEX(Utility_Rates!$C$29:$F$52,HOUR(C8455)+Inputs!$C$69,MATCH(INDEX(Utility_Rates!$K$6:$K$17,MONTH(C8455))&amp;IF(WEEKDAY(C8455,Inputs!$C$76)&lt;=Inputs!$C$74," weekday"," weekend"),Utility_Rates!$C$28:$F$28,Inputs!$C$68)),"")</f>
      </c>
      <c r="H8455" s="34"/>
      <c r="I8455" s="42">
        <f>IF(AND(ISNUMBER(D8455),ISNUMBER(H8455)),D8455*H8455*Inputs!$C$69,"")</f>
      </c>
      <c r="J8455" s="42">
        <f>IF(AND(ISNUMBER(F8455),ISNUMBER(H8455),F8455&gt;=Inputs!$C$68),F8455*H8455*Inputs!$C$69,"")</f>
      </c>
    </row>
    <row r="8456" spans="2:10" ht="15" customHeight="1" x14ac:dyDescent="0.2">
      <c r="B8456" s="39">
        <f t="shared" si="66"/>
      </c>
      <c r="C8456" s="40">
        <f>IF(Inputs!$C$60,Inputs!$C$11+(B8456-Inputs!$C$69)/Inputs!$C$70,"")</f>
      </c>
      <c r="D8456" s="15"/>
      <c r="E8456" s="15"/>
      <c r="F8456" s="11">
        <f t="shared" si="67"/>
      </c>
      <c r="G8456" s="22" cm="1">
        <f t="array" ref="G8456">IF(AND(Inputs!$C$60,Inputs!$C$61),INDEX(Utility_Rates!$C$29:$F$52,HOUR(C8456)+Inputs!$C$69,MATCH(INDEX(Utility_Rates!$K$6:$K$17,MONTH(C8456))&amp;IF(WEEKDAY(C8456,Inputs!$C$76)&lt;=Inputs!$C$74," weekday"," weekend"),Utility_Rates!$C$28:$F$28,Inputs!$C$68)),"")</f>
      </c>
      <c r="H8456" s="34"/>
      <c r="I8456" s="42">
        <f>IF(AND(ISNUMBER(D8456),ISNUMBER(H8456)),D8456*H8456*Inputs!$C$69,"")</f>
      </c>
      <c r="J8456" s="42">
        <f>IF(AND(ISNUMBER(F8456),ISNUMBER(H8456),F8456&gt;=Inputs!$C$68),F8456*H8456*Inputs!$C$69,"")</f>
      </c>
    </row>
    <row r="8457" spans="2:10" ht="15" customHeight="1" x14ac:dyDescent="0.2">
      <c r="B8457" s="39">
        <f t="shared" si="66"/>
      </c>
      <c r="C8457" s="40">
        <f>IF(Inputs!$C$60,Inputs!$C$11+(B8457-Inputs!$C$69)/Inputs!$C$70,"")</f>
      </c>
      <c r="D8457" s="15"/>
      <c r="E8457" s="15"/>
      <c r="F8457" s="11">
        <f t="shared" si="67"/>
      </c>
      <c r="G8457" s="22" cm="1">
        <f t="array" ref="G8457">IF(AND(Inputs!$C$60,Inputs!$C$61),INDEX(Utility_Rates!$C$29:$F$52,HOUR(C8457)+Inputs!$C$69,MATCH(INDEX(Utility_Rates!$K$6:$K$17,MONTH(C8457))&amp;IF(WEEKDAY(C8457,Inputs!$C$76)&lt;=Inputs!$C$74," weekday"," weekend"),Utility_Rates!$C$28:$F$28,Inputs!$C$68)),"")</f>
      </c>
      <c r="H8457" s="34"/>
      <c r="I8457" s="42">
        <f>IF(AND(ISNUMBER(D8457),ISNUMBER(H8457)),D8457*H8457*Inputs!$C$69,"")</f>
      </c>
      <c r="J8457" s="42">
        <f>IF(AND(ISNUMBER(F8457),ISNUMBER(H8457),F8457&gt;=Inputs!$C$68),F8457*H8457*Inputs!$C$69,"")</f>
      </c>
    </row>
    <row r="8458" spans="2:10" ht="15" customHeight="1" x14ac:dyDescent="0.2">
      <c r="B8458" s="39">
        <f t="shared" si="66"/>
      </c>
      <c r="C8458" s="40">
        <f>IF(Inputs!$C$60,Inputs!$C$11+(B8458-Inputs!$C$69)/Inputs!$C$70,"")</f>
      </c>
      <c r="D8458" s="15"/>
      <c r="E8458" s="15"/>
      <c r="F8458" s="11">
        <f t="shared" si="67"/>
      </c>
      <c r="G8458" s="22" cm="1">
        <f t="array" ref="G8458">IF(AND(Inputs!$C$60,Inputs!$C$61),INDEX(Utility_Rates!$C$29:$F$52,HOUR(C8458)+Inputs!$C$69,MATCH(INDEX(Utility_Rates!$K$6:$K$17,MONTH(C8458))&amp;IF(WEEKDAY(C8458,Inputs!$C$76)&lt;=Inputs!$C$74," weekday"," weekend"),Utility_Rates!$C$28:$F$28,Inputs!$C$68)),"")</f>
      </c>
      <c r="H8458" s="34"/>
      <c r="I8458" s="42">
        <f>IF(AND(ISNUMBER(D8458),ISNUMBER(H8458)),D8458*H8458*Inputs!$C$69,"")</f>
      </c>
      <c r="J8458" s="42">
        <f>IF(AND(ISNUMBER(F8458),ISNUMBER(H8458),F8458&gt;=Inputs!$C$68),F8458*H8458*Inputs!$C$69,"")</f>
      </c>
    </row>
    <row r="8459" spans="2:10" ht="15" customHeight="1" x14ac:dyDescent="0.2">
      <c r="B8459" s="39">
        <f t="shared" si="66"/>
      </c>
      <c r="C8459" s="40">
        <f>IF(Inputs!$C$60,Inputs!$C$11+(B8459-Inputs!$C$69)/Inputs!$C$70,"")</f>
      </c>
      <c r="D8459" s="15"/>
      <c r="E8459" s="15"/>
      <c r="F8459" s="11">
        <f t="shared" si="67"/>
      </c>
      <c r="G8459" s="22" cm="1">
        <f t="array" ref="G8459">IF(AND(Inputs!$C$60,Inputs!$C$61),INDEX(Utility_Rates!$C$29:$F$52,HOUR(C8459)+Inputs!$C$69,MATCH(INDEX(Utility_Rates!$K$6:$K$17,MONTH(C8459))&amp;IF(WEEKDAY(C8459,Inputs!$C$76)&lt;=Inputs!$C$74," weekday"," weekend"),Utility_Rates!$C$28:$F$28,Inputs!$C$68)),"")</f>
      </c>
      <c r="H8459" s="34"/>
      <c r="I8459" s="42">
        <f>IF(AND(ISNUMBER(D8459),ISNUMBER(H8459)),D8459*H8459*Inputs!$C$69,"")</f>
      </c>
      <c r="J8459" s="42">
        <f>IF(AND(ISNUMBER(F8459),ISNUMBER(H8459),F8459&gt;=Inputs!$C$68),F8459*H8459*Inputs!$C$69,"")</f>
      </c>
    </row>
    <row r="8460" spans="2:10" ht="15" customHeight="1" x14ac:dyDescent="0.2">
      <c r="B8460" s="39">
        <f t="shared" si="66"/>
      </c>
      <c r="C8460" s="40">
        <f>IF(Inputs!$C$60,Inputs!$C$11+(B8460-Inputs!$C$69)/Inputs!$C$70,"")</f>
      </c>
      <c r="D8460" s="15"/>
      <c r="E8460" s="15"/>
      <c r="F8460" s="11">
        <f t="shared" si="67"/>
      </c>
      <c r="G8460" s="22" cm="1">
        <f t="array" ref="G8460">IF(AND(Inputs!$C$60,Inputs!$C$61),INDEX(Utility_Rates!$C$29:$F$52,HOUR(C8460)+Inputs!$C$69,MATCH(INDEX(Utility_Rates!$K$6:$K$17,MONTH(C8460))&amp;IF(WEEKDAY(C8460,Inputs!$C$76)&lt;=Inputs!$C$74," weekday"," weekend"),Utility_Rates!$C$28:$F$28,Inputs!$C$68)),"")</f>
      </c>
      <c r="H8460" s="34"/>
      <c r="I8460" s="42">
        <f>IF(AND(ISNUMBER(D8460),ISNUMBER(H8460)),D8460*H8460*Inputs!$C$69,"")</f>
      </c>
      <c r="J8460" s="42">
        <f>IF(AND(ISNUMBER(F8460),ISNUMBER(H8460),F8460&gt;=Inputs!$C$68),F8460*H8460*Inputs!$C$69,"")</f>
      </c>
    </row>
    <row r="8461" spans="2:10" ht="15" customHeight="1" x14ac:dyDescent="0.2">
      <c r="B8461" s="39">
        <f t="shared" si="66"/>
      </c>
      <c r="C8461" s="40">
        <f>IF(Inputs!$C$60,Inputs!$C$11+(B8461-Inputs!$C$69)/Inputs!$C$70,"")</f>
      </c>
      <c r="D8461" s="15"/>
      <c r="E8461" s="15"/>
      <c r="F8461" s="11">
        <f t="shared" si="67"/>
      </c>
      <c r="G8461" s="22" cm="1">
        <f t="array" ref="G8461">IF(AND(Inputs!$C$60,Inputs!$C$61),INDEX(Utility_Rates!$C$29:$F$52,HOUR(C8461)+Inputs!$C$69,MATCH(INDEX(Utility_Rates!$K$6:$K$17,MONTH(C8461))&amp;IF(WEEKDAY(C8461,Inputs!$C$76)&lt;=Inputs!$C$74," weekday"," weekend"),Utility_Rates!$C$28:$F$28,Inputs!$C$68)),"")</f>
      </c>
      <c r="H8461" s="34"/>
      <c r="I8461" s="42">
        <f>IF(AND(ISNUMBER(D8461),ISNUMBER(H8461)),D8461*H8461*Inputs!$C$69,"")</f>
      </c>
      <c r="J8461" s="42">
        <f>IF(AND(ISNUMBER(F8461),ISNUMBER(H8461),F8461&gt;=Inputs!$C$68),F8461*H8461*Inputs!$C$69,"")</f>
      </c>
    </row>
    <row r="8462" spans="2:10" ht="15" customHeight="1" x14ac:dyDescent="0.2">
      <c r="B8462" s="39">
        <f t="shared" si="66"/>
      </c>
      <c r="C8462" s="40">
        <f>IF(Inputs!$C$60,Inputs!$C$11+(B8462-Inputs!$C$69)/Inputs!$C$70,"")</f>
      </c>
      <c r="D8462" s="15"/>
      <c r="E8462" s="15"/>
      <c r="F8462" s="11">
        <f t="shared" si="67"/>
      </c>
      <c r="G8462" s="22" cm="1">
        <f t="array" ref="G8462">IF(AND(Inputs!$C$60,Inputs!$C$61),INDEX(Utility_Rates!$C$29:$F$52,HOUR(C8462)+Inputs!$C$69,MATCH(INDEX(Utility_Rates!$K$6:$K$17,MONTH(C8462))&amp;IF(WEEKDAY(C8462,Inputs!$C$76)&lt;=Inputs!$C$74," weekday"," weekend"),Utility_Rates!$C$28:$F$28,Inputs!$C$68)),"")</f>
      </c>
      <c r="H8462" s="34"/>
      <c r="I8462" s="42">
        <f>IF(AND(ISNUMBER(D8462),ISNUMBER(H8462)),D8462*H8462*Inputs!$C$69,"")</f>
      </c>
      <c r="J8462" s="42">
        <f>IF(AND(ISNUMBER(F8462),ISNUMBER(H8462),F8462&gt;=Inputs!$C$68),F8462*H8462*Inputs!$C$69,"")</f>
      </c>
    </row>
    <row r="8463" spans="2:10" ht="15" customHeight="1" x14ac:dyDescent="0.2">
      <c r="B8463" s="39">
        <f t="shared" si="66"/>
      </c>
      <c r="C8463" s="40">
        <f>IF(Inputs!$C$60,Inputs!$C$11+(B8463-Inputs!$C$69)/Inputs!$C$70,"")</f>
      </c>
      <c r="D8463" s="15"/>
      <c r="E8463" s="15"/>
      <c r="F8463" s="11">
        <f t="shared" si="67"/>
      </c>
      <c r="G8463" s="22" cm="1">
        <f t="array" ref="G8463">IF(AND(Inputs!$C$60,Inputs!$C$61),INDEX(Utility_Rates!$C$29:$F$52,HOUR(C8463)+Inputs!$C$69,MATCH(INDEX(Utility_Rates!$K$6:$K$17,MONTH(C8463))&amp;IF(WEEKDAY(C8463,Inputs!$C$76)&lt;=Inputs!$C$74," weekday"," weekend"),Utility_Rates!$C$28:$F$28,Inputs!$C$68)),"")</f>
      </c>
      <c r="H8463" s="34"/>
      <c r="I8463" s="42">
        <f>IF(AND(ISNUMBER(D8463),ISNUMBER(H8463)),D8463*H8463*Inputs!$C$69,"")</f>
      </c>
      <c r="J8463" s="42">
        <f>IF(AND(ISNUMBER(F8463),ISNUMBER(H8463),F8463&gt;=Inputs!$C$68),F8463*H8463*Inputs!$C$69,"")</f>
      </c>
    </row>
    <row r="8464" spans="2:10" ht="15" customHeight="1" x14ac:dyDescent="0.2">
      <c r="B8464" s="39">
        <f t="shared" si="66"/>
      </c>
      <c r="C8464" s="40">
        <f>IF(Inputs!$C$60,Inputs!$C$11+(B8464-Inputs!$C$69)/Inputs!$C$70,"")</f>
      </c>
      <c r="D8464" s="15"/>
      <c r="E8464" s="15"/>
      <c r="F8464" s="11">
        <f t="shared" si="67"/>
      </c>
      <c r="G8464" s="22" cm="1">
        <f t="array" ref="G8464">IF(AND(Inputs!$C$60,Inputs!$C$61),INDEX(Utility_Rates!$C$29:$F$52,HOUR(C8464)+Inputs!$C$69,MATCH(INDEX(Utility_Rates!$K$6:$K$17,MONTH(C8464))&amp;IF(WEEKDAY(C8464,Inputs!$C$76)&lt;=Inputs!$C$74," weekday"," weekend"),Utility_Rates!$C$28:$F$28,Inputs!$C$68)),"")</f>
      </c>
      <c r="H8464" s="34"/>
      <c r="I8464" s="42">
        <f>IF(AND(ISNUMBER(D8464),ISNUMBER(H8464)),D8464*H8464*Inputs!$C$69,"")</f>
      </c>
      <c r="J8464" s="42">
        <f>IF(AND(ISNUMBER(F8464),ISNUMBER(H8464),F8464&gt;=Inputs!$C$68),F8464*H8464*Inputs!$C$69,"")</f>
      </c>
    </row>
    <row r="8465" spans="2:10" ht="15" customHeight="1" x14ac:dyDescent="0.2">
      <c r="B8465" s="39">
        <f t="shared" si="66"/>
      </c>
      <c r="C8465" s="40">
        <f>IF(Inputs!$C$60,Inputs!$C$11+(B8465-Inputs!$C$69)/Inputs!$C$70,"")</f>
      </c>
      <c r="D8465" s="15"/>
      <c r="E8465" s="15"/>
      <c r="F8465" s="11">
        <f t="shared" si="67"/>
      </c>
      <c r="G8465" s="22" cm="1">
        <f t="array" ref="G8465">IF(AND(Inputs!$C$60,Inputs!$C$61),INDEX(Utility_Rates!$C$29:$F$52,HOUR(C8465)+Inputs!$C$69,MATCH(INDEX(Utility_Rates!$K$6:$K$17,MONTH(C8465))&amp;IF(WEEKDAY(C8465,Inputs!$C$76)&lt;=Inputs!$C$74," weekday"," weekend"),Utility_Rates!$C$28:$F$28,Inputs!$C$68)),"")</f>
      </c>
      <c r="H8465" s="34"/>
      <c r="I8465" s="42">
        <f>IF(AND(ISNUMBER(D8465),ISNUMBER(H8465)),D8465*H8465*Inputs!$C$69,"")</f>
      </c>
      <c r="J8465" s="42">
        <f>IF(AND(ISNUMBER(F8465),ISNUMBER(H8465),F8465&gt;=Inputs!$C$68),F8465*H8465*Inputs!$C$69,"")</f>
      </c>
    </row>
    <row r="8466" spans="2:10" ht="15" customHeight="1" x14ac:dyDescent="0.2">
      <c r="B8466" s="39">
        <f t="shared" si="66"/>
      </c>
      <c r="C8466" s="40">
        <f>IF(Inputs!$C$60,Inputs!$C$11+(B8466-Inputs!$C$69)/Inputs!$C$70,"")</f>
      </c>
      <c r="D8466" s="15"/>
      <c r="E8466" s="15"/>
      <c r="F8466" s="11">
        <f t="shared" si="67"/>
      </c>
      <c r="G8466" s="22" cm="1">
        <f t="array" ref="G8466">IF(AND(Inputs!$C$60,Inputs!$C$61),INDEX(Utility_Rates!$C$29:$F$52,HOUR(C8466)+Inputs!$C$69,MATCH(INDEX(Utility_Rates!$K$6:$K$17,MONTH(C8466))&amp;IF(WEEKDAY(C8466,Inputs!$C$76)&lt;=Inputs!$C$74," weekday"," weekend"),Utility_Rates!$C$28:$F$28,Inputs!$C$68)),"")</f>
      </c>
      <c r="H8466" s="34"/>
      <c r="I8466" s="42">
        <f>IF(AND(ISNUMBER(D8466),ISNUMBER(H8466)),D8466*H8466*Inputs!$C$69,"")</f>
      </c>
      <c r="J8466" s="42">
        <f>IF(AND(ISNUMBER(F8466),ISNUMBER(H8466),F8466&gt;=Inputs!$C$68),F8466*H8466*Inputs!$C$69,"")</f>
      </c>
    </row>
    <row r="8467" spans="2:10" ht="15" customHeight="1" x14ac:dyDescent="0.2">
      <c r="B8467" s="39">
        <f t="shared" si="66"/>
      </c>
      <c r="C8467" s="40">
        <f>IF(Inputs!$C$60,Inputs!$C$11+(B8467-Inputs!$C$69)/Inputs!$C$70,"")</f>
      </c>
      <c r="D8467" s="15"/>
      <c r="E8467" s="15"/>
      <c r="F8467" s="11">
        <f t="shared" si="67"/>
      </c>
      <c r="G8467" s="22" cm="1">
        <f t="array" ref="G8467">IF(AND(Inputs!$C$60,Inputs!$C$61),INDEX(Utility_Rates!$C$29:$F$52,HOUR(C8467)+Inputs!$C$69,MATCH(INDEX(Utility_Rates!$K$6:$K$17,MONTH(C8467))&amp;IF(WEEKDAY(C8467,Inputs!$C$76)&lt;=Inputs!$C$74," weekday"," weekend"),Utility_Rates!$C$28:$F$28,Inputs!$C$68)),"")</f>
      </c>
      <c r="H8467" s="34"/>
      <c r="I8467" s="42">
        <f>IF(AND(ISNUMBER(D8467),ISNUMBER(H8467)),D8467*H8467*Inputs!$C$69,"")</f>
      </c>
      <c r="J8467" s="42">
        <f>IF(AND(ISNUMBER(F8467),ISNUMBER(H8467),F8467&gt;=Inputs!$C$68),F8467*H8467*Inputs!$C$69,"")</f>
      </c>
    </row>
    <row r="8468" spans="2:10" ht="15" customHeight="1" x14ac:dyDescent="0.2">
      <c r="B8468" s="39">
        <f t="shared" si="66"/>
      </c>
      <c r="C8468" s="40">
        <f>IF(Inputs!$C$60,Inputs!$C$11+(B8468-Inputs!$C$69)/Inputs!$C$70,"")</f>
      </c>
      <c r="D8468" s="15"/>
      <c r="E8468" s="15"/>
      <c r="F8468" s="11">
        <f t="shared" si="67"/>
      </c>
      <c r="G8468" s="22" cm="1">
        <f t="array" ref="G8468">IF(AND(Inputs!$C$60,Inputs!$C$61),INDEX(Utility_Rates!$C$29:$F$52,HOUR(C8468)+Inputs!$C$69,MATCH(INDEX(Utility_Rates!$K$6:$K$17,MONTH(C8468))&amp;IF(WEEKDAY(C8468,Inputs!$C$76)&lt;=Inputs!$C$74," weekday"," weekend"),Utility_Rates!$C$28:$F$28,Inputs!$C$68)),"")</f>
      </c>
      <c r="H8468" s="34"/>
      <c r="I8468" s="42">
        <f>IF(AND(ISNUMBER(D8468),ISNUMBER(H8468)),D8468*H8468*Inputs!$C$69,"")</f>
      </c>
      <c r="J8468" s="42">
        <f>IF(AND(ISNUMBER(F8468),ISNUMBER(H8468),F8468&gt;=Inputs!$C$68),F8468*H8468*Inputs!$C$69,"")</f>
      </c>
    </row>
    <row r="8469" spans="2:10" ht="15" customHeight="1" x14ac:dyDescent="0.2">
      <c r="B8469" s="39">
        <f t="shared" si="66"/>
      </c>
      <c r="C8469" s="40">
        <f>IF(Inputs!$C$60,Inputs!$C$11+(B8469-Inputs!$C$69)/Inputs!$C$70,"")</f>
      </c>
      <c r="D8469" s="15"/>
      <c r="E8469" s="15"/>
      <c r="F8469" s="11">
        <f t="shared" si="67"/>
      </c>
      <c r="G8469" s="22" cm="1">
        <f t="array" ref="G8469">IF(AND(Inputs!$C$60,Inputs!$C$61),INDEX(Utility_Rates!$C$29:$F$52,HOUR(C8469)+Inputs!$C$69,MATCH(INDEX(Utility_Rates!$K$6:$K$17,MONTH(C8469))&amp;IF(WEEKDAY(C8469,Inputs!$C$76)&lt;=Inputs!$C$74," weekday"," weekend"),Utility_Rates!$C$28:$F$28,Inputs!$C$68)),"")</f>
      </c>
      <c r="H8469" s="34"/>
      <c r="I8469" s="42">
        <f>IF(AND(ISNUMBER(D8469),ISNUMBER(H8469)),D8469*H8469*Inputs!$C$69,"")</f>
      </c>
      <c r="J8469" s="42">
        <f>IF(AND(ISNUMBER(F8469),ISNUMBER(H8469),F8469&gt;=Inputs!$C$68),F8469*H8469*Inputs!$C$69,"")</f>
      </c>
    </row>
    <row r="8470" spans="2:10" ht="15" customHeight="1" x14ac:dyDescent="0.2">
      <c r="B8470" s="39">
        <f t="shared" si="66"/>
      </c>
      <c r="C8470" s="40">
        <f>IF(Inputs!$C$60,Inputs!$C$11+(B8470-Inputs!$C$69)/Inputs!$C$70,"")</f>
      </c>
      <c r="D8470" s="15"/>
      <c r="E8470" s="15"/>
      <c r="F8470" s="11">
        <f t="shared" si="67"/>
      </c>
      <c r="G8470" s="22" cm="1">
        <f t="array" ref="G8470">IF(AND(Inputs!$C$60,Inputs!$C$61),INDEX(Utility_Rates!$C$29:$F$52,HOUR(C8470)+Inputs!$C$69,MATCH(INDEX(Utility_Rates!$K$6:$K$17,MONTH(C8470))&amp;IF(WEEKDAY(C8470,Inputs!$C$76)&lt;=Inputs!$C$74," weekday"," weekend"),Utility_Rates!$C$28:$F$28,Inputs!$C$68)),"")</f>
      </c>
      <c r="H8470" s="34"/>
      <c r="I8470" s="42">
        <f>IF(AND(ISNUMBER(D8470),ISNUMBER(H8470)),D8470*H8470*Inputs!$C$69,"")</f>
      </c>
      <c r="J8470" s="42">
        <f>IF(AND(ISNUMBER(F8470),ISNUMBER(H8470),F8470&gt;=Inputs!$C$68),F8470*H8470*Inputs!$C$69,"")</f>
      </c>
    </row>
    <row r="8471" spans="2:10" ht="15" customHeight="1" x14ac:dyDescent="0.2">
      <c r="B8471" s="39">
        <f t="shared" si="66"/>
      </c>
      <c r="C8471" s="40">
        <f>IF(Inputs!$C$60,Inputs!$C$11+(B8471-Inputs!$C$69)/Inputs!$C$70,"")</f>
      </c>
      <c r="D8471" s="15"/>
      <c r="E8471" s="15"/>
      <c r="F8471" s="11">
        <f t="shared" si="67"/>
      </c>
      <c r="G8471" s="22" cm="1">
        <f t="array" ref="G8471">IF(AND(Inputs!$C$60,Inputs!$C$61),INDEX(Utility_Rates!$C$29:$F$52,HOUR(C8471)+Inputs!$C$69,MATCH(INDEX(Utility_Rates!$K$6:$K$17,MONTH(C8471))&amp;IF(WEEKDAY(C8471,Inputs!$C$76)&lt;=Inputs!$C$74," weekday"," weekend"),Utility_Rates!$C$28:$F$28,Inputs!$C$68)),"")</f>
      </c>
      <c r="H8471" s="34"/>
      <c r="I8471" s="42">
        <f>IF(AND(ISNUMBER(D8471),ISNUMBER(H8471)),D8471*H8471*Inputs!$C$69,"")</f>
      </c>
      <c r="J8471" s="42">
        <f>IF(AND(ISNUMBER(F8471),ISNUMBER(H8471),F8471&gt;=Inputs!$C$68),F8471*H8471*Inputs!$C$69,"")</f>
      </c>
    </row>
    <row r="8472" spans="2:10" ht="15" customHeight="1" x14ac:dyDescent="0.2">
      <c r="B8472" s="39">
        <f t="shared" si="66"/>
      </c>
      <c r="C8472" s="40">
        <f>IF(Inputs!$C$60,Inputs!$C$11+(B8472-Inputs!$C$69)/Inputs!$C$70,"")</f>
      </c>
      <c r="D8472" s="15"/>
      <c r="E8472" s="15"/>
      <c r="F8472" s="11">
        <f t="shared" si="67"/>
      </c>
      <c r="G8472" s="22" cm="1">
        <f t="array" ref="G8472">IF(AND(Inputs!$C$60,Inputs!$C$61),INDEX(Utility_Rates!$C$29:$F$52,HOUR(C8472)+Inputs!$C$69,MATCH(INDEX(Utility_Rates!$K$6:$K$17,MONTH(C8472))&amp;IF(WEEKDAY(C8472,Inputs!$C$76)&lt;=Inputs!$C$74," weekday"," weekend"),Utility_Rates!$C$28:$F$28,Inputs!$C$68)),"")</f>
      </c>
      <c r="H8472" s="34"/>
      <c r="I8472" s="42">
        <f>IF(AND(ISNUMBER(D8472),ISNUMBER(H8472)),D8472*H8472*Inputs!$C$69,"")</f>
      </c>
      <c r="J8472" s="42">
        <f>IF(AND(ISNUMBER(F8472),ISNUMBER(H8472),F8472&gt;=Inputs!$C$68),F8472*H8472*Inputs!$C$69,"")</f>
      </c>
    </row>
    <row r="8473" spans="2:10" ht="15" customHeight="1" x14ac:dyDescent="0.2">
      <c r="B8473" s="39">
        <f t="shared" si="66"/>
      </c>
      <c r="C8473" s="40">
        <f>IF(Inputs!$C$60,Inputs!$C$11+(B8473-Inputs!$C$69)/Inputs!$C$70,"")</f>
      </c>
      <c r="D8473" s="15"/>
      <c r="E8473" s="15"/>
      <c r="F8473" s="11">
        <f t="shared" si="67"/>
      </c>
      <c r="G8473" s="22" cm="1">
        <f t="array" ref="G8473">IF(AND(Inputs!$C$60,Inputs!$C$61),INDEX(Utility_Rates!$C$29:$F$52,HOUR(C8473)+Inputs!$C$69,MATCH(INDEX(Utility_Rates!$K$6:$K$17,MONTH(C8473))&amp;IF(WEEKDAY(C8473,Inputs!$C$76)&lt;=Inputs!$C$74," weekday"," weekend"),Utility_Rates!$C$28:$F$28,Inputs!$C$68)),"")</f>
      </c>
      <c r="H8473" s="34"/>
      <c r="I8473" s="42">
        <f>IF(AND(ISNUMBER(D8473),ISNUMBER(H8473)),D8473*H8473*Inputs!$C$69,"")</f>
      </c>
      <c r="J8473" s="42">
        <f>IF(AND(ISNUMBER(F8473),ISNUMBER(H8473),F8473&gt;=Inputs!$C$68),F8473*H8473*Inputs!$C$69,"")</f>
      </c>
    </row>
    <row r="8474" spans="2:10" ht="15" customHeight="1" x14ac:dyDescent="0.2">
      <c r="B8474" s="39">
        <f t="shared" si="66"/>
      </c>
      <c r="C8474" s="40">
        <f>IF(Inputs!$C$60,Inputs!$C$11+(B8474-Inputs!$C$69)/Inputs!$C$70,"")</f>
      </c>
      <c r="D8474" s="15"/>
      <c r="E8474" s="15"/>
      <c r="F8474" s="11">
        <f t="shared" si="67"/>
      </c>
      <c r="G8474" s="22" cm="1">
        <f t="array" ref="G8474">IF(AND(Inputs!$C$60,Inputs!$C$61),INDEX(Utility_Rates!$C$29:$F$52,HOUR(C8474)+Inputs!$C$69,MATCH(INDEX(Utility_Rates!$K$6:$K$17,MONTH(C8474))&amp;IF(WEEKDAY(C8474,Inputs!$C$76)&lt;=Inputs!$C$74," weekday"," weekend"),Utility_Rates!$C$28:$F$28,Inputs!$C$68)),"")</f>
      </c>
      <c r="H8474" s="34"/>
      <c r="I8474" s="42">
        <f>IF(AND(ISNUMBER(D8474),ISNUMBER(H8474)),D8474*H8474*Inputs!$C$69,"")</f>
      </c>
      <c r="J8474" s="42">
        <f>IF(AND(ISNUMBER(F8474),ISNUMBER(H8474),F8474&gt;=Inputs!$C$68),F8474*H8474*Inputs!$C$69,"")</f>
      </c>
    </row>
    <row r="8475" spans="2:10" ht="15" customHeight="1" x14ac:dyDescent="0.2">
      <c r="B8475" s="39">
        <f t="shared" si="66"/>
      </c>
      <c r="C8475" s="40">
        <f>IF(Inputs!$C$60,Inputs!$C$11+(B8475-Inputs!$C$69)/Inputs!$C$70,"")</f>
      </c>
      <c r="D8475" s="15"/>
      <c r="E8475" s="15"/>
      <c r="F8475" s="11">
        <f t="shared" si="67"/>
      </c>
      <c r="G8475" s="22" cm="1">
        <f t="array" ref="G8475">IF(AND(Inputs!$C$60,Inputs!$C$61),INDEX(Utility_Rates!$C$29:$F$52,HOUR(C8475)+Inputs!$C$69,MATCH(INDEX(Utility_Rates!$K$6:$K$17,MONTH(C8475))&amp;IF(WEEKDAY(C8475,Inputs!$C$76)&lt;=Inputs!$C$74," weekday"," weekend"),Utility_Rates!$C$28:$F$28,Inputs!$C$68)),"")</f>
      </c>
      <c r="H8475" s="34"/>
      <c r="I8475" s="42">
        <f>IF(AND(ISNUMBER(D8475),ISNUMBER(H8475)),D8475*H8475*Inputs!$C$69,"")</f>
      </c>
      <c r="J8475" s="42">
        <f>IF(AND(ISNUMBER(F8475),ISNUMBER(H8475),F8475&gt;=Inputs!$C$68),F8475*H8475*Inputs!$C$69,"")</f>
      </c>
    </row>
    <row r="8476" spans="2:10" ht="15" customHeight="1" x14ac:dyDescent="0.2">
      <c r="B8476" s="39">
        <f t="shared" si="66"/>
      </c>
      <c r="C8476" s="40">
        <f>IF(Inputs!$C$60,Inputs!$C$11+(B8476-Inputs!$C$69)/Inputs!$C$70,"")</f>
      </c>
      <c r="D8476" s="15"/>
      <c r="E8476" s="15"/>
      <c r="F8476" s="11">
        <f t="shared" si="67"/>
      </c>
      <c r="G8476" s="22" cm="1">
        <f t="array" ref="G8476">IF(AND(Inputs!$C$60,Inputs!$C$61),INDEX(Utility_Rates!$C$29:$F$52,HOUR(C8476)+Inputs!$C$69,MATCH(INDEX(Utility_Rates!$K$6:$K$17,MONTH(C8476))&amp;IF(WEEKDAY(C8476,Inputs!$C$76)&lt;=Inputs!$C$74," weekday"," weekend"),Utility_Rates!$C$28:$F$28,Inputs!$C$68)),"")</f>
      </c>
      <c r="H8476" s="34"/>
      <c r="I8476" s="42">
        <f>IF(AND(ISNUMBER(D8476),ISNUMBER(H8476)),D8476*H8476*Inputs!$C$69,"")</f>
      </c>
      <c r="J8476" s="42">
        <f>IF(AND(ISNUMBER(F8476),ISNUMBER(H8476),F8476&gt;=Inputs!$C$68),F8476*H8476*Inputs!$C$69,"")</f>
      </c>
    </row>
    <row r="8477" spans="2:10" ht="15" customHeight="1" x14ac:dyDescent="0.2">
      <c r="B8477" s="39">
        <f t="shared" si="66"/>
      </c>
      <c r="C8477" s="40">
        <f>IF(Inputs!$C$60,Inputs!$C$11+(B8477-Inputs!$C$69)/Inputs!$C$70,"")</f>
      </c>
      <c r="D8477" s="15"/>
      <c r="E8477" s="15"/>
      <c r="F8477" s="11">
        <f t="shared" si="67"/>
      </c>
      <c r="G8477" s="22" cm="1">
        <f t="array" ref="G8477">IF(AND(Inputs!$C$60,Inputs!$C$61),INDEX(Utility_Rates!$C$29:$F$52,HOUR(C8477)+Inputs!$C$69,MATCH(INDEX(Utility_Rates!$K$6:$K$17,MONTH(C8477))&amp;IF(WEEKDAY(C8477,Inputs!$C$76)&lt;=Inputs!$C$74," weekday"," weekend"),Utility_Rates!$C$28:$F$28,Inputs!$C$68)),"")</f>
      </c>
      <c r="H8477" s="34"/>
      <c r="I8477" s="42">
        <f>IF(AND(ISNUMBER(D8477),ISNUMBER(H8477)),D8477*H8477*Inputs!$C$69,"")</f>
      </c>
      <c r="J8477" s="42">
        <f>IF(AND(ISNUMBER(F8477),ISNUMBER(H8477),F8477&gt;=Inputs!$C$68),F8477*H8477*Inputs!$C$69,"")</f>
      </c>
    </row>
    <row r="8478" spans="2:10" ht="15" customHeight="1" x14ac:dyDescent="0.2">
      <c r="B8478" s="39">
        <f t="shared" si="66"/>
      </c>
      <c r="C8478" s="40">
        <f>IF(Inputs!$C$60,Inputs!$C$11+(B8478-Inputs!$C$69)/Inputs!$C$70,"")</f>
      </c>
      <c r="D8478" s="15"/>
      <c r="E8478" s="15"/>
      <c r="F8478" s="11">
        <f t="shared" si="67"/>
      </c>
      <c r="G8478" s="22" cm="1">
        <f t="array" ref="G8478">IF(AND(Inputs!$C$60,Inputs!$C$61),INDEX(Utility_Rates!$C$29:$F$52,HOUR(C8478)+Inputs!$C$69,MATCH(INDEX(Utility_Rates!$K$6:$K$17,MONTH(C8478))&amp;IF(WEEKDAY(C8478,Inputs!$C$76)&lt;=Inputs!$C$74," weekday"," weekend"),Utility_Rates!$C$28:$F$28,Inputs!$C$68)),"")</f>
      </c>
      <c r="H8478" s="34"/>
      <c r="I8478" s="42">
        <f>IF(AND(ISNUMBER(D8478),ISNUMBER(H8478)),D8478*H8478*Inputs!$C$69,"")</f>
      </c>
      <c r="J8478" s="42">
        <f>IF(AND(ISNUMBER(F8478),ISNUMBER(H8478),F8478&gt;=Inputs!$C$68),F8478*H8478*Inputs!$C$69,"")</f>
      </c>
    </row>
    <row r="8479" spans="2:10" ht="15" customHeight="1" x14ac:dyDescent="0.2">
      <c r="B8479" s="39">
        <f t="shared" si="66"/>
      </c>
      <c r="C8479" s="40">
        <f>IF(Inputs!$C$60,Inputs!$C$11+(B8479-Inputs!$C$69)/Inputs!$C$70,"")</f>
      </c>
      <c r="D8479" s="15"/>
      <c r="E8479" s="15"/>
      <c r="F8479" s="11">
        <f t="shared" si="67"/>
      </c>
      <c r="G8479" s="22" cm="1">
        <f t="array" ref="G8479">IF(AND(Inputs!$C$60,Inputs!$C$61),INDEX(Utility_Rates!$C$29:$F$52,HOUR(C8479)+Inputs!$C$69,MATCH(INDEX(Utility_Rates!$K$6:$K$17,MONTH(C8479))&amp;IF(WEEKDAY(C8479,Inputs!$C$76)&lt;=Inputs!$C$74," weekday"," weekend"),Utility_Rates!$C$28:$F$28,Inputs!$C$68)),"")</f>
      </c>
      <c r="H8479" s="34"/>
      <c r="I8479" s="42">
        <f>IF(AND(ISNUMBER(D8479),ISNUMBER(H8479)),D8479*H8479*Inputs!$C$69,"")</f>
      </c>
      <c r="J8479" s="42">
        <f>IF(AND(ISNUMBER(F8479),ISNUMBER(H8479),F8479&gt;=Inputs!$C$68),F8479*H8479*Inputs!$C$69,"")</f>
      </c>
    </row>
    <row r="8480" spans="2:10" ht="15" customHeight="1" x14ac:dyDescent="0.2">
      <c r="B8480" s="39">
        <f t="shared" si="66"/>
      </c>
      <c r="C8480" s="40">
        <f>IF(Inputs!$C$60,Inputs!$C$11+(B8480-Inputs!$C$69)/Inputs!$C$70,"")</f>
      </c>
      <c r="D8480" s="15"/>
      <c r="E8480" s="15"/>
      <c r="F8480" s="11">
        <f t="shared" si="67"/>
      </c>
      <c r="G8480" s="22" cm="1">
        <f t="array" ref="G8480">IF(AND(Inputs!$C$60,Inputs!$C$61),INDEX(Utility_Rates!$C$29:$F$52,HOUR(C8480)+Inputs!$C$69,MATCH(INDEX(Utility_Rates!$K$6:$K$17,MONTH(C8480))&amp;IF(WEEKDAY(C8480,Inputs!$C$76)&lt;=Inputs!$C$74," weekday"," weekend"),Utility_Rates!$C$28:$F$28,Inputs!$C$68)),"")</f>
      </c>
      <c r="H8480" s="34"/>
      <c r="I8480" s="42">
        <f>IF(AND(ISNUMBER(D8480),ISNUMBER(H8480)),D8480*H8480*Inputs!$C$69,"")</f>
      </c>
      <c r="J8480" s="42">
        <f>IF(AND(ISNUMBER(F8480),ISNUMBER(H8480),F8480&gt;=Inputs!$C$68),F8480*H8480*Inputs!$C$69,"")</f>
      </c>
    </row>
    <row r="8481" spans="2:10" ht="15" customHeight="1" x14ac:dyDescent="0.2">
      <c r="B8481" s="39">
        <f t="shared" si="66"/>
      </c>
      <c r="C8481" s="40">
        <f>IF(Inputs!$C$60,Inputs!$C$11+(B8481-Inputs!$C$69)/Inputs!$C$70,"")</f>
      </c>
      <c r="D8481" s="15"/>
      <c r="E8481" s="15"/>
      <c r="F8481" s="11">
        <f t="shared" si="67"/>
      </c>
      <c r="G8481" s="22" cm="1">
        <f t="array" ref="G8481">IF(AND(Inputs!$C$60,Inputs!$C$61),INDEX(Utility_Rates!$C$29:$F$52,HOUR(C8481)+Inputs!$C$69,MATCH(INDEX(Utility_Rates!$K$6:$K$17,MONTH(C8481))&amp;IF(WEEKDAY(C8481,Inputs!$C$76)&lt;=Inputs!$C$74," weekday"," weekend"),Utility_Rates!$C$28:$F$28,Inputs!$C$68)),"")</f>
      </c>
      <c r="H8481" s="34"/>
      <c r="I8481" s="42">
        <f>IF(AND(ISNUMBER(D8481),ISNUMBER(H8481)),D8481*H8481*Inputs!$C$69,"")</f>
      </c>
      <c r="J8481" s="42">
        <f>IF(AND(ISNUMBER(F8481),ISNUMBER(H8481),F8481&gt;=Inputs!$C$68),F8481*H8481*Inputs!$C$69,"")</f>
      </c>
    </row>
    <row r="8482" spans="2:10" ht="15" customHeight="1" x14ac:dyDescent="0.2">
      <c r="B8482" s="39">
        <f t="shared" si="66"/>
      </c>
      <c r="C8482" s="40">
        <f>IF(Inputs!$C$60,Inputs!$C$11+(B8482-Inputs!$C$69)/Inputs!$C$70,"")</f>
      </c>
      <c r="D8482" s="15"/>
      <c r="E8482" s="15"/>
      <c r="F8482" s="11">
        <f t="shared" si="67"/>
      </c>
      <c r="G8482" s="22" cm="1">
        <f t="array" ref="G8482">IF(AND(Inputs!$C$60,Inputs!$C$61),INDEX(Utility_Rates!$C$29:$F$52,HOUR(C8482)+Inputs!$C$69,MATCH(INDEX(Utility_Rates!$K$6:$K$17,MONTH(C8482))&amp;IF(WEEKDAY(C8482,Inputs!$C$76)&lt;=Inputs!$C$74," weekday"," weekend"),Utility_Rates!$C$28:$F$28,Inputs!$C$68)),"")</f>
      </c>
      <c r="H8482" s="34"/>
      <c r="I8482" s="42">
        <f>IF(AND(ISNUMBER(D8482),ISNUMBER(H8482)),D8482*H8482*Inputs!$C$69,"")</f>
      </c>
      <c r="J8482" s="42">
        <f>IF(AND(ISNUMBER(F8482),ISNUMBER(H8482),F8482&gt;=Inputs!$C$68),F8482*H8482*Inputs!$C$69,"")</f>
      </c>
    </row>
    <row r="8483" spans="2:10" ht="15" customHeight="1" x14ac:dyDescent="0.2">
      <c r="B8483" s="39">
        <f t="shared" si="66"/>
      </c>
      <c r="C8483" s="40">
        <f>IF(Inputs!$C$60,Inputs!$C$11+(B8483-Inputs!$C$69)/Inputs!$C$70,"")</f>
      </c>
      <c r="D8483" s="15"/>
      <c r="E8483" s="15"/>
      <c r="F8483" s="11">
        <f t="shared" si="67"/>
      </c>
      <c r="G8483" s="22" cm="1">
        <f t="array" ref="G8483">IF(AND(Inputs!$C$60,Inputs!$C$61),INDEX(Utility_Rates!$C$29:$F$52,HOUR(C8483)+Inputs!$C$69,MATCH(INDEX(Utility_Rates!$K$6:$K$17,MONTH(C8483))&amp;IF(WEEKDAY(C8483,Inputs!$C$76)&lt;=Inputs!$C$74," weekday"," weekend"),Utility_Rates!$C$28:$F$28,Inputs!$C$68)),"")</f>
      </c>
      <c r="H8483" s="34"/>
      <c r="I8483" s="42">
        <f>IF(AND(ISNUMBER(D8483),ISNUMBER(H8483)),D8483*H8483*Inputs!$C$69,"")</f>
      </c>
      <c r="J8483" s="42">
        <f>IF(AND(ISNUMBER(F8483),ISNUMBER(H8483),F8483&gt;=Inputs!$C$68),F8483*H8483*Inputs!$C$69,"")</f>
      </c>
    </row>
    <row r="8484" spans="2:10" ht="15" customHeight="1" x14ac:dyDescent="0.2">
      <c r="B8484" s="39">
        <f t="shared" si="66"/>
      </c>
      <c r="C8484" s="40">
        <f>IF(Inputs!$C$60,Inputs!$C$11+(B8484-Inputs!$C$69)/Inputs!$C$70,"")</f>
      </c>
      <c r="D8484" s="15"/>
      <c r="E8484" s="15"/>
      <c r="F8484" s="11">
        <f t="shared" si="67"/>
      </c>
      <c r="G8484" s="22" cm="1">
        <f t="array" ref="G8484">IF(AND(Inputs!$C$60,Inputs!$C$61),INDEX(Utility_Rates!$C$29:$F$52,HOUR(C8484)+Inputs!$C$69,MATCH(INDEX(Utility_Rates!$K$6:$K$17,MONTH(C8484))&amp;IF(WEEKDAY(C8484,Inputs!$C$76)&lt;=Inputs!$C$74," weekday"," weekend"),Utility_Rates!$C$28:$F$28,Inputs!$C$68)),"")</f>
      </c>
      <c r="H8484" s="34"/>
      <c r="I8484" s="42">
        <f>IF(AND(ISNUMBER(D8484),ISNUMBER(H8484)),D8484*H8484*Inputs!$C$69,"")</f>
      </c>
      <c r="J8484" s="42">
        <f>IF(AND(ISNUMBER(F8484),ISNUMBER(H8484),F8484&gt;=Inputs!$C$68),F8484*H8484*Inputs!$C$69,"")</f>
      </c>
    </row>
    <row r="8485" spans="2:10" ht="15" customHeight="1" x14ac:dyDescent="0.2">
      <c r="B8485" s="39">
        <f t="shared" si="66"/>
      </c>
      <c r="C8485" s="40">
        <f>IF(Inputs!$C$60,Inputs!$C$11+(B8485-Inputs!$C$69)/Inputs!$C$70,"")</f>
      </c>
      <c r="D8485" s="15"/>
      <c r="E8485" s="15"/>
      <c r="F8485" s="11">
        <f t="shared" si="67"/>
      </c>
      <c r="G8485" s="22" cm="1">
        <f t="array" ref="G8485">IF(AND(Inputs!$C$60,Inputs!$C$61),INDEX(Utility_Rates!$C$29:$F$52,HOUR(C8485)+Inputs!$C$69,MATCH(INDEX(Utility_Rates!$K$6:$K$17,MONTH(C8485))&amp;IF(WEEKDAY(C8485,Inputs!$C$76)&lt;=Inputs!$C$74," weekday"," weekend"),Utility_Rates!$C$28:$F$28,Inputs!$C$68)),"")</f>
      </c>
      <c r="H8485" s="34"/>
      <c r="I8485" s="42">
        <f>IF(AND(ISNUMBER(D8485),ISNUMBER(H8485)),D8485*H8485*Inputs!$C$69,"")</f>
      </c>
      <c r="J8485" s="42">
        <f>IF(AND(ISNUMBER(F8485),ISNUMBER(H8485),F8485&gt;=Inputs!$C$68),F8485*H8485*Inputs!$C$69,"")</f>
      </c>
    </row>
    <row r="8486" spans="2:10" ht="15" customHeight="1" x14ac:dyDescent="0.2">
      <c r="B8486" s="39">
        <f t="shared" si="66"/>
      </c>
      <c r="C8486" s="40">
        <f>IF(Inputs!$C$60,Inputs!$C$11+(B8486-Inputs!$C$69)/Inputs!$C$70,"")</f>
      </c>
      <c r="D8486" s="15"/>
      <c r="E8486" s="15"/>
      <c r="F8486" s="11">
        <f t="shared" si="67"/>
      </c>
      <c r="G8486" s="22" cm="1">
        <f t="array" ref="G8486">IF(AND(Inputs!$C$60,Inputs!$C$61),INDEX(Utility_Rates!$C$29:$F$52,HOUR(C8486)+Inputs!$C$69,MATCH(INDEX(Utility_Rates!$K$6:$K$17,MONTH(C8486))&amp;IF(WEEKDAY(C8486,Inputs!$C$76)&lt;=Inputs!$C$74," weekday"," weekend"),Utility_Rates!$C$28:$F$28,Inputs!$C$68)),"")</f>
      </c>
      <c r="H8486" s="34"/>
      <c r="I8486" s="42">
        <f>IF(AND(ISNUMBER(D8486),ISNUMBER(H8486)),D8486*H8486*Inputs!$C$69,"")</f>
      </c>
      <c r="J8486" s="42">
        <f>IF(AND(ISNUMBER(F8486),ISNUMBER(H8486),F8486&gt;=Inputs!$C$68),F8486*H8486*Inputs!$C$69,"")</f>
      </c>
    </row>
    <row r="8487" spans="2:10" ht="15" customHeight="1" x14ac:dyDescent="0.2">
      <c r="B8487" s="39">
        <f t="shared" si="66"/>
      </c>
      <c r="C8487" s="40">
        <f>IF(Inputs!$C$60,Inputs!$C$11+(B8487-Inputs!$C$69)/Inputs!$C$70,"")</f>
      </c>
      <c r="D8487" s="15"/>
      <c r="E8487" s="15"/>
      <c r="F8487" s="11">
        <f t="shared" si="67"/>
      </c>
      <c r="G8487" s="22" cm="1">
        <f t="array" ref="G8487">IF(AND(Inputs!$C$60,Inputs!$C$61),INDEX(Utility_Rates!$C$29:$F$52,HOUR(C8487)+Inputs!$C$69,MATCH(INDEX(Utility_Rates!$K$6:$K$17,MONTH(C8487))&amp;IF(WEEKDAY(C8487,Inputs!$C$76)&lt;=Inputs!$C$74," weekday"," weekend"),Utility_Rates!$C$28:$F$28,Inputs!$C$68)),"")</f>
      </c>
      <c r="H8487" s="34"/>
      <c r="I8487" s="42">
        <f>IF(AND(ISNUMBER(D8487),ISNUMBER(H8487)),D8487*H8487*Inputs!$C$69,"")</f>
      </c>
      <c r="J8487" s="42">
        <f>IF(AND(ISNUMBER(F8487),ISNUMBER(H8487),F8487&gt;=Inputs!$C$68),F8487*H8487*Inputs!$C$69,"")</f>
      </c>
    </row>
    <row r="8488" spans="2:10" ht="15" customHeight="1" x14ac:dyDescent="0.2">
      <c r="B8488" s="39">
        <f t="shared" si="66"/>
      </c>
      <c r="C8488" s="40">
        <f>IF(Inputs!$C$60,Inputs!$C$11+(B8488-Inputs!$C$69)/Inputs!$C$70,"")</f>
      </c>
      <c r="D8488" s="15"/>
      <c r="E8488" s="15"/>
      <c r="F8488" s="11">
        <f t="shared" si="67"/>
      </c>
      <c r="G8488" s="22" cm="1">
        <f t="array" ref="G8488">IF(AND(Inputs!$C$60,Inputs!$C$61),INDEX(Utility_Rates!$C$29:$F$52,HOUR(C8488)+Inputs!$C$69,MATCH(INDEX(Utility_Rates!$K$6:$K$17,MONTH(C8488))&amp;IF(WEEKDAY(C8488,Inputs!$C$76)&lt;=Inputs!$C$74," weekday"," weekend"),Utility_Rates!$C$28:$F$28,Inputs!$C$68)),"")</f>
      </c>
      <c r="H8488" s="34"/>
      <c r="I8488" s="42">
        <f>IF(AND(ISNUMBER(D8488),ISNUMBER(H8488)),D8488*H8488*Inputs!$C$69,"")</f>
      </c>
      <c r="J8488" s="42">
        <f>IF(AND(ISNUMBER(F8488),ISNUMBER(H8488),F8488&gt;=Inputs!$C$68),F8488*H8488*Inputs!$C$69,"")</f>
      </c>
    </row>
    <row r="8489" spans="2:10" ht="15" customHeight="1" x14ac:dyDescent="0.2">
      <c r="B8489" s="39">
        <f t="shared" si="66"/>
      </c>
      <c r="C8489" s="40">
        <f>IF(Inputs!$C$60,Inputs!$C$11+(B8489-Inputs!$C$69)/Inputs!$C$70,"")</f>
      </c>
      <c r="D8489" s="15"/>
      <c r="E8489" s="15"/>
      <c r="F8489" s="11">
        <f t="shared" si="67"/>
      </c>
      <c r="G8489" s="22" cm="1">
        <f t="array" ref="G8489">IF(AND(Inputs!$C$60,Inputs!$C$61),INDEX(Utility_Rates!$C$29:$F$52,HOUR(C8489)+Inputs!$C$69,MATCH(INDEX(Utility_Rates!$K$6:$K$17,MONTH(C8489))&amp;IF(WEEKDAY(C8489,Inputs!$C$76)&lt;=Inputs!$C$74," weekday"," weekend"),Utility_Rates!$C$28:$F$28,Inputs!$C$68)),"")</f>
      </c>
      <c r="H8489" s="34"/>
      <c r="I8489" s="42">
        <f>IF(AND(ISNUMBER(D8489),ISNUMBER(H8489)),D8489*H8489*Inputs!$C$69,"")</f>
      </c>
      <c r="J8489" s="42">
        <f>IF(AND(ISNUMBER(F8489),ISNUMBER(H8489),F8489&gt;=Inputs!$C$68),F8489*H8489*Inputs!$C$69,"")</f>
      </c>
    </row>
    <row r="8490" spans="2:10" ht="15" customHeight="1" x14ac:dyDescent="0.2">
      <c r="B8490" s="39">
        <f t="shared" si="66"/>
      </c>
      <c r="C8490" s="40">
        <f>IF(Inputs!$C$60,Inputs!$C$11+(B8490-Inputs!$C$69)/Inputs!$C$70,"")</f>
      </c>
      <c r="D8490" s="15"/>
      <c r="E8490" s="15"/>
      <c r="F8490" s="11">
        <f t="shared" si="67"/>
      </c>
      <c r="G8490" s="22" cm="1">
        <f t="array" ref="G8490">IF(AND(Inputs!$C$60,Inputs!$C$61),INDEX(Utility_Rates!$C$29:$F$52,HOUR(C8490)+Inputs!$C$69,MATCH(INDEX(Utility_Rates!$K$6:$K$17,MONTH(C8490))&amp;IF(WEEKDAY(C8490,Inputs!$C$76)&lt;=Inputs!$C$74," weekday"," weekend"),Utility_Rates!$C$28:$F$28,Inputs!$C$68)),"")</f>
      </c>
      <c r="H8490" s="34"/>
      <c r="I8490" s="42">
        <f>IF(AND(ISNUMBER(D8490),ISNUMBER(H8490)),D8490*H8490*Inputs!$C$69,"")</f>
      </c>
      <c r="J8490" s="42">
        <f>IF(AND(ISNUMBER(F8490),ISNUMBER(H8490),F8490&gt;=Inputs!$C$68),F8490*H8490*Inputs!$C$69,"")</f>
      </c>
    </row>
    <row r="8491" spans="2:10" ht="15" customHeight="1" x14ac:dyDescent="0.2">
      <c r="B8491" s="39">
        <f t="shared" si="66"/>
      </c>
      <c r="C8491" s="40">
        <f>IF(Inputs!$C$60,Inputs!$C$11+(B8491-Inputs!$C$69)/Inputs!$C$70,"")</f>
      </c>
      <c r="D8491" s="15"/>
      <c r="E8491" s="15"/>
      <c r="F8491" s="11">
        <f t="shared" si="67"/>
      </c>
      <c r="G8491" s="22" cm="1">
        <f t="array" ref="G8491">IF(AND(Inputs!$C$60,Inputs!$C$61),INDEX(Utility_Rates!$C$29:$F$52,HOUR(C8491)+Inputs!$C$69,MATCH(INDEX(Utility_Rates!$K$6:$K$17,MONTH(C8491))&amp;IF(WEEKDAY(C8491,Inputs!$C$76)&lt;=Inputs!$C$74," weekday"," weekend"),Utility_Rates!$C$28:$F$28,Inputs!$C$68)),"")</f>
      </c>
      <c r="H8491" s="34"/>
      <c r="I8491" s="42">
        <f>IF(AND(ISNUMBER(D8491),ISNUMBER(H8491)),D8491*H8491*Inputs!$C$69,"")</f>
      </c>
      <c r="J8491" s="42">
        <f>IF(AND(ISNUMBER(F8491),ISNUMBER(H8491),F8491&gt;=Inputs!$C$68),F8491*H8491*Inputs!$C$69,"")</f>
      </c>
    </row>
    <row r="8492" spans="2:10" ht="15" customHeight="1" x14ac:dyDescent="0.2">
      <c r="B8492" s="39">
        <f t="shared" si="66"/>
      </c>
      <c r="C8492" s="40">
        <f>IF(Inputs!$C$60,Inputs!$C$11+(B8492-Inputs!$C$69)/Inputs!$C$70,"")</f>
      </c>
      <c r="D8492" s="15"/>
      <c r="E8492" s="15"/>
      <c r="F8492" s="11">
        <f t="shared" si="67"/>
      </c>
      <c r="G8492" s="22" cm="1">
        <f t="array" ref="G8492">IF(AND(Inputs!$C$60,Inputs!$C$61),INDEX(Utility_Rates!$C$29:$F$52,HOUR(C8492)+Inputs!$C$69,MATCH(INDEX(Utility_Rates!$K$6:$K$17,MONTH(C8492))&amp;IF(WEEKDAY(C8492,Inputs!$C$76)&lt;=Inputs!$C$74," weekday"," weekend"),Utility_Rates!$C$28:$F$28,Inputs!$C$68)),"")</f>
      </c>
      <c r="H8492" s="34"/>
      <c r="I8492" s="42">
        <f>IF(AND(ISNUMBER(D8492),ISNUMBER(H8492)),D8492*H8492*Inputs!$C$69,"")</f>
      </c>
      <c r="J8492" s="42">
        <f>IF(AND(ISNUMBER(F8492),ISNUMBER(H8492),F8492&gt;=Inputs!$C$68),F8492*H8492*Inputs!$C$69,"")</f>
      </c>
    </row>
    <row r="8493" spans="2:10" ht="15" customHeight="1" x14ac:dyDescent="0.2">
      <c r="B8493" s="39">
        <f t="shared" si="66"/>
      </c>
      <c r="C8493" s="40">
        <f>IF(Inputs!$C$60,Inputs!$C$11+(B8493-Inputs!$C$69)/Inputs!$C$70,"")</f>
      </c>
      <c r="D8493" s="15"/>
      <c r="E8493" s="15"/>
      <c r="F8493" s="11">
        <f t="shared" si="67"/>
      </c>
      <c r="G8493" s="22" cm="1">
        <f t="array" ref="G8493">IF(AND(Inputs!$C$60,Inputs!$C$61),INDEX(Utility_Rates!$C$29:$F$52,HOUR(C8493)+Inputs!$C$69,MATCH(INDEX(Utility_Rates!$K$6:$K$17,MONTH(C8493))&amp;IF(WEEKDAY(C8493,Inputs!$C$76)&lt;=Inputs!$C$74," weekday"," weekend"),Utility_Rates!$C$28:$F$28,Inputs!$C$68)),"")</f>
      </c>
      <c r="H8493" s="34"/>
      <c r="I8493" s="42">
        <f>IF(AND(ISNUMBER(D8493),ISNUMBER(H8493)),D8493*H8493*Inputs!$C$69,"")</f>
      </c>
      <c r="J8493" s="42">
        <f>IF(AND(ISNUMBER(F8493),ISNUMBER(H8493),F8493&gt;=Inputs!$C$68),F8493*H8493*Inputs!$C$69,"")</f>
      </c>
    </row>
    <row r="8494" spans="2:10" ht="15" customHeight="1" x14ac:dyDescent="0.2">
      <c r="B8494" s="39">
        <f t="shared" si="66"/>
      </c>
      <c r="C8494" s="40">
        <f>IF(Inputs!$C$60,Inputs!$C$11+(B8494-Inputs!$C$69)/Inputs!$C$70,"")</f>
      </c>
      <c r="D8494" s="15"/>
      <c r="E8494" s="15"/>
      <c r="F8494" s="11">
        <f t="shared" si="67"/>
      </c>
      <c r="G8494" s="22" cm="1">
        <f t="array" ref="G8494">IF(AND(Inputs!$C$60,Inputs!$C$61),INDEX(Utility_Rates!$C$29:$F$52,HOUR(C8494)+Inputs!$C$69,MATCH(INDEX(Utility_Rates!$K$6:$K$17,MONTH(C8494))&amp;IF(WEEKDAY(C8494,Inputs!$C$76)&lt;=Inputs!$C$74," weekday"," weekend"),Utility_Rates!$C$28:$F$28,Inputs!$C$68)),"")</f>
      </c>
      <c r="H8494" s="34"/>
      <c r="I8494" s="42">
        <f>IF(AND(ISNUMBER(D8494),ISNUMBER(H8494)),D8494*H8494*Inputs!$C$69,"")</f>
      </c>
      <c r="J8494" s="42">
        <f>IF(AND(ISNUMBER(F8494),ISNUMBER(H8494),F8494&gt;=Inputs!$C$68),F8494*H8494*Inputs!$C$69,"")</f>
      </c>
    </row>
    <row r="8495" spans="2:10" ht="15" customHeight="1" x14ac:dyDescent="0.2">
      <c r="B8495" s="39">
        <f t="shared" si="66"/>
      </c>
      <c r="C8495" s="40">
        <f>IF(Inputs!$C$60,Inputs!$C$11+(B8495-Inputs!$C$69)/Inputs!$C$70,"")</f>
      </c>
      <c r="D8495" s="15"/>
      <c r="E8495" s="15"/>
      <c r="F8495" s="11">
        <f t="shared" si="67"/>
      </c>
      <c r="G8495" s="22" cm="1">
        <f t="array" ref="G8495">IF(AND(Inputs!$C$60,Inputs!$C$61),INDEX(Utility_Rates!$C$29:$F$52,HOUR(C8495)+Inputs!$C$69,MATCH(INDEX(Utility_Rates!$K$6:$K$17,MONTH(C8495))&amp;IF(WEEKDAY(C8495,Inputs!$C$76)&lt;=Inputs!$C$74," weekday"," weekend"),Utility_Rates!$C$28:$F$28,Inputs!$C$68)),"")</f>
      </c>
      <c r="H8495" s="34"/>
      <c r="I8495" s="42">
        <f>IF(AND(ISNUMBER(D8495),ISNUMBER(H8495)),D8495*H8495*Inputs!$C$69,"")</f>
      </c>
      <c r="J8495" s="42">
        <f>IF(AND(ISNUMBER(F8495),ISNUMBER(H8495),F8495&gt;=Inputs!$C$68),F8495*H8495*Inputs!$C$69,"")</f>
      </c>
    </row>
    <row r="8496" spans="2:10" ht="15" customHeight="1" x14ac:dyDescent="0.2">
      <c r="B8496" s="39">
        <f t="shared" si="66"/>
      </c>
      <c r="C8496" s="40">
        <f>IF(Inputs!$C$60,Inputs!$C$11+(B8496-Inputs!$C$69)/Inputs!$C$70,"")</f>
      </c>
      <c r="D8496" s="15"/>
      <c r="E8496" s="15"/>
      <c r="F8496" s="11">
        <f t="shared" si="67"/>
      </c>
      <c r="G8496" s="22" cm="1">
        <f t="array" ref="G8496">IF(AND(Inputs!$C$60,Inputs!$C$61),INDEX(Utility_Rates!$C$29:$F$52,HOUR(C8496)+Inputs!$C$69,MATCH(INDEX(Utility_Rates!$K$6:$K$17,MONTH(C8496))&amp;IF(WEEKDAY(C8496,Inputs!$C$76)&lt;=Inputs!$C$74," weekday"," weekend"),Utility_Rates!$C$28:$F$28,Inputs!$C$68)),"")</f>
      </c>
      <c r="H8496" s="34"/>
      <c r="I8496" s="42">
        <f>IF(AND(ISNUMBER(D8496),ISNUMBER(H8496)),D8496*H8496*Inputs!$C$69,"")</f>
      </c>
      <c r="J8496" s="42">
        <f>IF(AND(ISNUMBER(F8496),ISNUMBER(H8496),F8496&gt;=Inputs!$C$68),F8496*H8496*Inputs!$C$69,"")</f>
      </c>
    </row>
    <row r="8497" spans="2:10" ht="15" customHeight="1" x14ac:dyDescent="0.2">
      <c r="B8497" s="39">
        <f t="shared" si="66"/>
      </c>
      <c r="C8497" s="40">
        <f>IF(Inputs!$C$60,Inputs!$C$11+(B8497-Inputs!$C$69)/Inputs!$C$70,"")</f>
      </c>
      <c r="D8497" s="15"/>
      <c r="E8497" s="15"/>
      <c r="F8497" s="11">
        <f t="shared" si="67"/>
      </c>
      <c r="G8497" s="22" cm="1">
        <f t="array" ref="G8497">IF(AND(Inputs!$C$60,Inputs!$C$61),INDEX(Utility_Rates!$C$29:$F$52,HOUR(C8497)+Inputs!$C$69,MATCH(INDEX(Utility_Rates!$K$6:$K$17,MONTH(C8497))&amp;IF(WEEKDAY(C8497,Inputs!$C$76)&lt;=Inputs!$C$74," weekday"," weekend"),Utility_Rates!$C$28:$F$28,Inputs!$C$68)),"")</f>
      </c>
      <c r="H8497" s="34"/>
      <c r="I8497" s="42">
        <f>IF(AND(ISNUMBER(D8497),ISNUMBER(H8497)),D8497*H8497*Inputs!$C$69,"")</f>
      </c>
      <c r="J8497" s="42">
        <f>IF(AND(ISNUMBER(F8497),ISNUMBER(H8497),F8497&gt;=Inputs!$C$68),F8497*H8497*Inputs!$C$69,"")</f>
      </c>
    </row>
    <row r="8498" spans="2:10" ht="15" customHeight="1" x14ac:dyDescent="0.2">
      <c r="B8498" s="39">
        <f t="shared" si="66"/>
      </c>
      <c r="C8498" s="40">
        <f>IF(Inputs!$C$60,Inputs!$C$11+(B8498-Inputs!$C$69)/Inputs!$C$70,"")</f>
      </c>
      <c r="D8498" s="15"/>
      <c r="E8498" s="15"/>
      <c r="F8498" s="11">
        <f t="shared" si="67"/>
      </c>
      <c r="G8498" s="22" cm="1">
        <f t="array" ref="G8498">IF(AND(Inputs!$C$60,Inputs!$C$61),INDEX(Utility_Rates!$C$29:$F$52,HOUR(C8498)+Inputs!$C$69,MATCH(INDEX(Utility_Rates!$K$6:$K$17,MONTH(C8498))&amp;IF(WEEKDAY(C8498,Inputs!$C$76)&lt;=Inputs!$C$74," weekday"," weekend"),Utility_Rates!$C$28:$F$28,Inputs!$C$68)),"")</f>
      </c>
      <c r="H8498" s="34"/>
      <c r="I8498" s="42">
        <f>IF(AND(ISNUMBER(D8498),ISNUMBER(H8498)),D8498*H8498*Inputs!$C$69,"")</f>
      </c>
      <c r="J8498" s="42">
        <f>IF(AND(ISNUMBER(F8498),ISNUMBER(H8498),F8498&gt;=Inputs!$C$68),F8498*H8498*Inputs!$C$69,"")</f>
      </c>
    </row>
    <row r="8499" spans="2:10" ht="15" customHeight="1" x14ac:dyDescent="0.2">
      <c r="B8499" s="39">
        <f t="shared" si="66"/>
      </c>
      <c r="C8499" s="40">
        <f>IF(Inputs!$C$60,Inputs!$C$11+(B8499-Inputs!$C$69)/Inputs!$C$70,"")</f>
      </c>
      <c r="D8499" s="15"/>
      <c r="E8499" s="15"/>
      <c r="F8499" s="11">
        <f t="shared" si="67"/>
      </c>
      <c r="G8499" s="22" cm="1">
        <f t="array" ref="G8499">IF(AND(Inputs!$C$60,Inputs!$C$61),INDEX(Utility_Rates!$C$29:$F$52,HOUR(C8499)+Inputs!$C$69,MATCH(INDEX(Utility_Rates!$K$6:$K$17,MONTH(C8499))&amp;IF(WEEKDAY(C8499,Inputs!$C$76)&lt;=Inputs!$C$74," weekday"," weekend"),Utility_Rates!$C$28:$F$28,Inputs!$C$68)),"")</f>
      </c>
      <c r="H8499" s="34"/>
      <c r="I8499" s="42">
        <f>IF(AND(ISNUMBER(D8499),ISNUMBER(H8499)),D8499*H8499*Inputs!$C$69,"")</f>
      </c>
      <c r="J8499" s="42">
        <f>IF(AND(ISNUMBER(F8499),ISNUMBER(H8499),F8499&gt;=Inputs!$C$68),F8499*H8499*Inputs!$C$69,"")</f>
      </c>
    </row>
    <row r="8500" spans="2:10" ht="15" customHeight="1" x14ac:dyDescent="0.2">
      <c r="B8500" s="39">
        <f t="shared" si="66"/>
      </c>
      <c r="C8500" s="40">
        <f>IF(Inputs!$C$60,Inputs!$C$11+(B8500-Inputs!$C$69)/Inputs!$C$70,"")</f>
      </c>
      <c r="D8500" s="15"/>
      <c r="E8500" s="15"/>
      <c r="F8500" s="11">
        <f t="shared" si="67"/>
      </c>
      <c r="G8500" s="22" cm="1">
        <f t="array" ref="G8500">IF(AND(Inputs!$C$60,Inputs!$C$61),INDEX(Utility_Rates!$C$29:$F$52,HOUR(C8500)+Inputs!$C$69,MATCH(INDEX(Utility_Rates!$K$6:$K$17,MONTH(C8500))&amp;IF(WEEKDAY(C8500,Inputs!$C$76)&lt;=Inputs!$C$74," weekday"," weekend"),Utility_Rates!$C$28:$F$28,Inputs!$C$68)),"")</f>
      </c>
      <c r="H8500" s="34"/>
      <c r="I8500" s="42">
        <f>IF(AND(ISNUMBER(D8500),ISNUMBER(H8500)),D8500*H8500*Inputs!$C$69,"")</f>
      </c>
      <c r="J8500" s="42">
        <f>IF(AND(ISNUMBER(F8500),ISNUMBER(H8500),F8500&gt;=Inputs!$C$68),F8500*H8500*Inputs!$C$69,"")</f>
      </c>
    </row>
    <row r="8501" spans="2:10" ht="15" customHeight="1" x14ac:dyDescent="0.2">
      <c r="B8501" s="39">
        <f t="shared" si="66"/>
      </c>
      <c r="C8501" s="40">
        <f>IF(Inputs!$C$60,Inputs!$C$11+(B8501-Inputs!$C$69)/Inputs!$C$70,"")</f>
      </c>
      <c r="D8501" s="15"/>
      <c r="E8501" s="15"/>
      <c r="F8501" s="11">
        <f t="shared" si="67"/>
      </c>
      <c r="G8501" s="22" cm="1">
        <f t="array" ref="G8501">IF(AND(Inputs!$C$60,Inputs!$C$61),INDEX(Utility_Rates!$C$29:$F$52,HOUR(C8501)+Inputs!$C$69,MATCH(INDEX(Utility_Rates!$K$6:$K$17,MONTH(C8501))&amp;IF(WEEKDAY(C8501,Inputs!$C$76)&lt;=Inputs!$C$74," weekday"," weekend"),Utility_Rates!$C$28:$F$28,Inputs!$C$68)),"")</f>
      </c>
      <c r="H8501" s="34"/>
      <c r="I8501" s="42">
        <f>IF(AND(ISNUMBER(D8501),ISNUMBER(H8501)),D8501*H8501*Inputs!$C$69,"")</f>
      </c>
      <c r="J8501" s="42">
        <f>IF(AND(ISNUMBER(F8501),ISNUMBER(H8501),F8501&gt;=Inputs!$C$68),F8501*H8501*Inputs!$C$69,"")</f>
      </c>
    </row>
    <row r="8502" spans="2:10" ht="15" customHeight="1" x14ac:dyDescent="0.2">
      <c r="B8502" s="39">
        <f t="shared" si="66"/>
      </c>
      <c r="C8502" s="40">
        <f>IF(Inputs!$C$60,Inputs!$C$11+(B8502-Inputs!$C$69)/Inputs!$C$70,"")</f>
      </c>
      <c r="D8502" s="15"/>
      <c r="E8502" s="15"/>
      <c r="F8502" s="11">
        <f t="shared" si="67"/>
      </c>
      <c r="G8502" s="22" cm="1">
        <f t="array" ref="G8502">IF(AND(Inputs!$C$60,Inputs!$C$61),INDEX(Utility_Rates!$C$29:$F$52,HOUR(C8502)+Inputs!$C$69,MATCH(INDEX(Utility_Rates!$K$6:$K$17,MONTH(C8502))&amp;IF(WEEKDAY(C8502,Inputs!$C$76)&lt;=Inputs!$C$74," weekday"," weekend"),Utility_Rates!$C$28:$F$28,Inputs!$C$68)),"")</f>
      </c>
      <c r="H8502" s="34"/>
      <c r="I8502" s="42">
        <f>IF(AND(ISNUMBER(D8502),ISNUMBER(H8502)),D8502*H8502*Inputs!$C$69,"")</f>
      </c>
      <c r="J8502" s="42">
        <f>IF(AND(ISNUMBER(F8502),ISNUMBER(H8502),F8502&gt;=Inputs!$C$68),F8502*H8502*Inputs!$C$69,"")</f>
      </c>
    </row>
    <row r="8503" spans="2:10" ht="15" customHeight="1" x14ac:dyDescent="0.2">
      <c r="B8503" s="39">
        <f t="shared" si="66"/>
      </c>
      <c r="C8503" s="40">
        <f>IF(Inputs!$C$60,Inputs!$C$11+(B8503-Inputs!$C$69)/Inputs!$C$70,"")</f>
      </c>
      <c r="D8503" s="15"/>
      <c r="E8503" s="15"/>
      <c r="F8503" s="11">
        <f t="shared" si="67"/>
      </c>
      <c r="G8503" s="22" cm="1">
        <f t="array" ref="G8503">IF(AND(Inputs!$C$60,Inputs!$C$61),INDEX(Utility_Rates!$C$29:$F$52,HOUR(C8503)+Inputs!$C$69,MATCH(INDEX(Utility_Rates!$K$6:$K$17,MONTH(C8503))&amp;IF(WEEKDAY(C8503,Inputs!$C$76)&lt;=Inputs!$C$74," weekday"," weekend"),Utility_Rates!$C$28:$F$28,Inputs!$C$68)),"")</f>
      </c>
      <c r="H8503" s="34"/>
      <c r="I8503" s="42">
        <f>IF(AND(ISNUMBER(D8503),ISNUMBER(H8503)),D8503*H8503*Inputs!$C$69,"")</f>
      </c>
      <c r="J8503" s="42">
        <f>IF(AND(ISNUMBER(F8503),ISNUMBER(H8503),F8503&gt;=Inputs!$C$68),F8503*H8503*Inputs!$C$69,"")</f>
      </c>
    </row>
    <row r="8504" spans="2:10" ht="15" customHeight="1" x14ac:dyDescent="0.2">
      <c r="B8504" s="39">
        <f t="shared" si="66"/>
      </c>
      <c r="C8504" s="40">
        <f>IF(Inputs!$C$60,Inputs!$C$11+(B8504-Inputs!$C$69)/Inputs!$C$70,"")</f>
      </c>
      <c r="D8504" s="15"/>
      <c r="E8504" s="15"/>
      <c r="F8504" s="11">
        <f t="shared" si="67"/>
      </c>
      <c r="G8504" s="22" cm="1">
        <f t="array" ref="G8504">IF(AND(Inputs!$C$60,Inputs!$C$61),INDEX(Utility_Rates!$C$29:$F$52,HOUR(C8504)+Inputs!$C$69,MATCH(INDEX(Utility_Rates!$K$6:$K$17,MONTH(C8504))&amp;IF(WEEKDAY(C8504,Inputs!$C$76)&lt;=Inputs!$C$74," weekday"," weekend"),Utility_Rates!$C$28:$F$28,Inputs!$C$68)),"")</f>
      </c>
      <c r="H8504" s="34"/>
      <c r="I8504" s="42">
        <f>IF(AND(ISNUMBER(D8504),ISNUMBER(H8504)),D8504*H8504*Inputs!$C$69,"")</f>
      </c>
      <c r="J8504" s="42">
        <f>IF(AND(ISNUMBER(F8504),ISNUMBER(H8504),F8504&gt;=Inputs!$C$68),F8504*H8504*Inputs!$C$69,"")</f>
      </c>
    </row>
    <row r="8505" spans="2:10" ht="15" customHeight="1" x14ac:dyDescent="0.2">
      <c r="B8505" s="39">
        <f t="shared" si="66"/>
      </c>
      <c r="C8505" s="40">
        <f>IF(Inputs!$C$60,Inputs!$C$11+(B8505-Inputs!$C$69)/Inputs!$C$70,"")</f>
      </c>
      <c r="D8505" s="15"/>
      <c r="E8505" s="15"/>
      <c r="F8505" s="11">
        <f t="shared" si="67"/>
      </c>
      <c r="G8505" s="22" cm="1">
        <f t="array" ref="G8505">IF(AND(Inputs!$C$60,Inputs!$C$61),INDEX(Utility_Rates!$C$29:$F$52,HOUR(C8505)+Inputs!$C$69,MATCH(INDEX(Utility_Rates!$K$6:$K$17,MONTH(C8505))&amp;IF(WEEKDAY(C8505,Inputs!$C$76)&lt;=Inputs!$C$74," weekday"," weekend"),Utility_Rates!$C$28:$F$28,Inputs!$C$68)),"")</f>
      </c>
      <c r="H8505" s="34"/>
      <c r="I8505" s="42">
        <f>IF(AND(ISNUMBER(D8505),ISNUMBER(H8505)),D8505*H8505*Inputs!$C$69,"")</f>
      </c>
      <c r="J8505" s="42">
        <f>IF(AND(ISNUMBER(F8505),ISNUMBER(H8505),F8505&gt;=Inputs!$C$68),F8505*H8505*Inputs!$C$69,"")</f>
      </c>
    </row>
    <row r="8506" spans="2:10" ht="15" customHeight="1" x14ac:dyDescent="0.2">
      <c r="B8506" s="39">
        <f t="shared" si="66"/>
      </c>
      <c r="C8506" s="40">
        <f>IF(Inputs!$C$60,Inputs!$C$11+(B8506-Inputs!$C$69)/Inputs!$C$70,"")</f>
      </c>
      <c r="D8506" s="15"/>
      <c r="E8506" s="15"/>
      <c r="F8506" s="11">
        <f t="shared" si="67"/>
      </c>
      <c r="G8506" s="22" cm="1">
        <f t="array" ref="G8506">IF(AND(Inputs!$C$60,Inputs!$C$61),INDEX(Utility_Rates!$C$29:$F$52,HOUR(C8506)+Inputs!$C$69,MATCH(INDEX(Utility_Rates!$K$6:$K$17,MONTH(C8506))&amp;IF(WEEKDAY(C8506,Inputs!$C$76)&lt;=Inputs!$C$74," weekday"," weekend"),Utility_Rates!$C$28:$F$28,Inputs!$C$68)),"")</f>
      </c>
      <c r="H8506" s="34"/>
      <c r="I8506" s="42">
        <f>IF(AND(ISNUMBER(D8506),ISNUMBER(H8506)),D8506*H8506*Inputs!$C$69,"")</f>
      </c>
      <c r="J8506" s="42">
        <f>IF(AND(ISNUMBER(F8506),ISNUMBER(H8506),F8506&gt;=Inputs!$C$68),F8506*H8506*Inputs!$C$69,"")</f>
      </c>
    </row>
    <row r="8507" spans="2:10" ht="15" customHeight="1" x14ac:dyDescent="0.2">
      <c r="B8507" s="39">
        <f t="shared" si="66"/>
      </c>
      <c r="C8507" s="40">
        <f>IF(Inputs!$C$60,Inputs!$C$11+(B8507-Inputs!$C$69)/Inputs!$C$70,"")</f>
      </c>
      <c r="D8507" s="15"/>
      <c r="E8507" s="15"/>
      <c r="F8507" s="11">
        <f t="shared" si="67"/>
      </c>
      <c r="G8507" s="22" cm="1">
        <f t="array" ref="G8507">IF(AND(Inputs!$C$60,Inputs!$C$61),INDEX(Utility_Rates!$C$29:$F$52,HOUR(C8507)+Inputs!$C$69,MATCH(INDEX(Utility_Rates!$K$6:$K$17,MONTH(C8507))&amp;IF(WEEKDAY(C8507,Inputs!$C$76)&lt;=Inputs!$C$74," weekday"," weekend"),Utility_Rates!$C$28:$F$28,Inputs!$C$68)),"")</f>
      </c>
      <c r="H8507" s="34"/>
      <c r="I8507" s="42">
        <f>IF(AND(ISNUMBER(D8507),ISNUMBER(H8507)),D8507*H8507*Inputs!$C$69,"")</f>
      </c>
      <c r="J8507" s="42">
        <f>IF(AND(ISNUMBER(F8507),ISNUMBER(H8507),F8507&gt;=Inputs!$C$68),F8507*H8507*Inputs!$C$69,"")</f>
      </c>
    </row>
    <row r="8508" spans="2:10" ht="15" customHeight="1" x14ac:dyDescent="0.2">
      <c r="B8508" s="39">
        <f t="shared" si="66"/>
      </c>
      <c r="C8508" s="40">
        <f>IF(Inputs!$C$60,Inputs!$C$11+(B8508-Inputs!$C$69)/Inputs!$C$70,"")</f>
      </c>
      <c r="D8508" s="15"/>
      <c r="E8508" s="15"/>
      <c r="F8508" s="11">
        <f t="shared" si="67"/>
      </c>
      <c r="G8508" s="22" cm="1">
        <f t="array" ref="G8508">IF(AND(Inputs!$C$60,Inputs!$C$61),INDEX(Utility_Rates!$C$29:$F$52,HOUR(C8508)+Inputs!$C$69,MATCH(INDEX(Utility_Rates!$K$6:$K$17,MONTH(C8508))&amp;IF(WEEKDAY(C8508,Inputs!$C$76)&lt;=Inputs!$C$74," weekday"," weekend"),Utility_Rates!$C$28:$F$28,Inputs!$C$68)),"")</f>
      </c>
      <c r="H8508" s="34"/>
      <c r="I8508" s="42">
        <f>IF(AND(ISNUMBER(D8508),ISNUMBER(H8508)),D8508*H8508*Inputs!$C$69,"")</f>
      </c>
      <c r="J8508" s="42">
        <f>IF(AND(ISNUMBER(F8508),ISNUMBER(H8508),F8508&gt;=Inputs!$C$68),F8508*H8508*Inputs!$C$69,"")</f>
      </c>
    </row>
    <row r="8509" spans="2:10" ht="15" customHeight="1" x14ac:dyDescent="0.2">
      <c r="B8509" s="39">
        <f t="shared" si="66"/>
      </c>
      <c r="C8509" s="40">
        <f>IF(Inputs!$C$60,Inputs!$C$11+(B8509-Inputs!$C$69)/Inputs!$C$70,"")</f>
      </c>
      <c r="D8509" s="15"/>
      <c r="E8509" s="15"/>
      <c r="F8509" s="11">
        <f t="shared" si="67"/>
      </c>
      <c r="G8509" s="22" cm="1">
        <f t="array" ref="G8509">IF(AND(Inputs!$C$60,Inputs!$C$61),INDEX(Utility_Rates!$C$29:$F$52,HOUR(C8509)+Inputs!$C$69,MATCH(INDEX(Utility_Rates!$K$6:$K$17,MONTH(C8509))&amp;IF(WEEKDAY(C8509,Inputs!$C$76)&lt;=Inputs!$C$74," weekday"," weekend"),Utility_Rates!$C$28:$F$28,Inputs!$C$68)),"")</f>
      </c>
      <c r="H8509" s="34"/>
      <c r="I8509" s="42">
        <f>IF(AND(ISNUMBER(D8509),ISNUMBER(H8509)),D8509*H8509*Inputs!$C$69,"")</f>
      </c>
      <c r="J8509" s="42">
        <f>IF(AND(ISNUMBER(F8509),ISNUMBER(H8509),F8509&gt;=Inputs!$C$68),F8509*H8509*Inputs!$C$69,"")</f>
      </c>
    </row>
    <row r="8510" spans="2:10" ht="15" customHeight="1" x14ac:dyDescent="0.2">
      <c r="B8510" s="39">
        <f t="shared" si="66"/>
      </c>
      <c r="C8510" s="40">
        <f>IF(Inputs!$C$60,Inputs!$C$11+(B8510-Inputs!$C$69)/Inputs!$C$70,"")</f>
      </c>
      <c r="D8510" s="15"/>
      <c r="E8510" s="15"/>
      <c r="F8510" s="11">
        <f t="shared" si="67"/>
      </c>
      <c r="G8510" s="22" cm="1">
        <f t="array" ref="G8510">IF(AND(Inputs!$C$60,Inputs!$C$61),INDEX(Utility_Rates!$C$29:$F$52,HOUR(C8510)+Inputs!$C$69,MATCH(INDEX(Utility_Rates!$K$6:$K$17,MONTH(C8510))&amp;IF(WEEKDAY(C8510,Inputs!$C$76)&lt;=Inputs!$C$74," weekday"," weekend"),Utility_Rates!$C$28:$F$28,Inputs!$C$68)),"")</f>
      </c>
      <c r="H8510" s="34"/>
      <c r="I8510" s="42">
        <f>IF(AND(ISNUMBER(D8510),ISNUMBER(H8510)),D8510*H8510*Inputs!$C$69,"")</f>
      </c>
      <c r="J8510" s="42">
        <f>IF(AND(ISNUMBER(F8510),ISNUMBER(H8510),F8510&gt;=Inputs!$C$68),F8510*H8510*Inputs!$C$69,"")</f>
      </c>
    </row>
    <row r="8511" spans="2:10" ht="15" customHeight="1" x14ac:dyDescent="0.2">
      <c r="B8511" s="39">
        <f t="shared" si="66"/>
      </c>
      <c r="C8511" s="40">
        <f>IF(Inputs!$C$60,Inputs!$C$11+(B8511-Inputs!$C$69)/Inputs!$C$70,"")</f>
      </c>
      <c r="D8511" s="15"/>
      <c r="E8511" s="15"/>
      <c r="F8511" s="11">
        <f t="shared" si="67"/>
      </c>
      <c r="G8511" s="22" cm="1">
        <f t="array" ref="G8511">IF(AND(Inputs!$C$60,Inputs!$C$61),INDEX(Utility_Rates!$C$29:$F$52,HOUR(C8511)+Inputs!$C$69,MATCH(INDEX(Utility_Rates!$K$6:$K$17,MONTH(C8511))&amp;IF(WEEKDAY(C8511,Inputs!$C$76)&lt;=Inputs!$C$74," weekday"," weekend"),Utility_Rates!$C$28:$F$28,Inputs!$C$68)),"")</f>
      </c>
      <c r="H8511" s="34"/>
      <c r="I8511" s="42">
        <f>IF(AND(ISNUMBER(D8511),ISNUMBER(H8511)),D8511*H8511*Inputs!$C$69,"")</f>
      </c>
      <c r="J8511" s="42">
        <f>IF(AND(ISNUMBER(F8511),ISNUMBER(H8511),F8511&gt;=Inputs!$C$68),F8511*H8511*Inputs!$C$69,"")</f>
      </c>
    </row>
    <row r="8512" spans="2:10" ht="15" customHeight="1" x14ac:dyDescent="0.2">
      <c r="B8512" s="39">
        <f t="shared" si="66"/>
      </c>
      <c r="C8512" s="40">
        <f>IF(Inputs!$C$60,Inputs!$C$11+(B8512-Inputs!$C$69)/Inputs!$C$70,"")</f>
      </c>
      <c r="D8512" s="15"/>
      <c r="E8512" s="15"/>
      <c r="F8512" s="11">
        <f t="shared" si="67"/>
      </c>
      <c r="G8512" s="22" cm="1">
        <f t="array" ref="G8512">IF(AND(Inputs!$C$60,Inputs!$C$61),INDEX(Utility_Rates!$C$29:$F$52,HOUR(C8512)+Inputs!$C$69,MATCH(INDEX(Utility_Rates!$K$6:$K$17,MONTH(C8512))&amp;IF(WEEKDAY(C8512,Inputs!$C$76)&lt;=Inputs!$C$74," weekday"," weekend"),Utility_Rates!$C$28:$F$28,Inputs!$C$68)),"")</f>
      </c>
      <c r="H8512" s="34"/>
      <c r="I8512" s="42">
        <f>IF(AND(ISNUMBER(D8512),ISNUMBER(H8512)),D8512*H8512*Inputs!$C$69,"")</f>
      </c>
      <c r="J8512" s="42">
        <f>IF(AND(ISNUMBER(F8512),ISNUMBER(H8512),F8512&gt;=Inputs!$C$68),F8512*H8512*Inputs!$C$69,"")</f>
      </c>
    </row>
    <row r="8513" spans="2:10" ht="15" customHeight="1" x14ac:dyDescent="0.2">
      <c r="B8513" s="39">
        <f t="shared" si="66"/>
      </c>
      <c r="C8513" s="40">
        <f>IF(Inputs!$C$60,Inputs!$C$11+(B8513-Inputs!$C$69)/Inputs!$C$70,"")</f>
      </c>
      <c r="D8513" s="15"/>
      <c r="E8513" s="15"/>
      <c r="F8513" s="11">
        <f t="shared" si="67"/>
      </c>
      <c r="G8513" s="22" cm="1">
        <f t="array" ref="G8513">IF(AND(Inputs!$C$60,Inputs!$C$61),INDEX(Utility_Rates!$C$29:$F$52,HOUR(C8513)+Inputs!$C$69,MATCH(INDEX(Utility_Rates!$K$6:$K$17,MONTH(C8513))&amp;IF(WEEKDAY(C8513,Inputs!$C$76)&lt;=Inputs!$C$74," weekday"," weekend"),Utility_Rates!$C$28:$F$28,Inputs!$C$68)),"")</f>
      </c>
      <c r="H8513" s="34"/>
      <c r="I8513" s="42">
        <f>IF(AND(ISNUMBER(D8513),ISNUMBER(H8513)),D8513*H8513*Inputs!$C$69,"")</f>
      </c>
      <c r="J8513" s="42">
        <f>IF(AND(ISNUMBER(F8513),ISNUMBER(H8513),F8513&gt;=Inputs!$C$68),F8513*H8513*Inputs!$C$69,"")</f>
      </c>
    </row>
    <row r="8514" spans="2:10" ht="15" customHeight="1" x14ac:dyDescent="0.2">
      <c r="B8514" s="39">
        <f t="shared" si="66"/>
      </c>
      <c r="C8514" s="40">
        <f>IF(Inputs!$C$60,Inputs!$C$11+(B8514-Inputs!$C$69)/Inputs!$C$70,"")</f>
      </c>
      <c r="D8514" s="15"/>
      <c r="E8514" s="15"/>
      <c r="F8514" s="11">
        <f t="shared" si="67"/>
      </c>
      <c r="G8514" s="22" cm="1">
        <f t="array" ref="G8514">IF(AND(Inputs!$C$60,Inputs!$C$61),INDEX(Utility_Rates!$C$29:$F$52,HOUR(C8514)+Inputs!$C$69,MATCH(INDEX(Utility_Rates!$K$6:$K$17,MONTH(C8514))&amp;IF(WEEKDAY(C8514,Inputs!$C$76)&lt;=Inputs!$C$74," weekday"," weekend"),Utility_Rates!$C$28:$F$28,Inputs!$C$68)),"")</f>
      </c>
      <c r="H8514" s="34"/>
      <c r="I8514" s="42">
        <f>IF(AND(ISNUMBER(D8514),ISNUMBER(H8514)),D8514*H8514*Inputs!$C$69,"")</f>
      </c>
      <c r="J8514" s="42">
        <f>IF(AND(ISNUMBER(F8514),ISNUMBER(H8514),F8514&gt;=Inputs!$C$68),F8514*H8514*Inputs!$C$69,"")</f>
      </c>
    </row>
    <row r="8515" spans="2:10" ht="15" customHeight="1" x14ac:dyDescent="0.2">
      <c r="B8515" s="39">
        <f t="shared" si="66"/>
      </c>
      <c r="C8515" s="40">
        <f>IF(Inputs!$C$60,Inputs!$C$11+(B8515-Inputs!$C$69)/Inputs!$C$70,"")</f>
      </c>
      <c r="D8515" s="15"/>
      <c r="E8515" s="15"/>
      <c r="F8515" s="11">
        <f t="shared" si="67"/>
      </c>
      <c r="G8515" s="22" cm="1">
        <f t="array" ref="G8515">IF(AND(Inputs!$C$60,Inputs!$C$61),INDEX(Utility_Rates!$C$29:$F$52,HOUR(C8515)+Inputs!$C$69,MATCH(INDEX(Utility_Rates!$K$6:$K$17,MONTH(C8515))&amp;IF(WEEKDAY(C8515,Inputs!$C$76)&lt;=Inputs!$C$74," weekday"," weekend"),Utility_Rates!$C$28:$F$28,Inputs!$C$68)),"")</f>
      </c>
      <c r="H8515" s="34"/>
      <c r="I8515" s="42">
        <f>IF(AND(ISNUMBER(D8515),ISNUMBER(H8515)),D8515*H8515*Inputs!$C$69,"")</f>
      </c>
      <c r="J8515" s="42">
        <f>IF(AND(ISNUMBER(F8515),ISNUMBER(H8515),F8515&gt;=Inputs!$C$68),F8515*H8515*Inputs!$C$69,"")</f>
      </c>
    </row>
    <row r="8516" spans="2:10" ht="15" customHeight="1" x14ac:dyDescent="0.2">
      <c r="B8516" s="39">
        <f t="shared" si="66"/>
      </c>
      <c r="C8516" s="40">
        <f>IF(Inputs!$C$60,Inputs!$C$11+(B8516-Inputs!$C$69)/Inputs!$C$70,"")</f>
      </c>
      <c r="D8516" s="15"/>
      <c r="E8516" s="15"/>
      <c r="F8516" s="11">
        <f t="shared" si="67"/>
      </c>
      <c r="G8516" s="22" cm="1">
        <f t="array" ref="G8516">IF(AND(Inputs!$C$60,Inputs!$C$61),INDEX(Utility_Rates!$C$29:$F$52,HOUR(C8516)+Inputs!$C$69,MATCH(INDEX(Utility_Rates!$K$6:$K$17,MONTH(C8516))&amp;IF(WEEKDAY(C8516,Inputs!$C$76)&lt;=Inputs!$C$74," weekday"," weekend"),Utility_Rates!$C$28:$F$28,Inputs!$C$68)),"")</f>
      </c>
      <c r="H8516" s="34"/>
      <c r="I8516" s="42">
        <f>IF(AND(ISNUMBER(D8516),ISNUMBER(H8516)),D8516*H8516*Inputs!$C$69,"")</f>
      </c>
      <c r="J8516" s="42">
        <f>IF(AND(ISNUMBER(F8516),ISNUMBER(H8516),F8516&gt;=Inputs!$C$68),F8516*H8516*Inputs!$C$69,"")</f>
      </c>
    </row>
    <row r="8517" spans="2:10" ht="15" customHeight="1" x14ac:dyDescent="0.2">
      <c r="B8517" s="39">
        <f t="shared" si="66"/>
      </c>
      <c r="C8517" s="40">
        <f>IF(Inputs!$C$60,Inputs!$C$11+(B8517-Inputs!$C$69)/Inputs!$C$70,"")</f>
      </c>
      <c r="D8517" s="15"/>
      <c r="E8517" s="15"/>
      <c r="F8517" s="11">
        <f t="shared" si="67"/>
      </c>
      <c r="G8517" s="22" cm="1">
        <f t="array" ref="G8517">IF(AND(Inputs!$C$60,Inputs!$C$61),INDEX(Utility_Rates!$C$29:$F$52,HOUR(C8517)+Inputs!$C$69,MATCH(INDEX(Utility_Rates!$K$6:$K$17,MONTH(C8517))&amp;IF(WEEKDAY(C8517,Inputs!$C$76)&lt;=Inputs!$C$74," weekday"," weekend"),Utility_Rates!$C$28:$F$28,Inputs!$C$68)),"")</f>
      </c>
      <c r="H8517" s="34"/>
      <c r="I8517" s="42">
        <f>IF(AND(ISNUMBER(D8517),ISNUMBER(H8517)),D8517*H8517*Inputs!$C$69,"")</f>
      </c>
      <c r="J8517" s="42">
        <f>IF(AND(ISNUMBER(F8517),ISNUMBER(H8517),F8517&gt;=Inputs!$C$68),F8517*H8517*Inputs!$C$69,"")</f>
      </c>
    </row>
    <row r="8518" spans="2:10" ht="15" customHeight="1" x14ac:dyDescent="0.2">
      <c r="B8518" s="39">
        <f t="shared" si="66"/>
      </c>
      <c r="C8518" s="40">
        <f>IF(Inputs!$C$60,Inputs!$C$11+(B8518-Inputs!$C$69)/Inputs!$C$70,"")</f>
      </c>
      <c r="D8518" s="15"/>
      <c r="E8518" s="15"/>
      <c r="F8518" s="11">
        <f t="shared" si="67"/>
      </c>
      <c r="G8518" s="22" cm="1">
        <f t="array" ref="G8518">IF(AND(Inputs!$C$60,Inputs!$C$61),INDEX(Utility_Rates!$C$29:$F$52,HOUR(C8518)+Inputs!$C$69,MATCH(INDEX(Utility_Rates!$K$6:$K$17,MONTH(C8518))&amp;IF(WEEKDAY(C8518,Inputs!$C$76)&lt;=Inputs!$C$74," weekday"," weekend"),Utility_Rates!$C$28:$F$28,Inputs!$C$68)),"")</f>
      </c>
      <c r="H8518" s="34"/>
      <c r="I8518" s="42">
        <f>IF(AND(ISNUMBER(D8518),ISNUMBER(H8518)),D8518*H8518*Inputs!$C$69,"")</f>
      </c>
      <c r="J8518" s="42">
        <f>IF(AND(ISNUMBER(F8518),ISNUMBER(H8518),F8518&gt;=Inputs!$C$68),F8518*H8518*Inputs!$C$69,"")</f>
      </c>
    </row>
    <row r="8519" spans="2:10" ht="15" customHeight="1" x14ac:dyDescent="0.2">
      <c r="B8519" s="39">
        <f t="shared" si="66"/>
      </c>
      <c r="C8519" s="40">
        <f>IF(Inputs!$C$60,Inputs!$C$11+(B8519-Inputs!$C$69)/Inputs!$C$70,"")</f>
      </c>
      <c r="D8519" s="15"/>
      <c r="E8519" s="15"/>
      <c r="F8519" s="11">
        <f t="shared" si="67"/>
      </c>
      <c r="G8519" s="22" cm="1">
        <f t="array" ref="G8519">IF(AND(Inputs!$C$60,Inputs!$C$61),INDEX(Utility_Rates!$C$29:$F$52,HOUR(C8519)+Inputs!$C$69,MATCH(INDEX(Utility_Rates!$K$6:$K$17,MONTH(C8519))&amp;IF(WEEKDAY(C8519,Inputs!$C$76)&lt;=Inputs!$C$74," weekday"," weekend"),Utility_Rates!$C$28:$F$28,Inputs!$C$68)),"")</f>
      </c>
      <c r="H8519" s="34"/>
      <c r="I8519" s="42">
        <f>IF(AND(ISNUMBER(D8519),ISNUMBER(H8519)),D8519*H8519*Inputs!$C$69,"")</f>
      </c>
      <c r="J8519" s="42">
        <f>IF(AND(ISNUMBER(F8519),ISNUMBER(H8519),F8519&gt;=Inputs!$C$68),F8519*H8519*Inputs!$C$69,"")</f>
      </c>
    </row>
    <row r="8520" spans="2:10" ht="15" customHeight="1" x14ac:dyDescent="0.2">
      <c r="B8520" s="39">
        <f t="shared" si="66"/>
      </c>
      <c r="C8520" s="40">
        <f>IF(Inputs!$C$60,Inputs!$C$11+(B8520-Inputs!$C$69)/Inputs!$C$70,"")</f>
      </c>
      <c r="D8520" s="15"/>
      <c r="E8520" s="15"/>
      <c r="F8520" s="11">
        <f t="shared" si="67"/>
      </c>
      <c r="G8520" s="22" cm="1">
        <f t="array" ref="G8520">IF(AND(Inputs!$C$60,Inputs!$C$61),INDEX(Utility_Rates!$C$29:$F$52,HOUR(C8520)+Inputs!$C$69,MATCH(INDEX(Utility_Rates!$K$6:$K$17,MONTH(C8520))&amp;IF(WEEKDAY(C8520,Inputs!$C$76)&lt;=Inputs!$C$74," weekday"," weekend"),Utility_Rates!$C$28:$F$28,Inputs!$C$68)),"")</f>
      </c>
      <c r="H8520" s="34"/>
      <c r="I8520" s="42">
        <f>IF(AND(ISNUMBER(D8520),ISNUMBER(H8520)),D8520*H8520*Inputs!$C$69,"")</f>
      </c>
      <c r="J8520" s="42">
        <f>IF(AND(ISNUMBER(F8520),ISNUMBER(H8520),F8520&gt;=Inputs!$C$68),F8520*H8520*Inputs!$C$69,"")</f>
      </c>
    </row>
    <row r="8521" spans="2:10" ht="15" customHeight="1" x14ac:dyDescent="0.2">
      <c r="B8521" s="39">
        <f t="shared" si="66"/>
      </c>
      <c r="C8521" s="40">
        <f>IF(Inputs!$C$60,Inputs!$C$11+(B8521-Inputs!$C$69)/Inputs!$C$70,"")</f>
      </c>
      <c r="D8521" s="15"/>
      <c r="E8521" s="15"/>
      <c r="F8521" s="11">
        <f t="shared" si="67"/>
      </c>
      <c r="G8521" s="22" cm="1">
        <f t="array" ref="G8521">IF(AND(Inputs!$C$60,Inputs!$C$61),INDEX(Utility_Rates!$C$29:$F$52,HOUR(C8521)+Inputs!$C$69,MATCH(INDEX(Utility_Rates!$K$6:$K$17,MONTH(C8521))&amp;IF(WEEKDAY(C8521,Inputs!$C$76)&lt;=Inputs!$C$74," weekday"," weekend"),Utility_Rates!$C$28:$F$28,Inputs!$C$68)),"")</f>
      </c>
      <c r="H8521" s="34"/>
      <c r="I8521" s="42">
        <f>IF(AND(ISNUMBER(D8521),ISNUMBER(H8521)),D8521*H8521*Inputs!$C$69,"")</f>
      </c>
      <c r="J8521" s="42">
        <f>IF(AND(ISNUMBER(F8521),ISNUMBER(H8521),F8521&gt;=Inputs!$C$68),F8521*H8521*Inputs!$C$69,"")</f>
      </c>
    </row>
    <row r="8522" spans="2:10" ht="15" customHeight="1" x14ac:dyDescent="0.2">
      <c r="B8522" s="39">
        <f t="shared" si="66"/>
      </c>
      <c r="C8522" s="40">
        <f>IF(Inputs!$C$60,Inputs!$C$11+(B8522-Inputs!$C$69)/Inputs!$C$70,"")</f>
      </c>
      <c r="D8522" s="15"/>
      <c r="E8522" s="15"/>
      <c r="F8522" s="11">
        <f t="shared" si="67"/>
      </c>
      <c r="G8522" s="22" cm="1">
        <f t="array" ref="G8522">IF(AND(Inputs!$C$60,Inputs!$C$61),INDEX(Utility_Rates!$C$29:$F$52,HOUR(C8522)+Inputs!$C$69,MATCH(INDEX(Utility_Rates!$K$6:$K$17,MONTH(C8522))&amp;IF(WEEKDAY(C8522,Inputs!$C$76)&lt;=Inputs!$C$74," weekday"," weekend"),Utility_Rates!$C$28:$F$28,Inputs!$C$68)),"")</f>
      </c>
      <c r="H8522" s="34"/>
      <c r="I8522" s="42">
        <f>IF(AND(ISNUMBER(D8522),ISNUMBER(H8522)),D8522*H8522*Inputs!$C$69,"")</f>
      </c>
      <c r="J8522" s="42">
        <f>IF(AND(ISNUMBER(F8522),ISNUMBER(H8522),F8522&gt;=Inputs!$C$68),F8522*H8522*Inputs!$C$69,"")</f>
      </c>
    </row>
    <row r="8523" spans="2:10" ht="15" customHeight="1" x14ac:dyDescent="0.2">
      <c r="B8523" s="39">
        <f t="shared" si="66"/>
      </c>
      <c r="C8523" s="40">
        <f>IF(Inputs!$C$60,Inputs!$C$11+(B8523-Inputs!$C$69)/Inputs!$C$70,"")</f>
      </c>
      <c r="D8523" s="15"/>
      <c r="E8523" s="15"/>
      <c r="F8523" s="11">
        <f t="shared" si="67"/>
      </c>
      <c r="G8523" s="22" cm="1">
        <f t="array" ref="G8523">IF(AND(Inputs!$C$60,Inputs!$C$61),INDEX(Utility_Rates!$C$29:$F$52,HOUR(C8523)+Inputs!$C$69,MATCH(INDEX(Utility_Rates!$K$6:$K$17,MONTH(C8523))&amp;IF(WEEKDAY(C8523,Inputs!$C$76)&lt;=Inputs!$C$74," weekday"," weekend"),Utility_Rates!$C$28:$F$28,Inputs!$C$68)),"")</f>
      </c>
      <c r="H8523" s="34"/>
      <c r="I8523" s="42">
        <f>IF(AND(ISNUMBER(D8523),ISNUMBER(H8523)),D8523*H8523*Inputs!$C$69,"")</f>
      </c>
      <c r="J8523" s="42">
        <f>IF(AND(ISNUMBER(F8523),ISNUMBER(H8523),F8523&gt;=Inputs!$C$68),F8523*H8523*Inputs!$C$69,"")</f>
      </c>
    </row>
    <row r="8524" spans="2:10" ht="15" customHeight="1" x14ac:dyDescent="0.2">
      <c r="B8524" s="39">
        <f t="shared" si="66"/>
      </c>
      <c r="C8524" s="40">
        <f>IF(Inputs!$C$60,Inputs!$C$11+(B8524-Inputs!$C$69)/Inputs!$C$70,"")</f>
      </c>
      <c r="D8524" s="15"/>
      <c r="E8524" s="15"/>
      <c r="F8524" s="11">
        <f t="shared" si="67"/>
      </c>
      <c r="G8524" s="22" cm="1">
        <f t="array" ref="G8524">IF(AND(Inputs!$C$60,Inputs!$C$61),INDEX(Utility_Rates!$C$29:$F$52,HOUR(C8524)+Inputs!$C$69,MATCH(INDEX(Utility_Rates!$K$6:$K$17,MONTH(C8524))&amp;IF(WEEKDAY(C8524,Inputs!$C$76)&lt;=Inputs!$C$74," weekday"," weekend"),Utility_Rates!$C$28:$F$28,Inputs!$C$68)),"")</f>
      </c>
      <c r="H8524" s="34"/>
      <c r="I8524" s="42">
        <f>IF(AND(ISNUMBER(D8524),ISNUMBER(H8524)),D8524*H8524*Inputs!$C$69,"")</f>
      </c>
      <c r="J8524" s="42">
        <f>IF(AND(ISNUMBER(F8524),ISNUMBER(H8524),F8524&gt;=Inputs!$C$68),F8524*H8524*Inputs!$C$69,"")</f>
      </c>
    </row>
    <row r="8525" spans="2:10" ht="15" customHeight="1" x14ac:dyDescent="0.2">
      <c r="B8525" s="39">
        <f t="shared" si="66"/>
      </c>
      <c r="C8525" s="40">
        <f>IF(Inputs!$C$60,Inputs!$C$11+(B8525-Inputs!$C$69)/Inputs!$C$70,"")</f>
      </c>
      <c r="D8525" s="15"/>
      <c r="E8525" s="15"/>
      <c r="F8525" s="11">
        <f t="shared" si="67"/>
      </c>
      <c r="G8525" s="22" cm="1">
        <f t="array" ref="G8525">IF(AND(Inputs!$C$60,Inputs!$C$61),INDEX(Utility_Rates!$C$29:$F$52,HOUR(C8525)+Inputs!$C$69,MATCH(INDEX(Utility_Rates!$K$6:$K$17,MONTH(C8525))&amp;IF(WEEKDAY(C8525,Inputs!$C$76)&lt;=Inputs!$C$74," weekday"," weekend"),Utility_Rates!$C$28:$F$28,Inputs!$C$68)),"")</f>
      </c>
      <c r="H8525" s="34"/>
      <c r="I8525" s="42">
        <f>IF(AND(ISNUMBER(D8525),ISNUMBER(H8525)),D8525*H8525*Inputs!$C$69,"")</f>
      </c>
      <c r="J8525" s="42">
        <f>IF(AND(ISNUMBER(F8525),ISNUMBER(H8525),F8525&gt;=Inputs!$C$68),F8525*H8525*Inputs!$C$69,"")</f>
      </c>
    </row>
    <row r="8526" spans="2:10" ht="15" customHeight="1" x14ac:dyDescent="0.2">
      <c r="B8526" s="39">
        <f t="shared" si="66"/>
      </c>
      <c r="C8526" s="40">
        <f>IF(Inputs!$C$60,Inputs!$C$11+(B8526-Inputs!$C$69)/Inputs!$C$70,"")</f>
      </c>
      <c r="D8526" s="15"/>
      <c r="E8526" s="15"/>
      <c r="F8526" s="11">
        <f t="shared" si="67"/>
      </c>
      <c r="G8526" s="22" cm="1">
        <f t="array" ref="G8526">IF(AND(Inputs!$C$60,Inputs!$C$61),INDEX(Utility_Rates!$C$29:$F$52,HOUR(C8526)+Inputs!$C$69,MATCH(INDEX(Utility_Rates!$K$6:$K$17,MONTH(C8526))&amp;IF(WEEKDAY(C8526,Inputs!$C$76)&lt;=Inputs!$C$74," weekday"," weekend"),Utility_Rates!$C$28:$F$28,Inputs!$C$68)),"")</f>
      </c>
      <c r="H8526" s="34"/>
      <c r="I8526" s="42">
        <f>IF(AND(ISNUMBER(D8526),ISNUMBER(H8526)),D8526*H8526*Inputs!$C$69,"")</f>
      </c>
      <c r="J8526" s="42">
        <f>IF(AND(ISNUMBER(F8526),ISNUMBER(H8526),F8526&gt;=Inputs!$C$68),F8526*H8526*Inputs!$C$69,"")</f>
      </c>
    </row>
    <row r="8527" spans="2:10" ht="15" customHeight="1" x14ac:dyDescent="0.2">
      <c r="B8527" s="39">
        <f t="shared" si="66"/>
      </c>
      <c r="C8527" s="40">
        <f>IF(Inputs!$C$60,Inputs!$C$11+(B8527-Inputs!$C$69)/Inputs!$C$70,"")</f>
      </c>
      <c r="D8527" s="15"/>
      <c r="E8527" s="15"/>
      <c r="F8527" s="11">
        <f t="shared" si="67"/>
      </c>
      <c r="G8527" s="22" cm="1">
        <f t="array" ref="G8527">IF(AND(Inputs!$C$60,Inputs!$C$61),INDEX(Utility_Rates!$C$29:$F$52,HOUR(C8527)+Inputs!$C$69,MATCH(INDEX(Utility_Rates!$K$6:$K$17,MONTH(C8527))&amp;IF(WEEKDAY(C8527,Inputs!$C$76)&lt;=Inputs!$C$74," weekday"," weekend"),Utility_Rates!$C$28:$F$28,Inputs!$C$68)),"")</f>
      </c>
      <c r="H8527" s="34"/>
      <c r="I8527" s="42">
        <f>IF(AND(ISNUMBER(D8527),ISNUMBER(H8527)),D8527*H8527*Inputs!$C$69,"")</f>
      </c>
      <c r="J8527" s="42">
        <f>IF(AND(ISNUMBER(F8527),ISNUMBER(H8527),F8527&gt;=Inputs!$C$68),F8527*H8527*Inputs!$C$69,"")</f>
      </c>
    </row>
    <row r="8528" spans="2:10" ht="15" customHeight="1" x14ac:dyDescent="0.2">
      <c r="B8528" s="39">
        <f t="shared" si="66"/>
      </c>
      <c r="C8528" s="40">
        <f>IF(Inputs!$C$60,Inputs!$C$11+(B8528-Inputs!$C$69)/Inputs!$C$70,"")</f>
      </c>
      <c r="D8528" s="15"/>
      <c r="E8528" s="15"/>
      <c r="F8528" s="11">
        <f t="shared" si="67"/>
      </c>
      <c r="G8528" s="22" cm="1">
        <f t="array" ref="G8528">IF(AND(Inputs!$C$60,Inputs!$C$61),INDEX(Utility_Rates!$C$29:$F$52,HOUR(C8528)+Inputs!$C$69,MATCH(INDEX(Utility_Rates!$K$6:$K$17,MONTH(C8528))&amp;IF(WEEKDAY(C8528,Inputs!$C$76)&lt;=Inputs!$C$74," weekday"," weekend"),Utility_Rates!$C$28:$F$28,Inputs!$C$68)),"")</f>
      </c>
      <c r="H8528" s="34"/>
      <c r="I8528" s="42">
        <f>IF(AND(ISNUMBER(D8528),ISNUMBER(H8528)),D8528*H8528*Inputs!$C$69,"")</f>
      </c>
      <c r="J8528" s="42">
        <f>IF(AND(ISNUMBER(F8528),ISNUMBER(H8528),F8528&gt;=Inputs!$C$68),F8528*H8528*Inputs!$C$69,"")</f>
      </c>
    </row>
    <row r="8529" spans="2:10" ht="15" customHeight="1" x14ac:dyDescent="0.2">
      <c r="B8529" s="39">
        <f t="shared" si="66"/>
      </c>
      <c r="C8529" s="40">
        <f>IF(Inputs!$C$60,Inputs!$C$11+(B8529-Inputs!$C$69)/Inputs!$C$70,"")</f>
      </c>
      <c r="D8529" s="15"/>
      <c r="E8529" s="15"/>
      <c r="F8529" s="11">
        <f t="shared" si="67"/>
      </c>
      <c r="G8529" s="22" cm="1">
        <f t="array" ref="G8529">IF(AND(Inputs!$C$60,Inputs!$C$61),INDEX(Utility_Rates!$C$29:$F$52,HOUR(C8529)+Inputs!$C$69,MATCH(INDEX(Utility_Rates!$K$6:$K$17,MONTH(C8529))&amp;IF(WEEKDAY(C8529,Inputs!$C$76)&lt;=Inputs!$C$74," weekday"," weekend"),Utility_Rates!$C$28:$F$28,Inputs!$C$68)),"")</f>
      </c>
      <c r="H8529" s="34"/>
      <c r="I8529" s="42">
        <f>IF(AND(ISNUMBER(D8529),ISNUMBER(H8529)),D8529*H8529*Inputs!$C$69,"")</f>
      </c>
      <c r="J8529" s="42">
        <f>IF(AND(ISNUMBER(F8529),ISNUMBER(H8529),F8529&gt;=Inputs!$C$68),F8529*H8529*Inputs!$C$69,"")</f>
      </c>
    </row>
    <row r="8530" spans="2:10" ht="15" customHeight="1" x14ac:dyDescent="0.2">
      <c r="B8530" s="39">
        <f t="shared" si="66"/>
      </c>
      <c r="C8530" s="40">
        <f>IF(Inputs!$C$60,Inputs!$C$11+(B8530-Inputs!$C$69)/Inputs!$C$70,"")</f>
      </c>
      <c r="D8530" s="15"/>
      <c r="E8530" s="15"/>
      <c r="F8530" s="11">
        <f t="shared" si="67"/>
      </c>
      <c r="G8530" s="22" cm="1">
        <f t="array" ref="G8530">IF(AND(Inputs!$C$60,Inputs!$C$61),INDEX(Utility_Rates!$C$29:$F$52,HOUR(C8530)+Inputs!$C$69,MATCH(INDEX(Utility_Rates!$K$6:$K$17,MONTH(C8530))&amp;IF(WEEKDAY(C8530,Inputs!$C$76)&lt;=Inputs!$C$74," weekday"," weekend"),Utility_Rates!$C$28:$F$28,Inputs!$C$68)),"")</f>
      </c>
      <c r="H8530" s="34"/>
      <c r="I8530" s="42">
        <f>IF(AND(ISNUMBER(D8530),ISNUMBER(H8530)),D8530*H8530*Inputs!$C$69,"")</f>
      </c>
      <c r="J8530" s="42">
        <f>IF(AND(ISNUMBER(F8530),ISNUMBER(H8530),F8530&gt;=Inputs!$C$68),F8530*H8530*Inputs!$C$69,"")</f>
      </c>
    </row>
    <row r="8531" spans="2:10" ht="15" customHeight="1" x14ac:dyDescent="0.2">
      <c r="B8531" s="39">
        <f t="shared" si="66"/>
      </c>
      <c r="C8531" s="40">
        <f>IF(Inputs!$C$60,Inputs!$C$11+(B8531-Inputs!$C$69)/Inputs!$C$70,"")</f>
      </c>
      <c r="D8531" s="15"/>
      <c r="E8531" s="15"/>
      <c r="F8531" s="11">
        <f t="shared" si="67"/>
      </c>
      <c r="G8531" s="22" cm="1">
        <f t="array" ref="G8531">IF(AND(Inputs!$C$60,Inputs!$C$61),INDEX(Utility_Rates!$C$29:$F$52,HOUR(C8531)+Inputs!$C$69,MATCH(INDEX(Utility_Rates!$K$6:$K$17,MONTH(C8531))&amp;IF(WEEKDAY(C8531,Inputs!$C$76)&lt;=Inputs!$C$74," weekday"," weekend"),Utility_Rates!$C$28:$F$28,Inputs!$C$68)),"")</f>
      </c>
      <c r="H8531" s="34"/>
      <c r="I8531" s="42">
        <f>IF(AND(ISNUMBER(D8531),ISNUMBER(H8531)),D8531*H8531*Inputs!$C$69,"")</f>
      </c>
      <c r="J8531" s="42">
        <f>IF(AND(ISNUMBER(F8531),ISNUMBER(H8531),F8531&gt;=Inputs!$C$68),F8531*H8531*Inputs!$C$69,"")</f>
      </c>
    </row>
    <row r="8532" spans="2:10" ht="15" customHeight="1" x14ac:dyDescent="0.2">
      <c r="B8532" s="39">
        <f t="shared" si="66"/>
      </c>
      <c r="C8532" s="40">
        <f>IF(Inputs!$C$60,Inputs!$C$11+(B8532-Inputs!$C$69)/Inputs!$C$70,"")</f>
      </c>
      <c r="D8532" s="15"/>
      <c r="E8532" s="15"/>
      <c r="F8532" s="11">
        <f t="shared" si="67"/>
      </c>
      <c r="G8532" s="22" cm="1">
        <f t="array" ref="G8532">IF(AND(Inputs!$C$60,Inputs!$C$61),INDEX(Utility_Rates!$C$29:$F$52,HOUR(C8532)+Inputs!$C$69,MATCH(INDEX(Utility_Rates!$K$6:$K$17,MONTH(C8532))&amp;IF(WEEKDAY(C8532,Inputs!$C$76)&lt;=Inputs!$C$74," weekday"," weekend"),Utility_Rates!$C$28:$F$28,Inputs!$C$68)),"")</f>
      </c>
      <c r="H8532" s="34"/>
      <c r="I8532" s="42">
        <f>IF(AND(ISNUMBER(D8532),ISNUMBER(H8532)),D8532*H8532*Inputs!$C$69,"")</f>
      </c>
      <c r="J8532" s="42">
        <f>IF(AND(ISNUMBER(F8532),ISNUMBER(H8532),F8532&gt;=Inputs!$C$68),F8532*H8532*Inputs!$C$69,"")</f>
      </c>
    </row>
    <row r="8533" spans="2:10" ht="15" customHeight="1" x14ac:dyDescent="0.2">
      <c r="B8533" s="39">
        <f t="shared" si="66"/>
      </c>
      <c r="C8533" s="40">
        <f>IF(Inputs!$C$60,Inputs!$C$11+(B8533-Inputs!$C$69)/Inputs!$C$70,"")</f>
      </c>
      <c r="D8533" s="15"/>
      <c r="E8533" s="15"/>
      <c r="F8533" s="11">
        <f t="shared" si="67"/>
      </c>
      <c r="G8533" s="22" cm="1">
        <f t="array" ref="G8533">IF(AND(Inputs!$C$60,Inputs!$C$61),INDEX(Utility_Rates!$C$29:$F$52,HOUR(C8533)+Inputs!$C$69,MATCH(INDEX(Utility_Rates!$K$6:$K$17,MONTH(C8533))&amp;IF(WEEKDAY(C8533,Inputs!$C$76)&lt;=Inputs!$C$74," weekday"," weekend"),Utility_Rates!$C$28:$F$28,Inputs!$C$68)),"")</f>
      </c>
      <c r="H8533" s="34"/>
      <c r="I8533" s="42">
        <f>IF(AND(ISNUMBER(D8533),ISNUMBER(H8533)),D8533*H8533*Inputs!$C$69,"")</f>
      </c>
      <c r="J8533" s="42">
        <f>IF(AND(ISNUMBER(F8533),ISNUMBER(H8533),F8533&gt;=Inputs!$C$68),F8533*H8533*Inputs!$C$69,"")</f>
      </c>
    </row>
    <row r="8534" spans="2:10" ht="15" customHeight="1" x14ac:dyDescent="0.2">
      <c r="B8534" s="39">
        <f t="shared" si="66"/>
      </c>
      <c r="C8534" s="40">
        <f>IF(Inputs!$C$60,Inputs!$C$11+(B8534-Inputs!$C$69)/Inputs!$C$70,"")</f>
      </c>
      <c r="D8534" s="15"/>
      <c r="E8534" s="15"/>
      <c r="F8534" s="11">
        <f t="shared" si="67"/>
      </c>
      <c r="G8534" s="22" cm="1">
        <f t="array" ref="G8534">IF(AND(Inputs!$C$60,Inputs!$C$61),INDEX(Utility_Rates!$C$29:$F$52,HOUR(C8534)+Inputs!$C$69,MATCH(INDEX(Utility_Rates!$K$6:$K$17,MONTH(C8534))&amp;IF(WEEKDAY(C8534,Inputs!$C$76)&lt;=Inputs!$C$74," weekday"," weekend"),Utility_Rates!$C$28:$F$28,Inputs!$C$68)),"")</f>
      </c>
      <c r="H8534" s="34"/>
      <c r="I8534" s="42">
        <f>IF(AND(ISNUMBER(D8534),ISNUMBER(H8534)),D8534*H8534*Inputs!$C$69,"")</f>
      </c>
      <c r="J8534" s="42">
        <f>IF(AND(ISNUMBER(F8534),ISNUMBER(H8534),F8534&gt;=Inputs!$C$68),F8534*H8534*Inputs!$C$69,"")</f>
      </c>
    </row>
    <row r="8535" spans="2:10" ht="15" customHeight="1" x14ac:dyDescent="0.2">
      <c r="B8535" s="39">
        <f t="shared" si="66"/>
      </c>
      <c r="C8535" s="40">
        <f>IF(Inputs!$C$60,Inputs!$C$11+(B8535-Inputs!$C$69)/Inputs!$C$70,"")</f>
      </c>
      <c r="D8535" s="15"/>
      <c r="E8535" s="15"/>
      <c r="F8535" s="11">
        <f t="shared" si="67"/>
      </c>
      <c r="G8535" s="22" cm="1">
        <f t="array" ref="G8535">IF(AND(Inputs!$C$60,Inputs!$C$61),INDEX(Utility_Rates!$C$29:$F$52,HOUR(C8535)+Inputs!$C$69,MATCH(INDEX(Utility_Rates!$K$6:$K$17,MONTH(C8535))&amp;IF(WEEKDAY(C8535,Inputs!$C$76)&lt;=Inputs!$C$74," weekday"," weekend"),Utility_Rates!$C$28:$F$28,Inputs!$C$68)),"")</f>
      </c>
      <c r="H8535" s="34"/>
      <c r="I8535" s="42">
        <f>IF(AND(ISNUMBER(D8535),ISNUMBER(H8535)),D8535*H8535*Inputs!$C$69,"")</f>
      </c>
      <c r="J8535" s="42">
        <f>IF(AND(ISNUMBER(F8535),ISNUMBER(H8535),F8535&gt;=Inputs!$C$68),F8535*H8535*Inputs!$C$69,"")</f>
      </c>
    </row>
    <row r="8536" spans="2:10" ht="15" customHeight="1" x14ac:dyDescent="0.2">
      <c r="B8536" s="39">
        <f t="shared" si="66"/>
      </c>
      <c r="C8536" s="40">
        <f>IF(Inputs!$C$60,Inputs!$C$11+(B8536-Inputs!$C$69)/Inputs!$C$70,"")</f>
      </c>
      <c r="D8536" s="15"/>
      <c r="E8536" s="15"/>
      <c r="F8536" s="11">
        <f t="shared" si="67"/>
      </c>
      <c r="G8536" s="22" cm="1">
        <f t="array" ref="G8536">IF(AND(Inputs!$C$60,Inputs!$C$61),INDEX(Utility_Rates!$C$29:$F$52,HOUR(C8536)+Inputs!$C$69,MATCH(INDEX(Utility_Rates!$K$6:$K$17,MONTH(C8536))&amp;IF(WEEKDAY(C8536,Inputs!$C$76)&lt;=Inputs!$C$74," weekday"," weekend"),Utility_Rates!$C$28:$F$28,Inputs!$C$68)),"")</f>
      </c>
      <c r="H8536" s="34"/>
      <c r="I8536" s="42">
        <f>IF(AND(ISNUMBER(D8536),ISNUMBER(H8536)),D8536*H8536*Inputs!$C$69,"")</f>
      </c>
      <c r="J8536" s="42">
        <f>IF(AND(ISNUMBER(F8536),ISNUMBER(H8536),F8536&gt;=Inputs!$C$68),F8536*H8536*Inputs!$C$69,"")</f>
      </c>
    </row>
    <row r="8537" spans="2:10" ht="15" customHeight="1" x14ac:dyDescent="0.2">
      <c r="B8537" s="39">
        <f t="shared" si="66"/>
      </c>
      <c r="C8537" s="40">
        <f>IF(Inputs!$C$60,Inputs!$C$11+(B8537-Inputs!$C$69)/Inputs!$C$70,"")</f>
      </c>
      <c r="D8537" s="15"/>
      <c r="E8537" s="15"/>
      <c r="F8537" s="11">
        <f t="shared" si="67"/>
      </c>
      <c r="G8537" s="22" cm="1">
        <f t="array" ref="G8537">IF(AND(Inputs!$C$60,Inputs!$C$61),INDEX(Utility_Rates!$C$29:$F$52,HOUR(C8537)+Inputs!$C$69,MATCH(INDEX(Utility_Rates!$K$6:$K$17,MONTH(C8537))&amp;IF(WEEKDAY(C8537,Inputs!$C$76)&lt;=Inputs!$C$74," weekday"," weekend"),Utility_Rates!$C$28:$F$28,Inputs!$C$68)),"")</f>
      </c>
      <c r="H8537" s="34"/>
      <c r="I8537" s="42">
        <f>IF(AND(ISNUMBER(D8537),ISNUMBER(H8537)),D8537*H8537*Inputs!$C$69,"")</f>
      </c>
      <c r="J8537" s="42">
        <f>IF(AND(ISNUMBER(F8537),ISNUMBER(H8537),F8537&gt;=Inputs!$C$68),F8537*H8537*Inputs!$C$69,"")</f>
      </c>
    </row>
    <row r="8538" spans="2:10" ht="15" customHeight="1" x14ac:dyDescent="0.2">
      <c r="B8538" s="39">
        <f t="shared" si="66"/>
      </c>
      <c r="C8538" s="40">
        <f>IF(Inputs!$C$60,Inputs!$C$11+(B8538-Inputs!$C$69)/Inputs!$C$70,"")</f>
      </c>
      <c r="D8538" s="15"/>
      <c r="E8538" s="15"/>
      <c r="F8538" s="11">
        <f t="shared" si="67"/>
      </c>
      <c r="G8538" s="22" cm="1">
        <f t="array" ref="G8538">IF(AND(Inputs!$C$60,Inputs!$C$61),INDEX(Utility_Rates!$C$29:$F$52,HOUR(C8538)+Inputs!$C$69,MATCH(INDEX(Utility_Rates!$K$6:$K$17,MONTH(C8538))&amp;IF(WEEKDAY(C8538,Inputs!$C$76)&lt;=Inputs!$C$74," weekday"," weekend"),Utility_Rates!$C$28:$F$28,Inputs!$C$68)),"")</f>
      </c>
      <c r="H8538" s="34"/>
      <c r="I8538" s="42">
        <f>IF(AND(ISNUMBER(D8538),ISNUMBER(H8538)),D8538*H8538*Inputs!$C$69,"")</f>
      </c>
      <c r="J8538" s="42">
        <f>IF(AND(ISNUMBER(F8538),ISNUMBER(H8538),F8538&gt;=Inputs!$C$68),F8538*H8538*Inputs!$C$69,"")</f>
      </c>
    </row>
    <row r="8539" spans="2:10" ht="15" customHeight="1" x14ac:dyDescent="0.2">
      <c r="B8539" s="39">
        <f t="shared" si="66"/>
      </c>
      <c r="C8539" s="40">
        <f>IF(Inputs!$C$60,Inputs!$C$11+(B8539-Inputs!$C$69)/Inputs!$C$70,"")</f>
      </c>
      <c r="D8539" s="15"/>
      <c r="E8539" s="15"/>
      <c r="F8539" s="11">
        <f t="shared" si="67"/>
      </c>
      <c r="G8539" s="22" cm="1">
        <f t="array" ref="G8539">IF(AND(Inputs!$C$60,Inputs!$C$61),INDEX(Utility_Rates!$C$29:$F$52,HOUR(C8539)+Inputs!$C$69,MATCH(INDEX(Utility_Rates!$K$6:$K$17,MONTH(C8539))&amp;IF(WEEKDAY(C8539,Inputs!$C$76)&lt;=Inputs!$C$74," weekday"," weekend"),Utility_Rates!$C$28:$F$28,Inputs!$C$68)),"")</f>
      </c>
      <c r="H8539" s="34"/>
      <c r="I8539" s="42">
        <f>IF(AND(ISNUMBER(D8539),ISNUMBER(H8539)),D8539*H8539*Inputs!$C$69,"")</f>
      </c>
      <c r="J8539" s="42">
        <f>IF(AND(ISNUMBER(F8539),ISNUMBER(H8539),F8539&gt;=Inputs!$C$68),F8539*H8539*Inputs!$C$69,"")</f>
      </c>
    </row>
    <row r="8540" spans="2:10" ht="15" customHeight="1" x14ac:dyDescent="0.2">
      <c r="B8540" s="39">
        <f t="shared" si="66"/>
      </c>
      <c r="C8540" s="40">
        <f>IF(Inputs!$C$60,Inputs!$C$11+(B8540-Inputs!$C$69)/Inputs!$C$70,"")</f>
      </c>
      <c r="D8540" s="15"/>
      <c r="E8540" s="15"/>
      <c r="F8540" s="11">
        <f t="shared" si="67"/>
      </c>
      <c r="G8540" s="22" cm="1">
        <f t="array" ref="G8540">IF(AND(Inputs!$C$60,Inputs!$C$61),INDEX(Utility_Rates!$C$29:$F$52,HOUR(C8540)+Inputs!$C$69,MATCH(INDEX(Utility_Rates!$K$6:$K$17,MONTH(C8540))&amp;IF(WEEKDAY(C8540,Inputs!$C$76)&lt;=Inputs!$C$74," weekday"," weekend"),Utility_Rates!$C$28:$F$28,Inputs!$C$68)),"")</f>
      </c>
      <c r="H8540" s="34"/>
      <c r="I8540" s="42">
        <f>IF(AND(ISNUMBER(D8540),ISNUMBER(H8540)),D8540*H8540*Inputs!$C$69,"")</f>
      </c>
      <c r="J8540" s="42">
        <f>IF(AND(ISNUMBER(F8540),ISNUMBER(H8540),F8540&gt;=Inputs!$C$68),F8540*H8540*Inputs!$C$69,"")</f>
      </c>
    </row>
    <row r="8541" spans="2:10" ht="15" customHeight="1" x14ac:dyDescent="0.2">
      <c r="B8541" s="39">
        <f t="shared" si="66"/>
      </c>
      <c r="C8541" s="40">
        <f>IF(Inputs!$C$60,Inputs!$C$11+(B8541-Inputs!$C$69)/Inputs!$C$70,"")</f>
      </c>
      <c r="D8541" s="15"/>
      <c r="E8541" s="15"/>
      <c r="F8541" s="11">
        <f t="shared" si="67"/>
      </c>
      <c r="G8541" s="22" cm="1">
        <f t="array" ref="G8541">IF(AND(Inputs!$C$60,Inputs!$C$61),INDEX(Utility_Rates!$C$29:$F$52,HOUR(C8541)+Inputs!$C$69,MATCH(INDEX(Utility_Rates!$K$6:$K$17,MONTH(C8541))&amp;IF(WEEKDAY(C8541,Inputs!$C$76)&lt;=Inputs!$C$74," weekday"," weekend"),Utility_Rates!$C$28:$F$28,Inputs!$C$68)),"")</f>
      </c>
      <c r="H8541" s="34"/>
      <c r="I8541" s="42">
        <f>IF(AND(ISNUMBER(D8541),ISNUMBER(H8541)),D8541*H8541*Inputs!$C$69,"")</f>
      </c>
      <c r="J8541" s="42">
        <f>IF(AND(ISNUMBER(F8541),ISNUMBER(H8541),F8541&gt;=Inputs!$C$68),F8541*H8541*Inputs!$C$69,"")</f>
      </c>
    </row>
    <row r="8542" spans="2:10" ht="15" customHeight="1" x14ac:dyDescent="0.2">
      <c r="B8542" s="39">
        <f t="shared" si="66"/>
      </c>
      <c r="C8542" s="40">
        <f>IF(Inputs!$C$60,Inputs!$C$11+(B8542-Inputs!$C$69)/Inputs!$C$70,"")</f>
      </c>
      <c r="D8542" s="15"/>
      <c r="E8542" s="15"/>
      <c r="F8542" s="11">
        <f t="shared" si="67"/>
      </c>
      <c r="G8542" s="22" cm="1">
        <f t="array" ref="G8542">IF(AND(Inputs!$C$60,Inputs!$C$61),INDEX(Utility_Rates!$C$29:$F$52,HOUR(C8542)+Inputs!$C$69,MATCH(INDEX(Utility_Rates!$K$6:$K$17,MONTH(C8542))&amp;IF(WEEKDAY(C8542,Inputs!$C$76)&lt;=Inputs!$C$74," weekday"," weekend"),Utility_Rates!$C$28:$F$28,Inputs!$C$68)),"")</f>
      </c>
      <c r="H8542" s="34"/>
      <c r="I8542" s="42">
        <f>IF(AND(ISNUMBER(D8542),ISNUMBER(H8542)),D8542*H8542*Inputs!$C$69,"")</f>
      </c>
      <c r="J8542" s="42">
        <f>IF(AND(ISNUMBER(F8542),ISNUMBER(H8542),F8542&gt;=Inputs!$C$68),F8542*H8542*Inputs!$C$69,"")</f>
      </c>
    </row>
    <row r="8543" spans="2:10" ht="15" customHeight="1" x14ac:dyDescent="0.2">
      <c r="B8543" s="39">
        <f t="shared" si="66"/>
      </c>
      <c r="C8543" s="40">
        <f>IF(Inputs!$C$60,Inputs!$C$11+(B8543-Inputs!$C$69)/Inputs!$C$70,"")</f>
      </c>
      <c r="D8543" s="15"/>
      <c r="E8543" s="15"/>
      <c r="F8543" s="11">
        <f t="shared" si="67"/>
      </c>
      <c r="G8543" s="22" cm="1">
        <f t="array" ref="G8543">IF(AND(Inputs!$C$60,Inputs!$C$61),INDEX(Utility_Rates!$C$29:$F$52,HOUR(C8543)+Inputs!$C$69,MATCH(INDEX(Utility_Rates!$K$6:$K$17,MONTH(C8543))&amp;IF(WEEKDAY(C8543,Inputs!$C$76)&lt;=Inputs!$C$74," weekday"," weekend"),Utility_Rates!$C$28:$F$28,Inputs!$C$68)),"")</f>
      </c>
      <c r="H8543" s="34"/>
      <c r="I8543" s="42">
        <f>IF(AND(ISNUMBER(D8543),ISNUMBER(H8543)),D8543*H8543*Inputs!$C$69,"")</f>
      </c>
      <c r="J8543" s="42">
        <f>IF(AND(ISNUMBER(F8543),ISNUMBER(H8543),F8543&gt;=Inputs!$C$68),F8543*H8543*Inputs!$C$69,"")</f>
      </c>
    </row>
    <row r="8544" spans="2:10" ht="15" customHeight="1" x14ac:dyDescent="0.2">
      <c r="B8544" s="39">
        <f t="shared" si="66"/>
      </c>
      <c r="C8544" s="40">
        <f>IF(Inputs!$C$60,Inputs!$C$11+(B8544-Inputs!$C$69)/Inputs!$C$70,"")</f>
      </c>
      <c r="D8544" s="15"/>
      <c r="E8544" s="15"/>
      <c r="F8544" s="11">
        <f t="shared" si="67"/>
      </c>
      <c r="G8544" s="22" cm="1">
        <f t="array" ref="G8544">IF(AND(Inputs!$C$60,Inputs!$C$61),INDEX(Utility_Rates!$C$29:$F$52,HOUR(C8544)+Inputs!$C$69,MATCH(INDEX(Utility_Rates!$K$6:$K$17,MONTH(C8544))&amp;IF(WEEKDAY(C8544,Inputs!$C$76)&lt;=Inputs!$C$74," weekday"," weekend"),Utility_Rates!$C$28:$F$28,Inputs!$C$68)),"")</f>
      </c>
      <c r="H8544" s="34"/>
      <c r="I8544" s="42">
        <f>IF(AND(ISNUMBER(D8544),ISNUMBER(H8544)),D8544*H8544*Inputs!$C$69,"")</f>
      </c>
      <c r="J8544" s="42">
        <f>IF(AND(ISNUMBER(F8544),ISNUMBER(H8544),F8544&gt;=Inputs!$C$68),F8544*H8544*Inputs!$C$69,"")</f>
      </c>
    </row>
    <row r="8545" spans="2:10" ht="15" customHeight="1" x14ac:dyDescent="0.2">
      <c r="B8545" s="39">
        <f t="shared" si="66"/>
      </c>
      <c r="C8545" s="40">
        <f>IF(Inputs!$C$60,Inputs!$C$11+(B8545-Inputs!$C$69)/Inputs!$C$70,"")</f>
      </c>
      <c r="D8545" s="15"/>
      <c r="E8545" s="15"/>
      <c r="F8545" s="11">
        <f t="shared" si="67"/>
      </c>
      <c r="G8545" s="22" cm="1">
        <f t="array" ref="G8545">IF(AND(Inputs!$C$60,Inputs!$C$61),INDEX(Utility_Rates!$C$29:$F$52,HOUR(C8545)+Inputs!$C$69,MATCH(INDEX(Utility_Rates!$K$6:$K$17,MONTH(C8545))&amp;IF(WEEKDAY(C8545,Inputs!$C$76)&lt;=Inputs!$C$74," weekday"," weekend"),Utility_Rates!$C$28:$F$28,Inputs!$C$68)),"")</f>
      </c>
      <c r="H8545" s="34"/>
      <c r="I8545" s="42">
        <f>IF(AND(ISNUMBER(D8545),ISNUMBER(H8545)),D8545*H8545*Inputs!$C$69,"")</f>
      </c>
      <c r="J8545" s="42">
        <f>IF(AND(ISNUMBER(F8545),ISNUMBER(H8545),F8545&gt;=Inputs!$C$68),F8545*H8545*Inputs!$C$69,"")</f>
      </c>
    </row>
    <row r="8546" spans="2:10" ht="15" customHeight="1" x14ac:dyDescent="0.2">
      <c r="B8546" s="39">
        <f t="shared" si="66"/>
      </c>
      <c r="C8546" s="40">
        <f>IF(Inputs!$C$60,Inputs!$C$11+(B8546-Inputs!$C$69)/Inputs!$C$70,"")</f>
      </c>
      <c r="D8546" s="15"/>
      <c r="E8546" s="15"/>
      <c r="F8546" s="11">
        <f t="shared" si="67"/>
      </c>
      <c r="G8546" s="22" cm="1">
        <f t="array" ref="G8546">IF(AND(Inputs!$C$60,Inputs!$C$61),INDEX(Utility_Rates!$C$29:$F$52,HOUR(C8546)+Inputs!$C$69,MATCH(INDEX(Utility_Rates!$K$6:$K$17,MONTH(C8546))&amp;IF(WEEKDAY(C8546,Inputs!$C$76)&lt;=Inputs!$C$74," weekday"," weekend"),Utility_Rates!$C$28:$F$28,Inputs!$C$68)),"")</f>
      </c>
      <c r="H8546" s="34"/>
      <c r="I8546" s="42">
        <f>IF(AND(ISNUMBER(D8546),ISNUMBER(H8546)),D8546*H8546*Inputs!$C$69,"")</f>
      </c>
      <c r="J8546" s="42">
        <f>IF(AND(ISNUMBER(F8546),ISNUMBER(H8546),F8546&gt;=Inputs!$C$68),F8546*H8546*Inputs!$C$69,"")</f>
      </c>
    </row>
    <row r="8547" spans="2:10" ht="15" customHeight="1" x14ac:dyDescent="0.2">
      <c r="B8547" s="39">
        <f t="shared" si="66"/>
      </c>
      <c r="C8547" s="40">
        <f>IF(Inputs!$C$60,Inputs!$C$11+(B8547-Inputs!$C$69)/Inputs!$C$70,"")</f>
      </c>
      <c r="D8547" s="15"/>
      <c r="E8547" s="15"/>
      <c r="F8547" s="11">
        <f t="shared" si="67"/>
      </c>
      <c r="G8547" s="22" cm="1">
        <f t="array" ref="G8547">IF(AND(Inputs!$C$60,Inputs!$C$61),INDEX(Utility_Rates!$C$29:$F$52,HOUR(C8547)+Inputs!$C$69,MATCH(INDEX(Utility_Rates!$K$6:$K$17,MONTH(C8547))&amp;IF(WEEKDAY(C8547,Inputs!$C$76)&lt;=Inputs!$C$74," weekday"," weekend"),Utility_Rates!$C$28:$F$28,Inputs!$C$68)),"")</f>
      </c>
      <c r="H8547" s="34"/>
      <c r="I8547" s="42">
        <f>IF(AND(ISNUMBER(D8547),ISNUMBER(H8547)),D8547*H8547*Inputs!$C$69,"")</f>
      </c>
      <c r="J8547" s="42">
        <f>IF(AND(ISNUMBER(F8547),ISNUMBER(H8547),F8547&gt;=Inputs!$C$68),F8547*H8547*Inputs!$C$69,"")</f>
      </c>
    </row>
    <row r="8548" spans="2:10" ht="15" customHeight="1" x14ac:dyDescent="0.2">
      <c r="B8548" s="39">
        <f t="shared" si="66"/>
      </c>
      <c r="C8548" s="40">
        <f>IF(Inputs!$C$60,Inputs!$C$11+(B8548-Inputs!$C$69)/Inputs!$C$70,"")</f>
      </c>
      <c r="D8548" s="15"/>
      <c r="E8548" s="15"/>
      <c r="F8548" s="11">
        <f t="shared" si="67"/>
      </c>
      <c r="G8548" s="22" cm="1">
        <f t="array" ref="G8548">IF(AND(Inputs!$C$60,Inputs!$C$61),INDEX(Utility_Rates!$C$29:$F$52,HOUR(C8548)+Inputs!$C$69,MATCH(INDEX(Utility_Rates!$K$6:$K$17,MONTH(C8548))&amp;IF(WEEKDAY(C8548,Inputs!$C$76)&lt;=Inputs!$C$74," weekday"," weekend"),Utility_Rates!$C$28:$F$28,Inputs!$C$68)),"")</f>
      </c>
      <c r="H8548" s="34"/>
      <c r="I8548" s="42">
        <f>IF(AND(ISNUMBER(D8548),ISNUMBER(H8548)),D8548*H8548*Inputs!$C$69,"")</f>
      </c>
      <c r="J8548" s="42">
        <f>IF(AND(ISNUMBER(F8548),ISNUMBER(H8548),F8548&gt;=Inputs!$C$68),F8548*H8548*Inputs!$C$69,"")</f>
      </c>
    </row>
    <row r="8549" spans="2:10" ht="15" customHeight="1" x14ac:dyDescent="0.2">
      <c r="B8549" s="39">
        <f t="shared" si="66"/>
      </c>
      <c r="C8549" s="40">
        <f>IF(Inputs!$C$60,Inputs!$C$11+(B8549-Inputs!$C$69)/Inputs!$C$70,"")</f>
      </c>
      <c r="D8549" s="15"/>
      <c r="E8549" s="15"/>
      <c r="F8549" s="11">
        <f t="shared" si="67"/>
      </c>
      <c r="G8549" s="22" cm="1">
        <f t="array" ref="G8549">IF(AND(Inputs!$C$60,Inputs!$C$61),INDEX(Utility_Rates!$C$29:$F$52,HOUR(C8549)+Inputs!$C$69,MATCH(INDEX(Utility_Rates!$K$6:$K$17,MONTH(C8549))&amp;IF(WEEKDAY(C8549,Inputs!$C$76)&lt;=Inputs!$C$74," weekday"," weekend"),Utility_Rates!$C$28:$F$28,Inputs!$C$68)),"")</f>
      </c>
      <c r="H8549" s="34"/>
      <c r="I8549" s="42">
        <f>IF(AND(ISNUMBER(D8549),ISNUMBER(H8549)),D8549*H8549*Inputs!$C$69,"")</f>
      </c>
      <c r="J8549" s="42">
        <f>IF(AND(ISNUMBER(F8549),ISNUMBER(H8549),F8549&gt;=Inputs!$C$68),F8549*H8549*Inputs!$C$69,"")</f>
      </c>
    </row>
    <row r="8550" spans="2:10" ht="15" customHeight="1" x14ac:dyDescent="0.2">
      <c r="B8550" s="39">
        <f t="shared" si="66"/>
      </c>
      <c r="C8550" s="40">
        <f>IF(Inputs!$C$60,Inputs!$C$11+(B8550-Inputs!$C$69)/Inputs!$C$70,"")</f>
      </c>
      <c r="D8550" s="15"/>
      <c r="E8550" s="15"/>
      <c r="F8550" s="11">
        <f t="shared" si="67"/>
      </c>
      <c r="G8550" s="22" cm="1">
        <f t="array" ref="G8550">IF(AND(Inputs!$C$60,Inputs!$C$61),INDEX(Utility_Rates!$C$29:$F$52,HOUR(C8550)+Inputs!$C$69,MATCH(INDEX(Utility_Rates!$K$6:$K$17,MONTH(C8550))&amp;IF(WEEKDAY(C8550,Inputs!$C$76)&lt;=Inputs!$C$74," weekday"," weekend"),Utility_Rates!$C$28:$F$28,Inputs!$C$68)),"")</f>
      </c>
      <c r="H8550" s="34"/>
      <c r="I8550" s="42">
        <f>IF(AND(ISNUMBER(D8550),ISNUMBER(H8550)),D8550*H8550*Inputs!$C$69,"")</f>
      </c>
      <c r="J8550" s="42">
        <f>IF(AND(ISNUMBER(F8550),ISNUMBER(H8550),F8550&gt;=Inputs!$C$68),F8550*H8550*Inputs!$C$69,"")</f>
      </c>
    </row>
    <row r="8551" spans="2:10" ht="15" customHeight="1" x14ac:dyDescent="0.2">
      <c r="B8551" s="39">
        <f t="shared" si="66"/>
      </c>
      <c r="C8551" s="40">
        <f>IF(Inputs!$C$60,Inputs!$C$11+(B8551-Inputs!$C$69)/Inputs!$C$70,"")</f>
      </c>
      <c r="D8551" s="15"/>
      <c r="E8551" s="15"/>
      <c r="F8551" s="11">
        <f t="shared" si="67"/>
      </c>
      <c r="G8551" s="22" cm="1">
        <f t="array" ref="G8551">IF(AND(Inputs!$C$60,Inputs!$C$61),INDEX(Utility_Rates!$C$29:$F$52,HOUR(C8551)+Inputs!$C$69,MATCH(INDEX(Utility_Rates!$K$6:$K$17,MONTH(C8551))&amp;IF(WEEKDAY(C8551,Inputs!$C$76)&lt;=Inputs!$C$74," weekday"," weekend"),Utility_Rates!$C$28:$F$28,Inputs!$C$68)),"")</f>
      </c>
      <c r="H8551" s="34"/>
      <c r="I8551" s="42">
        <f>IF(AND(ISNUMBER(D8551),ISNUMBER(H8551)),D8551*H8551*Inputs!$C$69,"")</f>
      </c>
      <c r="J8551" s="42">
        <f>IF(AND(ISNUMBER(F8551),ISNUMBER(H8551),F8551&gt;=Inputs!$C$68),F8551*H8551*Inputs!$C$69,"")</f>
      </c>
    </row>
    <row r="8552" spans="2:10" ht="15" customHeight="1" x14ac:dyDescent="0.2">
      <c r="B8552" s="39">
        <f t="shared" si="66"/>
      </c>
      <c r="C8552" s="40">
        <f>IF(Inputs!$C$60,Inputs!$C$11+(B8552-Inputs!$C$69)/Inputs!$C$70,"")</f>
      </c>
      <c r="D8552" s="15"/>
      <c r="E8552" s="15"/>
      <c r="F8552" s="11">
        <f t="shared" si="67"/>
      </c>
      <c r="G8552" s="22" cm="1">
        <f t="array" ref="G8552">IF(AND(Inputs!$C$60,Inputs!$C$61),INDEX(Utility_Rates!$C$29:$F$52,HOUR(C8552)+Inputs!$C$69,MATCH(INDEX(Utility_Rates!$K$6:$K$17,MONTH(C8552))&amp;IF(WEEKDAY(C8552,Inputs!$C$76)&lt;=Inputs!$C$74," weekday"," weekend"),Utility_Rates!$C$28:$F$28,Inputs!$C$68)),"")</f>
      </c>
      <c r="H8552" s="34"/>
      <c r="I8552" s="42">
        <f>IF(AND(ISNUMBER(D8552),ISNUMBER(H8552)),D8552*H8552*Inputs!$C$69,"")</f>
      </c>
      <c r="J8552" s="42">
        <f>IF(AND(ISNUMBER(F8552),ISNUMBER(H8552),F8552&gt;=Inputs!$C$68),F8552*H8552*Inputs!$C$69,"")</f>
      </c>
    </row>
    <row r="8553" spans="2:10" ht="15" customHeight="1" x14ac:dyDescent="0.2">
      <c r="B8553" s="39">
        <f t="shared" si="66"/>
      </c>
      <c r="C8553" s="40">
        <f>IF(Inputs!$C$60,Inputs!$C$11+(B8553-Inputs!$C$69)/Inputs!$C$70,"")</f>
      </c>
      <c r="D8553" s="15"/>
      <c r="E8553" s="15"/>
      <c r="F8553" s="11">
        <f t="shared" si="67"/>
      </c>
      <c r="G8553" s="22" cm="1">
        <f t="array" ref="G8553">IF(AND(Inputs!$C$60,Inputs!$C$61),INDEX(Utility_Rates!$C$29:$F$52,HOUR(C8553)+Inputs!$C$69,MATCH(INDEX(Utility_Rates!$K$6:$K$17,MONTH(C8553))&amp;IF(WEEKDAY(C8553,Inputs!$C$76)&lt;=Inputs!$C$74," weekday"," weekend"),Utility_Rates!$C$28:$F$28,Inputs!$C$68)),"")</f>
      </c>
      <c r="H8553" s="34"/>
      <c r="I8553" s="42">
        <f>IF(AND(ISNUMBER(D8553),ISNUMBER(H8553)),D8553*H8553*Inputs!$C$69,"")</f>
      </c>
      <c r="J8553" s="42">
        <f>IF(AND(ISNUMBER(F8553),ISNUMBER(H8553),F8553&gt;=Inputs!$C$68),F8553*H8553*Inputs!$C$69,"")</f>
      </c>
    </row>
    <row r="8554" spans="2:10" ht="15" customHeight="1" x14ac:dyDescent="0.2">
      <c r="B8554" s="39">
        <f t="shared" si="66"/>
      </c>
      <c r="C8554" s="40">
        <f>IF(Inputs!$C$60,Inputs!$C$11+(B8554-Inputs!$C$69)/Inputs!$C$70,"")</f>
      </c>
      <c r="D8554" s="15"/>
      <c r="E8554" s="15"/>
      <c r="F8554" s="11">
        <f t="shared" si="67"/>
      </c>
      <c r="G8554" s="22" cm="1">
        <f t="array" ref="G8554">IF(AND(Inputs!$C$60,Inputs!$C$61),INDEX(Utility_Rates!$C$29:$F$52,HOUR(C8554)+Inputs!$C$69,MATCH(INDEX(Utility_Rates!$K$6:$K$17,MONTH(C8554))&amp;IF(WEEKDAY(C8554,Inputs!$C$76)&lt;=Inputs!$C$74," weekday"," weekend"),Utility_Rates!$C$28:$F$28,Inputs!$C$68)),"")</f>
      </c>
      <c r="H8554" s="34"/>
      <c r="I8554" s="42">
        <f>IF(AND(ISNUMBER(D8554),ISNUMBER(H8554)),D8554*H8554*Inputs!$C$69,"")</f>
      </c>
      <c r="J8554" s="42">
        <f>IF(AND(ISNUMBER(F8554),ISNUMBER(H8554),F8554&gt;=Inputs!$C$68),F8554*H8554*Inputs!$C$69,"")</f>
      </c>
    </row>
    <row r="8555" spans="2:10" ht="15" customHeight="1" x14ac:dyDescent="0.2">
      <c r="B8555" s="39">
        <f t="shared" si="66"/>
      </c>
      <c r="C8555" s="40">
        <f>IF(Inputs!$C$60,Inputs!$C$11+(B8555-Inputs!$C$69)/Inputs!$C$70,"")</f>
      </c>
      <c r="D8555" s="15"/>
      <c r="E8555" s="15"/>
      <c r="F8555" s="11">
        <f t="shared" si="67"/>
      </c>
      <c r="G8555" s="22" cm="1">
        <f t="array" ref="G8555">IF(AND(Inputs!$C$60,Inputs!$C$61),INDEX(Utility_Rates!$C$29:$F$52,HOUR(C8555)+Inputs!$C$69,MATCH(INDEX(Utility_Rates!$K$6:$K$17,MONTH(C8555))&amp;IF(WEEKDAY(C8555,Inputs!$C$76)&lt;=Inputs!$C$74," weekday"," weekend"),Utility_Rates!$C$28:$F$28,Inputs!$C$68)),"")</f>
      </c>
      <c r="H8555" s="34"/>
      <c r="I8555" s="42">
        <f>IF(AND(ISNUMBER(D8555),ISNUMBER(H8555)),D8555*H8555*Inputs!$C$69,"")</f>
      </c>
      <c r="J8555" s="42">
        <f>IF(AND(ISNUMBER(F8555),ISNUMBER(H8555),F8555&gt;=Inputs!$C$68),F8555*H8555*Inputs!$C$69,"")</f>
      </c>
    </row>
    <row r="8556" spans="2:10" ht="15" customHeight="1" x14ac:dyDescent="0.2">
      <c r="B8556" s="39">
        <f t="shared" si="66"/>
      </c>
      <c r="C8556" s="40">
        <f>IF(Inputs!$C$60,Inputs!$C$11+(B8556-Inputs!$C$69)/Inputs!$C$70,"")</f>
      </c>
      <c r="D8556" s="15"/>
      <c r="E8556" s="15"/>
      <c r="F8556" s="11">
        <f t="shared" si="67"/>
      </c>
      <c r="G8556" s="22" cm="1">
        <f t="array" ref="G8556">IF(AND(Inputs!$C$60,Inputs!$C$61),INDEX(Utility_Rates!$C$29:$F$52,HOUR(C8556)+Inputs!$C$69,MATCH(INDEX(Utility_Rates!$K$6:$K$17,MONTH(C8556))&amp;IF(WEEKDAY(C8556,Inputs!$C$76)&lt;=Inputs!$C$74," weekday"," weekend"),Utility_Rates!$C$28:$F$28,Inputs!$C$68)),"")</f>
      </c>
      <c r="H8556" s="34"/>
      <c r="I8556" s="42">
        <f>IF(AND(ISNUMBER(D8556),ISNUMBER(H8556)),D8556*H8556*Inputs!$C$69,"")</f>
      </c>
      <c r="J8556" s="42">
        <f>IF(AND(ISNUMBER(F8556),ISNUMBER(H8556),F8556&gt;=Inputs!$C$68),F8556*H8556*Inputs!$C$69,"")</f>
      </c>
    </row>
    <row r="8557" spans="2:10" ht="15" customHeight="1" x14ac:dyDescent="0.2">
      <c r="B8557" s="39">
        <f t="shared" si="66"/>
      </c>
      <c r="C8557" s="40">
        <f>IF(Inputs!$C$60,Inputs!$C$11+(B8557-Inputs!$C$69)/Inputs!$C$70,"")</f>
      </c>
      <c r="D8557" s="15"/>
      <c r="E8557" s="15"/>
      <c r="F8557" s="11">
        <f t="shared" si="67"/>
      </c>
      <c r="G8557" s="22" cm="1">
        <f t="array" ref="G8557">IF(AND(Inputs!$C$60,Inputs!$C$61),INDEX(Utility_Rates!$C$29:$F$52,HOUR(C8557)+Inputs!$C$69,MATCH(INDEX(Utility_Rates!$K$6:$K$17,MONTH(C8557))&amp;IF(WEEKDAY(C8557,Inputs!$C$76)&lt;=Inputs!$C$74," weekday"," weekend"),Utility_Rates!$C$28:$F$28,Inputs!$C$68)),"")</f>
      </c>
      <c r="H8557" s="34"/>
      <c r="I8557" s="42">
        <f>IF(AND(ISNUMBER(D8557),ISNUMBER(H8557)),D8557*H8557*Inputs!$C$69,"")</f>
      </c>
      <c r="J8557" s="42">
        <f>IF(AND(ISNUMBER(F8557),ISNUMBER(H8557),F8557&gt;=Inputs!$C$68),F8557*H8557*Inputs!$C$69,"")</f>
      </c>
    </row>
    <row r="8558" spans="2:10" ht="15" customHeight="1" x14ac:dyDescent="0.2">
      <c r="B8558" s="39">
        <f t="shared" si="66"/>
      </c>
      <c r="C8558" s="40">
        <f>IF(Inputs!$C$60,Inputs!$C$11+(B8558-Inputs!$C$69)/Inputs!$C$70,"")</f>
      </c>
      <c r="D8558" s="15"/>
      <c r="E8558" s="15"/>
      <c r="F8558" s="11">
        <f t="shared" si="67"/>
      </c>
      <c r="G8558" s="22" cm="1">
        <f t="array" ref="G8558">IF(AND(Inputs!$C$60,Inputs!$C$61),INDEX(Utility_Rates!$C$29:$F$52,HOUR(C8558)+Inputs!$C$69,MATCH(INDEX(Utility_Rates!$K$6:$K$17,MONTH(C8558))&amp;IF(WEEKDAY(C8558,Inputs!$C$76)&lt;=Inputs!$C$74," weekday"," weekend"),Utility_Rates!$C$28:$F$28,Inputs!$C$68)),"")</f>
      </c>
      <c r="H8558" s="34"/>
      <c r="I8558" s="42">
        <f>IF(AND(ISNUMBER(D8558),ISNUMBER(H8558)),D8558*H8558*Inputs!$C$69,"")</f>
      </c>
      <c r="J8558" s="42">
        <f>IF(AND(ISNUMBER(F8558),ISNUMBER(H8558),F8558&gt;=Inputs!$C$68),F8558*H8558*Inputs!$C$69,"")</f>
      </c>
    </row>
    <row r="8559" spans="2:10" ht="15" customHeight="1" x14ac:dyDescent="0.2">
      <c r="B8559" s="39">
        <f t="shared" si="66"/>
      </c>
      <c r="C8559" s="40">
        <f>IF(Inputs!$C$60,Inputs!$C$11+(B8559-Inputs!$C$69)/Inputs!$C$70,"")</f>
      </c>
      <c r="D8559" s="15"/>
      <c r="E8559" s="15"/>
      <c r="F8559" s="11">
        <f t="shared" si="67"/>
      </c>
      <c r="G8559" s="22" cm="1">
        <f t="array" ref="G8559">IF(AND(Inputs!$C$60,Inputs!$C$61),INDEX(Utility_Rates!$C$29:$F$52,HOUR(C8559)+Inputs!$C$69,MATCH(INDEX(Utility_Rates!$K$6:$K$17,MONTH(C8559))&amp;IF(WEEKDAY(C8559,Inputs!$C$76)&lt;=Inputs!$C$74," weekday"," weekend"),Utility_Rates!$C$28:$F$28,Inputs!$C$68)),"")</f>
      </c>
      <c r="H8559" s="34"/>
      <c r="I8559" s="42">
        <f>IF(AND(ISNUMBER(D8559),ISNUMBER(H8559)),D8559*H8559*Inputs!$C$69,"")</f>
      </c>
      <c r="J8559" s="42">
        <f>IF(AND(ISNUMBER(F8559),ISNUMBER(H8559),F8559&gt;=Inputs!$C$68),F8559*H8559*Inputs!$C$69,"")</f>
      </c>
    </row>
    <row r="8560" spans="2:10" ht="15" customHeight="1" x14ac:dyDescent="0.2">
      <c r="B8560" s="39">
        <f t="shared" si="66"/>
      </c>
      <c r="C8560" s="40">
        <f>IF(Inputs!$C$60,Inputs!$C$11+(B8560-Inputs!$C$69)/Inputs!$C$70,"")</f>
      </c>
      <c r="D8560" s="15"/>
      <c r="E8560" s="15"/>
      <c r="F8560" s="11">
        <f t="shared" si="67"/>
      </c>
      <c r="G8560" s="22" cm="1">
        <f t="array" ref="G8560">IF(AND(Inputs!$C$60,Inputs!$C$61),INDEX(Utility_Rates!$C$29:$F$52,HOUR(C8560)+Inputs!$C$69,MATCH(INDEX(Utility_Rates!$K$6:$K$17,MONTH(C8560))&amp;IF(WEEKDAY(C8560,Inputs!$C$76)&lt;=Inputs!$C$74," weekday"," weekend"),Utility_Rates!$C$28:$F$28,Inputs!$C$68)),"")</f>
      </c>
      <c r="H8560" s="34"/>
      <c r="I8560" s="42">
        <f>IF(AND(ISNUMBER(D8560),ISNUMBER(H8560)),D8560*H8560*Inputs!$C$69,"")</f>
      </c>
      <c r="J8560" s="42">
        <f>IF(AND(ISNUMBER(F8560),ISNUMBER(H8560),F8560&gt;=Inputs!$C$68),F8560*H8560*Inputs!$C$69,"")</f>
      </c>
    </row>
    <row r="8561" spans="2:10" ht="15" customHeight="1" x14ac:dyDescent="0.2">
      <c r="B8561" s="39">
        <f t="shared" si="66"/>
      </c>
      <c r="C8561" s="40">
        <f>IF(Inputs!$C$60,Inputs!$C$11+(B8561-Inputs!$C$69)/Inputs!$C$70,"")</f>
      </c>
      <c r="D8561" s="15"/>
      <c r="E8561" s="15"/>
      <c r="F8561" s="11">
        <f t="shared" si="67"/>
      </c>
      <c r="G8561" s="22" cm="1">
        <f t="array" ref="G8561">IF(AND(Inputs!$C$60,Inputs!$C$61),INDEX(Utility_Rates!$C$29:$F$52,HOUR(C8561)+Inputs!$C$69,MATCH(INDEX(Utility_Rates!$K$6:$K$17,MONTH(C8561))&amp;IF(WEEKDAY(C8561,Inputs!$C$76)&lt;=Inputs!$C$74," weekday"," weekend"),Utility_Rates!$C$28:$F$28,Inputs!$C$68)),"")</f>
      </c>
      <c r="H8561" s="34"/>
      <c r="I8561" s="42">
        <f>IF(AND(ISNUMBER(D8561),ISNUMBER(H8561)),D8561*H8561*Inputs!$C$69,"")</f>
      </c>
      <c r="J8561" s="42">
        <f>IF(AND(ISNUMBER(F8561),ISNUMBER(H8561),F8561&gt;=Inputs!$C$68),F8561*H8561*Inputs!$C$69,"")</f>
      </c>
    </row>
    <row r="8562" spans="2:10" ht="15" customHeight="1" x14ac:dyDescent="0.2">
      <c r="B8562" s="39">
        <f t="shared" si="66"/>
      </c>
      <c r="C8562" s="40">
        <f>IF(Inputs!$C$60,Inputs!$C$11+(B8562-Inputs!$C$69)/Inputs!$C$70,"")</f>
      </c>
      <c r="D8562" s="15"/>
      <c r="E8562" s="15"/>
      <c r="F8562" s="11">
        <f t="shared" si="67"/>
      </c>
      <c r="G8562" s="22" cm="1">
        <f t="array" ref="G8562">IF(AND(Inputs!$C$60,Inputs!$C$61),INDEX(Utility_Rates!$C$29:$F$52,HOUR(C8562)+Inputs!$C$69,MATCH(INDEX(Utility_Rates!$K$6:$K$17,MONTH(C8562))&amp;IF(WEEKDAY(C8562,Inputs!$C$76)&lt;=Inputs!$C$74," weekday"," weekend"),Utility_Rates!$C$28:$F$28,Inputs!$C$68)),"")</f>
      </c>
      <c r="H8562" s="34"/>
      <c r="I8562" s="42">
        <f>IF(AND(ISNUMBER(D8562),ISNUMBER(H8562)),D8562*H8562*Inputs!$C$69,"")</f>
      </c>
      <c r="J8562" s="42">
        <f>IF(AND(ISNUMBER(F8562),ISNUMBER(H8562),F8562&gt;=Inputs!$C$68),F8562*H8562*Inputs!$C$69,"")</f>
      </c>
    </row>
    <row r="8563" spans="2:10" ht="15" customHeight="1" x14ac:dyDescent="0.2">
      <c r="B8563" s="39">
        <f t="shared" si="66"/>
      </c>
      <c r="C8563" s="40">
        <f>IF(Inputs!$C$60,Inputs!$C$11+(B8563-Inputs!$C$69)/Inputs!$C$70,"")</f>
      </c>
      <c r="D8563" s="15"/>
      <c r="E8563" s="15"/>
      <c r="F8563" s="11">
        <f t="shared" si="67"/>
      </c>
      <c r="G8563" s="22" cm="1">
        <f t="array" ref="G8563">IF(AND(Inputs!$C$60,Inputs!$C$61),INDEX(Utility_Rates!$C$29:$F$52,HOUR(C8563)+Inputs!$C$69,MATCH(INDEX(Utility_Rates!$K$6:$K$17,MONTH(C8563))&amp;IF(WEEKDAY(C8563,Inputs!$C$76)&lt;=Inputs!$C$74," weekday"," weekend"),Utility_Rates!$C$28:$F$28,Inputs!$C$68)),"")</f>
      </c>
      <c r="H8563" s="34"/>
      <c r="I8563" s="42">
        <f>IF(AND(ISNUMBER(D8563),ISNUMBER(H8563)),D8563*H8563*Inputs!$C$69,"")</f>
      </c>
      <c r="J8563" s="42">
        <f>IF(AND(ISNUMBER(F8563),ISNUMBER(H8563),F8563&gt;=Inputs!$C$68),F8563*H8563*Inputs!$C$69,"")</f>
      </c>
    </row>
    <row r="8564" spans="2:10" ht="15" customHeight="1" x14ac:dyDescent="0.2">
      <c r="B8564" s="39">
        <f t="shared" si="66"/>
      </c>
      <c r="C8564" s="40">
        <f>IF(Inputs!$C$60,Inputs!$C$11+(B8564-Inputs!$C$69)/Inputs!$C$70,"")</f>
      </c>
      <c r="D8564" s="15"/>
      <c r="E8564" s="15"/>
      <c r="F8564" s="11">
        <f t="shared" si="67"/>
      </c>
      <c r="G8564" s="22" cm="1">
        <f t="array" ref="G8564">IF(AND(Inputs!$C$60,Inputs!$C$61),INDEX(Utility_Rates!$C$29:$F$52,HOUR(C8564)+Inputs!$C$69,MATCH(INDEX(Utility_Rates!$K$6:$K$17,MONTH(C8564))&amp;IF(WEEKDAY(C8564,Inputs!$C$76)&lt;=Inputs!$C$74," weekday"," weekend"),Utility_Rates!$C$28:$F$28,Inputs!$C$68)),"")</f>
      </c>
      <c r="H8564" s="34"/>
      <c r="I8564" s="42">
        <f>IF(AND(ISNUMBER(D8564),ISNUMBER(H8564)),D8564*H8564*Inputs!$C$69,"")</f>
      </c>
      <c r="J8564" s="42">
        <f>IF(AND(ISNUMBER(F8564),ISNUMBER(H8564),F8564&gt;=Inputs!$C$68),F8564*H8564*Inputs!$C$69,"")</f>
      </c>
    </row>
    <row r="8565" spans="2:10" ht="15" customHeight="1" x14ac:dyDescent="0.2">
      <c r="B8565" s="39">
        <f t="shared" si="66"/>
      </c>
      <c r="C8565" s="40">
        <f>IF(Inputs!$C$60,Inputs!$C$11+(B8565-Inputs!$C$69)/Inputs!$C$70,"")</f>
      </c>
      <c r="D8565" s="15"/>
      <c r="E8565" s="15"/>
      <c r="F8565" s="11">
        <f t="shared" si="67"/>
      </c>
      <c r="G8565" s="22" cm="1">
        <f t="array" ref="G8565">IF(AND(Inputs!$C$60,Inputs!$C$61),INDEX(Utility_Rates!$C$29:$F$52,HOUR(C8565)+Inputs!$C$69,MATCH(INDEX(Utility_Rates!$K$6:$K$17,MONTH(C8565))&amp;IF(WEEKDAY(C8565,Inputs!$C$76)&lt;=Inputs!$C$74," weekday"," weekend"),Utility_Rates!$C$28:$F$28,Inputs!$C$68)),"")</f>
      </c>
      <c r="H8565" s="34"/>
      <c r="I8565" s="42">
        <f>IF(AND(ISNUMBER(D8565),ISNUMBER(H8565)),D8565*H8565*Inputs!$C$69,"")</f>
      </c>
      <c r="J8565" s="42">
        <f>IF(AND(ISNUMBER(F8565),ISNUMBER(H8565),F8565&gt;=Inputs!$C$68),F8565*H8565*Inputs!$C$69,"")</f>
      </c>
    </row>
    <row r="8566" spans="2:10" ht="15" customHeight="1" x14ac:dyDescent="0.2">
      <c r="B8566" s="39">
        <f t="shared" si="66"/>
      </c>
      <c r="C8566" s="40">
        <f>IF(Inputs!$C$60,Inputs!$C$11+(B8566-Inputs!$C$69)/Inputs!$C$70,"")</f>
      </c>
      <c r="D8566" s="15"/>
      <c r="E8566" s="15"/>
      <c r="F8566" s="11">
        <f t="shared" si="67"/>
      </c>
      <c r="G8566" s="22" cm="1">
        <f t="array" ref="G8566">IF(AND(Inputs!$C$60,Inputs!$C$61),INDEX(Utility_Rates!$C$29:$F$52,HOUR(C8566)+Inputs!$C$69,MATCH(INDEX(Utility_Rates!$K$6:$K$17,MONTH(C8566))&amp;IF(WEEKDAY(C8566,Inputs!$C$76)&lt;=Inputs!$C$74," weekday"," weekend"),Utility_Rates!$C$28:$F$28,Inputs!$C$68)),"")</f>
      </c>
      <c r="H8566" s="34"/>
      <c r="I8566" s="42">
        <f>IF(AND(ISNUMBER(D8566),ISNUMBER(H8566)),D8566*H8566*Inputs!$C$69,"")</f>
      </c>
      <c r="J8566" s="42">
        <f>IF(AND(ISNUMBER(F8566),ISNUMBER(H8566),F8566&gt;=Inputs!$C$68),F8566*H8566*Inputs!$C$69,"")</f>
      </c>
    </row>
    <row r="8567" spans="2:10" ht="15" customHeight="1" x14ac:dyDescent="0.2">
      <c r="B8567" s="39">
        <f t="shared" si="66"/>
      </c>
      <c r="C8567" s="40">
        <f>IF(Inputs!$C$60,Inputs!$C$11+(B8567-Inputs!$C$69)/Inputs!$C$70,"")</f>
      </c>
      <c r="D8567" s="15"/>
      <c r="E8567" s="15"/>
      <c r="F8567" s="11">
        <f t="shared" si="67"/>
      </c>
      <c r="G8567" s="22" cm="1">
        <f t="array" ref="G8567">IF(AND(Inputs!$C$60,Inputs!$C$61),INDEX(Utility_Rates!$C$29:$F$52,HOUR(C8567)+Inputs!$C$69,MATCH(INDEX(Utility_Rates!$K$6:$K$17,MONTH(C8567))&amp;IF(WEEKDAY(C8567,Inputs!$C$76)&lt;=Inputs!$C$74," weekday"," weekend"),Utility_Rates!$C$28:$F$28,Inputs!$C$68)),"")</f>
      </c>
      <c r="H8567" s="34"/>
      <c r="I8567" s="42">
        <f>IF(AND(ISNUMBER(D8567),ISNUMBER(H8567)),D8567*H8567*Inputs!$C$69,"")</f>
      </c>
      <c r="J8567" s="42">
        <f>IF(AND(ISNUMBER(F8567),ISNUMBER(H8567),F8567&gt;=Inputs!$C$68),F8567*H8567*Inputs!$C$69,"")</f>
      </c>
    </row>
    <row r="8568" spans="2:10" ht="15" customHeight="1" x14ac:dyDescent="0.2">
      <c r="B8568" s="39">
        <f t="shared" si="66"/>
      </c>
      <c r="C8568" s="40">
        <f>IF(Inputs!$C$60,Inputs!$C$11+(B8568-Inputs!$C$69)/Inputs!$C$70,"")</f>
      </c>
      <c r="D8568" s="15"/>
      <c r="E8568" s="15"/>
      <c r="F8568" s="11">
        <f t="shared" si="67"/>
      </c>
      <c r="G8568" s="22" cm="1">
        <f t="array" ref="G8568">IF(AND(Inputs!$C$60,Inputs!$C$61),INDEX(Utility_Rates!$C$29:$F$52,HOUR(C8568)+Inputs!$C$69,MATCH(INDEX(Utility_Rates!$K$6:$K$17,MONTH(C8568))&amp;IF(WEEKDAY(C8568,Inputs!$C$76)&lt;=Inputs!$C$74," weekday"," weekend"),Utility_Rates!$C$28:$F$28,Inputs!$C$68)),"")</f>
      </c>
      <c r="H8568" s="34"/>
      <c r="I8568" s="42">
        <f>IF(AND(ISNUMBER(D8568),ISNUMBER(H8568)),D8568*H8568*Inputs!$C$69,"")</f>
      </c>
      <c r="J8568" s="42">
        <f>IF(AND(ISNUMBER(F8568),ISNUMBER(H8568),F8568&gt;=Inputs!$C$68),F8568*H8568*Inputs!$C$69,"")</f>
      </c>
    </row>
    <row r="8569" spans="2:10" ht="15" customHeight="1" x14ac:dyDescent="0.2">
      <c r="B8569" s="39">
        <f t="shared" si="66"/>
      </c>
      <c r="C8569" s="40">
        <f>IF(Inputs!$C$60,Inputs!$C$11+(B8569-Inputs!$C$69)/Inputs!$C$70,"")</f>
      </c>
      <c r="D8569" s="15"/>
      <c r="E8569" s="15"/>
      <c r="F8569" s="11">
        <f t="shared" si="67"/>
      </c>
      <c r="G8569" s="22" cm="1">
        <f t="array" ref="G8569">IF(AND(Inputs!$C$60,Inputs!$C$61),INDEX(Utility_Rates!$C$29:$F$52,HOUR(C8569)+Inputs!$C$69,MATCH(INDEX(Utility_Rates!$K$6:$K$17,MONTH(C8569))&amp;IF(WEEKDAY(C8569,Inputs!$C$76)&lt;=Inputs!$C$74," weekday"," weekend"),Utility_Rates!$C$28:$F$28,Inputs!$C$68)),"")</f>
      </c>
      <c r="H8569" s="34"/>
      <c r="I8569" s="42">
        <f>IF(AND(ISNUMBER(D8569),ISNUMBER(H8569)),D8569*H8569*Inputs!$C$69,"")</f>
      </c>
      <c r="J8569" s="42">
        <f>IF(AND(ISNUMBER(F8569),ISNUMBER(H8569),F8569&gt;=Inputs!$C$68),F8569*H8569*Inputs!$C$69,"")</f>
      </c>
    </row>
    <row r="8570" spans="2:10" ht="15" customHeight="1" x14ac:dyDescent="0.2">
      <c r="B8570" s="39">
        <f t="shared" si="66"/>
      </c>
      <c r="C8570" s="40">
        <f>IF(Inputs!$C$60,Inputs!$C$11+(B8570-Inputs!$C$69)/Inputs!$C$70,"")</f>
      </c>
      <c r="D8570" s="15"/>
      <c r="E8570" s="15"/>
      <c r="F8570" s="11">
        <f t="shared" si="67"/>
      </c>
      <c r="G8570" s="22" cm="1">
        <f t="array" ref="G8570">IF(AND(Inputs!$C$60,Inputs!$C$61),INDEX(Utility_Rates!$C$29:$F$52,HOUR(C8570)+Inputs!$C$69,MATCH(INDEX(Utility_Rates!$K$6:$K$17,MONTH(C8570))&amp;IF(WEEKDAY(C8570,Inputs!$C$76)&lt;=Inputs!$C$74," weekday"," weekend"),Utility_Rates!$C$28:$F$28,Inputs!$C$68)),"")</f>
      </c>
      <c r="H8570" s="34"/>
      <c r="I8570" s="42">
        <f>IF(AND(ISNUMBER(D8570),ISNUMBER(H8570)),D8570*H8570*Inputs!$C$69,"")</f>
      </c>
      <c r="J8570" s="42">
        <f>IF(AND(ISNUMBER(F8570),ISNUMBER(H8570),F8570&gt;=Inputs!$C$68),F8570*H8570*Inputs!$C$69,"")</f>
      </c>
    </row>
    <row r="8571" spans="2:10" ht="15" customHeight="1" x14ac:dyDescent="0.2">
      <c r="B8571" s="39">
        <f t="shared" si="66"/>
      </c>
      <c r="C8571" s="40">
        <f>IF(Inputs!$C$60,Inputs!$C$11+(B8571-Inputs!$C$69)/Inputs!$C$70,"")</f>
      </c>
      <c r="D8571" s="15"/>
      <c r="E8571" s="15"/>
      <c r="F8571" s="11">
        <f t="shared" si="67"/>
      </c>
      <c r="G8571" s="22" cm="1">
        <f t="array" ref="G8571">IF(AND(Inputs!$C$60,Inputs!$C$61),INDEX(Utility_Rates!$C$29:$F$52,HOUR(C8571)+Inputs!$C$69,MATCH(INDEX(Utility_Rates!$K$6:$K$17,MONTH(C8571))&amp;IF(WEEKDAY(C8571,Inputs!$C$76)&lt;=Inputs!$C$74," weekday"," weekend"),Utility_Rates!$C$28:$F$28,Inputs!$C$68)),"")</f>
      </c>
      <c r="H8571" s="34"/>
      <c r="I8571" s="42">
        <f>IF(AND(ISNUMBER(D8571),ISNUMBER(H8571)),D8571*H8571*Inputs!$C$69,"")</f>
      </c>
      <c r="J8571" s="42">
        <f>IF(AND(ISNUMBER(F8571),ISNUMBER(H8571),F8571&gt;=Inputs!$C$68),F8571*H8571*Inputs!$C$69,"")</f>
      </c>
    </row>
    <row r="8572" spans="2:10" ht="15" customHeight="1" x14ac:dyDescent="0.2">
      <c r="B8572" s="39">
        <f t="shared" si="66"/>
      </c>
      <c r="C8572" s="40">
        <f>IF(Inputs!$C$60,Inputs!$C$11+(B8572-Inputs!$C$69)/Inputs!$C$70,"")</f>
      </c>
      <c r="D8572" s="15"/>
      <c r="E8572" s="15"/>
      <c r="F8572" s="11">
        <f t="shared" si="67"/>
      </c>
      <c r="G8572" s="22" cm="1">
        <f t="array" ref="G8572">IF(AND(Inputs!$C$60,Inputs!$C$61),INDEX(Utility_Rates!$C$29:$F$52,HOUR(C8572)+Inputs!$C$69,MATCH(INDEX(Utility_Rates!$K$6:$K$17,MONTH(C8572))&amp;IF(WEEKDAY(C8572,Inputs!$C$76)&lt;=Inputs!$C$74," weekday"," weekend"),Utility_Rates!$C$28:$F$28,Inputs!$C$68)),"")</f>
      </c>
      <c r="H8572" s="34"/>
      <c r="I8572" s="42">
        <f>IF(AND(ISNUMBER(D8572),ISNUMBER(H8572)),D8572*H8572*Inputs!$C$69,"")</f>
      </c>
      <c r="J8572" s="42">
        <f>IF(AND(ISNUMBER(F8572),ISNUMBER(H8572),F8572&gt;=Inputs!$C$68),F8572*H8572*Inputs!$C$69,"")</f>
      </c>
    </row>
    <row r="8573" spans="2:10" ht="15" customHeight="1" x14ac:dyDescent="0.2">
      <c r="B8573" s="39">
        <f t="shared" si="66"/>
      </c>
      <c r="C8573" s="40">
        <f>IF(Inputs!$C$60,Inputs!$C$11+(B8573-Inputs!$C$69)/Inputs!$C$70,"")</f>
      </c>
      <c r="D8573" s="15"/>
      <c r="E8573" s="15"/>
      <c r="F8573" s="11">
        <f t="shared" si="67"/>
      </c>
      <c r="G8573" s="22" cm="1">
        <f t="array" ref="G8573">IF(AND(Inputs!$C$60,Inputs!$C$61),INDEX(Utility_Rates!$C$29:$F$52,HOUR(C8573)+Inputs!$C$69,MATCH(INDEX(Utility_Rates!$K$6:$K$17,MONTH(C8573))&amp;IF(WEEKDAY(C8573,Inputs!$C$76)&lt;=Inputs!$C$74," weekday"," weekend"),Utility_Rates!$C$28:$F$28,Inputs!$C$68)),"")</f>
      </c>
      <c r="H8573" s="34"/>
      <c r="I8573" s="42">
        <f>IF(AND(ISNUMBER(D8573),ISNUMBER(H8573)),D8573*H8573*Inputs!$C$69,"")</f>
      </c>
      <c r="J8573" s="42">
        <f>IF(AND(ISNUMBER(F8573),ISNUMBER(H8573),F8573&gt;=Inputs!$C$68),F8573*H8573*Inputs!$C$69,"")</f>
      </c>
    </row>
    <row r="8574" spans="2:10" ht="15" customHeight="1" x14ac:dyDescent="0.2">
      <c r="B8574" s="39">
        <f t="shared" si="66"/>
      </c>
      <c r="C8574" s="40">
        <f>IF(Inputs!$C$60,Inputs!$C$11+(B8574-Inputs!$C$69)/Inputs!$C$70,"")</f>
      </c>
      <c r="D8574" s="15"/>
      <c r="E8574" s="15"/>
      <c r="F8574" s="11">
        <f t="shared" si="67"/>
      </c>
      <c r="G8574" s="22" cm="1">
        <f t="array" ref="G8574">IF(AND(Inputs!$C$60,Inputs!$C$61),INDEX(Utility_Rates!$C$29:$F$52,HOUR(C8574)+Inputs!$C$69,MATCH(INDEX(Utility_Rates!$K$6:$K$17,MONTH(C8574))&amp;IF(WEEKDAY(C8574,Inputs!$C$76)&lt;=Inputs!$C$74," weekday"," weekend"),Utility_Rates!$C$28:$F$28,Inputs!$C$68)),"")</f>
      </c>
      <c r="H8574" s="34"/>
      <c r="I8574" s="42">
        <f>IF(AND(ISNUMBER(D8574),ISNUMBER(H8574)),D8574*H8574*Inputs!$C$69,"")</f>
      </c>
      <c r="J8574" s="42">
        <f>IF(AND(ISNUMBER(F8574),ISNUMBER(H8574),F8574&gt;=Inputs!$C$68),F8574*H8574*Inputs!$C$69,"")</f>
      </c>
    </row>
    <row r="8575" spans="2:10" ht="15" customHeight="1" x14ac:dyDescent="0.2">
      <c r="B8575" s="39">
        <f t="shared" si="66"/>
      </c>
      <c r="C8575" s="40">
        <f>IF(Inputs!$C$60,Inputs!$C$11+(B8575-Inputs!$C$69)/Inputs!$C$70,"")</f>
      </c>
      <c r="D8575" s="15"/>
      <c r="E8575" s="15"/>
      <c r="F8575" s="11">
        <f t="shared" si="67"/>
      </c>
      <c r="G8575" s="22" cm="1">
        <f t="array" ref="G8575">IF(AND(Inputs!$C$60,Inputs!$C$61),INDEX(Utility_Rates!$C$29:$F$52,HOUR(C8575)+Inputs!$C$69,MATCH(INDEX(Utility_Rates!$K$6:$K$17,MONTH(C8575))&amp;IF(WEEKDAY(C8575,Inputs!$C$76)&lt;=Inputs!$C$74," weekday"," weekend"),Utility_Rates!$C$28:$F$28,Inputs!$C$68)),"")</f>
      </c>
      <c r="H8575" s="34"/>
      <c r="I8575" s="42">
        <f>IF(AND(ISNUMBER(D8575),ISNUMBER(H8575)),D8575*H8575*Inputs!$C$69,"")</f>
      </c>
      <c r="J8575" s="42">
        <f>IF(AND(ISNUMBER(F8575),ISNUMBER(H8575),F8575&gt;=Inputs!$C$68),F8575*H8575*Inputs!$C$69,"")</f>
      </c>
    </row>
    <row r="8576" spans="2:10" ht="15" customHeight="1" x14ac:dyDescent="0.2">
      <c r="B8576" s="39">
        <f t="shared" si="66"/>
      </c>
      <c r="C8576" s="40">
        <f>IF(Inputs!$C$60,Inputs!$C$11+(B8576-Inputs!$C$69)/Inputs!$C$70,"")</f>
      </c>
      <c r="D8576" s="15"/>
      <c r="E8576" s="15"/>
      <c r="F8576" s="11">
        <f t="shared" si="67"/>
      </c>
      <c r="G8576" s="22" cm="1">
        <f t="array" ref="G8576">IF(AND(Inputs!$C$60,Inputs!$C$61),INDEX(Utility_Rates!$C$29:$F$52,HOUR(C8576)+Inputs!$C$69,MATCH(INDEX(Utility_Rates!$K$6:$K$17,MONTH(C8576))&amp;IF(WEEKDAY(C8576,Inputs!$C$76)&lt;=Inputs!$C$74," weekday"," weekend"),Utility_Rates!$C$28:$F$28,Inputs!$C$68)),"")</f>
      </c>
      <c r="H8576" s="34"/>
      <c r="I8576" s="42">
        <f>IF(AND(ISNUMBER(D8576),ISNUMBER(H8576)),D8576*H8576*Inputs!$C$69,"")</f>
      </c>
      <c r="J8576" s="42">
        <f>IF(AND(ISNUMBER(F8576),ISNUMBER(H8576),F8576&gt;=Inputs!$C$68),F8576*H8576*Inputs!$C$69,"")</f>
      </c>
    </row>
    <row r="8577" spans="2:10" ht="15" customHeight="1" x14ac:dyDescent="0.2">
      <c r="B8577" s="39">
        <f t="shared" si="66"/>
      </c>
      <c r="C8577" s="40">
        <f>IF(Inputs!$C$60,Inputs!$C$11+(B8577-Inputs!$C$69)/Inputs!$C$70,"")</f>
      </c>
      <c r="D8577" s="15"/>
      <c r="E8577" s="15"/>
      <c r="F8577" s="11">
        <f t="shared" si="67"/>
      </c>
      <c r="G8577" s="22" cm="1">
        <f t="array" ref="G8577">IF(AND(Inputs!$C$60,Inputs!$C$61),INDEX(Utility_Rates!$C$29:$F$52,HOUR(C8577)+Inputs!$C$69,MATCH(INDEX(Utility_Rates!$K$6:$K$17,MONTH(C8577))&amp;IF(WEEKDAY(C8577,Inputs!$C$76)&lt;=Inputs!$C$74," weekday"," weekend"),Utility_Rates!$C$28:$F$28,Inputs!$C$68)),"")</f>
      </c>
      <c r="H8577" s="34"/>
      <c r="I8577" s="42">
        <f>IF(AND(ISNUMBER(D8577),ISNUMBER(H8577)),D8577*H8577*Inputs!$C$69,"")</f>
      </c>
      <c r="J8577" s="42">
        <f>IF(AND(ISNUMBER(F8577),ISNUMBER(H8577),F8577&gt;=Inputs!$C$68),F8577*H8577*Inputs!$C$69,"")</f>
      </c>
    </row>
    <row r="8578" spans="2:10" ht="15" customHeight="1" x14ac:dyDescent="0.2">
      <c r="B8578" s="39">
        <f t="shared" si="66"/>
      </c>
      <c r="C8578" s="40">
        <f>IF(Inputs!$C$60,Inputs!$C$11+(B8578-Inputs!$C$69)/Inputs!$C$70,"")</f>
      </c>
      <c r="D8578" s="15"/>
      <c r="E8578" s="15"/>
      <c r="F8578" s="11">
        <f t="shared" si="67"/>
      </c>
      <c r="G8578" s="22" cm="1">
        <f t="array" ref="G8578">IF(AND(Inputs!$C$60,Inputs!$C$61),INDEX(Utility_Rates!$C$29:$F$52,HOUR(C8578)+Inputs!$C$69,MATCH(INDEX(Utility_Rates!$K$6:$K$17,MONTH(C8578))&amp;IF(WEEKDAY(C8578,Inputs!$C$76)&lt;=Inputs!$C$74," weekday"," weekend"),Utility_Rates!$C$28:$F$28,Inputs!$C$68)),"")</f>
      </c>
      <c r="H8578" s="34"/>
      <c r="I8578" s="42">
        <f>IF(AND(ISNUMBER(D8578),ISNUMBER(H8578)),D8578*H8578*Inputs!$C$69,"")</f>
      </c>
      <c r="J8578" s="42">
        <f>IF(AND(ISNUMBER(F8578),ISNUMBER(H8578),F8578&gt;=Inputs!$C$68),F8578*H8578*Inputs!$C$69,"")</f>
      </c>
    </row>
    <row r="8579" spans="2:10" ht="15" customHeight="1" x14ac:dyDescent="0.2">
      <c r="B8579" s="39">
        <f t="shared" si="66"/>
      </c>
      <c r="C8579" s="40">
        <f>IF(Inputs!$C$60,Inputs!$C$11+(B8579-Inputs!$C$69)/Inputs!$C$70,"")</f>
      </c>
      <c r="D8579" s="15"/>
      <c r="E8579" s="15"/>
      <c r="F8579" s="11">
        <f t="shared" si="67"/>
      </c>
      <c r="G8579" s="22" cm="1">
        <f t="array" ref="G8579">IF(AND(Inputs!$C$60,Inputs!$C$61),INDEX(Utility_Rates!$C$29:$F$52,HOUR(C8579)+Inputs!$C$69,MATCH(INDEX(Utility_Rates!$K$6:$K$17,MONTH(C8579))&amp;IF(WEEKDAY(C8579,Inputs!$C$76)&lt;=Inputs!$C$74," weekday"," weekend"),Utility_Rates!$C$28:$F$28,Inputs!$C$68)),"")</f>
      </c>
      <c r="H8579" s="34"/>
      <c r="I8579" s="42">
        <f>IF(AND(ISNUMBER(D8579),ISNUMBER(H8579)),D8579*H8579*Inputs!$C$69,"")</f>
      </c>
      <c r="J8579" s="42">
        <f>IF(AND(ISNUMBER(F8579),ISNUMBER(H8579),F8579&gt;=Inputs!$C$68),F8579*H8579*Inputs!$C$69,"")</f>
      </c>
    </row>
    <row r="8580" spans="2:10" ht="15" customHeight="1" x14ac:dyDescent="0.2">
      <c r="B8580" s="39">
        <f t="shared" si="66"/>
      </c>
      <c r="C8580" s="40">
        <f>IF(Inputs!$C$60,Inputs!$C$11+(B8580-Inputs!$C$69)/Inputs!$C$70,"")</f>
      </c>
      <c r="D8580" s="15"/>
      <c r="E8580" s="15"/>
      <c r="F8580" s="11">
        <f t="shared" si="67"/>
      </c>
      <c r="G8580" s="22" cm="1">
        <f t="array" ref="G8580">IF(AND(Inputs!$C$60,Inputs!$C$61),INDEX(Utility_Rates!$C$29:$F$52,HOUR(C8580)+Inputs!$C$69,MATCH(INDEX(Utility_Rates!$K$6:$K$17,MONTH(C8580))&amp;IF(WEEKDAY(C8580,Inputs!$C$76)&lt;=Inputs!$C$74," weekday"," weekend"),Utility_Rates!$C$28:$F$28,Inputs!$C$68)),"")</f>
      </c>
      <c r="H8580" s="34"/>
      <c r="I8580" s="42">
        <f>IF(AND(ISNUMBER(D8580),ISNUMBER(H8580)),D8580*H8580*Inputs!$C$69,"")</f>
      </c>
      <c r="J8580" s="42">
        <f>IF(AND(ISNUMBER(F8580),ISNUMBER(H8580),F8580&gt;=Inputs!$C$68),F8580*H8580*Inputs!$C$69,"")</f>
      </c>
    </row>
    <row r="8581" spans="2:10" ht="15" customHeight="1" x14ac:dyDescent="0.2">
      <c r="B8581" s="39">
        <f t="shared" si="66"/>
      </c>
      <c r="C8581" s="40">
        <f>IF(Inputs!$C$60,Inputs!$C$11+(B8581-Inputs!$C$69)/Inputs!$C$70,"")</f>
      </c>
      <c r="D8581" s="15"/>
      <c r="E8581" s="15"/>
      <c r="F8581" s="11">
        <f t="shared" si="67"/>
      </c>
      <c r="G8581" s="22" cm="1">
        <f t="array" ref="G8581">IF(AND(Inputs!$C$60,Inputs!$C$61),INDEX(Utility_Rates!$C$29:$F$52,HOUR(C8581)+Inputs!$C$69,MATCH(INDEX(Utility_Rates!$K$6:$K$17,MONTH(C8581))&amp;IF(WEEKDAY(C8581,Inputs!$C$76)&lt;=Inputs!$C$74," weekday"," weekend"),Utility_Rates!$C$28:$F$28,Inputs!$C$68)),"")</f>
      </c>
      <c r="H8581" s="34"/>
      <c r="I8581" s="42">
        <f>IF(AND(ISNUMBER(D8581),ISNUMBER(H8581)),D8581*H8581*Inputs!$C$69,"")</f>
      </c>
      <c r="J8581" s="42">
        <f>IF(AND(ISNUMBER(F8581),ISNUMBER(H8581),F8581&gt;=Inputs!$C$68),F8581*H8581*Inputs!$C$69,"")</f>
      </c>
    </row>
    <row r="8582" spans="2:10" ht="15" customHeight="1" x14ac:dyDescent="0.2">
      <c r="B8582" s="39">
        <f t="shared" si="66"/>
      </c>
      <c r="C8582" s="40">
        <f>IF(Inputs!$C$60,Inputs!$C$11+(B8582-Inputs!$C$69)/Inputs!$C$70,"")</f>
      </c>
      <c r="D8582" s="15"/>
      <c r="E8582" s="15"/>
      <c r="F8582" s="11">
        <f t="shared" si="67"/>
      </c>
      <c r="G8582" s="22" cm="1">
        <f t="array" ref="G8582">IF(AND(Inputs!$C$60,Inputs!$C$61),INDEX(Utility_Rates!$C$29:$F$52,HOUR(C8582)+Inputs!$C$69,MATCH(INDEX(Utility_Rates!$K$6:$K$17,MONTH(C8582))&amp;IF(WEEKDAY(C8582,Inputs!$C$76)&lt;=Inputs!$C$74," weekday"," weekend"),Utility_Rates!$C$28:$F$28,Inputs!$C$68)),"")</f>
      </c>
      <c r="H8582" s="34"/>
      <c r="I8582" s="42">
        <f>IF(AND(ISNUMBER(D8582),ISNUMBER(H8582)),D8582*H8582*Inputs!$C$69,"")</f>
      </c>
      <c r="J8582" s="42">
        <f>IF(AND(ISNUMBER(F8582),ISNUMBER(H8582),F8582&gt;=Inputs!$C$68),F8582*H8582*Inputs!$C$69,"")</f>
      </c>
    </row>
    <row r="8583" spans="2:10" ht="15" customHeight="1" x14ac:dyDescent="0.2">
      <c r="B8583" s="39">
        <f t="shared" si="66"/>
      </c>
      <c r="C8583" s="40">
        <f>IF(Inputs!$C$60,Inputs!$C$11+(B8583-Inputs!$C$69)/Inputs!$C$70,"")</f>
      </c>
      <c r="D8583" s="15"/>
      <c r="E8583" s="15"/>
      <c r="F8583" s="11">
        <f t="shared" si="67"/>
      </c>
      <c r="G8583" s="22" cm="1">
        <f t="array" ref="G8583">IF(AND(Inputs!$C$60,Inputs!$C$61),INDEX(Utility_Rates!$C$29:$F$52,HOUR(C8583)+Inputs!$C$69,MATCH(INDEX(Utility_Rates!$K$6:$K$17,MONTH(C8583))&amp;IF(WEEKDAY(C8583,Inputs!$C$76)&lt;=Inputs!$C$74," weekday"," weekend"),Utility_Rates!$C$28:$F$28,Inputs!$C$68)),"")</f>
      </c>
      <c r="H8583" s="34"/>
      <c r="I8583" s="42">
        <f>IF(AND(ISNUMBER(D8583),ISNUMBER(H8583)),D8583*H8583*Inputs!$C$69,"")</f>
      </c>
      <c r="J8583" s="42">
        <f>IF(AND(ISNUMBER(F8583),ISNUMBER(H8583),F8583&gt;=Inputs!$C$68),F8583*H8583*Inputs!$C$69,"")</f>
      </c>
    </row>
    <row r="8584" spans="2:10" ht="15" customHeight="1" x14ac:dyDescent="0.2">
      <c r="B8584" s="39">
        <f t="shared" si="66"/>
      </c>
      <c r="C8584" s="40">
        <f>IF(Inputs!$C$60,Inputs!$C$11+(B8584-Inputs!$C$69)/Inputs!$C$70,"")</f>
      </c>
      <c r="D8584" s="15"/>
      <c r="E8584" s="15"/>
      <c r="F8584" s="11">
        <f t="shared" si="67"/>
      </c>
      <c r="G8584" s="22" cm="1">
        <f t="array" ref="G8584">IF(AND(Inputs!$C$60,Inputs!$C$61),INDEX(Utility_Rates!$C$29:$F$52,HOUR(C8584)+Inputs!$C$69,MATCH(INDEX(Utility_Rates!$K$6:$K$17,MONTH(C8584))&amp;IF(WEEKDAY(C8584,Inputs!$C$76)&lt;=Inputs!$C$74," weekday"," weekend"),Utility_Rates!$C$28:$F$28,Inputs!$C$68)),"")</f>
      </c>
      <c r="H8584" s="34"/>
      <c r="I8584" s="42">
        <f>IF(AND(ISNUMBER(D8584),ISNUMBER(H8584)),D8584*H8584*Inputs!$C$69,"")</f>
      </c>
      <c r="J8584" s="42">
        <f>IF(AND(ISNUMBER(F8584),ISNUMBER(H8584),F8584&gt;=Inputs!$C$68),F8584*H8584*Inputs!$C$69,"")</f>
      </c>
    </row>
    <row r="8585" spans="2:10" ht="15" customHeight="1" x14ac:dyDescent="0.2">
      <c r="B8585" s="39">
        <f t="shared" si="66"/>
      </c>
      <c r="C8585" s="40">
        <f>IF(Inputs!$C$60,Inputs!$C$11+(B8585-Inputs!$C$69)/Inputs!$C$70,"")</f>
      </c>
      <c r="D8585" s="15"/>
      <c r="E8585" s="15"/>
      <c r="F8585" s="11">
        <f t="shared" si="67"/>
      </c>
      <c r="G8585" s="22" cm="1">
        <f t="array" ref="G8585">IF(AND(Inputs!$C$60,Inputs!$C$61),INDEX(Utility_Rates!$C$29:$F$52,HOUR(C8585)+Inputs!$C$69,MATCH(INDEX(Utility_Rates!$K$6:$K$17,MONTH(C8585))&amp;IF(WEEKDAY(C8585,Inputs!$C$76)&lt;=Inputs!$C$74," weekday"," weekend"),Utility_Rates!$C$28:$F$28,Inputs!$C$68)),"")</f>
      </c>
      <c r="H8585" s="34"/>
      <c r="I8585" s="42">
        <f>IF(AND(ISNUMBER(D8585),ISNUMBER(H8585)),D8585*H8585*Inputs!$C$69,"")</f>
      </c>
      <c r="J8585" s="42">
        <f>IF(AND(ISNUMBER(F8585),ISNUMBER(H8585),F8585&gt;=Inputs!$C$68),F8585*H8585*Inputs!$C$69,"")</f>
      </c>
    </row>
    <row r="8586" spans="2:10" ht="15" customHeight="1" x14ac:dyDescent="0.2">
      <c r="B8586" s="39">
        <f t="shared" si="66"/>
      </c>
      <c r="C8586" s="40">
        <f>IF(Inputs!$C$60,Inputs!$C$11+(B8586-Inputs!$C$69)/Inputs!$C$70,"")</f>
      </c>
      <c r="D8586" s="15"/>
      <c r="E8586" s="15"/>
      <c r="F8586" s="11">
        <f t="shared" si="67"/>
      </c>
      <c r="G8586" s="22" cm="1">
        <f t="array" ref="G8586">IF(AND(Inputs!$C$60,Inputs!$C$61),INDEX(Utility_Rates!$C$29:$F$52,HOUR(C8586)+Inputs!$C$69,MATCH(INDEX(Utility_Rates!$K$6:$K$17,MONTH(C8586))&amp;IF(WEEKDAY(C8586,Inputs!$C$76)&lt;=Inputs!$C$74," weekday"," weekend"),Utility_Rates!$C$28:$F$28,Inputs!$C$68)),"")</f>
      </c>
      <c r="H8586" s="34"/>
      <c r="I8586" s="42">
        <f>IF(AND(ISNUMBER(D8586),ISNUMBER(H8586)),D8586*H8586*Inputs!$C$69,"")</f>
      </c>
      <c r="J8586" s="42">
        <f>IF(AND(ISNUMBER(F8586),ISNUMBER(H8586),F8586&gt;=Inputs!$C$68),F8586*H8586*Inputs!$C$69,"")</f>
      </c>
    </row>
    <row r="8587" spans="2:10" ht="15" customHeight="1" x14ac:dyDescent="0.2">
      <c r="B8587" s="39">
        <f t="shared" si="66"/>
      </c>
      <c r="C8587" s="40">
        <f>IF(Inputs!$C$60,Inputs!$C$11+(B8587-Inputs!$C$69)/Inputs!$C$70,"")</f>
      </c>
      <c r="D8587" s="15"/>
      <c r="E8587" s="15"/>
      <c r="F8587" s="11">
        <f t="shared" si="67"/>
      </c>
      <c r="G8587" s="22" cm="1">
        <f t="array" ref="G8587">IF(AND(Inputs!$C$60,Inputs!$C$61),INDEX(Utility_Rates!$C$29:$F$52,HOUR(C8587)+Inputs!$C$69,MATCH(INDEX(Utility_Rates!$K$6:$K$17,MONTH(C8587))&amp;IF(WEEKDAY(C8587,Inputs!$C$76)&lt;=Inputs!$C$74," weekday"," weekend"),Utility_Rates!$C$28:$F$28,Inputs!$C$68)),"")</f>
      </c>
      <c r="H8587" s="34"/>
      <c r="I8587" s="42">
        <f>IF(AND(ISNUMBER(D8587),ISNUMBER(H8587)),D8587*H8587*Inputs!$C$69,"")</f>
      </c>
      <c r="J8587" s="42">
        <f>IF(AND(ISNUMBER(F8587),ISNUMBER(H8587),F8587&gt;=Inputs!$C$68),F8587*H8587*Inputs!$C$69,"")</f>
      </c>
    </row>
    <row r="8588" spans="2:10" ht="15" customHeight="1" x14ac:dyDescent="0.2">
      <c r="B8588" s="39">
        <f t="shared" si="66"/>
      </c>
      <c r="C8588" s="40">
        <f>IF(Inputs!$C$60,Inputs!$C$11+(B8588-Inputs!$C$69)/Inputs!$C$70,"")</f>
      </c>
      <c r="D8588" s="15"/>
      <c r="E8588" s="15"/>
      <c r="F8588" s="11">
        <f t="shared" si="67"/>
      </c>
      <c r="G8588" s="22" cm="1">
        <f t="array" ref="G8588">IF(AND(Inputs!$C$60,Inputs!$C$61),INDEX(Utility_Rates!$C$29:$F$52,HOUR(C8588)+Inputs!$C$69,MATCH(INDEX(Utility_Rates!$K$6:$K$17,MONTH(C8588))&amp;IF(WEEKDAY(C8588,Inputs!$C$76)&lt;=Inputs!$C$74," weekday"," weekend"),Utility_Rates!$C$28:$F$28,Inputs!$C$68)),"")</f>
      </c>
      <c r="H8588" s="34"/>
      <c r="I8588" s="42">
        <f>IF(AND(ISNUMBER(D8588),ISNUMBER(H8588)),D8588*H8588*Inputs!$C$69,"")</f>
      </c>
      <c r="J8588" s="42">
        <f>IF(AND(ISNUMBER(F8588),ISNUMBER(H8588),F8588&gt;=Inputs!$C$68),F8588*H8588*Inputs!$C$69,"")</f>
      </c>
    </row>
    <row r="8589" spans="2:10" ht="15" customHeight="1" x14ac:dyDescent="0.2">
      <c r="B8589" s="39">
        <f t="shared" si="66"/>
      </c>
      <c r="C8589" s="40">
        <f>IF(Inputs!$C$60,Inputs!$C$11+(B8589-Inputs!$C$69)/Inputs!$C$70,"")</f>
      </c>
      <c r="D8589" s="15"/>
      <c r="E8589" s="15"/>
      <c r="F8589" s="11">
        <f t="shared" si="67"/>
      </c>
      <c r="G8589" s="22" cm="1">
        <f t="array" ref="G8589">IF(AND(Inputs!$C$60,Inputs!$C$61),INDEX(Utility_Rates!$C$29:$F$52,HOUR(C8589)+Inputs!$C$69,MATCH(INDEX(Utility_Rates!$K$6:$K$17,MONTH(C8589))&amp;IF(WEEKDAY(C8589,Inputs!$C$76)&lt;=Inputs!$C$74," weekday"," weekend"),Utility_Rates!$C$28:$F$28,Inputs!$C$68)),"")</f>
      </c>
      <c r="H8589" s="34"/>
      <c r="I8589" s="42">
        <f>IF(AND(ISNUMBER(D8589),ISNUMBER(H8589)),D8589*H8589*Inputs!$C$69,"")</f>
      </c>
      <c r="J8589" s="42">
        <f>IF(AND(ISNUMBER(F8589),ISNUMBER(H8589),F8589&gt;=Inputs!$C$68),F8589*H8589*Inputs!$C$69,"")</f>
      </c>
    </row>
    <row r="8590" spans="2:10" ht="15" customHeight="1" x14ac:dyDescent="0.2">
      <c r="B8590" s="39">
        <f t="shared" si="66"/>
      </c>
      <c r="C8590" s="40">
        <f>IF(Inputs!$C$60,Inputs!$C$11+(B8590-Inputs!$C$69)/Inputs!$C$70,"")</f>
      </c>
      <c r="D8590" s="15"/>
      <c r="E8590" s="15"/>
      <c r="F8590" s="11">
        <f t="shared" si="67"/>
      </c>
      <c r="G8590" s="22" cm="1">
        <f t="array" ref="G8590">IF(AND(Inputs!$C$60,Inputs!$C$61),INDEX(Utility_Rates!$C$29:$F$52,HOUR(C8590)+Inputs!$C$69,MATCH(INDEX(Utility_Rates!$K$6:$K$17,MONTH(C8590))&amp;IF(WEEKDAY(C8590,Inputs!$C$76)&lt;=Inputs!$C$74," weekday"," weekend"),Utility_Rates!$C$28:$F$28,Inputs!$C$68)),"")</f>
      </c>
      <c r="H8590" s="34"/>
      <c r="I8590" s="42">
        <f>IF(AND(ISNUMBER(D8590),ISNUMBER(H8590)),D8590*H8590*Inputs!$C$69,"")</f>
      </c>
      <c r="J8590" s="42">
        <f>IF(AND(ISNUMBER(F8590),ISNUMBER(H8590),F8590&gt;=Inputs!$C$68),F8590*H8590*Inputs!$C$69,"")</f>
      </c>
    </row>
    <row r="8591" spans="2:10" ht="15" customHeight="1" x14ac:dyDescent="0.2">
      <c r="B8591" s="39">
        <f t="shared" si="66"/>
      </c>
      <c r="C8591" s="40">
        <f>IF(Inputs!$C$60,Inputs!$C$11+(B8591-Inputs!$C$69)/Inputs!$C$70,"")</f>
      </c>
      <c r="D8591" s="15"/>
      <c r="E8591" s="15"/>
      <c r="F8591" s="11">
        <f t="shared" si="67"/>
      </c>
      <c r="G8591" s="22" cm="1">
        <f t="array" ref="G8591">IF(AND(Inputs!$C$60,Inputs!$C$61),INDEX(Utility_Rates!$C$29:$F$52,HOUR(C8591)+Inputs!$C$69,MATCH(INDEX(Utility_Rates!$K$6:$K$17,MONTH(C8591))&amp;IF(WEEKDAY(C8591,Inputs!$C$76)&lt;=Inputs!$C$74," weekday"," weekend"),Utility_Rates!$C$28:$F$28,Inputs!$C$68)),"")</f>
      </c>
      <c r="H8591" s="34"/>
      <c r="I8591" s="42">
        <f>IF(AND(ISNUMBER(D8591),ISNUMBER(H8591)),D8591*H8591*Inputs!$C$69,"")</f>
      </c>
      <c r="J8591" s="42">
        <f>IF(AND(ISNUMBER(F8591),ISNUMBER(H8591),F8591&gt;=Inputs!$C$68),F8591*H8591*Inputs!$C$69,"")</f>
      </c>
    </row>
    <row r="8592" spans="2:10" ht="15" customHeight="1" x14ac:dyDescent="0.2">
      <c r="B8592" s="39">
        <f t="shared" si="66"/>
      </c>
      <c r="C8592" s="40">
        <f>IF(Inputs!$C$60,Inputs!$C$11+(B8592-Inputs!$C$69)/Inputs!$C$70,"")</f>
      </c>
      <c r="D8592" s="15"/>
      <c r="E8592" s="15"/>
      <c r="F8592" s="11">
        <f t="shared" si="67"/>
      </c>
      <c r="G8592" s="22" cm="1">
        <f t="array" ref="G8592">IF(AND(Inputs!$C$60,Inputs!$C$61),INDEX(Utility_Rates!$C$29:$F$52,HOUR(C8592)+Inputs!$C$69,MATCH(INDEX(Utility_Rates!$K$6:$K$17,MONTH(C8592))&amp;IF(WEEKDAY(C8592,Inputs!$C$76)&lt;=Inputs!$C$74," weekday"," weekend"),Utility_Rates!$C$28:$F$28,Inputs!$C$68)),"")</f>
      </c>
      <c r="H8592" s="34"/>
      <c r="I8592" s="42">
        <f>IF(AND(ISNUMBER(D8592),ISNUMBER(H8592)),D8592*H8592*Inputs!$C$69,"")</f>
      </c>
      <c r="J8592" s="42">
        <f>IF(AND(ISNUMBER(F8592),ISNUMBER(H8592),F8592&gt;=Inputs!$C$68),F8592*H8592*Inputs!$C$69,"")</f>
      </c>
    </row>
    <row r="8593" spans="2:10" ht="15" customHeight="1" x14ac:dyDescent="0.2">
      <c r="B8593" s="39">
        <f t="shared" si="66"/>
      </c>
      <c r="C8593" s="40">
        <f>IF(Inputs!$C$60,Inputs!$C$11+(B8593-Inputs!$C$69)/Inputs!$C$70,"")</f>
      </c>
      <c r="D8593" s="15"/>
      <c r="E8593" s="15"/>
      <c r="F8593" s="11">
        <f t="shared" si="67"/>
      </c>
      <c r="G8593" s="22" cm="1">
        <f t="array" ref="G8593">IF(AND(Inputs!$C$60,Inputs!$C$61),INDEX(Utility_Rates!$C$29:$F$52,HOUR(C8593)+Inputs!$C$69,MATCH(INDEX(Utility_Rates!$K$6:$K$17,MONTH(C8593))&amp;IF(WEEKDAY(C8593,Inputs!$C$76)&lt;=Inputs!$C$74," weekday"," weekend"),Utility_Rates!$C$28:$F$28,Inputs!$C$68)),"")</f>
      </c>
      <c r="H8593" s="34"/>
      <c r="I8593" s="42">
        <f>IF(AND(ISNUMBER(D8593),ISNUMBER(H8593)),D8593*H8593*Inputs!$C$69,"")</f>
      </c>
      <c r="J8593" s="42">
        <f>IF(AND(ISNUMBER(F8593),ISNUMBER(H8593),F8593&gt;=Inputs!$C$68),F8593*H8593*Inputs!$C$69,"")</f>
      </c>
    </row>
    <row r="8594" spans="2:10" ht="15" customHeight="1" x14ac:dyDescent="0.2">
      <c r="B8594" s="39">
        <f t="shared" si="66"/>
      </c>
      <c r="C8594" s="40">
        <f>IF(Inputs!$C$60,Inputs!$C$11+(B8594-Inputs!$C$69)/Inputs!$C$70,"")</f>
      </c>
      <c r="D8594" s="15"/>
      <c r="E8594" s="15"/>
      <c r="F8594" s="11">
        <f t="shared" si="67"/>
      </c>
      <c r="G8594" s="22" cm="1">
        <f t="array" ref="G8594">IF(AND(Inputs!$C$60,Inputs!$C$61),INDEX(Utility_Rates!$C$29:$F$52,HOUR(C8594)+Inputs!$C$69,MATCH(INDEX(Utility_Rates!$K$6:$K$17,MONTH(C8594))&amp;IF(WEEKDAY(C8594,Inputs!$C$76)&lt;=Inputs!$C$74," weekday"," weekend"),Utility_Rates!$C$28:$F$28,Inputs!$C$68)),"")</f>
      </c>
      <c r="H8594" s="34"/>
      <c r="I8594" s="42">
        <f>IF(AND(ISNUMBER(D8594),ISNUMBER(H8594)),D8594*H8594*Inputs!$C$69,"")</f>
      </c>
      <c r="J8594" s="42">
        <f>IF(AND(ISNUMBER(F8594),ISNUMBER(H8594),F8594&gt;=Inputs!$C$68),F8594*H8594*Inputs!$C$69,"")</f>
      </c>
    </row>
    <row r="8595" spans="2:10" ht="15" customHeight="1" x14ac:dyDescent="0.2">
      <c r="B8595" s="39">
        <f t="shared" si="66"/>
      </c>
      <c r="C8595" s="40">
        <f>IF(Inputs!$C$60,Inputs!$C$11+(B8595-Inputs!$C$69)/Inputs!$C$70,"")</f>
      </c>
      <c r="D8595" s="15"/>
      <c r="E8595" s="15"/>
      <c r="F8595" s="11">
        <f t="shared" si="67"/>
      </c>
      <c r="G8595" s="22" cm="1">
        <f t="array" ref="G8595">IF(AND(Inputs!$C$60,Inputs!$C$61),INDEX(Utility_Rates!$C$29:$F$52,HOUR(C8595)+Inputs!$C$69,MATCH(INDEX(Utility_Rates!$K$6:$K$17,MONTH(C8595))&amp;IF(WEEKDAY(C8595,Inputs!$C$76)&lt;=Inputs!$C$74," weekday"," weekend"),Utility_Rates!$C$28:$F$28,Inputs!$C$68)),"")</f>
      </c>
      <c r="H8595" s="34"/>
      <c r="I8595" s="42">
        <f>IF(AND(ISNUMBER(D8595),ISNUMBER(H8595)),D8595*H8595*Inputs!$C$69,"")</f>
      </c>
      <c r="J8595" s="42">
        <f>IF(AND(ISNUMBER(F8595),ISNUMBER(H8595),F8595&gt;=Inputs!$C$68),F8595*H8595*Inputs!$C$69,"")</f>
      </c>
    </row>
    <row r="8596" spans="2:10" ht="15" customHeight="1" x14ac:dyDescent="0.2">
      <c r="B8596" s="39">
        <f t="shared" si="66"/>
      </c>
      <c r="C8596" s="40">
        <f>IF(Inputs!$C$60,Inputs!$C$11+(B8596-Inputs!$C$69)/Inputs!$C$70,"")</f>
      </c>
      <c r="D8596" s="15"/>
      <c r="E8596" s="15"/>
      <c r="F8596" s="11">
        <f t="shared" si="67"/>
      </c>
      <c r="G8596" s="22" cm="1">
        <f t="array" ref="G8596">IF(AND(Inputs!$C$60,Inputs!$C$61),INDEX(Utility_Rates!$C$29:$F$52,HOUR(C8596)+Inputs!$C$69,MATCH(INDEX(Utility_Rates!$K$6:$K$17,MONTH(C8596))&amp;IF(WEEKDAY(C8596,Inputs!$C$76)&lt;=Inputs!$C$74," weekday"," weekend"),Utility_Rates!$C$28:$F$28,Inputs!$C$68)),"")</f>
      </c>
      <c r="H8596" s="34"/>
      <c r="I8596" s="42">
        <f>IF(AND(ISNUMBER(D8596),ISNUMBER(H8596)),D8596*H8596*Inputs!$C$69,"")</f>
      </c>
      <c r="J8596" s="42">
        <f>IF(AND(ISNUMBER(F8596),ISNUMBER(H8596),F8596&gt;=Inputs!$C$68),F8596*H8596*Inputs!$C$69,"")</f>
      </c>
    </row>
    <row r="8597" spans="2:10" ht="15" customHeight="1" x14ac:dyDescent="0.2">
      <c r="B8597" s="39">
        <f t="shared" si="66"/>
      </c>
      <c r="C8597" s="40">
        <f>IF(Inputs!$C$60,Inputs!$C$11+(B8597-Inputs!$C$69)/Inputs!$C$70,"")</f>
      </c>
      <c r="D8597" s="15"/>
      <c r="E8597" s="15"/>
      <c r="F8597" s="11">
        <f t="shared" si="67"/>
      </c>
      <c r="G8597" s="22" cm="1">
        <f t="array" ref="G8597">IF(AND(Inputs!$C$60,Inputs!$C$61),INDEX(Utility_Rates!$C$29:$F$52,HOUR(C8597)+Inputs!$C$69,MATCH(INDEX(Utility_Rates!$K$6:$K$17,MONTH(C8597))&amp;IF(WEEKDAY(C8597,Inputs!$C$76)&lt;=Inputs!$C$74," weekday"," weekend"),Utility_Rates!$C$28:$F$28,Inputs!$C$68)),"")</f>
      </c>
      <c r="H8597" s="34"/>
      <c r="I8597" s="42">
        <f>IF(AND(ISNUMBER(D8597),ISNUMBER(H8597)),D8597*H8597*Inputs!$C$69,"")</f>
      </c>
      <c r="J8597" s="42">
        <f>IF(AND(ISNUMBER(F8597),ISNUMBER(H8597),F8597&gt;=Inputs!$C$68),F8597*H8597*Inputs!$C$69,"")</f>
      </c>
    </row>
    <row r="8598" spans="2:10" ht="15" customHeight="1" x14ac:dyDescent="0.2">
      <c r="B8598" s="39">
        <f t="shared" si="66"/>
      </c>
      <c r="C8598" s="40">
        <f>IF(Inputs!$C$60,Inputs!$C$11+(B8598-Inputs!$C$69)/Inputs!$C$70,"")</f>
      </c>
      <c r="D8598" s="15"/>
      <c r="E8598" s="15"/>
      <c r="F8598" s="11">
        <f t="shared" si="67"/>
      </c>
      <c r="G8598" s="22" cm="1">
        <f t="array" ref="G8598">IF(AND(Inputs!$C$60,Inputs!$C$61),INDEX(Utility_Rates!$C$29:$F$52,HOUR(C8598)+Inputs!$C$69,MATCH(INDEX(Utility_Rates!$K$6:$K$17,MONTH(C8598))&amp;IF(WEEKDAY(C8598,Inputs!$C$76)&lt;=Inputs!$C$74," weekday"," weekend"),Utility_Rates!$C$28:$F$28,Inputs!$C$68)),"")</f>
      </c>
      <c r="H8598" s="34"/>
      <c r="I8598" s="42">
        <f>IF(AND(ISNUMBER(D8598),ISNUMBER(H8598)),D8598*H8598*Inputs!$C$69,"")</f>
      </c>
      <c r="J8598" s="42">
        <f>IF(AND(ISNUMBER(F8598),ISNUMBER(H8598),F8598&gt;=Inputs!$C$68),F8598*H8598*Inputs!$C$69,"")</f>
      </c>
    </row>
    <row r="8599" spans="2:10" ht="15" customHeight="1" x14ac:dyDescent="0.2">
      <c r="B8599" s="39">
        <f t="shared" si="66"/>
      </c>
      <c r="C8599" s="40">
        <f>IF(Inputs!$C$60,Inputs!$C$11+(B8599-Inputs!$C$69)/Inputs!$C$70,"")</f>
      </c>
      <c r="D8599" s="15"/>
      <c r="E8599" s="15"/>
      <c r="F8599" s="11">
        <f t="shared" si="67"/>
      </c>
      <c r="G8599" s="22" cm="1">
        <f t="array" ref="G8599">IF(AND(Inputs!$C$60,Inputs!$C$61),INDEX(Utility_Rates!$C$29:$F$52,HOUR(C8599)+Inputs!$C$69,MATCH(INDEX(Utility_Rates!$K$6:$K$17,MONTH(C8599))&amp;IF(WEEKDAY(C8599,Inputs!$C$76)&lt;=Inputs!$C$74," weekday"," weekend"),Utility_Rates!$C$28:$F$28,Inputs!$C$68)),"")</f>
      </c>
      <c r="H8599" s="34"/>
      <c r="I8599" s="42">
        <f>IF(AND(ISNUMBER(D8599),ISNUMBER(H8599)),D8599*H8599*Inputs!$C$69,"")</f>
      </c>
      <c r="J8599" s="42">
        <f>IF(AND(ISNUMBER(F8599),ISNUMBER(H8599),F8599&gt;=Inputs!$C$68),F8599*H8599*Inputs!$C$69,"")</f>
      </c>
    </row>
    <row r="8600" spans="2:10" ht="15" customHeight="1" x14ac:dyDescent="0.2">
      <c r="B8600" s="39">
        <f t="shared" si="66"/>
      </c>
      <c r="C8600" s="40">
        <f>IF(Inputs!$C$60,Inputs!$C$11+(B8600-Inputs!$C$69)/Inputs!$C$70,"")</f>
      </c>
      <c r="D8600" s="15"/>
      <c r="E8600" s="15"/>
      <c r="F8600" s="11">
        <f t="shared" si="67"/>
      </c>
      <c r="G8600" s="22" cm="1">
        <f t="array" ref="G8600">IF(AND(Inputs!$C$60,Inputs!$C$61),INDEX(Utility_Rates!$C$29:$F$52,HOUR(C8600)+Inputs!$C$69,MATCH(INDEX(Utility_Rates!$K$6:$K$17,MONTH(C8600))&amp;IF(WEEKDAY(C8600,Inputs!$C$76)&lt;=Inputs!$C$74," weekday"," weekend"),Utility_Rates!$C$28:$F$28,Inputs!$C$68)),"")</f>
      </c>
      <c r="H8600" s="34"/>
      <c r="I8600" s="42">
        <f>IF(AND(ISNUMBER(D8600),ISNUMBER(H8600)),D8600*H8600*Inputs!$C$69,"")</f>
      </c>
      <c r="J8600" s="42">
        <f>IF(AND(ISNUMBER(F8600),ISNUMBER(H8600),F8600&gt;=Inputs!$C$68),F8600*H8600*Inputs!$C$69,"")</f>
      </c>
    </row>
    <row r="8601" spans="2:10" ht="15" customHeight="1" x14ac:dyDescent="0.2">
      <c r="B8601" s="39">
        <f t="shared" si="66"/>
      </c>
      <c r="C8601" s="40">
        <f>IF(Inputs!$C$60,Inputs!$C$11+(B8601-Inputs!$C$69)/Inputs!$C$70,"")</f>
      </c>
      <c r="D8601" s="15"/>
      <c r="E8601" s="15"/>
      <c r="F8601" s="11">
        <f t="shared" si="67"/>
      </c>
      <c r="G8601" s="22" cm="1">
        <f t="array" ref="G8601">IF(AND(Inputs!$C$60,Inputs!$C$61),INDEX(Utility_Rates!$C$29:$F$52,HOUR(C8601)+Inputs!$C$69,MATCH(INDEX(Utility_Rates!$K$6:$K$17,MONTH(C8601))&amp;IF(WEEKDAY(C8601,Inputs!$C$76)&lt;=Inputs!$C$74," weekday"," weekend"),Utility_Rates!$C$28:$F$28,Inputs!$C$68)),"")</f>
      </c>
      <c r="H8601" s="34"/>
      <c r="I8601" s="42">
        <f>IF(AND(ISNUMBER(D8601),ISNUMBER(H8601)),D8601*H8601*Inputs!$C$69,"")</f>
      </c>
      <c r="J8601" s="42">
        <f>IF(AND(ISNUMBER(F8601),ISNUMBER(H8601),F8601&gt;=Inputs!$C$68),F8601*H8601*Inputs!$C$69,"")</f>
      </c>
    </row>
    <row r="8602" spans="2:10" ht="15" customHeight="1" x14ac:dyDescent="0.2">
      <c r="B8602" s="39">
        <f t="shared" si="66"/>
      </c>
      <c r="C8602" s="40">
        <f>IF(Inputs!$C$60,Inputs!$C$11+(B8602-Inputs!$C$69)/Inputs!$C$70,"")</f>
      </c>
      <c r="D8602" s="15"/>
      <c r="E8602" s="15"/>
      <c r="F8602" s="11">
        <f t="shared" si="67"/>
      </c>
      <c r="G8602" s="22" cm="1">
        <f t="array" ref="G8602">IF(AND(Inputs!$C$60,Inputs!$C$61),INDEX(Utility_Rates!$C$29:$F$52,HOUR(C8602)+Inputs!$C$69,MATCH(INDEX(Utility_Rates!$K$6:$K$17,MONTH(C8602))&amp;IF(WEEKDAY(C8602,Inputs!$C$76)&lt;=Inputs!$C$74," weekday"," weekend"),Utility_Rates!$C$28:$F$28,Inputs!$C$68)),"")</f>
      </c>
      <c r="H8602" s="34"/>
      <c r="I8602" s="42">
        <f>IF(AND(ISNUMBER(D8602),ISNUMBER(H8602)),D8602*H8602*Inputs!$C$69,"")</f>
      </c>
      <c r="J8602" s="42">
        <f>IF(AND(ISNUMBER(F8602),ISNUMBER(H8602),F8602&gt;=Inputs!$C$68),F8602*H8602*Inputs!$C$69,"")</f>
      </c>
    </row>
    <row r="8603" spans="2:10" ht="15" customHeight="1" x14ac:dyDescent="0.2">
      <c r="B8603" s="39">
        <f t="shared" si="66"/>
      </c>
      <c r="C8603" s="40">
        <f>IF(Inputs!$C$60,Inputs!$C$11+(B8603-Inputs!$C$69)/Inputs!$C$70,"")</f>
      </c>
      <c r="D8603" s="15"/>
      <c r="E8603" s="15"/>
      <c r="F8603" s="11">
        <f t="shared" si="67"/>
      </c>
      <c r="G8603" s="22" cm="1">
        <f t="array" ref="G8603">IF(AND(Inputs!$C$60,Inputs!$C$61),INDEX(Utility_Rates!$C$29:$F$52,HOUR(C8603)+Inputs!$C$69,MATCH(INDEX(Utility_Rates!$K$6:$K$17,MONTH(C8603))&amp;IF(WEEKDAY(C8603,Inputs!$C$76)&lt;=Inputs!$C$74," weekday"," weekend"),Utility_Rates!$C$28:$F$28,Inputs!$C$68)),"")</f>
      </c>
      <c r="H8603" s="34"/>
      <c r="I8603" s="42">
        <f>IF(AND(ISNUMBER(D8603),ISNUMBER(H8603)),D8603*H8603*Inputs!$C$69,"")</f>
      </c>
      <c r="J8603" s="42">
        <f>IF(AND(ISNUMBER(F8603),ISNUMBER(H8603),F8603&gt;=Inputs!$C$68),F8603*H8603*Inputs!$C$69,"")</f>
      </c>
    </row>
    <row r="8604" spans="2:10" ht="15" customHeight="1" x14ac:dyDescent="0.2">
      <c r="B8604" s="39">
        <f t="shared" si="66"/>
      </c>
      <c r="C8604" s="40">
        <f>IF(Inputs!$C$60,Inputs!$C$11+(B8604-Inputs!$C$69)/Inputs!$C$70,"")</f>
      </c>
      <c r="D8604" s="15"/>
      <c r="E8604" s="15"/>
      <c r="F8604" s="11">
        <f t="shared" si="67"/>
      </c>
      <c r="G8604" s="22" cm="1">
        <f t="array" ref="G8604">IF(AND(Inputs!$C$60,Inputs!$C$61),INDEX(Utility_Rates!$C$29:$F$52,HOUR(C8604)+Inputs!$C$69,MATCH(INDEX(Utility_Rates!$K$6:$K$17,MONTH(C8604))&amp;IF(WEEKDAY(C8604,Inputs!$C$76)&lt;=Inputs!$C$74," weekday"," weekend"),Utility_Rates!$C$28:$F$28,Inputs!$C$68)),"")</f>
      </c>
      <c r="H8604" s="34"/>
      <c r="I8604" s="42">
        <f>IF(AND(ISNUMBER(D8604),ISNUMBER(H8604)),D8604*H8604*Inputs!$C$69,"")</f>
      </c>
      <c r="J8604" s="42">
        <f>IF(AND(ISNUMBER(F8604),ISNUMBER(H8604),F8604&gt;=Inputs!$C$68),F8604*H8604*Inputs!$C$69,"")</f>
      </c>
    </row>
    <row r="8605" spans="2:10" ht="15" customHeight="1" x14ac:dyDescent="0.2">
      <c r="B8605" s="39">
        <f t="shared" si="66"/>
      </c>
      <c r="C8605" s="40">
        <f>IF(Inputs!$C$60,Inputs!$C$11+(B8605-Inputs!$C$69)/Inputs!$C$70,"")</f>
      </c>
      <c r="D8605" s="15"/>
      <c r="E8605" s="15"/>
      <c r="F8605" s="11">
        <f t="shared" si="67"/>
      </c>
      <c r="G8605" s="22" cm="1">
        <f t="array" ref="G8605">IF(AND(Inputs!$C$60,Inputs!$C$61),INDEX(Utility_Rates!$C$29:$F$52,HOUR(C8605)+Inputs!$C$69,MATCH(INDEX(Utility_Rates!$K$6:$K$17,MONTH(C8605))&amp;IF(WEEKDAY(C8605,Inputs!$C$76)&lt;=Inputs!$C$74," weekday"," weekend"),Utility_Rates!$C$28:$F$28,Inputs!$C$68)),"")</f>
      </c>
      <c r="H8605" s="34"/>
      <c r="I8605" s="42">
        <f>IF(AND(ISNUMBER(D8605),ISNUMBER(H8605)),D8605*H8605*Inputs!$C$69,"")</f>
      </c>
      <c r="J8605" s="42">
        <f>IF(AND(ISNUMBER(F8605),ISNUMBER(H8605),F8605&gt;=Inputs!$C$68),F8605*H8605*Inputs!$C$69,"")</f>
      </c>
    </row>
    <row r="8606" spans="2:10" ht="15" customHeight="1" x14ac:dyDescent="0.2">
      <c r="B8606" s="39">
        <f t="shared" si="66"/>
      </c>
      <c r="C8606" s="40">
        <f>IF(Inputs!$C$60,Inputs!$C$11+(B8606-Inputs!$C$69)/Inputs!$C$70,"")</f>
      </c>
      <c r="D8606" s="15"/>
      <c r="E8606" s="15"/>
      <c r="F8606" s="11">
        <f t="shared" si="67"/>
      </c>
      <c r="G8606" s="22" cm="1">
        <f t="array" ref="G8606">IF(AND(Inputs!$C$60,Inputs!$C$61),INDEX(Utility_Rates!$C$29:$F$52,HOUR(C8606)+Inputs!$C$69,MATCH(INDEX(Utility_Rates!$K$6:$K$17,MONTH(C8606))&amp;IF(WEEKDAY(C8606,Inputs!$C$76)&lt;=Inputs!$C$74," weekday"," weekend"),Utility_Rates!$C$28:$F$28,Inputs!$C$68)),"")</f>
      </c>
      <c r="H8606" s="34"/>
      <c r="I8606" s="42">
        <f>IF(AND(ISNUMBER(D8606),ISNUMBER(H8606)),D8606*H8606*Inputs!$C$69,"")</f>
      </c>
      <c r="J8606" s="42">
        <f>IF(AND(ISNUMBER(F8606),ISNUMBER(H8606),F8606&gt;=Inputs!$C$68),F8606*H8606*Inputs!$C$69,"")</f>
      </c>
    </row>
    <row r="8607" spans="2:10" ht="15" customHeight="1" x14ac:dyDescent="0.2">
      <c r="B8607" s="39">
        <f t="shared" si="66"/>
      </c>
      <c r="C8607" s="40">
        <f>IF(Inputs!$C$60,Inputs!$C$11+(B8607-Inputs!$C$69)/Inputs!$C$70,"")</f>
      </c>
      <c r="D8607" s="15"/>
      <c r="E8607" s="15"/>
      <c r="F8607" s="11">
        <f t="shared" si="67"/>
      </c>
      <c r="G8607" s="22" cm="1">
        <f t="array" ref="G8607">IF(AND(Inputs!$C$60,Inputs!$C$61),INDEX(Utility_Rates!$C$29:$F$52,HOUR(C8607)+Inputs!$C$69,MATCH(INDEX(Utility_Rates!$K$6:$K$17,MONTH(C8607))&amp;IF(WEEKDAY(C8607,Inputs!$C$76)&lt;=Inputs!$C$74," weekday"," weekend"),Utility_Rates!$C$28:$F$28,Inputs!$C$68)),"")</f>
      </c>
      <c r="H8607" s="34"/>
      <c r="I8607" s="42">
        <f>IF(AND(ISNUMBER(D8607),ISNUMBER(H8607)),D8607*H8607*Inputs!$C$69,"")</f>
      </c>
      <c r="J8607" s="42">
        <f>IF(AND(ISNUMBER(F8607),ISNUMBER(H8607),F8607&gt;=Inputs!$C$68),F8607*H8607*Inputs!$C$69,"")</f>
      </c>
    </row>
    <row r="8608" spans="2:10" ht="15" customHeight="1" x14ac:dyDescent="0.2">
      <c r="B8608" s="39">
        <f t="shared" si="66"/>
      </c>
      <c r="C8608" s="40">
        <f>IF(Inputs!$C$60,Inputs!$C$11+(B8608-Inputs!$C$69)/Inputs!$C$70,"")</f>
      </c>
      <c r="D8608" s="15"/>
      <c r="E8608" s="15"/>
      <c r="F8608" s="11">
        <f t="shared" si="67"/>
      </c>
      <c r="G8608" s="22" cm="1">
        <f t="array" ref="G8608">IF(AND(Inputs!$C$60,Inputs!$C$61),INDEX(Utility_Rates!$C$29:$F$52,HOUR(C8608)+Inputs!$C$69,MATCH(INDEX(Utility_Rates!$K$6:$K$17,MONTH(C8608))&amp;IF(WEEKDAY(C8608,Inputs!$C$76)&lt;=Inputs!$C$74," weekday"," weekend"),Utility_Rates!$C$28:$F$28,Inputs!$C$68)),"")</f>
      </c>
      <c r="H8608" s="34"/>
      <c r="I8608" s="42">
        <f>IF(AND(ISNUMBER(D8608),ISNUMBER(H8608)),D8608*H8608*Inputs!$C$69,"")</f>
      </c>
      <c r="J8608" s="42">
        <f>IF(AND(ISNUMBER(F8608),ISNUMBER(H8608),F8608&gt;=Inputs!$C$68),F8608*H8608*Inputs!$C$69,"")</f>
      </c>
    </row>
    <row r="8609" spans="2:10" ht="15" customHeight="1" x14ac:dyDescent="0.2">
      <c r="B8609" s="39">
        <f t="shared" si="66"/>
      </c>
      <c r="C8609" s="40">
        <f>IF(Inputs!$C$60,Inputs!$C$11+(B8609-Inputs!$C$69)/Inputs!$C$70,"")</f>
      </c>
      <c r="D8609" s="15"/>
      <c r="E8609" s="15"/>
      <c r="F8609" s="11">
        <f t="shared" si="67"/>
      </c>
      <c r="G8609" s="22" cm="1">
        <f t="array" ref="G8609">IF(AND(Inputs!$C$60,Inputs!$C$61),INDEX(Utility_Rates!$C$29:$F$52,HOUR(C8609)+Inputs!$C$69,MATCH(INDEX(Utility_Rates!$K$6:$K$17,MONTH(C8609))&amp;IF(WEEKDAY(C8609,Inputs!$C$76)&lt;=Inputs!$C$74," weekday"," weekend"),Utility_Rates!$C$28:$F$28,Inputs!$C$68)),"")</f>
      </c>
      <c r="H8609" s="34"/>
      <c r="I8609" s="42">
        <f>IF(AND(ISNUMBER(D8609),ISNUMBER(H8609)),D8609*H8609*Inputs!$C$69,"")</f>
      </c>
      <c r="J8609" s="42">
        <f>IF(AND(ISNUMBER(F8609),ISNUMBER(H8609),F8609&gt;=Inputs!$C$68),F8609*H8609*Inputs!$C$69,"")</f>
      </c>
    </row>
    <row r="8610" spans="2:10" ht="15" customHeight="1" x14ac:dyDescent="0.2">
      <c r="B8610" s="39">
        <f t="shared" si="66"/>
      </c>
      <c r="C8610" s="40">
        <f>IF(Inputs!$C$60,Inputs!$C$11+(B8610-Inputs!$C$69)/Inputs!$C$70,"")</f>
      </c>
      <c r="D8610" s="15"/>
      <c r="E8610" s="15"/>
      <c r="F8610" s="11">
        <f t="shared" si="67"/>
      </c>
      <c r="G8610" s="22" cm="1">
        <f t="array" ref="G8610">IF(AND(Inputs!$C$60,Inputs!$C$61),INDEX(Utility_Rates!$C$29:$F$52,HOUR(C8610)+Inputs!$C$69,MATCH(INDEX(Utility_Rates!$K$6:$K$17,MONTH(C8610))&amp;IF(WEEKDAY(C8610,Inputs!$C$76)&lt;=Inputs!$C$74," weekday"," weekend"),Utility_Rates!$C$28:$F$28,Inputs!$C$68)),"")</f>
      </c>
      <c r="H8610" s="34"/>
      <c r="I8610" s="42">
        <f>IF(AND(ISNUMBER(D8610),ISNUMBER(H8610)),D8610*H8610*Inputs!$C$69,"")</f>
      </c>
      <c r="J8610" s="42">
        <f>IF(AND(ISNUMBER(F8610),ISNUMBER(H8610),F8610&gt;=Inputs!$C$68),F8610*H8610*Inputs!$C$69,"")</f>
      </c>
    </row>
    <row r="8611" spans="2:10" ht="15" customHeight="1" x14ac:dyDescent="0.2">
      <c r="B8611" s="39">
        <f t="shared" si="66"/>
      </c>
      <c r="C8611" s="40">
        <f>IF(Inputs!$C$60,Inputs!$C$11+(B8611-Inputs!$C$69)/Inputs!$C$70,"")</f>
      </c>
      <c r="D8611" s="15"/>
      <c r="E8611" s="15"/>
      <c r="F8611" s="11">
        <f t="shared" si="67"/>
      </c>
      <c r="G8611" s="22" cm="1">
        <f t="array" ref="G8611">IF(AND(Inputs!$C$60,Inputs!$C$61),INDEX(Utility_Rates!$C$29:$F$52,HOUR(C8611)+Inputs!$C$69,MATCH(INDEX(Utility_Rates!$K$6:$K$17,MONTH(C8611))&amp;IF(WEEKDAY(C8611,Inputs!$C$76)&lt;=Inputs!$C$74," weekday"," weekend"),Utility_Rates!$C$28:$F$28,Inputs!$C$68)),"")</f>
      </c>
      <c r="H8611" s="34"/>
      <c r="I8611" s="42">
        <f>IF(AND(ISNUMBER(D8611),ISNUMBER(H8611)),D8611*H8611*Inputs!$C$69,"")</f>
      </c>
      <c r="J8611" s="42">
        <f>IF(AND(ISNUMBER(F8611),ISNUMBER(H8611),F8611&gt;=Inputs!$C$68),F8611*H8611*Inputs!$C$69,"")</f>
      </c>
    </row>
    <row r="8612" spans="2:10" ht="15" customHeight="1" x14ac:dyDescent="0.2">
      <c r="B8612" s="39">
        <f t="shared" si="66"/>
      </c>
      <c r="C8612" s="40">
        <f>IF(Inputs!$C$60,Inputs!$C$11+(B8612-Inputs!$C$69)/Inputs!$C$70,"")</f>
      </c>
      <c r="D8612" s="15"/>
      <c r="E8612" s="15"/>
      <c r="F8612" s="11">
        <f t="shared" si="67"/>
      </c>
      <c r="G8612" s="22" cm="1">
        <f t="array" ref="G8612">IF(AND(Inputs!$C$60,Inputs!$C$61),INDEX(Utility_Rates!$C$29:$F$52,HOUR(C8612)+Inputs!$C$69,MATCH(INDEX(Utility_Rates!$K$6:$K$17,MONTH(C8612))&amp;IF(WEEKDAY(C8612,Inputs!$C$76)&lt;=Inputs!$C$74," weekday"," weekend"),Utility_Rates!$C$28:$F$28,Inputs!$C$68)),"")</f>
      </c>
      <c r="H8612" s="34"/>
      <c r="I8612" s="42">
        <f>IF(AND(ISNUMBER(D8612),ISNUMBER(H8612)),D8612*H8612*Inputs!$C$69,"")</f>
      </c>
      <c r="J8612" s="42">
        <f>IF(AND(ISNUMBER(F8612),ISNUMBER(H8612),F8612&gt;=Inputs!$C$68),F8612*H8612*Inputs!$C$69,"")</f>
      </c>
    </row>
    <row r="8613" spans="2:10" ht="15" customHeight="1" x14ac:dyDescent="0.2">
      <c r="B8613" s="39">
        <f t="shared" si="66"/>
      </c>
      <c r="C8613" s="40">
        <f>IF(Inputs!$C$60,Inputs!$C$11+(B8613-Inputs!$C$69)/Inputs!$C$70,"")</f>
      </c>
      <c r="D8613" s="15"/>
      <c r="E8613" s="15"/>
      <c r="F8613" s="11">
        <f t="shared" si="67"/>
      </c>
      <c r="G8613" s="22" cm="1">
        <f t="array" ref="G8613">IF(AND(Inputs!$C$60,Inputs!$C$61),INDEX(Utility_Rates!$C$29:$F$52,HOUR(C8613)+Inputs!$C$69,MATCH(INDEX(Utility_Rates!$K$6:$K$17,MONTH(C8613))&amp;IF(WEEKDAY(C8613,Inputs!$C$76)&lt;=Inputs!$C$74," weekday"," weekend"),Utility_Rates!$C$28:$F$28,Inputs!$C$68)),"")</f>
      </c>
      <c r="H8613" s="34"/>
      <c r="I8613" s="42">
        <f>IF(AND(ISNUMBER(D8613),ISNUMBER(H8613)),D8613*H8613*Inputs!$C$69,"")</f>
      </c>
      <c r="J8613" s="42">
        <f>IF(AND(ISNUMBER(F8613),ISNUMBER(H8613),F8613&gt;=Inputs!$C$68),F8613*H8613*Inputs!$C$69,"")</f>
      </c>
    </row>
    <row r="8614" spans="2:10" ht="15" customHeight="1" x14ac:dyDescent="0.2">
      <c r="B8614" s="39">
        <f t="shared" si="66"/>
      </c>
      <c r="C8614" s="40">
        <f>IF(Inputs!$C$60,Inputs!$C$11+(B8614-Inputs!$C$69)/Inputs!$C$70,"")</f>
      </c>
      <c r="D8614" s="15"/>
      <c r="E8614" s="15"/>
      <c r="F8614" s="11">
        <f t="shared" si="67"/>
      </c>
      <c r="G8614" s="22" cm="1">
        <f t="array" ref="G8614">IF(AND(Inputs!$C$60,Inputs!$C$61),INDEX(Utility_Rates!$C$29:$F$52,HOUR(C8614)+Inputs!$C$69,MATCH(INDEX(Utility_Rates!$K$6:$K$17,MONTH(C8614))&amp;IF(WEEKDAY(C8614,Inputs!$C$76)&lt;=Inputs!$C$74," weekday"," weekend"),Utility_Rates!$C$28:$F$28,Inputs!$C$68)),"")</f>
      </c>
      <c r="H8614" s="34"/>
      <c r="I8614" s="42">
        <f>IF(AND(ISNUMBER(D8614),ISNUMBER(H8614)),D8614*H8614*Inputs!$C$69,"")</f>
      </c>
      <c r="J8614" s="42">
        <f>IF(AND(ISNUMBER(F8614),ISNUMBER(H8614),F8614&gt;=Inputs!$C$68),F8614*H8614*Inputs!$C$69,"")</f>
      </c>
    </row>
    <row r="8615" spans="2:10" ht="15" customHeight="1" x14ac:dyDescent="0.2">
      <c r="B8615" s="39">
        <f t="shared" si="66"/>
      </c>
      <c r="C8615" s="40">
        <f>IF(Inputs!$C$60,Inputs!$C$11+(B8615-Inputs!$C$69)/Inputs!$C$70,"")</f>
      </c>
      <c r="D8615" s="15"/>
      <c r="E8615" s="15"/>
      <c r="F8615" s="11">
        <f t="shared" si="67"/>
      </c>
      <c r="G8615" s="22" cm="1">
        <f t="array" ref="G8615">IF(AND(Inputs!$C$60,Inputs!$C$61),INDEX(Utility_Rates!$C$29:$F$52,HOUR(C8615)+Inputs!$C$69,MATCH(INDEX(Utility_Rates!$K$6:$K$17,MONTH(C8615))&amp;IF(WEEKDAY(C8615,Inputs!$C$76)&lt;=Inputs!$C$74," weekday"," weekend"),Utility_Rates!$C$28:$F$28,Inputs!$C$68)),"")</f>
      </c>
      <c r="H8615" s="34"/>
      <c r="I8615" s="42">
        <f>IF(AND(ISNUMBER(D8615),ISNUMBER(H8615)),D8615*H8615*Inputs!$C$69,"")</f>
      </c>
      <c r="J8615" s="42">
        <f>IF(AND(ISNUMBER(F8615),ISNUMBER(H8615),F8615&gt;=Inputs!$C$68),F8615*H8615*Inputs!$C$69,"")</f>
      </c>
    </row>
    <row r="8616" spans="2:10" ht="15" customHeight="1" x14ac:dyDescent="0.2">
      <c r="B8616" s="39">
        <f t="shared" si="66"/>
      </c>
      <c r="C8616" s="40">
        <f>IF(Inputs!$C$60,Inputs!$C$11+(B8616-Inputs!$C$69)/Inputs!$C$70,"")</f>
      </c>
      <c r="D8616" s="15"/>
      <c r="E8616" s="15"/>
      <c r="F8616" s="11">
        <f t="shared" si="67"/>
      </c>
      <c r="G8616" s="22" cm="1">
        <f t="array" ref="G8616">IF(AND(Inputs!$C$60,Inputs!$C$61),INDEX(Utility_Rates!$C$29:$F$52,HOUR(C8616)+Inputs!$C$69,MATCH(INDEX(Utility_Rates!$K$6:$K$17,MONTH(C8616))&amp;IF(WEEKDAY(C8616,Inputs!$C$76)&lt;=Inputs!$C$74," weekday"," weekend"),Utility_Rates!$C$28:$F$28,Inputs!$C$68)),"")</f>
      </c>
      <c r="H8616" s="34"/>
      <c r="I8616" s="42">
        <f>IF(AND(ISNUMBER(D8616),ISNUMBER(H8616)),D8616*H8616*Inputs!$C$69,"")</f>
      </c>
      <c r="J8616" s="42">
        <f>IF(AND(ISNUMBER(F8616),ISNUMBER(H8616),F8616&gt;=Inputs!$C$68),F8616*H8616*Inputs!$C$69,"")</f>
      </c>
    </row>
    <row r="8617" spans="2:10" ht="15" customHeight="1" x14ac:dyDescent="0.2">
      <c r="B8617" s="39">
        <f t="shared" si="66"/>
      </c>
      <c r="C8617" s="40">
        <f>IF(Inputs!$C$60,Inputs!$C$11+(B8617-Inputs!$C$69)/Inputs!$C$70,"")</f>
      </c>
      <c r="D8617" s="15"/>
      <c r="E8617" s="15"/>
      <c r="F8617" s="11">
        <f t="shared" si="67"/>
      </c>
      <c r="G8617" s="22" cm="1">
        <f t="array" ref="G8617">IF(AND(Inputs!$C$60,Inputs!$C$61),INDEX(Utility_Rates!$C$29:$F$52,HOUR(C8617)+Inputs!$C$69,MATCH(INDEX(Utility_Rates!$K$6:$K$17,MONTH(C8617))&amp;IF(WEEKDAY(C8617,Inputs!$C$76)&lt;=Inputs!$C$74," weekday"," weekend"),Utility_Rates!$C$28:$F$28,Inputs!$C$68)),"")</f>
      </c>
      <c r="H8617" s="34"/>
      <c r="I8617" s="42">
        <f>IF(AND(ISNUMBER(D8617),ISNUMBER(H8617)),D8617*H8617*Inputs!$C$69,"")</f>
      </c>
      <c r="J8617" s="42">
        <f>IF(AND(ISNUMBER(F8617),ISNUMBER(H8617),F8617&gt;=Inputs!$C$68),F8617*H8617*Inputs!$C$69,"")</f>
      </c>
    </row>
    <row r="8618" spans="2:10" ht="15" customHeight="1" x14ac:dyDescent="0.2">
      <c r="B8618" s="39">
        <f t="shared" si="66"/>
      </c>
      <c r="C8618" s="40">
        <f>IF(Inputs!$C$60,Inputs!$C$11+(B8618-Inputs!$C$69)/Inputs!$C$70,"")</f>
      </c>
      <c r="D8618" s="15"/>
      <c r="E8618" s="15"/>
      <c r="F8618" s="11">
        <f t="shared" si="67"/>
      </c>
      <c r="G8618" s="22" cm="1">
        <f t="array" ref="G8618">IF(AND(Inputs!$C$60,Inputs!$C$61),INDEX(Utility_Rates!$C$29:$F$52,HOUR(C8618)+Inputs!$C$69,MATCH(INDEX(Utility_Rates!$K$6:$K$17,MONTH(C8618))&amp;IF(WEEKDAY(C8618,Inputs!$C$76)&lt;=Inputs!$C$74," weekday"," weekend"),Utility_Rates!$C$28:$F$28,Inputs!$C$68)),"")</f>
      </c>
      <c r="H8618" s="34"/>
      <c r="I8618" s="42">
        <f>IF(AND(ISNUMBER(D8618),ISNUMBER(H8618)),D8618*H8618*Inputs!$C$69,"")</f>
      </c>
      <c r="J8618" s="42">
        <f>IF(AND(ISNUMBER(F8618),ISNUMBER(H8618),F8618&gt;=Inputs!$C$68),F8618*H8618*Inputs!$C$69,"")</f>
      </c>
    </row>
    <row r="8619" spans="2:10" ht="15" customHeight="1" x14ac:dyDescent="0.2">
      <c r="B8619" s="39">
        <f t="shared" si="66"/>
      </c>
      <c r="C8619" s="40">
        <f>IF(Inputs!$C$60,Inputs!$C$11+(B8619-Inputs!$C$69)/Inputs!$C$70,"")</f>
      </c>
      <c r="D8619" s="15"/>
      <c r="E8619" s="15"/>
      <c r="F8619" s="11">
        <f t="shared" si="67"/>
      </c>
      <c r="G8619" s="22" cm="1">
        <f t="array" ref="G8619">IF(AND(Inputs!$C$60,Inputs!$C$61),INDEX(Utility_Rates!$C$29:$F$52,HOUR(C8619)+Inputs!$C$69,MATCH(INDEX(Utility_Rates!$K$6:$K$17,MONTH(C8619))&amp;IF(WEEKDAY(C8619,Inputs!$C$76)&lt;=Inputs!$C$74," weekday"," weekend"),Utility_Rates!$C$28:$F$28,Inputs!$C$68)),"")</f>
      </c>
      <c r="H8619" s="34"/>
      <c r="I8619" s="42">
        <f>IF(AND(ISNUMBER(D8619),ISNUMBER(H8619)),D8619*H8619*Inputs!$C$69,"")</f>
      </c>
      <c r="J8619" s="42">
        <f>IF(AND(ISNUMBER(F8619),ISNUMBER(H8619),F8619&gt;=Inputs!$C$68),F8619*H8619*Inputs!$C$69,"")</f>
      </c>
    </row>
    <row r="8620" spans="2:10" ht="15" customHeight="1" x14ac:dyDescent="0.2">
      <c r="B8620" s="39">
        <f t="shared" si="66"/>
      </c>
      <c r="C8620" s="40">
        <f>IF(Inputs!$C$60,Inputs!$C$11+(B8620-Inputs!$C$69)/Inputs!$C$70,"")</f>
      </c>
      <c r="D8620" s="15"/>
      <c r="E8620" s="15"/>
      <c r="F8620" s="11">
        <f t="shared" si="67"/>
      </c>
      <c r="G8620" s="22" cm="1">
        <f t="array" ref="G8620">IF(AND(Inputs!$C$60,Inputs!$C$61),INDEX(Utility_Rates!$C$29:$F$52,HOUR(C8620)+Inputs!$C$69,MATCH(INDEX(Utility_Rates!$K$6:$K$17,MONTH(C8620))&amp;IF(WEEKDAY(C8620,Inputs!$C$76)&lt;=Inputs!$C$74," weekday"," weekend"),Utility_Rates!$C$28:$F$28,Inputs!$C$68)),"")</f>
      </c>
      <c r="H8620" s="34"/>
      <c r="I8620" s="42">
        <f>IF(AND(ISNUMBER(D8620),ISNUMBER(H8620)),D8620*H8620*Inputs!$C$69,"")</f>
      </c>
      <c r="J8620" s="42">
        <f>IF(AND(ISNUMBER(F8620),ISNUMBER(H8620),F8620&gt;=Inputs!$C$68),F8620*H8620*Inputs!$C$69,"")</f>
      </c>
    </row>
    <row r="8621" spans="2:10" ht="15" customHeight="1" x14ac:dyDescent="0.2">
      <c r="B8621" s="39">
        <f t="shared" si="66"/>
      </c>
      <c r="C8621" s="40">
        <f>IF(Inputs!$C$60,Inputs!$C$11+(B8621-Inputs!$C$69)/Inputs!$C$70,"")</f>
      </c>
      <c r="D8621" s="15"/>
      <c r="E8621" s="15"/>
      <c r="F8621" s="11">
        <f t="shared" si="67"/>
      </c>
      <c r="G8621" s="22" cm="1">
        <f t="array" ref="G8621">IF(AND(Inputs!$C$60,Inputs!$C$61),INDEX(Utility_Rates!$C$29:$F$52,HOUR(C8621)+Inputs!$C$69,MATCH(INDEX(Utility_Rates!$K$6:$K$17,MONTH(C8621))&amp;IF(WEEKDAY(C8621,Inputs!$C$76)&lt;=Inputs!$C$74," weekday"," weekend"),Utility_Rates!$C$28:$F$28,Inputs!$C$68)),"")</f>
      </c>
      <c r="H8621" s="34"/>
      <c r="I8621" s="42">
        <f>IF(AND(ISNUMBER(D8621),ISNUMBER(H8621)),D8621*H8621*Inputs!$C$69,"")</f>
      </c>
      <c r="J8621" s="42">
        <f>IF(AND(ISNUMBER(F8621),ISNUMBER(H8621),F8621&gt;=Inputs!$C$68),F8621*H8621*Inputs!$C$69,"")</f>
      </c>
    </row>
    <row r="8622" spans="2:10" ht="15" customHeight="1" x14ac:dyDescent="0.2">
      <c r="B8622" s="39">
        <f t="shared" si="66"/>
      </c>
      <c r="C8622" s="40">
        <f>IF(Inputs!$C$60,Inputs!$C$11+(B8622-Inputs!$C$69)/Inputs!$C$70,"")</f>
      </c>
      <c r="D8622" s="15"/>
      <c r="E8622" s="15"/>
      <c r="F8622" s="11">
        <f t="shared" si="67"/>
      </c>
      <c r="G8622" s="22" cm="1">
        <f t="array" ref="G8622">IF(AND(Inputs!$C$60,Inputs!$C$61),INDEX(Utility_Rates!$C$29:$F$52,HOUR(C8622)+Inputs!$C$69,MATCH(INDEX(Utility_Rates!$K$6:$K$17,MONTH(C8622))&amp;IF(WEEKDAY(C8622,Inputs!$C$76)&lt;=Inputs!$C$74," weekday"," weekend"),Utility_Rates!$C$28:$F$28,Inputs!$C$68)),"")</f>
      </c>
      <c r="H8622" s="34"/>
      <c r="I8622" s="42">
        <f>IF(AND(ISNUMBER(D8622),ISNUMBER(H8622)),D8622*H8622*Inputs!$C$69,"")</f>
      </c>
      <c r="J8622" s="42">
        <f>IF(AND(ISNUMBER(F8622),ISNUMBER(H8622),F8622&gt;=Inputs!$C$68),F8622*H8622*Inputs!$C$69,"")</f>
      </c>
    </row>
    <row r="8623" spans="2:10" ht="15" customHeight="1" x14ac:dyDescent="0.2">
      <c r="B8623" s="39">
        <f t="shared" si="66"/>
      </c>
      <c r="C8623" s="40">
        <f>IF(Inputs!$C$60,Inputs!$C$11+(B8623-Inputs!$C$69)/Inputs!$C$70,"")</f>
      </c>
      <c r="D8623" s="15"/>
      <c r="E8623" s="15"/>
      <c r="F8623" s="11">
        <f t="shared" si="67"/>
      </c>
      <c r="G8623" s="22" cm="1">
        <f t="array" ref="G8623">IF(AND(Inputs!$C$60,Inputs!$C$61),INDEX(Utility_Rates!$C$29:$F$52,HOUR(C8623)+Inputs!$C$69,MATCH(INDEX(Utility_Rates!$K$6:$K$17,MONTH(C8623))&amp;IF(WEEKDAY(C8623,Inputs!$C$76)&lt;=Inputs!$C$74," weekday"," weekend"),Utility_Rates!$C$28:$F$28,Inputs!$C$68)),"")</f>
      </c>
      <c r="H8623" s="34"/>
      <c r="I8623" s="42">
        <f>IF(AND(ISNUMBER(D8623),ISNUMBER(H8623)),D8623*H8623*Inputs!$C$69,"")</f>
      </c>
      <c r="J8623" s="42">
        <f>IF(AND(ISNUMBER(F8623),ISNUMBER(H8623),F8623&gt;=Inputs!$C$68),F8623*H8623*Inputs!$C$69,"")</f>
      </c>
    </row>
    <row r="8624" spans="2:10" ht="15" customHeight="1" x14ac:dyDescent="0.2">
      <c r="B8624" s="39">
        <f t="shared" si="66"/>
      </c>
      <c r="C8624" s="40">
        <f>IF(Inputs!$C$60,Inputs!$C$11+(B8624-Inputs!$C$69)/Inputs!$C$70,"")</f>
      </c>
      <c r="D8624" s="15"/>
      <c r="E8624" s="15"/>
      <c r="F8624" s="11">
        <f t="shared" si="67"/>
      </c>
      <c r="G8624" s="22" cm="1">
        <f t="array" ref="G8624">IF(AND(Inputs!$C$60,Inputs!$C$61),INDEX(Utility_Rates!$C$29:$F$52,HOUR(C8624)+Inputs!$C$69,MATCH(INDEX(Utility_Rates!$K$6:$K$17,MONTH(C8624))&amp;IF(WEEKDAY(C8624,Inputs!$C$76)&lt;=Inputs!$C$74," weekday"," weekend"),Utility_Rates!$C$28:$F$28,Inputs!$C$68)),"")</f>
      </c>
      <c r="H8624" s="34"/>
      <c r="I8624" s="42">
        <f>IF(AND(ISNUMBER(D8624),ISNUMBER(H8624)),D8624*H8624*Inputs!$C$69,"")</f>
      </c>
      <c r="J8624" s="42">
        <f>IF(AND(ISNUMBER(F8624),ISNUMBER(H8624),F8624&gt;=Inputs!$C$68),F8624*H8624*Inputs!$C$69,"")</f>
      </c>
    </row>
    <row r="8625" spans="2:10" ht="15" customHeight="1" x14ac:dyDescent="0.2">
      <c r="B8625" s="39">
        <f t="shared" si="66"/>
      </c>
      <c r="C8625" s="40">
        <f>IF(Inputs!$C$60,Inputs!$C$11+(B8625-Inputs!$C$69)/Inputs!$C$70,"")</f>
      </c>
      <c r="D8625" s="15"/>
      <c r="E8625" s="15"/>
      <c r="F8625" s="11">
        <f t="shared" si="67"/>
      </c>
      <c r="G8625" s="22" cm="1">
        <f t="array" ref="G8625">IF(AND(Inputs!$C$60,Inputs!$C$61),INDEX(Utility_Rates!$C$29:$F$52,HOUR(C8625)+Inputs!$C$69,MATCH(INDEX(Utility_Rates!$K$6:$K$17,MONTH(C8625))&amp;IF(WEEKDAY(C8625,Inputs!$C$76)&lt;=Inputs!$C$74," weekday"," weekend"),Utility_Rates!$C$28:$F$28,Inputs!$C$68)),"")</f>
      </c>
      <c r="H8625" s="34"/>
      <c r="I8625" s="42">
        <f>IF(AND(ISNUMBER(D8625),ISNUMBER(H8625)),D8625*H8625*Inputs!$C$69,"")</f>
      </c>
      <c r="J8625" s="42">
        <f>IF(AND(ISNUMBER(F8625),ISNUMBER(H8625),F8625&gt;=Inputs!$C$68),F8625*H8625*Inputs!$C$69,"")</f>
      </c>
    </row>
    <row r="8626" spans="2:10" ht="15" customHeight="1" x14ac:dyDescent="0.2">
      <c r="B8626" s="39">
        <f t="shared" si="66"/>
      </c>
      <c r="C8626" s="40">
        <f>IF(Inputs!$C$60,Inputs!$C$11+(B8626-Inputs!$C$69)/Inputs!$C$70,"")</f>
      </c>
      <c r="D8626" s="15"/>
      <c r="E8626" s="15"/>
      <c r="F8626" s="11">
        <f t="shared" si="67"/>
      </c>
      <c r="G8626" s="22" cm="1">
        <f t="array" ref="G8626">IF(AND(Inputs!$C$60,Inputs!$C$61),INDEX(Utility_Rates!$C$29:$F$52,HOUR(C8626)+Inputs!$C$69,MATCH(INDEX(Utility_Rates!$K$6:$K$17,MONTH(C8626))&amp;IF(WEEKDAY(C8626,Inputs!$C$76)&lt;=Inputs!$C$74," weekday"," weekend"),Utility_Rates!$C$28:$F$28,Inputs!$C$68)),"")</f>
      </c>
      <c r="H8626" s="34"/>
      <c r="I8626" s="42">
        <f>IF(AND(ISNUMBER(D8626),ISNUMBER(H8626)),D8626*H8626*Inputs!$C$69,"")</f>
      </c>
      <c r="J8626" s="42">
        <f>IF(AND(ISNUMBER(F8626),ISNUMBER(H8626),F8626&gt;=Inputs!$C$68),F8626*H8626*Inputs!$C$69,"")</f>
      </c>
    </row>
    <row r="8627" spans="2:10" ht="15" customHeight="1" x14ac:dyDescent="0.2">
      <c r="B8627" s="39">
        <f t="shared" si="66"/>
      </c>
      <c r="C8627" s="40">
        <f>IF(Inputs!$C$60,Inputs!$C$11+(B8627-Inputs!$C$69)/Inputs!$C$70,"")</f>
      </c>
      <c r="D8627" s="15"/>
      <c r="E8627" s="15"/>
      <c r="F8627" s="11">
        <f t="shared" si="67"/>
      </c>
      <c r="G8627" s="22" cm="1">
        <f t="array" ref="G8627">IF(AND(Inputs!$C$60,Inputs!$C$61),INDEX(Utility_Rates!$C$29:$F$52,HOUR(C8627)+Inputs!$C$69,MATCH(INDEX(Utility_Rates!$K$6:$K$17,MONTH(C8627))&amp;IF(WEEKDAY(C8627,Inputs!$C$76)&lt;=Inputs!$C$74," weekday"," weekend"),Utility_Rates!$C$28:$F$28,Inputs!$C$68)),"")</f>
      </c>
      <c r="H8627" s="34"/>
      <c r="I8627" s="42">
        <f>IF(AND(ISNUMBER(D8627),ISNUMBER(H8627)),D8627*H8627*Inputs!$C$69,"")</f>
      </c>
      <c r="J8627" s="42">
        <f>IF(AND(ISNUMBER(F8627),ISNUMBER(H8627),F8627&gt;=Inputs!$C$68),F8627*H8627*Inputs!$C$69,"")</f>
      </c>
    </row>
    <row r="8628" spans="2:10" ht="15" customHeight="1" x14ac:dyDescent="0.2">
      <c r="B8628" s="39">
        <f t="shared" si="66"/>
      </c>
      <c r="C8628" s="40">
        <f>IF(Inputs!$C$60,Inputs!$C$11+(B8628-Inputs!$C$69)/Inputs!$C$70,"")</f>
      </c>
      <c r="D8628" s="15"/>
      <c r="E8628" s="15"/>
      <c r="F8628" s="11">
        <f t="shared" si="67"/>
      </c>
      <c r="G8628" s="22" cm="1">
        <f t="array" ref="G8628">IF(AND(Inputs!$C$60,Inputs!$C$61),INDEX(Utility_Rates!$C$29:$F$52,HOUR(C8628)+Inputs!$C$69,MATCH(INDEX(Utility_Rates!$K$6:$K$17,MONTH(C8628))&amp;IF(WEEKDAY(C8628,Inputs!$C$76)&lt;=Inputs!$C$74," weekday"," weekend"),Utility_Rates!$C$28:$F$28,Inputs!$C$68)),"")</f>
      </c>
      <c r="H8628" s="34"/>
      <c r="I8628" s="42">
        <f>IF(AND(ISNUMBER(D8628),ISNUMBER(H8628)),D8628*H8628*Inputs!$C$69,"")</f>
      </c>
      <c r="J8628" s="42">
        <f>IF(AND(ISNUMBER(F8628),ISNUMBER(H8628),F8628&gt;=Inputs!$C$68),F8628*H8628*Inputs!$C$69,"")</f>
      </c>
    </row>
    <row r="8629" spans="2:10" ht="15" customHeight="1" x14ac:dyDescent="0.2">
      <c r="B8629" s="39">
        <f t="shared" si="66"/>
      </c>
      <c r="C8629" s="40">
        <f>IF(Inputs!$C$60,Inputs!$C$11+(B8629-Inputs!$C$69)/Inputs!$C$70,"")</f>
      </c>
      <c r="D8629" s="15"/>
      <c r="E8629" s="15"/>
      <c r="F8629" s="11">
        <f t="shared" si="67"/>
      </c>
      <c r="G8629" s="22" cm="1">
        <f t="array" ref="G8629">IF(AND(Inputs!$C$60,Inputs!$C$61),INDEX(Utility_Rates!$C$29:$F$52,HOUR(C8629)+Inputs!$C$69,MATCH(INDEX(Utility_Rates!$K$6:$K$17,MONTH(C8629))&amp;IF(WEEKDAY(C8629,Inputs!$C$76)&lt;=Inputs!$C$74," weekday"," weekend"),Utility_Rates!$C$28:$F$28,Inputs!$C$68)),"")</f>
      </c>
      <c r="H8629" s="34"/>
      <c r="I8629" s="42">
        <f>IF(AND(ISNUMBER(D8629),ISNUMBER(H8629)),D8629*H8629*Inputs!$C$69,"")</f>
      </c>
      <c r="J8629" s="42">
        <f>IF(AND(ISNUMBER(F8629),ISNUMBER(H8629),F8629&gt;=Inputs!$C$68),F8629*H8629*Inputs!$C$69,"")</f>
      </c>
    </row>
    <row r="8630" spans="2:10" ht="15" customHeight="1" x14ac:dyDescent="0.2">
      <c r="B8630" s="39">
        <f t="shared" si="66"/>
      </c>
      <c r="C8630" s="40">
        <f>IF(Inputs!$C$60,Inputs!$C$11+(B8630-Inputs!$C$69)/Inputs!$C$70,"")</f>
      </c>
      <c r="D8630" s="15"/>
      <c r="E8630" s="15"/>
      <c r="F8630" s="11">
        <f t="shared" si="67"/>
      </c>
      <c r="G8630" s="22" cm="1">
        <f t="array" ref="G8630">IF(AND(Inputs!$C$60,Inputs!$C$61),INDEX(Utility_Rates!$C$29:$F$52,HOUR(C8630)+Inputs!$C$69,MATCH(INDEX(Utility_Rates!$K$6:$K$17,MONTH(C8630))&amp;IF(WEEKDAY(C8630,Inputs!$C$76)&lt;=Inputs!$C$74," weekday"," weekend"),Utility_Rates!$C$28:$F$28,Inputs!$C$68)),"")</f>
      </c>
      <c r="H8630" s="34"/>
      <c r="I8630" s="42">
        <f>IF(AND(ISNUMBER(D8630),ISNUMBER(H8630)),D8630*H8630*Inputs!$C$69,"")</f>
      </c>
      <c r="J8630" s="42">
        <f>IF(AND(ISNUMBER(F8630),ISNUMBER(H8630),F8630&gt;=Inputs!$C$68),F8630*H8630*Inputs!$C$69,"")</f>
      </c>
    </row>
    <row r="8631" spans="2:10" ht="15" customHeight="1" x14ac:dyDescent="0.2">
      <c r="B8631" s="39">
        <f t="shared" si="66"/>
      </c>
      <c r="C8631" s="40">
        <f>IF(Inputs!$C$60,Inputs!$C$11+(B8631-Inputs!$C$69)/Inputs!$C$70,"")</f>
      </c>
      <c r="D8631" s="15"/>
      <c r="E8631" s="15"/>
      <c r="F8631" s="11">
        <f t="shared" si="67"/>
      </c>
      <c r="G8631" s="22" cm="1">
        <f t="array" ref="G8631">IF(AND(Inputs!$C$60,Inputs!$C$61),INDEX(Utility_Rates!$C$29:$F$52,HOUR(C8631)+Inputs!$C$69,MATCH(INDEX(Utility_Rates!$K$6:$K$17,MONTH(C8631))&amp;IF(WEEKDAY(C8631,Inputs!$C$76)&lt;=Inputs!$C$74," weekday"," weekend"),Utility_Rates!$C$28:$F$28,Inputs!$C$68)),"")</f>
      </c>
      <c r="H8631" s="34"/>
      <c r="I8631" s="42">
        <f>IF(AND(ISNUMBER(D8631),ISNUMBER(H8631)),D8631*H8631*Inputs!$C$69,"")</f>
      </c>
      <c r="J8631" s="42">
        <f>IF(AND(ISNUMBER(F8631),ISNUMBER(H8631),F8631&gt;=Inputs!$C$68),F8631*H8631*Inputs!$C$69,"")</f>
      </c>
    </row>
    <row r="8632" spans="2:10" ht="15" customHeight="1" x14ac:dyDescent="0.2">
      <c r="B8632" s="39">
        <f t="shared" si="66"/>
      </c>
      <c r="C8632" s="40">
        <f>IF(Inputs!$C$60,Inputs!$C$11+(B8632-Inputs!$C$69)/Inputs!$C$70,"")</f>
      </c>
      <c r="D8632" s="15"/>
      <c r="E8632" s="15"/>
      <c r="F8632" s="11">
        <f t="shared" si="67"/>
      </c>
      <c r="G8632" s="22" cm="1">
        <f t="array" ref="G8632">IF(AND(Inputs!$C$60,Inputs!$C$61),INDEX(Utility_Rates!$C$29:$F$52,HOUR(C8632)+Inputs!$C$69,MATCH(INDEX(Utility_Rates!$K$6:$K$17,MONTH(C8632))&amp;IF(WEEKDAY(C8632,Inputs!$C$76)&lt;=Inputs!$C$74," weekday"," weekend"),Utility_Rates!$C$28:$F$28,Inputs!$C$68)),"")</f>
      </c>
      <c r="H8632" s="34"/>
      <c r="I8632" s="42">
        <f>IF(AND(ISNUMBER(D8632),ISNUMBER(H8632)),D8632*H8632*Inputs!$C$69,"")</f>
      </c>
      <c r="J8632" s="42">
        <f>IF(AND(ISNUMBER(F8632),ISNUMBER(H8632),F8632&gt;=Inputs!$C$68),F8632*H8632*Inputs!$C$69,"")</f>
      </c>
    </row>
    <row r="8633" spans="2:10" ht="15" customHeight="1" x14ac:dyDescent="0.2">
      <c r="B8633" s="39">
        <f t="shared" si="66"/>
      </c>
      <c r="C8633" s="40">
        <f>IF(Inputs!$C$60,Inputs!$C$11+(B8633-Inputs!$C$69)/Inputs!$C$70,"")</f>
      </c>
      <c r="D8633" s="15"/>
      <c r="E8633" s="15"/>
      <c r="F8633" s="11">
        <f t="shared" si="67"/>
      </c>
      <c r="G8633" s="22" cm="1">
        <f t="array" ref="G8633">IF(AND(Inputs!$C$60,Inputs!$C$61),INDEX(Utility_Rates!$C$29:$F$52,HOUR(C8633)+Inputs!$C$69,MATCH(INDEX(Utility_Rates!$K$6:$K$17,MONTH(C8633))&amp;IF(WEEKDAY(C8633,Inputs!$C$76)&lt;=Inputs!$C$74," weekday"," weekend"),Utility_Rates!$C$28:$F$28,Inputs!$C$68)),"")</f>
      </c>
      <c r="H8633" s="34"/>
      <c r="I8633" s="42">
        <f>IF(AND(ISNUMBER(D8633),ISNUMBER(H8633)),D8633*H8633*Inputs!$C$69,"")</f>
      </c>
      <c r="J8633" s="42">
        <f>IF(AND(ISNUMBER(F8633),ISNUMBER(H8633),F8633&gt;=Inputs!$C$68),F8633*H8633*Inputs!$C$69,"")</f>
      </c>
    </row>
    <row r="8634" spans="2:10" ht="15" customHeight="1" x14ac:dyDescent="0.2">
      <c r="B8634" s="39">
        <f t="shared" si="66"/>
      </c>
      <c r="C8634" s="40">
        <f>IF(Inputs!$C$60,Inputs!$C$11+(B8634-Inputs!$C$69)/Inputs!$C$70,"")</f>
      </c>
      <c r="D8634" s="15"/>
      <c r="E8634" s="15"/>
      <c r="F8634" s="11">
        <f t="shared" si="67"/>
      </c>
      <c r="G8634" s="22" cm="1">
        <f t="array" ref="G8634">IF(AND(Inputs!$C$60,Inputs!$C$61),INDEX(Utility_Rates!$C$29:$F$52,HOUR(C8634)+Inputs!$C$69,MATCH(INDEX(Utility_Rates!$K$6:$K$17,MONTH(C8634))&amp;IF(WEEKDAY(C8634,Inputs!$C$76)&lt;=Inputs!$C$74," weekday"," weekend"),Utility_Rates!$C$28:$F$28,Inputs!$C$68)),"")</f>
      </c>
      <c r="H8634" s="34"/>
      <c r="I8634" s="42">
        <f>IF(AND(ISNUMBER(D8634),ISNUMBER(H8634)),D8634*H8634*Inputs!$C$69,"")</f>
      </c>
      <c r="J8634" s="42">
        <f>IF(AND(ISNUMBER(F8634),ISNUMBER(H8634),F8634&gt;=Inputs!$C$68),F8634*H8634*Inputs!$C$69,"")</f>
      </c>
    </row>
    <row r="8635" spans="2:10" ht="15" customHeight="1" x14ac:dyDescent="0.2">
      <c r="B8635" s="39">
        <f t="shared" si="66"/>
      </c>
      <c r="C8635" s="40">
        <f>IF(Inputs!$C$60,Inputs!$C$11+(B8635-Inputs!$C$69)/Inputs!$C$70,"")</f>
      </c>
      <c r="D8635" s="15"/>
      <c r="E8635" s="15"/>
      <c r="F8635" s="11">
        <f t="shared" si="67"/>
      </c>
      <c r="G8635" s="22" cm="1">
        <f t="array" ref="G8635">IF(AND(Inputs!$C$60,Inputs!$C$61),INDEX(Utility_Rates!$C$29:$F$52,HOUR(C8635)+Inputs!$C$69,MATCH(INDEX(Utility_Rates!$K$6:$K$17,MONTH(C8635))&amp;IF(WEEKDAY(C8635,Inputs!$C$76)&lt;=Inputs!$C$74," weekday"," weekend"),Utility_Rates!$C$28:$F$28,Inputs!$C$68)),"")</f>
      </c>
      <c r="H8635" s="34"/>
      <c r="I8635" s="42">
        <f>IF(AND(ISNUMBER(D8635),ISNUMBER(H8635)),D8635*H8635*Inputs!$C$69,"")</f>
      </c>
      <c r="J8635" s="42">
        <f>IF(AND(ISNUMBER(F8635),ISNUMBER(H8635),F8635&gt;=Inputs!$C$68),F8635*H8635*Inputs!$C$69,"")</f>
      </c>
    </row>
    <row r="8636" spans="2:10" ht="15" customHeight="1" x14ac:dyDescent="0.2">
      <c r="B8636" s="39">
        <f t="shared" si="66"/>
      </c>
      <c r="C8636" s="40">
        <f>IF(Inputs!$C$60,Inputs!$C$11+(B8636-Inputs!$C$69)/Inputs!$C$70,"")</f>
      </c>
      <c r="D8636" s="15"/>
      <c r="E8636" s="15"/>
      <c r="F8636" s="11">
        <f t="shared" si="67"/>
      </c>
      <c r="G8636" s="22" cm="1">
        <f t="array" ref="G8636">IF(AND(Inputs!$C$60,Inputs!$C$61),INDEX(Utility_Rates!$C$29:$F$52,HOUR(C8636)+Inputs!$C$69,MATCH(INDEX(Utility_Rates!$K$6:$K$17,MONTH(C8636))&amp;IF(WEEKDAY(C8636,Inputs!$C$76)&lt;=Inputs!$C$74," weekday"," weekend"),Utility_Rates!$C$28:$F$28,Inputs!$C$68)),"")</f>
      </c>
      <c r="H8636" s="34"/>
      <c r="I8636" s="42">
        <f>IF(AND(ISNUMBER(D8636),ISNUMBER(H8636)),D8636*H8636*Inputs!$C$69,"")</f>
      </c>
      <c r="J8636" s="42">
        <f>IF(AND(ISNUMBER(F8636),ISNUMBER(H8636),F8636&gt;=Inputs!$C$68),F8636*H8636*Inputs!$C$69,"")</f>
      </c>
    </row>
    <row r="8637" spans="2:10" ht="15" customHeight="1" x14ac:dyDescent="0.2">
      <c r="B8637" s="39">
        <f t="shared" si="66"/>
      </c>
      <c r="C8637" s="40">
        <f>IF(Inputs!$C$60,Inputs!$C$11+(B8637-Inputs!$C$69)/Inputs!$C$70,"")</f>
      </c>
      <c r="D8637" s="15"/>
      <c r="E8637" s="15"/>
      <c r="F8637" s="11">
        <f t="shared" si="67"/>
      </c>
      <c r="G8637" s="22" cm="1">
        <f t="array" ref="G8637">IF(AND(Inputs!$C$60,Inputs!$C$61),INDEX(Utility_Rates!$C$29:$F$52,HOUR(C8637)+Inputs!$C$69,MATCH(INDEX(Utility_Rates!$K$6:$K$17,MONTH(C8637))&amp;IF(WEEKDAY(C8637,Inputs!$C$76)&lt;=Inputs!$C$74," weekday"," weekend"),Utility_Rates!$C$28:$F$28,Inputs!$C$68)),"")</f>
      </c>
      <c r="H8637" s="34"/>
      <c r="I8637" s="42">
        <f>IF(AND(ISNUMBER(D8637),ISNUMBER(H8637)),D8637*H8637*Inputs!$C$69,"")</f>
      </c>
      <c r="J8637" s="42">
        <f>IF(AND(ISNUMBER(F8637),ISNUMBER(H8637),F8637&gt;=Inputs!$C$68),F8637*H8637*Inputs!$C$69,"")</f>
      </c>
    </row>
    <row r="8638" spans="2:10" ht="15" customHeight="1" x14ac:dyDescent="0.2">
      <c r="B8638" s="39">
        <f t="shared" si="66"/>
      </c>
      <c r="C8638" s="40">
        <f>IF(Inputs!$C$60,Inputs!$C$11+(B8638-Inputs!$C$69)/Inputs!$C$70,"")</f>
      </c>
      <c r="D8638" s="15"/>
      <c r="E8638" s="15"/>
      <c r="F8638" s="11">
        <f t="shared" si="67"/>
      </c>
      <c r="G8638" s="22" cm="1">
        <f t="array" ref="G8638">IF(AND(Inputs!$C$60,Inputs!$C$61),INDEX(Utility_Rates!$C$29:$F$52,HOUR(C8638)+Inputs!$C$69,MATCH(INDEX(Utility_Rates!$K$6:$K$17,MONTH(C8638))&amp;IF(WEEKDAY(C8638,Inputs!$C$76)&lt;=Inputs!$C$74," weekday"," weekend"),Utility_Rates!$C$28:$F$28,Inputs!$C$68)),"")</f>
      </c>
      <c r="H8638" s="34"/>
      <c r="I8638" s="42">
        <f>IF(AND(ISNUMBER(D8638),ISNUMBER(H8638)),D8638*H8638*Inputs!$C$69,"")</f>
      </c>
      <c r="J8638" s="42">
        <f>IF(AND(ISNUMBER(F8638),ISNUMBER(H8638),F8638&gt;=Inputs!$C$68),F8638*H8638*Inputs!$C$69,"")</f>
      </c>
    </row>
    <row r="8639" spans="2:10" ht="15" customHeight="1" x14ac:dyDescent="0.2">
      <c r="B8639" s="39">
        <f t="shared" si="66"/>
      </c>
      <c r="C8639" s="40">
        <f>IF(Inputs!$C$60,Inputs!$C$11+(B8639-Inputs!$C$69)/Inputs!$C$70,"")</f>
      </c>
      <c r="D8639" s="15"/>
      <c r="E8639" s="15"/>
      <c r="F8639" s="11">
        <f t="shared" si="67"/>
      </c>
      <c r="G8639" s="22" cm="1">
        <f t="array" ref="G8639">IF(AND(Inputs!$C$60,Inputs!$C$61),INDEX(Utility_Rates!$C$29:$F$52,HOUR(C8639)+Inputs!$C$69,MATCH(INDEX(Utility_Rates!$K$6:$K$17,MONTH(C8639))&amp;IF(WEEKDAY(C8639,Inputs!$C$76)&lt;=Inputs!$C$74," weekday"," weekend"),Utility_Rates!$C$28:$F$28,Inputs!$C$68)),"")</f>
      </c>
      <c r="H8639" s="34"/>
      <c r="I8639" s="42">
        <f>IF(AND(ISNUMBER(D8639),ISNUMBER(H8639)),D8639*H8639*Inputs!$C$69,"")</f>
      </c>
      <c r="J8639" s="42">
        <f>IF(AND(ISNUMBER(F8639),ISNUMBER(H8639),F8639&gt;=Inputs!$C$68),F8639*H8639*Inputs!$C$69,"")</f>
      </c>
    </row>
    <row r="8640" spans="2:10" ht="15" customHeight="1" x14ac:dyDescent="0.2">
      <c r="B8640" s="39">
        <f t="shared" si="66"/>
      </c>
      <c r="C8640" s="40">
        <f>IF(Inputs!$C$60,Inputs!$C$11+(B8640-Inputs!$C$69)/Inputs!$C$70,"")</f>
      </c>
      <c r="D8640" s="15"/>
      <c r="E8640" s="15"/>
      <c r="F8640" s="11">
        <f t="shared" si="67"/>
      </c>
      <c r="G8640" s="22" cm="1">
        <f t="array" ref="G8640">IF(AND(Inputs!$C$60,Inputs!$C$61),INDEX(Utility_Rates!$C$29:$F$52,HOUR(C8640)+Inputs!$C$69,MATCH(INDEX(Utility_Rates!$K$6:$K$17,MONTH(C8640))&amp;IF(WEEKDAY(C8640,Inputs!$C$76)&lt;=Inputs!$C$74," weekday"," weekend"),Utility_Rates!$C$28:$F$28,Inputs!$C$68)),"")</f>
      </c>
      <c r="H8640" s="34"/>
      <c r="I8640" s="42">
        <f>IF(AND(ISNUMBER(D8640),ISNUMBER(H8640)),D8640*H8640*Inputs!$C$69,"")</f>
      </c>
      <c r="J8640" s="42">
        <f>IF(AND(ISNUMBER(F8640),ISNUMBER(H8640),F8640&gt;=Inputs!$C$68),F8640*H8640*Inputs!$C$69,"")</f>
      </c>
    </row>
    <row r="8641" spans="2:10" ht="15" customHeight="1" x14ac:dyDescent="0.2">
      <c r="B8641" s="39">
        <f t="shared" si="66"/>
      </c>
      <c r="C8641" s="40">
        <f>IF(Inputs!$C$60,Inputs!$C$11+(B8641-Inputs!$C$69)/Inputs!$C$70,"")</f>
      </c>
      <c r="D8641" s="15"/>
      <c r="E8641" s="15"/>
      <c r="F8641" s="11">
        <f t="shared" si="67"/>
      </c>
      <c r="G8641" s="22" cm="1">
        <f t="array" ref="G8641">IF(AND(Inputs!$C$60,Inputs!$C$61),INDEX(Utility_Rates!$C$29:$F$52,HOUR(C8641)+Inputs!$C$69,MATCH(INDEX(Utility_Rates!$K$6:$K$17,MONTH(C8641))&amp;IF(WEEKDAY(C8641,Inputs!$C$76)&lt;=Inputs!$C$74," weekday"," weekend"),Utility_Rates!$C$28:$F$28,Inputs!$C$68)),"")</f>
      </c>
      <c r="H8641" s="34"/>
      <c r="I8641" s="42">
        <f>IF(AND(ISNUMBER(D8641),ISNUMBER(H8641)),D8641*H8641*Inputs!$C$69,"")</f>
      </c>
      <c r="J8641" s="42">
        <f>IF(AND(ISNUMBER(F8641),ISNUMBER(H8641),F8641&gt;=Inputs!$C$68),F8641*H8641*Inputs!$C$69,"")</f>
      </c>
    </row>
    <row r="8642" spans="2:10" ht="15" customHeight="1" x14ac:dyDescent="0.2">
      <c r="B8642" s="39">
        <f t="shared" si="66"/>
      </c>
      <c r="C8642" s="40">
        <f>IF(Inputs!$C$60,Inputs!$C$11+(B8642-Inputs!$C$69)/Inputs!$C$70,"")</f>
      </c>
      <c r="D8642" s="15"/>
      <c r="E8642" s="15"/>
      <c r="F8642" s="11">
        <f t="shared" si="67"/>
      </c>
      <c r="G8642" s="22" cm="1">
        <f t="array" ref="G8642">IF(AND(Inputs!$C$60,Inputs!$C$61),INDEX(Utility_Rates!$C$29:$F$52,HOUR(C8642)+Inputs!$C$69,MATCH(INDEX(Utility_Rates!$K$6:$K$17,MONTH(C8642))&amp;IF(WEEKDAY(C8642,Inputs!$C$76)&lt;=Inputs!$C$74," weekday"," weekend"),Utility_Rates!$C$28:$F$28,Inputs!$C$68)),"")</f>
      </c>
      <c r="H8642" s="34"/>
      <c r="I8642" s="42">
        <f>IF(AND(ISNUMBER(D8642),ISNUMBER(H8642)),D8642*H8642*Inputs!$C$69,"")</f>
      </c>
      <c r="J8642" s="42">
        <f>IF(AND(ISNUMBER(F8642),ISNUMBER(H8642),F8642&gt;=Inputs!$C$68),F8642*H8642*Inputs!$C$69,"")</f>
      </c>
    </row>
    <row r="8643" spans="2:10" ht="15" customHeight="1" x14ac:dyDescent="0.2">
      <c r="B8643" s="39">
        <f t="shared" si="66"/>
      </c>
      <c r="C8643" s="40">
        <f>IF(Inputs!$C$60,Inputs!$C$11+(B8643-Inputs!$C$69)/Inputs!$C$70,"")</f>
      </c>
      <c r="D8643" s="15"/>
      <c r="E8643" s="15"/>
      <c r="F8643" s="11">
        <f t="shared" si="67"/>
      </c>
      <c r="G8643" s="22" cm="1">
        <f t="array" ref="G8643">IF(AND(Inputs!$C$60,Inputs!$C$61),INDEX(Utility_Rates!$C$29:$F$52,HOUR(C8643)+Inputs!$C$69,MATCH(INDEX(Utility_Rates!$K$6:$K$17,MONTH(C8643))&amp;IF(WEEKDAY(C8643,Inputs!$C$76)&lt;=Inputs!$C$74," weekday"," weekend"),Utility_Rates!$C$28:$F$28,Inputs!$C$68)),"")</f>
      </c>
      <c r="H8643" s="34"/>
      <c r="I8643" s="42">
        <f>IF(AND(ISNUMBER(D8643),ISNUMBER(H8643)),D8643*H8643*Inputs!$C$69,"")</f>
      </c>
      <c r="J8643" s="42">
        <f>IF(AND(ISNUMBER(F8643),ISNUMBER(H8643),F8643&gt;=Inputs!$C$68),F8643*H8643*Inputs!$C$69,"")</f>
      </c>
    </row>
    <row r="8644" spans="2:10" ht="15" customHeight="1" x14ac:dyDescent="0.2">
      <c r="B8644" s="39">
        <f t="shared" si="66"/>
      </c>
      <c r="C8644" s="40">
        <f>IF(Inputs!$C$60,Inputs!$C$11+(B8644-Inputs!$C$69)/Inputs!$C$70,"")</f>
      </c>
      <c r="D8644" s="15"/>
      <c r="E8644" s="15"/>
      <c r="F8644" s="11">
        <f t="shared" si="67"/>
      </c>
      <c r="G8644" s="22" cm="1">
        <f t="array" ref="G8644">IF(AND(Inputs!$C$60,Inputs!$C$61),INDEX(Utility_Rates!$C$29:$F$52,HOUR(C8644)+Inputs!$C$69,MATCH(INDEX(Utility_Rates!$K$6:$K$17,MONTH(C8644))&amp;IF(WEEKDAY(C8644,Inputs!$C$76)&lt;=Inputs!$C$74," weekday"," weekend"),Utility_Rates!$C$28:$F$28,Inputs!$C$68)),"")</f>
      </c>
      <c r="H8644" s="34"/>
      <c r="I8644" s="42">
        <f>IF(AND(ISNUMBER(D8644),ISNUMBER(H8644)),D8644*H8644*Inputs!$C$69,"")</f>
      </c>
      <c r="J8644" s="42">
        <f>IF(AND(ISNUMBER(F8644),ISNUMBER(H8644),F8644&gt;=Inputs!$C$68),F8644*H8644*Inputs!$C$69,"")</f>
      </c>
    </row>
    <row r="8645" spans="2:10" ht="15" customHeight="1" x14ac:dyDescent="0.2">
      <c r="B8645" s="39">
        <f t="shared" si="66"/>
      </c>
      <c r="C8645" s="40">
        <f>IF(Inputs!$C$60,Inputs!$C$11+(B8645-Inputs!$C$69)/Inputs!$C$70,"")</f>
      </c>
      <c r="D8645" s="15"/>
      <c r="E8645" s="15"/>
      <c r="F8645" s="11">
        <f t="shared" si="67"/>
      </c>
      <c r="G8645" s="22" cm="1">
        <f t="array" ref="G8645">IF(AND(Inputs!$C$60,Inputs!$C$61),INDEX(Utility_Rates!$C$29:$F$52,HOUR(C8645)+Inputs!$C$69,MATCH(INDEX(Utility_Rates!$K$6:$K$17,MONTH(C8645))&amp;IF(WEEKDAY(C8645,Inputs!$C$76)&lt;=Inputs!$C$74," weekday"," weekend"),Utility_Rates!$C$28:$F$28,Inputs!$C$68)),"")</f>
      </c>
      <c r="H8645" s="34"/>
      <c r="I8645" s="42">
        <f>IF(AND(ISNUMBER(D8645),ISNUMBER(H8645)),D8645*H8645*Inputs!$C$69,"")</f>
      </c>
      <c r="J8645" s="42">
        <f>IF(AND(ISNUMBER(F8645),ISNUMBER(H8645),F8645&gt;=Inputs!$C$68),F8645*H8645*Inputs!$C$69,"")</f>
      </c>
    </row>
    <row r="8646" spans="2:10" ht="15" customHeight="1" x14ac:dyDescent="0.2">
      <c r="B8646" s="39">
        <f t="shared" si="66"/>
      </c>
      <c r="C8646" s="40">
        <f>IF(Inputs!$C$60,Inputs!$C$11+(B8646-Inputs!$C$69)/Inputs!$C$70,"")</f>
      </c>
      <c r="D8646" s="15"/>
      <c r="E8646" s="15"/>
      <c r="F8646" s="11">
        <f t="shared" si="67"/>
      </c>
      <c r="G8646" s="22" cm="1">
        <f t="array" ref="G8646">IF(AND(Inputs!$C$60,Inputs!$C$61),INDEX(Utility_Rates!$C$29:$F$52,HOUR(C8646)+Inputs!$C$69,MATCH(INDEX(Utility_Rates!$K$6:$K$17,MONTH(C8646))&amp;IF(WEEKDAY(C8646,Inputs!$C$76)&lt;=Inputs!$C$74," weekday"," weekend"),Utility_Rates!$C$28:$F$28,Inputs!$C$68)),"")</f>
      </c>
      <c r="H8646" s="34"/>
      <c r="I8646" s="42">
        <f>IF(AND(ISNUMBER(D8646),ISNUMBER(H8646)),D8646*H8646*Inputs!$C$69,"")</f>
      </c>
      <c r="J8646" s="42">
        <f>IF(AND(ISNUMBER(F8646),ISNUMBER(H8646),F8646&gt;=Inputs!$C$68),F8646*H8646*Inputs!$C$69,"")</f>
      </c>
    </row>
    <row r="8647" spans="2:10" ht="15" customHeight="1" x14ac:dyDescent="0.2">
      <c r="B8647" s="39">
        <f t="shared" si="66"/>
      </c>
      <c r="C8647" s="40">
        <f>IF(Inputs!$C$60,Inputs!$C$11+(B8647-Inputs!$C$69)/Inputs!$C$70,"")</f>
      </c>
      <c r="D8647" s="15"/>
      <c r="E8647" s="15"/>
      <c r="F8647" s="11">
        <f t="shared" si="67"/>
      </c>
      <c r="G8647" s="22" cm="1">
        <f t="array" ref="G8647">IF(AND(Inputs!$C$60,Inputs!$C$61),INDEX(Utility_Rates!$C$29:$F$52,HOUR(C8647)+Inputs!$C$69,MATCH(INDEX(Utility_Rates!$K$6:$K$17,MONTH(C8647))&amp;IF(WEEKDAY(C8647,Inputs!$C$76)&lt;=Inputs!$C$74," weekday"," weekend"),Utility_Rates!$C$28:$F$28,Inputs!$C$68)),"")</f>
      </c>
      <c r="H8647" s="34"/>
      <c r="I8647" s="42">
        <f>IF(AND(ISNUMBER(D8647),ISNUMBER(H8647)),D8647*H8647*Inputs!$C$69,"")</f>
      </c>
      <c r="J8647" s="42">
        <f>IF(AND(ISNUMBER(F8647),ISNUMBER(H8647),F8647&gt;=Inputs!$C$68),F8647*H8647*Inputs!$C$69,"")</f>
      </c>
    </row>
    <row r="8648" spans="2:10" ht="15" customHeight="1" x14ac:dyDescent="0.2">
      <c r="B8648" s="39">
        <f t="shared" si="66"/>
      </c>
      <c r="C8648" s="40">
        <f>IF(Inputs!$C$60,Inputs!$C$11+(B8648-Inputs!$C$69)/Inputs!$C$70,"")</f>
      </c>
      <c r="D8648" s="15"/>
      <c r="E8648" s="15"/>
      <c r="F8648" s="11">
        <f t="shared" si="67"/>
      </c>
      <c r="G8648" s="22" cm="1">
        <f t="array" ref="G8648">IF(AND(Inputs!$C$60,Inputs!$C$61),INDEX(Utility_Rates!$C$29:$F$52,HOUR(C8648)+Inputs!$C$69,MATCH(INDEX(Utility_Rates!$K$6:$K$17,MONTH(C8648))&amp;IF(WEEKDAY(C8648,Inputs!$C$76)&lt;=Inputs!$C$74," weekday"," weekend"),Utility_Rates!$C$28:$F$28,Inputs!$C$68)),"")</f>
      </c>
      <c r="H8648" s="34"/>
      <c r="I8648" s="42">
        <f>IF(AND(ISNUMBER(D8648),ISNUMBER(H8648)),D8648*H8648*Inputs!$C$69,"")</f>
      </c>
      <c r="J8648" s="42">
        <f>IF(AND(ISNUMBER(F8648),ISNUMBER(H8648),F8648&gt;=Inputs!$C$68),F8648*H8648*Inputs!$C$69,"")</f>
      </c>
    </row>
    <row r="8649" spans="2:10" ht="15" customHeight="1" x14ac:dyDescent="0.2">
      <c r="B8649" s="39">
        <f t="shared" si="66"/>
      </c>
      <c r="C8649" s="40">
        <f>IF(Inputs!$C$60,Inputs!$C$11+(B8649-Inputs!$C$69)/Inputs!$C$70,"")</f>
      </c>
      <c r="D8649" s="15"/>
      <c r="E8649" s="15"/>
      <c r="F8649" s="11">
        <f t="shared" si="67"/>
      </c>
      <c r="G8649" s="22" cm="1">
        <f t="array" ref="G8649">IF(AND(Inputs!$C$60,Inputs!$C$61),INDEX(Utility_Rates!$C$29:$F$52,HOUR(C8649)+Inputs!$C$69,MATCH(INDEX(Utility_Rates!$K$6:$K$17,MONTH(C8649))&amp;IF(WEEKDAY(C8649,Inputs!$C$76)&lt;=Inputs!$C$74," weekday"," weekend"),Utility_Rates!$C$28:$F$28,Inputs!$C$68)),"")</f>
      </c>
      <c r="H8649" s="34"/>
      <c r="I8649" s="42">
        <f>IF(AND(ISNUMBER(D8649),ISNUMBER(H8649)),D8649*H8649*Inputs!$C$69,"")</f>
      </c>
      <c r="J8649" s="42">
        <f>IF(AND(ISNUMBER(F8649),ISNUMBER(H8649),F8649&gt;=Inputs!$C$68),F8649*H8649*Inputs!$C$69,"")</f>
      </c>
    </row>
    <row r="8650" spans="2:10" ht="15" customHeight="1" x14ac:dyDescent="0.2">
      <c r="B8650" s="39">
        <f t="shared" si="66"/>
      </c>
      <c r="C8650" s="40">
        <f>IF(Inputs!$C$60,Inputs!$C$11+(B8650-Inputs!$C$69)/Inputs!$C$70,"")</f>
      </c>
      <c r="D8650" s="15"/>
      <c r="E8650" s="15"/>
      <c r="F8650" s="11">
        <f t="shared" si="67"/>
      </c>
      <c r="G8650" s="22" cm="1">
        <f t="array" ref="G8650">IF(AND(Inputs!$C$60,Inputs!$C$61),INDEX(Utility_Rates!$C$29:$F$52,HOUR(C8650)+Inputs!$C$69,MATCH(INDEX(Utility_Rates!$K$6:$K$17,MONTH(C8650))&amp;IF(WEEKDAY(C8650,Inputs!$C$76)&lt;=Inputs!$C$74," weekday"," weekend"),Utility_Rates!$C$28:$F$28,Inputs!$C$68)),"")</f>
      </c>
      <c r="H8650" s="34"/>
      <c r="I8650" s="42">
        <f>IF(AND(ISNUMBER(D8650),ISNUMBER(H8650)),D8650*H8650*Inputs!$C$69,"")</f>
      </c>
      <c r="J8650" s="42">
        <f>IF(AND(ISNUMBER(F8650),ISNUMBER(H8650),F8650&gt;=Inputs!$C$68),F8650*H8650*Inputs!$C$69,"")</f>
      </c>
    </row>
    <row r="8651" spans="2:10" ht="15" customHeight="1" x14ac:dyDescent="0.2">
      <c r="B8651" s="39">
        <f t="shared" si="66"/>
      </c>
      <c r="C8651" s="40">
        <f>IF(Inputs!$C$60,Inputs!$C$11+(B8651-Inputs!$C$69)/Inputs!$C$70,"")</f>
      </c>
      <c r="D8651" s="15"/>
      <c r="E8651" s="15"/>
      <c r="F8651" s="11">
        <f t="shared" si="67"/>
      </c>
      <c r="G8651" s="22" cm="1">
        <f t="array" ref="G8651">IF(AND(Inputs!$C$60,Inputs!$C$61),INDEX(Utility_Rates!$C$29:$F$52,HOUR(C8651)+Inputs!$C$69,MATCH(INDEX(Utility_Rates!$K$6:$K$17,MONTH(C8651))&amp;IF(WEEKDAY(C8651,Inputs!$C$76)&lt;=Inputs!$C$74," weekday"," weekend"),Utility_Rates!$C$28:$F$28,Inputs!$C$68)),"")</f>
      </c>
      <c r="H8651" s="34"/>
      <c r="I8651" s="42">
        <f>IF(AND(ISNUMBER(D8651),ISNUMBER(H8651)),D8651*H8651*Inputs!$C$69,"")</f>
      </c>
      <c r="J8651" s="42">
        <f>IF(AND(ISNUMBER(F8651),ISNUMBER(H8651),F8651&gt;=Inputs!$C$68),F8651*H8651*Inputs!$C$69,"")</f>
      </c>
    </row>
    <row r="8652" spans="2:10" ht="15" customHeight="1" x14ac:dyDescent="0.2">
      <c r="B8652" s="39">
        <f t="shared" si="66"/>
      </c>
      <c r="C8652" s="40">
        <f>IF(Inputs!$C$60,Inputs!$C$11+(B8652-Inputs!$C$69)/Inputs!$C$70,"")</f>
      </c>
      <c r="D8652" s="15"/>
      <c r="E8652" s="15"/>
      <c r="F8652" s="11">
        <f t="shared" si="67"/>
      </c>
      <c r="G8652" s="22" cm="1">
        <f t="array" ref="G8652">IF(AND(Inputs!$C$60,Inputs!$C$61),INDEX(Utility_Rates!$C$29:$F$52,HOUR(C8652)+Inputs!$C$69,MATCH(INDEX(Utility_Rates!$K$6:$K$17,MONTH(C8652))&amp;IF(WEEKDAY(C8652,Inputs!$C$76)&lt;=Inputs!$C$74," weekday"," weekend"),Utility_Rates!$C$28:$F$28,Inputs!$C$68)),"")</f>
      </c>
      <c r="H8652" s="34"/>
      <c r="I8652" s="42">
        <f>IF(AND(ISNUMBER(D8652),ISNUMBER(H8652)),D8652*H8652*Inputs!$C$69,"")</f>
      </c>
      <c r="J8652" s="42">
        <f>IF(AND(ISNUMBER(F8652),ISNUMBER(H8652),F8652&gt;=Inputs!$C$68),F8652*H8652*Inputs!$C$69,"")</f>
      </c>
    </row>
    <row r="8653" spans="2:10" ht="15" customHeight="1" x14ac:dyDescent="0.2">
      <c r="B8653" s="39">
        <f t="shared" si="66"/>
      </c>
      <c r="C8653" s="40">
        <f>IF(Inputs!$C$60,Inputs!$C$11+(B8653-Inputs!$C$69)/Inputs!$C$70,"")</f>
      </c>
      <c r="D8653" s="15"/>
      <c r="E8653" s="15"/>
      <c r="F8653" s="11">
        <f t="shared" si="67"/>
      </c>
      <c r="G8653" s="22" cm="1">
        <f t="array" ref="G8653">IF(AND(Inputs!$C$60,Inputs!$C$61),INDEX(Utility_Rates!$C$29:$F$52,HOUR(C8653)+Inputs!$C$69,MATCH(INDEX(Utility_Rates!$K$6:$K$17,MONTH(C8653))&amp;IF(WEEKDAY(C8653,Inputs!$C$76)&lt;=Inputs!$C$74," weekday"," weekend"),Utility_Rates!$C$28:$F$28,Inputs!$C$68)),"")</f>
      </c>
      <c r="H8653" s="34"/>
      <c r="I8653" s="42">
        <f>IF(AND(ISNUMBER(D8653),ISNUMBER(H8653)),D8653*H8653*Inputs!$C$69,"")</f>
      </c>
      <c r="J8653" s="42">
        <f>IF(AND(ISNUMBER(F8653),ISNUMBER(H8653),F8653&gt;=Inputs!$C$68),F8653*H8653*Inputs!$C$69,"")</f>
      </c>
    </row>
    <row r="8654" spans="2:10" ht="15" customHeight="1" x14ac:dyDescent="0.2">
      <c r="B8654" s="39">
        <f t="shared" si="66"/>
      </c>
      <c r="C8654" s="40">
        <f>IF(Inputs!$C$60,Inputs!$C$11+(B8654-Inputs!$C$69)/Inputs!$C$70,"")</f>
      </c>
      <c r="D8654" s="15"/>
      <c r="E8654" s="15"/>
      <c r="F8654" s="11">
        <f t="shared" si="67"/>
      </c>
      <c r="G8654" s="22" cm="1">
        <f t="array" ref="G8654">IF(AND(Inputs!$C$60,Inputs!$C$61),INDEX(Utility_Rates!$C$29:$F$52,HOUR(C8654)+Inputs!$C$69,MATCH(INDEX(Utility_Rates!$K$6:$K$17,MONTH(C8654))&amp;IF(WEEKDAY(C8654,Inputs!$C$76)&lt;=Inputs!$C$74," weekday"," weekend"),Utility_Rates!$C$28:$F$28,Inputs!$C$68)),"")</f>
      </c>
      <c r="H8654" s="34"/>
      <c r="I8654" s="42">
        <f>IF(AND(ISNUMBER(D8654),ISNUMBER(H8654)),D8654*H8654*Inputs!$C$69,"")</f>
      </c>
      <c r="J8654" s="42">
        <f>IF(AND(ISNUMBER(F8654),ISNUMBER(H8654),F8654&gt;=Inputs!$C$68),F8654*H8654*Inputs!$C$69,"")</f>
      </c>
    </row>
    <row r="8655" spans="2:10" ht="15" customHeight="1" x14ac:dyDescent="0.2">
      <c r="B8655" s="39">
        <f t="shared" si="66"/>
      </c>
      <c r="C8655" s="40">
        <f>IF(Inputs!$C$60,Inputs!$C$11+(B8655-Inputs!$C$69)/Inputs!$C$70,"")</f>
      </c>
      <c r="D8655" s="15"/>
      <c r="E8655" s="15"/>
      <c r="F8655" s="11">
        <f t="shared" si="67"/>
      </c>
      <c r="G8655" s="22" cm="1">
        <f t="array" ref="G8655">IF(AND(Inputs!$C$60,Inputs!$C$61),INDEX(Utility_Rates!$C$29:$F$52,HOUR(C8655)+Inputs!$C$69,MATCH(INDEX(Utility_Rates!$K$6:$K$17,MONTH(C8655))&amp;IF(WEEKDAY(C8655,Inputs!$C$76)&lt;=Inputs!$C$74," weekday"," weekend"),Utility_Rates!$C$28:$F$28,Inputs!$C$68)),"")</f>
      </c>
      <c r="H8655" s="34"/>
      <c r="I8655" s="42">
        <f>IF(AND(ISNUMBER(D8655),ISNUMBER(H8655)),D8655*H8655*Inputs!$C$69,"")</f>
      </c>
      <c r="J8655" s="42">
        <f>IF(AND(ISNUMBER(F8655),ISNUMBER(H8655),F8655&gt;=Inputs!$C$68),F8655*H8655*Inputs!$C$69,"")</f>
      </c>
    </row>
    <row r="8656" spans="2:10" ht="15" customHeight="1" x14ac:dyDescent="0.2">
      <c r="B8656" s="39">
        <f t="shared" si="66"/>
      </c>
      <c r="C8656" s="40">
        <f>IF(Inputs!$C$60,Inputs!$C$11+(B8656-Inputs!$C$69)/Inputs!$C$70,"")</f>
      </c>
      <c r="D8656" s="15"/>
      <c r="E8656" s="15"/>
      <c r="F8656" s="11">
        <f t="shared" si="67"/>
      </c>
      <c r="G8656" s="22" cm="1">
        <f t="array" ref="G8656">IF(AND(Inputs!$C$60,Inputs!$C$61),INDEX(Utility_Rates!$C$29:$F$52,HOUR(C8656)+Inputs!$C$69,MATCH(INDEX(Utility_Rates!$K$6:$K$17,MONTH(C8656))&amp;IF(WEEKDAY(C8656,Inputs!$C$76)&lt;=Inputs!$C$74," weekday"," weekend"),Utility_Rates!$C$28:$F$28,Inputs!$C$68)),"")</f>
      </c>
      <c r="H8656" s="34"/>
      <c r="I8656" s="42">
        <f>IF(AND(ISNUMBER(D8656),ISNUMBER(H8656)),D8656*H8656*Inputs!$C$69,"")</f>
      </c>
      <c r="J8656" s="42">
        <f>IF(AND(ISNUMBER(F8656),ISNUMBER(H8656),F8656&gt;=Inputs!$C$68),F8656*H8656*Inputs!$C$69,"")</f>
      </c>
    </row>
    <row r="8657" spans="2:10" ht="15" customHeight="1" x14ac:dyDescent="0.2">
      <c r="B8657" s="39">
        <f t="shared" si="66"/>
      </c>
      <c r="C8657" s="40">
        <f>IF(Inputs!$C$60,Inputs!$C$11+(B8657-Inputs!$C$69)/Inputs!$C$70,"")</f>
      </c>
      <c r="D8657" s="15"/>
      <c r="E8657" s="15"/>
      <c r="F8657" s="11">
        <f t="shared" si="67"/>
      </c>
      <c r="G8657" s="22" cm="1">
        <f t="array" ref="G8657">IF(AND(Inputs!$C$60,Inputs!$C$61),INDEX(Utility_Rates!$C$29:$F$52,HOUR(C8657)+Inputs!$C$69,MATCH(INDEX(Utility_Rates!$K$6:$K$17,MONTH(C8657))&amp;IF(WEEKDAY(C8657,Inputs!$C$76)&lt;=Inputs!$C$74," weekday"," weekend"),Utility_Rates!$C$28:$F$28,Inputs!$C$68)),"")</f>
      </c>
      <c r="H8657" s="34"/>
      <c r="I8657" s="42">
        <f>IF(AND(ISNUMBER(D8657),ISNUMBER(H8657)),D8657*H8657*Inputs!$C$69,"")</f>
      </c>
      <c r="J8657" s="42">
        <f>IF(AND(ISNUMBER(F8657),ISNUMBER(H8657),F8657&gt;=Inputs!$C$68),F8657*H8657*Inputs!$C$69,"")</f>
      </c>
    </row>
    <row r="8658" spans="2:10" ht="15" customHeight="1" x14ac:dyDescent="0.2">
      <c r="B8658" s="39">
        <f t="shared" si="66"/>
      </c>
      <c r="C8658" s="40">
        <f>IF(Inputs!$C$60,Inputs!$C$11+(B8658-Inputs!$C$69)/Inputs!$C$70,"")</f>
      </c>
      <c r="D8658" s="15"/>
      <c r="E8658" s="15"/>
      <c r="F8658" s="11">
        <f t="shared" si="67"/>
      </c>
      <c r="G8658" s="22" cm="1">
        <f t="array" ref="G8658">IF(AND(Inputs!$C$60,Inputs!$C$61),INDEX(Utility_Rates!$C$29:$F$52,HOUR(C8658)+Inputs!$C$69,MATCH(INDEX(Utility_Rates!$K$6:$K$17,MONTH(C8658))&amp;IF(WEEKDAY(C8658,Inputs!$C$76)&lt;=Inputs!$C$74," weekday"," weekend"),Utility_Rates!$C$28:$F$28,Inputs!$C$68)),"")</f>
      </c>
      <c r="H8658" s="34"/>
      <c r="I8658" s="42">
        <f>IF(AND(ISNUMBER(D8658),ISNUMBER(H8658)),D8658*H8658*Inputs!$C$69,"")</f>
      </c>
      <c r="J8658" s="42">
        <f>IF(AND(ISNUMBER(F8658),ISNUMBER(H8658),F8658&gt;=Inputs!$C$68),F8658*H8658*Inputs!$C$69,"")</f>
      </c>
    </row>
    <row r="8659" spans="2:10" ht="15" customHeight="1" x14ac:dyDescent="0.2">
      <c r="B8659" s="39">
        <f t="shared" si="66"/>
      </c>
      <c r="C8659" s="40">
        <f>IF(Inputs!$C$60,Inputs!$C$11+(B8659-Inputs!$C$69)/Inputs!$C$70,"")</f>
      </c>
      <c r="D8659" s="15"/>
      <c r="E8659" s="15"/>
      <c r="F8659" s="11">
        <f t="shared" si="67"/>
      </c>
      <c r="G8659" s="22" cm="1">
        <f t="array" ref="G8659">IF(AND(Inputs!$C$60,Inputs!$C$61),INDEX(Utility_Rates!$C$29:$F$52,HOUR(C8659)+Inputs!$C$69,MATCH(INDEX(Utility_Rates!$K$6:$K$17,MONTH(C8659))&amp;IF(WEEKDAY(C8659,Inputs!$C$76)&lt;=Inputs!$C$74," weekday"," weekend"),Utility_Rates!$C$28:$F$28,Inputs!$C$68)),"")</f>
      </c>
      <c r="H8659" s="34"/>
      <c r="I8659" s="42">
        <f>IF(AND(ISNUMBER(D8659),ISNUMBER(H8659)),D8659*H8659*Inputs!$C$69,"")</f>
      </c>
      <c r="J8659" s="42">
        <f>IF(AND(ISNUMBER(F8659),ISNUMBER(H8659),F8659&gt;=Inputs!$C$68),F8659*H8659*Inputs!$C$69,"")</f>
      </c>
    </row>
    <row r="8660" spans="2:10" ht="15" customHeight="1" x14ac:dyDescent="0.2">
      <c r="B8660" s="39">
        <f t="shared" si="66"/>
      </c>
      <c r="C8660" s="40">
        <f>IF(Inputs!$C$60,Inputs!$C$11+(B8660-Inputs!$C$69)/Inputs!$C$70,"")</f>
      </c>
      <c r="D8660" s="15"/>
      <c r="E8660" s="15"/>
      <c r="F8660" s="11">
        <f t="shared" si="67"/>
      </c>
      <c r="G8660" s="22" cm="1">
        <f t="array" ref="G8660">IF(AND(Inputs!$C$60,Inputs!$C$61),INDEX(Utility_Rates!$C$29:$F$52,HOUR(C8660)+Inputs!$C$69,MATCH(INDEX(Utility_Rates!$K$6:$K$17,MONTH(C8660))&amp;IF(WEEKDAY(C8660,Inputs!$C$76)&lt;=Inputs!$C$74," weekday"," weekend"),Utility_Rates!$C$28:$F$28,Inputs!$C$68)),"")</f>
      </c>
      <c r="H8660" s="34"/>
      <c r="I8660" s="42">
        <f>IF(AND(ISNUMBER(D8660),ISNUMBER(H8660)),D8660*H8660*Inputs!$C$69,"")</f>
      </c>
      <c r="J8660" s="42">
        <f>IF(AND(ISNUMBER(F8660),ISNUMBER(H8660),F8660&gt;=Inputs!$C$68),F8660*H8660*Inputs!$C$69,"")</f>
      </c>
    </row>
    <row r="8661" spans="2:10" ht="15" customHeight="1" x14ac:dyDescent="0.2">
      <c r="B8661" s="39">
        <f t="shared" si="66"/>
      </c>
      <c r="C8661" s="40">
        <f>IF(Inputs!$C$60,Inputs!$C$11+(B8661-Inputs!$C$69)/Inputs!$C$70,"")</f>
      </c>
      <c r="D8661" s="15"/>
      <c r="E8661" s="15"/>
      <c r="F8661" s="11">
        <f t="shared" si="67"/>
      </c>
      <c r="G8661" s="22" cm="1">
        <f t="array" ref="G8661">IF(AND(Inputs!$C$60,Inputs!$C$61),INDEX(Utility_Rates!$C$29:$F$52,HOUR(C8661)+Inputs!$C$69,MATCH(INDEX(Utility_Rates!$K$6:$K$17,MONTH(C8661))&amp;IF(WEEKDAY(C8661,Inputs!$C$76)&lt;=Inputs!$C$74," weekday"," weekend"),Utility_Rates!$C$28:$F$28,Inputs!$C$68)),"")</f>
      </c>
      <c r="H8661" s="34"/>
      <c r="I8661" s="42">
        <f>IF(AND(ISNUMBER(D8661),ISNUMBER(H8661)),D8661*H8661*Inputs!$C$69,"")</f>
      </c>
      <c r="J8661" s="42">
        <f>IF(AND(ISNUMBER(F8661),ISNUMBER(H8661),F8661&gt;=Inputs!$C$68),F8661*H8661*Inputs!$C$69,"")</f>
      </c>
    </row>
    <row r="8662" spans="2:10" ht="15" customHeight="1" x14ac:dyDescent="0.2">
      <c r="B8662" s="39">
        <f t="shared" si="66"/>
      </c>
      <c r="C8662" s="40">
        <f>IF(Inputs!$C$60,Inputs!$C$11+(B8662-Inputs!$C$69)/Inputs!$C$70,"")</f>
      </c>
      <c r="D8662" s="15"/>
      <c r="E8662" s="15"/>
      <c r="F8662" s="11">
        <f t="shared" si="67"/>
      </c>
      <c r="G8662" s="22" cm="1">
        <f t="array" ref="G8662">IF(AND(Inputs!$C$60,Inputs!$C$61),INDEX(Utility_Rates!$C$29:$F$52,HOUR(C8662)+Inputs!$C$69,MATCH(INDEX(Utility_Rates!$K$6:$K$17,MONTH(C8662))&amp;IF(WEEKDAY(C8662,Inputs!$C$76)&lt;=Inputs!$C$74," weekday"," weekend"),Utility_Rates!$C$28:$F$28,Inputs!$C$68)),"")</f>
      </c>
      <c r="H8662" s="34"/>
      <c r="I8662" s="42">
        <f>IF(AND(ISNUMBER(D8662),ISNUMBER(H8662)),D8662*H8662*Inputs!$C$69,"")</f>
      </c>
      <c r="J8662" s="42">
        <f>IF(AND(ISNUMBER(F8662),ISNUMBER(H8662),F8662&gt;=Inputs!$C$68),F8662*H8662*Inputs!$C$69,"")</f>
      </c>
    </row>
    <row r="8663" spans="2:10" ht="15" customHeight="1" x14ac:dyDescent="0.2">
      <c r="B8663" s="39">
        <f t="shared" si="66"/>
      </c>
      <c r="C8663" s="40">
        <f>IF(Inputs!$C$60,Inputs!$C$11+(B8663-Inputs!$C$69)/Inputs!$C$70,"")</f>
      </c>
      <c r="D8663" s="15"/>
      <c r="E8663" s="15"/>
      <c r="F8663" s="11">
        <f t="shared" si="67"/>
      </c>
      <c r="G8663" s="22" cm="1">
        <f t="array" ref="G8663">IF(AND(Inputs!$C$60,Inputs!$C$61),INDEX(Utility_Rates!$C$29:$F$52,HOUR(C8663)+Inputs!$C$69,MATCH(INDEX(Utility_Rates!$K$6:$K$17,MONTH(C8663))&amp;IF(WEEKDAY(C8663,Inputs!$C$76)&lt;=Inputs!$C$74," weekday"," weekend"),Utility_Rates!$C$28:$F$28,Inputs!$C$68)),"")</f>
      </c>
      <c r="H8663" s="34"/>
      <c r="I8663" s="42">
        <f>IF(AND(ISNUMBER(D8663),ISNUMBER(H8663)),D8663*H8663*Inputs!$C$69,"")</f>
      </c>
      <c r="J8663" s="42">
        <f>IF(AND(ISNUMBER(F8663),ISNUMBER(H8663),F8663&gt;=Inputs!$C$68),F8663*H8663*Inputs!$C$69,"")</f>
      </c>
    </row>
    <row r="8664" spans="2:10" ht="15" customHeight="1" x14ac:dyDescent="0.2">
      <c r="B8664" s="39">
        <f t="shared" si="66"/>
      </c>
      <c r="C8664" s="40">
        <f>IF(Inputs!$C$60,Inputs!$C$11+(B8664-Inputs!$C$69)/Inputs!$C$70,"")</f>
      </c>
      <c r="D8664" s="15"/>
      <c r="E8664" s="15"/>
      <c r="F8664" s="11">
        <f t="shared" si="67"/>
      </c>
      <c r="G8664" s="22" cm="1">
        <f t="array" ref="G8664">IF(AND(Inputs!$C$60,Inputs!$C$61),INDEX(Utility_Rates!$C$29:$F$52,HOUR(C8664)+Inputs!$C$69,MATCH(INDEX(Utility_Rates!$K$6:$K$17,MONTH(C8664))&amp;IF(WEEKDAY(C8664,Inputs!$C$76)&lt;=Inputs!$C$74," weekday"," weekend"),Utility_Rates!$C$28:$F$28,Inputs!$C$68)),"")</f>
      </c>
      <c r="H8664" s="34"/>
      <c r="I8664" s="42">
        <f>IF(AND(ISNUMBER(D8664),ISNUMBER(H8664)),D8664*H8664*Inputs!$C$69,"")</f>
      </c>
      <c r="J8664" s="42">
        <f>IF(AND(ISNUMBER(F8664),ISNUMBER(H8664),F8664&gt;=Inputs!$C$68),F8664*H8664*Inputs!$C$69,"")</f>
      </c>
    </row>
    <row r="8665" spans="2:10" ht="15" customHeight="1" x14ac:dyDescent="0.2">
      <c r="B8665" s="39">
        <f t="shared" si="66"/>
      </c>
      <c r="C8665" s="40">
        <f>IF(Inputs!$C$60,Inputs!$C$11+(B8665-Inputs!$C$69)/Inputs!$C$70,"")</f>
      </c>
      <c r="D8665" s="15"/>
      <c r="E8665" s="15"/>
      <c r="F8665" s="11">
        <f t="shared" si="67"/>
      </c>
      <c r="G8665" s="22" cm="1">
        <f t="array" ref="G8665">IF(AND(Inputs!$C$60,Inputs!$C$61),INDEX(Utility_Rates!$C$29:$F$52,HOUR(C8665)+Inputs!$C$69,MATCH(INDEX(Utility_Rates!$K$6:$K$17,MONTH(C8665))&amp;IF(WEEKDAY(C8665,Inputs!$C$76)&lt;=Inputs!$C$74," weekday"," weekend"),Utility_Rates!$C$28:$F$28,Inputs!$C$68)),"")</f>
      </c>
      <c r="H8665" s="34"/>
      <c r="I8665" s="42">
        <f>IF(AND(ISNUMBER(D8665),ISNUMBER(H8665)),D8665*H8665*Inputs!$C$69,"")</f>
      </c>
      <c r="J8665" s="42">
        <f>IF(AND(ISNUMBER(F8665),ISNUMBER(H8665),F8665&gt;=Inputs!$C$68),F8665*H8665*Inputs!$C$69,"")</f>
      </c>
    </row>
    <row r="8666" spans="2:10" ht="15" customHeight="1" x14ac:dyDescent="0.2">
      <c r="B8666" s="39">
        <f t="shared" si="66"/>
      </c>
      <c r="C8666" s="40">
        <f>IF(Inputs!$C$60,Inputs!$C$11+(B8666-Inputs!$C$69)/Inputs!$C$70,"")</f>
      </c>
      <c r="D8666" s="15"/>
      <c r="E8666" s="15"/>
      <c r="F8666" s="11">
        <f t="shared" si="67"/>
      </c>
      <c r="G8666" s="22" cm="1">
        <f t="array" ref="G8666">IF(AND(Inputs!$C$60,Inputs!$C$61),INDEX(Utility_Rates!$C$29:$F$52,HOUR(C8666)+Inputs!$C$69,MATCH(INDEX(Utility_Rates!$K$6:$K$17,MONTH(C8666))&amp;IF(WEEKDAY(C8666,Inputs!$C$76)&lt;=Inputs!$C$74," weekday"," weekend"),Utility_Rates!$C$28:$F$28,Inputs!$C$68)),"")</f>
      </c>
      <c r="H8666" s="34"/>
      <c r="I8666" s="42">
        <f>IF(AND(ISNUMBER(D8666),ISNUMBER(H8666)),D8666*H8666*Inputs!$C$69,"")</f>
      </c>
      <c r="J8666" s="42">
        <f>IF(AND(ISNUMBER(F8666),ISNUMBER(H8666),F8666&gt;=Inputs!$C$68),F8666*H8666*Inputs!$C$69,"")</f>
      </c>
    </row>
    <row r="8667" spans="2:10" ht="15" customHeight="1" x14ac:dyDescent="0.2">
      <c r="B8667" s="39">
        <f t="shared" si="66"/>
      </c>
      <c r="C8667" s="40">
        <f>IF(Inputs!$C$60,Inputs!$C$11+(B8667-Inputs!$C$69)/Inputs!$C$70,"")</f>
      </c>
      <c r="D8667" s="15"/>
      <c r="E8667" s="15"/>
      <c r="F8667" s="11">
        <f t="shared" si="67"/>
      </c>
      <c r="G8667" s="22" cm="1">
        <f t="array" ref="G8667">IF(AND(Inputs!$C$60,Inputs!$C$61),INDEX(Utility_Rates!$C$29:$F$52,HOUR(C8667)+Inputs!$C$69,MATCH(INDEX(Utility_Rates!$K$6:$K$17,MONTH(C8667))&amp;IF(WEEKDAY(C8667,Inputs!$C$76)&lt;=Inputs!$C$74," weekday"," weekend"),Utility_Rates!$C$28:$F$28,Inputs!$C$68)),"")</f>
      </c>
      <c r="H8667" s="34"/>
      <c r="I8667" s="42">
        <f>IF(AND(ISNUMBER(D8667),ISNUMBER(H8667)),D8667*H8667*Inputs!$C$69,"")</f>
      </c>
      <c r="J8667" s="42">
        <f>IF(AND(ISNUMBER(F8667),ISNUMBER(H8667),F8667&gt;=Inputs!$C$68),F8667*H8667*Inputs!$C$69,"")</f>
      </c>
    </row>
    <row r="8668" spans="2:10" ht="15" customHeight="1" x14ac:dyDescent="0.2">
      <c r="B8668" s="39">
        <f t="shared" si="66"/>
      </c>
      <c r="C8668" s="40">
        <f>IF(Inputs!$C$60,Inputs!$C$11+(B8668-Inputs!$C$69)/Inputs!$C$70,"")</f>
      </c>
      <c r="D8668" s="15"/>
      <c r="E8668" s="15"/>
      <c r="F8668" s="11">
        <f t="shared" si="67"/>
      </c>
      <c r="G8668" s="22" cm="1">
        <f t="array" ref="G8668">IF(AND(Inputs!$C$60,Inputs!$C$61),INDEX(Utility_Rates!$C$29:$F$52,HOUR(C8668)+Inputs!$C$69,MATCH(INDEX(Utility_Rates!$K$6:$K$17,MONTH(C8668))&amp;IF(WEEKDAY(C8668,Inputs!$C$76)&lt;=Inputs!$C$74," weekday"," weekend"),Utility_Rates!$C$28:$F$28,Inputs!$C$68)),"")</f>
      </c>
      <c r="H8668" s="34"/>
      <c r="I8668" s="42">
        <f>IF(AND(ISNUMBER(D8668),ISNUMBER(H8668)),D8668*H8668*Inputs!$C$69,"")</f>
      </c>
      <c r="J8668" s="42">
        <f>IF(AND(ISNUMBER(F8668),ISNUMBER(H8668),F8668&gt;=Inputs!$C$68),F8668*H8668*Inputs!$C$69,"")</f>
      </c>
    </row>
    <row r="8669" spans="2:10" ht="15" customHeight="1" x14ac:dyDescent="0.2">
      <c r="B8669" s="39">
        <f t="shared" si="66"/>
      </c>
      <c r="C8669" s="40">
        <f>IF(Inputs!$C$60,Inputs!$C$11+(B8669-Inputs!$C$69)/Inputs!$C$70,"")</f>
      </c>
      <c r="D8669" s="15"/>
      <c r="E8669" s="15"/>
      <c r="F8669" s="11">
        <f t="shared" si="67"/>
      </c>
      <c r="G8669" s="22" cm="1">
        <f t="array" ref="G8669">IF(AND(Inputs!$C$60,Inputs!$C$61),INDEX(Utility_Rates!$C$29:$F$52,HOUR(C8669)+Inputs!$C$69,MATCH(INDEX(Utility_Rates!$K$6:$K$17,MONTH(C8669))&amp;IF(WEEKDAY(C8669,Inputs!$C$76)&lt;=Inputs!$C$74," weekday"," weekend"),Utility_Rates!$C$28:$F$28,Inputs!$C$68)),"")</f>
      </c>
      <c r="H8669" s="34"/>
      <c r="I8669" s="42">
        <f>IF(AND(ISNUMBER(D8669),ISNUMBER(H8669)),D8669*H8669*Inputs!$C$69,"")</f>
      </c>
      <c r="J8669" s="42">
        <f>IF(AND(ISNUMBER(F8669),ISNUMBER(H8669),F8669&gt;=Inputs!$C$68),F8669*H8669*Inputs!$C$69,"")</f>
      </c>
    </row>
    <row r="8670" spans="2:10" ht="15" customHeight="1" x14ac:dyDescent="0.2">
      <c r="B8670" s="39">
        <f t="shared" si="66"/>
      </c>
      <c r="C8670" s="40">
        <f>IF(Inputs!$C$60,Inputs!$C$11+(B8670-Inputs!$C$69)/Inputs!$C$70,"")</f>
      </c>
      <c r="D8670" s="15"/>
      <c r="E8670" s="15"/>
      <c r="F8670" s="11">
        <f t="shared" si="67"/>
      </c>
      <c r="G8670" s="22" cm="1">
        <f t="array" ref="G8670">IF(AND(Inputs!$C$60,Inputs!$C$61),INDEX(Utility_Rates!$C$29:$F$52,HOUR(C8670)+Inputs!$C$69,MATCH(INDEX(Utility_Rates!$K$6:$K$17,MONTH(C8670))&amp;IF(WEEKDAY(C8670,Inputs!$C$76)&lt;=Inputs!$C$74," weekday"," weekend"),Utility_Rates!$C$28:$F$28,Inputs!$C$68)),"")</f>
      </c>
      <c r="H8670" s="34"/>
      <c r="I8670" s="42">
        <f>IF(AND(ISNUMBER(D8670),ISNUMBER(H8670)),D8670*H8670*Inputs!$C$69,"")</f>
      </c>
      <c r="J8670" s="42">
        <f>IF(AND(ISNUMBER(F8670),ISNUMBER(H8670),F8670&gt;=Inputs!$C$68),F8670*H8670*Inputs!$C$69,"")</f>
      </c>
    </row>
    <row r="8671" spans="2:10" ht="15" customHeight="1" x14ac:dyDescent="0.2">
      <c r="B8671" s="39">
        <f t="shared" si="66"/>
      </c>
      <c r="C8671" s="40">
        <f>IF(Inputs!$C$60,Inputs!$C$11+(B8671-Inputs!$C$69)/Inputs!$C$70,"")</f>
      </c>
      <c r="D8671" s="15"/>
      <c r="E8671" s="15"/>
      <c r="F8671" s="11">
        <f t="shared" si="67"/>
      </c>
      <c r="G8671" s="22" cm="1">
        <f t="array" ref="G8671">IF(AND(Inputs!$C$60,Inputs!$C$61),INDEX(Utility_Rates!$C$29:$F$52,HOUR(C8671)+Inputs!$C$69,MATCH(INDEX(Utility_Rates!$K$6:$K$17,MONTH(C8671))&amp;IF(WEEKDAY(C8671,Inputs!$C$76)&lt;=Inputs!$C$74," weekday"," weekend"),Utility_Rates!$C$28:$F$28,Inputs!$C$68)),"")</f>
      </c>
      <c r="H8671" s="34"/>
      <c r="I8671" s="42">
        <f>IF(AND(ISNUMBER(D8671),ISNUMBER(H8671)),D8671*H8671*Inputs!$C$69,"")</f>
      </c>
      <c r="J8671" s="42">
        <f>IF(AND(ISNUMBER(F8671),ISNUMBER(H8671),F8671&gt;=Inputs!$C$68),F8671*H8671*Inputs!$C$69,"")</f>
      </c>
    </row>
    <row r="8672" spans="2:10" ht="15" customHeight="1" x14ac:dyDescent="0.2">
      <c r="B8672" s="39">
        <f t="shared" si="66"/>
      </c>
      <c r="C8672" s="40">
        <f>IF(Inputs!$C$60,Inputs!$C$11+(B8672-Inputs!$C$69)/Inputs!$C$70,"")</f>
      </c>
      <c r="D8672" s="15"/>
      <c r="E8672" s="15"/>
      <c r="F8672" s="11">
        <f t="shared" si="67"/>
      </c>
      <c r="G8672" s="22" cm="1">
        <f t="array" ref="G8672">IF(AND(Inputs!$C$60,Inputs!$C$61),INDEX(Utility_Rates!$C$29:$F$52,HOUR(C8672)+Inputs!$C$69,MATCH(INDEX(Utility_Rates!$K$6:$K$17,MONTH(C8672))&amp;IF(WEEKDAY(C8672,Inputs!$C$76)&lt;=Inputs!$C$74," weekday"," weekend"),Utility_Rates!$C$28:$F$28,Inputs!$C$68)),"")</f>
      </c>
      <c r="H8672" s="34"/>
      <c r="I8672" s="42">
        <f>IF(AND(ISNUMBER(D8672),ISNUMBER(H8672)),D8672*H8672*Inputs!$C$69,"")</f>
      </c>
      <c r="J8672" s="42">
        <f>IF(AND(ISNUMBER(F8672),ISNUMBER(H8672),F8672&gt;=Inputs!$C$68),F8672*H8672*Inputs!$C$69,"")</f>
      </c>
    </row>
    <row r="8673" spans="2:10" ht="15" customHeight="1" x14ac:dyDescent="0.2">
      <c r="B8673" s="39">
        <f t="shared" si="66"/>
      </c>
      <c r="C8673" s="40">
        <f>IF(Inputs!$C$60,Inputs!$C$11+(B8673-Inputs!$C$69)/Inputs!$C$70,"")</f>
      </c>
      <c r="D8673" s="15"/>
      <c r="E8673" s="15"/>
      <c r="F8673" s="11">
        <f t="shared" si="67"/>
      </c>
      <c r="G8673" s="22" cm="1">
        <f t="array" ref="G8673">IF(AND(Inputs!$C$60,Inputs!$C$61),INDEX(Utility_Rates!$C$29:$F$52,HOUR(C8673)+Inputs!$C$69,MATCH(INDEX(Utility_Rates!$K$6:$K$17,MONTH(C8673))&amp;IF(WEEKDAY(C8673,Inputs!$C$76)&lt;=Inputs!$C$74," weekday"," weekend"),Utility_Rates!$C$28:$F$28,Inputs!$C$68)),"")</f>
      </c>
      <c r="H8673" s="34"/>
      <c r="I8673" s="42">
        <f>IF(AND(ISNUMBER(D8673),ISNUMBER(H8673)),D8673*H8673*Inputs!$C$69,"")</f>
      </c>
      <c r="J8673" s="42">
        <f>IF(AND(ISNUMBER(F8673),ISNUMBER(H8673),F8673&gt;=Inputs!$C$68),F8673*H8673*Inputs!$C$69,"")</f>
      </c>
    </row>
    <row r="8674" spans="2:10" ht="15" customHeight="1" x14ac:dyDescent="0.2">
      <c r="B8674" s="39">
        <f t="shared" si="66"/>
      </c>
      <c r="C8674" s="40">
        <f>IF(Inputs!$C$60,Inputs!$C$11+(B8674-Inputs!$C$69)/Inputs!$C$70,"")</f>
      </c>
      <c r="D8674" s="15"/>
      <c r="E8674" s="15"/>
      <c r="F8674" s="11">
        <f t="shared" si="67"/>
      </c>
      <c r="G8674" s="22" cm="1">
        <f t="array" ref="G8674">IF(AND(Inputs!$C$60,Inputs!$C$61),INDEX(Utility_Rates!$C$29:$F$52,HOUR(C8674)+Inputs!$C$69,MATCH(INDEX(Utility_Rates!$K$6:$K$17,MONTH(C8674))&amp;IF(WEEKDAY(C8674,Inputs!$C$76)&lt;=Inputs!$C$74," weekday"," weekend"),Utility_Rates!$C$28:$F$28,Inputs!$C$68)),"")</f>
      </c>
      <c r="H8674" s="34"/>
      <c r="I8674" s="42">
        <f>IF(AND(ISNUMBER(D8674),ISNUMBER(H8674)),D8674*H8674*Inputs!$C$69,"")</f>
      </c>
      <c r="J8674" s="42">
        <f>IF(AND(ISNUMBER(F8674),ISNUMBER(H8674),F8674&gt;=Inputs!$C$68),F8674*H8674*Inputs!$C$69,"")</f>
      </c>
    </row>
    <row r="8675" spans="2:10" ht="15" customHeight="1" x14ac:dyDescent="0.2">
      <c r="B8675" s="39">
        <f t="shared" si="66"/>
      </c>
      <c r="C8675" s="40">
        <f>IF(Inputs!$C$60,Inputs!$C$11+(B8675-Inputs!$C$69)/Inputs!$C$70,"")</f>
      </c>
      <c r="D8675" s="15"/>
      <c r="E8675" s="15"/>
      <c r="F8675" s="11">
        <f t="shared" si="67"/>
      </c>
      <c r="G8675" s="22" cm="1">
        <f t="array" ref="G8675">IF(AND(Inputs!$C$60,Inputs!$C$61),INDEX(Utility_Rates!$C$29:$F$52,HOUR(C8675)+Inputs!$C$69,MATCH(INDEX(Utility_Rates!$K$6:$K$17,MONTH(C8675))&amp;IF(WEEKDAY(C8675,Inputs!$C$76)&lt;=Inputs!$C$74," weekday"," weekend"),Utility_Rates!$C$28:$F$28,Inputs!$C$68)),"")</f>
      </c>
      <c r="H8675" s="34"/>
      <c r="I8675" s="42">
        <f>IF(AND(ISNUMBER(D8675),ISNUMBER(H8675)),D8675*H8675*Inputs!$C$69,"")</f>
      </c>
      <c r="J8675" s="42">
        <f>IF(AND(ISNUMBER(F8675),ISNUMBER(H8675),F8675&gt;=Inputs!$C$68),F8675*H8675*Inputs!$C$69,"")</f>
      </c>
    </row>
    <row r="8676" spans="2:10" ht="15" customHeight="1" x14ac:dyDescent="0.2">
      <c r="B8676" s="39">
        <f t="shared" ref="B8676:B8765" si="68">ROW()-ROW($B$5)</f>
      </c>
      <c r="C8676" s="40">
        <f>IF(Inputs!$C$60,Inputs!$C$11+(B8676-Inputs!$C$69)/Inputs!$C$70,"")</f>
      </c>
      <c r="D8676" s="15"/>
      <c r="E8676" s="15"/>
      <c r="F8676" s="11">
        <f t="shared" ref="F8676:F8765" si="69">IF(COUNT(D8676:E8676)=COLUMNS(D8676:E8676),D8676-E8676,"")</f>
      </c>
      <c r="G8676" s="22" cm="1">
        <f t="array" ref="G8676">IF(AND(Inputs!$C$60,Inputs!$C$61),INDEX(Utility_Rates!$C$29:$F$52,HOUR(C8676)+Inputs!$C$69,MATCH(INDEX(Utility_Rates!$K$6:$K$17,MONTH(C8676))&amp;IF(WEEKDAY(C8676,Inputs!$C$76)&lt;=Inputs!$C$74," weekday"," weekend"),Utility_Rates!$C$28:$F$28,Inputs!$C$68)),"")</f>
      </c>
      <c r="H8676" s="34"/>
      <c r="I8676" s="42">
        <f>IF(AND(ISNUMBER(D8676),ISNUMBER(H8676)),D8676*H8676*Inputs!$C$69,"")</f>
      </c>
      <c r="J8676" s="42">
        <f>IF(AND(ISNUMBER(F8676),ISNUMBER(H8676),F8676&gt;=Inputs!$C$68),F8676*H8676*Inputs!$C$69,"")</f>
      </c>
    </row>
    <row r="8677" spans="2:10" ht="15" customHeight="1" x14ac:dyDescent="0.2">
      <c r="B8677" s="39">
        <f t="shared" si="68"/>
      </c>
      <c r="C8677" s="40">
        <f>IF(Inputs!$C$60,Inputs!$C$11+(B8677-Inputs!$C$69)/Inputs!$C$70,"")</f>
      </c>
      <c r="D8677" s="15"/>
      <c r="E8677" s="15"/>
      <c r="F8677" s="11">
        <f t="shared" si="69"/>
      </c>
      <c r="G8677" s="22" cm="1">
        <f t="array" ref="G8677">IF(AND(Inputs!$C$60,Inputs!$C$61),INDEX(Utility_Rates!$C$29:$F$52,HOUR(C8677)+Inputs!$C$69,MATCH(INDEX(Utility_Rates!$K$6:$K$17,MONTH(C8677))&amp;IF(WEEKDAY(C8677,Inputs!$C$76)&lt;=Inputs!$C$74," weekday"," weekend"),Utility_Rates!$C$28:$F$28,Inputs!$C$68)),"")</f>
      </c>
      <c r="H8677" s="34"/>
      <c r="I8677" s="42">
        <f>IF(AND(ISNUMBER(D8677),ISNUMBER(H8677)),D8677*H8677*Inputs!$C$69,"")</f>
      </c>
      <c r="J8677" s="42">
        <f>IF(AND(ISNUMBER(F8677),ISNUMBER(H8677),F8677&gt;=Inputs!$C$68),F8677*H8677*Inputs!$C$69,"")</f>
      </c>
    </row>
    <row r="8678" spans="2:10" ht="15" customHeight="1" x14ac:dyDescent="0.2">
      <c r="B8678" s="39">
        <f t="shared" si="68"/>
      </c>
      <c r="C8678" s="40">
        <f>IF(Inputs!$C$60,Inputs!$C$11+(B8678-Inputs!$C$69)/Inputs!$C$70,"")</f>
      </c>
      <c r="D8678" s="15"/>
      <c r="E8678" s="15"/>
      <c r="F8678" s="11">
        <f t="shared" si="69"/>
      </c>
      <c r="G8678" s="22" cm="1">
        <f t="array" ref="G8678">IF(AND(Inputs!$C$60,Inputs!$C$61),INDEX(Utility_Rates!$C$29:$F$52,HOUR(C8678)+Inputs!$C$69,MATCH(INDEX(Utility_Rates!$K$6:$K$17,MONTH(C8678))&amp;IF(WEEKDAY(C8678,Inputs!$C$76)&lt;=Inputs!$C$74," weekday"," weekend"),Utility_Rates!$C$28:$F$28,Inputs!$C$68)),"")</f>
      </c>
      <c r="H8678" s="34"/>
      <c r="I8678" s="42">
        <f>IF(AND(ISNUMBER(D8678),ISNUMBER(H8678)),D8678*H8678*Inputs!$C$69,"")</f>
      </c>
      <c r="J8678" s="42">
        <f>IF(AND(ISNUMBER(F8678),ISNUMBER(H8678),F8678&gt;=Inputs!$C$68),F8678*H8678*Inputs!$C$69,"")</f>
      </c>
    </row>
    <row r="8679" spans="2:10" ht="15" customHeight="1" x14ac:dyDescent="0.2">
      <c r="B8679" s="39">
        <f t="shared" si="68"/>
      </c>
      <c r="C8679" s="40">
        <f>IF(Inputs!$C$60,Inputs!$C$11+(B8679-Inputs!$C$69)/Inputs!$C$70,"")</f>
      </c>
      <c r="D8679" s="15"/>
      <c r="E8679" s="15"/>
      <c r="F8679" s="11">
        <f t="shared" si="69"/>
      </c>
      <c r="G8679" s="22" cm="1">
        <f t="array" ref="G8679">IF(AND(Inputs!$C$60,Inputs!$C$61),INDEX(Utility_Rates!$C$29:$F$52,HOUR(C8679)+Inputs!$C$69,MATCH(INDEX(Utility_Rates!$K$6:$K$17,MONTH(C8679))&amp;IF(WEEKDAY(C8679,Inputs!$C$76)&lt;=Inputs!$C$74," weekday"," weekend"),Utility_Rates!$C$28:$F$28,Inputs!$C$68)),"")</f>
      </c>
      <c r="H8679" s="34"/>
      <c r="I8679" s="42">
        <f>IF(AND(ISNUMBER(D8679),ISNUMBER(H8679)),D8679*H8679*Inputs!$C$69,"")</f>
      </c>
      <c r="J8679" s="42">
        <f>IF(AND(ISNUMBER(F8679),ISNUMBER(H8679),F8679&gt;=Inputs!$C$68),F8679*H8679*Inputs!$C$69,"")</f>
      </c>
    </row>
    <row r="8680" spans="2:10" ht="15" customHeight="1" x14ac:dyDescent="0.2">
      <c r="B8680" s="39">
        <f t="shared" si="68"/>
      </c>
      <c r="C8680" s="40">
        <f>IF(Inputs!$C$60,Inputs!$C$11+(B8680-Inputs!$C$69)/Inputs!$C$70,"")</f>
      </c>
      <c r="D8680" s="15"/>
      <c r="E8680" s="15"/>
      <c r="F8680" s="11">
        <f t="shared" si="69"/>
      </c>
      <c r="G8680" s="22" cm="1">
        <f t="array" ref="G8680">IF(AND(Inputs!$C$60,Inputs!$C$61),INDEX(Utility_Rates!$C$29:$F$52,HOUR(C8680)+Inputs!$C$69,MATCH(INDEX(Utility_Rates!$K$6:$K$17,MONTH(C8680))&amp;IF(WEEKDAY(C8680,Inputs!$C$76)&lt;=Inputs!$C$74," weekday"," weekend"),Utility_Rates!$C$28:$F$28,Inputs!$C$68)),"")</f>
      </c>
      <c r="H8680" s="34"/>
      <c r="I8680" s="42">
        <f>IF(AND(ISNUMBER(D8680),ISNUMBER(H8680)),D8680*H8680*Inputs!$C$69,"")</f>
      </c>
      <c r="J8680" s="42">
        <f>IF(AND(ISNUMBER(F8680),ISNUMBER(H8680),F8680&gt;=Inputs!$C$68),F8680*H8680*Inputs!$C$69,"")</f>
      </c>
    </row>
    <row r="8681" spans="2:10" ht="15" customHeight="1" x14ac:dyDescent="0.2">
      <c r="B8681" s="39">
        <f t="shared" si="68"/>
      </c>
      <c r="C8681" s="40">
        <f>IF(Inputs!$C$60,Inputs!$C$11+(B8681-Inputs!$C$69)/Inputs!$C$70,"")</f>
      </c>
      <c r="D8681" s="15"/>
      <c r="E8681" s="15"/>
      <c r="F8681" s="11">
        <f t="shared" si="69"/>
      </c>
      <c r="G8681" s="22" cm="1">
        <f t="array" ref="G8681">IF(AND(Inputs!$C$60,Inputs!$C$61),INDEX(Utility_Rates!$C$29:$F$52,HOUR(C8681)+Inputs!$C$69,MATCH(INDEX(Utility_Rates!$K$6:$K$17,MONTH(C8681))&amp;IF(WEEKDAY(C8681,Inputs!$C$76)&lt;=Inputs!$C$74," weekday"," weekend"),Utility_Rates!$C$28:$F$28,Inputs!$C$68)),"")</f>
      </c>
      <c r="H8681" s="34"/>
      <c r="I8681" s="42">
        <f>IF(AND(ISNUMBER(D8681),ISNUMBER(H8681)),D8681*H8681*Inputs!$C$69,"")</f>
      </c>
      <c r="J8681" s="42">
        <f>IF(AND(ISNUMBER(F8681),ISNUMBER(H8681),F8681&gt;=Inputs!$C$68),F8681*H8681*Inputs!$C$69,"")</f>
      </c>
    </row>
    <row r="8682" spans="2:10" ht="15" customHeight="1" x14ac:dyDescent="0.2">
      <c r="B8682" s="39">
        <f t="shared" si="68"/>
      </c>
      <c r="C8682" s="40">
        <f>IF(Inputs!$C$60,Inputs!$C$11+(B8682-Inputs!$C$69)/Inputs!$C$70,"")</f>
      </c>
      <c r="D8682" s="15"/>
      <c r="E8682" s="15"/>
      <c r="F8682" s="11">
        <f t="shared" si="69"/>
      </c>
      <c r="G8682" s="22" cm="1">
        <f t="array" ref="G8682">IF(AND(Inputs!$C$60,Inputs!$C$61),INDEX(Utility_Rates!$C$29:$F$52,HOUR(C8682)+Inputs!$C$69,MATCH(INDEX(Utility_Rates!$K$6:$K$17,MONTH(C8682))&amp;IF(WEEKDAY(C8682,Inputs!$C$76)&lt;=Inputs!$C$74," weekday"," weekend"),Utility_Rates!$C$28:$F$28,Inputs!$C$68)),"")</f>
      </c>
      <c r="H8682" s="34"/>
      <c r="I8682" s="42">
        <f>IF(AND(ISNUMBER(D8682),ISNUMBER(H8682)),D8682*H8682*Inputs!$C$69,"")</f>
      </c>
      <c r="J8682" s="42">
        <f>IF(AND(ISNUMBER(F8682),ISNUMBER(H8682),F8682&gt;=Inputs!$C$68),F8682*H8682*Inputs!$C$69,"")</f>
      </c>
    </row>
    <row r="8683" spans="2:10" ht="15" customHeight="1" x14ac:dyDescent="0.2">
      <c r="B8683" s="39">
        <f t="shared" si="68"/>
      </c>
      <c r="C8683" s="40">
        <f>IF(Inputs!$C$60,Inputs!$C$11+(B8683-Inputs!$C$69)/Inputs!$C$70,"")</f>
      </c>
      <c r="D8683" s="15"/>
      <c r="E8683" s="15"/>
      <c r="F8683" s="11">
        <f t="shared" si="69"/>
      </c>
      <c r="G8683" s="22" cm="1">
        <f t="array" ref="G8683">IF(AND(Inputs!$C$60,Inputs!$C$61),INDEX(Utility_Rates!$C$29:$F$52,HOUR(C8683)+Inputs!$C$69,MATCH(INDEX(Utility_Rates!$K$6:$K$17,MONTH(C8683))&amp;IF(WEEKDAY(C8683,Inputs!$C$76)&lt;=Inputs!$C$74," weekday"," weekend"),Utility_Rates!$C$28:$F$28,Inputs!$C$68)),"")</f>
      </c>
      <c r="H8683" s="34"/>
      <c r="I8683" s="42">
        <f>IF(AND(ISNUMBER(D8683),ISNUMBER(H8683)),D8683*H8683*Inputs!$C$69,"")</f>
      </c>
      <c r="J8683" s="42">
        <f>IF(AND(ISNUMBER(F8683),ISNUMBER(H8683),F8683&gt;=Inputs!$C$68),F8683*H8683*Inputs!$C$69,"")</f>
      </c>
    </row>
    <row r="8684" spans="2:10" ht="15" customHeight="1" x14ac:dyDescent="0.2">
      <c r="B8684" s="39">
        <f t="shared" si="68"/>
      </c>
      <c r="C8684" s="40">
        <f>IF(Inputs!$C$60,Inputs!$C$11+(B8684-Inputs!$C$69)/Inputs!$C$70,"")</f>
      </c>
      <c r="D8684" s="15"/>
      <c r="E8684" s="15"/>
      <c r="F8684" s="11">
        <f t="shared" si="69"/>
      </c>
      <c r="G8684" s="22" cm="1">
        <f t="array" ref="G8684">IF(AND(Inputs!$C$60,Inputs!$C$61),INDEX(Utility_Rates!$C$29:$F$52,HOUR(C8684)+Inputs!$C$69,MATCH(INDEX(Utility_Rates!$K$6:$K$17,MONTH(C8684))&amp;IF(WEEKDAY(C8684,Inputs!$C$76)&lt;=Inputs!$C$74," weekday"," weekend"),Utility_Rates!$C$28:$F$28,Inputs!$C$68)),"")</f>
      </c>
      <c r="H8684" s="34"/>
      <c r="I8684" s="42">
        <f>IF(AND(ISNUMBER(D8684),ISNUMBER(H8684)),D8684*H8684*Inputs!$C$69,"")</f>
      </c>
      <c r="J8684" s="42">
        <f>IF(AND(ISNUMBER(F8684),ISNUMBER(H8684),F8684&gt;=Inputs!$C$68),F8684*H8684*Inputs!$C$69,"")</f>
      </c>
    </row>
    <row r="8685" spans="2:10" ht="15" customHeight="1" x14ac:dyDescent="0.2">
      <c r="B8685" s="39">
        <f t="shared" si="68"/>
      </c>
      <c r="C8685" s="40">
        <f>IF(Inputs!$C$60,Inputs!$C$11+(B8685-Inputs!$C$69)/Inputs!$C$70,"")</f>
      </c>
      <c r="D8685" s="15"/>
      <c r="E8685" s="15"/>
      <c r="F8685" s="11">
        <f t="shared" si="69"/>
      </c>
      <c r="G8685" s="22" cm="1">
        <f t="array" ref="G8685">IF(AND(Inputs!$C$60,Inputs!$C$61),INDEX(Utility_Rates!$C$29:$F$52,HOUR(C8685)+Inputs!$C$69,MATCH(INDEX(Utility_Rates!$K$6:$K$17,MONTH(C8685))&amp;IF(WEEKDAY(C8685,Inputs!$C$76)&lt;=Inputs!$C$74," weekday"," weekend"),Utility_Rates!$C$28:$F$28,Inputs!$C$68)),"")</f>
      </c>
      <c r="H8685" s="34"/>
      <c r="I8685" s="42">
        <f>IF(AND(ISNUMBER(D8685),ISNUMBER(H8685)),D8685*H8685*Inputs!$C$69,"")</f>
      </c>
      <c r="J8685" s="42">
        <f>IF(AND(ISNUMBER(F8685),ISNUMBER(H8685),F8685&gt;=Inputs!$C$68),F8685*H8685*Inputs!$C$69,"")</f>
      </c>
    </row>
    <row r="8686" spans="2:10" ht="15" customHeight="1" x14ac:dyDescent="0.2">
      <c r="B8686" s="39">
        <f t="shared" si="68"/>
      </c>
      <c r="C8686" s="40">
        <f>IF(Inputs!$C$60,Inputs!$C$11+(B8686-Inputs!$C$69)/Inputs!$C$70,"")</f>
      </c>
      <c r="D8686" s="15"/>
      <c r="E8686" s="15"/>
      <c r="F8686" s="11">
        <f t="shared" si="69"/>
      </c>
      <c r="G8686" s="22" cm="1">
        <f t="array" ref="G8686">IF(AND(Inputs!$C$60,Inputs!$C$61),INDEX(Utility_Rates!$C$29:$F$52,HOUR(C8686)+Inputs!$C$69,MATCH(INDEX(Utility_Rates!$K$6:$K$17,MONTH(C8686))&amp;IF(WEEKDAY(C8686,Inputs!$C$76)&lt;=Inputs!$C$74," weekday"," weekend"),Utility_Rates!$C$28:$F$28,Inputs!$C$68)),"")</f>
      </c>
      <c r="H8686" s="34"/>
      <c r="I8686" s="42">
        <f>IF(AND(ISNUMBER(D8686),ISNUMBER(H8686)),D8686*H8686*Inputs!$C$69,"")</f>
      </c>
      <c r="J8686" s="42">
        <f>IF(AND(ISNUMBER(F8686),ISNUMBER(H8686),F8686&gt;=Inputs!$C$68),F8686*H8686*Inputs!$C$69,"")</f>
      </c>
    </row>
    <row r="8687" spans="2:10" ht="15" customHeight="1" x14ac:dyDescent="0.2">
      <c r="B8687" s="39">
        <f t="shared" si="68"/>
      </c>
      <c r="C8687" s="40">
        <f>IF(Inputs!$C$60,Inputs!$C$11+(B8687-Inputs!$C$69)/Inputs!$C$70,"")</f>
      </c>
      <c r="D8687" s="15"/>
      <c r="E8687" s="15"/>
      <c r="F8687" s="11">
        <f t="shared" si="69"/>
      </c>
      <c r="G8687" s="22" cm="1">
        <f t="array" ref="G8687">IF(AND(Inputs!$C$60,Inputs!$C$61),INDEX(Utility_Rates!$C$29:$F$52,HOUR(C8687)+Inputs!$C$69,MATCH(INDEX(Utility_Rates!$K$6:$K$17,MONTH(C8687))&amp;IF(WEEKDAY(C8687,Inputs!$C$76)&lt;=Inputs!$C$74," weekday"," weekend"),Utility_Rates!$C$28:$F$28,Inputs!$C$68)),"")</f>
      </c>
      <c r="H8687" s="34"/>
      <c r="I8687" s="42">
        <f>IF(AND(ISNUMBER(D8687),ISNUMBER(H8687)),D8687*H8687*Inputs!$C$69,"")</f>
      </c>
      <c r="J8687" s="42">
        <f>IF(AND(ISNUMBER(F8687),ISNUMBER(H8687),F8687&gt;=Inputs!$C$68),F8687*H8687*Inputs!$C$69,"")</f>
      </c>
    </row>
    <row r="8688" spans="2:10" ht="15" customHeight="1" x14ac:dyDescent="0.2">
      <c r="B8688" s="39">
        <f t="shared" si="68"/>
      </c>
      <c r="C8688" s="40">
        <f>IF(Inputs!$C$60,Inputs!$C$11+(B8688-Inputs!$C$69)/Inputs!$C$70,"")</f>
      </c>
      <c r="D8688" s="15"/>
      <c r="E8688" s="15"/>
      <c r="F8688" s="11">
        <f t="shared" si="69"/>
      </c>
      <c r="G8688" s="22" cm="1">
        <f t="array" ref="G8688">IF(AND(Inputs!$C$60,Inputs!$C$61),INDEX(Utility_Rates!$C$29:$F$52,HOUR(C8688)+Inputs!$C$69,MATCH(INDEX(Utility_Rates!$K$6:$K$17,MONTH(C8688))&amp;IF(WEEKDAY(C8688,Inputs!$C$76)&lt;=Inputs!$C$74," weekday"," weekend"),Utility_Rates!$C$28:$F$28,Inputs!$C$68)),"")</f>
      </c>
      <c r="H8688" s="34"/>
      <c r="I8688" s="42">
        <f>IF(AND(ISNUMBER(D8688),ISNUMBER(H8688)),D8688*H8688*Inputs!$C$69,"")</f>
      </c>
      <c r="J8688" s="42">
        <f>IF(AND(ISNUMBER(F8688),ISNUMBER(H8688),F8688&gt;=Inputs!$C$68),F8688*H8688*Inputs!$C$69,"")</f>
      </c>
    </row>
    <row r="8689" spans="2:10" ht="15" customHeight="1" x14ac:dyDescent="0.2">
      <c r="B8689" s="39">
        <f t="shared" si="68"/>
      </c>
      <c r="C8689" s="40">
        <f>IF(Inputs!$C$60,Inputs!$C$11+(B8689-Inputs!$C$69)/Inputs!$C$70,"")</f>
      </c>
      <c r="D8689" s="15"/>
      <c r="E8689" s="15"/>
      <c r="F8689" s="11">
        <f t="shared" si="69"/>
      </c>
      <c r="G8689" s="22" cm="1">
        <f t="array" ref="G8689">IF(AND(Inputs!$C$60,Inputs!$C$61),INDEX(Utility_Rates!$C$29:$F$52,HOUR(C8689)+Inputs!$C$69,MATCH(INDEX(Utility_Rates!$K$6:$K$17,MONTH(C8689))&amp;IF(WEEKDAY(C8689,Inputs!$C$76)&lt;=Inputs!$C$74," weekday"," weekend"),Utility_Rates!$C$28:$F$28,Inputs!$C$68)),"")</f>
      </c>
      <c r="H8689" s="34"/>
      <c r="I8689" s="42">
        <f>IF(AND(ISNUMBER(D8689),ISNUMBER(H8689)),D8689*H8689*Inputs!$C$69,"")</f>
      </c>
      <c r="J8689" s="42">
        <f>IF(AND(ISNUMBER(F8689),ISNUMBER(H8689),F8689&gt;=Inputs!$C$68),F8689*H8689*Inputs!$C$69,"")</f>
      </c>
    </row>
    <row r="8690" spans="2:10" ht="15" customHeight="1" x14ac:dyDescent="0.2">
      <c r="B8690" s="39">
        <f t="shared" si="68"/>
      </c>
      <c r="C8690" s="40">
        <f>IF(Inputs!$C$60,Inputs!$C$11+(B8690-Inputs!$C$69)/Inputs!$C$70,"")</f>
      </c>
      <c r="D8690" s="15"/>
      <c r="E8690" s="15"/>
      <c r="F8690" s="11">
        <f t="shared" si="69"/>
      </c>
      <c r="G8690" s="22" cm="1">
        <f t="array" ref="G8690">IF(AND(Inputs!$C$60,Inputs!$C$61),INDEX(Utility_Rates!$C$29:$F$52,HOUR(C8690)+Inputs!$C$69,MATCH(INDEX(Utility_Rates!$K$6:$K$17,MONTH(C8690))&amp;IF(WEEKDAY(C8690,Inputs!$C$76)&lt;=Inputs!$C$74," weekday"," weekend"),Utility_Rates!$C$28:$F$28,Inputs!$C$68)),"")</f>
      </c>
      <c r="H8690" s="34"/>
      <c r="I8690" s="42">
        <f>IF(AND(ISNUMBER(D8690),ISNUMBER(H8690)),D8690*H8690*Inputs!$C$69,"")</f>
      </c>
      <c r="J8690" s="42">
        <f>IF(AND(ISNUMBER(F8690),ISNUMBER(H8690),F8690&gt;=Inputs!$C$68),F8690*H8690*Inputs!$C$69,"")</f>
      </c>
    </row>
    <row r="8691" spans="2:10" ht="15" customHeight="1" x14ac:dyDescent="0.2">
      <c r="B8691" s="39">
        <f t="shared" si="68"/>
      </c>
      <c r="C8691" s="40">
        <f>IF(Inputs!$C$60,Inputs!$C$11+(B8691-Inputs!$C$69)/Inputs!$C$70,"")</f>
      </c>
      <c r="D8691" s="15"/>
      <c r="E8691" s="15"/>
      <c r="F8691" s="11">
        <f t="shared" si="69"/>
      </c>
      <c r="G8691" s="22" cm="1">
        <f t="array" ref="G8691">IF(AND(Inputs!$C$60,Inputs!$C$61),INDEX(Utility_Rates!$C$29:$F$52,HOUR(C8691)+Inputs!$C$69,MATCH(INDEX(Utility_Rates!$K$6:$K$17,MONTH(C8691))&amp;IF(WEEKDAY(C8691,Inputs!$C$76)&lt;=Inputs!$C$74," weekday"," weekend"),Utility_Rates!$C$28:$F$28,Inputs!$C$68)),"")</f>
      </c>
      <c r="H8691" s="34"/>
      <c r="I8691" s="42">
        <f>IF(AND(ISNUMBER(D8691),ISNUMBER(H8691)),D8691*H8691*Inputs!$C$69,"")</f>
      </c>
      <c r="J8691" s="42">
        <f>IF(AND(ISNUMBER(F8691),ISNUMBER(H8691),F8691&gt;=Inputs!$C$68),F8691*H8691*Inputs!$C$69,"")</f>
      </c>
    </row>
    <row r="8692" spans="2:10" ht="15" customHeight="1" x14ac:dyDescent="0.2">
      <c r="B8692" s="39">
        <f t="shared" si="68"/>
      </c>
      <c r="C8692" s="40">
        <f>IF(Inputs!$C$60,Inputs!$C$11+(B8692-Inputs!$C$69)/Inputs!$C$70,"")</f>
      </c>
      <c r="D8692" s="15"/>
      <c r="E8692" s="15"/>
      <c r="F8692" s="11">
        <f t="shared" si="69"/>
      </c>
      <c r="G8692" s="22" cm="1">
        <f t="array" ref="G8692">IF(AND(Inputs!$C$60,Inputs!$C$61),INDEX(Utility_Rates!$C$29:$F$52,HOUR(C8692)+Inputs!$C$69,MATCH(INDEX(Utility_Rates!$K$6:$K$17,MONTH(C8692))&amp;IF(WEEKDAY(C8692,Inputs!$C$76)&lt;=Inputs!$C$74," weekday"," weekend"),Utility_Rates!$C$28:$F$28,Inputs!$C$68)),"")</f>
      </c>
      <c r="H8692" s="34"/>
      <c r="I8692" s="42">
        <f>IF(AND(ISNUMBER(D8692),ISNUMBER(H8692)),D8692*H8692*Inputs!$C$69,"")</f>
      </c>
      <c r="J8692" s="42">
        <f>IF(AND(ISNUMBER(F8692),ISNUMBER(H8692),F8692&gt;=Inputs!$C$68),F8692*H8692*Inputs!$C$69,"")</f>
      </c>
    </row>
    <row r="8693" spans="2:10" ht="15" customHeight="1" x14ac:dyDescent="0.2">
      <c r="B8693" s="39">
        <f t="shared" si="68"/>
      </c>
      <c r="C8693" s="40">
        <f>IF(Inputs!$C$60,Inputs!$C$11+(B8693-Inputs!$C$69)/Inputs!$C$70,"")</f>
      </c>
      <c r="D8693" s="15"/>
      <c r="E8693" s="15"/>
      <c r="F8693" s="11">
        <f t="shared" si="69"/>
      </c>
      <c r="G8693" s="22" cm="1">
        <f t="array" ref="G8693">IF(AND(Inputs!$C$60,Inputs!$C$61),INDEX(Utility_Rates!$C$29:$F$52,HOUR(C8693)+Inputs!$C$69,MATCH(INDEX(Utility_Rates!$K$6:$K$17,MONTH(C8693))&amp;IF(WEEKDAY(C8693,Inputs!$C$76)&lt;=Inputs!$C$74," weekday"," weekend"),Utility_Rates!$C$28:$F$28,Inputs!$C$68)),"")</f>
      </c>
      <c r="H8693" s="34"/>
      <c r="I8693" s="42">
        <f>IF(AND(ISNUMBER(D8693),ISNUMBER(H8693)),D8693*H8693*Inputs!$C$69,"")</f>
      </c>
      <c r="J8693" s="42">
        <f>IF(AND(ISNUMBER(F8693),ISNUMBER(H8693),F8693&gt;=Inputs!$C$68),F8693*H8693*Inputs!$C$69,"")</f>
      </c>
    </row>
    <row r="8694" spans="2:10" ht="15" customHeight="1" x14ac:dyDescent="0.2">
      <c r="B8694" s="39">
        <f t="shared" si="68"/>
      </c>
      <c r="C8694" s="40">
        <f>IF(Inputs!$C$60,Inputs!$C$11+(B8694-Inputs!$C$69)/Inputs!$C$70,"")</f>
      </c>
      <c r="D8694" s="15"/>
      <c r="E8694" s="15"/>
      <c r="F8694" s="11">
        <f t="shared" si="69"/>
      </c>
      <c r="G8694" s="22" cm="1">
        <f t="array" ref="G8694">IF(AND(Inputs!$C$60,Inputs!$C$61),INDEX(Utility_Rates!$C$29:$F$52,HOUR(C8694)+Inputs!$C$69,MATCH(INDEX(Utility_Rates!$K$6:$K$17,MONTH(C8694))&amp;IF(WEEKDAY(C8694,Inputs!$C$76)&lt;=Inputs!$C$74," weekday"," weekend"),Utility_Rates!$C$28:$F$28,Inputs!$C$68)),"")</f>
      </c>
      <c r="H8694" s="34"/>
      <c r="I8694" s="42">
        <f>IF(AND(ISNUMBER(D8694),ISNUMBER(H8694)),D8694*H8694*Inputs!$C$69,"")</f>
      </c>
      <c r="J8694" s="42">
        <f>IF(AND(ISNUMBER(F8694),ISNUMBER(H8694),F8694&gt;=Inputs!$C$68),F8694*H8694*Inputs!$C$69,"")</f>
      </c>
    </row>
    <row r="8695" spans="2:10" ht="15" customHeight="1" x14ac:dyDescent="0.2">
      <c r="B8695" s="39">
        <f t="shared" si="68"/>
      </c>
      <c r="C8695" s="40">
        <f>IF(Inputs!$C$60,Inputs!$C$11+(B8695-Inputs!$C$69)/Inputs!$C$70,"")</f>
      </c>
      <c r="D8695" s="15"/>
      <c r="E8695" s="15"/>
      <c r="F8695" s="11">
        <f t="shared" si="69"/>
      </c>
      <c r="G8695" s="22" cm="1">
        <f t="array" ref="G8695">IF(AND(Inputs!$C$60,Inputs!$C$61),INDEX(Utility_Rates!$C$29:$F$52,HOUR(C8695)+Inputs!$C$69,MATCH(INDEX(Utility_Rates!$K$6:$K$17,MONTH(C8695))&amp;IF(WEEKDAY(C8695,Inputs!$C$76)&lt;=Inputs!$C$74," weekday"," weekend"),Utility_Rates!$C$28:$F$28,Inputs!$C$68)),"")</f>
      </c>
      <c r="H8695" s="34"/>
      <c r="I8695" s="42">
        <f>IF(AND(ISNUMBER(D8695),ISNUMBER(H8695)),D8695*H8695*Inputs!$C$69,"")</f>
      </c>
      <c r="J8695" s="42">
        <f>IF(AND(ISNUMBER(F8695),ISNUMBER(H8695),F8695&gt;=Inputs!$C$68),F8695*H8695*Inputs!$C$69,"")</f>
      </c>
    </row>
    <row r="8696" spans="2:10" ht="15" customHeight="1" x14ac:dyDescent="0.2">
      <c r="B8696" s="39">
        <f t="shared" si="68"/>
      </c>
      <c r="C8696" s="40">
        <f>IF(Inputs!$C$60,Inputs!$C$11+(B8696-Inputs!$C$69)/Inputs!$C$70,"")</f>
      </c>
      <c r="D8696" s="15"/>
      <c r="E8696" s="15"/>
      <c r="F8696" s="11">
        <f t="shared" si="69"/>
      </c>
      <c r="G8696" s="22" cm="1">
        <f t="array" ref="G8696">IF(AND(Inputs!$C$60,Inputs!$C$61),INDEX(Utility_Rates!$C$29:$F$52,HOUR(C8696)+Inputs!$C$69,MATCH(INDEX(Utility_Rates!$K$6:$K$17,MONTH(C8696))&amp;IF(WEEKDAY(C8696,Inputs!$C$76)&lt;=Inputs!$C$74," weekday"," weekend"),Utility_Rates!$C$28:$F$28,Inputs!$C$68)),"")</f>
      </c>
      <c r="H8696" s="34"/>
      <c r="I8696" s="42">
        <f>IF(AND(ISNUMBER(D8696),ISNUMBER(H8696)),D8696*H8696*Inputs!$C$69,"")</f>
      </c>
      <c r="J8696" s="42">
        <f>IF(AND(ISNUMBER(F8696),ISNUMBER(H8696),F8696&gt;=Inputs!$C$68),F8696*H8696*Inputs!$C$69,"")</f>
      </c>
    </row>
    <row r="8697" spans="2:10" ht="15" customHeight="1" x14ac:dyDescent="0.2">
      <c r="B8697" s="39">
        <f t="shared" si="68"/>
      </c>
      <c r="C8697" s="40">
        <f>IF(Inputs!$C$60,Inputs!$C$11+(B8697-Inputs!$C$69)/Inputs!$C$70,"")</f>
      </c>
      <c r="D8697" s="15"/>
      <c r="E8697" s="15"/>
      <c r="F8697" s="11">
        <f t="shared" si="69"/>
      </c>
      <c r="G8697" s="22" cm="1">
        <f t="array" ref="G8697">IF(AND(Inputs!$C$60,Inputs!$C$61),INDEX(Utility_Rates!$C$29:$F$52,HOUR(C8697)+Inputs!$C$69,MATCH(INDEX(Utility_Rates!$K$6:$K$17,MONTH(C8697))&amp;IF(WEEKDAY(C8697,Inputs!$C$76)&lt;=Inputs!$C$74," weekday"," weekend"),Utility_Rates!$C$28:$F$28,Inputs!$C$68)),"")</f>
      </c>
      <c r="H8697" s="34"/>
      <c r="I8697" s="42">
        <f>IF(AND(ISNUMBER(D8697),ISNUMBER(H8697)),D8697*H8697*Inputs!$C$69,"")</f>
      </c>
      <c r="J8697" s="42">
        <f>IF(AND(ISNUMBER(F8697),ISNUMBER(H8697),F8697&gt;=Inputs!$C$68),F8697*H8697*Inputs!$C$69,"")</f>
      </c>
    </row>
    <row r="8698" spans="2:10" ht="15" customHeight="1" x14ac:dyDescent="0.2">
      <c r="B8698" s="39">
        <f t="shared" si="68"/>
      </c>
      <c r="C8698" s="40">
        <f>IF(Inputs!$C$60,Inputs!$C$11+(B8698-Inputs!$C$69)/Inputs!$C$70,"")</f>
      </c>
      <c r="D8698" s="15"/>
      <c r="E8698" s="15"/>
      <c r="F8698" s="11">
        <f t="shared" si="69"/>
      </c>
      <c r="G8698" s="22" cm="1">
        <f t="array" ref="G8698">IF(AND(Inputs!$C$60,Inputs!$C$61),INDEX(Utility_Rates!$C$29:$F$52,HOUR(C8698)+Inputs!$C$69,MATCH(INDEX(Utility_Rates!$K$6:$K$17,MONTH(C8698))&amp;IF(WEEKDAY(C8698,Inputs!$C$76)&lt;=Inputs!$C$74," weekday"," weekend"),Utility_Rates!$C$28:$F$28,Inputs!$C$68)),"")</f>
      </c>
      <c r="H8698" s="34"/>
      <c r="I8698" s="42">
        <f>IF(AND(ISNUMBER(D8698),ISNUMBER(H8698)),D8698*H8698*Inputs!$C$69,"")</f>
      </c>
      <c r="J8698" s="42">
        <f>IF(AND(ISNUMBER(F8698),ISNUMBER(H8698),F8698&gt;=Inputs!$C$68),F8698*H8698*Inputs!$C$69,"")</f>
      </c>
    </row>
    <row r="8699" spans="2:10" ht="15" customHeight="1" x14ac:dyDescent="0.2">
      <c r="B8699" s="39">
        <f t="shared" si="68"/>
      </c>
      <c r="C8699" s="40">
        <f>IF(Inputs!$C$60,Inputs!$C$11+(B8699-Inputs!$C$69)/Inputs!$C$70,"")</f>
      </c>
      <c r="D8699" s="15"/>
      <c r="E8699" s="15"/>
      <c r="F8699" s="11">
        <f t="shared" si="69"/>
      </c>
      <c r="G8699" s="22" cm="1">
        <f t="array" ref="G8699">IF(AND(Inputs!$C$60,Inputs!$C$61),INDEX(Utility_Rates!$C$29:$F$52,HOUR(C8699)+Inputs!$C$69,MATCH(INDEX(Utility_Rates!$K$6:$K$17,MONTH(C8699))&amp;IF(WEEKDAY(C8699,Inputs!$C$76)&lt;=Inputs!$C$74," weekday"," weekend"),Utility_Rates!$C$28:$F$28,Inputs!$C$68)),"")</f>
      </c>
      <c r="H8699" s="34"/>
      <c r="I8699" s="42">
        <f>IF(AND(ISNUMBER(D8699),ISNUMBER(H8699)),D8699*H8699*Inputs!$C$69,"")</f>
      </c>
      <c r="J8699" s="42">
        <f>IF(AND(ISNUMBER(F8699),ISNUMBER(H8699),F8699&gt;=Inputs!$C$68),F8699*H8699*Inputs!$C$69,"")</f>
      </c>
    </row>
    <row r="8700" spans="2:10" ht="15" customHeight="1" x14ac:dyDescent="0.2">
      <c r="B8700" s="39">
        <f t="shared" si="68"/>
      </c>
      <c r="C8700" s="40">
        <f>IF(Inputs!$C$60,Inputs!$C$11+(B8700-Inputs!$C$69)/Inputs!$C$70,"")</f>
      </c>
      <c r="D8700" s="15"/>
      <c r="E8700" s="15"/>
      <c r="F8700" s="11">
        <f t="shared" si="69"/>
      </c>
      <c r="G8700" s="22" cm="1">
        <f t="array" ref="G8700">IF(AND(Inputs!$C$60,Inputs!$C$61),INDEX(Utility_Rates!$C$29:$F$52,HOUR(C8700)+Inputs!$C$69,MATCH(INDEX(Utility_Rates!$K$6:$K$17,MONTH(C8700))&amp;IF(WEEKDAY(C8700,Inputs!$C$76)&lt;=Inputs!$C$74," weekday"," weekend"),Utility_Rates!$C$28:$F$28,Inputs!$C$68)),"")</f>
      </c>
      <c r="H8700" s="34"/>
      <c r="I8700" s="42">
        <f>IF(AND(ISNUMBER(D8700),ISNUMBER(H8700)),D8700*H8700*Inputs!$C$69,"")</f>
      </c>
      <c r="J8700" s="42">
        <f>IF(AND(ISNUMBER(F8700),ISNUMBER(H8700),F8700&gt;=Inputs!$C$68),F8700*H8700*Inputs!$C$69,"")</f>
      </c>
    </row>
    <row r="8701" spans="2:10" ht="15" customHeight="1" x14ac:dyDescent="0.2">
      <c r="B8701" s="39">
        <f t="shared" si="68"/>
      </c>
      <c r="C8701" s="40">
        <f>IF(Inputs!$C$60,Inputs!$C$11+(B8701-Inputs!$C$69)/Inputs!$C$70,"")</f>
      </c>
      <c r="D8701" s="15"/>
      <c r="E8701" s="15"/>
      <c r="F8701" s="11">
        <f t="shared" si="69"/>
      </c>
      <c r="G8701" s="22" cm="1">
        <f t="array" ref="G8701">IF(AND(Inputs!$C$60,Inputs!$C$61),INDEX(Utility_Rates!$C$29:$F$52,HOUR(C8701)+Inputs!$C$69,MATCH(INDEX(Utility_Rates!$K$6:$K$17,MONTH(C8701))&amp;IF(WEEKDAY(C8701,Inputs!$C$76)&lt;=Inputs!$C$74," weekday"," weekend"),Utility_Rates!$C$28:$F$28,Inputs!$C$68)),"")</f>
      </c>
      <c r="H8701" s="34"/>
      <c r="I8701" s="42">
        <f>IF(AND(ISNUMBER(D8701),ISNUMBER(H8701)),D8701*H8701*Inputs!$C$69,"")</f>
      </c>
      <c r="J8701" s="42">
        <f>IF(AND(ISNUMBER(F8701),ISNUMBER(H8701),F8701&gt;=Inputs!$C$68),F8701*H8701*Inputs!$C$69,"")</f>
      </c>
    </row>
    <row r="8702" spans="2:10" ht="15" customHeight="1" x14ac:dyDescent="0.2">
      <c r="B8702" s="39">
        <f t="shared" si="68"/>
      </c>
      <c r="C8702" s="40">
        <f>IF(Inputs!$C$60,Inputs!$C$11+(B8702-Inputs!$C$69)/Inputs!$C$70,"")</f>
      </c>
      <c r="D8702" s="15"/>
      <c r="E8702" s="15"/>
      <c r="F8702" s="11">
        <f t="shared" si="69"/>
      </c>
      <c r="G8702" s="22" cm="1">
        <f t="array" ref="G8702">IF(AND(Inputs!$C$60,Inputs!$C$61),INDEX(Utility_Rates!$C$29:$F$52,HOUR(C8702)+Inputs!$C$69,MATCH(INDEX(Utility_Rates!$K$6:$K$17,MONTH(C8702))&amp;IF(WEEKDAY(C8702,Inputs!$C$76)&lt;=Inputs!$C$74," weekday"," weekend"),Utility_Rates!$C$28:$F$28,Inputs!$C$68)),"")</f>
      </c>
      <c r="H8702" s="34"/>
      <c r="I8702" s="42">
        <f>IF(AND(ISNUMBER(D8702),ISNUMBER(H8702)),D8702*H8702*Inputs!$C$69,"")</f>
      </c>
      <c r="J8702" s="42">
        <f>IF(AND(ISNUMBER(F8702),ISNUMBER(H8702),F8702&gt;=Inputs!$C$68),F8702*H8702*Inputs!$C$69,"")</f>
      </c>
    </row>
    <row r="8703" spans="2:10" ht="15" customHeight="1" x14ac:dyDescent="0.2">
      <c r="B8703" s="39">
        <f t="shared" si="68"/>
      </c>
      <c r="C8703" s="40">
        <f>IF(Inputs!$C$60,Inputs!$C$11+(B8703-Inputs!$C$69)/Inputs!$C$70,"")</f>
      </c>
      <c r="D8703" s="15"/>
      <c r="E8703" s="15"/>
      <c r="F8703" s="11">
        <f t="shared" si="69"/>
      </c>
      <c r="G8703" s="22" cm="1">
        <f t="array" ref="G8703">IF(AND(Inputs!$C$60,Inputs!$C$61),INDEX(Utility_Rates!$C$29:$F$52,HOUR(C8703)+Inputs!$C$69,MATCH(INDEX(Utility_Rates!$K$6:$K$17,MONTH(C8703))&amp;IF(WEEKDAY(C8703,Inputs!$C$76)&lt;=Inputs!$C$74," weekday"," weekend"),Utility_Rates!$C$28:$F$28,Inputs!$C$68)),"")</f>
      </c>
      <c r="H8703" s="34"/>
      <c r="I8703" s="42">
        <f>IF(AND(ISNUMBER(D8703),ISNUMBER(H8703)),D8703*H8703*Inputs!$C$69,"")</f>
      </c>
      <c r="J8703" s="42">
        <f>IF(AND(ISNUMBER(F8703),ISNUMBER(H8703),F8703&gt;=Inputs!$C$68),F8703*H8703*Inputs!$C$69,"")</f>
      </c>
    </row>
    <row r="8704" spans="2:10" ht="15" customHeight="1" x14ac:dyDescent="0.2">
      <c r="B8704" s="39">
        <f t="shared" si="68"/>
      </c>
      <c r="C8704" s="40">
        <f>IF(Inputs!$C$60,Inputs!$C$11+(B8704-Inputs!$C$69)/Inputs!$C$70,"")</f>
      </c>
      <c r="D8704" s="15"/>
      <c r="E8704" s="15"/>
      <c r="F8704" s="11">
        <f t="shared" si="69"/>
      </c>
      <c r="G8704" s="22" cm="1">
        <f t="array" ref="G8704">IF(AND(Inputs!$C$60,Inputs!$C$61),INDEX(Utility_Rates!$C$29:$F$52,HOUR(C8704)+Inputs!$C$69,MATCH(INDEX(Utility_Rates!$K$6:$K$17,MONTH(C8704))&amp;IF(WEEKDAY(C8704,Inputs!$C$76)&lt;=Inputs!$C$74," weekday"," weekend"),Utility_Rates!$C$28:$F$28,Inputs!$C$68)),"")</f>
      </c>
      <c r="H8704" s="34"/>
      <c r="I8704" s="42">
        <f>IF(AND(ISNUMBER(D8704),ISNUMBER(H8704)),D8704*H8704*Inputs!$C$69,"")</f>
      </c>
      <c r="J8704" s="42">
        <f>IF(AND(ISNUMBER(F8704),ISNUMBER(H8704),F8704&gt;=Inputs!$C$68),F8704*H8704*Inputs!$C$69,"")</f>
      </c>
    </row>
    <row r="8705" spans="2:10" ht="15" customHeight="1" x14ac:dyDescent="0.2">
      <c r="B8705" s="39">
        <f t="shared" si="68"/>
      </c>
      <c r="C8705" s="40">
        <f>IF(Inputs!$C$60,Inputs!$C$11+(B8705-Inputs!$C$69)/Inputs!$C$70,"")</f>
      </c>
      <c r="D8705" s="15"/>
      <c r="E8705" s="15"/>
      <c r="F8705" s="11">
        <f t="shared" si="69"/>
      </c>
      <c r="G8705" s="22" cm="1">
        <f t="array" ref="G8705">IF(AND(Inputs!$C$60,Inputs!$C$61),INDEX(Utility_Rates!$C$29:$F$52,HOUR(C8705)+Inputs!$C$69,MATCH(INDEX(Utility_Rates!$K$6:$K$17,MONTH(C8705))&amp;IF(WEEKDAY(C8705,Inputs!$C$76)&lt;=Inputs!$C$74," weekday"," weekend"),Utility_Rates!$C$28:$F$28,Inputs!$C$68)),"")</f>
      </c>
      <c r="H8705" s="34"/>
      <c r="I8705" s="42">
        <f>IF(AND(ISNUMBER(D8705),ISNUMBER(H8705)),D8705*H8705*Inputs!$C$69,"")</f>
      </c>
      <c r="J8705" s="42">
        <f>IF(AND(ISNUMBER(F8705),ISNUMBER(H8705),F8705&gt;=Inputs!$C$68),F8705*H8705*Inputs!$C$69,"")</f>
      </c>
    </row>
    <row r="8706" spans="2:10" ht="15" customHeight="1" x14ac:dyDescent="0.2">
      <c r="B8706" s="39">
        <f t="shared" si="68"/>
      </c>
      <c r="C8706" s="40">
        <f>IF(Inputs!$C$60,Inputs!$C$11+(B8706-Inputs!$C$69)/Inputs!$C$70,"")</f>
      </c>
      <c r="D8706" s="15"/>
      <c r="E8706" s="15"/>
      <c r="F8706" s="11">
        <f t="shared" si="69"/>
      </c>
      <c r="G8706" s="22" cm="1">
        <f t="array" ref="G8706">IF(AND(Inputs!$C$60,Inputs!$C$61),INDEX(Utility_Rates!$C$29:$F$52,HOUR(C8706)+Inputs!$C$69,MATCH(INDEX(Utility_Rates!$K$6:$K$17,MONTH(C8706))&amp;IF(WEEKDAY(C8706,Inputs!$C$76)&lt;=Inputs!$C$74," weekday"," weekend"),Utility_Rates!$C$28:$F$28,Inputs!$C$68)),"")</f>
      </c>
      <c r="H8706" s="34"/>
      <c r="I8706" s="42">
        <f>IF(AND(ISNUMBER(D8706),ISNUMBER(H8706)),D8706*H8706*Inputs!$C$69,"")</f>
      </c>
      <c r="J8706" s="42">
        <f>IF(AND(ISNUMBER(F8706),ISNUMBER(H8706),F8706&gt;=Inputs!$C$68),F8706*H8706*Inputs!$C$69,"")</f>
      </c>
    </row>
    <row r="8707" spans="2:10" ht="15" customHeight="1" x14ac:dyDescent="0.2">
      <c r="B8707" s="39">
        <f t="shared" si="68"/>
      </c>
      <c r="C8707" s="40">
        <f>IF(Inputs!$C$60,Inputs!$C$11+(B8707-Inputs!$C$69)/Inputs!$C$70,"")</f>
      </c>
      <c r="D8707" s="15"/>
      <c r="E8707" s="15"/>
      <c r="F8707" s="11">
        <f t="shared" si="69"/>
      </c>
      <c r="G8707" s="22" cm="1">
        <f t="array" ref="G8707">IF(AND(Inputs!$C$60,Inputs!$C$61),INDEX(Utility_Rates!$C$29:$F$52,HOUR(C8707)+Inputs!$C$69,MATCH(INDEX(Utility_Rates!$K$6:$K$17,MONTH(C8707))&amp;IF(WEEKDAY(C8707,Inputs!$C$76)&lt;=Inputs!$C$74," weekday"," weekend"),Utility_Rates!$C$28:$F$28,Inputs!$C$68)),"")</f>
      </c>
      <c r="H8707" s="34"/>
      <c r="I8707" s="42">
        <f>IF(AND(ISNUMBER(D8707),ISNUMBER(H8707)),D8707*H8707*Inputs!$C$69,"")</f>
      </c>
      <c r="J8707" s="42">
        <f>IF(AND(ISNUMBER(F8707),ISNUMBER(H8707),F8707&gt;=Inputs!$C$68),F8707*H8707*Inputs!$C$69,"")</f>
      </c>
    </row>
    <row r="8708" spans="2:10" ht="15" customHeight="1" x14ac:dyDescent="0.2">
      <c r="B8708" s="39">
        <f t="shared" si="68"/>
      </c>
      <c r="C8708" s="40">
        <f>IF(Inputs!$C$60,Inputs!$C$11+(B8708-Inputs!$C$69)/Inputs!$C$70,"")</f>
      </c>
      <c r="D8708" s="15"/>
      <c r="E8708" s="15"/>
      <c r="F8708" s="11">
        <f t="shared" si="69"/>
      </c>
      <c r="G8708" s="22" cm="1">
        <f t="array" ref="G8708">IF(AND(Inputs!$C$60,Inputs!$C$61),INDEX(Utility_Rates!$C$29:$F$52,HOUR(C8708)+Inputs!$C$69,MATCH(INDEX(Utility_Rates!$K$6:$K$17,MONTH(C8708))&amp;IF(WEEKDAY(C8708,Inputs!$C$76)&lt;=Inputs!$C$74," weekday"," weekend"),Utility_Rates!$C$28:$F$28,Inputs!$C$68)),"")</f>
      </c>
      <c r="H8708" s="34"/>
      <c r="I8708" s="42">
        <f>IF(AND(ISNUMBER(D8708),ISNUMBER(H8708)),D8708*H8708*Inputs!$C$69,"")</f>
      </c>
      <c r="J8708" s="42">
        <f>IF(AND(ISNUMBER(F8708),ISNUMBER(H8708),F8708&gt;=Inputs!$C$68),F8708*H8708*Inputs!$C$69,"")</f>
      </c>
    </row>
    <row r="8709" spans="2:10" ht="15" customHeight="1" x14ac:dyDescent="0.2">
      <c r="B8709" s="39">
        <f t="shared" si="68"/>
      </c>
      <c r="C8709" s="40">
        <f>IF(Inputs!$C$60,Inputs!$C$11+(B8709-Inputs!$C$69)/Inputs!$C$70,"")</f>
      </c>
      <c r="D8709" s="15"/>
      <c r="E8709" s="15"/>
      <c r="F8709" s="11">
        <f t="shared" si="69"/>
      </c>
      <c r="G8709" s="22" cm="1">
        <f t="array" ref="G8709">IF(AND(Inputs!$C$60,Inputs!$C$61),INDEX(Utility_Rates!$C$29:$F$52,HOUR(C8709)+Inputs!$C$69,MATCH(INDEX(Utility_Rates!$K$6:$K$17,MONTH(C8709))&amp;IF(WEEKDAY(C8709,Inputs!$C$76)&lt;=Inputs!$C$74," weekday"," weekend"),Utility_Rates!$C$28:$F$28,Inputs!$C$68)),"")</f>
      </c>
      <c r="H8709" s="34"/>
      <c r="I8709" s="42">
        <f>IF(AND(ISNUMBER(D8709),ISNUMBER(H8709)),D8709*H8709*Inputs!$C$69,"")</f>
      </c>
      <c r="J8709" s="42">
        <f>IF(AND(ISNUMBER(F8709),ISNUMBER(H8709),F8709&gt;=Inputs!$C$68),F8709*H8709*Inputs!$C$69,"")</f>
      </c>
    </row>
    <row r="8710" spans="2:10" ht="15" customHeight="1" x14ac:dyDescent="0.2">
      <c r="B8710" s="39">
        <f t="shared" si="68"/>
      </c>
      <c r="C8710" s="40">
        <f>IF(Inputs!$C$60,Inputs!$C$11+(B8710-Inputs!$C$69)/Inputs!$C$70,"")</f>
      </c>
      <c r="D8710" s="15"/>
      <c r="E8710" s="15"/>
      <c r="F8710" s="11">
        <f t="shared" si="69"/>
      </c>
      <c r="G8710" s="22" cm="1">
        <f t="array" ref="G8710">IF(AND(Inputs!$C$60,Inputs!$C$61),INDEX(Utility_Rates!$C$29:$F$52,HOUR(C8710)+Inputs!$C$69,MATCH(INDEX(Utility_Rates!$K$6:$K$17,MONTH(C8710))&amp;IF(WEEKDAY(C8710,Inputs!$C$76)&lt;=Inputs!$C$74," weekday"," weekend"),Utility_Rates!$C$28:$F$28,Inputs!$C$68)),"")</f>
      </c>
      <c r="H8710" s="34"/>
      <c r="I8710" s="42">
        <f>IF(AND(ISNUMBER(D8710),ISNUMBER(H8710)),D8710*H8710*Inputs!$C$69,"")</f>
      </c>
      <c r="J8710" s="42">
        <f>IF(AND(ISNUMBER(F8710),ISNUMBER(H8710),F8710&gt;=Inputs!$C$68),F8710*H8710*Inputs!$C$69,"")</f>
      </c>
    </row>
    <row r="8711" spans="2:10" ht="15" customHeight="1" x14ac:dyDescent="0.2">
      <c r="B8711" s="39">
        <f t="shared" si="68"/>
      </c>
      <c r="C8711" s="40">
        <f>IF(Inputs!$C$60,Inputs!$C$11+(B8711-Inputs!$C$69)/Inputs!$C$70,"")</f>
      </c>
      <c r="D8711" s="15"/>
      <c r="E8711" s="15"/>
      <c r="F8711" s="11">
        <f t="shared" si="69"/>
      </c>
      <c r="G8711" s="22" cm="1">
        <f t="array" ref="G8711">IF(AND(Inputs!$C$60,Inputs!$C$61),INDEX(Utility_Rates!$C$29:$F$52,HOUR(C8711)+Inputs!$C$69,MATCH(INDEX(Utility_Rates!$K$6:$K$17,MONTH(C8711))&amp;IF(WEEKDAY(C8711,Inputs!$C$76)&lt;=Inputs!$C$74," weekday"," weekend"),Utility_Rates!$C$28:$F$28,Inputs!$C$68)),"")</f>
      </c>
      <c r="H8711" s="34"/>
      <c r="I8711" s="42">
        <f>IF(AND(ISNUMBER(D8711),ISNUMBER(H8711)),D8711*H8711*Inputs!$C$69,"")</f>
      </c>
      <c r="J8711" s="42">
        <f>IF(AND(ISNUMBER(F8711),ISNUMBER(H8711),F8711&gt;=Inputs!$C$68),F8711*H8711*Inputs!$C$69,"")</f>
      </c>
    </row>
    <row r="8712" spans="2:10" ht="15" customHeight="1" x14ac:dyDescent="0.2">
      <c r="B8712" s="39">
        <f t="shared" si="68"/>
      </c>
      <c r="C8712" s="40">
        <f>IF(Inputs!$C$60,Inputs!$C$11+(B8712-Inputs!$C$69)/Inputs!$C$70,"")</f>
      </c>
      <c r="D8712" s="15"/>
      <c r="E8712" s="15"/>
      <c r="F8712" s="11">
        <f t="shared" si="69"/>
      </c>
      <c r="G8712" s="22" cm="1">
        <f t="array" ref="G8712">IF(AND(Inputs!$C$60,Inputs!$C$61),INDEX(Utility_Rates!$C$29:$F$52,HOUR(C8712)+Inputs!$C$69,MATCH(INDEX(Utility_Rates!$K$6:$K$17,MONTH(C8712))&amp;IF(WEEKDAY(C8712,Inputs!$C$76)&lt;=Inputs!$C$74," weekday"," weekend"),Utility_Rates!$C$28:$F$28,Inputs!$C$68)),"")</f>
      </c>
      <c r="H8712" s="34"/>
      <c r="I8712" s="42">
        <f>IF(AND(ISNUMBER(D8712),ISNUMBER(H8712)),D8712*H8712*Inputs!$C$69,"")</f>
      </c>
      <c r="J8712" s="42">
        <f>IF(AND(ISNUMBER(F8712),ISNUMBER(H8712),F8712&gt;=Inputs!$C$68),F8712*H8712*Inputs!$C$69,"")</f>
      </c>
    </row>
    <row r="8713" spans="2:10" ht="15" customHeight="1" x14ac:dyDescent="0.2">
      <c r="B8713" s="39">
        <f t="shared" si="68"/>
      </c>
      <c r="C8713" s="40">
        <f>IF(Inputs!$C$60,Inputs!$C$11+(B8713-Inputs!$C$69)/Inputs!$C$70,"")</f>
      </c>
      <c r="D8713" s="15"/>
      <c r="E8713" s="15"/>
      <c r="F8713" s="11">
        <f t="shared" si="69"/>
      </c>
      <c r="G8713" s="22" cm="1">
        <f t="array" ref="G8713">IF(AND(Inputs!$C$60,Inputs!$C$61),INDEX(Utility_Rates!$C$29:$F$52,HOUR(C8713)+Inputs!$C$69,MATCH(INDEX(Utility_Rates!$K$6:$K$17,MONTH(C8713))&amp;IF(WEEKDAY(C8713,Inputs!$C$76)&lt;=Inputs!$C$74," weekday"," weekend"),Utility_Rates!$C$28:$F$28,Inputs!$C$68)),"")</f>
      </c>
      <c r="H8713" s="34"/>
      <c r="I8713" s="42">
        <f>IF(AND(ISNUMBER(D8713),ISNUMBER(H8713)),D8713*H8713*Inputs!$C$69,"")</f>
      </c>
      <c r="J8713" s="42">
        <f>IF(AND(ISNUMBER(F8713),ISNUMBER(H8713),F8713&gt;=Inputs!$C$68),F8713*H8713*Inputs!$C$69,"")</f>
      </c>
    </row>
    <row r="8714" spans="2:10" ht="15" customHeight="1" x14ac:dyDescent="0.2">
      <c r="B8714" s="39">
        <f t="shared" si="68"/>
      </c>
      <c r="C8714" s="40">
        <f>IF(Inputs!$C$60,Inputs!$C$11+(B8714-Inputs!$C$69)/Inputs!$C$70,"")</f>
      </c>
      <c r="D8714" s="15"/>
      <c r="E8714" s="15"/>
      <c r="F8714" s="11">
        <f t="shared" si="69"/>
      </c>
      <c r="G8714" s="22" cm="1">
        <f t="array" ref="G8714">IF(AND(Inputs!$C$60,Inputs!$C$61),INDEX(Utility_Rates!$C$29:$F$52,HOUR(C8714)+Inputs!$C$69,MATCH(INDEX(Utility_Rates!$K$6:$K$17,MONTH(C8714))&amp;IF(WEEKDAY(C8714,Inputs!$C$76)&lt;=Inputs!$C$74," weekday"," weekend"),Utility_Rates!$C$28:$F$28,Inputs!$C$68)),"")</f>
      </c>
      <c r="H8714" s="34"/>
      <c r="I8714" s="42">
        <f>IF(AND(ISNUMBER(D8714),ISNUMBER(H8714)),D8714*H8714*Inputs!$C$69,"")</f>
      </c>
      <c r="J8714" s="42">
        <f>IF(AND(ISNUMBER(F8714),ISNUMBER(H8714),F8714&gt;=Inputs!$C$68),F8714*H8714*Inputs!$C$69,"")</f>
      </c>
    </row>
    <row r="8715" spans="2:10" ht="15" customHeight="1" x14ac:dyDescent="0.2">
      <c r="B8715" s="39">
        <f t="shared" si="68"/>
      </c>
      <c r="C8715" s="40">
        <f>IF(Inputs!$C$60,Inputs!$C$11+(B8715-Inputs!$C$69)/Inputs!$C$70,"")</f>
      </c>
      <c r="D8715" s="15"/>
      <c r="E8715" s="15"/>
      <c r="F8715" s="11">
        <f t="shared" si="69"/>
      </c>
      <c r="G8715" s="22" cm="1">
        <f t="array" ref="G8715">IF(AND(Inputs!$C$60,Inputs!$C$61),INDEX(Utility_Rates!$C$29:$F$52,HOUR(C8715)+Inputs!$C$69,MATCH(INDEX(Utility_Rates!$K$6:$K$17,MONTH(C8715))&amp;IF(WEEKDAY(C8715,Inputs!$C$76)&lt;=Inputs!$C$74," weekday"," weekend"),Utility_Rates!$C$28:$F$28,Inputs!$C$68)),"")</f>
      </c>
      <c r="H8715" s="34"/>
      <c r="I8715" s="42">
        <f>IF(AND(ISNUMBER(D8715),ISNUMBER(H8715)),D8715*H8715*Inputs!$C$69,"")</f>
      </c>
      <c r="J8715" s="42">
        <f>IF(AND(ISNUMBER(F8715),ISNUMBER(H8715),F8715&gt;=Inputs!$C$68),F8715*H8715*Inputs!$C$69,"")</f>
      </c>
    </row>
    <row r="8716" spans="2:10" ht="15" customHeight="1" x14ac:dyDescent="0.2">
      <c r="B8716" s="39">
        <f t="shared" si="68"/>
      </c>
      <c r="C8716" s="40">
        <f>IF(Inputs!$C$60,Inputs!$C$11+(B8716-Inputs!$C$69)/Inputs!$C$70,"")</f>
      </c>
      <c r="D8716" s="15"/>
      <c r="E8716" s="15"/>
      <c r="F8716" s="11">
        <f t="shared" si="69"/>
      </c>
      <c r="G8716" s="22" cm="1">
        <f t="array" ref="G8716">IF(AND(Inputs!$C$60,Inputs!$C$61),INDEX(Utility_Rates!$C$29:$F$52,HOUR(C8716)+Inputs!$C$69,MATCH(INDEX(Utility_Rates!$K$6:$K$17,MONTH(C8716))&amp;IF(WEEKDAY(C8716,Inputs!$C$76)&lt;=Inputs!$C$74," weekday"," weekend"),Utility_Rates!$C$28:$F$28,Inputs!$C$68)),"")</f>
      </c>
      <c r="H8716" s="34"/>
      <c r="I8716" s="42">
        <f>IF(AND(ISNUMBER(D8716),ISNUMBER(H8716)),D8716*H8716*Inputs!$C$69,"")</f>
      </c>
      <c r="J8716" s="42">
        <f>IF(AND(ISNUMBER(F8716),ISNUMBER(H8716),F8716&gt;=Inputs!$C$68),F8716*H8716*Inputs!$C$69,"")</f>
      </c>
    </row>
    <row r="8717" spans="2:10" ht="15" customHeight="1" x14ac:dyDescent="0.2">
      <c r="B8717" s="39">
        <f t="shared" si="68"/>
      </c>
      <c r="C8717" s="40">
        <f>IF(Inputs!$C$60,Inputs!$C$11+(B8717-Inputs!$C$69)/Inputs!$C$70,"")</f>
      </c>
      <c r="D8717" s="15"/>
      <c r="E8717" s="15"/>
      <c r="F8717" s="11">
        <f t="shared" si="69"/>
      </c>
      <c r="G8717" s="22" cm="1">
        <f t="array" ref="G8717">IF(AND(Inputs!$C$60,Inputs!$C$61),INDEX(Utility_Rates!$C$29:$F$52,HOUR(C8717)+Inputs!$C$69,MATCH(INDEX(Utility_Rates!$K$6:$K$17,MONTH(C8717))&amp;IF(WEEKDAY(C8717,Inputs!$C$76)&lt;=Inputs!$C$74," weekday"," weekend"),Utility_Rates!$C$28:$F$28,Inputs!$C$68)),"")</f>
      </c>
      <c r="H8717" s="34"/>
      <c r="I8717" s="42">
        <f>IF(AND(ISNUMBER(D8717),ISNUMBER(H8717)),D8717*H8717*Inputs!$C$69,"")</f>
      </c>
      <c r="J8717" s="42">
        <f>IF(AND(ISNUMBER(F8717),ISNUMBER(H8717),F8717&gt;=Inputs!$C$68),F8717*H8717*Inputs!$C$69,"")</f>
      </c>
    </row>
    <row r="8718" spans="2:10" ht="15" customHeight="1" x14ac:dyDescent="0.2">
      <c r="B8718" s="39">
        <f t="shared" si="68"/>
      </c>
      <c r="C8718" s="40">
        <f>IF(Inputs!$C$60,Inputs!$C$11+(B8718-Inputs!$C$69)/Inputs!$C$70,"")</f>
      </c>
      <c r="D8718" s="15"/>
      <c r="E8718" s="15"/>
      <c r="F8718" s="11">
        <f t="shared" si="69"/>
      </c>
      <c r="G8718" s="22" cm="1">
        <f t="array" ref="G8718">IF(AND(Inputs!$C$60,Inputs!$C$61),INDEX(Utility_Rates!$C$29:$F$52,HOUR(C8718)+Inputs!$C$69,MATCH(INDEX(Utility_Rates!$K$6:$K$17,MONTH(C8718))&amp;IF(WEEKDAY(C8718,Inputs!$C$76)&lt;=Inputs!$C$74," weekday"," weekend"),Utility_Rates!$C$28:$F$28,Inputs!$C$68)),"")</f>
      </c>
      <c r="H8718" s="34"/>
      <c r="I8718" s="42">
        <f>IF(AND(ISNUMBER(D8718),ISNUMBER(H8718)),D8718*H8718*Inputs!$C$69,"")</f>
      </c>
      <c r="J8718" s="42">
        <f>IF(AND(ISNUMBER(F8718),ISNUMBER(H8718),F8718&gt;=Inputs!$C$68),F8718*H8718*Inputs!$C$69,"")</f>
      </c>
    </row>
    <row r="8719" spans="2:10" ht="15" customHeight="1" x14ac:dyDescent="0.2">
      <c r="B8719" s="39">
        <f t="shared" si="68"/>
      </c>
      <c r="C8719" s="40">
        <f>IF(Inputs!$C$60,Inputs!$C$11+(B8719-Inputs!$C$69)/Inputs!$C$70,"")</f>
      </c>
      <c r="D8719" s="15"/>
      <c r="E8719" s="15"/>
      <c r="F8719" s="11">
        <f t="shared" si="69"/>
      </c>
      <c r="G8719" s="22" cm="1">
        <f t="array" ref="G8719">IF(AND(Inputs!$C$60,Inputs!$C$61),INDEX(Utility_Rates!$C$29:$F$52,HOUR(C8719)+Inputs!$C$69,MATCH(INDEX(Utility_Rates!$K$6:$K$17,MONTH(C8719))&amp;IF(WEEKDAY(C8719,Inputs!$C$76)&lt;=Inputs!$C$74," weekday"," weekend"),Utility_Rates!$C$28:$F$28,Inputs!$C$68)),"")</f>
      </c>
      <c r="H8719" s="34"/>
      <c r="I8719" s="42">
        <f>IF(AND(ISNUMBER(D8719),ISNUMBER(H8719)),D8719*H8719*Inputs!$C$69,"")</f>
      </c>
      <c r="J8719" s="42">
        <f>IF(AND(ISNUMBER(F8719),ISNUMBER(H8719),F8719&gt;=Inputs!$C$68),F8719*H8719*Inputs!$C$69,"")</f>
      </c>
    </row>
    <row r="8720" spans="2:10" ht="15" customHeight="1" x14ac:dyDescent="0.2">
      <c r="B8720" s="39">
        <f t="shared" si="68"/>
      </c>
      <c r="C8720" s="40">
        <f>IF(Inputs!$C$60,Inputs!$C$11+(B8720-Inputs!$C$69)/Inputs!$C$70,"")</f>
      </c>
      <c r="D8720" s="15"/>
      <c r="E8720" s="15"/>
      <c r="F8720" s="11">
        <f t="shared" si="69"/>
      </c>
      <c r="G8720" s="22" cm="1">
        <f t="array" ref="G8720">IF(AND(Inputs!$C$60,Inputs!$C$61),INDEX(Utility_Rates!$C$29:$F$52,HOUR(C8720)+Inputs!$C$69,MATCH(INDEX(Utility_Rates!$K$6:$K$17,MONTH(C8720))&amp;IF(WEEKDAY(C8720,Inputs!$C$76)&lt;=Inputs!$C$74," weekday"," weekend"),Utility_Rates!$C$28:$F$28,Inputs!$C$68)),"")</f>
      </c>
      <c r="H8720" s="34"/>
      <c r="I8720" s="42">
        <f>IF(AND(ISNUMBER(D8720),ISNUMBER(H8720)),D8720*H8720*Inputs!$C$69,"")</f>
      </c>
      <c r="J8720" s="42">
        <f>IF(AND(ISNUMBER(F8720),ISNUMBER(H8720),F8720&gt;=Inputs!$C$68),F8720*H8720*Inputs!$C$69,"")</f>
      </c>
    </row>
    <row r="8721" spans="2:10" ht="15" customHeight="1" x14ac:dyDescent="0.2">
      <c r="B8721" s="39">
        <f t="shared" si="68"/>
      </c>
      <c r="C8721" s="40">
        <f>IF(Inputs!$C$60,Inputs!$C$11+(B8721-Inputs!$C$69)/Inputs!$C$70,"")</f>
      </c>
      <c r="D8721" s="15"/>
      <c r="E8721" s="15"/>
      <c r="F8721" s="11">
        <f t="shared" si="69"/>
      </c>
      <c r="G8721" s="22" cm="1">
        <f t="array" ref="G8721">IF(AND(Inputs!$C$60,Inputs!$C$61),INDEX(Utility_Rates!$C$29:$F$52,HOUR(C8721)+Inputs!$C$69,MATCH(INDEX(Utility_Rates!$K$6:$K$17,MONTH(C8721))&amp;IF(WEEKDAY(C8721,Inputs!$C$76)&lt;=Inputs!$C$74," weekday"," weekend"),Utility_Rates!$C$28:$F$28,Inputs!$C$68)),"")</f>
      </c>
      <c r="H8721" s="34"/>
      <c r="I8721" s="42">
        <f>IF(AND(ISNUMBER(D8721),ISNUMBER(H8721)),D8721*H8721*Inputs!$C$69,"")</f>
      </c>
      <c r="J8721" s="42">
        <f>IF(AND(ISNUMBER(F8721),ISNUMBER(H8721),F8721&gt;=Inputs!$C$68),F8721*H8721*Inputs!$C$69,"")</f>
      </c>
    </row>
    <row r="8722" spans="2:10" ht="15" customHeight="1" x14ac:dyDescent="0.2">
      <c r="B8722" s="39">
        <f t="shared" si="68"/>
      </c>
      <c r="C8722" s="40">
        <f>IF(Inputs!$C$60,Inputs!$C$11+(B8722-Inputs!$C$69)/Inputs!$C$70,"")</f>
      </c>
      <c r="D8722" s="15"/>
      <c r="E8722" s="15"/>
      <c r="F8722" s="11">
        <f t="shared" si="69"/>
      </c>
      <c r="G8722" s="22" cm="1">
        <f t="array" ref="G8722">IF(AND(Inputs!$C$60,Inputs!$C$61),INDEX(Utility_Rates!$C$29:$F$52,HOUR(C8722)+Inputs!$C$69,MATCH(INDEX(Utility_Rates!$K$6:$K$17,MONTH(C8722))&amp;IF(WEEKDAY(C8722,Inputs!$C$76)&lt;=Inputs!$C$74," weekday"," weekend"),Utility_Rates!$C$28:$F$28,Inputs!$C$68)),"")</f>
      </c>
      <c r="H8722" s="34"/>
      <c r="I8722" s="42">
        <f>IF(AND(ISNUMBER(D8722),ISNUMBER(H8722)),D8722*H8722*Inputs!$C$69,"")</f>
      </c>
      <c r="J8722" s="42">
        <f>IF(AND(ISNUMBER(F8722),ISNUMBER(H8722),F8722&gt;=Inputs!$C$68),F8722*H8722*Inputs!$C$69,"")</f>
      </c>
    </row>
    <row r="8723" spans="2:10" ht="15" customHeight="1" x14ac:dyDescent="0.2">
      <c r="B8723" s="39">
        <f t="shared" si="68"/>
      </c>
      <c r="C8723" s="40">
        <f>IF(Inputs!$C$60,Inputs!$C$11+(B8723-Inputs!$C$69)/Inputs!$C$70,"")</f>
      </c>
      <c r="D8723" s="15"/>
      <c r="E8723" s="15"/>
      <c r="F8723" s="11">
        <f t="shared" si="69"/>
      </c>
      <c r="G8723" s="22" cm="1">
        <f t="array" ref="G8723">IF(AND(Inputs!$C$60,Inputs!$C$61),INDEX(Utility_Rates!$C$29:$F$52,HOUR(C8723)+Inputs!$C$69,MATCH(INDEX(Utility_Rates!$K$6:$K$17,MONTH(C8723))&amp;IF(WEEKDAY(C8723,Inputs!$C$76)&lt;=Inputs!$C$74," weekday"," weekend"),Utility_Rates!$C$28:$F$28,Inputs!$C$68)),"")</f>
      </c>
      <c r="H8723" s="34"/>
      <c r="I8723" s="42">
        <f>IF(AND(ISNUMBER(D8723),ISNUMBER(H8723)),D8723*H8723*Inputs!$C$69,"")</f>
      </c>
      <c r="J8723" s="42">
        <f>IF(AND(ISNUMBER(F8723),ISNUMBER(H8723),F8723&gt;=Inputs!$C$68),F8723*H8723*Inputs!$C$69,"")</f>
      </c>
    </row>
    <row r="8724" spans="2:10" ht="15" customHeight="1" x14ac:dyDescent="0.2">
      <c r="B8724" s="39">
        <f t="shared" si="68"/>
      </c>
      <c r="C8724" s="40">
        <f>IF(Inputs!$C$60,Inputs!$C$11+(B8724-Inputs!$C$69)/Inputs!$C$70,"")</f>
      </c>
      <c r="D8724" s="15"/>
      <c r="E8724" s="15"/>
      <c r="F8724" s="11">
        <f t="shared" si="69"/>
      </c>
      <c r="G8724" s="22" cm="1">
        <f t="array" ref="G8724">IF(AND(Inputs!$C$60,Inputs!$C$61),INDEX(Utility_Rates!$C$29:$F$52,HOUR(C8724)+Inputs!$C$69,MATCH(INDEX(Utility_Rates!$K$6:$K$17,MONTH(C8724))&amp;IF(WEEKDAY(C8724,Inputs!$C$76)&lt;=Inputs!$C$74," weekday"," weekend"),Utility_Rates!$C$28:$F$28,Inputs!$C$68)),"")</f>
      </c>
      <c r="H8724" s="34"/>
      <c r="I8724" s="42">
        <f>IF(AND(ISNUMBER(D8724),ISNUMBER(H8724)),D8724*H8724*Inputs!$C$69,"")</f>
      </c>
      <c r="J8724" s="42">
        <f>IF(AND(ISNUMBER(F8724),ISNUMBER(H8724),F8724&gt;=Inputs!$C$68),F8724*H8724*Inputs!$C$69,"")</f>
      </c>
    </row>
    <row r="8725" spans="2:10" ht="15" customHeight="1" x14ac:dyDescent="0.2">
      <c r="B8725" s="39">
        <f t="shared" si="68"/>
      </c>
      <c r="C8725" s="40">
        <f>IF(Inputs!$C$60,Inputs!$C$11+(B8725-Inputs!$C$69)/Inputs!$C$70,"")</f>
      </c>
      <c r="D8725" s="15"/>
      <c r="E8725" s="15"/>
      <c r="F8725" s="11">
        <f t="shared" si="69"/>
      </c>
      <c r="G8725" s="22" cm="1">
        <f t="array" ref="G8725">IF(AND(Inputs!$C$60,Inputs!$C$61),INDEX(Utility_Rates!$C$29:$F$52,HOUR(C8725)+Inputs!$C$69,MATCH(INDEX(Utility_Rates!$K$6:$K$17,MONTH(C8725))&amp;IF(WEEKDAY(C8725,Inputs!$C$76)&lt;=Inputs!$C$74," weekday"," weekend"),Utility_Rates!$C$28:$F$28,Inputs!$C$68)),"")</f>
      </c>
      <c r="H8725" s="34"/>
      <c r="I8725" s="42">
        <f>IF(AND(ISNUMBER(D8725),ISNUMBER(H8725)),D8725*H8725*Inputs!$C$69,"")</f>
      </c>
      <c r="J8725" s="42">
        <f>IF(AND(ISNUMBER(F8725),ISNUMBER(H8725),F8725&gt;=Inputs!$C$68),F8725*H8725*Inputs!$C$69,"")</f>
      </c>
    </row>
    <row r="8726" spans="2:10" ht="15" customHeight="1" x14ac:dyDescent="0.2">
      <c r="B8726" s="39">
        <f t="shared" si="68"/>
      </c>
      <c r="C8726" s="40">
        <f>IF(Inputs!$C$60,Inputs!$C$11+(B8726-Inputs!$C$69)/Inputs!$C$70,"")</f>
      </c>
      <c r="D8726" s="15"/>
      <c r="E8726" s="15"/>
      <c r="F8726" s="11">
        <f t="shared" si="69"/>
      </c>
      <c r="G8726" s="22" cm="1">
        <f t="array" ref="G8726">IF(AND(Inputs!$C$60,Inputs!$C$61),INDEX(Utility_Rates!$C$29:$F$52,HOUR(C8726)+Inputs!$C$69,MATCH(INDEX(Utility_Rates!$K$6:$K$17,MONTH(C8726))&amp;IF(WEEKDAY(C8726,Inputs!$C$76)&lt;=Inputs!$C$74," weekday"," weekend"),Utility_Rates!$C$28:$F$28,Inputs!$C$68)),"")</f>
      </c>
      <c r="H8726" s="34"/>
      <c r="I8726" s="42">
        <f>IF(AND(ISNUMBER(D8726),ISNUMBER(H8726)),D8726*H8726*Inputs!$C$69,"")</f>
      </c>
      <c r="J8726" s="42">
        <f>IF(AND(ISNUMBER(F8726),ISNUMBER(H8726),F8726&gt;=Inputs!$C$68),F8726*H8726*Inputs!$C$69,"")</f>
      </c>
    </row>
    <row r="8727" spans="2:10" ht="15" customHeight="1" x14ac:dyDescent="0.2">
      <c r="B8727" s="39">
        <f t="shared" si="68"/>
      </c>
      <c r="C8727" s="40">
        <f>IF(Inputs!$C$60,Inputs!$C$11+(B8727-Inputs!$C$69)/Inputs!$C$70,"")</f>
      </c>
      <c r="D8727" s="15"/>
      <c r="E8727" s="15"/>
      <c r="F8727" s="11">
        <f t="shared" si="69"/>
      </c>
      <c r="G8727" s="22" cm="1">
        <f t="array" ref="G8727">IF(AND(Inputs!$C$60,Inputs!$C$61),INDEX(Utility_Rates!$C$29:$F$52,HOUR(C8727)+Inputs!$C$69,MATCH(INDEX(Utility_Rates!$K$6:$K$17,MONTH(C8727))&amp;IF(WEEKDAY(C8727,Inputs!$C$76)&lt;=Inputs!$C$74," weekday"," weekend"),Utility_Rates!$C$28:$F$28,Inputs!$C$68)),"")</f>
      </c>
      <c r="H8727" s="34"/>
      <c r="I8727" s="42">
        <f>IF(AND(ISNUMBER(D8727),ISNUMBER(H8727)),D8727*H8727*Inputs!$C$69,"")</f>
      </c>
      <c r="J8727" s="42">
        <f>IF(AND(ISNUMBER(F8727),ISNUMBER(H8727),F8727&gt;=Inputs!$C$68),F8727*H8727*Inputs!$C$69,"")</f>
      </c>
    </row>
    <row r="8728" spans="2:10" ht="15" customHeight="1" x14ac:dyDescent="0.2">
      <c r="B8728" s="39">
        <f t="shared" si="68"/>
      </c>
      <c r="C8728" s="40">
        <f>IF(Inputs!$C$60,Inputs!$C$11+(B8728-Inputs!$C$69)/Inputs!$C$70,"")</f>
      </c>
      <c r="D8728" s="15"/>
      <c r="E8728" s="15"/>
      <c r="F8728" s="11">
        <f t="shared" si="69"/>
      </c>
      <c r="G8728" s="22" cm="1">
        <f t="array" ref="G8728">IF(AND(Inputs!$C$60,Inputs!$C$61),INDEX(Utility_Rates!$C$29:$F$52,HOUR(C8728)+Inputs!$C$69,MATCH(INDEX(Utility_Rates!$K$6:$K$17,MONTH(C8728))&amp;IF(WEEKDAY(C8728,Inputs!$C$76)&lt;=Inputs!$C$74," weekday"," weekend"),Utility_Rates!$C$28:$F$28,Inputs!$C$68)),"")</f>
      </c>
      <c r="H8728" s="34"/>
      <c r="I8728" s="42">
        <f>IF(AND(ISNUMBER(D8728),ISNUMBER(H8728)),D8728*H8728*Inputs!$C$69,"")</f>
      </c>
      <c r="J8728" s="42">
        <f>IF(AND(ISNUMBER(F8728),ISNUMBER(H8728),F8728&gt;=Inputs!$C$68),F8728*H8728*Inputs!$C$69,"")</f>
      </c>
    </row>
    <row r="8729" spans="2:10" ht="15" customHeight="1" x14ac:dyDescent="0.2">
      <c r="B8729" s="39">
        <f t="shared" si="68"/>
      </c>
      <c r="C8729" s="40">
        <f>IF(Inputs!$C$60,Inputs!$C$11+(B8729-Inputs!$C$69)/Inputs!$C$70,"")</f>
      </c>
      <c r="D8729" s="15"/>
      <c r="E8729" s="15"/>
      <c r="F8729" s="11">
        <f t="shared" si="69"/>
      </c>
      <c r="G8729" s="22" cm="1">
        <f t="array" ref="G8729">IF(AND(Inputs!$C$60,Inputs!$C$61),INDEX(Utility_Rates!$C$29:$F$52,HOUR(C8729)+Inputs!$C$69,MATCH(INDEX(Utility_Rates!$K$6:$K$17,MONTH(C8729))&amp;IF(WEEKDAY(C8729,Inputs!$C$76)&lt;=Inputs!$C$74," weekday"," weekend"),Utility_Rates!$C$28:$F$28,Inputs!$C$68)),"")</f>
      </c>
      <c r="H8729" s="34"/>
      <c r="I8729" s="42">
        <f>IF(AND(ISNUMBER(D8729),ISNUMBER(H8729)),D8729*H8729*Inputs!$C$69,"")</f>
      </c>
      <c r="J8729" s="42">
        <f>IF(AND(ISNUMBER(F8729),ISNUMBER(H8729),F8729&gt;=Inputs!$C$68),F8729*H8729*Inputs!$C$69,"")</f>
      </c>
    </row>
    <row r="8730" spans="2:10" ht="15" customHeight="1" x14ac:dyDescent="0.2">
      <c r="B8730" s="39">
        <f t="shared" si="68"/>
      </c>
      <c r="C8730" s="40">
        <f>IF(Inputs!$C$60,Inputs!$C$11+(B8730-Inputs!$C$69)/Inputs!$C$70,"")</f>
      </c>
      <c r="D8730" s="15"/>
      <c r="E8730" s="15"/>
      <c r="F8730" s="11">
        <f t="shared" si="69"/>
      </c>
      <c r="G8730" s="22" cm="1">
        <f t="array" ref="G8730">IF(AND(Inputs!$C$60,Inputs!$C$61),INDEX(Utility_Rates!$C$29:$F$52,HOUR(C8730)+Inputs!$C$69,MATCH(INDEX(Utility_Rates!$K$6:$K$17,MONTH(C8730))&amp;IF(WEEKDAY(C8730,Inputs!$C$76)&lt;=Inputs!$C$74," weekday"," weekend"),Utility_Rates!$C$28:$F$28,Inputs!$C$68)),"")</f>
      </c>
      <c r="H8730" s="34"/>
      <c r="I8730" s="42">
        <f>IF(AND(ISNUMBER(D8730),ISNUMBER(H8730)),D8730*H8730*Inputs!$C$69,"")</f>
      </c>
      <c r="J8730" s="42">
        <f>IF(AND(ISNUMBER(F8730),ISNUMBER(H8730),F8730&gt;=Inputs!$C$68),F8730*H8730*Inputs!$C$69,"")</f>
      </c>
    </row>
    <row r="8731" spans="2:10" ht="15" customHeight="1" x14ac:dyDescent="0.2">
      <c r="B8731" s="39">
        <f t="shared" si="68"/>
      </c>
      <c r="C8731" s="40">
        <f>IF(Inputs!$C$60,Inputs!$C$11+(B8731-Inputs!$C$69)/Inputs!$C$70,"")</f>
      </c>
      <c r="D8731" s="15"/>
      <c r="E8731" s="15"/>
      <c r="F8731" s="11">
        <f t="shared" si="69"/>
      </c>
      <c r="G8731" s="22" cm="1">
        <f t="array" ref="G8731">IF(AND(Inputs!$C$60,Inputs!$C$61),INDEX(Utility_Rates!$C$29:$F$52,HOUR(C8731)+Inputs!$C$69,MATCH(INDEX(Utility_Rates!$K$6:$K$17,MONTH(C8731))&amp;IF(WEEKDAY(C8731,Inputs!$C$76)&lt;=Inputs!$C$74," weekday"," weekend"),Utility_Rates!$C$28:$F$28,Inputs!$C$68)),"")</f>
      </c>
      <c r="H8731" s="34"/>
      <c r="I8731" s="42">
        <f>IF(AND(ISNUMBER(D8731),ISNUMBER(H8731)),D8731*H8731*Inputs!$C$69,"")</f>
      </c>
      <c r="J8731" s="42">
        <f>IF(AND(ISNUMBER(F8731),ISNUMBER(H8731),F8731&gt;=Inputs!$C$68),F8731*H8731*Inputs!$C$69,"")</f>
      </c>
    </row>
    <row r="8732" spans="2:10" ht="15" customHeight="1" x14ac:dyDescent="0.2">
      <c r="B8732" s="39">
        <f t="shared" si="68"/>
      </c>
      <c r="C8732" s="40">
        <f>IF(Inputs!$C$60,Inputs!$C$11+(B8732-Inputs!$C$69)/Inputs!$C$70,"")</f>
      </c>
      <c r="D8732" s="15"/>
      <c r="E8732" s="15"/>
      <c r="F8732" s="11">
        <f t="shared" si="69"/>
      </c>
      <c r="G8732" s="22" cm="1">
        <f t="array" ref="G8732">IF(AND(Inputs!$C$60,Inputs!$C$61),INDEX(Utility_Rates!$C$29:$F$52,HOUR(C8732)+Inputs!$C$69,MATCH(INDEX(Utility_Rates!$K$6:$K$17,MONTH(C8732))&amp;IF(WEEKDAY(C8732,Inputs!$C$76)&lt;=Inputs!$C$74," weekday"," weekend"),Utility_Rates!$C$28:$F$28,Inputs!$C$68)),"")</f>
      </c>
      <c r="H8732" s="34"/>
      <c r="I8732" s="42">
        <f>IF(AND(ISNUMBER(D8732),ISNUMBER(H8732)),D8732*H8732*Inputs!$C$69,"")</f>
      </c>
      <c r="J8732" s="42">
        <f>IF(AND(ISNUMBER(F8732),ISNUMBER(H8732),F8732&gt;=Inputs!$C$68),F8732*H8732*Inputs!$C$69,"")</f>
      </c>
    </row>
    <row r="8733" spans="2:10" ht="15" customHeight="1" x14ac:dyDescent="0.2">
      <c r="B8733" s="39">
        <f t="shared" si="68"/>
      </c>
      <c r="C8733" s="40">
        <f>IF(Inputs!$C$60,Inputs!$C$11+(B8733-Inputs!$C$69)/Inputs!$C$70,"")</f>
      </c>
      <c r="D8733" s="15"/>
      <c r="E8733" s="15"/>
      <c r="F8733" s="11">
        <f t="shared" si="69"/>
      </c>
      <c r="G8733" s="22" cm="1">
        <f t="array" ref="G8733">IF(AND(Inputs!$C$60,Inputs!$C$61),INDEX(Utility_Rates!$C$29:$F$52,HOUR(C8733)+Inputs!$C$69,MATCH(INDEX(Utility_Rates!$K$6:$K$17,MONTH(C8733))&amp;IF(WEEKDAY(C8733,Inputs!$C$76)&lt;=Inputs!$C$74," weekday"," weekend"),Utility_Rates!$C$28:$F$28,Inputs!$C$68)),"")</f>
      </c>
      <c r="H8733" s="34"/>
      <c r="I8733" s="42">
        <f>IF(AND(ISNUMBER(D8733),ISNUMBER(H8733)),D8733*H8733*Inputs!$C$69,"")</f>
      </c>
      <c r="J8733" s="42">
        <f>IF(AND(ISNUMBER(F8733),ISNUMBER(H8733),F8733&gt;=Inputs!$C$68),F8733*H8733*Inputs!$C$69,"")</f>
      </c>
    </row>
    <row r="8734" spans="2:10" ht="15" customHeight="1" x14ac:dyDescent="0.2">
      <c r="B8734" s="39">
        <f t="shared" si="68"/>
      </c>
      <c r="C8734" s="40">
        <f>IF(Inputs!$C$60,Inputs!$C$11+(B8734-Inputs!$C$69)/Inputs!$C$70,"")</f>
      </c>
      <c r="D8734" s="15"/>
      <c r="E8734" s="15"/>
      <c r="F8734" s="11">
        <f t="shared" si="69"/>
      </c>
      <c r="G8734" s="22" cm="1">
        <f t="array" ref="G8734">IF(AND(Inputs!$C$60,Inputs!$C$61),INDEX(Utility_Rates!$C$29:$F$52,HOUR(C8734)+Inputs!$C$69,MATCH(INDEX(Utility_Rates!$K$6:$K$17,MONTH(C8734))&amp;IF(WEEKDAY(C8734,Inputs!$C$76)&lt;=Inputs!$C$74," weekday"," weekend"),Utility_Rates!$C$28:$F$28,Inputs!$C$68)),"")</f>
      </c>
      <c r="H8734" s="34"/>
      <c r="I8734" s="42">
        <f>IF(AND(ISNUMBER(D8734),ISNUMBER(H8734)),D8734*H8734*Inputs!$C$69,"")</f>
      </c>
      <c r="J8734" s="42">
        <f>IF(AND(ISNUMBER(F8734),ISNUMBER(H8734),F8734&gt;=Inputs!$C$68),F8734*H8734*Inputs!$C$69,"")</f>
      </c>
    </row>
    <row r="8735" spans="2:10" ht="15" customHeight="1" x14ac:dyDescent="0.2">
      <c r="B8735" s="39">
        <f t="shared" si="68"/>
      </c>
      <c r="C8735" s="40">
        <f>IF(Inputs!$C$60,Inputs!$C$11+(B8735-Inputs!$C$69)/Inputs!$C$70,"")</f>
      </c>
      <c r="D8735" s="15"/>
      <c r="E8735" s="15"/>
      <c r="F8735" s="11">
        <f t="shared" si="69"/>
      </c>
      <c r="G8735" s="22" cm="1">
        <f t="array" ref="G8735">IF(AND(Inputs!$C$60,Inputs!$C$61),INDEX(Utility_Rates!$C$29:$F$52,HOUR(C8735)+Inputs!$C$69,MATCH(INDEX(Utility_Rates!$K$6:$K$17,MONTH(C8735))&amp;IF(WEEKDAY(C8735,Inputs!$C$76)&lt;=Inputs!$C$74," weekday"," weekend"),Utility_Rates!$C$28:$F$28,Inputs!$C$68)),"")</f>
      </c>
      <c r="H8735" s="34"/>
      <c r="I8735" s="42">
        <f>IF(AND(ISNUMBER(D8735),ISNUMBER(H8735)),D8735*H8735*Inputs!$C$69,"")</f>
      </c>
      <c r="J8735" s="42">
        <f>IF(AND(ISNUMBER(F8735),ISNUMBER(H8735),F8735&gt;=Inputs!$C$68),F8735*H8735*Inputs!$C$69,"")</f>
      </c>
    </row>
    <row r="8736" spans="2:10" ht="15" customHeight="1" x14ac:dyDescent="0.2">
      <c r="B8736" s="39">
        <f t="shared" si="68"/>
      </c>
      <c r="C8736" s="40">
        <f>IF(Inputs!$C$60,Inputs!$C$11+(B8736-Inputs!$C$69)/Inputs!$C$70,"")</f>
      </c>
      <c r="D8736" s="15"/>
      <c r="E8736" s="15"/>
      <c r="F8736" s="11">
        <f t="shared" si="69"/>
      </c>
      <c r="G8736" s="22" cm="1">
        <f t="array" ref="G8736">IF(AND(Inputs!$C$60,Inputs!$C$61),INDEX(Utility_Rates!$C$29:$F$52,HOUR(C8736)+Inputs!$C$69,MATCH(INDEX(Utility_Rates!$K$6:$K$17,MONTH(C8736))&amp;IF(WEEKDAY(C8736,Inputs!$C$76)&lt;=Inputs!$C$74," weekday"," weekend"),Utility_Rates!$C$28:$F$28,Inputs!$C$68)),"")</f>
      </c>
      <c r="H8736" s="34"/>
      <c r="I8736" s="42">
        <f>IF(AND(ISNUMBER(D8736),ISNUMBER(H8736)),D8736*H8736*Inputs!$C$69,"")</f>
      </c>
      <c r="J8736" s="42">
        <f>IF(AND(ISNUMBER(F8736),ISNUMBER(H8736),F8736&gt;=Inputs!$C$68),F8736*H8736*Inputs!$C$69,"")</f>
      </c>
    </row>
    <row r="8737" spans="2:10" ht="15" customHeight="1" x14ac:dyDescent="0.2">
      <c r="B8737" s="39">
        <f t="shared" si="68"/>
      </c>
      <c r="C8737" s="40">
        <f>IF(Inputs!$C$60,Inputs!$C$11+(B8737-Inputs!$C$69)/Inputs!$C$70,"")</f>
      </c>
      <c r="D8737" s="15"/>
      <c r="E8737" s="15"/>
      <c r="F8737" s="11">
        <f t="shared" si="69"/>
      </c>
      <c r="G8737" s="22" cm="1">
        <f t="array" ref="G8737">IF(AND(Inputs!$C$60,Inputs!$C$61),INDEX(Utility_Rates!$C$29:$F$52,HOUR(C8737)+Inputs!$C$69,MATCH(INDEX(Utility_Rates!$K$6:$K$17,MONTH(C8737))&amp;IF(WEEKDAY(C8737,Inputs!$C$76)&lt;=Inputs!$C$74," weekday"," weekend"),Utility_Rates!$C$28:$F$28,Inputs!$C$68)),"")</f>
      </c>
      <c r="H8737" s="34"/>
      <c r="I8737" s="42">
        <f>IF(AND(ISNUMBER(D8737),ISNUMBER(H8737)),D8737*H8737*Inputs!$C$69,"")</f>
      </c>
      <c r="J8737" s="42">
        <f>IF(AND(ISNUMBER(F8737),ISNUMBER(H8737),F8737&gt;=Inputs!$C$68),F8737*H8737*Inputs!$C$69,"")</f>
      </c>
    </row>
    <row r="8738" spans="2:10" ht="15" customHeight="1" x14ac:dyDescent="0.2">
      <c r="B8738" s="39">
        <f t="shared" si="68"/>
      </c>
      <c r="C8738" s="40">
        <f>IF(Inputs!$C$60,Inputs!$C$11+(B8738-Inputs!$C$69)/Inputs!$C$70,"")</f>
      </c>
      <c r="D8738" s="15"/>
      <c r="E8738" s="15"/>
      <c r="F8738" s="11">
        <f t="shared" si="69"/>
      </c>
      <c r="G8738" s="22" cm="1">
        <f t="array" ref="G8738">IF(AND(Inputs!$C$60,Inputs!$C$61),INDEX(Utility_Rates!$C$29:$F$52,HOUR(C8738)+Inputs!$C$69,MATCH(INDEX(Utility_Rates!$K$6:$K$17,MONTH(C8738))&amp;IF(WEEKDAY(C8738,Inputs!$C$76)&lt;=Inputs!$C$74," weekday"," weekend"),Utility_Rates!$C$28:$F$28,Inputs!$C$68)),"")</f>
      </c>
      <c r="H8738" s="34"/>
      <c r="I8738" s="42">
        <f>IF(AND(ISNUMBER(D8738),ISNUMBER(H8738)),D8738*H8738*Inputs!$C$69,"")</f>
      </c>
      <c r="J8738" s="42">
        <f>IF(AND(ISNUMBER(F8738),ISNUMBER(H8738),F8738&gt;=Inputs!$C$68),F8738*H8738*Inputs!$C$69,"")</f>
      </c>
    </row>
    <row r="8739" spans="2:10" ht="15" customHeight="1" x14ac:dyDescent="0.2">
      <c r="B8739" s="39">
        <f t="shared" si="68"/>
      </c>
      <c r="C8739" s="40">
        <f>IF(Inputs!$C$60,Inputs!$C$11+(B8739-Inputs!$C$69)/Inputs!$C$70,"")</f>
      </c>
      <c r="D8739" s="15"/>
      <c r="E8739" s="15"/>
      <c r="F8739" s="11">
        <f t="shared" si="69"/>
      </c>
      <c r="G8739" s="22" cm="1">
        <f t="array" ref="G8739">IF(AND(Inputs!$C$60,Inputs!$C$61),INDEX(Utility_Rates!$C$29:$F$52,HOUR(C8739)+Inputs!$C$69,MATCH(INDEX(Utility_Rates!$K$6:$K$17,MONTH(C8739))&amp;IF(WEEKDAY(C8739,Inputs!$C$76)&lt;=Inputs!$C$74," weekday"," weekend"),Utility_Rates!$C$28:$F$28,Inputs!$C$68)),"")</f>
      </c>
      <c r="H8739" s="34"/>
      <c r="I8739" s="42">
        <f>IF(AND(ISNUMBER(D8739),ISNUMBER(H8739)),D8739*H8739*Inputs!$C$69,"")</f>
      </c>
      <c r="J8739" s="42">
        <f>IF(AND(ISNUMBER(F8739),ISNUMBER(H8739),F8739&gt;=Inputs!$C$68),F8739*H8739*Inputs!$C$69,"")</f>
      </c>
    </row>
    <row r="8740" spans="2:10" ht="15" customHeight="1" x14ac:dyDescent="0.2">
      <c r="B8740" s="39">
        <f t="shared" si="68"/>
      </c>
      <c r="C8740" s="40">
        <f>IF(Inputs!$C$60,Inputs!$C$11+(B8740-Inputs!$C$69)/Inputs!$C$70,"")</f>
      </c>
      <c r="D8740" s="15"/>
      <c r="E8740" s="15"/>
      <c r="F8740" s="11">
        <f t="shared" si="69"/>
      </c>
      <c r="G8740" s="22" cm="1">
        <f t="array" ref="G8740">IF(AND(Inputs!$C$60,Inputs!$C$61),INDEX(Utility_Rates!$C$29:$F$52,HOUR(C8740)+Inputs!$C$69,MATCH(INDEX(Utility_Rates!$K$6:$K$17,MONTH(C8740))&amp;IF(WEEKDAY(C8740,Inputs!$C$76)&lt;=Inputs!$C$74," weekday"," weekend"),Utility_Rates!$C$28:$F$28,Inputs!$C$68)),"")</f>
      </c>
      <c r="H8740" s="34"/>
      <c r="I8740" s="42">
        <f>IF(AND(ISNUMBER(D8740),ISNUMBER(H8740)),D8740*H8740*Inputs!$C$69,"")</f>
      </c>
      <c r="J8740" s="42">
        <f>IF(AND(ISNUMBER(F8740),ISNUMBER(H8740),F8740&gt;=Inputs!$C$68),F8740*H8740*Inputs!$C$69,"")</f>
      </c>
    </row>
    <row r="8741" spans="2:10" ht="15" customHeight="1" x14ac:dyDescent="0.2">
      <c r="B8741" s="39">
        <f t="shared" si="68"/>
      </c>
      <c r="C8741" s="40">
        <f>IF(Inputs!$C$60,Inputs!$C$11+(B8741-Inputs!$C$69)/Inputs!$C$70,"")</f>
      </c>
      <c r="D8741" s="15"/>
      <c r="E8741" s="15"/>
      <c r="F8741" s="11">
        <f t="shared" si="69"/>
      </c>
      <c r="G8741" s="22" cm="1">
        <f t="array" ref="G8741">IF(AND(Inputs!$C$60,Inputs!$C$61),INDEX(Utility_Rates!$C$29:$F$52,HOUR(C8741)+Inputs!$C$69,MATCH(INDEX(Utility_Rates!$K$6:$K$17,MONTH(C8741))&amp;IF(WEEKDAY(C8741,Inputs!$C$76)&lt;=Inputs!$C$74," weekday"," weekend"),Utility_Rates!$C$28:$F$28,Inputs!$C$68)),"")</f>
      </c>
      <c r="H8741" s="34"/>
      <c r="I8741" s="42">
        <f>IF(AND(ISNUMBER(D8741),ISNUMBER(H8741)),D8741*H8741*Inputs!$C$69,"")</f>
      </c>
      <c r="J8741" s="42">
        <f>IF(AND(ISNUMBER(F8741),ISNUMBER(H8741),F8741&gt;=Inputs!$C$68),F8741*H8741*Inputs!$C$69,"")</f>
      </c>
    </row>
    <row r="8742" spans="2:10" ht="15" customHeight="1" x14ac:dyDescent="0.2">
      <c r="B8742" s="39">
        <f t="shared" si="68"/>
      </c>
      <c r="C8742" s="40">
        <f>IF(Inputs!$C$60,Inputs!$C$11+(B8742-Inputs!$C$69)/Inputs!$C$70,"")</f>
      </c>
      <c r="D8742" s="15"/>
      <c r="E8742" s="15"/>
      <c r="F8742" s="11">
        <f t="shared" si="69"/>
      </c>
      <c r="G8742" s="22" cm="1">
        <f t="array" ref="G8742">IF(AND(Inputs!$C$60,Inputs!$C$61),INDEX(Utility_Rates!$C$29:$F$52,HOUR(C8742)+Inputs!$C$69,MATCH(INDEX(Utility_Rates!$K$6:$K$17,MONTH(C8742))&amp;IF(WEEKDAY(C8742,Inputs!$C$76)&lt;=Inputs!$C$74," weekday"," weekend"),Utility_Rates!$C$28:$F$28,Inputs!$C$68)),"")</f>
      </c>
      <c r="H8742" s="34"/>
      <c r="I8742" s="42">
        <f>IF(AND(ISNUMBER(D8742),ISNUMBER(H8742)),D8742*H8742*Inputs!$C$69,"")</f>
      </c>
      <c r="J8742" s="42">
        <f>IF(AND(ISNUMBER(F8742),ISNUMBER(H8742),F8742&gt;=Inputs!$C$68),F8742*H8742*Inputs!$C$69,"")</f>
      </c>
    </row>
    <row r="8743" spans="2:10" ht="15" customHeight="1" x14ac:dyDescent="0.2">
      <c r="B8743" s="39">
        <f t="shared" si="68"/>
      </c>
      <c r="C8743" s="40">
        <f>IF(Inputs!$C$60,Inputs!$C$11+(B8743-Inputs!$C$69)/Inputs!$C$70,"")</f>
      </c>
      <c r="D8743" s="15"/>
      <c r="E8743" s="15"/>
      <c r="F8743" s="11">
        <f t="shared" si="69"/>
      </c>
      <c r="G8743" s="22" cm="1">
        <f t="array" ref="G8743">IF(AND(Inputs!$C$60,Inputs!$C$61),INDEX(Utility_Rates!$C$29:$F$52,HOUR(C8743)+Inputs!$C$69,MATCH(INDEX(Utility_Rates!$K$6:$K$17,MONTH(C8743))&amp;IF(WEEKDAY(C8743,Inputs!$C$76)&lt;=Inputs!$C$74," weekday"," weekend"),Utility_Rates!$C$28:$F$28,Inputs!$C$68)),"")</f>
      </c>
      <c r="H8743" s="34"/>
      <c r="I8743" s="42">
        <f>IF(AND(ISNUMBER(D8743),ISNUMBER(H8743)),D8743*H8743*Inputs!$C$69,"")</f>
      </c>
      <c r="J8743" s="42">
        <f>IF(AND(ISNUMBER(F8743),ISNUMBER(H8743),F8743&gt;=Inputs!$C$68),F8743*H8743*Inputs!$C$69,"")</f>
      </c>
    </row>
    <row r="8744" spans="2:10" ht="15" customHeight="1" x14ac:dyDescent="0.2">
      <c r="B8744" s="39">
        <f t="shared" si="68"/>
      </c>
      <c r="C8744" s="40">
        <f>IF(Inputs!$C$60,Inputs!$C$11+(B8744-Inputs!$C$69)/Inputs!$C$70,"")</f>
      </c>
      <c r="D8744" s="15"/>
      <c r="E8744" s="15"/>
      <c r="F8744" s="11">
        <f t="shared" si="69"/>
      </c>
      <c r="G8744" s="22" cm="1">
        <f t="array" ref="G8744">IF(AND(Inputs!$C$60,Inputs!$C$61),INDEX(Utility_Rates!$C$29:$F$52,HOUR(C8744)+Inputs!$C$69,MATCH(INDEX(Utility_Rates!$K$6:$K$17,MONTH(C8744))&amp;IF(WEEKDAY(C8744,Inputs!$C$76)&lt;=Inputs!$C$74," weekday"," weekend"),Utility_Rates!$C$28:$F$28,Inputs!$C$68)),"")</f>
      </c>
      <c r="H8744" s="34"/>
      <c r="I8744" s="42">
        <f>IF(AND(ISNUMBER(D8744),ISNUMBER(H8744)),D8744*H8744*Inputs!$C$69,"")</f>
      </c>
      <c r="J8744" s="42">
        <f>IF(AND(ISNUMBER(F8744),ISNUMBER(H8744),F8744&gt;=Inputs!$C$68),F8744*H8744*Inputs!$C$69,"")</f>
      </c>
    </row>
    <row r="8745" spans="2:10" ht="15" customHeight="1" x14ac:dyDescent="0.2">
      <c r="B8745" s="39">
        <f t="shared" si="68"/>
      </c>
      <c r="C8745" s="40">
        <f>IF(Inputs!$C$60,Inputs!$C$11+(B8745-Inputs!$C$69)/Inputs!$C$70,"")</f>
      </c>
      <c r="D8745" s="15"/>
      <c r="E8745" s="15"/>
      <c r="F8745" s="11">
        <f t="shared" si="69"/>
      </c>
      <c r="G8745" s="22" cm="1">
        <f t="array" ref="G8745">IF(AND(Inputs!$C$60,Inputs!$C$61),INDEX(Utility_Rates!$C$29:$F$52,HOUR(C8745)+Inputs!$C$69,MATCH(INDEX(Utility_Rates!$K$6:$K$17,MONTH(C8745))&amp;IF(WEEKDAY(C8745,Inputs!$C$76)&lt;=Inputs!$C$74," weekday"," weekend"),Utility_Rates!$C$28:$F$28,Inputs!$C$68)),"")</f>
      </c>
      <c r="H8745" s="34"/>
      <c r="I8745" s="42">
        <f>IF(AND(ISNUMBER(D8745),ISNUMBER(H8745)),D8745*H8745*Inputs!$C$69,"")</f>
      </c>
      <c r="J8745" s="42">
        <f>IF(AND(ISNUMBER(F8745),ISNUMBER(H8745),F8745&gt;=Inputs!$C$68),F8745*H8745*Inputs!$C$69,"")</f>
      </c>
    </row>
    <row r="8746" spans="2:10" ht="15" customHeight="1" x14ac:dyDescent="0.2">
      <c r="B8746" s="39">
        <f t="shared" si="68"/>
      </c>
      <c r="C8746" s="40">
        <f>IF(Inputs!$C$60,Inputs!$C$11+(B8746-Inputs!$C$69)/Inputs!$C$70,"")</f>
      </c>
      <c r="D8746" s="15"/>
      <c r="E8746" s="15"/>
      <c r="F8746" s="11">
        <f t="shared" si="69"/>
      </c>
      <c r="G8746" s="22" cm="1">
        <f t="array" ref="G8746">IF(AND(Inputs!$C$60,Inputs!$C$61),INDEX(Utility_Rates!$C$29:$F$52,HOUR(C8746)+Inputs!$C$69,MATCH(INDEX(Utility_Rates!$K$6:$K$17,MONTH(C8746))&amp;IF(WEEKDAY(C8746,Inputs!$C$76)&lt;=Inputs!$C$74," weekday"," weekend"),Utility_Rates!$C$28:$F$28,Inputs!$C$68)),"")</f>
      </c>
      <c r="H8746" s="34"/>
      <c r="I8746" s="42">
        <f>IF(AND(ISNUMBER(D8746),ISNUMBER(H8746)),D8746*H8746*Inputs!$C$69,"")</f>
      </c>
      <c r="J8746" s="42">
        <f>IF(AND(ISNUMBER(F8746),ISNUMBER(H8746),F8746&gt;=Inputs!$C$68),F8746*H8746*Inputs!$C$69,"")</f>
      </c>
    </row>
    <row r="8747" spans="2:10" ht="15" customHeight="1" x14ac:dyDescent="0.2">
      <c r="B8747" s="39">
        <f t="shared" si="68"/>
      </c>
      <c r="C8747" s="40">
        <f>IF(Inputs!$C$60,Inputs!$C$11+(B8747-Inputs!$C$69)/Inputs!$C$70,"")</f>
      </c>
      <c r="D8747" s="15"/>
      <c r="E8747" s="15"/>
      <c r="F8747" s="11">
        <f t="shared" si="69"/>
      </c>
      <c r="G8747" s="22" cm="1">
        <f t="array" ref="G8747">IF(AND(Inputs!$C$60,Inputs!$C$61),INDEX(Utility_Rates!$C$29:$F$52,HOUR(C8747)+Inputs!$C$69,MATCH(INDEX(Utility_Rates!$K$6:$K$17,MONTH(C8747))&amp;IF(WEEKDAY(C8747,Inputs!$C$76)&lt;=Inputs!$C$74," weekday"," weekend"),Utility_Rates!$C$28:$F$28,Inputs!$C$68)),"")</f>
      </c>
      <c r="H8747" s="34"/>
      <c r="I8747" s="42">
        <f>IF(AND(ISNUMBER(D8747),ISNUMBER(H8747)),D8747*H8747*Inputs!$C$69,"")</f>
      </c>
      <c r="J8747" s="42">
        <f>IF(AND(ISNUMBER(F8747),ISNUMBER(H8747),F8747&gt;=Inputs!$C$68),F8747*H8747*Inputs!$C$69,"")</f>
      </c>
    </row>
    <row r="8748" spans="2:10" ht="15" customHeight="1" x14ac:dyDescent="0.2">
      <c r="B8748" s="39">
        <f t="shared" si="68"/>
      </c>
      <c r="C8748" s="40">
        <f>IF(Inputs!$C$60,Inputs!$C$11+(B8748-Inputs!$C$69)/Inputs!$C$70,"")</f>
      </c>
      <c r="D8748" s="15"/>
      <c r="E8748" s="15"/>
      <c r="F8748" s="11">
        <f t="shared" si="69"/>
      </c>
      <c r="G8748" s="22" cm="1">
        <f t="array" ref="G8748">IF(AND(Inputs!$C$60,Inputs!$C$61),INDEX(Utility_Rates!$C$29:$F$52,HOUR(C8748)+Inputs!$C$69,MATCH(INDEX(Utility_Rates!$K$6:$K$17,MONTH(C8748))&amp;IF(WEEKDAY(C8748,Inputs!$C$76)&lt;=Inputs!$C$74," weekday"," weekend"),Utility_Rates!$C$28:$F$28,Inputs!$C$68)),"")</f>
      </c>
      <c r="H8748" s="34"/>
      <c r="I8748" s="42">
        <f>IF(AND(ISNUMBER(D8748),ISNUMBER(H8748)),D8748*H8748*Inputs!$C$69,"")</f>
      </c>
      <c r="J8748" s="42">
        <f>IF(AND(ISNUMBER(F8748),ISNUMBER(H8748),F8748&gt;=Inputs!$C$68),F8748*H8748*Inputs!$C$69,"")</f>
      </c>
    </row>
    <row r="8749" spans="2:10" ht="15" customHeight="1" x14ac:dyDescent="0.2">
      <c r="B8749" s="39">
        <f t="shared" si="68"/>
      </c>
      <c r="C8749" s="40">
        <f>IF(Inputs!$C$60,Inputs!$C$11+(B8749-Inputs!$C$69)/Inputs!$C$70,"")</f>
      </c>
      <c r="D8749" s="15"/>
      <c r="E8749" s="15"/>
      <c r="F8749" s="11">
        <f t="shared" si="69"/>
      </c>
      <c r="G8749" s="22" cm="1">
        <f t="array" ref="G8749">IF(AND(Inputs!$C$60,Inputs!$C$61),INDEX(Utility_Rates!$C$29:$F$52,HOUR(C8749)+Inputs!$C$69,MATCH(INDEX(Utility_Rates!$K$6:$K$17,MONTH(C8749))&amp;IF(WEEKDAY(C8749,Inputs!$C$76)&lt;=Inputs!$C$74," weekday"," weekend"),Utility_Rates!$C$28:$F$28,Inputs!$C$68)),"")</f>
      </c>
      <c r="H8749" s="34"/>
      <c r="I8749" s="42">
        <f>IF(AND(ISNUMBER(D8749),ISNUMBER(H8749)),D8749*H8749*Inputs!$C$69,"")</f>
      </c>
      <c r="J8749" s="42">
        <f>IF(AND(ISNUMBER(F8749),ISNUMBER(H8749),F8749&gt;=Inputs!$C$68),F8749*H8749*Inputs!$C$69,"")</f>
      </c>
    </row>
    <row r="8750" spans="2:10" ht="15" customHeight="1" x14ac:dyDescent="0.2">
      <c r="B8750" s="39">
        <f t="shared" si="68"/>
      </c>
      <c r="C8750" s="40">
        <f>IF(Inputs!$C$60,Inputs!$C$11+(B8750-Inputs!$C$69)/Inputs!$C$70,"")</f>
      </c>
      <c r="D8750" s="15"/>
      <c r="E8750" s="15"/>
      <c r="F8750" s="11">
        <f t="shared" si="69"/>
      </c>
      <c r="G8750" s="22" cm="1">
        <f t="array" ref="G8750">IF(AND(Inputs!$C$60,Inputs!$C$61),INDEX(Utility_Rates!$C$29:$F$52,HOUR(C8750)+Inputs!$C$69,MATCH(INDEX(Utility_Rates!$K$6:$K$17,MONTH(C8750))&amp;IF(WEEKDAY(C8750,Inputs!$C$76)&lt;=Inputs!$C$74," weekday"," weekend"),Utility_Rates!$C$28:$F$28,Inputs!$C$68)),"")</f>
      </c>
      <c r="H8750" s="34"/>
      <c r="I8750" s="42">
        <f>IF(AND(ISNUMBER(D8750),ISNUMBER(H8750)),D8750*H8750*Inputs!$C$69,"")</f>
      </c>
      <c r="J8750" s="42">
        <f>IF(AND(ISNUMBER(F8750),ISNUMBER(H8750),F8750&gt;=Inputs!$C$68),F8750*H8750*Inputs!$C$69,"")</f>
      </c>
    </row>
    <row r="8751" spans="2:10" ht="15" customHeight="1" x14ac:dyDescent="0.2">
      <c r="B8751" s="39">
        <f t="shared" si="68"/>
      </c>
      <c r="C8751" s="40">
        <f>IF(Inputs!$C$60,Inputs!$C$11+(B8751-Inputs!$C$69)/Inputs!$C$70,"")</f>
      </c>
      <c r="D8751" s="15"/>
      <c r="E8751" s="15"/>
      <c r="F8751" s="11">
        <f t="shared" si="69"/>
      </c>
      <c r="G8751" s="22" cm="1">
        <f t="array" ref="G8751">IF(AND(Inputs!$C$60,Inputs!$C$61),INDEX(Utility_Rates!$C$29:$F$52,HOUR(C8751)+Inputs!$C$69,MATCH(INDEX(Utility_Rates!$K$6:$K$17,MONTH(C8751))&amp;IF(WEEKDAY(C8751,Inputs!$C$76)&lt;=Inputs!$C$74," weekday"," weekend"),Utility_Rates!$C$28:$F$28,Inputs!$C$68)),"")</f>
      </c>
      <c r="H8751" s="34"/>
      <c r="I8751" s="42">
        <f>IF(AND(ISNUMBER(D8751),ISNUMBER(H8751)),D8751*H8751*Inputs!$C$69,"")</f>
      </c>
      <c r="J8751" s="42">
        <f>IF(AND(ISNUMBER(F8751),ISNUMBER(H8751),F8751&gt;=Inputs!$C$68),F8751*H8751*Inputs!$C$69,"")</f>
      </c>
    </row>
    <row r="8752" spans="2:10" ht="15" customHeight="1" x14ac:dyDescent="0.2">
      <c r="B8752" s="39">
        <f t="shared" si="68"/>
      </c>
      <c r="C8752" s="40">
        <f>IF(Inputs!$C$60,Inputs!$C$11+(B8752-Inputs!$C$69)/Inputs!$C$70,"")</f>
      </c>
      <c r="D8752" s="15"/>
      <c r="E8752" s="15"/>
      <c r="F8752" s="11">
        <f t="shared" si="69"/>
      </c>
      <c r="G8752" s="22" cm="1">
        <f t="array" ref="G8752">IF(AND(Inputs!$C$60,Inputs!$C$61),INDEX(Utility_Rates!$C$29:$F$52,HOUR(C8752)+Inputs!$C$69,MATCH(INDEX(Utility_Rates!$K$6:$K$17,MONTH(C8752))&amp;IF(WEEKDAY(C8752,Inputs!$C$76)&lt;=Inputs!$C$74," weekday"," weekend"),Utility_Rates!$C$28:$F$28,Inputs!$C$68)),"")</f>
      </c>
      <c r="H8752" s="34"/>
      <c r="I8752" s="42">
        <f>IF(AND(ISNUMBER(D8752),ISNUMBER(H8752)),D8752*H8752*Inputs!$C$69,"")</f>
      </c>
      <c r="J8752" s="42">
        <f>IF(AND(ISNUMBER(F8752),ISNUMBER(H8752),F8752&gt;=Inputs!$C$68),F8752*H8752*Inputs!$C$69,"")</f>
      </c>
    </row>
    <row r="8753" spans="2:10" ht="15" customHeight="1" x14ac:dyDescent="0.2">
      <c r="B8753" s="39">
        <f t="shared" si="68"/>
      </c>
      <c r="C8753" s="40">
        <f>IF(Inputs!$C$60,Inputs!$C$11+(B8753-Inputs!$C$69)/Inputs!$C$70,"")</f>
      </c>
      <c r="D8753" s="15"/>
      <c r="E8753" s="15"/>
      <c r="F8753" s="11">
        <f t="shared" si="69"/>
      </c>
      <c r="G8753" s="22" cm="1">
        <f t="array" ref="G8753">IF(AND(Inputs!$C$60,Inputs!$C$61),INDEX(Utility_Rates!$C$29:$F$52,HOUR(C8753)+Inputs!$C$69,MATCH(INDEX(Utility_Rates!$K$6:$K$17,MONTH(C8753))&amp;IF(WEEKDAY(C8753,Inputs!$C$76)&lt;=Inputs!$C$74," weekday"," weekend"),Utility_Rates!$C$28:$F$28,Inputs!$C$68)),"")</f>
      </c>
      <c r="H8753" s="34"/>
      <c r="I8753" s="42">
        <f>IF(AND(ISNUMBER(D8753),ISNUMBER(H8753)),D8753*H8753*Inputs!$C$69,"")</f>
      </c>
      <c r="J8753" s="42">
        <f>IF(AND(ISNUMBER(F8753),ISNUMBER(H8753),F8753&gt;=Inputs!$C$68),F8753*H8753*Inputs!$C$69,"")</f>
      </c>
    </row>
    <row r="8754" spans="2:10" ht="15" customHeight="1" x14ac:dyDescent="0.2">
      <c r="B8754" s="39">
        <f t="shared" si="68"/>
      </c>
      <c r="C8754" s="40">
        <f>IF(Inputs!$C$60,Inputs!$C$11+(B8754-Inputs!$C$69)/Inputs!$C$70,"")</f>
      </c>
      <c r="D8754" s="15"/>
      <c r="E8754" s="15"/>
      <c r="F8754" s="11">
        <f t="shared" si="69"/>
      </c>
      <c r="G8754" s="22" cm="1">
        <f t="array" ref="G8754">IF(AND(Inputs!$C$60,Inputs!$C$61),INDEX(Utility_Rates!$C$29:$F$52,HOUR(C8754)+Inputs!$C$69,MATCH(INDEX(Utility_Rates!$K$6:$K$17,MONTH(C8754))&amp;IF(WEEKDAY(C8754,Inputs!$C$76)&lt;=Inputs!$C$74," weekday"," weekend"),Utility_Rates!$C$28:$F$28,Inputs!$C$68)),"")</f>
      </c>
      <c r="H8754" s="34"/>
      <c r="I8754" s="42">
        <f>IF(AND(ISNUMBER(D8754),ISNUMBER(H8754)),D8754*H8754*Inputs!$C$69,"")</f>
      </c>
      <c r="J8754" s="42">
        <f>IF(AND(ISNUMBER(F8754),ISNUMBER(H8754),F8754&gt;=Inputs!$C$68),F8754*H8754*Inputs!$C$69,"")</f>
      </c>
    </row>
    <row r="8755" spans="2:10" ht="15" customHeight="1" x14ac:dyDescent="0.2">
      <c r="B8755" s="39">
        <f t="shared" si="68"/>
      </c>
      <c r="C8755" s="40">
        <f>IF(Inputs!$C$60,Inputs!$C$11+(B8755-Inputs!$C$69)/Inputs!$C$70,"")</f>
      </c>
      <c r="D8755" s="15"/>
      <c r="E8755" s="15"/>
      <c r="F8755" s="11">
        <f t="shared" si="69"/>
      </c>
      <c r="G8755" s="22" cm="1">
        <f t="array" ref="G8755">IF(AND(Inputs!$C$60,Inputs!$C$61),INDEX(Utility_Rates!$C$29:$F$52,HOUR(C8755)+Inputs!$C$69,MATCH(INDEX(Utility_Rates!$K$6:$K$17,MONTH(C8755))&amp;IF(WEEKDAY(C8755,Inputs!$C$76)&lt;=Inputs!$C$74," weekday"," weekend"),Utility_Rates!$C$28:$F$28,Inputs!$C$68)),"")</f>
      </c>
      <c r="H8755" s="34"/>
      <c r="I8755" s="42">
        <f>IF(AND(ISNUMBER(D8755),ISNUMBER(H8755)),D8755*H8755*Inputs!$C$69,"")</f>
      </c>
      <c r="J8755" s="42">
        <f>IF(AND(ISNUMBER(F8755),ISNUMBER(H8755),F8755&gt;=Inputs!$C$68),F8755*H8755*Inputs!$C$69,"")</f>
      </c>
    </row>
    <row r="8756" spans="2:10" ht="15" customHeight="1" x14ac:dyDescent="0.2">
      <c r="B8756" s="39">
        <f t="shared" si="68"/>
      </c>
      <c r="C8756" s="40">
        <f>IF(Inputs!$C$60,Inputs!$C$11+(B8756-Inputs!$C$69)/Inputs!$C$70,"")</f>
      </c>
      <c r="D8756" s="15"/>
      <c r="E8756" s="15"/>
      <c r="F8756" s="11">
        <f t="shared" si="69"/>
      </c>
      <c r="G8756" s="22" cm="1">
        <f t="array" ref="G8756">IF(AND(Inputs!$C$60,Inputs!$C$61),INDEX(Utility_Rates!$C$29:$F$52,HOUR(C8756)+Inputs!$C$69,MATCH(INDEX(Utility_Rates!$K$6:$K$17,MONTH(C8756))&amp;IF(WEEKDAY(C8756,Inputs!$C$76)&lt;=Inputs!$C$74," weekday"," weekend"),Utility_Rates!$C$28:$F$28,Inputs!$C$68)),"")</f>
      </c>
      <c r="H8756" s="34"/>
      <c r="I8756" s="42">
        <f>IF(AND(ISNUMBER(D8756),ISNUMBER(H8756)),D8756*H8756*Inputs!$C$69,"")</f>
      </c>
      <c r="J8756" s="42">
        <f>IF(AND(ISNUMBER(F8756),ISNUMBER(H8756),F8756&gt;=Inputs!$C$68),F8756*H8756*Inputs!$C$69,"")</f>
      </c>
    </row>
    <row r="8757" spans="2:10" ht="15" customHeight="1" x14ac:dyDescent="0.2">
      <c r="B8757" s="39">
        <f t="shared" si="68"/>
      </c>
      <c r="C8757" s="40">
        <f>IF(Inputs!$C$60,Inputs!$C$11+(B8757-Inputs!$C$69)/Inputs!$C$70,"")</f>
      </c>
      <c r="D8757" s="15"/>
      <c r="E8757" s="15"/>
      <c r="F8757" s="11">
        <f t="shared" si="69"/>
      </c>
      <c r="G8757" s="22" cm="1">
        <f t="array" ref="G8757">IF(AND(Inputs!$C$60,Inputs!$C$61),INDEX(Utility_Rates!$C$29:$F$52,HOUR(C8757)+Inputs!$C$69,MATCH(INDEX(Utility_Rates!$K$6:$K$17,MONTH(C8757))&amp;IF(WEEKDAY(C8757,Inputs!$C$76)&lt;=Inputs!$C$74," weekday"," weekend"),Utility_Rates!$C$28:$F$28,Inputs!$C$68)),"")</f>
      </c>
      <c r="H8757" s="34"/>
      <c r="I8757" s="42">
        <f>IF(AND(ISNUMBER(D8757),ISNUMBER(H8757)),D8757*H8757*Inputs!$C$69,"")</f>
      </c>
      <c r="J8757" s="42">
        <f>IF(AND(ISNUMBER(F8757),ISNUMBER(H8757),F8757&gt;=Inputs!$C$68),F8757*H8757*Inputs!$C$69,"")</f>
      </c>
    </row>
    <row r="8758" spans="2:10" ht="15" customHeight="1" x14ac:dyDescent="0.2">
      <c r="B8758" s="39">
        <f t="shared" si="68"/>
      </c>
      <c r="C8758" s="40">
        <f>IF(Inputs!$C$60,Inputs!$C$11+(B8758-Inputs!$C$69)/Inputs!$C$70,"")</f>
      </c>
      <c r="D8758" s="15"/>
      <c r="E8758" s="15"/>
      <c r="F8758" s="11">
        <f t="shared" si="69"/>
      </c>
      <c r="G8758" s="22" cm="1">
        <f t="array" ref="G8758">IF(AND(Inputs!$C$60,Inputs!$C$61),INDEX(Utility_Rates!$C$29:$F$52,HOUR(C8758)+Inputs!$C$69,MATCH(INDEX(Utility_Rates!$K$6:$K$17,MONTH(C8758))&amp;IF(WEEKDAY(C8758,Inputs!$C$76)&lt;=Inputs!$C$74," weekday"," weekend"),Utility_Rates!$C$28:$F$28,Inputs!$C$68)),"")</f>
      </c>
      <c r="H8758" s="34"/>
      <c r="I8758" s="42">
        <f>IF(AND(ISNUMBER(D8758),ISNUMBER(H8758)),D8758*H8758*Inputs!$C$69,"")</f>
      </c>
      <c r="J8758" s="42">
        <f>IF(AND(ISNUMBER(F8758),ISNUMBER(H8758),F8758&gt;=Inputs!$C$68),F8758*H8758*Inputs!$C$69,"")</f>
      </c>
    </row>
    <row r="8759" spans="2:10" ht="15" customHeight="1" x14ac:dyDescent="0.2">
      <c r="B8759" s="39">
        <f t="shared" si="68"/>
      </c>
      <c r="C8759" s="40">
        <f>IF(Inputs!$C$60,Inputs!$C$11+(B8759-Inputs!$C$69)/Inputs!$C$70,"")</f>
      </c>
      <c r="D8759" s="15"/>
      <c r="E8759" s="15"/>
      <c r="F8759" s="11">
        <f t="shared" si="69"/>
      </c>
      <c r="G8759" s="22" cm="1">
        <f t="array" ref="G8759">IF(AND(Inputs!$C$60,Inputs!$C$61),INDEX(Utility_Rates!$C$29:$F$52,HOUR(C8759)+Inputs!$C$69,MATCH(INDEX(Utility_Rates!$K$6:$K$17,MONTH(C8759))&amp;IF(WEEKDAY(C8759,Inputs!$C$76)&lt;=Inputs!$C$74," weekday"," weekend"),Utility_Rates!$C$28:$F$28,Inputs!$C$68)),"")</f>
      </c>
      <c r="H8759" s="34"/>
      <c r="I8759" s="42">
        <f>IF(AND(ISNUMBER(D8759),ISNUMBER(H8759)),D8759*H8759*Inputs!$C$69,"")</f>
      </c>
      <c r="J8759" s="42">
        <f>IF(AND(ISNUMBER(F8759),ISNUMBER(H8759),F8759&gt;=Inputs!$C$68),F8759*H8759*Inputs!$C$69,"")</f>
      </c>
    </row>
    <row r="8760" spans="2:10" ht="15" customHeight="1" x14ac:dyDescent="0.2">
      <c r="B8760" s="39">
        <f t="shared" si="68"/>
      </c>
      <c r="C8760" s="40">
        <f>IF(Inputs!$C$60,Inputs!$C$11+(B8760-Inputs!$C$69)/Inputs!$C$70,"")</f>
      </c>
      <c r="D8760" s="15"/>
      <c r="E8760" s="15"/>
      <c r="F8760" s="11">
        <f t="shared" si="69"/>
      </c>
      <c r="G8760" s="22" cm="1">
        <f t="array" ref="G8760">IF(AND(Inputs!$C$60,Inputs!$C$61),INDEX(Utility_Rates!$C$29:$F$52,HOUR(C8760)+Inputs!$C$69,MATCH(INDEX(Utility_Rates!$K$6:$K$17,MONTH(C8760))&amp;IF(WEEKDAY(C8760,Inputs!$C$76)&lt;=Inputs!$C$74," weekday"," weekend"),Utility_Rates!$C$28:$F$28,Inputs!$C$68)),"")</f>
      </c>
      <c r="H8760" s="34"/>
      <c r="I8760" s="42">
        <f>IF(AND(ISNUMBER(D8760),ISNUMBER(H8760)),D8760*H8760*Inputs!$C$69,"")</f>
      </c>
      <c r="J8760" s="42">
        <f>IF(AND(ISNUMBER(F8760),ISNUMBER(H8760),F8760&gt;=Inputs!$C$68),F8760*H8760*Inputs!$C$69,"")</f>
      </c>
    </row>
    <row r="8761" spans="2:10" ht="15" customHeight="1" x14ac:dyDescent="0.2">
      <c r="B8761" s="39">
        <f t="shared" si="68"/>
      </c>
      <c r="C8761" s="40">
        <f>IF(Inputs!$C$60,Inputs!$C$11+(B8761-Inputs!$C$69)/Inputs!$C$70,"")</f>
      </c>
      <c r="D8761" s="15"/>
      <c r="E8761" s="15"/>
      <c r="F8761" s="11">
        <f t="shared" si="69"/>
      </c>
      <c r="G8761" s="22" cm="1">
        <f t="array" ref="G8761">IF(AND(Inputs!$C$60,Inputs!$C$61),INDEX(Utility_Rates!$C$29:$F$52,HOUR(C8761)+Inputs!$C$69,MATCH(INDEX(Utility_Rates!$K$6:$K$17,MONTH(C8761))&amp;IF(WEEKDAY(C8761,Inputs!$C$76)&lt;=Inputs!$C$74," weekday"," weekend"),Utility_Rates!$C$28:$F$28,Inputs!$C$68)),"")</f>
      </c>
      <c r="H8761" s="34"/>
      <c r="I8761" s="42">
        <f>IF(AND(ISNUMBER(D8761),ISNUMBER(H8761)),D8761*H8761*Inputs!$C$69,"")</f>
      </c>
      <c r="J8761" s="42">
        <f>IF(AND(ISNUMBER(F8761),ISNUMBER(H8761),F8761&gt;=Inputs!$C$68),F8761*H8761*Inputs!$C$69,"")</f>
      </c>
    </row>
    <row r="8762" spans="2:10" ht="15" customHeight="1" x14ac:dyDescent="0.2">
      <c r="B8762" s="39">
        <f t="shared" si="68"/>
      </c>
      <c r="C8762" s="40">
        <f>IF(Inputs!$C$60,Inputs!$C$11+(B8762-Inputs!$C$69)/Inputs!$C$70,"")</f>
      </c>
      <c r="D8762" s="15"/>
      <c r="E8762" s="15"/>
      <c r="F8762" s="11">
        <f t="shared" si="69"/>
      </c>
      <c r="G8762" s="22" cm="1">
        <f t="array" ref="G8762">IF(AND(Inputs!$C$60,Inputs!$C$61),INDEX(Utility_Rates!$C$29:$F$52,HOUR(C8762)+Inputs!$C$69,MATCH(INDEX(Utility_Rates!$K$6:$K$17,MONTH(C8762))&amp;IF(WEEKDAY(C8762,Inputs!$C$76)&lt;=Inputs!$C$74," weekday"," weekend"),Utility_Rates!$C$28:$F$28,Inputs!$C$68)),"")</f>
      </c>
      <c r="H8762" s="34"/>
      <c r="I8762" s="42">
        <f>IF(AND(ISNUMBER(D8762),ISNUMBER(H8762)),D8762*H8762*Inputs!$C$69,"")</f>
      </c>
      <c r="J8762" s="42">
        <f>IF(AND(ISNUMBER(F8762),ISNUMBER(H8762),F8762&gt;=Inputs!$C$68),F8762*H8762*Inputs!$C$69,"")</f>
      </c>
    </row>
    <row r="8763" spans="2:10" ht="15" customHeight="1" x14ac:dyDescent="0.2">
      <c r="B8763" s="39">
        <f t="shared" si="68"/>
      </c>
      <c r="C8763" s="40">
        <f>IF(Inputs!$C$60,Inputs!$C$11+(B8763-Inputs!$C$69)/Inputs!$C$70,"")</f>
      </c>
      <c r="D8763" s="15"/>
      <c r="E8763" s="15"/>
      <c r="F8763" s="11">
        <f t="shared" si="69"/>
      </c>
      <c r="G8763" s="22" cm="1">
        <f t="array" ref="G8763">IF(AND(Inputs!$C$60,Inputs!$C$61),INDEX(Utility_Rates!$C$29:$F$52,HOUR(C8763)+Inputs!$C$69,MATCH(INDEX(Utility_Rates!$K$6:$K$17,MONTH(C8763))&amp;IF(WEEKDAY(C8763,Inputs!$C$76)&lt;=Inputs!$C$74," weekday"," weekend"),Utility_Rates!$C$28:$F$28,Inputs!$C$68)),"")</f>
      </c>
      <c r="H8763" s="34"/>
      <c r="I8763" s="42">
        <f>IF(AND(ISNUMBER(D8763),ISNUMBER(H8763)),D8763*H8763*Inputs!$C$69,"")</f>
      </c>
      <c r="J8763" s="42">
        <f>IF(AND(ISNUMBER(F8763),ISNUMBER(H8763),F8763&gt;=Inputs!$C$68),F8763*H8763*Inputs!$C$69,"")</f>
      </c>
    </row>
    <row r="8764" spans="2:10" ht="15" customHeight="1" x14ac:dyDescent="0.2">
      <c r="B8764" s="39">
        <f t="shared" si="68"/>
      </c>
      <c r="C8764" s="40">
        <f>IF(Inputs!$C$60,Inputs!$C$11+(B8764-Inputs!$C$69)/Inputs!$C$70,"")</f>
      </c>
      <c r="D8764" s="15"/>
      <c r="E8764" s="15"/>
      <c r="F8764" s="11">
        <f t="shared" si="69"/>
      </c>
      <c r="G8764" s="22" cm="1">
        <f t="array" ref="G8764">IF(AND(Inputs!$C$60,Inputs!$C$61),INDEX(Utility_Rates!$C$29:$F$52,HOUR(C8764)+Inputs!$C$69,MATCH(INDEX(Utility_Rates!$K$6:$K$17,MONTH(C8764))&amp;IF(WEEKDAY(C8764,Inputs!$C$76)&lt;=Inputs!$C$74," weekday"," weekend"),Utility_Rates!$C$28:$F$28,Inputs!$C$68)),"")</f>
      </c>
      <c r="H8764" s="34"/>
      <c r="I8764" s="42">
        <f>IF(AND(ISNUMBER(D8764),ISNUMBER(H8764)),D8764*H8764*Inputs!$C$69,"")</f>
      </c>
      <c r="J8764" s="42">
        <f>IF(AND(ISNUMBER(F8764),ISNUMBER(H8764),F8764&gt;=Inputs!$C$68),F8764*H8764*Inputs!$C$69,"")</f>
      </c>
    </row>
    <row r="8765" spans="2:10" ht="15" customHeight="1" x14ac:dyDescent="0.2">
      <c r="B8765" s="39">
        <f t="shared" si="68"/>
      </c>
      <c r="C8765" s="40">
        <f>IF(Inputs!$C$60,Inputs!$C$11+(B8765-Inputs!$C$69)/Inputs!$C$70,"")</f>
      </c>
      <c r="D8765" s="15"/>
      <c r="E8765" s="15"/>
      <c r="F8765" s="11">
        <f t="shared" si="69"/>
      </c>
      <c r="G8765" s="22" cm="1">
        <f t="array" ref="G8765">IF(AND(Inputs!$C$60,Inputs!$C$61),INDEX(Utility_Rates!$C$29:$F$52,HOUR(C8765)+Inputs!$C$69,MATCH(INDEX(Utility_Rates!$K$6:$K$17,MONTH(C8765))&amp;IF(WEEKDAY(C8765,Inputs!$C$76)&lt;=Inputs!$C$74," weekday"," weekend"),Utility_Rates!$C$28:$F$28,Inputs!$C$68)),"")</f>
      </c>
      <c r="H8765" s="34"/>
      <c r="I8765" s="42">
        <f>IF(AND(ISNUMBER(D8765),ISNUMBER(H8765)),D8765*H8765*Inputs!$C$69,"")</f>
      </c>
      <c r="J8765" s="42">
        <f>IF(AND(ISNUMBER(F8765),ISNUMBER(H8765),F8765&gt;=Inputs!$C$68),F8765*H8765*Inputs!$C$69,"")</f>
      </c>
    </row>
  </sheetData>
  <dataValidations count="1">
    <dataValidation type="custom" allowBlank="1" showInputMessage="1" showErrorMessage="1" error="Use signed numeric kW: positive discharge, negative charge." prompt="Use signed numeric kW: positive discharge, negative charge." sqref="E6:E8765" xr:uid="{00000000-0002-0000-0200-000000000000}">
      <formula1>ISNUMBER(E6)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9CAD1C2-BADC-462D-A79A-D451E6C2A51C}">
            <xm:f>AND(ISNUMBER(D6),D6&lt;Inputs!$C$68)</xm:f>
            <x14:dxf>
              <font>
                <color rgb="FFA32622"/>
              </font>
              <fill>
                <patternFill patternType="solid">
                  <fgColor rgb="FFFCE9E7"/>
                  <bgColor rgb="FFFCE9E7"/>
                </patternFill>
              </fill>
            </x14:dxf>
          </x14:cfRule>
          <xm:sqref>D6:D8765</xm:sqref>
        </x14:conditionalFormatting>
        <x14:conditionalFormatting xmlns:xm="http://schemas.microsoft.com/office/excel/2006/main">
          <x14:cfRule type="expression" priority="1" id="{45EE30B7-A80E-486D-813C-97D8C8F26B25}">
            <xm:f>AND(ISNUMBER(F6),F6&lt;Inputs!$C$68)</xm:f>
            <x14:dxf>
              <font>
                <color rgb="FFA32622"/>
              </font>
              <fill>
                <patternFill patternType="solid">
                  <fgColor rgb="FFFCE9E7"/>
                  <bgColor rgb="FFFCE9E7"/>
                </patternFill>
              </fill>
            </x14:dxf>
          </x14:cfRule>
          <xm:sqref>F6:F8765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="Baseline must be a nonnegative numeric kW value." prompt="Baseline must be a nonnegative numeric kW value." xr:uid="{00000000-0002-0000-0200-000001000000}">
          <x14:formula1>
            <xm:f>AND(ISNUMBER(D6),D6&gt;=Inputs!$C$68)</xm:f>
          </x14:formula1>
          <xm:sqref>D6:D8765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E9F6-F2EA-D3E8-83CB-5A9F7889406C}">
  <dimension ref="B2:M33"/>
  <sheetViews>
    <sheetView showGridLines="0" workbookViewId="0">
      <pane ySplit="5" topLeftCell="A21" activePane="bottomLeft" state="frozen"/>
      <selection pane="bottomLeft"/>
    </sheetView>
  </sheetViews>
  <sheetFormatPr baseColWidth="10" defaultColWidth="7.83203125" defaultRowHeight="15" customHeight="1" x14ac:dyDescent="0.2"/>
  <cols>
    <col min="1" max="1" width="3" customWidth="1"/>
    <col min="2" max="2" width="33.1640625" customWidth="1"/>
    <col min="3" max="13" width="15.33203125" customWidth="1"/>
  </cols>
  <sheetData>
    <row r="2" ht="24" customHeight="1" x14ac:dyDescent="0.2">
      <c r="B2" s="1" t="s">
        <v>158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7" customHeight="1" x14ac:dyDescent="0.2">
      <c r="B3" s="2" t="s">
        <v>159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40.5" customHeight="1" x14ac:dyDescent="0.2">
      <c r="B5" s="32" t="s">
        <v>120</v>
      </c>
      <c r="C5" s="32" t="s">
        <v>160</v>
      </c>
      <c r="D5" s="32" t="s">
        <v>161</v>
      </c>
      <c r="E5" s="32" t="s">
        <v>162</v>
      </c>
      <c r="F5" s="32" t="s">
        <v>124</v>
      </c>
      <c r="G5" s="32" t="s">
        <v>163</v>
      </c>
      <c r="H5" s="32" t="s">
        <v>164</v>
      </c>
      <c r="I5" s="32" t="s">
        <v>165</v>
      </c>
      <c r="J5" s="32" t="s">
        <v>166</v>
      </c>
      <c r="K5" s="32" t="inlineStr">
        <is>
          <t xml:space="preserve">Program revenue ($)</t>
        </is>
      </c>
      <c r="L5" s="32" t="s">
        <v>167</v>
      </c>
      <c r="M5" s="32" t="s">
        <v>168</v>
      </c>
    </row>
    <row r="6" ht="21" customHeight="1" x14ac:dyDescent="0.2">
      <c r="B6" s="33" cm="1">
        <f t="array" ref="B6">Utility_Rates!B6</f>
      </c>
      <c r="C6" s="15"/>
      <c r="D6" s="15"/>
      <c r="E6" s="10">
        <f>IF(Inputs!$C$62,C6-D6,"")</f>
      </c>
      <c r="F6" s="42" cm="1">
        <f t="array" ref="F6">IF(ISNUMBER(Utility_Rates!F6),Utility_Rates!F6,"")</f>
      </c>
      <c r="G6" s="18"/>
      <c r="H6" s="42">
        <f>IF(Inputs!$C$62,SUMIFS(Hourly_Operations!$I$6:$I$8765,Hourly_Operations!$C$6:$C$8765,"&gt;="&amp;$B6,Hourly_Operations!$C$6:$C$8765,"&lt;"&amp;EDATE($B6,Inputs!$C$69)),"")</f>
      </c>
      <c r="I6" s="42">
        <f>IF(Inputs!$C$62,SUMIFS(Hourly_Operations!$J$6:$J$8765,Hourly_Operations!$C$6:$C$8765,"&gt;="&amp;$B6,Hourly_Operations!$C$6:$C$8765,"&lt;"&amp;EDATE($B6,Inputs!$C$69)),"")</f>
      </c>
      <c r="J6" s="42">
        <f>IF(Inputs!$C$62,H6-I6,"")</f>
      </c>
      <c r="K6" s="18"/>
      <c r="L6" s="42">
        <f>IF(ISNUMBER(Inputs!$C$53),Inputs!$C$53/Inputs!$C$73,"")</f>
      </c>
      <c r="M6" s="42">
        <f>IF(AND(Inputs!$C$62,ISNUMBER(L6)),SUM(G6,J6,K6,L6),"")</f>
      </c>
    </row>
    <row r="7" ht="21" customHeight="1" x14ac:dyDescent="0.2">
      <c r="B7" s="33" cm="1">
        <f t="array" ref="B7">Utility_Rates!B7</f>
      </c>
      <c r="C7" s="15"/>
      <c r="D7" s="15"/>
      <c r="E7" s="10">
        <f>IF(Inputs!$C$62,C7-D7,"")</f>
      </c>
      <c r="F7" s="42" cm="1">
        <f t="array" ref="F7">IF(ISNUMBER(Utility_Rates!F7),Utility_Rates!F7,"")</f>
      </c>
      <c r="G7" s="18"/>
      <c r="H7" s="42">
        <f>IF(Inputs!$C$62,SUMIFS(Hourly_Operations!$I$6:$I$8765,Hourly_Operations!$C$6:$C$8765,"&gt;="&amp;$B7,Hourly_Operations!$C$6:$C$8765,"&lt;"&amp;EDATE($B7,Inputs!$C$69)),"")</f>
      </c>
      <c r="I7" s="42">
        <f>IF(Inputs!$C$62,SUMIFS(Hourly_Operations!$J$6:$J$8765,Hourly_Operations!$C$6:$C$8765,"&gt;="&amp;$B7,Hourly_Operations!$C$6:$C$8765,"&lt;"&amp;EDATE($B7,Inputs!$C$69)),"")</f>
      </c>
      <c r="J7" s="42">
        <f>IF(Inputs!$C$62,H7-I7,"")</f>
      </c>
      <c r="K7" s="18"/>
      <c r="L7" s="42">
        <f>IF(ISNUMBER(Inputs!$C$53),Inputs!$C$53/Inputs!$C$73,"")</f>
      </c>
      <c r="M7" s="42">
        <f>IF(AND(Inputs!$C$62,ISNUMBER(L7)),SUM(G7,J7,K7,L7),"")</f>
      </c>
    </row>
    <row r="8" ht="21" customHeight="1" x14ac:dyDescent="0.2">
      <c r="B8" s="33" cm="1">
        <f t="array" ref="B8">Utility_Rates!B8</f>
      </c>
      <c r="C8" s="15"/>
      <c r="D8" s="15"/>
      <c r="E8" s="10">
        <f>IF(Inputs!$C$62,C8-D8,"")</f>
      </c>
      <c r="F8" s="42" cm="1">
        <f t="array" ref="F8">IF(ISNUMBER(Utility_Rates!F8),Utility_Rates!F8,"")</f>
      </c>
      <c r="G8" s="18"/>
      <c r="H8" s="42">
        <f>IF(Inputs!$C$62,SUMIFS(Hourly_Operations!$I$6:$I$8765,Hourly_Operations!$C$6:$C$8765,"&gt;="&amp;$B8,Hourly_Operations!$C$6:$C$8765,"&lt;"&amp;EDATE($B8,Inputs!$C$69)),"")</f>
      </c>
      <c r="I8" s="42">
        <f>IF(Inputs!$C$62,SUMIFS(Hourly_Operations!$J$6:$J$8765,Hourly_Operations!$C$6:$C$8765,"&gt;="&amp;$B8,Hourly_Operations!$C$6:$C$8765,"&lt;"&amp;EDATE($B8,Inputs!$C$69)),"")</f>
      </c>
      <c r="J8" s="42">
        <f>IF(Inputs!$C$62,H8-I8,"")</f>
      </c>
      <c r="K8" s="18"/>
      <c r="L8" s="42">
        <f>IF(ISNUMBER(Inputs!$C$53),Inputs!$C$53/Inputs!$C$73,"")</f>
      </c>
      <c r="M8" s="42">
        <f>IF(AND(Inputs!$C$62,ISNUMBER(L8)),SUM(G8,J8,K8,L8),"")</f>
      </c>
    </row>
    <row r="9" ht="21" customHeight="1" x14ac:dyDescent="0.2">
      <c r="B9" s="33" cm="1">
        <f t="array" ref="B9">Utility_Rates!B9</f>
      </c>
      <c r="C9" s="15"/>
      <c r="D9" s="15"/>
      <c r="E9" s="10">
        <f>IF(Inputs!$C$62,C9-D9,"")</f>
      </c>
      <c r="F9" s="42" cm="1">
        <f t="array" ref="F9">IF(ISNUMBER(Utility_Rates!F9),Utility_Rates!F9,"")</f>
      </c>
      <c r="G9" s="18"/>
      <c r="H9" s="42">
        <f>IF(Inputs!$C$62,SUMIFS(Hourly_Operations!$I$6:$I$8765,Hourly_Operations!$C$6:$C$8765,"&gt;="&amp;$B9,Hourly_Operations!$C$6:$C$8765,"&lt;"&amp;EDATE($B9,Inputs!$C$69)),"")</f>
      </c>
      <c r="I9" s="42">
        <f>IF(Inputs!$C$62,SUMIFS(Hourly_Operations!$J$6:$J$8765,Hourly_Operations!$C$6:$C$8765,"&gt;="&amp;$B9,Hourly_Operations!$C$6:$C$8765,"&lt;"&amp;EDATE($B9,Inputs!$C$69)),"")</f>
      </c>
      <c r="J9" s="42">
        <f>IF(Inputs!$C$62,H9-I9,"")</f>
      </c>
      <c r="K9" s="18"/>
      <c r="L9" s="42">
        <f>IF(ISNUMBER(Inputs!$C$53),Inputs!$C$53/Inputs!$C$73,"")</f>
      </c>
      <c r="M9" s="42">
        <f>IF(AND(Inputs!$C$62,ISNUMBER(L9)),SUM(G9,J9,K9,L9),"")</f>
      </c>
    </row>
    <row r="10" ht="21" customHeight="1" x14ac:dyDescent="0.2">
      <c r="B10" s="33" cm="1">
        <f t="array" ref="B10">Utility_Rates!B10</f>
      </c>
      <c r="C10" s="15"/>
      <c r="D10" s="15"/>
      <c r="E10" s="10">
        <f>IF(Inputs!$C$62,C10-D10,"")</f>
      </c>
      <c r="F10" s="42" cm="1">
        <f t="array" ref="F10">IF(ISNUMBER(Utility_Rates!F10),Utility_Rates!F10,"")</f>
      </c>
      <c r="G10" s="18"/>
      <c r="H10" s="42">
        <f>IF(Inputs!$C$62,SUMIFS(Hourly_Operations!$I$6:$I$8765,Hourly_Operations!$C$6:$C$8765,"&gt;="&amp;$B10,Hourly_Operations!$C$6:$C$8765,"&lt;"&amp;EDATE($B10,Inputs!$C$69)),"")</f>
      </c>
      <c r="I10" s="42">
        <f>IF(Inputs!$C$62,SUMIFS(Hourly_Operations!$J$6:$J$8765,Hourly_Operations!$C$6:$C$8765,"&gt;="&amp;$B10,Hourly_Operations!$C$6:$C$8765,"&lt;"&amp;EDATE($B10,Inputs!$C$69)),"")</f>
      </c>
      <c r="J10" s="42">
        <f>IF(Inputs!$C$62,H10-I10,"")</f>
      </c>
      <c r="K10" s="18"/>
      <c r="L10" s="42">
        <f>IF(ISNUMBER(Inputs!$C$53),Inputs!$C$53/Inputs!$C$73,"")</f>
      </c>
      <c r="M10" s="42">
        <f>IF(AND(Inputs!$C$62,ISNUMBER(L10)),SUM(G10,J10,K10,L10),"")</f>
      </c>
    </row>
    <row r="11" ht="21" customHeight="1" x14ac:dyDescent="0.2">
      <c r="B11" s="33" cm="1">
        <f t="array" ref="B11">Utility_Rates!B11</f>
      </c>
      <c r="C11" s="15"/>
      <c r="D11" s="15"/>
      <c r="E11" s="10">
        <f>IF(Inputs!$C$62,C11-D11,"")</f>
      </c>
      <c r="F11" s="42" cm="1">
        <f t="array" ref="F11">IF(ISNUMBER(Utility_Rates!F11),Utility_Rates!F11,"")</f>
      </c>
      <c r="G11" s="18"/>
      <c r="H11" s="42">
        <f>IF(Inputs!$C$62,SUMIFS(Hourly_Operations!$I$6:$I$8765,Hourly_Operations!$C$6:$C$8765,"&gt;="&amp;$B11,Hourly_Operations!$C$6:$C$8765,"&lt;"&amp;EDATE($B11,Inputs!$C$69)),"")</f>
      </c>
      <c r="I11" s="42">
        <f>IF(Inputs!$C$62,SUMIFS(Hourly_Operations!$J$6:$J$8765,Hourly_Operations!$C$6:$C$8765,"&gt;="&amp;$B11,Hourly_Operations!$C$6:$C$8765,"&lt;"&amp;EDATE($B11,Inputs!$C$69)),"")</f>
      </c>
      <c r="J11" s="42">
        <f>IF(Inputs!$C$62,H11-I11,"")</f>
      </c>
      <c r="K11" s="18"/>
      <c r="L11" s="42">
        <f>IF(ISNUMBER(Inputs!$C$53),Inputs!$C$53/Inputs!$C$73,"")</f>
      </c>
      <c r="M11" s="42">
        <f>IF(AND(Inputs!$C$62,ISNUMBER(L11)),SUM(G11,J11,K11,L11),"")</f>
      </c>
    </row>
    <row r="12" ht="21" customHeight="1" x14ac:dyDescent="0.2">
      <c r="B12" s="33" cm="1">
        <f t="array" ref="B12">Utility_Rates!B12</f>
      </c>
      <c r="C12" s="15"/>
      <c r="D12" s="15"/>
      <c r="E12" s="10">
        <f>IF(Inputs!$C$62,C12-D12,"")</f>
      </c>
      <c r="F12" s="42" cm="1">
        <f t="array" ref="F12">IF(ISNUMBER(Utility_Rates!F12),Utility_Rates!F12,"")</f>
      </c>
      <c r="G12" s="18"/>
      <c r="H12" s="42">
        <f>IF(Inputs!$C$62,SUMIFS(Hourly_Operations!$I$6:$I$8765,Hourly_Operations!$C$6:$C$8765,"&gt;="&amp;$B12,Hourly_Operations!$C$6:$C$8765,"&lt;"&amp;EDATE($B12,Inputs!$C$69)),"")</f>
      </c>
      <c r="I12" s="42">
        <f>IF(Inputs!$C$62,SUMIFS(Hourly_Operations!$J$6:$J$8765,Hourly_Operations!$C$6:$C$8765,"&gt;="&amp;$B12,Hourly_Operations!$C$6:$C$8765,"&lt;"&amp;EDATE($B12,Inputs!$C$69)),"")</f>
      </c>
      <c r="J12" s="42">
        <f>IF(Inputs!$C$62,H12-I12,"")</f>
      </c>
      <c r="K12" s="18"/>
      <c r="L12" s="42">
        <f>IF(ISNUMBER(Inputs!$C$53),Inputs!$C$53/Inputs!$C$73,"")</f>
      </c>
      <c r="M12" s="42">
        <f>IF(AND(Inputs!$C$62,ISNUMBER(L12)),SUM(G12,J12,K12,L12),"")</f>
      </c>
    </row>
    <row r="13" ht="21" customHeight="1" x14ac:dyDescent="0.2">
      <c r="B13" s="33" cm="1">
        <f t="array" ref="B13">Utility_Rates!B13</f>
      </c>
      <c r="C13" s="15"/>
      <c r="D13" s="15"/>
      <c r="E13" s="10">
        <f>IF(Inputs!$C$62,C13-D13,"")</f>
      </c>
      <c r="F13" s="42" cm="1">
        <f t="array" ref="F13">IF(ISNUMBER(Utility_Rates!F13),Utility_Rates!F13,"")</f>
      </c>
      <c r="G13" s="18"/>
      <c r="H13" s="42">
        <f>IF(Inputs!$C$62,SUMIFS(Hourly_Operations!$I$6:$I$8765,Hourly_Operations!$C$6:$C$8765,"&gt;="&amp;$B13,Hourly_Operations!$C$6:$C$8765,"&lt;"&amp;EDATE($B13,Inputs!$C$69)),"")</f>
      </c>
      <c r="I13" s="42">
        <f>IF(Inputs!$C$62,SUMIFS(Hourly_Operations!$J$6:$J$8765,Hourly_Operations!$C$6:$C$8765,"&gt;="&amp;$B13,Hourly_Operations!$C$6:$C$8765,"&lt;"&amp;EDATE($B13,Inputs!$C$69)),"")</f>
      </c>
      <c r="J13" s="42">
        <f>IF(Inputs!$C$62,H13-I13,"")</f>
      </c>
      <c r="K13" s="18"/>
      <c r="L13" s="42">
        <f>IF(ISNUMBER(Inputs!$C$53),Inputs!$C$53/Inputs!$C$73,"")</f>
      </c>
      <c r="M13" s="42">
        <f>IF(AND(Inputs!$C$62,ISNUMBER(L13)),SUM(G13,J13,K13,L13),"")</f>
      </c>
    </row>
    <row r="14" ht="21" customHeight="1" x14ac:dyDescent="0.2">
      <c r="B14" s="33" cm="1">
        <f t="array" ref="B14">Utility_Rates!B14</f>
      </c>
      <c r="C14" s="15"/>
      <c r="D14" s="15"/>
      <c r="E14" s="10">
        <f>IF(Inputs!$C$62,C14-D14,"")</f>
      </c>
      <c r="F14" s="42" cm="1">
        <f t="array" ref="F14">IF(ISNUMBER(Utility_Rates!F14),Utility_Rates!F14,"")</f>
      </c>
      <c r="G14" s="18"/>
      <c r="H14" s="42">
        <f>IF(Inputs!$C$62,SUMIFS(Hourly_Operations!$I$6:$I$8765,Hourly_Operations!$C$6:$C$8765,"&gt;="&amp;$B14,Hourly_Operations!$C$6:$C$8765,"&lt;"&amp;EDATE($B14,Inputs!$C$69)),"")</f>
      </c>
      <c r="I14" s="42">
        <f>IF(Inputs!$C$62,SUMIFS(Hourly_Operations!$J$6:$J$8765,Hourly_Operations!$C$6:$C$8765,"&gt;="&amp;$B14,Hourly_Operations!$C$6:$C$8765,"&lt;"&amp;EDATE($B14,Inputs!$C$69)),"")</f>
      </c>
      <c r="J14" s="42">
        <f>IF(Inputs!$C$62,H14-I14,"")</f>
      </c>
      <c r="K14" s="18"/>
      <c r="L14" s="42">
        <f>IF(ISNUMBER(Inputs!$C$53),Inputs!$C$53/Inputs!$C$73,"")</f>
      </c>
      <c r="M14" s="42">
        <f>IF(AND(Inputs!$C$62,ISNUMBER(L14)),SUM(G14,J14,K14,L14),"")</f>
      </c>
    </row>
    <row r="15" ht="21" customHeight="1" x14ac:dyDescent="0.2">
      <c r="B15" s="33" cm="1">
        <f t="array" ref="B15">Utility_Rates!B15</f>
      </c>
      <c r="C15" s="15"/>
      <c r="D15" s="15"/>
      <c r="E15" s="10">
        <f>IF(Inputs!$C$62,C15-D15,"")</f>
      </c>
      <c r="F15" s="42" cm="1">
        <f t="array" ref="F15">IF(ISNUMBER(Utility_Rates!F15),Utility_Rates!F15,"")</f>
      </c>
      <c r="G15" s="18"/>
      <c r="H15" s="42">
        <f>IF(Inputs!$C$62,SUMIFS(Hourly_Operations!$I$6:$I$8765,Hourly_Operations!$C$6:$C$8765,"&gt;="&amp;$B15,Hourly_Operations!$C$6:$C$8765,"&lt;"&amp;EDATE($B15,Inputs!$C$69)),"")</f>
      </c>
      <c r="I15" s="42">
        <f>IF(Inputs!$C$62,SUMIFS(Hourly_Operations!$J$6:$J$8765,Hourly_Operations!$C$6:$C$8765,"&gt;="&amp;$B15,Hourly_Operations!$C$6:$C$8765,"&lt;"&amp;EDATE($B15,Inputs!$C$69)),"")</f>
      </c>
      <c r="J15" s="42">
        <f>IF(Inputs!$C$62,H15-I15,"")</f>
      </c>
      <c r="K15" s="18"/>
      <c r="L15" s="42">
        <f>IF(ISNUMBER(Inputs!$C$53),Inputs!$C$53/Inputs!$C$73,"")</f>
      </c>
      <c r="M15" s="42">
        <f>IF(AND(Inputs!$C$62,ISNUMBER(L15)),SUM(G15,J15,K15,L15),"")</f>
      </c>
    </row>
    <row r="16" ht="21" customHeight="1" x14ac:dyDescent="0.2">
      <c r="B16" s="33" cm="1">
        <f t="array" ref="B16">Utility_Rates!B16</f>
      </c>
      <c r="C16" s="15"/>
      <c r="D16" s="15"/>
      <c r="E16" s="10">
        <f>IF(Inputs!$C$62,C16-D16,"")</f>
      </c>
      <c r="F16" s="42" cm="1">
        <f t="array" ref="F16">IF(ISNUMBER(Utility_Rates!F16),Utility_Rates!F16,"")</f>
      </c>
      <c r="G16" s="18"/>
      <c r="H16" s="42">
        <f>IF(Inputs!$C$62,SUMIFS(Hourly_Operations!$I$6:$I$8765,Hourly_Operations!$C$6:$C$8765,"&gt;="&amp;$B16,Hourly_Operations!$C$6:$C$8765,"&lt;"&amp;EDATE($B16,Inputs!$C$69)),"")</f>
      </c>
      <c r="I16" s="42">
        <f>IF(Inputs!$C$62,SUMIFS(Hourly_Operations!$J$6:$J$8765,Hourly_Operations!$C$6:$C$8765,"&gt;="&amp;$B16,Hourly_Operations!$C$6:$C$8765,"&lt;"&amp;EDATE($B16,Inputs!$C$69)),"")</f>
      </c>
      <c r="J16" s="42">
        <f>IF(Inputs!$C$62,H16-I16,"")</f>
      </c>
      <c r="K16" s="18"/>
      <c r="L16" s="42">
        <f>IF(ISNUMBER(Inputs!$C$53),Inputs!$C$53/Inputs!$C$73,"")</f>
      </c>
      <c r="M16" s="42">
        <f>IF(AND(Inputs!$C$62,ISNUMBER(L16)),SUM(G16,J16,K16,L16),"")</f>
      </c>
    </row>
    <row r="17" ht="21" customHeight="1" x14ac:dyDescent="0.2">
      <c r="B17" s="33" cm="1">
        <f t="array" ref="B17">Utility_Rates!B17</f>
      </c>
      <c r="C17" s="15"/>
      <c r="D17" s="15"/>
      <c r="E17" s="10">
        <f>IF(Inputs!$C$62,C17-D17,"")</f>
      </c>
      <c r="F17" s="42" cm="1">
        <f t="array" ref="F17">IF(ISNUMBER(Utility_Rates!F17),Utility_Rates!F17,"")</f>
      </c>
      <c r="G17" s="18"/>
      <c r="H17" s="42">
        <f>IF(Inputs!$C$62,SUMIFS(Hourly_Operations!$I$6:$I$8765,Hourly_Operations!$C$6:$C$8765,"&gt;="&amp;$B17,Hourly_Operations!$C$6:$C$8765,"&lt;"&amp;EDATE($B17,Inputs!$C$69)),"")</f>
      </c>
      <c r="I17" s="42">
        <f>IF(Inputs!$C$62,SUMIFS(Hourly_Operations!$J$6:$J$8765,Hourly_Operations!$C$6:$C$8765,"&gt;="&amp;$B17,Hourly_Operations!$C$6:$C$8765,"&lt;"&amp;EDATE($B17,Inputs!$C$69)),"")</f>
      </c>
      <c r="J17" s="42">
        <f>IF(Inputs!$C$62,H17-I17,"")</f>
      </c>
      <c r="K17" s="18"/>
      <c r="L17" s="42">
        <f>IF(ISNUMBER(Inputs!$C$53),Inputs!$C$53/Inputs!$C$73,"")</f>
      </c>
      <c r="M17" s="42">
        <f>IF(AND(Inputs!$C$62,ISNUMBER(L17)),SUM(G17,J17,K17,L17),"")</f>
      </c>
    </row>
    <row r="18" ht="21" customHeight="1" x14ac:dyDescent="0.2">
      <c r="B18" s="3" t="s">
        <v>169</v>
      </c>
      <c r="C18" s="3"/>
      <c r="D18" s="3"/>
      <c r="E18" s="3"/>
      <c r="F18" s="36"/>
      <c r="G18" s="43">
        <f>IF(Inputs!$C$62,SUM(G6:G17),"")</f>
      </c>
      <c r="H18" s="43">
        <f>IF(Inputs!$C$62,SUM(H6:H17),"")</f>
      </c>
      <c r="I18" s="43">
        <f>IF(Inputs!$C$62,SUM(I6:I17),"")</f>
      </c>
      <c r="J18" s="43">
        <f>IF(Inputs!$C$62,SUM(J6:J17),"")</f>
      </c>
      <c r="K18" s="43">
        <f>SUM(K6:K17)</f>
      </c>
      <c r="L18" s="43" cm="1">
        <f t="array" ref="L18">IF(ISNUMBER(Inputs!$C$53),Inputs!$C$53,"")</f>
      </c>
      <c r="M18" s="43">
        <f>IF(AND(Inputs!$C$62,ISNUMBER(L18)),SUM(G18,J18,K18,L18),"")</f>
      </c>
    </row>
    <row r="19" ht="1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" customHeight="1" x14ac:dyDescent="0.2">
      <c r="B21" s="3" t="s">
        <v>170</v>
      </c>
      <c r="C21" s="3"/>
      <c r="D21" s="3"/>
      <c r="E21" s="3"/>
      <c r="F21" s="3"/>
      <c r="G21" s="2"/>
      <c r="H21" s="2"/>
      <c r="I21" s="2"/>
      <c r="J21" s="2"/>
      <c r="K21" s="2"/>
      <c r="L21" s="2"/>
      <c r="M21" s="2"/>
    </row>
    <row r="22" ht="15" customHeight="1" x14ac:dyDescent="0.2">
      <c r="B22" s="2" t="s">
        <v>171</v>
      </c>
      <c r="C22" s="42" cm="1">
        <f t="array" ref="C22">IF(ISNUMBER(Utility_Rates!C19),Utility_Rates!C19,"")</f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" customHeight="1" x14ac:dyDescent="0.2">
      <c r="B23" s="2" t="s">
        <v>172</v>
      </c>
      <c r="C23" s="42">
        <f>IF(Inputs!$C$62,H18+SUMPRODUCT(C6:C17,F6:F17),"")</f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" customHeight="1" x14ac:dyDescent="0.2">
      <c r="B24" s="2" t="s">
        <v>173</v>
      </c>
      <c r="C24" s="42">
        <f>IF(Inputs!$C$62,I18+SUMPRODUCT(D6:D17,F6:F17),"")</f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5" customHeight="1" x14ac:dyDescent="0.2">
      <c r="B25" s="2" t="s">
        <v>174</v>
      </c>
      <c r="C25" s="44">
        <f>IF(AND(ISNUMBER(C22),ISNUMBER(C23)),C22-C23,"")</f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" customHeight="1" x14ac:dyDescent="0.2">
      <c r="B28" s="2" t="s">
        <v>175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" customHeight="1" x14ac:dyDescent="0.2">
      <c r="B29" s="2" t="s">
        <v>176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" customHeight="1" x14ac:dyDescent="0.2">
      <c r="B30" s="2" t="s">
        <v>177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" customHeight="1" x14ac:dyDescent="0.2">
      <c r="B31" s="2" t="s">
        <v>178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B32" s="2" t="inlineStr">
        <is>
          <t xml:space="preserve">Blue cells are filled by the SC 8 Battery Wizard: 15-minute billing peaks (C:D) and demand savings (G) cover every demand window, the SBC demand surcharge and the supply capacity charge, taxes included, so G is not simply E x F.</t>
        </is>
      </c>
    </row>
    <row r="33">
      <c r="B33" s="2" t="inlineStr">
        <is>
          <t xml:space="preserve">Program revenue (K): Rider T CSRP / DLRP and Rider AC Term-DLM, from the same dispatch. Reservation payments are spread over the Capability Period months, performance payments land in the event months.</t>
        </is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FFA8-0F38-9005-807A-FA4F8896E3A8}">
  <dimension ref="B2:N45"/>
  <sheetViews>
    <sheetView showGridLines="0" workbookViewId="0">
      <pane ySplit="5" topLeftCell="A6" activePane="bottomLeft" state="frozen"/>
      <selection pane="bottomLeft"/>
    </sheetView>
  </sheetViews>
  <sheetFormatPr baseColWidth="10" defaultColWidth="7.83203125" defaultRowHeight="15" customHeight="1" x14ac:dyDescent="0.2"/>
  <cols>
    <col min="1" max="1" width="3" customWidth="1"/>
    <col min="2" max="2" width="30.6640625" customWidth="1"/>
    <col min="3" max="14" width="15.83203125" customWidth="1"/>
  </cols>
  <sheetData>
    <row r="2" ht="24" customHeight="1" x14ac:dyDescent="0.2">
      <c r="B2" s="1" t="s">
        <v>179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7" customHeight="1" x14ac:dyDescent="0.2">
      <c r="B3" s="2" t="s">
        <v>180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48" customHeight="1" x14ac:dyDescent="0.2">
      <c r="B5" s="32" t="s">
        <v>181</v>
      </c>
      <c r="C5" s="32" t="s">
        <v>182</v>
      </c>
      <c r="D5" s="32" t="s">
        <v>183</v>
      </c>
      <c r="E5" s="32" t="s">
        <v>184</v>
      </c>
      <c r="F5" s="32" t="inlineStr">
        <is>
          <t xml:space="preserve">Program revenue</t>
        </is>
      </c>
      <c r="G5" s="32" t="s">
        <v>185</v>
      </c>
      <c r="H5" s="32" t="s">
        <v>186</v>
      </c>
      <c r="I5" s="32" t="s">
        <v>187</v>
      </c>
      <c r="J5" s="32" t="s">
        <v>44</v>
      </c>
      <c r="K5" s="32" t="s">
        <v>188</v>
      </c>
      <c r="L5" s="32" t="s">
        <v>189</v>
      </c>
      <c r="M5" s="32" t="s">
        <v>190</v>
      </c>
      <c r="N5" s="32" t="s">
        <v>191</v>
      </c>
    </row>
    <row r="6" ht="20.25" customHeight="1" x14ac:dyDescent="0.2">
      <c r="B6" s="45">
        <f>IF(ROW()-ROW($B$6)&lt;=Inputs!$C$42,ROW()-ROW($B$6),"")</f>
      </c>
      <c r="C6" s="46">
        <f>IF(AND(Inputs!$C$64,ISNUMBER($B6)),IF($B6=Inputs!$C$68,-Inputs!$C$39,Inputs!$C$68),"")</f>
      </c>
      <c r="D6" s="46" cm="1">
        <f t="array" ref="D6">IF(AND(Inputs!$C$64,ISNUMBER($B6)),IF($B6=Inputs!$C$68,Inputs!$C$68,Value_Streams!$G$18*(Inputs!$C$69+Utility_Rates!$C$23)^($B6-Inputs!$C$69)),"")</f>
      </c>
      <c r="E6" s="46" cm="1">
        <f t="array" ref="E6">IF(AND(Inputs!$C$64,ISNUMBER($B6)),IF($B6=Inputs!$C$68,Inputs!$C$68,Value_Streams!$J$18*(Inputs!$C$69+Utility_Rates!$C$22)^($B6-Inputs!$C$69)),"")</f>
      </c>
      <c r="F6" s="46">
        <f>IF(AND(Inputs!$C$64,ISNUMBER($B6)),IF($B6=Inputs!$C$68,Inputs!$C$68,Value_Streams!$K$18),"")</f>
      </c>
      <c r="G6" s="46" cm="1">
        <f t="array" ref="G6">IF(AND(Inputs!$C$64,ISNUMBER($B6)),IF($B6=Inputs!$C$68,Inputs!$C$68,Inputs!$C$53),"")</f>
      </c>
      <c r="H6" s="46">
        <f>IF(AND(Inputs!$C$64,ISNUMBER($B6)),SUM(D6:G6),"")</f>
      </c>
      <c r="I6" s="46" cm="1">
        <f t="array" ref="I6">IF(AND(Inputs!$C$64,ISNUMBER($B6)),IF($B6=Inputs!$C$68,Inputs!$C$68,-Inputs!$C$28*(Inputs!$C$69+Inputs!$C$29)^($B6-Inputs!$C$69)),"")</f>
      </c>
      <c r="J6" s="46" cm="1">
        <f t="array" ref="J6">IF(AND(Inputs!$C$64,ISNUMBER($B6)),IF(AND($B6&gt;=Inputs!$C$69,$B6=Inputs!$C$26),-Inputs!$C$27,Inputs!$C$68),"")</f>
      </c>
      <c r="K6" s="47">
        <f>IF(AND(Inputs!$C$64,ISNUMBER($B6)),SUM(C6:F6,I6:J6),"")</f>
      </c>
      <c r="L6" s="47">
        <f>IF(AND(Inputs!$C$64,ISNUMBER($B6)),SUM(K$6:K6),"")</f>
      </c>
      <c r="M6" s="47">
        <f>IF(AND(Inputs!$C$64,ISNUMBER($B6)),K6+G6,"")</f>
      </c>
      <c r="N6" s="47">
        <f>IF(AND(Inputs!$C$64,ISNUMBER($B6)),SUM(M$6:M6),"")</f>
      </c>
    </row>
    <row r="7" ht="20.25" customHeight="1" x14ac:dyDescent="0.2">
      <c r="B7" s="48">
        <f>IF(ROW()-ROW($B$6)&lt;=Inputs!$C$42,ROW()-ROW($B$6),"")</f>
      </c>
      <c r="C7" s="42" cm="1">
        <f t="array" ref="C7">IF(AND(Inputs!$C$64,ISNUMBER($B7)),IF($B7=Inputs!$C$68,-Inputs!$C$39,Inputs!$C$68),"")</f>
      </c>
      <c r="D7" s="42">
        <f>IF(AND(Inputs!$C$64,ISNUMBER($B7)),IF($B7=Inputs!$C$68,Inputs!$C$68,Value_Streams!$G$18*(Inputs!$C$69+Utility_Rates!$C$23)^($B7-Inputs!$C$69)),"")</f>
      </c>
      <c r="E7" s="42">
        <f>IF(AND(Inputs!$C$64,ISNUMBER($B7)),IF($B7=Inputs!$C$68,Inputs!$C$68,Value_Streams!$J$18*(Inputs!$C$69+Utility_Rates!$C$22)^($B7-Inputs!$C$69)),"")</f>
      </c>
      <c r="F7" s="42">
        <f>IF(AND(Inputs!$C$64,ISNUMBER($B7)),IF($B7=Inputs!$C$68,Inputs!$C$68,Value_Streams!$K$18),"")</f>
      </c>
      <c r="G7" s="42" cm="1">
        <f t="array" ref="G7">IF(AND(Inputs!$C$64,ISNUMBER($B7)),IF($B7=Inputs!$C$68,Inputs!$C$68,Inputs!$C$53),"")</f>
      </c>
      <c r="H7" s="42">
        <f>IF(AND(Inputs!$C$64,ISNUMBER($B7)),SUM(D7:G7),"")</f>
      </c>
      <c r="I7" s="42">
        <f>IF(AND(Inputs!$C$64,ISNUMBER($B7)),IF($B7=Inputs!$C$68,Inputs!$C$68,-Inputs!$C$28*(Inputs!$C$69+Inputs!$C$29)^($B7-Inputs!$C$69)),"")</f>
      </c>
      <c r="J7" s="42" cm="1">
        <f t="array" ref="J7">IF(AND(Inputs!$C$64,ISNUMBER($B7)),IF(AND($B7&gt;=Inputs!$C$69,$B7=Inputs!$C$26),-Inputs!$C$27,Inputs!$C$68),"")</f>
      </c>
      <c r="K7" s="49">
        <f>IF(AND(Inputs!$C$64,ISNUMBER($B7)),SUM(C7:F7,I7:J7),"")</f>
      </c>
      <c r="L7" s="49">
        <f>IF(AND(Inputs!$C$64,ISNUMBER($B7)),SUM(K$6:K7),"")</f>
      </c>
      <c r="M7" s="49">
        <f>IF(AND(Inputs!$C$64,ISNUMBER($B7)),K7+G7,"")</f>
      </c>
      <c r="N7" s="49">
        <f>IF(AND(Inputs!$C$64,ISNUMBER($B7)),SUM(M$6:M7),"")</f>
      </c>
    </row>
    <row r="8" ht="20.25" customHeight="1" x14ac:dyDescent="0.2">
      <c r="B8" s="48">
        <f>IF(ROW()-ROW($B$6)&lt;=Inputs!$C$42,ROW()-ROW($B$6),"")</f>
      </c>
      <c r="C8" s="42" cm="1">
        <f t="array" ref="C8">IF(AND(Inputs!$C$64,ISNUMBER($B8)),IF($B8=Inputs!$C$68,-Inputs!$C$39,Inputs!$C$68),"")</f>
      </c>
      <c r="D8" s="42">
        <f>IF(AND(Inputs!$C$64,ISNUMBER($B8)),IF($B8=Inputs!$C$68,Inputs!$C$68,Value_Streams!$G$18*(Inputs!$C$69+Utility_Rates!$C$23)^($B8-Inputs!$C$69)),"")</f>
      </c>
      <c r="E8" s="42">
        <f>IF(AND(Inputs!$C$64,ISNUMBER($B8)),IF($B8=Inputs!$C$68,Inputs!$C$68,Value_Streams!$J$18*(Inputs!$C$69+Utility_Rates!$C$22)^($B8-Inputs!$C$69)),"")</f>
      </c>
      <c r="F8" s="42">
        <f>IF(AND(Inputs!$C$64,ISNUMBER($B8)),IF($B8=Inputs!$C$68,Inputs!$C$68,Value_Streams!$K$18),"")</f>
      </c>
      <c r="G8" s="42" cm="1">
        <f t="array" ref="G8">IF(AND(Inputs!$C$64,ISNUMBER($B8)),IF($B8=Inputs!$C$68,Inputs!$C$68,Inputs!$C$53),"")</f>
      </c>
      <c r="H8" s="42">
        <f>IF(AND(Inputs!$C$64,ISNUMBER($B8)),SUM(D8:G8),"")</f>
      </c>
      <c r="I8" s="42">
        <f>IF(AND(Inputs!$C$64,ISNUMBER($B8)),IF($B8=Inputs!$C$68,Inputs!$C$68,-Inputs!$C$28*(Inputs!$C$69+Inputs!$C$29)^($B8-Inputs!$C$69)),"")</f>
      </c>
      <c r="J8" s="42" cm="1">
        <f t="array" ref="J8">IF(AND(Inputs!$C$64,ISNUMBER($B8)),IF(AND($B8&gt;=Inputs!$C$69,$B8=Inputs!$C$26),-Inputs!$C$27,Inputs!$C$68),"")</f>
      </c>
      <c r="K8" s="49">
        <f>IF(AND(Inputs!$C$64,ISNUMBER($B8)),SUM(C8:F8,I8:J8),"")</f>
      </c>
      <c r="L8" s="49">
        <f>IF(AND(Inputs!$C$64,ISNUMBER($B8)),SUM(K$6:K8),"")</f>
      </c>
      <c r="M8" s="49">
        <f>IF(AND(Inputs!$C$64,ISNUMBER($B8)),K8+G8,"")</f>
      </c>
      <c r="N8" s="49">
        <f>IF(AND(Inputs!$C$64,ISNUMBER($B8)),SUM(M$6:M8),"")</f>
      </c>
    </row>
    <row r="9" ht="20.25" customHeight="1" x14ac:dyDescent="0.2">
      <c r="B9" s="48">
        <f>IF(ROW()-ROW($B$6)&lt;=Inputs!$C$42,ROW()-ROW($B$6),"")</f>
      </c>
      <c r="C9" s="42" cm="1">
        <f t="array" ref="C9">IF(AND(Inputs!$C$64,ISNUMBER($B9)),IF($B9=Inputs!$C$68,-Inputs!$C$39,Inputs!$C$68),"")</f>
      </c>
      <c r="D9" s="42">
        <f>IF(AND(Inputs!$C$64,ISNUMBER($B9)),IF($B9=Inputs!$C$68,Inputs!$C$68,Value_Streams!$G$18*(Inputs!$C$69+Utility_Rates!$C$23)^($B9-Inputs!$C$69)),"")</f>
      </c>
      <c r="E9" s="42">
        <f>IF(AND(Inputs!$C$64,ISNUMBER($B9)),IF($B9=Inputs!$C$68,Inputs!$C$68,Value_Streams!$J$18*(Inputs!$C$69+Utility_Rates!$C$22)^($B9-Inputs!$C$69)),"")</f>
      </c>
      <c r="F9" s="42">
        <f>IF(AND(Inputs!$C$64,ISNUMBER($B9)),IF($B9=Inputs!$C$68,Inputs!$C$68,Value_Streams!$K$18),"")</f>
      </c>
      <c r="G9" s="42" cm="1">
        <f t="array" ref="G9">IF(AND(Inputs!$C$64,ISNUMBER($B9)),IF($B9=Inputs!$C$68,Inputs!$C$68,Inputs!$C$53),"")</f>
      </c>
      <c r="H9" s="42">
        <f>IF(AND(Inputs!$C$64,ISNUMBER($B9)),SUM(D9:G9),"")</f>
      </c>
      <c r="I9" s="42">
        <f>IF(AND(Inputs!$C$64,ISNUMBER($B9)),IF($B9=Inputs!$C$68,Inputs!$C$68,-Inputs!$C$28*(Inputs!$C$69+Inputs!$C$29)^($B9-Inputs!$C$69)),"")</f>
      </c>
      <c r="J9" s="42" cm="1">
        <f t="array" ref="J9">IF(AND(Inputs!$C$64,ISNUMBER($B9)),IF(AND($B9&gt;=Inputs!$C$69,$B9=Inputs!$C$26),-Inputs!$C$27,Inputs!$C$68),"")</f>
      </c>
      <c r="K9" s="49">
        <f>IF(AND(Inputs!$C$64,ISNUMBER($B9)),SUM(C9:F9,I9:J9),"")</f>
      </c>
      <c r="L9" s="49">
        <f>IF(AND(Inputs!$C$64,ISNUMBER($B9)),SUM(K$6:K9),"")</f>
      </c>
      <c r="M9" s="49">
        <f>IF(AND(Inputs!$C$64,ISNUMBER($B9)),K9+G9,"")</f>
      </c>
      <c r="N9" s="49">
        <f>IF(AND(Inputs!$C$64,ISNUMBER($B9)),SUM(M$6:M9),"")</f>
      </c>
    </row>
    <row r="10" ht="20.25" customHeight="1" x14ac:dyDescent="0.2">
      <c r="B10" s="48">
        <f>IF(ROW()-ROW($B$6)&lt;=Inputs!$C$42,ROW()-ROW($B$6),"")</f>
      </c>
      <c r="C10" s="42" cm="1">
        <f t="array" ref="C10">IF(AND(Inputs!$C$64,ISNUMBER($B10)),IF($B10=Inputs!$C$68,-Inputs!$C$39,Inputs!$C$68),"")</f>
      </c>
      <c r="D10" s="42">
        <f>IF(AND(Inputs!$C$64,ISNUMBER($B10)),IF($B10=Inputs!$C$68,Inputs!$C$68,Value_Streams!$G$18*(Inputs!$C$69+Utility_Rates!$C$23)^($B10-Inputs!$C$69)),"")</f>
      </c>
      <c r="E10" s="42">
        <f>IF(AND(Inputs!$C$64,ISNUMBER($B10)),IF($B10=Inputs!$C$68,Inputs!$C$68,Value_Streams!$J$18*(Inputs!$C$69+Utility_Rates!$C$22)^($B10-Inputs!$C$69)),"")</f>
      </c>
      <c r="F10" s="42">
        <f>IF(AND(Inputs!$C$64,ISNUMBER($B10)),IF($B10=Inputs!$C$68,Inputs!$C$68,Value_Streams!$K$18),"")</f>
      </c>
      <c r="G10" s="42" cm="1">
        <f t="array" ref="G10">IF(AND(Inputs!$C$64,ISNUMBER($B10)),IF($B10=Inputs!$C$68,Inputs!$C$68,Inputs!$C$53),"")</f>
      </c>
      <c r="H10" s="42">
        <f>IF(AND(Inputs!$C$64,ISNUMBER($B10)),SUM(D10:G10),"")</f>
      </c>
      <c r="I10" s="42">
        <f>IF(AND(Inputs!$C$64,ISNUMBER($B10)),IF($B10=Inputs!$C$68,Inputs!$C$68,-Inputs!$C$28*(Inputs!$C$69+Inputs!$C$29)^($B10-Inputs!$C$69)),"")</f>
      </c>
      <c r="J10" s="42" cm="1">
        <f t="array" ref="J10">IF(AND(Inputs!$C$64,ISNUMBER($B10)),IF(AND($B10&gt;=Inputs!$C$69,$B10=Inputs!$C$26),-Inputs!$C$27,Inputs!$C$68),"")</f>
      </c>
      <c r="K10" s="49">
        <f>IF(AND(Inputs!$C$64,ISNUMBER($B10)),SUM(C10:F10,I10:J10),"")</f>
      </c>
      <c r="L10" s="49">
        <f>IF(AND(Inputs!$C$64,ISNUMBER($B10)),SUM(K$6:K10),"")</f>
      </c>
      <c r="M10" s="49">
        <f>IF(AND(Inputs!$C$64,ISNUMBER($B10)),K10+G10,"")</f>
      </c>
      <c r="N10" s="49">
        <f>IF(AND(Inputs!$C$64,ISNUMBER($B10)),SUM(M$6:M10),"")</f>
      </c>
    </row>
    <row r="11" ht="20.25" customHeight="1" x14ac:dyDescent="0.2">
      <c r="B11" s="48">
        <f>IF(ROW()-ROW($B$6)&lt;=Inputs!$C$42,ROW()-ROW($B$6),"")</f>
      </c>
      <c r="C11" s="42" cm="1">
        <f t="array" ref="C11">IF(AND(Inputs!$C$64,ISNUMBER($B11)),IF($B11=Inputs!$C$68,-Inputs!$C$39,Inputs!$C$68),"")</f>
      </c>
      <c r="D11" s="42">
        <f>IF(AND(Inputs!$C$64,ISNUMBER($B11)),IF($B11=Inputs!$C$68,Inputs!$C$68,Value_Streams!$G$18*(Inputs!$C$69+Utility_Rates!$C$23)^($B11-Inputs!$C$69)),"")</f>
      </c>
      <c r="E11" s="42">
        <f>IF(AND(Inputs!$C$64,ISNUMBER($B11)),IF($B11=Inputs!$C$68,Inputs!$C$68,Value_Streams!$J$18*(Inputs!$C$69+Utility_Rates!$C$22)^($B11-Inputs!$C$69)),"")</f>
      </c>
      <c r="F11" s="42">
        <f>IF(AND(Inputs!$C$64,ISNUMBER($B11)),IF($B11=Inputs!$C$68,Inputs!$C$68,Value_Streams!$K$18),"")</f>
      </c>
      <c r="G11" s="42" cm="1">
        <f t="array" ref="G11">IF(AND(Inputs!$C$64,ISNUMBER($B11)),IF($B11=Inputs!$C$68,Inputs!$C$68,Inputs!$C$53),"")</f>
      </c>
      <c r="H11" s="42">
        <f>IF(AND(Inputs!$C$64,ISNUMBER($B11)),SUM(D11:G11),"")</f>
      </c>
      <c r="I11" s="42">
        <f>IF(AND(Inputs!$C$64,ISNUMBER($B11)),IF($B11=Inputs!$C$68,Inputs!$C$68,-Inputs!$C$28*(Inputs!$C$69+Inputs!$C$29)^($B11-Inputs!$C$69)),"")</f>
      </c>
      <c r="J11" s="42" cm="1">
        <f t="array" ref="J11">IF(AND(Inputs!$C$64,ISNUMBER($B11)),IF(AND($B11&gt;=Inputs!$C$69,$B11=Inputs!$C$26),-Inputs!$C$27,Inputs!$C$68),"")</f>
      </c>
      <c r="K11" s="49">
        <f>IF(AND(Inputs!$C$64,ISNUMBER($B11)),SUM(C11:F11,I11:J11),"")</f>
      </c>
      <c r="L11" s="49">
        <f>IF(AND(Inputs!$C$64,ISNUMBER($B11)),SUM(K$6:K11),"")</f>
      </c>
      <c r="M11" s="49">
        <f>IF(AND(Inputs!$C$64,ISNUMBER($B11)),K11+G11,"")</f>
      </c>
      <c r="N11" s="49">
        <f>IF(AND(Inputs!$C$64,ISNUMBER($B11)),SUM(M$6:M11),"")</f>
      </c>
    </row>
    <row r="12" ht="20.25" customHeight="1" x14ac:dyDescent="0.2">
      <c r="B12" s="48">
        <f>IF(ROW()-ROW($B$6)&lt;=Inputs!$C$42,ROW()-ROW($B$6),"")</f>
      </c>
      <c r="C12" s="42" cm="1">
        <f t="array" ref="C12">IF(AND(Inputs!$C$64,ISNUMBER($B12)),IF($B12=Inputs!$C$68,-Inputs!$C$39,Inputs!$C$68),"")</f>
      </c>
      <c r="D12" s="42">
        <f>IF(AND(Inputs!$C$64,ISNUMBER($B12)),IF($B12=Inputs!$C$68,Inputs!$C$68,Value_Streams!$G$18*(Inputs!$C$69+Utility_Rates!$C$23)^($B12-Inputs!$C$69)),"")</f>
      </c>
      <c r="E12" s="42">
        <f>IF(AND(Inputs!$C$64,ISNUMBER($B12)),IF($B12=Inputs!$C$68,Inputs!$C$68,Value_Streams!$J$18*(Inputs!$C$69+Utility_Rates!$C$22)^($B12-Inputs!$C$69)),"")</f>
      </c>
      <c r="F12" s="42">
        <f>IF(AND(Inputs!$C$64,ISNUMBER($B12)),IF($B12=Inputs!$C$68,Inputs!$C$68,Value_Streams!$K$18),"")</f>
      </c>
      <c r="G12" s="42" cm="1">
        <f t="array" ref="G12">IF(AND(Inputs!$C$64,ISNUMBER($B12)),IF($B12=Inputs!$C$68,Inputs!$C$68,Inputs!$C$53),"")</f>
      </c>
      <c r="H12" s="42">
        <f>IF(AND(Inputs!$C$64,ISNUMBER($B12)),SUM(D12:G12),"")</f>
      </c>
      <c r="I12" s="42">
        <f>IF(AND(Inputs!$C$64,ISNUMBER($B12)),IF($B12=Inputs!$C$68,Inputs!$C$68,-Inputs!$C$28*(Inputs!$C$69+Inputs!$C$29)^($B12-Inputs!$C$69)),"")</f>
      </c>
      <c r="J12" s="42" cm="1">
        <f t="array" ref="J12">IF(AND(Inputs!$C$64,ISNUMBER($B12)),IF(AND($B12&gt;=Inputs!$C$69,$B12=Inputs!$C$26),-Inputs!$C$27,Inputs!$C$68),"")</f>
      </c>
      <c r="K12" s="49">
        <f>IF(AND(Inputs!$C$64,ISNUMBER($B12)),SUM(C12:F12,I12:J12),"")</f>
      </c>
      <c r="L12" s="49">
        <f>IF(AND(Inputs!$C$64,ISNUMBER($B12)),SUM(K$6:K12),"")</f>
      </c>
      <c r="M12" s="49">
        <f>IF(AND(Inputs!$C$64,ISNUMBER($B12)),K12+G12,"")</f>
      </c>
      <c r="N12" s="49">
        <f>IF(AND(Inputs!$C$64,ISNUMBER($B12)),SUM(M$6:M12),"")</f>
      </c>
    </row>
    <row r="13" ht="20.25" customHeight="1" x14ac:dyDescent="0.2">
      <c r="B13" s="48">
        <f>IF(ROW()-ROW($B$6)&lt;=Inputs!$C$42,ROW()-ROW($B$6),"")</f>
      </c>
      <c r="C13" s="42" cm="1">
        <f t="array" ref="C13">IF(AND(Inputs!$C$64,ISNUMBER($B13)),IF($B13=Inputs!$C$68,-Inputs!$C$39,Inputs!$C$68),"")</f>
      </c>
      <c r="D13" s="42">
        <f>IF(AND(Inputs!$C$64,ISNUMBER($B13)),IF($B13=Inputs!$C$68,Inputs!$C$68,Value_Streams!$G$18*(Inputs!$C$69+Utility_Rates!$C$23)^($B13-Inputs!$C$69)),"")</f>
      </c>
      <c r="E13" s="42">
        <f>IF(AND(Inputs!$C$64,ISNUMBER($B13)),IF($B13=Inputs!$C$68,Inputs!$C$68,Value_Streams!$J$18*(Inputs!$C$69+Utility_Rates!$C$22)^($B13-Inputs!$C$69)),"")</f>
      </c>
      <c r="F13" s="42">
        <f>IF(AND(Inputs!$C$64,ISNUMBER($B13)),IF($B13=Inputs!$C$68,Inputs!$C$68,Value_Streams!$K$18),"")</f>
      </c>
      <c r="G13" s="42" cm="1">
        <f t="array" ref="G13">IF(AND(Inputs!$C$64,ISNUMBER($B13)),IF($B13=Inputs!$C$68,Inputs!$C$68,Inputs!$C$53),"")</f>
      </c>
      <c r="H13" s="42">
        <f>IF(AND(Inputs!$C$64,ISNUMBER($B13)),SUM(D13:G13),"")</f>
      </c>
      <c r="I13" s="42">
        <f>IF(AND(Inputs!$C$64,ISNUMBER($B13)),IF($B13=Inputs!$C$68,Inputs!$C$68,-Inputs!$C$28*(Inputs!$C$69+Inputs!$C$29)^($B13-Inputs!$C$69)),"")</f>
      </c>
      <c r="J13" s="42" cm="1">
        <f t="array" ref="J13">IF(AND(Inputs!$C$64,ISNUMBER($B13)),IF(AND($B13&gt;=Inputs!$C$69,$B13=Inputs!$C$26),-Inputs!$C$27,Inputs!$C$68),"")</f>
      </c>
      <c r="K13" s="49">
        <f>IF(AND(Inputs!$C$64,ISNUMBER($B13)),SUM(C13:F13,I13:J13),"")</f>
      </c>
      <c r="L13" s="49">
        <f>IF(AND(Inputs!$C$64,ISNUMBER($B13)),SUM(K$6:K13),"")</f>
      </c>
      <c r="M13" s="49">
        <f>IF(AND(Inputs!$C$64,ISNUMBER($B13)),K13+G13,"")</f>
      </c>
      <c r="N13" s="49">
        <f>IF(AND(Inputs!$C$64,ISNUMBER($B13)),SUM(M$6:M13),"")</f>
      </c>
    </row>
    <row r="14" ht="20.25" customHeight="1" x14ac:dyDescent="0.2">
      <c r="B14" s="48">
        <f>IF(ROW()-ROW($B$6)&lt;=Inputs!$C$42,ROW()-ROW($B$6),"")</f>
      </c>
      <c r="C14" s="42" cm="1">
        <f t="array" ref="C14">IF(AND(Inputs!$C$64,ISNUMBER($B14)),IF($B14=Inputs!$C$68,-Inputs!$C$39,Inputs!$C$68),"")</f>
      </c>
      <c r="D14" s="42">
        <f>IF(AND(Inputs!$C$64,ISNUMBER($B14)),IF($B14=Inputs!$C$68,Inputs!$C$68,Value_Streams!$G$18*(Inputs!$C$69+Utility_Rates!$C$23)^($B14-Inputs!$C$69)),"")</f>
      </c>
      <c r="E14" s="42">
        <f>IF(AND(Inputs!$C$64,ISNUMBER($B14)),IF($B14=Inputs!$C$68,Inputs!$C$68,Value_Streams!$J$18*(Inputs!$C$69+Utility_Rates!$C$22)^($B14-Inputs!$C$69)),"")</f>
      </c>
      <c r="F14" s="42">
        <f>IF(AND(Inputs!$C$64,ISNUMBER($B14)),IF($B14=Inputs!$C$68,Inputs!$C$68,Value_Streams!$K$18),"")</f>
      </c>
      <c r="G14" s="42" cm="1">
        <f t="array" ref="G14">IF(AND(Inputs!$C$64,ISNUMBER($B14)),IF($B14=Inputs!$C$68,Inputs!$C$68,Inputs!$C$53),"")</f>
      </c>
      <c r="H14" s="42">
        <f>IF(AND(Inputs!$C$64,ISNUMBER($B14)),SUM(D14:G14),"")</f>
      </c>
      <c r="I14" s="42">
        <f>IF(AND(Inputs!$C$64,ISNUMBER($B14)),IF($B14=Inputs!$C$68,Inputs!$C$68,-Inputs!$C$28*(Inputs!$C$69+Inputs!$C$29)^($B14-Inputs!$C$69)),"")</f>
      </c>
      <c r="J14" s="42" cm="1">
        <f t="array" ref="J14">IF(AND(Inputs!$C$64,ISNUMBER($B14)),IF(AND($B14&gt;=Inputs!$C$69,$B14=Inputs!$C$26),-Inputs!$C$27,Inputs!$C$68),"")</f>
      </c>
      <c r="K14" s="49">
        <f>IF(AND(Inputs!$C$64,ISNUMBER($B14)),SUM(C14:F14,I14:J14),"")</f>
      </c>
      <c r="L14" s="49">
        <f>IF(AND(Inputs!$C$64,ISNUMBER($B14)),SUM(K$6:K14),"")</f>
      </c>
      <c r="M14" s="49">
        <f>IF(AND(Inputs!$C$64,ISNUMBER($B14)),K14+G14,"")</f>
      </c>
      <c r="N14" s="49">
        <f>IF(AND(Inputs!$C$64,ISNUMBER($B14)),SUM(M$6:M14),"")</f>
      </c>
    </row>
    <row r="15" ht="20.25" customHeight="1" x14ac:dyDescent="0.2">
      <c r="B15" s="48">
        <f>IF(ROW()-ROW($B$6)&lt;=Inputs!$C$42,ROW()-ROW($B$6),"")</f>
      </c>
      <c r="C15" s="42" cm="1">
        <f t="array" ref="C15">IF(AND(Inputs!$C$64,ISNUMBER($B15)),IF($B15=Inputs!$C$68,-Inputs!$C$39,Inputs!$C$68),"")</f>
      </c>
      <c r="D15" s="42">
        <f>IF(AND(Inputs!$C$64,ISNUMBER($B15)),IF($B15=Inputs!$C$68,Inputs!$C$68,Value_Streams!$G$18*(Inputs!$C$69+Utility_Rates!$C$23)^($B15-Inputs!$C$69)),"")</f>
      </c>
      <c r="E15" s="42">
        <f>IF(AND(Inputs!$C$64,ISNUMBER($B15)),IF($B15=Inputs!$C$68,Inputs!$C$68,Value_Streams!$J$18*(Inputs!$C$69+Utility_Rates!$C$22)^($B15-Inputs!$C$69)),"")</f>
      </c>
      <c r="F15" s="42">
        <f>IF(AND(Inputs!$C$64,ISNUMBER($B15)),IF($B15=Inputs!$C$68,Inputs!$C$68,Value_Streams!$K$18),"")</f>
      </c>
      <c r="G15" s="42" cm="1">
        <f t="array" ref="G15">IF(AND(Inputs!$C$64,ISNUMBER($B15)),IF($B15=Inputs!$C$68,Inputs!$C$68,Inputs!$C$53),"")</f>
      </c>
      <c r="H15" s="42">
        <f>IF(AND(Inputs!$C$64,ISNUMBER($B15)),SUM(D15:G15),"")</f>
      </c>
      <c r="I15" s="42">
        <f>IF(AND(Inputs!$C$64,ISNUMBER($B15)),IF($B15=Inputs!$C$68,Inputs!$C$68,-Inputs!$C$28*(Inputs!$C$69+Inputs!$C$29)^($B15-Inputs!$C$69)),"")</f>
      </c>
      <c r="J15" s="42" cm="1">
        <f t="array" ref="J15">IF(AND(Inputs!$C$64,ISNUMBER($B15)),IF(AND($B15&gt;=Inputs!$C$69,$B15=Inputs!$C$26),-Inputs!$C$27,Inputs!$C$68),"")</f>
      </c>
      <c r="K15" s="49">
        <f>IF(AND(Inputs!$C$64,ISNUMBER($B15)),SUM(C15:F15,I15:J15),"")</f>
      </c>
      <c r="L15" s="49">
        <f>IF(AND(Inputs!$C$64,ISNUMBER($B15)),SUM(K$6:K15),"")</f>
      </c>
      <c r="M15" s="49">
        <f>IF(AND(Inputs!$C$64,ISNUMBER($B15)),K15+G15,"")</f>
      </c>
      <c r="N15" s="49">
        <f>IF(AND(Inputs!$C$64,ISNUMBER($B15)),SUM(M$6:M15),"")</f>
      </c>
    </row>
    <row r="16" ht="20.25" customHeight="1" x14ac:dyDescent="0.2">
      <c r="B16" s="48">
        <f>IF(ROW()-ROW($B$6)&lt;=Inputs!$C$42,ROW()-ROW($B$6),"")</f>
      </c>
      <c r="C16" s="42" cm="1">
        <f t="array" ref="C16">IF(AND(Inputs!$C$64,ISNUMBER($B16)),IF($B16=Inputs!$C$68,-Inputs!$C$39,Inputs!$C$68),"")</f>
      </c>
      <c r="D16" s="42">
        <f>IF(AND(Inputs!$C$64,ISNUMBER($B16)),IF($B16=Inputs!$C$68,Inputs!$C$68,Value_Streams!$G$18*(Inputs!$C$69+Utility_Rates!$C$23)^($B16-Inputs!$C$69)),"")</f>
      </c>
      <c r="E16" s="42">
        <f>IF(AND(Inputs!$C$64,ISNUMBER($B16)),IF($B16=Inputs!$C$68,Inputs!$C$68,Value_Streams!$J$18*(Inputs!$C$69+Utility_Rates!$C$22)^($B16-Inputs!$C$69)),"")</f>
      </c>
      <c r="F16" s="42">
        <f>IF(AND(Inputs!$C$64,ISNUMBER($B16)),IF($B16=Inputs!$C$68,Inputs!$C$68,Value_Streams!$K$18),"")</f>
      </c>
      <c r="G16" s="42" cm="1">
        <f t="array" ref="G16">IF(AND(Inputs!$C$64,ISNUMBER($B16)),IF($B16=Inputs!$C$68,Inputs!$C$68,Inputs!$C$53),"")</f>
      </c>
      <c r="H16" s="42">
        <f>IF(AND(Inputs!$C$64,ISNUMBER($B16)),SUM(D16:G16),"")</f>
      </c>
      <c r="I16" s="42">
        <f>IF(AND(Inputs!$C$64,ISNUMBER($B16)),IF($B16=Inputs!$C$68,Inputs!$C$68,-Inputs!$C$28*(Inputs!$C$69+Inputs!$C$29)^($B16-Inputs!$C$69)),"")</f>
      </c>
      <c r="J16" s="42" cm="1">
        <f t="array" ref="J16">IF(AND(Inputs!$C$64,ISNUMBER($B16)),IF(AND($B16&gt;=Inputs!$C$69,$B16=Inputs!$C$26),-Inputs!$C$27,Inputs!$C$68),"")</f>
      </c>
      <c r="K16" s="49">
        <f>IF(AND(Inputs!$C$64,ISNUMBER($B16)),SUM(C16:F16,I16:J16),"")</f>
      </c>
      <c r="L16" s="49">
        <f>IF(AND(Inputs!$C$64,ISNUMBER($B16)),SUM(K$6:K16),"")</f>
      </c>
      <c r="M16" s="49">
        <f>IF(AND(Inputs!$C$64,ISNUMBER($B16)),K16+G16,"")</f>
      </c>
      <c r="N16" s="49">
        <f>IF(AND(Inputs!$C$64,ISNUMBER($B16)),SUM(M$6:M16),"")</f>
      </c>
    </row>
    <row r="17" ht="20.25" customHeight="1" x14ac:dyDescent="0.2">
      <c r="B17" s="48">
        <f>IF(ROW()-ROW($B$6)&lt;=Inputs!$C$42,ROW()-ROW($B$6),"")</f>
      </c>
      <c r="C17" s="42" cm="1">
        <f t="array" ref="C17">IF(AND(Inputs!$C$64,ISNUMBER($B17)),IF($B17=Inputs!$C$68,-Inputs!$C$39,Inputs!$C$68),"")</f>
      </c>
      <c r="D17" s="42">
        <f>IF(AND(Inputs!$C$64,ISNUMBER($B17)),IF($B17=Inputs!$C$68,Inputs!$C$68,Value_Streams!$G$18*(Inputs!$C$69+Utility_Rates!$C$23)^($B17-Inputs!$C$69)),"")</f>
      </c>
      <c r="E17" s="42">
        <f>IF(AND(Inputs!$C$64,ISNUMBER($B17)),IF($B17=Inputs!$C$68,Inputs!$C$68,Value_Streams!$J$18*(Inputs!$C$69+Utility_Rates!$C$22)^($B17-Inputs!$C$69)),"")</f>
      </c>
      <c r="F17" s="42">
        <f>IF(AND(Inputs!$C$64,ISNUMBER($B17)),IF($B17=Inputs!$C$68,Inputs!$C$68,Value_Streams!$K$18),"")</f>
      </c>
      <c r="G17" s="42" cm="1">
        <f t="array" ref="G17">IF(AND(Inputs!$C$64,ISNUMBER($B17)),IF($B17=Inputs!$C$68,Inputs!$C$68,Inputs!$C$53),"")</f>
      </c>
      <c r="H17" s="42">
        <f>IF(AND(Inputs!$C$64,ISNUMBER($B17)),SUM(D17:G17),"")</f>
      </c>
      <c r="I17" s="42">
        <f>IF(AND(Inputs!$C$64,ISNUMBER($B17)),IF($B17=Inputs!$C$68,Inputs!$C$68,-Inputs!$C$28*(Inputs!$C$69+Inputs!$C$29)^($B17-Inputs!$C$69)),"")</f>
      </c>
      <c r="J17" s="42" cm="1">
        <f t="array" ref="J17">IF(AND(Inputs!$C$64,ISNUMBER($B17)),IF(AND($B17&gt;=Inputs!$C$69,$B17=Inputs!$C$26),-Inputs!$C$27,Inputs!$C$68),"")</f>
      </c>
      <c r="K17" s="49">
        <f>IF(AND(Inputs!$C$64,ISNUMBER($B17)),SUM(C17:F17,I17:J17),"")</f>
      </c>
      <c r="L17" s="49">
        <f>IF(AND(Inputs!$C$64,ISNUMBER($B17)),SUM(K$6:K17),"")</f>
      </c>
      <c r="M17" s="49">
        <f>IF(AND(Inputs!$C$64,ISNUMBER($B17)),K17+G17,"")</f>
      </c>
      <c r="N17" s="49">
        <f>IF(AND(Inputs!$C$64,ISNUMBER($B17)),SUM(M$6:M17),"")</f>
      </c>
    </row>
    <row r="18" ht="20.25" customHeight="1" x14ac:dyDescent="0.2">
      <c r="B18" s="48">
        <f>IF(ROW()-ROW($B$6)&lt;=Inputs!$C$42,ROW()-ROW($B$6),"")</f>
      </c>
      <c r="C18" s="42" cm="1">
        <f t="array" ref="C18">IF(AND(Inputs!$C$64,ISNUMBER($B18)),IF($B18=Inputs!$C$68,-Inputs!$C$39,Inputs!$C$68),"")</f>
      </c>
      <c r="D18" s="42">
        <f>IF(AND(Inputs!$C$64,ISNUMBER($B18)),IF($B18=Inputs!$C$68,Inputs!$C$68,Value_Streams!$G$18*(Inputs!$C$69+Utility_Rates!$C$23)^($B18-Inputs!$C$69)),"")</f>
      </c>
      <c r="E18" s="42">
        <f>IF(AND(Inputs!$C$64,ISNUMBER($B18)),IF($B18=Inputs!$C$68,Inputs!$C$68,Value_Streams!$J$18*(Inputs!$C$69+Utility_Rates!$C$22)^($B18-Inputs!$C$69)),"")</f>
      </c>
      <c r="F18" s="42">
        <f>IF(AND(Inputs!$C$64,ISNUMBER($B18)),IF($B18=Inputs!$C$68,Inputs!$C$68,Value_Streams!$K$18),"")</f>
      </c>
      <c r="G18" s="42" cm="1">
        <f t="array" ref="G18">IF(AND(Inputs!$C$64,ISNUMBER($B18)),IF($B18=Inputs!$C$68,Inputs!$C$68,Inputs!$C$53),"")</f>
      </c>
      <c r="H18" s="42">
        <f>IF(AND(Inputs!$C$64,ISNUMBER($B18)),SUM(D18:G18),"")</f>
      </c>
      <c r="I18" s="42">
        <f>IF(AND(Inputs!$C$64,ISNUMBER($B18)),IF($B18=Inputs!$C$68,Inputs!$C$68,-Inputs!$C$28*(Inputs!$C$69+Inputs!$C$29)^($B18-Inputs!$C$69)),"")</f>
      </c>
      <c r="J18" s="42" cm="1">
        <f t="array" ref="J18">IF(AND(Inputs!$C$64,ISNUMBER($B18)),IF(AND($B18&gt;=Inputs!$C$69,$B18=Inputs!$C$26),-Inputs!$C$27,Inputs!$C$68),"")</f>
      </c>
      <c r="K18" s="49">
        <f>IF(AND(Inputs!$C$64,ISNUMBER($B18)),SUM(C18:F18,I18:J18),"")</f>
      </c>
      <c r="L18" s="49">
        <f>IF(AND(Inputs!$C$64,ISNUMBER($B18)),SUM(K$6:K18),"")</f>
      </c>
      <c r="M18" s="49">
        <f>IF(AND(Inputs!$C$64,ISNUMBER($B18)),K18+G18,"")</f>
      </c>
      <c r="N18" s="49">
        <f>IF(AND(Inputs!$C$64,ISNUMBER($B18)),SUM(M$6:M18),"")</f>
      </c>
    </row>
    <row r="19" ht="20.25" customHeight="1" x14ac:dyDescent="0.2">
      <c r="B19" s="48">
        <f>IF(ROW()-ROW($B$6)&lt;=Inputs!$C$42,ROW()-ROW($B$6),"")</f>
      </c>
      <c r="C19" s="42" cm="1">
        <f t="array" ref="C19">IF(AND(Inputs!$C$64,ISNUMBER($B19)),IF($B19=Inputs!$C$68,-Inputs!$C$39,Inputs!$C$68),"")</f>
      </c>
      <c r="D19" s="42">
        <f>IF(AND(Inputs!$C$64,ISNUMBER($B19)),IF($B19=Inputs!$C$68,Inputs!$C$68,Value_Streams!$G$18*(Inputs!$C$69+Utility_Rates!$C$23)^($B19-Inputs!$C$69)),"")</f>
      </c>
      <c r="E19" s="42">
        <f>IF(AND(Inputs!$C$64,ISNUMBER($B19)),IF($B19=Inputs!$C$68,Inputs!$C$68,Value_Streams!$J$18*(Inputs!$C$69+Utility_Rates!$C$22)^($B19-Inputs!$C$69)),"")</f>
      </c>
      <c r="F19" s="42">
        <f>IF(AND(Inputs!$C$64,ISNUMBER($B19)),IF($B19=Inputs!$C$68,Inputs!$C$68,Value_Streams!$K$18),"")</f>
      </c>
      <c r="G19" s="42" cm="1">
        <f t="array" ref="G19">IF(AND(Inputs!$C$64,ISNUMBER($B19)),IF($B19=Inputs!$C$68,Inputs!$C$68,Inputs!$C$53),"")</f>
      </c>
      <c r="H19" s="42">
        <f>IF(AND(Inputs!$C$64,ISNUMBER($B19)),SUM(D19:G19),"")</f>
      </c>
      <c r="I19" s="42">
        <f>IF(AND(Inputs!$C$64,ISNUMBER($B19)),IF($B19=Inputs!$C$68,Inputs!$C$68,-Inputs!$C$28*(Inputs!$C$69+Inputs!$C$29)^($B19-Inputs!$C$69)),"")</f>
      </c>
      <c r="J19" s="42" cm="1">
        <f t="array" ref="J19">IF(AND(Inputs!$C$64,ISNUMBER($B19)),IF(AND($B19&gt;=Inputs!$C$69,$B19=Inputs!$C$26),-Inputs!$C$27,Inputs!$C$68),"")</f>
      </c>
      <c r="K19" s="49">
        <f>IF(AND(Inputs!$C$64,ISNUMBER($B19)),SUM(C19:F19,I19:J19),"")</f>
      </c>
      <c r="L19" s="49">
        <f>IF(AND(Inputs!$C$64,ISNUMBER($B19)),SUM(K$6:K19),"")</f>
      </c>
      <c r="M19" s="49">
        <f>IF(AND(Inputs!$C$64,ISNUMBER($B19)),K19+G19,"")</f>
      </c>
      <c r="N19" s="49">
        <f>IF(AND(Inputs!$C$64,ISNUMBER($B19)),SUM(M$6:M19),"")</f>
      </c>
    </row>
    <row r="20" ht="20.25" customHeight="1" x14ac:dyDescent="0.2">
      <c r="B20" s="48">
        <f>IF(ROW()-ROW($B$6)&lt;=Inputs!$C$42,ROW()-ROW($B$6),"")</f>
      </c>
      <c r="C20" s="42" cm="1">
        <f t="array" ref="C20">IF(AND(Inputs!$C$64,ISNUMBER($B20)),IF($B20=Inputs!$C$68,-Inputs!$C$39,Inputs!$C$68),"")</f>
      </c>
      <c r="D20" s="42">
        <f>IF(AND(Inputs!$C$64,ISNUMBER($B20)),IF($B20=Inputs!$C$68,Inputs!$C$68,Value_Streams!$G$18*(Inputs!$C$69+Utility_Rates!$C$23)^($B20-Inputs!$C$69)),"")</f>
      </c>
      <c r="E20" s="42">
        <f>IF(AND(Inputs!$C$64,ISNUMBER($B20)),IF($B20=Inputs!$C$68,Inputs!$C$68,Value_Streams!$J$18*(Inputs!$C$69+Utility_Rates!$C$22)^($B20-Inputs!$C$69)),"")</f>
      </c>
      <c r="F20" s="42">
        <f>IF(AND(Inputs!$C$64,ISNUMBER($B20)),IF($B20=Inputs!$C$68,Inputs!$C$68,Value_Streams!$K$18),"")</f>
      </c>
      <c r="G20" s="42" cm="1">
        <f t="array" ref="G20">IF(AND(Inputs!$C$64,ISNUMBER($B20)),IF($B20=Inputs!$C$68,Inputs!$C$68,Inputs!$C$53),"")</f>
      </c>
      <c r="H20" s="42">
        <f>IF(AND(Inputs!$C$64,ISNUMBER($B20)),SUM(D20:G20),"")</f>
      </c>
      <c r="I20" s="42">
        <f>IF(AND(Inputs!$C$64,ISNUMBER($B20)),IF($B20=Inputs!$C$68,Inputs!$C$68,-Inputs!$C$28*(Inputs!$C$69+Inputs!$C$29)^($B20-Inputs!$C$69)),"")</f>
      </c>
      <c r="J20" s="42" cm="1">
        <f t="array" ref="J20">IF(AND(Inputs!$C$64,ISNUMBER($B20)),IF(AND($B20&gt;=Inputs!$C$69,$B20=Inputs!$C$26),-Inputs!$C$27,Inputs!$C$68),"")</f>
      </c>
      <c r="K20" s="49">
        <f>IF(AND(Inputs!$C$64,ISNUMBER($B20)),SUM(C20:F20,I20:J20),"")</f>
      </c>
      <c r="L20" s="49">
        <f>IF(AND(Inputs!$C$64,ISNUMBER($B20)),SUM(K$6:K20),"")</f>
      </c>
      <c r="M20" s="49">
        <f>IF(AND(Inputs!$C$64,ISNUMBER($B20)),K20+G20,"")</f>
      </c>
      <c r="N20" s="49">
        <f>IF(AND(Inputs!$C$64,ISNUMBER($B20)),SUM(M$6:M20),"")</f>
      </c>
    </row>
    <row r="21" ht="20.25" customHeight="1" x14ac:dyDescent="0.2">
      <c r="B21" s="48">
        <f>IF(ROW()-ROW($B$6)&lt;=Inputs!$C$42,ROW()-ROW($B$6),"")</f>
      </c>
      <c r="C21" s="42" cm="1">
        <f t="array" ref="C21">IF(AND(Inputs!$C$64,ISNUMBER($B21)),IF($B21=Inputs!$C$68,-Inputs!$C$39,Inputs!$C$68),"")</f>
      </c>
      <c r="D21" s="42">
        <f>IF(AND(Inputs!$C$64,ISNUMBER($B21)),IF($B21=Inputs!$C$68,Inputs!$C$68,Value_Streams!$G$18*(Inputs!$C$69+Utility_Rates!$C$23)^($B21-Inputs!$C$69)),"")</f>
      </c>
      <c r="E21" s="42">
        <f>IF(AND(Inputs!$C$64,ISNUMBER($B21)),IF($B21=Inputs!$C$68,Inputs!$C$68,Value_Streams!$J$18*(Inputs!$C$69+Utility_Rates!$C$22)^($B21-Inputs!$C$69)),"")</f>
      </c>
      <c r="F21" s="42">
        <f>IF(AND(Inputs!$C$64,ISNUMBER($B21)),IF($B21=Inputs!$C$68,Inputs!$C$68,Value_Streams!$K$18),"")</f>
      </c>
      <c r="G21" s="42" cm="1">
        <f t="array" ref="G21">IF(AND(Inputs!$C$64,ISNUMBER($B21)),IF($B21=Inputs!$C$68,Inputs!$C$68,Inputs!$C$53),"")</f>
      </c>
      <c r="H21" s="42">
        <f>IF(AND(Inputs!$C$64,ISNUMBER($B21)),SUM(D21:G21),"")</f>
      </c>
      <c r="I21" s="42">
        <f>IF(AND(Inputs!$C$64,ISNUMBER($B21)),IF($B21=Inputs!$C$68,Inputs!$C$68,-Inputs!$C$28*(Inputs!$C$69+Inputs!$C$29)^($B21-Inputs!$C$69)),"")</f>
      </c>
      <c r="J21" s="42" cm="1">
        <f t="array" ref="J21">IF(AND(Inputs!$C$64,ISNUMBER($B21)),IF(AND($B21&gt;=Inputs!$C$69,$B21=Inputs!$C$26),-Inputs!$C$27,Inputs!$C$68),"")</f>
      </c>
      <c r="K21" s="49">
        <f>IF(AND(Inputs!$C$64,ISNUMBER($B21)),SUM(C21:F21,I21:J21),"")</f>
      </c>
      <c r="L21" s="49">
        <f>IF(AND(Inputs!$C$64,ISNUMBER($B21)),SUM(K$6:K21),"")</f>
      </c>
      <c r="M21" s="49">
        <f>IF(AND(Inputs!$C$64,ISNUMBER($B21)),K21+G21,"")</f>
      </c>
      <c r="N21" s="49">
        <f>IF(AND(Inputs!$C$64,ISNUMBER($B21)),SUM(M$6:M21),"")</f>
      </c>
    </row>
    <row r="22" ht="20.25" customHeight="1" x14ac:dyDescent="0.2">
      <c r="B22" s="48">
        <f>IF(ROW()-ROW($B$6)&lt;=Inputs!$C$42,ROW()-ROW($B$6),"")</f>
      </c>
      <c r="C22" s="42" cm="1">
        <f t="array" ref="C22">IF(AND(Inputs!$C$64,ISNUMBER($B22)),IF($B22=Inputs!$C$68,-Inputs!$C$39,Inputs!$C$68),"")</f>
      </c>
      <c r="D22" s="42">
        <f>IF(AND(Inputs!$C$64,ISNUMBER($B22)),IF($B22=Inputs!$C$68,Inputs!$C$68,Value_Streams!$G$18*(Inputs!$C$69+Utility_Rates!$C$23)^($B22-Inputs!$C$69)),"")</f>
      </c>
      <c r="E22" s="42">
        <f>IF(AND(Inputs!$C$64,ISNUMBER($B22)),IF($B22=Inputs!$C$68,Inputs!$C$68,Value_Streams!$J$18*(Inputs!$C$69+Utility_Rates!$C$22)^($B22-Inputs!$C$69)),"")</f>
      </c>
      <c r="F22" s="42">
        <f>IF(AND(Inputs!$C$64,ISNUMBER($B22)),IF($B22=Inputs!$C$68,Inputs!$C$68,Value_Streams!$K$18),"")</f>
      </c>
      <c r="G22" s="42" cm="1">
        <f t="array" ref="G22">IF(AND(Inputs!$C$64,ISNUMBER($B22)),IF($B22=Inputs!$C$68,Inputs!$C$68,Inputs!$C$53),"")</f>
      </c>
      <c r="H22" s="42">
        <f>IF(AND(Inputs!$C$64,ISNUMBER($B22)),SUM(D22:G22),"")</f>
      </c>
      <c r="I22" s="42">
        <f>IF(AND(Inputs!$C$64,ISNUMBER($B22)),IF($B22=Inputs!$C$68,Inputs!$C$68,-Inputs!$C$28*(Inputs!$C$69+Inputs!$C$29)^($B22-Inputs!$C$69)),"")</f>
      </c>
      <c r="J22" s="42" cm="1">
        <f t="array" ref="J22">IF(AND(Inputs!$C$64,ISNUMBER($B22)),IF(AND($B22&gt;=Inputs!$C$69,$B22=Inputs!$C$26),-Inputs!$C$27,Inputs!$C$68),"")</f>
      </c>
      <c r="K22" s="49">
        <f>IF(AND(Inputs!$C$64,ISNUMBER($B22)),SUM(C22:F22,I22:J22),"")</f>
      </c>
      <c r="L22" s="49">
        <f>IF(AND(Inputs!$C$64,ISNUMBER($B22)),SUM(K$6:K22),"")</f>
      </c>
      <c r="M22" s="49">
        <f>IF(AND(Inputs!$C$64,ISNUMBER($B22)),K22+G22,"")</f>
      </c>
      <c r="N22" s="49">
        <f>IF(AND(Inputs!$C$64,ISNUMBER($B22)),SUM(M$6:M22),"")</f>
      </c>
    </row>
    <row r="23" ht="20.25" customHeight="1" x14ac:dyDescent="0.2">
      <c r="B23" s="48">
        <f>IF(ROW()-ROW($B$6)&lt;=Inputs!$C$42,ROW()-ROW($B$6),"")</f>
      </c>
      <c r="C23" s="42" cm="1">
        <f t="array" ref="C23">IF(AND(Inputs!$C$64,ISNUMBER($B23)),IF($B23=Inputs!$C$68,-Inputs!$C$39,Inputs!$C$68),"")</f>
      </c>
      <c r="D23" s="42">
        <f>IF(AND(Inputs!$C$64,ISNUMBER($B23)),IF($B23=Inputs!$C$68,Inputs!$C$68,Value_Streams!$G$18*(Inputs!$C$69+Utility_Rates!$C$23)^($B23-Inputs!$C$69)),"")</f>
      </c>
      <c r="E23" s="42">
        <f>IF(AND(Inputs!$C$64,ISNUMBER($B23)),IF($B23=Inputs!$C$68,Inputs!$C$68,Value_Streams!$J$18*(Inputs!$C$69+Utility_Rates!$C$22)^($B23-Inputs!$C$69)),"")</f>
      </c>
      <c r="F23" s="42">
        <f>IF(AND(Inputs!$C$64,ISNUMBER($B23)),IF($B23=Inputs!$C$68,Inputs!$C$68,Value_Streams!$K$18),"")</f>
      </c>
      <c r="G23" s="42" cm="1">
        <f t="array" ref="G23">IF(AND(Inputs!$C$64,ISNUMBER($B23)),IF($B23=Inputs!$C$68,Inputs!$C$68,Inputs!$C$53),"")</f>
      </c>
      <c r="H23" s="42">
        <f>IF(AND(Inputs!$C$64,ISNUMBER($B23)),SUM(D23:G23),"")</f>
      </c>
      <c r="I23" s="42">
        <f>IF(AND(Inputs!$C$64,ISNUMBER($B23)),IF($B23=Inputs!$C$68,Inputs!$C$68,-Inputs!$C$28*(Inputs!$C$69+Inputs!$C$29)^($B23-Inputs!$C$69)),"")</f>
      </c>
      <c r="J23" s="42" cm="1">
        <f t="array" ref="J23">IF(AND(Inputs!$C$64,ISNUMBER($B23)),IF(AND($B23&gt;=Inputs!$C$69,$B23=Inputs!$C$26),-Inputs!$C$27,Inputs!$C$68),"")</f>
      </c>
      <c r="K23" s="49">
        <f>IF(AND(Inputs!$C$64,ISNUMBER($B23)),SUM(C23:F23,I23:J23),"")</f>
      </c>
      <c r="L23" s="49">
        <f>IF(AND(Inputs!$C$64,ISNUMBER($B23)),SUM(K$6:K23),"")</f>
      </c>
      <c r="M23" s="49">
        <f>IF(AND(Inputs!$C$64,ISNUMBER($B23)),K23+G23,"")</f>
      </c>
      <c r="N23" s="49">
        <f>IF(AND(Inputs!$C$64,ISNUMBER($B23)),SUM(M$6:M23),"")</f>
      </c>
    </row>
    <row r="24" ht="20.25" customHeight="1" x14ac:dyDescent="0.2">
      <c r="B24" s="48">
        <f>IF(ROW()-ROW($B$6)&lt;=Inputs!$C$42,ROW()-ROW($B$6),"")</f>
      </c>
      <c r="C24" s="42" cm="1">
        <f t="array" ref="C24">IF(AND(Inputs!$C$64,ISNUMBER($B24)),IF($B24=Inputs!$C$68,-Inputs!$C$39,Inputs!$C$68),"")</f>
      </c>
      <c r="D24" s="42">
        <f>IF(AND(Inputs!$C$64,ISNUMBER($B24)),IF($B24=Inputs!$C$68,Inputs!$C$68,Value_Streams!$G$18*(Inputs!$C$69+Utility_Rates!$C$23)^($B24-Inputs!$C$69)),"")</f>
      </c>
      <c r="E24" s="42">
        <f>IF(AND(Inputs!$C$64,ISNUMBER($B24)),IF($B24=Inputs!$C$68,Inputs!$C$68,Value_Streams!$J$18*(Inputs!$C$69+Utility_Rates!$C$22)^($B24-Inputs!$C$69)),"")</f>
      </c>
      <c r="F24" s="42">
        <f>IF(AND(Inputs!$C$64,ISNUMBER($B24)),IF($B24=Inputs!$C$68,Inputs!$C$68,Value_Streams!$K$18),"")</f>
      </c>
      <c r="G24" s="42" cm="1">
        <f t="array" ref="G24">IF(AND(Inputs!$C$64,ISNUMBER($B24)),IF($B24=Inputs!$C$68,Inputs!$C$68,Inputs!$C$53),"")</f>
      </c>
      <c r="H24" s="42">
        <f>IF(AND(Inputs!$C$64,ISNUMBER($B24)),SUM(D24:G24),"")</f>
      </c>
      <c r="I24" s="42">
        <f>IF(AND(Inputs!$C$64,ISNUMBER($B24)),IF($B24=Inputs!$C$68,Inputs!$C$68,-Inputs!$C$28*(Inputs!$C$69+Inputs!$C$29)^($B24-Inputs!$C$69)),"")</f>
      </c>
      <c r="J24" s="42" cm="1">
        <f t="array" ref="J24">IF(AND(Inputs!$C$64,ISNUMBER($B24)),IF(AND($B24&gt;=Inputs!$C$69,$B24=Inputs!$C$26),-Inputs!$C$27,Inputs!$C$68),"")</f>
      </c>
      <c r="K24" s="49">
        <f>IF(AND(Inputs!$C$64,ISNUMBER($B24)),SUM(C24:F24,I24:J24),"")</f>
      </c>
      <c r="L24" s="49">
        <f>IF(AND(Inputs!$C$64,ISNUMBER($B24)),SUM(K$6:K24),"")</f>
      </c>
      <c r="M24" s="49">
        <f>IF(AND(Inputs!$C$64,ISNUMBER($B24)),K24+G24,"")</f>
      </c>
      <c r="N24" s="49">
        <f>IF(AND(Inputs!$C$64,ISNUMBER($B24)),SUM(M$6:M24),"")</f>
      </c>
    </row>
    <row r="25" ht="20.25" customHeight="1" x14ac:dyDescent="0.2">
      <c r="B25" s="48">
        <f>IF(ROW()-ROW($B$6)&lt;=Inputs!$C$42,ROW()-ROW($B$6),"")</f>
      </c>
      <c r="C25" s="42" cm="1">
        <f t="array" ref="C25">IF(AND(Inputs!$C$64,ISNUMBER($B25)),IF($B25=Inputs!$C$68,-Inputs!$C$39,Inputs!$C$68),"")</f>
      </c>
      <c r="D25" s="42">
        <f>IF(AND(Inputs!$C$64,ISNUMBER($B25)),IF($B25=Inputs!$C$68,Inputs!$C$68,Value_Streams!$G$18*(Inputs!$C$69+Utility_Rates!$C$23)^($B25-Inputs!$C$69)),"")</f>
      </c>
      <c r="E25" s="42">
        <f>IF(AND(Inputs!$C$64,ISNUMBER($B25)),IF($B25=Inputs!$C$68,Inputs!$C$68,Value_Streams!$J$18*(Inputs!$C$69+Utility_Rates!$C$22)^($B25-Inputs!$C$69)),"")</f>
      </c>
      <c r="F25" s="42">
        <f>IF(AND(Inputs!$C$64,ISNUMBER($B25)),IF($B25=Inputs!$C$68,Inputs!$C$68,Value_Streams!$K$18),"")</f>
      </c>
      <c r="G25" s="42" cm="1">
        <f t="array" ref="G25">IF(AND(Inputs!$C$64,ISNUMBER($B25)),IF($B25=Inputs!$C$68,Inputs!$C$68,Inputs!$C$53),"")</f>
      </c>
      <c r="H25" s="42">
        <f>IF(AND(Inputs!$C$64,ISNUMBER($B25)),SUM(D25:G25),"")</f>
      </c>
      <c r="I25" s="42">
        <f>IF(AND(Inputs!$C$64,ISNUMBER($B25)),IF($B25=Inputs!$C$68,Inputs!$C$68,-Inputs!$C$28*(Inputs!$C$69+Inputs!$C$29)^($B25-Inputs!$C$69)),"")</f>
      </c>
      <c r="J25" s="42" cm="1">
        <f t="array" ref="J25">IF(AND(Inputs!$C$64,ISNUMBER($B25)),IF(AND($B25&gt;=Inputs!$C$69,$B25=Inputs!$C$26),-Inputs!$C$27,Inputs!$C$68),"")</f>
      </c>
      <c r="K25" s="49">
        <f>IF(AND(Inputs!$C$64,ISNUMBER($B25)),SUM(C25:F25,I25:J25),"")</f>
      </c>
      <c r="L25" s="49">
        <f>IF(AND(Inputs!$C$64,ISNUMBER($B25)),SUM(K$6:K25),"")</f>
      </c>
      <c r="M25" s="49">
        <f>IF(AND(Inputs!$C$64,ISNUMBER($B25)),K25+G25,"")</f>
      </c>
      <c r="N25" s="49">
        <f>IF(AND(Inputs!$C$64,ISNUMBER($B25)),SUM(M$6:M25),"")</f>
      </c>
    </row>
    <row r="26" ht="20.25" customHeight="1" x14ac:dyDescent="0.2">
      <c r="B26" s="48">
        <f>IF(ROW()-ROW($B$6)&lt;=Inputs!$C$42,ROW()-ROW($B$6),"")</f>
      </c>
      <c r="C26" s="42" cm="1">
        <f t="array" ref="C26">IF(AND(Inputs!$C$64,ISNUMBER($B26)),IF($B26=Inputs!$C$68,-Inputs!$C$39,Inputs!$C$68),"")</f>
      </c>
      <c r="D26" s="42">
        <f>IF(AND(Inputs!$C$64,ISNUMBER($B26)),IF($B26=Inputs!$C$68,Inputs!$C$68,Value_Streams!$G$18*(Inputs!$C$69+Utility_Rates!$C$23)^($B26-Inputs!$C$69)),"")</f>
      </c>
      <c r="E26" s="42">
        <f>IF(AND(Inputs!$C$64,ISNUMBER($B26)),IF($B26=Inputs!$C$68,Inputs!$C$68,Value_Streams!$J$18*(Inputs!$C$69+Utility_Rates!$C$22)^($B26-Inputs!$C$69)),"")</f>
      </c>
      <c r="F26" s="42">
        <f>IF(AND(Inputs!$C$64,ISNUMBER($B26)),IF($B26=Inputs!$C$68,Inputs!$C$68,Value_Streams!$K$18),"")</f>
      </c>
      <c r="G26" s="42" cm="1">
        <f t="array" ref="G26">IF(AND(Inputs!$C$64,ISNUMBER($B26)),IF($B26=Inputs!$C$68,Inputs!$C$68,Inputs!$C$53),"")</f>
      </c>
      <c r="H26" s="42">
        <f>IF(AND(Inputs!$C$64,ISNUMBER($B26)),SUM(D26:G26),"")</f>
      </c>
      <c r="I26" s="42">
        <f>IF(AND(Inputs!$C$64,ISNUMBER($B26)),IF($B26=Inputs!$C$68,Inputs!$C$68,-Inputs!$C$28*(Inputs!$C$69+Inputs!$C$29)^($B26-Inputs!$C$69)),"")</f>
      </c>
      <c r="J26" s="42" cm="1">
        <f t="array" ref="J26">IF(AND(Inputs!$C$64,ISNUMBER($B26)),IF(AND($B26&gt;=Inputs!$C$69,$B26=Inputs!$C$26),-Inputs!$C$27,Inputs!$C$68),"")</f>
      </c>
      <c r="K26" s="49">
        <f>IF(AND(Inputs!$C$64,ISNUMBER($B26)),SUM(C26:F26,I26:J26),"")</f>
      </c>
      <c r="L26" s="49">
        <f>IF(AND(Inputs!$C$64,ISNUMBER($B26)),SUM(K$6:K26),"")</f>
      </c>
      <c r="M26" s="49">
        <f>IF(AND(Inputs!$C$64,ISNUMBER($B26)),K26+G26,"")</f>
      </c>
      <c r="N26" s="49">
        <f>IF(AND(Inputs!$C$64,ISNUMBER($B26)),SUM(M$6:M26),"")</f>
      </c>
    </row>
    <row r="27" ht="20.25" customHeight="1" x14ac:dyDescent="0.2">
      <c r="B27" s="48">
        <f>IF(ROW()-ROW($B$6)&lt;=Inputs!$C$42,ROW()-ROW($B$6),"")</f>
      </c>
      <c r="C27" s="42" cm="1">
        <f t="array" ref="C27">IF(AND(Inputs!$C$64,ISNUMBER($B27)),IF($B27=Inputs!$C$68,-Inputs!$C$39,Inputs!$C$68),"")</f>
      </c>
      <c r="D27" s="42">
        <f>IF(AND(Inputs!$C$64,ISNUMBER($B27)),IF($B27=Inputs!$C$68,Inputs!$C$68,Value_Streams!$G$18*(Inputs!$C$69+Utility_Rates!$C$23)^($B27-Inputs!$C$69)),"")</f>
      </c>
      <c r="E27" s="42">
        <f>IF(AND(Inputs!$C$64,ISNUMBER($B27)),IF($B27=Inputs!$C$68,Inputs!$C$68,Value_Streams!$J$18*(Inputs!$C$69+Utility_Rates!$C$22)^($B27-Inputs!$C$69)),"")</f>
      </c>
      <c r="F27" s="42">
        <f>IF(AND(Inputs!$C$64,ISNUMBER($B27)),IF($B27=Inputs!$C$68,Inputs!$C$68,Value_Streams!$K$18),"")</f>
      </c>
      <c r="G27" s="42" cm="1">
        <f t="array" ref="G27">IF(AND(Inputs!$C$64,ISNUMBER($B27)),IF($B27=Inputs!$C$68,Inputs!$C$68,Inputs!$C$53),"")</f>
      </c>
      <c r="H27" s="42">
        <f>IF(AND(Inputs!$C$64,ISNUMBER($B27)),SUM(D27:G27),"")</f>
      </c>
      <c r="I27" s="42">
        <f>IF(AND(Inputs!$C$64,ISNUMBER($B27)),IF($B27=Inputs!$C$68,Inputs!$C$68,-Inputs!$C$28*(Inputs!$C$69+Inputs!$C$29)^($B27-Inputs!$C$69)),"")</f>
      </c>
      <c r="J27" s="42" cm="1">
        <f t="array" ref="J27">IF(AND(Inputs!$C$64,ISNUMBER($B27)),IF(AND($B27&gt;=Inputs!$C$69,$B27=Inputs!$C$26),-Inputs!$C$27,Inputs!$C$68),"")</f>
      </c>
      <c r="K27" s="49">
        <f>IF(AND(Inputs!$C$64,ISNUMBER($B27)),SUM(C27:F27,I27:J27),"")</f>
      </c>
      <c r="L27" s="49">
        <f>IF(AND(Inputs!$C$64,ISNUMBER($B27)),SUM(K$6:K27),"")</f>
      </c>
      <c r="M27" s="49">
        <f>IF(AND(Inputs!$C$64,ISNUMBER($B27)),K27+G27,"")</f>
      </c>
      <c r="N27" s="49">
        <f>IF(AND(Inputs!$C$64,ISNUMBER($B27)),SUM(M$6:M27),"")</f>
      </c>
    </row>
    <row r="28" ht="20.25" customHeight="1" x14ac:dyDescent="0.2">
      <c r="B28" s="48">
        <f>IF(ROW()-ROW($B$6)&lt;=Inputs!$C$42,ROW()-ROW($B$6),"")</f>
      </c>
      <c r="C28" s="42" cm="1">
        <f t="array" ref="C28">IF(AND(Inputs!$C$64,ISNUMBER($B28)),IF($B28=Inputs!$C$68,-Inputs!$C$39,Inputs!$C$68),"")</f>
      </c>
      <c r="D28" s="42">
        <f>IF(AND(Inputs!$C$64,ISNUMBER($B28)),IF($B28=Inputs!$C$68,Inputs!$C$68,Value_Streams!$G$18*(Inputs!$C$69+Utility_Rates!$C$23)^($B28-Inputs!$C$69)),"")</f>
      </c>
      <c r="E28" s="42">
        <f>IF(AND(Inputs!$C$64,ISNUMBER($B28)),IF($B28=Inputs!$C$68,Inputs!$C$68,Value_Streams!$J$18*(Inputs!$C$69+Utility_Rates!$C$22)^($B28-Inputs!$C$69)),"")</f>
      </c>
      <c r="F28" s="42">
        <f>IF(AND(Inputs!$C$64,ISNUMBER($B28)),IF($B28=Inputs!$C$68,Inputs!$C$68,Value_Streams!$K$18),"")</f>
      </c>
      <c r="G28" s="42" cm="1">
        <f t="array" ref="G28">IF(AND(Inputs!$C$64,ISNUMBER($B28)),IF($B28=Inputs!$C$68,Inputs!$C$68,Inputs!$C$53),"")</f>
      </c>
      <c r="H28" s="42">
        <f>IF(AND(Inputs!$C$64,ISNUMBER($B28)),SUM(D28:G28),"")</f>
      </c>
      <c r="I28" s="42">
        <f>IF(AND(Inputs!$C$64,ISNUMBER($B28)),IF($B28=Inputs!$C$68,Inputs!$C$68,-Inputs!$C$28*(Inputs!$C$69+Inputs!$C$29)^($B28-Inputs!$C$69)),"")</f>
      </c>
      <c r="J28" s="42" cm="1">
        <f t="array" ref="J28">IF(AND(Inputs!$C$64,ISNUMBER($B28)),IF(AND($B28&gt;=Inputs!$C$69,$B28=Inputs!$C$26),-Inputs!$C$27,Inputs!$C$68),"")</f>
      </c>
      <c r="K28" s="49">
        <f>IF(AND(Inputs!$C$64,ISNUMBER($B28)),SUM(C28:F28,I28:J28),"")</f>
      </c>
      <c r="L28" s="49">
        <f>IF(AND(Inputs!$C$64,ISNUMBER($B28)),SUM(K$6:K28),"")</f>
      </c>
      <c r="M28" s="49">
        <f>IF(AND(Inputs!$C$64,ISNUMBER($B28)),K28+G28,"")</f>
      </c>
      <c r="N28" s="49">
        <f>IF(AND(Inputs!$C$64,ISNUMBER($B28)),SUM(M$6:M28),"")</f>
      </c>
    </row>
    <row r="29" ht="20.25" customHeight="1" x14ac:dyDescent="0.2">
      <c r="B29" s="48">
        <f>IF(ROW()-ROW($B$6)&lt;=Inputs!$C$42,ROW()-ROW($B$6),"")</f>
      </c>
      <c r="C29" s="42" cm="1">
        <f t="array" ref="C29">IF(AND(Inputs!$C$64,ISNUMBER($B29)),IF($B29=Inputs!$C$68,-Inputs!$C$39,Inputs!$C$68),"")</f>
      </c>
      <c r="D29" s="42">
        <f>IF(AND(Inputs!$C$64,ISNUMBER($B29)),IF($B29=Inputs!$C$68,Inputs!$C$68,Value_Streams!$G$18*(Inputs!$C$69+Utility_Rates!$C$23)^($B29-Inputs!$C$69)),"")</f>
      </c>
      <c r="E29" s="42">
        <f>IF(AND(Inputs!$C$64,ISNUMBER($B29)),IF($B29=Inputs!$C$68,Inputs!$C$68,Value_Streams!$J$18*(Inputs!$C$69+Utility_Rates!$C$22)^($B29-Inputs!$C$69)),"")</f>
      </c>
      <c r="F29" s="42">
        <f>IF(AND(Inputs!$C$64,ISNUMBER($B29)),IF($B29=Inputs!$C$68,Inputs!$C$68,Value_Streams!$K$18),"")</f>
      </c>
      <c r="G29" s="42" cm="1">
        <f t="array" ref="G29">IF(AND(Inputs!$C$64,ISNUMBER($B29)),IF($B29=Inputs!$C$68,Inputs!$C$68,Inputs!$C$53),"")</f>
      </c>
      <c r="H29" s="42">
        <f>IF(AND(Inputs!$C$64,ISNUMBER($B29)),SUM(D29:G29),"")</f>
      </c>
      <c r="I29" s="42">
        <f>IF(AND(Inputs!$C$64,ISNUMBER($B29)),IF($B29=Inputs!$C$68,Inputs!$C$68,-Inputs!$C$28*(Inputs!$C$69+Inputs!$C$29)^($B29-Inputs!$C$69)),"")</f>
      </c>
      <c r="J29" s="42" cm="1">
        <f t="array" ref="J29">IF(AND(Inputs!$C$64,ISNUMBER($B29)),IF(AND($B29&gt;=Inputs!$C$69,$B29=Inputs!$C$26),-Inputs!$C$27,Inputs!$C$68),"")</f>
      </c>
      <c r="K29" s="49">
        <f>IF(AND(Inputs!$C$64,ISNUMBER($B29)),SUM(C29:F29,I29:J29),"")</f>
      </c>
      <c r="L29" s="49">
        <f>IF(AND(Inputs!$C$64,ISNUMBER($B29)),SUM(K$6:K29),"")</f>
      </c>
      <c r="M29" s="49">
        <f>IF(AND(Inputs!$C$64,ISNUMBER($B29)),K29+G29,"")</f>
      </c>
      <c r="N29" s="49">
        <f>IF(AND(Inputs!$C$64,ISNUMBER($B29)),SUM(M$6:M29),"")</f>
      </c>
    </row>
    <row r="30" ht="20.25" customHeight="1" x14ac:dyDescent="0.2">
      <c r="B30" s="48">
        <f>IF(ROW()-ROW($B$6)&lt;=Inputs!$C$42,ROW()-ROW($B$6),"")</f>
      </c>
      <c r="C30" s="42" cm="1">
        <f t="array" ref="C30">IF(AND(Inputs!$C$64,ISNUMBER($B30)),IF($B30=Inputs!$C$68,-Inputs!$C$39,Inputs!$C$68),"")</f>
      </c>
      <c r="D30" s="42">
        <f>IF(AND(Inputs!$C$64,ISNUMBER($B30)),IF($B30=Inputs!$C$68,Inputs!$C$68,Value_Streams!$G$18*(Inputs!$C$69+Utility_Rates!$C$23)^($B30-Inputs!$C$69)),"")</f>
      </c>
      <c r="E30" s="42">
        <f>IF(AND(Inputs!$C$64,ISNUMBER($B30)),IF($B30=Inputs!$C$68,Inputs!$C$68,Value_Streams!$J$18*(Inputs!$C$69+Utility_Rates!$C$22)^($B30-Inputs!$C$69)),"")</f>
      </c>
      <c r="F30" s="42">
        <f>IF(AND(Inputs!$C$64,ISNUMBER($B30)),IF($B30=Inputs!$C$68,Inputs!$C$68,Value_Streams!$K$18),"")</f>
      </c>
      <c r="G30" s="42" cm="1">
        <f t="array" ref="G30">IF(AND(Inputs!$C$64,ISNUMBER($B30)),IF($B30=Inputs!$C$68,Inputs!$C$68,Inputs!$C$53),"")</f>
      </c>
      <c r="H30" s="42">
        <f>IF(AND(Inputs!$C$64,ISNUMBER($B30)),SUM(D30:G30),"")</f>
      </c>
      <c r="I30" s="42">
        <f>IF(AND(Inputs!$C$64,ISNUMBER($B30)),IF($B30=Inputs!$C$68,Inputs!$C$68,-Inputs!$C$28*(Inputs!$C$69+Inputs!$C$29)^($B30-Inputs!$C$69)),"")</f>
      </c>
      <c r="J30" s="42" cm="1">
        <f t="array" ref="J30">IF(AND(Inputs!$C$64,ISNUMBER($B30)),IF(AND($B30&gt;=Inputs!$C$69,$B30=Inputs!$C$26),-Inputs!$C$27,Inputs!$C$68),"")</f>
      </c>
      <c r="K30" s="49">
        <f>IF(AND(Inputs!$C$64,ISNUMBER($B30)),SUM(C30:F30,I30:J30),"")</f>
      </c>
      <c r="L30" s="49">
        <f>IF(AND(Inputs!$C$64,ISNUMBER($B30)),SUM(K$6:K30),"")</f>
      </c>
      <c r="M30" s="49">
        <f>IF(AND(Inputs!$C$64,ISNUMBER($B30)),K30+G30,"")</f>
      </c>
      <c r="N30" s="49">
        <f>IF(AND(Inputs!$C$64,ISNUMBER($B30)),SUM(M$6:M30),"")</f>
      </c>
    </row>
    <row r="31" ht="20.25" customHeight="1" x14ac:dyDescent="0.2">
      <c r="B31" s="48">
        <f>IF(ROW()-ROW($B$6)&lt;=Inputs!$C$42,ROW()-ROW($B$6),"")</f>
      </c>
      <c r="C31" s="42" cm="1">
        <f t="array" ref="C31">IF(AND(Inputs!$C$64,ISNUMBER($B31)),IF($B31=Inputs!$C$68,-Inputs!$C$39,Inputs!$C$68),"")</f>
      </c>
      <c r="D31" s="42">
        <f>IF(AND(Inputs!$C$64,ISNUMBER($B31)),IF($B31=Inputs!$C$68,Inputs!$C$68,Value_Streams!$G$18*(Inputs!$C$69+Utility_Rates!$C$23)^($B31-Inputs!$C$69)),"")</f>
      </c>
      <c r="E31" s="42">
        <f>IF(AND(Inputs!$C$64,ISNUMBER($B31)),IF($B31=Inputs!$C$68,Inputs!$C$68,Value_Streams!$J$18*(Inputs!$C$69+Utility_Rates!$C$22)^($B31-Inputs!$C$69)),"")</f>
      </c>
      <c r="F31" s="42">
        <f>IF(AND(Inputs!$C$64,ISNUMBER($B31)),IF($B31=Inputs!$C$68,Inputs!$C$68,Value_Streams!$K$18),"")</f>
      </c>
      <c r="G31" s="42" cm="1">
        <f t="array" ref="G31">IF(AND(Inputs!$C$64,ISNUMBER($B31)),IF($B31=Inputs!$C$68,Inputs!$C$68,Inputs!$C$53),"")</f>
      </c>
      <c r="H31" s="42">
        <f>IF(AND(Inputs!$C$64,ISNUMBER($B31)),SUM(D31:G31),"")</f>
      </c>
      <c r="I31" s="42">
        <f>IF(AND(Inputs!$C$64,ISNUMBER($B31)),IF($B31=Inputs!$C$68,Inputs!$C$68,-Inputs!$C$28*(Inputs!$C$69+Inputs!$C$29)^($B31-Inputs!$C$69)),"")</f>
      </c>
      <c r="J31" s="42" cm="1">
        <f t="array" ref="J31">IF(AND(Inputs!$C$64,ISNUMBER($B31)),IF(AND($B31&gt;=Inputs!$C$69,$B31=Inputs!$C$26),-Inputs!$C$27,Inputs!$C$68),"")</f>
      </c>
      <c r="K31" s="49">
        <f>IF(AND(Inputs!$C$64,ISNUMBER($B31)),SUM(C31:F31,I31:J31),"")</f>
      </c>
      <c r="L31" s="49">
        <f>IF(AND(Inputs!$C$64,ISNUMBER($B31)),SUM(K$6:K31),"")</f>
      </c>
      <c r="M31" s="49">
        <f>IF(AND(Inputs!$C$64,ISNUMBER($B31)),K31+G31,"")</f>
      </c>
      <c r="N31" s="49">
        <f>IF(AND(Inputs!$C$64,ISNUMBER($B31)),SUM(M$6:M31),"")</f>
      </c>
    </row>
    <row r="32" ht="1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28.5" customHeight="1" x14ac:dyDescent="0.2">
      <c r="B34" s="3" t="s">
        <v>192</v>
      </c>
      <c r="C34" s="12" t="s">
        <v>193</v>
      </c>
      <c r="D34" s="12" t="s">
        <v>194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" customHeight="1" x14ac:dyDescent="0.2">
      <c r="B35" s="2" t="s">
        <v>195</v>
      </c>
      <c r="C35" s="50">
        <f>IF(Inputs!$C$64,IFERROR(IRR($K$6:INDEX($K$6:$K$31,Inputs!$C$42+Inputs!$C$69)),"N/M"),"")</f>
      </c>
      <c r="D35" s="50">
        <f>IF(Inputs!$C$64,IFERROR(IRR($M$6:INDEX($M$6:$M$31,Inputs!$C$42+Inputs!$C$69)),"N/M"),"")</f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" customHeight="1" x14ac:dyDescent="0.2">
      <c r="B36" s="2" t="s">
        <v>196</v>
      </c>
      <c r="C36" s="42">
        <f>IF(Inputs!$C$64,NPV(Inputs!$C$43,$K$7:INDEX($K$6:$K$31,Inputs!$C$42+Inputs!$C$69))+$K$6,"")</f>
      </c>
      <c r="D36" s="42">
        <f>IF(Inputs!$C$64,NPV(Inputs!$C$43,$M$7:INDEX($M$6:$M$31,Inputs!$C$42+Inputs!$C$69))+$M$6,"")</f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" customHeight="1" x14ac:dyDescent="0.2">
      <c r="B37" s="2" t="s">
        <v>197</v>
      </c>
      <c r="C37" s="10">
        <f>IF(Inputs!$C$64,IF(SUM(D7:F7,I7)&gt;Inputs!$C$68,Inputs!$C$39/(SUM(D7:F7,I7)),"Not achieved"),"")</f>
      </c>
      <c r="D37" s="10">
        <f>IF(Inputs!$C$64,IF(SUM(D7:F7,I7)+G7&gt;Inputs!$C$68,Inputs!$C$39/(SUM(D7:F7,I7)+G7),"Not achieved"),"")</f>
      </c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" customHeight="1" x14ac:dyDescent="0.2">
      <c r="B38" s="2" t="s">
        <v>198</v>
      </c>
      <c r="C38" s="42">
        <f>IF(Inputs!$C$64,SUM($K$6:INDEX($K$6:$K$31,Inputs!$C$42+Inputs!$C$69)),"")</f>
      </c>
      <c r="D38" s="42">
        <f>IF(Inputs!$C$64,SUM($M$6:INDEX($M$6:$M$31,Inputs!$C$42+Inputs!$C$69)),"")</f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" customHeight="1" x14ac:dyDescent="0.2">
      <c r="B41" s="2" t="s">
        <v>199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" customHeight="1" x14ac:dyDescent="0.2">
      <c r="B42" s="2" t="s">
        <v>200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" customHeight="1" x14ac:dyDescent="0.2">
      <c r="B43" s="2" t="s">
        <v>201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" customHeight="1" x14ac:dyDescent="0.2">
      <c r="B44" s="2" t="s">
        <v>202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B45" s="2" t="inlineStr">
        <is>
          <t xml:space="preserve">Program revenue is held at its Year 1 value (program rates are set by the tariff and are not escalated).</t>
        </is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2465-9087-172C-93B8-E1202A9E22F8}">
  <dimension ref="B2:D34"/>
  <sheetViews>
    <sheetView showGridLines="0" tabSelected="1" workbookViewId="0">
      <pane ySplit="5" topLeftCell="A33" activePane="bottomLeft" state="frozen"/>
      <selection pane="bottomLeft" activeCell="A35" sqref="A35:XFD38"/>
    </sheetView>
  </sheetViews>
  <sheetFormatPr baseColWidth="10" defaultColWidth="7.83203125" defaultRowHeight="15" customHeight="1" x14ac:dyDescent="0.2"/>
  <cols>
    <col min="1" max="1" width="3" customWidth="1"/>
    <col min="2" max="2" width="44.33203125" customWidth="1"/>
    <col min="3" max="4" width="26.83203125" customWidth="1"/>
  </cols>
  <sheetData>
    <row r="2" ht="24" customHeight="1" x14ac:dyDescent="0.2">
      <c r="B2" s="1" t="s">
        <v>203</v>
      </c>
      <c r="C2" s="1"/>
      <c r="D2" s="1"/>
    </row>
    <row r="3" ht="27" customHeight="1" x14ac:dyDescent="0.2">
      <c r="B3" s="38" cm="1">
        <f t="array" ref="B3">Inputs!C65</f>
      </c>
      <c r="C3" s="2"/>
      <c r="D3" s="2"/>
    </row>
    <row r="4" ht="15" customHeight="1" x14ac:dyDescent="0.2">
      <c r="B4" s="2"/>
      <c r="C4" s="2"/>
      <c r="D4" s="2"/>
    </row>
    <row r="5" ht="28.5" customHeight="1" x14ac:dyDescent="0.2">
      <c r="B5" s="12" t="s">
        <v>204</v>
      </c>
      <c r="C5" s="12" t="s">
        <v>193</v>
      </c>
      <c r="D5" s="12" t="s">
        <v>194</v>
      </c>
    </row>
    <row r="6" ht="21.75" customHeight="1" x14ac:dyDescent="0.2">
      <c r="B6" s="2" t="s">
        <v>205</v>
      </c>
      <c r="C6" s="10" cm="1">
        <f t="array" ref="C6">IF(ISNUMBER(Inputs!C16),Inputs!C16,"")</f>
      </c>
      <c r="D6" s="11" cm="1">
        <f t="array" ref="D6">IF(ISNUMBER(C6),C6,"")</f>
      </c>
    </row>
    <row r="7" ht="21.75" customHeight="1" x14ac:dyDescent="0.2">
      <c r="B7" s="2" t="s">
        <v>206</v>
      </c>
      <c r="C7" s="10" cm="1">
        <f t="array" ref="C7">IF(ISNUMBER(Inputs!C17),Inputs!C17,"")</f>
      </c>
      <c r="D7" s="11" cm="1">
        <f t="array" ref="D7">IF(ISNUMBER(C7),C7,"")</f>
      </c>
    </row>
    <row r="8" ht="21.75" customHeight="1" x14ac:dyDescent="0.2">
      <c r="B8" s="2" t="s">
        <v>207</v>
      </c>
      <c r="C8" s="42" cm="1">
        <f t="array" ref="C8">IF(ISNUMBER(Inputs!C39),Inputs!C39,"")</f>
      </c>
      <c r="D8" s="44" cm="1">
        <f t="array" ref="D8">IF(ISNUMBER(C8),C8,"")</f>
      </c>
    </row>
    <row r="9" ht="21.75" customHeight="1" x14ac:dyDescent="0.2">
      <c r="B9" s="2"/>
      <c r="C9" s="44"/>
      <c r="D9" s="44"/>
    </row>
    <row r="10" ht="21.75" customHeight="1" x14ac:dyDescent="0.2">
      <c r="B10" s="2" t="s">
        <v>208</v>
      </c>
      <c r="C10" s="42" cm="1">
        <f t="array" ref="C10">IF(ISNUMBER(Value_Streams!G18),Value_Streams!G18,"")</f>
      </c>
      <c r="D10" s="44" cm="1">
        <f t="array" ref="D10">IF(ISNUMBER(C10),C10,"")</f>
      </c>
    </row>
    <row r="11" ht="21.75" customHeight="1" x14ac:dyDescent="0.2">
      <c r="B11" s="2" t="s">
        <v>209</v>
      </c>
      <c r="C11" s="42" cm="1">
        <f t="array" ref="C11">IF(ISNUMBER(Value_Streams!J18),Value_Streams!J18,"")</f>
      </c>
      <c r="D11" s="44" cm="1">
        <f t="array" ref="D11">IF(ISNUMBER(C11),C11,"")</f>
      </c>
    </row>
    <row r="12" ht="21.75" customHeight="1" x14ac:dyDescent="0.2">
      <c r="B12" s="2" t="inlineStr">
        <is>
          <t xml:space="preserve">Year 1 program revenue ($)</t>
        </is>
      </c>
      <c r="C12" s="42">
        <f>IF(ISNUMBER(Value_Streams!K18),Value_Streams!K18,"")</f>
      </c>
      <c r="D12" s="44">
        <f>IF(ISNUMBER(C12),C12,"")</f>
      </c>
    </row>
    <row r="13" ht="21.75" customHeight="1" x14ac:dyDescent="0.2">
      <c r="B13" s="2" t="s">
        <v>210</v>
      </c>
      <c r="C13" s="42" cm="1">
        <f t="array" ref="C13">Inputs!$C$68</f>
      </c>
      <c r="D13" s="42" cm="1">
        <f t="array" ref="D13">IF(ISNUMBER(Inputs!C53),Inputs!C53,"")</f>
      </c>
    </row>
    <row r="14" ht="21.75" customHeight="1" x14ac:dyDescent="0.2">
      <c r="B14" s="51" t="s">
        <v>211</v>
      </c>
      <c r="C14" s="52">
        <f>IF(AND(Inputs!C62,ISNUMBER(C13)),SUM(C10:C13),"")</f>
      </c>
      <c r="D14" s="52">
        <f>IF(AND(Inputs!C62,ISNUMBER(D13)),SUM(D10:D13),"")</f>
      </c>
    </row>
    <row r="15" ht="21.75" customHeight="1" x14ac:dyDescent="0.2">
      <c r="B15" s="2" t="s">
        <v>212</v>
      </c>
      <c r="C15" s="42">
        <f>IF(ISNUMBER(Inputs!C28),-Inputs!C28,"")</f>
      </c>
      <c r="D15" s="42">
        <f>IF(ISNUMBER(Inputs!C28),-Inputs!C28,"")</f>
      </c>
    </row>
    <row r="16" ht="21.75" customHeight="1" x14ac:dyDescent="0.2">
      <c r="B16" s="51" t="s">
        <v>213</v>
      </c>
      <c r="C16" s="53">
        <f t="shared" ref="C16:D16" si="0">IF(AND(ISNUMBER(C14),ISNUMBER(C15)),SUM(C14:C15),"")</f>
      </c>
      <c r="D16" s="53">
        <f t="shared" si="0"/>
      </c>
    </row>
    <row r="17" ht="21.75" customHeight="1" x14ac:dyDescent="0.2">
      <c r="B17" s="2"/>
      <c r="C17" s="44"/>
      <c r="D17" s="44"/>
    </row>
    <row r="18" ht="21.75" customHeight="1" x14ac:dyDescent="0.2">
      <c r="B18" s="51" t="s">
        <v>214</v>
      </c>
      <c r="C18" s="54" cm="1">
        <f t="array" ref="C18">IF(Inputs!C64,Project_Cash_Flow!C35,"")</f>
      </c>
      <c r="D18" s="54" cm="1">
        <f t="array" ref="D18">IF(Inputs!C64,Project_Cash_Flow!D35,"")</f>
      </c>
    </row>
    <row r="19" ht="21.75" customHeight="1" x14ac:dyDescent="0.2">
      <c r="B19" s="51" t="s">
        <v>215</v>
      </c>
      <c r="C19" s="52" cm="1">
        <f t="array" ref="C19">IF(Inputs!C64,Project_Cash_Flow!C36,"")</f>
      </c>
      <c r="D19" s="52" cm="1">
        <f t="array" ref="D19">IF(Inputs!C64,Project_Cash_Flow!D36,"")</f>
      </c>
    </row>
    <row r="20" ht="21.75" customHeight="1" x14ac:dyDescent="0.2">
      <c r="B20" s="51" t="s">
        <v>197</v>
      </c>
      <c r="C20" s="55" cm="1">
        <f t="array" ref="C20">IF(Inputs!C64,Project_Cash_Flow!C37,"")</f>
      </c>
      <c r="D20" s="55" cm="1">
        <f t="array" ref="D20">IF(Inputs!C64,Project_Cash_Flow!D37,"")</f>
      </c>
    </row>
    <row r="21" ht="21.75" customHeight="1" x14ac:dyDescent="0.2">
      <c r="B21" s="51" t="s">
        <v>216</v>
      </c>
      <c r="C21" s="52" cm="1">
        <f t="array" ref="C21">IF(Inputs!C64,Project_Cash_Flow!C38,"")</f>
      </c>
      <c r="D21" s="52" cm="1">
        <f t="array" ref="D21">IF(Inputs!C64,Project_Cash_Flow!D38,"")</f>
      </c>
    </row>
    <row r="22" ht="15" customHeight="1" x14ac:dyDescent="0.2">
      <c r="B22" s="2"/>
      <c r="C22" s="2"/>
      <c r="D22" s="2"/>
    </row>
    <row r="23" ht="15" customHeight="1" x14ac:dyDescent="0.2">
      <c r="B23" s="2"/>
      <c r="C23" s="2"/>
      <c r="D23" s="2"/>
    </row>
    <row r="24" ht="15" customHeight="1" x14ac:dyDescent="0.2">
      <c r="B24" s="3" t="s">
        <v>217</v>
      </c>
      <c r="C24" s="3"/>
      <c r="D24" s="3"/>
    </row>
    <row r="25" ht="15" customHeight="1" x14ac:dyDescent="0.2">
      <c r="B25" s="2" t="s">
        <v>218</v>
      </c>
      <c r="C25" s="2"/>
      <c r="D25" s="2"/>
    </row>
    <row r="26" ht="15" customHeight="1" x14ac:dyDescent="0.2">
      <c r="B26" s="2" t="s">
        <v>219</v>
      </c>
      <c r="C26" s="2"/>
      <c r="D26" s="2"/>
    </row>
    <row r="27" ht="15" customHeight="1" x14ac:dyDescent="0.2">
      <c r="B27" s="2" t="s">
        <v>220</v>
      </c>
      <c r="C27" s="2"/>
      <c r="D27" s="2"/>
    </row>
    <row r="28" ht="15" customHeight="1" x14ac:dyDescent="0.2">
      <c r="B28" s="2"/>
      <c r="C28" s="2"/>
      <c r="D28" s="2"/>
    </row>
    <row r="29" ht="15" customHeight="1" x14ac:dyDescent="0.2">
      <c r="B29" s="3" t="s">
        <v>221</v>
      </c>
      <c r="C29" s="3"/>
      <c r="D29" s="3"/>
    </row>
    <row r="30" ht="15" customHeight="1" x14ac:dyDescent="0.2">
      <c r="B30" s="2" t="s">
        <v>222</v>
      </c>
      <c r="C30" s="2"/>
      <c r="D30" s="2"/>
    </row>
    <row r="31" ht="15" customHeight="1" x14ac:dyDescent="0.2">
      <c r="B31" s="2" t="s">
        <v>223</v>
      </c>
      <c r="C31" s="2"/>
      <c r="D31" s="2"/>
    </row>
    <row r="32" ht="15" customHeight="1" x14ac:dyDescent="0.2">
      <c r="B32" s="2" t="s">
        <v>224</v>
      </c>
      <c r="C32" s="2"/>
      <c r="D32" s="2"/>
    </row>
    <row r="33" ht="15" customHeight="1" x14ac:dyDescent="0.2">
      <c r="B33" s="2" t="s">
        <v>225</v>
      </c>
      <c r="C33" s="2"/>
      <c r="D33" s="2"/>
    </row>
    <row r="34" ht="15" customHeight="1" x14ac:dyDescent="0.2">
      <c r="B34" s="2"/>
      <c r="C34" s="2"/>
      <c r="D34" s="2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Utility_Rates</vt:lpstr>
      <vt:lpstr>Hourly_Operations</vt:lpstr>
      <vt:lpstr>Value_Streams</vt:lpstr>
      <vt:lpstr>Project_Cash_Flow</vt:lpstr>
      <vt:lpstr>Outputs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dcterms:created xsi:type="dcterms:W3CDTF">2025-05-22T23:41:35Z</dcterms:created>
  <dcterms:modified xsi:type="dcterms:W3CDTF">2026-10-14T18:03:58Z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f582be4a-a12a-494f-a812-7d4817d76a53</vt:lpwstr>
  </property>
</Properties>
</file>